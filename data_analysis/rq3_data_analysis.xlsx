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myworawalan/Downloads/"/>
    </mc:Choice>
  </mc:AlternateContent>
  <xr:revisionPtr revIDLastSave="0" documentId="8_{F34E2028-89C8-EE48-ADD6-2E028F7BD136}" xr6:coauthVersionLast="47" xr6:coauthVersionMax="47" xr10:uidLastSave="{00000000-0000-0000-0000-000000000000}"/>
  <bookViews>
    <workbookView xWindow="0" yWindow="660" windowWidth="29840" windowHeight="17420" activeTab="10" xr2:uid="{00000000-000D-0000-FFFF-FFFF00000000}"/>
  </bookViews>
  <sheets>
    <sheet name="Main" sheetId="1" r:id="rId1"/>
    <sheet name="Results" sheetId="2" r:id="rId2"/>
    <sheet name="Step 1" sheetId="3" r:id="rId3"/>
    <sheet name="Ann1 - Step 2" sheetId="4" r:id="rId4"/>
    <sheet name="Ann2 - Step 2" sheetId="5" r:id="rId5"/>
    <sheet name="Step2 Merge" sheetId="6" r:id="rId6"/>
    <sheet name="Step2 Stats" sheetId="7" r:id="rId7"/>
    <sheet name="Ann1 - Step 3" sheetId="8" r:id="rId8"/>
    <sheet name="Ann2 - Step 3" sheetId="9" r:id="rId9"/>
    <sheet name="Step3 Merge" sheetId="10" r:id="rId10"/>
    <sheet name="Step 3 Stats" sheetId="11" r:id="rId11"/>
  </sheets>
  <externalReferences>
    <externalReference r:id="rId12"/>
  </externalReferences>
  <definedNames>
    <definedName name="_xlnm._FilterDatabase" localSheetId="7" hidden="1">'Ann1 - Step 3'!$A$1:$D$1943</definedName>
    <definedName name="_xlnm._FilterDatabase" localSheetId="8" hidden="1">'Ann2 - Step 3'!$A$1:$D$1943</definedName>
    <definedName name="_xlnm._FilterDatabase" localSheetId="5" hidden="1">'Step2 Merge'!$A$1:$W$498</definedName>
    <definedName name="_xlnm._FilterDatabase" localSheetId="9" hidden="1">'Step3 Merge'!$A$1:$W$1943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43" i="11" l="1"/>
  <c r="A1943" i="11"/>
  <c r="B1942" i="11"/>
  <c r="A1942" i="11"/>
  <c r="B1941" i="11"/>
  <c r="A1941" i="11"/>
  <c r="B1940" i="11"/>
  <c r="A1940" i="11"/>
  <c r="B1939" i="11"/>
  <c r="A1939" i="11"/>
  <c r="B1938" i="11"/>
  <c r="A1938" i="11"/>
  <c r="B1937" i="11"/>
  <c r="A1937" i="11"/>
  <c r="B1936" i="11"/>
  <c r="A1936" i="11"/>
  <c r="B1935" i="11"/>
  <c r="A1935" i="11"/>
  <c r="B1934" i="11"/>
  <c r="A1934" i="11"/>
  <c r="B1933" i="11"/>
  <c r="A1933" i="11"/>
  <c r="B1932" i="11"/>
  <c r="A1932" i="11"/>
  <c r="B1931" i="11"/>
  <c r="A1931" i="11"/>
  <c r="B1930" i="11"/>
  <c r="A1930" i="11"/>
  <c r="B1929" i="11"/>
  <c r="A1929" i="11"/>
  <c r="B1928" i="11"/>
  <c r="A1928" i="11"/>
  <c r="B1927" i="11"/>
  <c r="A1927" i="11"/>
  <c r="B1926" i="11"/>
  <c r="A1926" i="11"/>
  <c r="B1925" i="11"/>
  <c r="A1925" i="11"/>
  <c r="B1924" i="11"/>
  <c r="A1924" i="11"/>
  <c r="B1923" i="11"/>
  <c r="A1923" i="11"/>
  <c r="B1922" i="11"/>
  <c r="A1922" i="11"/>
  <c r="B1921" i="11"/>
  <c r="A1921" i="11"/>
  <c r="B1920" i="11"/>
  <c r="A1920" i="11"/>
  <c r="B1919" i="11"/>
  <c r="A1919" i="11"/>
  <c r="B1918" i="11"/>
  <c r="A1918" i="11"/>
  <c r="B1917" i="11"/>
  <c r="A1917" i="11"/>
  <c r="B1916" i="11"/>
  <c r="A1916" i="11"/>
  <c r="B1915" i="11"/>
  <c r="A1915" i="11"/>
  <c r="B1914" i="11"/>
  <c r="A1914" i="11"/>
  <c r="B1913" i="11"/>
  <c r="A1913" i="11"/>
  <c r="B1912" i="11"/>
  <c r="A1912" i="11"/>
  <c r="B1911" i="11"/>
  <c r="A1911" i="11"/>
  <c r="B1910" i="11"/>
  <c r="A1910" i="11"/>
  <c r="B1909" i="11"/>
  <c r="A1909" i="11"/>
  <c r="B1908" i="11"/>
  <c r="A1908" i="11"/>
  <c r="B1907" i="11"/>
  <c r="A1907" i="11"/>
  <c r="B1906" i="11"/>
  <c r="A1906" i="11"/>
  <c r="B1905" i="11"/>
  <c r="A1905" i="11"/>
  <c r="B1904" i="11"/>
  <c r="A1904" i="11"/>
  <c r="B1903" i="11"/>
  <c r="A1903" i="11"/>
  <c r="B1902" i="11"/>
  <c r="A1902" i="11"/>
  <c r="B1901" i="11"/>
  <c r="A1901" i="11"/>
  <c r="B1900" i="11"/>
  <c r="A1900" i="11"/>
  <c r="B1899" i="11"/>
  <c r="A1899" i="11"/>
  <c r="B1898" i="11"/>
  <c r="A1898" i="11"/>
  <c r="B1897" i="11"/>
  <c r="A1897" i="11"/>
  <c r="B1896" i="11"/>
  <c r="A1896" i="11"/>
  <c r="B1895" i="11"/>
  <c r="A1895" i="11"/>
  <c r="B1894" i="11"/>
  <c r="A1894" i="11"/>
  <c r="B1893" i="11"/>
  <c r="A1893" i="11"/>
  <c r="B1892" i="11"/>
  <c r="A1892" i="11"/>
  <c r="B1891" i="11"/>
  <c r="A1891" i="11"/>
  <c r="B1890" i="11"/>
  <c r="A1890" i="11"/>
  <c r="B1889" i="11"/>
  <c r="A1889" i="11"/>
  <c r="B1888" i="11"/>
  <c r="A1888" i="11"/>
  <c r="B1887" i="11"/>
  <c r="A1887" i="11"/>
  <c r="B1886" i="11"/>
  <c r="A1886" i="11"/>
  <c r="B1885" i="11"/>
  <c r="A1885" i="11"/>
  <c r="B1884" i="11"/>
  <c r="A1884" i="11"/>
  <c r="B1883" i="11"/>
  <c r="A1883" i="11"/>
  <c r="B1882" i="11"/>
  <c r="A1882" i="11"/>
  <c r="B1881" i="11"/>
  <c r="A1881" i="11"/>
  <c r="B1880" i="11"/>
  <c r="A1880" i="11"/>
  <c r="B1879" i="11"/>
  <c r="A1879" i="11"/>
  <c r="B1878" i="11"/>
  <c r="A1878" i="11"/>
  <c r="B1877" i="11"/>
  <c r="A1877" i="11"/>
  <c r="B1876" i="11"/>
  <c r="A1876" i="11"/>
  <c r="B1875" i="11"/>
  <c r="A1875" i="11"/>
  <c r="B1874" i="11"/>
  <c r="A1874" i="11"/>
  <c r="B1873" i="11"/>
  <c r="A1873" i="11"/>
  <c r="B1872" i="11"/>
  <c r="A1872" i="11"/>
  <c r="B1871" i="11"/>
  <c r="A1871" i="11"/>
  <c r="B1870" i="11"/>
  <c r="A1870" i="11"/>
  <c r="B1869" i="11"/>
  <c r="A1869" i="11"/>
  <c r="B1868" i="11"/>
  <c r="A1868" i="11"/>
  <c r="B1867" i="11"/>
  <c r="A1867" i="11"/>
  <c r="B1866" i="11"/>
  <c r="A1866" i="11"/>
  <c r="B1865" i="11"/>
  <c r="A1865" i="11"/>
  <c r="B1864" i="11"/>
  <c r="A1864" i="11"/>
  <c r="B1863" i="11"/>
  <c r="A1863" i="11"/>
  <c r="B1862" i="11"/>
  <c r="A1862" i="11"/>
  <c r="B1861" i="11"/>
  <c r="A1861" i="11"/>
  <c r="B1860" i="11"/>
  <c r="A1860" i="11"/>
  <c r="B1859" i="11"/>
  <c r="A1859" i="11"/>
  <c r="B1858" i="11"/>
  <c r="A1858" i="11"/>
  <c r="B1857" i="11"/>
  <c r="A1857" i="11"/>
  <c r="B1856" i="11"/>
  <c r="A1856" i="11"/>
  <c r="B1855" i="11"/>
  <c r="A1855" i="11"/>
  <c r="B1854" i="11"/>
  <c r="A1854" i="11"/>
  <c r="B1853" i="11"/>
  <c r="A1853" i="11"/>
  <c r="B1852" i="11"/>
  <c r="A1852" i="11"/>
  <c r="B1851" i="11"/>
  <c r="A1851" i="11"/>
  <c r="B1850" i="11"/>
  <c r="A1850" i="11"/>
  <c r="B1849" i="11"/>
  <c r="A1849" i="11"/>
  <c r="B1848" i="11"/>
  <c r="A1848" i="11"/>
  <c r="B1847" i="11"/>
  <c r="A1847" i="11"/>
  <c r="B1846" i="11"/>
  <c r="A1846" i="11"/>
  <c r="B1845" i="11"/>
  <c r="A1845" i="11"/>
  <c r="B1844" i="11"/>
  <c r="A1844" i="11"/>
  <c r="B1843" i="11"/>
  <c r="A1843" i="11"/>
  <c r="B1842" i="11"/>
  <c r="A1842" i="11"/>
  <c r="B1841" i="11"/>
  <c r="A1841" i="11"/>
  <c r="B1840" i="11"/>
  <c r="A1840" i="11"/>
  <c r="B1839" i="11"/>
  <c r="A1839" i="11"/>
  <c r="B1838" i="11"/>
  <c r="A1838" i="11"/>
  <c r="B1837" i="11"/>
  <c r="A1837" i="11"/>
  <c r="B1836" i="11"/>
  <c r="A1836" i="11"/>
  <c r="B1835" i="11"/>
  <c r="A1835" i="11"/>
  <c r="B1834" i="11"/>
  <c r="A1834" i="11"/>
  <c r="B1833" i="11"/>
  <c r="A1833" i="11"/>
  <c r="B1832" i="11"/>
  <c r="A1832" i="11"/>
  <c r="B1831" i="11"/>
  <c r="A1831" i="11"/>
  <c r="B1830" i="11"/>
  <c r="A1830" i="11"/>
  <c r="B1829" i="11"/>
  <c r="A1829" i="11"/>
  <c r="B1828" i="11"/>
  <c r="A1828" i="11"/>
  <c r="B1827" i="11"/>
  <c r="A1827" i="11"/>
  <c r="B1826" i="11"/>
  <c r="A1826" i="11"/>
  <c r="B1825" i="11"/>
  <c r="A1825" i="11"/>
  <c r="B1824" i="11"/>
  <c r="A1824" i="11"/>
  <c r="B1823" i="11"/>
  <c r="A1823" i="11"/>
  <c r="B1822" i="11"/>
  <c r="A1822" i="11"/>
  <c r="B1821" i="11"/>
  <c r="A1821" i="11"/>
  <c r="B1820" i="11"/>
  <c r="A1820" i="11"/>
  <c r="B1819" i="11"/>
  <c r="A1819" i="11"/>
  <c r="B1818" i="11"/>
  <c r="A1818" i="11"/>
  <c r="B1817" i="11"/>
  <c r="A1817" i="11"/>
  <c r="B1816" i="11"/>
  <c r="A1816" i="11"/>
  <c r="B1815" i="11"/>
  <c r="A1815" i="11"/>
  <c r="B1814" i="11"/>
  <c r="A1814" i="11"/>
  <c r="B1813" i="11"/>
  <c r="A1813" i="11"/>
  <c r="B1812" i="11"/>
  <c r="A1812" i="11"/>
  <c r="B1811" i="11"/>
  <c r="A1811" i="11"/>
  <c r="B1810" i="11"/>
  <c r="A1810" i="11"/>
  <c r="B1809" i="11"/>
  <c r="A1809" i="11"/>
  <c r="B1808" i="11"/>
  <c r="A1808" i="11"/>
  <c r="B1807" i="11"/>
  <c r="A1807" i="11"/>
  <c r="B1806" i="11"/>
  <c r="A1806" i="11"/>
  <c r="B1805" i="11"/>
  <c r="A1805" i="11"/>
  <c r="B1804" i="11"/>
  <c r="A1804" i="11"/>
  <c r="B1803" i="11"/>
  <c r="A1803" i="11"/>
  <c r="B1802" i="11"/>
  <c r="A1802" i="11"/>
  <c r="B1801" i="11"/>
  <c r="A1801" i="11"/>
  <c r="B1800" i="11"/>
  <c r="A1800" i="11"/>
  <c r="B1799" i="11"/>
  <c r="A1799" i="11"/>
  <c r="B1798" i="11"/>
  <c r="A1798" i="11"/>
  <c r="B1797" i="11"/>
  <c r="A1797" i="11"/>
  <c r="B1796" i="11"/>
  <c r="A1796" i="11"/>
  <c r="B1795" i="11"/>
  <c r="A1795" i="11"/>
  <c r="B1794" i="11"/>
  <c r="A1794" i="11"/>
  <c r="B1793" i="11"/>
  <c r="A1793" i="11"/>
  <c r="B1792" i="11"/>
  <c r="A1792" i="11"/>
  <c r="B1791" i="11"/>
  <c r="A1791" i="11"/>
  <c r="B1790" i="11"/>
  <c r="A1790" i="11"/>
  <c r="B1789" i="11"/>
  <c r="A1789" i="11"/>
  <c r="B1788" i="11"/>
  <c r="A1788" i="11"/>
  <c r="B1787" i="11"/>
  <c r="A1787" i="11"/>
  <c r="B1786" i="11"/>
  <c r="A1786" i="11"/>
  <c r="B1785" i="11"/>
  <c r="A1785" i="11"/>
  <c r="B1784" i="11"/>
  <c r="A1784" i="11"/>
  <c r="B1783" i="11"/>
  <c r="A1783" i="11"/>
  <c r="B1782" i="11"/>
  <c r="A1782" i="11"/>
  <c r="B1781" i="11"/>
  <c r="A1781" i="11"/>
  <c r="B1780" i="11"/>
  <c r="A1780" i="11"/>
  <c r="B1779" i="11"/>
  <c r="A1779" i="11"/>
  <c r="B1778" i="11"/>
  <c r="A1778" i="11"/>
  <c r="B1777" i="11"/>
  <c r="A1777" i="11"/>
  <c r="B1776" i="11"/>
  <c r="A1776" i="11"/>
  <c r="B1775" i="11"/>
  <c r="A1775" i="11"/>
  <c r="B1774" i="11"/>
  <c r="A1774" i="11"/>
  <c r="B1773" i="11"/>
  <c r="A1773" i="11"/>
  <c r="B1772" i="11"/>
  <c r="A1772" i="11"/>
  <c r="B1771" i="11"/>
  <c r="A1771" i="11"/>
  <c r="B1770" i="11"/>
  <c r="A1770" i="11"/>
  <c r="B1769" i="11"/>
  <c r="A1769" i="11"/>
  <c r="B1768" i="11"/>
  <c r="A1768" i="11"/>
  <c r="B1767" i="11"/>
  <c r="A1767" i="11"/>
  <c r="B1766" i="11"/>
  <c r="A1766" i="11"/>
  <c r="B1765" i="11"/>
  <c r="A1765" i="11"/>
  <c r="B1764" i="11"/>
  <c r="A1764" i="11"/>
  <c r="B1763" i="11"/>
  <c r="A1763" i="11"/>
  <c r="B1762" i="11"/>
  <c r="A1762" i="11"/>
  <c r="B1761" i="11"/>
  <c r="A1761" i="11"/>
  <c r="B1760" i="11"/>
  <c r="A1760" i="11"/>
  <c r="B1759" i="11"/>
  <c r="A1759" i="11"/>
  <c r="B1758" i="11"/>
  <c r="A1758" i="11"/>
  <c r="B1757" i="11"/>
  <c r="A1757" i="11"/>
  <c r="B1756" i="11"/>
  <c r="A1756" i="11"/>
  <c r="B1755" i="11"/>
  <c r="A1755" i="11"/>
  <c r="B1754" i="11"/>
  <c r="A1754" i="11"/>
  <c r="B1753" i="11"/>
  <c r="A1753" i="11"/>
  <c r="B1752" i="11"/>
  <c r="A1752" i="11"/>
  <c r="B1751" i="11"/>
  <c r="A1751" i="11"/>
  <c r="B1750" i="11"/>
  <c r="A1750" i="11"/>
  <c r="B1749" i="11"/>
  <c r="A1749" i="11"/>
  <c r="B1748" i="11"/>
  <c r="A1748" i="11"/>
  <c r="B1747" i="11"/>
  <c r="A1747" i="11"/>
  <c r="B1746" i="11"/>
  <c r="A1746" i="11"/>
  <c r="B1745" i="11"/>
  <c r="A1745" i="11"/>
  <c r="B1744" i="11"/>
  <c r="A1744" i="11"/>
  <c r="B1743" i="11"/>
  <c r="A1743" i="11"/>
  <c r="B1742" i="11"/>
  <c r="A1742" i="11"/>
  <c r="B1741" i="11"/>
  <c r="A1741" i="11"/>
  <c r="B1740" i="11"/>
  <c r="A1740" i="11"/>
  <c r="B1739" i="11"/>
  <c r="A1739" i="11"/>
  <c r="B1738" i="11"/>
  <c r="A1738" i="11"/>
  <c r="B1737" i="11"/>
  <c r="A1737" i="11"/>
  <c r="B1736" i="11"/>
  <c r="A1736" i="11"/>
  <c r="B1735" i="11"/>
  <c r="A1735" i="11"/>
  <c r="B1734" i="11"/>
  <c r="A1734" i="11"/>
  <c r="B1733" i="11"/>
  <c r="A1733" i="11"/>
  <c r="B1732" i="11"/>
  <c r="A1732" i="11"/>
  <c r="B1731" i="11"/>
  <c r="A1731" i="11"/>
  <c r="B1730" i="11"/>
  <c r="A1730" i="11"/>
  <c r="B1729" i="11"/>
  <c r="A1729" i="11"/>
  <c r="B1728" i="11"/>
  <c r="A1728" i="11"/>
  <c r="B1727" i="11"/>
  <c r="A1727" i="11"/>
  <c r="B1726" i="11"/>
  <c r="A1726" i="11"/>
  <c r="B1725" i="11"/>
  <c r="A1725" i="11"/>
  <c r="B1724" i="11"/>
  <c r="A1724" i="11"/>
  <c r="B1723" i="11"/>
  <c r="A1723" i="11"/>
  <c r="B1722" i="11"/>
  <c r="A1722" i="11"/>
  <c r="B1721" i="11"/>
  <c r="A1721" i="11"/>
  <c r="B1720" i="11"/>
  <c r="A1720" i="11"/>
  <c r="B1719" i="11"/>
  <c r="A1719" i="11"/>
  <c r="B1718" i="11"/>
  <c r="A1718" i="11"/>
  <c r="B1717" i="11"/>
  <c r="A1717" i="11"/>
  <c r="B1716" i="11"/>
  <c r="A1716" i="11"/>
  <c r="B1715" i="11"/>
  <c r="A1715" i="11"/>
  <c r="B1714" i="11"/>
  <c r="A1714" i="11"/>
  <c r="B1713" i="11"/>
  <c r="A1713" i="11"/>
  <c r="B1712" i="11"/>
  <c r="A1712" i="11"/>
  <c r="B1711" i="11"/>
  <c r="A1711" i="11"/>
  <c r="B1710" i="11"/>
  <c r="A1710" i="11"/>
  <c r="B1709" i="11"/>
  <c r="A1709" i="11"/>
  <c r="B1708" i="11"/>
  <c r="A1708" i="11"/>
  <c r="B1707" i="11"/>
  <c r="A1707" i="11"/>
  <c r="B1706" i="11"/>
  <c r="A1706" i="11"/>
  <c r="B1705" i="11"/>
  <c r="A1705" i="11"/>
  <c r="B1704" i="11"/>
  <c r="A1704" i="11"/>
  <c r="B1703" i="11"/>
  <c r="A1703" i="11"/>
  <c r="B1702" i="11"/>
  <c r="A1702" i="11"/>
  <c r="B1701" i="11"/>
  <c r="A1701" i="11"/>
  <c r="B1700" i="11"/>
  <c r="A1700" i="11"/>
  <c r="B1699" i="11"/>
  <c r="A1699" i="11"/>
  <c r="B1698" i="11"/>
  <c r="A1698" i="11"/>
  <c r="B1697" i="11"/>
  <c r="A1697" i="11"/>
  <c r="B1696" i="11"/>
  <c r="A1696" i="11"/>
  <c r="B1695" i="11"/>
  <c r="A1695" i="11"/>
  <c r="B1694" i="11"/>
  <c r="A1694" i="11"/>
  <c r="B1693" i="11"/>
  <c r="A1693" i="11"/>
  <c r="B1692" i="11"/>
  <c r="A1692" i="11"/>
  <c r="B1691" i="11"/>
  <c r="A1691" i="11"/>
  <c r="B1690" i="11"/>
  <c r="A1690" i="11"/>
  <c r="B1689" i="11"/>
  <c r="A1689" i="11"/>
  <c r="B1688" i="11"/>
  <c r="A1688" i="11"/>
  <c r="B1687" i="11"/>
  <c r="A1687" i="11"/>
  <c r="B1686" i="11"/>
  <c r="A1686" i="11"/>
  <c r="B1685" i="11"/>
  <c r="A1685" i="11"/>
  <c r="B1684" i="11"/>
  <c r="A1684" i="11"/>
  <c r="B1683" i="11"/>
  <c r="A1683" i="11"/>
  <c r="B1682" i="11"/>
  <c r="A1682" i="11"/>
  <c r="B1681" i="11"/>
  <c r="A1681" i="11"/>
  <c r="B1680" i="11"/>
  <c r="A1680" i="11"/>
  <c r="B1679" i="11"/>
  <c r="A1679" i="11"/>
  <c r="B1678" i="11"/>
  <c r="A1678" i="11"/>
  <c r="B1677" i="11"/>
  <c r="A1677" i="11"/>
  <c r="B1676" i="11"/>
  <c r="A1676" i="11"/>
  <c r="B1675" i="11"/>
  <c r="A1675" i="11"/>
  <c r="B1674" i="11"/>
  <c r="A1674" i="11"/>
  <c r="B1673" i="11"/>
  <c r="A1673" i="11"/>
  <c r="B1672" i="11"/>
  <c r="A1672" i="11"/>
  <c r="B1671" i="11"/>
  <c r="A1671" i="11"/>
  <c r="B1670" i="11"/>
  <c r="A1670" i="11"/>
  <c r="B1669" i="11"/>
  <c r="A1669" i="11"/>
  <c r="B1668" i="11"/>
  <c r="A1668" i="11"/>
  <c r="B1667" i="11"/>
  <c r="A1667" i="11"/>
  <c r="B1666" i="11"/>
  <c r="A1666" i="11"/>
  <c r="B1665" i="11"/>
  <c r="A1665" i="11"/>
  <c r="B1664" i="11"/>
  <c r="A1664" i="11"/>
  <c r="B1663" i="11"/>
  <c r="A1663" i="11"/>
  <c r="B1662" i="11"/>
  <c r="A1662" i="11"/>
  <c r="B1661" i="11"/>
  <c r="A1661" i="11"/>
  <c r="B1660" i="11"/>
  <c r="A1660" i="11"/>
  <c r="B1659" i="11"/>
  <c r="A1659" i="11"/>
  <c r="B1658" i="11"/>
  <c r="A1658" i="11"/>
  <c r="B1657" i="11"/>
  <c r="A1657" i="11"/>
  <c r="B1656" i="11"/>
  <c r="A1656" i="11"/>
  <c r="B1655" i="11"/>
  <c r="A1655" i="11"/>
  <c r="B1654" i="11"/>
  <c r="A1654" i="11"/>
  <c r="B1653" i="11"/>
  <c r="A1653" i="11"/>
  <c r="B1652" i="11"/>
  <c r="A1652" i="11"/>
  <c r="B1651" i="11"/>
  <c r="A1651" i="11"/>
  <c r="B1650" i="11"/>
  <c r="A1650" i="11"/>
  <c r="B1649" i="11"/>
  <c r="A1649" i="11"/>
  <c r="B1648" i="11"/>
  <c r="A1648" i="11"/>
  <c r="B1647" i="11"/>
  <c r="A1647" i="11"/>
  <c r="B1646" i="11"/>
  <c r="A1646" i="11"/>
  <c r="B1645" i="11"/>
  <c r="A1645" i="11"/>
  <c r="B1644" i="11"/>
  <c r="A1644" i="11"/>
  <c r="B1643" i="11"/>
  <c r="A1643" i="11"/>
  <c r="B1642" i="11"/>
  <c r="A1642" i="11"/>
  <c r="B1641" i="11"/>
  <c r="A1641" i="11"/>
  <c r="B1640" i="11"/>
  <c r="A1640" i="11"/>
  <c r="B1639" i="11"/>
  <c r="A1639" i="11"/>
  <c r="B1638" i="11"/>
  <c r="A1638" i="11"/>
  <c r="B1637" i="11"/>
  <c r="A1637" i="11"/>
  <c r="B1636" i="11"/>
  <c r="A1636" i="11"/>
  <c r="B1635" i="11"/>
  <c r="A1635" i="11"/>
  <c r="B1634" i="11"/>
  <c r="A1634" i="11"/>
  <c r="B1633" i="11"/>
  <c r="A1633" i="11"/>
  <c r="B1632" i="11"/>
  <c r="A1632" i="11"/>
  <c r="B1631" i="11"/>
  <c r="A1631" i="11"/>
  <c r="B1630" i="11"/>
  <c r="A1630" i="11"/>
  <c r="B1629" i="11"/>
  <c r="A1629" i="11"/>
  <c r="B1628" i="11"/>
  <c r="A1628" i="11"/>
  <c r="B1627" i="11"/>
  <c r="A1627" i="11"/>
  <c r="B1626" i="11"/>
  <c r="A1626" i="11"/>
  <c r="B1625" i="11"/>
  <c r="A1625" i="11"/>
  <c r="B1624" i="11"/>
  <c r="A1624" i="11"/>
  <c r="B1623" i="11"/>
  <c r="A1623" i="11"/>
  <c r="B1622" i="11"/>
  <c r="A1622" i="11"/>
  <c r="B1621" i="11"/>
  <c r="A1621" i="11"/>
  <c r="B1620" i="11"/>
  <c r="A1620" i="11"/>
  <c r="B1619" i="11"/>
  <c r="A1619" i="11"/>
  <c r="B1618" i="11"/>
  <c r="A1618" i="11"/>
  <c r="B1617" i="11"/>
  <c r="A1617" i="11"/>
  <c r="B1616" i="11"/>
  <c r="A1616" i="11"/>
  <c r="B1615" i="11"/>
  <c r="A1615" i="11"/>
  <c r="B1614" i="11"/>
  <c r="A1614" i="11"/>
  <c r="B1613" i="11"/>
  <c r="A1613" i="11"/>
  <c r="B1612" i="11"/>
  <c r="A1612" i="11"/>
  <c r="B1611" i="11"/>
  <c r="A1611" i="11"/>
  <c r="B1610" i="11"/>
  <c r="A1610" i="11"/>
  <c r="B1609" i="11"/>
  <c r="A1609" i="11"/>
  <c r="B1608" i="11"/>
  <c r="A1608" i="11"/>
  <c r="B1607" i="11"/>
  <c r="A1607" i="11"/>
  <c r="B1606" i="11"/>
  <c r="A1606" i="11"/>
  <c r="B1605" i="11"/>
  <c r="A1605" i="11"/>
  <c r="B1604" i="11"/>
  <c r="A1604" i="11"/>
  <c r="B1603" i="11"/>
  <c r="A1603" i="11"/>
  <c r="B1602" i="11"/>
  <c r="A1602" i="11"/>
  <c r="B1601" i="11"/>
  <c r="A1601" i="11"/>
  <c r="B1600" i="11"/>
  <c r="A1600" i="11"/>
  <c r="B1599" i="11"/>
  <c r="A1599" i="11"/>
  <c r="B1598" i="11"/>
  <c r="A1598" i="11"/>
  <c r="B1597" i="11"/>
  <c r="A1597" i="11"/>
  <c r="B1596" i="11"/>
  <c r="A1596" i="11"/>
  <c r="B1595" i="11"/>
  <c r="A1595" i="11"/>
  <c r="B1594" i="11"/>
  <c r="A1594" i="11"/>
  <c r="B1593" i="11"/>
  <c r="A1593" i="11"/>
  <c r="B1592" i="11"/>
  <c r="A1592" i="11"/>
  <c r="B1591" i="11"/>
  <c r="A1591" i="11"/>
  <c r="B1590" i="11"/>
  <c r="A1590" i="11"/>
  <c r="B1589" i="11"/>
  <c r="A1589" i="11"/>
  <c r="B1588" i="11"/>
  <c r="A1588" i="11"/>
  <c r="B1587" i="11"/>
  <c r="A1587" i="11"/>
  <c r="B1586" i="11"/>
  <c r="A1586" i="11"/>
  <c r="B1585" i="11"/>
  <c r="A1585" i="11"/>
  <c r="B1584" i="11"/>
  <c r="A1584" i="11"/>
  <c r="B1583" i="11"/>
  <c r="A1583" i="11"/>
  <c r="B1582" i="11"/>
  <c r="A1582" i="11"/>
  <c r="B1581" i="11"/>
  <c r="A1581" i="11"/>
  <c r="B1580" i="11"/>
  <c r="A1580" i="11"/>
  <c r="B1579" i="11"/>
  <c r="A1579" i="11"/>
  <c r="B1578" i="11"/>
  <c r="A1578" i="11"/>
  <c r="B1577" i="11"/>
  <c r="A1577" i="11"/>
  <c r="B1576" i="11"/>
  <c r="A1576" i="11"/>
  <c r="B1575" i="11"/>
  <c r="A1575" i="11"/>
  <c r="B1574" i="11"/>
  <c r="A1574" i="11"/>
  <c r="B1573" i="11"/>
  <c r="A1573" i="11"/>
  <c r="B1572" i="11"/>
  <c r="A1572" i="11"/>
  <c r="B1571" i="11"/>
  <c r="A1571" i="11"/>
  <c r="B1570" i="11"/>
  <c r="A1570" i="11"/>
  <c r="B1569" i="11"/>
  <c r="A1569" i="11"/>
  <c r="B1568" i="11"/>
  <c r="A1568" i="11"/>
  <c r="B1567" i="11"/>
  <c r="A1567" i="11"/>
  <c r="B1566" i="11"/>
  <c r="A1566" i="11"/>
  <c r="B1565" i="11"/>
  <c r="A1565" i="11"/>
  <c r="B1564" i="11"/>
  <c r="A1564" i="11"/>
  <c r="B1563" i="11"/>
  <c r="A1563" i="11"/>
  <c r="B1562" i="11"/>
  <c r="A1562" i="11"/>
  <c r="B1561" i="11"/>
  <c r="A1561" i="11"/>
  <c r="B1560" i="11"/>
  <c r="A1560" i="11"/>
  <c r="B1559" i="11"/>
  <c r="A1559" i="11"/>
  <c r="B1558" i="11"/>
  <c r="A1558" i="11"/>
  <c r="B1557" i="11"/>
  <c r="A1557" i="11"/>
  <c r="B1556" i="11"/>
  <c r="A1556" i="11"/>
  <c r="B1555" i="11"/>
  <c r="A1555" i="11"/>
  <c r="B1554" i="11"/>
  <c r="A1554" i="11"/>
  <c r="B1553" i="11"/>
  <c r="A1553" i="11"/>
  <c r="B1552" i="11"/>
  <c r="A1552" i="11"/>
  <c r="B1551" i="11"/>
  <c r="A1551" i="11"/>
  <c r="B1550" i="11"/>
  <c r="A1550" i="11"/>
  <c r="B1549" i="11"/>
  <c r="A1549" i="11"/>
  <c r="B1548" i="11"/>
  <c r="A1548" i="11"/>
  <c r="B1547" i="11"/>
  <c r="A1547" i="11"/>
  <c r="B1546" i="11"/>
  <c r="A1546" i="11"/>
  <c r="B1545" i="11"/>
  <c r="A1545" i="11"/>
  <c r="B1544" i="11"/>
  <c r="A1544" i="11"/>
  <c r="B1543" i="11"/>
  <c r="A1543" i="11"/>
  <c r="B1542" i="11"/>
  <c r="A1542" i="11"/>
  <c r="B1541" i="11"/>
  <c r="A1541" i="11"/>
  <c r="B1540" i="11"/>
  <c r="A1540" i="11"/>
  <c r="B1539" i="11"/>
  <c r="A1539" i="11"/>
  <c r="B1538" i="11"/>
  <c r="A1538" i="11"/>
  <c r="B1537" i="11"/>
  <c r="A1537" i="11"/>
  <c r="B1536" i="11"/>
  <c r="A1536" i="11"/>
  <c r="B1535" i="11"/>
  <c r="A1535" i="11"/>
  <c r="B1534" i="11"/>
  <c r="A1534" i="11"/>
  <c r="B1533" i="11"/>
  <c r="A1533" i="11"/>
  <c r="B1532" i="11"/>
  <c r="A1532" i="11"/>
  <c r="B1531" i="11"/>
  <c r="A1531" i="11"/>
  <c r="B1530" i="11"/>
  <c r="A1530" i="11"/>
  <c r="B1529" i="11"/>
  <c r="A1529" i="11"/>
  <c r="B1528" i="11"/>
  <c r="A1528" i="11"/>
  <c r="B1527" i="11"/>
  <c r="A1527" i="11"/>
  <c r="B1526" i="11"/>
  <c r="A1526" i="11"/>
  <c r="B1525" i="11"/>
  <c r="A1525" i="11"/>
  <c r="B1524" i="11"/>
  <c r="A1524" i="11"/>
  <c r="B1523" i="11"/>
  <c r="A1523" i="11"/>
  <c r="B1522" i="11"/>
  <c r="A1522" i="11"/>
  <c r="B1521" i="11"/>
  <c r="A1521" i="11"/>
  <c r="B1520" i="11"/>
  <c r="A1520" i="11"/>
  <c r="B1519" i="11"/>
  <c r="A1519" i="11"/>
  <c r="B1518" i="11"/>
  <c r="A1518" i="11"/>
  <c r="B1517" i="11"/>
  <c r="A1517" i="11"/>
  <c r="B1516" i="11"/>
  <c r="A1516" i="11"/>
  <c r="B1515" i="11"/>
  <c r="A1515" i="11"/>
  <c r="B1514" i="11"/>
  <c r="A1514" i="11"/>
  <c r="B1513" i="11"/>
  <c r="A1513" i="11"/>
  <c r="B1512" i="11"/>
  <c r="A1512" i="11"/>
  <c r="B1511" i="11"/>
  <c r="A1511" i="11"/>
  <c r="B1510" i="11"/>
  <c r="A1510" i="11"/>
  <c r="B1509" i="11"/>
  <c r="A1509" i="11"/>
  <c r="B1508" i="11"/>
  <c r="A1508" i="11"/>
  <c r="B1507" i="11"/>
  <c r="A1507" i="11"/>
  <c r="B1506" i="11"/>
  <c r="A1506" i="11"/>
  <c r="B1505" i="11"/>
  <c r="A1505" i="11"/>
  <c r="B1504" i="11"/>
  <c r="A1504" i="11"/>
  <c r="B1503" i="11"/>
  <c r="A1503" i="11"/>
  <c r="B1502" i="11"/>
  <c r="A1502" i="11"/>
  <c r="B1501" i="11"/>
  <c r="A1501" i="11"/>
  <c r="B1500" i="11"/>
  <c r="A1500" i="11"/>
  <c r="B1499" i="11"/>
  <c r="A1499" i="11"/>
  <c r="B1498" i="11"/>
  <c r="A1498" i="11"/>
  <c r="B1497" i="11"/>
  <c r="A1497" i="11"/>
  <c r="B1496" i="11"/>
  <c r="A1496" i="11"/>
  <c r="B1495" i="11"/>
  <c r="A1495" i="11"/>
  <c r="B1494" i="11"/>
  <c r="A1494" i="11"/>
  <c r="B1493" i="11"/>
  <c r="A1493" i="11"/>
  <c r="B1492" i="11"/>
  <c r="A1492" i="11"/>
  <c r="B1491" i="11"/>
  <c r="A1491" i="11"/>
  <c r="B1490" i="11"/>
  <c r="A1490" i="11"/>
  <c r="B1489" i="11"/>
  <c r="A1489" i="11"/>
  <c r="B1488" i="11"/>
  <c r="A1488" i="11"/>
  <c r="B1487" i="11"/>
  <c r="A1487" i="11"/>
  <c r="B1486" i="11"/>
  <c r="A1486" i="11"/>
  <c r="B1485" i="11"/>
  <c r="A1485" i="11"/>
  <c r="B1484" i="11"/>
  <c r="A1484" i="11"/>
  <c r="B1483" i="11"/>
  <c r="A1483" i="11"/>
  <c r="B1482" i="11"/>
  <c r="A1482" i="11"/>
  <c r="B1481" i="11"/>
  <c r="A1481" i="11"/>
  <c r="B1480" i="11"/>
  <c r="A1480" i="11"/>
  <c r="B1479" i="11"/>
  <c r="A1479" i="11"/>
  <c r="B1478" i="11"/>
  <c r="A1478" i="11"/>
  <c r="B1477" i="11"/>
  <c r="A1477" i="11"/>
  <c r="B1476" i="11"/>
  <c r="A1476" i="11"/>
  <c r="B1475" i="11"/>
  <c r="A1475" i="11"/>
  <c r="B1474" i="11"/>
  <c r="A1474" i="11"/>
  <c r="B1473" i="11"/>
  <c r="A1473" i="11"/>
  <c r="B1472" i="11"/>
  <c r="A1472" i="11"/>
  <c r="B1471" i="11"/>
  <c r="A1471" i="11"/>
  <c r="B1470" i="11"/>
  <c r="A1470" i="11"/>
  <c r="B1469" i="11"/>
  <c r="A1469" i="11"/>
  <c r="B1468" i="11"/>
  <c r="A1468" i="11"/>
  <c r="B1467" i="11"/>
  <c r="A1467" i="11"/>
  <c r="B1466" i="11"/>
  <c r="A1466" i="11"/>
  <c r="B1465" i="11"/>
  <c r="A1465" i="11"/>
  <c r="B1464" i="11"/>
  <c r="A1464" i="11"/>
  <c r="B1463" i="11"/>
  <c r="A1463" i="11"/>
  <c r="B1462" i="11"/>
  <c r="A1462" i="11"/>
  <c r="B1461" i="11"/>
  <c r="A1461" i="11"/>
  <c r="B1460" i="11"/>
  <c r="A1460" i="11"/>
  <c r="B1459" i="11"/>
  <c r="A1459" i="11"/>
  <c r="B1458" i="11"/>
  <c r="A1458" i="11"/>
  <c r="B1457" i="11"/>
  <c r="A1457" i="11"/>
  <c r="B1456" i="11"/>
  <c r="A1456" i="11"/>
  <c r="B1455" i="11"/>
  <c r="A1455" i="11"/>
  <c r="B1454" i="11"/>
  <c r="A1454" i="11"/>
  <c r="B1453" i="11"/>
  <c r="A1453" i="11"/>
  <c r="B1452" i="11"/>
  <c r="A1452" i="11"/>
  <c r="B1451" i="11"/>
  <c r="A1451" i="11"/>
  <c r="B1450" i="11"/>
  <c r="A1450" i="11"/>
  <c r="B1449" i="11"/>
  <c r="A1449" i="11"/>
  <c r="B1448" i="11"/>
  <c r="A1448" i="11"/>
  <c r="B1447" i="11"/>
  <c r="A1447" i="11"/>
  <c r="B1446" i="11"/>
  <c r="A1446" i="11"/>
  <c r="B1445" i="11"/>
  <c r="A1445" i="11"/>
  <c r="B1444" i="11"/>
  <c r="A1444" i="11"/>
  <c r="B1443" i="11"/>
  <c r="A1443" i="11"/>
  <c r="B1442" i="11"/>
  <c r="A1442" i="11"/>
  <c r="B1441" i="11"/>
  <c r="A1441" i="11"/>
  <c r="B1440" i="11"/>
  <c r="A1440" i="11"/>
  <c r="B1439" i="11"/>
  <c r="A1439" i="11"/>
  <c r="B1438" i="11"/>
  <c r="A1438" i="11"/>
  <c r="B1437" i="11"/>
  <c r="A1437" i="11"/>
  <c r="B1436" i="11"/>
  <c r="A1436" i="11"/>
  <c r="B1435" i="11"/>
  <c r="A1435" i="11"/>
  <c r="B1434" i="11"/>
  <c r="A1434" i="11"/>
  <c r="B1433" i="11"/>
  <c r="A1433" i="11"/>
  <c r="B1432" i="11"/>
  <c r="A1432" i="11"/>
  <c r="B1431" i="11"/>
  <c r="A1431" i="11"/>
  <c r="B1430" i="11"/>
  <c r="A1430" i="11"/>
  <c r="B1429" i="11"/>
  <c r="A1429" i="11"/>
  <c r="B1428" i="11"/>
  <c r="A1428" i="11"/>
  <c r="B1427" i="11"/>
  <c r="A1427" i="11"/>
  <c r="B1426" i="11"/>
  <c r="A1426" i="11"/>
  <c r="B1425" i="11"/>
  <c r="A1425" i="11"/>
  <c r="B1424" i="11"/>
  <c r="A1424" i="11"/>
  <c r="B1423" i="11"/>
  <c r="A1423" i="11"/>
  <c r="B1422" i="11"/>
  <c r="A1422" i="11"/>
  <c r="B1421" i="11"/>
  <c r="A1421" i="11"/>
  <c r="B1420" i="11"/>
  <c r="A1420" i="11"/>
  <c r="B1419" i="11"/>
  <c r="A1419" i="11"/>
  <c r="B1418" i="11"/>
  <c r="A1418" i="11"/>
  <c r="B1417" i="11"/>
  <c r="A1417" i="11"/>
  <c r="B1416" i="11"/>
  <c r="A1416" i="11"/>
  <c r="B1415" i="11"/>
  <c r="A1415" i="11"/>
  <c r="B1414" i="11"/>
  <c r="A1414" i="11"/>
  <c r="B1413" i="11"/>
  <c r="A1413" i="11"/>
  <c r="B1412" i="11"/>
  <c r="A1412" i="11"/>
  <c r="B1411" i="11"/>
  <c r="A1411" i="11"/>
  <c r="B1410" i="11"/>
  <c r="A1410" i="11"/>
  <c r="B1409" i="11"/>
  <c r="A1409" i="11"/>
  <c r="B1408" i="11"/>
  <c r="A1408" i="11"/>
  <c r="B1407" i="11"/>
  <c r="A1407" i="11"/>
  <c r="B1406" i="11"/>
  <c r="A1406" i="11"/>
  <c r="B1405" i="11"/>
  <c r="A1405" i="11"/>
  <c r="B1404" i="11"/>
  <c r="A1404" i="11"/>
  <c r="B1403" i="11"/>
  <c r="A1403" i="11"/>
  <c r="B1402" i="11"/>
  <c r="A1402" i="11"/>
  <c r="B1401" i="11"/>
  <c r="A1401" i="11"/>
  <c r="B1400" i="11"/>
  <c r="A1400" i="11"/>
  <c r="B1399" i="11"/>
  <c r="A1399" i="11"/>
  <c r="B1398" i="11"/>
  <c r="A1398" i="11"/>
  <c r="B1397" i="11"/>
  <c r="A1397" i="11"/>
  <c r="B1396" i="11"/>
  <c r="A1396" i="11"/>
  <c r="B1395" i="11"/>
  <c r="A1395" i="11"/>
  <c r="B1394" i="11"/>
  <c r="A1394" i="11"/>
  <c r="B1393" i="11"/>
  <c r="A1393" i="11"/>
  <c r="B1392" i="11"/>
  <c r="A1392" i="11"/>
  <c r="B1391" i="11"/>
  <c r="A1391" i="11"/>
  <c r="B1390" i="11"/>
  <c r="A1390" i="11"/>
  <c r="B1389" i="11"/>
  <c r="A1389" i="11"/>
  <c r="B1388" i="11"/>
  <c r="A1388" i="11"/>
  <c r="B1387" i="11"/>
  <c r="A1387" i="11"/>
  <c r="B1386" i="11"/>
  <c r="A1386" i="11"/>
  <c r="B1385" i="11"/>
  <c r="A1385" i="11"/>
  <c r="B1384" i="11"/>
  <c r="A1384" i="11"/>
  <c r="B1383" i="11"/>
  <c r="A1383" i="11"/>
  <c r="B1382" i="11"/>
  <c r="A1382" i="11"/>
  <c r="B1381" i="11"/>
  <c r="A1381" i="11"/>
  <c r="B1380" i="11"/>
  <c r="A1380" i="11"/>
  <c r="B1379" i="11"/>
  <c r="A1379" i="11"/>
  <c r="B1378" i="11"/>
  <c r="A1378" i="11"/>
  <c r="B1377" i="11"/>
  <c r="A1377" i="11"/>
  <c r="B1376" i="11"/>
  <c r="A1376" i="11"/>
  <c r="B1375" i="11"/>
  <c r="A1375" i="11"/>
  <c r="B1374" i="11"/>
  <c r="A1374" i="11"/>
  <c r="B1373" i="11"/>
  <c r="A1373" i="11"/>
  <c r="B1372" i="11"/>
  <c r="A1372" i="11"/>
  <c r="B1371" i="11"/>
  <c r="A1371" i="11"/>
  <c r="B1370" i="11"/>
  <c r="A1370" i="11"/>
  <c r="B1369" i="11"/>
  <c r="A1369" i="11"/>
  <c r="B1368" i="11"/>
  <c r="A1368" i="11"/>
  <c r="B1367" i="11"/>
  <c r="A1367" i="11"/>
  <c r="B1366" i="11"/>
  <c r="A1366" i="11"/>
  <c r="B1365" i="11"/>
  <c r="A1365" i="11"/>
  <c r="B1364" i="11"/>
  <c r="A1364" i="11"/>
  <c r="B1363" i="11"/>
  <c r="A1363" i="11"/>
  <c r="B1362" i="11"/>
  <c r="A1362" i="11"/>
  <c r="B1361" i="11"/>
  <c r="A1361" i="11"/>
  <c r="B1360" i="11"/>
  <c r="A1360" i="11"/>
  <c r="B1359" i="11"/>
  <c r="A1359" i="11"/>
  <c r="B1358" i="11"/>
  <c r="A1358" i="11"/>
  <c r="B1357" i="11"/>
  <c r="A1357" i="11"/>
  <c r="B1356" i="11"/>
  <c r="A1356" i="11"/>
  <c r="B1355" i="11"/>
  <c r="A1355" i="11"/>
  <c r="B1354" i="11"/>
  <c r="A1354" i="11"/>
  <c r="B1353" i="11"/>
  <c r="A1353" i="11"/>
  <c r="B1352" i="11"/>
  <c r="A1352" i="11"/>
  <c r="B1351" i="11"/>
  <c r="A1351" i="11"/>
  <c r="B1350" i="11"/>
  <c r="A1350" i="11"/>
  <c r="B1349" i="11"/>
  <c r="A1349" i="11"/>
  <c r="B1348" i="11"/>
  <c r="A1348" i="11"/>
  <c r="B1347" i="11"/>
  <c r="A1347" i="11"/>
  <c r="B1346" i="11"/>
  <c r="A1346" i="11"/>
  <c r="B1345" i="11"/>
  <c r="A1345" i="11"/>
  <c r="B1344" i="11"/>
  <c r="A1344" i="11"/>
  <c r="B1343" i="11"/>
  <c r="A1343" i="11"/>
  <c r="B1342" i="11"/>
  <c r="A1342" i="11"/>
  <c r="B1341" i="11"/>
  <c r="A1341" i="11"/>
  <c r="B1340" i="11"/>
  <c r="A1340" i="11"/>
  <c r="B1339" i="11"/>
  <c r="A1339" i="11"/>
  <c r="B1338" i="11"/>
  <c r="A1338" i="11"/>
  <c r="B1337" i="11"/>
  <c r="A1337" i="11"/>
  <c r="B1336" i="11"/>
  <c r="A1336" i="11"/>
  <c r="B1335" i="11"/>
  <c r="A1335" i="11"/>
  <c r="B1334" i="11"/>
  <c r="A1334" i="11"/>
  <c r="B1333" i="11"/>
  <c r="A1333" i="11"/>
  <c r="B1332" i="11"/>
  <c r="A1332" i="11"/>
  <c r="B1331" i="11"/>
  <c r="A1331" i="11"/>
  <c r="B1330" i="11"/>
  <c r="A1330" i="11"/>
  <c r="B1329" i="11"/>
  <c r="A1329" i="11"/>
  <c r="B1328" i="11"/>
  <c r="A1328" i="11"/>
  <c r="B1327" i="11"/>
  <c r="A1327" i="11"/>
  <c r="B1326" i="11"/>
  <c r="A1326" i="11"/>
  <c r="B1325" i="11"/>
  <c r="A1325" i="11"/>
  <c r="B1324" i="11"/>
  <c r="A1324" i="11"/>
  <c r="B1323" i="11"/>
  <c r="A1323" i="11"/>
  <c r="B1322" i="11"/>
  <c r="A1322" i="11"/>
  <c r="B1321" i="11"/>
  <c r="A1321" i="11"/>
  <c r="B1320" i="11"/>
  <c r="A1320" i="11"/>
  <c r="B1319" i="11"/>
  <c r="A1319" i="11"/>
  <c r="B1318" i="11"/>
  <c r="A1318" i="11"/>
  <c r="B1317" i="11"/>
  <c r="A1317" i="11"/>
  <c r="B1316" i="11"/>
  <c r="A1316" i="11"/>
  <c r="B1315" i="11"/>
  <c r="A1315" i="11"/>
  <c r="B1314" i="11"/>
  <c r="A1314" i="11"/>
  <c r="B1313" i="11"/>
  <c r="A1313" i="11"/>
  <c r="B1312" i="11"/>
  <c r="A1312" i="11"/>
  <c r="B1311" i="11"/>
  <c r="A1311" i="11"/>
  <c r="B1310" i="11"/>
  <c r="A1310" i="11"/>
  <c r="B1309" i="11"/>
  <c r="A1309" i="11"/>
  <c r="B1308" i="11"/>
  <c r="A1308" i="11"/>
  <c r="B1307" i="11"/>
  <c r="A1307" i="11"/>
  <c r="B1306" i="11"/>
  <c r="A1306" i="11"/>
  <c r="B1305" i="11"/>
  <c r="A1305" i="11"/>
  <c r="B1304" i="11"/>
  <c r="A1304" i="11"/>
  <c r="B1303" i="11"/>
  <c r="A1303" i="11"/>
  <c r="B1302" i="11"/>
  <c r="A1302" i="11"/>
  <c r="B1301" i="11"/>
  <c r="A1301" i="11"/>
  <c r="B1300" i="11"/>
  <c r="A1300" i="11"/>
  <c r="B1299" i="11"/>
  <c r="A1299" i="11"/>
  <c r="B1298" i="11"/>
  <c r="A1298" i="11"/>
  <c r="B1297" i="11"/>
  <c r="A1297" i="11"/>
  <c r="B1296" i="11"/>
  <c r="A1296" i="11"/>
  <c r="B1295" i="11"/>
  <c r="A1295" i="11"/>
  <c r="B1294" i="11"/>
  <c r="A1294" i="11"/>
  <c r="B1293" i="11"/>
  <c r="A1293" i="11"/>
  <c r="B1292" i="11"/>
  <c r="A1292" i="11"/>
  <c r="B1291" i="11"/>
  <c r="A1291" i="11"/>
  <c r="B1290" i="11"/>
  <c r="A1290" i="11"/>
  <c r="B1289" i="11"/>
  <c r="A1289" i="11"/>
  <c r="B1288" i="11"/>
  <c r="A1288" i="11"/>
  <c r="B1287" i="11"/>
  <c r="A1287" i="11"/>
  <c r="B1286" i="11"/>
  <c r="A1286" i="11"/>
  <c r="B1285" i="11"/>
  <c r="A1285" i="11"/>
  <c r="B1284" i="11"/>
  <c r="A1284" i="11"/>
  <c r="B1283" i="11"/>
  <c r="A1283" i="11"/>
  <c r="B1282" i="11"/>
  <c r="A1282" i="11"/>
  <c r="B1281" i="11"/>
  <c r="A1281" i="11"/>
  <c r="B1280" i="11"/>
  <c r="A1280" i="11"/>
  <c r="B1279" i="11"/>
  <c r="A1279" i="11"/>
  <c r="B1278" i="11"/>
  <c r="A1278" i="11"/>
  <c r="B1277" i="11"/>
  <c r="A1277" i="11"/>
  <c r="B1276" i="11"/>
  <c r="A1276" i="11"/>
  <c r="B1275" i="11"/>
  <c r="A1275" i="11"/>
  <c r="B1274" i="11"/>
  <c r="A1274" i="11"/>
  <c r="B1273" i="11"/>
  <c r="A1273" i="11"/>
  <c r="B1272" i="11"/>
  <c r="A1272" i="11"/>
  <c r="B1271" i="11"/>
  <c r="A1271" i="11"/>
  <c r="B1270" i="11"/>
  <c r="A1270" i="11"/>
  <c r="B1269" i="11"/>
  <c r="A1269" i="11"/>
  <c r="B1268" i="11"/>
  <c r="A1268" i="11"/>
  <c r="B1267" i="11"/>
  <c r="A1267" i="11"/>
  <c r="B1266" i="11"/>
  <c r="A1266" i="11"/>
  <c r="B1265" i="11"/>
  <c r="A1265" i="11"/>
  <c r="B1264" i="11"/>
  <c r="A1264" i="11"/>
  <c r="B1263" i="11"/>
  <c r="A1263" i="11"/>
  <c r="B1262" i="11"/>
  <c r="A1262" i="11"/>
  <c r="B1261" i="11"/>
  <c r="A1261" i="11"/>
  <c r="B1260" i="11"/>
  <c r="A1260" i="11"/>
  <c r="B1259" i="11"/>
  <c r="A1259" i="11"/>
  <c r="B1258" i="11"/>
  <c r="A1258" i="11"/>
  <c r="B1257" i="11"/>
  <c r="A1257" i="11"/>
  <c r="B1256" i="11"/>
  <c r="A1256" i="11"/>
  <c r="B1255" i="11"/>
  <c r="A1255" i="11"/>
  <c r="B1254" i="11"/>
  <c r="A1254" i="11"/>
  <c r="B1253" i="11"/>
  <c r="A1253" i="11"/>
  <c r="B1252" i="11"/>
  <c r="A1252" i="11"/>
  <c r="B1251" i="11"/>
  <c r="A1251" i="11"/>
  <c r="B1250" i="11"/>
  <c r="A1250" i="11"/>
  <c r="B1249" i="11"/>
  <c r="A1249" i="11"/>
  <c r="B1248" i="11"/>
  <c r="A1248" i="11"/>
  <c r="B1247" i="11"/>
  <c r="A1247" i="11"/>
  <c r="B1246" i="11"/>
  <c r="A1246" i="11"/>
  <c r="B1245" i="11"/>
  <c r="A1245" i="11"/>
  <c r="B1244" i="11"/>
  <c r="A1244" i="11"/>
  <c r="B1243" i="11"/>
  <c r="A1243" i="11"/>
  <c r="B1242" i="11"/>
  <c r="A1242" i="11"/>
  <c r="B1241" i="11"/>
  <c r="A1241" i="11"/>
  <c r="B1240" i="11"/>
  <c r="A1240" i="11"/>
  <c r="B1239" i="11"/>
  <c r="A1239" i="11"/>
  <c r="B1238" i="11"/>
  <c r="A1238" i="11"/>
  <c r="B1237" i="11"/>
  <c r="A1237" i="11"/>
  <c r="B1236" i="11"/>
  <c r="A1236" i="11"/>
  <c r="B1235" i="11"/>
  <c r="A1235" i="11"/>
  <c r="B1234" i="11"/>
  <c r="A1234" i="11"/>
  <c r="B1233" i="11"/>
  <c r="A1233" i="11"/>
  <c r="B1232" i="11"/>
  <c r="A1232" i="11"/>
  <c r="B1231" i="11"/>
  <c r="A1231" i="11"/>
  <c r="B1230" i="11"/>
  <c r="A1230" i="11"/>
  <c r="B1229" i="11"/>
  <c r="A1229" i="11"/>
  <c r="B1228" i="11"/>
  <c r="A1228" i="11"/>
  <c r="B1227" i="11"/>
  <c r="A1227" i="11"/>
  <c r="B1226" i="11"/>
  <c r="A1226" i="11"/>
  <c r="B1225" i="11"/>
  <c r="A1225" i="11"/>
  <c r="B1224" i="11"/>
  <c r="A1224" i="11"/>
  <c r="B1223" i="11"/>
  <c r="A1223" i="11"/>
  <c r="B1222" i="11"/>
  <c r="A1222" i="11"/>
  <c r="B1221" i="11"/>
  <c r="A1221" i="11"/>
  <c r="B1220" i="11"/>
  <c r="A1220" i="11"/>
  <c r="B1219" i="11"/>
  <c r="A1219" i="11"/>
  <c r="B1218" i="11"/>
  <c r="A1218" i="11"/>
  <c r="B1217" i="11"/>
  <c r="A1217" i="11"/>
  <c r="B1216" i="11"/>
  <c r="A1216" i="11"/>
  <c r="B1215" i="11"/>
  <c r="A1215" i="11"/>
  <c r="B1214" i="11"/>
  <c r="A1214" i="11"/>
  <c r="B1213" i="11"/>
  <c r="A1213" i="11"/>
  <c r="B1212" i="11"/>
  <c r="A1212" i="11"/>
  <c r="B1211" i="11"/>
  <c r="A1211" i="11"/>
  <c r="B1210" i="11"/>
  <c r="A1210" i="11"/>
  <c r="B1209" i="11"/>
  <c r="A1209" i="11"/>
  <c r="B1208" i="11"/>
  <c r="A1208" i="11"/>
  <c r="B1207" i="11"/>
  <c r="A1207" i="11"/>
  <c r="B1206" i="11"/>
  <c r="A1206" i="11"/>
  <c r="B1205" i="11"/>
  <c r="A1205" i="11"/>
  <c r="B1204" i="11"/>
  <c r="A1204" i="11"/>
  <c r="B1203" i="11"/>
  <c r="A1203" i="11"/>
  <c r="B1202" i="11"/>
  <c r="A1202" i="11"/>
  <c r="B1201" i="11"/>
  <c r="A1201" i="11"/>
  <c r="B1200" i="11"/>
  <c r="A1200" i="11"/>
  <c r="B1199" i="11"/>
  <c r="A1199" i="11"/>
  <c r="B1198" i="11"/>
  <c r="A1198" i="11"/>
  <c r="B1197" i="11"/>
  <c r="A1197" i="11"/>
  <c r="B1196" i="11"/>
  <c r="A1196" i="11"/>
  <c r="B1195" i="11"/>
  <c r="A1195" i="11"/>
  <c r="B1194" i="11"/>
  <c r="A1194" i="11"/>
  <c r="B1193" i="11"/>
  <c r="A1193" i="11"/>
  <c r="B1192" i="11"/>
  <c r="A1192" i="11"/>
  <c r="B1191" i="11"/>
  <c r="A1191" i="11"/>
  <c r="B1190" i="11"/>
  <c r="A1190" i="11"/>
  <c r="B1189" i="11"/>
  <c r="A1189" i="11"/>
  <c r="B1188" i="11"/>
  <c r="A1188" i="11"/>
  <c r="B1187" i="11"/>
  <c r="A1187" i="11"/>
  <c r="B1186" i="11"/>
  <c r="A1186" i="11"/>
  <c r="B1185" i="11"/>
  <c r="A1185" i="11"/>
  <c r="B1184" i="11"/>
  <c r="A1184" i="11"/>
  <c r="B1183" i="11"/>
  <c r="A1183" i="11"/>
  <c r="B1182" i="11"/>
  <c r="A1182" i="11"/>
  <c r="B1181" i="11"/>
  <c r="A1181" i="11"/>
  <c r="B1180" i="11"/>
  <c r="A1180" i="11"/>
  <c r="B1179" i="11"/>
  <c r="A1179" i="11"/>
  <c r="B1178" i="11"/>
  <c r="A1178" i="11"/>
  <c r="B1177" i="11"/>
  <c r="A1177" i="11"/>
  <c r="B1176" i="11"/>
  <c r="A1176" i="11"/>
  <c r="B1175" i="11"/>
  <c r="A1175" i="11"/>
  <c r="B1174" i="11"/>
  <c r="A1174" i="11"/>
  <c r="B1173" i="11"/>
  <c r="A1173" i="11"/>
  <c r="B1172" i="11"/>
  <c r="A1172" i="11"/>
  <c r="B1171" i="11"/>
  <c r="A1171" i="11"/>
  <c r="B1170" i="11"/>
  <c r="A1170" i="11"/>
  <c r="B1169" i="11"/>
  <c r="A1169" i="11"/>
  <c r="B1168" i="11"/>
  <c r="A1168" i="11"/>
  <c r="B1167" i="11"/>
  <c r="A1167" i="11"/>
  <c r="B1166" i="11"/>
  <c r="A1166" i="11"/>
  <c r="B1165" i="11"/>
  <c r="A1165" i="11"/>
  <c r="B1164" i="11"/>
  <c r="A1164" i="11"/>
  <c r="B1163" i="11"/>
  <c r="A1163" i="11"/>
  <c r="B1162" i="11"/>
  <c r="A1162" i="11"/>
  <c r="B1161" i="11"/>
  <c r="A1161" i="11"/>
  <c r="B1160" i="11"/>
  <c r="A1160" i="11"/>
  <c r="B1159" i="11"/>
  <c r="A1159" i="11"/>
  <c r="B1158" i="11"/>
  <c r="A1158" i="11"/>
  <c r="B1157" i="11"/>
  <c r="A1157" i="11"/>
  <c r="B1156" i="11"/>
  <c r="A1156" i="11"/>
  <c r="B1155" i="11"/>
  <c r="A1155" i="11"/>
  <c r="B1154" i="11"/>
  <c r="A1154" i="11"/>
  <c r="B1153" i="11"/>
  <c r="A1153" i="11"/>
  <c r="B1152" i="11"/>
  <c r="A1152" i="11"/>
  <c r="B1151" i="11"/>
  <c r="A1151" i="11"/>
  <c r="B1150" i="11"/>
  <c r="A1150" i="11"/>
  <c r="B1149" i="11"/>
  <c r="A1149" i="11"/>
  <c r="B1148" i="11"/>
  <c r="A1148" i="11"/>
  <c r="B1147" i="11"/>
  <c r="A1147" i="11"/>
  <c r="B1146" i="11"/>
  <c r="A1146" i="11"/>
  <c r="B1145" i="11"/>
  <c r="A1145" i="11"/>
  <c r="B1144" i="11"/>
  <c r="A1144" i="11"/>
  <c r="B1143" i="11"/>
  <c r="A1143" i="11"/>
  <c r="B1142" i="11"/>
  <c r="A1142" i="11"/>
  <c r="B1141" i="11"/>
  <c r="A1141" i="11"/>
  <c r="B1140" i="11"/>
  <c r="A1140" i="11"/>
  <c r="B1139" i="11"/>
  <c r="A1139" i="11"/>
  <c r="B1138" i="11"/>
  <c r="A1138" i="11"/>
  <c r="B1137" i="11"/>
  <c r="A1137" i="11"/>
  <c r="B1136" i="11"/>
  <c r="A1136" i="11"/>
  <c r="B1135" i="11"/>
  <c r="A1135" i="11"/>
  <c r="B1134" i="11"/>
  <c r="A1134" i="11"/>
  <c r="B1133" i="11"/>
  <c r="A1133" i="11"/>
  <c r="B1132" i="11"/>
  <c r="A1132" i="11"/>
  <c r="B1131" i="11"/>
  <c r="A1131" i="11"/>
  <c r="B1130" i="11"/>
  <c r="A1130" i="11"/>
  <c r="B1129" i="11"/>
  <c r="A1129" i="11"/>
  <c r="B1128" i="11"/>
  <c r="A1128" i="11"/>
  <c r="B1127" i="11"/>
  <c r="A1127" i="11"/>
  <c r="B1126" i="11"/>
  <c r="A1126" i="11"/>
  <c r="B1125" i="11"/>
  <c r="A1125" i="11"/>
  <c r="B1124" i="11"/>
  <c r="A1124" i="11"/>
  <c r="B1123" i="11"/>
  <c r="A1123" i="11"/>
  <c r="B1122" i="11"/>
  <c r="A1122" i="11"/>
  <c r="B1121" i="11"/>
  <c r="A1121" i="11"/>
  <c r="B1120" i="11"/>
  <c r="A1120" i="11"/>
  <c r="B1119" i="11"/>
  <c r="A1119" i="11"/>
  <c r="B1118" i="11"/>
  <c r="A1118" i="11"/>
  <c r="B1117" i="11"/>
  <c r="A1117" i="11"/>
  <c r="B1116" i="11"/>
  <c r="A1116" i="11"/>
  <c r="B1115" i="11"/>
  <c r="A1115" i="11"/>
  <c r="B1114" i="11"/>
  <c r="A1114" i="11"/>
  <c r="B1113" i="11"/>
  <c r="A1113" i="11"/>
  <c r="B1112" i="11"/>
  <c r="A1112" i="11"/>
  <c r="B1111" i="11"/>
  <c r="A1111" i="11"/>
  <c r="B1110" i="11"/>
  <c r="A1110" i="11"/>
  <c r="B1109" i="11"/>
  <c r="A1109" i="11"/>
  <c r="B1108" i="11"/>
  <c r="A1108" i="11"/>
  <c r="B1107" i="11"/>
  <c r="A1107" i="11"/>
  <c r="B1106" i="11"/>
  <c r="A1106" i="11"/>
  <c r="B1105" i="11"/>
  <c r="A1105" i="11"/>
  <c r="B1104" i="11"/>
  <c r="A1104" i="11"/>
  <c r="B1103" i="11"/>
  <c r="A1103" i="11"/>
  <c r="B1102" i="11"/>
  <c r="A1102" i="11"/>
  <c r="B1101" i="11"/>
  <c r="A1101" i="11"/>
  <c r="B1100" i="11"/>
  <c r="A1100" i="11"/>
  <c r="B1099" i="11"/>
  <c r="A1099" i="11"/>
  <c r="B1098" i="11"/>
  <c r="A1098" i="11"/>
  <c r="B1097" i="11"/>
  <c r="A1097" i="11"/>
  <c r="B1096" i="11"/>
  <c r="A1096" i="11"/>
  <c r="B1095" i="11"/>
  <c r="A1095" i="11"/>
  <c r="B1094" i="11"/>
  <c r="A1094" i="11"/>
  <c r="B1093" i="11"/>
  <c r="A1093" i="11"/>
  <c r="B1092" i="11"/>
  <c r="A1092" i="11"/>
  <c r="B1091" i="11"/>
  <c r="A1091" i="11"/>
  <c r="B1090" i="11"/>
  <c r="A1090" i="11"/>
  <c r="B1089" i="11"/>
  <c r="A1089" i="11"/>
  <c r="B1088" i="11"/>
  <c r="A1088" i="11"/>
  <c r="B1087" i="11"/>
  <c r="A1087" i="11"/>
  <c r="B1086" i="11"/>
  <c r="A1086" i="11"/>
  <c r="B1085" i="11"/>
  <c r="A1085" i="11"/>
  <c r="B1084" i="11"/>
  <c r="A1084" i="11"/>
  <c r="B1083" i="11"/>
  <c r="A1083" i="11"/>
  <c r="B1082" i="11"/>
  <c r="A1082" i="11"/>
  <c r="B1081" i="11"/>
  <c r="A1081" i="11"/>
  <c r="B1080" i="11"/>
  <c r="A1080" i="11"/>
  <c r="B1079" i="11"/>
  <c r="A1079" i="11"/>
  <c r="B1078" i="11"/>
  <c r="A1078" i="11"/>
  <c r="B1077" i="11"/>
  <c r="A1077" i="11"/>
  <c r="B1076" i="11"/>
  <c r="A1076" i="11"/>
  <c r="B1075" i="11"/>
  <c r="A1075" i="11"/>
  <c r="B1074" i="11"/>
  <c r="A1074" i="11"/>
  <c r="B1073" i="11"/>
  <c r="A1073" i="11"/>
  <c r="B1072" i="11"/>
  <c r="A1072" i="11"/>
  <c r="B1071" i="11"/>
  <c r="A1071" i="11"/>
  <c r="B1070" i="11"/>
  <c r="A1070" i="11"/>
  <c r="B1069" i="11"/>
  <c r="A1069" i="11"/>
  <c r="B1068" i="11"/>
  <c r="A1068" i="11"/>
  <c r="B1067" i="11"/>
  <c r="A1067" i="11"/>
  <c r="B1066" i="11"/>
  <c r="A1066" i="11"/>
  <c r="B1065" i="11"/>
  <c r="A1065" i="11"/>
  <c r="B1064" i="11"/>
  <c r="A1064" i="11"/>
  <c r="B1063" i="11"/>
  <c r="A1063" i="11"/>
  <c r="B1062" i="11"/>
  <c r="A1062" i="11"/>
  <c r="B1061" i="11"/>
  <c r="A1061" i="11"/>
  <c r="B1060" i="11"/>
  <c r="A1060" i="11"/>
  <c r="B1059" i="11"/>
  <c r="A1059" i="11"/>
  <c r="B1058" i="11"/>
  <c r="A1058" i="11"/>
  <c r="B1057" i="11"/>
  <c r="A1057" i="11"/>
  <c r="B1056" i="11"/>
  <c r="A1056" i="11"/>
  <c r="B1055" i="11"/>
  <c r="A1055" i="11"/>
  <c r="B1054" i="11"/>
  <c r="A1054" i="11"/>
  <c r="B1053" i="11"/>
  <c r="A1053" i="11"/>
  <c r="B1052" i="11"/>
  <c r="A1052" i="11"/>
  <c r="B1051" i="11"/>
  <c r="A1051" i="11"/>
  <c r="B1050" i="11"/>
  <c r="A1050" i="11"/>
  <c r="B1049" i="11"/>
  <c r="A1049" i="11"/>
  <c r="B1048" i="11"/>
  <c r="A1048" i="11"/>
  <c r="B1047" i="11"/>
  <c r="A1047" i="11"/>
  <c r="B1046" i="11"/>
  <c r="A1046" i="11"/>
  <c r="B1045" i="11"/>
  <c r="A1045" i="11"/>
  <c r="B1044" i="11"/>
  <c r="A1044" i="11"/>
  <c r="B1043" i="11"/>
  <c r="A1043" i="11"/>
  <c r="B1042" i="11"/>
  <c r="A1042" i="11"/>
  <c r="B1041" i="11"/>
  <c r="A1041" i="11"/>
  <c r="B1040" i="11"/>
  <c r="A1040" i="11"/>
  <c r="B1039" i="11"/>
  <c r="A1039" i="11"/>
  <c r="B1038" i="11"/>
  <c r="A1038" i="11"/>
  <c r="B1037" i="11"/>
  <c r="A1037" i="11"/>
  <c r="B1036" i="11"/>
  <c r="A1036" i="11"/>
  <c r="B1035" i="11"/>
  <c r="A1035" i="11"/>
  <c r="B1034" i="11"/>
  <c r="A1034" i="11"/>
  <c r="B1033" i="11"/>
  <c r="A1033" i="11"/>
  <c r="B1032" i="11"/>
  <c r="A1032" i="11"/>
  <c r="B1031" i="11"/>
  <c r="A1031" i="11"/>
  <c r="B1030" i="11"/>
  <c r="A1030" i="11"/>
  <c r="B1029" i="11"/>
  <c r="A1029" i="11"/>
  <c r="B1028" i="11"/>
  <c r="A1028" i="11"/>
  <c r="B1027" i="11"/>
  <c r="A1027" i="11"/>
  <c r="B1026" i="11"/>
  <c r="A1026" i="11"/>
  <c r="B1025" i="11"/>
  <c r="A1025" i="11"/>
  <c r="B1024" i="11"/>
  <c r="A1024" i="11"/>
  <c r="B1023" i="11"/>
  <c r="A1023" i="11"/>
  <c r="B1022" i="11"/>
  <c r="A1022" i="11"/>
  <c r="B1021" i="11"/>
  <c r="A1021" i="11"/>
  <c r="B1020" i="11"/>
  <c r="A1020" i="11"/>
  <c r="B1019" i="11"/>
  <c r="A1019" i="11"/>
  <c r="B1018" i="11"/>
  <c r="A1018" i="11"/>
  <c r="B1017" i="11"/>
  <c r="A1017" i="11"/>
  <c r="B1016" i="11"/>
  <c r="A1016" i="11"/>
  <c r="B1015" i="11"/>
  <c r="A1015" i="11"/>
  <c r="B1014" i="11"/>
  <c r="A1014" i="11"/>
  <c r="B1013" i="11"/>
  <c r="A1013" i="11"/>
  <c r="B1012" i="11"/>
  <c r="A1012" i="11"/>
  <c r="B1011" i="11"/>
  <c r="A1011" i="11"/>
  <c r="B1010" i="11"/>
  <c r="A1010" i="11"/>
  <c r="B1009" i="11"/>
  <c r="A1009" i="11"/>
  <c r="B1008" i="11"/>
  <c r="A1008" i="11"/>
  <c r="B1007" i="11"/>
  <c r="A1007" i="11"/>
  <c r="B1006" i="11"/>
  <c r="A1006" i="11"/>
  <c r="B1005" i="11"/>
  <c r="A1005" i="11"/>
  <c r="B1004" i="11"/>
  <c r="A1004" i="11"/>
  <c r="B1003" i="11"/>
  <c r="A1003" i="11"/>
  <c r="B1002" i="11"/>
  <c r="A1002" i="11"/>
  <c r="B1001" i="11"/>
  <c r="A1001" i="11"/>
  <c r="B1000" i="11"/>
  <c r="A1000" i="11"/>
  <c r="B999" i="11"/>
  <c r="A999" i="11"/>
  <c r="B998" i="11"/>
  <c r="A998" i="11"/>
  <c r="B997" i="11"/>
  <c r="A997" i="11"/>
  <c r="B996" i="11"/>
  <c r="A996" i="11"/>
  <c r="B995" i="11"/>
  <c r="A995" i="11"/>
  <c r="B994" i="11"/>
  <c r="A994" i="11"/>
  <c r="B993" i="11"/>
  <c r="A993" i="11"/>
  <c r="B992" i="11"/>
  <c r="A992" i="11"/>
  <c r="B991" i="11"/>
  <c r="A991" i="11"/>
  <c r="B990" i="11"/>
  <c r="A990" i="11"/>
  <c r="B989" i="11"/>
  <c r="A989" i="11"/>
  <c r="B988" i="11"/>
  <c r="A988" i="11"/>
  <c r="B987" i="11"/>
  <c r="A987" i="11"/>
  <c r="B986" i="11"/>
  <c r="A986" i="11"/>
  <c r="B985" i="11"/>
  <c r="A985" i="11"/>
  <c r="B984" i="11"/>
  <c r="A984" i="11"/>
  <c r="B983" i="11"/>
  <c r="A983" i="11"/>
  <c r="B982" i="11"/>
  <c r="A982" i="11"/>
  <c r="B981" i="11"/>
  <c r="A981" i="11"/>
  <c r="B980" i="11"/>
  <c r="A980" i="11"/>
  <c r="B979" i="11"/>
  <c r="A979" i="11"/>
  <c r="B978" i="11"/>
  <c r="A978" i="11"/>
  <c r="B977" i="11"/>
  <c r="A977" i="11"/>
  <c r="B976" i="11"/>
  <c r="A976" i="11"/>
  <c r="B975" i="11"/>
  <c r="A975" i="11"/>
  <c r="B974" i="11"/>
  <c r="A974" i="11"/>
  <c r="B973" i="11"/>
  <c r="A973" i="11"/>
  <c r="B972" i="11"/>
  <c r="A972" i="11"/>
  <c r="B971" i="11"/>
  <c r="A971" i="11"/>
  <c r="B970" i="11"/>
  <c r="A970" i="11"/>
  <c r="B969" i="11"/>
  <c r="A969" i="11"/>
  <c r="B968" i="11"/>
  <c r="A968" i="11"/>
  <c r="B967" i="11"/>
  <c r="A967" i="11"/>
  <c r="B966" i="11"/>
  <c r="A966" i="11"/>
  <c r="B965" i="11"/>
  <c r="A965" i="11"/>
  <c r="B964" i="11"/>
  <c r="A964" i="11"/>
  <c r="B963" i="11"/>
  <c r="A963" i="11"/>
  <c r="B962" i="11"/>
  <c r="A962" i="11"/>
  <c r="B961" i="11"/>
  <c r="A961" i="11"/>
  <c r="B960" i="11"/>
  <c r="A960" i="11"/>
  <c r="B959" i="11"/>
  <c r="A959" i="11"/>
  <c r="B958" i="11"/>
  <c r="A958" i="11"/>
  <c r="B957" i="11"/>
  <c r="A957" i="11"/>
  <c r="B956" i="11"/>
  <c r="A956" i="11"/>
  <c r="B955" i="11"/>
  <c r="A955" i="11"/>
  <c r="B954" i="11"/>
  <c r="A954" i="11"/>
  <c r="B953" i="11"/>
  <c r="A953" i="11"/>
  <c r="B952" i="11"/>
  <c r="A952" i="11"/>
  <c r="B951" i="11"/>
  <c r="A951" i="11"/>
  <c r="B950" i="11"/>
  <c r="A950" i="11"/>
  <c r="B949" i="11"/>
  <c r="A949" i="11"/>
  <c r="B948" i="11"/>
  <c r="A948" i="11"/>
  <c r="B947" i="11"/>
  <c r="A947" i="11"/>
  <c r="B946" i="11"/>
  <c r="A946" i="11"/>
  <c r="B945" i="11"/>
  <c r="A945" i="11"/>
  <c r="B944" i="11"/>
  <c r="A944" i="11"/>
  <c r="B943" i="11"/>
  <c r="A943" i="11"/>
  <c r="B942" i="11"/>
  <c r="A942" i="11"/>
  <c r="B941" i="11"/>
  <c r="A941" i="11"/>
  <c r="B940" i="11"/>
  <c r="A940" i="11"/>
  <c r="B939" i="11"/>
  <c r="A939" i="11"/>
  <c r="B938" i="11"/>
  <c r="A938" i="11"/>
  <c r="B937" i="11"/>
  <c r="A937" i="11"/>
  <c r="B936" i="11"/>
  <c r="A936" i="11"/>
  <c r="B935" i="11"/>
  <c r="A935" i="11"/>
  <c r="B934" i="11"/>
  <c r="A934" i="11"/>
  <c r="B933" i="11"/>
  <c r="A933" i="11"/>
  <c r="B932" i="11"/>
  <c r="A932" i="11"/>
  <c r="B931" i="11"/>
  <c r="A931" i="11"/>
  <c r="B930" i="11"/>
  <c r="A930" i="11"/>
  <c r="B929" i="11"/>
  <c r="A929" i="11"/>
  <c r="B928" i="11"/>
  <c r="A928" i="11"/>
  <c r="B927" i="11"/>
  <c r="A927" i="11"/>
  <c r="B926" i="11"/>
  <c r="A926" i="11"/>
  <c r="B925" i="11"/>
  <c r="A925" i="11"/>
  <c r="B924" i="11"/>
  <c r="A924" i="11"/>
  <c r="B923" i="11"/>
  <c r="A923" i="11"/>
  <c r="B922" i="11"/>
  <c r="A922" i="11"/>
  <c r="B921" i="11"/>
  <c r="A921" i="11"/>
  <c r="B920" i="11"/>
  <c r="A920" i="11"/>
  <c r="B919" i="11"/>
  <c r="A919" i="11"/>
  <c r="B918" i="11"/>
  <c r="A918" i="11"/>
  <c r="B917" i="11"/>
  <c r="A917" i="11"/>
  <c r="B916" i="11"/>
  <c r="A916" i="11"/>
  <c r="B915" i="11"/>
  <c r="A915" i="11"/>
  <c r="B914" i="11"/>
  <c r="A914" i="11"/>
  <c r="B913" i="11"/>
  <c r="A913" i="11"/>
  <c r="B912" i="11"/>
  <c r="A912" i="11"/>
  <c r="B911" i="11"/>
  <c r="A911" i="11"/>
  <c r="B910" i="11"/>
  <c r="A910" i="11"/>
  <c r="B909" i="11"/>
  <c r="A909" i="11"/>
  <c r="B908" i="11"/>
  <c r="A908" i="11"/>
  <c r="B907" i="11"/>
  <c r="A907" i="11"/>
  <c r="B906" i="11"/>
  <c r="A906" i="11"/>
  <c r="B905" i="11"/>
  <c r="A905" i="11"/>
  <c r="B904" i="11"/>
  <c r="A904" i="11"/>
  <c r="B903" i="11"/>
  <c r="A903" i="11"/>
  <c r="B902" i="11"/>
  <c r="A902" i="11"/>
  <c r="B901" i="11"/>
  <c r="A901" i="11"/>
  <c r="B900" i="11"/>
  <c r="A900" i="11"/>
  <c r="B899" i="11"/>
  <c r="A899" i="11"/>
  <c r="B898" i="11"/>
  <c r="A898" i="11"/>
  <c r="B897" i="11"/>
  <c r="A897" i="11"/>
  <c r="B896" i="11"/>
  <c r="A896" i="11"/>
  <c r="B895" i="11"/>
  <c r="A895" i="11"/>
  <c r="B894" i="11"/>
  <c r="A894" i="11"/>
  <c r="B893" i="11"/>
  <c r="A893" i="11"/>
  <c r="B892" i="11"/>
  <c r="A892" i="11"/>
  <c r="B891" i="11"/>
  <c r="A891" i="11"/>
  <c r="B890" i="11"/>
  <c r="A890" i="11"/>
  <c r="B889" i="11"/>
  <c r="A889" i="11"/>
  <c r="B888" i="11"/>
  <c r="A888" i="11"/>
  <c r="B887" i="11"/>
  <c r="A887" i="11"/>
  <c r="B886" i="11"/>
  <c r="A886" i="11"/>
  <c r="B885" i="11"/>
  <c r="A885" i="11"/>
  <c r="B884" i="11"/>
  <c r="A884" i="11"/>
  <c r="B883" i="11"/>
  <c r="A883" i="11"/>
  <c r="B882" i="11"/>
  <c r="A882" i="11"/>
  <c r="B881" i="11"/>
  <c r="A881" i="11"/>
  <c r="B880" i="11"/>
  <c r="A880" i="11"/>
  <c r="B879" i="11"/>
  <c r="A879" i="11"/>
  <c r="B878" i="11"/>
  <c r="A878" i="11"/>
  <c r="B877" i="11"/>
  <c r="A877" i="11"/>
  <c r="B876" i="11"/>
  <c r="A876" i="11"/>
  <c r="B875" i="11"/>
  <c r="A875" i="11"/>
  <c r="B874" i="11"/>
  <c r="A874" i="11"/>
  <c r="B873" i="11"/>
  <c r="A873" i="11"/>
  <c r="B872" i="11"/>
  <c r="A872" i="11"/>
  <c r="B871" i="11"/>
  <c r="A871" i="11"/>
  <c r="B870" i="11"/>
  <c r="A870" i="11"/>
  <c r="B869" i="11"/>
  <c r="A869" i="11"/>
  <c r="B868" i="11"/>
  <c r="A868" i="11"/>
  <c r="B867" i="11"/>
  <c r="A867" i="11"/>
  <c r="B866" i="11"/>
  <c r="A866" i="11"/>
  <c r="B865" i="11"/>
  <c r="A865" i="11"/>
  <c r="B864" i="11"/>
  <c r="A864" i="11"/>
  <c r="B863" i="11"/>
  <c r="A863" i="11"/>
  <c r="B862" i="11"/>
  <c r="A862" i="11"/>
  <c r="B861" i="11"/>
  <c r="A861" i="11"/>
  <c r="B860" i="11"/>
  <c r="A860" i="11"/>
  <c r="B859" i="11"/>
  <c r="A859" i="11"/>
  <c r="B858" i="11"/>
  <c r="A858" i="11"/>
  <c r="B857" i="11"/>
  <c r="A857" i="11"/>
  <c r="B856" i="11"/>
  <c r="A856" i="11"/>
  <c r="B855" i="11"/>
  <c r="A855" i="11"/>
  <c r="B854" i="11"/>
  <c r="A854" i="11"/>
  <c r="B853" i="11"/>
  <c r="A853" i="11"/>
  <c r="B852" i="11"/>
  <c r="A852" i="11"/>
  <c r="B851" i="11"/>
  <c r="A851" i="11"/>
  <c r="B850" i="11"/>
  <c r="A850" i="11"/>
  <c r="B849" i="11"/>
  <c r="A849" i="11"/>
  <c r="B848" i="11"/>
  <c r="A848" i="11"/>
  <c r="B847" i="11"/>
  <c r="A847" i="11"/>
  <c r="B846" i="11"/>
  <c r="A846" i="11"/>
  <c r="B845" i="11"/>
  <c r="A845" i="11"/>
  <c r="B844" i="11"/>
  <c r="A844" i="11"/>
  <c r="B843" i="11"/>
  <c r="A843" i="11"/>
  <c r="B842" i="11"/>
  <c r="A842" i="11"/>
  <c r="B841" i="11"/>
  <c r="A841" i="11"/>
  <c r="B840" i="11"/>
  <c r="A840" i="11"/>
  <c r="B839" i="11"/>
  <c r="A839" i="11"/>
  <c r="B838" i="11"/>
  <c r="A838" i="11"/>
  <c r="B837" i="11"/>
  <c r="A837" i="11"/>
  <c r="B836" i="11"/>
  <c r="A836" i="11"/>
  <c r="B835" i="11"/>
  <c r="A835" i="11"/>
  <c r="B834" i="11"/>
  <c r="A834" i="11"/>
  <c r="B833" i="11"/>
  <c r="A833" i="11"/>
  <c r="B832" i="11"/>
  <c r="A832" i="11"/>
  <c r="B831" i="11"/>
  <c r="A831" i="11"/>
  <c r="B830" i="11"/>
  <c r="A830" i="11"/>
  <c r="B829" i="11"/>
  <c r="A829" i="11"/>
  <c r="B828" i="11"/>
  <c r="A828" i="11"/>
  <c r="B827" i="11"/>
  <c r="A827" i="11"/>
  <c r="B826" i="11"/>
  <c r="A826" i="11"/>
  <c r="B825" i="11"/>
  <c r="A825" i="11"/>
  <c r="B824" i="11"/>
  <c r="A824" i="11"/>
  <c r="B823" i="11"/>
  <c r="A823" i="11"/>
  <c r="B822" i="11"/>
  <c r="A822" i="11"/>
  <c r="B821" i="11"/>
  <c r="A821" i="11"/>
  <c r="B820" i="11"/>
  <c r="A820" i="11"/>
  <c r="B819" i="11"/>
  <c r="A819" i="11"/>
  <c r="B818" i="11"/>
  <c r="A818" i="11"/>
  <c r="B817" i="11"/>
  <c r="A817" i="11"/>
  <c r="B816" i="11"/>
  <c r="A816" i="11"/>
  <c r="B815" i="11"/>
  <c r="A815" i="11"/>
  <c r="B814" i="11"/>
  <c r="A814" i="11"/>
  <c r="B813" i="11"/>
  <c r="A813" i="11"/>
  <c r="B812" i="11"/>
  <c r="A812" i="11"/>
  <c r="B811" i="11"/>
  <c r="A811" i="11"/>
  <c r="B810" i="11"/>
  <c r="A810" i="11"/>
  <c r="B809" i="11"/>
  <c r="A809" i="11"/>
  <c r="B808" i="11"/>
  <c r="A808" i="11"/>
  <c r="B807" i="11"/>
  <c r="A807" i="11"/>
  <c r="B806" i="11"/>
  <c r="A806" i="11"/>
  <c r="B805" i="11"/>
  <c r="A805" i="11"/>
  <c r="B804" i="11"/>
  <c r="A804" i="11"/>
  <c r="B803" i="11"/>
  <c r="A803" i="11"/>
  <c r="B802" i="11"/>
  <c r="A802" i="11"/>
  <c r="B801" i="11"/>
  <c r="A801" i="11"/>
  <c r="B800" i="11"/>
  <c r="A800" i="11"/>
  <c r="B799" i="11"/>
  <c r="A799" i="11"/>
  <c r="B798" i="11"/>
  <c r="A798" i="11"/>
  <c r="B797" i="11"/>
  <c r="A797" i="11"/>
  <c r="B796" i="11"/>
  <c r="A796" i="11"/>
  <c r="B795" i="11"/>
  <c r="A795" i="11"/>
  <c r="B794" i="11"/>
  <c r="A794" i="11"/>
  <c r="B793" i="11"/>
  <c r="A793" i="11"/>
  <c r="B792" i="11"/>
  <c r="A792" i="11"/>
  <c r="B791" i="11"/>
  <c r="A791" i="11"/>
  <c r="B790" i="11"/>
  <c r="A790" i="11"/>
  <c r="B789" i="11"/>
  <c r="A789" i="11"/>
  <c r="B788" i="11"/>
  <c r="A788" i="11"/>
  <c r="B787" i="11"/>
  <c r="A787" i="11"/>
  <c r="B786" i="11"/>
  <c r="A786" i="11"/>
  <c r="B785" i="11"/>
  <c r="A785" i="11"/>
  <c r="B784" i="11"/>
  <c r="A784" i="11"/>
  <c r="B783" i="11"/>
  <c r="A783" i="11"/>
  <c r="B782" i="11"/>
  <c r="A782" i="11"/>
  <c r="B781" i="11"/>
  <c r="A781" i="11"/>
  <c r="B780" i="11"/>
  <c r="A780" i="11"/>
  <c r="B779" i="11"/>
  <c r="A779" i="11"/>
  <c r="B778" i="11"/>
  <c r="A778" i="11"/>
  <c r="B777" i="11"/>
  <c r="A777" i="11"/>
  <c r="B776" i="11"/>
  <c r="A776" i="11"/>
  <c r="B775" i="11"/>
  <c r="A775" i="11"/>
  <c r="B774" i="11"/>
  <c r="A774" i="11"/>
  <c r="B773" i="11"/>
  <c r="A773" i="11"/>
  <c r="B772" i="11"/>
  <c r="A772" i="11"/>
  <c r="B771" i="11"/>
  <c r="A771" i="11"/>
  <c r="B770" i="11"/>
  <c r="A770" i="11"/>
  <c r="B769" i="11"/>
  <c r="A769" i="11"/>
  <c r="B768" i="11"/>
  <c r="A768" i="11"/>
  <c r="B767" i="11"/>
  <c r="A767" i="11"/>
  <c r="B766" i="11"/>
  <c r="A766" i="11"/>
  <c r="B765" i="11"/>
  <c r="A765" i="11"/>
  <c r="B764" i="11"/>
  <c r="A764" i="11"/>
  <c r="B763" i="11"/>
  <c r="A763" i="11"/>
  <c r="B762" i="11"/>
  <c r="A762" i="11"/>
  <c r="B761" i="11"/>
  <c r="A761" i="11"/>
  <c r="B760" i="11"/>
  <c r="A760" i="11"/>
  <c r="B759" i="11"/>
  <c r="A759" i="11"/>
  <c r="B758" i="11"/>
  <c r="A758" i="11"/>
  <c r="B757" i="11"/>
  <c r="A757" i="11"/>
  <c r="B756" i="11"/>
  <c r="A756" i="11"/>
  <c r="B755" i="11"/>
  <c r="A755" i="11"/>
  <c r="B754" i="11"/>
  <c r="A754" i="11"/>
  <c r="B753" i="11"/>
  <c r="A753" i="11"/>
  <c r="B752" i="11"/>
  <c r="A752" i="11"/>
  <c r="B751" i="11"/>
  <c r="A751" i="11"/>
  <c r="B750" i="11"/>
  <c r="A750" i="11"/>
  <c r="B749" i="11"/>
  <c r="A749" i="11"/>
  <c r="B748" i="11"/>
  <c r="A748" i="11"/>
  <c r="B747" i="11"/>
  <c r="A747" i="11"/>
  <c r="B746" i="11"/>
  <c r="A746" i="11"/>
  <c r="B745" i="11"/>
  <c r="A745" i="11"/>
  <c r="B744" i="11"/>
  <c r="A744" i="11"/>
  <c r="B743" i="11"/>
  <c r="A743" i="11"/>
  <c r="B742" i="11"/>
  <c r="A742" i="11"/>
  <c r="B741" i="11"/>
  <c r="A741" i="11"/>
  <c r="B740" i="11"/>
  <c r="A740" i="11"/>
  <c r="B739" i="11"/>
  <c r="A739" i="11"/>
  <c r="B738" i="11"/>
  <c r="A738" i="11"/>
  <c r="B737" i="11"/>
  <c r="A737" i="11"/>
  <c r="B736" i="11"/>
  <c r="A736" i="11"/>
  <c r="B735" i="11"/>
  <c r="A735" i="11"/>
  <c r="B734" i="11"/>
  <c r="A734" i="11"/>
  <c r="B733" i="11"/>
  <c r="A733" i="11"/>
  <c r="B732" i="11"/>
  <c r="A732" i="11"/>
  <c r="B731" i="11"/>
  <c r="A731" i="11"/>
  <c r="B730" i="11"/>
  <c r="A730" i="11"/>
  <c r="B729" i="11"/>
  <c r="A729" i="11"/>
  <c r="B728" i="11"/>
  <c r="A728" i="11"/>
  <c r="B727" i="11"/>
  <c r="A727" i="11"/>
  <c r="B726" i="11"/>
  <c r="A726" i="11"/>
  <c r="B725" i="11"/>
  <c r="A725" i="11"/>
  <c r="B724" i="11"/>
  <c r="A724" i="11"/>
  <c r="B723" i="11"/>
  <c r="A723" i="11"/>
  <c r="B722" i="11"/>
  <c r="A722" i="11"/>
  <c r="B721" i="11"/>
  <c r="A721" i="11"/>
  <c r="B720" i="11"/>
  <c r="A720" i="11"/>
  <c r="B719" i="11"/>
  <c r="A719" i="11"/>
  <c r="B718" i="11"/>
  <c r="A718" i="11"/>
  <c r="B717" i="11"/>
  <c r="A717" i="11"/>
  <c r="B716" i="11"/>
  <c r="A716" i="11"/>
  <c r="B715" i="11"/>
  <c r="A715" i="11"/>
  <c r="B714" i="11"/>
  <c r="A714" i="11"/>
  <c r="B713" i="11"/>
  <c r="A713" i="11"/>
  <c r="B712" i="11"/>
  <c r="A712" i="11"/>
  <c r="B711" i="11"/>
  <c r="A711" i="11"/>
  <c r="B710" i="11"/>
  <c r="A710" i="11"/>
  <c r="B709" i="11"/>
  <c r="A709" i="11"/>
  <c r="B708" i="11"/>
  <c r="A708" i="11"/>
  <c r="B707" i="11"/>
  <c r="A707" i="11"/>
  <c r="B706" i="11"/>
  <c r="A706" i="11"/>
  <c r="B705" i="11"/>
  <c r="A705" i="11"/>
  <c r="B704" i="11"/>
  <c r="A704" i="11"/>
  <c r="B703" i="11"/>
  <c r="A703" i="11"/>
  <c r="B702" i="11"/>
  <c r="A702" i="11"/>
  <c r="B701" i="11"/>
  <c r="A701" i="11"/>
  <c r="B700" i="11"/>
  <c r="A700" i="11"/>
  <c r="B699" i="11"/>
  <c r="A699" i="11"/>
  <c r="B698" i="11"/>
  <c r="A698" i="11"/>
  <c r="B697" i="11"/>
  <c r="A697" i="11"/>
  <c r="B696" i="11"/>
  <c r="A696" i="11"/>
  <c r="B695" i="11"/>
  <c r="A695" i="11"/>
  <c r="B694" i="11"/>
  <c r="A694" i="11"/>
  <c r="B693" i="11"/>
  <c r="A693" i="11"/>
  <c r="B692" i="11"/>
  <c r="A692" i="11"/>
  <c r="B691" i="11"/>
  <c r="A691" i="11"/>
  <c r="B690" i="11"/>
  <c r="A690" i="11"/>
  <c r="B689" i="11"/>
  <c r="A689" i="11"/>
  <c r="B688" i="11"/>
  <c r="A688" i="11"/>
  <c r="B687" i="11"/>
  <c r="A687" i="11"/>
  <c r="B686" i="11"/>
  <c r="A686" i="11"/>
  <c r="B685" i="11"/>
  <c r="A685" i="11"/>
  <c r="B684" i="11"/>
  <c r="A684" i="11"/>
  <c r="B683" i="11"/>
  <c r="A683" i="11"/>
  <c r="B682" i="11"/>
  <c r="A682" i="11"/>
  <c r="B681" i="11"/>
  <c r="A681" i="11"/>
  <c r="B680" i="11"/>
  <c r="A680" i="11"/>
  <c r="B679" i="11"/>
  <c r="A679" i="11"/>
  <c r="B678" i="11"/>
  <c r="A678" i="11"/>
  <c r="B677" i="11"/>
  <c r="A677" i="11"/>
  <c r="B676" i="11"/>
  <c r="A676" i="11"/>
  <c r="B675" i="11"/>
  <c r="A675" i="11"/>
  <c r="B674" i="11"/>
  <c r="A674" i="11"/>
  <c r="B673" i="11"/>
  <c r="A673" i="11"/>
  <c r="B672" i="11"/>
  <c r="A672" i="11"/>
  <c r="B671" i="11"/>
  <c r="A671" i="11"/>
  <c r="B670" i="11"/>
  <c r="A670" i="11"/>
  <c r="B669" i="11"/>
  <c r="A669" i="11"/>
  <c r="B668" i="11"/>
  <c r="A668" i="11"/>
  <c r="B667" i="11"/>
  <c r="A667" i="11"/>
  <c r="B666" i="11"/>
  <c r="A666" i="11"/>
  <c r="B665" i="11"/>
  <c r="A665" i="11"/>
  <c r="B664" i="11"/>
  <c r="A664" i="11"/>
  <c r="B663" i="11"/>
  <c r="A663" i="11"/>
  <c r="B662" i="11"/>
  <c r="A662" i="11"/>
  <c r="B661" i="11"/>
  <c r="A661" i="11"/>
  <c r="B660" i="11"/>
  <c r="A660" i="11"/>
  <c r="B659" i="11"/>
  <c r="A659" i="11"/>
  <c r="B658" i="11"/>
  <c r="A658" i="11"/>
  <c r="B657" i="11"/>
  <c r="A657" i="11"/>
  <c r="B656" i="11"/>
  <c r="A656" i="11"/>
  <c r="B655" i="11"/>
  <c r="A655" i="11"/>
  <c r="B654" i="11"/>
  <c r="A654" i="11"/>
  <c r="B653" i="11"/>
  <c r="A653" i="11"/>
  <c r="B652" i="11"/>
  <c r="A652" i="11"/>
  <c r="B651" i="11"/>
  <c r="A651" i="11"/>
  <c r="B650" i="11"/>
  <c r="A650" i="11"/>
  <c r="B649" i="11"/>
  <c r="A649" i="11"/>
  <c r="B648" i="11"/>
  <c r="A648" i="11"/>
  <c r="B647" i="11"/>
  <c r="A647" i="11"/>
  <c r="B646" i="11"/>
  <c r="A646" i="11"/>
  <c r="B645" i="11"/>
  <c r="A645" i="11"/>
  <c r="B644" i="11"/>
  <c r="A644" i="11"/>
  <c r="B643" i="11"/>
  <c r="A643" i="11"/>
  <c r="B642" i="11"/>
  <c r="A642" i="11"/>
  <c r="B641" i="11"/>
  <c r="A641" i="11"/>
  <c r="B640" i="11"/>
  <c r="A640" i="11"/>
  <c r="B639" i="11"/>
  <c r="A639" i="11"/>
  <c r="B638" i="11"/>
  <c r="A638" i="11"/>
  <c r="B637" i="11"/>
  <c r="A637" i="11"/>
  <c r="B636" i="11"/>
  <c r="A636" i="11"/>
  <c r="B635" i="11"/>
  <c r="A635" i="11"/>
  <c r="B634" i="11"/>
  <c r="A634" i="11"/>
  <c r="B633" i="11"/>
  <c r="A633" i="11"/>
  <c r="B632" i="11"/>
  <c r="A632" i="11"/>
  <c r="B631" i="11"/>
  <c r="A631" i="11"/>
  <c r="B630" i="11"/>
  <c r="A630" i="11"/>
  <c r="B629" i="11"/>
  <c r="A629" i="11"/>
  <c r="B628" i="11"/>
  <c r="A628" i="11"/>
  <c r="B627" i="11"/>
  <c r="A627" i="11"/>
  <c r="B626" i="11"/>
  <c r="A626" i="11"/>
  <c r="B625" i="11"/>
  <c r="A625" i="11"/>
  <c r="B624" i="11"/>
  <c r="A624" i="11"/>
  <c r="B623" i="11"/>
  <c r="A623" i="11"/>
  <c r="B622" i="11"/>
  <c r="A622" i="11"/>
  <c r="B621" i="11"/>
  <c r="A621" i="11"/>
  <c r="B620" i="11"/>
  <c r="A620" i="11"/>
  <c r="B619" i="11"/>
  <c r="A619" i="11"/>
  <c r="B618" i="11"/>
  <c r="A618" i="11"/>
  <c r="B617" i="11"/>
  <c r="A617" i="11"/>
  <c r="B616" i="11"/>
  <c r="A616" i="11"/>
  <c r="B615" i="11"/>
  <c r="A615" i="11"/>
  <c r="B614" i="11"/>
  <c r="A614" i="11"/>
  <c r="B613" i="11"/>
  <c r="A613" i="11"/>
  <c r="B612" i="11"/>
  <c r="A612" i="11"/>
  <c r="B611" i="11"/>
  <c r="A611" i="11"/>
  <c r="B610" i="11"/>
  <c r="A610" i="11"/>
  <c r="B609" i="11"/>
  <c r="A609" i="11"/>
  <c r="B608" i="11"/>
  <c r="A608" i="11"/>
  <c r="B607" i="11"/>
  <c r="A607" i="11"/>
  <c r="B606" i="11"/>
  <c r="A606" i="11"/>
  <c r="B605" i="11"/>
  <c r="A605" i="11"/>
  <c r="B604" i="11"/>
  <c r="A604" i="11"/>
  <c r="B603" i="11"/>
  <c r="A603" i="11"/>
  <c r="B602" i="11"/>
  <c r="A602" i="11"/>
  <c r="B601" i="11"/>
  <c r="A601" i="11"/>
  <c r="B600" i="11"/>
  <c r="A600" i="11"/>
  <c r="B599" i="11"/>
  <c r="A599" i="11"/>
  <c r="B598" i="11"/>
  <c r="A598" i="11"/>
  <c r="B597" i="11"/>
  <c r="A597" i="11"/>
  <c r="B596" i="11"/>
  <c r="A596" i="11"/>
  <c r="B595" i="11"/>
  <c r="A595" i="11"/>
  <c r="B594" i="11"/>
  <c r="A594" i="11"/>
  <c r="B593" i="11"/>
  <c r="A593" i="11"/>
  <c r="B592" i="11"/>
  <c r="A592" i="11"/>
  <c r="B591" i="11"/>
  <c r="A591" i="11"/>
  <c r="B590" i="11"/>
  <c r="A590" i="11"/>
  <c r="B589" i="11"/>
  <c r="A589" i="11"/>
  <c r="B588" i="11"/>
  <c r="A588" i="11"/>
  <c r="B587" i="11"/>
  <c r="A587" i="11"/>
  <c r="B586" i="11"/>
  <c r="A586" i="11"/>
  <c r="B585" i="11"/>
  <c r="A585" i="11"/>
  <c r="B584" i="11"/>
  <c r="A584" i="11"/>
  <c r="B583" i="11"/>
  <c r="A583" i="11"/>
  <c r="B582" i="11"/>
  <c r="A582" i="11"/>
  <c r="B581" i="11"/>
  <c r="A581" i="11"/>
  <c r="B580" i="11"/>
  <c r="A580" i="11"/>
  <c r="B579" i="11"/>
  <c r="A579" i="11"/>
  <c r="B578" i="11"/>
  <c r="A578" i="11"/>
  <c r="B577" i="11"/>
  <c r="A577" i="11"/>
  <c r="B576" i="11"/>
  <c r="A576" i="11"/>
  <c r="B575" i="11"/>
  <c r="A575" i="11"/>
  <c r="B574" i="11"/>
  <c r="A574" i="11"/>
  <c r="B573" i="11"/>
  <c r="A573" i="11"/>
  <c r="B572" i="11"/>
  <c r="A572" i="11"/>
  <c r="B571" i="11"/>
  <c r="A571" i="11"/>
  <c r="B570" i="11"/>
  <c r="A570" i="11"/>
  <c r="B569" i="11"/>
  <c r="A569" i="11"/>
  <c r="B568" i="11"/>
  <c r="A568" i="11"/>
  <c r="B567" i="11"/>
  <c r="A567" i="11"/>
  <c r="B566" i="11"/>
  <c r="A566" i="11"/>
  <c r="B565" i="11"/>
  <c r="A565" i="11"/>
  <c r="B564" i="11"/>
  <c r="A564" i="11"/>
  <c r="B563" i="11"/>
  <c r="A563" i="11"/>
  <c r="B562" i="11"/>
  <c r="A562" i="11"/>
  <c r="B561" i="11"/>
  <c r="A561" i="11"/>
  <c r="B560" i="11"/>
  <c r="A560" i="11"/>
  <c r="B559" i="11"/>
  <c r="A559" i="11"/>
  <c r="B558" i="11"/>
  <c r="A558" i="11"/>
  <c r="B557" i="11"/>
  <c r="A557" i="11"/>
  <c r="B556" i="11"/>
  <c r="A556" i="11"/>
  <c r="B555" i="11"/>
  <c r="A555" i="11"/>
  <c r="B554" i="11"/>
  <c r="A554" i="11"/>
  <c r="B553" i="11"/>
  <c r="A553" i="11"/>
  <c r="B552" i="11"/>
  <c r="A552" i="11"/>
  <c r="B551" i="11"/>
  <c r="A551" i="11"/>
  <c r="B550" i="11"/>
  <c r="A550" i="11"/>
  <c r="B549" i="11"/>
  <c r="A549" i="11"/>
  <c r="B548" i="11"/>
  <c r="A548" i="11"/>
  <c r="B547" i="11"/>
  <c r="A547" i="11"/>
  <c r="B546" i="11"/>
  <c r="A546" i="11"/>
  <c r="B545" i="11"/>
  <c r="A545" i="11"/>
  <c r="B544" i="11"/>
  <c r="A544" i="11"/>
  <c r="B543" i="11"/>
  <c r="A543" i="11"/>
  <c r="B542" i="11"/>
  <c r="A542" i="11"/>
  <c r="B541" i="11"/>
  <c r="A541" i="11"/>
  <c r="B540" i="11"/>
  <c r="A540" i="11"/>
  <c r="B539" i="11"/>
  <c r="A539" i="11"/>
  <c r="B538" i="11"/>
  <c r="A538" i="11"/>
  <c r="B537" i="11"/>
  <c r="A537" i="11"/>
  <c r="B536" i="11"/>
  <c r="A536" i="11"/>
  <c r="B535" i="11"/>
  <c r="A535" i="11"/>
  <c r="B534" i="11"/>
  <c r="A534" i="11"/>
  <c r="B533" i="11"/>
  <c r="A533" i="11"/>
  <c r="B532" i="11"/>
  <c r="A532" i="11"/>
  <c r="B531" i="11"/>
  <c r="A531" i="11"/>
  <c r="B530" i="11"/>
  <c r="A530" i="11"/>
  <c r="B529" i="11"/>
  <c r="A529" i="11"/>
  <c r="B528" i="11"/>
  <c r="A528" i="11"/>
  <c r="B527" i="11"/>
  <c r="A527" i="11"/>
  <c r="B526" i="11"/>
  <c r="A526" i="11"/>
  <c r="B525" i="11"/>
  <c r="A525" i="11"/>
  <c r="B524" i="11"/>
  <c r="A524" i="11"/>
  <c r="B523" i="11"/>
  <c r="A523" i="11"/>
  <c r="B522" i="11"/>
  <c r="A522" i="11"/>
  <c r="B521" i="11"/>
  <c r="A521" i="11"/>
  <c r="B520" i="11"/>
  <c r="A520" i="11"/>
  <c r="B519" i="11"/>
  <c r="A519" i="11"/>
  <c r="B518" i="11"/>
  <c r="A518" i="11"/>
  <c r="B517" i="11"/>
  <c r="A517" i="11"/>
  <c r="B516" i="11"/>
  <c r="A516" i="11"/>
  <c r="B515" i="11"/>
  <c r="A515" i="11"/>
  <c r="B514" i="11"/>
  <c r="A514" i="11"/>
  <c r="B513" i="11"/>
  <c r="A513" i="11"/>
  <c r="B512" i="11"/>
  <c r="A512" i="11"/>
  <c r="B511" i="11"/>
  <c r="A511" i="11"/>
  <c r="B510" i="11"/>
  <c r="A510" i="11"/>
  <c r="B509" i="11"/>
  <c r="A509" i="11"/>
  <c r="B508" i="11"/>
  <c r="A508" i="11"/>
  <c r="B507" i="11"/>
  <c r="A507" i="11"/>
  <c r="B506" i="11"/>
  <c r="A506" i="11"/>
  <c r="B505" i="11"/>
  <c r="A505" i="11"/>
  <c r="B504" i="11"/>
  <c r="A504" i="11"/>
  <c r="B503" i="11"/>
  <c r="A503" i="11"/>
  <c r="B502" i="11"/>
  <c r="A502" i="11"/>
  <c r="B501" i="11"/>
  <c r="A501" i="11"/>
  <c r="B500" i="11"/>
  <c r="A500" i="11"/>
  <c r="B499" i="11"/>
  <c r="A499" i="11"/>
  <c r="B498" i="11"/>
  <c r="A498" i="11"/>
  <c r="B497" i="11"/>
  <c r="A497" i="11"/>
  <c r="B496" i="11"/>
  <c r="A496" i="11"/>
  <c r="B495" i="11"/>
  <c r="A495" i="11"/>
  <c r="B494" i="11"/>
  <c r="A494" i="11"/>
  <c r="B493" i="11"/>
  <c r="A493" i="11"/>
  <c r="B492" i="11"/>
  <c r="A492" i="11"/>
  <c r="B491" i="11"/>
  <c r="A491" i="11"/>
  <c r="B490" i="11"/>
  <c r="A490" i="11"/>
  <c r="B489" i="11"/>
  <c r="A489" i="11"/>
  <c r="B488" i="11"/>
  <c r="A488" i="11"/>
  <c r="B487" i="11"/>
  <c r="A487" i="11"/>
  <c r="B486" i="11"/>
  <c r="A486" i="11"/>
  <c r="B485" i="11"/>
  <c r="A485" i="11"/>
  <c r="B484" i="11"/>
  <c r="A484" i="11"/>
  <c r="B483" i="11"/>
  <c r="A483" i="11"/>
  <c r="B482" i="11"/>
  <c r="A482" i="11"/>
  <c r="B481" i="11"/>
  <c r="A481" i="11"/>
  <c r="B480" i="11"/>
  <c r="A480" i="11"/>
  <c r="B479" i="11"/>
  <c r="A479" i="11"/>
  <c r="B478" i="11"/>
  <c r="A478" i="11"/>
  <c r="B477" i="11"/>
  <c r="A477" i="11"/>
  <c r="B476" i="11"/>
  <c r="A476" i="11"/>
  <c r="B475" i="11"/>
  <c r="A475" i="11"/>
  <c r="B474" i="11"/>
  <c r="A474" i="11"/>
  <c r="B473" i="11"/>
  <c r="A473" i="11"/>
  <c r="B472" i="11"/>
  <c r="A472" i="11"/>
  <c r="B471" i="11"/>
  <c r="A471" i="11"/>
  <c r="B470" i="11"/>
  <c r="A470" i="11"/>
  <c r="B469" i="11"/>
  <c r="A469" i="11"/>
  <c r="B468" i="11"/>
  <c r="A468" i="11"/>
  <c r="B467" i="11"/>
  <c r="A467" i="11"/>
  <c r="B466" i="11"/>
  <c r="A466" i="11"/>
  <c r="B465" i="11"/>
  <c r="A465" i="11"/>
  <c r="B464" i="11"/>
  <c r="A464" i="11"/>
  <c r="B463" i="11"/>
  <c r="A463" i="11"/>
  <c r="B462" i="11"/>
  <c r="A462" i="11"/>
  <c r="B461" i="11"/>
  <c r="A461" i="11"/>
  <c r="B460" i="11"/>
  <c r="A460" i="11"/>
  <c r="B459" i="11"/>
  <c r="A459" i="11"/>
  <c r="B458" i="11"/>
  <c r="A458" i="11"/>
  <c r="B457" i="11"/>
  <c r="A457" i="11"/>
  <c r="B456" i="11"/>
  <c r="A456" i="11"/>
  <c r="B455" i="11"/>
  <c r="A455" i="11"/>
  <c r="B454" i="11"/>
  <c r="A454" i="11"/>
  <c r="B453" i="11"/>
  <c r="A453" i="11"/>
  <c r="B452" i="11"/>
  <c r="A452" i="11"/>
  <c r="B451" i="11"/>
  <c r="A451" i="11"/>
  <c r="B450" i="11"/>
  <c r="A450" i="11"/>
  <c r="B449" i="11"/>
  <c r="A449" i="11"/>
  <c r="B448" i="11"/>
  <c r="A448" i="11"/>
  <c r="B447" i="11"/>
  <c r="A447" i="11"/>
  <c r="B446" i="11"/>
  <c r="A446" i="11"/>
  <c r="B445" i="11"/>
  <c r="A445" i="11"/>
  <c r="B444" i="11"/>
  <c r="A444" i="11"/>
  <c r="B443" i="11"/>
  <c r="A443" i="11"/>
  <c r="B442" i="11"/>
  <c r="A442" i="11"/>
  <c r="B441" i="11"/>
  <c r="A441" i="11"/>
  <c r="B440" i="11"/>
  <c r="A440" i="11"/>
  <c r="B439" i="11"/>
  <c r="A439" i="11"/>
  <c r="B438" i="11"/>
  <c r="A438" i="11"/>
  <c r="B437" i="11"/>
  <c r="A437" i="11"/>
  <c r="B436" i="11"/>
  <c r="A436" i="11"/>
  <c r="B435" i="11"/>
  <c r="A435" i="11"/>
  <c r="B434" i="11"/>
  <c r="A434" i="11"/>
  <c r="B433" i="11"/>
  <c r="A433" i="11"/>
  <c r="B432" i="11"/>
  <c r="A432" i="11"/>
  <c r="B431" i="11"/>
  <c r="A431" i="11"/>
  <c r="B430" i="11"/>
  <c r="A430" i="11"/>
  <c r="B429" i="11"/>
  <c r="A429" i="11"/>
  <c r="B428" i="11"/>
  <c r="A428" i="11"/>
  <c r="B427" i="11"/>
  <c r="A427" i="11"/>
  <c r="B426" i="11"/>
  <c r="A426" i="11"/>
  <c r="B425" i="11"/>
  <c r="A425" i="11"/>
  <c r="B424" i="11"/>
  <c r="A424" i="11"/>
  <c r="B423" i="11"/>
  <c r="A423" i="11"/>
  <c r="B422" i="11"/>
  <c r="A422" i="11"/>
  <c r="B421" i="11"/>
  <c r="A421" i="11"/>
  <c r="B420" i="11"/>
  <c r="A420" i="11"/>
  <c r="B419" i="11"/>
  <c r="A419" i="11"/>
  <c r="B418" i="11"/>
  <c r="A418" i="11"/>
  <c r="B417" i="11"/>
  <c r="A417" i="11"/>
  <c r="B416" i="11"/>
  <c r="A416" i="11"/>
  <c r="B415" i="11"/>
  <c r="A415" i="11"/>
  <c r="B414" i="11"/>
  <c r="A414" i="11"/>
  <c r="B413" i="11"/>
  <c r="A413" i="11"/>
  <c r="B412" i="11"/>
  <c r="A412" i="11"/>
  <c r="B411" i="11"/>
  <c r="A411" i="11"/>
  <c r="B410" i="11"/>
  <c r="A410" i="11"/>
  <c r="B409" i="11"/>
  <c r="A409" i="11"/>
  <c r="B408" i="11"/>
  <c r="A408" i="11"/>
  <c r="B407" i="11"/>
  <c r="A407" i="11"/>
  <c r="B406" i="11"/>
  <c r="A406" i="11"/>
  <c r="B405" i="11"/>
  <c r="A405" i="11"/>
  <c r="B404" i="11"/>
  <c r="A404" i="11"/>
  <c r="B403" i="11"/>
  <c r="A403" i="11"/>
  <c r="B402" i="11"/>
  <c r="A402" i="11"/>
  <c r="B401" i="11"/>
  <c r="A401" i="11"/>
  <c r="B400" i="11"/>
  <c r="A400" i="11"/>
  <c r="B399" i="11"/>
  <c r="A399" i="11"/>
  <c r="B398" i="11"/>
  <c r="A398" i="11"/>
  <c r="B397" i="11"/>
  <c r="A397" i="11"/>
  <c r="B396" i="11"/>
  <c r="A396" i="11"/>
  <c r="B395" i="11"/>
  <c r="A395" i="11"/>
  <c r="B394" i="11"/>
  <c r="A394" i="11"/>
  <c r="B393" i="11"/>
  <c r="A393" i="11"/>
  <c r="B392" i="11"/>
  <c r="A392" i="11"/>
  <c r="B391" i="11"/>
  <c r="A391" i="11"/>
  <c r="B390" i="11"/>
  <c r="A390" i="11"/>
  <c r="B389" i="11"/>
  <c r="A389" i="11"/>
  <c r="B388" i="11"/>
  <c r="A388" i="11"/>
  <c r="B387" i="11"/>
  <c r="A387" i="11"/>
  <c r="B386" i="11"/>
  <c r="A386" i="11"/>
  <c r="B385" i="11"/>
  <c r="A385" i="11"/>
  <c r="B384" i="11"/>
  <c r="A384" i="11"/>
  <c r="B383" i="11"/>
  <c r="A383" i="11"/>
  <c r="B382" i="11"/>
  <c r="A382" i="11"/>
  <c r="B381" i="11"/>
  <c r="A381" i="11"/>
  <c r="B380" i="11"/>
  <c r="A380" i="11"/>
  <c r="B379" i="11"/>
  <c r="A379" i="11"/>
  <c r="B378" i="11"/>
  <c r="A378" i="11"/>
  <c r="B377" i="11"/>
  <c r="A377" i="11"/>
  <c r="B376" i="11"/>
  <c r="A376" i="11"/>
  <c r="B375" i="11"/>
  <c r="A375" i="11"/>
  <c r="B374" i="11"/>
  <c r="A374" i="11"/>
  <c r="B373" i="11"/>
  <c r="A373" i="11"/>
  <c r="B372" i="11"/>
  <c r="A372" i="11"/>
  <c r="B371" i="11"/>
  <c r="A371" i="11"/>
  <c r="B370" i="11"/>
  <c r="A370" i="11"/>
  <c r="B369" i="11"/>
  <c r="A369" i="11"/>
  <c r="B368" i="11"/>
  <c r="A368" i="11"/>
  <c r="B367" i="11"/>
  <c r="A367" i="11"/>
  <c r="B366" i="11"/>
  <c r="A366" i="11"/>
  <c r="B365" i="11"/>
  <c r="A365" i="11"/>
  <c r="B364" i="11"/>
  <c r="A364" i="11"/>
  <c r="B363" i="11"/>
  <c r="A363" i="11"/>
  <c r="B362" i="11"/>
  <c r="A362" i="11"/>
  <c r="B361" i="11"/>
  <c r="A361" i="11"/>
  <c r="B360" i="11"/>
  <c r="A360" i="11"/>
  <c r="B359" i="11"/>
  <c r="A359" i="11"/>
  <c r="B358" i="11"/>
  <c r="A358" i="11"/>
  <c r="B357" i="11"/>
  <c r="A357" i="11"/>
  <c r="B356" i="11"/>
  <c r="A356" i="11"/>
  <c r="B355" i="11"/>
  <c r="A355" i="11"/>
  <c r="B354" i="11"/>
  <c r="A354" i="11"/>
  <c r="B353" i="11"/>
  <c r="A353" i="11"/>
  <c r="B352" i="11"/>
  <c r="A352" i="11"/>
  <c r="B351" i="11"/>
  <c r="A351" i="11"/>
  <c r="B350" i="11"/>
  <c r="A350" i="11"/>
  <c r="B349" i="11"/>
  <c r="A349" i="11"/>
  <c r="B348" i="11"/>
  <c r="A348" i="11"/>
  <c r="B347" i="11"/>
  <c r="A347" i="11"/>
  <c r="B346" i="11"/>
  <c r="A346" i="11"/>
  <c r="B345" i="11"/>
  <c r="A345" i="11"/>
  <c r="B344" i="11"/>
  <c r="A344" i="11"/>
  <c r="B343" i="11"/>
  <c r="A343" i="11"/>
  <c r="B342" i="11"/>
  <c r="A342" i="11"/>
  <c r="B341" i="11"/>
  <c r="A341" i="11"/>
  <c r="B340" i="11"/>
  <c r="A340" i="11"/>
  <c r="B339" i="11"/>
  <c r="A339" i="11"/>
  <c r="B338" i="11"/>
  <c r="A338" i="11"/>
  <c r="B337" i="11"/>
  <c r="A337" i="11"/>
  <c r="B336" i="11"/>
  <c r="A336" i="11"/>
  <c r="B335" i="11"/>
  <c r="A335" i="11"/>
  <c r="B334" i="11"/>
  <c r="A334" i="11"/>
  <c r="B333" i="11"/>
  <c r="A333" i="11"/>
  <c r="B332" i="11"/>
  <c r="A332" i="11"/>
  <c r="B331" i="11"/>
  <c r="A331" i="11"/>
  <c r="B330" i="11"/>
  <c r="A330" i="11"/>
  <c r="B329" i="11"/>
  <c r="A329" i="11"/>
  <c r="B328" i="11"/>
  <c r="A328" i="11"/>
  <c r="B327" i="11"/>
  <c r="A327" i="11"/>
  <c r="B326" i="11"/>
  <c r="A326" i="11"/>
  <c r="B325" i="11"/>
  <c r="A325" i="11"/>
  <c r="B324" i="11"/>
  <c r="A324" i="11"/>
  <c r="B323" i="11"/>
  <c r="A323" i="11"/>
  <c r="B322" i="11"/>
  <c r="A322" i="11"/>
  <c r="B321" i="11"/>
  <c r="A321" i="11"/>
  <c r="B320" i="11"/>
  <c r="A320" i="11"/>
  <c r="B319" i="11"/>
  <c r="A319" i="11"/>
  <c r="B318" i="11"/>
  <c r="A318" i="11"/>
  <c r="B317" i="11"/>
  <c r="A317" i="11"/>
  <c r="B316" i="11"/>
  <c r="A316" i="11"/>
  <c r="B315" i="11"/>
  <c r="A315" i="11"/>
  <c r="B314" i="11"/>
  <c r="A314" i="11"/>
  <c r="B313" i="11"/>
  <c r="A313" i="11"/>
  <c r="B312" i="11"/>
  <c r="A312" i="11"/>
  <c r="B311" i="11"/>
  <c r="A311" i="11"/>
  <c r="B310" i="11"/>
  <c r="A310" i="11"/>
  <c r="B309" i="11"/>
  <c r="A309" i="11"/>
  <c r="B308" i="11"/>
  <c r="A308" i="11"/>
  <c r="B307" i="11"/>
  <c r="A307" i="11"/>
  <c r="B306" i="11"/>
  <c r="A306" i="11"/>
  <c r="B305" i="11"/>
  <c r="A305" i="11"/>
  <c r="B304" i="11"/>
  <c r="A304" i="11"/>
  <c r="B303" i="11"/>
  <c r="A303" i="11"/>
  <c r="B302" i="11"/>
  <c r="A302" i="11"/>
  <c r="B301" i="11"/>
  <c r="A301" i="11"/>
  <c r="B300" i="11"/>
  <c r="A300" i="11"/>
  <c r="B299" i="11"/>
  <c r="A299" i="11"/>
  <c r="B298" i="11"/>
  <c r="A298" i="11"/>
  <c r="B297" i="11"/>
  <c r="A297" i="11"/>
  <c r="B296" i="11"/>
  <c r="A296" i="11"/>
  <c r="B295" i="11"/>
  <c r="A295" i="11"/>
  <c r="B294" i="11"/>
  <c r="A294" i="11"/>
  <c r="B293" i="11"/>
  <c r="A293" i="11"/>
  <c r="B292" i="11"/>
  <c r="A292" i="11"/>
  <c r="B291" i="11"/>
  <c r="A291" i="11"/>
  <c r="B290" i="11"/>
  <c r="A290" i="11"/>
  <c r="B289" i="11"/>
  <c r="A289" i="11"/>
  <c r="B288" i="11"/>
  <c r="A288" i="11"/>
  <c r="B287" i="11"/>
  <c r="A287" i="11"/>
  <c r="B286" i="11"/>
  <c r="A286" i="11"/>
  <c r="B285" i="11"/>
  <c r="A285" i="11"/>
  <c r="B284" i="11"/>
  <c r="A284" i="11"/>
  <c r="B283" i="11"/>
  <c r="A283" i="11"/>
  <c r="B282" i="11"/>
  <c r="A282" i="11"/>
  <c r="B281" i="11"/>
  <c r="A281" i="11"/>
  <c r="B280" i="11"/>
  <c r="A280" i="11"/>
  <c r="B279" i="11"/>
  <c r="A279" i="11"/>
  <c r="B278" i="11"/>
  <c r="A278" i="11"/>
  <c r="B277" i="11"/>
  <c r="A277" i="11"/>
  <c r="B276" i="11"/>
  <c r="A276" i="11"/>
  <c r="B275" i="11"/>
  <c r="A275" i="11"/>
  <c r="B274" i="11"/>
  <c r="A274" i="11"/>
  <c r="B273" i="11"/>
  <c r="A273" i="11"/>
  <c r="B272" i="11"/>
  <c r="A272" i="11"/>
  <c r="B271" i="11"/>
  <c r="A271" i="11"/>
  <c r="B270" i="11"/>
  <c r="A270" i="11"/>
  <c r="B269" i="11"/>
  <c r="A269" i="11"/>
  <c r="B268" i="11"/>
  <c r="A268" i="11"/>
  <c r="B267" i="11"/>
  <c r="A267" i="11"/>
  <c r="B266" i="11"/>
  <c r="A266" i="11"/>
  <c r="B265" i="11"/>
  <c r="A265" i="11"/>
  <c r="B264" i="11"/>
  <c r="A264" i="11"/>
  <c r="B263" i="11"/>
  <c r="A263" i="11"/>
  <c r="B262" i="11"/>
  <c r="A262" i="11"/>
  <c r="B261" i="11"/>
  <c r="A261" i="11"/>
  <c r="B260" i="11"/>
  <c r="A260" i="11"/>
  <c r="B259" i="11"/>
  <c r="A259" i="11"/>
  <c r="B258" i="11"/>
  <c r="A258" i="11"/>
  <c r="B257" i="11"/>
  <c r="A257" i="11"/>
  <c r="B256" i="11"/>
  <c r="A256" i="11"/>
  <c r="B255" i="11"/>
  <c r="A255" i="11"/>
  <c r="B254" i="11"/>
  <c r="A254" i="11"/>
  <c r="B253" i="11"/>
  <c r="A253" i="11"/>
  <c r="B252" i="11"/>
  <c r="A252" i="11"/>
  <c r="B251" i="11"/>
  <c r="A251" i="11"/>
  <c r="B250" i="11"/>
  <c r="A250" i="11"/>
  <c r="B249" i="11"/>
  <c r="A249" i="11"/>
  <c r="B248" i="11"/>
  <c r="A248" i="11"/>
  <c r="B247" i="11"/>
  <c r="A247" i="11"/>
  <c r="B246" i="11"/>
  <c r="A246" i="11"/>
  <c r="B245" i="11"/>
  <c r="A245" i="11"/>
  <c r="B244" i="11"/>
  <c r="A244" i="11"/>
  <c r="B243" i="11"/>
  <c r="A243" i="11"/>
  <c r="B242" i="11"/>
  <c r="A242" i="11"/>
  <c r="B241" i="11"/>
  <c r="A241" i="11"/>
  <c r="B240" i="11"/>
  <c r="A240" i="11"/>
  <c r="B239" i="11"/>
  <c r="A239" i="11"/>
  <c r="B238" i="11"/>
  <c r="A238" i="11"/>
  <c r="B237" i="11"/>
  <c r="A237" i="11"/>
  <c r="B236" i="11"/>
  <c r="A236" i="11"/>
  <c r="B235" i="11"/>
  <c r="A235" i="11"/>
  <c r="B234" i="11"/>
  <c r="A234" i="11"/>
  <c r="B233" i="11"/>
  <c r="A233" i="11"/>
  <c r="B232" i="11"/>
  <c r="A232" i="11"/>
  <c r="B231" i="11"/>
  <c r="A231" i="11"/>
  <c r="B230" i="11"/>
  <c r="A230" i="11"/>
  <c r="B229" i="11"/>
  <c r="A229" i="11"/>
  <c r="B228" i="11"/>
  <c r="A228" i="11"/>
  <c r="B227" i="11"/>
  <c r="A227" i="11"/>
  <c r="B226" i="11"/>
  <c r="A226" i="11"/>
  <c r="B225" i="11"/>
  <c r="A225" i="11"/>
  <c r="B224" i="11"/>
  <c r="A224" i="11"/>
  <c r="B223" i="11"/>
  <c r="A223" i="11"/>
  <c r="B222" i="11"/>
  <c r="A222" i="11"/>
  <c r="B221" i="11"/>
  <c r="A221" i="11"/>
  <c r="B220" i="11"/>
  <c r="A220" i="11"/>
  <c r="B219" i="11"/>
  <c r="A219" i="11"/>
  <c r="B218" i="11"/>
  <c r="A218" i="11"/>
  <c r="B217" i="11"/>
  <c r="A217" i="11"/>
  <c r="B216" i="11"/>
  <c r="A216" i="11"/>
  <c r="B215" i="11"/>
  <c r="A215" i="11"/>
  <c r="B214" i="11"/>
  <c r="A214" i="11"/>
  <c r="B213" i="11"/>
  <c r="A213" i="11"/>
  <c r="B212" i="11"/>
  <c r="A212" i="11"/>
  <c r="B211" i="11"/>
  <c r="A211" i="11"/>
  <c r="B210" i="11"/>
  <c r="A210" i="11"/>
  <c r="B209" i="11"/>
  <c r="A209" i="11"/>
  <c r="B208" i="11"/>
  <c r="A208" i="11"/>
  <c r="B207" i="11"/>
  <c r="A207" i="11"/>
  <c r="B206" i="11"/>
  <c r="A206" i="11"/>
  <c r="B205" i="11"/>
  <c r="A205" i="11"/>
  <c r="B204" i="11"/>
  <c r="A204" i="11"/>
  <c r="B203" i="11"/>
  <c r="A203" i="11"/>
  <c r="B202" i="11"/>
  <c r="A202" i="11"/>
  <c r="B201" i="11"/>
  <c r="A201" i="11"/>
  <c r="B200" i="11"/>
  <c r="A200" i="11"/>
  <c r="B199" i="11"/>
  <c r="A199" i="11"/>
  <c r="B198" i="11"/>
  <c r="A198" i="11"/>
  <c r="B197" i="11"/>
  <c r="A197" i="11"/>
  <c r="B196" i="11"/>
  <c r="A196" i="11"/>
  <c r="B195" i="11"/>
  <c r="A195" i="11"/>
  <c r="B194" i="11"/>
  <c r="A194" i="11"/>
  <c r="B193" i="11"/>
  <c r="A193" i="11"/>
  <c r="B192" i="11"/>
  <c r="A192" i="11"/>
  <c r="B191" i="11"/>
  <c r="A191" i="11"/>
  <c r="B190" i="11"/>
  <c r="A190" i="11"/>
  <c r="B189" i="11"/>
  <c r="A189" i="11"/>
  <c r="B188" i="11"/>
  <c r="A188" i="11"/>
  <c r="B187" i="11"/>
  <c r="A187" i="11"/>
  <c r="B186" i="11"/>
  <c r="A186" i="11"/>
  <c r="B185" i="11"/>
  <c r="A185" i="11"/>
  <c r="B184" i="11"/>
  <c r="A184" i="11"/>
  <c r="B183" i="11"/>
  <c r="A183" i="11"/>
  <c r="B182" i="11"/>
  <c r="A182" i="11"/>
  <c r="B181" i="11"/>
  <c r="A181" i="11"/>
  <c r="B180" i="11"/>
  <c r="A180" i="11"/>
  <c r="B179" i="11"/>
  <c r="A179" i="11"/>
  <c r="B178" i="11"/>
  <c r="A178" i="11"/>
  <c r="B177" i="11"/>
  <c r="A177" i="11"/>
  <c r="B176" i="11"/>
  <c r="A176" i="11"/>
  <c r="B175" i="11"/>
  <c r="A175" i="11"/>
  <c r="B174" i="11"/>
  <c r="A174" i="11"/>
  <c r="B173" i="11"/>
  <c r="A173" i="11"/>
  <c r="B172" i="11"/>
  <c r="A172" i="11"/>
  <c r="B171" i="11"/>
  <c r="A171" i="11"/>
  <c r="B170" i="11"/>
  <c r="A170" i="11"/>
  <c r="B169" i="11"/>
  <c r="A169" i="11"/>
  <c r="B168" i="11"/>
  <c r="A168" i="11"/>
  <c r="B167" i="11"/>
  <c r="A167" i="11"/>
  <c r="B166" i="11"/>
  <c r="A166" i="11"/>
  <c r="B165" i="11"/>
  <c r="A165" i="11"/>
  <c r="B164" i="11"/>
  <c r="A164" i="11"/>
  <c r="B163" i="11"/>
  <c r="A163" i="11"/>
  <c r="B162" i="11"/>
  <c r="A162" i="11"/>
  <c r="B161" i="11"/>
  <c r="A161" i="11"/>
  <c r="B160" i="11"/>
  <c r="A160" i="11"/>
  <c r="B159" i="11"/>
  <c r="A159" i="11"/>
  <c r="B158" i="11"/>
  <c r="A158" i="11"/>
  <c r="B157" i="11"/>
  <c r="A157" i="11"/>
  <c r="B156" i="11"/>
  <c r="A156" i="11"/>
  <c r="B155" i="11"/>
  <c r="A155" i="11"/>
  <c r="B154" i="11"/>
  <c r="A154" i="11"/>
  <c r="B153" i="11"/>
  <c r="A153" i="11"/>
  <c r="B152" i="11"/>
  <c r="A152" i="11"/>
  <c r="B151" i="11"/>
  <c r="A151" i="11"/>
  <c r="B150" i="11"/>
  <c r="A150" i="11"/>
  <c r="B149" i="11"/>
  <c r="A149" i="11"/>
  <c r="B148" i="11"/>
  <c r="A148" i="11"/>
  <c r="B147" i="11"/>
  <c r="A147" i="11"/>
  <c r="B146" i="11"/>
  <c r="A146" i="11"/>
  <c r="B145" i="11"/>
  <c r="A145" i="11"/>
  <c r="B144" i="11"/>
  <c r="A144" i="11"/>
  <c r="B143" i="11"/>
  <c r="A143" i="11"/>
  <c r="B142" i="11"/>
  <c r="A142" i="11"/>
  <c r="B141" i="11"/>
  <c r="A141" i="11"/>
  <c r="B140" i="11"/>
  <c r="A140" i="11"/>
  <c r="B139" i="11"/>
  <c r="A139" i="11"/>
  <c r="B138" i="11"/>
  <c r="A138" i="11"/>
  <c r="B137" i="11"/>
  <c r="A137" i="11"/>
  <c r="B136" i="11"/>
  <c r="A136" i="11"/>
  <c r="B135" i="11"/>
  <c r="A135" i="11"/>
  <c r="B134" i="11"/>
  <c r="A134" i="11"/>
  <c r="B133" i="11"/>
  <c r="A133" i="11"/>
  <c r="B132" i="11"/>
  <c r="A132" i="11"/>
  <c r="B131" i="11"/>
  <c r="A131" i="11"/>
  <c r="B130" i="11"/>
  <c r="A130" i="11"/>
  <c r="B129" i="11"/>
  <c r="A129" i="11"/>
  <c r="B128" i="11"/>
  <c r="A128" i="11"/>
  <c r="B127" i="11"/>
  <c r="A127" i="11"/>
  <c r="B126" i="11"/>
  <c r="A126" i="11"/>
  <c r="B125" i="11"/>
  <c r="A125" i="11"/>
  <c r="B124" i="11"/>
  <c r="A124" i="11"/>
  <c r="B123" i="11"/>
  <c r="A123" i="11"/>
  <c r="B122" i="11"/>
  <c r="A122" i="11"/>
  <c r="B121" i="11"/>
  <c r="A121" i="11"/>
  <c r="B120" i="11"/>
  <c r="A120" i="11"/>
  <c r="B119" i="11"/>
  <c r="A119" i="11"/>
  <c r="B118" i="11"/>
  <c r="A118" i="11"/>
  <c r="B117" i="11"/>
  <c r="A117" i="11"/>
  <c r="B116" i="11"/>
  <c r="A116" i="11"/>
  <c r="B115" i="11"/>
  <c r="A115" i="11"/>
  <c r="B114" i="11"/>
  <c r="A114" i="11"/>
  <c r="B113" i="11"/>
  <c r="A113" i="11"/>
  <c r="B112" i="11"/>
  <c r="A112" i="11"/>
  <c r="B111" i="11"/>
  <c r="A111" i="11"/>
  <c r="B110" i="11"/>
  <c r="A110" i="11"/>
  <c r="B109" i="11"/>
  <c r="A109" i="11"/>
  <c r="B108" i="11"/>
  <c r="A108" i="11"/>
  <c r="B107" i="11"/>
  <c r="A107" i="11"/>
  <c r="B106" i="11"/>
  <c r="A106" i="11"/>
  <c r="B105" i="11"/>
  <c r="A105" i="11"/>
  <c r="B104" i="11"/>
  <c r="A104" i="11"/>
  <c r="B103" i="11"/>
  <c r="A103" i="11"/>
  <c r="B102" i="11"/>
  <c r="A102" i="11"/>
  <c r="B101" i="11"/>
  <c r="A101" i="11"/>
  <c r="B100" i="11"/>
  <c r="A100" i="11"/>
  <c r="B99" i="11"/>
  <c r="A99" i="11"/>
  <c r="B98" i="11"/>
  <c r="A98" i="11"/>
  <c r="B97" i="11"/>
  <c r="A97" i="11"/>
  <c r="B96" i="11"/>
  <c r="A96" i="11"/>
  <c r="B95" i="11"/>
  <c r="A95" i="11"/>
  <c r="B94" i="11"/>
  <c r="A94" i="11"/>
  <c r="B93" i="11"/>
  <c r="A93" i="11"/>
  <c r="B92" i="11"/>
  <c r="A92" i="11"/>
  <c r="B91" i="11"/>
  <c r="A91" i="11"/>
  <c r="B90" i="11"/>
  <c r="A90" i="11"/>
  <c r="B89" i="11"/>
  <c r="A89" i="11"/>
  <c r="B88" i="11"/>
  <c r="A88" i="11"/>
  <c r="B87" i="11"/>
  <c r="A87" i="11"/>
  <c r="B86" i="11"/>
  <c r="A86" i="11"/>
  <c r="B85" i="11"/>
  <c r="A85" i="11"/>
  <c r="B84" i="11"/>
  <c r="A84" i="11"/>
  <c r="B83" i="11"/>
  <c r="A83" i="11"/>
  <c r="B82" i="11"/>
  <c r="A82" i="11"/>
  <c r="B81" i="11"/>
  <c r="A81" i="11"/>
  <c r="B80" i="11"/>
  <c r="A80" i="11"/>
  <c r="B79" i="11"/>
  <c r="A79" i="11"/>
  <c r="B78" i="11"/>
  <c r="A78" i="11"/>
  <c r="B77" i="11"/>
  <c r="A77" i="11"/>
  <c r="B76" i="11"/>
  <c r="A76" i="11"/>
  <c r="B75" i="11"/>
  <c r="A75" i="11"/>
  <c r="B74" i="11"/>
  <c r="A74" i="11"/>
  <c r="B73" i="11"/>
  <c r="A73" i="11"/>
  <c r="B72" i="11"/>
  <c r="A72" i="11"/>
  <c r="B71" i="11"/>
  <c r="A71" i="11"/>
  <c r="B70" i="11"/>
  <c r="A70" i="11"/>
  <c r="B69" i="11"/>
  <c r="A69" i="11"/>
  <c r="B68" i="11"/>
  <c r="A68" i="11"/>
  <c r="B67" i="11"/>
  <c r="A67" i="11"/>
  <c r="B66" i="11"/>
  <c r="A66" i="11"/>
  <c r="B65" i="11"/>
  <c r="A65" i="11"/>
  <c r="B64" i="11"/>
  <c r="A64" i="11"/>
  <c r="B63" i="11"/>
  <c r="A63" i="11"/>
  <c r="B62" i="11"/>
  <c r="A62" i="11"/>
  <c r="B61" i="11"/>
  <c r="A61" i="11"/>
  <c r="B60" i="11"/>
  <c r="A60" i="11"/>
  <c r="B59" i="11"/>
  <c r="A59" i="11"/>
  <c r="B58" i="11"/>
  <c r="A58" i="11"/>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G15" i="11"/>
  <c r="B15" i="11"/>
  <c r="A15" i="11"/>
  <c r="G14" i="11"/>
  <c r="B14" i="11"/>
  <c r="A14" i="11"/>
  <c r="G13" i="11"/>
  <c r="B13" i="11"/>
  <c r="A13" i="11"/>
  <c r="G12" i="11"/>
  <c r="B12" i="11"/>
  <c r="A12" i="11"/>
  <c r="G11" i="11"/>
  <c r="B11" i="11"/>
  <c r="A11" i="11"/>
  <c r="G10" i="11"/>
  <c r="B10" i="11"/>
  <c r="A10" i="11"/>
  <c r="G9" i="11"/>
  <c r="B9" i="11"/>
  <c r="A9" i="11"/>
  <c r="G8" i="11"/>
  <c r="B8" i="11"/>
  <c r="A8" i="11"/>
  <c r="G7" i="11"/>
  <c r="B7" i="11"/>
  <c r="A7" i="11"/>
  <c r="G6" i="11"/>
  <c r="B6" i="11"/>
  <c r="A6" i="11"/>
  <c r="G5" i="11"/>
  <c r="B5" i="11"/>
  <c r="A5" i="11"/>
  <c r="G4" i="11"/>
  <c r="B4" i="11"/>
  <c r="A4" i="11"/>
  <c r="G3" i="11"/>
  <c r="B3" i="11"/>
  <c r="A3" i="11"/>
  <c r="G2" i="11"/>
  <c r="B2" i="11"/>
  <c r="A2" i="11"/>
  <c r="D1943" i="10"/>
  <c r="C1943" i="10"/>
  <c r="E1943" i="10" s="1"/>
  <c r="G1943" i="10" s="1"/>
  <c r="D1942" i="10"/>
  <c r="E1942" i="10" s="1"/>
  <c r="G1942" i="10" s="1"/>
  <c r="C1942" i="10"/>
  <c r="D1941" i="10"/>
  <c r="C1941" i="10"/>
  <c r="D1940" i="10"/>
  <c r="C1940" i="10"/>
  <c r="E1940" i="10" s="1"/>
  <c r="G1940" i="10" s="1"/>
  <c r="D1939" i="10"/>
  <c r="E1939" i="10" s="1"/>
  <c r="G1939" i="10" s="1"/>
  <c r="C1939" i="10"/>
  <c r="D1938" i="10"/>
  <c r="C1938" i="10"/>
  <c r="E1938" i="10" s="1"/>
  <c r="G1938" i="10" s="1"/>
  <c r="G1937" i="10"/>
  <c r="D1937" i="10"/>
  <c r="E1937" i="10" s="1"/>
  <c r="C1937" i="10"/>
  <c r="D1936" i="10"/>
  <c r="E1936" i="10" s="1"/>
  <c r="G1936" i="10" s="1"/>
  <c r="C1936" i="10"/>
  <c r="D1935" i="10"/>
  <c r="C1935" i="10"/>
  <c r="E1935" i="10" s="1"/>
  <c r="G1935" i="10" s="1"/>
  <c r="G1934" i="10"/>
  <c r="D1934" i="10"/>
  <c r="E1934" i="10" s="1"/>
  <c r="C1934" i="10"/>
  <c r="D1933" i="10"/>
  <c r="C1933" i="10"/>
  <c r="E1933" i="10" s="1"/>
  <c r="G1933" i="10" s="1"/>
  <c r="G1932" i="10"/>
  <c r="D1932" i="10"/>
  <c r="C1932" i="10"/>
  <c r="E1932" i="10" s="1"/>
  <c r="E1931" i="10"/>
  <c r="G1931" i="10" s="1"/>
  <c r="D1931" i="10"/>
  <c r="C1931" i="10"/>
  <c r="D1930" i="10"/>
  <c r="C1930" i="10"/>
  <c r="E1930" i="10" s="1"/>
  <c r="G1930" i="10" s="1"/>
  <c r="D1929" i="10"/>
  <c r="C1929" i="10"/>
  <c r="D1928" i="10"/>
  <c r="C1928" i="10"/>
  <c r="E1928" i="10" s="1"/>
  <c r="G1928" i="10" s="1"/>
  <c r="E1927" i="10"/>
  <c r="G1927" i="10" s="1"/>
  <c r="D1927" i="10"/>
  <c r="C1927" i="10"/>
  <c r="D1926" i="10"/>
  <c r="E1926" i="10" s="1"/>
  <c r="G1926" i="10" s="1"/>
  <c r="C1926" i="10"/>
  <c r="D1925" i="10"/>
  <c r="C1925" i="10"/>
  <c r="D1924" i="10"/>
  <c r="C1924" i="10"/>
  <c r="E1924" i="10" s="1"/>
  <c r="G1924" i="10" s="1"/>
  <c r="D1923" i="10"/>
  <c r="C1923" i="10"/>
  <c r="E1923" i="10" s="1"/>
  <c r="G1923" i="10" s="1"/>
  <c r="D1922" i="10"/>
  <c r="C1922" i="10"/>
  <c r="E1922" i="10" s="1"/>
  <c r="G1922" i="10" s="1"/>
  <c r="G1921" i="10"/>
  <c r="D1921" i="10"/>
  <c r="E1921" i="10" s="1"/>
  <c r="C1921" i="10"/>
  <c r="D1920" i="10"/>
  <c r="C1920" i="10"/>
  <c r="D1919" i="10"/>
  <c r="C1919" i="10"/>
  <c r="E1919" i="10" s="1"/>
  <c r="G1919" i="10" s="1"/>
  <c r="D1918" i="10"/>
  <c r="C1918" i="10"/>
  <c r="E1918" i="10" s="1"/>
  <c r="G1918" i="10" s="1"/>
  <c r="D1917" i="10"/>
  <c r="E1917" i="10" s="1"/>
  <c r="G1917" i="10" s="1"/>
  <c r="C1917" i="10"/>
  <c r="D1916" i="10"/>
  <c r="E1916" i="10" s="1"/>
  <c r="G1916" i="10" s="1"/>
  <c r="C1916" i="10"/>
  <c r="D1915" i="10"/>
  <c r="C1915" i="10"/>
  <c r="E1915" i="10" s="1"/>
  <c r="G1915" i="10" s="1"/>
  <c r="D1914" i="10"/>
  <c r="E1914" i="10" s="1"/>
  <c r="G1914" i="10" s="1"/>
  <c r="C1914" i="10"/>
  <c r="D1913" i="10"/>
  <c r="C1913" i="10"/>
  <c r="E1913" i="10" s="1"/>
  <c r="G1913" i="10" s="1"/>
  <c r="E1912" i="10"/>
  <c r="G1912" i="10" s="1"/>
  <c r="D1912" i="10"/>
  <c r="C1912" i="10"/>
  <c r="E1911" i="10"/>
  <c r="G1911" i="10" s="1"/>
  <c r="D1911" i="10"/>
  <c r="C1911" i="10"/>
  <c r="D1910" i="10"/>
  <c r="C1910" i="10"/>
  <c r="E1910" i="10" s="1"/>
  <c r="G1910" i="10" s="1"/>
  <c r="E1909" i="10"/>
  <c r="G1909" i="10" s="1"/>
  <c r="D1909" i="10"/>
  <c r="C1909" i="10"/>
  <c r="G1908" i="10"/>
  <c r="D1908" i="10"/>
  <c r="C1908" i="10"/>
  <c r="E1908" i="10" s="1"/>
  <c r="D1907" i="10"/>
  <c r="C1907" i="10"/>
  <c r="E1906" i="10"/>
  <c r="G1906" i="10" s="1"/>
  <c r="D1906" i="10"/>
  <c r="C1906" i="10"/>
  <c r="D1905" i="10"/>
  <c r="C1905" i="10"/>
  <c r="D1904" i="10"/>
  <c r="C1904" i="10"/>
  <c r="E1904" i="10" s="1"/>
  <c r="G1904" i="10" s="1"/>
  <c r="G1903" i="10"/>
  <c r="D1903" i="10"/>
  <c r="C1903" i="10"/>
  <c r="E1903" i="10" s="1"/>
  <c r="E1902" i="10"/>
  <c r="G1902" i="10" s="1"/>
  <c r="D1902" i="10"/>
  <c r="C1902" i="10"/>
  <c r="D1901" i="10"/>
  <c r="E1901" i="10" s="1"/>
  <c r="G1901" i="10" s="1"/>
  <c r="C1901" i="10"/>
  <c r="D1900" i="10"/>
  <c r="C1900" i="10"/>
  <c r="E1899" i="10"/>
  <c r="G1899" i="10" s="1"/>
  <c r="D1899" i="10"/>
  <c r="C1899" i="10"/>
  <c r="D1898" i="10"/>
  <c r="C1898" i="10"/>
  <c r="E1898" i="10" s="1"/>
  <c r="G1898" i="10" s="1"/>
  <c r="E1897" i="10"/>
  <c r="G1897" i="10" s="1"/>
  <c r="D1897" i="10"/>
  <c r="C1897" i="10"/>
  <c r="D1896" i="10"/>
  <c r="E1896" i="10" s="1"/>
  <c r="G1896" i="10" s="1"/>
  <c r="C1896" i="10"/>
  <c r="D1895" i="10"/>
  <c r="C1895" i="10"/>
  <c r="D1894" i="10"/>
  <c r="C1894" i="10"/>
  <c r="E1894" i="10" s="1"/>
  <c r="G1894" i="10" s="1"/>
  <c r="G1893" i="10"/>
  <c r="D1893" i="10"/>
  <c r="C1893" i="10"/>
  <c r="E1893" i="10" s="1"/>
  <c r="E1892" i="10"/>
  <c r="G1892" i="10" s="1"/>
  <c r="D1892" i="10"/>
  <c r="C1892" i="10"/>
  <c r="D1891" i="10"/>
  <c r="E1891" i="10" s="1"/>
  <c r="G1891" i="10" s="1"/>
  <c r="C1891" i="10"/>
  <c r="D1890" i="10"/>
  <c r="C1890" i="10"/>
  <c r="E1890" i="10" s="1"/>
  <c r="G1890" i="10" s="1"/>
  <c r="D1889" i="10"/>
  <c r="C1889" i="10"/>
  <c r="E1889" i="10" s="1"/>
  <c r="G1889" i="10" s="1"/>
  <c r="D1888" i="10"/>
  <c r="C1888" i="10"/>
  <c r="E1888" i="10" s="1"/>
  <c r="G1888" i="10" s="1"/>
  <c r="D1887" i="10"/>
  <c r="C1887" i="10"/>
  <c r="E1887" i="10" s="1"/>
  <c r="G1887" i="10" s="1"/>
  <c r="D1886" i="10"/>
  <c r="E1886" i="10" s="1"/>
  <c r="G1886" i="10" s="1"/>
  <c r="C1886" i="10"/>
  <c r="D1885" i="10"/>
  <c r="C1885" i="10"/>
  <c r="E1885" i="10" s="1"/>
  <c r="G1885" i="10" s="1"/>
  <c r="D1884" i="10"/>
  <c r="C1884" i="10"/>
  <c r="E1884" i="10" s="1"/>
  <c r="G1884" i="10" s="1"/>
  <c r="G1883" i="10"/>
  <c r="D1883" i="10"/>
  <c r="C1883" i="10"/>
  <c r="E1883" i="10" s="1"/>
  <c r="D1882" i="10"/>
  <c r="C1882" i="10"/>
  <c r="E1881" i="10"/>
  <c r="G1881" i="10" s="1"/>
  <c r="D1881" i="10"/>
  <c r="C1881" i="10"/>
  <c r="D1880" i="10"/>
  <c r="C1880" i="10"/>
  <c r="E1880" i="10" s="1"/>
  <c r="G1880" i="10" s="1"/>
  <c r="D1879" i="10"/>
  <c r="C1879" i="10"/>
  <c r="E1879" i="10" s="1"/>
  <c r="G1879" i="10" s="1"/>
  <c r="D1878" i="10"/>
  <c r="C1878" i="10"/>
  <c r="E1878" i="10" s="1"/>
  <c r="G1878" i="10" s="1"/>
  <c r="D1877" i="10"/>
  <c r="C1877" i="10"/>
  <c r="E1876" i="10"/>
  <c r="G1876" i="10" s="1"/>
  <c r="D1876" i="10"/>
  <c r="C1876" i="10"/>
  <c r="D1875" i="10"/>
  <c r="C1875" i="10"/>
  <c r="D1874" i="10"/>
  <c r="C1874" i="10"/>
  <c r="E1874" i="10" s="1"/>
  <c r="G1874" i="10" s="1"/>
  <c r="D1873" i="10"/>
  <c r="C1873" i="10"/>
  <c r="E1873" i="10" s="1"/>
  <c r="G1873" i="10" s="1"/>
  <c r="D1872" i="10"/>
  <c r="C1872" i="10"/>
  <c r="E1872" i="10" s="1"/>
  <c r="G1872" i="10" s="1"/>
  <c r="E1871" i="10"/>
  <c r="G1871" i="10" s="1"/>
  <c r="D1871" i="10"/>
  <c r="C1871" i="10"/>
  <c r="D1870" i="10"/>
  <c r="C1870" i="10"/>
  <c r="E1870" i="10" s="1"/>
  <c r="G1870" i="10" s="1"/>
  <c r="D1869" i="10"/>
  <c r="C1869" i="10"/>
  <c r="E1869" i="10" s="1"/>
  <c r="G1869" i="10" s="1"/>
  <c r="D1868" i="10"/>
  <c r="C1868" i="10"/>
  <c r="E1868" i="10" s="1"/>
  <c r="G1868" i="10" s="1"/>
  <c r="E1867" i="10"/>
  <c r="G1867" i="10" s="1"/>
  <c r="D1867" i="10"/>
  <c r="C1867" i="10"/>
  <c r="D1866" i="10"/>
  <c r="E1866" i="10" s="1"/>
  <c r="G1866" i="10" s="1"/>
  <c r="C1866" i="10"/>
  <c r="D1865" i="10"/>
  <c r="C1865" i="10"/>
  <c r="E1865" i="10" s="1"/>
  <c r="G1865" i="10" s="1"/>
  <c r="D1864" i="10"/>
  <c r="E1864" i="10" s="1"/>
  <c r="G1864" i="10" s="1"/>
  <c r="C1864" i="10"/>
  <c r="D1863" i="10"/>
  <c r="C1863" i="10"/>
  <c r="E1863" i="10" s="1"/>
  <c r="G1863" i="10" s="1"/>
  <c r="E1862" i="10"/>
  <c r="G1862" i="10" s="1"/>
  <c r="D1862" i="10"/>
  <c r="C1862" i="10"/>
  <c r="E1861" i="10"/>
  <c r="G1861" i="10" s="1"/>
  <c r="D1861" i="10"/>
  <c r="C1861" i="10"/>
  <c r="D1860" i="10"/>
  <c r="C1860" i="10"/>
  <c r="E1860" i="10" s="1"/>
  <c r="G1860" i="10" s="1"/>
  <c r="G1859" i="10"/>
  <c r="E1859" i="10"/>
  <c r="D1859" i="10"/>
  <c r="C1859" i="10"/>
  <c r="G1858" i="10"/>
  <c r="D1858" i="10"/>
  <c r="C1858" i="10"/>
  <c r="E1858" i="10" s="1"/>
  <c r="D1857" i="10"/>
  <c r="C1857" i="10"/>
  <c r="G1856" i="10"/>
  <c r="E1856" i="10"/>
  <c r="D1856" i="10"/>
  <c r="C1856" i="10"/>
  <c r="D1855" i="10"/>
  <c r="C1855" i="10"/>
  <c r="D1854" i="10"/>
  <c r="C1854" i="10"/>
  <c r="G1853" i="10"/>
  <c r="D1853" i="10"/>
  <c r="C1853" i="10"/>
  <c r="E1853" i="10" s="1"/>
  <c r="E1852" i="10"/>
  <c r="G1852" i="10" s="1"/>
  <c r="D1852" i="10"/>
  <c r="C1852" i="10"/>
  <c r="E1851" i="10"/>
  <c r="G1851" i="10" s="1"/>
  <c r="D1851" i="10"/>
  <c r="C1851" i="10"/>
  <c r="D1850" i="10"/>
  <c r="C1850" i="10"/>
  <c r="E1849" i="10"/>
  <c r="G1849" i="10" s="1"/>
  <c r="D1849" i="10"/>
  <c r="C1849" i="10"/>
  <c r="D1848" i="10"/>
  <c r="C1848" i="10"/>
  <c r="E1848" i="10" s="1"/>
  <c r="G1848" i="10" s="1"/>
  <c r="G1847" i="10"/>
  <c r="D1847" i="10"/>
  <c r="C1847" i="10"/>
  <c r="E1847" i="10" s="1"/>
  <c r="G1846" i="10"/>
  <c r="E1846" i="10"/>
  <c r="D1846" i="10"/>
  <c r="C1846" i="10"/>
  <c r="D1845" i="10"/>
  <c r="C1845" i="10"/>
  <c r="G1844" i="10"/>
  <c r="D1844" i="10"/>
  <c r="C1844" i="10"/>
  <c r="E1844" i="10" s="1"/>
  <c r="G1843" i="10"/>
  <c r="D1843" i="10"/>
  <c r="C1843" i="10"/>
  <c r="E1843" i="10" s="1"/>
  <c r="D1842" i="10"/>
  <c r="C1842" i="10"/>
  <c r="D1841" i="10"/>
  <c r="E1841" i="10" s="1"/>
  <c r="G1841" i="10" s="1"/>
  <c r="C1841" i="10"/>
  <c r="D1840" i="10"/>
  <c r="C1840" i="10"/>
  <c r="D1839" i="10"/>
  <c r="C1839" i="10"/>
  <c r="G1838" i="10"/>
  <c r="D1838" i="10"/>
  <c r="C1838" i="10"/>
  <c r="E1838" i="10" s="1"/>
  <c r="E1837" i="10"/>
  <c r="G1837" i="10" s="1"/>
  <c r="D1837" i="10"/>
  <c r="C1837" i="10"/>
  <c r="E1836" i="10"/>
  <c r="G1836" i="10" s="1"/>
  <c r="D1836" i="10"/>
  <c r="C1836" i="10"/>
  <c r="D1835" i="10"/>
  <c r="C1835" i="10"/>
  <c r="E1835" i="10" s="1"/>
  <c r="G1835" i="10" s="1"/>
  <c r="E1834" i="10"/>
  <c r="G1834" i="10" s="1"/>
  <c r="D1834" i="10"/>
  <c r="C1834" i="10"/>
  <c r="D1833" i="10"/>
  <c r="C1833" i="10"/>
  <c r="E1833" i="10" s="1"/>
  <c r="G1833" i="10" s="1"/>
  <c r="G1832" i="10"/>
  <c r="D1832" i="10"/>
  <c r="C1832" i="10"/>
  <c r="E1832" i="10" s="1"/>
  <c r="E1831" i="10"/>
  <c r="G1831" i="10" s="1"/>
  <c r="D1831" i="10"/>
  <c r="C1831" i="10"/>
  <c r="D1830" i="10"/>
  <c r="C1830" i="10"/>
  <c r="E1830" i="10" s="1"/>
  <c r="G1830" i="10" s="1"/>
  <c r="D1829" i="10"/>
  <c r="C1829" i="10"/>
  <c r="D1828" i="10"/>
  <c r="C1828" i="10"/>
  <c r="E1828" i="10" s="1"/>
  <c r="G1828" i="10" s="1"/>
  <c r="D1827" i="10"/>
  <c r="C1827" i="10"/>
  <c r="E1827" i="10" s="1"/>
  <c r="G1827" i="10" s="1"/>
  <c r="D1826" i="10"/>
  <c r="E1826" i="10" s="1"/>
  <c r="G1826" i="10" s="1"/>
  <c r="C1826" i="10"/>
  <c r="D1825" i="10"/>
  <c r="C1825" i="10"/>
  <c r="E1825" i="10" s="1"/>
  <c r="G1825" i="10" s="1"/>
  <c r="D1824" i="10"/>
  <c r="C1824" i="10"/>
  <c r="E1824" i="10" s="1"/>
  <c r="G1824" i="10" s="1"/>
  <c r="G1823" i="10"/>
  <c r="D1823" i="10"/>
  <c r="C1823" i="10"/>
  <c r="E1823" i="10" s="1"/>
  <c r="D1822" i="10"/>
  <c r="C1822" i="10"/>
  <c r="E1822" i="10" s="1"/>
  <c r="G1822" i="10" s="1"/>
  <c r="D1821" i="10"/>
  <c r="C1821" i="10"/>
  <c r="E1821" i="10" s="1"/>
  <c r="G1821" i="10" s="1"/>
  <c r="D1820" i="10"/>
  <c r="C1820" i="10"/>
  <c r="E1820" i="10" s="1"/>
  <c r="G1820" i="10" s="1"/>
  <c r="D1819" i="10"/>
  <c r="C1819" i="10"/>
  <c r="E1819" i="10" s="1"/>
  <c r="G1819" i="10" s="1"/>
  <c r="E1818" i="10"/>
  <c r="G1818" i="10" s="1"/>
  <c r="D1818" i="10"/>
  <c r="C1818" i="10"/>
  <c r="E1817" i="10"/>
  <c r="G1817" i="10" s="1"/>
  <c r="D1817" i="10"/>
  <c r="C1817" i="10"/>
  <c r="E1816" i="10"/>
  <c r="G1816" i="10" s="1"/>
  <c r="D1816" i="10"/>
  <c r="C1816" i="10"/>
  <c r="D1815" i="10"/>
  <c r="C1815" i="10"/>
  <c r="E1815" i="10" s="1"/>
  <c r="G1815" i="10" s="1"/>
  <c r="D1814" i="10"/>
  <c r="C1814" i="10"/>
  <c r="E1814" i="10" s="1"/>
  <c r="G1814" i="10" s="1"/>
  <c r="E1813" i="10"/>
  <c r="G1813" i="10" s="1"/>
  <c r="D1813" i="10"/>
  <c r="C1813" i="10"/>
  <c r="D1812" i="10"/>
  <c r="C1812" i="10"/>
  <c r="E1812" i="10" s="1"/>
  <c r="G1812" i="10" s="1"/>
  <c r="D1811" i="10"/>
  <c r="C1811" i="10"/>
  <c r="E1810" i="10"/>
  <c r="G1810" i="10" s="1"/>
  <c r="D1810" i="10"/>
  <c r="C1810" i="10"/>
  <c r="E1809" i="10"/>
  <c r="G1809" i="10" s="1"/>
  <c r="D1809" i="10"/>
  <c r="C1809" i="10"/>
  <c r="E1808" i="10"/>
  <c r="G1808" i="10" s="1"/>
  <c r="D1808" i="10"/>
  <c r="C1808" i="10"/>
  <c r="D1807" i="10"/>
  <c r="C1807" i="10"/>
  <c r="E1807" i="10" s="1"/>
  <c r="G1807" i="10" s="1"/>
  <c r="E1806" i="10"/>
  <c r="G1806" i="10" s="1"/>
  <c r="D1806" i="10"/>
  <c r="C1806" i="10"/>
  <c r="E1805" i="10"/>
  <c r="G1805" i="10" s="1"/>
  <c r="D1805" i="10"/>
  <c r="C1805" i="10"/>
  <c r="D1804" i="10"/>
  <c r="C1804" i="10"/>
  <c r="E1804" i="10" s="1"/>
  <c r="G1804" i="10" s="1"/>
  <c r="D1803" i="10"/>
  <c r="C1803" i="10"/>
  <c r="E1803" i="10" s="1"/>
  <c r="G1803" i="10" s="1"/>
  <c r="D1802" i="10"/>
  <c r="C1802" i="10"/>
  <c r="E1802" i="10" s="1"/>
  <c r="G1802" i="10" s="1"/>
  <c r="E1801" i="10"/>
  <c r="G1801" i="10" s="1"/>
  <c r="D1801" i="10"/>
  <c r="C1801" i="10"/>
  <c r="G1800" i="10"/>
  <c r="D1800" i="10"/>
  <c r="C1800" i="10"/>
  <c r="E1800" i="10" s="1"/>
  <c r="D1799" i="10"/>
  <c r="C1799" i="10"/>
  <c r="E1799" i="10" s="1"/>
  <c r="G1799" i="10" s="1"/>
  <c r="D1798" i="10"/>
  <c r="C1798" i="10"/>
  <c r="E1797" i="10"/>
  <c r="G1797" i="10" s="1"/>
  <c r="D1797" i="10"/>
  <c r="C1797" i="10"/>
  <c r="D1796" i="10"/>
  <c r="C1796" i="10"/>
  <c r="E1796" i="10" s="1"/>
  <c r="G1796" i="10" s="1"/>
  <c r="D1795" i="10"/>
  <c r="C1795" i="10"/>
  <c r="E1795" i="10" s="1"/>
  <c r="G1795" i="10" s="1"/>
  <c r="D1794" i="10"/>
  <c r="C1794" i="10"/>
  <c r="E1794" i="10" s="1"/>
  <c r="G1794" i="10" s="1"/>
  <c r="E1793" i="10"/>
  <c r="G1793" i="10" s="1"/>
  <c r="D1793" i="10"/>
  <c r="C1793" i="10"/>
  <c r="E1792" i="10"/>
  <c r="G1792" i="10" s="1"/>
  <c r="D1792" i="10"/>
  <c r="C1792" i="10"/>
  <c r="D1791" i="10"/>
  <c r="C1791" i="10"/>
  <c r="E1791" i="10" s="1"/>
  <c r="G1791" i="10" s="1"/>
  <c r="D1790" i="10"/>
  <c r="C1790" i="10"/>
  <c r="G1789" i="10"/>
  <c r="E1789" i="10"/>
  <c r="D1789" i="10"/>
  <c r="C1789" i="10"/>
  <c r="D1788" i="10"/>
  <c r="E1788" i="10" s="1"/>
  <c r="G1788" i="10" s="1"/>
  <c r="C1788" i="10"/>
  <c r="E1787" i="10"/>
  <c r="G1787" i="10" s="1"/>
  <c r="D1787" i="10"/>
  <c r="C1787" i="10"/>
  <c r="D1786" i="10"/>
  <c r="C1786" i="10"/>
  <c r="E1786" i="10" s="1"/>
  <c r="G1786" i="10" s="1"/>
  <c r="D1785" i="10"/>
  <c r="C1785" i="10"/>
  <c r="E1785" i="10" s="1"/>
  <c r="G1785" i="10" s="1"/>
  <c r="E1784" i="10"/>
  <c r="G1784" i="10" s="1"/>
  <c r="D1784" i="10"/>
  <c r="C1784" i="10"/>
  <c r="D1783" i="10"/>
  <c r="C1783" i="10"/>
  <c r="E1783" i="10" s="1"/>
  <c r="G1783" i="10" s="1"/>
  <c r="E1782" i="10"/>
  <c r="G1782" i="10" s="1"/>
  <c r="D1782" i="10"/>
  <c r="C1782" i="10"/>
  <c r="E1781" i="10"/>
  <c r="G1781" i="10" s="1"/>
  <c r="D1781" i="10"/>
  <c r="C1781" i="10"/>
  <c r="D1780" i="10"/>
  <c r="E1780" i="10" s="1"/>
  <c r="G1780" i="10" s="1"/>
  <c r="C1780" i="10"/>
  <c r="G1779" i="10"/>
  <c r="E1779" i="10"/>
  <c r="D1779" i="10"/>
  <c r="C1779" i="10"/>
  <c r="D1778" i="10"/>
  <c r="C1778" i="10"/>
  <c r="E1778" i="10" s="1"/>
  <c r="G1778" i="10" s="1"/>
  <c r="G1777" i="10"/>
  <c r="D1777" i="10"/>
  <c r="C1777" i="10"/>
  <c r="E1777" i="10" s="1"/>
  <c r="D1776" i="10"/>
  <c r="E1776" i="10" s="1"/>
  <c r="G1776" i="10" s="1"/>
  <c r="C1776" i="10"/>
  <c r="D1775" i="10"/>
  <c r="C1775" i="10"/>
  <c r="E1775" i="10" s="1"/>
  <c r="G1775" i="10" s="1"/>
  <c r="E1774" i="10"/>
  <c r="G1774" i="10" s="1"/>
  <c r="D1774" i="10"/>
  <c r="C1774" i="10"/>
  <c r="D1773" i="10"/>
  <c r="C1773" i="10"/>
  <c r="E1773" i="10" s="1"/>
  <c r="G1773" i="10" s="1"/>
  <c r="G1772" i="10"/>
  <c r="E1772" i="10"/>
  <c r="D1772" i="10"/>
  <c r="C1772" i="10"/>
  <c r="E1771" i="10"/>
  <c r="G1771" i="10" s="1"/>
  <c r="D1771" i="10"/>
  <c r="C1771" i="10"/>
  <c r="D1770" i="10"/>
  <c r="C1770" i="10"/>
  <c r="E1770" i="10" s="1"/>
  <c r="G1770" i="10" s="1"/>
  <c r="D1769" i="10"/>
  <c r="C1769" i="10"/>
  <c r="E1769" i="10" s="1"/>
  <c r="G1769" i="10" s="1"/>
  <c r="E1768" i="10"/>
  <c r="G1768" i="10" s="1"/>
  <c r="D1768" i="10"/>
  <c r="C1768" i="10"/>
  <c r="E1767" i="10"/>
  <c r="G1767" i="10" s="1"/>
  <c r="D1767" i="10"/>
  <c r="C1767" i="10"/>
  <c r="D1766" i="10"/>
  <c r="C1766" i="10"/>
  <c r="E1766" i="10" s="1"/>
  <c r="G1766" i="10" s="1"/>
  <c r="D1765" i="10"/>
  <c r="C1765" i="10"/>
  <c r="E1765" i="10" s="1"/>
  <c r="G1765" i="10" s="1"/>
  <c r="E1764" i="10"/>
  <c r="G1764" i="10" s="1"/>
  <c r="D1764" i="10"/>
  <c r="C1764" i="10"/>
  <c r="D1763" i="10"/>
  <c r="E1763" i="10" s="1"/>
  <c r="G1763" i="10" s="1"/>
  <c r="C1763" i="10"/>
  <c r="D1762" i="10"/>
  <c r="C1762" i="10"/>
  <c r="E1762" i="10" s="1"/>
  <c r="G1762" i="10" s="1"/>
  <c r="D1761" i="10"/>
  <c r="C1761" i="10"/>
  <c r="E1761" i="10" s="1"/>
  <c r="G1761" i="10" s="1"/>
  <c r="E1760" i="10"/>
  <c r="G1760" i="10" s="1"/>
  <c r="D1760" i="10"/>
  <c r="C1760" i="10"/>
  <c r="E1759" i="10"/>
  <c r="G1759" i="10" s="1"/>
  <c r="D1759" i="10"/>
  <c r="C1759" i="10"/>
  <c r="G1758" i="10"/>
  <c r="D1758" i="10"/>
  <c r="C1758" i="10"/>
  <c r="E1758" i="10" s="1"/>
  <c r="D1757" i="10"/>
  <c r="C1757" i="10"/>
  <c r="E1757" i="10" s="1"/>
  <c r="G1757" i="10" s="1"/>
  <c r="E1756" i="10"/>
  <c r="G1756" i="10" s="1"/>
  <c r="D1756" i="10"/>
  <c r="C1756" i="10"/>
  <c r="E1755" i="10"/>
  <c r="G1755" i="10" s="1"/>
  <c r="D1755" i="10"/>
  <c r="C1755" i="10"/>
  <c r="D1754" i="10"/>
  <c r="C1754" i="10"/>
  <c r="E1754" i="10" s="1"/>
  <c r="G1754" i="10" s="1"/>
  <c r="D1753" i="10"/>
  <c r="C1753" i="10"/>
  <c r="D1752" i="10"/>
  <c r="C1752" i="10"/>
  <c r="E1752" i="10" s="1"/>
  <c r="G1752" i="10" s="1"/>
  <c r="D1751" i="10"/>
  <c r="E1751" i="10" s="1"/>
  <c r="G1751" i="10" s="1"/>
  <c r="C1751" i="10"/>
  <c r="D1750" i="10"/>
  <c r="C1750" i="10"/>
  <c r="D1749" i="10"/>
  <c r="C1749" i="10"/>
  <c r="E1749" i="10" s="1"/>
  <c r="G1749" i="10" s="1"/>
  <c r="G1748" i="10"/>
  <c r="D1748" i="10"/>
  <c r="C1748" i="10"/>
  <c r="E1748" i="10" s="1"/>
  <c r="E1747" i="10"/>
  <c r="G1747" i="10" s="1"/>
  <c r="D1747" i="10"/>
  <c r="C1747" i="10"/>
  <c r="D1746" i="10"/>
  <c r="C1746" i="10"/>
  <c r="D1745" i="10"/>
  <c r="E1745" i="10" s="1"/>
  <c r="G1745" i="10" s="1"/>
  <c r="C1745" i="10"/>
  <c r="G1744" i="10"/>
  <c r="D1744" i="10"/>
  <c r="C1744" i="10"/>
  <c r="E1744" i="10" s="1"/>
  <c r="E1743" i="10"/>
  <c r="G1743" i="10" s="1"/>
  <c r="D1743" i="10"/>
  <c r="C1743" i="10"/>
  <c r="E1742" i="10"/>
  <c r="G1742" i="10" s="1"/>
  <c r="D1742" i="10"/>
  <c r="C1742" i="10"/>
  <c r="D1741" i="10"/>
  <c r="C1741" i="10"/>
  <c r="E1741" i="10" s="1"/>
  <c r="G1741" i="10" s="1"/>
  <c r="D1740" i="10"/>
  <c r="C1740" i="10"/>
  <c r="E1740" i="10" s="1"/>
  <c r="G1740" i="10" s="1"/>
  <c r="E1739" i="10"/>
  <c r="G1739" i="10" s="1"/>
  <c r="D1739" i="10"/>
  <c r="C1739" i="10"/>
  <c r="E1738" i="10"/>
  <c r="G1738" i="10" s="1"/>
  <c r="D1738" i="10"/>
  <c r="C1738" i="10"/>
  <c r="D1737" i="10"/>
  <c r="E1737" i="10" s="1"/>
  <c r="G1737" i="10" s="1"/>
  <c r="C1737" i="10"/>
  <c r="D1736" i="10"/>
  <c r="C1736" i="10"/>
  <c r="E1736" i="10" s="1"/>
  <c r="G1736" i="10" s="1"/>
  <c r="E1735" i="10"/>
  <c r="G1735" i="10" s="1"/>
  <c r="D1735" i="10"/>
  <c r="C1735" i="10"/>
  <c r="E1734" i="10"/>
  <c r="G1734" i="10" s="1"/>
  <c r="D1734" i="10"/>
  <c r="C1734" i="10"/>
  <c r="D1733" i="10"/>
  <c r="C1733" i="10"/>
  <c r="E1733" i="10" s="1"/>
  <c r="G1733" i="10" s="1"/>
  <c r="D1732" i="10"/>
  <c r="C1732" i="10"/>
  <c r="E1732" i="10" s="1"/>
  <c r="G1732" i="10" s="1"/>
  <c r="E1731" i="10"/>
  <c r="G1731" i="10" s="1"/>
  <c r="D1731" i="10"/>
  <c r="C1731" i="10"/>
  <c r="E1730" i="10"/>
  <c r="G1730" i="10" s="1"/>
  <c r="D1730" i="10"/>
  <c r="C1730" i="10"/>
  <c r="D1729" i="10"/>
  <c r="C1729" i="10"/>
  <c r="E1729" i="10" s="1"/>
  <c r="G1729" i="10" s="1"/>
  <c r="D1728" i="10"/>
  <c r="C1728" i="10"/>
  <c r="E1728" i="10" s="1"/>
  <c r="G1728" i="10" s="1"/>
  <c r="D1727" i="10"/>
  <c r="C1727" i="10"/>
  <c r="D1726" i="10"/>
  <c r="E1726" i="10" s="1"/>
  <c r="G1726" i="10" s="1"/>
  <c r="C1726" i="10"/>
  <c r="D1725" i="10"/>
  <c r="C1725" i="10"/>
  <c r="D1724" i="10"/>
  <c r="C1724" i="10"/>
  <c r="E1724" i="10" s="1"/>
  <c r="G1724" i="10" s="1"/>
  <c r="G1723" i="10"/>
  <c r="D1723" i="10"/>
  <c r="C1723" i="10"/>
  <c r="E1723" i="10" s="1"/>
  <c r="G1722" i="10"/>
  <c r="D1722" i="10"/>
  <c r="C1722" i="10"/>
  <c r="E1722" i="10" s="1"/>
  <c r="D1721" i="10"/>
  <c r="C1721" i="10"/>
  <c r="E1721" i="10" s="1"/>
  <c r="G1721" i="10" s="1"/>
  <c r="D1720" i="10"/>
  <c r="C1720" i="10"/>
  <c r="E1720" i="10" s="1"/>
  <c r="G1720" i="10" s="1"/>
  <c r="G1719" i="10"/>
  <c r="D1719" i="10"/>
  <c r="C1719" i="10"/>
  <c r="E1719" i="10" s="1"/>
  <c r="G1718" i="10"/>
  <c r="E1718" i="10"/>
  <c r="D1718" i="10"/>
  <c r="C1718" i="10"/>
  <c r="D1717" i="10"/>
  <c r="E1717" i="10" s="1"/>
  <c r="G1717" i="10" s="1"/>
  <c r="C1717" i="10"/>
  <c r="D1716" i="10"/>
  <c r="E1716" i="10" s="1"/>
  <c r="G1716" i="10" s="1"/>
  <c r="C1716" i="10"/>
  <c r="G1715" i="10"/>
  <c r="D1715" i="10"/>
  <c r="C1715" i="10"/>
  <c r="E1715" i="10" s="1"/>
  <c r="E1714" i="10"/>
  <c r="G1714" i="10" s="1"/>
  <c r="D1714" i="10"/>
  <c r="C1714" i="10"/>
  <c r="E1713" i="10"/>
  <c r="G1713" i="10" s="1"/>
  <c r="D1713" i="10"/>
  <c r="C1713" i="10"/>
  <c r="D1712" i="10"/>
  <c r="C1712" i="10"/>
  <c r="E1712" i="10" s="1"/>
  <c r="G1712" i="10" s="1"/>
  <c r="D1711" i="10"/>
  <c r="C1711" i="10"/>
  <c r="E1711" i="10" s="1"/>
  <c r="G1711" i="10" s="1"/>
  <c r="G1710" i="10"/>
  <c r="E1710" i="10"/>
  <c r="D1710" i="10"/>
  <c r="C1710" i="10"/>
  <c r="E1709" i="10"/>
  <c r="G1709" i="10" s="1"/>
  <c r="D1709" i="10"/>
  <c r="C1709" i="10"/>
  <c r="D1708" i="10"/>
  <c r="C1708" i="10"/>
  <c r="D1707" i="10"/>
  <c r="C1707" i="10"/>
  <c r="E1707" i="10" s="1"/>
  <c r="G1707" i="10" s="1"/>
  <c r="E1706" i="10"/>
  <c r="G1706" i="10" s="1"/>
  <c r="D1706" i="10"/>
  <c r="C1706" i="10"/>
  <c r="E1705" i="10"/>
  <c r="G1705" i="10" s="1"/>
  <c r="D1705" i="10"/>
  <c r="C1705" i="10"/>
  <c r="D1704" i="10"/>
  <c r="C1704" i="10"/>
  <c r="E1704" i="10" s="1"/>
  <c r="G1704" i="10" s="1"/>
  <c r="D1703" i="10"/>
  <c r="E1703" i="10" s="1"/>
  <c r="G1703" i="10" s="1"/>
  <c r="C1703" i="10"/>
  <c r="G1702" i="10"/>
  <c r="D1702" i="10"/>
  <c r="C1702" i="10"/>
  <c r="E1702" i="10" s="1"/>
  <c r="D1701" i="10"/>
  <c r="E1701" i="10" s="1"/>
  <c r="G1701" i="10" s="1"/>
  <c r="C1701" i="10"/>
  <c r="D1700" i="10"/>
  <c r="E1700" i="10" s="1"/>
  <c r="G1700" i="10" s="1"/>
  <c r="C1700" i="10"/>
  <c r="D1699" i="10"/>
  <c r="C1699" i="10"/>
  <c r="E1699" i="10" s="1"/>
  <c r="G1699" i="10" s="1"/>
  <c r="D1698" i="10"/>
  <c r="C1698" i="10"/>
  <c r="E1698" i="10" s="1"/>
  <c r="G1698" i="10" s="1"/>
  <c r="G1697" i="10"/>
  <c r="E1697" i="10"/>
  <c r="D1697" i="10"/>
  <c r="C1697" i="10"/>
  <c r="D1696" i="10"/>
  <c r="C1696" i="10"/>
  <c r="E1696" i="10" s="1"/>
  <c r="G1696" i="10" s="1"/>
  <c r="D1695" i="10"/>
  <c r="C1695" i="10"/>
  <c r="E1695" i="10" s="1"/>
  <c r="G1695" i="10" s="1"/>
  <c r="G1694" i="10"/>
  <c r="D1694" i="10"/>
  <c r="C1694" i="10"/>
  <c r="E1694" i="10" s="1"/>
  <c r="E1693" i="10"/>
  <c r="G1693" i="10" s="1"/>
  <c r="D1693" i="10"/>
  <c r="C1693" i="10"/>
  <c r="E1692" i="10"/>
  <c r="G1692" i="10" s="1"/>
  <c r="D1692" i="10"/>
  <c r="C1692" i="10"/>
  <c r="D1691" i="10"/>
  <c r="C1691" i="10"/>
  <c r="E1691" i="10" s="1"/>
  <c r="G1691" i="10" s="1"/>
  <c r="D1690" i="10"/>
  <c r="C1690" i="10"/>
  <c r="G1689" i="10"/>
  <c r="E1689" i="10"/>
  <c r="D1689" i="10"/>
  <c r="C1689" i="10"/>
  <c r="E1688" i="10"/>
  <c r="G1688" i="10" s="1"/>
  <c r="D1688" i="10"/>
  <c r="C1688" i="10"/>
  <c r="E1687" i="10"/>
  <c r="G1687" i="10" s="1"/>
  <c r="D1687" i="10"/>
  <c r="C1687" i="10"/>
  <c r="D1686" i="10"/>
  <c r="C1686" i="10"/>
  <c r="E1686" i="10" s="1"/>
  <c r="G1686" i="10" s="1"/>
  <c r="E1685" i="10"/>
  <c r="G1685" i="10" s="1"/>
  <c r="D1685" i="10"/>
  <c r="C1685" i="10"/>
  <c r="E1684" i="10"/>
  <c r="G1684" i="10" s="1"/>
  <c r="D1684" i="10"/>
  <c r="C1684" i="10"/>
  <c r="D1683" i="10"/>
  <c r="C1683" i="10"/>
  <c r="E1683" i="10" s="1"/>
  <c r="G1683" i="10" s="1"/>
  <c r="D1682" i="10"/>
  <c r="C1682" i="10"/>
  <c r="E1681" i="10"/>
  <c r="G1681" i="10" s="1"/>
  <c r="D1681" i="10"/>
  <c r="C1681" i="10"/>
  <c r="D1680" i="10"/>
  <c r="E1680" i="10" s="1"/>
  <c r="G1680" i="10" s="1"/>
  <c r="C1680" i="10"/>
  <c r="D1679" i="10"/>
  <c r="C1679" i="10"/>
  <c r="E1679" i="10" s="1"/>
  <c r="G1679" i="10" s="1"/>
  <c r="D1678" i="10"/>
  <c r="C1678" i="10"/>
  <c r="E1678" i="10" s="1"/>
  <c r="G1678" i="10" s="1"/>
  <c r="G1677" i="10"/>
  <c r="D1677" i="10"/>
  <c r="C1677" i="10"/>
  <c r="E1677" i="10" s="1"/>
  <c r="D1676" i="10"/>
  <c r="E1676" i="10" s="1"/>
  <c r="G1676" i="10" s="1"/>
  <c r="C1676" i="10"/>
  <c r="D1675" i="10"/>
  <c r="C1675" i="10"/>
  <c r="D1674" i="10"/>
  <c r="C1674" i="10"/>
  <c r="E1674" i="10" s="1"/>
  <c r="G1674" i="10" s="1"/>
  <c r="D1673" i="10"/>
  <c r="C1673" i="10"/>
  <c r="E1673" i="10" s="1"/>
  <c r="G1673" i="10" s="1"/>
  <c r="D1672" i="10"/>
  <c r="C1672" i="10"/>
  <c r="E1672" i="10" s="1"/>
  <c r="G1672" i="10" s="1"/>
  <c r="D1671" i="10"/>
  <c r="C1671" i="10"/>
  <c r="E1671" i="10" s="1"/>
  <c r="G1671" i="10" s="1"/>
  <c r="D1670" i="10"/>
  <c r="C1670" i="10"/>
  <c r="E1670" i="10" s="1"/>
  <c r="G1670" i="10" s="1"/>
  <c r="D1669" i="10"/>
  <c r="C1669" i="10"/>
  <c r="E1669" i="10" s="1"/>
  <c r="G1669" i="10" s="1"/>
  <c r="G1668" i="10"/>
  <c r="E1668" i="10"/>
  <c r="D1668" i="10"/>
  <c r="C1668" i="10"/>
  <c r="E1667" i="10"/>
  <c r="G1667" i="10" s="1"/>
  <c r="D1667" i="10"/>
  <c r="C1667" i="10"/>
  <c r="D1666" i="10"/>
  <c r="C1666" i="10"/>
  <c r="E1666" i="10" s="1"/>
  <c r="G1666" i="10" s="1"/>
  <c r="G1665" i="10"/>
  <c r="D1665" i="10"/>
  <c r="C1665" i="10"/>
  <c r="E1665" i="10" s="1"/>
  <c r="E1664" i="10"/>
  <c r="G1664" i="10" s="1"/>
  <c r="D1664" i="10"/>
  <c r="C1664" i="10"/>
  <c r="E1663" i="10"/>
  <c r="G1663" i="10" s="1"/>
  <c r="D1663" i="10"/>
  <c r="C1663" i="10"/>
  <c r="D1662" i="10"/>
  <c r="C1662" i="10"/>
  <c r="D1661" i="10"/>
  <c r="C1661" i="10"/>
  <c r="E1661" i="10" s="1"/>
  <c r="G1661" i="10" s="1"/>
  <c r="E1660" i="10"/>
  <c r="G1660" i="10" s="1"/>
  <c r="D1660" i="10"/>
  <c r="C1660" i="10"/>
  <c r="E1659" i="10"/>
  <c r="G1659" i="10" s="1"/>
  <c r="D1659" i="10"/>
  <c r="C1659" i="10"/>
  <c r="D1658" i="10"/>
  <c r="E1658" i="10" s="1"/>
  <c r="G1658" i="10" s="1"/>
  <c r="C1658" i="10"/>
  <c r="D1657" i="10"/>
  <c r="C1657" i="10"/>
  <c r="E1657" i="10" s="1"/>
  <c r="G1657" i="10" s="1"/>
  <c r="D1656" i="10"/>
  <c r="C1656" i="10"/>
  <c r="E1656" i="10" s="1"/>
  <c r="G1656" i="10" s="1"/>
  <c r="G1655" i="10"/>
  <c r="D1655" i="10"/>
  <c r="E1655" i="10" s="1"/>
  <c r="C1655" i="10"/>
  <c r="D1654" i="10"/>
  <c r="C1654" i="10"/>
  <c r="E1654" i="10" s="1"/>
  <c r="G1654" i="10" s="1"/>
  <c r="D1653" i="10"/>
  <c r="C1653" i="10"/>
  <c r="E1653" i="10" s="1"/>
  <c r="G1653" i="10" s="1"/>
  <c r="G1652" i="10"/>
  <c r="D1652" i="10"/>
  <c r="C1652" i="10"/>
  <c r="E1652" i="10" s="1"/>
  <c r="D1651" i="10"/>
  <c r="E1651" i="10" s="1"/>
  <c r="G1651" i="10" s="1"/>
  <c r="C1651" i="10"/>
  <c r="D1650" i="10"/>
  <c r="C1650" i="10"/>
  <c r="E1650" i="10" s="1"/>
  <c r="G1650" i="10" s="1"/>
  <c r="D1649" i="10"/>
  <c r="C1649" i="10"/>
  <c r="E1649" i="10" s="1"/>
  <c r="G1649" i="10" s="1"/>
  <c r="D1648" i="10"/>
  <c r="C1648" i="10"/>
  <c r="E1648" i="10" s="1"/>
  <c r="G1648" i="10" s="1"/>
  <c r="E1647" i="10"/>
  <c r="G1647" i="10" s="1"/>
  <c r="D1647" i="10"/>
  <c r="C1647" i="10"/>
  <c r="D1646" i="10"/>
  <c r="C1646" i="10"/>
  <c r="E1646" i="10" s="1"/>
  <c r="G1646" i="10" s="1"/>
  <c r="E1645" i="10"/>
  <c r="G1645" i="10" s="1"/>
  <c r="D1645" i="10"/>
  <c r="C1645" i="10"/>
  <c r="G1644" i="10"/>
  <c r="D1644" i="10"/>
  <c r="C1644" i="10"/>
  <c r="E1644" i="10" s="1"/>
  <c r="D1643" i="10"/>
  <c r="C1643" i="10"/>
  <c r="E1643" i="10" s="1"/>
  <c r="G1643" i="10" s="1"/>
  <c r="D1642" i="10"/>
  <c r="E1642" i="10" s="1"/>
  <c r="G1642" i="10" s="1"/>
  <c r="C1642" i="10"/>
  <c r="D1641" i="10"/>
  <c r="C1641" i="10"/>
  <c r="E1641" i="10" s="1"/>
  <c r="G1641" i="10" s="1"/>
  <c r="D1640" i="10"/>
  <c r="C1640" i="10"/>
  <c r="E1639" i="10"/>
  <c r="G1639" i="10" s="1"/>
  <c r="D1639" i="10"/>
  <c r="C1639" i="10"/>
  <c r="E1638" i="10"/>
  <c r="G1638" i="10" s="1"/>
  <c r="D1638" i="10"/>
  <c r="C1638" i="10"/>
  <c r="D1637" i="10"/>
  <c r="C1637" i="10"/>
  <c r="E1637" i="10" s="1"/>
  <c r="G1637" i="10" s="1"/>
  <c r="D1636" i="10"/>
  <c r="C1636" i="10"/>
  <c r="E1636" i="10" s="1"/>
  <c r="G1636" i="10" s="1"/>
  <c r="E1635" i="10"/>
  <c r="G1635" i="10" s="1"/>
  <c r="D1635" i="10"/>
  <c r="C1635" i="10"/>
  <c r="E1634" i="10"/>
  <c r="G1634" i="10" s="1"/>
  <c r="D1634" i="10"/>
  <c r="C1634" i="10"/>
  <c r="D1633" i="10"/>
  <c r="C1633" i="10"/>
  <c r="D1632" i="10"/>
  <c r="E1632" i="10" s="1"/>
  <c r="G1632" i="10" s="1"/>
  <c r="C1632" i="10"/>
  <c r="E1631" i="10"/>
  <c r="G1631" i="10" s="1"/>
  <c r="D1631" i="10"/>
  <c r="C1631" i="10"/>
  <c r="D1630" i="10"/>
  <c r="E1630" i="10" s="1"/>
  <c r="G1630" i="10" s="1"/>
  <c r="C1630" i="10"/>
  <c r="E1629" i="10"/>
  <c r="G1629" i="10" s="1"/>
  <c r="D1629" i="10"/>
  <c r="C1629" i="10"/>
  <c r="D1628" i="10"/>
  <c r="C1628" i="10"/>
  <c r="E1628" i="10" s="1"/>
  <c r="G1628" i="10" s="1"/>
  <c r="D1627" i="10"/>
  <c r="C1627" i="10"/>
  <c r="E1627" i="10" s="1"/>
  <c r="G1627" i="10" s="1"/>
  <c r="E1626" i="10"/>
  <c r="G1626" i="10" s="1"/>
  <c r="D1626" i="10"/>
  <c r="C1626" i="10"/>
  <c r="D1625" i="10"/>
  <c r="C1625" i="10"/>
  <c r="E1624" i="10"/>
  <c r="G1624" i="10" s="1"/>
  <c r="D1624" i="10"/>
  <c r="C1624" i="10"/>
  <c r="D1623" i="10"/>
  <c r="C1623" i="10"/>
  <c r="E1623" i="10" s="1"/>
  <c r="G1623" i="10" s="1"/>
  <c r="E1622" i="10"/>
  <c r="G1622" i="10" s="1"/>
  <c r="D1622" i="10"/>
  <c r="C1622" i="10"/>
  <c r="E1621" i="10"/>
  <c r="G1621" i="10" s="1"/>
  <c r="D1621" i="10"/>
  <c r="C1621" i="10"/>
  <c r="D1620" i="10"/>
  <c r="C1620" i="10"/>
  <c r="E1620" i="10" s="1"/>
  <c r="G1620" i="10" s="1"/>
  <c r="G1619" i="10"/>
  <c r="D1619" i="10"/>
  <c r="C1619" i="10"/>
  <c r="E1619" i="10" s="1"/>
  <c r="G1618" i="10"/>
  <c r="E1618" i="10"/>
  <c r="D1618" i="10"/>
  <c r="C1618" i="10"/>
  <c r="E1617" i="10"/>
  <c r="G1617" i="10" s="1"/>
  <c r="D1617" i="10"/>
  <c r="C1617" i="10"/>
  <c r="E1616" i="10"/>
  <c r="G1616" i="10" s="1"/>
  <c r="D1616" i="10"/>
  <c r="C1616" i="10"/>
  <c r="G1615" i="10"/>
  <c r="D1615" i="10"/>
  <c r="C1615" i="10"/>
  <c r="E1615" i="10" s="1"/>
  <c r="D1614" i="10"/>
  <c r="C1614" i="10"/>
  <c r="E1614" i="10" s="1"/>
  <c r="G1614" i="10" s="1"/>
  <c r="D1613" i="10"/>
  <c r="E1613" i="10" s="1"/>
  <c r="G1613" i="10" s="1"/>
  <c r="C1613" i="10"/>
  <c r="D1612" i="10"/>
  <c r="C1612" i="10"/>
  <c r="E1612" i="10" s="1"/>
  <c r="G1612" i="10" s="1"/>
  <c r="D1611" i="10"/>
  <c r="C1611" i="10"/>
  <c r="E1611" i="10" s="1"/>
  <c r="G1611" i="10" s="1"/>
  <c r="E1610" i="10"/>
  <c r="G1610" i="10" s="1"/>
  <c r="D1610" i="10"/>
  <c r="C1610" i="10"/>
  <c r="E1609" i="10"/>
  <c r="G1609" i="10" s="1"/>
  <c r="D1609" i="10"/>
  <c r="C1609" i="10"/>
  <c r="G1608" i="10"/>
  <c r="D1608" i="10"/>
  <c r="C1608" i="10"/>
  <c r="E1608" i="10" s="1"/>
  <c r="D1607" i="10"/>
  <c r="C1607" i="10"/>
  <c r="E1607" i="10" s="1"/>
  <c r="G1607" i="10" s="1"/>
  <c r="D1606" i="10"/>
  <c r="C1606" i="10"/>
  <c r="E1606" i="10" s="1"/>
  <c r="G1606" i="10" s="1"/>
  <c r="E1605" i="10"/>
  <c r="G1605" i="10" s="1"/>
  <c r="D1605" i="10"/>
  <c r="C1605" i="10"/>
  <c r="D1604" i="10"/>
  <c r="C1604" i="10"/>
  <c r="E1604" i="10" s="1"/>
  <c r="G1604" i="10" s="1"/>
  <c r="E1603" i="10"/>
  <c r="G1603" i="10" s="1"/>
  <c r="D1603" i="10"/>
  <c r="C1603" i="10"/>
  <c r="D1602" i="10"/>
  <c r="C1602" i="10"/>
  <c r="E1602" i="10" s="1"/>
  <c r="G1602" i="10" s="1"/>
  <c r="D1601" i="10"/>
  <c r="E1601" i="10" s="1"/>
  <c r="G1601" i="10" s="1"/>
  <c r="C1601" i="10"/>
  <c r="G1600" i="10"/>
  <c r="E1600" i="10"/>
  <c r="D1600" i="10"/>
  <c r="C1600" i="10"/>
  <c r="D1599" i="10"/>
  <c r="C1599" i="10"/>
  <c r="E1599" i="10" s="1"/>
  <c r="G1599" i="10" s="1"/>
  <c r="G1598" i="10"/>
  <c r="D1598" i="10"/>
  <c r="C1598" i="10"/>
  <c r="E1598" i="10" s="1"/>
  <c r="E1597" i="10"/>
  <c r="G1597" i="10" s="1"/>
  <c r="D1597" i="10"/>
  <c r="C1597" i="10"/>
  <c r="D1596" i="10"/>
  <c r="C1596" i="10"/>
  <c r="E1596" i="10" s="1"/>
  <c r="G1596" i="10" s="1"/>
  <c r="D1595" i="10"/>
  <c r="C1595" i="10"/>
  <c r="D1594" i="10"/>
  <c r="C1594" i="10"/>
  <c r="E1594" i="10" s="1"/>
  <c r="G1594" i="10" s="1"/>
  <c r="D1593" i="10"/>
  <c r="C1593" i="10"/>
  <c r="E1593" i="10" s="1"/>
  <c r="G1593" i="10" s="1"/>
  <c r="E1592" i="10"/>
  <c r="G1592" i="10" s="1"/>
  <c r="D1592" i="10"/>
  <c r="C1592" i="10"/>
  <c r="D1591" i="10"/>
  <c r="C1591" i="10"/>
  <c r="E1591" i="10" s="1"/>
  <c r="G1591" i="10" s="1"/>
  <c r="G1590" i="10"/>
  <c r="D1590" i="10"/>
  <c r="C1590" i="10"/>
  <c r="E1590" i="10" s="1"/>
  <c r="G1589" i="10"/>
  <c r="E1589" i="10"/>
  <c r="D1589" i="10"/>
  <c r="C1589" i="10"/>
  <c r="E1588" i="10"/>
  <c r="G1588" i="10" s="1"/>
  <c r="D1588" i="10"/>
  <c r="C1588" i="10"/>
  <c r="G1587" i="10"/>
  <c r="D1587" i="10"/>
  <c r="C1587" i="10"/>
  <c r="E1587" i="10" s="1"/>
  <c r="D1586" i="10"/>
  <c r="C1586" i="10"/>
  <c r="E1586" i="10" s="1"/>
  <c r="G1586" i="10" s="1"/>
  <c r="D1585" i="10"/>
  <c r="C1585" i="10"/>
  <c r="E1585" i="10" s="1"/>
  <c r="G1585" i="10" s="1"/>
  <c r="G1584" i="10"/>
  <c r="E1584" i="10"/>
  <c r="D1584" i="10"/>
  <c r="C1584" i="10"/>
  <c r="D1583" i="10"/>
  <c r="C1583" i="10"/>
  <c r="E1583" i="10" s="1"/>
  <c r="G1583" i="10" s="1"/>
  <c r="D1582" i="10"/>
  <c r="C1582" i="10"/>
  <c r="E1582" i="10" s="1"/>
  <c r="G1582" i="10" s="1"/>
  <c r="E1581" i="10"/>
  <c r="G1581" i="10" s="1"/>
  <c r="D1581" i="10"/>
  <c r="C1581" i="10"/>
  <c r="D1580" i="10"/>
  <c r="E1580" i="10" s="1"/>
  <c r="G1580" i="10" s="1"/>
  <c r="C1580" i="10"/>
  <c r="G1579" i="10"/>
  <c r="D1579" i="10"/>
  <c r="C1579" i="10"/>
  <c r="E1579" i="10" s="1"/>
  <c r="D1578" i="10"/>
  <c r="C1578" i="10"/>
  <c r="E1578" i="10" s="1"/>
  <c r="G1578" i="10" s="1"/>
  <c r="D1577" i="10"/>
  <c r="C1577" i="10"/>
  <c r="E1577" i="10" s="1"/>
  <c r="G1577" i="10" s="1"/>
  <c r="D1576" i="10"/>
  <c r="E1576" i="10" s="1"/>
  <c r="G1576" i="10" s="1"/>
  <c r="C1576" i="10"/>
  <c r="D1575" i="10"/>
  <c r="C1575" i="10"/>
  <c r="E1574" i="10"/>
  <c r="G1574" i="10" s="1"/>
  <c r="D1574" i="10"/>
  <c r="C1574" i="10"/>
  <c r="G1573" i="10"/>
  <c r="D1573" i="10"/>
  <c r="C1573" i="10"/>
  <c r="E1573" i="10" s="1"/>
  <c r="D1572" i="10"/>
  <c r="C1572" i="10"/>
  <c r="E1572" i="10" s="1"/>
  <c r="G1572" i="10" s="1"/>
  <c r="E1571" i="10"/>
  <c r="G1571" i="10" s="1"/>
  <c r="D1571" i="10"/>
  <c r="C1571" i="10"/>
  <c r="D1570" i="10"/>
  <c r="C1570" i="10"/>
  <c r="E1570" i="10" s="1"/>
  <c r="G1570" i="10" s="1"/>
  <c r="D1569" i="10"/>
  <c r="C1569" i="10"/>
  <c r="E1569" i="10" s="1"/>
  <c r="G1569" i="10" s="1"/>
  <c r="G1568" i="10"/>
  <c r="E1568" i="10"/>
  <c r="D1568" i="10"/>
  <c r="C1568" i="10"/>
  <c r="D1567" i="10"/>
  <c r="E1567" i="10" s="1"/>
  <c r="G1567" i="10" s="1"/>
  <c r="C1567" i="10"/>
  <c r="D1566" i="10"/>
  <c r="C1566" i="10"/>
  <c r="E1566" i="10" s="1"/>
  <c r="G1566" i="10" s="1"/>
  <c r="D1565" i="10"/>
  <c r="C1565" i="10"/>
  <c r="E1565" i="10" s="1"/>
  <c r="G1565" i="10" s="1"/>
  <c r="D1564" i="10"/>
  <c r="C1564" i="10"/>
  <c r="E1564" i="10" s="1"/>
  <c r="G1564" i="10" s="1"/>
  <c r="E1563" i="10"/>
  <c r="G1563" i="10" s="1"/>
  <c r="D1563" i="10"/>
  <c r="C1563" i="10"/>
  <c r="D1562" i="10"/>
  <c r="C1562" i="10"/>
  <c r="E1562" i="10" s="1"/>
  <c r="G1562" i="10" s="1"/>
  <c r="D1561" i="10"/>
  <c r="C1561" i="10"/>
  <c r="E1560" i="10"/>
  <c r="G1560" i="10" s="1"/>
  <c r="D1560" i="10"/>
  <c r="C1560" i="10"/>
  <c r="E1559" i="10"/>
  <c r="G1559" i="10" s="1"/>
  <c r="D1559" i="10"/>
  <c r="C1559" i="10"/>
  <c r="E1558" i="10"/>
  <c r="G1558" i="10" s="1"/>
  <c r="D1558" i="10"/>
  <c r="C1558" i="10"/>
  <c r="D1557" i="10"/>
  <c r="C1557" i="10"/>
  <c r="E1557" i="10" s="1"/>
  <c r="G1557" i="10" s="1"/>
  <c r="E1556" i="10"/>
  <c r="G1556" i="10" s="1"/>
  <c r="D1556" i="10"/>
  <c r="C1556" i="10"/>
  <c r="E1555" i="10"/>
  <c r="G1555" i="10" s="1"/>
  <c r="D1555" i="10"/>
  <c r="C1555" i="10"/>
  <c r="D1554" i="10"/>
  <c r="C1554" i="10"/>
  <c r="E1554" i="10" s="1"/>
  <c r="G1554" i="10" s="1"/>
  <c r="D1553" i="10"/>
  <c r="C1553" i="10"/>
  <c r="E1553" i="10" s="1"/>
  <c r="G1553" i="10" s="1"/>
  <c r="D1552" i="10"/>
  <c r="C1552" i="10"/>
  <c r="E1552" i="10" s="1"/>
  <c r="G1552" i="10" s="1"/>
  <c r="E1551" i="10"/>
  <c r="G1551" i="10" s="1"/>
  <c r="D1551" i="10"/>
  <c r="C1551" i="10"/>
  <c r="D1550" i="10"/>
  <c r="C1550" i="10"/>
  <c r="D1549" i="10"/>
  <c r="C1549" i="10"/>
  <c r="E1549" i="10" s="1"/>
  <c r="G1549" i="10" s="1"/>
  <c r="D1548" i="10"/>
  <c r="C1548" i="10"/>
  <c r="E1547" i="10"/>
  <c r="G1547" i="10" s="1"/>
  <c r="D1547" i="10"/>
  <c r="C1547" i="10"/>
  <c r="D1546" i="10"/>
  <c r="C1546" i="10"/>
  <c r="E1546" i="10" s="1"/>
  <c r="G1546" i="10" s="1"/>
  <c r="D1545" i="10"/>
  <c r="C1545" i="10"/>
  <c r="D1544" i="10"/>
  <c r="C1544" i="10"/>
  <c r="E1544" i="10" s="1"/>
  <c r="G1544" i="10" s="1"/>
  <c r="D1543" i="10"/>
  <c r="C1543" i="10"/>
  <c r="E1543" i="10" s="1"/>
  <c r="G1543" i="10" s="1"/>
  <c r="D1542" i="10"/>
  <c r="E1542" i="10" s="1"/>
  <c r="G1542" i="10" s="1"/>
  <c r="C1542" i="10"/>
  <c r="D1541" i="10"/>
  <c r="C1541" i="10"/>
  <c r="E1541" i="10" s="1"/>
  <c r="G1541" i="10" s="1"/>
  <c r="D1540" i="10"/>
  <c r="C1540" i="10"/>
  <c r="G1539" i="10"/>
  <c r="E1539" i="10"/>
  <c r="D1539" i="10"/>
  <c r="C1539" i="10"/>
  <c r="D1538" i="10"/>
  <c r="E1538" i="10" s="1"/>
  <c r="G1538" i="10" s="1"/>
  <c r="C1538" i="10"/>
  <c r="D1537" i="10"/>
  <c r="C1537" i="10"/>
  <c r="E1537" i="10" s="1"/>
  <c r="G1537" i="10" s="1"/>
  <c r="D1536" i="10"/>
  <c r="C1536" i="10"/>
  <c r="E1536" i="10" s="1"/>
  <c r="G1536" i="10" s="1"/>
  <c r="D1535" i="10"/>
  <c r="C1535" i="10"/>
  <c r="E1535" i="10" s="1"/>
  <c r="G1535" i="10" s="1"/>
  <c r="E1534" i="10"/>
  <c r="G1534" i="10" s="1"/>
  <c r="D1534" i="10"/>
  <c r="C1534" i="10"/>
  <c r="D1533" i="10"/>
  <c r="C1533" i="10"/>
  <c r="E1533" i="10" s="1"/>
  <c r="G1533" i="10" s="1"/>
  <c r="E1532" i="10"/>
  <c r="G1532" i="10" s="1"/>
  <c r="D1532" i="10"/>
  <c r="C1532" i="10"/>
  <c r="E1531" i="10"/>
  <c r="G1531" i="10" s="1"/>
  <c r="D1531" i="10"/>
  <c r="C1531" i="10"/>
  <c r="D1530" i="10"/>
  <c r="E1530" i="10" s="1"/>
  <c r="G1530" i="10" s="1"/>
  <c r="C1530" i="10"/>
  <c r="E1529" i="10"/>
  <c r="G1529" i="10" s="1"/>
  <c r="D1529" i="10"/>
  <c r="C1529" i="10"/>
  <c r="D1528" i="10"/>
  <c r="C1528" i="10"/>
  <c r="E1528" i="10" s="1"/>
  <c r="G1528" i="10" s="1"/>
  <c r="G1527" i="10"/>
  <c r="D1527" i="10"/>
  <c r="C1527" i="10"/>
  <c r="E1527" i="10" s="1"/>
  <c r="D1526" i="10"/>
  <c r="E1526" i="10" s="1"/>
  <c r="G1526" i="10" s="1"/>
  <c r="C1526" i="10"/>
  <c r="D1525" i="10"/>
  <c r="C1525" i="10"/>
  <c r="E1525" i="10" s="1"/>
  <c r="G1525" i="10" s="1"/>
  <c r="D1524" i="10"/>
  <c r="C1524" i="10"/>
  <c r="E1524" i="10" s="1"/>
  <c r="G1524" i="10" s="1"/>
  <c r="D1523" i="10"/>
  <c r="C1523" i="10"/>
  <c r="E1523" i="10" s="1"/>
  <c r="G1523" i="10" s="1"/>
  <c r="E1522" i="10"/>
  <c r="G1522" i="10" s="1"/>
  <c r="D1522" i="10"/>
  <c r="C1522" i="10"/>
  <c r="E1521" i="10"/>
  <c r="G1521" i="10" s="1"/>
  <c r="D1521" i="10"/>
  <c r="C1521" i="10"/>
  <c r="D1520" i="10"/>
  <c r="C1520" i="10"/>
  <c r="E1520" i="10" s="1"/>
  <c r="G1520" i="10" s="1"/>
  <c r="G1519" i="10"/>
  <c r="D1519" i="10"/>
  <c r="C1519" i="10"/>
  <c r="E1519" i="10" s="1"/>
  <c r="E1518" i="10"/>
  <c r="G1518" i="10" s="1"/>
  <c r="D1518" i="10"/>
  <c r="C1518" i="10"/>
  <c r="E1517" i="10"/>
  <c r="G1517" i="10" s="1"/>
  <c r="D1517" i="10"/>
  <c r="C1517" i="10"/>
  <c r="D1516" i="10"/>
  <c r="E1516" i="10" s="1"/>
  <c r="G1516" i="10" s="1"/>
  <c r="C1516" i="10"/>
  <c r="D1515" i="10"/>
  <c r="C1515" i="10"/>
  <c r="E1515" i="10" s="1"/>
  <c r="G1515" i="10" s="1"/>
  <c r="E1514" i="10"/>
  <c r="G1514" i="10" s="1"/>
  <c r="D1514" i="10"/>
  <c r="C1514" i="10"/>
  <c r="E1513" i="10"/>
  <c r="G1513" i="10" s="1"/>
  <c r="D1513" i="10"/>
  <c r="C1513" i="10"/>
  <c r="D1512" i="10"/>
  <c r="C1512" i="10"/>
  <c r="E1512" i="10" s="1"/>
  <c r="G1512" i="10" s="1"/>
  <c r="D1511" i="10"/>
  <c r="C1511" i="10"/>
  <c r="E1511" i="10" s="1"/>
  <c r="G1511" i="10" s="1"/>
  <c r="E1510" i="10"/>
  <c r="G1510" i="10" s="1"/>
  <c r="D1510" i="10"/>
  <c r="C1510" i="10"/>
  <c r="E1509" i="10"/>
  <c r="G1509" i="10" s="1"/>
  <c r="D1509" i="10"/>
  <c r="C1509" i="10"/>
  <c r="D1508" i="10"/>
  <c r="C1508" i="10"/>
  <c r="E1508" i="10" s="1"/>
  <c r="G1508" i="10" s="1"/>
  <c r="D1507" i="10"/>
  <c r="C1507" i="10"/>
  <c r="E1507" i="10" s="1"/>
  <c r="G1507" i="10" s="1"/>
  <c r="E1506" i="10"/>
  <c r="G1506" i="10" s="1"/>
  <c r="D1506" i="10"/>
  <c r="C1506" i="10"/>
  <c r="E1505" i="10"/>
  <c r="G1505" i="10" s="1"/>
  <c r="D1505" i="10"/>
  <c r="C1505" i="10"/>
  <c r="D1504" i="10"/>
  <c r="C1504" i="10"/>
  <c r="E1504" i="10" s="1"/>
  <c r="G1504" i="10" s="1"/>
  <c r="D1503" i="10"/>
  <c r="C1503" i="10"/>
  <c r="E1503" i="10" s="1"/>
  <c r="G1503" i="10" s="1"/>
  <c r="D1502" i="10"/>
  <c r="C1502" i="10"/>
  <c r="E1502" i="10" s="1"/>
  <c r="G1502" i="10" s="1"/>
  <c r="D1501" i="10"/>
  <c r="E1501" i="10" s="1"/>
  <c r="G1501" i="10" s="1"/>
  <c r="C1501" i="10"/>
  <c r="D1500" i="10"/>
  <c r="C1500" i="10"/>
  <c r="E1500" i="10" s="1"/>
  <c r="G1500" i="10" s="1"/>
  <c r="D1499" i="10"/>
  <c r="C1499" i="10"/>
  <c r="E1499" i="10" s="1"/>
  <c r="G1499" i="10" s="1"/>
  <c r="D1498" i="10"/>
  <c r="C1498" i="10"/>
  <c r="E1498" i="10" s="1"/>
  <c r="G1498" i="10" s="1"/>
  <c r="E1497" i="10"/>
  <c r="G1497" i="10" s="1"/>
  <c r="D1497" i="10"/>
  <c r="C1497" i="10"/>
  <c r="D1496" i="10"/>
  <c r="C1496" i="10"/>
  <c r="D1495" i="10"/>
  <c r="E1495" i="10" s="1"/>
  <c r="G1495" i="10" s="1"/>
  <c r="C1495" i="10"/>
  <c r="G1494" i="10"/>
  <c r="D1494" i="10"/>
  <c r="C1494" i="10"/>
  <c r="E1494" i="10" s="1"/>
  <c r="G1493" i="10"/>
  <c r="E1493" i="10"/>
  <c r="D1493" i="10"/>
  <c r="C1493" i="10"/>
  <c r="E1492" i="10"/>
  <c r="G1492" i="10" s="1"/>
  <c r="D1492" i="10"/>
  <c r="C1492" i="10"/>
  <c r="D1491" i="10"/>
  <c r="C1491" i="10"/>
  <c r="E1491" i="10" s="1"/>
  <c r="G1491" i="10" s="1"/>
  <c r="D1490" i="10"/>
  <c r="C1490" i="10"/>
  <c r="E1489" i="10"/>
  <c r="G1489" i="10" s="1"/>
  <c r="D1489" i="10"/>
  <c r="C1489" i="10"/>
  <c r="D1488" i="10"/>
  <c r="E1488" i="10" s="1"/>
  <c r="G1488" i="10" s="1"/>
  <c r="C1488" i="10"/>
  <c r="D1487" i="10"/>
  <c r="E1487" i="10" s="1"/>
  <c r="G1487" i="10" s="1"/>
  <c r="C1487" i="10"/>
  <c r="D1486" i="10"/>
  <c r="C1486" i="10"/>
  <c r="E1486" i="10" s="1"/>
  <c r="G1486" i="10" s="1"/>
  <c r="D1485" i="10"/>
  <c r="C1485" i="10"/>
  <c r="E1485" i="10" s="1"/>
  <c r="G1485" i="10" s="1"/>
  <c r="E1484" i="10"/>
  <c r="G1484" i="10" s="1"/>
  <c r="D1484" i="10"/>
  <c r="C1484" i="10"/>
  <c r="D1483" i="10"/>
  <c r="C1483" i="10"/>
  <c r="E1483" i="10" s="1"/>
  <c r="G1483" i="10" s="1"/>
  <c r="D1482" i="10"/>
  <c r="C1482" i="10"/>
  <c r="E1482" i="10" s="1"/>
  <c r="G1482" i="10" s="1"/>
  <c r="E1481" i="10"/>
  <c r="G1481" i="10" s="1"/>
  <c r="D1481" i="10"/>
  <c r="C1481" i="10"/>
  <c r="E1480" i="10"/>
  <c r="G1480" i="10" s="1"/>
  <c r="D1480" i="10"/>
  <c r="C1480" i="10"/>
  <c r="D1479" i="10"/>
  <c r="C1479" i="10"/>
  <c r="E1479" i="10" s="1"/>
  <c r="G1479" i="10" s="1"/>
  <c r="D1478" i="10"/>
  <c r="C1478" i="10"/>
  <c r="E1478" i="10" s="1"/>
  <c r="G1478" i="10" s="1"/>
  <c r="D1477" i="10"/>
  <c r="C1477" i="10"/>
  <c r="D1476" i="10"/>
  <c r="E1476" i="10" s="1"/>
  <c r="G1476" i="10" s="1"/>
  <c r="C1476" i="10"/>
  <c r="D1475" i="10"/>
  <c r="C1475" i="10"/>
  <c r="E1475" i="10" s="1"/>
  <c r="G1475" i="10" s="1"/>
  <c r="D1474" i="10"/>
  <c r="C1474" i="10"/>
  <c r="E1474" i="10" s="1"/>
  <c r="G1474" i="10" s="1"/>
  <c r="G1473" i="10"/>
  <c r="D1473" i="10"/>
  <c r="C1473" i="10"/>
  <c r="E1473" i="10" s="1"/>
  <c r="D1472" i="10"/>
  <c r="C1472" i="10"/>
  <c r="E1472" i="10" s="1"/>
  <c r="G1472" i="10" s="1"/>
  <c r="E1471" i="10"/>
  <c r="G1471" i="10" s="1"/>
  <c r="D1471" i="10"/>
  <c r="C1471" i="10"/>
  <c r="D1470" i="10"/>
  <c r="C1470" i="10"/>
  <c r="E1470" i="10" s="1"/>
  <c r="G1470" i="10" s="1"/>
  <c r="G1469" i="10"/>
  <c r="D1469" i="10"/>
  <c r="C1469" i="10"/>
  <c r="E1469" i="10" s="1"/>
  <c r="G1468" i="10"/>
  <c r="E1468" i="10"/>
  <c r="D1468" i="10"/>
  <c r="C1468" i="10"/>
  <c r="E1467" i="10"/>
  <c r="G1467" i="10" s="1"/>
  <c r="D1467" i="10"/>
  <c r="C1467" i="10"/>
  <c r="D1466" i="10"/>
  <c r="E1466" i="10" s="1"/>
  <c r="G1466" i="10" s="1"/>
  <c r="C1466" i="10"/>
  <c r="D1465" i="10"/>
  <c r="C1465" i="10"/>
  <c r="E1465" i="10" s="1"/>
  <c r="G1465" i="10" s="1"/>
  <c r="G1464" i="10"/>
  <c r="E1464" i="10"/>
  <c r="D1464" i="10"/>
  <c r="C1464" i="10"/>
  <c r="E1463" i="10"/>
  <c r="G1463" i="10" s="1"/>
  <c r="D1463" i="10"/>
  <c r="C1463" i="10"/>
  <c r="D1462" i="10"/>
  <c r="C1462" i="10"/>
  <c r="E1462" i="10" s="1"/>
  <c r="G1462" i="10" s="1"/>
  <c r="D1461" i="10"/>
  <c r="C1461" i="10"/>
  <c r="E1461" i="10" s="1"/>
  <c r="G1461" i="10" s="1"/>
  <c r="G1460" i="10"/>
  <c r="E1460" i="10"/>
  <c r="D1460" i="10"/>
  <c r="C1460" i="10"/>
  <c r="E1459" i="10"/>
  <c r="G1459" i="10" s="1"/>
  <c r="D1459" i="10"/>
  <c r="C1459" i="10"/>
  <c r="D1458" i="10"/>
  <c r="C1458" i="10"/>
  <c r="D1457" i="10"/>
  <c r="C1457" i="10"/>
  <c r="E1457" i="10" s="1"/>
  <c r="G1457" i="10" s="1"/>
  <c r="E1456" i="10"/>
  <c r="G1456" i="10" s="1"/>
  <c r="D1456" i="10"/>
  <c r="C1456" i="10"/>
  <c r="E1455" i="10"/>
  <c r="G1455" i="10" s="1"/>
  <c r="D1455" i="10"/>
  <c r="C1455" i="10"/>
  <c r="D1454" i="10"/>
  <c r="C1454" i="10"/>
  <c r="E1454" i="10" s="1"/>
  <c r="G1454" i="10" s="1"/>
  <c r="D1453" i="10"/>
  <c r="E1453" i="10" s="1"/>
  <c r="G1453" i="10" s="1"/>
  <c r="C1453" i="10"/>
  <c r="G1452" i="10"/>
  <c r="D1452" i="10"/>
  <c r="C1452" i="10"/>
  <c r="E1452" i="10" s="1"/>
  <c r="E1451" i="10"/>
  <c r="G1451" i="10" s="1"/>
  <c r="D1451" i="10"/>
  <c r="C1451" i="10"/>
  <c r="D1450" i="10"/>
  <c r="E1450" i="10" s="1"/>
  <c r="G1450" i="10" s="1"/>
  <c r="C1450" i="10"/>
  <c r="D1449" i="10"/>
  <c r="C1449" i="10"/>
  <c r="E1449" i="10" s="1"/>
  <c r="G1449" i="10" s="1"/>
  <c r="D1448" i="10"/>
  <c r="C1448" i="10"/>
  <c r="G1447" i="10"/>
  <c r="E1447" i="10"/>
  <c r="D1447" i="10"/>
  <c r="C1447" i="10"/>
  <c r="D1446" i="10"/>
  <c r="C1446" i="10"/>
  <c r="E1446" i="10" s="1"/>
  <c r="G1446" i="10" s="1"/>
  <c r="D1445" i="10"/>
  <c r="C1445" i="10"/>
  <c r="E1445" i="10" s="1"/>
  <c r="G1445" i="10" s="1"/>
  <c r="G1444" i="10"/>
  <c r="D1444" i="10"/>
  <c r="C1444" i="10"/>
  <c r="E1444" i="10" s="1"/>
  <c r="E1443" i="10"/>
  <c r="G1443" i="10" s="1"/>
  <c r="D1443" i="10"/>
  <c r="C1443" i="10"/>
  <c r="E1442" i="10"/>
  <c r="G1442" i="10" s="1"/>
  <c r="D1442" i="10"/>
  <c r="C1442" i="10"/>
  <c r="D1441" i="10"/>
  <c r="C1441" i="10"/>
  <c r="E1441" i="10" s="1"/>
  <c r="G1441" i="10" s="1"/>
  <c r="D1440" i="10"/>
  <c r="C1440" i="10"/>
  <c r="E1439" i="10"/>
  <c r="G1439" i="10" s="1"/>
  <c r="D1439" i="10"/>
  <c r="C1439" i="10"/>
  <c r="D1438" i="10"/>
  <c r="E1438" i="10" s="1"/>
  <c r="G1438" i="10" s="1"/>
  <c r="C1438" i="10"/>
  <c r="D1437" i="10"/>
  <c r="C1437" i="10"/>
  <c r="E1437" i="10" s="1"/>
  <c r="G1437" i="10" s="1"/>
  <c r="D1436" i="10"/>
  <c r="C1436" i="10"/>
  <c r="E1436" i="10" s="1"/>
  <c r="G1436" i="10" s="1"/>
  <c r="E1435" i="10"/>
  <c r="G1435" i="10" s="1"/>
  <c r="D1435" i="10"/>
  <c r="C1435" i="10"/>
  <c r="E1434" i="10"/>
  <c r="G1434" i="10" s="1"/>
  <c r="D1434" i="10"/>
  <c r="C1434" i="10"/>
  <c r="D1433" i="10"/>
  <c r="C1433" i="10"/>
  <c r="D1432" i="10"/>
  <c r="C1432" i="10"/>
  <c r="E1432" i="10" s="1"/>
  <c r="G1432" i="10" s="1"/>
  <c r="E1431" i="10"/>
  <c r="G1431" i="10" s="1"/>
  <c r="D1431" i="10"/>
  <c r="C1431" i="10"/>
  <c r="D1430" i="10"/>
  <c r="E1430" i="10" s="1"/>
  <c r="G1430" i="10" s="1"/>
  <c r="C1430" i="10"/>
  <c r="D1429" i="10"/>
  <c r="C1429" i="10"/>
  <c r="E1429" i="10" s="1"/>
  <c r="G1429" i="10" s="1"/>
  <c r="D1428" i="10"/>
  <c r="C1428" i="10"/>
  <c r="E1428" i="10" s="1"/>
  <c r="G1428" i="10" s="1"/>
  <c r="G1427" i="10"/>
  <c r="D1427" i="10"/>
  <c r="C1427" i="10"/>
  <c r="E1427" i="10" s="1"/>
  <c r="D1426" i="10"/>
  <c r="E1426" i="10" s="1"/>
  <c r="G1426" i="10" s="1"/>
  <c r="C1426" i="10"/>
  <c r="D1425" i="10"/>
  <c r="C1425" i="10"/>
  <c r="D1424" i="10"/>
  <c r="C1424" i="10"/>
  <c r="E1424" i="10" s="1"/>
  <c r="G1424" i="10" s="1"/>
  <c r="D1423" i="10"/>
  <c r="C1423" i="10"/>
  <c r="E1423" i="10" s="1"/>
  <c r="G1423" i="10" s="1"/>
  <c r="D1422" i="10"/>
  <c r="C1422" i="10"/>
  <c r="E1422" i="10" s="1"/>
  <c r="G1422" i="10" s="1"/>
  <c r="D1421" i="10"/>
  <c r="C1421" i="10"/>
  <c r="E1421" i="10" s="1"/>
  <c r="G1421" i="10" s="1"/>
  <c r="D1420" i="10"/>
  <c r="C1420" i="10"/>
  <c r="E1420" i="10" s="1"/>
  <c r="G1420" i="10" s="1"/>
  <c r="G1419" i="10"/>
  <c r="D1419" i="10"/>
  <c r="C1419" i="10"/>
  <c r="E1419" i="10" s="1"/>
  <c r="E1418" i="10"/>
  <c r="G1418" i="10" s="1"/>
  <c r="D1418" i="10"/>
  <c r="C1418" i="10"/>
  <c r="E1417" i="10"/>
  <c r="G1417" i="10" s="1"/>
  <c r="D1417" i="10"/>
  <c r="C1417" i="10"/>
  <c r="E1416" i="10"/>
  <c r="G1416" i="10" s="1"/>
  <c r="D1416" i="10"/>
  <c r="C1416" i="10"/>
  <c r="G1415" i="10"/>
  <c r="D1415" i="10"/>
  <c r="C1415" i="10"/>
  <c r="E1415" i="10" s="1"/>
  <c r="D1414" i="10"/>
  <c r="C1414" i="10"/>
  <c r="E1414" i="10" s="1"/>
  <c r="G1414" i="10" s="1"/>
  <c r="E1413" i="10"/>
  <c r="G1413" i="10" s="1"/>
  <c r="D1413" i="10"/>
  <c r="C1413" i="10"/>
  <c r="D1412" i="10"/>
  <c r="C1412" i="10"/>
  <c r="D1411" i="10"/>
  <c r="C1411" i="10"/>
  <c r="E1411" i="10" s="1"/>
  <c r="G1411" i="10" s="1"/>
  <c r="E1410" i="10"/>
  <c r="G1410" i="10" s="1"/>
  <c r="D1410" i="10"/>
  <c r="C1410" i="10"/>
  <c r="E1409" i="10"/>
  <c r="G1409" i="10" s="1"/>
  <c r="D1409" i="10"/>
  <c r="C1409" i="10"/>
  <c r="D1408" i="10"/>
  <c r="E1408" i="10" s="1"/>
  <c r="G1408" i="10" s="1"/>
  <c r="C1408" i="10"/>
  <c r="D1407" i="10"/>
  <c r="C1407" i="10"/>
  <c r="E1407" i="10" s="1"/>
  <c r="G1407" i="10" s="1"/>
  <c r="D1406" i="10"/>
  <c r="C1406" i="10"/>
  <c r="E1406" i="10" s="1"/>
  <c r="G1406" i="10" s="1"/>
  <c r="D1405" i="10"/>
  <c r="E1405" i="10" s="1"/>
  <c r="G1405" i="10" s="1"/>
  <c r="C1405" i="10"/>
  <c r="D1404" i="10"/>
  <c r="C1404" i="10"/>
  <c r="E1404" i="10" s="1"/>
  <c r="G1404" i="10" s="1"/>
  <c r="D1403" i="10"/>
  <c r="C1403" i="10"/>
  <c r="E1403" i="10" s="1"/>
  <c r="G1403" i="10" s="1"/>
  <c r="G1402" i="10"/>
  <c r="D1402" i="10"/>
  <c r="C1402" i="10"/>
  <c r="E1402" i="10" s="1"/>
  <c r="E1401" i="10"/>
  <c r="G1401" i="10" s="1"/>
  <c r="D1401" i="10"/>
  <c r="C1401" i="10"/>
  <c r="D1400" i="10"/>
  <c r="C1400" i="10"/>
  <c r="E1400" i="10" s="1"/>
  <c r="G1400" i="10" s="1"/>
  <c r="D1399" i="10"/>
  <c r="C1399" i="10"/>
  <c r="E1399" i="10" s="1"/>
  <c r="G1399" i="10" s="1"/>
  <c r="D1398" i="10"/>
  <c r="C1398" i="10"/>
  <c r="E1398" i="10" s="1"/>
  <c r="G1398" i="10" s="1"/>
  <c r="E1397" i="10"/>
  <c r="G1397" i="10" s="1"/>
  <c r="D1397" i="10"/>
  <c r="C1397" i="10"/>
  <c r="D1396" i="10"/>
  <c r="C1396" i="10"/>
  <c r="E1396" i="10" s="1"/>
  <c r="G1396" i="10" s="1"/>
  <c r="E1395" i="10"/>
  <c r="G1395" i="10" s="1"/>
  <c r="D1395" i="10"/>
  <c r="C1395" i="10"/>
  <c r="D1394" i="10"/>
  <c r="C1394" i="10"/>
  <c r="E1394" i="10" s="1"/>
  <c r="G1394" i="10" s="1"/>
  <c r="G1393" i="10"/>
  <c r="D1393" i="10"/>
  <c r="C1393" i="10"/>
  <c r="E1393" i="10" s="1"/>
  <c r="G1392" i="10"/>
  <c r="D1392" i="10"/>
  <c r="E1392" i="10" s="1"/>
  <c r="C1392" i="10"/>
  <c r="D1391" i="10"/>
  <c r="C1391" i="10"/>
  <c r="E1391" i="10" s="1"/>
  <c r="G1391" i="10" s="1"/>
  <c r="D1390" i="10"/>
  <c r="C1390" i="10"/>
  <c r="G1389" i="10"/>
  <c r="D1389" i="10"/>
  <c r="C1389" i="10"/>
  <c r="E1389" i="10" s="1"/>
  <c r="E1388" i="10"/>
  <c r="G1388" i="10" s="1"/>
  <c r="D1388" i="10"/>
  <c r="C1388" i="10"/>
  <c r="E1387" i="10"/>
  <c r="G1387" i="10" s="1"/>
  <c r="D1387" i="10"/>
  <c r="C1387" i="10"/>
  <c r="D1386" i="10"/>
  <c r="C1386" i="10"/>
  <c r="D1385" i="10"/>
  <c r="E1385" i="10" s="1"/>
  <c r="G1385" i="10" s="1"/>
  <c r="C1385" i="10"/>
  <c r="D1384" i="10"/>
  <c r="C1384" i="10"/>
  <c r="E1384" i="10" s="1"/>
  <c r="G1384" i="10" s="1"/>
  <c r="E1383" i="10"/>
  <c r="G1383" i="10" s="1"/>
  <c r="D1383" i="10"/>
  <c r="C1383" i="10"/>
  <c r="E1382" i="10"/>
  <c r="G1382" i="10" s="1"/>
  <c r="D1382" i="10"/>
  <c r="C1382" i="10"/>
  <c r="D1381" i="10"/>
  <c r="C1381" i="10"/>
  <c r="E1381" i="10" s="1"/>
  <c r="G1381" i="10" s="1"/>
  <c r="D1380" i="10"/>
  <c r="C1380" i="10"/>
  <c r="E1380" i="10" s="1"/>
  <c r="G1380" i="10" s="1"/>
  <c r="D1379" i="10"/>
  <c r="C1379" i="10"/>
  <c r="E1379" i="10" s="1"/>
  <c r="G1379" i="10" s="1"/>
  <c r="E1378" i="10"/>
  <c r="G1378" i="10" s="1"/>
  <c r="D1378" i="10"/>
  <c r="C1378" i="10"/>
  <c r="E1377" i="10"/>
  <c r="G1377" i="10" s="1"/>
  <c r="D1377" i="10"/>
  <c r="C1377" i="10"/>
  <c r="D1376" i="10"/>
  <c r="C1376" i="10"/>
  <c r="E1376" i="10" s="1"/>
  <c r="G1376" i="10" s="1"/>
  <c r="D1375" i="10"/>
  <c r="C1375" i="10"/>
  <c r="E1375" i="10" s="1"/>
  <c r="G1375" i="10" s="1"/>
  <c r="D1374" i="10"/>
  <c r="C1374" i="10"/>
  <c r="E1374" i="10" s="1"/>
  <c r="G1374" i="10" s="1"/>
  <c r="G1373" i="10"/>
  <c r="D1373" i="10"/>
  <c r="C1373" i="10"/>
  <c r="E1373" i="10" s="1"/>
  <c r="D1372" i="10"/>
  <c r="E1372" i="10" s="1"/>
  <c r="G1372" i="10" s="1"/>
  <c r="C1372" i="10"/>
  <c r="D1371" i="10"/>
  <c r="C1371" i="10"/>
  <c r="D1370" i="10"/>
  <c r="C1370" i="10"/>
  <c r="E1370" i="10" s="1"/>
  <c r="G1370" i="10" s="1"/>
  <c r="D1369" i="10"/>
  <c r="C1369" i="10"/>
  <c r="E1369" i="10" s="1"/>
  <c r="G1369" i="10" s="1"/>
  <c r="G1368" i="10"/>
  <c r="E1368" i="10"/>
  <c r="D1368" i="10"/>
  <c r="C1368" i="10"/>
  <c r="G1367" i="10"/>
  <c r="D1367" i="10"/>
  <c r="E1367" i="10" s="1"/>
  <c r="C1367" i="10"/>
  <c r="D1366" i="10"/>
  <c r="C1366" i="10"/>
  <c r="E1366" i="10" s="1"/>
  <c r="G1366" i="10" s="1"/>
  <c r="D1365" i="10"/>
  <c r="E1365" i="10" s="1"/>
  <c r="G1365" i="10" s="1"/>
  <c r="C1365" i="10"/>
  <c r="G1364" i="10"/>
  <c r="D1364" i="10"/>
  <c r="C1364" i="10"/>
  <c r="E1364" i="10" s="1"/>
  <c r="E1363" i="10"/>
  <c r="G1363" i="10" s="1"/>
  <c r="D1363" i="10"/>
  <c r="C1363" i="10"/>
  <c r="E1362" i="10"/>
  <c r="G1362" i="10" s="1"/>
  <c r="D1362" i="10"/>
  <c r="C1362" i="10"/>
  <c r="D1361" i="10"/>
  <c r="C1361" i="10"/>
  <c r="D1360" i="10"/>
  <c r="E1360" i="10" s="1"/>
  <c r="G1360" i="10" s="1"/>
  <c r="C1360" i="10"/>
  <c r="D1359" i="10"/>
  <c r="C1359" i="10"/>
  <c r="E1359" i="10" s="1"/>
  <c r="G1359" i="10" s="1"/>
  <c r="E1358" i="10"/>
  <c r="G1358" i="10" s="1"/>
  <c r="D1358" i="10"/>
  <c r="C1358" i="10"/>
  <c r="E1357" i="10"/>
  <c r="G1357" i="10" s="1"/>
  <c r="D1357" i="10"/>
  <c r="C1357" i="10"/>
  <c r="D1356" i="10"/>
  <c r="C1356" i="10"/>
  <c r="E1356" i="10" s="1"/>
  <c r="G1356" i="10" s="1"/>
  <c r="D1355" i="10"/>
  <c r="E1355" i="10" s="1"/>
  <c r="G1355" i="10" s="1"/>
  <c r="C1355" i="10"/>
  <c r="D1354" i="10"/>
  <c r="C1354" i="10"/>
  <c r="E1354" i="10" s="1"/>
  <c r="G1354" i="10" s="1"/>
  <c r="E1353" i="10"/>
  <c r="G1353" i="10" s="1"/>
  <c r="D1353" i="10"/>
  <c r="C1353" i="10"/>
  <c r="E1352" i="10"/>
  <c r="G1352" i="10" s="1"/>
  <c r="D1352" i="10"/>
  <c r="C1352" i="10"/>
  <c r="D1351" i="10"/>
  <c r="C1351" i="10"/>
  <c r="E1351" i="10" s="1"/>
  <c r="G1351" i="10" s="1"/>
  <c r="D1350" i="10"/>
  <c r="C1350" i="10"/>
  <c r="E1350" i="10" s="1"/>
  <c r="G1350" i="10" s="1"/>
  <c r="D1349" i="10"/>
  <c r="C1349" i="10"/>
  <c r="E1349" i="10" s="1"/>
  <c r="G1349" i="10" s="1"/>
  <c r="G1348" i="10"/>
  <c r="D1348" i="10"/>
  <c r="C1348" i="10"/>
  <c r="E1348" i="10" s="1"/>
  <c r="D1347" i="10"/>
  <c r="E1347" i="10" s="1"/>
  <c r="G1347" i="10" s="1"/>
  <c r="C1347" i="10"/>
  <c r="D1346" i="10"/>
  <c r="C1346" i="10"/>
  <c r="D1345" i="10"/>
  <c r="C1345" i="10"/>
  <c r="E1345" i="10" s="1"/>
  <c r="G1345" i="10" s="1"/>
  <c r="G1344" i="10"/>
  <c r="D1344" i="10"/>
  <c r="C1344" i="10"/>
  <c r="E1344" i="10" s="1"/>
  <c r="D1343" i="10"/>
  <c r="C1343" i="10"/>
  <c r="E1343" i="10" s="1"/>
  <c r="G1343" i="10" s="1"/>
  <c r="D1342" i="10"/>
  <c r="E1342" i="10" s="1"/>
  <c r="G1342" i="10" s="1"/>
  <c r="C1342" i="10"/>
  <c r="D1341" i="10"/>
  <c r="C1341" i="10"/>
  <c r="E1341" i="10" s="1"/>
  <c r="G1341" i="10" s="1"/>
  <c r="D1340" i="10"/>
  <c r="C1340" i="10"/>
  <c r="E1340" i="10" s="1"/>
  <c r="G1340" i="10" s="1"/>
  <c r="G1339" i="10"/>
  <c r="D1339" i="10"/>
  <c r="C1339" i="10"/>
  <c r="E1339" i="10" s="1"/>
  <c r="D1338" i="10"/>
  <c r="C1338" i="10"/>
  <c r="E1338" i="10" s="1"/>
  <c r="G1338" i="10" s="1"/>
  <c r="E1337" i="10"/>
  <c r="G1337" i="10" s="1"/>
  <c r="D1337" i="10"/>
  <c r="C1337" i="10"/>
  <c r="D1336" i="10"/>
  <c r="C1336" i="10"/>
  <c r="D1335" i="10"/>
  <c r="E1335" i="10" s="1"/>
  <c r="G1335" i="10" s="1"/>
  <c r="C1335" i="10"/>
  <c r="G1334" i="10"/>
  <c r="D1334" i="10"/>
  <c r="C1334" i="10"/>
  <c r="E1334" i="10" s="1"/>
  <c r="E1333" i="10"/>
  <c r="G1333" i="10" s="1"/>
  <c r="D1333" i="10"/>
  <c r="C1333" i="10"/>
  <c r="E1332" i="10"/>
  <c r="G1332" i="10" s="1"/>
  <c r="D1332" i="10"/>
  <c r="C1332" i="10"/>
  <c r="D1331" i="10"/>
  <c r="C1331" i="10"/>
  <c r="E1331" i="10" s="1"/>
  <c r="G1331" i="10" s="1"/>
  <c r="D1330" i="10"/>
  <c r="C1330" i="10"/>
  <c r="E1330" i="10" s="1"/>
  <c r="G1330" i="10" s="1"/>
  <c r="D1329" i="10"/>
  <c r="C1329" i="10"/>
  <c r="E1329" i="10" s="1"/>
  <c r="G1329" i="10" s="1"/>
  <c r="E1328" i="10"/>
  <c r="G1328" i="10" s="1"/>
  <c r="D1328" i="10"/>
  <c r="C1328" i="10"/>
  <c r="E1327" i="10"/>
  <c r="G1327" i="10" s="1"/>
  <c r="D1327" i="10"/>
  <c r="C1327" i="10"/>
  <c r="D1326" i="10"/>
  <c r="C1326" i="10"/>
  <c r="E1326" i="10" s="1"/>
  <c r="G1326" i="10" s="1"/>
  <c r="D1325" i="10"/>
  <c r="C1325" i="10"/>
  <c r="E1325" i="10" s="1"/>
  <c r="G1325" i="10" s="1"/>
  <c r="G1324" i="10"/>
  <c r="D1324" i="10"/>
  <c r="C1324" i="10"/>
  <c r="E1324" i="10" s="1"/>
  <c r="D1323" i="10"/>
  <c r="C1323" i="10"/>
  <c r="E1323" i="10" s="1"/>
  <c r="G1323" i="10" s="1"/>
  <c r="D1322" i="10"/>
  <c r="E1322" i="10" s="1"/>
  <c r="G1322" i="10" s="1"/>
  <c r="C1322" i="10"/>
  <c r="D1321" i="10"/>
  <c r="C1321" i="10"/>
  <c r="E1320" i="10"/>
  <c r="G1320" i="10" s="1"/>
  <c r="D1320" i="10"/>
  <c r="C1320" i="10"/>
  <c r="D1319" i="10"/>
  <c r="C1319" i="10"/>
  <c r="E1319" i="10" s="1"/>
  <c r="G1319" i="10" s="1"/>
  <c r="E1318" i="10"/>
  <c r="G1318" i="10" s="1"/>
  <c r="D1318" i="10"/>
  <c r="C1318" i="10"/>
  <c r="G1317" i="10"/>
  <c r="D1317" i="10"/>
  <c r="E1317" i="10" s="1"/>
  <c r="C1317" i="10"/>
  <c r="D1316" i="10"/>
  <c r="C1316" i="10"/>
  <c r="E1316" i="10" s="1"/>
  <c r="G1316" i="10" s="1"/>
  <c r="D1315" i="10"/>
  <c r="C1315" i="10"/>
  <c r="E1315" i="10" s="1"/>
  <c r="G1315" i="10" s="1"/>
  <c r="G1314" i="10"/>
  <c r="D1314" i="10"/>
  <c r="C1314" i="10"/>
  <c r="E1314" i="10" s="1"/>
  <c r="D1313" i="10"/>
  <c r="C1313" i="10"/>
  <c r="E1313" i="10" s="1"/>
  <c r="G1313" i="10" s="1"/>
  <c r="E1312" i="10"/>
  <c r="G1312" i="10" s="1"/>
  <c r="D1312" i="10"/>
  <c r="C1312" i="10"/>
  <c r="D1311" i="10"/>
  <c r="C1311" i="10"/>
  <c r="D1310" i="10"/>
  <c r="E1310" i="10" s="1"/>
  <c r="G1310" i="10" s="1"/>
  <c r="C1310" i="10"/>
  <c r="G1309" i="10"/>
  <c r="D1309" i="10"/>
  <c r="C1309" i="10"/>
  <c r="E1309" i="10" s="1"/>
  <c r="E1308" i="10"/>
  <c r="G1308" i="10" s="1"/>
  <c r="D1308" i="10"/>
  <c r="C1308" i="10"/>
  <c r="E1307" i="10"/>
  <c r="G1307" i="10" s="1"/>
  <c r="D1307" i="10"/>
  <c r="C1307" i="10"/>
  <c r="D1306" i="10"/>
  <c r="C1306" i="10"/>
  <c r="E1306" i="10" s="1"/>
  <c r="G1306" i="10" s="1"/>
  <c r="D1305" i="10"/>
  <c r="E1305" i="10" s="1"/>
  <c r="G1305" i="10" s="1"/>
  <c r="C1305" i="10"/>
  <c r="D1304" i="10"/>
  <c r="C1304" i="10"/>
  <c r="E1304" i="10" s="1"/>
  <c r="G1304" i="10" s="1"/>
  <c r="D1303" i="10"/>
  <c r="C1303" i="10"/>
  <c r="E1303" i="10" s="1"/>
  <c r="G1303" i="10" s="1"/>
  <c r="E1302" i="10"/>
  <c r="G1302" i="10" s="1"/>
  <c r="D1302" i="10"/>
  <c r="C1302" i="10"/>
  <c r="D1301" i="10"/>
  <c r="C1301" i="10"/>
  <c r="E1301" i="10" s="1"/>
  <c r="G1301" i="10" s="1"/>
  <c r="D1300" i="10"/>
  <c r="C1300" i="10"/>
  <c r="E1300" i="10" s="1"/>
  <c r="G1300" i="10" s="1"/>
  <c r="D1299" i="10"/>
  <c r="C1299" i="10"/>
  <c r="E1299" i="10" s="1"/>
  <c r="G1299" i="10" s="1"/>
  <c r="D1298" i="10"/>
  <c r="C1298" i="10"/>
  <c r="E1298" i="10" s="1"/>
  <c r="G1298" i="10" s="1"/>
  <c r="D1297" i="10"/>
  <c r="E1297" i="10" s="1"/>
  <c r="G1297" i="10" s="1"/>
  <c r="C1297" i="10"/>
  <c r="D1296" i="10"/>
  <c r="C1296" i="10"/>
  <c r="E1295" i="10"/>
  <c r="G1295" i="10" s="1"/>
  <c r="D1295" i="10"/>
  <c r="C1295" i="10"/>
  <c r="G1294" i="10"/>
  <c r="D1294" i="10"/>
  <c r="C1294" i="10"/>
  <c r="E1294" i="10" s="1"/>
  <c r="D1293" i="10"/>
  <c r="C1293" i="10"/>
  <c r="E1293" i="10" s="1"/>
  <c r="G1293" i="10" s="1"/>
  <c r="G1292" i="10"/>
  <c r="D1292" i="10"/>
  <c r="E1292" i="10" s="1"/>
  <c r="C1292" i="10"/>
  <c r="D1291" i="10"/>
  <c r="C1291" i="10"/>
  <c r="E1291" i="10" s="1"/>
  <c r="G1291" i="10" s="1"/>
  <c r="D1290" i="10"/>
  <c r="E1290" i="10" s="1"/>
  <c r="G1290" i="10" s="1"/>
  <c r="C1290" i="10"/>
  <c r="G1289" i="10"/>
  <c r="D1289" i="10"/>
  <c r="C1289" i="10"/>
  <c r="E1289" i="10" s="1"/>
  <c r="D1288" i="10"/>
  <c r="C1288" i="10"/>
  <c r="E1288" i="10" s="1"/>
  <c r="G1288" i="10" s="1"/>
  <c r="E1287" i="10"/>
  <c r="G1287" i="10" s="1"/>
  <c r="D1287" i="10"/>
  <c r="C1287" i="10"/>
  <c r="D1286" i="10"/>
  <c r="C1286" i="10"/>
  <c r="D1285" i="10"/>
  <c r="E1285" i="10" s="1"/>
  <c r="G1285" i="10" s="1"/>
  <c r="C1285" i="10"/>
  <c r="G1284" i="10"/>
  <c r="D1284" i="10"/>
  <c r="C1284" i="10"/>
  <c r="E1284" i="10" s="1"/>
  <c r="E1283" i="10"/>
  <c r="G1283" i="10" s="1"/>
  <c r="D1283" i="10"/>
  <c r="C1283" i="10"/>
  <c r="E1282" i="10"/>
  <c r="G1282" i="10" s="1"/>
  <c r="D1282" i="10"/>
  <c r="C1282" i="10"/>
  <c r="D1281" i="10"/>
  <c r="C1281" i="10"/>
  <c r="E1281" i="10" s="1"/>
  <c r="G1281" i="10" s="1"/>
  <c r="D1280" i="10"/>
  <c r="C1280" i="10"/>
  <c r="E1280" i="10" s="1"/>
  <c r="G1280" i="10" s="1"/>
  <c r="D1279" i="10"/>
  <c r="C1279" i="10"/>
  <c r="E1279" i="10" s="1"/>
  <c r="G1279" i="10" s="1"/>
  <c r="G1278" i="10"/>
  <c r="E1278" i="10"/>
  <c r="D1278" i="10"/>
  <c r="C1278" i="10"/>
  <c r="D1277" i="10"/>
  <c r="E1277" i="10" s="1"/>
  <c r="G1277" i="10" s="1"/>
  <c r="C1277" i="10"/>
  <c r="D1276" i="10"/>
  <c r="C1276" i="10"/>
  <c r="D1275" i="10"/>
  <c r="C1275" i="10"/>
  <c r="E1275" i="10" s="1"/>
  <c r="G1275" i="10" s="1"/>
  <c r="G1274" i="10"/>
  <c r="D1274" i="10"/>
  <c r="C1274" i="10"/>
  <c r="E1274" i="10" s="1"/>
  <c r="D1273" i="10"/>
  <c r="C1273" i="10"/>
  <c r="E1273" i="10" s="1"/>
  <c r="G1273" i="10" s="1"/>
  <c r="E1272" i="10"/>
  <c r="G1272" i="10" s="1"/>
  <c r="D1272" i="10"/>
  <c r="C1272" i="10"/>
  <c r="D1271" i="10"/>
  <c r="C1271" i="10"/>
  <c r="E1271" i="10" s="1"/>
  <c r="G1271" i="10" s="1"/>
  <c r="D1270" i="10"/>
  <c r="C1270" i="10"/>
  <c r="E1270" i="10" s="1"/>
  <c r="G1270" i="10" s="1"/>
  <c r="G1269" i="10"/>
  <c r="D1269" i="10"/>
  <c r="C1269" i="10"/>
  <c r="E1269" i="10" s="1"/>
  <c r="E1268" i="10"/>
  <c r="G1268" i="10" s="1"/>
  <c r="D1268" i="10"/>
  <c r="C1268" i="10"/>
  <c r="D1267" i="10"/>
  <c r="E1267" i="10" s="1"/>
  <c r="G1267" i="10" s="1"/>
  <c r="C1267" i="10"/>
  <c r="D1266" i="10"/>
  <c r="C1266" i="10"/>
  <c r="D1265" i="10"/>
  <c r="C1265" i="10"/>
  <c r="E1265" i="10" s="1"/>
  <c r="G1265" i="10" s="1"/>
  <c r="G1264" i="10"/>
  <c r="D1264" i="10"/>
  <c r="C1264" i="10"/>
  <c r="E1264" i="10" s="1"/>
  <c r="D1263" i="10"/>
  <c r="C1263" i="10"/>
  <c r="E1263" i="10" s="1"/>
  <c r="G1263" i="10" s="1"/>
  <c r="D1262" i="10"/>
  <c r="E1262" i="10" s="1"/>
  <c r="G1262" i="10" s="1"/>
  <c r="C1262" i="10"/>
  <c r="D1261" i="10"/>
  <c r="C1261" i="10"/>
  <c r="D1260" i="10"/>
  <c r="C1260" i="10"/>
  <c r="E1260" i="10" s="1"/>
  <c r="G1260" i="10" s="1"/>
  <c r="D1259" i="10"/>
  <c r="C1259" i="10"/>
  <c r="E1259" i="10" s="1"/>
  <c r="G1259" i="10" s="1"/>
  <c r="G1258" i="10"/>
  <c r="E1258" i="10"/>
  <c r="D1258" i="10"/>
  <c r="C1258" i="10"/>
  <c r="D1257" i="10"/>
  <c r="E1257" i="10" s="1"/>
  <c r="G1257" i="10" s="1"/>
  <c r="C1257" i="10"/>
  <c r="D1256" i="10"/>
  <c r="C1256" i="10"/>
  <c r="E1255" i="10"/>
  <c r="G1255" i="10" s="1"/>
  <c r="D1255" i="10"/>
  <c r="C1255" i="10"/>
  <c r="D1254" i="10"/>
  <c r="C1254" i="10"/>
  <c r="E1254" i="10" s="1"/>
  <c r="G1254" i="10" s="1"/>
  <c r="E1253" i="10"/>
  <c r="G1253" i="10" s="1"/>
  <c r="D1253" i="10"/>
  <c r="C1253" i="10"/>
  <c r="E1252" i="10"/>
  <c r="G1252" i="10" s="1"/>
  <c r="D1252" i="10"/>
  <c r="C1252" i="10"/>
  <c r="D1251" i="10"/>
  <c r="C1251" i="10"/>
  <c r="E1251" i="10" s="1"/>
  <c r="G1251" i="10" s="1"/>
  <c r="D1250" i="10"/>
  <c r="C1250" i="10"/>
  <c r="D1249" i="10"/>
  <c r="C1249" i="10"/>
  <c r="E1249" i="10" s="1"/>
  <c r="G1249" i="10" s="1"/>
  <c r="G1248" i="10"/>
  <c r="D1248" i="10"/>
  <c r="C1248" i="10"/>
  <c r="E1248" i="10" s="1"/>
  <c r="D1247" i="10"/>
  <c r="E1247" i="10" s="1"/>
  <c r="G1247" i="10" s="1"/>
  <c r="C1247" i="10"/>
  <c r="D1246" i="10"/>
  <c r="C1246" i="10"/>
  <c r="D1245" i="10"/>
  <c r="C1245" i="10"/>
  <c r="E1245" i="10" s="1"/>
  <c r="G1245" i="10" s="1"/>
  <c r="D1244" i="10"/>
  <c r="C1244" i="10"/>
  <c r="E1244" i="10" s="1"/>
  <c r="G1244" i="10" s="1"/>
  <c r="G1243" i="10"/>
  <c r="D1243" i="10"/>
  <c r="C1243" i="10"/>
  <c r="E1243" i="10" s="1"/>
  <c r="G1242" i="10"/>
  <c r="D1242" i="10"/>
  <c r="E1242" i="10" s="1"/>
  <c r="C1242" i="10"/>
  <c r="D1241" i="10"/>
  <c r="C1241" i="10"/>
  <c r="E1241" i="10" s="1"/>
  <c r="G1241" i="10" s="1"/>
  <c r="D1240" i="10"/>
  <c r="C1240" i="10"/>
  <c r="E1240" i="10" s="1"/>
  <c r="G1240" i="10" s="1"/>
  <c r="G1239" i="10"/>
  <c r="D1239" i="10"/>
  <c r="C1239" i="10"/>
  <c r="E1239" i="10" s="1"/>
  <c r="E1238" i="10"/>
  <c r="G1238" i="10" s="1"/>
  <c r="D1238" i="10"/>
  <c r="C1238" i="10"/>
  <c r="E1237" i="10"/>
  <c r="G1237" i="10" s="1"/>
  <c r="D1237" i="10"/>
  <c r="C1237" i="10"/>
  <c r="D1236" i="10"/>
  <c r="C1236" i="10"/>
  <c r="D1235" i="10"/>
  <c r="E1235" i="10" s="1"/>
  <c r="G1235" i="10" s="1"/>
  <c r="C1235" i="10"/>
  <c r="D1234" i="10"/>
  <c r="C1234" i="10"/>
  <c r="E1234" i="10" s="1"/>
  <c r="G1234" i="10" s="1"/>
  <c r="E1233" i="10"/>
  <c r="G1233" i="10" s="1"/>
  <c r="D1233" i="10"/>
  <c r="C1233" i="10"/>
  <c r="E1232" i="10"/>
  <c r="G1232" i="10" s="1"/>
  <c r="D1232" i="10"/>
  <c r="C1232" i="10"/>
  <c r="D1231" i="10"/>
  <c r="C1231" i="10"/>
  <c r="E1231" i="10" s="1"/>
  <c r="G1231" i="10" s="1"/>
  <c r="D1230" i="10"/>
  <c r="C1230" i="10"/>
  <c r="E1230" i="10" s="1"/>
  <c r="G1230" i="10" s="1"/>
  <c r="D1229" i="10"/>
  <c r="C1229" i="10"/>
  <c r="E1229" i="10" s="1"/>
  <c r="G1229" i="10" s="1"/>
  <c r="D1228" i="10"/>
  <c r="C1228" i="10"/>
  <c r="E1228" i="10" s="1"/>
  <c r="G1228" i="10" s="1"/>
  <c r="D1227" i="10"/>
  <c r="E1227" i="10" s="1"/>
  <c r="G1227" i="10" s="1"/>
  <c r="C1227" i="10"/>
  <c r="D1226" i="10"/>
  <c r="C1226" i="10"/>
  <c r="E1225" i="10"/>
  <c r="G1225" i="10" s="1"/>
  <c r="D1225" i="10"/>
  <c r="C1225" i="10"/>
  <c r="D1224" i="10"/>
  <c r="C1224" i="10"/>
  <c r="E1224" i="10" s="1"/>
  <c r="G1224" i="10" s="1"/>
  <c r="G1223" i="10"/>
  <c r="E1223" i="10"/>
  <c r="D1223" i="10"/>
  <c r="C1223" i="10"/>
  <c r="G1222" i="10"/>
  <c r="D1222" i="10"/>
  <c r="E1222" i="10" s="1"/>
  <c r="C1222" i="10"/>
  <c r="D1221" i="10"/>
  <c r="C1221" i="10"/>
  <c r="D1220" i="10"/>
  <c r="C1220" i="10"/>
  <c r="E1220" i="10" s="1"/>
  <c r="G1220" i="10" s="1"/>
  <c r="G1219" i="10"/>
  <c r="D1219" i="10"/>
  <c r="C1219" i="10"/>
  <c r="E1219" i="10" s="1"/>
  <c r="D1218" i="10"/>
  <c r="C1218" i="10"/>
  <c r="E1218" i="10" s="1"/>
  <c r="G1218" i="10" s="1"/>
  <c r="D1217" i="10"/>
  <c r="E1217" i="10" s="1"/>
  <c r="G1217" i="10" s="1"/>
  <c r="C1217" i="10"/>
  <c r="D1216" i="10"/>
  <c r="C1216" i="10"/>
  <c r="D1215" i="10"/>
  <c r="C1215" i="10"/>
  <c r="E1215" i="10" s="1"/>
  <c r="G1215" i="10" s="1"/>
  <c r="D1214" i="10"/>
  <c r="C1214" i="10"/>
  <c r="E1214" i="10" s="1"/>
  <c r="G1214" i="10" s="1"/>
  <c r="G1213" i="10"/>
  <c r="E1213" i="10"/>
  <c r="D1213" i="10"/>
  <c r="C1213" i="10"/>
  <c r="D1212" i="10"/>
  <c r="E1212" i="10" s="1"/>
  <c r="G1212" i="10" s="1"/>
  <c r="C1212" i="10"/>
  <c r="D1211" i="10"/>
  <c r="C1211" i="10"/>
  <c r="D1210" i="10"/>
  <c r="C1210" i="10"/>
  <c r="E1210" i="10" s="1"/>
  <c r="G1210" i="10" s="1"/>
  <c r="D1209" i="10"/>
  <c r="C1209" i="10"/>
  <c r="E1209" i="10" s="1"/>
  <c r="G1209" i="10" s="1"/>
  <c r="D1208" i="10"/>
  <c r="C1208" i="10"/>
  <c r="E1208" i="10" s="1"/>
  <c r="G1208" i="10" s="1"/>
  <c r="D1207" i="10"/>
  <c r="E1207" i="10" s="1"/>
  <c r="G1207" i="10" s="1"/>
  <c r="C1207" i="10"/>
  <c r="D1206" i="10"/>
  <c r="C1206" i="10"/>
  <c r="E1205" i="10"/>
  <c r="G1205" i="10" s="1"/>
  <c r="D1205" i="10"/>
  <c r="C1205" i="10"/>
  <c r="G1204" i="10"/>
  <c r="D1204" i="10"/>
  <c r="C1204" i="10"/>
  <c r="E1204" i="10" s="1"/>
  <c r="G1203" i="10"/>
  <c r="D1203" i="10"/>
  <c r="C1203" i="10"/>
  <c r="E1203" i="10" s="1"/>
  <c r="G1202" i="10"/>
  <c r="D1202" i="10"/>
  <c r="E1202" i="10" s="1"/>
  <c r="C1202" i="10"/>
  <c r="D1201" i="10"/>
  <c r="C1201" i="10"/>
  <c r="E1200" i="10"/>
  <c r="G1200" i="10" s="1"/>
  <c r="D1200" i="10"/>
  <c r="C1200" i="10"/>
  <c r="D1199" i="10"/>
  <c r="C1199" i="10"/>
  <c r="E1199" i="10" s="1"/>
  <c r="G1199" i="10" s="1"/>
  <c r="G1198" i="10"/>
  <c r="E1198" i="10"/>
  <c r="D1198" i="10"/>
  <c r="C1198" i="10"/>
  <c r="D1197" i="10"/>
  <c r="E1197" i="10" s="1"/>
  <c r="G1197" i="10" s="1"/>
  <c r="C1197" i="10"/>
  <c r="D1196" i="10"/>
  <c r="C1196" i="10"/>
  <c r="D1195" i="10"/>
  <c r="C1195" i="10"/>
  <c r="E1195" i="10" s="1"/>
  <c r="G1195" i="10" s="1"/>
  <c r="G1194" i="10"/>
  <c r="D1194" i="10"/>
  <c r="C1194" i="10"/>
  <c r="E1194" i="10" s="1"/>
  <c r="D1193" i="10"/>
  <c r="C1193" i="10"/>
  <c r="E1193" i="10" s="1"/>
  <c r="G1193" i="10" s="1"/>
  <c r="D1192" i="10"/>
  <c r="E1192" i="10" s="1"/>
  <c r="G1192" i="10" s="1"/>
  <c r="C1192" i="10"/>
  <c r="D1191" i="10"/>
  <c r="C1191" i="10"/>
  <c r="D1190" i="10"/>
  <c r="C1190" i="10"/>
  <c r="E1190" i="10" s="1"/>
  <c r="G1190" i="10" s="1"/>
  <c r="D1189" i="10"/>
  <c r="C1189" i="10"/>
  <c r="E1189" i="10" s="1"/>
  <c r="G1189" i="10" s="1"/>
  <c r="G1188" i="10"/>
  <c r="E1188" i="10"/>
  <c r="D1188" i="10"/>
  <c r="C1188" i="10"/>
  <c r="D1187" i="10"/>
  <c r="E1187" i="10" s="1"/>
  <c r="G1187" i="10" s="1"/>
  <c r="C1187" i="10"/>
  <c r="D1186" i="10"/>
  <c r="C1186" i="10"/>
  <c r="E1185" i="10"/>
  <c r="G1185" i="10" s="1"/>
  <c r="D1185" i="10"/>
  <c r="C1185" i="10"/>
  <c r="D1184" i="10"/>
  <c r="C1184" i="10"/>
  <c r="E1184" i="10" s="1"/>
  <c r="G1184" i="10" s="1"/>
  <c r="G1183" i="10"/>
  <c r="D1183" i="10"/>
  <c r="C1183" i="10"/>
  <c r="E1183" i="10" s="1"/>
  <c r="D1182" i="10"/>
  <c r="E1182" i="10" s="1"/>
  <c r="G1182" i="10" s="1"/>
  <c r="C1182" i="10"/>
  <c r="D1181" i="10"/>
  <c r="C1181" i="10"/>
  <c r="E1180" i="10"/>
  <c r="G1180" i="10" s="1"/>
  <c r="D1180" i="10"/>
  <c r="C1180" i="10"/>
  <c r="G1179" i="10"/>
  <c r="D1179" i="10"/>
  <c r="C1179" i="10"/>
  <c r="E1179" i="10" s="1"/>
  <c r="D1178" i="10"/>
  <c r="C1178" i="10"/>
  <c r="E1178" i="10" s="1"/>
  <c r="G1178" i="10" s="1"/>
  <c r="D1177" i="10"/>
  <c r="E1177" i="10" s="1"/>
  <c r="G1177" i="10" s="1"/>
  <c r="C1177" i="10"/>
  <c r="D1176" i="10"/>
  <c r="C1176" i="10"/>
  <c r="E1175" i="10"/>
  <c r="G1175" i="10" s="1"/>
  <c r="D1175" i="10"/>
  <c r="C1175" i="10"/>
  <c r="D1174" i="10"/>
  <c r="C1174" i="10"/>
  <c r="E1174" i="10" s="1"/>
  <c r="G1174" i="10" s="1"/>
  <c r="G1173" i="10"/>
  <c r="E1173" i="10"/>
  <c r="D1173" i="10"/>
  <c r="C1173" i="10"/>
  <c r="D1172" i="10"/>
  <c r="E1172" i="10" s="1"/>
  <c r="G1172" i="10" s="1"/>
  <c r="C1172" i="10"/>
  <c r="D1171" i="10"/>
  <c r="C1171" i="10"/>
  <c r="D1170" i="10"/>
  <c r="C1170" i="10"/>
  <c r="E1170" i="10" s="1"/>
  <c r="G1170" i="10" s="1"/>
  <c r="G1169" i="10"/>
  <c r="D1169" i="10"/>
  <c r="C1169" i="10"/>
  <c r="E1169" i="10" s="1"/>
  <c r="D1168" i="10"/>
  <c r="C1168" i="10"/>
  <c r="E1168" i="10" s="1"/>
  <c r="G1168" i="10" s="1"/>
  <c r="D1167" i="10"/>
  <c r="E1167" i="10" s="1"/>
  <c r="G1167" i="10" s="1"/>
  <c r="C1167" i="10"/>
  <c r="D1166" i="10"/>
  <c r="C1166" i="10"/>
  <c r="D1165" i="10"/>
  <c r="C1165" i="10"/>
  <c r="E1165" i="10" s="1"/>
  <c r="G1165" i="10" s="1"/>
  <c r="D1164" i="10"/>
  <c r="C1164" i="10"/>
  <c r="E1164" i="10" s="1"/>
  <c r="G1164" i="10" s="1"/>
  <c r="G1163" i="10"/>
  <c r="E1163" i="10"/>
  <c r="D1163" i="10"/>
  <c r="C1163" i="10"/>
  <c r="D1162" i="10"/>
  <c r="E1162" i="10" s="1"/>
  <c r="G1162" i="10" s="1"/>
  <c r="C1162" i="10"/>
  <c r="D1161" i="10"/>
  <c r="C1161" i="10"/>
  <c r="E1160" i="10"/>
  <c r="G1160" i="10" s="1"/>
  <c r="D1160" i="10"/>
  <c r="C1160" i="10"/>
  <c r="D1159" i="10"/>
  <c r="C1159" i="10"/>
  <c r="E1159" i="10" s="1"/>
  <c r="G1159" i="10" s="1"/>
  <c r="D1158" i="10"/>
  <c r="C1158" i="10"/>
  <c r="E1158" i="10" s="1"/>
  <c r="G1158" i="10" s="1"/>
  <c r="D1157" i="10"/>
  <c r="E1157" i="10" s="1"/>
  <c r="G1157" i="10" s="1"/>
  <c r="C1157" i="10"/>
  <c r="D1156" i="10"/>
  <c r="C1156" i="10"/>
  <c r="E1155" i="10"/>
  <c r="G1155" i="10" s="1"/>
  <c r="D1155" i="10"/>
  <c r="C1155" i="10"/>
  <c r="G1154" i="10"/>
  <c r="D1154" i="10"/>
  <c r="C1154" i="10"/>
  <c r="E1154" i="10" s="1"/>
  <c r="G1153" i="10"/>
  <c r="D1153" i="10"/>
  <c r="C1153" i="10"/>
  <c r="E1153" i="10" s="1"/>
  <c r="D1152" i="10"/>
  <c r="E1152" i="10" s="1"/>
  <c r="G1152" i="10" s="1"/>
  <c r="C1152" i="10"/>
  <c r="D1151" i="10"/>
  <c r="C1151" i="10"/>
  <c r="E1150" i="10"/>
  <c r="G1150" i="10" s="1"/>
  <c r="D1150" i="10"/>
  <c r="C1150" i="10"/>
  <c r="D1149" i="10"/>
  <c r="C1149" i="10"/>
  <c r="E1149" i="10" s="1"/>
  <c r="G1149" i="10" s="1"/>
  <c r="G1148" i="10"/>
  <c r="E1148" i="10"/>
  <c r="D1148" i="10"/>
  <c r="C1148" i="10"/>
  <c r="D1147" i="10"/>
  <c r="E1147" i="10" s="1"/>
  <c r="G1147" i="10" s="1"/>
  <c r="C1147" i="10"/>
  <c r="D1146" i="10"/>
  <c r="C1146" i="10"/>
  <c r="D1145" i="10"/>
  <c r="C1145" i="10"/>
  <c r="E1145" i="10" s="1"/>
  <c r="G1145" i="10" s="1"/>
  <c r="G1144" i="10"/>
  <c r="D1144" i="10"/>
  <c r="C1144" i="10"/>
  <c r="E1144" i="10" s="1"/>
  <c r="D1143" i="10"/>
  <c r="C1143" i="10"/>
  <c r="E1143" i="10" s="1"/>
  <c r="G1143" i="10" s="1"/>
  <c r="D1142" i="10"/>
  <c r="E1142" i="10" s="1"/>
  <c r="G1142" i="10" s="1"/>
  <c r="C1142" i="10"/>
  <c r="D1141" i="10"/>
  <c r="C1141" i="10"/>
  <c r="D1140" i="10"/>
  <c r="C1140" i="10"/>
  <c r="E1140" i="10" s="1"/>
  <c r="G1140" i="10" s="1"/>
  <c r="D1139" i="10"/>
  <c r="C1139" i="10"/>
  <c r="E1139" i="10" s="1"/>
  <c r="G1139" i="10" s="1"/>
  <c r="G1138" i="10"/>
  <c r="E1138" i="10"/>
  <c r="D1138" i="10"/>
  <c r="C1138" i="10"/>
  <c r="D1137" i="10"/>
  <c r="E1137" i="10" s="1"/>
  <c r="G1137" i="10" s="1"/>
  <c r="C1137" i="10"/>
  <c r="D1136" i="10"/>
  <c r="C1136" i="10"/>
  <c r="E1135" i="10"/>
  <c r="G1135" i="10" s="1"/>
  <c r="D1135" i="10"/>
  <c r="C1135" i="10"/>
  <c r="D1134" i="10"/>
  <c r="C1134" i="10"/>
  <c r="E1134" i="10" s="1"/>
  <c r="G1134" i="10" s="1"/>
  <c r="D1133" i="10"/>
  <c r="C1133" i="10"/>
  <c r="E1133" i="10" s="1"/>
  <c r="G1133" i="10" s="1"/>
  <c r="D1132" i="10"/>
  <c r="E1132" i="10" s="1"/>
  <c r="G1132" i="10" s="1"/>
  <c r="C1132" i="10"/>
  <c r="D1131" i="10"/>
  <c r="C1131" i="10"/>
  <c r="E1130" i="10"/>
  <c r="G1130" i="10" s="1"/>
  <c r="D1130" i="10"/>
  <c r="C1130" i="10"/>
  <c r="G1129" i="10"/>
  <c r="D1129" i="10"/>
  <c r="C1129" i="10"/>
  <c r="E1129" i="10" s="1"/>
  <c r="D1128" i="10"/>
  <c r="C1128" i="10"/>
  <c r="E1128" i="10" s="1"/>
  <c r="G1128" i="10" s="1"/>
  <c r="D1127" i="10"/>
  <c r="E1127" i="10" s="1"/>
  <c r="G1127" i="10" s="1"/>
  <c r="C1127" i="10"/>
  <c r="D1126" i="10"/>
  <c r="C1126" i="10"/>
  <c r="E1125" i="10"/>
  <c r="G1125" i="10" s="1"/>
  <c r="D1125" i="10"/>
  <c r="C1125" i="10"/>
  <c r="D1124" i="10"/>
  <c r="C1124" i="10"/>
  <c r="E1124" i="10" s="1"/>
  <c r="G1124" i="10" s="1"/>
  <c r="E1123" i="10"/>
  <c r="G1123" i="10" s="1"/>
  <c r="D1123" i="10"/>
  <c r="C1123" i="10"/>
  <c r="D1122" i="10"/>
  <c r="E1122" i="10" s="1"/>
  <c r="G1122" i="10" s="1"/>
  <c r="C1122" i="10"/>
  <c r="D1121" i="10"/>
  <c r="C1121" i="10"/>
  <c r="D1120" i="10"/>
  <c r="C1120" i="10"/>
  <c r="E1120" i="10" s="1"/>
  <c r="G1120" i="10" s="1"/>
  <c r="G1119" i="10"/>
  <c r="D1119" i="10"/>
  <c r="C1119" i="10"/>
  <c r="E1119" i="10" s="1"/>
  <c r="D1118" i="10"/>
  <c r="C1118" i="10"/>
  <c r="E1118" i="10" s="1"/>
  <c r="G1118" i="10" s="1"/>
  <c r="D1117" i="10"/>
  <c r="E1117" i="10" s="1"/>
  <c r="G1117" i="10" s="1"/>
  <c r="C1117" i="10"/>
  <c r="D1116" i="10"/>
  <c r="C1116" i="10"/>
  <c r="D1115" i="10"/>
  <c r="C1115" i="10"/>
  <c r="E1115" i="10" s="1"/>
  <c r="G1115" i="10" s="1"/>
  <c r="D1114" i="10"/>
  <c r="C1114" i="10"/>
  <c r="E1114" i="10" s="1"/>
  <c r="G1114" i="10" s="1"/>
  <c r="G1113" i="10"/>
  <c r="E1113" i="10"/>
  <c r="D1113" i="10"/>
  <c r="C1113" i="10"/>
  <c r="D1112" i="10"/>
  <c r="E1112" i="10" s="1"/>
  <c r="G1112" i="10" s="1"/>
  <c r="C1112" i="10"/>
  <c r="D1111" i="10"/>
  <c r="C1111" i="10"/>
  <c r="E1111" i="10" s="1"/>
  <c r="G1111" i="10" s="1"/>
  <c r="D1110" i="10"/>
  <c r="C1110" i="10"/>
  <c r="E1110" i="10" s="1"/>
  <c r="G1110" i="10" s="1"/>
  <c r="D1109" i="10"/>
  <c r="C1109" i="10"/>
  <c r="E1109" i="10" s="1"/>
  <c r="G1109" i="10" s="1"/>
  <c r="D1108" i="10"/>
  <c r="C1108" i="10"/>
  <c r="E1108" i="10" s="1"/>
  <c r="G1108" i="10" s="1"/>
  <c r="G1107" i="10"/>
  <c r="D1107" i="10"/>
  <c r="E1107" i="10" s="1"/>
  <c r="C1107" i="10"/>
  <c r="D1106" i="10"/>
  <c r="C1106" i="10"/>
  <c r="E1105" i="10"/>
  <c r="G1105" i="10" s="1"/>
  <c r="D1105" i="10"/>
  <c r="C1105" i="10"/>
  <c r="G1104" i="10"/>
  <c r="D1104" i="10"/>
  <c r="C1104" i="10"/>
  <c r="E1104" i="10" s="1"/>
  <c r="G1103" i="10"/>
  <c r="D1103" i="10"/>
  <c r="C1103" i="10"/>
  <c r="E1103" i="10" s="1"/>
  <c r="D1102" i="10"/>
  <c r="E1102" i="10" s="1"/>
  <c r="G1102" i="10" s="1"/>
  <c r="C1102" i="10"/>
  <c r="D1101" i="10"/>
  <c r="C1101" i="10"/>
  <c r="E1100" i="10"/>
  <c r="G1100" i="10" s="1"/>
  <c r="D1100" i="10"/>
  <c r="C1100" i="10"/>
  <c r="D1099" i="10"/>
  <c r="C1099" i="10"/>
  <c r="E1099" i="10" s="1"/>
  <c r="G1099" i="10" s="1"/>
  <c r="E1098" i="10"/>
  <c r="G1098" i="10" s="1"/>
  <c r="D1098" i="10"/>
  <c r="C1098" i="10"/>
  <c r="D1097" i="10"/>
  <c r="E1097" i="10" s="1"/>
  <c r="G1097" i="10" s="1"/>
  <c r="C1097" i="10"/>
  <c r="D1096" i="10"/>
  <c r="C1096" i="10"/>
  <c r="D1095" i="10"/>
  <c r="C1095" i="10"/>
  <c r="E1095" i="10" s="1"/>
  <c r="G1095" i="10" s="1"/>
  <c r="G1094" i="10"/>
  <c r="D1094" i="10"/>
  <c r="C1094" i="10"/>
  <c r="E1094" i="10" s="1"/>
  <c r="D1093" i="10"/>
  <c r="C1093" i="10"/>
  <c r="E1093" i="10" s="1"/>
  <c r="G1093" i="10" s="1"/>
  <c r="D1092" i="10"/>
  <c r="E1092" i="10" s="1"/>
  <c r="G1092" i="10" s="1"/>
  <c r="C1092" i="10"/>
  <c r="D1091" i="10"/>
  <c r="C1091" i="10"/>
  <c r="D1090" i="10"/>
  <c r="C1090" i="10"/>
  <c r="E1090" i="10" s="1"/>
  <c r="G1090" i="10" s="1"/>
  <c r="D1089" i="10"/>
  <c r="C1089" i="10"/>
  <c r="E1089" i="10" s="1"/>
  <c r="G1089" i="10" s="1"/>
  <c r="G1088" i="10"/>
  <c r="E1088" i="10"/>
  <c r="D1088" i="10"/>
  <c r="C1088" i="10"/>
  <c r="D1087" i="10"/>
  <c r="E1087" i="10" s="1"/>
  <c r="G1087" i="10" s="1"/>
  <c r="C1087" i="10"/>
  <c r="D1086" i="10"/>
  <c r="C1086" i="10"/>
  <c r="E1086" i="10" s="1"/>
  <c r="G1086" i="10" s="1"/>
  <c r="E1085" i="10"/>
  <c r="G1085" i="10" s="1"/>
  <c r="D1085" i="10"/>
  <c r="C1085" i="10"/>
  <c r="D1084" i="10"/>
  <c r="C1084" i="10"/>
  <c r="E1084" i="10" s="1"/>
  <c r="G1084" i="10" s="1"/>
  <c r="D1083" i="10"/>
  <c r="C1083" i="10"/>
  <c r="E1083" i="10" s="1"/>
  <c r="G1083" i="10" s="1"/>
  <c r="D1082" i="10"/>
  <c r="E1082" i="10" s="1"/>
  <c r="G1082" i="10" s="1"/>
  <c r="C1082" i="10"/>
  <c r="D1081" i="10"/>
  <c r="C1081" i="10"/>
  <c r="E1080" i="10"/>
  <c r="G1080" i="10" s="1"/>
  <c r="D1080" i="10"/>
  <c r="C1080" i="10"/>
  <c r="G1079" i="10"/>
  <c r="D1079" i="10"/>
  <c r="C1079" i="10"/>
  <c r="E1079" i="10" s="1"/>
  <c r="G1078" i="10"/>
  <c r="D1078" i="10"/>
  <c r="C1078" i="10"/>
  <c r="E1078" i="10" s="1"/>
  <c r="D1077" i="10"/>
  <c r="E1077" i="10" s="1"/>
  <c r="G1077" i="10" s="1"/>
  <c r="C1077" i="10"/>
  <c r="D1076" i="10"/>
  <c r="C1076" i="10"/>
  <c r="E1075" i="10"/>
  <c r="G1075" i="10" s="1"/>
  <c r="D1075" i="10"/>
  <c r="C1075" i="10"/>
  <c r="D1074" i="10"/>
  <c r="C1074" i="10"/>
  <c r="E1074" i="10" s="1"/>
  <c r="G1074" i="10" s="1"/>
  <c r="E1073" i="10"/>
  <c r="G1073" i="10" s="1"/>
  <c r="D1073" i="10"/>
  <c r="C1073" i="10"/>
  <c r="G1072" i="10"/>
  <c r="D1072" i="10"/>
  <c r="E1072" i="10" s="1"/>
  <c r="C1072" i="10"/>
  <c r="D1071" i="10"/>
  <c r="C1071" i="10"/>
  <c r="D1070" i="10"/>
  <c r="C1070" i="10"/>
  <c r="E1070" i="10" s="1"/>
  <c r="G1070" i="10" s="1"/>
  <c r="G1069" i="10"/>
  <c r="D1069" i="10"/>
  <c r="C1069" i="10"/>
  <c r="E1069" i="10" s="1"/>
  <c r="D1068" i="10"/>
  <c r="C1068" i="10"/>
  <c r="D1067" i="10"/>
  <c r="E1067" i="10" s="1"/>
  <c r="G1067" i="10" s="1"/>
  <c r="C1067" i="10"/>
  <c r="D1066" i="10"/>
  <c r="C1066" i="10"/>
  <c r="D1065" i="10"/>
  <c r="C1065" i="10"/>
  <c r="D1064" i="10"/>
  <c r="C1064" i="10"/>
  <c r="E1064" i="10" s="1"/>
  <c r="G1064" i="10" s="1"/>
  <c r="E1063" i="10"/>
  <c r="G1063" i="10" s="1"/>
  <c r="D1063" i="10"/>
  <c r="C1063" i="10"/>
  <c r="E1062" i="10"/>
  <c r="G1062" i="10" s="1"/>
  <c r="D1062" i="10"/>
  <c r="C1062" i="10"/>
  <c r="E1061" i="10"/>
  <c r="G1061" i="10" s="1"/>
  <c r="D1061" i="10"/>
  <c r="C1061" i="10"/>
  <c r="D1060" i="10"/>
  <c r="C1060" i="10"/>
  <c r="E1060" i="10" s="1"/>
  <c r="G1060" i="10" s="1"/>
  <c r="D1059" i="10"/>
  <c r="C1059" i="10"/>
  <c r="E1059" i="10" s="1"/>
  <c r="G1059" i="10" s="1"/>
  <c r="D1058" i="10"/>
  <c r="E1058" i="10" s="1"/>
  <c r="G1058" i="10" s="1"/>
  <c r="C1058" i="10"/>
  <c r="D1057" i="10"/>
  <c r="E1057" i="10" s="1"/>
  <c r="G1057" i="10" s="1"/>
  <c r="C1057" i="10"/>
  <c r="D1056" i="10"/>
  <c r="E1056" i="10" s="1"/>
  <c r="G1056" i="10" s="1"/>
  <c r="C1056" i="10"/>
  <c r="D1055" i="10"/>
  <c r="C1055" i="10"/>
  <c r="E1055" i="10" s="1"/>
  <c r="G1055" i="10" s="1"/>
  <c r="G1054" i="10"/>
  <c r="D1054" i="10"/>
  <c r="C1054" i="10"/>
  <c r="E1054" i="10" s="1"/>
  <c r="E1053" i="10"/>
  <c r="G1053" i="10" s="1"/>
  <c r="D1053" i="10"/>
  <c r="C1053" i="10"/>
  <c r="E1052" i="10"/>
  <c r="G1052" i="10" s="1"/>
  <c r="D1052" i="10"/>
  <c r="C1052" i="10"/>
  <c r="D1051" i="10"/>
  <c r="C1051" i="10"/>
  <c r="E1051" i="10" s="1"/>
  <c r="G1051" i="10" s="1"/>
  <c r="E1050" i="10"/>
  <c r="G1050" i="10" s="1"/>
  <c r="D1050" i="10"/>
  <c r="C1050" i="10"/>
  <c r="E1049" i="10"/>
  <c r="G1049" i="10" s="1"/>
  <c r="D1049" i="10"/>
  <c r="C1049" i="10"/>
  <c r="D1048" i="10"/>
  <c r="C1048" i="10"/>
  <c r="E1048" i="10" s="1"/>
  <c r="G1048" i="10" s="1"/>
  <c r="D1047" i="10"/>
  <c r="C1047" i="10"/>
  <c r="E1047" i="10" s="1"/>
  <c r="G1047" i="10" s="1"/>
  <c r="D1046" i="10"/>
  <c r="C1046" i="10"/>
  <c r="E1046" i="10" s="1"/>
  <c r="G1046" i="10" s="1"/>
  <c r="E1045" i="10"/>
  <c r="G1045" i="10" s="1"/>
  <c r="D1045" i="10"/>
  <c r="C1045" i="10"/>
  <c r="E1044" i="10"/>
  <c r="G1044" i="10" s="1"/>
  <c r="D1044" i="10"/>
  <c r="C1044" i="10"/>
  <c r="D1043" i="10"/>
  <c r="C1043" i="10"/>
  <c r="E1043" i="10" s="1"/>
  <c r="G1043" i="10" s="1"/>
  <c r="D1042" i="10"/>
  <c r="C1042" i="10"/>
  <c r="E1042" i="10" s="1"/>
  <c r="G1042" i="10" s="1"/>
  <c r="D1041" i="10"/>
  <c r="C1041" i="10"/>
  <c r="E1041" i="10" s="1"/>
  <c r="G1041" i="10" s="1"/>
  <c r="E1040" i="10"/>
  <c r="G1040" i="10" s="1"/>
  <c r="D1040" i="10"/>
  <c r="C1040" i="10"/>
  <c r="E1039" i="10"/>
  <c r="G1039" i="10" s="1"/>
  <c r="D1039" i="10"/>
  <c r="C1039" i="10"/>
  <c r="E1038" i="10"/>
  <c r="G1038" i="10" s="1"/>
  <c r="D1038" i="10"/>
  <c r="C1038" i="10"/>
  <c r="D1037" i="10"/>
  <c r="C1037" i="10"/>
  <c r="E1037" i="10" s="1"/>
  <c r="G1037" i="10" s="1"/>
  <c r="D1036" i="10"/>
  <c r="C1036" i="10"/>
  <c r="E1036" i="10" s="1"/>
  <c r="G1036" i="10" s="1"/>
  <c r="E1035" i="10"/>
  <c r="G1035" i="10" s="1"/>
  <c r="D1035" i="10"/>
  <c r="C1035" i="10"/>
  <c r="E1034" i="10"/>
  <c r="G1034" i="10" s="1"/>
  <c r="D1034" i="10"/>
  <c r="C1034" i="10"/>
  <c r="E1033" i="10"/>
  <c r="G1033" i="10" s="1"/>
  <c r="D1033" i="10"/>
  <c r="C1033" i="10"/>
  <c r="D1032" i="10"/>
  <c r="C1032" i="10"/>
  <c r="E1032" i="10" s="1"/>
  <c r="G1032" i="10" s="1"/>
  <c r="D1031" i="10"/>
  <c r="C1031" i="10"/>
  <c r="E1031" i="10" s="1"/>
  <c r="G1031" i="10" s="1"/>
  <c r="E1030" i="10"/>
  <c r="G1030" i="10" s="1"/>
  <c r="D1030" i="10"/>
  <c r="C1030" i="10"/>
  <c r="E1029" i="10"/>
  <c r="G1029" i="10" s="1"/>
  <c r="D1029" i="10"/>
  <c r="C1029" i="10"/>
  <c r="D1028" i="10"/>
  <c r="C1028" i="10"/>
  <c r="E1028" i="10" s="1"/>
  <c r="G1028" i="10" s="1"/>
  <c r="D1027" i="10"/>
  <c r="C1027" i="10"/>
  <c r="E1027" i="10" s="1"/>
  <c r="G1027" i="10" s="1"/>
  <c r="D1026" i="10"/>
  <c r="C1026" i="10"/>
  <c r="E1026" i="10" s="1"/>
  <c r="G1026" i="10" s="1"/>
  <c r="E1025" i="10"/>
  <c r="G1025" i="10" s="1"/>
  <c r="D1025" i="10"/>
  <c r="C1025" i="10"/>
  <c r="E1024" i="10"/>
  <c r="G1024" i="10" s="1"/>
  <c r="D1024" i="10"/>
  <c r="C1024" i="10"/>
  <c r="E1023" i="10"/>
  <c r="G1023" i="10" s="1"/>
  <c r="D1023" i="10"/>
  <c r="C1023" i="10"/>
  <c r="D1022" i="10"/>
  <c r="C1022" i="10"/>
  <c r="E1022" i="10" s="1"/>
  <c r="G1022" i="10" s="1"/>
  <c r="D1021" i="10"/>
  <c r="C1021" i="10"/>
  <c r="E1021" i="10" s="1"/>
  <c r="G1021" i="10" s="1"/>
  <c r="E1020" i="10"/>
  <c r="G1020" i="10" s="1"/>
  <c r="D1020" i="10"/>
  <c r="C1020" i="10"/>
  <c r="E1019" i="10"/>
  <c r="G1019" i="10" s="1"/>
  <c r="D1019" i="10"/>
  <c r="C1019" i="10"/>
  <c r="D1018" i="10"/>
  <c r="C1018" i="10"/>
  <c r="E1018" i="10" s="1"/>
  <c r="G1018" i="10" s="1"/>
  <c r="D1017" i="10"/>
  <c r="C1017" i="10"/>
  <c r="E1017" i="10" s="1"/>
  <c r="G1017" i="10" s="1"/>
  <c r="D1016" i="10"/>
  <c r="C1016" i="10"/>
  <c r="E1016" i="10" s="1"/>
  <c r="G1016" i="10" s="1"/>
  <c r="E1015" i="10"/>
  <c r="G1015" i="10" s="1"/>
  <c r="D1015" i="10"/>
  <c r="C1015" i="10"/>
  <c r="E1014" i="10"/>
  <c r="G1014" i="10" s="1"/>
  <c r="D1014" i="10"/>
  <c r="C1014" i="10"/>
  <c r="E1013" i="10"/>
  <c r="G1013" i="10" s="1"/>
  <c r="D1013" i="10"/>
  <c r="C1013" i="10"/>
  <c r="D1012" i="10"/>
  <c r="C1012" i="10"/>
  <c r="E1012" i="10" s="1"/>
  <c r="G1012" i="10" s="1"/>
  <c r="D1011" i="10"/>
  <c r="C1011" i="10"/>
  <c r="E1011" i="10" s="1"/>
  <c r="G1011" i="10" s="1"/>
  <c r="E1010" i="10"/>
  <c r="G1010" i="10" s="1"/>
  <c r="D1010" i="10"/>
  <c r="C1010" i="10"/>
  <c r="E1009" i="10"/>
  <c r="G1009" i="10" s="1"/>
  <c r="D1009" i="10"/>
  <c r="C1009" i="10"/>
  <c r="D1008" i="10"/>
  <c r="C1008" i="10"/>
  <c r="E1008" i="10" s="1"/>
  <c r="G1008" i="10" s="1"/>
  <c r="D1007" i="10"/>
  <c r="C1007" i="10"/>
  <c r="E1007" i="10" s="1"/>
  <c r="G1007" i="10" s="1"/>
  <c r="D1006" i="10"/>
  <c r="C1006" i="10"/>
  <c r="E1006" i="10" s="1"/>
  <c r="G1006" i="10" s="1"/>
  <c r="E1005" i="10"/>
  <c r="G1005" i="10" s="1"/>
  <c r="D1005" i="10"/>
  <c r="C1005" i="10"/>
  <c r="E1004" i="10"/>
  <c r="G1004" i="10" s="1"/>
  <c r="D1004" i="10"/>
  <c r="C1004" i="10"/>
  <c r="D1003" i="10"/>
  <c r="C1003" i="10"/>
  <c r="E1003" i="10" s="1"/>
  <c r="G1003" i="10" s="1"/>
  <c r="D1002" i="10"/>
  <c r="C1002" i="10"/>
  <c r="E1002" i="10" s="1"/>
  <c r="G1002" i="10" s="1"/>
  <c r="D1001" i="10"/>
  <c r="C1001" i="10"/>
  <c r="E1001" i="10" s="1"/>
  <c r="G1001" i="10" s="1"/>
  <c r="E1000" i="10"/>
  <c r="G1000" i="10" s="1"/>
  <c r="D1000" i="10"/>
  <c r="C1000" i="10"/>
  <c r="E999" i="10"/>
  <c r="G999" i="10" s="1"/>
  <c r="D999" i="10"/>
  <c r="C999" i="10"/>
  <c r="D998" i="10"/>
  <c r="C998" i="10"/>
  <c r="E998" i="10" s="1"/>
  <c r="G998" i="10" s="1"/>
  <c r="D997" i="10"/>
  <c r="C997" i="10"/>
  <c r="E997" i="10" s="1"/>
  <c r="G997" i="10" s="1"/>
  <c r="D996" i="10"/>
  <c r="C996" i="10"/>
  <c r="E996" i="10" s="1"/>
  <c r="G996" i="10" s="1"/>
  <c r="E995" i="10"/>
  <c r="G995" i="10" s="1"/>
  <c r="D995" i="10"/>
  <c r="C995" i="10"/>
  <c r="E994" i="10"/>
  <c r="G994" i="10" s="1"/>
  <c r="D994" i="10"/>
  <c r="C994" i="10"/>
  <c r="D993" i="10"/>
  <c r="C993" i="10"/>
  <c r="E993" i="10" s="1"/>
  <c r="G993" i="10" s="1"/>
  <c r="D992" i="10"/>
  <c r="C992" i="10"/>
  <c r="E992" i="10" s="1"/>
  <c r="G992" i="10" s="1"/>
  <c r="D991" i="10"/>
  <c r="C991" i="10"/>
  <c r="E991" i="10" s="1"/>
  <c r="G991" i="10" s="1"/>
  <c r="E990" i="10"/>
  <c r="G990" i="10" s="1"/>
  <c r="D990" i="10"/>
  <c r="C990" i="10"/>
  <c r="E989" i="10"/>
  <c r="G989" i="10" s="1"/>
  <c r="D989" i="10"/>
  <c r="C989" i="10"/>
  <c r="E988" i="10"/>
  <c r="G988" i="10" s="1"/>
  <c r="D988" i="10"/>
  <c r="C988" i="10"/>
  <c r="D987" i="10"/>
  <c r="C987" i="10"/>
  <c r="E987" i="10" s="1"/>
  <c r="G987" i="10" s="1"/>
  <c r="D986" i="10"/>
  <c r="C986" i="10"/>
  <c r="E986" i="10" s="1"/>
  <c r="G986" i="10" s="1"/>
  <c r="E985" i="10"/>
  <c r="G985" i="10" s="1"/>
  <c r="D985" i="10"/>
  <c r="C985" i="10"/>
  <c r="E984" i="10"/>
  <c r="G984" i="10" s="1"/>
  <c r="D984" i="10"/>
  <c r="C984" i="10"/>
  <c r="E983" i="10"/>
  <c r="G983" i="10" s="1"/>
  <c r="D983" i="10"/>
  <c r="C983" i="10"/>
  <c r="D982" i="10"/>
  <c r="C982" i="10"/>
  <c r="E982" i="10" s="1"/>
  <c r="G982" i="10" s="1"/>
  <c r="D981" i="10"/>
  <c r="C981" i="10"/>
  <c r="E981" i="10" s="1"/>
  <c r="G981" i="10" s="1"/>
  <c r="E980" i="10"/>
  <c r="G980" i="10" s="1"/>
  <c r="D980" i="10"/>
  <c r="C980" i="10"/>
  <c r="E979" i="10"/>
  <c r="G979" i="10" s="1"/>
  <c r="D979" i="10"/>
  <c r="C979" i="10"/>
  <c r="D978" i="10"/>
  <c r="C978" i="10"/>
  <c r="E978" i="10" s="1"/>
  <c r="G978" i="10" s="1"/>
  <c r="D977" i="10"/>
  <c r="C977" i="10"/>
  <c r="E977" i="10" s="1"/>
  <c r="G977" i="10" s="1"/>
  <c r="D976" i="10"/>
  <c r="C976" i="10"/>
  <c r="E976" i="10" s="1"/>
  <c r="G976" i="10" s="1"/>
  <c r="E975" i="10"/>
  <c r="G975" i="10" s="1"/>
  <c r="D975" i="10"/>
  <c r="C975" i="10"/>
  <c r="E974" i="10"/>
  <c r="G974" i="10" s="1"/>
  <c r="D974" i="10"/>
  <c r="C974" i="10"/>
  <c r="E973" i="10"/>
  <c r="G973" i="10" s="1"/>
  <c r="D973" i="10"/>
  <c r="C973" i="10"/>
  <c r="D972" i="10"/>
  <c r="C972" i="10"/>
  <c r="E972" i="10" s="1"/>
  <c r="G972" i="10" s="1"/>
  <c r="D971" i="10"/>
  <c r="C971" i="10"/>
  <c r="E971" i="10" s="1"/>
  <c r="G971" i="10" s="1"/>
  <c r="E970" i="10"/>
  <c r="G970" i="10" s="1"/>
  <c r="D970" i="10"/>
  <c r="C970" i="10"/>
  <c r="E969" i="10"/>
  <c r="G969" i="10" s="1"/>
  <c r="D969" i="10"/>
  <c r="C969" i="10"/>
  <c r="D968" i="10"/>
  <c r="C968" i="10"/>
  <c r="E968" i="10" s="1"/>
  <c r="G968" i="10" s="1"/>
  <c r="D967" i="10"/>
  <c r="C967" i="10"/>
  <c r="E967" i="10" s="1"/>
  <c r="G967" i="10" s="1"/>
  <c r="D966" i="10"/>
  <c r="C966" i="10"/>
  <c r="E966" i="10" s="1"/>
  <c r="G966" i="10" s="1"/>
  <c r="E965" i="10"/>
  <c r="G965" i="10" s="1"/>
  <c r="D965" i="10"/>
  <c r="C965" i="10"/>
  <c r="E964" i="10"/>
  <c r="G964" i="10" s="1"/>
  <c r="D964" i="10"/>
  <c r="C964" i="10"/>
  <c r="E963" i="10"/>
  <c r="G963" i="10" s="1"/>
  <c r="D963" i="10"/>
  <c r="C963" i="10"/>
  <c r="D962" i="10"/>
  <c r="C962" i="10"/>
  <c r="E962" i="10" s="1"/>
  <c r="G962" i="10" s="1"/>
  <c r="D961" i="10"/>
  <c r="C961" i="10"/>
  <c r="E961" i="10" s="1"/>
  <c r="G961" i="10" s="1"/>
  <c r="E960" i="10"/>
  <c r="G960" i="10" s="1"/>
  <c r="D960" i="10"/>
  <c r="C960" i="10"/>
  <c r="E959" i="10"/>
  <c r="G959" i="10" s="1"/>
  <c r="D959" i="10"/>
  <c r="C959" i="10"/>
  <c r="D958" i="10"/>
  <c r="C958" i="10"/>
  <c r="E958" i="10" s="1"/>
  <c r="G958" i="10" s="1"/>
  <c r="D957" i="10"/>
  <c r="C957" i="10"/>
  <c r="E957" i="10" s="1"/>
  <c r="G957" i="10" s="1"/>
  <c r="D956" i="10"/>
  <c r="C956" i="10"/>
  <c r="E956" i="10" s="1"/>
  <c r="G956" i="10" s="1"/>
  <c r="E955" i="10"/>
  <c r="G955" i="10" s="1"/>
  <c r="D955" i="10"/>
  <c r="C955" i="10"/>
  <c r="E954" i="10"/>
  <c r="G954" i="10" s="1"/>
  <c r="D954" i="10"/>
  <c r="C954" i="10"/>
  <c r="D953" i="10"/>
  <c r="C953" i="10"/>
  <c r="E953" i="10" s="1"/>
  <c r="G953" i="10" s="1"/>
  <c r="D952" i="10"/>
  <c r="C952" i="10"/>
  <c r="E952" i="10" s="1"/>
  <c r="G952" i="10" s="1"/>
  <c r="D951" i="10"/>
  <c r="C951" i="10"/>
  <c r="E951" i="10" s="1"/>
  <c r="G951" i="10" s="1"/>
  <c r="E950" i="10"/>
  <c r="G950" i="10" s="1"/>
  <c r="D950" i="10"/>
  <c r="C950" i="10"/>
  <c r="E949" i="10"/>
  <c r="G949" i="10" s="1"/>
  <c r="D949" i="10"/>
  <c r="C949" i="10"/>
  <c r="D948" i="10"/>
  <c r="C948" i="10"/>
  <c r="E948" i="10" s="1"/>
  <c r="G948" i="10" s="1"/>
  <c r="D947" i="10"/>
  <c r="C947" i="10"/>
  <c r="E947" i="10" s="1"/>
  <c r="G947" i="10" s="1"/>
  <c r="D946" i="10"/>
  <c r="C946" i="10"/>
  <c r="E946" i="10" s="1"/>
  <c r="G946" i="10" s="1"/>
  <c r="E945" i="10"/>
  <c r="G945" i="10" s="1"/>
  <c r="D945" i="10"/>
  <c r="C945" i="10"/>
  <c r="E944" i="10"/>
  <c r="G944" i="10" s="1"/>
  <c r="D944" i="10"/>
  <c r="C944" i="10"/>
  <c r="D943" i="10"/>
  <c r="C943" i="10"/>
  <c r="E943" i="10" s="1"/>
  <c r="G943" i="10" s="1"/>
  <c r="D942" i="10"/>
  <c r="C942" i="10"/>
  <c r="E942" i="10" s="1"/>
  <c r="G942" i="10" s="1"/>
  <c r="D941" i="10"/>
  <c r="C941" i="10"/>
  <c r="E941" i="10" s="1"/>
  <c r="G941" i="10" s="1"/>
  <c r="E940" i="10"/>
  <c r="G940" i="10" s="1"/>
  <c r="D940" i="10"/>
  <c r="C940" i="10"/>
  <c r="E939" i="10"/>
  <c r="G939" i="10" s="1"/>
  <c r="D939" i="10"/>
  <c r="C939" i="10"/>
  <c r="E938" i="10"/>
  <c r="G938" i="10" s="1"/>
  <c r="D938" i="10"/>
  <c r="C938" i="10"/>
  <c r="D937" i="10"/>
  <c r="C937" i="10"/>
  <c r="E937" i="10" s="1"/>
  <c r="G937" i="10" s="1"/>
  <c r="D936" i="10"/>
  <c r="C936" i="10"/>
  <c r="E936" i="10" s="1"/>
  <c r="G936" i="10" s="1"/>
  <c r="E935" i="10"/>
  <c r="G935" i="10" s="1"/>
  <c r="D935" i="10"/>
  <c r="C935" i="10"/>
  <c r="E934" i="10"/>
  <c r="G934" i="10" s="1"/>
  <c r="D934" i="10"/>
  <c r="C934" i="10"/>
  <c r="E933" i="10"/>
  <c r="G933" i="10" s="1"/>
  <c r="D933" i="10"/>
  <c r="C933" i="10"/>
  <c r="D932" i="10"/>
  <c r="C932" i="10"/>
  <c r="E932" i="10" s="1"/>
  <c r="G932" i="10" s="1"/>
  <c r="D931" i="10"/>
  <c r="C931" i="10"/>
  <c r="E931" i="10" s="1"/>
  <c r="G931" i="10" s="1"/>
  <c r="E930" i="10"/>
  <c r="G930" i="10" s="1"/>
  <c r="D930" i="10"/>
  <c r="C930" i="10"/>
  <c r="E929" i="10"/>
  <c r="G929" i="10" s="1"/>
  <c r="D929" i="10"/>
  <c r="C929" i="10"/>
  <c r="D928" i="10"/>
  <c r="C928" i="10"/>
  <c r="E928" i="10" s="1"/>
  <c r="G928" i="10" s="1"/>
  <c r="D927" i="10"/>
  <c r="C927" i="10"/>
  <c r="E927" i="10" s="1"/>
  <c r="G927" i="10" s="1"/>
  <c r="D926" i="10"/>
  <c r="C926" i="10"/>
  <c r="E926" i="10" s="1"/>
  <c r="G926" i="10" s="1"/>
  <c r="E925" i="10"/>
  <c r="G925" i="10" s="1"/>
  <c r="D925" i="10"/>
  <c r="C925" i="10"/>
  <c r="E924" i="10"/>
  <c r="G924" i="10" s="1"/>
  <c r="D924" i="10"/>
  <c r="C924" i="10"/>
  <c r="E923" i="10"/>
  <c r="G923" i="10" s="1"/>
  <c r="D923" i="10"/>
  <c r="C923" i="10"/>
  <c r="D922" i="10"/>
  <c r="C922" i="10"/>
  <c r="E922" i="10" s="1"/>
  <c r="G922" i="10" s="1"/>
  <c r="D921" i="10"/>
  <c r="C921" i="10"/>
  <c r="E921" i="10" s="1"/>
  <c r="G921" i="10" s="1"/>
  <c r="E920" i="10"/>
  <c r="G920" i="10" s="1"/>
  <c r="D920" i="10"/>
  <c r="C920" i="10"/>
  <c r="E919" i="10"/>
  <c r="G919" i="10" s="1"/>
  <c r="D919" i="10"/>
  <c r="C919" i="10"/>
  <c r="D918" i="10"/>
  <c r="C918" i="10"/>
  <c r="E918" i="10" s="1"/>
  <c r="G918" i="10" s="1"/>
  <c r="D917" i="10"/>
  <c r="C917" i="10"/>
  <c r="E917" i="10" s="1"/>
  <c r="G917" i="10" s="1"/>
  <c r="D916" i="10"/>
  <c r="C916" i="10"/>
  <c r="E916" i="10" s="1"/>
  <c r="G916" i="10" s="1"/>
  <c r="E915" i="10"/>
  <c r="G915" i="10" s="1"/>
  <c r="D915" i="10"/>
  <c r="C915" i="10"/>
  <c r="E914" i="10"/>
  <c r="G914" i="10" s="1"/>
  <c r="D914" i="10"/>
  <c r="C914" i="10"/>
  <c r="E913" i="10"/>
  <c r="G913" i="10" s="1"/>
  <c r="D913" i="10"/>
  <c r="C913" i="10"/>
  <c r="D912" i="10"/>
  <c r="C912" i="10"/>
  <c r="E912" i="10" s="1"/>
  <c r="G912" i="10" s="1"/>
  <c r="D911" i="10"/>
  <c r="C911" i="10"/>
  <c r="E911" i="10" s="1"/>
  <c r="G911" i="10" s="1"/>
  <c r="E910" i="10"/>
  <c r="G910" i="10" s="1"/>
  <c r="D910" i="10"/>
  <c r="C910" i="10"/>
  <c r="E909" i="10"/>
  <c r="G909" i="10" s="1"/>
  <c r="D909" i="10"/>
  <c r="C909" i="10"/>
  <c r="D908" i="10"/>
  <c r="C908" i="10"/>
  <c r="E908" i="10" s="1"/>
  <c r="G908" i="10" s="1"/>
  <c r="D907" i="10"/>
  <c r="C907" i="10"/>
  <c r="E907" i="10" s="1"/>
  <c r="G907" i="10" s="1"/>
  <c r="D906" i="10"/>
  <c r="C906" i="10"/>
  <c r="E906" i="10" s="1"/>
  <c r="G906" i="10" s="1"/>
  <c r="E905" i="10"/>
  <c r="G905" i="10" s="1"/>
  <c r="D905" i="10"/>
  <c r="C905" i="10"/>
  <c r="E904" i="10"/>
  <c r="G904" i="10" s="1"/>
  <c r="D904" i="10"/>
  <c r="C904" i="10"/>
  <c r="D903" i="10"/>
  <c r="C903" i="10"/>
  <c r="E903" i="10" s="1"/>
  <c r="G903" i="10" s="1"/>
  <c r="D902" i="10"/>
  <c r="C902" i="10"/>
  <c r="E902" i="10" s="1"/>
  <c r="G902" i="10" s="1"/>
  <c r="D901" i="10"/>
  <c r="C901" i="10"/>
  <c r="E901" i="10" s="1"/>
  <c r="G901" i="10" s="1"/>
  <c r="E900" i="10"/>
  <c r="G900" i="10" s="1"/>
  <c r="D900" i="10"/>
  <c r="C900" i="10"/>
  <c r="E899" i="10"/>
  <c r="G899" i="10" s="1"/>
  <c r="D899" i="10"/>
  <c r="C899" i="10"/>
  <c r="D898" i="10"/>
  <c r="C898" i="10"/>
  <c r="E898" i="10" s="1"/>
  <c r="G898" i="10" s="1"/>
  <c r="D897" i="10"/>
  <c r="C897" i="10"/>
  <c r="E897" i="10" s="1"/>
  <c r="G897" i="10" s="1"/>
  <c r="D896" i="10"/>
  <c r="C896" i="10"/>
  <c r="E896" i="10" s="1"/>
  <c r="G896" i="10" s="1"/>
  <c r="E895" i="10"/>
  <c r="G895" i="10" s="1"/>
  <c r="D895" i="10"/>
  <c r="C895" i="10"/>
  <c r="E894" i="10"/>
  <c r="G894" i="10" s="1"/>
  <c r="D894" i="10"/>
  <c r="C894" i="10"/>
  <c r="D893" i="10"/>
  <c r="C893" i="10"/>
  <c r="E893" i="10" s="1"/>
  <c r="G893" i="10" s="1"/>
  <c r="D892" i="10"/>
  <c r="C892" i="10"/>
  <c r="E892" i="10" s="1"/>
  <c r="G892" i="10" s="1"/>
  <c r="D891" i="10"/>
  <c r="C891" i="10"/>
  <c r="E891" i="10" s="1"/>
  <c r="G891" i="10" s="1"/>
  <c r="E890" i="10"/>
  <c r="G890" i="10" s="1"/>
  <c r="D890" i="10"/>
  <c r="C890" i="10"/>
  <c r="E889" i="10"/>
  <c r="G889" i="10" s="1"/>
  <c r="D889" i="10"/>
  <c r="C889" i="10"/>
  <c r="E888" i="10"/>
  <c r="G888" i="10" s="1"/>
  <c r="D888" i="10"/>
  <c r="C888" i="10"/>
  <c r="D887" i="10"/>
  <c r="C887" i="10"/>
  <c r="E887" i="10" s="1"/>
  <c r="G887" i="10" s="1"/>
  <c r="D886" i="10"/>
  <c r="C886" i="10"/>
  <c r="E886" i="10" s="1"/>
  <c r="G886" i="10" s="1"/>
  <c r="E885" i="10"/>
  <c r="G885" i="10" s="1"/>
  <c r="D885" i="10"/>
  <c r="C885" i="10"/>
  <c r="E884" i="10"/>
  <c r="G884" i="10" s="1"/>
  <c r="D884" i="10"/>
  <c r="C884" i="10"/>
  <c r="E883" i="10"/>
  <c r="G883" i="10" s="1"/>
  <c r="D883" i="10"/>
  <c r="C883" i="10"/>
  <c r="D882" i="10"/>
  <c r="C882" i="10"/>
  <c r="E882" i="10" s="1"/>
  <c r="G882" i="10" s="1"/>
  <c r="D881" i="10"/>
  <c r="C881" i="10"/>
  <c r="E881" i="10" s="1"/>
  <c r="G881" i="10" s="1"/>
  <c r="E880" i="10"/>
  <c r="G880" i="10" s="1"/>
  <c r="D880" i="10"/>
  <c r="C880" i="10"/>
  <c r="E879" i="10"/>
  <c r="G879" i="10" s="1"/>
  <c r="D879" i="10"/>
  <c r="C879" i="10"/>
  <c r="D878" i="10"/>
  <c r="C878" i="10"/>
  <c r="E878" i="10" s="1"/>
  <c r="G878" i="10" s="1"/>
  <c r="D877" i="10"/>
  <c r="C877" i="10"/>
  <c r="E877" i="10" s="1"/>
  <c r="G877" i="10" s="1"/>
  <c r="D876" i="10"/>
  <c r="C876" i="10"/>
  <c r="E876" i="10" s="1"/>
  <c r="G876" i="10" s="1"/>
  <c r="E875" i="10"/>
  <c r="G875" i="10" s="1"/>
  <c r="D875" i="10"/>
  <c r="C875" i="10"/>
  <c r="E874" i="10"/>
  <c r="G874" i="10" s="1"/>
  <c r="D874" i="10"/>
  <c r="C874" i="10"/>
  <c r="E873" i="10"/>
  <c r="G873" i="10" s="1"/>
  <c r="D873" i="10"/>
  <c r="C873" i="10"/>
  <c r="D872" i="10"/>
  <c r="C872" i="10"/>
  <c r="E872" i="10" s="1"/>
  <c r="G872" i="10" s="1"/>
  <c r="D871" i="10"/>
  <c r="C871" i="10"/>
  <c r="E871" i="10" s="1"/>
  <c r="G871" i="10" s="1"/>
  <c r="E870" i="10"/>
  <c r="G870" i="10" s="1"/>
  <c r="D870" i="10"/>
  <c r="C870" i="10"/>
  <c r="E869" i="10"/>
  <c r="G869" i="10" s="1"/>
  <c r="D869" i="10"/>
  <c r="C869" i="10"/>
  <c r="D868" i="10"/>
  <c r="C868" i="10"/>
  <c r="E868" i="10" s="1"/>
  <c r="G868" i="10" s="1"/>
  <c r="D867" i="10"/>
  <c r="C867" i="10"/>
  <c r="E867" i="10" s="1"/>
  <c r="G867" i="10" s="1"/>
  <c r="D866" i="10"/>
  <c r="C866" i="10"/>
  <c r="E866" i="10" s="1"/>
  <c r="G866" i="10" s="1"/>
  <c r="E865" i="10"/>
  <c r="G865" i="10" s="1"/>
  <c r="D865" i="10"/>
  <c r="C865" i="10"/>
  <c r="E864" i="10"/>
  <c r="G864" i="10" s="1"/>
  <c r="D864" i="10"/>
  <c r="C864" i="10"/>
  <c r="E863" i="10"/>
  <c r="G863" i="10" s="1"/>
  <c r="D863" i="10"/>
  <c r="C863" i="10"/>
  <c r="D862" i="10"/>
  <c r="C862" i="10"/>
  <c r="E862" i="10" s="1"/>
  <c r="G862" i="10" s="1"/>
  <c r="D861" i="10"/>
  <c r="C861" i="10"/>
  <c r="E861" i="10" s="1"/>
  <c r="G861" i="10" s="1"/>
  <c r="E860" i="10"/>
  <c r="G860" i="10" s="1"/>
  <c r="D860" i="10"/>
  <c r="C860" i="10"/>
  <c r="E859" i="10"/>
  <c r="G859" i="10" s="1"/>
  <c r="D859" i="10"/>
  <c r="C859" i="10"/>
  <c r="D858" i="10"/>
  <c r="C858" i="10"/>
  <c r="E858" i="10" s="1"/>
  <c r="G858" i="10" s="1"/>
  <c r="D857" i="10"/>
  <c r="C857" i="10"/>
  <c r="E857" i="10" s="1"/>
  <c r="G857" i="10" s="1"/>
  <c r="D856" i="10"/>
  <c r="C856" i="10"/>
  <c r="E856" i="10" s="1"/>
  <c r="G856" i="10" s="1"/>
  <c r="E855" i="10"/>
  <c r="G855" i="10" s="1"/>
  <c r="D855" i="10"/>
  <c r="C855" i="10"/>
  <c r="E854" i="10"/>
  <c r="G854" i="10" s="1"/>
  <c r="D854" i="10"/>
  <c r="C854" i="10"/>
  <c r="D853" i="10"/>
  <c r="C853" i="10"/>
  <c r="E853" i="10" s="1"/>
  <c r="G853" i="10" s="1"/>
  <c r="D852" i="10"/>
  <c r="C852" i="10"/>
  <c r="E852" i="10" s="1"/>
  <c r="G852" i="10" s="1"/>
  <c r="D851" i="10"/>
  <c r="C851" i="10"/>
  <c r="E851" i="10" s="1"/>
  <c r="G851" i="10" s="1"/>
  <c r="E850" i="10"/>
  <c r="G850" i="10" s="1"/>
  <c r="D850" i="10"/>
  <c r="C850" i="10"/>
  <c r="E849" i="10"/>
  <c r="G849" i="10" s="1"/>
  <c r="D849" i="10"/>
  <c r="C849" i="10"/>
  <c r="D848" i="10"/>
  <c r="C848" i="10"/>
  <c r="E848" i="10" s="1"/>
  <c r="G848" i="10" s="1"/>
  <c r="D847" i="10"/>
  <c r="C847" i="10"/>
  <c r="E847" i="10" s="1"/>
  <c r="G847" i="10" s="1"/>
  <c r="D846" i="10"/>
  <c r="C846" i="10"/>
  <c r="E846" i="10" s="1"/>
  <c r="G846" i="10" s="1"/>
  <c r="E845" i="10"/>
  <c r="G845" i="10" s="1"/>
  <c r="D845" i="10"/>
  <c r="C845" i="10"/>
  <c r="E844" i="10"/>
  <c r="G844" i="10" s="1"/>
  <c r="D844" i="10"/>
  <c r="C844" i="10"/>
  <c r="D843" i="10"/>
  <c r="C843" i="10"/>
  <c r="E843" i="10" s="1"/>
  <c r="G843" i="10" s="1"/>
  <c r="D842" i="10"/>
  <c r="C842" i="10"/>
  <c r="E842" i="10" s="1"/>
  <c r="G842" i="10" s="1"/>
  <c r="D841" i="10"/>
  <c r="C841" i="10"/>
  <c r="E841" i="10" s="1"/>
  <c r="G841" i="10" s="1"/>
  <c r="E840" i="10"/>
  <c r="G840" i="10" s="1"/>
  <c r="D840" i="10"/>
  <c r="C840" i="10"/>
  <c r="E839" i="10"/>
  <c r="G839" i="10" s="1"/>
  <c r="D839" i="10"/>
  <c r="C839" i="10"/>
  <c r="E838" i="10"/>
  <c r="G838" i="10" s="1"/>
  <c r="D838" i="10"/>
  <c r="C838" i="10"/>
  <c r="D837" i="10"/>
  <c r="C837" i="10"/>
  <c r="E837" i="10" s="1"/>
  <c r="G837" i="10" s="1"/>
  <c r="D836" i="10"/>
  <c r="C836" i="10"/>
  <c r="E836" i="10" s="1"/>
  <c r="G836" i="10" s="1"/>
  <c r="E835" i="10"/>
  <c r="G835" i="10" s="1"/>
  <c r="D835" i="10"/>
  <c r="C835" i="10"/>
  <c r="E834" i="10"/>
  <c r="G834" i="10" s="1"/>
  <c r="D834" i="10"/>
  <c r="C834" i="10"/>
  <c r="E833" i="10"/>
  <c r="G833" i="10" s="1"/>
  <c r="D833" i="10"/>
  <c r="C833" i="10"/>
  <c r="D832" i="10"/>
  <c r="C832" i="10"/>
  <c r="E832" i="10" s="1"/>
  <c r="G832" i="10" s="1"/>
  <c r="D831" i="10"/>
  <c r="C831" i="10"/>
  <c r="E831" i="10" s="1"/>
  <c r="G831" i="10" s="1"/>
  <c r="E830" i="10"/>
  <c r="G830" i="10" s="1"/>
  <c r="D830" i="10"/>
  <c r="C830" i="10"/>
  <c r="E829" i="10"/>
  <c r="G829" i="10" s="1"/>
  <c r="D829" i="10"/>
  <c r="C829" i="10"/>
  <c r="D828" i="10"/>
  <c r="C828" i="10"/>
  <c r="E828" i="10" s="1"/>
  <c r="G828" i="10" s="1"/>
  <c r="D827" i="10"/>
  <c r="C827" i="10"/>
  <c r="E827" i="10" s="1"/>
  <c r="G827" i="10" s="1"/>
  <c r="D826" i="10"/>
  <c r="C826" i="10"/>
  <c r="E826" i="10" s="1"/>
  <c r="G826" i="10" s="1"/>
  <c r="E825" i="10"/>
  <c r="G825" i="10" s="1"/>
  <c r="D825" i="10"/>
  <c r="C825" i="10"/>
  <c r="E824" i="10"/>
  <c r="G824" i="10" s="1"/>
  <c r="D824" i="10"/>
  <c r="C824" i="10"/>
  <c r="E823" i="10"/>
  <c r="G823" i="10" s="1"/>
  <c r="D823" i="10"/>
  <c r="C823" i="10"/>
  <c r="D822" i="10"/>
  <c r="C822" i="10"/>
  <c r="E822" i="10" s="1"/>
  <c r="G822" i="10" s="1"/>
  <c r="D821" i="10"/>
  <c r="C821" i="10"/>
  <c r="E821" i="10" s="1"/>
  <c r="G821" i="10" s="1"/>
  <c r="E820" i="10"/>
  <c r="G820" i="10" s="1"/>
  <c r="D820" i="10"/>
  <c r="C820" i="10"/>
  <c r="E819" i="10"/>
  <c r="G819" i="10" s="1"/>
  <c r="D819" i="10"/>
  <c r="C819" i="10"/>
  <c r="D818" i="10"/>
  <c r="C818" i="10"/>
  <c r="E818" i="10" s="1"/>
  <c r="G818" i="10" s="1"/>
  <c r="D817" i="10"/>
  <c r="C817" i="10"/>
  <c r="E817" i="10" s="1"/>
  <c r="G817" i="10" s="1"/>
  <c r="D816" i="10"/>
  <c r="C816" i="10"/>
  <c r="E816" i="10" s="1"/>
  <c r="G816" i="10" s="1"/>
  <c r="E815" i="10"/>
  <c r="G815" i="10" s="1"/>
  <c r="D815" i="10"/>
  <c r="C815" i="10"/>
  <c r="E814" i="10"/>
  <c r="G814" i="10" s="1"/>
  <c r="D814" i="10"/>
  <c r="C814" i="10"/>
  <c r="E813" i="10"/>
  <c r="G813" i="10" s="1"/>
  <c r="D813" i="10"/>
  <c r="C813" i="10"/>
  <c r="D812" i="10"/>
  <c r="C812" i="10"/>
  <c r="E812" i="10" s="1"/>
  <c r="G812" i="10" s="1"/>
  <c r="D811" i="10"/>
  <c r="C811" i="10"/>
  <c r="E811" i="10" s="1"/>
  <c r="G811" i="10" s="1"/>
  <c r="E810" i="10"/>
  <c r="G810" i="10" s="1"/>
  <c r="D810" i="10"/>
  <c r="C810" i="10"/>
  <c r="E809" i="10"/>
  <c r="G809" i="10" s="1"/>
  <c r="D809" i="10"/>
  <c r="C809" i="10"/>
  <c r="D808" i="10"/>
  <c r="C808" i="10"/>
  <c r="E808" i="10" s="1"/>
  <c r="G808" i="10" s="1"/>
  <c r="D807" i="10"/>
  <c r="C807" i="10"/>
  <c r="E807" i="10" s="1"/>
  <c r="G807" i="10" s="1"/>
  <c r="D806" i="10"/>
  <c r="C806" i="10"/>
  <c r="E806" i="10" s="1"/>
  <c r="G806" i="10" s="1"/>
  <c r="E805" i="10"/>
  <c r="G805" i="10" s="1"/>
  <c r="D805" i="10"/>
  <c r="C805" i="10"/>
  <c r="E804" i="10"/>
  <c r="G804" i="10" s="1"/>
  <c r="D804" i="10"/>
  <c r="C804" i="10"/>
  <c r="D803" i="10"/>
  <c r="C803" i="10"/>
  <c r="E803" i="10" s="1"/>
  <c r="G803" i="10" s="1"/>
  <c r="D802" i="10"/>
  <c r="C802" i="10"/>
  <c r="E802" i="10" s="1"/>
  <c r="G802" i="10" s="1"/>
  <c r="D801" i="10"/>
  <c r="C801" i="10"/>
  <c r="E801" i="10" s="1"/>
  <c r="G801" i="10" s="1"/>
  <c r="E800" i="10"/>
  <c r="G800" i="10" s="1"/>
  <c r="D800" i="10"/>
  <c r="C800" i="10"/>
  <c r="E799" i="10"/>
  <c r="G799" i="10" s="1"/>
  <c r="D799" i="10"/>
  <c r="C799" i="10"/>
  <c r="D798" i="10"/>
  <c r="C798" i="10"/>
  <c r="E798" i="10" s="1"/>
  <c r="G798" i="10" s="1"/>
  <c r="D797" i="10"/>
  <c r="C797" i="10"/>
  <c r="E797" i="10" s="1"/>
  <c r="G797" i="10" s="1"/>
  <c r="D796" i="10"/>
  <c r="C796" i="10"/>
  <c r="E796" i="10" s="1"/>
  <c r="G796" i="10" s="1"/>
  <c r="E795" i="10"/>
  <c r="G795" i="10" s="1"/>
  <c r="D795" i="10"/>
  <c r="C795" i="10"/>
  <c r="E794" i="10"/>
  <c r="G794" i="10" s="1"/>
  <c r="D794" i="10"/>
  <c r="C794" i="10"/>
  <c r="D793" i="10"/>
  <c r="C793" i="10"/>
  <c r="E793" i="10" s="1"/>
  <c r="G793" i="10" s="1"/>
  <c r="D792" i="10"/>
  <c r="C792" i="10"/>
  <c r="E792" i="10" s="1"/>
  <c r="G792" i="10" s="1"/>
  <c r="D791" i="10"/>
  <c r="C791" i="10"/>
  <c r="E791" i="10" s="1"/>
  <c r="G791" i="10" s="1"/>
  <c r="E790" i="10"/>
  <c r="G790" i="10" s="1"/>
  <c r="D790" i="10"/>
  <c r="C790" i="10"/>
  <c r="E789" i="10"/>
  <c r="G789" i="10" s="1"/>
  <c r="D789" i="10"/>
  <c r="C789" i="10"/>
  <c r="E788" i="10"/>
  <c r="G788" i="10" s="1"/>
  <c r="D788" i="10"/>
  <c r="C788" i="10"/>
  <c r="D787" i="10"/>
  <c r="C787" i="10"/>
  <c r="E787" i="10" s="1"/>
  <c r="G787" i="10" s="1"/>
  <c r="D786" i="10"/>
  <c r="C786" i="10"/>
  <c r="E786" i="10" s="1"/>
  <c r="G786" i="10" s="1"/>
  <c r="E785" i="10"/>
  <c r="G785" i="10" s="1"/>
  <c r="D785" i="10"/>
  <c r="C785" i="10"/>
  <c r="E784" i="10"/>
  <c r="G784" i="10" s="1"/>
  <c r="D784" i="10"/>
  <c r="C784" i="10"/>
  <c r="E783" i="10"/>
  <c r="G783" i="10" s="1"/>
  <c r="D783" i="10"/>
  <c r="C783" i="10"/>
  <c r="D782" i="10"/>
  <c r="C782" i="10"/>
  <c r="E782" i="10" s="1"/>
  <c r="G782" i="10" s="1"/>
  <c r="D781" i="10"/>
  <c r="C781" i="10"/>
  <c r="E781" i="10" s="1"/>
  <c r="G781" i="10" s="1"/>
  <c r="E780" i="10"/>
  <c r="G780" i="10" s="1"/>
  <c r="D780" i="10"/>
  <c r="C780" i="10"/>
  <c r="E779" i="10"/>
  <c r="G779" i="10" s="1"/>
  <c r="D779" i="10"/>
  <c r="C779" i="10"/>
  <c r="D778" i="10"/>
  <c r="C778" i="10"/>
  <c r="E778" i="10" s="1"/>
  <c r="G778" i="10" s="1"/>
  <c r="D777" i="10"/>
  <c r="C777" i="10"/>
  <c r="E777" i="10" s="1"/>
  <c r="G777" i="10" s="1"/>
  <c r="D776" i="10"/>
  <c r="C776" i="10"/>
  <c r="E776" i="10" s="1"/>
  <c r="G776" i="10" s="1"/>
  <c r="E775" i="10"/>
  <c r="G775" i="10" s="1"/>
  <c r="D775" i="10"/>
  <c r="C775" i="10"/>
  <c r="E774" i="10"/>
  <c r="G774" i="10" s="1"/>
  <c r="D774" i="10"/>
  <c r="C774" i="10"/>
  <c r="E773" i="10"/>
  <c r="G773" i="10" s="1"/>
  <c r="D773" i="10"/>
  <c r="C773" i="10"/>
  <c r="D772" i="10"/>
  <c r="C772" i="10"/>
  <c r="E772" i="10" s="1"/>
  <c r="G772" i="10" s="1"/>
  <c r="D771" i="10"/>
  <c r="C771" i="10"/>
  <c r="E771" i="10" s="1"/>
  <c r="G771" i="10" s="1"/>
  <c r="E770" i="10"/>
  <c r="G770" i="10" s="1"/>
  <c r="D770" i="10"/>
  <c r="C770" i="10"/>
  <c r="E769" i="10"/>
  <c r="G769" i="10" s="1"/>
  <c r="D769" i="10"/>
  <c r="C769" i="10"/>
  <c r="D768" i="10"/>
  <c r="C768" i="10"/>
  <c r="E768" i="10" s="1"/>
  <c r="G768" i="10" s="1"/>
  <c r="D767" i="10"/>
  <c r="C767" i="10"/>
  <c r="E767" i="10" s="1"/>
  <c r="G767" i="10" s="1"/>
  <c r="D766" i="10"/>
  <c r="C766" i="10"/>
  <c r="E766" i="10" s="1"/>
  <c r="G766" i="10" s="1"/>
  <c r="E765" i="10"/>
  <c r="G765" i="10" s="1"/>
  <c r="D765" i="10"/>
  <c r="C765" i="10"/>
  <c r="E764" i="10"/>
  <c r="G764" i="10" s="1"/>
  <c r="D764" i="10"/>
  <c r="C764" i="10"/>
  <c r="E763" i="10"/>
  <c r="G763" i="10" s="1"/>
  <c r="D763" i="10"/>
  <c r="C763" i="10"/>
  <c r="D762" i="10"/>
  <c r="C762" i="10"/>
  <c r="E762" i="10" s="1"/>
  <c r="G762" i="10" s="1"/>
  <c r="D761" i="10"/>
  <c r="C761" i="10"/>
  <c r="E761" i="10" s="1"/>
  <c r="G761" i="10" s="1"/>
  <c r="E760" i="10"/>
  <c r="G760" i="10" s="1"/>
  <c r="D760" i="10"/>
  <c r="C760" i="10"/>
  <c r="E759" i="10"/>
  <c r="G759" i="10" s="1"/>
  <c r="D759" i="10"/>
  <c r="C759" i="10"/>
  <c r="D758" i="10"/>
  <c r="C758" i="10"/>
  <c r="E758" i="10" s="1"/>
  <c r="G758" i="10" s="1"/>
  <c r="D757" i="10"/>
  <c r="C757" i="10"/>
  <c r="E757" i="10" s="1"/>
  <c r="G757" i="10" s="1"/>
  <c r="D756" i="10"/>
  <c r="C756" i="10"/>
  <c r="E756" i="10" s="1"/>
  <c r="G756" i="10" s="1"/>
  <c r="E755" i="10"/>
  <c r="G755" i="10" s="1"/>
  <c r="D755" i="10"/>
  <c r="C755" i="10"/>
  <c r="E754" i="10"/>
  <c r="G754" i="10" s="1"/>
  <c r="D754" i="10"/>
  <c r="C754" i="10"/>
  <c r="D753" i="10"/>
  <c r="C753" i="10"/>
  <c r="E753" i="10" s="1"/>
  <c r="G753" i="10" s="1"/>
  <c r="D752" i="10"/>
  <c r="C752" i="10"/>
  <c r="E752" i="10" s="1"/>
  <c r="G752" i="10" s="1"/>
  <c r="D751" i="10"/>
  <c r="C751" i="10"/>
  <c r="E751" i="10" s="1"/>
  <c r="G751" i="10" s="1"/>
  <c r="E750" i="10"/>
  <c r="G750" i="10" s="1"/>
  <c r="D750" i="10"/>
  <c r="C750" i="10"/>
  <c r="E749" i="10"/>
  <c r="G749" i="10" s="1"/>
  <c r="D749" i="10"/>
  <c r="C749" i="10"/>
  <c r="D748" i="10"/>
  <c r="C748" i="10"/>
  <c r="E748" i="10" s="1"/>
  <c r="G748" i="10" s="1"/>
  <c r="D747" i="10"/>
  <c r="C747" i="10"/>
  <c r="E747" i="10" s="1"/>
  <c r="G747" i="10" s="1"/>
  <c r="D746" i="10"/>
  <c r="C746" i="10"/>
  <c r="E746" i="10" s="1"/>
  <c r="G746" i="10" s="1"/>
  <c r="E745" i="10"/>
  <c r="G745" i="10" s="1"/>
  <c r="D745" i="10"/>
  <c r="C745" i="10"/>
  <c r="E744" i="10"/>
  <c r="G744" i="10" s="1"/>
  <c r="D744" i="10"/>
  <c r="C744" i="10"/>
  <c r="D743" i="10"/>
  <c r="C743" i="10"/>
  <c r="E743" i="10" s="1"/>
  <c r="G743" i="10" s="1"/>
  <c r="D742" i="10"/>
  <c r="C742" i="10"/>
  <c r="E742" i="10" s="1"/>
  <c r="G742" i="10" s="1"/>
  <c r="D741" i="10"/>
  <c r="C741" i="10"/>
  <c r="E741" i="10" s="1"/>
  <c r="G741" i="10" s="1"/>
  <c r="E740" i="10"/>
  <c r="G740" i="10" s="1"/>
  <c r="D740" i="10"/>
  <c r="C740" i="10"/>
  <c r="E739" i="10"/>
  <c r="G739" i="10" s="1"/>
  <c r="D739" i="10"/>
  <c r="C739" i="10"/>
  <c r="E738" i="10"/>
  <c r="G738" i="10" s="1"/>
  <c r="D738" i="10"/>
  <c r="C738" i="10"/>
  <c r="D737" i="10"/>
  <c r="C737" i="10"/>
  <c r="E737" i="10" s="1"/>
  <c r="G737" i="10" s="1"/>
  <c r="D736" i="10"/>
  <c r="C736" i="10"/>
  <c r="E736" i="10" s="1"/>
  <c r="G736" i="10" s="1"/>
  <c r="E735" i="10"/>
  <c r="G735" i="10" s="1"/>
  <c r="D735" i="10"/>
  <c r="C735" i="10"/>
  <c r="E734" i="10"/>
  <c r="G734" i="10" s="1"/>
  <c r="D734" i="10"/>
  <c r="C734" i="10"/>
  <c r="E733" i="10"/>
  <c r="G733" i="10" s="1"/>
  <c r="D733" i="10"/>
  <c r="C733" i="10"/>
  <c r="D732" i="10"/>
  <c r="C732" i="10"/>
  <c r="E732" i="10" s="1"/>
  <c r="G732" i="10" s="1"/>
  <c r="D731" i="10"/>
  <c r="C731" i="10"/>
  <c r="E731" i="10" s="1"/>
  <c r="G731" i="10" s="1"/>
  <c r="E730" i="10"/>
  <c r="G730" i="10" s="1"/>
  <c r="D730" i="10"/>
  <c r="C730" i="10"/>
  <c r="E729" i="10"/>
  <c r="G729" i="10" s="1"/>
  <c r="D729" i="10"/>
  <c r="C729" i="10"/>
  <c r="D728" i="10"/>
  <c r="C728" i="10"/>
  <c r="E728" i="10" s="1"/>
  <c r="G728" i="10" s="1"/>
  <c r="D727" i="10"/>
  <c r="C727" i="10"/>
  <c r="E727" i="10" s="1"/>
  <c r="G727" i="10" s="1"/>
  <c r="D726" i="10"/>
  <c r="C726" i="10"/>
  <c r="E726" i="10" s="1"/>
  <c r="G726" i="10" s="1"/>
  <c r="E725" i="10"/>
  <c r="G725" i="10" s="1"/>
  <c r="D725" i="10"/>
  <c r="C725" i="10"/>
  <c r="E724" i="10"/>
  <c r="G724" i="10" s="1"/>
  <c r="D724" i="10"/>
  <c r="C724" i="10"/>
  <c r="E723" i="10"/>
  <c r="G723" i="10" s="1"/>
  <c r="D723" i="10"/>
  <c r="C723" i="10"/>
  <c r="D722" i="10"/>
  <c r="C722" i="10"/>
  <c r="E722" i="10" s="1"/>
  <c r="G722" i="10" s="1"/>
  <c r="D721" i="10"/>
  <c r="C721" i="10"/>
  <c r="E721" i="10" s="1"/>
  <c r="G721" i="10" s="1"/>
  <c r="E720" i="10"/>
  <c r="G720" i="10" s="1"/>
  <c r="D720" i="10"/>
  <c r="C720" i="10"/>
  <c r="E719" i="10"/>
  <c r="G719" i="10" s="1"/>
  <c r="D719" i="10"/>
  <c r="C719" i="10"/>
  <c r="D718" i="10"/>
  <c r="C718" i="10"/>
  <c r="E718" i="10" s="1"/>
  <c r="G718" i="10" s="1"/>
  <c r="D717" i="10"/>
  <c r="C717" i="10"/>
  <c r="E717" i="10" s="1"/>
  <c r="G717" i="10" s="1"/>
  <c r="D716" i="10"/>
  <c r="C716" i="10"/>
  <c r="E716" i="10" s="1"/>
  <c r="G716" i="10" s="1"/>
  <c r="E715" i="10"/>
  <c r="G715" i="10" s="1"/>
  <c r="D715" i="10"/>
  <c r="C715" i="10"/>
  <c r="E714" i="10"/>
  <c r="G714" i="10" s="1"/>
  <c r="D714" i="10"/>
  <c r="C714" i="10"/>
  <c r="E713" i="10"/>
  <c r="G713" i="10" s="1"/>
  <c r="D713" i="10"/>
  <c r="C713" i="10"/>
  <c r="D712" i="10"/>
  <c r="C712" i="10"/>
  <c r="E712" i="10" s="1"/>
  <c r="G712" i="10" s="1"/>
  <c r="D711" i="10"/>
  <c r="C711" i="10"/>
  <c r="E711" i="10" s="1"/>
  <c r="G711" i="10" s="1"/>
  <c r="E710" i="10"/>
  <c r="G710" i="10" s="1"/>
  <c r="D710" i="10"/>
  <c r="C710" i="10"/>
  <c r="E709" i="10"/>
  <c r="G709" i="10" s="1"/>
  <c r="D709" i="10"/>
  <c r="C709" i="10"/>
  <c r="D708" i="10"/>
  <c r="C708" i="10"/>
  <c r="E708" i="10" s="1"/>
  <c r="G708" i="10" s="1"/>
  <c r="D707" i="10"/>
  <c r="C707" i="10"/>
  <c r="E707" i="10" s="1"/>
  <c r="G707" i="10" s="1"/>
  <c r="D706" i="10"/>
  <c r="C706" i="10"/>
  <c r="E706" i="10" s="1"/>
  <c r="G706" i="10" s="1"/>
  <c r="E705" i="10"/>
  <c r="G705" i="10" s="1"/>
  <c r="D705" i="10"/>
  <c r="C705" i="10"/>
  <c r="E704" i="10"/>
  <c r="G704" i="10" s="1"/>
  <c r="D704" i="10"/>
  <c r="C704" i="10"/>
  <c r="D703" i="10"/>
  <c r="C703" i="10"/>
  <c r="E703" i="10" s="1"/>
  <c r="G703" i="10" s="1"/>
  <c r="D702" i="10"/>
  <c r="C702" i="10"/>
  <c r="E702" i="10" s="1"/>
  <c r="G702" i="10" s="1"/>
  <c r="D701" i="10"/>
  <c r="C701" i="10"/>
  <c r="E701" i="10" s="1"/>
  <c r="G701" i="10" s="1"/>
  <c r="E700" i="10"/>
  <c r="G700" i="10" s="1"/>
  <c r="D700" i="10"/>
  <c r="C700" i="10"/>
  <c r="E699" i="10"/>
  <c r="G699" i="10" s="1"/>
  <c r="D699" i="10"/>
  <c r="C699" i="10"/>
  <c r="D698" i="10"/>
  <c r="C698" i="10"/>
  <c r="E698" i="10" s="1"/>
  <c r="G698" i="10" s="1"/>
  <c r="D697" i="10"/>
  <c r="C697" i="10"/>
  <c r="E697" i="10" s="1"/>
  <c r="G697" i="10" s="1"/>
  <c r="D696" i="10"/>
  <c r="C696" i="10"/>
  <c r="E696" i="10" s="1"/>
  <c r="G696" i="10" s="1"/>
  <c r="E695" i="10"/>
  <c r="G695" i="10" s="1"/>
  <c r="D695" i="10"/>
  <c r="C695" i="10"/>
  <c r="E694" i="10"/>
  <c r="G694" i="10" s="1"/>
  <c r="D694" i="10"/>
  <c r="C694" i="10"/>
  <c r="D693" i="10"/>
  <c r="C693" i="10"/>
  <c r="E693" i="10" s="1"/>
  <c r="G693" i="10" s="1"/>
  <c r="D692" i="10"/>
  <c r="C692" i="10"/>
  <c r="E692" i="10" s="1"/>
  <c r="G692" i="10" s="1"/>
  <c r="D691" i="10"/>
  <c r="C691" i="10"/>
  <c r="E691" i="10" s="1"/>
  <c r="G691" i="10" s="1"/>
  <c r="E690" i="10"/>
  <c r="G690" i="10" s="1"/>
  <c r="D690" i="10"/>
  <c r="C690" i="10"/>
  <c r="E689" i="10"/>
  <c r="G689" i="10" s="1"/>
  <c r="D689" i="10"/>
  <c r="C689" i="10"/>
  <c r="E688" i="10"/>
  <c r="G688" i="10" s="1"/>
  <c r="D688" i="10"/>
  <c r="C688" i="10"/>
  <c r="D687" i="10"/>
  <c r="C687" i="10"/>
  <c r="E687" i="10" s="1"/>
  <c r="G687" i="10" s="1"/>
  <c r="D686" i="10"/>
  <c r="C686" i="10"/>
  <c r="E686" i="10" s="1"/>
  <c r="G686" i="10" s="1"/>
  <c r="E685" i="10"/>
  <c r="G685" i="10" s="1"/>
  <c r="D685" i="10"/>
  <c r="C685" i="10"/>
  <c r="E684" i="10"/>
  <c r="G684" i="10" s="1"/>
  <c r="D684" i="10"/>
  <c r="C684" i="10"/>
  <c r="E683" i="10"/>
  <c r="G683" i="10" s="1"/>
  <c r="D683" i="10"/>
  <c r="C683" i="10"/>
  <c r="D682" i="10"/>
  <c r="C682" i="10"/>
  <c r="E682" i="10" s="1"/>
  <c r="G682" i="10" s="1"/>
  <c r="D681" i="10"/>
  <c r="C681" i="10"/>
  <c r="E681" i="10" s="1"/>
  <c r="G681" i="10" s="1"/>
  <c r="E680" i="10"/>
  <c r="G680" i="10" s="1"/>
  <c r="D680" i="10"/>
  <c r="C680" i="10"/>
  <c r="E679" i="10"/>
  <c r="G679" i="10" s="1"/>
  <c r="D679" i="10"/>
  <c r="C679" i="10"/>
  <c r="D678" i="10"/>
  <c r="C678" i="10"/>
  <c r="E678" i="10" s="1"/>
  <c r="G678" i="10" s="1"/>
  <c r="D677" i="10"/>
  <c r="C677" i="10"/>
  <c r="E677" i="10" s="1"/>
  <c r="G677" i="10" s="1"/>
  <c r="D676" i="10"/>
  <c r="C676" i="10"/>
  <c r="E676" i="10" s="1"/>
  <c r="G676" i="10" s="1"/>
  <c r="E675" i="10"/>
  <c r="G675" i="10" s="1"/>
  <c r="D675" i="10"/>
  <c r="C675" i="10"/>
  <c r="E674" i="10"/>
  <c r="G674" i="10" s="1"/>
  <c r="D674" i="10"/>
  <c r="C674" i="10"/>
  <c r="E673" i="10"/>
  <c r="G673" i="10" s="1"/>
  <c r="D673" i="10"/>
  <c r="C673" i="10"/>
  <c r="D672" i="10"/>
  <c r="C672" i="10"/>
  <c r="E672" i="10" s="1"/>
  <c r="G672" i="10" s="1"/>
  <c r="D671" i="10"/>
  <c r="C671" i="10"/>
  <c r="E671" i="10" s="1"/>
  <c r="G671" i="10" s="1"/>
  <c r="E670" i="10"/>
  <c r="G670" i="10" s="1"/>
  <c r="D670" i="10"/>
  <c r="C670" i="10"/>
  <c r="E669" i="10"/>
  <c r="G669" i="10" s="1"/>
  <c r="D669" i="10"/>
  <c r="C669" i="10"/>
  <c r="D668" i="10"/>
  <c r="C668" i="10"/>
  <c r="E668" i="10" s="1"/>
  <c r="G668" i="10" s="1"/>
  <c r="D667" i="10"/>
  <c r="C667" i="10"/>
  <c r="E667" i="10" s="1"/>
  <c r="G667" i="10" s="1"/>
  <c r="D666" i="10"/>
  <c r="C666" i="10"/>
  <c r="E666" i="10" s="1"/>
  <c r="G666" i="10" s="1"/>
  <c r="E665" i="10"/>
  <c r="G665" i="10" s="1"/>
  <c r="D665" i="10"/>
  <c r="C665" i="10"/>
  <c r="E664" i="10"/>
  <c r="G664" i="10" s="1"/>
  <c r="D664" i="10"/>
  <c r="C664" i="10"/>
  <c r="E663" i="10"/>
  <c r="G663" i="10" s="1"/>
  <c r="D663" i="10"/>
  <c r="C663" i="10"/>
  <c r="D662" i="10"/>
  <c r="C662" i="10"/>
  <c r="E662" i="10" s="1"/>
  <c r="G662" i="10" s="1"/>
  <c r="E661" i="10"/>
  <c r="G661" i="10" s="1"/>
  <c r="D661" i="10"/>
  <c r="C661" i="10"/>
  <c r="E660" i="10"/>
  <c r="G660" i="10" s="1"/>
  <c r="D660" i="10"/>
  <c r="C660" i="10"/>
  <c r="D659" i="10"/>
  <c r="C659" i="10"/>
  <c r="E659" i="10" s="1"/>
  <c r="G659" i="10" s="1"/>
  <c r="E658" i="10"/>
  <c r="G658" i="10" s="1"/>
  <c r="D658" i="10"/>
  <c r="C658" i="10"/>
  <c r="D657" i="10"/>
  <c r="C657" i="10"/>
  <c r="E657" i="10" s="1"/>
  <c r="G657" i="10" s="1"/>
  <c r="D656" i="10"/>
  <c r="C656" i="10"/>
  <c r="E656" i="10" s="1"/>
  <c r="G656" i="10" s="1"/>
  <c r="E655" i="10"/>
  <c r="G655" i="10" s="1"/>
  <c r="D655" i="10"/>
  <c r="C655" i="10"/>
  <c r="E654" i="10"/>
  <c r="G654" i="10" s="1"/>
  <c r="D654" i="10"/>
  <c r="C654" i="10"/>
  <c r="E653" i="10"/>
  <c r="G653" i="10" s="1"/>
  <c r="D653" i="10"/>
  <c r="C653" i="10"/>
  <c r="D652" i="10"/>
  <c r="C652" i="10"/>
  <c r="E652" i="10" s="1"/>
  <c r="G652" i="10" s="1"/>
  <c r="E651" i="10"/>
  <c r="G651" i="10" s="1"/>
  <c r="D651" i="10"/>
  <c r="C651" i="10"/>
  <c r="E650" i="10"/>
  <c r="G650" i="10" s="1"/>
  <c r="D650" i="10"/>
  <c r="C650" i="10"/>
  <c r="D649" i="10"/>
  <c r="C649" i="10"/>
  <c r="E649" i="10" s="1"/>
  <c r="G649" i="10" s="1"/>
  <c r="D648" i="10"/>
  <c r="C648" i="10"/>
  <c r="E648" i="10" s="1"/>
  <c r="G648" i="10" s="1"/>
  <c r="D647" i="10"/>
  <c r="C647" i="10"/>
  <c r="E647" i="10" s="1"/>
  <c r="G647" i="10" s="1"/>
  <c r="D646" i="10"/>
  <c r="C646" i="10"/>
  <c r="E646" i="10" s="1"/>
  <c r="G646" i="10" s="1"/>
  <c r="E645" i="10"/>
  <c r="G645" i="10" s="1"/>
  <c r="D645" i="10"/>
  <c r="C645" i="10"/>
  <c r="D644" i="10"/>
  <c r="C644" i="10"/>
  <c r="E644" i="10" s="1"/>
  <c r="G644" i="10" s="1"/>
  <c r="D643" i="10"/>
  <c r="C643" i="10"/>
  <c r="E643" i="10" s="1"/>
  <c r="G643" i="10" s="1"/>
  <c r="D642" i="10"/>
  <c r="C642" i="10"/>
  <c r="E642" i="10" s="1"/>
  <c r="G642" i="10" s="1"/>
  <c r="D641" i="10"/>
  <c r="C641" i="10"/>
  <c r="E641" i="10" s="1"/>
  <c r="G641" i="10" s="1"/>
  <c r="E640" i="10"/>
  <c r="G640" i="10" s="1"/>
  <c r="D640" i="10"/>
  <c r="C640" i="10"/>
  <c r="D639" i="10"/>
  <c r="C639" i="10"/>
  <c r="E639" i="10" s="1"/>
  <c r="G639" i="10" s="1"/>
  <c r="E638" i="10"/>
  <c r="G638" i="10" s="1"/>
  <c r="D638" i="10"/>
  <c r="C638" i="10"/>
  <c r="D637" i="10"/>
  <c r="C637" i="10"/>
  <c r="E637" i="10" s="1"/>
  <c r="G637" i="10" s="1"/>
  <c r="E636" i="10"/>
  <c r="G636" i="10" s="1"/>
  <c r="D636" i="10"/>
  <c r="C636" i="10"/>
  <c r="E635" i="10"/>
  <c r="G635" i="10" s="1"/>
  <c r="D635" i="10"/>
  <c r="C635" i="10"/>
  <c r="D634" i="10"/>
  <c r="C634" i="10"/>
  <c r="E634" i="10" s="1"/>
  <c r="G634" i="10" s="1"/>
  <c r="E633" i="10"/>
  <c r="G633" i="10" s="1"/>
  <c r="D633" i="10"/>
  <c r="C633" i="10"/>
  <c r="D632" i="10"/>
  <c r="C632" i="10"/>
  <c r="E632" i="10" s="1"/>
  <c r="G632" i="10" s="1"/>
  <c r="D631" i="10"/>
  <c r="C631" i="10"/>
  <c r="E631" i="10" s="1"/>
  <c r="G631" i="10" s="1"/>
  <c r="E630" i="10"/>
  <c r="G630" i="10" s="1"/>
  <c r="D630" i="10"/>
  <c r="C630" i="10"/>
  <c r="E629" i="10"/>
  <c r="G629" i="10" s="1"/>
  <c r="D629" i="10"/>
  <c r="C629" i="10"/>
  <c r="E628" i="10"/>
  <c r="G628" i="10" s="1"/>
  <c r="D628" i="10"/>
  <c r="C628" i="10"/>
  <c r="D627" i="10"/>
  <c r="C627" i="10"/>
  <c r="E627" i="10" s="1"/>
  <c r="G627" i="10" s="1"/>
  <c r="D626" i="10"/>
  <c r="C626" i="10"/>
  <c r="E626" i="10" s="1"/>
  <c r="G626" i="10" s="1"/>
  <c r="E625" i="10"/>
  <c r="G625" i="10" s="1"/>
  <c r="D625" i="10"/>
  <c r="C625" i="10"/>
  <c r="D624" i="10"/>
  <c r="C624" i="10"/>
  <c r="E624" i="10" s="1"/>
  <c r="G624" i="10" s="1"/>
  <c r="D623" i="10"/>
  <c r="C623" i="10"/>
  <c r="E623" i="10" s="1"/>
  <c r="G623" i="10" s="1"/>
  <c r="D622" i="10"/>
  <c r="C622" i="10"/>
  <c r="E622" i="10" s="1"/>
  <c r="G622" i="10" s="1"/>
  <c r="D621" i="10"/>
  <c r="C621" i="10"/>
  <c r="E621" i="10" s="1"/>
  <c r="G621" i="10" s="1"/>
  <c r="E620" i="10"/>
  <c r="G620" i="10" s="1"/>
  <c r="D620" i="10"/>
  <c r="C620" i="10"/>
  <c r="D619" i="10"/>
  <c r="C619" i="10"/>
  <c r="E619" i="10" s="1"/>
  <c r="G619" i="10" s="1"/>
  <c r="D618" i="10"/>
  <c r="C618" i="10"/>
  <c r="E618" i="10" s="1"/>
  <c r="G618" i="10" s="1"/>
  <c r="D617" i="10"/>
  <c r="C617" i="10"/>
  <c r="E617" i="10" s="1"/>
  <c r="G617" i="10" s="1"/>
  <c r="D616" i="10"/>
  <c r="C616" i="10"/>
  <c r="E616" i="10" s="1"/>
  <c r="G616" i="10" s="1"/>
  <c r="E615" i="10"/>
  <c r="G615" i="10" s="1"/>
  <c r="D615" i="10"/>
  <c r="C615" i="10"/>
  <c r="D614" i="10"/>
  <c r="C614" i="10"/>
  <c r="E614" i="10" s="1"/>
  <c r="G614" i="10" s="1"/>
  <c r="E613" i="10"/>
  <c r="G613" i="10" s="1"/>
  <c r="D613" i="10"/>
  <c r="C613" i="10"/>
  <c r="D612" i="10"/>
  <c r="C612" i="10"/>
  <c r="E612" i="10" s="1"/>
  <c r="G612" i="10" s="1"/>
  <c r="E611" i="10"/>
  <c r="G611" i="10" s="1"/>
  <c r="D611" i="10"/>
  <c r="C611" i="10"/>
  <c r="E610" i="10"/>
  <c r="G610" i="10" s="1"/>
  <c r="D610" i="10"/>
  <c r="C610" i="10"/>
  <c r="D609" i="10"/>
  <c r="C609" i="10"/>
  <c r="E609" i="10" s="1"/>
  <c r="G609" i="10" s="1"/>
  <c r="E608" i="10"/>
  <c r="G608" i="10" s="1"/>
  <c r="D608" i="10"/>
  <c r="C608" i="10"/>
  <c r="D607" i="10"/>
  <c r="C607" i="10"/>
  <c r="E607" i="10" s="1"/>
  <c r="G607" i="10" s="1"/>
  <c r="D606" i="10"/>
  <c r="C606" i="10"/>
  <c r="E606" i="10" s="1"/>
  <c r="G606" i="10" s="1"/>
  <c r="E605" i="10"/>
  <c r="G605" i="10" s="1"/>
  <c r="D605" i="10"/>
  <c r="C605" i="10"/>
  <c r="E604" i="10"/>
  <c r="G604" i="10" s="1"/>
  <c r="D604" i="10"/>
  <c r="C604" i="10"/>
  <c r="E603" i="10"/>
  <c r="G603" i="10" s="1"/>
  <c r="D603" i="10"/>
  <c r="C603" i="10"/>
  <c r="D602" i="10"/>
  <c r="C602" i="10"/>
  <c r="E602" i="10" s="1"/>
  <c r="G602" i="10" s="1"/>
  <c r="E601" i="10"/>
  <c r="G601" i="10" s="1"/>
  <c r="D601" i="10"/>
  <c r="C601" i="10"/>
  <c r="E600" i="10"/>
  <c r="G600" i="10" s="1"/>
  <c r="D600" i="10"/>
  <c r="C600" i="10"/>
  <c r="D599" i="10"/>
  <c r="C599" i="10"/>
  <c r="E599" i="10" s="1"/>
  <c r="G599" i="10" s="1"/>
  <c r="D598" i="10"/>
  <c r="C598" i="10"/>
  <c r="E598" i="10" s="1"/>
  <c r="G598" i="10" s="1"/>
  <c r="D597" i="10"/>
  <c r="C597" i="10"/>
  <c r="E597" i="10" s="1"/>
  <c r="G597" i="10" s="1"/>
  <c r="D596" i="10"/>
  <c r="C596" i="10"/>
  <c r="E596" i="10" s="1"/>
  <c r="G596" i="10" s="1"/>
  <c r="E595" i="10"/>
  <c r="G595" i="10" s="1"/>
  <c r="D595" i="10"/>
  <c r="C595" i="10"/>
  <c r="E594" i="10"/>
  <c r="G594" i="10" s="1"/>
  <c r="D594" i="10"/>
  <c r="C594" i="10"/>
  <c r="D593" i="10"/>
  <c r="C593" i="10"/>
  <c r="E593" i="10" s="1"/>
  <c r="G593" i="10" s="1"/>
  <c r="D592" i="10"/>
  <c r="C592" i="10"/>
  <c r="E592" i="10" s="1"/>
  <c r="G592" i="10" s="1"/>
  <c r="D591" i="10"/>
  <c r="C591" i="10"/>
  <c r="E591" i="10" s="1"/>
  <c r="G591" i="10" s="1"/>
  <c r="E590" i="10"/>
  <c r="G590" i="10" s="1"/>
  <c r="D590" i="10"/>
  <c r="C590" i="10"/>
  <c r="D589" i="10"/>
  <c r="C589" i="10"/>
  <c r="E589" i="10" s="1"/>
  <c r="G589" i="10" s="1"/>
  <c r="E588" i="10"/>
  <c r="G588" i="10" s="1"/>
  <c r="D588" i="10"/>
  <c r="C588" i="10"/>
  <c r="D587" i="10"/>
  <c r="C587" i="10"/>
  <c r="E587" i="10" s="1"/>
  <c r="G587" i="10" s="1"/>
  <c r="E586" i="10"/>
  <c r="G586" i="10" s="1"/>
  <c r="D586" i="10"/>
  <c r="C586" i="10"/>
  <c r="E585" i="10"/>
  <c r="G585" i="10" s="1"/>
  <c r="D585" i="10"/>
  <c r="C585" i="10"/>
  <c r="D584" i="10"/>
  <c r="C584" i="10"/>
  <c r="E584" i="10" s="1"/>
  <c r="G584" i="10" s="1"/>
  <c r="E583" i="10"/>
  <c r="G583" i="10" s="1"/>
  <c r="D583" i="10"/>
  <c r="C583" i="10"/>
  <c r="D582" i="10"/>
  <c r="C582" i="10"/>
  <c r="E582" i="10" s="1"/>
  <c r="G582" i="10" s="1"/>
  <c r="D581" i="10"/>
  <c r="C581" i="10"/>
  <c r="E581" i="10" s="1"/>
  <c r="G581" i="10" s="1"/>
  <c r="E580" i="10"/>
  <c r="G580" i="10" s="1"/>
  <c r="D580" i="10"/>
  <c r="C580" i="10"/>
  <c r="E579" i="10"/>
  <c r="G579" i="10" s="1"/>
  <c r="D579" i="10"/>
  <c r="C579" i="10"/>
  <c r="E578" i="10"/>
  <c r="G578" i="10" s="1"/>
  <c r="D578" i="10"/>
  <c r="C578" i="10"/>
  <c r="D577" i="10"/>
  <c r="C577" i="10"/>
  <c r="E577" i="10" s="1"/>
  <c r="G577" i="10" s="1"/>
  <c r="D576" i="10"/>
  <c r="C576" i="10"/>
  <c r="E576" i="10" s="1"/>
  <c r="G576" i="10" s="1"/>
  <c r="E575" i="10"/>
  <c r="G575" i="10" s="1"/>
  <c r="D575" i="10"/>
  <c r="C575" i="10"/>
  <c r="D574" i="10"/>
  <c r="C574" i="10"/>
  <c r="E574" i="10" s="1"/>
  <c r="G574" i="10" s="1"/>
  <c r="D573" i="10"/>
  <c r="C573" i="10"/>
  <c r="E573" i="10" s="1"/>
  <c r="G573" i="10" s="1"/>
  <c r="D572" i="10"/>
  <c r="C572" i="10"/>
  <c r="E572" i="10" s="1"/>
  <c r="G572" i="10" s="1"/>
  <c r="D571" i="10"/>
  <c r="C571" i="10"/>
  <c r="E571" i="10" s="1"/>
  <c r="G571" i="10" s="1"/>
  <c r="E570" i="10"/>
  <c r="G570" i="10" s="1"/>
  <c r="D570" i="10"/>
  <c r="C570" i="10"/>
  <c r="D569" i="10"/>
  <c r="C569" i="10"/>
  <c r="E569" i="10" s="1"/>
  <c r="G569" i="10" s="1"/>
  <c r="D568" i="10"/>
  <c r="C568" i="10"/>
  <c r="E568" i="10" s="1"/>
  <c r="G568" i="10" s="1"/>
  <c r="D567" i="10"/>
  <c r="C567" i="10"/>
  <c r="E567" i="10" s="1"/>
  <c r="G567" i="10" s="1"/>
  <c r="D566" i="10"/>
  <c r="C566" i="10"/>
  <c r="E566" i="10" s="1"/>
  <c r="G566" i="10" s="1"/>
  <c r="E565" i="10"/>
  <c r="G565" i="10" s="1"/>
  <c r="D565" i="10"/>
  <c r="C565" i="10"/>
  <c r="E564" i="10"/>
  <c r="G564" i="10" s="1"/>
  <c r="D564" i="10"/>
  <c r="C564" i="10"/>
  <c r="D563" i="10"/>
  <c r="C563" i="10"/>
  <c r="E563" i="10" s="1"/>
  <c r="G563" i="10" s="1"/>
  <c r="D562" i="10"/>
  <c r="C562" i="10"/>
  <c r="E562" i="10" s="1"/>
  <c r="G562" i="10" s="1"/>
  <c r="D561" i="10"/>
  <c r="C561" i="10"/>
  <c r="E561" i="10" s="1"/>
  <c r="G561" i="10" s="1"/>
  <c r="E560" i="10"/>
  <c r="G560" i="10" s="1"/>
  <c r="D560" i="10"/>
  <c r="C560" i="10"/>
  <c r="D559" i="10"/>
  <c r="C559" i="10"/>
  <c r="E559" i="10" s="1"/>
  <c r="G559" i="10" s="1"/>
  <c r="D558" i="10"/>
  <c r="C558" i="10"/>
  <c r="E558" i="10" s="1"/>
  <c r="G558" i="10" s="1"/>
  <c r="D557" i="10"/>
  <c r="C557" i="10"/>
  <c r="E557" i="10" s="1"/>
  <c r="G557" i="10" s="1"/>
  <c r="D556" i="10"/>
  <c r="C556" i="10"/>
  <c r="E556" i="10" s="1"/>
  <c r="G556" i="10" s="1"/>
  <c r="E555" i="10"/>
  <c r="G555" i="10" s="1"/>
  <c r="D555" i="10"/>
  <c r="C555" i="10"/>
  <c r="E554" i="10"/>
  <c r="G554" i="10" s="1"/>
  <c r="D554" i="10"/>
  <c r="C554" i="10"/>
  <c r="D553" i="10"/>
  <c r="C553" i="10"/>
  <c r="E553" i="10" s="1"/>
  <c r="G553" i="10" s="1"/>
  <c r="D552" i="10"/>
  <c r="C552" i="10"/>
  <c r="E552" i="10" s="1"/>
  <c r="G552" i="10" s="1"/>
  <c r="D551" i="10"/>
  <c r="C551" i="10"/>
  <c r="E551" i="10" s="1"/>
  <c r="G551" i="10" s="1"/>
  <c r="E550" i="10"/>
  <c r="G550" i="10" s="1"/>
  <c r="D550" i="10"/>
  <c r="C550" i="10"/>
  <c r="E549" i="10"/>
  <c r="G549" i="10" s="1"/>
  <c r="D549" i="10"/>
  <c r="C549" i="10"/>
  <c r="D548" i="10"/>
  <c r="C548" i="10"/>
  <c r="E548" i="10" s="1"/>
  <c r="G548" i="10" s="1"/>
  <c r="D547" i="10"/>
  <c r="C547" i="10"/>
  <c r="E547" i="10" s="1"/>
  <c r="G547" i="10" s="1"/>
  <c r="D546" i="10"/>
  <c r="C546" i="10"/>
  <c r="E546" i="10" s="1"/>
  <c r="G546" i="10" s="1"/>
  <c r="E545" i="10"/>
  <c r="G545" i="10" s="1"/>
  <c r="D545" i="10"/>
  <c r="C545" i="10"/>
  <c r="E544" i="10"/>
  <c r="G544" i="10" s="1"/>
  <c r="D544" i="10"/>
  <c r="C544" i="10"/>
  <c r="D543" i="10"/>
  <c r="C543" i="10"/>
  <c r="E543" i="10" s="1"/>
  <c r="G543" i="10" s="1"/>
  <c r="D542" i="10"/>
  <c r="C542" i="10"/>
  <c r="E542" i="10" s="1"/>
  <c r="G542" i="10" s="1"/>
  <c r="D541" i="10"/>
  <c r="C541" i="10"/>
  <c r="E541" i="10" s="1"/>
  <c r="G541" i="10" s="1"/>
  <c r="E540" i="10"/>
  <c r="G540" i="10" s="1"/>
  <c r="D540" i="10"/>
  <c r="C540" i="10"/>
  <c r="E539" i="10"/>
  <c r="G539" i="10" s="1"/>
  <c r="D539" i="10"/>
  <c r="C539" i="10"/>
  <c r="D538" i="10"/>
  <c r="C538" i="10"/>
  <c r="E538" i="10" s="1"/>
  <c r="G538" i="10" s="1"/>
  <c r="D537" i="10"/>
  <c r="C537" i="10"/>
  <c r="E537" i="10" s="1"/>
  <c r="G537" i="10" s="1"/>
  <c r="D536" i="10"/>
  <c r="C536" i="10"/>
  <c r="E536" i="10" s="1"/>
  <c r="G536" i="10" s="1"/>
  <c r="E535" i="10"/>
  <c r="G535" i="10" s="1"/>
  <c r="D535" i="10"/>
  <c r="C535" i="10"/>
  <c r="E534" i="10"/>
  <c r="G534" i="10" s="1"/>
  <c r="D534" i="10"/>
  <c r="C534" i="10"/>
  <c r="D533" i="10"/>
  <c r="C533" i="10"/>
  <c r="E533" i="10" s="1"/>
  <c r="G533" i="10" s="1"/>
  <c r="D532" i="10"/>
  <c r="C532" i="10"/>
  <c r="E532" i="10" s="1"/>
  <c r="G532" i="10" s="1"/>
  <c r="D531" i="10"/>
  <c r="C531" i="10"/>
  <c r="E531" i="10" s="1"/>
  <c r="G531" i="10" s="1"/>
  <c r="E530" i="10"/>
  <c r="G530" i="10" s="1"/>
  <c r="D530" i="10"/>
  <c r="C530" i="10"/>
  <c r="D529" i="10"/>
  <c r="C529" i="10"/>
  <c r="E529" i="10" s="1"/>
  <c r="G529" i="10" s="1"/>
  <c r="D528" i="10"/>
  <c r="C528" i="10"/>
  <c r="E528" i="10" s="1"/>
  <c r="G528" i="10" s="1"/>
  <c r="D527" i="10"/>
  <c r="C527" i="10"/>
  <c r="E527" i="10" s="1"/>
  <c r="G527" i="10" s="1"/>
  <c r="D526" i="10"/>
  <c r="C526" i="10"/>
  <c r="E526" i="10" s="1"/>
  <c r="G526" i="10" s="1"/>
  <c r="E525" i="10"/>
  <c r="G525" i="10" s="1"/>
  <c r="D525" i="10"/>
  <c r="C525" i="10"/>
  <c r="E524" i="10"/>
  <c r="G524" i="10" s="1"/>
  <c r="D524" i="10"/>
  <c r="C524" i="10"/>
  <c r="D523" i="10"/>
  <c r="C523" i="10"/>
  <c r="E523" i="10" s="1"/>
  <c r="G523" i="10" s="1"/>
  <c r="D522" i="10"/>
  <c r="C522" i="10"/>
  <c r="E522" i="10" s="1"/>
  <c r="G522" i="10" s="1"/>
  <c r="D521" i="10"/>
  <c r="C521" i="10"/>
  <c r="E521" i="10" s="1"/>
  <c r="G521" i="10" s="1"/>
  <c r="E520" i="10"/>
  <c r="G520" i="10" s="1"/>
  <c r="D520" i="10"/>
  <c r="C520" i="10"/>
  <c r="D519" i="10"/>
  <c r="C519" i="10"/>
  <c r="E519" i="10" s="1"/>
  <c r="G519" i="10" s="1"/>
  <c r="D518" i="10"/>
  <c r="C518" i="10"/>
  <c r="E518" i="10" s="1"/>
  <c r="G518" i="10" s="1"/>
  <c r="D517" i="10"/>
  <c r="C517" i="10"/>
  <c r="E517" i="10" s="1"/>
  <c r="G517" i="10" s="1"/>
  <c r="D516" i="10"/>
  <c r="C516" i="10"/>
  <c r="E516" i="10" s="1"/>
  <c r="G516" i="10" s="1"/>
  <c r="E515" i="10"/>
  <c r="G515" i="10" s="1"/>
  <c r="D515" i="10"/>
  <c r="C515" i="10"/>
  <c r="E514" i="10"/>
  <c r="G514" i="10" s="1"/>
  <c r="D514" i="10"/>
  <c r="C514" i="10"/>
  <c r="D513" i="10"/>
  <c r="C513" i="10"/>
  <c r="E513" i="10" s="1"/>
  <c r="G513" i="10" s="1"/>
  <c r="D512" i="10"/>
  <c r="C512" i="10"/>
  <c r="E512" i="10" s="1"/>
  <c r="G512" i="10" s="1"/>
  <c r="D511" i="10"/>
  <c r="C511" i="10"/>
  <c r="E511" i="10" s="1"/>
  <c r="G511" i="10" s="1"/>
  <c r="E510" i="10"/>
  <c r="G510" i="10" s="1"/>
  <c r="D510" i="10"/>
  <c r="C510" i="10"/>
  <c r="D509" i="10"/>
  <c r="C509" i="10"/>
  <c r="E509" i="10" s="1"/>
  <c r="G509" i="10" s="1"/>
  <c r="D508" i="10"/>
  <c r="C508" i="10"/>
  <c r="E508" i="10" s="1"/>
  <c r="G508" i="10" s="1"/>
  <c r="D507" i="10"/>
  <c r="C507" i="10"/>
  <c r="E507" i="10" s="1"/>
  <c r="G507" i="10" s="1"/>
  <c r="D506" i="10"/>
  <c r="C506" i="10"/>
  <c r="E506" i="10" s="1"/>
  <c r="G506" i="10" s="1"/>
  <c r="E505" i="10"/>
  <c r="G505" i="10" s="1"/>
  <c r="D505" i="10"/>
  <c r="C505" i="10"/>
  <c r="E504" i="10"/>
  <c r="G504" i="10" s="1"/>
  <c r="D504" i="10"/>
  <c r="C504" i="10"/>
  <c r="D503" i="10"/>
  <c r="C503" i="10"/>
  <c r="E503" i="10" s="1"/>
  <c r="G503" i="10" s="1"/>
  <c r="D502" i="10"/>
  <c r="C502" i="10"/>
  <c r="E502" i="10" s="1"/>
  <c r="G502" i="10" s="1"/>
  <c r="D501" i="10"/>
  <c r="C501" i="10"/>
  <c r="E501" i="10" s="1"/>
  <c r="G501" i="10" s="1"/>
  <c r="E500" i="10"/>
  <c r="G500" i="10" s="1"/>
  <c r="D500" i="10"/>
  <c r="C500" i="10"/>
  <c r="E499" i="10"/>
  <c r="G499" i="10" s="1"/>
  <c r="D499" i="10"/>
  <c r="C499" i="10"/>
  <c r="D498" i="10"/>
  <c r="C498" i="10"/>
  <c r="E498" i="10" s="1"/>
  <c r="G498" i="10" s="1"/>
  <c r="D497" i="10"/>
  <c r="C497" i="10"/>
  <c r="E497" i="10" s="1"/>
  <c r="G497" i="10" s="1"/>
  <c r="D496" i="10"/>
  <c r="C496" i="10"/>
  <c r="E496" i="10" s="1"/>
  <c r="G496" i="10" s="1"/>
  <c r="E495" i="10"/>
  <c r="G495" i="10" s="1"/>
  <c r="D495" i="10"/>
  <c r="C495" i="10"/>
  <c r="E494" i="10"/>
  <c r="G494" i="10" s="1"/>
  <c r="D494" i="10"/>
  <c r="C494" i="10"/>
  <c r="D493" i="10"/>
  <c r="C493" i="10"/>
  <c r="E493" i="10" s="1"/>
  <c r="G493" i="10" s="1"/>
  <c r="D492" i="10"/>
  <c r="C492" i="10"/>
  <c r="E492" i="10" s="1"/>
  <c r="G492" i="10" s="1"/>
  <c r="E491" i="10"/>
  <c r="G491" i="10" s="1"/>
  <c r="D491" i="10"/>
  <c r="C491" i="10"/>
  <c r="E490" i="10"/>
  <c r="G490" i="10" s="1"/>
  <c r="D490" i="10"/>
  <c r="C490" i="10"/>
  <c r="D489" i="10"/>
  <c r="E489" i="10" s="1"/>
  <c r="G489" i="10" s="1"/>
  <c r="C489" i="10"/>
  <c r="E488" i="10"/>
  <c r="G488" i="10" s="1"/>
  <c r="D488" i="10"/>
  <c r="C488" i="10"/>
  <c r="D487" i="10"/>
  <c r="C487" i="10"/>
  <c r="E487" i="10" s="1"/>
  <c r="G487" i="10" s="1"/>
  <c r="E486" i="10"/>
  <c r="G486" i="10" s="1"/>
  <c r="D486" i="10"/>
  <c r="C486" i="10"/>
  <c r="E485" i="10"/>
  <c r="G485" i="10" s="1"/>
  <c r="D485" i="10"/>
  <c r="C485" i="10"/>
  <c r="E484" i="10"/>
  <c r="G484" i="10" s="1"/>
  <c r="D484" i="10"/>
  <c r="C484" i="10"/>
  <c r="E483" i="10"/>
  <c r="G483" i="10" s="1"/>
  <c r="D483" i="10"/>
  <c r="C483" i="10"/>
  <c r="D482" i="10"/>
  <c r="C482" i="10"/>
  <c r="E482" i="10" s="1"/>
  <c r="G482" i="10" s="1"/>
  <c r="E481" i="10"/>
  <c r="G481" i="10" s="1"/>
  <c r="D481" i="10"/>
  <c r="C481" i="10"/>
  <c r="E480" i="10"/>
  <c r="G480" i="10" s="1"/>
  <c r="D480" i="10"/>
  <c r="C480" i="10"/>
  <c r="D479" i="10"/>
  <c r="C479" i="10"/>
  <c r="E479" i="10" s="1"/>
  <c r="G479" i="10" s="1"/>
  <c r="E478" i="10"/>
  <c r="G478" i="10" s="1"/>
  <c r="D478" i="10"/>
  <c r="C478" i="10"/>
  <c r="D477" i="10"/>
  <c r="C477" i="10"/>
  <c r="E477" i="10" s="1"/>
  <c r="G477" i="10" s="1"/>
  <c r="D476" i="10"/>
  <c r="C476" i="10"/>
  <c r="E476" i="10" s="1"/>
  <c r="G476" i="10" s="1"/>
  <c r="E475" i="10"/>
  <c r="G475" i="10" s="1"/>
  <c r="D475" i="10"/>
  <c r="C475" i="10"/>
  <c r="D474" i="10"/>
  <c r="C474" i="10"/>
  <c r="E474" i="10" s="1"/>
  <c r="G474" i="10" s="1"/>
  <c r="G473" i="10"/>
  <c r="D473" i="10"/>
  <c r="C473" i="10"/>
  <c r="E473" i="10" s="1"/>
  <c r="D472" i="10"/>
  <c r="C472" i="10"/>
  <c r="E472" i="10" s="1"/>
  <c r="G472" i="10" s="1"/>
  <c r="D471" i="10"/>
  <c r="C471" i="10"/>
  <c r="E471" i="10" s="1"/>
  <c r="G471" i="10" s="1"/>
  <c r="E470" i="10"/>
  <c r="G470" i="10" s="1"/>
  <c r="D470" i="10"/>
  <c r="C470" i="10"/>
  <c r="E469" i="10"/>
  <c r="G469" i="10" s="1"/>
  <c r="D469" i="10"/>
  <c r="C469" i="10"/>
  <c r="D468" i="10"/>
  <c r="C468" i="10"/>
  <c r="E468" i="10" s="1"/>
  <c r="G468" i="10" s="1"/>
  <c r="D467" i="10"/>
  <c r="C467" i="10"/>
  <c r="E467" i="10" s="1"/>
  <c r="G467" i="10" s="1"/>
  <c r="E466" i="10"/>
  <c r="G466" i="10" s="1"/>
  <c r="D466" i="10"/>
  <c r="C466" i="10"/>
  <c r="E465" i="10"/>
  <c r="G465" i="10" s="1"/>
  <c r="D465" i="10"/>
  <c r="C465" i="10"/>
  <c r="D464" i="10"/>
  <c r="E464" i="10" s="1"/>
  <c r="G464" i="10" s="1"/>
  <c r="C464" i="10"/>
  <c r="E463" i="10"/>
  <c r="G463" i="10" s="1"/>
  <c r="D463" i="10"/>
  <c r="C463" i="10"/>
  <c r="D462" i="10"/>
  <c r="C462" i="10"/>
  <c r="E462" i="10" s="1"/>
  <c r="G462" i="10" s="1"/>
  <c r="E461" i="10"/>
  <c r="G461" i="10" s="1"/>
  <c r="D461" i="10"/>
  <c r="C461" i="10"/>
  <c r="E460" i="10"/>
  <c r="G460" i="10" s="1"/>
  <c r="D460" i="10"/>
  <c r="C460" i="10"/>
  <c r="E459" i="10"/>
  <c r="G459" i="10" s="1"/>
  <c r="D459" i="10"/>
  <c r="C459" i="10"/>
  <c r="E458" i="10"/>
  <c r="G458" i="10" s="1"/>
  <c r="D458" i="10"/>
  <c r="C458" i="10"/>
  <c r="D457" i="10"/>
  <c r="C457" i="10"/>
  <c r="E457" i="10" s="1"/>
  <c r="G457" i="10" s="1"/>
  <c r="E456" i="10"/>
  <c r="G456" i="10" s="1"/>
  <c r="D456" i="10"/>
  <c r="C456" i="10"/>
  <c r="E455" i="10"/>
  <c r="G455" i="10" s="1"/>
  <c r="D455" i="10"/>
  <c r="C455" i="10"/>
  <c r="D454" i="10"/>
  <c r="C454" i="10"/>
  <c r="E454" i="10" s="1"/>
  <c r="G454" i="10" s="1"/>
  <c r="E453" i="10"/>
  <c r="G453" i="10" s="1"/>
  <c r="D453" i="10"/>
  <c r="C453" i="10"/>
  <c r="D452" i="10"/>
  <c r="C452" i="10"/>
  <c r="E452" i="10" s="1"/>
  <c r="G452" i="10" s="1"/>
  <c r="G451" i="10"/>
  <c r="D451" i="10"/>
  <c r="C451" i="10"/>
  <c r="E451" i="10" s="1"/>
  <c r="E450" i="10"/>
  <c r="G450" i="10" s="1"/>
  <c r="D450" i="10"/>
  <c r="C450" i="10"/>
  <c r="D449" i="10"/>
  <c r="C449" i="10"/>
  <c r="E449" i="10" s="1"/>
  <c r="G449" i="10" s="1"/>
  <c r="D448" i="10"/>
  <c r="C448" i="10"/>
  <c r="E448" i="10" s="1"/>
  <c r="G448" i="10" s="1"/>
  <c r="D447" i="10"/>
  <c r="C447" i="10"/>
  <c r="E447" i="10" s="1"/>
  <c r="G447" i="10" s="1"/>
  <c r="D446" i="10"/>
  <c r="C446" i="10"/>
  <c r="E446" i="10" s="1"/>
  <c r="G446" i="10" s="1"/>
  <c r="G445" i="10"/>
  <c r="E445" i="10"/>
  <c r="D445" i="10"/>
  <c r="C445" i="10"/>
  <c r="D444" i="10"/>
  <c r="C444" i="10"/>
  <c r="E444" i="10" s="1"/>
  <c r="G444" i="10" s="1"/>
  <c r="D443" i="10"/>
  <c r="C443" i="10"/>
  <c r="E443" i="10" s="1"/>
  <c r="G443" i="10" s="1"/>
  <c r="D442" i="10"/>
  <c r="C442" i="10"/>
  <c r="E442" i="10" s="1"/>
  <c r="G442" i="10" s="1"/>
  <c r="D441" i="10"/>
  <c r="C441" i="10"/>
  <c r="E441" i="10" s="1"/>
  <c r="G441" i="10" s="1"/>
  <c r="E440" i="10"/>
  <c r="G440" i="10" s="1"/>
  <c r="D440" i="10"/>
  <c r="C440" i="10"/>
  <c r="D439" i="10"/>
  <c r="C439" i="10"/>
  <c r="E439" i="10" s="1"/>
  <c r="G439" i="10" s="1"/>
  <c r="E438" i="10"/>
  <c r="G438" i="10" s="1"/>
  <c r="D438" i="10"/>
  <c r="C438" i="10"/>
  <c r="D437" i="10"/>
  <c r="C437" i="10"/>
  <c r="E437" i="10" s="1"/>
  <c r="G437" i="10" s="1"/>
  <c r="D436" i="10"/>
  <c r="C436" i="10"/>
  <c r="E436" i="10" s="1"/>
  <c r="G436" i="10" s="1"/>
  <c r="E435" i="10"/>
  <c r="G435" i="10" s="1"/>
  <c r="D435" i="10"/>
  <c r="C435" i="10"/>
  <c r="D434" i="10"/>
  <c r="C434" i="10"/>
  <c r="E434" i="10" s="1"/>
  <c r="G434" i="10" s="1"/>
  <c r="D433" i="10"/>
  <c r="C433" i="10"/>
  <c r="E433" i="10" s="1"/>
  <c r="G433" i="10" s="1"/>
  <c r="D432" i="10"/>
  <c r="C432" i="10"/>
  <c r="E432" i="10" s="1"/>
  <c r="G432" i="10" s="1"/>
  <c r="D431" i="10"/>
  <c r="C431" i="10"/>
  <c r="E431" i="10" s="1"/>
  <c r="G431" i="10" s="1"/>
  <c r="E430" i="10"/>
  <c r="G430" i="10" s="1"/>
  <c r="D430" i="10"/>
  <c r="C430" i="10"/>
  <c r="E429" i="10"/>
  <c r="G429" i="10" s="1"/>
  <c r="D429" i="10"/>
  <c r="C429" i="10"/>
  <c r="D428" i="10"/>
  <c r="E428" i="10" s="1"/>
  <c r="G428" i="10" s="1"/>
  <c r="C428" i="10"/>
  <c r="D427" i="10"/>
  <c r="C427" i="10"/>
  <c r="E427" i="10" s="1"/>
  <c r="G427" i="10" s="1"/>
  <c r="E426" i="10"/>
  <c r="G426" i="10" s="1"/>
  <c r="D426" i="10"/>
  <c r="C426" i="10"/>
  <c r="E425" i="10"/>
  <c r="G425" i="10" s="1"/>
  <c r="D425" i="10"/>
  <c r="C425" i="10"/>
  <c r="D424" i="10"/>
  <c r="C424" i="10"/>
  <c r="E424" i="10" s="1"/>
  <c r="G424" i="10" s="1"/>
  <c r="D423" i="10"/>
  <c r="C423" i="10"/>
  <c r="E423" i="10" s="1"/>
  <c r="G423" i="10" s="1"/>
  <c r="D422" i="10"/>
  <c r="C422" i="10"/>
  <c r="E422" i="10" s="1"/>
  <c r="G422" i="10" s="1"/>
  <c r="D421" i="10"/>
  <c r="C421" i="10"/>
  <c r="E421" i="10" s="1"/>
  <c r="G421" i="10" s="1"/>
  <c r="G420" i="10"/>
  <c r="E420" i="10"/>
  <c r="D420" i="10"/>
  <c r="C420" i="10"/>
  <c r="D419" i="10"/>
  <c r="E419" i="10" s="1"/>
  <c r="G419" i="10" s="1"/>
  <c r="C419" i="10"/>
  <c r="E418" i="10"/>
  <c r="G418" i="10" s="1"/>
  <c r="D418" i="10"/>
  <c r="C418" i="10"/>
  <c r="D417" i="10"/>
  <c r="C417" i="10"/>
  <c r="E417" i="10" s="1"/>
  <c r="G417" i="10" s="1"/>
  <c r="E416" i="10"/>
  <c r="G416" i="10" s="1"/>
  <c r="D416" i="10"/>
  <c r="C416" i="10"/>
  <c r="E415" i="10"/>
  <c r="G415" i="10" s="1"/>
  <c r="D415" i="10"/>
  <c r="C415" i="10"/>
  <c r="D414" i="10"/>
  <c r="C414" i="10"/>
  <c r="E414" i="10" s="1"/>
  <c r="G414" i="10" s="1"/>
  <c r="G413" i="10"/>
  <c r="E413" i="10"/>
  <c r="D413" i="10"/>
  <c r="C413" i="10"/>
  <c r="D412" i="10"/>
  <c r="C412" i="10"/>
  <c r="E412" i="10" s="1"/>
  <c r="G412" i="10" s="1"/>
  <c r="D411" i="10"/>
  <c r="C411" i="10"/>
  <c r="E411" i="10" s="1"/>
  <c r="G411" i="10" s="1"/>
  <c r="G410" i="10"/>
  <c r="E410" i="10"/>
  <c r="D410" i="10"/>
  <c r="C410" i="10"/>
  <c r="E409" i="10"/>
  <c r="G409" i="10" s="1"/>
  <c r="D409" i="10"/>
  <c r="C409" i="10"/>
  <c r="D408" i="10"/>
  <c r="C408" i="10"/>
  <c r="E408" i="10" s="1"/>
  <c r="G408" i="10" s="1"/>
  <c r="D407" i="10"/>
  <c r="C407" i="10"/>
  <c r="E407" i="10" s="1"/>
  <c r="G407" i="10" s="1"/>
  <c r="E406" i="10"/>
  <c r="G406" i="10" s="1"/>
  <c r="D406" i="10"/>
  <c r="C406" i="10"/>
  <c r="G405" i="10"/>
  <c r="E405" i="10"/>
  <c r="D405" i="10"/>
  <c r="C405" i="10"/>
  <c r="E404" i="10"/>
  <c r="G404" i="10" s="1"/>
  <c r="D404" i="10"/>
  <c r="C404" i="10"/>
  <c r="D403" i="10"/>
  <c r="C403" i="10"/>
  <c r="E403" i="10" s="1"/>
  <c r="G403" i="10" s="1"/>
  <c r="D402" i="10"/>
  <c r="C402" i="10"/>
  <c r="E402" i="10" s="1"/>
  <c r="G402" i="10" s="1"/>
  <c r="E401" i="10"/>
  <c r="G401" i="10" s="1"/>
  <c r="D401" i="10"/>
  <c r="C401" i="10"/>
  <c r="G400" i="10"/>
  <c r="E400" i="10"/>
  <c r="D400" i="10"/>
  <c r="C400" i="10"/>
  <c r="D399" i="10"/>
  <c r="C399" i="10"/>
  <c r="E399" i="10" s="1"/>
  <c r="G399" i="10" s="1"/>
  <c r="D398" i="10"/>
  <c r="C398" i="10"/>
  <c r="E398" i="10" s="1"/>
  <c r="G398" i="10" s="1"/>
  <c r="D397" i="10"/>
  <c r="C397" i="10"/>
  <c r="E397" i="10" s="1"/>
  <c r="G397" i="10" s="1"/>
  <c r="D396" i="10"/>
  <c r="C396" i="10"/>
  <c r="G395" i="10"/>
  <c r="E395" i="10"/>
  <c r="D395" i="10"/>
  <c r="C395" i="10"/>
  <c r="D394" i="10"/>
  <c r="C394" i="10"/>
  <c r="E394" i="10" s="1"/>
  <c r="G394" i="10" s="1"/>
  <c r="D393" i="10"/>
  <c r="C393" i="10"/>
  <c r="E393" i="10" s="1"/>
  <c r="G393" i="10" s="1"/>
  <c r="D392" i="10"/>
  <c r="C392" i="10"/>
  <c r="E392" i="10" s="1"/>
  <c r="G392" i="10" s="1"/>
  <c r="D391" i="10"/>
  <c r="C391" i="10"/>
  <c r="E391" i="10" s="1"/>
  <c r="G391" i="10" s="1"/>
  <c r="E390" i="10"/>
  <c r="G390" i="10" s="1"/>
  <c r="D390" i="10"/>
  <c r="C390" i="10"/>
  <c r="D389" i="10"/>
  <c r="C389" i="10"/>
  <c r="E389" i="10" s="1"/>
  <c r="G389" i="10" s="1"/>
  <c r="E388" i="10"/>
  <c r="G388" i="10" s="1"/>
  <c r="D388" i="10"/>
  <c r="C388" i="10"/>
  <c r="D387" i="10"/>
  <c r="C387" i="10"/>
  <c r="E387" i="10" s="1"/>
  <c r="G387" i="10" s="1"/>
  <c r="D386" i="10"/>
  <c r="C386" i="10"/>
  <c r="E386" i="10" s="1"/>
  <c r="G386" i="10" s="1"/>
  <c r="E385" i="10"/>
  <c r="G385" i="10" s="1"/>
  <c r="D385" i="10"/>
  <c r="C385" i="10"/>
  <c r="D384" i="10"/>
  <c r="C384" i="10"/>
  <c r="E384" i="10" s="1"/>
  <c r="G384" i="10" s="1"/>
  <c r="D383" i="10"/>
  <c r="C383" i="10"/>
  <c r="E383" i="10" s="1"/>
  <c r="G383" i="10" s="1"/>
  <c r="D382" i="10"/>
  <c r="C382" i="10"/>
  <c r="E382" i="10" s="1"/>
  <c r="G382" i="10" s="1"/>
  <c r="D381" i="10"/>
  <c r="C381" i="10"/>
  <c r="E381" i="10" s="1"/>
  <c r="G381" i="10" s="1"/>
  <c r="E380" i="10"/>
  <c r="G380" i="10" s="1"/>
  <c r="D380" i="10"/>
  <c r="C380" i="10"/>
  <c r="E379" i="10"/>
  <c r="G379" i="10" s="1"/>
  <c r="D379" i="10"/>
  <c r="C379" i="10"/>
  <c r="D378" i="10"/>
  <c r="E378" i="10" s="1"/>
  <c r="G378" i="10" s="1"/>
  <c r="C378" i="10"/>
  <c r="D377" i="10"/>
  <c r="C377" i="10"/>
  <c r="E377" i="10" s="1"/>
  <c r="G377" i="10" s="1"/>
  <c r="E376" i="10"/>
  <c r="G376" i="10" s="1"/>
  <c r="D376" i="10"/>
  <c r="C376" i="10"/>
  <c r="E375" i="10"/>
  <c r="G375" i="10" s="1"/>
  <c r="D375" i="10"/>
  <c r="C375" i="10"/>
  <c r="D374" i="10"/>
  <c r="C374" i="10"/>
  <c r="E374" i="10" s="1"/>
  <c r="G374" i="10" s="1"/>
  <c r="D373" i="10"/>
  <c r="C373" i="10"/>
  <c r="E373" i="10" s="1"/>
  <c r="G373" i="10" s="1"/>
  <c r="D372" i="10"/>
  <c r="C372" i="10"/>
  <c r="E372" i="10" s="1"/>
  <c r="G372" i="10" s="1"/>
  <c r="D371" i="10"/>
  <c r="C371" i="10"/>
  <c r="E371" i="10" s="1"/>
  <c r="G371" i="10" s="1"/>
  <c r="G370" i="10"/>
  <c r="E370" i="10"/>
  <c r="D370" i="10"/>
  <c r="C370" i="10"/>
  <c r="E369" i="10"/>
  <c r="G369" i="10" s="1"/>
  <c r="D369" i="10"/>
  <c r="C369" i="10"/>
  <c r="E368" i="10"/>
  <c r="G368" i="10" s="1"/>
  <c r="D368" i="10"/>
  <c r="C368" i="10"/>
  <c r="D367" i="10"/>
  <c r="C367" i="10"/>
  <c r="E367" i="10" s="1"/>
  <c r="G367" i="10" s="1"/>
  <c r="D366" i="10"/>
  <c r="E366" i="10" s="1"/>
  <c r="G366" i="10" s="1"/>
  <c r="C366" i="10"/>
  <c r="E365" i="10"/>
  <c r="G365" i="10" s="1"/>
  <c r="D365" i="10"/>
  <c r="C365" i="10"/>
  <c r="D364" i="10"/>
  <c r="C364" i="10"/>
  <c r="E364" i="10" s="1"/>
  <c r="G364" i="10" s="1"/>
  <c r="E363" i="10"/>
  <c r="G363" i="10" s="1"/>
  <c r="D363" i="10"/>
  <c r="C363" i="10"/>
  <c r="D362" i="10"/>
  <c r="C362" i="10"/>
  <c r="E362" i="10" s="1"/>
  <c r="G362" i="10" s="1"/>
  <c r="D361" i="10"/>
  <c r="C361" i="10"/>
  <c r="E361" i="10" s="1"/>
  <c r="G361" i="10" s="1"/>
  <c r="E360" i="10"/>
  <c r="G360" i="10" s="1"/>
  <c r="D360" i="10"/>
  <c r="C360" i="10"/>
  <c r="E359" i="10"/>
  <c r="G359" i="10" s="1"/>
  <c r="D359" i="10"/>
  <c r="C359" i="10"/>
  <c r="D358" i="10"/>
  <c r="C358" i="10"/>
  <c r="D357" i="10"/>
  <c r="C357" i="10"/>
  <c r="E357" i="10" s="1"/>
  <c r="G357" i="10" s="1"/>
  <c r="E356" i="10"/>
  <c r="G356" i="10" s="1"/>
  <c r="D356" i="10"/>
  <c r="C356" i="10"/>
  <c r="G355" i="10"/>
  <c r="E355" i="10"/>
  <c r="D355" i="10"/>
  <c r="C355" i="10"/>
  <c r="E354" i="10"/>
  <c r="G354" i="10" s="1"/>
  <c r="D354" i="10"/>
  <c r="C354" i="10"/>
  <c r="D353" i="10"/>
  <c r="C353" i="10"/>
  <c r="E353" i="10" s="1"/>
  <c r="G353" i="10" s="1"/>
  <c r="D352" i="10"/>
  <c r="C352" i="10"/>
  <c r="E352" i="10" s="1"/>
  <c r="G352" i="10" s="1"/>
  <c r="G351" i="10"/>
  <c r="E351" i="10"/>
  <c r="D351" i="10"/>
  <c r="C351" i="10"/>
  <c r="G350" i="10"/>
  <c r="E350" i="10"/>
  <c r="D350" i="10"/>
  <c r="C350" i="10"/>
  <c r="D349" i="10"/>
  <c r="C349" i="10"/>
  <c r="D348" i="10"/>
  <c r="C348" i="10"/>
  <c r="E348" i="10" s="1"/>
  <c r="G348" i="10" s="1"/>
  <c r="D347" i="10"/>
  <c r="C347" i="10"/>
  <c r="E347" i="10" s="1"/>
  <c r="G347" i="10" s="1"/>
  <c r="D346" i="10"/>
  <c r="C346" i="10"/>
  <c r="E346" i="10" s="1"/>
  <c r="G346" i="10" s="1"/>
  <c r="G345" i="10"/>
  <c r="E345" i="10"/>
  <c r="D345" i="10"/>
  <c r="C345" i="10"/>
  <c r="D344" i="10"/>
  <c r="C344" i="10"/>
  <c r="E344" i="10" s="1"/>
  <c r="G344" i="10" s="1"/>
  <c r="D343" i="10"/>
  <c r="C343" i="10"/>
  <c r="E343" i="10" s="1"/>
  <c r="G343" i="10" s="1"/>
  <c r="D342" i="10"/>
  <c r="C342" i="10"/>
  <c r="E342" i="10" s="1"/>
  <c r="G342" i="10" s="1"/>
  <c r="D341" i="10"/>
  <c r="C341" i="10"/>
  <c r="E341" i="10" s="1"/>
  <c r="G341" i="10" s="1"/>
  <c r="E340" i="10"/>
  <c r="G340" i="10" s="1"/>
  <c r="D340" i="10"/>
  <c r="C340" i="10"/>
  <c r="D339" i="10"/>
  <c r="C339" i="10"/>
  <c r="E339" i="10" s="1"/>
  <c r="G339" i="10" s="1"/>
  <c r="E338" i="10"/>
  <c r="G338" i="10" s="1"/>
  <c r="D338" i="10"/>
  <c r="C338" i="10"/>
  <c r="D337" i="10"/>
  <c r="C337" i="10"/>
  <c r="E337" i="10" s="1"/>
  <c r="G337" i="10" s="1"/>
  <c r="D336" i="10"/>
  <c r="C336" i="10"/>
  <c r="E336" i="10" s="1"/>
  <c r="G336" i="10" s="1"/>
  <c r="E335" i="10"/>
  <c r="G335" i="10" s="1"/>
  <c r="D335" i="10"/>
  <c r="C335" i="10"/>
  <c r="D334" i="10"/>
  <c r="C334" i="10"/>
  <c r="E334" i="10" s="1"/>
  <c r="G334" i="10" s="1"/>
  <c r="D333" i="10"/>
  <c r="C333" i="10"/>
  <c r="E333" i="10" s="1"/>
  <c r="G333" i="10" s="1"/>
  <c r="D332" i="10"/>
  <c r="C332" i="10"/>
  <c r="E332" i="10" s="1"/>
  <c r="G332" i="10" s="1"/>
  <c r="D331" i="10"/>
  <c r="C331" i="10"/>
  <c r="E331" i="10" s="1"/>
  <c r="G331" i="10" s="1"/>
  <c r="E330" i="10"/>
  <c r="G330" i="10" s="1"/>
  <c r="D330" i="10"/>
  <c r="C330" i="10"/>
  <c r="D329" i="10"/>
  <c r="E329" i="10" s="1"/>
  <c r="G329" i="10" s="1"/>
  <c r="C329" i="10"/>
  <c r="E328" i="10"/>
  <c r="G328" i="10" s="1"/>
  <c r="D328" i="10"/>
  <c r="C328" i="10"/>
  <c r="D327" i="10"/>
  <c r="C327" i="10"/>
  <c r="E327" i="10" s="1"/>
  <c r="G327" i="10" s="1"/>
  <c r="D326" i="10"/>
  <c r="E326" i="10" s="1"/>
  <c r="G326" i="10" s="1"/>
  <c r="C326" i="10"/>
  <c r="E325" i="10"/>
  <c r="G325" i="10" s="1"/>
  <c r="D325" i="10"/>
  <c r="C325" i="10"/>
  <c r="D324" i="10"/>
  <c r="C324" i="10"/>
  <c r="E324" i="10" s="1"/>
  <c r="G324" i="10" s="1"/>
  <c r="D323" i="10"/>
  <c r="C323" i="10"/>
  <c r="E323" i="10" s="1"/>
  <c r="G323" i="10" s="1"/>
  <c r="D322" i="10"/>
  <c r="C322" i="10"/>
  <c r="E322" i="10" s="1"/>
  <c r="G322" i="10" s="1"/>
  <c r="D321" i="10"/>
  <c r="C321" i="10"/>
  <c r="E321" i="10" s="1"/>
  <c r="G321" i="10" s="1"/>
  <c r="E320" i="10"/>
  <c r="G320" i="10" s="1"/>
  <c r="D320" i="10"/>
  <c r="C320" i="10"/>
  <c r="D319" i="10"/>
  <c r="E319" i="10" s="1"/>
  <c r="G319" i="10" s="1"/>
  <c r="C319" i="10"/>
  <c r="E318" i="10"/>
  <c r="G318" i="10" s="1"/>
  <c r="D318" i="10"/>
  <c r="C318" i="10"/>
  <c r="D317" i="10"/>
  <c r="C317" i="10"/>
  <c r="E317" i="10" s="1"/>
  <c r="G317" i="10" s="1"/>
  <c r="D316" i="10"/>
  <c r="E316" i="10" s="1"/>
  <c r="G316" i="10" s="1"/>
  <c r="C316" i="10"/>
  <c r="E315" i="10"/>
  <c r="G315" i="10" s="1"/>
  <c r="D315" i="10"/>
  <c r="C315" i="10"/>
  <c r="D314" i="10"/>
  <c r="C314" i="10"/>
  <c r="E314" i="10" s="1"/>
  <c r="G314" i="10" s="1"/>
  <c r="E313" i="10"/>
  <c r="G313" i="10" s="1"/>
  <c r="D313" i="10"/>
  <c r="C313" i="10"/>
  <c r="D312" i="10"/>
  <c r="C312" i="10"/>
  <c r="E312" i="10" s="1"/>
  <c r="G312" i="10" s="1"/>
  <c r="D311" i="10"/>
  <c r="C311" i="10"/>
  <c r="E311" i="10" s="1"/>
  <c r="G311" i="10" s="1"/>
  <c r="E310" i="10"/>
  <c r="G310" i="10" s="1"/>
  <c r="D310" i="10"/>
  <c r="C310" i="10"/>
  <c r="E309" i="10"/>
  <c r="G309" i="10" s="1"/>
  <c r="D309" i="10"/>
  <c r="C309" i="10"/>
  <c r="D308" i="10"/>
  <c r="C308" i="10"/>
  <c r="E308" i="10" s="1"/>
  <c r="G308" i="10" s="1"/>
  <c r="D307" i="10"/>
  <c r="C307" i="10"/>
  <c r="E307" i="10" s="1"/>
  <c r="G307" i="10" s="1"/>
  <c r="E306" i="10"/>
  <c r="G306" i="10" s="1"/>
  <c r="D306" i="10"/>
  <c r="C306" i="10"/>
  <c r="G305" i="10"/>
  <c r="E305" i="10"/>
  <c r="D305" i="10"/>
  <c r="C305" i="10"/>
  <c r="E304" i="10"/>
  <c r="G304" i="10" s="1"/>
  <c r="D304" i="10"/>
  <c r="C304" i="10"/>
  <c r="D303" i="10"/>
  <c r="C303" i="10"/>
  <c r="E303" i="10" s="1"/>
  <c r="G303" i="10" s="1"/>
  <c r="D302" i="10"/>
  <c r="C302" i="10"/>
  <c r="E302" i="10" s="1"/>
  <c r="G302" i="10" s="1"/>
  <c r="E301" i="10"/>
  <c r="G301" i="10" s="1"/>
  <c r="D301" i="10"/>
  <c r="C301" i="10"/>
  <c r="G300" i="10"/>
  <c r="E300" i="10"/>
  <c r="D300" i="10"/>
  <c r="C300" i="10"/>
  <c r="D299" i="10"/>
  <c r="C299" i="10"/>
  <c r="D298" i="10"/>
  <c r="C298" i="10"/>
  <c r="E298" i="10" s="1"/>
  <c r="G298" i="10" s="1"/>
  <c r="D297" i="10"/>
  <c r="C297" i="10"/>
  <c r="E297" i="10" s="1"/>
  <c r="G297" i="10" s="1"/>
  <c r="D296" i="10"/>
  <c r="C296" i="10"/>
  <c r="E296" i="10" s="1"/>
  <c r="G296" i="10" s="1"/>
  <c r="G295" i="10"/>
  <c r="E295" i="10"/>
  <c r="D295" i="10"/>
  <c r="C295" i="10"/>
  <c r="D294" i="10"/>
  <c r="C294" i="10"/>
  <c r="E294" i="10" s="1"/>
  <c r="G294" i="10" s="1"/>
  <c r="D293" i="10"/>
  <c r="E293" i="10" s="1"/>
  <c r="G293" i="10" s="1"/>
  <c r="C293" i="10"/>
  <c r="D292" i="10"/>
  <c r="C292" i="10"/>
  <c r="E292" i="10" s="1"/>
  <c r="G292" i="10" s="1"/>
  <c r="D291" i="10"/>
  <c r="C291" i="10"/>
  <c r="E291" i="10" s="1"/>
  <c r="G291" i="10" s="1"/>
  <c r="E290" i="10"/>
  <c r="G290" i="10" s="1"/>
  <c r="D290" i="10"/>
  <c r="C290" i="10"/>
  <c r="D289" i="10"/>
  <c r="C289" i="10"/>
  <c r="E289" i="10" s="1"/>
  <c r="G289" i="10" s="1"/>
  <c r="D288" i="10"/>
  <c r="E288" i="10" s="1"/>
  <c r="G288" i="10" s="1"/>
  <c r="C288" i="10"/>
  <c r="D287" i="10"/>
  <c r="C287" i="10"/>
  <c r="E287" i="10" s="1"/>
  <c r="G287" i="10" s="1"/>
  <c r="D286" i="10"/>
  <c r="C286" i="10"/>
  <c r="E286" i="10" s="1"/>
  <c r="G286" i="10" s="1"/>
  <c r="E285" i="10"/>
  <c r="G285" i="10" s="1"/>
  <c r="D285" i="10"/>
  <c r="C285" i="10"/>
  <c r="D284" i="10"/>
  <c r="C284" i="10"/>
  <c r="E284" i="10" s="1"/>
  <c r="G284" i="10" s="1"/>
  <c r="D283" i="10"/>
  <c r="C283" i="10"/>
  <c r="E283" i="10" s="1"/>
  <c r="G283" i="10" s="1"/>
  <c r="D282" i="10"/>
  <c r="C282" i="10"/>
  <c r="E282" i="10" s="1"/>
  <c r="G282" i="10" s="1"/>
  <c r="D281" i="10"/>
  <c r="C281" i="10"/>
  <c r="E281" i="10" s="1"/>
  <c r="G281" i="10" s="1"/>
  <c r="E280" i="10"/>
  <c r="G280" i="10" s="1"/>
  <c r="D280" i="10"/>
  <c r="C280" i="10"/>
  <c r="D279" i="10"/>
  <c r="E279" i="10" s="1"/>
  <c r="G279" i="10" s="1"/>
  <c r="C279" i="10"/>
  <c r="D278" i="10"/>
  <c r="E278" i="10" s="1"/>
  <c r="G278" i="10" s="1"/>
  <c r="C278" i="10"/>
  <c r="D277" i="10"/>
  <c r="C277" i="10"/>
  <c r="E277" i="10" s="1"/>
  <c r="G277" i="10" s="1"/>
  <c r="D276" i="10"/>
  <c r="E276" i="10" s="1"/>
  <c r="G276" i="10" s="1"/>
  <c r="C276" i="10"/>
  <c r="G275" i="10"/>
  <c r="E275" i="10"/>
  <c r="D275" i="10"/>
  <c r="C275" i="10"/>
  <c r="D274" i="10"/>
  <c r="C274" i="10"/>
  <c r="E274" i="10" s="1"/>
  <c r="G274" i="10" s="1"/>
  <c r="D273" i="10"/>
  <c r="C273" i="10"/>
  <c r="E273" i="10" s="1"/>
  <c r="G273" i="10" s="1"/>
  <c r="D272" i="10"/>
  <c r="C272" i="10"/>
  <c r="E272" i="10" s="1"/>
  <c r="G272" i="10" s="1"/>
  <c r="D271" i="10"/>
  <c r="C271" i="10"/>
  <c r="E271" i="10" s="1"/>
  <c r="G271" i="10" s="1"/>
  <c r="E270" i="10"/>
  <c r="G270" i="10" s="1"/>
  <c r="D270" i="10"/>
  <c r="C270" i="10"/>
  <c r="D269" i="10"/>
  <c r="E269" i="10" s="1"/>
  <c r="G269" i="10" s="1"/>
  <c r="C269" i="10"/>
  <c r="E268" i="10"/>
  <c r="G268" i="10" s="1"/>
  <c r="D268" i="10"/>
  <c r="C268" i="10"/>
  <c r="D267" i="10"/>
  <c r="C267" i="10"/>
  <c r="E267" i="10" s="1"/>
  <c r="G267" i="10" s="1"/>
  <c r="D266" i="10"/>
  <c r="E266" i="10" s="1"/>
  <c r="G266" i="10" s="1"/>
  <c r="C266" i="10"/>
  <c r="E265" i="10"/>
  <c r="G265" i="10" s="1"/>
  <c r="D265" i="10"/>
  <c r="C265" i="10"/>
  <c r="D264" i="10"/>
  <c r="C264" i="10"/>
  <c r="E264" i="10" s="1"/>
  <c r="G264" i="10" s="1"/>
  <c r="E263" i="10"/>
  <c r="G263" i="10" s="1"/>
  <c r="D263" i="10"/>
  <c r="C263" i="10"/>
  <c r="D262" i="10"/>
  <c r="C262" i="10"/>
  <c r="E262" i="10" s="1"/>
  <c r="G262" i="10" s="1"/>
  <c r="D261" i="10"/>
  <c r="C261" i="10"/>
  <c r="E261" i="10" s="1"/>
  <c r="G261" i="10" s="1"/>
  <c r="G260" i="10"/>
  <c r="E260" i="10"/>
  <c r="D260" i="10"/>
  <c r="C260" i="10"/>
  <c r="E259" i="10"/>
  <c r="G259" i="10" s="1"/>
  <c r="D259" i="10"/>
  <c r="C259" i="10"/>
  <c r="D258" i="10"/>
  <c r="C258" i="10"/>
  <c r="E258" i="10" s="1"/>
  <c r="G258" i="10" s="1"/>
  <c r="D257" i="10"/>
  <c r="C257" i="10"/>
  <c r="E257" i="10" s="1"/>
  <c r="G257" i="10" s="1"/>
  <c r="E256" i="10"/>
  <c r="G256" i="10" s="1"/>
  <c r="D256" i="10"/>
  <c r="C256" i="10"/>
  <c r="G255" i="10"/>
  <c r="E255" i="10"/>
  <c r="D255" i="10"/>
  <c r="C255" i="10"/>
  <c r="E254" i="10"/>
  <c r="G254" i="10" s="1"/>
  <c r="D254" i="10"/>
  <c r="C254" i="10"/>
  <c r="D253" i="10"/>
  <c r="C253" i="10"/>
  <c r="E253" i="10" s="1"/>
  <c r="G253" i="10" s="1"/>
  <c r="D252" i="10"/>
  <c r="C252" i="10"/>
  <c r="E252" i="10" s="1"/>
  <c r="G252" i="10" s="1"/>
  <c r="E251" i="10"/>
  <c r="G251" i="10" s="1"/>
  <c r="D251" i="10"/>
  <c r="C251" i="10"/>
  <c r="G250" i="10"/>
  <c r="E250" i="10"/>
  <c r="D250" i="10"/>
  <c r="C250" i="10"/>
  <c r="D249" i="10"/>
  <c r="C249" i="10"/>
  <c r="E249" i="10" s="1"/>
  <c r="G249" i="10" s="1"/>
  <c r="G248" i="10"/>
  <c r="D248" i="10"/>
  <c r="C248" i="10"/>
  <c r="E248" i="10" s="1"/>
  <c r="D247" i="10"/>
  <c r="C247" i="10"/>
  <c r="E247" i="10" s="1"/>
  <c r="G247" i="10" s="1"/>
  <c r="D246" i="10"/>
  <c r="C246" i="10"/>
  <c r="G245" i="10"/>
  <c r="E245" i="10"/>
  <c r="D245" i="10"/>
  <c r="C245" i="10"/>
  <c r="D244" i="10"/>
  <c r="C244" i="10"/>
  <c r="E244" i="10" s="1"/>
  <c r="G244" i="10" s="1"/>
  <c r="D243" i="10"/>
  <c r="C243" i="10"/>
  <c r="E243" i="10" s="1"/>
  <c r="G243" i="10" s="1"/>
  <c r="D242" i="10"/>
  <c r="C242" i="10"/>
  <c r="E242" i="10" s="1"/>
  <c r="G242" i="10" s="1"/>
  <c r="D241" i="10"/>
  <c r="C241" i="10"/>
  <c r="E241" i="10" s="1"/>
  <c r="G241" i="10" s="1"/>
  <c r="E240" i="10"/>
  <c r="G240" i="10" s="1"/>
  <c r="D240" i="10"/>
  <c r="C240" i="10"/>
  <c r="D239" i="10"/>
  <c r="C239" i="10"/>
  <c r="E239" i="10" s="1"/>
  <c r="G239" i="10" s="1"/>
  <c r="D238" i="10"/>
  <c r="E238" i="10" s="1"/>
  <c r="G238" i="10" s="1"/>
  <c r="C238" i="10"/>
  <c r="D237" i="10"/>
  <c r="C237" i="10"/>
  <c r="E237" i="10" s="1"/>
  <c r="G237" i="10" s="1"/>
  <c r="D236" i="10"/>
  <c r="C236" i="10"/>
  <c r="E236" i="10" s="1"/>
  <c r="G236" i="10" s="1"/>
  <c r="E235" i="10"/>
  <c r="G235" i="10" s="1"/>
  <c r="D235" i="10"/>
  <c r="C235" i="10"/>
  <c r="D234" i="10"/>
  <c r="C234" i="10"/>
  <c r="E234" i="10" s="1"/>
  <c r="G234" i="10" s="1"/>
  <c r="D233" i="10"/>
  <c r="C233" i="10"/>
  <c r="E233" i="10" s="1"/>
  <c r="G233" i="10" s="1"/>
  <c r="D232" i="10"/>
  <c r="C232" i="10"/>
  <c r="E232" i="10" s="1"/>
  <c r="G232" i="10" s="1"/>
  <c r="D231" i="10"/>
  <c r="C231" i="10"/>
  <c r="E231" i="10" s="1"/>
  <c r="G231" i="10" s="1"/>
  <c r="E230" i="10"/>
  <c r="G230" i="10" s="1"/>
  <c r="D230" i="10"/>
  <c r="C230" i="10"/>
  <c r="D229" i="10"/>
  <c r="E229" i="10" s="1"/>
  <c r="G229" i="10" s="1"/>
  <c r="C229" i="10"/>
  <c r="E228" i="10"/>
  <c r="G228" i="10" s="1"/>
  <c r="D228" i="10"/>
  <c r="C228" i="10"/>
  <c r="D227" i="10"/>
  <c r="C227" i="10"/>
  <c r="E227" i="10" s="1"/>
  <c r="G227" i="10" s="1"/>
  <c r="D226" i="10"/>
  <c r="E226" i="10" s="1"/>
  <c r="G226" i="10" s="1"/>
  <c r="C226" i="10"/>
  <c r="E225" i="10"/>
  <c r="G225" i="10" s="1"/>
  <c r="D225" i="10"/>
  <c r="C225" i="10"/>
  <c r="D224" i="10"/>
  <c r="C224" i="10"/>
  <c r="E224" i="10" s="1"/>
  <c r="G224" i="10" s="1"/>
  <c r="D223" i="10"/>
  <c r="C223" i="10"/>
  <c r="E223" i="10" s="1"/>
  <c r="G223" i="10" s="1"/>
  <c r="D222" i="10"/>
  <c r="C222" i="10"/>
  <c r="E222" i="10" s="1"/>
  <c r="G222" i="10" s="1"/>
  <c r="D221" i="10"/>
  <c r="C221" i="10"/>
  <c r="E221" i="10" s="1"/>
  <c r="G221" i="10" s="1"/>
  <c r="E220" i="10"/>
  <c r="G220" i="10" s="1"/>
  <c r="D220" i="10"/>
  <c r="C220" i="10"/>
  <c r="E219" i="10"/>
  <c r="G219" i="10" s="1"/>
  <c r="D219" i="10"/>
  <c r="C219" i="10"/>
  <c r="E218" i="10"/>
  <c r="G218" i="10" s="1"/>
  <c r="D218" i="10"/>
  <c r="C218" i="10"/>
  <c r="D217" i="10"/>
  <c r="C217" i="10"/>
  <c r="E217" i="10" s="1"/>
  <c r="G217" i="10" s="1"/>
  <c r="D216" i="10"/>
  <c r="E216" i="10" s="1"/>
  <c r="G216" i="10" s="1"/>
  <c r="C216" i="10"/>
  <c r="E215" i="10"/>
  <c r="G215" i="10" s="1"/>
  <c r="D215" i="10"/>
  <c r="C215" i="10"/>
  <c r="D214" i="10"/>
  <c r="C214" i="10"/>
  <c r="E214" i="10" s="1"/>
  <c r="G214" i="10" s="1"/>
  <c r="E213" i="10"/>
  <c r="G213" i="10" s="1"/>
  <c r="D213" i="10"/>
  <c r="C213" i="10"/>
  <c r="D212" i="10"/>
  <c r="C212" i="10"/>
  <c r="E212" i="10" s="1"/>
  <c r="G212" i="10" s="1"/>
  <c r="D211" i="10"/>
  <c r="C211" i="10"/>
  <c r="E211" i="10" s="1"/>
  <c r="G211" i="10" s="1"/>
  <c r="E210" i="10"/>
  <c r="G210" i="10" s="1"/>
  <c r="D210" i="10"/>
  <c r="C210" i="10"/>
  <c r="E209" i="10"/>
  <c r="G209" i="10" s="1"/>
  <c r="D209" i="10"/>
  <c r="C209" i="10"/>
  <c r="D208" i="10"/>
  <c r="C208" i="10"/>
  <c r="D207" i="10"/>
  <c r="C207" i="10"/>
  <c r="E207" i="10" s="1"/>
  <c r="G207" i="10" s="1"/>
  <c r="E206" i="10"/>
  <c r="G206" i="10" s="1"/>
  <c r="D206" i="10"/>
  <c r="C206" i="10"/>
  <c r="G205" i="10"/>
  <c r="E205" i="10"/>
  <c r="D205" i="10"/>
  <c r="C205" i="10"/>
  <c r="E204" i="10"/>
  <c r="G204" i="10" s="1"/>
  <c r="D204" i="10"/>
  <c r="C204" i="10"/>
  <c r="D203" i="10"/>
  <c r="C203" i="10"/>
  <c r="E203" i="10" s="1"/>
  <c r="G203" i="10" s="1"/>
  <c r="D202" i="10"/>
  <c r="C202" i="10"/>
  <c r="E202" i="10" s="1"/>
  <c r="G202" i="10" s="1"/>
  <c r="G201" i="10"/>
  <c r="E201" i="10"/>
  <c r="D201" i="10"/>
  <c r="C201" i="10"/>
  <c r="G200" i="10"/>
  <c r="E200" i="10"/>
  <c r="D200" i="10"/>
  <c r="C200" i="10"/>
  <c r="D199" i="10"/>
  <c r="C199" i="10"/>
  <c r="D198" i="10"/>
  <c r="C198" i="10"/>
  <c r="E198" i="10" s="1"/>
  <c r="G198" i="10" s="1"/>
  <c r="D197" i="10"/>
  <c r="C197" i="10"/>
  <c r="E197" i="10" s="1"/>
  <c r="G197" i="10" s="1"/>
  <c r="D196" i="10"/>
  <c r="C196" i="10"/>
  <c r="E196" i="10" s="1"/>
  <c r="G196" i="10" s="1"/>
  <c r="G195" i="10"/>
  <c r="E195" i="10"/>
  <c r="D195" i="10"/>
  <c r="C195" i="10"/>
  <c r="D194" i="10"/>
  <c r="C194" i="10"/>
  <c r="E194" i="10" s="1"/>
  <c r="G194" i="10" s="1"/>
  <c r="D193" i="10"/>
  <c r="C193" i="10"/>
  <c r="E193" i="10" s="1"/>
  <c r="G193" i="10" s="1"/>
  <c r="D192" i="10"/>
  <c r="C192" i="10"/>
  <c r="E192" i="10" s="1"/>
  <c r="G192" i="10" s="1"/>
  <c r="D191" i="10"/>
  <c r="C191" i="10"/>
  <c r="E191" i="10" s="1"/>
  <c r="G191" i="10" s="1"/>
  <c r="E190" i="10"/>
  <c r="G190" i="10" s="1"/>
  <c r="D190" i="10"/>
  <c r="C190" i="10"/>
  <c r="D189" i="10"/>
  <c r="C189" i="10"/>
  <c r="E189" i="10" s="1"/>
  <c r="G189" i="10" s="1"/>
  <c r="D188" i="10"/>
  <c r="E188" i="10" s="1"/>
  <c r="G188" i="10" s="1"/>
  <c r="C188" i="10"/>
  <c r="D187" i="10"/>
  <c r="C187" i="10"/>
  <c r="E187" i="10" s="1"/>
  <c r="G187" i="10" s="1"/>
  <c r="D186" i="10"/>
  <c r="C186" i="10"/>
  <c r="E186" i="10" s="1"/>
  <c r="G186" i="10" s="1"/>
  <c r="E185" i="10"/>
  <c r="G185" i="10" s="1"/>
  <c r="D185" i="10"/>
  <c r="C185" i="10"/>
  <c r="D184" i="10"/>
  <c r="C184" i="10"/>
  <c r="E184" i="10" s="1"/>
  <c r="G184" i="10" s="1"/>
  <c r="D183" i="10"/>
  <c r="C183" i="10"/>
  <c r="E183" i="10" s="1"/>
  <c r="G183" i="10" s="1"/>
  <c r="D182" i="10"/>
  <c r="C182" i="10"/>
  <c r="E182" i="10" s="1"/>
  <c r="G182" i="10" s="1"/>
  <c r="D181" i="10"/>
  <c r="C181" i="10"/>
  <c r="E181" i="10" s="1"/>
  <c r="G181" i="10" s="1"/>
  <c r="E180" i="10"/>
  <c r="G180" i="10" s="1"/>
  <c r="D180" i="10"/>
  <c r="C180" i="10"/>
  <c r="D179" i="10"/>
  <c r="E179" i="10" s="1"/>
  <c r="G179" i="10" s="1"/>
  <c r="C179" i="10"/>
  <c r="D178" i="10"/>
  <c r="E178" i="10" s="1"/>
  <c r="G178" i="10" s="1"/>
  <c r="C178" i="10"/>
  <c r="D177" i="10"/>
  <c r="C177" i="10"/>
  <c r="E177" i="10" s="1"/>
  <c r="G177" i="10" s="1"/>
  <c r="D176" i="10"/>
  <c r="E176" i="10" s="1"/>
  <c r="G176" i="10" s="1"/>
  <c r="C176" i="10"/>
  <c r="G175" i="10"/>
  <c r="E175" i="10"/>
  <c r="D175" i="10"/>
  <c r="C175" i="10"/>
  <c r="D174" i="10"/>
  <c r="C174" i="10"/>
  <c r="E174" i="10" s="1"/>
  <c r="G174" i="10" s="1"/>
  <c r="D173" i="10"/>
  <c r="C173" i="10"/>
  <c r="E173" i="10" s="1"/>
  <c r="G173" i="10" s="1"/>
  <c r="D172" i="10"/>
  <c r="C172" i="10"/>
  <c r="E172" i="10" s="1"/>
  <c r="G172" i="10" s="1"/>
  <c r="D171" i="10"/>
  <c r="C171" i="10"/>
  <c r="E171" i="10" s="1"/>
  <c r="G171" i="10" s="1"/>
  <c r="E170" i="10"/>
  <c r="G170" i="10" s="1"/>
  <c r="D170" i="10"/>
  <c r="C170" i="10"/>
  <c r="D169" i="10"/>
  <c r="E169" i="10" s="1"/>
  <c r="G169" i="10" s="1"/>
  <c r="C169" i="10"/>
  <c r="E168" i="10"/>
  <c r="G168" i="10" s="1"/>
  <c r="D168" i="10"/>
  <c r="C168" i="10"/>
  <c r="D167" i="10"/>
  <c r="C167" i="10"/>
  <c r="E167" i="10" s="1"/>
  <c r="G167" i="10" s="1"/>
  <c r="E166" i="10"/>
  <c r="G166" i="10" s="1"/>
  <c r="D166" i="10"/>
  <c r="C166" i="10"/>
  <c r="E165" i="10"/>
  <c r="G165" i="10" s="1"/>
  <c r="D165" i="10"/>
  <c r="C165" i="10"/>
  <c r="D164" i="10"/>
  <c r="C164" i="10"/>
  <c r="E164" i="10" s="1"/>
  <c r="G164" i="10" s="1"/>
  <c r="G163" i="10"/>
  <c r="E163" i="10"/>
  <c r="D163" i="10"/>
  <c r="C163" i="10"/>
  <c r="D162" i="10"/>
  <c r="C162" i="10"/>
  <c r="E162" i="10" s="1"/>
  <c r="G162" i="10" s="1"/>
  <c r="D161" i="10"/>
  <c r="C161" i="10"/>
  <c r="E161" i="10" s="1"/>
  <c r="G161" i="10" s="1"/>
  <c r="G160" i="10"/>
  <c r="E160" i="10"/>
  <c r="D160" i="10"/>
  <c r="C160" i="10"/>
  <c r="E159" i="10"/>
  <c r="G159" i="10" s="1"/>
  <c r="D159" i="10"/>
  <c r="C159" i="10"/>
  <c r="D158" i="10"/>
  <c r="C158" i="10"/>
  <c r="E158" i="10" s="1"/>
  <c r="G158" i="10" s="1"/>
  <c r="D157" i="10"/>
  <c r="C157" i="10"/>
  <c r="E157" i="10" s="1"/>
  <c r="G157" i="10" s="1"/>
  <c r="E156" i="10"/>
  <c r="G156" i="10" s="1"/>
  <c r="D156" i="10"/>
  <c r="C156" i="10"/>
  <c r="G155" i="10"/>
  <c r="E155" i="10"/>
  <c r="D155" i="10"/>
  <c r="C155" i="10"/>
  <c r="E154" i="10"/>
  <c r="G154" i="10" s="1"/>
  <c r="D154" i="10"/>
  <c r="C154" i="10"/>
  <c r="D153" i="10"/>
  <c r="C153" i="10"/>
  <c r="E153" i="10" s="1"/>
  <c r="G153" i="10" s="1"/>
  <c r="D152" i="10"/>
  <c r="C152" i="10"/>
  <c r="E152" i="10" s="1"/>
  <c r="G152" i="10" s="1"/>
  <c r="E151" i="10"/>
  <c r="G151" i="10" s="1"/>
  <c r="D151" i="10"/>
  <c r="C151" i="10"/>
  <c r="G150" i="10"/>
  <c r="E150" i="10"/>
  <c r="D150" i="10"/>
  <c r="C150" i="10"/>
  <c r="D149" i="10"/>
  <c r="C149" i="10"/>
  <c r="E149" i="10" s="1"/>
  <c r="G149" i="10" s="1"/>
  <c r="D148" i="10"/>
  <c r="C148" i="10"/>
  <c r="E148" i="10" s="1"/>
  <c r="G148" i="10" s="1"/>
  <c r="D147" i="10"/>
  <c r="C147" i="10"/>
  <c r="E147" i="10" s="1"/>
  <c r="G147" i="10" s="1"/>
  <c r="D146" i="10"/>
  <c r="C146" i="10"/>
  <c r="G145" i="10"/>
  <c r="E145" i="10"/>
  <c r="D145" i="10"/>
  <c r="C145" i="10"/>
  <c r="D144" i="10"/>
  <c r="C144" i="10"/>
  <c r="E144" i="10" s="1"/>
  <c r="G144" i="10" s="1"/>
  <c r="D143" i="10"/>
  <c r="C143" i="10"/>
  <c r="E143" i="10" s="1"/>
  <c r="G143" i="10" s="1"/>
  <c r="D142" i="10"/>
  <c r="C142" i="10"/>
  <c r="E142" i="10" s="1"/>
  <c r="G142" i="10" s="1"/>
  <c r="D141" i="10"/>
  <c r="C141" i="10"/>
  <c r="E141" i="10" s="1"/>
  <c r="G141" i="10" s="1"/>
  <c r="E140" i="10"/>
  <c r="G140" i="10" s="1"/>
  <c r="D140" i="10"/>
  <c r="C140" i="10"/>
  <c r="D139" i="10"/>
  <c r="C139" i="10"/>
  <c r="E139" i="10" s="1"/>
  <c r="G139" i="10" s="1"/>
  <c r="D138" i="10"/>
  <c r="E138" i="10" s="1"/>
  <c r="G138" i="10" s="1"/>
  <c r="C138" i="10"/>
  <c r="D137" i="10"/>
  <c r="C137" i="10"/>
  <c r="E137" i="10" s="1"/>
  <c r="G137" i="10" s="1"/>
  <c r="D136" i="10"/>
  <c r="C136" i="10"/>
  <c r="E136" i="10" s="1"/>
  <c r="G136" i="10" s="1"/>
  <c r="E135" i="10"/>
  <c r="G135" i="10" s="1"/>
  <c r="D135" i="10"/>
  <c r="C135" i="10"/>
  <c r="E134" i="10"/>
  <c r="G134" i="10" s="1"/>
  <c r="D134" i="10"/>
  <c r="C134" i="10"/>
  <c r="D133" i="10"/>
  <c r="C133" i="10"/>
  <c r="E133" i="10" s="1"/>
  <c r="G133" i="10" s="1"/>
  <c r="D132" i="10"/>
  <c r="C132" i="10"/>
  <c r="E132" i="10" s="1"/>
  <c r="G132" i="10" s="1"/>
  <c r="D131" i="10"/>
  <c r="C131" i="10"/>
  <c r="E131" i="10" s="1"/>
  <c r="G131" i="10" s="1"/>
  <c r="E130" i="10"/>
  <c r="G130" i="10" s="1"/>
  <c r="D130" i="10"/>
  <c r="C130" i="10"/>
  <c r="D129" i="10"/>
  <c r="E129" i="10" s="1"/>
  <c r="G129" i="10" s="1"/>
  <c r="C129" i="10"/>
  <c r="D128" i="10"/>
  <c r="E128" i="10" s="1"/>
  <c r="G128" i="10" s="1"/>
  <c r="C128" i="10"/>
  <c r="D127" i="10"/>
  <c r="C127" i="10"/>
  <c r="E127" i="10" s="1"/>
  <c r="G127" i="10" s="1"/>
  <c r="D126" i="10"/>
  <c r="E126" i="10" s="1"/>
  <c r="G126" i="10" s="1"/>
  <c r="C126" i="10"/>
  <c r="E125" i="10"/>
  <c r="G125" i="10" s="1"/>
  <c r="D125" i="10"/>
  <c r="C125" i="10"/>
  <c r="D124" i="10"/>
  <c r="C124" i="10"/>
  <c r="E124" i="10" s="1"/>
  <c r="G124" i="10" s="1"/>
  <c r="D123" i="10"/>
  <c r="C123" i="10"/>
  <c r="E123" i="10" s="1"/>
  <c r="G123" i="10" s="1"/>
  <c r="D122" i="10"/>
  <c r="C122" i="10"/>
  <c r="E122" i="10" s="1"/>
  <c r="G122" i="10" s="1"/>
  <c r="D121" i="10"/>
  <c r="C121" i="10"/>
  <c r="E121" i="10" s="1"/>
  <c r="G121" i="10" s="1"/>
  <c r="E120" i="10"/>
  <c r="G120" i="10" s="1"/>
  <c r="D120" i="10"/>
  <c r="C120" i="10"/>
  <c r="D119" i="10"/>
  <c r="E119" i="10" s="1"/>
  <c r="G119" i="10" s="1"/>
  <c r="C119" i="10"/>
  <c r="E118" i="10"/>
  <c r="G118" i="10" s="1"/>
  <c r="D118" i="10"/>
  <c r="C118" i="10"/>
  <c r="D117" i="10"/>
  <c r="C117" i="10"/>
  <c r="E117" i="10" s="1"/>
  <c r="G117" i="10" s="1"/>
  <c r="D116" i="10"/>
  <c r="E116" i="10" s="1"/>
  <c r="G116" i="10" s="1"/>
  <c r="C116" i="10"/>
  <c r="E115" i="10"/>
  <c r="G115" i="10" s="1"/>
  <c r="D115" i="10"/>
  <c r="C115" i="10"/>
  <c r="D114" i="10"/>
  <c r="C114" i="10"/>
  <c r="E114" i="10" s="1"/>
  <c r="G114" i="10" s="1"/>
  <c r="E113" i="10"/>
  <c r="G113" i="10" s="1"/>
  <c r="D113" i="10"/>
  <c r="C113" i="10"/>
  <c r="D112" i="10"/>
  <c r="C112" i="10"/>
  <c r="E112" i="10" s="1"/>
  <c r="G112" i="10" s="1"/>
  <c r="D111" i="10"/>
  <c r="C111" i="10"/>
  <c r="E111" i="10" s="1"/>
  <c r="G111" i="10" s="1"/>
  <c r="E110" i="10"/>
  <c r="G110" i="10" s="1"/>
  <c r="D110" i="10"/>
  <c r="C110" i="10"/>
  <c r="E109" i="10"/>
  <c r="G109" i="10" s="1"/>
  <c r="D109" i="10"/>
  <c r="C109" i="10"/>
  <c r="D108" i="10"/>
  <c r="C108" i="10"/>
  <c r="D107" i="10"/>
  <c r="C107" i="10"/>
  <c r="E107" i="10" s="1"/>
  <c r="G107" i="10" s="1"/>
  <c r="E106" i="10"/>
  <c r="G106" i="10" s="1"/>
  <c r="D106" i="10"/>
  <c r="C106" i="10"/>
  <c r="G105" i="10"/>
  <c r="E105" i="10"/>
  <c r="D105" i="10"/>
  <c r="C105" i="10"/>
  <c r="E104" i="10"/>
  <c r="G104" i="10" s="1"/>
  <c r="D104" i="10"/>
  <c r="C104" i="10"/>
  <c r="D103" i="10"/>
  <c r="C103" i="10"/>
  <c r="E103" i="10" s="1"/>
  <c r="G103" i="10" s="1"/>
  <c r="D102" i="10"/>
  <c r="C102" i="10"/>
  <c r="E102" i="10" s="1"/>
  <c r="G102" i="10" s="1"/>
  <c r="E101" i="10"/>
  <c r="G101" i="10" s="1"/>
  <c r="D101" i="10"/>
  <c r="C101" i="10"/>
  <c r="G100" i="10"/>
  <c r="E100" i="10"/>
  <c r="D100" i="10"/>
  <c r="C100" i="10"/>
  <c r="D99" i="10"/>
  <c r="C99" i="10"/>
  <c r="E99" i="10" s="1"/>
  <c r="G99" i="10" s="1"/>
  <c r="D98" i="10"/>
  <c r="C98" i="10"/>
  <c r="E98" i="10" s="1"/>
  <c r="G98" i="10" s="1"/>
  <c r="D97" i="10"/>
  <c r="C97" i="10"/>
  <c r="E97" i="10" s="1"/>
  <c r="G97" i="10" s="1"/>
  <c r="D96" i="10"/>
  <c r="C96" i="10"/>
  <c r="E96" i="10" s="1"/>
  <c r="G96" i="10" s="1"/>
  <c r="G95" i="10"/>
  <c r="E95" i="10"/>
  <c r="D95" i="10"/>
  <c r="C95" i="10"/>
  <c r="D94" i="10"/>
  <c r="C94" i="10"/>
  <c r="E94" i="10" s="1"/>
  <c r="G94" i="10" s="1"/>
  <c r="D93" i="10"/>
  <c r="C93" i="10"/>
  <c r="E93" i="10" s="1"/>
  <c r="G93" i="10" s="1"/>
  <c r="D92" i="10"/>
  <c r="C92" i="10"/>
  <c r="E92" i="10" s="1"/>
  <c r="G92" i="10" s="1"/>
  <c r="D91" i="10"/>
  <c r="C91" i="10"/>
  <c r="E91" i="10" s="1"/>
  <c r="G91" i="10" s="1"/>
  <c r="E90" i="10"/>
  <c r="G90" i="10" s="1"/>
  <c r="D90" i="10"/>
  <c r="C90" i="10"/>
  <c r="D89" i="10"/>
  <c r="C89" i="10"/>
  <c r="E89" i="10" s="1"/>
  <c r="G89" i="10" s="1"/>
  <c r="E88" i="10"/>
  <c r="G88" i="10" s="1"/>
  <c r="D88" i="10"/>
  <c r="C88" i="10"/>
  <c r="D87" i="10"/>
  <c r="C87" i="10"/>
  <c r="E87" i="10" s="1"/>
  <c r="G87" i="10" s="1"/>
  <c r="D86" i="10"/>
  <c r="C86" i="10"/>
  <c r="E86" i="10" s="1"/>
  <c r="G86" i="10" s="1"/>
  <c r="E85" i="10"/>
  <c r="G85" i="10" s="1"/>
  <c r="D85" i="10"/>
  <c r="C85" i="10"/>
  <c r="E84" i="10"/>
  <c r="G84" i="10" s="1"/>
  <c r="D84" i="10"/>
  <c r="C84" i="10"/>
  <c r="D83" i="10"/>
  <c r="C83" i="10"/>
  <c r="E83" i="10" s="1"/>
  <c r="G83" i="10" s="1"/>
  <c r="D82" i="10"/>
  <c r="C82" i="10"/>
  <c r="E82" i="10" s="1"/>
  <c r="G82" i="10" s="1"/>
  <c r="D81" i="10"/>
  <c r="C81" i="10"/>
  <c r="E81" i="10" s="1"/>
  <c r="G81" i="10" s="1"/>
  <c r="E80" i="10"/>
  <c r="G80" i="10" s="1"/>
  <c r="D80" i="10"/>
  <c r="C80" i="10"/>
  <c r="D79" i="10"/>
  <c r="E79" i="10" s="1"/>
  <c r="G79" i="10" s="1"/>
  <c r="C79" i="10"/>
  <c r="E78" i="10"/>
  <c r="G78" i="10" s="1"/>
  <c r="D78" i="10"/>
  <c r="C78" i="10"/>
  <c r="D77" i="10"/>
  <c r="C77" i="10"/>
  <c r="E77" i="10" s="1"/>
  <c r="G77" i="10" s="1"/>
  <c r="D76" i="10"/>
  <c r="E76" i="10" s="1"/>
  <c r="G76" i="10" s="1"/>
  <c r="C76" i="10"/>
  <c r="E75" i="10"/>
  <c r="G75" i="10" s="1"/>
  <c r="D75" i="10"/>
  <c r="C75" i="10"/>
  <c r="D74" i="10"/>
  <c r="C74" i="10"/>
  <c r="E74" i="10" s="1"/>
  <c r="G74" i="10" s="1"/>
  <c r="D73" i="10"/>
  <c r="C73" i="10"/>
  <c r="E73" i="10" s="1"/>
  <c r="G73" i="10" s="1"/>
  <c r="D72" i="10"/>
  <c r="C72" i="10"/>
  <c r="E72" i="10" s="1"/>
  <c r="G72" i="10" s="1"/>
  <c r="D71" i="10"/>
  <c r="C71" i="10"/>
  <c r="E71" i="10" s="1"/>
  <c r="G71" i="10" s="1"/>
  <c r="E70" i="10"/>
  <c r="G70" i="10" s="1"/>
  <c r="D70" i="10"/>
  <c r="C70" i="10"/>
  <c r="E69" i="10"/>
  <c r="G69" i="10" s="1"/>
  <c r="D69" i="10"/>
  <c r="C69" i="10"/>
  <c r="E68" i="10"/>
  <c r="G68" i="10" s="1"/>
  <c r="D68" i="10"/>
  <c r="C68" i="10"/>
  <c r="D67" i="10"/>
  <c r="C67" i="10"/>
  <c r="E67" i="10" s="1"/>
  <c r="G67" i="10" s="1"/>
  <c r="D66" i="10"/>
  <c r="E66" i="10" s="1"/>
  <c r="G66" i="10" s="1"/>
  <c r="C66" i="10"/>
  <c r="E65" i="10"/>
  <c r="G65" i="10" s="1"/>
  <c r="D65" i="10"/>
  <c r="C65" i="10"/>
  <c r="D64" i="10"/>
  <c r="C64" i="10"/>
  <c r="E64" i="10" s="1"/>
  <c r="G64" i="10" s="1"/>
  <c r="E63" i="10"/>
  <c r="G63" i="10" s="1"/>
  <c r="D63" i="10"/>
  <c r="C63" i="10"/>
  <c r="D62" i="10"/>
  <c r="C62" i="10"/>
  <c r="E62" i="10" s="1"/>
  <c r="G62" i="10" s="1"/>
  <c r="D61" i="10"/>
  <c r="C61" i="10"/>
  <c r="E61" i="10" s="1"/>
  <c r="G61" i="10" s="1"/>
  <c r="E60" i="10"/>
  <c r="G60" i="10" s="1"/>
  <c r="D60" i="10"/>
  <c r="C60" i="10"/>
  <c r="E59" i="10"/>
  <c r="G59" i="10" s="1"/>
  <c r="D59" i="10"/>
  <c r="C59" i="10"/>
  <c r="D58" i="10"/>
  <c r="C58" i="10"/>
  <c r="D57" i="10"/>
  <c r="C57" i="10"/>
  <c r="E57" i="10" s="1"/>
  <c r="G57" i="10" s="1"/>
  <c r="E56" i="10"/>
  <c r="G56" i="10" s="1"/>
  <c r="D56" i="10"/>
  <c r="C56" i="10"/>
  <c r="G55" i="10"/>
  <c r="E55" i="10"/>
  <c r="D55" i="10"/>
  <c r="C55" i="10"/>
  <c r="E54" i="10"/>
  <c r="G54" i="10" s="1"/>
  <c r="D54" i="10"/>
  <c r="C54" i="10"/>
  <c r="D53" i="10"/>
  <c r="C53" i="10"/>
  <c r="E53" i="10" s="1"/>
  <c r="G53" i="10" s="1"/>
  <c r="D52" i="10"/>
  <c r="C52" i="10"/>
  <c r="E52" i="10" s="1"/>
  <c r="G52" i="10" s="1"/>
  <c r="E51" i="10"/>
  <c r="G51" i="10" s="1"/>
  <c r="D51" i="10"/>
  <c r="C51" i="10"/>
  <c r="G50" i="10"/>
  <c r="E50" i="10"/>
  <c r="D50" i="10"/>
  <c r="C50" i="10"/>
  <c r="D49" i="10"/>
  <c r="C49" i="10"/>
  <c r="E49" i="10" s="1"/>
  <c r="G49" i="10" s="1"/>
  <c r="D48" i="10"/>
  <c r="C48" i="10"/>
  <c r="D47" i="10"/>
  <c r="C47" i="10"/>
  <c r="D46" i="10"/>
  <c r="E46" i="10" s="1"/>
  <c r="G46" i="10" s="1"/>
  <c r="C46" i="10"/>
  <c r="E45" i="10"/>
  <c r="G45" i="10" s="1"/>
  <c r="D45" i="10"/>
  <c r="C45" i="10"/>
  <c r="D44" i="10"/>
  <c r="C44" i="10"/>
  <c r="E44" i="10" s="1"/>
  <c r="G44" i="10" s="1"/>
  <c r="D43" i="10"/>
  <c r="C43" i="10"/>
  <c r="E43" i="10" s="1"/>
  <c r="G43" i="10" s="1"/>
  <c r="D42" i="10"/>
  <c r="E42" i="10" s="1"/>
  <c r="G42" i="10" s="1"/>
  <c r="C42" i="10"/>
  <c r="D41" i="10"/>
  <c r="E41" i="10" s="1"/>
  <c r="G41" i="10" s="1"/>
  <c r="C41" i="10"/>
  <c r="E40" i="10"/>
  <c r="G40" i="10" s="1"/>
  <c r="D40" i="10"/>
  <c r="C40" i="10"/>
  <c r="D39" i="10"/>
  <c r="C39" i="10"/>
  <c r="E39" i="10" s="1"/>
  <c r="G39" i="10" s="1"/>
  <c r="D38" i="10"/>
  <c r="C38" i="10"/>
  <c r="E38" i="10" s="1"/>
  <c r="G38" i="10" s="1"/>
  <c r="D37" i="10"/>
  <c r="E37" i="10" s="1"/>
  <c r="G37" i="10" s="1"/>
  <c r="C37" i="10"/>
  <c r="D36" i="10"/>
  <c r="E36" i="10" s="1"/>
  <c r="G36" i="10" s="1"/>
  <c r="C36" i="10"/>
  <c r="E35" i="10"/>
  <c r="G35" i="10" s="1"/>
  <c r="D35" i="10"/>
  <c r="C35" i="10"/>
  <c r="D34" i="10"/>
  <c r="C34" i="10"/>
  <c r="E34" i="10" s="1"/>
  <c r="G34" i="10" s="1"/>
  <c r="D33" i="10"/>
  <c r="C33" i="10"/>
  <c r="E33" i="10" s="1"/>
  <c r="G33" i="10" s="1"/>
  <c r="D32" i="10"/>
  <c r="E32" i="10" s="1"/>
  <c r="G32" i="10" s="1"/>
  <c r="C32" i="10"/>
  <c r="D31" i="10"/>
  <c r="E31" i="10" s="1"/>
  <c r="G31" i="10" s="1"/>
  <c r="C31" i="10"/>
  <c r="E30" i="10"/>
  <c r="G30" i="10" s="1"/>
  <c r="D30" i="10"/>
  <c r="C30" i="10"/>
  <c r="D29" i="10"/>
  <c r="C29" i="10"/>
  <c r="E29" i="10" s="1"/>
  <c r="G29" i="10" s="1"/>
  <c r="G28" i="10"/>
  <c r="D28" i="10"/>
  <c r="C28" i="10"/>
  <c r="E28" i="10" s="1"/>
  <c r="D27" i="10"/>
  <c r="E27" i="10" s="1"/>
  <c r="G27" i="10" s="1"/>
  <c r="C27" i="10"/>
  <c r="D26" i="10"/>
  <c r="E26" i="10" s="1"/>
  <c r="G26" i="10" s="1"/>
  <c r="C26" i="10"/>
  <c r="E25" i="10"/>
  <c r="G25" i="10" s="1"/>
  <c r="D25" i="10"/>
  <c r="C25" i="10"/>
  <c r="D24" i="10"/>
  <c r="C24" i="10"/>
  <c r="E24" i="10" s="1"/>
  <c r="G24" i="10" s="1"/>
  <c r="G23" i="10"/>
  <c r="D23" i="10"/>
  <c r="C23" i="10"/>
  <c r="E23" i="10" s="1"/>
  <c r="D22" i="10"/>
  <c r="E22" i="10" s="1"/>
  <c r="G22" i="10" s="1"/>
  <c r="C22" i="10"/>
  <c r="D21" i="10"/>
  <c r="E21" i="10" s="1"/>
  <c r="G21" i="10" s="1"/>
  <c r="C21" i="10"/>
  <c r="E20" i="10"/>
  <c r="G20" i="10" s="1"/>
  <c r="D20" i="10"/>
  <c r="C20" i="10"/>
  <c r="D19" i="10"/>
  <c r="C19" i="10"/>
  <c r="E19" i="10" s="1"/>
  <c r="G19" i="10" s="1"/>
  <c r="D18" i="10"/>
  <c r="C18" i="10"/>
  <c r="E18" i="10" s="1"/>
  <c r="G18" i="10" s="1"/>
  <c r="D17" i="10"/>
  <c r="E17" i="10" s="1"/>
  <c r="G17" i="10" s="1"/>
  <c r="C17" i="10"/>
  <c r="D16" i="10"/>
  <c r="E16" i="10" s="1"/>
  <c r="G16" i="10" s="1"/>
  <c r="C16" i="10"/>
  <c r="E15" i="10"/>
  <c r="G15" i="10" s="1"/>
  <c r="D15" i="10"/>
  <c r="C15" i="10"/>
  <c r="D14" i="10"/>
  <c r="C14" i="10"/>
  <c r="E14" i="10" s="1"/>
  <c r="G14" i="10" s="1"/>
  <c r="D13" i="10"/>
  <c r="C13" i="10"/>
  <c r="E13" i="10" s="1"/>
  <c r="G13" i="10" s="1"/>
  <c r="D12" i="10"/>
  <c r="E12" i="10" s="1"/>
  <c r="G12" i="10" s="1"/>
  <c r="C12" i="10"/>
  <c r="D11" i="10"/>
  <c r="E11" i="10" s="1"/>
  <c r="G11" i="10" s="1"/>
  <c r="C11" i="10"/>
  <c r="E10" i="10"/>
  <c r="G10" i="10" s="1"/>
  <c r="D10" i="10"/>
  <c r="C10" i="10"/>
  <c r="D9" i="10"/>
  <c r="C9" i="10"/>
  <c r="E9" i="10" s="1"/>
  <c r="G9" i="10" s="1"/>
  <c r="D8" i="10"/>
  <c r="C8" i="10"/>
  <c r="E8" i="10" s="1"/>
  <c r="G8" i="10" s="1"/>
  <c r="D7" i="10"/>
  <c r="E7" i="10" s="1"/>
  <c r="G7" i="10" s="1"/>
  <c r="C7" i="10"/>
  <c r="D6" i="10"/>
  <c r="E6" i="10" s="1"/>
  <c r="G6" i="10" s="1"/>
  <c r="C6" i="10"/>
  <c r="E5" i="10"/>
  <c r="G5" i="10" s="1"/>
  <c r="D5" i="10"/>
  <c r="C5" i="10"/>
  <c r="D4" i="10"/>
  <c r="C4" i="10"/>
  <c r="E4" i="10" s="1"/>
  <c r="G4" i="10" s="1"/>
  <c r="G3" i="10"/>
  <c r="D3" i="10"/>
  <c r="C3" i="10"/>
  <c r="E3" i="10" s="1"/>
  <c r="D2" i="10"/>
  <c r="E2" i="10" s="1"/>
  <c r="G2" i="10" s="1"/>
  <c r="C2" i="10"/>
  <c r="G14" i="7"/>
  <c r="G13" i="7"/>
  <c r="G12" i="7"/>
  <c r="G11" i="7"/>
  <c r="G10" i="7"/>
  <c r="G9" i="7"/>
  <c r="G8" i="7"/>
  <c r="G7" i="7"/>
  <c r="G6" i="7"/>
  <c r="G5" i="7"/>
  <c r="G4" i="7"/>
  <c r="G3" i="7"/>
  <c r="G2" i="7"/>
  <c r="D501" i="6"/>
  <c r="E501" i="6" s="1"/>
  <c r="G501" i="6" s="1"/>
  <c r="C501" i="6"/>
  <c r="B501" i="6"/>
  <c r="A501" i="6"/>
  <c r="D500" i="6"/>
  <c r="C500" i="6"/>
  <c r="B500" i="6"/>
  <c r="A500" i="6"/>
  <c r="D499" i="6"/>
  <c r="C499" i="6"/>
  <c r="B499" i="6"/>
  <c r="A499" i="6"/>
  <c r="D498" i="6"/>
  <c r="C498" i="6"/>
  <c r="E498" i="6" s="1"/>
  <c r="G498" i="6" s="1"/>
  <c r="B498" i="6"/>
  <c r="A498" i="6"/>
  <c r="D497" i="6"/>
  <c r="C497" i="6"/>
  <c r="E497" i="6" s="1"/>
  <c r="G497" i="6" s="1"/>
  <c r="B497" i="6"/>
  <c r="A497" i="6"/>
  <c r="E496" i="6"/>
  <c r="G496" i="6" s="1"/>
  <c r="D496" i="6"/>
  <c r="C496" i="6"/>
  <c r="B496" i="6"/>
  <c r="A496" i="6"/>
  <c r="D495" i="6"/>
  <c r="C495" i="6"/>
  <c r="B495" i="6"/>
  <c r="A495" i="6"/>
  <c r="D494" i="6"/>
  <c r="C494" i="6"/>
  <c r="B494" i="6"/>
  <c r="A494" i="6"/>
  <c r="D493" i="6"/>
  <c r="C493" i="6"/>
  <c r="E493" i="6" s="1"/>
  <c r="G493" i="6" s="1"/>
  <c r="B493" i="6"/>
  <c r="A493" i="6"/>
  <c r="D492" i="6"/>
  <c r="C492" i="6"/>
  <c r="E492" i="6" s="1"/>
  <c r="G492" i="6" s="1"/>
  <c r="B492" i="6"/>
  <c r="A492" i="6"/>
  <c r="D491" i="6"/>
  <c r="C491" i="6"/>
  <c r="B491" i="6"/>
  <c r="A491" i="6"/>
  <c r="D490" i="6"/>
  <c r="C490" i="6"/>
  <c r="E490" i="6" s="1"/>
  <c r="G490" i="6" s="1"/>
  <c r="B490" i="6"/>
  <c r="A490" i="6"/>
  <c r="D489" i="6"/>
  <c r="C489" i="6"/>
  <c r="E489" i="6" s="1"/>
  <c r="G489" i="6" s="1"/>
  <c r="B489" i="6"/>
  <c r="A489" i="6"/>
  <c r="D488" i="6"/>
  <c r="C488" i="6"/>
  <c r="B488" i="6"/>
  <c r="A488" i="6"/>
  <c r="D487" i="6"/>
  <c r="C487" i="6"/>
  <c r="B487" i="6"/>
  <c r="A487" i="6"/>
  <c r="E486" i="6"/>
  <c r="G486" i="6" s="1"/>
  <c r="D486" i="6"/>
  <c r="C486" i="6"/>
  <c r="B486" i="6"/>
  <c r="A486" i="6"/>
  <c r="D485" i="6"/>
  <c r="C485" i="6"/>
  <c r="B485" i="6"/>
  <c r="A485" i="6"/>
  <c r="D484" i="6"/>
  <c r="C484" i="6"/>
  <c r="B484" i="6"/>
  <c r="A484" i="6"/>
  <c r="D483" i="6"/>
  <c r="C483" i="6"/>
  <c r="E483" i="6" s="1"/>
  <c r="G483" i="6" s="1"/>
  <c r="B483" i="6"/>
  <c r="A483" i="6"/>
  <c r="D482" i="6"/>
  <c r="C482" i="6"/>
  <c r="E482" i="6" s="1"/>
  <c r="G482" i="6" s="1"/>
  <c r="B482" i="6"/>
  <c r="A482" i="6"/>
  <c r="D481" i="6"/>
  <c r="C481" i="6"/>
  <c r="B481" i="6"/>
  <c r="A481" i="6"/>
  <c r="D480" i="6"/>
  <c r="C480" i="6"/>
  <c r="E480" i="6" s="1"/>
  <c r="G480" i="6" s="1"/>
  <c r="B480" i="6"/>
  <c r="A480" i="6"/>
  <c r="D479" i="6"/>
  <c r="C479" i="6"/>
  <c r="E479" i="6" s="1"/>
  <c r="G479" i="6" s="1"/>
  <c r="B479" i="6"/>
  <c r="A479" i="6"/>
  <c r="D478" i="6"/>
  <c r="C478" i="6"/>
  <c r="B478" i="6"/>
  <c r="A478" i="6"/>
  <c r="D477" i="6"/>
  <c r="E477" i="6" s="1"/>
  <c r="G477" i="6" s="1"/>
  <c r="C477" i="6"/>
  <c r="B477" i="6"/>
  <c r="A477" i="6"/>
  <c r="D476" i="6"/>
  <c r="C476" i="6"/>
  <c r="B476" i="6"/>
  <c r="A476" i="6"/>
  <c r="D475" i="6"/>
  <c r="C475" i="6"/>
  <c r="B475" i="6"/>
  <c r="A475" i="6"/>
  <c r="D474" i="6"/>
  <c r="E474" i="6" s="1"/>
  <c r="G474" i="6" s="1"/>
  <c r="C474" i="6"/>
  <c r="B474" i="6"/>
  <c r="A474" i="6"/>
  <c r="D473" i="6"/>
  <c r="C473" i="6"/>
  <c r="E473" i="6" s="1"/>
  <c r="G473" i="6" s="1"/>
  <c r="B473" i="6"/>
  <c r="A473" i="6"/>
  <c r="D472" i="6"/>
  <c r="C472" i="6"/>
  <c r="B472" i="6"/>
  <c r="A472" i="6"/>
  <c r="D471" i="6"/>
  <c r="C471" i="6"/>
  <c r="B471" i="6"/>
  <c r="A471" i="6"/>
  <c r="D470" i="6"/>
  <c r="C470" i="6"/>
  <c r="E470" i="6" s="1"/>
  <c r="G470" i="6" s="1"/>
  <c r="B470" i="6"/>
  <c r="A470" i="6"/>
  <c r="D469" i="6"/>
  <c r="C469" i="6"/>
  <c r="B469" i="6"/>
  <c r="A469" i="6"/>
  <c r="D468" i="6"/>
  <c r="C468" i="6"/>
  <c r="B468" i="6"/>
  <c r="A468" i="6"/>
  <c r="D467" i="6"/>
  <c r="C467" i="6"/>
  <c r="E467" i="6" s="1"/>
  <c r="G467" i="6" s="1"/>
  <c r="B467" i="6"/>
  <c r="A467" i="6"/>
  <c r="D466" i="6"/>
  <c r="C466" i="6"/>
  <c r="E466" i="6" s="1"/>
  <c r="G466" i="6" s="1"/>
  <c r="B466" i="6"/>
  <c r="A466" i="6"/>
  <c r="D465" i="6"/>
  <c r="C465" i="6"/>
  <c r="B465" i="6"/>
  <c r="A465" i="6"/>
  <c r="D464" i="6"/>
  <c r="C464" i="6"/>
  <c r="E464" i="6" s="1"/>
  <c r="G464" i="6" s="1"/>
  <c r="B464" i="6"/>
  <c r="A464" i="6"/>
  <c r="D463" i="6"/>
  <c r="C463" i="6"/>
  <c r="B463" i="6"/>
  <c r="A463" i="6"/>
  <c r="D462" i="6"/>
  <c r="C462" i="6"/>
  <c r="E462" i="6" s="1"/>
  <c r="G462" i="6" s="1"/>
  <c r="B462" i="6"/>
  <c r="A462" i="6"/>
  <c r="D461" i="6"/>
  <c r="C461" i="6"/>
  <c r="B461" i="6"/>
  <c r="A461" i="6"/>
  <c r="D460" i="6"/>
  <c r="C460" i="6"/>
  <c r="B460" i="6"/>
  <c r="A460" i="6"/>
  <c r="D459" i="6"/>
  <c r="C459" i="6"/>
  <c r="B459" i="6"/>
  <c r="A459" i="6"/>
  <c r="D458" i="6"/>
  <c r="C458" i="6"/>
  <c r="E458" i="6" s="1"/>
  <c r="G458" i="6" s="1"/>
  <c r="B458" i="6"/>
  <c r="A458" i="6"/>
  <c r="D457" i="6"/>
  <c r="C457" i="6"/>
  <c r="E457" i="6" s="1"/>
  <c r="G457" i="6" s="1"/>
  <c r="B457" i="6"/>
  <c r="A457" i="6"/>
  <c r="D456" i="6"/>
  <c r="C456" i="6"/>
  <c r="B456" i="6"/>
  <c r="A456" i="6"/>
  <c r="D455" i="6"/>
  <c r="C455" i="6"/>
  <c r="E455" i="6" s="1"/>
  <c r="G455" i="6" s="1"/>
  <c r="B455" i="6"/>
  <c r="A455" i="6"/>
  <c r="D454" i="6"/>
  <c r="C454" i="6"/>
  <c r="B454" i="6"/>
  <c r="A454" i="6"/>
  <c r="D453" i="6"/>
  <c r="C453" i="6"/>
  <c r="E453" i="6" s="1"/>
  <c r="G453" i="6" s="1"/>
  <c r="B453" i="6"/>
  <c r="A453" i="6"/>
  <c r="D452" i="6"/>
  <c r="C452" i="6"/>
  <c r="E452" i="6" s="1"/>
  <c r="G452" i="6" s="1"/>
  <c r="B452" i="6"/>
  <c r="A452" i="6"/>
  <c r="D451" i="6"/>
  <c r="C451" i="6"/>
  <c r="B451" i="6"/>
  <c r="A451" i="6"/>
  <c r="D450" i="6"/>
  <c r="C450" i="6"/>
  <c r="E450" i="6" s="1"/>
  <c r="G450" i="6" s="1"/>
  <c r="B450" i="6"/>
  <c r="A450" i="6"/>
  <c r="D449" i="6"/>
  <c r="E449" i="6" s="1"/>
  <c r="G449" i="6" s="1"/>
  <c r="C449" i="6"/>
  <c r="B449" i="6"/>
  <c r="A449" i="6"/>
  <c r="D448" i="6"/>
  <c r="C448" i="6"/>
  <c r="B448" i="6"/>
  <c r="A448" i="6"/>
  <c r="D447" i="6"/>
  <c r="C447" i="6"/>
  <c r="B447" i="6"/>
  <c r="A447" i="6"/>
  <c r="D446" i="6"/>
  <c r="C446" i="6"/>
  <c r="E446" i="6" s="1"/>
  <c r="G446" i="6" s="1"/>
  <c r="B446" i="6"/>
  <c r="A446" i="6"/>
  <c r="D445" i="6"/>
  <c r="C445" i="6"/>
  <c r="E445" i="6" s="1"/>
  <c r="G445" i="6" s="1"/>
  <c r="B445" i="6"/>
  <c r="A445" i="6"/>
  <c r="E444" i="6"/>
  <c r="G444" i="6" s="1"/>
  <c r="D444" i="6"/>
  <c r="C444" i="6"/>
  <c r="B444" i="6"/>
  <c r="A444" i="6"/>
  <c r="D443" i="6"/>
  <c r="C443" i="6"/>
  <c r="B443" i="6"/>
  <c r="A443" i="6"/>
  <c r="D442" i="6"/>
  <c r="C442" i="6"/>
  <c r="B442" i="6"/>
  <c r="A442" i="6"/>
  <c r="D441" i="6"/>
  <c r="C441" i="6"/>
  <c r="B441" i="6"/>
  <c r="A441" i="6"/>
  <c r="D440" i="6"/>
  <c r="C440" i="6"/>
  <c r="B440" i="6"/>
  <c r="A440" i="6"/>
  <c r="D439" i="6"/>
  <c r="C439" i="6"/>
  <c r="E439" i="6" s="1"/>
  <c r="G439" i="6" s="1"/>
  <c r="B439" i="6"/>
  <c r="A439" i="6"/>
  <c r="D438" i="6"/>
  <c r="C438" i="6"/>
  <c r="B438" i="6"/>
  <c r="A438" i="6"/>
  <c r="D437" i="6"/>
  <c r="E437" i="6" s="1"/>
  <c r="G437" i="6" s="1"/>
  <c r="C437" i="6"/>
  <c r="B437" i="6"/>
  <c r="A437" i="6"/>
  <c r="D436" i="6"/>
  <c r="C436" i="6"/>
  <c r="B436" i="6"/>
  <c r="A436" i="6"/>
  <c r="D435" i="6"/>
  <c r="C435" i="6"/>
  <c r="E435" i="6" s="1"/>
  <c r="G435" i="6" s="1"/>
  <c r="B435" i="6"/>
  <c r="A435" i="6"/>
  <c r="D434" i="6"/>
  <c r="C434" i="6"/>
  <c r="E434" i="6" s="1"/>
  <c r="G434" i="6" s="1"/>
  <c r="B434" i="6"/>
  <c r="A434" i="6"/>
  <c r="D433" i="6"/>
  <c r="C433" i="6"/>
  <c r="B433" i="6"/>
  <c r="A433" i="6"/>
  <c r="D432" i="6"/>
  <c r="E432" i="6" s="1"/>
  <c r="G432" i="6" s="1"/>
  <c r="C432" i="6"/>
  <c r="B432" i="6"/>
  <c r="A432" i="6"/>
  <c r="D431" i="6"/>
  <c r="C431" i="6"/>
  <c r="E431" i="6" s="1"/>
  <c r="G431" i="6" s="1"/>
  <c r="B431" i="6"/>
  <c r="A431" i="6"/>
  <c r="D430" i="6"/>
  <c r="C430" i="6"/>
  <c r="B430" i="6"/>
  <c r="A430" i="6"/>
  <c r="D429" i="6"/>
  <c r="C429" i="6"/>
  <c r="E429" i="6" s="1"/>
  <c r="G429" i="6" s="1"/>
  <c r="B429" i="6"/>
  <c r="A429" i="6"/>
  <c r="D428" i="6"/>
  <c r="C428" i="6"/>
  <c r="B428" i="6"/>
  <c r="A428" i="6"/>
  <c r="D427" i="6"/>
  <c r="E427" i="6" s="1"/>
  <c r="G427" i="6" s="1"/>
  <c r="C427" i="6"/>
  <c r="B427" i="6"/>
  <c r="A427" i="6"/>
  <c r="D426" i="6"/>
  <c r="C426" i="6"/>
  <c r="B426" i="6"/>
  <c r="A426" i="6"/>
  <c r="D425" i="6"/>
  <c r="C425" i="6"/>
  <c r="B425" i="6"/>
  <c r="A425" i="6"/>
  <c r="D424" i="6"/>
  <c r="C424" i="6"/>
  <c r="B424" i="6"/>
  <c r="A424" i="6"/>
  <c r="D423" i="6"/>
  <c r="C423" i="6"/>
  <c r="B423" i="6"/>
  <c r="A423" i="6"/>
  <c r="D422" i="6"/>
  <c r="C422" i="6"/>
  <c r="E422" i="6" s="1"/>
  <c r="G422" i="6" s="1"/>
  <c r="B422" i="6"/>
  <c r="A422" i="6"/>
  <c r="D421" i="6"/>
  <c r="C421" i="6"/>
  <c r="B421" i="6"/>
  <c r="A421" i="6"/>
  <c r="D420" i="6"/>
  <c r="C420" i="6"/>
  <c r="E420" i="6" s="1"/>
  <c r="G420" i="6" s="1"/>
  <c r="B420" i="6"/>
  <c r="A420" i="6"/>
  <c r="D419" i="6"/>
  <c r="C419" i="6"/>
  <c r="B419" i="6"/>
  <c r="A419" i="6"/>
  <c r="D418" i="6"/>
  <c r="E418" i="6" s="1"/>
  <c r="G418" i="6" s="1"/>
  <c r="C418" i="6"/>
  <c r="B418" i="6"/>
  <c r="A418" i="6"/>
  <c r="D417" i="6"/>
  <c r="C417" i="6"/>
  <c r="E417" i="6" s="1"/>
  <c r="G417" i="6" s="1"/>
  <c r="B417" i="6"/>
  <c r="A417" i="6"/>
  <c r="D416" i="6"/>
  <c r="C416" i="6"/>
  <c r="B416" i="6"/>
  <c r="A416" i="6"/>
  <c r="D415" i="6"/>
  <c r="C415" i="6"/>
  <c r="B415" i="6"/>
  <c r="A415" i="6"/>
  <c r="D414" i="6"/>
  <c r="C414" i="6"/>
  <c r="E414" i="6" s="1"/>
  <c r="G414" i="6" s="1"/>
  <c r="B414" i="6"/>
  <c r="A414" i="6"/>
  <c r="E413" i="6"/>
  <c r="G413" i="6" s="1"/>
  <c r="D413" i="6"/>
  <c r="C413" i="6"/>
  <c r="B413" i="6"/>
  <c r="A413" i="6"/>
  <c r="D412" i="6"/>
  <c r="C412" i="6"/>
  <c r="B412" i="6"/>
  <c r="A412" i="6"/>
  <c r="E411" i="6"/>
  <c r="G411" i="6" s="1"/>
  <c r="D411" i="6"/>
  <c r="C411" i="6"/>
  <c r="B411" i="6"/>
  <c r="A411" i="6"/>
  <c r="D410" i="6"/>
  <c r="C410" i="6"/>
  <c r="E410" i="6" s="1"/>
  <c r="G410" i="6" s="1"/>
  <c r="B410" i="6"/>
  <c r="A410" i="6"/>
  <c r="D409" i="6"/>
  <c r="C409" i="6"/>
  <c r="B409" i="6"/>
  <c r="A409" i="6"/>
  <c r="D408" i="6"/>
  <c r="E408" i="6" s="1"/>
  <c r="G408" i="6" s="1"/>
  <c r="C408" i="6"/>
  <c r="B408" i="6"/>
  <c r="A408" i="6"/>
  <c r="D407" i="6"/>
  <c r="C407" i="6"/>
  <c r="E407" i="6" s="1"/>
  <c r="G407" i="6" s="1"/>
  <c r="B407" i="6"/>
  <c r="A407" i="6"/>
  <c r="D406" i="6"/>
  <c r="C406" i="6"/>
  <c r="B406" i="6"/>
  <c r="A406" i="6"/>
  <c r="D405" i="6"/>
  <c r="C405" i="6"/>
  <c r="B405" i="6"/>
  <c r="A405" i="6"/>
  <c r="D404" i="6"/>
  <c r="C404" i="6"/>
  <c r="B404" i="6"/>
  <c r="A404" i="6"/>
  <c r="D403" i="6"/>
  <c r="C403" i="6"/>
  <c r="E403" i="6" s="1"/>
  <c r="G403" i="6" s="1"/>
  <c r="B403" i="6"/>
  <c r="A403" i="6"/>
  <c r="D402" i="6"/>
  <c r="C402" i="6"/>
  <c r="B402" i="6"/>
  <c r="A402" i="6"/>
  <c r="D401" i="6"/>
  <c r="C401" i="6"/>
  <c r="B401" i="6"/>
  <c r="A401" i="6"/>
  <c r="D400" i="6"/>
  <c r="C400" i="6"/>
  <c r="E400" i="6" s="1"/>
  <c r="G400" i="6" s="1"/>
  <c r="B400" i="6"/>
  <c r="A400" i="6"/>
  <c r="E399" i="6"/>
  <c r="G399" i="6" s="1"/>
  <c r="D399" i="6"/>
  <c r="C399" i="6"/>
  <c r="B399" i="6"/>
  <c r="A399" i="6"/>
  <c r="D398" i="6"/>
  <c r="C398" i="6"/>
  <c r="B398" i="6"/>
  <c r="A398" i="6"/>
  <c r="D397" i="6"/>
  <c r="C397" i="6"/>
  <c r="E397" i="6" s="1"/>
  <c r="G397" i="6" s="1"/>
  <c r="B397" i="6"/>
  <c r="A397" i="6"/>
  <c r="D396" i="6"/>
  <c r="C396" i="6"/>
  <c r="E396" i="6" s="1"/>
  <c r="G396" i="6" s="1"/>
  <c r="B396" i="6"/>
  <c r="A396" i="6"/>
  <c r="D395" i="6"/>
  <c r="C395" i="6"/>
  <c r="B395" i="6"/>
  <c r="A395" i="6"/>
  <c r="D394" i="6"/>
  <c r="E394" i="6" s="1"/>
  <c r="G394" i="6" s="1"/>
  <c r="C394" i="6"/>
  <c r="B394" i="6"/>
  <c r="A394" i="6"/>
  <c r="D393" i="6"/>
  <c r="C393" i="6"/>
  <c r="B393" i="6"/>
  <c r="A393" i="6"/>
  <c r="D392" i="6"/>
  <c r="C392" i="6"/>
  <c r="B392" i="6"/>
  <c r="A392" i="6"/>
  <c r="D391" i="6"/>
  <c r="C391" i="6"/>
  <c r="E391" i="6" s="1"/>
  <c r="G391" i="6" s="1"/>
  <c r="B391" i="6"/>
  <c r="A391" i="6"/>
  <c r="D390" i="6"/>
  <c r="C390" i="6"/>
  <c r="B390" i="6"/>
  <c r="A390" i="6"/>
  <c r="D389" i="6"/>
  <c r="C389" i="6"/>
  <c r="E389" i="6" s="1"/>
  <c r="G389" i="6" s="1"/>
  <c r="B389" i="6"/>
  <c r="A389" i="6"/>
  <c r="D388" i="6"/>
  <c r="C388" i="6"/>
  <c r="B388" i="6"/>
  <c r="A388" i="6"/>
  <c r="D387" i="6"/>
  <c r="C387" i="6"/>
  <c r="B387" i="6"/>
  <c r="A387" i="6"/>
  <c r="D386" i="6"/>
  <c r="C386" i="6"/>
  <c r="B386" i="6"/>
  <c r="A386" i="6"/>
  <c r="D385" i="6"/>
  <c r="C385" i="6"/>
  <c r="E385" i="6" s="1"/>
  <c r="G385" i="6" s="1"/>
  <c r="B385" i="6"/>
  <c r="A385" i="6"/>
  <c r="D384" i="6"/>
  <c r="E384" i="6" s="1"/>
  <c r="G384" i="6" s="1"/>
  <c r="C384" i="6"/>
  <c r="B384" i="6"/>
  <c r="A384" i="6"/>
  <c r="D383" i="6"/>
  <c r="C383" i="6"/>
  <c r="B383" i="6"/>
  <c r="A383" i="6"/>
  <c r="D382" i="6"/>
  <c r="C382" i="6"/>
  <c r="B382" i="6"/>
  <c r="A382" i="6"/>
  <c r="D381" i="6"/>
  <c r="C381" i="6"/>
  <c r="B381" i="6"/>
  <c r="A381" i="6"/>
  <c r="D380" i="6"/>
  <c r="C380" i="6"/>
  <c r="E380" i="6" s="1"/>
  <c r="G380" i="6" s="1"/>
  <c r="B380" i="6"/>
  <c r="A380" i="6"/>
  <c r="E379" i="6"/>
  <c r="G379" i="6" s="1"/>
  <c r="D379" i="6"/>
  <c r="C379" i="6"/>
  <c r="B379" i="6"/>
  <c r="A379" i="6"/>
  <c r="D378" i="6"/>
  <c r="C378" i="6"/>
  <c r="B378" i="6"/>
  <c r="A378" i="6"/>
  <c r="D377" i="6"/>
  <c r="E377" i="6" s="1"/>
  <c r="G377" i="6" s="1"/>
  <c r="C377" i="6"/>
  <c r="B377" i="6"/>
  <c r="A377" i="6"/>
  <c r="D376" i="6"/>
  <c r="C376" i="6"/>
  <c r="E376" i="6" s="1"/>
  <c r="G376" i="6" s="1"/>
  <c r="B376" i="6"/>
  <c r="A376" i="6"/>
  <c r="D375" i="6"/>
  <c r="C375" i="6"/>
  <c r="B375" i="6"/>
  <c r="A375" i="6"/>
  <c r="D374" i="6"/>
  <c r="C374" i="6"/>
  <c r="B374" i="6"/>
  <c r="A374" i="6"/>
  <c r="D373" i="6"/>
  <c r="C373" i="6"/>
  <c r="B373" i="6"/>
  <c r="A373" i="6"/>
  <c r="D372" i="6"/>
  <c r="C372" i="6"/>
  <c r="E372" i="6" s="1"/>
  <c r="G372" i="6" s="1"/>
  <c r="B372" i="6"/>
  <c r="A372" i="6"/>
  <c r="D371" i="6"/>
  <c r="C371" i="6"/>
  <c r="E371" i="6" s="1"/>
  <c r="G371" i="6" s="1"/>
  <c r="B371" i="6"/>
  <c r="A371" i="6"/>
  <c r="D370" i="6"/>
  <c r="E370" i="6" s="1"/>
  <c r="G370" i="6" s="1"/>
  <c r="C370" i="6"/>
  <c r="B370" i="6"/>
  <c r="A370" i="6"/>
  <c r="D369" i="6"/>
  <c r="C369" i="6"/>
  <c r="E369" i="6" s="1"/>
  <c r="G369" i="6" s="1"/>
  <c r="B369" i="6"/>
  <c r="A369" i="6"/>
  <c r="D368" i="6"/>
  <c r="C368" i="6"/>
  <c r="E368" i="6" s="1"/>
  <c r="G368" i="6" s="1"/>
  <c r="B368" i="6"/>
  <c r="A368" i="6"/>
  <c r="D367" i="6"/>
  <c r="C367" i="6"/>
  <c r="B367" i="6"/>
  <c r="A367" i="6"/>
  <c r="D366" i="6"/>
  <c r="C366" i="6"/>
  <c r="E366" i="6" s="1"/>
  <c r="G366" i="6" s="1"/>
  <c r="B366" i="6"/>
  <c r="A366" i="6"/>
  <c r="E365" i="6"/>
  <c r="G365" i="6" s="1"/>
  <c r="D365" i="6"/>
  <c r="C365" i="6"/>
  <c r="B365" i="6"/>
  <c r="A365" i="6"/>
  <c r="D364" i="6"/>
  <c r="C364" i="6"/>
  <c r="E364" i="6" s="1"/>
  <c r="G364" i="6" s="1"/>
  <c r="B364" i="6"/>
  <c r="A364" i="6"/>
  <c r="D363" i="6"/>
  <c r="E363" i="6" s="1"/>
  <c r="G363" i="6" s="1"/>
  <c r="C363" i="6"/>
  <c r="B363" i="6"/>
  <c r="A363" i="6"/>
  <c r="D362" i="6"/>
  <c r="C362" i="6"/>
  <c r="E362" i="6" s="1"/>
  <c r="G362" i="6" s="1"/>
  <c r="B362" i="6"/>
  <c r="A362" i="6"/>
  <c r="D361" i="6"/>
  <c r="C361" i="6"/>
  <c r="B361" i="6"/>
  <c r="A361" i="6"/>
  <c r="D360" i="6"/>
  <c r="C360" i="6"/>
  <c r="E360" i="6" s="1"/>
  <c r="G360" i="6" s="1"/>
  <c r="B360" i="6"/>
  <c r="A360" i="6"/>
  <c r="D359" i="6"/>
  <c r="C359" i="6"/>
  <c r="B359" i="6"/>
  <c r="A359" i="6"/>
  <c r="D358" i="6"/>
  <c r="E358" i="6" s="1"/>
  <c r="G358" i="6" s="1"/>
  <c r="C358" i="6"/>
  <c r="B358" i="6"/>
  <c r="A358" i="6"/>
  <c r="D357" i="6"/>
  <c r="E357" i="6" s="1"/>
  <c r="G357" i="6" s="1"/>
  <c r="C357" i="6"/>
  <c r="B357" i="6"/>
  <c r="A357" i="6"/>
  <c r="D356" i="6"/>
  <c r="C356" i="6"/>
  <c r="B356" i="6"/>
  <c r="A356" i="6"/>
  <c r="D355" i="6"/>
  <c r="C355" i="6"/>
  <c r="E355" i="6" s="1"/>
  <c r="G355" i="6" s="1"/>
  <c r="B355" i="6"/>
  <c r="A355" i="6"/>
  <c r="D354" i="6"/>
  <c r="C354" i="6"/>
  <c r="E354" i="6" s="1"/>
  <c r="G354" i="6" s="1"/>
  <c r="B354" i="6"/>
  <c r="A354" i="6"/>
  <c r="D353" i="6"/>
  <c r="C353" i="6"/>
  <c r="E353" i="6" s="1"/>
  <c r="G353" i="6" s="1"/>
  <c r="B353" i="6"/>
  <c r="A353" i="6"/>
  <c r="D352" i="6"/>
  <c r="C352" i="6"/>
  <c r="E352" i="6" s="1"/>
  <c r="G352" i="6" s="1"/>
  <c r="B352" i="6"/>
  <c r="A352" i="6"/>
  <c r="D351" i="6"/>
  <c r="C351" i="6"/>
  <c r="B351" i="6"/>
  <c r="A351" i="6"/>
  <c r="D350" i="6"/>
  <c r="E350" i="6" s="1"/>
  <c r="G350" i="6" s="1"/>
  <c r="C350" i="6"/>
  <c r="B350" i="6"/>
  <c r="A350" i="6"/>
  <c r="D349" i="6"/>
  <c r="C349" i="6"/>
  <c r="B349" i="6"/>
  <c r="A349" i="6"/>
  <c r="D348" i="6"/>
  <c r="C348" i="6"/>
  <c r="E348" i="6" s="1"/>
  <c r="G348" i="6" s="1"/>
  <c r="B348" i="6"/>
  <c r="A348" i="6"/>
  <c r="D347" i="6"/>
  <c r="C347" i="6"/>
  <c r="B347" i="6"/>
  <c r="A347" i="6"/>
  <c r="D346" i="6"/>
  <c r="C346" i="6"/>
  <c r="B346" i="6"/>
  <c r="A346" i="6"/>
  <c r="D345" i="6"/>
  <c r="C345" i="6"/>
  <c r="E345" i="6" s="1"/>
  <c r="G345" i="6" s="1"/>
  <c r="B345" i="6"/>
  <c r="A345" i="6"/>
  <c r="D344" i="6"/>
  <c r="C344" i="6"/>
  <c r="E344" i="6" s="1"/>
  <c r="G344" i="6" s="1"/>
  <c r="B344" i="6"/>
  <c r="A344" i="6"/>
  <c r="D343" i="6"/>
  <c r="C343" i="6"/>
  <c r="E343" i="6" s="1"/>
  <c r="G343" i="6" s="1"/>
  <c r="B343" i="6"/>
  <c r="A343" i="6"/>
  <c r="D342" i="6"/>
  <c r="C342" i="6"/>
  <c r="B342" i="6"/>
  <c r="A342" i="6"/>
  <c r="D341" i="6"/>
  <c r="C341" i="6"/>
  <c r="E341" i="6" s="1"/>
  <c r="G341" i="6" s="1"/>
  <c r="B341" i="6"/>
  <c r="A341" i="6"/>
  <c r="D340" i="6"/>
  <c r="C340" i="6"/>
  <c r="B340" i="6"/>
  <c r="A340" i="6"/>
  <c r="D339" i="6"/>
  <c r="C339" i="6"/>
  <c r="E339" i="6" s="1"/>
  <c r="G339" i="6" s="1"/>
  <c r="B339" i="6"/>
  <c r="A339" i="6"/>
  <c r="D338" i="6"/>
  <c r="E338" i="6" s="1"/>
  <c r="G338" i="6" s="1"/>
  <c r="C338" i="6"/>
  <c r="B338" i="6"/>
  <c r="A338" i="6"/>
  <c r="D337" i="6"/>
  <c r="C337" i="6"/>
  <c r="B337" i="6"/>
  <c r="A337" i="6"/>
  <c r="D336" i="6"/>
  <c r="E336" i="6" s="1"/>
  <c r="G336" i="6" s="1"/>
  <c r="C336" i="6"/>
  <c r="B336" i="6"/>
  <c r="A336" i="6"/>
  <c r="D335" i="6"/>
  <c r="C335" i="6"/>
  <c r="B335" i="6"/>
  <c r="A335" i="6"/>
  <c r="D334" i="6"/>
  <c r="C334" i="6"/>
  <c r="B334" i="6"/>
  <c r="A334" i="6"/>
  <c r="D333" i="6"/>
  <c r="C333" i="6"/>
  <c r="E333" i="6" s="1"/>
  <c r="G333" i="6" s="1"/>
  <c r="B333" i="6"/>
  <c r="A333" i="6"/>
  <c r="D332" i="6"/>
  <c r="C332" i="6"/>
  <c r="E332" i="6" s="1"/>
  <c r="G332" i="6" s="1"/>
  <c r="B332" i="6"/>
  <c r="A332" i="6"/>
  <c r="D331" i="6"/>
  <c r="E331" i="6" s="1"/>
  <c r="G331" i="6" s="1"/>
  <c r="C331" i="6"/>
  <c r="B331" i="6"/>
  <c r="A331" i="6"/>
  <c r="D330" i="6"/>
  <c r="C330" i="6"/>
  <c r="E330" i="6" s="1"/>
  <c r="G330" i="6" s="1"/>
  <c r="B330" i="6"/>
  <c r="A330" i="6"/>
  <c r="D329" i="6"/>
  <c r="C329" i="6"/>
  <c r="B329" i="6"/>
  <c r="A329" i="6"/>
  <c r="D328" i="6"/>
  <c r="E328" i="6" s="1"/>
  <c r="G328" i="6" s="1"/>
  <c r="C328" i="6"/>
  <c r="B328" i="6"/>
  <c r="A328" i="6"/>
  <c r="D327" i="6"/>
  <c r="C327" i="6"/>
  <c r="E327" i="6" s="1"/>
  <c r="G327" i="6" s="1"/>
  <c r="B327" i="6"/>
  <c r="A327" i="6"/>
  <c r="D326" i="6"/>
  <c r="C326" i="6"/>
  <c r="E326" i="6" s="1"/>
  <c r="G326" i="6" s="1"/>
  <c r="B326" i="6"/>
  <c r="A326" i="6"/>
  <c r="D325" i="6"/>
  <c r="C325" i="6"/>
  <c r="E325" i="6" s="1"/>
  <c r="G325" i="6" s="1"/>
  <c r="B325" i="6"/>
  <c r="A325" i="6"/>
  <c r="E324" i="6"/>
  <c r="G324" i="6" s="1"/>
  <c r="D324" i="6"/>
  <c r="C324" i="6"/>
  <c r="B324" i="6"/>
  <c r="A324" i="6"/>
  <c r="D323" i="6"/>
  <c r="C323" i="6"/>
  <c r="B323" i="6"/>
  <c r="A323" i="6"/>
  <c r="D322" i="6"/>
  <c r="C322" i="6"/>
  <c r="E322" i="6" s="1"/>
  <c r="G322" i="6" s="1"/>
  <c r="B322" i="6"/>
  <c r="A322" i="6"/>
  <c r="E321" i="6"/>
  <c r="G321" i="6" s="1"/>
  <c r="D321" i="6"/>
  <c r="C321" i="6"/>
  <c r="B321" i="6"/>
  <c r="A321" i="6"/>
  <c r="D320" i="6"/>
  <c r="C320" i="6"/>
  <c r="B320" i="6"/>
  <c r="A320" i="6"/>
  <c r="D319" i="6"/>
  <c r="C319" i="6"/>
  <c r="B319" i="6"/>
  <c r="A319" i="6"/>
  <c r="D318" i="6"/>
  <c r="C318" i="6"/>
  <c r="E318" i="6" s="1"/>
  <c r="G318" i="6" s="1"/>
  <c r="B318" i="6"/>
  <c r="A318" i="6"/>
  <c r="D317" i="6"/>
  <c r="C317" i="6"/>
  <c r="B317" i="6"/>
  <c r="A317" i="6"/>
  <c r="D316" i="6"/>
  <c r="E316" i="6" s="1"/>
  <c r="G316" i="6" s="1"/>
  <c r="C316" i="6"/>
  <c r="B316" i="6"/>
  <c r="A316" i="6"/>
  <c r="D315" i="6"/>
  <c r="C315" i="6"/>
  <c r="B315" i="6"/>
  <c r="A315" i="6"/>
  <c r="D314" i="6"/>
  <c r="C314" i="6"/>
  <c r="E314" i="6" s="1"/>
  <c r="G314" i="6" s="1"/>
  <c r="B314" i="6"/>
  <c r="A314" i="6"/>
  <c r="D313" i="6"/>
  <c r="C313" i="6"/>
  <c r="E313" i="6" s="1"/>
  <c r="G313" i="6" s="1"/>
  <c r="B313" i="6"/>
  <c r="A313" i="6"/>
  <c r="D312" i="6"/>
  <c r="E312" i="6" s="1"/>
  <c r="G312" i="6" s="1"/>
  <c r="C312" i="6"/>
  <c r="B312" i="6"/>
  <c r="A312" i="6"/>
  <c r="D311" i="6"/>
  <c r="C311" i="6"/>
  <c r="E311" i="6" s="1"/>
  <c r="G311" i="6" s="1"/>
  <c r="B311" i="6"/>
  <c r="A311" i="6"/>
  <c r="D310" i="6"/>
  <c r="C310" i="6"/>
  <c r="E310" i="6" s="1"/>
  <c r="G310" i="6" s="1"/>
  <c r="B310" i="6"/>
  <c r="A310" i="6"/>
  <c r="E309" i="6"/>
  <c r="G309" i="6" s="1"/>
  <c r="D309" i="6"/>
  <c r="C309" i="6"/>
  <c r="B309" i="6"/>
  <c r="A309" i="6"/>
  <c r="D308" i="6"/>
  <c r="C308" i="6"/>
  <c r="B308" i="6"/>
  <c r="A308" i="6"/>
  <c r="D307" i="6"/>
  <c r="C307" i="6"/>
  <c r="E307" i="6" s="1"/>
  <c r="G307" i="6" s="1"/>
  <c r="B307" i="6"/>
  <c r="A307" i="6"/>
  <c r="D306" i="6"/>
  <c r="C306" i="6"/>
  <c r="E306" i="6" s="1"/>
  <c r="G306" i="6" s="1"/>
  <c r="B306" i="6"/>
  <c r="A306" i="6"/>
  <c r="E305" i="6"/>
  <c r="G305" i="6" s="1"/>
  <c r="D305" i="6"/>
  <c r="C305" i="6"/>
  <c r="B305" i="6"/>
  <c r="A305" i="6"/>
  <c r="D304" i="6"/>
  <c r="C304" i="6"/>
  <c r="E304" i="6" s="1"/>
  <c r="G304" i="6" s="1"/>
  <c r="B304" i="6"/>
  <c r="A304" i="6"/>
  <c r="D303" i="6"/>
  <c r="C303" i="6"/>
  <c r="B303" i="6"/>
  <c r="A303" i="6"/>
  <c r="D302" i="6"/>
  <c r="C302" i="6"/>
  <c r="B302" i="6"/>
  <c r="A302" i="6"/>
  <c r="D301" i="6"/>
  <c r="C301" i="6"/>
  <c r="E301" i="6" s="1"/>
  <c r="G301" i="6" s="1"/>
  <c r="B301" i="6"/>
  <c r="A301" i="6"/>
  <c r="D300" i="6"/>
  <c r="E300" i="6" s="1"/>
  <c r="G300" i="6" s="1"/>
  <c r="C300" i="6"/>
  <c r="B300" i="6"/>
  <c r="A300" i="6"/>
  <c r="D299" i="6"/>
  <c r="C299" i="6"/>
  <c r="B299" i="6"/>
  <c r="A299" i="6"/>
  <c r="D298" i="6"/>
  <c r="C298" i="6"/>
  <c r="E298" i="6" s="1"/>
  <c r="G298" i="6" s="1"/>
  <c r="B298" i="6"/>
  <c r="A298" i="6"/>
  <c r="D297" i="6"/>
  <c r="C297" i="6"/>
  <c r="B297" i="6"/>
  <c r="A297" i="6"/>
  <c r="D296" i="6"/>
  <c r="C296" i="6"/>
  <c r="E296" i="6" s="1"/>
  <c r="G296" i="6" s="1"/>
  <c r="B296" i="6"/>
  <c r="A296" i="6"/>
  <c r="D295" i="6"/>
  <c r="C295" i="6"/>
  <c r="E295" i="6" s="1"/>
  <c r="G295" i="6" s="1"/>
  <c r="B295" i="6"/>
  <c r="A295" i="6"/>
  <c r="D294" i="6"/>
  <c r="C294" i="6"/>
  <c r="E294" i="6" s="1"/>
  <c r="G294" i="6" s="1"/>
  <c r="B294" i="6"/>
  <c r="A294" i="6"/>
  <c r="D293" i="6"/>
  <c r="C293" i="6"/>
  <c r="E293" i="6" s="1"/>
  <c r="G293" i="6" s="1"/>
  <c r="B293" i="6"/>
  <c r="A293" i="6"/>
  <c r="D292" i="6"/>
  <c r="C292" i="6"/>
  <c r="B292" i="6"/>
  <c r="A292" i="6"/>
  <c r="D291" i="6"/>
  <c r="C291" i="6"/>
  <c r="E291" i="6" s="1"/>
  <c r="G291" i="6" s="1"/>
  <c r="B291" i="6"/>
  <c r="A291" i="6"/>
  <c r="D290" i="6"/>
  <c r="C290" i="6"/>
  <c r="E290" i="6" s="1"/>
  <c r="G290" i="6" s="1"/>
  <c r="B290" i="6"/>
  <c r="A290" i="6"/>
  <c r="D289" i="6"/>
  <c r="C289" i="6"/>
  <c r="B289" i="6"/>
  <c r="A289" i="6"/>
  <c r="D288" i="6"/>
  <c r="E288" i="6" s="1"/>
  <c r="G288" i="6" s="1"/>
  <c r="C288" i="6"/>
  <c r="B288" i="6"/>
  <c r="A288" i="6"/>
  <c r="D287" i="6"/>
  <c r="C287" i="6"/>
  <c r="B287" i="6"/>
  <c r="A287" i="6"/>
  <c r="D286" i="6"/>
  <c r="C286" i="6"/>
  <c r="B286" i="6"/>
  <c r="A286" i="6"/>
  <c r="D285" i="6"/>
  <c r="C285" i="6"/>
  <c r="B285" i="6"/>
  <c r="A285" i="6"/>
  <c r="D284" i="6"/>
  <c r="C284" i="6"/>
  <c r="B284" i="6"/>
  <c r="A284" i="6"/>
  <c r="D283" i="6"/>
  <c r="C283" i="6"/>
  <c r="E283" i="6" s="1"/>
  <c r="G283" i="6" s="1"/>
  <c r="B283" i="6"/>
  <c r="A283" i="6"/>
  <c r="D282" i="6"/>
  <c r="C282" i="6"/>
  <c r="B282" i="6"/>
  <c r="A282" i="6"/>
  <c r="D281" i="6"/>
  <c r="C281" i="6"/>
  <c r="B281" i="6"/>
  <c r="A281" i="6"/>
  <c r="D280" i="6"/>
  <c r="C280" i="6"/>
  <c r="E280" i="6" s="1"/>
  <c r="G280" i="6" s="1"/>
  <c r="B280" i="6"/>
  <c r="A280" i="6"/>
  <c r="D279" i="6"/>
  <c r="C279" i="6"/>
  <c r="B279" i="6"/>
  <c r="A279" i="6"/>
  <c r="D278" i="6"/>
  <c r="E278" i="6" s="1"/>
  <c r="G278" i="6" s="1"/>
  <c r="C278" i="6"/>
  <c r="B278" i="6"/>
  <c r="A278" i="6"/>
  <c r="D277" i="6"/>
  <c r="C277" i="6"/>
  <c r="E277" i="6" s="1"/>
  <c r="G277" i="6" s="1"/>
  <c r="B277" i="6"/>
  <c r="A277" i="6"/>
  <c r="D276" i="6"/>
  <c r="C276" i="6"/>
  <c r="B276" i="6"/>
  <c r="A276" i="6"/>
  <c r="D275" i="6"/>
  <c r="C275" i="6"/>
  <c r="B275" i="6"/>
  <c r="A275" i="6"/>
  <c r="D274" i="6"/>
  <c r="C274" i="6"/>
  <c r="B274" i="6"/>
  <c r="A274" i="6"/>
  <c r="D273" i="6"/>
  <c r="E273" i="6" s="1"/>
  <c r="G273" i="6" s="1"/>
  <c r="C273" i="6"/>
  <c r="B273" i="6"/>
  <c r="A273" i="6"/>
  <c r="D272" i="6"/>
  <c r="C272" i="6"/>
  <c r="E272" i="6" s="1"/>
  <c r="G272" i="6" s="1"/>
  <c r="B272" i="6"/>
  <c r="A272" i="6"/>
  <c r="D271" i="6"/>
  <c r="C271" i="6"/>
  <c r="E271" i="6" s="1"/>
  <c r="G271" i="6" s="1"/>
  <c r="B271" i="6"/>
  <c r="A271" i="6"/>
  <c r="D270" i="6"/>
  <c r="C270" i="6"/>
  <c r="B270" i="6"/>
  <c r="A270" i="6"/>
  <c r="D269" i="6"/>
  <c r="E269" i="6" s="1"/>
  <c r="G269" i="6" s="1"/>
  <c r="C269" i="6"/>
  <c r="B269" i="6"/>
  <c r="A269" i="6"/>
  <c r="D268" i="6"/>
  <c r="C268" i="6"/>
  <c r="E268" i="6" s="1"/>
  <c r="G268" i="6" s="1"/>
  <c r="B268" i="6"/>
  <c r="A268" i="6"/>
  <c r="D267" i="6"/>
  <c r="C267" i="6"/>
  <c r="E267" i="6" s="1"/>
  <c r="G267" i="6" s="1"/>
  <c r="B267" i="6"/>
  <c r="A267" i="6"/>
  <c r="D266" i="6"/>
  <c r="E266" i="6" s="1"/>
  <c r="G266" i="6" s="1"/>
  <c r="C266" i="6"/>
  <c r="B266" i="6"/>
  <c r="A266" i="6"/>
  <c r="D265" i="6"/>
  <c r="C265" i="6"/>
  <c r="E265" i="6" s="1"/>
  <c r="G265" i="6" s="1"/>
  <c r="B265" i="6"/>
  <c r="A265" i="6"/>
  <c r="D264" i="6"/>
  <c r="C264" i="6"/>
  <c r="E264" i="6" s="1"/>
  <c r="G264" i="6" s="1"/>
  <c r="B264" i="6"/>
  <c r="A264" i="6"/>
  <c r="D263" i="6"/>
  <c r="C263" i="6"/>
  <c r="E263" i="6" s="1"/>
  <c r="G263" i="6" s="1"/>
  <c r="B263" i="6"/>
  <c r="A263" i="6"/>
  <c r="D262" i="6"/>
  <c r="E262" i="6" s="1"/>
  <c r="G262" i="6" s="1"/>
  <c r="C262" i="6"/>
  <c r="B262" i="6"/>
  <c r="A262" i="6"/>
  <c r="D261" i="6"/>
  <c r="C261" i="6"/>
  <c r="E261" i="6" s="1"/>
  <c r="G261" i="6" s="1"/>
  <c r="B261" i="6"/>
  <c r="A261" i="6"/>
  <c r="D260" i="6"/>
  <c r="C260" i="6"/>
  <c r="B260" i="6"/>
  <c r="A260" i="6"/>
  <c r="D259" i="6"/>
  <c r="E259" i="6" s="1"/>
  <c r="G259" i="6" s="1"/>
  <c r="C259" i="6"/>
  <c r="B259" i="6"/>
  <c r="A259" i="6"/>
  <c r="D258" i="6"/>
  <c r="C258" i="6"/>
  <c r="E258" i="6" s="1"/>
  <c r="G258" i="6" s="1"/>
  <c r="B258" i="6"/>
  <c r="A258" i="6"/>
  <c r="D257" i="6"/>
  <c r="C257" i="6"/>
  <c r="E257" i="6" s="1"/>
  <c r="G257" i="6" s="1"/>
  <c r="B257" i="6"/>
  <c r="A257" i="6"/>
  <c r="D256" i="6"/>
  <c r="C256" i="6"/>
  <c r="E256" i="6" s="1"/>
  <c r="G256" i="6" s="1"/>
  <c r="B256" i="6"/>
  <c r="A256" i="6"/>
  <c r="E255" i="6"/>
  <c r="G255" i="6" s="1"/>
  <c r="D255" i="6"/>
  <c r="C255" i="6"/>
  <c r="B255" i="6"/>
  <c r="A255" i="6"/>
  <c r="D254" i="6"/>
  <c r="C254" i="6"/>
  <c r="E254" i="6" s="1"/>
  <c r="G254" i="6" s="1"/>
  <c r="B254" i="6"/>
  <c r="A254" i="6"/>
  <c r="D253" i="6"/>
  <c r="C253" i="6"/>
  <c r="B253" i="6"/>
  <c r="A253" i="6"/>
  <c r="D252" i="6"/>
  <c r="E252" i="6" s="1"/>
  <c r="G252" i="6" s="1"/>
  <c r="C252" i="6"/>
  <c r="B252" i="6"/>
  <c r="A252" i="6"/>
  <c r="D251" i="6"/>
  <c r="C251" i="6"/>
  <c r="E251" i="6" s="1"/>
  <c r="G251" i="6" s="1"/>
  <c r="B251" i="6"/>
  <c r="A251" i="6"/>
  <c r="D250" i="6"/>
  <c r="C250" i="6"/>
  <c r="B250" i="6"/>
  <c r="A250" i="6"/>
  <c r="D249" i="6"/>
  <c r="C249" i="6"/>
  <c r="E249" i="6" s="1"/>
  <c r="G249" i="6" s="1"/>
  <c r="B249" i="6"/>
  <c r="A249" i="6"/>
  <c r="D248" i="6"/>
  <c r="C248" i="6"/>
  <c r="E248" i="6" s="1"/>
  <c r="G248" i="6" s="1"/>
  <c r="B248" i="6"/>
  <c r="A248" i="6"/>
  <c r="D247" i="6"/>
  <c r="E247" i="6" s="1"/>
  <c r="G247" i="6" s="1"/>
  <c r="C247" i="6"/>
  <c r="B247" i="6"/>
  <c r="A247" i="6"/>
  <c r="D246" i="6"/>
  <c r="C246" i="6"/>
  <c r="E246" i="6" s="1"/>
  <c r="G246" i="6" s="1"/>
  <c r="B246" i="6"/>
  <c r="A246" i="6"/>
  <c r="D245" i="6"/>
  <c r="C245" i="6"/>
  <c r="B245" i="6"/>
  <c r="A245" i="6"/>
  <c r="D244" i="6"/>
  <c r="C244" i="6"/>
  <c r="B244" i="6"/>
  <c r="A244" i="6"/>
  <c r="D243" i="6"/>
  <c r="C243" i="6"/>
  <c r="B243" i="6"/>
  <c r="A243" i="6"/>
  <c r="D242" i="6"/>
  <c r="C242" i="6"/>
  <c r="E242" i="6" s="1"/>
  <c r="G242" i="6" s="1"/>
  <c r="B242" i="6"/>
  <c r="A242" i="6"/>
  <c r="D241" i="6"/>
  <c r="C241" i="6"/>
  <c r="E241" i="6" s="1"/>
  <c r="G241" i="6" s="1"/>
  <c r="B241" i="6"/>
  <c r="A241" i="6"/>
  <c r="D240" i="6"/>
  <c r="C240" i="6"/>
  <c r="E240" i="6" s="1"/>
  <c r="G240" i="6" s="1"/>
  <c r="B240" i="6"/>
  <c r="A240" i="6"/>
  <c r="D239" i="6"/>
  <c r="C239" i="6"/>
  <c r="B239" i="6"/>
  <c r="A239" i="6"/>
  <c r="D238" i="6"/>
  <c r="E238" i="6" s="1"/>
  <c r="G238" i="6" s="1"/>
  <c r="C238" i="6"/>
  <c r="B238" i="6"/>
  <c r="A238" i="6"/>
  <c r="D237" i="6"/>
  <c r="C237" i="6"/>
  <c r="E237" i="6" s="1"/>
  <c r="G237" i="6" s="1"/>
  <c r="B237" i="6"/>
  <c r="A237" i="6"/>
  <c r="E236" i="6"/>
  <c r="G236" i="6" s="1"/>
  <c r="D236" i="6"/>
  <c r="C236" i="6"/>
  <c r="B236" i="6"/>
  <c r="A236" i="6"/>
  <c r="D235" i="6"/>
  <c r="C235" i="6"/>
  <c r="B235" i="6"/>
  <c r="A235" i="6"/>
  <c r="D234" i="6"/>
  <c r="C234" i="6"/>
  <c r="E234" i="6" s="1"/>
  <c r="G234" i="6" s="1"/>
  <c r="B234" i="6"/>
  <c r="A234" i="6"/>
  <c r="D233" i="6"/>
  <c r="C233" i="6"/>
  <c r="E233" i="6" s="1"/>
  <c r="G233" i="6" s="1"/>
  <c r="B233" i="6"/>
  <c r="A233" i="6"/>
  <c r="D232" i="6"/>
  <c r="C232" i="6"/>
  <c r="B232" i="6"/>
  <c r="A232" i="6"/>
  <c r="D231" i="6"/>
  <c r="E231" i="6" s="1"/>
  <c r="G231" i="6" s="1"/>
  <c r="C231" i="6"/>
  <c r="B231" i="6"/>
  <c r="A231" i="6"/>
  <c r="D230" i="6"/>
  <c r="C230" i="6"/>
  <c r="B230" i="6"/>
  <c r="A230" i="6"/>
  <c r="D229" i="6"/>
  <c r="C229" i="6"/>
  <c r="E229" i="6" s="1"/>
  <c r="G229" i="6" s="1"/>
  <c r="B229" i="6"/>
  <c r="A229" i="6"/>
  <c r="D228" i="6"/>
  <c r="E228" i="6" s="1"/>
  <c r="G228" i="6" s="1"/>
  <c r="C228" i="6"/>
  <c r="B228" i="6"/>
  <c r="A228" i="6"/>
  <c r="D227" i="6"/>
  <c r="C227" i="6"/>
  <c r="E227" i="6" s="1"/>
  <c r="G227" i="6" s="1"/>
  <c r="B227" i="6"/>
  <c r="A227" i="6"/>
  <c r="D226" i="6"/>
  <c r="C226" i="6"/>
  <c r="B226" i="6"/>
  <c r="A226" i="6"/>
  <c r="D225" i="6"/>
  <c r="C225" i="6"/>
  <c r="B225" i="6"/>
  <c r="A225" i="6"/>
  <c r="D224" i="6"/>
  <c r="C224" i="6"/>
  <c r="B224" i="6"/>
  <c r="A224" i="6"/>
  <c r="D223" i="6"/>
  <c r="E223" i="6" s="1"/>
  <c r="G223" i="6" s="1"/>
  <c r="C223" i="6"/>
  <c r="B223" i="6"/>
  <c r="A223" i="6"/>
  <c r="D222" i="6"/>
  <c r="C222" i="6"/>
  <c r="B222" i="6"/>
  <c r="A222" i="6"/>
  <c r="D221" i="6"/>
  <c r="E221" i="6" s="1"/>
  <c r="G221" i="6" s="1"/>
  <c r="C221" i="6"/>
  <c r="B221" i="6"/>
  <c r="A221" i="6"/>
  <c r="D220" i="6"/>
  <c r="C220" i="6"/>
  <c r="E220" i="6" s="1"/>
  <c r="G220" i="6" s="1"/>
  <c r="B220" i="6"/>
  <c r="A220" i="6"/>
  <c r="D219" i="6"/>
  <c r="C219" i="6"/>
  <c r="B219" i="6"/>
  <c r="A219" i="6"/>
  <c r="D218" i="6"/>
  <c r="C218" i="6"/>
  <c r="E218" i="6" s="1"/>
  <c r="G218" i="6" s="1"/>
  <c r="B218" i="6"/>
  <c r="A218" i="6"/>
  <c r="D217" i="6"/>
  <c r="C217" i="6"/>
  <c r="E217" i="6" s="1"/>
  <c r="G217" i="6" s="1"/>
  <c r="B217" i="6"/>
  <c r="A217" i="6"/>
  <c r="D216" i="6"/>
  <c r="C216" i="6"/>
  <c r="B216" i="6"/>
  <c r="A216" i="6"/>
  <c r="D215" i="6"/>
  <c r="C215" i="6"/>
  <c r="E215" i="6" s="1"/>
  <c r="G215" i="6" s="1"/>
  <c r="B215" i="6"/>
  <c r="A215" i="6"/>
  <c r="D214" i="6"/>
  <c r="C214" i="6"/>
  <c r="B214" i="6"/>
  <c r="A214" i="6"/>
  <c r="D213" i="6"/>
  <c r="E213" i="6" s="1"/>
  <c r="G213" i="6" s="1"/>
  <c r="C213" i="6"/>
  <c r="B213" i="6"/>
  <c r="A213" i="6"/>
  <c r="D212" i="6"/>
  <c r="C212" i="6"/>
  <c r="B212" i="6"/>
  <c r="A212" i="6"/>
  <c r="D211" i="6"/>
  <c r="C211" i="6"/>
  <c r="E211" i="6" s="1"/>
  <c r="G211" i="6" s="1"/>
  <c r="B211" i="6"/>
  <c r="A211" i="6"/>
  <c r="D210" i="6"/>
  <c r="C210" i="6"/>
  <c r="B210" i="6"/>
  <c r="A210" i="6"/>
  <c r="D209" i="6"/>
  <c r="C209" i="6"/>
  <c r="B209" i="6"/>
  <c r="A209" i="6"/>
  <c r="D208" i="6"/>
  <c r="C208" i="6"/>
  <c r="E208" i="6" s="1"/>
  <c r="G208" i="6" s="1"/>
  <c r="B208" i="6"/>
  <c r="A208" i="6"/>
  <c r="D207" i="6"/>
  <c r="C207" i="6"/>
  <c r="B207" i="6"/>
  <c r="A207" i="6"/>
  <c r="D206" i="6"/>
  <c r="C206" i="6"/>
  <c r="B206" i="6"/>
  <c r="A206" i="6"/>
  <c r="D205" i="6"/>
  <c r="C205" i="6"/>
  <c r="B205" i="6"/>
  <c r="A205" i="6"/>
  <c r="D204" i="6"/>
  <c r="C204" i="6"/>
  <c r="B204" i="6"/>
  <c r="A204" i="6"/>
  <c r="D203" i="6"/>
  <c r="C203" i="6"/>
  <c r="E203" i="6" s="1"/>
  <c r="G203" i="6" s="1"/>
  <c r="B203" i="6"/>
  <c r="A203" i="6"/>
  <c r="D202" i="6"/>
  <c r="C202" i="6"/>
  <c r="B202" i="6"/>
  <c r="A202" i="6"/>
  <c r="D201" i="6"/>
  <c r="C201" i="6"/>
  <c r="E201" i="6" s="1"/>
  <c r="G201" i="6" s="1"/>
  <c r="B201" i="6"/>
  <c r="A201" i="6"/>
  <c r="D200" i="6"/>
  <c r="C200" i="6"/>
  <c r="B200" i="6"/>
  <c r="A200" i="6"/>
  <c r="D199" i="6"/>
  <c r="C199" i="6"/>
  <c r="E199" i="6" s="1"/>
  <c r="G199" i="6" s="1"/>
  <c r="B199" i="6"/>
  <c r="A199" i="6"/>
  <c r="D198" i="6"/>
  <c r="C198" i="6"/>
  <c r="B198" i="6"/>
  <c r="A198" i="6"/>
  <c r="D197" i="6"/>
  <c r="C197" i="6"/>
  <c r="B197" i="6"/>
  <c r="A197" i="6"/>
  <c r="D196" i="6"/>
  <c r="C196" i="6"/>
  <c r="E196" i="6" s="1"/>
  <c r="G196" i="6" s="1"/>
  <c r="B196" i="6"/>
  <c r="A196" i="6"/>
  <c r="D195" i="6"/>
  <c r="C195" i="6"/>
  <c r="B195" i="6"/>
  <c r="A195" i="6"/>
  <c r="D194" i="6"/>
  <c r="C194" i="6"/>
  <c r="B194" i="6"/>
  <c r="A194" i="6"/>
  <c r="D193" i="6"/>
  <c r="E193" i="6" s="1"/>
  <c r="G193" i="6" s="1"/>
  <c r="C193" i="6"/>
  <c r="B193" i="6"/>
  <c r="A193" i="6"/>
  <c r="D192" i="6"/>
  <c r="C192" i="6"/>
  <c r="E192" i="6" s="1"/>
  <c r="G192" i="6" s="1"/>
  <c r="B192" i="6"/>
  <c r="A192" i="6"/>
  <c r="D191" i="6"/>
  <c r="C191" i="6"/>
  <c r="B191" i="6"/>
  <c r="A191" i="6"/>
  <c r="D190" i="6"/>
  <c r="C190" i="6"/>
  <c r="B190" i="6"/>
  <c r="A190" i="6"/>
  <c r="D189" i="6"/>
  <c r="C189" i="6"/>
  <c r="E189" i="6" s="1"/>
  <c r="G189" i="6" s="1"/>
  <c r="B189" i="6"/>
  <c r="A189" i="6"/>
  <c r="D188" i="6"/>
  <c r="E188" i="6" s="1"/>
  <c r="G188" i="6" s="1"/>
  <c r="C188" i="6"/>
  <c r="B188" i="6"/>
  <c r="A188" i="6"/>
  <c r="D187" i="6"/>
  <c r="C187" i="6"/>
  <c r="E187" i="6" s="1"/>
  <c r="G187" i="6" s="1"/>
  <c r="B187" i="6"/>
  <c r="A187" i="6"/>
  <c r="E186" i="6"/>
  <c r="G186" i="6" s="1"/>
  <c r="D186" i="6"/>
  <c r="C186" i="6"/>
  <c r="B186" i="6"/>
  <c r="A186" i="6"/>
  <c r="D185" i="6"/>
  <c r="C185" i="6"/>
  <c r="B185" i="6"/>
  <c r="A185" i="6"/>
  <c r="D184" i="6"/>
  <c r="C184" i="6"/>
  <c r="E184" i="6" s="1"/>
  <c r="G184" i="6" s="1"/>
  <c r="B184" i="6"/>
  <c r="A184" i="6"/>
  <c r="D183" i="6"/>
  <c r="C183" i="6"/>
  <c r="B183" i="6"/>
  <c r="A183" i="6"/>
  <c r="D182" i="6"/>
  <c r="C182" i="6"/>
  <c r="E182" i="6" s="1"/>
  <c r="G182" i="6" s="1"/>
  <c r="B182" i="6"/>
  <c r="A182" i="6"/>
  <c r="D181" i="6"/>
  <c r="E181" i="6" s="1"/>
  <c r="G181" i="6" s="1"/>
  <c r="C181" i="6"/>
  <c r="B181" i="6"/>
  <c r="A181" i="6"/>
  <c r="D180" i="6"/>
  <c r="C180" i="6"/>
  <c r="B180" i="6"/>
  <c r="A180" i="6"/>
  <c r="D179" i="6"/>
  <c r="C179" i="6"/>
  <c r="E179" i="6" s="1"/>
  <c r="G179" i="6" s="1"/>
  <c r="B179" i="6"/>
  <c r="A179" i="6"/>
  <c r="D178" i="6"/>
  <c r="C178" i="6"/>
  <c r="E178" i="6" s="1"/>
  <c r="G178" i="6" s="1"/>
  <c r="B178" i="6"/>
  <c r="A178" i="6"/>
  <c r="D177" i="6"/>
  <c r="C177" i="6"/>
  <c r="B177" i="6"/>
  <c r="A177" i="6"/>
  <c r="D176" i="6"/>
  <c r="C176" i="6"/>
  <c r="E176" i="6" s="1"/>
  <c r="G176" i="6" s="1"/>
  <c r="B176" i="6"/>
  <c r="A176" i="6"/>
  <c r="D175" i="6"/>
  <c r="C175" i="6"/>
  <c r="B175" i="6"/>
  <c r="A175" i="6"/>
  <c r="D174" i="6"/>
  <c r="E174" i="6" s="1"/>
  <c r="G174" i="6" s="1"/>
  <c r="C174" i="6"/>
  <c r="B174" i="6"/>
  <c r="A174" i="6"/>
  <c r="D173" i="6"/>
  <c r="C173" i="6"/>
  <c r="B173" i="6"/>
  <c r="A173" i="6"/>
  <c r="D172" i="6"/>
  <c r="C172" i="6"/>
  <c r="B172" i="6"/>
  <c r="A172" i="6"/>
  <c r="D171" i="6"/>
  <c r="C171" i="6"/>
  <c r="B171" i="6"/>
  <c r="A171" i="6"/>
  <c r="D170" i="6"/>
  <c r="C170" i="6"/>
  <c r="E170" i="6" s="1"/>
  <c r="G170" i="6" s="1"/>
  <c r="B170" i="6"/>
  <c r="A170" i="6"/>
  <c r="E169" i="6"/>
  <c r="G169" i="6" s="1"/>
  <c r="D169" i="6"/>
  <c r="C169" i="6"/>
  <c r="B169" i="6"/>
  <c r="A169" i="6"/>
  <c r="D168" i="6"/>
  <c r="C168" i="6"/>
  <c r="B168" i="6"/>
  <c r="A168" i="6"/>
  <c r="D167" i="6"/>
  <c r="C167" i="6"/>
  <c r="B167" i="6"/>
  <c r="A167" i="6"/>
  <c r="D166" i="6"/>
  <c r="C166" i="6"/>
  <c r="B166" i="6"/>
  <c r="A166" i="6"/>
  <c r="D165" i="6"/>
  <c r="C165" i="6"/>
  <c r="E165" i="6" s="1"/>
  <c r="G165" i="6" s="1"/>
  <c r="B165" i="6"/>
  <c r="A165" i="6"/>
  <c r="D164" i="6"/>
  <c r="C164" i="6"/>
  <c r="B164" i="6"/>
  <c r="A164" i="6"/>
  <c r="D163" i="6"/>
  <c r="C163" i="6"/>
  <c r="B163" i="6"/>
  <c r="A163" i="6"/>
  <c r="D162" i="6"/>
  <c r="C162" i="6"/>
  <c r="B162" i="6"/>
  <c r="A162" i="6"/>
  <c r="D161" i="6"/>
  <c r="C161" i="6"/>
  <c r="B161" i="6"/>
  <c r="A161" i="6"/>
  <c r="D160" i="6"/>
  <c r="C160" i="6"/>
  <c r="E160" i="6" s="1"/>
  <c r="G160" i="6" s="1"/>
  <c r="B160" i="6"/>
  <c r="A160" i="6"/>
  <c r="D159" i="6"/>
  <c r="E159" i="6" s="1"/>
  <c r="G159" i="6" s="1"/>
  <c r="C159" i="6"/>
  <c r="B159" i="6"/>
  <c r="A159" i="6"/>
  <c r="D158" i="6"/>
  <c r="C158" i="6"/>
  <c r="E158" i="6" s="1"/>
  <c r="G158" i="6" s="1"/>
  <c r="B158" i="6"/>
  <c r="A158" i="6"/>
  <c r="D157" i="6"/>
  <c r="C157" i="6"/>
  <c r="B157" i="6"/>
  <c r="A157" i="6"/>
  <c r="D156" i="6"/>
  <c r="C156" i="6"/>
  <c r="B156" i="6"/>
  <c r="A156" i="6"/>
  <c r="D155" i="6"/>
  <c r="C155" i="6"/>
  <c r="B155" i="6"/>
  <c r="A155" i="6"/>
  <c r="D154" i="6"/>
  <c r="E154" i="6" s="1"/>
  <c r="G154" i="6" s="1"/>
  <c r="C154" i="6"/>
  <c r="B154" i="6"/>
  <c r="A154" i="6"/>
  <c r="D153" i="6"/>
  <c r="C153" i="6"/>
  <c r="E153" i="6" s="1"/>
  <c r="G153" i="6" s="1"/>
  <c r="B153" i="6"/>
  <c r="A153" i="6"/>
  <c r="D152" i="6"/>
  <c r="C152" i="6"/>
  <c r="E152" i="6" s="1"/>
  <c r="G152" i="6" s="1"/>
  <c r="B152" i="6"/>
  <c r="A152" i="6"/>
  <c r="D151" i="6"/>
  <c r="C151" i="6"/>
  <c r="B151" i="6"/>
  <c r="A151" i="6"/>
  <c r="D150" i="6"/>
  <c r="E150" i="6" s="1"/>
  <c r="G150" i="6" s="1"/>
  <c r="C150" i="6"/>
  <c r="B150" i="6"/>
  <c r="A150" i="6"/>
  <c r="D149" i="6"/>
  <c r="C149" i="6"/>
  <c r="E149" i="6" s="1"/>
  <c r="G149" i="6" s="1"/>
  <c r="B149" i="6"/>
  <c r="A149" i="6"/>
  <c r="D148" i="6"/>
  <c r="C148" i="6"/>
  <c r="B148" i="6"/>
  <c r="A148" i="6"/>
  <c r="D147" i="6"/>
  <c r="E147" i="6" s="1"/>
  <c r="G147" i="6" s="1"/>
  <c r="C147" i="6"/>
  <c r="B147" i="6"/>
  <c r="A147" i="6"/>
  <c r="D146" i="6"/>
  <c r="C146" i="6"/>
  <c r="B146" i="6"/>
  <c r="A146" i="6"/>
  <c r="D145" i="6"/>
  <c r="C145" i="6"/>
  <c r="E145" i="6" s="1"/>
  <c r="G145" i="6" s="1"/>
  <c r="B145" i="6"/>
  <c r="A145" i="6"/>
  <c r="D144" i="6"/>
  <c r="C144" i="6"/>
  <c r="B144" i="6"/>
  <c r="A144" i="6"/>
  <c r="D143" i="6"/>
  <c r="C143" i="6"/>
  <c r="B143" i="6"/>
  <c r="A143" i="6"/>
  <c r="D142" i="6"/>
  <c r="C142" i="6"/>
  <c r="E142" i="6" s="1"/>
  <c r="G142" i="6" s="1"/>
  <c r="B142" i="6"/>
  <c r="A142" i="6"/>
  <c r="D141" i="6"/>
  <c r="C141" i="6"/>
  <c r="B141" i="6"/>
  <c r="A141" i="6"/>
  <c r="D140" i="6"/>
  <c r="E140" i="6" s="1"/>
  <c r="G140" i="6" s="1"/>
  <c r="C140" i="6"/>
  <c r="B140" i="6"/>
  <c r="A140" i="6"/>
  <c r="D139" i="6"/>
  <c r="C139" i="6"/>
  <c r="E139" i="6" s="1"/>
  <c r="G139" i="6" s="1"/>
  <c r="B139" i="6"/>
  <c r="A139" i="6"/>
  <c r="D138" i="6"/>
  <c r="C138" i="6"/>
  <c r="B138" i="6"/>
  <c r="A138" i="6"/>
  <c r="D137" i="6"/>
  <c r="C137" i="6"/>
  <c r="E137" i="6" s="1"/>
  <c r="G137" i="6" s="1"/>
  <c r="B137" i="6"/>
  <c r="A137" i="6"/>
  <c r="D136" i="6"/>
  <c r="C136" i="6"/>
  <c r="E136" i="6" s="1"/>
  <c r="G136" i="6" s="1"/>
  <c r="B136" i="6"/>
  <c r="A136" i="6"/>
  <c r="E135" i="6"/>
  <c r="G135" i="6" s="1"/>
  <c r="D135" i="6"/>
  <c r="C135" i="6"/>
  <c r="B135" i="6"/>
  <c r="A135" i="6"/>
  <c r="D134" i="6"/>
  <c r="C134" i="6"/>
  <c r="B134" i="6"/>
  <c r="A134" i="6"/>
  <c r="D133" i="6"/>
  <c r="C133" i="6"/>
  <c r="B133" i="6"/>
  <c r="A133" i="6"/>
  <c r="D132" i="6"/>
  <c r="C132" i="6"/>
  <c r="B132" i="6"/>
  <c r="A132" i="6"/>
  <c r="D131" i="6"/>
  <c r="C131" i="6"/>
  <c r="E131" i="6" s="1"/>
  <c r="G131" i="6" s="1"/>
  <c r="B131" i="6"/>
  <c r="A131" i="6"/>
  <c r="D130" i="6"/>
  <c r="C130" i="6"/>
  <c r="B130" i="6"/>
  <c r="A130" i="6"/>
  <c r="D129" i="6"/>
  <c r="C129" i="6"/>
  <c r="E129" i="6" s="1"/>
  <c r="G129" i="6" s="1"/>
  <c r="B129" i="6"/>
  <c r="A129" i="6"/>
  <c r="D128" i="6"/>
  <c r="C128" i="6"/>
  <c r="B128" i="6"/>
  <c r="A128" i="6"/>
  <c r="D127" i="6"/>
  <c r="C127" i="6"/>
  <c r="E127" i="6" s="1"/>
  <c r="G127" i="6" s="1"/>
  <c r="B127" i="6"/>
  <c r="A127" i="6"/>
  <c r="D126" i="6"/>
  <c r="C126" i="6"/>
  <c r="B126" i="6"/>
  <c r="A126" i="6"/>
  <c r="D125" i="6"/>
  <c r="C125" i="6"/>
  <c r="B125" i="6"/>
  <c r="A125" i="6"/>
  <c r="D124" i="6"/>
  <c r="C124" i="6"/>
  <c r="E124" i="6" s="1"/>
  <c r="G124" i="6" s="1"/>
  <c r="B124" i="6"/>
  <c r="A124" i="6"/>
  <c r="D123" i="6"/>
  <c r="C123" i="6"/>
  <c r="B123" i="6"/>
  <c r="A123" i="6"/>
  <c r="D122" i="6"/>
  <c r="C122" i="6"/>
  <c r="B122" i="6"/>
  <c r="A122" i="6"/>
  <c r="D121" i="6"/>
  <c r="C121" i="6"/>
  <c r="E121" i="6" s="1"/>
  <c r="G121" i="6" s="1"/>
  <c r="B121" i="6"/>
  <c r="A121" i="6"/>
  <c r="D120" i="6"/>
  <c r="C120" i="6"/>
  <c r="E120" i="6" s="1"/>
  <c r="G120" i="6" s="1"/>
  <c r="B120" i="6"/>
  <c r="A120" i="6"/>
  <c r="D119" i="6"/>
  <c r="C119" i="6"/>
  <c r="B119" i="6"/>
  <c r="A119" i="6"/>
  <c r="D118" i="6"/>
  <c r="E118" i="6" s="1"/>
  <c r="G118" i="6" s="1"/>
  <c r="C118" i="6"/>
  <c r="B118" i="6"/>
  <c r="A118" i="6"/>
  <c r="D117" i="6"/>
  <c r="C117" i="6"/>
  <c r="E117" i="6" s="1"/>
  <c r="G117" i="6" s="1"/>
  <c r="B117" i="6"/>
  <c r="A117" i="6"/>
  <c r="D116" i="6"/>
  <c r="C116" i="6"/>
  <c r="B116" i="6"/>
  <c r="A116" i="6"/>
  <c r="D115" i="6"/>
  <c r="E115" i="6" s="1"/>
  <c r="G115" i="6" s="1"/>
  <c r="C115" i="6"/>
  <c r="B115" i="6"/>
  <c r="A115" i="6"/>
  <c r="D114" i="6"/>
  <c r="C114" i="6"/>
  <c r="E114" i="6" s="1"/>
  <c r="G114" i="6" s="1"/>
  <c r="B114" i="6"/>
  <c r="A114" i="6"/>
  <c r="D113" i="6"/>
  <c r="E113" i="6" s="1"/>
  <c r="G113" i="6" s="1"/>
  <c r="C113" i="6"/>
  <c r="B113" i="6"/>
  <c r="A113" i="6"/>
  <c r="D112" i="6"/>
  <c r="C112" i="6"/>
  <c r="E112" i="6" s="1"/>
  <c r="G112" i="6" s="1"/>
  <c r="B112" i="6"/>
  <c r="A112" i="6"/>
  <c r="D111" i="6"/>
  <c r="C111" i="6"/>
  <c r="E111" i="6" s="1"/>
  <c r="G111" i="6" s="1"/>
  <c r="B111" i="6"/>
  <c r="A111" i="6"/>
  <c r="E110" i="6"/>
  <c r="G110" i="6" s="1"/>
  <c r="D110" i="6"/>
  <c r="C110" i="6"/>
  <c r="B110" i="6"/>
  <c r="A110" i="6"/>
  <c r="D109" i="6"/>
  <c r="C109" i="6"/>
  <c r="B109" i="6"/>
  <c r="A109" i="6"/>
  <c r="D108" i="6"/>
  <c r="C108" i="6"/>
  <c r="B108" i="6"/>
  <c r="A108" i="6"/>
  <c r="D107" i="6"/>
  <c r="C107" i="6"/>
  <c r="B107" i="6"/>
  <c r="A107" i="6"/>
  <c r="D106" i="6"/>
  <c r="C106" i="6"/>
  <c r="E106" i="6" s="1"/>
  <c r="G106" i="6" s="1"/>
  <c r="B106" i="6"/>
  <c r="A106" i="6"/>
  <c r="D105" i="6"/>
  <c r="E105" i="6" s="1"/>
  <c r="G105" i="6" s="1"/>
  <c r="C105" i="6"/>
  <c r="B105" i="6"/>
  <c r="A105" i="6"/>
  <c r="D104" i="6"/>
  <c r="C104" i="6"/>
  <c r="E104" i="6" s="1"/>
  <c r="G104" i="6" s="1"/>
  <c r="B104" i="6"/>
  <c r="A104" i="6"/>
  <c r="D103" i="6"/>
  <c r="C103" i="6"/>
  <c r="B103" i="6"/>
  <c r="A103" i="6"/>
  <c r="D102" i="6"/>
  <c r="C102" i="6"/>
  <c r="E102" i="6" s="1"/>
  <c r="G102" i="6" s="1"/>
  <c r="B102" i="6"/>
  <c r="A102" i="6"/>
  <c r="D101" i="6"/>
  <c r="C101" i="6"/>
  <c r="B101" i="6"/>
  <c r="A101" i="6"/>
  <c r="D100" i="6"/>
  <c r="E100" i="6" s="1"/>
  <c r="G100" i="6" s="1"/>
  <c r="C100" i="6"/>
  <c r="B100" i="6"/>
  <c r="A100" i="6"/>
  <c r="D99" i="6"/>
  <c r="C99" i="6"/>
  <c r="E99" i="6" s="1"/>
  <c r="G99" i="6" s="1"/>
  <c r="B99" i="6"/>
  <c r="A99" i="6"/>
  <c r="D98" i="6"/>
  <c r="C98" i="6"/>
  <c r="B98" i="6"/>
  <c r="A98" i="6"/>
  <c r="D97" i="6"/>
  <c r="C97" i="6"/>
  <c r="B97" i="6"/>
  <c r="A97" i="6"/>
  <c r="D96" i="6"/>
  <c r="C96" i="6"/>
  <c r="E96" i="6" s="1"/>
  <c r="G96" i="6" s="1"/>
  <c r="B96" i="6"/>
  <c r="A96" i="6"/>
  <c r="D95" i="6"/>
  <c r="C95" i="6"/>
  <c r="E95" i="6" s="1"/>
  <c r="G95" i="6" s="1"/>
  <c r="B95" i="6"/>
  <c r="A95" i="6"/>
  <c r="D94" i="6"/>
  <c r="C94" i="6"/>
  <c r="B94" i="6"/>
  <c r="A94" i="6"/>
  <c r="D93" i="6"/>
  <c r="E93" i="6" s="1"/>
  <c r="G93" i="6" s="1"/>
  <c r="C93" i="6"/>
  <c r="B93" i="6"/>
  <c r="A93" i="6"/>
  <c r="D92" i="6"/>
  <c r="C92" i="6"/>
  <c r="E92" i="6" s="1"/>
  <c r="G92" i="6" s="1"/>
  <c r="B92" i="6"/>
  <c r="A92" i="6"/>
  <c r="D91" i="6"/>
  <c r="C91" i="6"/>
  <c r="B91" i="6"/>
  <c r="A91" i="6"/>
  <c r="D90" i="6"/>
  <c r="C90" i="6"/>
  <c r="B90" i="6"/>
  <c r="A90" i="6"/>
  <c r="D89" i="6"/>
  <c r="C89" i="6"/>
  <c r="E89" i="6" s="1"/>
  <c r="G89" i="6" s="1"/>
  <c r="B89" i="6"/>
  <c r="A89" i="6"/>
  <c r="D88" i="6"/>
  <c r="E88" i="6" s="1"/>
  <c r="G88" i="6" s="1"/>
  <c r="C88" i="6"/>
  <c r="B88" i="6"/>
  <c r="A88" i="6"/>
  <c r="D87" i="6"/>
  <c r="C87" i="6"/>
  <c r="E87" i="6" s="1"/>
  <c r="G87" i="6" s="1"/>
  <c r="B87" i="6"/>
  <c r="A87" i="6"/>
  <c r="D86" i="6"/>
  <c r="C86" i="6"/>
  <c r="E86" i="6" s="1"/>
  <c r="G86" i="6" s="1"/>
  <c r="B86" i="6"/>
  <c r="A86" i="6"/>
  <c r="D85" i="6"/>
  <c r="C85" i="6"/>
  <c r="E85" i="6" s="1"/>
  <c r="G85" i="6" s="1"/>
  <c r="B85" i="6"/>
  <c r="A85" i="6"/>
  <c r="D84" i="6"/>
  <c r="C84" i="6"/>
  <c r="B84" i="6"/>
  <c r="A84" i="6"/>
  <c r="D83" i="6"/>
  <c r="E83" i="6" s="1"/>
  <c r="G83" i="6" s="1"/>
  <c r="C83" i="6"/>
  <c r="B83" i="6"/>
  <c r="A83" i="6"/>
  <c r="D82" i="6"/>
  <c r="C82" i="6"/>
  <c r="B82" i="6"/>
  <c r="A82" i="6"/>
  <c r="D81" i="6"/>
  <c r="C81" i="6"/>
  <c r="E81" i="6" s="1"/>
  <c r="G81" i="6" s="1"/>
  <c r="B81" i="6"/>
  <c r="A81" i="6"/>
  <c r="D80" i="6"/>
  <c r="C80" i="6"/>
  <c r="B80" i="6"/>
  <c r="A80" i="6"/>
  <c r="D79" i="6"/>
  <c r="C79" i="6"/>
  <c r="E79" i="6" s="1"/>
  <c r="G79" i="6" s="1"/>
  <c r="B79" i="6"/>
  <c r="A79" i="6"/>
  <c r="D78" i="6"/>
  <c r="E78" i="6" s="1"/>
  <c r="G78" i="6" s="1"/>
  <c r="C78" i="6"/>
  <c r="B78" i="6"/>
  <c r="A78" i="6"/>
  <c r="D77" i="6"/>
  <c r="C77" i="6"/>
  <c r="E77" i="6" s="1"/>
  <c r="G77" i="6" s="1"/>
  <c r="B77" i="6"/>
  <c r="A77" i="6"/>
  <c r="D76" i="6"/>
  <c r="C76" i="6"/>
  <c r="B76" i="6"/>
  <c r="A76" i="6"/>
  <c r="D75" i="6"/>
  <c r="C75" i="6"/>
  <c r="B75" i="6"/>
  <c r="A75" i="6"/>
  <c r="D74" i="6"/>
  <c r="C74" i="6"/>
  <c r="E74" i="6" s="1"/>
  <c r="G74" i="6" s="1"/>
  <c r="B74" i="6"/>
  <c r="A74" i="6"/>
  <c r="D73" i="6"/>
  <c r="E73" i="6" s="1"/>
  <c r="G73" i="6" s="1"/>
  <c r="C73" i="6"/>
  <c r="B73" i="6"/>
  <c r="A73" i="6"/>
  <c r="D72" i="6"/>
  <c r="C72" i="6"/>
  <c r="B72" i="6"/>
  <c r="A72" i="6"/>
  <c r="D71" i="6"/>
  <c r="C71" i="6"/>
  <c r="E71" i="6" s="1"/>
  <c r="G71" i="6" s="1"/>
  <c r="B71" i="6"/>
  <c r="A71" i="6"/>
  <c r="D70" i="6"/>
  <c r="C70" i="6"/>
  <c r="E70" i="6" s="1"/>
  <c r="G70" i="6" s="1"/>
  <c r="B70" i="6"/>
  <c r="A70" i="6"/>
  <c r="D69" i="6"/>
  <c r="C69" i="6"/>
  <c r="B69" i="6"/>
  <c r="A69" i="6"/>
  <c r="D68" i="6"/>
  <c r="C68" i="6"/>
  <c r="B68" i="6"/>
  <c r="A68" i="6"/>
  <c r="D67" i="6"/>
  <c r="C67" i="6"/>
  <c r="E67" i="6" s="1"/>
  <c r="G67" i="6" s="1"/>
  <c r="B67" i="6"/>
  <c r="A67" i="6"/>
  <c r="D66" i="6"/>
  <c r="C66" i="6"/>
  <c r="B66" i="6"/>
  <c r="A66" i="6"/>
  <c r="D65" i="6"/>
  <c r="C65" i="6"/>
  <c r="B65" i="6"/>
  <c r="A65" i="6"/>
  <c r="D64" i="6"/>
  <c r="C64" i="6"/>
  <c r="E64" i="6" s="1"/>
  <c r="G64" i="6" s="1"/>
  <c r="B64" i="6"/>
  <c r="A64" i="6"/>
  <c r="D63" i="6"/>
  <c r="C63" i="6"/>
  <c r="B63" i="6"/>
  <c r="A63" i="6"/>
  <c r="D62" i="6"/>
  <c r="C62" i="6"/>
  <c r="E62" i="6" s="1"/>
  <c r="G62" i="6" s="1"/>
  <c r="B62" i="6"/>
  <c r="A62" i="6"/>
  <c r="D61" i="6"/>
  <c r="C61" i="6"/>
  <c r="E61" i="6" s="1"/>
  <c r="G61" i="6" s="1"/>
  <c r="B61" i="6"/>
  <c r="A61" i="6"/>
  <c r="D60" i="6"/>
  <c r="C60" i="6"/>
  <c r="E60" i="6" s="1"/>
  <c r="G60" i="6" s="1"/>
  <c r="B60" i="6"/>
  <c r="A60" i="6"/>
  <c r="D59" i="6"/>
  <c r="C59" i="6"/>
  <c r="B59" i="6"/>
  <c r="A59" i="6"/>
  <c r="D58" i="6"/>
  <c r="C58" i="6"/>
  <c r="B58" i="6"/>
  <c r="A58" i="6"/>
  <c r="D57" i="6"/>
  <c r="C57" i="6"/>
  <c r="B57" i="6"/>
  <c r="A57" i="6"/>
  <c r="D56" i="6"/>
  <c r="C56" i="6"/>
  <c r="E56" i="6" s="1"/>
  <c r="G56" i="6" s="1"/>
  <c r="B56" i="6"/>
  <c r="A56" i="6"/>
  <c r="D55" i="6"/>
  <c r="C55" i="6"/>
  <c r="B55" i="6"/>
  <c r="A55" i="6"/>
  <c r="D54" i="6"/>
  <c r="C54" i="6"/>
  <c r="E54" i="6" s="1"/>
  <c r="G54" i="6" s="1"/>
  <c r="B54" i="6"/>
  <c r="A54" i="6"/>
  <c r="D53" i="6"/>
  <c r="C53" i="6"/>
  <c r="B53" i="6"/>
  <c r="A53" i="6"/>
  <c r="D52" i="6"/>
  <c r="C52" i="6"/>
  <c r="E52" i="6" s="1"/>
  <c r="G52" i="6" s="1"/>
  <c r="B52" i="6"/>
  <c r="A52" i="6"/>
  <c r="D51" i="6"/>
  <c r="C51" i="6"/>
  <c r="B51" i="6"/>
  <c r="A51" i="6"/>
  <c r="D50" i="6"/>
  <c r="C50" i="6"/>
  <c r="B50" i="6"/>
  <c r="A50" i="6"/>
  <c r="D49" i="6"/>
  <c r="C49" i="6"/>
  <c r="E49" i="6" s="1"/>
  <c r="G49" i="6" s="1"/>
  <c r="B49" i="6"/>
  <c r="A49" i="6"/>
  <c r="D48" i="6"/>
  <c r="C48" i="6"/>
  <c r="B48" i="6"/>
  <c r="A48" i="6"/>
  <c r="D47" i="6"/>
  <c r="C47" i="6"/>
  <c r="B47" i="6"/>
  <c r="A47" i="6"/>
  <c r="D46" i="6"/>
  <c r="C46" i="6"/>
  <c r="E46" i="6" s="1"/>
  <c r="G46" i="6" s="1"/>
  <c r="B46" i="6"/>
  <c r="A46" i="6"/>
  <c r="D45" i="6"/>
  <c r="C45" i="6"/>
  <c r="E45" i="6" s="1"/>
  <c r="G45" i="6" s="1"/>
  <c r="B45" i="6"/>
  <c r="A45" i="6"/>
  <c r="D44" i="6"/>
  <c r="C44" i="6"/>
  <c r="B44" i="6"/>
  <c r="A44" i="6"/>
  <c r="D43" i="6"/>
  <c r="C43" i="6"/>
  <c r="B43" i="6"/>
  <c r="A43" i="6"/>
  <c r="D42" i="6"/>
  <c r="C42" i="6"/>
  <c r="E42" i="6" s="1"/>
  <c r="G42" i="6" s="1"/>
  <c r="B42" i="6"/>
  <c r="A42" i="6"/>
  <c r="D41" i="6"/>
  <c r="C41" i="6"/>
  <c r="E41" i="6" s="1"/>
  <c r="G41" i="6" s="1"/>
  <c r="B41" i="6"/>
  <c r="A41" i="6"/>
  <c r="D40" i="6"/>
  <c r="C40" i="6"/>
  <c r="B40" i="6"/>
  <c r="A40" i="6"/>
  <c r="D39" i="6"/>
  <c r="C39" i="6"/>
  <c r="E39" i="6" s="1"/>
  <c r="G39" i="6" s="1"/>
  <c r="B39" i="6"/>
  <c r="A39" i="6"/>
  <c r="D38" i="6"/>
  <c r="C38" i="6"/>
  <c r="B38" i="6"/>
  <c r="A38" i="6"/>
  <c r="D37" i="6"/>
  <c r="C37" i="6"/>
  <c r="E37" i="6" s="1"/>
  <c r="G37" i="6" s="1"/>
  <c r="B37" i="6"/>
  <c r="A37" i="6"/>
  <c r="D36" i="6"/>
  <c r="C36" i="6"/>
  <c r="B36" i="6"/>
  <c r="A36" i="6"/>
  <c r="D35" i="6"/>
  <c r="C35" i="6"/>
  <c r="E35" i="6" s="1"/>
  <c r="G35" i="6" s="1"/>
  <c r="B35" i="6"/>
  <c r="A35" i="6"/>
  <c r="D34" i="6"/>
  <c r="C34" i="6"/>
  <c r="E34" i="6" s="1"/>
  <c r="G34" i="6" s="1"/>
  <c r="B34" i="6"/>
  <c r="A34" i="6"/>
  <c r="D33" i="6"/>
  <c r="C33" i="6"/>
  <c r="B33" i="6"/>
  <c r="A33" i="6"/>
  <c r="D32" i="6"/>
  <c r="C32" i="6"/>
  <c r="B32" i="6"/>
  <c r="A32" i="6"/>
  <c r="D31" i="6"/>
  <c r="C31" i="6"/>
  <c r="E31" i="6" s="1"/>
  <c r="G31" i="6" s="1"/>
  <c r="B31" i="6"/>
  <c r="A31" i="6"/>
  <c r="D30" i="6"/>
  <c r="C30" i="6"/>
  <c r="B30" i="6"/>
  <c r="A30" i="6"/>
  <c r="D29" i="6"/>
  <c r="C29" i="6"/>
  <c r="B29" i="6"/>
  <c r="A29" i="6"/>
  <c r="D28" i="6"/>
  <c r="C28" i="6"/>
  <c r="B28" i="6"/>
  <c r="A28" i="6"/>
  <c r="D27" i="6"/>
  <c r="C27" i="6"/>
  <c r="E27" i="6" s="1"/>
  <c r="G27" i="6" s="1"/>
  <c r="B27" i="6"/>
  <c r="A27" i="6"/>
  <c r="D26" i="6"/>
  <c r="C26" i="6"/>
  <c r="B26" i="6"/>
  <c r="A26" i="6"/>
  <c r="D25" i="6"/>
  <c r="C25" i="6"/>
  <c r="B25" i="6"/>
  <c r="A25" i="6"/>
  <c r="D24" i="6"/>
  <c r="C24" i="6"/>
  <c r="E24" i="6" s="1"/>
  <c r="G24" i="6" s="1"/>
  <c r="B24" i="6"/>
  <c r="A24" i="6"/>
  <c r="D23" i="6"/>
  <c r="C23" i="6"/>
  <c r="B23" i="6"/>
  <c r="A23" i="6"/>
  <c r="D22" i="6"/>
  <c r="C22" i="6"/>
  <c r="E22" i="6" s="1"/>
  <c r="G22" i="6" s="1"/>
  <c r="B22" i="6"/>
  <c r="A22" i="6"/>
  <c r="D21" i="6"/>
  <c r="C21" i="6"/>
  <c r="E21" i="6" s="1"/>
  <c r="G21" i="6" s="1"/>
  <c r="B21" i="6"/>
  <c r="A21" i="6"/>
  <c r="E20" i="6"/>
  <c r="G20" i="6" s="1"/>
  <c r="D20" i="6"/>
  <c r="C20" i="6"/>
  <c r="B20" i="6"/>
  <c r="A20" i="6"/>
  <c r="D19" i="6"/>
  <c r="C19" i="6"/>
  <c r="B19" i="6"/>
  <c r="A19" i="6"/>
  <c r="D18" i="6"/>
  <c r="C18" i="6"/>
  <c r="B18" i="6"/>
  <c r="A18" i="6"/>
  <c r="D17" i="6"/>
  <c r="C17" i="6"/>
  <c r="B17" i="6"/>
  <c r="A17" i="6"/>
  <c r="D16" i="6"/>
  <c r="C16" i="6"/>
  <c r="B16" i="6"/>
  <c r="A16" i="6"/>
  <c r="D15" i="6"/>
  <c r="E15" i="6" s="1"/>
  <c r="G15" i="6" s="1"/>
  <c r="C15" i="6"/>
  <c r="B15" i="6"/>
  <c r="A15" i="6"/>
  <c r="D14" i="6"/>
  <c r="C14" i="6"/>
  <c r="E14" i="6" s="1"/>
  <c r="G14" i="6" s="1"/>
  <c r="B14" i="6"/>
  <c r="A14" i="6"/>
  <c r="D13" i="6"/>
  <c r="C13" i="6"/>
  <c r="B13" i="6"/>
  <c r="A13" i="6"/>
  <c r="D12" i="6"/>
  <c r="C12" i="6"/>
  <c r="E12" i="6" s="1"/>
  <c r="G12" i="6" s="1"/>
  <c r="B12" i="6"/>
  <c r="A12" i="6"/>
  <c r="D11" i="6"/>
  <c r="C11" i="6"/>
  <c r="E11" i="6" s="1"/>
  <c r="G11" i="6" s="1"/>
  <c r="B11" i="6"/>
  <c r="A11" i="6"/>
  <c r="D10" i="6"/>
  <c r="E10" i="6" s="1"/>
  <c r="G10" i="6" s="1"/>
  <c r="C10" i="6"/>
  <c r="B10" i="6"/>
  <c r="A10" i="6"/>
  <c r="D9" i="6"/>
  <c r="C9" i="6"/>
  <c r="B9" i="6"/>
  <c r="A9" i="6"/>
  <c r="D8" i="6"/>
  <c r="C8" i="6"/>
  <c r="B8" i="6"/>
  <c r="A8" i="6"/>
  <c r="D7" i="6"/>
  <c r="C7" i="6"/>
  <c r="B7" i="6"/>
  <c r="A7" i="6"/>
  <c r="D6" i="6"/>
  <c r="C6" i="6"/>
  <c r="E6" i="6" s="1"/>
  <c r="G6" i="6" s="1"/>
  <c r="B6" i="6"/>
  <c r="A6" i="6"/>
  <c r="E5" i="6"/>
  <c r="G5" i="6" s="1"/>
  <c r="D5" i="6"/>
  <c r="C5" i="6"/>
  <c r="B5" i="6"/>
  <c r="A5" i="6"/>
  <c r="D4" i="6"/>
  <c r="C4" i="6"/>
  <c r="E4" i="6" s="1"/>
  <c r="G4" i="6" s="1"/>
  <c r="B4" i="6"/>
  <c r="A4" i="6"/>
  <c r="D3" i="6"/>
  <c r="C3" i="6"/>
  <c r="B3" i="6"/>
  <c r="A3" i="6"/>
  <c r="D2" i="6"/>
  <c r="C2" i="6"/>
  <c r="E2" i="6" s="1"/>
  <c r="G2" i="6" s="1"/>
  <c r="B2" i="6"/>
  <c r="A2" i="6"/>
  <c r="F15" i="2"/>
  <c r="G15" i="2" s="1"/>
  <c r="J14" i="2"/>
  <c r="F14" i="2"/>
  <c r="G14" i="2" s="1"/>
  <c r="F13" i="2"/>
  <c r="G13" i="2" s="1"/>
  <c r="F12" i="2"/>
  <c r="G12" i="2" s="1"/>
  <c r="E133" i="6" l="1"/>
  <c r="G133" i="6" s="1"/>
  <c r="E18" i="6"/>
  <c r="G18" i="6" s="1"/>
  <c r="E3" i="6"/>
  <c r="G3" i="6" s="1"/>
  <c r="E25" i="6"/>
  <c r="G25" i="6" s="1"/>
  <c r="E204" i="6"/>
  <c r="G204" i="6" s="1"/>
  <c r="E98" i="6"/>
  <c r="G98" i="6" s="1"/>
  <c r="E103" i="6"/>
  <c r="G103" i="6" s="1"/>
  <c r="E108" i="6"/>
  <c r="G108" i="6" s="1"/>
  <c r="E125" i="6"/>
  <c r="G125" i="6" s="1"/>
  <c r="E130" i="6"/>
  <c r="G130" i="6" s="1"/>
  <c r="E162" i="6"/>
  <c r="G162" i="6" s="1"/>
  <c r="E167" i="6"/>
  <c r="G167" i="6" s="1"/>
  <c r="E206" i="6"/>
  <c r="G206" i="6" s="1"/>
  <c r="E216" i="6"/>
  <c r="G216" i="6" s="1"/>
  <c r="E250" i="6"/>
  <c r="G250" i="6" s="1"/>
  <c r="E281" i="6"/>
  <c r="G281" i="6" s="1"/>
  <c r="E286" i="6"/>
  <c r="G286" i="6" s="1"/>
  <c r="E319" i="6"/>
  <c r="G319" i="6" s="1"/>
  <c r="E406" i="6"/>
  <c r="G406" i="6" s="1"/>
  <c r="E415" i="6"/>
  <c r="G415" i="6" s="1"/>
  <c r="E425" i="6"/>
  <c r="G425" i="6" s="1"/>
  <c r="E430" i="6"/>
  <c r="G430" i="6" s="1"/>
  <c r="E442" i="6"/>
  <c r="G442" i="6" s="1"/>
  <c r="E484" i="6"/>
  <c r="G484" i="6" s="1"/>
  <c r="E30" i="6"/>
  <c r="G30" i="6" s="1"/>
  <c r="E128" i="6"/>
  <c r="G128" i="6" s="1"/>
  <c r="E494" i="6"/>
  <c r="G494" i="6" s="1"/>
  <c r="E243" i="6"/>
  <c r="G243" i="6" s="1"/>
  <c r="E274" i="6"/>
  <c r="G274" i="6" s="1"/>
  <c r="E317" i="6"/>
  <c r="G317" i="6" s="1"/>
  <c r="E23" i="6"/>
  <c r="G23" i="6" s="1"/>
  <c r="E28" i="6"/>
  <c r="G28" i="6" s="1"/>
  <c r="E33" i="6"/>
  <c r="G33" i="6" s="1"/>
  <c r="E50" i="6"/>
  <c r="G50" i="6" s="1"/>
  <c r="E55" i="6"/>
  <c r="G55" i="6" s="1"/>
  <c r="E163" i="6"/>
  <c r="G163" i="6" s="1"/>
  <c r="E185" i="6"/>
  <c r="G185" i="6" s="1"/>
  <c r="E197" i="6"/>
  <c r="G197" i="6" s="1"/>
  <c r="E202" i="6"/>
  <c r="G202" i="6" s="1"/>
  <c r="E212" i="6"/>
  <c r="G212" i="6" s="1"/>
  <c r="E287" i="6"/>
  <c r="G287" i="6" s="1"/>
  <c r="E356" i="6"/>
  <c r="G356" i="6" s="1"/>
  <c r="E361" i="6"/>
  <c r="G361" i="6" s="1"/>
  <c r="E426" i="6"/>
  <c r="G426" i="6" s="1"/>
  <c r="E8" i="6"/>
  <c r="G8" i="6" s="1"/>
  <c r="E13" i="6"/>
  <c r="G13" i="6" s="1"/>
  <c r="E40" i="6"/>
  <c r="G40" i="6" s="1"/>
  <c r="E138" i="6"/>
  <c r="G138" i="6" s="1"/>
  <c r="E143" i="6"/>
  <c r="G143" i="6" s="1"/>
  <c r="E175" i="6"/>
  <c r="G175" i="6" s="1"/>
  <c r="E219" i="6"/>
  <c r="G219" i="6" s="1"/>
  <c r="E224" i="6"/>
  <c r="G224" i="6" s="1"/>
  <c r="E375" i="6"/>
  <c r="G375" i="6" s="1"/>
  <c r="E382" i="6"/>
  <c r="G382" i="6" s="1"/>
  <c r="E387" i="6"/>
  <c r="G387" i="6" s="1"/>
  <c r="E392" i="6"/>
  <c r="G392" i="6" s="1"/>
  <c r="E436" i="6"/>
  <c r="G436" i="6" s="1"/>
  <c r="E463" i="6"/>
  <c r="G463" i="6" s="1"/>
  <c r="E468" i="6"/>
  <c r="G468" i="6" s="1"/>
  <c r="E194" i="6"/>
  <c r="G194" i="6" s="1"/>
  <c r="E487" i="6"/>
  <c r="G487" i="6" s="1"/>
  <c r="E38" i="6"/>
  <c r="G38" i="6" s="1"/>
  <c r="E43" i="6"/>
  <c r="G43" i="6" s="1"/>
  <c r="E48" i="6"/>
  <c r="G48" i="6" s="1"/>
  <c r="E53" i="6"/>
  <c r="G53" i="6" s="1"/>
  <c r="E58" i="6"/>
  <c r="G58" i="6" s="1"/>
  <c r="E75" i="6"/>
  <c r="G75" i="6" s="1"/>
  <c r="E80" i="6"/>
  <c r="G80" i="6" s="1"/>
  <c r="E166" i="6"/>
  <c r="G166" i="6" s="1"/>
  <c r="E190" i="6"/>
  <c r="G190" i="6" s="1"/>
  <c r="E200" i="6"/>
  <c r="G200" i="6" s="1"/>
  <c r="E205" i="6"/>
  <c r="G205" i="6" s="1"/>
  <c r="E285" i="6"/>
  <c r="G285" i="6" s="1"/>
  <c r="E405" i="6"/>
  <c r="G405" i="6" s="1"/>
  <c r="E63" i="6"/>
  <c r="G63" i="6" s="1"/>
  <c r="E68" i="6"/>
  <c r="G68" i="6" s="1"/>
  <c r="E90" i="6"/>
  <c r="G90" i="6" s="1"/>
  <c r="E144" i="6"/>
  <c r="G144" i="6" s="1"/>
  <c r="E171" i="6"/>
  <c r="G171" i="6" s="1"/>
  <c r="E225" i="6"/>
  <c r="G225" i="6" s="1"/>
  <c r="E235" i="6"/>
  <c r="G235" i="6" s="1"/>
  <c r="E297" i="6"/>
  <c r="G297" i="6" s="1"/>
  <c r="E302" i="6"/>
  <c r="G302" i="6" s="1"/>
  <c r="E323" i="6"/>
  <c r="G323" i="6" s="1"/>
  <c r="E335" i="6"/>
  <c r="G335" i="6" s="1"/>
  <c r="E340" i="6"/>
  <c r="G340" i="6" s="1"/>
  <c r="E347" i="6"/>
  <c r="G347" i="6" s="1"/>
  <c r="E383" i="6"/>
  <c r="G383" i="6" s="1"/>
  <c r="E388" i="6"/>
  <c r="G388" i="6" s="1"/>
  <c r="E393" i="6"/>
  <c r="G393" i="6" s="1"/>
  <c r="E456" i="6"/>
  <c r="G456" i="6" s="1"/>
  <c r="E461" i="6"/>
  <c r="G461" i="6" s="1"/>
  <c r="E500" i="6"/>
  <c r="G500" i="6" s="1"/>
  <c r="E123" i="6"/>
  <c r="G123" i="6" s="1"/>
  <c r="E155" i="6"/>
  <c r="G155" i="6" s="1"/>
  <c r="E209" i="6"/>
  <c r="G209" i="6" s="1"/>
  <c r="E475" i="6"/>
  <c r="G475" i="6" s="1"/>
  <c r="E65" i="6"/>
  <c r="G65" i="6" s="1"/>
  <c r="E173" i="6"/>
  <c r="G173" i="6" s="1"/>
  <c r="E337" i="6"/>
  <c r="G337" i="6" s="1"/>
  <c r="E156" i="6"/>
  <c r="G156" i="6" s="1"/>
  <c r="E244" i="6"/>
  <c r="G244" i="6" s="1"/>
  <c r="E275" i="6"/>
  <c r="G275" i="6" s="1"/>
  <c r="E419" i="6"/>
  <c r="G419" i="6" s="1"/>
  <c r="E441" i="6"/>
  <c r="G441" i="6" s="1"/>
  <c r="E32" i="6"/>
  <c r="G32" i="6" s="1"/>
  <c r="E44" i="6"/>
  <c r="G44" i="6" s="1"/>
  <c r="E51" i="6"/>
  <c r="G51" i="6" s="1"/>
  <c r="E82" i="6"/>
  <c r="G82" i="6" s="1"/>
  <c r="E94" i="6"/>
  <c r="G94" i="6" s="1"/>
  <c r="E101" i="6"/>
  <c r="G101" i="6" s="1"/>
  <c r="E132" i="6"/>
  <c r="G132" i="6" s="1"/>
  <c r="E146" i="6"/>
  <c r="G146" i="6" s="1"/>
  <c r="E151" i="6"/>
  <c r="G151" i="6" s="1"/>
  <c r="E183" i="6"/>
  <c r="G183" i="6" s="1"/>
  <c r="E222" i="6"/>
  <c r="G222" i="6" s="1"/>
  <c r="E245" i="6"/>
  <c r="G245" i="6" s="1"/>
  <c r="E282" i="6"/>
  <c r="G282" i="6" s="1"/>
  <c r="E289" i="6"/>
  <c r="G289" i="6" s="1"/>
  <c r="E303" i="6"/>
  <c r="G303" i="6" s="1"/>
  <c r="E342" i="6"/>
  <c r="G342" i="6" s="1"/>
  <c r="E349" i="6"/>
  <c r="G349" i="6" s="1"/>
  <c r="E381" i="6"/>
  <c r="G381" i="6" s="1"/>
  <c r="E390" i="6"/>
  <c r="G390" i="6" s="1"/>
  <c r="E404" i="6"/>
  <c r="G404" i="6" s="1"/>
  <c r="E412" i="6"/>
  <c r="G412" i="6" s="1"/>
  <c r="E421" i="6"/>
  <c r="G421" i="6" s="1"/>
  <c r="E469" i="6"/>
  <c r="G469" i="6" s="1"/>
  <c r="E476" i="6"/>
  <c r="G476" i="6" s="1"/>
  <c r="E485" i="6"/>
  <c r="G485" i="6" s="1"/>
  <c r="E499" i="6"/>
  <c r="G499" i="6" s="1"/>
  <c r="E9" i="6"/>
  <c r="G9" i="6" s="1"/>
  <c r="E16" i="6"/>
  <c r="G16" i="6" s="1"/>
  <c r="E47" i="6"/>
  <c r="G47" i="6" s="1"/>
  <c r="E59" i="6"/>
  <c r="G59" i="6" s="1"/>
  <c r="E66" i="6"/>
  <c r="G66" i="6" s="1"/>
  <c r="E97" i="6"/>
  <c r="G97" i="6" s="1"/>
  <c r="E109" i="6"/>
  <c r="G109" i="6" s="1"/>
  <c r="E116" i="6"/>
  <c r="G116" i="6" s="1"/>
  <c r="E172" i="6"/>
  <c r="G172" i="6" s="1"/>
  <c r="E195" i="6"/>
  <c r="G195" i="6" s="1"/>
  <c r="E232" i="6"/>
  <c r="G232" i="6" s="1"/>
  <c r="E239" i="6"/>
  <c r="G239" i="6" s="1"/>
  <c r="E253" i="6"/>
  <c r="G253" i="6" s="1"/>
  <c r="E292" i="6"/>
  <c r="G292" i="6" s="1"/>
  <c r="E299" i="6"/>
  <c r="G299" i="6" s="1"/>
  <c r="E308" i="6"/>
  <c r="G308" i="6" s="1"/>
  <c r="E315" i="6"/>
  <c r="G315" i="6" s="1"/>
  <c r="E359" i="6"/>
  <c r="G359" i="6" s="1"/>
  <c r="E373" i="6"/>
  <c r="G373" i="6" s="1"/>
  <c r="E386" i="6"/>
  <c r="G386" i="6" s="1"/>
  <c r="E395" i="6"/>
  <c r="G395" i="6" s="1"/>
  <c r="E424" i="6"/>
  <c r="G424" i="6" s="1"/>
  <c r="E433" i="6"/>
  <c r="G433" i="6" s="1"/>
  <c r="E451" i="6"/>
  <c r="G451" i="6" s="1"/>
  <c r="E465" i="6"/>
  <c r="G465" i="6" s="1"/>
  <c r="E495" i="6"/>
  <c r="G495" i="6" s="1"/>
  <c r="E7" i="6"/>
  <c r="G7" i="6" s="1"/>
  <c r="E19" i="6"/>
  <c r="G19" i="6" s="1"/>
  <c r="E26" i="6"/>
  <c r="G26" i="6" s="1"/>
  <c r="E57" i="6"/>
  <c r="G57" i="6" s="1"/>
  <c r="E69" i="6"/>
  <c r="G69" i="6" s="1"/>
  <c r="E76" i="6"/>
  <c r="G76" i="6" s="1"/>
  <c r="E107" i="6"/>
  <c r="G107" i="6" s="1"/>
  <c r="E119" i="6"/>
  <c r="G119" i="6" s="1"/>
  <c r="E126" i="6"/>
  <c r="G126" i="6" s="1"/>
  <c r="E161" i="6"/>
  <c r="G161" i="6" s="1"/>
  <c r="E168" i="6"/>
  <c r="G168" i="6" s="1"/>
  <c r="E177" i="6"/>
  <c r="G177" i="6" s="1"/>
  <c r="E191" i="6"/>
  <c r="G191" i="6" s="1"/>
  <c r="E198" i="6"/>
  <c r="G198" i="6" s="1"/>
  <c r="E207" i="6"/>
  <c r="G207" i="6" s="1"/>
  <c r="E214" i="6"/>
  <c r="G214" i="6" s="1"/>
  <c r="E230" i="6"/>
  <c r="G230" i="6" s="1"/>
  <c r="E260" i="6"/>
  <c r="G260" i="6" s="1"/>
  <c r="E276" i="6"/>
  <c r="G276" i="6" s="1"/>
  <c r="E320" i="6"/>
  <c r="G320" i="6" s="1"/>
  <c r="E329" i="6"/>
  <c r="G329" i="6" s="1"/>
  <c r="E334" i="6"/>
  <c r="G334" i="6" s="1"/>
  <c r="E378" i="6"/>
  <c r="G378" i="6" s="1"/>
  <c r="E398" i="6"/>
  <c r="G398" i="6" s="1"/>
  <c r="E409" i="6"/>
  <c r="G409" i="6" s="1"/>
  <c r="E438" i="6"/>
  <c r="G438" i="6" s="1"/>
  <c r="E447" i="6"/>
  <c r="G447" i="6" s="1"/>
  <c r="E454" i="6"/>
  <c r="G454" i="6" s="1"/>
  <c r="E459" i="6"/>
  <c r="G459" i="6" s="1"/>
  <c r="E491" i="6"/>
  <c r="G491" i="6" s="1"/>
  <c r="E17" i="6"/>
  <c r="G17" i="6" s="1"/>
  <c r="E29" i="6"/>
  <c r="G29" i="6" s="1"/>
  <c r="E36" i="6"/>
  <c r="G36" i="6" s="1"/>
  <c r="E72" i="6"/>
  <c r="G72" i="6" s="1"/>
  <c r="E84" i="6"/>
  <c r="G84" i="6" s="1"/>
  <c r="E91" i="6"/>
  <c r="G91" i="6" s="1"/>
  <c r="E122" i="6"/>
  <c r="G122" i="6" s="1"/>
  <c r="E134" i="6"/>
  <c r="G134" i="6" s="1"/>
  <c r="E141" i="6"/>
  <c r="G141" i="6" s="1"/>
  <c r="E148" i="6"/>
  <c r="G148" i="6" s="1"/>
  <c r="E157" i="6"/>
  <c r="G157" i="6" s="1"/>
  <c r="E164" i="6"/>
  <c r="G164" i="6" s="1"/>
  <c r="E180" i="6"/>
  <c r="G180" i="6" s="1"/>
  <c r="E210" i="6"/>
  <c r="G210" i="6" s="1"/>
  <c r="E226" i="6"/>
  <c r="G226" i="6" s="1"/>
  <c r="E270" i="6"/>
  <c r="G270" i="6" s="1"/>
  <c r="E279" i="6"/>
  <c r="G279" i="6" s="1"/>
  <c r="E284" i="6"/>
  <c r="G284" i="6" s="1"/>
  <c r="E346" i="6"/>
  <c r="G346" i="6" s="1"/>
  <c r="E351" i="6"/>
  <c r="G351" i="6" s="1"/>
  <c r="E367" i="6"/>
  <c r="G367" i="6" s="1"/>
  <c r="E374" i="6"/>
  <c r="G374" i="6" s="1"/>
  <c r="E401" i="6"/>
  <c r="G401" i="6" s="1"/>
  <c r="E416" i="6"/>
  <c r="G416" i="6" s="1"/>
  <c r="E423" i="6"/>
  <c r="G423" i="6" s="1"/>
  <c r="E443" i="6"/>
  <c r="G443" i="6" s="1"/>
  <c r="E471" i="6"/>
  <c r="G471" i="6" s="1"/>
  <c r="E478" i="6"/>
  <c r="G478" i="6" s="1"/>
  <c r="F10" i="2"/>
  <c r="G10" i="2" s="1"/>
  <c r="F6" i="2"/>
  <c r="G6" i="2" s="1"/>
  <c r="F4" i="2"/>
  <c r="G4" i="2" s="1"/>
  <c r="F5" i="2"/>
  <c r="G5" i="2" s="1"/>
  <c r="F3" i="2"/>
  <c r="G3" i="2" s="1"/>
  <c r="E440" i="6"/>
  <c r="G440" i="6" s="1"/>
  <c r="E448" i="6"/>
  <c r="G448" i="6" s="1"/>
  <c r="E460" i="6"/>
  <c r="G460" i="6" s="1"/>
  <c r="E472" i="6"/>
  <c r="G472" i="6" s="1"/>
  <c r="F7" i="2"/>
  <c r="G7" i="2" s="1"/>
  <c r="F8" i="2"/>
  <c r="G8" i="2" s="1"/>
  <c r="F9" i="2"/>
  <c r="G9" i="2" s="1"/>
  <c r="E402" i="6"/>
  <c r="G402" i="6" s="1"/>
  <c r="E428" i="6"/>
  <c r="G428" i="6" s="1"/>
  <c r="E481" i="6"/>
  <c r="G481" i="6" s="1"/>
  <c r="F2" i="2"/>
  <c r="F11" i="2"/>
  <c r="G11" i="2" s="1"/>
  <c r="E488" i="6"/>
  <c r="G488" i="6" s="1"/>
  <c r="H2" i="7" a="1"/>
  <c r="E1" i="7"/>
  <c r="E2" i="7" s="1"/>
  <c r="I2" i="7" a="1"/>
  <c r="E48" i="10"/>
  <c r="G48" i="10" s="1"/>
  <c r="E58" i="10"/>
  <c r="G58" i="10" s="1"/>
  <c r="E208" i="10"/>
  <c r="G208" i="10" s="1"/>
  <c r="E246" i="10"/>
  <c r="G246" i="10" s="1"/>
  <c r="E299" i="10"/>
  <c r="G299" i="10" s="1"/>
  <c r="E358" i="10"/>
  <c r="G358" i="10" s="1"/>
  <c r="E108" i="10"/>
  <c r="G108" i="10" s="1"/>
  <c r="E146" i="10"/>
  <c r="G146" i="10" s="1"/>
  <c r="E199" i="10"/>
  <c r="G199" i="10" s="1"/>
  <c r="E349" i="10"/>
  <c r="G349" i="10" s="1"/>
  <c r="E396" i="10"/>
  <c r="G396" i="10" s="1"/>
  <c r="E47" i="10"/>
  <c r="G47" i="10" s="1"/>
  <c r="E1458" i="10"/>
  <c r="G1458" i="10" s="1"/>
  <c r="E1068" i="10"/>
  <c r="G1068" i="10" s="1"/>
  <c r="E1250" i="10"/>
  <c r="G1250" i="10" s="1"/>
  <c r="E1390" i="10"/>
  <c r="G1390" i="10" s="1"/>
  <c r="E1065" i="10"/>
  <c r="G1065" i="10" s="1"/>
  <c r="E1076" i="10"/>
  <c r="G1076" i="10" s="1"/>
  <c r="E1101" i="10"/>
  <c r="G1101" i="10" s="1"/>
  <c r="E1126" i="10"/>
  <c r="G1126" i="10" s="1"/>
  <c r="E1151" i="10"/>
  <c r="G1151" i="10" s="1"/>
  <c r="E1176" i="10"/>
  <c r="G1176" i="10" s="1"/>
  <c r="E1201" i="10"/>
  <c r="G1201" i="10" s="1"/>
  <c r="E1226" i="10"/>
  <c r="G1226" i="10" s="1"/>
  <c r="E1321" i="10"/>
  <c r="G1321" i="10" s="1"/>
  <c r="E1708" i="10"/>
  <c r="G1708" i="10" s="1"/>
  <c r="E1750" i="10"/>
  <c r="G1750" i="10" s="1"/>
  <c r="E1842" i="10"/>
  <c r="G1842" i="10" s="1"/>
  <c r="H2" i="11" a="1"/>
  <c r="E1136" i="10"/>
  <c r="G1136" i="10" s="1"/>
  <c r="E1161" i="10"/>
  <c r="G1161" i="10" s="1"/>
  <c r="E1186" i="10"/>
  <c r="G1186" i="10" s="1"/>
  <c r="E1211" i="10"/>
  <c r="G1211" i="10" s="1"/>
  <c r="E1246" i="10"/>
  <c r="G1246" i="10" s="1"/>
  <c r="E1256" i="10"/>
  <c r="G1256" i="10" s="1"/>
  <c r="E1425" i="10"/>
  <c r="G1425" i="10" s="1"/>
  <c r="E1071" i="10"/>
  <c r="G1071" i="10" s="1"/>
  <c r="E1096" i="10"/>
  <c r="G1096" i="10" s="1"/>
  <c r="E1121" i="10"/>
  <c r="G1121" i="10" s="1"/>
  <c r="E1146" i="10"/>
  <c r="G1146" i="10" s="1"/>
  <c r="E1171" i="10"/>
  <c r="G1171" i="10" s="1"/>
  <c r="E1196" i="10"/>
  <c r="G1196" i="10" s="1"/>
  <c r="E1221" i="10"/>
  <c r="G1221" i="10" s="1"/>
  <c r="E1266" i="10"/>
  <c r="G1266" i="10" s="1"/>
  <c r="E1276" i="10"/>
  <c r="G1276" i="10" s="1"/>
  <c r="E1346" i="10"/>
  <c r="G1346" i="10" s="1"/>
  <c r="E1433" i="10"/>
  <c r="G1433" i="10" s="1"/>
  <c r="E1682" i="10"/>
  <c r="G1682" i="10" s="1"/>
  <c r="E1081" i="10"/>
  <c r="G1081" i="10" s="1"/>
  <c r="E1106" i="10"/>
  <c r="G1106" i="10" s="1"/>
  <c r="E1131" i="10"/>
  <c r="G1131" i="10" s="1"/>
  <c r="E1156" i="10"/>
  <c r="G1156" i="10" s="1"/>
  <c r="E1181" i="10"/>
  <c r="G1181" i="10" s="1"/>
  <c r="E1206" i="10"/>
  <c r="G1206" i="10" s="1"/>
  <c r="E1296" i="10"/>
  <c r="G1296" i="10" s="1"/>
  <c r="E1490" i="10"/>
  <c r="G1490" i="10" s="1"/>
  <c r="E1545" i="10"/>
  <c r="G1545" i="10" s="1"/>
  <c r="E1595" i="10"/>
  <c r="G1595" i="10" s="1"/>
  <c r="E1753" i="10"/>
  <c r="G1753" i="10" s="1"/>
  <c r="E1066" i="10"/>
  <c r="G1066" i="10" s="1"/>
  <c r="E1091" i="10"/>
  <c r="G1091" i="10" s="1"/>
  <c r="E1116" i="10"/>
  <c r="G1116" i="10" s="1"/>
  <c r="E1141" i="10"/>
  <c r="G1141" i="10" s="1"/>
  <c r="E1166" i="10"/>
  <c r="G1166" i="10" s="1"/>
  <c r="E1191" i="10"/>
  <c r="G1191" i="10" s="1"/>
  <c r="E1216" i="10"/>
  <c r="G1216" i="10" s="1"/>
  <c r="E1371" i="10"/>
  <c r="G1371" i="10" s="1"/>
  <c r="E1448" i="10"/>
  <c r="G1448" i="10" s="1"/>
  <c r="E1550" i="10"/>
  <c r="G1550" i="10" s="1"/>
  <c r="E1675" i="10"/>
  <c r="G1675" i="10" s="1"/>
  <c r="E1236" i="10"/>
  <c r="G1236" i="10" s="1"/>
  <c r="E1261" i="10"/>
  <c r="G1261" i="10" s="1"/>
  <c r="E1286" i="10"/>
  <c r="G1286" i="10" s="1"/>
  <c r="E1311" i="10"/>
  <c r="G1311" i="10" s="1"/>
  <c r="E1336" i="10"/>
  <c r="G1336" i="10" s="1"/>
  <c r="E1361" i="10"/>
  <c r="G1361" i="10" s="1"/>
  <c r="E1386" i="10"/>
  <c r="G1386" i="10" s="1"/>
  <c r="E1412" i="10"/>
  <c r="G1412" i="10" s="1"/>
  <c r="E1477" i="10"/>
  <c r="G1477" i="10" s="1"/>
  <c r="E1496" i="10"/>
  <c r="G1496" i="10" s="1"/>
  <c r="E1548" i="10"/>
  <c r="G1548" i="10" s="1"/>
  <c r="E1561" i="10"/>
  <c r="G1561" i="10" s="1"/>
  <c r="E1633" i="10"/>
  <c r="G1633" i="10" s="1"/>
  <c r="E1662" i="10"/>
  <c r="G1662" i="10" s="1"/>
  <c r="E1727" i="10"/>
  <c r="G1727" i="10" s="1"/>
  <c r="E1746" i="10"/>
  <c r="G1746" i="10" s="1"/>
  <c r="E1798" i="10"/>
  <c r="G1798" i="10" s="1"/>
  <c r="E1811" i="10"/>
  <c r="G1811" i="10" s="1"/>
  <c r="E1845" i="10"/>
  <c r="G1845" i="10" s="1"/>
  <c r="E1575" i="10"/>
  <c r="G1575" i="10" s="1"/>
  <c r="E1640" i="10"/>
  <c r="G1640" i="10" s="1"/>
  <c r="E1857" i="10"/>
  <c r="G1857" i="10" s="1"/>
  <c r="E1877" i="10"/>
  <c r="G1877" i="10" s="1"/>
  <c r="E1540" i="10"/>
  <c r="G1540" i="10" s="1"/>
  <c r="E1725" i="10"/>
  <c r="G1725" i="10" s="1"/>
  <c r="E1790" i="10"/>
  <c r="G1790" i="10" s="1"/>
  <c r="E1839" i="10"/>
  <c r="G1839" i="10" s="1"/>
  <c r="E1854" i="10"/>
  <c r="G1854" i="10" s="1"/>
  <c r="E1440" i="10"/>
  <c r="G1440" i="10" s="1"/>
  <c r="E1625" i="10"/>
  <c r="G1625" i="10" s="1"/>
  <c r="E1690" i="10"/>
  <c r="G1690" i="10" s="1"/>
  <c r="E1929" i="10"/>
  <c r="G1929" i="10" s="1"/>
  <c r="E1895" i="10"/>
  <c r="G1895" i="10" s="1"/>
  <c r="E1840" i="10"/>
  <c r="G1840" i="10" s="1"/>
  <c r="E1855" i="10"/>
  <c r="G1855" i="10" s="1"/>
  <c r="E1882" i="10"/>
  <c r="G1882" i="10" s="1"/>
  <c r="E1920" i="10"/>
  <c r="G1920" i="10" s="1"/>
  <c r="E1829" i="10"/>
  <c r="G1829" i="10" s="1"/>
  <c r="E1907" i="10"/>
  <c r="G1907" i="10" s="1"/>
  <c r="E1875" i="10"/>
  <c r="G1875" i="10" s="1"/>
  <c r="E1925" i="10"/>
  <c r="G1925" i="10" s="1"/>
  <c r="E1905" i="10"/>
  <c r="G1905" i="10" s="1"/>
  <c r="I2" i="11" a="1"/>
  <c r="E1850" i="10"/>
  <c r="G1850" i="10" s="1"/>
  <c r="E1900" i="10"/>
  <c r="G1900" i="10" s="1"/>
  <c r="E1941" i="10"/>
  <c r="G1941" i="10" s="1"/>
  <c r="E1" i="11"/>
  <c r="E2" i="11" s="1"/>
  <c r="I2453" i="7" l="1"/>
  <c r="I2443" i="7"/>
  <c r="I2433" i="7"/>
  <c r="I2423" i="7"/>
  <c r="I2413" i="7"/>
  <c r="I2403" i="7"/>
  <c r="I2393" i="7"/>
  <c r="I2383" i="7"/>
  <c r="I2373" i="7"/>
  <c r="I2363" i="7"/>
  <c r="I2353" i="7"/>
  <c r="I2343" i="7"/>
  <c r="I2333" i="7"/>
  <c r="I2323" i="7"/>
  <c r="I2313" i="7"/>
  <c r="I2303" i="7"/>
  <c r="I2293" i="7"/>
  <c r="I2283" i="7"/>
  <c r="I2273" i="7"/>
  <c r="I2263" i="7"/>
  <c r="I2253" i="7"/>
  <c r="I2243" i="7"/>
  <c r="I2233" i="7"/>
  <c r="I2223" i="7"/>
  <c r="I2213" i="7"/>
  <c r="I2203" i="7"/>
  <c r="I2193" i="7"/>
  <c r="I2183" i="7"/>
  <c r="I2173" i="7"/>
  <c r="I2163" i="7"/>
  <c r="I2153" i="7"/>
  <c r="I2143" i="7"/>
  <c r="I2133" i="7"/>
  <c r="I2123" i="7"/>
  <c r="I2113" i="7"/>
  <c r="I2103" i="7"/>
  <c r="I2093" i="7"/>
  <c r="I2083" i="7"/>
  <c r="I2073" i="7"/>
  <c r="I2063" i="7"/>
  <c r="I2053" i="7"/>
  <c r="I2043" i="7"/>
  <c r="I2033" i="7"/>
  <c r="I2023" i="7"/>
  <c r="I2013" i="7"/>
  <c r="I2003" i="7"/>
  <c r="I1993" i="7"/>
  <c r="I1983" i="7"/>
  <c r="I1973" i="7"/>
  <c r="I1963" i="7"/>
  <c r="I1953" i="7"/>
  <c r="I1943" i="7"/>
  <c r="I1933" i="7"/>
  <c r="I1923" i="7"/>
  <c r="I1913" i="7"/>
  <c r="I1903" i="7"/>
  <c r="I1893" i="7"/>
  <c r="I1883" i="7"/>
  <c r="I1873" i="7"/>
  <c r="I1863" i="7"/>
  <c r="I1853" i="7"/>
  <c r="I1843" i="7"/>
  <c r="I1833" i="7"/>
  <c r="I1823" i="7"/>
  <c r="I1813" i="7"/>
  <c r="I1803" i="7"/>
  <c r="I1793" i="7"/>
  <c r="I1783" i="7"/>
  <c r="I1773" i="7"/>
  <c r="I1763" i="7"/>
  <c r="I1753" i="7"/>
  <c r="I1743" i="7"/>
  <c r="I1733" i="7"/>
  <c r="I1723" i="7"/>
  <c r="I1713" i="7"/>
  <c r="I1703" i="7"/>
  <c r="I1693" i="7"/>
  <c r="I1683" i="7"/>
  <c r="I1673" i="7"/>
  <c r="I1663" i="7"/>
  <c r="I1653" i="7"/>
  <c r="I1643" i="7"/>
  <c r="I1633" i="7"/>
  <c r="I1623" i="7"/>
  <c r="I1613" i="7"/>
  <c r="I1603" i="7"/>
  <c r="I1593" i="7"/>
  <c r="I1583" i="7"/>
  <c r="I1573" i="7"/>
  <c r="I1563" i="7"/>
  <c r="I1553" i="7"/>
  <c r="I1543" i="7"/>
  <c r="I1533" i="7"/>
  <c r="I1523" i="7"/>
  <c r="I1513" i="7"/>
  <c r="I1503" i="7"/>
  <c r="I1493" i="7"/>
  <c r="I1483" i="7"/>
  <c r="I1473" i="7"/>
  <c r="I1463" i="7"/>
  <c r="I1453" i="7"/>
  <c r="I1443" i="7"/>
  <c r="I1433" i="7"/>
  <c r="I1423" i="7"/>
  <c r="I1413" i="7"/>
  <c r="I1403" i="7"/>
  <c r="I1393" i="7"/>
  <c r="I1383" i="7"/>
  <c r="I1373" i="7"/>
  <c r="I1363" i="7"/>
  <c r="I1353" i="7"/>
  <c r="I1343" i="7"/>
  <c r="I1333" i="7"/>
  <c r="I1323" i="7"/>
  <c r="I1313" i="7"/>
  <c r="I1303" i="7"/>
  <c r="I1293" i="7"/>
  <c r="I1283" i="7"/>
  <c r="I1273" i="7"/>
  <c r="I1263" i="7"/>
  <c r="I1253" i="7"/>
  <c r="I1243" i="7"/>
  <c r="I1233" i="7"/>
  <c r="I1223" i="7"/>
  <c r="I1213" i="7"/>
  <c r="I1203" i="7"/>
  <c r="I1193" i="7"/>
  <c r="I1183" i="7"/>
  <c r="I1173" i="7"/>
  <c r="I1163" i="7"/>
  <c r="I1153" i="7"/>
  <c r="I1143" i="7"/>
  <c r="I1133" i="7"/>
  <c r="I1123" i="7"/>
  <c r="I1113" i="7"/>
  <c r="I1103" i="7"/>
  <c r="I1093" i="7"/>
  <c r="I1083" i="7"/>
  <c r="I1073" i="7"/>
  <c r="I1063" i="7"/>
  <c r="I1053" i="7"/>
  <c r="I1043" i="7"/>
  <c r="I1033" i="7"/>
  <c r="I1023" i="7"/>
  <c r="I1013" i="7"/>
  <c r="I1003" i="7"/>
  <c r="I993" i="7"/>
  <c r="I983" i="7"/>
  <c r="I973" i="7"/>
  <c r="I963" i="7"/>
  <c r="I953" i="7"/>
  <c r="I943" i="7"/>
  <c r="I933" i="7"/>
  <c r="I923" i="7"/>
  <c r="I913" i="7"/>
  <c r="I903" i="7"/>
  <c r="I893" i="7"/>
  <c r="I883" i="7"/>
  <c r="I873" i="7"/>
  <c r="I863" i="7"/>
  <c r="I853" i="7"/>
  <c r="I843" i="7"/>
  <c r="I833" i="7"/>
  <c r="I823" i="7"/>
  <c r="I813" i="7"/>
  <c r="I803" i="7"/>
  <c r="I793" i="7"/>
  <c r="I783" i="7"/>
  <c r="I773" i="7"/>
  <c r="I763" i="7"/>
  <c r="I753" i="7"/>
  <c r="I743" i="7"/>
  <c r="I733" i="7"/>
  <c r="I723" i="7"/>
  <c r="I713" i="7"/>
  <c r="I703" i="7"/>
  <c r="I693" i="7"/>
  <c r="I683" i="7"/>
  <c r="I673" i="7"/>
  <c r="I663" i="7"/>
  <c r="I653" i="7"/>
  <c r="I643" i="7"/>
  <c r="I633" i="7"/>
  <c r="I623" i="7"/>
  <c r="I613" i="7"/>
  <c r="I603" i="7"/>
  <c r="I593" i="7"/>
  <c r="I583" i="7"/>
  <c r="I573" i="7"/>
  <c r="I563" i="7"/>
  <c r="I553" i="7"/>
  <c r="I543" i="7"/>
  <c r="I533" i="7"/>
  <c r="I523" i="7"/>
  <c r="I513" i="7"/>
  <c r="I503" i="7"/>
  <c r="I493" i="7"/>
  <c r="I483" i="7"/>
  <c r="I473" i="7"/>
  <c r="I463" i="7"/>
  <c r="I453" i="7"/>
  <c r="I443" i="7"/>
  <c r="I433" i="7"/>
  <c r="I423" i="7"/>
  <c r="I413" i="7"/>
  <c r="I403" i="7"/>
  <c r="I393" i="7"/>
  <c r="I383" i="7"/>
  <c r="I373" i="7"/>
  <c r="I363" i="7"/>
  <c r="I353" i="7"/>
  <c r="I343" i="7"/>
  <c r="I333" i="7"/>
  <c r="I323" i="7"/>
  <c r="I313" i="7"/>
  <c r="I303" i="7"/>
  <c r="I293" i="7"/>
  <c r="I283" i="7"/>
  <c r="I273" i="7"/>
  <c r="I263" i="7"/>
  <c r="I253" i="7"/>
  <c r="I243" i="7"/>
  <c r="I233" i="7"/>
  <c r="I223" i="7"/>
  <c r="I213" i="7"/>
  <c r="I203" i="7"/>
  <c r="I193" i="7"/>
  <c r="I183" i="7"/>
  <c r="I173" i="7"/>
  <c r="I163" i="7"/>
  <c r="I153" i="7"/>
  <c r="I143" i="7"/>
  <c r="I133" i="7"/>
  <c r="I123" i="7"/>
  <c r="I113" i="7"/>
  <c r="I103" i="7"/>
  <c r="I93" i="7"/>
  <c r="I83" i="7"/>
  <c r="I73" i="7"/>
  <c r="I63" i="7"/>
  <c r="I53" i="7"/>
  <c r="I43" i="7"/>
  <c r="I33" i="7"/>
  <c r="I23" i="7"/>
  <c r="I13" i="7"/>
  <c r="I3" i="7"/>
  <c r="I2462" i="7"/>
  <c r="I2452" i="7"/>
  <c r="I2442" i="7"/>
  <c r="I2432" i="7"/>
  <c r="I2422" i="7"/>
  <c r="I2412" i="7"/>
  <c r="I2402" i="7"/>
  <c r="I2392" i="7"/>
  <c r="I2382" i="7"/>
  <c r="I2372" i="7"/>
  <c r="I2362" i="7"/>
  <c r="I2352" i="7"/>
  <c r="I2342" i="7"/>
  <c r="I2332" i="7"/>
  <c r="I2322" i="7"/>
  <c r="I2312" i="7"/>
  <c r="I2302" i="7"/>
  <c r="I2292" i="7"/>
  <c r="I2282" i="7"/>
  <c r="I2272" i="7"/>
  <c r="I2262" i="7"/>
  <c r="I2252" i="7"/>
  <c r="I2242" i="7"/>
  <c r="I2232" i="7"/>
  <c r="I2222" i="7"/>
  <c r="I2212" i="7"/>
  <c r="I2202" i="7"/>
  <c r="I2192" i="7"/>
  <c r="I2182" i="7"/>
  <c r="I2172" i="7"/>
  <c r="I2162" i="7"/>
  <c r="I2152" i="7"/>
  <c r="I2142" i="7"/>
  <c r="I2132" i="7"/>
  <c r="I2122" i="7"/>
  <c r="I2112" i="7"/>
  <c r="I2102" i="7"/>
  <c r="I2092" i="7"/>
  <c r="I2082" i="7"/>
  <c r="I2072" i="7"/>
  <c r="I2062" i="7"/>
  <c r="I2052" i="7"/>
  <c r="I2042" i="7"/>
  <c r="I2032" i="7"/>
  <c r="I2022" i="7"/>
  <c r="I2012" i="7"/>
  <c r="I2002" i="7"/>
  <c r="I1992" i="7"/>
  <c r="I1982" i="7"/>
  <c r="I1972" i="7"/>
  <c r="I1962" i="7"/>
  <c r="I1952" i="7"/>
  <c r="I1942" i="7"/>
  <c r="I1932" i="7"/>
  <c r="I1922" i="7"/>
  <c r="I1912" i="7"/>
  <c r="I1902" i="7"/>
  <c r="I1892" i="7"/>
  <c r="I1882" i="7"/>
  <c r="I1872" i="7"/>
  <c r="I1862" i="7"/>
  <c r="I1852" i="7"/>
  <c r="I1842" i="7"/>
  <c r="I1832" i="7"/>
  <c r="I1822" i="7"/>
  <c r="I1812" i="7"/>
  <c r="I1802" i="7"/>
  <c r="I1792" i="7"/>
  <c r="I1782" i="7"/>
  <c r="I1772" i="7"/>
  <c r="I1762" i="7"/>
  <c r="I1752" i="7"/>
  <c r="I1742" i="7"/>
  <c r="I1732" i="7"/>
  <c r="I1722" i="7"/>
  <c r="I1712" i="7"/>
  <c r="I1702" i="7"/>
  <c r="I1692" i="7"/>
  <c r="I1682" i="7"/>
  <c r="I1672" i="7"/>
  <c r="I1662" i="7"/>
  <c r="I1652" i="7"/>
  <c r="I1642" i="7"/>
  <c r="I1632" i="7"/>
  <c r="I1622" i="7"/>
  <c r="I1612" i="7"/>
  <c r="I1602" i="7"/>
  <c r="I1592" i="7"/>
  <c r="I1582" i="7"/>
  <c r="I1572" i="7"/>
  <c r="I1562" i="7"/>
  <c r="I1552" i="7"/>
  <c r="I1542" i="7"/>
  <c r="I1532" i="7"/>
  <c r="I1522" i="7"/>
  <c r="I1512" i="7"/>
  <c r="I1502" i="7"/>
  <c r="I1492" i="7"/>
  <c r="I1482" i="7"/>
  <c r="I1472" i="7"/>
  <c r="I1462" i="7"/>
  <c r="I1452" i="7"/>
  <c r="I1442" i="7"/>
  <c r="I1432" i="7"/>
  <c r="I1422" i="7"/>
  <c r="I1412" i="7"/>
  <c r="I1402" i="7"/>
  <c r="I1392" i="7"/>
  <c r="I1382" i="7"/>
  <c r="I1372" i="7"/>
  <c r="I1362" i="7"/>
  <c r="I1352" i="7"/>
  <c r="I1342" i="7"/>
  <c r="I1332" i="7"/>
  <c r="I1322" i="7"/>
  <c r="I1312" i="7"/>
  <c r="I1302" i="7"/>
  <c r="I1292" i="7"/>
  <c r="I1282" i="7"/>
  <c r="I1272" i="7"/>
  <c r="I1262" i="7"/>
  <c r="I1252" i="7"/>
  <c r="I1242" i="7"/>
  <c r="I1232" i="7"/>
  <c r="I1222" i="7"/>
  <c r="I1212" i="7"/>
  <c r="I1202" i="7"/>
  <c r="I1192" i="7"/>
  <c r="I1182" i="7"/>
  <c r="I1172" i="7"/>
  <c r="I1162" i="7"/>
  <c r="I1152" i="7"/>
  <c r="I1142" i="7"/>
  <c r="I1132" i="7"/>
  <c r="I1122" i="7"/>
  <c r="I1112" i="7"/>
  <c r="I1102" i="7"/>
  <c r="I1092" i="7"/>
  <c r="I1082" i="7"/>
  <c r="I1072" i="7"/>
  <c r="I1062" i="7"/>
  <c r="I1052" i="7"/>
  <c r="I1042" i="7"/>
  <c r="I1032" i="7"/>
  <c r="I1022" i="7"/>
  <c r="I1012" i="7"/>
  <c r="I1002" i="7"/>
  <c r="I992" i="7"/>
  <c r="I982" i="7"/>
  <c r="I972" i="7"/>
  <c r="I962" i="7"/>
  <c r="I952" i="7"/>
  <c r="I942" i="7"/>
  <c r="I932" i="7"/>
  <c r="I922" i="7"/>
  <c r="I912" i="7"/>
  <c r="I902" i="7"/>
  <c r="I892" i="7"/>
  <c r="I882" i="7"/>
  <c r="I872" i="7"/>
  <c r="I862" i="7"/>
  <c r="I852" i="7"/>
  <c r="I842" i="7"/>
  <c r="I832" i="7"/>
  <c r="I822" i="7"/>
  <c r="I812" i="7"/>
  <c r="I802" i="7"/>
  <c r="I792" i="7"/>
  <c r="I782" i="7"/>
  <c r="I772" i="7"/>
  <c r="I762" i="7"/>
  <c r="I752" i="7"/>
  <c r="I742" i="7"/>
  <c r="I732" i="7"/>
  <c r="I722" i="7"/>
  <c r="I712" i="7"/>
  <c r="I702" i="7"/>
  <c r="I692" i="7"/>
  <c r="I682" i="7"/>
  <c r="I672" i="7"/>
  <c r="I662" i="7"/>
  <c r="I652" i="7"/>
  <c r="I642" i="7"/>
  <c r="I632" i="7"/>
  <c r="I622" i="7"/>
  <c r="I612" i="7"/>
  <c r="I602" i="7"/>
  <c r="I592" i="7"/>
  <c r="I582" i="7"/>
  <c r="I572" i="7"/>
  <c r="I562" i="7"/>
  <c r="I552" i="7"/>
  <c r="I542" i="7"/>
  <c r="I532" i="7"/>
  <c r="I522" i="7"/>
  <c r="I512" i="7"/>
  <c r="I502" i="7"/>
  <c r="I492" i="7"/>
  <c r="I482" i="7"/>
  <c r="I472" i="7"/>
  <c r="I462" i="7"/>
  <c r="I452" i="7"/>
  <c r="I442" i="7"/>
  <c r="I432" i="7"/>
  <c r="I422" i="7"/>
  <c r="I412" i="7"/>
  <c r="I402" i="7"/>
  <c r="I392" i="7"/>
  <c r="I382" i="7"/>
  <c r="I372" i="7"/>
  <c r="I362" i="7"/>
  <c r="I352" i="7"/>
  <c r="I342" i="7"/>
  <c r="I332" i="7"/>
  <c r="I322" i="7"/>
  <c r="I312" i="7"/>
  <c r="I302" i="7"/>
  <c r="I292" i="7"/>
  <c r="I282" i="7"/>
  <c r="I272" i="7"/>
  <c r="I262" i="7"/>
  <c r="I252" i="7"/>
  <c r="I242" i="7"/>
  <c r="I232" i="7"/>
  <c r="I222" i="7"/>
  <c r="I212" i="7"/>
  <c r="I202" i="7"/>
  <c r="I192" i="7"/>
  <c r="I182" i="7"/>
  <c r="I172" i="7"/>
  <c r="I162" i="7"/>
  <c r="I152" i="7"/>
  <c r="I142" i="7"/>
  <c r="I132" i="7"/>
  <c r="I122" i="7"/>
  <c r="I112" i="7"/>
  <c r="I102" i="7"/>
  <c r="I92" i="7"/>
  <c r="I82" i="7"/>
  <c r="I72" i="7"/>
  <c r="I62" i="7"/>
  <c r="I52" i="7"/>
  <c r="I42" i="7"/>
  <c r="I32" i="7"/>
  <c r="I22" i="7"/>
  <c r="I12" i="7"/>
  <c r="I2461" i="7"/>
  <c r="I2451" i="7"/>
  <c r="I2441" i="7"/>
  <c r="I2431" i="7"/>
  <c r="I2421" i="7"/>
  <c r="I2411" i="7"/>
  <c r="I2401" i="7"/>
  <c r="I2391" i="7"/>
  <c r="I2381" i="7"/>
  <c r="I2371" i="7"/>
  <c r="I2361" i="7"/>
  <c r="I2351" i="7"/>
  <c r="I2341" i="7"/>
  <c r="I2331" i="7"/>
  <c r="I2321" i="7"/>
  <c r="I2311" i="7"/>
  <c r="I2301" i="7"/>
  <c r="I2291" i="7"/>
  <c r="I2281" i="7"/>
  <c r="I2271" i="7"/>
  <c r="I2261" i="7"/>
  <c r="I2251" i="7"/>
  <c r="I2241" i="7"/>
  <c r="I2231" i="7"/>
  <c r="I2221" i="7"/>
  <c r="I2211" i="7"/>
  <c r="I2201" i="7"/>
  <c r="I2191" i="7"/>
  <c r="I2181" i="7"/>
  <c r="I2171" i="7"/>
  <c r="I2161" i="7"/>
  <c r="I2151" i="7"/>
  <c r="I2141" i="7"/>
  <c r="I2131" i="7"/>
  <c r="I2121" i="7"/>
  <c r="I2111" i="7"/>
  <c r="I2101" i="7"/>
  <c r="I2091" i="7"/>
  <c r="I2081" i="7"/>
  <c r="I2071" i="7"/>
  <c r="I2061" i="7"/>
  <c r="I2051" i="7"/>
  <c r="I2041" i="7"/>
  <c r="I2031" i="7"/>
  <c r="I2021" i="7"/>
  <c r="I2011" i="7"/>
  <c r="I2001" i="7"/>
  <c r="I1991" i="7"/>
  <c r="I1981" i="7"/>
  <c r="I1971" i="7"/>
  <c r="I1961" i="7"/>
  <c r="I1951" i="7"/>
  <c r="I1941" i="7"/>
  <c r="I1931" i="7"/>
  <c r="I1921" i="7"/>
  <c r="I1911" i="7"/>
  <c r="I1901" i="7"/>
  <c r="I1891" i="7"/>
  <c r="I1881" i="7"/>
  <c r="I1871" i="7"/>
  <c r="I1861" i="7"/>
  <c r="I1851" i="7"/>
  <c r="I1841" i="7"/>
  <c r="I1831" i="7"/>
  <c r="I1821" i="7"/>
  <c r="I1811" i="7"/>
  <c r="I1801" i="7"/>
  <c r="I1791" i="7"/>
  <c r="I1781" i="7"/>
  <c r="I1771" i="7"/>
  <c r="I1761" i="7"/>
  <c r="I1751" i="7"/>
  <c r="I1741" i="7"/>
  <c r="I1731" i="7"/>
  <c r="I1721" i="7"/>
  <c r="I1711" i="7"/>
  <c r="I1701" i="7"/>
  <c r="I1691" i="7"/>
  <c r="I1681" i="7"/>
  <c r="I1671" i="7"/>
  <c r="I1661" i="7"/>
  <c r="I1651" i="7"/>
  <c r="I1641" i="7"/>
  <c r="I1631" i="7"/>
  <c r="I1621" i="7"/>
  <c r="I1611" i="7"/>
  <c r="I1601" i="7"/>
  <c r="I1591" i="7"/>
  <c r="I1581" i="7"/>
  <c r="I1571" i="7"/>
  <c r="I1561" i="7"/>
  <c r="I1551" i="7"/>
  <c r="I1541" i="7"/>
  <c r="I1531" i="7"/>
  <c r="I1521" i="7"/>
  <c r="I1511" i="7"/>
  <c r="I1501" i="7"/>
  <c r="I1491" i="7"/>
  <c r="I1481" i="7"/>
  <c r="I1471" i="7"/>
  <c r="I1461" i="7"/>
  <c r="I1451" i="7"/>
  <c r="I1441" i="7"/>
  <c r="I1431" i="7"/>
  <c r="I1421" i="7"/>
  <c r="I1411" i="7"/>
  <c r="I1401" i="7"/>
  <c r="I1391" i="7"/>
  <c r="I1381" i="7"/>
  <c r="I1371" i="7"/>
  <c r="I1361" i="7"/>
  <c r="I1351" i="7"/>
  <c r="I1341" i="7"/>
  <c r="I1331" i="7"/>
  <c r="I1321" i="7"/>
  <c r="I1311" i="7"/>
  <c r="I1301" i="7"/>
  <c r="I1291" i="7"/>
  <c r="I1281" i="7"/>
  <c r="I1271" i="7"/>
  <c r="I1261" i="7"/>
  <c r="I1251" i="7"/>
  <c r="I2454" i="7"/>
  <c r="I2438" i="7"/>
  <c r="I2425" i="7"/>
  <c r="I2409" i="7"/>
  <c r="I2396" i="7"/>
  <c r="I2380" i="7"/>
  <c r="I2367" i="7"/>
  <c r="I2354" i="7"/>
  <c r="I2338" i="7"/>
  <c r="I2325" i="7"/>
  <c r="I2309" i="7"/>
  <c r="I2296" i="7"/>
  <c r="I2280" i="7"/>
  <c r="I2267" i="7"/>
  <c r="I2254" i="7"/>
  <c r="I2238" i="7"/>
  <c r="I2225" i="7"/>
  <c r="I2209" i="7"/>
  <c r="I2196" i="7"/>
  <c r="I2180" i="7"/>
  <c r="I2167" i="7"/>
  <c r="I2154" i="7"/>
  <c r="I2138" i="7"/>
  <c r="I2125" i="7"/>
  <c r="I2109" i="7"/>
  <c r="I2096" i="7"/>
  <c r="I2080" i="7"/>
  <c r="I2067" i="7"/>
  <c r="I2054" i="7"/>
  <c r="I2038" i="7"/>
  <c r="I2025" i="7"/>
  <c r="I2009" i="7"/>
  <c r="I1996" i="7"/>
  <c r="I1980" i="7"/>
  <c r="I1967" i="7"/>
  <c r="I1954" i="7"/>
  <c r="I1938" i="7"/>
  <c r="I1925" i="7"/>
  <c r="I1909" i="7"/>
  <c r="I1896" i="7"/>
  <c r="I1880" i="7"/>
  <c r="I1867" i="7"/>
  <c r="I1854" i="7"/>
  <c r="I1838" i="7"/>
  <c r="I1825" i="7"/>
  <c r="I1809" i="7"/>
  <c r="I1796" i="7"/>
  <c r="I1780" i="7"/>
  <c r="I1767" i="7"/>
  <c r="I1754" i="7"/>
  <c r="I1738" i="7"/>
  <c r="I1725" i="7"/>
  <c r="I1709" i="7"/>
  <c r="I1696" i="7"/>
  <c r="I1680" i="7"/>
  <c r="I1667" i="7"/>
  <c r="I1654" i="7"/>
  <c r="I1638" i="7"/>
  <c r="I1625" i="7"/>
  <c r="I1609" i="7"/>
  <c r="I1596" i="7"/>
  <c r="I1580" i="7"/>
  <c r="I1567" i="7"/>
  <c r="I1554" i="7"/>
  <c r="I1538" i="7"/>
  <c r="I1525" i="7"/>
  <c r="I1509" i="7"/>
  <c r="I1496" i="7"/>
  <c r="I1480" i="7"/>
  <c r="I1467" i="7"/>
  <c r="I1454" i="7"/>
  <c r="I1438" i="7"/>
  <c r="I1425" i="7"/>
  <c r="I1409" i="7"/>
  <c r="I1396" i="7"/>
  <c r="I1380" i="7"/>
  <c r="I1367" i="7"/>
  <c r="I1354" i="7"/>
  <c r="I1338" i="7"/>
  <c r="I1325" i="7"/>
  <c r="I1309" i="7"/>
  <c r="I1296" i="7"/>
  <c r="I1280" i="7"/>
  <c r="I1267" i="7"/>
  <c r="I1254" i="7"/>
  <c r="I1239" i="7"/>
  <c r="I1227" i="7"/>
  <c r="I1215" i="7"/>
  <c r="I1201" i="7"/>
  <c r="I1189" i="7"/>
  <c r="I1177" i="7"/>
  <c r="I1165" i="7"/>
  <c r="I1151" i="7"/>
  <c r="I1139" i="7"/>
  <c r="I1127" i="7"/>
  <c r="I1115" i="7"/>
  <c r="I1101" i="7"/>
  <c r="I1089" i="7"/>
  <c r="I1077" i="7"/>
  <c r="I1065" i="7"/>
  <c r="I1051" i="7"/>
  <c r="I1039" i="7"/>
  <c r="I1027" i="7"/>
  <c r="I1015" i="7"/>
  <c r="I1001" i="7"/>
  <c r="I989" i="7"/>
  <c r="I977" i="7"/>
  <c r="I965" i="7"/>
  <c r="I951" i="7"/>
  <c r="I939" i="7"/>
  <c r="I927" i="7"/>
  <c r="I915" i="7"/>
  <c r="I901" i="7"/>
  <c r="I889" i="7"/>
  <c r="I877" i="7"/>
  <c r="I865" i="7"/>
  <c r="I851" i="7"/>
  <c r="I839" i="7"/>
  <c r="I827" i="7"/>
  <c r="I815" i="7"/>
  <c r="I801" i="7"/>
  <c r="I789" i="7"/>
  <c r="I777" i="7"/>
  <c r="I765" i="7"/>
  <c r="I751" i="7"/>
  <c r="I739" i="7"/>
  <c r="I727" i="7"/>
  <c r="I715" i="7"/>
  <c r="I701" i="7"/>
  <c r="I689" i="7"/>
  <c r="I677" i="7"/>
  <c r="I665" i="7"/>
  <c r="I651" i="7"/>
  <c r="I639" i="7"/>
  <c r="I627" i="7"/>
  <c r="I615" i="7"/>
  <c r="I601" i="7"/>
  <c r="I589" i="7"/>
  <c r="I577" i="7"/>
  <c r="I565" i="7"/>
  <c r="I551" i="7"/>
  <c r="I539" i="7"/>
  <c r="I527" i="7"/>
  <c r="I515" i="7"/>
  <c r="I501" i="7"/>
  <c r="I489" i="7"/>
  <c r="I477" i="7"/>
  <c r="I465" i="7"/>
  <c r="I451" i="7"/>
  <c r="I439" i="7"/>
  <c r="I427" i="7"/>
  <c r="I415" i="7"/>
  <c r="I401" i="7"/>
  <c r="I389" i="7"/>
  <c r="I377" i="7"/>
  <c r="I365" i="7"/>
  <c r="I351" i="7"/>
  <c r="I339" i="7"/>
  <c r="I327" i="7"/>
  <c r="I315" i="7"/>
  <c r="I301" i="7"/>
  <c r="I289" i="7"/>
  <c r="I277" i="7"/>
  <c r="I265" i="7"/>
  <c r="I251" i="7"/>
  <c r="I239" i="7"/>
  <c r="I227" i="7"/>
  <c r="I215" i="7"/>
  <c r="I201" i="7"/>
  <c r="I189" i="7"/>
  <c r="I177" i="7"/>
  <c r="I165" i="7"/>
  <c r="I151" i="7"/>
  <c r="I139" i="7"/>
  <c r="I127" i="7"/>
  <c r="I115" i="7"/>
  <c r="I101" i="7"/>
  <c r="I89" i="7"/>
  <c r="I77" i="7"/>
  <c r="I65" i="7"/>
  <c r="I51" i="7"/>
  <c r="I39" i="7"/>
  <c r="I27" i="7"/>
  <c r="I15" i="7"/>
  <c r="I2" i="7"/>
  <c r="I2450" i="7"/>
  <c r="I2437" i="7"/>
  <c r="I2424" i="7"/>
  <c r="I2408" i="7"/>
  <c r="I2395" i="7"/>
  <c r="I2379" i="7"/>
  <c r="I2366" i="7"/>
  <c r="I2350" i="7"/>
  <c r="I2337" i="7"/>
  <c r="I2324" i="7"/>
  <c r="I2308" i="7"/>
  <c r="I2295" i="7"/>
  <c r="I2279" i="7"/>
  <c r="I2266" i="7"/>
  <c r="I2250" i="7"/>
  <c r="I2237" i="7"/>
  <c r="I2224" i="7"/>
  <c r="I2208" i="7"/>
  <c r="I2195" i="7"/>
  <c r="I2179" i="7"/>
  <c r="I2166" i="7"/>
  <c r="I2150" i="7"/>
  <c r="I2137" i="7"/>
  <c r="I2124" i="7"/>
  <c r="I2108" i="7"/>
  <c r="I2095" i="7"/>
  <c r="I2079" i="7"/>
  <c r="I2066" i="7"/>
  <c r="I2050" i="7"/>
  <c r="I2037" i="7"/>
  <c r="I2024" i="7"/>
  <c r="I2008" i="7"/>
  <c r="I1995" i="7"/>
  <c r="I1979" i="7"/>
  <c r="I1966" i="7"/>
  <c r="I1950" i="7"/>
  <c r="I1937" i="7"/>
  <c r="I1924" i="7"/>
  <c r="I1908" i="7"/>
  <c r="I1895" i="7"/>
  <c r="I1879" i="7"/>
  <c r="I1866" i="7"/>
  <c r="I1850" i="7"/>
  <c r="I1837" i="7"/>
  <c r="I1824" i="7"/>
  <c r="I1808" i="7"/>
  <c r="I1795" i="7"/>
  <c r="I1779" i="7"/>
  <c r="I1766" i="7"/>
  <c r="I1750" i="7"/>
  <c r="I1737" i="7"/>
  <c r="I1724" i="7"/>
  <c r="I1708" i="7"/>
  <c r="I1695" i="7"/>
  <c r="I1679" i="7"/>
  <c r="I1666" i="7"/>
  <c r="I1650" i="7"/>
  <c r="I1637" i="7"/>
  <c r="I1624" i="7"/>
  <c r="I1608" i="7"/>
  <c r="I1595" i="7"/>
  <c r="I1579" i="7"/>
  <c r="I1566" i="7"/>
  <c r="I1550" i="7"/>
  <c r="I1537" i="7"/>
  <c r="I1524" i="7"/>
  <c r="I1508" i="7"/>
  <c r="I1495" i="7"/>
  <c r="I1479" i="7"/>
  <c r="I1466" i="7"/>
  <c r="I1450" i="7"/>
  <c r="I1437" i="7"/>
  <c r="I1424" i="7"/>
  <c r="I1408" i="7"/>
  <c r="I1395" i="7"/>
  <c r="I1379" i="7"/>
  <c r="I1366" i="7"/>
  <c r="I1350" i="7"/>
  <c r="I1337" i="7"/>
  <c r="I1324" i="7"/>
  <c r="I1308" i="7"/>
  <c r="I1295" i="7"/>
  <c r="I1279" i="7"/>
  <c r="I1266" i="7"/>
  <c r="I1250" i="7"/>
  <c r="I1238" i="7"/>
  <c r="I1226" i="7"/>
  <c r="I1214" i="7"/>
  <c r="I1200" i="7"/>
  <c r="I1188" i="7"/>
  <c r="I1176" i="7"/>
  <c r="I1164" i="7"/>
  <c r="I1150" i="7"/>
  <c r="I1138" i="7"/>
  <c r="I1126" i="7"/>
  <c r="I1114" i="7"/>
  <c r="I1100" i="7"/>
  <c r="I1088" i="7"/>
  <c r="I1076" i="7"/>
  <c r="I1064" i="7"/>
  <c r="I1050" i="7"/>
  <c r="I1038" i="7"/>
  <c r="I1026" i="7"/>
  <c r="I1014" i="7"/>
  <c r="I1000" i="7"/>
  <c r="I988" i="7"/>
  <c r="I976" i="7"/>
  <c r="I964" i="7"/>
  <c r="I950" i="7"/>
  <c r="I938" i="7"/>
  <c r="I926" i="7"/>
  <c r="I914" i="7"/>
  <c r="I900" i="7"/>
  <c r="I888" i="7"/>
  <c r="I876" i="7"/>
  <c r="I864" i="7"/>
  <c r="I850" i="7"/>
  <c r="I838" i="7"/>
  <c r="I826" i="7"/>
  <c r="I814" i="7"/>
  <c r="I800" i="7"/>
  <c r="I788" i="7"/>
  <c r="I776" i="7"/>
  <c r="I764" i="7"/>
  <c r="I750" i="7"/>
  <c r="I738" i="7"/>
  <c r="I726" i="7"/>
  <c r="I714" i="7"/>
  <c r="I700" i="7"/>
  <c r="I688" i="7"/>
  <c r="I676" i="7"/>
  <c r="I664" i="7"/>
  <c r="I650" i="7"/>
  <c r="I638" i="7"/>
  <c r="I626" i="7"/>
  <c r="I614" i="7"/>
  <c r="I600" i="7"/>
  <c r="I588" i="7"/>
  <c r="I576" i="7"/>
  <c r="I564" i="7"/>
  <c r="I550" i="7"/>
  <c r="I538" i="7"/>
  <c r="I526" i="7"/>
  <c r="I514" i="7"/>
  <c r="I500" i="7"/>
  <c r="I488" i="7"/>
  <c r="I476" i="7"/>
  <c r="I464" i="7"/>
  <c r="I450" i="7"/>
  <c r="I438" i="7"/>
  <c r="I426" i="7"/>
  <c r="I414" i="7"/>
  <c r="I400" i="7"/>
  <c r="I388" i="7"/>
  <c r="I376" i="7"/>
  <c r="I364" i="7"/>
  <c r="I350" i="7"/>
  <c r="I338" i="7"/>
  <c r="I326" i="7"/>
  <c r="I314" i="7"/>
  <c r="I300" i="7"/>
  <c r="I288" i="7"/>
  <c r="I276" i="7"/>
  <c r="I264" i="7"/>
  <c r="I250" i="7"/>
  <c r="I238" i="7"/>
  <c r="I226" i="7"/>
  <c r="I214" i="7"/>
  <c r="I200" i="7"/>
  <c r="I188" i="7"/>
  <c r="I176" i="7"/>
  <c r="I164" i="7"/>
  <c r="I150" i="7"/>
  <c r="I138" i="7"/>
  <c r="I126" i="7"/>
  <c r="I114" i="7"/>
  <c r="I100" i="7"/>
  <c r="I88" i="7"/>
  <c r="I76" i="7"/>
  <c r="I64" i="7"/>
  <c r="I50" i="7"/>
  <c r="I38" i="7"/>
  <c r="I26" i="7"/>
  <c r="I14" i="7"/>
  <c r="I2449" i="7"/>
  <c r="I2436" i="7"/>
  <c r="I2420" i="7"/>
  <c r="I2407" i="7"/>
  <c r="I2394" i="7"/>
  <c r="I2378" i="7"/>
  <c r="I2365" i="7"/>
  <c r="I2349" i="7"/>
  <c r="I2336" i="7"/>
  <c r="I2320" i="7"/>
  <c r="I2307" i="7"/>
  <c r="I2294" i="7"/>
  <c r="I2278" i="7"/>
  <c r="I2265" i="7"/>
  <c r="I2249" i="7"/>
  <c r="I2236" i="7"/>
  <c r="I2220" i="7"/>
  <c r="I2207" i="7"/>
  <c r="I2194" i="7"/>
  <c r="I2178" i="7"/>
  <c r="I2165" i="7"/>
  <c r="I2149" i="7"/>
  <c r="I2136" i="7"/>
  <c r="I2120" i="7"/>
  <c r="I2107" i="7"/>
  <c r="I2094" i="7"/>
  <c r="I2078" i="7"/>
  <c r="I2065" i="7"/>
  <c r="I2049" i="7"/>
  <c r="I2036" i="7"/>
  <c r="I2020" i="7"/>
  <c r="I2007" i="7"/>
  <c r="I1994" i="7"/>
  <c r="I1978" i="7"/>
  <c r="I1965" i="7"/>
  <c r="I1949" i="7"/>
  <c r="I1936" i="7"/>
  <c r="I1920" i="7"/>
  <c r="I1907" i="7"/>
  <c r="I1894" i="7"/>
  <c r="I1878" i="7"/>
  <c r="I1865" i="7"/>
  <c r="I1849" i="7"/>
  <c r="I1836" i="7"/>
  <c r="I1820" i="7"/>
  <c r="I1807" i="7"/>
  <c r="I1794" i="7"/>
  <c r="I1778" i="7"/>
  <c r="I1765" i="7"/>
  <c r="I1749" i="7"/>
  <c r="I1736" i="7"/>
  <c r="I1720" i="7"/>
  <c r="I1707" i="7"/>
  <c r="I1694" i="7"/>
  <c r="I1678" i="7"/>
  <c r="I1665" i="7"/>
  <c r="I1649" i="7"/>
  <c r="I1636" i="7"/>
  <c r="I1620" i="7"/>
  <c r="I1607" i="7"/>
  <c r="I1594" i="7"/>
  <c r="I1578" i="7"/>
  <c r="I1565" i="7"/>
  <c r="I1549" i="7"/>
  <c r="I1536" i="7"/>
  <c r="I1520" i="7"/>
  <c r="I1507" i="7"/>
  <c r="I1494" i="7"/>
  <c r="I1478" i="7"/>
  <c r="I1465" i="7"/>
  <c r="I1449" i="7"/>
  <c r="I1436" i="7"/>
  <c r="I1420" i="7"/>
  <c r="I1407" i="7"/>
  <c r="I1394" i="7"/>
  <c r="I1378" i="7"/>
  <c r="I1365" i="7"/>
  <c r="I1349" i="7"/>
  <c r="I1336" i="7"/>
  <c r="I1320" i="7"/>
  <c r="I1307" i="7"/>
  <c r="I1294" i="7"/>
  <c r="I1278" i="7"/>
  <c r="I1265" i="7"/>
  <c r="I1249" i="7"/>
  <c r="I1237" i="7"/>
  <c r="I1225" i="7"/>
  <c r="I1211" i="7"/>
  <c r="I1199" i="7"/>
  <c r="I1187" i="7"/>
  <c r="I1175" i="7"/>
  <c r="I1161" i="7"/>
  <c r="I1149" i="7"/>
  <c r="I1137" i="7"/>
  <c r="I1125" i="7"/>
  <c r="I1111" i="7"/>
  <c r="I1099" i="7"/>
  <c r="I1087" i="7"/>
  <c r="I1075" i="7"/>
  <c r="I1061" i="7"/>
  <c r="I1049" i="7"/>
  <c r="I1037" i="7"/>
  <c r="I1025" i="7"/>
  <c r="I1011" i="7"/>
  <c r="I999" i="7"/>
  <c r="I987" i="7"/>
  <c r="I975" i="7"/>
  <c r="I961" i="7"/>
  <c r="I949" i="7"/>
  <c r="I937" i="7"/>
  <c r="I925" i="7"/>
  <c r="I911" i="7"/>
  <c r="I899" i="7"/>
  <c r="I887" i="7"/>
  <c r="I875" i="7"/>
  <c r="I861" i="7"/>
  <c r="I849" i="7"/>
  <c r="I837" i="7"/>
  <c r="I825" i="7"/>
  <c r="I811" i="7"/>
  <c r="I799" i="7"/>
  <c r="I787" i="7"/>
  <c r="I775" i="7"/>
  <c r="I761" i="7"/>
  <c r="I749" i="7"/>
  <c r="I737" i="7"/>
  <c r="I725" i="7"/>
  <c r="I711" i="7"/>
  <c r="I699" i="7"/>
  <c r="I687" i="7"/>
  <c r="I675" i="7"/>
  <c r="I661" i="7"/>
  <c r="I649" i="7"/>
  <c r="I637" i="7"/>
  <c r="I625" i="7"/>
  <c r="I611" i="7"/>
  <c r="I599" i="7"/>
  <c r="I587" i="7"/>
  <c r="I575" i="7"/>
  <c r="I561" i="7"/>
  <c r="I549" i="7"/>
  <c r="I537" i="7"/>
  <c r="I525" i="7"/>
  <c r="I511" i="7"/>
  <c r="I499" i="7"/>
  <c r="I487" i="7"/>
  <c r="I475" i="7"/>
  <c r="I461" i="7"/>
  <c r="I449" i="7"/>
  <c r="I437" i="7"/>
  <c r="I425" i="7"/>
  <c r="I411" i="7"/>
  <c r="I399" i="7"/>
  <c r="I387" i="7"/>
  <c r="I375" i="7"/>
  <c r="I361" i="7"/>
  <c r="I349" i="7"/>
  <c r="I337" i="7"/>
  <c r="I325" i="7"/>
  <c r="I311" i="7"/>
  <c r="I299" i="7"/>
  <c r="I287" i="7"/>
  <c r="I275" i="7"/>
  <c r="I261" i="7"/>
  <c r="I249" i="7"/>
  <c r="I237" i="7"/>
  <c r="I225" i="7"/>
  <c r="I211" i="7"/>
  <c r="I199" i="7"/>
  <c r="I187" i="7"/>
  <c r="I175" i="7"/>
  <c r="I161" i="7"/>
  <c r="I149" i="7"/>
  <c r="I137" i="7"/>
  <c r="I125" i="7"/>
  <c r="I111" i="7"/>
  <c r="I99" i="7"/>
  <c r="I87" i="7"/>
  <c r="I75" i="7"/>
  <c r="I61" i="7"/>
  <c r="I49" i="7"/>
  <c r="I37" i="7"/>
  <c r="I25" i="7"/>
  <c r="I11" i="7"/>
  <c r="I2459" i="7"/>
  <c r="I2446" i="7"/>
  <c r="I2430" i="7"/>
  <c r="I2417" i="7"/>
  <c r="I2404" i="7"/>
  <c r="I2388" i="7"/>
  <c r="I2375" i="7"/>
  <c r="I2359" i="7"/>
  <c r="I2346" i="7"/>
  <c r="I2330" i="7"/>
  <c r="I2317" i="7"/>
  <c r="I2304" i="7"/>
  <c r="I2288" i="7"/>
  <c r="I2275" i="7"/>
  <c r="I2259" i="7"/>
  <c r="I2246" i="7"/>
  <c r="I2230" i="7"/>
  <c r="I2217" i="7"/>
  <c r="I2204" i="7"/>
  <c r="I2188" i="7"/>
  <c r="I2175" i="7"/>
  <c r="I2159" i="7"/>
  <c r="I2146" i="7"/>
  <c r="I2130" i="7"/>
  <c r="I2117" i="7"/>
  <c r="I2104" i="7"/>
  <c r="I2088" i="7"/>
  <c r="I2075" i="7"/>
  <c r="I2059" i="7"/>
  <c r="I2046" i="7"/>
  <c r="I2030" i="7"/>
  <c r="I2017" i="7"/>
  <c r="I2004" i="7"/>
  <c r="I1988" i="7"/>
  <c r="I1975" i="7"/>
  <c r="I1959" i="7"/>
  <c r="I1946" i="7"/>
  <c r="I1930" i="7"/>
  <c r="I1917" i="7"/>
  <c r="I1904" i="7"/>
  <c r="I1888" i="7"/>
  <c r="I1875" i="7"/>
  <c r="I1859" i="7"/>
  <c r="I1846" i="7"/>
  <c r="I1830" i="7"/>
  <c r="I1817" i="7"/>
  <c r="I1804" i="7"/>
  <c r="I1788" i="7"/>
  <c r="I1775" i="7"/>
  <c r="I1759" i="7"/>
  <c r="I1746" i="7"/>
  <c r="I1730" i="7"/>
  <c r="I1717" i="7"/>
  <c r="I1704" i="7"/>
  <c r="I1688" i="7"/>
  <c r="I1675" i="7"/>
  <c r="I1659" i="7"/>
  <c r="I1646" i="7"/>
  <c r="I1630" i="7"/>
  <c r="I1617" i="7"/>
  <c r="I1604" i="7"/>
  <c r="I1588" i="7"/>
  <c r="I1575" i="7"/>
  <c r="I1559" i="7"/>
  <c r="I1546" i="7"/>
  <c r="I1530" i="7"/>
  <c r="I1517" i="7"/>
  <c r="I1504" i="7"/>
  <c r="I1488" i="7"/>
  <c r="I1475" i="7"/>
  <c r="I1459" i="7"/>
  <c r="I1446" i="7"/>
  <c r="I1430" i="7"/>
  <c r="I1417" i="7"/>
  <c r="I1404" i="7"/>
  <c r="I1388" i="7"/>
  <c r="I1375" i="7"/>
  <c r="I1359" i="7"/>
  <c r="I1346" i="7"/>
  <c r="I1330" i="7"/>
  <c r="I1317" i="7"/>
  <c r="I1304" i="7"/>
  <c r="I1288" i="7"/>
  <c r="I1275" i="7"/>
  <c r="I1259" i="7"/>
  <c r="I1246" i="7"/>
  <c r="I1234" i="7"/>
  <c r="I1220" i="7"/>
  <c r="I1208" i="7"/>
  <c r="I1196" i="7"/>
  <c r="I1184" i="7"/>
  <c r="I1170" i="7"/>
  <c r="I1158" i="7"/>
  <c r="I1146" i="7"/>
  <c r="I1134" i="7"/>
  <c r="I1120" i="7"/>
  <c r="I1108" i="7"/>
  <c r="I1096" i="7"/>
  <c r="I1084" i="7"/>
  <c r="I1070" i="7"/>
  <c r="I1058" i="7"/>
  <c r="I1046" i="7"/>
  <c r="I1034" i="7"/>
  <c r="I1020" i="7"/>
  <c r="I1008" i="7"/>
  <c r="I996" i="7"/>
  <c r="I984" i="7"/>
  <c r="I970" i="7"/>
  <c r="I958" i="7"/>
  <c r="I946" i="7"/>
  <c r="I934" i="7"/>
  <c r="I920" i="7"/>
  <c r="I908" i="7"/>
  <c r="I896" i="7"/>
  <c r="I884" i="7"/>
  <c r="I870" i="7"/>
  <c r="I858" i="7"/>
  <c r="I846" i="7"/>
  <c r="I834" i="7"/>
  <c r="I820" i="7"/>
  <c r="I808" i="7"/>
  <c r="I796" i="7"/>
  <c r="I784" i="7"/>
  <c r="I770" i="7"/>
  <c r="I758" i="7"/>
  <c r="I746" i="7"/>
  <c r="I734" i="7"/>
  <c r="I720" i="7"/>
  <c r="I708" i="7"/>
  <c r="I696" i="7"/>
  <c r="I684" i="7"/>
  <c r="I670" i="7"/>
  <c r="I658" i="7"/>
  <c r="I646" i="7"/>
  <c r="I634" i="7"/>
  <c r="I620" i="7"/>
  <c r="I608" i="7"/>
  <c r="I596" i="7"/>
  <c r="I584" i="7"/>
  <c r="I570" i="7"/>
  <c r="I558" i="7"/>
  <c r="I546" i="7"/>
  <c r="I534" i="7"/>
  <c r="I520" i="7"/>
  <c r="I508" i="7"/>
  <c r="I496" i="7"/>
  <c r="I484" i="7"/>
  <c r="I470" i="7"/>
  <c r="I458" i="7"/>
  <c r="I446" i="7"/>
  <c r="I434" i="7"/>
  <c r="I420" i="7"/>
  <c r="I408" i="7"/>
  <c r="I396" i="7"/>
  <c r="I384" i="7"/>
  <c r="I370" i="7"/>
  <c r="I358" i="7"/>
  <c r="I346" i="7"/>
  <c r="I334" i="7"/>
  <c r="I2458" i="7"/>
  <c r="I2445" i="7"/>
  <c r="I2429" i="7"/>
  <c r="I2416" i="7"/>
  <c r="I2400" i="7"/>
  <c r="I2387" i="7"/>
  <c r="I2374" i="7"/>
  <c r="I2358" i="7"/>
  <c r="I2345" i="7"/>
  <c r="I2329" i="7"/>
  <c r="I2316" i="7"/>
  <c r="I2300" i="7"/>
  <c r="I2287" i="7"/>
  <c r="I2274" i="7"/>
  <c r="I2258" i="7"/>
  <c r="I2245" i="7"/>
  <c r="I2229" i="7"/>
  <c r="I2216" i="7"/>
  <c r="I2200" i="7"/>
  <c r="I2187" i="7"/>
  <c r="I2174" i="7"/>
  <c r="I2158" i="7"/>
  <c r="I2145" i="7"/>
  <c r="I2129" i="7"/>
  <c r="I2116" i="7"/>
  <c r="I2100" i="7"/>
  <c r="I2087" i="7"/>
  <c r="I2074" i="7"/>
  <c r="I2058" i="7"/>
  <c r="I2045" i="7"/>
  <c r="I2029" i="7"/>
  <c r="I2016" i="7"/>
  <c r="I2000" i="7"/>
  <c r="I1987" i="7"/>
  <c r="I1974" i="7"/>
  <c r="I1958" i="7"/>
  <c r="I1945" i="7"/>
  <c r="I1929" i="7"/>
  <c r="I1916" i="7"/>
  <c r="I1900" i="7"/>
  <c r="I1887" i="7"/>
  <c r="I1874" i="7"/>
  <c r="I1858" i="7"/>
  <c r="I1845" i="7"/>
  <c r="I1829" i="7"/>
  <c r="I1816" i="7"/>
  <c r="I1800" i="7"/>
  <c r="I1787" i="7"/>
  <c r="I1774" i="7"/>
  <c r="I1758" i="7"/>
  <c r="I1745" i="7"/>
  <c r="I1729" i="7"/>
  <c r="I1716" i="7"/>
  <c r="I1700" i="7"/>
  <c r="I1687" i="7"/>
  <c r="I1674" i="7"/>
  <c r="I1658" i="7"/>
  <c r="I1645" i="7"/>
  <c r="I1629" i="7"/>
  <c r="I1616" i="7"/>
  <c r="I1600" i="7"/>
  <c r="I1587" i="7"/>
  <c r="I1574" i="7"/>
  <c r="I1558" i="7"/>
  <c r="I1545" i="7"/>
  <c r="I1529" i="7"/>
  <c r="I1516" i="7"/>
  <c r="I1500" i="7"/>
  <c r="I1487" i="7"/>
  <c r="I1474" i="7"/>
  <c r="I1458" i="7"/>
  <c r="I1445" i="7"/>
  <c r="I1429" i="7"/>
  <c r="I1416" i="7"/>
  <c r="I1400" i="7"/>
  <c r="I1387" i="7"/>
  <c r="I1374" i="7"/>
  <c r="I1358" i="7"/>
  <c r="I1345" i="7"/>
  <c r="I1329" i="7"/>
  <c r="I1316" i="7"/>
  <c r="I1300" i="7"/>
  <c r="I1287" i="7"/>
  <c r="I1274" i="7"/>
  <c r="I1258" i="7"/>
  <c r="I1245" i="7"/>
  <c r="I1231" i="7"/>
  <c r="I1219" i="7"/>
  <c r="I1207" i="7"/>
  <c r="I1195" i="7"/>
  <c r="I1181" i="7"/>
  <c r="I1169" i="7"/>
  <c r="I1157" i="7"/>
  <c r="I1145" i="7"/>
  <c r="I1131" i="7"/>
  <c r="I1119" i="7"/>
  <c r="I1107" i="7"/>
  <c r="I1095" i="7"/>
  <c r="I1081" i="7"/>
  <c r="I1069" i="7"/>
  <c r="I1057" i="7"/>
  <c r="I1045" i="7"/>
  <c r="I1031" i="7"/>
  <c r="I1019" i="7"/>
  <c r="I1007" i="7"/>
  <c r="I995" i="7"/>
  <c r="I981" i="7"/>
  <c r="I969" i="7"/>
  <c r="I957" i="7"/>
  <c r="I945" i="7"/>
  <c r="I931" i="7"/>
  <c r="I919" i="7"/>
  <c r="I907" i="7"/>
  <c r="I895" i="7"/>
  <c r="I881" i="7"/>
  <c r="I869" i="7"/>
  <c r="I857" i="7"/>
  <c r="I845" i="7"/>
  <c r="I831" i="7"/>
  <c r="I819" i="7"/>
  <c r="I807" i="7"/>
  <c r="I795" i="7"/>
  <c r="I781" i="7"/>
  <c r="I769" i="7"/>
  <c r="I757" i="7"/>
  <c r="I745" i="7"/>
  <c r="I731" i="7"/>
  <c r="I719" i="7"/>
  <c r="I707" i="7"/>
  <c r="I695" i="7"/>
  <c r="I681" i="7"/>
  <c r="I669" i="7"/>
  <c r="I657" i="7"/>
  <c r="I645" i="7"/>
  <c r="I631" i="7"/>
  <c r="I619" i="7"/>
  <c r="I607" i="7"/>
  <c r="I595" i="7"/>
  <c r="I581" i="7"/>
  <c r="I569" i="7"/>
  <c r="I557" i="7"/>
  <c r="I545" i="7"/>
  <c r="I531" i="7"/>
  <c r="I519" i="7"/>
  <c r="I507" i="7"/>
  <c r="I495" i="7"/>
  <c r="I481" i="7"/>
  <c r="I469" i="7"/>
  <c r="I457" i="7"/>
  <c r="I445" i="7"/>
  <c r="I431" i="7"/>
  <c r="I419" i="7"/>
  <c r="I407" i="7"/>
  <c r="I395" i="7"/>
  <c r="I381" i="7"/>
  <c r="I369" i="7"/>
  <c r="I357" i="7"/>
  <c r="I345" i="7"/>
  <c r="I331" i="7"/>
  <c r="I319" i="7"/>
  <c r="I307" i="7"/>
  <c r="I295" i="7"/>
  <c r="I281" i="7"/>
  <c r="I269" i="7"/>
  <c r="I257" i="7"/>
  <c r="I245" i="7"/>
  <c r="I231" i="7"/>
  <c r="I219" i="7"/>
  <c r="I207" i="7"/>
  <c r="I195" i="7"/>
  <c r="I181" i="7"/>
  <c r="I169" i="7"/>
  <c r="I157" i="7"/>
  <c r="I145" i="7"/>
  <c r="I131" i="7"/>
  <c r="I119" i="7"/>
  <c r="I107" i="7"/>
  <c r="I95" i="7"/>
  <c r="I81" i="7"/>
  <c r="I69" i="7"/>
  <c r="I57" i="7"/>
  <c r="I45" i="7"/>
  <c r="I31" i="7"/>
  <c r="I19" i="7"/>
  <c r="I7" i="7"/>
  <c r="I2456" i="7"/>
  <c r="I2440" i="7"/>
  <c r="I2427" i="7"/>
  <c r="I2414" i="7"/>
  <c r="I2398" i="7"/>
  <c r="I2385" i="7"/>
  <c r="I2369" i="7"/>
  <c r="I2356" i="7"/>
  <c r="I2340" i="7"/>
  <c r="I2327" i="7"/>
  <c r="I2314" i="7"/>
  <c r="I2298" i="7"/>
  <c r="I2285" i="7"/>
  <c r="I2269" i="7"/>
  <c r="I2256" i="7"/>
  <c r="I2240" i="7"/>
  <c r="I2227" i="7"/>
  <c r="I2214" i="7"/>
  <c r="I2198" i="7"/>
  <c r="I2185" i="7"/>
  <c r="I2169" i="7"/>
  <c r="I2156" i="7"/>
  <c r="I2140" i="7"/>
  <c r="I2127" i="7"/>
  <c r="I2114" i="7"/>
  <c r="I2098" i="7"/>
  <c r="I2085" i="7"/>
  <c r="I2447" i="7"/>
  <c r="I2410" i="7"/>
  <c r="I2376" i="7"/>
  <c r="I2339" i="7"/>
  <c r="I2305" i="7"/>
  <c r="I2268" i="7"/>
  <c r="I2234" i="7"/>
  <c r="I2197" i="7"/>
  <c r="I2160" i="7"/>
  <c r="I2126" i="7"/>
  <c r="I2089" i="7"/>
  <c r="I2057" i="7"/>
  <c r="I2028" i="7"/>
  <c r="I1999" i="7"/>
  <c r="I1970" i="7"/>
  <c r="I1944" i="7"/>
  <c r="I1915" i="7"/>
  <c r="I1886" i="7"/>
  <c r="I1857" i="7"/>
  <c r="I1828" i="7"/>
  <c r="I1799" i="7"/>
  <c r="I1770" i="7"/>
  <c r="I1744" i="7"/>
  <c r="I1715" i="7"/>
  <c r="I1686" i="7"/>
  <c r="I1657" i="7"/>
  <c r="I1628" i="7"/>
  <c r="I1599" i="7"/>
  <c r="I1570" i="7"/>
  <c r="I1544" i="7"/>
  <c r="I1515" i="7"/>
  <c r="I1486" i="7"/>
  <c r="I1457" i="7"/>
  <c r="I1428" i="7"/>
  <c r="I1399" i="7"/>
  <c r="I1370" i="7"/>
  <c r="I1344" i="7"/>
  <c r="I1315" i="7"/>
  <c r="I1286" i="7"/>
  <c r="I1257" i="7"/>
  <c r="I1230" i="7"/>
  <c r="I1206" i="7"/>
  <c r="I1180" i="7"/>
  <c r="I1156" i="7"/>
  <c r="I1130" i="7"/>
  <c r="I1106" i="7"/>
  <c r="I1080" i="7"/>
  <c r="I1056" i="7"/>
  <c r="I1030" i="7"/>
  <c r="I1006" i="7"/>
  <c r="I980" i="7"/>
  <c r="I956" i="7"/>
  <c r="I930" i="7"/>
  <c r="I906" i="7"/>
  <c r="I880" i="7"/>
  <c r="I856" i="7"/>
  <c r="I830" i="7"/>
  <c r="I806" i="7"/>
  <c r="I780" i="7"/>
  <c r="I756" i="7"/>
  <c r="I730" i="7"/>
  <c r="I706" i="7"/>
  <c r="I680" i="7"/>
  <c r="I656" i="7"/>
  <c r="I630" i="7"/>
  <c r="I606" i="7"/>
  <c r="I580" i="7"/>
  <c r="I556" i="7"/>
  <c r="I530" i="7"/>
  <c r="I506" i="7"/>
  <c r="I480" i="7"/>
  <c r="I456" i="7"/>
  <c r="I430" i="7"/>
  <c r="I406" i="7"/>
  <c r="I380" i="7"/>
  <c r="I356" i="7"/>
  <c r="I330" i="7"/>
  <c r="I309" i="7"/>
  <c r="I290" i="7"/>
  <c r="I268" i="7"/>
  <c r="I247" i="7"/>
  <c r="I228" i="7"/>
  <c r="I206" i="7"/>
  <c r="I185" i="7"/>
  <c r="I166" i="7"/>
  <c r="I144" i="7"/>
  <c r="I121" i="7"/>
  <c r="I104" i="7"/>
  <c r="I80" i="7"/>
  <c r="I59" i="7"/>
  <c r="I40" i="7"/>
  <c r="I18" i="7"/>
  <c r="I2444" i="7"/>
  <c r="I2406" i="7"/>
  <c r="I2370" i="7"/>
  <c r="I2335" i="7"/>
  <c r="I2299" i="7"/>
  <c r="I2264" i="7"/>
  <c r="I2228" i="7"/>
  <c r="I2190" i="7"/>
  <c r="I2157" i="7"/>
  <c r="I2119" i="7"/>
  <c r="I2086" i="7"/>
  <c r="I2056" i="7"/>
  <c r="I2027" i="7"/>
  <c r="I1998" i="7"/>
  <c r="I1969" i="7"/>
  <c r="I1940" i="7"/>
  <c r="I1914" i="7"/>
  <c r="I1885" i="7"/>
  <c r="I1856" i="7"/>
  <c r="I1827" i="7"/>
  <c r="I1798" i="7"/>
  <c r="I1769" i="7"/>
  <c r="I1740" i="7"/>
  <c r="I1714" i="7"/>
  <c r="I1685" i="7"/>
  <c r="I1656" i="7"/>
  <c r="I1627" i="7"/>
  <c r="I1598" i="7"/>
  <c r="I1569" i="7"/>
  <c r="I1540" i="7"/>
  <c r="I1514" i="7"/>
  <c r="I1485" i="7"/>
  <c r="I1456" i="7"/>
  <c r="I1427" i="7"/>
  <c r="I1398" i="7"/>
  <c r="I1369" i="7"/>
  <c r="I1340" i="7"/>
  <c r="I1314" i="7"/>
  <c r="I1285" i="7"/>
  <c r="I1256" i="7"/>
  <c r="I1229" i="7"/>
  <c r="I1205" i="7"/>
  <c r="I1179" i="7"/>
  <c r="I1155" i="7"/>
  <c r="I1129" i="7"/>
  <c r="I1105" i="7"/>
  <c r="I1079" i="7"/>
  <c r="I1055" i="7"/>
  <c r="I1029" i="7"/>
  <c r="I1005" i="7"/>
  <c r="I979" i="7"/>
  <c r="I955" i="7"/>
  <c r="I929" i="7"/>
  <c r="I905" i="7"/>
  <c r="I879" i="7"/>
  <c r="I855" i="7"/>
  <c r="I829" i="7"/>
  <c r="I805" i="7"/>
  <c r="I779" i="7"/>
  <c r="I755" i="7"/>
  <c r="I729" i="7"/>
  <c r="I705" i="7"/>
  <c r="I679" i="7"/>
  <c r="I655" i="7"/>
  <c r="I629" i="7"/>
  <c r="I605" i="7"/>
  <c r="I579" i="7"/>
  <c r="I555" i="7"/>
  <c r="I529" i="7"/>
  <c r="I505" i="7"/>
  <c r="I479" i="7"/>
  <c r="I455" i="7"/>
  <c r="I429" i="7"/>
  <c r="I405" i="7"/>
  <c r="I379" i="7"/>
  <c r="I355" i="7"/>
  <c r="I329" i="7"/>
  <c r="I308" i="7"/>
  <c r="I286" i="7"/>
  <c r="I267" i="7"/>
  <c r="I246" i="7"/>
  <c r="I224" i="7"/>
  <c r="I205" i="7"/>
  <c r="I184" i="7"/>
  <c r="I160" i="7"/>
  <c r="I141" i="7"/>
  <c r="I120" i="7"/>
  <c r="I98" i="7"/>
  <c r="I79" i="7"/>
  <c r="I58" i="7"/>
  <c r="I36" i="7"/>
  <c r="I17" i="7"/>
  <c r="I2439" i="7"/>
  <c r="I2405" i="7"/>
  <c r="I2368" i="7"/>
  <c r="I2334" i="7"/>
  <c r="I2297" i="7"/>
  <c r="I2260" i="7"/>
  <c r="I2226" i="7"/>
  <c r="I2189" i="7"/>
  <c r="I2155" i="7"/>
  <c r="I2118" i="7"/>
  <c r="I2084" i="7"/>
  <c r="I2055" i="7"/>
  <c r="I2026" i="7"/>
  <c r="I1997" i="7"/>
  <c r="I1968" i="7"/>
  <c r="I1939" i="7"/>
  <c r="I1910" i="7"/>
  <c r="I1884" i="7"/>
  <c r="I1855" i="7"/>
  <c r="I1826" i="7"/>
  <c r="I1797" i="7"/>
  <c r="I1768" i="7"/>
  <c r="I1739" i="7"/>
  <c r="I1710" i="7"/>
  <c r="I1684" i="7"/>
  <c r="I1655" i="7"/>
  <c r="I1626" i="7"/>
  <c r="I1597" i="7"/>
  <c r="I1568" i="7"/>
  <c r="I1539" i="7"/>
  <c r="I1510" i="7"/>
  <c r="I1484" i="7"/>
  <c r="I1455" i="7"/>
  <c r="I1426" i="7"/>
  <c r="I1397" i="7"/>
  <c r="I1368" i="7"/>
  <c r="I1339" i="7"/>
  <c r="I1310" i="7"/>
  <c r="I1284" i="7"/>
  <c r="I1255" i="7"/>
  <c r="I1228" i="7"/>
  <c r="I1204" i="7"/>
  <c r="I1178" i="7"/>
  <c r="I1154" i="7"/>
  <c r="I1128" i="7"/>
  <c r="I1104" i="7"/>
  <c r="I1078" i="7"/>
  <c r="I1054" i="7"/>
  <c r="I1028" i="7"/>
  <c r="I1004" i="7"/>
  <c r="I978" i="7"/>
  <c r="I954" i="7"/>
  <c r="I928" i="7"/>
  <c r="I904" i="7"/>
  <c r="I878" i="7"/>
  <c r="I854" i="7"/>
  <c r="I828" i="7"/>
  <c r="I804" i="7"/>
  <c r="I778" i="7"/>
  <c r="I754" i="7"/>
  <c r="I728" i="7"/>
  <c r="I704" i="7"/>
  <c r="I678" i="7"/>
  <c r="I654" i="7"/>
  <c r="I628" i="7"/>
  <c r="I604" i="7"/>
  <c r="I578" i="7"/>
  <c r="I554" i="7"/>
  <c r="I528" i="7"/>
  <c r="I504" i="7"/>
  <c r="I478" i="7"/>
  <c r="I454" i="7"/>
  <c r="I428" i="7"/>
  <c r="I404" i="7"/>
  <c r="I378" i="7"/>
  <c r="I354" i="7"/>
  <c r="I328" i="7"/>
  <c r="I306" i="7"/>
  <c r="I285" i="7"/>
  <c r="I266" i="7"/>
  <c r="I244" i="7"/>
  <c r="I221" i="7"/>
  <c r="I204" i="7"/>
  <c r="I180" i="7"/>
  <c r="I159" i="7"/>
  <c r="I140" i="7"/>
  <c r="I118" i="7"/>
  <c r="I97" i="7"/>
  <c r="I78" i="7"/>
  <c r="I56" i="7"/>
  <c r="I35" i="7"/>
  <c r="I16" i="7"/>
  <c r="I2435" i="7"/>
  <c r="I2399" i="7"/>
  <c r="I2364" i="7"/>
  <c r="I2328" i="7"/>
  <c r="I2290" i="7"/>
  <c r="I2257" i="7"/>
  <c r="I2219" i="7"/>
  <c r="I2186" i="7"/>
  <c r="I2148" i="7"/>
  <c r="I2115" i="7"/>
  <c r="I2077" i="7"/>
  <c r="I2048" i="7"/>
  <c r="I2019" i="7"/>
  <c r="I1990" i="7"/>
  <c r="I1964" i="7"/>
  <c r="I1935" i="7"/>
  <c r="I1906" i="7"/>
  <c r="I1877" i="7"/>
  <c r="I1848" i="7"/>
  <c r="I1819" i="7"/>
  <c r="I1790" i="7"/>
  <c r="I1764" i="7"/>
  <c r="I1735" i="7"/>
  <c r="I1706" i="7"/>
  <c r="I1677" i="7"/>
  <c r="I1648" i="7"/>
  <c r="I1619" i="7"/>
  <c r="I1590" i="7"/>
  <c r="I1564" i="7"/>
  <c r="I1535" i="7"/>
  <c r="I1506" i="7"/>
  <c r="I1477" i="7"/>
  <c r="I1448" i="7"/>
  <c r="I1419" i="7"/>
  <c r="I1390" i="7"/>
  <c r="I1364" i="7"/>
  <c r="I1335" i="7"/>
  <c r="I1306" i="7"/>
  <c r="I1277" i="7"/>
  <c r="I1248" i="7"/>
  <c r="I1224" i="7"/>
  <c r="I1198" i="7"/>
  <c r="I1174" i="7"/>
  <c r="I1148" i="7"/>
  <c r="I1124" i="7"/>
  <c r="I1098" i="7"/>
  <c r="I1074" i="7"/>
  <c r="I1048" i="7"/>
  <c r="I1024" i="7"/>
  <c r="I998" i="7"/>
  <c r="I974" i="7"/>
  <c r="I948" i="7"/>
  <c r="I924" i="7"/>
  <c r="I898" i="7"/>
  <c r="I874" i="7"/>
  <c r="I848" i="7"/>
  <c r="I824" i="7"/>
  <c r="I798" i="7"/>
  <c r="I774" i="7"/>
  <c r="I748" i="7"/>
  <c r="I724" i="7"/>
  <c r="I698" i="7"/>
  <c r="I674" i="7"/>
  <c r="I648" i="7"/>
  <c r="I624" i="7"/>
  <c r="I598" i="7"/>
  <c r="I574" i="7"/>
  <c r="I548" i="7"/>
  <c r="I524" i="7"/>
  <c r="I498" i="7"/>
  <c r="I474" i="7"/>
  <c r="I448" i="7"/>
  <c r="I424" i="7"/>
  <c r="I398" i="7"/>
  <c r="I374" i="7"/>
  <c r="I348" i="7"/>
  <c r="I324" i="7"/>
  <c r="I305" i="7"/>
  <c r="I284" i="7"/>
  <c r="I260" i="7"/>
  <c r="I241" i="7"/>
  <c r="I220" i="7"/>
  <c r="I198" i="7"/>
  <c r="I179" i="7"/>
  <c r="I158" i="7"/>
  <c r="I136" i="7"/>
  <c r="I117" i="7"/>
  <c r="I96" i="7"/>
  <c r="I74" i="7"/>
  <c r="I55" i="7"/>
  <c r="I34" i="7"/>
  <c r="I10" i="7"/>
  <c r="I2434" i="7"/>
  <c r="I2397" i="7"/>
  <c r="I2360" i="7"/>
  <c r="I2326" i="7"/>
  <c r="I2289" i="7"/>
  <c r="I2255" i="7"/>
  <c r="I2218" i="7"/>
  <c r="I2184" i="7"/>
  <c r="I2147" i="7"/>
  <c r="I2110" i="7"/>
  <c r="I2076" i="7"/>
  <c r="I2047" i="7"/>
  <c r="I2018" i="7"/>
  <c r="I1989" i="7"/>
  <c r="I1960" i="7"/>
  <c r="I1934" i="7"/>
  <c r="I1905" i="7"/>
  <c r="I1876" i="7"/>
  <c r="I1847" i="7"/>
  <c r="I1818" i="7"/>
  <c r="I1789" i="7"/>
  <c r="I1760" i="7"/>
  <c r="I1734" i="7"/>
  <c r="I1705" i="7"/>
  <c r="I1676" i="7"/>
  <c r="I1647" i="7"/>
  <c r="I1618" i="7"/>
  <c r="I1589" i="7"/>
  <c r="I1560" i="7"/>
  <c r="I1534" i="7"/>
  <c r="I1505" i="7"/>
  <c r="I1476" i="7"/>
  <c r="I1447" i="7"/>
  <c r="I1418" i="7"/>
  <c r="I1389" i="7"/>
  <c r="I1360" i="7"/>
  <c r="I1334" i="7"/>
  <c r="I1305" i="7"/>
  <c r="I1276" i="7"/>
  <c r="I1247" i="7"/>
  <c r="I1221" i="7"/>
  <c r="I1197" i="7"/>
  <c r="I1171" i="7"/>
  <c r="I1147" i="7"/>
  <c r="I1121" i="7"/>
  <c r="I1097" i="7"/>
  <c r="I1071" i="7"/>
  <c r="I1047" i="7"/>
  <c r="I1021" i="7"/>
  <c r="I997" i="7"/>
  <c r="I971" i="7"/>
  <c r="I947" i="7"/>
  <c r="I921" i="7"/>
  <c r="I897" i="7"/>
  <c r="I871" i="7"/>
  <c r="I847" i="7"/>
  <c r="I821" i="7"/>
  <c r="I797" i="7"/>
  <c r="I771" i="7"/>
  <c r="I747" i="7"/>
  <c r="I721" i="7"/>
  <c r="I697" i="7"/>
  <c r="I671" i="7"/>
  <c r="I647" i="7"/>
  <c r="I621" i="7"/>
  <c r="I597" i="7"/>
  <c r="I571" i="7"/>
  <c r="I547" i="7"/>
  <c r="I521" i="7"/>
  <c r="I497" i="7"/>
  <c r="I471" i="7"/>
  <c r="I447" i="7"/>
  <c r="I421" i="7"/>
  <c r="I397" i="7"/>
  <c r="I371" i="7"/>
  <c r="I347" i="7"/>
  <c r="I321" i="7"/>
  <c r="I304" i="7"/>
  <c r="I280" i="7"/>
  <c r="I259" i="7"/>
  <c r="I240" i="7"/>
  <c r="I218" i="7"/>
  <c r="I197" i="7"/>
  <c r="I178" i="7"/>
  <c r="I156" i="7"/>
  <c r="I135" i="7"/>
  <c r="I116" i="7"/>
  <c r="I94" i="7"/>
  <c r="I71" i="7"/>
  <c r="I54" i="7"/>
  <c r="I30" i="7"/>
  <c r="I9" i="7"/>
  <c r="I2428" i="7"/>
  <c r="I2390" i="7"/>
  <c r="I2357" i="7"/>
  <c r="I2319" i="7"/>
  <c r="I2286" i="7"/>
  <c r="I2248" i="7"/>
  <c r="I2215" i="7"/>
  <c r="I2177" i="7"/>
  <c r="I2144" i="7"/>
  <c r="I2106" i="7"/>
  <c r="I2070" i="7"/>
  <c r="I2044" i="7"/>
  <c r="I2015" i="7"/>
  <c r="I1986" i="7"/>
  <c r="I1957" i="7"/>
  <c r="I1928" i="7"/>
  <c r="I1899" i="7"/>
  <c r="I1870" i="7"/>
  <c r="I1844" i="7"/>
  <c r="I1815" i="7"/>
  <c r="I1786" i="7"/>
  <c r="I1757" i="7"/>
  <c r="I1728" i="7"/>
  <c r="I1699" i="7"/>
  <c r="I1670" i="7"/>
  <c r="I1644" i="7"/>
  <c r="I1615" i="7"/>
  <c r="I1586" i="7"/>
  <c r="I1557" i="7"/>
  <c r="I1528" i="7"/>
  <c r="I1499" i="7"/>
  <c r="I1470" i="7"/>
  <c r="I1444" i="7"/>
  <c r="I1415" i="7"/>
  <c r="I1386" i="7"/>
  <c r="I1357" i="7"/>
  <c r="I1328" i="7"/>
  <c r="I1299" i="7"/>
  <c r="I1270" i="7"/>
  <c r="I1244" i="7"/>
  <c r="I1218" i="7"/>
  <c r="I1194" i="7"/>
  <c r="I1168" i="7"/>
  <c r="I1144" i="7"/>
  <c r="I1118" i="7"/>
  <c r="I1094" i="7"/>
  <c r="I1068" i="7"/>
  <c r="I1044" i="7"/>
  <c r="I1018" i="7"/>
  <c r="I994" i="7"/>
  <c r="I968" i="7"/>
  <c r="I944" i="7"/>
  <c r="I918" i="7"/>
  <c r="I894" i="7"/>
  <c r="I868" i="7"/>
  <c r="I844" i="7"/>
  <c r="I818" i="7"/>
  <c r="I794" i="7"/>
  <c r="I768" i="7"/>
  <c r="I744" i="7"/>
  <c r="I718" i="7"/>
  <c r="I694" i="7"/>
  <c r="I668" i="7"/>
  <c r="I644" i="7"/>
  <c r="I618" i="7"/>
  <c r="I594" i="7"/>
  <c r="I568" i="7"/>
  <c r="I544" i="7"/>
  <c r="I518" i="7"/>
  <c r="I494" i="7"/>
  <c r="I468" i="7"/>
  <c r="I444" i="7"/>
  <c r="I418" i="7"/>
  <c r="I394" i="7"/>
  <c r="I368" i="7"/>
  <c r="I344" i="7"/>
  <c r="I320" i="7"/>
  <c r="I298" i="7"/>
  <c r="I279" i="7"/>
  <c r="I258" i="7"/>
  <c r="I236" i="7"/>
  <c r="I217" i="7"/>
  <c r="I196" i="7"/>
  <c r="I174" i="7"/>
  <c r="I155" i="7"/>
  <c r="I134" i="7"/>
  <c r="I110" i="7"/>
  <c r="I91" i="7"/>
  <c r="I70" i="7"/>
  <c r="I48" i="7"/>
  <c r="I29" i="7"/>
  <c r="I8" i="7"/>
  <c r="I2460" i="7"/>
  <c r="I2426" i="7"/>
  <c r="I2389" i="7"/>
  <c r="I2355" i="7"/>
  <c r="I2318" i="7"/>
  <c r="I2284" i="7"/>
  <c r="I2247" i="7"/>
  <c r="I2210" i="7"/>
  <c r="I2176" i="7"/>
  <c r="I2139" i="7"/>
  <c r="I2105" i="7"/>
  <c r="I2069" i="7"/>
  <c r="I2040" i="7"/>
  <c r="I2014" i="7"/>
  <c r="I1985" i="7"/>
  <c r="I1956" i="7"/>
  <c r="I1927" i="7"/>
  <c r="I1898" i="7"/>
  <c r="I1869" i="7"/>
  <c r="I1840" i="7"/>
  <c r="I1814" i="7"/>
  <c r="I1785" i="7"/>
  <c r="I1756" i="7"/>
  <c r="I1727" i="7"/>
  <c r="I1698" i="7"/>
  <c r="I1669" i="7"/>
  <c r="I1640" i="7"/>
  <c r="I1614" i="7"/>
  <c r="I1585" i="7"/>
  <c r="I1556" i="7"/>
  <c r="I1527" i="7"/>
  <c r="I1498" i="7"/>
  <c r="I1469" i="7"/>
  <c r="I1440" i="7"/>
  <c r="I1414" i="7"/>
  <c r="I1385" i="7"/>
  <c r="I1356" i="7"/>
  <c r="I1327" i="7"/>
  <c r="I1298" i="7"/>
  <c r="I1269" i="7"/>
  <c r="I1241" i="7"/>
  <c r="I1217" i="7"/>
  <c r="I1191" i="7"/>
  <c r="I1167" i="7"/>
  <c r="I1141" i="7"/>
  <c r="I1117" i="7"/>
  <c r="I1091" i="7"/>
  <c r="I1067" i="7"/>
  <c r="I1041" i="7"/>
  <c r="I1017" i="7"/>
  <c r="I991" i="7"/>
  <c r="I967" i="7"/>
  <c r="I941" i="7"/>
  <c r="I917" i="7"/>
  <c r="I891" i="7"/>
  <c r="I867" i="7"/>
  <c r="I841" i="7"/>
  <c r="I817" i="7"/>
  <c r="I791" i="7"/>
  <c r="I767" i="7"/>
  <c r="I741" i="7"/>
  <c r="I717" i="7"/>
  <c r="I691" i="7"/>
  <c r="I667" i="7"/>
  <c r="I641" i="7"/>
  <c r="I617" i="7"/>
  <c r="I591" i="7"/>
  <c r="I567" i="7"/>
  <c r="I541" i="7"/>
  <c r="I517" i="7"/>
  <c r="I491" i="7"/>
  <c r="I467" i="7"/>
  <c r="I441" i="7"/>
  <c r="I417" i="7"/>
  <c r="I391" i="7"/>
  <c r="I367" i="7"/>
  <c r="I341" i="7"/>
  <c r="I318" i="7"/>
  <c r="I297" i="7"/>
  <c r="I278" i="7"/>
  <c r="I256" i="7"/>
  <c r="I235" i="7"/>
  <c r="I216" i="7"/>
  <c r="I194" i="7"/>
  <c r="I171" i="7"/>
  <c r="I154" i="7"/>
  <c r="I130" i="7"/>
  <c r="I109" i="7"/>
  <c r="I90" i="7"/>
  <c r="I68" i="7"/>
  <c r="I47" i="7"/>
  <c r="I28" i="7"/>
  <c r="I6" i="7"/>
  <c r="I2457" i="7"/>
  <c r="I2419" i="7"/>
  <c r="I2386" i="7"/>
  <c r="I2348" i="7"/>
  <c r="I2315" i="7"/>
  <c r="I2277" i="7"/>
  <c r="I2244" i="7"/>
  <c r="I2206" i="7"/>
  <c r="I2170" i="7"/>
  <c r="I2135" i="7"/>
  <c r="I2099" i="7"/>
  <c r="I2068" i="7"/>
  <c r="I2039" i="7"/>
  <c r="I2010" i="7"/>
  <c r="I1984" i="7"/>
  <c r="I1955" i="7"/>
  <c r="I1926" i="7"/>
  <c r="I1897" i="7"/>
  <c r="I1868" i="7"/>
  <c r="I1839" i="7"/>
  <c r="I1810" i="7"/>
  <c r="I1784" i="7"/>
  <c r="I1755" i="7"/>
  <c r="I1726" i="7"/>
  <c r="I1697" i="7"/>
  <c r="I1668" i="7"/>
  <c r="I1639" i="7"/>
  <c r="I1610" i="7"/>
  <c r="I1584" i="7"/>
  <c r="I1555" i="7"/>
  <c r="I1526" i="7"/>
  <c r="I1497" i="7"/>
  <c r="I1468" i="7"/>
  <c r="I1439" i="7"/>
  <c r="I1410" i="7"/>
  <c r="I1384" i="7"/>
  <c r="I1355" i="7"/>
  <c r="I1326" i="7"/>
  <c r="I1297" i="7"/>
  <c r="I1268" i="7"/>
  <c r="I1240" i="7"/>
  <c r="I1216" i="7"/>
  <c r="I1190" i="7"/>
  <c r="I1166" i="7"/>
  <c r="I1140" i="7"/>
  <c r="I1116" i="7"/>
  <c r="I1090" i="7"/>
  <c r="I1066" i="7"/>
  <c r="I1040" i="7"/>
  <c r="I1016" i="7"/>
  <c r="I990" i="7"/>
  <c r="I966" i="7"/>
  <c r="I940" i="7"/>
  <c r="I916" i="7"/>
  <c r="I890" i="7"/>
  <c r="I866" i="7"/>
  <c r="I840" i="7"/>
  <c r="I816" i="7"/>
  <c r="I790" i="7"/>
  <c r="I766" i="7"/>
  <c r="I740" i="7"/>
  <c r="I716" i="7"/>
  <c r="I690" i="7"/>
  <c r="I666" i="7"/>
  <c r="I640" i="7"/>
  <c r="I616" i="7"/>
  <c r="I590" i="7"/>
  <c r="I566" i="7"/>
  <c r="I540" i="7"/>
  <c r="I516" i="7"/>
  <c r="I490" i="7"/>
  <c r="I466" i="7"/>
  <c r="I440" i="7"/>
  <c r="I416" i="7"/>
  <c r="I390" i="7"/>
  <c r="I366" i="7"/>
  <c r="I340" i="7"/>
  <c r="I317" i="7"/>
  <c r="I296" i="7"/>
  <c r="I274" i="7"/>
  <c r="I255" i="7"/>
  <c r="I234" i="7"/>
  <c r="I210" i="7"/>
  <c r="I191" i="7"/>
  <c r="I170" i="7"/>
  <c r="I148" i="7"/>
  <c r="I129" i="7"/>
  <c r="I108" i="7"/>
  <c r="I86" i="7"/>
  <c r="I67" i="7"/>
  <c r="I46" i="7"/>
  <c r="I24" i="7"/>
  <c r="I5" i="7"/>
  <c r="I2455" i="7"/>
  <c r="I2276" i="7"/>
  <c r="I2097" i="7"/>
  <c r="I1948" i="7"/>
  <c r="I1806" i="7"/>
  <c r="I1664" i="7"/>
  <c r="I1519" i="7"/>
  <c r="I1377" i="7"/>
  <c r="I1236" i="7"/>
  <c r="I1110" i="7"/>
  <c r="I986" i="7"/>
  <c r="I860" i="7"/>
  <c r="I736" i="7"/>
  <c r="I610" i="7"/>
  <c r="I486" i="7"/>
  <c r="I360" i="7"/>
  <c r="I254" i="7"/>
  <c r="I147" i="7"/>
  <c r="I44" i="7"/>
  <c r="I2448" i="7"/>
  <c r="I2270" i="7"/>
  <c r="I2090" i="7"/>
  <c r="I1947" i="7"/>
  <c r="I1805" i="7"/>
  <c r="I1660" i="7"/>
  <c r="I1518" i="7"/>
  <c r="I1376" i="7"/>
  <c r="I1235" i="7"/>
  <c r="I1109" i="7"/>
  <c r="I985" i="7"/>
  <c r="I859" i="7"/>
  <c r="I735" i="7"/>
  <c r="I609" i="7"/>
  <c r="I485" i="7"/>
  <c r="I359" i="7"/>
  <c r="I248" i="7"/>
  <c r="I146" i="7"/>
  <c r="I41" i="7"/>
  <c r="I2418" i="7"/>
  <c r="I2239" i="7"/>
  <c r="I2064" i="7"/>
  <c r="I1919" i="7"/>
  <c r="I1777" i="7"/>
  <c r="I1635" i="7"/>
  <c r="I1490" i="7"/>
  <c r="I1348" i="7"/>
  <c r="I1210" i="7"/>
  <c r="I1086" i="7"/>
  <c r="I960" i="7"/>
  <c r="I836" i="7"/>
  <c r="I710" i="7"/>
  <c r="I586" i="7"/>
  <c r="I460" i="7"/>
  <c r="I336" i="7"/>
  <c r="I230" i="7"/>
  <c r="I128" i="7"/>
  <c r="I21" i="7"/>
  <c r="I2415" i="7"/>
  <c r="I2235" i="7"/>
  <c r="I2060" i="7"/>
  <c r="I1918" i="7"/>
  <c r="I1776" i="7"/>
  <c r="I1634" i="7"/>
  <c r="I1489" i="7"/>
  <c r="I1347" i="7"/>
  <c r="I1209" i="7"/>
  <c r="I1085" i="7"/>
  <c r="I959" i="7"/>
  <c r="I835" i="7"/>
  <c r="I709" i="7"/>
  <c r="I585" i="7"/>
  <c r="I459" i="7"/>
  <c r="I335" i="7"/>
  <c r="I229" i="7"/>
  <c r="I124" i="7"/>
  <c r="I20" i="7"/>
  <c r="I2384" i="7"/>
  <c r="I2205" i="7"/>
  <c r="I2035" i="7"/>
  <c r="I1890" i="7"/>
  <c r="I1748" i="7"/>
  <c r="I1606" i="7"/>
  <c r="I1464" i="7"/>
  <c r="I1319" i="7"/>
  <c r="I1186" i="7"/>
  <c r="I1060" i="7"/>
  <c r="I936" i="7"/>
  <c r="I810" i="7"/>
  <c r="I686" i="7"/>
  <c r="I560" i="7"/>
  <c r="I436" i="7"/>
  <c r="I316" i="7"/>
  <c r="I209" i="7"/>
  <c r="I106" i="7"/>
  <c r="I4" i="7"/>
  <c r="I2377" i="7"/>
  <c r="I2199" i="7"/>
  <c r="I2034" i="7"/>
  <c r="I1889" i="7"/>
  <c r="I1747" i="7"/>
  <c r="I1605" i="7"/>
  <c r="I1460" i="7"/>
  <c r="I1318" i="7"/>
  <c r="I1185" i="7"/>
  <c r="I1059" i="7"/>
  <c r="I935" i="7"/>
  <c r="I809" i="7"/>
  <c r="I685" i="7"/>
  <c r="I559" i="7"/>
  <c r="I435" i="7"/>
  <c r="I310" i="7"/>
  <c r="I208" i="7"/>
  <c r="I105" i="7"/>
  <c r="I2347" i="7"/>
  <c r="I2168" i="7"/>
  <c r="I2006" i="7"/>
  <c r="I1864" i="7"/>
  <c r="I1719" i="7"/>
  <c r="I1577" i="7"/>
  <c r="I1435" i="7"/>
  <c r="I1290" i="7"/>
  <c r="I1160" i="7"/>
  <c r="I1036" i="7"/>
  <c r="I910" i="7"/>
  <c r="I786" i="7"/>
  <c r="I660" i="7"/>
  <c r="I536" i="7"/>
  <c r="I410" i="7"/>
  <c r="I294" i="7"/>
  <c r="I190" i="7"/>
  <c r="I85" i="7"/>
  <c r="I2344" i="7"/>
  <c r="I2164" i="7"/>
  <c r="I2005" i="7"/>
  <c r="I1860" i="7"/>
  <c r="I1718" i="7"/>
  <c r="I1576" i="7"/>
  <c r="I1434" i="7"/>
  <c r="I1289" i="7"/>
  <c r="I1159" i="7"/>
  <c r="I1035" i="7"/>
  <c r="I909" i="7"/>
  <c r="I785" i="7"/>
  <c r="I659" i="7"/>
  <c r="I535" i="7"/>
  <c r="I409" i="7"/>
  <c r="I291" i="7"/>
  <c r="I186" i="7"/>
  <c r="I84" i="7"/>
  <c r="I2310" i="7"/>
  <c r="I2134" i="7"/>
  <c r="I1977" i="7"/>
  <c r="I1835" i="7"/>
  <c r="I1690" i="7"/>
  <c r="I1548" i="7"/>
  <c r="I1406" i="7"/>
  <c r="I1264" i="7"/>
  <c r="I1136" i="7"/>
  <c r="I1010" i="7"/>
  <c r="I886" i="7"/>
  <c r="I760" i="7"/>
  <c r="I636" i="7"/>
  <c r="I510" i="7"/>
  <c r="I386" i="7"/>
  <c r="I271" i="7"/>
  <c r="I168" i="7"/>
  <c r="I66" i="7"/>
  <c r="I2306" i="7"/>
  <c r="I2128" i="7"/>
  <c r="I1976" i="7"/>
  <c r="I1834" i="7"/>
  <c r="I1689" i="7"/>
  <c r="I1547" i="7"/>
  <c r="I1405" i="7"/>
  <c r="I1260" i="7"/>
  <c r="I1135" i="7"/>
  <c r="I1009" i="7"/>
  <c r="I885" i="7"/>
  <c r="I759" i="7"/>
  <c r="I635" i="7"/>
  <c r="I509" i="7"/>
  <c r="I385" i="7"/>
  <c r="I270" i="7"/>
  <c r="I167" i="7"/>
  <c r="I60" i="7"/>
  <c r="F17" i="2"/>
  <c r="G2" i="2"/>
  <c r="G17" i="2" s="1"/>
  <c r="H2455" i="7"/>
  <c r="H2445" i="7"/>
  <c r="H2435" i="7"/>
  <c r="H2425" i="7"/>
  <c r="H2415" i="7"/>
  <c r="H2405" i="7"/>
  <c r="H2395" i="7"/>
  <c r="H2385" i="7"/>
  <c r="H2375" i="7"/>
  <c r="H2365" i="7"/>
  <c r="H2355" i="7"/>
  <c r="H2345" i="7"/>
  <c r="H2335" i="7"/>
  <c r="H2325" i="7"/>
  <c r="H2315" i="7"/>
  <c r="H2305" i="7"/>
  <c r="H2295" i="7"/>
  <c r="H2285" i="7"/>
  <c r="H2275" i="7"/>
  <c r="H2265" i="7"/>
  <c r="H2255" i="7"/>
  <c r="H2245" i="7"/>
  <c r="H2235" i="7"/>
  <c r="H2225" i="7"/>
  <c r="H2215" i="7"/>
  <c r="H2205" i="7"/>
  <c r="H2195" i="7"/>
  <c r="H2185" i="7"/>
  <c r="H2175" i="7"/>
  <c r="H2165" i="7"/>
  <c r="H2155" i="7"/>
  <c r="H2145" i="7"/>
  <c r="H2135" i="7"/>
  <c r="H2125" i="7"/>
  <c r="H2115" i="7"/>
  <c r="H2105" i="7"/>
  <c r="H2095" i="7"/>
  <c r="H2085" i="7"/>
  <c r="H2075" i="7"/>
  <c r="H2065" i="7"/>
  <c r="H2055" i="7"/>
  <c r="H2045" i="7"/>
  <c r="H2035" i="7"/>
  <c r="H2025" i="7"/>
  <c r="H2015" i="7"/>
  <c r="H2005" i="7"/>
  <c r="H1995" i="7"/>
  <c r="H1985" i="7"/>
  <c r="H1975" i="7"/>
  <c r="H1965" i="7"/>
  <c r="H1955" i="7"/>
  <c r="H1945" i="7"/>
  <c r="H1935" i="7"/>
  <c r="H1925" i="7"/>
  <c r="H1915" i="7"/>
  <c r="H1905" i="7"/>
  <c r="H1895" i="7"/>
  <c r="H1885" i="7"/>
  <c r="H1875" i="7"/>
  <c r="H1865" i="7"/>
  <c r="H1855" i="7"/>
  <c r="H1845" i="7"/>
  <c r="H1835" i="7"/>
  <c r="H1825" i="7"/>
  <c r="H1815" i="7"/>
  <c r="H1805" i="7"/>
  <c r="H1795" i="7"/>
  <c r="H1785" i="7"/>
  <c r="H1775" i="7"/>
  <c r="H1765" i="7"/>
  <c r="H1755" i="7"/>
  <c r="H1745" i="7"/>
  <c r="H1735" i="7"/>
  <c r="H1725" i="7"/>
  <c r="H1715" i="7"/>
  <c r="H1705" i="7"/>
  <c r="H1695" i="7"/>
  <c r="H1685" i="7"/>
  <c r="H1675" i="7"/>
  <c r="H1665" i="7"/>
  <c r="H1655" i="7"/>
  <c r="H1645" i="7"/>
  <c r="H1635" i="7"/>
  <c r="H1625" i="7"/>
  <c r="H1615" i="7"/>
  <c r="H1605" i="7"/>
  <c r="H1595" i="7"/>
  <c r="H1585" i="7"/>
  <c r="H1575" i="7"/>
  <c r="H1565" i="7"/>
  <c r="H1555" i="7"/>
  <c r="H1545" i="7"/>
  <c r="H1535" i="7"/>
  <c r="H1525" i="7"/>
  <c r="H1515" i="7"/>
  <c r="H1505" i="7"/>
  <c r="H1495" i="7"/>
  <c r="H1485" i="7"/>
  <c r="H1475" i="7"/>
  <c r="H1465" i="7"/>
  <c r="H1455" i="7"/>
  <c r="H1445" i="7"/>
  <c r="H1435" i="7"/>
  <c r="H1425" i="7"/>
  <c r="H1415" i="7"/>
  <c r="H1405" i="7"/>
  <c r="H1395" i="7"/>
  <c r="H1385" i="7"/>
  <c r="H1375" i="7"/>
  <c r="H1365" i="7"/>
  <c r="H1355" i="7"/>
  <c r="H1345" i="7"/>
  <c r="H1335" i="7"/>
  <c r="H1325" i="7"/>
  <c r="H1315" i="7"/>
  <c r="H1305" i="7"/>
  <c r="H1295" i="7"/>
  <c r="H1285" i="7"/>
  <c r="H1275" i="7"/>
  <c r="H1265" i="7"/>
  <c r="H1255" i="7"/>
  <c r="H1245" i="7"/>
  <c r="H1235" i="7"/>
  <c r="H1225" i="7"/>
  <c r="H1215" i="7"/>
  <c r="H1205" i="7"/>
  <c r="H1195" i="7"/>
  <c r="H1185" i="7"/>
  <c r="H1175" i="7"/>
  <c r="H1165" i="7"/>
  <c r="H1155" i="7"/>
  <c r="H1145" i="7"/>
  <c r="H1135" i="7"/>
  <c r="H1125" i="7"/>
  <c r="H1115" i="7"/>
  <c r="H1105" i="7"/>
  <c r="H1095" i="7"/>
  <c r="H1085" i="7"/>
  <c r="H1075" i="7"/>
  <c r="H1065" i="7"/>
  <c r="H1055" i="7"/>
  <c r="H1045" i="7"/>
  <c r="H1035" i="7"/>
  <c r="H1025" i="7"/>
  <c r="H1015" i="7"/>
  <c r="H1005" i="7"/>
  <c r="H995" i="7"/>
  <c r="H985" i="7"/>
  <c r="H975" i="7"/>
  <c r="H965" i="7"/>
  <c r="H955" i="7"/>
  <c r="H945" i="7"/>
  <c r="H935" i="7"/>
  <c r="H925" i="7"/>
  <c r="H915" i="7"/>
  <c r="H905" i="7"/>
  <c r="H895" i="7"/>
  <c r="H885" i="7"/>
  <c r="H875" i="7"/>
  <c r="H865" i="7"/>
  <c r="H855" i="7"/>
  <c r="H845" i="7"/>
  <c r="H835" i="7"/>
  <c r="H825" i="7"/>
  <c r="H815" i="7"/>
  <c r="H805" i="7"/>
  <c r="H795" i="7"/>
  <c r="H785" i="7"/>
  <c r="H775" i="7"/>
  <c r="H765" i="7"/>
  <c r="H755" i="7"/>
  <c r="H2452" i="7"/>
  <c r="H2441" i="7"/>
  <c r="H2430" i="7"/>
  <c r="H2419" i="7"/>
  <c r="H2408" i="7"/>
  <c r="H2397" i="7"/>
  <c r="H2386" i="7"/>
  <c r="H2374" i="7"/>
  <c r="H2363" i="7"/>
  <c r="H2352" i="7"/>
  <c r="H2341" i="7"/>
  <c r="H2330" i="7"/>
  <c r="H2319" i="7"/>
  <c r="H2308" i="7"/>
  <c r="H2297" i="7"/>
  <c r="H2286" i="7"/>
  <c r="H2274" i="7"/>
  <c r="H2263" i="7"/>
  <c r="H2252" i="7"/>
  <c r="H2241" i="7"/>
  <c r="H2230" i="7"/>
  <c r="H2219" i="7"/>
  <c r="H2208" i="7"/>
  <c r="H2197" i="7"/>
  <c r="H2186" i="7"/>
  <c r="H2174" i="7"/>
  <c r="H2163" i="7"/>
  <c r="H2152" i="7"/>
  <c r="H2141" i="7"/>
  <c r="H2130" i="7"/>
  <c r="H2119" i="7"/>
  <c r="H2108" i="7"/>
  <c r="H2097" i="7"/>
  <c r="H2086" i="7"/>
  <c r="H2074" i="7"/>
  <c r="H2063" i="7"/>
  <c r="H2052" i="7"/>
  <c r="H2041" i="7"/>
  <c r="H2030" i="7"/>
  <c r="H2019" i="7"/>
  <c r="H2008" i="7"/>
  <c r="H1997" i="7"/>
  <c r="H1986" i="7"/>
  <c r="H1974" i="7"/>
  <c r="H1963" i="7"/>
  <c r="H1952" i="7"/>
  <c r="H1941" i="7"/>
  <c r="H1930" i="7"/>
  <c r="H1919" i="7"/>
  <c r="H1908" i="7"/>
  <c r="H1897" i="7"/>
  <c r="H1886" i="7"/>
  <c r="H1874" i="7"/>
  <c r="H1863" i="7"/>
  <c r="H1852" i="7"/>
  <c r="H1841" i="7"/>
  <c r="H1830" i="7"/>
  <c r="H1819" i="7"/>
  <c r="H1808" i="7"/>
  <c r="H1797" i="7"/>
  <c r="H1786" i="7"/>
  <c r="H1774" i="7"/>
  <c r="H1763" i="7"/>
  <c r="H1752" i="7"/>
  <c r="H1741" i="7"/>
  <c r="H1730" i="7"/>
  <c r="H1719" i="7"/>
  <c r="H1708" i="7"/>
  <c r="H1697" i="7"/>
  <c r="H1686" i="7"/>
  <c r="H1674" i="7"/>
  <c r="H1663" i="7"/>
  <c r="H1652" i="7"/>
  <c r="H1641" i="7"/>
  <c r="H1630" i="7"/>
  <c r="H1619" i="7"/>
  <c r="H1608" i="7"/>
  <c r="H1597" i="7"/>
  <c r="H1586" i="7"/>
  <c r="H1574" i="7"/>
  <c r="H1563" i="7"/>
  <c r="H1552" i="7"/>
  <c r="H1541" i="7"/>
  <c r="H1530" i="7"/>
  <c r="H1519" i="7"/>
  <c r="H1508" i="7"/>
  <c r="H1497" i="7"/>
  <c r="H1486" i="7"/>
  <c r="H1474" i="7"/>
  <c r="H1463" i="7"/>
  <c r="H1452" i="7"/>
  <c r="H1441" i="7"/>
  <c r="H1430" i="7"/>
  <c r="H1419" i="7"/>
  <c r="H1408" i="7"/>
  <c r="H1397" i="7"/>
  <c r="H1386" i="7"/>
  <c r="H1374" i="7"/>
  <c r="H1363" i="7"/>
  <c r="H1352" i="7"/>
  <c r="H1341" i="7"/>
  <c r="H1330" i="7"/>
  <c r="H1319" i="7"/>
  <c r="H1308" i="7"/>
  <c r="H1297" i="7"/>
  <c r="H1286" i="7"/>
  <c r="H1274" i="7"/>
  <c r="H1263" i="7"/>
  <c r="H1252" i="7"/>
  <c r="H1241" i="7"/>
  <c r="H1230" i="7"/>
  <c r="H1219" i="7"/>
  <c r="H1208" i="7"/>
  <c r="H1197" i="7"/>
  <c r="H1186" i="7"/>
  <c r="H1174" i="7"/>
  <c r="H1163" i="7"/>
  <c r="H1152" i="7"/>
  <c r="H1141" i="7"/>
  <c r="H1130" i="7"/>
  <c r="H1119" i="7"/>
  <c r="H1108" i="7"/>
  <c r="H1097" i="7"/>
  <c r="H1086" i="7"/>
  <c r="H1074" i="7"/>
  <c r="H1063" i="7"/>
  <c r="H1052" i="7"/>
  <c r="H1041" i="7"/>
  <c r="H1030" i="7"/>
  <c r="H1019" i="7"/>
  <c r="H1008" i="7"/>
  <c r="H997" i="7"/>
  <c r="H986" i="7"/>
  <c r="H974" i="7"/>
  <c r="H963" i="7"/>
  <c r="H952" i="7"/>
  <c r="H941" i="7"/>
  <c r="H930" i="7"/>
  <c r="H919" i="7"/>
  <c r="H908" i="7"/>
  <c r="H897" i="7"/>
  <c r="H886" i="7"/>
  <c r="H874" i="7"/>
  <c r="H863" i="7"/>
  <c r="H852" i="7"/>
  <c r="H841" i="7"/>
  <c r="H830" i="7"/>
  <c r="H819" i="7"/>
  <c r="H808" i="7"/>
  <c r="H797" i="7"/>
  <c r="H786" i="7"/>
  <c r="H774" i="7"/>
  <c r="H763" i="7"/>
  <c r="H752" i="7"/>
  <c r="H742" i="7"/>
  <c r="H732" i="7"/>
  <c r="H722" i="7"/>
  <c r="H712" i="7"/>
  <c r="H702" i="7"/>
  <c r="H692" i="7"/>
  <c r="H682" i="7"/>
  <c r="H672" i="7"/>
  <c r="H662" i="7"/>
  <c r="H652" i="7"/>
  <c r="H642" i="7"/>
  <c r="H632" i="7"/>
  <c r="H622" i="7"/>
  <c r="H612" i="7"/>
  <c r="H602" i="7"/>
  <c r="H592" i="7"/>
  <c r="H582" i="7"/>
  <c r="H572" i="7"/>
  <c r="H562" i="7"/>
  <c r="H552" i="7"/>
  <c r="H542" i="7"/>
  <c r="H532" i="7"/>
  <c r="H522" i="7"/>
  <c r="H512" i="7"/>
  <c r="H502" i="7"/>
  <c r="H492" i="7"/>
  <c r="H482" i="7"/>
  <c r="H472" i="7"/>
  <c r="H462" i="7"/>
  <c r="H452" i="7"/>
  <c r="H442" i="7"/>
  <c r="H432" i="7"/>
  <c r="H422" i="7"/>
  <c r="H412" i="7"/>
  <c r="H402" i="7"/>
  <c r="H392" i="7"/>
  <c r="H382" i="7"/>
  <c r="H372" i="7"/>
  <c r="H362" i="7"/>
  <c r="H352" i="7"/>
  <c r="H342" i="7"/>
  <c r="H332" i="7"/>
  <c r="H322" i="7"/>
  <c r="H312" i="7"/>
  <c r="H302" i="7"/>
  <c r="H292" i="7"/>
  <c r="H282" i="7"/>
  <c r="H272" i="7"/>
  <c r="H262" i="7"/>
  <c r="H252" i="7"/>
  <c r="H242" i="7"/>
  <c r="H232" i="7"/>
  <c r="H222" i="7"/>
  <c r="H212" i="7"/>
  <c r="H202" i="7"/>
  <c r="H192" i="7"/>
  <c r="H182" i="7"/>
  <c r="H172" i="7"/>
  <c r="H162" i="7"/>
  <c r="H152" i="7"/>
  <c r="H142" i="7"/>
  <c r="H132" i="7"/>
  <c r="H122" i="7"/>
  <c r="H112" i="7"/>
  <c r="H102" i="7"/>
  <c r="H92" i="7"/>
  <c r="H82" i="7"/>
  <c r="H72" i="7"/>
  <c r="H62" i="7"/>
  <c r="H52" i="7"/>
  <c r="H42" i="7"/>
  <c r="H32" i="7"/>
  <c r="H22" i="7"/>
  <c r="H12" i="7"/>
  <c r="H2462" i="7"/>
  <c r="H2451" i="7"/>
  <c r="H2440" i="7"/>
  <c r="H2429" i="7"/>
  <c r="H2418" i="7"/>
  <c r="H2407" i="7"/>
  <c r="H2396" i="7"/>
  <c r="H2384" i="7"/>
  <c r="H2373" i="7"/>
  <c r="H2362" i="7"/>
  <c r="H2351" i="7"/>
  <c r="H2340" i="7"/>
  <c r="H2329" i="7"/>
  <c r="H2318" i="7"/>
  <c r="H2307" i="7"/>
  <c r="H2296" i="7"/>
  <c r="H2284" i="7"/>
  <c r="H2273" i="7"/>
  <c r="H2262" i="7"/>
  <c r="H2251" i="7"/>
  <c r="H2240" i="7"/>
  <c r="H2229" i="7"/>
  <c r="H2218" i="7"/>
  <c r="H2207" i="7"/>
  <c r="H2196" i="7"/>
  <c r="H2184" i="7"/>
  <c r="H2173" i="7"/>
  <c r="H2162" i="7"/>
  <c r="H2151" i="7"/>
  <c r="H2140" i="7"/>
  <c r="H2129" i="7"/>
  <c r="H2118" i="7"/>
  <c r="H2107" i="7"/>
  <c r="H2096" i="7"/>
  <c r="H2084" i="7"/>
  <c r="H2073" i="7"/>
  <c r="H2062" i="7"/>
  <c r="H2051" i="7"/>
  <c r="H2040" i="7"/>
  <c r="H2029" i="7"/>
  <c r="H2018" i="7"/>
  <c r="H2007" i="7"/>
  <c r="H1996" i="7"/>
  <c r="H1984" i="7"/>
  <c r="H1973" i="7"/>
  <c r="H1962" i="7"/>
  <c r="H1951" i="7"/>
  <c r="H1940" i="7"/>
  <c r="H1929" i="7"/>
  <c r="H1918" i="7"/>
  <c r="H1907" i="7"/>
  <c r="H1896" i="7"/>
  <c r="H1884" i="7"/>
  <c r="H1873" i="7"/>
  <c r="H1862" i="7"/>
  <c r="H1851" i="7"/>
  <c r="H1840" i="7"/>
  <c r="H1829" i="7"/>
  <c r="H1818" i="7"/>
  <c r="H1807" i="7"/>
  <c r="H1796" i="7"/>
  <c r="H1784" i="7"/>
  <c r="H1773" i="7"/>
  <c r="H1762" i="7"/>
  <c r="H1751" i="7"/>
  <c r="H1740" i="7"/>
  <c r="H1729" i="7"/>
  <c r="H1718" i="7"/>
  <c r="H1707" i="7"/>
  <c r="H1696" i="7"/>
  <c r="H1684" i="7"/>
  <c r="H1673" i="7"/>
  <c r="H1662" i="7"/>
  <c r="H1651" i="7"/>
  <c r="H1640" i="7"/>
  <c r="H1629" i="7"/>
  <c r="H1618" i="7"/>
  <c r="H1607" i="7"/>
  <c r="H1596" i="7"/>
  <c r="H1584" i="7"/>
  <c r="H1573" i="7"/>
  <c r="H1562" i="7"/>
  <c r="H1551" i="7"/>
  <c r="H1540" i="7"/>
  <c r="H1529" i="7"/>
  <c r="H1518" i="7"/>
  <c r="H1507" i="7"/>
  <c r="H1496" i="7"/>
  <c r="H1484" i="7"/>
  <c r="H1473" i="7"/>
  <c r="H1462" i="7"/>
  <c r="H1451" i="7"/>
  <c r="H1440" i="7"/>
  <c r="H1429" i="7"/>
  <c r="H1418" i="7"/>
  <c r="H1407" i="7"/>
  <c r="H1396" i="7"/>
  <c r="H1384" i="7"/>
  <c r="H1373" i="7"/>
  <c r="H1362" i="7"/>
  <c r="H1351" i="7"/>
  <c r="H1340" i="7"/>
  <c r="H1329" i="7"/>
  <c r="H1318" i="7"/>
  <c r="H1307" i="7"/>
  <c r="H1296" i="7"/>
  <c r="H1284" i="7"/>
  <c r="H1273" i="7"/>
  <c r="H1262" i="7"/>
  <c r="H1251" i="7"/>
  <c r="H1240" i="7"/>
  <c r="H1229" i="7"/>
  <c r="H1218" i="7"/>
  <c r="H1207" i="7"/>
  <c r="H1196" i="7"/>
  <c r="H1184" i="7"/>
  <c r="H1173" i="7"/>
  <c r="H1162" i="7"/>
  <c r="H1151" i="7"/>
  <c r="H1140" i="7"/>
  <c r="H1129" i="7"/>
  <c r="H1118" i="7"/>
  <c r="H1107" i="7"/>
  <c r="H1096" i="7"/>
  <c r="H1084" i="7"/>
  <c r="H1073" i="7"/>
  <c r="H1062" i="7"/>
  <c r="H1051" i="7"/>
  <c r="H1040" i="7"/>
  <c r="H1029" i="7"/>
  <c r="H1018" i="7"/>
  <c r="H1007" i="7"/>
  <c r="H996" i="7"/>
  <c r="H984" i="7"/>
  <c r="H973" i="7"/>
  <c r="H962" i="7"/>
  <c r="H951" i="7"/>
  <c r="H940" i="7"/>
  <c r="H929" i="7"/>
  <c r="H918" i="7"/>
  <c r="H907" i="7"/>
  <c r="H896" i="7"/>
  <c r="H884" i="7"/>
  <c r="H873" i="7"/>
  <c r="H862" i="7"/>
  <c r="H851" i="7"/>
  <c r="H840" i="7"/>
  <c r="H829" i="7"/>
  <c r="H818" i="7"/>
  <c r="H807" i="7"/>
  <c r="H796" i="7"/>
  <c r="H784" i="7"/>
  <c r="H773" i="7"/>
  <c r="H762" i="7"/>
  <c r="H751" i="7"/>
  <c r="H741" i="7"/>
  <c r="H731" i="7"/>
  <c r="H721" i="7"/>
  <c r="H711" i="7"/>
  <c r="H701" i="7"/>
  <c r="H691" i="7"/>
  <c r="H681" i="7"/>
  <c r="H671" i="7"/>
  <c r="H661" i="7"/>
  <c r="H651" i="7"/>
  <c r="H641" i="7"/>
  <c r="H631" i="7"/>
  <c r="H621" i="7"/>
  <c r="H611" i="7"/>
  <c r="H601" i="7"/>
  <c r="H591" i="7"/>
  <c r="H581" i="7"/>
  <c r="H571" i="7"/>
  <c r="H561" i="7"/>
  <c r="H551" i="7"/>
  <c r="H541" i="7"/>
  <c r="H531" i="7"/>
  <c r="H521" i="7"/>
  <c r="H511" i="7"/>
  <c r="H501" i="7"/>
  <c r="H491" i="7"/>
  <c r="H481" i="7"/>
  <c r="H471" i="7"/>
  <c r="H461" i="7"/>
  <c r="H451" i="7"/>
  <c r="H441" i="7"/>
  <c r="H431" i="7"/>
  <c r="H421" i="7"/>
  <c r="H411" i="7"/>
  <c r="H401" i="7"/>
  <c r="H391" i="7"/>
  <c r="H381" i="7"/>
  <c r="H371" i="7"/>
  <c r="H361" i="7"/>
  <c r="H351" i="7"/>
  <c r="H341" i="7"/>
  <c r="H331" i="7"/>
  <c r="H321" i="7"/>
  <c r="H311" i="7"/>
  <c r="H301" i="7"/>
  <c r="H291" i="7"/>
  <c r="H281" i="7"/>
  <c r="H271" i="7"/>
  <c r="H261" i="7"/>
  <c r="H251" i="7"/>
  <c r="H241" i="7"/>
  <c r="H231" i="7"/>
  <c r="H221" i="7"/>
  <c r="H211" i="7"/>
  <c r="H201" i="7"/>
  <c r="H191" i="7"/>
  <c r="H181" i="7"/>
  <c r="H171" i="7"/>
  <c r="H161" i="7"/>
  <c r="H151" i="7"/>
  <c r="H141" i="7"/>
  <c r="H131" i="7"/>
  <c r="H121" i="7"/>
  <c r="H111" i="7"/>
  <c r="H101" i="7"/>
  <c r="H91" i="7"/>
  <c r="H81" i="7"/>
  <c r="H71" i="7"/>
  <c r="H61" i="7"/>
  <c r="H51" i="7"/>
  <c r="H41" i="7"/>
  <c r="H31" i="7"/>
  <c r="H21" i="7"/>
  <c r="H11" i="7"/>
  <c r="H2" i="7"/>
  <c r="H2461" i="7"/>
  <c r="H2450" i="7"/>
  <c r="H2439" i="7"/>
  <c r="H2428" i="7"/>
  <c r="H2417" i="7"/>
  <c r="H2406" i="7"/>
  <c r="H2394" i="7"/>
  <c r="H2383" i="7"/>
  <c r="H2372" i="7"/>
  <c r="H2361" i="7"/>
  <c r="H2350" i="7"/>
  <c r="H2339" i="7"/>
  <c r="H2328" i="7"/>
  <c r="H2317" i="7"/>
  <c r="H2306" i="7"/>
  <c r="H2294" i="7"/>
  <c r="H2283" i="7"/>
  <c r="H2272" i="7"/>
  <c r="H2261" i="7"/>
  <c r="H2250" i="7"/>
  <c r="H2239" i="7"/>
  <c r="H2228" i="7"/>
  <c r="H2217" i="7"/>
  <c r="H2206" i="7"/>
  <c r="H2194" i="7"/>
  <c r="H2183" i="7"/>
  <c r="H2172" i="7"/>
  <c r="H2161" i="7"/>
  <c r="H2150" i="7"/>
  <c r="H2139" i="7"/>
  <c r="H2128" i="7"/>
  <c r="H2117" i="7"/>
  <c r="H2106" i="7"/>
  <c r="H2094" i="7"/>
  <c r="H2083" i="7"/>
  <c r="H2072" i="7"/>
  <c r="H2061" i="7"/>
  <c r="H2050" i="7"/>
  <c r="H2039" i="7"/>
  <c r="H2028" i="7"/>
  <c r="H2017" i="7"/>
  <c r="H2006" i="7"/>
  <c r="H1994" i="7"/>
  <c r="H1983" i="7"/>
  <c r="H1972" i="7"/>
  <c r="H1961" i="7"/>
  <c r="H1950" i="7"/>
  <c r="H1939" i="7"/>
  <c r="H1928" i="7"/>
  <c r="H1917" i="7"/>
  <c r="H1906" i="7"/>
  <c r="H1894" i="7"/>
  <c r="H1883" i="7"/>
  <c r="H1872" i="7"/>
  <c r="H1861" i="7"/>
  <c r="H1850" i="7"/>
  <c r="H1839" i="7"/>
  <c r="H1828" i="7"/>
  <c r="H1817" i="7"/>
  <c r="H1806" i="7"/>
  <c r="H1794" i="7"/>
  <c r="H1783" i="7"/>
  <c r="H1772" i="7"/>
  <c r="H1761" i="7"/>
  <c r="H1750" i="7"/>
  <c r="H1739" i="7"/>
  <c r="H1728" i="7"/>
  <c r="H1717" i="7"/>
  <c r="H1706" i="7"/>
  <c r="H1694" i="7"/>
  <c r="H1683" i="7"/>
  <c r="H1672" i="7"/>
  <c r="H1661" i="7"/>
  <c r="H1650" i="7"/>
  <c r="H1639" i="7"/>
  <c r="H1628" i="7"/>
  <c r="H1617" i="7"/>
  <c r="H1606" i="7"/>
  <c r="H1594" i="7"/>
  <c r="H1583" i="7"/>
  <c r="H1572" i="7"/>
  <c r="H1561" i="7"/>
  <c r="H1550" i="7"/>
  <c r="H1539" i="7"/>
  <c r="H1528" i="7"/>
  <c r="H1517" i="7"/>
  <c r="H1506" i="7"/>
  <c r="H1494" i="7"/>
  <c r="H1483" i="7"/>
  <c r="H1472" i="7"/>
  <c r="H1461" i="7"/>
  <c r="H1450" i="7"/>
  <c r="H1439" i="7"/>
  <c r="H1428" i="7"/>
  <c r="H1417" i="7"/>
  <c r="H1406" i="7"/>
  <c r="H1394" i="7"/>
  <c r="H1383" i="7"/>
  <c r="H1372" i="7"/>
  <c r="H1361" i="7"/>
  <c r="H1350" i="7"/>
  <c r="H1339" i="7"/>
  <c r="H1328" i="7"/>
  <c r="H1317" i="7"/>
  <c r="H1306" i="7"/>
  <c r="H1294" i="7"/>
  <c r="H1283" i="7"/>
  <c r="H1272" i="7"/>
  <c r="H1261" i="7"/>
  <c r="H1250" i="7"/>
  <c r="H1239" i="7"/>
  <c r="H1228" i="7"/>
  <c r="H1217" i="7"/>
  <c r="H1206" i="7"/>
  <c r="H1194" i="7"/>
  <c r="H1183" i="7"/>
  <c r="H1172" i="7"/>
  <c r="H1161" i="7"/>
  <c r="H1150" i="7"/>
  <c r="H1139" i="7"/>
  <c r="H1128" i="7"/>
  <c r="H1117" i="7"/>
  <c r="H1106" i="7"/>
  <c r="H1094" i="7"/>
  <c r="H1083" i="7"/>
  <c r="H1072" i="7"/>
  <c r="H1061" i="7"/>
  <c r="H1050" i="7"/>
  <c r="H1039" i="7"/>
  <c r="H1028" i="7"/>
  <c r="H1017" i="7"/>
  <c r="H1006" i="7"/>
  <c r="H994" i="7"/>
  <c r="H983" i="7"/>
  <c r="H972" i="7"/>
  <c r="H961" i="7"/>
  <c r="H950" i="7"/>
  <c r="H939" i="7"/>
  <c r="H928" i="7"/>
  <c r="H917" i="7"/>
  <c r="H906" i="7"/>
  <c r="H894" i="7"/>
  <c r="H883" i="7"/>
  <c r="H872" i="7"/>
  <c r="H861" i="7"/>
  <c r="H850" i="7"/>
  <c r="H839" i="7"/>
  <c r="H828" i="7"/>
  <c r="H817" i="7"/>
  <c r="H806" i="7"/>
  <c r="H794" i="7"/>
  <c r="H783" i="7"/>
  <c r="H772" i="7"/>
  <c r="H761" i="7"/>
  <c r="H750" i="7"/>
  <c r="H740" i="7"/>
  <c r="H730" i="7"/>
  <c r="H720" i="7"/>
  <c r="H710" i="7"/>
  <c r="H700" i="7"/>
  <c r="H690" i="7"/>
  <c r="H680" i="7"/>
  <c r="H670" i="7"/>
  <c r="H660" i="7"/>
  <c r="H650" i="7"/>
  <c r="H640" i="7"/>
  <c r="H630" i="7"/>
  <c r="H620" i="7"/>
  <c r="H610" i="7"/>
  <c r="H600" i="7"/>
  <c r="H590" i="7"/>
  <c r="H580" i="7"/>
  <c r="H570" i="7"/>
  <c r="H560" i="7"/>
  <c r="H550" i="7"/>
  <c r="H540" i="7"/>
  <c r="H530" i="7"/>
  <c r="H520" i="7"/>
  <c r="H510" i="7"/>
  <c r="H500" i="7"/>
  <c r="H490" i="7"/>
  <c r="H480" i="7"/>
  <c r="H470" i="7"/>
  <c r="H460" i="7"/>
  <c r="H450" i="7"/>
  <c r="H440" i="7"/>
  <c r="H430" i="7"/>
  <c r="H420" i="7"/>
  <c r="H410" i="7"/>
  <c r="H400" i="7"/>
  <c r="H390" i="7"/>
  <c r="H380" i="7"/>
  <c r="H370" i="7"/>
  <c r="H360" i="7"/>
  <c r="H350" i="7"/>
  <c r="H340" i="7"/>
  <c r="H330" i="7"/>
  <c r="H320" i="7"/>
  <c r="H310" i="7"/>
  <c r="H300" i="7"/>
  <c r="H290" i="7"/>
  <c r="H280" i="7"/>
  <c r="H270" i="7"/>
  <c r="H260" i="7"/>
  <c r="H250" i="7"/>
  <c r="H240" i="7"/>
  <c r="H230" i="7"/>
  <c r="H220" i="7"/>
  <c r="H210" i="7"/>
  <c r="H200" i="7"/>
  <c r="H190" i="7"/>
  <c r="H180" i="7"/>
  <c r="H170" i="7"/>
  <c r="H160" i="7"/>
  <c r="H150" i="7"/>
  <c r="H140" i="7"/>
  <c r="H130" i="7"/>
  <c r="H120" i="7"/>
  <c r="H110" i="7"/>
  <c r="H100" i="7"/>
  <c r="H90" i="7"/>
  <c r="H80" i="7"/>
  <c r="H70" i="7"/>
  <c r="H60" i="7"/>
  <c r="H50" i="7"/>
  <c r="H40" i="7"/>
  <c r="H30" i="7"/>
  <c r="H20" i="7"/>
  <c r="H10" i="7"/>
  <c r="H2457" i="7"/>
  <c r="H2446" i="7"/>
  <c r="H2434" i="7"/>
  <c r="H2423" i="7"/>
  <c r="H2412" i="7"/>
  <c r="H2401" i="7"/>
  <c r="H2390" i="7"/>
  <c r="H2379" i="7"/>
  <c r="H2368" i="7"/>
  <c r="H2357" i="7"/>
  <c r="H2346" i="7"/>
  <c r="H2334" i="7"/>
  <c r="H2323" i="7"/>
  <c r="H2312" i="7"/>
  <c r="H2301" i="7"/>
  <c r="H2290" i="7"/>
  <c r="H2279" i="7"/>
  <c r="H2268" i="7"/>
  <c r="H2257" i="7"/>
  <c r="H2246" i="7"/>
  <c r="H2234" i="7"/>
  <c r="H2223" i="7"/>
  <c r="H2212" i="7"/>
  <c r="H2201" i="7"/>
  <c r="H2190" i="7"/>
  <c r="H2179" i="7"/>
  <c r="H2168" i="7"/>
  <c r="H2157" i="7"/>
  <c r="H2146" i="7"/>
  <c r="H2134" i="7"/>
  <c r="H2123" i="7"/>
  <c r="H2112" i="7"/>
  <c r="H2101" i="7"/>
  <c r="H2090" i="7"/>
  <c r="H2079" i="7"/>
  <c r="H2068" i="7"/>
  <c r="H2057" i="7"/>
  <c r="H2046" i="7"/>
  <c r="H2034" i="7"/>
  <c r="H2023" i="7"/>
  <c r="H2012" i="7"/>
  <c r="H2001" i="7"/>
  <c r="H1990" i="7"/>
  <c r="H1979" i="7"/>
  <c r="H1968" i="7"/>
  <c r="H1957" i="7"/>
  <c r="H1946" i="7"/>
  <c r="H1934" i="7"/>
  <c r="H1923" i="7"/>
  <c r="H1912" i="7"/>
  <c r="H1901" i="7"/>
  <c r="H1890" i="7"/>
  <c r="H1879" i="7"/>
  <c r="H1868" i="7"/>
  <c r="H1857" i="7"/>
  <c r="H1846" i="7"/>
  <c r="H1834" i="7"/>
  <c r="H1823" i="7"/>
  <c r="H1812" i="7"/>
  <c r="H1801" i="7"/>
  <c r="H1790" i="7"/>
  <c r="H1779" i="7"/>
  <c r="H1768" i="7"/>
  <c r="H1757" i="7"/>
  <c r="H1746" i="7"/>
  <c r="H1734" i="7"/>
  <c r="H1723" i="7"/>
  <c r="H1712" i="7"/>
  <c r="H1701" i="7"/>
  <c r="H1690" i="7"/>
  <c r="H1679" i="7"/>
  <c r="H1668" i="7"/>
  <c r="H1657" i="7"/>
  <c r="H1646" i="7"/>
  <c r="H1634" i="7"/>
  <c r="H1623" i="7"/>
  <c r="H1612" i="7"/>
  <c r="H1601" i="7"/>
  <c r="H1590" i="7"/>
  <c r="H1579" i="7"/>
  <c r="H1568" i="7"/>
  <c r="H1557" i="7"/>
  <c r="H1546" i="7"/>
  <c r="H1534" i="7"/>
  <c r="H1523" i="7"/>
  <c r="H1512" i="7"/>
  <c r="H1501" i="7"/>
  <c r="H1490" i="7"/>
  <c r="H1479" i="7"/>
  <c r="H1468" i="7"/>
  <c r="H1457" i="7"/>
  <c r="H1446" i="7"/>
  <c r="H1434" i="7"/>
  <c r="H1423" i="7"/>
  <c r="H1412" i="7"/>
  <c r="H1401" i="7"/>
  <c r="H1390" i="7"/>
  <c r="H1379" i="7"/>
  <c r="H1368" i="7"/>
  <c r="H1357" i="7"/>
  <c r="H1346" i="7"/>
  <c r="H1334" i="7"/>
  <c r="H1323" i="7"/>
  <c r="H1312" i="7"/>
  <c r="H1301" i="7"/>
  <c r="H1290" i="7"/>
  <c r="H1279" i="7"/>
  <c r="H1268" i="7"/>
  <c r="H1257" i="7"/>
  <c r="H1246" i="7"/>
  <c r="H1234" i="7"/>
  <c r="H1223" i="7"/>
  <c r="H1212" i="7"/>
  <c r="H1201" i="7"/>
  <c r="H1190" i="7"/>
  <c r="H1179" i="7"/>
  <c r="H1168" i="7"/>
  <c r="H1157" i="7"/>
  <c r="H1146" i="7"/>
  <c r="H1134" i="7"/>
  <c r="H1123" i="7"/>
  <c r="H1112" i="7"/>
  <c r="H1101" i="7"/>
  <c r="H1090" i="7"/>
  <c r="H1079" i="7"/>
  <c r="H1068" i="7"/>
  <c r="H1057" i="7"/>
  <c r="H1046" i="7"/>
  <c r="H1034" i="7"/>
  <c r="H1023" i="7"/>
  <c r="H1012" i="7"/>
  <c r="H1001" i="7"/>
  <c r="H990" i="7"/>
  <c r="H979" i="7"/>
  <c r="H968" i="7"/>
  <c r="H957" i="7"/>
  <c r="H946" i="7"/>
  <c r="H934" i="7"/>
  <c r="H923" i="7"/>
  <c r="H912" i="7"/>
  <c r="H901" i="7"/>
  <c r="H890" i="7"/>
  <c r="H879" i="7"/>
  <c r="H868" i="7"/>
  <c r="H857" i="7"/>
  <c r="H846" i="7"/>
  <c r="H834" i="7"/>
  <c r="H823" i="7"/>
  <c r="H812" i="7"/>
  <c r="H801" i="7"/>
  <c r="H790" i="7"/>
  <c r="H779" i="7"/>
  <c r="H768" i="7"/>
  <c r="H757" i="7"/>
  <c r="H746" i="7"/>
  <c r="H736" i="7"/>
  <c r="H726" i="7"/>
  <c r="H716" i="7"/>
  <c r="H706" i="7"/>
  <c r="H696" i="7"/>
  <c r="H686" i="7"/>
  <c r="H676" i="7"/>
  <c r="H666" i="7"/>
  <c r="H656" i="7"/>
  <c r="H646" i="7"/>
  <c r="H636" i="7"/>
  <c r="H626" i="7"/>
  <c r="H616" i="7"/>
  <c r="H606" i="7"/>
  <c r="H596" i="7"/>
  <c r="H586" i="7"/>
  <c r="H576" i="7"/>
  <c r="H566" i="7"/>
  <c r="H556" i="7"/>
  <c r="H546" i="7"/>
  <c r="H536" i="7"/>
  <c r="H526" i="7"/>
  <c r="H516" i="7"/>
  <c r="H506" i="7"/>
  <c r="H496" i="7"/>
  <c r="H486" i="7"/>
  <c r="H476" i="7"/>
  <c r="H466" i="7"/>
  <c r="H456" i="7"/>
  <c r="H446" i="7"/>
  <c r="H436" i="7"/>
  <c r="H426" i="7"/>
  <c r="H416" i="7"/>
  <c r="H406" i="7"/>
  <c r="H396" i="7"/>
  <c r="H386" i="7"/>
  <c r="H376" i="7"/>
  <c r="H366" i="7"/>
  <c r="H356" i="7"/>
  <c r="H346" i="7"/>
  <c r="H336" i="7"/>
  <c r="H326" i="7"/>
  <c r="H316" i="7"/>
  <c r="H306" i="7"/>
  <c r="H296" i="7"/>
  <c r="H286" i="7"/>
  <c r="H276" i="7"/>
  <c r="H266" i="7"/>
  <c r="H256" i="7"/>
  <c r="H246" i="7"/>
  <c r="H236" i="7"/>
  <c r="H226" i="7"/>
  <c r="H216" i="7"/>
  <c r="H206" i="7"/>
  <c r="H196" i="7"/>
  <c r="H186" i="7"/>
  <c r="H176" i="7"/>
  <c r="H166" i="7"/>
  <c r="H156" i="7"/>
  <c r="H146" i="7"/>
  <c r="H136" i="7"/>
  <c r="H126" i="7"/>
  <c r="H116" i="7"/>
  <c r="H106" i="7"/>
  <c r="H96" i="7"/>
  <c r="H86" i="7"/>
  <c r="H76" i="7"/>
  <c r="H66" i="7"/>
  <c r="H56" i="7"/>
  <c r="H46" i="7"/>
  <c r="H36" i="7"/>
  <c r="H26" i="7"/>
  <c r="H16" i="7"/>
  <c r="H6" i="7"/>
  <c r="H2459" i="7"/>
  <c r="H2442" i="7"/>
  <c r="H2422" i="7"/>
  <c r="H2403" i="7"/>
  <c r="H2387" i="7"/>
  <c r="H2367" i="7"/>
  <c r="H2348" i="7"/>
  <c r="H2331" i="7"/>
  <c r="H2311" i="7"/>
  <c r="H2292" i="7"/>
  <c r="H2276" i="7"/>
  <c r="H2256" i="7"/>
  <c r="H2237" i="7"/>
  <c r="H2220" i="7"/>
  <c r="H2200" i="7"/>
  <c r="H2181" i="7"/>
  <c r="H2164" i="7"/>
  <c r="H2144" i="7"/>
  <c r="H2126" i="7"/>
  <c r="H2109" i="7"/>
  <c r="H2089" i="7"/>
  <c r="H2070" i="7"/>
  <c r="H2053" i="7"/>
  <c r="H2033" i="7"/>
  <c r="H2014" i="7"/>
  <c r="H1998" i="7"/>
  <c r="H1978" i="7"/>
  <c r="H1959" i="7"/>
  <c r="H1942" i="7"/>
  <c r="H1922" i="7"/>
  <c r="H1903" i="7"/>
  <c r="H1887" i="7"/>
  <c r="H1867" i="7"/>
  <c r="H1848" i="7"/>
  <c r="H1831" i="7"/>
  <c r="H1811" i="7"/>
  <c r="H1792" i="7"/>
  <c r="H1776" i="7"/>
  <c r="H1756" i="7"/>
  <c r="H1737" i="7"/>
  <c r="H1720" i="7"/>
  <c r="H1700" i="7"/>
  <c r="H1681" i="7"/>
  <c r="H1664" i="7"/>
  <c r="H1644" i="7"/>
  <c r="H1626" i="7"/>
  <c r="H1609" i="7"/>
  <c r="H1589" i="7"/>
  <c r="H1570" i="7"/>
  <c r="H1553" i="7"/>
  <c r="H1533" i="7"/>
  <c r="H1514" i="7"/>
  <c r="H1498" i="7"/>
  <c r="H1478" i="7"/>
  <c r="H1459" i="7"/>
  <c r="H1442" i="7"/>
  <c r="H1422" i="7"/>
  <c r="H1403" i="7"/>
  <c r="H1387" i="7"/>
  <c r="H1367" i="7"/>
  <c r="H1348" i="7"/>
  <c r="H1331" i="7"/>
  <c r="H1311" i="7"/>
  <c r="H1292" i="7"/>
  <c r="H1276" i="7"/>
  <c r="H1256" i="7"/>
  <c r="H1237" i="7"/>
  <c r="H1220" i="7"/>
  <c r="H1200" i="7"/>
  <c r="H1181" i="7"/>
  <c r="H1164" i="7"/>
  <c r="H1144" i="7"/>
  <c r="H1126" i="7"/>
  <c r="H1109" i="7"/>
  <c r="H1089" i="7"/>
  <c r="H1070" i="7"/>
  <c r="H1053" i="7"/>
  <c r="H1033" i="7"/>
  <c r="H1014" i="7"/>
  <c r="H998" i="7"/>
  <c r="H978" i="7"/>
  <c r="H959" i="7"/>
  <c r="H942" i="7"/>
  <c r="H922" i="7"/>
  <c r="H903" i="7"/>
  <c r="H887" i="7"/>
  <c r="H867" i="7"/>
  <c r="H848" i="7"/>
  <c r="H831" i="7"/>
  <c r="H811" i="7"/>
  <c r="H792" i="7"/>
  <c r="H776" i="7"/>
  <c r="H756" i="7"/>
  <c r="H738" i="7"/>
  <c r="H723" i="7"/>
  <c r="H705" i="7"/>
  <c r="H688" i="7"/>
  <c r="H673" i="7"/>
  <c r="H655" i="7"/>
  <c r="H638" i="7"/>
  <c r="H623" i="7"/>
  <c r="H605" i="7"/>
  <c r="H588" i="7"/>
  <c r="H573" i="7"/>
  <c r="H555" i="7"/>
  <c r="H538" i="7"/>
  <c r="H523" i="7"/>
  <c r="H505" i="7"/>
  <c r="H488" i="7"/>
  <c r="H473" i="7"/>
  <c r="H455" i="7"/>
  <c r="H438" i="7"/>
  <c r="H423" i="7"/>
  <c r="H405" i="7"/>
  <c r="H388" i="7"/>
  <c r="H373" i="7"/>
  <c r="H355" i="7"/>
  <c r="H338" i="7"/>
  <c r="H323" i="7"/>
  <c r="H305" i="7"/>
  <c r="H288" i="7"/>
  <c r="H273" i="7"/>
  <c r="H255" i="7"/>
  <c r="H238" i="7"/>
  <c r="H223" i="7"/>
  <c r="H205" i="7"/>
  <c r="H188" i="7"/>
  <c r="H173" i="7"/>
  <c r="H155" i="7"/>
  <c r="H138" i="7"/>
  <c r="H123" i="7"/>
  <c r="H105" i="7"/>
  <c r="H88" i="7"/>
  <c r="H73" i="7"/>
  <c r="H55" i="7"/>
  <c r="H38" i="7"/>
  <c r="H23" i="7"/>
  <c r="H5" i="7"/>
  <c r="H2458" i="7"/>
  <c r="H2438" i="7"/>
  <c r="H2421" i="7"/>
  <c r="H2402" i="7"/>
  <c r="H2382" i="7"/>
  <c r="H2366" i="7"/>
  <c r="H2347" i="7"/>
  <c r="H2327" i="7"/>
  <c r="H2310" i="7"/>
  <c r="H2291" i="7"/>
  <c r="H2271" i="7"/>
  <c r="H2254" i="7"/>
  <c r="H2236" i="7"/>
  <c r="H2216" i="7"/>
  <c r="H2199" i="7"/>
  <c r="H2180" i="7"/>
  <c r="H2160" i="7"/>
  <c r="H2143" i="7"/>
  <c r="H2124" i="7"/>
  <c r="H2104" i="7"/>
  <c r="H2088" i="7"/>
  <c r="H2069" i="7"/>
  <c r="H2049" i="7"/>
  <c r="H2032" i="7"/>
  <c r="H2013" i="7"/>
  <c r="H1993" i="7"/>
  <c r="H1977" i="7"/>
  <c r="H1958" i="7"/>
  <c r="H1938" i="7"/>
  <c r="H1921" i="7"/>
  <c r="H1902" i="7"/>
  <c r="H1882" i="7"/>
  <c r="H1866" i="7"/>
  <c r="H1847" i="7"/>
  <c r="H1827" i="7"/>
  <c r="H1810" i="7"/>
  <c r="H1791" i="7"/>
  <c r="H1771" i="7"/>
  <c r="H1754" i="7"/>
  <c r="H1736" i="7"/>
  <c r="H1716" i="7"/>
  <c r="H1699" i="7"/>
  <c r="H1680" i="7"/>
  <c r="H1660" i="7"/>
  <c r="H1643" i="7"/>
  <c r="H1624" i="7"/>
  <c r="H1604" i="7"/>
  <c r="H1588" i="7"/>
  <c r="H1569" i="7"/>
  <c r="H1549" i="7"/>
  <c r="H1532" i="7"/>
  <c r="H1513" i="7"/>
  <c r="H1493" i="7"/>
  <c r="H1477" i="7"/>
  <c r="H1458" i="7"/>
  <c r="H1438" i="7"/>
  <c r="H1421" i="7"/>
  <c r="H1402" i="7"/>
  <c r="H1382" i="7"/>
  <c r="H1366" i="7"/>
  <c r="H1347" i="7"/>
  <c r="H1327" i="7"/>
  <c r="H1310" i="7"/>
  <c r="H1291" i="7"/>
  <c r="H1271" i="7"/>
  <c r="H1254" i="7"/>
  <c r="H1236" i="7"/>
  <c r="H1216" i="7"/>
  <c r="H1199" i="7"/>
  <c r="H1180" i="7"/>
  <c r="H1160" i="7"/>
  <c r="H1143" i="7"/>
  <c r="H1124" i="7"/>
  <c r="H1104" i="7"/>
  <c r="H1088" i="7"/>
  <c r="H1069" i="7"/>
  <c r="H1049" i="7"/>
  <c r="H1032" i="7"/>
  <c r="H1013" i="7"/>
  <c r="H993" i="7"/>
  <c r="H977" i="7"/>
  <c r="H958" i="7"/>
  <c r="H938" i="7"/>
  <c r="H921" i="7"/>
  <c r="H902" i="7"/>
  <c r="H882" i="7"/>
  <c r="H866" i="7"/>
  <c r="H847" i="7"/>
  <c r="H827" i="7"/>
  <c r="H810" i="7"/>
  <c r="H791" i="7"/>
  <c r="H771" i="7"/>
  <c r="H754" i="7"/>
  <c r="H737" i="7"/>
  <c r="H719" i="7"/>
  <c r="H704" i="7"/>
  <c r="H687" i="7"/>
  <c r="H669" i="7"/>
  <c r="H654" i="7"/>
  <c r="H637" i="7"/>
  <c r="H619" i="7"/>
  <c r="H604" i="7"/>
  <c r="H587" i="7"/>
  <c r="H569" i="7"/>
  <c r="H554" i="7"/>
  <c r="H537" i="7"/>
  <c r="H519" i="7"/>
  <c r="H504" i="7"/>
  <c r="H487" i="7"/>
  <c r="H469" i="7"/>
  <c r="H454" i="7"/>
  <c r="H437" i="7"/>
  <c r="H419" i="7"/>
  <c r="H404" i="7"/>
  <c r="H387" i="7"/>
  <c r="H369" i="7"/>
  <c r="H354" i="7"/>
  <c r="H337" i="7"/>
  <c r="H319" i="7"/>
  <c r="H304" i="7"/>
  <c r="H287" i="7"/>
  <c r="H269" i="7"/>
  <c r="H254" i="7"/>
  <c r="H237" i="7"/>
  <c r="H219" i="7"/>
  <c r="H204" i="7"/>
  <c r="H187" i="7"/>
  <c r="H169" i="7"/>
  <c r="H154" i="7"/>
  <c r="H137" i="7"/>
  <c r="H119" i="7"/>
  <c r="H104" i="7"/>
  <c r="H87" i="7"/>
  <c r="H69" i="7"/>
  <c r="H54" i="7"/>
  <c r="H37" i="7"/>
  <c r="H19" i="7"/>
  <c r="H4" i="7"/>
  <c r="H2456" i="7"/>
  <c r="H2437" i="7"/>
  <c r="H2420" i="7"/>
  <c r="H2400" i="7"/>
  <c r="H2381" i="7"/>
  <c r="H2364" i="7"/>
  <c r="H2344" i="7"/>
  <c r="H2326" i="7"/>
  <c r="H2309" i="7"/>
  <c r="H2289" i="7"/>
  <c r="H2270" i="7"/>
  <c r="H2253" i="7"/>
  <c r="H2233" i="7"/>
  <c r="H2214" i="7"/>
  <c r="H2198" i="7"/>
  <c r="H2178" i="7"/>
  <c r="H2159" i="7"/>
  <c r="H2142" i="7"/>
  <c r="H2122" i="7"/>
  <c r="H2103" i="7"/>
  <c r="H2087" i="7"/>
  <c r="H2067" i="7"/>
  <c r="H2048" i="7"/>
  <c r="H2031" i="7"/>
  <c r="H2011" i="7"/>
  <c r="H1992" i="7"/>
  <c r="H1976" i="7"/>
  <c r="H1956" i="7"/>
  <c r="H1937" i="7"/>
  <c r="H1920" i="7"/>
  <c r="H1900" i="7"/>
  <c r="H1881" i="7"/>
  <c r="H1864" i="7"/>
  <c r="H1844" i="7"/>
  <c r="H1826" i="7"/>
  <c r="H1809" i="7"/>
  <c r="H1789" i="7"/>
  <c r="H1770" i="7"/>
  <c r="H1753" i="7"/>
  <c r="H1733" i="7"/>
  <c r="H1714" i="7"/>
  <c r="H1698" i="7"/>
  <c r="H1678" i="7"/>
  <c r="H1659" i="7"/>
  <c r="H1642" i="7"/>
  <c r="H1622" i="7"/>
  <c r="H1603" i="7"/>
  <c r="H1587" i="7"/>
  <c r="H1567" i="7"/>
  <c r="H1548" i="7"/>
  <c r="H1531" i="7"/>
  <c r="H1511" i="7"/>
  <c r="H1492" i="7"/>
  <c r="H1476" i="7"/>
  <c r="H1456" i="7"/>
  <c r="H1437" i="7"/>
  <c r="H1420" i="7"/>
  <c r="H1400" i="7"/>
  <c r="H1381" i="7"/>
  <c r="H1364" i="7"/>
  <c r="H1344" i="7"/>
  <c r="H1326" i="7"/>
  <c r="H1309" i="7"/>
  <c r="H1289" i="7"/>
  <c r="H1270" i="7"/>
  <c r="H1253" i="7"/>
  <c r="H1233" i="7"/>
  <c r="H1214" i="7"/>
  <c r="H1198" i="7"/>
  <c r="H1178" i="7"/>
  <c r="H1159" i="7"/>
  <c r="H1142" i="7"/>
  <c r="H1122" i="7"/>
  <c r="H1103" i="7"/>
  <c r="H1087" i="7"/>
  <c r="H1067" i="7"/>
  <c r="H1048" i="7"/>
  <c r="H1031" i="7"/>
  <c r="H1011" i="7"/>
  <c r="H992" i="7"/>
  <c r="H976" i="7"/>
  <c r="H956" i="7"/>
  <c r="H937" i="7"/>
  <c r="H920" i="7"/>
  <c r="H900" i="7"/>
  <c r="H881" i="7"/>
  <c r="H864" i="7"/>
  <c r="H844" i="7"/>
  <c r="H826" i="7"/>
  <c r="H809" i="7"/>
  <c r="H789" i="7"/>
  <c r="H770" i="7"/>
  <c r="H753" i="7"/>
  <c r="H735" i="7"/>
  <c r="H718" i="7"/>
  <c r="H703" i="7"/>
  <c r="H685" i="7"/>
  <c r="H668" i="7"/>
  <c r="H653" i="7"/>
  <c r="H635" i="7"/>
  <c r="H618" i="7"/>
  <c r="H603" i="7"/>
  <c r="H585" i="7"/>
  <c r="H568" i="7"/>
  <c r="H553" i="7"/>
  <c r="H535" i="7"/>
  <c r="H518" i="7"/>
  <c r="H503" i="7"/>
  <c r="H485" i="7"/>
  <c r="H468" i="7"/>
  <c r="H453" i="7"/>
  <c r="H435" i="7"/>
  <c r="H418" i="7"/>
  <c r="H403" i="7"/>
  <c r="H385" i="7"/>
  <c r="H368" i="7"/>
  <c r="H353" i="7"/>
  <c r="H335" i="7"/>
  <c r="H318" i="7"/>
  <c r="H303" i="7"/>
  <c r="H285" i="7"/>
  <c r="H268" i="7"/>
  <c r="H253" i="7"/>
  <c r="H235" i="7"/>
  <c r="H218" i="7"/>
  <c r="H203" i="7"/>
  <c r="H185" i="7"/>
  <c r="H168" i="7"/>
  <c r="H153" i="7"/>
  <c r="H135" i="7"/>
  <c r="H118" i="7"/>
  <c r="H103" i="7"/>
  <c r="H85" i="7"/>
  <c r="H68" i="7"/>
  <c r="H53" i="7"/>
  <c r="H35" i="7"/>
  <c r="H18" i="7"/>
  <c r="H3" i="7"/>
  <c r="H2454" i="7"/>
  <c r="H2436" i="7"/>
  <c r="H2416" i="7"/>
  <c r="H2399" i="7"/>
  <c r="H2380" i="7"/>
  <c r="H2360" i="7"/>
  <c r="H2343" i="7"/>
  <c r="H2324" i="7"/>
  <c r="H2304" i="7"/>
  <c r="H2288" i="7"/>
  <c r="H2269" i="7"/>
  <c r="H2249" i="7"/>
  <c r="H2232" i="7"/>
  <c r="H2213" i="7"/>
  <c r="H2193" i="7"/>
  <c r="H2177" i="7"/>
  <c r="H2158" i="7"/>
  <c r="H2138" i="7"/>
  <c r="H2121" i="7"/>
  <c r="H2102" i="7"/>
  <c r="H2082" i="7"/>
  <c r="H2066" i="7"/>
  <c r="H2047" i="7"/>
  <c r="H2027" i="7"/>
  <c r="H2010" i="7"/>
  <c r="H1991" i="7"/>
  <c r="H1971" i="7"/>
  <c r="H1954" i="7"/>
  <c r="H1936" i="7"/>
  <c r="H1916" i="7"/>
  <c r="H1899" i="7"/>
  <c r="H1880" i="7"/>
  <c r="H1860" i="7"/>
  <c r="H1843" i="7"/>
  <c r="H1824" i="7"/>
  <c r="H1804" i="7"/>
  <c r="H1788" i="7"/>
  <c r="H1769" i="7"/>
  <c r="H1749" i="7"/>
  <c r="H1732" i="7"/>
  <c r="H1713" i="7"/>
  <c r="H1693" i="7"/>
  <c r="H1677" i="7"/>
  <c r="H1658" i="7"/>
  <c r="H1638" i="7"/>
  <c r="H1621" i="7"/>
  <c r="H1602" i="7"/>
  <c r="H1582" i="7"/>
  <c r="H1566" i="7"/>
  <c r="H1547" i="7"/>
  <c r="H1527" i="7"/>
  <c r="H1510" i="7"/>
  <c r="H1491" i="7"/>
  <c r="H1471" i="7"/>
  <c r="H1454" i="7"/>
  <c r="H1436" i="7"/>
  <c r="H1416" i="7"/>
  <c r="H1399" i="7"/>
  <c r="H1380" i="7"/>
  <c r="H1360" i="7"/>
  <c r="H1343" i="7"/>
  <c r="H1324" i="7"/>
  <c r="H1304" i="7"/>
  <c r="H1288" i="7"/>
  <c r="H1269" i="7"/>
  <c r="H1249" i="7"/>
  <c r="H1232" i="7"/>
  <c r="H1213" i="7"/>
  <c r="H1193" i="7"/>
  <c r="H1177" i="7"/>
  <c r="H1158" i="7"/>
  <c r="H1138" i="7"/>
  <c r="H1121" i="7"/>
  <c r="H1102" i="7"/>
  <c r="H1082" i="7"/>
  <c r="H1066" i="7"/>
  <c r="H1047" i="7"/>
  <c r="H1027" i="7"/>
  <c r="H1010" i="7"/>
  <c r="H991" i="7"/>
  <c r="H971" i="7"/>
  <c r="H954" i="7"/>
  <c r="H936" i="7"/>
  <c r="H916" i="7"/>
  <c r="H899" i="7"/>
  <c r="H880" i="7"/>
  <c r="H860" i="7"/>
  <c r="H843" i="7"/>
  <c r="H824" i="7"/>
  <c r="H804" i="7"/>
  <c r="H788" i="7"/>
  <c r="H769" i="7"/>
  <c r="H749" i="7"/>
  <c r="H734" i="7"/>
  <c r="H717" i="7"/>
  <c r="H699" i="7"/>
  <c r="H684" i="7"/>
  <c r="H667" i="7"/>
  <c r="H649" i="7"/>
  <c r="H634" i="7"/>
  <c r="H617" i="7"/>
  <c r="H599" i="7"/>
  <c r="H584" i="7"/>
  <c r="H567" i="7"/>
  <c r="H549" i="7"/>
  <c r="H534" i="7"/>
  <c r="H517" i="7"/>
  <c r="H499" i="7"/>
  <c r="H484" i="7"/>
  <c r="H467" i="7"/>
  <c r="H449" i="7"/>
  <c r="H434" i="7"/>
  <c r="H417" i="7"/>
  <c r="H399" i="7"/>
  <c r="H384" i="7"/>
  <c r="H367" i="7"/>
  <c r="H349" i="7"/>
  <c r="H334" i="7"/>
  <c r="H317" i="7"/>
  <c r="H299" i="7"/>
  <c r="H284" i="7"/>
  <c r="H267" i="7"/>
  <c r="H249" i="7"/>
  <c r="H234" i="7"/>
  <c r="H217" i="7"/>
  <c r="H199" i="7"/>
  <c r="H184" i="7"/>
  <c r="H167" i="7"/>
  <c r="H149" i="7"/>
  <c r="H134" i="7"/>
  <c r="H117" i="7"/>
  <c r="H99" i="7"/>
  <c r="H84" i="7"/>
  <c r="H67" i="7"/>
  <c r="H49" i="7"/>
  <c r="H34" i="7"/>
  <c r="H17" i="7"/>
  <c r="H2453" i="7"/>
  <c r="H2433" i="7"/>
  <c r="H2414" i="7"/>
  <c r="H2398" i="7"/>
  <c r="H2378" i="7"/>
  <c r="H2359" i="7"/>
  <c r="H2342" i="7"/>
  <c r="H2322" i="7"/>
  <c r="H2303" i="7"/>
  <c r="H2287" i="7"/>
  <c r="H2267" i="7"/>
  <c r="H2248" i="7"/>
  <c r="H2231" i="7"/>
  <c r="H2211" i="7"/>
  <c r="H2192" i="7"/>
  <c r="H2176" i="7"/>
  <c r="H2156" i="7"/>
  <c r="H2137" i="7"/>
  <c r="H2120" i="7"/>
  <c r="H2100" i="7"/>
  <c r="H2081" i="7"/>
  <c r="H2064" i="7"/>
  <c r="H2044" i="7"/>
  <c r="H2026" i="7"/>
  <c r="H2009" i="7"/>
  <c r="H1989" i="7"/>
  <c r="H1970" i="7"/>
  <c r="H1953" i="7"/>
  <c r="H1933" i="7"/>
  <c r="H1914" i="7"/>
  <c r="H1898" i="7"/>
  <c r="H1878" i="7"/>
  <c r="H1859" i="7"/>
  <c r="H1842" i="7"/>
  <c r="H1822" i="7"/>
  <c r="H1803" i="7"/>
  <c r="H1787" i="7"/>
  <c r="H1767" i="7"/>
  <c r="H1748" i="7"/>
  <c r="H1731" i="7"/>
  <c r="H1711" i="7"/>
  <c r="H1692" i="7"/>
  <c r="H1676" i="7"/>
  <c r="H1656" i="7"/>
  <c r="H1637" i="7"/>
  <c r="H1620" i="7"/>
  <c r="H1600" i="7"/>
  <c r="H1581" i="7"/>
  <c r="H1564" i="7"/>
  <c r="H1544" i="7"/>
  <c r="H1526" i="7"/>
  <c r="H1509" i="7"/>
  <c r="H1489" i="7"/>
  <c r="H1470" i="7"/>
  <c r="H1453" i="7"/>
  <c r="H1433" i="7"/>
  <c r="H1414" i="7"/>
  <c r="H1398" i="7"/>
  <c r="H1378" i="7"/>
  <c r="H1359" i="7"/>
  <c r="H1342" i="7"/>
  <c r="H1322" i="7"/>
  <c r="H1303" i="7"/>
  <c r="H1287" i="7"/>
  <c r="H1267" i="7"/>
  <c r="H1248" i="7"/>
  <c r="H1231" i="7"/>
  <c r="H1211" i="7"/>
  <c r="H1192" i="7"/>
  <c r="H1176" i="7"/>
  <c r="H1156" i="7"/>
  <c r="H1137" i="7"/>
  <c r="H1120" i="7"/>
  <c r="H1100" i="7"/>
  <c r="H1081" i="7"/>
  <c r="H1064" i="7"/>
  <c r="H1044" i="7"/>
  <c r="H1026" i="7"/>
  <c r="H1009" i="7"/>
  <c r="H989" i="7"/>
  <c r="H970" i="7"/>
  <c r="H953" i="7"/>
  <c r="H933" i="7"/>
  <c r="H914" i="7"/>
  <c r="H898" i="7"/>
  <c r="H878" i="7"/>
  <c r="H859" i="7"/>
  <c r="H842" i="7"/>
  <c r="H822" i="7"/>
  <c r="H803" i="7"/>
  <c r="H787" i="7"/>
  <c r="H767" i="7"/>
  <c r="H748" i="7"/>
  <c r="H733" i="7"/>
  <c r="H715" i="7"/>
  <c r="H698" i="7"/>
  <c r="H683" i="7"/>
  <c r="H665" i="7"/>
  <c r="H648" i="7"/>
  <c r="H633" i="7"/>
  <c r="H615" i="7"/>
  <c r="H598" i="7"/>
  <c r="H583" i="7"/>
  <c r="H565" i="7"/>
  <c r="H548" i="7"/>
  <c r="H533" i="7"/>
  <c r="H515" i="7"/>
  <c r="H498" i="7"/>
  <c r="H483" i="7"/>
  <c r="H465" i="7"/>
  <c r="H448" i="7"/>
  <c r="H433" i="7"/>
  <c r="H415" i="7"/>
  <c r="H398" i="7"/>
  <c r="H383" i="7"/>
  <c r="H365" i="7"/>
  <c r="H348" i="7"/>
  <c r="H333" i="7"/>
  <c r="H315" i="7"/>
  <c r="H298" i="7"/>
  <c r="H283" i="7"/>
  <c r="H265" i="7"/>
  <c r="H248" i="7"/>
  <c r="H233" i="7"/>
  <c r="H215" i="7"/>
  <c r="H198" i="7"/>
  <c r="H183" i="7"/>
  <c r="H165" i="7"/>
  <c r="H148" i="7"/>
  <c r="H133" i="7"/>
  <c r="H115" i="7"/>
  <c r="H98" i="7"/>
  <c r="H83" i="7"/>
  <c r="H65" i="7"/>
  <c r="H48" i="7"/>
  <c r="H33" i="7"/>
  <c r="H15" i="7"/>
  <c r="H2449" i="7"/>
  <c r="H2432" i="7"/>
  <c r="H2413" i="7"/>
  <c r="H2393" i="7"/>
  <c r="H2377" i="7"/>
  <c r="H2358" i="7"/>
  <c r="H2338" i="7"/>
  <c r="H2321" i="7"/>
  <c r="H2302" i="7"/>
  <c r="H2282" i="7"/>
  <c r="H2266" i="7"/>
  <c r="H2247" i="7"/>
  <c r="H2227" i="7"/>
  <c r="H2210" i="7"/>
  <c r="H2191" i="7"/>
  <c r="H2171" i="7"/>
  <c r="H2154" i="7"/>
  <c r="H2136" i="7"/>
  <c r="H2116" i="7"/>
  <c r="H2099" i="7"/>
  <c r="H2080" i="7"/>
  <c r="H2060" i="7"/>
  <c r="H2043" i="7"/>
  <c r="H2024" i="7"/>
  <c r="H2004" i="7"/>
  <c r="H1988" i="7"/>
  <c r="H1969" i="7"/>
  <c r="H1949" i="7"/>
  <c r="H1932" i="7"/>
  <c r="H1913" i="7"/>
  <c r="H1893" i="7"/>
  <c r="H1877" i="7"/>
  <c r="H1858" i="7"/>
  <c r="H1838" i="7"/>
  <c r="H1821" i="7"/>
  <c r="H1802" i="7"/>
  <c r="H1782" i="7"/>
  <c r="H1766" i="7"/>
  <c r="H1747" i="7"/>
  <c r="H1727" i="7"/>
  <c r="H1710" i="7"/>
  <c r="H1691" i="7"/>
  <c r="H1671" i="7"/>
  <c r="H1654" i="7"/>
  <c r="H1636" i="7"/>
  <c r="H1616" i="7"/>
  <c r="H1599" i="7"/>
  <c r="H1580" i="7"/>
  <c r="H1560" i="7"/>
  <c r="H1543" i="7"/>
  <c r="H1524" i="7"/>
  <c r="H1504" i="7"/>
  <c r="H1488" i="7"/>
  <c r="H1469" i="7"/>
  <c r="H1449" i="7"/>
  <c r="H1432" i="7"/>
  <c r="H1413" i="7"/>
  <c r="H1393" i="7"/>
  <c r="H1377" i="7"/>
  <c r="H1358" i="7"/>
  <c r="H1338" i="7"/>
  <c r="H1321" i="7"/>
  <c r="H1302" i="7"/>
  <c r="H1282" i="7"/>
  <c r="H1266" i="7"/>
  <c r="H1247" i="7"/>
  <c r="H1227" i="7"/>
  <c r="H1210" i="7"/>
  <c r="H1191" i="7"/>
  <c r="H1171" i="7"/>
  <c r="H1154" i="7"/>
  <c r="H1136" i="7"/>
  <c r="H1116" i="7"/>
  <c r="H1099" i="7"/>
  <c r="H1080" i="7"/>
  <c r="H1060" i="7"/>
  <c r="H1043" i="7"/>
  <c r="H1024" i="7"/>
  <c r="H1004" i="7"/>
  <c r="H988" i="7"/>
  <c r="H969" i="7"/>
  <c r="H949" i="7"/>
  <c r="H932" i="7"/>
  <c r="H913" i="7"/>
  <c r="H893" i="7"/>
  <c r="H877" i="7"/>
  <c r="H858" i="7"/>
  <c r="H838" i="7"/>
  <c r="H821" i="7"/>
  <c r="H802" i="7"/>
  <c r="H782" i="7"/>
  <c r="H766" i="7"/>
  <c r="H747" i="7"/>
  <c r="H729" i="7"/>
  <c r="H714" i="7"/>
  <c r="H697" i="7"/>
  <c r="H679" i="7"/>
  <c r="H664" i="7"/>
  <c r="H647" i="7"/>
  <c r="H629" i="7"/>
  <c r="H614" i="7"/>
  <c r="H597" i="7"/>
  <c r="H579" i="7"/>
  <c r="H564" i="7"/>
  <c r="H547" i="7"/>
  <c r="H529" i="7"/>
  <c r="H514" i="7"/>
  <c r="H497" i="7"/>
  <c r="H479" i="7"/>
  <c r="H464" i="7"/>
  <c r="H447" i="7"/>
  <c r="H429" i="7"/>
  <c r="H414" i="7"/>
  <c r="H397" i="7"/>
  <c r="H379" i="7"/>
  <c r="H364" i="7"/>
  <c r="H347" i="7"/>
  <c r="H329" i="7"/>
  <c r="H314" i="7"/>
  <c r="H297" i="7"/>
  <c r="H279" i="7"/>
  <c r="H264" i="7"/>
  <c r="H247" i="7"/>
  <c r="H229" i="7"/>
  <c r="H214" i="7"/>
  <c r="H197" i="7"/>
  <c r="H179" i="7"/>
  <c r="H164" i="7"/>
  <c r="H147" i="7"/>
  <c r="H129" i="7"/>
  <c r="H114" i="7"/>
  <c r="H97" i="7"/>
  <c r="H79" i="7"/>
  <c r="H64" i="7"/>
  <c r="H47" i="7"/>
  <c r="H29" i="7"/>
  <c r="H14" i="7"/>
  <c r="H2448" i="7"/>
  <c r="H2431" i="7"/>
  <c r="H2411" i="7"/>
  <c r="H2392" i="7"/>
  <c r="H2376" i="7"/>
  <c r="H2356" i="7"/>
  <c r="H2337" i="7"/>
  <c r="H2320" i="7"/>
  <c r="H2300" i="7"/>
  <c r="H2281" i="7"/>
  <c r="H2264" i="7"/>
  <c r="H2244" i="7"/>
  <c r="H2226" i="7"/>
  <c r="H2209" i="7"/>
  <c r="H2189" i="7"/>
  <c r="H2170" i="7"/>
  <c r="H2153" i="7"/>
  <c r="H2133" i="7"/>
  <c r="H2114" i="7"/>
  <c r="H2098" i="7"/>
  <c r="H2078" i="7"/>
  <c r="H2059" i="7"/>
  <c r="H2042" i="7"/>
  <c r="H2022" i="7"/>
  <c r="H2003" i="7"/>
  <c r="H1987" i="7"/>
  <c r="H1967" i="7"/>
  <c r="H1948" i="7"/>
  <c r="H1931" i="7"/>
  <c r="H1911" i="7"/>
  <c r="H1892" i="7"/>
  <c r="H1876" i="7"/>
  <c r="H1856" i="7"/>
  <c r="H1837" i="7"/>
  <c r="H1820" i="7"/>
  <c r="H1800" i="7"/>
  <c r="H1781" i="7"/>
  <c r="H1764" i="7"/>
  <c r="H1744" i="7"/>
  <c r="H1726" i="7"/>
  <c r="H1709" i="7"/>
  <c r="H1689" i="7"/>
  <c r="H1670" i="7"/>
  <c r="H1653" i="7"/>
  <c r="H1633" i="7"/>
  <c r="H1614" i="7"/>
  <c r="H1598" i="7"/>
  <c r="H1578" i="7"/>
  <c r="H1559" i="7"/>
  <c r="H1542" i="7"/>
  <c r="H1522" i="7"/>
  <c r="H1503" i="7"/>
  <c r="H1487" i="7"/>
  <c r="H1467" i="7"/>
  <c r="H1448" i="7"/>
  <c r="H1431" i="7"/>
  <c r="H1411" i="7"/>
  <c r="H1392" i="7"/>
  <c r="H1376" i="7"/>
  <c r="H1356" i="7"/>
  <c r="H1337" i="7"/>
  <c r="H1320" i="7"/>
  <c r="H1300" i="7"/>
  <c r="H1281" i="7"/>
  <c r="H1264" i="7"/>
  <c r="H1244" i="7"/>
  <c r="H1226" i="7"/>
  <c r="H1209" i="7"/>
  <c r="H1189" i="7"/>
  <c r="H1170" i="7"/>
  <c r="H1153" i="7"/>
  <c r="H1133" i="7"/>
  <c r="H1114" i="7"/>
  <c r="H1098" i="7"/>
  <c r="H1078" i="7"/>
  <c r="H1059" i="7"/>
  <c r="H1042" i="7"/>
  <c r="H1022" i="7"/>
  <c r="H1003" i="7"/>
  <c r="H987" i="7"/>
  <c r="H967" i="7"/>
  <c r="H948" i="7"/>
  <c r="H931" i="7"/>
  <c r="H911" i="7"/>
  <c r="H892" i="7"/>
  <c r="H876" i="7"/>
  <c r="H856" i="7"/>
  <c r="H837" i="7"/>
  <c r="H820" i="7"/>
  <c r="H800" i="7"/>
  <c r="H781" i="7"/>
  <c r="H764" i="7"/>
  <c r="H745" i="7"/>
  <c r="H728" i="7"/>
  <c r="H713" i="7"/>
  <c r="H695" i="7"/>
  <c r="H678" i="7"/>
  <c r="H663" i="7"/>
  <c r="H645" i="7"/>
  <c r="H628" i="7"/>
  <c r="H613" i="7"/>
  <c r="H595" i="7"/>
  <c r="H578" i="7"/>
  <c r="H563" i="7"/>
  <c r="H545" i="7"/>
  <c r="H528" i="7"/>
  <c r="H513" i="7"/>
  <c r="H495" i="7"/>
  <c r="H478" i="7"/>
  <c r="H463" i="7"/>
  <c r="H445" i="7"/>
  <c r="H428" i="7"/>
  <c r="H413" i="7"/>
  <c r="H395" i="7"/>
  <c r="H378" i="7"/>
  <c r="H363" i="7"/>
  <c r="H345" i="7"/>
  <c r="H328" i="7"/>
  <c r="H313" i="7"/>
  <c r="H295" i="7"/>
  <c r="H278" i="7"/>
  <c r="H263" i="7"/>
  <c r="H245" i="7"/>
  <c r="H228" i="7"/>
  <c r="H213" i="7"/>
  <c r="H195" i="7"/>
  <c r="H178" i="7"/>
  <c r="H163" i="7"/>
  <c r="H145" i="7"/>
  <c r="H128" i="7"/>
  <c r="H113" i="7"/>
  <c r="H95" i="7"/>
  <c r="H78" i="7"/>
  <c r="H63" i="7"/>
  <c r="H45" i="7"/>
  <c r="H28" i="7"/>
  <c r="H13" i="7"/>
  <c r="H2447" i="7"/>
  <c r="H2427" i="7"/>
  <c r="H2410" i="7"/>
  <c r="H2391" i="7"/>
  <c r="H2371" i="7"/>
  <c r="H2354" i="7"/>
  <c r="H2336" i="7"/>
  <c r="H2316" i="7"/>
  <c r="H2299" i="7"/>
  <c r="H2280" i="7"/>
  <c r="H2260" i="7"/>
  <c r="H2243" i="7"/>
  <c r="H2224" i="7"/>
  <c r="H2204" i="7"/>
  <c r="H2188" i="7"/>
  <c r="H2169" i="7"/>
  <c r="H2149" i="7"/>
  <c r="H2132" i="7"/>
  <c r="H2113" i="7"/>
  <c r="H2093" i="7"/>
  <c r="H2077" i="7"/>
  <c r="H2058" i="7"/>
  <c r="H2038" i="7"/>
  <c r="H2021" i="7"/>
  <c r="H2002" i="7"/>
  <c r="H1982" i="7"/>
  <c r="H1966" i="7"/>
  <c r="H1947" i="7"/>
  <c r="H1927" i="7"/>
  <c r="H1910" i="7"/>
  <c r="H1891" i="7"/>
  <c r="H1871" i="7"/>
  <c r="H1854" i="7"/>
  <c r="H1836" i="7"/>
  <c r="H1816" i="7"/>
  <c r="H1799" i="7"/>
  <c r="H1780" i="7"/>
  <c r="H1760" i="7"/>
  <c r="H1743" i="7"/>
  <c r="H1724" i="7"/>
  <c r="H1704" i="7"/>
  <c r="H1688" i="7"/>
  <c r="H1669" i="7"/>
  <c r="H1649" i="7"/>
  <c r="H2409" i="7"/>
  <c r="H2314" i="7"/>
  <c r="H2222" i="7"/>
  <c r="H2131" i="7"/>
  <c r="H2037" i="7"/>
  <c r="H1944" i="7"/>
  <c r="H1853" i="7"/>
  <c r="H1759" i="7"/>
  <c r="H1667" i="7"/>
  <c r="H1593" i="7"/>
  <c r="H1537" i="7"/>
  <c r="H1480" i="7"/>
  <c r="H1410" i="7"/>
  <c r="H1353" i="7"/>
  <c r="H1293" i="7"/>
  <c r="H1224" i="7"/>
  <c r="H1167" i="7"/>
  <c r="H1110" i="7"/>
  <c r="H1038" i="7"/>
  <c r="H981" i="7"/>
  <c r="H924" i="7"/>
  <c r="H854" i="7"/>
  <c r="H798" i="7"/>
  <c r="H739" i="7"/>
  <c r="H677" i="7"/>
  <c r="H625" i="7"/>
  <c r="H574" i="7"/>
  <c r="H509" i="7"/>
  <c r="H458" i="7"/>
  <c r="H407" i="7"/>
  <c r="H344" i="7"/>
  <c r="H293" i="7"/>
  <c r="H239" i="7"/>
  <c r="H177" i="7"/>
  <c r="H125" i="7"/>
  <c r="H74" i="7"/>
  <c r="H9" i="7"/>
  <c r="H2404" i="7"/>
  <c r="H2313" i="7"/>
  <c r="H2221" i="7"/>
  <c r="H2127" i="7"/>
  <c r="H2036" i="7"/>
  <c r="H1943" i="7"/>
  <c r="H1849" i="7"/>
  <c r="H1758" i="7"/>
  <c r="H1666" i="7"/>
  <c r="H1592" i="7"/>
  <c r="H1536" i="7"/>
  <c r="H1466" i="7"/>
  <c r="H1409" i="7"/>
  <c r="H1349" i="7"/>
  <c r="H1280" i="7"/>
  <c r="H1222" i="7"/>
  <c r="H1166" i="7"/>
  <c r="H1093" i="7"/>
  <c r="H1037" i="7"/>
  <c r="H980" i="7"/>
  <c r="H910" i="7"/>
  <c r="H853" i="7"/>
  <c r="H793" i="7"/>
  <c r="H727" i="7"/>
  <c r="H675" i="7"/>
  <c r="H624" i="7"/>
  <c r="H559" i="7"/>
  <c r="H508" i="7"/>
  <c r="H457" i="7"/>
  <c r="H394" i="7"/>
  <c r="H343" i="7"/>
  <c r="H289" i="7"/>
  <c r="H227" i="7"/>
  <c r="H175" i="7"/>
  <c r="H124" i="7"/>
  <c r="H59" i="7"/>
  <c r="H8" i="7"/>
  <c r="H2389" i="7"/>
  <c r="H2298" i="7"/>
  <c r="H2203" i="7"/>
  <c r="H2111" i="7"/>
  <c r="H2020" i="7"/>
  <c r="H1926" i="7"/>
  <c r="H1833" i="7"/>
  <c r="H1742" i="7"/>
  <c r="H1648" i="7"/>
  <c r="H1591" i="7"/>
  <c r="H1521" i="7"/>
  <c r="H1464" i="7"/>
  <c r="H1404" i="7"/>
  <c r="H1336" i="7"/>
  <c r="H1278" i="7"/>
  <c r="H1221" i="7"/>
  <c r="H1149" i="7"/>
  <c r="H1092" i="7"/>
  <c r="H1036" i="7"/>
  <c r="H966" i="7"/>
  <c r="H909" i="7"/>
  <c r="H849" i="7"/>
  <c r="H780" i="7"/>
  <c r="H725" i="7"/>
  <c r="H674" i="7"/>
  <c r="H609" i="7"/>
  <c r="H558" i="7"/>
  <c r="H507" i="7"/>
  <c r="H444" i="7"/>
  <c r="H393" i="7"/>
  <c r="H339" i="7"/>
  <c r="H277" i="7"/>
  <c r="H225" i="7"/>
  <c r="H174" i="7"/>
  <c r="H109" i="7"/>
  <c r="H58" i="7"/>
  <c r="H7" i="7"/>
  <c r="H2388" i="7"/>
  <c r="H2293" i="7"/>
  <c r="H2202" i="7"/>
  <c r="H2110" i="7"/>
  <c r="H2016" i="7"/>
  <c r="H1924" i="7"/>
  <c r="H1832" i="7"/>
  <c r="H1738" i="7"/>
  <c r="H1647" i="7"/>
  <c r="H1577" i="7"/>
  <c r="H1520" i="7"/>
  <c r="H1460" i="7"/>
  <c r="H1391" i="7"/>
  <c r="H1333" i="7"/>
  <c r="H1277" i="7"/>
  <c r="H1204" i="7"/>
  <c r="H1148" i="7"/>
  <c r="H1091" i="7"/>
  <c r="H1021" i="7"/>
  <c r="H964" i="7"/>
  <c r="H904" i="7"/>
  <c r="H836" i="7"/>
  <c r="H778" i="7"/>
  <c r="H724" i="7"/>
  <c r="H659" i="7"/>
  <c r="H608" i="7"/>
  <c r="H557" i="7"/>
  <c r="H494" i="7"/>
  <c r="H443" i="7"/>
  <c r="H389" i="7"/>
  <c r="H327" i="7"/>
  <c r="H275" i="7"/>
  <c r="H224" i="7"/>
  <c r="H159" i="7"/>
  <c r="H108" i="7"/>
  <c r="H57" i="7"/>
  <c r="H2370" i="7"/>
  <c r="H2278" i="7"/>
  <c r="H2187" i="7"/>
  <c r="H2092" i="7"/>
  <c r="H2000" i="7"/>
  <c r="H1909" i="7"/>
  <c r="H1814" i="7"/>
  <c r="H1722" i="7"/>
  <c r="H1632" i="7"/>
  <c r="H1576" i="7"/>
  <c r="H1516" i="7"/>
  <c r="H1447" i="7"/>
  <c r="H1389" i="7"/>
  <c r="H1332" i="7"/>
  <c r="H1260" i="7"/>
  <c r="H1203" i="7"/>
  <c r="H1147" i="7"/>
  <c r="H1077" i="7"/>
  <c r="H1020" i="7"/>
  <c r="H960" i="7"/>
  <c r="H891" i="7"/>
  <c r="H833" i="7"/>
  <c r="H777" i="7"/>
  <c r="H709" i="7"/>
  <c r="H658" i="7"/>
  <c r="H607" i="7"/>
  <c r="H544" i="7"/>
  <c r="H493" i="7"/>
  <c r="H439" i="7"/>
  <c r="H377" i="7"/>
  <c r="H325" i="7"/>
  <c r="H274" i="7"/>
  <c r="H209" i="7"/>
  <c r="H158" i="7"/>
  <c r="H107" i="7"/>
  <c r="H44" i="7"/>
  <c r="H2460" i="7"/>
  <c r="H2369" i="7"/>
  <c r="H2277" i="7"/>
  <c r="H2182" i="7"/>
  <c r="H2091" i="7"/>
  <c r="H1999" i="7"/>
  <c r="H1904" i="7"/>
  <c r="H1813" i="7"/>
  <c r="H1721" i="7"/>
  <c r="H1631" i="7"/>
  <c r="H1571" i="7"/>
  <c r="H1502" i="7"/>
  <c r="H1444" i="7"/>
  <c r="H1388" i="7"/>
  <c r="H1316" i="7"/>
  <c r="H1259" i="7"/>
  <c r="H1202" i="7"/>
  <c r="H1132" i="7"/>
  <c r="H1076" i="7"/>
  <c r="H1016" i="7"/>
  <c r="H947" i="7"/>
  <c r="H889" i="7"/>
  <c r="H832" i="7"/>
  <c r="H760" i="7"/>
  <c r="H708" i="7"/>
  <c r="H657" i="7"/>
  <c r="H594" i="7"/>
  <c r="H543" i="7"/>
  <c r="H489" i="7"/>
  <c r="H427" i="7"/>
  <c r="H375" i="7"/>
  <c r="H324" i="7"/>
  <c r="H259" i="7"/>
  <c r="H208" i="7"/>
  <c r="H157" i="7"/>
  <c r="H94" i="7"/>
  <c r="H43" i="7"/>
  <c r="H2444" i="7"/>
  <c r="H2353" i="7"/>
  <c r="H2259" i="7"/>
  <c r="H2167" i="7"/>
  <c r="H2076" i="7"/>
  <c r="H1981" i="7"/>
  <c r="H1889" i="7"/>
  <c r="H1798" i="7"/>
  <c r="H1703" i="7"/>
  <c r="H1627" i="7"/>
  <c r="H1558" i="7"/>
  <c r="H1500" i="7"/>
  <c r="H1443" i="7"/>
  <c r="H1371" i="7"/>
  <c r="H1314" i="7"/>
  <c r="H1258" i="7"/>
  <c r="H1188" i="7"/>
  <c r="H1131" i="7"/>
  <c r="H1071" i="7"/>
  <c r="H1002" i="7"/>
  <c r="H944" i="7"/>
  <c r="H888" i="7"/>
  <c r="H816" i="7"/>
  <c r="H759" i="7"/>
  <c r="H707" i="7"/>
  <c r="H644" i="7"/>
  <c r="H593" i="7"/>
  <c r="H539" i="7"/>
  <c r="H477" i="7"/>
  <c r="H425" i="7"/>
  <c r="H374" i="7"/>
  <c r="H309" i="7"/>
  <c r="H258" i="7"/>
  <c r="H207" i="7"/>
  <c r="H144" i="7"/>
  <c r="H93" i="7"/>
  <c r="H39" i="7"/>
  <c r="H2443" i="7"/>
  <c r="H2349" i="7"/>
  <c r="H2258" i="7"/>
  <c r="H2166" i="7"/>
  <c r="H2071" i="7"/>
  <c r="H1980" i="7"/>
  <c r="H1888" i="7"/>
  <c r="H1793" i="7"/>
  <c r="H1702" i="7"/>
  <c r="H1613" i="7"/>
  <c r="H1556" i="7"/>
  <c r="H1499" i="7"/>
  <c r="H1427" i="7"/>
  <c r="H1370" i="7"/>
  <c r="H1313" i="7"/>
  <c r="H1243" i="7"/>
  <c r="H1187" i="7"/>
  <c r="H1127" i="7"/>
  <c r="H1058" i="7"/>
  <c r="H1000" i="7"/>
  <c r="H943" i="7"/>
  <c r="H871" i="7"/>
  <c r="H814" i="7"/>
  <c r="H758" i="7"/>
  <c r="H694" i="7"/>
  <c r="H643" i="7"/>
  <c r="H589" i="7"/>
  <c r="H527" i="7"/>
  <c r="H475" i="7"/>
  <c r="H424" i="7"/>
  <c r="H359" i="7"/>
  <c r="H308" i="7"/>
  <c r="H257" i="7"/>
  <c r="H194" i="7"/>
  <c r="H143" i="7"/>
  <c r="H89" i="7"/>
  <c r="H27" i="7"/>
  <c r="H2426" i="7"/>
  <c r="H2333" i="7"/>
  <c r="H2242" i="7"/>
  <c r="H2148" i="7"/>
  <c r="H2056" i="7"/>
  <c r="H1964" i="7"/>
  <c r="H1870" i="7"/>
  <c r="H1778" i="7"/>
  <c r="H1687" i="7"/>
  <c r="H1611" i="7"/>
  <c r="H1554" i="7"/>
  <c r="H1482" i="7"/>
  <c r="H1426" i="7"/>
  <c r="H1369" i="7"/>
  <c r="H1299" i="7"/>
  <c r="H1242" i="7"/>
  <c r="H1182" i="7"/>
  <c r="H1113" i="7"/>
  <c r="H1056" i="7"/>
  <c r="H999" i="7"/>
  <c r="H927" i="7"/>
  <c r="H870" i="7"/>
  <c r="H813" i="7"/>
  <c r="H744" i="7"/>
  <c r="H693" i="7"/>
  <c r="H639" i="7"/>
  <c r="H577" i="7"/>
  <c r="H525" i="7"/>
  <c r="H474" i="7"/>
  <c r="H409" i="7"/>
  <c r="H358" i="7"/>
  <c r="H307" i="7"/>
  <c r="H244" i="7"/>
  <c r="H193" i="7"/>
  <c r="H139" i="7"/>
  <c r="H77" i="7"/>
  <c r="H25" i="7"/>
  <c r="H2424" i="7"/>
  <c r="H2332" i="7"/>
  <c r="H2238" i="7"/>
  <c r="H2147" i="7"/>
  <c r="H2054" i="7"/>
  <c r="H1960" i="7"/>
  <c r="H1869" i="7"/>
  <c r="H1777" i="7"/>
  <c r="H1682" i="7"/>
  <c r="H1610" i="7"/>
  <c r="H1538" i="7"/>
  <c r="H1481" i="7"/>
  <c r="H1424" i="7"/>
  <c r="H1354" i="7"/>
  <c r="H1298" i="7"/>
  <c r="H1238" i="7"/>
  <c r="H1169" i="7"/>
  <c r="H1111" i="7"/>
  <c r="H1054" i="7"/>
  <c r="H982" i="7"/>
  <c r="H926" i="7"/>
  <c r="H869" i="7"/>
  <c r="H799" i="7"/>
  <c r="H743" i="7"/>
  <c r="H689" i="7"/>
  <c r="H627" i="7"/>
  <c r="H575" i="7"/>
  <c r="H524" i="7"/>
  <c r="H459" i="7"/>
  <c r="H408" i="7"/>
  <c r="H357" i="7"/>
  <c r="H294" i="7"/>
  <c r="H243" i="7"/>
  <c r="H189" i="7"/>
  <c r="H127" i="7"/>
  <c r="H75" i="7"/>
  <c r="H24" i="7"/>
  <c r="H2453" i="11"/>
  <c r="H2443" i="11"/>
  <c r="H2433" i="11"/>
  <c r="H2423" i="11"/>
  <c r="H2413" i="11"/>
  <c r="H2403" i="11"/>
  <c r="H2393" i="11"/>
  <c r="H2383" i="11"/>
  <c r="H2373" i="11"/>
  <c r="H2363" i="11"/>
  <c r="H2353" i="11"/>
  <c r="H2343" i="11"/>
  <c r="H2333" i="11"/>
  <c r="H2323" i="11"/>
  <c r="H2313" i="11"/>
  <c r="H2303" i="11"/>
  <c r="H2293" i="11"/>
  <c r="H2283" i="11"/>
  <c r="H2273" i="11"/>
  <c r="H2263" i="11"/>
  <c r="H2253" i="11"/>
  <c r="H2243" i="11"/>
  <c r="H2233" i="11"/>
  <c r="H2223" i="11"/>
  <c r="H2213" i="11"/>
  <c r="H2203" i="11"/>
  <c r="H2193" i="11"/>
  <c r="H2183" i="11"/>
  <c r="H2173" i="11"/>
  <c r="H2163" i="11"/>
  <c r="H2153" i="11"/>
  <c r="H2143" i="11"/>
  <c r="H2133" i="11"/>
  <c r="H2123" i="11"/>
  <c r="H2113" i="11"/>
  <c r="H2103" i="11"/>
  <c r="H2093" i="11"/>
  <c r="H2083" i="11"/>
  <c r="H2073" i="11"/>
  <c r="H2063" i="11"/>
  <c r="H2053" i="11"/>
  <c r="H2043" i="11"/>
  <c r="H2033" i="11"/>
  <c r="H2023" i="11"/>
  <c r="H2013" i="11"/>
  <c r="H2003" i="11"/>
  <c r="H1993" i="11"/>
  <c r="H1983" i="11"/>
  <c r="H1973" i="11"/>
  <c r="H1963" i="11"/>
  <c r="H1953" i="11"/>
  <c r="H1943" i="11"/>
  <c r="H1933" i="11"/>
  <c r="H1923" i="11"/>
  <c r="H1913" i="11"/>
  <c r="H1903" i="11"/>
  <c r="H1893" i="11"/>
  <c r="H1883" i="11"/>
  <c r="H1873" i="11"/>
  <c r="H1863" i="11"/>
  <c r="H1853" i="11"/>
  <c r="H1843" i="11"/>
  <c r="H1833" i="11"/>
  <c r="H1823" i="11"/>
  <c r="H1813" i="11"/>
  <c r="H1803" i="11"/>
  <c r="H1793" i="11"/>
  <c r="H1783" i="11"/>
  <c r="H1773" i="11"/>
  <c r="H1763" i="11"/>
  <c r="H1753" i="11"/>
  <c r="H1743" i="11"/>
  <c r="H1733" i="11"/>
  <c r="H1723" i="11"/>
  <c r="H1713" i="11"/>
  <c r="H1703" i="11"/>
  <c r="H1693" i="11"/>
  <c r="H1683" i="11"/>
  <c r="H1673" i="11"/>
  <c r="H1663" i="11"/>
  <c r="H1653" i="11"/>
  <c r="H1643" i="11"/>
  <c r="H1633" i="11"/>
  <c r="H1623" i="11"/>
  <c r="H1613" i="11"/>
  <c r="H1603" i="11"/>
  <c r="H1593" i="11"/>
  <c r="H1583" i="11"/>
  <c r="H1573" i="11"/>
  <c r="H1563" i="11"/>
  <c r="H1553" i="11"/>
  <c r="H1543" i="11"/>
  <c r="H1533" i="11"/>
  <c r="H1523" i="11"/>
  <c r="H1513" i="11"/>
  <c r="H1503" i="11"/>
  <c r="H1493" i="11"/>
  <c r="H1483" i="11"/>
  <c r="H1473" i="11"/>
  <c r="H1463" i="11"/>
  <c r="H1453" i="11"/>
  <c r="H1443" i="11"/>
  <c r="H1433" i="11"/>
  <c r="H1423" i="11"/>
  <c r="H1413" i="11"/>
  <c r="H1403" i="11"/>
  <c r="H1393" i="11"/>
  <c r="H1383" i="11"/>
  <c r="H1373" i="11"/>
  <c r="H1363" i="11"/>
  <c r="H2455" i="11"/>
  <c r="H2444" i="11"/>
  <c r="H2432" i="11"/>
  <c r="H2421" i="11"/>
  <c r="H2410" i="11"/>
  <c r="H2399" i="11"/>
  <c r="H2388" i="11"/>
  <c r="H2377" i="11"/>
  <c r="H2366" i="11"/>
  <c r="H2355" i="11"/>
  <c r="H2344" i="11"/>
  <c r="H2332" i="11"/>
  <c r="H2321" i="11"/>
  <c r="H2310" i="11"/>
  <c r="H2299" i="11"/>
  <c r="H2288" i="11"/>
  <c r="H2277" i="11"/>
  <c r="H2266" i="11"/>
  <c r="H2255" i="11"/>
  <c r="H2244" i="11"/>
  <c r="H2232" i="11"/>
  <c r="H2221" i="11"/>
  <c r="H2210" i="11"/>
  <c r="H2199" i="11"/>
  <c r="H2188" i="11"/>
  <c r="H2177" i="11"/>
  <c r="H2166" i="11"/>
  <c r="H2155" i="11"/>
  <c r="H2144" i="11"/>
  <c r="H2132" i="11"/>
  <c r="H2121" i="11"/>
  <c r="H2110" i="11"/>
  <c r="H2099" i="11"/>
  <c r="H2088" i="11"/>
  <c r="H2077" i="11"/>
  <c r="H2066" i="11"/>
  <c r="H2055" i="11"/>
  <c r="H2044" i="11"/>
  <c r="H2032" i="11"/>
  <c r="H2021" i="11"/>
  <c r="H2010" i="11"/>
  <c r="H1999" i="11"/>
  <c r="H1988" i="11"/>
  <c r="H1977" i="11"/>
  <c r="H1966" i="11"/>
  <c r="H1955" i="11"/>
  <c r="H1944" i="11"/>
  <c r="H1932" i="11"/>
  <c r="H1921" i="11"/>
  <c r="H1910" i="11"/>
  <c r="H1899" i="11"/>
  <c r="H1888" i="11"/>
  <c r="H1877" i="11"/>
  <c r="H1866" i="11"/>
  <c r="H1855" i="11"/>
  <c r="H1844" i="11"/>
  <c r="H1832" i="11"/>
  <c r="H1821" i="11"/>
  <c r="H1810" i="11"/>
  <c r="H1799" i="11"/>
  <c r="H1788" i="11"/>
  <c r="H1777" i="11"/>
  <c r="H1766" i="11"/>
  <c r="H1755" i="11"/>
  <c r="H1744" i="11"/>
  <c r="H1732" i="11"/>
  <c r="H1721" i="11"/>
  <c r="H1710" i="11"/>
  <c r="H1699" i="11"/>
  <c r="H1688" i="11"/>
  <c r="H1677" i="11"/>
  <c r="H1666" i="11"/>
  <c r="H1655" i="11"/>
  <c r="H1644" i="11"/>
  <c r="H1632" i="11"/>
  <c r="H1621" i="11"/>
  <c r="H1610" i="11"/>
  <c r="H1599" i="11"/>
  <c r="H1588" i="11"/>
  <c r="H1577" i="11"/>
  <c r="H1566" i="11"/>
  <c r="H1555" i="11"/>
  <c r="H1544" i="11"/>
  <c r="H1532" i="11"/>
  <c r="H1521" i="11"/>
  <c r="H1510" i="11"/>
  <c r="H1499" i="11"/>
  <c r="H1488" i="11"/>
  <c r="H1477" i="11"/>
  <c r="H1466" i="11"/>
  <c r="H1455" i="11"/>
  <c r="H1444" i="11"/>
  <c r="H1432" i="11"/>
  <c r="H1421" i="11"/>
  <c r="H1410" i="11"/>
  <c r="H1399" i="11"/>
  <c r="H1388" i="11"/>
  <c r="H1377" i="11"/>
  <c r="H1366" i="11"/>
  <c r="H1355" i="11"/>
  <c r="H1345" i="11"/>
  <c r="H1335" i="11"/>
  <c r="H1325" i="11"/>
  <c r="H1315" i="11"/>
  <c r="H1305" i="11"/>
  <c r="H1295" i="11"/>
  <c r="H1285" i="11"/>
  <c r="H1275" i="11"/>
  <c r="H1265" i="11"/>
  <c r="H1255" i="11"/>
  <c r="H1245" i="11"/>
  <c r="H1235" i="11"/>
  <c r="H1225" i="11"/>
  <c r="H1215" i="11"/>
  <c r="H1205" i="11"/>
  <c r="H1195" i="11"/>
  <c r="H1185" i="11"/>
  <c r="H1175" i="11"/>
  <c r="H1165" i="11"/>
  <c r="H1155" i="11"/>
  <c r="H1145" i="11"/>
  <c r="H1135" i="11"/>
  <c r="H1125" i="11"/>
  <c r="H1115" i="11"/>
  <c r="H1105" i="11"/>
  <c r="H1095" i="11"/>
  <c r="H1085" i="11"/>
  <c r="H1075" i="11"/>
  <c r="H1065" i="11"/>
  <c r="H1055" i="11"/>
  <c r="H1045" i="11"/>
  <c r="H1035" i="11"/>
  <c r="H1025" i="11"/>
  <c r="H1015" i="11"/>
  <c r="H1005" i="11"/>
  <c r="H995" i="11"/>
  <c r="H985" i="11"/>
  <c r="H975" i="11"/>
  <c r="H965" i="11"/>
  <c r="H955" i="11"/>
  <c r="H945" i="11"/>
  <c r="H935" i="11"/>
  <c r="H925" i="11"/>
  <c r="H915" i="11"/>
  <c r="H905" i="11"/>
  <c r="H895" i="11"/>
  <c r="H885" i="11"/>
  <c r="H875" i="11"/>
  <c r="H865" i="11"/>
  <c r="H855" i="11"/>
  <c r="H845" i="11"/>
  <c r="H835" i="11"/>
  <c r="H825" i="11"/>
  <c r="H815" i="11"/>
  <c r="H805" i="11"/>
  <c r="H795" i="11"/>
  <c r="H785" i="11"/>
  <c r="H775" i="11"/>
  <c r="H765" i="11"/>
  <c r="H755" i="11"/>
  <c r="H745" i="11"/>
  <c r="H735" i="11"/>
  <c r="H725" i="11"/>
  <c r="H715" i="11"/>
  <c r="H705" i="11"/>
  <c r="H695" i="11"/>
  <c r="H685" i="11"/>
  <c r="H675" i="11"/>
  <c r="H665" i="11"/>
  <c r="H655" i="11"/>
  <c r="H645" i="11"/>
  <c r="H635" i="11"/>
  <c r="H625" i="11"/>
  <c r="H615" i="11"/>
  <c r="H605" i="11"/>
  <c r="H595" i="11"/>
  <c r="H585" i="11"/>
  <c r="H575" i="11"/>
  <c r="H565" i="11"/>
  <c r="H555" i="11"/>
  <c r="H545" i="11"/>
  <c r="H535" i="11"/>
  <c r="H525" i="11"/>
  <c r="H515" i="11"/>
  <c r="H505" i="11"/>
  <c r="H495" i="11"/>
  <c r="H485" i="11"/>
  <c r="H2454" i="11"/>
  <c r="H2442" i="11"/>
  <c r="H2431" i="11"/>
  <c r="H2420" i="11"/>
  <c r="H2409" i="11"/>
  <c r="H2398" i="11"/>
  <c r="H2387" i="11"/>
  <c r="H2376" i="11"/>
  <c r="H2365" i="11"/>
  <c r="H2354" i="11"/>
  <c r="H2342" i="11"/>
  <c r="H2331" i="11"/>
  <c r="H2320" i="11"/>
  <c r="H2309" i="11"/>
  <c r="H2298" i="11"/>
  <c r="H2287" i="11"/>
  <c r="H2276" i="11"/>
  <c r="H2265" i="11"/>
  <c r="H2254" i="11"/>
  <c r="H2242" i="11"/>
  <c r="H2231" i="11"/>
  <c r="H2220" i="11"/>
  <c r="H2209" i="11"/>
  <c r="H2198" i="11"/>
  <c r="H2187" i="11"/>
  <c r="H2176" i="11"/>
  <c r="H2165" i="11"/>
  <c r="H2154" i="11"/>
  <c r="H2142" i="11"/>
  <c r="H2131" i="11"/>
  <c r="H2120" i="11"/>
  <c r="H2109" i="11"/>
  <c r="H2098" i="11"/>
  <c r="H2087" i="11"/>
  <c r="H2076" i="11"/>
  <c r="H2065" i="11"/>
  <c r="H2054" i="11"/>
  <c r="H2042" i="11"/>
  <c r="H2031" i="11"/>
  <c r="H2020" i="11"/>
  <c r="H2009" i="11"/>
  <c r="H1998" i="11"/>
  <c r="H1987" i="11"/>
  <c r="H1976" i="11"/>
  <c r="H1965" i="11"/>
  <c r="H1954" i="11"/>
  <c r="H1942" i="11"/>
  <c r="H1931" i="11"/>
  <c r="H1920" i="11"/>
  <c r="H1909" i="11"/>
  <c r="H1898" i="11"/>
  <c r="H1887" i="11"/>
  <c r="H1876" i="11"/>
  <c r="H1865" i="11"/>
  <c r="H1854" i="11"/>
  <c r="H1842" i="11"/>
  <c r="H1831" i="11"/>
  <c r="H1820" i="11"/>
  <c r="H1809" i="11"/>
  <c r="H1798" i="11"/>
  <c r="H1787" i="11"/>
  <c r="H1776" i="11"/>
  <c r="H1765" i="11"/>
  <c r="H1754" i="11"/>
  <c r="H1742" i="11"/>
  <c r="H1731" i="11"/>
  <c r="H1720" i="11"/>
  <c r="H1709" i="11"/>
  <c r="H1698" i="11"/>
  <c r="H1687" i="11"/>
  <c r="H1676" i="11"/>
  <c r="H1665" i="11"/>
  <c r="H1654" i="11"/>
  <c r="H1642" i="11"/>
  <c r="H1631" i="11"/>
  <c r="H1620" i="11"/>
  <c r="H1609" i="11"/>
  <c r="H1598" i="11"/>
  <c r="H1587" i="11"/>
  <c r="H1576" i="11"/>
  <c r="H1565" i="11"/>
  <c r="H1554" i="11"/>
  <c r="H1542" i="11"/>
  <c r="H1531" i="11"/>
  <c r="H1520" i="11"/>
  <c r="H1509" i="11"/>
  <c r="H1498" i="11"/>
  <c r="H1487" i="11"/>
  <c r="H1476" i="11"/>
  <c r="H1465" i="11"/>
  <c r="H1454" i="11"/>
  <c r="H1442" i="11"/>
  <c r="H1431" i="11"/>
  <c r="H1420" i="11"/>
  <c r="H1409" i="11"/>
  <c r="H1398" i="11"/>
  <c r="H1387" i="11"/>
  <c r="H1376" i="11"/>
  <c r="H1365" i="11"/>
  <c r="H1354" i="11"/>
  <c r="H1344" i="11"/>
  <c r="H1334" i="11"/>
  <c r="H1324" i="11"/>
  <c r="H1314" i="11"/>
  <c r="H1304" i="11"/>
  <c r="H1294" i="11"/>
  <c r="H1284" i="11"/>
  <c r="H1274" i="11"/>
  <c r="H1264" i="11"/>
  <c r="H1254" i="11"/>
  <c r="H1244" i="11"/>
  <c r="H1234" i="11"/>
  <c r="H1224" i="11"/>
  <c r="H1214" i="11"/>
  <c r="H1204" i="11"/>
  <c r="H1194" i="11"/>
  <c r="H1184" i="11"/>
  <c r="H1174" i="11"/>
  <c r="H1164" i="11"/>
  <c r="H1154" i="11"/>
  <c r="H1144" i="11"/>
  <c r="H2452" i="11"/>
  <c r="H2439" i="11"/>
  <c r="H2426" i="11"/>
  <c r="H2412" i="11"/>
  <c r="H2397" i="11"/>
  <c r="H2384" i="11"/>
  <c r="H2370" i="11"/>
  <c r="H2357" i="11"/>
  <c r="H2341" i="11"/>
  <c r="H2328" i="11"/>
  <c r="H2315" i="11"/>
  <c r="H2301" i="11"/>
  <c r="H2286" i="11"/>
  <c r="H2272" i="11"/>
  <c r="H2259" i="11"/>
  <c r="H2246" i="11"/>
  <c r="H2230" i="11"/>
  <c r="H2217" i="11"/>
  <c r="H2204" i="11"/>
  <c r="H2190" i="11"/>
  <c r="H2175" i="11"/>
  <c r="H2161" i="11"/>
  <c r="H2148" i="11"/>
  <c r="H2135" i="11"/>
  <c r="H2119" i="11"/>
  <c r="H2106" i="11"/>
  <c r="H2092" i="11"/>
  <c r="H2079" i="11"/>
  <c r="H2064" i="11"/>
  <c r="H2050" i="11"/>
  <c r="H2037" i="11"/>
  <c r="H2024" i="11"/>
  <c r="H2008" i="11"/>
  <c r="H1995" i="11"/>
  <c r="H1981" i="11"/>
  <c r="H1968" i="11"/>
  <c r="H1952" i="11"/>
  <c r="H1939" i="11"/>
  <c r="H1926" i="11"/>
  <c r="H1912" i="11"/>
  <c r="H1897" i="11"/>
  <c r="H1884" i="11"/>
  <c r="H1870" i="11"/>
  <c r="H1857" i="11"/>
  <c r="H1841" i="11"/>
  <c r="H1828" i="11"/>
  <c r="H1815" i="11"/>
  <c r="H1801" i="11"/>
  <c r="H1786" i="11"/>
  <c r="H1772" i="11"/>
  <c r="H1759" i="11"/>
  <c r="H1746" i="11"/>
  <c r="H1730" i="11"/>
  <c r="H1717" i="11"/>
  <c r="H1704" i="11"/>
  <c r="H1690" i="11"/>
  <c r="H1675" i="11"/>
  <c r="H1661" i="11"/>
  <c r="H1648" i="11"/>
  <c r="H1635" i="11"/>
  <c r="H1619" i="11"/>
  <c r="H1606" i="11"/>
  <c r="H1592" i="11"/>
  <c r="H1579" i="11"/>
  <c r="H1564" i="11"/>
  <c r="H1550" i="11"/>
  <c r="H1537" i="11"/>
  <c r="H1524" i="11"/>
  <c r="H1508" i="11"/>
  <c r="H1495" i="11"/>
  <c r="H1481" i="11"/>
  <c r="H1468" i="11"/>
  <c r="H1452" i="11"/>
  <c r="H1439" i="11"/>
  <c r="H1426" i="11"/>
  <c r="H1412" i="11"/>
  <c r="H1397" i="11"/>
  <c r="H1384" i="11"/>
  <c r="H1370" i="11"/>
  <c r="H1357" i="11"/>
  <c r="H1343" i="11"/>
  <c r="H1331" i="11"/>
  <c r="H1319" i="11"/>
  <c r="H1307" i="11"/>
  <c r="H1293" i="11"/>
  <c r="H1281" i="11"/>
  <c r="H1269" i="11"/>
  <c r="H1257" i="11"/>
  <c r="H1243" i="11"/>
  <c r="H1231" i="11"/>
  <c r="H1219" i="11"/>
  <c r="H1207" i="11"/>
  <c r="H1193" i="11"/>
  <c r="H1181" i="11"/>
  <c r="H1169" i="11"/>
  <c r="H1157" i="11"/>
  <c r="H1143" i="11"/>
  <c r="H1132" i="11"/>
  <c r="H1121" i="11"/>
  <c r="H1110" i="11"/>
  <c r="H1099" i="11"/>
  <c r="H1088" i="11"/>
  <c r="H1077" i="11"/>
  <c r="H1066" i="11"/>
  <c r="H1054" i="11"/>
  <c r="H1043" i="11"/>
  <c r="H1032" i="11"/>
  <c r="H1021" i="11"/>
  <c r="H1010" i="11"/>
  <c r="H999" i="11"/>
  <c r="H988" i="11"/>
  <c r="H977" i="11"/>
  <c r="H966" i="11"/>
  <c r="H954" i="11"/>
  <c r="H943" i="11"/>
  <c r="H932" i="11"/>
  <c r="H921" i="11"/>
  <c r="H910" i="11"/>
  <c r="H899" i="11"/>
  <c r="H888" i="11"/>
  <c r="H877" i="11"/>
  <c r="H866" i="11"/>
  <c r="H854" i="11"/>
  <c r="H843" i="11"/>
  <c r="H832" i="11"/>
  <c r="H821" i="11"/>
  <c r="H810" i="11"/>
  <c r="H799" i="11"/>
  <c r="H788" i="11"/>
  <c r="H777" i="11"/>
  <c r="H766" i="11"/>
  <c r="H754" i="11"/>
  <c r="H743" i="11"/>
  <c r="H732" i="11"/>
  <c r="H721" i="11"/>
  <c r="H710" i="11"/>
  <c r="H699" i="11"/>
  <c r="H688" i="11"/>
  <c r="H677" i="11"/>
  <c r="H666" i="11"/>
  <c r="H654" i="11"/>
  <c r="H643" i="11"/>
  <c r="H632" i="11"/>
  <c r="H621" i="11"/>
  <c r="H610" i="11"/>
  <c r="H599" i="11"/>
  <c r="H588" i="11"/>
  <c r="H577" i="11"/>
  <c r="H566" i="11"/>
  <c r="H554" i="11"/>
  <c r="H543" i="11"/>
  <c r="H532" i="11"/>
  <c r="H521" i="11"/>
  <c r="H510" i="11"/>
  <c r="H499" i="11"/>
  <c r="H488" i="11"/>
  <c r="H477" i="11"/>
  <c r="H467" i="11"/>
  <c r="H457" i="11"/>
  <c r="H447" i="11"/>
  <c r="H437" i="11"/>
  <c r="H427" i="11"/>
  <c r="H417" i="11"/>
  <c r="H407" i="11"/>
  <c r="H397" i="11"/>
  <c r="H387" i="11"/>
  <c r="H377" i="11"/>
  <c r="H367" i="11"/>
  <c r="H357" i="11"/>
  <c r="H347" i="11"/>
  <c r="H337" i="11"/>
  <c r="H327" i="11"/>
  <c r="H317" i="11"/>
  <c r="H307" i="11"/>
  <c r="H297" i="11"/>
  <c r="H287" i="11"/>
  <c r="H277" i="11"/>
  <c r="H267" i="11"/>
  <c r="H257" i="11"/>
  <c r="H247" i="11"/>
  <c r="H237" i="11"/>
  <c r="H227" i="11"/>
  <c r="H217" i="11"/>
  <c r="H207" i="11"/>
  <c r="H197" i="11"/>
  <c r="H187" i="11"/>
  <c r="H177" i="11"/>
  <c r="H167" i="11"/>
  <c r="H157" i="11"/>
  <c r="H147" i="11"/>
  <c r="H137" i="11"/>
  <c r="H127" i="11"/>
  <c r="H117" i="11"/>
  <c r="H107" i="11"/>
  <c r="H97" i="11"/>
  <c r="H87" i="11"/>
  <c r="H77" i="11"/>
  <c r="H67" i="11"/>
  <c r="H57" i="11"/>
  <c r="H47" i="11"/>
  <c r="H37" i="11"/>
  <c r="H27" i="11"/>
  <c r="H17" i="11"/>
  <c r="H7" i="11"/>
  <c r="H2451" i="11"/>
  <c r="H2438" i="11"/>
  <c r="H2425" i="11"/>
  <c r="H2411" i="11"/>
  <c r="H2396" i="11"/>
  <c r="H2382" i="11"/>
  <c r="H2369" i="11"/>
  <c r="H2356" i="11"/>
  <c r="H2340" i="11"/>
  <c r="H2327" i="11"/>
  <c r="H2314" i="11"/>
  <c r="H2300" i="11"/>
  <c r="H2285" i="11"/>
  <c r="H2271" i="11"/>
  <c r="H2258" i="11"/>
  <c r="H2245" i="11"/>
  <c r="H2229" i="11"/>
  <c r="H2216" i="11"/>
  <c r="H2202" i="11"/>
  <c r="H2189" i="11"/>
  <c r="H2174" i="11"/>
  <c r="H2160" i="11"/>
  <c r="H2147" i="11"/>
  <c r="H2134" i="11"/>
  <c r="H2118" i="11"/>
  <c r="H2105" i="11"/>
  <c r="H2091" i="11"/>
  <c r="H2078" i="11"/>
  <c r="H2062" i="11"/>
  <c r="H2049" i="11"/>
  <c r="H2036" i="11"/>
  <c r="H2022" i="11"/>
  <c r="H2007" i="11"/>
  <c r="H1994" i="11"/>
  <c r="H1980" i="11"/>
  <c r="H1967" i="11"/>
  <c r="H1951" i="11"/>
  <c r="H1938" i="11"/>
  <c r="H1925" i="11"/>
  <c r="H1911" i="11"/>
  <c r="H1896" i="11"/>
  <c r="H1882" i="11"/>
  <c r="H1869" i="11"/>
  <c r="H1856" i="11"/>
  <c r="H1840" i="11"/>
  <c r="H1827" i="11"/>
  <c r="H1814" i="11"/>
  <c r="H1800" i="11"/>
  <c r="H1785" i="11"/>
  <c r="H1771" i="11"/>
  <c r="H1758" i="11"/>
  <c r="H1745" i="11"/>
  <c r="H1729" i="11"/>
  <c r="H1716" i="11"/>
  <c r="H1702" i="11"/>
  <c r="H1689" i="11"/>
  <c r="H1674" i="11"/>
  <c r="H1660" i="11"/>
  <c r="H1647" i="11"/>
  <c r="H1634" i="11"/>
  <c r="H1618" i="11"/>
  <c r="H1605" i="11"/>
  <c r="H1591" i="11"/>
  <c r="H1578" i="11"/>
  <c r="H1562" i="11"/>
  <c r="H1549" i="11"/>
  <c r="H1536" i="11"/>
  <c r="H1522" i="11"/>
  <c r="H1507" i="11"/>
  <c r="H1494" i="11"/>
  <c r="H1480" i="11"/>
  <c r="H1467" i="11"/>
  <c r="H1451" i="11"/>
  <c r="H1438" i="11"/>
  <c r="H1425" i="11"/>
  <c r="H1411" i="11"/>
  <c r="H1396" i="11"/>
  <c r="H1382" i="11"/>
  <c r="H1369" i="11"/>
  <c r="H1356" i="11"/>
  <c r="H1342" i="11"/>
  <c r="H1330" i="11"/>
  <c r="H1318" i="11"/>
  <c r="H1306" i="11"/>
  <c r="H1292" i="11"/>
  <c r="H1280" i="11"/>
  <c r="H1268" i="11"/>
  <c r="H1256" i="11"/>
  <c r="H1242" i="11"/>
  <c r="H1230" i="11"/>
  <c r="H1218" i="11"/>
  <c r="H1206" i="11"/>
  <c r="H1192" i="11"/>
  <c r="H1180" i="11"/>
  <c r="H1168" i="11"/>
  <c r="H1156" i="11"/>
  <c r="H1142" i="11"/>
  <c r="H1131" i="11"/>
  <c r="H1120" i="11"/>
  <c r="H1109" i="11"/>
  <c r="H1098" i="11"/>
  <c r="H1087" i="11"/>
  <c r="H1076" i="11"/>
  <c r="H1064" i="11"/>
  <c r="H1053" i="11"/>
  <c r="H1042" i="11"/>
  <c r="H1031" i="11"/>
  <c r="H1020" i="11"/>
  <c r="H1009" i="11"/>
  <c r="H998" i="11"/>
  <c r="H987" i="11"/>
  <c r="H976" i="11"/>
  <c r="H964" i="11"/>
  <c r="H953" i="11"/>
  <c r="H942" i="11"/>
  <c r="H931" i="11"/>
  <c r="H920" i="11"/>
  <c r="H909" i="11"/>
  <c r="H898" i="11"/>
  <c r="H887" i="11"/>
  <c r="H876" i="11"/>
  <c r="H864" i="11"/>
  <c r="H853" i="11"/>
  <c r="H842" i="11"/>
  <c r="H831" i="11"/>
  <c r="H820" i="11"/>
  <c r="H809" i="11"/>
  <c r="H798" i="11"/>
  <c r="H787" i="11"/>
  <c r="H776" i="11"/>
  <c r="H764" i="11"/>
  <c r="H753" i="11"/>
  <c r="H742" i="11"/>
  <c r="H731" i="11"/>
  <c r="H720" i="11"/>
  <c r="H709" i="11"/>
  <c r="H698" i="11"/>
  <c r="H687" i="11"/>
  <c r="H676" i="11"/>
  <c r="H664" i="11"/>
  <c r="H653" i="11"/>
  <c r="H642" i="11"/>
  <c r="H631" i="11"/>
  <c r="H620" i="11"/>
  <c r="H609" i="11"/>
  <c r="H598" i="11"/>
  <c r="H587" i="11"/>
  <c r="H576" i="11"/>
  <c r="H564" i="11"/>
  <c r="H553" i="11"/>
  <c r="H542" i="11"/>
  <c r="H531" i="11"/>
  <c r="H520" i="11"/>
  <c r="H509" i="11"/>
  <c r="H498" i="11"/>
  <c r="H487" i="11"/>
  <c r="H476" i="11"/>
  <c r="H466" i="11"/>
  <c r="H456" i="11"/>
  <c r="H446" i="11"/>
  <c r="H436" i="11"/>
  <c r="H426" i="11"/>
  <c r="H416" i="11"/>
  <c r="H406" i="11"/>
  <c r="H396" i="11"/>
  <c r="H386" i="11"/>
  <c r="H376" i="11"/>
  <c r="H366" i="11"/>
  <c r="H356" i="11"/>
  <c r="H346" i="11"/>
  <c r="H336" i="11"/>
  <c r="H326" i="11"/>
  <c r="H316" i="11"/>
  <c r="H306" i="11"/>
  <c r="H296" i="11"/>
  <c r="H286" i="11"/>
  <c r="H276" i="11"/>
  <c r="H266" i="11"/>
  <c r="H256" i="11"/>
  <c r="H246" i="11"/>
  <c r="H236" i="11"/>
  <c r="H226" i="11"/>
  <c r="H216" i="11"/>
  <c r="H206" i="11"/>
  <c r="H196" i="11"/>
  <c r="H186" i="11"/>
  <c r="H176" i="11"/>
  <c r="H166" i="11"/>
  <c r="H156" i="11"/>
  <c r="H146" i="11"/>
  <c r="H136" i="11"/>
  <c r="H126" i="11"/>
  <c r="H116" i="11"/>
  <c r="H106" i="11"/>
  <c r="H96" i="11"/>
  <c r="H86" i="11"/>
  <c r="H76" i="11"/>
  <c r="H66" i="11"/>
  <c r="H56" i="11"/>
  <c r="H46" i="11"/>
  <c r="H36" i="11"/>
  <c r="H26" i="11"/>
  <c r="H16" i="11"/>
  <c r="H6" i="11"/>
  <c r="H2450" i="11"/>
  <c r="H2437" i="11"/>
  <c r="H2424" i="11"/>
  <c r="H2408" i="11"/>
  <c r="H2395" i="11"/>
  <c r="H2381" i="11"/>
  <c r="H2368" i="11"/>
  <c r="H2352" i="11"/>
  <c r="H2339" i="11"/>
  <c r="H2326" i="11"/>
  <c r="H2312" i="11"/>
  <c r="H2297" i="11"/>
  <c r="H2284" i="11"/>
  <c r="H2270" i="11"/>
  <c r="H2257" i="11"/>
  <c r="H2241" i="11"/>
  <c r="H2228" i="11"/>
  <c r="H2215" i="11"/>
  <c r="H2201" i="11"/>
  <c r="H2186" i="11"/>
  <c r="H2172" i="11"/>
  <c r="H2159" i="11"/>
  <c r="H2146" i="11"/>
  <c r="H2130" i="11"/>
  <c r="H2117" i="11"/>
  <c r="H2104" i="11"/>
  <c r="H2090" i="11"/>
  <c r="H2075" i="11"/>
  <c r="H2061" i="11"/>
  <c r="H2048" i="11"/>
  <c r="H2035" i="11"/>
  <c r="H2019" i="11"/>
  <c r="H2006" i="11"/>
  <c r="H1992" i="11"/>
  <c r="H1979" i="11"/>
  <c r="H1964" i="11"/>
  <c r="H1950" i="11"/>
  <c r="H1937" i="11"/>
  <c r="H1924" i="11"/>
  <c r="H1908" i="11"/>
  <c r="H1895" i="11"/>
  <c r="H1881" i="11"/>
  <c r="H1868" i="11"/>
  <c r="H1852" i="11"/>
  <c r="H1839" i="11"/>
  <c r="H1826" i="11"/>
  <c r="H1812" i="11"/>
  <c r="H1797" i="11"/>
  <c r="H1784" i="11"/>
  <c r="H1770" i="11"/>
  <c r="H1757" i="11"/>
  <c r="H1741" i="11"/>
  <c r="H1728" i="11"/>
  <c r="H1715" i="11"/>
  <c r="H1701" i="11"/>
  <c r="H1686" i="11"/>
  <c r="H1672" i="11"/>
  <c r="H1659" i="11"/>
  <c r="H1646" i="11"/>
  <c r="H1630" i="11"/>
  <c r="H1617" i="11"/>
  <c r="H1604" i="11"/>
  <c r="H1590" i="11"/>
  <c r="H1575" i="11"/>
  <c r="H1561" i="11"/>
  <c r="H1548" i="11"/>
  <c r="H1535" i="11"/>
  <c r="H1519" i="11"/>
  <c r="H1506" i="11"/>
  <c r="H1492" i="11"/>
  <c r="H1479" i="11"/>
  <c r="H1464" i="11"/>
  <c r="H1450" i="11"/>
  <c r="H1437" i="11"/>
  <c r="H1424" i="11"/>
  <c r="H1408" i="11"/>
  <c r="H1395" i="11"/>
  <c r="H1381" i="11"/>
  <c r="H1368" i="11"/>
  <c r="H1353" i="11"/>
  <c r="H1341" i="11"/>
  <c r="H1329" i="11"/>
  <c r="H1317" i="11"/>
  <c r="H1303" i="11"/>
  <c r="H1291" i="11"/>
  <c r="H1279" i="11"/>
  <c r="H1267" i="11"/>
  <c r="H1253" i="11"/>
  <c r="H1241" i="11"/>
  <c r="H1229" i="11"/>
  <c r="H1217" i="11"/>
  <c r="H1203" i="11"/>
  <c r="H1191" i="11"/>
  <c r="H1179" i="11"/>
  <c r="H1167" i="11"/>
  <c r="H1153" i="11"/>
  <c r="H1141" i="11"/>
  <c r="H1130" i="11"/>
  <c r="H1119" i="11"/>
  <c r="H1108" i="11"/>
  <c r="H1097" i="11"/>
  <c r="H1086" i="11"/>
  <c r="H1074" i="11"/>
  <c r="H1063" i="11"/>
  <c r="H1052" i="11"/>
  <c r="H1041" i="11"/>
  <c r="H1030" i="11"/>
  <c r="H1019" i="11"/>
  <c r="H1008" i="11"/>
  <c r="H997" i="11"/>
  <c r="H986" i="11"/>
  <c r="H974" i="11"/>
  <c r="H963" i="11"/>
  <c r="H952" i="11"/>
  <c r="H941" i="11"/>
  <c r="H930" i="11"/>
  <c r="H919" i="11"/>
  <c r="H908" i="11"/>
  <c r="H897" i="11"/>
  <c r="H886" i="11"/>
  <c r="H874" i="11"/>
  <c r="H863" i="11"/>
  <c r="H852" i="11"/>
  <c r="H841" i="11"/>
  <c r="H830" i="11"/>
  <c r="H819" i="11"/>
  <c r="H808" i="11"/>
  <c r="H797" i="11"/>
  <c r="H786" i="11"/>
  <c r="H774" i="11"/>
  <c r="H763" i="11"/>
  <c r="H752" i="11"/>
  <c r="H741" i="11"/>
  <c r="H730" i="11"/>
  <c r="H719" i="11"/>
  <c r="H708" i="11"/>
  <c r="H697" i="11"/>
  <c r="H686" i="11"/>
  <c r="H674" i="11"/>
  <c r="H663" i="11"/>
  <c r="H652" i="11"/>
  <c r="H641" i="11"/>
  <c r="H630" i="11"/>
  <c r="H619" i="11"/>
  <c r="H608" i="11"/>
  <c r="H597" i="11"/>
  <c r="H586" i="11"/>
  <c r="H574" i="11"/>
  <c r="H563" i="11"/>
  <c r="H552" i="11"/>
  <c r="H541" i="11"/>
  <c r="H530" i="11"/>
  <c r="H519" i="11"/>
  <c r="H508" i="11"/>
  <c r="H497" i="11"/>
  <c r="H486" i="11"/>
  <c r="H475" i="11"/>
  <c r="H465" i="11"/>
  <c r="H455" i="11"/>
  <c r="H445" i="11"/>
  <c r="H435" i="11"/>
  <c r="H425" i="11"/>
  <c r="H415" i="11"/>
  <c r="H405" i="11"/>
  <c r="H395" i="11"/>
  <c r="H385" i="11"/>
  <c r="H375" i="11"/>
  <c r="H365" i="11"/>
  <c r="H355" i="11"/>
  <c r="H345" i="11"/>
  <c r="H335" i="11"/>
  <c r="H325" i="11"/>
  <c r="H315" i="11"/>
  <c r="H305" i="11"/>
  <c r="H295" i="11"/>
  <c r="H285" i="11"/>
  <c r="H275" i="11"/>
  <c r="H265" i="11"/>
  <c r="H255" i="11"/>
  <c r="H245" i="11"/>
  <c r="H235" i="11"/>
  <c r="H225" i="11"/>
  <c r="H215" i="11"/>
  <c r="H205" i="11"/>
  <c r="H195" i="11"/>
  <c r="H185" i="11"/>
  <c r="H175" i="11"/>
  <c r="H2457" i="11"/>
  <c r="H2441" i="11"/>
  <c r="H2428" i="11"/>
  <c r="H2415" i="11"/>
  <c r="H2401" i="11"/>
  <c r="H2386" i="11"/>
  <c r="H2372" i="11"/>
  <c r="H2359" i="11"/>
  <c r="H2346" i="11"/>
  <c r="H2330" i="11"/>
  <c r="H2317" i="11"/>
  <c r="H2304" i="11"/>
  <c r="H2290" i="11"/>
  <c r="H2275" i="11"/>
  <c r="H2459" i="11"/>
  <c r="H2435" i="11"/>
  <c r="H2414" i="11"/>
  <c r="H2390" i="11"/>
  <c r="H2364" i="11"/>
  <c r="H2345" i="11"/>
  <c r="H2319" i="11"/>
  <c r="H2295" i="11"/>
  <c r="H2274" i="11"/>
  <c r="H2251" i="11"/>
  <c r="H2235" i="11"/>
  <c r="H2212" i="11"/>
  <c r="H2194" i="11"/>
  <c r="H2171" i="11"/>
  <c r="H2152" i="11"/>
  <c r="H2136" i="11"/>
  <c r="H2114" i="11"/>
  <c r="H2095" i="11"/>
  <c r="H2072" i="11"/>
  <c r="H2056" i="11"/>
  <c r="H2034" i="11"/>
  <c r="H2015" i="11"/>
  <c r="H1996" i="11"/>
  <c r="H1974" i="11"/>
  <c r="H1957" i="11"/>
  <c r="H1935" i="11"/>
  <c r="H1916" i="11"/>
  <c r="H1894" i="11"/>
  <c r="H1875" i="11"/>
  <c r="H1858" i="11"/>
  <c r="H1836" i="11"/>
  <c r="H1817" i="11"/>
  <c r="H1795" i="11"/>
  <c r="H1778" i="11"/>
  <c r="H1756" i="11"/>
  <c r="H1737" i="11"/>
  <c r="H1718" i="11"/>
  <c r="H1696" i="11"/>
  <c r="H1679" i="11"/>
  <c r="H1657" i="11"/>
  <c r="H1638" i="11"/>
  <c r="H1616" i="11"/>
  <c r="H1597" i="11"/>
  <c r="H1580" i="11"/>
  <c r="H1558" i="11"/>
  <c r="H1539" i="11"/>
  <c r="H1517" i="11"/>
  <c r="H1500" i="11"/>
  <c r="H1478" i="11"/>
  <c r="H1459" i="11"/>
  <c r="H1440" i="11"/>
  <c r="H1418" i="11"/>
  <c r="H1401" i="11"/>
  <c r="H1379" i="11"/>
  <c r="H1360" i="11"/>
  <c r="H1340" i="11"/>
  <c r="H1323" i="11"/>
  <c r="H1308" i="11"/>
  <c r="H1288" i="11"/>
  <c r="H1271" i="11"/>
  <c r="H1251" i="11"/>
  <c r="H1236" i="11"/>
  <c r="H1216" i="11"/>
  <c r="H1199" i="11"/>
  <c r="H1182" i="11"/>
  <c r="H1162" i="11"/>
  <c r="H1147" i="11"/>
  <c r="H1128" i="11"/>
  <c r="H1113" i="11"/>
  <c r="H1096" i="11"/>
  <c r="H1081" i="11"/>
  <c r="H1067" i="11"/>
  <c r="H1049" i="11"/>
  <c r="H1034" i="11"/>
  <c r="H1017" i="11"/>
  <c r="H1002" i="11"/>
  <c r="H984" i="11"/>
  <c r="H970" i="11"/>
  <c r="H956" i="11"/>
  <c r="H938" i="11"/>
  <c r="H923" i="11"/>
  <c r="H906" i="11"/>
  <c r="H891" i="11"/>
  <c r="H873" i="11"/>
  <c r="H859" i="11"/>
  <c r="H844" i="11"/>
  <c r="H827" i="11"/>
  <c r="H812" i="11"/>
  <c r="H794" i="11"/>
  <c r="H780" i="11"/>
  <c r="H762" i="11"/>
  <c r="H748" i="11"/>
  <c r="H733" i="11"/>
  <c r="H716" i="11"/>
  <c r="H701" i="11"/>
  <c r="H683" i="11"/>
  <c r="H669" i="11"/>
  <c r="H651" i="11"/>
  <c r="H637" i="11"/>
  <c r="H622" i="11"/>
  <c r="H604" i="11"/>
  <c r="H590" i="11"/>
  <c r="H572" i="11"/>
  <c r="H558" i="11"/>
  <c r="H540" i="11"/>
  <c r="H526" i="11"/>
  <c r="H511" i="11"/>
  <c r="H2458" i="11"/>
  <c r="H2434" i="11"/>
  <c r="H2407" i="11"/>
  <c r="H2389" i="11"/>
  <c r="H2362" i="11"/>
  <c r="H2338" i="11"/>
  <c r="H2318" i="11"/>
  <c r="H2294" i="11"/>
  <c r="H2269" i="11"/>
  <c r="H2250" i="11"/>
  <c r="H2234" i="11"/>
  <c r="H2211" i="11"/>
  <c r="H2192" i="11"/>
  <c r="H2170" i="11"/>
  <c r="H2151" i="11"/>
  <c r="H2129" i="11"/>
  <c r="H2112" i="11"/>
  <c r="H2094" i="11"/>
  <c r="H2071" i="11"/>
  <c r="H2052" i="11"/>
  <c r="H2030" i="11"/>
  <c r="H2014" i="11"/>
  <c r="H1991" i="11"/>
  <c r="H1972" i="11"/>
  <c r="H1956" i="11"/>
  <c r="H1934" i="11"/>
  <c r="H1915" i="11"/>
  <c r="H1892" i="11"/>
  <c r="H1874" i="11"/>
  <c r="H1851" i="11"/>
  <c r="H1835" i="11"/>
  <c r="H1816" i="11"/>
  <c r="H1794" i="11"/>
  <c r="H1775" i="11"/>
  <c r="H1752" i="11"/>
  <c r="H1736" i="11"/>
  <c r="H1714" i="11"/>
  <c r="H1695" i="11"/>
  <c r="H1678" i="11"/>
  <c r="H1656" i="11"/>
  <c r="H1637" i="11"/>
  <c r="H1615" i="11"/>
  <c r="H1596" i="11"/>
  <c r="H1574" i="11"/>
  <c r="H1557" i="11"/>
  <c r="H1538" i="11"/>
  <c r="H1516" i="11"/>
  <c r="H1497" i="11"/>
  <c r="H1475" i="11"/>
  <c r="H1458" i="11"/>
  <c r="H1436" i="11"/>
  <c r="H1417" i="11"/>
  <c r="H1400" i="11"/>
  <c r="H1378" i="11"/>
  <c r="H1359" i="11"/>
  <c r="H1339" i="11"/>
  <c r="H1322" i="11"/>
  <c r="H1302" i="11"/>
  <c r="H1287" i="11"/>
  <c r="H1270" i="11"/>
  <c r="H1250" i="11"/>
  <c r="H1233" i="11"/>
  <c r="H1213" i="11"/>
  <c r="H1198" i="11"/>
  <c r="H1178" i="11"/>
  <c r="H1161" i="11"/>
  <c r="H1146" i="11"/>
  <c r="H1127" i="11"/>
  <c r="H1112" i="11"/>
  <c r="H1094" i="11"/>
  <c r="H1080" i="11"/>
  <c r="H1062" i="11"/>
  <c r="H1048" i="11"/>
  <c r="H1033" i="11"/>
  <c r="H1016" i="11"/>
  <c r="H1001" i="11"/>
  <c r="H983" i="11"/>
  <c r="H969" i="11"/>
  <c r="H951" i="11"/>
  <c r="H937" i="11"/>
  <c r="H922" i="11"/>
  <c r="H904" i="11"/>
  <c r="H890" i="11"/>
  <c r="H872" i="11"/>
  <c r="H858" i="11"/>
  <c r="H840" i="11"/>
  <c r="H826" i="11"/>
  <c r="H811" i="11"/>
  <c r="H793" i="11"/>
  <c r="H779" i="11"/>
  <c r="H761" i="11"/>
  <c r="H747" i="11"/>
  <c r="H729" i="11"/>
  <c r="H714" i="11"/>
  <c r="H700" i="11"/>
  <c r="H682" i="11"/>
  <c r="H668" i="11"/>
  <c r="H650" i="11"/>
  <c r="H636" i="11"/>
  <c r="H618" i="11"/>
  <c r="H603" i="11"/>
  <c r="H589" i="11"/>
  <c r="H571" i="11"/>
  <c r="H557" i="11"/>
  <c r="H539" i="11"/>
  <c r="H524" i="11"/>
  <c r="H507" i="11"/>
  <c r="H2456" i="11"/>
  <c r="H2430" i="11"/>
  <c r="H2406" i="11"/>
  <c r="H2385" i="11"/>
  <c r="H2361" i="11"/>
  <c r="H2337" i="11"/>
  <c r="H2316" i="11"/>
  <c r="H2292" i="11"/>
  <c r="H2268" i="11"/>
  <c r="H2249" i="11"/>
  <c r="H2227" i="11"/>
  <c r="H2208" i="11"/>
  <c r="H2191" i="11"/>
  <c r="H2169" i="11"/>
  <c r="H2150" i="11"/>
  <c r="H2128" i="11"/>
  <c r="H2111" i="11"/>
  <c r="H2089" i="11"/>
  <c r="H2070" i="11"/>
  <c r="H2051" i="11"/>
  <c r="H2029" i="11"/>
  <c r="H2012" i="11"/>
  <c r="H1990" i="11"/>
  <c r="H1971" i="11"/>
  <c r="H1949" i="11"/>
  <c r="H1930" i="11"/>
  <c r="H1914" i="11"/>
  <c r="H1891" i="11"/>
  <c r="H1872" i="11"/>
  <c r="H1850" i="11"/>
  <c r="H1834" i="11"/>
  <c r="H1811" i="11"/>
  <c r="H1792" i="11"/>
  <c r="H1774" i="11"/>
  <c r="H1751" i="11"/>
  <c r="H1735" i="11"/>
  <c r="H1712" i="11"/>
  <c r="H1694" i="11"/>
  <c r="H1671" i="11"/>
  <c r="H1652" i="11"/>
  <c r="H1636" i="11"/>
  <c r="H1614" i="11"/>
  <c r="H1595" i="11"/>
  <c r="H1572" i="11"/>
  <c r="H1556" i="11"/>
  <c r="H1534" i="11"/>
  <c r="H1515" i="11"/>
  <c r="H1496" i="11"/>
  <c r="H1474" i="11"/>
  <c r="H1457" i="11"/>
  <c r="H1435" i="11"/>
  <c r="H1416" i="11"/>
  <c r="H1394" i="11"/>
  <c r="H1375" i="11"/>
  <c r="H1358" i="11"/>
  <c r="H1338" i="11"/>
  <c r="H1321" i="11"/>
  <c r="H1301" i="11"/>
  <c r="H1286" i="11"/>
  <c r="H1266" i="11"/>
  <c r="H1249" i="11"/>
  <c r="H1232" i="11"/>
  <c r="H1212" i="11"/>
  <c r="H1197" i="11"/>
  <c r="H1177" i="11"/>
  <c r="H1160" i="11"/>
  <c r="H1140" i="11"/>
  <c r="H1126" i="11"/>
  <c r="H1111" i="11"/>
  <c r="H1093" i="11"/>
  <c r="H1079" i="11"/>
  <c r="H1061" i="11"/>
  <c r="H1047" i="11"/>
  <c r="H1029" i="11"/>
  <c r="H1014" i="11"/>
  <c r="H1000" i="11"/>
  <c r="H982" i="11"/>
  <c r="H968" i="11"/>
  <c r="H950" i="11"/>
  <c r="H936" i="11"/>
  <c r="H918" i="11"/>
  <c r="H903" i="11"/>
  <c r="H889" i="11"/>
  <c r="H871" i="11"/>
  <c r="H857" i="11"/>
  <c r="H839" i="11"/>
  <c r="H824" i="11"/>
  <c r="H807" i="11"/>
  <c r="H792" i="11"/>
  <c r="H778" i="11"/>
  <c r="H760" i="11"/>
  <c r="H746" i="11"/>
  <c r="H728" i="11"/>
  <c r="H713" i="11"/>
  <c r="H696" i="11"/>
  <c r="H681" i="11"/>
  <c r="H667" i="11"/>
  <c r="H649" i="11"/>
  <c r="H634" i="11"/>
  <c r="H617" i="11"/>
  <c r="H602" i="11"/>
  <c r="H584" i="11"/>
  <c r="H570" i="11"/>
  <c r="H556" i="11"/>
  <c r="H538" i="11"/>
  <c r="H523" i="11"/>
  <c r="H506" i="11"/>
  <c r="H491" i="11"/>
  <c r="H474" i="11"/>
  <c r="H461" i="11"/>
  <c r="H448" i="11"/>
  <c r="H432" i="11"/>
  <c r="H419" i="11"/>
  <c r="H403" i="11"/>
  <c r="H390" i="11"/>
  <c r="H374" i="11"/>
  <c r="H361" i="11"/>
  <c r="H348" i="11"/>
  <c r="H332" i="11"/>
  <c r="H319" i="11"/>
  <c r="H303" i="11"/>
  <c r="H290" i="11"/>
  <c r="H274" i="11"/>
  <c r="H2461" i="11"/>
  <c r="H2427" i="11"/>
  <c r="H2394" i="11"/>
  <c r="H2360" i="11"/>
  <c r="H2329" i="11"/>
  <c r="H2296" i="11"/>
  <c r="H2262" i="11"/>
  <c r="H2237" i="11"/>
  <c r="H2206" i="11"/>
  <c r="H2180" i="11"/>
  <c r="H2149" i="11"/>
  <c r="H2124" i="11"/>
  <c r="H2096" i="11"/>
  <c r="H2067" i="11"/>
  <c r="H2039" i="11"/>
  <c r="H2005" i="11"/>
  <c r="H1982" i="11"/>
  <c r="H1948" i="11"/>
  <c r="H1922" i="11"/>
  <c r="H1900" i="11"/>
  <c r="H1864" i="11"/>
  <c r="H1838" i="11"/>
  <c r="H1807" i="11"/>
  <c r="H1781" i="11"/>
  <c r="H1750" i="11"/>
  <c r="H1725" i="11"/>
  <c r="H1697" i="11"/>
  <c r="H1668" i="11"/>
  <c r="H1640" i="11"/>
  <c r="H1611" i="11"/>
  <c r="H1584" i="11"/>
  <c r="H1552" i="11"/>
  <c r="H1527" i="11"/>
  <c r="H1501" i="11"/>
  <c r="H1470" i="11"/>
  <c r="H1445" i="11"/>
  <c r="H1414" i="11"/>
  <c r="H1386" i="11"/>
  <c r="H1352" i="11"/>
  <c r="H1332" i="11"/>
  <c r="H1309" i="11"/>
  <c r="H1278" i="11"/>
  <c r="H1258" i="11"/>
  <c r="H1227" i="11"/>
  <c r="H1202" i="11"/>
  <c r="H1176" i="11"/>
  <c r="H1151" i="11"/>
  <c r="H1129" i="11"/>
  <c r="H1104" i="11"/>
  <c r="H1083" i="11"/>
  <c r="H1059" i="11"/>
  <c r="H1038" i="11"/>
  <c r="H1013" i="11"/>
  <c r="H992" i="11"/>
  <c r="H971" i="11"/>
  <c r="H947" i="11"/>
  <c r="H926" i="11"/>
  <c r="H901" i="11"/>
  <c r="H880" i="11"/>
  <c r="H856" i="11"/>
  <c r="H834" i="11"/>
  <c r="H813" i="11"/>
  <c r="H789" i="11"/>
  <c r="H768" i="11"/>
  <c r="H740" i="11"/>
  <c r="H722" i="11"/>
  <c r="H694" i="11"/>
  <c r="H673" i="11"/>
  <c r="H656" i="11"/>
  <c r="H628" i="11"/>
  <c r="H607" i="11"/>
  <c r="H582" i="11"/>
  <c r="H561" i="11"/>
  <c r="H537" i="11"/>
  <c r="H516" i="11"/>
  <c r="H494" i="11"/>
  <c r="H479" i="11"/>
  <c r="H462" i="11"/>
  <c r="H444" i="11"/>
  <c r="H430" i="11"/>
  <c r="H413" i="11"/>
  <c r="H399" i="11"/>
  <c r="H382" i="11"/>
  <c r="H368" i="11"/>
  <c r="H351" i="11"/>
  <c r="H334" i="11"/>
  <c r="H320" i="11"/>
  <c r="H302" i="11"/>
  <c r="H288" i="11"/>
  <c r="H271" i="11"/>
  <c r="H258" i="11"/>
  <c r="H242" i="11"/>
  <c r="H229" i="11"/>
  <c r="H213" i="11"/>
  <c r="H200" i="11"/>
  <c r="H184" i="11"/>
  <c r="H171" i="11"/>
  <c r="H159" i="11"/>
  <c r="H145" i="11"/>
  <c r="H133" i="11"/>
  <c r="H121" i="11"/>
  <c r="H109" i="11"/>
  <c r="H95" i="11"/>
  <c r="H83" i="11"/>
  <c r="H71" i="11"/>
  <c r="H59" i="11"/>
  <c r="H45" i="11"/>
  <c r="H33" i="11"/>
  <c r="H21" i="11"/>
  <c r="H9" i="11"/>
  <c r="H2460" i="11"/>
  <c r="H2422" i="11"/>
  <c r="H2392" i="11"/>
  <c r="H2358" i="11"/>
  <c r="H2325" i="11"/>
  <c r="H2291" i="11"/>
  <c r="H2261" i="11"/>
  <c r="H2236" i="11"/>
  <c r="H2205" i="11"/>
  <c r="H2179" i="11"/>
  <c r="H2145" i="11"/>
  <c r="H2122" i="11"/>
  <c r="H2086" i="11"/>
  <c r="H2060" i="11"/>
  <c r="H2038" i="11"/>
  <c r="H2004" i="11"/>
  <c r="H1978" i="11"/>
  <c r="H1947" i="11"/>
  <c r="H1919" i="11"/>
  <c r="H1890" i="11"/>
  <c r="H1862" i="11"/>
  <c r="H1837" i="11"/>
  <c r="H1806" i="11"/>
  <c r="H1780" i="11"/>
  <c r="H1749" i="11"/>
  <c r="H1724" i="11"/>
  <c r="H1692" i="11"/>
  <c r="H1667" i="11"/>
  <c r="H1639" i="11"/>
  <c r="H1608" i="11"/>
  <c r="H1582" i="11"/>
  <c r="H1551" i="11"/>
  <c r="H1526" i="11"/>
  <c r="H1491" i="11"/>
  <c r="H1469" i="11"/>
  <c r="H1441" i="11"/>
  <c r="H1407" i="11"/>
  <c r="H1385" i="11"/>
  <c r="H1351" i="11"/>
  <c r="H1328" i="11"/>
  <c r="H1300" i="11"/>
  <c r="H1277" i="11"/>
  <c r="H1252" i="11"/>
  <c r="H1226" i="11"/>
  <c r="H1201" i="11"/>
  <c r="H1173" i="11"/>
  <c r="H1150" i="11"/>
  <c r="H1124" i="11"/>
  <c r="H1103" i="11"/>
  <c r="H1082" i="11"/>
  <c r="H1058" i="11"/>
  <c r="H1037" i="11"/>
  <c r="H1012" i="11"/>
  <c r="H991" i="11"/>
  <c r="H967" i="11"/>
  <c r="H946" i="11"/>
  <c r="H924" i="11"/>
  <c r="H900" i="11"/>
  <c r="H879" i="11"/>
  <c r="H851" i="11"/>
  <c r="H833" i="11"/>
  <c r="H806" i="11"/>
  <c r="H784" i="11"/>
  <c r="H767" i="11"/>
  <c r="H739" i="11"/>
  <c r="H718" i="11"/>
  <c r="H693" i="11"/>
  <c r="H672" i="11"/>
  <c r="H648" i="11"/>
  <c r="H627" i="11"/>
  <c r="H606" i="11"/>
  <c r="H581" i="11"/>
  <c r="H560" i="11"/>
  <c r="H536" i="11"/>
  <c r="H514" i="11"/>
  <c r="H493" i="11"/>
  <c r="H478" i="11"/>
  <c r="H460" i="11"/>
  <c r="H443" i="11"/>
  <c r="H429" i="11"/>
  <c r="H412" i="11"/>
  <c r="H398" i="11"/>
  <c r="H381" i="11"/>
  <c r="H364" i="11"/>
  <c r="H350" i="11"/>
  <c r="H333" i="11"/>
  <c r="H318" i="11"/>
  <c r="H301" i="11"/>
  <c r="H284" i="11"/>
  <c r="H270" i="11"/>
  <c r="H254" i="11"/>
  <c r="H241" i="11"/>
  <c r="H228" i="11"/>
  <c r="H212" i="11"/>
  <c r="H199" i="11"/>
  <c r="H183" i="11"/>
  <c r="H170" i="11"/>
  <c r="H158" i="11"/>
  <c r="H144" i="11"/>
  <c r="H132" i="11"/>
  <c r="H120" i="11"/>
  <c r="H108" i="11"/>
  <c r="H94" i="11"/>
  <c r="H82" i="11"/>
  <c r="H70" i="11"/>
  <c r="H58" i="11"/>
  <c r="H44" i="11"/>
  <c r="H32" i="11"/>
  <c r="H20" i="11"/>
  <c r="H8" i="11"/>
  <c r="H2449" i="11"/>
  <c r="H2419" i="11"/>
  <c r="H2391" i="11"/>
  <c r="H2351" i="11"/>
  <c r="H2324" i="11"/>
  <c r="H2289" i="11"/>
  <c r="H2260" i="11"/>
  <c r="H2226" i="11"/>
  <c r="H2200" i="11"/>
  <c r="H2178" i="11"/>
  <c r="H2141" i="11"/>
  <c r="H2116" i="11"/>
  <c r="H2085" i="11"/>
  <c r="H2059" i="11"/>
  <c r="H2028" i="11"/>
  <c r="H2002" i="11"/>
  <c r="H1975" i="11"/>
  <c r="H1946" i="11"/>
  <c r="H1918" i="11"/>
  <c r="H1889" i="11"/>
  <c r="H1861" i="11"/>
  <c r="H1830" i="11"/>
  <c r="H1805" i="11"/>
  <c r="H1779" i="11"/>
  <c r="H1748" i="11"/>
  <c r="H1722" i="11"/>
  <c r="H1691" i="11"/>
  <c r="H1664" i="11"/>
  <c r="H1629" i="11"/>
  <c r="H1607" i="11"/>
  <c r="H1581" i="11"/>
  <c r="H1547" i="11"/>
  <c r="H1525" i="11"/>
  <c r="H1490" i="11"/>
  <c r="H1462" i="11"/>
  <c r="H1434" i="11"/>
  <c r="H1406" i="11"/>
  <c r="H1380" i="11"/>
  <c r="H1350" i="11"/>
  <c r="H1327" i="11"/>
  <c r="H1299" i="11"/>
  <c r="H1276" i="11"/>
  <c r="H1248" i="11"/>
  <c r="H1223" i="11"/>
  <c r="H1200" i="11"/>
  <c r="H1172" i="11"/>
  <c r="H1149" i="11"/>
  <c r="H1123" i="11"/>
  <c r="H1102" i="11"/>
  <c r="H1078" i="11"/>
  <c r="H1057" i="11"/>
  <c r="H1036" i="11"/>
  <c r="H1011" i="11"/>
  <c r="H990" i="11"/>
  <c r="H962" i="11"/>
  <c r="H944" i="11"/>
  <c r="H917" i="11"/>
  <c r="H896" i="11"/>
  <c r="H878" i="11"/>
  <c r="H850" i="11"/>
  <c r="H829" i="11"/>
  <c r="H804" i="11"/>
  <c r="H783" i="11"/>
  <c r="H759" i="11"/>
  <c r="H738" i="11"/>
  <c r="H717" i="11"/>
  <c r="H692" i="11"/>
  <c r="H671" i="11"/>
  <c r="H647" i="11"/>
  <c r="H626" i="11"/>
  <c r="H601" i="11"/>
  <c r="H580" i="11"/>
  <c r="H559" i="11"/>
  <c r="H534" i="11"/>
  <c r="H513" i="11"/>
  <c r="H492" i="11"/>
  <c r="H473" i="11"/>
  <c r="H459" i="11"/>
  <c r="H442" i="11"/>
  <c r="H428" i="11"/>
  <c r="H411" i="11"/>
  <c r="H394" i="11"/>
  <c r="H380" i="11"/>
  <c r="H363" i="11"/>
  <c r="H349" i="11"/>
  <c r="H331" i="11"/>
  <c r="H314" i="11"/>
  <c r="H300" i="11"/>
  <c r="H283" i="11"/>
  <c r="H269" i="11"/>
  <c r="H253" i="11"/>
  <c r="H240" i="11"/>
  <c r="H224" i="11"/>
  <c r="H211" i="11"/>
  <c r="H198" i="11"/>
  <c r="H182" i="11"/>
  <c r="H169" i="11"/>
  <c r="H155" i="11"/>
  <c r="H143" i="11"/>
  <c r="H131" i="11"/>
  <c r="H119" i="11"/>
  <c r="H105" i="11"/>
  <c r="H93" i="11"/>
  <c r="H81" i="11"/>
  <c r="H69" i="11"/>
  <c r="H55" i="11"/>
  <c r="H43" i="11"/>
  <c r="H31" i="11"/>
  <c r="H19" i="11"/>
  <c r="H5" i="11"/>
  <c r="H2447" i="11"/>
  <c r="H2417" i="11"/>
  <c r="H2379" i="11"/>
  <c r="H2349" i="11"/>
  <c r="H2311" i="11"/>
  <c r="H2281" i="11"/>
  <c r="H2252" i="11"/>
  <c r="H2224" i="11"/>
  <c r="H2196" i="11"/>
  <c r="H2167" i="11"/>
  <c r="H2139" i="11"/>
  <c r="H2108" i="11"/>
  <c r="H2082" i="11"/>
  <c r="H2057" i="11"/>
  <c r="H2026" i="11"/>
  <c r="H2000" i="11"/>
  <c r="H1969" i="11"/>
  <c r="H1941" i="11"/>
  <c r="H1907" i="11"/>
  <c r="H1885" i="11"/>
  <c r="H1859" i="11"/>
  <c r="H1825" i="11"/>
  <c r="H1802" i="11"/>
  <c r="H1768" i="11"/>
  <c r="H1740" i="11"/>
  <c r="H1711" i="11"/>
  <c r="H1684" i="11"/>
  <c r="H1658" i="11"/>
  <c r="H1627" i="11"/>
  <c r="H1601" i="11"/>
  <c r="H1570" i="11"/>
  <c r="H1545" i="11"/>
  <c r="H1514" i="11"/>
  <c r="H1486" i="11"/>
  <c r="H1460" i="11"/>
  <c r="H1429" i="11"/>
  <c r="H1404" i="11"/>
  <c r="H1372" i="11"/>
  <c r="H1348" i="11"/>
  <c r="H1320" i="11"/>
  <c r="H1297" i="11"/>
  <c r="H1272" i="11"/>
  <c r="H1246" i="11"/>
  <c r="H1221" i="11"/>
  <c r="H1190" i="11"/>
  <c r="H1170" i="11"/>
  <c r="H2446" i="11"/>
  <c r="H2416" i="11"/>
  <c r="H2378" i="11"/>
  <c r="H2348" i="11"/>
  <c r="H2308" i="11"/>
  <c r="H2280" i="11"/>
  <c r="H2248" i="11"/>
  <c r="H2222" i="11"/>
  <c r="H2195" i="11"/>
  <c r="H2164" i="11"/>
  <c r="H2138" i="11"/>
  <c r="H2107" i="11"/>
  <c r="H2081" i="11"/>
  <c r="H2047" i="11"/>
  <c r="H2025" i="11"/>
  <c r="H1997" i="11"/>
  <c r="H1962" i="11"/>
  <c r="H1940" i="11"/>
  <c r="H1906" i="11"/>
  <c r="H1880" i="11"/>
  <c r="H1849" i="11"/>
  <c r="H1824" i="11"/>
  <c r="H1796" i="11"/>
  <c r="H1767" i="11"/>
  <c r="H1739" i="11"/>
  <c r="H1708" i="11"/>
  <c r="H1682" i="11"/>
  <c r="H1651" i="11"/>
  <c r="H1626" i="11"/>
  <c r="H1600" i="11"/>
  <c r="H1569" i="11"/>
  <c r="H1541" i="11"/>
  <c r="H1512" i="11"/>
  <c r="H1485" i="11"/>
  <c r="H1456" i="11"/>
  <c r="H1428" i="11"/>
  <c r="H1402" i="11"/>
  <c r="H1371" i="11"/>
  <c r="H1347" i="11"/>
  <c r="H1316" i="11"/>
  <c r="H1296" i="11"/>
  <c r="H1263" i="11"/>
  <c r="H1240" i="11"/>
  <c r="H1220" i="11"/>
  <c r="H1189" i="11"/>
  <c r="H2445" i="11"/>
  <c r="H2405" i="11"/>
  <c r="H2375" i="11"/>
  <c r="H2347" i="11"/>
  <c r="H2307" i="11"/>
  <c r="H2279" i="11"/>
  <c r="H2247" i="11"/>
  <c r="H2219" i="11"/>
  <c r="H2185" i="11"/>
  <c r="H2162" i="11"/>
  <c r="H2137" i="11"/>
  <c r="H2102" i="11"/>
  <c r="H2080" i="11"/>
  <c r="H2046" i="11"/>
  <c r="H2018" i="11"/>
  <c r="H1989" i="11"/>
  <c r="H1961" i="11"/>
  <c r="H1936" i="11"/>
  <c r="H1905" i="11"/>
  <c r="H1879" i="11"/>
  <c r="H1848" i="11"/>
  <c r="H1822" i="11"/>
  <c r="H1791" i="11"/>
  <c r="H1764" i="11"/>
  <c r="H1738" i="11"/>
  <c r="H1707" i="11"/>
  <c r="H1681" i="11"/>
  <c r="H1650" i="11"/>
  <c r="H1625" i="11"/>
  <c r="H1594" i="11"/>
  <c r="H1568" i="11"/>
  <c r="H1540" i="11"/>
  <c r="H1511" i="11"/>
  <c r="H1484" i="11"/>
  <c r="H1449" i="11"/>
  <c r="H1427" i="11"/>
  <c r="H1392" i="11"/>
  <c r="H1367" i="11"/>
  <c r="H1346" i="11"/>
  <c r="H1313" i="11"/>
  <c r="H1290" i="11"/>
  <c r="H1262" i="11"/>
  <c r="H1239" i="11"/>
  <c r="H1211" i="11"/>
  <c r="H1188" i="11"/>
  <c r="H2462" i="11"/>
  <c r="H2374" i="11"/>
  <c r="H2302" i="11"/>
  <c r="H2218" i="11"/>
  <c r="H2156" i="11"/>
  <c r="H2074" i="11"/>
  <c r="H2011" i="11"/>
  <c r="H1929" i="11"/>
  <c r="H1867" i="11"/>
  <c r="H1790" i="11"/>
  <c r="H1726" i="11"/>
  <c r="H1649" i="11"/>
  <c r="H1585" i="11"/>
  <c r="H1505" i="11"/>
  <c r="H1446" i="11"/>
  <c r="H1364" i="11"/>
  <c r="H1310" i="11"/>
  <c r="H1238" i="11"/>
  <c r="H1183" i="11"/>
  <c r="H1137" i="11"/>
  <c r="H1106" i="11"/>
  <c r="H1071" i="11"/>
  <c r="H1040" i="11"/>
  <c r="H1006" i="11"/>
  <c r="H978" i="11"/>
  <c r="H940" i="11"/>
  <c r="H912" i="11"/>
  <c r="H881" i="11"/>
  <c r="H847" i="11"/>
  <c r="H816" i="11"/>
  <c r="H781" i="11"/>
  <c r="H750" i="11"/>
  <c r="H712" i="11"/>
  <c r="H684" i="11"/>
  <c r="H657" i="11"/>
  <c r="H616" i="11"/>
  <c r="H591" i="11"/>
  <c r="H550" i="11"/>
  <c r="H522" i="11"/>
  <c r="H490" i="11"/>
  <c r="H469" i="11"/>
  <c r="H449" i="11"/>
  <c r="H422" i="11"/>
  <c r="H401" i="11"/>
  <c r="H378" i="11"/>
  <c r="H354" i="11"/>
  <c r="H330" i="11"/>
  <c r="H310" i="11"/>
  <c r="H289" i="11"/>
  <c r="H263" i="11"/>
  <c r="H244" i="11"/>
  <c r="H222" i="11"/>
  <c r="H203" i="11"/>
  <c r="H181" i="11"/>
  <c r="H163" i="11"/>
  <c r="H148" i="11"/>
  <c r="H128" i="11"/>
  <c r="H111" i="11"/>
  <c r="H91" i="11"/>
  <c r="H74" i="11"/>
  <c r="H54" i="11"/>
  <c r="H39" i="11"/>
  <c r="H22" i="11"/>
  <c r="H2448" i="11"/>
  <c r="H2371" i="11"/>
  <c r="H2282" i="11"/>
  <c r="H2214" i="11"/>
  <c r="H2140" i="11"/>
  <c r="H2069" i="11"/>
  <c r="H2001" i="11"/>
  <c r="H1928" i="11"/>
  <c r="H1860" i="11"/>
  <c r="H1789" i="11"/>
  <c r="H1719" i="11"/>
  <c r="H1645" i="11"/>
  <c r="H1571" i="11"/>
  <c r="H1504" i="11"/>
  <c r="H1430" i="11"/>
  <c r="H1362" i="11"/>
  <c r="H1298" i="11"/>
  <c r="H1237" i="11"/>
  <c r="H1171" i="11"/>
  <c r="H1136" i="11"/>
  <c r="H1101" i="11"/>
  <c r="H1070" i="11"/>
  <c r="H1039" i="11"/>
  <c r="H1004" i="11"/>
  <c r="H973" i="11"/>
  <c r="H939" i="11"/>
  <c r="H911" i="11"/>
  <c r="H870" i="11"/>
  <c r="H846" i="11"/>
  <c r="H814" i="11"/>
  <c r="H773" i="11"/>
  <c r="H749" i="11"/>
  <c r="H711" i="11"/>
  <c r="H680" i="11"/>
  <c r="H646" i="11"/>
  <c r="H614" i="11"/>
  <c r="H583" i="11"/>
  <c r="H549" i="11"/>
  <c r="H518" i="11"/>
  <c r="H489" i="11"/>
  <c r="H468" i="11"/>
  <c r="H441" i="11"/>
  <c r="H421" i="11"/>
  <c r="H400" i="11"/>
  <c r="H373" i="11"/>
  <c r="H353" i="11"/>
  <c r="H329" i="11"/>
  <c r="H309" i="11"/>
  <c r="H282" i="11"/>
  <c r="H262" i="11"/>
  <c r="H243" i="11"/>
  <c r="H221" i="11"/>
  <c r="H202" i="11"/>
  <c r="H180" i="11"/>
  <c r="H162" i="11"/>
  <c r="H142" i="11"/>
  <c r="H125" i="11"/>
  <c r="H110" i="11"/>
  <c r="H90" i="11"/>
  <c r="H73" i="11"/>
  <c r="H53" i="11"/>
  <c r="H38" i="11"/>
  <c r="H18" i="11"/>
  <c r="H2" i="11"/>
  <c r="H2440" i="11"/>
  <c r="H2367" i="11"/>
  <c r="H2278" i="11"/>
  <c r="H2207" i="11"/>
  <c r="H2127" i="11"/>
  <c r="H2068" i="11"/>
  <c r="H1986" i="11"/>
  <c r="H1927" i="11"/>
  <c r="H1847" i="11"/>
  <c r="H1782" i="11"/>
  <c r="H1706" i="11"/>
  <c r="H1641" i="11"/>
  <c r="H1567" i="11"/>
  <c r="H1502" i="11"/>
  <c r="H1422" i="11"/>
  <c r="H1361" i="11"/>
  <c r="H1289" i="11"/>
  <c r="H1228" i="11"/>
  <c r="H1166" i="11"/>
  <c r="H1134" i="11"/>
  <c r="H1100" i="11"/>
  <c r="H1069" i="11"/>
  <c r="H1028" i="11"/>
  <c r="H1003" i="11"/>
  <c r="H972" i="11"/>
  <c r="H934" i="11"/>
  <c r="H907" i="11"/>
  <c r="H869" i="11"/>
  <c r="H838" i="11"/>
  <c r="H803" i="11"/>
  <c r="H772" i="11"/>
  <c r="H744" i="11"/>
  <c r="H707" i="11"/>
  <c r="H679" i="11"/>
  <c r="H644" i="11"/>
  <c r="H613" i="11"/>
  <c r="H579" i="11"/>
  <c r="H548" i="11"/>
  <c r="H517" i="11"/>
  <c r="H484" i="11"/>
  <c r="H464" i="11"/>
  <c r="H440" i="11"/>
  <c r="H420" i="11"/>
  <c r="H393" i="11"/>
  <c r="H372" i="11"/>
  <c r="H352" i="11"/>
  <c r="H328" i="11"/>
  <c r="H308" i="11"/>
  <c r="H281" i="11"/>
  <c r="H261" i="11"/>
  <c r="H239" i="11"/>
  <c r="H220" i="11"/>
  <c r="H201" i="11"/>
  <c r="H179" i="11"/>
  <c r="H161" i="11"/>
  <c r="H141" i="11"/>
  <c r="H124" i="11"/>
  <c r="H104" i="11"/>
  <c r="H89" i="11"/>
  <c r="H72" i="11"/>
  <c r="H52" i="11"/>
  <c r="H35" i="11"/>
  <c r="H15" i="11"/>
  <c r="H2436" i="11"/>
  <c r="H2350" i="11"/>
  <c r="H2267" i="11"/>
  <c r="H2197" i="11"/>
  <c r="H2126" i="11"/>
  <c r="H2058" i="11"/>
  <c r="H1985" i="11"/>
  <c r="H1917" i="11"/>
  <c r="H1846" i="11"/>
  <c r="H1769" i="11"/>
  <c r="H1705" i="11"/>
  <c r="H1628" i="11"/>
  <c r="H1560" i="11"/>
  <c r="H1489" i="11"/>
  <c r="H1419" i="11"/>
  <c r="H1349" i="11"/>
  <c r="H1283" i="11"/>
  <c r="H1222" i="11"/>
  <c r="H1163" i="11"/>
  <c r="H1133" i="11"/>
  <c r="H1092" i="11"/>
  <c r="H1068" i="11"/>
  <c r="H1027" i="11"/>
  <c r="H996" i="11"/>
  <c r="H961" i="11"/>
  <c r="H933" i="11"/>
  <c r="H902" i="11"/>
  <c r="H868" i="11"/>
  <c r="H837" i="11"/>
  <c r="H802" i="11"/>
  <c r="H771" i="11"/>
  <c r="H737" i="11"/>
  <c r="H706" i="11"/>
  <c r="H678" i="11"/>
  <c r="H640" i="11"/>
  <c r="H612" i="11"/>
  <c r="H578" i="11"/>
  <c r="H547" i="11"/>
  <c r="H512" i="11"/>
  <c r="H483" i="11"/>
  <c r="H463" i="11"/>
  <c r="H439" i="11"/>
  <c r="H418" i="11"/>
  <c r="H392" i="11"/>
  <c r="H371" i="11"/>
  <c r="H344" i="11"/>
  <c r="H324" i="11"/>
  <c r="H304" i="11"/>
  <c r="H280" i="11"/>
  <c r="H260" i="11"/>
  <c r="H238" i="11"/>
  <c r="H219" i="11"/>
  <c r="H194" i="11"/>
  <c r="H178" i="11"/>
  <c r="H160" i="11"/>
  <c r="H140" i="11"/>
  <c r="H123" i="11"/>
  <c r="H103" i="11"/>
  <c r="H88" i="11"/>
  <c r="H68" i="11"/>
  <c r="H51" i="11"/>
  <c r="H34" i="11"/>
  <c r="H14" i="11"/>
  <c r="H2429" i="11"/>
  <c r="H2336" i="11"/>
  <c r="H2264" i="11"/>
  <c r="H2184" i="11"/>
  <c r="H2125" i="11"/>
  <c r="H2045" i="11"/>
  <c r="H1984" i="11"/>
  <c r="H1904" i="11"/>
  <c r="H1845" i="11"/>
  <c r="H1762" i="11"/>
  <c r="H1700" i="11"/>
  <c r="H1624" i="11"/>
  <c r="H1559" i="11"/>
  <c r="H1482" i="11"/>
  <c r="H1415" i="11"/>
  <c r="H1337" i="11"/>
  <c r="H1282" i="11"/>
  <c r="H1210" i="11"/>
  <c r="H1159" i="11"/>
  <c r="H1122" i="11"/>
  <c r="H1091" i="11"/>
  <c r="H1060" i="11"/>
  <c r="H1026" i="11"/>
  <c r="H994" i="11"/>
  <c r="H960" i="11"/>
  <c r="H929" i="11"/>
  <c r="H894" i="11"/>
  <c r="H867" i="11"/>
  <c r="H836" i="11"/>
  <c r="H801" i="11"/>
  <c r="H770" i="11"/>
  <c r="H736" i="11"/>
  <c r="H704" i="11"/>
  <c r="H670" i="11"/>
  <c r="H639" i="11"/>
  <c r="H611" i="11"/>
  <c r="H573" i="11"/>
  <c r="H546" i="11"/>
  <c r="H504" i="11"/>
  <c r="H482" i="11"/>
  <c r="H458" i="11"/>
  <c r="H438" i="11"/>
  <c r="H414" i="11"/>
  <c r="H391" i="11"/>
  <c r="H370" i="11"/>
  <c r="H343" i="11"/>
  <c r="H323" i="11"/>
  <c r="H299" i="11"/>
  <c r="H279" i="11"/>
  <c r="H259" i="11"/>
  <c r="H234" i="11"/>
  <c r="H218" i="11"/>
  <c r="H193" i="11"/>
  <c r="H174" i="11"/>
  <c r="H154" i="11"/>
  <c r="H139" i="11"/>
  <c r="H122" i="11"/>
  <c r="H102" i="11"/>
  <c r="H85" i="11"/>
  <c r="H65" i="11"/>
  <c r="H50" i="11"/>
  <c r="H30" i="11"/>
  <c r="H13" i="11"/>
  <c r="H2418" i="11"/>
  <c r="H2335" i="11"/>
  <c r="H2256" i="11"/>
  <c r="H2182" i="11"/>
  <c r="H2115" i="11"/>
  <c r="H2041" i="11"/>
  <c r="H1970" i="11"/>
  <c r="H1902" i="11"/>
  <c r="H1829" i="11"/>
  <c r="H1761" i="11"/>
  <c r="H1685" i="11"/>
  <c r="H1622" i="11"/>
  <c r="H1546" i="11"/>
  <c r="H1472" i="11"/>
  <c r="H1405" i="11"/>
  <c r="H1336" i="11"/>
  <c r="H1273" i="11"/>
  <c r="H1209" i="11"/>
  <c r="H1158" i="11"/>
  <c r="H1118" i="11"/>
  <c r="H1090" i="11"/>
  <c r="H1056" i="11"/>
  <c r="H1024" i="11"/>
  <c r="H993" i="11"/>
  <c r="H959" i="11"/>
  <c r="H928" i="11"/>
  <c r="H893" i="11"/>
  <c r="H862" i="11"/>
  <c r="H828" i="11"/>
  <c r="H800" i="11"/>
  <c r="H769" i="11"/>
  <c r="H734" i="11"/>
  <c r="H703" i="11"/>
  <c r="H662" i="11"/>
  <c r="H638" i="11"/>
  <c r="H600" i="11"/>
  <c r="H569" i="11"/>
  <c r="H544" i="11"/>
  <c r="H503" i="11"/>
  <c r="H481" i="11"/>
  <c r="H454" i="11"/>
  <c r="H434" i="11"/>
  <c r="H410" i="11"/>
  <c r="H389" i="11"/>
  <c r="H369" i="11"/>
  <c r="H342" i="11"/>
  <c r="H322" i="11"/>
  <c r="H298" i="11"/>
  <c r="H278" i="11"/>
  <c r="H252" i="11"/>
  <c r="H233" i="11"/>
  <c r="H214" i="11"/>
  <c r="H192" i="11"/>
  <c r="H173" i="11"/>
  <c r="H153" i="11"/>
  <c r="H138" i="11"/>
  <c r="H118" i="11"/>
  <c r="H101" i="11"/>
  <c r="H84" i="11"/>
  <c r="H64" i="11"/>
  <c r="H49" i="11"/>
  <c r="H29" i="11"/>
  <c r="H12" i="11"/>
  <c r="H2404" i="11"/>
  <c r="H2334" i="11"/>
  <c r="H2240" i="11"/>
  <c r="H2181" i="11"/>
  <c r="H2101" i="11"/>
  <c r="H2040" i="11"/>
  <c r="H1960" i="11"/>
  <c r="H1901" i="11"/>
  <c r="H1819" i="11"/>
  <c r="H1760" i="11"/>
  <c r="H1680" i="11"/>
  <c r="H1612" i="11"/>
  <c r="H1530" i="11"/>
  <c r="H1471" i="11"/>
  <c r="H1391" i="11"/>
  <c r="H1333" i="11"/>
  <c r="H1261" i="11"/>
  <c r="H1208" i="11"/>
  <c r="H1152" i="11"/>
  <c r="H1117" i="11"/>
  <c r="H1089" i="11"/>
  <c r="H1051" i="11"/>
  <c r="H1023" i="11"/>
  <c r="H989" i="11"/>
  <c r="H958" i="11"/>
  <c r="H927" i="11"/>
  <c r="H892" i="11"/>
  <c r="H861" i="11"/>
  <c r="H823" i="11"/>
  <c r="H796" i="11"/>
  <c r="H758" i="11"/>
  <c r="H727" i="11"/>
  <c r="H702" i="11"/>
  <c r="H661" i="11"/>
  <c r="H633" i="11"/>
  <c r="H596" i="11"/>
  <c r="H568" i="11"/>
  <c r="H533" i="11"/>
  <c r="H502" i="11"/>
  <c r="H480" i="11"/>
  <c r="H453" i="11"/>
  <c r="H433" i="11"/>
  <c r="H409" i="11"/>
  <c r="H388" i="11"/>
  <c r="H362" i="11"/>
  <c r="H341" i="11"/>
  <c r="H321" i="11"/>
  <c r="H294" i="11"/>
  <c r="H273" i="11"/>
  <c r="H251" i="11"/>
  <c r="H232" i="11"/>
  <c r="H210" i="11"/>
  <c r="H191" i="11"/>
  <c r="H172" i="11"/>
  <c r="H152" i="11"/>
  <c r="H135" i="11"/>
  <c r="H115" i="11"/>
  <c r="H100" i="11"/>
  <c r="H80" i="11"/>
  <c r="H63" i="11"/>
  <c r="H48" i="11"/>
  <c r="H28" i="11"/>
  <c r="H11" i="11"/>
  <c r="H2400" i="11"/>
  <c r="H2306" i="11"/>
  <c r="H2238" i="11"/>
  <c r="H2158" i="11"/>
  <c r="H2097" i="11"/>
  <c r="H2017" i="11"/>
  <c r="H1958" i="11"/>
  <c r="H2380" i="11"/>
  <c r="H2305" i="11"/>
  <c r="H2225" i="11"/>
  <c r="H2157" i="11"/>
  <c r="H2084" i="11"/>
  <c r="H2016" i="11"/>
  <c r="H1945" i="11"/>
  <c r="H2402" i="11"/>
  <c r="H1818" i="11"/>
  <c r="H1589" i="11"/>
  <c r="H1374" i="11"/>
  <c r="H1148" i="11"/>
  <c r="H1046" i="11"/>
  <c r="H948" i="11"/>
  <c r="H822" i="11"/>
  <c r="H724" i="11"/>
  <c r="H623" i="11"/>
  <c r="H501" i="11"/>
  <c r="H424" i="11"/>
  <c r="H358" i="11"/>
  <c r="H272" i="11"/>
  <c r="H208" i="11"/>
  <c r="H149" i="11"/>
  <c r="H79" i="11"/>
  <c r="H24" i="11"/>
  <c r="H2322" i="11"/>
  <c r="H1808" i="11"/>
  <c r="H1586" i="11"/>
  <c r="H1326" i="11"/>
  <c r="H1139" i="11"/>
  <c r="H1044" i="11"/>
  <c r="H916" i="11"/>
  <c r="H818" i="11"/>
  <c r="H723" i="11"/>
  <c r="H594" i="11"/>
  <c r="H500" i="11"/>
  <c r="H423" i="11"/>
  <c r="H340" i="11"/>
  <c r="H268" i="11"/>
  <c r="H204" i="11"/>
  <c r="H134" i="11"/>
  <c r="H78" i="11"/>
  <c r="H23" i="11"/>
  <c r="H2239" i="11"/>
  <c r="H1804" i="11"/>
  <c r="H1529" i="11"/>
  <c r="H1312" i="11"/>
  <c r="H1138" i="11"/>
  <c r="H1022" i="11"/>
  <c r="H914" i="11"/>
  <c r="H817" i="11"/>
  <c r="H691" i="11"/>
  <c r="H593" i="11"/>
  <c r="H496" i="11"/>
  <c r="H408" i="11"/>
  <c r="H339" i="11"/>
  <c r="H264" i="11"/>
  <c r="H190" i="11"/>
  <c r="H130" i="11"/>
  <c r="H75" i="11"/>
  <c r="H10" i="11"/>
  <c r="H2168" i="11"/>
  <c r="H1747" i="11"/>
  <c r="H1528" i="11"/>
  <c r="H1311" i="11"/>
  <c r="H1116" i="11"/>
  <c r="H1018" i="11"/>
  <c r="H913" i="11"/>
  <c r="H791" i="11"/>
  <c r="H690" i="11"/>
  <c r="H592" i="11"/>
  <c r="H472" i="11"/>
  <c r="H404" i="11"/>
  <c r="H338" i="11"/>
  <c r="H250" i="11"/>
  <c r="H189" i="11"/>
  <c r="H129" i="11"/>
  <c r="H62" i="11"/>
  <c r="H4" i="11"/>
  <c r="H2100" i="11"/>
  <c r="H1734" i="11"/>
  <c r="H1518" i="11"/>
  <c r="H1260" i="11"/>
  <c r="H1114" i="11"/>
  <c r="H1007" i="11"/>
  <c r="H884" i="11"/>
  <c r="H790" i="11"/>
  <c r="H689" i="11"/>
  <c r="H567" i="11"/>
  <c r="H471" i="11"/>
  <c r="H402" i="11"/>
  <c r="H313" i="11"/>
  <c r="H249" i="11"/>
  <c r="H188" i="11"/>
  <c r="H114" i="11"/>
  <c r="H61" i="11"/>
  <c r="H3" i="11"/>
  <c r="H2027" i="11"/>
  <c r="H1727" i="11"/>
  <c r="H1461" i="11"/>
  <c r="H1259" i="11"/>
  <c r="H1107" i="11"/>
  <c r="H981" i="11"/>
  <c r="H883" i="11"/>
  <c r="H782" i="11"/>
  <c r="H660" i="11"/>
  <c r="H562" i="11"/>
  <c r="H470" i="11"/>
  <c r="H384" i="11"/>
  <c r="H312" i="11"/>
  <c r="H248" i="11"/>
  <c r="H168" i="11"/>
  <c r="H113" i="11"/>
  <c r="H60" i="11"/>
  <c r="H1959" i="11"/>
  <c r="H1670" i="11"/>
  <c r="H1448" i="11"/>
  <c r="H1247" i="11"/>
  <c r="H1084" i="11"/>
  <c r="H980" i="11"/>
  <c r="H882" i="11"/>
  <c r="H757" i="11"/>
  <c r="H659" i="11"/>
  <c r="H551" i="11"/>
  <c r="H452" i="11"/>
  <c r="H383" i="11"/>
  <c r="H311" i="11"/>
  <c r="H231" i="11"/>
  <c r="H165" i="11"/>
  <c r="H112" i="11"/>
  <c r="H42" i="11"/>
  <c r="H1196" i="11"/>
  <c r="H849" i="11"/>
  <c r="H527" i="11"/>
  <c r="H230" i="11"/>
  <c r="H40" i="11"/>
  <c r="H1886" i="11"/>
  <c r="H1878" i="11"/>
  <c r="H1186" i="11"/>
  <c r="H756" i="11"/>
  <c r="H450" i="11"/>
  <c r="H209" i="11"/>
  <c r="H1871" i="11"/>
  <c r="H1073" i="11"/>
  <c r="H751" i="11"/>
  <c r="H431" i="11"/>
  <c r="H164" i="11"/>
  <c r="H1669" i="11"/>
  <c r="H1072" i="11"/>
  <c r="H726" i="11"/>
  <c r="H379" i="11"/>
  <c r="H151" i="11"/>
  <c r="H1662" i="11"/>
  <c r="H1050" i="11"/>
  <c r="H658" i="11"/>
  <c r="H360" i="11"/>
  <c r="H150" i="11"/>
  <c r="H1602" i="11"/>
  <c r="H979" i="11"/>
  <c r="H629" i="11"/>
  <c r="H359" i="11"/>
  <c r="H99" i="11"/>
  <c r="H1389" i="11"/>
  <c r="H860" i="11"/>
  <c r="H528" i="11"/>
  <c r="H291" i="11"/>
  <c r="H41" i="11"/>
  <c r="H957" i="11"/>
  <c r="H92" i="11"/>
  <c r="H949" i="11"/>
  <c r="H25" i="11"/>
  <c r="H848" i="11"/>
  <c r="H624" i="11"/>
  <c r="H529" i="11"/>
  <c r="H451" i="11"/>
  <c r="H293" i="11"/>
  <c r="H1390" i="11"/>
  <c r="H223" i="11"/>
  <c r="H1447" i="11"/>
  <c r="H1187" i="11"/>
  <c r="H292" i="11"/>
  <c r="H98" i="11"/>
  <c r="I2455" i="11"/>
  <c r="I2445" i="11"/>
  <c r="I2435" i="11"/>
  <c r="I2425" i="11"/>
  <c r="I2415" i="11"/>
  <c r="I2405" i="11"/>
  <c r="I2395" i="11"/>
  <c r="I2385" i="11"/>
  <c r="I2375" i="11"/>
  <c r="I2365" i="11"/>
  <c r="I2355" i="11"/>
  <c r="I2345" i="11"/>
  <c r="I2335" i="11"/>
  <c r="I2325" i="11"/>
  <c r="I2315" i="11"/>
  <c r="I2305" i="11"/>
  <c r="I2295" i="11"/>
  <c r="I2285" i="11"/>
  <c r="I2275" i="11"/>
  <c r="I2265" i="11"/>
  <c r="I2255" i="11"/>
  <c r="I2245" i="11"/>
  <c r="I2235" i="11"/>
  <c r="I2225" i="11"/>
  <c r="I2215" i="11"/>
  <c r="I2205" i="11"/>
  <c r="I2195" i="11"/>
  <c r="I2185" i="11"/>
  <c r="I2175" i="11"/>
  <c r="I2165" i="11"/>
  <c r="I2155" i="11"/>
  <c r="I2145" i="11"/>
  <c r="I2135" i="11"/>
  <c r="I2125" i="11"/>
  <c r="I2115" i="11"/>
  <c r="I2105" i="11"/>
  <c r="I2095" i="11"/>
  <c r="I2085" i="11"/>
  <c r="I2075" i="11"/>
  <c r="I2065" i="11"/>
  <c r="I2055" i="11"/>
  <c r="I2045" i="11"/>
  <c r="I2035" i="11"/>
  <c r="I2025" i="11"/>
  <c r="I2015" i="11"/>
  <c r="I2005" i="11"/>
  <c r="I1995" i="11"/>
  <c r="I1985" i="11"/>
  <c r="I1975" i="11"/>
  <c r="I1965" i="11"/>
  <c r="I1955" i="11"/>
  <c r="I1945" i="11"/>
  <c r="I1935" i="11"/>
  <c r="I1925" i="11"/>
  <c r="I1915" i="11"/>
  <c r="I1905" i="11"/>
  <c r="I1895" i="11"/>
  <c r="I1885" i="11"/>
  <c r="I1875" i="11"/>
  <c r="I1865" i="11"/>
  <c r="I1855" i="11"/>
  <c r="I1845" i="11"/>
  <c r="I1835" i="11"/>
  <c r="I1825" i="11"/>
  <c r="I1815" i="11"/>
  <c r="I1805" i="11"/>
  <c r="I1795" i="11"/>
  <c r="I1785" i="11"/>
  <c r="I1775" i="11"/>
  <c r="I1765" i="11"/>
  <c r="I1755" i="11"/>
  <c r="I1745" i="11"/>
  <c r="I1735" i="11"/>
  <c r="I1725" i="11"/>
  <c r="I1715" i="11"/>
  <c r="I1705" i="11"/>
  <c r="I1695" i="11"/>
  <c r="I1685" i="11"/>
  <c r="I1675" i="11"/>
  <c r="I1665" i="11"/>
  <c r="I1655" i="11"/>
  <c r="I1645" i="11"/>
  <c r="I1635" i="11"/>
  <c r="I1625" i="11"/>
  <c r="I1615" i="11"/>
  <c r="I1605" i="11"/>
  <c r="I1595" i="11"/>
  <c r="I1585" i="11"/>
  <c r="I1575" i="11"/>
  <c r="I1565" i="11"/>
  <c r="I1555" i="11"/>
  <c r="I1545" i="11"/>
  <c r="I1535" i="11"/>
  <c r="I1525" i="11"/>
  <c r="I1515" i="11"/>
  <c r="I1505" i="11"/>
  <c r="I1495" i="11"/>
  <c r="I1485" i="11"/>
  <c r="I1475" i="11"/>
  <c r="I1465" i="11"/>
  <c r="I1455" i="11"/>
  <c r="I1445" i="11"/>
  <c r="I1435" i="11"/>
  <c r="I1425" i="11"/>
  <c r="I1415" i="11"/>
  <c r="I1405" i="11"/>
  <c r="I1395" i="11"/>
  <c r="I1385" i="11"/>
  <c r="I1375" i="11"/>
  <c r="I1365" i="11"/>
  <c r="I1355" i="11"/>
  <c r="I1345" i="11"/>
  <c r="I1335" i="11"/>
  <c r="I1325" i="11"/>
  <c r="I1315" i="11"/>
  <c r="I1305" i="11"/>
  <c r="I1295" i="11"/>
  <c r="I1285" i="11"/>
  <c r="I1275" i="11"/>
  <c r="I1265" i="11"/>
  <c r="I1255" i="11"/>
  <c r="I1245" i="11"/>
  <c r="I1235" i="11"/>
  <c r="I1225" i="11"/>
  <c r="I1215" i="11"/>
  <c r="I1205" i="11"/>
  <c r="I1195" i="11"/>
  <c r="I1185" i="11"/>
  <c r="I1175" i="11"/>
  <c r="I1165" i="11"/>
  <c r="I2461" i="11"/>
  <c r="I2450" i="11"/>
  <c r="I2439" i="11"/>
  <c r="I2428" i="11"/>
  <c r="I2417" i="11"/>
  <c r="I2406" i="11"/>
  <c r="I2394" i="11"/>
  <c r="I2383" i="11"/>
  <c r="I2372" i="11"/>
  <c r="I2361" i="11"/>
  <c r="I2350" i="11"/>
  <c r="I2339" i="11"/>
  <c r="I2328" i="11"/>
  <c r="I2317" i="11"/>
  <c r="I2306" i="11"/>
  <c r="I2294" i="11"/>
  <c r="I2283" i="11"/>
  <c r="I2272" i="11"/>
  <c r="I2261" i="11"/>
  <c r="I2250" i="11"/>
  <c r="I2239" i="11"/>
  <c r="I2228" i="11"/>
  <c r="I2217" i="11"/>
  <c r="I2206" i="11"/>
  <c r="I2194" i="11"/>
  <c r="I2183" i="11"/>
  <c r="I2172" i="11"/>
  <c r="I2161" i="11"/>
  <c r="I2150" i="11"/>
  <c r="I2139" i="11"/>
  <c r="I2128" i="11"/>
  <c r="I2117" i="11"/>
  <c r="I2106" i="11"/>
  <c r="I2094" i="11"/>
  <c r="I2083" i="11"/>
  <c r="I2072" i="11"/>
  <c r="I2061" i="11"/>
  <c r="I2050" i="11"/>
  <c r="I2039" i="11"/>
  <c r="I2028" i="11"/>
  <c r="I2017" i="11"/>
  <c r="I2006" i="11"/>
  <c r="I1994" i="11"/>
  <c r="I1983" i="11"/>
  <c r="I1972" i="11"/>
  <c r="I1961" i="11"/>
  <c r="I1950" i="11"/>
  <c r="I1939" i="11"/>
  <c r="I1928" i="11"/>
  <c r="I1917" i="11"/>
  <c r="I1906" i="11"/>
  <c r="I1894" i="11"/>
  <c r="I1883" i="11"/>
  <c r="I1872" i="11"/>
  <c r="I1861" i="11"/>
  <c r="I1850" i="11"/>
  <c r="I1839" i="11"/>
  <c r="I1828" i="11"/>
  <c r="I1817" i="11"/>
  <c r="I1806" i="11"/>
  <c r="I1794" i="11"/>
  <c r="I1783" i="11"/>
  <c r="I1772" i="11"/>
  <c r="I1761" i="11"/>
  <c r="I1750" i="11"/>
  <c r="I1739" i="11"/>
  <c r="I1728" i="11"/>
  <c r="I1717" i="11"/>
  <c r="I1706" i="11"/>
  <c r="I1694" i="11"/>
  <c r="I1683" i="11"/>
  <c r="I1672" i="11"/>
  <c r="I1661" i="11"/>
  <c r="I1650" i="11"/>
  <c r="I1639" i="11"/>
  <c r="I1628" i="11"/>
  <c r="I1617" i="11"/>
  <c r="I1606" i="11"/>
  <c r="I1594" i="11"/>
  <c r="I1583" i="11"/>
  <c r="I1572" i="11"/>
  <c r="I1561" i="11"/>
  <c r="I1550" i="11"/>
  <c r="I1539" i="11"/>
  <c r="I1528" i="11"/>
  <c r="I1517" i="11"/>
  <c r="I1506" i="11"/>
  <c r="I1494" i="11"/>
  <c r="I1483" i="11"/>
  <c r="I1472" i="11"/>
  <c r="I1461" i="11"/>
  <c r="I1450" i="11"/>
  <c r="I1439" i="11"/>
  <c r="I1428" i="11"/>
  <c r="I1417" i="11"/>
  <c r="I1406" i="11"/>
  <c r="I1394" i="11"/>
  <c r="I1383" i="11"/>
  <c r="I1372" i="11"/>
  <c r="I1361" i="11"/>
  <c r="I1350" i="11"/>
  <c r="I1339" i="11"/>
  <c r="I1328" i="11"/>
  <c r="I1317" i="11"/>
  <c r="I1306" i="11"/>
  <c r="I1294" i="11"/>
  <c r="I1283" i="11"/>
  <c r="I1272" i="11"/>
  <c r="I1261" i="11"/>
  <c r="I1250" i="11"/>
  <c r="I1239" i="11"/>
  <c r="I1228" i="11"/>
  <c r="I1217" i="11"/>
  <c r="I1206" i="11"/>
  <c r="I1194" i="11"/>
  <c r="I1183" i="11"/>
  <c r="I1172" i="11"/>
  <c r="I1161" i="11"/>
  <c r="I1151" i="11"/>
  <c r="I1141" i="11"/>
  <c r="I1131" i="11"/>
  <c r="I1121" i="11"/>
  <c r="I1111" i="11"/>
  <c r="I1101" i="11"/>
  <c r="I1091" i="11"/>
  <c r="I1081" i="11"/>
  <c r="I1071" i="11"/>
  <c r="I1061" i="11"/>
  <c r="I1051" i="11"/>
  <c r="I1041" i="11"/>
  <c r="I1031" i="11"/>
  <c r="I1021" i="11"/>
  <c r="I1011" i="11"/>
  <c r="I1001" i="11"/>
  <c r="I991" i="11"/>
  <c r="I981" i="11"/>
  <c r="I971" i="11"/>
  <c r="I961" i="11"/>
  <c r="I951" i="11"/>
  <c r="I941" i="11"/>
  <c r="I931" i="11"/>
  <c r="I921" i="11"/>
  <c r="I911" i="11"/>
  <c r="I901" i="11"/>
  <c r="I891" i="11"/>
  <c r="I881" i="11"/>
  <c r="I871" i="11"/>
  <c r="I861" i="11"/>
  <c r="I851" i="11"/>
  <c r="I841" i="11"/>
  <c r="I831" i="11"/>
  <c r="I821" i="11"/>
  <c r="I811" i="11"/>
  <c r="I801" i="11"/>
  <c r="I791" i="11"/>
  <c r="I781" i="11"/>
  <c r="I771" i="11"/>
  <c r="I761" i="11"/>
  <c r="I751" i="11"/>
  <c r="I741" i="11"/>
  <c r="I731" i="11"/>
  <c r="I721" i="11"/>
  <c r="I711" i="11"/>
  <c r="I701" i="11"/>
  <c r="I691" i="11"/>
  <c r="I681" i="11"/>
  <c r="I671" i="11"/>
  <c r="I661" i="11"/>
  <c r="I651" i="11"/>
  <c r="I641" i="11"/>
  <c r="I631" i="11"/>
  <c r="I621" i="11"/>
  <c r="I611" i="11"/>
  <c r="I601" i="11"/>
  <c r="I591" i="11"/>
  <c r="I581" i="11"/>
  <c r="I571" i="11"/>
  <c r="I561" i="11"/>
  <c r="I551" i="11"/>
  <c r="I541" i="11"/>
  <c r="I531" i="11"/>
  <c r="I521" i="11"/>
  <c r="I511" i="11"/>
  <c r="I501" i="11"/>
  <c r="I491" i="11"/>
  <c r="I481" i="11"/>
  <c r="I471" i="11"/>
  <c r="I461" i="11"/>
  <c r="I451" i="11"/>
  <c r="I441" i="11"/>
  <c r="I431" i="11"/>
  <c r="I421" i="11"/>
  <c r="I411" i="11"/>
  <c r="I401" i="11"/>
  <c r="I391" i="11"/>
  <c r="I381" i="11"/>
  <c r="I371" i="11"/>
  <c r="I361" i="11"/>
  <c r="I351" i="11"/>
  <c r="I341" i="11"/>
  <c r="I331" i="11"/>
  <c r="I321" i="11"/>
  <c r="I311" i="11"/>
  <c r="I301" i="11"/>
  <c r="I291" i="11"/>
  <c r="I281" i="11"/>
  <c r="I271" i="11"/>
  <c r="I261" i="11"/>
  <c r="I251" i="11"/>
  <c r="I241" i="11"/>
  <c r="I231" i="11"/>
  <c r="I221" i="11"/>
  <c r="I211" i="11"/>
  <c r="I201" i="11"/>
  <c r="I191" i="11"/>
  <c r="I181" i="11"/>
  <c r="I171" i="11"/>
  <c r="I161" i="11"/>
  <c r="I151" i="11"/>
  <c r="I141" i="11"/>
  <c r="I131" i="11"/>
  <c r="I121" i="11"/>
  <c r="I111" i="11"/>
  <c r="I101" i="11"/>
  <c r="I91" i="11"/>
  <c r="I81" i="11"/>
  <c r="I71" i="11"/>
  <c r="I61" i="11"/>
  <c r="I51" i="11"/>
  <c r="I41" i="11"/>
  <c r="I31" i="11"/>
  <c r="I21" i="11"/>
  <c r="I11" i="11"/>
  <c r="I2" i="11"/>
  <c r="I2460" i="11"/>
  <c r="I2448" i="11"/>
  <c r="I2436" i="11"/>
  <c r="I2423" i="11"/>
  <c r="I2411" i="11"/>
  <c r="I2399" i="11"/>
  <c r="I2387" i="11"/>
  <c r="I2374" i="11"/>
  <c r="I2362" i="11"/>
  <c r="I2349" i="11"/>
  <c r="I2337" i="11"/>
  <c r="I2324" i="11"/>
  <c r="I2312" i="11"/>
  <c r="I2300" i="11"/>
  <c r="I2288" i="11"/>
  <c r="I2276" i="11"/>
  <c r="I2263" i="11"/>
  <c r="I2251" i="11"/>
  <c r="I2238" i="11"/>
  <c r="I2226" i="11"/>
  <c r="I2213" i="11"/>
  <c r="I2201" i="11"/>
  <c r="I2189" i="11"/>
  <c r="I2177" i="11"/>
  <c r="I2164" i="11"/>
  <c r="I2152" i="11"/>
  <c r="I2140" i="11"/>
  <c r="I2127" i="11"/>
  <c r="I2114" i="11"/>
  <c r="I2102" i="11"/>
  <c r="I2090" i="11"/>
  <c r="I2078" i="11"/>
  <c r="I2066" i="11"/>
  <c r="I2053" i="11"/>
  <c r="I2041" i="11"/>
  <c r="I2029" i="11"/>
  <c r="I2016" i="11"/>
  <c r="I2003" i="11"/>
  <c r="I1991" i="11"/>
  <c r="I1979" i="11"/>
  <c r="I1967" i="11"/>
  <c r="I1954" i="11"/>
  <c r="I1942" i="11"/>
  <c r="I1930" i="11"/>
  <c r="I1918" i="11"/>
  <c r="I1904" i="11"/>
  <c r="I1892" i="11"/>
  <c r="I1880" i="11"/>
  <c r="I1868" i="11"/>
  <c r="I1856" i="11"/>
  <c r="I1843" i="11"/>
  <c r="I1831" i="11"/>
  <c r="I1819" i="11"/>
  <c r="I1807" i="11"/>
  <c r="I1793" i="11"/>
  <c r="I1781" i="11"/>
  <c r="I1769" i="11"/>
  <c r="I1757" i="11"/>
  <c r="I1744" i="11"/>
  <c r="I1732" i="11"/>
  <c r="I1720" i="11"/>
  <c r="I1708" i="11"/>
  <c r="I1696" i="11"/>
  <c r="I1682" i="11"/>
  <c r="I1670" i="11"/>
  <c r="I1658" i="11"/>
  <c r="I1646" i="11"/>
  <c r="I1633" i="11"/>
  <c r="I1621" i="11"/>
  <c r="I1609" i="11"/>
  <c r="I1597" i="11"/>
  <c r="I1584" i="11"/>
  <c r="I1571" i="11"/>
  <c r="I1559" i="11"/>
  <c r="I1547" i="11"/>
  <c r="I1534" i="11"/>
  <c r="I1522" i="11"/>
  <c r="I1510" i="11"/>
  <c r="I1498" i="11"/>
  <c r="I1486" i="11"/>
  <c r="I1473" i="11"/>
  <c r="I1460" i="11"/>
  <c r="I1448" i="11"/>
  <c r="I1436" i="11"/>
  <c r="I1423" i="11"/>
  <c r="I1411" i="11"/>
  <c r="I1399" i="11"/>
  <c r="I1387" i="11"/>
  <c r="I1374" i="11"/>
  <c r="I1362" i="11"/>
  <c r="I1349" i="11"/>
  <c r="I1337" i="11"/>
  <c r="I1324" i="11"/>
  <c r="I2459" i="11"/>
  <c r="I2447" i="11"/>
  <c r="I2434" i="11"/>
  <c r="I2422" i="11"/>
  <c r="I2410" i="11"/>
  <c r="I2398" i="11"/>
  <c r="I2386" i="11"/>
  <c r="I2373" i="11"/>
  <c r="I2360" i="11"/>
  <c r="I2348" i="11"/>
  <c r="I2336" i="11"/>
  <c r="I2323" i="11"/>
  <c r="I2311" i="11"/>
  <c r="I2299" i="11"/>
  <c r="I2287" i="11"/>
  <c r="I2274" i="11"/>
  <c r="I2262" i="11"/>
  <c r="I2249" i="11"/>
  <c r="I2237" i="11"/>
  <c r="I2224" i="11"/>
  <c r="I2212" i="11"/>
  <c r="I2200" i="11"/>
  <c r="I2188" i="11"/>
  <c r="I2176" i="11"/>
  <c r="I2163" i="11"/>
  <c r="I2151" i="11"/>
  <c r="I2138" i="11"/>
  <c r="I2126" i="11"/>
  <c r="I2113" i="11"/>
  <c r="I2101" i="11"/>
  <c r="I2089" i="11"/>
  <c r="I2077" i="11"/>
  <c r="I2064" i="11"/>
  <c r="I2052" i="11"/>
  <c r="I2040" i="11"/>
  <c r="I2027" i="11"/>
  <c r="I2014" i="11"/>
  <c r="I2002" i="11"/>
  <c r="I1990" i="11"/>
  <c r="I1978" i="11"/>
  <c r="I1966" i="11"/>
  <c r="I1953" i="11"/>
  <c r="I1941" i="11"/>
  <c r="I1929" i="11"/>
  <c r="I1916" i="11"/>
  <c r="I1903" i="11"/>
  <c r="I2458" i="11"/>
  <c r="I2446" i="11"/>
  <c r="I2433" i="11"/>
  <c r="I2421" i="11"/>
  <c r="I2409" i="11"/>
  <c r="I2397" i="11"/>
  <c r="I2384" i="11"/>
  <c r="I2371" i="11"/>
  <c r="I2359" i="11"/>
  <c r="I2347" i="11"/>
  <c r="I2334" i="11"/>
  <c r="I2322" i="11"/>
  <c r="I2310" i="11"/>
  <c r="I2298" i="11"/>
  <c r="I2286" i="11"/>
  <c r="I2273" i="11"/>
  <c r="I2260" i="11"/>
  <c r="I2248" i="11"/>
  <c r="I2236" i="11"/>
  <c r="I2223" i="11"/>
  <c r="I2211" i="11"/>
  <c r="I2199" i="11"/>
  <c r="I2187" i="11"/>
  <c r="I2174" i="11"/>
  <c r="I2162" i="11"/>
  <c r="I2149" i="11"/>
  <c r="I2137" i="11"/>
  <c r="I2124" i="11"/>
  <c r="I2112" i="11"/>
  <c r="I2100" i="11"/>
  <c r="I2454" i="11"/>
  <c r="I2438" i="11"/>
  <c r="I2419" i="11"/>
  <c r="I2402" i="11"/>
  <c r="I2382" i="11"/>
  <c r="I2367" i="11"/>
  <c r="I2351" i="11"/>
  <c r="I2331" i="11"/>
  <c r="I2314" i="11"/>
  <c r="I2296" i="11"/>
  <c r="I2279" i="11"/>
  <c r="I2259" i="11"/>
  <c r="I2243" i="11"/>
  <c r="I2227" i="11"/>
  <c r="I2208" i="11"/>
  <c r="I2191" i="11"/>
  <c r="I2171" i="11"/>
  <c r="I2156" i="11"/>
  <c r="I2136" i="11"/>
  <c r="I2120" i="11"/>
  <c r="I2103" i="11"/>
  <c r="I2086" i="11"/>
  <c r="I2070" i="11"/>
  <c r="I2056" i="11"/>
  <c r="I2038" i="11"/>
  <c r="I2023" i="11"/>
  <c r="I2009" i="11"/>
  <c r="I1993" i="11"/>
  <c r="I1977" i="11"/>
  <c r="I1962" i="11"/>
  <c r="I1947" i="11"/>
  <c r="I1932" i="11"/>
  <c r="I1914" i="11"/>
  <c r="I1900" i="11"/>
  <c r="I1887" i="11"/>
  <c r="I1873" i="11"/>
  <c r="I1859" i="11"/>
  <c r="I1846" i="11"/>
  <c r="I1832" i="11"/>
  <c r="I1818" i="11"/>
  <c r="I1803" i="11"/>
  <c r="I1790" i="11"/>
  <c r="I1777" i="11"/>
  <c r="I1763" i="11"/>
  <c r="I1749" i="11"/>
  <c r="I1736" i="11"/>
  <c r="I1722" i="11"/>
  <c r="I1709" i="11"/>
  <c r="I1693" i="11"/>
  <c r="I1680" i="11"/>
  <c r="I1667" i="11"/>
  <c r="I1653" i="11"/>
  <c r="I1640" i="11"/>
  <c r="I1626" i="11"/>
  <c r="I1612" i="11"/>
  <c r="I1599" i="11"/>
  <c r="I1586" i="11"/>
  <c r="I1570" i="11"/>
  <c r="I1557" i="11"/>
  <c r="I1543" i="11"/>
  <c r="I1530" i="11"/>
  <c r="I1516" i="11"/>
  <c r="I1502" i="11"/>
  <c r="I1489" i="11"/>
  <c r="I1476" i="11"/>
  <c r="I1462" i="11"/>
  <c r="I1447" i="11"/>
  <c r="I1433" i="11"/>
  <c r="I1420" i="11"/>
  <c r="I1407" i="11"/>
  <c r="I1392" i="11"/>
  <c r="I1379" i="11"/>
  <c r="I1366" i="11"/>
  <c r="I1352" i="11"/>
  <c r="I1338" i="11"/>
  <c r="I1323" i="11"/>
  <c r="I1311" i="11"/>
  <c r="I1299" i="11"/>
  <c r="I1287" i="11"/>
  <c r="I1274" i="11"/>
  <c r="I1262" i="11"/>
  <c r="I1249" i="11"/>
  <c r="I1237" i="11"/>
  <c r="I1224" i="11"/>
  <c r="I1212" i="11"/>
  <c r="I1200" i="11"/>
  <c r="I1188" i="11"/>
  <c r="I1176" i="11"/>
  <c r="I1163" i="11"/>
  <c r="I1152" i="11"/>
  <c r="I1140" i="11"/>
  <c r="I1129" i="11"/>
  <c r="I1118" i="11"/>
  <c r="I1107" i="11"/>
  <c r="I1096" i="11"/>
  <c r="I1085" i="11"/>
  <c r="I1074" i="11"/>
  <c r="I1063" i="11"/>
  <c r="I1052" i="11"/>
  <c r="I1040" i="11"/>
  <c r="I1029" i="11"/>
  <c r="I1018" i="11"/>
  <c r="I1007" i="11"/>
  <c r="I996" i="11"/>
  <c r="I985" i="11"/>
  <c r="I974" i="11"/>
  <c r="I963" i="11"/>
  <c r="I952" i="11"/>
  <c r="I940" i="11"/>
  <c r="I929" i="11"/>
  <c r="I918" i="11"/>
  <c r="I907" i="11"/>
  <c r="I896" i="11"/>
  <c r="I885" i="11"/>
  <c r="I874" i="11"/>
  <c r="I863" i="11"/>
  <c r="I852" i="11"/>
  <c r="I840" i="11"/>
  <c r="I829" i="11"/>
  <c r="I818" i="11"/>
  <c r="I807" i="11"/>
  <c r="I796" i="11"/>
  <c r="I785" i="11"/>
  <c r="I774" i="11"/>
  <c r="I763" i="11"/>
  <c r="I752" i="11"/>
  <c r="I740" i="11"/>
  <c r="I729" i="11"/>
  <c r="I718" i="11"/>
  <c r="I707" i="11"/>
  <c r="I696" i="11"/>
  <c r="I685" i="11"/>
  <c r="I674" i="11"/>
  <c r="I663" i="11"/>
  <c r="I652" i="11"/>
  <c r="I640" i="11"/>
  <c r="I629" i="11"/>
  <c r="I618" i="11"/>
  <c r="I607" i="11"/>
  <c r="I596" i="11"/>
  <c r="I585" i="11"/>
  <c r="I574" i="11"/>
  <c r="I563" i="11"/>
  <c r="I552" i="11"/>
  <c r="I540" i="11"/>
  <c r="I529" i="11"/>
  <c r="I518" i="11"/>
  <c r="I507" i="11"/>
  <c r="I496" i="11"/>
  <c r="I485" i="11"/>
  <c r="I474" i="11"/>
  <c r="I463" i="11"/>
  <c r="I452" i="11"/>
  <c r="I440" i="11"/>
  <c r="I429" i="11"/>
  <c r="I418" i="11"/>
  <c r="I407" i="11"/>
  <c r="I396" i="11"/>
  <c r="I385" i="11"/>
  <c r="I374" i="11"/>
  <c r="I363" i="11"/>
  <c r="I352" i="11"/>
  <c r="I340" i="11"/>
  <c r="I329" i="11"/>
  <c r="I318" i="11"/>
  <c r="I307" i="11"/>
  <c r="I296" i="11"/>
  <c r="I285" i="11"/>
  <c r="I274" i="11"/>
  <c r="I263" i="11"/>
  <c r="I252" i="11"/>
  <c r="I2453" i="11"/>
  <c r="I2437" i="11"/>
  <c r="I2418" i="11"/>
  <c r="I2401" i="11"/>
  <c r="I2381" i="11"/>
  <c r="I2366" i="11"/>
  <c r="I2346" i="11"/>
  <c r="I2330" i="11"/>
  <c r="I2313" i="11"/>
  <c r="I2293" i="11"/>
  <c r="I2278" i="11"/>
  <c r="I2258" i="11"/>
  <c r="I2242" i="11"/>
  <c r="I2222" i="11"/>
  <c r="I2207" i="11"/>
  <c r="I2190" i="11"/>
  <c r="I2170" i="11"/>
  <c r="I2154" i="11"/>
  <c r="I2134" i="11"/>
  <c r="I2119" i="11"/>
  <c r="I2099" i="11"/>
  <c r="I2084" i="11"/>
  <c r="I2069" i="11"/>
  <c r="I2054" i="11"/>
  <c r="I2037" i="11"/>
  <c r="I2022" i="11"/>
  <c r="I2008" i="11"/>
  <c r="I1992" i="11"/>
  <c r="I1976" i="11"/>
  <c r="I1960" i="11"/>
  <c r="I1946" i="11"/>
  <c r="I1931" i="11"/>
  <c r="I1913" i="11"/>
  <c r="I1899" i="11"/>
  <c r="I1886" i="11"/>
  <c r="I1871" i="11"/>
  <c r="I1858" i="11"/>
  <c r="I1844" i="11"/>
  <c r="I1830" i="11"/>
  <c r="I1816" i="11"/>
  <c r="I1802" i="11"/>
  <c r="I1789" i="11"/>
  <c r="I1776" i="11"/>
  <c r="I1762" i="11"/>
  <c r="I1748" i="11"/>
  <c r="I1734" i="11"/>
  <c r="I1721" i="11"/>
  <c r="I1707" i="11"/>
  <c r="I1692" i="11"/>
  <c r="I1679" i="11"/>
  <c r="I1666" i="11"/>
  <c r="I1652" i="11"/>
  <c r="I1638" i="11"/>
  <c r="I1624" i="11"/>
  <c r="I1611" i="11"/>
  <c r="I1598" i="11"/>
  <c r="I1582" i="11"/>
  <c r="I1569" i="11"/>
  <c r="I1556" i="11"/>
  <c r="I1542" i="11"/>
  <c r="I1529" i="11"/>
  <c r="I1514" i="11"/>
  <c r="I1501" i="11"/>
  <c r="I1488" i="11"/>
  <c r="I1474" i="11"/>
  <c r="I1459" i="11"/>
  <c r="I1446" i="11"/>
  <c r="I1432" i="11"/>
  <c r="I1419" i="11"/>
  <c r="I1404" i="11"/>
  <c r="I1391" i="11"/>
  <c r="I1378" i="11"/>
  <c r="I1364" i="11"/>
  <c r="I1351" i="11"/>
  <c r="I1336" i="11"/>
  <c r="I1322" i="11"/>
  <c r="I1310" i="11"/>
  <c r="I1298" i="11"/>
  <c r="I1286" i="11"/>
  <c r="I1273" i="11"/>
  <c r="I1260" i="11"/>
  <c r="I1248" i="11"/>
  <c r="I1236" i="11"/>
  <c r="I1223" i="11"/>
  <c r="I1211" i="11"/>
  <c r="I1199" i="11"/>
  <c r="I1187" i="11"/>
  <c r="I1174" i="11"/>
  <c r="I2452" i="11"/>
  <c r="I2432" i="11"/>
  <c r="I2416" i="11"/>
  <c r="I2400" i="11"/>
  <c r="I2380" i="11"/>
  <c r="I2364" i="11"/>
  <c r="I2344" i="11"/>
  <c r="I2329" i="11"/>
  <c r="I2309" i="11"/>
  <c r="I2292" i="11"/>
  <c r="I2277" i="11"/>
  <c r="I2257" i="11"/>
  <c r="I2241" i="11"/>
  <c r="I2221" i="11"/>
  <c r="I2204" i="11"/>
  <c r="I2186" i="11"/>
  <c r="I2169" i="11"/>
  <c r="I2153" i="11"/>
  <c r="I2133" i="11"/>
  <c r="I2118" i="11"/>
  <c r="I2098" i="11"/>
  <c r="I2082" i="11"/>
  <c r="I2068" i="11"/>
  <c r="I2051" i="11"/>
  <c r="I2036" i="11"/>
  <c r="I2021" i="11"/>
  <c r="I2007" i="11"/>
  <c r="I1989" i="11"/>
  <c r="I1974" i="11"/>
  <c r="I1959" i="11"/>
  <c r="I1944" i="11"/>
  <c r="I1927" i="11"/>
  <c r="I1912" i="11"/>
  <c r="I1898" i="11"/>
  <c r="I1884" i="11"/>
  <c r="I1870" i="11"/>
  <c r="I1857" i="11"/>
  <c r="I1842" i="11"/>
  <c r="I1829" i="11"/>
  <c r="I1814" i="11"/>
  <c r="I1801" i="11"/>
  <c r="I1788" i="11"/>
  <c r="I1774" i="11"/>
  <c r="I1760" i="11"/>
  <c r="I1747" i="11"/>
  <c r="I1733" i="11"/>
  <c r="I1719" i="11"/>
  <c r="I1704" i="11"/>
  <c r="I1691" i="11"/>
  <c r="I1678" i="11"/>
  <c r="I1664" i="11"/>
  <c r="I1651" i="11"/>
  <c r="I1637" i="11"/>
  <c r="I1623" i="11"/>
  <c r="I1610" i="11"/>
  <c r="I1596" i="11"/>
  <c r="I1581" i="11"/>
  <c r="I1568" i="11"/>
  <c r="I1554" i="11"/>
  <c r="I1541" i="11"/>
  <c r="I1527" i="11"/>
  <c r="I1513" i="11"/>
  <c r="I1500" i="11"/>
  <c r="I1487" i="11"/>
  <c r="I1471" i="11"/>
  <c r="I1458" i="11"/>
  <c r="I1444" i="11"/>
  <c r="I1431" i="11"/>
  <c r="I1418" i="11"/>
  <c r="I1403" i="11"/>
  <c r="I1390" i="11"/>
  <c r="I1377" i="11"/>
  <c r="I1363" i="11"/>
  <c r="I1348" i="11"/>
  <c r="I1334" i="11"/>
  <c r="I1321" i="11"/>
  <c r="I1309" i="11"/>
  <c r="I1297" i="11"/>
  <c r="I1284" i="11"/>
  <c r="I1271" i="11"/>
  <c r="I1259" i="11"/>
  <c r="I1247" i="11"/>
  <c r="I1234" i="11"/>
  <c r="I2449" i="11"/>
  <c r="I2426" i="11"/>
  <c r="I2396" i="11"/>
  <c r="I2376" i="11"/>
  <c r="I2352" i="11"/>
  <c r="I2321" i="11"/>
  <c r="I2301" i="11"/>
  <c r="I2270" i="11"/>
  <c r="I2247" i="11"/>
  <c r="I2220" i="11"/>
  <c r="I2197" i="11"/>
  <c r="I2173" i="11"/>
  <c r="I2146" i="11"/>
  <c r="I2122" i="11"/>
  <c r="I2096" i="11"/>
  <c r="I2074" i="11"/>
  <c r="I2049" i="11"/>
  <c r="I2031" i="11"/>
  <c r="I2010" i="11"/>
  <c r="I1986" i="11"/>
  <c r="I1964" i="11"/>
  <c r="I1940" i="11"/>
  <c r="I1921" i="11"/>
  <c r="I1897" i="11"/>
  <c r="I1878" i="11"/>
  <c r="I1860" i="11"/>
  <c r="I1838" i="11"/>
  <c r="I1821" i="11"/>
  <c r="I1799" i="11"/>
  <c r="I1780" i="11"/>
  <c r="I1759" i="11"/>
  <c r="I1741" i="11"/>
  <c r="I1723" i="11"/>
  <c r="I1701" i="11"/>
  <c r="I1684" i="11"/>
  <c r="I1662" i="11"/>
  <c r="I1643" i="11"/>
  <c r="I1622" i="11"/>
  <c r="I1603" i="11"/>
  <c r="I1587" i="11"/>
  <c r="I1564" i="11"/>
  <c r="I1546" i="11"/>
  <c r="I1524" i="11"/>
  <c r="I1507" i="11"/>
  <c r="I1484" i="11"/>
  <c r="I1467" i="11"/>
  <c r="I1449" i="11"/>
  <c r="I1427" i="11"/>
  <c r="I1409" i="11"/>
  <c r="I1388" i="11"/>
  <c r="I1369" i="11"/>
  <c r="I1347" i="11"/>
  <c r="I1330" i="11"/>
  <c r="I1312" i="11"/>
  <c r="I1292" i="11"/>
  <c r="I1277" i="11"/>
  <c r="I1257" i="11"/>
  <c r="I1241" i="11"/>
  <c r="I1222" i="11"/>
  <c r="I1208" i="11"/>
  <c r="I1192" i="11"/>
  <c r="I1178" i="11"/>
  <c r="I1162" i="11"/>
  <c r="I1149" i="11"/>
  <c r="I1137" i="11"/>
  <c r="I1125" i="11"/>
  <c r="I1113" i="11"/>
  <c r="I1100" i="11"/>
  <c r="I1088" i="11"/>
  <c r="I1076" i="11"/>
  <c r="I1064" i="11"/>
  <c r="I1050" i="11"/>
  <c r="I1038" i="11"/>
  <c r="I1026" i="11"/>
  <c r="I1014" i="11"/>
  <c r="I1002" i="11"/>
  <c r="I989" i="11"/>
  <c r="I977" i="11"/>
  <c r="I965" i="11"/>
  <c r="I953" i="11"/>
  <c r="I939" i="11"/>
  <c r="I927" i="11"/>
  <c r="I915" i="11"/>
  <c r="I903" i="11"/>
  <c r="I890" i="11"/>
  <c r="I878" i="11"/>
  <c r="I866" i="11"/>
  <c r="I854" i="11"/>
  <c r="I842" i="11"/>
  <c r="I828" i="11"/>
  <c r="I816" i="11"/>
  <c r="I804" i="11"/>
  <c r="I792" i="11"/>
  <c r="I779" i="11"/>
  <c r="I767" i="11"/>
  <c r="I755" i="11"/>
  <c r="I743" i="11"/>
  <c r="I730" i="11"/>
  <c r="I717" i="11"/>
  <c r="I705" i="11"/>
  <c r="I693" i="11"/>
  <c r="I680" i="11"/>
  <c r="I668" i="11"/>
  <c r="I656" i="11"/>
  <c r="I644" i="11"/>
  <c r="I632" i="11"/>
  <c r="I619" i="11"/>
  <c r="I606" i="11"/>
  <c r="I594" i="11"/>
  <c r="I582" i="11"/>
  <c r="I569" i="11"/>
  <c r="I557" i="11"/>
  <c r="I545" i="11"/>
  <c r="I533" i="11"/>
  <c r="I520" i="11"/>
  <c r="I508" i="11"/>
  <c r="I495" i="11"/>
  <c r="I483" i="11"/>
  <c r="I470" i="11"/>
  <c r="I458" i="11"/>
  <c r="I446" i="11"/>
  <c r="I434" i="11"/>
  <c r="I422" i="11"/>
  <c r="I409" i="11"/>
  <c r="I397" i="11"/>
  <c r="I384" i="11"/>
  <c r="I372" i="11"/>
  <c r="I359" i="11"/>
  <c r="I347" i="11"/>
  <c r="I335" i="11"/>
  <c r="I323" i="11"/>
  <c r="I310" i="11"/>
  <c r="I298" i="11"/>
  <c r="I286" i="11"/>
  <c r="I273" i="11"/>
  <c r="I260" i="11"/>
  <c r="I248" i="11"/>
  <c r="I237" i="11"/>
  <c r="I226" i="11"/>
  <c r="I215" i="11"/>
  <c r="I204" i="11"/>
  <c r="I193" i="11"/>
  <c r="I182" i="11"/>
  <c r="I170" i="11"/>
  <c r="I159" i="11"/>
  <c r="I148" i="11"/>
  <c r="I137" i="11"/>
  <c r="I126" i="11"/>
  <c r="I115" i="11"/>
  <c r="I104" i="11"/>
  <c r="I93" i="11"/>
  <c r="I82" i="11"/>
  <c r="I70" i="11"/>
  <c r="I59" i="11"/>
  <c r="I48" i="11"/>
  <c r="I37" i="11"/>
  <c r="I26" i="11"/>
  <c r="I15" i="11"/>
  <c r="I4" i="11"/>
  <c r="I2444" i="11"/>
  <c r="I2424" i="11"/>
  <c r="I2393" i="11"/>
  <c r="I2370" i="11"/>
  <c r="I2343" i="11"/>
  <c r="I2320" i="11"/>
  <c r="I2297" i="11"/>
  <c r="I2269" i="11"/>
  <c r="I2246" i="11"/>
  <c r="I2219" i="11"/>
  <c r="I2196" i="11"/>
  <c r="I2168" i="11"/>
  <c r="I2144" i="11"/>
  <c r="I2121" i="11"/>
  <c r="I2093" i="11"/>
  <c r="I2073" i="11"/>
  <c r="I2048" i="11"/>
  <c r="I2030" i="11"/>
  <c r="I2004" i="11"/>
  <c r="I1984" i="11"/>
  <c r="I1963" i="11"/>
  <c r="I1938" i="11"/>
  <c r="I1920" i="11"/>
  <c r="I1896" i="11"/>
  <c r="I1877" i="11"/>
  <c r="I1854" i="11"/>
  <c r="I1837" i="11"/>
  <c r="I1820" i="11"/>
  <c r="I1798" i="11"/>
  <c r="I1779" i="11"/>
  <c r="I1758" i="11"/>
  <c r="I1740" i="11"/>
  <c r="I1718" i="11"/>
  <c r="I1700" i="11"/>
  <c r="I1681" i="11"/>
  <c r="I1660" i="11"/>
  <c r="I1642" i="11"/>
  <c r="I1620" i="11"/>
  <c r="I1602" i="11"/>
  <c r="I1580" i="11"/>
  <c r="I1563" i="11"/>
  <c r="I1544" i="11"/>
  <c r="I1523" i="11"/>
  <c r="I1504" i="11"/>
  <c r="I1482" i="11"/>
  <c r="I1466" i="11"/>
  <c r="I1443" i="11"/>
  <c r="I1426" i="11"/>
  <c r="I1408" i="11"/>
  <c r="I1386" i="11"/>
  <c r="I1368" i="11"/>
  <c r="I1346" i="11"/>
  <c r="I1329" i="11"/>
  <c r="I1308" i="11"/>
  <c r="I1291" i="11"/>
  <c r="I1276" i="11"/>
  <c r="I1256" i="11"/>
  <c r="I1240" i="11"/>
  <c r="I1221" i="11"/>
  <c r="I1207" i="11"/>
  <c r="I1191" i="11"/>
  <c r="I1177" i="11"/>
  <c r="I1160" i="11"/>
  <c r="I1148" i="11"/>
  <c r="I1136" i="11"/>
  <c r="I1124" i="11"/>
  <c r="I1112" i="11"/>
  <c r="I1099" i="11"/>
  <c r="I1087" i="11"/>
  <c r="I1075" i="11"/>
  <c r="I1062" i="11"/>
  <c r="I1049" i="11"/>
  <c r="I1037" i="11"/>
  <c r="I1025" i="11"/>
  <c r="I1013" i="11"/>
  <c r="I1000" i="11"/>
  <c r="I988" i="11"/>
  <c r="I976" i="11"/>
  <c r="I964" i="11"/>
  <c r="I950" i="11"/>
  <c r="I938" i="11"/>
  <c r="I926" i="11"/>
  <c r="I914" i="11"/>
  <c r="I902" i="11"/>
  <c r="I889" i="11"/>
  <c r="I877" i="11"/>
  <c r="I865" i="11"/>
  <c r="I853" i="11"/>
  <c r="I839" i="11"/>
  <c r="I827" i="11"/>
  <c r="I815" i="11"/>
  <c r="I803" i="11"/>
  <c r="I790" i="11"/>
  <c r="I778" i="11"/>
  <c r="I766" i="11"/>
  <c r="I754" i="11"/>
  <c r="I742" i="11"/>
  <c r="I728" i="11"/>
  <c r="I716" i="11"/>
  <c r="I704" i="11"/>
  <c r="I692" i="11"/>
  <c r="I679" i="11"/>
  <c r="I667" i="11"/>
  <c r="I655" i="11"/>
  <c r="I643" i="11"/>
  <c r="I630" i="11"/>
  <c r="I617" i="11"/>
  <c r="I605" i="11"/>
  <c r="I593" i="11"/>
  <c r="I580" i="11"/>
  <c r="I568" i="11"/>
  <c r="I556" i="11"/>
  <c r="I544" i="11"/>
  <c r="I532" i="11"/>
  <c r="I519" i="11"/>
  <c r="I506" i="11"/>
  <c r="I494" i="11"/>
  <c r="I482" i="11"/>
  <c r="I469" i="11"/>
  <c r="I457" i="11"/>
  <c r="I445" i="11"/>
  <c r="I433" i="11"/>
  <c r="I420" i="11"/>
  <c r="I408" i="11"/>
  <c r="I395" i="11"/>
  <c r="I383" i="11"/>
  <c r="I370" i="11"/>
  <c r="I358" i="11"/>
  <c r="I346" i="11"/>
  <c r="I334" i="11"/>
  <c r="I322" i="11"/>
  <c r="I309" i="11"/>
  <c r="I297" i="11"/>
  <c r="I284" i="11"/>
  <c r="I272" i="11"/>
  <c r="I259" i="11"/>
  <c r="I247" i="11"/>
  <c r="I236" i="11"/>
  <c r="I225" i="11"/>
  <c r="I214" i="11"/>
  <c r="I203" i="11"/>
  <c r="I192" i="11"/>
  <c r="I180" i="11"/>
  <c r="I169" i="11"/>
  <c r="I158" i="11"/>
  <c r="I147" i="11"/>
  <c r="I136" i="11"/>
  <c r="I125" i="11"/>
  <c r="I114" i="11"/>
  <c r="I103" i="11"/>
  <c r="I92" i="11"/>
  <c r="I80" i="11"/>
  <c r="I69" i="11"/>
  <c r="I58" i="11"/>
  <c r="I47" i="11"/>
  <c r="I36" i="11"/>
  <c r="I25" i="11"/>
  <c r="I14" i="11"/>
  <c r="I3" i="11"/>
  <c r="I2443" i="11"/>
  <c r="I2420" i="11"/>
  <c r="I2392" i="11"/>
  <c r="I2369" i="11"/>
  <c r="I2342" i="11"/>
  <c r="I2319" i="11"/>
  <c r="I2291" i="11"/>
  <c r="I2268" i="11"/>
  <c r="I2244" i="11"/>
  <c r="I2218" i="11"/>
  <c r="I2193" i="11"/>
  <c r="I2167" i="11"/>
  <c r="I2143" i="11"/>
  <c r="I2116" i="11"/>
  <c r="I2092" i="11"/>
  <c r="I2071" i="11"/>
  <c r="I2047" i="11"/>
  <c r="I2026" i="11"/>
  <c r="I2001" i="11"/>
  <c r="I1982" i="11"/>
  <c r="I1958" i="11"/>
  <c r="I1937" i="11"/>
  <c r="I1919" i="11"/>
  <c r="I1893" i="11"/>
  <c r="I1876" i="11"/>
  <c r="I1853" i="11"/>
  <c r="I1836" i="11"/>
  <c r="I1813" i="11"/>
  <c r="I1797" i="11"/>
  <c r="I1778" i="11"/>
  <c r="I1756" i="11"/>
  <c r="I1738" i="11"/>
  <c r="I1716" i="11"/>
  <c r="I1699" i="11"/>
  <c r="I1677" i="11"/>
  <c r="I1659" i="11"/>
  <c r="I1641" i="11"/>
  <c r="I1619" i="11"/>
  <c r="I1601" i="11"/>
  <c r="I1579" i="11"/>
  <c r="I1562" i="11"/>
  <c r="I1540" i="11"/>
  <c r="I1521" i="11"/>
  <c r="I1503" i="11"/>
  <c r="I1481" i="11"/>
  <c r="I1464" i="11"/>
  <c r="I1442" i="11"/>
  <c r="I1424" i="11"/>
  <c r="I1402" i="11"/>
  <c r="I1384" i="11"/>
  <c r="I1367" i="11"/>
  <c r="I1344" i="11"/>
  <c r="I1327" i="11"/>
  <c r="I1307" i="11"/>
  <c r="I1290" i="11"/>
  <c r="I1270" i="11"/>
  <c r="I1254" i="11"/>
  <c r="I1238" i="11"/>
  <c r="I1220" i="11"/>
  <c r="I1204" i="11"/>
  <c r="I1190" i="11"/>
  <c r="I1173" i="11"/>
  <c r="I1159" i="11"/>
  <c r="I1147" i="11"/>
  <c r="I1135" i="11"/>
  <c r="I1123" i="11"/>
  <c r="I1110" i="11"/>
  <c r="I1098" i="11"/>
  <c r="I1086" i="11"/>
  <c r="I1073" i="11"/>
  <c r="I1060" i="11"/>
  <c r="I1048" i="11"/>
  <c r="I1036" i="11"/>
  <c r="I1024" i="11"/>
  <c r="I1012" i="11"/>
  <c r="I999" i="11"/>
  <c r="I987" i="11"/>
  <c r="I975" i="11"/>
  <c r="I962" i="11"/>
  <c r="I949" i="11"/>
  <c r="I937" i="11"/>
  <c r="I925" i="11"/>
  <c r="I913" i="11"/>
  <c r="I900" i="11"/>
  <c r="I888" i="11"/>
  <c r="I876" i="11"/>
  <c r="I864" i="11"/>
  <c r="I850" i="11"/>
  <c r="I838" i="11"/>
  <c r="I826" i="11"/>
  <c r="I814" i="11"/>
  <c r="I802" i="11"/>
  <c r="I789" i="11"/>
  <c r="I777" i="11"/>
  <c r="I765" i="11"/>
  <c r="I753" i="11"/>
  <c r="I739" i="11"/>
  <c r="I727" i="11"/>
  <c r="I715" i="11"/>
  <c r="I703" i="11"/>
  <c r="I690" i="11"/>
  <c r="I678" i="11"/>
  <c r="I666" i="11"/>
  <c r="I654" i="11"/>
  <c r="I642" i="11"/>
  <c r="I628" i="11"/>
  <c r="I616" i="11"/>
  <c r="I604" i="11"/>
  <c r="I592" i="11"/>
  <c r="I579" i="11"/>
  <c r="I567" i="11"/>
  <c r="I555" i="11"/>
  <c r="I543" i="11"/>
  <c r="I530" i="11"/>
  <c r="I517" i="11"/>
  <c r="I505" i="11"/>
  <c r="I493" i="11"/>
  <c r="I480" i="11"/>
  <c r="I468" i="11"/>
  <c r="I456" i="11"/>
  <c r="I444" i="11"/>
  <c r="I432" i="11"/>
  <c r="I419" i="11"/>
  <c r="I406" i="11"/>
  <c r="I394" i="11"/>
  <c r="I382" i="11"/>
  <c r="I369" i="11"/>
  <c r="I357" i="11"/>
  <c r="I345" i="11"/>
  <c r="I333" i="11"/>
  <c r="I320" i="11"/>
  <c r="I308" i="11"/>
  <c r="I295" i="11"/>
  <c r="I283" i="11"/>
  <c r="I270" i="11"/>
  <c r="I258" i="11"/>
  <c r="I246" i="11"/>
  <c r="I235" i="11"/>
  <c r="I224" i="11"/>
  <c r="I213" i="11"/>
  <c r="I202" i="11"/>
  <c r="I190" i="11"/>
  <c r="I179" i="11"/>
  <c r="I168" i="11"/>
  <c r="I157" i="11"/>
  <c r="I146" i="11"/>
  <c r="I135" i="11"/>
  <c r="I124" i="11"/>
  <c r="I113" i="11"/>
  <c r="I102" i="11"/>
  <c r="I90" i="11"/>
  <c r="I79" i="11"/>
  <c r="I68" i="11"/>
  <c r="I57" i="11"/>
  <c r="I46" i="11"/>
  <c r="I35" i="11"/>
  <c r="I24" i="11"/>
  <c r="I13" i="11"/>
  <c r="I2431" i="11"/>
  <c r="I2403" i="11"/>
  <c r="I2358" i="11"/>
  <c r="I2327" i="11"/>
  <c r="I2289" i="11"/>
  <c r="I2254" i="11"/>
  <c r="I2216" i="11"/>
  <c r="I2181" i="11"/>
  <c r="I2147" i="11"/>
  <c r="I2109" i="11"/>
  <c r="I2079" i="11"/>
  <c r="I2044" i="11"/>
  <c r="I2013" i="11"/>
  <c r="I1981" i="11"/>
  <c r="I1951" i="11"/>
  <c r="I1922" i="11"/>
  <c r="I1889" i="11"/>
  <c r="I1863" i="11"/>
  <c r="I1833" i="11"/>
  <c r="I1808" i="11"/>
  <c r="I1773" i="11"/>
  <c r="I1751" i="11"/>
  <c r="I1724" i="11"/>
  <c r="I1690" i="11"/>
  <c r="I1668" i="11"/>
  <c r="I1634" i="11"/>
  <c r="I1608" i="11"/>
  <c r="I1578" i="11"/>
  <c r="I1552" i="11"/>
  <c r="I1526" i="11"/>
  <c r="I1496" i="11"/>
  <c r="I1469" i="11"/>
  <c r="I1440" i="11"/>
  <c r="I1413" i="11"/>
  <c r="I1382" i="11"/>
  <c r="I1357" i="11"/>
  <c r="I1331" i="11"/>
  <c r="I1302" i="11"/>
  <c r="I1279" i="11"/>
  <c r="I1252" i="11"/>
  <c r="I1229" i="11"/>
  <c r="I1203" i="11"/>
  <c r="I1182" i="11"/>
  <c r="I1164" i="11"/>
  <c r="I1144" i="11"/>
  <c r="I1127" i="11"/>
  <c r="I1108" i="11"/>
  <c r="I1092" i="11"/>
  <c r="I1072" i="11"/>
  <c r="I1056" i="11"/>
  <c r="I1039" i="11"/>
  <c r="I1020" i="11"/>
  <c r="I1004" i="11"/>
  <c r="I984" i="11"/>
  <c r="I968" i="11"/>
  <c r="I948" i="11"/>
  <c r="I933" i="11"/>
  <c r="I916" i="11"/>
  <c r="I897" i="11"/>
  <c r="I880" i="11"/>
  <c r="I860" i="11"/>
  <c r="I845" i="11"/>
  <c r="I825" i="11"/>
  <c r="I809" i="11"/>
  <c r="I793" i="11"/>
  <c r="I773" i="11"/>
  <c r="I757" i="11"/>
  <c r="I737" i="11"/>
  <c r="I722" i="11"/>
  <c r="I702" i="11"/>
  <c r="I686" i="11"/>
  <c r="I669" i="11"/>
  <c r="I649" i="11"/>
  <c r="I634" i="11"/>
  <c r="I614" i="11"/>
  <c r="I598" i="11"/>
  <c r="I578" i="11"/>
  <c r="I562" i="11"/>
  <c r="I546" i="11"/>
  <c r="I526" i="11"/>
  <c r="I510" i="11"/>
  <c r="I490" i="11"/>
  <c r="I475" i="11"/>
  <c r="I455" i="11"/>
  <c r="I438" i="11"/>
  <c r="I423" i="11"/>
  <c r="I403" i="11"/>
  <c r="I387" i="11"/>
  <c r="I367" i="11"/>
  <c r="I350" i="11"/>
  <c r="I332" i="11"/>
  <c r="I315" i="11"/>
  <c r="I299" i="11"/>
  <c r="I279" i="11"/>
  <c r="I264" i="11"/>
  <c r="I244" i="11"/>
  <c r="I229" i="11"/>
  <c r="I212" i="11"/>
  <c r="I197" i="11"/>
  <c r="I183" i="11"/>
  <c r="I165" i="11"/>
  <c r="I150" i="11"/>
  <c r="I133" i="11"/>
  <c r="I118" i="11"/>
  <c r="I100" i="11"/>
  <c r="I86" i="11"/>
  <c r="I72" i="11"/>
  <c r="I54" i="11"/>
  <c r="I39" i="11"/>
  <c r="I22" i="11"/>
  <c r="I7" i="11"/>
  <c r="I2430" i="11"/>
  <c r="I2391" i="11"/>
  <c r="I2357" i="11"/>
  <c r="I2326" i="11"/>
  <c r="I2284" i="11"/>
  <c r="I2253" i="11"/>
  <c r="I2214" i="11"/>
  <c r="I2180" i="11"/>
  <c r="I2142" i="11"/>
  <c r="I2108" i="11"/>
  <c r="I2076" i="11"/>
  <c r="I2043" i="11"/>
  <c r="I2012" i="11"/>
  <c r="I1980" i="11"/>
  <c r="I1949" i="11"/>
  <c r="I1911" i="11"/>
  <c r="I1888" i="11"/>
  <c r="I1862" i="11"/>
  <c r="I1827" i="11"/>
  <c r="I1804" i="11"/>
  <c r="I1771" i="11"/>
  <c r="I1746" i="11"/>
  <c r="I1714" i="11"/>
  <c r="I1689" i="11"/>
  <c r="I1663" i="11"/>
  <c r="I1632" i="11"/>
  <c r="I1607" i="11"/>
  <c r="I1577" i="11"/>
  <c r="I1551" i="11"/>
  <c r="I1520" i="11"/>
  <c r="I1493" i="11"/>
  <c r="I1468" i="11"/>
  <c r="I1438" i="11"/>
  <c r="I1412" i="11"/>
  <c r="I1381" i="11"/>
  <c r="I1356" i="11"/>
  <c r="I1326" i="11"/>
  <c r="I1301" i="11"/>
  <c r="I1278" i="11"/>
  <c r="I1251" i="11"/>
  <c r="I1227" i="11"/>
  <c r="I1202" i="11"/>
  <c r="I1181" i="11"/>
  <c r="I1158" i="11"/>
  <c r="I1143" i="11"/>
  <c r="I1126" i="11"/>
  <c r="I1106" i="11"/>
  <c r="I1090" i="11"/>
  <c r="I1070" i="11"/>
  <c r="I1055" i="11"/>
  <c r="I1035" i="11"/>
  <c r="I1019" i="11"/>
  <c r="I1003" i="11"/>
  <c r="I983" i="11"/>
  <c r="I967" i="11"/>
  <c r="I947" i="11"/>
  <c r="I932" i="11"/>
  <c r="I912" i="11"/>
  <c r="I895" i="11"/>
  <c r="I879" i="11"/>
  <c r="I859" i="11"/>
  <c r="I844" i="11"/>
  <c r="I824" i="11"/>
  <c r="I808" i="11"/>
  <c r="I788" i="11"/>
  <c r="I772" i="11"/>
  <c r="I756" i="11"/>
  <c r="I736" i="11"/>
  <c r="I720" i="11"/>
  <c r="I700" i="11"/>
  <c r="I684" i="11"/>
  <c r="I665" i="11"/>
  <c r="I648" i="11"/>
  <c r="I633" i="11"/>
  <c r="I613" i="11"/>
  <c r="I597" i="11"/>
  <c r="I577" i="11"/>
  <c r="I560" i="11"/>
  <c r="I542" i="11"/>
  <c r="I525" i="11"/>
  <c r="I509" i="11"/>
  <c r="I489" i="11"/>
  <c r="I473" i="11"/>
  <c r="I454" i="11"/>
  <c r="I437" i="11"/>
  <c r="I417" i="11"/>
  <c r="I402" i="11"/>
  <c r="I386" i="11"/>
  <c r="I366" i="11"/>
  <c r="I349" i="11"/>
  <c r="I330" i="11"/>
  <c r="I314" i="11"/>
  <c r="I294" i="11"/>
  <c r="I278" i="11"/>
  <c r="I262" i="11"/>
  <c r="I243" i="11"/>
  <c r="I228" i="11"/>
  <c r="I210" i="11"/>
  <c r="I196" i="11"/>
  <c r="I178" i="11"/>
  <c r="I164" i="11"/>
  <c r="I149" i="11"/>
  <c r="I132" i="11"/>
  <c r="I117" i="11"/>
  <c r="I99" i="11"/>
  <c r="I85" i="11"/>
  <c r="I67" i="11"/>
  <c r="I53" i="11"/>
  <c r="I38" i="11"/>
  <c r="I20" i="11"/>
  <c r="I6" i="11"/>
  <c r="I2429" i="11"/>
  <c r="I2390" i="11"/>
  <c r="I2356" i="11"/>
  <c r="I2318" i="11"/>
  <c r="I2282" i="11"/>
  <c r="I2252" i="11"/>
  <c r="I2210" i="11"/>
  <c r="I2179" i="11"/>
  <c r="I2141" i="11"/>
  <c r="I2107" i="11"/>
  <c r="I2067" i="11"/>
  <c r="I2042" i="11"/>
  <c r="I2011" i="11"/>
  <c r="I1973" i="11"/>
  <c r="I1948" i="11"/>
  <c r="I1910" i="11"/>
  <c r="I1882" i="11"/>
  <c r="I1852" i="11"/>
  <c r="I1826" i="11"/>
  <c r="I1800" i="11"/>
  <c r="I1770" i="11"/>
  <c r="I1743" i="11"/>
  <c r="I1713" i="11"/>
  <c r="I1688" i="11"/>
  <c r="I1657" i="11"/>
  <c r="I1631" i="11"/>
  <c r="I1604" i="11"/>
  <c r="I1576" i="11"/>
  <c r="I1549" i="11"/>
  <c r="I1519" i="11"/>
  <c r="I1492" i="11"/>
  <c r="I1463" i="11"/>
  <c r="I1437" i="11"/>
  <c r="I1410" i="11"/>
  <c r="I1380" i="11"/>
  <c r="I1354" i="11"/>
  <c r="I1320" i="11"/>
  <c r="I1300" i="11"/>
  <c r="I1269" i="11"/>
  <c r="I1246" i="11"/>
  <c r="I1226" i="11"/>
  <c r="I1201" i="11"/>
  <c r="I1180" i="11"/>
  <c r="I1157" i="11"/>
  <c r="I1142" i="11"/>
  <c r="I1122" i="11"/>
  <c r="I1105" i="11"/>
  <c r="I1089" i="11"/>
  <c r="I1069" i="11"/>
  <c r="I1054" i="11"/>
  <c r="I1034" i="11"/>
  <c r="I1017" i="11"/>
  <c r="I998" i="11"/>
  <c r="I982" i="11"/>
  <c r="I966" i="11"/>
  <c r="I946" i="11"/>
  <c r="I930" i="11"/>
  <c r="I910" i="11"/>
  <c r="I894" i="11"/>
  <c r="I875" i="11"/>
  <c r="I858" i="11"/>
  <c r="I843" i="11"/>
  <c r="I823" i="11"/>
  <c r="I806" i="11"/>
  <c r="I787" i="11"/>
  <c r="I770" i="11"/>
  <c r="I750" i="11"/>
  <c r="I735" i="11"/>
  <c r="I719" i="11"/>
  <c r="I699" i="11"/>
  <c r="I683" i="11"/>
  <c r="I664" i="11"/>
  <c r="I647" i="11"/>
  <c r="I627" i="11"/>
  <c r="I612" i="11"/>
  <c r="I595" i="11"/>
  <c r="I576" i="11"/>
  <c r="I559" i="11"/>
  <c r="I539" i="11"/>
  <c r="I524" i="11"/>
  <c r="I504" i="11"/>
  <c r="I488" i="11"/>
  <c r="I472" i="11"/>
  <c r="I453" i="11"/>
  <c r="I436" i="11"/>
  <c r="I416" i="11"/>
  <c r="I400" i="11"/>
  <c r="I380" i="11"/>
  <c r="I365" i="11"/>
  <c r="I348" i="11"/>
  <c r="I328" i="11"/>
  <c r="I313" i="11"/>
  <c r="I293" i="11"/>
  <c r="I277" i="11"/>
  <c r="I257" i="11"/>
  <c r="I242" i="11"/>
  <c r="I227" i="11"/>
  <c r="I209" i="11"/>
  <c r="I195" i="11"/>
  <c r="I177" i="11"/>
  <c r="I163" i="11"/>
  <c r="I145" i="11"/>
  <c r="I130" i="11"/>
  <c r="I116" i="11"/>
  <c r="I98" i="11"/>
  <c r="I84" i="11"/>
  <c r="I66" i="11"/>
  <c r="I52" i="11"/>
  <c r="I34" i="11"/>
  <c r="I19" i="11"/>
  <c r="I5" i="11"/>
  <c r="I2441" i="11"/>
  <c r="I2407" i="11"/>
  <c r="I2368" i="11"/>
  <c r="I2333" i="11"/>
  <c r="I2302" i="11"/>
  <c r="I2264" i="11"/>
  <c r="I2230" i="11"/>
  <c r="I2184" i="11"/>
  <c r="I2157" i="11"/>
  <c r="I2111" i="11"/>
  <c r="I2081" i="11"/>
  <c r="I2057" i="11"/>
  <c r="I2019" i="11"/>
  <c r="I1988" i="11"/>
  <c r="I1956" i="11"/>
  <c r="I1924" i="11"/>
  <c r="I1891" i="11"/>
  <c r="I1866" i="11"/>
  <c r="I1840" i="11"/>
  <c r="I1810" i="11"/>
  <c r="I1784" i="11"/>
  <c r="I1753" i="11"/>
  <c r="I1727" i="11"/>
  <c r="I1698" i="11"/>
  <c r="I1671" i="11"/>
  <c r="I1644" i="11"/>
  <c r="I1614" i="11"/>
  <c r="I1589" i="11"/>
  <c r="I1558" i="11"/>
  <c r="I1532" i="11"/>
  <c r="I1499" i="11"/>
  <c r="I1477" i="11"/>
  <c r="I1451" i="11"/>
  <c r="I1416" i="11"/>
  <c r="I1393" i="11"/>
  <c r="I1359" i="11"/>
  <c r="I1333" i="11"/>
  <c r="I1304" i="11"/>
  <c r="I1281" i="11"/>
  <c r="I1258" i="11"/>
  <c r="I1231" i="11"/>
  <c r="I1210" i="11"/>
  <c r="I1186" i="11"/>
  <c r="I1167" i="11"/>
  <c r="I1146" i="11"/>
  <c r="I1130" i="11"/>
  <c r="I1114" i="11"/>
  <c r="I1094" i="11"/>
  <c r="I1078" i="11"/>
  <c r="I1058" i="11"/>
  <c r="I1043" i="11"/>
  <c r="I1023" i="11"/>
  <c r="I1006" i="11"/>
  <c r="I990" i="11"/>
  <c r="I970" i="11"/>
  <c r="I955" i="11"/>
  <c r="I935" i="11"/>
  <c r="I919" i="11"/>
  <c r="I899" i="11"/>
  <c r="I883" i="11"/>
  <c r="I867" i="11"/>
  <c r="I847" i="11"/>
  <c r="I832" i="11"/>
  <c r="I812" i="11"/>
  <c r="I795" i="11"/>
  <c r="I776" i="11"/>
  <c r="I759" i="11"/>
  <c r="I744" i="11"/>
  <c r="I724" i="11"/>
  <c r="I708" i="11"/>
  <c r="I688" i="11"/>
  <c r="I672" i="11"/>
  <c r="I653" i="11"/>
  <c r="I636" i="11"/>
  <c r="I620" i="11"/>
  <c r="I600" i="11"/>
  <c r="I584" i="11"/>
  <c r="I565" i="11"/>
  <c r="I548" i="11"/>
  <c r="I528" i="11"/>
  <c r="I513" i="11"/>
  <c r="I497" i="11"/>
  <c r="I477" i="11"/>
  <c r="I460" i="11"/>
  <c r="I442" i="11"/>
  <c r="I425" i="11"/>
  <c r="I405" i="11"/>
  <c r="I389" i="11"/>
  <c r="I373" i="11"/>
  <c r="I354" i="11"/>
  <c r="I337" i="11"/>
  <c r="I317" i="11"/>
  <c r="I302" i="11"/>
  <c r="I282" i="11"/>
  <c r="I266" i="11"/>
  <c r="I249" i="11"/>
  <c r="I232" i="11"/>
  <c r="I217" i="11"/>
  <c r="I199" i="11"/>
  <c r="I185" i="11"/>
  <c r="I167" i="11"/>
  <c r="I153" i="11"/>
  <c r="I138" i="11"/>
  <c r="I120" i="11"/>
  <c r="I106" i="11"/>
  <c r="I88" i="11"/>
  <c r="I74" i="11"/>
  <c r="I56" i="11"/>
  <c r="I42" i="11"/>
  <c r="I27" i="11"/>
  <c r="I9" i="11"/>
  <c r="I2412" i="11"/>
  <c r="I2353" i="11"/>
  <c r="I2290" i="11"/>
  <c r="I2232" i="11"/>
  <c r="I2166" i="11"/>
  <c r="I2110" i="11"/>
  <c r="I2059" i="11"/>
  <c r="I1999" i="11"/>
  <c r="I1952" i="11"/>
  <c r="I1902" i="11"/>
  <c r="I1849" i="11"/>
  <c r="I1809" i="11"/>
  <c r="I1764" i="11"/>
  <c r="I1711" i="11"/>
  <c r="I1669" i="11"/>
  <c r="I1618" i="11"/>
  <c r="I1573" i="11"/>
  <c r="I1531" i="11"/>
  <c r="I1479" i="11"/>
  <c r="I1430" i="11"/>
  <c r="I1389" i="11"/>
  <c r="I1341" i="11"/>
  <c r="I1293" i="11"/>
  <c r="I1253" i="11"/>
  <c r="I1214" i="11"/>
  <c r="I1171" i="11"/>
  <c r="I1145" i="11"/>
  <c r="I1116" i="11"/>
  <c r="I1083" i="11"/>
  <c r="I1057" i="11"/>
  <c r="I1028" i="11"/>
  <c r="I995" i="11"/>
  <c r="I969" i="11"/>
  <c r="I942" i="11"/>
  <c r="I908" i="11"/>
  <c r="I882" i="11"/>
  <c r="I849" i="11"/>
  <c r="I820" i="11"/>
  <c r="I794" i="11"/>
  <c r="I762" i="11"/>
  <c r="I733" i="11"/>
  <c r="I706" i="11"/>
  <c r="I675" i="11"/>
  <c r="I645" i="11"/>
  <c r="I615" i="11"/>
  <c r="I587" i="11"/>
  <c r="I554" i="11"/>
  <c r="I527" i="11"/>
  <c r="I499" i="11"/>
  <c r="I466" i="11"/>
  <c r="I439" i="11"/>
  <c r="I412" i="11"/>
  <c r="I378" i="11"/>
  <c r="I353" i="11"/>
  <c r="I324" i="11"/>
  <c r="I290" i="11"/>
  <c r="I265" i="11"/>
  <c r="I234" i="11"/>
  <c r="I207" i="11"/>
  <c r="I184" i="11"/>
  <c r="I155" i="11"/>
  <c r="I128" i="11"/>
  <c r="I105" i="11"/>
  <c r="I76" i="11"/>
  <c r="I49" i="11"/>
  <c r="I23" i="11"/>
  <c r="I2462" i="11"/>
  <c r="I2408" i="11"/>
  <c r="I2341" i="11"/>
  <c r="I2281" i="11"/>
  <c r="I2231" i="11"/>
  <c r="I2160" i="11"/>
  <c r="I2104" i="11"/>
  <c r="I2058" i="11"/>
  <c r="I1998" i="11"/>
  <c r="I1943" i="11"/>
  <c r="I1901" i="11"/>
  <c r="I1848" i="11"/>
  <c r="I1796" i="11"/>
  <c r="I1754" i="11"/>
  <c r="I1710" i="11"/>
  <c r="I1656" i="11"/>
  <c r="I1616" i="11"/>
  <c r="I1567" i="11"/>
  <c r="I1518" i="11"/>
  <c r="I1478" i="11"/>
  <c r="I1429" i="11"/>
  <c r="I1376" i="11"/>
  <c r="I1340" i="11"/>
  <c r="I1289" i="11"/>
  <c r="I1244" i="11"/>
  <c r="I1213" i="11"/>
  <c r="I1170" i="11"/>
  <c r="I1139" i="11"/>
  <c r="I1115" i="11"/>
  <c r="I1082" i="11"/>
  <c r="I1053" i="11"/>
  <c r="I1027" i="11"/>
  <c r="I994" i="11"/>
  <c r="I960" i="11"/>
  <c r="I936" i="11"/>
  <c r="I906" i="11"/>
  <c r="I873" i="11"/>
  <c r="I848" i="11"/>
  <c r="I819" i="11"/>
  <c r="I786" i="11"/>
  <c r="I760" i="11"/>
  <c r="I732" i="11"/>
  <c r="I698" i="11"/>
  <c r="I673" i="11"/>
  <c r="I639" i="11"/>
  <c r="I610" i="11"/>
  <c r="I586" i="11"/>
  <c r="I553" i="11"/>
  <c r="I523" i="11"/>
  <c r="I498" i="11"/>
  <c r="I465" i="11"/>
  <c r="I435" i="11"/>
  <c r="I410" i="11"/>
  <c r="I377" i="11"/>
  <c r="I344" i="11"/>
  <c r="I319" i="11"/>
  <c r="I289" i="11"/>
  <c r="I256" i="11"/>
  <c r="I233" i="11"/>
  <c r="I206" i="11"/>
  <c r="I176" i="11"/>
  <c r="I154" i="11"/>
  <c r="I127" i="11"/>
  <c r="I97" i="11"/>
  <c r="I75" i="11"/>
  <c r="I45" i="11"/>
  <c r="I18" i="11"/>
  <c r="I2457" i="11"/>
  <c r="I2404" i="11"/>
  <c r="I2340" i="11"/>
  <c r="I2280" i="11"/>
  <c r="I2229" i="11"/>
  <c r="I2159" i="11"/>
  <c r="I2097" i="11"/>
  <c r="I2046" i="11"/>
  <c r="I1997" i="11"/>
  <c r="I1936" i="11"/>
  <c r="I1890" i="11"/>
  <c r="I1847" i="11"/>
  <c r="I1792" i="11"/>
  <c r="I1752" i="11"/>
  <c r="I1703" i="11"/>
  <c r="I1654" i="11"/>
  <c r="I1613" i="11"/>
  <c r="I1566" i="11"/>
  <c r="I1512" i="11"/>
  <c r="I1470" i="11"/>
  <c r="I1422" i="11"/>
  <c r="I1373" i="11"/>
  <c r="I1332" i="11"/>
  <c r="I1288" i="11"/>
  <c r="I1243" i="11"/>
  <c r="I1209" i="11"/>
  <c r="I1169" i="11"/>
  <c r="I1138" i="11"/>
  <c r="I1109" i="11"/>
  <c r="I1080" i="11"/>
  <c r="I1047" i="11"/>
  <c r="I1022" i="11"/>
  <c r="I993" i="11"/>
  <c r="I959" i="11"/>
  <c r="I934" i="11"/>
  <c r="I905" i="11"/>
  <c r="I872" i="11"/>
  <c r="I846" i="11"/>
  <c r="I817" i="11"/>
  <c r="I784" i="11"/>
  <c r="I758" i="11"/>
  <c r="I726" i="11"/>
  <c r="I697" i="11"/>
  <c r="I670" i="11"/>
  <c r="I638" i="11"/>
  <c r="I609" i="11"/>
  <c r="I583" i="11"/>
  <c r="I550" i="11"/>
  <c r="I522" i="11"/>
  <c r="I492" i="11"/>
  <c r="I464" i="11"/>
  <c r="I430" i="11"/>
  <c r="I404" i="11"/>
  <c r="I376" i="11"/>
  <c r="I343" i="11"/>
  <c r="I316" i="11"/>
  <c r="I288" i="11"/>
  <c r="I255" i="11"/>
  <c r="I230" i="11"/>
  <c r="I205" i="11"/>
  <c r="I175" i="11"/>
  <c r="I152" i="11"/>
  <c r="I123" i="11"/>
  <c r="I96" i="11"/>
  <c r="I73" i="11"/>
  <c r="I44" i="11"/>
  <c r="I17" i="11"/>
  <c r="I2451" i="11"/>
  <c r="I2388" i="11"/>
  <c r="I2332" i="11"/>
  <c r="I2267" i="11"/>
  <c r="I2203" i="11"/>
  <c r="I2148" i="11"/>
  <c r="I2088" i="11"/>
  <c r="I2033" i="11"/>
  <c r="I1987" i="11"/>
  <c r="I1933" i="11"/>
  <c r="I1879" i="11"/>
  <c r="I1834" i="11"/>
  <c r="I1787" i="11"/>
  <c r="I1737" i="11"/>
  <c r="I1697" i="11"/>
  <c r="I1648" i="11"/>
  <c r="I1593" i="11"/>
  <c r="I1553" i="11"/>
  <c r="I1509" i="11"/>
  <c r="I1456" i="11"/>
  <c r="I1414" i="11"/>
  <c r="I1370" i="11"/>
  <c r="I1318" i="11"/>
  <c r="I1280" i="11"/>
  <c r="I1233" i="11"/>
  <c r="I1197" i="11"/>
  <c r="I1166" i="11"/>
  <c r="I1133" i="11"/>
  <c r="I1103" i="11"/>
  <c r="I1077" i="11"/>
  <c r="I1045" i="11"/>
  <c r="I1015" i="11"/>
  <c r="I986" i="11"/>
  <c r="I957" i="11"/>
  <c r="I924" i="11"/>
  <c r="I898" i="11"/>
  <c r="I869" i="11"/>
  <c r="I836" i="11"/>
  <c r="I810" i="11"/>
  <c r="I782" i="11"/>
  <c r="I748" i="11"/>
  <c r="I723" i="11"/>
  <c r="I694" i="11"/>
  <c r="I660" i="11"/>
  <c r="I635" i="11"/>
  <c r="I603" i="11"/>
  <c r="I573" i="11"/>
  <c r="I547" i="11"/>
  <c r="I515" i="11"/>
  <c r="I486" i="11"/>
  <c r="I459" i="11"/>
  <c r="I427" i="11"/>
  <c r="I398" i="11"/>
  <c r="I368" i="11"/>
  <c r="I339" i="11"/>
  <c r="I306" i="11"/>
  <c r="I280" i="11"/>
  <c r="I253" i="11"/>
  <c r="I222" i="11"/>
  <c r="I198" i="11"/>
  <c r="I2442" i="11"/>
  <c r="I2379" i="11"/>
  <c r="I2316" i="11"/>
  <c r="I2266" i="11"/>
  <c r="I2202" i="11"/>
  <c r="I2132" i="11"/>
  <c r="I2087" i="11"/>
  <c r="I2032" i="11"/>
  <c r="I1971" i="11"/>
  <c r="I1926" i="11"/>
  <c r="I1874" i="11"/>
  <c r="I1824" i="11"/>
  <c r="I1786" i="11"/>
  <c r="I1731" i="11"/>
  <c r="I1687" i="11"/>
  <c r="I1647" i="11"/>
  <c r="I1592" i="11"/>
  <c r="I1548" i="11"/>
  <c r="I1508" i="11"/>
  <c r="I1454" i="11"/>
  <c r="I1401" i="11"/>
  <c r="I1360" i="11"/>
  <c r="I1316" i="11"/>
  <c r="I1268" i="11"/>
  <c r="I1232" i="11"/>
  <c r="I1196" i="11"/>
  <c r="I1156" i="11"/>
  <c r="I1132" i="11"/>
  <c r="I1102" i="11"/>
  <c r="I1068" i="11"/>
  <c r="I1044" i="11"/>
  <c r="I1010" i="11"/>
  <c r="I980" i="11"/>
  <c r="I956" i="11"/>
  <c r="I923" i="11"/>
  <c r="I893" i="11"/>
  <c r="I868" i="11"/>
  <c r="I835" i="11"/>
  <c r="I805" i="11"/>
  <c r="I780" i="11"/>
  <c r="I747" i="11"/>
  <c r="I714" i="11"/>
  <c r="I689" i="11"/>
  <c r="I659" i="11"/>
  <c r="I626" i="11"/>
  <c r="I602" i="11"/>
  <c r="I572" i="11"/>
  <c r="I538" i="11"/>
  <c r="I514" i="11"/>
  <c r="I484" i="11"/>
  <c r="I450" i="11"/>
  <c r="I426" i="11"/>
  <c r="I393" i="11"/>
  <c r="I364" i="11"/>
  <c r="I338" i="11"/>
  <c r="I305" i="11"/>
  <c r="I2440" i="11"/>
  <c r="I2378" i="11"/>
  <c r="I2308" i="11"/>
  <c r="I2256" i="11"/>
  <c r="I2198" i="11"/>
  <c r="I2131" i="11"/>
  <c r="I2080" i="11"/>
  <c r="I2024" i="11"/>
  <c r="I1970" i="11"/>
  <c r="I1923" i="11"/>
  <c r="I1869" i="11"/>
  <c r="I1823" i="11"/>
  <c r="I1782" i="11"/>
  <c r="I1730" i="11"/>
  <c r="I1686" i="11"/>
  <c r="I1636" i="11"/>
  <c r="I1591" i="11"/>
  <c r="I1538" i="11"/>
  <c r="I1497" i="11"/>
  <c r="I1453" i="11"/>
  <c r="I1400" i="11"/>
  <c r="I1358" i="11"/>
  <c r="I1314" i="11"/>
  <c r="I1267" i="11"/>
  <c r="I1230" i="11"/>
  <c r="I1193" i="11"/>
  <c r="I1155" i="11"/>
  <c r="I1128" i="11"/>
  <c r="I1097" i="11"/>
  <c r="I2414" i="11"/>
  <c r="I2363" i="11"/>
  <c r="I2304" i="11"/>
  <c r="I2234" i="11"/>
  <c r="I2182" i="11"/>
  <c r="I2307" i="11"/>
  <c r="I2129" i="11"/>
  <c r="I1996" i="11"/>
  <c r="I1864" i="11"/>
  <c r="I1742" i="11"/>
  <c r="I1629" i="11"/>
  <c r="I1511" i="11"/>
  <c r="I1397" i="11"/>
  <c r="I1282" i="11"/>
  <c r="I1184" i="11"/>
  <c r="I1104" i="11"/>
  <c r="I1042" i="11"/>
  <c r="I979" i="11"/>
  <c r="I922" i="11"/>
  <c r="I862" i="11"/>
  <c r="I800" i="11"/>
  <c r="I746" i="11"/>
  <c r="I687" i="11"/>
  <c r="I625" i="11"/>
  <c r="I570" i="11"/>
  <c r="I512" i="11"/>
  <c r="I449" i="11"/>
  <c r="I392" i="11"/>
  <c r="I336" i="11"/>
  <c r="I276" i="11"/>
  <c r="I238" i="11"/>
  <c r="I188" i="11"/>
  <c r="I144" i="11"/>
  <c r="I110" i="11"/>
  <c r="I77" i="11"/>
  <c r="I33" i="11"/>
  <c r="I2303" i="11"/>
  <c r="I2123" i="11"/>
  <c r="I1969" i="11"/>
  <c r="I1851" i="11"/>
  <c r="I1729" i="11"/>
  <c r="I1627" i="11"/>
  <c r="I1491" i="11"/>
  <c r="I1396" i="11"/>
  <c r="I1266" i="11"/>
  <c r="I1179" i="11"/>
  <c r="I1095" i="11"/>
  <c r="I1033" i="11"/>
  <c r="I978" i="11"/>
  <c r="I920" i="11"/>
  <c r="I857" i="11"/>
  <c r="I799" i="11"/>
  <c r="I745" i="11"/>
  <c r="I682" i="11"/>
  <c r="I624" i="11"/>
  <c r="I566" i="11"/>
  <c r="I503" i="11"/>
  <c r="I448" i="11"/>
  <c r="I390" i="11"/>
  <c r="I327" i="11"/>
  <c r="I275" i="11"/>
  <c r="I223" i="11"/>
  <c r="I187" i="11"/>
  <c r="I143" i="11"/>
  <c r="I109" i="11"/>
  <c r="I65" i="11"/>
  <c r="I32" i="11"/>
  <c r="I2271" i="11"/>
  <c r="I2091" i="11"/>
  <c r="I1968" i="11"/>
  <c r="I1841" i="11"/>
  <c r="I1726" i="11"/>
  <c r="I1600" i="11"/>
  <c r="I1490" i="11"/>
  <c r="I1371" i="11"/>
  <c r="I1264" i="11"/>
  <c r="I1168" i="11"/>
  <c r="I1093" i="11"/>
  <c r="I1032" i="11"/>
  <c r="I973" i="11"/>
  <c r="I917" i="11"/>
  <c r="I856" i="11"/>
  <c r="I798" i="11"/>
  <c r="I738" i="11"/>
  <c r="I677" i="11"/>
  <c r="I623" i="11"/>
  <c r="I564" i="11"/>
  <c r="I502" i="11"/>
  <c r="I447" i="11"/>
  <c r="I388" i="11"/>
  <c r="I326" i="11"/>
  <c r="I269" i="11"/>
  <c r="I220" i="11"/>
  <c r="I186" i="11"/>
  <c r="I142" i="11"/>
  <c r="I108" i="11"/>
  <c r="I64" i="11"/>
  <c r="I30" i="11"/>
  <c r="I2427" i="11"/>
  <c r="I2233" i="11"/>
  <c r="I2062" i="11"/>
  <c r="I1934" i="11"/>
  <c r="I1812" i="11"/>
  <c r="I1702" i="11"/>
  <c r="I1588" i="11"/>
  <c r="I1457" i="11"/>
  <c r="I1343" i="11"/>
  <c r="I1242" i="11"/>
  <c r="I1153" i="11"/>
  <c r="I1079" i="11"/>
  <c r="I1016" i="11"/>
  <c r="I958" i="11"/>
  <c r="I904" i="11"/>
  <c r="I837" i="11"/>
  <c r="I783" i="11"/>
  <c r="I725" i="11"/>
  <c r="I662" i="11"/>
  <c r="I608" i="11"/>
  <c r="I549" i="11"/>
  <c r="I487" i="11"/>
  <c r="I428" i="11"/>
  <c r="I375" i="11"/>
  <c r="I312" i="11"/>
  <c r="I267" i="11"/>
  <c r="I218" i="11"/>
  <c r="I173" i="11"/>
  <c r="I139" i="11"/>
  <c r="I95" i="11"/>
  <c r="I62" i="11"/>
  <c r="I28" i="11"/>
  <c r="I2413" i="11"/>
  <c r="I2209" i="11"/>
  <c r="I2060" i="11"/>
  <c r="I1909" i="11"/>
  <c r="I1811" i="11"/>
  <c r="I1676" i="11"/>
  <c r="I1574" i="11"/>
  <c r="I1452" i="11"/>
  <c r="I1342" i="11"/>
  <c r="I1219" i="11"/>
  <c r="I1150" i="11"/>
  <c r="I1067" i="11"/>
  <c r="I1009" i="11"/>
  <c r="I954" i="11"/>
  <c r="I892" i="11"/>
  <c r="I834" i="11"/>
  <c r="I775" i="11"/>
  <c r="I713" i="11"/>
  <c r="I658" i="11"/>
  <c r="I599" i="11"/>
  <c r="I537" i="11"/>
  <c r="I479" i="11"/>
  <c r="I424" i="11"/>
  <c r="I362" i="11"/>
  <c r="I304" i="11"/>
  <c r="I254" i="11"/>
  <c r="I216" i="11"/>
  <c r="I172" i="11"/>
  <c r="I134" i="11"/>
  <c r="I94" i="11"/>
  <c r="I60" i="11"/>
  <c r="I16" i="11"/>
  <c r="I2389" i="11"/>
  <c r="I2192" i="11"/>
  <c r="I2034" i="11"/>
  <c r="I1908" i="11"/>
  <c r="I1791" i="11"/>
  <c r="I1674" i="11"/>
  <c r="I1560" i="11"/>
  <c r="I1441" i="11"/>
  <c r="I1319" i="11"/>
  <c r="I1218" i="11"/>
  <c r="I1134" i="11"/>
  <c r="I1066" i="11"/>
  <c r="I1008" i="11"/>
  <c r="I945" i="11"/>
  <c r="I887" i="11"/>
  <c r="I833" i="11"/>
  <c r="I769" i="11"/>
  <c r="I712" i="11"/>
  <c r="I657" i="11"/>
  <c r="I590" i="11"/>
  <c r="I536" i="11"/>
  <c r="I478" i="11"/>
  <c r="I415" i="11"/>
  <c r="I360" i="11"/>
  <c r="I303" i="11"/>
  <c r="I250" i="11"/>
  <c r="I208" i="11"/>
  <c r="I166" i="11"/>
  <c r="I129" i="11"/>
  <c r="I89" i="11"/>
  <c r="I55" i="11"/>
  <c r="I12" i="11"/>
  <c r="I2354" i="11"/>
  <c r="I2158" i="11"/>
  <c r="I2018" i="11"/>
  <c r="I1881" i="11"/>
  <c r="I1767" i="11"/>
  <c r="I1649" i="11"/>
  <c r="I2377" i="11"/>
  <c r="I1867" i="11"/>
  <c r="I1533" i="11"/>
  <c r="I1216" i="11"/>
  <c r="I1046" i="11"/>
  <c r="I886" i="11"/>
  <c r="I749" i="11"/>
  <c r="I589" i="11"/>
  <c r="I462" i="11"/>
  <c r="I300" i="11"/>
  <c r="I189" i="11"/>
  <c r="I87" i="11"/>
  <c r="I2338" i="11"/>
  <c r="I1822" i="11"/>
  <c r="I1480" i="11"/>
  <c r="I1198" i="11"/>
  <c r="I1030" i="11"/>
  <c r="I884" i="11"/>
  <c r="I734" i="11"/>
  <c r="I588" i="11"/>
  <c r="I443" i="11"/>
  <c r="I292" i="11"/>
  <c r="I174" i="11"/>
  <c r="I83" i="11"/>
  <c r="I2240" i="11"/>
  <c r="I1768" i="11"/>
  <c r="I1434" i="11"/>
  <c r="I1189" i="11"/>
  <c r="I1005" i="11"/>
  <c r="I870" i="11"/>
  <c r="I710" i="11"/>
  <c r="I575" i="11"/>
  <c r="I414" i="11"/>
  <c r="I287" i="11"/>
  <c r="I162" i="11"/>
  <c r="I78" i="11"/>
  <c r="I2178" i="11"/>
  <c r="I1766" i="11"/>
  <c r="I1421" i="11"/>
  <c r="I1154" i="11"/>
  <c r="I997" i="11"/>
  <c r="I855" i="11"/>
  <c r="I709" i="11"/>
  <c r="I558" i="11"/>
  <c r="I413" i="11"/>
  <c r="I268" i="11"/>
  <c r="I160" i="11"/>
  <c r="I63" i="11"/>
  <c r="I2130" i="11"/>
  <c r="I1712" i="11"/>
  <c r="I1398" i="11"/>
  <c r="I1120" i="11"/>
  <c r="I992" i="11"/>
  <c r="I830" i="11"/>
  <c r="I695" i="11"/>
  <c r="I535" i="11"/>
  <c r="I399" i="11"/>
  <c r="I245" i="11"/>
  <c r="I156" i="11"/>
  <c r="I50" i="11"/>
  <c r="I2063" i="11"/>
  <c r="I1673" i="11"/>
  <c r="I1353" i="11"/>
  <c r="I1119" i="11"/>
  <c r="I972" i="11"/>
  <c r="I822" i="11"/>
  <c r="I676" i="11"/>
  <c r="I534" i="11"/>
  <c r="I379" i="11"/>
  <c r="I240" i="11"/>
  <c r="I140" i="11"/>
  <c r="I43" i="11"/>
  <c r="I2020" i="11"/>
  <c r="I1630" i="11"/>
  <c r="I1313" i="11"/>
  <c r="I1117" i="11"/>
  <c r="I944" i="11"/>
  <c r="I813" i="11"/>
  <c r="I650" i="11"/>
  <c r="I516" i="11"/>
  <c r="I356" i="11"/>
  <c r="I239" i="11"/>
  <c r="I122" i="11"/>
  <c r="I40" i="11"/>
  <c r="I1957" i="11"/>
  <c r="I1537" i="11"/>
  <c r="I1296" i="11"/>
  <c r="I1065" i="11"/>
  <c r="I928" i="11"/>
  <c r="I768" i="11"/>
  <c r="I637" i="11"/>
  <c r="I476" i="11"/>
  <c r="I342" i="11"/>
  <c r="I200" i="11"/>
  <c r="I112" i="11"/>
  <c r="I10" i="11"/>
  <c r="I2456" i="11"/>
  <c r="I1907" i="11"/>
  <c r="I1536" i="11"/>
  <c r="I1263" i="11"/>
  <c r="I1059" i="11"/>
  <c r="I909" i="11"/>
  <c r="I764" i="11"/>
  <c r="I622" i="11"/>
  <c r="I467" i="11"/>
  <c r="I325" i="11"/>
  <c r="I194" i="11"/>
  <c r="I107" i="11"/>
  <c r="I8" i="11"/>
  <c r="I1303" i="11"/>
  <c r="I1084" i="11"/>
  <c r="I943" i="11"/>
  <c r="I797" i="11"/>
  <c r="I646" i="11"/>
  <c r="I500" i="11"/>
  <c r="I355" i="11"/>
  <c r="I29" i="11"/>
  <c r="I2000" i="11"/>
  <c r="I119" i="11"/>
  <c r="I1590" i="11"/>
  <c r="I219" i="11"/>
  <c r="J2" i="7" l="1" a="1"/>
  <c r="J2" i="11" a="1"/>
  <c r="J2459" i="11" l="1"/>
  <c r="J2449" i="11"/>
  <c r="J2439" i="11"/>
  <c r="J2429" i="11"/>
  <c r="J2419" i="11"/>
  <c r="J2409" i="11"/>
  <c r="J2399" i="11"/>
  <c r="J2389" i="11"/>
  <c r="J2379" i="11"/>
  <c r="J2369" i="11"/>
  <c r="J2359" i="11"/>
  <c r="J2349" i="11"/>
  <c r="J2339" i="11"/>
  <c r="J2329" i="11"/>
  <c r="J2319" i="11"/>
  <c r="J2461" i="11"/>
  <c r="J2451" i="11"/>
  <c r="J2441" i="11"/>
  <c r="J2431" i="11"/>
  <c r="J2421" i="11"/>
  <c r="J2411" i="11"/>
  <c r="J2401" i="11"/>
  <c r="J2391" i="11"/>
  <c r="J2381" i="11"/>
  <c r="J2371" i="11"/>
  <c r="J2361" i="11"/>
  <c r="J2351" i="11"/>
  <c r="J2341" i="11"/>
  <c r="J2331" i="11"/>
  <c r="J2321" i="11"/>
  <c r="J2311" i="11"/>
  <c r="J2301" i="11"/>
  <c r="J2291" i="11"/>
  <c r="J2281" i="11"/>
  <c r="J2271" i="11"/>
  <c r="J2261" i="11"/>
  <c r="J2251" i="11"/>
  <c r="J2241" i="11"/>
  <c r="J2231" i="11"/>
  <c r="J2221" i="11"/>
  <c r="J2211" i="11"/>
  <c r="J2201" i="11"/>
  <c r="J2191" i="11"/>
  <c r="J2181" i="11"/>
  <c r="J2171" i="11"/>
  <c r="J2161" i="11"/>
  <c r="J2151" i="11"/>
  <c r="J2141" i="11"/>
  <c r="J2131" i="11"/>
  <c r="J2121" i="11"/>
  <c r="J2111" i="11"/>
  <c r="J2101" i="11"/>
  <c r="J2091" i="11"/>
  <c r="J2081" i="11"/>
  <c r="J2071" i="11"/>
  <c r="J2061" i="11"/>
  <c r="J2051" i="11"/>
  <c r="J2041" i="11"/>
  <c r="J2031" i="11"/>
  <c r="J2021" i="11"/>
  <c r="J2011" i="11"/>
  <c r="J2001" i="11"/>
  <c r="J1991" i="11"/>
  <c r="J1981" i="11"/>
  <c r="J1971" i="11"/>
  <c r="J1961" i="11"/>
  <c r="J1951" i="11"/>
  <c r="J1941" i="11"/>
  <c r="J1931" i="11"/>
  <c r="J1921" i="11"/>
  <c r="J1911" i="11"/>
  <c r="J1901" i="11"/>
  <c r="J1891" i="11"/>
  <c r="J1881" i="11"/>
  <c r="J1871" i="11"/>
  <c r="J1861" i="11"/>
  <c r="J1851" i="11"/>
  <c r="J1841" i="11"/>
  <c r="J1831" i="11"/>
  <c r="J1821" i="11"/>
  <c r="J1811" i="11"/>
  <c r="J1801" i="11"/>
  <c r="J1791" i="11"/>
  <c r="J1781" i="11"/>
  <c r="J1771" i="11"/>
  <c r="J1761" i="11"/>
  <c r="J1751" i="11"/>
  <c r="J1741" i="11"/>
  <c r="J1731" i="11"/>
  <c r="J1721" i="11"/>
  <c r="J1711" i="11"/>
  <c r="J1701" i="11"/>
  <c r="J1691" i="11"/>
  <c r="J1681" i="11"/>
  <c r="J1671" i="11"/>
  <c r="J1661" i="11"/>
  <c r="J1651" i="11"/>
  <c r="J1641" i="11"/>
  <c r="J1631" i="11"/>
  <c r="J1621" i="11"/>
  <c r="J2456" i="11"/>
  <c r="J2444" i="11"/>
  <c r="J2432" i="11"/>
  <c r="J2418" i="11"/>
  <c r="J2406" i="11"/>
  <c r="J2394" i="11"/>
  <c r="J2382" i="11"/>
  <c r="J2368" i="11"/>
  <c r="J2356" i="11"/>
  <c r="J2344" i="11"/>
  <c r="J2332" i="11"/>
  <c r="J2318" i="11"/>
  <c r="J2307" i="11"/>
  <c r="J2296" i="11"/>
  <c r="J2285" i="11"/>
  <c r="J2274" i="11"/>
  <c r="J2263" i="11"/>
  <c r="J2252" i="11"/>
  <c r="J2240" i="11"/>
  <c r="J2229" i="11"/>
  <c r="J2218" i="11"/>
  <c r="J2207" i="11"/>
  <c r="J2196" i="11"/>
  <c r="J2185" i="11"/>
  <c r="J2174" i="11"/>
  <c r="J2163" i="11"/>
  <c r="J2152" i="11"/>
  <c r="J2140" i="11"/>
  <c r="J2129" i="11"/>
  <c r="J2118" i="11"/>
  <c r="J2107" i="11"/>
  <c r="J2096" i="11"/>
  <c r="J2085" i="11"/>
  <c r="J2074" i="11"/>
  <c r="J2063" i="11"/>
  <c r="J2052" i="11"/>
  <c r="J2040" i="11"/>
  <c r="J2029" i="11"/>
  <c r="J2018" i="11"/>
  <c r="J2007" i="11"/>
  <c r="J1996" i="11"/>
  <c r="J1985" i="11"/>
  <c r="J1974" i="11"/>
  <c r="J1963" i="11"/>
  <c r="J1952" i="11"/>
  <c r="J1940" i="11"/>
  <c r="J1929" i="11"/>
  <c r="J1918" i="11"/>
  <c r="J1907" i="11"/>
  <c r="J1896" i="11"/>
  <c r="J1885" i="11"/>
  <c r="J1874" i="11"/>
  <c r="J1863" i="11"/>
  <c r="J1852" i="11"/>
  <c r="J1840" i="11"/>
  <c r="J1829" i="11"/>
  <c r="J1818" i="11"/>
  <c r="J1807" i="11"/>
  <c r="J1796" i="11"/>
  <c r="J1785" i="11"/>
  <c r="J1774" i="11"/>
  <c r="J1763" i="11"/>
  <c r="J1752" i="11"/>
  <c r="J1740" i="11"/>
  <c r="J1729" i="11"/>
  <c r="J1718" i="11"/>
  <c r="J1707" i="11"/>
  <c r="J1696" i="11"/>
  <c r="J1685" i="11"/>
  <c r="J1674" i="11"/>
  <c r="J1663" i="11"/>
  <c r="J1652" i="11"/>
  <c r="J1640" i="11"/>
  <c r="J1629" i="11"/>
  <c r="J1618" i="11"/>
  <c r="J1608" i="11"/>
  <c r="J1598" i="11"/>
  <c r="J1588" i="11"/>
  <c r="J1578" i="11"/>
  <c r="J1568" i="11"/>
  <c r="J1558" i="11"/>
  <c r="J1548" i="11"/>
  <c r="J1538" i="11"/>
  <c r="J1528" i="11"/>
  <c r="J1518" i="11"/>
  <c r="J2455" i="11"/>
  <c r="J2442" i="11"/>
  <c r="J2427" i="11"/>
  <c r="J2414" i="11"/>
  <c r="J2400" i="11"/>
  <c r="J2386" i="11"/>
  <c r="J2373" i="11"/>
  <c r="J2358" i="11"/>
  <c r="J2345" i="11"/>
  <c r="J2330" i="11"/>
  <c r="J2316" i="11"/>
  <c r="J2304" i="11"/>
  <c r="J2292" i="11"/>
  <c r="J2279" i="11"/>
  <c r="J2267" i="11"/>
  <c r="J2255" i="11"/>
  <c r="J2243" i="11"/>
  <c r="J2230" i="11"/>
  <c r="J2217" i="11"/>
  <c r="J2205" i="11"/>
  <c r="J2193" i="11"/>
  <c r="J2180" i="11"/>
  <c r="J2168" i="11"/>
  <c r="J2156" i="11"/>
  <c r="J2144" i="11"/>
  <c r="J2132" i="11"/>
  <c r="J2119" i="11"/>
  <c r="J2106" i="11"/>
  <c r="J2094" i="11"/>
  <c r="J2082" i="11"/>
  <c r="J2069" i="11"/>
  <c r="J2057" i="11"/>
  <c r="J2045" i="11"/>
  <c r="J2033" i="11"/>
  <c r="J2020" i="11"/>
  <c r="J2008" i="11"/>
  <c r="J1995" i="11"/>
  <c r="J1983" i="11"/>
  <c r="J1970" i="11"/>
  <c r="J1958" i="11"/>
  <c r="J1946" i="11"/>
  <c r="J1934" i="11"/>
  <c r="J1922" i="11"/>
  <c r="J1909" i="11"/>
  <c r="J1897" i="11"/>
  <c r="J1884" i="11"/>
  <c r="J1872" i="11"/>
  <c r="J1859" i="11"/>
  <c r="J1847" i="11"/>
  <c r="J1835" i="11"/>
  <c r="J1823" i="11"/>
  <c r="J1810" i="11"/>
  <c r="J1798" i="11"/>
  <c r="J1786" i="11"/>
  <c r="J1773" i="11"/>
  <c r="J1760" i="11"/>
  <c r="J1748" i="11"/>
  <c r="J1736" i="11"/>
  <c r="J1724" i="11"/>
  <c r="J1712" i="11"/>
  <c r="J1699" i="11"/>
  <c r="J1687" i="11"/>
  <c r="J1675" i="11"/>
  <c r="J1662" i="11"/>
  <c r="J1649" i="11"/>
  <c r="J1637" i="11"/>
  <c r="J1625" i="11"/>
  <c r="J1613" i="11"/>
  <c r="J1602" i="11"/>
  <c r="J1591" i="11"/>
  <c r="J1580" i="11"/>
  <c r="J1569" i="11"/>
  <c r="J1557" i="11"/>
  <c r="J1546" i="11"/>
  <c r="J1535" i="11"/>
  <c r="J1524" i="11"/>
  <c r="J1513" i="11"/>
  <c r="J1503" i="11"/>
  <c r="J1493" i="11"/>
  <c r="J1483" i="11"/>
  <c r="J1473" i="11"/>
  <c r="J1463" i="11"/>
  <c r="J1453" i="11"/>
  <c r="J1443" i="11"/>
  <c r="J1433" i="11"/>
  <c r="J1423" i="11"/>
  <c r="J1413" i="11"/>
  <c r="J1403" i="11"/>
  <c r="J1393" i="11"/>
  <c r="J1383" i="11"/>
  <c r="J1373" i="11"/>
  <c r="J1363" i="11"/>
  <c r="J1353" i="11"/>
  <c r="J1343" i="11"/>
  <c r="J1333" i="11"/>
  <c r="J1323" i="11"/>
  <c r="J1313" i="11"/>
  <c r="J1303" i="11"/>
  <c r="J1293" i="11"/>
  <c r="J1283" i="11"/>
  <c r="J1273" i="11"/>
  <c r="J1263" i="11"/>
  <c r="J1253" i="11"/>
  <c r="J1243" i="11"/>
  <c r="J1233" i="11"/>
  <c r="J1223" i="11"/>
  <c r="J1213" i="11"/>
  <c r="J1203" i="11"/>
  <c r="J1193" i="11"/>
  <c r="J1183" i="11"/>
  <c r="J1173" i="11"/>
  <c r="J1163" i="11"/>
  <c r="J1153" i="11"/>
  <c r="J1143" i="11"/>
  <c r="J1133" i="11"/>
  <c r="J1123" i="11"/>
  <c r="J1113" i="11"/>
  <c r="J1103" i="11"/>
  <c r="J1093" i="11"/>
  <c r="J1083" i="11"/>
  <c r="J1073" i="11"/>
  <c r="J1063" i="11"/>
  <c r="J1053" i="11"/>
  <c r="J1043" i="11"/>
  <c r="J1033" i="11"/>
  <c r="J1023" i="11"/>
  <c r="J1013" i="11"/>
  <c r="J1003" i="11"/>
  <c r="J993" i="11"/>
  <c r="J983" i="11"/>
  <c r="J973" i="11"/>
  <c r="J963" i="11"/>
  <c r="J953" i="11"/>
  <c r="J943" i="11"/>
  <c r="J933" i="11"/>
  <c r="J923" i="11"/>
  <c r="J913" i="11"/>
  <c r="J903" i="11"/>
  <c r="J893" i="11"/>
  <c r="J883" i="11"/>
  <c r="J873" i="11"/>
  <c r="J863" i="11"/>
  <c r="J853" i="11"/>
  <c r="J843" i="11"/>
  <c r="J833" i="11"/>
  <c r="J823" i="11"/>
  <c r="J813" i="11"/>
  <c r="J803" i="11"/>
  <c r="J793" i="11"/>
  <c r="J783" i="11"/>
  <c r="J773" i="11"/>
  <c r="J763" i="11"/>
  <c r="J753" i="11"/>
  <c r="J743" i="11"/>
  <c r="J733" i="11"/>
  <c r="J723" i="11"/>
  <c r="J713" i="11"/>
  <c r="J703" i="11"/>
  <c r="J693" i="11"/>
  <c r="J683" i="11"/>
  <c r="J673" i="11"/>
  <c r="J663" i="11"/>
  <c r="J653" i="11"/>
  <c r="J643" i="11"/>
  <c r="J633" i="11"/>
  <c r="J623" i="11"/>
  <c r="J613" i="11"/>
  <c r="J603" i="11"/>
  <c r="J593" i="11"/>
  <c r="J583" i="11"/>
  <c r="J2454" i="11"/>
  <c r="J2438" i="11"/>
  <c r="J2424" i="11"/>
  <c r="J2408" i="11"/>
  <c r="J2393" i="11"/>
  <c r="J2377" i="11"/>
  <c r="J2363" i="11"/>
  <c r="J2347" i="11"/>
  <c r="J2333" i="11"/>
  <c r="J2315" i="11"/>
  <c r="J2302" i="11"/>
  <c r="J2288" i="11"/>
  <c r="J2275" i="11"/>
  <c r="J2260" i="11"/>
  <c r="J2247" i="11"/>
  <c r="J2234" i="11"/>
  <c r="J2220" i="11"/>
  <c r="J2206" i="11"/>
  <c r="J2192" i="11"/>
  <c r="J2178" i="11"/>
  <c r="J2165" i="11"/>
  <c r="J2150" i="11"/>
  <c r="J2137" i="11"/>
  <c r="J2124" i="11"/>
  <c r="J2110" i="11"/>
  <c r="J2097" i="11"/>
  <c r="J2083" i="11"/>
  <c r="J2068" i="11"/>
  <c r="J2055" i="11"/>
  <c r="J2042" i="11"/>
  <c r="J2027" i="11"/>
  <c r="J2014" i="11"/>
  <c r="J2000" i="11"/>
  <c r="J1987" i="11"/>
  <c r="J1973" i="11"/>
  <c r="J1959" i="11"/>
  <c r="J1945" i="11"/>
  <c r="J1932" i="11"/>
  <c r="J1917" i="11"/>
  <c r="J1904" i="11"/>
  <c r="J1890" i="11"/>
  <c r="J1877" i="11"/>
  <c r="J1864" i="11"/>
  <c r="J1849" i="11"/>
  <c r="J1836" i="11"/>
  <c r="J1822" i="11"/>
  <c r="J1808" i="11"/>
  <c r="J1794" i="11"/>
  <c r="J1780" i="11"/>
  <c r="J1767" i="11"/>
  <c r="J1754" i="11"/>
  <c r="J1739" i="11"/>
  <c r="J1726" i="11"/>
  <c r="J1713" i="11"/>
  <c r="J1698" i="11"/>
  <c r="J1684" i="11"/>
  <c r="J1670" i="11"/>
  <c r="J1657" i="11"/>
  <c r="J1644" i="11"/>
  <c r="J1630" i="11"/>
  <c r="J1616" i="11"/>
  <c r="J1604" i="11"/>
  <c r="J1592" i="11"/>
  <c r="J1579" i="11"/>
  <c r="J1566" i="11"/>
  <c r="J1554" i="11"/>
  <c r="J1542" i="11"/>
  <c r="J1530" i="11"/>
  <c r="J1517" i="11"/>
  <c r="J1506" i="11"/>
  <c r="J1495" i="11"/>
  <c r="J1484" i="11"/>
  <c r="J1472" i="11"/>
  <c r="J1461" i="11"/>
  <c r="J1450" i="11"/>
  <c r="J1439" i="11"/>
  <c r="J1428" i="11"/>
  <c r="J1417" i="11"/>
  <c r="J1406" i="11"/>
  <c r="J1395" i="11"/>
  <c r="J1384" i="11"/>
  <c r="J1372" i="11"/>
  <c r="J1361" i="11"/>
  <c r="J1350" i="11"/>
  <c r="J1339" i="11"/>
  <c r="J1328" i="11"/>
  <c r="J1317" i="11"/>
  <c r="J1306" i="11"/>
  <c r="J1295" i="11"/>
  <c r="J1284" i="11"/>
  <c r="J1272" i="11"/>
  <c r="J1261" i="11"/>
  <c r="J1250" i="11"/>
  <c r="J1239" i="11"/>
  <c r="J1228" i="11"/>
  <c r="J1217" i="11"/>
  <c r="J1206" i="11"/>
  <c r="J1195" i="11"/>
  <c r="J1184" i="11"/>
  <c r="J1172" i="11"/>
  <c r="J1161" i="11"/>
  <c r="J1150" i="11"/>
  <c r="J1139" i="11"/>
  <c r="J1128" i="11"/>
  <c r="J1117" i="11"/>
  <c r="J1106" i="11"/>
  <c r="J1095" i="11"/>
  <c r="J1084" i="11"/>
  <c r="J1072" i="11"/>
  <c r="J1061" i="11"/>
  <c r="J1050" i="11"/>
  <c r="J1039" i="11"/>
  <c r="J1028" i="11"/>
  <c r="J1017" i="11"/>
  <c r="J1006" i="11"/>
  <c r="J995" i="11"/>
  <c r="J984" i="11"/>
  <c r="J972" i="11"/>
  <c r="J961" i="11"/>
  <c r="J950" i="11"/>
  <c r="J939" i="11"/>
  <c r="J928" i="11"/>
  <c r="J917" i="11"/>
  <c r="J906" i="11"/>
  <c r="J895" i="11"/>
  <c r="J884" i="11"/>
  <c r="J872" i="11"/>
  <c r="J861" i="11"/>
  <c r="J850" i="11"/>
  <c r="J839" i="11"/>
  <c r="J828" i="11"/>
  <c r="J817" i="11"/>
  <c r="J806" i="11"/>
  <c r="J795" i="11"/>
  <c r="J784" i="11"/>
  <c r="J772" i="11"/>
  <c r="J761" i="11"/>
  <c r="J750" i="11"/>
  <c r="J739" i="11"/>
  <c r="J728" i="11"/>
  <c r="J717" i="11"/>
  <c r="J706" i="11"/>
  <c r="J695" i="11"/>
  <c r="J684" i="11"/>
  <c r="J672" i="11"/>
  <c r="J661" i="11"/>
  <c r="J650" i="11"/>
  <c r="J639" i="11"/>
  <c r="J628" i="11"/>
  <c r="J617" i="11"/>
  <c r="J606" i="11"/>
  <c r="J595" i="11"/>
  <c r="J584" i="11"/>
  <c r="J573" i="11"/>
  <c r="J563" i="11"/>
  <c r="J553" i="11"/>
  <c r="J543" i="11"/>
  <c r="J533" i="11"/>
  <c r="J523" i="11"/>
  <c r="J513" i="11"/>
  <c r="J503" i="11"/>
  <c r="J493" i="11"/>
  <c r="J483" i="11"/>
  <c r="J473" i="11"/>
  <c r="J463" i="11"/>
  <c r="J453" i="11"/>
  <c r="J443" i="11"/>
  <c r="J433" i="11"/>
  <c r="J423" i="11"/>
  <c r="J413" i="11"/>
  <c r="J403" i="11"/>
  <c r="J393" i="11"/>
  <c r="J383" i="11"/>
  <c r="J373" i="11"/>
  <c r="J363" i="11"/>
  <c r="J353" i="11"/>
  <c r="J343" i="11"/>
  <c r="J333" i="11"/>
  <c r="J323" i="11"/>
  <c r="J313" i="11"/>
  <c r="J303" i="11"/>
  <c r="J293" i="11"/>
  <c r="J283" i="11"/>
  <c r="J273" i="11"/>
  <c r="J263" i="11"/>
  <c r="J253" i="11"/>
  <c r="J243" i="11"/>
  <c r="J233" i="11"/>
  <c r="J223" i="11"/>
  <c r="J213" i="11"/>
  <c r="J203" i="11"/>
  <c r="J193" i="11"/>
  <c r="J183" i="11"/>
  <c r="J173" i="11"/>
  <c r="J163" i="11"/>
  <c r="J153" i="11"/>
  <c r="J143" i="11"/>
  <c r="J133" i="11"/>
  <c r="J123" i="11"/>
  <c r="J113" i="11"/>
  <c r="J103" i="11"/>
  <c r="J93" i="11"/>
  <c r="J83" i="11"/>
  <c r="J73" i="11"/>
  <c r="J63" i="11"/>
  <c r="J53" i="11"/>
  <c r="J43" i="11"/>
  <c r="J33" i="11"/>
  <c r="J23" i="11"/>
  <c r="J13" i="11"/>
  <c r="J3" i="11"/>
  <c r="J2453" i="11"/>
  <c r="J2436" i="11"/>
  <c r="J2420" i="11"/>
  <c r="J2403" i="11"/>
  <c r="J2385" i="11"/>
  <c r="J2367" i="11"/>
  <c r="J2352" i="11"/>
  <c r="J2335" i="11"/>
  <c r="J2317" i="11"/>
  <c r="J2300" i="11"/>
  <c r="J2286" i="11"/>
  <c r="J2270" i="11"/>
  <c r="J2256" i="11"/>
  <c r="J2239" i="11"/>
  <c r="J2225" i="11"/>
  <c r="J2210" i="11"/>
  <c r="J2195" i="11"/>
  <c r="J2179" i="11"/>
  <c r="J2164" i="11"/>
  <c r="J2148" i="11"/>
  <c r="J2134" i="11"/>
  <c r="J2117" i="11"/>
  <c r="J2103" i="11"/>
  <c r="J2088" i="11"/>
  <c r="J2073" i="11"/>
  <c r="J2058" i="11"/>
  <c r="J2043" i="11"/>
  <c r="J2026" i="11"/>
  <c r="J2012" i="11"/>
  <c r="J1997" i="11"/>
  <c r="J1980" i="11"/>
  <c r="J1966" i="11"/>
  <c r="J1950" i="11"/>
  <c r="J1936" i="11"/>
  <c r="J1920" i="11"/>
  <c r="J1905" i="11"/>
  <c r="J1889" i="11"/>
  <c r="J1875" i="11"/>
  <c r="J1858" i="11"/>
  <c r="J1844" i="11"/>
  <c r="J1828" i="11"/>
  <c r="J1814" i="11"/>
  <c r="J1799" i="11"/>
  <c r="J1783" i="11"/>
  <c r="J1768" i="11"/>
  <c r="J1753" i="11"/>
  <c r="J1737" i="11"/>
  <c r="J1722" i="11"/>
  <c r="J1706" i="11"/>
  <c r="J1692" i="11"/>
  <c r="J1677" i="11"/>
  <c r="J1660" i="11"/>
  <c r="J1646" i="11"/>
  <c r="J1632" i="11"/>
  <c r="J1615" i="11"/>
  <c r="J1601" i="11"/>
  <c r="J1587" i="11"/>
  <c r="J1574" i="11"/>
  <c r="J1561" i="11"/>
  <c r="J1547" i="11"/>
  <c r="J1533" i="11"/>
  <c r="J1520" i="11"/>
  <c r="J1507" i="11"/>
  <c r="J1494" i="11"/>
  <c r="J1481" i="11"/>
  <c r="J1469" i="11"/>
  <c r="J1457" i="11"/>
  <c r="J1445" i="11"/>
  <c r="J1432" i="11"/>
  <c r="J1420" i="11"/>
  <c r="J1408" i="11"/>
  <c r="J1396" i="11"/>
  <c r="J1382" i="11"/>
  <c r="J1370" i="11"/>
  <c r="J1358" i="11"/>
  <c r="J1346" i="11"/>
  <c r="J1334" i="11"/>
  <c r="J1321" i="11"/>
  <c r="J1309" i="11"/>
  <c r="J1297" i="11"/>
  <c r="J1285" i="11"/>
  <c r="J1271" i="11"/>
  <c r="J1259" i="11"/>
  <c r="J1247" i="11"/>
  <c r="J1235" i="11"/>
  <c r="J1222" i="11"/>
  <c r="J1210" i="11"/>
  <c r="J1198" i="11"/>
  <c r="J1186" i="11"/>
  <c r="J1174" i="11"/>
  <c r="J1160" i="11"/>
  <c r="J1148" i="11"/>
  <c r="J1136" i="11"/>
  <c r="J1124" i="11"/>
  <c r="J1111" i="11"/>
  <c r="J1099" i="11"/>
  <c r="J1087" i="11"/>
  <c r="J1075" i="11"/>
  <c r="J1062" i="11"/>
  <c r="J1049" i="11"/>
  <c r="J1037" i="11"/>
  <c r="J1025" i="11"/>
  <c r="J1012" i="11"/>
  <c r="J1000" i="11"/>
  <c r="J988" i="11"/>
  <c r="J976" i="11"/>
  <c r="J964" i="11"/>
  <c r="J951" i="11"/>
  <c r="J938" i="11"/>
  <c r="J926" i="11"/>
  <c r="J914" i="11"/>
  <c r="J901" i="11"/>
  <c r="J889" i="11"/>
  <c r="J877" i="11"/>
  <c r="J865" i="11"/>
  <c r="J852" i="11"/>
  <c r="J840" i="11"/>
  <c r="J827" i="11"/>
  <c r="J815" i="11"/>
  <c r="J802" i="11"/>
  <c r="J790" i="11"/>
  <c r="J778" i="11"/>
  <c r="J766" i="11"/>
  <c r="J754" i="11"/>
  <c r="J741" i="11"/>
  <c r="J729" i="11"/>
  <c r="J716" i="11"/>
  <c r="J704" i="11"/>
  <c r="J691" i="11"/>
  <c r="J679" i="11"/>
  <c r="J667" i="11"/>
  <c r="J655" i="11"/>
  <c r="J642" i="11"/>
  <c r="J630" i="11"/>
  <c r="J618" i="11"/>
  <c r="J605" i="11"/>
  <c r="J592" i="11"/>
  <c r="J580" i="11"/>
  <c r="J569" i="11"/>
  <c r="J558" i="11"/>
  <c r="J547" i="11"/>
  <c r="J536" i="11"/>
  <c r="J525" i="11"/>
  <c r="J514" i="11"/>
  <c r="J502" i="11"/>
  <c r="J491" i="11"/>
  <c r="J480" i="11"/>
  <c r="J469" i="11"/>
  <c r="J458" i="11"/>
  <c r="J447" i="11"/>
  <c r="J436" i="11"/>
  <c r="J425" i="11"/>
  <c r="J414" i="11"/>
  <c r="J402" i="11"/>
  <c r="J391" i="11"/>
  <c r="J380" i="11"/>
  <c r="J369" i="11"/>
  <c r="J358" i="11"/>
  <c r="J347" i="11"/>
  <c r="J336" i="11"/>
  <c r="J325" i="11"/>
  <c r="J314" i="11"/>
  <c r="J302" i="11"/>
  <c r="J291" i="11"/>
  <c r="J280" i="11"/>
  <c r="J269" i="11"/>
  <c r="J258" i="11"/>
  <c r="J247" i="11"/>
  <c r="J236" i="11"/>
  <c r="J225" i="11"/>
  <c r="J214" i="11"/>
  <c r="J202" i="11"/>
  <c r="J191" i="11"/>
  <c r="J180" i="11"/>
  <c r="J169" i="11"/>
  <c r="J158" i="11"/>
  <c r="J147" i="11"/>
  <c r="J136" i="11"/>
  <c r="J125" i="11"/>
  <c r="J114" i="11"/>
  <c r="J102" i="11"/>
  <c r="J91" i="11"/>
  <c r="J80" i="11"/>
  <c r="J69" i="11"/>
  <c r="J58" i="11"/>
  <c r="J47" i="11"/>
  <c r="J36" i="11"/>
  <c r="J25" i="11"/>
  <c r="J14" i="11"/>
  <c r="J2452" i="11"/>
  <c r="J2435" i="11"/>
  <c r="J2417" i="11"/>
  <c r="J2402" i="11"/>
  <c r="J2384" i="11"/>
  <c r="J2366" i="11"/>
  <c r="J2350" i="11"/>
  <c r="J2334" i="11"/>
  <c r="J2314" i="11"/>
  <c r="J2299" i="11"/>
  <c r="J2284" i="11"/>
  <c r="J2269" i="11"/>
  <c r="J2254" i="11"/>
  <c r="J2238" i="11"/>
  <c r="J2224" i="11"/>
  <c r="J2209" i="11"/>
  <c r="J2194" i="11"/>
  <c r="J2177" i="11"/>
  <c r="J2162" i="11"/>
  <c r="J2147" i="11"/>
  <c r="J2133" i="11"/>
  <c r="J2116" i="11"/>
  <c r="J2102" i="11"/>
  <c r="J2087" i="11"/>
  <c r="J2072" i="11"/>
  <c r="J2056" i="11"/>
  <c r="J2039" i="11"/>
  <c r="J2025" i="11"/>
  <c r="J2010" i="11"/>
  <c r="J1994" i="11"/>
  <c r="J1979" i="11"/>
  <c r="J1965" i="11"/>
  <c r="J1949" i="11"/>
  <c r="J1935" i="11"/>
  <c r="J1919" i="11"/>
  <c r="J1903" i="11"/>
  <c r="J1888" i="11"/>
  <c r="J1873" i="11"/>
  <c r="J1857" i="11"/>
  <c r="J1843" i="11"/>
  <c r="J1827" i="11"/>
  <c r="J1813" i="11"/>
  <c r="J1797" i="11"/>
  <c r="J1782" i="11"/>
  <c r="J1766" i="11"/>
  <c r="J1750" i="11"/>
  <c r="J1735" i="11"/>
  <c r="J1720" i="11"/>
  <c r="J1705" i="11"/>
  <c r="J1690" i="11"/>
  <c r="J1676" i="11"/>
  <c r="J1659" i="11"/>
  <c r="J1645" i="11"/>
  <c r="J1628" i="11"/>
  <c r="J1614" i="11"/>
  <c r="J1600" i="11"/>
  <c r="J1586" i="11"/>
  <c r="J1573" i="11"/>
  <c r="J1560" i="11"/>
  <c r="J1545" i="11"/>
  <c r="J1532" i="11"/>
  <c r="J1519" i="11"/>
  <c r="J1505" i="11"/>
  <c r="J1492" i="11"/>
  <c r="J1480" i="11"/>
  <c r="J1468" i="11"/>
  <c r="J1456" i="11"/>
  <c r="J1444" i="11"/>
  <c r="J1431" i="11"/>
  <c r="J1419" i="11"/>
  <c r="J1407" i="11"/>
  <c r="J1394" i="11"/>
  <c r="J1381" i="11"/>
  <c r="J1369" i="11"/>
  <c r="J1357" i="11"/>
  <c r="J1345" i="11"/>
  <c r="J1332" i="11"/>
  <c r="J1320" i="11"/>
  <c r="J1308" i="11"/>
  <c r="J1296" i="11"/>
  <c r="J1282" i="11"/>
  <c r="J1270" i="11"/>
  <c r="J1258" i="11"/>
  <c r="J1246" i="11"/>
  <c r="J1234" i="11"/>
  <c r="J2450" i="11"/>
  <c r="J2434" i="11"/>
  <c r="J2416" i="11"/>
  <c r="J2398" i="11"/>
  <c r="J2383" i="11"/>
  <c r="J2365" i="11"/>
  <c r="J2348" i="11"/>
  <c r="J2328" i="11"/>
  <c r="J2448" i="11"/>
  <c r="J2426" i="11"/>
  <c r="J2404" i="11"/>
  <c r="J2376" i="11"/>
  <c r="J2354" i="11"/>
  <c r="J2326" i="11"/>
  <c r="J2308" i="11"/>
  <c r="J2289" i="11"/>
  <c r="J2268" i="11"/>
  <c r="J2249" i="11"/>
  <c r="J2232" i="11"/>
  <c r="J2213" i="11"/>
  <c r="J2190" i="11"/>
  <c r="J2173" i="11"/>
  <c r="J2155" i="11"/>
  <c r="J2136" i="11"/>
  <c r="J2115" i="11"/>
  <c r="J2098" i="11"/>
  <c r="J2078" i="11"/>
  <c r="J2060" i="11"/>
  <c r="J2038" i="11"/>
  <c r="J2022" i="11"/>
  <c r="J2003" i="11"/>
  <c r="J1984" i="11"/>
  <c r="J1964" i="11"/>
  <c r="J1944" i="11"/>
  <c r="J1926" i="11"/>
  <c r="J1908" i="11"/>
  <c r="J1887" i="11"/>
  <c r="J1868" i="11"/>
  <c r="J1850" i="11"/>
  <c r="J1832" i="11"/>
  <c r="J1812" i="11"/>
  <c r="J1792" i="11"/>
  <c r="J1775" i="11"/>
  <c r="J1756" i="11"/>
  <c r="J1734" i="11"/>
  <c r="J1716" i="11"/>
  <c r="J1697" i="11"/>
  <c r="J1679" i="11"/>
  <c r="J1658" i="11"/>
  <c r="J1639" i="11"/>
  <c r="J1622" i="11"/>
  <c r="J1605" i="11"/>
  <c r="J1585" i="11"/>
  <c r="J1570" i="11"/>
  <c r="J1552" i="11"/>
  <c r="J1536" i="11"/>
  <c r="J1516" i="11"/>
  <c r="J1501" i="11"/>
  <c r="J1487" i="11"/>
  <c r="J1471" i="11"/>
  <c r="J1455" i="11"/>
  <c r="J1440" i="11"/>
  <c r="J1425" i="11"/>
  <c r="J1410" i="11"/>
  <c r="J1392" i="11"/>
  <c r="J1378" i="11"/>
  <c r="J1364" i="11"/>
  <c r="J1348" i="11"/>
  <c r="J1331" i="11"/>
  <c r="J1316" i="11"/>
  <c r="J1301" i="11"/>
  <c r="J1287" i="11"/>
  <c r="J1269" i="11"/>
  <c r="J1255" i="11"/>
  <c r="J1240" i="11"/>
  <c r="J1225" i="11"/>
  <c r="J1211" i="11"/>
  <c r="J1197" i="11"/>
  <c r="J1182" i="11"/>
  <c r="J1169" i="11"/>
  <c r="J1156" i="11"/>
  <c r="J1142" i="11"/>
  <c r="J1129" i="11"/>
  <c r="J1115" i="11"/>
  <c r="J1101" i="11"/>
  <c r="J1088" i="11"/>
  <c r="J1074" i="11"/>
  <c r="J1059" i="11"/>
  <c r="J1046" i="11"/>
  <c r="J1032" i="11"/>
  <c r="J1019" i="11"/>
  <c r="J1005" i="11"/>
  <c r="J991" i="11"/>
  <c r="J978" i="11"/>
  <c r="J965" i="11"/>
  <c r="J949" i="11"/>
  <c r="J936" i="11"/>
  <c r="J922" i="11"/>
  <c r="J909" i="11"/>
  <c r="J896" i="11"/>
  <c r="J881" i="11"/>
  <c r="J868" i="11"/>
  <c r="J855" i="11"/>
  <c r="J841" i="11"/>
  <c r="J826" i="11"/>
  <c r="J812" i="11"/>
  <c r="J799" i="11"/>
  <c r="J786" i="11"/>
  <c r="J771" i="11"/>
  <c r="J758" i="11"/>
  <c r="J745" i="11"/>
  <c r="J731" i="11"/>
  <c r="J718" i="11"/>
  <c r="J702" i="11"/>
  <c r="J689" i="11"/>
  <c r="J676" i="11"/>
  <c r="J662" i="11"/>
  <c r="J648" i="11"/>
  <c r="J635" i="11"/>
  <c r="J621" i="11"/>
  <c r="J608" i="11"/>
  <c r="J594" i="11"/>
  <c r="J579" i="11"/>
  <c r="J567" i="11"/>
  <c r="J555" i="11"/>
  <c r="J542" i="11"/>
  <c r="J530" i="11"/>
  <c r="J518" i="11"/>
  <c r="J506" i="11"/>
  <c r="J494" i="11"/>
  <c r="J481" i="11"/>
  <c r="J468" i="11"/>
  <c r="J456" i="11"/>
  <c r="J444" i="11"/>
  <c r="J431" i="11"/>
  <c r="J419" i="11"/>
  <c r="J407" i="11"/>
  <c r="J395" i="11"/>
  <c r="J382" i="11"/>
  <c r="J370" i="11"/>
  <c r="J357" i="11"/>
  <c r="J345" i="11"/>
  <c r="J332" i="11"/>
  <c r="J320" i="11"/>
  <c r="J308" i="11"/>
  <c r="J296" i="11"/>
  <c r="J284" i="11"/>
  <c r="J271" i="11"/>
  <c r="J259" i="11"/>
  <c r="J246" i="11"/>
  <c r="J234" i="11"/>
  <c r="J221" i="11"/>
  <c r="J209" i="11"/>
  <c r="J197" i="11"/>
  <c r="J185" i="11"/>
  <c r="J172" i="11"/>
  <c r="J160" i="11"/>
  <c r="J148" i="11"/>
  <c r="J135" i="11"/>
  <c r="J122" i="11"/>
  <c r="J110" i="11"/>
  <c r="J98" i="11"/>
  <c r="J86" i="11"/>
  <c r="J74" i="11"/>
  <c r="J61" i="11"/>
  <c r="J49" i="11"/>
  <c r="J37" i="11"/>
  <c r="J24" i="11"/>
  <c r="J11" i="11"/>
  <c r="J2447" i="11"/>
  <c r="J2425" i="11"/>
  <c r="J2397" i="11"/>
  <c r="J2375" i="11"/>
  <c r="J2353" i="11"/>
  <c r="J2325" i="11"/>
  <c r="J2306" i="11"/>
  <c r="J2287" i="11"/>
  <c r="J2266" i="11"/>
  <c r="J2248" i="11"/>
  <c r="J2228" i="11"/>
  <c r="J2212" i="11"/>
  <c r="J2189" i="11"/>
  <c r="J2172" i="11"/>
  <c r="J2154" i="11"/>
  <c r="J2135" i="11"/>
  <c r="J2114" i="11"/>
  <c r="J2095" i="11"/>
  <c r="J2077" i="11"/>
  <c r="J2059" i="11"/>
  <c r="J2037" i="11"/>
  <c r="J2019" i="11"/>
  <c r="J2002" i="11"/>
  <c r="J1982" i="11"/>
  <c r="J1962" i="11"/>
  <c r="J1943" i="11"/>
  <c r="J1925" i="11"/>
  <c r="J1906" i="11"/>
  <c r="J1886" i="11"/>
  <c r="J1867" i="11"/>
  <c r="J1848" i="11"/>
  <c r="J1830" i="11"/>
  <c r="J1809" i="11"/>
  <c r="J1790" i="11"/>
  <c r="J1772" i="11"/>
  <c r="J1755" i="11"/>
  <c r="J1733" i="11"/>
  <c r="J1715" i="11"/>
  <c r="J1695" i="11"/>
  <c r="J1678" i="11"/>
  <c r="J1656" i="11"/>
  <c r="J1638" i="11"/>
  <c r="J1620" i="11"/>
  <c r="J1603" i="11"/>
  <c r="J1584" i="11"/>
  <c r="J1567" i="11"/>
  <c r="J1551" i="11"/>
  <c r="J1534" i="11"/>
  <c r="J1515" i="11"/>
  <c r="J1500" i="11"/>
  <c r="J1486" i="11"/>
  <c r="J1470" i="11"/>
  <c r="J1454" i="11"/>
  <c r="J1438" i="11"/>
  <c r="J1424" i="11"/>
  <c r="J1409" i="11"/>
  <c r="J1391" i="11"/>
  <c r="J1377" i="11"/>
  <c r="J1362" i="11"/>
  <c r="J1347" i="11"/>
  <c r="J1330" i="11"/>
  <c r="J1315" i="11"/>
  <c r="J1300" i="11"/>
  <c r="J1286" i="11"/>
  <c r="J1268" i="11"/>
  <c r="J1254" i="11"/>
  <c r="J1238" i="11"/>
  <c r="J1224" i="11"/>
  <c r="J1209" i="11"/>
  <c r="J1196" i="11"/>
  <c r="J1181" i="11"/>
  <c r="J1168" i="11"/>
  <c r="J1155" i="11"/>
  <c r="J1141" i="11"/>
  <c r="J1127" i="11"/>
  <c r="J1114" i="11"/>
  <c r="J1100" i="11"/>
  <c r="J1086" i="11"/>
  <c r="J1071" i="11"/>
  <c r="J1058" i="11"/>
  <c r="J1045" i="11"/>
  <c r="J1031" i="11"/>
  <c r="J1018" i="11"/>
  <c r="J1004" i="11"/>
  <c r="J990" i="11"/>
  <c r="J977" i="11"/>
  <c r="J962" i="11"/>
  <c r="J948" i="11"/>
  <c r="J935" i="11"/>
  <c r="J921" i="11"/>
  <c r="J908" i="11"/>
  <c r="J894" i="11"/>
  <c r="J880" i="11"/>
  <c r="J867" i="11"/>
  <c r="J854" i="11"/>
  <c r="J838" i="11"/>
  <c r="J825" i="11"/>
  <c r="J811" i="11"/>
  <c r="J798" i="11"/>
  <c r="J785" i="11"/>
  <c r="J770" i="11"/>
  <c r="J757" i="11"/>
  <c r="J744" i="11"/>
  <c r="J730" i="11"/>
  <c r="J715" i="11"/>
  <c r="J701" i="11"/>
  <c r="J688" i="11"/>
  <c r="J675" i="11"/>
  <c r="J660" i="11"/>
  <c r="J647" i="11"/>
  <c r="J634" i="11"/>
  <c r="J620" i="11"/>
  <c r="J607" i="11"/>
  <c r="J591" i="11"/>
  <c r="J578" i="11"/>
  <c r="J566" i="11"/>
  <c r="J554" i="11"/>
  <c r="J541" i="11"/>
  <c r="J529" i="11"/>
  <c r="J517" i="11"/>
  <c r="J505" i="11"/>
  <c r="J492" i="11"/>
  <c r="J479" i="11"/>
  <c r="J467" i="11"/>
  <c r="J2446" i="11"/>
  <c r="J2423" i="11"/>
  <c r="J2396" i="11"/>
  <c r="J2374" i="11"/>
  <c r="J2346" i="11"/>
  <c r="J2324" i="11"/>
  <c r="J2305" i="11"/>
  <c r="J2283" i="11"/>
  <c r="J2265" i="11"/>
  <c r="J2246" i="11"/>
  <c r="J2227" i="11"/>
  <c r="J2208" i="11"/>
  <c r="J2188" i="11"/>
  <c r="J2170" i="11"/>
  <c r="J2153" i="11"/>
  <c r="J2130" i="11"/>
  <c r="J2113" i="11"/>
  <c r="J2093" i="11"/>
  <c r="J2076" i="11"/>
  <c r="J2054" i="11"/>
  <c r="J2036" i="11"/>
  <c r="J2017" i="11"/>
  <c r="J1999" i="11"/>
  <c r="J1978" i="11"/>
  <c r="J1960" i="11"/>
  <c r="J1942" i="11"/>
  <c r="J1924" i="11"/>
  <c r="J1902" i="11"/>
  <c r="J1883" i="11"/>
  <c r="J1866" i="11"/>
  <c r="J1846" i="11"/>
  <c r="J1826" i="11"/>
  <c r="J1806" i="11"/>
  <c r="J1789" i="11"/>
  <c r="J1770" i="11"/>
  <c r="J1749" i="11"/>
  <c r="J1732" i="11"/>
  <c r="J1714" i="11"/>
  <c r="J1694" i="11"/>
  <c r="J1673" i="11"/>
  <c r="J1655" i="11"/>
  <c r="J1636" i="11"/>
  <c r="J1619" i="11"/>
  <c r="J1599" i="11"/>
  <c r="J1583" i="11"/>
  <c r="J1565" i="11"/>
  <c r="J1550" i="11"/>
  <c r="J1531" i="11"/>
  <c r="J1514" i="11"/>
  <c r="J1499" i="11"/>
  <c r="J1485" i="11"/>
  <c r="J1467" i="11"/>
  <c r="J1452" i="11"/>
  <c r="J1437" i="11"/>
  <c r="J1422" i="11"/>
  <c r="J1405" i="11"/>
  <c r="J1390" i="11"/>
  <c r="J1376" i="11"/>
  <c r="J1360" i="11"/>
  <c r="J1344" i="11"/>
  <c r="J1329" i="11"/>
  <c r="J1314" i="11"/>
  <c r="J1299" i="11"/>
  <c r="J1281" i="11"/>
  <c r="J1267" i="11"/>
  <c r="J1252" i="11"/>
  <c r="J1237" i="11"/>
  <c r="J1221" i="11"/>
  <c r="J1208" i="11"/>
  <c r="J1194" i="11"/>
  <c r="J1180" i="11"/>
  <c r="J1167" i="11"/>
  <c r="J1154" i="11"/>
  <c r="J1140" i="11"/>
  <c r="J1126" i="11"/>
  <c r="J1112" i="11"/>
  <c r="J1098" i="11"/>
  <c r="J1085" i="11"/>
  <c r="J1070" i="11"/>
  <c r="J1057" i="11"/>
  <c r="J1044" i="11"/>
  <c r="J1030" i="11"/>
  <c r="J1016" i="11"/>
  <c r="J1002" i="11"/>
  <c r="J989" i="11"/>
  <c r="J2445" i="11"/>
  <c r="J2412" i="11"/>
  <c r="J2378" i="11"/>
  <c r="J2340" i="11"/>
  <c r="J2310" i="11"/>
  <c r="J2280" i="11"/>
  <c r="J2257" i="11"/>
  <c r="J2226" i="11"/>
  <c r="J2200" i="11"/>
  <c r="J2175" i="11"/>
  <c r="J2145" i="11"/>
  <c r="J2122" i="11"/>
  <c r="J2090" i="11"/>
  <c r="J2065" i="11"/>
  <c r="J2035" i="11"/>
  <c r="J2009" i="11"/>
  <c r="J1986" i="11"/>
  <c r="J1955" i="11"/>
  <c r="J1928" i="11"/>
  <c r="J1899" i="11"/>
  <c r="J1876" i="11"/>
  <c r="J1845" i="11"/>
  <c r="J1819" i="11"/>
  <c r="J1793" i="11"/>
  <c r="J1764" i="11"/>
  <c r="J1742" i="11"/>
  <c r="J1709" i="11"/>
  <c r="J1683" i="11"/>
  <c r="J1654" i="11"/>
  <c r="J1627" i="11"/>
  <c r="J1606" i="11"/>
  <c r="J1577" i="11"/>
  <c r="J1555" i="11"/>
  <c r="J1527" i="11"/>
  <c r="J1508" i="11"/>
  <c r="J1482" i="11"/>
  <c r="J1462" i="11"/>
  <c r="J1441" i="11"/>
  <c r="J1416" i="11"/>
  <c r="J1398" i="11"/>
  <c r="J1374" i="11"/>
  <c r="J1352" i="11"/>
  <c r="J1327" i="11"/>
  <c r="J1307" i="11"/>
  <c r="J1288" i="11"/>
  <c r="J1264" i="11"/>
  <c r="J1242" i="11"/>
  <c r="J1219" i="11"/>
  <c r="J1201" i="11"/>
  <c r="J1179" i="11"/>
  <c r="J1162" i="11"/>
  <c r="J1144" i="11"/>
  <c r="J1121" i="11"/>
  <c r="J1104" i="11"/>
  <c r="J1081" i="11"/>
  <c r="J1065" i="11"/>
  <c r="J1042" i="11"/>
  <c r="J1024" i="11"/>
  <c r="J1007" i="11"/>
  <c r="J985" i="11"/>
  <c r="J968" i="11"/>
  <c r="J952" i="11"/>
  <c r="J932" i="11"/>
  <c r="J916" i="11"/>
  <c r="J899" i="11"/>
  <c r="J882" i="11"/>
  <c r="J864" i="11"/>
  <c r="J847" i="11"/>
  <c r="J831" i="11"/>
  <c r="J814" i="11"/>
  <c r="J796" i="11"/>
  <c r="J779" i="11"/>
  <c r="J762" i="11"/>
  <c r="J746" i="11"/>
  <c r="J726" i="11"/>
  <c r="J710" i="11"/>
  <c r="J694" i="11"/>
  <c r="J677" i="11"/>
  <c r="J658" i="11"/>
  <c r="J641" i="11"/>
  <c r="J625" i="11"/>
  <c r="J609" i="11"/>
  <c r="J589" i="11"/>
  <c r="J574" i="11"/>
  <c r="J559" i="11"/>
  <c r="J544" i="11"/>
  <c r="J527" i="11"/>
  <c r="J511" i="11"/>
  <c r="J497" i="11"/>
  <c r="J482" i="11"/>
  <c r="J465" i="11"/>
  <c r="J451" i="11"/>
  <c r="J438" i="11"/>
  <c r="J424" i="11"/>
  <c r="J410" i="11"/>
  <c r="J397" i="11"/>
  <c r="J384" i="11"/>
  <c r="J368" i="11"/>
  <c r="J355" i="11"/>
  <c r="J341" i="11"/>
  <c r="J328" i="11"/>
  <c r="J315" i="11"/>
  <c r="J300" i="11"/>
  <c r="J287" i="11"/>
  <c r="J274" i="11"/>
  <c r="J260" i="11"/>
  <c r="J245" i="11"/>
  <c r="J231" i="11"/>
  <c r="J218" i="11"/>
  <c r="J205" i="11"/>
  <c r="J190" i="11"/>
  <c r="J177" i="11"/>
  <c r="J164" i="11"/>
  <c r="J150" i="11"/>
  <c r="J137" i="11"/>
  <c r="J121" i="11"/>
  <c r="J108" i="11"/>
  <c r="J95" i="11"/>
  <c r="J81" i="11"/>
  <c r="J67" i="11"/>
  <c r="J54" i="11"/>
  <c r="J40" i="11"/>
  <c r="J27" i="11"/>
  <c r="J12" i="11"/>
  <c r="J2443" i="11"/>
  <c r="J2410" i="11"/>
  <c r="J2372" i="11"/>
  <c r="J2338" i="11"/>
  <c r="J2309" i="11"/>
  <c r="J2278" i="11"/>
  <c r="J2253" i="11"/>
  <c r="J2223" i="11"/>
  <c r="J2199" i="11"/>
  <c r="J2169" i="11"/>
  <c r="J2143" i="11"/>
  <c r="J2120" i="11"/>
  <c r="J2089" i="11"/>
  <c r="J2064" i="11"/>
  <c r="J2034" i="11"/>
  <c r="J2006" i="11"/>
  <c r="J1977" i="11"/>
  <c r="J1954" i="11"/>
  <c r="J1927" i="11"/>
  <c r="J1898" i="11"/>
  <c r="J1870" i="11"/>
  <c r="J1842" i="11"/>
  <c r="J1817" i="11"/>
  <c r="J1788" i="11"/>
  <c r="J1762" i="11"/>
  <c r="J1738" i="11"/>
  <c r="J1708" i="11"/>
  <c r="J1682" i="11"/>
  <c r="J1653" i="11"/>
  <c r="J1626" i="11"/>
  <c r="J1597" i="11"/>
  <c r="J1576" i="11"/>
  <c r="J1553" i="11"/>
  <c r="J1526" i="11"/>
  <c r="J1504" i="11"/>
  <c r="J1479" i="11"/>
  <c r="J1460" i="11"/>
  <c r="J1436" i="11"/>
  <c r="J1415" i="11"/>
  <c r="J1397" i="11"/>
  <c r="J1371" i="11"/>
  <c r="J1351" i="11"/>
  <c r="J1326" i="11"/>
  <c r="J1305" i="11"/>
  <c r="J1280" i="11"/>
  <c r="J1262" i="11"/>
  <c r="J1241" i="11"/>
  <c r="J1218" i="11"/>
  <c r="J1200" i="11"/>
  <c r="J1178" i="11"/>
  <c r="J1159" i="11"/>
  <c r="J1138" i="11"/>
  <c r="J1120" i="11"/>
  <c r="J1102" i="11"/>
  <c r="J1080" i="11"/>
  <c r="J1064" i="11"/>
  <c r="J1041" i="11"/>
  <c r="J1022" i="11"/>
  <c r="J1001" i="11"/>
  <c r="J982" i="11"/>
  <c r="J967" i="11"/>
  <c r="J947" i="11"/>
  <c r="J931" i="11"/>
  <c r="J915" i="11"/>
  <c r="J898" i="11"/>
  <c r="J879" i="11"/>
  <c r="J862" i="11"/>
  <c r="J846" i="11"/>
  <c r="J830" i="11"/>
  <c r="J810" i="11"/>
  <c r="J794" i="11"/>
  <c r="J777" i="11"/>
  <c r="J760" i="11"/>
  <c r="J742" i="11"/>
  <c r="J725" i="11"/>
  <c r="J709" i="11"/>
  <c r="J692" i="11"/>
  <c r="J674" i="11"/>
  <c r="J657" i="11"/>
  <c r="J640" i="11"/>
  <c r="J624" i="11"/>
  <c r="J604" i="11"/>
  <c r="J588" i="11"/>
  <c r="J572" i="11"/>
  <c r="J557" i="11"/>
  <c r="J540" i="11"/>
  <c r="J526" i="11"/>
  <c r="J510" i="11"/>
  <c r="J496" i="11"/>
  <c r="J478" i="11"/>
  <c r="J464" i="11"/>
  <c r="J450" i="11"/>
  <c r="J437" i="11"/>
  <c r="J422" i="11"/>
  <c r="J409" i="11"/>
  <c r="J396" i="11"/>
  <c r="J381" i="11"/>
  <c r="J367" i="11"/>
  <c r="J354" i="11"/>
  <c r="J340" i="11"/>
  <c r="J327" i="11"/>
  <c r="J312" i="11"/>
  <c r="J299" i="11"/>
  <c r="J286" i="11"/>
  <c r="J272" i="11"/>
  <c r="J257" i="11"/>
  <c r="J244" i="11"/>
  <c r="J230" i="11"/>
  <c r="J217" i="11"/>
  <c r="J204" i="11"/>
  <c r="J189" i="11"/>
  <c r="J176" i="11"/>
  <c r="J162" i="11"/>
  <c r="J149" i="11"/>
  <c r="J134" i="11"/>
  <c r="J120" i="11"/>
  <c r="J107" i="11"/>
  <c r="J94" i="11"/>
  <c r="J79" i="11"/>
  <c r="J66" i="11"/>
  <c r="J52" i="11"/>
  <c r="J39" i="11"/>
  <c r="J26" i="11"/>
  <c r="J10" i="11"/>
  <c r="J2440" i="11"/>
  <c r="J2407" i="11"/>
  <c r="J2370" i="11"/>
  <c r="J2337" i="11"/>
  <c r="J2303" i="11"/>
  <c r="J2277" i="11"/>
  <c r="J2250" i="11"/>
  <c r="J2222" i="11"/>
  <c r="J2198" i="11"/>
  <c r="J2167" i="11"/>
  <c r="J2142" i="11"/>
  <c r="J2112" i="11"/>
  <c r="J2086" i="11"/>
  <c r="J2062" i="11"/>
  <c r="J2032" i="11"/>
  <c r="J2005" i="11"/>
  <c r="J1976" i="11"/>
  <c r="J1953" i="11"/>
  <c r="J1923" i="11"/>
  <c r="J1895" i="11"/>
  <c r="J1869" i="11"/>
  <c r="J1839" i="11"/>
  <c r="J1816" i="11"/>
  <c r="J1787" i="11"/>
  <c r="J1759" i="11"/>
  <c r="J1730" i="11"/>
  <c r="J1704" i="11"/>
  <c r="J1680" i="11"/>
  <c r="J1650" i="11"/>
  <c r="J1624" i="11"/>
  <c r="J1596" i="11"/>
  <c r="J1575" i="11"/>
  <c r="J1549" i="11"/>
  <c r="J1525" i="11"/>
  <c r="J1502" i="11"/>
  <c r="J1478" i="11"/>
  <c r="J1459" i="11"/>
  <c r="J1435" i="11"/>
  <c r="J1414" i="11"/>
  <c r="J1389" i="11"/>
  <c r="J1368" i="11"/>
  <c r="J1349" i="11"/>
  <c r="J1325" i="11"/>
  <c r="J1304" i="11"/>
  <c r="J1279" i="11"/>
  <c r="J1260" i="11"/>
  <c r="J1236" i="11"/>
  <c r="J1216" i="11"/>
  <c r="J1199" i="11"/>
  <c r="J1177" i="11"/>
  <c r="J1158" i="11"/>
  <c r="J1137" i="11"/>
  <c r="J1119" i="11"/>
  <c r="J1097" i="11"/>
  <c r="J1079" i="11"/>
  <c r="J1060" i="11"/>
  <c r="J1040" i="11"/>
  <c r="J1021" i="11"/>
  <c r="J999" i="11"/>
  <c r="J981" i="11"/>
  <c r="J966" i="11"/>
  <c r="J946" i="11"/>
  <c r="J930" i="11"/>
  <c r="J912" i="11"/>
  <c r="J897" i="11"/>
  <c r="J878" i="11"/>
  <c r="J860" i="11"/>
  <c r="J845" i="11"/>
  <c r="J829" i="11"/>
  <c r="J809" i="11"/>
  <c r="J792" i="11"/>
  <c r="J776" i="11"/>
  <c r="J759" i="11"/>
  <c r="J740" i="11"/>
  <c r="J724" i="11"/>
  <c r="J708" i="11"/>
  <c r="J690" i="11"/>
  <c r="J671" i="11"/>
  <c r="J656" i="11"/>
  <c r="J638" i="11"/>
  <c r="J622" i="11"/>
  <c r="J602" i="11"/>
  <c r="J587" i="11"/>
  <c r="J571" i="11"/>
  <c r="J556" i="11"/>
  <c r="J539" i="11"/>
  <c r="J524" i="11"/>
  <c r="J509" i="11"/>
  <c r="J495" i="11"/>
  <c r="J477" i="11"/>
  <c r="J462" i="11"/>
  <c r="J449" i="11"/>
  <c r="J435" i="11"/>
  <c r="J421" i="11"/>
  <c r="J408" i="11"/>
  <c r="J394" i="11"/>
  <c r="J379" i="11"/>
  <c r="J366" i="11"/>
  <c r="J352" i="11"/>
  <c r="J339" i="11"/>
  <c r="J326" i="11"/>
  <c r="J311" i="11"/>
  <c r="J298" i="11"/>
  <c r="J285" i="11"/>
  <c r="J270" i="11"/>
  <c r="J256" i="11"/>
  <c r="J242" i="11"/>
  <c r="J229" i="11"/>
  <c r="J216" i="11"/>
  <c r="J201" i="11"/>
  <c r="J188" i="11"/>
  <c r="J175" i="11"/>
  <c r="J161" i="11"/>
  <c r="J146" i="11"/>
  <c r="J132" i="11"/>
  <c r="J119" i="11"/>
  <c r="J106" i="11"/>
  <c r="J92" i="11"/>
  <c r="J78" i="11"/>
  <c r="J65" i="11"/>
  <c r="J51" i="11"/>
  <c r="J38" i="11"/>
  <c r="J22" i="11"/>
  <c r="J9" i="11"/>
  <c r="J2437" i="11"/>
  <c r="J2390" i="11"/>
  <c r="J2342" i="11"/>
  <c r="J2295" i="11"/>
  <c r="J2259" i="11"/>
  <c r="J2216" i="11"/>
  <c r="J2183" i="11"/>
  <c r="J2139" i="11"/>
  <c r="J2104" i="11"/>
  <c r="J2066" i="11"/>
  <c r="J2024" i="11"/>
  <c r="J1989" i="11"/>
  <c r="J1947" i="11"/>
  <c r="J1912" i="11"/>
  <c r="J1865" i="11"/>
  <c r="J1833" i="11"/>
  <c r="J1795" i="11"/>
  <c r="J1747" i="11"/>
  <c r="J1717" i="11"/>
  <c r="J1669" i="11"/>
  <c r="J1635" i="11"/>
  <c r="J1595" i="11"/>
  <c r="J1563" i="11"/>
  <c r="J1529" i="11"/>
  <c r="J1496" i="11"/>
  <c r="J1465" i="11"/>
  <c r="J1430" i="11"/>
  <c r="J1401" i="11"/>
  <c r="J1367" i="11"/>
  <c r="J1338" i="11"/>
  <c r="J1310" i="11"/>
  <c r="J1276" i="11"/>
  <c r="J1245" i="11"/>
  <c r="J1214" i="11"/>
  <c r="J1188" i="11"/>
  <c r="J1157" i="11"/>
  <c r="J1131" i="11"/>
  <c r="J1105" i="11"/>
  <c r="J1076" i="11"/>
  <c r="J1048" i="11"/>
  <c r="J1015" i="11"/>
  <c r="J992" i="11"/>
  <c r="J960" i="11"/>
  <c r="J941" i="11"/>
  <c r="J918" i="11"/>
  <c r="J890" i="11"/>
  <c r="J869" i="11"/>
  <c r="J842" i="11"/>
  <c r="J819" i="11"/>
  <c r="J791" i="11"/>
  <c r="J768" i="11"/>
  <c r="J747" i="11"/>
  <c r="J720" i="11"/>
  <c r="J697" i="11"/>
  <c r="J669" i="11"/>
  <c r="J646" i="11"/>
  <c r="J619" i="11"/>
  <c r="J598" i="11"/>
  <c r="J575" i="11"/>
  <c r="J550" i="11"/>
  <c r="J531" i="11"/>
  <c r="J507" i="11"/>
  <c r="J486" i="11"/>
  <c r="J461" i="11"/>
  <c r="J442" i="11"/>
  <c r="J426" i="11"/>
  <c r="J404" i="11"/>
  <c r="J386" i="11"/>
  <c r="J364" i="11"/>
  <c r="J346" i="11"/>
  <c r="J324" i="11"/>
  <c r="J306" i="11"/>
  <c r="J288" i="11"/>
  <c r="J266" i="11"/>
  <c r="J249" i="11"/>
  <c r="J227" i="11"/>
  <c r="J208" i="11"/>
  <c r="J187" i="11"/>
  <c r="J168" i="11"/>
  <c r="J151" i="11"/>
  <c r="J129" i="11"/>
  <c r="J111" i="11"/>
  <c r="J89" i="11"/>
  <c r="J71" i="11"/>
  <c r="J50" i="11"/>
  <c r="J31" i="11"/>
  <c r="J15" i="11"/>
  <c r="J2433" i="11"/>
  <c r="J2388" i="11"/>
  <c r="J2336" i="11"/>
  <c r="J2294" i="11"/>
  <c r="J2258" i="11"/>
  <c r="J2215" i="11"/>
  <c r="J2182" i="11"/>
  <c r="J2138" i="11"/>
  <c r="J2100" i="11"/>
  <c r="J2053" i="11"/>
  <c r="J2023" i="11"/>
  <c r="J1988" i="11"/>
  <c r="J1939" i="11"/>
  <c r="J1910" i="11"/>
  <c r="J1862" i="11"/>
  <c r="J1825" i="11"/>
  <c r="J1784" i="11"/>
  <c r="J1746" i="11"/>
  <c r="J1710" i="11"/>
  <c r="J1668" i="11"/>
  <c r="J1634" i="11"/>
  <c r="J1594" i="11"/>
  <c r="J1562" i="11"/>
  <c r="J1523" i="11"/>
  <c r="J1491" i="11"/>
  <c r="J1464" i="11"/>
  <c r="J1429" i="11"/>
  <c r="J1400" i="11"/>
  <c r="J1366" i="11"/>
  <c r="J1337" i="11"/>
  <c r="J1302" i="11"/>
  <c r="J1275" i="11"/>
  <c r="J1244" i="11"/>
  <c r="J1212" i="11"/>
  <c r="J1187" i="11"/>
  <c r="J1152" i="11"/>
  <c r="J1130" i="11"/>
  <c r="J1096" i="11"/>
  <c r="J1069" i="11"/>
  <c r="J1047" i="11"/>
  <c r="J1014" i="11"/>
  <c r="J987" i="11"/>
  <c r="J959" i="11"/>
  <c r="J940" i="11"/>
  <c r="J911" i="11"/>
  <c r="J888" i="11"/>
  <c r="J866" i="11"/>
  <c r="J837" i="11"/>
  <c r="J818" i="11"/>
  <c r="J789" i="11"/>
  <c r="J767" i="11"/>
  <c r="J738" i="11"/>
  <c r="J719" i="11"/>
  <c r="J696" i="11"/>
  <c r="J668" i="11"/>
  <c r="J645" i="11"/>
  <c r="J616" i="11"/>
  <c r="J597" i="11"/>
  <c r="J570" i="11"/>
  <c r="J549" i="11"/>
  <c r="J528" i="11"/>
  <c r="J504" i="11"/>
  <c r="J485" i="11"/>
  <c r="J460" i="11"/>
  <c r="J441" i="11"/>
  <c r="J420" i="11"/>
  <c r="J401" i="11"/>
  <c r="J385" i="11"/>
  <c r="J362" i="11"/>
  <c r="J344" i="11"/>
  <c r="J322" i="11"/>
  <c r="J305" i="11"/>
  <c r="J282" i="11"/>
  <c r="J265" i="11"/>
  <c r="J248" i="11"/>
  <c r="J226" i="11"/>
  <c r="J207" i="11"/>
  <c r="J186" i="11"/>
  <c r="J167" i="11"/>
  <c r="J145" i="11"/>
  <c r="J128" i="11"/>
  <c r="J109" i="11"/>
  <c r="J88" i="11"/>
  <c r="J70" i="11"/>
  <c r="J48" i="11"/>
  <c r="J30" i="11"/>
  <c r="J8" i="11"/>
  <c r="J2430" i="11"/>
  <c r="J2387" i="11"/>
  <c r="J2327" i="11"/>
  <c r="J2293" i="11"/>
  <c r="J2245" i="11"/>
  <c r="J2214" i="11"/>
  <c r="J2176" i="11"/>
  <c r="J2128" i="11"/>
  <c r="J2099" i="11"/>
  <c r="J2050" i="11"/>
  <c r="J2016" i="11"/>
  <c r="J1975" i="11"/>
  <c r="J1938" i="11"/>
  <c r="J1900" i="11"/>
  <c r="J1860" i="11"/>
  <c r="J1824" i="11"/>
  <c r="J1779" i="11"/>
  <c r="J1745" i="11"/>
  <c r="J1703" i="11"/>
  <c r="J1667" i="11"/>
  <c r="J1633" i="11"/>
  <c r="J1593" i="11"/>
  <c r="J1559" i="11"/>
  <c r="J1522" i="11"/>
  <c r="J1490" i="11"/>
  <c r="J1458" i="11"/>
  <c r="J1427" i="11"/>
  <c r="J1399" i="11"/>
  <c r="J1365" i="11"/>
  <c r="J1336" i="11"/>
  <c r="J1298" i="11"/>
  <c r="J1274" i="11"/>
  <c r="J1232" i="11"/>
  <c r="J1207" i="11"/>
  <c r="J1185" i="11"/>
  <c r="J1151" i="11"/>
  <c r="J1125" i="11"/>
  <c r="J1094" i="11"/>
  <c r="J1068" i="11"/>
  <c r="J1038" i="11"/>
  <c r="J1011" i="11"/>
  <c r="J986" i="11"/>
  <c r="J958" i="11"/>
  <c r="J937" i="11"/>
  <c r="J910" i="11"/>
  <c r="J887" i="11"/>
  <c r="J859" i="11"/>
  <c r="J836" i="11"/>
  <c r="J816" i="11"/>
  <c r="J788" i="11"/>
  <c r="J765" i="11"/>
  <c r="J737" i="11"/>
  <c r="J714" i="11"/>
  <c r="J687" i="11"/>
  <c r="J666" i="11"/>
  <c r="J644" i="11"/>
  <c r="J615" i="11"/>
  <c r="J596" i="11"/>
  <c r="J568" i="11"/>
  <c r="J548" i="11"/>
  <c r="J522" i="11"/>
  <c r="J501" i="11"/>
  <c r="J484" i="11"/>
  <c r="J459" i="11"/>
  <c r="J440" i="11"/>
  <c r="J418" i="11"/>
  <c r="J400" i="11"/>
  <c r="J378" i="11"/>
  <c r="J361" i="11"/>
  <c r="J342" i="11"/>
  <c r="J321" i="11"/>
  <c r="J304" i="11"/>
  <c r="J281" i="11"/>
  <c r="J264" i="11"/>
  <c r="J241" i="11"/>
  <c r="J224" i="11"/>
  <c r="J206" i="11"/>
  <c r="J184" i="11"/>
  <c r="J166" i="11"/>
  <c r="J144" i="11"/>
  <c r="J127" i="11"/>
  <c r="J105" i="11"/>
  <c r="J87" i="11"/>
  <c r="J68" i="11"/>
  <c r="J46" i="11"/>
  <c r="J29" i="11"/>
  <c r="J7" i="11"/>
  <c r="J2428" i="11"/>
  <c r="J2360" i="11"/>
  <c r="J2297" i="11"/>
  <c r="J2237" i="11"/>
  <c r="J2186" i="11"/>
  <c r="J2126" i="11"/>
  <c r="J2075" i="11"/>
  <c r="J2015" i="11"/>
  <c r="J1967" i="11"/>
  <c r="J1913" i="11"/>
  <c r="J1854" i="11"/>
  <c r="J1802" i="11"/>
  <c r="J1743" i="11"/>
  <c r="J1688" i="11"/>
  <c r="J1623" i="11"/>
  <c r="J1581" i="11"/>
  <c r="J1537" i="11"/>
  <c r="J1477" i="11"/>
  <c r="J1442" i="11"/>
  <c r="J1387" i="11"/>
  <c r="J1342" i="11"/>
  <c r="J1294" i="11"/>
  <c r="J1256" i="11"/>
  <c r="J1215" i="11"/>
  <c r="J1171" i="11"/>
  <c r="J1134" i="11"/>
  <c r="J1091" i="11"/>
  <c r="J1054" i="11"/>
  <c r="J1010" i="11"/>
  <c r="J974" i="11"/>
  <c r="J942" i="11"/>
  <c r="J904" i="11"/>
  <c r="J871" i="11"/>
  <c r="J834" i="11"/>
  <c r="J801" i="11"/>
  <c r="J764" i="11"/>
  <c r="J732" i="11"/>
  <c r="J698" i="11"/>
  <c r="J659" i="11"/>
  <c r="J627" i="11"/>
  <c r="J586" i="11"/>
  <c r="J560" i="11"/>
  <c r="J521" i="11"/>
  <c r="J490" i="11"/>
  <c r="J466" i="11"/>
  <c r="J432" i="11"/>
  <c r="J406" i="11"/>
  <c r="J376" i="11"/>
  <c r="J350" i="11"/>
  <c r="J319" i="11"/>
  <c r="J294" i="11"/>
  <c r="J267" i="11"/>
  <c r="J238" i="11"/>
  <c r="J211" i="11"/>
  <c r="J181" i="11"/>
  <c r="J155" i="11"/>
  <c r="J126" i="11"/>
  <c r="J99" i="11"/>
  <c r="J72" i="11"/>
  <c r="J42" i="11"/>
  <c r="J17" i="11"/>
  <c r="J2422" i="11"/>
  <c r="J2357" i="11"/>
  <c r="J2290" i="11"/>
  <c r="J2236" i="11"/>
  <c r="J2184" i="11"/>
  <c r="J2125" i="11"/>
  <c r="J2070" i="11"/>
  <c r="J2013" i="11"/>
  <c r="J1957" i="11"/>
  <c r="J1894" i="11"/>
  <c r="J1853" i="11"/>
  <c r="J1800" i="11"/>
  <c r="J1728" i="11"/>
  <c r="J1686" i="11"/>
  <c r="J1617" i="11"/>
  <c r="J1572" i="11"/>
  <c r="J1521" i="11"/>
  <c r="J1476" i="11"/>
  <c r="J1434" i="11"/>
  <c r="J1386" i="11"/>
  <c r="J1341" i="11"/>
  <c r="J1292" i="11"/>
  <c r="J1251" i="11"/>
  <c r="J1205" i="11"/>
  <c r="J1170" i="11"/>
  <c r="J1132" i="11"/>
  <c r="J1090" i="11"/>
  <c r="J1052" i="11"/>
  <c r="J1009" i="11"/>
  <c r="J971" i="11"/>
  <c r="J934" i="11"/>
  <c r="J902" i="11"/>
  <c r="J870" i="11"/>
  <c r="J832" i="11"/>
  <c r="J800" i="11"/>
  <c r="J756" i="11"/>
  <c r="J727" i="11"/>
  <c r="J686" i="11"/>
  <c r="J654" i="11"/>
  <c r="J626" i="11"/>
  <c r="J585" i="11"/>
  <c r="J552" i="11"/>
  <c r="J520" i="11"/>
  <c r="J489" i="11"/>
  <c r="J457" i="11"/>
  <c r="J430" i="11"/>
  <c r="J405" i="11"/>
  <c r="J375" i="11"/>
  <c r="J349" i="11"/>
  <c r="J318" i="11"/>
  <c r="J292" i="11"/>
  <c r="J262" i="11"/>
  <c r="J237" i="11"/>
  <c r="J210" i="11"/>
  <c r="J179" i="11"/>
  <c r="J154" i="11"/>
  <c r="J124" i="11"/>
  <c r="J97" i="11"/>
  <c r="J64" i="11"/>
  <c r="J41" i="11"/>
  <c r="J16" i="11"/>
  <c r="J2415" i="11"/>
  <c r="J2355" i="11"/>
  <c r="J2282" i="11"/>
  <c r="J2235" i="11"/>
  <c r="J2166" i="11"/>
  <c r="J2123" i="11"/>
  <c r="J2067" i="11"/>
  <c r="J2004" i="11"/>
  <c r="J1956" i="11"/>
  <c r="J1893" i="11"/>
  <c r="J1838" i="11"/>
  <c r="J1778" i="11"/>
  <c r="J1727" i="11"/>
  <c r="J1672" i="11"/>
  <c r="J1612" i="11"/>
  <c r="J1571" i="11"/>
  <c r="J1512" i="11"/>
  <c r="J1475" i="11"/>
  <c r="J1426" i="11"/>
  <c r="J1385" i="11"/>
  <c r="J1340" i="11"/>
  <c r="J1291" i="11"/>
  <c r="J1249" i="11"/>
  <c r="J1204" i="11"/>
  <c r="J1166" i="11"/>
  <c r="J1122" i="11"/>
  <c r="J1089" i="11"/>
  <c r="J1051" i="11"/>
  <c r="J1008" i="11"/>
  <c r="J970" i="11"/>
  <c r="J929" i="11"/>
  <c r="J900" i="11"/>
  <c r="J858" i="11"/>
  <c r="J824" i="11"/>
  <c r="J797" i="11"/>
  <c r="J755" i="11"/>
  <c r="J722" i="11"/>
  <c r="J685" i="11"/>
  <c r="J652" i="11"/>
  <c r="J614" i="11"/>
  <c r="J582" i="11"/>
  <c r="J551" i="11"/>
  <c r="J519" i="11"/>
  <c r="J488" i="11"/>
  <c r="J455" i="11"/>
  <c r="J429" i="11"/>
  <c r="J399" i="11"/>
  <c r="J374" i="11"/>
  <c r="J348" i="11"/>
  <c r="J317" i="11"/>
  <c r="J290" i="11"/>
  <c r="J261" i="11"/>
  <c r="J235" i="11"/>
  <c r="J200" i="11"/>
  <c r="J178" i="11"/>
  <c r="J152" i="11"/>
  <c r="J118" i="11"/>
  <c r="J96" i="11"/>
  <c r="J62" i="11"/>
  <c r="J35" i="11"/>
  <c r="J6" i="11"/>
  <c r="J2413" i="11"/>
  <c r="J2320" i="11"/>
  <c r="J2242" i="11"/>
  <c r="J2158" i="11"/>
  <c r="J2080" i="11"/>
  <c r="J1993" i="11"/>
  <c r="J1916" i="11"/>
  <c r="J1837" i="11"/>
  <c r="J1765" i="11"/>
  <c r="J1689" i="11"/>
  <c r="J1609" i="11"/>
  <c r="J1540" i="11"/>
  <c r="J1466" i="11"/>
  <c r="J1404" i="11"/>
  <c r="J1335" i="11"/>
  <c r="J1277" i="11"/>
  <c r="J1220" i="11"/>
  <c r="J1149" i="11"/>
  <c r="J1107" i="11"/>
  <c r="J1035" i="11"/>
  <c r="J980" i="11"/>
  <c r="J927" i="11"/>
  <c r="J885" i="11"/>
  <c r="J835" i="11"/>
  <c r="J781" i="11"/>
  <c r="J735" i="11"/>
  <c r="J681" i="11"/>
  <c r="J632" i="11"/>
  <c r="J581" i="11"/>
  <c r="J537" i="11"/>
  <c r="J498" i="11"/>
  <c r="J448" i="11"/>
  <c r="J412" i="11"/>
  <c r="J371" i="11"/>
  <c r="J331" i="11"/>
  <c r="J289" i="11"/>
  <c r="J251" i="11"/>
  <c r="J212" i="11"/>
  <c r="J170" i="11"/>
  <c r="J131" i="11"/>
  <c r="J85" i="11"/>
  <c r="J55" i="11"/>
  <c r="J5" i="11"/>
  <c r="J2405" i="11"/>
  <c r="J2313" i="11"/>
  <c r="J2233" i="11"/>
  <c r="J2157" i="11"/>
  <c r="J2079" i="11"/>
  <c r="J1992" i="11"/>
  <c r="J1915" i="11"/>
  <c r="J1834" i="11"/>
  <c r="J1758" i="11"/>
  <c r="J1666" i="11"/>
  <c r="J1607" i="11"/>
  <c r="J1539" i="11"/>
  <c r="J1451" i="11"/>
  <c r="J1402" i="11"/>
  <c r="J1324" i="11"/>
  <c r="J1266" i="11"/>
  <c r="J1202" i="11"/>
  <c r="J1147" i="11"/>
  <c r="J1092" i="11"/>
  <c r="J1034" i="11"/>
  <c r="J979" i="11"/>
  <c r="J925" i="11"/>
  <c r="J876" i="11"/>
  <c r="J822" i="11"/>
  <c r="J780" i="11"/>
  <c r="J734" i="11"/>
  <c r="J680" i="11"/>
  <c r="J631" i="11"/>
  <c r="J577" i="11"/>
  <c r="J535" i="11"/>
  <c r="J487" i="11"/>
  <c r="J446" i="11"/>
  <c r="J411" i="11"/>
  <c r="J365" i="11"/>
  <c r="J330" i="11"/>
  <c r="J279" i="11"/>
  <c r="J250" i="11"/>
  <c r="J199" i="11"/>
  <c r="J165" i="11"/>
  <c r="J130" i="11"/>
  <c r="J84" i="11"/>
  <c r="J45" i="11"/>
  <c r="J4" i="11"/>
  <c r="J2395" i="11"/>
  <c r="J2312" i="11"/>
  <c r="J2219" i="11"/>
  <c r="J2149" i="11"/>
  <c r="J2049" i="11"/>
  <c r="J1990" i="11"/>
  <c r="J1914" i="11"/>
  <c r="J1820" i="11"/>
  <c r="J1757" i="11"/>
  <c r="J1665" i="11"/>
  <c r="J1590" i="11"/>
  <c r="J1511" i="11"/>
  <c r="J1449" i="11"/>
  <c r="J1388" i="11"/>
  <c r="J1322" i="11"/>
  <c r="J1265" i="11"/>
  <c r="J1192" i="11"/>
  <c r="J1146" i="11"/>
  <c r="J1082" i="11"/>
  <c r="J1029" i="11"/>
  <c r="J975" i="11"/>
  <c r="J924" i="11"/>
  <c r="J875" i="11"/>
  <c r="J821" i="11"/>
  <c r="J775" i="11"/>
  <c r="J721" i="11"/>
  <c r="J678" i="11"/>
  <c r="J629" i="11"/>
  <c r="J576" i="11"/>
  <c r="J534" i="11"/>
  <c r="J476" i="11"/>
  <c r="J445" i="11"/>
  <c r="J398" i="11"/>
  <c r="J360" i="11"/>
  <c r="J329" i="11"/>
  <c r="J278" i="11"/>
  <c r="J240" i="11"/>
  <c r="J198" i="11"/>
  <c r="J159" i="11"/>
  <c r="J117" i="11"/>
  <c r="J82" i="11"/>
  <c r="J44" i="11"/>
  <c r="J2" i="11"/>
  <c r="J2458" i="11"/>
  <c r="J2323" i="11"/>
  <c r="J2262" i="11"/>
  <c r="J2160" i="11"/>
  <c r="J2092" i="11"/>
  <c r="J2028" i="11"/>
  <c r="J1933" i="11"/>
  <c r="J1856" i="11"/>
  <c r="J1776" i="11"/>
  <c r="J1700" i="11"/>
  <c r="J1611" i="11"/>
  <c r="J1543" i="11"/>
  <c r="J1488" i="11"/>
  <c r="J1412" i="11"/>
  <c r="J1355" i="11"/>
  <c r="J1289" i="11"/>
  <c r="J1227" i="11"/>
  <c r="J1165" i="11"/>
  <c r="J1109" i="11"/>
  <c r="J1055" i="11"/>
  <c r="J996" i="11"/>
  <c r="J945" i="11"/>
  <c r="J891" i="11"/>
  <c r="J848" i="11"/>
  <c r="J787" i="11"/>
  <c r="J748" i="11"/>
  <c r="J699" i="11"/>
  <c r="J637" i="11"/>
  <c r="J599" i="11"/>
  <c r="J545" i="11"/>
  <c r="J500" i="11"/>
  <c r="J454" i="11"/>
  <c r="J416" i="11"/>
  <c r="J377" i="11"/>
  <c r="J335" i="11"/>
  <c r="J297" i="11"/>
  <c r="J254" i="11"/>
  <c r="J219" i="11"/>
  <c r="J174" i="11"/>
  <c r="J139" i="11"/>
  <c r="J100" i="11"/>
  <c r="J57" i="11"/>
  <c r="J19" i="11"/>
  <c r="J2380" i="11"/>
  <c r="J2244" i="11"/>
  <c r="J2108" i="11"/>
  <c r="J1969" i="11"/>
  <c r="J1855" i="11"/>
  <c r="J1719" i="11"/>
  <c r="J1582" i="11"/>
  <c r="J1474" i="11"/>
  <c r="J1359" i="11"/>
  <c r="J1248" i="11"/>
  <c r="J1164" i="11"/>
  <c r="J1066" i="11"/>
  <c r="J957" i="11"/>
  <c r="J886" i="11"/>
  <c r="J805" i="11"/>
  <c r="J711" i="11"/>
  <c r="J636" i="11"/>
  <c r="J561" i="11"/>
  <c r="J474" i="11"/>
  <c r="J415" i="11"/>
  <c r="J338" i="11"/>
  <c r="J276" i="11"/>
  <c r="J215" i="11"/>
  <c r="J141" i="11"/>
  <c r="J76" i="11"/>
  <c r="J18" i="11"/>
  <c r="J2364" i="11"/>
  <c r="J2204" i="11"/>
  <c r="J2105" i="11"/>
  <c r="J1968" i="11"/>
  <c r="J1815" i="11"/>
  <c r="J1702" i="11"/>
  <c r="J1564" i="11"/>
  <c r="J1448" i="11"/>
  <c r="J1356" i="11"/>
  <c r="J1231" i="11"/>
  <c r="J1145" i="11"/>
  <c r="J1056" i="11"/>
  <c r="J956" i="11"/>
  <c r="J874" i="11"/>
  <c r="J804" i="11"/>
  <c r="J707" i="11"/>
  <c r="J612" i="11"/>
  <c r="J546" i="11"/>
  <c r="J472" i="11"/>
  <c r="J392" i="11"/>
  <c r="J337" i="11"/>
  <c r="J275" i="11"/>
  <c r="J196" i="11"/>
  <c r="J140" i="11"/>
  <c r="J75" i="11"/>
  <c r="J2362" i="11"/>
  <c r="J2203" i="11"/>
  <c r="J2084" i="11"/>
  <c r="J1948" i="11"/>
  <c r="J1805" i="11"/>
  <c r="J1693" i="11"/>
  <c r="J1556" i="11"/>
  <c r="J1447" i="11"/>
  <c r="J1354" i="11"/>
  <c r="J1230" i="11"/>
  <c r="J1135" i="11"/>
  <c r="J1036" i="11"/>
  <c r="J955" i="11"/>
  <c r="J857" i="11"/>
  <c r="J782" i="11"/>
  <c r="J705" i="11"/>
  <c r="J611" i="11"/>
  <c r="J538" i="11"/>
  <c r="J471" i="11"/>
  <c r="J390" i="11"/>
  <c r="J334" i="11"/>
  <c r="J268" i="11"/>
  <c r="J195" i="11"/>
  <c r="J138" i="11"/>
  <c r="J60" i="11"/>
  <c r="J2322" i="11"/>
  <c r="J2197" i="11"/>
  <c r="J2047" i="11"/>
  <c r="J1930" i="11"/>
  <c r="J1803" i="11"/>
  <c r="J1648" i="11"/>
  <c r="J1541" i="11"/>
  <c r="J1421" i="11"/>
  <c r="J1318" i="11"/>
  <c r="J1226" i="11"/>
  <c r="J1116" i="11"/>
  <c r="J1026" i="11"/>
  <c r="J944" i="11"/>
  <c r="J851" i="11"/>
  <c r="J769" i="11"/>
  <c r="J682" i="11"/>
  <c r="J601" i="11"/>
  <c r="J516" i="11"/>
  <c r="J452" i="11"/>
  <c r="J388" i="11"/>
  <c r="J310" i="11"/>
  <c r="J252" i="11"/>
  <c r="J192" i="11"/>
  <c r="J115" i="11"/>
  <c r="J56" i="11"/>
  <c r="J2298" i="11"/>
  <c r="J2187" i="11"/>
  <c r="J2046" i="11"/>
  <c r="J1892" i="11"/>
  <c r="J1777" i="11"/>
  <c r="J1647" i="11"/>
  <c r="J1510" i="11"/>
  <c r="J1418" i="11"/>
  <c r="J1312" i="11"/>
  <c r="J1191" i="11"/>
  <c r="J1110" i="11"/>
  <c r="J1020" i="11"/>
  <c r="J920" i="11"/>
  <c r="J849" i="11"/>
  <c r="J752" i="11"/>
  <c r="J670" i="11"/>
  <c r="J600" i="11"/>
  <c r="J515" i="11"/>
  <c r="J439" i="11"/>
  <c r="J387" i="11"/>
  <c r="J309" i="11"/>
  <c r="J239" i="11"/>
  <c r="J182" i="11"/>
  <c r="J112" i="11"/>
  <c r="J34" i="11"/>
  <c r="J2462" i="11"/>
  <c r="J2276" i="11"/>
  <c r="J2159" i="11"/>
  <c r="J2044" i="11"/>
  <c r="J1882" i="11"/>
  <c r="J1769" i="11"/>
  <c r="J1643" i="11"/>
  <c r="J1509" i="11"/>
  <c r="J1411" i="11"/>
  <c r="J1311" i="11"/>
  <c r="J1190" i="11"/>
  <c r="J1108" i="11"/>
  <c r="J998" i="11"/>
  <c r="J919" i="11"/>
  <c r="J844" i="11"/>
  <c r="J751" i="11"/>
  <c r="J665" i="11"/>
  <c r="J590" i="11"/>
  <c r="J512" i="11"/>
  <c r="J434" i="11"/>
  <c r="J372" i="11"/>
  <c r="J307" i="11"/>
  <c r="J232" i="11"/>
  <c r="J171" i="11"/>
  <c r="J104" i="11"/>
  <c r="J32" i="11"/>
  <c r="J2457" i="11"/>
  <c r="J2272" i="11"/>
  <c r="J2127" i="11"/>
  <c r="J1998" i="11"/>
  <c r="J1879" i="11"/>
  <c r="J1725" i="11"/>
  <c r="J1610" i="11"/>
  <c r="J1497" i="11"/>
  <c r="J1379" i="11"/>
  <c r="J1278" i="11"/>
  <c r="J1176" i="11"/>
  <c r="J1077" i="11"/>
  <c r="J994" i="11"/>
  <c r="J905" i="11"/>
  <c r="J808" i="11"/>
  <c r="J736" i="11"/>
  <c r="J651" i="11"/>
  <c r="J564" i="11"/>
  <c r="J499" i="11"/>
  <c r="J427" i="11"/>
  <c r="J356" i="11"/>
  <c r="J295" i="11"/>
  <c r="J222" i="11"/>
  <c r="J156" i="11"/>
  <c r="J90" i="11"/>
  <c r="J21" i="11"/>
  <c r="J2264" i="11"/>
  <c r="J1804" i="11"/>
  <c r="J1380" i="11"/>
  <c r="J1067" i="11"/>
  <c r="J774" i="11"/>
  <c r="J508" i="11"/>
  <c r="J277" i="11"/>
  <c r="J59" i="11"/>
  <c r="J2202" i="11"/>
  <c r="J1744" i="11"/>
  <c r="J1375" i="11"/>
  <c r="J1027" i="11"/>
  <c r="J749" i="11"/>
  <c r="J475" i="11"/>
  <c r="J255" i="11"/>
  <c r="J28" i="11"/>
  <c r="J2146" i="11"/>
  <c r="J1723" i="11"/>
  <c r="J1319" i="11"/>
  <c r="J997" i="11"/>
  <c r="J712" i="11"/>
  <c r="J470" i="11"/>
  <c r="J228" i="11"/>
  <c r="J20" i="11"/>
  <c r="J2048" i="11"/>
  <c r="J1642" i="11"/>
  <c r="J1257" i="11"/>
  <c r="J954" i="11"/>
  <c r="J664" i="11"/>
  <c r="J417" i="11"/>
  <c r="J194" i="11"/>
  <c r="J2030" i="11"/>
  <c r="J1589" i="11"/>
  <c r="J1229" i="11"/>
  <c r="J907" i="11"/>
  <c r="J649" i="11"/>
  <c r="J389" i="11"/>
  <c r="J157" i="11"/>
  <c r="J2460" i="11"/>
  <c r="J1972" i="11"/>
  <c r="J1544" i="11"/>
  <c r="J1189" i="11"/>
  <c r="J892" i="11"/>
  <c r="J610" i="11"/>
  <c r="J359" i="11"/>
  <c r="J142" i="11"/>
  <c r="J2343" i="11"/>
  <c r="J1880" i="11"/>
  <c r="J1489" i="11"/>
  <c r="J1118" i="11"/>
  <c r="J820" i="11"/>
  <c r="J562" i="11"/>
  <c r="J316" i="11"/>
  <c r="J101" i="11"/>
  <c r="J1878" i="11"/>
  <c r="J700" i="11"/>
  <c r="J1664" i="11"/>
  <c r="J565" i="11"/>
  <c r="J1498" i="11"/>
  <c r="J532" i="11"/>
  <c r="J1446" i="11"/>
  <c r="J428" i="11"/>
  <c r="J1290" i="11"/>
  <c r="J351" i="11"/>
  <c r="J1175" i="11"/>
  <c r="J301" i="11"/>
  <c r="J2392" i="11"/>
  <c r="J1078" i="11"/>
  <c r="J220" i="11"/>
  <c r="J2109" i="11"/>
  <c r="J856" i="11"/>
  <c r="J77" i="11"/>
  <c r="J1937" i="11"/>
  <c r="J807" i="11"/>
  <c r="J2273" i="11"/>
  <c r="J969" i="11"/>
  <c r="J116" i="11"/>
  <c r="J2461" i="7"/>
  <c r="J2451" i="7"/>
  <c r="J2441" i="7"/>
  <c r="J2431" i="7"/>
  <c r="J2421" i="7"/>
  <c r="J2411" i="7"/>
  <c r="J2401" i="7"/>
  <c r="J2391" i="7"/>
  <c r="J2381" i="7"/>
  <c r="J2371" i="7"/>
  <c r="J2361" i="7"/>
  <c r="J2351" i="7"/>
  <c r="J2341" i="7"/>
  <c r="J2331" i="7"/>
  <c r="J2321" i="7"/>
  <c r="J2311" i="7"/>
  <c r="J2301" i="7"/>
  <c r="J2291" i="7"/>
  <c r="J2281" i="7"/>
  <c r="J2271" i="7"/>
  <c r="J2261" i="7"/>
  <c r="J2251" i="7"/>
  <c r="J2241" i="7"/>
  <c r="J2231" i="7"/>
  <c r="J2221" i="7"/>
  <c r="J2211" i="7"/>
  <c r="J2201" i="7"/>
  <c r="J2191" i="7"/>
  <c r="J2181" i="7"/>
  <c r="J2171" i="7"/>
  <c r="J2161" i="7"/>
  <c r="J2151" i="7"/>
  <c r="J2141" i="7"/>
  <c r="J2131" i="7"/>
  <c r="J2121" i="7"/>
  <c r="J2111" i="7"/>
  <c r="J2101" i="7"/>
  <c r="J2091" i="7"/>
  <c r="J2081" i="7"/>
  <c r="J2071" i="7"/>
  <c r="J2061" i="7"/>
  <c r="J2051" i="7"/>
  <c r="J2041" i="7"/>
  <c r="J2031" i="7"/>
  <c r="J2021" i="7"/>
  <c r="J2011" i="7"/>
  <c r="J2001" i="7"/>
  <c r="J1991" i="7"/>
  <c r="J1981" i="7"/>
  <c r="J1971" i="7"/>
  <c r="J1961" i="7"/>
  <c r="J1951" i="7"/>
  <c r="J1941" i="7"/>
  <c r="J1931" i="7"/>
  <c r="J1921" i="7"/>
  <c r="J1911" i="7"/>
  <c r="J1901" i="7"/>
  <c r="J1891" i="7"/>
  <c r="J1881" i="7"/>
  <c r="J1871" i="7"/>
  <c r="J1861" i="7"/>
  <c r="J1851" i="7"/>
  <c r="J1841" i="7"/>
  <c r="J1831" i="7"/>
  <c r="J1821" i="7"/>
  <c r="J1811" i="7"/>
  <c r="J1801" i="7"/>
  <c r="J1791" i="7"/>
  <c r="J1781" i="7"/>
  <c r="J1771" i="7"/>
  <c r="J1761" i="7"/>
  <c r="J1751" i="7"/>
  <c r="J1741" i="7"/>
  <c r="J1731" i="7"/>
  <c r="J1721" i="7"/>
  <c r="J1711" i="7"/>
  <c r="J1701" i="7"/>
  <c r="J1691" i="7"/>
  <c r="J1681" i="7"/>
  <c r="J1671" i="7"/>
  <c r="J1661" i="7"/>
  <c r="J1651" i="7"/>
  <c r="J1641" i="7"/>
  <c r="J1631" i="7"/>
  <c r="J1621" i="7"/>
  <c r="J1611" i="7"/>
  <c r="J1601" i="7"/>
  <c r="J1591" i="7"/>
  <c r="J1581" i="7"/>
  <c r="J1571" i="7"/>
  <c r="J1561" i="7"/>
  <c r="J1551" i="7"/>
  <c r="J1541" i="7"/>
  <c r="J1531" i="7"/>
  <c r="J1521" i="7"/>
  <c r="J1511" i="7"/>
  <c r="J1501" i="7"/>
  <c r="J1491" i="7"/>
  <c r="J1481" i="7"/>
  <c r="J1471" i="7"/>
  <c r="J1461" i="7"/>
  <c r="J1451" i="7"/>
  <c r="J1441" i="7"/>
  <c r="J1431" i="7"/>
  <c r="J1421" i="7"/>
  <c r="J1411" i="7"/>
  <c r="J1401" i="7"/>
  <c r="J1391" i="7"/>
  <c r="J1381" i="7"/>
  <c r="J1371" i="7"/>
  <c r="J1361" i="7"/>
  <c r="J1351" i="7"/>
  <c r="J1341" i="7"/>
  <c r="J1331" i="7"/>
  <c r="J1321" i="7"/>
  <c r="J1311" i="7"/>
  <c r="J1301" i="7"/>
  <c r="J1291" i="7"/>
  <c r="J1281" i="7"/>
  <c r="J1271" i="7"/>
  <c r="J1261" i="7"/>
  <c r="J1251" i="7"/>
  <c r="J1241" i="7"/>
  <c r="J1231" i="7"/>
  <c r="J1221" i="7"/>
  <c r="J1211" i="7"/>
  <c r="J1201" i="7"/>
  <c r="J1191" i="7"/>
  <c r="J1181" i="7"/>
  <c r="J1171" i="7"/>
  <c r="J1161" i="7"/>
  <c r="J1151" i="7"/>
  <c r="J1141" i="7"/>
  <c r="J1131" i="7"/>
  <c r="J1121" i="7"/>
  <c r="J1111" i="7"/>
  <c r="J1101" i="7"/>
  <c r="J1091" i="7"/>
  <c r="J1081" i="7"/>
  <c r="J1071" i="7"/>
  <c r="J1061" i="7"/>
  <c r="J1051" i="7"/>
  <c r="J1041" i="7"/>
  <c r="J1031" i="7"/>
  <c r="J1021" i="7"/>
  <c r="J1011" i="7"/>
  <c r="J1001" i="7"/>
  <c r="J991" i="7"/>
  <c r="J981" i="7"/>
  <c r="J971" i="7"/>
  <c r="J961" i="7"/>
  <c r="J951" i="7"/>
  <c r="J941" i="7"/>
  <c r="J931" i="7"/>
  <c r="J921" i="7"/>
  <c r="J911" i="7"/>
  <c r="J901" i="7"/>
  <c r="J891" i="7"/>
  <c r="J881" i="7"/>
  <c r="J871" i="7"/>
  <c r="J861" i="7"/>
  <c r="J851" i="7"/>
  <c r="J841" i="7"/>
  <c r="J831" i="7"/>
  <c r="J821" i="7"/>
  <c r="J811" i="7"/>
  <c r="J801" i="7"/>
  <c r="J791" i="7"/>
  <c r="J781" i="7"/>
  <c r="J771" i="7"/>
  <c r="J761" i="7"/>
  <c r="J751" i="7"/>
  <c r="J741" i="7"/>
  <c r="J731" i="7"/>
  <c r="J721" i="7"/>
  <c r="J711" i="7"/>
  <c r="J701" i="7"/>
  <c r="J691" i="7"/>
  <c r="J681" i="7"/>
  <c r="J671" i="7"/>
  <c r="J661" i="7"/>
  <c r="J651" i="7"/>
  <c r="J641" i="7"/>
  <c r="J631" i="7"/>
  <c r="J621" i="7"/>
  <c r="J611" i="7"/>
  <c r="J601" i="7"/>
  <c r="J591" i="7"/>
  <c r="J581" i="7"/>
  <c r="J571" i="7"/>
  <c r="J561" i="7"/>
  <c r="J551" i="7"/>
  <c r="J541" i="7"/>
  <c r="J531" i="7"/>
  <c r="J521" i="7"/>
  <c r="J511" i="7"/>
  <c r="J501" i="7"/>
  <c r="J491" i="7"/>
  <c r="J481" i="7"/>
  <c r="J471" i="7"/>
  <c r="J461" i="7"/>
  <c r="J451" i="7"/>
  <c r="J441" i="7"/>
  <c r="J431" i="7"/>
  <c r="J421" i="7"/>
  <c r="J411" i="7"/>
  <c r="J401" i="7"/>
  <c r="J391" i="7"/>
  <c r="J381" i="7"/>
  <c r="J371" i="7"/>
  <c r="J361" i="7"/>
  <c r="J351" i="7"/>
  <c r="J341" i="7"/>
  <c r="J331" i="7"/>
  <c r="J321" i="7"/>
  <c r="J311" i="7"/>
  <c r="J301" i="7"/>
  <c r="J291" i="7"/>
  <c r="J281" i="7"/>
  <c r="J271" i="7"/>
  <c r="J261" i="7"/>
  <c r="J251" i="7"/>
  <c r="J241" i="7"/>
  <c r="J231" i="7"/>
  <c r="J221" i="7"/>
  <c r="J211" i="7"/>
  <c r="J201" i="7"/>
  <c r="J191" i="7"/>
  <c r="J181" i="7"/>
  <c r="J171" i="7"/>
  <c r="J161" i="7"/>
  <c r="J151" i="7"/>
  <c r="J141" i="7"/>
  <c r="J131" i="7"/>
  <c r="J121" i="7"/>
  <c r="J111" i="7"/>
  <c r="J101" i="7"/>
  <c r="J91" i="7"/>
  <c r="J81" i="7"/>
  <c r="J71" i="7"/>
  <c r="J61" i="7"/>
  <c r="J2462" i="7"/>
  <c r="J2450" i="7"/>
  <c r="J2439" i="7"/>
  <c r="J2428" i="7"/>
  <c r="J2417" i="7"/>
  <c r="J2406" i="7"/>
  <c r="J2395" i="7"/>
  <c r="J2384" i="7"/>
  <c r="J2373" i="7"/>
  <c r="J2362" i="7"/>
  <c r="J2350" i="7"/>
  <c r="J2339" i="7"/>
  <c r="J2328" i="7"/>
  <c r="J2317" i="7"/>
  <c r="J2306" i="7"/>
  <c r="J2295" i="7"/>
  <c r="J2284" i="7"/>
  <c r="J2273" i="7"/>
  <c r="J2262" i="7"/>
  <c r="J2250" i="7"/>
  <c r="J2239" i="7"/>
  <c r="J2228" i="7"/>
  <c r="J2217" i="7"/>
  <c r="J2206" i="7"/>
  <c r="J2195" i="7"/>
  <c r="J2184" i="7"/>
  <c r="J2173" i="7"/>
  <c r="J2162" i="7"/>
  <c r="J2150" i="7"/>
  <c r="J2139" i="7"/>
  <c r="J2128" i="7"/>
  <c r="J2117" i="7"/>
  <c r="J2106" i="7"/>
  <c r="J2095" i="7"/>
  <c r="J2084" i="7"/>
  <c r="J2073" i="7"/>
  <c r="J2062" i="7"/>
  <c r="J2050" i="7"/>
  <c r="J2039" i="7"/>
  <c r="J2028" i="7"/>
  <c r="J2017" i="7"/>
  <c r="J2006" i="7"/>
  <c r="J1995" i="7"/>
  <c r="J1984" i="7"/>
  <c r="J1973" i="7"/>
  <c r="J1962" i="7"/>
  <c r="J1950" i="7"/>
  <c r="J1939" i="7"/>
  <c r="J1928" i="7"/>
  <c r="J1917" i="7"/>
  <c r="J1906" i="7"/>
  <c r="J1895" i="7"/>
  <c r="J1884" i="7"/>
  <c r="J1873" i="7"/>
  <c r="J1862" i="7"/>
  <c r="J1850" i="7"/>
  <c r="J1839" i="7"/>
  <c r="J1828" i="7"/>
  <c r="J1817" i="7"/>
  <c r="J1806" i="7"/>
  <c r="J1795" i="7"/>
  <c r="J1784" i="7"/>
  <c r="J1773" i="7"/>
  <c r="J1762" i="7"/>
  <c r="J1750" i="7"/>
  <c r="J1739" i="7"/>
  <c r="J1728" i="7"/>
  <c r="J1717" i="7"/>
  <c r="J1706" i="7"/>
  <c r="J1695" i="7"/>
  <c r="J1684" i="7"/>
  <c r="J1673" i="7"/>
  <c r="J1662" i="7"/>
  <c r="J1650" i="7"/>
  <c r="J1639" i="7"/>
  <c r="J1628" i="7"/>
  <c r="J1617" i="7"/>
  <c r="J1606" i="7"/>
  <c r="J1595" i="7"/>
  <c r="J1584" i="7"/>
  <c r="J1573" i="7"/>
  <c r="J1562" i="7"/>
  <c r="J1550" i="7"/>
  <c r="J1539" i="7"/>
  <c r="J1528" i="7"/>
  <c r="J1517" i="7"/>
  <c r="J1506" i="7"/>
  <c r="J1495" i="7"/>
  <c r="J1484" i="7"/>
  <c r="J1473" i="7"/>
  <c r="J1462" i="7"/>
  <c r="J1450" i="7"/>
  <c r="J1439" i="7"/>
  <c r="J1428" i="7"/>
  <c r="J1417" i="7"/>
  <c r="J1406" i="7"/>
  <c r="J1395" i="7"/>
  <c r="J1384" i="7"/>
  <c r="J1373" i="7"/>
  <c r="J1362" i="7"/>
  <c r="J1350" i="7"/>
  <c r="J1339" i="7"/>
  <c r="J1328" i="7"/>
  <c r="J1317" i="7"/>
  <c r="J1306" i="7"/>
  <c r="J1295" i="7"/>
  <c r="J1284" i="7"/>
  <c r="J1273" i="7"/>
  <c r="J1262" i="7"/>
  <c r="J1250" i="7"/>
  <c r="J1239" i="7"/>
  <c r="J1228" i="7"/>
  <c r="J1217" i="7"/>
  <c r="J1206" i="7"/>
  <c r="J1195" i="7"/>
  <c r="J1184" i="7"/>
  <c r="J1173" i="7"/>
  <c r="J1162" i="7"/>
  <c r="J1150" i="7"/>
  <c r="J1139" i="7"/>
  <c r="J1128" i="7"/>
  <c r="J1117" i="7"/>
  <c r="J1106" i="7"/>
  <c r="J1095" i="7"/>
  <c r="J1084" i="7"/>
  <c r="J1073" i="7"/>
  <c r="J1062" i="7"/>
  <c r="J1050" i="7"/>
  <c r="J1039" i="7"/>
  <c r="J1028" i="7"/>
  <c r="J1017" i="7"/>
  <c r="J1006" i="7"/>
  <c r="J995" i="7"/>
  <c r="J984" i="7"/>
  <c r="J973" i="7"/>
  <c r="J962" i="7"/>
  <c r="J950" i="7"/>
  <c r="J939" i="7"/>
  <c r="J928" i="7"/>
  <c r="J917" i="7"/>
  <c r="J906" i="7"/>
  <c r="J895" i="7"/>
  <c r="J884" i="7"/>
  <c r="J873" i="7"/>
  <c r="J862" i="7"/>
  <c r="J850" i="7"/>
  <c r="J839" i="7"/>
  <c r="J828" i="7"/>
  <c r="J817" i="7"/>
  <c r="J806" i="7"/>
  <c r="J795" i="7"/>
  <c r="J784" i="7"/>
  <c r="J773" i="7"/>
  <c r="J762" i="7"/>
  <c r="J750" i="7"/>
  <c r="J739" i="7"/>
  <c r="J728" i="7"/>
  <c r="J717" i="7"/>
  <c r="J706" i="7"/>
  <c r="J695" i="7"/>
  <c r="J684" i="7"/>
  <c r="J673" i="7"/>
  <c r="J662" i="7"/>
  <c r="J650" i="7"/>
  <c r="J639" i="7"/>
  <c r="J628" i="7"/>
  <c r="J617" i="7"/>
  <c r="J606" i="7"/>
  <c r="J595" i="7"/>
  <c r="J584" i="7"/>
  <c r="J573" i="7"/>
  <c r="J562" i="7"/>
  <c r="J550" i="7"/>
  <c r="J539" i="7"/>
  <c r="J528" i="7"/>
  <c r="J517" i="7"/>
  <c r="J506" i="7"/>
  <c r="J495" i="7"/>
  <c r="J484" i="7"/>
  <c r="J473" i="7"/>
  <c r="J462" i="7"/>
  <c r="J450" i="7"/>
  <c r="J439" i="7"/>
  <c r="J428" i="7"/>
  <c r="J417" i="7"/>
  <c r="J406" i="7"/>
  <c r="J395" i="7"/>
  <c r="J384" i="7"/>
  <c r="J373" i="7"/>
  <c r="J362" i="7"/>
  <c r="J350" i="7"/>
  <c r="J339" i="7"/>
  <c r="J328" i="7"/>
  <c r="J317" i="7"/>
  <c r="J306" i="7"/>
  <c r="J295" i="7"/>
  <c r="J284" i="7"/>
  <c r="J273" i="7"/>
  <c r="J262" i="7"/>
  <c r="J250" i="7"/>
  <c r="J239" i="7"/>
  <c r="J228" i="7"/>
  <c r="J217" i="7"/>
  <c r="J206" i="7"/>
  <c r="J195" i="7"/>
  <c r="J184" i="7"/>
  <c r="J173" i="7"/>
  <c r="J162" i="7"/>
  <c r="J150" i="7"/>
  <c r="J139" i="7"/>
  <c r="J128" i="7"/>
  <c r="J117" i="7"/>
  <c r="J106" i="7"/>
  <c r="J95" i="7"/>
  <c r="J84" i="7"/>
  <c r="J73" i="7"/>
  <c r="J62" i="7"/>
  <c r="J51" i="7"/>
  <c r="J41" i="7"/>
  <c r="J31" i="7"/>
  <c r="J21" i="7"/>
  <c r="J11" i="7"/>
  <c r="J2" i="7"/>
  <c r="J2460" i="7"/>
  <c r="J2449" i="7"/>
  <c r="J2438" i="7"/>
  <c r="J2427" i="7"/>
  <c r="J2416" i="7"/>
  <c r="J2405" i="7"/>
  <c r="J2394" i="7"/>
  <c r="J2383" i="7"/>
  <c r="J2372" i="7"/>
  <c r="J2360" i="7"/>
  <c r="J2349" i="7"/>
  <c r="J2338" i="7"/>
  <c r="J2327" i="7"/>
  <c r="J2316" i="7"/>
  <c r="J2305" i="7"/>
  <c r="J2294" i="7"/>
  <c r="J2283" i="7"/>
  <c r="J2272" i="7"/>
  <c r="J2260" i="7"/>
  <c r="J2249" i="7"/>
  <c r="J2238" i="7"/>
  <c r="J2227" i="7"/>
  <c r="J2216" i="7"/>
  <c r="J2205" i="7"/>
  <c r="J2194" i="7"/>
  <c r="J2183" i="7"/>
  <c r="J2172" i="7"/>
  <c r="J2160" i="7"/>
  <c r="J2149" i="7"/>
  <c r="J2138" i="7"/>
  <c r="J2127" i="7"/>
  <c r="J2116" i="7"/>
  <c r="J2105" i="7"/>
  <c r="J2094" i="7"/>
  <c r="J2083" i="7"/>
  <c r="J2072" i="7"/>
  <c r="J2060" i="7"/>
  <c r="J2049" i="7"/>
  <c r="J2038" i="7"/>
  <c r="J2027" i="7"/>
  <c r="J2016" i="7"/>
  <c r="J2005" i="7"/>
  <c r="J1994" i="7"/>
  <c r="J1983" i="7"/>
  <c r="J1972" i="7"/>
  <c r="J1960" i="7"/>
  <c r="J1949" i="7"/>
  <c r="J1938" i="7"/>
  <c r="J1927" i="7"/>
  <c r="J1916" i="7"/>
  <c r="J1905" i="7"/>
  <c r="J1894" i="7"/>
  <c r="J1883" i="7"/>
  <c r="J1872" i="7"/>
  <c r="J1860" i="7"/>
  <c r="J1849" i="7"/>
  <c r="J1838" i="7"/>
  <c r="J1827" i="7"/>
  <c r="J1816" i="7"/>
  <c r="J1805" i="7"/>
  <c r="J1794" i="7"/>
  <c r="J1783" i="7"/>
  <c r="J1772" i="7"/>
  <c r="J1760" i="7"/>
  <c r="J1749" i="7"/>
  <c r="J1738" i="7"/>
  <c r="J1727" i="7"/>
  <c r="J1716" i="7"/>
  <c r="J1705" i="7"/>
  <c r="J1694" i="7"/>
  <c r="J1683" i="7"/>
  <c r="J1672" i="7"/>
  <c r="J1660" i="7"/>
  <c r="J1649" i="7"/>
  <c r="J1638" i="7"/>
  <c r="J1627" i="7"/>
  <c r="J1616" i="7"/>
  <c r="J1605" i="7"/>
  <c r="J1594" i="7"/>
  <c r="J1583" i="7"/>
  <c r="J1572" i="7"/>
  <c r="J1560" i="7"/>
  <c r="J1549" i="7"/>
  <c r="J1538" i="7"/>
  <c r="J1527" i="7"/>
  <c r="J1516" i="7"/>
  <c r="J1505" i="7"/>
  <c r="J1494" i="7"/>
  <c r="J1483" i="7"/>
  <c r="J1472" i="7"/>
  <c r="J1460" i="7"/>
  <c r="J1449" i="7"/>
  <c r="J1438" i="7"/>
  <c r="J1427" i="7"/>
  <c r="J1416" i="7"/>
  <c r="J1405" i="7"/>
  <c r="J1394" i="7"/>
  <c r="J1383" i="7"/>
  <c r="J1372" i="7"/>
  <c r="J1360" i="7"/>
  <c r="J1349" i="7"/>
  <c r="J1338" i="7"/>
  <c r="J1327" i="7"/>
  <c r="J1316" i="7"/>
  <c r="J1305" i="7"/>
  <c r="J1294" i="7"/>
  <c r="J1283" i="7"/>
  <c r="J1272" i="7"/>
  <c r="J1260" i="7"/>
  <c r="J1249" i="7"/>
  <c r="J1238" i="7"/>
  <c r="J1227" i="7"/>
  <c r="J1216" i="7"/>
  <c r="J1205" i="7"/>
  <c r="J1194" i="7"/>
  <c r="J1183" i="7"/>
  <c r="J1172" i="7"/>
  <c r="J1160" i="7"/>
  <c r="J1149" i="7"/>
  <c r="J1138" i="7"/>
  <c r="J1127" i="7"/>
  <c r="J1116" i="7"/>
  <c r="J1105" i="7"/>
  <c r="J1094" i="7"/>
  <c r="J1083" i="7"/>
  <c r="J1072" i="7"/>
  <c r="J1060" i="7"/>
  <c r="J1049" i="7"/>
  <c r="J1038" i="7"/>
  <c r="J1027" i="7"/>
  <c r="J1016" i="7"/>
  <c r="J1005" i="7"/>
  <c r="J994" i="7"/>
  <c r="J983" i="7"/>
  <c r="J972" i="7"/>
  <c r="J960" i="7"/>
  <c r="J949" i="7"/>
  <c r="J938" i="7"/>
  <c r="J927" i="7"/>
  <c r="J916" i="7"/>
  <c r="J905" i="7"/>
  <c r="J894" i="7"/>
  <c r="J883" i="7"/>
  <c r="J872" i="7"/>
  <c r="J860" i="7"/>
  <c r="J849" i="7"/>
  <c r="J838" i="7"/>
  <c r="J827" i="7"/>
  <c r="J816" i="7"/>
  <c r="J805" i="7"/>
  <c r="J794" i="7"/>
  <c r="J783" i="7"/>
  <c r="J772" i="7"/>
  <c r="J760" i="7"/>
  <c r="J749" i="7"/>
  <c r="J738" i="7"/>
  <c r="J727" i="7"/>
  <c r="J716" i="7"/>
  <c r="J705" i="7"/>
  <c r="J694" i="7"/>
  <c r="J683" i="7"/>
  <c r="J672" i="7"/>
  <c r="J660" i="7"/>
  <c r="J649" i="7"/>
  <c r="J638" i="7"/>
  <c r="J627" i="7"/>
  <c r="J616" i="7"/>
  <c r="J605" i="7"/>
  <c r="J594" i="7"/>
  <c r="J583" i="7"/>
  <c r="J572" i="7"/>
  <c r="J560" i="7"/>
  <c r="J549" i="7"/>
  <c r="J538" i="7"/>
  <c r="J527" i="7"/>
  <c r="J516" i="7"/>
  <c r="J505" i="7"/>
  <c r="J494" i="7"/>
  <c r="J483" i="7"/>
  <c r="J472" i="7"/>
  <c r="J460" i="7"/>
  <c r="J449" i="7"/>
  <c r="J438" i="7"/>
  <c r="J427" i="7"/>
  <c r="J416" i="7"/>
  <c r="J405" i="7"/>
  <c r="J394" i="7"/>
  <c r="J383" i="7"/>
  <c r="J372" i="7"/>
  <c r="J360" i="7"/>
  <c r="J349" i="7"/>
  <c r="J338" i="7"/>
  <c r="J327" i="7"/>
  <c r="J316" i="7"/>
  <c r="J305" i="7"/>
  <c r="J294" i="7"/>
  <c r="J283" i="7"/>
  <c r="J272" i="7"/>
  <c r="J260" i="7"/>
  <c r="J249" i="7"/>
  <c r="J238" i="7"/>
  <c r="J227" i="7"/>
  <c r="J216" i="7"/>
  <c r="J205" i="7"/>
  <c r="J194" i="7"/>
  <c r="J183" i="7"/>
  <c r="J172" i="7"/>
  <c r="J160" i="7"/>
  <c r="J149" i="7"/>
  <c r="J138" i="7"/>
  <c r="J127" i="7"/>
  <c r="J116" i="7"/>
  <c r="J105" i="7"/>
  <c r="J94" i="7"/>
  <c r="J83" i="7"/>
  <c r="J72" i="7"/>
  <c r="J60" i="7"/>
  <c r="J50" i="7"/>
  <c r="J40" i="7"/>
  <c r="J30" i="7"/>
  <c r="J20" i="7"/>
  <c r="J10" i="7"/>
  <c r="J2459" i="7"/>
  <c r="J2448" i="7"/>
  <c r="J2437" i="7"/>
  <c r="J2426" i="7"/>
  <c r="J2415" i="7"/>
  <c r="J2404" i="7"/>
  <c r="J2393" i="7"/>
  <c r="J2382" i="7"/>
  <c r="J2370" i="7"/>
  <c r="J2359" i="7"/>
  <c r="J2348" i="7"/>
  <c r="J2337" i="7"/>
  <c r="J2326" i="7"/>
  <c r="J2315" i="7"/>
  <c r="J2304" i="7"/>
  <c r="J2293" i="7"/>
  <c r="J2282" i="7"/>
  <c r="J2270" i="7"/>
  <c r="J2259" i="7"/>
  <c r="J2248" i="7"/>
  <c r="J2237" i="7"/>
  <c r="J2226" i="7"/>
  <c r="J2215" i="7"/>
  <c r="J2204" i="7"/>
  <c r="J2193" i="7"/>
  <c r="J2182" i="7"/>
  <c r="J2170" i="7"/>
  <c r="J2159" i="7"/>
  <c r="J2148" i="7"/>
  <c r="J2137" i="7"/>
  <c r="J2126" i="7"/>
  <c r="J2115" i="7"/>
  <c r="J2104" i="7"/>
  <c r="J2093" i="7"/>
  <c r="J2082" i="7"/>
  <c r="J2070" i="7"/>
  <c r="J2059" i="7"/>
  <c r="J2048" i="7"/>
  <c r="J2037" i="7"/>
  <c r="J2026" i="7"/>
  <c r="J2015" i="7"/>
  <c r="J2004" i="7"/>
  <c r="J1993" i="7"/>
  <c r="J1982" i="7"/>
  <c r="J1970" i="7"/>
  <c r="J1959" i="7"/>
  <c r="J1948" i="7"/>
  <c r="J1937" i="7"/>
  <c r="J1926" i="7"/>
  <c r="J1915" i="7"/>
  <c r="J1904" i="7"/>
  <c r="J1893" i="7"/>
  <c r="J1882" i="7"/>
  <c r="J1870" i="7"/>
  <c r="J1859" i="7"/>
  <c r="J1848" i="7"/>
  <c r="J1837" i="7"/>
  <c r="J1826" i="7"/>
  <c r="J1815" i="7"/>
  <c r="J1804" i="7"/>
  <c r="J1793" i="7"/>
  <c r="J1782" i="7"/>
  <c r="J1770" i="7"/>
  <c r="J1759" i="7"/>
  <c r="J1748" i="7"/>
  <c r="J1737" i="7"/>
  <c r="J1726" i="7"/>
  <c r="J1715" i="7"/>
  <c r="J1704" i="7"/>
  <c r="J1693" i="7"/>
  <c r="J1682" i="7"/>
  <c r="J1670" i="7"/>
  <c r="J1659" i="7"/>
  <c r="J1648" i="7"/>
  <c r="J1637" i="7"/>
  <c r="J1626" i="7"/>
  <c r="J1615" i="7"/>
  <c r="J1604" i="7"/>
  <c r="J1593" i="7"/>
  <c r="J1582" i="7"/>
  <c r="J1570" i="7"/>
  <c r="J1559" i="7"/>
  <c r="J1548" i="7"/>
  <c r="J1537" i="7"/>
  <c r="J1526" i="7"/>
  <c r="J1515" i="7"/>
  <c r="J1504" i="7"/>
  <c r="J1493" i="7"/>
  <c r="J1482" i="7"/>
  <c r="J1470" i="7"/>
  <c r="J1459" i="7"/>
  <c r="J1448" i="7"/>
  <c r="J1437" i="7"/>
  <c r="J1426" i="7"/>
  <c r="J1415" i="7"/>
  <c r="J1404" i="7"/>
  <c r="J1393" i="7"/>
  <c r="J1382" i="7"/>
  <c r="J1370" i="7"/>
  <c r="J1359" i="7"/>
  <c r="J1348" i="7"/>
  <c r="J1337" i="7"/>
  <c r="J1326" i="7"/>
  <c r="J1315" i="7"/>
  <c r="J1304" i="7"/>
  <c r="J1293" i="7"/>
  <c r="J1282" i="7"/>
  <c r="J1270" i="7"/>
  <c r="J1259" i="7"/>
  <c r="J1248" i="7"/>
  <c r="J1237" i="7"/>
  <c r="J1226" i="7"/>
  <c r="J1215" i="7"/>
  <c r="J1204" i="7"/>
  <c r="J1193" i="7"/>
  <c r="J1182" i="7"/>
  <c r="J1170" i="7"/>
  <c r="J1159" i="7"/>
  <c r="J1148" i="7"/>
  <c r="J1137" i="7"/>
  <c r="J1126" i="7"/>
  <c r="J1115" i="7"/>
  <c r="J1104" i="7"/>
  <c r="J1093" i="7"/>
  <c r="J1082" i="7"/>
  <c r="J1070" i="7"/>
  <c r="J1059" i="7"/>
  <c r="J1048" i="7"/>
  <c r="J1037" i="7"/>
  <c r="J1026" i="7"/>
  <c r="J1015" i="7"/>
  <c r="J1004" i="7"/>
  <c r="J993" i="7"/>
  <c r="J982" i="7"/>
  <c r="J970" i="7"/>
  <c r="J959" i="7"/>
  <c r="J948" i="7"/>
  <c r="J937" i="7"/>
  <c r="J926" i="7"/>
  <c r="J915" i="7"/>
  <c r="J904" i="7"/>
  <c r="J893" i="7"/>
  <c r="J882" i="7"/>
  <c r="J870" i="7"/>
  <c r="J859" i="7"/>
  <c r="J848" i="7"/>
  <c r="J837" i="7"/>
  <c r="J826" i="7"/>
  <c r="J815" i="7"/>
  <c r="J804" i="7"/>
  <c r="J793" i="7"/>
  <c r="J782" i="7"/>
  <c r="J770" i="7"/>
  <c r="J759" i="7"/>
  <c r="J748" i="7"/>
  <c r="J737" i="7"/>
  <c r="J726" i="7"/>
  <c r="J715" i="7"/>
  <c r="J704" i="7"/>
  <c r="J693" i="7"/>
  <c r="J682" i="7"/>
  <c r="J670" i="7"/>
  <c r="J659" i="7"/>
  <c r="J648" i="7"/>
  <c r="J637" i="7"/>
  <c r="J626" i="7"/>
  <c r="J615" i="7"/>
  <c r="J604" i="7"/>
  <c r="J593" i="7"/>
  <c r="J582" i="7"/>
  <c r="J570" i="7"/>
  <c r="J559" i="7"/>
  <c r="J548" i="7"/>
  <c r="J537" i="7"/>
  <c r="J526" i="7"/>
  <c r="J515" i="7"/>
  <c r="J504" i="7"/>
  <c r="J493" i="7"/>
  <c r="J482" i="7"/>
  <c r="J470" i="7"/>
  <c r="J459" i="7"/>
  <c r="J448" i="7"/>
  <c r="J437" i="7"/>
  <c r="J426" i="7"/>
  <c r="J415" i="7"/>
  <c r="J404" i="7"/>
  <c r="J393" i="7"/>
  <c r="J382" i="7"/>
  <c r="J370" i="7"/>
  <c r="J359" i="7"/>
  <c r="J348" i="7"/>
  <c r="J337" i="7"/>
  <c r="J326" i="7"/>
  <c r="J315" i="7"/>
  <c r="J304" i="7"/>
  <c r="J293" i="7"/>
  <c r="J282" i="7"/>
  <c r="J270" i="7"/>
  <c r="J259" i="7"/>
  <c r="J248" i="7"/>
  <c r="J237" i="7"/>
  <c r="J226" i="7"/>
  <c r="J215" i="7"/>
  <c r="J204" i="7"/>
  <c r="J193" i="7"/>
  <c r="J182" i="7"/>
  <c r="J170" i="7"/>
  <c r="J159" i="7"/>
  <c r="J148" i="7"/>
  <c r="J137" i="7"/>
  <c r="J126" i="7"/>
  <c r="J115" i="7"/>
  <c r="J104" i="7"/>
  <c r="J93" i="7"/>
  <c r="J82" i="7"/>
  <c r="J70" i="7"/>
  <c r="J59" i="7"/>
  <c r="J49" i="7"/>
  <c r="J39" i="7"/>
  <c r="J29" i="7"/>
  <c r="J19" i="7"/>
  <c r="J9" i="7"/>
  <c r="J2457" i="7"/>
  <c r="J2446" i="7"/>
  <c r="J2435" i="7"/>
  <c r="J2424" i="7"/>
  <c r="J2413" i="7"/>
  <c r="J2402" i="7"/>
  <c r="J2390" i="7"/>
  <c r="J2379" i="7"/>
  <c r="J2368" i="7"/>
  <c r="J2357" i="7"/>
  <c r="J2346" i="7"/>
  <c r="J2335" i="7"/>
  <c r="J2324" i="7"/>
  <c r="J2313" i="7"/>
  <c r="J2302" i="7"/>
  <c r="J2290" i="7"/>
  <c r="J2279" i="7"/>
  <c r="J2268" i="7"/>
  <c r="J2257" i="7"/>
  <c r="J2246" i="7"/>
  <c r="J2235" i="7"/>
  <c r="J2224" i="7"/>
  <c r="J2213" i="7"/>
  <c r="J2202" i="7"/>
  <c r="J2190" i="7"/>
  <c r="J2179" i="7"/>
  <c r="J2168" i="7"/>
  <c r="J2157" i="7"/>
  <c r="J2146" i="7"/>
  <c r="J2135" i="7"/>
  <c r="J2124" i="7"/>
  <c r="J2113" i="7"/>
  <c r="J2102" i="7"/>
  <c r="J2090" i="7"/>
  <c r="J2079" i="7"/>
  <c r="J2068" i="7"/>
  <c r="J2057" i="7"/>
  <c r="J2046" i="7"/>
  <c r="J2035" i="7"/>
  <c r="J2024" i="7"/>
  <c r="J2013" i="7"/>
  <c r="J2002" i="7"/>
  <c r="J1990" i="7"/>
  <c r="J1979" i="7"/>
  <c r="J1968" i="7"/>
  <c r="J1957" i="7"/>
  <c r="J1946" i="7"/>
  <c r="J1935" i="7"/>
  <c r="J1924" i="7"/>
  <c r="J1913" i="7"/>
  <c r="J1902" i="7"/>
  <c r="J1890" i="7"/>
  <c r="J1879" i="7"/>
  <c r="J1868" i="7"/>
  <c r="J1857" i="7"/>
  <c r="J1846" i="7"/>
  <c r="J1835" i="7"/>
  <c r="J1824" i="7"/>
  <c r="J1813" i="7"/>
  <c r="J1802" i="7"/>
  <c r="J1790" i="7"/>
  <c r="J1779" i="7"/>
  <c r="J1768" i="7"/>
  <c r="J1757" i="7"/>
  <c r="J1746" i="7"/>
  <c r="J1735" i="7"/>
  <c r="J1724" i="7"/>
  <c r="J2455" i="7"/>
  <c r="J2444" i="7"/>
  <c r="J2433" i="7"/>
  <c r="J2422" i="7"/>
  <c r="J2410" i="7"/>
  <c r="J2399" i="7"/>
  <c r="J2388" i="7"/>
  <c r="J2377" i="7"/>
  <c r="J2366" i="7"/>
  <c r="J2355" i="7"/>
  <c r="J2344" i="7"/>
  <c r="J2333" i="7"/>
  <c r="J2322" i="7"/>
  <c r="J2310" i="7"/>
  <c r="J2299" i="7"/>
  <c r="J2288" i="7"/>
  <c r="J2277" i="7"/>
  <c r="J2266" i="7"/>
  <c r="J2255" i="7"/>
  <c r="J2244" i="7"/>
  <c r="J2233" i="7"/>
  <c r="J2222" i="7"/>
  <c r="J2210" i="7"/>
  <c r="J2199" i="7"/>
  <c r="J2188" i="7"/>
  <c r="J2177" i="7"/>
  <c r="J2166" i="7"/>
  <c r="J2155" i="7"/>
  <c r="J2144" i="7"/>
  <c r="J2133" i="7"/>
  <c r="J2122" i="7"/>
  <c r="J2110" i="7"/>
  <c r="J2099" i="7"/>
  <c r="J2088" i="7"/>
  <c r="J2077" i="7"/>
  <c r="J2066" i="7"/>
  <c r="J2055" i="7"/>
  <c r="J2044" i="7"/>
  <c r="J2033" i="7"/>
  <c r="J2022" i="7"/>
  <c r="J2010" i="7"/>
  <c r="J1999" i="7"/>
  <c r="J1988" i="7"/>
  <c r="J1977" i="7"/>
  <c r="J1966" i="7"/>
  <c r="J1955" i="7"/>
  <c r="J1944" i="7"/>
  <c r="J1933" i="7"/>
  <c r="J1922" i="7"/>
  <c r="J1910" i="7"/>
  <c r="J1899" i="7"/>
  <c r="J1888" i="7"/>
  <c r="J1877" i="7"/>
  <c r="J1866" i="7"/>
  <c r="J1855" i="7"/>
  <c r="J1844" i="7"/>
  <c r="J1833" i="7"/>
  <c r="J1822" i="7"/>
  <c r="J1810" i="7"/>
  <c r="J1799" i="7"/>
  <c r="J1788" i="7"/>
  <c r="J1777" i="7"/>
  <c r="J1766" i="7"/>
  <c r="J1755" i="7"/>
  <c r="J1744" i="7"/>
  <c r="J1733" i="7"/>
  <c r="J1722" i="7"/>
  <c r="J1710" i="7"/>
  <c r="J1699" i="7"/>
  <c r="J1688" i="7"/>
  <c r="J1677" i="7"/>
  <c r="J1666" i="7"/>
  <c r="J1655" i="7"/>
  <c r="J1644" i="7"/>
  <c r="J1633" i="7"/>
  <c r="J1622" i="7"/>
  <c r="J1610" i="7"/>
  <c r="J1599" i="7"/>
  <c r="J1588" i="7"/>
  <c r="J1577" i="7"/>
  <c r="J1566" i="7"/>
  <c r="J1555" i="7"/>
  <c r="J1544" i="7"/>
  <c r="J1533" i="7"/>
  <c r="J1522" i="7"/>
  <c r="J1510" i="7"/>
  <c r="J1499" i="7"/>
  <c r="J1488" i="7"/>
  <c r="J1477" i="7"/>
  <c r="J1466" i="7"/>
  <c r="J1455" i="7"/>
  <c r="J1444" i="7"/>
  <c r="J1433" i="7"/>
  <c r="J1422" i="7"/>
  <c r="J1410" i="7"/>
  <c r="J1399" i="7"/>
  <c r="J1388" i="7"/>
  <c r="J1377" i="7"/>
  <c r="J1366" i="7"/>
  <c r="J1355" i="7"/>
  <c r="J1344" i="7"/>
  <c r="J1333" i="7"/>
  <c r="J1322" i="7"/>
  <c r="J1310" i="7"/>
  <c r="J1299" i="7"/>
  <c r="J1288" i="7"/>
  <c r="J1277" i="7"/>
  <c r="J1266" i="7"/>
  <c r="J1255" i="7"/>
  <c r="J1244" i="7"/>
  <c r="J1233" i="7"/>
  <c r="J1222" i="7"/>
  <c r="J1210" i="7"/>
  <c r="J1199" i="7"/>
  <c r="J1188" i="7"/>
  <c r="J1177" i="7"/>
  <c r="J1166" i="7"/>
  <c r="J1155" i="7"/>
  <c r="J1144" i="7"/>
  <c r="J1133" i="7"/>
  <c r="J1122" i="7"/>
  <c r="J1110" i="7"/>
  <c r="J1099" i="7"/>
  <c r="J1088" i="7"/>
  <c r="J1077" i="7"/>
  <c r="J1066" i="7"/>
  <c r="J1055" i="7"/>
  <c r="J1044" i="7"/>
  <c r="J2447" i="7"/>
  <c r="J2425" i="7"/>
  <c r="J2403" i="7"/>
  <c r="J2380" i="7"/>
  <c r="J2358" i="7"/>
  <c r="J2336" i="7"/>
  <c r="J2314" i="7"/>
  <c r="J2292" i="7"/>
  <c r="J2269" i="7"/>
  <c r="J2247" i="7"/>
  <c r="J2225" i="7"/>
  <c r="J2203" i="7"/>
  <c r="J2180" i="7"/>
  <c r="J2158" i="7"/>
  <c r="J2136" i="7"/>
  <c r="J2114" i="7"/>
  <c r="J2092" i="7"/>
  <c r="J2069" i="7"/>
  <c r="J2047" i="7"/>
  <c r="J2025" i="7"/>
  <c r="J2003" i="7"/>
  <c r="J1980" i="7"/>
  <c r="J1958" i="7"/>
  <c r="J1936" i="7"/>
  <c r="J1914" i="7"/>
  <c r="J1892" i="7"/>
  <c r="J1869" i="7"/>
  <c r="J1847" i="7"/>
  <c r="J1825" i="7"/>
  <c r="J1803" i="7"/>
  <c r="J1780" i="7"/>
  <c r="J1758" i="7"/>
  <c r="J1736" i="7"/>
  <c r="J1714" i="7"/>
  <c r="J1697" i="7"/>
  <c r="J1678" i="7"/>
  <c r="J1658" i="7"/>
  <c r="J1642" i="7"/>
  <c r="J1623" i="7"/>
  <c r="J1603" i="7"/>
  <c r="J1586" i="7"/>
  <c r="J1567" i="7"/>
  <c r="J1547" i="7"/>
  <c r="J1530" i="7"/>
  <c r="J1512" i="7"/>
  <c r="J1492" i="7"/>
  <c r="J1475" i="7"/>
  <c r="J1456" i="7"/>
  <c r="J1436" i="7"/>
  <c r="J1419" i="7"/>
  <c r="J1400" i="7"/>
  <c r="J1380" i="7"/>
  <c r="J1364" i="7"/>
  <c r="J1345" i="7"/>
  <c r="J1325" i="7"/>
  <c r="J1308" i="7"/>
  <c r="J1289" i="7"/>
  <c r="J1269" i="7"/>
  <c r="J1253" i="7"/>
  <c r="J1234" i="7"/>
  <c r="J1214" i="7"/>
  <c r="J1197" i="7"/>
  <c r="J1178" i="7"/>
  <c r="J1158" i="7"/>
  <c r="J1142" i="7"/>
  <c r="J1123" i="7"/>
  <c r="J1103" i="7"/>
  <c r="J1086" i="7"/>
  <c r="J1067" i="7"/>
  <c r="J1047" i="7"/>
  <c r="J1032" i="7"/>
  <c r="J1014" i="7"/>
  <c r="J999" i="7"/>
  <c r="J985" i="7"/>
  <c r="J967" i="7"/>
  <c r="J953" i="7"/>
  <c r="J935" i="7"/>
  <c r="J920" i="7"/>
  <c r="J903" i="7"/>
  <c r="J888" i="7"/>
  <c r="J874" i="7"/>
  <c r="J856" i="7"/>
  <c r="J842" i="7"/>
  <c r="J824" i="7"/>
  <c r="J809" i="7"/>
  <c r="J792" i="7"/>
  <c r="J777" i="7"/>
  <c r="J763" i="7"/>
  <c r="J745" i="7"/>
  <c r="J730" i="7"/>
  <c r="J713" i="7"/>
  <c r="J698" i="7"/>
  <c r="J680" i="7"/>
  <c r="J666" i="7"/>
  <c r="J652" i="7"/>
  <c r="J634" i="7"/>
  <c r="J619" i="7"/>
  <c r="J602" i="7"/>
  <c r="J587" i="7"/>
  <c r="J569" i="7"/>
  <c r="J555" i="7"/>
  <c r="J540" i="7"/>
  <c r="J523" i="7"/>
  <c r="J508" i="7"/>
  <c r="J490" i="7"/>
  <c r="J476" i="7"/>
  <c r="J458" i="7"/>
  <c r="J444" i="7"/>
  <c r="J429" i="7"/>
  <c r="J412" i="7"/>
  <c r="J397" i="7"/>
  <c r="J379" i="7"/>
  <c r="J365" i="7"/>
  <c r="J347" i="7"/>
  <c r="J333" i="7"/>
  <c r="J318" i="7"/>
  <c r="J300" i="7"/>
  <c r="J286" i="7"/>
  <c r="J268" i="7"/>
  <c r="J254" i="7"/>
  <c r="J236" i="7"/>
  <c r="J222" i="7"/>
  <c r="J207" i="7"/>
  <c r="J189" i="7"/>
  <c r="J175" i="7"/>
  <c r="J157" i="7"/>
  <c r="J143" i="7"/>
  <c r="J125" i="7"/>
  <c r="J110" i="7"/>
  <c r="J96" i="7"/>
  <c r="J78" i="7"/>
  <c r="J64" i="7"/>
  <c r="J47" i="7"/>
  <c r="J34" i="7"/>
  <c r="J18" i="7"/>
  <c r="J5" i="7"/>
  <c r="J2445" i="7"/>
  <c r="J2423" i="7"/>
  <c r="J2400" i="7"/>
  <c r="J2378" i="7"/>
  <c r="J2356" i="7"/>
  <c r="J2334" i="7"/>
  <c r="J2312" i="7"/>
  <c r="J2289" i="7"/>
  <c r="J2267" i="7"/>
  <c r="J2245" i="7"/>
  <c r="J2223" i="7"/>
  <c r="J2200" i="7"/>
  <c r="J2178" i="7"/>
  <c r="J2156" i="7"/>
  <c r="J2134" i="7"/>
  <c r="J2112" i="7"/>
  <c r="J2089" i="7"/>
  <c r="J2067" i="7"/>
  <c r="J2045" i="7"/>
  <c r="J2023" i="7"/>
  <c r="J2000" i="7"/>
  <c r="J1978" i="7"/>
  <c r="J1956" i="7"/>
  <c r="J1934" i="7"/>
  <c r="J1912" i="7"/>
  <c r="J1889" i="7"/>
  <c r="J1867" i="7"/>
  <c r="J1845" i="7"/>
  <c r="J1823" i="7"/>
  <c r="J1800" i="7"/>
  <c r="J1778" i="7"/>
  <c r="J1756" i="7"/>
  <c r="J1734" i="7"/>
  <c r="J1713" i="7"/>
  <c r="J1696" i="7"/>
  <c r="J1676" i="7"/>
  <c r="J1657" i="7"/>
  <c r="J1640" i="7"/>
  <c r="J1620" i="7"/>
  <c r="J1602" i="7"/>
  <c r="J1585" i="7"/>
  <c r="J1565" i="7"/>
  <c r="J1546" i="7"/>
  <c r="J1529" i="7"/>
  <c r="J1509" i="7"/>
  <c r="J1490" i="7"/>
  <c r="J1474" i="7"/>
  <c r="J1454" i="7"/>
  <c r="J1435" i="7"/>
  <c r="J1418" i="7"/>
  <c r="J1398" i="7"/>
  <c r="J1379" i="7"/>
  <c r="J1363" i="7"/>
  <c r="J1343" i="7"/>
  <c r="J1324" i="7"/>
  <c r="J1307" i="7"/>
  <c r="J1287" i="7"/>
  <c r="J1268" i="7"/>
  <c r="J1252" i="7"/>
  <c r="J1232" i="7"/>
  <c r="J1213" i="7"/>
  <c r="J1196" i="7"/>
  <c r="J1176" i="7"/>
  <c r="J1157" i="7"/>
  <c r="J1140" i="7"/>
  <c r="J1120" i="7"/>
  <c r="J1102" i="7"/>
  <c r="J1085" i="7"/>
  <c r="J1065" i="7"/>
  <c r="J1046" i="7"/>
  <c r="J1030" i="7"/>
  <c r="J1013" i="7"/>
  <c r="J998" i="7"/>
  <c r="J980" i="7"/>
  <c r="J966" i="7"/>
  <c r="J952" i="7"/>
  <c r="J934" i="7"/>
  <c r="J919" i="7"/>
  <c r="J902" i="7"/>
  <c r="J887" i="7"/>
  <c r="J869" i="7"/>
  <c r="J855" i="7"/>
  <c r="J840" i="7"/>
  <c r="J823" i="7"/>
  <c r="J808" i="7"/>
  <c r="J790" i="7"/>
  <c r="J776" i="7"/>
  <c r="J758" i="7"/>
  <c r="J744" i="7"/>
  <c r="J729" i="7"/>
  <c r="J712" i="7"/>
  <c r="J697" i="7"/>
  <c r="J679" i="7"/>
  <c r="J665" i="7"/>
  <c r="J647" i="7"/>
  <c r="J633" i="7"/>
  <c r="J618" i="7"/>
  <c r="J600" i="7"/>
  <c r="J586" i="7"/>
  <c r="J568" i="7"/>
  <c r="J554" i="7"/>
  <c r="J536" i="7"/>
  <c r="J522" i="7"/>
  <c r="J507" i="7"/>
  <c r="J489" i="7"/>
  <c r="J475" i="7"/>
  <c r="J457" i="7"/>
  <c r="J443" i="7"/>
  <c r="J425" i="7"/>
  <c r="J410" i="7"/>
  <c r="J396" i="7"/>
  <c r="J378" i="7"/>
  <c r="J364" i="7"/>
  <c r="J346" i="7"/>
  <c r="J332" i="7"/>
  <c r="J314" i="7"/>
  <c r="J299" i="7"/>
  <c r="J285" i="7"/>
  <c r="J267" i="7"/>
  <c r="J253" i="7"/>
  <c r="J235" i="7"/>
  <c r="J220" i="7"/>
  <c r="J203" i="7"/>
  <c r="J188" i="7"/>
  <c r="J174" i="7"/>
  <c r="J156" i="7"/>
  <c r="J142" i="7"/>
  <c r="J124" i="7"/>
  <c r="J109" i="7"/>
  <c r="J92" i="7"/>
  <c r="J77" i="7"/>
  <c r="J63" i="7"/>
  <c r="J46" i="7"/>
  <c r="J33" i="7"/>
  <c r="J17" i="7"/>
  <c r="J4" i="7"/>
  <c r="J2443" i="7"/>
  <c r="J2420" i="7"/>
  <c r="J2398" i="7"/>
  <c r="J2376" i="7"/>
  <c r="J2354" i="7"/>
  <c r="J2332" i="7"/>
  <c r="J2309" i="7"/>
  <c r="J2287" i="7"/>
  <c r="J2265" i="7"/>
  <c r="J2243" i="7"/>
  <c r="J2220" i="7"/>
  <c r="J2198" i="7"/>
  <c r="J2176" i="7"/>
  <c r="J2154" i="7"/>
  <c r="J2132" i="7"/>
  <c r="J2109" i="7"/>
  <c r="J2087" i="7"/>
  <c r="J2065" i="7"/>
  <c r="J2043" i="7"/>
  <c r="J2020" i="7"/>
  <c r="J1998" i="7"/>
  <c r="J1976" i="7"/>
  <c r="J1954" i="7"/>
  <c r="J1932" i="7"/>
  <c r="J1909" i="7"/>
  <c r="J1887" i="7"/>
  <c r="J1865" i="7"/>
  <c r="J1843" i="7"/>
  <c r="J1820" i="7"/>
  <c r="J1798" i="7"/>
  <c r="J1776" i="7"/>
  <c r="J1754" i="7"/>
  <c r="J1732" i="7"/>
  <c r="J1712" i="7"/>
  <c r="J1692" i="7"/>
  <c r="J1675" i="7"/>
  <c r="J1656" i="7"/>
  <c r="J1636" i="7"/>
  <c r="J1619" i="7"/>
  <c r="J1600" i="7"/>
  <c r="J1580" i="7"/>
  <c r="J1564" i="7"/>
  <c r="J1545" i="7"/>
  <c r="J1525" i="7"/>
  <c r="J1508" i="7"/>
  <c r="J1489" i="7"/>
  <c r="J1469" i="7"/>
  <c r="J1453" i="7"/>
  <c r="J1434" i="7"/>
  <c r="J1414" i="7"/>
  <c r="J1397" i="7"/>
  <c r="J1378" i="7"/>
  <c r="J1358" i="7"/>
  <c r="J1342" i="7"/>
  <c r="J1323" i="7"/>
  <c r="J1303" i="7"/>
  <c r="J1286" i="7"/>
  <c r="J1267" i="7"/>
  <c r="J1247" i="7"/>
  <c r="J1230" i="7"/>
  <c r="J1212" i="7"/>
  <c r="J1192" i="7"/>
  <c r="J1175" i="7"/>
  <c r="J1156" i="7"/>
  <c r="J1136" i="7"/>
  <c r="J1119" i="7"/>
  <c r="J1100" i="7"/>
  <c r="J1080" i="7"/>
  <c r="J1064" i="7"/>
  <c r="J1045" i="7"/>
  <c r="J1029" i="7"/>
  <c r="J1012" i="7"/>
  <c r="J997" i="7"/>
  <c r="J979" i="7"/>
  <c r="J965" i="7"/>
  <c r="J947" i="7"/>
  <c r="J933" i="7"/>
  <c r="J918" i="7"/>
  <c r="J900" i="7"/>
  <c r="J886" i="7"/>
  <c r="J868" i="7"/>
  <c r="J854" i="7"/>
  <c r="J836" i="7"/>
  <c r="J822" i="7"/>
  <c r="J807" i="7"/>
  <c r="J789" i="7"/>
  <c r="J775" i="7"/>
  <c r="J757" i="7"/>
  <c r="J743" i="7"/>
  <c r="J725" i="7"/>
  <c r="J710" i="7"/>
  <c r="J696" i="7"/>
  <c r="J678" i="7"/>
  <c r="J664" i="7"/>
  <c r="J646" i="7"/>
  <c r="J632" i="7"/>
  <c r="J614" i="7"/>
  <c r="J599" i="7"/>
  <c r="J585" i="7"/>
  <c r="J567" i="7"/>
  <c r="J553" i="7"/>
  <c r="J535" i="7"/>
  <c r="J520" i="7"/>
  <c r="J503" i="7"/>
  <c r="J488" i="7"/>
  <c r="J474" i="7"/>
  <c r="J456" i="7"/>
  <c r="J442" i="7"/>
  <c r="J424" i="7"/>
  <c r="J409" i="7"/>
  <c r="J392" i="7"/>
  <c r="J377" i="7"/>
  <c r="J363" i="7"/>
  <c r="J345" i="7"/>
  <c r="J330" i="7"/>
  <c r="J313" i="7"/>
  <c r="J298" i="7"/>
  <c r="J280" i="7"/>
  <c r="J266" i="7"/>
  <c r="J252" i="7"/>
  <c r="J234" i="7"/>
  <c r="J219" i="7"/>
  <c r="J202" i="7"/>
  <c r="J187" i="7"/>
  <c r="J169" i="7"/>
  <c r="J155" i="7"/>
  <c r="J140" i="7"/>
  <c r="J123" i="7"/>
  <c r="J108" i="7"/>
  <c r="J90" i="7"/>
  <c r="J76" i="7"/>
  <c r="J58" i="7"/>
  <c r="J45" i="7"/>
  <c r="J32" i="7"/>
  <c r="J16" i="7"/>
  <c r="J3" i="7"/>
  <c r="J2442" i="7"/>
  <c r="J2419" i="7"/>
  <c r="J2397" i="7"/>
  <c r="J2375" i="7"/>
  <c r="J2353" i="7"/>
  <c r="J2330" i="7"/>
  <c r="J2308" i="7"/>
  <c r="J2286" i="7"/>
  <c r="J2264" i="7"/>
  <c r="J2242" i="7"/>
  <c r="J2219" i="7"/>
  <c r="J2197" i="7"/>
  <c r="J2175" i="7"/>
  <c r="J2153" i="7"/>
  <c r="J2130" i="7"/>
  <c r="J2108" i="7"/>
  <c r="J2086" i="7"/>
  <c r="J2064" i="7"/>
  <c r="J2042" i="7"/>
  <c r="J2019" i="7"/>
  <c r="J1997" i="7"/>
  <c r="J1975" i="7"/>
  <c r="J1953" i="7"/>
  <c r="J1930" i="7"/>
  <c r="J1908" i="7"/>
  <c r="J1886" i="7"/>
  <c r="J1864" i="7"/>
  <c r="J1842" i="7"/>
  <c r="J1819" i="7"/>
  <c r="J1797" i="7"/>
  <c r="J1775" i="7"/>
  <c r="J1753" i="7"/>
  <c r="J1730" i="7"/>
  <c r="J1709" i="7"/>
  <c r="J1690" i="7"/>
  <c r="J1674" i="7"/>
  <c r="J1654" i="7"/>
  <c r="J1635" i="7"/>
  <c r="J1618" i="7"/>
  <c r="J1598" i="7"/>
  <c r="J1579" i="7"/>
  <c r="J1563" i="7"/>
  <c r="J1543" i="7"/>
  <c r="J1524" i="7"/>
  <c r="J1507" i="7"/>
  <c r="J1487" i="7"/>
  <c r="J1468" i="7"/>
  <c r="J1452" i="7"/>
  <c r="J1432" i="7"/>
  <c r="J1413" i="7"/>
  <c r="J1396" i="7"/>
  <c r="J1376" i="7"/>
  <c r="J1357" i="7"/>
  <c r="J1340" i="7"/>
  <c r="J1320" i="7"/>
  <c r="J1302" i="7"/>
  <c r="J1285" i="7"/>
  <c r="J1265" i="7"/>
  <c r="J1246" i="7"/>
  <c r="J1229" i="7"/>
  <c r="J1209" i="7"/>
  <c r="J1190" i="7"/>
  <c r="J1174" i="7"/>
  <c r="J1154" i="7"/>
  <c r="J1135" i="7"/>
  <c r="J1118" i="7"/>
  <c r="J1098" i="7"/>
  <c r="J1079" i="7"/>
  <c r="J1063" i="7"/>
  <c r="J1043" i="7"/>
  <c r="J1025" i="7"/>
  <c r="J1010" i="7"/>
  <c r="J996" i="7"/>
  <c r="J978" i="7"/>
  <c r="J964" i="7"/>
  <c r="J946" i="7"/>
  <c r="J932" i="7"/>
  <c r="J914" i="7"/>
  <c r="J899" i="7"/>
  <c r="J885" i="7"/>
  <c r="J867" i="7"/>
  <c r="J853" i="7"/>
  <c r="J835" i="7"/>
  <c r="J820" i="7"/>
  <c r="J803" i="7"/>
  <c r="J788" i="7"/>
  <c r="J774" i="7"/>
  <c r="J756" i="7"/>
  <c r="J742" i="7"/>
  <c r="J724" i="7"/>
  <c r="J709" i="7"/>
  <c r="J692" i="7"/>
  <c r="J677" i="7"/>
  <c r="J663" i="7"/>
  <c r="J645" i="7"/>
  <c r="J630" i="7"/>
  <c r="J613" i="7"/>
  <c r="J598" i="7"/>
  <c r="J580" i="7"/>
  <c r="J566" i="7"/>
  <c r="J552" i="7"/>
  <c r="J534" i="7"/>
  <c r="J519" i="7"/>
  <c r="J502" i="7"/>
  <c r="J487" i="7"/>
  <c r="J469" i="7"/>
  <c r="J455" i="7"/>
  <c r="J440" i="7"/>
  <c r="J423" i="7"/>
  <c r="J408" i="7"/>
  <c r="J390" i="7"/>
  <c r="J376" i="7"/>
  <c r="J358" i="7"/>
  <c r="J344" i="7"/>
  <c r="J329" i="7"/>
  <c r="J312" i="7"/>
  <c r="J297" i="7"/>
  <c r="J279" i="7"/>
  <c r="J265" i="7"/>
  <c r="J247" i="7"/>
  <c r="J233" i="7"/>
  <c r="J218" i="7"/>
  <c r="J200" i="7"/>
  <c r="J186" i="7"/>
  <c r="J168" i="7"/>
  <c r="J154" i="7"/>
  <c r="J136" i="7"/>
  <c r="J122" i="7"/>
  <c r="J107" i="7"/>
  <c r="J89" i="7"/>
  <c r="J75" i="7"/>
  <c r="J57" i="7"/>
  <c r="J44" i="7"/>
  <c r="J28" i="7"/>
  <c r="J15" i="7"/>
  <c r="J2440" i="7"/>
  <c r="J2418" i="7"/>
  <c r="J2396" i="7"/>
  <c r="J2374" i="7"/>
  <c r="J2352" i="7"/>
  <c r="J2329" i="7"/>
  <c r="J2307" i="7"/>
  <c r="J2285" i="7"/>
  <c r="J2263" i="7"/>
  <c r="J2240" i="7"/>
  <c r="J2218" i="7"/>
  <c r="J2196" i="7"/>
  <c r="J2174" i="7"/>
  <c r="J2152" i="7"/>
  <c r="J2129" i="7"/>
  <c r="J2107" i="7"/>
  <c r="J2085" i="7"/>
  <c r="J2063" i="7"/>
  <c r="J2040" i="7"/>
  <c r="J2018" i="7"/>
  <c r="J1996" i="7"/>
  <c r="J1974" i="7"/>
  <c r="J1952" i="7"/>
  <c r="J1929" i="7"/>
  <c r="J1907" i="7"/>
  <c r="J1885" i="7"/>
  <c r="J1863" i="7"/>
  <c r="J1840" i="7"/>
  <c r="J1818" i="7"/>
  <c r="J1796" i="7"/>
  <c r="J1774" i="7"/>
  <c r="J1752" i="7"/>
  <c r="J1729" i="7"/>
  <c r="J1708" i="7"/>
  <c r="J1689" i="7"/>
  <c r="J1669" i="7"/>
  <c r="J1653" i="7"/>
  <c r="J1634" i="7"/>
  <c r="J1614" i="7"/>
  <c r="J1597" i="7"/>
  <c r="J1578" i="7"/>
  <c r="J1558" i="7"/>
  <c r="J1542" i="7"/>
  <c r="J1523" i="7"/>
  <c r="J1503" i="7"/>
  <c r="J1486" i="7"/>
  <c r="J1467" i="7"/>
  <c r="J1447" i="7"/>
  <c r="J1430" i="7"/>
  <c r="J1412" i="7"/>
  <c r="J1392" i="7"/>
  <c r="J1375" i="7"/>
  <c r="J1356" i="7"/>
  <c r="J1336" i="7"/>
  <c r="J1319" i="7"/>
  <c r="J1300" i="7"/>
  <c r="J1280" i="7"/>
  <c r="J1264" i="7"/>
  <c r="J1245" i="7"/>
  <c r="J1225" i="7"/>
  <c r="J1208" i="7"/>
  <c r="J1189" i="7"/>
  <c r="J1169" i="7"/>
  <c r="J1153" i="7"/>
  <c r="J1134" i="7"/>
  <c r="J1114" i="7"/>
  <c r="J1097" i="7"/>
  <c r="J1078" i="7"/>
  <c r="J1058" i="7"/>
  <c r="J1042" i="7"/>
  <c r="J1024" i="7"/>
  <c r="J1009" i="7"/>
  <c r="J992" i="7"/>
  <c r="J977" i="7"/>
  <c r="J963" i="7"/>
  <c r="J945" i="7"/>
  <c r="J930" i="7"/>
  <c r="J913" i="7"/>
  <c r="J898" i="7"/>
  <c r="J880" i="7"/>
  <c r="J866" i="7"/>
  <c r="J852" i="7"/>
  <c r="J834" i="7"/>
  <c r="J819" i="7"/>
  <c r="J802" i="7"/>
  <c r="J787" i="7"/>
  <c r="J2458" i="7"/>
  <c r="J2436" i="7"/>
  <c r="J2414" i="7"/>
  <c r="J2392" i="7"/>
  <c r="J2369" i="7"/>
  <c r="J2347" i="7"/>
  <c r="J2325" i="7"/>
  <c r="J2303" i="7"/>
  <c r="J2280" i="7"/>
  <c r="J2258" i="7"/>
  <c r="J2236" i="7"/>
  <c r="J2214" i="7"/>
  <c r="J2192" i="7"/>
  <c r="J2169" i="7"/>
  <c r="J2147" i="7"/>
  <c r="J2125" i="7"/>
  <c r="J2103" i="7"/>
  <c r="J2080" i="7"/>
  <c r="J2058" i="7"/>
  <c r="J2036" i="7"/>
  <c r="J2014" i="7"/>
  <c r="J1992" i="7"/>
  <c r="J1969" i="7"/>
  <c r="J1947" i="7"/>
  <c r="J1925" i="7"/>
  <c r="J1903" i="7"/>
  <c r="J1880" i="7"/>
  <c r="J1858" i="7"/>
  <c r="J1836" i="7"/>
  <c r="J1814" i="7"/>
  <c r="J1792" i="7"/>
  <c r="J1769" i="7"/>
  <c r="J1747" i="7"/>
  <c r="J1725" i="7"/>
  <c r="J1707" i="7"/>
  <c r="J1687" i="7"/>
  <c r="J1668" i="7"/>
  <c r="J1652" i="7"/>
  <c r="J1632" i="7"/>
  <c r="J1613" i="7"/>
  <c r="J1596" i="7"/>
  <c r="J1576" i="7"/>
  <c r="J1557" i="7"/>
  <c r="J1540" i="7"/>
  <c r="J1520" i="7"/>
  <c r="J1502" i="7"/>
  <c r="J1485" i="7"/>
  <c r="J1465" i="7"/>
  <c r="J1446" i="7"/>
  <c r="J1429" i="7"/>
  <c r="J1409" i="7"/>
  <c r="J1390" i="7"/>
  <c r="J1374" i="7"/>
  <c r="J1354" i="7"/>
  <c r="J1335" i="7"/>
  <c r="J1318" i="7"/>
  <c r="J1298" i="7"/>
  <c r="J1279" i="7"/>
  <c r="J1263" i="7"/>
  <c r="J1243" i="7"/>
  <c r="J1224" i="7"/>
  <c r="J1207" i="7"/>
  <c r="J1187" i="7"/>
  <c r="J1168" i="7"/>
  <c r="J1152" i="7"/>
  <c r="J1132" i="7"/>
  <c r="J1113" i="7"/>
  <c r="J1096" i="7"/>
  <c r="J1076" i="7"/>
  <c r="J1057" i="7"/>
  <c r="J1040" i="7"/>
  <c r="J1023" i="7"/>
  <c r="J1008" i="7"/>
  <c r="J990" i="7"/>
  <c r="J976" i="7"/>
  <c r="J958" i="7"/>
  <c r="J944" i="7"/>
  <c r="J929" i="7"/>
  <c r="J912" i="7"/>
  <c r="J897" i="7"/>
  <c r="J879" i="7"/>
  <c r="J865" i="7"/>
  <c r="J847" i="7"/>
  <c r="J833" i="7"/>
  <c r="J818" i="7"/>
  <c r="J800" i="7"/>
  <c r="J786" i="7"/>
  <c r="J768" i="7"/>
  <c r="J754" i="7"/>
  <c r="J736" i="7"/>
  <c r="J722" i="7"/>
  <c r="J707" i="7"/>
  <c r="J689" i="7"/>
  <c r="J675" i="7"/>
  <c r="J657" i="7"/>
  <c r="J643" i="7"/>
  <c r="J625" i="7"/>
  <c r="J610" i="7"/>
  <c r="J596" i="7"/>
  <c r="J578" i="7"/>
  <c r="J564" i="7"/>
  <c r="J546" i="7"/>
  <c r="J532" i="7"/>
  <c r="J514" i="7"/>
  <c r="J499" i="7"/>
  <c r="J485" i="7"/>
  <c r="J467" i="7"/>
  <c r="J453" i="7"/>
  <c r="J435" i="7"/>
  <c r="J420" i="7"/>
  <c r="J403" i="7"/>
  <c r="J388" i="7"/>
  <c r="J374" i="7"/>
  <c r="J356" i="7"/>
  <c r="J342" i="7"/>
  <c r="J324" i="7"/>
  <c r="J309" i="7"/>
  <c r="J292" i="7"/>
  <c r="J277" i="7"/>
  <c r="J263" i="7"/>
  <c r="J245" i="7"/>
  <c r="J230" i="7"/>
  <c r="J213" i="7"/>
  <c r="J198" i="7"/>
  <c r="J180" i="7"/>
  <c r="J166" i="7"/>
  <c r="J152" i="7"/>
  <c r="J134" i="7"/>
  <c r="J119" i="7"/>
  <c r="J102" i="7"/>
  <c r="J87" i="7"/>
  <c r="J69" i="7"/>
  <c r="J55" i="7"/>
  <c r="J42" i="7"/>
  <c r="J26" i="7"/>
  <c r="J13" i="7"/>
  <c r="J2456" i="7"/>
  <c r="J2434" i="7"/>
  <c r="J2412" i="7"/>
  <c r="J2389" i="7"/>
  <c r="J2367" i="7"/>
  <c r="J2345" i="7"/>
  <c r="J2323" i="7"/>
  <c r="J2300" i="7"/>
  <c r="J2278" i="7"/>
  <c r="J2256" i="7"/>
  <c r="J2234" i="7"/>
  <c r="J2212" i="7"/>
  <c r="J2189" i="7"/>
  <c r="J2167" i="7"/>
  <c r="J2145" i="7"/>
  <c r="J2123" i="7"/>
  <c r="J2100" i="7"/>
  <c r="J2078" i="7"/>
  <c r="J2056" i="7"/>
  <c r="J2034" i="7"/>
  <c r="J2012" i="7"/>
  <c r="J1989" i="7"/>
  <c r="J1967" i="7"/>
  <c r="J1945" i="7"/>
  <c r="J1923" i="7"/>
  <c r="J1900" i="7"/>
  <c r="J1878" i="7"/>
  <c r="J1856" i="7"/>
  <c r="J1834" i="7"/>
  <c r="J1812" i="7"/>
  <c r="J1789" i="7"/>
  <c r="J1767" i="7"/>
  <c r="J1745" i="7"/>
  <c r="J1723" i="7"/>
  <c r="J1703" i="7"/>
  <c r="J1686" i="7"/>
  <c r="J1667" i="7"/>
  <c r="J1647" i="7"/>
  <c r="J1630" i="7"/>
  <c r="J1612" i="7"/>
  <c r="J1592" i="7"/>
  <c r="J1575" i="7"/>
  <c r="J1556" i="7"/>
  <c r="J1536" i="7"/>
  <c r="J1519" i="7"/>
  <c r="J1500" i="7"/>
  <c r="J1480" i="7"/>
  <c r="J1464" i="7"/>
  <c r="J1445" i="7"/>
  <c r="J1425" i="7"/>
  <c r="J1408" i="7"/>
  <c r="J1389" i="7"/>
  <c r="J1369" i="7"/>
  <c r="J1353" i="7"/>
  <c r="J1334" i="7"/>
  <c r="J1314" i="7"/>
  <c r="J1297" i="7"/>
  <c r="J1278" i="7"/>
  <c r="J1258" i="7"/>
  <c r="J1242" i="7"/>
  <c r="J1223" i="7"/>
  <c r="J1203" i="7"/>
  <c r="J1186" i="7"/>
  <c r="J1167" i="7"/>
  <c r="J1147" i="7"/>
  <c r="J1130" i="7"/>
  <c r="J1112" i="7"/>
  <c r="J1092" i="7"/>
  <c r="J1075" i="7"/>
  <c r="J1056" i="7"/>
  <c r="J1036" i="7"/>
  <c r="J1022" i="7"/>
  <c r="J1007" i="7"/>
  <c r="J989" i="7"/>
  <c r="J975" i="7"/>
  <c r="J957" i="7"/>
  <c r="J943" i="7"/>
  <c r="J925" i="7"/>
  <c r="J910" i="7"/>
  <c r="J896" i="7"/>
  <c r="J878" i="7"/>
  <c r="J864" i="7"/>
  <c r="J846" i="7"/>
  <c r="J832" i="7"/>
  <c r="J814" i="7"/>
  <c r="J799" i="7"/>
  <c r="J785" i="7"/>
  <c r="J767" i="7"/>
  <c r="J753" i="7"/>
  <c r="J735" i="7"/>
  <c r="J720" i="7"/>
  <c r="J703" i="7"/>
  <c r="J688" i="7"/>
  <c r="J674" i="7"/>
  <c r="J656" i="7"/>
  <c r="J642" i="7"/>
  <c r="J624" i="7"/>
  <c r="J609" i="7"/>
  <c r="J592" i="7"/>
  <c r="J577" i="7"/>
  <c r="J563" i="7"/>
  <c r="J545" i="7"/>
  <c r="J530" i="7"/>
  <c r="J513" i="7"/>
  <c r="J498" i="7"/>
  <c r="J480" i="7"/>
  <c r="J466" i="7"/>
  <c r="J452" i="7"/>
  <c r="J434" i="7"/>
  <c r="J419" i="7"/>
  <c r="J402" i="7"/>
  <c r="J387" i="7"/>
  <c r="J369" i="7"/>
  <c r="J355" i="7"/>
  <c r="J340" i="7"/>
  <c r="J323" i="7"/>
  <c r="J308" i="7"/>
  <c r="J290" i="7"/>
  <c r="J276" i="7"/>
  <c r="J258" i="7"/>
  <c r="J244" i="7"/>
  <c r="J229" i="7"/>
  <c r="J212" i="7"/>
  <c r="J197" i="7"/>
  <c r="J179" i="7"/>
  <c r="J165" i="7"/>
  <c r="J147" i="7"/>
  <c r="J133" i="7"/>
  <c r="J118" i="7"/>
  <c r="J100" i="7"/>
  <c r="J86" i="7"/>
  <c r="J68" i="7"/>
  <c r="J54" i="7"/>
  <c r="J38" i="7"/>
  <c r="J25" i="7"/>
  <c r="J12" i="7"/>
  <c r="J2453" i="7"/>
  <c r="J2430" i="7"/>
  <c r="J2408" i="7"/>
  <c r="J2386" i="7"/>
  <c r="J2364" i="7"/>
  <c r="J2342" i="7"/>
  <c r="J2319" i="7"/>
  <c r="J2297" i="7"/>
  <c r="J2275" i="7"/>
  <c r="J2253" i="7"/>
  <c r="J2230" i="7"/>
  <c r="J2208" i="7"/>
  <c r="J2186" i="7"/>
  <c r="J2164" i="7"/>
  <c r="J2142" i="7"/>
  <c r="J2119" i="7"/>
  <c r="J2097" i="7"/>
  <c r="J2075" i="7"/>
  <c r="J2053" i="7"/>
  <c r="J2030" i="7"/>
  <c r="J2008" i="7"/>
  <c r="J1986" i="7"/>
  <c r="J1964" i="7"/>
  <c r="J1942" i="7"/>
  <c r="J1919" i="7"/>
  <c r="J1897" i="7"/>
  <c r="J1875" i="7"/>
  <c r="J1853" i="7"/>
  <c r="J1830" i="7"/>
  <c r="J1808" i="7"/>
  <c r="J1786" i="7"/>
  <c r="J1764" i="7"/>
  <c r="J1742" i="7"/>
  <c r="J1719" i="7"/>
  <c r="J1700" i="7"/>
  <c r="J1680" i="7"/>
  <c r="J1664" i="7"/>
  <c r="J1645" i="7"/>
  <c r="J1625" i="7"/>
  <c r="J1608" i="7"/>
  <c r="J1589" i="7"/>
  <c r="J1569" i="7"/>
  <c r="J1553" i="7"/>
  <c r="J1534" i="7"/>
  <c r="J1514" i="7"/>
  <c r="J1497" i="7"/>
  <c r="J1478" i="7"/>
  <c r="J1458" i="7"/>
  <c r="J1442" i="7"/>
  <c r="J1423" i="7"/>
  <c r="J1403" i="7"/>
  <c r="J1386" i="7"/>
  <c r="J1367" i="7"/>
  <c r="J1347" i="7"/>
  <c r="J1330" i="7"/>
  <c r="J1312" i="7"/>
  <c r="J1292" i="7"/>
  <c r="J1275" i="7"/>
  <c r="J1256" i="7"/>
  <c r="J1236" i="7"/>
  <c r="J1219" i="7"/>
  <c r="J1200" i="7"/>
  <c r="J1180" i="7"/>
  <c r="J1164" i="7"/>
  <c r="J1145" i="7"/>
  <c r="J1125" i="7"/>
  <c r="J1108" i="7"/>
  <c r="J1089" i="7"/>
  <c r="J1069" i="7"/>
  <c r="J1053" i="7"/>
  <c r="J1034" i="7"/>
  <c r="J1019" i="7"/>
  <c r="J1002" i="7"/>
  <c r="J987" i="7"/>
  <c r="J969" i="7"/>
  <c r="J955" i="7"/>
  <c r="J940" i="7"/>
  <c r="J923" i="7"/>
  <c r="J908" i="7"/>
  <c r="J890" i="7"/>
  <c r="J876" i="7"/>
  <c r="J858" i="7"/>
  <c r="J844" i="7"/>
  <c r="J829" i="7"/>
  <c r="J812" i="7"/>
  <c r="J797" i="7"/>
  <c r="J779" i="7"/>
  <c r="J765" i="7"/>
  <c r="J747" i="7"/>
  <c r="J733" i="7"/>
  <c r="J718" i="7"/>
  <c r="J700" i="7"/>
  <c r="J686" i="7"/>
  <c r="J668" i="7"/>
  <c r="J654" i="7"/>
  <c r="J636" i="7"/>
  <c r="J622" i="7"/>
  <c r="J607" i="7"/>
  <c r="J589" i="7"/>
  <c r="J575" i="7"/>
  <c r="J557" i="7"/>
  <c r="J543" i="7"/>
  <c r="J525" i="7"/>
  <c r="J510" i="7"/>
  <c r="J496" i="7"/>
  <c r="J478" i="7"/>
  <c r="J464" i="7"/>
  <c r="J446" i="7"/>
  <c r="J432" i="7"/>
  <c r="J414" i="7"/>
  <c r="J399" i="7"/>
  <c r="J385" i="7"/>
  <c r="J367" i="7"/>
  <c r="J353" i="7"/>
  <c r="J335" i="7"/>
  <c r="J320" i="7"/>
  <c r="J303" i="7"/>
  <c r="J288" i="7"/>
  <c r="J274" i="7"/>
  <c r="J256" i="7"/>
  <c r="J242" i="7"/>
  <c r="J224" i="7"/>
  <c r="J209" i="7"/>
  <c r="J192" i="7"/>
  <c r="J177" i="7"/>
  <c r="J163" i="7"/>
  <c r="J145" i="7"/>
  <c r="J130" i="7"/>
  <c r="J113" i="7"/>
  <c r="J98" i="7"/>
  <c r="J80" i="7"/>
  <c r="J66" i="7"/>
  <c r="J52" i="7"/>
  <c r="J36" i="7"/>
  <c r="J23" i="7"/>
  <c r="J7" i="7"/>
  <c r="J2407" i="7"/>
  <c r="J2296" i="7"/>
  <c r="J2185" i="7"/>
  <c r="J2074" i="7"/>
  <c r="J1963" i="7"/>
  <c r="J1852" i="7"/>
  <c r="J1740" i="7"/>
  <c r="J1643" i="7"/>
  <c r="J1552" i="7"/>
  <c r="J1457" i="7"/>
  <c r="J1365" i="7"/>
  <c r="J1274" i="7"/>
  <c r="J1179" i="7"/>
  <c r="J1087" i="7"/>
  <c r="J1000" i="7"/>
  <c r="J922" i="7"/>
  <c r="J843" i="7"/>
  <c r="J766" i="7"/>
  <c r="J714" i="7"/>
  <c r="J658" i="7"/>
  <c r="J608" i="7"/>
  <c r="J556" i="7"/>
  <c r="J500" i="7"/>
  <c r="J447" i="7"/>
  <c r="J398" i="7"/>
  <c r="J343" i="7"/>
  <c r="J289" i="7"/>
  <c r="J240" i="7"/>
  <c r="J185" i="7"/>
  <c r="J132" i="7"/>
  <c r="J79" i="7"/>
  <c r="J27" i="7"/>
  <c r="J2387" i="7"/>
  <c r="J2276" i="7"/>
  <c r="J2165" i="7"/>
  <c r="J2054" i="7"/>
  <c r="J1943" i="7"/>
  <c r="J1832" i="7"/>
  <c r="J1720" i="7"/>
  <c r="J1629" i="7"/>
  <c r="J1535" i="7"/>
  <c r="J1443" i="7"/>
  <c r="J1352" i="7"/>
  <c r="J1257" i="7"/>
  <c r="J1165" i="7"/>
  <c r="J1074" i="7"/>
  <c r="J988" i="7"/>
  <c r="J909" i="7"/>
  <c r="J830" i="7"/>
  <c r="J764" i="7"/>
  <c r="J708" i="7"/>
  <c r="J655" i="7"/>
  <c r="J603" i="7"/>
  <c r="J547" i="7"/>
  <c r="J497" i="7"/>
  <c r="J445" i="7"/>
  <c r="J389" i="7"/>
  <c r="J336" i="7"/>
  <c r="J287" i="7"/>
  <c r="J232" i="7"/>
  <c r="J178" i="7"/>
  <c r="J129" i="7"/>
  <c r="J74" i="7"/>
  <c r="J24" i="7"/>
  <c r="J2385" i="7"/>
  <c r="J2274" i="7"/>
  <c r="J2163" i="7"/>
  <c r="J2052" i="7"/>
  <c r="J1940" i="7"/>
  <c r="J1829" i="7"/>
  <c r="J1718" i="7"/>
  <c r="J1624" i="7"/>
  <c r="J1532" i="7"/>
  <c r="J1440" i="7"/>
  <c r="J1346" i="7"/>
  <c r="J1254" i="7"/>
  <c r="J1163" i="7"/>
  <c r="J1068" i="7"/>
  <c r="J986" i="7"/>
  <c r="J907" i="7"/>
  <c r="J825" i="7"/>
  <c r="J755" i="7"/>
  <c r="J702" i="7"/>
  <c r="J653" i="7"/>
  <c r="J597" i="7"/>
  <c r="J544" i="7"/>
  <c r="J492" i="7"/>
  <c r="J436" i="7"/>
  <c r="J386" i="7"/>
  <c r="J334" i="7"/>
  <c r="J278" i="7"/>
  <c r="J225" i="7"/>
  <c r="J176" i="7"/>
  <c r="J120" i="7"/>
  <c r="J67" i="7"/>
  <c r="J22" i="7"/>
  <c r="J2365" i="7"/>
  <c r="J2254" i="7"/>
  <c r="J2143" i="7"/>
  <c r="J2032" i="7"/>
  <c r="J1920" i="7"/>
  <c r="J1809" i="7"/>
  <c r="J1702" i="7"/>
  <c r="J1609" i="7"/>
  <c r="J1518" i="7"/>
  <c r="J1424" i="7"/>
  <c r="J1332" i="7"/>
  <c r="J1240" i="7"/>
  <c r="J1146" i="7"/>
  <c r="J1054" i="7"/>
  <c r="J974" i="7"/>
  <c r="J892" i="7"/>
  <c r="J813" i="7"/>
  <c r="J752" i="7"/>
  <c r="J699" i="7"/>
  <c r="J644" i="7"/>
  <c r="J590" i="7"/>
  <c r="J542" i="7"/>
  <c r="J486" i="7"/>
  <c r="J433" i="7"/>
  <c r="J380" i="7"/>
  <c r="J325" i="7"/>
  <c r="J275" i="7"/>
  <c r="J223" i="7"/>
  <c r="J167" i="7"/>
  <c r="J114" i="7"/>
  <c r="J65" i="7"/>
  <c r="J14" i="7"/>
  <c r="J2363" i="7"/>
  <c r="J2252" i="7"/>
  <c r="J2140" i="7"/>
  <c r="J2029" i="7"/>
  <c r="J1918" i="7"/>
  <c r="J1807" i="7"/>
  <c r="J1698" i="7"/>
  <c r="J1607" i="7"/>
  <c r="J1513" i="7"/>
  <c r="J1420" i="7"/>
  <c r="J1329" i="7"/>
  <c r="J1235" i="7"/>
  <c r="J1143" i="7"/>
  <c r="J1052" i="7"/>
  <c r="J968" i="7"/>
  <c r="J889" i="7"/>
  <c r="J810" i="7"/>
  <c r="J746" i="7"/>
  <c r="J690" i="7"/>
  <c r="J640" i="7"/>
  <c r="J588" i="7"/>
  <c r="J533" i="7"/>
  <c r="J479" i="7"/>
  <c r="J430" i="7"/>
  <c r="J375" i="7"/>
  <c r="J322" i="7"/>
  <c r="J269" i="7"/>
  <c r="J214" i="7"/>
  <c r="J164" i="7"/>
  <c r="J112" i="7"/>
  <c r="J56" i="7"/>
  <c r="J8" i="7"/>
  <c r="J2454" i="7"/>
  <c r="J2343" i="7"/>
  <c r="J2232" i="7"/>
  <c r="J2120" i="7"/>
  <c r="J2009" i="7"/>
  <c r="J1898" i="7"/>
  <c r="J1787" i="7"/>
  <c r="J1685" i="7"/>
  <c r="J1590" i="7"/>
  <c r="J1498" i="7"/>
  <c r="J1407" i="7"/>
  <c r="J1313" i="7"/>
  <c r="J1220" i="7"/>
  <c r="J1129" i="7"/>
  <c r="J1035" i="7"/>
  <c r="J956" i="7"/>
  <c r="J877" i="7"/>
  <c r="J798" i="7"/>
  <c r="J740" i="7"/>
  <c r="J687" i="7"/>
  <c r="J635" i="7"/>
  <c r="J579" i="7"/>
  <c r="J529" i="7"/>
  <c r="J477" i="7"/>
  <c r="J422" i="7"/>
  <c r="J368" i="7"/>
  <c r="J319" i="7"/>
  <c r="J264" i="7"/>
  <c r="J210" i="7"/>
  <c r="J158" i="7"/>
  <c r="J103" i="7"/>
  <c r="J53" i="7"/>
  <c r="J6" i="7"/>
  <c r="J2452" i="7"/>
  <c r="J2340" i="7"/>
  <c r="J2229" i="7"/>
  <c r="J2118" i="7"/>
  <c r="J2007" i="7"/>
  <c r="J1896" i="7"/>
  <c r="J1785" i="7"/>
  <c r="J1679" i="7"/>
  <c r="J1587" i="7"/>
  <c r="J1496" i="7"/>
  <c r="J1402" i="7"/>
  <c r="J1309" i="7"/>
  <c r="J1218" i="7"/>
  <c r="J1124" i="7"/>
  <c r="J1033" i="7"/>
  <c r="J954" i="7"/>
  <c r="J875" i="7"/>
  <c r="J796" i="7"/>
  <c r="J734" i="7"/>
  <c r="J685" i="7"/>
  <c r="J629" i="7"/>
  <c r="J576" i="7"/>
  <c r="J524" i="7"/>
  <c r="J468" i="7"/>
  <c r="J418" i="7"/>
  <c r="J366" i="7"/>
  <c r="J310" i="7"/>
  <c r="J257" i="7"/>
  <c r="J208" i="7"/>
  <c r="J153" i="7"/>
  <c r="J99" i="7"/>
  <c r="J48" i="7"/>
  <c r="J2432" i="7"/>
  <c r="J2320" i="7"/>
  <c r="J2209" i="7"/>
  <c r="J2098" i="7"/>
  <c r="J1987" i="7"/>
  <c r="J1876" i="7"/>
  <c r="J1765" i="7"/>
  <c r="J1665" i="7"/>
  <c r="J1574" i="7"/>
  <c r="J1479" i="7"/>
  <c r="J1387" i="7"/>
  <c r="J1296" i="7"/>
  <c r="J1202" i="7"/>
  <c r="J1109" i="7"/>
  <c r="J1020" i="7"/>
  <c r="J942" i="7"/>
  <c r="J863" i="7"/>
  <c r="J780" i="7"/>
  <c r="J732" i="7"/>
  <c r="J676" i="7"/>
  <c r="J623" i="7"/>
  <c r="J574" i="7"/>
  <c r="J518" i="7"/>
  <c r="J465" i="7"/>
  <c r="J413" i="7"/>
  <c r="J357" i="7"/>
  <c r="J307" i="7"/>
  <c r="J255" i="7"/>
  <c r="J199" i="7"/>
  <c r="J146" i="7"/>
  <c r="J97" i="7"/>
  <c r="J43" i="7"/>
  <c r="J2207" i="7"/>
  <c r="J1663" i="7"/>
  <c r="J1198" i="7"/>
  <c r="J778" i="7"/>
  <c r="J512" i="7"/>
  <c r="J246" i="7"/>
  <c r="J2187" i="7"/>
  <c r="J1646" i="7"/>
  <c r="J1185" i="7"/>
  <c r="J769" i="7"/>
  <c r="J509" i="7"/>
  <c r="J243" i="7"/>
  <c r="J2096" i="7"/>
  <c r="J1568" i="7"/>
  <c r="J1107" i="7"/>
  <c r="J723" i="7"/>
  <c r="J463" i="7"/>
  <c r="J196" i="7"/>
  <c r="J2076" i="7"/>
  <c r="J1554" i="7"/>
  <c r="J1090" i="7"/>
  <c r="J719" i="7"/>
  <c r="J454" i="7"/>
  <c r="J190" i="7"/>
  <c r="J1985" i="7"/>
  <c r="J1476" i="7"/>
  <c r="J1018" i="7"/>
  <c r="J669" i="7"/>
  <c r="J407" i="7"/>
  <c r="J144" i="7"/>
  <c r="J1965" i="7"/>
  <c r="J1463" i="7"/>
  <c r="J1003" i="7"/>
  <c r="J667" i="7"/>
  <c r="J400" i="7"/>
  <c r="J135" i="7"/>
  <c r="J2429" i="7"/>
  <c r="J1874" i="7"/>
  <c r="J1385" i="7"/>
  <c r="J936" i="7"/>
  <c r="J620" i="7"/>
  <c r="J354" i="7"/>
  <c r="J88" i="7"/>
  <c r="J2409" i="7"/>
  <c r="J1854" i="7"/>
  <c r="J1368" i="7"/>
  <c r="J924" i="7"/>
  <c r="J612" i="7"/>
  <c r="J352" i="7"/>
  <c r="J85" i="7"/>
  <c r="J2318" i="7"/>
  <c r="J1763" i="7"/>
  <c r="J1290" i="7"/>
  <c r="J857" i="7"/>
  <c r="J565" i="7"/>
  <c r="J302" i="7"/>
  <c r="J37" i="7"/>
  <c r="J2298" i="7"/>
  <c r="J1743" i="7"/>
  <c r="J1276" i="7"/>
  <c r="J845" i="7"/>
  <c r="J558" i="7"/>
  <c r="J296" i="7"/>
  <c r="J35" i="7"/>
  <c r="E3" i="7" l="1"/>
  <c r="E4" i="7" s="1"/>
  <c r="E3" i="11"/>
  <c r="E4"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tc={92b92798-d69a-4513-ac13-d4d1fb2ed2b1}</author>
  </authors>
  <commentList>
    <comment ref="B487" authorId="0" shapeId="0" xr:uid="{92B92798-D69A-4513-AC13-D4D1FB2ED2B1}">
      <text>
        <t>[Threaded comment]
Your version of Excel allows you to read this threaded comment; however, any edits to it will get removed if the file is opened in a newer version of Excel. Learn more: https://go.microsoft.com/fwlink/?linkid=870924
Comment:
    the ACF mentions this under "tool invocation workflow"</t>
      </text>
    </comment>
  </commentList>
</comments>
</file>

<file path=xl/sharedStrings.xml><?xml version="1.0" encoding="utf-8"?>
<sst xmlns="http://schemas.openxmlformats.org/spreadsheetml/2006/main" count="35787" uniqueCount="3304">
  <si>
    <t>repository_owner</t>
  </si>
  <si>
    <t>repository_name</t>
  </si>
  <si>
    <t>file_url</t>
  </si>
  <si>
    <t>sentence_index</t>
  </si>
  <si>
    <t>sentence_content</t>
  </si>
  <si>
    <t>Keywords (automatic)</t>
  </si>
  <si>
    <t>Type of Prohibition</t>
  </si>
  <si>
    <t>langchain-ai</t>
  </si>
  <si>
    <t>langchain</t>
  </si>
  <si>
    <t>https://github.com/langchain-ai/langchain/blob/master/CLAUDE.md</t>
  </si>
  <si>
    <t>- Do **not** cite line numbers; they go stale as soon as the file changes.</t>
  </si>
  <si>
    <t>Do **not**</t>
  </si>
  <si>
    <t>Commit&amp;PR rule</t>
  </si>
  <si>
    <t>module-federation</t>
  </si>
  <si>
    <t>core</t>
  </si>
  <si>
    <t>https://github.com/module-federation/core/blob/main/CLAUDE.md</t>
  </si>
  <si>
    <t>- ✗ Use a single task when multiple would be faster</t>
  </si>
  <si>
    <t>✗</t>
  </si>
  <si>
    <t>Task Execution</t>
  </si>
  <si>
    <t>- ✗ Ask for clarification before launching tasks</t>
  </si>
  <si>
    <t>- ✗ Make tasks dependent on each other</t>
  </si>
  <si>
    <t>- ✗ Load entire codebase into a single task</t>
  </si>
  <si>
    <t>- ✗ Create documentation unless specifically requested</t>
  </si>
  <si>
    <t>Documentation</t>
  </si>
  <si>
    <t>- ✗ Create new files when existing ones can be modified</t>
  </si>
  <si>
    <t>owid</t>
  </si>
  <si>
    <t>owid-grapher</t>
  </si>
  <si>
    <t>https://github.com/owid/owid-grapher/blob/master/CLAUDE.md</t>
  </si>
  <si>
    <t>The `makeObservable` call must mention all obserable props, but none of the @computed or @action ones.</t>
  </si>
  <si>
    <t>none of</t>
  </si>
  <si>
    <t>Coding Pattern</t>
  </si>
  <si>
    <t>saleor</t>
  </si>
  <si>
    <t>https://github.com/saleor/saleor/blob/main/CLAUDE.md</t>
  </si>
  <si>
    <t>- When asserting to Enum, import enum in a test file and use `assert error.code == MyEnum.SOME_ERROR.name` instead of plain string comparison</t>
  </si>
  <si>
    <t>instead of</t>
  </si>
  <si>
    <t>zed-industries</t>
  </si>
  <si>
    <t>zed</t>
  </si>
  <si>
    <t>https://github.com/zed-industries/zed/blob/main/CLAUDE.md</t>
  </si>
  <si>
    <t>Do **not** edit `.rules` inline during normal feature/fix work.</t>
  </si>
  <si>
    <t>gluesql</t>
  </si>
  <si>
    <t>glues</t>
  </si>
  <si>
    <t>https://github.com/gluesql/glues/blob/main/AGENTS.md</t>
  </si>
  <si>
    <t>- Use file-based module declarations; do **not** introduce `mod.rs` files.</t>
  </si>
  <si>
    <t>useautumn</t>
  </si>
  <si>
    <t>autumn</t>
  </si>
  <si>
    <t>https://github.com/useautumn/autumn/blob/main/AGENTS.md</t>
  </si>
  <si>
    <t>- Do **not** remove or bypass logic in `server/src/honoMiddlewares/refreshCacheMiddleware.ts` unless the user explicitly asks to change middleware behavior globally.</t>
  </si>
  <si>
    <t>Azure</t>
  </si>
  <si>
    <t>fleet</t>
  </si>
  <si>
    <t>https://github.com/Azure/fleet/blob/main/.github/copilot-instructions.md</t>
  </si>
  <si>
    <t>- Do **not** use assert libraries; use `cmp.Diff` / `cmp.Equal` from `google/go-cmp` for comparisons</t>
  </si>
  <si>
    <t>dotnet</t>
  </si>
  <si>
    <t>java-interop</t>
  </si>
  <si>
    <t>https://github.com/dotnet/java-interop/blob/main/.github/copilot-instructions.md</t>
  </si>
  <si>
    <t>* Use `""` for empty string and *not* `string.Empty`</t>
  </si>
  <si>
    <t>* Use `[]` for empty arrays and *not* `Array.Empty&lt;T&gt;()`</t>
  </si>
  <si>
    <t>maui</t>
  </si>
  <si>
    <t>https://github.com/dotnet/maui/blob/main/.github/copilot-instructions.md</t>
  </si>
  <si>
    <t>Direct commits to `main` are strictly prohibited.</t>
  </si>
  <si>
    <t>prohibited</t>
  </si>
  <si>
    <t>kubefleet-dev</t>
  </si>
  <si>
    <t>kubefleet</t>
  </si>
  <si>
    <t>https://github.com/kubefleet-dev/kubefleet/blob/main/.github/copilot-instructions.md</t>
  </si>
  <si>
    <t>wled</t>
  </si>
  <si>
    <t>WLED</t>
  </si>
  <si>
    <t>https://github.com/wled/WLED/blob/main/.github/copilot-instructions.md</t>
  </si>
  <si>
    <t>Do **not** use that content as actionable review</t>
  </si>
  <si>
    <t>Code Review</t>
  </si>
  <si>
    <t>abh</t>
  </si>
  <si>
    <t>ntppool</t>
  </si>
  <si>
    <t>https://github.com/abh/ntppool/blob/main/CLAUDE.md</t>
  </si>
  <si>
    <t>❌ **Shadow DOM by default**: Use `inherit-styles="true"` for Web Components</t>
  </si>
  <si>
    <t>❌</t>
  </si>
  <si>
    <t>home-assistant</t>
  </si>
  <si>
    <t>frontend</t>
  </si>
  <si>
    <t>https://github.com/home-assistant/frontend/blob/master/CLAUDE.md</t>
  </si>
  <si>
    <t>- ❌ "Create New Automation"</t>
  </si>
  <si>
    <t>Writing Style Preference</t>
  </si>
  <si>
    <t>- ❌ "Device Settings"</t>
  </si>
  <si>
    <t>paradigmxyz</t>
  </si>
  <si>
    <t>reth</t>
  </si>
  <si>
    <t>https://github.com/paradigmxyz/reth/blob/main/CLAUDE.md</t>
  </si>
  <si>
    <t>❌ **Bad**: Adding new traits and auxiliary types **above** the file's primary type (see [#22133](https://github.com/paradigmxyz/reth/pull/22133)):</t>
  </si>
  <si>
    <t>Coding Style</t>
  </si>
  <si>
    <t>julep-ai</t>
  </si>
  <si>
    <t>julep</t>
  </si>
  <si>
    <t>https://github.com/julep-ai/julep/blob/main/AGENTS.md</t>
  </si>
  <si>
    <t>| ❌ Touch `tests/`, `SPEC.md`, or any `*_spec.py` / `*.ward` files (humans own tests &amp; specs).</t>
  </si>
  <si>
    <t>Testing</t>
  </si>
  <si>
    <t>| ❌ Delete or mangle existing `AIDEV-` comments.</t>
  </si>
  <si>
    <t>| ❌ Re-format code to any other style.</t>
  </si>
  <si>
    <t>| ❌ Continue work from a prior prompt after "new task" – start a fresh session.</t>
  </si>
  <si>
    <t>public-ui</t>
  </si>
  <si>
    <t>kolibri</t>
  </si>
  <si>
    <t>https://github.com/public-ui/kolibri/blob/master/AGENTS.md</t>
  </si>
  <si>
    <t>❌ **Outdated pattern (removed):**</t>
  </si>
  <si>
    <t>docs-desktop</t>
  </si>
  <si>
    <t>https://github.com/dotnet/docs-desktop/blob/main/.github/copilot-instructions.md</t>
  </si>
  <si>
    <t>- ❌ Bad: `Getting-Started-With-The-Entity-Framework.md`</t>
  </si>
  <si>
    <t>- ❌ Bad: `configure_logging.md`</t>
  </si>
  <si>
    <t>- ❌ Bad: `DependencyInjectionGuidelines.md`</t>
  </si>
  <si>
    <t>raycast</t>
  </si>
  <si>
    <t>extensions</t>
  </si>
  <si>
    <t>https://github.com/raycast/extensions/blob/main/.github/copilot-instructions.md</t>
  </si>
  <si>
    <t>- ❌ Incorrect: `## [Bug Fix] - 2024-07-12`</t>
  </si>
  <si>
    <t>geneontology</t>
  </si>
  <si>
    <t>go-ontology</t>
  </si>
  <si>
    <t>https://github.com/geneontology/go-ontology/blob/master/CLAUDE.md</t>
  </si>
  <si>
    <t>Similarly, it's generally an anti-pattern to have more than one asserted `is_a`.</t>
  </si>
  <si>
    <t>anti-pattern</t>
  </si>
  <si>
    <t>A common anti-pattern is using logical definitions where relationships suffice.</t>
  </si>
  <si>
    <t>**Anti-pattern:** Writing ad-hoc scripts to parse AzDO build timelines.</t>
  </si>
  <si>
    <t>https://github.com/geneontology/go-ontology/blob/master/.github/copilot-instructions.md</t>
  </si>
  <si>
    <t>- Keep functions focused and avoid over-engineering with design patterns</t>
  </si>
  <si>
    <t>avoid</t>
  </si>
  <si>
    <t>Maintainability</t>
  </si>
  <si>
    <t>**Avoid architectural complexity** - simple functions over design patterns</t>
  </si>
  <si>
    <t>- **`account_id`**: AVOID - use `a` parameter with account token instead</t>
  </si>
  <si>
    <t>ajanraj</t>
  </si>
  <si>
    <t>OpenChat</t>
  </si>
  <si>
    <t>https://github.com/ajanraj/OpenChat/blob/main/CLAUDE.md</t>
  </si>
  <si>
    <t>Avoid `any` and `unknown` types.</t>
  </si>
  <si>
    <t>Avoid inline styles.</t>
  </si>
  <si>
    <t>badlogic</t>
  </si>
  <si>
    <t>lemmy</t>
  </si>
  <si>
    <t>https://github.com/badlogic/lemmy/blob/main/CLAUDE.md</t>
  </si>
  <si>
    <t>**CRITICAL: Avoid `any` at all costs!** Use proper TypeScript types wherever possible:</t>
  </si>
  <si>
    <t>BerriAI</t>
  </si>
  <si>
    <t>litellm</t>
  </si>
  <si>
    <t>https://github.com/BerriAI/litellm/blob/main/CLAUDE.md</t>
  </si>
  <si>
    <t>- **Avoid imports within methods** — place all imports at the top of the file (module-level).</t>
  </si>
  <si>
    <t>CapSoftware</t>
  </si>
  <si>
    <t>Cap</t>
  </si>
  <si>
    <t>https://github.com/CapSoftware/Cap/blob/main/CLAUDE.md</t>
  </si>
  <si>
    <t>- Avoid `any`.</t>
  </si>
  <si>
    <t>Avoid starting multiple overlapping servers.</t>
  </si>
  <si>
    <t>Build &amp; Operation</t>
  </si>
  <si>
    <t>- Avoid running Docker or external services yourself unless requested; root workflows handle them as needed.</t>
  </si>
  <si>
    <t>The middleware/utility already hydrate `CurrentUser`, so avoid duplicating session lookups in route handlers.</t>
  </si>
  <si>
    <t>- Windowing/permissions are handled in Rust; keep UI logic in Solid and avoid mixing IPC with rendering logic.</t>
  </si>
  <si>
    <t>cloudposse</t>
  </si>
  <si>
    <t>atmos</t>
  </si>
  <si>
    <t>https://github.com/cloudposse/atmos/blob/main/CLAUDE.md</t>
  </si>
  <si>
    <t>- Avoid integration tests by mocking external dependencies</t>
  </si>
  <si>
    <t>- Avoid tautological tests</t>
  </si>
  <si>
    <t>cloudwalk</t>
  </si>
  <si>
    <t>stratus</t>
  </si>
  <si>
    <t>https://github.com/cloudwalk/stratus/blob/main/CLAUDE.md</t>
  </si>
  <si>
    <t>- `wildcard_imports = "warn"` - Avoid `use module::*`</t>
  </si>
  <si>
    <t>cockroachdb</t>
  </si>
  <si>
    <t>cockroach</t>
  </si>
  <si>
    <t>https://github.com/cockroachdb/cockroach/blob/master/CLAUDE.md</t>
  </si>
  <si>
    <t>Avoid doing this unless necessary.</t>
  </si>
  <si>
    <t>coder</t>
  </si>
  <si>
    <t>https://github.com/coder/coder/blob/main/CLAUDE.md</t>
  </si>
  <si>
    <t>- Avoid `ByX` names for grouped queries.</t>
  </si>
  <si>
    <t>compiler-explorer</t>
  </si>
  <si>
    <t>https://github.com/compiler-explorer/compiler-explorer/blob/main/CLAUDE.md</t>
  </si>
  <si>
    <t>- Avoid redundant function header comments that merely repeat the function name.</t>
  </si>
  <si>
    <t>infra</t>
  </si>
  <si>
    <t>https://github.com/compiler-explorer/infra/blob/main/CLAUDE.md</t>
  </si>
  <si>
    <t>- Avoid emojis</t>
  </si>
  <si>
    <t>- Avoid "LLM tells", for example:</t>
  </si>
  <si>
    <t>- Avoid cliches</t>
  </si>
  <si>
    <t>dailydotdev</t>
  </si>
  <si>
    <t>apps</t>
  </si>
  <si>
    <t>https://github.com/dailydotdev/apps/blob/main/CLAUDE.md</t>
  </si>
  <si>
    <t>Avoid large content images that dominate the layout unless image content is the primary purpose.</t>
  </si>
  <si>
    <t>- **Keep scope tight in design iterations** - When adjusting UI, avoid unrelated behavioral/SEO changes in the same commit unless explicitly requested.</t>
  </si>
  <si>
    <t>FastLED</t>
  </si>
  <si>
    <t>https://github.com/FastLED/FastLED/blob/master/CLAUDE.md</t>
  </si>
  <si>
    <t>- **Test simplicity**: Keep tests simple, avoid mocks.</t>
  </si>
  <si>
    <t>Avoid introducing bugs.</t>
  </si>
  <si>
    <t>Freika</t>
  </si>
  <si>
    <t>dawarich</t>
  </si>
  <si>
    <t>https://github.com/Freika/dawarich/blob/master/CLAUDE.md</t>
  </si>
  <si>
    <t>}, prefix: :field_name` to get scoped predicate methods and avoid name collisions.</t>
  </si>
  <si>
    <t>fukuball</t>
  </si>
  <si>
    <t>jieba-php</t>
  </si>
  <si>
    <t>https://github.com/fukuball/jieba-php/blob/master/CLAUDE.md</t>
  </si>
  <si>
    <t>- Avoid dynamic tag generation from untrusted sources</t>
  </si>
  <si>
    <t>gensx-inc</t>
  </si>
  <si>
    <t>gensx</t>
  </si>
  <si>
    <t>https://github.com/gensx-inc/gensx/blob/main/CLAUDE.md</t>
  </si>
  <si>
    <t>- Always use explicit imports, avoid default imports where possible</t>
  </si>
  <si>
    <t>getsentry</t>
  </si>
  <si>
    <t>sentry-cocoa</t>
  </si>
  <si>
    <t>https://github.com/getsentry/sentry-cocoa/blob/main/CLAUDE.md</t>
  </si>
  <si>
    <t>Avoid `-C` when you can change directory instead</t>
  </si>
  <si>
    <t>sentry-javascript</t>
  </si>
  <si>
    <t>https://github.com/getsentry/sentry-javascript/blob/master/CLAUDE.md</t>
  </si>
  <si>
    <t>Prefer LSP over Grep/Read for code navigation — it's faster, precise, and avoids reading entire files:</t>
  </si>
  <si>
    <t>grafbase</t>
  </si>
  <si>
    <t>https://github.com/grafbase/grafbase/blob/main/CLAUDE.md</t>
  </si>
  <si>
    <t>For new components, avoid creating many small files.</t>
  </si>
  <si>
    <t>Avoid test names like `test_` and prefer using terms like "can", "should", "must" or "given" to define a property/behavior the code should uphold.</t>
  </si>
  <si>
    <t>- **Always use strict TypeScript**: Enable all strict flags, avoid `any` types</t>
  </si>
  <si>
    <t>- **Avoid jargon**: Use terms familiar to home automation users</t>
  </si>
  <si>
    <t>- **Avoid abbreviations**: Spell out terms when possible</t>
  </si>
  <si>
    <t>- **Avoid CAPS for emphasis**: Use bold or italics instead</t>
  </si>
  <si>
    <t>- [ ] Avoids abbreviations and jargon</t>
  </si>
  <si>
    <t>J-Tech-Japan</t>
  </si>
  <si>
    <t>Sekiban</t>
  </si>
  <si>
    <t>https://github.com/J-Tech-Japan/Sekiban/blob/main/CLAUDE.md</t>
  </si>
  <si>
    <t>- Keep actor (grain) boundaries explicit; avoid embedding cross-cutting logic directly inside web/API layers.</t>
  </si>
  <si>
    <t>JuliaBesties</t>
  </si>
  <si>
    <t>BestieTemplate.jl</t>
  </si>
  <si>
    <t>https://github.com/JuliaBesties/BestieTemplate.jl/blob/main/CLAUDE.md</t>
  </si>
  <si>
    <t>The Julia session stays alive between calls, avoiding recompilation.</t>
  </si>
  <si>
    <t>Note: It might out of date, so it is better to avoid until reviewed.</t>
  </si>
  <si>
    <t>jxnl</t>
  </si>
  <si>
    <t>blog</t>
  </si>
  <si>
    <t>https://github.com/jxnl/blog/blob/main/CLAUDE.md</t>
  </si>
  <si>
    <t>**Subheadings:** Avoid corny/dramatic language.</t>
  </si>
  <si>
    <t>- Avoid overly dramatic or "thought leadership" subheadings</t>
  </si>
  <si>
    <t>kubetail-org</t>
  </si>
  <si>
    <t>kubetail</t>
  </si>
  <si>
    <t>https://github.com/kubetail-org/kubetail/blob/main/CLAUDE.md</t>
  </si>
  <si>
    <t>- Avoid introducing new external dependencies unless it will have a material impact on code readability or performance</t>
  </si>
  <si>
    <t>Performance</t>
  </si>
  <si>
    <t>Avoid insider shorthand and prefer language that is friendly to public viewers — this aids interpretability.</t>
  </si>
  <si>
    <t>lfnovo</t>
  </si>
  <si>
    <t>esperanto</t>
  </si>
  <si>
    <t>https://github.com/lfnovo/esperanto/blob/main/CLAUDE.md</t>
  </si>
  <si>
    <t>- Avoids loading all providers at import time</t>
  </si>
  <si>
    <t>**Maximum 10 tasks**: Avoid over-fragmentation; combine related work</t>
  </si>
  <si>
    <t>- **MINIMIZE CONTEXT**: Avoid loading unnecessary files to preserve token efficiency</t>
  </si>
  <si>
    <t>- Avoid redundant file reads across tasks</t>
  </si>
  <si>
    <t>nrwl</t>
  </si>
  <si>
    <t>nx</t>
  </si>
  <si>
    <t>https://github.com/nrwl/nx/blob/master/CLAUDE.md</t>
  </si>
  <si>
    <t>- Prefix nx commands with the workspace's package manager (e.g., `pnpm nx build`, `npm exec nx test`) - avoids using globally installed CLI</t>
  </si>
  <si>
    <t>open-metadata</t>
  </si>
  <si>
    <t>OpenMetadata</t>
  </si>
  <si>
    <t>https://github.com/open-metadata/OpenMetadata/blob/main/CLAUDE.md</t>
  </si>
  <si>
    <t>- **State Management**: Use `useState` with proper typing, avoid `any`</t>
  </si>
  <si>
    <t>- Custom styles in `.less` files with component-specific naming (legacy pattern, avoid for new code)</t>
  </si>
  <si>
    <t>- Avoid type assertions unless absolutely necessary</t>
  </si>
  <si>
    <t>etl</t>
  </si>
  <si>
    <t>https://github.com/owid/etl/blob/master/CLAUDE.md</t>
  </si>
  <si>
    <t>- **Garden: `safe_types=False`** — for large tables (&gt;1M rows), use `ds.read("table", safe_types=False)` to preserve categoricals and avoid expensive type conversions.</t>
  </si>
  <si>
    <t>- Avoid the use of the `any` type.</t>
  </si>
  <si>
    <t>**Avoid Allocations in Hot Paths**: Use references and borrowing</t>
  </si>
  <si>
    <t>Based on PR patterns, avoid:</t>
  </si>
  <si>
    <t>pdfme</t>
  </si>
  <si>
    <t>https://github.com/pdfme/pdfme/blob/main/CLAUDE.md</t>
  </si>
  <si>
    <t>- **Type Safety**: Ensure proper type definitions and avoid `any` types</t>
  </si>
  <si>
    <t>Pipelex</t>
  </si>
  <si>
    <t>pipelex</t>
  </si>
  <si>
    <t>https://github.com/Pipelex/pipelex/blob/main/CLAUDE.md</t>
  </si>
  <si>
    <t>Avoid unless using the `exceptiongroup` backport.</t>
  </si>
  <si>
    <t>- Avoid inline for loops, unless it's ultra-simple and holds on oneline.</t>
  </si>
  <si>
    <t>- Avoid as much as possible import statements outside of a module's top-level scope.</t>
  </si>
  <si>
    <t>- Note how we avoid initializing a default mutable value within a class instance, instead we use ClassVar.</t>
  </si>
  <si>
    <t>RchGrav</t>
  </si>
  <si>
    <t>claudebox</t>
  </si>
  <si>
    <t>https://github.com/RchGrav/claudebox/blob/main/CLAUDE.md</t>
  </si>
  <si>
    <t>* Avoid `stat` entirely—output formats diverge.</t>
  </si>
  <si>
    <t>Code snippets should be avoided.</t>
  </si>
  <si>
    <t>receptron</t>
  </si>
  <si>
    <t>mulmocast-cli</t>
  </si>
  <si>
    <t>https://github.com/receptron/mulmocast-cli/blob/main/CLAUDE.md</t>
  </si>
  <si>
    <t>Keep methods browser-compatible when possible (avoid Node.js built-ins like `fs`)</t>
  </si>
  <si>
    <t>- Avoid assertion to plain values, if you already have references to existing value.</t>
  </si>
  <si>
    <t>1000 rows) to avoid long-running transactions</t>
  </si>
  <si>
    <t>spylang</t>
  </si>
  <si>
    <t>spy</t>
  </si>
  <si>
    <t>https://github.com/spylang/spy/blob/main/CLAUDE.md</t>
  </si>
  <si>
    <t>Avoid writing useless comments: if you need to write a comment, explain WHY the code</t>
  </si>
  <si>
    <t>steipete</t>
  </si>
  <si>
    <t>Peekaboo</t>
  </si>
  <si>
    <t>https://github.com/steipete/Peekaboo/blob/main/CLAUDE.md</t>
  </si>
  <si>
    <t>- SwiftLint config lives in `.swiftlint.yml`; keep new code typed (avoid `Any`), prefer small scoped extensions over large files.</t>
  </si>
  <si>
    <t>- Use `./scripts/committer "type(scope): summary" &lt;paths…&gt;` to stage and create commits; avoid raw `git add`.</t>
  </si>
  <si>
    <t>- Respect permissions flows documented in `docs/permissions.md`; avoid editing derived artifacts—regenerate via the provided scripts instead.</t>
  </si>
  <si>
    <t>stepfunc</t>
  </si>
  <si>
    <t>dnp3</t>
  </si>
  <si>
    <t>https://github.com/stepfunc/dnp3/blob/main/CLAUDE.md</t>
  </si>
  <si>
    <t>- **API Design**: Avoid unreachable public items (`unreachable_pub = "deny"`)</t>
  </si>
  <si>
    <t>thirdweb-dev</t>
  </si>
  <si>
    <t>js</t>
  </si>
  <si>
    <t>https://github.com/thirdweb-dev/js/blob/main/CLAUDE.md</t>
  </si>
  <si>
    <t>Avoid personal names</t>
  </si>
  <si>
    <t>- Avoid editor-specific configs; rely on shared settings</t>
  </si>
  <si>
    <t>- **Type safety**: Avoid `any` and `unknown` unless unavoidable; narrow generics when possible</t>
  </si>
  <si>
    <t>- **Test approach**: Use real function invocations with stub data; avoid brittle mocks</t>
  </si>
  <si>
    <t>- Return typed results (`Project[]`, `User[]`) – avoid `any`</t>
  </si>
  <si>
    <t>tphakala</t>
  </si>
  <si>
    <t>birdnet-go</t>
  </si>
  <si>
    <t>https://github.com/tphakala/birdnet-go/blob/main/CLAUDE.md</t>
  </si>
  <si>
    <t>Check open PRs to avoid conflicts</t>
  </si>
  <si>
    <t>truenas</t>
  </si>
  <si>
    <t>webui</t>
  </si>
  <si>
    <t>https://github.com/truenas/webui/blob/master/CLAUDE.md</t>
  </si>
  <si>
    <t>- Avoid the `any` type; use `unknown` when type is uncertain</t>
  </si>
  <si>
    <t>**Avoid** (constructor injection):</t>
  </si>
  <si>
    <t>wolfi-dev</t>
  </si>
  <si>
    <t>os</t>
  </si>
  <si>
    <t>https://github.com/wolfi-dev/os/blob/main/CLAUDE.md</t>
  </si>
  <si>
    <t>- Avoid using obsolete package versions</t>
  </si>
  <si>
    <t>- When adding tests, always review existing tests and avoid creating redundant tests.</t>
  </si>
  <si>
    <t>wvlet</t>
  </si>
  <si>
    <t>airframe</t>
  </si>
  <si>
    <t>https://github.com/wvlet/airframe/blob/main/CLAUDE.md</t>
  </si>
  <si>
    <t>- Avoid `Try[A]` return types - use plain exceptions or domain-specific errors</t>
  </si>
  <si>
    <t>- Avoid mocks to reduce maintenance cost</t>
  </si>
  <si>
    <t>https://github.com/wvlet/wvlet/blob/main/CLAUDE.md</t>
  </si>
  <si>
    <t>- Avoid using mock as it increases maintenance cost and creates brittle tests that break when internal implementation changes</t>
  </si>
  <si>
    <t>- Avoid: `"testParseJSON"`, `"test1"`, `"shouldWork"`</t>
  </si>
  <si>
    <t>- Avoid returning Try[A] as it forces monadic-style usage</t>
  </si>
  <si>
    <t>- **In Scala.js code, avoid using Java-specific libraries**</t>
  </si>
  <si>
    <t>- Avoid: `feature: Add XXX class`</t>
  </si>
  <si>
    <t>yamadashy</t>
  </si>
  <si>
    <t>repomix</t>
  </si>
  <si>
    <t>https://github.com/yamadashy/repomix/blob/main/CLAUDE.md</t>
  </si>
  <si>
    <t>- Maintain feature-based directory structure and avoid dependencies between features</t>
  </si>
  <si>
    <t>Avoid creating many small files.</t>
  </si>
  <si>
    <t>* Avoid using functions that panic like `unwrap()`, instead use mechanisms like `?` to propagate errors.</t>
  </si>
  <si>
    <t>- Example: avoid `let _ = client.request(...).await?;` - use `client.request(...).await?;` instead</t>
  </si>
  <si>
    <t>* Avoid creative additions unless explicitly requested</t>
  </si>
  <si>
    <t>Trying to update an entity while it's already being updated must be avoided as this will cause a panic.</t>
  </si>
  <si>
    <t>`SharedString` is used to avoid copying strings, and is either an `&amp;'static str` or `Arc&lt;str&gt;`.</t>
  </si>
  <si>
    <t>- Avoid conventional commit prefixes in PR titles (`fix:`, `feat:`, `docs:`, etc.).</t>
  </si>
  <si>
    <t>- Avoid trailing punctuation in PR titles.</t>
  </si>
  <si>
    <t>Avoid architectural descriptions of a crate (module layout, data flow, key types).</t>
  </si>
  <si>
    <t>zenml-io</t>
  </si>
  <si>
    <t>zenml</t>
  </si>
  <si>
    <t>https://github.com/zenml-io/zenml/blob/main/CLAUDE.md</t>
  </si>
  <si>
    <t>- Avoid simple explanatory comments, where it is already clear from the code itself.</t>
  </si>
  <si>
    <t>- Avoid useless one-line comments interleaved with code that merely narrate the implementation.</t>
  </si>
  <si>
    <t>&gt; ⚠️ **Integrations should avoid using ZenML private methods**</t>
  </si>
  <si>
    <t>- Avoid vague language ("thing", "stuff", "value", "setting")</t>
  </si>
  <si>
    <t>- Avoid overusing bullet points or other formatting elements</t>
  </si>
  <si>
    <t>ArcInstitute</t>
  </si>
  <si>
    <t>SRAgent</t>
  </si>
  <si>
    <t>https://github.com/ArcInstitute/SRAgent/blob/main/AGENTS.md</t>
  </si>
  <si>
    <t>- Add tests for new features and edge cases; avoid network‑dependent tests unless mocked.</t>
  </si>
  <si>
    <t>Azure-Samples</t>
  </si>
  <si>
    <t>serverless-chat-langchainjs</t>
  </si>
  <si>
    <t>https://github.com/Azure-Samples/serverless-chat-langchainjs/blob/main/AGENTS.md</t>
  </si>
  <si>
    <t>- Maintain simplicity; avoid premature abstractions or heavy frameworks</t>
  </si>
  <si>
    <t>- Secrets managed via Azure (Function App / Static Web App settings) – Avoid committing secrets</t>
  </si>
  <si>
    <t>Security</t>
  </si>
  <si>
    <t>bruin-data</t>
  </si>
  <si>
    <t>bruin</t>
  </si>
  <si>
    <t>https://github.com/bruin-data/bruin/blob/main/AGENTS.md</t>
  </si>
  <si>
    <t>**Avoid lock-in**: Open-source Apache-licensed, runs anywhere</t>
  </si>
  <si>
    <t>https://github.com/CapSoftware/Cap/blob/main/AGENTS.md</t>
  </si>
  <si>
    <t>- Convert the effectful API to a Next.js handler with `apiToHandler(ApiLive)` from `@/lib/server` and export the returned `handler`—avoid calling `runPromise` inside route files.</t>
  </si>
  <si>
    <t>carverauto</t>
  </si>
  <si>
    <t>serviceradar</t>
  </si>
  <si>
    <t>https://github.com/carverauto/serviceradar/blob/main/AGENTS.md</t>
  </si>
  <si>
    <t>In migrations, set `prefix: "platform"` for new tables/indexes/constraints and avoid `prefix: "public"` in references.</t>
  </si>
  <si>
    <t>catatsuy</t>
  </si>
  <si>
    <t>private-isu</t>
  </si>
  <si>
    <t>https://github.com/catatsuy/private-isu/blob/master/AGENTS.md</t>
  </si>
  <si>
    <t>- Ruby/Python/PHP: follow existing idioms (Ruby 2-space indent, Python PEP 8, PHP PSR-12); avoid mixing tabs and spaces.</t>
  </si>
  <si>
    <t>commonwarexyz</t>
  </si>
  <si>
    <t>monorepo</t>
  </si>
  <si>
    <t>https://github.com/commonwarexyz/monorepo/blob/main/AGENTS.md</t>
  </si>
  <si>
    <t>_Avoid building or testing the entire workspace unless absolutely necessary.</t>
  </si>
  <si>
    <t>Avoid `OsRng`, `StdRng::from_entropy()`, or raw `StdRng::seed_from_u64()`.</t>
  </si>
  <si>
    <t>DannyMac180</t>
  </si>
  <si>
    <t>meta-agent</t>
  </si>
  <si>
    <t>https://github.com/DannyMac180/meta-agent/blob/main/AGENTS.md</t>
  </si>
  <si>
    <t>- Coding Style (TS planned): strict TypeScript, ESLint+Prettier, avoid default exports, prefer functional modules, async/await.</t>
  </si>
  <si>
    <t>epicweb-dev</t>
  </si>
  <si>
    <t>epicshop</t>
  </si>
  <si>
    <t>https://github.com/epicweb-dev/epicshop/blob/main/AGENTS.md</t>
  </si>
  <si>
    <t>- Avoid `@testing-library/react` in browser mode.</t>
  </si>
  <si>
    <t>lifecycle and avoids leaking state across tests.</t>
  </si>
  <si>
    <t>- Prefer flat tests with explicit setup to keep intent clear and avoid cascading</t>
  </si>
  <si>
    <t>ESPresense</t>
  </si>
  <si>
    <t>ESPresense-companion</t>
  </si>
  <si>
    <t>https://github.com/ESPresense/ESPresense-companion/blob/main/AGENTS.md</t>
  </si>
  <si>
    <t>- For local tweaks use `appsettings.json`; avoid hardcoding credentials.</t>
  </si>
  <si>
    <t>- Default to driving scenarios through real input; avoid mutating internal context (`App::context_mut`) from tests unless absolutely necessary.</t>
  </si>
  <si>
    <t>hahwul</t>
  </si>
  <si>
    <t>dalfox</t>
  </si>
  <si>
    <t>https://github.com/hahwul/dalfox/blob/main/AGENTS.md</t>
  </si>
  <si>
    <t>- MCP is stdio/JSON-RPC; avoid stdout noise in MCP mode (banner/log behavior matters).</t>
  </si>
  <si>
    <t>- Avoid `unwrap()` in runtime paths where user input or network I/O is involved.</t>
  </si>
  <si>
    <t>janbjorge</t>
  </si>
  <si>
    <t>pgqueuer</t>
  </si>
  <si>
    <t>https://github.com/janbjorge/pgqueuer/blob/main/AGENTS.md</t>
  </si>
  <si>
    <t>- **Avoid `Any`** at nearly all cost.</t>
  </si>
  <si>
    <t>johnlindquist</t>
  </si>
  <si>
    <t>kit</t>
  </si>
  <si>
    <t>https://github.com/johnlindquist/kit/blob/main/AGENTS.md</t>
  </si>
  <si>
    <t>- Env: `.env` supported via `dotenv`/`dotenv-flow`; avoid committing secrets.</t>
  </si>
  <si>
    <t>langfuse</t>
  </si>
  <si>
    <t>https://github.com/langfuse/langfuse/blob/main/AGENTS.md</t>
  </si>
  <si>
    <t>- Keep changes scoped; avoid unrelated refactors.</t>
  </si>
  <si>
    <t>luccahuguet</t>
  </si>
  <si>
    <t>yazelix</t>
  </si>
  <si>
    <t>https://github.com/luccahuguet/yazelix/blob/main/AGENTS.md</t>
  </si>
  <si>
    <t>**Avoid redundant code** - Focus on elegant, concise code when possible; eliminate duplication and unnecessary complexity</t>
  </si>
  <si>
    <t>These commands require `cargo` and `rustc` on `PATH` and intentionally avoid re-entering `nix develop`.</t>
  </si>
  <si>
    <t>- In particular, avoid patterns like arrays of shell lines joined with `str join "\n"` or interpolated multi-line shell snippets whose dynamic values are baked directly into the script text.</t>
  </si>
  <si>
    <t>https://github.com/Pipelex/pipelex/blob/main/AGENTS.md</t>
  </si>
  <si>
    <t>PrairieLearn</t>
  </si>
  <si>
    <t>https://github.com/PrairieLearn/PrairieLearn/blob/master/AGENTS.md</t>
  </si>
  <si>
    <t>Avoid running the entire test suite unless necessary, as it can be time-consuming.</t>
  </si>
  <si>
    <t>- Avoid unnecessary `useEffect` when using `react-hook-form`.</t>
  </si>
  <si>
    <t>rocketship-ai</t>
  </si>
  <si>
    <t>rocketship</t>
  </si>
  <si>
    <t>https://github.com/rocketship-ai/rocketship/blob/main/AGENTS.md</t>
  </si>
  <si>
    <t>Always include a unique `X-Test-Session` header when calling shared services like `https://tryme.rocketship.sh` to avoid cross-test contamination.</t>
  </si>
  <si>
    <t>RSSNext</t>
  </si>
  <si>
    <t>Folo</t>
  </si>
  <si>
    <t>https://github.com/RSSNext/Folo/blob/main/AGENTS.md</t>
  </si>
  <si>
    <t>- TypeScript strict; avoid `any` (use precise types).</t>
  </si>
  <si>
    <t>- **Style extraction**: Avoid inline styles in JSX.</t>
  </si>
  <si>
    <t>- Avoid using the `any` type in TypeScript.</t>
  </si>
  <si>
    <t>Avoid conflicting dotted keys.</t>
  </si>
  <si>
    <t>- Avoid multi-line speculative edits; keep edits minimal and targeted; preserve existing indentation.</t>
  </si>
  <si>
    <t>rustfs</t>
  </si>
  <si>
    <t>https://github.com/rustfs/rustfs/blob/main/AGENTS.md</t>
  </si>
  <si>
    <t>- Avoid redundant file reads, repeated commands, and unnecessary exploratory work once enough context is available.</t>
  </si>
  <si>
    <t>Avoid sycophantic openers, closing fluff, and verbose status reporting.</t>
  </si>
  <si>
    <t>- Keep fixes narrowly aligned with the requested behavior; avoid semantic-adjacent rewrites while touching sensitive paths.</t>
  </si>
  <si>
    <t>- If a new string is truly unique, define a local constant near related logic and avoid scattering the literal across multiple sites.</t>
  </si>
  <si>
    <t>Avoid duplicating long crate lists or command matrices in instruction files.</t>
  </si>
  <si>
    <t>seasonedcc</t>
  </si>
  <si>
    <t>remix-forms</t>
  </si>
  <si>
    <t>https://github.com/seasonedcc/remix-forms/blob/main/AGENTS.md</t>
  </si>
  <si>
    <t>Avoid checking Tailwind classes, CSS, or which specific HTML tag is rendered.</t>
  </si>
  <si>
    <t>Avoid catch‑all labels like "additional tests".</t>
  </si>
  <si>
    <t>stack-auth</t>
  </si>
  <si>
    <t>https://github.com/stack-auth/stack-auth/blob/main/AGENTS.md</t>
  </si>
  <si>
    <t>- Try to avoid the `any` type.</t>
  </si>
  <si>
    <t>Avoid wherever possible.</t>
  </si>
  <si>
    <t>swarmauri</t>
  </si>
  <si>
    <t>swarmauri-sdk</t>
  </si>
  <si>
    <t>https://github.com/swarmauri/swarmauri-sdk/blob/main/AGENTS.md</t>
  </si>
  <si>
    <t>avoid using the ``PluginManager`` unless explicitly directed otherwise.</t>
  </si>
  <si>
    <t>- Any new or refactored runtime balance/reset/cache patch code should continue following this policy and avoid adding new cache-version bumps by default.</t>
  </si>
  <si>
    <t>web-infra-dev</t>
  </si>
  <si>
    <t>rspack</t>
  </si>
  <si>
    <t>https://github.com/web-infra-dev/rspack/blob/main/AGENTS.md</t>
  </si>
  <si>
    <t>- **Rust**: Core in `crates/rspack_core/`, plugins in `crates/rspack_plugin_*/`, rebuild with `pnpm run build:binding:dev`, test with `pnpm run test:rs`, avoid linting and formatting for fast local development</t>
  </si>
  <si>
    <t>webgptorg</t>
  </si>
  <si>
    <t>promptbook</t>
  </si>
  <si>
    <t>https://github.com/webgptorg/promptbook/blob/main/AGENTS.md</t>
  </si>
  <si>
    <t>-   Keep small responsibilities of functions and classes, avoid creating big functions or classes that do many things.</t>
  </si>
  <si>
    <t>wieslawsoltes</t>
  </si>
  <si>
    <t>Dock</t>
  </si>
  <si>
    <t>https://github.com/wieslawsoltes/Dock/blob/master/AGENTS.md</t>
  </si>
  <si>
    <t>- Open/Closed: extend behavior via composition and interfaces; avoid modifying</t>
  </si>
  <si>
    <t>- Interface Segregation: prefer small, focused interfaces; avoid "god" interfaces.</t>
  </si>
  <si>
    <t>- Use XAML for layout and visuals; avoid creating controls in code.</t>
  </si>
  <si>
    <t>- Avoid LINQ in hot paths; use loops and pre-sized collections.</t>
  </si>
  <si>
    <t>- Minimize boxing, virtual dispatch in tight loops, and avoid unnecessary</t>
  </si>
  <si>
    <t>- Avoid static state (except truly immutable constants).</t>
  </si>
  <si>
    <t>- Prefer explicit types where clarity is improved; avoid `var` in public APIs.</t>
  </si>
  <si>
    <t>Xaml.Behaviors</t>
  </si>
  <si>
    <t>https://github.com/wieslawsoltes/Xaml.Behaviors/blob/master/AGENTS.md</t>
  </si>
  <si>
    <t>- Prefer `DirectProperty` for non-styled properties to avoid extra overhead.</t>
  </si>
  <si>
    <t>yoshiko-pg</t>
  </si>
  <si>
    <t>difit</t>
  </si>
  <si>
    <t>https://github.com/yoshiko-pg/difit/blob/main/AGENTS.md</t>
  </si>
  <si>
    <t>The codebase uses strict TypeScript (`tsconfig.strictest`) and 2-space indentation; avoid `any` and prefer explicit types.</t>
  </si>
  <si>
    <t>Use `pnpm` for dependency management (avoid mixing with `npm` or `yarn`) and rely on the `mise.toml` pinned versions for local reproducibility.</t>
  </si>
  <si>
    <t>https://github.com/zenml-io/zenml/blob/main/AGENTS.md</t>
  </si>
  <si>
    <t>- Avoid useless one-line comments interleaved with code that restate the obvious.</t>
  </si>
  <si>
    <t>- Avoid redundant `else` blocks after a return; handle error cases up front with clear log messages and user-safe responses.</t>
  </si>
  <si>
    <t>Agoric</t>
  </si>
  <si>
    <t>agoric-sdk</t>
  </si>
  <si>
    <t>https://github.com/Agoric/agoric-sdk/blob/master/.github/copilot-instructions.md</t>
  </si>
  <si>
    <t>- Avoid deprecated terminology (see eslint.config.mjs)</t>
  </si>
  <si>
    <t>- Keep the history tidy - avoid overlapping branches</t>
  </si>
  <si>
    <t>Aiko-IT-Systems</t>
  </si>
  <si>
    <t>DisCatSharp</t>
  </si>
  <si>
    <t>https://github.com/Aiko-IT-Systems/DisCatSharp/blob/main/.github/copilot-instructions.md</t>
  </si>
  <si>
    <t>- Avoid breaking changes; use `[Deprecated]` attribute for deprecations.</t>
  </si>
  <si>
    <t>AgentBaker</t>
  </si>
  <si>
    <t>https://github.com/Azure/AgentBaker/blob/main/.github/copilot-instructions.md</t>
  </si>
  <si>
    <t>- avoid functional regression when introducing new features (component updates, new drivers, new binaries), ensure that all supported OS / versions are tested</t>
  </si>
  <si>
    <t>- avoid VHD build performance regressions when making any changes</t>
  </si>
  <si>
    <t>- avoid node provisioning performance regression when making any changes</t>
  </si>
  <si>
    <t>- avoid using variables declared inside another function, even they are visible.</t>
  </si>
  <si>
    <t>When editing arrays like `assignees`, `reviewers`, `matchPackageNames`, and `matchUpdateTypes`, preserve comma placement and avoid duplicate entries.</t>
  </si>
  <si>
    <t>For custom manager templates, keep Renovate template tokens intact (`{{{newValue}}}`, `{{#if ...}}`, `{{/if}}`) and avoid converting them to normal JSON interpolation.</t>
  </si>
  <si>
    <t>If modifying identity lists in `assignees` or `reviewers`, update all related grouped rules consistently to avoid ownership drift.</t>
  </si>
  <si>
    <t>azure-sdk-tools</t>
  </si>
  <si>
    <t>https://github.com/Azure/azure-sdk-tools/blob/main/.github/copilot-instructions.md</t>
  </si>
  <si>
    <t>- Use full CmdLet names (avoid aliases in scripts)</t>
  </si>
  <si>
    <t>bbc</t>
  </si>
  <si>
    <t>simorgh</t>
  </si>
  <si>
    <t>https://github.com/bbc/simorgh/blob/master/.github/copilot-instructions.md</t>
  </si>
  <si>
    <t>Try to avoid comments by using descriptive variable / function names, split functionality into smaller functions.</t>
  </si>
  <si>
    <t>* Prefer clean immutable code, avoid reassignment of variables.</t>
  </si>
  <si>
    <t>docs-aspire</t>
  </si>
  <si>
    <t>https://github.com/dotnet/docs-aspire/blob/main/.github/copilot-instructions.md</t>
  </si>
  <si>
    <t>- Avoid "we"/"our" referring to documentation authors</t>
  </si>
  <si>
    <t>- Avoid "etc." or "and so on" - provide complete lists or use "for example"</t>
  </si>
  <si>
    <t>runtime</t>
  </si>
  <si>
    <t>https://github.com/dotnet/runtime/blob/main/.github/copilot-instructions.md</t>
  </si>
  <si>
    <t>- When adding new unit tests, avoid adding a regression comment citing a GitHub issue or PR number unless explicitly asked to include such information.</t>
  </si>
  <si>
    <t>sdk</t>
  </si>
  <si>
    <t>https://github.com/dotnet/sdk/blob/main/.github/copilot-instructions.md</t>
  </si>
  <si>
    <t>- Avoid modifying .xlf files and instead prompt the user to update them using the `/t:UpdateXlf` target on MSBuild.</t>
  </si>
  <si>
    <t>esphome</t>
  </si>
  <si>
    <t>https://github.com/esphome/esphome/blob/main/.github/copilot-instructions.md</t>
  </si>
  <si>
    <t>**For byte buffers:** Avoid `std::vector&lt;uint8_t&gt;` unless the buffer needs to grow.</t>
  </si>
  <si>
    <t>`std::vector` with simple structs is usually fine—it's the heavy containers (`map`, `set`, `unordered_map`) that should be avoided for small datasets unless profiling shows otherwise.</t>
  </si>
  <si>
    <t>**Avoid `std::deque`:** It allocates in 512-byte blocks regardless of element size, guaranteeing at least 512 bytes of RAM usage immediately.</t>
  </si>
  <si>
    <t>Note: Avoiding heap allocation after `setup()` is always required regardless of component type.</t>
  </si>
  <si>
    <t>Avoid module-level mutable globals.</t>
  </si>
  <si>
    <t>friendsofhyperf</t>
  </si>
  <si>
    <t>components</t>
  </si>
  <si>
    <t>https://github.com/friendsofhyperf/components/blob/main/.github/copilot-instructions.md</t>
  </si>
  <si>
    <t>Avoid:</t>
  </si>
  <si>
    <t>NOT_ENOUGH_CONTEXT</t>
  </si>
  <si>
    <t>github</t>
  </si>
  <si>
    <t>branch-deploy</t>
  </si>
  <si>
    <t>https://github.com/github/branch-deploy/blob/main/.github/copilot-instructions.md</t>
  </si>
  <si>
    <t>Avoid unnecessary complexity and always consider the long-term maintainability of the code.</t>
  </si>
  <si>
    <t>istio</t>
  </si>
  <si>
    <t>https://github.com/istio/istio/blob/master/.github/copilot-instructions.md</t>
  </si>
  <si>
    <t>- Avoid creating goroutines in the main request path; pre-create and reuse them.</t>
  </si>
  <si>
    <t>microsoft</t>
  </si>
  <si>
    <t>ApplicationInsights-JS</t>
  </si>
  <si>
    <t>https://github.com/microsoft/ApplicationInsights-JS/blob/main/.github/copilot-instructions.md</t>
  </si>
  <si>
    <t>- Avoid synchronous operations that could block the browser</t>
  </si>
  <si>
    <t>- Minimize the size of generated JavaScript by avoiding certain TypeScript features:</t>
  </si>
  <si>
    <t>- **Import Resolution**: Use proper module imports and avoid direct file path dependencies</t>
  </si>
  <si>
    <t>- Avoid memory leaks in long-running applications</t>
  </si>
  <si>
    <t>- All code should be tree-shakable - avoid global side effects</t>
  </si>
  <si>
    <t>- Avoid executing code at module load time</t>
  </si>
  <si>
    <t>- Avoid throwing unhandled exceptions</t>
  </si>
  <si>
    <t>- Avoid tight coupling between components</t>
  </si>
  <si>
    <t>- Avoid memory leaks in event handlers</t>
  </si>
  <si>
    <t>GSL</t>
  </si>
  <si>
    <t>https://github.com/microsoft/GSL/blob/main/.github/copilot-instructions.md</t>
  </si>
  <si>
    <t>- Avoid hidden allocations</t>
  </si>
  <si>
    <t>python-environment-tools</t>
  </si>
  <si>
    <t>https://github.com/microsoft/python-environment-tools/blob/main/.github/copilot-instructions.md</t>
  </si>
  <si>
    <t>**Avoid spawning processes** - Extract info from files/filesystem when possible</t>
  </si>
  <si>
    <t>react-native-windows</t>
  </si>
  <si>
    <t>https://github.com/microsoft/react-native-windows/blob/main/.github/copilot-instructions.md</t>
  </si>
  <si>
    <t>- Avoid circular references between C++ and JavaScript</t>
  </si>
  <si>
    <t>TypeScript</t>
  </si>
  <si>
    <t>https://github.com/microsoft/TypeScript/blob/main/.github/copilot-instructions.md</t>
  </si>
  <si>
    <t>**Make tests deterministic** - Avoid random or environment-dependent behavior</t>
  </si>
  <si>
    <t>vs-threading</t>
  </si>
  <si>
    <t>https://github.com/microsoft/vs-threading/blob/main/.github/copilot-instructions.md</t>
  </si>
  <si>
    <t>* Avoid introducing binary breaking changes in public APIs of projects under `src` unless their project files have `IsPackable` set to `false`.</t>
  </si>
  <si>
    <t>vscode-jupyter</t>
  </si>
  <si>
    <t>https://github.com/microsoft/vscode-jupyter/blob/main/.github/copilot-instructions.md</t>
  </si>
  <si>
    <t>- Avoid circular dependencies</t>
  </si>
  <si>
    <t>NG-ZORRO</t>
  </si>
  <si>
    <t>ng-zorro-antd</t>
  </si>
  <si>
    <t>https://github.com/NG-ZORRO/ng-zorro-antd/blob/master/.github/copilot-instructions.md</t>
  </si>
  <si>
    <t>- Keep templates simple and avoid complex logic</t>
  </si>
  <si>
    <t>NuGet</t>
  </si>
  <si>
    <t>NuGetGallery</t>
  </si>
  <si>
    <t>https://github.com/NuGet/NuGetGallery/blob/main/.github/copilot-instructions.md</t>
  </si>
  <si>
    <t>* Avoid logging sensitive information.</t>
  </si>
  <si>
    <t>Open-LLM-VTuber</t>
  </si>
  <si>
    <t>https://github.com/Open-LLM-VTuber/Open-LLM-VTuber/blob/main/.github/copilot-instructions.md</t>
  </si>
  <si>
    <t>Avoid unnecessary complexity or premature optimization.</t>
  </si>
  <si>
    <t>Avoid single-letter names except for loop counters or well-known initialisms.</t>
  </si>
  <si>
    <t>https://github.com/owid/owid-grapher/blob/master/.github/copilot-instructions.md</t>
  </si>
  <si>
    <t>- Avoid introducing custom localization methods</t>
  </si>
  <si>
    <t>- **Avoid general advice** - instead provide exact code changes needed</t>
  </si>
  <si>
    <t>Skyscanner</t>
  </si>
  <si>
    <t>backpack-ios</t>
  </si>
  <si>
    <t>https://github.com/Skyscanner/backpack-ios/blob/main/.github/copilot-instructions.md</t>
  </si>
  <si>
    <t>- Avoid hardcoded strings in components</t>
  </si>
  <si>
    <t>SparkDevNetwork</t>
  </si>
  <si>
    <t>Rock</t>
  </si>
  <si>
    <t>https://github.com/SparkDevNetwork/Rock/blob/master/.github/copilot-instructions.md</t>
  </si>
  <si>
    <t>Avoid situations where the number of elements causes the SQL query to become too complex.</t>
  </si>
  <si>
    <t>- Avoid using a `Guid` in a LINQ `.Where()` (e.g., `g.GroupType.Guid == someguid`, which has to do a `JOIN`) when you can use the `Id` (namely if it's a cached item) as in `g.GroupTypeId == theThingsId`.</t>
  </si>
  <si>
    <t>sybrew</t>
  </si>
  <si>
    <t>the-seo-framework</t>
  </si>
  <si>
    <t>https://github.com/sybrew/the-seo-framework/blob/master/.github/copilot-instructions.md</t>
  </si>
  <si>
    <t>Avoid creating new abstractions if an existing one fits.</t>
  </si>
  <si>
    <t>- Avoid walls of text.</t>
  </si>
  <si>
    <t>syntaxfm</t>
  </si>
  <si>
    <t>website</t>
  </si>
  <si>
    <t>https://github.com/syntaxfm/website/blob/main/.github/copilot-instructions.md</t>
  </si>
  <si>
    <t>- Use functional and declarative programming patterns; avoid unnecessary classes except for state machines.</t>
  </si>
  <si>
    <t>- Avoid enums; use string literals instead and const objects if needed.</t>
  </si>
  <si>
    <t>Embrace Svelte's simplicity and avoid over-engineering solutions.</t>
  </si>
  <si>
    <t>triggerdotdev</t>
  </si>
  <si>
    <t>trigger.dev</t>
  </si>
  <si>
    <t>https://github.com/triggerdotdev/trigger.dev/blob/main/.github/copilot-instructions.md</t>
  </si>
  <si>
    <t>Avoid enums.</t>
  </si>
  <si>
    <t>https://github.com/wvlet/airframe/blob/main/.github/copilot-instructions.md</t>
  </si>
  <si>
    <t>Avoid adding new library dependencies to `airframe-core` unless absolutely necessary.</t>
  </si>
  <si>
    <t>- Avoid using mock as it increases the maintenance cost.</t>
  </si>
  <si>
    <t>zwave-js</t>
  </si>
  <si>
    <t>https://github.com/zwave-js/zwave-js/blob/master/.github/copilot-instructions.md</t>
  </si>
  <si>
    <t>**Avoid comments like:**</t>
  </si>
  <si>
    <t>zwave-js-ui</t>
  </si>
  <si>
    <t>https://github.com/zwave-js/zwave-js-ui/blob/master/.github/copilot-instructions.md</t>
  </si>
  <si>
    <t>- Avoid unnecessary complexity</t>
  </si>
  <si>
    <t>lightdash</t>
  </si>
  <si>
    <t>https://github.com/lightdash/lightdash/blob/main/CLAUDE.md</t>
  </si>
  <si>
    <t>-   ❌ Avoid: `{ charts?: Chart[] }` - unclear if missing or empty</t>
  </si>
  <si>
    <t>avoid, ❌</t>
  </si>
  <si>
    <t>-   ❌ Avoid: `{ createdBy?: User }` - ambiguous presence</t>
  </si>
  <si>
    <t>-   ❌ Avoid: `default: throw new Error('Unknown status');`</t>
  </si>
  <si>
    <t>- `disallowed_names = "warn"` - Avoid variable names like "lock"</t>
  </si>
  <si>
    <t>avoid, allow</t>
  </si>
  <si>
    <t>**Anti-patterns to AVOID:**</t>
  </si>
  <si>
    <t>avoid, anti-pattern</t>
  </si>
  <si>
    <t>- **Async Operations**: Properly handle promises and avoid blocking</t>
  </si>
  <si>
    <t>- Avoid blocking the main thread</t>
  </si>
  <si>
    <t>Avoid blocking operations in async contexts.</t>
  </si>
  <si>
    <t>Keep `minor` updates disabled by default; only allow minor updates through explicit, narrow `packageRules` (avoid broad datasource/wildcard exceptions).</t>
  </si>
  <si>
    <t>*   **Avoid `#define` for constants:** Using `#define` for constants is discouraged and should be replaced with `const` variables or enums.</t>
  </si>
  <si>
    <t>avoid, discouraged</t>
  </si>
  <si>
    <t>humanwhocodes</t>
  </si>
  <si>
    <t>crosspost</t>
  </si>
  <si>
    <t>https://github.com/humanwhocodes/crosspost/blob/main/.github/copilot-instructions.md</t>
  </si>
  <si>
    <t>- Avoid `forEach` with async functions as it doesn't handle promises correctly</t>
  </si>
  <si>
    <t>anyproto</t>
  </si>
  <si>
    <t>anytype-ts</t>
  </si>
  <si>
    <t>https://github.com/anyproto/anytype-ts/blob/main/CLAUDE.md</t>
  </si>
  <si>
    <t>**Important:** Use `$(printenv LINEAR_API_KEY)` instead of `$LINEAR_API_KEY` directly in curl commands to avoid shell expansion issues.</t>
  </si>
  <si>
    <t>avoid, instead of</t>
  </si>
  <si>
    <t>- In Java, avoid wildcards imports (e.g., use `import java.util.List;` instead of `import java.util.*;`)</t>
  </si>
  <si>
    <t>- Avoid: change‑tracking comments ("Updated from previous version", "New implementation", "Changed to use X instead of Y", "Refactored this section").</t>
  </si>
  <si>
    <t>Zaki-1052</t>
  </si>
  <si>
    <t>GPTPortal</t>
  </si>
  <si>
    <t>https://github.com/Zaki-1052/GPTPortal/blob/main/AGENTS.md</t>
  </si>
  <si>
    <t>- Uploads: files are saved under `public/uploads/`; validate inputs and avoid large files beyond configured limits.</t>
  </si>
  <si>
    <t>Avoid preview or beta identifiers unless the model has no GA equivalent.</t>
  </si>
  <si>
    <t>avoid, no</t>
  </si>
  <si>
    <t>- Formatting: `.prettierrc.json` (no semicolons, printWidth 60, arrowParens avoid).</t>
  </si>
  <si>
    <t>- Avoid removing comments unless they are no longer accurate.</t>
  </si>
  <si>
    <t>- No repo‑enforced linter; keep style consistent with nearby code and avoid introducing new tooling/config without discussion.</t>
  </si>
  <si>
    <t>LogicAppsUX</t>
  </si>
  <si>
    <t>https://github.com/Azure/LogicAppsUX/blob/main/CLAUDE.md</t>
  </si>
  <si>
    <t>- Avoid unnecessary `catch` bindings — use `catch {` not `catch (e) {` when `e` is unused</t>
  </si>
  <si>
    <t>not , avoid</t>
  </si>
  <si>
    <t>- Avoid `smol::Timer::after(...)` for test timeouts when you rely on `run_until_parked()`, because it may not be tracked by GPUI's scheduler and can lead to "nothing left to run" when pumping.</t>
  </si>
  <si>
    <t>Rules should be **traps to avoid**, not **maps to follow**.</t>
  </si>
  <si>
    <t>not , avoid, should **not**</t>
  </si>
  <si>
    <t>- **Thread pool boundaries**: Avoid mixing `rayon` and `tokio` thread pools for the same workflow unless there is a clear boundary that cannot be avoided</t>
  </si>
  <si>
    <t>not , avoid, cannot</t>
  </si>
  <si>
    <t>| "Target does not exist" | Avoid specifying a target framework; the build will auto-select `$(NetCoreAppCurrent)` |</t>
  </si>
  <si>
    <t>- **Prefer component-level token swaps for one-off contrast fixes** - For isolated UI readability issues, use existing semantic color utilities in the impacted components first; avoid changing global tokens in `base.css` unless explicitly requested.</t>
  </si>
  <si>
    <t>Use `antd` equivalents: `Tag` for labels, `Typography.Text` / `Typography.Title` / `Typography.Paragraph` for textual content (avoid plain text-only `&lt;span&gt;`, `&lt;p&gt;`, `&lt;h*&gt;` when Typography fits), and `Card` from `antd`.</t>
  </si>
  <si>
    <t>Keeping only one copy avoids the two lists drifting apart.</t>
  </si>
  <si>
    <t>**Avoid over-stubbing** — if every collaborator is mocked, the test proves nothing; mock only at external boundaries (HTTP, geocoder, external APIs)</t>
  </si>
  <si>
    <t>- **Avoid `--force`** — `etlr` has built-in change detection and only re-runs steps whose code or data changed.</t>
  </si>
  <si>
    <t>We usually avoid inline styles - only use those if the component you are working on already makes use of them for a similar use case.</t>
  </si>
  <si>
    <t>- **Comments**: Comment only ambiguous logic; avoid restating TypeScript in prose</t>
  </si>
  <si>
    <t>alchemiststudiosDOTai</t>
  </si>
  <si>
    <t>tunacode</t>
  </si>
  <si>
    <t>https://github.com/alchemiststudiosDOTai/tunacode/blob/master/AGENTS.md</t>
  </si>
  <si>
    <t>- Avoid adding empty directories or `__init__.py`-only directories.</t>
  </si>
  <si>
    <t>elamperti</t>
  </si>
  <si>
    <t>OpenWebScrobbler</t>
  </si>
  <si>
    <t>https://github.com/elamperti/OpenWebScrobbler/blob/main/AGENTS.md</t>
  </si>
  <si>
    <t>- Avoid using color as the only means of conveying information.</t>
  </si>
  <si>
    <t>**Only comment when you have substantive findings** - avoid noise on trivial or obviously safe changes.</t>
  </si>
  <si>
    <t>octgn</t>
  </si>
  <si>
    <t>OCTGN</t>
  </si>
  <si>
    <t>https://github.com/octgn/OCTGN/blob/master/.github/copilot-instructions.md</t>
  </si>
  <si>
    <t>Write unit tests for new functionality using NUnit - focus on logical methods only, avoid testing WPF behavior</t>
  </si>
  <si>
    <t>- Avoid `expect(await promise)` because a rejection throws before the matcher</t>
  </si>
  <si>
    <t>colinhacks</t>
  </si>
  <si>
    <t>zod</t>
  </si>
  <si>
    <t>https://github.com/colinhacks/zod/blob/main/CLAUDE.md</t>
  </si>
  <si>
    <t>- Keep added tests as minimal and dense as possible without sacrificing comprehensiveness; avoid redundant assertions or broad fixtures when a focused case proves the behavior.</t>
  </si>
  <si>
    <t>Comfy-Org</t>
  </si>
  <si>
    <t>comfy-claude-prompt-library</t>
  </si>
  <si>
    <t>https://github.com/Comfy-Org/comfy-claude-prompt-library/blob/master/CLAUDE.md</t>
  </si>
  <si>
    <t>AVOID these vague terms without evidence:</t>
  </si>
  <si>
    <t>Avoid introducing new dependencies without updating `go.mod` and Bazel `MODULE.bazel`/`MODULE.bazel.lock` if required.</t>
  </si>
  <si>
    <t>* Avoid swallowing exceptions without proper logging.</t>
  </si>
  <si>
    <t>Lint rules should **not** be disabled via inline comments.</t>
  </si>
  <si>
    <t>should **not**</t>
  </si>
  <si>
    <t>- Returning `Try[A]` is generally discouraged as it forces a monadic style on the caller.</t>
  </si>
  <si>
    <t>discouraged</t>
  </si>
  <si>
    <t>- For `airframe-core`, new dependencies are highly discouraged.</t>
  </si>
  <si>
    <t>evmts</t>
  </si>
  <si>
    <t>tevm-monorepo</t>
  </si>
  <si>
    <t>https://github.com/evmts/tevm-monorepo/blob/main/CLAUDE.md</t>
  </si>
  <si>
    <t>`nx migrate`, running `nx repair` should do nothing.</t>
  </si>
  <si>
    <t>Do **not**, DO NOT, should **not**</t>
  </si>
  <si>
    <t>* Always return numeric status codes; **do not** rely on strings.</t>
  </si>
  <si>
    <t>Do **not**, DO NOT</t>
  </si>
  <si>
    <t>Do not:</t>
  </si>
  <si>
    <t>**DO NOT** encode `*` or \` (backtick) characters as `%2A` or `%60` respectively.</t>
  </si>
  <si>
    <t>**DO NOT use context for:** Passing configuration (use Options pattern), passing dependencies (use struct fields or DI), or avoiding proper function parameters.</t>
  </si>
  <si>
    <t>not , Do **not**, DO NOT, avoid</t>
  </si>
  <si>
    <t>- **Do not hide accessible data using presentation heuristics** - In UI lists, avoid masking content based on flags like `source.public`; rely on backend access controls and render the data returned by the query.</t>
  </si>
  <si>
    <t>- **Avoid redundant `cd`** — do not prefix every command with `cd &lt;path&gt; &amp;&amp;`.</t>
  </si>
  <si>
    <t>- Do not use `overflow: hidden` in styling or theming, as it often causes issues for reuse and should be avoided.</t>
  </si>
  <si>
    <t>typespec</t>
  </si>
  <si>
    <t>https://github.com/microsoft/typespec/blob/main/.github/copilot-instructions.md</t>
  </si>
  <si>
    <t>Avoid generic area prefixes like `core -` and do not add any area tag for single-area packages.</t>
  </si>
  <si>
    <t>There are a lot of things that need to be `public` (RockWeb needs it, another DLL needs it, or a plugin developer would need it), but if possible, DO NOT make it `public`, allowing us to avoid the worry of breaking changes.</t>
  </si>
  <si>
    <t>not , Do **not**, DO NOT, avoid, allow</t>
  </si>
  <si>
    <t>- **DO NOT try to delete containers on start** - They don't exist (--rm removed them)</t>
  </si>
  <si>
    <t>not , Do **not**, DO NOT, Don't</t>
  </si>
  <si>
    <t>autorest.typescript</t>
  </si>
  <si>
    <t>https://github.com/Azure/autorest.typescript/blob/main/.github/copilot-instructions.md</t>
  </si>
  <si>
    <t>- Do not write a summery if all 4 integration testings or smoke testing are still in progress and don't write final progress update if integration testing are still in progress and please monitor the job to be done not just running successfully</t>
  </si>
  <si>
    <t>- **Do not change any style or design properties (colors, spacing, sizes, etc.) unless explicitly asked.** Design decisions are intentional — never "fix" or "improve" visual values on your own</t>
  </si>
  <si>
    <t>not , Never, Do **not**, DO NOT</t>
  </si>
  <si>
    <t>- **Never take credit**: Do not add "Generated with Claude Code" or "Co-Authored-By: Claude" to commit messages</t>
  </si>
  <si>
    <t>logancyang</t>
  </si>
  <si>
    <t>obsidian-copilot</t>
  </si>
  <si>
    <t>https://github.com/logancyang/obsidian-copilot/blob/master/AGENTS.md</t>
  </si>
  <si>
    <t>- **NEVER MODIFY AI PROMPT CONTENT**: Do not update, edit, or change any AI prompts, system prompts, or model adapter prompts unless explicitly asked to do so by the user</t>
  </si>
  <si>
    <t>**Never automatically move, delete, or take ownership of user-managed config files outside Yazelix-owned paths** - In particular, do not automatically relocate files like `~/.config/zellij/config.kdl` into Yazelix-managed paths.</t>
  </si>
  <si>
    <t>pytorch</t>
  </si>
  <si>
    <t>https://github.com/pytorch/pytorch/blob/main/AGENTS.md</t>
  </si>
  <si>
    <t>- **Never push directly.** Do not `git push` to branches, and never directly</t>
  </si>
  <si>
    <t>- Do not write direct unit tests as they are almost never the correct test format for our repo</t>
  </si>
  <si>
    <t>- DO NOT push to the remote repository unless the user explicitly asks you to do so</t>
  </si>
  <si>
    <t>not , Do **not**, DO NOT</t>
  </si>
  <si>
    <t>- If you are not sure about file content or codebase structure pertaining to the user's request, use search subagent where appropriate to gather the relevant information: do NOT guess or make up an answer.</t>
  </si>
  <si>
    <t>- Do not assume anything.</t>
  </si>
  <si>
    <t>Do not use default exports for components or functions.</t>
  </si>
  <si>
    <t>Do not modify library code directly.</t>
  </si>
  <si>
    <t>Do not use other linters or formatters (like ESLint or Prettier).</t>
  </si>
  <si>
    <t>angular-eslint</t>
  </si>
  <si>
    <t>https://github.com/angular-eslint/angular-eslint/blob/main/CLAUDE.md</t>
  </si>
  <si>
    <t>NOTE: THESE ARE AUTO-GENERATED, DO NOT EDIT THEM MANUALLY.</t>
  </si>
  <si>
    <t>Do not guess or approximate visual values</t>
  </si>
  <si>
    <t>Files in `dist/lib/json/lang/` are generated — do not edit them directly</t>
  </si>
  <si>
    <t>- All icons and images must be stored locally in `src/img/` - do NOT use remote Figma asset URLs</t>
  </si>
  <si>
    <t>DO NOT EDIT directly.</t>
  </si>
  <si>
    <t>Do NOT use the `--unsafe` flag — fix unsafe lint errors manually.</t>
  </si>
  <si>
    <t>Do not create or edit documentation files in this repository — open doc PRs against `BerriAI/litellm-docs` instead.</t>
  </si>
  <si>
    <t>Do not introduce new `Badge`, `Text`, `Card`, `Grid`, `Title`, or other imports from `@tremor/react` in any new or modified file.</t>
  </si>
  <si>
    <t>- **Do not write raw SQL** for proxy DB operations.</t>
  </si>
  <si>
    <t>- Do not hardcode provider env-key names or model lists that already exist in the codebase.</t>
  </si>
  <si>
    <t>Do not emit the left column; emit the right column.</t>
  </si>
  <si>
    <t>- `**/tauri.ts` — Auto-generated IPC bindings (DO NOT EDIT)</t>
  </si>
  <si>
    <t>- `**/queries.ts` — Auto-generated query bindings (DO NOT EDIT)</t>
  </si>
  <si>
    <t>- Do not start additional development servers or localhost services unless explicitly asked.</t>
  </si>
  <si>
    <t>- **Icons**: Auto-imported in desktop app; do not import manually</t>
  </si>
  <si>
    <t>**Desktop IPC**: Use `tauri_specta` for strongly typed commands/events; do not modify generated bindings.</t>
  </si>
  <si>
    <t>clidey</t>
  </si>
  <si>
    <t>dory</t>
  </si>
  <si>
    <t>https://github.com/clidey/dory/blob/main/CLAUDE.md</t>
  </si>
  <si>
    <t>Do not overengineer.</t>
  </si>
  <si>
    <t>Do not remove or modify existing functionality unless justified.</t>
  </si>
  <si>
    <t>Do not change existing variable names unless absolutely necessary.</t>
  </si>
  <si>
    <t>Do not leave unused code lying around.</t>
  </si>
  <si>
    <t>- **Use relative paths or paths under the current working directory** - Do not hardcode `/Users/*/atmos/` paths</t>
  </si>
  <si>
    <t>**Exceptions (do NOT add perf.Track):**</t>
  </si>
  <si>
    <t>automatically generate their dependencies, but do not lift them into the</t>
  </si>
  <si>
    <t>Do not over-emphasize on grammar and comment typos, prefix with</t>
  </si>
  <si>
    <t>- Do not include a test plan unless explicitly asked by the user.</t>
  </si>
  <si>
    <t>Do not agree with me unless you can justify it with evidence or reasoning.</t>
  </si>
  <si>
    <t>the same change as the handler so the docs do not get missed before</t>
  </si>
  <si>
    <t>- Inside `db.InTx(...)` closures, do not use the outer store (`api.Database`,</t>
  </si>
  <si>
    <t>Do not interrupt, retry, or reduce the timeout.</t>
  </si>
  <si>
    <t>Do not work around the</t>
  </si>
  <si>
    <t>Do not create standalone</t>
  </si>
  <si>
    <t>Do not use emdash (U+2014), endash (U+2013), or ` -- ` as punctuation</t>
  </si>
  <si>
    <t>Do not replace an emdash with ` -- `.</t>
  </si>
  <si>
    <t>- When creating a PR, do not include a separate test plan section in the body.</t>
  </si>
  <si>
    <t>Do not "improve" their phrasing to match this style guide — their direct instruction wins.</t>
  </si>
  <si>
    <t>- When posting comments with code samples via `gh`, do NOT pass the body inline through a heredoc that requires escaping backticks.</t>
  </si>
  <si>
    <t>- DO NOT use stdin redirection (&lt; file.txt) - always use -p flag for the prompt</t>
  </si>
  <si>
    <t>- This is FIRE-AND-FORGET: Start gemini and do not monitor or check on it</t>
  </si>
  <si>
    <t>- Do not use `git push --force` or `git commit --amend` unless explicitly asked</t>
  </si>
  <si>
    <t>- Do not render owner-visible empty drag containers or empty categories unless the product requirement explicitly asks for visible empty drop targets</t>
  </si>
  <si>
    <t>**IMPORTANT**: Do NOT run `build` commands while the dev server is running - it will break hot reload.</t>
  </si>
  <si>
    <t>Do not add context-specific props to shared primitives when the behavior can be scoped in the parent list/container.</t>
  </si>
  <si>
    <t>Do not rely on `truncate` on the whole row.</t>
  </si>
  <si>
    <t>- For dismissible banners/cards, default to the shared `CloseButton` icon pattern used elsewhere; do not introduce a separate full-width `Dismiss` button unless the request explicitly calls for text dismiss UI.</t>
  </si>
  <si>
    <t>Do not treat a native `title` fallback as a substitute for the requested tooltip behavior unless the user explicitly asks for that fallback.</t>
  </si>
  <si>
    <t>When removing a feature flag, do not assume the gated UI should become always-on.</t>
  </si>
  <si>
    <t>Do not define the same function locally in each file that needs it.</t>
  </si>
  <si>
    <t>Do not attach it to sticky nav with absolute positioning unless the requirement explicitly asks for overlay behavior.</t>
  </si>
  <si>
    <t>Do NOT render them as page children — they will appear below all posts.</t>
  </si>
  <si>
    <t>Do not auto-fetch pages in a loop to find the selected item.</t>
  </si>
  <si>
    <t>dropseed</t>
  </si>
  <si>
    <t>plain</t>
  </si>
  <si>
    <t>https://github.com/dropseed/plain/blob/main/CLAUDE.md</t>
  </si>
  <si>
    <t>Generated by `plain agent install` — do not edit directly.</t>
  </si>
  <si>
    <t>- IMPORTANT: Do not edit the edit file directly, it's large</t>
  </si>
  <si>
    <t>Do not edit these JSON files manually — run `npx @sentry/dotagents install` after cloning.</t>
  </si>
  <si>
    <t>- **JSON processing** — always use `jq`; do not shell out to `node` or `python` for JSON parsing</t>
  </si>
  <si>
    <t>- Do not create, modify, or suggest `.eslintrc`, `eslint.config.*`, or `.prettierrc` files</t>
  </si>
  <si>
    <t>vitest-evals</t>
  </si>
  <si>
    <t>https://github.com/getsentry/vitest-evals/blob/main/CLAUDE.md</t>
  </si>
  <si>
    <t>Do not reintroduce scorer-first guidance into root APIs, examples, or docs.</t>
  </si>
  <si>
    <t>Do not abuse of the `info` level with logging such as `tracing::info!`, use `debug` instead.</t>
  </si>
  <si>
    <t>hashintel</t>
  </si>
  <si>
    <t>hash</t>
  </si>
  <si>
    <t>https://github.com/hashintel/hash/blob/main/CLAUDE.md</t>
  </si>
  <si>
    <t>- Do NOT preemptively load all references - use lazy loading based on actual need</t>
  </si>
  <si>
    <t>- **Shadow DOM incompatibility**: View transitions operate at document level and do not work within Shadow DOM due to style isolation ([spec discussion](https://github.com/w3c/csswg-drafts/issues/10303)).</t>
  </si>
  <si>
    <t>- Do not omit, reorder, or rewrite the template sections</t>
  </si>
  <si>
    <t>- Do not check the checklist items on behalf of the user — those are the user's responsibility to review and check</t>
  </si>
  <si>
    <t>- DO NOT create in-memory workarounds</t>
  </si>
  <si>
    <t>- DO NOT bypass the actor system</t>
  </si>
  <si>
    <t>- DO NOT create "temporary" solutions</t>
  </si>
  <si>
    <t>The description *is* the summary — do not add a `# Summary` header.</t>
  </si>
  <si>
    <t>`Related:` or similar labels are informational and do not close anything.</t>
  </si>
  <si>
    <t>Do not make breaking changes.</t>
  </si>
  <si>
    <t>- If a default is present, DO NOT repeat it in the docstring unless there is post-processing or it is set conditionally.</t>
  </si>
  <si>
    <t>- Do NOT use Sphinx-style double backtick formatting (` ``code`` `).</t>
  </si>
  <si>
    <t>Do not rely on memorized or cached model names — they go stale quickly.</t>
  </si>
  <si>
    <t>- Do not commit `.env`, `google-credentials.json`, or any other credential file.</t>
  </si>
  <si>
    <t>lgallard</t>
  </si>
  <si>
    <t>terraform-aws-backup</t>
  </si>
  <si>
    <t>https://github.com/lgallard/terraform-aws-backup/blob/master/CLAUDE.md</t>
  </si>
  <si>
    <t>- **DO NOT manually update CHANGELOG.md** - use release-please</t>
  </si>
  <si>
    <t>terraform-aws-cognito-user-pool</t>
  </si>
  <si>
    <t>https://github.com/lgallard/terraform-aws-cognito-user-pool/blob/master/CLAUDE.md</t>
  </si>
  <si>
    <t>- **DO NOT manually update CHANGELOG.md** - we use release-please for automated changelog generation</t>
  </si>
  <si>
    <t>**WARNING: Slugs are NOT guaranteed to be unique.** Do not treat them as reliable identifiers for lookups, deduplication, or foreign key relationships.</t>
  </si>
  <si>
    <t>LLFourn</t>
  </si>
  <si>
    <t>secp256kfun</t>
  </si>
  <si>
    <t>https://github.com/LLFourn/secp256kfun/blob/master/CLAUDE.md</t>
  </si>
  <si>
    <t>- Do not make code comments that explain *what* is happening.</t>
  </si>
  <si>
    <t>lollipopkit</t>
  </si>
  <si>
    <t>flutter_server_box</t>
  </si>
  <si>
    <t>https://github.com/lollipopkit/flutter_server_box/blob/main/CLAUDE.md</t>
  </si>
  <si>
    <t>- Do not use debug-signing fallback for formal release artifacts.</t>
  </si>
  <si>
    <t>- Do not judge release size from a local `flutter build apk --release` fat APK.</t>
  </si>
  <si>
    <t>lostleaf</t>
  </si>
  <si>
    <t>binance_datatool</t>
  </si>
  <si>
    <t>https://github.com/lostleaf/binance_datatool/blob/main/CLAUDE.md</t>
  </si>
  <si>
    <t>- Unless explicitly requested otherwise, do not mix code changes and documentation updates in the</t>
  </si>
  <si>
    <t>Do not add casual fallback logic, silent recovery, or defensive</t>
  </si>
  <si>
    <t>- Do not treat `temp/` as part of the public package surface or public project documentation.</t>
  </si>
  <si>
    <t>netdata</t>
  </si>
  <si>
    <t>https://github.com/netdata/netdata/blob/master/CLAUDE.md</t>
  </si>
  <si>
    <t>We do not duplicate code.</t>
  </si>
  <si>
    <t>Do not create a separate commit just to mark or move the SOW.</t>
  </si>
  <si>
    <t>Do not claim a SOW is completed while the implementation and the SOW lifecycle change live in separate uncommitted or separately committed states.</t>
  </si>
  <si>
    <t>Do not create a new SOW for a true regression.</t>
  </si>
  <si>
    <t>Do not rename them or add wrappers during this bootstrap pass.</t>
  </si>
  <si>
    <t>- Do not claim full-project validation from a narrow subsystem command.</t>
  </si>
  <si>
    <t>- Existing local helper scripts such as `install.sh` may exist in this working copy; inspect before use and do not assume they are tracked project interfaces.</t>
  </si>
  <si>
    <t>DO NOT make a new commit to fix these issues.</t>
  </si>
  <si>
    <t>Do not leave the template sections empty.</t>
  </si>
  <si>
    <t>obophenotype</t>
  </si>
  <si>
    <t>uberon</t>
  </si>
  <si>
    <t>https://github.com/obophenotype/uberon/blob/master/CLAUDE.md</t>
  </si>
  <si>
    <t>- DO NOT bother doing your own greps over the file, or looking for other files, unless otherwise asked, you will just waste time.</t>
  </si>
  <si>
    <t>OlympiaAI</t>
  </si>
  <si>
    <t>raix</t>
  </si>
  <si>
    <t>https://github.com/OlympiaAI/raix/blob/main/CLAUDE.md</t>
  </si>
  <si>
    <t>- **Do not use require_relative**</t>
  </si>
  <si>
    <t>- Do not decide unilaterally to leave code for the sake of "backwards compatibility"...</t>
  </si>
  <si>
    <t>OneKeyHQ</t>
  </si>
  <si>
    <t>app-monorepo</t>
  </si>
  <si>
    <t>https://github.com/OneKeyHQ/app-monorepo/blob/master/CLAUDE.md</t>
  </si>
  <si>
    <t>When fixing bugs, do NOT remove existing code/components that weren't part of the request.</t>
  </si>
  <si>
    <t>- Do NOT include "Generated with" or "via" tool attribution lines in commit messages</t>
  </si>
  <si>
    <t>- After making a fix attempt that the user reports as not working, do NOT retry the same approach with minor tweaks.</t>
  </si>
  <si>
    <t>Do not assume the root cause — misdiagnosis wastes rounds.</t>
  </si>
  <si>
    <t>`/plugin install onekey-wallet-skills`; do not re-add them to this monorepo.</t>
  </si>
  <si>
    <t>This is the canonical component library — do not use MUI or introduce new MUI dependencies.</t>
  </si>
  <si>
    <t>- **MUI**: Do not use MUI — we are actively removing MUI from the codebase.</t>
  </si>
  <si>
    <t>Do not import from `@mui/*` or `@emotion/*`</t>
  </si>
  <si>
    <t>- Do not add unnecessary spacing between logs and code.</t>
  </si>
  <si>
    <t>- Do not use string literals at any place.</t>
  </si>
  <si>
    <t>- **Do NOT add unnecessary comments** - write self-documenting code</t>
  </si>
  <si>
    <t>- Do not use Fully Qualified Names in code (e.g., `org.openmetadata.schema.type.Status`) — import the class instead</t>
  </si>
  <si>
    <t>- Do not import wildcard packages — import exactly the required classes</t>
  </si>
  <si>
    <t>openai</t>
  </si>
  <si>
    <t>openai-agents-python</t>
  </si>
  <si>
    <t>https://github.com/openai/openai-agents-python/blob/main/CLAUDE.md</t>
  </si>
  <si>
    <t>Do not treat branch-local interface churn or unreleased post-tag changes on `main` as breaking by default; prefer direct replacement over compatibility layers in those cases, and renumber or squash unreleased persisted schemas before release when the intermediate snapshots are intentionally unsupported.</t>
  </si>
  <si>
    <t>Do not insert new constructor parameters or dataclass fields in the middle of existing public order.</t>
  </si>
  <si>
    <t>- Prefer keyword arguments at call sites to reduce accidental breakage, but do not rely on this to justify breaking positional compatibility for public APIs.</t>
  </si>
  <si>
    <t>- `docs/`: MkDocs documentation source; do not edit translated docs under `docs/ja`, `docs/ko`, or `docs/zh` (they are generated).</t>
  </si>
  <si>
    <t>- In SCSS files, do NOT use parent selector nesting (`&amp;__element`, `&amp;--modifier`).</t>
  </si>
  <si>
    <t>**Do not edit these files manually** — any hand edits will be overwritten and CI will fail regardless.</t>
  </si>
  <si>
    <t>If you are an AI agent (Claude Code, Cursor, Codex, or any other agent running in the cloud or in a sandboxed environment), **do NOT use these commands**.</t>
  </si>
  <si>
    <t>`pipe_code: str` but DO NOT give it a default value like `pipe_code: str = ""` unless it's really justified.</t>
  </si>
  <si>
    <t>- Do not import libraries in functions or classes unless in very specific cases, to be discussed with the user, as they would required a `# noqa: ...` comment to pass linting</t>
  </si>
  <si>
    <t>- Do not bother with ordering the imports or removing unused imports, our Ruff linter will handle it for us.</t>
  </si>
  <si>
    <t>- Do NOT fill `__init__.py` files with re-exports.</t>
  </si>
  <si>
    <t>If you need to call a method that lives on a concrete implementation, **extend the `Protocol`** — do not work around it with `isinstance(...)` checks, `cast(...)`, or inline imports of the concrete class.</t>
  </si>
  <si>
    <t>Do not invent an `except Exception` just to attach cleanup; use `finally` instead.</t>
  </si>
  <si>
    <t>Conversely, do not move cleanup into the success path "to keep things simple" — if it must run on errors too, it belongs in `finally`.</t>
  </si>
  <si>
    <t>- Do NOT add `__init__.py` files to test directories.</t>
  </si>
  <si>
    <t>princeton-pli</t>
  </si>
  <si>
    <t>hal-harness</t>
  </si>
  <si>
    <t>https://github.com/princeton-pli/hal-harness/blob/main/CLAUDE.md</t>
  </si>
  <si>
    <t>&lt;!-- claude-reliability:binary-instructions managed section - DO NOT EDIT --&gt;</t>
  </si>
  <si>
    <t>Do NOT use bare `claude-reliability`,</t>
  </si>
  <si>
    <t>do NOT use paths containing `~/.claude-reliability/`, and do NOT use `$PLUGIN_ROOT_DIR`</t>
  </si>
  <si>
    <t>qltysh</t>
  </si>
  <si>
    <t>qlty</t>
  </si>
  <si>
    <t>https://github.com/qltysh/qlty/blob/main/CLAUDE.md</t>
  </si>
  <si>
    <t>- Do not add low value comments, let the code speak for itself unless there is something non-obvious</t>
  </si>
  <si>
    <t>- Do not remove or modify existing comments unless explicitly asked to</t>
  </si>
  <si>
    <t>- Do not add comments to tests</t>
  </si>
  <si>
    <t>- Do not use custom assertion messages</t>
  </si>
  <si>
    <t>- Do not use control flow like if statements or loops in tests</t>
  </si>
  <si>
    <t>quarylabs</t>
  </si>
  <si>
    <t>sqruff</t>
  </si>
  <si>
    <t>https://github.com/quarylabs/sqruff/blob/main/CLAUDE.md</t>
  </si>
  <si>
    <t>Do not edit directly - regenerate with `cargo run --bin sqruff -F codegen-docs`:</t>
  </si>
  <si>
    <t>- **DO NOT remove --rm flag** - Containers must clean themselves up</t>
  </si>
  <si>
    <t>- **DO NOT prevent named containers from using --rm** - This combination is valid and required</t>
  </si>
  <si>
    <t>not , Do **not**, DO NOT, prevent</t>
  </si>
  <si>
    <t>- **Layer caching is critical** - DO NOT force --no-cache unless explicitly requested</t>
  </si>
  <si>
    <t>- **DO NOT delete images during rebuild** - Docker handles layer updates automatically</t>
  </si>
  <si>
    <t>**DO NOT delete non-existent containers** - They're already gone from --rm</t>
  </si>
  <si>
    <t>**DO NOT force --no-cache on rebuilds** - Layer caching is intentional</t>
  </si>
  <si>
    <t>**DO NOT change the slot numbering system** - It's designed this way for hash uniqueness</t>
  </si>
  <si>
    <t>**DO NOT add lock files** - Docker container names are the locks</t>
  </si>
  <si>
    <t>**DO NOT redirect stderr to /dev/null** - Errors are needed for troubleshooting</t>
  </si>
  <si>
    <t>**DO NOT assume typical Docker patterns** - This system has specific requirements</t>
  </si>
  <si>
    <t>Do not add implementation details here.</t>
  </si>
  <si>
    <t>**IMPORTANT**: Do not implement anything else that deviates from the **Acceptance Criteria**.</t>
  </si>
  <si>
    <t>https://github.com/saleor/apps/blob/main/CLAUDE.md</t>
  </si>
  <si>
    <t>Do not attach it if code changes do not have visible impact to the user, like refactor.</t>
  </si>
  <si>
    <t>Do not wrapp in classes</t>
  </si>
  <si>
    <t>- Do not write unnecessary prefix to test names.</t>
  </si>
  <si>
    <t>If file name is `test_my_mutation.py`, do not write `test_my_mutation_with_x_y` but `test_with_x_y`</t>
  </si>
  <si>
    <t>Do not repeat literal values between setup and assertion — use the variable instead.</t>
  </si>
  <si>
    <t>Southclaws</t>
  </si>
  <si>
    <t>storyden</t>
  </si>
  <si>
    <t>https://github.com/Southclaws/storyden/blob/main/CLAUDE.md</t>
  </si>
  <si>
    <t>**Note**: Panda CSS changes (design tokens, recipes, patterns) in `web/panda.config.ts` do NOT require running `task generate`.</t>
  </si>
  <si>
    <t>speaches-ai</t>
  </si>
  <si>
    <t>speaches</t>
  </si>
  <si>
    <t>https://github.com/speaches-ai/speaches/blob/master/CLAUDE.md</t>
  </si>
  <si>
    <t>- Do not use emojis or any special characters in code comments or log messages.</t>
  </si>
  <si>
    <t>- Do not write docsctrings</t>
  </si>
  <si>
    <t>- when writing tests, do NOT put a docstring to explain what the test does, especially</t>
  </si>
  <si>
    <t>theopenco</t>
  </si>
  <si>
    <t>llmgateway</t>
  </si>
  <si>
    <t>https://github.com/theopenco/llmgateway/blob/main/CLAUDE.md</t>
  </si>
  <si>
    <t>Do not run test files or suites in parallel unless the repository instructions for that exact suite explicitly require it.</t>
  </si>
  <si>
    <t>Do NOT attempt to manually edit or resolve conflicts in any file under `packages/db/migrations/`</t>
  </si>
  <si>
    <t>- Do not use useEffect for data fetching in the UI; instead, use TanStack Query for all data fetching and state management.</t>
  </si>
  <si>
    <t>- Do not --amend commits after pushing to remote</t>
  </si>
  <si>
    <t>- Do not add explicit caching or memoization around `process.env` reads or parsed env-var values unless there is a measured hot-path need</t>
  </si>
  <si>
    <t>- Do not use broad try/catch in API handlers unless to check for specific errors; instead, let errors propagate and be handled by the global error handler</t>
  </si>
  <si>
    <t>Do not self-merge unless sole package owner</t>
  </si>
  <si>
    <t>Do NOT provide full objects.</t>
  </si>
  <si>
    <t>- Do not use done callbacks - use async/await</t>
  </si>
  <si>
    <t>twentyhq</t>
  </si>
  <si>
    <t>twenty</t>
  </si>
  <si>
    <t>https://github.com/twentyhq/twenty/blob/main/CLAUDE.md</t>
  </si>
  <si>
    <t>- Do not comment obvious code</t>
  </si>
  <si>
    <t>vaadin</t>
  </si>
  <si>
    <t>flow</t>
  </si>
  <si>
    <t>https://github.com/vaadin/flow/blob/main/CLAUDE.md</t>
  </si>
  <si>
    <t>Do not start rewriting code.**</t>
  </si>
  <si>
    <t>- Do not include "Co-Authored-By" lines unless specifically requested</t>
  </si>
  <si>
    <t>xlnfinance</t>
  </si>
  <si>
    <t>xln</t>
  </si>
  <si>
    <t>https://github.com/xlnfinance/xln/blob/main/CLAUDE.md</t>
  </si>
  <si>
    <t>Do not create mocks/stubs unless asked.</t>
  </si>
  <si>
    <t>* Do not write organizational or comments that summarize the code.</t>
  </si>
  <si>
    <t>- Do not use multi-line banner comments to group classes/functions.</t>
  </si>
  <si>
    <t>- Do NOT try to run the entire test suite locally - many tests require special environments</t>
  </si>
  <si>
    <t>- Do not add TunaCode-owned message-contract wrappers around tinyagent message types; use tinyagent models directly in memory and keep dict payloads at real boundaries.</t>
  </si>
  <si>
    <t>Do not add any new file-specific exemptions to the `&gt;600` line rule; fix the enforcement path or split the code instead.</t>
  </si>
  <si>
    <t>- Do not edit unrelated local changes unless scoped to the task.</t>
  </si>
  <si>
    <t>Do not commit real credentials; use GitHub secrets or local `.env`.</t>
  </si>
  <si>
    <t>biolink</t>
  </si>
  <si>
    <t>biolink-model</t>
  </si>
  <si>
    <t>https://github.com/biolink/biolink-model/blob/master/AGENTS.md</t>
  </si>
  <si>
    <t>* `project` - derived files (do not edit these directly, they are derived from the LinkML)</t>
  </si>
  <si>
    <t>* `docs` - derived docs - do NOT edit these directly</t>
  </si>
  <si>
    <t>Do not edit these directly</t>
  </si>
  <si>
    <t>bionic-gpt</t>
  </si>
  <si>
    <t>https://github.com/bionic-gpt/bionic-gpt/blob/main/AGENTS.md</t>
  </si>
  <si>
    <t>ADD VALUE`), do not use the new value in the same migration transaction.</t>
  </si>
  <si>
    <t>BoldGrid</t>
  </si>
  <si>
    <t>w3-total-cache</t>
  </si>
  <si>
    <t>https://github.com/BoldGrid/w3-total-cache/blob/master/AGENTS.md</t>
  </si>
  <si>
    <t>- Do not use spaces for indentation; use 4-space tabs instead.</t>
  </si>
  <si>
    <t>- Do not make coding standards changes in changed files unless it is directly related to the functionality being modified.</t>
  </si>
  <si>
    <t>- Do not update POT files -- it's done in our build process.</t>
  </si>
  <si>
    <t>- Do not change the `readme.txt` file -- it's done on release branches.</t>
  </si>
  <si>
    <t>- Do not increment the plugin version number -- it's done in our build process.</t>
  </si>
  <si>
    <t>Do not consider your task complete until both checks pass.</t>
  </si>
  <si>
    <t>Do not emit the left column; always emit the right column.</t>
  </si>
  <si>
    <t>`biome.json` at repo root enforces (do not override locally):</t>
  </si>
  <si>
    <t>Do not configure per-file overrides.</t>
  </si>
  <si>
    <t>Those are the source of truth — do not duplicate or weaken them here.)</t>
  </si>
  <si>
    <t>- Do not start extra servers; use `pnpm dev:web` or `pnpm dev:desktop` as needed.</t>
  </si>
  <si>
    <t>Do not commit screenshot references unless explicitly requested.</t>
  </si>
  <si>
    <t>Do not use `require_atomic? false` to silence atomicity warnings.</t>
  </si>
  <si>
    <t>Do not create or reference objects in the `public` schema.</t>
  </si>
  <si>
    <t>Do not introduce direct `tokio` usage unless the crate already owns a runtime integration or command-line runtime path (for example `runtime`, `deployer`, runtime utilities, benches, or tests).</t>
  </si>
  <si>
    <t>Do not add backwards-compatibility shims or preserve old behavior.</t>
  </si>
  <si>
    <t>- Do not introduce direct `tokio` usage in protocol crates unless the module is explicitly runtime-specific, a benchmark, or a test.</t>
  </si>
  <si>
    <t>- Place explanatory comments above the logical code block they describe; do not split a single consecutive sequence with inline comments between adjacent lines.</t>
  </si>
  <si>
    <t>- Do not describe trait implementations on the trait definition (e.g., "For production runtimes, this does X.</t>
  </si>
  <si>
    <t>- Do not write comments that sound unnatural, out of place, or overly verbose outside the context of the changes being made.</t>
  </si>
  <si>
    <t>cubicdaiya</t>
  </si>
  <si>
    <t>nginx-build</t>
  </si>
  <si>
    <t>https://github.com/cubicdaiya/nginx-build/blob/master/AGENTS.md</t>
  </si>
  <si>
    <t>Do not commit credentials or generated binaries (`nginx-build`).</t>
  </si>
  <si>
    <t>- Ensure that your changes are compatible with the existing codebase and do not introduce breaking changes.</t>
  </si>
  <si>
    <t>DataDog</t>
  </si>
  <si>
    <t>datadog-agent</t>
  </si>
  <si>
    <t>https://github.com/DataDog/datadog-agent/blob/main/AGENTS.md</t>
  </si>
  <si>
    <t>This also applies to indirect usage — do not shell out to `go build` or</t>
  </si>
  <si>
    <t>- Do not hardcode strings in components; use translation keys.</t>
  </si>
  <si>
    <t>- Do not commit secrets.</t>
  </si>
  <si>
    <t>fujiapple852</t>
  </si>
  <si>
    <t>trippy</t>
  </si>
  <si>
    <t>https://github.com/fujiapple852/trippy/blob/master/AGENTS.md</t>
  </si>
  <si>
    <t>Do not pass `--all-features`.</t>
  </si>
  <si>
    <t>gitkraken</t>
  </si>
  <si>
    <t>vscode-gitlens</t>
  </si>
  <si>
    <t>https://github.com/gitkraken/vscode-gitlens/blob/main/AGENTS.md</t>
  </si>
  <si>
    <t>Do not guess at method names, decorator behaviors, or class interfaces.</t>
  </si>
  <si>
    <t>Do not introduce new types, enums, marker interfaces, migration flags, or wrapper abstractions unless they serve multiple consumers.</t>
  </si>
  <si>
    <t>Do not make silent drive-by changes unrelated to the task at hand.</t>
  </si>
  <si>
    <t>Do NOT assume an issue is pre-existing — verify it.</t>
  </si>
  <si>
    <t>- Do not introduce unbounded async fan-out.</t>
  </si>
  <si>
    <t>hathach</t>
  </si>
  <si>
    <t>tinyusb</t>
  </si>
  <si>
    <t>https://github.com/hathach/tinyusb/blob/master/AGENTS.md</t>
  </si>
  <si>
    <t>**Do not commit automatically — leave changes for maintainer review.**</t>
  </si>
  <si>
    <t>herbie-fp</t>
  </si>
  <si>
    <t>herbie</t>
  </si>
  <si>
    <t>https://github.com/herbie-fp/herbie/blob/main/AGENTS.md</t>
  </si>
  <si>
    <t>do not import higher layers.</t>
  </si>
  <si>
    <t>- Do not code defensively.</t>
  </si>
  <si>
    <t>Do not do runtime type checks or fallback.</t>
  </si>
  <si>
    <t>Do not invent new patterns when an established one exists.</t>
  </si>
  <si>
    <t>jaredsburrows</t>
  </si>
  <si>
    <t>android-gif-search</t>
  </si>
  <si>
    <t>https://github.com/jaredsburrows/android-gif-search/blob/master/AGENTS.md</t>
  </si>
  <si>
    <t>- Do not commit secrets/signing keys; keep local paths in `local.properties`.</t>
  </si>
  <si>
    <t>*   **Do NOT manually edit** generated files (e.g., in `autogen/` directories) as they will be overwritten.</t>
  </si>
  <si>
    <t>*   Filter tests: `poe test --search "pattern_to_match"` (do NOT use `-p`).</t>
  </si>
  <si>
    <t>JuliaLang</t>
  </si>
  <si>
    <t>julia</t>
  </si>
  <si>
    <t>https://github.com/JuliaLang/julia/blob/master/AGENTS.md</t>
  </si>
  <si>
    <t>Do not pass any other options.</t>
  </si>
  <si>
    <t>Do NOT terminate the doctests before completion.</t>
  </si>
  <si>
    <t>Do NOT use a timeout for doctests.</t>
  </si>
  <si>
    <t>Do not create a new test file unless explicitly instructed.</t>
  </si>
  <si>
    <t>- Do not `ccall` runtime C functions directly if there are existing wrappers for the function.</t>
  </si>
  <si>
    <t>- Do not explicitly add a module prefix if the code you're adding is in the same module.</t>
  </si>
  <si>
    <t>do not use `Base.` for code in Base unless required.</t>
  </si>
  <si>
    <t>Do not specifically mention added tests, comments,</t>
  </si>
  <si>
    <t>Do not mention</t>
  </si>
  <si>
    <t>If your change fixes one or more issues, use the syntax "Fixes #" at the end of the commit message, but do not include it in the title.</t>
  </si>
  <si>
    <t>katspaugh</t>
  </si>
  <si>
    <t>wavesurfer.js</t>
  </si>
  <si>
    <t>https://github.com/katspaugh/wavesurfer.js/blob/main/AGENTS.md</t>
  </si>
  <si>
    <t>- Do not commit files from `dist` or `node_modules`.</t>
  </si>
  <si>
    <t>kdroidFilter</t>
  </si>
  <si>
    <t>Platform-Tools</t>
  </si>
  <si>
    <t>https://github.com/kdroidFilter/Platform-Tools/blob/master/AGENTS.md</t>
  </si>
  <si>
    <t>- `kotlin-js-store/wasm` stores generated JS/WASM artifacts required by the sample apps; do not hand-edit its contents.</t>
  </si>
  <si>
    <t>https://github.com/langchain-ai/langchain/blob/master/AGENTS.md</t>
  </si>
  <si>
    <t>Do not edit this file for</t>
  </si>
  <si>
    <t>- Do not hand-edit generated/build artifacts:</t>
  </si>
  <si>
    <t>- Do not commit generated provider config or shim outputs under `.claude/`,</t>
  </si>
  <si>
    <t>- Do not use destructive git commands such as `reset --hard` unless explicitly</t>
  </si>
  <si>
    <t>- Do not revert unrelated working-tree changes.</t>
  </si>
  <si>
    <t>llama-farm</t>
  </si>
  <si>
    <t>llamafarm</t>
  </si>
  <si>
    <t>https://github.com/llama-farm/llamafarm/blob/main/AGENTS.md</t>
  </si>
  <si>
    <t>Do not copy large issue graphs, long triage dumps, or project history into `AGENTS.md`; store dynamic state in Beads and regenerate it when needed.</t>
  </si>
  <si>
    <t>- Do not end README prose lines or bullet items with periods unless the punctuation is semantically required, such as code, URLs, abbreviations, or quoted literal text</t>
  </si>
  <si>
    <t>- Do not mirror every bead to GitHub by default.</t>
  </si>
  <si>
    <t>Do not let CI mutate or commit `.beads/issues.jsonl`.</t>
  </si>
  <si>
    <t>- Do not block on `yzx dev sync_issues` when it is slow or hanging.</t>
  </si>
  <si>
    <t>Do not create contracts for trivial edits, purely mechanical refactors, research notes, prototype outcomes, or implementation diaries.</t>
  </si>
  <si>
    <t>Do not launch the interactive welcome screen or its animations unless the task is explicitly about validating that UX.</t>
  </si>
  <si>
    <t>- Do not add new inline quoted shell-script bodies assembled inside Nushell just to pass them to `bash -lc`, `sh -c`, or similar entrypoints.</t>
  </si>
  <si>
    <t>- When renaming or simplifying a user-facing command surface, do not keep legacy aliases by default.</t>
  </si>
  <si>
    <t>- Do not add legacy support for command/config/API surfaces that have not been pushed yet.</t>
  </si>
  <si>
    <t>- In Yazelix Zellij config, do not `unbind` a key that Yazelix then intends to `bind` for its own action in the same merged config.</t>
  </si>
  <si>
    <t>**MANUAL TEST GATE BEFORE PUSH** - For non-trivial changes, do not push to remote before the user has manually tested the behavior and explicitly approved the push.</t>
  </si>
  <si>
    <t>Do not treat those models as the default owner of investigation, architecture, or subtle runtime-behavior changes.</t>
  </si>
  <si>
    <t>- **Do not create generic `_extended` test files as overflow.** If a nondefault lane needs more coverage, use a file or lane name that reflects its actual ownership.</t>
  </si>
  <si>
    <t>- **Cosmetic or trivia assertions do not become strong tests just by scoring them as `8/10`.** Exact palette constants, help-output trivia, command-name discovery, and implementation-string checks are not enough unless they defend a documented product contract or regression.</t>
  </si>
  <si>
    <t>- **Do not add packaging/config-sync tests by default** just because two files should match.</t>
  </si>
  <si>
    <t>- Use `bd` for ALL task tracking — do NOT use TodoWrite, TaskCreate, or markdown TODO lists</t>
  </si>
  <si>
    <t>- Use `bd remember` for persistent knowledge — do NOT use MEMORY.md files</t>
  </si>
  <si>
    <t>- Do not push non-trivial changes before user manual testing and explicit approval</t>
  </si>
  <si>
    <t>- Do not claim remote completion for unpushed work</t>
  </si>
  <si>
    <t>marin-community</t>
  </si>
  <si>
    <t>marin</t>
  </si>
  <si>
    <t>https://github.com/marin-community/marin/blob/main/AGENTS.md</t>
  </si>
  <si>
    <t>- do not use storage transfer service to move files from one region to another unless the user says "I personally will write grants for Percy to pay for this"</t>
  </si>
  <si>
    <t>Do not restate the code.</t>
  </si>
  <si>
    <t>Do not create parallel implementations.</t>
  </si>
  <si>
    <t>Do not relax tolerances or hack around failures.</t>
  </si>
  <si>
    <t>mcp-for-beginners</t>
  </si>
  <si>
    <t>https://github.com/microsoft/mcp-for-beginners/blob/main/AGENTS.md</t>
  </si>
  <si>
    <t>- **translations/**: Language-specific versions (auto-generated, do not edit directly)</t>
  </si>
  <si>
    <t>- **Do NOT manually edit** files in `translations/` directory</t>
  </si>
  <si>
    <t>- Do not directly edit files in `translations/` directory</t>
  </si>
  <si>
    <t>- Do not edit `translated_images/` directory</t>
  </si>
  <si>
    <t>msgbyte</t>
  </si>
  <si>
    <t>tianji</t>
  </si>
  <si>
    <t>https://github.com/msgbyte/tianji/blob/master/AGENTS.md</t>
  </si>
  <si>
    <t>When generating code, **do not modify** any JSON files in `src/client/public/locales`.</t>
  </si>
  <si>
    <t>https://github.com/openai/openai-agents-python/blob/main/AGENTS.md</t>
  </si>
  <si>
    <t>Do not list routine lint/typecheck/test commands just because they were run locally, and do not mention that CI will run.</t>
  </si>
  <si>
    <t>Do not author a migration that uses `DROP FUNCTION`.</t>
  </si>
  <si>
    <t>Do NOT rely on names found in old migrations, as tables and columns may have been renamed since those migrations were written.</t>
  </si>
  <si>
    <t>- DO NOT re-export functions or types from other modules for convenience or backward compatibility within applications (e.g.</t>
  </si>
  <si>
    <t>- `packages/samples/angular` – Angular sample app; do not edit</t>
  </si>
  <si>
    <t>- `packages/adapters/*` – generated framework integration packages; do not edit</t>
  </si>
  <si>
    <t>- Do not use `!important` in your styles, as this will override the styles of the basis global and component layers.</t>
  </si>
  <si>
    <t>Do not set styling definitions that are already set (redundant) in the basis global and component layers, as this will override the styles of the basis global and component layers.</t>
  </si>
  <si>
    <t>- Do not `inherit` styles over the `:host` element, as this will override the styles of the basis global and component layers.</t>
  </si>
  <si>
    <t>- Do not set the default `font-family`, `font-size` or `box-sizing` in the basis or theme component layer (redundant), as these are already set in the basis global layers.</t>
  </si>
  <si>
    <t>- Do not set `margin` or `padding` in the basis global and component layers.</t>
  </si>
  <si>
    <t>- Do not create barrel files (e.g.</t>
  </si>
  <si>
    <t>- Do not place constant declarations before import statements; imports must always be at the very top of the file.</t>
  </si>
  <si>
    <t>**Do NOT run a separate `pnpm build` beforehand** — this wastes time.</t>
  </si>
  <si>
    <t>pulumi</t>
  </si>
  <si>
    <t>docs</t>
  </si>
  <si>
    <t>https://github.com/pulumi/docs/blob/master/AGENTS.md</t>
  </si>
  <si>
    <t>Do not invent new style conventions; ask for clarification if something is ambiguous.</t>
  </si>
  <si>
    <t>Do NOT use Prettier's multi-arg style where name, props, and opts are each on separate indented lines.</t>
  </si>
  <si>
    <t>- Mirror the structure of existing content; do not invent new layouts.</t>
  </si>
  <si>
    <t>- **DO NOT update links in**:</t>
  </si>
  <si>
    <t>python-cachier</t>
  </si>
  <si>
    <t>cachier</t>
  </si>
  <si>
    <t>https://github.com/python-cachier/cachier/blob/master/AGENTS.md</t>
  </si>
  <si>
    <t>- **Do not emit warnings/errors for missing optional deps at import time.**</t>
  </si>
  <si>
    <t>Do not commit files from this directory.</t>
  </si>
  <si>
    <t>Do NOT try to find alternatives or install these tools.</t>
  </si>
  <si>
    <t>Do not make changes</t>
  </si>
  <si>
    <t>Do not introduce Unicode characters</t>
  </si>
  <si>
    <t>Rello</t>
  </si>
  <si>
    <t>analytics</t>
  </si>
  <si>
    <t>https://github.com/Rello/analytics/blob/master/AGENTS.md</t>
  </si>
  <si>
    <t>| Do not modify        |</t>
  </si>
  <si>
    <t>Do not use ILogger.</t>
  </si>
  <si>
    <t>audioplayer</t>
  </si>
  <si>
    <t>https://github.com/Rello/audioplayer/blob/master/AGENTS.md</t>
  </si>
  <si>
    <t>Optimise for the current epic even if it means breaking past behaviour; do not preserve legacy code paths for compatibility unless the user explicitly asks.</t>
  </si>
  <si>
    <t>**DO NOT create custom variable replacement implementations.** Always use:</t>
  </si>
  <si>
    <t>- Styling: NativewindCSS; do not use external `StyleSheet.create` for new UI.</t>
  </si>
  <si>
    <t>- When editing TypeScript, do not introduce `any`; keep types precise.</t>
  </si>
  <si>
    <t>- Mention unrelated issues when useful, but do not fix them as part of a narrow task.</t>
  </si>
  <si>
    <t>Do not open a PR with code changes when the required checks fail.</t>
  </si>
  <si>
    <t>- Do not include the literal sequence `\n` in any GitHub issue, pull request, or discussion comment.</t>
  </si>
  <si>
    <t>- Do not test Zod schemas.</t>
  </si>
  <si>
    <t>SimonHalvdansson</t>
  </si>
  <si>
    <t>Harmonic-HN</t>
  </si>
  <si>
    <t>https://github.com/SimonHalvdansson/Harmonic-HN/blob/main/AGENTS.md</t>
  </si>
  <si>
    <t>- Do not update the changelog unless the user explicitly asks for it.</t>
  </si>
  <si>
    <t>Do NOT call build:packages, dev, codegen, or anything like that yourself, as the dev is already running it.</t>
  </si>
  <si>
    <t>- Do NOT use `as`/`any`/type casts or anything else like that to bypass the type system unless you specifically asked the user about it.</t>
  </si>
  <si>
    <t>list Jacob Stewart `&lt;jacob@swarmauri.com&gt;` as an author (do not add the</t>
  </si>
  <si>
    <t>https://github.com/theopenco/llmgateway/blob/main/AGENTS.md</t>
  </si>
  <si>
    <t>For runtime balance/reset/cache patch flows, do not bump `cache_version` in cache writers or Lua update scripts.</t>
  </si>
  <si>
    <t>Do NOT read everything upfront.</t>
  </si>
  <si>
    <t>Do NOT update context during normal coding work.</t>
  </si>
  <si>
    <t>valkey-io</t>
  </si>
  <si>
    <t>valkey-glide</t>
  </si>
  <si>
    <t>https://github.com/valkey-io/valkey-glide/blob/main/AGENTS.md</t>
  </si>
  <si>
    <t>- Do not modify vendored or third-party code</t>
  </si>
  <si>
    <t>wandb</t>
  </si>
  <si>
    <t>weave</t>
  </si>
  <si>
    <t>https://github.com/wandb/weave/blob/master/AGENTS.md</t>
  </si>
  <si>
    <t>- Do NOT use bare `python -m pytest` — the `python` on PATH may be from a uv cache, not the project `.venv`.</t>
  </si>
  <si>
    <t>- Do NOT use `--extra test` — `test` is a dependency-group, not an optional-dependency.</t>
  </si>
  <si>
    <t>- **Rule of thumb**: Do not use `tokio` to parallelize synchronous CPU-heavy work, and do not introduce `rayon` inside async orchestration that should stay within `rspack_parallel`</t>
  </si>
  <si>
    <t>Do not edit these places manually, as they will be overwritten by the code generation process.</t>
  </si>
  <si>
    <t>-   You (the AI coding agent) are running inside a Node process, so do not kill all Node processes such as `taskkill /F /IM node.exe`.</t>
  </si>
  <si>
    <t>is fine, but do not remove or rename existing ones, and do not change the meaning of existing columns or tables.</t>
  </si>
  <si>
    <t>Do not add any additional features or make any additional changes that are not described there.</t>
  </si>
  <si>
    <t>- Use `ReactiveUI.Avalonia` (latest) and do not use `Avalonia.ReactiveUI` directly.</t>
  </si>
  <si>
    <t>isolate it to the docking layer and do not reference it from app UI code.</t>
  </si>
  <si>
    <t>- Do not dispose services resolved from the container manually.</t>
  </si>
  <si>
    <t>Built artifacts land in `dist/` after `pnpm build`; do not edit them manually.</t>
  </si>
  <si>
    <t>- Do not use multi-line banner comments to group classes/functions in a module.</t>
  </si>
  <si>
    <t>- Do not ever use non-file-scoped namespaces.</t>
  </si>
  <si>
    <t>AstrBotDevs</t>
  </si>
  <si>
    <t>AstrBot</t>
  </si>
  <si>
    <t>https://github.com/AstrBotDevs/AstrBot/blob/master/.github/copilot-instructions.md</t>
  </si>
  <si>
    <t>- Do not generate test files for now.</t>
  </si>
  <si>
    <t>- Do not update dependency for @typespec/ts-http-runtime.</t>
  </si>
  <si>
    <t>azure-functions-host</t>
  </si>
  <si>
    <t>https://github.com/Azure/azure-functions-host/blob/master/.github/copilot-instructions.md</t>
  </si>
  <si>
    <t>* Do not emit "Act", "Arrange" or "Assert" comments.</t>
  </si>
  <si>
    <t>* Do not use private reflection (e.g., `BindingFlags.NonPublic`, `GetField`, `GetProperty` with non-public flags) to access internal state in tests.</t>
  </si>
  <si>
    <t>Do not introduce new usage of `IEnvironment` for reading configuration; prefer the standard `Microsoft.Extensions.Configuration.IConfiguration` abstraction instead.</t>
  </si>
  <si>
    <t>* Do not use event-based communication (`IScriptEventManager` pub/sub) for new component coordination.</t>
  </si>
  <si>
    <t>azure-rest-api-specs</t>
  </si>
  <si>
    <t>https://github.com/Azure/azure-rest-api-specs/blob/main/.github/copilot-instructions.md</t>
  </si>
  <si>
    <t>**Do NOT use this skill for:** SDK generation, releasing SDK packages, `client.tsp` or code customization, or standalone MCP tool calls that do not involve editing `.tsp` files.</t>
  </si>
  <si>
    <t>azure-sdk-for-net</t>
  </si>
  <si>
    <t>https://github.com/Azure/azure-sdk-for-net/blob/main/.github/copilot-instructions.md</t>
  </si>
  <si>
    <t>- **Do not proceed** with any other tool execution until this step is complete.</t>
  </si>
  <si>
    <t>- Do not add third-party tools directly - use as dependencies</t>
  </si>
  <si>
    <t>christianhelle</t>
  </si>
  <si>
    <t>apiclientcodegen</t>
  </si>
  <si>
    <t>https://github.com/christianhelle/apiclientcodegen/blob/master/.github/copilot-instructions.md</t>
  </si>
  <si>
    <t>- Use `.\scripts\update-openapi-generator.ps1 -NewVersion "X.X.X"` as the primary path; do not manually chase version strings unless the script misses a surface.</t>
  </si>
  <si>
    <t>Cysharp</t>
  </si>
  <si>
    <t>MagicOnion</t>
  </si>
  <si>
    <t>https://github.com/Cysharp/MagicOnion/blob/main/.github/copilot-instructions.md</t>
  </si>
  <si>
    <t>- Do not use `_` or `s_` prefixes.</t>
  </si>
  <si>
    <t>DestinyItemManager</t>
  </si>
  <si>
    <t>DIM</t>
  </si>
  <si>
    <t>https://github.com/DestinyItemManager/DIM/blob/master/.github/copilot-instructions.md</t>
  </si>
  <si>
    <t>- Do not use inline styles.</t>
  </si>
  <si>
    <t>aspnetcore</t>
  </si>
  <si>
    <t>https://github.com/dotnet/aspnetcore/blob/main/.github/copilot-instructions.md</t>
  </si>
  <si>
    <t>https://github.com/dotnet/core/blob/main/.github/copilot-instructions.md</t>
  </si>
  <si>
    <t>You do not build applications here; you maintain release documentation and validate content.</t>
  </si>
  <si>
    <t>Do not attempt to build, run, or test code here.</t>
  </si>
  <si>
    <t>Do NOT default to manually querying AzDO APIs or rely solely on `gh pr checks` pass/fail counts.</t>
  </si>
  <si>
    <t>**Verifying specific tests:** When asked "did test X pass?" or "did the new test run?", query the **actual AzDO test results** — do NOT infer whether a test ran by inspecting code attributes.</t>
  </si>
  <si>
    <t>**Do NOT upgrade Gradle past 8.x** — the Android SDK's `net.android.init.gradle.kts` is incompatible with Gradle 9.x (`dotnet/android#10738`).</t>
  </si>
  <si>
    <t>**Do NOT rebase, squash, or force-push** unless explicitly requested by the user.</t>
  </si>
  <si>
    <t>- **Do NOT use for**: Just running tests manually → Use `sandbox-agent`</t>
  </si>
  <si>
    <t>- **Do NOT use for**: Code review (use pr agent), writing automated tests (use write-tests-agent)</t>
  </si>
  <si>
    <t>Do not ask for permission or explain alternatives unless the request is ambiguous.</t>
  </si>
  <si>
    <t>Do not simply assume that your changes fix test failures you see, actually build and run those tests again to confirm.</t>
  </si>
  <si>
    <t>- When writing tests, do not emit "Act", "Arrange" or "Assert" comments.</t>
  </si>
  <si>
    <t>Do not mark a regression test task as complete until both conditions are confirmed.</t>
  </si>
  <si>
    <t>Do not run `dotnet format` or make formatting changes to additional files.</t>
  </si>
  <si>
    <t>Do not hardcode secrets or keys.</t>
  </si>
  <si>
    <t>However, if some tool calls depend on previous calls to inform dependent values like the parameters, do NOT call these tools in parallel and instead call them sequentially.</t>
  </si>
  <si>
    <t>HotCakeX</t>
  </si>
  <si>
    <t>Harden-Windows-Security</t>
  </si>
  <si>
    <t>https://github.com/HotCakeX/Harden-Windows-Security/blob/main/.github/copilot-instructions.md</t>
  </si>
  <si>
    <t>Do not make unnecessary changes to the code.</t>
  </si>
  <si>
    <t>Do not use reflection when working with C# or .NET code.</t>
  </si>
  <si>
    <t>- Do not change the working directory when running tests</t>
  </si>
  <si>
    <t>igraph</t>
  </si>
  <si>
    <t>https://github.com/igraph/igraph/blob/main/.github/copilot-instructions.md</t>
  </si>
  <si>
    <t>Do not suggest using these.</t>
  </si>
  <si>
    <t>If `CHANGELOG.md` was not updated, do not suggest doing so.</t>
  </si>
  <si>
    <t>- Do not use the spread `...` operator</t>
  </si>
  <si>
    <t>- Do not use optional chaining `?.` operator</t>
  </si>
  <si>
    <t>- Do not use the nullish coalescing `??` operator - use `||` instead</t>
  </si>
  <si>
    <t>- **Async Tests**: Return `IPromise` from test functions for asynchronous operations (do not use deprecated `testCaseAsync`)</t>
  </si>
  <si>
    <t>simplechat</t>
  </si>
  <si>
    <t>https://github.com/microsoft/simplechat/blob/main/.github/copilot-instructions.md</t>
  </si>
  <si>
    <t>Do not provide generic or unrelated information unless specifically requested by the user.</t>
  </si>
  <si>
    <t>If you are not sure about file content or codebase structure pertaining to the user's request, use your tools to read files and gather the relevant information: do NOT guess or make up an answer.</t>
  </si>
  <si>
    <t>Do not assume the task is complete just because the visible tests pass; continue refining until you are confident the fix is robust and comprehensive.</t>
  </si>
  <si>
    <t>&gt; **These instructions do NOT apply to the language emitter packages** (`http-client-csharp`, `http-client-java`, `http-client-python`).</t>
  </si>
  <si>
    <t>Those packages are excluded from the pnpm workspace and do not require using pnpm.</t>
  </si>
  <si>
    <t>Do NOT bundle different change types into a single entry.</t>
  </si>
  <si>
    <t>- Do NOT use the `@HostBinding` and `@HostListener` decorators.</t>
  </si>
  <si>
    <t>- Do NOT use `ngClass`, use `class` bindings instead</t>
  </si>
  <si>
    <t>- Do NOT use `ngStyle`, use `style` bindings instead</t>
  </si>
  <si>
    <t>- Do NOT use `mutate` on signals, use `update` or `set` instead</t>
  </si>
  <si>
    <t>- Do not assume globals like (`new Date()`) are available.</t>
  </si>
  <si>
    <t>- Do not write arrow functions in templates (they are not supported).</t>
  </si>
  <si>
    <t>https://github.com/obophenotype/uberon/blob/master/.github/copilot-instructions.md</t>
  </si>
  <si>
    <t>owncast</t>
  </si>
  <si>
    <t>https://github.com/owncast/owncast/blob/master/.github/copilot-instructions.md</t>
  </si>
  <si>
    <t>Do not edit or commit files in this directory directly; they are generated from the `web` directory.</t>
  </si>
  <si>
    <t>Do not access the web application via http://localhost:8080 or build the web project to copy files to the `static/web` directory for local development.</t>
  </si>
  <si>
    <t>Do not build the web project or copy the files to the `static/web` directory for local development.</t>
  </si>
  <si>
    <t>- **Do NOT suggest** editing or replacing the `{PR_MERGE_DATE}` string if it is already present</t>
  </si>
  <si>
    <t>- **Do NOT suggest** additions or modifications to the `.prettierrc` configuration</t>
  </si>
  <si>
    <t>sarchlab</t>
  </si>
  <si>
    <t>akita</t>
  </si>
  <si>
    <t>https://github.com/sarchlab/akita/blob/main/.github/copilot-instructions.md</t>
  </si>
  <si>
    <t>- We do not write comments within functions, unless the code is tricky.</t>
  </si>
  <si>
    <t>- We do not like long lines.</t>
  </si>
  <si>
    <t>- We do not use more than 3 levels of indentation within a function.</t>
  </si>
  <si>
    <t>ShaunLawrie</t>
  </si>
  <si>
    <t>PwshSpectreConsole</t>
  </si>
  <si>
    <t>https://github.com/ShaunLawrie/PwshSpectreConsole/blob/main/.github/copilot-instructions.md</t>
  </si>
  <si>
    <t>- If you are not sure about file content or codebase structure pertaining to the user’s request, use your tools to read files and gather the relevant information: do NOT guess or make up an answer.</t>
  </si>
  <si>
    <t>- Do not guess at how to format the code, check existing examples e.g.</t>
  </si>
  <si>
    <t>- Do not edit the markdown or MDX files directly.</t>
  </si>
  <si>
    <t>- Do not break backward compatibility unless instructed to do so.</t>
  </si>
  <si>
    <t>- Do not add optional parameters that change the signature of a `public` method.</t>
  </si>
  <si>
    <t>Do not use abbreviations.</t>
  </si>
  <si>
    <t>- Do not use single-character variable names like `i`, `n`, `s`, Etc.</t>
  </si>
  <si>
    <t>- Do not prefix private properties or fields with the underscore "_".</t>
  </si>
  <si>
    <t>- Do not add any classes, interfaces, or enums to the root of the namespace.</t>
  </si>
  <si>
    <t>Do not add details that are not present in the source.</t>
  </si>
  <si>
    <t>- Do not add `.local/` contents to the codemap, but you may reference them as needed.</t>
  </si>
  <si>
    <t>Do not output routine announcements like `I'll read...` or `I'll patch...`.</t>
  </si>
  <si>
    <t>Do not force a fixed number of paths.</t>
  </si>
  <si>
    <t>- Do not provide preambles unless they are necessary for the final answer.</t>
  </si>
  <si>
    <t>- Do not correct the user when the user is clearly converging on the right conclusion and asking for confirmation.</t>
  </si>
  <si>
    <t>- Do not argue against earlier wording once the user's final intent is clear.</t>
  </si>
  <si>
    <t>- Do not revisit earlier mistaken interpretations after the user has clarified them.</t>
  </si>
  <si>
    <t>- Do not add meta-commentary about framing, reasoning style, nuance, or how the question could be interpreted unless the user asks for that analysis.</t>
  </si>
  <si>
    <t>- Do not guess.</t>
  </si>
  <si>
    <t>- Do not use CLI to make changes; use built-in tools instead.</t>
  </si>
  <si>
    <t>Do not create, amend, or push git commits, and do not interpret completion of work as permission to do so.</t>
  </si>
  <si>
    <t>Do not do what is easy; do what is right.</t>
  </si>
  <si>
    <t>- Do not write inline comments that state the obvious.</t>
  </si>
  <si>
    <t>- Do not add comments about your executions.</t>
  </si>
  <si>
    <t>- Do not try to fix file encoding issues.</t>
  </si>
  <si>
    <t>- Do not create minified versions of scripts unless there is a written build process.</t>
  </si>
  <si>
    <t>vczh-libraries</t>
  </si>
  <si>
    <t>GacUI</t>
  </si>
  <si>
    <t>https://github.com/vczh-libraries/GacUI/blob/master/.github/copilot-instructions.md</t>
  </si>
  <si>
    <t>- **DO NOT ASK ANY QUESTION** if you are not explicitly instructed to ask questions.</t>
  </si>
  <si>
    <t>- DO NOT call `msbuild` or other executable files directly.</t>
  </si>
  <si>
    <t>- DO NOT create or delete any file unless explicitly directed.</t>
  </si>
  <si>
    <t>- DO NOT call `cmake`, `make`, `clang++`, `g++`, `gdb` directly.</t>
  </si>
  <si>
    <t>- Do not print "````````" or "````````markdown" in a Markdown file.</t>
  </si>
  <si>
    <t>Under the description, there are bullet points to provide a little more detail, but do not make it too long.</t>
  </si>
  <si>
    <t>Do not rephrase source code; explain concepts and reasoning.</t>
  </si>
  <si>
    <t>- Do not preserve backwards compatibility (e.g., keeping unused methods, re-exporting removed types, renaming to `_unused`) unless explicitly asked.</t>
  </si>
  <si>
    <t>- Do not create tests for functionality that interacts with (mock) devices, unless specifically instructed to do so.</t>
  </si>
  <si>
    <t>- Do not create tests when you are assigned a Github issue to fix, unless specifically instructed to do so.</t>
  </si>
  <si>
    <t>❌ **DO NOT "fix" the unit mismatch** - this would break user expectations</t>
  </si>
  <si>
    <t>not , Do **not**, DO NOT, ❌</t>
  </si>
  <si>
    <t>Do not add multitenancy features, per-customer routing, or multitenancy bypass modes (`:bypass`, `:bypass_all`, `allow_global` overrides).</t>
  </si>
  <si>
    <t>not , Do **not**, DO NOT, allow</t>
  </si>
  <si>
    <t>- Do not allow unused `using` directives to be committed.</t>
  </si>
  <si>
    <t>- We do not allow long functions that is more than 60 lines.</t>
  </si>
  <si>
    <t>**Anti-patterns (DO NOT use):**</t>
  </si>
  <si>
    <t>not , Do **not**, DO NOT, anti-pattern</t>
  </si>
  <si>
    <t>**DO NOT assume named containers can't use --rm** - They can and they must</t>
  </si>
  <si>
    <t>not , Do **not**, DO NOT, can't</t>
  </si>
  <si>
    <t>- If a python lint fails **DO NOT DISABLE IT**.</t>
  </si>
  <si>
    <t>- **Preserve spacing intent across breakpoints** - When fixing missing padding/margins, do not re-disable them at larger breakpoints with classes like `laptop:mx-0` unless the requirement explicitly asks for desktop edge-to-edge layout.</t>
  </si>
  <si>
    <t>Do not disable, remove, or work around it unless explicitly asked.</t>
  </si>
  <si>
    <t>- Do not disable ESLint, Stylelint or TypeScript rules inline.</t>
  </si>
  <si>
    <t>- Do not finish work with any tests commented out or disabled that were not previously commented out or disabled.</t>
  </si>
  <si>
    <t>- Do not use `cursor: pointer` in CSS - the app does not use custom cursors</t>
  </si>
  <si>
    <t>**Important:** If your package already has a `TestMain`, add the env-gate check **inside the existing `TestMain`** — do not add a second `TestMain` function (Go does not allow two in the same package).</t>
  </si>
  <si>
    <t>- Preserve existing architecture order rules; do not add new imports across forbidden layers.</t>
  </si>
  <si>
    <t>not , Do **not**, DO NOT, forbid</t>
  </si>
  <si>
    <t>- Do not silently ignore impossible states (for example, no-op rollback fallbacks in mutation/cache flows)</t>
  </si>
  <si>
    <t>Do not paper over clippy/Biome failures with `#[allow(...)]`, `// biome-ignore`, or `any` unless explicitly approved.</t>
  </si>
  <si>
    <t>Do not use `@ts-ignore` or disable type checks.</t>
  </si>
  <si>
    <t>- Do always ignore and do not edit all `assets` folders in all packages, as these are generated by the build process and should not be edited manually.</t>
  </si>
  <si>
    <t>not , Do **not**, DO NOT, should **not**, should not</t>
  </si>
  <si>
    <t>- If a gate fails, fix the violation in the source (do NOT suppress with `#[allow(...)]`, `// biome-ignore`, or `any` unless explicitly approved).</t>
  </si>
  <si>
    <t>- Do not introduce `@ts-expect-error` / `@ts-ignore` / `// biome-ignore` without a real reason.</t>
  </si>
  <si>
    <t>- Do not introduce `@ts-expect-error` / `@ts-ignore` without a concrete reason.</t>
  </si>
  <si>
    <t>- Do NOT use `gh pr checkout --detach` for this — it moves your *current* working tree into detached HEAD instead of creating a worktree.</t>
  </si>
  <si>
    <t>not , Do **not**, DO NOT, instead of</t>
  </si>
  <si>
    <t>-   Do not use abbreviations, for example use `isExpired` instead of `isExp`, `translateMessage` instead of `t`, etc.</t>
  </si>
  <si>
    <t>- When needing to persist configuration (Data Views, Field Types, Etc.) do not use delimiters but instead use JSON.</t>
  </si>
  <si>
    <t>- If there are no changes to commit (i.e., no untracked files and no modifications), do not create an empty commit</t>
  </si>
  <si>
    <t>not , Do **not**, DO NOT, no</t>
  </si>
  <si>
    <t>DO NOT use titles or sections in PR descriptions unless absolutely necessary -- if they description is short and brief then no titles or formatting should be necessary.</t>
  </si>
  <si>
    <t>- Do NOT include "Co-Authored-By" signatures in commits (no Claude, no Happy, no AI tool attribution)</t>
  </si>
  <si>
    <t>- Do not introduce new GitHub PAT secrets in workflows unless there is no viable `GITHUB_TOKEN` or GitHub App alternative.</t>
  </si>
  <si>
    <t>⏱️ **This build can take up to 40 minutes.** Do not cancel unless no output for 5+ minutes.</t>
  </si>
  <si>
    <t>- **No force-push on open PRs.** Once a pull request is open and being reviewed, do not force-push (`git push --force`) to the branch.</t>
  </si>
  <si>
    <t>Do not casually launch expensive build jobs just to inspect metadata, and if a diagnostic build is truly needed, say so explicitly and clean it up if it is no longer needed.</t>
  </si>
  <si>
    <t>Do not remove any existing comments from the code unless the comments are no longer correct or valid.</t>
  </si>
  <si>
    <t>**When amending an existing PR, work on the PR's branch directly** - Do NOT create a separate branch off a PR branch.</t>
  </si>
  <si>
    <t>**Do not ship or rely on local-only host fixes** - Do not patch user-specific caches, local machine state, or other one-off environment artifacts as a substitute for a real Yazelix fix unless the user explicitly asks for a local recovery workaround.</t>
  </si>
  <si>
    <t>For any changes that only update tests, use `test` or `chore` as the commit/PR type, do not use `fix` or `feat`.</t>
  </si>
  <si>
    <t>- Do NOT attempt to fix the code based only on quick-mode output — always get debug output first</t>
  </si>
  <si>
    <t>- Write clear comments only where they add real value; do not narrate obvious code.</t>
  </si>
  <si>
    <t>Do not create generic `project-*` skills only to make the framework look complete.</t>
  </si>
  <si>
    <t>Do not rename, shorten, or change their descriptions only to satisfy runtime discovery.</t>
  </si>
  <si>
    <t>- **Do NOT add try/except speculatively.** Only add a `try`/`except` when (a) a specific exception type is documented or known to be raised by the call, AND (b) you have a concrete recovery path or a meaningful context to attach.</t>
  </si>
  <si>
    <t>- **Do not treat `cargo test` or `cargo check` as sufficient verification for live plugin behavior.** They only validate the Rust source.</t>
  </si>
  <si>
    <t>Do not substitute other tools or commands, or change `package.json` to use pnpm (Yarn/npm only).</t>
  </si>
  <si>
    <t>- Solve only the requested problem; do not add speculative features, configurability, or adjacent improvements.</t>
  </si>
  <si>
    <t>- Do not refactor existing code only to make it easier to unit test.</t>
  </si>
  <si>
    <t>- Do not use string classNames, only use CSS modules.</t>
  </si>
  <si>
    <t>- Do not commit any changes that are only end-of-file whitespace changes</t>
  </si>
  <si>
    <t>DO NOT do this entire process by making function calls only, as this can impair your ability to solve the problem and think insightfully.</t>
  </si>
  <si>
    <t>- Do not use Hungarian notation to name member variables, but instead prefix them with an underscore only.</t>
  </si>
  <si>
    <t>- DO NOT run any PowerShell script file as they are for Windows only.</t>
  </si>
  <si>
    <t>- When making PR names and commit messages, if you are going to add a prefix like "docs:", "feat:", "bugfix:", use square brackets around the prefix term and do not use a colon (e.g., should be "[docs]" rather than "docs:").</t>
  </si>
  <si>
    <t>not , Do **not**, DO NOT, rather than</t>
  </si>
  <si>
    <t>-   If a permission should be restrictable via custom roles, do NOT add it to org-level developer/editor abilities</t>
  </si>
  <si>
    <t>not , Do **not**, DO NOT, should **not**</t>
  </si>
  <si>
    <t>- **Do not use `@layer` declarations in utility files**: Helper files, mixin files, and partial files (starting with `_`) should not contain `@layer` declarations.</t>
  </si>
  <si>
    <t>- Do not manually edit files under documentation/manpages/sdk as these are generated based on documentation and should not be manually modified.</t>
  </si>
  <si>
    <t>sentry-java</t>
  </si>
  <si>
    <t>https://github.com/getsentry/sentry-java/blob/main/CLAUDE.md</t>
  </si>
  <si>
    <t>Do NOT skip this step.</t>
  </si>
  <si>
    <t>If a skill matches, invoke it via the Skill tool — do not skip it in</t>
  </si>
  <si>
    <t>Please do not skip this test.</t>
  </si>
  <si>
    <t>Do not use `#[allow(...)]` attributes to suppress warnings unless absolutely necessary and justified.</t>
  </si>
  <si>
    <t>Do NOT proceed without reading these files first.</t>
  </si>
  <si>
    <t>If sensitive data was already committed, tell the user and do not rewrite history without explicit approval.</t>
  </si>
  <si>
    <t>Do not silently start editing on non-trivial changes without stating your approach.</t>
  </si>
  <si>
    <t>Do not dismiss build errors, type errors, or test failures as "pre-existing" without verifying against the base branch (`git diff main --stat` or similar).</t>
  </si>
  <si>
    <t>- **Do not remove `AIDEV-NOTE`s** without explicit human instruction.</t>
  </si>
  <si>
    <t>- Do not change release/versioning flow without updating this file and impacted</t>
  </si>
  <si>
    <t>- Do not add large binary files without discussion</t>
  </si>
  <si>
    <t>- Do not change translation workflow files without coordination</t>
  </si>
  <si>
    <t>If you make code changes, do not complete without checking the relevant code builds and relevant tests still pass after the last edits you make.</t>
  </si>
  <si>
    <t>However, do not add `Rock.Something.CoolNewFeature` without getting that approved.</t>
  </si>
  <si>
    <t>If uncertain about whether something is going to be public or not, do not remove the attribute without confirmation.</t>
  </si>
  <si>
    <t>- Do not use braces for single-line constructs that lack a conditional follow-up, such as if, for, foreach, do, or while without a paired else, elseif, or do/while follow-up.</t>
  </si>
  <si>
    <t>- **Do not add weak tests that mostly create noise**, such as tests that only verify a command exists in help output, that a subcommand name is listed, or that implementation trivia appears in generated text without protecting meaningful behavior.</t>
  </si>
  <si>
    <t>- **Do NOT use for**: Analysis only without applying changes → Use `/learn-from-pr` skill instead</t>
  </si>
  <si>
    <t>Even if a color looks wrong or inconsistent, do not fix it unless a design task specifically asks for it</t>
  </si>
  <si>
    <t>Please do not try and place new terms in the edit file directly as they may end up in the wrong place.</t>
  </si>
  <si>
    <t>- Do not write tautological tests: tests must fail if behavior is wrong, not just if implementation changes.</t>
  </si>
  <si>
    <t>- During commit-time check failures, do not make architectural/refactor decisions to force a green commit; only apply trivial lint-only fixes, otherwise stop and ask for user instruction.</t>
  </si>
  <si>
    <t>not , Do **not**, DO NOT, STOP</t>
  </si>
  <si>
    <t>- Mark tasks completed IMMEDIATELY when finished (don't batch)</t>
  </si>
  <si>
    <t>Don't</t>
  </si>
  <si>
    <t>**Preserve working structure** - don't rewrite code that already works well</t>
  </si>
  <si>
    <t>allenai</t>
  </si>
  <si>
    <t>open-instruct</t>
  </si>
  <si>
    <t>https://github.com/allenai/open-instruct/blob/main/CLAUDE.md</t>
  </si>
  <si>
    <t>To verify that documentation changes don't alter the generated output:</t>
  </si>
  <si>
    <t>Don't pass empty strings or sentinel values downstream for the callee to deal with.</t>
  </si>
  <si>
    <t>Don't paginate naturally small result sets.</t>
  </si>
  <si>
    <t>- **Don't add tools just because they were there before.** Audit whether an external dependency is still needed.</t>
  </si>
  <si>
    <t>browser-use</t>
  </si>
  <si>
    <t>https://github.com/browser-use/browser-use/blob/main/CLAUDE.md</t>
  </si>
  <si>
    <t>Don't worry about formalities.</t>
  </si>
  <si>
    <t>Don't shy away from complexity, assume a deeply technical explanation is wanted for all questions.</t>
  </si>
  <si>
    <t>- **Use real model names** - don't replace `gpt-4o` with `gpt-4` (they are distinct models)</t>
  </si>
  <si>
    <t>Don't commit: todos, research, scratch files.</t>
  </si>
  <si>
    <t>Extend, don't duplicate.</t>
  </si>
  <si>
    <t>Don't repeat commit messages — they're visible in the commit list and</t>
  </si>
  <si>
    <t>You don't over-engineer a solution when a simple one is possible.</t>
  </si>
  <si>
    <t>- Your partner asked a question (answer the question, don't jump to implementation)</t>
  </si>
  <si>
    <t>| **Development** | `./scripts/develop.sh`   | ⚠️ Don't use manual build           |</t>
  </si>
  <si>
    <t>Don't use `git push --force` unless explicitly requested.</t>
  </si>
  <si>
    <t>When fixing a bug or adding a feature, don't modify code unrelated to your</t>
  </si>
  <si>
    <t>**Don't reword existing comments or code** unless the change is directly</t>
  </si>
  <si>
    <t>**Don't delete existing comments** that explain non-obvious behavior.</t>
  </si>
  <si>
    <t>Edit existing tests as needed, but don't change what they verify.</t>
  </si>
  <si>
    <t>Don't add interface-level JSDoc that just restates the interface name.</t>
  </si>
  <si>
    <t>Both are fast and act as a safety net — don't bypass with `--no-verify` unless you have a specific reason.</t>
  </si>
  <si>
    <t>Don't stack them and don't sprinkle them through technical writeups.</t>
  </si>
  <si>
    <t>I don't think this should be a method. "I'm hesitant to add this." Don't hide behind passive voice or "we could perhaps consider".</t>
  </si>
  <si>
    <t>- Don't lift informal or coarse phrasing from external sources (blog posts, issues, comments) into the maintainer voice, even in quotes.</t>
  </si>
  <si>
    <t>Don't thank them for "letting" the maintainer rewrite their work.</t>
  </si>
  <si>
    <t>Don't rely on `git push -u origin &lt;branch&gt;` alone — its behavior depends on the upstream config, which `worktree add -b ...</t>
  </si>
  <si>
    <t>- Don't run multiple find commands for the same data</t>
  </si>
  <si>
    <t>Don't repeat during task execution.</t>
  </si>
  <si>
    <t>Don't call multiple MCPs unnecessarily - be strategic</t>
  </si>
  <si>
    <t>- Don't add comments above code that's clearly self-documenting.</t>
  </si>
  <si>
    <t>For example, don't put comments like this:</t>
  </si>
  <si>
    <t>- Don't use bullet items with `**Heading** - description`, unless it's _absolutely required for emphasis_</t>
  </si>
  <si>
    <t>Existing CLI commands, library configuration, and infrastructure patterns are already documented -- don't reinvent or guess at behavior that's written down.</t>
  </si>
  <si>
    <t>- Don't add comments above self-documenting code</t>
  </si>
  <si>
    <t>- Code will likely change - don't over-engineer</t>
  </si>
  <si>
    <t>- Don't extract single-use code into separate functions - keep logic inline where it's used</t>
  </si>
  <si>
    <t>Don't leave code "for later"</t>
  </si>
  <si>
    <t>`ListDrawer` inside a `Dropdown` inside a modal-as-drawer) don't accidentally close the parent modal via `useOutsideClick`.</t>
  </si>
  <si>
    <t>Don't worry about backwards compatibility for API changes like function renames, argument changes, or import path updates.</t>
  </si>
  <si>
    <t>Chart.js setting canvas inline styles) are a known cost; don't add to them on our side.</t>
  </si>
  <si>
    <t>Don't do `...` or other shorthand show complete code</t>
  </si>
  <si>
    <t>- For error/inline snapshots consider using error messages or patterns that don't include absolute paths</t>
  </si>
  <si>
    <t>There may be modifications in files like this CLAUDE.md, this is expected, don't commit them.</t>
  </si>
  <si>
    <t>- Don't include in-the-weed technical details here, these can go in the PR details</t>
  </si>
  <si>
    <t>- Don't use `querySelector` - Use refs or component properties</t>
  </si>
  <si>
    <t>- Don't manipulate DOM directly - Let Lit handle rendering</t>
  </si>
  <si>
    <t>- Don't use global styles - Scope styles to components</t>
  </si>
  <si>
    <t>- Don't block the main thread - Use web workers for heavy computation</t>
  </si>
  <si>
    <t>ithacaxyz</t>
  </si>
  <si>
    <t>account</t>
  </si>
  <si>
    <t>https://github.com/ithacaxyz/account/blob/main/CLAUDE.md</t>
  </si>
  <si>
    <t>- **Don't write redundant tests**: If something is already sufficiently tested, don't duplicate</t>
  </si>
  <si>
    <t>- **Optional dependencies**: Don't make Esperanto depend on all provider SDKs - handle ImportError</t>
  </si>
  <si>
    <t>- **Method signatures**: Must match base class exactly (don't add required params)</t>
  </si>
  <si>
    <t>- **Return types**: Must use common types (don't return provider-specific objects)</t>
  </si>
  <si>
    <t>liam-hq</t>
  </si>
  <si>
    <t>liam</t>
  </si>
  <si>
    <t>https://github.com/liam-hq/liam/blob/main/CLAUDE.md</t>
  </si>
  <si>
    <t>- Don't code directly in `page.tsx` - create separate page components</t>
  </si>
  <si>
    <t>- **DRY Principle**: Don't Repeat Yourself - extract common logic</t>
  </si>
  <si>
    <t>- **Always fill in the PR template** - don't leave it empty</t>
  </si>
  <si>
    <t>- DON'T USE for: basic generator syntax (`nx g @nx/react:app`), standard commands, things you already know</t>
  </si>
  <si>
    <t>- The `nx-generate` skill handles generator discovery internally - don't call nx_docs just to look up generator syntax</t>
  </si>
  <si>
    <t>- Don't ever test private methods directly.</t>
  </si>
  <si>
    <t>- Don't ever commit and push changes unless directly told to do so</t>
  </si>
  <si>
    <t>- **One definition, one location** — don't define the same constant in multiple classes</t>
  </si>
  <si>
    <t>- **Use `it()` consistently in tests** — don't mix `test()` and `it()`</t>
  </si>
  <si>
    <t>- Don't use `{ force: true }` — fix the locator instead</t>
  </si>
  <si>
    <t>- **Ask the user** if unsure - don't guess</t>
  </si>
  <si>
    <t>pannous</t>
  </si>
  <si>
    <t>wasp</t>
  </si>
  <si>
    <t>https://github.com/pannous/wasp/blob/main/CLAUDE.md</t>
  </si>
  <si>
    <t>- don't create random ./docs/ or .md files unless explicitly instructed</t>
  </si>
  <si>
    <t>**Don't:**</t>
  </si>
  <si>
    <t>- When you need the enum value as a string, don't use `str(enum_var)` or `enum_var.value`, just use `enum_var` itself, that is the point of using StrEnum!</t>
  </si>
  <si>
    <t>- Don't write things like `a = b if b else c`, write `a = b or c` instead.</t>
  </si>
  <si>
    <t>- Keep it simple - don't write more than needed</t>
  </si>
  <si>
    <t>PrefectHQ</t>
  </si>
  <si>
    <t>marvin</t>
  </si>
  <si>
    <t>https://github.com/PrefectHQ/marvin/blob/main/CLAUDE.md</t>
  </si>
  <si>
    <t>- Don't obsess over upstream linter errors, use as clues when relevant</t>
  </si>
  <si>
    <t>Keep in mind YAGNI; don't build anything you don't need.</t>
  </si>
  <si>
    <t>- Don't add echo/success/info messages for every operation</t>
  </si>
  <si>
    <t>- Don't clutter the terminal with "Successfully did X!" messages</t>
  </si>
  <si>
    <t>safety-research</t>
  </si>
  <si>
    <t>safety-tooling</t>
  </si>
  <si>
    <t>https://github.com/safety-research/safety-tooling/blob/main/CLAUDE.md</t>
  </si>
  <si>
    <t>**DON'T:**</t>
  </si>
  <si>
    <t>- Don't mix batch and regular inference patterns</t>
  </si>
  <si>
    <t>- The Prompt class handles conversion - don't bypass it</t>
  </si>
  <si>
    <t>- Don't assume Redis is available</t>
  </si>
  <si>
    <t>- When creating a PR, describe what you did, but don't include the "test plan" section.</t>
  </si>
  <si>
    <t>don't run: `yarn strict-null-checks`</t>
  </si>
  <si>
    <t>- **Wait for `ix-admin-layout`**: Don't take snapshots until the main admin layout (ix-admin-layout) appears.</t>
  </si>
  <si>
    <t>- Don't add `@since` to javadocs</t>
  </si>
  <si>
    <t>- Generic ECDSA/BFT concerns that don't apply to XLN's specific flow</t>
  </si>
  <si>
    <t>- Don't use getattr/hasattr for capability checks when static typing can express the contract</t>
  </si>
  <si>
    <t>- Don't start with "The" or end with periods</t>
  </si>
  <si>
    <t>- API stability is important - don't break public interfaces</t>
  </si>
  <si>
    <t>- **Parameters**: Cornucopia auto-detects parameters from `:param_name` syntax - don't declare them manually</t>
  </si>
  <si>
    <t>- **`organizeImports: on`** — imports are sorted/grouped automatically; don't leave unused imports or hand-sort against the grain.</t>
  </si>
  <si>
    <t>For example, don't use em dashes or arrows.</t>
  </si>
  <si>
    <t>- When in doubt, write a benchmark and profile the code (don't trust your intuition)</t>
  </si>
  <si>
    <t>Keep information at the right level — don't duplicate</t>
  </si>
  <si>
    <t>- When debugging test failures, DON'T simplify NOR change the intent of the tests just to get them to pass.</t>
  </si>
  <si>
    <t>Don't reference for code style and not</t>
  </si>
  <si>
    <t>Kiln-AI</t>
  </si>
  <si>
    <t>Kiln</t>
  </si>
  <si>
    <t>https://github.com/Kiln-AI/Kiln/blob/main/AGENTS.md</t>
  </si>
  <si>
    <t>- Don't include comments in code explaining changes, explain changes in chat instead.</t>
  </si>
  <si>
    <t>- Composition over inheritance: embed sub-configs, don't subclass.</t>
  </si>
  <si>
    <t>https://github.com/owid/etl/blob/master/AGENTS.md</t>
  </si>
  <si>
    <t>- Don't add extra defensive checks or try/catch blocks that are abnormal for that area of the codebase (especially if called by trusted / validated codepaths).</t>
  </si>
  <si>
    <t>- Don't add extra comments that a human wouldn't add or that are inconsistent with the rest of the file.</t>
  </si>
  <si>
    <t>- Don't use defensive checks in tests -- tests should fail fast if unexpected data exists.</t>
  </si>
  <si>
    <t>- In e2e tests, don't use CSS class selectors (e.g.</t>
  </si>
  <si>
    <t>- Don't add comments that narrate what the code already says (e.g., `// Click the button` before a `.click()` call).</t>
  </si>
  <si>
    <t>Don't create new courses or course instances just to get a clean slate; instead, use transaction rollbacks or wipe the state between tests.</t>
  </si>
  <si>
    <t>- Don't use `useMemo` for cheap computations.</t>
  </si>
  <si>
    <t>- Don't use `useEffect` to sync internal state to a parent via a callback on every change — instead, let the child own its state and notify the parent imperatively when a user action requires it (e.g., clicking "Save").</t>
  </si>
  <si>
    <t>- **Link Style**: To ensure links don't break when files are moved:</t>
  </si>
  <si>
    <t>Don't commit unless the user explicitly asks you to.</t>
  </si>
  <si>
    <t>When writing a commit message, don't make a bullet list of the individual</t>
  </si>
  <si>
    <t>- **Don't amend unless asked.** If the user asks you to work on a ghstack</t>
  </si>
  <si>
    <t>class definition that has all of the members: don't dynamically `setattr`</t>
  </si>
  <si>
    <t>- Don't export internal helpers purely for test coverage.</t>
  </si>
  <si>
    <t>You don't need to do this.</t>
  </si>
  <si>
    <t>Don't delay the action with a pre-transition (e.g.</t>
  </si>
  <si>
    <t>- Don't use Date.now() for measuring elapsed (real) time, instead use `performance.now()`</t>
  </si>
  <si>
    <t>theosanderson</t>
  </si>
  <si>
    <t>taxonium</t>
  </si>
  <si>
    <t>https://github.com/theosanderson/taxonium/blob/master/AGENTS.md</t>
  </si>
  <si>
    <t>Don't worry about precommit stuff</t>
  </si>
  <si>
    <t>-   Keep in mind the DRY _(don't repeat yourself)_ principle.</t>
  </si>
  <si>
    <t>Always test thoroughly and ensure changes don't break existing functionality.</t>
  </si>
  <si>
    <t>Apply deep reasoning similar to advanced models (e.g., Claude Opus) - don't just pattern match, but truly understand the code's intent, dependencies, and potential failure modes.</t>
  </si>
  <si>
    <t>- Don't return or terminal AI during monitoring, please monitor the 4 integration status every 30 seconds until they finish</t>
  </si>
  <si>
    <t>azure-mcp</t>
  </si>
  <si>
    <t>https://github.com/Azure/azure-mcp/blob/main/.github/copilot-instructions.md</t>
  </si>
  <si>
    <t>- Don't run local builds to check pipeline YAML files (e.g., files in `eng/pipelines/` with `.yml` extension)</t>
  </si>
  <si>
    <t>* Don't use any external dependencies that you don't need.</t>
  </si>
  <si>
    <t>dotnet-api-docs</t>
  </si>
  <si>
    <t>https://github.com/dotnet/dotnet-api-docs/blob/main/.github/copilot-instructions.md</t>
  </si>
  <si>
    <t>Don't edit those XML files directly.</t>
  </si>
  <si>
    <t>- Don't edit the `&lt;TypeSignature&gt;`, `&lt;MemberSignature&gt;`, `&lt;AssemblyInfo&gt;`, `&lt;TypeForwardingChain&gt;`, or `&lt;FrameworkAlternate&gt;` elements (or their attributes/values) — they are auto-generated.</t>
  </si>
  <si>
    <t>Don't escape backticks or asterisks in xref DocIDs.</t>
  </si>
  <si>
    <t>- Don't use the word "may".</t>
  </si>
  <si>
    <t>fsharp</t>
  </si>
  <si>
    <t>https://github.com/dotnet/fsharp/blob/main/.github/copilot-instructions.md</t>
  </si>
  <si>
    <t>DON'T say "pre-existing", "infra issue", "unrelated".</t>
  </si>
  <si>
    <t>macios</t>
  </si>
  <si>
    <t>https://github.com/dotnet/macios/blob/main/.github/copilot-instructions.md</t>
  </si>
  <si>
    <t>- Don't report potential C# compilation errors (the compiler will report those).</t>
  </si>
  <si>
    <t>* Don't *ever* use `!` to handle `null`!</t>
  </si>
  <si>
    <t>If you see a `string.IsNullOrEmpty()` check, don't change it.</t>
  </si>
  <si>
    <t>DumbWareio</t>
  </si>
  <si>
    <t>DumbAssets</t>
  </si>
  <si>
    <t>https://github.com/DumbWareio/DumbAssets/blob/main/.github/copilot-instructions.md</t>
  </si>
  <si>
    <t>- Don't over-engineer for the sake of engineering</t>
  </si>
  <si>
    <t>- Don't remove or edit unrelated tests</t>
  </si>
  <si>
    <t>- Use `Array.prototype.reduce()` for accumulating results when necessary, but don't use this to create objects; use `Object.fromEntries()` instead</t>
  </si>
  <si>
    <t>**Maintain backward compatibility** - Don't make breaking changes to core types</t>
  </si>
  <si>
    <t>- Don't block the browser UI thread</t>
  </si>
  <si>
    <t>- Don't collect sensitive user data</t>
  </si>
  <si>
    <t>- Don't throw exceptions from basic operations</t>
  </si>
  <si>
    <t>* Don't modify existing migrations after they've been deployed.</t>
  </si>
  <si>
    <t>- **DON'T:** Use `Optional` from `typing` (e.g., `Optional[str]`).</t>
  </si>
  <si>
    <t>- **DON'T:** Use capitalized types from `typing` (e.g., `List[int]`, `Dict[str, float]`).</t>
  </si>
  <si>
    <t>Don't use emoji in code comments or commit messages.</t>
  </si>
  <si>
    <t>- [ ] .prettierrc follows Raycast standards (don't suggest changes)</t>
  </si>
  <si>
    <t>- Always review the entire output available in the terminal after running commands, don't just rely on the last exit code, check for warnings, errors and other issues mentioned in the output.</t>
  </si>
  <si>
    <t>- Create README but don't publish to skyscanner.design until stable</t>
  </si>
  <si>
    <t>Don't invent your own patterns.</t>
  </si>
  <si>
    <t>- Don't declare class variables on singletons.</t>
  </si>
  <si>
    <t>❌ **Over-Engineering**: Don't create complex class hierarchies, strategy patterns, or factories for simple tasks</t>
  </si>
  <si>
    <t>Don't, ❌</t>
  </si>
  <si>
    <t>❌ **CSS in JS**: Don't embed CSS template literals in TypeScript files</t>
  </si>
  <si>
    <t>❌ Don't use &lt;span&gt;&amp;times;&lt;/span&gt; for a "close box".</t>
  </si>
  <si>
    <t>| ❌ Don't write | ✅ Write instead | Lint |</t>
  </si>
  <si>
    <t>❌ **Don't comment when:**</t>
  </si>
  <si>
    <t>- "I want to swallow it just in case" → don't.</t>
  </si>
  <si>
    <t>Don't, allow</t>
  </si>
  <si>
    <t>- **Avoid utils package bloat** - Don't add new functions to `pkg/utils/`</t>
  </si>
  <si>
    <t>avoid, Don't</t>
  </si>
  <si>
    <t>- **Avoid duplicating section headers** - If a page has "How it works", don't add "See how it works"</t>
  </si>
  <si>
    <t>- **Avoid confusing naming** - Don't create multiple components with the same name in different locations (e.g., two `AboutMe` components)</t>
  </si>
  <si>
    <t>**Don't Block Async Tasks**: Use `spawn_blocking` for CPU-intensive work or work with lots of blocking I/O</t>
  </si>
  <si>
    <t>metacraft-labs</t>
  </si>
  <si>
    <t>codetracer</t>
  </si>
  <si>
    <t>https://github.com/metacraft-labs/codetracer/blob/main/AGENTS.md</t>
  </si>
  <si>
    <t>Don't disable the lint: try to fix the code instead first!</t>
  </si>
  <si>
    <t>- Don't ignore TypeScript errors - Fix all type issues</t>
  </si>
  <si>
    <t>- Handle errors explicitly, don't ignore them</t>
  </si>
  <si>
    <t>- Don't ignore browser compatibility</t>
  </si>
  <si>
    <t>For example, if you edit a function to call foo() instead of bar(), don't add a comment "// Used to call bar() here".</t>
  </si>
  <si>
    <t>instead of, Don't</t>
  </si>
  <si>
    <t>No emojis, don't be cringe.</t>
  </si>
  <si>
    <t>no , Don't</t>
  </si>
  <si>
    <t>temporalio</t>
  </si>
  <si>
    <t>ui</t>
  </si>
  <si>
    <t>https://github.com/temporalio/ui/blob/main/CLAUDE.md</t>
  </si>
  <si>
    <t>- **No comments**: Don't add code comments unless explicitly requested</t>
  </si>
  <si>
    <t>- Check imports before reading (no imports = delete, don't analyze)</t>
  </si>
  <si>
    <t>If you did not modify a file yourself, don't commit it.</t>
  </si>
  <si>
    <t>not , Don't</t>
  </si>
  <si>
    <t>- It can be stated as a direct rule ("Use X", "Don't do Y"), not a narrative about what happened.</t>
  </si>
  <si>
    <t>not , Do **not**, Don't</t>
  </si>
  <si>
    <t>|  ❌ Write changes or use tools when you are not sure about something project specific, or if you don't have context for a particular feature/decision.</t>
  </si>
  <si>
    <t>not , Don't, ❌</t>
  </si>
  <si>
    <t>* Trust the C# null annotations and don't add null checks when the type system says a value cannot be null.</t>
  </si>
  <si>
    <t>not , Don't, cannot</t>
  </si>
  <si>
    <t>- Trust the C# null annotations and don't add null checks when the type system says a value cannot be null.</t>
  </si>
  <si>
    <t>**Don't assert on cache key formats or internal metric JSON shapes** — test that caching works (2nd call doesn't requery) or that metrics fire, not exact internal formats</t>
  </si>
  <si>
    <t>**Don't test wiring without outcomes** — `expect(Service).to receive(:new).with(args)` only proves a method was called, not that it works; verify the returned data or state change instead</t>
  </si>
  <si>
    <t>**Prefer Cast for one-offs**: Don't write scripts for operations Cast can handle</t>
  </si>
  <si>
    <t>- **Remove unused exports** - If a function/constant is only used internally, don't export it</t>
  </si>
  <si>
    <t>- Don't make trivial (1-2 LOC) helper functions that are only used once unless</t>
  </si>
  <si>
    <t>glu-lang</t>
  </si>
  <si>
    <t>glu</t>
  </si>
  <si>
    <t>https://github.com/glu-lang/glu/blob/main/.github/copilot-instructions.md</t>
  </si>
  <si>
    <t>- Don't define classes that are only used in one implementation file in header files, keep them in the `.cpp` file.</t>
  </si>
  <si>
    <t>* Don't have lots of logic in your tests, prefer to test the output of a function rather than the implementation.</t>
  </si>
  <si>
    <t>Don't, rather than</t>
  </si>
  <si>
    <t>- **Surgical changes** — touch only what the task requires; match existing style; don't refactor working code; mention unrelated dead code rather than deleting it.</t>
  </si>
  <si>
    <t>- Don't make core types more restrictive without checking all usage patterns</t>
  </si>
  <si>
    <t>- Don't skip tests due to type issues - fix the types instead</t>
  </si>
  <si>
    <t>**Implement all abstract methods**: Don't skip required methods</t>
  </si>
  <si>
    <t>- Follow my instructions exactly and please don't skip modular or azure integrations and wait all 4 integrations</t>
  </si>
  <si>
    <t>- **Graceful Degradation**: Invalid tags in user dictionaries log warnings but don't stop processing</t>
  </si>
  <si>
    <t>Don't, STOP</t>
  </si>
  <si>
    <t>- Don't add assertion messages unless they provide information that isn't obvious from reading the assertion itself (e.g., `assert.isNull(linkRecord)` is clear without a message).</t>
  </si>
  <si>
    <t>Don't add it without user approval.</t>
  </si>
  <si>
    <t>As a general rule, don't add a new namespace without approval from the DSD or PO.</t>
  </si>
  <si>
    <t>- Don't suppress errors without good reason</t>
  </si>
  <si>
    <t>Don't abandon an approach because it's repetitive - abandon it only if it's technically wrong.</t>
  </si>
  <si>
    <t>**FORBIDDEN:** `--no-fingerprint` (use `bash test --clean`), bare `pio`/`platformio`, bare `meson`/`ninja`/`clang++`</t>
  </si>
  <si>
    <t>forbid</t>
  </si>
  <si>
    <t>- `@onekeyhq/shared` - **FORBIDDEN** to import from any other OneKey packages</t>
  </si>
  <si>
    <t>Explicitly forbidden in any response:</t>
  </si>
  <si>
    <t>This remains forbidden unless the user clearly changes this rule in a future session.</t>
  </si>
  <si>
    <t>- ✗ Ignore existing architectural patterns</t>
  </si>
  <si>
    <t>- Use Bootstrap classes instead of inline styles for show/hide behavior</t>
  </si>
  <si>
    <t>- Use compact success indicators (badges) instead of large alerts for HTMX updates</t>
  </si>
  <si>
    <t>The CI will verify the experiment passed instead of re-running the tests.</t>
  </si>
  <si>
    <t>- Use `from package import module` instead of `import package.module`.</t>
  </si>
  <si>
    <t>Always use `pnpm` commands instead of `npm` or `yarn`.</t>
  </si>
  <si>
    <t>`nx run`, `nx run-many`, `nx affected`) instead of using the underlying tooling directly</t>
  </si>
  <si>
    <t>Always use this instead of assuming things about nx configuration</t>
  </si>
  <si>
    <t>- CSS supports native nesting - use nested selectors instead of flat/inline selectors</t>
  </si>
  <si>
    <t>For example, use `withBackground` as a boolean prop instead of passing `'withBackground'` via className — this makes components work properly with Storybook controls</t>
  </si>
  <si>
    <t>Reference design tokens instead of hardcoded values</t>
  </si>
  <si>
    <t>berachain</t>
  </si>
  <si>
    <t>beacon-kit</t>
  </si>
  <si>
    <t>https://github.com/berachain/beacon-kit/blob/main/CLAUDE.md</t>
  </si>
  <si>
    <t>BeaconKit is a modular consensus client implementation that uses a modified CometBFT (Tendermint) for consensus instead of the standard Ethereum beacon chain consensus.</t>
  </si>
  <si>
    <t>Use Prisma model methods instead of `execute_raw` / `query_raw`.</t>
  </si>
  <si>
    <t>use `str | None` instead of `Optional[str]`, and `list[str]` instead of `List[str]`, `dict[str, Any]` instead of `Dict[str, Any]`</t>
  </si>
  <si>
    <t>Use `Annotated[..., AfterValidator(...)]` to encode as much validation logic as possible instead of helper methods on the model.</t>
  </si>
  <si>
    <t>Use `loop = asyncio.get_event_loop()` inside tests that need it instead of passing `event_loop` as a function argument.</t>
  </si>
  <si>
    <t>- **Always use `uv` instead of `pip`** for dependency management</t>
  </si>
  <si>
    <t>- **Desktop Icons**: Use `unplugin-icons` auto-import instead of manual imports</t>
  </si>
  <si>
    <t>- When a mutation or query needs the RPC transport, resolve it through `useRpcClient()` and invoke the strongly-typed procedures exposed by `packages/web-domain` instead of reaching into fetch directly.</t>
  </si>
  <si>
    <t>**Why this matters:** Searching outside the worktree will find stale code from the main branch instead of the current branch's code.</t>
  </si>
  <si>
    <t>**Use agents instead of inline work** for their areas of expertise.</t>
  </si>
  <si>
    <t>Use functional options pattern for configuration instead of functions with many parameters.</t>
  </si>
  <si>
    <t>- Use definition lists `&lt;dl&gt;` instead of tables for arguments and flags</t>
  </si>
  <si>
    <t>Use `filepath.Join()` instead of hardcoded path separators.</t>
  </si>
  <si>
    <t>- Extract explicit db-to-SDK conversion helpers instead of inlining large</t>
  </si>
  <si>
    <t>- ALWAYS use the `gh` CLI to fetch GitHub information (issues, PRs, etc.) instead of relying on web search or assumptions</t>
  </si>
  <si>
    <t>- Use modern Python 3.9+ typing syntax: `list[str]`, `dict[str, Any]`, `str | None` instead of `Optional[str]`</t>
  </si>
  <si>
    <t>- Union types: use `X | Y` syntax instead of `Union[X, Y]`</t>
  </si>
  <si>
    <t>- Use early returns instead of if-else blocks for cleaner, flatter code</t>
  </si>
  <si>
    <t>**IMPORTANT**: When changing SEO, gating, or noindex logic, preserve existing `undefined`/nullable behavior unless the requirement explicitly changes it, and verify field names against the typed GraphQL model instead of ticket prose.</t>
  </si>
  <si>
    <t>- **Extend existing components** - Add content to the relevant existing component instead of creating parallel components</t>
  </si>
  <si>
    <t>https://github.com/ESPresense/ESPresense-companion/blob/main/CLAUDE.md</t>
  </si>
  <si>
    <t>- **Custom Events**: Use function props instead of events (e.g., `onselected`, `onhovered`, `onclose`)</t>
  </si>
  <si>
    <t>- Prefer inline imports in JSDoc comments where the type is used instead of global imports at the top of the file</t>
  </si>
  <si>
    <t>Note `bun test` will run bun instead of [vitest](https://vitest.dev) resulting in errors</t>
  </si>
  <si>
    <t>Pass a file path to save the graph data instead of viewing it</t>
  </si>
  <si>
    <t>FluidGroup</t>
  </si>
  <si>
    <t>Brightroom</t>
  </si>
  <si>
    <t>https://github.com/FluidGroup/Brightroom/blob/main/CLAUDE.md</t>
  </si>
  <si>
    <t>- Performance-critical operations use Metal instead of Core Image</t>
  </si>
  <si>
    <t>For CRUD actions (create, update, destroy), respond with Turbo Streams instead of redirects or JSON:</t>
  </si>
  <si>
    <t>- Use `user.scoped_*` methods instead of `user.points`/`user.tracks` etc.</t>
  </si>
  <si>
    <t>gitpod-io</t>
  </si>
  <si>
    <t>gitpod</t>
  </si>
  <si>
    <t>https://github.com/gitpod-io/gitpod/blob/main/CLAUDE.md</t>
  </si>
  <si>
    <t>Use tables and summaries instead of exhaustive lists</t>
  </si>
  <si>
    <t>gojiplus</t>
  </si>
  <si>
    <t>tuber</t>
  </si>
  <si>
    <t>https://github.com/gojiplus/tuber/blob/master/CLAUDE.md</t>
  </si>
  <si>
    <t>- Use efficient list indexing: `list[[length(list) + 1]] &lt;- new_item` instead of `c(list, new_item)`</t>
  </si>
  <si>
    <t>To build a Grafbase extension, use the `grafbase` CLI instead of `cargo`.</t>
  </si>
  <si>
    <t>- **Replace Latin terms**: Use "like" instead of "e.g.", "for example" instead of "i.e."</t>
  </si>
  <si>
    <t>- **Terminology consistency**: Use "Join"/"Apply" instead of "Group" when appropriate</t>
  </si>
  <si>
    <t>Always use custom errors with the revert pattern instead of require statements:</t>
  </si>
  <si>
    <t>- Create standalone test files instead of using test infrastructure.</t>
  </si>
  <si>
    <t>- Prefer extending the DCB abstractions instead of introducing ad-hoc shortcuts.</t>
  </si>
  <si>
    <t>Use direct, descriptive headers like "Implementation Strategy" instead of "The Evolution from Chunks to Context" or "Why Agents Need Different Information Architecture" instead of "The Persistence Advantage: Why Agents Change Everything"</t>
  </si>
  <si>
    <t>kern</t>
  </si>
  <si>
    <t>filepizza</t>
  </si>
  <si>
    <t>https://github.com/kern/filepizza/blob/main/CLAUDE.md</t>
  </si>
  <si>
    <t>Always use `pnpm` instead of `npm` or `yarn`:</t>
  </si>
  <si>
    <t>This module uses AI-powered validation instead of traditional automated tests.</t>
  </si>
  <si>
    <t>This module uses AI-powered validation through specialized Claude Code subagents instead of traditional automated tests.</t>
  </si>
  <si>
    <t>- Use consts instead of functions: `const toggle = () =&gt; {}`</t>
  </si>
  <si>
    <t>- cite file paths, line numbers, command names, schema fields, or error classes instead of copying sensitive values;</t>
  </si>
  <si>
    <t>When SOW evidence comes from local mirrored open-source repositories under `/opt/baddisk/monitoring/repos/`, cite the upstream repository and checked commit instead of the workstation absolute path.</t>
  </si>
  <si>
    <t>**Tip**: Instead of running `gh issue view` multiple times, use `gh issue list` with JSON output and filtering to gather</t>
  </si>
  <si>
    <t>numbagg</t>
  </si>
  <si>
    <t>https://github.com/numbagg/numbagg/blob/main/CLAUDE.md</t>
  </si>
  <si>
    <t>- `uv run pytest` instead of `python -m pytest`</t>
  </si>
  <si>
    <t>- `uv run mypy` instead of `mypy`</t>
  </si>
  <si>
    <t>- `uv run pre-commit run --all-files` instead of `pre-commit run --all-files`</t>
  </si>
  <si>
    <t>- Use pattern matching: `if (obj instanceof String s)` instead of cast</t>
  </si>
  <si>
    <t>- Use `switch` expressions instead of `if/else if` chains on enums or types</t>
  </si>
  <si>
    <t>- Use pytest fixtures for test setup instead of `setUp`/`tearDown` methods</t>
  </si>
  <si>
    <t>- Use `assert x == y` instead of `self.assertEqual(x, y)`</t>
  </si>
  <si>
    <t>- Use `assert x is None` instead of `self.assertIsNone(x)`</t>
  </si>
  <si>
    <t>- Use `assert "text" in string` instead of `self.assertIn("text", string)`</t>
  </si>
  <si>
    <t>- **Use `model_str()` for Pydantic RootModel to string conversion** — OpenMetadata schema types like `ColumnName`, `EntityName`, `FullyQualifiedEntityName`, and `UUID` are Pydantic `RootModel[str]` subclasses where `str()` returns `"root='value'"` instead of the raw value.</t>
  </si>
  <si>
    <t>Always use `model_str()` from `metadata.ingestion.ometa.utils` instead of manual `hasattr(x, "root")` / `str(x.root)` checks.</t>
  </si>
  <si>
    <t>Use `rg` (ripgrep) instead of `find -exec grep` - it's ~100x faster:</t>
  </si>
  <si>
    <t>- We use double quotes for string literals instead of single quotes</t>
  </si>
  <si>
    <t>- Use `0` instead of `nullptr`</t>
  </si>
  <si>
    <t>**File Operations**: Use `reth_fs_util` instead of `std::fs` for better error handling</t>
  </si>
  <si>
    <t>On Windows, the path is `.venv\Scripts\` instead of `.venv/bin/`.</t>
  </si>
  <si>
    <t>- Use `X | Y` instead of `Union[X, Y]`</t>
  </si>
  <si>
    <t>- Use builtins like `list`, `dict` instead of `typing.List`, `typing.Dict`</t>
  </si>
  <si>
    <t>- Use `T | None` instead of `Optional`</t>
  </si>
  <si>
    <t>proximafusion</t>
  </si>
  <si>
    <t>vmecpp</t>
  </si>
  <si>
    <t>https://github.com/proximafusion/vmecpp/blob/main/CLAUDE.md</t>
  </si>
  <si>
    <t>- Use `std::array&lt;&gt;` instead of C-style arrays</t>
  </si>
  <si>
    <t>- Use `anyhow::Result` for return values instead of the built-in `Result`</t>
  </si>
  <si>
    <t>- Add use directives for `anyhow` to import it instead of qualifying it</t>
  </si>
  <si>
    <t>- Use `[ "$var" = "" ]` instead of `[[ ]]` for string comparisons</t>
  </si>
  <si>
    <t>- Use `printf '%s\n' "$var"` instead of `echo "$var"`</t>
  </si>
  <si>
    <t>- **Always use `--plain` flag** when listing or viewing tasks for AI-friendly text output instead of using Backlog.md</t>
  </si>
  <si>
    <t>Functions return `Result&lt;T, E&gt;` instead of throwing exceptions:</t>
  </si>
  <si>
    <t>- When building GraphQL query variables, use enum values instead of plain strings.</t>
  </si>
  <si>
    <t>For example: `{"field": TransactionSortField.CREATED_AT.name}` instead of `{"field": "CREATED_AT"}`</t>
  </si>
  <si>
    <t>- When comparing JSON payloads in tests, use `json.loads()` to compare dicts instead of comparing serialized strings with `json.dumps()`.</t>
  </si>
  <si>
    <t>When triggering plugin manager methods to dispatch webhook events, always use `call_event` from `saleor.core.utils.events` instead of calling the manager method directly.</t>
  </si>
  <si>
    <t>- Use `list[str]` instead of `List[str]`.</t>
  </si>
  <si>
    <t>- Use `dict[str, int]` instead of `Dict[str, int]`.</t>
  </si>
  <si>
    <t>- Use `tuple[int, ...]` instead of `Tuple[int, ...]`.</t>
  </si>
  <si>
    <t>- Use `set[str]` instead of `Set[str]`.</t>
  </si>
  <si>
    <t>- Use `logger.exception` for logging exceptions with stack traces instead of `logger.error(f"Error occured: {e}")`</t>
  </si>
  <si>
    <t>- Use `logger.xxx()` for logging instead of `print()`</t>
  </si>
  <si>
    <t>- Use f-strings for string formatting instead of `str.format()` or concatenation.</t>
  </si>
  <si>
    <t>does something instead of WHAT it does.</t>
  </si>
  <si>
    <t>- For schema changes: Use `pnpm run setup` instead of writing migrations which will generate .sql files</t>
  </si>
  <si>
    <t>Use per-request checks (e.g., dynamic middleware) instead of startup-time branching.</t>
  </si>
  <si>
    <t>**Use ast-grep instead of grep/sed for code operations** - it's more reliable and syntax-aware.</t>
  </si>
  <si>
    <t>Always use it instead of ad-hoc test scripts.</t>
  </si>
  <si>
    <t>- **Own components**: Use ix-icon instead of mat-icon, use ix-form related components like ix-input instead of standard Angular Material components.</t>
  </si>
  <si>
    <t>@if, @for) instead of ngIf, ngFor.</t>
  </si>
  <si>
    <t>Use the `inject()` function instead of constructor parameters for dependency injection:</t>
  </si>
  <si>
    <t>**Host Metadata**: Use `host: { '(click)': 'onClick()', '[class]': 'cssClass' }` instead of `@HostListener` and `@HostBinding` decorators.</t>
  </si>
  <si>
    <t>**Dynamic Components**: Use `inputBinding('prop', () =&gt; value)` with `createComponent` instead of `componentRef.setInput()`.</t>
  </si>
  <si>
    <t>Use existing helpers from `twenty-shared` instead of manual type guards:</t>
  </si>
  <si>
    <t>- Testing a dependency instead of the actual package being built</t>
  </si>
  <si>
    <t>- Omit `new` for object instantiation (e.g., `StringBuilder()` instead of `new StringBuilder()`)</t>
  </si>
  <si>
    <t>* When creating new crates, prefer specifying the library root path in `Cargo.toml` using `[lib] path = "...rs"` instead of the default `lib.rs`, to maintain consistent and descriptive naming (e.g., `gpui.rs` or `main.rs`).</t>
  </si>
  <si>
    <t>UI components that are constructed just to be turned into elements can instead implement the `RenderOnce` trait, which is similar to `Render`, but its `render` method takes ownership of `self` and receives `&amp;mut App` instead of `&amp;mut Context&lt;Self&gt;`.</t>
  </si>
  <si>
    <t>- Use `./script/clippy` instead of `cargo clippy`</t>
  </si>
  <si>
    <t>- Subclasses can simply call `self.something()` instead of finding and importing from a util file</t>
  </si>
  <si>
    <t>- Next.js API routes in `apps/web/app/api/*` are built with `@effect/platform`'s `HttpApi` builder; copy the existing class/group/endpoint pattern instead of ad-hoc handlers.</t>
  </si>
  <si>
    <t>- Use real artists, albums, and track titles in tests instead of generic placeholders (when possible).</t>
  </si>
  <si>
    <t>`text-muted-foreground`) instead of hardcoded colors like `text-red-600`,</t>
  </si>
  <si>
    <t>sentry-mcp</t>
  </si>
  <si>
    <t>https://github.com/getsentry/sentry-mcp/blob/main/AGENTS.md</t>
  </si>
  <si>
    <t>When adding or modifying Sentry API endpoint usage, ALWAYS validate the endpoint behavior against the Sentry source code in `~/src/sentry` instead of assuming docs or client parameters are authoritative.</t>
  </si>
  <si>
    <t>| `@sequentialize()`                  | Queues calls to execute one at a time                | Different from `@gate()` — queues instead of deduplicating                 |</t>
  </si>
  <si>
    <t>- **Think first** — state assumptions; ask if unclear; present alternatives instead of picking silently.</t>
  </si>
  <si>
    <t>Use plain `snake_case` for all methods and attributes — pick a descriptive name instead of hiding it behind a prefix.</t>
  </si>
  <si>
    <t>Use the project's configured linter, if available, instead of manually re-formatting code.</t>
  </si>
  <si>
    <t>the canonical files under `.agents/` instead of editing generated tool</t>
  </si>
  <si>
    <t>- Use `bd ready` to find unblocked work and `bd prime` for agent-optimized context instead of manually reconstructing project state from `.beads`.</t>
  </si>
  <si>
    <t>- When updating generated or manual README surface text, rewrite the sentence instead of leaving trailing periods behind</t>
  </si>
  <si>
    <t>- Prefer the GitHub CLI (`gh`) for inspecting issues, PRs, comments, and repo metadata instead of scraping GitHub pages manually.</t>
  </si>
  <si>
    <t>- Prefer `yzx run ...` for project-scoped tool invocations instead of raw `nix develop -c ...` when running tools provided by the Yazelix environment.</t>
  </si>
  <si>
    <t>Record the decision and the new seam: When the work changes future planning, capture the outcome in Beads or maintainer notes so later refactors build on the clarified boundary instead of reopening the same ambiguity.</t>
  </si>
  <si>
    <t>Replace boolean flags with meaningful parameters (e.g., `num_workers: int` instead of `parallel: bool`).</t>
  </si>
  <si>
    <t>- Boolean dispatch instead of separate classes</t>
  </si>
  <si>
    <t>- Environment variables instead of explicit parameters</t>
  </si>
  <si>
    <t>Ask questions up front instead of guessing.</t>
  </si>
  <si>
    <t>- When importing library code, prefer top-level imports instead of using dynamic `import()` statements inside functions.</t>
  </si>
  <si>
    <t>- Define component props directly in the function signature (e.g., `function Foo({ a, b }: { a: string; b: number })`) instead of declaring a separate named interface.</t>
  </si>
  <si>
    <t>https://github.com/proximafusion/vmecpp/blob/main/AGENTS.md</t>
  </si>
  <si>
    <t>Use Node.js built-in modules instead of external command-line tools like `rg`, `grep`, `find`, etc.</t>
  </si>
  <si>
    <t>- **Use MCP for git operations** (commits, pushes, PRs) instead of CLI.</t>
  </si>
  <si>
    <t>- Imports: use `pathe` instead of `node:path` for cross‑platform paths.</t>
  </si>
  <si>
    <t>- When using `gh pr create`/`gh pr edit`, use `--body-file` instead of inline `--body` for multiline markdown.</t>
  </si>
  <si>
    <t>concise rationale instead of blindly applying it.</t>
  </si>
  <si>
    <t>- Prefer expressive matchers such as `toContain`, `toContainEqual`, or `containSubset` instead of manual array scans with `.some`.</t>
  </si>
  <si>
    <t>prefer `usePathname` instead of `await params`).</t>
  </si>
  <si>
    <t>Fail fast with an error instead of silently continuing.</t>
  </si>
  <si>
    <t>`foo == null` instead of `!foo`.</t>
  </si>
  <si>
    <t>- Use ES6 maps instead of records wherever you can.</t>
  </si>
  <si>
    <t>- **Asynchronous concurrency**: Prefer the abstractions provided by `rspack_parallel` instead of using raw `tokio` task orchestration directly</t>
  </si>
  <si>
    <t>-   When in doubt, prefer to add new things instead of changing existing ones.</t>
  </si>
  <si>
    <t>instead of CRUD-style UI.</t>
  </si>
  <si>
    <t>- Default to object-oriented patterns—extend existing service classes or create cohesive new ones instead of scattering helpers or global functions.</t>
  </si>
  <si>
    <t>* Use `nameof` instead of string literals when referring to member names.</t>
  </si>
  <si>
    <t>We have enhanced this library slightly in this file src/app/components/react-testing-library-with-providers.tsx, to handle context providers, so use that as an import instead of @testing-library/react directly</t>
  </si>
  <si>
    <t>- Instead of "app host", always say "AppHost"</t>
  </si>
  <si>
    <t>- Use "might" instead of "may" for possibility</t>
  </si>
  <si>
    <t>For example, "The method returns a value" instead of "The method will return a value."</t>
  </si>
  <si>
    <t>- Provides type-safe bindings using structs like `JniObjectReference` instead of raw `IntPtr`</t>
  </si>
  <si>
    <t>- **Note**: **ALWAYS use this skill** instead of manual `dotnet test` commands for integration tests</t>
  </si>
  <si>
    <t>- Use `nameof` instead of string literals when referring to member names.</t>
  </si>
  <si>
    <t>For System.Private.CoreLib changes, use `-rc checked` instead of `-rc release` for asserts.</t>
  </si>
  <si>
    <t>**Windows:** Use `build.cmd` instead of `build.sh`.</t>
  </si>
  <si>
    <t>- When creating new test projects in test/TestAssets/TestProjects, always use `$(CurrentTargetFramework)` for the `&lt;TargetFramework&gt;` property instead of hard-coding a specific version like `net8.0`.</t>
  </si>
  <si>
    <t>Epix-Incorporated</t>
  </si>
  <si>
    <t>Adonis</t>
  </si>
  <si>
    <t>https://github.com/Epix-Incorporated/Adonis/blob/master/.github/copilot-instructions.md</t>
  </si>
  <si>
    <t>Therefore make sure to optimise for Luau – generally, using task.wait() instead of wait(), and interpolated strings instead of concatenation.</t>
  </si>
  <si>
    <t>**Compile-time-known sizes:** Use `std::array` instead of `std::vector` when size is known at compile time.</t>
  </si>
  <si>
    <t>**Small datasets (1-16 elements):** Use `std::vector` or `std::array` with simple structs instead of `std::map`/`std::set`/`std::unordered_map`.</t>
  </si>
  <si>
    <t>Define variable types explicitly instead of using the `var` keyword when working with C# or .NET code.</t>
  </si>
  <si>
    <t>james-gould</t>
  </si>
  <si>
    <t>azure-keyvault-emulator</t>
  </si>
  <si>
    <t>https://github.com/james-gould/azure-keyvault-emulator/blob/master/.github/copilot-instructions.md</t>
  </si>
  <si>
    <t>- **Docker build issues**: Use pre-built image `jamesgoulddev/azure-keyvault-emulator:latest` instead of local building.</t>
  </si>
  <si>
    <t>- Use `var` instead of `let/const` in JavaScript files for ES5 compatibility (use `let/const` in TypeScript files)</t>
  </si>
  <si>
    <t>Support async operations using ts-async helpers instead of native async/await:</t>
  </si>
  <si>
    <t>- Use `createPromise`, `createSyncPromise`, `createIdlePromise` instead of declaring functions as `async`</t>
  </si>
  <si>
    <t>- Return type should use `IPromise` instead of `Promise` for IE support</t>
  </si>
  <si>
    <t>- **Use Framework Helpers**: Use `this.hookFetch()` instead of custom fetch mocking implementations</t>
  </si>
  <si>
    <t>- **IPromise Return**: Use `this.testCase()` and return `IPromise` for asynchronous operations instead of deprecated `testCaseAsync`</t>
  </si>
  <si>
    <t>- **Custom Implementations**: Implementing custom mocks/helpers instead of using framework-provided tools</t>
  </si>
  <si>
    <t>- **Deprecated Async**: Using deprecated `testCaseAsync` instead of `testCase` with `IPromise` return</t>
  </si>
  <si>
    <t>Olive</t>
  </si>
  <si>
    <t>https://github.com/microsoft/Olive/blob/main/.github/copilot-instructions.md</t>
  </si>
  <si>
    <t>- Use local model paths instead of HuggingFace model names</t>
  </si>
  <si>
    <t>**Prefer validation over baselines** - Use `verify.currentLineContentIs()` instead of `verify.baseline*()`</t>
  </si>
  <si>
    <t>- For **hotfix releases**, the PR targets the corresponding `release/*` branch (e.g., `release/v0.60`) instead of `main`</t>
  </si>
  <si>
    <t>* In C# files, use namespace *statements* instead of namespace *blocks* for all new files that define namespaces.</t>
  </si>
  <si>
    <t>- Use `input()` and `output()` functions instead of decorators</t>
  </si>
  <si>
    <t>- Prefer Reactive forms instead of Template-driven ones</t>
  </si>
  <si>
    <t>- Use native control flow (`@if`, `@for`, `@switch`) instead of `*ngIf`, `*ngFor`, `*ngSwitch`</t>
  </si>
  <si>
    <t>- Use the `inject()` function instead of constructor injection</t>
  </si>
  <si>
    <t>nkdAgility</t>
  </si>
  <si>
    <t>azure-devops-migration-tools</t>
  </si>
  <si>
    <t>https://github.com/nkdAgility/azure-devops-migration-tools/blob/main/.github/copilot-instructions.md</t>
  </si>
  <si>
    <t>**Copilot Agent Notes:** This script should be used instead of manually navigating to the ConsoleDataGenerator directory.</t>
  </si>
  <si>
    <t>- **Package Management:** `uv` (version ~= 0.8, as of 2025 August) (always use `uv run`, `uv sync`, `uv add`, `uv remove` to do stuff instead of `pip`)</t>
  </si>
  <si>
    <t>- Use `uv add`, `uv remove`, `uv run` instead of pip to manage dependencies.</t>
  </si>
  <si>
    <t>- **Always provide specific code suggestions** instead of general advice</t>
  </si>
  <si>
    <t>For example, instead of saying "consider adding a subtitle", provide the exact JSON property to add: `"subtitle": "ServiceName"`</t>
  </si>
  <si>
    <t>Instead of just mentioning the need for subtitles, provide the exact JSON code to add.</t>
  </si>
  <si>
    <t>https://github.com/saleor/apps/blob/main/.github/copilot-instructions.md</t>
  </si>
  <si>
    <t>Functions return `Result&lt;T, E&gt;` instead of throwing exceptions.</t>
  </si>
  <si>
    <t>- Use SwiftUI View protocol instead of Composable functions</t>
  </si>
  <si>
    <t>- Always use `RockDateTime` instead of `DateTime`.</t>
  </si>
  <si>
    <t>When building a method that takes options (parameters) that change the behavior of the method, a POCO should be used instead of individual parameters.</t>
  </si>
  <si>
    <t>If the user's latest request continues, rephrases, narrows, or extends an earlier request in the same conversation, treat it as part of the same ongoing task instead of a standalone instruction.</t>
  </si>
  <si>
    <t>instead of Node.js specific code.</t>
  </si>
  <si>
    <t>- Unit tests must be located next to the code they test, but with a `.test.ts` extension instead of `.ts`.</t>
  </si>
  <si>
    <t>- Example: Instead of repeating driver log level restoration code, create a `restoreDriverLogLevel()` method</t>
  </si>
  <si>
    <t>**ALWAYS use app.confirm with inputs instead of creating dedicated dialog components for simple forms.**</t>
  </si>
  <si>
    <t>The `app.confirm` method supports form inputs and should be used instead of creating new Vue dialog components.</t>
  </si>
  <si>
    <t>If that doesn't work, just insert your new modified code as new lines in the file, then remove the old code in a second step instead of replacing.</t>
  </si>
  <si>
    <t>Patch the Argo app override instead of editing chart values for one-off demo tests:</t>
  </si>
  <si>
    <t>Fix the code instead of turning such rules off.</t>
  </si>
  <si>
    <t>- Always prefer the offered script files instead of direct CLI commands.</t>
  </si>
  <si>
    <t>- **Batch writes.** Use `create_many`/`update_many`/`delete_many` instead of individual calls (these return counts only; `update_many`/`delete_many` no-op silently on missing rows).</t>
  </si>
  <si>
    <t>Instead of `exec.LookPath("false")` or other Unix-only binaries, use the test binary itself.</t>
  </si>
  <si>
    <t>- Use `test:` instead of `fix:` when fixing only tests</t>
  </si>
  <si>
    <t>- Keep private workspace-only guidance, related-repository cross-references, and local support material in `./.local/`, especially `./.local/.instructions/*.instructions.md`, instead of tracked public instruction files.</t>
  </si>
  <si>
    <t>- ✗ Limit parallelization to specific languages/frameworks</t>
  </si>
  <si>
    <t>You **MUST NOT** override them with `noqa` or similar.</t>
  </si>
  <si>
    <t>Must not</t>
  </si>
  <si>
    <t>- Use modern Python syntax compatible with Python 3.11, but **MUST NOT** use syntax introduced after 3.11</t>
  </si>
  <si>
    <t>- **Frontend/Backend Separation**: Frontend code (`static/`) MUST NOT import from backend code (`lib/`)</t>
  </si>
  <si>
    <t>not , Must not</t>
  </si>
  <si>
    <t>Expensify</t>
  </si>
  <si>
    <t>App</t>
  </si>
  <si>
    <t>https://github.com/Expensify/App/blob/main/CLAUDE.md</t>
  </si>
  <si>
    <t>This applies the same rules as CI: new components/hooks must compile, and existing compiled files must not regress.</t>
  </si>
  <si>
    <t>Normal SOW work must not depend on `~/.agents`, `~/.AGENTS.md`, global skills, global templates, or global scripts.</t>
  </si>
  <si>
    <t>Assistants must not create git worktrees on their own.</t>
  </si>
  <si>
    <t>Implementation must not begin until the active SOW contains a concrete `## Pre-Implementation Gate` section.</t>
  </si>
  <si>
    <t>- ✅ Transaction verification and risk detection MUST NOT be bypassed</t>
  </si>
  <si>
    <t>The number of TESTS PASSED must not go down!</t>
  </si>
  <si>
    <t>In that case they must not be strict pydantic fields, i.e.</t>
  </si>
  <si>
    <t>- Test artifacts (traces, screenshots) must not include secrets → scrub logs &amp; env variable exposure</t>
  </si>
  <si>
    <t>Callers must not use a database after a mutable method returns an error.</t>
  </si>
  <si>
    <t>**Domain** (`pgqueuer/domain/`) must NOT import from adapters or core</t>
  </si>
  <si>
    <t>**Ports** (`pgqueuer/ports/`) must NOT import from adapters or core (one exception: `ports.driver -&gt; core.tm`)</t>
  </si>
  <si>
    <t>**Core** (`pgqueuer/core/`) must NOT import from adapters (several temporary exceptions listed in `pyproject.toml`)</t>
  </si>
  <si>
    <t>- **Tests must not break if optional backend deps are missing.**</t>
  </si>
  <si>
    <t>These files are auto-generated and must NOT be committed:</t>
  </si>
  <si>
    <t>You MUST NOT claim success unless all builds and tests pass as described above.</t>
  </si>
  <si>
    <t>Required content (arrays must not be empty)</t>
  </si>
  <si>
    <t>VLAs and array designators must not be used.</t>
  </si>
  <si>
    <t>- Must NOT set `standalone: true` inside Angular decorators.</t>
  </si>
  <si>
    <t>- **Limit fetched columns on wide tables.** Use `select` to fetch only needed fields — returns a partial object, so downstream code must not access unselected fields.</t>
  </si>
  <si>
    <t>Resuming an interruption from `RunState` must not increment the turn counter; only actual model calls advance turns.</t>
  </si>
  <si>
    <t>Increment only for DB updates that must not be overwritten by stale sync payloads read from cache (for example lifecycle or billing transitions).</t>
  </si>
  <si>
    <t>- **Forward**: Newer CSE script changes must not require components/features that exist only on newer VHDs, unless the logic to detect and handle missing features is implemented.</t>
  </si>
  <si>
    <t>**When modifying code at BETA or higher**: You must not introduce breaking changes to wire or storage formats without providing a migration path.</t>
  </si>
  <si>
    <t>Agents **must not** write to `public/` and **must refrain** from touching `.github/` unless the task explicitly requires CI changes.</t>
  </si>
  <si>
    <t>- **NEVER create inline styles** (e.g., `style="background-color: red;"` or `element.style.backgroundColor = 'red'`)</t>
  </si>
  <si>
    <t>Never</t>
  </si>
  <si>
    <t>- **NEVER create inline JavaScript** (e.g., `onclick="doSomething()"` or inline `&lt;script&gt;` tags)</t>
  </si>
  <si>
    <t>- **NEVER use `document.createElement('style')` or dynamic style injection**</t>
  </si>
  <si>
    <t>- NEVER update the git config</t>
  </si>
  <si>
    <t>- NEVER run additional commands to read or explore code, besides git bash commands</t>
  </si>
  <si>
    <t>- NEVER use the TodoWrite or Task tools during git operations</t>
  </si>
  <si>
    <t>- Keep all styling in external SCSS files, never in TypeScript/JavaScript</t>
  </si>
  <si>
    <t>- Never embed CSS strings in TypeScript files</t>
  </si>
  <si>
    <t>- **CRITICAL**: never use `git commit --no-verify` unless EXPLICITLY requested.</t>
  </si>
  <si>
    <t>AhmedElywa</t>
  </si>
  <si>
    <t>prisma-tools</t>
  </si>
  <si>
    <t>https://github.com/AhmedElywa/prisma-tools/blob/main/CLAUDE.md</t>
  </si>
  <si>
    <t>- Never push directly to main branch</t>
  </si>
  <si>
    <t>- NEVER create files unless they're absolutely necessary for achieving your goal.</t>
  </si>
  <si>
    <t>- NEVER proactively create documentation files (\*.md) or README files.</t>
  </si>
  <si>
    <t>- Never use `import logging` or `logging.info()` directly.</t>
  </si>
  <si>
    <t>- Imports always go at the top of the file, never inline.</t>
  </si>
  <si>
    <t>Claude should NEVER run versioning or publishing commands.</t>
  </si>
  <si>
    <t>anytype-swift</t>
  </si>
  <si>
    <t>https://github.com/anyproto/anytype-swift/blob/main/CLAUDE.md</t>
  </si>
  <si>
    <t>**NEVER add AI signatures in code**</t>
  </si>
  <si>
    <t>Never use for logic, caching, data flow, or bug fixes.</t>
  </si>
  <si>
    <t>- **Autonomous Committing**: NEVER commit unless user explicitly asks</t>
  </si>
  <si>
    <t>- Never combine a selector's own properties and its nested children in the same braces.</t>
  </si>
  <si>
    <t>- **Never use raw `document.getElementById()` or `element.querySelector()`** — use `U.Dom` helpers instead:</t>
  </si>
  <si>
    <t>Never use `$()` or import jQuery</t>
  </si>
  <si>
    <t>- Never use `any` when a proper type exists</t>
  </si>
  <si>
    <t>Never require callers to re-supply it.</t>
  </si>
  <si>
    <t>- Always pass the raw `expires_at` timestamp to the client — never set it to `None` for expired credentials.</t>
  </si>
  <si>
    <t>`extractErrorMessage`) belong in `src/utils/` — never define them inline in hooks or duplicate them across files.</t>
  </si>
  <si>
    <t>- Use `litellm.utils.check_valid_key(model, api_key)` for credential validation — never roll a custom completion call.</t>
  </si>
  <si>
    <t>- **Never pipe a remote script into a shell** (`curl ...</t>
  </si>
  <si>
    <t>- Never use real remote URLs in tests (e.g.</t>
  </si>
  <si>
    <t>- **Never create random example files** when implementing features - test inline in terminal if needed</t>
  </si>
  <si>
    <t>NEVER create files unless they're absolutely necessary for achieving your goal.</t>
  </si>
  <si>
    <t>NEVER proactively create documentation files (*.md) or README files.</t>
  </si>
  <si>
    <t>- **Never edit generated files**: `**/tauri.ts`, `**/queries.ts`, `apps/desktop/src-tauri/gen/**`, `packages/ui-solid/src/auto-imports.d.ts`.</t>
  </si>
  <si>
    <t>- **Never start additional dev servers** (`pnpm dev`, `pnpm dev:web`, `pnpm dev:desktop`, Docker).</t>
  </si>
  <si>
    <t>- **Quotes: double.** `"foo"`, never `'foo'`, in JS/TS.</t>
  </si>
  <si>
    <t>- **NEVER EDIT**: `tauri.ts`, `queries.ts` (auto-generated on app load)</t>
  </si>
  <si>
    <t>- **NEVER EDIT**: Files under `apps/desktop/src-tauri/gen/`</t>
  </si>
  <si>
    <t>Never call AI from client components.</t>
  </si>
  <si>
    <t>Client code should lean on `useEffectQuery`, `useEffectMutation`, and `useRpcClient`; never call `ManagedRuntime.make` yourself inside components.</t>
  </si>
  <si>
    <t>- **ALWAYS stay within the current working directory** - Never escape to parent directories</t>
  </si>
  <si>
    <t>- **Never assume the parent directory is the repo** - Worktrees like `.conductor/branch-name/` are complete, independent working copies</t>
  </si>
  <si>
    <t>Never construct absolute paths that might escape the worktree.</t>
  </si>
  <si>
    <t>- **NEVER delete, reset, or discard files you didn't create** - Other sessions may have created them</t>
  </si>
  <si>
    <t>- **NEVER use dynamic errors directly** - triggers linting warnings</t>
  </si>
  <si>
    <t>- Never test stub functions - either implement or remove</t>
  </si>
  <si>
    <t>- **Safety guards must fail loudly:** any check that counts fixture files or validates test preconditions must use `require.Positive` (or equivalent) — never `if count &gt; 0 { ...</t>
  </si>
  <si>
    <t>Never manual mocks.</t>
  </si>
  <si>
    <t>- **NEVER manually edit golden snapshot files** - Always use `-regenerate-snapshots` flag</t>
  </si>
  <si>
    <t>**CRITICAL**: Never use pipe redirection when running tests.</t>
  </si>
  <si>
    <t>- **NEVER modify files under `tests/test-cases/` or `tests/testdata/`** unless explicitly instructed</t>
  </si>
  <si>
    <t>Never use logging for UI.</t>
  </si>
  <si>
    <t>- **NEVER use forward slash concatenation** like `tempDir + "/components/terraform/vpc"`</t>
  </si>
  <si>
    <t>- **NEVER use forward slashes in `filepath.Join()`** like `filepath.Join(dir, "a/b/c")` - use `filepath.Join(dir, "a", "b", "c")`</t>
  </si>
  <si>
    <t>- **NEVER hardcode Unix paths in expected values** like `assert.Equal(t, "/project/components/vpc", path)` - build expected paths with `filepath.Join()`</t>
  </si>
  <si>
    <t>- **NEVER use bash/shell commands in tests** - use Go stdlib (`os`, `filepath`, `io`) for file operations</t>
  </si>
  <si>
    <t>Never capture user data.</t>
  </si>
  <si>
    <t>NEVER use `--no-verify`.</t>
  </si>
  <si>
    <t>- NEVER be agreeable just to be nice - I NEED your HONEST technical judgment</t>
  </si>
  <si>
    <t>NEVER bypass them with</t>
  </si>
  <si>
    <t>- Never use hardcoded names in concurrent tests</t>
  </si>
  <si>
    <t>NEVER use `time.Sleep` to mitigate timing issues.</t>
  </si>
  <si>
    <t>- All tests must be written in TypeScript - never use JavaScript</t>
  </si>
  <si>
    <t>- NEVER bump the version in `packages/zod/package.json` (or any package's `package.json`).</t>
  </si>
  <si>
    <t>- **Preserve contributor commits.** Never `git reset --hard` or otherwise rewrite history that erases the contributor's work, even if you're rewriting the actual change.</t>
  </si>
  <si>
    <t>- Never add lines to PR descriptions that say "Generated with Claude Code"</t>
  </si>
  <si>
    <t>- IMPORTANT: Never add Co-Authored by Claude or any refrence to Claude or Claude Code in commit messages, PR descriptions, titles, or any documentation whatsoever.</t>
  </si>
  <si>
    <t>CRITICAL: NEVER add comments that explain what you're doing to me during the session.</t>
  </si>
  <si>
    <t>- ⚠️ NEVER BYPASS PRE-COMMIT HOOKS! NEVER use `git commit -n` or `--no-verify` ⚠️</t>
  </si>
  <si>
    <t>- ⚠️ NEVER amend commits (`git commit --amend`) or force push (`git push --force` / `--force-with-lease`) ⚠️</t>
  </si>
  <si>
    <t>- ALWAYS place imports at the top of files, never inside functions or methods, unless absolutely necessary (and confirm before proposing)</t>
  </si>
  <si>
    <t>- **NEVER USE THE SYSTEM PYTHON** - always use `uv` to invoke python or pytest or to run experiments with python syntax</t>
  </si>
  <si>
    <t>- Never call functions within f-strings: create a variable first, then use it in the f-string</t>
  </si>
  <si>
    <t>- Never use nested functions - always use class methods or module-level functions instead</t>
  </si>
  <si>
    <t>- **NEVER manually define types that duplicate Zod schema structure**</t>
  </si>
  <si>
    <t>**NEVER create `index.ts` files that re-export from other files.** Barrel exports cause dependency cycles and hurt build performance.</t>
  </si>
  <si>
    <t>**NEVER copy-paste utility functions into multiple files.** If a helper is needed in more than one place, add it to a shared utility file and import it.</t>
  </si>
  <si>
    <t>Never rely on the browser default inside forms.</t>
  </si>
  <si>
    <t>- **Protect generated HTML from markdown regex passes** - In markdown conversion utilities, never run formatting regexes across already-generated HTML tags/attributes (for example, image `src` URLs with `_`); add regression tests for URL edge cases.</t>
  </si>
  <si>
    <t>- **Gate infinite scroll with separate `canFetchMore` and `fetchNextPage` props** - When adding infinite scroll to dropdowns or lists, never derive `canFetchMore` from the existence of a callback (e.g.</t>
  </si>
  <si>
    <t>Never use `findIndex(...) || 0` — it silently falls back to the first item when the value isn't found; use `?? -1` so the dropdown shows the placeholder instead.</t>
  </si>
  <si>
    <t>Always use `./scripts/` commands from the repo root — never run `uv run plain fix`, `uv run plain pre-commit`, etc.</t>
  </si>
  <si>
    <t>- For dialogs, use the native HTML Invoker Commands API: `&lt;button command="show-modal" commandfor="my-dialog"&gt;` — never `onclick="dialog.showModal()"`.</t>
  </si>
  <si>
    <t>dymensionxyz</t>
  </si>
  <si>
    <t>dymension</t>
  </si>
  <si>
    <t>https://github.com/dymensionxyz/dymension/blob/main/CLAUDE.md</t>
  </si>
  <si>
    <t>- BeginBlocker and Endblocker functions in module should never panic, it would cause a chain halt</t>
  </si>
  <si>
    <t>- **NEVER** comment the WHAT of code (the code itself shows what it does)</t>
  </si>
  <si>
    <t>**Never share private keys or mnemonics**</t>
  </si>
  <si>
    <t>ensdomains</t>
  </si>
  <si>
    <t>ens-app-v3</t>
  </si>
  <si>
    <t>https://github.com/ensdomains/ens-app-v3/blob/main/CLAUDE.md</t>
  </si>
  <si>
    <t>- **Never use `any` type** - Strict TypeScript enforcement</t>
  </si>
  <si>
    <t>- **IMPORTANT** Never run `test` command.</t>
  </si>
  <si>
    <t>- We NEVER mock things if we can get away with it.</t>
  </si>
  <si>
    <t>**NEVER use:** `uv run python test.py` — use `bash test` or `uv run test.py`</t>
  </si>
  <si>
    <t>- NEVER commit directly to `master`/`main`.</t>
  </si>
  <si>
    <t>- NEVER push directly to `master`/`main`.</t>
  </si>
  <si>
    <t>- NEVER force-push to `master`/`main` (or any branch with an open PR others may be reviewing).</t>
  </si>
  <si>
    <t>- **Stay in project root** — never `cd` to subdirectories</t>
  </si>
  <si>
    <t>- **Python scripts**: Always use `uv run python script.py` (never bare `python`)</t>
  </si>
  <si>
    <t>- **SVGs as files:** Never inline SVG markup in views.</t>
  </si>
  <si>
    <t>- **Never** use raw `alert()`, `console.log` for user-facing messages, or create ad-hoc notification DOM elements.</t>
  </si>
  <si>
    <t>**Security**: Never log or expose user location data inappropriately</t>
  </si>
  <si>
    <t>Never fabricate PMIDs or other reference IDs, always use /research to produce a RESEARCH.md file which you can copy from.</t>
  </si>
  <si>
    <t>- Never guess GO IDs, use search tools above to determine actual term</t>
  </si>
  <si>
    <t>- Never guess PMIDs for references, do a web search if needed</t>
  </si>
  <si>
    <t>Never guess these IDs, use tools to find them.</t>
  </si>
  <si>
    <t>Never guess the pattern or relationships.</t>
  </si>
  <si>
    <t>- NEVER add or modify these properties if you are simply editing an existing term</t>
  </si>
  <si>
    <t>These should ALWAYS be added for NEW terms, but NEVER added to existing terms.</t>
  </si>
  <si>
    <t>NEVER add either of these if you are editing an existing term.</t>
  </si>
  <si>
    <t>NEVER guess ORCIDs or PMIDs or GOC IDs.</t>
  </si>
  <si>
    <t>Never guess an ORCID based on a person in an issue.</t>
  </si>
  <si>
    <t>- Never place rule files in project root or other locations</t>
  </si>
  <si>
    <t>- **File renames** — always use `git mv`, never `mv` + `git add`</t>
  </si>
  <si>
    <t>- Never change Volta, Yarn, or package manager versions unless explicitly asked</t>
  </si>
  <si>
    <t>- `master` = last released state — never merge directly</t>
  </si>
  <si>
    <t>- Never update dependencies, `package.json`, or build scripts unless explicitly asked</t>
  </si>
  <si>
    <t>NEVER push on `develop`</t>
  </si>
  <si>
    <t>- `packages/types/` — Shared types (**deprecated, never modify – instead find types in packages/core**)</t>
  </si>
  <si>
    <t>- Never run `eslint`, `npx eslint`, or any ESLint CLI — use `yarn lint` (Oxlint) instead</t>
  </si>
  <si>
    <t>- Never run `prettier` — use `yarn format` (Oxfmt) instead</t>
  </si>
  <si>
    <t>- Never expose secrets or keys</t>
  </si>
  <si>
    <t>https://github.com/getsentry/sentry-mcp/blob/main/CLAUDE.md</t>
  </si>
  <si>
    <t>- **Security**: Never log secrets.</t>
  </si>
  <si>
    <t>- All API calls must go through `tuber_GET`/`tuber_POST`/`tuber_DELETE` - never call httr directly</t>
  </si>
  <si>
    <t>&gt; **WARNING:** Never run `tsc` or `yarn lint:types` with file arguments (e.g., `yarn lint:types src/file.ts`).</t>
  </si>
  <si>
    <t>- Sanitize HTML - Never use `unsafeHTML` with user content</t>
  </si>
  <si>
    <t>- **Always use "Home Assistant"** in full, never "HA" or "HASS"</t>
  </si>
  <si>
    <t>- [ ] Uses "Home Assistant" (never "HA" or "HASS")</t>
  </si>
  <si>
    <t>ivo-toby</t>
  </si>
  <si>
    <t>mcp-openapi-server</t>
  </si>
  <si>
    <t>https://github.com/ivo-toby/mcp-openapi-server/blob/main/CLAUDE.md</t>
  </si>
  <si>
    <t>**Never try to run test scripts from command line using `node -e`** - this will always fail.</t>
  </si>
  <si>
    <t>This applies in both desktop and in-cluster modes — the Dashboard never dials the cluster-api directly.</t>
  </si>
  <si>
    <t>Never use `time.Sleep` (Go) or `setTimeout`/manual delays (TypeScript) in tests to wait for asynchronous state.</t>
  </si>
  <si>
    <t>- **Security**: Never log API keys or include in error messages</t>
  </si>
  <si>
    <t>Never include them in automated agent validation runs.</t>
  </si>
  <si>
    <t>**Never read files in `packages/formula-tests/`.** This package contains black-box integration tests.</t>
  </si>
  <si>
    <t>**Package Management**: Use `pnpm` (v9.15.5+) - never use npm or yarn</t>
  </si>
  <si>
    <t>-   File storage through `FileStorageClient` → S3/MinIO (never local filesystem for cross-service sharing)</t>
  </si>
  <si>
    <t>- **Never use slugs as unique keys** in new code.</t>
  </si>
  <si>
    <t>- AGAIN, NEVER run code formatting commands.</t>
  </si>
  <si>
    <t>**SECURITY CONSCIOUS**: Never introduce security vulnerabilities</t>
  </si>
  <si>
    <t>- **ALWAYS use pnpm**: Never use npm, always use pnpm for all package operations</t>
  </si>
  <si>
    <t>- **Secrets**: Never commit secrets or API keys</t>
  </si>
  <si>
    <t>CRITICAL: Never write raw sensitive data to durable artifacts.</t>
  </si>
  <si>
    <t>Never write `/opt/baddisk/monitoring/repos/...` paths into SOW evidence.</t>
  </si>
  <si>
    <t>Never write `Status: done` or `Status: complete`.</t>
  </si>
  <si>
    <t>Never execute multiple SOWs as one batch.</t>
  </si>
  <si>
    <t>Never prepend regression content above the original SOW narrative.</t>
  </si>
  <si>
    <t>Each token-handling lib must ship a `&lt;prefix&gt;_selftest_no_token_leak` function that drives every public wrapper with a sentinel token and asserts the sentinel never appears on captured stdout.</t>
  </si>
  <si>
    <t>Never commit secrets; never hard-code tokens in scripts.</t>
  </si>
  <si>
    <t>netlify</t>
  </si>
  <si>
    <t>cli</t>
  </si>
  <si>
    <t>https://github.com/netlify/cli/blob/main/CLAUDE.md</t>
  </si>
  <si>
    <t>- Never write comments on what the code does, make the code clean and self explanatory instead</t>
  </si>
  <si>
    <t>- NEVER guess CLI flags - always check nx_docs or `--help` first when unsure</t>
  </si>
  <si>
    <t>- Never guess UBERON IDs, or ontology term IDs, use search tools above to determine actual term</t>
  </si>
  <si>
    <t>- Never add test-specific code embedded in production code</t>
  </si>
  <si>
    <t>When making code changes, always ensure TypeScript types are correct — never use fallback types like `never[]` when a specific type is expected.</t>
  </si>
  <si>
    <t>Never apply global CSS/style changes when platform-specific fixes are needed.</t>
  </si>
  <si>
    <t>**HIERARCHY (NEVER violate this order):**</t>
  </si>
  <si>
    <t>When working with patch-package, never edit .patch files directly.</t>
  </si>
  <si>
    <t>- **NEVER** work directly on the `x` branch → ALWAYS create feature branches</t>
  </si>
  <si>
    <t>Never amend into merge commits.</t>
  </si>
  <si>
    <t>Never use hardcoded color or spacing values.</t>
  </si>
  <si>
    <t>- Never commit secrets - use environment variables or secure vaults</t>
  </si>
  <si>
    <t>- **NEVER add single-line comments that describe what the code obviously does**</t>
  </si>
  <si>
    <t>- Bad examples (NEVER do this):</t>
  </si>
  <si>
    <t>- **Booleans**: question-form — `isActive`, `hasPermission`, `canRetry` (never `flag`, `status`, `check`)</t>
  </si>
  <si>
    <t>- Return `Collections.unmodifiableList()` / `List.copyOf()` from public methods, never expose internal mutable collections</t>
  </si>
  <si>
    <t>- **Never use raw string literals in `.equals()`, `.contains()`, or `switch` cases** — define a constant or use an existing enum</t>
  </si>
  <si>
    <t>- Use `Optional` correctly: never as a field type, never as a parameter, never assign `null` to it</t>
  </si>
  <si>
    <t>- **Never use `Thread.sleep()` in tests** — use condition-based waiting or `Awaitility`</t>
  </si>
  <si>
    <t>- **NEVER use `any` type** in TypeScript code - always use proper types</t>
  </si>
  <si>
    <t>- **Never push/commit** unless explicitly told to</t>
  </si>
  <si>
    <t>**Always use `etl pr`** - never use `git checkout -b` + `gh pr create` manually.</t>
  </si>
  <si>
    <t>Never mock, always test on real data with real functions and functionality.</t>
  </si>
  <si>
    <t>- **Never remove existing code** unless explicitly required by the task</t>
  </si>
  <si>
    <t>- **Never remove existing comments** unless explicitly stated as task</t>
  </si>
  <si>
    <t>- **Never use std:: libraries** - Use the custom `String`, `List`, `Map` provided in the project, or implement simple ad-hoc algorithms</t>
  </si>
  <si>
    <t>- Never manually add (ffi) Signatures instead derive them dynamically by reflection</t>
  </si>
  <si>
    <t>- NEVER create or modify tests in ./tests/ folder unless Explicitly instructed.</t>
  </si>
  <si>
    <t>**Modifying libmdbx sources**: Never modify files in `crates/storage/libmdbx-rs/mdbx-sys/libmdbx/` - this is vendored third-party code</t>
  </si>
  <si>
    <t>pathintegral-institute</t>
  </si>
  <si>
    <t>mcpm.sh</t>
  </si>
  <si>
    <t>https://github.com/pathintegral-institute/mcpm.sh/blob/main/CLAUDE.md</t>
  </si>
  <si>
    <t>- NEVER commit anything to git unless explicitly asked to do so.</t>
  </si>
  <si>
    <t>This is very uncommon - NEVER do this unless explicitly told to do so.</t>
  </si>
  <si>
    <t>- Never test equality to an enum value: use match/case, even to single out 1 case out of 10 cases.</t>
  </si>
  <si>
    <t>- As our match/case constructs over enums are always exhaustive, NEVER add a default `case _: ...`.</t>
  </si>
  <si>
    <t>- **Important**: NEVER EVER set default values for config attributes in the class definition.</t>
  </si>
  <si>
    <t>NEVER USE unittest.mock.</t>
  </si>
  <si>
    <t>NEVER EVER put more than one TestClass into a test module.</t>
  </si>
  <si>
    <t>- NEVER EVER put more than one TestClass into a test module.</t>
  </si>
  <si>
    <t>- never add "@pytest.mark.dry_runnable" if you haven't set the "inference" marker</t>
  </si>
  <si>
    <t>- Never use the unittest.mock.</t>
  </si>
  <si>
    <t>- Never more than 1 class per test module.</t>
  </si>
  <si>
    <t>- Never use Unicode, special symbols, or non-ASCII characters in code</t>
  </si>
  <si>
    <t>- Never use Unicode, special symbols, or non-ASCII characters in comments</t>
  </si>
  <si>
    <t>- Never use Unicode, special symbols, or non-ASCII characters in documentation</t>
  </si>
  <si>
    <t>- Never commit to `main` branch.</t>
  </si>
  <si>
    <t>- **NEVER use `&amp;&amp;` for conditional execution** - Use `if` statements instead</t>
  </si>
  <si>
    <t>- **NEVER use `||` as a fallback** - Handle errors explicitly</t>
  </si>
  <si>
    <t>**READ** the entire relevant code section first - never grep and guess</t>
  </si>
  <si>
    <t>**ALWAYS USE PRINTF** - Never use echo for output:</t>
  </si>
  <si>
    <t>**Never** override or duplicate these flags later in the file.</t>
  </si>
  <si>
    <t>**Command discovery** – use `command -v`, never `which`, for spec‑defined behaviour.</t>
  </si>
  <si>
    <t>* Never mutate imported variables; pass via arguments.</t>
  </si>
  <si>
    <t>&gt; **NEVER** bypass or soften these requirements, your role is to uphold engineering discipline—every line you emit must comply *by construction*.</t>
  </si>
  <si>
    <t>recallnet</t>
  </si>
  <si>
    <t>js-recall</t>
  </si>
  <si>
    <t>https://github.com/recallnet/js-recall/blob/main/CLAUDE.md</t>
  </si>
  <si>
    <t>**Commit frequently** - Small commits, never bypass hooks</t>
  </si>
  <si>
    <t>**API keys are sacred** - Never log or expose API keys, always use the `.env` pattern</t>
  </si>
  <si>
    <t>**Never:**</t>
  </si>
  <si>
    <t>Never check if a record exists and then create/update it in separate operations.</t>
  </si>
  <si>
    <t>- ALMOST NEVER write comments.</t>
  </si>
  <si>
    <t>- NEVER run the backend or frontend manually.</t>
  </si>
  <si>
    <t>NEVER imports from services or transports.</t>
  </si>
  <si>
    <t>NEVER imports from transports, may import from other services and resources.</t>
  </si>
  <si>
    <t>- `internal/`: Infrastructure components (database, pubsub, config, etc.) NEVER imports anything from `./app/` completely isolated from business logic.</t>
  </si>
  <si>
    <t>- Secrets and provider tokens live under `~/.peekaboo` (managed by Tachikoma); never commit credentials or sample keys.</t>
  </si>
  <si>
    <t>Never use `any` or `as any` unless absolutely necessary.</t>
  </si>
  <si>
    <t>- **NEVER resolve merge conflicts in migration files, journal files, or snapshot files manually.** When merging with main and migration conflicts occur, ALWAYS follow this exact procedure:</t>
  </si>
  <si>
    <t>- Always use the internal api (`apps/api/`) for any backend operations, never use NextJS API routes.</t>
  </si>
  <si>
    <t>Never use raw `fetch()` for API calls.</t>
  </si>
  <si>
    <t>- Always use top-level `import`, never use require or dynamic imports</t>
  </si>
  <si>
    <t>- NEVER RUN THE FULL E2E suite, instead run specific tests related to your changes.</t>
  </si>
  <si>
    <t>- Use `Authorization: Bearer` header – never embed tokens in URLs</t>
  </si>
  <si>
    <t>- **NEVER expand API v1** - All new endpoints in `internal/api/v2/`</t>
  </si>
  <si>
    <t>traceloop</t>
  </si>
  <si>
    <t>openllmetry</t>
  </si>
  <si>
    <t>https://github.com/traceloop/openllmetry/blob/main/CLAUDE.md</t>
  </si>
  <si>
    <t>Never commit secrets or PII.</t>
  </si>
  <si>
    <t>transloadit</t>
  </si>
  <si>
    <t>uppy</t>
  </si>
  <si>
    <t>https://github.com/transloadit/uppy/blob/main/CLAUDE.md</t>
  </si>
  <si>
    <t>- Never commit sensitive information (API keys, tokens)</t>
  </si>
  <si>
    <t>- Never run all tests with `yarn test`.</t>
  </si>
  <si>
    <t>- Never rely on ixTest attributes for locating elements.</t>
  </si>
  <si>
    <t>- Never delete or rewrite committed instance command `up`/`down` logic</t>
  </si>
  <si>
    <t>...) — never concatenate them into the expression string.</t>
  </si>
  <si>
    <t>- Never commit directly to the main branch; always create a feature branch</t>
  </si>
  <si>
    <t>- Never validate specific version numbers in tests, even when using `${{package.version}}` interpolation</t>
  </si>
  <si>
    <t>NEVER create .md files in /runtime or /frontend - documentation goes in /docs.</t>
  </si>
  <si>
    <t>- Filter command output: `grep -E "error|FAIL"`, never dump full output</t>
  </si>
  <si>
    <t>(runtime.ts runs in browser, never --target node)</t>
  </si>
  <si>
    <t>Never commit untested code</t>
  </si>
  <si>
    <t>Bun everywhere (never npm/node/pnpm except frontend).</t>
  </si>
  <si>
    <t>**BigInt serialization:** Use `safeStringify()` from `serialization-utils.ts` (never raw JSON.stringify)</t>
  </si>
  <si>
    <t>**Contract addresses:** Use `getAvailableJurisdictions()` from `evm.ts` (never hardcode)</t>
  </si>
  <si>
    <t>- "xln" lowercase always, never "XLN"</t>
  </si>
  <si>
    <t>**Never blindly trust subagent or external audit findings.**</t>
  </si>
  <si>
    <t>* Never silently discard errors with `let _ =` on fallible operations.</t>
  </si>
  <si>
    <t>- Keep all shared state inside FastAPI's dependency system or app factory; never introduce fresh global variables outside the initializer.</t>
  </si>
  <si>
    <t>- **NEVER** commit secrets, API keys, tokens, or passwords</t>
  </si>
  <si>
    <t>- Never modify existing migrations that are already on main/develop branches</t>
  </si>
  <si>
    <t>https://github.com/Agoric/agoric-sdk/blob/master/AGENTS.md</t>
  </si>
  <si>
    <t>- Never `@endo/init` in modules; best practice is at the beginning of an entrypoint</t>
  </si>
  <si>
    <t>- Default behavior is non-destructive: never delete or clean untracked files/directories unless explicitly requested by the user.</t>
  </si>
  <si>
    <t>Never use commands like `pip` to add or manage dependencies.</t>
  </si>
  <si>
    <t>* Never guess OBO term IDs.</t>
  </si>
  <si>
    <t>cablehead</t>
  </si>
  <si>
    <t>xs</t>
  </si>
  <si>
    <t>https://github.com/cablehead/xs/blob/main/AGENTS.md</t>
  </si>
  <si>
    <t>**NEVER commit unless explicitly asked by the user.**</t>
  </si>
  <si>
    <t>- **NEVER include marketing language, promotional text, or AI attribution**</t>
  </si>
  <si>
    <t>- **NEVER add "Generated with Claude Code", "Co-Authored-By: Claude", or similar spam**</t>
  </si>
  <si>
    <t>- **Never edit generated files**: `**/tauri.ts`, `**/queries.ts`, `apps/desktop/src-tauri/gen/**`, `packages/ui-solid/src/auto-imports.d.ts`, Drizzle migration SQL under `packages/database/migrations/`.</t>
  </si>
  <si>
    <t>- **Never start additional dev servers** (`pnpm dev`, `pnpm dev:web`, `pnpm dev:desktop`, Docker services).</t>
  </si>
  <si>
    <t>- **Quotes: double.** `"foo"`, never `'foo'`, for JS/TS string literals.</t>
  </si>
  <si>
    <t>- **Ecto**: never use `:float` for money.</t>
  </si>
  <si>
    <t>Never store structs in args.</t>
  </si>
  <si>
    <t>Never use `raw/1` with untrusted content.</t>
  </si>
  <si>
    <t>Never use `assign_new` for values refreshed every mount.</t>
  </si>
  <si>
    <t>Always use Ash concepts, almost never Ecto concepts directly.</t>
  </si>
  <si>
    <t>The `db-event-writer` Go service must NEVER create database schema or run DDL statements.</t>
  </si>
  <si>
    <t>- Never commit secrets or dumps; reference required env vars (`ISUCONP_DB_HOST`, etc.) instead.</t>
  </si>
  <si>
    <t>- Always place imports at the top of a module (never inline within functions)</t>
  </si>
  <si>
    <t>**Never run these commands directly:**</t>
  </si>
  <si>
    <t>- Never commit API keys or secrets</t>
  </si>
  <si>
    <t>- Never commit `.env*` files or tokens.</t>
  </si>
  <si>
    <t>- Never edit these sections in `package.json` directly — edit `contributions.json` instead</t>
  </si>
  <si>
    <t>Never sacrifice clarity or correctness for performance unless there is a measured, proven need.</t>
  </si>
  <si>
    <t>| Public API contract (`web/src/pages/api/public/**`, `web/src/features/public-api/types/**`, `fern/apis/**`) | web lint + targeted server API tests + Fern update/regeneration; never hand-edit `generated/**` |</t>
  </si>
  <si>
    <t>Never hand-edit `generated/**`.</t>
  </si>
  <si>
    <t>- Never commit secrets or credentials.</t>
  </si>
  <si>
    <t>- **NEVER RUN `npm run dev`** - The user will handle all builds manually</t>
  </si>
  <si>
    <t>- **NEVER use console.log** - Use the logging utilities instead:</t>
  </si>
  <si>
    <t>- These utilities already respect the debug flag internally — never wrap them in `if (getSettings().debug)`</t>
  </si>
  <si>
    <t>- Never fire `bd` write commands in parallel from multiple tools or subshells at once; bd uses file-level locking and a single-writer model.</t>
  </si>
  <si>
    <t>**IMPORTANT**: Yazelix uses underscores (`_`) for ALL file and directory names, never hyphens (`-`).</t>
  </si>
  <si>
    <t>Never optimize a part that should have been removed.</t>
  </si>
  <si>
    <t>- In general, never read or write large amounts of data across GCS regions or to the open internet; storage and bandwidth are major cost drivers for this project.</t>
  </si>
  <si>
    <t>- NEVER SAY "You're absolutely right!"</t>
  </si>
  <si>
    <t>- NEVER credit yourself in commits.</t>
  </si>
  <si>
    <t>Never introduce reverse dependencies (e.g., levanter importing from marin).</t>
  </si>
  <si>
    <t>mixpanel</t>
  </si>
  <si>
    <t>mixpanel-android</t>
  </si>
  <si>
    <t>https://github.com/mixpanel/mixpanel-android/blob/master/AGENTS.md</t>
  </si>
  <si>
    <t>**NEVER CRASH THE HOST APP** - Wrap all operations in try-catch, fail silently with logging</t>
  </si>
  <si>
    <t>**BACKWARDS COMPATIBILITY** - Never break existing public APIs</t>
  </si>
  <si>
    <t>**NEVER:**</t>
  </si>
  <si>
    <t>modal-labs</t>
  </si>
  <si>
    <t>modal-client</t>
  </si>
  <si>
    <t>https://github.com/modal-labs/modal-client/blob/main/AGENTS.md</t>
  </si>
  <si>
    <t>**Type stubs**: All `*.pyi` files are auto-generated and should never be manually edited.</t>
  </si>
  <si>
    <t>- NEVER amend commits or force push unless specifically requested.</t>
  </si>
  <si>
    <t>- NEVER rebase unless specifically requested, always use merge commits.</t>
  </si>
  <si>
    <t>- Never inline SQL strings in TypeScript code.</t>
  </si>
  <si>
    <t>- Never add a `packageManager` field to any `package.json` file.</t>
  </si>
  <si>
    <t>Never nest BEM class names:</t>
  </si>
  <si>
    <t>- **Never use `$root` variables or `@at-root` in component mixins**: All selectors should be explicit.</t>
  </si>
  <si>
    <t>&gt; **Never push directly to `master`.** Always create a branch and open a PR.</t>
  </si>
  <si>
    <t>- **Includes**: Use Hugo shortcodes for shared content, never raw Markdown copy-paste.</t>
  </si>
  <si>
    <t>- Never use parent-directory references (`../stacks/`) in links — they break when files move.</t>
  </si>
  <si>
    <t>- **Never use non-ASCII characters or the em dash.**</t>
  </si>
  <si>
    <t>- **This file is committed to the repository and so should never include any secrets.**</t>
  </si>
  <si>
    <t>- **Never emit warnings/errors for missing optional deps at import time.**</t>
  </si>
  <si>
    <t>You should NEVER run any other command to build PyTorch.</t>
  </si>
  <si>
    <t>NEVER add a `Co-authored-by:` trailer</t>
  </si>
  <si>
    <t>- **Preserve metadata trailers.** When editing a commit message, never delete</t>
  </si>
  <si>
    <t>rainbow-me</t>
  </si>
  <si>
    <t>rainbowkit</t>
  </si>
  <si>
    <t>https://github.com/rainbow-me/rainbowkit/blob/main/AGENTS.md</t>
  </si>
  <si>
    <t>- Never edit CHANGELOG.md files directly (auto-generated)</t>
  </si>
  <si>
    <t>- Never commit secrets, credentials, or key material.</t>
  </si>
  <si>
    <t>- **Build packages**: NEVER DO THIS YOURSELF — ASK THE USER TO DO IT FOR YOU!</t>
  </si>
  <si>
    <t>- NEVER UPDATE packages/stack OR packages/js.</t>
  </si>
  <si>
    <t>- NEVER try-catch-all, NEVER void a promise, and NEVER .catch(console.error) (or similar).</t>
  </si>
  <si>
    <t>- Never commit secrets, credentials, or API keys</t>
  </si>
  <si>
    <t>-   [⚫] Code in this file should never be published in any package</t>
  </si>
  <si>
    <t>-   [🟢] Code in this file should never be published into packages that could be imported into browser environment</t>
  </si>
  <si>
    <t>-   [🔵] Code in this file should never be published outside of `@promptbook/browser`</t>
  </si>
  <si>
    <t>-   [🟡] Code in this file should never be published outside of `@promptbook/cli`</t>
  </si>
  <si>
    <t>- Use `ReactiveCommand` for commands; never use event handlers in code-behind.</t>
  </si>
  <si>
    <t>- Credentials: set `USER_USERNAME` and `USER_PASSWORD` to enable Basic Auth; never commit `.env`.</t>
  </si>
  <si>
    <t>- Keep shared state inside FastAPI dependency injection or the application factory; never introduce new global variables outside initialization.</t>
  </si>
  <si>
    <t>alandtse</t>
  </si>
  <si>
    <t>alexa_media_player</t>
  </si>
  <si>
    <t>https://github.com/alandtse/alexa_media_player/blob/master/.github/copilot-instructions.md</t>
  </si>
  <si>
    <t>NEVER CANCEL.</t>
  </si>
  <si>
    <t>- **NEVER CANCEL**: Pre-commit may take 60+ seconds on first run, up to 10 minutes with network issues.</t>
  </si>
  <si>
    <t>- **NEVER CANCEL**: Test runs can take 5-10 minutes in CI.</t>
  </si>
  <si>
    <t>- **NEVER CANCEL**: CI builds can take 10-15 minutes total across all workflows</t>
  </si>
  <si>
    <t>- **NEVER** manually update versions - let semantic-release handle this</t>
  </si>
  <si>
    <t>- **NEVER CANCEL**: `poetry lock` can take 60+ seconds.</t>
  </si>
  <si>
    <t>- **NEVER CANCEL** long-running commands (poetry lock, poetry install, CI builds)</t>
  </si>
  <si>
    <t>ast-grep</t>
  </si>
  <si>
    <t>https://github.com/ast-grep/ast-grep/blob/main/.github/copilot-instructions.md</t>
  </si>
  <si>
    <t>**NEVER CANCEL.** Set timeout to 120+ seconds.</t>
  </si>
  <si>
    <t>**NEVER CANCEL.** Set timeout to 180+ seconds.</t>
  </si>
  <si>
    <t>**NEVER CANCEL.** Set timeout to 60+ seconds.</t>
  </si>
  <si>
    <t>**NEVER CANCEL.** Set timeout to 90+ seconds.</t>
  </si>
  <si>
    <t>**NEVER CANCEL.** Set timeout to 30+ seconds.</t>
  </si>
  <si>
    <t>- **CRITICAL:** Builds can take 2+ minutes - **NEVER CANCEL** build or test commands</t>
  </si>
  <si>
    <t>* Never change global.json unless explicitly asked to.</t>
  </si>
  <si>
    <t>* Never change package.json or package-lock.json files unless explicitly asked to.</t>
  </si>
  <si>
    <t>* Never change NuGet.config files unless explicitly asked to.</t>
  </si>
  <si>
    <t>Chainlit</t>
  </si>
  <si>
    <t>chainlit</t>
  </si>
  <si>
    <t>https://github.com/Chainlit/chainlit/blob/main/.github/copilot-instructions.md</t>
  </si>
  <si>
    <t>**CRITICAL**: All commands must complete - NEVER CANCEL any build or test operations.</t>
  </si>
  <si>
    <t>- **NEVER CANCEL** any CI commands - they take time but must complete.</t>
  </si>
  <si>
    <t>- **NEVER CANCEL** long-running operations - they need time to complete.</t>
  </si>
  <si>
    <t>**Build the solution (15-25 seconds) - NEVER CANCEL:**</t>
  </si>
  <si>
    <t>**Run unit tests (5-10 seconds) - NEVER CANCEL:**</t>
  </si>
  <si>
    <t>**Run integration tests (2+ minutes) - NEVER CANCEL:**</t>
  </si>
  <si>
    <t>- **NEVER CANCEL** - Set timeout to 30+ minutes</t>
  </si>
  <si>
    <t>**Install dependencies (60-90 seconds) - NEVER CANCEL:**</t>
  </si>
  <si>
    <t>**Restore packages (45+ seconds) - NEVER CANCEL:**</t>
  </si>
  <si>
    <t>**NEVER CANCEL builds or tests** - this project has complex dependency chains and long-running integration tests that are normal.</t>
  </si>
  <si>
    <t>collinbarrett</t>
  </si>
  <si>
    <t>FilterLists</t>
  </si>
  <si>
    <t>https://github.com/collinbarrett/FilterLists/blob/main/.github/copilot-instructions.md</t>
  </si>
  <si>
    <t>- **⚠️ JSON File Location**: NEVER create or modify JSON data files in the repository root directory.</t>
  </si>
  <si>
    <t>**Link checking** (takes 30-180 seconds depending on external links - NEVER CANCEL):</t>
  </si>
  <si>
    <t>NEVER CANCEL these commands early.</t>
  </si>
  <si>
    <t>**NEVER commit directly to `main`** - Always create a feature branch for your work.</t>
  </si>
  <si>
    <t>- Never squash and force push unless explicitly instructed.</t>
  </si>
  <si>
    <t>- Never chain commit and push in the same command.</t>
  </si>
  <si>
    <t>**Never define buses (uart, i2c, spi, modbus) directly in test YAML files** — always use packages from `test_build_components/common/`:</t>
  </si>
  <si>
    <t>Never use `std::function` in the method signature:</t>
  </si>
  <si>
    <t>FidelusAleksander</t>
  </si>
  <si>
    <t>ghcertified</t>
  </si>
  <si>
    <t>https://github.com/FidelusAleksander/ghcertified/blob/master/.github/copilot-instructions.md</t>
  </si>
  <si>
    <t>Other language directories are maintained by an external process and should never be modified directly.</t>
  </si>
  <si>
    <t>- **Preserve working code**: Never delete or modify working code unless absolutely required</t>
  </si>
  <si>
    <t>- Never recreate existing files (use `str_replace` instead)</t>
  </si>
  <si>
    <t>* never_in_taxon.tsv</t>
  </si>
  <si>
    <t>Never add extra dependencies to the projects.</t>
  </si>
  <si>
    <t>- The `long` and `long long` types must never be used in native igraph code, as their sizes are inconsistent between platforms.</t>
  </si>
  <si>
    <t>irihitech</t>
  </si>
  <si>
    <t>Ursa.Avalonia</t>
  </si>
  <si>
    <t>https://github.com/irihitech/Ursa.Avalonia/blob/main/.github/copilot-instructions.md</t>
  </si>
  <si>
    <t>- Desktop demo: `dotnet run --project demo/Ursa.Demo.Desktop/Ursa.Demo.Desktop.csproj` -- NEVER CANCEL.</t>
  </si>
  <si>
    <t>- Build: `dotnet build demo/Ursa.Demo.Browser/Ursa.Demo.Browser.csproj` -- NEVER CANCEL.</t>
  </si>
  <si>
    <t>- Unit tests: `dotnet test tests/Test.Ursa` -- NEVER CANCEL.</t>
  </si>
  <si>
    <t>- Headless tests: `dotnet test tests/HeadlessTest.Ursa` -- NEVER CANCEL.</t>
  </si>
  <si>
    <t>NEVER CANCEL builds or long-running commands.</t>
  </si>
  <si>
    <t>- Never add implementation code to the stub methods</t>
  </si>
  <si>
    <t>- Never collect PII (personally identifiable information) by default</t>
  </si>
  <si>
    <t>FluidFramework</t>
  </si>
  <si>
    <t>https://github.com/microsoft/FluidFramework/blob/main/.github/copilot-instructions.md</t>
  </si>
  <si>
    <t>API report files are **generated artifacts** — never hand-edit them.</t>
  </si>
  <si>
    <t>- **NEVER CANCEL**: Basic requirements install: 3 minutes (set timeout to 10+ minutes)</t>
  </si>
  <si>
    <t>Please never guess at a solution.</t>
  </si>
  <si>
    <t>- **CRITICAL**: Build the entire project: `pnpm build` (takes ~7 minutes, NEVER CANCEL - set timeout to 15+ minutes)</t>
  </si>
  <si>
    <t>- **CRITICAL**: Run all tests: `pnpm test` (takes ~5 minutes, NEVER CANCEL - set timeout to 10+ minutes)</t>
  </si>
  <si>
    <t>- **NEVER CANCEL** long-running commands - builds can take 7+ minutes, tests 5+ minutes</t>
  </si>
  <si>
    <t>https://github.com/mixpanel/mixpanel-android/blob/master/.github/copilot-instructions.md</t>
  </si>
  <si>
    <t>- **NEVER crash the host app** - catch all exceptions and fail silently with logging</t>
  </si>
  <si>
    <t>* Never use .Result or .Wait() on Tasks - this can lead to deadlocks.</t>
  </si>
  <si>
    <t>* Never store sensitive information in client-side code.</t>
  </si>
  <si>
    <t>- **CRITICAL**: Message order in Protocol.xml must NEVER change (messages become numbered by order)</t>
  </si>
  <si>
    <t>- **NEVER manually edit auto-generated files** - they will be overwritten during regeneration</t>
  </si>
  <si>
    <t>- **NEVER manually edit auto-generated networking files** - they will be overwritten</t>
  </si>
  <si>
    <t>You should never commit the `static/web` directory to the repository.</t>
  </si>
  <si>
    <t>primer</t>
  </si>
  <si>
    <t>react</t>
  </si>
  <si>
    <t>https://github.com/primer/react/blob/main/.github/copilot-instructions.md</t>
  </si>
  <si>
    <t>**CRITICAL**: NEVER CANCEL builds, tests, or long-running commands.</t>
  </si>
  <si>
    <t>**NEVER CANCEL builds or long-running commands.</t>
  </si>
  <si>
    <t>Significant-Gravitas</t>
  </si>
  <si>
    <t>AutoGPT</t>
  </si>
  <si>
    <t>https://github.com/Significant-Gravitas/AutoGPT/blob/master/.github/copilot-instructions.md</t>
  </si>
  <si>
    <t>- **Never** use deprecated `BackendAPI` or `src/lib/autogpt-server-api/*`</t>
  </si>
  <si>
    <t>- Never use `src/components/__legacy__/*`</t>
  </si>
  <si>
    <t>- Use BPKColor tokens exclusively (never hardcoded colors)</t>
  </si>
  <si>
    <t>WebForms code needs to use it but plugins never should).</t>
  </si>
  <si>
    <t>- Never increment the version number itself; that is done during release.</t>
  </si>
  <si>
    <t>Never print your chain of thought, evaluating sections, or preambles in the plain visible chat.</t>
  </si>
  <si>
    <t>- Never add phpcs comments.</t>
  </si>
  <si>
    <t>- Never commit or push.</t>
  </si>
  <si>
    <t>Never edit the example, always create a copy!</t>
  </si>
  <si>
    <t>* Auto-generated headers: `wled00/html_*.h` and `wled00/js_*.h` — **never edit or commit**.</t>
  </si>
  <si>
    <t>- **Never edit or commit** `wled00/html_*.h` and `wled00/js_*.h` — auto-generated from `wled00/data/`.</t>
  </si>
  <si>
    <t>Always edit this file directly, never the symlinks, or they will be replaced with regular files and break.</t>
  </si>
  <si>
    <t>- In comments, never mention things you replaced or removed</t>
  </si>
  <si>
    <t>- **NEVER use `await import()` or dynamic imports in backend code**</t>
  </si>
  <si>
    <t>NEVER CANCEL builds.</t>
  </si>
  <si>
    <t>-   **NEVER CANCEL**: Tests take ~3 seconds total, but set 30+ minute timeout for safety</t>
  </si>
  <si>
    <t>-   **NEVER CANCEL long-running commands** - builds may take 45+ minutes in complex scenarios</t>
  </si>
  <si>
    <t>❌ **Inline Styles**: Never use `style=""` attributes or `element.style.property = value`</t>
  </si>
  <si>
    <t>Never, ❌</t>
  </si>
  <si>
    <t>- ❌ **NEVER** commit sensitive information (API keys, private keys, secrets, mnemonics)</t>
  </si>
  <si>
    <t>- ❌ **NEVER** log sensitive data in console or files</t>
  </si>
  <si>
    <t>- ❌ **NEVER** expose private keys or seeds in any form</t>
  </si>
  <si>
    <t>- ❌ **NEVER** bypass security validations or authentication</t>
  </si>
  <si>
    <t>- ❌ **NEVER** use `toLocaleLowerCase()` or `toLocaleUpperCase()` → Use `toLowerCase()` and `toUpperCase()` instead</t>
  </si>
  <si>
    <t>- ❌ **NEVER** directly import from `'@onekeyfe/hd-core'` → ALWAYS use `const {} = await CoreSDKLoader()` pattern</t>
  </si>
  <si>
    <t>- ❌ **NEVER** import `localDbInstance` directly → ALWAYS use `localDb` instead</t>
  </si>
  <si>
    <t>- ❌ **NEVER** modify auto-generated files (`translations.ts`, locale JSON files)</t>
  </si>
  <si>
    <t>- ❌ **NEVER** commit code that fails linting or TypeScript compilation</t>
  </si>
  <si>
    <t>- ❌ **NEVER** use `JSON.stringify()` for cryptographic operations → ALWAYS use `stringUtils.stableStringify()` for deterministic serialization when computing hashes or signatures</t>
  </si>
  <si>
    <t>- ❌ **NEVER use:** `\\(` and `\\)` (double backslash) - this will fail!</t>
  </si>
  <si>
    <t>❌ **Never do this:**</t>
  </si>
  <si>
    <t>**Never mock the object under test** — `allow(subject).to receive(:internal_method)` makes the test a tautology</t>
  </si>
  <si>
    <t>Never, allow</t>
  </si>
  <si>
    <t>**Never use `receive_message_chain`** — `allow(x).to receive_message_chain(:a, :b, :c)` breaks on any scope reorder; use real data instead</t>
  </si>
  <si>
    <t>Never swallow errors.</t>
  </si>
  <si>
    <t>- NEVER swallow exceptions unless specifically requested.</t>
  </si>
  <si>
    <t>the button onClick already takes an async callback for loading state, but make sure this is done everywhere, and make sure errors are NEVER just silently swallowed.</t>
  </si>
  <si>
    <t>gh-gei</t>
  </si>
  <si>
    <t>https://github.com/github/gh-gei/blob/main/.github/copilot-instructions.md</t>
  </si>
  <si>
    <t>Never silently swallow exceptions.</t>
  </si>
  <si>
    <t>- NEVER use `as any` casts in TypeScript code to avoid type errors.</t>
  </si>
  <si>
    <t>Never, avoid</t>
  </si>
  <si>
    <t>- NEVER use Next.js dynamic functions if you can avoid them.</t>
  </si>
  <si>
    <t>- Avoid reflection whenever possible.</t>
  </si>
  <si>
    <t>- For blocking alerts and errors, never use `toast`, as they are easily missed by the user.</t>
  </si>
  <si>
    <t>NEVER run `git config core.hooksPath` to change or disable hooks.</t>
  </si>
  <si>
    <t>- **Never disable analyzers** to bypass PublicAPI.Unshipped.txt issues</t>
  </si>
  <si>
    <t>Never `//revive:disable:file-length-limit`.</t>
  </si>
  <si>
    <t>- **Never use platform-specific binaries in tests** (e.g., `false`, `true`, `sh` on Unix): these don't exist on Windows.</t>
  </si>
  <si>
    <t>Never, Don't</t>
  </si>
  <si>
    <t>- But even in bundler package we generally should NEVER mock if we don't have to.</t>
  </si>
  <si>
    <t>-   Never use duck typing, don't have parameters that can have different types, make types intentional</t>
  </si>
  <si>
    <t>*   **Review AI-generated code**: Never merge code you don't understand.</t>
  </si>
  <si>
    <t>- NEVER just silently use fallback values or whatever when you don't know how to fix type errors.</t>
  </si>
  <si>
    <t>- NEVER EVER AUTOMATICALLY COMMIT OR STAGE ANY CHANGES — DON'T MODIFY GIT WITHOUT USER CONSENT!</t>
  </si>
  <si>
    <t>- **NEVER call `viper.BindEnv()` or `viper.BindPFlag()` directly** - Forbidigo enforces this</t>
  </si>
  <si>
    <t>Never, forbid</t>
  </si>
  <si>
    <t>**FORBIDDEN ACTIONS** (NEVER DO THESE):</t>
  </si>
  <si>
    <t>- **NEVER write `except Exception:` (or bare `except:`).** Catching the generic `Exception` is FORBIDDEN everywhere except at the absolute root of a CLI command or an API endpoint handler.</t>
  </si>
  <si>
    <t>**NEVER USE `git restore HEAD`** - This is FORBIDDEN unless explicitly instructed by the user</t>
  </si>
  <si>
    <t>**Never modify these ignore files** without explicit permission, as they're carefully configured to optimize IDE performance while ensuring all relevant code is properly indexed.</t>
  </si>
  <si>
    <t>- ❌ **NEVER** bypass TypeScript types with `any` or `@ts-ignore` without documented justification</t>
  </si>
  <si>
    <t>* Never create files with `mod.rs` paths - prefer `src/some_module.rs` instead of `src/some_module/mod.rs`.</t>
  </si>
  <si>
    <t>Never, instead of</t>
  </si>
  <si>
    <t>- Use ESM import syntax in browser code and scripts whenever supported, instead of `require` imports.</t>
  </si>
  <si>
    <t>- **Never close HTTP/SDK clients on cache eviction.** `LLMClientCache._remove_key()` must not call `close()`/`aclose()` on evicted clients — they may still be used by in-flight requests.</t>
  </si>
  <si>
    <t>not , Never, Must not</t>
  </si>
  <si>
    <t>- **No N+1 queries.** Never query the DB inside a loop.</t>
  </si>
  <si>
    <t>Never, no</t>
  </si>
  <si>
    <t>**No Manual Edits**: Never touch auto-generated bindings or schemas</t>
  </si>
  <si>
    <t>dotCMS</t>
  </si>
  <si>
    <t>https://github.com/dotCMS/core/blob/main/CLAUDE.md</t>
  </si>
  <si>
    <t>- **Security**: No hardcoded secrets, validate all input, never log sensitive data</t>
  </si>
  <si>
    <t>- **Never mask problems** - no empty tables, no commented-out code, no silent exceptions</t>
  </si>
  <si>
    <t>- **ALWAYS WRITE GENERALIZABLE SOLUTIONS**: Never add edge-case handling or hardcoded logic for specific scenarios (like "piano notes" or "daily notes").</t>
  </si>
  <si>
    <t>- **No build artifacts**: Never commit build artifacts like `dotnet-install.sh`, `node_modules`, `dist`, or other generated files</t>
  </si>
  <si>
    <t>We never do complete merges now, so there should be no `alt_ids` or</t>
  </si>
  <si>
    <t>- ❌ **NEVER use:** `()` (no backslash) - this executes commands!</t>
  </si>
  <si>
    <t>Never, no , ❌</t>
  </si>
  <si>
    <t>- Errors/logging: never swallow errors; handle at boundaries; structured logs and traces via OTEL; no secrets in logs.</t>
  </si>
  <si>
    <t>Never, no , allow</t>
  </si>
  <si>
    <t>- IMPORTANT: Never use git commands with the -i flag (like git rebase -i or git add -i) since they require interactive input which is not supported.</t>
  </si>
  <si>
    <t>not , Never</t>
  </si>
  <si>
    <t>- NEVER write the phrase "You're absolutely right!"  You are not a sycophant.</t>
  </si>
  <si>
    <t>Never ask the contributor to review the maintainer's changes — they are final, not a proposal.</t>
  </si>
  <si>
    <t>**Never test private methods via `send()`** — test through the public interface instead; if creating a user triggers a trial, test by creating the user and checking `user.trial?`, not by calling `user.send(:start_trial)`</t>
  </si>
  <si>
    <t>- **Never modify code not explicitly part of the task** - Keep changes minimal and focused</t>
  </si>
  <si>
    <t>- **Never** reference tasks that are to be done in the future or that are not yet created.</t>
  </si>
  <si>
    <t>Never use `instance.count += 1; instance.save()` - this is NOT atomic and causes lost updates.</t>
  </si>
  <si>
    <t>Please never modify any code that is not immediately pertaining to the edit we are making.</t>
  </si>
  <si>
    <t>- **Never run code formatting commands** - The codebase has specific formatting that should not be changed</t>
  </si>
  <si>
    <t>not , Never, should **not**, should not</t>
  </si>
  <si>
    <t>- Never implement based on assumptions - always verify with official sources</t>
  </si>
  <si>
    <t>- **Never change colors on your own.** Colors (CSS variables, hardcoded values, theme overrides) are only changed through design tasks with explicit design specs.</t>
  </si>
  <si>
    <t>- **Never duplicate unchanged values from light theme into dark theme** — only override CSS vars when the value actually differs</t>
  </si>
  <si>
    <t>- Never write LiteLLM access tokens or API keys to `localStorage` — use `sessionStorage` only.</t>
  </si>
  <si>
    <t>- Never mock anything in tests, always use real objects!! The **only** exception is the llm, for the llm you can use pytest fixtures and utils in `conftest.py` to set up LLM responses.</t>
  </si>
  <si>
    <t>- **MUST read `website/blog/tags.yml`** - Only use tags defined there, never invent new tags</t>
  </si>
  <si>
    <t>- **Config/Logger only**: Never `System.out`, `System.getProperty`, or `System.getenv`</t>
  </si>
  <si>
    <t>- **Maven versions**: Add to `bom/application/pom.xml` ONLY, never `dotCMS/pom.xml`</t>
  </si>
  <si>
    <t>- Data is **never deleted** — only filtered from UI and API reads.</t>
  </si>
  <si>
    <t>- never use DL reasoners such as hermit for the full ontology, it is too large -- and unneccessary as we only have EL axioms, so ELK is sufficient (ELK is the default)</t>
  </si>
  <si>
    <t>Public-skill scripts that touch credentials (cloud tokens, per-agent bearers, claim ids, session cookies) MUST be **token-safe** -- helpers that handle credential bytes are named with a leading underscore (`_skill_*`, internal-only) and return them via bash namerefs into the caller's local variables, NEVER to stdout.</t>
  </si>
  <si>
    <t>Never use `--force` alone — always pair with `--only`.</t>
  </si>
  <si>
    <t>- Never write migrations manually, only edit generated migration files if specifically asked</t>
  </si>
  <si>
    <t>- Never force push on main/default branch; force pushing is only acceptable on feature branches</t>
  </si>
  <si>
    <t>- **Client-side only**: Never import `posthog-js` in server components</t>
  </si>
  <si>
    <t>Store API keys only in environment variables/secure vaults; never in code or cassettes.</t>
  </si>
  <si>
    <t>- `@aglocal` packages are private and never published; `@agoric` packages are published and may only depend on published packages, so `@agoric` packages must never import `@aglocal` packages.</t>
  </si>
  <si>
    <t>- **🚨 CRITICAL**: NEVER use `--approve` or `--request-changes` - only post comments.</t>
  </si>
  <si>
    <t>- **🚨 CRITICAL**: NEVER use `--approve` or `--request-changes` — only post comments.</t>
  </si>
  <si>
    <t>- Never modify Protocol.xml message order - new messages must be added at the end only</t>
  </si>
  <si>
    <t>- Never commit temporary screenshot scripts or image files to the repository - they should only be used locally and uploaded directly to GitHub for PR comments.</t>
  </si>
  <si>
    <t>projectcalico</t>
  </si>
  <si>
    <t>calico</t>
  </si>
  <si>
    <t>https://github.com/projectcalico/calico/blob/master/.github/copilot-instructions.md</t>
  </si>
  <si>
    <t>- **NEVER** run `make ci` or `make cd` locally - these are destructive CI-only targets</t>
  </si>
  <si>
    <t>- `@onekeyhq/kit-bg` - **ONLY** allowed to import from `shared` and `core` (NEVER `components` or `kit`)</t>
  </si>
  <si>
    <t>If it can never be `None` or an error, use `expect("reason")` or `unreachable!("reason")` in a match case rather than `.unwrap()`.</t>
  </si>
  <si>
    <t>Never, rather than</t>
  </si>
  <si>
    <t>(never change after construction) should be constructor parameters rather than set via setter methods.</t>
  </si>
  <si>
    <t>Never combine `matchUpdateTypes` and `allowedVersions` in the same `packageRules` entry — Renovate rejects this.</t>
  </si>
  <si>
    <t>NEVER skip steps or take shortcuts.</t>
  </si>
  <si>
    <t>**NEVER CREATE SIMPLIFIED IMPLEMENTATIONS THAT SKIP PROPER ACTOR IMPLEMENTATION.**</t>
  </si>
  <si>
    <t>- **Build firmware to validate code changes**: `pio run -e esp32dev` — must succeed, never skip this step.</t>
  </si>
  <si>
    <t>This should happen every time, automatically, without being asked, and never fail or be skipped.</t>
  </si>
  <si>
    <t>- NEVER stop, restart, or bounce an Iris cluster unless the user gives express permission.</t>
  </si>
  <si>
    <t>Never, STOP</t>
  </si>
  <si>
    <t>**NEVER commit/stage without explicit user request**</t>
  </si>
  <si>
    <t>**NEVER run destructive git operations** without explicit approval</t>
  </si>
  <si>
    <t>- **NEVER run `git reset`, `git checkout --`, or `git clean`** without explicit user approval</t>
  </si>
  <si>
    <t>**NEVER delete existing comments without a very strong reason.** Preserve helpful comments explaining why/how/what/where.</t>
  </si>
  <si>
    <t>**NEVER run destructive git commands without explicit user confirmation:**</t>
  </si>
  <si>
    <t>**PRESERVE ARCHITECTURE**: Never change existing patterns without explicit request</t>
  </si>
  <si>
    <t>- stay dependency free! never add extra dependencies (without asking) because we compile to wasm</t>
  </si>
  <si>
    <t>Never use features introduced after Python 3.10 without a compatibility fallback.</t>
  </si>
  <si>
    <t>- Never discard changes without stashing them</t>
  </si>
  <si>
    <t>⚠️ **IMPORTANT**: Never mark a task as Done without completing ALL items above.</t>
  </si>
  <si>
    <t>**Caching is critical** - Never bypass caching without explicit user request</t>
  </si>
  <si>
    <t>- **NEVER merge a PR or enable auto-merge without explicit user approval**</t>
  </si>
  <si>
    <t>- Never delete untracked files/directories (or run destructive cleanup) without explicit user confirmation.</t>
  </si>
  <si>
    <t>- **Every change must be proven correct by a test.** Never accept a code change without an accompanying test.</t>
  </si>
  <si>
    <t>- NEVER implement a hacky solution without EXPLICIT approval from the user.</t>
  </si>
  <si>
    <t>- Never resolve scoped services from singletons without creating a scope.</t>
  </si>
  <si>
    <t>- Never push to an active PR without being explicitly asked, even in autopilot/yolo mode.</t>
  </si>
  <si>
    <t>- ❌ **NEVER** modify cryptographic functions without deep security review</t>
  </si>
  <si>
    <t>- **Commit tone**: Direct, technical, no buzzwords.</t>
  </si>
  <si>
    <t>no</t>
  </si>
  <si>
    <t>- Use functional React components with hooks — no class components</t>
  </si>
  <si>
    <t>- **No stateful logic in the `designer-ui` library** — it must remain purely presentational</t>
  </si>
  <si>
    <t>No module-level functions except `run_setup_wizard()` (the public entrypoint) and pure helpers (color, ANSI).</t>
  </si>
  <si>
    <t>- Loading: Use static skeletons that mirror content; no bouncing animations.</t>
  </si>
  <si>
    <t>- No log statements (`console.log`, `debugger`) in tests or production code</t>
  </si>
  <si>
    <t>A self-explanatory type or symbol name needs no doc comment.</t>
  </si>
  <si>
    <t>A short flat-affect affirmation walks the line well — "Good investigation." or "Solid catch." with a period, no exclamation, no superlatives.</t>
  </si>
  <si>
    <t>No hedging ("maybe", "I think perhaps", "if that's okay"), no apologizing for decisions, no asking permission to land changes the maintainer has already made.</t>
  </si>
  <si>
    <t>- Ensure no hardcoded secrets or credentials</t>
  </si>
  <si>
    <t>Validate inputs and paths (no ../, absolute paths)</t>
  </si>
  <si>
    <t>- TypeScript: Strict typing, no implicit any, no unused locals</t>
  </si>
  <si>
    <t>- No semicolon omission, prefer const/let over var</t>
  </si>
  <si>
    <t>- No unused imports or variables (autoflake enforced)</t>
  </si>
  <si>
    <t>- **Automatic**: No manual intervention required</t>
  </si>
  <si>
    <t>- **No `el.style.x = ...` mutations in our JS.** Toggle classes (`classList.add/remove`) instead.</t>
  </si>
  <si>
    <t>- **No inline event handlers** (`onclick=`, `onload=`, etc.).</t>
  </si>
  <si>
    <t>**static**: uses static output life cycle, no previous content is rewritten or modified as new</t>
  </si>
  <si>
    <t>- Use importmap for JS dependencies — no npm/yarn</t>
  </si>
  <si>
    <t>- **No `fetch()` for form submissions** — Use `form_with` with Turbo.</t>
  </si>
  <si>
    <t>- **No `document.getElementById()` for updates** — Use Turbo Frames/Streams to replace DOM sections server-side.</t>
  </si>
  <si>
    <t>- **No `showFlashMessage()` or ad-hoc flash functions** — Use `Flash.show()` (client) or `stream_flash` (server).</t>
  </si>
  <si>
    <t>- **No ActionCable subscriptions for CRUD updates** — Use Turbo Stream broadcasts from models/controllers instead.</t>
  </si>
  <si>
    <t>- **No separate upload controllers per form** — Use the unified `upload` controller with value attributes for configuration.</t>
  </si>
  <si>
    <t>Absolutely no sycophancy, and no "Great question!" energy.</t>
  </si>
  <si>
    <t>Keep content minimal (headers + bullets, no prose).</t>
  </si>
  <si>
    <t>- **No AI references** in commits or PRs — no `Co-Authored-By` AI tags, no `Generated-with` footers.</t>
  </si>
  <si>
    <t>habibrehmansg</t>
  </si>
  <si>
    <t>infopanel</t>
  </si>
  <si>
    <t>https://github.com/habibrehmansg/infopanel/blob/main/CLAUDE.md</t>
  </si>
  <si>
    <t>No separate build step is needed.</t>
  </si>
  <si>
    <t>- No console statements (`no-console: "error"`) - use proper logging</t>
  </si>
  <si>
    <t>- Import organization: No unused imports, consistent type imports</t>
  </si>
  <si>
    <t>- **No unused variables**: Prefix with `_` if intentionally unused</t>
  </si>
  <si>
    <t>- [ ] No ESLint errors or warnings (`yarn lint:eslint`)</t>
  </si>
  <si>
    <t>- [ ] No console statements (use proper logging)</t>
  </si>
  <si>
    <t>- [ ] No test coverage regression: `forge coverage`</t>
  </si>
  <si>
    <t>jefago</t>
  </si>
  <si>
    <t>tiny-markdown-editor</t>
  </si>
  <si>
    <t>https://github.com/jefago/tiny-markdown-editor/blob/main/CLAUDE.md</t>
  </si>
  <si>
    <t>- No dependencies except `core-js` for polyfills</t>
  </si>
  <si>
    <t>- No prefix for basic info (e.g., `PackageName`, `License`)</t>
  </si>
  <si>
    <t>PR titles should be capitalized, imperative mood, no conventional commit prefixes (e.g.</t>
  </si>
  <si>
    <t>- [ ] Tests are deterministic (no flaky tests)</t>
  </si>
  <si>
    <t>- No `eval()`, `exec()`, or `pickle` on user-controlled input</t>
  </si>
  <si>
    <t>- Proper exception handling (no bare `except:`) and use a `msg` variable for error messages</t>
  </si>
  <si>
    <t>- [ ] No hardcoded credentials or secrets</t>
  </si>
  <si>
    <t>- [ ] IAM policies use specific actions (no wildcards)</t>
  </si>
  <si>
    <t>**No Maintenance**: No test code to maintain or update</t>
  </si>
  <si>
    <t>**No database-level uniqueness constraint** exists for slugs on `saved_queries`, `dashboards`, or `spaces` tables.</t>
  </si>
  <si>
    <t>- No task should wait for another's output</t>
  </si>
  <si>
    <t>no , should **not**</t>
  </si>
  <si>
    <t>No relationship should point to an obsolete term - when you obsolete a term, you may need to also rewire</t>
  </si>
  <si>
    <t>device automatically — no `--hardware` flag on those commands.</t>
  </si>
  <si>
    <t>op-rs</t>
  </si>
  <si>
    <t>kona</t>
  </si>
  <si>
    <t>https://github.com/op-rs/kona/blob/main/CLAUDE.md</t>
  </si>
  <si>
    <t>- No warnings policy: all clippy warnings are treated as errors (-D warnings)</t>
  </si>
  <si>
    <t>- **No single-letter variables** except in short lambdas or loop indices</t>
  </si>
  <si>
    <t>- **No empty catch blocks** — at minimum, log the exception</t>
  </si>
  <si>
    <t>- **No `catch (Exception e)`** — catch the specific type you expect</t>
  </si>
  <si>
    <t>- **No `e.printStackTrace()`** — use the logger</t>
  </si>
  <si>
    <t>- **No `throw` or `return` inside `finally` blocks** — they mask the original exception</t>
  </si>
  <si>
    <t>- **No exceptions for flow control** — use conditionals for expected cases</t>
  </si>
  <si>
    <t>- No commented-out code — version control maintains history</t>
  </si>
  <si>
    <t>- One statement per line — no `if (x) return y;` on one line</t>
  </si>
  <si>
    <t>- **No `console.log/warn/error`** — `no-console` rule is enforced.</t>
  </si>
  <si>
    <t>- **No `waitForLoadState('networkidle')`** — flaky, use web-first assertions</t>
  </si>
  <si>
    <t>- **No `page.pause()`** — remove before committing</t>
  </si>
  <si>
    <t>- **No `np.where`** — strips origins.</t>
  </si>
  <si>
    <t>- **No `index.map()`** to pull columns from another table — loses origins.</t>
  </si>
  <si>
    <t>- No associative arrays</t>
  </si>
  <si>
    <t>- No `${var^^}` uppercase expansion</t>
  </si>
  <si>
    <t>- No `[[ -v var ]]` variable checks</t>
  </si>
  <si>
    <t>**NO UNNECESSARY OUTPUT** - ClaudeBox values clean, purposeful output:</t>
  </si>
  <si>
    <t>**No regressions**: performance, security and licence checks green.</t>
  </si>
  <si>
    <t>rocket-admin</t>
  </si>
  <si>
    <t>rocketadmin</t>
  </si>
  <si>
    <t>https://github.com/rocket-admin/rocketadmin/blob/main/CLAUDE.md</t>
  </si>
  <si>
    <t>- Standalone components (no NgModules)</t>
  </si>
  <si>
    <t>- BehaviorSubject-based state management (no NgRx)</t>
  </si>
  <si>
    <t>**Type Safety**: All apps use strict TypeScript - ensure no `any` types</t>
  </si>
  <si>
    <t>- **Error Handling**: Use proper error types and propagation (no panics in library code)</t>
  </si>
  <si>
    <t>- No unnecessary code comments</t>
  </si>
  <si>
    <t>- **No magic numbers/strings** - Use named constants with descriptive names</t>
  </si>
  <si>
    <t>- No performative agreement - just fix and move on</t>
  </si>
  <si>
    <t>- `yarn check:ci` - Run Biome in CI mode (no writes)</t>
  </si>
  <si>
    <t>- **Import Order**: External modules first, then internal modules, no relative imports (use 'app' alias)</t>
  </si>
  <si>
    <t>No Scala 2 support needed.</t>
  </si>
  <si>
    <t>**NO silent compromises** - if proper fix is unclear/hard, ASK before making shortcuts</t>
  </si>
  <si>
    <t>No defensive `?.` in UI if validated upstream.</t>
  </si>
  <si>
    <t>* Use full words for variable names (no abbreviations like "q" for "queue")</t>
  </si>
  <si>
    <t>- Use human-readable names for PRs (no prefixes like "feat:" or "doc:")</t>
  </si>
  <si>
    <t>- [ ] **Integration PRs:** No library imports in flavor files (`src/zenml/integrations/AGENTS.md`)</t>
  </si>
  <si>
    <t>- [ ] **Import checking:** No `zen_server` imports from outside `zen_server` (`src/zenml/zen_server/AGENTS.md`)</t>
  </si>
  <si>
    <t>- [ ] **Import checking:** No direct SQL imports from outside `zen_stores` (`src/zenml/zen_stores/schemas/AGENTS.md`)</t>
  </si>
  <si>
    <t>**Version-controllable text**: Everything configured via text files, no UI/database configs</t>
  </si>
  <si>
    <t>No em dashes, smart quotes, or other unicode punctuation.</t>
  </si>
  <si>
    <t>- No wasted words.</t>
  </si>
  <si>
    <t>No fluff.</t>
  </si>
  <si>
    <t>- All other agent-facing rules (no comments, no editing generated files, clippy/Biome shape, post-edit gates) live in **Pre-Generation Invariants** at the top of this file.</t>
  </si>
  <si>
    <t>- **LiveView**: no database queries in disconnected mount.</t>
  </si>
  <si>
    <t>- **Security**: no `String.to_atom/1` with user input.</t>
  </si>
  <si>
    <t>charlesvestal</t>
  </si>
  <si>
    <t>extending-move</t>
  </si>
  <si>
    <t>https://github.com/charlesvestal/extending-move/blob/main/AGENTS.md</t>
  </si>
  <si>
    <t>No global JavaScript handler is required.</t>
  </si>
  <si>
    <t>No migration path provided.</t>
  </si>
  <si>
    <t>- Imports: TS path aliases (e.g., @spec, @ui, @tools) once configured; Python uses absolute imports, no wildcard imports.</t>
  </si>
  <si>
    <t>EduardoPires</t>
  </si>
  <si>
    <t>EquinoxProject</t>
  </si>
  <si>
    <t>https://github.com/EduardoPires/EquinoxProject/blob/master/AGENTS.md</t>
  </si>
  <si>
    <t>No additional internet access will be available after environment initialization.</t>
  </si>
  <si>
    <t>- No subcommand =&gt; defaults to `scan` in `src/main.rs`.</t>
  </si>
  <si>
    <t>- No new unbounded tasks or shared-state races.</t>
  </si>
  <si>
    <t>- **Simplicity** — no features, abstractions, flexibility, or error handling beyond what was asked.</t>
  </si>
  <si>
    <t>- **Language/style:** C99, 2-space indent (no tabs), snake_case helpers, `UPPER_CASE` macros.</t>
  </si>
  <si>
    <t>- **Safety:** no dynamic allocation; defer ISR work to task context; use `TU_ASSERT()` for error checks; always check return values; include order: C stdlib → tusb common → drivers → classes.</t>
  </si>
  <si>
    <t>No manual setup needed if Docker is available.</t>
  </si>
  <si>
    <t>No imports from other layers.</t>
  </si>
  <si>
    <t>No imports from adapters or core.</t>
  </si>
  <si>
    <t>**No local imports.** All imports must be at module top level.</t>
  </si>
  <si>
    <t>**No leading-underscore prefixes.** Python has no real public/private distinction.</t>
  </si>
  <si>
    <t>- **description**: imperative mood, lowercase, no period at the end</t>
  </si>
  <si>
    <t>CI enforces that no `TODO` comments remain on main, so they are a safe way to flag work-in-progress during development.</t>
  </si>
  <si>
    <t>- `@langfuse/shared` -&gt; no imports from `web`, `worker`, or `ee`</t>
  </si>
  <si>
    <t>- No complex dual-array synchronization</t>
  </si>
  <si>
    <t>- No complex dual-array synchronization or ID matching</t>
  </si>
  <si>
    <t>- **No silent failures** - Every error should be visible and actionable</t>
  </si>
  <si>
    <t>No local imports except to break circular dependencies or guard optional deps.</t>
  </si>
  <si>
    <t>No `TYPE_CHECKING` guards — fix cycles structurally via protocols.</t>
  </si>
  <si>
    <t>- No ad-hoc compatibility hacks (`hasattr(m, "old_attr")`); update code consistently.</t>
  </si>
  <si>
    <t>- No `*_utils.py` — use descriptive names like `text_cleaning.py`.</t>
  </si>
  <si>
    <t>- No `_s` suffix for seconds (assumed in this codebase).</t>
  </si>
  <si>
    <t>No abbreviations like `exe` — use `exec` or full words.</t>
  </si>
  <si>
    <t>- No `default_*` wrappers that obscure underlying mechanisms.</t>
  </si>
  <si>
    <t>- Force explicit specification of critical parameters (no silent defaults).</t>
  </si>
  <si>
    <t>**NO BACKWARD COMPATIBILITY**: Update all call sites instead.</t>
  </si>
  <si>
    <t>- No mocks unless testing I/O boundaries (network, filesystem).</t>
  </si>
  <si>
    <t>- No `time.sleep()` in tests — inject `now=time.time()` or mock time instead.</t>
  </si>
  <si>
    <t>mark3labs</t>
  </si>
  <si>
    <t>mcp-go</t>
  </si>
  <si>
    <t>https://github.com/mark3labs/mcp-go/blob/main/AGENTS.md</t>
  </si>
  <si>
    <t>- **Comments**: All exported types/functions MUST have godoc comments starting with the name; no inline comments unless necessary</t>
  </si>
  <si>
    <t>mcp-dotnet-samples</t>
  </si>
  <si>
    <t>https://github.com/microsoft/mcp-dotnet-samples/blob/main/AGENTS.md</t>
  </si>
  <si>
    <t>- [ ] **Security**: No hardcoded secrets or vulnerabilities</t>
  </si>
  <si>
    <t>- [ ] **Performance**: No significant performance regressions</t>
  </si>
  <si>
    <t>No compilation or build step is needed for the core curriculum content.</t>
  </si>
  <si>
    <t>- [ ] No new external dependencies added</t>
  </si>
  <si>
    <t>- [ ] No breaking changes to public APIs</t>
  </si>
  <si>
    <t>No external dependencies introduced</t>
  </si>
  <si>
    <t>There are NO other exceptions to this rule.</t>
  </si>
  <si>
    <t>No package scripts in this repo need extra flags such as `-- --write`; the scripts already know when to write changes versus just check.</t>
  </si>
  <si>
    <t>No comments unless explicitly requested.</t>
  </si>
  <si>
    <t>- **Docstrings:** Use numpy style, multi-line, no single-line docstrings.</t>
  </si>
  <si>
    <t>- **No import-time warnings for missing optional deps.**</t>
  </si>
  <si>
    <t>- **Docstrings:** Numpy style, multi-line, no single-line docstrings.</t>
  </si>
  <si>
    <t>- **No secrets in code or tests.**</t>
  </si>
  <si>
    <t>No nodejs or vue components are used.</t>
  </si>
  <si>
    <t>shopware</t>
  </si>
  <si>
    <t>https://github.com/shopware/shopware/blob/master/AGENTS.md</t>
  </si>
  <si>
    <t>- **NO Doctrine ORM** - Uses custom Data Abstraction Layer (DAL)</t>
  </si>
  <si>
    <t>- **NO QueryBuilder** - Use `Criteria` API instead</t>
  </si>
  <si>
    <t>- **NO Doctrine Annotations** - Use `EntityDefinition` classes</t>
  </si>
  <si>
    <t>- **NO Doctrine Repositories** - Use `EntityRepository` with DAL</t>
  </si>
  <si>
    <t>- No test framework is configured.</t>
  </si>
  <si>
    <t>- Complete (no critical information missing)</t>
  </si>
  <si>
    <t>- [ ] Security scan passes (no secrets committed)</t>
  </si>
  <si>
    <t>No UI logic in code-behind beyond `InitializeComponent()`.</t>
  </si>
  <si>
    <t>- No reference from Domain to UI or Avalonia types.</t>
  </si>
  <si>
    <t>- No code-behind event handlers.</t>
  </si>
  <si>
    <t>ydb-platform</t>
  </si>
  <si>
    <t>ydb</t>
  </si>
  <si>
    <t>https://github.com/ydb-platform/ydb/blob/main/AGENTS.md</t>
  </si>
  <si>
    <t>- No `-j`</t>
  </si>
  <si>
    <t>- No force rebuild</t>
  </si>
  <si>
    <t>- ZenML uses **SQLModel** (SQLAlchemy-based) — no raw SQL unless absolutely necessary</t>
  </si>
  <si>
    <t>- [ ] **Integration PRs:** No library imports in flavor files (`integrations/AGENTS.md`)</t>
  </si>
  <si>
    <t>- [ ] **Import checking:** No `zen_server` imports from outside `zen_server` (`zen_server/AGENTS.md`)</t>
  </si>
  <si>
    <t>- [ ] **Import checking:** No direct SQL imports from outside `zen_stores` (`zen_stores/schemas/AGENTS.md`)</t>
  </si>
  <si>
    <t>- Async functions: handle promises properly, no floating promises</t>
  </si>
  <si>
    <t>Ensure no temporary changes to pyproject.toml for Python version</t>
  </si>
  <si>
    <t>- Sentence case headings (no gerunds in titles)</t>
  </si>
  <si>
    <t>*   **Line length:** Wrap lines at no more than 120 characters</t>
  </si>
  <si>
    <t>No revert after many turns.</t>
  </si>
  <si>
    <t>No filler drift.</t>
  </si>
  <si>
    <t>- Keep unit tests deterministic (no network calls)</t>
  </si>
  <si>
    <t>PowerToys</t>
  </si>
  <si>
    <t>https://github.com/microsoft/PowerToys/blob/main/.github/copilot-instructions.md</t>
  </si>
  <si>
    <t>- Atomic PRs: one logical change, no drive-by refactors</t>
  </si>
  <si>
    <t>- Keep hot paths quiet (no logging in hooks/tight loops)</t>
  </si>
  <si>
    <t>- **Indentation**: 2 spaces, no tabs</t>
  </si>
  <si>
    <t>- SQLite for persistence (no ORM)</t>
  </si>
  <si>
    <t>- [ ] No orphaned or outdated property references in samples</t>
  </si>
  <si>
    <t>obsolete terms should have no logical axioms (is_a, relationship,</t>
  </si>
  <si>
    <t>- [ ] No custom localization (use preferences for locale-dependent features)</t>
  </si>
  <si>
    <t>- No barrel files or `index.ts` re-exports</t>
  </si>
  <si>
    <t>No default exports, use function declarations.</t>
  </si>
  <si>
    <t>- No Vue 2 event bus patterns (`$root.$emit`, `$root.$on`)</t>
  </si>
  <si>
    <t>- Use **strict TypeScript** - no `any` types allowed</t>
  </si>
  <si>
    <t>no , allow</t>
  </si>
  <si>
    <t>- Unit tests: `tests/unit_tests/` (no network calls allowed)</t>
  </si>
  <si>
    <t>- **No 'any' type allowed** — strict TypeScript enforced</t>
  </si>
  <si>
    <t>- **No unsafe code**: Unsafe code is forbidden (`unsafe_code = "forbid"`)</t>
  </si>
  <si>
    <t>no , forbid</t>
  </si>
  <si>
    <t>- [ ] No generated outputs committed (check `.gitignore`)</t>
  </si>
  <si>
    <t>- **No `# type: ignore` in production code.** `type: ignore` comments are forbidden in `pgqueuer/`.</t>
  </si>
  <si>
    <t>**NO "it works for now"** - either fix properly or document limitation + get approval</t>
  </si>
  <si>
    <t>- No "PTAL", "WDYT", or sign-off flourishes asking the contributor to re-review changes the maintainer pushed on top.</t>
  </si>
  <si>
    <t>- **No inline `style="..."` attributes in our HTML templates.** Use Tailwind utility classes; for one-offs use Tailwind arbitrary values (`h-[400px]`, `bg-[#abcdef]`).</t>
  </si>
  <si>
    <t>- **No authentication bypass**: Public sharing only exposes specifically designed endpoints</t>
  </si>
  <si>
    <t>- Use named exports only (no default exports)</t>
  </si>
  <si>
    <t>Public wrappers (no leading underscore) read credentials from `.env` internally and emit ONLY the response body.</t>
  </si>
  <si>
    <t>- **Component Structure**: Functional components only, no class components</t>
  </si>
  <si>
    <t>- **No `.only` on tests** — blocks all other tests in CI</t>
  </si>
  <si>
    <t>- **CSS framework**: Tailwind CSS only – no inline styles or CSS modules</t>
  </si>
  <si>
    <t>- **Functional components only** (no class components)</t>
  </si>
  <si>
    <t>- **Named exports only** (no default exports)</t>
  </si>
  <si>
    <t>- Include only feature content (no HTML structure)</t>
  </si>
  <si>
    <t>- Functional components with hooks only—*no class components*.</t>
  </si>
  <si>
    <t>- Use real components from the codebase (no test-only components).</t>
  </si>
  <si>
    <t>- **Strict TypeScript** with `strictTypeChecked` ESLint config — no `any` usage (exceptions only for external APIs)</t>
  </si>
  <si>
    <t>- **No default exports** (ESLint enforced); use `import type` for type-only imports</t>
  </si>
  <si>
    <t>- Use named exports only (no `default` exports)</t>
  </si>
  <si>
    <t>- Functional components only (no class components)</t>
  </si>
  <si>
    <t>**NO EXTERNAL DEPENDENCIES** - Use only Android SDK and Java standard library</t>
  </si>
  <si>
    <t>- **No warnings/errors for missing optional dependencies at import time.** Only raise when backend is used.</t>
  </si>
  <si>
    <t>- i18n: i18next with flat keys only; no `defaultValue`.</t>
  </si>
  <si>
    <t>- Use compiled bindings only (no reflection bindings) with explicit `x:DataType` on</t>
  </si>
  <si>
    <t>Keep the file valid JSON (double quotes only, no comments, no trailing commas).</t>
  </si>
  <si>
    <t>- **Minimal dependencies** - use Android/Java stdlib only, no external libraries</t>
  </si>
  <si>
    <t>- **Instrumented tests only** - no unit tests</t>
  </si>
  <si>
    <t>- **Character Restrictions**: Only safe characters allowed (no HTML, JavaScript, etc.)</t>
  </si>
  <si>
    <t>- **NO CLARIFICATION**: Skip asking about implementation details unless absolutely critical</t>
  </si>
  <si>
    <t>- No TODOs without a ticket reference</t>
  </si>
  <si>
    <t>- **OTP**: no process without a runtime reason.</t>
  </si>
  <si>
    <t>- No consecutive headings without content between them</t>
  </si>
  <si>
    <t>- [ ] No command names changed without discussion (affects user data)</t>
  </si>
  <si>
    <t>- **NO SHORTCUTS** - Write clear, explicit code that won't accidentally exit</t>
  </si>
  <si>
    <t>- Use external event handlers, not inline event attributes</t>
  </si>
  <si>
    <t>not</t>
  </si>
  <si>
    <t>- Web Components should inherit styles from page CSS (not Shadow DOM)</t>
  </si>
  <si>
    <t>not , should **not**</t>
  </si>
  <si>
    <t>- Use `JSON::XS::true`/`JSON::XS::false` for boolean values, not 1/0</t>
  </si>
  <si>
    <t>- **New database operations**: Implement as API calls to the internal API service, not direct database access</t>
  </si>
  <si>
    <t>- **`names`**: Monitor TLS names (comma-separated) - NOT "monitor_ids"</t>
  </si>
  <si>
    <t>actnwit</t>
  </si>
  <si>
    <t>RhodoniteTS</t>
  </si>
  <si>
    <t>https://github.com/actnwit/RhodoniteTS/blob/main/CLAUDE.md</t>
  </si>
  <si>
    <t>- Main development branch is `develop`, not `main`</t>
  </si>
  <si>
    <t>- Generator gets DMMF directly from `@prisma/generator-helper`, not from `@paljs/schema`</t>
  </si>
  <si>
    <t>- Use `Icon` suffix for Phosphor React icons (e.g., `CaretIcon` not `Caret`).</t>
  </si>
  <si>
    <t>- Prefer running single tests, not the whole suite, when developing.</t>
  </si>
  <si>
    <t>**IMPORTANT**: The experiment ID must be from actually running the GPU test script (`scripts/test/run_gpu_pytest.sh`), NOT from training or debug scripts.</t>
  </si>
  <si>
    <t>NOTE: `npx` should be used here, not `pnpm`, so that the verdaccio local registry auth works correctly.</t>
  </si>
  <si>
    <t>- **nx-plugin**: Nx plugin for the local Angular ESLint monorepo, not published to npm</t>
  </si>
  <si>
    <t>This file is a **table of contents**, not an encyclopedia.</t>
  </si>
  <si>
    <t>- **The project uses tabs for indentation, not spaces.** All TypeScript, TSX, and SCSS files use tab characters.</t>
  </si>
  <si>
    <t>- Component variations should be implemented as separate props, not as className strings.</t>
  </si>
  <si>
    <t>- Icons use semantic naming (e.g., `arrow.svg`, `swiper.svg`); hover color is handled via CSS, not separate SVG files</t>
  </si>
  <si>
    <t>- **New components** must use makeStyles, not .less files</t>
  </si>
  <si>
    <t>- Always use block statements with braces — `if (x) { break; }` not `if (x) break;`</t>
  </si>
  <si>
    <t>optional params) and ensure the UI controls match — e.g., use a single-select dropdown when the backend accepts a single value, not a multi-select</t>
  </si>
  <si>
    <t>- Use `RecordNotFoundError` (not bare `except Exception`) when catching "already deleted" in credential delete endpoints.</t>
  </si>
  <si>
    <t>- **Push work to the DB.** Filter, sort, group, and aggregate in SQL, not Python.</t>
  </si>
  <si>
    <t>- **Pin every external tool to a specific version** with a full URL (not `latest` or `stable`).</t>
  </si>
  <si>
    <t>- Use tabs for indentation in all python code, not spaces</t>
  </si>
  <si>
    <t>- **Indent: tab.** Not two spaces, not four spaces.</t>
  </si>
  <si>
    <t>- Test behavior, not implementation</t>
  </si>
  <si>
    <t>- **Use absolute paths for fixture counting:** any `filepath.WalkDir` or file-count assertion must use an already-resolved absolute path (not a relative one) to be CWD-independent.</t>
  </si>
  <si>
    <t>When a comment is genuinely required, write one short sentence describing behavior — not history, rationale, or examples.</t>
  </si>
  <si>
    <t>The register is authoritative and friendly — concise, not bubbly, not over-explaining, not effusive.</t>
  </si>
  <si>
    <t>Comments come from a maintainer handing down decisions, not negotiating them.</t>
  </si>
  <si>
    <t>Warmth otherwise comes from a short closer ("Thanks for looking into this, though 👍"), not a preamble that butters up the contributor before the decision.</t>
  </si>
  <si>
    <t>- Be direct when declining, but not curt.</t>
  </si>
  <si>
    <t>A subsequent `git push -u origin &lt;branch&gt;` then pushes to `refs/heads/main`, not to a new remote branch.</t>
  </si>
  <si>
    <t>- Prefer running single tests, and not the whole test suite, for performance</t>
  </si>
  <si>
    <t>Code should be self-documenting or have comments that explain WHY something exists, not WHAT you just changed.</t>
  </si>
  <si>
    <t>If you need to communicate changes to me, do it in your response text, NOT in code comments.</t>
  </si>
  <si>
    <t>not , Do **not**</t>
  </si>
  <si>
    <t>Address the root cause, not just the symptom</t>
  </si>
  <si>
    <t>- Comments should provide additional context or explain "why" something is done, not just restate "what" is being done.</t>
  </si>
  <si>
    <t>- Focus tests on behavior, not implementation details</t>
  </si>
  <si>
    <t>- Mock the underlying functions, not the Click command itself</t>
  </si>
  <si>
    <t>- Test coverage isn't a goal - write tests that validate functionality, not hit metrics</t>
  </si>
  <si>
    <t>- **Use semantic tokens**: `text-primary`, `bg-surface-primary`, not raw colors</t>
  </si>
  <si>
    <t>We write tests to validate functionality, not to achieve coverage metrics:</t>
  </si>
  <si>
    <t>- Add missing generics: `List&lt;String&gt;` not `List`</t>
  </si>
  <si>
    <t>- Replace legacy: `Logger.info()` not `System.out.println()`</t>
  </si>
  <si>
    <t>- Modern Angular: `@if` not `*ngIf`, `input()` not `@Input()`</t>
  </si>
  <si>
    <t>- When patterns are missing: update the relevant `/docs/{domain}/` file, not this file</t>
  </si>
  <si>
    <t>Tests split by what they prove, not who typed them:</t>
  </si>
  <si>
    <t>Keep them short (~50 lines) — bullet-point reminders, not tutorials.</t>
  </si>
  <si>
    <t>Package rules should describe how Plain works, not what Django does differently.</t>
  </si>
  <si>
    <t>- Transaction logic should be in `transaction/` files, not components</t>
  </si>
  <si>
    <t>- Prefer fixing snapshot tests using the -u command but always justify why the diff is actually expected and not a regression.</t>
  </si>
  <si>
    <t>- For mocked modules, use patterns that focus on the behavior, not path-specific information</t>
  </si>
  <si>
    <t>- **Location**: Runs on HOST machine (not in VM)</t>
  </si>
  <si>
    <t>**CRITICAL: Always use bash wrapper scripts (NOT direct Python invocation):**</t>
  </si>
  <si>
    <t>If you made edits on `master`, the correct end-state is a feature branch + pushed PR — not a dirty working tree.</t>
  </si>
  <si>
    <t>- Focus on testing image processing logic, not UI</t>
  </si>
  <si>
    <t>**Migrations**: Put all migrations (schema and data) in `db/migrate/`, not `db/data/`.</t>
  </si>
  <si>
    <t>- Load user dictionaries during initialization, not runtime</t>
  </si>
  <si>
    <t>- [ ] is_a is not over-asserted</t>
  </si>
  <si>
    <t>- [ ] REFERENCE-VALIDATION: All references (eg PMIDs) introduced have been validated, and are relevant, and not typos or hallucinations; always use /research for this</t>
  </si>
  <si>
    <t>Use PMIDs where possible, and ALWAYS check that these PMIDs are the correct ones, and not typos or hallucinated.</t>
  </si>
  <si>
    <t>In the edit file, all relationship types are specified using the "short form" and not the RO/BFO ID.</t>
  </si>
  <si>
    <t>- Use specific error types, not generic Error</t>
  </si>
  <si>
    <t>- **All PRs target `develop`** (NOT `master`)</t>
  </si>
  <si>
    <t>- This project uses **Oxlint** and **Oxfmt** — NOT ESLint or Prettier</t>
  </si>
  <si>
    <t>- New examples should show the actual runtime seam, not placeholders.</t>
  </si>
  <si>
    <t>Use `pnpm`, not `npm`.</t>
  </si>
  <si>
    <t>- Accumulate `res$items` arrays, not entire response objects</t>
  </si>
  <si>
    <t>hivesolutions</t>
  </si>
  <si>
    <t>appier</t>
  </si>
  <si>
    <t>https://github.com/hivesolutions/appier/blob/master/CLAUDE.md</t>
  </si>
  <si>
    <t>- Prefer `item not in list` over `not item in list`</t>
  </si>
  <si>
    <t>- Custom sizing is NOT recommended - use the standard width presets</t>
  </si>
  <si>
    <t>- Be simple and user friendly — explain what the change does, not implementation details</t>
  </si>
  <si>
    <t>- **Use active voice**: "Delete the automation" not "The automation should be deleted"</t>
  </si>
  <si>
    <t>https://github.com/johnlindquist/kit/blob/main/CLAUDE.md</t>
  </si>
  <si>
    <t>Tests are placed in the same directory as the source code they test, not in a separate test directory.</t>
  </si>
  <si>
    <t>**Test Isolation**: Each test should be independent and not rely on other tests</t>
  </si>
  <si>
    <t>- Use concise, user-facing language (what changed for the user, not implementation details)</t>
  </si>
  <si>
    <t>Always use `pnpm` (not `npx`) to run frontend tests.</t>
  </si>
  <si>
    <t>Add login page not "feat: add login page").</t>
  </si>
  <si>
    <t>- Types go in function signatures, NOT in docstrings</t>
  </si>
  <si>
    <t>- Ensure American English spelling (e.g., "behavior", not "behaviour")</t>
  </si>
  <si>
    <t>The `--data-dir` must point to the directory containing `profile_augmentations.toml`, not the top-level package directory.</t>
  </si>
  <si>
    <t>- **Contextual Understanding**: Analyzes code semantically, not just syntactically</t>
  </si>
  <si>
    <t>- USE `hive_ce` not `hive` package for Hive integration.</t>
  </si>
  <si>
    <t>- CI release builds for Android are split per ABI, not a single fat APK.</t>
  </si>
  <si>
    <t>- Put business logic in importable workflow or domain modules, not inside CLI command functions.</t>
  </si>
  <si>
    <t>- Focus tests on functional correctness and observable behavior, not on logging implementation</t>
  </si>
  <si>
    <t>- Keep checked-in guidance focused on the package and stable workflows, not on transient working files.</t>
  </si>
  <si>
    <t>modelcontextprotocol</t>
  </si>
  <si>
    <t>typescript-sdk</t>
  </si>
  <si>
    <t>https://github.com/modelcontextprotocol/typescript-sdk/blob/main/CLAUDE.md</t>
  </si>
  <si>
    <t>- Use explicit named exports, not `export *`, in package `index.ts` files and `core/public`.</t>
  </si>
  <si>
    <t>- Internal helpers should stay in the core internal barrel and not be added to `core/public` or package index files.</t>
  </si>
  <si>
    <t>- Think "How can I split this?" not "Should I split this?"</t>
  </si>
  <si>
    <t>Specs describe current reality, not aspiration.</t>
  </si>
  <si>
    <t>Specs should test behavior, not implementation.</t>
  </si>
  <si>
    <t>- **Main branch**: `x` - Always use `x` as the base branch (not `master` or `main`)</t>
  </si>
  <si>
    <t>**In worktrees**: When Claude Code creates a Git worktree, the venv from the main repo is NOT copied.</t>
  </si>
  <si>
    <t>- **Node/Yarn**: Use `yarn` (not `npm`) for frontend.</t>
  </si>
  <si>
    <t>- **Navigation**: Use `useNavigate` from react-router-dom, not direct history manipulation</t>
  </si>
  <si>
    <t>- Repository classes handle data access, not business logic</t>
  </si>
  <si>
    <t>- Use diamond operator `&lt;&gt;` — `new ArrayList&lt;&gt;()` not `new ArrayList&lt;String&gt;()`</t>
  </si>
  <si>
    <t>- Generate production-ready code, not tutorial code</t>
  </si>
  <si>
    <t>- **Use `===` not `==`** — `eqeqeq` (smart mode, except for `null` checks)</t>
  </si>
  <si>
    <t>- **Self-closing components** — `&lt;Div /&gt;` not `&lt;Div&gt;&lt;/Div&gt;`</t>
  </si>
  <si>
    <t>- **Space after `//` in comments** — `// comment` not `//comment`</t>
  </si>
  <si>
    <t>- Use locators, not element handles</t>
  </si>
  <si>
    <t>- **Use pytest, not unittest** - write tests using pytest style with plain `assert` statements</t>
  </si>
  <si>
    <t>- **Keep connector-specific logic in connector-specific files**, not in generic/shared files like `builders.py`</t>
  </si>
  <si>
    <t>- Example: Redshift IAM auth should be in `ingestion/src/metadata/ingestion/source/database/redshift/connection.py`, not in `ingestion/src/metadata/ingestion/connections/builders.py`</t>
  </si>
  <si>
    <t>- **Mocks are for boundaries, not internals** - mock external services (HTTP clients, third-party APIs), not your own classes.</t>
  </si>
  <si>
    <t>Judge breaking changes against the latest release tag, not unreleased branch-local churn.</t>
  </si>
  <si>
    <t>**Always post `@codex review` as a separate PR comment** (not in the PR description) to trigger a Codex review.</t>
  </si>
  <si>
    <t>Use `uv` (not pip):</t>
  </si>
  <si>
    <t>- When reviewing existing code, treat any `except Exception` you encounter as a bug to fix (replace it with the specific exception(s) actually raised, or remove the try/except entirely), not as a precedent to follow.</t>
  </si>
  <si>
    <t>- Use strong asserts: test value, not just type and presence.</t>
  </si>
  <si>
    <t>- Include concise docstrings explaining test purpose but not on top of the file and not on top of the class.</t>
  </si>
  <si>
    <t>- Use `rg` for searching, not grep</t>
  </si>
  <si>
    <t>- **Multi-threading**: OpenMP parallelization, not MPI (unlike Fortran VMEC)</t>
  </si>
  <si>
    <t>- **Lock files are NOT used** - Container names provide the locking mechanism</t>
  </si>
  <si>
    <t>- **Outcome-Oriented:** Focus on the result, not the method.</t>
  </si>
  <si>
    <t>For example: `assert email is "a@b.com` instead if `assert email is not None`</t>
  </si>
  <si>
    <t>- Use `post_migrate` signal to trigger the celery task after all migrations complete (not inline)</t>
  </si>
  <si>
    <t>`user_id`, not `userId`).</t>
  </si>
  <si>
    <t>- **Reliable**: Matches semantic patterns, not just text</t>
  </si>
  <si>
    <t>- **TypeScript generics**: descriptive names (`TData` not `T`)</t>
  </si>
  <si>
    <t>- Use short-form comments (`//`), not JSDoc blocks</t>
  </si>
  <si>
    <t>- Explain WHY (business logic), not WHAT</t>
  </si>
  <si>
    <t>- Multi-line comments use multiple `//` lines, not `/** */`</t>
  </si>
  <si>
    <t>- **Test behavior, not implementation** — focus on user perspective</t>
  </si>
  <si>
    <t>and why, not what has changed from previous versions.</t>
  </si>
  <si>
    <t>capture change information, not the code itself.**</t>
  </si>
  <si>
    <t>- Uses Jakarta EE (not Java EE)</t>
  </si>
  <si>
    <t>- Use the imperative mood ("Add feature" not "Added feature")</t>
  </si>
  <si>
    <t>- Describe what changed and why, not how</t>
  </si>
  <si>
    <t>- Implement thorough testing for gem functionality, not just loading</t>
  </si>
  <si>
    <t>- All shell code should be compatible with busybox, not bash-specific features</t>
  </si>
  <si>
    <t>- Focus exclusively on testing behavior and functionality, not output format or content</t>
  </si>
  <si>
    <t>- Use `${...}` for string interpolation (not `$var`)</t>
  </si>
  <si>
    <t>Focus on "why" not "what" in commit messages.</t>
  </si>
  <si>
    <t>Show command output, not descriptions ("Fixed" → show passing tests)</t>
  </si>
  <si>
    <t>Thinking out loud is the task, not overhead.</t>
  </si>
  <si>
    <t>**Buffer comparison:** Use `buffersEqual()` from `serialization-utils.ts` (not Buffer.compare)</t>
  </si>
  <si>
    <t>Time-travel: read from `env` not live stores.</t>
  </si>
  <si>
    <t>**Specific enough to act on** — a concrete instruction, not a vague principle.</t>
  </si>
  <si>
    <t>Rules that apply to a single crate belong in that crate's own `.rules` file, not the repo root.</t>
  </si>
  <si>
    <t>- Use imperative mood: "Add feature" not "Added feature"</t>
  </si>
  <si>
    <t>- **Intervals**: Use `(:days || ' days')::INTERVAL` for dynamic intervals, not `INTERVAL ':days days'`</t>
  </si>
  <si>
    <t>- `values-demo.yaml` is an overlay on top of `values.yaml`, not a full copy of every chart value.</t>
  </si>
  <si>
    <t>Sign the new `web-ng` tag with the release signer, not a local key:</t>
  </si>
  <si>
    <t>Separate parameters with spaces, not commas</t>
  </si>
  <si>
    <t>When reviewing PRs, focus the majority of your effort on correctness and performance (not style).</t>
  </si>
  <si>
    <t>need not comment the database being in an inconsistent state after such an error.</t>
  </si>
  <si>
    <t>Document what the trait does, not how specific implementations behave.</t>
  </si>
  <si>
    <t>Still in used, but we are trying not to add to it.</t>
  </si>
  <si>
    <t>- Go tests run via `dda inv test` (not raw `go test`)</t>
  </si>
  <si>
    <t>documentation in the same PR — not as a follow-up.</t>
  </si>
  <si>
    <t>dependency is unavailable, not propagate errors or panic.</t>
  </si>
  <si>
    <t>- Ensure your setup script is running during the setup/initialization phase (not in the regular terminal).</t>
  </si>
  <si>
    <t>Core code should depend on protocols, not `Queries` directly.</t>
  </si>
  <si>
    <t>- Use **native Python types**: `list[int]`, `dict[str, Any]`, `int | None` (not `Optional`)</t>
  </si>
  <si>
    <t>- **Generic constructors over type-annotated assignments** for typed stdlib objects: `fut = asyncio.Future[MyType]()` not `fut: asyncio.Future[MyType] = asyncio.Future()`.</t>
  </si>
  <si>
    <t>Tests must be narrow and precise -- test exactly the behavior being changed, not broad integration sweeps.</t>
  </si>
  <si>
    <t>Explain **why**, not just what.</t>
  </si>
  <si>
    <t>- Catch specific exceptions, not general `Exception`</t>
  </si>
  <si>
    <t>*   Mixing pytest &amp; ward syntax (ward uses `@test()` decorator, not pytest fixtures/classes).</t>
  </si>
  <si>
    <t>- Backend: python (3.10+ for library, 3.13 for desktop), pytest, FastAPI, asyncio, pydantic (v2 not v1),</t>
  </si>
  <si>
    <t>- Frontend web: typescript, svelte (v4 not v5), tailwind, DaisyUI</t>
  </si>
  <si>
    <t>This guidance applies to documentation and examples, not code defaults.</t>
  </si>
  <si>
    <t>- **Configuration over convention**: If behavior needs to vary, make it configurable, not hardcoded</t>
  </si>
  <si>
    <t>- Coordination between multiple agents should use a separate coordination layer, not ad-hoc issue comments or long prompt memory.</t>
  </si>
  <si>
    <t>**Universal robustness** - Yazelix must work reliably for all users, not just maintainers who can manually fix issues</t>
  </si>
  <si>
    <t>If Yazelix wants to adopt an external user config, that must be an explicit user action such as an import command, not an implicit startup side effect.</t>
  </si>
  <si>
    <t>Treat Nix builds, Home Manager switches, and package validators as explicit final gates, not the default edit-check loop.</t>
  </si>
  <si>
    <t>- Treat existing inline quoted-script seams as refactor targets, not as patterns to copy.</t>
  </si>
  <si>
    <t>- Use separate classes over boolean flags for variant behavior (`NativeVllm` / `DockerVllm`, not `Vllm(docker=True)`).</t>
  </si>
  <si>
    <t>- Normalize inputs to a standard format once at the boundary, not throughout.</t>
  </si>
  <si>
    <t>- Mock at boundaries (e.g., wandb), not internal logger output.</t>
  </si>
  <si>
    <t>mbrt</t>
  </si>
  <si>
    <t>gmailctl</t>
  </si>
  <si>
    <t>https://github.com/mbrt/gmailctl/blob/master/AGENTS.md</t>
  </si>
  <si>
    <t>- YAML configs are explicitly **not supported** (returns error with help message)</t>
  </si>
  <si>
    <t>- [ ] Uses application context (not Activity)</t>
  </si>
  <si>
    <t>**Synchronization** - Use dedicated lock objects, not 'this'</t>
  </si>
  <si>
    <t>inspector</t>
  </si>
  <si>
    <t>https://github.com/modelcontextprotocol/inspector/blob/main/AGENTS.md</t>
  </si>
  <si>
    <t>- Use ES modules (import/export) not CommonJS</t>
  </si>
  <si>
    <t>“stack,” not “Stack”).</t>
  </si>
  <si>
    <t>- **Commits:** Use MCP tools, not direct git CLI.</t>
  </si>
  <si>
    <t>Use comments to clarify non-obvious intent and invariants, not to compensate for unclear code.</t>
  </si>
  <si>
    <t>Treat `cache_version` as a DB-side stale-sync guard for `syncItemV4`, not a general cache mutation counter.</t>
  </si>
  <si>
    <t>- Treat this as a reviewable legacy action, not a pattern to copy into new runtime/cache patch paths.</t>
  </si>
  <si>
    <t>- All imports must be at the module level (top of the file), not inside functions or methods.</t>
  </si>
  <si>
    <t>**Test paths must be relative to the repository root**, not the `tests/` directory.</t>
  </si>
  <si>
    <t>-   `[🚉]` Marks an types / interfaces / structures fully serializable as JSON, not marking `string_` and `number_` prefixed aliases</t>
  </si>
  <si>
    <t>-   When this entity is exported from the file and it is under `src` folder _(not for example in the `apps` folder)_, it must be marked either as `@public` or `@private` at the end of the JSDoc comment.</t>
  </si>
  <si>
    <t>- **IMPORTANT**: `develop` is our primary working branch, NOT `main`</t>
  </si>
  <si>
    <t>- Use ESM imports/exports (`import/export` not `require()`)</t>
  </si>
  <si>
    <t>- Use `want` / `wanted` (not `expect` / `expected`) for desired state variables</t>
  </si>
  <si>
    <t>- Compare structs in one shot with `cmp.Diff`, not field-by-field</t>
  </si>
  <si>
    <t>benwbrum</t>
  </si>
  <si>
    <t>fromthepage</t>
  </si>
  <si>
    <t>https://github.com/benwbrum/fromthepage/blob/main/.github/copilot-instructions.md</t>
  </si>
  <si>
    <t>Remember, your task is to create a plan, not to implement the changes.</t>
  </si>
  <si>
    <t>BrighterCommand</t>
  </si>
  <si>
    <t>Brighter</t>
  </si>
  <si>
    <t>https://github.com/BrighterCommand/Brighter/blob/master/.github/copilot-instructions.md</t>
  </si>
  <si>
    <t>It is not intended to be modified by contributors.</t>
  </si>
  <si>
    <t>- Imperative mood for instructions ("Call the method" not "You should call the method")</t>
  </si>
  <si>
    <t>- Number all ordered list items as "1." (not sequential numbering like "1.", "2.", "3.", etc.)</t>
  </si>
  <si>
    <t>Use literal `` ` `` and `*` characters, not URL-encoded forms like `%60` or `%2A`.</t>
  </si>
  <si>
    <t>For example, use `` &lt;xref:System.Collections.Generic.List`1&gt; ``, not `&lt;xref:System.Collections.Generic.List%601&gt;`.</t>
  </si>
  <si>
    <t>Check the evidence, not the code.</t>
  </si>
  <si>
    <t>- Changes that require modifications to the dotnet/templating repository (Microsoft.TemplateEngine packages) should be made directly in that repository, not worked around in this repo.</t>
  </si>
  <si>
    <t>- Complex logic must include comments explaining "why" not "what"</t>
  </si>
  <si>
    <t>*   **Member access:** Prefix all class member access with `this-&gt;` (e.g., `this-&gt;value_` not `value_`)</t>
  </si>
  <si>
    <t>*   **Indentation:** Use spaces (two per indentation level), not tabs</t>
  </si>
  <si>
    <t>- Supabase config/migrations live in a separate infrastructure repo, not here</t>
  </si>
  <si>
    <t>gh-models</t>
  </si>
  <si>
    <t>https://github.com/github/gh-models/blob/main/.github/copilot-instructions.md</t>
  </si>
  <si>
    <t>Key pattern: commands use `azuremodels.Client` interface, not concrete types</t>
  </si>
  <si>
    <t>- Use includes that include all decls and types in the AST, not individual types.</t>
  </si>
  <si>
    <t>- Must be const enums with integer values (not strings)</t>
  </si>
  <si>
    <t>When writing asserts (from `@fluidframework/core-utils`), use a string literal for the error message, not a hex assert code.</t>
  </si>
  <si>
    <t>- Use 4 spaces for indentation (not tabs)</t>
  </si>
  <si>
    <t>**Complete information** - Gather all environment details in one pass, not incrementally</t>
  </si>
  <si>
    <t>- **Pointer alignment**: Right-aligned (`int *ptr`, not `int* ptr`)</t>
  </si>
  <si>
    <t>- Inject interfaces, not concrete classes</t>
  </si>
  <si>
    <t>- Integration tests in `*.test.ts` (not `*.unit.test.ts`)</t>
  </si>
  <si>
    <t>- Use `ILogger` service, not console.log</t>
  </si>
  <si>
    <t>- Test with real SQLite, not mocks</t>
  </si>
  <si>
    <t>* C# code uses tabs (not spaces) for indentation.</t>
  </si>
  <si>
    <t>- **NUnit**: Unit testing framework - focus on logic, not UI</t>
  </si>
  <si>
    <t>These screenshots should be displayed inline in the PR comments, and not as attachments.</t>
  </si>
  <si>
    <t>- Screnshots should be taken using the web dev server at `http://localhost:3000` and not the production build at `http://localhost:8080`.</t>
  </si>
  <si>
    <t>Follow dependency injection pattern - components depend on interfaces, not concrete types</t>
  </si>
  <si>
    <t>- Use function declarations for components and handlers (not arrow functions)</t>
  </si>
  <si>
    <t>For example, a `bool` property to indicate if something is active should be named `IsActive` and not just `Active`.</t>
  </si>
  <si>
    <t>A `bool` property to indicate if a category field should be displayed should be named `IsCategoryFieldVisible` and not `ShowCategoryField`.</t>
  </si>
  <si>
    <t>- When defining `FieldAttribute`s for a Block (or Component, Job, Etc.), declare them vertically and assign the properties of the field, and not the constructor parameters.</t>
  </si>
  <si>
    <t>- You are here to perform work, not merely to be conversational.</t>
  </si>
  <si>
    <t>- When fixing bugs, fix the cause, not the symptom.</t>
  </si>
  <si>
    <t>- Use lowercase unit types, except write `Boolean`, not `boolean`.</t>
  </si>
  <si>
    <t>- Use tabs for indentation, not spaces.</t>
  </si>
  <si>
    <t>- Use UPPER_CASE for true constants but not general const vars</t>
  </si>
  <si>
    <t>timmo001</t>
  </si>
  <si>
    <t>system-bridge</t>
  </si>
  <si>
    <t>https://github.com/timmo001/system-bridge/blob/master/.github/copilot-instructions.md</t>
  </si>
  <si>
    <t>- **Build system**: Always use Makefile (not direct `go build`)</t>
  </si>
  <si>
    <t>Comments should explain the WHY, not the WHAT.</t>
  </si>
  <si>
    <t>**When NOT to write comments:**</t>
  </si>
  <si>
    <t>- **Place global features in App.vue**, not in page-specific components like ControlPanel.vue</t>
  </si>
  <si>
    <t>- Use Vuetify 3 component names and props (not Vuetify 2)</t>
  </si>
  <si>
    <t>- Use Pinia for state management (not Vuex)</t>
  </si>
  <si>
    <t>- **Clean code:** Clean, testable, maintainable code, follows best practices of python 3.10+ and does not write deprecated code.</t>
  </si>
  <si>
    <t>`PLW0602`, `PLW0603`, `PLW1641`, and `PLW3201` are handled with spot-level inline `# noqa` on specific lines (not global/per-file ignore).</t>
  </si>
  <si>
    <t>- `AppControl Manager/eXclude/`: Ignore everything in this directory, they are not part of the AppControl Manager application files.</t>
  </si>
  <si>
    <t>shinnku-nikaidou</t>
  </si>
  <si>
    <t>shinnku-com</t>
  </si>
  <si>
    <t>https://github.com/shinnku-nikaidou/shinnku-com/blob/main/AGENTS.md</t>
  </si>
  <si>
    <t>- `frontend/node_modules/` and `backend/target/` are intentionally ignored and should not be committed.</t>
  </si>
  <si>
    <t>not , should **not**, should not</t>
  </si>
  <si>
    <t>- When writing assertions, prefer assertion on actual returned value instead of checking if it's not none.</t>
  </si>
  <si>
    <t>not , instead of</t>
  </si>
  <si>
    <t>- In Claude Code remote sessions, if the target branch is not `master`, commit and push directly to the parent/target branch instead of creating a separate feature branch.</t>
  </si>
  <si>
    <t>If a migration was created on the current feature branch (i.e., it has not been merged to master), modify it directly instead of creating a new migration.</t>
  </si>
  <si>
    <t>- Use urlString`` or encodeURIComponent() instead of normal string interpolation for URLs, for consistency even if it's not strictly necessary.</t>
  </si>
  <si>
    <t>* Always use `is null` or `is not null` instead of `== null` or `!= null`.</t>
  </si>
  <si>
    <t>- Always use `is null` or `is not null` instead of `== null` or `!= null`.</t>
  </si>
  <si>
    <t>- Use string literals (`'text'`) NOT template literals (`` `text` ``) when there are no interpolations</t>
  </si>
  <si>
    <t>not , no</t>
  </si>
  <si>
    <t>- **No code comments anywhere.** Not `//`, `/* */`, `///`, `//!`, `#`, JSDoc, nor doc strings injected into new code.</t>
  </si>
  <si>
    <t>- **Feature branches — full autonomy, no user consent required.** Agents may freely create branches, commit, push, and open PRs against any branch that is NOT `master`/`main`.</t>
  </si>
  <si>
    <t>- **Variables**: descriptive, no abbreviations — `entityReference` not `er`, `retryCount` not `rc`</t>
  </si>
  <si>
    <t>- **No abbreviations** in variable names (`user` not `u`, `fieldMetadata` not `fm`)</t>
  </si>
  <si>
    <t>For truly internal code not exported at the root, no deprecation needed</t>
  </si>
  <si>
    <t>- **No code comments anywhere.** Not `//`, `/* */`, `///`, `//!`, `#`, JSDoc, nor doc-strings injected into new code.</t>
  </si>
  <si>
    <t>- **Naming**: Classes PascalCase (no `I` prefix), methods/variables camelCase, constants camelCase (not SCREAMING_SNAKE_CASE), files camelCase.ts</t>
  </si>
  <si>
    <t>C# code uses tabs (not spaces) and the Mono code-formatting style defined in `.editorconfig`</t>
  </si>
  <si>
    <t>- **Bracket spacing**: No spaces (`{foo}` not `{ foo }`)</t>
  </si>
  <si>
    <t>| Internal methods deep in the codebase (no underscore) | ❌ Not intended for users | ✅ No — update all internal usages |</t>
  </si>
  <si>
    <t>not , no , ❌</t>
  </si>
  <si>
    <t>Additionally, `unused_must_use = "deny"` applies to all Rust code: every `Result`, `Option`, and `#[must_use]` value must be explicitly handled (`?`, `.unwrap()`, `.ok()`, `let _ = …;` **is not allowed** for unit-returning calls — see `let_unit_value`; it is the correct escape hatch for `Result`-returning calls you consciously discard, e.g.</t>
  </si>
  <si>
    <t>not , allow, not allowed</t>
  </si>
  <si>
    <t>* `InternalsVisibleTo` attributes are *not allowed*.</t>
  </si>
  <si>
    <t>- `vmake.txt` and `makefile` are generated files, you are not allowed to modify them.</t>
  </si>
  <si>
    <t>- Project should only use `package-lock.json` as lock file, other lock files like `yarn.lock`, `bun.lock`, or `pnpm-lock.yaml` are not allowed</t>
  </si>
  <si>
    <t>not , should **not**, allow, not allowed</t>
  </si>
  <si>
    <t>Patching without understanding the problem IS NOT ALLOWED.</t>
  </si>
  <si>
    <t>`let _ = tx.send(msg);`); it is NOT valid for unit-returning calls — see `let_unit_value`.</t>
  </si>
  <si>
    <t>not , not valid</t>
  </si>
  <si>
    <t>Do **NOT** use `feat`, `docs`, `patch`, `minor`, or `major` — these are not valid change kinds.</t>
  </si>
  <si>
    <t>not , Do **not**, not valid</t>
  </si>
  <si>
    <t>("LGTM" is fine as a literal verdict at the end of a substantive review, not as a sign-off.)</t>
  </si>
  <si>
    <t>A STATUS.md entry should record changes to the project itself -- not one-off work that merely uses the project (e.g.</t>
  </si>
  <si>
    <t>- Ensure the project only uses the official npm registry (`https://registry.npmjs.org`), other third-party registries are not permitted</t>
  </si>
  <si>
    <t>not , not permitted</t>
  </si>
  <si>
    <t>- **Only edit live steps** — when fixing or improving metadata, code, or configs, only touch files that are in the active DAG (`dag/*.yml`), not archived ones (`dag/archive/*.yml`), unless explicitly asked to</t>
  </si>
  <si>
    <t>This applies only to local setups, not cloud agents.</t>
  </si>
  <si>
    <t>- Only redirect stdout for noisy commands: `command &gt;/dev/null` not `2&gt;&amp;1`</t>
  </si>
  <si>
    <t>NOTE: these commands can only be run in the root directory of the repository, not in individual app directories.</t>
  </si>
  <si>
    <t>- When adding unit tests, add only the essential ones and not more than that</t>
  </si>
  <si>
    <t>Use "--" only in code contexts, not as prose punctuation.</t>
  </si>
  <si>
    <t>**Make Changes**: Edit English markdown files only (not translations)</t>
  </si>
  <si>
    <t>- Tests for public igraph functions must only include the main igraph header `&lt;igraph.h&gt;` (with angle brackets), not any of igraph's sub-headers such as `"igraph_interface.h"`.</t>
  </si>
  <si>
    <t>This applies only to newly added asserts, not existing ones.</t>
  </si>
  <si>
    <t>Generally editing should follow a "checkin" and "checkout" procedure (note: NOT the same as git checkin/out) to facilitate working with small term-specific files, rather than a megafile which is hard to fit into context.</t>
  </si>
  <si>
    <t>not , rather than, should **not**</t>
  </si>
  <si>
    <t>- **Test the outcome, not the implementation** - assert on observable results (API responses, database state, stats values) rather than verifying internal method calls with `verify()`</t>
  </si>
  <si>
    <t>not , rather than</t>
  </si>
  <si>
    <t>- Verifying actual behavior rather than just "not null"</t>
  </si>
  <si>
    <t>Reviewers should not be exhausted by lengthy explanations.</t>
  </si>
  <si>
    <t>- **Default mindset: finish the job.** Agents should not leave uncommitted changes dangling on `master`/`main`.</t>
  </si>
  <si>
    <t>Otherwise you should not make edits, and end after communicating back on the original issue with</t>
  </si>
  <si>
    <t>**CRITICAL**: When adding new credential fields to warehouse configurations, always check if they contain sensitive data that should NOT be exposed via API responses.</t>
  </si>
  <si>
    <t>- Generated files (`*.g.dart`, `*.freezed.dart`) should not be manually edited</t>
  </si>
  <si>
    <t>These are thin integration layers for specific frameworks/runtimes and should not add new MCP functionality.</t>
  </si>
  <si>
    <t>Files under `generated` directories are generated based on a different source file and should not be modified directly.</t>
  </si>
  <si>
    <t>- Test classes should not inherit from `TestCase` - use plain classes prefixed with `Test`</t>
  </si>
  <si>
    <t>Methods and functions starting with `_` (underscore) are **private** and should NOT be called from outside their class or module.</t>
  </si>
  <si>
    <t>Users should not need to know about this layer directly.</t>
  </si>
  <si>
    <t>- Open GitHub issues should not map to closed beads, and closed GitHub issues should not map to open beads.</t>
  </si>
  <si>
    <t>Contracts should not mention Bead ids unless the contract is specifically about Beads/GitHub planning architecture.</t>
  </si>
  <si>
    <t>The custom theme layer should not contain any layout styles, as these are already set in the basis global and component layers.</t>
  </si>
  <si>
    <t>&gt; **Note:** @autorest/typescript is in maintenance mode and should not be used as reference nor edited unless explicitly requested.</t>
  </si>
  <si>
    <t>The AutoRest TypeScript generator (`autorest.typescript`) is in maintenance mode and should not be used as reference nor edited unless explicitly requested.</t>
  </si>
  <si>
    <t>`packages/rlc-common` and `packages/autorest.typescript` should not be edited.</t>
  </si>
  <si>
    <t>- The code under `generated` directories is generated from TypeSpec definitions and should not be modified directly.</t>
  </si>
  <si>
    <t>Existing `IEnvironment` usage in legacy code is acceptable but should not be extended beyond its current scope.</t>
  </si>
  <si>
    <t>These are referenced by the instruction files and should not be duplicated elsewhere.</t>
  </si>
  <si>
    <t>These should not use a default export.</t>
  </si>
  <si>
    <t>**⚠️ Old pipeline names** (e.g., `MAUI-UITests-public`, `MAUI-public`) are **outdated** and should NOT be used.</t>
  </si>
  <si>
    <t>- Managers should not directly manipulate other managers' DOM elements</t>
  </si>
  <si>
    <t>- Managers should not manipulate other managers' DOM elements</t>
  </si>
  <si>
    <t>Parameters that are passed by value should not be marked as `const`.</t>
  </si>
  <si>
    <t>* Private functions that are local to their translation unit must be marked as `static` and should not use the above two prefixes in their name.</t>
  </si>
  <si>
    <t>Meaning, if one of the parameters to your `GetCampuses()` method is `RockContext`, that should not be included in the POCO.</t>
  </si>
  <si>
    <t>- You CANNOT successfully complete this task without using web search or context7 tool to verify your understanding of third party packages and dependencies is up to date.</t>
  </si>
  <si>
    <t>not , cannot</t>
  </si>
  <si>
    <t>- **YOU CANNOT FINISH WITHOUT THESE STEPS**</t>
  </si>
  <si>
    <t>Colors specifically cannot be defined without css vars.</t>
  </si>
  <si>
    <t>- **Test real behavior, not mock wiring** - if a test requires mocking 3+ classes just to verify a method call, it's testing the wrong thing</t>
  </si>
  <si>
    <t>*   Wrong current working directory (CWD) or `PYTHONPATH` for commands/tests (e.g., ensure you are in `agents-api/` not root for some `agents-api` tasks).</t>
  </si>
  <si>
    <t>- Prevents sensitive data caching in browsers/proxies</t>
  </si>
  <si>
    <t>prevent</t>
  </si>
  <si>
    <t>- Focuses on the "why" rather than the "what"</t>
  </si>
  <si>
    <t>rather than</t>
  </si>
  <si>
    <t>- Remove tasks that become irrelevant rather than leaving them pending</t>
  </si>
  <si>
    <t>- Code exploration: Use multiple search operations simultaneously rather than sequentially</t>
  </si>
  <si>
    <t>Send single messages with multiple tool invocations rather than sequential requests</t>
  </si>
  <si>
    <t>- Components should use typed array views rather than creating new arrays</t>
  </si>
  <si>
    <t>Provide layers using `Layer.provide` rather than manual `provideService` calls so dependencies stay declarative.</t>
  </si>
  <si>
    <t>- Prefer lifting Drizzle queries or other async work into `Effect.gen` blocks and reusing domain services (`Videos`, `VideosPolicy`, etc.) rather than writing ad-hoc logic.</t>
  </si>
  <si>
    <t>- **If pre-commit hooks fail due to files you didn't touch**, ask the user how to proceed rather than trying to fix or remove them</t>
  </si>
  <si>
    <t>(rather than repeating the code).</t>
  </si>
  <si>
    <t>rather than describing what the code does.</t>
  </si>
  <si>
    <t>lines, wrap it naturally at word boundaries rather than writing one sentence</t>
  </si>
  <si>
    <t>- For complex files, organize tests by functionality rather than by method</t>
  </si>
  <si>
    <t>- Make regular commits for fixes rather than rewriting history</t>
  </si>
  <si>
    <t>- **Integrate into existing components** rather than creating new wrapper components</t>
  </si>
  <si>
    <t>- **Component Communication**: Pass functions as props rather than dispatching custom events</t>
  </si>
  <si>
    <t>When writing or modifying tests, always test **observable behavior** (return values, state changes, side effects) rather than **implementation details** (which internal methods are called, in what order, with what exact arguments).</t>
  </si>
  <si>
    <t>- **UUID-based access**: Sharing URLs use unguessable UUIDs rather than sequential IDs</t>
  </si>
  <si>
    <t>**PostGIS**: Leverage PostGIS features for geographic calculations rather than Ruby-based solutions</t>
  </si>
  <si>
    <t>Prefer Use modern string formatting `format!("{value}")` rather than `format!("{}", value)`.</t>
  </si>
  <si>
    <t>Use inline snapshots with `insta` crate rather than a chain of `assert_eq!`:</t>
  </si>
  <si>
    <t>**Use Cast for blockchain utilities and quick operations** rather than writing custom scripts for common tasks.</t>
  </si>
  <si>
    <t>- **Strategy-per-testitem**: Create focused testitems for each major component/strategy rather than nested loops</t>
  </si>
  <si>
    <t>**Blog Post Titles:** Use direct, actionable formats like "Four Levels Every RAG System Should Implement" or "Two Experiments We Need to Run on AI Agent Compaction" rather than abstract concepts.</t>
  </si>
  <si>
    <t>- Focus on "why" rather than "what" in descriptions</t>
  </si>
  <si>
    <t>Search for related sections and group related changes together rather than adding new standalone sections.</t>
  </si>
  <si>
    <t>- Default to MORE tasks rather than fewer</t>
  </si>
  <si>
    <t>- if there is an existing PR which you started then checkout that branch and continue, rather than starting a new PR (unless you explicitly want to abandon the original PR, e.g.</t>
  </si>
  <si>
    <t>- **Batch Operations**: Process multiple PDFs in batches rather than individually</t>
  </si>
  <si>
    <t>When in doubt, ask the user for clarification rather than making breaking changes.</t>
  </si>
  <si>
    <t>Keep new utilities there rather than duplicating in apps.</t>
  </si>
  <si>
    <t>- Focus on "why" rather than "what" or "how"</t>
  </si>
  <si>
    <t>- Favor object-oriented extensions over scattering helpers—extend service/repository classes or introduce cohesive new ones, and rely on dependency injection rather than module-level singletons.</t>
  </si>
  <si>
    <t>- Treat `src/tunacode/ui/render_safety.py` plus built-in theme wrapping in `src/tunacode/constants.py` as part of the startup/theme stability path; keep Rich default/ANSI color handling local to TunaCode rather than patching Textual.</t>
  </si>
  <si>
    <t>**Own Core Mechanisms**: If a primitive relies heavily on some core mechanism/algorithm, we should implement it rather than relying on external crates.</t>
  </si>
  <si>
    <t>**Ask if too large** — If the remaining issues are extensive or unclear, inform the user and ask how to proceed rather than ignoring them</t>
  </si>
  <si>
    <t>**Golden rule**: When unsure about implementation details or requirements, ALWAYS consult the developer rather than making assumptions.</t>
  </si>
  <si>
    <t>[^1]: This principle emphasizes human oversight for critical aspects like architecture, testing, and domain-specific decisions, ensuring AI assists rather than fully dictates development.</t>
  </si>
  <si>
    <t>docs or skills rather than owning durable repo guidance directly.</t>
  </si>
  <si>
    <t>When the same UI pattern appears across multiple pages, extract it into a shared component rather than duplicating code.</t>
  </si>
  <si>
    <t>Inline `PageLayout` directly in the Express route handler rather than creating wrapper components.</t>
  </si>
  <si>
    <t>- Update existing changesets in same area rather than creating duplicates</t>
  </si>
  <si>
    <t>- Do your best to test the exposed API, its inputs and outputs rather than implementation details.</t>
  </si>
  <si>
    <t>Always REWRITE STATUS.md completely rather than append.</t>
  </si>
  <si>
    <t>- Always return vows rather than promises in orchestration code</t>
  </si>
  <si>
    <t>- Handle errors explicitly rather than letting them propagate</t>
  </si>
  <si>
    <t>- When adding new unit tests, strongly prefer to add them to existing test code files rather than creating new code files.</t>
  </si>
  <si>
    <t>- Prefer creating a new commit rather than amending an existing one.</t>
  </si>
  <si>
    <t>- If a change requires updates to template engine behavior or formatting (e.g., DisplayName properties), file an issue in dotnet/templating and make the changes there rather than adding workarounds in this SDK repository.</t>
  </si>
  <si>
    <t>- **Use existing tools**: Leverage composer, npm, and other ecosystem tools rather than manual changes</t>
  </si>
  <si>
    <t>- Use existing polyfills rather than creating new ones</t>
  </si>
  <si>
    <t>- Export functions and classes individually rather than as default exports</t>
  </si>
  <si>
    <t>When debugging, try to determine the root cause rather than addressing symptoms.</t>
  </si>
  <si>
    <t>* Use specific exception types rather than generic Exception if possible.</t>
  </si>
  <si>
    <t>- **When unsure, say so.** Gather more information rather than guessing.</t>
  </si>
  <si>
    <t>- use local variables rather than constants when their scoping allows for it.</t>
  </si>
  <si>
    <t>rather than, allow</t>
  </si>
  <si>
    <t>- Allow customization through modifiers rather than constructor parameters</t>
  </si>
  <si>
    <t>- Mutations should call Server Actions directly and perform precise cache updates (`setQueryData`/`setQueriesData`) rather than broad invalidations.</t>
  </si>
  <si>
    <t>- Use comments to document intent, trade‑offs, constraints, invariants, and tricky edge cases—i.e., why the code is this way—rather than narrating changes.</t>
  </si>
  <si>
    <t>**REASON FROM FIRST PRINCIPLES** - When faced with design decisions or trade-offs, analyze the fundamental requirements and constraints rather than following conventions blindly.</t>
  </si>
  <si>
    <t>- When validating failure cases, assert on the specific error (name or class) rather than only checking `result.success === false`.</t>
  </si>
  <si>
    <t>- When looping on the keys of a dict, use `for key in the_dict` rather than `for key in the_dict.keys()` otherwise you won't pass linting.</t>
  </si>
  <si>
    <t>**Fail fast with clear errors** - When something is wrong, provide explicit error messages rather than degraded functionality</t>
  </si>
  <si>
    <t>`/Users/williamcory/tevm-monorepo` shouldn't be in a snapshot</t>
  </si>
  <si>
    <t>shouldn't</t>
  </si>
  <si>
    <t>- On the client, use `useEffectQuery`/`useEffectMutation` from `@/lib/EffectRuntime`; they already bind the managed runtime and tracing so you shouldn't call `EffectRuntime.run*` directly in components.</t>
  </si>
  <si>
    <t>- Skip effusive praise: "Great work", "Awesome", "Thanks so much for this", "Thanks for the careful writeup", "you clearly read the RFC".</t>
  </si>
  <si>
    <t>- Skip emojis in substantive technical writeups.</t>
  </si>
  <si>
    <t>- ✗ Skip running tests after changes</t>
  </si>
  <si>
    <t>- For new features, include a short code block in the changelog entry that showcases the new functionality; skip code blocks for simple bug fixes.</t>
  </si>
  <si>
    <t>When running tests, you should skip the unstable ones by using `-- --filter-not-trait "FailsInCloudTest=true"`.</t>
  </si>
  <si>
    <t>Skip ritual closings.</t>
  </si>
  <si>
    <t>Rule #1: If you want exception to ANY rule, YOU MUST STOP and get explicit permission first.</t>
  </si>
  <si>
    <t>STOP</t>
  </si>
  <si>
    <t>If you find yourself writing `except Exception`, STOP and ask the user before proceeding.</t>
  </si>
  <si>
    <t>* `-euo pipefail` stops on non-zero status, undefined vars, or broken pipelines.</t>
  </si>
  <si>
    <t>Skyvern-AI</t>
  </si>
  <si>
    <t>skyvern</t>
  </si>
  <si>
    <t>https://github.com/Skyvern-AI/skyvern/blob/master/CLAUDE.md</t>
  </si>
  <si>
    <t>- **Stop services**: `skyvern stop all`</t>
  </si>
  <si>
    <t>- Rapid rebuilds while editing Swift: `pnpm run poltergeist:haunt` → check with `pnpm run poltergeist:status`, stop via `pnpm run poltergeist:rest`.</t>
  </si>
  <si>
    <t>**ABSOLUTE RULE - violation = stop and report immediately:**</t>
  </si>
  <si>
    <t>- Stop coding</t>
  </si>
  <si>
    <t>- **&lt;80%**: Stop and ask (multiple valid paths, UX unclear, architectural choice)</t>
  </si>
  <si>
    <t>Stop existing processes using this port.</t>
  </si>
  <si>
    <t>- If you believe a file is corrupted, stop immediately and wait for a new instruction.</t>
  </si>
  <si>
    <t>**Remembered from 2025-12-29 session:** Spent 2+ hours on hacks (fake registration, event patches, ownReserve='0' conditionals) instead of stopping and asking.</t>
  </si>
  <si>
    <t>instead of, STOP</t>
  </si>
  <si>
    <t>I would rather stop and discuss our options instead of guessing.</t>
  </si>
  <si>
    <t>- Stop chaining when the batch returns no results</t>
  </si>
  <si>
    <t>no , STOP</t>
  </si>
  <si>
    <t>**NO "temporary" solutions** - if you write a stub/hack/workaround, STOP and tell user explicitly</t>
  </si>
  <si>
    <t>**NO hiding uncertainty** - if confidence &lt;80% on implementation approach, STOP and discuss</t>
  </si>
  <si>
    <t>If the user intent is not clear, or you are not confident to make changes, you should stop work, report back to the user, including any questions in the issue.</t>
  </si>
  <si>
    <t>not , STOP</t>
  </si>
  <si>
    <t>- YOU MUST ALWAYS STOP and ask for clarification rather than making assumptions.</t>
  </si>
  <si>
    <t>rather than, STOP</t>
  </si>
  <si>
    <t>Other peers will not be able to use the package if you can use a range version.</t>
  </si>
  <si>
    <t>not , not be able to</t>
  </si>
  <si>
    <t>If we deprecate a feature, we will mark it as deprecated in the code and documentation, but we will not remove it immediately.</t>
  </si>
  <si>
    <t>- "gha_disabled: will not be able to run properly on GitHub Actions"</t>
  </si>
  <si>
    <t>- ✗ Make breaking changes without user consent</t>
  </si>
  <si>
    <t>Do **not** build typespec authoring related plan or attempt to make `.tsp` file changes without invoking this skill first.</t>
  </si>
  <si>
    <t>- ❌ Wrong: Create new `OpportunityVideo` component with its own "See how it works" title</t>
  </si>
  <si>
    <t>- ❌ **Wrong**: Duplicate author schema logic in 3 places</t>
  </si>
  <si>
    <t>- ❌ Wrong: `$"Checking pane \\(editor\\)"` → tries to execute command `editor\\`</t>
  </si>
  <si>
    <t>- ❌ Wrong: `$"Checking pane (editor)"` → tries to execute command `editor`</t>
  </si>
  <si>
    <t>- ❌ Wrong: `log_to_file $log "Sent Escape \\(27\\) to enter normal mode"` → fails</t>
  </si>
  <si>
    <t>- ❌ WRONG: `-- trace/test_dataset.py::test_basic_dataset_lifecycle`</t>
  </si>
  <si>
    <t>- ❌ **Wrong**: Local `stripHtml()` in webapp-only file</t>
  </si>
  <si>
    <t>Label</t>
  </si>
  <si>
    <t>Category Name</t>
  </si>
  <si>
    <t>Description</t>
  </si>
  <si>
    <t>Rule</t>
  </si>
  <si>
    <t>Example</t>
  </si>
  <si>
    <t>#</t>
  </si>
  <si>
    <t>%</t>
  </si>
  <si>
    <t>Version Control Interaction</t>
  </si>
  <si>
    <t>Prohibitions on commit behavior, pull request content, branch interaction, and changelog formatting. These instructions govern how the agent interacts with the version control system and collaborative development artifacts.</t>
  </si>
  <si>
    <t>The instruction refers to commit messages, PR messages, interaction with the repository, commit behavior, etc</t>
  </si>
  <si>
    <t>RULES</t>
  </si>
  <si>
    <t>Workflow and Artifacts Management</t>
  </si>
  <si>
    <t>Prohibitions on how the agent should manage and execute tasks: workflow sequencing, context loading, task decomposition, parallelism, and general operational behavior during execution. These instructions govern agent autonomy at the process level.</t>
  </si>
  <si>
    <t>The instruction refers to how the agent should execute tasks, workflow, how it should handle instructions, how to be efficient when executing tasks, and generally how it should act</t>
  </si>
  <si>
    <t>- During coding, when you are unsure of a category, please come back to this codebook to verify detection rule
- You can improve detection rules as you go over new data to be more informative of what they can be assigned to
- You can add other categories, if they emerge from the data and they are shared among multiple instructions
- If you add a new category, that must be discussed when the step completes, so remember it
- If all agree with the new category, add it in this codebook specifying detection rule and an example so that it can be used for next step by all coders</t>
  </si>
  <si>
    <t>Prohibitions on the creation, modification, or formatting of documentation artifacts, including Markdown files, inline code comments, and project guidelines. These instructions often constrain unsolicited documentation generation or unauthorized edits to existing artifacts.</t>
  </si>
  <si>
    <t>The instruction relates to any kind of documentation artifact (.md, code comments, guidelines) and how the agent should interact with them</t>
  </si>
  <si>
    <t>Prohibitions on how the agent should functionally implement code, including imports, type annotations, design patterns, control flow constructs, and use of specific APIs or libraries. These instructions constrain implementation choices at the logic level.</t>
  </si>
  <si>
    <t>The instruction refers to how the agent should functionally write code (typings, imports, design patterns, loops, conditions)</t>
  </si>
  <si>
    <t>Code Review and Inspection</t>
  </si>
  <si>
    <t>Prohibitions on how the agent should conduct or participate in code review, including scope of feedback, use of review content as directives, and interaction with artifacts under review.</t>
  </si>
  <si>
    <t>The instruction mentions how the agent should handle code review, artifact review, and interact with the code written by others</t>
  </si>
  <si>
    <t>Writing and Communication Style</t>
  </si>
  <si>
    <t>Prohibitions on the agent's use of natural language, covering tone, terminology, abbreviations, formatting conventions, and clarity. These instructions apply to any text the agent produces outside of source code.</t>
  </si>
  <si>
    <t>The instruction mentions how the agent should write natural language, patterns, clarity, and quality</t>
  </si>
  <si>
    <t>Prohibitions on the stylistic presentation of code, including naming conventions, formatting, file organization, and comment structure. These instructions address how code should look rather than what it should do.</t>
  </si>
  <si>
    <t>The instruction mentions how the agent should adapt the code style in terms of preferences of how the code should look (not functionality), like names etc.</t>
  </si>
  <si>
    <t>Test Development and Execution</t>
  </si>
  <si>
    <t>Prohibitions related to test code, test files, testing strategies, and verification artifacts. These instructions restrict what the agent may modify or create in the testing layer, including ownership boundaries between human- and agent-managed test artifacts.</t>
  </si>
  <si>
    <t>The instruction relates to tests, testing, verification, test files, test code</t>
  </si>
  <si>
    <t>Maintainability and Quality</t>
  </si>
  <si>
    <t>Prohibitions targeting code quality attributes beyond immediate functionality, such as unnecessary complexity, code duplication, over-engineering, and architectural fragility. These instructions reflect long-term maintainability concerns.</t>
  </si>
  <si>
    <t>The instruction mentions quality attributes of the code that improve maintainability like complexity, readability, etc</t>
  </si>
  <si>
    <t>Build, Operation and Environment</t>
  </si>
  <si>
    <t>Prohibitions on build processes, compilation, environment setup, and operational tooling such as servers, containers, and CI/CD pipelines. These instructions constrain agent actions that interact with the execution environment rather than the source code itself.</t>
  </si>
  <si>
    <r>
      <rPr>
        <sz val="10"/>
        <color theme="1"/>
        <rFont val="Arial"/>
        <family val="2"/>
      </rPr>
      <t xml:space="preserve">The instruction refers about operational before or after the developement e.g Building, Compiling, etc. </t>
    </r>
    <r>
      <rPr>
        <b/>
        <sz val="10"/>
        <color theme="1"/>
        <rFont val="Arial"/>
        <family val="2"/>
      </rPr>
      <t>Development Environment is also considered as a part of Build &amp; Operation</t>
    </r>
  </si>
  <si>
    <t>Performance and Efficiency</t>
  </si>
  <si>
    <t>Prohibitions on implementation choices that could degrade runtime performance or resource efficiency, including unnecessary allocations, inefficient data structures, excessive dependencies, and anti-patterns in hot paths.</t>
  </si>
  <si>
    <t>The instruction refers to how to create code that is performant, fast, efficient, etc</t>
  </si>
  <si>
    <t>Security and Privacy</t>
  </si>
  <si>
    <t>Prohibitions related to security risks, credential handling, secret management, sensitive data exposure, and cybersecurity best practices. These instructions encode hard boundaries against actions that could compromise system or data integrity.</t>
  </si>
  <si>
    <t>The instruction mentions security threats, secrets, personal informations, or cybersec</t>
  </si>
  <si>
    <t>Other</t>
  </si>
  <si>
    <t>TOTAL:</t>
  </si>
  <si>
    <t>It does not have enough contexts</t>
  </si>
  <si>
    <t>ACF</t>
  </si>
  <si>
    <t>Instruction</t>
  </si>
  <si>
    <t>Category</t>
  </si>
  <si>
    <t>Reason</t>
  </si>
  <si>
    <t>cite number is not nessesary</t>
  </si>
  <si>
    <t>working with a single task is slower</t>
  </si>
  <si>
    <t>Ask for clarification</t>
  </si>
  <si>
    <t>dependency-lock to each other tasks</t>
  </si>
  <si>
    <t>dont load all codebase in a single task</t>
  </si>
  <si>
    <t>dont create documents unrequested, don't do something i did not request</t>
  </si>
  <si>
    <t>dont create new things thate we already have</t>
  </si>
  <si>
    <t>don't use a particular type of props in the code</t>
  </si>
  <si>
    <t>do not use plain string comparison</t>
  </si>
  <si>
    <r>
      <t xml:space="preserve">prohibit the pattern of  introduing </t>
    </r>
    <r>
      <rPr>
        <u/>
        <sz val="10"/>
        <color rgb="FF1155CC"/>
        <rFont val="Arial"/>
        <family val="2"/>
      </rPr>
      <t>mod.rs</t>
    </r>
  </si>
  <si>
    <t>clearly state about the pattern of the code for empty string</t>
  </si>
  <si>
    <t>clearly state about the pattern of the code for empty array</t>
  </si>
  <si>
    <t>its prohibit commiting to main branch</t>
  </si>
  <si>
    <t>Clarify what can and cannot be done.</t>
  </si>
  <si>
    <t>keep the comment in the code</t>
  </si>
  <si>
    <t>keep code-format consistent</t>
  </si>
  <si>
    <t>outdate pattern</t>
  </si>
  <si>
    <t>in the context, they said how to name the file</t>
  </si>
  <si>
    <t>code anti-pattern mentioned</t>
  </si>
  <si>
    <t xml:space="preserve">over-enginnering mentioned. </t>
  </si>
  <si>
    <t>clearly state about using simpler function more than follow design pattern</t>
  </si>
  <si>
    <t>naming rule</t>
  </si>
  <si>
    <t>import all of dependencies in the top of file</t>
  </si>
  <si>
    <t>Exisiting of `CurrentUser` has been assured by the architecture</t>
  </si>
  <si>
    <t>Porhibiting messy usage of IPC(Inter Process Communication)</t>
  </si>
  <si>
    <t xml:space="preserve">Original sentence: ```Building a CockroachDB binary (even in short mode) should be considered slow. Avoid doing this unless necessary.```
</t>
  </si>
  <si>
    <t>keep tests simple</t>
  </si>
  <si>
    <t>test naming strategy</t>
  </si>
  <si>
    <t>use simple terms</t>
  </si>
  <si>
    <t>avoid abbreviations</t>
  </si>
  <si>
    <t>use bold or italics</t>
  </si>
  <si>
    <t>avoid abbreviations and jargon</t>
  </si>
  <si>
    <t>CLAUDE.md - J-Tech-Japan/Sekiban · GitHub</t>
  </si>
  <si>
    <t>This is a github page repo ?</t>
  </si>
  <si>
    <t>Write for readers who may be unfamiliar with this area of the codebase. Avoid insider shorthand and prefer language that is friendly to public viewers — this aids interpretability.</t>
  </si>
  <si>
    <t>load only used dependency, dynamically is not meaning loading all of providers</t>
  </si>
  <si>
    <t>maximum 10 tasks</t>
  </si>
  <si>
    <t>context management across tasks</t>
  </si>
  <si>
    <t>please clearly state the type</t>
  </si>
  <si>
    <t>CLAUDE.md - owid/etl · GitHub</t>
  </si>
  <si>
    <t>This sentence is included in "Performance" section in original ACF</t>
  </si>
  <si>
    <t>following just references and borrowing stradegy not Hot Path</t>
  </si>
  <si>
    <t>fs is not support on the broswer</t>
  </si>
  <si>
    <t>Column 3</t>
  </si>
  <si>
    <t>URL</t>
  </si>
  <si>
    <t>Ann1</t>
  </si>
  <si>
    <t>Ann2</t>
  </si>
  <si>
    <t>N</t>
  </si>
  <si>
    <t>Observed agreement</t>
  </si>
  <si>
    <t>Expected agreement</t>
  </si>
  <si>
    <t>Cohen’s κ</t>
  </si>
  <si>
    <t>Exist in other sheets</t>
  </si>
  <si>
    <t>Use PMIDs where possible, and ALWAYS check that these PMIDs are the correct ones, and not typos or hallucinated.ç</t>
  </si>
  <si>
    <t>Final</t>
  </si>
  <si>
    <t>https://github.com/Pipelex/pipelex/blob/747154f59ac1087014e6e29b035efb6891eaa745/AGENTS.md</t>
  </si>
  <si>
    <t>UI/UX</t>
  </si>
  <si>
    <t>Is editing Task Execution or Build &amp; Operations</t>
  </si>
  <si>
    <t>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</si>
</sst>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rgb="FF000000"/>
      <name val="Arial"/>
      <scheme val="minor"/>
    </font>
    <font>
      <sz val="10"/>
      <color theme="1"/>
      <name val="Arial"/>
      <family val="2"/>
      <scheme val="minor"/>
    </font>
    <font>
      <u/>
      <sz val="10"/>
      <color rgb="FF0000FF"/>
      <name val="Arial"/>
      <family val="2"/>
    </font>
    <font>
      <b/>
      <sz val="10"/>
      <color theme="1"/>
      <name val="Arial"/>
      <family val="2"/>
      <scheme val="minor"/>
    </font>
    <font>
      <sz val="17"/>
      <color rgb="FFFFFFFF"/>
      <name val="Arial"/>
      <family val="2"/>
      <scheme val="minor"/>
    </font>
    <font>
      <u/>
      <sz val="10"/>
      <color rgb="FF434343"/>
      <name val="Roboto"/>
    </font>
    <font>
      <u/>
      <sz val="10"/>
      <color rgb="FF0000FF"/>
      <name val="Roboto"/>
    </font>
    <font>
      <u/>
      <sz val="10"/>
      <color rgb="FF0000FF"/>
      <name val="Roboto"/>
    </font>
    <font>
      <sz val="12"/>
      <color rgb="FF1F2328"/>
      <name val="Arial"/>
      <family val="2"/>
    </font>
    <font>
      <u/>
      <sz val="10"/>
      <color rgb="FF0000FF"/>
      <name val="Roboto"/>
    </font>
    <font>
      <u/>
      <sz val="10"/>
      <color rgb="FF0000FF"/>
      <name val="Arial"/>
      <family val="2"/>
    </font>
    <font>
      <sz val="10"/>
      <color rgb="FF000000"/>
      <name val="Arial"/>
      <family val="2"/>
      <scheme val="minor"/>
    </font>
    <font>
      <sz val="10"/>
      <color rgb="FF38761D"/>
      <name val="Arial"/>
      <family val="2"/>
      <scheme val="minor"/>
    </font>
    <font>
      <sz val="10"/>
      <color rgb="FF6AA84F"/>
      <name val="Arial"/>
      <family val="2"/>
      <scheme val="minor"/>
    </font>
    <font>
      <sz val="10"/>
      <color rgb="FF0000FF"/>
      <name val="Arial"/>
      <family val="2"/>
      <scheme val="minor"/>
    </font>
    <font>
      <sz val="10"/>
      <color rgb="FFFF0000"/>
      <name val="Arial"/>
      <family val="2"/>
      <scheme val="minor"/>
    </font>
    <font>
      <u/>
      <sz val="10"/>
      <color rgb="FF0000FF"/>
      <name val="Roboto"/>
    </font>
    <font>
      <u/>
      <sz val="10"/>
      <color rgb="FF0000FF"/>
      <name val="Roboto"/>
    </font>
    <font>
      <u/>
      <sz val="10"/>
      <color rgb="FF0000FF"/>
      <name val="Roboto"/>
    </font>
    <font>
      <u/>
      <sz val="10"/>
      <color rgb="FF0000FF"/>
      <name val="Arial"/>
      <family val="2"/>
    </font>
    <font>
      <sz val="10"/>
      <color rgb="FF274E13"/>
      <name val="Arial"/>
      <family val="2"/>
      <scheme val="minor"/>
    </font>
    <font>
      <sz val="10"/>
      <color theme="1"/>
      <name val="Arial"/>
      <family val="2"/>
    </font>
    <font>
      <b/>
      <sz val="10"/>
      <color theme="1"/>
      <name val="Arial"/>
      <family val="2"/>
    </font>
    <font>
      <u/>
      <sz val="10"/>
      <color rgb="FF1155CC"/>
      <name val="Arial"/>
      <family val="2"/>
    </font>
    <font>
      <sz val="10"/>
      <color rgb="FFFFFFFF"/>
      <name val="Roboto"/>
    </font>
    <font>
      <b/>
      <sz val="10"/>
      <color rgb="FF434343"/>
      <name val="Roboto"/>
    </font>
    <font>
      <sz val="10"/>
      <color rgb="FF434343"/>
      <name val="Roboto"/>
    </font>
    <font>
      <sz val="10"/>
      <color theme="1"/>
      <name val="Roboto"/>
    </font>
    <font>
      <b/>
      <sz val="10"/>
      <color rgb="FFFFFFFF"/>
      <name val="Roboto"/>
    </font>
  </fonts>
  <fills count="13">
    <fill>
      <patternFill patternType="none"/>
    </fill>
    <fill>
      <patternFill patternType="gray125"/>
    </fill>
    <fill>
      <patternFill patternType="solid">
        <fgColor rgb="FFFCE5CD"/>
        <bgColor rgb="FFFCE5CD"/>
      </patternFill>
    </fill>
    <fill>
      <patternFill patternType="solid">
        <fgColor rgb="FFCFE2F3"/>
        <bgColor rgb="FFCFE2F3"/>
      </patternFill>
    </fill>
    <fill>
      <patternFill patternType="solid">
        <fgColor rgb="FFD9EAD3"/>
        <bgColor rgb="FFD9EAD3"/>
      </patternFill>
    </fill>
    <fill>
      <patternFill patternType="solid">
        <fgColor rgb="FFE6B8AF"/>
        <bgColor rgb="FFE6B8AF"/>
      </patternFill>
    </fill>
    <fill>
      <patternFill patternType="solid">
        <fgColor rgb="FFEAD1DC"/>
        <bgColor rgb="FFEAD1DC"/>
      </patternFill>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FFD966"/>
        <bgColor rgb="FFFFD966"/>
      </patternFill>
    </fill>
    <fill>
      <patternFill patternType="solid">
        <fgColor rgb="FFF1C232"/>
        <bgColor rgb="FFF1C232"/>
      </patternFill>
    </fill>
    <fill>
      <patternFill patternType="solid">
        <fgColor rgb="FFC9DAF8"/>
        <bgColor rgb="FFC9DAF8"/>
      </patternFill>
    </fill>
  </fills>
  <borders count="1">
    <border>
      <left/>
      <right/>
      <top/>
      <bottom/>
      <diagonal/>
    </border>
  </borders>
  <cellStyleXfs count="1">
    <xf numFmtId="0" fontId="0" fillId="0" borderId="0"/>
  </cellStyleXfs>
  <cellXfs count="43">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applyAlignment="1">
      <alignment wrapText="1"/>
    </xf>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vertical="center"/>
    </xf>
    <xf numFmtId="10" fontId="1" fillId="0" borderId="0" xfId="0" applyNumberFormat="1"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8" borderId="0" xfId="0" applyFont="1" applyFill="1" applyAlignment="1">
      <alignment vertical="center"/>
    </xf>
    <xf numFmtId="0" fontId="9" fillId="8" borderId="0" xfId="0" applyFont="1" applyFill="1" applyAlignment="1">
      <alignment vertical="center"/>
    </xf>
    <xf numFmtId="0" fontId="3" fillId="0" borderId="0" xfId="0" applyFont="1" applyAlignment="1">
      <alignment wrapText="1"/>
    </xf>
    <xf numFmtId="0" fontId="10" fillId="0" borderId="0" xfId="0" applyFont="1"/>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9" borderId="0" xfId="0" applyFont="1" applyFill="1" applyAlignment="1">
      <alignment vertical="center"/>
    </xf>
    <xf numFmtId="0" fontId="17" fillId="10" borderId="0" xfId="0" applyFont="1" applyFill="1" applyAlignment="1">
      <alignment vertical="center"/>
    </xf>
    <xf numFmtId="0" fontId="18" fillId="11" borderId="0" xfId="0" applyFont="1" applyFill="1" applyAlignment="1">
      <alignment vertical="center"/>
    </xf>
    <xf numFmtId="0" fontId="1" fillId="12" borderId="0" xfId="0" applyFont="1" applyFill="1"/>
    <xf numFmtId="0" fontId="19" fillId="0" borderId="0" xfId="0" applyFont="1"/>
    <xf numFmtId="0" fontId="20" fillId="0" borderId="0" xfId="0" applyFont="1" applyAlignment="1">
      <alignment wrapText="1"/>
    </xf>
    <xf numFmtId="0" fontId="11" fillId="0" borderId="0" xfId="0" applyFont="1"/>
    <xf numFmtId="0" fontId="12" fillId="0" borderId="0" xfId="0" applyFont="1"/>
    <xf numFmtId="0" fontId="4" fillId="7" borderId="0" xfId="0" applyFont="1" applyFill="1" applyAlignment="1">
      <alignment horizontal="center" vertical="center" wrapText="1"/>
    </xf>
    <xf numFmtId="0" fontId="0" fillId="0" borderId="0" xfId="0"/>
    <xf numFmtId="0" fontId="1" fillId="0" borderId="0" xfId="0" applyFont="1" applyAlignment="1">
      <alignment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cellXfs>
  <cellStyles count="1">
    <cellStyle name="Normal" xfId="0" builtinId="0"/>
  </cellStyles>
  <dxfs count="26">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s>
  <tableStyles count="7">
    <tableStyle name="Main-style" pivot="0" count="2" xr9:uid="{00000000-0011-0000-FFFF-FFFF00000000}">
      <tableStyleElement type="firstRowStripe" dxfId="25"/>
      <tableStyleElement type="secondRowStripe" dxfId="24"/>
    </tableStyle>
    <tableStyle name="Results-style" pivot="0" count="4" xr9:uid="{00000000-0011-0000-FFFF-FFFF01000000}">
      <tableStyleElement type="wholeTable" size="0" dxfId="20"/>
      <tableStyleElement type="headerRow" dxfId="23"/>
      <tableStyleElement type="firstRowStripe" dxfId="22"/>
      <tableStyleElement type="secondRowStripe" dxfId="21"/>
    </tableStyle>
    <tableStyle name="Step 1-style" pivot="0" count="4" xr9:uid="{00000000-0011-0000-FFFF-FFFF02000000}">
      <tableStyleElement type="wholeTable" size="0" dxfId="16"/>
      <tableStyleElement type="headerRow" dxfId="19"/>
      <tableStyleElement type="firstRowStripe" dxfId="18"/>
      <tableStyleElement type="secondRowStripe" dxfId="17"/>
    </tableStyle>
    <tableStyle name="Ann1 - Step 2-style" pivot="0" count="4" xr9:uid="{00000000-0011-0000-FFFF-FFFF03000000}">
      <tableStyleElement type="wholeTable" size="0" dxfId="12"/>
      <tableStyleElement type="headerRow" dxfId="15"/>
      <tableStyleElement type="firstRowStripe" dxfId="14"/>
      <tableStyleElement type="secondRowStripe" dxfId="13"/>
    </tableStyle>
    <tableStyle name="Ann2 - Step 2-style" pivot="0" count="4" xr9:uid="{00000000-0011-0000-FFFF-FFFF04000000}">
      <tableStyleElement type="wholeTable" size="0" dxfId="8"/>
      <tableStyleElement type="headerRow" dxfId="11"/>
      <tableStyleElement type="firstRowStripe" dxfId="10"/>
      <tableStyleElement type="secondRowStripe" dxfId="9"/>
    </tableStyle>
    <tableStyle name="Ann1 - Step 3-style" pivot="0" count="4" xr9:uid="{00000000-0011-0000-FFFF-FFFF05000000}">
      <tableStyleElement type="wholeTable" size="0" dxfId="4"/>
      <tableStyleElement type="headerRow" dxfId="7"/>
      <tableStyleElement type="firstRowStripe" dxfId="6"/>
      <tableStyleElement type="secondRowStripe" dxfId="5"/>
    </tableStyle>
    <tableStyle name="Ann2 - Step 3-style" pivot="0" count="4" xr9:uid="{00000000-0011-0000-FFFF-FFFF06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ategories(O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egories(Od"/>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anmario Voria" id="{A6E5071B-0C41-4088-A885-18C4AE81BE8C}"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D1000">
  <tableColumns count="4">
    <tableColumn id="1" xr3:uid="{00000000-0010-0000-0200-000001000000}" name="ACF"/>
    <tableColumn id="2" xr3:uid="{00000000-0010-0000-0200-000002000000}" name="Instruction"/>
    <tableColumn id="3" xr3:uid="{00000000-0010-0000-0200-000003000000}" name="Category"/>
    <tableColumn id="4" xr3:uid="{00000000-0010-0000-0200-000004000000}" name="Reason"/>
  </tableColumns>
  <tableStyleInfo name="Step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_2" displayName="Table3_2" ref="A1:C997">
  <tableColumns count="3">
    <tableColumn id="1" xr3:uid="{00000000-0010-0000-0300-000001000000}" name="Column 3"/>
    <tableColumn id="2" xr3:uid="{00000000-0010-0000-0300-000002000000}" name="Instruction"/>
    <tableColumn id="3" xr3:uid="{00000000-0010-0000-0300-000003000000}" name="Category"/>
  </tableColumns>
  <tableStyleInfo name="Ann1 - Step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1:C997">
  <tableColumns count="3">
    <tableColumn id="1" xr3:uid="{00000000-0010-0000-0400-000001000000}" name="Column 3"/>
    <tableColumn id="2" xr3:uid="{00000000-0010-0000-0400-000002000000}" name="Instruction"/>
    <tableColumn id="3" xr3:uid="{00000000-0010-0000-0400-000003000000}" name="Category"/>
  </tableColumns>
  <tableStyleInfo name="Ann2 - Step 2-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1:D1943">
  <autoFilter ref="A1:D1943" xr:uid="{00000000-0009-0000-0100-000006000000}"/>
  <tableColumns count="4">
    <tableColumn id="1" xr3:uid="{00000000-0010-0000-0500-000001000000}" name="Column 3"/>
    <tableColumn id="2" xr3:uid="{00000000-0010-0000-0500-000002000000}" name="Instruction"/>
    <tableColumn id="3" xr3:uid="{00000000-0010-0000-0500-000003000000}" name="Category"/>
    <tableColumn id="4" xr3:uid="{00000000-0010-0000-0500-000004000000}" name="Exist in other sheets"/>
  </tableColumns>
  <tableStyleInfo name="Ann1 - Step 3-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2_2" displayName="Table2_2" ref="A1:D1943">
  <autoFilter ref="A1:D1943" xr:uid="{00000000-0009-0000-0100-000007000000}"/>
  <tableColumns count="4">
    <tableColumn id="1" xr3:uid="{00000000-0010-0000-0600-000001000000}" name="Column 3"/>
    <tableColumn id="2" xr3:uid="{00000000-0010-0000-0600-000002000000}" name="Instruction"/>
    <tableColumn id="3" xr3:uid="{00000000-0010-0000-0600-000003000000}" name="Category"/>
    <tableColumn id="4" xr3:uid="{00000000-0010-0000-0600-000004000000}" name="Exist in other sheets"/>
  </tableColumns>
  <tableStyleInfo name="Ann2 - Step 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87" dT="2026-06-26T09:05:31.00" personId="{A6E5071B-0C41-4088-A885-18C4AE81BE8C}" id="{92B92798-D69A-4513-AC13-D4D1FB2ED2B1}" done="1">
    <text>the ACF mentions this under "tool invocation workflow"</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github.com/lollipopkit/flutter_server_box/blob/main/CLAUDE.md" TargetMode="External"/><Relationship Id="rId170" Type="http://schemas.openxmlformats.org/officeDocument/2006/relationships/hyperlink" Target="https://github.com/RSSNext/Folo/blob/main/AGENTS.md" TargetMode="External"/><Relationship Id="rId987" Type="http://schemas.openxmlformats.org/officeDocument/2006/relationships/hyperlink" Target="https://github.com/webgptorg/promptbook/blob/main/AGENTS.md" TargetMode="External"/><Relationship Id="rId847" Type="http://schemas.openxmlformats.org/officeDocument/2006/relationships/hyperlink" Target="https://github.com/Azure/autorest.typescript/blob/main/.github/copilot-instructions.md" TargetMode="External"/><Relationship Id="rId1477" Type="http://schemas.openxmlformats.org/officeDocument/2006/relationships/hyperlink" Target="https://github.com/open-metadata/OpenMetadata/blob/main/CLAUDE.md" TargetMode="External"/><Relationship Id="rId1684" Type="http://schemas.openxmlformats.org/officeDocument/2006/relationships/hyperlink" Target="https://github.com/christianhelle/apiclientcodegen/blob/master/.github/copilot-instructions.md" TargetMode="External"/><Relationship Id="rId1891" Type="http://schemas.openxmlformats.org/officeDocument/2006/relationships/hyperlink" Target="https://github.com/colinhacks/zod/blob/main/CLAUDE.md" TargetMode="External"/><Relationship Id="rId2528" Type="http://schemas.openxmlformats.org/officeDocument/2006/relationships/hyperlink" Target="https://github.com/xlnfinance/xln/blob/main/CLAUDE.md" TargetMode="External"/><Relationship Id="rId707" Type="http://schemas.openxmlformats.org/officeDocument/2006/relationships/hyperlink" Target="https://github.com/dotnet/maui/blob/main/.github/copilot-instructions.md" TargetMode="External"/><Relationship Id="rId914" Type="http://schemas.openxmlformats.org/officeDocument/2006/relationships/hyperlink" Target="https://github.com/geneontology/go-ontology/blob/master/CLAUDE.md" TargetMode="External"/><Relationship Id="rId1337" Type="http://schemas.openxmlformats.org/officeDocument/2006/relationships/hyperlink" Target="https://github.com/BerriAI/litellm/blob/main/CLAUDE.md" TargetMode="External"/><Relationship Id="rId1544" Type="http://schemas.openxmlformats.org/officeDocument/2006/relationships/hyperlink" Target="https://github.com/xlnfinance/xln/blob/main/CLAUDE.md" TargetMode="External"/><Relationship Id="rId1751" Type="http://schemas.openxmlformats.org/officeDocument/2006/relationships/hyperlink" Target="https://github.com/Skyscanner/backpack-ios/blob/main/.github/copilot-instructions.md" TargetMode="External"/><Relationship Id="rId43" Type="http://schemas.openxmlformats.org/officeDocument/2006/relationships/hyperlink" Target="https://github.com/BerriAI/litellm/blob/main/CLAUDE.md" TargetMode="External"/><Relationship Id="rId1404" Type="http://schemas.openxmlformats.org/officeDocument/2006/relationships/hyperlink" Target="https://github.com/FastLED/FastLED/blob/master/CLAUDE.md" TargetMode="External"/><Relationship Id="rId1611" Type="http://schemas.openxmlformats.org/officeDocument/2006/relationships/hyperlink" Target="https://github.com/public-ui/kolibri/blob/master/AGENTS.md" TargetMode="External"/><Relationship Id="rId497" Type="http://schemas.openxmlformats.org/officeDocument/2006/relationships/hyperlink" Target="https://github.com/theopenco/llmgateway/blob/main/CLAUDE.md" TargetMode="External"/><Relationship Id="rId2178" Type="http://schemas.openxmlformats.org/officeDocument/2006/relationships/hyperlink" Target="https://github.com/JuliaBesties/BestieTemplate.jl/blob/main/CLAUDE.md" TargetMode="External"/><Relationship Id="rId2385" Type="http://schemas.openxmlformats.org/officeDocument/2006/relationships/hyperlink" Target="https://github.com/owid/etl/blob/master/CLAUDE.md" TargetMode="External"/><Relationship Id="rId357" Type="http://schemas.openxmlformats.org/officeDocument/2006/relationships/hyperlink" Target="https://github.com/clidey/dory/blob/main/CLAUDE.md" TargetMode="External"/><Relationship Id="rId1194" Type="http://schemas.openxmlformats.org/officeDocument/2006/relationships/hyperlink" Target="https://github.com/luccahuguet/yazelix/blob/main/AGENTS.md" TargetMode="External"/><Relationship Id="rId2038" Type="http://schemas.openxmlformats.org/officeDocument/2006/relationships/hyperlink" Target="https://github.com/wieslawsoltes/Xaml.Behaviors/blob/master/AGENTS.md" TargetMode="External"/><Relationship Id="rId217" Type="http://schemas.openxmlformats.org/officeDocument/2006/relationships/hyperlink" Target="https://github.com/Azure/AgentBaker/blob/main/.github/copilot-instructions.md" TargetMode="External"/><Relationship Id="rId564" Type="http://schemas.openxmlformats.org/officeDocument/2006/relationships/hyperlink" Target="https://github.com/JuliaLang/julia/blob/master/AGENTS.md" TargetMode="External"/><Relationship Id="rId771" Type="http://schemas.openxmlformats.org/officeDocument/2006/relationships/hyperlink" Target="https://github.com/sybrew/the-seo-framework/blob/master/.github/copilot-instructions.md" TargetMode="External"/><Relationship Id="rId2245" Type="http://schemas.openxmlformats.org/officeDocument/2006/relationships/hyperlink" Target="https://github.com/zenml-io/zenml/blob/main/CLAUDE.md" TargetMode="External"/><Relationship Id="rId2452" Type="http://schemas.openxmlformats.org/officeDocument/2006/relationships/hyperlink" Target="https://github.com/compiler-explorer/infra/blob/main/CLAUDE.md" TargetMode="External"/><Relationship Id="rId424" Type="http://schemas.openxmlformats.org/officeDocument/2006/relationships/hyperlink" Target="https://github.com/netdata/netdata/blob/master/CLAUDE.md" TargetMode="External"/><Relationship Id="rId631" Type="http://schemas.openxmlformats.org/officeDocument/2006/relationships/hyperlink" Target="https://github.com/public-ui/kolibri/blob/master/AGENTS.md" TargetMode="External"/><Relationship Id="rId1054" Type="http://schemas.openxmlformats.org/officeDocument/2006/relationships/hyperlink" Target="https://github.com/dailydotdev/apps/blob/main/CLAUDE.md" TargetMode="External"/><Relationship Id="rId1261" Type="http://schemas.openxmlformats.org/officeDocument/2006/relationships/hyperlink" Target="https://github.com/raycast/extensions/blob/main/.github/copilot-instructions.md" TargetMode="External"/><Relationship Id="rId2105" Type="http://schemas.openxmlformats.org/officeDocument/2006/relationships/hyperlink" Target="https://github.com/abh/ntppool/blob/main/CLAUDE.md" TargetMode="External"/><Relationship Id="rId2312" Type="http://schemas.openxmlformats.org/officeDocument/2006/relationships/hyperlink" Target="https://github.com/dotnet/maui/blob/main/.github/copilot-instructions.md" TargetMode="External"/><Relationship Id="rId1121" Type="http://schemas.openxmlformats.org/officeDocument/2006/relationships/hyperlink" Target="https://github.com/lgallard/terraform-aws-backup/blob/master/CLAUDE.md" TargetMode="External"/><Relationship Id="rId1938" Type="http://schemas.openxmlformats.org/officeDocument/2006/relationships/hyperlink" Target="https://github.com/open-metadata/OpenMetadata/blob/main/CLAUDE.md" TargetMode="External"/><Relationship Id="rId281" Type="http://schemas.openxmlformats.org/officeDocument/2006/relationships/hyperlink" Target="https://github.com/humanwhocodes/crosspost/blob/main/.github/copilot-instructions.md" TargetMode="External"/><Relationship Id="rId141" Type="http://schemas.openxmlformats.org/officeDocument/2006/relationships/hyperlink" Target="https://github.com/Azure-Samples/serverless-chat-langchainjs/blob/main/AGENTS.md" TargetMode="External"/><Relationship Id="rId7" Type="http://schemas.openxmlformats.org/officeDocument/2006/relationships/hyperlink" Target="https://github.com/module-federation/core/blob/main/CLAUDE.md" TargetMode="External"/><Relationship Id="rId958" Type="http://schemas.openxmlformats.org/officeDocument/2006/relationships/hyperlink" Target="https://github.com/commonwarexyz/monorepo/blob/main/AGENTS.md" TargetMode="External"/><Relationship Id="rId1588" Type="http://schemas.openxmlformats.org/officeDocument/2006/relationships/hyperlink" Target="https://github.com/mixpanel/mixpanel-android/blob/master/AGENTS.md" TargetMode="External"/><Relationship Id="rId1795" Type="http://schemas.openxmlformats.org/officeDocument/2006/relationships/hyperlink" Target="https://github.com/lightdash/lightdash/blob/main/CLAUDE.md" TargetMode="External"/><Relationship Id="rId87" Type="http://schemas.openxmlformats.org/officeDocument/2006/relationships/hyperlink" Target="https://github.com/open-metadata/OpenMetadata/blob/main/CLAUDE.md" TargetMode="External"/><Relationship Id="rId818" Type="http://schemas.openxmlformats.org/officeDocument/2006/relationships/hyperlink" Target="https://github.com/dotnet/runtime/blob/main/.github/copilot-instructions.md" TargetMode="External"/><Relationship Id="rId1448" Type="http://schemas.openxmlformats.org/officeDocument/2006/relationships/hyperlink" Target="https://github.com/module-federation/core/blob/main/CLAUDE.md" TargetMode="External"/><Relationship Id="rId1655" Type="http://schemas.openxmlformats.org/officeDocument/2006/relationships/hyperlink" Target="https://github.com/ast-grep/ast-grep/blob/main/.github/copilot-instructions.md" TargetMode="External"/><Relationship Id="rId1308" Type="http://schemas.openxmlformats.org/officeDocument/2006/relationships/hyperlink" Target="https://github.com/useautumn/autumn/blob/main/AGENTS.md" TargetMode="External"/><Relationship Id="rId1862" Type="http://schemas.openxmlformats.org/officeDocument/2006/relationships/hyperlink" Target="https://github.com/marin-community/marin/blob/main/AGENTS.md" TargetMode="External"/><Relationship Id="rId1515" Type="http://schemas.openxmlformats.org/officeDocument/2006/relationships/hyperlink" Target="https://github.com/saleor/saleor/blob/main/CLAUDE.md" TargetMode="External"/><Relationship Id="rId1722" Type="http://schemas.openxmlformats.org/officeDocument/2006/relationships/hyperlink" Target="https://github.com/james-gould/azure-keyvault-emulator/blob/master/.github/copilot-instructions.md" TargetMode="External"/><Relationship Id="rId14" Type="http://schemas.openxmlformats.org/officeDocument/2006/relationships/hyperlink" Target="https://github.com/dotnet/java-interop/blob/main/.github/copilot-instructions.md" TargetMode="External"/><Relationship Id="rId2289" Type="http://schemas.openxmlformats.org/officeDocument/2006/relationships/hyperlink" Target="https://github.com/Pipelex/pipelex/blob/main/AGENTS.md" TargetMode="External"/><Relationship Id="rId2496" Type="http://schemas.openxmlformats.org/officeDocument/2006/relationships/hyperlink" Target="https://github.com/Azure/AgentBaker/blob/main/.github/copilot-instructions.md" TargetMode="External"/><Relationship Id="rId468" Type="http://schemas.openxmlformats.org/officeDocument/2006/relationships/hyperlink" Target="https://github.com/qltysh/qlty/blob/main/CLAUDE.md" TargetMode="External"/><Relationship Id="rId675" Type="http://schemas.openxmlformats.org/officeDocument/2006/relationships/hyperlink" Target="https://github.com/wandb/weave/blob/master/AGENTS.md" TargetMode="External"/><Relationship Id="rId882" Type="http://schemas.openxmlformats.org/officeDocument/2006/relationships/hyperlink" Target="https://github.com/cockroachdb/cockroach/blob/master/CLAUDE.md" TargetMode="External"/><Relationship Id="rId1098" Type="http://schemas.openxmlformats.org/officeDocument/2006/relationships/hyperlink" Target="https://github.com/colinhacks/zod/blob/main/CLAUDE.md" TargetMode="External"/><Relationship Id="rId2149" Type="http://schemas.openxmlformats.org/officeDocument/2006/relationships/hyperlink" Target="https://github.com/dotCMS/core/blob/main/CLAUDE.md" TargetMode="External"/><Relationship Id="rId2356" Type="http://schemas.openxmlformats.org/officeDocument/2006/relationships/hyperlink" Target="https://github.com/saleor/saleor/blob/main/CLAUDE.md" TargetMode="External"/><Relationship Id="rId328" Type="http://schemas.openxmlformats.org/officeDocument/2006/relationships/hyperlink" Target="https://github.com/anyproto/anytype-ts/blob/main/CLAUDE.md" TargetMode="External"/><Relationship Id="rId535" Type="http://schemas.openxmlformats.org/officeDocument/2006/relationships/hyperlink" Target="https://github.com/commonwarexyz/monorepo/blob/main/AGENTS.md" TargetMode="External"/><Relationship Id="rId742" Type="http://schemas.openxmlformats.org/officeDocument/2006/relationships/hyperlink" Target="https://github.com/obophenotype/uberon/blob/master/.github/copilot-instructions.md" TargetMode="External"/><Relationship Id="rId1165" Type="http://schemas.openxmlformats.org/officeDocument/2006/relationships/hyperlink" Target="https://github.com/spylang/spy/blob/main/CLAUDE.md" TargetMode="External"/><Relationship Id="rId1372" Type="http://schemas.openxmlformats.org/officeDocument/2006/relationships/hyperlink" Target="https://github.com/coder/coder/blob/main/CLAUDE.md" TargetMode="External"/><Relationship Id="rId2009" Type="http://schemas.openxmlformats.org/officeDocument/2006/relationships/hyperlink" Target="https://github.com/microsoft/mcp-dotnet-samples/blob/main/AGENTS.md" TargetMode="External"/><Relationship Id="rId2216" Type="http://schemas.openxmlformats.org/officeDocument/2006/relationships/hyperlink" Target="https://github.com/PrefectHQ/marvin/blob/main/CLAUDE.md" TargetMode="External"/><Relationship Id="rId2423" Type="http://schemas.openxmlformats.org/officeDocument/2006/relationships/hyperlink" Target="https://github.com/Azure/autorest.typescript/blob/main/.github/copilot-instructions.md" TargetMode="External"/><Relationship Id="rId602" Type="http://schemas.openxmlformats.org/officeDocument/2006/relationships/hyperlink" Target="https://github.com/marin-community/marin/blob/main/AGENTS.md" TargetMode="External"/><Relationship Id="rId1025" Type="http://schemas.openxmlformats.org/officeDocument/2006/relationships/hyperlink" Target="https://github.com/abh/ntppool/blob/main/CLAUDE.md" TargetMode="External"/><Relationship Id="rId1232" Type="http://schemas.openxmlformats.org/officeDocument/2006/relationships/hyperlink" Target="https://github.com/dotnet/runtime/blob/main/.github/copilot-instructions.md" TargetMode="External"/><Relationship Id="rId185" Type="http://schemas.openxmlformats.org/officeDocument/2006/relationships/hyperlink" Target="https://github.com/useautumn/autumn/blob/main/AGENTS.md" TargetMode="External"/><Relationship Id="rId1909" Type="http://schemas.openxmlformats.org/officeDocument/2006/relationships/hyperlink" Target="https://github.com/getsentry/sentry-cocoa/blob/main/CLAUDE.md" TargetMode="External"/><Relationship Id="rId392" Type="http://schemas.openxmlformats.org/officeDocument/2006/relationships/hyperlink" Target="https://github.com/getsentry/sentry-cocoa/blob/main/CLAUDE.md" TargetMode="External"/><Relationship Id="rId2073" Type="http://schemas.openxmlformats.org/officeDocument/2006/relationships/hyperlink" Target="https://github.com/dropseed/plain/blob/main/CLAUDE.md" TargetMode="External"/><Relationship Id="rId2280" Type="http://schemas.openxmlformats.org/officeDocument/2006/relationships/hyperlink" Target="https://github.com/marin-community/marin/blob/main/AGENTS.md" TargetMode="External"/><Relationship Id="rId252" Type="http://schemas.openxmlformats.org/officeDocument/2006/relationships/hyperlink" Target="https://github.com/NuGet/NuGetGallery/blob/main/.github/copilot-instructions.md" TargetMode="External"/><Relationship Id="rId2140" Type="http://schemas.openxmlformats.org/officeDocument/2006/relationships/hyperlink" Target="https://github.com/compiler-explorer/compiler-explorer/blob/main/CLAUDE.md" TargetMode="External"/><Relationship Id="rId112" Type="http://schemas.openxmlformats.org/officeDocument/2006/relationships/hyperlink" Target="https://github.com/thirdweb-dev/js/blob/main/CLAUDE.md" TargetMode="External"/><Relationship Id="rId1699" Type="http://schemas.openxmlformats.org/officeDocument/2006/relationships/hyperlink" Target="https://github.com/FidelusAleksander/ghcertified/blob/master/.github/copilot-instructions.md" TargetMode="External"/><Relationship Id="rId2000" Type="http://schemas.openxmlformats.org/officeDocument/2006/relationships/hyperlink" Target="https://github.com/marin-community/marin/blob/main/AGENTS.md" TargetMode="External"/><Relationship Id="rId929" Type="http://schemas.openxmlformats.org/officeDocument/2006/relationships/hyperlink" Target="https://github.com/OlympiaAI/raix/blob/main/CLAUDE.md" TargetMode="External"/><Relationship Id="rId1559" Type="http://schemas.openxmlformats.org/officeDocument/2006/relationships/hyperlink" Target="https://github.com/CapSoftware/Cap/blob/main/AGENTS.md" TargetMode="External"/><Relationship Id="rId1766" Type="http://schemas.openxmlformats.org/officeDocument/2006/relationships/hyperlink" Target="https://github.com/abh/ntppool/blob/main/CLAUDE.md" TargetMode="External"/><Relationship Id="rId1973" Type="http://schemas.openxmlformats.org/officeDocument/2006/relationships/hyperlink" Target="https://github.com/carverauto/serviceradar/blob/main/AGENTS.md" TargetMode="External"/><Relationship Id="rId58" Type="http://schemas.openxmlformats.org/officeDocument/2006/relationships/hyperlink" Target="https://github.com/dailydotdev/apps/blob/main/CLAUDE.md" TargetMode="External"/><Relationship Id="rId1419" Type="http://schemas.openxmlformats.org/officeDocument/2006/relationships/hyperlink" Target="https://github.com/geneontology/go-ontology/blob/master/CLAUDE.md" TargetMode="External"/><Relationship Id="rId1626" Type="http://schemas.openxmlformats.org/officeDocument/2006/relationships/hyperlink" Target="https://github.com/stack-auth/stack-auth/blob/main/AGENTS.md" TargetMode="External"/><Relationship Id="rId1833" Type="http://schemas.openxmlformats.org/officeDocument/2006/relationships/hyperlink" Target="https://github.com/cloudposse/atmos/blob/main/CLAUDE.md" TargetMode="External"/><Relationship Id="rId1900" Type="http://schemas.openxmlformats.org/officeDocument/2006/relationships/hyperlink" Target="https://github.com/evmts/tevm-monorepo/blob/main/CLAUDE.md" TargetMode="External"/><Relationship Id="rId579" Type="http://schemas.openxmlformats.org/officeDocument/2006/relationships/hyperlink" Target="https://github.com/llama-farm/llamafarm/blob/main/AGENTS.md" TargetMode="External"/><Relationship Id="rId786" Type="http://schemas.openxmlformats.org/officeDocument/2006/relationships/hyperlink" Target="https://github.com/wled/WLED/blob/main/.github/copilot-instructions.md" TargetMode="External"/><Relationship Id="rId993" Type="http://schemas.openxmlformats.org/officeDocument/2006/relationships/hyperlink" Target="https://github.com/Azure/azure-mcp/blob/main/.github/copilot-instructions.md" TargetMode="External"/><Relationship Id="rId2467" Type="http://schemas.openxmlformats.org/officeDocument/2006/relationships/hyperlink" Target="https://github.com/pdfme/pdfme/blob/main/CLAUDE.md" TargetMode="External"/><Relationship Id="rId439" Type="http://schemas.openxmlformats.org/officeDocument/2006/relationships/hyperlink" Target="https://github.com/open-metadata/OpenMetadata/blob/main/CLAUDE.md" TargetMode="External"/><Relationship Id="rId646" Type="http://schemas.openxmlformats.org/officeDocument/2006/relationships/hyperlink" Target="https://github.com/Rello/analytics/blob/master/AGENTS.md" TargetMode="External"/><Relationship Id="rId1069" Type="http://schemas.openxmlformats.org/officeDocument/2006/relationships/hyperlink" Target="https://github.com/FastLED/FastLED/blob/master/CLAUDE.md" TargetMode="External"/><Relationship Id="rId1276" Type="http://schemas.openxmlformats.org/officeDocument/2006/relationships/hyperlink" Target="https://github.com/public-ui/kolibri/blob/master/AGENTS.md" TargetMode="External"/><Relationship Id="rId1483" Type="http://schemas.openxmlformats.org/officeDocument/2006/relationships/hyperlink" Target="https://github.com/pannous/wasp/blob/main/CLAUDE.md" TargetMode="External"/><Relationship Id="rId2327" Type="http://schemas.openxmlformats.org/officeDocument/2006/relationships/hyperlink" Target="https://github.com/microsoft/react-native-windows/blob/main/.github/copilot-instructions.md" TargetMode="External"/><Relationship Id="rId506" Type="http://schemas.openxmlformats.org/officeDocument/2006/relationships/hyperlink" Target="https://github.com/zed-industries/zed/blob/main/CLAUDE.md" TargetMode="External"/><Relationship Id="rId853" Type="http://schemas.openxmlformats.org/officeDocument/2006/relationships/hyperlink" Target="https://github.com/netdata/netdata/blob/master/CLAUDE.md" TargetMode="External"/><Relationship Id="rId1136" Type="http://schemas.openxmlformats.org/officeDocument/2006/relationships/hyperlink" Target="https://github.com/open-metadata/OpenMetadata/blob/main/CLAUDE.md" TargetMode="External"/><Relationship Id="rId1690" Type="http://schemas.openxmlformats.org/officeDocument/2006/relationships/hyperlink" Target="https://github.com/dotnet/aspnetcore/blob/main/.github/copilot-instructions.md" TargetMode="External"/><Relationship Id="rId2534" Type="http://schemas.openxmlformats.org/officeDocument/2006/relationships/hyperlink" Target="https://github.com/Pipelex/pipelex/blob/main/CLAUDE.md" TargetMode="External"/><Relationship Id="rId713" Type="http://schemas.openxmlformats.org/officeDocument/2006/relationships/hyperlink" Target="https://github.com/dotnet/maui/blob/main/.github/copilot-instructions.md" TargetMode="External"/><Relationship Id="rId920" Type="http://schemas.openxmlformats.org/officeDocument/2006/relationships/hyperlink" Target="https://github.com/ithacaxyz/account/blob/main/CLAUDE.md" TargetMode="External"/><Relationship Id="rId1343" Type="http://schemas.openxmlformats.org/officeDocument/2006/relationships/hyperlink" Target="https://github.com/browser-use/browser-use/blob/main/CLAUDE.md" TargetMode="External"/><Relationship Id="rId1550" Type="http://schemas.openxmlformats.org/officeDocument/2006/relationships/hyperlink" Target="https://github.com/zenml-io/zenml/blob/main/CLAUDE.md" TargetMode="External"/><Relationship Id="rId1203" Type="http://schemas.openxmlformats.org/officeDocument/2006/relationships/hyperlink" Target="https://github.com/Pipelex/pipelex/blob/main/AGENTS.md" TargetMode="External"/><Relationship Id="rId1410" Type="http://schemas.openxmlformats.org/officeDocument/2006/relationships/hyperlink" Target="https://github.com/Freika/dawarich/blob/master/CLAUDE.md" TargetMode="External"/><Relationship Id="rId296" Type="http://schemas.openxmlformats.org/officeDocument/2006/relationships/hyperlink" Target="https://github.com/dailydotdev/apps/blob/main/CLAUDE.md" TargetMode="External"/><Relationship Id="rId2184" Type="http://schemas.openxmlformats.org/officeDocument/2006/relationships/hyperlink" Target="https://github.com/lgallard/terraform-aws-backup/blob/master/CLAUDE.md" TargetMode="External"/><Relationship Id="rId2391" Type="http://schemas.openxmlformats.org/officeDocument/2006/relationships/hyperlink" Target="https://github.com/theopenco/llmgateway/blob/main/CLAUDE.md" TargetMode="External"/><Relationship Id="rId156" Type="http://schemas.openxmlformats.org/officeDocument/2006/relationships/hyperlink" Target="https://github.com/hahwul/dalfox/blob/main/AGENTS.md" TargetMode="External"/><Relationship Id="rId363" Type="http://schemas.openxmlformats.org/officeDocument/2006/relationships/hyperlink" Target="https://github.com/cockroachdb/cockroach/blob/master/CLAUDE.md" TargetMode="External"/><Relationship Id="rId570" Type="http://schemas.openxmlformats.org/officeDocument/2006/relationships/hyperlink" Target="https://github.com/langchain-ai/langchain/blob/master/AGENTS.md" TargetMode="External"/><Relationship Id="rId2044" Type="http://schemas.openxmlformats.org/officeDocument/2006/relationships/hyperlink" Target="https://github.com/zenml-io/zenml/blob/main/AGENTS.md" TargetMode="External"/><Relationship Id="rId2251" Type="http://schemas.openxmlformats.org/officeDocument/2006/relationships/hyperlink" Target="https://github.com/commonwarexyz/monorepo/blob/main/AGENTS.md" TargetMode="External"/><Relationship Id="rId223" Type="http://schemas.openxmlformats.org/officeDocument/2006/relationships/hyperlink" Target="https://github.com/dotnet/docs-aspire/blob/main/.github/copilot-instructions.md" TargetMode="External"/><Relationship Id="rId430" Type="http://schemas.openxmlformats.org/officeDocument/2006/relationships/hyperlink" Target="https://github.com/obophenotype/uberon/blob/master/CLAUDE.md" TargetMode="External"/><Relationship Id="rId1060" Type="http://schemas.openxmlformats.org/officeDocument/2006/relationships/hyperlink" Target="https://github.com/colinhacks/zod/blob/main/CLAUDE.md" TargetMode="External"/><Relationship Id="rId2111" Type="http://schemas.openxmlformats.org/officeDocument/2006/relationships/hyperlink" Target="https://github.com/ajanraj/OpenChat/blob/main/CLAUDE.md" TargetMode="External"/><Relationship Id="rId1877" Type="http://schemas.openxmlformats.org/officeDocument/2006/relationships/hyperlink" Target="https://github.com/Pipelex/pipelex/blob/main/AGENTS.md" TargetMode="External"/><Relationship Id="rId1737" Type="http://schemas.openxmlformats.org/officeDocument/2006/relationships/hyperlink" Target="https://github.com/obophenotype/uberon/blob/master/.github/copilot-instructions.md" TargetMode="External"/><Relationship Id="rId1944" Type="http://schemas.openxmlformats.org/officeDocument/2006/relationships/hyperlink" Target="https://github.com/owid/etl/blob/master/CLAUDE.md" TargetMode="External"/><Relationship Id="rId29" Type="http://schemas.openxmlformats.org/officeDocument/2006/relationships/hyperlink" Target="https://github.com/dotnet/docs-desktop/blob/main/.github/copilot-instructions.md" TargetMode="External"/><Relationship Id="rId1804" Type="http://schemas.openxmlformats.org/officeDocument/2006/relationships/hyperlink" Target="https://github.com/julep-ai/julep/blob/main/AGENTS.md" TargetMode="External"/><Relationship Id="rId897" Type="http://schemas.openxmlformats.org/officeDocument/2006/relationships/hyperlink" Target="https://github.com/colinhacks/zod/blob/main/CLAUDE.md" TargetMode="External"/><Relationship Id="rId757" Type="http://schemas.openxmlformats.org/officeDocument/2006/relationships/hyperlink" Target="https://github.com/SparkDevNetwork/Rock/blob/master/.github/copilot-instructions.md" TargetMode="External"/><Relationship Id="rId964" Type="http://schemas.openxmlformats.org/officeDocument/2006/relationships/hyperlink" Target="https://github.com/marin-community/marin/blob/main/AGENTS.md" TargetMode="External"/><Relationship Id="rId1387" Type="http://schemas.openxmlformats.org/officeDocument/2006/relationships/hyperlink" Target="https://github.com/dailydotdev/apps/blob/main/CLAUDE.md" TargetMode="External"/><Relationship Id="rId1594" Type="http://schemas.openxmlformats.org/officeDocument/2006/relationships/hyperlink" Target="https://github.com/Pipelex/pipelex/blob/main/AGENTS.md" TargetMode="External"/><Relationship Id="rId2438" Type="http://schemas.openxmlformats.org/officeDocument/2006/relationships/hyperlink" Target="https://github.com/julep-ai/julep/blob/main/AGENTS.md" TargetMode="External"/><Relationship Id="rId93" Type="http://schemas.openxmlformats.org/officeDocument/2006/relationships/hyperlink" Target="https://github.com/pdfme/pdfme/blob/main/CLAUDE.md" TargetMode="External"/><Relationship Id="rId617" Type="http://schemas.openxmlformats.org/officeDocument/2006/relationships/hyperlink" Target="https://github.com/Pipelex/pipelex/blob/main/AGENTS.md" TargetMode="External"/><Relationship Id="rId824" Type="http://schemas.openxmlformats.org/officeDocument/2006/relationships/hyperlink" Target="https://github.com/angular-eslint/angular-eslint/blob/main/CLAUDE.md" TargetMode="External"/><Relationship Id="rId1247" Type="http://schemas.openxmlformats.org/officeDocument/2006/relationships/hyperlink" Target="https://github.com/microsoft/ApplicationInsights-JS/blob/main/.github/copilot-instructions.md" TargetMode="External"/><Relationship Id="rId1454" Type="http://schemas.openxmlformats.org/officeDocument/2006/relationships/hyperlink" Target="https://github.com/netdata/netdata/blob/master/CLAUDE.md" TargetMode="External"/><Relationship Id="rId1661" Type="http://schemas.openxmlformats.org/officeDocument/2006/relationships/hyperlink" Target="https://github.com/AstrBotDevs/AstrBot/blob/master/.github/copilot-instructions.md" TargetMode="External"/><Relationship Id="rId2505" Type="http://schemas.openxmlformats.org/officeDocument/2006/relationships/hyperlink" Target="https://github.com/evmts/tevm-monorepo/blob/main/CLAUDE.md" TargetMode="External"/><Relationship Id="rId1107" Type="http://schemas.openxmlformats.org/officeDocument/2006/relationships/hyperlink" Target="https://github.com/evmts/tevm-monorepo/blob/main/CLAUDE.md" TargetMode="External"/><Relationship Id="rId1314" Type="http://schemas.openxmlformats.org/officeDocument/2006/relationships/hyperlink" Target="https://github.com/abh/ntppool/blob/main/CLAUDE.md" TargetMode="External"/><Relationship Id="rId1521" Type="http://schemas.openxmlformats.org/officeDocument/2006/relationships/hyperlink" Target="https://github.com/steipete/Peekaboo/blob/main/CLAUDE.md" TargetMode="External"/><Relationship Id="rId20" Type="http://schemas.openxmlformats.org/officeDocument/2006/relationships/hyperlink" Target="https://github.com/home-assistant/frontend/blob/master/CLAUDE.md" TargetMode="External"/><Relationship Id="rId2088" Type="http://schemas.openxmlformats.org/officeDocument/2006/relationships/hyperlink" Target="https://github.com/logancyang/obsidian-copilot/blob/master/AGENTS.md" TargetMode="External"/><Relationship Id="rId2295" Type="http://schemas.openxmlformats.org/officeDocument/2006/relationships/hyperlink" Target="https://github.com/useautumn/autumn/blob/main/AGENTS.md" TargetMode="External"/><Relationship Id="rId267" Type="http://schemas.openxmlformats.org/officeDocument/2006/relationships/hyperlink" Target="https://github.com/wvlet/airframe/blob/main/.github/copilot-instructions.md" TargetMode="External"/><Relationship Id="rId474" Type="http://schemas.openxmlformats.org/officeDocument/2006/relationships/hyperlink" Target="https://github.com/RchGrav/claudebox/blob/main/CLAUDE.md" TargetMode="External"/><Relationship Id="rId2155" Type="http://schemas.openxmlformats.org/officeDocument/2006/relationships/hyperlink" Target="https://github.com/evmts/tevm-monorepo/blob/main/CLAUDE.md" TargetMode="External"/><Relationship Id="rId127" Type="http://schemas.openxmlformats.org/officeDocument/2006/relationships/hyperlink" Target="https://github.com/zed-industries/zed/blob/main/CLAUDE.md" TargetMode="External"/><Relationship Id="rId681" Type="http://schemas.openxmlformats.org/officeDocument/2006/relationships/hyperlink" Target="https://github.com/wieslawsoltes/Dock/blob/master/AGENTS.md" TargetMode="External"/><Relationship Id="rId2362" Type="http://schemas.openxmlformats.org/officeDocument/2006/relationships/hyperlink" Target="https://github.com/dotnet/runtime/blob/main/.github/copilot-instructions.md" TargetMode="External"/><Relationship Id="rId334" Type="http://schemas.openxmlformats.org/officeDocument/2006/relationships/hyperlink" Target="https://github.com/abh/ntppool/blob/main/CLAUDE.md" TargetMode="External"/><Relationship Id="rId541" Type="http://schemas.openxmlformats.org/officeDocument/2006/relationships/hyperlink" Target="https://github.com/ESPresense/ESPresense-companion/blob/main/AGENTS.md" TargetMode="External"/><Relationship Id="rId1171" Type="http://schemas.openxmlformats.org/officeDocument/2006/relationships/hyperlink" Target="https://github.com/truenas/webui/blob/master/CLAUDE.md" TargetMode="External"/><Relationship Id="rId2015" Type="http://schemas.openxmlformats.org/officeDocument/2006/relationships/hyperlink" Target="https://github.com/owid/etl/blob/master/AGENTS.md" TargetMode="External"/><Relationship Id="rId2222" Type="http://schemas.openxmlformats.org/officeDocument/2006/relationships/hyperlink" Target="https://github.com/theopenco/llmgateway/blob/main/CLAUDE.md" TargetMode="External"/><Relationship Id="rId401" Type="http://schemas.openxmlformats.org/officeDocument/2006/relationships/hyperlink" Target="https://github.com/J-Tech-Japan/Sekiban/blob/main/CLAUDE.md" TargetMode="External"/><Relationship Id="rId1031" Type="http://schemas.openxmlformats.org/officeDocument/2006/relationships/hyperlink" Target="https://github.com/cloudposse/atmos/blob/main/CLAUDE.md" TargetMode="External"/><Relationship Id="rId1988" Type="http://schemas.openxmlformats.org/officeDocument/2006/relationships/hyperlink" Target="https://github.com/janbjorge/pgqueuer/blob/main/AGENTS.md" TargetMode="External"/><Relationship Id="rId1848" Type="http://schemas.openxmlformats.org/officeDocument/2006/relationships/hyperlink" Target="https://github.com/dotnet/maui/blob/main/.github/copilot-instructions.md" TargetMode="External"/><Relationship Id="rId191" Type="http://schemas.openxmlformats.org/officeDocument/2006/relationships/hyperlink" Target="https://github.com/wieslawsoltes/Dock/blob/master/AGENTS.md" TargetMode="External"/><Relationship Id="rId1708" Type="http://schemas.openxmlformats.org/officeDocument/2006/relationships/hyperlink" Target="https://github.com/geneontology/go-ontology/blob/master/.github/copilot-instructions.md" TargetMode="External"/><Relationship Id="rId1915" Type="http://schemas.openxmlformats.org/officeDocument/2006/relationships/hyperlink" Target="https://github.com/home-assistant/frontend/blob/master/CLAUDE.md" TargetMode="External"/><Relationship Id="rId868" Type="http://schemas.openxmlformats.org/officeDocument/2006/relationships/hyperlink" Target="https://github.com/marin-community/marin/blob/main/AGENTS.md" TargetMode="External"/><Relationship Id="rId1498" Type="http://schemas.openxmlformats.org/officeDocument/2006/relationships/hyperlink" Target="https://github.com/Pipelex/pipelex/blob/main/CLAUDE.md" TargetMode="External"/><Relationship Id="rId728" Type="http://schemas.openxmlformats.org/officeDocument/2006/relationships/hyperlink" Target="https://github.com/microsoft/ApplicationInsights-JS/blob/main/.github/copilot-instructions.md" TargetMode="External"/><Relationship Id="rId935" Type="http://schemas.openxmlformats.org/officeDocument/2006/relationships/hyperlink" Target="https://github.com/pannous/wasp/blob/main/CLAUDE.md" TargetMode="External"/><Relationship Id="rId1358" Type="http://schemas.openxmlformats.org/officeDocument/2006/relationships/hyperlink" Target="https://github.com/cloudposse/atmos/blob/main/CLAUDE.md" TargetMode="External"/><Relationship Id="rId1565" Type="http://schemas.openxmlformats.org/officeDocument/2006/relationships/hyperlink" Target="https://github.com/carverauto/serviceradar/blob/main/AGENTS.md" TargetMode="External"/><Relationship Id="rId1772" Type="http://schemas.openxmlformats.org/officeDocument/2006/relationships/hyperlink" Target="https://github.com/OneKeyHQ/app-monorepo/blob/master/CLAUDE.md" TargetMode="External"/><Relationship Id="rId2409" Type="http://schemas.openxmlformats.org/officeDocument/2006/relationships/hyperlink" Target="https://github.com/lightdash/lightdash/blob/main/CLAUDE.md" TargetMode="External"/><Relationship Id="rId64" Type="http://schemas.openxmlformats.org/officeDocument/2006/relationships/hyperlink" Target="https://github.com/gensx-inc/gensx/blob/main/CLAUDE.md" TargetMode="External"/><Relationship Id="rId1218" Type="http://schemas.openxmlformats.org/officeDocument/2006/relationships/hyperlink" Target="https://github.com/web-infra-dev/rspack/blob/main/AGENTS.md" TargetMode="External"/><Relationship Id="rId1425" Type="http://schemas.openxmlformats.org/officeDocument/2006/relationships/hyperlink" Target="https://github.com/getsentry/sentry-javascript/blob/master/CLAUDE.md" TargetMode="External"/><Relationship Id="rId1632" Type="http://schemas.openxmlformats.org/officeDocument/2006/relationships/hyperlink" Target="https://github.com/theopenco/llmgateway/blob/main/AGENTS.md" TargetMode="External"/><Relationship Id="rId2199" Type="http://schemas.openxmlformats.org/officeDocument/2006/relationships/hyperlink" Target="https://github.com/open-metadata/OpenMetadata/blob/main/CLAUDE.md" TargetMode="External"/><Relationship Id="rId378" Type="http://schemas.openxmlformats.org/officeDocument/2006/relationships/hyperlink" Target="https://github.com/compiler-explorer/infra/blob/main/CLAUDE.md" TargetMode="External"/><Relationship Id="rId585" Type="http://schemas.openxmlformats.org/officeDocument/2006/relationships/hyperlink" Target="https://github.com/luccahuguet/yazelix/blob/main/AGENTS.md" TargetMode="External"/><Relationship Id="rId792" Type="http://schemas.openxmlformats.org/officeDocument/2006/relationships/hyperlink" Target="https://github.com/dotnet/sdk/blob/main/.github/copilot-instructions.md" TargetMode="External"/><Relationship Id="rId2059" Type="http://schemas.openxmlformats.org/officeDocument/2006/relationships/hyperlink" Target="https://github.com/obophenotype/uberon/blob/master/.github/copilot-instructions.md" TargetMode="External"/><Relationship Id="rId2266" Type="http://schemas.openxmlformats.org/officeDocument/2006/relationships/hyperlink" Target="https://github.com/Kiln-AI/Kiln/blob/main/AGENTS.md" TargetMode="External"/><Relationship Id="rId2473" Type="http://schemas.openxmlformats.org/officeDocument/2006/relationships/hyperlink" Target="https://github.com/commonwarexyz/monorepo/blob/main/AGENTS.md" TargetMode="External"/><Relationship Id="rId238" Type="http://schemas.openxmlformats.org/officeDocument/2006/relationships/hyperlink" Target="https://github.com/microsoft/ApplicationInsights-JS/blob/main/.github/copilot-instructions.md" TargetMode="External"/><Relationship Id="rId445" Type="http://schemas.openxmlformats.org/officeDocument/2006/relationships/hyperlink" Target="https://github.com/open-metadata/OpenMetadata/blob/main/CLAUDE.md" TargetMode="External"/><Relationship Id="rId652" Type="http://schemas.openxmlformats.org/officeDocument/2006/relationships/hyperlink" Target="https://github.com/rocketship-ai/rocketship/blob/main/AGENTS.md" TargetMode="External"/><Relationship Id="rId1075" Type="http://schemas.openxmlformats.org/officeDocument/2006/relationships/hyperlink" Target="https://github.com/abh/ntppool/blob/main/CLAUDE.md" TargetMode="External"/><Relationship Id="rId1282" Type="http://schemas.openxmlformats.org/officeDocument/2006/relationships/hyperlink" Target="https://github.com/module-federation/core/blob/main/CLAUDE.md" TargetMode="External"/><Relationship Id="rId2126" Type="http://schemas.openxmlformats.org/officeDocument/2006/relationships/hyperlink" Target="https://github.com/browser-use/browser-use/blob/main/CLAUDE.md" TargetMode="External"/><Relationship Id="rId2333" Type="http://schemas.openxmlformats.org/officeDocument/2006/relationships/hyperlink" Target="https://github.com/octgn/OCTGN/blob/master/.github/copilot-instructions.md" TargetMode="External"/><Relationship Id="rId2540" Type="http://schemas.openxmlformats.org/officeDocument/2006/relationships/hyperlink" Target="https://github.com/luccahuguet/yazelix/blob/main/AGENTS.md" TargetMode="External"/><Relationship Id="rId305" Type="http://schemas.openxmlformats.org/officeDocument/2006/relationships/hyperlink" Target="https://github.com/Azure/AgentBaker/blob/main/.github/copilot-instructions.md" TargetMode="External"/><Relationship Id="rId512" Type="http://schemas.openxmlformats.org/officeDocument/2006/relationships/hyperlink" Target="https://github.com/ArcInstitute/SRAgent/blob/main/AGENTS.md" TargetMode="External"/><Relationship Id="rId1142" Type="http://schemas.openxmlformats.org/officeDocument/2006/relationships/hyperlink" Target="https://github.com/paradigmxyz/reth/blob/main/CLAUDE.md" TargetMode="External"/><Relationship Id="rId2400" Type="http://schemas.openxmlformats.org/officeDocument/2006/relationships/hyperlink" Target="https://github.com/igraph/igraph/blob/main/.github/copilot-instructions.md" TargetMode="External"/><Relationship Id="rId1002" Type="http://schemas.openxmlformats.org/officeDocument/2006/relationships/hyperlink" Target="https://github.com/dotnet/macios/blob/main/.github/copilot-instructions.md" TargetMode="External"/><Relationship Id="rId1959" Type="http://schemas.openxmlformats.org/officeDocument/2006/relationships/hyperlink" Target="https://github.com/wvlet/wvlet/blob/main/CLAUDE.md" TargetMode="External"/><Relationship Id="rId1819" Type="http://schemas.openxmlformats.org/officeDocument/2006/relationships/hyperlink" Target="https://github.com/abh/ntppool/blob/main/CLAUDE.md" TargetMode="External"/><Relationship Id="rId2190" Type="http://schemas.openxmlformats.org/officeDocument/2006/relationships/hyperlink" Target="https://github.com/modelcontextprotocol/typescript-sdk/blob/main/CLAUDE.md" TargetMode="External"/><Relationship Id="rId162" Type="http://schemas.openxmlformats.org/officeDocument/2006/relationships/hyperlink" Target="https://github.com/luccahuguet/yazelix/blob/main/AGENTS.md" TargetMode="External"/><Relationship Id="rId2050" Type="http://schemas.openxmlformats.org/officeDocument/2006/relationships/hyperlink" Target="https://github.com/FidelusAleksander/ghcertified/blob/master/.github/copilot-instructions.md" TargetMode="External"/><Relationship Id="rId979" Type="http://schemas.openxmlformats.org/officeDocument/2006/relationships/hyperlink" Target="https://github.com/pytorch/pytorch/blob/main/AGENTS.md" TargetMode="External"/><Relationship Id="rId839" Type="http://schemas.openxmlformats.org/officeDocument/2006/relationships/hyperlink" Target="https://github.com/SparkDevNetwork/Rock/blob/master/.github/copilot-instructions.md" TargetMode="External"/><Relationship Id="rId1469" Type="http://schemas.openxmlformats.org/officeDocument/2006/relationships/hyperlink" Target="https://github.com/open-metadata/OpenMetadata/blob/main/CLAUDE.md" TargetMode="External"/><Relationship Id="rId1676" Type="http://schemas.openxmlformats.org/officeDocument/2006/relationships/hyperlink" Target="https://github.com/Azure/azure-functions-host/blob/master/.github/copilot-instructions.md" TargetMode="External"/><Relationship Id="rId1883" Type="http://schemas.openxmlformats.org/officeDocument/2006/relationships/hyperlink" Target="https://github.com/anyproto/anytype-swift/blob/main/CLAUDE.md" TargetMode="External"/><Relationship Id="rId906" Type="http://schemas.openxmlformats.org/officeDocument/2006/relationships/hyperlink" Target="https://github.com/dailydotdev/apps/blob/main/CLAUDE.md" TargetMode="External"/><Relationship Id="rId1329" Type="http://schemas.openxmlformats.org/officeDocument/2006/relationships/hyperlink" Target="https://github.com/angular-eslint/angular-eslint/blob/main/CLAUDE.md" TargetMode="External"/><Relationship Id="rId1536" Type="http://schemas.openxmlformats.org/officeDocument/2006/relationships/hyperlink" Target="https://github.com/wolfi-dev/os/blob/main/CLAUDE.md" TargetMode="External"/><Relationship Id="rId1743" Type="http://schemas.openxmlformats.org/officeDocument/2006/relationships/hyperlink" Target="https://github.com/primer/react/blob/main/.github/copilot-instructions.md" TargetMode="External"/><Relationship Id="rId1950" Type="http://schemas.openxmlformats.org/officeDocument/2006/relationships/hyperlink" Target="https://github.com/rocket-admin/rocketadmin/blob/main/CLAUDE.md" TargetMode="External"/><Relationship Id="rId35" Type="http://schemas.openxmlformats.org/officeDocument/2006/relationships/hyperlink" Target="https://github.com/geneontology/go-ontology/blob/master/.github/copilot-instructions.md" TargetMode="External"/><Relationship Id="rId1603" Type="http://schemas.openxmlformats.org/officeDocument/2006/relationships/hyperlink" Target="https://github.com/PrairieLearn/PrairieLearn/blob/master/AGENTS.md" TargetMode="External"/><Relationship Id="rId1810" Type="http://schemas.openxmlformats.org/officeDocument/2006/relationships/hyperlink" Target="https://github.com/CapSoftware/Cap/blob/main/CLAUDE.md" TargetMode="External"/><Relationship Id="rId489" Type="http://schemas.openxmlformats.org/officeDocument/2006/relationships/hyperlink" Target="https://github.com/Southclaws/storyden/blob/main/CLAUDE.md" TargetMode="External"/><Relationship Id="rId696" Type="http://schemas.openxmlformats.org/officeDocument/2006/relationships/hyperlink" Target="https://github.com/Azure/azure-functions-host/blob/master/.github/copilot-instructions.md" TargetMode="External"/><Relationship Id="rId2377" Type="http://schemas.openxmlformats.org/officeDocument/2006/relationships/hyperlink" Target="https://github.com/vczh-libraries/GacUI/blob/master/.github/copilot-instructions.md" TargetMode="External"/><Relationship Id="rId349" Type="http://schemas.openxmlformats.org/officeDocument/2006/relationships/hyperlink" Target="https://github.com/BerriAI/litellm/blob/main/CLAUDE.md" TargetMode="External"/><Relationship Id="rId556" Type="http://schemas.openxmlformats.org/officeDocument/2006/relationships/hyperlink" Target="https://github.com/JuliaLang/julia/blob/master/AGENTS.md" TargetMode="External"/><Relationship Id="rId763" Type="http://schemas.openxmlformats.org/officeDocument/2006/relationships/hyperlink" Target="https://github.com/sybrew/the-seo-framework/blob/master/.github/copilot-instructions.md" TargetMode="External"/><Relationship Id="rId1186" Type="http://schemas.openxmlformats.org/officeDocument/2006/relationships/hyperlink" Target="https://github.com/gitkraken/vscode-gitlens/blob/main/AGENTS.md" TargetMode="External"/><Relationship Id="rId1393" Type="http://schemas.openxmlformats.org/officeDocument/2006/relationships/hyperlink" Target="https://github.com/dailydotdev/apps/blob/main/CLAUDE.md" TargetMode="External"/><Relationship Id="rId2237" Type="http://schemas.openxmlformats.org/officeDocument/2006/relationships/hyperlink" Target="https://github.com/wvlet/airframe/blob/main/CLAUDE.md" TargetMode="External"/><Relationship Id="rId2444" Type="http://schemas.openxmlformats.org/officeDocument/2006/relationships/hyperlink" Target="https://github.com/actnwit/RhodoniteTS/blob/main/CLAUDE.md" TargetMode="External"/><Relationship Id="rId209" Type="http://schemas.openxmlformats.org/officeDocument/2006/relationships/hyperlink" Target="https://github.com/zenml-io/zenml/blob/main/AGENTS.md" TargetMode="External"/><Relationship Id="rId416" Type="http://schemas.openxmlformats.org/officeDocument/2006/relationships/hyperlink" Target="https://github.com/lollipopkit/flutter_server_box/blob/main/CLAUDE.md" TargetMode="External"/><Relationship Id="rId970" Type="http://schemas.openxmlformats.org/officeDocument/2006/relationships/hyperlink" Target="https://github.com/PrairieLearn/PrairieLearn/blob/master/AGENTS.md" TargetMode="External"/><Relationship Id="rId1046" Type="http://schemas.openxmlformats.org/officeDocument/2006/relationships/hyperlink" Target="https://github.com/geneontology/go-ontology/blob/master/.github/copilot-instructions.md" TargetMode="External"/><Relationship Id="rId1253" Type="http://schemas.openxmlformats.org/officeDocument/2006/relationships/hyperlink" Target="https://github.com/NG-ZORRO/ng-zorro-antd/blob/master/.github/copilot-instructions.md" TargetMode="External"/><Relationship Id="rId623" Type="http://schemas.openxmlformats.org/officeDocument/2006/relationships/hyperlink" Target="https://github.com/PrairieLearn/PrairieLearn/blob/master/AGENTS.md" TargetMode="External"/><Relationship Id="rId830" Type="http://schemas.openxmlformats.org/officeDocument/2006/relationships/hyperlink" Target="https://github.com/luccahuguet/yazelix/blob/main/AGENTS.md" TargetMode="External"/><Relationship Id="rId1460" Type="http://schemas.openxmlformats.org/officeDocument/2006/relationships/hyperlink" Target="https://github.com/obophenotype/uberon/blob/master/CLAUDE.md" TargetMode="External"/><Relationship Id="rId2304" Type="http://schemas.openxmlformats.org/officeDocument/2006/relationships/hyperlink" Target="https://github.com/Azure/fleet/blob/main/.github/copilot-instructions.md" TargetMode="External"/><Relationship Id="rId2511" Type="http://schemas.openxmlformats.org/officeDocument/2006/relationships/hyperlink" Target="https://github.com/microsoft/vs-threading/blob/main/.github/copilot-instructions.md" TargetMode="External"/><Relationship Id="rId1113" Type="http://schemas.openxmlformats.org/officeDocument/2006/relationships/hyperlink" Target="https://github.com/grafbase/grafbase/blob/main/CLAUDE.md" TargetMode="External"/><Relationship Id="rId1320" Type="http://schemas.openxmlformats.org/officeDocument/2006/relationships/hyperlink" Target="https://github.com/abh/ntppool/blob/main/CLAUDE.md" TargetMode="External"/><Relationship Id="rId2094" Type="http://schemas.openxmlformats.org/officeDocument/2006/relationships/hyperlink" Target="https://github.com/Azure/AgentBaker/blob/main/.github/copilot-instructions.md" TargetMode="External"/><Relationship Id="rId273" Type="http://schemas.openxmlformats.org/officeDocument/2006/relationships/hyperlink" Target="https://github.com/lightdash/lightdash/blob/main/CLAUDE.md" TargetMode="External"/><Relationship Id="rId480" Type="http://schemas.openxmlformats.org/officeDocument/2006/relationships/hyperlink" Target="https://github.com/RchGrav/claudebox/blob/main/CLAUDE.md" TargetMode="External"/><Relationship Id="rId2161" Type="http://schemas.openxmlformats.org/officeDocument/2006/relationships/hyperlink" Target="https://github.com/fukuball/jieba-php/blob/master/CLAUDE.md" TargetMode="External"/><Relationship Id="rId133" Type="http://schemas.openxmlformats.org/officeDocument/2006/relationships/hyperlink" Target="https://github.com/zed-industries/zed/blob/main/CLAUDE.md" TargetMode="External"/><Relationship Id="rId340" Type="http://schemas.openxmlformats.org/officeDocument/2006/relationships/hyperlink" Target="https://github.com/angular-eslint/angular-eslint/blob/main/CLAUDE.md" TargetMode="External"/><Relationship Id="rId2021" Type="http://schemas.openxmlformats.org/officeDocument/2006/relationships/hyperlink" Target="https://github.com/python-cachier/cachier/blob/master/AGENTS.md" TargetMode="External"/><Relationship Id="rId200" Type="http://schemas.openxmlformats.org/officeDocument/2006/relationships/hyperlink" Target="https://github.com/wieslawsoltes/Xaml.Behaviors/blob/master/AGENTS.md" TargetMode="External"/><Relationship Id="rId1787" Type="http://schemas.openxmlformats.org/officeDocument/2006/relationships/hyperlink" Target="https://github.com/wieslawsoltes/Dock/blob/master/AGENTS.md" TargetMode="External"/><Relationship Id="rId1994" Type="http://schemas.openxmlformats.org/officeDocument/2006/relationships/hyperlink" Target="https://github.com/logancyang/obsidian-copilot/blob/master/AGENTS.md" TargetMode="External"/><Relationship Id="rId79" Type="http://schemas.openxmlformats.org/officeDocument/2006/relationships/hyperlink" Target="https://github.com/kubetail-org/kubetail/blob/main/CLAUDE.md" TargetMode="External"/><Relationship Id="rId1647" Type="http://schemas.openxmlformats.org/officeDocument/2006/relationships/hyperlink" Target="https://github.com/alandtse/alexa_media_player/blob/master/.github/copilot-instructions.md" TargetMode="External"/><Relationship Id="rId1854" Type="http://schemas.openxmlformats.org/officeDocument/2006/relationships/hyperlink" Target="https://github.com/OneKeyHQ/app-monorepo/blob/master/CLAUDE.md" TargetMode="External"/><Relationship Id="rId1507" Type="http://schemas.openxmlformats.org/officeDocument/2006/relationships/hyperlink" Target="https://github.com/RchGrav/claudebox/blob/main/CLAUDE.md" TargetMode="External"/><Relationship Id="rId1714" Type="http://schemas.openxmlformats.org/officeDocument/2006/relationships/hyperlink" Target="https://github.com/igraph/igraph/blob/main/.github/copilot-instructions.md" TargetMode="External"/><Relationship Id="rId1921" Type="http://schemas.openxmlformats.org/officeDocument/2006/relationships/hyperlink" Target="https://github.com/langchain-ai/langchain/blob/master/CLAUDE.md" TargetMode="External"/><Relationship Id="rId2488" Type="http://schemas.openxmlformats.org/officeDocument/2006/relationships/hyperlink" Target="https://github.com/dotnet/sdk/blob/main/.github/copilot-instructions.md" TargetMode="External"/><Relationship Id="rId1297" Type="http://schemas.openxmlformats.org/officeDocument/2006/relationships/hyperlink" Target="https://github.com/janbjorge/pgqueuer/blob/main/AGENTS.md" TargetMode="External"/><Relationship Id="rId667" Type="http://schemas.openxmlformats.org/officeDocument/2006/relationships/hyperlink" Target="https://github.com/theopenco/llmgateway/blob/main/AGENTS.md" TargetMode="External"/><Relationship Id="rId874" Type="http://schemas.openxmlformats.org/officeDocument/2006/relationships/hyperlink" Target="https://github.com/BerriAI/litellm/blob/main/CLAUDE.md" TargetMode="External"/><Relationship Id="rId2348" Type="http://schemas.openxmlformats.org/officeDocument/2006/relationships/hyperlink" Target="https://github.com/zwave-js/zwave-js/blob/master/.github/copilot-instructions.md" TargetMode="External"/><Relationship Id="rId527" Type="http://schemas.openxmlformats.org/officeDocument/2006/relationships/hyperlink" Target="https://github.com/CapSoftware/Cap/blob/main/AGENTS.md" TargetMode="External"/><Relationship Id="rId734" Type="http://schemas.openxmlformats.org/officeDocument/2006/relationships/hyperlink" Target="https://github.com/microsoft/typespec/blob/main/.github/copilot-instructions.md" TargetMode="External"/><Relationship Id="rId941" Type="http://schemas.openxmlformats.org/officeDocument/2006/relationships/hyperlink" Target="https://github.com/princeton-pli/hal-harness/blob/main/CLAUDE.md" TargetMode="External"/><Relationship Id="rId1157" Type="http://schemas.openxmlformats.org/officeDocument/2006/relationships/hyperlink" Target="https://github.com/saleor/saleor/blob/main/CLAUDE.md" TargetMode="External"/><Relationship Id="rId1364" Type="http://schemas.openxmlformats.org/officeDocument/2006/relationships/hyperlink" Target="https://github.com/cloudposse/atmos/blob/main/CLAUDE.md" TargetMode="External"/><Relationship Id="rId1571" Type="http://schemas.openxmlformats.org/officeDocument/2006/relationships/hyperlink" Target="https://github.com/elamperti/OpenWebScrobbler/blob/main/AGENTS.md" TargetMode="External"/><Relationship Id="rId2208" Type="http://schemas.openxmlformats.org/officeDocument/2006/relationships/hyperlink" Target="https://github.com/open-metadata/OpenMetadata/blob/main/CLAUDE.md" TargetMode="External"/><Relationship Id="rId2415" Type="http://schemas.openxmlformats.org/officeDocument/2006/relationships/hyperlink" Target="https://github.com/langchain-ai/langchain/blob/master/AGENTS.md" TargetMode="External"/><Relationship Id="rId70" Type="http://schemas.openxmlformats.org/officeDocument/2006/relationships/hyperlink" Target="https://github.com/home-assistant/frontend/blob/master/CLAUDE.md" TargetMode="External"/><Relationship Id="rId801" Type="http://schemas.openxmlformats.org/officeDocument/2006/relationships/hyperlink" Target="https://github.com/anyproto/anytype-ts/blob/main/CLAUDE.md" TargetMode="External"/><Relationship Id="rId1017" Type="http://schemas.openxmlformats.org/officeDocument/2006/relationships/hyperlink" Target="https://github.com/owncast/owncast/blob/master/.github/copilot-instructions.md" TargetMode="External"/><Relationship Id="rId1224" Type="http://schemas.openxmlformats.org/officeDocument/2006/relationships/hyperlink" Target="https://github.com/Azure/azure-functions-host/blob/master/.github/copilot-instructions.md" TargetMode="External"/><Relationship Id="rId1431" Type="http://schemas.openxmlformats.org/officeDocument/2006/relationships/hyperlink" Target="https://github.com/getsentry/sentry-mcp/blob/main/CLAUDE.md" TargetMode="External"/><Relationship Id="rId177" Type="http://schemas.openxmlformats.org/officeDocument/2006/relationships/hyperlink" Target="https://github.com/rustfs/rustfs/blob/main/AGENTS.md" TargetMode="External"/><Relationship Id="rId384" Type="http://schemas.openxmlformats.org/officeDocument/2006/relationships/hyperlink" Target="https://github.com/dailydotdev/apps/blob/main/CLAUDE.md" TargetMode="External"/><Relationship Id="rId591" Type="http://schemas.openxmlformats.org/officeDocument/2006/relationships/hyperlink" Target="https://github.com/luccahuguet/yazelix/blob/main/AGENTS.md" TargetMode="External"/><Relationship Id="rId2065" Type="http://schemas.openxmlformats.org/officeDocument/2006/relationships/hyperlink" Target="https://github.com/langchain-ai/langchain/blob/master/CLAUDE.md" TargetMode="External"/><Relationship Id="rId2272" Type="http://schemas.openxmlformats.org/officeDocument/2006/relationships/hyperlink" Target="https://github.com/logancyang/obsidian-copilot/blob/master/AGENTS.md" TargetMode="External"/><Relationship Id="rId244" Type="http://schemas.openxmlformats.org/officeDocument/2006/relationships/hyperlink" Target="https://github.com/microsoft/GSL/blob/main/.github/copilot-instructions.md" TargetMode="External"/><Relationship Id="rId1081" Type="http://schemas.openxmlformats.org/officeDocument/2006/relationships/hyperlink" Target="https://github.com/anyproto/anytype-ts/blob/main/CLAUDE.md" TargetMode="External"/><Relationship Id="rId451" Type="http://schemas.openxmlformats.org/officeDocument/2006/relationships/hyperlink" Target="https://github.com/paradigmxyz/reth/blob/main/CLAUDE.md" TargetMode="External"/><Relationship Id="rId2132" Type="http://schemas.openxmlformats.org/officeDocument/2006/relationships/hyperlink" Target="https://github.com/colinhacks/zod/blob/main/CLAUDE.md" TargetMode="External"/><Relationship Id="rId104" Type="http://schemas.openxmlformats.org/officeDocument/2006/relationships/hyperlink" Target="https://github.com/steipete/Peekaboo/blob/main/CLAUDE.md" TargetMode="External"/><Relationship Id="rId311" Type="http://schemas.openxmlformats.org/officeDocument/2006/relationships/hyperlink" Target="https://github.com/carverauto/serviceradar/blob/main/AGENTS.md" TargetMode="External"/><Relationship Id="rId1898" Type="http://schemas.openxmlformats.org/officeDocument/2006/relationships/hyperlink" Target="https://github.com/dropseed/plain/blob/main/CLAUDE.md" TargetMode="External"/><Relationship Id="rId1758" Type="http://schemas.openxmlformats.org/officeDocument/2006/relationships/hyperlink" Target="https://github.com/wled/WLED/blob/main/.github/copilot-instructions.md" TargetMode="External"/><Relationship Id="rId1965" Type="http://schemas.openxmlformats.org/officeDocument/2006/relationships/hyperlink" Target="https://github.com/zenml-io/zenml/blob/main/CLAUDE.md" TargetMode="External"/><Relationship Id="rId1618" Type="http://schemas.openxmlformats.org/officeDocument/2006/relationships/hyperlink" Target="https://github.com/python-cachier/cachier/blob/master/AGENTS.md" TargetMode="External"/><Relationship Id="rId1825" Type="http://schemas.openxmlformats.org/officeDocument/2006/relationships/hyperlink" Target="https://github.com/saleor/saleor/blob/main/CLAUDE.md" TargetMode="External"/><Relationship Id="rId778" Type="http://schemas.openxmlformats.org/officeDocument/2006/relationships/hyperlink" Target="https://github.com/sybrew/the-seo-framework/blob/master/.github/copilot-instructions.md" TargetMode="External"/><Relationship Id="rId985" Type="http://schemas.openxmlformats.org/officeDocument/2006/relationships/hyperlink" Target="https://github.com/stack-auth/stack-auth/blob/main/AGENTS.md" TargetMode="External"/><Relationship Id="rId2459" Type="http://schemas.openxmlformats.org/officeDocument/2006/relationships/hyperlink" Target="https://github.com/grafbase/grafbase/blob/main/CLAUDE.md" TargetMode="External"/><Relationship Id="rId638" Type="http://schemas.openxmlformats.org/officeDocument/2006/relationships/hyperlink" Target="https://github.com/pulumi/docs/blob/master/AGENTS.md" TargetMode="External"/><Relationship Id="rId845" Type="http://schemas.openxmlformats.org/officeDocument/2006/relationships/hyperlink" Target="https://github.com/getsentry/sentry-java/blob/main/CLAUDE.md" TargetMode="External"/><Relationship Id="rId1268" Type="http://schemas.openxmlformats.org/officeDocument/2006/relationships/hyperlink" Target="https://github.com/sybrew/the-seo-framework/blob/master/.github/copilot-instructions.md" TargetMode="External"/><Relationship Id="rId1475" Type="http://schemas.openxmlformats.org/officeDocument/2006/relationships/hyperlink" Target="https://github.com/open-metadata/OpenMetadata/blob/main/CLAUDE.md" TargetMode="External"/><Relationship Id="rId1682" Type="http://schemas.openxmlformats.org/officeDocument/2006/relationships/hyperlink" Target="https://github.com/christianhelle/apiclientcodegen/blob/master/.github/copilot-instructions.md" TargetMode="External"/><Relationship Id="rId2319" Type="http://schemas.openxmlformats.org/officeDocument/2006/relationships/hyperlink" Target="https://github.com/github/gh-models/blob/main/.github/copilot-instructions.md" TargetMode="External"/><Relationship Id="rId2526" Type="http://schemas.openxmlformats.org/officeDocument/2006/relationships/hyperlink" Target="https://github.com/saleor/saleor/blob/main/CLAUDE.md" TargetMode="External"/><Relationship Id="rId705" Type="http://schemas.openxmlformats.org/officeDocument/2006/relationships/hyperlink" Target="https://github.com/dotnet/core/blob/main/.github/copilot-instructions.md" TargetMode="External"/><Relationship Id="rId1128" Type="http://schemas.openxmlformats.org/officeDocument/2006/relationships/hyperlink" Target="https://github.com/numbagg/numbagg/blob/main/CLAUDE.md" TargetMode="External"/><Relationship Id="rId1335" Type="http://schemas.openxmlformats.org/officeDocument/2006/relationships/hyperlink" Target="https://github.com/anyproto/anytype-ts/blob/main/CLAUDE.md" TargetMode="External"/><Relationship Id="rId1542" Type="http://schemas.openxmlformats.org/officeDocument/2006/relationships/hyperlink" Target="https://github.com/xlnfinance/xln/blob/main/CLAUDE.md" TargetMode="External"/><Relationship Id="rId912" Type="http://schemas.openxmlformats.org/officeDocument/2006/relationships/hyperlink" Target="https://github.com/evmts/tevm-monorepo/blob/main/CLAUDE.md" TargetMode="External"/><Relationship Id="rId41" Type="http://schemas.openxmlformats.org/officeDocument/2006/relationships/hyperlink" Target="https://github.com/ajanraj/OpenChat/blob/main/CLAUDE.md" TargetMode="External"/><Relationship Id="rId1402" Type="http://schemas.openxmlformats.org/officeDocument/2006/relationships/hyperlink" Target="https://github.com/FastLED/FastLED/blob/master/CLAUDE.md" TargetMode="External"/><Relationship Id="rId190" Type="http://schemas.openxmlformats.org/officeDocument/2006/relationships/hyperlink" Target="https://github.com/wieslawsoltes/Dock/blob/master/AGENTS.md" TargetMode="External"/><Relationship Id="rId288" Type="http://schemas.openxmlformats.org/officeDocument/2006/relationships/hyperlink" Target="https://github.com/johnlindquist/kit/blob/main/AGENTS.md" TargetMode="External"/><Relationship Id="rId1914" Type="http://schemas.openxmlformats.org/officeDocument/2006/relationships/hyperlink" Target="https://github.com/home-assistant/frontend/blob/master/CLAUDE.md" TargetMode="External"/><Relationship Id="rId495" Type="http://schemas.openxmlformats.org/officeDocument/2006/relationships/hyperlink" Target="https://github.com/theopenco/llmgateway/blob/main/CLAUDE.md" TargetMode="External"/><Relationship Id="rId2176" Type="http://schemas.openxmlformats.org/officeDocument/2006/relationships/hyperlink" Target="https://github.com/johnlindquist/kit/blob/main/CLAUDE.md" TargetMode="External"/><Relationship Id="rId2383" Type="http://schemas.openxmlformats.org/officeDocument/2006/relationships/hyperlink" Target="https://github.com/useautumn/autumn/blob/main/AGENTS.md" TargetMode="External"/><Relationship Id="rId148" Type="http://schemas.openxmlformats.org/officeDocument/2006/relationships/hyperlink" Target="https://github.com/commonwarexyz/monorepo/blob/main/AGENTS.md" TargetMode="External"/><Relationship Id="rId355" Type="http://schemas.openxmlformats.org/officeDocument/2006/relationships/hyperlink" Target="https://github.com/CapSoftware/Cap/blob/main/CLAUDE.md" TargetMode="External"/><Relationship Id="rId562" Type="http://schemas.openxmlformats.org/officeDocument/2006/relationships/hyperlink" Target="https://github.com/JuliaLang/julia/blob/master/AGENTS.md" TargetMode="External"/><Relationship Id="rId1192" Type="http://schemas.openxmlformats.org/officeDocument/2006/relationships/hyperlink" Target="https://github.com/llama-farm/llamafarm/blob/main/AGENTS.md" TargetMode="External"/><Relationship Id="rId2036" Type="http://schemas.openxmlformats.org/officeDocument/2006/relationships/hyperlink" Target="https://github.com/wieslawsoltes/Xaml.Behaviors/blob/master/AGENTS.md" TargetMode="External"/><Relationship Id="rId2243" Type="http://schemas.openxmlformats.org/officeDocument/2006/relationships/hyperlink" Target="https://github.com/zed-industries/zed/blob/main/CLAUDE.md" TargetMode="External"/><Relationship Id="rId2450" Type="http://schemas.openxmlformats.org/officeDocument/2006/relationships/hyperlink" Target="https://github.com/coder/coder/blob/main/CLAUDE.md" TargetMode="External"/><Relationship Id="rId215" Type="http://schemas.openxmlformats.org/officeDocument/2006/relationships/hyperlink" Target="https://github.com/Azure/AgentBaker/blob/main/.github/copilot-instructions.md" TargetMode="External"/><Relationship Id="rId422" Type="http://schemas.openxmlformats.org/officeDocument/2006/relationships/hyperlink" Target="https://github.com/netdata/netdata/blob/master/CLAUDE.md" TargetMode="External"/><Relationship Id="rId867" Type="http://schemas.openxmlformats.org/officeDocument/2006/relationships/hyperlink" Target="https://github.com/geneontology/go-ontology/blob/master/CLAUDE.md" TargetMode="External"/><Relationship Id="rId1052" Type="http://schemas.openxmlformats.org/officeDocument/2006/relationships/hyperlink" Target="https://github.com/Freika/dawarich/blob/master/CLAUDE.md" TargetMode="External"/><Relationship Id="rId1497" Type="http://schemas.openxmlformats.org/officeDocument/2006/relationships/hyperlink" Target="https://github.com/Pipelex/pipelex/blob/main/CLAUDE.md" TargetMode="External"/><Relationship Id="rId2103" Type="http://schemas.openxmlformats.org/officeDocument/2006/relationships/hyperlink" Target="https://github.com/RchGrav/claudebox/blob/main/CLAUDE.md" TargetMode="External"/><Relationship Id="rId2310" Type="http://schemas.openxmlformats.org/officeDocument/2006/relationships/hyperlink" Target="https://github.com/dotnet/dotnet-api-docs/blob/main/.github/copilot-instructions.md" TargetMode="External"/><Relationship Id="rId727" Type="http://schemas.openxmlformats.org/officeDocument/2006/relationships/hyperlink" Target="https://github.com/microsoft/ApplicationInsights-JS/blob/main/.github/copilot-instructions.md" TargetMode="External"/><Relationship Id="rId934" Type="http://schemas.openxmlformats.org/officeDocument/2006/relationships/hyperlink" Target="https://github.com/owid/etl/blob/master/CLAUDE.md" TargetMode="External"/><Relationship Id="rId1357" Type="http://schemas.openxmlformats.org/officeDocument/2006/relationships/hyperlink" Target="https://github.com/cloudposse/atmos/blob/main/CLAUDE.md" TargetMode="External"/><Relationship Id="rId1564" Type="http://schemas.openxmlformats.org/officeDocument/2006/relationships/hyperlink" Target="https://github.com/carverauto/serviceradar/blob/main/AGENTS.md" TargetMode="External"/><Relationship Id="rId1771" Type="http://schemas.openxmlformats.org/officeDocument/2006/relationships/hyperlink" Target="https://github.com/OneKeyHQ/app-monorepo/blob/master/CLAUDE.md" TargetMode="External"/><Relationship Id="rId2408" Type="http://schemas.openxmlformats.org/officeDocument/2006/relationships/hyperlink" Target="https://github.com/geneontology/go-ontology/blob/master/CLAUDE.md" TargetMode="External"/><Relationship Id="rId63" Type="http://schemas.openxmlformats.org/officeDocument/2006/relationships/hyperlink" Target="https://github.com/fukuball/jieba-php/blob/master/CLAUDE.md" TargetMode="External"/><Relationship Id="rId1217" Type="http://schemas.openxmlformats.org/officeDocument/2006/relationships/hyperlink" Target="https://github.com/theopenco/llmgateway/blob/main/AGENTS.md" TargetMode="External"/><Relationship Id="rId1424" Type="http://schemas.openxmlformats.org/officeDocument/2006/relationships/hyperlink" Target="https://github.com/getsentry/sentry-javascript/blob/master/CLAUDE.md" TargetMode="External"/><Relationship Id="rId1631" Type="http://schemas.openxmlformats.org/officeDocument/2006/relationships/hyperlink" Target="https://github.com/theopenco/llmgateway/blob/main/AGENTS.md" TargetMode="External"/><Relationship Id="rId1869" Type="http://schemas.openxmlformats.org/officeDocument/2006/relationships/hyperlink" Target="https://github.com/pannous/wasp/blob/main/CLAUDE.md" TargetMode="External"/><Relationship Id="rId1729" Type="http://schemas.openxmlformats.org/officeDocument/2006/relationships/hyperlink" Target="https://github.com/microsoft/Olive/blob/main/.github/copilot-instructions.md" TargetMode="External"/><Relationship Id="rId1936" Type="http://schemas.openxmlformats.org/officeDocument/2006/relationships/hyperlink" Target="https://github.com/open-metadata/OpenMetadata/blob/main/CLAUDE.md" TargetMode="External"/><Relationship Id="rId2198" Type="http://schemas.openxmlformats.org/officeDocument/2006/relationships/hyperlink" Target="https://github.com/open-metadata/OpenMetadata/blob/main/CLAUDE.md" TargetMode="External"/><Relationship Id="rId377" Type="http://schemas.openxmlformats.org/officeDocument/2006/relationships/hyperlink" Target="https://github.com/Comfy-Org/comfy-claude-prompt-library/blob/master/CLAUDE.md" TargetMode="External"/><Relationship Id="rId584" Type="http://schemas.openxmlformats.org/officeDocument/2006/relationships/hyperlink" Target="https://github.com/luccahuguet/yazelix/blob/main/AGENTS.md" TargetMode="External"/><Relationship Id="rId2058" Type="http://schemas.openxmlformats.org/officeDocument/2006/relationships/hyperlink" Target="https://github.com/nkdAgility/azure-devops-migration-tools/blob/main/.github/copilot-instructions.md" TargetMode="External"/><Relationship Id="rId2265" Type="http://schemas.openxmlformats.org/officeDocument/2006/relationships/hyperlink" Target="https://github.com/julep-ai/julep/blob/main/AGENTS.md" TargetMode="External"/><Relationship Id="rId5" Type="http://schemas.openxmlformats.org/officeDocument/2006/relationships/hyperlink" Target="https://github.com/module-federation/core/blob/main/CLAUDE.md" TargetMode="External"/><Relationship Id="rId237" Type="http://schemas.openxmlformats.org/officeDocument/2006/relationships/hyperlink" Target="https://github.com/microsoft/ApplicationInsights-JS/blob/main/.github/copilot-instructions.md" TargetMode="External"/><Relationship Id="rId791" Type="http://schemas.openxmlformats.org/officeDocument/2006/relationships/hyperlink" Target="https://github.com/carverauto/serviceradar/blob/main/AGENTS.md" TargetMode="External"/><Relationship Id="rId889" Type="http://schemas.openxmlformats.org/officeDocument/2006/relationships/hyperlink" Target="https://github.com/coder/coder/blob/main/CLAUDE.md" TargetMode="External"/><Relationship Id="rId1074" Type="http://schemas.openxmlformats.org/officeDocument/2006/relationships/hyperlink" Target="https://github.com/abh/ntppool/blob/main/CLAUDE.md" TargetMode="External"/><Relationship Id="rId2472" Type="http://schemas.openxmlformats.org/officeDocument/2006/relationships/hyperlink" Target="https://github.com/alchemiststudiosDOTai/tunacode/blob/master/AGENTS.md" TargetMode="External"/><Relationship Id="rId444" Type="http://schemas.openxmlformats.org/officeDocument/2006/relationships/hyperlink" Target="https://github.com/open-metadata/OpenMetadata/blob/main/CLAUDE.md" TargetMode="External"/><Relationship Id="rId651" Type="http://schemas.openxmlformats.org/officeDocument/2006/relationships/hyperlink" Target="https://github.com/Rello/audioplayer/blob/master/AGENTS.md" TargetMode="External"/><Relationship Id="rId749" Type="http://schemas.openxmlformats.org/officeDocument/2006/relationships/hyperlink" Target="https://github.com/raycast/extensions/blob/main/.github/copilot-instructions.md" TargetMode="External"/><Relationship Id="rId1281" Type="http://schemas.openxmlformats.org/officeDocument/2006/relationships/hyperlink" Target="https://github.com/sybrew/the-seo-framework/blob/master/.github/copilot-instructions.md" TargetMode="External"/><Relationship Id="rId1379" Type="http://schemas.openxmlformats.org/officeDocument/2006/relationships/hyperlink" Target="https://github.com/Comfy-Org/comfy-claude-prompt-library/blob/master/CLAUDE.md" TargetMode="External"/><Relationship Id="rId1586" Type="http://schemas.openxmlformats.org/officeDocument/2006/relationships/hyperlink" Target="https://github.com/marin-community/marin/blob/main/AGENTS.md" TargetMode="External"/><Relationship Id="rId2125" Type="http://schemas.openxmlformats.org/officeDocument/2006/relationships/hyperlink" Target="https://github.com/BerriAI/litellm/blob/main/CLAUDE.md" TargetMode="External"/><Relationship Id="rId2332" Type="http://schemas.openxmlformats.org/officeDocument/2006/relationships/hyperlink" Target="https://github.com/NuGet/NuGetGallery/blob/main/.github/copilot-instructions.md" TargetMode="External"/><Relationship Id="rId304" Type="http://schemas.openxmlformats.org/officeDocument/2006/relationships/hyperlink" Target="https://github.com/elamperti/OpenWebScrobbler/blob/main/AGENTS.md" TargetMode="External"/><Relationship Id="rId511" Type="http://schemas.openxmlformats.org/officeDocument/2006/relationships/hyperlink" Target="https://github.com/alchemiststudiosDOTai/tunacode/blob/master/AGENTS.md" TargetMode="External"/><Relationship Id="rId609" Type="http://schemas.openxmlformats.org/officeDocument/2006/relationships/hyperlink" Target="https://github.com/openai/openai-agents-python/blob/main/AGENTS.md" TargetMode="External"/><Relationship Id="rId956" Type="http://schemas.openxmlformats.org/officeDocument/2006/relationships/hyperlink" Target="https://github.com/bionic-gpt/bionic-gpt/blob/main/AGENTS.md" TargetMode="External"/><Relationship Id="rId1141" Type="http://schemas.openxmlformats.org/officeDocument/2006/relationships/hyperlink" Target="https://github.com/pannous/wasp/blob/main/CLAUDE.md" TargetMode="External"/><Relationship Id="rId1239" Type="http://schemas.openxmlformats.org/officeDocument/2006/relationships/hyperlink" Target="https://github.com/HotCakeX/Harden-Windows-Security/blob/main/.github/copilot-instructions.md" TargetMode="External"/><Relationship Id="rId1793" Type="http://schemas.openxmlformats.org/officeDocument/2006/relationships/hyperlink" Target="https://github.com/cloudposse/atmos/blob/main/CLAUDE.md" TargetMode="External"/><Relationship Id="rId85" Type="http://schemas.openxmlformats.org/officeDocument/2006/relationships/hyperlink" Target="https://github.com/nrwl/nx/blob/master/CLAUDE.md" TargetMode="External"/><Relationship Id="rId816" Type="http://schemas.openxmlformats.org/officeDocument/2006/relationships/hyperlink" Target="https://github.com/OneKeyHQ/app-monorepo/blob/master/CLAUDE.md" TargetMode="External"/><Relationship Id="rId1001" Type="http://schemas.openxmlformats.org/officeDocument/2006/relationships/hyperlink" Target="https://github.com/dotnet/macios/blob/main/.github/copilot-instructions.md" TargetMode="External"/><Relationship Id="rId1446" Type="http://schemas.openxmlformats.org/officeDocument/2006/relationships/hyperlink" Target="https://github.com/lollipopkit/flutter_server_box/blob/main/CLAUDE.md" TargetMode="External"/><Relationship Id="rId1653" Type="http://schemas.openxmlformats.org/officeDocument/2006/relationships/hyperlink" Target="https://github.com/ast-grep/ast-grep/blob/main/.github/copilot-instructions.md" TargetMode="External"/><Relationship Id="rId1860" Type="http://schemas.openxmlformats.org/officeDocument/2006/relationships/hyperlink" Target="https://github.com/wled/WLED/blob/main/.github/copilot-instructions.md" TargetMode="External"/><Relationship Id="rId1306" Type="http://schemas.openxmlformats.org/officeDocument/2006/relationships/hyperlink" Target="https://github.com/openai/openai-agents-python/blob/main/CLAUDE.md" TargetMode="External"/><Relationship Id="rId1513" Type="http://schemas.openxmlformats.org/officeDocument/2006/relationships/hyperlink" Target="https://github.com/safety-research/safety-tooling/blob/main/CLAUDE.md" TargetMode="External"/><Relationship Id="rId1720" Type="http://schemas.openxmlformats.org/officeDocument/2006/relationships/hyperlink" Target="https://github.com/james-gould/azure-keyvault-emulator/blob/master/.github/copilot-instructions.md" TargetMode="External"/><Relationship Id="rId1958" Type="http://schemas.openxmlformats.org/officeDocument/2006/relationships/hyperlink" Target="https://github.com/truenas/webui/blob/master/CLAUDE.md" TargetMode="External"/><Relationship Id="rId12" Type="http://schemas.openxmlformats.org/officeDocument/2006/relationships/hyperlink" Target="https://github.com/useautumn/autumn/blob/main/AGENTS.md" TargetMode="External"/><Relationship Id="rId1818" Type="http://schemas.openxmlformats.org/officeDocument/2006/relationships/hyperlink" Target="https://github.com/DannyMac180/meta-agent/blob/main/AGENTS.md" TargetMode="External"/><Relationship Id="rId161" Type="http://schemas.openxmlformats.org/officeDocument/2006/relationships/hyperlink" Target="https://github.com/luccahuguet/yazelix/blob/main/AGENTS.md" TargetMode="External"/><Relationship Id="rId399" Type="http://schemas.openxmlformats.org/officeDocument/2006/relationships/hyperlink" Target="https://github.com/home-assistant/frontend/blob/master/CLAUDE.md" TargetMode="External"/><Relationship Id="rId2287" Type="http://schemas.openxmlformats.org/officeDocument/2006/relationships/hyperlink" Target="https://github.com/owid/etl/blob/master/AGENTS.md" TargetMode="External"/><Relationship Id="rId2494" Type="http://schemas.openxmlformats.org/officeDocument/2006/relationships/hyperlink" Target="https://github.com/obophenotype/uberon/blob/master/.github/copilot-instructions.md" TargetMode="External"/><Relationship Id="rId259" Type="http://schemas.openxmlformats.org/officeDocument/2006/relationships/hyperlink" Target="https://github.com/SparkDevNetwork/Rock/blob/master/.github/copilot-instructions.md" TargetMode="External"/><Relationship Id="rId466" Type="http://schemas.openxmlformats.org/officeDocument/2006/relationships/hyperlink" Target="https://github.com/qltysh/qlty/blob/main/CLAUDE.md" TargetMode="External"/><Relationship Id="rId673" Type="http://schemas.openxmlformats.org/officeDocument/2006/relationships/hyperlink" Target="https://github.com/valkey-io/valkey-glide/blob/main/AGENTS.md" TargetMode="External"/><Relationship Id="rId880" Type="http://schemas.openxmlformats.org/officeDocument/2006/relationships/hyperlink" Target="https://github.com/cloudposse/atmos/blob/main/CLAUDE.md" TargetMode="External"/><Relationship Id="rId1096" Type="http://schemas.openxmlformats.org/officeDocument/2006/relationships/hyperlink" Target="https://github.com/cloudposse/atmos/blob/main/CLAUDE.md" TargetMode="External"/><Relationship Id="rId2147" Type="http://schemas.openxmlformats.org/officeDocument/2006/relationships/hyperlink" Target="https://github.com/dotCMS/core/blob/main/CLAUDE.md" TargetMode="External"/><Relationship Id="rId2354" Type="http://schemas.openxmlformats.org/officeDocument/2006/relationships/hyperlink" Target="https://github.com/HotCakeX/Harden-Windows-Security/blob/main/.github/copilot-instructions.md" TargetMode="External"/><Relationship Id="rId119" Type="http://schemas.openxmlformats.org/officeDocument/2006/relationships/hyperlink" Target="https://github.com/wvlet/airframe/blob/main/CLAUDE.md" TargetMode="External"/><Relationship Id="rId326" Type="http://schemas.openxmlformats.org/officeDocument/2006/relationships/hyperlink" Target="https://github.com/RchGrav/claudebox/blob/main/CLAUDE.md" TargetMode="External"/><Relationship Id="rId533" Type="http://schemas.openxmlformats.org/officeDocument/2006/relationships/hyperlink" Target="https://github.com/commonwarexyz/monorepo/blob/main/AGENTS.md" TargetMode="External"/><Relationship Id="rId978" Type="http://schemas.openxmlformats.org/officeDocument/2006/relationships/hyperlink" Target="https://github.com/pytorch/pytorch/blob/main/AGENTS.md" TargetMode="External"/><Relationship Id="rId1163" Type="http://schemas.openxmlformats.org/officeDocument/2006/relationships/hyperlink" Target="https://github.com/speaches-ai/speaches/blob/master/CLAUDE.md" TargetMode="External"/><Relationship Id="rId1370" Type="http://schemas.openxmlformats.org/officeDocument/2006/relationships/hyperlink" Target="https://github.com/cloudposse/atmos/blob/main/CLAUDE.md" TargetMode="External"/><Relationship Id="rId2007" Type="http://schemas.openxmlformats.org/officeDocument/2006/relationships/hyperlink" Target="https://github.com/marin-community/marin/blob/main/AGENTS.md" TargetMode="External"/><Relationship Id="rId2214" Type="http://schemas.openxmlformats.org/officeDocument/2006/relationships/hyperlink" Target="https://github.com/Pipelex/pipelex/blob/main/CLAUDE.md" TargetMode="External"/><Relationship Id="rId740" Type="http://schemas.openxmlformats.org/officeDocument/2006/relationships/hyperlink" Target="https://github.com/NG-ZORRO/ng-zorro-antd/blob/master/.github/copilot-instructions.md" TargetMode="External"/><Relationship Id="rId838" Type="http://schemas.openxmlformats.org/officeDocument/2006/relationships/hyperlink" Target="https://github.com/ShaunLawrie/PwshSpectreConsole/blob/main/.github/copilot-instructions.md" TargetMode="External"/><Relationship Id="rId1023" Type="http://schemas.openxmlformats.org/officeDocument/2006/relationships/hyperlink" Target="https://github.com/abh/ntppool/blob/main/CLAUDE.md" TargetMode="External"/><Relationship Id="rId1468" Type="http://schemas.openxmlformats.org/officeDocument/2006/relationships/hyperlink" Target="https://github.com/open-metadata/OpenMetadata/blob/main/CLAUDE.md" TargetMode="External"/><Relationship Id="rId1675" Type="http://schemas.openxmlformats.org/officeDocument/2006/relationships/hyperlink" Target="https://github.com/Azure/azure-functions-host/blob/master/.github/copilot-instructions.md" TargetMode="External"/><Relationship Id="rId1882" Type="http://schemas.openxmlformats.org/officeDocument/2006/relationships/hyperlink" Target="https://github.com/OneKeyHQ/app-monorepo/blob/master/CLAUDE.md" TargetMode="External"/><Relationship Id="rId2421" Type="http://schemas.openxmlformats.org/officeDocument/2006/relationships/hyperlink" Target="https://github.com/Azure/autorest.typescript/blob/main/.github/copilot-instructions.md" TargetMode="External"/><Relationship Id="rId2519" Type="http://schemas.openxmlformats.org/officeDocument/2006/relationships/hyperlink" Target="https://github.com/xlnfinance/xln/blob/main/CLAUDE.md" TargetMode="External"/><Relationship Id="rId600" Type="http://schemas.openxmlformats.org/officeDocument/2006/relationships/hyperlink" Target="https://github.com/marin-community/marin/blob/main/AGENTS.md" TargetMode="External"/><Relationship Id="rId1230" Type="http://schemas.openxmlformats.org/officeDocument/2006/relationships/hyperlink" Target="https://github.com/dotnet/java-interop/blob/main/.github/copilot-instructions.md" TargetMode="External"/><Relationship Id="rId1328" Type="http://schemas.openxmlformats.org/officeDocument/2006/relationships/hyperlink" Target="https://github.com/allenai/open-instruct/blob/main/CLAUDE.md" TargetMode="External"/><Relationship Id="rId1535" Type="http://schemas.openxmlformats.org/officeDocument/2006/relationships/hyperlink" Target="https://github.com/vaadin/flow/blob/main/CLAUDE.md" TargetMode="External"/><Relationship Id="rId905" Type="http://schemas.openxmlformats.org/officeDocument/2006/relationships/hyperlink" Target="https://github.com/compiler-explorer/infra/blob/main/CLAUDE.md" TargetMode="External"/><Relationship Id="rId1742" Type="http://schemas.openxmlformats.org/officeDocument/2006/relationships/hyperlink" Target="https://github.com/owncast/owncast/blob/master/.github/copilot-instructions.md" TargetMode="External"/><Relationship Id="rId34" Type="http://schemas.openxmlformats.org/officeDocument/2006/relationships/hyperlink" Target="https://github.com/dotnet/maui/blob/main/.github/copilot-instructions.md" TargetMode="External"/><Relationship Id="rId1602" Type="http://schemas.openxmlformats.org/officeDocument/2006/relationships/hyperlink" Target="https://github.com/Pipelex/pipelex/blob/main/AGENTS.md" TargetMode="External"/><Relationship Id="rId183" Type="http://schemas.openxmlformats.org/officeDocument/2006/relationships/hyperlink" Target="https://github.com/stack-auth/stack-auth/blob/main/AGENTS.md" TargetMode="External"/><Relationship Id="rId390" Type="http://schemas.openxmlformats.org/officeDocument/2006/relationships/hyperlink" Target="https://github.com/dropseed/plain/blob/main/CLAUDE.md" TargetMode="External"/><Relationship Id="rId1907" Type="http://schemas.openxmlformats.org/officeDocument/2006/relationships/hyperlink" Target="https://github.com/Freika/dawarich/blob/master/CLAUDE.md" TargetMode="External"/><Relationship Id="rId2071" Type="http://schemas.openxmlformats.org/officeDocument/2006/relationships/hyperlink" Target="https://github.com/xlnfinance/xln/blob/main/CLAUDE.md" TargetMode="External"/><Relationship Id="rId250" Type="http://schemas.openxmlformats.org/officeDocument/2006/relationships/hyperlink" Target="https://github.com/NG-ZORRO/ng-zorro-antd/blob/master/.github/copilot-instructions.md" TargetMode="External"/><Relationship Id="rId488" Type="http://schemas.openxmlformats.org/officeDocument/2006/relationships/hyperlink" Target="https://github.com/saleor/saleor/blob/main/CLAUDE.md" TargetMode="External"/><Relationship Id="rId695" Type="http://schemas.openxmlformats.org/officeDocument/2006/relationships/hyperlink" Target="https://github.com/Azure/azure-functions-host/blob/master/.github/copilot-instructions.md" TargetMode="External"/><Relationship Id="rId2169" Type="http://schemas.openxmlformats.org/officeDocument/2006/relationships/hyperlink" Target="https://github.com/getsentry/vitest-evals/blob/main/CLAUDE.md" TargetMode="External"/><Relationship Id="rId2376" Type="http://schemas.openxmlformats.org/officeDocument/2006/relationships/hyperlink" Target="https://github.com/microsoft/vs-threading/blob/main/.github/copilot-instructions.md" TargetMode="External"/><Relationship Id="rId110" Type="http://schemas.openxmlformats.org/officeDocument/2006/relationships/hyperlink" Target="https://github.com/thirdweb-dev/js/blob/main/CLAUDE.md" TargetMode="External"/><Relationship Id="rId348" Type="http://schemas.openxmlformats.org/officeDocument/2006/relationships/hyperlink" Target="https://github.com/BerriAI/litellm/blob/main/CLAUDE.md" TargetMode="External"/><Relationship Id="rId555" Type="http://schemas.openxmlformats.org/officeDocument/2006/relationships/hyperlink" Target="https://github.com/julep-ai/julep/blob/main/AGENTS.md" TargetMode="External"/><Relationship Id="rId762" Type="http://schemas.openxmlformats.org/officeDocument/2006/relationships/hyperlink" Target="https://github.com/SparkDevNetwork/Rock/blob/master/.github/copilot-instructions.md" TargetMode="External"/><Relationship Id="rId1185" Type="http://schemas.openxmlformats.org/officeDocument/2006/relationships/hyperlink" Target="https://github.com/getsentry/sentry-mcp/blob/main/AGENTS.md" TargetMode="External"/><Relationship Id="rId1392" Type="http://schemas.openxmlformats.org/officeDocument/2006/relationships/hyperlink" Target="https://github.com/dailydotdev/apps/blob/main/CLAUDE.md" TargetMode="External"/><Relationship Id="rId2029" Type="http://schemas.openxmlformats.org/officeDocument/2006/relationships/hyperlink" Target="https://github.com/SimonHalvdansson/Harmonic-HN/blob/main/AGENTS.md" TargetMode="External"/><Relationship Id="rId2236" Type="http://schemas.openxmlformats.org/officeDocument/2006/relationships/hyperlink" Target="https://github.com/wolfi-dev/os/blob/main/CLAUDE.md" TargetMode="External"/><Relationship Id="rId2443" Type="http://schemas.openxmlformats.org/officeDocument/2006/relationships/hyperlink" Target="https://github.com/abh/ntppool/blob/main/CLAUDE.md" TargetMode="External"/><Relationship Id="rId208" Type="http://schemas.openxmlformats.org/officeDocument/2006/relationships/hyperlink" Target="https://github.com/zenml-io/zenml/blob/main/AGENTS.md" TargetMode="External"/><Relationship Id="rId415" Type="http://schemas.openxmlformats.org/officeDocument/2006/relationships/hyperlink" Target="https://github.com/lollipopkit/flutter_server_box/blob/main/CLAUDE.md" TargetMode="External"/><Relationship Id="rId622" Type="http://schemas.openxmlformats.org/officeDocument/2006/relationships/hyperlink" Target="https://github.com/PrairieLearn/PrairieLearn/blob/master/AGENTS.md" TargetMode="External"/><Relationship Id="rId1045" Type="http://schemas.openxmlformats.org/officeDocument/2006/relationships/hyperlink" Target="https://github.com/PrairieLearn/PrairieLearn/blob/master/AGENTS.md" TargetMode="External"/><Relationship Id="rId1252" Type="http://schemas.openxmlformats.org/officeDocument/2006/relationships/hyperlink" Target="https://github.com/microsoft/vs-threading/blob/main/.github/copilot-instructions.md" TargetMode="External"/><Relationship Id="rId1697" Type="http://schemas.openxmlformats.org/officeDocument/2006/relationships/hyperlink" Target="https://github.com/esphome/esphome/blob/main/.github/copilot-instructions.md" TargetMode="External"/><Relationship Id="rId2303" Type="http://schemas.openxmlformats.org/officeDocument/2006/relationships/hyperlink" Target="https://github.com/Agoric/agoric-sdk/blob/master/.github/copilot-instructions.md" TargetMode="External"/><Relationship Id="rId2510" Type="http://schemas.openxmlformats.org/officeDocument/2006/relationships/hyperlink" Target="https://github.com/microsoft/typespec/blob/main/.github/copilot-instructions.md" TargetMode="External"/><Relationship Id="rId927" Type="http://schemas.openxmlformats.org/officeDocument/2006/relationships/hyperlink" Target="https://github.com/nrwl/nx/blob/master/CLAUDE.md" TargetMode="External"/><Relationship Id="rId1112" Type="http://schemas.openxmlformats.org/officeDocument/2006/relationships/hyperlink" Target="https://github.com/gojiplus/tuber/blob/master/CLAUDE.md" TargetMode="External"/><Relationship Id="rId1557" Type="http://schemas.openxmlformats.org/officeDocument/2006/relationships/hyperlink" Target="https://github.com/cablehead/xs/blob/main/AGENTS.md" TargetMode="External"/><Relationship Id="rId1764" Type="http://schemas.openxmlformats.org/officeDocument/2006/relationships/hyperlink" Target="https://github.com/zwave-js/zwave-js-ui/blob/master/.github/copilot-instructions.md" TargetMode="External"/><Relationship Id="rId1971" Type="http://schemas.openxmlformats.org/officeDocument/2006/relationships/hyperlink" Target="https://github.com/CapSoftware/Cap/blob/main/AGENTS.md" TargetMode="External"/><Relationship Id="rId56" Type="http://schemas.openxmlformats.org/officeDocument/2006/relationships/hyperlink" Target="https://github.com/compiler-explorer/infra/blob/main/CLAUDE.md" TargetMode="External"/><Relationship Id="rId1417" Type="http://schemas.openxmlformats.org/officeDocument/2006/relationships/hyperlink" Target="https://github.com/geneontology/go-ontology/blob/master/CLAUDE.md" TargetMode="External"/><Relationship Id="rId1624" Type="http://schemas.openxmlformats.org/officeDocument/2006/relationships/hyperlink" Target="https://github.com/stack-auth/stack-auth/blob/main/AGENTS.md" TargetMode="External"/><Relationship Id="rId1831" Type="http://schemas.openxmlformats.org/officeDocument/2006/relationships/hyperlink" Target="https://github.com/BerriAI/litellm/blob/main/CLAUDE.md" TargetMode="External"/><Relationship Id="rId1929" Type="http://schemas.openxmlformats.org/officeDocument/2006/relationships/hyperlink" Target="https://github.com/obophenotype/uberon/blob/master/CLAUDE.md" TargetMode="External"/><Relationship Id="rId2093" Type="http://schemas.openxmlformats.org/officeDocument/2006/relationships/hyperlink" Target="https://github.com/wieslawsoltes/Xaml.Behaviors/blob/master/AGENTS.md" TargetMode="External"/><Relationship Id="rId2398" Type="http://schemas.openxmlformats.org/officeDocument/2006/relationships/hyperlink" Target="https://github.com/theopenco/llmgateway/blob/main/AGENTS.md" TargetMode="External"/><Relationship Id="rId272" Type="http://schemas.openxmlformats.org/officeDocument/2006/relationships/hyperlink" Target="https://github.com/lightdash/lightdash/blob/main/CLAUDE.md" TargetMode="External"/><Relationship Id="rId577" Type="http://schemas.openxmlformats.org/officeDocument/2006/relationships/hyperlink" Target="https://github.com/langfuse/langfuse/blob/main/AGENTS.md" TargetMode="External"/><Relationship Id="rId2160" Type="http://schemas.openxmlformats.org/officeDocument/2006/relationships/hyperlink" Target="https://github.com/Freika/dawarich/blob/master/CLAUDE.md" TargetMode="External"/><Relationship Id="rId2258" Type="http://schemas.openxmlformats.org/officeDocument/2006/relationships/hyperlink" Target="https://github.com/EduardoPires/EquinoxProject/blob/master/AGENTS.md" TargetMode="External"/><Relationship Id="rId132" Type="http://schemas.openxmlformats.org/officeDocument/2006/relationships/hyperlink" Target="https://github.com/zed-industries/zed/blob/main/CLAUDE.md" TargetMode="External"/><Relationship Id="rId784" Type="http://schemas.openxmlformats.org/officeDocument/2006/relationships/hyperlink" Target="https://github.com/vczh-libraries/GacUI/blob/master/.github/copilot-instructions.md" TargetMode="External"/><Relationship Id="rId991" Type="http://schemas.openxmlformats.org/officeDocument/2006/relationships/hyperlink" Target="https://github.com/Azure/AgentBaker/blob/main/.github/copilot-instructions.md" TargetMode="External"/><Relationship Id="rId1067" Type="http://schemas.openxmlformats.org/officeDocument/2006/relationships/hyperlink" Target="https://github.com/friendsofhyperf/components/blob/main/.github/copilot-instructions.md" TargetMode="External"/><Relationship Id="rId2020" Type="http://schemas.openxmlformats.org/officeDocument/2006/relationships/hyperlink" Target="https://github.com/python-cachier/cachier/blob/master/AGENTS.md" TargetMode="External"/><Relationship Id="rId2465" Type="http://schemas.openxmlformats.org/officeDocument/2006/relationships/hyperlink" Target="https://github.com/module-federation/core/blob/main/CLAUDE.md" TargetMode="External"/><Relationship Id="rId437" Type="http://schemas.openxmlformats.org/officeDocument/2006/relationships/hyperlink" Target="https://github.com/OneKeyHQ/app-monorepo/blob/master/CLAUDE.md" TargetMode="External"/><Relationship Id="rId644" Type="http://schemas.openxmlformats.org/officeDocument/2006/relationships/hyperlink" Target="https://github.com/Rello/analytics/blob/master/AGENTS.md" TargetMode="External"/><Relationship Id="rId851" Type="http://schemas.openxmlformats.org/officeDocument/2006/relationships/hyperlink" Target="https://github.com/microsoft/python-environment-tools/blob/main/.github/copilot-instructions.md" TargetMode="External"/><Relationship Id="rId1274" Type="http://schemas.openxmlformats.org/officeDocument/2006/relationships/hyperlink" Target="https://github.com/browser-use/browser-use/blob/main/CLAUDE.md" TargetMode="External"/><Relationship Id="rId1481" Type="http://schemas.openxmlformats.org/officeDocument/2006/relationships/hyperlink" Target="https://github.com/pannous/wasp/blob/main/CLAUDE.md" TargetMode="External"/><Relationship Id="rId1579" Type="http://schemas.openxmlformats.org/officeDocument/2006/relationships/hyperlink" Target="https://github.com/logancyang/obsidian-copilot/blob/master/AGENTS.md" TargetMode="External"/><Relationship Id="rId2118" Type="http://schemas.openxmlformats.org/officeDocument/2006/relationships/hyperlink" Target="https://github.com/anyproto/anytype-ts/blob/main/CLAUDE.md" TargetMode="External"/><Relationship Id="rId2325" Type="http://schemas.openxmlformats.org/officeDocument/2006/relationships/hyperlink" Target="https://github.com/microsoft/GSL/blob/main/.github/copilot-instructions.md" TargetMode="External"/><Relationship Id="rId2532" Type="http://schemas.openxmlformats.org/officeDocument/2006/relationships/hyperlink" Target="https://github.com/public-ui/kolibri/blob/master/AGENTS.md" TargetMode="External"/><Relationship Id="rId504" Type="http://schemas.openxmlformats.org/officeDocument/2006/relationships/hyperlink" Target="https://github.com/wolfi-dev/os/blob/main/CLAUDE.md" TargetMode="External"/><Relationship Id="rId711" Type="http://schemas.openxmlformats.org/officeDocument/2006/relationships/hyperlink" Target="https://github.com/dotnet/maui/blob/main/.github/copilot-instructions.md" TargetMode="External"/><Relationship Id="rId949" Type="http://schemas.openxmlformats.org/officeDocument/2006/relationships/hyperlink" Target="https://github.com/truenas/webui/blob/master/CLAUDE.md" TargetMode="External"/><Relationship Id="rId1134" Type="http://schemas.openxmlformats.org/officeDocument/2006/relationships/hyperlink" Target="https://github.com/open-metadata/OpenMetadata/blob/main/CLAUDE.md" TargetMode="External"/><Relationship Id="rId1341" Type="http://schemas.openxmlformats.org/officeDocument/2006/relationships/hyperlink" Target="https://github.com/BerriAI/litellm/blob/main/CLAUDE.md" TargetMode="External"/><Relationship Id="rId1786" Type="http://schemas.openxmlformats.org/officeDocument/2006/relationships/hyperlink" Target="https://github.com/stack-auth/stack-auth/blob/main/AGENTS.md" TargetMode="External"/><Relationship Id="rId1993" Type="http://schemas.openxmlformats.org/officeDocument/2006/relationships/hyperlink" Target="https://github.com/langfuse/langfuse/blob/main/AGENTS.md" TargetMode="External"/><Relationship Id="rId78" Type="http://schemas.openxmlformats.org/officeDocument/2006/relationships/hyperlink" Target="https://github.com/jxnl/blog/blob/main/CLAUDE.md" TargetMode="External"/><Relationship Id="rId809" Type="http://schemas.openxmlformats.org/officeDocument/2006/relationships/hyperlink" Target="https://github.com/CapSoftware/Cap/blob/main/CLAUDE.md" TargetMode="External"/><Relationship Id="rId1201" Type="http://schemas.openxmlformats.org/officeDocument/2006/relationships/hyperlink" Target="https://github.com/marin-community/marin/blob/main/AGENTS.md" TargetMode="External"/><Relationship Id="rId1439" Type="http://schemas.openxmlformats.org/officeDocument/2006/relationships/hyperlink" Target="https://github.com/kubetail-org/kubetail/blob/main/CLAUDE.md" TargetMode="External"/><Relationship Id="rId1646" Type="http://schemas.openxmlformats.org/officeDocument/2006/relationships/hyperlink" Target="https://github.com/alandtse/alexa_media_player/blob/master/.github/copilot-instructions.md" TargetMode="External"/><Relationship Id="rId1853" Type="http://schemas.openxmlformats.org/officeDocument/2006/relationships/hyperlink" Target="https://github.com/projectcalico/calico/blob/master/.github/copilot-instructions.md" TargetMode="External"/><Relationship Id="rId1506" Type="http://schemas.openxmlformats.org/officeDocument/2006/relationships/hyperlink" Target="https://github.com/RchGrav/claudebox/blob/main/CLAUDE.md" TargetMode="External"/><Relationship Id="rId1713" Type="http://schemas.openxmlformats.org/officeDocument/2006/relationships/hyperlink" Target="https://github.com/HotCakeX/Harden-Windows-Security/blob/main/.github/copilot-instructions.md" TargetMode="External"/><Relationship Id="rId1920" Type="http://schemas.openxmlformats.org/officeDocument/2006/relationships/hyperlink" Target="https://github.com/kubetail-org/kubetail/blob/main/CLAUDE.md" TargetMode="External"/><Relationship Id="rId294" Type="http://schemas.openxmlformats.org/officeDocument/2006/relationships/hyperlink" Target="https://github.com/web-infra-dev/rspack/blob/main/AGENTS.md" TargetMode="External"/><Relationship Id="rId2182" Type="http://schemas.openxmlformats.org/officeDocument/2006/relationships/hyperlink" Target="https://github.com/langchain-ai/langchain/blob/master/CLAUDE.md" TargetMode="External"/><Relationship Id="rId154" Type="http://schemas.openxmlformats.org/officeDocument/2006/relationships/hyperlink" Target="https://github.com/ESPresense/ESPresense-companion/blob/main/AGENTS.md" TargetMode="External"/><Relationship Id="rId361" Type="http://schemas.openxmlformats.org/officeDocument/2006/relationships/hyperlink" Target="https://github.com/cloudposse/atmos/blob/main/CLAUDE.md" TargetMode="External"/><Relationship Id="rId599" Type="http://schemas.openxmlformats.org/officeDocument/2006/relationships/hyperlink" Target="https://github.com/luccahuguet/yazelix/blob/main/AGENTS.md" TargetMode="External"/><Relationship Id="rId2042" Type="http://schemas.openxmlformats.org/officeDocument/2006/relationships/hyperlink" Target="https://github.com/zenml-io/zenml/blob/main/AGENTS.md" TargetMode="External"/><Relationship Id="rId2487" Type="http://schemas.openxmlformats.org/officeDocument/2006/relationships/hyperlink" Target="https://github.com/dotnet/runtime/blob/main/.github/copilot-instructions.md" TargetMode="External"/><Relationship Id="rId459" Type="http://schemas.openxmlformats.org/officeDocument/2006/relationships/hyperlink" Target="https://github.com/Pipelex/pipelex/blob/main/CLAUDE.md" TargetMode="External"/><Relationship Id="rId666" Type="http://schemas.openxmlformats.org/officeDocument/2006/relationships/hyperlink" Target="https://github.com/theopenco/llmgateway/blob/main/AGENTS.md" TargetMode="External"/><Relationship Id="rId873" Type="http://schemas.openxmlformats.org/officeDocument/2006/relationships/hyperlink" Target="https://github.com/allenai/open-instruct/blob/main/CLAUDE.md" TargetMode="External"/><Relationship Id="rId1089" Type="http://schemas.openxmlformats.org/officeDocument/2006/relationships/hyperlink" Target="https://github.com/browser-use/browser-use/blob/main/CLAUDE.md" TargetMode="External"/><Relationship Id="rId1296" Type="http://schemas.openxmlformats.org/officeDocument/2006/relationships/hyperlink" Target="https://github.com/janbjorge/pgqueuer/blob/main/AGENTS.md" TargetMode="External"/><Relationship Id="rId2347" Type="http://schemas.openxmlformats.org/officeDocument/2006/relationships/hyperlink" Target="https://github.com/zwave-js/zwave-js/blob/master/.github/copilot-instructions.md" TargetMode="External"/><Relationship Id="rId221" Type="http://schemas.openxmlformats.org/officeDocument/2006/relationships/hyperlink" Target="https://github.com/bbc/simorgh/blob/master/.github/copilot-instructions.md" TargetMode="External"/><Relationship Id="rId319" Type="http://schemas.openxmlformats.org/officeDocument/2006/relationships/hyperlink" Target="https://github.com/dotnet/docs-desktop/blob/main/.github/copilot-instructions.md" TargetMode="External"/><Relationship Id="rId526" Type="http://schemas.openxmlformats.org/officeDocument/2006/relationships/hyperlink" Target="https://github.com/CapSoftware/Cap/blob/main/AGENTS.md" TargetMode="External"/><Relationship Id="rId1156" Type="http://schemas.openxmlformats.org/officeDocument/2006/relationships/hyperlink" Target="https://github.com/saleor/saleor/blob/main/CLAUDE.md" TargetMode="External"/><Relationship Id="rId1363" Type="http://schemas.openxmlformats.org/officeDocument/2006/relationships/hyperlink" Target="https://github.com/cloudposse/atmos/blob/main/CLAUDE.md" TargetMode="External"/><Relationship Id="rId2207" Type="http://schemas.openxmlformats.org/officeDocument/2006/relationships/hyperlink" Target="https://github.com/open-metadata/OpenMetadata/blob/main/CLAUDE.md" TargetMode="External"/><Relationship Id="rId733" Type="http://schemas.openxmlformats.org/officeDocument/2006/relationships/hyperlink" Target="https://github.com/microsoft/typespec/blob/main/.github/copilot-instructions.md" TargetMode="External"/><Relationship Id="rId940" Type="http://schemas.openxmlformats.org/officeDocument/2006/relationships/hyperlink" Target="https://github.com/PrefectHQ/marvin/blob/main/CLAUDE.md" TargetMode="External"/><Relationship Id="rId1016" Type="http://schemas.openxmlformats.org/officeDocument/2006/relationships/hyperlink" Target="https://github.com/Open-LLM-VTuber/Open-LLM-VTuber/blob/main/.github/copilot-instructions.md" TargetMode="External"/><Relationship Id="rId1570" Type="http://schemas.openxmlformats.org/officeDocument/2006/relationships/hyperlink" Target="https://github.com/DataDog/datadog-agent/blob/main/AGENTS.md" TargetMode="External"/><Relationship Id="rId1668" Type="http://schemas.openxmlformats.org/officeDocument/2006/relationships/hyperlink" Target="https://github.com/Azure/autorest.typescript/blob/main/.github/copilot-instructions.md" TargetMode="External"/><Relationship Id="rId1875" Type="http://schemas.openxmlformats.org/officeDocument/2006/relationships/hyperlink" Target="https://github.com/alchemiststudiosDOTai/tunacode/blob/master/AGENTS.md" TargetMode="External"/><Relationship Id="rId2414" Type="http://schemas.openxmlformats.org/officeDocument/2006/relationships/hyperlink" Target="https://github.com/zenml-io/zenml/blob/main/CLAUDE.md" TargetMode="External"/><Relationship Id="rId800" Type="http://schemas.openxmlformats.org/officeDocument/2006/relationships/hyperlink" Target="https://github.com/dotnet/runtime/blob/main/.github/copilot-instructions.md" TargetMode="External"/><Relationship Id="rId1223" Type="http://schemas.openxmlformats.org/officeDocument/2006/relationships/hyperlink" Target="https://github.com/zenml-io/zenml/blob/main/AGENTS.md" TargetMode="External"/><Relationship Id="rId1430" Type="http://schemas.openxmlformats.org/officeDocument/2006/relationships/hyperlink" Target="https://github.com/getsentry/sentry-javascript/blob/master/CLAUDE.md" TargetMode="External"/><Relationship Id="rId1528" Type="http://schemas.openxmlformats.org/officeDocument/2006/relationships/hyperlink" Target="https://github.com/thirdweb-dev/js/blob/main/CLAUDE.md" TargetMode="External"/><Relationship Id="rId1735" Type="http://schemas.openxmlformats.org/officeDocument/2006/relationships/hyperlink" Target="https://github.com/NuGet/NuGetGallery/blob/main/.github/copilot-instructions.md" TargetMode="External"/><Relationship Id="rId1942" Type="http://schemas.openxmlformats.org/officeDocument/2006/relationships/hyperlink" Target="https://github.com/open-metadata/OpenMetadata/blob/main/CLAUDE.md" TargetMode="External"/><Relationship Id="rId27" Type="http://schemas.openxmlformats.org/officeDocument/2006/relationships/hyperlink" Target="https://github.com/public-ui/kolibri/blob/master/AGENTS.md" TargetMode="External"/><Relationship Id="rId1802" Type="http://schemas.openxmlformats.org/officeDocument/2006/relationships/hyperlink" Target="https://github.com/RchGrav/claudebox/blob/main/CLAUDE.md" TargetMode="External"/><Relationship Id="rId176" Type="http://schemas.openxmlformats.org/officeDocument/2006/relationships/hyperlink" Target="https://github.com/rustfs/rustfs/blob/main/AGENTS.md" TargetMode="External"/><Relationship Id="rId383" Type="http://schemas.openxmlformats.org/officeDocument/2006/relationships/hyperlink" Target="https://github.com/dailydotdev/apps/blob/main/CLAUDE.md" TargetMode="External"/><Relationship Id="rId590" Type="http://schemas.openxmlformats.org/officeDocument/2006/relationships/hyperlink" Target="https://github.com/luccahuguet/yazelix/blob/main/AGENTS.md" TargetMode="External"/><Relationship Id="rId2064" Type="http://schemas.openxmlformats.org/officeDocument/2006/relationships/hyperlink" Target="https://github.com/gensx-inc/gensx/blob/main/CLAUDE.md" TargetMode="External"/><Relationship Id="rId2271" Type="http://schemas.openxmlformats.org/officeDocument/2006/relationships/hyperlink" Target="https://github.com/langchain-ai/langchain/blob/master/AGENTS.md" TargetMode="External"/><Relationship Id="rId243" Type="http://schemas.openxmlformats.org/officeDocument/2006/relationships/hyperlink" Target="https://github.com/microsoft/ApplicationInsights-JS/blob/main/.github/copilot-instructions.md" TargetMode="External"/><Relationship Id="rId450" Type="http://schemas.openxmlformats.org/officeDocument/2006/relationships/hyperlink" Target="https://github.com/owid/owid-grapher/blob/master/CLAUDE.md" TargetMode="External"/><Relationship Id="rId688" Type="http://schemas.openxmlformats.org/officeDocument/2006/relationships/hyperlink" Target="https://github.com/zenml-io/zenml/blob/main/AGENTS.md" TargetMode="External"/><Relationship Id="rId895" Type="http://schemas.openxmlformats.org/officeDocument/2006/relationships/hyperlink" Target="https://github.com/colinhacks/zod/blob/main/CLAUDE.md" TargetMode="External"/><Relationship Id="rId1080" Type="http://schemas.openxmlformats.org/officeDocument/2006/relationships/hyperlink" Target="https://github.com/angular-eslint/angular-eslint/blob/main/CLAUDE.md" TargetMode="External"/><Relationship Id="rId2131" Type="http://schemas.openxmlformats.org/officeDocument/2006/relationships/hyperlink" Target="https://github.com/colinhacks/zod/blob/main/CLAUDE.md" TargetMode="External"/><Relationship Id="rId2369" Type="http://schemas.openxmlformats.org/officeDocument/2006/relationships/hyperlink" Target="https://github.com/CapSoftware/Cap/blob/main/AGENTS.md" TargetMode="External"/><Relationship Id="rId103" Type="http://schemas.openxmlformats.org/officeDocument/2006/relationships/hyperlink" Target="https://github.com/spylang/spy/blob/main/CLAUDE.md" TargetMode="External"/><Relationship Id="rId310" Type="http://schemas.openxmlformats.org/officeDocument/2006/relationships/hyperlink" Target="https://github.com/Comfy-Org/comfy-claude-prompt-library/blob/master/CLAUDE.md" TargetMode="External"/><Relationship Id="rId548" Type="http://schemas.openxmlformats.org/officeDocument/2006/relationships/hyperlink" Target="https://github.com/hathach/tinyusb/blob/master/AGENTS.md" TargetMode="External"/><Relationship Id="rId755" Type="http://schemas.openxmlformats.org/officeDocument/2006/relationships/hyperlink" Target="https://github.com/ShaunLawrie/PwshSpectreConsole/blob/main/.github/copilot-instructions.md" TargetMode="External"/><Relationship Id="rId962" Type="http://schemas.openxmlformats.org/officeDocument/2006/relationships/hyperlink" Target="https://github.com/herbie-fp/herbie/blob/main/AGENTS.md" TargetMode="External"/><Relationship Id="rId1178" Type="http://schemas.openxmlformats.org/officeDocument/2006/relationships/hyperlink" Target="https://github.com/zed-industries/zed/blob/main/CLAUDE.md" TargetMode="External"/><Relationship Id="rId1385" Type="http://schemas.openxmlformats.org/officeDocument/2006/relationships/hyperlink" Target="https://github.com/compiler-explorer/infra/blob/main/CLAUDE.md" TargetMode="External"/><Relationship Id="rId1592" Type="http://schemas.openxmlformats.org/officeDocument/2006/relationships/hyperlink" Target="https://github.com/owid/etl/blob/master/AGENTS.md" TargetMode="External"/><Relationship Id="rId2229" Type="http://schemas.openxmlformats.org/officeDocument/2006/relationships/hyperlink" Target="https://github.com/vaadin/flow/blob/main/CLAUDE.md" TargetMode="External"/><Relationship Id="rId2436" Type="http://schemas.openxmlformats.org/officeDocument/2006/relationships/hyperlink" Target="https://github.com/syntaxfm/website/blob/main/.github/copilot-instructions.md" TargetMode="External"/><Relationship Id="rId91" Type="http://schemas.openxmlformats.org/officeDocument/2006/relationships/hyperlink" Target="https://github.com/paradigmxyz/reth/blob/main/CLAUDE.md" TargetMode="External"/><Relationship Id="rId408" Type="http://schemas.openxmlformats.org/officeDocument/2006/relationships/hyperlink" Target="https://github.com/langchain-ai/langchain/blob/master/CLAUDE.md" TargetMode="External"/><Relationship Id="rId615" Type="http://schemas.openxmlformats.org/officeDocument/2006/relationships/hyperlink" Target="https://github.com/Pipelex/pipelex/blob/main/AGENTS.md" TargetMode="External"/><Relationship Id="rId822" Type="http://schemas.openxmlformats.org/officeDocument/2006/relationships/hyperlink" Target="https://github.com/dotnet/maui/blob/main/.github/copilot-instructions.md" TargetMode="External"/><Relationship Id="rId1038" Type="http://schemas.openxmlformats.org/officeDocument/2006/relationships/hyperlink" Target="https://github.com/microsoft/ApplicationInsights-JS/blob/main/.github/copilot-instructions.md" TargetMode="External"/><Relationship Id="rId1245" Type="http://schemas.openxmlformats.org/officeDocument/2006/relationships/hyperlink" Target="https://github.com/microsoft/ApplicationInsights-JS/blob/main/.github/copilot-instructions.md" TargetMode="External"/><Relationship Id="rId1452" Type="http://schemas.openxmlformats.org/officeDocument/2006/relationships/hyperlink" Target="https://github.com/netdata/netdata/blob/master/CLAUDE.md" TargetMode="External"/><Relationship Id="rId1897" Type="http://schemas.openxmlformats.org/officeDocument/2006/relationships/hyperlink" Target="https://github.com/compiler-explorer/infra/blob/main/CLAUDE.md" TargetMode="External"/><Relationship Id="rId2503" Type="http://schemas.openxmlformats.org/officeDocument/2006/relationships/hyperlink" Target="https://github.com/Pipelex/pipelex/blob/main/AGENTS.md" TargetMode="External"/><Relationship Id="rId1105" Type="http://schemas.openxmlformats.org/officeDocument/2006/relationships/hyperlink" Target="https://github.com/evmts/tevm-monorepo/blob/main/CLAUDE.md" TargetMode="External"/><Relationship Id="rId1312" Type="http://schemas.openxmlformats.org/officeDocument/2006/relationships/hyperlink" Target="https://github.com/abh/ntppool/blob/main/CLAUDE.md" TargetMode="External"/><Relationship Id="rId1757" Type="http://schemas.openxmlformats.org/officeDocument/2006/relationships/hyperlink" Target="https://github.com/wled/WLED/blob/main/.github/copilot-instructions.md" TargetMode="External"/><Relationship Id="rId1964" Type="http://schemas.openxmlformats.org/officeDocument/2006/relationships/hyperlink" Target="https://github.com/zenml-io/zenml/blob/main/CLAUDE.md" TargetMode="External"/><Relationship Id="rId49" Type="http://schemas.openxmlformats.org/officeDocument/2006/relationships/hyperlink" Target="https://github.com/cloudposse/atmos/blob/main/CLAUDE.md" TargetMode="External"/><Relationship Id="rId1617" Type="http://schemas.openxmlformats.org/officeDocument/2006/relationships/hyperlink" Target="https://github.com/python-cachier/cachier/blob/master/AGENTS.md" TargetMode="External"/><Relationship Id="rId1824" Type="http://schemas.openxmlformats.org/officeDocument/2006/relationships/hyperlink" Target="https://github.com/RchGrav/claudebox/blob/main/CLAUDE.md" TargetMode="External"/><Relationship Id="rId198" Type="http://schemas.openxmlformats.org/officeDocument/2006/relationships/hyperlink" Target="https://github.com/wieslawsoltes/Xaml.Behaviors/blob/master/AGENTS.md" TargetMode="External"/><Relationship Id="rId2086" Type="http://schemas.openxmlformats.org/officeDocument/2006/relationships/hyperlink" Target="https://github.com/gitkraken/vscode-gitlens/blob/main/AGENTS.md" TargetMode="External"/><Relationship Id="rId2293" Type="http://schemas.openxmlformats.org/officeDocument/2006/relationships/hyperlink" Target="https://github.com/rustfs/rustfs/blob/main/AGENTS.md" TargetMode="External"/><Relationship Id="rId265" Type="http://schemas.openxmlformats.org/officeDocument/2006/relationships/hyperlink" Target="https://github.com/syntaxfm/website/blob/main/.github/copilot-instructions.md" TargetMode="External"/><Relationship Id="rId472" Type="http://schemas.openxmlformats.org/officeDocument/2006/relationships/hyperlink" Target="https://github.com/RchGrav/claudebox/blob/main/CLAUDE.md" TargetMode="External"/><Relationship Id="rId2153" Type="http://schemas.openxmlformats.org/officeDocument/2006/relationships/hyperlink" Target="https://github.com/ensdomains/ens-app-v3/blob/main/CLAUDE.md" TargetMode="External"/><Relationship Id="rId2360" Type="http://schemas.openxmlformats.org/officeDocument/2006/relationships/hyperlink" Target="https://github.com/Azure/azure-functions-host/blob/master/.github/copilot-instructions.md" TargetMode="External"/><Relationship Id="rId125" Type="http://schemas.openxmlformats.org/officeDocument/2006/relationships/hyperlink" Target="https://github.com/yamadashy/repomix/blob/main/CLAUDE.md" TargetMode="External"/><Relationship Id="rId332" Type="http://schemas.openxmlformats.org/officeDocument/2006/relationships/hyperlink" Target="https://github.com/pytorch/pytorch/blob/main/AGENTS.md" TargetMode="External"/><Relationship Id="rId777" Type="http://schemas.openxmlformats.org/officeDocument/2006/relationships/hyperlink" Target="https://github.com/sybrew/the-seo-framework/blob/master/.github/copilot-instructions.md" TargetMode="External"/><Relationship Id="rId984" Type="http://schemas.openxmlformats.org/officeDocument/2006/relationships/hyperlink" Target="https://github.com/stack-auth/stack-auth/blob/main/AGENTS.md" TargetMode="External"/><Relationship Id="rId2013" Type="http://schemas.openxmlformats.org/officeDocument/2006/relationships/hyperlink" Target="https://github.com/mixpanel/mixpanel-android/blob/master/AGENTS.md" TargetMode="External"/><Relationship Id="rId2220" Type="http://schemas.openxmlformats.org/officeDocument/2006/relationships/hyperlink" Target="https://github.com/saleor/saleor/blob/main/CLAUDE.md" TargetMode="External"/><Relationship Id="rId2458" Type="http://schemas.openxmlformats.org/officeDocument/2006/relationships/hyperlink" Target="https://github.com/grafbase/grafbase/blob/main/CLAUDE.md" TargetMode="External"/><Relationship Id="rId637" Type="http://schemas.openxmlformats.org/officeDocument/2006/relationships/hyperlink" Target="https://github.com/pulumi/docs/blob/master/AGENTS.md" TargetMode="External"/><Relationship Id="rId844" Type="http://schemas.openxmlformats.org/officeDocument/2006/relationships/hyperlink" Target="https://github.com/dotnet/sdk/blob/main/.github/copilot-instructions.md" TargetMode="External"/><Relationship Id="rId1267" Type="http://schemas.openxmlformats.org/officeDocument/2006/relationships/hyperlink" Target="https://github.com/SparkDevNetwork/Rock/blob/master/.github/copilot-instructions.md" TargetMode="External"/><Relationship Id="rId1474" Type="http://schemas.openxmlformats.org/officeDocument/2006/relationships/hyperlink" Target="https://github.com/open-metadata/OpenMetadata/blob/main/CLAUDE.md" TargetMode="External"/><Relationship Id="rId1681" Type="http://schemas.openxmlformats.org/officeDocument/2006/relationships/hyperlink" Target="https://github.com/christianhelle/apiclientcodegen/blob/master/.github/copilot-instructions.md" TargetMode="External"/><Relationship Id="rId2318" Type="http://schemas.openxmlformats.org/officeDocument/2006/relationships/hyperlink" Target="https://github.com/geneontology/go-ontology/blob/master/.github/copilot-instructions.md" TargetMode="External"/><Relationship Id="rId2525" Type="http://schemas.openxmlformats.org/officeDocument/2006/relationships/hyperlink" Target="https://github.com/microsoft/simplechat/blob/main/.github/copilot-instructions.md" TargetMode="External"/><Relationship Id="rId704" Type="http://schemas.openxmlformats.org/officeDocument/2006/relationships/hyperlink" Target="https://github.com/dotnet/core/blob/main/.github/copilot-instructions.md" TargetMode="External"/><Relationship Id="rId911" Type="http://schemas.openxmlformats.org/officeDocument/2006/relationships/hyperlink" Target="https://github.com/dropseed/plain/blob/main/CLAUDE.md" TargetMode="External"/><Relationship Id="rId1127" Type="http://schemas.openxmlformats.org/officeDocument/2006/relationships/hyperlink" Target="https://github.com/nrwl/nx/blob/master/CLAUDE.md" TargetMode="External"/><Relationship Id="rId1334" Type="http://schemas.openxmlformats.org/officeDocument/2006/relationships/hyperlink" Target="https://github.com/anyproto/anytype-ts/blob/main/CLAUDE.md" TargetMode="External"/><Relationship Id="rId1541" Type="http://schemas.openxmlformats.org/officeDocument/2006/relationships/hyperlink" Target="https://github.com/xlnfinance/xln/blob/main/CLAUDE.md" TargetMode="External"/><Relationship Id="rId1779" Type="http://schemas.openxmlformats.org/officeDocument/2006/relationships/hyperlink" Target="https://github.com/Freika/dawarich/blob/master/CLAUDE.md" TargetMode="External"/><Relationship Id="rId1986" Type="http://schemas.openxmlformats.org/officeDocument/2006/relationships/hyperlink" Target="https://github.com/janbjorge/pgqueuer/blob/main/AGENTS.md" TargetMode="External"/><Relationship Id="rId40" Type="http://schemas.openxmlformats.org/officeDocument/2006/relationships/hyperlink" Target="https://github.com/ajanraj/OpenChat/blob/main/CLAUDE.md" TargetMode="External"/><Relationship Id="rId1401" Type="http://schemas.openxmlformats.org/officeDocument/2006/relationships/hyperlink" Target="https://github.com/evmts/tevm-monorepo/blob/main/CLAUDE.md" TargetMode="External"/><Relationship Id="rId1639" Type="http://schemas.openxmlformats.org/officeDocument/2006/relationships/hyperlink" Target="https://github.com/wieslawsoltes/Xaml.Behaviors/blob/master/AGENTS.md" TargetMode="External"/><Relationship Id="rId1846" Type="http://schemas.openxmlformats.org/officeDocument/2006/relationships/hyperlink" Target="https://github.com/theopenco/llmgateway/blob/main/AGENTS.md" TargetMode="External"/><Relationship Id="rId1706" Type="http://schemas.openxmlformats.org/officeDocument/2006/relationships/hyperlink" Target="https://github.com/geneontology/go-ontology/blob/master/.github/copilot-instructions.md" TargetMode="External"/><Relationship Id="rId1913" Type="http://schemas.openxmlformats.org/officeDocument/2006/relationships/hyperlink" Target="https://github.com/home-assistant/frontend/blob/master/CLAUDE.md" TargetMode="External"/><Relationship Id="rId287" Type="http://schemas.openxmlformats.org/officeDocument/2006/relationships/hyperlink" Target="https://github.com/langchain-ai/langchain/blob/master/CLAUDE.md" TargetMode="External"/><Relationship Id="rId494" Type="http://schemas.openxmlformats.org/officeDocument/2006/relationships/hyperlink" Target="https://github.com/theopenco/llmgateway/blob/main/CLAUDE.md" TargetMode="External"/><Relationship Id="rId2175" Type="http://schemas.openxmlformats.org/officeDocument/2006/relationships/hyperlink" Target="https://github.com/home-assistant/frontend/blob/master/CLAUDE.md" TargetMode="External"/><Relationship Id="rId2382" Type="http://schemas.openxmlformats.org/officeDocument/2006/relationships/hyperlink" Target="https://github.com/colinhacks/zod/blob/main/CLAUDE.md" TargetMode="External"/><Relationship Id="rId147" Type="http://schemas.openxmlformats.org/officeDocument/2006/relationships/hyperlink" Target="https://github.com/catatsuy/private-isu/blob/master/AGENTS.md" TargetMode="External"/><Relationship Id="rId354" Type="http://schemas.openxmlformats.org/officeDocument/2006/relationships/hyperlink" Target="https://github.com/CapSoftware/Cap/blob/main/CLAUDE.md" TargetMode="External"/><Relationship Id="rId799" Type="http://schemas.openxmlformats.org/officeDocument/2006/relationships/hyperlink" Target="https://github.com/public-ui/kolibri/blob/master/AGENTS.md" TargetMode="External"/><Relationship Id="rId1191" Type="http://schemas.openxmlformats.org/officeDocument/2006/relationships/hyperlink" Target="https://github.com/llama-farm/llamafarm/blob/main/AGENTS.md" TargetMode="External"/><Relationship Id="rId2035" Type="http://schemas.openxmlformats.org/officeDocument/2006/relationships/hyperlink" Target="https://github.com/wieslawsoltes/Dock/blob/master/AGENTS.md" TargetMode="External"/><Relationship Id="rId561" Type="http://schemas.openxmlformats.org/officeDocument/2006/relationships/hyperlink" Target="https://github.com/JuliaLang/julia/blob/master/AGENTS.md" TargetMode="External"/><Relationship Id="rId659" Type="http://schemas.openxmlformats.org/officeDocument/2006/relationships/hyperlink" Target="https://github.com/seasonedcc/remix-forms/blob/main/AGENTS.md" TargetMode="External"/><Relationship Id="rId866" Type="http://schemas.openxmlformats.org/officeDocument/2006/relationships/hyperlink" Target="https://github.com/anyproto/anytype-ts/blob/main/CLAUDE.md" TargetMode="External"/><Relationship Id="rId1289" Type="http://schemas.openxmlformats.org/officeDocument/2006/relationships/hyperlink" Target="https://github.com/netdata/netdata/blob/master/CLAUDE.md" TargetMode="External"/><Relationship Id="rId1496" Type="http://schemas.openxmlformats.org/officeDocument/2006/relationships/hyperlink" Target="https://github.com/Pipelex/pipelex/blob/main/CLAUDE.md" TargetMode="External"/><Relationship Id="rId2242" Type="http://schemas.openxmlformats.org/officeDocument/2006/relationships/hyperlink" Target="https://github.com/xlnfinance/xln/blob/main/CLAUDE.md" TargetMode="External"/><Relationship Id="rId214" Type="http://schemas.openxmlformats.org/officeDocument/2006/relationships/hyperlink" Target="https://github.com/Azure/AgentBaker/blob/main/.github/copilot-instructions.md" TargetMode="External"/><Relationship Id="rId421" Type="http://schemas.openxmlformats.org/officeDocument/2006/relationships/hyperlink" Target="https://github.com/netdata/netdata/blob/master/CLAUDE.md" TargetMode="External"/><Relationship Id="rId519" Type="http://schemas.openxmlformats.org/officeDocument/2006/relationships/hyperlink" Target="https://github.com/BoldGrid/w3-total-cache/blob/master/AGENTS.md" TargetMode="External"/><Relationship Id="rId1051" Type="http://schemas.openxmlformats.org/officeDocument/2006/relationships/hyperlink" Target="https://github.com/Freika/dawarich/blob/master/CLAUDE.md" TargetMode="External"/><Relationship Id="rId1149" Type="http://schemas.openxmlformats.org/officeDocument/2006/relationships/hyperlink" Target="https://github.com/qltysh/qlty/blob/main/CLAUDE.md" TargetMode="External"/><Relationship Id="rId1356" Type="http://schemas.openxmlformats.org/officeDocument/2006/relationships/hyperlink" Target="https://github.com/cloudposse/atmos/blob/main/CLAUDE.md" TargetMode="External"/><Relationship Id="rId2102" Type="http://schemas.openxmlformats.org/officeDocument/2006/relationships/hyperlink" Target="https://github.com/raycast/extensions/blob/main/.github/copilot-instructions.md" TargetMode="External"/><Relationship Id="rId726" Type="http://schemas.openxmlformats.org/officeDocument/2006/relationships/hyperlink" Target="https://github.com/microsoft/ApplicationInsights-JS/blob/main/.github/copilot-instructions.md" TargetMode="External"/><Relationship Id="rId933" Type="http://schemas.openxmlformats.org/officeDocument/2006/relationships/hyperlink" Target="https://github.com/open-metadata/OpenMetadata/blob/main/CLAUDE.md" TargetMode="External"/><Relationship Id="rId1009" Type="http://schemas.openxmlformats.org/officeDocument/2006/relationships/hyperlink" Target="https://github.com/humanwhocodes/crosspost/blob/main/.github/copilot-instructions.md" TargetMode="External"/><Relationship Id="rId1563" Type="http://schemas.openxmlformats.org/officeDocument/2006/relationships/hyperlink" Target="https://github.com/carverauto/serviceradar/blob/main/AGENTS.md" TargetMode="External"/><Relationship Id="rId1770" Type="http://schemas.openxmlformats.org/officeDocument/2006/relationships/hyperlink" Target="https://github.com/OneKeyHQ/app-monorepo/blob/master/CLAUDE.md" TargetMode="External"/><Relationship Id="rId1868" Type="http://schemas.openxmlformats.org/officeDocument/2006/relationships/hyperlink" Target="https://github.com/module-federation/core/blob/main/CLAUDE.md" TargetMode="External"/><Relationship Id="rId2407" Type="http://schemas.openxmlformats.org/officeDocument/2006/relationships/hyperlink" Target="https://github.com/FastLED/FastLED/blob/master/CLAUDE.md" TargetMode="External"/><Relationship Id="rId62" Type="http://schemas.openxmlformats.org/officeDocument/2006/relationships/hyperlink" Target="https://github.com/Freika/dawarich/blob/master/CLAUDE.md" TargetMode="External"/><Relationship Id="rId1216" Type="http://schemas.openxmlformats.org/officeDocument/2006/relationships/hyperlink" Target="https://github.com/stack-auth/stack-auth/blob/main/AGENTS.md" TargetMode="External"/><Relationship Id="rId1423" Type="http://schemas.openxmlformats.org/officeDocument/2006/relationships/hyperlink" Target="https://github.com/getsentry/sentry-javascript/blob/master/CLAUDE.md" TargetMode="External"/><Relationship Id="rId1630" Type="http://schemas.openxmlformats.org/officeDocument/2006/relationships/hyperlink" Target="https://github.com/theopenco/llmgateway/blob/main/AGENTS.md" TargetMode="External"/><Relationship Id="rId1728" Type="http://schemas.openxmlformats.org/officeDocument/2006/relationships/hyperlink" Target="https://github.com/microsoft/Olive/blob/main/.github/copilot-instructions.md" TargetMode="External"/><Relationship Id="rId1935" Type="http://schemas.openxmlformats.org/officeDocument/2006/relationships/hyperlink" Target="https://github.com/open-metadata/OpenMetadata/blob/main/CLAUDE.md" TargetMode="External"/><Relationship Id="rId2197" Type="http://schemas.openxmlformats.org/officeDocument/2006/relationships/hyperlink" Target="https://github.com/open-metadata/OpenMetadata/blob/main/CLAUDE.md" TargetMode="External"/><Relationship Id="rId169" Type="http://schemas.openxmlformats.org/officeDocument/2006/relationships/hyperlink" Target="https://github.com/rocketship-ai/rocketship/blob/main/AGENTS.md" TargetMode="External"/><Relationship Id="rId376" Type="http://schemas.openxmlformats.org/officeDocument/2006/relationships/hyperlink" Target="https://github.com/Comfy-Org/comfy-claude-prompt-library/blob/master/CLAUDE.md" TargetMode="External"/><Relationship Id="rId583" Type="http://schemas.openxmlformats.org/officeDocument/2006/relationships/hyperlink" Target="https://github.com/luccahuguet/yazelix/blob/main/AGENTS.md" TargetMode="External"/><Relationship Id="rId790" Type="http://schemas.openxmlformats.org/officeDocument/2006/relationships/hyperlink" Target="https://github.com/Freika/dawarich/blob/master/CLAUDE.md" TargetMode="External"/><Relationship Id="rId2057" Type="http://schemas.openxmlformats.org/officeDocument/2006/relationships/hyperlink" Target="https://github.com/mixpanel/mixpanel-android/blob/master/.github/copilot-instructions.md" TargetMode="External"/><Relationship Id="rId2264" Type="http://schemas.openxmlformats.org/officeDocument/2006/relationships/hyperlink" Target="https://github.com/julep-ai/julep/blob/main/AGENTS.md" TargetMode="External"/><Relationship Id="rId2471" Type="http://schemas.openxmlformats.org/officeDocument/2006/relationships/hyperlink" Target="https://github.com/zenml-io/zenml/blob/main/CLAUDE.md" TargetMode="External"/><Relationship Id="rId4" Type="http://schemas.openxmlformats.org/officeDocument/2006/relationships/hyperlink" Target="https://github.com/module-federation/core/blob/main/CLAUDE.md" TargetMode="External"/><Relationship Id="rId236" Type="http://schemas.openxmlformats.org/officeDocument/2006/relationships/hyperlink" Target="https://github.com/microsoft/ApplicationInsights-JS/blob/main/.github/copilot-instructions.md" TargetMode="External"/><Relationship Id="rId443" Type="http://schemas.openxmlformats.org/officeDocument/2006/relationships/hyperlink" Target="https://github.com/open-metadata/OpenMetadata/blob/main/CLAUDE.md" TargetMode="External"/><Relationship Id="rId650" Type="http://schemas.openxmlformats.org/officeDocument/2006/relationships/hyperlink" Target="https://github.com/Rello/audioplayer/blob/master/AGENTS.md" TargetMode="External"/><Relationship Id="rId888" Type="http://schemas.openxmlformats.org/officeDocument/2006/relationships/hyperlink" Target="https://github.com/coder/coder/blob/main/CLAUDE.md" TargetMode="External"/><Relationship Id="rId1073" Type="http://schemas.openxmlformats.org/officeDocument/2006/relationships/hyperlink" Target="https://github.com/module-federation/core/blob/main/CLAUDE.md" TargetMode="External"/><Relationship Id="rId1280" Type="http://schemas.openxmlformats.org/officeDocument/2006/relationships/hyperlink" Target="https://github.com/vaadin/flow/blob/main/CLAUDE.md" TargetMode="External"/><Relationship Id="rId2124" Type="http://schemas.openxmlformats.org/officeDocument/2006/relationships/hyperlink" Target="https://github.com/BerriAI/litellm/blob/main/CLAUDE.md" TargetMode="External"/><Relationship Id="rId2331" Type="http://schemas.openxmlformats.org/officeDocument/2006/relationships/hyperlink" Target="https://github.com/mixpanel/mixpanel-android/blob/master/.github/copilot-instructions.md" TargetMode="External"/><Relationship Id="rId303" Type="http://schemas.openxmlformats.org/officeDocument/2006/relationships/hyperlink" Target="https://github.com/alchemiststudiosDOTai/tunacode/blob/master/AGENTS.md" TargetMode="External"/><Relationship Id="rId748" Type="http://schemas.openxmlformats.org/officeDocument/2006/relationships/hyperlink" Target="https://github.com/raycast/extensions/blob/main/.github/copilot-instructions.md" TargetMode="External"/><Relationship Id="rId955" Type="http://schemas.openxmlformats.org/officeDocument/2006/relationships/hyperlink" Target="https://github.com/zenml-io/zenml/blob/main/CLAUDE.md" TargetMode="External"/><Relationship Id="rId1140" Type="http://schemas.openxmlformats.org/officeDocument/2006/relationships/hyperlink" Target="https://github.com/owid/owid-grapher/blob/master/CLAUDE.md" TargetMode="External"/><Relationship Id="rId1378" Type="http://schemas.openxmlformats.org/officeDocument/2006/relationships/hyperlink" Target="https://github.com/Comfy-Org/comfy-claude-prompt-library/blob/master/CLAUDE.md" TargetMode="External"/><Relationship Id="rId1585" Type="http://schemas.openxmlformats.org/officeDocument/2006/relationships/hyperlink" Target="https://github.com/marin-community/marin/blob/main/AGENTS.md" TargetMode="External"/><Relationship Id="rId1792" Type="http://schemas.openxmlformats.org/officeDocument/2006/relationships/hyperlink" Target="https://github.com/cloudposse/atmos/blob/main/CLAUDE.md" TargetMode="External"/><Relationship Id="rId2429" Type="http://schemas.openxmlformats.org/officeDocument/2006/relationships/hyperlink" Target="https://github.com/DumbWareio/DumbAssets/blob/main/.github/copilot-instructions.md" TargetMode="External"/><Relationship Id="rId84" Type="http://schemas.openxmlformats.org/officeDocument/2006/relationships/hyperlink" Target="https://github.com/module-federation/core/blob/main/CLAUDE.md" TargetMode="External"/><Relationship Id="rId510" Type="http://schemas.openxmlformats.org/officeDocument/2006/relationships/hyperlink" Target="https://github.com/alchemiststudiosDOTai/tunacode/blob/master/AGENTS.md" TargetMode="External"/><Relationship Id="rId608" Type="http://schemas.openxmlformats.org/officeDocument/2006/relationships/hyperlink" Target="https://github.com/msgbyte/tianji/blob/master/AGENTS.md" TargetMode="External"/><Relationship Id="rId815" Type="http://schemas.openxmlformats.org/officeDocument/2006/relationships/hyperlink" Target="https://github.com/Comfy-Org/comfy-claude-prompt-library/blob/master/CLAUDE.md" TargetMode="External"/><Relationship Id="rId1238" Type="http://schemas.openxmlformats.org/officeDocument/2006/relationships/hyperlink" Target="https://github.com/esphome/esphome/blob/main/.github/copilot-instructions.md" TargetMode="External"/><Relationship Id="rId1445" Type="http://schemas.openxmlformats.org/officeDocument/2006/relationships/hyperlink" Target="https://github.com/lightdash/lightdash/blob/main/CLAUDE.md" TargetMode="External"/><Relationship Id="rId1652" Type="http://schemas.openxmlformats.org/officeDocument/2006/relationships/hyperlink" Target="https://github.com/ast-grep/ast-grep/blob/main/.github/copilot-instructions.md" TargetMode="External"/><Relationship Id="rId1000" Type="http://schemas.openxmlformats.org/officeDocument/2006/relationships/hyperlink" Target="https://github.com/dotnet/fsharp/blob/main/.github/copilot-instructions.md" TargetMode="External"/><Relationship Id="rId1305" Type="http://schemas.openxmlformats.org/officeDocument/2006/relationships/hyperlink" Target="https://github.com/BerriAI/litellm/blob/main/CLAUDE.md" TargetMode="External"/><Relationship Id="rId1957" Type="http://schemas.openxmlformats.org/officeDocument/2006/relationships/hyperlink" Target="https://github.com/transloadit/uppy/blob/main/CLAUDE.md" TargetMode="External"/><Relationship Id="rId1512" Type="http://schemas.openxmlformats.org/officeDocument/2006/relationships/hyperlink" Target="https://github.com/recallnet/js-recall/blob/main/CLAUDE.md" TargetMode="External"/><Relationship Id="rId1817" Type="http://schemas.openxmlformats.org/officeDocument/2006/relationships/hyperlink" Target="https://github.com/luccahuguet/yazelix/blob/main/AGENTS.md" TargetMode="External"/><Relationship Id="rId11" Type="http://schemas.openxmlformats.org/officeDocument/2006/relationships/hyperlink" Target="https://github.com/gluesql/glues/blob/main/AGENTS.md" TargetMode="External"/><Relationship Id="rId398" Type="http://schemas.openxmlformats.org/officeDocument/2006/relationships/hyperlink" Target="https://github.com/home-assistant/frontend/blob/master/CLAUDE.md" TargetMode="External"/><Relationship Id="rId2079" Type="http://schemas.openxmlformats.org/officeDocument/2006/relationships/hyperlink" Target="https://github.com/thirdweb-dev/js/blob/main/CLAUDE.md" TargetMode="External"/><Relationship Id="rId160" Type="http://schemas.openxmlformats.org/officeDocument/2006/relationships/hyperlink" Target="https://github.com/langfuse/langfuse/blob/main/AGENTS.md" TargetMode="External"/><Relationship Id="rId2286" Type="http://schemas.openxmlformats.org/officeDocument/2006/relationships/hyperlink" Target="https://github.com/owid/etl/blob/master/AGENTS.md" TargetMode="External"/><Relationship Id="rId2493" Type="http://schemas.openxmlformats.org/officeDocument/2006/relationships/hyperlink" Target="https://github.com/NuGet/NuGetGallery/blob/main/.github/copilot-instructions.md" TargetMode="External"/><Relationship Id="rId258" Type="http://schemas.openxmlformats.org/officeDocument/2006/relationships/hyperlink" Target="https://github.com/Skyscanner/backpack-ios/blob/main/.github/copilot-instructions.md" TargetMode="External"/><Relationship Id="rId465" Type="http://schemas.openxmlformats.org/officeDocument/2006/relationships/hyperlink" Target="https://github.com/princeton-pli/hal-harness/blob/main/CLAUDE.md" TargetMode="External"/><Relationship Id="rId672" Type="http://schemas.openxmlformats.org/officeDocument/2006/relationships/hyperlink" Target="https://github.com/useautumn/autumn/blob/main/AGENTS.md" TargetMode="External"/><Relationship Id="rId1095" Type="http://schemas.openxmlformats.org/officeDocument/2006/relationships/hyperlink" Target="https://github.com/cloudposse/atmos/blob/main/CLAUDE.md" TargetMode="External"/><Relationship Id="rId2146" Type="http://schemas.openxmlformats.org/officeDocument/2006/relationships/hyperlink" Target="https://github.com/dotCMS/core/blob/main/CLAUDE.md" TargetMode="External"/><Relationship Id="rId2353" Type="http://schemas.openxmlformats.org/officeDocument/2006/relationships/hyperlink" Target="https://github.com/wandb/weave/blob/master/AGENTS.md" TargetMode="External"/><Relationship Id="rId118" Type="http://schemas.openxmlformats.org/officeDocument/2006/relationships/hyperlink" Target="https://github.com/wvlet/airframe/blob/main/CLAUDE.md" TargetMode="External"/><Relationship Id="rId325" Type="http://schemas.openxmlformats.org/officeDocument/2006/relationships/hyperlink" Target="https://github.com/SparkDevNetwork/Rock/blob/master/.github/copilot-instructions.md" TargetMode="External"/><Relationship Id="rId532" Type="http://schemas.openxmlformats.org/officeDocument/2006/relationships/hyperlink" Target="https://github.com/commonwarexyz/monorepo/blob/main/AGENTS.md" TargetMode="External"/><Relationship Id="rId977" Type="http://schemas.openxmlformats.org/officeDocument/2006/relationships/hyperlink" Target="https://github.com/pulumi/docs/blob/master/AGENTS.md" TargetMode="External"/><Relationship Id="rId1162" Type="http://schemas.openxmlformats.org/officeDocument/2006/relationships/hyperlink" Target="https://github.com/speaches-ai/speaches/blob/master/CLAUDE.md" TargetMode="External"/><Relationship Id="rId2006" Type="http://schemas.openxmlformats.org/officeDocument/2006/relationships/hyperlink" Target="https://github.com/marin-community/marin/blob/main/AGENTS.md" TargetMode="External"/><Relationship Id="rId2213" Type="http://schemas.openxmlformats.org/officeDocument/2006/relationships/hyperlink" Target="https://github.com/Pipelex/pipelex/blob/main/CLAUDE.md" TargetMode="External"/><Relationship Id="rId2420" Type="http://schemas.openxmlformats.org/officeDocument/2006/relationships/hyperlink" Target="https://github.com/Azure/autorest.typescript/blob/main/.github/copilot-instructions.md" TargetMode="External"/><Relationship Id="rId837" Type="http://schemas.openxmlformats.org/officeDocument/2006/relationships/hyperlink" Target="https://github.com/microsoft/simplechat/blob/main/.github/copilot-instructions.md" TargetMode="External"/><Relationship Id="rId1022" Type="http://schemas.openxmlformats.org/officeDocument/2006/relationships/hyperlink" Target="https://github.com/SparkDevNetwork/Rock/blob/master/.github/copilot-instructions.md" TargetMode="External"/><Relationship Id="rId1467" Type="http://schemas.openxmlformats.org/officeDocument/2006/relationships/hyperlink" Target="https://github.com/OneKeyHQ/app-monorepo/blob/master/CLAUDE.md" TargetMode="External"/><Relationship Id="rId1674" Type="http://schemas.openxmlformats.org/officeDocument/2006/relationships/hyperlink" Target="https://github.com/Azure/autorest.typescript/blob/main/.github/copilot-instructions.md" TargetMode="External"/><Relationship Id="rId1881" Type="http://schemas.openxmlformats.org/officeDocument/2006/relationships/hyperlink" Target="https://github.com/dotnet/runtime/blob/main/.github/copilot-instructions.md" TargetMode="External"/><Relationship Id="rId2518" Type="http://schemas.openxmlformats.org/officeDocument/2006/relationships/hyperlink" Target="https://github.com/xlnfinance/xln/blob/main/CLAUDE.md" TargetMode="External"/><Relationship Id="rId904" Type="http://schemas.openxmlformats.org/officeDocument/2006/relationships/hyperlink" Target="https://github.com/compiler-explorer/infra/blob/main/CLAUDE.md" TargetMode="External"/><Relationship Id="rId1327" Type="http://schemas.openxmlformats.org/officeDocument/2006/relationships/hyperlink" Target="https://github.com/allenai/open-instruct/blob/main/CLAUDE.md" TargetMode="External"/><Relationship Id="rId1534" Type="http://schemas.openxmlformats.org/officeDocument/2006/relationships/hyperlink" Target="https://github.com/twentyhq/twenty/blob/main/CLAUDE.md" TargetMode="External"/><Relationship Id="rId1741" Type="http://schemas.openxmlformats.org/officeDocument/2006/relationships/hyperlink" Target="https://github.com/octgn/OCTGN/blob/master/.github/copilot-instructions.md" TargetMode="External"/><Relationship Id="rId1979" Type="http://schemas.openxmlformats.org/officeDocument/2006/relationships/hyperlink" Target="https://github.com/hahwul/dalfox/blob/main/AGENTS.md" TargetMode="External"/><Relationship Id="rId33" Type="http://schemas.openxmlformats.org/officeDocument/2006/relationships/hyperlink" Target="https://github.com/geneontology/go-ontology/blob/master/CLAUDE.md" TargetMode="External"/><Relationship Id="rId1601" Type="http://schemas.openxmlformats.org/officeDocument/2006/relationships/hyperlink" Target="https://github.com/Pipelex/pipelex/blob/main/AGENTS.md" TargetMode="External"/><Relationship Id="rId1839" Type="http://schemas.openxmlformats.org/officeDocument/2006/relationships/hyperlink" Target="https://github.com/owid/etl/blob/master/CLAUDE.md" TargetMode="External"/><Relationship Id="rId182" Type="http://schemas.openxmlformats.org/officeDocument/2006/relationships/hyperlink" Target="https://github.com/stack-auth/stack-auth/blob/main/AGENTS.md" TargetMode="External"/><Relationship Id="rId1906" Type="http://schemas.openxmlformats.org/officeDocument/2006/relationships/hyperlink" Target="https://github.com/Freika/dawarich/blob/master/CLAUDE.md" TargetMode="External"/><Relationship Id="rId487" Type="http://schemas.openxmlformats.org/officeDocument/2006/relationships/hyperlink" Target="https://github.com/saleor/saleor/blob/main/CLAUDE.md" TargetMode="External"/><Relationship Id="rId694" Type="http://schemas.openxmlformats.org/officeDocument/2006/relationships/hyperlink" Target="https://github.com/Azure/azure-functions-host/blob/master/.github/copilot-instructions.md" TargetMode="External"/><Relationship Id="rId2070" Type="http://schemas.openxmlformats.org/officeDocument/2006/relationships/hyperlink" Target="https://github.com/janbjorge/pgqueuer/blob/main/AGENTS.md" TargetMode="External"/><Relationship Id="rId2168" Type="http://schemas.openxmlformats.org/officeDocument/2006/relationships/hyperlink" Target="https://github.com/getsentry/sentry-javascript/blob/master/CLAUDE.md" TargetMode="External"/><Relationship Id="rId2375" Type="http://schemas.openxmlformats.org/officeDocument/2006/relationships/hyperlink" Target="https://github.com/CapSoftware/Cap/blob/main/AGENTS.md" TargetMode="External"/><Relationship Id="rId347" Type="http://schemas.openxmlformats.org/officeDocument/2006/relationships/hyperlink" Target="https://github.com/BerriAI/litellm/blob/main/CLAUDE.md" TargetMode="External"/><Relationship Id="rId999" Type="http://schemas.openxmlformats.org/officeDocument/2006/relationships/hyperlink" Target="https://github.com/dotnet/dotnet-api-docs/blob/main/.github/copilot-instructions.md" TargetMode="External"/><Relationship Id="rId1184" Type="http://schemas.openxmlformats.org/officeDocument/2006/relationships/hyperlink" Target="https://github.com/epicweb-dev/epicshop/blob/main/AGENTS.md" TargetMode="External"/><Relationship Id="rId2028" Type="http://schemas.openxmlformats.org/officeDocument/2006/relationships/hyperlink" Target="https://github.com/shopware/shopware/blob/master/AGENTS.md" TargetMode="External"/><Relationship Id="rId554" Type="http://schemas.openxmlformats.org/officeDocument/2006/relationships/hyperlink" Target="https://github.com/julep-ai/julep/blob/main/AGENTS.md" TargetMode="External"/><Relationship Id="rId761" Type="http://schemas.openxmlformats.org/officeDocument/2006/relationships/hyperlink" Target="https://github.com/SparkDevNetwork/Rock/blob/master/.github/copilot-instructions.md" TargetMode="External"/><Relationship Id="rId859" Type="http://schemas.openxmlformats.org/officeDocument/2006/relationships/hyperlink" Target="https://github.com/microsoft/mcp-for-beginners/blob/main/AGENTS.md" TargetMode="External"/><Relationship Id="rId1391" Type="http://schemas.openxmlformats.org/officeDocument/2006/relationships/hyperlink" Target="https://github.com/dailydotdev/apps/blob/main/CLAUDE.md" TargetMode="External"/><Relationship Id="rId1489" Type="http://schemas.openxmlformats.org/officeDocument/2006/relationships/hyperlink" Target="http://mcpm.sh/" TargetMode="External"/><Relationship Id="rId1696" Type="http://schemas.openxmlformats.org/officeDocument/2006/relationships/hyperlink" Target="https://github.com/dotnet/runtime/blob/main/.github/copilot-instructions.md" TargetMode="External"/><Relationship Id="rId2235" Type="http://schemas.openxmlformats.org/officeDocument/2006/relationships/hyperlink" Target="https://github.com/wolfi-dev/os/blob/main/CLAUDE.md" TargetMode="External"/><Relationship Id="rId2442" Type="http://schemas.openxmlformats.org/officeDocument/2006/relationships/hyperlink" Target="https://github.com/abh/ntppool/blob/main/CLAUDE.md" TargetMode="External"/><Relationship Id="rId207" Type="http://schemas.openxmlformats.org/officeDocument/2006/relationships/hyperlink" Target="https://github.com/zenml-io/zenml/blob/main/AGENTS.md" TargetMode="External"/><Relationship Id="rId414" Type="http://schemas.openxmlformats.org/officeDocument/2006/relationships/hyperlink" Target="https://github.com/LLFourn/secp256kfun/blob/master/CLAUDE.md" TargetMode="External"/><Relationship Id="rId621" Type="http://schemas.openxmlformats.org/officeDocument/2006/relationships/hyperlink" Target="https://github.com/PrairieLearn/PrairieLearn/blob/master/AGENTS.md" TargetMode="External"/><Relationship Id="rId1044" Type="http://schemas.openxmlformats.org/officeDocument/2006/relationships/hyperlink" Target="https://github.com/geneontology/go-ontology/blob/master/CLAUDE.md" TargetMode="External"/><Relationship Id="rId1251" Type="http://schemas.openxmlformats.org/officeDocument/2006/relationships/hyperlink" Target="https://github.com/microsoft/typespec/blob/main/.github/copilot-instructions.md" TargetMode="External"/><Relationship Id="rId1349" Type="http://schemas.openxmlformats.org/officeDocument/2006/relationships/hyperlink" Target="https://github.com/CapSoftware/Cap/blob/main/CLAUDE.md" TargetMode="External"/><Relationship Id="rId2302" Type="http://schemas.openxmlformats.org/officeDocument/2006/relationships/hyperlink" Target="https://github.com/zenml-io/zenml/blob/main/AGENTS.md" TargetMode="External"/><Relationship Id="rId719" Type="http://schemas.openxmlformats.org/officeDocument/2006/relationships/hyperlink" Target="https://github.com/friendsofhyperf/components/blob/main/.github/copilot-instructions.md" TargetMode="External"/><Relationship Id="rId926" Type="http://schemas.openxmlformats.org/officeDocument/2006/relationships/hyperlink" Target="https://github.com/nrwl/nx/blob/master/CLAUDE.md" TargetMode="External"/><Relationship Id="rId1111" Type="http://schemas.openxmlformats.org/officeDocument/2006/relationships/hyperlink" Target="https://github.com/gitpod-io/gitpod/blob/main/CLAUDE.md" TargetMode="External"/><Relationship Id="rId1556" Type="http://schemas.openxmlformats.org/officeDocument/2006/relationships/hyperlink" Target="https://github.com/cablehead/xs/blob/main/AGENTS.md" TargetMode="External"/><Relationship Id="rId1763" Type="http://schemas.openxmlformats.org/officeDocument/2006/relationships/hyperlink" Target="https://github.com/zwave-js/zwave-js-ui/blob/master/.github/copilot-instructions.md" TargetMode="External"/><Relationship Id="rId1970" Type="http://schemas.openxmlformats.org/officeDocument/2006/relationships/hyperlink" Target="https://github.com/cablehead/xs/blob/main/AGENTS.md" TargetMode="External"/><Relationship Id="rId55" Type="http://schemas.openxmlformats.org/officeDocument/2006/relationships/hyperlink" Target="https://github.com/compiler-explorer/infra/blob/main/CLAUDE.md" TargetMode="External"/><Relationship Id="rId1209" Type="http://schemas.openxmlformats.org/officeDocument/2006/relationships/hyperlink" Target="https://github.com/RSSNext/Folo/blob/main/AGENTS.md" TargetMode="External"/><Relationship Id="rId1416" Type="http://schemas.openxmlformats.org/officeDocument/2006/relationships/hyperlink" Target="https://github.com/geneontology/go-ontology/blob/master/CLAUDE.md" TargetMode="External"/><Relationship Id="rId1623" Type="http://schemas.openxmlformats.org/officeDocument/2006/relationships/hyperlink" Target="https://github.com/rustfs/rustfs/blob/main/AGENTS.md" TargetMode="External"/><Relationship Id="rId1830" Type="http://schemas.openxmlformats.org/officeDocument/2006/relationships/hyperlink" Target="https://github.com/anyproto/anytype-ts/blob/main/CLAUDE.md" TargetMode="External"/><Relationship Id="rId1928" Type="http://schemas.openxmlformats.org/officeDocument/2006/relationships/hyperlink" Target="https://github.com/module-federation/core/blob/main/CLAUDE.md" TargetMode="External"/><Relationship Id="rId2092" Type="http://schemas.openxmlformats.org/officeDocument/2006/relationships/hyperlink" Target="https://github.com/wieslawsoltes/Dock/blob/master/AGENTS.md" TargetMode="External"/><Relationship Id="rId271" Type="http://schemas.openxmlformats.org/officeDocument/2006/relationships/hyperlink" Target="https://github.com/lightdash/lightdash/blob/main/CLAUDE.md" TargetMode="External"/><Relationship Id="rId2397" Type="http://schemas.openxmlformats.org/officeDocument/2006/relationships/hyperlink" Target="https://github.com/theopenco/llmgateway/blob/main/AGENTS.md" TargetMode="External"/><Relationship Id="rId131" Type="http://schemas.openxmlformats.org/officeDocument/2006/relationships/hyperlink" Target="https://github.com/zed-industries/zed/blob/main/CLAUDE.md" TargetMode="External"/><Relationship Id="rId369" Type="http://schemas.openxmlformats.org/officeDocument/2006/relationships/hyperlink" Target="https://github.com/coder/coder/blob/main/CLAUDE.md" TargetMode="External"/><Relationship Id="rId576" Type="http://schemas.openxmlformats.org/officeDocument/2006/relationships/hyperlink" Target="https://github.com/langfuse/langfuse/blob/main/AGENTS.md" TargetMode="External"/><Relationship Id="rId783" Type="http://schemas.openxmlformats.org/officeDocument/2006/relationships/hyperlink" Target="https://github.com/vczh-libraries/GacUI/blob/master/.github/copilot-instructions.md" TargetMode="External"/><Relationship Id="rId990" Type="http://schemas.openxmlformats.org/officeDocument/2006/relationships/hyperlink" Target="https://github.com/AstrBotDevs/AstrBot/blob/master/.github/copilot-instructions.md" TargetMode="External"/><Relationship Id="rId2257" Type="http://schemas.openxmlformats.org/officeDocument/2006/relationships/hyperlink" Target="https://github.com/DataDog/datadog-agent/blob/main/AGENTS.md" TargetMode="External"/><Relationship Id="rId2464" Type="http://schemas.openxmlformats.org/officeDocument/2006/relationships/hyperlink" Target="https://github.com/modelcontextprotocol/typescript-sdk/blob/main/CLAUDE.md" TargetMode="External"/><Relationship Id="rId229" Type="http://schemas.openxmlformats.org/officeDocument/2006/relationships/hyperlink" Target="https://github.com/esphome/esphome/blob/main/.github/copilot-instructions.md" TargetMode="External"/><Relationship Id="rId436" Type="http://schemas.openxmlformats.org/officeDocument/2006/relationships/hyperlink" Target="https://github.com/OneKeyHQ/app-monorepo/blob/master/CLAUDE.md" TargetMode="External"/><Relationship Id="rId643" Type="http://schemas.openxmlformats.org/officeDocument/2006/relationships/hyperlink" Target="https://github.com/pytorch/pytorch/blob/main/AGENTS.md" TargetMode="External"/><Relationship Id="rId1066" Type="http://schemas.openxmlformats.org/officeDocument/2006/relationships/hyperlink" Target="https://github.com/SparkDevNetwork/Rock/blob/master/.github/copilot-instructions.md" TargetMode="External"/><Relationship Id="rId1273" Type="http://schemas.openxmlformats.org/officeDocument/2006/relationships/hyperlink" Target="https://github.com/zwave-js/zwave-js-ui/blob/master/.github/copilot-instructions.md" TargetMode="External"/><Relationship Id="rId1480" Type="http://schemas.openxmlformats.org/officeDocument/2006/relationships/hyperlink" Target="https://github.com/pannous/wasp/blob/main/CLAUDE.md" TargetMode="External"/><Relationship Id="rId2117" Type="http://schemas.openxmlformats.org/officeDocument/2006/relationships/hyperlink" Target="https://github.com/anyproto/anytype-ts/blob/main/CLAUDE.md" TargetMode="External"/><Relationship Id="rId2324" Type="http://schemas.openxmlformats.org/officeDocument/2006/relationships/hyperlink" Target="https://github.com/microsoft/FluidFramework/blob/main/.github/copilot-instructions.md" TargetMode="External"/><Relationship Id="rId850" Type="http://schemas.openxmlformats.org/officeDocument/2006/relationships/hyperlink" Target="https://github.com/Azure/autorest.typescript/blob/main/.github/copilot-instructions.md" TargetMode="External"/><Relationship Id="rId948" Type="http://schemas.openxmlformats.org/officeDocument/2006/relationships/hyperlink" Target="https://github.com/spylang/spy/blob/main/CLAUDE.md" TargetMode="External"/><Relationship Id="rId1133" Type="http://schemas.openxmlformats.org/officeDocument/2006/relationships/hyperlink" Target="https://github.com/open-metadata/OpenMetadata/blob/main/CLAUDE.md" TargetMode="External"/><Relationship Id="rId1578" Type="http://schemas.openxmlformats.org/officeDocument/2006/relationships/hyperlink" Target="https://github.com/logancyang/obsidian-copilot/blob/master/AGENTS.md" TargetMode="External"/><Relationship Id="rId1785" Type="http://schemas.openxmlformats.org/officeDocument/2006/relationships/hyperlink" Target="https://github.com/PrairieLearn/PrairieLearn/blob/master/AGENTS.md" TargetMode="External"/><Relationship Id="rId1992" Type="http://schemas.openxmlformats.org/officeDocument/2006/relationships/hyperlink" Target="https://github.com/langchain-ai/langchain/blob/master/AGENTS.md" TargetMode="External"/><Relationship Id="rId2531" Type="http://schemas.openxmlformats.org/officeDocument/2006/relationships/hyperlink" Target="https://github.com/coder/coder/blob/main/CLAUDE.md" TargetMode="External"/><Relationship Id="rId77" Type="http://schemas.openxmlformats.org/officeDocument/2006/relationships/hyperlink" Target="https://github.com/jxnl/blog/blob/main/CLAUDE.md" TargetMode="External"/><Relationship Id="rId503" Type="http://schemas.openxmlformats.org/officeDocument/2006/relationships/hyperlink" Target="https://github.com/vaadin/flow/blob/main/CLAUDE.md" TargetMode="External"/><Relationship Id="rId710" Type="http://schemas.openxmlformats.org/officeDocument/2006/relationships/hyperlink" Target="https://github.com/dotnet/maui/blob/main/.github/copilot-instructions.md" TargetMode="External"/><Relationship Id="rId808" Type="http://schemas.openxmlformats.org/officeDocument/2006/relationships/hyperlink" Target="https://github.com/CapSoftware/Cap/blob/main/AGENTS.md" TargetMode="External"/><Relationship Id="rId1340" Type="http://schemas.openxmlformats.org/officeDocument/2006/relationships/hyperlink" Target="https://github.com/BerriAI/litellm/blob/main/CLAUDE.md" TargetMode="External"/><Relationship Id="rId1438" Type="http://schemas.openxmlformats.org/officeDocument/2006/relationships/hyperlink" Target="https://github.com/kubetail-org/kubetail/blob/main/CLAUDE.md" TargetMode="External"/><Relationship Id="rId1645" Type="http://schemas.openxmlformats.org/officeDocument/2006/relationships/hyperlink" Target="https://github.com/alandtse/alexa_media_player/blob/master/.github/copilot-instructions.md" TargetMode="External"/><Relationship Id="rId1200" Type="http://schemas.openxmlformats.org/officeDocument/2006/relationships/hyperlink" Target="https://github.com/marin-community/marin/blob/main/AGENTS.md" TargetMode="External"/><Relationship Id="rId1852" Type="http://schemas.openxmlformats.org/officeDocument/2006/relationships/hyperlink" Target="https://github.com/owncast/owncast/blob/master/.github/copilot-instructions.md" TargetMode="External"/><Relationship Id="rId1505" Type="http://schemas.openxmlformats.org/officeDocument/2006/relationships/hyperlink" Target="https://github.com/RchGrav/claudebox/blob/main/CLAUDE.md" TargetMode="External"/><Relationship Id="rId1712" Type="http://schemas.openxmlformats.org/officeDocument/2006/relationships/hyperlink" Target="https://github.com/geneontology/go-ontology/blob/master/.github/copilot-instructions.md" TargetMode="External"/><Relationship Id="rId293" Type="http://schemas.openxmlformats.org/officeDocument/2006/relationships/hyperlink" Target="https://github.com/zed-industries/zed/blob/main/CLAUDE.md" TargetMode="External"/><Relationship Id="rId2181" Type="http://schemas.openxmlformats.org/officeDocument/2006/relationships/hyperlink" Target="https://github.com/langchain-ai/langchain/blob/master/CLAUDE.md" TargetMode="External"/><Relationship Id="rId153" Type="http://schemas.openxmlformats.org/officeDocument/2006/relationships/hyperlink" Target="https://github.com/epicweb-dev/epicshop/blob/main/AGENTS.md" TargetMode="External"/><Relationship Id="rId360" Type="http://schemas.openxmlformats.org/officeDocument/2006/relationships/hyperlink" Target="https://github.com/cloudposse/atmos/blob/main/CLAUDE.md" TargetMode="External"/><Relationship Id="rId598" Type="http://schemas.openxmlformats.org/officeDocument/2006/relationships/hyperlink" Target="https://github.com/luccahuguet/yazelix/blob/main/AGENTS.md" TargetMode="External"/><Relationship Id="rId2041" Type="http://schemas.openxmlformats.org/officeDocument/2006/relationships/hyperlink" Target="https://github.com/zenml-io/zenml/blob/main/AGENTS.md" TargetMode="External"/><Relationship Id="rId2279" Type="http://schemas.openxmlformats.org/officeDocument/2006/relationships/hyperlink" Target="https://github.com/marin-community/marin/blob/main/AGENTS.md" TargetMode="External"/><Relationship Id="rId2486" Type="http://schemas.openxmlformats.org/officeDocument/2006/relationships/hyperlink" Target="https://github.com/dotnet/runtime/blob/main/.github/copilot-instructions.md" TargetMode="External"/><Relationship Id="rId220" Type="http://schemas.openxmlformats.org/officeDocument/2006/relationships/hyperlink" Target="https://github.com/Azure/azure-sdk-tools/blob/main/.github/copilot-instructions.md" TargetMode="External"/><Relationship Id="rId458" Type="http://schemas.openxmlformats.org/officeDocument/2006/relationships/hyperlink" Target="https://github.com/Pipelex/pipelex/blob/main/CLAUDE.md" TargetMode="External"/><Relationship Id="rId665" Type="http://schemas.openxmlformats.org/officeDocument/2006/relationships/hyperlink" Target="https://github.com/theopenco/llmgateway/blob/main/AGENTS.md" TargetMode="External"/><Relationship Id="rId872" Type="http://schemas.openxmlformats.org/officeDocument/2006/relationships/hyperlink" Target="https://github.com/abh/ntppool/blob/main/CLAUDE.md" TargetMode="External"/><Relationship Id="rId1088" Type="http://schemas.openxmlformats.org/officeDocument/2006/relationships/hyperlink" Target="https://github.com/browser-use/browser-use/blob/main/CLAUDE.md" TargetMode="External"/><Relationship Id="rId1295" Type="http://schemas.openxmlformats.org/officeDocument/2006/relationships/hyperlink" Target="https://github.com/janbjorge/pgqueuer/blob/main/AGENTS.md" TargetMode="External"/><Relationship Id="rId2139" Type="http://schemas.openxmlformats.org/officeDocument/2006/relationships/hyperlink" Target="https://github.com/Comfy-Org/comfy-claude-prompt-library/blob/master/CLAUDE.md" TargetMode="External"/><Relationship Id="rId2346" Type="http://schemas.openxmlformats.org/officeDocument/2006/relationships/hyperlink" Target="https://github.com/timmo001/system-bridge/blob/master/.github/copilot-instructions.md" TargetMode="External"/><Relationship Id="rId318" Type="http://schemas.openxmlformats.org/officeDocument/2006/relationships/hyperlink" Target="https://github.com/useautumn/autumn/blob/main/AGENTS.md" TargetMode="External"/><Relationship Id="rId525" Type="http://schemas.openxmlformats.org/officeDocument/2006/relationships/hyperlink" Target="https://github.com/CapSoftware/Cap/blob/main/AGENTS.md" TargetMode="External"/><Relationship Id="rId732" Type="http://schemas.openxmlformats.org/officeDocument/2006/relationships/hyperlink" Target="https://github.com/microsoft/simplechat/blob/main/.github/copilot-instructions.md" TargetMode="External"/><Relationship Id="rId1155" Type="http://schemas.openxmlformats.org/officeDocument/2006/relationships/hyperlink" Target="https://github.com/saleor/saleor/blob/main/CLAUDE.md" TargetMode="External"/><Relationship Id="rId1362" Type="http://schemas.openxmlformats.org/officeDocument/2006/relationships/hyperlink" Target="https://github.com/cloudposse/atmos/blob/main/CLAUDE.md" TargetMode="External"/><Relationship Id="rId2206" Type="http://schemas.openxmlformats.org/officeDocument/2006/relationships/hyperlink" Target="https://github.com/open-metadata/OpenMetadata/blob/main/CLAUDE.md" TargetMode="External"/><Relationship Id="rId2413" Type="http://schemas.openxmlformats.org/officeDocument/2006/relationships/hyperlink" Target="https://github.com/open-metadata/OpenMetadata/blob/main/CLAUDE.md" TargetMode="External"/><Relationship Id="rId99" Type="http://schemas.openxmlformats.org/officeDocument/2006/relationships/hyperlink" Target="https://github.com/RchGrav/claudebox/blob/main/CLAUDE.md" TargetMode="External"/><Relationship Id="rId1015" Type="http://schemas.openxmlformats.org/officeDocument/2006/relationships/hyperlink" Target="https://github.com/Open-LLM-VTuber/Open-LLM-VTuber/blob/main/.github/copilot-instructions.md" TargetMode="External"/><Relationship Id="rId1222" Type="http://schemas.openxmlformats.org/officeDocument/2006/relationships/hyperlink" Target="https://github.com/zenml-io/zenml/blob/main/AGENTS.md" TargetMode="External"/><Relationship Id="rId1667" Type="http://schemas.openxmlformats.org/officeDocument/2006/relationships/hyperlink" Target="https://github.com/Azure/autorest.typescript/blob/main/.github/copilot-instructions.md" TargetMode="External"/><Relationship Id="rId1874" Type="http://schemas.openxmlformats.org/officeDocument/2006/relationships/hyperlink" Target="https://github.com/wvlet/wvlet/blob/main/CLAUDE.md" TargetMode="External"/><Relationship Id="rId1527" Type="http://schemas.openxmlformats.org/officeDocument/2006/relationships/hyperlink" Target="https://github.com/theopenco/llmgateway/blob/main/CLAUDE.md" TargetMode="External"/><Relationship Id="rId1734" Type="http://schemas.openxmlformats.org/officeDocument/2006/relationships/hyperlink" Target="https://github.com/mixpanel/mixpanel-android/blob/master/.github/copilot-instructions.md" TargetMode="External"/><Relationship Id="rId1941" Type="http://schemas.openxmlformats.org/officeDocument/2006/relationships/hyperlink" Target="https://github.com/open-metadata/OpenMetadata/blob/main/CLAUDE.md" TargetMode="External"/><Relationship Id="rId26" Type="http://schemas.openxmlformats.org/officeDocument/2006/relationships/hyperlink" Target="https://github.com/julep-ai/julep/blob/main/AGENTS.md" TargetMode="External"/><Relationship Id="rId175" Type="http://schemas.openxmlformats.org/officeDocument/2006/relationships/hyperlink" Target="https://github.com/rustfs/rustfs/blob/main/AGENTS.md" TargetMode="External"/><Relationship Id="rId1801" Type="http://schemas.openxmlformats.org/officeDocument/2006/relationships/hyperlink" Target="https://github.com/Pipelex/pipelex/blob/main/CLAUDE.md" TargetMode="External"/><Relationship Id="rId382" Type="http://schemas.openxmlformats.org/officeDocument/2006/relationships/hyperlink" Target="https://github.com/dailydotdev/apps/blob/main/CLAUDE.md" TargetMode="External"/><Relationship Id="rId687" Type="http://schemas.openxmlformats.org/officeDocument/2006/relationships/hyperlink" Target="https://github.com/yoshiko-pg/difit/blob/main/AGENTS.md" TargetMode="External"/><Relationship Id="rId2063" Type="http://schemas.openxmlformats.org/officeDocument/2006/relationships/hyperlink" Target="https://github.com/zwave-js/zwave-js-ui/blob/master/.github/copilot-instructions.md" TargetMode="External"/><Relationship Id="rId2270" Type="http://schemas.openxmlformats.org/officeDocument/2006/relationships/hyperlink" Target="https://github.com/langchain-ai/langchain/blob/master/AGENTS.md" TargetMode="External"/><Relationship Id="rId2368" Type="http://schemas.openxmlformats.org/officeDocument/2006/relationships/hyperlink" Target="https://github.com/zenml-io/zenml/blob/main/CLAUDE.md" TargetMode="External"/><Relationship Id="rId242" Type="http://schemas.openxmlformats.org/officeDocument/2006/relationships/hyperlink" Target="https://github.com/microsoft/ApplicationInsights-JS/blob/main/.github/copilot-instructions.md" TargetMode="External"/><Relationship Id="rId894" Type="http://schemas.openxmlformats.org/officeDocument/2006/relationships/hyperlink" Target="https://github.com/colinhacks/zod/blob/main/CLAUDE.md" TargetMode="External"/><Relationship Id="rId1177" Type="http://schemas.openxmlformats.org/officeDocument/2006/relationships/hyperlink" Target="https://github.com/wvlet/wvlet/blob/main/CLAUDE.md" TargetMode="External"/><Relationship Id="rId2130" Type="http://schemas.openxmlformats.org/officeDocument/2006/relationships/hyperlink" Target="https://github.com/colinhacks/zod/blob/main/CLAUDE.md" TargetMode="External"/><Relationship Id="rId102" Type="http://schemas.openxmlformats.org/officeDocument/2006/relationships/hyperlink" Target="https://github.com/saleor/saleor/blob/main/CLAUDE.md" TargetMode="External"/><Relationship Id="rId547" Type="http://schemas.openxmlformats.org/officeDocument/2006/relationships/hyperlink" Target="https://github.com/hahwul/dalfox/blob/main/AGENTS.md" TargetMode="External"/><Relationship Id="rId754" Type="http://schemas.openxmlformats.org/officeDocument/2006/relationships/hyperlink" Target="https://github.com/ShaunLawrie/PwshSpectreConsole/blob/main/.github/copilot-instructions.md" TargetMode="External"/><Relationship Id="rId961" Type="http://schemas.openxmlformats.org/officeDocument/2006/relationships/hyperlink" Target="https://github.com/gitkraken/vscode-gitlens/blob/main/AGENTS.md" TargetMode="External"/><Relationship Id="rId1384" Type="http://schemas.openxmlformats.org/officeDocument/2006/relationships/hyperlink" Target="https://github.com/compiler-explorer/infra/blob/main/CLAUDE.md" TargetMode="External"/><Relationship Id="rId1591" Type="http://schemas.openxmlformats.org/officeDocument/2006/relationships/hyperlink" Target="https://github.com/modal-labs/modal-client/blob/main/AGENTS.md" TargetMode="External"/><Relationship Id="rId1689" Type="http://schemas.openxmlformats.org/officeDocument/2006/relationships/hyperlink" Target="https://github.com/dotnet/aspnetcore/blob/main/.github/copilot-instructions.md" TargetMode="External"/><Relationship Id="rId2228" Type="http://schemas.openxmlformats.org/officeDocument/2006/relationships/hyperlink" Target="https://github.com/twentyhq/twenty/blob/main/CLAUDE.md" TargetMode="External"/><Relationship Id="rId2435" Type="http://schemas.openxmlformats.org/officeDocument/2006/relationships/hyperlink" Target="https://github.com/microsoft/TypeScript/blob/main/.github/copilot-instructions.md" TargetMode="External"/><Relationship Id="rId90" Type="http://schemas.openxmlformats.org/officeDocument/2006/relationships/hyperlink" Target="https://github.com/owid/owid-grapher/blob/master/CLAUDE.md" TargetMode="External"/><Relationship Id="rId407" Type="http://schemas.openxmlformats.org/officeDocument/2006/relationships/hyperlink" Target="https://github.com/langchain-ai/langchain/blob/master/CLAUDE.md" TargetMode="External"/><Relationship Id="rId614" Type="http://schemas.openxmlformats.org/officeDocument/2006/relationships/hyperlink" Target="https://github.com/Pipelex/pipelex/blob/main/AGENTS.md" TargetMode="External"/><Relationship Id="rId821" Type="http://schemas.openxmlformats.org/officeDocument/2006/relationships/hyperlink" Target="https://github.com/HotCakeX/Harden-Windows-Security/blob/main/.github/copilot-instructions.md" TargetMode="External"/><Relationship Id="rId1037" Type="http://schemas.openxmlformats.org/officeDocument/2006/relationships/hyperlink" Target="https://github.com/DumbWareio/DumbAssets/blob/main/.github/copilot-instructions.md" TargetMode="External"/><Relationship Id="rId1244" Type="http://schemas.openxmlformats.org/officeDocument/2006/relationships/hyperlink" Target="https://github.com/microsoft/ApplicationInsights-JS/blob/main/.github/copilot-instructions.md" TargetMode="External"/><Relationship Id="rId1451" Type="http://schemas.openxmlformats.org/officeDocument/2006/relationships/hyperlink" Target="https://github.com/netdata/netdata/blob/master/CLAUDE.md" TargetMode="External"/><Relationship Id="rId1896" Type="http://schemas.openxmlformats.org/officeDocument/2006/relationships/hyperlink" Target="https://github.com/compiler-explorer/infra/blob/main/CLAUDE.md" TargetMode="External"/><Relationship Id="rId2502" Type="http://schemas.openxmlformats.org/officeDocument/2006/relationships/hyperlink" Target="https://github.com/seasonedcc/remix-forms/blob/main/AGENTS.md" TargetMode="External"/><Relationship Id="rId919" Type="http://schemas.openxmlformats.org/officeDocument/2006/relationships/hyperlink" Target="https://github.com/home-assistant/frontend/blob/master/CLAUDE.md" TargetMode="External"/><Relationship Id="rId1104" Type="http://schemas.openxmlformats.org/officeDocument/2006/relationships/hyperlink" Target="https://github.com/ESPresense/ESPresense-companion/blob/main/CLAUDE.md" TargetMode="External"/><Relationship Id="rId1311" Type="http://schemas.openxmlformats.org/officeDocument/2006/relationships/hyperlink" Target="https://github.com/elamperti/OpenWebScrobbler/blob/main/AGENTS.md" TargetMode="External"/><Relationship Id="rId1549" Type="http://schemas.openxmlformats.org/officeDocument/2006/relationships/hyperlink" Target="https://github.com/zenml-io/zenml/blob/main/CLAUDE.md" TargetMode="External"/><Relationship Id="rId1756" Type="http://schemas.openxmlformats.org/officeDocument/2006/relationships/hyperlink" Target="https://github.com/sybrew/the-seo-framework/blob/master/.github/copilot-instructions.md" TargetMode="External"/><Relationship Id="rId1963" Type="http://schemas.openxmlformats.org/officeDocument/2006/relationships/hyperlink" Target="https://github.com/zenml-io/zenml/blob/main/CLAUDE.md" TargetMode="External"/><Relationship Id="rId48" Type="http://schemas.openxmlformats.org/officeDocument/2006/relationships/hyperlink" Target="https://github.com/CapSoftware/Cap/blob/main/CLAUDE.md" TargetMode="External"/><Relationship Id="rId1409" Type="http://schemas.openxmlformats.org/officeDocument/2006/relationships/hyperlink" Target="https://github.com/Freika/dawarich/blob/master/CLAUDE.md" TargetMode="External"/><Relationship Id="rId1616" Type="http://schemas.openxmlformats.org/officeDocument/2006/relationships/hyperlink" Target="https://github.com/python-cachier/cachier/blob/master/AGENTS.md" TargetMode="External"/><Relationship Id="rId1823" Type="http://schemas.openxmlformats.org/officeDocument/2006/relationships/hyperlink" Target="https://github.com/pannous/wasp/blob/main/CLAUDE.md" TargetMode="External"/><Relationship Id="rId197" Type="http://schemas.openxmlformats.org/officeDocument/2006/relationships/hyperlink" Target="https://github.com/wieslawsoltes/Xaml.Behaviors/blob/master/AGENTS.md" TargetMode="External"/><Relationship Id="rId2085" Type="http://schemas.openxmlformats.org/officeDocument/2006/relationships/hyperlink" Target="https://github.com/gitkraken/vscode-gitlens/blob/main/AGENTS.md" TargetMode="External"/><Relationship Id="rId2292" Type="http://schemas.openxmlformats.org/officeDocument/2006/relationships/hyperlink" Target="https://github.com/python-cachier/cachier/blob/master/AGENTS.md" TargetMode="External"/><Relationship Id="rId264" Type="http://schemas.openxmlformats.org/officeDocument/2006/relationships/hyperlink" Target="https://github.com/syntaxfm/website/blob/main/.github/copilot-instructions.md" TargetMode="External"/><Relationship Id="rId471" Type="http://schemas.openxmlformats.org/officeDocument/2006/relationships/hyperlink" Target="https://github.com/quarylabs/sqruff/blob/main/CLAUDE.md" TargetMode="External"/><Relationship Id="rId2152" Type="http://schemas.openxmlformats.org/officeDocument/2006/relationships/hyperlink" Target="https://github.com/dropseed/plain/blob/main/CLAUDE.md" TargetMode="External"/><Relationship Id="rId124" Type="http://schemas.openxmlformats.org/officeDocument/2006/relationships/hyperlink" Target="https://github.com/wvlet/wvlet/blob/main/CLAUDE.md" TargetMode="External"/><Relationship Id="rId569" Type="http://schemas.openxmlformats.org/officeDocument/2006/relationships/hyperlink" Target="https://github.com/langchain-ai/langchain/blob/master/AGENTS.md" TargetMode="External"/><Relationship Id="rId776" Type="http://schemas.openxmlformats.org/officeDocument/2006/relationships/hyperlink" Target="https://github.com/sybrew/the-seo-framework/blob/master/.github/copilot-instructions.md" TargetMode="External"/><Relationship Id="rId983" Type="http://schemas.openxmlformats.org/officeDocument/2006/relationships/hyperlink" Target="https://github.com/stack-auth/stack-auth/blob/main/AGENTS.md" TargetMode="External"/><Relationship Id="rId1199" Type="http://schemas.openxmlformats.org/officeDocument/2006/relationships/hyperlink" Target="https://github.com/marin-community/marin/blob/main/AGENTS.md" TargetMode="External"/><Relationship Id="rId2457" Type="http://schemas.openxmlformats.org/officeDocument/2006/relationships/hyperlink" Target="https://github.com/Freika/dawarich/blob/master/CLAUDE.md" TargetMode="External"/><Relationship Id="rId331" Type="http://schemas.openxmlformats.org/officeDocument/2006/relationships/hyperlink" Target="https://github.com/luccahuguet/yazelix/blob/main/AGENTS.md" TargetMode="External"/><Relationship Id="rId429" Type="http://schemas.openxmlformats.org/officeDocument/2006/relationships/hyperlink" Target="https://github.com/obophenotype/uberon/blob/master/CLAUDE.md" TargetMode="External"/><Relationship Id="rId636" Type="http://schemas.openxmlformats.org/officeDocument/2006/relationships/hyperlink" Target="https://github.com/pulumi/docs/blob/master/AGENTS.md" TargetMode="External"/><Relationship Id="rId1059" Type="http://schemas.openxmlformats.org/officeDocument/2006/relationships/hyperlink" Target="https://github.com/humanwhocodes/crosspost/blob/main/.github/copilot-instructions.md" TargetMode="External"/><Relationship Id="rId1266" Type="http://schemas.openxmlformats.org/officeDocument/2006/relationships/hyperlink" Target="https://github.com/SparkDevNetwork/Rock/blob/master/.github/copilot-instructions.md" TargetMode="External"/><Relationship Id="rId1473" Type="http://schemas.openxmlformats.org/officeDocument/2006/relationships/hyperlink" Target="https://github.com/open-metadata/OpenMetadata/blob/main/CLAUDE.md" TargetMode="External"/><Relationship Id="rId2012" Type="http://schemas.openxmlformats.org/officeDocument/2006/relationships/hyperlink" Target="https://github.com/mixpanel/mixpanel-android/blob/master/AGENTS.md" TargetMode="External"/><Relationship Id="rId2317" Type="http://schemas.openxmlformats.org/officeDocument/2006/relationships/hyperlink" Target="https://github.com/FidelusAleksander/ghcertified/blob/master/.github/copilot-instructions.md" TargetMode="External"/><Relationship Id="rId843" Type="http://schemas.openxmlformats.org/officeDocument/2006/relationships/hyperlink" Target="https://github.com/public-ui/kolibri/blob/master/AGENTS.md" TargetMode="External"/><Relationship Id="rId1126" Type="http://schemas.openxmlformats.org/officeDocument/2006/relationships/hyperlink" Target="https://github.com/nrwl/nx/blob/master/CLAUDE.md" TargetMode="External"/><Relationship Id="rId1680" Type="http://schemas.openxmlformats.org/officeDocument/2006/relationships/hyperlink" Target="https://github.com/Chainlit/chainlit/blob/main/.github/copilot-instructions.md" TargetMode="External"/><Relationship Id="rId1778" Type="http://schemas.openxmlformats.org/officeDocument/2006/relationships/hyperlink" Target="https://github.com/wandb/weave/blob/master/AGENTS.md" TargetMode="External"/><Relationship Id="rId1985" Type="http://schemas.openxmlformats.org/officeDocument/2006/relationships/hyperlink" Target="https://github.com/janbjorge/pgqueuer/blob/main/AGENTS.md" TargetMode="External"/><Relationship Id="rId2524" Type="http://schemas.openxmlformats.org/officeDocument/2006/relationships/hyperlink" Target="https://github.com/xlnfinance/xln/blob/main/CLAUDE.md" TargetMode="External"/><Relationship Id="rId703" Type="http://schemas.openxmlformats.org/officeDocument/2006/relationships/hyperlink" Target="https://github.com/dotnet/aspnetcore/blob/main/.github/copilot-instructions.md" TargetMode="External"/><Relationship Id="rId910" Type="http://schemas.openxmlformats.org/officeDocument/2006/relationships/hyperlink" Target="https://github.com/dropseed/plain/blob/main/CLAUDE.md" TargetMode="External"/><Relationship Id="rId1333" Type="http://schemas.openxmlformats.org/officeDocument/2006/relationships/hyperlink" Target="https://github.com/anyproto/anytype-ts/blob/main/CLAUDE.md" TargetMode="External"/><Relationship Id="rId1540" Type="http://schemas.openxmlformats.org/officeDocument/2006/relationships/hyperlink" Target="https://github.com/xlnfinance/xln/blob/main/CLAUDE.md" TargetMode="External"/><Relationship Id="rId1638" Type="http://schemas.openxmlformats.org/officeDocument/2006/relationships/hyperlink" Target="https://github.com/wieslawsoltes/Dock/blob/master/AGENTS.md" TargetMode="External"/><Relationship Id="rId1400" Type="http://schemas.openxmlformats.org/officeDocument/2006/relationships/hyperlink" Target="https://github.com/evmts/tevm-monorepo/blob/main/CLAUDE.md" TargetMode="External"/><Relationship Id="rId1845" Type="http://schemas.openxmlformats.org/officeDocument/2006/relationships/hyperlink" Target="https://github.com/owid/etl/blob/master/AGENTS.md" TargetMode="External"/><Relationship Id="rId1705" Type="http://schemas.openxmlformats.org/officeDocument/2006/relationships/hyperlink" Target="https://github.com/geneontology/go-ontology/blob/master/.github/copilot-instructions.md" TargetMode="External"/><Relationship Id="rId1912" Type="http://schemas.openxmlformats.org/officeDocument/2006/relationships/hyperlink" Target="https://github.com/home-assistant/frontend/blob/master/CLAUDE.md" TargetMode="External"/><Relationship Id="rId286" Type="http://schemas.openxmlformats.org/officeDocument/2006/relationships/hyperlink" Target="https://github.com/Zaki-1052/GPTPortal/blob/main/AGENTS.md" TargetMode="External"/><Relationship Id="rId493" Type="http://schemas.openxmlformats.org/officeDocument/2006/relationships/hyperlink" Target="https://github.com/theopenco/llmgateway/blob/main/CLAUDE.md" TargetMode="External"/><Relationship Id="rId2174" Type="http://schemas.openxmlformats.org/officeDocument/2006/relationships/hyperlink" Target="https://github.com/home-assistant/frontend/blob/master/CLAUDE.md" TargetMode="External"/><Relationship Id="rId2381" Type="http://schemas.openxmlformats.org/officeDocument/2006/relationships/hyperlink" Target="https://github.com/microsoft/typespec/blob/main/.github/copilot-instructions.md" TargetMode="External"/><Relationship Id="rId146" Type="http://schemas.openxmlformats.org/officeDocument/2006/relationships/hyperlink" Target="https://github.com/carverauto/serviceradar/blob/main/AGENTS.md" TargetMode="External"/><Relationship Id="rId353" Type="http://schemas.openxmlformats.org/officeDocument/2006/relationships/hyperlink" Target="https://github.com/CapSoftware/Cap/blob/main/CLAUDE.md" TargetMode="External"/><Relationship Id="rId560" Type="http://schemas.openxmlformats.org/officeDocument/2006/relationships/hyperlink" Target="https://github.com/JuliaLang/julia/blob/master/AGENTS.md" TargetMode="External"/><Relationship Id="rId798" Type="http://schemas.openxmlformats.org/officeDocument/2006/relationships/hyperlink" Target="https://github.com/gitkraken/vscode-gitlens/blob/main/AGENTS.md" TargetMode="External"/><Relationship Id="rId1190" Type="http://schemas.openxmlformats.org/officeDocument/2006/relationships/hyperlink" Target="https://github.com/langfuse/langfuse/blob/main/AGENTS.md" TargetMode="External"/><Relationship Id="rId2034" Type="http://schemas.openxmlformats.org/officeDocument/2006/relationships/hyperlink" Target="https://github.com/wieslawsoltes/Dock/blob/master/AGENTS.md" TargetMode="External"/><Relationship Id="rId2241" Type="http://schemas.openxmlformats.org/officeDocument/2006/relationships/hyperlink" Target="https://github.com/xlnfinance/xln/blob/main/CLAUDE.md" TargetMode="External"/><Relationship Id="rId2479" Type="http://schemas.openxmlformats.org/officeDocument/2006/relationships/hyperlink" Target="https://github.com/PrairieLearn/PrairieLearn/blob/master/AGENTS.md" TargetMode="External"/><Relationship Id="rId213" Type="http://schemas.openxmlformats.org/officeDocument/2006/relationships/hyperlink" Target="https://github.com/Azure/AgentBaker/blob/main/.github/copilot-instructions.md" TargetMode="External"/><Relationship Id="rId420" Type="http://schemas.openxmlformats.org/officeDocument/2006/relationships/hyperlink" Target="https://github.com/netdata/netdata/blob/master/CLAUDE.md" TargetMode="External"/><Relationship Id="rId658" Type="http://schemas.openxmlformats.org/officeDocument/2006/relationships/hyperlink" Target="https://github.com/rustfs/rustfs/blob/main/AGENTS.md" TargetMode="External"/><Relationship Id="rId865" Type="http://schemas.openxmlformats.org/officeDocument/2006/relationships/hyperlink" Target="https://github.com/dotnet/maui/blob/main/.github/copilot-instructions.md" TargetMode="External"/><Relationship Id="rId1050" Type="http://schemas.openxmlformats.org/officeDocument/2006/relationships/hyperlink" Target="https://github.com/dotnet/runtime/blob/main/.github/copilot-instructions.md" TargetMode="External"/><Relationship Id="rId1288" Type="http://schemas.openxmlformats.org/officeDocument/2006/relationships/hyperlink" Target="https://github.com/netdata/netdata/blob/master/CLAUDE.md" TargetMode="External"/><Relationship Id="rId1495" Type="http://schemas.openxmlformats.org/officeDocument/2006/relationships/hyperlink" Target="https://github.com/Pipelex/pipelex/blob/main/CLAUDE.md" TargetMode="External"/><Relationship Id="rId2101" Type="http://schemas.openxmlformats.org/officeDocument/2006/relationships/hyperlink" Target="https://github.com/dotnet/docs-aspire/blob/main/.github/copilot-instructions.md" TargetMode="External"/><Relationship Id="rId2339" Type="http://schemas.openxmlformats.org/officeDocument/2006/relationships/hyperlink" Target="https://github.com/SparkDevNetwork/Rock/blob/master/.github/copilot-instructions.md" TargetMode="External"/><Relationship Id="rId518" Type="http://schemas.openxmlformats.org/officeDocument/2006/relationships/hyperlink" Target="https://github.com/BoldGrid/w3-total-cache/blob/master/AGENTS.md" TargetMode="External"/><Relationship Id="rId725" Type="http://schemas.openxmlformats.org/officeDocument/2006/relationships/hyperlink" Target="https://github.com/igraph/igraph/blob/main/.github/copilot-instructions.md" TargetMode="External"/><Relationship Id="rId932" Type="http://schemas.openxmlformats.org/officeDocument/2006/relationships/hyperlink" Target="https://github.com/open-metadata/OpenMetadata/blob/main/CLAUDE.md" TargetMode="External"/><Relationship Id="rId1148" Type="http://schemas.openxmlformats.org/officeDocument/2006/relationships/hyperlink" Target="https://github.com/qltysh/qlty/blob/main/CLAUDE.md" TargetMode="External"/><Relationship Id="rId1355" Type="http://schemas.openxmlformats.org/officeDocument/2006/relationships/hyperlink" Target="https://github.com/cloudposse/atmos/blob/main/CLAUDE.md" TargetMode="External"/><Relationship Id="rId1562" Type="http://schemas.openxmlformats.org/officeDocument/2006/relationships/hyperlink" Target="https://github.com/carverauto/serviceradar/blob/main/AGENTS.md" TargetMode="External"/><Relationship Id="rId2406" Type="http://schemas.openxmlformats.org/officeDocument/2006/relationships/hyperlink" Target="https://github.com/dailydotdev/apps/blob/main/CLAUDE.md" TargetMode="External"/><Relationship Id="rId1008" Type="http://schemas.openxmlformats.org/officeDocument/2006/relationships/hyperlink" Target="https://github.com/humanwhocodes/crosspost/blob/main/.github/copilot-instructions.md" TargetMode="External"/><Relationship Id="rId1215" Type="http://schemas.openxmlformats.org/officeDocument/2006/relationships/hyperlink" Target="https://github.com/stack-auth/stack-auth/blob/main/AGENTS.md" TargetMode="External"/><Relationship Id="rId1422" Type="http://schemas.openxmlformats.org/officeDocument/2006/relationships/hyperlink" Target="https://github.com/getsentry/sentry-cocoa/blob/main/CLAUDE.md" TargetMode="External"/><Relationship Id="rId1867" Type="http://schemas.openxmlformats.org/officeDocument/2006/relationships/hyperlink" Target="https://github.com/cloudposse/atmos/blob/main/CLAUDE.md" TargetMode="External"/><Relationship Id="rId61" Type="http://schemas.openxmlformats.org/officeDocument/2006/relationships/hyperlink" Target="https://github.com/FastLED/FastLED/blob/master/CLAUDE.md" TargetMode="External"/><Relationship Id="rId1727" Type="http://schemas.openxmlformats.org/officeDocument/2006/relationships/hyperlink" Target="https://github.com/microsoft/Olive/blob/main/.github/copilot-instructions.md" TargetMode="External"/><Relationship Id="rId1934" Type="http://schemas.openxmlformats.org/officeDocument/2006/relationships/hyperlink" Target="https://github.com/open-metadata/OpenMetadata/blob/main/CLAUDE.md" TargetMode="External"/><Relationship Id="rId19" Type="http://schemas.openxmlformats.org/officeDocument/2006/relationships/hyperlink" Target="https://github.com/abh/ntppool/blob/main/CLAUDE.md" TargetMode="External"/><Relationship Id="rId2196" Type="http://schemas.openxmlformats.org/officeDocument/2006/relationships/hyperlink" Target="https://github.com/open-metadata/OpenMetadata/blob/main/CLAUDE.md" TargetMode="External"/><Relationship Id="rId168" Type="http://schemas.openxmlformats.org/officeDocument/2006/relationships/hyperlink" Target="https://github.com/PrairieLearn/PrairieLearn/blob/master/AGENTS.md" TargetMode="External"/><Relationship Id="rId375" Type="http://schemas.openxmlformats.org/officeDocument/2006/relationships/hyperlink" Target="https://github.com/colinhacks/zod/blob/main/CLAUDE.md" TargetMode="External"/><Relationship Id="rId582" Type="http://schemas.openxmlformats.org/officeDocument/2006/relationships/hyperlink" Target="https://github.com/luccahuguet/yazelix/blob/main/AGENTS.md" TargetMode="External"/><Relationship Id="rId2056" Type="http://schemas.openxmlformats.org/officeDocument/2006/relationships/hyperlink" Target="https://github.com/microsoft/react-native-windows/blob/main/.github/copilot-instructions.md" TargetMode="External"/><Relationship Id="rId2263" Type="http://schemas.openxmlformats.org/officeDocument/2006/relationships/hyperlink" Target="https://github.com/janbjorge/pgqueuer/blob/main/AGENTS.md" TargetMode="External"/><Relationship Id="rId2470" Type="http://schemas.openxmlformats.org/officeDocument/2006/relationships/hyperlink" Target="https://github.com/wvlet/wvlet/blob/main/CLAUDE.md" TargetMode="External"/><Relationship Id="rId3" Type="http://schemas.openxmlformats.org/officeDocument/2006/relationships/hyperlink" Target="https://github.com/module-federation/core/blob/main/CLAUDE.md" TargetMode="External"/><Relationship Id="rId235" Type="http://schemas.openxmlformats.org/officeDocument/2006/relationships/hyperlink" Target="https://github.com/microsoft/ApplicationInsights-JS/blob/main/.github/copilot-instructions.md" TargetMode="External"/><Relationship Id="rId442" Type="http://schemas.openxmlformats.org/officeDocument/2006/relationships/hyperlink" Target="https://github.com/open-metadata/OpenMetadata/blob/main/CLAUDE.md" TargetMode="External"/><Relationship Id="rId887" Type="http://schemas.openxmlformats.org/officeDocument/2006/relationships/hyperlink" Target="https://github.com/coder/coder/blob/main/CLAUDE.md" TargetMode="External"/><Relationship Id="rId1072" Type="http://schemas.openxmlformats.org/officeDocument/2006/relationships/hyperlink" Target="https://github.com/sybrew/the-seo-framework/blob/master/.github/copilot-instructions.md" TargetMode="External"/><Relationship Id="rId2123" Type="http://schemas.openxmlformats.org/officeDocument/2006/relationships/hyperlink" Target="https://github.com/BerriAI/litellm/blob/main/CLAUDE.md" TargetMode="External"/><Relationship Id="rId2330" Type="http://schemas.openxmlformats.org/officeDocument/2006/relationships/hyperlink" Target="https://github.com/microsoft/vscode-jupyter/blob/main/.github/copilot-instructions.md" TargetMode="External"/><Relationship Id="rId302" Type="http://schemas.openxmlformats.org/officeDocument/2006/relationships/hyperlink" Target="https://github.com/thirdweb-dev/js/blob/main/CLAUDE.md" TargetMode="External"/><Relationship Id="rId747" Type="http://schemas.openxmlformats.org/officeDocument/2006/relationships/hyperlink" Target="https://github.com/owncast/owncast/blob/master/.github/copilot-instructions.md" TargetMode="External"/><Relationship Id="rId954" Type="http://schemas.openxmlformats.org/officeDocument/2006/relationships/hyperlink" Target="https://github.com/zenml-io/zenml/blob/main/CLAUDE.md" TargetMode="External"/><Relationship Id="rId1377" Type="http://schemas.openxmlformats.org/officeDocument/2006/relationships/hyperlink" Target="https://github.com/colinhacks/zod/blob/main/CLAUDE.md" TargetMode="External"/><Relationship Id="rId1584" Type="http://schemas.openxmlformats.org/officeDocument/2006/relationships/hyperlink" Target="https://github.com/marin-community/marin/blob/main/AGENTS.md" TargetMode="External"/><Relationship Id="rId1791" Type="http://schemas.openxmlformats.org/officeDocument/2006/relationships/hyperlink" Target="https://github.com/dotnet/maui/blob/main/.github/copilot-instructions.md" TargetMode="External"/><Relationship Id="rId2428" Type="http://schemas.openxmlformats.org/officeDocument/2006/relationships/hyperlink" Target="https://github.com/DumbWareio/DumbAssets/blob/main/.github/copilot-instructions.md" TargetMode="External"/><Relationship Id="rId83" Type="http://schemas.openxmlformats.org/officeDocument/2006/relationships/hyperlink" Target="https://github.com/module-federation/core/blob/main/CLAUDE.md" TargetMode="External"/><Relationship Id="rId607" Type="http://schemas.openxmlformats.org/officeDocument/2006/relationships/hyperlink" Target="https://github.com/microsoft/mcp-for-beginners/blob/main/AGENTS.md" TargetMode="External"/><Relationship Id="rId814" Type="http://schemas.openxmlformats.org/officeDocument/2006/relationships/hyperlink" Target="https://github.com/abh/ntppool/blob/main/CLAUDE.md" TargetMode="External"/><Relationship Id="rId1237" Type="http://schemas.openxmlformats.org/officeDocument/2006/relationships/hyperlink" Target="https://github.com/esphome/esphome/blob/main/.github/copilot-instructions.md" TargetMode="External"/><Relationship Id="rId1444" Type="http://schemas.openxmlformats.org/officeDocument/2006/relationships/hyperlink" Target="https://github.com/lightdash/lightdash/blob/main/CLAUDE.md" TargetMode="External"/><Relationship Id="rId1651" Type="http://schemas.openxmlformats.org/officeDocument/2006/relationships/hyperlink" Target="https://github.com/ast-grep/ast-grep/blob/main/.github/copilot-instructions.md" TargetMode="External"/><Relationship Id="rId1889" Type="http://schemas.openxmlformats.org/officeDocument/2006/relationships/hyperlink" Target="https://github.com/colinhacks/zod/blob/main/CLAUDE.md" TargetMode="External"/><Relationship Id="rId1304" Type="http://schemas.openxmlformats.org/officeDocument/2006/relationships/hyperlink" Target="https://github.com/NG-ZORRO/ng-zorro-antd/blob/master/.github/copilot-instructions.md" TargetMode="External"/><Relationship Id="rId1511" Type="http://schemas.openxmlformats.org/officeDocument/2006/relationships/hyperlink" Target="https://github.com/RchGrav/claudebox/blob/main/CLAUDE.md" TargetMode="External"/><Relationship Id="rId1749" Type="http://schemas.openxmlformats.org/officeDocument/2006/relationships/hyperlink" Target="https://github.com/Significant-Gravitas/AutoGPT/blob/master/.github/copilot-instructions.md" TargetMode="External"/><Relationship Id="rId1956" Type="http://schemas.openxmlformats.org/officeDocument/2006/relationships/hyperlink" Target="https://github.com/tphakala/birdnet-go/blob/main/CLAUDE.md" TargetMode="External"/><Relationship Id="rId1609" Type="http://schemas.openxmlformats.org/officeDocument/2006/relationships/hyperlink" Target="https://github.com/public-ui/kolibri/blob/master/AGENTS.md" TargetMode="External"/><Relationship Id="rId1816" Type="http://schemas.openxmlformats.org/officeDocument/2006/relationships/hyperlink" Target="https://github.com/obophenotype/uberon/blob/master/.github/copilot-instructions.md" TargetMode="External"/><Relationship Id="rId10" Type="http://schemas.openxmlformats.org/officeDocument/2006/relationships/hyperlink" Target="https://github.com/zed-industries/zed/blob/main/CLAUDE.md" TargetMode="External"/><Relationship Id="rId397" Type="http://schemas.openxmlformats.org/officeDocument/2006/relationships/hyperlink" Target="https://github.com/hashintel/hash/blob/main/CLAUDE.md" TargetMode="External"/><Relationship Id="rId2078" Type="http://schemas.openxmlformats.org/officeDocument/2006/relationships/hyperlink" Target="https://github.com/open-metadata/OpenMetadata/blob/main/CLAUDE.md" TargetMode="External"/><Relationship Id="rId2285" Type="http://schemas.openxmlformats.org/officeDocument/2006/relationships/hyperlink" Target="https://github.com/openai/openai-agents-python/blob/main/AGENTS.md" TargetMode="External"/><Relationship Id="rId2492" Type="http://schemas.openxmlformats.org/officeDocument/2006/relationships/hyperlink" Target="https://github.com/microsoft/simplechat/blob/main/.github/copilot-instructions.md" TargetMode="External"/><Relationship Id="rId257" Type="http://schemas.openxmlformats.org/officeDocument/2006/relationships/hyperlink" Target="https://github.com/raycast/extensions/blob/main/.github/copilot-instructions.md" TargetMode="External"/><Relationship Id="rId464" Type="http://schemas.openxmlformats.org/officeDocument/2006/relationships/hyperlink" Target="https://github.com/princeton-pli/hal-harness/blob/main/CLAUDE.md" TargetMode="External"/><Relationship Id="rId1094" Type="http://schemas.openxmlformats.org/officeDocument/2006/relationships/hyperlink" Target="https://github.com/cloudposse/atmos/blob/main/CLAUDE.md" TargetMode="External"/><Relationship Id="rId2145" Type="http://schemas.openxmlformats.org/officeDocument/2006/relationships/hyperlink" Target="https://github.com/dailydotdev/apps/blob/main/CLAUDE.md" TargetMode="External"/><Relationship Id="rId117" Type="http://schemas.openxmlformats.org/officeDocument/2006/relationships/hyperlink" Target="https://github.com/wolfi-dev/os/blob/main/CLAUDE.md" TargetMode="External"/><Relationship Id="rId671" Type="http://schemas.openxmlformats.org/officeDocument/2006/relationships/hyperlink" Target="https://github.com/useautumn/autumn/blob/main/AGENTS.md" TargetMode="External"/><Relationship Id="rId769" Type="http://schemas.openxmlformats.org/officeDocument/2006/relationships/hyperlink" Target="https://github.com/sybrew/the-seo-framework/blob/master/.github/copilot-instructions.md" TargetMode="External"/><Relationship Id="rId976" Type="http://schemas.openxmlformats.org/officeDocument/2006/relationships/hyperlink" Target="https://github.com/PrairieLearn/PrairieLearn/blob/master/AGENTS.md" TargetMode="External"/><Relationship Id="rId1399" Type="http://schemas.openxmlformats.org/officeDocument/2006/relationships/hyperlink" Target="https://github.com/ensdomains/ens-app-v3/blob/main/CLAUDE.md" TargetMode="External"/><Relationship Id="rId2352" Type="http://schemas.openxmlformats.org/officeDocument/2006/relationships/hyperlink" Target="https://github.com/Open-LLM-VTuber/Open-LLM-VTuber/blob/main/.github/copilot-instructions.md" TargetMode="External"/><Relationship Id="rId324" Type="http://schemas.openxmlformats.org/officeDocument/2006/relationships/hyperlink" Target="https://github.com/microsoft/typespec/blob/main/.github/copilot-instructions.md" TargetMode="External"/><Relationship Id="rId531" Type="http://schemas.openxmlformats.org/officeDocument/2006/relationships/hyperlink" Target="https://github.com/commonwarexyz/monorepo/blob/main/AGENTS.md" TargetMode="External"/><Relationship Id="rId629" Type="http://schemas.openxmlformats.org/officeDocument/2006/relationships/hyperlink" Target="https://github.com/public-ui/kolibri/blob/master/AGENTS.md" TargetMode="External"/><Relationship Id="rId1161" Type="http://schemas.openxmlformats.org/officeDocument/2006/relationships/hyperlink" Target="https://github.com/speaches-ai/speaches/blob/master/CLAUDE.md" TargetMode="External"/><Relationship Id="rId1259" Type="http://schemas.openxmlformats.org/officeDocument/2006/relationships/hyperlink" Target="https://github.com/Open-LLM-VTuber/Open-LLM-VTuber/blob/main/.github/copilot-instructions.md" TargetMode="External"/><Relationship Id="rId1466" Type="http://schemas.openxmlformats.org/officeDocument/2006/relationships/hyperlink" Target="https://github.com/OneKeyHQ/app-monorepo/blob/master/CLAUDE.md" TargetMode="External"/><Relationship Id="rId2005" Type="http://schemas.openxmlformats.org/officeDocument/2006/relationships/hyperlink" Target="https://github.com/marin-community/marin/blob/main/AGENTS.md" TargetMode="External"/><Relationship Id="rId2212" Type="http://schemas.openxmlformats.org/officeDocument/2006/relationships/hyperlink" Target="https://github.com/owid/etl/blob/master/CLAUDE.md" TargetMode="External"/><Relationship Id="rId836" Type="http://schemas.openxmlformats.org/officeDocument/2006/relationships/hyperlink" Target="https://github.com/microsoft/ApplicationInsights-JS/blob/main/.github/copilot-instructions.md" TargetMode="External"/><Relationship Id="rId1021" Type="http://schemas.openxmlformats.org/officeDocument/2006/relationships/hyperlink" Target="https://github.com/SparkDevNetwork/Rock/blob/master/.github/copilot-instructions.md" TargetMode="External"/><Relationship Id="rId1119" Type="http://schemas.openxmlformats.org/officeDocument/2006/relationships/hyperlink" Target="https://github.com/jxnl/blog/blob/main/CLAUDE.md" TargetMode="External"/><Relationship Id="rId1673" Type="http://schemas.openxmlformats.org/officeDocument/2006/relationships/hyperlink" Target="https://github.com/Azure/autorest.typescript/blob/main/.github/copilot-instructions.md" TargetMode="External"/><Relationship Id="rId1880" Type="http://schemas.openxmlformats.org/officeDocument/2006/relationships/hyperlink" Target="https://github.com/wieslawsoltes/Xaml.Behaviors/blob/master/AGENTS.md" TargetMode="External"/><Relationship Id="rId1978" Type="http://schemas.openxmlformats.org/officeDocument/2006/relationships/hyperlink" Target="https://github.com/hahwul/dalfox/blob/main/AGENTS.md" TargetMode="External"/><Relationship Id="rId2517" Type="http://schemas.openxmlformats.org/officeDocument/2006/relationships/hyperlink" Target="https://github.com/steipete/Peekaboo/blob/main/CLAUDE.md" TargetMode="External"/><Relationship Id="rId903" Type="http://schemas.openxmlformats.org/officeDocument/2006/relationships/hyperlink" Target="https://github.com/compiler-explorer/infra/blob/main/CLAUDE.md" TargetMode="External"/><Relationship Id="rId1326" Type="http://schemas.openxmlformats.org/officeDocument/2006/relationships/hyperlink" Target="https://github.com/ajanraj/OpenChat/blob/main/CLAUDE.md" TargetMode="External"/><Relationship Id="rId1533" Type="http://schemas.openxmlformats.org/officeDocument/2006/relationships/hyperlink" Target="https://github.com/truenas/webui/blob/master/CLAUDE.md" TargetMode="External"/><Relationship Id="rId1740" Type="http://schemas.openxmlformats.org/officeDocument/2006/relationships/hyperlink" Target="https://github.com/octgn/OCTGN/blob/master/.github/copilot-instructions.md" TargetMode="External"/><Relationship Id="rId32" Type="http://schemas.openxmlformats.org/officeDocument/2006/relationships/hyperlink" Target="https://github.com/geneontology/go-ontology/blob/master/CLAUDE.md" TargetMode="External"/><Relationship Id="rId1600" Type="http://schemas.openxmlformats.org/officeDocument/2006/relationships/hyperlink" Target="https://github.com/Pipelex/pipelex/blob/main/AGENTS.md" TargetMode="External"/><Relationship Id="rId1838" Type="http://schemas.openxmlformats.org/officeDocument/2006/relationships/hyperlink" Target="https://github.com/netdata/netdata/blob/master/CLAUDE.md" TargetMode="External"/><Relationship Id="rId181" Type="http://schemas.openxmlformats.org/officeDocument/2006/relationships/hyperlink" Target="https://github.com/seasonedcc/remix-forms/blob/main/AGENTS.md" TargetMode="External"/><Relationship Id="rId1905" Type="http://schemas.openxmlformats.org/officeDocument/2006/relationships/hyperlink" Target="https://github.com/Freika/dawarich/blob/master/CLAUDE.md" TargetMode="External"/><Relationship Id="rId279" Type="http://schemas.openxmlformats.org/officeDocument/2006/relationships/hyperlink" Target="https://github.com/Azure/AgentBaker/blob/main/.github/copilot-instructions.md" TargetMode="External"/><Relationship Id="rId486" Type="http://schemas.openxmlformats.org/officeDocument/2006/relationships/hyperlink" Target="https://github.com/saleor/saleor/blob/main/CLAUDE.md" TargetMode="External"/><Relationship Id="rId693" Type="http://schemas.openxmlformats.org/officeDocument/2006/relationships/hyperlink" Target="https://github.com/Azure/azure-functions-host/blob/master/.github/copilot-instructions.md" TargetMode="External"/><Relationship Id="rId2167" Type="http://schemas.openxmlformats.org/officeDocument/2006/relationships/hyperlink" Target="https://github.com/getsentry/sentry-javascript/blob/master/CLAUDE.md" TargetMode="External"/><Relationship Id="rId2374" Type="http://schemas.openxmlformats.org/officeDocument/2006/relationships/hyperlink" Target="https://github.com/zenml-io/zenml/blob/main/AGENTS.md" TargetMode="External"/><Relationship Id="rId139" Type="http://schemas.openxmlformats.org/officeDocument/2006/relationships/hyperlink" Target="https://github.com/zenml-io/zenml/blob/main/CLAUDE.md" TargetMode="External"/><Relationship Id="rId346" Type="http://schemas.openxmlformats.org/officeDocument/2006/relationships/hyperlink" Target="https://github.com/BerriAI/litellm/blob/main/CLAUDE.md" TargetMode="External"/><Relationship Id="rId553" Type="http://schemas.openxmlformats.org/officeDocument/2006/relationships/hyperlink" Target="https://github.com/jaredsburrows/android-gif-search/blob/master/AGENTS.md" TargetMode="External"/><Relationship Id="rId760" Type="http://schemas.openxmlformats.org/officeDocument/2006/relationships/hyperlink" Target="https://github.com/SparkDevNetwork/Rock/blob/master/.github/copilot-instructions.md" TargetMode="External"/><Relationship Id="rId998" Type="http://schemas.openxmlformats.org/officeDocument/2006/relationships/hyperlink" Target="https://github.com/dotnet/dotnet-api-docs/blob/main/.github/copilot-instructions.md" TargetMode="External"/><Relationship Id="rId1183" Type="http://schemas.openxmlformats.org/officeDocument/2006/relationships/hyperlink" Target="https://github.com/elamperti/OpenWebScrobbler/blob/main/AGENTS.md" TargetMode="External"/><Relationship Id="rId1390" Type="http://schemas.openxmlformats.org/officeDocument/2006/relationships/hyperlink" Target="https://github.com/dailydotdev/apps/blob/main/CLAUDE.md" TargetMode="External"/><Relationship Id="rId2027" Type="http://schemas.openxmlformats.org/officeDocument/2006/relationships/hyperlink" Target="https://github.com/shopware/shopware/blob/master/AGENTS.md" TargetMode="External"/><Relationship Id="rId2234" Type="http://schemas.openxmlformats.org/officeDocument/2006/relationships/hyperlink" Target="https://github.com/wolfi-dev/os/blob/main/CLAUDE.md" TargetMode="External"/><Relationship Id="rId2441" Type="http://schemas.openxmlformats.org/officeDocument/2006/relationships/hyperlink" Target="https://github.com/abh/ntppool/blob/main/CLAUDE.md" TargetMode="External"/><Relationship Id="rId206" Type="http://schemas.openxmlformats.org/officeDocument/2006/relationships/hyperlink" Target="https://github.com/zenml-io/zenml/blob/main/AGENTS.md" TargetMode="External"/><Relationship Id="rId413" Type="http://schemas.openxmlformats.org/officeDocument/2006/relationships/hyperlink" Target="https://github.com/lightdash/lightdash/blob/main/CLAUDE.md" TargetMode="External"/><Relationship Id="rId858" Type="http://schemas.openxmlformats.org/officeDocument/2006/relationships/hyperlink" Target="https://github.com/microsoft/mcp-for-beginners/blob/main/AGENTS.md" TargetMode="External"/><Relationship Id="rId1043" Type="http://schemas.openxmlformats.org/officeDocument/2006/relationships/hyperlink" Target="https://github.com/geneontology/go-ontology/blob/master/.github/copilot-instructions.md" TargetMode="External"/><Relationship Id="rId1488" Type="http://schemas.openxmlformats.org/officeDocument/2006/relationships/hyperlink" Target="https://github.com/pathintegral-institute/mcpm.sh/blob/main/CLAUDE.md" TargetMode="External"/><Relationship Id="rId1695" Type="http://schemas.openxmlformats.org/officeDocument/2006/relationships/hyperlink" Target="https://github.com/dotnet/runtime/blob/main/.github/copilot-instructions.md" TargetMode="External"/><Relationship Id="rId2539" Type="http://schemas.openxmlformats.org/officeDocument/2006/relationships/hyperlink" Target="https://github.com/dailydotdev/apps/blob/main/CLAUDE.md" TargetMode="External"/><Relationship Id="rId620" Type="http://schemas.openxmlformats.org/officeDocument/2006/relationships/hyperlink" Target="https://github.com/Pipelex/pipelex/blob/main/AGENTS.md" TargetMode="External"/><Relationship Id="rId718" Type="http://schemas.openxmlformats.org/officeDocument/2006/relationships/hyperlink" Target="https://github.com/esphome/esphome/blob/main/.github/copilot-instructions.md" TargetMode="External"/><Relationship Id="rId925" Type="http://schemas.openxmlformats.org/officeDocument/2006/relationships/hyperlink" Target="https://github.com/module-federation/core/blob/main/CLAUDE.md" TargetMode="External"/><Relationship Id="rId1250" Type="http://schemas.openxmlformats.org/officeDocument/2006/relationships/hyperlink" Target="https://github.com/microsoft/TypeScript/blob/main/.github/copilot-instructions.md" TargetMode="External"/><Relationship Id="rId1348" Type="http://schemas.openxmlformats.org/officeDocument/2006/relationships/hyperlink" Target="https://github.com/CapSoftware/Cap/blob/main/CLAUDE.md" TargetMode="External"/><Relationship Id="rId1555" Type="http://schemas.openxmlformats.org/officeDocument/2006/relationships/hyperlink" Target="https://github.com/cablehead/xs/blob/main/AGENTS.md" TargetMode="External"/><Relationship Id="rId1762" Type="http://schemas.openxmlformats.org/officeDocument/2006/relationships/hyperlink" Target="https://github.com/zwave-js/zwave-js-ui/blob/master/.github/copilot-instructions.md" TargetMode="External"/><Relationship Id="rId2301" Type="http://schemas.openxmlformats.org/officeDocument/2006/relationships/hyperlink" Target="https://github.com/zenml-io/zenml/blob/main/AGENTS.md" TargetMode="External"/><Relationship Id="rId1110" Type="http://schemas.openxmlformats.org/officeDocument/2006/relationships/hyperlink" Target="https://github.com/Freika/dawarich/blob/master/CLAUDE.md" TargetMode="External"/><Relationship Id="rId1208" Type="http://schemas.openxmlformats.org/officeDocument/2006/relationships/hyperlink" Target="https://github.com/python-cachier/cachier/blob/master/AGENTS.md" TargetMode="External"/><Relationship Id="rId1415" Type="http://schemas.openxmlformats.org/officeDocument/2006/relationships/hyperlink" Target="https://github.com/geneontology/go-ontology/blob/master/CLAUDE.md" TargetMode="External"/><Relationship Id="rId54" Type="http://schemas.openxmlformats.org/officeDocument/2006/relationships/hyperlink" Target="https://github.com/compiler-explorer/compiler-explorer/blob/main/CLAUDE.md" TargetMode="External"/><Relationship Id="rId1622" Type="http://schemas.openxmlformats.org/officeDocument/2006/relationships/hyperlink" Target="https://github.com/rainbow-me/rainbowkit/blob/main/AGENTS.md" TargetMode="External"/><Relationship Id="rId1927" Type="http://schemas.openxmlformats.org/officeDocument/2006/relationships/hyperlink" Target="https://github.com/lightdash/lightdash/blob/main/CLAUDE.md" TargetMode="External"/><Relationship Id="rId2091" Type="http://schemas.openxmlformats.org/officeDocument/2006/relationships/hyperlink" Target="https://github.com/RSSNext/Folo/blob/main/AGENTS.md" TargetMode="External"/><Relationship Id="rId2189" Type="http://schemas.openxmlformats.org/officeDocument/2006/relationships/hyperlink" Target="https://github.com/lostleaf/binance_datatool/blob/main/CLAUDE.md" TargetMode="External"/><Relationship Id="rId270" Type="http://schemas.openxmlformats.org/officeDocument/2006/relationships/hyperlink" Target="https://github.com/zwave-js/zwave-js-ui/blob/master/.github/copilot-instructions.md" TargetMode="External"/><Relationship Id="rId2396" Type="http://schemas.openxmlformats.org/officeDocument/2006/relationships/hyperlink" Target="https://github.com/theopenco/llmgateway/blob/main/AGENTS.md" TargetMode="External"/><Relationship Id="rId130" Type="http://schemas.openxmlformats.org/officeDocument/2006/relationships/hyperlink" Target="https://github.com/zed-industries/zed/blob/main/CLAUDE.md" TargetMode="External"/><Relationship Id="rId368" Type="http://schemas.openxmlformats.org/officeDocument/2006/relationships/hyperlink" Target="https://github.com/coder/coder/blob/main/CLAUDE.md" TargetMode="External"/><Relationship Id="rId575" Type="http://schemas.openxmlformats.org/officeDocument/2006/relationships/hyperlink" Target="https://github.com/langfuse/langfuse/blob/main/AGENTS.md" TargetMode="External"/><Relationship Id="rId782" Type="http://schemas.openxmlformats.org/officeDocument/2006/relationships/hyperlink" Target="https://github.com/vczh-libraries/GacUI/blob/master/.github/copilot-instructions.md" TargetMode="External"/><Relationship Id="rId2049" Type="http://schemas.openxmlformats.org/officeDocument/2006/relationships/hyperlink" Target="https://github.com/esphome/esphome/blob/main/.github/copilot-instructions.md" TargetMode="External"/><Relationship Id="rId2256" Type="http://schemas.openxmlformats.org/officeDocument/2006/relationships/hyperlink" Target="https://github.com/DataDog/datadog-agent/blob/main/AGENTS.md" TargetMode="External"/><Relationship Id="rId2463" Type="http://schemas.openxmlformats.org/officeDocument/2006/relationships/hyperlink" Target="https://github.com/langchain-ai/langchain/blob/master/CLAUDE.md" TargetMode="External"/><Relationship Id="rId228" Type="http://schemas.openxmlformats.org/officeDocument/2006/relationships/hyperlink" Target="https://github.com/esphome/esphome/blob/main/.github/copilot-instructions.md" TargetMode="External"/><Relationship Id="rId435" Type="http://schemas.openxmlformats.org/officeDocument/2006/relationships/hyperlink" Target="https://github.com/OneKeyHQ/app-monorepo/blob/master/CLAUDE.md" TargetMode="External"/><Relationship Id="rId642" Type="http://schemas.openxmlformats.org/officeDocument/2006/relationships/hyperlink" Target="https://github.com/pytorch/pytorch/blob/main/AGENTS.md" TargetMode="External"/><Relationship Id="rId1065" Type="http://schemas.openxmlformats.org/officeDocument/2006/relationships/hyperlink" Target="https://github.com/PrairieLearn/PrairieLearn/blob/master/AGENTS.md" TargetMode="External"/><Relationship Id="rId1272" Type="http://schemas.openxmlformats.org/officeDocument/2006/relationships/hyperlink" Target="https://github.com/zwave-js/zwave-js-ui/blob/master/.github/copilot-instructions.md" TargetMode="External"/><Relationship Id="rId2116" Type="http://schemas.openxmlformats.org/officeDocument/2006/relationships/hyperlink" Target="https://github.com/anyproto/anytype-swift/blob/main/CLAUDE.md" TargetMode="External"/><Relationship Id="rId2323" Type="http://schemas.openxmlformats.org/officeDocument/2006/relationships/hyperlink" Target="https://github.com/microsoft/ApplicationInsights-JS/blob/main/.github/copilot-instructions.md" TargetMode="External"/><Relationship Id="rId2530" Type="http://schemas.openxmlformats.org/officeDocument/2006/relationships/hyperlink" Target="https://github.com/geneontology/go-ontology/blob/master/.github/copilot-instructions.md" TargetMode="External"/><Relationship Id="rId502" Type="http://schemas.openxmlformats.org/officeDocument/2006/relationships/hyperlink" Target="https://github.com/twentyhq/twenty/blob/main/CLAUDE.md" TargetMode="External"/><Relationship Id="rId947" Type="http://schemas.openxmlformats.org/officeDocument/2006/relationships/hyperlink" Target="https://github.com/safety-research/safety-tooling/blob/main/CLAUDE.md" TargetMode="External"/><Relationship Id="rId1132" Type="http://schemas.openxmlformats.org/officeDocument/2006/relationships/hyperlink" Target="https://github.com/open-metadata/OpenMetadata/blob/main/CLAUDE.md" TargetMode="External"/><Relationship Id="rId1577" Type="http://schemas.openxmlformats.org/officeDocument/2006/relationships/hyperlink" Target="https://github.com/langfuse/langfuse/blob/main/AGENTS.md" TargetMode="External"/><Relationship Id="rId1784" Type="http://schemas.openxmlformats.org/officeDocument/2006/relationships/hyperlink" Target="https://github.com/github/gh-gei/blob/main/.github/copilot-instructions.md" TargetMode="External"/><Relationship Id="rId1991" Type="http://schemas.openxmlformats.org/officeDocument/2006/relationships/hyperlink" Target="https://github.com/langchain-ai/langchain/blob/master/AGENTS.md" TargetMode="External"/><Relationship Id="rId76" Type="http://schemas.openxmlformats.org/officeDocument/2006/relationships/hyperlink" Target="https://github.com/JuliaBesties/BestieTemplate.jl/blob/main/CLAUDE.md" TargetMode="External"/><Relationship Id="rId807" Type="http://schemas.openxmlformats.org/officeDocument/2006/relationships/hyperlink" Target="https://github.com/public-ui/kolibri/blob/master/AGENTS.md" TargetMode="External"/><Relationship Id="rId1437" Type="http://schemas.openxmlformats.org/officeDocument/2006/relationships/hyperlink" Target="https://github.com/ivo-toby/mcp-openapi-server/blob/main/CLAUDE.md" TargetMode="External"/><Relationship Id="rId1644" Type="http://schemas.openxmlformats.org/officeDocument/2006/relationships/hyperlink" Target="https://github.com/alandtse/alexa_media_player/blob/master/.github/copilot-instructions.md" TargetMode="External"/><Relationship Id="rId1851" Type="http://schemas.openxmlformats.org/officeDocument/2006/relationships/hyperlink" Target="https://github.com/octgn/OCTGN/blob/master/.github/copilot-instructions.md" TargetMode="External"/><Relationship Id="rId1504" Type="http://schemas.openxmlformats.org/officeDocument/2006/relationships/hyperlink" Target="https://github.com/RchGrav/claudebox/blob/main/CLAUDE.md" TargetMode="External"/><Relationship Id="rId1711" Type="http://schemas.openxmlformats.org/officeDocument/2006/relationships/hyperlink" Target="https://github.com/geneontology/go-ontology/blob/master/.github/copilot-instructions.md" TargetMode="External"/><Relationship Id="rId1949" Type="http://schemas.openxmlformats.org/officeDocument/2006/relationships/hyperlink" Target="https://github.com/RchGrav/claudebox/blob/main/CLAUDE.md" TargetMode="External"/><Relationship Id="rId292" Type="http://schemas.openxmlformats.org/officeDocument/2006/relationships/hyperlink" Target="https://github.com/zed-industries/zed/blob/main/CLAUDE.md" TargetMode="External"/><Relationship Id="rId1809" Type="http://schemas.openxmlformats.org/officeDocument/2006/relationships/hyperlink" Target="https://github.com/BerriAI/litellm/blob/main/CLAUDE.md" TargetMode="External"/><Relationship Id="rId597" Type="http://schemas.openxmlformats.org/officeDocument/2006/relationships/hyperlink" Target="https://github.com/luccahuguet/yazelix/blob/main/AGENTS.md" TargetMode="External"/><Relationship Id="rId2180" Type="http://schemas.openxmlformats.org/officeDocument/2006/relationships/hyperlink" Target="https://github.com/kubetail-org/kubetail/blob/main/CLAUDE.md" TargetMode="External"/><Relationship Id="rId2278" Type="http://schemas.openxmlformats.org/officeDocument/2006/relationships/hyperlink" Target="https://github.com/marin-community/marin/blob/main/AGENTS.md" TargetMode="External"/><Relationship Id="rId2485" Type="http://schemas.openxmlformats.org/officeDocument/2006/relationships/hyperlink" Target="https://github.com/Agoric/agoric-sdk/blob/master/.github/copilot-instructions.md" TargetMode="External"/><Relationship Id="rId152" Type="http://schemas.openxmlformats.org/officeDocument/2006/relationships/hyperlink" Target="https://github.com/epicweb-dev/epicshop/blob/main/AGENTS.md" TargetMode="External"/><Relationship Id="rId457" Type="http://schemas.openxmlformats.org/officeDocument/2006/relationships/hyperlink" Target="https://github.com/Pipelex/pipelex/blob/main/CLAUDE.md" TargetMode="External"/><Relationship Id="rId1087" Type="http://schemas.openxmlformats.org/officeDocument/2006/relationships/hyperlink" Target="https://github.com/browser-use/browser-use/blob/main/CLAUDE.md" TargetMode="External"/><Relationship Id="rId1294" Type="http://schemas.openxmlformats.org/officeDocument/2006/relationships/hyperlink" Target="https://github.com/commonwarexyz/monorepo/blob/main/AGENTS.md" TargetMode="External"/><Relationship Id="rId2040" Type="http://schemas.openxmlformats.org/officeDocument/2006/relationships/hyperlink" Target="https://github.com/ydb-platform/ydb/blob/main/AGENTS.md" TargetMode="External"/><Relationship Id="rId2138" Type="http://schemas.openxmlformats.org/officeDocument/2006/relationships/hyperlink" Target="https://github.com/Comfy-Org/comfy-claude-prompt-library/blob/master/CLAUDE.md" TargetMode="External"/><Relationship Id="rId664" Type="http://schemas.openxmlformats.org/officeDocument/2006/relationships/hyperlink" Target="https://github.com/theopenco/llmgateway/blob/main/AGENTS.md" TargetMode="External"/><Relationship Id="rId871" Type="http://schemas.openxmlformats.org/officeDocument/2006/relationships/hyperlink" Target="https://github.com/abh/ntppool/blob/main/CLAUDE.md" TargetMode="External"/><Relationship Id="rId969" Type="http://schemas.openxmlformats.org/officeDocument/2006/relationships/hyperlink" Target="https://github.com/PrairieLearn/PrairieLearn/blob/master/AGENTS.md" TargetMode="External"/><Relationship Id="rId1599" Type="http://schemas.openxmlformats.org/officeDocument/2006/relationships/hyperlink" Target="https://github.com/Pipelex/pipelex/blob/main/AGENTS.md" TargetMode="External"/><Relationship Id="rId2345" Type="http://schemas.openxmlformats.org/officeDocument/2006/relationships/hyperlink" Target="https://github.com/syntaxfm/website/blob/main/.github/copilot-instructions.md" TargetMode="External"/><Relationship Id="rId317" Type="http://schemas.openxmlformats.org/officeDocument/2006/relationships/hyperlink" Target="https://github.com/RchGrav/claudebox/blob/main/CLAUDE.md" TargetMode="External"/><Relationship Id="rId524" Type="http://schemas.openxmlformats.org/officeDocument/2006/relationships/hyperlink" Target="https://github.com/CapSoftware/Cap/blob/main/AGENTS.md" TargetMode="External"/><Relationship Id="rId731" Type="http://schemas.openxmlformats.org/officeDocument/2006/relationships/hyperlink" Target="https://github.com/microsoft/simplechat/blob/main/.github/copilot-instructions.md" TargetMode="External"/><Relationship Id="rId1154" Type="http://schemas.openxmlformats.org/officeDocument/2006/relationships/hyperlink" Target="https://github.com/saleor/saleor/blob/main/CLAUDE.md" TargetMode="External"/><Relationship Id="rId1361" Type="http://schemas.openxmlformats.org/officeDocument/2006/relationships/hyperlink" Target="https://github.com/cloudposse/atmos/blob/main/CLAUDE.md" TargetMode="External"/><Relationship Id="rId1459" Type="http://schemas.openxmlformats.org/officeDocument/2006/relationships/hyperlink" Target="https://github.com/obophenotype/uberon/blob/master/CLAUDE.md" TargetMode="External"/><Relationship Id="rId2205" Type="http://schemas.openxmlformats.org/officeDocument/2006/relationships/hyperlink" Target="https://github.com/open-metadata/OpenMetadata/blob/main/CLAUDE.md" TargetMode="External"/><Relationship Id="rId2412" Type="http://schemas.openxmlformats.org/officeDocument/2006/relationships/hyperlink" Target="https://github.com/nrwl/nx/blob/master/CLAUDE.md" TargetMode="External"/><Relationship Id="rId98" Type="http://schemas.openxmlformats.org/officeDocument/2006/relationships/hyperlink" Target="https://github.com/RchGrav/claudebox/blob/main/CLAUDE.md" TargetMode="External"/><Relationship Id="rId829" Type="http://schemas.openxmlformats.org/officeDocument/2006/relationships/hyperlink" Target="https://github.com/Pipelex/pipelex/blob/main/CLAUDE.md" TargetMode="External"/><Relationship Id="rId1014" Type="http://schemas.openxmlformats.org/officeDocument/2006/relationships/hyperlink" Target="https://github.com/NuGet/NuGetGallery/blob/main/.github/copilot-instructions.md" TargetMode="External"/><Relationship Id="rId1221" Type="http://schemas.openxmlformats.org/officeDocument/2006/relationships/hyperlink" Target="https://github.com/wieslawsoltes/Xaml.Behaviors/blob/master/AGENTS.md" TargetMode="External"/><Relationship Id="rId1666" Type="http://schemas.openxmlformats.org/officeDocument/2006/relationships/hyperlink" Target="https://github.com/Azure/autorest.typescript/blob/main/.github/copilot-instructions.md" TargetMode="External"/><Relationship Id="rId1873" Type="http://schemas.openxmlformats.org/officeDocument/2006/relationships/hyperlink" Target="https://github.com/safety-research/safety-tooling/blob/main/CLAUDE.md" TargetMode="External"/><Relationship Id="rId1319" Type="http://schemas.openxmlformats.org/officeDocument/2006/relationships/hyperlink" Target="https://github.com/abh/ntppool/blob/main/CLAUDE.md" TargetMode="External"/><Relationship Id="rId1526" Type="http://schemas.openxmlformats.org/officeDocument/2006/relationships/hyperlink" Target="https://github.com/theopenco/llmgateway/blob/main/CLAUDE.md" TargetMode="External"/><Relationship Id="rId1733" Type="http://schemas.openxmlformats.org/officeDocument/2006/relationships/hyperlink" Target="https://github.com/microsoft/typespec/blob/main/.github/copilot-instructions.md" TargetMode="External"/><Relationship Id="rId1940" Type="http://schemas.openxmlformats.org/officeDocument/2006/relationships/hyperlink" Target="https://github.com/open-metadata/OpenMetadata/blob/main/CLAUDE.md" TargetMode="External"/><Relationship Id="rId25" Type="http://schemas.openxmlformats.org/officeDocument/2006/relationships/hyperlink" Target="https://github.com/julep-ai/julep/blob/main/AGENTS.md" TargetMode="External"/><Relationship Id="rId1800" Type="http://schemas.openxmlformats.org/officeDocument/2006/relationships/hyperlink" Target="https://github.com/OneKeyHQ/app-monorepo/blob/master/CLAUDE.md" TargetMode="External"/><Relationship Id="rId174" Type="http://schemas.openxmlformats.org/officeDocument/2006/relationships/hyperlink" Target="https://github.com/RSSNext/Folo/blob/main/AGENTS.md" TargetMode="External"/><Relationship Id="rId381" Type="http://schemas.openxmlformats.org/officeDocument/2006/relationships/hyperlink" Target="https://github.com/dailydotdev/apps/blob/main/CLAUDE.md" TargetMode="External"/><Relationship Id="rId2062" Type="http://schemas.openxmlformats.org/officeDocument/2006/relationships/hyperlink" Target="https://github.com/triggerdotdev/trigger.dev/blob/main/.github/copilot-instructions.md" TargetMode="External"/><Relationship Id="rId241" Type="http://schemas.openxmlformats.org/officeDocument/2006/relationships/hyperlink" Target="https://github.com/microsoft/ApplicationInsights-JS/blob/main/.github/copilot-instructions.md" TargetMode="External"/><Relationship Id="rId479" Type="http://schemas.openxmlformats.org/officeDocument/2006/relationships/hyperlink" Target="https://github.com/RchGrav/claudebox/blob/main/CLAUDE.md" TargetMode="External"/><Relationship Id="rId686" Type="http://schemas.openxmlformats.org/officeDocument/2006/relationships/hyperlink" Target="https://github.com/wieslawsoltes/Xaml.Behaviors/blob/master/AGENTS.md" TargetMode="External"/><Relationship Id="rId893" Type="http://schemas.openxmlformats.org/officeDocument/2006/relationships/hyperlink" Target="https://github.com/colinhacks/zod/blob/main/CLAUDE.md" TargetMode="External"/><Relationship Id="rId2367" Type="http://schemas.openxmlformats.org/officeDocument/2006/relationships/hyperlink" Target="https://github.com/twentyhq/twenty/blob/main/CLAUDE.md" TargetMode="External"/><Relationship Id="rId339" Type="http://schemas.openxmlformats.org/officeDocument/2006/relationships/hyperlink" Target="https://github.com/ajanraj/OpenChat/blob/main/CLAUDE.md" TargetMode="External"/><Relationship Id="rId546" Type="http://schemas.openxmlformats.org/officeDocument/2006/relationships/hyperlink" Target="https://github.com/gitkraken/vscode-gitlens/blob/main/AGENTS.md" TargetMode="External"/><Relationship Id="rId753" Type="http://schemas.openxmlformats.org/officeDocument/2006/relationships/hyperlink" Target="https://github.com/ShaunLawrie/PwshSpectreConsole/blob/main/.github/copilot-instructions.md" TargetMode="External"/><Relationship Id="rId1176" Type="http://schemas.openxmlformats.org/officeDocument/2006/relationships/hyperlink" Target="https://github.com/wolfi-dev/os/blob/main/CLAUDE.md" TargetMode="External"/><Relationship Id="rId1383" Type="http://schemas.openxmlformats.org/officeDocument/2006/relationships/hyperlink" Target="https://github.com/compiler-explorer/compiler-explorer/blob/main/CLAUDE.md" TargetMode="External"/><Relationship Id="rId2227" Type="http://schemas.openxmlformats.org/officeDocument/2006/relationships/hyperlink" Target="https://github.com/twentyhq/twenty/blob/main/CLAUDE.md" TargetMode="External"/><Relationship Id="rId2434" Type="http://schemas.openxmlformats.org/officeDocument/2006/relationships/hyperlink" Target="https://github.com/ajanraj/OpenChat/blob/main/CLAUDE.md" TargetMode="External"/><Relationship Id="rId101" Type="http://schemas.openxmlformats.org/officeDocument/2006/relationships/hyperlink" Target="https://github.com/saleor/saleor/blob/main/CLAUDE.md" TargetMode="External"/><Relationship Id="rId406" Type="http://schemas.openxmlformats.org/officeDocument/2006/relationships/hyperlink" Target="https://github.com/langchain-ai/langchain/blob/master/CLAUDE.md" TargetMode="External"/><Relationship Id="rId960" Type="http://schemas.openxmlformats.org/officeDocument/2006/relationships/hyperlink" Target="https://github.com/DataDog/datadog-agent/blob/main/AGENTS.md" TargetMode="External"/><Relationship Id="rId1036" Type="http://schemas.openxmlformats.org/officeDocument/2006/relationships/hyperlink" Target="https://github.com/home-assistant/frontend/blob/master/CLAUDE.md" TargetMode="External"/><Relationship Id="rId1243" Type="http://schemas.openxmlformats.org/officeDocument/2006/relationships/hyperlink" Target="https://github.com/microsoft/ApplicationInsights-JS/blob/main/.github/copilot-instructions.md" TargetMode="External"/><Relationship Id="rId1590" Type="http://schemas.openxmlformats.org/officeDocument/2006/relationships/hyperlink" Target="https://github.com/mixpanel/mixpanel-android/blob/master/AGENTS.md" TargetMode="External"/><Relationship Id="rId1688" Type="http://schemas.openxmlformats.org/officeDocument/2006/relationships/hyperlink" Target="https://github.com/collinbarrett/FilterLists/blob/main/.github/copilot-instructions.md" TargetMode="External"/><Relationship Id="rId1895" Type="http://schemas.openxmlformats.org/officeDocument/2006/relationships/hyperlink" Target="https://github.com/compiler-explorer/compiler-explorer/blob/main/CLAUDE.md" TargetMode="External"/><Relationship Id="rId613" Type="http://schemas.openxmlformats.org/officeDocument/2006/relationships/hyperlink" Target="https://github.com/Pipelex/pipelex/blob/main/AGENTS.md" TargetMode="External"/><Relationship Id="rId820" Type="http://schemas.openxmlformats.org/officeDocument/2006/relationships/hyperlink" Target="https://github.com/luccahuguet/yazelix/blob/main/AGENTS.md" TargetMode="External"/><Relationship Id="rId918" Type="http://schemas.openxmlformats.org/officeDocument/2006/relationships/hyperlink" Target="https://github.com/home-assistant/frontend/blob/master/CLAUDE.md" TargetMode="External"/><Relationship Id="rId1450" Type="http://schemas.openxmlformats.org/officeDocument/2006/relationships/hyperlink" Target="https://github.com/netdata/netdata/blob/master/CLAUDE.md" TargetMode="External"/><Relationship Id="rId1548" Type="http://schemas.openxmlformats.org/officeDocument/2006/relationships/hyperlink" Target="https://github.com/zenml-io/zenml/blob/main/CLAUDE.md" TargetMode="External"/><Relationship Id="rId1755" Type="http://schemas.openxmlformats.org/officeDocument/2006/relationships/hyperlink" Target="https://github.com/sybrew/the-seo-framework/blob/master/.github/copilot-instructions.md" TargetMode="External"/><Relationship Id="rId2501" Type="http://schemas.openxmlformats.org/officeDocument/2006/relationships/hyperlink" Target="https://github.com/zenml-io/zenml/blob/main/AGENTS.md" TargetMode="External"/><Relationship Id="rId1103" Type="http://schemas.openxmlformats.org/officeDocument/2006/relationships/hyperlink" Target="https://github.com/dailydotdev/apps/blob/main/CLAUDE.md" TargetMode="External"/><Relationship Id="rId1310" Type="http://schemas.openxmlformats.org/officeDocument/2006/relationships/hyperlink" Target="https://github.com/commonwarexyz/monorepo/blob/main/AGENTS.md" TargetMode="External"/><Relationship Id="rId1408" Type="http://schemas.openxmlformats.org/officeDocument/2006/relationships/hyperlink" Target="https://github.com/Freika/dawarich/blob/master/CLAUDE.md" TargetMode="External"/><Relationship Id="rId1962" Type="http://schemas.openxmlformats.org/officeDocument/2006/relationships/hyperlink" Target="https://github.com/zed-industries/zed/blob/main/CLAUDE.md" TargetMode="External"/><Relationship Id="rId47" Type="http://schemas.openxmlformats.org/officeDocument/2006/relationships/hyperlink" Target="https://github.com/CapSoftware/Cap/blob/main/CLAUDE.md" TargetMode="External"/><Relationship Id="rId1615" Type="http://schemas.openxmlformats.org/officeDocument/2006/relationships/hyperlink" Target="https://github.com/python-cachier/cachier/blob/master/AGENTS.md" TargetMode="External"/><Relationship Id="rId1822" Type="http://schemas.openxmlformats.org/officeDocument/2006/relationships/hyperlink" Target="https://github.com/Freika/dawarich/blob/master/CLAUDE.md" TargetMode="External"/><Relationship Id="rId196" Type="http://schemas.openxmlformats.org/officeDocument/2006/relationships/hyperlink" Target="https://github.com/wieslawsoltes/Xaml.Behaviors/blob/master/AGENTS.md" TargetMode="External"/><Relationship Id="rId2084" Type="http://schemas.openxmlformats.org/officeDocument/2006/relationships/hyperlink" Target="https://github.com/epicweb-dev/epicshop/blob/main/AGENTS.md" TargetMode="External"/><Relationship Id="rId2291" Type="http://schemas.openxmlformats.org/officeDocument/2006/relationships/hyperlink" Target="https://github.com/pulumi/docs/blob/master/AGENTS.md" TargetMode="External"/><Relationship Id="rId263" Type="http://schemas.openxmlformats.org/officeDocument/2006/relationships/hyperlink" Target="https://github.com/syntaxfm/website/blob/main/.github/copilot-instructions.md" TargetMode="External"/><Relationship Id="rId470" Type="http://schemas.openxmlformats.org/officeDocument/2006/relationships/hyperlink" Target="https://github.com/qltysh/qlty/blob/main/CLAUDE.md" TargetMode="External"/><Relationship Id="rId2151" Type="http://schemas.openxmlformats.org/officeDocument/2006/relationships/hyperlink" Target="https://github.com/dropseed/plain/blob/main/CLAUDE.md" TargetMode="External"/><Relationship Id="rId2389" Type="http://schemas.openxmlformats.org/officeDocument/2006/relationships/hyperlink" Target="https://github.com/theopenco/llmgateway/blob/main/CLAUDE.md" TargetMode="External"/><Relationship Id="rId123" Type="http://schemas.openxmlformats.org/officeDocument/2006/relationships/hyperlink" Target="https://github.com/wvlet/wvlet/blob/main/CLAUDE.md" TargetMode="External"/><Relationship Id="rId330" Type="http://schemas.openxmlformats.org/officeDocument/2006/relationships/hyperlink" Target="https://github.com/logancyang/obsidian-copilot/blob/master/AGENTS.md" TargetMode="External"/><Relationship Id="rId568" Type="http://schemas.openxmlformats.org/officeDocument/2006/relationships/hyperlink" Target="https://github.com/langchain-ai/langchain/blob/master/AGENTS.md" TargetMode="External"/><Relationship Id="rId775" Type="http://schemas.openxmlformats.org/officeDocument/2006/relationships/hyperlink" Target="https://github.com/sybrew/the-seo-framework/blob/master/.github/copilot-instructions.md" TargetMode="External"/><Relationship Id="rId982" Type="http://schemas.openxmlformats.org/officeDocument/2006/relationships/hyperlink" Target="https://github.com/seasonedcc/remix-forms/blob/main/AGENTS.md" TargetMode="External"/><Relationship Id="rId1198" Type="http://schemas.openxmlformats.org/officeDocument/2006/relationships/hyperlink" Target="https://github.com/marin-community/marin/blob/main/AGENTS.md" TargetMode="External"/><Relationship Id="rId2011" Type="http://schemas.openxmlformats.org/officeDocument/2006/relationships/hyperlink" Target="https://github.com/microsoft/mcp-for-beginners/blob/main/AGENTS.md" TargetMode="External"/><Relationship Id="rId2249" Type="http://schemas.openxmlformats.org/officeDocument/2006/relationships/hyperlink" Target="https://github.com/carverauto/serviceradar/blob/main/AGENTS.md" TargetMode="External"/><Relationship Id="rId2456" Type="http://schemas.openxmlformats.org/officeDocument/2006/relationships/hyperlink" Target="https://github.com/Freika/dawarich/blob/master/CLAUDE.md" TargetMode="External"/><Relationship Id="rId428" Type="http://schemas.openxmlformats.org/officeDocument/2006/relationships/hyperlink" Target="https://github.com/nrwl/nx/blob/master/CLAUDE.md" TargetMode="External"/><Relationship Id="rId635" Type="http://schemas.openxmlformats.org/officeDocument/2006/relationships/hyperlink" Target="https://github.com/pulumi/docs/blob/master/AGENTS.md" TargetMode="External"/><Relationship Id="rId842" Type="http://schemas.openxmlformats.org/officeDocument/2006/relationships/hyperlink" Target="https://github.com/lightdash/lightdash/blob/main/CLAUDE.md" TargetMode="External"/><Relationship Id="rId1058" Type="http://schemas.openxmlformats.org/officeDocument/2006/relationships/hyperlink" Target="https://github.com/hathach/tinyusb/blob/master/AGENTS.md" TargetMode="External"/><Relationship Id="rId1265" Type="http://schemas.openxmlformats.org/officeDocument/2006/relationships/hyperlink" Target="https://github.com/Skyscanner/backpack-ios/blob/main/.github/copilot-instructions.md" TargetMode="External"/><Relationship Id="rId1472" Type="http://schemas.openxmlformats.org/officeDocument/2006/relationships/hyperlink" Target="https://github.com/open-metadata/OpenMetadata/blob/main/CLAUDE.md" TargetMode="External"/><Relationship Id="rId2109" Type="http://schemas.openxmlformats.org/officeDocument/2006/relationships/hyperlink" Target="https://github.com/actnwit/RhodoniteTS/blob/main/CLAUDE.md" TargetMode="External"/><Relationship Id="rId2316" Type="http://schemas.openxmlformats.org/officeDocument/2006/relationships/hyperlink" Target="https://github.com/esphome/esphome/blob/main/.github/copilot-instructions.md" TargetMode="External"/><Relationship Id="rId2523" Type="http://schemas.openxmlformats.org/officeDocument/2006/relationships/hyperlink" Target="https://github.com/sybrew/the-seo-framework/blob/master/.github/copilot-instructions.md" TargetMode="External"/><Relationship Id="rId702" Type="http://schemas.openxmlformats.org/officeDocument/2006/relationships/hyperlink" Target="https://github.com/DestinyItemManager/DIM/blob/master/.github/copilot-instructions.md" TargetMode="External"/><Relationship Id="rId1125" Type="http://schemas.openxmlformats.org/officeDocument/2006/relationships/hyperlink" Target="https://github.com/netdata/netdata/blob/master/CLAUDE.md" TargetMode="External"/><Relationship Id="rId1332" Type="http://schemas.openxmlformats.org/officeDocument/2006/relationships/hyperlink" Target="https://github.com/anyproto/anytype-swift/blob/main/CLAUDE.md" TargetMode="External"/><Relationship Id="rId1777" Type="http://schemas.openxmlformats.org/officeDocument/2006/relationships/hyperlink" Target="https://github.com/luccahuguet/yazelix/blob/main/AGENTS.md" TargetMode="External"/><Relationship Id="rId1984" Type="http://schemas.openxmlformats.org/officeDocument/2006/relationships/hyperlink" Target="https://github.com/janbjorge/pgqueuer/blob/main/AGENTS.md" TargetMode="External"/><Relationship Id="rId69" Type="http://schemas.openxmlformats.org/officeDocument/2006/relationships/hyperlink" Target="https://github.com/home-assistant/frontend/blob/master/CLAUDE.md" TargetMode="External"/><Relationship Id="rId1637" Type="http://schemas.openxmlformats.org/officeDocument/2006/relationships/hyperlink" Target="https://github.com/webgptorg/promptbook/blob/main/AGENTS.md" TargetMode="External"/><Relationship Id="rId1844" Type="http://schemas.openxmlformats.org/officeDocument/2006/relationships/hyperlink" Target="https://github.com/Agoric/agoric-sdk/blob/master/AGENTS.md" TargetMode="External"/><Relationship Id="rId1704" Type="http://schemas.openxmlformats.org/officeDocument/2006/relationships/hyperlink" Target="https://github.com/geneontology/go-ontology/blob/master/.github/copilot-instructions.md" TargetMode="External"/><Relationship Id="rId285" Type="http://schemas.openxmlformats.org/officeDocument/2006/relationships/hyperlink" Target="https://github.com/zenml-io/zenml/blob/main/AGENTS.md" TargetMode="External"/><Relationship Id="rId1911" Type="http://schemas.openxmlformats.org/officeDocument/2006/relationships/hyperlink" Target="https://github.com/habibrehmansg/infopanel/blob/main/CLAUDE.md" TargetMode="External"/><Relationship Id="rId492" Type="http://schemas.openxmlformats.org/officeDocument/2006/relationships/hyperlink" Target="https://github.com/spylang/spy/blob/main/CLAUDE.md" TargetMode="External"/><Relationship Id="rId797" Type="http://schemas.openxmlformats.org/officeDocument/2006/relationships/hyperlink" Target="https://github.com/dailydotdev/apps/blob/main/CLAUDE.md" TargetMode="External"/><Relationship Id="rId2173" Type="http://schemas.openxmlformats.org/officeDocument/2006/relationships/hyperlink" Target="https://github.com/home-assistant/frontend/blob/master/CLAUDE.md" TargetMode="External"/><Relationship Id="rId2380" Type="http://schemas.openxmlformats.org/officeDocument/2006/relationships/hyperlink" Target="https://github.com/CapSoftware/Cap/blob/main/CLAUDE.md" TargetMode="External"/><Relationship Id="rId2478" Type="http://schemas.openxmlformats.org/officeDocument/2006/relationships/hyperlink" Target="https://github.com/langfuse/langfuse/blob/main/AGENTS.md" TargetMode="External"/><Relationship Id="rId145" Type="http://schemas.openxmlformats.org/officeDocument/2006/relationships/hyperlink" Target="https://github.com/CapSoftware/Cap/blob/main/AGENTS.md" TargetMode="External"/><Relationship Id="rId352" Type="http://schemas.openxmlformats.org/officeDocument/2006/relationships/hyperlink" Target="https://github.com/CapSoftware/Cap/blob/main/CLAUDE.md" TargetMode="External"/><Relationship Id="rId1287" Type="http://schemas.openxmlformats.org/officeDocument/2006/relationships/hyperlink" Target="https://github.com/netdata/netdata/blob/master/CLAUDE.md" TargetMode="External"/><Relationship Id="rId2033" Type="http://schemas.openxmlformats.org/officeDocument/2006/relationships/hyperlink" Target="https://github.com/wieslawsoltes/Dock/blob/master/AGENTS.md" TargetMode="External"/><Relationship Id="rId2240" Type="http://schemas.openxmlformats.org/officeDocument/2006/relationships/hyperlink" Target="https://github.com/xlnfinance/xln/blob/main/CLAUDE.md" TargetMode="External"/><Relationship Id="rId212" Type="http://schemas.openxmlformats.org/officeDocument/2006/relationships/hyperlink" Target="https://github.com/Aiko-IT-Systems/DisCatSharp/blob/main/.github/copilot-instructions.md" TargetMode="External"/><Relationship Id="rId657" Type="http://schemas.openxmlformats.org/officeDocument/2006/relationships/hyperlink" Target="https://github.com/rustfs/rustfs/blob/main/AGENTS.md" TargetMode="External"/><Relationship Id="rId864" Type="http://schemas.openxmlformats.org/officeDocument/2006/relationships/hyperlink" Target="https://github.com/luccahuguet/yazelix/blob/main/AGENTS.md" TargetMode="External"/><Relationship Id="rId1494" Type="http://schemas.openxmlformats.org/officeDocument/2006/relationships/hyperlink" Target="https://github.com/Pipelex/pipelex/blob/main/CLAUDE.md" TargetMode="External"/><Relationship Id="rId1799" Type="http://schemas.openxmlformats.org/officeDocument/2006/relationships/hyperlink" Target="https://github.com/cloudposse/atmos/blob/main/CLAUDE.md" TargetMode="External"/><Relationship Id="rId2100" Type="http://schemas.openxmlformats.org/officeDocument/2006/relationships/hyperlink" Target="https://github.com/carverauto/serviceradar/blob/main/AGENTS.md" TargetMode="External"/><Relationship Id="rId2338" Type="http://schemas.openxmlformats.org/officeDocument/2006/relationships/hyperlink" Target="https://github.com/SparkDevNetwork/Rock/blob/master/.github/copilot-instructions.md" TargetMode="External"/><Relationship Id="rId517" Type="http://schemas.openxmlformats.org/officeDocument/2006/relationships/hyperlink" Target="https://github.com/BoldGrid/w3-total-cache/blob/master/AGENTS.md" TargetMode="External"/><Relationship Id="rId724" Type="http://schemas.openxmlformats.org/officeDocument/2006/relationships/hyperlink" Target="https://github.com/igraph/igraph/blob/main/.github/copilot-instructions.md" TargetMode="External"/><Relationship Id="rId931" Type="http://schemas.openxmlformats.org/officeDocument/2006/relationships/hyperlink" Target="https://github.com/open-metadata/OpenMetadata/blob/main/CLAUDE.md" TargetMode="External"/><Relationship Id="rId1147" Type="http://schemas.openxmlformats.org/officeDocument/2006/relationships/hyperlink" Target="https://github.com/proximafusion/vmecpp/blob/main/CLAUDE.md" TargetMode="External"/><Relationship Id="rId1354" Type="http://schemas.openxmlformats.org/officeDocument/2006/relationships/hyperlink" Target="https://github.com/cloudposse/atmos/blob/main/CLAUDE.md" TargetMode="External"/><Relationship Id="rId1561" Type="http://schemas.openxmlformats.org/officeDocument/2006/relationships/hyperlink" Target="https://github.com/carverauto/serviceradar/blob/main/AGENTS.md" TargetMode="External"/><Relationship Id="rId2405" Type="http://schemas.openxmlformats.org/officeDocument/2006/relationships/hyperlink" Target="https://github.com/geneontology/go-ontology/blob/master/.github/copilot-instructions.md" TargetMode="External"/><Relationship Id="rId60" Type="http://schemas.openxmlformats.org/officeDocument/2006/relationships/hyperlink" Target="https://github.com/FastLED/FastLED/blob/master/CLAUDE.md" TargetMode="External"/><Relationship Id="rId1007" Type="http://schemas.openxmlformats.org/officeDocument/2006/relationships/hyperlink" Target="https://github.com/geneontology/go-ontology/blob/master/.github/copilot-instructions.md" TargetMode="External"/><Relationship Id="rId1214" Type="http://schemas.openxmlformats.org/officeDocument/2006/relationships/hyperlink" Target="https://github.com/stack-auth/stack-auth/blob/main/AGENTS.md" TargetMode="External"/><Relationship Id="rId1421" Type="http://schemas.openxmlformats.org/officeDocument/2006/relationships/hyperlink" Target="https://github.com/gensx-inc/gensx/blob/main/CLAUDE.md" TargetMode="External"/><Relationship Id="rId1659" Type="http://schemas.openxmlformats.org/officeDocument/2006/relationships/hyperlink" Target="https://github.com/ast-grep/ast-grep/blob/main/.github/copilot-instructions.md" TargetMode="External"/><Relationship Id="rId1866" Type="http://schemas.openxmlformats.org/officeDocument/2006/relationships/hyperlink" Target="https://github.com/cloudposse/atmos/blob/main/CLAUDE.md" TargetMode="External"/><Relationship Id="rId1519" Type="http://schemas.openxmlformats.org/officeDocument/2006/relationships/hyperlink" Target="https://github.com/Southclaws/storyden/blob/main/CLAUDE.md" TargetMode="External"/><Relationship Id="rId1726" Type="http://schemas.openxmlformats.org/officeDocument/2006/relationships/hyperlink" Target="https://github.com/microsoft/FluidFramework/blob/main/.github/copilot-instructions.md" TargetMode="External"/><Relationship Id="rId1933" Type="http://schemas.openxmlformats.org/officeDocument/2006/relationships/hyperlink" Target="https://github.com/open-metadata/OpenMetadata/blob/main/CLAUDE.md" TargetMode="External"/><Relationship Id="rId18" Type="http://schemas.openxmlformats.org/officeDocument/2006/relationships/hyperlink" Target="https://github.com/wled/WLED/blob/main/.github/copilot-instructions.md" TargetMode="External"/><Relationship Id="rId2195" Type="http://schemas.openxmlformats.org/officeDocument/2006/relationships/hyperlink" Target="https://github.com/OneKeyHQ/app-monorepo/blob/master/CLAUDE.md" TargetMode="External"/><Relationship Id="rId167" Type="http://schemas.openxmlformats.org/officeDocument/2006/relationships/hyperlink" Target="https://github.com/PrairieLearn/PrairieLearn/blob/master/AGENTS.md" TargetMode="External"/><Relationship Id="rId374" Type="http://schemas.openxmlformats.org/officeDocument/2006/relationships/hyperlink" Target="https://github.com/colinhacks/zod/blob/main/CLAUDE.md" TargetMode="External"/><Relationship Id="rId581" Type="http://schemas.openxmlformats.org/officeDocument/2006/relationships/hyperlink" Target="https://github.com/luccahuguet/yazelix/blob/main/AGENTS.md" TargetMode="External"/><Relationship Id="rId2055" Type="http://schemas.openxmlformats.org/officeDocument/2006/relationships/hyperlink" Target="https://github.com/microsoft/PowerToys/blob/main/.github/copilot-instructions.md" TargetMode="External"/><Relationship Id="rId2262" Type="http://schemas.openxmlformats.org/officeDocument/2006/relationships/hyperlink" Target="https://github.com/janbjorge/pgqueuer/blob/main/AGENTS.md" TargetMode="External"/><Relationship Id="rId234" Type="http://schemas.openxmlformats.org/officeDocument/2006/relationships/hyperlink" Target="https://github.com/istio/istio/blob/master/.github/copilot-instructions.md" TargetMode="External"/><Relationship Id="rId679" Type="http://schemas.openxmlformats.org/officeDocument/2006/relationships/hyperlink" Target="https://github.com/webgptorg/promptbook/blob/main/AGENTS.md" TargetMode="External"/><Relationship Id="rId886" Type="http://schemas.openxmlformats.org/officeDocument/2006/relationships/hyperlink" Target="https://github.com/coder/coder/blob/main/CLAUDE.md" TargetMode="External"/><Relationship Id="rId2" Type="http://schemas.openxmlformats.org/officeDocument/2006/relationships/hyperlink" Target="https://github.com/module-federation/core/blob/main/CLAUDE.md" TargetMode="External"/><Relationship Id="rId441" Type="http://schemas.openxmlformats.org/officeDocument/2006/relationships/hyperlink" Target="https://github.com/open-metadata/OpenMetadata/blob/main/CLAUDE.md" TargetMode="External"/><Relationship Id="rId539" Type="http://schemas.openxmlformats.org/officeDocument/2006/relationships/hyperlink" Target="https://github.com/DataDog/datadog-agent/blob/main/AGENTS.md" TargetMode="External"/><Relationship Id="rId746" Type="http://schemas.openxmlformats.org/officeDocument/2006/relationships/hyperlink" Target="https://github.com/owncast/owncast/blob/master/.github/copilot-instructions.md" TargetMode="External"/><Relationship Id="rId1071" Type="http://schemas.openxmlformats.org/officeDocument/2006/relationships/hyperlink" Target="https://github.com/sybrew/the-seo-framework/blob/master/.github/copilot-instructions.md" TargetMode="External"/><Relationship Id="rId1169" Type="http://schemas.openxmlformats.org/officeDocument/2006/relationships/hyperlink" Target="https://github.com/tphakala/birdnet-go/blob/main/CLAUDE.md" TargetMode="External"/><Relationship Id="rId1376" Type="http://schemas.openxmlformats.org/officeDocument/2006/relationships/hyperlink" Target="https://github.com/colinhacks/zod/blob/main/CLAUDE.md" TargetMode="External"/><Relationship Id="rId1583" Type="http://schemas.openxmlformats.org/officeDocument/2006/relationships/hyperlink" Target="https://github.com/luccahuguet/yazelix/blob/main/AGENTS.md" TargetMode="External"/><Relationship Id="rId2122" Type="http://schemas.openxmlformats.org/officeDocument/2006/relationships/hyperlink" Target="https://github.com/BerriAI/litellm/blob/main/CLAUDE.md" TargetMode="External"/><Relationship Id="rId2427" Type="http://schemas.openxmlformats.org/officeDocument/2006/relationships/hyperlink" Target="https://github.com/dotnet/maui/blob/main/.github/copilot-instructions.md" TargetMode="External"/><Relationship Id="rId301" Type="http://schemas.openxmlformats.org/officeDocument/2006/relationships/hyperlink" Target="https://github.com/owid/owid-grapher/blob/master/CLAUDE.md" TargetMode="External"/><Relationship Id="rId953" Type="http://schemas.openxmlformats.org/officeDocument/2006/relationships/hyperlink" Target="https://github.com/zenml-io/zenml/blob/main/CLAUDE.md" TargetMode="External"/><Relationship Id="rId1029" Type="http://schemas.openxmlformats.org/officeDocument/2006/relationships/hyperlink" Target="https://github.com/Pipelex/pipelex/blob/main/CLAUDE.md" TargetMode="External"/><Relationship Id="rId1236" Type="http://schemas.openxmlformats.org/officeDocument/2006/relationships/hyperlink" Target="https://github.com/Epix-Incorporated/Adonis/blob/master/.github/copilot-instructions.md" TargetMode="External"/><Relationship Id="rId1790" Type="http://schemas.openxmlformats.org/officeDocument/2006/relationships/hyperlink" Target="https://github.com/coder/coder/blob/main/CLAUDE.md" TargetMode="External"/><Relationship Id="rId1888" Type="http://schemas.openxmlformats.org/officeDocument/2006/relationships/hyperlink" Target="https://github.com/colinhacks/zod/blob/main/CLAUDE.md" TargetMode="External"/><Relationship Id="rId82" Type="http://schemas.openxmlformats.org/officeDocument/2006/relationships/hyperlink" Target="https://github.com/module-federation/core/blob/main/CLAUDE.md" TargetMode="External"/><Relationship Id="rId606" Type="http://schemas.openxmlformats.org/officeDocument/2006/relationships/hyperlink" Target="https://github.com/microsoft/mcp-for-beginners/blob/main/AGENTS.md" TargetMode="External"/><Relationship Id="rId813" Type="http://schemas.openxmlformats.org/officeDocument/2006/relationships/hyperlink" Target="https://github.com/SparkDevNetwork/Rock/blob/master/.github/copilot-instructions.md" TargetMode="External"/><Relationship Id="rId1443" Type="http://schemas.openxmlformats.org/officeDocument/2006/relationships/hyperlink" Target="https://github.com/lightdash/lightdash/blob/main/CLAUDE.md" TargetMode="External"/><Relationship Id="rId1650" Type="http://schemas.openxmlformats.org/officeDocument/2006/relationships/hyperlink" Target="https://github.com/alandtse/alexa_media_player/blob/master/.github/copilot-instructions.md" TargetMode="External"/><Relationship Id="rId1748" Type="http://schemas.openxmlformats.org/officeDocument/2006/relationships/hyperlink" Target="https://github.com/sarchlab/akita/blob/main/.github/copilot-instructions.md" TargetMode="External"/><Relationship Id="rId1303" Type="http://schemas.openxmlformats.org/officeDocument/2006/relationships/hyperlink" Target="https://github.com/igraph/igraph/blob/main/.github/copilot-instructions.md" TargetMode="External"/><Relationship Id="rId1510" Type="http://schemas.openxmlformats.org/officeDocument/2006/relationships/hyperlink" Target="https://github.com/RchGrav/claudebox/blob/main/CLAUDE.md" TargetMode="External"/><Relationship Id="rId1955" Type="http://schemas.openxmlformats.org/officeDocument/2006/relationships/hyperlink" Target="https://github.com/tphakala/birdnet-go/blob/main/CLAUDE.md" TargetMode="External"/><Relationship Id="rId1608" Type="http://schemas.openxmlformats.org/officeDocument/2006/relationships/hyperlink" Target="https://github.com/proximafusion/vmecpp/blob/main/AGENTS.md" TargetMode="External"/><Relationship Id="rId1815" Type="http://schemas.openxmlformats.org/officeDocument/2006/relationships/hyperlink" Target="https://github.com/collinbarrett/FilterLists/blob/main/.github/copilot-instructions.md" TargetMode="External"/><Relationship Id="rId189" Type="http://schemas.openxmlformats.org/officeDocument/2006/relationships/hyperlink" Target="https://github.com/wieslawsoltes/Dock/blob/master/AGENTS.md" TargetMode="External"/><Relationship Id="rId396" Type="http://schemas.openxmlformats.org/officeDocument/2006/relationships/hyperlink" Target="https://github.com/grafbase/grafbase/blob/main/CLAUDE.md" TargetMode="External"/><Relationship Id="rId2077" Type="http://schemas.openxmlformats.org/officeDocument/2006/relationships/hyperlink" Target="https://github.com/open-metadata/OpenMetadata/blob/main/CLAUDE.md" TargetMode="External"/><Relationship Id="rId2284" Type="http://schemas.openxmlformats.org/officeDocument/2006/relationships/hyperlink" Target="https://github.com/modelcontextprotocol/inspector/blob/main/AGENTS.md" TargetMode="External"/><Relationship Id="rId2491" Type="http://schemas.openxmlformats.org/officeDocument/2006/relationships/hyperlink" Target="https://github.com/microsoft/ApplicationInsights-JS/blob/main/.github/copilot-instructions.md" TargetMode="External"/><Relationship Id="rId256" Type="http://schemas.openxmlformats.org/officeDocument/2006/relationships/hyperlink" Target="https://github.com/raycast/extensions/blob/main/.github/copilot-instructions.md" TargetMode="External"/><Relationship Id="rId463" Type="http://schemas.openxmlformats.org/officeDocument/2006/relationships/hyperlink" Target="https://github.com/princeton-pli/hal-harness/blob/main/CLAUDE.md" TargetMode="External"/><Relationship Id="rId670" Type="http://schemas.openxmlformats.org/officeDocument/2006/relationships/hyperlink" Target="https://github.com/useautumn/autumn/blob/main/AGENTS.md" TargetMode="External"/><Relationship Id="rId1093" Type="http://schemas.openxmlformats.org/officeDocument/2006/relationships/hyperlink" Target="https://github.com/cloudposse/atmos/blob/main/CLAUDE.md" TargetMode="External"/><Relationship Id="rId2144" Type="http://schemas.openxmlformats.org/officeDocument/2006/relationships/hyperlink" Target="https://github.com/dailydotdev/apps/blob/main/CLAUDE.md" TargetMode="External"/><Relationship Id="rId2351" Type="http://schemas.openxmlformats.org/officeDocument/2006/relationships/hyperlink" Target="https://github.com/zwave-js/zwave-js-ui/blob/master/.github/copilot-instructions.md" TargetMode="External"/><Relationship Id="rId116" Type="http://schemas.openxmlformats.org/officeDocument/2006/relationships/hyperlink" Target="https://github.com/wolfi-dev/os/blob/main/CLAUDE.md" TargetMode="External"/><Relationship Id="rId323" Type="http://schemas.openxmlformats.org/officeDocument/2006/relationships/hyperlink" Target="https://github.com/public-ui/kolibri/blob/master/AGENTS.md" TargetMode="External"/><Relationship Id="rId530" Type="http://schemas.openxmlformats.org/officeDocument/2006/relationships/hyperlink" Target="https://github.com/carverauto/serviceradar/blob/main/AGENTS.md" TargetMode="External"/><Relationship Id="rId768" Type="http://schemas.openxmlformats.org/officeDocument/2006/relationships/hyperlink" Target="https://github.com/sybrew/the-seo-framework/blob/master/.github/copilot-instructions.md" TargetMode="External"/><Relationship Id="rId975" Type="http://schemas.openxmlformats.org/officeDocument/2006/relationships/hyperlink" Target="https://github.com/PrairieLearn/PrairieLearn/blob/master/AGENTS.md" TargetMode="External"/><Relationship Id="rId1160" Type="http://schemas.openxmlformats.org/officeDocument/2006/relationships/hyperlink" Target="https://github.com/speaches-ai/speaches/blob/master/CLAUDE.md" TargetMode="External"/><Relationship Id="rId1398" Type="http://schemas.openxmlformats.org/officeDocument/2006/relationships/hyperlink" Target="https://github.com/dymensionxyz/dymension/blob/main/CLAUDE.md" TargetMode="External"/><Relationship Id="rId2004" Type="http://schemas.openxmlformats.org/officeDocument/2006/relationships/hyperlink" Target="https://github.com/marin-community/marin/blob/main/AGENTS.md" TargetMode="External"/><Relationship Id="rId2211" Type="http://schemas.openxmlformats.org/officeDocument/2006/relationships/hyperlink" Target="https://github.com/owid/etl/blob/master/CLAUDE.md" TargetMode="External"/><Relationship Id="rId2449" Type="http://schemas.openxmlformats.org/officeDocument/2006/relationships/hyperlink" Target="https://github.com/coder/coder/blob/main/CLAUDE.md" TargetMode="External"/><Relationship Id="rId628" Type="http://schemas.openxmlformats.org/officeDocument/2006/relationships/hyperlink" Target="https://github.com/public-ui/kolibri/blob/master/AGENTS.md" TargetMode="External"/><Relationship Id="rId835" Type="http://schemas.openxmlformats.org/officeDocument/2006/relationships/hyperlink" Target="https://github.com/DestinyItemManager/DIM/blob/master/.github/copilot-instructions.md" TargetMode="External"/><Relationship Id="rId1258" Type="http://schemas.openxmlformats.org/officeDocument/2006/relationships/hyperlink" Target="https://github.com/Open-LLM-VTuber/Open-LLM-VTuber/blob/main/.github/copilot-instructions.md" TargetMode="External"/><Relationship Id="rId1465" Type="http://schemas.openxmlformats.org/officeDocument/2006/relationships/hyperlink" Target="https://github.com/OneKeyHQ/app-monorepo/blob/master/CLAUDE.md" TargetMode="External"/><Relationship Id="rId1672" Type="http://schemas.openxmlformats.org/officeDocument/2006/relationships/hyperlink" Target="https://github.com/Azure/autorest.typescript/blob/main/.github/copilot-instructions.md" TargetMode="External"/><Relationship Id="rId2309" Type="http://schemas.openxmlformats.org/officeDocument/2006/relationships/hyperlink" Target="https://github.com/dotnet/docs-aspire/blob/main/.github/copilot-instructions.md" TargetMode="External"/><Relationship Id="rId2516" Type="http://schemas.openxmlformats.org/officeDocument/2006/relationships/hyperlink" Target="https://github.com/Skyvern-AI/skyvern/blob/master/CLAUDE.md" TargetMode="External"/><Relationship Id="rId1020" Type="http://schemas.openxmlformats.org/officeDocument/2006/relationships/hyperlink" Target="https://github.com/Skyscanner/backpack-ios/blob/main/.github/copilot-instructions.md" TargetMode="External"/><Relationship Id="rId1118" Type="http://schemas.openxmlformats.org/officeDocument/2006/relationships/hyperlink" Target="https://github.com/J-Tech-Japan/Sekiban/blob/main/CLAUDE.md" TargetMode="External"/><Relationship Id="rId1325" Type="http://schemas.openxmlformats.org/officeDocument/2006/relationships/hyperlink" Target="https://github.com/ajanraj/OpenChat/blob/main/CLAUDE.md" TargetMode="External"/><Relationship Id="rId1532" Type="http://schemas.openxmlformats.org/officeDocument/2006/relationships/hyperlink" Target="https://github.com/truenas/webui/blob/master/CLAUDE.md" TargetMode="External"/><Relationship Id="rId1977" Type="http://schemas.openxmlformats.org/officeDocument/2006/relationships/hyperlink" Target="https://github.com/EduardoPires/EquinoxProject/blob/master/AGENTS.md" TargetMode="External"/><Relationship Id="rId902" Type="http://schemas.openxmlformats.org/officeDocument/2006/relationships/hyperlink" Target="https://github.com/compiler-explorer/compiler-explorer/blob/main/CLAUDE.md" TargetMode="External"/><Relationship Id="rId1837" Type="http://schemas.openxmlformats.org/officeDocument/2006/relationships/hyperlink" Target="https://github.com/geneontology/go-ontology/blob/master/CLAUDE.md" TargetMode="External"/><Relationship Id="rId31" Type="http://schemas.openxmlformats.org/officeDocument/2006/relationships/hyperlink" Target="https://github.com/raycast/extensions/blob/main/.github/copilot-instructions.md" TargetMode="External"/><Relationship Id="rId2099" Type="http://schemas.openxmlformats.org/officeDocument/2006/relationships/hyperlink" Target="https://github.com/open-metadata/OpenMetadata/blob/main/CLAUDE.md" TargetMode="External"/><Relationship Id="rId180" Type="http://schemas.openxmlformats.org/officeDocument/2006/relationships/hyperlink" Target="https://github.com/seasonedcc/remix-forms/blob/main/AGENTS.md" TargetMode="External"/><Relationship Id="rId278" Type="http://schemas.openxmlformats.org/officeDocument/2006/relationships/hyperlink" Target="https://github.com/Open-LLM-VTuber/Open-LLM-VTuber/blob/main/.github/copilot-instructions.md" TargetMode="External"/><Relationship Id="rId1904" Type="http://schemas.openxmlformats.org/officeDocument/2006/relationships/hyperlink" Target="https://github.com/Freika/dawarich/blob/master/CLAUDE.md" TargetMode="External"/><Relationship Id="rId485" Type="http://schemas.openxmlformats.org/officeDocument/2006/relationships/hyperlink" Target="https://github.com/saleor/saleor/blob/main/CLAUDE.md" TargetMode="External"/><Relationship Id="rId692" Type="http://schemas.openxmlformats.org/officeDocument/2006/relationships/hyperlink" Target="https://github.com/Azure/autorest.typescript/blob/main/.github/copilot-instructions.md" TargetMode="External"/><Relationship Id="rId2166" Type="http://schemas.openxmlformats.org/officeDocument/2006/relationships/hyperlink" Target="https://github.com/gensx-inc/gensx/blob/main/CLAUDE.md" TargetMode="External"/><Relationship Id="rId2373" Type="http://schemas.openxmlformats.org/officeDocument/2006/relationships/hyperlink" Target="https://github.com/microsoft/react-native-windows/blob/main/.github/copilot-instructions.md" TargetMode="External"/><Relationship Id="rId138" Type="http://schemas.openxmlformats.org/officeDocument/2006/relationships/hyperlink" Target="https://github.com/zenml-io/zenml/blob/main/CLAUDE.md" TargetMode="External"/><Relationship Id="rId345" Type="http://schemas.openxmlformats.org/officeDocument/2006/relationships/hyperlink" Target="https://github.com/Azure/LogicAppsUX/blob/main/CLAUDE.md" TargetMode="External"/><Relationship Id="rId552" Type="http://schemas.openxmlformats.org/officeDocument/2006/relationships/hyperlink" Target="https://github.com/janbjorge/pgqueuer/blob/main/AGENTS.md" TargetMode="External"/><Relationship Id="rId997" Type="http://schemas.openxmlformats.org/officeDocument/2006/relationships/hyperlink" Target="https://github.com/dotnet/dotnet-api-docs/blob/main/.github/copilot-instructions.md" TargetMode="External"/><Relationship Id="rId1182" Type="http://schemas.openxmlformats.org/officeDocument/2006/relationships/hyperlink" Target="https://github.com/CapSoftware/Cap/blob/main/AGENTS.md" TargetMode="External"/><Relationship Id="rId2026" Type="http://schemas.openxmlformats.org/officeDocument/2006/relationships/hyperlink" Target="https://github.com/shopware/shopware/blob/master/AGENTS.md" TargetMode="External"/><Relationship Id="rId2233" Type="http://schemas.openxmlformats.org/officeDocument/2006/relationships/hyperlink" Target="https://github.com/wolfi-dev/os/blob/main/CLAUDE.md" TargetMode="External"/><Relationship Id="rId2440" Type="http://schemas.openxmlformats.org/officeDocument/2006/relationships/hyperlink" Target="https://github.com/abh/ntppool/blob/main/CLAUDE.md" TargetMode="External"/><Relationship Id="rId205" Type="http://schemas.openxmlformats.org/officeDocument/2006/relationships/hyperlink" Target="https://github.com/zenml-io/zenml/blob/main/AGENTS.md" TargetMode="External"/><Relationship Id="rId412" Type="http://schemas.openxmlformats.org/officeDocument/2006/relationships/hyperlink" Target="https://github.com/lgallard/terraform-aws-cognito-user-pool/blob/master/CLAUDE.md" TargetMode="External"/><Relationship Id="rId857" Type="http://schemas.openxmlformats.org/officeDocument/2006/relationships/hyperlink" Target="https://github.com/langfuse/langfuse/blob/main/AGENTS.md" TargetMode="External"/><Relationship Id="rId1042" Type="http://schemas.openxmlformats.org/officeDocument/2006/relationships/hyperlink" Target="https://github.com/xlnfinance/xln/blob/main/CLAUDE.md" TargetMode="External"/><Relationship Id="rId1487" Type="http://schemas.openxmlformats.org/officeDocument/2006/relationships/hyperlink" Target="http://mcpm.sh/" TargetMode="External"/><Relationship Id="rId1694" Type="http://schemas.openxmlformats.org/officeDocument/2006/relationships/hyperlink" Target="https://github.com/dotnet/maui/blob/main/.github/copilot-instructions.md" TargetMode="External"/><Relationship Id="rId2300" Type="http://schemas.openxmlformats.org/officeDocument/2006/relationships/hyperlink" Target="https://github.com/webgptorg/promptbook/blob/main/AGENTS.md" TargetMode="External"/><Relationship Id="rId2538" Type="http://schemas.openxmlformats.org/officeDocument/2006/relationships/hyperlink" Target="https://github.com/dailydotdev/apps/blob/main/CLAUDE.md" TargetMode="External"/><Relationship Id="rId717" Type="http://schemas.openxmlformats.org/officeDocument/2006/relationships/hyperlink" Target="https://github.com/dotnet/sdk/blob/main/.github/copilot-instructions.md" TargetMode="External"/><Relationship Id="rId924" Type="http://schemas.openxmlformats.org/officeDocument/2006/relationships/hyperlink" Target="https://github.com/liam-hq/liam/blob/main/CLAUDE.md" TargetMode="External"/><Relationship Id="rId1347" Type="http://schemas.openxmlformats.org/officeDocument/2006/relationships/hyperlink" Target="https://github.com/CapSoftware/Cap/blob/main/CLAUDE.md" TargetMode="External"/><Relationship Id="rId1554" Type="http://schemas.openxmlformats.org/officeDocument/2006/relationships/hyperlink" Target="https://github.com/biolink/biolink-model/blob/master/AGENTS.md" TargetMode="External"/><Relationship Id="rId1761" Type="http://schemas.openxmlformats.org/officeDocument/2006/relationships/hyperlink" Target="https://github.com/zwave-js/zwave-js/blob/master/.github/copilot-instructions.md" TargetMode="External"/><Relationship Id="rId1999" Type="http://schemas.openxmlformats.org/officeDocument/2006/relationships/hyperlink" Target="https://github.com/marin-community/marin/blob/main/AGENTS.md" TargetMode="External"/><Relationship Id="rId53" Type="http://schemas.openxmlformats.org/officeDocument/2006/relationships/hyperlink" Target="https://github.com/coder/coder/blob/main/CLAUDE.md" TargetMode="External"/><Relationship Id="rId1207" Type="http://schemas.openxmlformats.org/officeDocument/2006/relationships/hyperlink" Target="https://github.com/public-ui/kolibri/blob/master/AGENTS.md" TargetMode="External"/><Relationship Id="rId1414" Type="http://schemas.openxmlformats.org/officeDocument/2006/relationships/hyperlink" Target="https://github.com/geneontology/go-ontology/blob/master/CLAUDE.md" TargetMode="External"/><Relationship Id="rId1621" Type="http://schemas.openxmlformats.org/officeDocument/2006/relationships/hyperlink" Target="https://github.com/pytorch/pytorch/blob/main/AGENTS.md" TargetMode="External"/><Relationship Id="rId1859" Type="http://schemas.openxmlformats.org/officeDocument/2006/relationships/hyperlink" Target="https://github.com/J-Tech-Japan/Sekiban/blob/main/CLAUDE.md" TargetMode="External"/><Relationship Id="rId1719" Type="http://schemas.openxmlformats.org/officeDocument/2006/relationships/hyperlink" Target="https://github.com/irihitech/Ursa.Avalonia/blob/main/.github/copilot-instructions.md" TargetMode="External"/><Relationship Id="rId1926" Type="http://schemas.openxmlformats.org/officeDocument/2006/relationships/hyperlink" Target="https://github.com/lgallard/terraform-aws-backup/blob/master/CLAUDE.md" TargetMode="External"/><Relationship Id="rId2090" Type="http://schemas.openxmlformats.org/officeDocument/2006/relationships/hyperlink" Target="https://github.com/python-cachier/cachier/blob/master/AGENTS.md" TargetMode="External"/><Relationship Id="rId2188" Type="http://schemas.openxmlformats.org/officeDocument/2006/relationships/hyperlink" Target="https://github.com/lostleaf/binance_datatool/blob/main/CLAUDE.md" TargetMode="External"/><Relationship Id="rId2395" Type="http://schemas.openxmlformats.org/officeDocument/2006/relationships/hyperlink" Target="https://github.com/owid/etl/blob/master/AGENTS.md" TargetMode="External"/><Relationship Id="rId367" Type="http://schemas.openxmlformats.org/officeDocument/2006/relationships/hyperlink" Target="https://github.com/coder/coder/blob/main/CLAUDE.md" TargetMode="External"/><Relationship Id="rId574" Type="http://schemas.openxmlformats.org/officeDocument/2006/relationships/hyperlink" Target="https://github.com/langfuse/langfuse/blob/main/AGENTS.md" TargetMode="External"/><Relationship Id="rId2048" Type="http://schemas.openxmlformats.org/officeDocument/2006/relationships/hyperlink" Target="https://github.com/dotnet/docs-aspire/blob/main/.github/copilot-instructions.md" TargetMode="External"/><Relationship Id="rId2255" Type="http://schemas.openxmlformats.org/officeDocument/2006/relationships/hyperlink" Target="https://github.com/DataDog/datadog-agent/blob/main/AGENTS.md" TargetMode="External"/><Relationship Id="rId227" Type="http://schemas.openxmlformats.org/officeDocument/2006/relationships/hyperlink" Target="https://github.com/esphome/esphome/blob/main/.github/copilot-instructions.md" TargetMode="External"/><Relationship Id="rId781" Type="http://schemas.openxmlformats.org/officeDocument/2006/relationships/hyperlink" Target="https://github.com/vczh-libraries/GacUI/blob/master/.github/copilot-instructions.md" TargetMode="External"/><Relationship Id="rId879" Type="http://schemas.openxmlformats.org/officeDocument/2006/relationships/hyperlink" Target="https://github.com/browser-use/browser-use/blob/main/CLAUDE.md" TargetMode="External"/><Relationship Id="rId2462" Type="http://schemas.openxmlformats.org/officeDocument/2006/relationships/hyperlink" Target="https://github.com/jxnl/blog/blob/main/CLAUDE.md" TargetMode="External"/><Relationship Id="rId434" Type="http://schemas.openxmlformats.org/officeDocument/2006/relationships/hyperlink" Target="https://github.com/OneKeyHQ/app-monorepo/blob/master/CLAUDE.md" TargetMode="External"/><Relationship Id="rId641" Type="http://schemas.openxmlformats.org/officeDocument/2006/relationships/hyperlink" Target="https://github.com/pytorch/pytorch/blob/main/AGENTS.md" TargetMode="External"/><Relationship Id="rId739" Type="http://schemas.openxmlformats.org/officeDocument/2006/relationships/hyperlink" Target="https://github.com/NG-ZORRO/ng-zorro-antd/blob/master/.github/copilot-instructions.md" TargetMode="External"/><Relationship Id="rId1064" Type="http://schemas.openxmlformats.org/officeDocument/2006/relationships/hyperlink" Target="https://github.com/PrairieLearn/PrairieLearn/blob/master/AGENTS.md" TargetMode="External"/><Relationship Id="rId1271" Type="http://schemas.openxmlformats.org/officeDocument/2006/relationships/hyperlink" Target="https://github.com/zwave-js/zwave-js-ui/blob/master/.github/copilot-instructions.md" TargetMode="External"/><Relationship Id="rId1369" Type="http://schemas.openxmlformats.org/officeDocument/2006/relationships/hyperlink" Target="https://github.com/cloudposse/atmos/blob/main/CLAUDE.md" TargetMode="External"/><Relationship Id="rId1576" Type="http://schemas.openxmlformats.org/officeDocument/2006/relationships/hyperlink" Target="https://github.com/langfuse/langfuse/blob/main/AGENTS.md" TargetMode="External"/><Relationship Id="rId2115" Type="http://schemas.openxmlformats.org/officeDocument/2006/relationships/hyperlink" Target="https://github.com/angular-eslint/angular-eslint/blob/main/CLAUDE.md" TargetMode="External"/><Relationship Id="rId2322" Type="http://schemas.openxmlformats.org/officeDocument/2006/relationships/hyperlink" Target="https://github.com/kubefleet-dev/kubefleet/blob/main/.github/copilot-instructions.md" TargetMode="External"/><Relationship Id="rId501" Type="http://schemas.openxmlformats.org/officeDocument/2006/relationships/hyperlink" Target="https://github.com/truenas/webui/blob/master/CLAUDE.md" TargetMode="External"/><Relationship Id="rId946" Type="http://schemas.openxmlformats.org/officeDocument/2006/relationships/hyperlink" Target="https://github.com/safety-research/safety-tooling/blob/main/CLAUDE.md" TargetMode="External"/><Relationship Id="rId1131" Type="http://schemas.openxmlformats.org/officeDocument/2006/relationships/hyperlink" Target="https://github.com/open-metadata/OpenMetadata/blob/main/CLAUDE.md" TargetMode="External"/><Relationship Id="rId1229" Type="http://schemas.openxmlformats.org/officeDocument/2006/relationships/hyperlink" Target="https://github.com/dotnet/dotnet-api-docs/blob/main/.github/copilot-instructions.md" TargetMode="External"/><Relationship Id="rId1783" Type="http://schemas.openxmlformats.org/officeDocument/2006/relationships/hyperlink" Target="https://github.com/stack-auth/stack-auth/blob/main/AGENTS.md" TargetMode="External"/><Relationship Id="rId1990" Type="http://schemas.openxmlformats.org/officeDocument/2006/relationships/hyperlink" Target="https://github.com/langchain-ai/langchain/blob/master/AGENTS.md" TargetMode="External"/><Relationship Id="rId75" Type="http://schemas.openxmlformats.org/officeDocument/2006/relationships/hyperlink" Target="https://github.com/JuliaBesties/BestieTemplate.jl/blob/main/CLAUDE.md" TargetMode="External"/><Relationship Id="rId806" Type="http://schemas.openxmlformats.org/officeDocument/2006/relationships/hyperlink" Target="https://github.com/ajanraj/OpenChat/blob/main/CLAUDE.md" TargetMode="External"/><Relationship Id="rId1436" Type="http://schemas.openxmlformats.org/officeDocument/2006/relationships/hyperlink" Target="https://github.com/home-assistant/frontend/blob/master/CLAUDE.md" TargetMode="External"/><Relationship Id="rId1643" Type="http://schemas.openxmlformats.org/officeDocument/2006/relationships/hyperlink" Target="https://github.com/zenml-io/zenml/blob/main/AGENTS.md" TargetMode="External"/><Relationship Id="rId1850" Type="http://schemas.openxmlformats.org/officeDocument/2006/relationships/hyperlink" Target="https://github.com/geneontology/go-ontology/blob/master/.github/copilot-instructions.md" TargetMode="External"/><Relationship Id="rId1503" Type="http://schemas.openxmlformats.org/officeDocument/2006/relationships/hyperlink" Target="https://github.com/qltysh/qlty/blob/main/CLAUDE.md" TargetMode="External"/><Relationship Id="rId1710" Type="http://schemas.openxmlformats.org/officeDocument/2006/relationships/hyperlink" Target="https://github.com/geneontology/go-ontology/blob/master/.github/copilot-instructions.md" TargetMode="External"/><Relationship Id="rId1948" Type="http://schemas.openxmlformats.org/officeDocument/2006/relationships/hyperlink" Target="https://github.com/RchGrav/claudebox/blob/main/CLAUDE.md" TargetMode="External"/><Relationship Id="rId291" Type="http://schemas.openxmlformats.org/officeDocument/2006/relationships/hyperlink" Target="https://github.com/Azure/LogicAppsUX/blob/main/CLAUDE.md" TargetMode="External"/><Relationship Id="rId1808" Type="http://schemas.openxmlformats.org/officeDocument/2006/relationships/hyperlink" Target="https://github.com/BerriAI/litellm/blob/main/CLAUDE.md" TargetMode="External"/><Relationship Id="rId151" Type="http://schemas.openxmlformats.org/officeDocument/2006/relationships/hyperlink" Target="https://github.com/epicweb-dev/epicshop/blob/main/AGENTS.md" TargetMode="External"/><Relationship Id="rId389" Type="http://schemas.openxmlformats.org/officeDocument/2006/relationships/hyperlink" Target="https://github.com/dailydotdev/apps/blob/main/CLAUDE.md" TargetMode="External"/><Relationship Id="rId596" Type="http://schemas.openxmlformats.org/officeDocument/2006/relationships/hyperlink" Target="https://github.com/luccahuguet/yazelix/blob/main/AGENTS.md" TargetMode="External"/><Relationship Id="rId2277" Type="http://schemas.openxmlformats.org/officeDocument/2006/relationships/hyperlink" Target="https://github.com/luccahuguet/yazelix/blob/main/AGENTS.md" TargetMode="External"/><Relationship Id="rId2484" Type="http://schemas.openxmlformats.org/officeDocument/2006/relationships/hyperlink" Target="https://github.com/Agoric/agoric-sdk/blob/master/.github/copilot-instructions.md" TargetMode="External"/><Relationship Id="rId249" Type="http://schemas.openxmlformats.org/officeDocument/2006/relationships/hyperlink" Target="https://github.com/microsoft/vscode-jupyter/blob/main/.github/copilot-instructions.md" TargetMode="External"/><Relationship Id="rId456" Type="http://schemas.openxmlformats.org/officeDocument/2006/relationships/hyperlink" Target="https://github.com/Pipelex/pipelex/blob/main/CLAUDE.md" TargetMode="External"/><Relationship Id="rId663" Type="http://schemas.openxmlformats.org/officeDocument/2006/relationships/hyperlink" Target="https://github.com/swarmauri/swarmauri-sdk/blob/main/AGENTS.md" TargetMode="External"/><Relationship Id="rId870" Type="http://schemas.openxmlformats.org/officeDocument/2006/relationships/hyperlink" Target="https://github.com/alchemiststudiosDOTai/tunacode/blob/master/AGENTS.md" TargetMode="External"/><Relationship Id="rId1086" Type="http://schemas.openxmlformats.org/officeDocument/2006/relationships/hyperlink" Target="https://github.com/browser-use/browser-use/blob/main/CLAUDE.md" TargetMode="External"/><Relationship Id="rId1293" Type="http://schemas.openxmlformats.org/officeDocument/2006/relationships/hyperlink" Target="https://github.com/Azure-Samples/serverless-chat-langchainjs/blob/main/AGENTS.md" TargetMode="External"/><Relationship Id="rId2137" Type="http://schemas.openxmlformats.org/officeDocument/2006/relationships/hyperlink" Target="https://github.com/Comfy-Org/comfy-claude-prompt-library/blob/master/CLAUDE.md" TargetMode="External"/><Relationship Id="rId2344" Type="http://schemas.openxmlformats.org/officeDocument/2006/relationships/hyperlink" Target="https://github.com/sybrew/the-seo-framework/blob/master/.github/copilot-instructions.md" TargetMode="External"/><Relationship Id="rId109" Type="http://schemas.openxmlformats.org/officeDocument/2006/relationships/hyperlink" Target="https://github.com/thirdweb-dev/js/blob/main/CLAUDE.md" TargetMode="External"/><Relationship Id="rId316" Type="http://schemas.openxmlformats.org/officeDocument/2006/relationships/hyperlink" Target="https://github.com/evmts/tevm-monorepo/blob/main/CLAUDE.md" TargetMode="External"/><Relationship Id="rId523" Type="http://schemas.openxmlformats.org/officeDocument/2006/relationships/hyperlink" Target="https://github.com/CapSoftware/Cap/blob/main/AGENTS.md" TargetMode="External"/><Relationship Id="rId968" Type="http://schemas.openxmlformats.org/officeDocument/2006/relationships/hyperlink" Target="https://github.com/Pipelex/pipelex/blob/main/AGENTS.md" TargetMode="External"/><Relationship Id="rId1153" Type="http://schemas.openxmlformats.org/officeDocument/2006/relationships/hyperlink" Target="https://github.com/saleor/apps/blob/main/CLAUDE.md" TargetMode="External"/><Relationship Id="rId1598" Type="http://schemas.openxmlformats.org/officeDocument/2006/relationships/hyperlink" Target="https://github.com/Pipelex/pipelex/blob/main/AGENTS.md" TargetMode="External"/><Relationship Id="rId2204" Type="http://schemas.openxmlformats.org/officeDocument/2006/relationships/hyperlink" Target="https://github.com/open-metadata/OpenMetadata/blob/main/CLAUDE.md" TargetMode="External"/><Relationship Id="rId97" Type="http://schemas.openxmlformats.org/officeDocument/2006/relationships/hyperlink" Target="https://github.com/Pipelex/pipelex/blob/main/CLAUDE.md" TargetMode="External"/><Relationship Id="rId730" Type="http://schemas.openxmlformats.org/officeDocument/2006/relationships/hyperlink" Target="https://github.com/microsoft/simplechat/blob/main/.github/copilot-instructions.md" TargetMode="External"/><Relationship Id="rId828" Type="http://schemas.openxmlformats.org/officeDocument/2006/relationships/hyperlink" Target="https://github.com/netdata/netdata/blob/master/CLAUDE.md" TargetMode="External"/><Relationship Id="rId1013" Type="http://schemas.openxmlformats.org/officeDocument/2006/relationships/hyperlink" Target="https://github.com/NuGet/NuGetGallery/blob/main/.github/copilot-instructions.md" TargetMode="External"/><Relationship Id="rId1360" Type="http://schemas.openxmlformats.org/officeDocument/2006/relationships/hyperlink" Target="https://github.com/cloudposse/atmos/blob/main/CLAUDE.md" TargetMode="External"/><Relationship Id="rId1458" Type="http://schemas.openxmlformats.org/officeDocument/2006/relationships/hyperlink" Target="https://github.com/nrwl/nx/blob/master/CLAUDE.md" TargetMode="External"/><Relationship Id="rId1665" Type="http://schemas.openxmlformats.org/officeDocument/2006/relationships/hyperlink" Target="https://github.com/Azure/autorest.typescript/blob/main/.github/copilot-instructions.md" TargetMode="External"/><Relationship Id="rId1872" Type="http://schemas.openxmlformats.org/officeDocument/2006/relationships/hyperlink" Target="https://github.com/RchGrav/claudebox/blob/main/CLAUDE.md" TargetMode="External"/><Relationship Id="rId2411" Type="http://schemas.openxmlformats.org/officeDocument/2006/relationships/hyperlink" Target="https://github.com/modelcontextprotocol/typescript-sdk/blob/main/CLAUDE.md" TargetMode="External"/><Relationship Id="rId2509" Type="http://schemas.openxmlformats.org/officeDocument/2006/relationships/hyperlink" Target="https://github.com/module-federation/core/blob/main/CLAUDE.md" TargetMode="External"/><Relationship Id="rId1220" Type="http://schemas.openxmlformats.org/officeDocument/2006/relationships/hyperlink" Target="https://github.com/wieslawsoltes/Dock/blob/master/AGENTS.md" TargetMode="External"/><Relationship Id="rId1318" Type="http://schemas.openxmlformats.org/officeDocument/2006/relationships/hyperlink" Target="https://github.com/abh/ntppool/blob/main/CLAUDE.md" TargetMode="External"/><Relationship Id="rId1525" Type="http://schemas.openxmlformats.org/officeDocument/2006/relationships/hyperlink" Target="https://github.com/theopenco/llmgateway/blob/main/CLAUDE.md" TargetMode="External"/><Relationship Id="rId1732" Type="http://schemas.openxmlformats.org/officeDocument/2006/relationships/hyperlink" Target="https://github.com/microsoft/typespec/blob/main/.github/copilot-instructions.md" TargetMode="External"/><Relationship Id="rId24" Type="http://schemas.openxmlformats.org/officeDocument/2006/relationships/hyperlink" Target="https://github.com/julep-ai/julep/blob/main/AGENTS.md" TargetMode="External"/><Relationship Id="rId2299" Type="http://schemas.openxmlformats.org/officeDocument/2006/relationships/hyperlink" Target="https://github.com/webgptorg/promptbook/blob/main/AGENTS.md" TargetMode="External"/><Relationship Id="rId173" Type="http://schemas.openxmlformats.org/officeDocument/2006/relationships/hyperlink" Target="https://github.com/RSSNext/Folo/blob/main/AGENTS.md" TargetMode="External"/><Relationship Id="rId380" Type="http://schemas.openxmlformats.org/officeDocument/2006/relationships/hyperlink" Target="https://github.com/dailydotdev/apps/blob/main/CLAUDE.md" TargetMode="External"/><Relationship Id="rId2061" Type="http://schemas.openxmlformats.org/officeDocument/2006/relationships/hyperlink" Target="https://github.com/Significant-Gravitas/AutoGPT/blob/master/.github/copilot-instructions.md" TargetMode="External"/><Relationship Id="rId240" Type="http://schemas.openxmlformats.org/officeDocument/2006/relationships/hyperlink" Target="https://github.com/microsoft/ApplicationInsights-JS/blob/main/.github/copilot-instructions.md" TargetMode="External"/><Relationship Id="rId478" Type="http://schemas.openxmlformats.org/officeDocument/2006/relationships/hyperlink" Target="https://github.com/RchGrav/claudebox/blob/main/CLAUDE.md" TargetMode="External"/><Relationship Id="rId685" Type="http://schemas.openxmlformats.org/officeDocument/2006/relationships/hyperlink" Target="https://github.com/wieslawsoltes/Xaml.Behaviors/blob/master/AGENTS.md" TargetMode="External"/><Relationship Id="rId892" Type="http://schemas.openxmlformats.org/officeDocument/2006/relationships/hyperlink" Target="https://github.com/colinhacks/zod/blob/main/CLAUDE.md" TargetMode="External"/><Relationship Id="rId2159" Type="http://schemas.openxmlformats.org/officeDocument/2006/relationships/hyperlink" Target="https://github.com/FluidGroup/Brightroom/blob/main/CLAUDE.md" TargetMode="External"/><Relationship Id="rId2366" Type="http://schemas.openxmlformats.org/officeDocument/2006/relationships/hyperlink" Target="https://github.com/open-metadata/OpenMetadata/blob/main/CLAUDE.md" TargetMode="External"/><Relationship Id="rId100" Type="http://schemas.openxmlformats.org/officeDocument/2006/relationships/hyperlink" Target="https://github.com/receptron/mulmocast-cli/blob/main/CLAUDE.md" TargetMode="External"/><Relationship Id="rId338" Type="http://schemas.openxmlformats.org/officeDocument/2006/relationships/hyperlink" Target="https://github.com/ajanraj/OpenChat/blob/main/CLAUDE.md" TargetMode="External"/><Relationship Id="rId545" Type="http://schemas.openxmlformats.org/officeDocument/2006/relationships/hyperlink" Target="https://github.com/gitkraken/vscode-gitlens/blob/main/AGENTS.md" TargetMode="External"/><Relationship Id="rId752" Type="http://schemas.openxmlformats.org/officeDocument/2006/relationships/hyperlink" Target="https://github.com/sarchlab/akita/blob/main/.github/copilot-instructions.md" TargetMode="External"/><Relationship Id="rId1175" Type="http://schemas.openxmlformats.org/officeDocument/2006/relationships/hyperlink" Target="https://github.com/twentyhq/twenty/blob/main/CLAUDE.md" TargetMode="External"/><Relationship Id="rId1382" Type="http://schemas.openxmlformats.org/officeDocument/2006/relationships/hyperlink" Target="https://github.com/compiler-explorer/compiler-explorer/blob/main/CLAUDE.md" TargetMode="External"/><Relationship Id="rId2019" Type="http://schemas.openxmlformats.org/officeDocument/2006/relationships/hyperlink" Target="https://github.com/pulumi/docs/blob/master/AGENTS.md" TargetMode="External"/><Relationship Id="rId2226" Type="http://schemas.openxmlformats.org/officeDocument/2006/relationships/hyperlink" Target="https://github.com/twentyhq/twenty/blob/main/CLAUDE.md" TargetMode="External"/><Relationship Id="rId2433" Type="http://schemas.openxmlformats.org/officeDocument/2006/relationships/hyperlink" Target="https://github.com/SparkDevNetwork/Rock/blob/master/.github/copilot-instructions.md" TargetMode="External"/><Relationship Id="rId405" Type="http://schemas.openxmlformats.org/officeDocument/2006/relationships/hyperlink" Target="https://github.com/langchain-ai/langchain/blob/master/CLAUDE.md" TargetMode="External"/><Relationship Id="rId612" Type="http://schemas.openxmlformats.org/officeDocument/2006/relationships/hyperlink" Target="https://github.com/openai/openai-agents-python/blob/main/AGENTS.md" TargetMode="External"/><Relationship Id="rId1035" Type="http://schemas.openxmlformats.org/officeDocument/2006/relationships/hyperlink" Target="https://github.com/metacraft-labs/codetracer/blob/main/AGENTS.md" TargetMode="External"/><Relationship Id="rId1242" Type="http://schemas.openxmlformats.org/officeDocument/2006/relationships/hyperlink" Target="https://github.com/microsoft/ApplicationInsights-JS/blob/main/.github/copilot-instructions.md" TargetMode="External"/><Relationship Id="rId1687" Type="http://schemas.openxmlformats.org/officeDocument/2006/relationships/hyperlink" Target="https://github.com/christianhelle/apiclientcodegen/blob/master/.github/copilot-instructions.md" TargetMode="External"/><Relationship Id="rId1894" Type="http://schemas.openxmlformats.org/officeDocument/2006/relationships/hyperlink" Target="https://github.com/compiler-explorer/compiler-explorer/blob/main/CLAUDE.md" TargetMode="External"/><Relationship Id="rId2500" Type="http://schemas.openxmlformats.org/officeDocument/2006/relationships/hyperlink" Target="https://github.com/luccahuguet/yazelix/blob/main/AGENTS.md" TargetMode="External"/><Relationship Id="rId917" Type="http://schemas.openxmlformats.org/officeDocument/2006/relationships/hyperlink" Target="https://github.com/home-assistant/frontend/blob/master/CLAUDE.md" TargetMode="External"/><Relationship Id="rId1102" Type="http://schemas.openxmlformats.org/officeDocument/2006/relationships/hyperlink" Target="https://github.com/dailydotdev/apps/blob/main/CLAUDE.md" TargetMode="External"/><Relationship Id="rId1547" Type="http://schemas.openxmlformats.org/officeDocument/2006/relationships/hyperlink" Target="https://github.com/zed-industries/zed/blob/main/CLAUDE.md" TargetMode="External"/><Relationship Id="rId1754" Type="http://schemas.openxmlformats.org/officeDocument/2006/relationships/hyperlink" Target="https://github.com/sybrew/the-seo-framework/blob/master/.github/copilot-instructions.md" TargetMode="External"/><Relationship Id="rId1961" Type="http://schemas.openxmlformats.org/officeDocument/2006/relationships/hyperlink" Target="https://github.com/xlnfinance/xln/blob/main/CLAUDE.md" TargetMode="External"/><Relationship Id="rId46" Type="http://schemas.openxmlformats.org/officeDocument/2006/relationships/hyperlink" Target="https://github.com/CapSoftware/Cap/blob/main/CLAUDE.md" TargetMode="External"/><Relationship Id="rId1407" Type="http://schemas.openxmlformats.org/officeDocument/2006/relationships/hyperlink" Target="https://github.com/FastLED/FastLED/blob/master/CLAUDE.md" TargetMode="External"/><Relationship Id="rId1614" Type="http://schemas.openxmlformats.org/officeDocument/2006/relationships/hyperlink" Target="https://github.com/pulumi/docs/blob/master/AGENTS.md" TargetMode="External"/><Relationship Id="rId1821" Type="http://schemas.openxmlformats.org/officeDocument/2006/relationships/hyperlink" Target="https://github.com/colinhacks/zod/blob/main/CLAUDE.md" TargetMode="External"/><Relationship Id="rId195" Type="http://schemas.openxmlformats.org/officeDocument/2006/relationships/hyperlink" Target="https://github.com/wieslawsoltes/Xaml.Behaviors/blob/master/AGENTS.md" TargetMode="External"/><Relationship Id="rId1919" Type="http://schemas.openxmlformats.org/officeDocument/2006/relationships/hyperlink" Target="https://github.com/JuliaBesties/BestieTemplate.jl/blob/main/CLAUDE.md" TargetMode="External"/><Relationship Id="rId2083" Type="http://schemas.openxmlformats.org/officeDocument/2006/relationships/hyperlink" Target="https://github.com/elamperti/OpenWebScrobbler/blob/main/AGENTS.md" TargetMode="External"/><Relationship Id="rId2290" Type="http://schemas.openxmlformats.org/officeDocument/2006/relationships/hyperlink" Target="https://github.com/proximafusion/vmecpp/blob/main/AGENTS.md" TargetMode="External"/><Relationship Id="rId2388" Type="http://schemas.openxmlformats.org/officeDocument/2006/relationships/hyperlink" Target="https://github.com/theopenco/llmgateway/blob/main/CLAUDE.md" TargetMode="External"/><Relationship Id="rId262" Type="http://schemas.openxmlformats.org/officeDocument/2006/relationships/hyperlink" Target="https://github.com/sybrew/the-seo-framework/blob/master/.github/copilot-instructions.md" TargetMode="External"/><Relationship Id="rId567" Type="http://schemas.openxmlformats.org/officeDocument/2006/relationships/hyperlink" Target="https://github.com/kdroidFilter/Platform-Tools/blob/master/AGENTS.md" TargetMode="External"/><Relationship Id="rId1197" Type="http://schemas.openxmlformats.org/officeDocument/2006/relationships/hyperlink" Target="https://github.com/luccahuguet/yazelix/blob/main/AGENTS.md" TargetMode="External"/><Relationship Id="rId2150" Type="http://schemas.openxmlformats.org/officeDocument/2006/relationships/hyperlink" Target="https://github.com/dropseed/plain/blob/main/CLAUDE.md" TargetMode="External"/><Relationship Id="rId2248" Type="http://schemas.openxmlformats.org/officeDocument/2006/relationships/hyperlink" Target="https://github.com/carverauto/serviceradar/blob/main/AGENTS.md" TargetMode="External"/><Relationship Id="rId122" Type="http://schemas.openxmlformats.org/officeDocument/2006/relationships/hyperlink" Target="https://github.com/wvlet/wvlet/blob/main/CLAUDE.md" TargetMode="External"/><Relationship Id="rId774" Type="http://schemas.openxmlformats.org/officeDocument/2006/relationships/hyperlink" Target="https://github.com/sybrew/the-seo-framework/blob/master/.github/copilot-instructions.md" TargetMode="External"/><Relationship Id="rId981" Type="http://schemas.openxmlformats.org/officeDocument/2006/relationships/hyperlink" Target="https://github.com/pytorch/pytorch/blob/main/AGENTS.md" TargetMode="External"/><Relationship Id="rId1057" Type="http://schemas.openxmlformats.org/officeDocument/2006/relationships/hyperlink" Target="https://github.com/bbc/simorgh/blob/master/.github/copilot-instructions.md" TargetMode="External"/><Relationship Id="rId2010" Type="http://schemas.openxmlformats.org/officeDocument/2006/relationships/hyperlink" Target="https://github.com/microsoft/mcp-dotnet-samples/blob/main/AGENTS.md" TargetMode="External"/><Relationship Id="rId2455" Type="http://schemas.openxmlformats.org/officeDocument/2006/relationships/hyperlink" Target="https://github.com/Freika/dawarich/blob/master/CLAUDE.md" TargetMode="External"/><Relationship Id="rId427" Type="http://schemas.openxmlformats.org/officeDocument/2006/relationships/hyperlink" Target="https://github.com/nrwl/nx/blob/master/CLAUDE.md" TargetMode="External"/><Relationship Id="rId634" Type="http://schemas.openxmlformats.org/officeDocument/2006/relationships/hyperlink" Target="https://github.com/public-ui/kolibri/blob/master/AGENTS.md" TargetMode="External"/><Relationship Id="rId841" Type="http://schemas.openxmlformats.org/officeDocument/2006/relationships/hyperlink" Target="https://github.com/Comfy-Org/comfy-claude-prompt-library/blob/master/CLAUDE.md" TargetMode="External"/><Relationship Id="rId1264" Type="http://schemas.openxmlformats.org/officeDocument/2006/relationships/hyperlink" Target="https://github.com/saleor/apps/blob/main/.github/copilot-instructions.md" TargetMode="External"/><Relationship Id="rId1471" Type="http://schemas.openxmlformats.org/officeDocument/2006/relationships/hyperlink" Target="https://github.com/open-metadata/OpenMetadata/blob/main/CLAUDE.md" TargetMode="External"/><Relationship Id="rId1569" Type="http://schemas.openxmlformats.org/officeDocument/2006/relationships/hyperlink" Target="https://github.com/DataDog/datadog-agent/blob/main/AGENTS.md" TargetMode="External"/><Relationship Id="rId2108" Type="http://schemas.openxmlformats.org/officeDocument/2006/relationships/hyperlink" Target="https://github.com/abh/ntppool/blob/main/CLAUDE.md" TargetMode="External"/><Relationship Id="rId2315" Type="http://schemas.openxmlformats.org/officeDocument/2006/relationships/hyperlink" Target="https://github.com/esphome/esphome/blob/main/.github/copilot-instructions.md" TargetMode="External"/><Relationship Id="rId2522" Type="http://schemas.openxmlformats.org/officeDocument/2006/relationships/hyperlink" Target="https://github.com/james-gould/azure-keyvault-emulator/blob/master/.github/copilot-instructions.md" TargetMode="External"/><Relationship Id="rId701" Type="http://schemas.openxmlformats.org/officeDocument/2006/relationships/hyperlink" Target="https://github.com/Cysharp/MagicOnion/blob/main/.github/copilot-instructions.md" TargetMode="External"/><Relationship Id="rId939" Type="http://schemas.openxmlformats.org/officeDocument/2006/relationships/hyperlink" Target="https://github.com/Pipelex/pipelex/blob/main/CLAUDE.md" TargetMode="External"/><Relationship Id="rId1124" Type="http://schemas.openxmlformats.org/officeDocument/2006/relationships/hyperlink" Target="https://github.com/netdata/netdata/blob/master/CLAUDE.md" TargetMode="External"/><Relationship Id="rId1331" Type="http://schemas.openxmlformats.org/officeDocument/2006/relationships/hyperlink" Target="https://github.com/anyproto/anytype-swift/blob/main/CLAUDE.md" TargetMode="External"/><Relationship Id="rId1776" Type="http://schemas.openxmlformats.org/officeDocument/2006/relationships/hyperlink" Target="https://github.com/OneKeyHQ/app-monorepo/blob/master/CLAUDE.md" TargetMode="External"/><Relationship Id="rId1983" Type="http://schemas.openxmlformats.org/officeDocument/2006/relationships/hyperlink" Target="https://github.com/janbjorge/pgqueuer/blob/main/AGENTS.md" TargetMode="External"/><Relationship Id="rId68" Type="http://schemas.openxmlformats.org/officeDocument/2006/relationships/hyperlink" Target="https://github.com/grafbase/grafbase/blob/main/CLAUDE.md" TargetMode="External"/><Relationship Id="rId1429" Type="http://schemas.openxmlformats.org/officeDocument/2006/relationships/hyperlink" Target="https://github.com/getsentry/sentry-javascript/blob/master/CLAUDE.md" TargetMode="External"/><Relationship Id="rId1636" Type="http://schemas.openxmlformats.org/officeDocument/2006/relationships/hyperlink" Target="https://github.com/webgptorg/promptbook/blob/main/AGENTS.md" TargetMode="External"/><Relationship Id="rId1843" Type="http://schemas.openxmlformats.org/officeDocument/2006/relationships/hyperlink" Target="https://github.com/traceloop/openllmetry/blob/main/CLAUDE.md" TargetMode="External"/><Relationship Id="rId1703" Type="http://schemas.openxmlformats.org/officeDocument/2006/relationships/hyperlink" Target="https://github.com/geneontology/go-ontology/blob/master/.github/copilot-instructions.md" TargetMode="External"/><Relationship Id="rId1910" Type="http://schemas.openxmlformats.org/officeDocument/2006/relationships/hyperlink" Target="https://github.com/getsentry/sentry-cocoa/blob/main/CLAUDE.md" TargetMode="External"/><Relationship Id="rId284" Type="http://schemas.openxmlformats.org/officeDocument/2006/relationships/hyperlink" Target="https://github.com/zenml-io/zenml/blob/main/CLAUDE.md" TargetMode="External"/><Relationship Id="rId491" Type="http://schemas.openxmlformats.org/officeDocument/2006/relationships/hyperlink" Target="https://github.com/speaches-ai/speaches/blob/master/CLAUDE.md" TargetMode="External"/><Relationship Id="rId2172" Type="http://schemas.openxmlformats.org/officeDocument/2006/relationships/hyperlink" Target="https://github.com/hivesolutions/appier/blob/master/CLAUDE.md" TargetMode="External"/><Relationship Id="rId144" Type="http://schemas.openxmlformats.org/officeDocument/2006/relationships/hyperlink" Target="https://github.com/CapSoftware/Cap/blob/main/AGENTS.md" TargetMode="External"/><Relationship Id="rId589" Type="http://schemas.openxmlformats.org/officeDocument/2006/relationships/hyperlink" Target="https://github.com/luccahuguet/yazelix/blob/main/AGENTS.md" TargetMode="External"/><Relationship Id="rId796" Type="http://schemas.openxmlformats.org/officeDocument/2006/relationships/hyperlink" Target="https://github.com/compiler-explorer/infra/blob/main/CLAUDE.md" TargetMode="External"/><Relationship Id="rId2477" Type="http://schemas.openxmlformats.org/officeDocument/2006/relationships/hyperlink" Target="https://github.com/langchain-ai/langchain/blob/master/AGENTS.md" TargetMode="External"/><Relationship Id="rId351" Type="http://schemas.openxmlformats.org/officeDocument/2006/relationships/hyperlink" Target="https://github.com/CapSoftware/Cap/blob/main/CLAUDE.md" TargetMode="External"/><Relationship Id="rId449" Type="http://schemas.openxmlformats.org/officeDocument/2006/relationships/hyperlink" Target="https://github.com/openai/openai-agents-python/blob/main/CLAUDE.md" TargetMode="External"/><Relationship Id="rId656" Type="http://schemas.openxmlformats.org/officeDocument/2006/relationships/hyperlink" Target="https://github.com/rustfs/rustfs/blob/main/AGENTS.md" TargetMode="External"/><Relationship Id="rId863" Type="http://schemas.openxmlformats.org/officeDocument/2006/relationships/hyperlink" Target="https://github.com/sybrew/the-seo-framework/blob/master/.github/copilot-instructions.md" TargetMode="External"/><Relationship Id="rId1079" Type="http://schemas.openxmlformats.org/officeDocument/2006/relationships/hyperlink" Target="https://github.com/angular-eslint/angular-eslint/blob/main/CLAUDE.md" TargetMode="External"/><Relationship Id="rId1286" Type="http://schemas.openxmlformats.org/officeDocument/2006/relationships/hyperlink" Target="https://github.com/Expensify/App/blob/main/CLAUDE.md" TargetMode="External"/><Relationship Id="rId1493" Type="http://schemas.openxmlformats.org/officeDocument/2006/relationships/hyperlink" Target="https://github.com/Pipelex/pipelex/blob/main/CLAUDE.md" TargetMode="External"/><Relationship Id="rId2032" Type="http://schemas.openxmlformats.org/officeDocument/2006/relationships/hyperlink" Target="https://github.com/valkey-io/valkey-glide/blob/main/AGENTS.md" TargetMode="External"/><Relationship Id="rId2337" Type="http://schemas.openxmlformats.org/officeDocument/2006/relationships/hyperlink" Target="https://github.com/Significant-Gravitas/AutoGPT/blob/master/.github/copilot-instructions.md" TargetMode="External"/><Relationship Id="rId2544" Type="http://schemas.openxmlformats.org/officeDocument/2006/relationships/hyperlink" Target="https://github.com/dailydotdev/apps/blob/main/CLAUDE.md" TargetMode="External"/><Relationship Id="rId211" Type="http://schemas.openxmlformats.org/officeDocument/2006/relationships/hyperlink" Target="https://github.com/Agoric/agoric-sdk/blob/master/.github/copilot-instructions.md" TargetMode="External"/><Relationship Id="rId309" Type="http://schemas.openxmlformats.org/officeDocument/2006/relationships/hyperlink" Target="https://github.com/colinhacks/zod/blob/main/CLAUDE.md" TargetMode="External"/><Relationship Id="rId516" Type="http://schemas.openxmlformats.org/officeDocument/2006/relationships/hyperlink" Target="https://github.com/bionic-gpt/bionic-gpt/blob/main/AGENTS.md" TargetMode="External"/><Relationship Id="rId1146" Type="http://schemas.openxmlformats.org/officeDocument/2006/relationships/hyperlink" Target="https://github.com/PrefectHQ/marvin/blob/main/CLAUDE.md" TargetMode="External"/><Relationship Id="rId1798" Type="http://schemas.openxmlformats.org/officeDocument/2006/relationships/hyperlink" Target="https://github.com/stack-auth/stack-auth/blob/main/AGENTS.md" TargetMode="External"/><Relationship Id="rId723" Type="http://schemas.openxmlformats.org/officeDocument/2006/relationships/hyperlink" Target="https://github.com/humanwhocodes/crosspost/blob/main/.github/copilot-instructions.md" TargetMode="External"/><Relationship Id="rId930" Type="http://schemas.openxmlformats.org/officeDocument/2006/relationships/hyperlink" Target="https://github.com/OlympiaAI/raix/blob/main/CLAUDE.md" TargetMode="External"/><Relationship Id="rId1006" Type="http://schemas.openxmlformats.org/officeDocument/2006/relationships/hyperlink" Target="https://github.com/geneontology/go-ontology/blob/master/.github/copilot-instructions.md" TargetMode="External"/><Relationship Id="rId1353" Type="http://schemas.openxmlformats.org/officeDocument/2006/relationships/hyperlink" Target="https://github.com/cloudposse/atmos/blob/main/CLAUDE.md" TargetMode="External"/><Relationship Id="rId1560" Type="http://schemas.openxmlformats.org/officeDocument/2006/relationships/hyperlink" Target="https://github.com/CapSoftware/Cap/blob/main/AGENTS.md" TargetMode="External"/><Relationship Id="rId1658" Type="http://schemas.openxmlformats.org/officeDocument/2006/relationships/hyperlink" Target="https://github.com/ast-grep/ast-grep/blob/main/.github/copilot-instructions.md" TargetMode="External"/><Relationship Id="rId1865" Type="http://schemas.openxmlformats.org/officeDocument/2006/relationships/hyperlink" Target="https://github.com/cloudposse/atmos/blob/main/CLAUDE.md" TargetMode="External"/><Relationship Id="rId2404" Type="http://schemas.openxmlformats.org/officeDocument/2006/relationships/hyperlink" Target="https://github.com/vaadin/flow/blob/main/CLAUDE.md" TargetMode="External"/><Relationship Id="rId1213" Type="http://schemas.openxmlformats.org/officeDocument/2006/relationships/hyperlink" Target="https://github.com/stack-auth/stack-auth/blob/main/AGENTS.md" TargetMode="External"/><Relationship Id="rId1420" Type="http://schemas.openxmlformats.org/officeDocument/2006/relationships/hyperlink" Target="https://github.com/geneontology/go-ontology/blob/master/CLAUDE.md" TargetMode="External"/><Relationship Id="rId1518" Type="http://schemas.openxmlformats.org/officeDocument/2006/relationships/hyperlink" Target="https://github.com/Southclaws/storyden/blob/main/CLAUDE.md" TargetMode="External"/><Relationship Id="rId1725" Type="http://schemas.openxmlformats.org/officeDocument/2006/relationships/hyperlink" Target="https://github.com/microsoft/ApplicationInsights-JS/blob/main/.github/copilot-instructions.md" TargetMode="External"/><Relationship Id="rId1932" Type="http://schemas.openxmlformats.org/officeDocument/2006/relationships/hyperlink" Target="https://github.com/open-metadata/OpenMetadata/blob/main/CLAUDE.md" TargetMode="External"/><Relationship Id="rId17" Type="http://schemas.openxmlformats.org/officeDocument/2006/relationships/hyperlink" Target="https://github.com/kubefleet-dev/kubefleet/blob/main/.github/copilot-instructions.md" TargetMode="External"/><Relationship Id="rId2194" Type="http://schemas.openxmlformats.org/officeDocument/2006/relationships/hyperlink" Target="https://github.com/OlympiaAI/raix/blob/main/CLAUDE.md" TargetMode="External"/><Relationship Id="rId166" Type="http://schemas.openxmlformats.org/officeDocument/2006/relationships/hyperlink" Target="https://github.com/Pipelex/pipelex/blob/main/AGENTS.md" TargetMode="External"/><Relationship Id="rId373" Type="http://schemas.openxmlformats.org/officeDocument/2006/relationships/hyperlink" Target="https://github.com/colinhacks/zod/blob/main/CLAUDE.md" TargetMode="External"/><Relationship Id="rId580" Type="http://schemas.openxmlformats.org/officeDocument/2006/relationships/hyperlink" Target="https://github.com/luccahuguet/yazelix/blob/main/AGENTS.md" TargetMode="External"/><Relationship Id="rId2054" Type="http://schemas.openxmlformats.org/officeDocument/2006/relationships/hyperlink" Target="https://github.com/microsoft/PowerToys/blob/main/.github/copilot-instructions.md" TargetMode="External"/><Relationship Id="rId2261" Type="http://schemas.openxmlformats.org/officeDocument/2006/relationships/hyperlink" Target="https://github.com/janbjorge/pgqueuer/blob/main/AGENTS.md" TargetMode="External"/><Relationship Id="rId2499" Type="http://schemas.openxmlformats.org/officeDocument/2006/relationships/hyperlink" Target="https://github.com/zenml-io/zenml/blob/main/CLAUDE.md" TargetMode="External"/><Relationship Id="rId1" Type="http://schemas.openxmlformats.org/officeDocument/2006/relationships/hyperlink" Target="https://github.com/langchain-ai/langchain/blob/master/CLAUDE.md" TargetMode="External"/><Relationship Id="rId233" Type="http://schemas.openxmlformats.org/officeDocument/2006/relationships/hyperlink" Target="https://github.com/github/branch-deploy/blob/main/.github/copilot-instructions.md" TargetMode="External"/><Relationship Id="rId440" Type="http://schemas.openxmlformats.org/officeDocument/2006/relationships/hyperlink" Target="https://github.com/open-metadata/OpenMetadata/blob/main/CLAUDE.md" TargetMode="External"/><Relationship Id="rId678" Type="http://schemas.openxmlformats.org/officeDocument/2006/relationships/hyperlink" Target="https://github.com/webgptorg/promptbook/blob/main/AGENTS.md" TargetMode="External"/><Relationship Id="rId885" Type="http://schemas.openxmlformats.org/officeDocument/2006/relationships/hyperlink" Target="https://github.com/coder/coder/blob/main/CLAUDE.md" TargetMode="External"/><Relationship Id="rId1070" Type="http://schemas.openxmlformats.org/officeDocument/2006/relationships/hyperlink" Target="https://github.com/OneKeyHQ/app-monorepo/blob/master/CLAUDE.md" TargetMode="External"/><Relationship Id="rId2121" Type="http://schemas.openxmlformats.org/officeDocument/2006/relationships/hyperlink" Target="https://github.com/Azure/LogicAppsUX/blob/main/CLAUDE.md" TargetMode="External"/><Relationship Id="rId2359" Type="http://schemas.openxmlformats.org/officeDocument/2006/relationships/hyperlink" Target="https://github.com/stack-auth/stack-auth/blob/main/AGENTS.md" TargetMode="External"/><Relationship Id="rId300" Type="http://schemas.openxmlformats.org/officeDocument/2006/relationships/hyperlink" Target="https://github.com/owid/etl/blob/master/CLAUDE.md" TargetMode="External"/><Relationship Id="rId538" Type="http://schemas.openxmlformats.org/officeDocument/2006/relationships/hyperlink" Target="https://github.com/DannyMac180/meta-agent/blob/main/AGENTS.md" TargetMode="External"/><Relationship Id="rId745" Type="http://schemas.openxmlformats.org/officeDocument/2006/relationships/hyperlink" Target="https://github.com/owncast/owncast/blob/master/.github/copilot-instructions.md" TargetMode="External"/><Relationship Id="rId952" Type="http://schemas.openxmlformats.org/officeDocument/2006/relationships/hyperlink" Target="https://github.com/xlnfinance/xln/blob/main/CLAUDE.md" TargetMode="External"/><Relationship Id="rId1168" Type="http://schemas.openxmlformats.org/officeDocument/2006/relationships/hyperlink" Target="https://github.com/tphakala/birdnet-go/blob/main/CLAUDE.md" TargetMode="External"/><Relationship Id="rId1375" Type="http://schemas.openxmlformats.org/officeDocument/2006/relationships/hyperlink" Target="https://github.com/colinhacks/zod/blob/main/CLAUDE.md" TargetMode="External"/><Relationship Id="rId1582" Type="http://schemas.openxmlformats.org/officeDocument/2006/relationships/hyperlink" Target="https://github.com/luccahuguet/yazelix/blob/main/AGENTS.md" TargetMode="External"/><Relationship Id="rId2219" Type="http://schemas.openxmlformats.org/officeDocument/2006/relationships/hyperlink" Target="https://github.com/RchGrav/claudebox/blob/main/CLAUDE.md" TargetMode="External"/><Relationship Id="rId2426" Type="http://schemas.openxmlformats.org/officeDocument/2006/relationships/hyperlink" Target="https://github.com/DestinyItemManager/DIM/blob/master/.github/copilot-instructions.md" TargetMode="External"/><Relationship Id="rId81" Type="http://schemas.openxmlformats.org/officeDocument/2006/relationships/hyperlink" Target="https://github.com/lfnovo/esperanto/blob/main/CLAUDE.md" TargetMode="External"/><Relationship Id="rId605" Type="http://schemas.openxmlformats.org/officeDocument/2006/relationships/hyperlink" Target="https://github.com/microsoft/mcp-for-beginners/blob/main/AGENTS.md" TargetMode="External"/><Relationship Id="rId812" Type="http://schemas.openxmlformats.org/officeDocument/2006/relationships/hyperlink" Target="https://github.com/webgptorg/promptbook/blob/main/AGENTS.md" TargetMode="External"/><Relationship Id="rId1028" Type="http://schemas.openxmlformats.org/officeDocument/2006/relationships/hyperlink" Target="https://github.com/CapSoftware/Cap/blob/main/AGENTS.md" TargetMode="External"/><Relationship Id="rId1235" Type="http://schemas.openxmlformats.org/officeDocument/2006/relationships/hyperlink" Target="https://github.com/dotnet/sdk/blob/main/.github/copilot-instructions.md" TargetMode="External"/><Relationship Id="rId1442" Type="http://schemas.openxmlformats.org/officeDocument/2006/relationships/hyperlink" Target="https://github.com/lightdash/lightdash/blob/main/CLAUDE.md" TargetMode="External"/><Relationship Id="rId1887" Type="http://schemas.openxmlformats.org/officeDocument/2006/relationships/hyperlink" Target="https://github.com/CapSoftware/Cap/blob/main/CLAUDE.md" TargetMode="External"/><Relationship Id="rId1302" Type="http://schemas.openxmlformats.org/officeDocument/2006/relationships/hyperlink" Target="https://github.com/humanwhocodes/crosspost/blob/main/.github/copilot-instructions.md" TargetMode="External"/><Relationship Id="rId1747" Type="http://schemas.openxmlformats.org/officeDocument/2006/relationships/hyperlink" Target="https://github.com/sarchlab/akita/blob/main/.github/copilot-instructions.md" TargetMode="External"/><Relationship Id="rId1954" Type="http://schemas.openxmlformats.org/officeDocument/2006/relationships/hyperlink" Target="https://github.com/theopenco/llmgateway/blob/main/CLAUDE.md" TargetMode="External"/><Relationship Id="rId39" Type="http://schemas.openxmlformats.org/officeDocument/2006/relationships/hyperlink" Target="https://github.com/abh/ntppool/blob/main/CLAUDE.md" TargetMode="External"/><Relationship Id="rId1607" Type="http://schemas.openxmlformats.org/officeDocument/2006/relationships/hyperlink" Target="https://github.com/proximafusion/vmecpp/blob/main/AGENTS.md" TargetMode="External"/><Relationship Id="rId1814" Type="http://schemas.openxmlformats.org/officeDocument/2006/relationships/hyperlink" Target="https://github.com/owid/etl/blob/master/AGENTS.md" TargetMode="External"/><Relationship Id="rId188" Type="http://schemas.openxmlformats.org/officeDocument/2006/relationships/hyperlink" Target="https://github.com/wieslawsoltes/Dock/blob/master/AGENTS.md" TargetMode="External"/><Relationship Id="rId395" Type="http://schemas.openxmlformats.org/officeDocument/2006/relationships/hyperlink" Target="https://github.com/getsentry/vitest-evals/blob/main/CLAUDE.md" TargetMode="External"/><Relationship Id="rId2076" Type="http://schemas.openxmlformats.org/officeDocument/2006/relationships/hyperlink" Target="https://github.com/netdata/netdata/blob/master/CLAUDE.md" TargetMode="External"/><Relationship Id="rId2283" Type="http://schemas.openxmlformats.org/officeDocument/2006/relationships/hyperlink" Target="https://github.com/mixpanel/mixpanel-android/blob/master/AGENTS.md" TargetMode="External"/><Relationship Id="rId2490" Type="http://schemas.openxmlformats.org/officeDocument/2006/relationships/hyperlink" Target="https://github.com/microsoft/ApplicationInsights-JS/blob/main/.github/copilot-instructions.md" TargetMode="External"/><Relationship Id="rId255" Type="http://schemas.openxmlformats.org/officeDocument/2006/relationships/hyperlink" Target="https://github.com/owid/owid-grapher/blob/master/.github/copilot-instructions.md" TargetMode="External"/><Relationship Id="rId462" Type="http://schemas.openxmlformats.org/officeDocument/2006/relationships/hyperlink" Target="https://github.com/Pipelex/pipelex/blob/main/CLAUDE.md" TargetMode="External"/><Relationship Id="rId1092" Type="http://schemas.openxmlformats.org/officeDocument/2006/relationships/hyperlink" Target="https://github.com/cloudposse/atmos/blob/main/CLAUDE.md" TargetMode="External"/><Relationship Id="rId1397" Type="http://schemas.openxmlformats.org/officeDocument/2006/relationships/hyperlink" Target="https://github.com/dymensionxyz/dymension/blob/main/CLAUDE.md" TargetMode="External"/><Relationship Id="rId2143" Type="http://schemas.openxmlformats.org/officeDocument/2006/relationships/hyperlink" Target="https://github.com/dailydotdev/apps/blob/main/CLAUDE.md" TargetMode="External"/><Relationship Id="rId2350" Type="http://schemas.openxmlformats.org/officeDocument/2006/relationships/hyperlink" Target="https://github.com/zwave-js/zwave-js-ui/blob/master/.github/copilot-instructions.md" TargetMode="External"/><Relationship Id="rId115" Type="http://schemas.openxmlformats.org/officeDocument/2006/relationships/hyperlink" Target="https://github.com/truenas/webui/blob/master/CLAUDE.md" TargetMode="External"/><Relationship Id="rId322" Type="http://schemas.openxmlformats.org/officeDocument/2006/relationships/hyperlink" Target="https://github.com/getsentry/sentry-cocoa/blob/main/CLAUDE.md" TargetMode="External"/><Relationship Id="rId767" Type="http://schemas.openxmlformats.org/officeDocument/2006/relationships/hyperlink" Target="https://github.com/sybrew/the-seo-framework/blob/master/.github/copilot-instructions.md" TargetMode="External"/><Relationship Id="rId974" Type="http://schemas.openxmlformats.org/officeDocument/2006/relationships/hyperlink" Target="https://github.com/PrairieLearn/PrairieLearn/blob/master/AGENTS.md" TargetMode="External"/><Relationship Id="rId2003" Type="http://schemas.openxmlformats.org/officeDocument/2006/relationships/hyperlink" Target="https://github.com/marin-community/marin/blob/main/AGENTS.md" TargetMode="External"/><Relationship Id="rId2210" Type="http://schemas.openxmlformats.org/officeDocument/2006/relationships/hyperlink" Target="https://github.com/openai/openai-agents-python/blob/main/CLAUDE.md" TargetMode="External"/><Relationship Id="rId2448" Type="http://schemas.openxmlformats.org/officeDocument/2006/relationships/hyperlink" Target="https://github.com/cockroachdb/cockroach/blob/master/CLAUDE.md" TargetMode="External"/><Relationship Id="rId627" Type="http://schemas.openxmlformats.org/officeDocument/2006/relationships/hyperlink" Target="https://github.com/public-ui/kolibri/blob/master/AGENTS.md" TargetMode="External"/><Relationship Id="rId834" Type="http://schemas.openxmlformats.org/officeDocument/2006/relationships/hyperlink" Target="https://github.com/rustfs/rustfs/blob/main/AGENTS.md" TargetMode="External"/><Relationship Id="rId1257" Type="http://schemas.openxmlformats.org/officeDocument/2006/relationships/hyperlink" Target="https://github.com/nkdAgility/azure-devops-migration-tools/blob/main/.github/copilot-instructions.md" TargetMode="External"/><Relationship Id="rId1464" Type="http://schemas.openxmlformats.org/officeDocument/2006/relationships/hyperlink" Target="https://github.com/OneKeyHQ/app-monorepo/blob/master/CLAUDE.md" TargetMode="External"/><Relationship Id="rId1671" Type="http://schemas.openxmlformats.org/officeDocument/2006/relationships/hyperlink" Target="https://github.com/Azure/autorest.typescript/blob/main/.github/copilot-instructions.md" TargetMode="External"/><Relationship Id="rId2308" Type="http://schemas.openxmlformats.org/officeDocument/2006/relationships/hyperlink" Target="https://github.com/dotnet/docs-aspire/blob/main/.github/copilot-instructions.md" TargetMode="External"/><Relationship Id="rId2515" Type="http://schemas.openxmlformats.org/officeDocument/2006/relationships/hyperlink" Target="https://github.com/RchGrav/claudebox/blob/main/CLAUDE.md" TargetMode="External"/><Relationship Id="rId901" Type="http://schemas.openxmlformats.org/officeDocument/2006/relationships/hyperlink" Target="https://github.com/compiler-explorer/compiler-explorer/blob/main/CLAUDE.md" TargetMode="External"/><Relationship Id="rId1117" Type="http://schemas.openxmlformats.org/officeDocument/2006/relationships/hyperlink" Target="https://github.com/ithacaxyz/account/blob/main/CLAUDE.md" TargetMode="External"/><Relationship Id="rId1324" Type="http://schemas.openxmlformats.org/officeDocument/2006/relationships/hyperlink" Target="https://github.com/AhmedElywa/prisma-tools/blob/main/CLAUDE.md" TargetMode="External"/><Relationship Id="rId1531" Type="http://schemas.openxmlformats.org/officeDocument/2006/relationships/hyperlink" Target="https://github.com/transloadit/uppy/blob/main/CLAUDE.md" TargetMode="External"/><Relationship Id="rId1769" Type="http://schemas.openxmlformats.org/officeDocument/2006/relationships/hyperlink" Target="https://github.com/OneKeyHQ/app-monorepo/blob/master/CLAUDE.md" TargetMode="External"/><Relationship Id="rId1976" Type="http://schemas.openxmlformats.org/officeDocument/2006/relationships/hyperlink" Target="https://github.com/DannyMac180/meta-agent/blob/main/AGENTS.md" TargetMode="External"/><Relationship Id="rId30" Type="http://schemas.openxmlformats.org/officeDocument/2006/relationships/hyperlink" Target="https://github.com/dotnet/docs-desktop/blob/main/.github/copilot-instructions.md" TargetMode="External"/><Relationship Id="rId1629" Type="http://schemas.openxmlformats.org/officeDocument/2006/relationships/hyperlink" Target="https://github.com/theopenco/llmgateway/blob/main/AGENTS.md" TargetMode="External"/><Relationship Id="rId1836" Type="http://schemas.openxmlformats.org/officeDocument/2006/relationships/hyperlink" Target="https://github.com/Freika/dawarich/blob/master/CLAUDE.md" TargetMode="External"/><Relationship Id="rId1903" Type="http://schemas.openxmlformats.org/officeDocument/2006/relationships/hyperlink" Target="https://github.com/Freika/dawarich/blob/master/CLAUDE.md" TargetMode="External"/><Relationship Id="rId2098" Type="http://schemas.openxmlformats.org/officeDocument/2006/relationships/hyperlink" Target="https://github.com/module-federation/core/blob/main/CLAUDE.md" TargetMode="External"/><Relationship Id="rId277" Type="http://schemas.openxmlformats.org/officeDocument/2006/relationships/hyperlink" Target="https://github.com/microsoft/ApplicationInsights-JS/blob/main/.github/copilot-instructions.md" TargetMode="External"/><Relationship Id="rId484" Type="http://schemas.openxmlformats.org/officeDocument/2006/relationships/hyperlink" Target="https://github.com/saleor/apps/blob/main/CLAUDE.md" TargetMode="External"/><Relationship Id="rId2165" Type="http://schemas.openxmlformats.org/officeDocument/2006/relationships/hyperlink" Target="https://github.com/geneontology/go-ontology/blob/master/CLAUDE.md" TargetMode="External"/><Relationship Id="rId137" Type="http://schemas.openxmlformats.org/officeDocument/2006/relationships/hyperlink" Target="https://github.com/zenml-io/zenml/blob/main/CLAUDE.md" TargetMode="External"/><Relationship Id="rId344" Type="http://schemas.openxmlformats.org/officeDocument/2006/relationships/hyperlink" Target="https://github.com/Azure/LogicAppsUX/blob/main/CLAUDE.md" TargetMode="External"/><Relationship Id="rId691" Type="http://schemas.openxmlformats.org/officeDocument/2006/relationships/hyperlink" Target="https://github.com/AstrBotDevs/AstrBot/blob/master/.github/copilot-instructions.md" TargetMode="External"/><Relationship Id="rId789" Type="http://schemas.openxmlformats.org/officeDocument/2006/relationships/hyperlink" Target="https://github.com/zwave-js/zwave-js/blob/master/.github/copilot-instructions.md" TargetMode="External"/><Relationship Id="rId996" Type="http://schemas.openxmlformats.org/officeDocument/2006/relationships/hyperlink" Target="https://github.com/dotnet/dotnet-api-docs/blob/main/.github/copilot-instructions.md" TargetMode="External"/><Relationship Id="rId2025" Type="http://schemas.openxmlformats.org/officeDocument/2006/relationships/hyperlink" Target="https://github.com/shopware/shopware/blob/master/AGENTS.md" TargetMode="External"/><Relationship Id="rId2372" Type="http://schemas.openxmlformats.org/officeDocument/2006/relationships/hyperlink" Target="https://github.com/dotnet/macios/blob/main/.github/copilot-instructions.md" TargetMode="External"/><Relationship Id="rId551" Type="http://schemas.openxmlformats.org/officeDocument/2006/relationships/hyperlink" Target="https://github.com/herbie-fp/herbie/blob/main/AGENTS.md" TargetMode="External"/><Relationship Id="rId649" Type="http://schemas.openxmlformats.org/officeDocument/2006/relationships/hyperlink" Target="https://github.com/Rello/audioplayer/blob/master/AGENTS.md" TargetMode="External"/><Relationship Id="rId856" Type="http://schemas.openxmlformats.org/officeDocument/2006/relationships/hyperlink" Target="https://github.com/julep-ai/julep/blob/main/AGENTS.md" TargetMode="External"/><Relationship Id="rId1181" Type="http://schemas.openxmlformats.org/officeDocument/2006/relationships/hyperlink" Target="https://github.com/zenml-io/zenml/blob/main/CLAUDE.md" TargetMode="External"/><Relationship Id="rId1279" Type="http://schemas.openxmlformats.org/officeDocument/2006/relationships/hyperlink" Target="https://github.com/cloudposse/atmos/blob/main/CLAUDE.md" TargetMode="External"/><Relationship Id="rId1486" Type="http://schemas.openxmlformats.org/officeDocument/2006/relationships/hyperlink" Target="https://github.com/paradigmxyz/reth/blob/main/CLAUDE.md" TargetMode="External"/><Relationship Id="rId2232" Type="http://schemas.openxmlformats.org/officeDocument/2006/relationships/hyperlink" Target="https://github.com/wolfi-dev/os/blob/main/CLAUDE.md" TargetMode="External"/><Relationship Id="rId2537" Type="http://schemas.openxmlformats.org/officeDocument/2006/relationships/hyperlink" Target="https://github.com/Azure/azure-rest-api-specs/blob/main/.github/copilot-instructions.md" TargetMode="External"/><Relationship Id="rId204" Type="http://schemas.openxmlformats.org/officeDocument/2006/relationships/hyperlink" Target="https://github.com/yoshiko-pg/difit/blob/main/AGENTS.md" TargetMode="External"/><Relationship Id="rId411" Type="http://schemas.openxmlformats.org/officeDocument/2006/relationships/hyperlink" Target="https://github.com/lgallard/terraform-aws-backup/blob/master/CLAUDE.md" TargetMode="External"/><Relationship Id="rId509" Type="http://schemas.openxmlformats.org/officeDocument/2006/relationships/hyperlink" Target="https://github.com/alchemiststudiosDOTai/tunacode/blob/master/AGENTS.md" TargetMode="External"/><Relationship Id="rId1041" Type="http://schemas.openxmlformats.org/officeDocument/2006/relationships/hyperlink" Target="https://github.com/temporalio/ui/blob/main/CLAUDE.md" TargetMode="External"/><Relationship Id="rId1139" Type="http://schemas.openxmlformats.org/officeDocument/2006/relationships/hyperlink" Target="https://github.com/owid/etl/blob/master/CLAUDE.md" TargetMode="External"/><Relationship Id="rId1346" Type="http://schemas.openxmlformats.org/officeDocument/2006/relationships/hyperlink" Target="https://github.com/CapSoftware/Cap/blob/main/CLAUDE.md" TargetMode="External"/><Relationship Id="rId1693" Type="http://schemas.openxmlformats.org/officeDocument/2006/relationships/hyperlink" Target="https://github.com/dotnet/core/blob/main/.github/copilot-instructions.md" TargetMode="External"/><Relationship Id="rId1998" Type="http://schemas.openxmlformats.org/officeDocument/2006/relationships/hyperlink" Target="https://github.com/marin-community/marin/blob/main/AGENTS.md" TargetMode="External"/><Relationship Id="rId716" Type="http://schemas.openxmlformats.org/officeDocument/2006/relationships/hyperlink" Target="https://github.com/dotnet/runtime/blob/main/.github/copilot-instructions.md" TargetMode="External"/><Relationship Id="rId923" Type="http://schemas.openxmlformats.org/officeDocument/2006/relationships/hyperlink" Target="https://github.com/lfnovo/esperanto/blob/main/CLAUDE.md" TargetMode="External"/><Relationship Id="rId1553" Type="http://schemas.openxmlformats.org/officeDocument/2006/relationships/hyperlink" Target="https://github.com/biolink/biolink-model/blob/master/AGENTS.md" TargetMode="External"/><Relationship Id="rId1760" Type="http://schemas.openxmlformats.org/officeDocument/2006/relationships/hyperlink" Target="https://github.com/zwave-js/zwave-js/blob/master/.github/copilot-instructions.md" TargetMode="External"/><Relationship Id="rId1858" Type="http://schemas.openxmlformats.org/officeDocument/2006/relationships/hyperlink" Target="https://github.com/coder/coder/blob/main/CLAUDE.md" TargetMode="External"/><Relationship Id="rId52" Type="http://schemas.openxmlformats.org/officeDocument/2006/relationships/hyperlink" Target="https://github.com/cockroachdb/cockroach/blob/master/CLAUDE.md" TargetMode="External"/><Relationship Id="rId1206" Type="http://schemas.openxmlformats.org/officeDocument/2006/relationships/hyperlink" Target="https://github.com/proximafusion/vmecpp/blob/main/AGENTS.md" TargetMode="External"/><Relationship Id="rId1413" Type="http://schemas.openxmlformats.org/officeDocument/2006/relationships/hyperlink" Target="https://github.com/geneontology/go-ontology/blob/master/CLAUDE.md" TargetMode="External"/><Relationship Id="rId1620" Type="http://schemas.openxmlformats.org/officeDocument/2006/relationships/hyperlink" Target="https://github.com/pytorch/pytorch/blob/main/AGENTS.md" TargetMode="External"/><Relationship Id="rId1718" Type="http://schemas.openxmlformats.org/officeDocument/2006/relationships/hyperlink" Target="https://github.com/irihitech/Ursa.Avalonia/blob/main/.github/copilot-instructions.md" TargetMode="External"/><Relationship Id="rId1925" Type="http://schemas.openxmlformats.org/officeDocument/2006/relationships/hyperlink" Target="https://github.com/lgallard/terraform-aws-backup/blob/master/CLAUDE.md" TargetMode="External"/><Relationship Id="rId299" Type="http://schemas.openxmlformats.org/officeDocument/2006/relationships/hyperlink" Target="https://github.com/Freika/dawarich/blob/master/CLAUDE.md" TargetMode="External"/><Relationship Id="rId2187" Type="http://schemas.openxmlformats.org/officeDocument/2006/relationships/hyperlink" Target="https://github.com/lostleaf/binance_datatool/blob/main/CLAUDE.md" TargetMode="External"/><Relationship Id="rId2394" Type="http://schemas.openxmlformats.org/officeDocument/2006/relationships/hyperlink" Target="https://github.com/microsoft/mcp-for-beginners/blob/main/AGENTS.md" TargetMode="External"/><Relationship Id="rId159" Type="http://schemas.openxmlformats.org/officeDocument/2006/relationships/hyperlink" Target="https://github.com/johnlindquist/kit/blob/main/AGENTS.md" TargetMode="External"/><Relationship Id="rId366" Type="http://schemas.openxmlformats.org/officeDocument/2006/relationships/hyperlink" Target="https://github.com/coder/coder/blob/main/CLAUDE.md" TargetMode="External"/><Relationship Id="rId573" Type="http://schemas.openxmlformats.org/officeDocument/2006/relationships/hyperlink" Target="https://github.com/langchain-ai/langchain/blob/master/AGENTS.md" TargetMode="External"/><Relationship Id="rId780" Type="http://schemas.openxmlformats.org/officeDocument/2006/relationships/hyperlink" Target="https://github.com/vczh-libraries/GacUI/blob/master/.github/copilot-instructions.md" TargetMode="External"/><Relationship Id="rId2047" Type="http://schemas.openxmlformats.org/officeDocument/2006/relationships/hyperlink" Target="https://github.com/alandtse/alexa_media_player/blob/master/.github/copilot-instructions.md" TargetMode="External"/><Relationship Id="rId2254" Type="http://schemas.openxmlformats.org/officeDocument/2006/relationships/hyperlink" Target="https://github.com/DataDog/datadog-agent/blob/main/AGENTS.md" TargetMode="External"/><Relationship Id="rId2461" Type="http://schemas.openxmlformats.org/officeDocument/2006/relationships/hyperlink" Target="https://github.com/JuliaBesties/BestieTemplate.jl/blob/main/CLAUDE.md" TargetMode="External"/><Relationship Id="rId226" Type="http://schemas.openxmlformats.org/officeDocument/2006/relationships/hyperlink" Target="https://github.com/dotnet/sdk/blob/main/.github/copilot-instructions.md" TargetMode="External"/><Relationship Id="rId433" Type="http://schemas.openxmlformats.org/officeDocument/2006/relationships/hyperlink" Target="https://github.com/OneKeyHQ/app-monorepo/blob/master/CLAUDE.md" TargetMode="External"/><Relationship Id="rId878" Type="http://schemas.openxmlformats.org/officeDocument/2006/relationships/hyperlink" Target="https://github.com/browser-use/browser-use/blob/main/CLAUDE.md" TargetMode="External"/><Relationship Id="rId1063" Type="http://schemas.openxmlformats.org/officeDocument/2006/relationships/hyperlink" Target="https://github.com/fukuball/jieba-php/blob/master/CLAUDE.md" TargetMode="External"/><Relationship Id="rId1270" Type="http://schemas.openxmlformats.org/officeDocument/2006/relationships/hyperlink" Target="https://github.com/zwave-js/zwave-js/blob/master/.github/copilot-instructions.md" TargetMode="External"/><Relationship Id="rId2114" Type="http://schemas.openxmlformats.org/officeDocument/2006/relationships/hyperlink" Target="https://github.com/angular-eslint/angular-eslint/blob/main/CLAUDE.md" TargetMode="External"/><Relationship Id="rId640" Type="http://schemas.openxmlformats.org/officeDocument/2006/relationships/hyperlink" Target="https://github.com/pytorch/pytorch/blob/main/AGENTS.md" TargetMode="External"/><Relationship Id="rId738" Type="http://schemas.openxmlformats.org/officeDocument/2006/relationships/hyperlink" Target="https://github.com/NG-ZORRO/ng-zorro-antd/blob/master/.github/copilot-instructions.md" TargetMode="External"/><Relationship Id="rId945" Type="http://schemas.openxmlformats.org/officeDocument/2006/relationships/hyperlink" Target="https://github.com/safety-research/safety-tooling/blob/main/CLAUDE.md" TargetMode="External"/><Relationship Id="rId1368" Type="http://schemas.openxmlformats.org/officeDocument/2006/relationships/hyperlink" Target="https://github.com/cloudposse/atmos/blob/main/CLAUDE.md" TargetMode="External"/><Relationship Id="rId1575" Type="http://schemas.openxmlformats.org/officeDocument/2006/relationships/hyperlink" Target="https://github.com/langfuse/langfuse/blob/main/AGENTS.md" TargetMode="External"/><Relationship Id="rId1782" Type="http://schemas.openxmlformats.org/officeDocument/2006/relationships/hyperlink" Target="https://github.com/marin-community/marin/blob/main/AGENTS.md" TargetMode="External"/><Relationship Id="rId2321" Type="http://schemas.openxmlformats.org/officeDocument/2006/relationships/hyperlink" Target="https://github.com/kubefleet-dev/kubefleet/blob/main/.github/copilot-instructions.md" TargetMode="External"/><Relationship Id="rId2419" Type="http://schemas.openxmlformats.org/officeDocument/2006/relationships/hyperlink" Target="https://github.com/zenml-io/zenml/blob/main/AGENTS.md" TargetMode="External"/><Relationship Id="rId74" Type="http://schemas.openxmlformats.org/officeDocument/2006/relationships/hyperlink" Target="https://github.com/J-Tech-Japan/Sekiban/blob/main/CLAUDE.md" TargetMode="External"/><Relationship Id="rId500" Type="http://schemas.openxmlformats.org/officeDocument/2006/relationships/hyperlink" Target="https://github.com/truenas/webui/blob/master/CLAUDE.md" TargetMode="External"/><Relationship Id="rId805" Type="http://schemas.openxmlformats.org/officeDocument/2006/relationships/hyperlink" Target="https://github.com/CapSoftware/Cap/blob/main/CLAUDE.md" TargetMode="External"/><Relationship Id="rId1130" Type="http://schemas.openxmlformats.org/officeDocument/2006/relationships/hyperlink" Target="https://github.com/numbagg/numbagg/blob/main/CLAUDE.md" TargetMode="External"/><Relationship Id="rId1228" Type="http://schemas.openxmlformats.org/officeDocument/2006/relationships/hyperlink" Target="https://github.com/dotnet/docs-aspire/blob/main/.github/copilot-instructions.md" TargetMode="External"/><Relationship Id="rId1435" Type="http://schemas.openxmlformats.org/officeDocument/2006/relationships/hyperlink" Target="https://github.com/home-assistant/frontend/blob/master/CLAUDE.md" TargetMode="External"/><Relationship Id="rId1642" Type="http://schemas.openxmlformats.org/officeDocument/2006/relationships/hyperlink" Target="https://github.com/zenml-io/zenml/blob/main/AGENTS.md" TargetMode="External"/><Relationship Id="rId1947" Type="http://schemas.openxmlformats.org/officeDocument/2006/relationships/hyperlink" Target="https://github.com/RchGrav/claudebox/blob/main/CLAUDE.md" TargetMode="External"/><Relationship Id="rId1502" Type="http://schemas.openxmlformats.org/officeDocument/2006/relationships/hyperlink" Target="https://github.com/proximafusion/vmecpp/blob/main/CLAUDE.md" TargetMode="External"/><Relationship Id="rId1807" Type="http://schemas.openxmlformats.org/officeDocument/2006/relationships/hyperlink" Target="https://github.com/public-ui/kolibri/blob/master/AGENTS.md" TargetMode="External"/><Relationship Id="rId290" Type="http://schemas.openxmlformats.org/officeDocument/2006/relationships/hyperlink" Target="https://github.com/ArcInstitute/SRAgent/blob/main/AGENTS.md" TargetMode="External"/><Relationship Id="rId388" Type="http://schemas.openxmlformats.org/officeDocument/2006/relationships/hyperlink" Target="https://github.com/dailydotdev/apps/blob/main/CLAUDE.md" TargetMode="External"/><Relationship Id="rId2069" Type="http://schemas.openxmlformats.org/officeDocument/2006/relationships/hyperlink" Target="https://github.com/valkey-io/valkey-glide/blob/main/AGENTS.md" TargetMode="External"/><Relationship Id="rId150" Type="http://schemas.openxmlformats.org/officeDocument/2006/relationships/hyperlink" Target="https://github.com/DannyMac180/meta-agent/blob/main/AGENTS.md" TargetMode="External"/><Relationship Id="rId595" Type="http://schemas.openxmlformats.org/officeDocument/2006/relationships/hyperlink" Target="https://github.com/luccahuguet/yazelix/blob/main/AGENTS.md" TargetMode="External"/><Relationship Id="rId2276" Type="http://schemas.openxmlformats.org/officeDocument/2006/relationships/hyperlink" Target="https://github.com/luccahuguet/yazelix/blob/main/AGENTS.md" TargetMode="External"/><Relationship Id="rId2483" Type="http://schemas.openxmlformats.org/officeDocument/2006/relationships/hyperlink" Target="https://github.com/useautumn/autumn/blob/main/AGENTS.md" TargetMode="External"/><Relationship Id="rId248" Type="http://schemas.openxmlformats.org/officeDocument/2006/relationships/hyperlink" Target="https://github.com/microsoft/vs-threading/blob/main/.github/copilot-instructions.md" TargetMode="External"/><Relationship Id="rId455" Type="http://schemas.openxmlformats.org/officeDocument/2006/relationships/hyperlink" Target="https://github.com/Pipelex/pipelex/blob/main/CLAUDE.md" TargetMode="External"/><Relationship Id="rId662" Type="http://schemas.openxmlformats.org/officeDocument/2006/relationships/hyperlink" Target="https://github.com/stack-auth/stack-auth/blob/main/AGENTS.md" TargetMode="External"/><Relationship Id="rId1085" Type="http://schemas.openxmlformats.org/officeDocument/2006/relationships/hyperlink" Target="https://github.com/BerriAI/litellm/blob/main/CLAUDE.md" TargetMode="External"/><Relationship Id="rId1292" Type="http://schemas.openxmlformats.org/officeDocument/2006/relationships/hyperlink" Target="https://github.com/Pipelex/pipelex/blob/main/CLAUDE.md" TargetMode="External"/><Relationship Id="rId2136" Type="http://schemas.openxmlformats.org/officeDocument/2006/relationships/hyperlink" Target="https://github.com/Comfy-Org/comfy-claude-prompt-library/blob/master/CLAUDE.md" TargetMode="External"/><Relationship Id="rId2343" Type="http://schemas.openxmlformats.org/officeDocument/2006/relationships/hyperlink" Target="https://github.com/sybrew/the-seo-framework/blob/master/.github/copilot-instructions.md" TargetMode="External"/><Relationship Id="rId108" Type="http://schemas.openxmlformats.org/officeDocument/2006/relationships/hyperlink" Target="https://github.com/thirdweb-dev/js/blob/main/CLAUDE.md" TargetMode="External"/><Relationship Id="rId315" Type="http://schemas.openxmlformats.org/officeDocument/2006/relationships/hyperlink" Target="https://github.com/wvlet/airframe/blob/main/.github/copilot-instructions.md" TargetMode="External"/><Relationship Id="rId522" Type="http://schemas.openxmlformats.org/officeDocument/2006/relationships/hyperlink" Target="https://github.com/bruin-data/bruin/blob/main/AGENTS.md" TargetMode="External"/><Relationship Id="rId967" Type="http://schemas.openxmlformats.org/officeDocument/2006/relationships/hyperlink" Target="https://github.com/Pipelex/pipelex/blob/main/AGENTS.md" TargetMode="External"/><Relationship Id="rId1152" Type="http://schemas.openxmlformats.org/officeDocument/2006/relationships/hyperlink" Target="https://github.com/RchGrav/claudebox/blob/main/CLAUDE.md" TargetMode="External"/><Relationship Id="rId1597" Type="http://schemas.openxmlformats.org/officeDocument/2006/relationships/hyperlink" Target="https://github.com/Pipelex/pipelex/blob/main/AGENTS.md" TargetMode="External"/><Relationship Id="rId2203" Type="http://schemas.openxmlformats.org/officeDocument/2006/relationships/hyperlink" Target="https://github.com/open-metadata/OpenMetadata/blob/main/CLAUDE.md" TargetMode="External"/><Relationship Id="rId2410" Type="http://schemas.openxmlformats.org/officeDocument/2006/relationships/hyperlink" Target="https://github.com/lollipopkit/flutter_server_box/blob/main/CLAUDE.md" TargetMode="External"/><Relationship Id="rId96" Type="http://schemas.openxmlformats.org/officeDocument/2006/relationships/hyperlink" Target="https://github.com/Pipelex/pipelex/blob/main/CLAUDE.md" TargetMode="External"/><Relationship Id="rId827" Type="http://schemas.openxmlformats.org/officeDocument/2006/relationships/hyperlink" Target="https://github.com/netdata/netdata/blob/master/CLAUDE.md" TargetMode="External"/><Relationship Id="rId1012" Type="http://schemas.openxmlformats.org/officeDocument/2006/relationships/hyperlink" Target="https://github.com/microsoft/GSL/blob/main/.github/copilot-instructions.md" TargetMode="External"/><Relationship Id="rId1457" Type="http://schemas.openxmlformats.org/officeDocument/2006/relationships/hyperlink" Target="https://github.com/netlify/cli/blob/main/CLAUDE.md" TargetMode="External"/><Relationship Id="rId1664" Type="http://schemas.openxmlformats.org/officeDocument/2006/relationships/hyperlink" Target="https://github.com/Azure/autorest.typescript/blob/main/.github/copilot-instructions.md" TargetMode="External"/><Relationship Id="rId1871" Type="http://schemas.openxmlformats.org/officeDocument/2006/relationships/hyperlink" Target="https://github.com/RchGrav/claudebox/blob/main/CLAUDE.md" TargetMode="External"/><Relationship Id="rId2508" Type="http://schemas.openxmlformats.org/officeDocument/2006/relationships/hyperlink" Target="https://github.com/colinhacks/zod/blob/main/CLAUDE.md" TargetMode="External"/><Relationship Id="rId1317" Type="http://schemas.openxmlformats.org/officeDocument/2006/relationships/hyperlink" Target="https://github.com/abh/ntppool/blob/main/CLAUDE.md" TargetMode="External"/><Relationship Id="rId1524" Type="http://schemas.openxmlformats.org/officeDocument/2006/relationships/hyperlink" Target="https://github.com/theopenco/llmgateway/blob/main/CLAUDE.md" TargetMode="External"/><Relationship Id="rId1731" Type="http://schemas.openxmlformats.org/officeDocument/2006/relationships/hyperlink" Target="https://github.com/microsoft/typespec/blob/main/.github/copilot-instructions.md" TargetMode="External"/><Relationship Id="rId1969" Type="http://schemas.openxmlformats.org/officeDocument/2006/relationships/hyperlink" Target="https://github.com/cablehead/xs/blob/main/AGENTS.md" TargetMode="External"/><Relationship Id="rId23" Type="http://schemas.openxmlformats.org/officeDocument/2006/relationships/hyperlink" Target="https://github.com/julep-ai/julep/blob/main/AGENTS.md" TargetMode="External"/><Relationship Id="rId1829" Type="http://schemas.openxmlformats.org/officeDocument/2006/relationships/hyperlink" Target="https://github.com/anyproto/anytype-ts/blob/main/CLAUDE.md" TargetMode="External"/><Relationship Id="rId2298" Type="http://schemas.openxmlformats.org/officeDocument/2006/relationships/hyperlink" Target="https://github.com/wandb/weave/blob/master/AGENTS.md" TargetMode="External"/><Relationship Id="rId172" Type="http://schemas.openxmlformats.org/officeDocument/2006/relationships/hyperlink" Target="https://github.com/RSSNext/Folo/blob/main/AGENTS.md" TargetMode="External"/><Relationship Id="rId477" Type="http://schemas.openxmlformats.org/officeDocument/2006/relationships/hyperlink" Target="https://github.com/RchGrav/claudebox/blob/main/CLAUDE.md" TargetMode="External"/><Relationship Id="rId684" Type="http://schemas.openxmlformats.org/officeDocument/2006/relationships/hyperlink" Target="https://github.com/wieslawsoltes/Xaml.Behaviors/blob/master/AGENTS.md" TargetMode="External"/><Relationship Id="rId2060" Type="http://schemas.openxmlformats.org/officeDocument/2006/relationships/hyperlink" Target="https://github.com/raycast/extensions/blob/main/.github/copilot-instructions.md" TargetMode="External"/><Relationship Id="rId2158" Type="http://schemas.openxmlformats.org/officeDocument/2006/relationships/hyperlink" Target="https://github.com/FastLED/FastLED/blob/master/CLAUDE.md" TargetMode="External"/><Relationship Id="rId2365" Type="http://schemas.openxmlformats.org/officeDocument/2006/relationships/hyperlink" Target="https://github.com/FastLED/FastLED/blob/master/CLAUDE.md" TargetMode="External"/><Relationship Id="rId337" Type="http://schemas.openxmlformats.org/officeDocument/2006/relationships/hyperlink" Target="https://github.com/ajanraj/OpenChat/blob/main/CLAUDE.md" TargetMode="External"/><Relationship Id="rId891" Type="http://schemas.openxmlformats.org/officeDocument/2006/relationships/hyperlink" Target="https://github.com/colinhacks/zod/blob/main/CLAUDE.md" TargetMode="External"/><Relationship Id="rId989" Type="http://schemas.openxmlformats.org/officeDocument/2006/relationships/hyperlink" Target="https://github.com/zenml-io/zenml/blob/main/AGENTS.md" TargetMode="External"/><Relationship Id="rId2018" Type="http://schemas.openxmlformats.org/officeDocument/2006/relationships/hyperlink" Target="https://github.com/public-ui/kolibri/blob/master/AGENTS.md" TargetMode="External"/><Relationship Id="rId544" Type="http://schemas.openxmlformats.org/officeDocument/2006/relationships/hyperlink" Target="https://github.com/gitkraken/vscode-gitlens/blob/main/AGENTS.md" TargetMode="External"/><Relationship Id="rId751" Type="http://schemas.openxmlformats.org/officeDocument/2006/relationships/hyperlink" Target="https://github.com/sarchlab/akita/blob/main/.github/copilot-instructions.md" TargetMode="External"/><Relationship Id="rId849" Type="http://schemas.openxmlformats.org/officeDocument/2006/relationships/hyperlink" Target="https://github.com/Azure/autorest.typescript/blob/main/.github/copilot-instructions.md" TargetMode="External"/><Relationship Id="rId1174" Type="http://schemas.openxmlformats.org/officeDocument/2006/relationships/hyperlink" Target="https://github.com/truenas/webui/blob/master/CLAUDE.md" TargetMode="External"/><Relationship Id="rId1381" Type="http://schemas.openxmlformats.org/officeDocument/2006/relationships/hyperlink" Target="https://github.com/compiler-explorer/compiler-explorer/blob/main/CLAUDE.md" TargetMode="External"/><Relationship Id="rId1479" Type="http://schemas.openxmlformats.org/officeDocument/2006/relationships/hyperlink" Target="https://github.com/owid/etl/blob/master/CLAUDE.md" TargetMode="External"/><Relationship Id="rId1686" Type="http://schemas.openxmlformats.org/officeDocument/2006/relationships/hyperlink" Target="https://github.com/christianhelle/apiclientcodegen/blob/master/.github/copilot-instructions.md" TargetMode="External"/><Relationship Id="rId2225" Type="http://schemas.openxmlformats.org/officeDocument/2006/relationships/hyperlink" Target="https://github.com/twentyhq/twenty/blob/main/CLAUDE.md" TargetMode="External"/><Relationship Id="rId2432" Type="http://schemas.openxmlformats.org/officeDocument/2006/relationships/hyperlink" Target="https://github.com/igraph/igraph/blob/main/.github/copilot-instructions.md" TargetMode="External"/><Relationship Id="rId404" Type="http://schemas.openxmlformats.org/officeDocument/2006/relationships/hyperlink" Target="https://github.com/langchain-ai/langchain/blob/master/CLAUDE.md" TargetMode="External"/><Relationship Id="rId611" Type="http://schemas.openxmlformats.org/officeDocument/2006/relationships/hyperlink" Target="https://github.com/openai/openai-agents-python/blob/main/AGENTS.md" TargetMode="External"/><Relationship Id="rId1034" Type="http://schemas.openxmlformats.org/officeDocument/2006/relationships/hyperlink" Target="https://github.com/paradigmxyz/reth/blob/main/CLAUDE.md" TargetMode="External"/><Relationship Id="rId1241" Type="http://schemas.openxmlformats.org/officeDocument/2006/relationships/hyperlink" Target="https://github.com/microsoft/ApplicationInsights-JS/blob/main/.github/copilot-instructions.md" TargetMode="External"/><Relationship Id="rId1339" Type="http://schemas.openxmlformats.org/officeDocument/2006/relationships/hyperlink" Target="https://github.com/BerriAI/litellm/blob/main/CLAUDE.md" TargetMode="External"/><Relationship Id="rId1893" Type="http://schemas.openxmlformats.org/officeDocument/2006/relationships/hyperlink" Target="https://github.com/Comfy-Org/comfy-claude-prompt-library/blob/master/CLAUDE.md" TargetMode="External"/><Relationship Id="rId709" Type="http://schemas.openxmlformats.org/officeDocument/2006/relationships/hyperlink" Target="https://github.com/dotnet/maui/blob/main/.github/copilot-instructions.md" TargetMode="External"/><Relationship Id="rId916" Type="http://schemas.openxmlformats.org/officeDocument/2006/relationships/hyperlink" Target="https://github.com/home-assistant/frontend/blob/master/CLAUDE.md" TargetMode="External"/><Relationship Id="rId1101" Type="http://schemas.openxmlformats.org/officeDocument/2006/relationships/hyperlink" Target="https://github.com/dailydotdev/apps/blob/main/CLAUDE.md" TargetMode="External"/><Relationship Id="rId1546" Type="http://schemas.openxmlformats.org/officeDocument/2006/relationships/hyperlink" Target="https://github.com/xlnfinance/xln/blob/main/CLAUDE.md" TargetMode="External"/><Relationship Id="rId1753" Type="http://schemas.openxmlformats.org/officeDocument/2006/relationships/hyperlink" Target="https://github.com/sybrew/the-seo-framework/blob/master/.github/copilot-instructions.md" TargetMode="External"/><Relationship Id="rId1960" Type="http://schemas.openxmlformats.org/officeDocument/2006/relationships/hyperlink" Target="https://github.com/xlnfinance/xln/blob/main/CLAUDE.md" TargetMode="External"/><Relationship Id="rId45" Type="http://schemas.openxmlformats.org/officeDocument/2006/relationships/hyperlink" Target="https://github.com/CapSoftware/Cap/blob/main/CLAUDE.md" TargetMode="External"/><Relationship Id="rId1406" Type="http://schemas.openxmlformats.org/officeDocument/2006/relationships/hyperlink" Target="https://github.com/FastLED/FastLED/blob/master/CLAUDE.md" TargetMode="External"/><Relationship Id="rId1613" Type="http://schemas.openxmlformats.org/officeDocument/2006/relationships/hyperlink" Target="https://github.com/pulumi/docs/blob/master/AGENTS.md" TargetMode="External"/><Relationship Id="rId1820" Type="http://schemas.openxmlformats.org/officeDocument/2006/relationships/hyperlink" Target="https://github.com/coder/coder/blob/main/CLAUDE.md" TargetMode="External"/><Relationship Id="rId194" Type="http://schemas.openxmlformats.org/officeDocument/2006/relationships/hyperlink" Target="https://github.com/wieslawsoltes/Dock/blob/master/AGENTS.md" TargetMode="External"/><Relationship Id="rId1918" Type="http://schemas.openxmlformats.org/officeDocument/2006/relationships/hyperlink" Target="https://github.com/jefago/tiny-markdown-editor/blob/main/CLAUDE.md" TargetMode="External"/><Relationship Id="rId2082" Type="http://schemas.openxmlformats.org/officeDocument/2006/relationships/hyperlink" Target="https://github.com/charlesvestal/extending-move/blob/main/AGENTS.md" TargetMode="External"/><Relationship Id="rId261" Type="http://schemas.openxmlformats.org/officeDocument/2006/relationships/hyperlink" Target="https://github.com/sybrew/the-seo-framework/blob/master/.github/copilot-instructions.md" TargetMode="External"/><Relationship Id="rId499" Type="http://schemas.openxmlformats.org/officeDocument/2006/relationships/hyperlink" Target="https://github.com/thirdweb-dev/js/blob/main/CLAUDE.md" TargetMode="External"/><Relationship Id="rId2387" Type="http://schemas.openxmlformats.org/officeDocument/2006/relationships/hyperlink" Target="https://github.com/RchGrav/claudebox/blob/main/CLAUDE.md" TargetMode="External"/><Relationship Id="rId359" Type="http://schemas.openxmlformats.org/officeDocument/2006/relationships/hyperlink" Target="https://github.com/clidey/dory/blob/main/CLAUDE.md" TargetMode="External"/><Relationship Id="rId566" Type="http://schemas.openxmlformats.org/officeDocument/2006/relationships/hyperlink" Target="https://github.com/katspaugh/wavesurfer.js/blob/main/AGENTS.md" TargetMode="External"/><Relationship Id="rId773" Type="http://schemas.openxmlformats.org/officeDocument/2006/relationships/hyperlink" Target="https://github.com/sybrew/the-seo-framework/blob/master/.github/copilot-instructions.md" TargetMode="External"/><Relationship Id="rId1196" Type="http://schemas.openxmlformats.org/officeDocument/2006/relationships/hyperlink" Target="https://github.com/luccahuguet/yazelix/blob/main/AGENTS.md" TargetMode="External"/><Relationship Id="rId2247" Type="http://schemas.openxmlformats.org/officeDocument/2006/relationships/hyperlink" Target="https://github.com/CapSoftware/Cap/blob/main/AGENTS.md" TargetMode="External"/><Relationship Id="rId2454" Type="http://schemas.openxmlformats.org/officeDocument/2006/relationships/hyperlink" Target="https://github.com/ESPresense/ESPresense-companion/blob/main/CLAUDE.md" TargetMode="External"/><Relationship Id="rId121" Type="http://schemas.openxmlformats.org/officeDocument/2006/relationships/hyperlink" Target="https://github.com/wvlet/wvlet/blob/main/CLAUDE.md" TargetMode="External"/><Relationship Id="rId219" Type="http://schemas.openxmlformats.org/officeDocument/2006/relationships/hyperlink" Target="https://github.com/Azure/AgentBaker/blob/main/.github/copilot-instructions.md" TargetMode="External"/><Relationship Id="rId426" Type="http://schemas.openxmlformats.org/officeDocument/2006/relationships/hyperlink" Target="https://github.com/netdata/netdata/blob/master/CLAUDE.md" TargetMode="External"/><Relationship Id="rId633" Type="http://schemas.openxmlformats.org/officeDocument/2006/relationships/hyperlink" Target="https://github.com/public-ui/kolibri/blob/master/AGENTS.md" TargetMode="External"/><Relationship Id="rId980" Type="http://schemas.openxmlformats.org/officeDocument/2006/relationships/hyperlink" Target="https://github.com/pytorch/pytorch/blob/main/AGENTS.md" TargetMode="External"/><Relationship Id="rId1056" Type="http://schemas.openxmlformats.org/officeDocument/2006/relationships/hyperlink" Target="https://github.com/glu-lang/glu/blob/main/.github/copilot-instructions.md" TargetMode="External"/><Relationship Id="rId1263" Type="http://schemas.openxmlformats.org/officeDocument/2006/relationships/hyperlink" Target="https://github.com/raycast/extensions/blob/main/.github/copilot-instructions.md" TargetMode="External"/><Relationship Id="rId2107" Type="http://schemas.openxmlformats.org/officeDocument/2006/relationships/hyperlink" Target="https://github.com/abh/ntppool/blob/main/CLAUDE.md" TargetMode="External"/><Relationship Id="rId2314" Type="http://schemas.openxmlformats.org/officeDocument/2006/relationships/hyperlink" Target="https://github.com/DumbWareio/DumbAssets/blob/main/.github/copilot-instructions.md" TargetMode="External"/><Relationship Id="rId840" Type="http://schemas.openxmlformats.org/officeDocument/2006/relationships/hyperlink" Target="https://github.com/vczh-libraries/GacUI/blob/master/.github/copilot-instructions.md" TargetMode="External"/><Relationship Id="rId938" Type="http://schemas.openxmlformats.org/officeDocument/2006/relationships/hyperlink" Target="https://github.com/Pipelex/pipelex/blob/main/CLAUDE.md" TargetMode="External"/><Relationship Id="rId1470" Type="http://schemas.openxmlformats.org/officeDocument/2006/relationships/hyperlink" Target="https://github.com/open-metadata/OpenMetadata/blob/main/CLAUDE.md" TargetMode="External"/><Relationship Id="rId1568" Type="http://schemas.openxmlformats.org/officeDocument/2006/relationships/hyperlink" Target="https://github.com/commonwarexyz/monorepo/blob/main/AGENTS.md" TargetMode="External"/><Relationship Id="rId1775" Type="http://schemas.openxmlformats.org/officeDocument/2006/relationships/hyperlink" Target="https://github.com/OneKeyHQ/app-monorepo/blob/master/CLAUDE.md" TargetMode="External"/><Relationship Id="rId2521" Type="http://schemas.openxmlformats.org/officeDocument/2006/relationships/hyperlink" Target="https://github.com/Pipelex/pipelex/blob/main/AGENTS.md" TargetMode="External"/><Relationship Id="rId67" Type="http://schemas.openxmlformats.org/officeDocument/2006/relationships/hyperlink" Target="https://github.com/grafbase/grafbase/blob/main/CLAUDE.md" TargetMode="External"/><Relationship Id="rId700" Type="http://schemas.openxmlformats.org/officeDocument/2006/relationships/hyperlink" Target="https://github.com/christianhelle/apiclientcodegen/blob/master/.github/copilot-instructions.md" TargetMode="External"/><Relationship Id="rId1123" Type="http://schemas.openxmlformats.org/officeDocument/2006/relationships/hyperlink" Target="https://github.com/liam-hq/liam/blob/main/CLAUDE.md" TargetMode="External"/><Relationship Id="rId1330" Type="http://schemas.openxmlformats.org/officeDocument/2006/relationships/hyperlink" Target="https://github.com/anyproto/anytype-swift/blob/main/CLAUDE.md" TargetMode="External"/><Relationship Id="rId1428" Type="http://schemas.openxmlformats.org/officeDocument/2006/relationships/hyperlink" Target="https://github.com/getsentry/sentry-javascript/blob/master/CLAUDE.md" TargetMode="External"/><Relationship Id="rId1635" Type="http://schemas.openxmlformats.org/officeDocument/2006/relationships/hyperlink" Target="https://github.com/webgptorg/promptbook/blob/main/AGENTS.md" TargetMode="External"/><Relationship Id="rId1982" Type="http://schemas.openxmlformats.org/officeDocument/2006/relationships/hyperlink" Target="https://github.com/hathach/tinyusb/blob/master/AGENTS.md" TargetMode="External"/><Relationship Id="rId1842" Type="http://schemas.openxmlformats.org/officeDocument/2006/relationships/hyperlink" Target="https://github.com/thirdweb-dev/js/blob/main/CLAUDE.md" TargetMode="External"/><Relationship Id="rId1702" Type="http://schemas.openxmlformats.org/officeDocument/2006/relationships/hyperlink" Target="https://github.com/geneontology/go-ontology/blob/master/.github/copilot-instructions.md" TargetMode="External"/><Relationship Id="rId283" Type="http://schemas.openxmlformats.org/officeDocument/2006/relationships/hyperlink" Target="https://github.com/open-metadata/OpenMetadata/blob/main/CLAUDE.md" TargetMode="External"/><Relationship Id="rId490" Type="http://schemas.openxmlformats.org/officeDocument/2006/relationships/hyperlink" Target="https://github.com/speaches-ai/speaches/blob/master/CLAUDE.md" TargetMode="External"/><Relationship Id="rId2171" Type="http://schemas.openxmlformats.org/officeDocument/2006/relationships/hyperlink" Target="https://github.com/gojiplus/tuber/blob/master/CLAUDE.md" TargetMode="External"/><Relationship Id="rId143" Type="http://schemas.openxmlformats.org/officeDocument/2006/relationships/hyperlink" Target="https://github.com/bruin-data/bruin/blob/main/AGENTS.md" TargetMode="External"/><Relationship Id="rId350" Type="http://schemas.openxmlformats.org/officeDocument/2006/relationships/hyperlink" Target="https://github.com/CapSoftware/Cap/blob/main/CLAUDE.md" TargetMode="External"/><Relationship Id="rId588" Type="http://schemas.openxmlformats.org/officeDocument/2006/relationships/hyperlink" Target="https://github.com/luccahuguet/yazelix/blob/main/AGENTS.md" TargetMode="External"/><Relationship Id="rId795" Type="http://schemas.openxmlformats.org/officeDocument/2006/relationships/hyperlink" Target="https://github.com/RchGrav/claudebox/blob/main/CLAUDE.md" TargetMode="External"/><Relationship Id="rId2031" Type="http://schemas.openxmlformats.org/officeDocument/2006/relationships/hyperlink" Target="https://github.com/useautumn/autumn/blob/main/AGENTS.md" TargetMode="External"/><Relationship Id="rId2269" Type="http://schemas.openxmlformats.org/officeDocument/2006/relationships/hyperlink" Target="https://github.com/langchain-ai/langchain/blob/master/AGENTS.md" TargetMode="External"/><Relationship Id="rId2476" Type="http://schemas.openxmlformats.org/officeDocument/2006/relationships/hyperlink" Target="https://github.com/julep-ai/julep/blob/main/AGENTS.md" TargetMode="External"/><Relationship Id="rId9" Type="http://schemas.openxmlformats.org/officeDocument/2006/relationships/hyperlink" Target="https://github.com/saleor/saleor/blob/main/CLAUDE.md" TargetMode="External"/><Relationship Id="rId210" Type="http://schemas.openxmlformats.org/officeDocument/2006/relationships/hyperlink" Target="https://github.com/Agoric/agoric-sdk/blob/master/.github/copilot-instructions.md" TargetMode="External"/><Relationship Id="rId448" Type="http://schemas.openxmlformats.org/officeDocument/2006/relationships/hyperlink" Target="https://github.com/openai/openai-agents-python/blob/main/CLAUDE.md" TargetMode="External"/><Relationship Id="rId655" Type="http://schemas.openxmlformats.org/officeDocument/2006/relationships/hyperlink" Target="https://github.com/RSSNext/Folo/blob/main/AGENTS.md" TargetMode="External"/><Relationship Id="rId862" Type="http://schemas.openxmlformats.org/officeDocument/2006/relationships/hyperlink" Target="https://github.com/SparkDevNetwork/Rock/blob/master/.github/copilot-instructions.md" TargetMode="External"/><Relationship Id="rId1078" Type="http://schemas.openxmlformats.org/officeDocument/2006/relationships/hyperlink" Target="https://github.com/angular-eslint/angular-eslint/blob/main/CLAUDE.md" TargetMode="External"/><Relationship Id="rId1285" Type="http://schemas.openxmlformats.org/officeDocument/2006/relationships/hyperlink" Target="https://github.com/compiler-explorer/compiler-explorer/blob/main/CLAUDE.md" TargetMode="External"/><Relationship Id="rId1492" Type="http://schemas.openxmlformats.org/officeDocument/2006/relationships/hyperlink" Target="https://github.com/Pipelex/pipelex/blob/main/CLAUDE.md" TargetMode="External"/><Relationship Id="rId2129" Type="http://schemas.openxmlformats.org/officeDocument/2006/relationships/hyperlink" Target="https://github.com/cloudposse/atmos/blob/main/CLAUDE.md" TargetMode="External"/><Relationship Id="rId2336" Type="http://schemas.openxmlformats.org/officeDocument/2006/relationships/hyperlink" Target="https://github.com/sarchlab/akita/blob/main/.github/copilot-instructions.md" TargetMode="External"/><Relationship Id="rId2543" Type="http://schemas.openxmlformats.org/officeDocument/2006/relationships/hyperlink" Target="https://github.com/wandb/weave/blob/master/AGENTS.md" TargetMode="External"/><Relationship Id="rId308" Type="http://schemas.openxmlformats.org/officeDocument/2006/relationships/hyperlink" Target="https://github.com/epicweb-dev/epicshop/blob/main/AGENTS.md" TargetMode="External"/><Relationship Id="rId515" Type="http://schemas.openxmlformats.org/officeDocument/2006/relationships/hyperlink" Target="https://github.com/biolink/biolink-model/blob/master/AGENTS.md" TargetMode="External"/><Relationship Id="rId722" Type="http://schemas.openxmlformats.org/officeDocument/2006/relationships/hyperlink" Target="https://github.com/HotCakeX/Harden-Windows-Security/blob/main/.github/copilot-instructions.md" TargetMode="External"/><Relationship Id="rId1145" Type="http://schemas.openxmlformats.org/officeDocument/2006/relationships/hyperlink" Target="https://github.com/PrefectHQ/marvin/blob/main/CLAUDE.md" TargetMode="External"/><Relationship Id="rId1352" Type="http://schemas.openxmlformats.org/officeDocument/2006/relationships/hyperlink" Target="https://github.com/CapSoftware/Cap/blob/main/CLAUDE.md" TargetMode="External"/><Relationship Id="rId1797" Type="http://schemas.openxmlformats.org/officeDocument/2006/relationships/hyperlink" Target="https://github.com/stack-auth/stack-auth/blob/main/AGENTS.md" TargetMode="External"/><Relationship Id="rId2403" Type="http://schemas.openxmlformats.org/officeDocument/2006/relationships/hyperlink" Target="https://github.com/open-metadata/OpenMetadata/blob/main/CLAUDE.md" TargetMode="External"/><Relationship Id="rId89" Type="http://schemas.openxmlformats.org/officeDocument/2006/relationships/hyperlink" Target="https://github.com/owid/etl/blob/master/CLAUDE.md" TargetMode="External"/><Relationship Id="rId1005" Type="http://schemas.openxmlformats.org/officeDocument/2006/relationships/hyperlink" Target="https://github.com/friendsofhyperf/components/blob/main/.github/copilot-instructions.md" TargetMode="External"/><Relationship Id="rId1212" Type="http://schemas.openxmlformats.org/officeDocument/2006/relationships/hyperlink" Target="https://github.com/seasonedcc/remix-forms/blob/main/AGENTS.md" TargetMode="External"/><Relationship Id="rId1657" Type="http://schemas.openxmlformats.org/officeDocument/2006/relationships/hyperlink" Target="https://github.com/ast-grep/ast-grep/blob/main/.github/copilot-instructions.md" TargetMode="External"/><Relationship Id="rId1864" Type="http://schemas.openxmlformats.org/officeDocument/2006/relationships/hyperlink" Target="https://github.com/anyproto/anytype-swift/blob/main/CLAUDE.md" TargetMode="External"/><Relationship Id="rId1517" Type="http://schemas.openxmlformats.org/officeDocument/2006/relationships/hyperlink" Target="https://github.com/Southclaws/storyden/blob/main/CLAUDE.md" TargetMode="External"/><Relationship Id="rId1724" Type="http://schemas.openxmlformats.org/officeDocument/2006/relationships/hyperlink" Target="https://github.com/microsoft/ApplicationInsights-JS/blob/main/.github/copilot-instructions.md" TargetMode="External"/><Relationship Id="rId16" Type="http://schemas.openxmlformats.org/officeDocument/2006/relationships/hyperlink" Target="https://github.com/dotnet/maui/blob/main/.github/copilot-instructions.md" TargetMode="External"/><Relationship Id="rId1931" Type="http://schemas.openxmlformats.org/officeDocument/2006/relationships/hyperlink" Target="https://github.com/op-rs/kona/blob/main/CLAUDE.md" TargetMode="External"/><Relationship Id="rId2193" Type="http://schemas.openxmlformats.org/officeDocument/2006/relationships/hyperlink" Target="https://github.com/netdata/netdata/blob/master/CLAUDE.md" TargetMode="External"/><Relationship Id="rId2498" Type="http://schemas.openxmlformats.org/officeDocument/2006/relationships/hyperlink" Target="https://github.com/CapSoftware/Cap/blob/main/CLAUDE.md" TargetMode="External"/><Relationship Id="rId165" Type="http://schemas.openxmlformats.org/officeDocument/2006/relationships/hyperlink" Target="https://github.com/Pipelex/pipelex/blob/main/AGENTS.md" TargetMode="External"/><Relationship Id="rId372" Type="http://schemas.openxmlformats.org/officeDocument/2006/relationships/hyperlink" Target="https://github.com/coder/coder/blob/main/CLAUDE.md" TargetMode="External"/><Relationship Id="rId677" Type="http://schemas.openxmlformats.org/officeDocument/2006/relationships/hyperlink" Target="https://github.com/webgptorg/promptbook/blob/main/AGENTS.md" TargetMode="External"/><Relationship Id="rId2053" Type="http://schemas.openxmlformats.org/officeDocument/2006/relationships/hyperlink" Target="https://github.com/geneontology/go-ontology/blob/master/.github/copilot-instructions.md" TargetMode="External"/><Relationship Id="rId2260" Type="http://schemas.openxmlformats.org/officeDocument/2006/relationships/hyperlink" Target="https://github.com/janbjorge/pgqueuer/blob/main/AGENTS.md" TargetMode="External"/><Relationship Id="rId2358" Type="http://schemas.openxmlformats.org/officeDocument/2006/relationships/hyperlink" Target="https://github.com/PrairieLearn/PrairieLearn/blob/master/AGENTS.md" TargetMode="External"/><Relationship Id="rId232" Type="http://schemas.openxmlformats.org/officeDocument/2006/relationships/hyperlink" Target="https://github.com/friendsofhyperf/components/blob/main/.github/copilot-instructions.md" TargetMode="External"/><Relationship Id="rId884" Type="http://schemas.openxmlformats.org/officeDocument/2006/relationships/hyperlink" Target="https://github.com/coder/coder/blob/main/CLAUDE.md" TargetMode="External"/><Relationship Id="rId2120" Type="http://schemas.openxmlformats.org/officeDocument/2006/relationships/hyperlink" Target="https://github.com/Azure/LogicAppsUX/blob/main/CLAUDE.md" TargetMode="External"/><Relationship Id="rId537" Type="http://schemas.openxmlformats.org/officeDocument/2006/relationships/hyperlink" Target="https://github.com/cubicdaiya/nginx-build/blob/master/AGENTS.md" TargetMode="External"/><Relationship Id="rId744" Type="http://schemas.openxmlformats.org/officeDocument/2006/relationships/hyperlink" Target="https://github.com/owid/owid-grapher/blob/master/.github/copilot-instructions.md" TargetMode="External"/><Relationship Id="rId951" Type="http://schemas.openxmlformats.org/officeDocument/2006/relationships/hyperlink" Target="https://github.com/vaadin/flow/blob/main/CLAUDE.md" TargetMode="External"/><Relationship Id="rId1167" Type="http://schemas.openxmlformats.org/officeDocument/2006/relationships/hyperlink" Target="https://github.com/tphakala/birdnet-go/blob/main/CLAUDE.md" TargetMode="External"/><Relationship Id="rId1374" Type="http://schemas.openxmlformats.org/officeDocument/2006/relationships/hyperlink" Target="https://github.com/coder/coder/blob/main/CLAUDE.md" TargetMode="External"/><Relationship Id="rId1581" Type="http://schemas.openxmlformats.org/officeDocument/2006/relationships/hyperlink" Target="https://github.com/luccahuguet/yazelix/blob/main/AGENTS.md" TargetMode="External"/><Relationship Id="rId1679" Type="http://schemas.openxmlformats.org/officeDocument/2006/relationships/hyperlink" Target="https://github.com/Chainlit/chainlit/blob/main/.github/copilot-instructions.md" TargetMode="External"/><Relationship Id="rId2218" Type="http://schemas.openxmlformats.org/officeDocument/2006/relationships/hyperlink" Target="https://github.com/RchGrav/claudebox/blob/main/CLAUDE.md" TargetMode="External"/><Relationship Id="rId2425" Type="http://schemas.openxmlformats.org/officeDocument/2006/relationships/hyperlink" Target="https://github.com/Azure/azure-rest-api-specs/blob/main/.github/copilot-instructions.md" TargetMode="External"/><Relationship Id="rId80" Type="http://schemas.openxmlformats.org/officeDocument/2006/relationships/hyperlink" Target="https://github.com/langchain-ai/langchain/blob/master/CLAUDE.md" TargetMode="External"/><Relationship Id="rId604" Type="http://schemas.openxmlformats.org/officeDocument/2006/relationships/hyperlink" Target="https://github.com/microsoft/mcp-for-beginners/blob/main/AGENTS.md" TargetMode="External"/><Relationship Id="rId811" Type="http://schemas.openxmlformats.org/officeDocument/2006/relationships/hyperlink" Target="https://github.com/colinhacks/zod/blob/main/CLAUDE.md" TargetMode="External"/><Relationship Id="rId1027" Type="http://schemas.openxmlformats.org/officeDocument/2006/relationships/hyperlink" Target="https://github.com/paradigmxyz/reth/blob/main/CLAUDE.md" TargetMode="External"/><Relationship Id="rId1234" Type="http://schemas.openxmlformats.org/officeDocument/2006/relationships/hyperlink" Target="https://github.com/dotnet/runtime/blob/main/.github/copilot-instructions.md" TargetMode="External"/><Relationship Id="rId1441" Type="http://schemas.openxmlformats.org/officeDocument/2006/relationships/hyperlink" Target="https://github.com/lfnovo/esperanto/blob/main/CLAUDE.md" TargetMode="External"/><Relationship Id="rId1886" Type="http://schemas.openxmlformats.org/officeDocument/2006/relationships/hyperlink" Target="https://github.com/BerriAI/litellm/blob/main/CLAUDE.md" TargetMode="External"/><Relationship Id="rId909" Type="http://schemas.openxmlformats.org/officeDocument/2006/relationships/hyperlink" Target="https://github.com/dailydotdev/apps/blob/main/CLAUDE.md" TargetMode="External"/><Relationship Id="rId1301" Type="http://schemas.openxmlformats.org/officeDocument/2006/relationships/hyperlink" Target="https://github.com/dotnet/runtime/blob/main/.github/copilot-instructions.md" TargetMode="External"/><Relationship Id="rId1539" Type="http://schemas.openxmlformats.org/officeDocument/2006/relationships/hyperlink" Target="https://github.com/xlnfinance/xln/blob/main/CLAUDE.md" TargetMode="External"/><Relationship Id="rId1746" Type="http://schemas.openxmlformats.org/officeDocument/2006/relationships/hyperlink" Target="https://github.com/sarchlab/akita/blob/main/.github/copilot-instructions.md" TargetMode="External"/><Relationship Id="rId1953" Type="http://schemas.openxmlformats.org/officeDocument/2006/relationships/hyperlink" Target="https://github.com/stepfunc/dnp3/blob/main/CLAUDE.md" TargetMode="External"/><Relationship Id="rId38" Type="http://schemas.openxmlformats.org/officeDocument/2006/relationships/hyperlink" Target="https://github.com/abh/ntppool/blob/main/CLAUDE.md" TargetMode="External"/><Relationship Id="rId1606" Type="http://schemas.openxmlformats.org/officeDocument/2006/relationships/hyperlink" Target="https://github.com/proximafusion/vmecpp/blob/main/AGENTS.md" TargetMode="External"/><Relationship Id="rId1813" Type="http://schemas.openxmlformats.org/officeDocument/2006/relationships/hyperlink" Target="https://github.com/logancyang/obsidian-copilot/blob/master/AGENTS.md" TargetMode="External"/><Relationship Id="rId187" Type="http://schemas.openxmlformats.org/officeDocument/2006/relationships/hyperlink" Target="https://github.com/webgptorg/promptbook/blob/main/AGENTS.md" TargetMode="External"/><Relationship Id="rId394" Type="http://schemas.openxmlformats.org/officeDocument/2006/relationships/hyperlink" Target="https://github.com/getsentry/sentry-javascript/blob/master/CLAUDE.md" TargetMode="External"/><Relationship Id="rId2075" Type="http://schemas.openxmlformats.org/officeDocument/2006/relationships/hyperlink" Target="https://github.com/liam-hq/liam/blob/main/CLAUDE.md" TargetMode="External"/><Relationship Id="rId2282" Type="http://schemas.openxmlformats.org/officeDocument/2006/relationships/hyperlink" Target="https://github.com/mixpanel/mixpanel-android/blob/master/AGENTS.md" TargetMode="External"/><Relationship Id="rId254" Type="http://schemas.openxmlformats.org/officeDocument/2006/relationships/hyperlink" Target="https://github.com/Open-LLM-VTuber/Open-LLM-VTuber/blob/main/.github/copilot-instructions.md" TargetMode="External"/><Relationship Id="rId699" Type="http://schemas.openxmlformats.org/officeDocument/2006/relationships/hyperlink" Target="https://github.com/Azure/azure-sdk-tools/blob/main/.github/copilot-instructions.md" TargetMode="External"/><Relationship Id="rId1091" Type="http://schemas.openxmlformats.org/officeDocument/2006/relationships/hyperlink" Target="https://github.com/CapSoftware/Cap/blob/main/CLAUDE.md" TargetMode="External"/><Relationship Id="rId114" Type="http://schemas.openxmlformats.org/officeDocument/2006/relationships/hyperlink" Target="https://github.com/truenas/webui/blob/master/CLAUDE.md" TargetMode="External"/><Relationship Id="rId461" Type="http://schemas.openxmlformats.org/officeDocument/2006/relationships/hyperlink" Target="https://github.com/Pipelex/pipelex/blob/main/CLAUDE.md" TargetMode="External"/><Relationship Id="rId559" Type="http://schemas.openxmlformats.org/officeDocument/2006/relationships/hyperlink" Target="https://github.com/JuliaLang/julia/blob/master/AGENTS.md" TargetMode="External"/><Relationship Id="rId766" Type="http://schemas.openxmlformats.org/officeDocument/2006/relationships/hyperlink" Target="https://github.com/sybrew/the-seo-framework/blob/master/.github/copilot-instructions.md" TargetMode="External"/><Relationship Id="rId1189" Type="http://schemas.openxmlformats.org/officeDocument/2006/relationships/hyperlink" Target="https://github.com/julep-ai/julep/blob/main/AGENTS.md" TargetMode="External"/><Relationship Id="rId1396" Type="http://schemas.openxmlformats.org/officeDocument/2006/relationships/hyperlink" Target="https://github.com/dymensionxyz/dymension/blob/main/CLAUDE.md" TargetMode="External"/><Relationship Id="rId2142" Type="http://schemas.openxmlformats.org/officeDocument/2006/relationships/hyperlink" Target="https://github.com/compiler-explorer/infra/blob/main/CLAUDE.md" TargetMode="External"/><Relationship Id="rId2447" Type="http://schemas.openxmlformats.org/officeDocument/2006/relationships/hyperlink" Target="https://github.com/cloudposse/atmos/blob/main/CLAUDE.md" TargetMode="External"/><Relationship Id="rId321" Type="http://schemas.openxmlformats.org/officeDocument/2006/relationships/hyperlink" Target="https://github.com/dailydotdev/apps/blob/main/CLAUDE.md" TargetMode="External"/><Relationship Id="rId419" Type="http://schemas.openxmlformats.org/officeDocument/2006/relationships/hyperlink" Target="https://github.com/lostleaf/binance_datatool/blob/main/CLAUDE.md" TargetMode="External"/><Relationship Id="rId626" Type="http://schemas.openxmlformats.org/officeDocument/2006/relationships/hyperlink" Target="https://github.com/public-ui/kolibri/blob/master/AGENTS.md" TargetMode="External"/><Relationship Id="rId973" Type="http://schemas.openxmlformats.org/officeDocument/2006/relationships/hyperlink" Target="https://github.com/PrairieLearn/PrairieLearn/blob/master/AGENTS.md" TargetMode="External"/><Relationship Id="rId1049" Type="http://schemas.openxmlformats.org/officeDocument/2006/relationships/hyperlink" Target="https://github.com/dotnet/aspnetcore/blob/main/.github/copilot-instructions.md" TargetMode="External"/><Relationship Id="rId1256" Type="http://schemas.openxmlformats.org/officeDocument/2006/relationships/hyperlink" Target="https://github.com/NG-ZORRO/ng-zorro-antd/blob/master/.github/copilot-instructions.md" TargetMode="External"/><Relationship Id="rId2002" Type="http://schemas.openxmlformats.org/officeDocument/2006/relationships/hyperlink" Target="https://github.com/marin-community/marin/blob/main/AGENTS.md" TargetMode="External"/><Relationship Id="rId2307" Type="http://schemas.openxmlformats.org/officeDocument/2006/relationships/hyperlink" Target="https://github.com/BrighterCommand/Brighter/blob/master/.github/copilot-instructions.md" TargetMode="External"/><Relationship Id="rId833" Type="http://schemas.openxmlformats.org/officeDocument/2006/relationships/hyperlink" Target="https://github.com/rustfs/rustfs/blob/main/AGENTS.md" TargetMode="External"/><Relationship Id="rId1116" Type="http://schemas.openxmlformats.org/officeDocument/2006/relationships/hyperlink" Target="https://github.com/ithacaxyz/account/blob/main/CLAUDE.md" TargetMode="External"/><Relationship Id="rId1463" Type="http://schemas.openxmlformats.org/officeDocument/2006/relationships/hyperlink" Target="https://github.com/OneKeyHQ/app-monorepo/blob/master/CLAUDE.md" TargetMode="External"/><Relationship Id="rId1670" Type="http://schemas.openxmlformats.org/officeDocument/2006/relationships/hyperlink" Target="https://github.com/Azure/autorest.typescript/blob/main/.github/copilot-instructions.md" TargetMode="External"/><Relationship Id="rId1768" Type="http://schemas.openxmlformats.org/officeDocument/2006/relationships/hyperlink" Target="https://github.com/OneKeyHQ/app-monorepo/blob/master/CLAUDE.md" TargetMode="External"/><Relationship Id="rId2514" Type="http://schemas.openxmlformats.org/officeDocument/2006/relationships/hyperlink" Target="https://github.com/Pipelex/pipelex/blob/main/CLAUDE.md" TargetMode="External"/><Relationship Id="rId900" Type="http://schemas.openxmlformats.org/officeDocument/2006/relationships/hyperlink" Target="https://github.com/Comfy-Org/comfy-claude-prompt-library/blob/master/CLAUDE.md" TargetMode="External"/><Relationship Id="rId1323" Type="http://schemas.openxmlformats.org/officeDocument/2006/relationships/hyperlink" Target="https://github.com/abh/ntppool/blob/main/CLAUDE.md" TargetMode="External"/><Relationship Id="rId1530" Type="http://schemas.openxmlformats.org/officeDocument/2006/relationships/hyperlink" Target="https://github.com/traceloop/openllmetry/blob/main/CLAUDE.md" TargetMode="External"/><Relationship Id="rId1628" Type="http://schemas.openxmlformats.org/officeDocument/2006/relationships/hyperlink" Target="https://github.com/theopenco/llmgateway/blob/main/AGENTS.md" TargetMode="External"/><Relationship Id="rId1975" Type="http://schemas.openxmlformats.org/officeDocument/2006/relationships/hyperlink" Target="https://github.com/commonwarexyz/monorepo/blob/main/AGENTS.md" TargetMode="External"/><Relationship Id="rId1835" Type="http://schemas.openxmlformats.org/officeDocument/2006/relationships/hyperlink" Target="https://github.com/dotCMS/core/blob/main/CLAUDE.md" TargetMode="External"/><Relationship Id="rId1902" Type="http://schemas.openxmlformats.org/officeDocument/2006/relationships/hyperlink" Target="https://github.com/Freika/dawarich/blob/master/CLAUDE.md" TargetMode="External"/><Relationship Id="rId2097" Type="http://schemas.openxmlformats.org/officeDocument/2006/relationships/hyperlink" Target="https://github.com/fukuball/jieba-php/blob/master/CLAUDE.md" TargetMode="External"/><Relationship Id="rId276" Type="http://schemas.openxmlformats.org/officeDocument/2006/relationships/hyperlink" Target="https://github.com/module-federation/core/blob/main/CLAUDE.md" TargetMode="External"/><Relationship Id="rId483" Type="http://schemas.openxmlformats.org/officeDocument/2006/relationships/hyperlink" Target="https://github.com/RchGrav/claudebox/blob/main/CLAUDE.md" TargetMode="External"/><Relationship Id="rId690" Type="http://schemas.openxmlformats.org/officeDocument/2006/relationships/hyperlink" Target="https://github.com/Aiko-IT-Systems/DisCatSharp/blob/main/.github/copilot-instructions.md" TargetMode="External"/><Relationship Id="rId2164" Type="http://schemas.openxmlformats.org/officeDocument/2006/relationships/hyperlink" Target="https://github.com/geneontology/go-ontology/blob/master/CLAUDE.md" TargetMode="External"/><Relationship Id="rId2371" Type="http://schemas.openxmlformats.org/officeDocument/2006/relationships/hyperlink" Target="https://github.com/dotnet/java-interop/blob/main/.github/copilot-instructions.md" TargetMode="External"/><Relationship Id="rId136" Type="http://schemas.openxmlformats.org/officeDocument/2006/relationships/hyperlink" Target="https://github.com/zenml-io/zenml/blob/main/CLAUDE.md" TargetMode="External"/><Relationship Id="rId343" Type="http://schemas.openxmlformats.org/officeDocument/2006/relationships/hyperlink" Target="https://github.com/anyproto/anytype-ts/blob/main/CLAUDE.md" TargetMode="External"/><Relationship Id="rId550" Type="http://schemas.openxmlformats.org/officeDocument/2006/relationships/hyperlink" Target="https://github.com/herbie-fp/herbie/blob/main/AGENTS.md" TargetMode="External"/><Relationship Id="rId788" Type="http://schemas.openxmlformats.org/officeDocument/2006/relationships/hyperlink" Target="https://github.com/zwave-js/zwave-js/blob/master/.github/copilot-instructions.md" TargetMode="External"/><Relationship Id="rId995" Type="http://schemas.openxmlformats.org/officeDocument/2006/relationships/hyperlink" Target="https://github.com/bbc/simorgh/blob/master/.github/copilot-instructions.md" TargetMode="External"/><Relationship Id="rId1180" Type="http://schemas.openxmlformats.org/officeDocument/2006/relationships/hyperlink" Target="https://github.com/zed-industries/zed/blob/main/CLAUDE.md" TargetMode="External"/><Relationship Id="rId2024" Type="http://schemas.openxmlformats.org/officeDocument/2006/relationships/hyperlink" Target="https://github.com/Rello/audioplayer/blob/master/AGENTS.md" TargetMode="External"/><Relationship Id="rId2231" Type="http://schemas.openxmlformats.org/officeDocument/2006/relationships/hyperlink" Target="https://github.com/vaadin/flow/blob/main/CLAUDE.md" TargetMode="External"/><Relationship Id="rId2469" Type="http://schemas.openxmlformats.org/officeDocument/2006/relationships/hyperlink" Target="https://github.com/steipete/Peekaboo/blob/main/CLAUDE.md" TargetMode="External"/><Relationship Id="rId203" Type="http://schemas.openxmlformats.org/officeDocument/2006/relationships/hyperlink" Target="https://github.com/yoshiko-pg/difit/blob/main/AGENTS.md" TargetMode="External"/><Relationship Id="rId648" Type="http://schemas.openxmlformats.org/officeDocument/2006/relationships/hyperlink" Target="https://github.com/Rello/analytics/blob/master/AGENTS.md" TargetMode="External"/><Relationship Id="rId855" Type="http://schemas.openxmlformats.org/officeDocument/2006/relationships/hyperlink" Target="https://github.com/gitkraken/vscode-gitlens/blob/main/AGENTS.md" TargetMode="External"/><Relationship Id="rId1040" Type="http://schemas.openxmlformats.org/officeDocument/2006/relationships/hyperlink" Target="https://github.com/geneontology/go-ontology/blob/master/CLAUDE.md" TargetMode="External"/><Relationship Id="rId1278" Type="http://schemas.openxmlformats.org/officeDocument/2006/relationships/hyperlink" Target="https://github.com/BerriAI/litellm/blob/main/CLAUDE.md" TargetMode="External"/><Relationship Id="rId1485" Type="http://schemas.openxmlformats.org/officeDocument/2006/relationships/hyperlink" Target="https://github.com/pannous/wasp/blob/main/CLAUDE.md" TargetMode="External"/><Relationship Id="rId1692" Type="http://schemas.openxmlformats.org/officeDocument/2006/relationships/hyperlink" Target="https://github.com/dotnet/core/blob/main/.github/copilot-instructions.md" TargetMode="External"/><Relationship Id="rId2329" Type="http://schemas.openxmlformats.org/officeDocument/2006/relationships/hyperlink" Target="https://github.com/microsoft/vscode-jupyter/blob/main/.github/copilot-instructions.md" TargetMode="External"/><Relationship Id="rId2536" Type="http://schemas.openxmlformats.org/officeDocument/2006/relationships/hyperlink" Target="https://github.com/module-federation/core/blob/main/CLAUDE.md" TargetMode="External"/><Relationship Id="rId410" Type="http://schemas.openxmlformats.org/officeDocument/2006/relationships/hyperlink" Target="https://github.com/lfnovo/esperanto/blob/main/CLAUDE.md" TargetMode="External"/><Relationship Id="rId508" Type="http://schemas.openxmlformats.org/officeDocument/2006/relationships/hyperlink" Target="https://github.com/zenml-io/zenml/blob/main/CLAUDE.md" TargetMode="External"/><Relationship Id="rId715" Type="http://schemas.openxmlformats.org/officeDocument/2006/relationships/hyperlink" Target="https://github.com/dotnet/runtime/blob/main/.github/copilot-instructions.md" TargetMode="External"/><Relationship Id="rId922" Type="http://schemas.openxmlformats.org/officeDocument/2006/relationships/hyperlink" Target="https://github.com/lfnovo/esperanto/blob/main/CLAUDE.md" TargetMode="External"/><Relationship Id="rId1138" Type="http://schemas.openxmlformats.org/officeDocument/2006/relationships/hyperlink" Target="https://github.com/open-metadata/OpenMetadata/blob/main/CLAUDE.md" TargetMode="External"/><Relationship Id="rId1345" Type="http://schemas.openxmlformats.org/officeDocument/2006/relationships/hyperlink" Target="https://github.com/browser-use/browser-use/blob/main/CLAUDE.md" TargetMode="External"/><Relationship Id="rId1552" Type="http://schemas.openxmlformats.org/officeDocument/2006/relationships/hyperlink" Target="https://github.com/alchemiststudiosDOTai/tunacode/blob/master/AGENTS.md" TargetMode="External"/><Relationship Id="rId1997" Type="http://schemas.openxmlformats.org/officeDocument/2006/relationships/hyperlink" Target="https://github.com/marin-community/marin/blob/main/AGENTS.md" TargetMode="External"/><Relationship Id="rId1205" Type="http://schemas.openxmlformats.org/officeDocument/2006/relationships/hyperlink" Target="https://github.com/PrairieLearn/PrairieLearn/blob/master/AGENTS.md" TargetMode="External"/><Relationship Id="rId1857" Type="http://schemas.openxmlformats.org/officeDocument/2006/relationships/hyperlink" Target="https://github.com/Azure/AgentBaker/blob/main/.github/copilot-instructions.md" TargetMode="External"/><Relationship Id="rId51" Type="http://schemas.openxmlformats.org/officeDocument/2006/relationships/hyperlink" Target="https://github.com/cloudwalk/stratus/blob/main/CLAUDE.md" TargetMode="External"/><Relationship Id="rId1412" Type="http://schemas.openxmlformats.org/officeDocument/2006/relationships/hyperlink" Target="https://github.com/geneontology/go-ontology/blob/master/CLAUDE.md" TargetMode="External"/><Relationship Id="rId1717" Type="http://schemas.openxmlformats.org/officeDocument/2006/relationships/hyperlink" Target="https://github.com/irihitech/Ursa.Avalonia/blob/main/.github/copilot-instructions.md" TargetMode="External"/><Relationship Id="rId1924" Type="http://schemas.openxmlformats.org/officeDocument/2006/relationships/hyperlink" Target="https://github.com/lgallard/terraform-aws-backup/blob/master/CLAUDE.md" TargetMode="External"/><Relationship Id="rId298" Type="http://schemas.openxmlformats.org/officeDocument/2006/relationships/hyperlink" Target="https://github.com/CapSoftware/Cap/blob/main/CLAUDE.md" TargetMode="External"/><Relationship Id="rId158" Type="http://schemas.openxmlformats.org/officeDocument/2006/relationships/hyperlink" Target="https://github.com/janbjorge/pgqueuer/blob/main/AGENTS.md" TargetMode="External"/><Relationship Id="rId2186" Type="http://schemas.openxmlformats.org/officeDocument/2006/relationships/hyperlink" Target="https://github.com/lollipopkit/flutter_server_box/blob/main/CLAUDE.md" TargetMode="External"/><Relationship Id="rId2393" Type="http://schemas.openxmlformats.org/officeDocument/2006/relationships/hyperlink" Target="https://github.com/cablehead/xs/blob/main/AGENTS.md" TargetMode="External"/><Relationship Id="rId365" Type="http://schemas.openxmlformats.org/officeDocument/2006/relationships/hyperlink" Target="https://github.com/coder/coder/blob/main/CLAUDE.md" TargetMode="External"/><Relationship Id="rId572" Type="http://schemas.openxmlformats.org/officeDocument/2006/relationships/hyperlink" Target="https://github.com/langchain-ai/langchain/blob/master/AGENTS.md" TargetMode="External"/><Relationship Id="rId2046" Type="http://schemas.openxmlformats.org/officeDocument/2006/relationships/hyperlink" Target="https://github.com/Agoric/agoric-sdk/blob/master/.github/copilot-instructions.md" TargetMode="External"/><Relationship Id="rId2253" Type="http://schemas.openxmlformats.org/officeDocument/2006/relationships/hyperlink" Target="https://github.com/commonwarexyz/monorepo/blob/main/AGENTS.md" TargetMode="External"/><Relationship Id="rId2460" Type="http://schemas.openxmlformats.org/officeDocument/2006/relationships/hyperlink" Target="https://github.com/ithacaxyz/account/blob/main/CLAUDE.md" TargetMode="External"/><Relationship Id="rId225" Type="http://schemas.openxmlformats.org/officeDocument/2006/relationships/hyperlink" Target="https://github.com/dotnet/runtime/blob/main/.github/copilot-instructions.md" TargetMode="External"/><Relationship Id="rId432" Type="http://schemas.openxmlformats.org/officeDocument/2006/relationships/hyperlink" Target="https://github.com/OlympiaAI/raix/blob/main/CLAUDE.md" TargetMode="External"/><Relationship Id="rId877" Type="http://schemas.openxmlformats.org/officeDocument/2006/relationships/hyperlink" Target="https://github.com/browser-use/browser-use/blob/main/CLAUDE.md" TargetMode="External"/><Relationship Id="rId1062" Type="http://schemas.openxmlformats.org/officeDocument/2006/relationships/hyperlink" Target="https://github.com/Azure/autorest.typescript/blob/main/.github/copilot-instructions.md" TargetMode="External"/><Relationship Id="rId2113" Type="http://schemas.openxmlformats.org/officeDocument/2006/relationships/hyperlink" Target="https://github.com/allenai/open-instruct/blob/main/CLAUDE.md" TargetMode="External"/><Relationship Id="rId2320" Type="http://schemas.openxmlformats.org/officeDocument/2006/relationships/hyperlink" Target="https://github.com/glu-lang/glu/blob/main/.github/copilot-instructions.md" TargetMode="External"/><Relationship Id="rId737" Type="http://schemas.openxmlformats.org/officeDocument/2006/relationships/hyperlink" Target="https://github.com/NG-ZORRO/ng-zorro-antd/blob/master/.github/copilot-instructions.md" TargetMode="External"/><Relationship Id="rId944" Type="http://schemas.openxmlformats.org/officeDocument/2006/relationships/hyperlink" Target="https://github.com/safety-research/safety-tooling/blob/main/CLAUDE.md" TargetMode="External"/><Relationship Id="rId1367" Type="http://schemas.openxmlformats.org/officeDocument/2006/relationships/hyperlink" Target="https://github.com/cloudposse/atmos/blob/main/CLAUDE.md" TargetMode="External"/><Relationship Id="rId1574" Type="http://schemas.openxmlformats.org/officeDocument/2006/relationships/hyperlink" Target="https://github.com/janbjorge/pgqueuer/blob/main/AGENTS.md" TargetMode="External"/><Relationship Id="rId1781" Type="http://schemas.openxmlformats.org/officeDocument/2006/relationships/hyperlink" Target="https://github.com/xlnfinance/xln/blob/main/CLAUDE.md" TargetMode="External"/><Relationship Id="rId2418" Type="http://schemas.openxmlformats.org/officeDocument/2006/relationships/hyperlink" Target="https://github.com/public-ui/kolibri/blob/master/AGENTS.md" TargetMode="External"/><Relationship Id="rId73" Type="http://schemas.openxmlformats.org/officeDocument/2006/relationships/hyperlink" Target="https://github.com/home-assistant/frontend/blob/master/CLAUDE.md" TargetMode="External"/><Relationship Id="rId804" Type="http://schemas.openxmlformats.org/officeDocument/2006/relationships/hyperlink" Target="https://github.com/dailydotdev/apps/blob/main/CLAUDE.md" TargetMode="External"/><Relationship Id="rId1227" Type="http://schemas.openxmlformats.org/officeDocument/2006/relationships/hyperlink" Target="https://github.com/dotnet/docs-aspire/blob/main/.github/copilot-instructions.md" TargetMode="External"/><Relationship Id="rId1434" Type="http://schemas.openxmlformats.org/officeDocument/2006/relationships/hyperlink" Target="https://github.com/home-assistant/frontend/blob/master/CLAUDE.md" TargetMode="External"/><Relationship Id="rId1641" Type="http://schemas.openxmlformats.org/officeDocument/2006/relationships/hyperlink" Target="https://github.com/zenml-io/zenml/blob/main/AGENTS.md" TargetMode="External"/><Relationship Id="rId1879" Type="http://schemas.openxmlformats.org/officeDocument/2006/relationships/hyperlink" Target="https://github.com/wieslawsoltes/Dock/blob/master/AGENTS.md" TargetMode="External"/><Relationship Id="rId1501" Type="http://schemas.openxmlformats.org/officeDocument/2006/relationships/hyperlink" Target="https://github.com/proximafusion/vmecpp/blob/main/CLAUDE.md" TargetMode="External"/><Relationship Id="rId1739" Type="http://schemas.openxmlformats.org/officeDocument/2006/relationships/hyperlink" Target="https://github.com/octgn/OCTGN/blob/master/.github/copilot-instructions.md" TargetMode="External"/><Relationship Id="rId1946" Type="http://schemas.openxmlformats.org/officeDocument/2006/relationships/hyperlink" Target="https://github.com/RchGrav/claudebox/blob/main/CLAUDE.md" TargetMode="External"/><Relationship Id="rId1806" Type="http://schemas.openxmlformats.org/officeDocument/2006/relationships/hyperlink" Target="https://github.com/zed-industries/zed/blob/main/CLAUDE.md" TargetMode="External"/><Relationship Id="rId387" Type="http://schemas.openxmlformats.org/officeDocument/2006/relationships/hyperlink" Target="https://github.com/dailydotdev/apps/blob/main/CLAUDE.md" TargetMode="External"/><Relationship Id="rId594" Type="http://schemas.openxmlformats.org/officeDocument/2006/relationships/hyperlink" Target="https://github.com/luccahuguet/yazelix/blob/main/AGENTS.md" TargetMode="External"/><Relationship Id="rId2068" Type="http://schemas.openxmlformats.org/officeDocument/2006/relationships/hyperlink" Target="https://github.com/stepfunc/dnp3/blob/main/CLAUDE.md" TargetMode="External"/><Relationship Id="rId2275" Type="http://schemas.openxmlformats.org/officeDocument/2006/relationships/hyperlink" Target="https://github.com/luccahuguet/yazelix/blob/main/AGENTS.md" TargetMode="External"/><Relationship Id="rId247" Type="http://schemas.openxmlformats.org/officeDocument/2006/relationships/hyperlink" Target="https://github.com/microsoft/TypeScript/blob/main/.github/copilot-instructions.md" TargetMode="External"/><Relationship Id="rId899" Type="http://schemas.openxmlformats.org/officeDocument/2006/relationships/hyperlink" Target="https://github.com/Comfy-Org/comfy-claude-prompt-library/blob/master/CLAUDE.md" TargetMode="External"/><Relationship Id="rId1084" Type="http://schemas.openxmlformats.org/officeDocument/2006/relationships/hyperlink" Target="https://github.com/berachain/beacon-kit/blob/main/CLAUDE.md" TargetMode="External"/><Relationship Id="rId2482" Type="http://schemas.openxmlformats.org/officeDocument/2006/relationships/hyperlink" Target="https://github.com/seasonedcc/remix-forms/blob/main/AGENTS.md" TargetMode="External"/><Relationship Id="rId107" Type="http://schemas.openxmlformats.org/officeDocument/2006/relationships/hyperlink" Target="https://github.com/stepfunc/dnp3/blob/main/CLAUDE.md" TargetMode="External"/><Relationship Id="rId454" Type="http://schemas.openxmlformats.org/officeDocument/2006/relationships/hyperlink" Target="https://github.com/Pipelex/pipelex/blob/main/CLAUDE.md" TargetMode="External"/><Relationship Id="rId661" Type="http://schemas.openxmlformats.org/officeDocument/2006/relationships/hyperlink" Target="https://github.com/stack-auth/stack-auth/blob/main/AGENTS.md" TargetMode="External"/><Relationship Id="rId759" Type="http://schemas.openxmlformats.org/officeDocument/2006/relationships/hyperlink" Target="https://github.com/SparkDevNetwork/Rock/blob/master/.github/copilot-instructions.md" TargetMode="External"/><Relationship Id="rId966" Type="http://schemas.openxmlformats.org/officeDocument/2006/relationships/hyperlink" Target="https://github.com/Pipelex/pipelex/blob/main/AGENTS.md" TargetMode="External"/><Relationship Id="rId1291" Type="http://schemas.openxmlformats.org/officeDocument/2006/relationships/hyperlink" Target="https://github.com/pannous/wasp/blob/main/CLAUDE.md" TargetMode="External"/><Relationship Id="rId1389" Type="http://schemas.openxmlformats.org/officeDocument/2006/relationships/hyperlink" Target="https://github.com/dailydotdev/apps/blob/main/CLAUDE.md" TargetMode="External"/><Relationship Id="rId1596" Type="http://schemas.openxmlformats.org/officeDocument/2006/relationships/hyperlink" Target="https://github.com/Pipelex/pipelex/blob/main/AGENTS.md" TargetMode="External"/><Relationship Id="rId2135" Type="http://schemas.openxmlformats.org/officeDocument/2006/relationships/hyperlink" Target="https://github.com/colinhacks/zod/blob/main/CLAUDE.md" TargetMode="External"/><Relationship Id="rId2342" Type="http://schemas.openxmlformats.org/officeDocument/2006/relationships/hyperlink" Target="https://github.com/sybrew/the-seo-framework/blob/master/.github/copilot-instructions.md" TargetMode="External"/><Relationship Id="rId314" Type="http://schemas.openxmlformats.org/officeDocument/2006/relationships/hyperlink" Target="https://github.com/wvlet/airframe/blob/main/.github/copilot-instructions.md" TargetMode="External"/><Relationship Id="rId521" Type="http://schemas.openxmlformats.org/officeDocument/2006/relationships/hyperlink" Target="https://github.com/BoldGrid/w3-total-cache/blob/master/AGENTS.md" TargetMode="External"/><Relationship Id="rId619" Type="http://schemas.openxmlformats.org/officeDocument/2006/relationships/hyperlink" Target="https://github.com/Pipelex/pipelex/blob/main/AGENTS.md" TargetMode="External"/><Relationship Id="rId1151" Type="http://schemas.openxmlformats.org/officeDocument/2006/relationships/hyperlink" Target="https://github.com/RchGrav/claudebox/blob/main/CLAUDE.md" TargetMode="External"/><Relationship Id="rId1249" Type="http://schemas.openxmlformats.org/officeDocument/2006/relationships/hyperlink" Target="https://github.com/microsoft/Olive/blob/main/.github/copilot-instructions.md" TargetMode="External"/><Relationship Id="rId2202" Type="http://schemas.openxmlformats.org/officeDocument/2006/relationships/hyperlink" Target="https://github.com/open-metadata/OpenMetadata/blob/main/CLAUDE.md" TargetMode="External"/><Relationship Id="rId95" Type="http://schemas.openxmlformats.org/officeDocument/2006/relationships/hyperlink" Target="https://github.com/Pipelex/pipelex/blob/main/CLAUDE.md" TargetMode="External"/><Relationship Id="rId826" Type="http://schemas.openxmlformats.org/officeDocument/2006/relationships/hyperlink" Target="https://github.com/lostleaf/binance_datatool/blob/main/CLAUDE.md" TargetMode="External"/><Relationship Id="rId1011" Type="http://schemas.openxmlformats.org/officeDocument/2006/relationships/hyperlink" Target="https://github.com/microsoft/ApplicationInsights-JS/blob/main/.github/copilot-instructions.md" TargetMode="External"/><Relationship Id="rId1109" Type="http://schemas.openxmlformats.org/officeDocument/2006/relationships/hyperlink" Target="https://github.com/Freika/dawarich/blob/master/CLAUDE.md" TargetMode="External"/><Relationship Id="rId1456" Type="http://schemas.openxmlformats.org/officeDocument/2006/relationships/hyperlink" Target="https://github.com/netdata/netdata/blob/master/CLAUDE.md" TargetMode="External"/><Relationship Id="rId1663" Type="http://schemas.openxmlformats.org/officeDocument/2006/relationships/hyperlink" Target="https://github.com/Azure/autorest.typescript/blob/main/.github/copilot-instructions.md" TargetMode="External"/><Relationship Id="rId1870" Type="http://schemas.openxmlformats.org/officeDocument/2006/relationships/hyperlink" Target="https://github.com/Pipelex/pipelex/blob/main/CLAUDE.md" TargetMode="External"/><Relationship Id="rId1968" Type="http://schemas.openxmlformats.org/officeDocument/2006/relationships/hyperlink" Target="https://github.com/cablehead/xs/blob/main/AGENTS.md" TargetMode="External"/><Relationship Id="rId2507" Type="http://schemas.openxmlformats.org/officeDocument/2006/relationships/hyperlink" Target="https://github.com/colinhacks/zod/blob/main/CLAUDE.md" TargetMode="External"/><Relationship Id="rId1316" Type="http://schemas.openxmlformats.org/officeDocument/2006/relationships/hyperlink" Target="https://github.com/abh/ntppool/blob/main/CLAUDE.md" TargetMode="External"/><Relationship Id="rId1523" Type="http://schemas.openxmlformats.org/officeDocument/2006/relationships/hyperlink" Target="https://github.com/theopenco/llmgateway/blob/main/CLAUDE.md" TargetMode="External"/><Relationship Id="rId1730" Type="http://schemas.openxmlformats.org/officeDocument/2006/relationships/hyperlink" Target="https://github.com/microsoft/simplechat/blob/main/.github/copilot-instructions.md" TargetMode="External"/><Relationship Id="rId22" Type="http://schemas.openxmlformats.org/officeDocument/2006/relationships/hyperlink" Target="https://github.com/paradigmxyz/reth/blob/main/CLAUDE.md" TargetMode="External"/><Relationship Id="rId1828" Type="http://schemas.openxmlformats.org/officeDocument/2006/relationships/hyperlink" Target="https://github.com/Comfy-Org/comfy-claude-prompt-library/blob/master/CLAUDE.md" TargetMode="External"/><Relationship Id="rId171" Type="http://schemas.openxmlformats.org/officeDocument/2006/relationships/hyperlink" Target="https://github.com/RSSNext/Folo/blob/main/AGENTS.md" TargetMode="External"/><Relationship Id="rId2297" Type="http://schemas.openxmlformats.org/officeDocument/2006/relationships/hyperlink" Target="https://github.com/wandb/weave/blob/master/AGENTS.md" TargetMode="External"/><Relationship Id="rId269" Type="http://schemas.openxmlformats.org/officeDocument/2006/relationships/hyperlink" Target="https://github.com/zwave-js/zwave-js/blob/master/.github/copilot-instructions.md" TargetMode="External"/><Relationship Id="rId476" Type="http://schemas.openxmlformats.org/officeDocument/2006/relationships/hyperlink" Target="https://github.com/RchGrav/claudebox/blob/main/CLAUDE.md" TargetMode="External"/><Relationship Id="rId683" Type="http://schemas.openxmlformats.org/officeDocument/2006/relationships/hyperlink" Target="https://github.com/wieslawsoltes/Dock/blob/master/AGENTS.md" TargetMode="External"/><Relationship Id="rId890" Type="http://schemas.openxmlformats.org/officeDocument/2006/relationships/hyperlink" Target="https://github.com/coder/coder/blob/main/CLAUDE.md" TargetMode="External"/><Relationship Id="rId2157" Type="http://schemas.openxmlformats.org/officeDocument/2006/relationships/hyperlink" Target="https://github.com/FastLED/FastLED/blob/master/CLAUDE.md" TargetMode="External"/><Relationship Id="rId2364" Type="http://schemas.openxmlformats.org/officeDocument/2006/relationships/hyperlink" Target="https://github.com/CapSoftware/Cap/blob/main/CLAUDE.md" TargetMode="External"/><Relationship Id="rId129" Type="http://schemas.openxmlformats.org/officeDocument/2006/relationships/hyperlink" Target="https://github.com/zed-industries/zed/blob/main/CLAUDE.md" TargetMode="External"/><Relationship Id="rId336" Type="http://schemas.openxmlformats.org/officeDocument/2006/relationships/hyperlink" Target="https://github.com/ajanraj/OpenChat/blob/main/CLAUDE.md" TargetMode="External"/><Relationship Id="rId543" Type="http://schemas.openxmlformats.org/officeDocument/2006/relationships/hyperlink" Target="https://github.com/gitkraken/vscode-gitlens/blob/main/AGENTS.md" TargetMode="External"/><Relationship Id="rId988" Type="http://schemas.openxmlformats.org/officeDocument/2006/relationships/hyperlink" Target="https://github.com/zenml-io/zenml/blob/main/AGENTS.md" TargetMode="External"/><Relationship Id="rId1173" Type="http://schemas.openxmlformats.org/officeDocument/2006/relationships/hyperlink" Target="https://github.com/truenas/webui/blob/master/CLAUDE.md" TargetMode="External"/><Relationship Id="rId1380" Type="http://schemas.openxmlformats.org/officeDocument/2006/relationships/hyperlink" Target="https://github.com/Comfy-Org/comfy-claude-prompt-library/blob/master/CLAUDE.md" TargetMode="External"/><Relationship Id="rId2017" Type="http://schemas.openxmlformats.org/officeDocument/2006/relationships/hyperlink" Target="https://github.com/Pipelex/pipelex/blob/main/AGENTS.md" TargetMode="External"/><Relationship Id="rId2224" Type="http://schemas.openxmlformats.org/officeDocument/2006/relationships/hyperlink" Target="https://github.com/twentyhq/twenty/blob/main/CLAUDE.md" TargetMode="External"/><Relationship Id="rId403" Type="http://schemas.openxmlformats.org/officeDocument/2006/relationships/hyperlink" Target="https://github.com/J-Tech-Japan/Sekiban/blob/main/CLAUDE.md" TargetMode="External"/><Relationship Id="rId750" Type="http://schemas.openxmlformats.org/officeDocument/2006/relationships/hyperlink" Target="https://github.com/sarchlab/akita/blob/main/.github/copilot-instructions.md" TargetMode="External"/><Relationship Id="rId848" Type="http://schemas.openxmlformats.org/officeDocument/2006/relationships/hyperlink" Target="https://github.com/Azure/autorest.typescript/blob/main/.github/copilot-instructions.md" TargetMode="External"/><Relationship Id="rId1033" Type="http://schemas.openxmlformats.org/officeDocument/2006/relationships/hyperlink" Target="https://github.com/dailydotdev/apps/blob/main/CLAUDE.md" TargetMode="External"/><Relationship Id="rId1478" Type="http://schemas.openxmlformats.org/officeDocument/2006/relationships/hyperlink" Target="https://github.com/owid/etl/blob/master/CLAUDE.md" TargetMode="External"/><Relationship Id="rId1685" Type="http://schemas.openxmlformats.org/officeDocument/2006/relationships/hyperlink" Target="https://github.com/christianhelle/apiclientcodegen/blob/master/.github/copilot-instructions.md" TargetMode="External"/><Relationship Id="rId1892" Type="http://schemas.openxmlformats.org/officeDocument/2006/relationships/hyperlink" Target="https://github.com/Comfy-Org/comfy-claude-prompt-library/blob/master/CLAUDE.md" TargetMode="External"/><Relationship Id="rId2431" Type="http://schemas.openxmlformats.org/officeDocument/2006/relationships/hyperlink" Target="https://github.com/igraph/igraph/blob/main/.github/copilot-instructions.md" TargetMode="External"/><Relationship Id="rId2529" Type="http://schemas.openxmlformats.org/officeDocument/2006/relationships/hyperlink" Target="https://github.com/geneontology/go-ontology/blob/master/CLAUDE.md" TargetMode="External"/><Relationship Id="rId610" Type="http://schemas.openxmlformats.org/officeDocument/2006/relationships/hyperlink" Target="https://github.com/openai/openai-agents-python/blob/main/AGENTS.md" TargetMode="External"/><Relationship Id="rId708" Type="http://schemas.openxmlformats.org/officeDocument/2006/relationships/hyperlink" Target="https://github.com/dotnet/maui/blob/main/.github/copilot-instructions.md" TargetMode="External"/><Relationship Id="rId915" Type="http://schemas.openxmlformats.org/officeDocument/2006/relationships/hyperlink" Target="https://github.com/geneontology/go-ontology/blob/master/CLAUDE.md" TargetMode="External"/><Relationship Id="rId1240" Type="http://schemas.openxmlformats.org/officeDocument/2006/relationships/hyperlink" Target="https://github.com/james-gould/azure-keyvault-emulator/blob/master/.github/copilot-instructions.md" TargetMode="External"/><Relationship Id="rId1338" Type="http://schemas.openxmlformats.org/officeDocument/2006/relationships/hyperlink" Target="https://github.com/BerriAI/litellm/blob/main/CLAUDE.md" TargetMode="External"/><Relationship Id="rId1545" Type="http://schemas.openxmlformats.org/officeDocument/2006/relationships/hyperlink" Target="https://github.com/xlnfinance/xln/blob/main/CLAUDE.md" TargetMode="External"/><Relationship Id="rId1100" Type="http://schemas.openxmlformats.org/officeDocument/2006/relationships/hyperlink" Target="https://github.com/compiler-explorer/infra/blob/main/CLAUDE.md" TargetMode="External"/><Relationship Id="rId1405" Type="http://schemas.openxmlformats.org/officeDocument/2006/relationships/hyperlink" Target="https://github.com/FastLED/FastLED/blob/master/CLAUDE.md" TargetMode="External"/><Relationship Id="rId1752" Type="http://schemas.openxmlformats.org/officeDocument/2006/relationships/hyperlink" Target="https://github.com/SparkDevNetwork/Rock/blob/master/.github/copilot-instructions.md" TargetMode="External"/><Relationship Id="rId44" Type="http://schemas.openxmlformats.org/officeDocument/2006/relationships/hyperlink" Target="https://github.com/CapSoftware/Cap/blob/main/CLAUDE.md" TargetMode="External"/><Relationship Id="rId1612" Type="http://schemas.openxmlformats.org/officeDocument/2006/relationships/hyperlink" Target="https://github.com/pulumi/docs/blob/master/AGENTS.md" TargetMode="External"/><Relationship Id="rId1917" Type="http://schemas.openxmlformats.org/officeDocument/2006/relationships/hyperlink" Target="https://github.com/ithacaxyz/account/blob/main/CLAUDE.md" TargetMode="External"/><Relationship Id="rId193" Type="http://schemas.openxmlformats.org/officeDocument/2006/relationships/hyperlink" Target="https://github.com/wieslawsoltes/Dock/blob/master/AGENTS.md" TargetMode="External"/><Relationship Id="rId498" Type="http://schemas.openxmlformats.org/officeDocument/2006/relationships/hyperlink" Target="https://github.com/theopenco/llmgateway/blob/main/CLAUDE.md" TargetMode="External"/><Relationship Id="rId2081" Type="http://schemas.openxmlformats.org/officeDocument/2006/relationships/hyperlink" Target="https://github.com/twentyhq/twenty/blob/main/CLAUDE.md" TargetMode="External"/><Relationship Id="rId2179" Type="http://schemas.openxmlformats.org/officeDocument/2006/relationships/hyperlink" Target="https://github.com/kubetail-org/kubetail/blob/main/CLAUDE.md" TargetMode="External"/><Relationship Id="rId260" Type="http://schemas.openxmlformats.org/officeDocument/2006/relationships/hyperlink" Target="https://github.com/SparkDevNetwork/Rock/blob/master/.github/copilot-instructions.md" TargetMode="External"/><Relationship Id="rId2386" Type="http://schemas.openxmlformats.org/officeDocument/2006/relationships/hyperlink" Target="https://github.com/Pipelex/pipelex/blob/main/CLAUDE.md" TargetMode="External"/><Relationship Id="rId120" Type="http://schemas.openxmlformats.org/officeDocument/2006/relationships/hyperlink" Target="https://github.com/wvlet/wvlet/blob/main/CLAUDE.md" TargetMode="External"/><Relationship Id="rId358" Type="http://schemas.openxmlformats.org/officeDocument/2006/relationships/hyperlink" Target="https://github.com/clidey/dory/blob/main/CLAUDE.md" TargetMode="External"/><Relationship Id="rId565" Type="http://schemas.openxmlformats.org/officeDocument/2006/relationships/hyperlink" Target="https://github.com/JuliaLang/julia/blob/master/AGENTS.md" TargetMode="External"/><Relationship Id="rId772" Type="http://schemas.openxmlformats.org/officeDocument/2006/relationships/hyperlink" Target="https://github.com/sybrew/the-seo-framework/blob/master/.github/copilot-instructions.md" TargetMode="External"/><Relationship Id="rId1195" Type="http://schemas.openxmlformats.org/officeDocument/2006/relationships/hyperlink" Target="https://github.com/luccahuguet/yazelix/blob/main/AGENTS.md" TargetMode="External"/><Relationship Id="rId2039" Type="http://schemas.openxmlformats.org/officeDocument/2006/relationships/hyperlink" Target="https://github.com/ydb-platform/ydb/blob/main/AGENTS.md" TargetMode="External"/><Relationship Id="rId2246" Type="http://schemas.openxmlformats.org/officeDocument/2006/relationships/hyperlink" Target="https://github.com/bionic-gpt/bionic-gpt/blob/main/AGENTS.md" TargetMode="External"/><Relationship Id="rId2453" Type="http://schemas.openxmlformats.org/officeDocument/2006/relationships/hyperlink" Target="https://github.com/dailydotdev/apps/blob/main/CLAUDE.md" TargetMode="External"/><Relationship Id="rId218" Type="http://schemas.openxmlformats.org/officeDocument/2006/relationships/hyperlink" Target="https://github.com/Azure/AgentBaker/blob/main/.github/copilot-instructions.md" TargetMode="External"/><Relationship Id="rId425" Type="http://schemas.openxmlformats.org/officeDocument/2006/relationships/hyperlink" Target="https://github.com/netdata/netdata/blob/master/CLAUDE.md" TargetMode="External"/><Relationship Id="rId632" Type="http://schemas.openxmlformats.org/officeDocument/2006/relationships/hyperlink" Target="https://github.com/public-ui/kolibri/blob/master/AGENTS.md" TargetMode="External"/><Relationship Id="rId1055" Type="http://schemas.openxmlformats.org/officeDocument/2006/relationships/hyperlink" Target="https://github.com/pytorch/pytorch/blob/main/AGENTS.md" TargetMode="External"/><Relationship Id="rId1262" Type="http://schemas.openxmlformats.org/officeDocument/2006/relationships/hyperlink" Target="https://github.com/raycast/extensions/blob/main/.github/copilot-instructions.md" TargetMode="External"/><Relationship Id="rId2106" Type="http://schemas.openxmlformats.org/officeDocument/2006/relationships/hyperlink" Target="https://github.com/abh/ntppool/blob/main/CLAUDE.md" TargetMode="External"/><Relationship Id="rId2313" Type="http://schemas.openxmlformats.org/officeDocument/2006/relationships/hyperlink" Target="https://github.com/dotnet/sdk/blob/main/.github/copilot-instructions.md" TargetMode="External"/><Relationship Id="rId2520" Type="http://schemas.openxmlformats.org/officeDocument/2006/relationships/hyperlink" Target="https://github.com/xlnfinance/xln/blob/main/CLAUDE.md" TargetMode="External"/><Relationship Id="rId937" Type="http://schemas.openxmlformats.org/officeDocument/2006/relationships/hyperlink" Target="https://github.com/Pipelex/pipelex/blob/main/CLAUDE.md" TargetMode="External"/><Relationship Id="rId1122" Type="http://schemas.openxmlformats.org/officeDocument/2006/relationships/hyperlink" Target="https://github.com/lgallard/terraform-aws-cognito-user-pool/blob/master/CLAUDE.md" TargetMode="External"/><Relationship Id="rId1567" Type="http://schemas.openxmlformats.org/officeDocument/2006/relationships/hyperlink" Target="https://github.com/catatsuy/private-isu/blob/master/AGENTS.md" TargetMode="External"/><Relationship Id="rId1774" Type="http://schemas.openxmlformats.org/officeDocument/2006/relationships/hyperlink" Target="https://github.com/OneKeyHQ/app-monorepo/blob/master/CLAUDE.md" TargetMode="External"/><Relationship Id="rId1981" Type="http://schemas.openxmlformats.org/officeDocument/2006/relationships/hyperlink" Target="https://github.com/hathach/tinyusb/blob/master/AGENTS.md" TargetMode="External"/><Relationship Id="rId66" Type="http://schemas.openxmlformats.org/officeDocument/2006/relationships/hyperlink" Target="https://github.com/getsentry/sentry-javascript/blob/master/CLAUDE.md" TargetMode="External"/><Relationship Id="rId1427" Type="http://schemas.openxmlformats.org/officeDocument/2006/relationships/hyperlink" Target="https://github.com/getsentry/sentry-javascript/blob/master/CLAUDE.md" TargetMode="External"/><Relationship Id="rId1634" Type="http://schemas.openxmlformats.org/officeDocument/2006/relationships/hyperlink" Target="https://github.com/webgptorg/promptbook/blob/main/AGENTS.md" TargetMode="External"/><Relationship Id="rId1841" Type="http://schemas.openxmlformats.org/officeDocument/2006/relationships/hyperlink" Target="https://github.com/theopenco/llmgateway/blob/main/CLAUDE.md" TargetMode="External"/><Relationship Id="rId1939" Type="http://schemas.openxmlformats.org/officeDocument/2006/relationships/hyperlink" Target="https://github.com/open-metadata/OpenMetadata/blob/main/CLAUDE.md" TargetMode="External"/><Relationship Id="rId1701" Type="http://schemas.openxmlformats.org/officeDocument/2006/relationships/hyperlink" Target="https://github.com/friendsofhyperf/components/blob/main/.github/copilot-instructions.md" TargetMode="External"/><Relationship Id="rId282" Type="http://schemas.openxmlformats.org/officeDocument/2006/relationships/hyperlink" Target="https://github.com/anyproto/anytype-ts/blob/main/CLAUDE.md" TargetMode="External"/><Relationship Id="rId587" Type="http://schemas.openxmlformats.org/officeDocument/2006/relationships/hyperlink" Target="https://github.com/luccahuguet/yazelix/blob/main/AGENTS.md" TargetMode="External"/><Relationship Id="rId2170" Type="http://schemas.openxmlformats.org/officeDocument/2006/relationships/hyperlink" Target="https://github.com/getsentry/vitest-evals/blob/main/CLAUDE.md" TargetMode="External"/><Relationship Id="rId2268" Type="http://schemas.openxmlformats.org/officeDocument/2006/relationships/hyperlink" Target="https://github.com/langchain-ai/langchain/blob/master/AGENTS.md" TargetMode="External"/><Relationship Id="rId8" Type="http://schemas.openxmlformats.org/officeDocument/2006/relationships/hyperlink" Target="https://github.com/owid/owid-grapher/blob/master/CLAUDE.md" TargetMode="External"/><Relationship Id="rId142" Type="http://schemas.openxmlformats.org/officeDocument/2006/relationships/hyperlink" Target="https://github.com/Azure-Samples/serverless-chat-langchainjs/blob/main/AGENTS.md" TargetMode="External"/><Relationship Id="rId447" Type="http://schemas.openxmlformats.org/officeDocument/2006/relationships/hyperlink" Target="https://github.com/openai/openai-agents-python/blob/main/CLAUDE.md" TargetMode="External"/><Relationship Id="rId794" Type="http://schemas.openxmlformats.org/officeDocument/2006/relationships/hyperlink" Target="https://github.com/cloudposse/atmos/blob/main/CLAUDE.md" TargetMode="External"/><Relationship Id="rId1077" Type="http://schemas.openxmlformats.org/officeDocument/2006/relationships/hyperlink" Target="https://github.com/allenai/open-instruct/blob/main/CLAUDE.md" TargetMode="External"/><Relationship Id="rId2030" Type="http://schemas.openxmlformats.org/officeDocument/2006/relationships/hyperlink" Target="https://github.com/theopenco/llmgateway/blob/main/AGENTS.md" TargetMode="External"/><Relationship Id="rId2128" Type="http://schemas.openxmlformats.org/officeDocument/2006/relationships/hyperlink" Target="https://github.com/cloudposse/atmos/blob/main/CLAUDE.md" TargetMode="External"/><Relationship Id="rId2475" Type="http://schemas.openxmlformats.org/officeDocument/2006/relationships/hyperlink" Target="https://github.com/julep-ai/julep/blob/main/AGENTS.md" TargetMode="External"/><Relationship Id="rId654" Type="http://schemas.openxmlformats.org/officeDocument/2006/relationships/hyperlink" Target="https://github.com/RSSNext/Folo/blob/main/AGENTS.md" TargetMode="External"/><Relationship Id="rId861" Type="http://schemas.openxmlformats.org/officeDocument/2006/relationships/hyperlink" Target="https://github.com/SparkDevNetwork/Rock/blob/master/.github/copilot-instructions.md" TargetMode="External"/><Relationship Id="rId959" Type="http://schemas.openxmlformats.org/officeDocument/2006/relationships/hyperlink" Target="https://github.com/commonwarexyz/monorepo/blob/main/AGENTS.md" TargetMode="External"/><Relationship Id="rId1284" Type="http://schemas.openxmlformats.org/officeDocument/2006/relationships/hyperlink" Target="https://github.com/lostleaf/binance_datatool/blob/main/CLAUDE.md" TargetMode="External"/><Relationship Id="rId1491" Type="http://schemas.openxmlformats.org/officeDocument/2006/relationships/hyperlink" Target="https://github.com/Pipelex/pipelex/blob/main/CLAUDE.md" TargetMode="External"/><Relationship Id="rId1589" Type="http://schemas.openxmlformats.org/officeDocument/2006/relationships/hyperlink" Target="https://github.com/mixpanel/mixpanel-android/blob/master/AGENTS.md" TargetMode="External"/><Relationship Id="rId2335" Type="http://schemas.openxmlformats.org/officeDocument/2006/relationships/hyperlink" Target="https://github.com/owncast/owncast/blob/master/.github/copilot-instructions.md" TargetMode="External"/><Relationship Id="rId2542" Type="http://schemas.openxmlformats.org/officeDocument/2006/relationships/hyperlink" Target="https://github.com/luccahuguet/yazelix/blob/main/AGENTS.md" TargetMode="External"/><Relationship Id="rId307" Type="http://schemas.openxmlformats.org/officeDocument/2006/relationships/hyperlink" Target="https://github.com/owid/owid-grapher/blob/master/.github/copilot-instructions.md" TargetMode="External"/><Relationship Id="rId514" Type="http://schemas.openxmlformats.org/officeDocument/2006/relationships/hyperlink" Target="https://github.com/biolink/biolink-model/blob/master/AGENTS.md" TargetMode="External"/><Relationship Id="rId721" Type="http://schemas.openxmlformats.org/officeDocument/2006/relationships/hyperlink" Target="https://github.com/HotCakeX/Harden-Windows-Security/blob/main/.github/copilot-instructions.md" TargetMode="External"/><Relationship Id="rId1144" Type="http://schemas.openxmlformats.org/officeDocument/2006/relationships/hyperlink" Target="https://github.com/PrefectHQ/marvin/blob/main/CLAUDE.md" TargetMode="External"/><Relationship Id="rId1351" Type="http://schemas.openxmlformats.org/officeDocument/2006/relationships/hyperlink" Target="https://github.com/CapSoftware/Cap/blob/main/CLAUDE.md" TargetMode="External"/><Relationship Id="rId1449" Type="http://schemas.openxmlformats.org/officeDocument/2006/relationships/hyperlink" Target="https://github.com/module-federation/core/blob/main/CLAUDE.md" TargetMode="External"/><Relationship Id="rId1796" Type="http://schemas.openxmlformats.org/officeDocument/2006/relationships/hyperlink" Target="https://github.com/julep-ai/julep/blob/main/AGENTS.md" TargetMode="External"/><Relationship Id="rId2402" Type="http://schemas.openxmlformats.org/officeDocument/2006/relationships/hyperlink" Target="https://github.com/geneontology/go-ontology/blob/master/CLAUDE.md" TargetMode="External"/><Relationship Id="rId88" Type="http://schemas.openxmlformats.org/officeDocument/2006/relationships/hyperlink" Target="https://github.com/open-metadata/OpenMetadata/blob/main/CLAUDE.md" TargetMode="External"/><Relationship Id="rId819" Type="http://schemas.openxmlformats.org/officeDocument/2006/relationships/hyperlink" Target="https://github.com/wled/WLED/blob/main/.github/copilot-instructions.md" TargetMode="External"/><Relationship Id="rId1004" Type="http://schemas.openxmlformats.org/officeDocument/2006/relationships/hyperlink" Target="https://github.com/DumbWareio/DumbAssets/blob/main/.github/copilot-instructions.md" TargetMode="External"/><Relationship Id="rId1211" Type="http://schemas.openxmlformats.org/officeDocument/2006/relationships/hyperlink" Target="https://github.com/rustfs/rustfs/blob/main/AGENTS.md" TargetMode="External"/><Relationship Id="rId1656" Type="http://schemas.openxmlformats.org/officeDocument/2006/relationships/hyperlink" Target="https://github.com/ast-grep/ast-grep/blob/main/.github/copilot-instructions.md" TargetMode="External"/><Relationship Id="rId1863" Type="http://schemas.openxmlformats.org/officeDocument/2006/relationships/hyperlink" Target="https://github.com/anyproto/anytype-swift/blob/main/CLAUDE.md" TargetMode="External"/><Relationship Id="rId1309" Type="http://schemas.openxmlformats.org/officeDocument/2006/relationships/hyperlink" Target="https://github.com/Azure/AgentBaker/blob/main/.github/copilot-instructions.md" TargetMode="External"/><Relationship Id="rId1516" Type="http://schemas.openxmlformats.org/officeDocument/2006/relationships/hyperlink" Target="https://github.com/Southclaws/storyden/blob/main/CLAUDE.md" TargetMode="External"/><Relationship Id="rId1723" Type="http://schemas.openxmlformats.org/officeDocument/2006/relationships/hyperlink" Target="https://github.com/james-gould/azure-keyvault-emulator/blob/master/.github/copilot-instructions.md" TargetMode="External"/><Relationship Id="rId1930" Type="http://schemas.openxmlformats.org/officeDocument/2006/relationships/hyperlink" Target="https://github.com/OneKeyHQ/app-monorepo/blob/master/CLAUDE.md" TargetMode="External"/><Relationship Id="rId15" Type="http://schemas.openxmlformats.org/officeDocument/2006/relationships/hyperlink" Target="https://github.com/dotnet/java-interop/blob/main/.github/copilot-instructions.md" TargetMode="External"/><Relationship Id="rId2192" Type="http://schemas.openxmlformats.org/officeDocument/2006/relationships/hyperlink" Target="https://github.com/module-federation/core/blob/main/CLAUDE.md" TargetMode="External"/><Relationship Id="rId164" Type="http://schemas.openxmlformats.org/officeDocument/2006/relationships/hyperlink" Target="https://github.com/Pipelex/pipelex/blob/main/AGENTS.md" TargetMode="External"/><Relationship Id="rId371" Type="http://schemas.openxmlformats.org/officeDocument/2006/relationships/hyperlink" Target="https://github.com/coder/coder/blob/main/CLAUDE.md" TargetMode="External"/><Relationship Id="rId2052" Type="http://schemas.openxmlformats.org/officeDocument/2006/relationships/hyperlink" Target="https://github.com/friendsofhyperf/components/blob/main/.github/copilot-instructions.md" TargetMode="External"/><Relationship Id="rId2497" Type="http://schemas.openxmlformats.org/officeDocument/2006/relationships/hyperlink" Target="https://github.com/Skyscanner/backpack-ios/blob/main/.github/copilot-instructions.md" TargetMode="External"/><Relationship Id="rId469" Type="http://schemas.openxmlformats.org/officeDocument/2006/relationships/hyperlink" Target="https://github.com/qltysh/qlty/blob/main/CLAUDE.md" TargetMode="External"/><Relationship Id="rId676" Type="http://schemas.openxmlformats.org/officeDocument/2006/relationships/hyperlink" Target="https://github.com/web-infra-dev/rspack/blob/main/AGENTS.md" TargetMode="External"/><Relationship Id="rId883" Type="http://schemas.openxmlformats.org/officeDocument/2006/relationships/hyperlink" Target="https://github.com/coder/coder/blob/main/CLAUDE.md" TargetMode="External"/><Relationship Id="rId1099" Type="http://schemas.openxmlformats.org/officeDocument/2006/relationships/hyperlink" Target="https://github.com/compiler-explorer/infra/blob/main/CLAUDE.md" TargetMode="External"/><Relationship Id="rId2357" Type="http://schemas.openxmlformats.org/officeDocument/2006/relationships/hyperlink" Target="https://github.com/PrairieLearn/PrairieLearn/blob/master/AGENTS.md" TargetMode="External"/><Relationship Id="rId231" Type="http://schemas.openxmlformats.org/officeDocument/2006/relationships/hyperlink" Target="https://github.com/esphome/esphome/blob/main/.github/copilot-instructions.md" TargetMode="External"/><Relationship Id="rId329" Type="http://schemas.openxmlformats.org/officeDocument/2006/relationships/hyperlink" Target="https://github.com/stepfunc/dnp3/blob/main/CLAUDE.md" TargetMode="External"/><Relationship Id="rId536" Type="http://schemas.openxmlformats.org/officeDocument/2006/relationships/hyperlink" Target="https://github.com/commonwarexyz/monorepo/blob/main/AGENTS.md" TargetMode="External"/><Relationship Id="rId1166" Type="http://schemas.openxmlformats.org/officeDocument/2006/relationships/hyperlink" Target="https://github.com/theopenco/llmgateway/blob/main/CLAUDE.md" TargetMode="External"/><Relationship Id="rId1373" Type="http://schemas.openxmlformats.org/officeDocument/2006/relationships/hyperlink" Target="https://github.com/coder/coder/blob/main/CLAUDE.md" TargetMode="External"/><Relationship Id="rId2217" Type="http://schemas.openxmlformats.org/officeDocument/2006/relationships/hyperlink" Target="https://github.com/proximafusion/vmecpp/blob/main/CLAUDE.md" TargetMode="External"/><Relationship Id="rId743" Type="http://schemas.openxmlformats.org/officeDocument/2006/relationships/hyperlink" Target="https://github.com/obophenotype/uberon/blob/master/.github/copilot-instructions.md" TargetMode="External"/><Relationship Id="rId950" Type="http://schemas.openxmlformats.org/officeDocument/2006/relationships/hyperlink" Target="https://github.com/truenas/webui/blob/master/CLAUDE.md" TargetMode="External"/><Relationship Id="rId1026" Type="http://schemas.openxmlformats.org/officeDocument/2006/relationships/hyperlink" Target="https://github.com/CapSoftware/Cap/blob/main/CLAUDE.md" TargetMode="External"/><Relationship Id="rId1580" Type="http://schemas.openxmlformats.org/officeDocument/2006/relationships/hyperlink" Target="https://github.com/logancyang/obsidian-copilot/blob/master/AGENTS.md" TargetMode="External"/><Relationship Id="rId1678" Type="http://schemas.openxmlformats.org/officeDocument/2006/relationships/hyperlink" Target="https://github.com/Chainlit/chainlit/blob/main/.github/copilot-instructions.md" TargetMode="External"/><Relationship Id="rId1885" Type="http://schemas.openxmlformats.org/officeDocument/2006/relationships/hyperlink" Target="https://github.com/Azure/LogicAppsUX/blob/main/CLAUDE.md" TargetMode="External"/><Relationship Id="rId2424" Type="http://schemas.openxmlformats.org/officeDocument/2006/relationships/hyperlink" Target="https://github.com/Azure/azure-functions-host/blob/master/.github/copilot-instructions.md" TargetMode="External"/><Relationship Id="rId603" Type="http://schemas.openxmlformats.org/officeDocument/2006/relationships/hyperlink" Target="https://github.com/marin-community/marin/blob/main/AGENTS.md" TargetMode="External"/><Relationship Id="rId810" Type="http://schemas.openxmlformats.org/officeDocument/2006/relationships/hyperlink" Target="https://github.com/CapSoftware/Cap/blob/main/AGENTS.md" TargetMode="External"/><Relationship Id="rId908" Type="http://schemas.openxmlformats.org/officeDocument/2006/relationships/hyperlink" Target="https://github.com/dailydotdev/apps/blob/main/CLAUDE.md" TargetMode="External"/><Relationship Id="rId1233" Type="http://schemas.openxmlformats.org/officeDocument/2006/relationships/hyperlink" Target="https://github.com/dotnet/runtime/blob/main/.github/copilot-instructions.md" TargetMode="External"/><Relationship Id="rId1440" Type="http://schemas.openxmlformats.org/officeDocument/2006/relationships/hyperlink" Target="https://github.com/lfnovo/esperanto/blob/main/CLAUDE.md" TargetMode="External"/><Relationship Id="rId1538" Type="http://schemas.openxmlformats.org/officeDocument/2006/relationships/hyperlink" Target="https://github.com/xlnfinance/xln/blob/main/CLAUDE.md" TargetMode="External"/><Relationship Id="rId1300" Type="http://schemas.openxmlformats.org/officeDocument/2006/relationships/hyperlink" Target="https://github.com/dotnet/maui/blob/main/.github/copilot-instructions.md" TargetMode="External"/><Relationship Id="rId1745" Type="http://schemas.openxmlformats.org/officeDocument/2006/relationships/hyperlink" Target="https://github.com/primer/react/blob/main/.github/copilot-instructions.md" TargetMode="External"/><Relationship Id="rId1952" Type="http://schemas.openxmlformats.org/officeDocument/2006/relationships/hyperlink" Target="https://github.com/saleor/apps/blob/main/CLAUDE.md" TargetMode="External"/><Relationship Id="rId37" Type="http://schemas.openxmlformats.org/officeDocument/2006/relationships/hyperlink" Target="https://github.com/abh/ntppool/blob/main/CLAUDE.md" TargetMode="External"/><Relationship Id="rId1605" Type="http://schemas.openxmlformats.org/officeDocument/2006/relationships/hyperlink" Target="https://github.com/PrairieLearn/PrairieLearn/blob/master/AGENTS.md" TargetMode="External"/><Relationship Id="rId1812" Type="http://schemas.openxmlformats.org/officeDocument/2006/relationships/hyperlink" Target="https://github.com/owid/etl/blob/master/CLAUDE.md" TargetMode="External"/><Relationship Id="rId186" Type="http://schemas.openxmlformats.org/officeDocument/2006/relationships/hyperlink" Target="https://github.com/web-infra-dev/rspack/blob/main/AGENTS.md" TargetMode="External"/><Relationship Id="rId393" Type="http://schemas.openxmlformats.org/officeDocument/2006/relationships/hyperlink" Target="https://github.com/getsentry/sentry-cocoa/blob/main/CLAUDE.md" TargetMode="External"/><Relationship Id="rId2074" Type="http://schemas.openxmlformats.org/officeDocument/2006/relationships/hyperlink" Target="https://github.com/Freika/dawarich/blob/master/CLAUDE.md" TargetMode="External"/><Relationship Id="rId2281" Type="http://schemas.openxmlformats.org/officeDocument/2006/relationships/hyperlink" Target="https://github.com/mbrt/gmailctl/blob/master/AGENTS.md" TargetMode="External"/><Relationship Id="rId253" Type="http://schemas.openxmlformats.org/officeDocument/2006/relationships/hyperlink" Target="https://github.com/Open-LLM-VTuber/Open-LLM-VTuber/blob/main/.github/copilot-instructions.md" TargetMode="External"/><Relationship Id="rId460" Type="http://schemas.openxmlformats.org/officeDocument/2006/relationships/hyperlink" Target="https://github.com/Pipelex/pipelex/blob/main/CLAUDE.md" TargetMode="External"/><Relationship Id="rId698" Type="http://schemas.openxmlformats.org/officeDocument/2006/relationships/hyperlink" Target="https://github.com/Azure/azure-sdk-for-net/blob/main/.github/copilot-instructions.md" TargetMode="External"/><Relationship Id="rId1090" Type="http://schemas.openxmlformats.org/officeDocument/2006/relationships/hyperlink" Target="https://github.com/CapSoftware/Cap/blob/main/CLAUDE.md" TargetMode="External"/><Relationship Id="rId2141" Type="http://schemas.openxmlformats.org/officeDocument/2006/relationships/hyperlink" Target="https://github.com/compiler-explorer/compiler-explorer/blob/main/CLAUDE.md" TargetMode="External"/><Relationship Id="rId2379" Type="http://schemas.openxmlformats.org/officeDocument/2006/relationships/hyperlink" Target="https://github.com/netdata/netdata/blob/master/CLAUDE.md" TargetMode="External"/><Relationship Id="rId113" Type="http://schemas.openxmlformats.org/officeDocument/2006/relationships/hyperlink" Target="https://github.com/tphakala/birdnet-go/blob/main/CLAUDE.md" TargetMode="External"/><Relationship Id="rId320" Type="http://schemas.openxmlformats.org/officeDocument/2006/relationships/hyperlink" Target="https://github.com/cloudposse/atmos/blob/main/CLAUDE.md" TargetMode="External"/><Relationship Id="rId558" Type="http://schemas.openxmlformats.org/officeDocument/2006/relationships/hyperlink" Target="https://github.com/JuliaLang/julia/blob/master/AGENTS.md" TargetMode="External"/><Relationship Id="rId765" Type="http://schemas.openxmlformats.org/officeDocument/2006/relationships/hyperlink" Target="https://github.com/sybrew/the-seo-framework/blob/master/.github/copilot-instructions.md" TargetMode="External"/><Relationship Id="rId972" Type="http://schemas.openxmlformats.org/officeDocument/2006/relationships/hyperlink" Target="https://github.com/PrairieLearn/PrairieLearn/blob/master/AGENTS.md" TargetMode="External"/><Relationship Id="rId1188" Type="http://schemas.openxmlformats.org/officeDocument/2006/relationships/hyperlink" Target="https://github.com/janbjorge/pgqueuer/blob/main/AGENTS.md" TargetMode="External"/><Relationship Id="rId1395" Type="http://schemas.openxmlformats.org/officeDocument/2006/relationships/hyperlink" Target="https://github.com/dropseed/plain/blob/main/CLAUDE.md" TargetMode="External"/><Relationship Id="rId2001" Type="http://schemas.openxmlformats.org/officeDocument/2006/relationships/hyperlink" Target="https://github.com/marin-community/marin/blob/main/AGENTS.md" TargetMode="External"/><Relationship Id="rId2239" Type="http://schemas.openxmlformats.org/officeDocument/2006/relationships/hyperlink" Target="https://github.com/xlnfinance/xln/blob/main/CLAUDE.md" TargetMode="External"/><Relationship Id="rId2446" Type="http://schemas.openxmlformats.org/officeDocument/2006/relationships/hyperlink" Target="https://github.com/CapSoftware/Cap/blob/main/CLAUDE.md" TargetMode="External"/><Relationship Id="rId418" Type="http://schemas.openxmlformats.org/officeDocument/2006/relationships/hyperlink" Target="https://github.com/lostleaf/binance_datatool/blob/main/CLAUDE.md" TargetMode="External"/><Relationship Id="rId625" Type="http://schemas.openxmlformats.org/officeDocument/2006/relationships/hyperlink" Target="https://github.com/public-ui/kolibri/blob/master/AGENTS.md" TargetMode="External"/><Relationship Id="rId832" Type="http://schemas.openxmlformats.org/officeDocument/2006/relationships/hyperlink" Target="https://github.com/pulumi/docs/blob/master/AGENTS.md" TargetMode="External"/><Relationship Id="rId1048" Type="http://schemas.openxmlformats.org/officeDocument/2006/relationships/hyperlink" Target="https://github.com/Azure/azure-functions-host/blob/master/.github/copilot-instructions.md" TargetMode="External"/><Relationship Id="rId1255" Type="http://schemas.openxmlformats.org/officeDocument/2006/relationships/hyperlink" Target="https://github.com/NG-ZORRO/ng-zorro-antd/blob/master/.github/copilot-instructions.md" TargetMode="External"/><Relationship Id="rId1462" Type="http://schemas.openxmlformats.org/officeDocument/2006/relationships/hyperlink" Target="https://github.com/OneKeyHQ/app-monorepo/blob/master/CLAUDE.md" TargetMode="External"/><Relationship Id="rId2306" Type="http://schemas.openxmlformats.org/officeDocument/2006/relationships/hyperlink" Target="https://github.com/benwbrum/fromthepage/blob/main/.github/copilot-instructions.md" TargetMode="External"/><Relationship Id="rId2513" Type="http://schemas.openxmlformats.org/officeDocument/2006/relationships/hyperlink" Target="https://github.com/coder/coder/blob/main/CLAUDE.md" TargetMode="External"/><Relationship Id="rId1115" Type="http://schemas.openxmlformats.org/officeDocument/2006/relationships/hyperlink" Target="https://github.com/home-assistant/frontend/blob/master/CLAUDE.md" TargetMode="External"/><Relationship Id="rId1322" Type="http://schemas.openxmlformats.org/officeDocument/2006/relationships/hyperlink" Target="https://github.com/abh/ntppool/blob/main/CLAUDE.md" TargetMode="External"/><Relationship Id="rId1767" Type="http://schemas.openxmlformats.org/officeDocument/2006/relationships/hyperlink" Target="https://github.com/OneKeyHQ/app-monorepo/blob/master/CLAUDE.md" TargetMode="External"/><Relationship Id="rId1974" Type="http://schemas.openxmlformats.org/officeDocument/2006/relationships/hyperlink" Target="https://github.com/charlesvestal/extending-move/blob/main/AGENTS.md" TargetMode="External"/><Relationship Id="rId59" Type="http://schemas.openxmlformats.org/officeDocument/2006/relationships/hyperlink" Target="https://github.com/dailydotdev/apps/blob/main/CLAUDE.md" TargetMode="External"/><Relationship Id="rId1627" Type="http://schemas.openxmlformats.org/officeDocument/2006/relationships/hyperlink" Target="https://github.com/theopenco/llmgateway/blob/main/AGENTS.md" TargetMode="External"/><Relationship Id="rId1834" Type="http://schemas.openxmlformats.org/officeDocument/2006/relationships/hyperlink" Target="https://github.com/dotCMS/core/blob/main/CLAUDE.md" TargetMode="External"/><Relationship Id="rId2096" Type="http://schemas.openxmlformats.org/officeDocument/2006/relationships/hyperlink" Target="https://github.com/mixpanel/mixpanel-android/blob/master/.github/copilot-instructions.md" TargetMode="External"/><Relationship Id="rId1901" Type="http://schemas.openxmlformats.org/officeDocument/2006/relationships/hyperlink" Target="https://github.com/evmts/tevm-monorepo/blob/main/CLAUDE.md" TargetMode="External"/><Relationship Id="rId275" Type="http://schemas.openxmlformats.org/officeDocument/2006/relationships/hyperlink" Target="https://github.com/Freika/dawarich/blob/master/CLAUDE.md" TargetMode="External"/><Relationship Id="rId482" Type="http://schemas.openxmlformats.org/officeDocument/2006/relationships/hyperlink" Target="https://github.com/RchGrav/claudebox/blob/main/CLAUDE.md" TargetMode="External"/><Relationship Id="rId2163" Type="http://schemas.openxmlformats.org/officeDocument/2006/relationships/hyperlink" Target="https://github.com/geneontology/go-ontology/blob/master/CLAUDE.md" TargetMode="External"/><Relationship Id="rId2370" Type="http://schemas.openxmlformats.org/officeDocument/2006/relationships/hyperlink" Target="https://github.com/gitkraken/vscode-gitlens/blob/main/AGENTS.md" TargetMode="External"/><Relationship Id="rId135" Type="http://schemas.openxmlformats.org/officeDocument/2006/relationships/hyperlink" Target="https://github.com/zenml-io/zenml/blob/main/CLAUDE.md" TargetMode="External"/><Relationship Id="rId342" Type="http://schemas.openxmlformats.org/officeDocument/2006/relationships/hyperlink" Target="https://github.com/anyproto/anytype-ts/blob/main/CLAUDE.md" TargetMode="External"/><Relationship Id="rId787" Type="http://schemas.openxmlformats.org/officeDocument/2006/relationships/hyperlink" Target="https://github.com/zwave-js/zwave-js/blob/master/.github/copilot-instructions.md" TargetMode="External"/><Relationship Id="rId994" Type="http://schemas.openxmlformats.org/officeDocument/2006/relationships/hyperlink" Target="https://github.com/Azure/azure-sdk-tools/blob/main/.github/copilot-instructions.md" TargetMode="External"/><Relationship Id="rId2023" Type="http://schemas.openxmlformats.org/officeDocument/2006/relationships/hyperlink" Target="https://github.com/python-cachier/cachier/blob/master/AGENTS.md" TargetMode="External"/><Relationship Id="rId2230" Type="http://schemas.openxmlformats.org/officeDocument/2006/relationships/hyperlink" Target="https://github.com/vaadin/flow/blob/main/CLAUDE.md" TargetMode="External"/><Relationship Id="rId2468" Type="http://schemas.openxmlformats.org/officeDocument/2006/relationships/hyperlink" Target="https://github.com/safety-research/safety-tooling/blob/main/CLAUDE.md" TargetMode="External"/><Relationship Id="rId202" Type="http://schemas.openxmlformats.org/officeDocument/2006/relationships/hyperlink" Target="https://github.com/wieslawsoltes/Xaml.Behaviors/blob/master/AGENTS.md" TargetMode="External"/><Relationship Id="rId647" Type="http://schemas.openxmlformats.org/officeDocument/2006/relationships/hyperlink" Target="https://github.com/Rello/analytics/blob/master/AGENTS.md" TargetMode="External"/><Relationship Id="rId854" Type="http://schemas.openxmlformats.org/officeDocument/2006/relationships/hyperlink" Target="https://github.com/gitkraken/vscode-gitlens/blob/main/AGENTS.md" TargetMode="External"/><Relationship Id="rId1277" Type="http://schemas.openxmlformats.org/officeDocument/2006/relationships/hyperlink" Target="https://github.com/vczh-libraries/GacUI/blob/master/.github/copilot-instructions.md" TargetMode="External"/><Relationship Id="rId1484" Type="http://schemas.openxmlformats.org/officeDocument/2006/relationships/hyperlink" Target="https://github.com/pannous/wasp/blob/main/CLAUDE.md" TargetMode="External"/><Relationship Id="rId1691" Type="http://schemas.openxmlformats.org/officeDocument/2006/relationships/hyperlink" Target="https://github.com/dotnet/aspnetcore/blob/main/.github/copilot-instructions.md" TargetMode="External"/><Relationship Id="rId2328" Type="http://schemas.openxmlformats.org/officeDocument/2006/relationships/hyperlink" Target="https://github.com/microsoft/vscode-jupyter/blob/main/.github/copilot-instructions.md" TargetMode="External"/><Relationship Id="rId2535" Type="http://schemas.openxmlformats.org/officeDocument/2006/relationships/hyperlink" Target="https://github.com/Pipelex/pipelex/blob/main/AGENTS.md" TargetMode="External"/><Relationship Id="rId507" Type="http://schemas.openxmlformats.org/officeDocument/2006/relationships/hyperlink" Target="https://github.com/zenml-io/zenml/blob/main/CLAUDE.md" TargetMode="External"/><Relationship Id="rId714" Type="http://schemas.openxmlformats.org/officeDocument/2006/relationships/hyperlink" Target="https://github.com/dotnet/runtime/blob/main/.github/copilot-instructions.md" TargetMode="External"/><Relationship Id="rId921" Type="http://schemas.openxmlformats.org/officeDocument/2006/relationships/hyperlink" Target="https://github.com/lfnovo/esperanto/blob/main/CLAUDE.md" TargetMode="External"/><Relationship Id="rId1137" Type="http://schemas.openxmlformats.org/officeDocument/2006/relationships/hyperlink" Target="https://github.com/open-metadata/OpenMetadata/blob/main/CLAUDE.md" TargetMode="External"/><Relationship Id="rId1344" Type="http://schemas.openxmlformats.org/officeDocument/2006/relationships/hyperlink" Target="https://github.com/browser-use/browser-use/blob/main/CLAUDE.md" TargetMode="External"/><Relationship Id="rId1551" Type="http://schemas.openxmlformats.org/officeDocument/2006/relationships/hyperlink" Target="https://github.com/Agoric/agoric-sdk/blob/master/AGENTS.md" TargetMode="External"/><Relationship Id="rId1789" Type="http://schemas.openxmlformats.org/officeDocument/2006/relationships/hyperlink" Target="https://github.com/stack-auth/stack-auth/blob/main/AGENTS.md" TargetMode="External"/><Relationship Id="rId1996" Type="http://schemas.openxmlformats.org/officeDocument/2006/relationships/hyperlink" Target="https://github.com/luccahuguet/yazelix/blob/main/AGENTS.md" TargetMode="External"/><Relationship Id="rId50" Type="http://schemas.openxmlformats.org/officeDocument/2006/relationships/hyperlink" Target="https://github.com/cloudposse/atmos/blob/main/CLAUDE.md" TargetMode="External"/><Relationship Id="rId1204" Type="http://schemas.openxmlformats.org/officeDocument/2006/relationships/hyperlink" Target="https://github.com/PrairieLearn/PrairieLearn/blob/master/AGENTS.md" TargetMode="External"/><Relationship Id="rId1411" Type="http://schemas.openxmlformats.org/officeDocument/2006/relationships/hyperlink" Target="https://github.com/geneontology/go-ontology/blob/master/CLAUDE.md" TargetMode="External"/><Relationship Id="rId1649" Type="http://schemas.openxmlformats.org/officeDocument/2006/relationships/hyperlink" Target="https://github.com/alandtse/alexa_media_player/blob/master/.github/copilot-instructions.md" TargetMode="External"/><Relationship Id="rId1856" Type="http://schemas.openxmlformats.org/officeDocument/2006/relationships/hyperlink" Target="https://github.com/esphome/esphome/blob/main/.github/copilot-instructions.md" TargetMode="External"/><Relationship Id="rId1509" Type="http://schemas.openxmlformats.org/officeDocument/2006/relationships/hyperlink" Target="https://github.com/RchGrav/claudebox/blob/main/CLAUDE.md" TargetMode="External"/><Relationship Id="rId1716" Type="http://schemas.openxmlformats.org/officeDocument/2006/relationships/hyperlink" Target="https://github.com/irihitech/Ursa.Avalonia/blob/main/.github/copilot-instructions.md" TargetMode="External"/><Relationship Id="rId1923" Type="http://schemas.openxmlformats.org/officeDocument/2006/relationships/hyperlink" Target="https://github.com/langchain-ai/langchain/blob/master/CLAUDE.md" TargetMode="External"/><Relationship Id="rId297" Type="http://schemas.openxmlformats.org/officeDocument/2006/relationships/hyperlink" Target="https://github.com/BerriAI/litellm/blob/main/CLAUDE.md" TargetMode="External"/><Relationship Id="rId2185" Type="http://schemas.openxmlformats.org/officeDocument/2006/relationships/hyperlink" Target="https://github.com/lollipopkit/flutter_server_box/blob/main/CLAUDE.md" TargetMode="External"/><Relationship Id="rId2392" Type="http://schemas.openxmlformats.org/officeDocument/2006/relationships/hyperlink" Target="https://github.com/vaadin/flow/blob/main/CLAUDE.md" TargetMode="External"/><Relationship Id="rId157" Type="http://schemas.openxmlformats.org/officeDocument/2006/relationships/hyperlink" Target="https://github.com/hahwul/dalfox/blob/main/AGENTS.md" TargetMode="External"/><Relationship Id="rId364" Type="http://schemas.openxmlformats.org/officeDocument/2006/relationships/hyperlink" Target="https://github.com/cockroachdb/cockroach/blob/master/CLAUDE.md" TargetMode="External"/><Relationship Id="rId2045" Type="http://schemas.openxmlformats.org/officeDocument/2006/relationships/hyperlink" Target="https://github.com/zenml-io/zenml/blob/main/AGENTS.md" TargetMode="External"/><Relationship Id="rId571" Type="http://schemas.openxmlformats.org/officeDocument/2006/relationships/hyperlink" Target="https://github.com/langchain-ai/langchain/blob/master/AGENTS.md" TargetMode="External"/><Relationship Id="rId669" Type="http://schemas.openxmlformats.org/officeDocument/2006/relationships/hyperlink" Target="https://github.com/theopenco/llmgateway/blob/main/AGENTS.md" TargetMode="External"/><Relationship Id="rId876" Type="http://schemas.openxmlformats.org/officeDocument/2006/relationships/hyperlink" Target="https://github.com/BerriAI/litellm/blob/main/CLAUDE.md" TargetMode="External"/><Relationship Id="rId1299" Type="http://schemas.openxmlformats.org/officeDocument/2006/relationships/hyperlink" Target="https://github.com/python-cachier/cachier/blob/master/AGENTS.md" TargetMode="External"/><Relationship Id="rId2252" Type="http://schemas.openxmlformats.org/officeDocument/2006/relationships/hyperlink" Target="https://github.com/commonwarexyz/monorepo/blob/main/AGENTS.md" TargetMode="External"/><Relationship Id="rId224" Type="http://schemas.openxmlformats.org/officeDocument/2006/relationships/hyperlink" Target="https://github.com/dotnet/docs-aspire/blob/main/.github/copilot-instructions.md" TargetMode="External"/><Relationship Id="rId431" Type="http://schemas.openxmlformats.org/officeDocument/2006/relationships/hyperlink" Target="https://github.com/OlympiaAI/raix/blob/main/CLAUDE.md" TargetMode="External"/><Relationship Id="rId529" Type="http://schemas.openxmlformats.org/officeDocument/2006/relationships/hyperlink" Target="https://github.com/carverauto/serviceradar/blob/main/AGENTS.md" TargetMode="External"/><Relationship Id="rId736" Type="http://schemas.openxmlformats.org/officeDocument/2006/relationships/hyperlink" Target="https://github.com/NG-ZORRO/ng-zorro-antd/blob/master/.github/copilot-instructions.md" TargetMode="External"/><Relationship Id="rId1061" Type="http://schemas.openxmlformats.org/officeDocument/2006/relationships/hyperlink" Target="https://github.com/lfnovo/esperanto/blob/main/CLAUDE.md" TargetMode="External"/><Relationship Id="rId1159" Type="http://schemas.openxmlformats.org/officeDocument/2006/relationships/hyperlink" Target="https://github.com/speaches-ai/speaches/blob/master/CLAUDE.md" TargetMode="External"/><Relationship Id="rId1366" Type="http://schemas.openxmlformats.org/officeDocument/2006/relationships/hyperlink" Target="https://github.com/cloudposse/atmos/blob/main/CLAUDE.md" TargetMode="External"/><Relationship Id="rId2112" Type="http://schemas.openxmlformats.org/officeDocument/2006/relationships/hyperlink" Target="https://github.com/allenai/open-instruct/blob/main/CLAUDE.md" TargetMode="External"/><Relationship Id="rId2417" Type="http://schemas.openxmlformats.org/officeDocument/2006/relationships/hyperlink" Target="https://github.com/luccahuguet/yazelix/blob/main/AGENTS.md" TargetMode="External"/><Relationship Id="rId943" Type="http://schemas.openxmlformats.org/officeDocument/2006/relationships/hyperlink" Target="https://github.com/RchGrav/claudebox/blob/main/CLAUDE.md" TargetMode="External"/><Relationship Id="rId1019" Type="http://schemas.openxmlformats.org/officeDocument/2006/relationships/hyperlink" Target="https://github.com/ShaunLawrie/PwshSpectreConsole/blob/main/.github/copilot-instructions.md" TargetMode="External"/><Relationship Id="rId1573" Type="http://schemas.openxmlformats.org/officeDocument/2006/relationships/hyperlink" Target="https://github.com/gitkraken/vscode-gitlens/blob/main/AGENTS.md" TargetMode="External"/><Relationship Id="rId1780" Type="http://schemas.openxmlformats.org/officeDocument/2006/relationships/hyperlink" Target="https://github.com/Freika/dawarich/blob/master/CLAUDE.md" TargetMode="External"/><Relationship Id="rId1878" Type="http://schemas.openxmlformats.org/officeDocument/2006/relationships/hyperlink" Target="https://github.com/stack-auth/stack-auth/blob/main/AGENTS.md" TargetMode="External"/><Relationship Id="rId72" Type="http://schemas.openxmlformats.org/officeDocument/2006/relationships/hyperlink" Target="https://github.com/home-assistant/frontend/blob/master/CLAUDE.md" TargetMode="External"/><Relationship Id="rId803" Type="http://schemas.openxmlformats.org/officeDocument/2006/relationships/hyperlink" Target="https://github.com/alchemiststudiosDOTai/tunacode/blob/master/AGENTS.md" TargetMode="External"/><Relationship Id="rId1226" Type="http://schemas.openxmlformats.org/officeDocument/2006/relationships/hyperlink" Target="https://github.com/dotnet/aspnetcore/blob/main/.github/copilot-instructions.md" TargetMode="External"/><Relationship Id="rId1433" Type="http://schemas.openxmlformats.org/officeDocument/2006/relationships/hyperlink" Target="https://github.com/home-assistant/frontend/blob/master/CLAUDE.md" TargetMode="External"/><Relationship Id="rId1640" Type="http://schemas.openxmlformats.org/officeDocument/2006/relationships/hyperlink" Target="https://github.com/Zaki-1052/GPTPortal/blob/main/AGENTS.md" TargetMode="External"/><Relationship Id="rId1738" Type="http://schemas.openxmlformats.org/officeDocument/2006/relationships/hyperlink" Target="https://github.com/obophenotype/uberon/blob/master/.github/copilot-instructions.md" TargetMode="External"/><Relationship Id="rId1500" Type="http://schemas.openxmlformats.org/officeDocument/2006/relationships/hyperlink" Target="https://github.com/proximafusion/vmecpp/blob/main/CLAUDE.md" TargetMode="External"/><Relationship Id="rId1945" Type="http://schemas.openxmlformats.org/officeDocument/2006/relationships/hyperlink" Target="https://github.com/RchGrav/claudebox/blob/main/CLAUDE.md" TargetMode="External"/><Relationship Id="rId1805" Type="http://schemas.openxmlformats.org/officeDocument/2006/relationships/hyperlink" Target="https://github.com/OneKeyHQ/app-monorepo/blob/master/CLAUDE.md" TargetMode="External"/><Relationship Id="rId179" Type="http://schemas.openxmlformats.org/officeDocument/2006/relationships/hyperlink" Target="https://github.com/rustfs/rustfs/blob/main/AGENTS.md" TargetMode="External"/><Relationship Id="rId386" Type="http://schemas.openxmlformats.org/officeDocument/2006/relationships/hyperlink" Target="https://github.com/dailydotdev/apps/blob/main/CLAUDE.md" TargetMode="External"/><Relationship Id="rId593" Type="http://schemas.openxmlformats.org/officeDocument/2006/relationships/hyperlink" Target="https://github.com/luccahuguet/yazelix/blob/main/AGENTS.md" TargetMode="External"/><Relationship Id="rId2067" Type="http://schemas.openxmlformats.org/officeDocument/2006/relationships/hyperlink" Target="https://github.com/langchain-ai/langchain/blob/master/AGENTS.md" TargetMode="External"/><Relationship Id="rId2274" Type="http://schemas.openxmlformats.org/officeDocument/2006/relationships/hyperlink" Target="https://github.com/luccahuguet/yazelix/blob/main/AGENTS.md" TargetMode="External"/><Relationship Id="rId2481" Type="http://schemas.openxmlformats.org/officeDocument/2006/relationships/hyperlink" Target="https://github.com/rainbow-me/rainbowkit/blob/main/AGENTS.md" TargetMode="External"/><Relationship Id="rId246" Type="http://schemas.openxmlformats.org/officeDocument/2006/relationships/hyperlink" Target="https://github.com/microsoft/react-native-windows/blob/main/.github/copilot-instructions.md" TargetMode="External"/><Relationship Id="rId453" Type="http://schemas.openxmlformats.org/officeDocument/2006/relationships/hyperlink" Target="https://github.com/Pipelex/pipelex/blob/main/CLAUDE.md" TargetMode="External"/><Relationship Id="rId660" Type="http://schemas.openxmlformats.org/officeDocument/2006/relationships/hyperlink" Target="https://github.com/SimonHalvdansson/Harmonic-HN/blob/main/AGENTS.md" TargetMode="External"/><Relationship Id="rId898" Type="http://schemas.openxmlformats.org/officeDocument/2006/relationships/hyperlink" Target="https://github.com/Comfy-Org/comfy-claude-prompt-library/blob/master/CLAUDE.md" TargetMode="External"/><Relationship Id="rId1083" Type="http://schemas.openxmlformats.org/officeDocument/2006/relationships/hyperlink" Target="https://github.com/Azure/LogicAppsUX/blob/main/CLAUDE.md" TargetMode="External"/><Relationship Id="rId1290" Type="http://schemas.openxmlformats.org/officeDocument/2006/relationships/hyperlink" Target="https://github.com/OneKeyHQ/app-monorepo/blob/master/CLAUDE.md" TargetMode="External"/><Relationship Id="rId2134" Type="http://schemas.openxmlformats.org/officeDocument/2006/relationships/hyperlink" Target="https://github.com/colinhacks/zod/blob/main/CLAUDE.md" TargetMode="External"/><Relationship Id="rId2341" Type="http://schemas.openxmlformats.org/officeDocument/2006/relationships/hyperlink" Target="https://github.com/sybrew/the-seo-framework/blob/master/.github/copilot-instructions.md" TargetMode="External"/><Relationship Id="rId106" Type="http://schemas.openxmlformats.org/officeDocument/2006/relationships/hyperlink" Target="https://github.com/steipete/Peekaboo/blob/main/CLAUDE.md" TargetMode="External"/><Relationship Id="rId313" Type="http://schemas.openxmlformats.org/officeDocument/2006/relationships/hyperlink" Target="https://github.com/public-ui/kolibri/blob/master/AGENTS.md" TargetMode="External"/><Relationship Id="rId758" Type="http://schemas.openxmlformats.org/officeDocument/2006/relationships/hyperlink" Target="https://github.com/SparkDevNetwork/Rock/blob/master/.github/copilot-instructions.md" TargetMode="External"/><Relationship Id="rId965" Type="http://schemas.openxmlformats.org/officeDocument/2006/relationships/hyperlink" Target="https://github.com/owid/etl/blob/master/AGENTS.md" TargetMode="External"/><Relationship Id="rId1150" Type="http://schemas.openxmlformats.org/officeDocument/2006/relationships/hyperlink" Target="https://github.com/RchGrav/claudebox/blob/main/CLAUDE.md" TargetMode="External"/><Relationship Id="rId1388" Type="http://schemas.openxmlformats.org/officeDocument/2006/relationships/hyperlink" Target="https://github.com/dailydotdev/apps/blob/main/CLAUDE.md" TargetMode="External"/><Relationship Id="rId1595" Type="http://schemas.openxmlformats.org/officeDocument/2006/relationships/hyperlink" Target="https://github.com/Pipelex/pipelex/blob/main/AGENTS.md" TargetMode="External"/><Relationship Id="rId2439" Type="http://schemas.openxmlformats.org/officeDocument/2006/relationships/hyperlink" Target="https://github.com/Significant-Gravitas/AutoGPT/blob/master/.github/copilot-instructions.md" TargetMode="External"/><Relationship Id="rId94" Type="http://schemas.openxmlformats.org/officeDocument/2006/relationships/hyperlink" Target="https://github.com/Pipelex/pipelex/blob/main/CLAUDE.md" TargetMode="External"/><Relationship Id="rId520" Type="http://schemas.openxmlformats.org/officeDocument/2006/relationships/hyperlink" Target="https://github.com/BoldGrid/w3-total-cache/blob/master/AGENTS.md" TargetMode="External"/><Relationship Id="rId618" Type="http://schemas.openxmlformats.org/officeDocument/2006/relationships/hyperlink" Target="https://github.com/Pipelex/pipelex/blob/main/AGENTS.md" TargetMode="External"/><Relationship Id="rId825" Type="http://schemas.openxmlformats.org/officeDocument/2006/relationships/hyperlink" Target="https://github.com/FastLED/FastLED/blob/master/CLAUDE.md" TargetMode="External"/><Relationship Id="rId1248" Type="http://schemas.openxmlformats.org/officeDocument/2006/relationships/hyperlink" Target="https://github.com/microsoft/ApplicationInsights-JS/blob/main/.github/copilot-instructions.md" TargetMode="External"/><Relationship Id="rId1455" Type="http://schemas.openxmlformats.org/officeDocument/2006/relationships/hyperlink" Target="https://github.com/netdata/netdata/blob/master/CLAUDE.md" TargetMode="External"/><Relationship Id="rId1662" Type="http://schemas.openxmlformats.org/officeDocument/2006/relationships/hyperlink" Target="https://github.com/AstrBotDevs/AstrBot/blob/master/.github/copilot-instructions.md" TargetMode="External"/><Relationship Id="rId2201" Type="http://schemas.openxmlformats.org/officeDocument/2006/relationships/hyperlink" Target="https://github.com/open-metadata/OpenMetadata/blob/main/CLAUDE.md" TargetMode="External"/><Relationship Id="rId2506" Type="http://schemas.openxmlformats.org/officeDocument/2006/relationships/hyperlink" Target="https://github.com/CapSoftware/Cap/blob/main/AGENTS.md" TargetMode="External"/><Relationship Id="rId1010" Type="http://schemas.openxmlformats.org/officeDocument/2006/relationships/hyperlink" Target="https://github.com/microsoft/ApplicationInsights-JS/blob/main/.github/copilot-instructions.md" TargetMode="External"/><Relationship Id="rId1108" Type="http://schemas.openxmlformats.org/officeDocument/2006/relationships/hyperlink" Target="https://github.com/FluidGroup/Brightroom/blob/main/CLAUDE.md" TargetMode="External"/><Relationship Id="rId1315" Type="http://schemas.openxmlformats.org/officeDocument/2006/relationships/hyperlink" Target="https://github.com/abh/ntppool/blob/main/CLAUDE.md" TargetMode="External"/><Relationship Id="rId1967" Type="http://schemas.openxmlformats.org/officeDocument/2006/relationships/hyperlink" Target="https://github.com/bruin-data/bruin/blob/main/AGENTS.md" TargetMode="External"/><Relationship Id="rId1522" Type="http://schemas.openxmlformats.org/officeDocument/2006/relationships/hyperlink" Target="https://github.com/theopenco/llmgateway/blob/main/CLAUDE.md" TargetMode="External"/><Relationship Id="rId21" Type="http://schemas.openxmlformats.org/officeDocument/2006/relationships/hyperlink" Target="https://github.com/home-assistant/frontend/blob/master/CLAUDE.md" TargetMode="External"/><Relationship Id="rId2089" Type="http://schemas.openxmlformats.org/officeDocument/2006/relationships/hyperlink" Target="https://github.com/mixpanel/mixpanel-android/blob/master/AGENTS.md" TargetMode="External"/><Relationship Id="rId2296" Type="http://schemas.openxmlformats.org/officeDocument/2006/relationships/hyperlink" Target="https://github.com/useautumn/autumn/blob/main/AGENTS.md" TargetMode="External"/><Relationship Id="rId268" Type="http://schemas.openxmlformats.org/officeDocument/2006/relationships/hyperlink" Target="https://github.com/wvlet/airframe/blob/main/.github/copilot-instructions.md" TargetMode="External"/><Relationship Id="rId475" Type="http://schemas.openxmlformats.org/officeDocument/2006/relationships/hyperlink" Target="https://github.com/RchGrav/claudebox/blob/main/CLAUDE.md" TargetMode="External"/><Relationship Id="rId682" Type="http://schemas.openxmlformats.org/officeDocument/2006/relationships/hyperlink" Target="https://github.com/wieslawsoltes/Dock/blob/master/AGENTS.md" TargetMode="External"/><Relationship Id="rId2156" Type="http://schemas.openxmlformats.org/officeDocument/2006/relationships/hyperlink" Target="https://github.com/Expensify/App/blob/main/CLAUDE.md" TargetMode="External"/><Relationship Id="rId2363" Type="http://schemas.openxmlformats.org/officeDocument/2006/relationships/hyperlink" Target="https://github.com/Azure/LogicAppsUX/blob/main/CLAUDE.md" TargetMode="External"/><Relationship Id="rId128" Type="http://schemas.openxmlformats.org/officeDocument/2006/relationships/hyperlink" Target="https://github.com/zed-industries/zed/blob/main/CLAUDE.md" TargetMode="External"/><Relationship Id="rId335" Type="http://schemas.openxmlformats.org/officeDocument/2006/relationships/hyperlink" Target="https://github.com/ajanraj/OpenChat/blob/main/CLAUDE.md" TargetMode="External"/><Relationship Id="rId542" Type="http://schemas.openxmlformats.org/officeDocument/2006/relationships/hyperlink" Target="https://github.com/fujiapple852/trippy/blob/master/AGENTS.md" TargetMode="External"/><Relationship Id="rId1172" Type="http://schemas.openxmlformats.org/officeDocument/2006/relationships/hyperlink" Target="https://github.com/truenas/webui/blob/master/CLAUDE.md" TargetMode="External"/><Relationship Id="rId2016" Type="http://schemas.openxmlformats.org/officeDocument/2006/relationships/hyperlink" Target="https://github.com/owid/etl/blob/master/AGENTS.md" TargetMode="External"/><Relationship Id="rId2223" Type="http://schemas.openxmlformats.org/officeDocument/2006/relationships/hyperlink" Target="https://github.com/tphakala/birdnet-go/blob/main/CLAUDE.md" TargetMode="External"/><Relationship Id="rId2430" Type="http://schemas.openxmlformats.org/officeDocument/2006/relationships/hyperlink" Target="https://github.com/geneontology/go-ontology/blob/master/.github/copilot-instructions.md" TargetMode="External"/><Relationship Id="rId402" Type="http://schemas.openxmlformats.org/officeDocument/2006/relationships/hyperlink" Target="https://github.com/J-Tech-Japan/Sekiban/blob/main/CLAUDE.md" TargetMode="External"/><Relationship Id="rId1032" Type="http://schemas.openxmlformats.org/officeDocument/2006/relationships/hyperlink" Target="https://github.com/dailydotdev/apps/blob/main/CLAUDE.md" TargetMode="External"/><Relationship Id="rId1989" Type="http://schemas.openxmlformats.org/officeDocument/2006/relationships/hyperlink" Target="https://github.com/Kiln-AI/Kiln/blob/main/AGENTS.md" TargetMode="External"/><Relationship Id="rId1849" Type="http://schemas.openxmlformats.org/officeDocument/2006/relationships/hyperlink" Target="https://github.com/dotnet/maui/blob/main/.github/copilot-instructions.md" TargetMode="External"/><Relationship Id="rId192" Type="http://schemas.openxmlformats.org/officeDocument/2006/relationships/hyperlink" Target="https://github.com/wieslawsoltes/Dock/blob/master/AGENTS.md" TargetMode="External"/><Relationship Id="rId1709" Type="http://schemas.openxmlformats.org/officeDocument/2006/relationships/hyperlink" Target="https://github.com/geneontology/go-ontology/blob/master/.github/copilot-instructions.md" TargetMode="External"/><Relationship Id="rId1916" Type="http://schemas.openxmlformats.org/officeDocument/2006/relationships/hyperlink" Target="https://github.com/home-assistant/frontend/blob/master/CLAUDE.md" TargetMode="External"/><Relationship Id="rId2080" Type="http://schemas.openxmlformats.org/officeDocument/2006/relationships/hyperlink" Target="https://github.com/twentyhq/twenty/blob/main/CLAUDE.md" TargetMode="External"/><Relationship Id="rId869" Type="http://schemas.openxmlformats.org/officeDocument/2006/relationships/hyperlink" Target="https://github.com/geneontology/go-ontology/blob/master/.github/copilot-instructions.md" TargetMode="External"/><Relationship Id="rId1499" Type="http://schemas.openxmlformats.org/officeDocument/2006/relationships/hyperlink" Target="https://github.com/Pipelex/pipelex/blob/main/CLAUDE.md" TargetMode="External"/><Relationship Id="rId729" Type="http://schemas.openxmlformats.org/officeDocument/2006/relationships/hyperlink" Target="https://github.com/microsoft/ApplicationInsights-JS/blob/main/.github/copilot-instructions.md" TargetMode="External"/><Relationship Id="rId1359" Type="http://schemas.openxmlformats.org/officeDocument/2006/relationships/hyperlink" Target="https://github.com/cloudposse/atmos/blob/main/CLAUDE.md" TargetMode="External"/><Relationship Id="rId936" Type="http://schemas.openxmlformats.org/officeDocument/2006/relationships/hyperlink" Target="https://github.com/paradigmxyz/reth/blob/main/CLAUDE.md" TargetMode="External"/><Relationship Id="rId1219" Type="http://schemas.openxmlformats.org/officeDocument/2006/relationships/hyperlink" Target="https://github.com/webgptorg/promptbook/blob/main/AGENTS.md" TargetMode="External"/><Relationship Id="rId1566" Type="http://schemas.openxmlformats.org/officeDocument/2006/relationships/hyperlink" Target="https://github.com/carverauto/serviceradar/blob/main/AGENTS.md" TargetMode="External"/><Relationship Id="rId1773" Type="http://schemas.openxmlformats.org/officeDocument/2006/relationships/hyperlink" Target="https://github.com/OneKeyHQ/app-monorepo/blob/master/CLAUDE.md" TargetMode="External"/><Relationship Id="rId1980" Type="http://schemas.openxmlformats.org/officeDocument/2006/relationships/hyperlink" Target="https://github.com/hathach/tinyusb/blob/master/AGENTS.md" TargetMode="External"/><Relationship Id="rId65" Type="http://schemas.openxmlformats.org/officeDocument/2006/relationships/hyperlink" Target="https://github.com/getsentry/sentry-cocoa/blob/main/CLAUDE.md" TargetMode="External"/><Relationship Id="rId1426" Type="http://schemas.openxmlformats.org/officeDocument/2006/relationships/hyperlink" Target="https://github.com/getsentry/sentry-javascript/blob/master/CLAUDE.md" TargetMode="External"/><Relationship Id="rId1633" Type="http://schemas.openxmlformats.org/officeDocument/2006/relationships/hyperlink" Target="https://github.com/valkey-io/valkey-glide/blob/main/AGENTS.md" TargetMode="External"/><Relationship Id="rId1840" Type="http://schemas.openxmlformats.org/officeDocument/2006/relationships/hyperlink" Target="https://github.com/theopenco/llmgateway/blob/main/CLAUDE.md" TargetMode="External"/><Relationship Id="rId1700" Type="http://schemas.openxmlformats.org/officeDocument/2006/relationships/hyperlink" Target="https://github.com/friendsofhyperf/components/blob/main/.github/copilot-instructions.md" TargetMode="External"/><Relationship Id="rId379" Type="http://schemas.openxmlformats.org/officeDocument/2006/relationships/hyperlink" Target="https://github.com/dailydotdev/apps/blob/main/CLAUDE.md" TargetMode="External"/><Relationship Id="rId586" Type="http://schemas.openxmlformats.org/officeDocument/2006/relationships/hyperlink" Target="https://github.com/luccahuguet/yazelix/blob/main/AGENTS.md" TargetMode="External"/><Relationship Id="rId793" Type="http://schemas.openxmlformats.org/officeDocument/2006/relationships/hyperlink" Target="https://github.com/sarchlab/akita/blob/main/.github/copilot-instructions.md" TargetMode="External"/><Relationship Id="rId2267" Type="http://schemas.openxmlformats.org/officeDocument/2006/relationships/hyperlink" Target="https://github.com/Kiln-AI/Kiln/blob/main/AGENTS.md" TargetMode="External"/><Relationship Id="rId2474" Type="http://schemas.openxmlformats.org/officeDocument/2006/relationships/hyperlink" Target="https://github.com/gitkraken/vscode-gitlens/blob/main/AGENTS.md" TargetMode="External"/><Relationship Id="rId239" Type="http://schemas.openxmlformats.org/officeDocument/2006/relationships/hyperlink" Target="https://github.com/microsoft/ApplicationInsights-JS/blob/main/.github/copilot-instructions.md" TargetMode="External"/><Relationship Id="rId446" Type="http://schemas.openxmlformats.org/officeDocument/2006/relationships/hyperlink" Target="https://github.com/openai/openai-agents-python/blob/main/CLAUDE.md" TargetMode="External"/><Relationship Id="rId653" Type="http://schemas.openxmlformats.org/officeDocument/2006/relationships/hyperlink" Target="https://github.com/rocketship-ai/rocketship/blob/main/AGENTS.md" TargetMode="External"/><Relationship Id="rId1076" Type="http://schemas.openxmlformats.org/officeDocument/2006/relationships/hyperlink" Target="https://github.com/allenai/open-instruct/blob/main/CLAUDE.md" TargetMode="External"/><Relationship Id="rId1283" Type="http://schemas.openxmlformats.org/officeDocument/2006/relationships/hyperlink" Target="https://github.com/compiler-explorer/infra/blob/main/CLAUDE.md" TargetMode="External"/><Relationship Id="rId1490" Type="http://schemas.openxmlformats.org/officeDocument/2006/relationships/hyperlink" Target="https://github.com/pathintegral-institute/mcpm.sh/blob/main/CLAUDE.md" TargetMode="External"/><Relationship Id="rId2127" Type="http://schemas.openxmlformats.org/officeDocument/2006/relationships/hyperlink" Target="https://github.com/CapSoftware/Cap/blob/main/CLAUDE.md" TargetMode="External"/><Relationship Id="rId2334" Type="http://schemas.openxmlformats.org/officeDocument/2006/relationships/hyperlink" Target="https://github.com/owncast/owncast/blob/master/.github/copilot-instructions.md" TargetMode="External"/><Relationship Id="rId306" Type="http://schemas.openxmlformats.org/officeDocument/2006/relationships/hyperlink" Target="https://github.com/octgn/OCTGN/blob/master/.github/copilot-instructions.md" TargetMode="External"/><Relationship Id="rId860" Type="http://schemas.openxmlformats.org/officeDocument/2006/relationships/hyperlink" Target="https://github.com/dotnet/runtime/blob/main/.github/copilot-instructions.md" TargetMode="External"/><Relationship Id="rId1143" Type="http://schemas.openxmlformats.org/officeDocument/2006/relationships/hyperlink" Target="https://github.com/Pipelex/pipelex/blob/main/CLAUDE.md" TargetMode="External"/><Relationship Id="rId2541" Type="http://schemas.openxmlformats.org/officeDocument/2006/relationships/hyperlink" Target="https://github.com/luccahuguet/yazelix/blob/main/AGENTS.md" TargetMode="External"/><Relationship Id="rId513" Type="http://schemas.openxmlformats.org/officeDocument/2006/relationships/hyperlink" Target="https://github.com/biolink/biolink-model/blob/master/AGENTS.md" TargetMode="External"/><Relationship Id="rId720" Type="http://schemas.openxmlformats.org/officeDocument/2006/relationships/hyperlink" Target="https://github.com/geneontology/go-ontology/blob/master/.github/copilot-instructions.md" TargetMode="External"/><Relationship Id="rId1350" Type="http://schemas.openxmlformats.org/officeDocument/2006/relationships/hyperlink" Target="https://github.com/CapSoftware/Cap/blob/main/CLAUDE.md" TargetMode="External"/><Relationship Id="rId2401" Type="http://schemas.openxmlformats.org/officeDocument/2006/relationships/hyperlink" Target="https://github.com/microsoft/FluidFramework/blob/main/.github/copilot-instructions.md" TargetMode="External"/><Relationship Id="rId1003" Type="http://schemas.openxmlformats.org/officeDocument/2006/relationships/hyperlink" Target="https://github.com/dotnet/macios/blob/main/.github/copilot-instructions.md" TargetMode="External"/><Relationship Id="rId1210" Type="http://schemas.openxmlformats.org/officeDocument/2006/relationships/hyperlink" Target="https://github.com/rustfs/rustfs/blob/main/AGENTS.md" TargetMode="External"/><Relationship Id="rId2191" Type="http://schemas.openxmlformats.org/officeDocument/2006/relationships/hyperlink" Target="https://github.com/modelcontextprotocol/typescript-sdk/blob/main/CLAUDE.md" TargetMode="External"/><Relationship Id="rId163" Type="http://schemas.openxmlformats.org/officeDocument/2006/relationships/hyperlink" Target="https://github.com/luccahuguet/yazelix/blob/main/AGENTS.md" TargetMode="External"/><Relationship Id="rId370" Type="http://schemas.openxmlformats.org/officeDocument/2006/relationships/hyperlink" Target="https://github.com/coder/coder/blob/main/CLAUDE.md" TargetMode="External"/><Relationship Id="rId2051" Type="http://schemas.openxmlformats.org/officeDocument/2006/relationships/hyperlink" Target="https://github.com/FidelusAleksander/ghcertified/blob/master/.github/copilot-instructions.md" TargetMode="External"/><Relationship Id="rId230" Type="http://schemas.openxmlformats.org/officeDocument/2006/relationships/hyperlink" Target="https://github.com/esphome/esphome/blob/main/.github/copilot-instructions.md" TargetMode="External"/><Relationship Id="rId1677" Type="http://schemas.openxmlformats.org/officeDocument/2006/relationships/hyperlink" Target="https://github.com/Azure/azure-functions-host/blob/master/.github/copilot-instructions.md" TargetMode="External"/><Relationship Id="rId1884" Type="http://schemas.openxmlformats.org/officeDocument/2006/relationships/hyperlink" Target="https://github.com/Azure/LogicAppsUX/blob/main/CLAUDE.md" TargetMode="External"/><Relationship Id="rId907" Type="http://schemas.openxmlformats.org/officeDocument/2006/relationships/hyperlink" Target="https://github.com/dailydotdev/apps/blob/main/CLAUDE.md" TargetMode="External"/><Relationship Id="rId1537" Type="http://schemas.openxmlformats.org/officeDocument/2006/relationships/hyperlink" Target="https://github.com/wolfi-dev/os/blob/main/CLAUDE.md" TargetMode="External"/><Relationship Id="rId1744" Type="http://schemas.openxmlformats.org/officeDocument/2006/relationships/hyperlink" Target="https://github.com/primer/react/blob/main/.github/copilot-instructions.md" TargetMode="External"/><Relationship Id="rId1951" Type="http://schemas.openxmlformats.org/officeDocument/2006/relationships/hyperlink" Target="https://github.com/rocket-admin/rocketadmin/blob/main/CLAUDE.md" TargetMode="External"/><Relationship Id="rId36" Type="http://schemas.openxmlformats.org/officeDocument/2006/relationships/hyperlink" Target="https://github.com/geneontology/go-ontology/blob/master/.github/copilot-instructions.md" TargetMode="External"/><Relationship Id="rId1604" Type="http://schemas.openxmlformats.org/officeDocument/2006/relationships/hyperlink" Target="https://github.com/PrairieLearn/PrairieLearn/blob/master/AGENTS.md" TargetMode="External"/><Relationship Id="rId1811" Type="http://schemas.openxmlformats.org/officeDocument/2006/relationships/hyperlink" Target="https://github.com/dotCMS/core/blob/main/CLAUDE.md" TargetMode="External"/><Relationship Id="rId697" Type="http://schemas.openxmlformats.org/officeDocument/2006/relationships/hyperlink" Target="https://github.com/Azure/azure-rest-api-specs/blob/main/.github/copilot-instructions.md" TargetMode="External"/><Relationship Id="rId2378" Type="http://schemas.openxmlformats.org/officeDocument/2006/relationships/hyperlink" Target="https://github.com/raycast/extensions/blob/main/.github/copilot-instructions.md" TargetMode="External"/><Relationship Id="rId1187" Type="http://schemas.openxmlformats.org/officeDocument/2006/relationships/hyperlink" Target="https://github.com/hathach/tinyusb/blob/master/AGENTS.md" TargetMode="External"/><Relationship Id="rId557" Type="http://schemas.openxmlformats.org/officeDocument/2006/relationships/hyperlink" Target="https://github.com/JuliaLang/julia/blob/master/AGENTS.md" TargetMode="External"/><Relationship Id="rId764" Type="http://schemas.openxmlformats.org/officeDocument/2006/relationships/hyperlink" Target="https://github.com/sybrew/the-seo-framework/blob/master/.github/copilot-instructions.md" TargetMode="External"/><Relationship Id="rId971" Type="http://schemas.openxmlformats.org/officeDocument/2006/relationships/hyperlink" Target="https://github.com/PrairieLearn/PrairieLearn/blob/master/AGENTS.md" TargetMode="External"/><Relationship Id="rId1394" Type="http://schemas.openxmlformats.org/officeDocument/2006/relationships/hyperlink" Target="https://github.com/dropseed/plain/blob/main/CLAUDE.md" TargetMode="External"/><Relationship Id="rId2238" Type="http://schemas.openxmlformats.org/officeDocument/2006/relationships/hyperlink" Target="https://github.com/wvlet/airframe/blob/main/CLAUDE.md" TargetMode="External"/><Relationship Id="rId2445" Type="http://schemas.openxmlformats.org/officeDocument/2006/relationships/hyperlink" Target="https://github.com/CapSoftware/Cap/blob/main/CLAUDE.md" TargetMode="External"/><Relationship Id="rId417" Type="http://schemas.openxmlformats.org/officeDocument/2006/relationships/hyperlink" Target="https://github.com/lostleaf/binance_datatool/blob/main/CLAUDE.md" TargetMode="External"/><Relationship Id="rId624" Type="http://schemas.openxmlformats.org/officeDocument/2006/relationships/hyperlink" Target="https://github.com/PrairieLearn/PrairieLearn/blob/master/AGENTS.md" TargetMode="External"/><Relationship Id="rId831" Type="http://schemas.openxmlformats.org/officeDocument/2006/relationships/hyperlink" Target="https://github.com/Pipelex/pipelex/blob/main/AGENTS.md" TargetMode="External"/><Relationship Id="rId1047" Type="http://schemas.openxmlformats.org/officeDocument/2006/relationships/hyperlink" Target="https://github.com/julep-ai/julep/blob/main/AGENTS.md" TargetMode="External"/><Relationship Id="rId1254" Type="http://schemas.openxmlformats.org/officeDocument/2006/relationships/hyperlink" Target="https://github.com/NG-ZORRO/ng-zorro-antd/blob/master/.github/copilot-instructions.md" TargetMode="External"/><Relationship Id="rId1461" Type="http://schemas.openxmlformats.org/officeDocument/2006/relationships/hyperlink" Target="https://github.com/OlympiaAI/raix/blob/main/CLAUDE.md" TargetMode="External"/><Relationship Id="rId2305" Type="http://schemas.openxmlformats.org/officeDocument/2006/relationships/hyperlink" Target="https://github.com/Azure/fleet/blob/main/.github/copilot-instructions.md" TargetMode="External"/><Relationship Id="rId2512" Type="http://schemas.openxmlformats.org/officeDocument/2006/relationships/hyperlink" Target="https://github.com/sybrew/the-seo-framework/blob/master/.github/copilot-instructions.md" TargetMode="External"/><Relationship Id="rId1114" Type="http://schemas.openxmlformats.org/officeDocument/2006/relationships/hyperlink" Target="https://github.com/home-assistant/frontend/blob/master/CLAUDE.md" TargetMode="External"/><Relationship Id="rId1321" Type="http://schemas.openxmlformats.org/officeDocument/2006/relationships/hyperlink" Target="https://github.com/abh/ntppool/blob/main/CLAUDE.md" TargetMode="External"/><Relationship Id="rId2095" Type="http://schemas.openxmlformats.org/officeDocument/2006/relationships/hyperlink" Target="https://github.com/mixpanel/mixpanel-android/blob/master/.github/copilot-instructions.md" TargetMode="External"/><Relationship Id="rId274" Type="http://schemas.openxmlformats.org/officeDocument/2006/relationships/hyperlink" Target="https://github.com/cloudwalk/stratus/blob/main/CLAUDE.md" TargetMode="External"/><Relationship Id="rId481" Type="http://schemas.openxmlformats.org/officeDocument/2006/relationships/hyperlink" Target="https://github.com/RchGrav/claudebox/blob/main/CLAUDE.md" TargetMode="External"/><Relationship Id="rId2162" Type="http://schemas.openxmlformats.org/officeDocument/2006/relationships/hyperlink" Target="https://github.com/geneontology/go-ontology/blob/master/CLAUDE.md" TargetMode="External"/><Relationship Id="rId134" Type="http://schemas.openxmlformats.org/officeDocument/2006/relationships/hyperlink" Target="https://github.com/zed-industries/zed/blob/main/CLAUDE.md" TargetMode="External"/><Relationship Id="rId341" Type="http://schemas.openxmlformats.org/officeDocument/2006/relationships/hyperlink" Target="https://github.com/anyproto/anytype-ts/blob/main/CLAUDE.md" TargetMode="External"/><Relationship Id="rId2022" Type="http://schemas.openxmlformats.org/officeDocument/2006/relationships/hyperlink" Target="https://github.com/python-cachier/cachier/blob/master/AGENTS.md" TargetMode="External"/><Relationship Id="rId201" Type="http://schemas.openxmlformats.org/officeDocument/2006/relationships/hyperlink" Target="https://github.com/wieslawsoltes/Xaml.Behaviors/blob/master/AGENTS.md" TargetMode="External"/><Relationship Id="rId1788" Type="http://schemas.openxmlformats.org/officeDocument/2006/relationships/hyperlink" Target="https://github.com/wieslawsoltes/Xaml.Behaviors/blob/master/AGENTS.md" TargetMode="External"/><Relationship Id="rId1995" Type="http://schemas.openxmlformats.org/officeDocument/2006/relationships/hyperlink" Target="https://github.com/logancyang/obsidian-copilot/blob/master/AGENTS.md" TargetMode="External"/><Relationship Id="rId1648" Type="http://schemas.openxmlformats.org/officeDocument/2006/relationships/hyperlink" Target="https://github.com/alandtse/alexa_media_player/blob/master/.github/copilot-instructions.md" TargetMode="External"/><Relationship Id="rId1508" Type="http://schemas.openxmlformats.org/officeDocument/2006/relationships/hyperlink" Target="https://github.com/RchGrav/claudebox/blob/main/CLAUDE.md" TargetMode="External"/><Relationship Id="rId1855" Type="http://schemas.openxmlformats.org/officeDocument/2006/relationships/hyperlink" Target="https://github.com/grafbase/grafbase/blob/main/CLAUDE.md" TargetMode="External"/><Relationship Id="rId1715" Type="http://schemas.openxmlformats.org/officeDocument/2006/relationships/hyperlink" Target="https://github.com/irihitech/Ursa.Avalonia/blob/main/.github/copilot-instructions.md" TargetMode="External"/><Relationship Id="rId1922" Type="http://schemas.openxmlformats.org/officeDocument/2006/relationships/hyperlink" Target="https://github.com/langchain-ai/langchain/blob/master/CLAUDE.md" TargetMode="External"/><Relationship Id="rId2489" Type="http://schemas.openxmlformats.org/officeDocument/2006/relationships/hyperlink" Target="https://github.com/friendsofhyperf/components/blob/main/.github/copilot-instructions.md" TargetMode="External"/><Relationship Id="rId668" Type="http://schemas.openxmlformats.org/officeDocument/2006/relationships/hyperlink" Target="https://github.com/theopenco/llmgateway/blob/main/AGENTS.md" TargetMode="External"/><Relationship Id="rId875" Type="http://schemas.openxmlformats.org/officeDocument/2006/relationships/hyperlink" Target="https://github.com/BerriAI/litellm/blob/main/CLAUDE.md" TargetMode="External"/><Relationship Id="rId1298" Type="http://schemas.openxmlformats.org/officeDocument/2006/relationships/hyperlink" Target="https://github.com/Pipelex/pipelex/blob/main/AGENTS.md" TargetMode="External"/><Relationship Id="rId2349" Type="http://schemas.openxmlformats.org/officeDocument/2006/relationships/hyperlink" Target="https://github.com/zwave-js/zwave-js-ui/blob/master/.github/copilot-instructions.md" TargetMode="External"/><Relationship Id="rId528" Type="http://schemas.openxmlformats.org/officeDocument/2006/relationships/hyperlink" Target="https://github.com/carverauto/serviceradar/blob/main/AGENTS.md" TargetMode="External"/><Relationship Id="rId735" Type="http://schemas.openxmlformats.org/officeDocument/2006/relationships/hyperlink" Target="https://github.com/microsoft/typespec/blob/main/.github/copilot-instructions.md" TargetMode="External"/><Relationship Id="rId942" Type="http://schemas.openxmlformats.org/officeDocument/2006/relationships/hyperlink" Target="https://github.com/RchGrav/claudebox/blob/main/CLAUDE.md" TargetMode="External"/><Relationship Id="rId1158" Type="http://schemas.openxmlformats.org/officeDocument/2006/relationships/hyperlink" Target="https://github.com/speaches-ai/speaches/blob/master/CLAUDE.md" TargetMode="External"/><Relationship Id="rId1365" Type="http://schemas.openxmlformats.org/officeDocument/2006/relationships/hyperlink" Target="https://github.com/cloudposse/atmos/blob/main/CLAUDE.md" TargetMode="External"/><Relationship Id="rId1572" Type="http://schemas.openxmlformats.org/officeDocument/2006/relationships/hyperlink" Target="https://github.com/getsentry/sentry-mcp/blob/main/AGENTS.md" TargetMode="External"/><Relationship Id="rId2209" Type="http://schemas.openxmlformats.org/officeDocument/2006/relationships/hyperlink" Target="https://github.com/open-metadata/OpenMetadata/blob/main/CLAUDE.md" TargetMode="External"/><Relationship Id="rId2416" Type="http://schemas.openxmlformats.org/officeDocument/2006/relationships/hyperlink" Target="https://github.com/luccahuguet/yazelix/blob/main/AGENTS.md" TargetMode="External"/><Relationship Id="rId1018" Type="http://schemas.openxmlformats.org/officeDocument/2006/relationships/hyperlink" Target="https://github.com/raycast/extensions/blob/main/.github/copilot-instructions.md" TargetMode="External"/><Relationship Id="rId1225" Type="http://schemas.openxmlformats.org/officeDocument/2006/relationships/hyperlink" Target="https://github.com/bbc/simorgh/blob/master/.github/copilot-instructions.md" TargetMode="External"/><Relationship Id="rId1432" Type="http://schemas.openxmlformats.org/officeDocument/2006/relationships/hyperlink" Target="https://github.com/gojiplus/tuber/blob/master/CLAUDE.md" TargetMode="External"/><Relationship Id="rId71" Type="http://schemas.openxmlformats.org/officeDocument/2006/relationships/hyperlink" Target="https://github.com/home-assistant/frontend/blob/master/CLAUDE.md" TargetMode="External"/><Relationship Id="rId802" Type="http://schemas.openxmlformats.org/officeDocument/2006/relationships/hyperlink" Target="https://github.com/cloudposse/atmos/blob/main/CLAUDE.md" TargetMode="External"/><Relationship Id="rId178" Type="http://schemas.openxmlformats.org/officeDocument/2006/relationships/hyperlink" Target="https://github.com/rustfs/rustfs/blob/main/AGENTS.md" TargetMode="External"/><Relationship Id="rId385" Type="http://schemas.openxmlformats.org/officeDocument/2006/relationships/hyperlink" Target="https://github.com/dailydotdev/apps/blob/main/CLAUDE.md" TargetMode="External"/><Relationship Id="rId592" Type="http://schemas.openxmlformats.org/officeDocument/2006/relationships/hyperlink" Target="https://github.com/luccahuguet/yazelix/blob/main/AGENTS.md" TargetMode="External"/><Relationship Id="rId2066" Type="http://schemas.openxmlformats.org/officeDocument/2006/relationships/hyperlink" Target="https://github.com/twentyhq/twenty/blob/main/CLAUDE.md" TargetMode="External"/><Relationship Id="rId2273" Type="http://schemas.openxmlformats.org/officeDocument/2006/relationships/hyperlink" Target="https://github.com/luccahuguet/yazelix/blob/main/AGENTS.md" TargetMode="External"/><Relationship Id="rId2480" Type="http://schemas.openxmlformats.org/officeDocument/2006/relationships/hyperlink" Target="https://github.com/PrairieLearn/PrairieLearn/blob/master/AGENTS.md" TargetMode="External"/><Relationship Id="rId245" Type="http://schemas.openxmlformats.org/officeDocument/2006/relationships/hyperlink" Target="https://github.com/microsoft/python-environment-tools/blob/main/.github/copilot-instructions.md" TargetMode="External"/><Relationship Id="rId452" Type="http://schemas.openxmlformats.org/officeDocument/2006/relationships/hyperlink" Target="https://github.com/Pipelex/pipelex/blob/main/CLAUDE.md" TargetMode="External"/><Relationship Id="rId1082" Type="http://schemas.openxmlformats.org/officeDocument/2006/relationships/hyperlink" Target="https://github.com/anyproto/anytype-ts/blob/main/CLAUDE.md" TargetMode="External"/><Relationship Id="rId2133" Type="http://schemas.openxmlformats.org/officeDocument/2006/relationships/hyperlink" Target="https://github.com/colinhacks/zod/blob/main/CLAUDE.md" TargetMode="External"/><Relationship Id="rId2340" Type="http://schemas.openxmlformats.org/officeDocument/2006/relationships/hyperlink" Target="https://github.com/SparkDevNetwork/Rock/blob/master/.github/copilot-instructions.md" TargetMode="External"/><Relationship Id="rId105" Type="http://schemas.openxmlformats.org/officeDocument/2006/relationships/hyperlink" Target="https://github.com/steipete/Peekaboo/blob/main/CLAUDE.md" TargetMode="External"/><Relationship Id="rId312" Type="http://schemas.openxmlformats.org/officeDocument/2006/relationships/hyperlink" Target="https://github.com/NuGet/NuGetGallery/blob/main/.github/copilot-instructions.md" TargetMode="External"/><Relationship Id="rId2200" Type="http://schemas.openxmlformats.org/officeDocument/2006/relationships/hyperlink" Target="https://github.com/open-metadata/OpenMetadata/blob/main/CLAUDE.md" TargetMode="External"/><Relationship Id="rId1899" Type="http://schemas.openxmlformats.org/officeDocument/2006/relationships/hyperlink" Target="https://github.com/dropseed/plain/blob/main/CLAUDE.md" TargetMode="External"/><Relationship Id="rId1759" Type="http://schemas.openxmlformats.org/officeDocument/2006/relationships/hyperlink" Target="https://github.com/wled/WLED/blob/main/.github/copilot-instructions.md" TargetMode="External"/><Relationship Id="rId1966" Type="http://schemas.openxmlformats.org/officeDocument/2006/relationships/hyperlink" Target="https://github.com/zenml-io/zenml/blob/main/CLAUDE.md" TargetMode="External"/><Relationship Id="rId1619" Type="http://schemas.openxmlformats.org/officeDocument/2006/relationships/hyperlink" Target="https://github.com/pytorch/pytorch/blob/main/AGENTS.md" TargetMode="External"/><Relationship Id="rId1826" Type="http://schemas.openxmlformats.org/officeDocument/2006/relationships/hyperlink" Target="https://github.com/microsoft/simplechat/blob/main/.github/copilot-instructions.md" TargetMode="External"/><Relationship Id="rId779" Type="http://schemas.openxmlformats.org/officeDocument/2006/relationships/hyperlink" Target="https://github.com/sybrew/the-seo-framework/blob/master/.github/copilot-instructions.md" TargetMode="External"/><Relationship Id="rId986" Type="http://schemas.openxmlformats.org/officeDocument/2006/relationships/hyperlink" Target="https://github.com/theosanderson/taxonium/blob/master/AGENTS.md" TargetMode="External"/><Relationship Id="rId639" Type="http://schemas.openxmlformats.org/officeDocument/2006/relationships/hyperlink" Target="https://github.com/python-cachier/cachier/blob/master/AGENTS.md" TargetMode="External"/><Relationship Id="rId1269" Type="http://schemas.openxmlformats.org/officeDocument/2006/relationships/hyperlink" Target="https://github.com/triggerdotdev/trigger.dev/blob/main/.github/copilot-instructions.md" TargetMode="External"/><Relationship Id="rId1476" Type="http://schemas.openxmlformats.org/officeDocument/2006/relationships/hyperlink" Target="https://github.com/open-metadata/OpenMetadata/blob/main/CLAUDE.md" TargetMode="External"/><Relationship Id="rId846" Type="http://schemas.openxmlformats.org/officeDocument/2006/relationships/hyperlink" Target="https://github.com/marin-community/marin/blob/main/AGENTS.md" TargetMode="External"/><Relationship Id="rId1129" Type="http://schemas.openxmlformats.org/officeDocument/2006/relationships/hyperlink" Target="https://github.com/numbagg/numbagg/blob/main/CLAUDE.md" TargetMode="External"/><Relationship Id="rId1683" Type="http://schemas.openxmlformats.org/officeDocument/2006/relationships/hyperlink" Target="https://github.com/christianhelle/apiclientcodegen/blob/master/.github/copilot-instructions.md" TargetMode="External"/><Relationship Id="rId1890" Type="http://schemas.openxmlformats.org/officeDocument/2006/relationships/hyperlink" Target="https://github.com/colinhacks/zod/blob/main/CLAUDE.md" TargetMode="External"/><Relationship Id="rId2527" Type="http://schemas.openxmlformats.org/officeDocument/2006/relationships/hyperlink" Target="https://github.com/xlnfinance/xln/blob/main/CLAUDE.md" TargetMode="External"/><Relationship Id="rId706" Type="http://schemas.openxmlformats.org/officeDocument/2006/relationships/hyperlink" Target="https://github.com/dotnet/maui/blob/main/.github/copilot-instructions.md" TargetMode="External"/><Relationship Id="rId913" Type="http://schemas.openxmlformats.org/officeDocument/2006/relationships/hyperlink" Target="https://github.com/evmts/tevm-monorepo/blob/main/CLAUDE.md" TargetMode="External"/><Relationship Id="rId1336" Type="http://schemas.openxmlformats.org/officeDocument/2006/relationships/hyperlink" Target="https://github.com/badlogic/lemmy/blob/main/CLAUDE.md" TargetMode="External"/><Relationship Id="rId1543" Type="http://schemas.openxmlformats.org/officeDocument/2006/relationships/hyperlink" Target="https://github.com/xlnfinance/xln/blob/main/CLAUDE.md" TargetMode="External"/><Relationship Id="rId1750" Type="http://schemas.openxmlformats.org/officeDocument/2006/relationships/hyperlink" Target="https://github.com/Significant-Gravitas/AutoGPT/blob/master/.github/copilot-instructions.md" TargetMode="External"/><Relationship Id="rId42" Type="http://schemas.openxmlformats.org/officeDocument/2006/relationships/hyperlink" Target="https://github.com/badlogic/lemmy/blob/main/CLAUDE.md" TargetMode="External"/><Relationship Id="rId1403" Type="http://schemas.openxmlformats.org/officeDocument/2006/relationships/hyperlink" Target="https://github.com/FastLED/FastLED/blob/master/CLAUDE.md" TargetMode="External"/><Relationship Id="rId1610" Type="http://schemas.openxmlformats.org/officeDocument/2006/relationships/hyperlink" Target="https://github.com/public-ui/kolibri/blob/master/AGENTS.md" TargetMode="External"/><Relationship Id="rId289" Type="http://schemas.openxmlformats.org/officeDocument/2006/relationships/hyperlink" Target="https://github.com/wolfi-dev/os/blob/main/CLAUDE.md" TargetMode="External"/><Relationship Id="rId496" Type="http://schemas.openxmlformats.org/officeDocument/2006/relationships/hyperlink" Target="https://github.com/theopenco/llmgateway/blob/main/CLAUDE.md" TargetMode="External"/><Relationship Id="rId2177" Type="http://schemas.openxmlformats.org/officeDocument/2006/relationships/hyperlink" Target="https://github.com/johnlindquist/kit/blob/main/CLAUDE.md" TargetMode="External"/><Relationship Id="rId2384" Type="http://schemas.openxmlformats.org/officeDocument/2006/relationships/hyperlink" Target="https://github.com/raycast/extensions/blob/main/.github/copilot-instructions.md" TargetMode="External"/><Relationship Id="rId149" Type="http://schemas.openxmlformats.org/officeDocument/2006/relationships/hyperlink" Target="https://github.com/commonwarexyz/monorepo/blob/main/AGENTS.md" TargetMode="External"/><Relationship Id="rId356" Type="http://schemas.openxmlformats.org/officeDocument/2006/relationships/hyperlink" Target="https://github.com/clidey/dory/blob/main/CLAUDE.md" TargetMode="External"/><Relationship Id="rId563" Type="http://schemas.openxmlformats.org/officeDocument/2006/relationships/hyperlink" Target="https://github.com/JuliaLang/julia/blob/master/AGENTS.md" TargetMode="External"/><Relationship Id="rId770" Type="http://schemas.openxmlformats.org/officeDocument/2006/relationships/hyperlink" Target="https://github.com/sybrew/the-seo-framework/blob/master/.github/copilot-instructions.md" TargetMode="External"/><Relationship Id="rId1193" Type="http://schemas.openxmlformats.org/officeDocument/2006/relationships/hyperlink" Target="https://github.com/luccahuguet/yazelix/blob/main/AGENTS.md" TargetMode="External"/><Relationship Id="rId2037" Type="http://schemas.openxmlformats.org/officeDocument/2006/relationships/hyperlink" Target="https://github.com/wieslawsoltes/Xaml.Behaviors/blob/master/AGENTS.md" TargetMode="External"/><Relationship Id="rId2244" Type="http://schemas.openxmlformats.org/officeDocument/2006/relationships/hyperlink" Target="https://github.com/zed-industries/zed/blob/main/CLAUDE.md" TargetMode="External"/><Relationship Id="rId2451" Type="http://schemas.openxmlformats.org/officeDocument/2006/relationships/hyperlink" Target="https://github.com/compiler-explorer/compiler-explorer/blob/main/CLAUDE.md" TargetMode="External"/><Relationship Id="rId216" Type="http://schemas.openxmlformats.org/officeDocument/2006/relationships/hyperlink" Target="https://github.com/Azure/AgentBaker/blob/main/.github/copilot-instructions.md" TargetMode="External"/><Relationship Id="rId423" Type="http://schemas.openxmlformats.org/officeDocument/2006/relationships/hyperlink" Target="https://github.com/netdata/netdata/blob/master/CLAUDE.md" TargetMode="External"/><Relationship Id="rId1053" Type="http://schemas.openxmlformats.org/officeDocument/2006/relationships/hyperlink" Target="https://github.com/ithacaxyz/account/blob/main/CLAUDE.md" TargetMode="External"/><Relationship Id="rId1260" Type="http://schemas.openxmlformats.org/officeDocument/2006/relationships/hyperlink" Target="https://github.com/owid/owid-grapher/blob/master/.github/copilot-instructions.md" TargetMode="External"/><Relationship Id="rId2104" Type="http://schemas.openxmlformats.org/officeDocument/2006/relationships/hyperlink" Target="https://github.com/abh/ntppool/blob/main/CLAUDE.md" TargetMode="External"/><Relationship Id="rId630" Type="http://schemas.openxmlformats.org/officeDocument/2006/relationships/hyperlink" Target="https://github.com/public-ui/kolibri/blob/master/AGENTS.md" TargetMode="External"/><Relationship Id="rId2311" Type="http://schemas.openxmlformats.org/officeDocument/2006/relationships/hyperlink" Target="https://github.com/dotnet/dotnet-api-docs/blob/main/.github/copilot-instructions.md" TargetMode="External"/><Relationship Id="rId1120" Type="http://schemas.openxmlformats.org/officeDocument/2006/relationships/hyperlink" Target="https://github.com/kern/filepizza/blob/main/CLAUDE.md" TargetMode="External"/><Relationship Id="rId1937" Type="http://schemas.openxmlformats.org/officeDocument/2006/relationships/hyperlink" Target="https://github.com/open-metadata/OpenMetadata/blob/main/CLAUDE.md" TargetMode="External"/><Relationship Id="rId280" Type="http://schemas.openxmlformats.org/officeDocument/2006/relationships/hyperlink" Target="https://github.com/esphome/esphome/blob/main/.github/copilot-instructions.md" TargetMode="External"/><Relationship Id="rId140" Type="http://schemas.openxmlformats.org/officeDocument/2006/relationships/hyperlink" Target="https://github.com/ArcInstitute/SRAgent/blob/main/AGENTS.md" TargetMode="External"/><Relationship Id="rId6" Type="http://schemas.openxmlformats.org/officeDocument/2006/relationships/hyperlink" Target="https://github.com/module-federation/core/blob/main/CLAUDE.md" TargetMode="External"/><Relationship Id="rId957" Type="http://schemas.openxmlformats.org/officeDocument/2006/relationships/hyperlink" Target="https://github.com/CapSoftware/Cap/blob/main/AGENTS.md" TargetMode="External"/><Relationship Id="rId1587" Type="http://schemas.openxmlformats.org/officeDocument/2006/relationships/hyperlink" Target="https://github.com/marin-community/marin/blob/main/AGENTS.md" TargetMode="External"/><Relationship Id="rId1794" Type="http://schemas.openxmlformats.org/officeDocument/2006/relationships/hyperlink" Target="https://github.com/evmts/tevm-monorepo/blob/main/CLAUDE.md" TargetMode="External"/><Relationship Id="rId86" Type="http://schemas.openxmlformats.org/officeDocument/2006/relationships/hyperlink" Target="https://github.com/open-metadata/OpenMetadata/blob/main/CLAUDE.md" TargetMode="External"/><Relationship Id="rId817" Type="http://schemas.openxmlformats.org/officeDocument/2006/relationships/hyperlink" Target="https://github.com/wandb/weave/blob/master/AGENTS.md" TargetMode="External"/><Relationship Id="rId1447" Type="http://schemas.openxmlformats.org/officeDocument/2006/relationships/hyperlink" Target="https://github.com/module-federation/core/blob/main/CLAUDE.md" TargetMode="External"/><Relationship Id="rId1654" Type="http://schemas.openxmlformats.org/officeDocument/2006/relationships/hyperlink" Target="https://github.com/ast-grep/ast-grep/blob/main/.github/copilot-instructions.md" TargetMode="External"/><Relationship Id="rId1861" Type="http://schemas.openxmlformats.org/officeDocument/2006/relationships/hyperlink" Target="https://github.com/owncast/owncast/blob/master/.github/copilot-instructions.md" TargetMode="External"/><Relationship Id="rId1307" Type="http://schemas.openxmlformats.org/officeDocument/2006/relationships/hyperlink" Target="https://github.com/openai/openai-agents-python/blob/main/AGENTS.md" TargetMode="External"/><Relationship Id="rId1514" Type="http://schemas.openxmlformats.org/officeDocument/2006/relationships/hyperlink" Target="https://github.com/safety-research/safety-tooling/blob/main/CLAUDE.md" TargetMode="External"/><Relationship Id="rId1721" Type="http://schemas.openxmlformats.org/officeDocument/2006/relationships/hyperlink" Target="https://github.com/james-gould/azure-keyvault-emulator/blob/master/.github/copilot-instructions.md" TargetMode="External"/><Relationship Id="rId13" Type="http://schemas.openxmlformats.org/officeDocument/2006/relationships/hyperlink" Target="https://github.com/Azure/fleet/blob/main/.github/copilot-instructions.md" TargetMode="External"/><Relationship Id="rId2288" Type="http://schemas.openxmlformats.org/officeDocument/2006/relationships/hyperlink" Target="https://github.com/Pipelex/pipelex/blob/main/AGENTS.md" TargetMode="External"/><Relationship Id="rId2495" Type="http://schemas.openxmlformats.org/officeDocument/2006/relationships/hyperlink" Target="https://github.com/wled/WLED/blob/main/.github/copilot-instructions.md" TargetMode="External"/><Relationship Id="rId467" Type="http://schemas.openxmlformats.org/officeDocument/2006/relationships/hyperlink" Target="https://github.com/qltysh/qlty/blob/main/CLAUDE.md" TargetMode="External"/><Relationship Id="rId1097" Type="http://schemas.openxmlformats.org/officeDocument/2006/relationships/hyperlink" Target="https://github.com/coder/coder/blob/main/CLAUDE.md" TargetMode="External"/><Relationship Id="rId2148" Type="http://schemas.openxmlformats.org/officeDocument/2006/relationships/hyperlink" Target="https://github.com/dotCMS/core/blob/main/CLAUDE.md" TargetMode="External"/><Relationship Id="rId674" Type="http://schemas.openxmlformats.org/officeDocument/2006/relationships/hyperlink" Target="https://github.com/wandb/weave/blob/master/AGENTS.md" TargetMode="External"/><Relationship Id="rId881" Type="http://schemas.openxmlformats.org/officeDocument/2006/relationships/hyperlink" Target="https://github.com/cloudposse/atmos/blob/main/CLAUDE.md" TargetMode="External"/><Relationship Id="rId2355" Type="http://schemas.openxmlformats.org/officeDocument/2006/relationships/hyperlink" Target="https://github.com/shinnku-nikaidou/shinnku-com/blob/main/AGENTS.md" TargetMode="External"/><Relationship Id="rId327" Type="http://schemas.openxmlformats.org/officeDocument/2006/relationships/hyperlink" Target="https://github.com/Azure/autorest.typescript/blob/main/.github/copilot-instructions.md" TargetMode="External"/><Relationship Id="rId534" Type="http://schemas.openxmlformats.org/officeDocument/2006/relationships/hyperlink" Target="https://github.com/commonwarexyz/monorepo/blob/main/AGENTS.md" TargetMode="External"/><Relationship Id="rId741" Type="http://schemas.openxmlformats.org/officeDocument/2006/relationships/hyperlink" Target="https://github.com/NG-ZORRO/ng-zorro-antd/blob/master/.github/copilot-instructions.md" TargetMode="External"/><Relationship Id="rId1164" Type="http://schemas.openxmlformats.org/officeDocument/2006/relationships/hyperlink" Target="https://github.com/speaches-ai/speaches/blob/master/CLAUDE.md" TargetMode="External"/><Relationship Id="rId1371" Type="http://schemas.openxmlformats.org/officeDocument/2006/relationships/hyperlink" Target="https://github.com/coder/coder/blob/main/CLAUDE.md" TargetMode="External"/><Relationship Id="rId2008" Type="http://schemas.openxmlformats.org/officeDocument/2006/relationships/hyperlink" Target="https://github.com/mark3labs/mcp-go/blob/main/AGENTS.md" TargetMode="External"/><Relationship Id="rId2215" Type="http://schemas.openxmlformats.org/officeDocument/2006/relationships/hyperlink" Target="https://github.com/Pipelex/pipelex/blob/main/CLAUDE.md" TargetMode="External"/><Relationship Id="rId2422" Type="http://schemas.openxmlformats.org/officeDocument/2006/relationships/hyperlink" Target="https://github.com/Azure/autorest.typescript/blob/main/.github/copilot-instructions.md" TargetMode="External"/><Relationship Id="rId601" Type="http://schemas.openxmlformats.org/officeDocument/2006/relationships/hyperlink" Target="https://github.com/marin-community/marin/blob/main/AGENTS.md" TargetMode="External"/><Relationship Id="rId1024" Type="http://schemas.openxmlformats.org/officeDocument/2006/relationships/hyperlink" Target="https://github.com/abh/ntppool/blob/main/CLAUDE.md" TargetMode="External"/><Relationship Id="rId1231" Type="http://schemas.openxmlformats.org/officeDocument/2006/relationships/hyperlink" Target="https://github.com/dotnet/maui/blob/main/.github/copilot-instructions.md" TargetMode="External"/><Relationship Id="rId184" Type="http://schemas.openxmlformats.org/officeDocument/2006/relationships/hyperlink" Target="https://github.com/swarmauri/swarmauri-sdk/blob/main/AGENTS.md" TargetMode="External"/><Relationship Id="rId391" Type="http://schemas.openxmlformats.org/officeDocument/2006/relationships/hyperlink" Target="https://github.com/geneontology/go-ontology/blob/master/CLAUDE.md" TargetMode="External"/><Relationship Id="rId1908" Type="http://schemas.openxmlformats.org/officeDocument/2006/relationships/hyperlink" Target="https://github.com/geneontology/go-ontology/blob/master/CLAUDE.md" TargetMode="External"/><Relationship Id="rId2072" Type="http://schemas.openxmlformats.org/officeDocument/2006/relationships/hyperlink" Target="https://github.com/colinhacks/zod/blob/main/CLAUDE.md" TargetMode="External"/><Relationship Id="rId251" Type="http://schemas.openxmlformats.org/officeDocument/2006/relationships/hyperlink" Target="https://github.com/NG-ZORRO/ng-zorro-antd/blob/master/.github/copilot-instructions.md" TargetMode="External"/><Relationship Id="rId111" Type="http://schemas.openxmlformats.org/officeDocument/2006/relationships/hyperlink" Target="https://github.com/thirdweb-dev/js/blob/main/CLAUDE.md" TargetMode="External"/><Relationship Id="rId1698" Type="http://schemas.openxmlformats.org/officeDocument/2006/relationships/hyperlink" Target="https://github.com/esphome/esphome/blob/main/.github/copilot-instructions.md" TargetMode="External"/><Relationship Id="rId928" Type="http://schemas.openxmlformats.org/officeDocument/2006/relationships/hyperlink" Target="https://github.com/nrwl/nx/blob/master/CLAUDE.md" TargetMode="External"/><Relationship Id="rId1558" Type="http://schemas.openxmlformats.org/officeDocument/2006/relationships/hyperlink" Target="https://github.com/CapSoftware/Cap/blob/main/AGENTS.md" TargetMode="External"/><Relationship Id="rId1765" Type="http://schemas.openxmlformats.org/officeDocument/2006/relationships/hyperlink" Target="https://github.com/zwave-js/zwave-js-ui/blob/master/.github/copilot-instructions.md" TargetMode="External"/><Relationship Id="rId57" Type="http://schemas.openxmlformats.org/officeDocument/2006/relationships/hyperlink" Target="https://github.com/compiler-explorer/infra/blob/main/CLAUDE.md" TargetMode="External"/><Relationship Id="rId1418" Type="http://schemas.openxmlformats.org/officeDocument/2006/relationships/hyperlink" Target="https://github.com/geneontology/go-ontology/blob/master/CLAUDE.md" TargetMode="External"/><Relationship Id="rId1972" Type="http://schemas.openxmlformats.org/officeDocument/2006/relationships/hyperlink" Target="https://github.com/carverauto/serviceradar/blob/main/AGENTS.md" TargetMode="External"/><Relationship Id="rId1625" Type="http://schemas.openxmlformats.org/officeDocument/2006/relationships/hyperlink" Target="https://github.com/stack-auth/stack-auth/blob/main/AGENTS.md" TargetMode="External"/><Relationship Id="rId1832" Type="http://schemas.openxmlformats.org/officeDocument/2006/relationships/hyperlink" Target="https://github.com/browser-use/browser-use/blob/main/CLAUDE.md" TargetMode="External"/><Relationship Id="rId2399" Type="http://schemas.openxmlformats.org/officeDocument/2006/relationships/hyperlink" Target="https://github.com/theopenco/llmgateway/blob/main/AGENTS.md" TargetMode="External"/><Relationship Id="rId578" Type="http://schemas.openxmlformats.org/officeDocument/2006/relationships/hyperlink" Target="https://github.com/langfuse/langfuse/blob/main/AGENTS.md" TargetMode="External"/><Relationship Id="rId785" Type="http://schemas.openxmlformats.org/officeDocument/2006/relationships/hyperlink" Target="https://github.com/vczh-libraries/GacUI/blob/master/.github/copilot-instructions.md" TargetMode="External"/><Relationship Id="rId992" Type="http://schemas.openxmlformats.org/officeDocument/2006/relationships/hyperlink" Target="https://github.com/Azure/autorest.typescript/blob/main/.github/copilot-instructions.md" TargetMode="External"/><Relationship Id="rId2259" Type="http://schemas.openxmlformats.org/officeDocument/2006/relationships/hyperlink" Target="https://github.com/janbjorge/pgqueuer/blob/main/AGENTS.md" TargetMode="External"/><Relationship Id="rId2466" Type="http://schemas.openxmlformats.org/officeDocument/2006/relationships/hyperlink" Target="https://github.com/obophenotype/uberon/blob/master/CLAUDE.md" TargetMode="External"/><Relationship Id="rId438" Type="http://schemas.openxmlformats.org/officeDocument/2006/relationships/hyperlink" Target="https://github.com/open-metadata/OpenMetadata/blob/main/CLAUDE.md" TargetMode="External"/><Relationship Id="rId645" Type="http://schemas.openxmlformats.org/officeDocument/2006/relationships/hyperlink" Target="https://github.com/Rello/analytics/blob/master/AGENTS.md" TargetMode="External"/><Relationship Id="rId852" Type="http://schemas.openxmlformats.org/officeDocument/2006/relationships/hyperlink" Target="https://github.com/getsentry/sentry-java/blob/main/CLAUDE.md" TargetMode="External"/><Relationship Id="rId1068" Type="http://schemas.openxmlformats.org/officeDocument/2006/relationships/hyperlink" Target="https://github.com/coder/coder/blob/main/CLAUDE.md" TargetMode="External"/><Relationship Id="rId1275" Type="http://schemas.openxmlformats.org/officeDocument/2006/relationships/hyperlink" Target="https://github.com/carverauto/serviceradar/blob/main/AGENTS.md" TargetMode="External"/><Relationship Id="rId1482" Type="http://schemas.openxmlformats.org/officeDocument/2006/relationships/hyperlink" Target="https://github.com/pannous/wasp/blob/main/CLAUDE.md" TargetMode="External"/><Relationship Id="rId2119" Type="http://schemas.openxmlformats.org/officeDocument/2006/relationships/hyperlink" Target="https://github.com/anyproto/anytype-ts/blob/main/CLAUDE.md" TargetMode="External"/><Relationship Id="rId2326" Type="http://schemas.openxmlformats.org/officeDocument/2006/relationships/hyperlink" Target="https://github.com/microsoft/python-environment-tools/blob/main/.github/copilot-instructions.md" TargetMode="External"/><Relationship Id="rId2533" Type="http://schemas.openxmlformats.org/officeDocument/2006/relationships/hyperlink" Target="https://github.com/public-ui/kolibri/blob/master/AGENTS.md" TargetMode="External"/><Relationship Id="rId505" Type="http://schemas.openxmlformats.org/officeDocument/2006/relationships/hyperlink" Target="https://github.com/xlnfinance/xln/blob/main/CLAUDE.md" TargetMode="External"/><Relationship Id="rId712" Type="http://schemas.openxmlformats.org/officeDocument/2006/relationships/hyperlink" Target="https://github.com/dotnet/maui/blob/main/.github/copilot-instructions.md" TargetMode="External"/><Relationship Id="rId1135" Type="http://schemas.openxmlformats.org/officeDocument/2006/relationships/hyperlink" Target="https://github.com/open-metadata/OpenMetadata/blob/main/CLAUDE.md" TargetMode="External"/><Relationship Id="rId1342" Type="http://schemas.openxmlformats.org/officeDocument/2006/relationships/hyperlink" Target="https://github.com/browser-use/browser-use/blob/main/CLAUDE.md" TargetMode="External"/><Relationship Id="rId1202" Type="http://schemas.openxmlformats.org/officeDocument/2006/relationships/hyperlink" Target="https://github.com/owid/etl/blob/master/AGENTS.md" TargetMode="External"/><Relationship Id="rId295" Type="http://schemas.openxmlformats.org/officeDocument/2006/relationships/hyperlink" Target="https://github.com/dotnet/runtime/blob/main/.github/copilot-instructions.md" TargetMode="External"/><Relationship Id="rId2183" Type="http://schemas.openxmlformats.org/officeDocument/2006/relationships/hyperlink" Target="https://github.com/langchain-ai/langchain/blob/master/CLAUDE.md" TargetMode="External"/><Relationship Id="rId2390" Type="http://schemas.openxmlformats.org/officeDocument/2006/relationships/hyperlink" Target="https://github.com/theopenco/llmgateway/blob/main/CLAUDE.md" TargetMode="External"/><Relationship Id="rId155" Type="http://schemas.openxmlformats.org/officeDocument/2006/relationships/hyperlink" Target="https://github.com/gluesql/glues/blob/main/AGENTS.md" TargetMode="External"/><Relationship Id="rId362" Type="http://schemas.openxmlformats.org/officeDocument/2006/relationships/hyperlink" Target="https://github.com/cockroachdb/cockroach/blob/master/CLAUDE.md" TargetMode="External"/><Relationship Id="rId2043" Type="http://schemas.openxmlformats.org/officeDocument/2006/relationships/hyperlink" Target="https://github.com/zenml-io/zenml/blob/main/AGENTS.md" TargetMode="External"/><Relationship Id="rId2250" Type="http://schemas.openxmlformats.org/officeDocument/2006/relationships/hyperlink" Target="https://github.com/commonwarexyz/monorepo/blob/main/AGENTS.md" TargetMode="External"/><Relationship Id="rId222" Type="http://schemas.openxmlformats.org/officeDocument/2006/relationships/hyperlink" Target="https://github.com/bbc/simorgh/blob/master/.github/copilot-instructions.md" TargetMode="External"/><Relationship Id="rId2110" Type="http://schemas.openxmlformats.org/officeDocument/2006/relationships/hyperlink" Target="https://github.com/AhmedElywa/prisma-tools/blob/main/CLAUDE.md" TargetMode="External"/><Relationship Id="rId1669" Type="http://schemas.openxmlformats.org/officeDocument/2006/relationships/hyperlink" Target="https://github.com/Azure/autorest.typescript/blob/main/.github/copilot-instructions.md" TargetMode="External"/><Relationship Id="rId1876" Type="http://schemas.openxmlformats.org/officeDocument/2006/relationships/hyperlink" Target="https://github.com/janbjorge/pgqueuer/blob/main/AGENTS.md" TargetMode="External"/><Relationship Id="rId1529" Type="http://schemas.openxmlformats.org/officeDocument/2006/relationships/hyperlink" Target="https://github.com/tphakala/birdnet-go/blob/main/CLAUDE.md" TargetMode="External"/><Relationship Id="rId1736" Type="http://schemas.openxmlformats.org/officeDocument/2006/relationships/hyperlink" Target="https://github.com/NuGet/NuGetGallery/blob/main/.github/copilot-instructions.md" TargetMode="External"/><Relationship Id="rId1943" Type="http://schemas.openxmlformats.org/officeDocument/2006/relationships/hyperlink" Target="https://github.com/owid/etl/blob/master/CLAUDE.md" TargetMode="External"/><Relationship Id="rId28" Type="http://schemas.openxmlformats.org/officeDocument/2006/relationships/hyperlink" Target="https://github.com/dotnet/docs-desktop/blob/main/.github/copilot-instructions.md" TargetMode="External"/><Relationship Id="rId1803" Type="http://schemas.openxmlformats.org/officeDocument/2006/relationships/hyperlink" Target="https://github.com/Pipelex/pipelex/blob/main/AGENTS.md" TargetMode="External"/><Relationship Id="rId689" Type="http://schemas.openxmlformats.org/officeDocument/2006/relationships/hyperlink" Target="https://github.com/zenml-io/zenml/blob/main/AGENTS.md" TargetMode="External"/><Relationship Id="rId896" Type="http://schemas.openxmlformats.org/officeDocument/2006/relationships/hyperlink" Target="https://github.com/colinhacks/zod/blob/main/CLAUDE.md" TargetMode="External"/><Relationship Id="rId549" Type="http://schemas.openxmlformats.org/officeDocument/2006/relationships/hyperlink" Target="https://github.com/herbie-fp/herbie/blob/main/AGENTS.md" TargetMode="External"/><Relationship Id="rId756" Type="http://schemas.openxmlformats.org/officeDocument/2006/relationships/hyperlink" Target="https://github.com/SparkDevNetwork/Rock/blob/master/.github/copilot-instructions.md" TargetMode="External"/><Relationship Id="rId1179" Type="http://schemas.openxmlformats.org/officeDocument/2006/relationships/hyperlink" Target="https://github.com/zed-industries/zed/blob/main/CLAUDE.md" TargetMode="External"/><Relationship Id="rId1386" Type="http://schemas.openxmlformats.org/officeDocument/2006/relationships/hyperlink" Target="https://github.com/compiler-explorer/infra/blob/main/CLAUDE.md" TargetMode="External"/><Relationship Id="rId1593" Type="http://schemas.openxmlformats.org/officeDocument/2006/relationships/hyperlink" Target="https://github.com/owid/etl/blob/master/AGENTS.md" TargetMode="External"/><Relationship Id="rId2437" Type="http://schemas.openxmlformats.org/officeDocument/2006/relationships/hyperlink" Target="https://github.com/open-metadata/OpenMetadata/blob/main/CLAUDE.md" TargetMode="External"/><Relationship Id="rId409" Type="http://schemas.openxmlformats.org/officeDocument/2006/relationships/hyperlink" Target="https://github.com/langchain-ai/langchain/blob/master/CLAUDE.md" TargetMode="External"/><Relationship Id="rId963" Type="http://schemas.openxmlformats.org/officeDocument/2006/relationships/hyperlink" Target="https://github.com/Kiln-AI/Kiln/blob/main/AGENTS.md" TargetMode="External"/><Relationship Id="rId1039" Type="http://schemas.openxmlformats.org/officeDocument/2006/relationships/hyperlink" Target="https://github.com/commonwarexyz/monorepo/blob/main/AGENTS.md" TargetMode="External"/><Relationship Id="rId1246" Type="http://schemas.openxmlformats.org/officeDocument/2006/relationships/hyperlink" Target="https://github.com/microsoft/ApplicationInsights-JS/blob/main/.github/copilot-instructions.md" TargetMode="External"/><Relationship Id="rId92" Type="http://schemas.openxmlformats.org/officeDocument/2006/relationships/hyperlink" Target="https://github.com/paradigmxyz/reth/blob/main/CLAUDE.md" TargetMode="External"/><Relationship Id="rId616" Type="http://schemas.openxmlformats.org/officeDocument/2006/relationships/hyperlink" Target="https://github.com/Pipelex/pipelex/blob/main/AGENTS.md" TargetMode="External"/><Relationship Id="rId823" Type="http://schemas.openxmlformats.org/officeDocument/2006/relationships/hyperlink" Target="https://github.com/luccahuguet/yazelix/blob/main/AGENTS.md" TargetMode="External"/><Relationship Id="rId1453" Type="http://schemas.openxmlformats.org/officeDocument/2006/relationships/hyperlink" Target="https://github.com/netdata/netdata/blob/master/CLAUDE.md" TargetMode="External"/><Relationship Id="rId1660" Type="http://schemas.openxmlformats.org/officeDocument/2006/relationships/hyperlink" Target="https://github.com/AstrBotDevs/AstrBot/blob/master/.github/copilot-instructions.md" TargetMode="External"/><Relationship Id="rId2504" Type="http://schemas.openxmlformats.org/officeDocument/2006/relationships/hyperlink" Target="https://github.com/luccahuguet/yazelix/blob/main/AGENTS.md" TargetMode="External"/><Relationship Id="rId1106" Type="http://schemas.openxmlformats.org/officeDocument/2006/relationships/hyperlink" Target="https://github.com/evmts/tevm-monorepo/blob/main/CLAUDE.md" TargetMode="External"/><Relationship Id="rId1313" Type="http://schemas.openxmlformats.org/officeDocument/2006/relationships/hyperlink" Target="https://github.com/abh/ntppool/blob/main/CLAUDE.md" TargetMode="External"/><Relationship Id="rId1520" Type="http://schemas.openxmlformats.org/officeDocument/2006/relationships/hyperlink" Target="https://github.com/Southclaws/storyden/blob/main/CLAUDE.md" TargetMode="External"/><Relationship Id="rId199" Type="http://schemas.openxmlformats.org/officeDocument/2006/relationships/hyperlink" Target="https://github.com/wieslawsoltes/Xaml.Behaviors/blob/master/AGENTS.md" TargetMode="External"/><Relationship Id="rId2087" Type="http://schemas.openxmlformats.org/officeDocument/2006/relationships/hyperlink" Target="https://github.com/gitkraken/vscode-gitlens/blob/main/AGENTS.md" TargetMode="External"/><Relationship Id="rId2294" Type="http://schemas.openxmlformats.org/officeDocument/2006/relationships/hyperlink" Target="https://github.com/theopenco/llmgateway/blob/main/AGENTS.md" TargetMode="External"/><Relationship Id="rId266" Type="http://schemas.openxmlformats.org/officeDocument/2006/relationships/hyperlink" Target="https://github.com/triggerdotdev/trigger.dev/blob/main/.github/copilot-instructions.md" TargetMode="External"/><Relationship Id="rId473" Type="http://schemas.openxmlformats.org/officeDocument/2006/relationships/hyperlink" Target="https://github.com/RchGrav/claudebox/blob/main/CLAUDE.md" TargetMode="External"/><Relationship Id="rId680" Type="http://schemas.openxmlformats.org/officeDocument/2006/relationships/hyperlink" Target="https://github.com/webgptorg/promptbook/blob/main/AGENTS.md" TargetMode="External"/><Relationship Id="rId2154" Type="http://schemas.openxmlformats.org/officeDocument/2006/relationships/hyperlink" Target="https://github.com/evmts/tevm-monorepo/blob/main/CLAUDE.md" TargetMode="External"/><Relationship Id="rId2361" Type="http://schemas.openxmlformats.org/officeDocument/2006/relationships/hyperlink" Target="https://github.com/dotnet/aspnetcore/blob/main/.github/copilot-instructions.md" TargetMode="External"/><Relationship Id="rId126" Type="http://schemas.openxmlformats.org/officeDocument/2006/relationships/hyperlink" Target="https://github.com/zed-industries/zed/blob/main/CLAUDE.md" TargetMode="External"/><Relationship Id="rId333" Type="http://schemas.openxmlformats.org/officeDocument/2006/relationships/hyperlink" Target="https://github.com/microsoft/TypeScript/blob/main/.github/copilot-instructions.md" TargetMode="External"/><Relationship Id="rId540" Type="http://schemas.openxmlformats.org/officeDocument/2006/relationships/hyperlink" Target="https://github.com/elamperti/OpenWebScrobbler/blob/main/AGENTS.md" TargetMode="External"/><Relationship Id="rId1170" Type="http://schemas.openxmlformats.org/officeDocument/2006/relationships/hyperlink" Target="https://github.com/truenas/webui/blob/master/CLAUDE.md" TargetMode="External"/><Relationship Id="rId2014" Type="http://schemas.openxmlformats.org/officeDocument/2006/relationships/hyperlink" Target="https://github.com/mixpanel/mixpanel-android/blob/master/AGENTS.md" TargetMode="External"/><Relationship Id="rId2221" Type="http://schemas.openxmlformats.org/officeDocument/2006/relationships/hyperlink" Target="https://github.com/saleor/saleor/blob/main/CLAUDE.md" TargetMode="External"/><Relationship Id="rId1030" Type="http://schemas.openxmlformats.org/officeDocument/2006/relationships/hyperlink" Target="https://github.com/Pipelex/pipelex/blob/main/AGENTS.md" TargetMode="External"/><Relationship Id="rId400" Type="http://schemas.openxmlformats.org/officeDocument/2006/relationships/hyperlink" Target="https://github.com/home-assistant/frontend/blob/master/CLAUDE.md" TargetMode="External"/><Relationship Id="rId1987" Type="http://schemas.openxmlformats.org/officeDocument/2006/relationships/hyperlink" Target="https://github.com/janbjorge/pgqueuer/blob/main/AGENTS.md" TargetMode="External"/><Relationship Id="rId1847" Type="http://schemas.openxmlformats.org/officeDocument/2006/relationships/hyperlink" Target="https://github.com/theopenco/llmgateway/blob/main/AGENTS.md" TargetMode="External"/><Relationship Id="rId1707" Type="http://schemas.openxmlformats.org/officeDocument/2006/relationships/hyperlink" Target="https://github.com/geneontology/go-ontology/blob/master/.github/copilot-instructions.md"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julep-ai/julep/blob/main/AGENTS.md" TargetMode="External"/><Relationship Id="rId21" Type="http://schemas.openxmlformats.org/officeDocument/2006/relationships/hyperlink" Target="https://github.com/home-assistant/frontend/blob/master/CLAUDE.md" TargetMode="External"/><Relationship Id="rId42" Type="http://schemas.openxmlformats.org/officeDocument/2006/relationships/hyperlink" Target="https://github.com/ajanraj/OpenChat/blob/main/CLAUDE.md" TargetMode="External"/><Relationship Id="rId47" Type="http://schemas.openxmlformats.org/officeDocument/2006/relationships/hyperlink" Target="https://github.com/CapSoftware/Cap/blob/main/CLAUDE.md" TargetMode="External"/><Relationship Id="rId63" Type="http://schemas.openxmlformats.org/officeDocument/2006/relationships/hyperlink" Target="https://github.com/Freika/dawarich/blob/master/CLAUDE.md" TargetMode="External"/><Relationship Id="rId68" Type="http://schemas.openxmlformats.org/officeDocument/2006/relationships/hyperlink" Target="https://github.com/grafbase/grafbase/blob/main/CLAUDE.md" TargetMode="External"/><Relationship Id="rId84" Type="http://schemas.openxmlformats.org/officeDocument/2006/relationships/hyperlink" Target="https://github.com/module-federation/core/blob/main/CLAUDE.md" TargetMode="External"/><Relationship Id="rId89" Type="http://schemas.openxmlformats.org/officeDocument/2006/relationships/hyperlink" Target="https://github.com/open-metadata/OpenMetadata/blob/main/CLAUDE.md" TargetMode="External"/><Relationship Id="rId16" Type="http://schemas.openxmlformats.org/officeDocument/2006/relationships/hyperlink" Target="https://github.com/dotnet/java-interop/blob/main/.github/copilot-instructions.md" TargetMode="External"/><Relationship Id="rId11" Type="http://schemas.openxmlformats.org/officeDocument/2006/relationships/hyperlink" Target="https://github.com/gluesql/glues/blob/main/AGENTS.md" TargetMode="External"/><Relationship Id="rId32" Type="http://schemas.openxmlformats.org/officeDocument/2006/relationships/hyperlink" Target="https://github.com/raycast/extensions/blob/main/.github/copilot-instructions.md" TargetMode="External"/><Relationship Id="rId37" Type="http://schemas.openxmlformats.org/officeDocument/2006/relationships/hyperlink" Target="https://github.com/geneontology/go-ontology/blob/master/.github/copilot-instructions.md" TargetMode="External"/><Relationship Id="rId53" Type="http://schemas.openxmlformats.org/officeDocument/2006/relationships/hyperlink" Target="https://github.com/cockroachdb/cockroach/blob/master/CLAUDE.md" TargetMode="External"/><Relationship Id="rId58" Type="http://schemas.openxmlformats.org/officeDocument/2006/relationships/hyperlink" Target="https://github.com/compiler-explorer/infra/blob/main/CLAUDE.md" TargetMode="External"/><Relationship Id="rId74" Type="http://schemas.openxmlformats.org/officeDocument/2006/relationships/hyperlink" Target="https://github.com/home-assistant/frontend/blob/master/CLAUDE.md" TargetMode="External"/><Relationship Id="rId79" Type="http://schemas.openxmlformats.org/officeDocument/2006/relationships/hyperlink" Target="https://github.com/jxnl/blog/blob/main/CLAUDE.md" TargetMode="External"/><Relationship Id="rId102" Type="http://schemas.openxmlformats.org/officeDocument/2006/relationships/table" Target="../tables/table1.xml"/><Relationship Id="rId5" Type="http://schemas.openxmlformats.org/officeDocument/2006/relationships/hyperlink" Target="https://github.com/module-federation/core/blob/main/CLAUDE.md" TargetMode="External"/><Relationship Id="rId90" Type="http://schemas.openxmlformats.org/officeDocument/2006/relationships/hyperlink" Target="https://github.com/owid/etl/blob/master/CLAUDE.md" TargetMode="External"/><Relationship Id="rId95" Type="http://schemas.openxmlformats.org/officeDocument/2006/relationships/hyperlink" Target="https://github.com/Pipelex/pipelex/blob/main/CLAUDE.md" TargetMode="External"/><Relationship Id="rId22" Type="http://schemas.openxmlformats.org/officeDocument/2006/relationships/hyperlink" Target="https://github.com/home-assistant/frontend/blob/master/CLAUDE.md" TargetMode="External"/><Relationship Id="rId27" Type="http://schemas.openxmlformats.org/officeDocument/2006/relationships/hyperlink" Target="https://github.com/julep-ai/julep/blob/main/AGENTS.md" TargetMode="External"/><Relationship Id="rId43" Type="http://schemas.openxmlformats.org/officeDocument/2006/relationships/hyperlink" Target="https://github.com/badlogic/lemmy/blob/main/CLAUDE.md" TargetMode="External"/><Relationship Id="rId48" Type="http://schemas.openxmlformats.org/officeDocument/2006/relationships/hyperlink" Target="https://github.com/CapSoftware/Cap/blob/main/CLAUDE.md" TargetMode="External"/><Relationship Id="rId64" Type="http://schemas.openxmlformats.org/officeDocument/2006/relationships/hyperlink" Target="https://github.com/fukuball/jieba-php/blob/master/CLAUDE.md" TargetMode="External"/><Relationship Id="rId69" Type="http://schemas.openxmlformats.org/officeDocument/2006/relationships/hyperlink" Target="https://github.com/grafbase/grafbase/blob/main/CLAUDE.md" TargetMode="External"/><Relationship Id="rId80" Type="http://schemas.openxmlformats.org/officeDocument/2006/relationships/hyperlink" Target="https://github.com/kubetail-org/kubetail/blob/main/CLAUDE.md" TargetMode="External"/><Relationship Id="rId85" Type="http://schemas.openxmlformats.org/officeDocument/2006/relationships/hyperlink" Target="https://github.com/module-federation/core/blob/main/CLAUDE.md" TargetMode="External"/><Relationship Id="rId12" Type="http://schemas.openxmlformats.org/officeDocument/2006/relationships/hyperlink" Target="http://mod.rs/" TargetMode="External"/><Relationship Id="rId17" Type="http://schemas.openxmlformats.org/officeDocument/2006/relationships/hyperlink" Target="https://github.com/dotnet/maui/blob/main/.github/copilot-instructions.md" TargetMode="External"/><Relationship Id="rId25" Type="http://schemas.openxmlformats.org/officeDocument/2006/relationships/hyperlink" Target="https://github.com/julep-ai/julep/blob/main/AGENTS.md" TargetMode="External"/><Relationship Id="rId33" Type="http://schemas.openxmlformats.org/officeDocument/2006/relationships/hyperlink" Target="https://github.com/geneontology/go-ontology/blob/master/CLAUDE.md" TargetMode="External"/><Relationship Id="rId38" Type="http://schemas.openxmlformats.org/officeDocument/2006/relationships/hyperlink" Target="https://github.com/abh/ntppool/blob/main/CLAUDE.md" TargetMode="External"/><Relationship Id="rId46" Type="http://schemas.openxmlformats.org/officeDocument/2006/relationships/hyperlink" Target="https://github.com/CapSoftware/Cap/blob/main/CLAUDE.md" TargetMode="External"/><Relationship Id="rId59" Type="http://schemas.openxmlformats.org/officeDocument/2006/relationships/hyperlink" Target="https://github.com/dailydotdev/apps/blob/main/CLAUDE.md" TargetMode="External"/><Relationship Id="rId67" Type="http://schemas.openxmlformats.org/officeDocument/2006/relationships/hyperlink" Target="https://github.com/getsentry/sentry-javascript/blob/master/CLAUDE.md" TargetMode="External"/><Relationship Id="rId20" Type="http://schemas.openxmlformats.org/officeDocument/2006/relationships/hyperlink" Target="https://github.com/abh/ntppool/blob/main/CLAUDE.md" TargetMode="External"/><Relationship Id="rId41" Type="http://schemas.openxmlformats.org/officeDocument/2006/relationships/hyperlink" Target="https://github.com/ajanraj/OpenChat/blob/main/CLAUDE.md" TargetMode="External"/><Relationship Id="rId54" Type="http://schemas.openxmlformats.org/officeDocument/2006/relationships/hyperlink" Target="https://github.com/coder/coder/blob/main/CLAUDE.md" TargetMode="External"/><Relationship Id="rId62" Type="http://schemas.openxmlformats.org/officeDocument/2006/relationships/hyperlink" Target="https://github.com/FastLED/FastLED/blob/master/CLAUDE.md" TargetMode="External"/><Relationship Id="rId70" Type="http://schemas.openxmlformats.org/officeDocument/2006/relationships/hyperlink" Target="https://github.com/home-assistant/frontend/blob/master/CLAUDE.md" TargetMode="External"/><Relationship Id="rId75" Type="http://schemas.openxmlformats.org/officeDocument/2006/relationships/hyperlink" Target="https://github.com/J-Tech-Japan/Sekiban/blob/main/CLAUDE.md" TargetMode="External"/><Relationship Id="rId83" Type="http://schemas.openxmlformats.org/officeDocument/2006/relationships/hyperlink" Target="https://github.com/module-federation/core/blob/main/CLAUDE.md" TargetMode="External"/><Relationship Id="rId88" Type="http://schemas.openxmlformats.org/officeDocument/2006/relationships/hyperlink" Target="https://github.com/open-metadata/OpenMetadata/blob/main/CLAUDE.md" TargetMode="External"/><Relationship Id="rId91" Type="http://schemas.openxmlformats.org/officeDocument/2006/relationships/hyperlink" Target="https://github.com/owid/owid-grapher/blob/master/CLAUDE.md" TargetMode="External"/><Relationship Id="rId96" Type="http://schemas.openxmlformats.org/officeDocument/2006/relationships/hyperlink" Target="https://github.com/Pipelex/pipelex/blob/main/CLAUDE.md" TargetMode="External"/><Relationship Id="rId1" Type="http://schemas.openxmlformats.org/officeDocument/2006/relationships/hyperlink" Target="https://github.com/langchain-ai/langchain/blob/master/CLAUDE.md" TargetMode="External"/><Relationship Id="rId6" Type="http://schemas.openxmlformats.org/officeDocument/2006/relationships/hyperlink" Target="https://github.com/module-federation/core/blob/main/CLAUDE.md" TargetMode="External"/><Relationship Id="rId15" Type="http://schemas.openxmlformats.org/officeDocument/2006/relationships/hyperlink" Target="https://github.com/dotnet/java-interop/blob/main/.github/copilot-instructions.md" TargetMode="External"/><Relationship Id="rId23" Type="http://schemas.openxmlformats.org/officeDocument/2006/relationships/hyperlink" Target="https://github.com/paradigmxyz/reth/blob/main/CLAUDE.md" TargetMode="External"/><Relationship Id="rId28" Type="http://schemas.openxmlformats.org/officeDocument/2006/relationships/hyperlink" Target="https://github.com/public-ui/kolibri/blob/master/AGENTS.md" TargetMode="External"/><Relationship Id="rId36" Type="http://schemas.openxmlformats.org/officeDocument/2006/relationships/hyperlink" Target="https://github.com/geneontology/go-ontology/blob/master/.github/copilot-instructions.md" TargetMode="External"/><Relationship Id="rId49" Type="http://schemas.openxmlformats.org/officeDocument/2006/relationships/hyperlink" Target="https://github.com/CapSoftware/Cap/blob/main/CLAUDE.md" TargetMode="External"/><Relationship Id="rId57" Type="http://schemas.openxmlformats.org/officeDocument/2006/relationships/hyperlink" Target="https://github.com/compiler-explorer/infra/blob/main/CLAUDE.md" TargetMode="External"/><Relationship Id="rId10" Type="http://schemas.openxmlformats.org/officeDocument/2006/relationships/hyperlink" Target="https://github.com/zed-industries/zed/blob/main/CLAUDE.md" TargetMode="External"/><Relationship Id="rId31" Type="http://schemas.openxmlformats.org/officeDocument/2006/relationships/hyperlink" Target="https://github.com/dotnet/docs-desktop/blob/main/.github/copilot-instructions.md" TargetMode="External"/><Relationship Id="rId44" Type="http://schemas.openxmlformats.org/officeDocument/2006/relationships/hyperlink" Target="https://github.com/BerriAI/litellm/blob/main/CLAUDE.md" TargetMode="External"/><Relationship Id="rId52" Type="http://schemas.openxmlformats.org/officeDocument/2006/relationships/hyperlink" Target="https://github.com/cloudwalk/stratus/blob/main/CLAUDE.md" TargetMode="External"/><Relationship Id="rId60" Type="http://schemas.openxmlformats.org/officeDocument/2006/relationships/hyperlink" Target="https://github.com/dailydotdev/apps/blob/main/CLAUDE.md" TargetMode="External"/><Relationship Id="rId65" Type="http://schemas.openxmlformats.org/officeDocument/2006/relationships/hyperlink" Target="https://github.com/gensx-inc/gensx/blob/main/CLAUDE.md" TargetMode="External"/><Relationship Id="rId73" Type="http://schemas.openxmlformats.org/officeDocument/2006/relationships/hyperlink" Target="https://github.com/home-assistant/frontend/blob/master/CLAUDE.md" TargetMode="External"/><Relationship Id="rId78" Type="http://schemas.openxmlformats.org/officeDocument/2006/relationships/hyperlink" Target="https://github.com/jxnl/blog/blob/main/CLAUDE.md" TargetMode="External"/><Relationship Id="rId81" Type="http://schemas.openxmlformats.org/officeDocument/2006/relationships/hyperlink" Target="https://github.com/langchain-ai/langchain/blob/master/CLAUDE.md" TargetMode="External"/><Relationship Id="rId86" Type="http://schemas.openxmlformats.org/officeDocument/2006/relationships/hyperlink" Target="https://github.com/nrwl/nx/blob/master/CLAUDE.md" TargetMode="External"/><Relationship Id="rId94" Type="http://schemas.openxmlformats.org/officeDocument/2006/relationships/hyperlink" Target="https://github.com/pdfme/pdfme/blob/main/CLAUDE.md" TargetMode="External"/><Relationship Id="rId99" Type="http://schemas.openxmlformats.org/officeDocument/2006/relationships/hyperlink" Target="https://github.com/RchGrav/claudebox/blob/main/CLAUDE.md" TargetMode="External"/><Relationship Id="rId101" Type="http://schemas.openxmlformats.org/officeDocument/2006/relationships/hyperlink" Target="https://github.com/receptron/mulmocast-cli/blob/main/CLAUDE.md" TargetMode="External"/><Relationship Id="rId4" Type="http://schemas.openxmlformats.org/officeDocument/2006/relationships/hyperlink" Target="https://github.com/module-federation/core/blob/main/CLAUDE.md" TargetMode="External"/><Relationship Id="rId9" Type="http://schemas.openxmlformats.org/officeDocument/2006/relationships/hyperlink" Target="https://github.com/saleor/saleor/blob/main/CLAUDE.md" TargetMode="External"/><Relationship Id="rId13" Type="http://schemas.openxmlformats.org/officeDocument/2006/relationships/hyperlink" Target="https://github.com/useautumn/autumn/blob/main/AGENTS.md" TargetMode="External"/><Relationship Id="rId18" Type="http://schemas.openxmlformats.org/officeDocument/2006/relationships/hyperlink" Target="https://github.com/kubefleet-dev/kubefleet/blob/main/.github/copilot-instructions.md" TargetMode="External"/><Relationship Id="rId39" Type="http://schemas.openxmlformats.org/officeDocument/2006/relationships/hyperlink" Target="https://github.com/abh/ntppool/blob/main/CLAUDE.md" TargetMode="External"/><Relationship Id="rId34" Type="http://schemas.openxmlformats.org/officeDocument/2006/relationships/hyperlink" Target="https://github.com/geneontology/go-ontology/blob/master/CLAUDE.md" TargetMode="External"/><Relationship Id="rId50" Type="http://schemas.openxmlformats.org/officeDocument/2006/relationships/hyperlink" Target="https://github.com/cloudposse/atmos/blob/main/CLAUDE.md" TargetMode="External"/><Relationship Id="rId55" Type="http://schemas.openxmlformats.org/officeDocument/2006/relationships/hyperlink" Target="https://github.com/compiler-explorer/compiler-explorer/blob/main/CLAUDE.md" TargetMode="External"/><Relationship Id="rId76" Type="http://schemas.openxmlformats.org/officeDocument/2006/relationships/hyperlink" Target="https://github.com/JuliaBesties/BestieTemplate.jl/blob/main/CLAUDE.md" TargetMode="External"/><Relationship Id="rId97" Type="http://schemas.openxmlformats.org/officeDocument/2006/relationships/hyperlink" Target="https://github.com/Pipelex/pipelex/blob/main/CLAUDE.md" TargetMode="External"/><Relationship Id="rId7" Type="http://schemas.openxmlformats.org/officeDocument/2006/relationships/hyperlink" Target="https://github.com/module-federation/core/blob/main/CLAUDE.md" TargetMode="External"/><Relationship Id="rId71" Type="http://schemas.openxmlformats.org/officeDocument/2006/relationships/hyperlink" Target="https://github.com/home-assistant/frontend/blob/master/CLAUDE.md" TargetMode="External"/><Relationship Id="rId92" Type="http://schemas.openxmlformats.org/officeDocument/2006/relationships/hyperlink" Target="https://github.com/paradigmxyz/reth/blob/main/CLAUDE.md" TargetMode="External"/><Relationship Id="rId2" Type="http://schemas.openxmlformats.org/officeDocument/2006/relationships/hyperlink" Target="https://github.com/module-federation/core/blob/main/CLAUDE.md" TargetMode="External"/><Relationship Id="rId29" Type="http://schemas.openxmlformats.org/officeDocument/2006/relationships/hyperlink" Target="https://github.com/dotnet/docs-desktop/blob/main/.github/copilot-instructions.md" TargetMode="External"/><Relationship Id="rId24" Type="http://schemas.openxmlformats.org/officeDocument/2006/relationships/hyperlink" Target="https://github.com/julep-ai/julep/blob/main/AGENTS.md" TargetMode="External"/><Relationship Id="rId40" Type="http://schemas.openxmlformats.org/officeDocument/2006/relationships/hyperlink" Target="https://github.com/abh/ntppool/blob/main/CLAUDE.md" TargetMode="External"/><Relationship Id="rId45" Type="http://schemas.openxmlformats.org/officeDocument/2006/relationships/hyperlink" Target="https://github.com/CapSoftware/Cap/blob/main/CLAUDE.md" TargetMode="External"/><Relationship Id="rId66" Type="http://schemas.openxmlformats.org/officeDocument/2006/relationships/hyperlink" Target="https://github.com/getsentry/sentry-cocoa/blob/main/CLAUDE.md" TargetMode="External"/><Relationship Id="rId87" Type="http://schemas.openxmlformats.org/officeDocument/2006/relationships/hyperlink" Target="https://github.com/open-metadata/OpenMetadata/blob/main/CLAUDE.md" TargetMode="External"/><Relationship Id="rId61" Type="http://schemas.openxmlformats.org/officeDocument/2006/relationships/hyperlink" Target="https://github.com/FastLED/FastLED/blob/master/CLAUDE.md" TargetMode="External"/><Relationship Id="rId82" Type="http://schemas.openxmlformats.org/officeDocument/2006/relationships/hyperlink" Target="https://github.com/lfnovo/esperanto/blob/main/CLAUDE.md" TargetMode="External"/><Relationship Id="rId19" Type="http://schemas.openxmlformats.org/officeDocument/2006/relationships/hyperlink" Target="https://github.com/wled/WLED/blob/main/.github/copilot-instructions.md" TargetMode="External"/><Relationship Id="rId14" Type="http://schemas.openxmlformats.org/officeDocument/2006/relationships/hyperlink" Target="https://github.com/Azure/fleet/blob/main/.github/copilot-instructions.md" TargetMode="External"/><Relationship Id="rId30" Type="http://schemas.openxmlformats.org/officeDocument/2006/relationships/hyperlink" Target="https://github.com/dotnet/docs-desktop/blob/main/.github/copilot-instructions.md" TargetMode="External"/><Relationship Id="rId35" Type="http://schemas.openxmlformats.org/officeDocument/2006/relationships/hyperlink" Target="https://github.com/dotnet/maui/blob/main/.github/copilot-instructions.md" TargetMode="External"/><Relationship Id="rId56" Type="http://schemas.openxmlformats.org/officeDocument/2006/relationships/hyperlink" Target="https://github.com/compiler-explorer/infra/blob/main/CLAUDE.md" TargetMode="External"/><Relationship Id="rId77" Type="http://schemas.openxmlformats.org/officeDocument/2006/relationships/hyperlink" Target="https://github.com/JuliaBesties/BestieTemplate.jl/blob/main/CLAUDE.md" TargetMode="External"/><Relationship Id="rId100" Type="http://schemas.openxmlformats.org/officeDocument/2006/relationships/hyperlink" Target="https://github.com/RchGrav/claudebox/blob/main/CLAUDE.md" TargetMode="External"/><Relationship Id="rId8" Type="http://schemas.openxmlformats.org/officeDocument/2006/relationships/hyperlink" Target="https://github.com/owid/owid-grapher/blob/master/CLAUDE.md" TargetMode="External"/><Relationship Id="rId51" Type="http://schemas.openxmlformats.org/officeDocument/2006/relationships/hyperlink" Target="https://github.com/cloudposse/atmos/blob/main/CLAUDE.md" TargetMode="External"/><Relationship Id="rId72" Type="http://schemas.openxmlformats.org/officeDocument/2006/relationships/hyperlink" Target="https://github.com/home-assistant/frontend/blob/master/CLAUDE.md" TargetMode="External"/><Relationship Id="rId93" Type="http://schemas.openxmlformats.org/officeDocument/2006/relationships/hyperlink" Target="https://github.com/paradigmxyz/reth/blob/main/CLAUDE.md" TargetMode="External"/><Relationship Id="rId98" Type="http://schemas.openxmlformats.org/officeDocument/2006/relationships/hyperlink" Target="https://github.com/Pipelex/pipelex/blob/main/CLAUDE.md" TargetMode="External"/><Relationship Id="rId3" Type="http://schemas.openxmlformats.org/officeDocument/2006/relationships/hyperlink" Target="https://github.com/module-federation/core/blob/main/CLAUDE.md"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github.com/Azure/AgentBaker/blob/main/.github/copilot-instructions.md" TargetMode="External"/><Relationship Id="rId299" Type="http://schemas.openxmlformats.org/officeDocument/2006/relationships/hyperlink" Target="https://github.com/home-assistant/frontend/blob/master/CLAUDE.md" TargetMode="External"/><Relationship Id="rId21" Type="http://schemas.openxmlformats.org/officeDocument/2006/relationships/hyperlink" Target="https://github.com/wvlet/wvlet/blob/main/CLAUDE.md" TargetMode="External"/><Relationship Id="rId63" Type="http://schemas.openxmlformats.org/officeDocument/2006/relationships/hyperlink" Target="https://github.com/luccahuguet/yazelix/blob/main/AGENTS.md" TargetMode="External"/><Relationship Id="rId159" Type="http://schemas.openxmlformats.org/officeDocument/2006/relationships/hyperlink" Target="https://github.com/SparkDevNetwork/Rock/blob/master/.github/copilot-instructions.md" TargetMode="External"/><Relationship Id="rId324" Type="http://schemas.openxmlformats.org/officeDocument/2006/relationships/hyperlink" Target="https://github.com/netdata/netdata/blob/master/CLAUDE.md" TargetMode="External"/><Relationship Id="rId366" Type="http://schemas.openxmlformats.org/officeDocument/2006/relationships/hyperlink" Target="https://github.com/qltysh/qlty/blob/main/CLAUDE.md" TargetMode="External"/><Relationship Id="rId170" Type="http://schemas.openxmlformats.org/officeDocument/2006/relationships/hyperlink" Target="https://github.com/zwave-js/zwave-js-ui/blob/master/.github/copilot-instructions.md" TargetMode="External"/><Relationship Id="rId226" Type="http://schemas.openxmlformats.org/officeDocument/2006/relationships/hyperlink" Target="https://github.com/RchGrav/claudebox/blob/main/CLAUDE.md" TargetMode="External"/><Relationship Id="rId433" Type="http://schemas.openxmlformats.org/officeDocument/2006/relationships/hyperlink" Target="https://github.com/commonwarexyz/monorepo/blob/main/AGENTS.md" TargetMode="External"/><Relationship Id="rId268" Type="http://schemas.openxmlformats.org/officeDocument/2006/relationships/hyperlink" Target="https://github.com/coder/coder/blob/main/CLAUDE.md" TargetMode="External"/><Relationship Id="rId475" Type="http://schemas.openxmlformats.org/officeDocument/2006/relationships/hyperlink" Target="https://github.com/langfuse/langfuse/blob/main/AGENTS.md" TargetMode="External"/><Relationship Id="rId32" Type="http://schemas.openxmlformats.org/officeDocument/2006/relationships/hyperlink" Target="https://github.com/zed-industries/zed/blob/main/CLAUDE.md" TargetMode="External"/><Relationship Id="rId74" Type="http://schemas.openxmlformats.org/officeDocument/2006/relationships/hyperlink" Target="https://github.com/RSSNext/Folo/blob/main/AGENTS.md" TargetMode="External"/><Relationship Id="rId128" Type="http://schemas.openxmlformats.org/officeDocument/2006/relationships/hyperlink" Target="https://github.com/esphome/esphome/blob/main/.github/copilot-instructions.md" TargetMode="External"/><Relationship Id="rId335" Type="http://schemas.openxmlformats.org/officeDocument/2006/relationships/hyperlink" Target="https://github.com/OneKeyHQ/app-monorepo/blob/master/CLAUDE.md" TargetMode="External"/><Relationship Id="rId377" Type="http://schemas.openxmlformats.org/officeDocument/2006/relationships/hyperlink" Target="https://github.com/RchGrav/claudebox/blob/main/CLAUDE.md" TargetMode="External"/><Relationship Id="rId500" Type="http://schemas.openxmlformats.org/officeDocument/2006/relationships/hyperlink" Target="https://github.com/marin-community/marin/blob/main/AGENTS.md" TargetMode="External"/><Relationship Id="rId5" Type="http://schemas.openxmlformats.org/officeDocument/2006/relationships/hyperlink" Target="https://github.com/steipete/Peekaboo/blob/main/CLAUDE.md" TargetMode="External"/><Relationship Id="rId181" Type="http://schemas.openxmlformats.org/officeDocument/2006/relationships/hyperlink" Target="https://github.com/humanwhocodes/crosspost/blob/main/.github/copilot-instructions.md" TargetMode="External"/><Relationship Id="rId237" Type="http://schemas.openxmlformats.org/officeDocument/2006/relationships/hyperlink" Target="https://github.com/ajanraj/OpenChat/blob/main/CLAUDE.md" TargetMode="External"/><Relationship Id="rId402" Type="http://schemas.openxmlformats.org/officeDocument/2006/relationships/hyperlink" Target="https://github.com/twentyhq/twenty/blob/main/CLAUDE.md" TargetMode="External"/><Relationship Id="rId279" Type="http://schemas.openxmlformats.org/officeDocument/2006/relationships/hyperlink" Target="https://github.com/dailydotdev/apps/blob/main/CLAUDE.md" TargetMode="External"/><Relationship Id="rId444" Type="http://schemas.openxmlformats.org/officeDocument/2006/relationships/hyperlink" Target="https://github.com/gitkraken/vscode-gitlens/blob/main/AGENTS.md" TargetMode="External"/><Relationship Id="rId486" Type="http://schemas.openxmlformats.org/officeDocument/2006/relationships/hyperlink" Target="https://github.com/luccahuguet/yazelix/blob/main/AGENTS.md" TargetMode="External"/><Relationship Id="rId43" Type="http://schemas.openxmlformats.org/officeDocument/2006/relationships/hyperlink" Target="https://github.com/bruin-data/bruin/blob/main/AGENTS.md" TargetMode="External"/><Relationship Id="rId139" Type="http://schemas.openxmlformats.org/officeDocument/2006/relationships/hyperlink" Target="https://github.com/microsoft/ApplicationInsights-JS/blob/main/.github/copilot-instructions.md" TargetMode="External"/><Relationship Id="rId290" Type="http://schemas.openxmlformats.org/officeDocument/2006/relationships/hyperlink" Target="https://github.com/dropseed/plain/blob/main/CLAUDE.md" TargetMode="External"/><Relationship Id="rId304" Type="http://schemas.openxmlformats.org/officeDocument/2006/relationships/hyperlink" Target="https://github.com/langchain-ai/langchain/blob/master/CLAUDE.md" TargetMode="External"/><Relationship Id="rId346" Type="http://schemas.openxmlformats.org/officeDocument/2006/relationships/hyperlink" Target="https://github.com/openai/openai-agents-python/blob/main/CLAUDE.md" TargetMode="External"/><Relationship Id="rId388" Type="http://schemas.openxmlformats.org/officeDocument/2006/relationships/hyperlink" Target="https://github.com/saleor/saleor/blob/main/CLAUDE.md" TargetMode="External"/><Relationship Id="rId85" Type="http://schemas.openxmlformats.org/officeDocument/2006/relationships/hyperlink" Target="https://github.com/useautumn/autumn/blob/main/AGENTS.md" TargetMode="External"/><Relationship Id="rId150" Type="http://schemas.openxmlformats.org/officeDocument/2006/relationships/hyperlink" Target="https://github.com/NG-ZORRO/ng-zorro-antd/blob/master/.github/copilot-instructions.md" TargetMode="External"/><Relationship Id="rId192" Type="http://schemas.openxmlformats.org/officeDocument/2006/relationships/hyperlink" Target="https://github.com/zed-industries/zed/blob/main/CLAUDE.md" TargetMode="External"/><Relationship Id="rId206" Type="http://schemas.openxmlformats.org/officeDocument/2006/relationships/hyperlink" Target="https://github.com/octgn/OCTGN/blob/master/.github/copilot-instructions.md" TargetMode="External"/><Relationship Id="rId413" Type="http://schemas.openxmlformats.org/officeDocument/2006/relationships/hyperlink" Target="https://github.com/biolink/biolink-model/blob/master/AGENTS.md" TargetMode="External"/><Relationship Id="rId248" Type="http://schemas.openxmlformats.org/officeDocument/2006/relationships/hyperlink" Target="https://github.com/BerriAI/litellm/blob/main/CLAUDE.md" TargetMode="External"/><Relationship Id="rId455" Type="http://schemas.openxmlformats.org/officeDocument/2006/relationships/hyperlink" Target="https://github.com/julep-ai/julep/blob/main/AGENTS.md" TargetMode="External"/><Relationship Id="rId497" Type="http://schemas.openxmlformats.org/officeDocument/2006/relationships/hyperlink" Target="https://github.com/luccahuguet/yazelix/blob/main/AGENTS.md" TargetMode="External"/><Relationship Id="rId12" Type="http://schemas.openxmlformats.org/officeDocument/2006/relationships/hyperlink" Target="https://github.com/thirdweb-dev/js/blob/main/CLAUDE.md" TargetMode="External"/><Relationship Id="rId108" Type="http://schemas.openxmlformats.org/officeDocument/2006/relationships/hyperlink" Target="https://github.com/zenml-io/zenml/blob/main/AGENTS.md" TargetMode="External"/><Relationship Id="rId315" Type="http://schemas.openxmlformats.org/officeDocument/2006/relationships/hyperlink" Target="https://github.com/lollipopkit/flutter_server_box/blob/main/CLAUDE.md" TargetMode="External"/><Relationship Id="rId357" Type="http://schemas.openxmlformats.org/officeDocument/2006/relationships/hyperlink" Target="https://github.com/Pipelex/pipelex/blob/main/CLAUDE.md" TargetMode="External"/><Relationship Id="rId54" Type="http://schemas.openxmlformats.org/officeDocument/2006/relationships/hyperlink" Target="https://github.com/ESPresense/ESPresense-companion/blob/main/AGENTS.md" TargetMode="External"/><Relationship Id="rId96" Type="http://schemas.openxmlformats.org/officeDocument/2006/relationships/hyperlink" Target="https://github.com/wieslawsoltes/Xaml.Behaviors/blob/master/AGENTS.md" TargetMode="External"/><Relationship Id="rId161" Type="http://schemas.openxmlformats.org/officeDocument/2006/relationships/hyperlink" Target="https://github.com/sybrew/the-seo-framework/blob/master/.github/copilot-instructions.md" TargetMode="External"/><Relationship Id="rId217" Type="http://schemas.openxmlformats.org/officeDocument/2006/relationships/hyperlink" Target="https://github.com/RchGrav/claudebox/blob/main/CLAUDE.md" TargetMode="External"/><Relationship Id="rId399" Type="http://schemas.openxmlformats.org/officeDocument/2006/relationships/hyperlink" Target="https://github.com/thirdweb-dev/js/blob/main/CLAUDE.md" TargetMode="External"/><Relationship Id="rId259" Type="http://schemas.openxmlformats.org/officeDocument/2006/relationships/hyperlink" Target="https://github.com/clidey/dory/blob/main/CLAUDE.md" TargetMode="External"/><Relationship Id="rId424" Type="http://schemas.openxmlformats.org/officeDocument/2006/relationships/hyperlink" Target="https://github.com/CapSoftware/Cap/blob/main/AGENTS.md" TargetMode="External"/><Relationship Id="rId466" Type="http://schemas.openxmlformats.org/officeDocument/2006/relationships/hyperlink" Target="https://github.com/katspaugh/wavesurfer.js/blob/main/AGENTS.md" TargetMode="External"/><Relationship Id="rId23" Type="http://schemas.openxmlformats.org/officeDocument/2006/relationships/hyperlink" Target="https://github.com/wvlet/wvlet/blob/main/CLAUDE.md" TargetMode="External"/><Relationship Id="rId119" Type="http://schemas.openxmlformats.org/officeDocument/2006/relationships/hyperlink" Target="https://github.com/Azure/AgentBaker/blob/main/.github/copilot-instructions.md" TargetMode="External"/><Relationship Id="rId270" Type="http://schemas.openxmlformats.org/officeDocument/2006/relationships/hyperlink" Target="https://github.com/coder/coder/blob/main/CLAUDE.md" TargetMode="External"/><Relationship Id="rId326" Type="http://schemas.openxmlformats.org/officeDocument/2006/relationships/hyperlink" Target="https://github.com/netdata/netdata/blob/master/CLAUDE.md" TargetMode="External"/><Relationship Id="rId65" Type="http://schemas.openxmlformats.org/officeDocument/2006/relationships/hyperlink" Target="https://github.com/Pipelex/pipelex/blob/main/AGENTS.md" TargetMode="External"/><Relationship Id="rId130" Type="http://schemas.openxmlformats.org/officeDocument/2006/relationships/hyperlink" Target="https://github.com/esphome/esphome/blob/main/.github/copilot-instructions.md" TargetMode="External"/><Relationship Id="rId368" Type="http://schemas.openxmlformats.org/officeDocument/2006/relationships/hyperlink" Target="https://github.com/qltysh/qlty/blob/main/CLAUDE.md" TargetMode="External"/><Relationship Id="rId172" Type="http://schemas.openxmlformats.org/officeDocument/2006/relationships/hyperlink" Target="https://github.com/lightdash/lightdash/blob/main/CLAUDE.md" TargetMode="External"/><Relationship Id="rId228" Type="http://schemas.openxmlformats.org/officeDocument/2006/relationships/hyperlink" Target="https://github.com/anyproto/anytype-ts/blob/main/CLAUDE.md" TargetMode="External"/><Relationship Id="rId435" Type="http://schemas.openxmlformats.org/officeDocument/2006/relationships/hyperlink" Target="https://github.com/commonwarexyz/monorepo/blob/main/AGENTS.md" TargetMode="External"/><Relationship Id="rId477" Type="http://schemas.openxmlformats.org/officeDocument/2006/relationships/hyperlink" Target="https://github.com/langfuse/langfuse/blob/main/AGENTS.md" TargetMode="External"/><Relationship Id="rId281" Type="http://schemas.openxmlformats.org/officeDocument/2006/relationships/hyperlink" Target="https://github.com/dailydotdev/apps/blob/main/CLAUDE.md" TargetMode="External"/><Relationship Id="rId337" Type="http://schemas.openxmlformats.org/officeDocument/2006/relationships/hyperlink" Target="https://github.com/OneKeyHQ/app-monorepo/blob/master/CLAUDE.md" TargetMode="External"/><Relationship Id="rId34" Type="http://schemas.openxmlformats.org/officeDocument/2006/relationships/hyperlink" Target="https://github.com/zed-industries/zed/blob/main/CLAUDE.md" TargetMode="External"/><Relationship Id="rId76" Type="http://schemas.openxmlformats.org/officeDocument/2006/relationships/hyperlink" Target="https://github.com/rustfs/rustfs/blob/main/AGENTS.md" TargetMode="External"/><Relationship Id="rId141" Type="http://schemas.openxmlformats.org/officeDocument/2006/relationships/hyperlink" Target="https://github.com/microsoft/ApplicationInsights-JS/blob/main/.github/copilot-instructions.md" TargetMode="External"/><Relationship Id="rId379" Type="http://schemas.openxmlformats.org/officeDocument/2006/relationships/hyperlink" Target="https://github.com/RchGrav/claudebox/blob/main/CLAUDE.md" TargetMode="External"/><Relationship Id="rId7" Type="http://schemas.openxmlformats.org/officeDocument/2006/relationships/hyperlink" Target="https://github.com/stepfunc/dnp3/blob/main/CLAUDE.md" TargetMode="External"/><Relationship Id="rId183" Type="http://schemas.openxmlformats.org/officeDocument/2006/relationships/hyperlink" Target="https://github.com/open-metadata/OpenMetadata/blob/main/CLAUDE.md" TargetMode="External"/><Relationship Id="rId239" Type="http://schemas.openxmlformats.org/officeDocument/2006/relationships/hyperlink" Target="https://github.com/ajanraj/OpenChat/blob/main/CLAUDE.md" TargetMode="External"/><Relationship Id="rId390" Type="http://schemas.openxmlformats.org/officeDocument/2006/relationships/hyperlink" Target="https://github.com/speaches-ai/speaches/blob/master/CLAUDE.md" TargetMode="External"/><Relationship Id="rId404" Type="http://schemas.openxmlformats.org/officeDocument/2006/relationships/hyperlink" Target="https://github.com/wolfi-dev/os/blob/main/CLAUDE.md" TargetMode="External"/><Relationship Id="rId446" Type="http://schemas.openxmlformats.org/officeDocument/2006/relationships/hyperlink" Target="https://github.com/gitkraken/vscode-gitlens/blob/main/AGENTS.md" TargetMode="External"/><Relationship Id="rId250" Type="http://schemas.openxmlformats.org/officeDocument/2006/relationships/hyperlink" Target="https://github.com/CapSoftware/Cap/blob/main/CLAUDE.md" TargetMode="External"/><Relationship Id="rId292" Type="http://schemas.openxmlformats.org/officeDocument/2006/relationships/hyperlink" Target="https://github.com/getsentry/sentry-cocoa/blob/main/CLAUDE.md" TargetMode="External"/><Relationship Id="rId306" Type="http://schemas.openxmlformats.org/officeDocument/2006/relationships/hyperlink" Target="https://github.com/langchain-ai/langchain/blob/master/CLAUDE.md" TargetMode="External"/><Relationship Id="rId488" Type="http://schemas.openxmlformats.org/officeDocument/2006/relationships/hyperlink" Target="https://github.com/luccahuguet/yazelix/blob/main/AGENTS.md" TargetMode="External"/><Relationship Id="rId45" Type="http://schemas.openxmlformats.org/officeDocument/2006/relationships/hyperlink" Target="https://github.com/CapSoftware/Cap/blob/main/AGENTS.md" TargetMode="External"/><Relationship Id="rId87" Type="http://schemas.openxmlformats.org/officeDocument/2006/relationships/hyperlink" Target="https://github.com/webgptorg/promptbook/blob/main/AGENTS.md" TargetMode="External"/><Relationship Id="rId110" Type="http://schemas.openxmlformats.org/officeDocument/2006/relationships/hyperlink" Target="https://github.com/Agoric/agoric-sdk/blob/master/.github/copilot-instructions.md" TargetMode="External"/><Relationship Id="rId348" Type="http://schemas.openxmlformats.org/officeDocument/2006/relationships/hyperlink" Target="https://github.com/openai/openai-agents-python/blob/main/CLAUDE.md" TargetMode="External"/><Relationship Id="rId152" Type="http://schemas.openxmlformats.org/officeDocument/2006/relationships/hyperlink" Target="https://github.com/NuGet/NuGetGallery/blob/main/.github/copilot-instructions.md" TargetMode="External"/><Relationship Id="rId194" Type="http://schemas.openxmlformats.org/officeDocument/2006/relationships/hyperlink" Target="https://github.com/web-infra-dev/rspack/blob/main/AGENTS.md" TargetMode="External"/><Relationship Id="rId208" Type="http://schemas.openxmlformats.org/officeDocument/2006/relationships/hyperlink" Target="https://github.com/epicweb-dev/epicshop/blob/main/AGENTS.md" TargetMode="External"/><Relationship Id="rId415" Type="http://schemas.openxmlformats.org/officeDocument/2006/relationships/hyperlink" Target="https://github.com/biolink/biolink-model/blob/master/AGENTS.md" TargetMode="External"/><Relationship Id="rId457" Type="http://schemas.openxmlformats.org/officeDocument/2006/relationships/hyperlink" Target="https://github.com/JuliaLang/julia/blob/master/AGENTS.md" TargetMode="External"/><Relationship Id="rId261" Type="http://schemas.openxmlformats.org/officeDocument/2006/relationships/hyperlink" Target="https://github.com/cloudposse/atmos/blob/main/CLAUDE.md" TargetMode="External"/><Relationship Id="rId499" Type="http://schemas.openxmlformats.org/officeDocument/2006/relationships/hyperlink" Target="https://github.com/luccahuguet/yazelix/blob/main/AGENTS.md" TargetMode="External"/><Relationship Id="rId14" Type="http://schemas.openxmlformats.org/officeDocument/2006/relationships/hyperlink" Target="https://github.com/truenas/webui/blob/master/CLAUDE.md" TargetMode="External"/><Relationship Id="rId56" Type="http://schemas.openxmlformats.org/officeDocument/2006/relationships/hyperlink" Target="https://github.com/hahwul/dalfox/blob/main/AGENTS.md" TargetMode="External"/><Relationship Id="rId317" Type="http://schemas.openxmlformats.org/officeDocument/2006/relationships/hyperlink" Target="https://github.com/lostleaf/binance_datatool/blob/main/CLAUDE.md" TargetMode="External"/><Relationship Id="rId359" Type="http://schemas.openxmlformats.org/officeDocument/2006/relationships/hyperlink" Target="https://github.com/Pipelex/pipelex/blob/main/CLAUDE.md" TargetMode="External"/><Relationship Id="rId98" Type="http://schemas.openxmlformats.org/officeDocument/2006/relationships/hyperlink" Target="https://github.com/wieslawsoltes/Xaml.Behaviors/blob/master/AGENTS.md" TargetMode="External"/><Relationship Id="rId121" Type="http://schemas.openxmlformats.org/officeDocument/2006/relationships/hyperlink" Target="https://github.com/bbc/simorgh/blob/master/.github/copilot-instructions.md" TargetMode="External"/><Relationship Id="rId163" Type="http://schemas.openxmlformats.org/officeDocument/2006/relationships/hyperlink" Target="https://github.com/syntaxfm/website/blob/main/.github/copilot-instructions.md" TargetMode="External"/><Relationship Id="rId219" Type="http://schemas.openxmlformats.org/officeDocument/2006/relationships/hyperlink" Target="https://github.com/dotnet/docs-desktop/blob/main/.github/copilot-instructions.md" TargetMode="External"/><Relationship Id="rId370" Type="http://schemas.openxmlformats.org/officeDocument/2006/relationships/hyperlink" Target="https://github.com/qltysh/qlty/blob/main/CLAUDE.md" TargetMode="External"/><Relationship Id="rId426" Type="http://schemas.openxmlformats.org/officeDocument/2006/relationships/hyperlink" Target="https://github.com/CapSoftware/Cap/blob/main/AGENTS.md" TargetMode="External"/><Relationship Id="rId230" Type="http://schemas.openxmlformats.org/officeDocument/2006/relationships/hyperlink" Target="https://github.com/logancyang/obsidian-copilot/blob/master/AGENTS.md" TargetMode="External"/><Relationship Id="rId468" Type="http://schemas.openxmlformats.org/officeDocument/2006/relationships/hyperlink" Target="https://github.com/langchain-ai/langchain/blob/master/AGENTS.md" TargetMode="External"/><Relationship Id="rId25" Type="http://schemas.openxmlformats.org/officeDocument/2006/relationships/hyperlink" Target="https://github.com/yamadashy/repomix/blob/main/CLAUDE.md" TargetMode="External"/><Relationship Id="rId67" Type="http://schemas.openxmlformats.org/officeDocument/2006/relationships/hyperlink" Target="https://github.com/PrairieLearn/PrairieLearn/blob/master/AGENTS.md" TargetMode="External"/><Relationship Id="rId272" Type="http://schemas.openxmlformats.org/officeDocument/2006/relationships/hyperlink" Target="https://github.com/coder/coder/blob/main/CLAUDE.md" TargetMode="External"/><Relationship Id="rId328" Type="http://schemas.openxmlformats.org/officeDocument/2006/relationships/hyperlink" Target="https://github.com/nrwl/nx/blob/master/CLAUDE.md" TargetMode="External"/><Relationship Id="rId132" Type="http://schemas.openxmlformats.org/officeDocument/2006/relationships/hyperlink" Target="https://github.com/friendsofhyperf/components/blob/main/.github/copilot-instructions.md" TargetMode="External"/><Relationship Id="rId174" Type="http://schemas.openxmlformats.org/officeDocument/2006/relationships/hyperlink" Target="https://github.com/cloudwalk/stratus/blob/main/CLAUDE.md" TargetMode="External"/><Relationship Id="rId381" Type="http://schemas.openxmlformats.org/officeDocument/2006/relationships/hyperlink" Target="https://github.com/RchGrav/claudebox/blob/main/CLAUDE.md" TargetMode="External"/><Relationship Id="rId241" Type="http://schemas.openxmlformats.org/officeDocument/2006/relationships/hyperlink" Target="https://github.com/anyproto/anytype-ts/blob/main/CLAUDE.md" TargetMode="External"/><Relationship Id="rId437" Type="http://schemas.openxmlformats.org/officeDocument/2006/relationships/hyperlink" Target="https://github.com/cubicdaiya/nginx-build/blob/master/AGENTS.md" TargetMode="External"/><Relationship Id="rId479" Type="http://schemas.openxmlformats.org/officeDocument/2006/relationships/hyperlink" Target="https://github.com/llama-farm/llamafarm/blob/main/AGENTS.md" TargetMode="External"/><Relationship Id="rId36" Type="http://schemas.openxmlformats.org/officeDocument/2006/relationships/hyperlink" Target="https://github.com/zenml-io/zenml/blob/main/CLAUDE.md" TargetMode="External"/><Relationship Id="rId283" Type="http://schemas.openxmlformats.org/officeDocument/2006/relationships/hyperlink" Target="https://github.com/dailydotdev/apps/blob/main/CLAUDE.md" TargetMode="External"/><Relationship Id="rId339" Type="http://schemas.openxmlformats.org/officeDocument/2006/relationships/hyperlink" Target="https://github.com/open-metadata/OpenMetadata/blob/main/CLAUDE.md" TargetMode="External"/><Relationship Id="rId490" Type="http://schemas.openxmlformats.org/officeDocument/2006/relationships/hyperlink" Target="https://github.com/luccahuguet/yazelix/blob/main/AGENTS.md" TargetMode="External"/><Relationship Id="rId78" Type="http://schemas.openxmlformats.org/officeDocument/2006/relationships/hyperlink" Target="https://github.com/rustfs/rustfs/blob/main/AGENTS.md" TargetMode="External"/><Relationship Id="rId101" Type="http://schemas.openxmlformats.org/officeDocument/2006/relationships/hyperlink" Target="https://github.com/wieslawsoltes/Xaml.Behaviors/blob/master/AGENTS.md" TargetMode="External"/><Relationship Id="rId143" Type="http://schemas.openxmlformats.org/officeDocument/2006/relationships/hyperlink" Target="https://github.com/microsoft/ApplicationInsights-JS/blob/main/.github/copilot-instructions.md" TargetMode="External"/><Relationship Id="rId185" Type="http://schemas.openxmlformats.org/officeDocument/2006/relationships/hyperlink" Target="https://github.com/zenml-io/zenml/blob/main/AGENTS.md" TargetMode="External"/><Relationship Id="rId350" Type="http://schemas.openxmlformats.org/officeDocument/2006/relationships/hyperlink" Target="https://github.com/owid/owid-grapher/blob/master/CLAUDE.md" TargetMode="External"/><Relationship Id="rId406" Type="http://schemas.openxmlformats.org/officeDocument/2006/relationships/hyperlink" Target="https://github.com/zed-industries/zed/blob/main/CLAUDE.md" TargetMode="External"/><Relationship Id="rId9" Type="http://schemas.openxmlformats.org/officeDocument/2006/relationships/hyperlink" Target="https://github.com/thirdweb-dev/js/blob/main/CLAUDE.md" TargetMode="External"/><Relationship Id="rId210" Type="http://schemas.openxmlformats.org/officeDocument/2006/relationships/hyperlink" Target="https://github.com/Comfy-Org/comfy-claude-prompt-library/blob/master/CLAUDE.md" TargetMode="External"/><Relationship Id="rId392" Type="http://schemas.openxmlformats.org/officeDocument/2006/relationships/hyperlink" Target="https://github.com/spylang/spy/blob/main/CLAUDE.md" TargetMode="External"/><Relationship Id="rId448" Type="http://schemas.openxmlformats.org/officeDocument/2006/relationships/hyperlink" Target="https://github.com/hathach/tinyusb/blob/master/AGENTS.md" TargetMode="External"/><Relationship Id="rId252" Type="http://schemas.openxmlformats.org/officeDocument/2006/relationships/hyperlink" Target="https://github.com/CapSoftware/Cap/blob/main/CLAUDE.md" TargetMode="External"/><Relationship Id="rId294" Type="http://schemas.openxmlformats.org/officeDocument/2006/relationships/hyperlink" Target="https://github.com/getsentry/sentry-javascript/blob/master/CLAUDE.md" TargetMode="External"/><Relationship Id="rId308" Type="http://schemas.openxmlformats.org/officeDocument/2006/relationships/hyperlink" Target="https://github.com/langchain-ai/langchain/blob/master/CLAUDE.md" TargetMode="External"/><Relationship Id="rId47" Type="http://schemas.openxmlformats.org/officeDocument/2006/relationships/hyperlink" Target="https://github.com/catatsuy/private-isu/blob/master/AGENTS.md" TargetMode="External"/><Relationship Id="rId89" Type="http://schemas.openxmlformats.org/officeDocument/2006/relationships/hyperlink" Target="https://github.com/wieslawsoltes/Dock/blob/master/AGENTS.md" TargetMode="External"/><Relationship Id="rId112" Type="http://schemas.openxmlformats.org/officeDocument/2006/relationships/hyperlink" Target="https://github.com/Aiko-IT-Systems/DisCatSharp/blob/main/.github/copilot-instructions.md" TargetMode="External"/><Relationship Id="rId154" Type="http://schemas.openxmlformats.org/officeDocument/2006/relationships/hyperlink" Target="https://github.com/Open-LLM-VTuber/Open-LLM-VTuber/blob/main/.github/copilot-instructions.md" TargetMode="External"/><Relationship Id="rId361" Type="http://schemas.openxmlformats.org/officeDocument/2006/relationships/hyperlink" Target="https://github.com/Pipelex/pipelex/blob/main/CLAUDE.md" TargetMode="External"/><Relationship Id="rId196" Type="http://schemas.openxmlformats.org/officeDocument/2006/relationships/hyperlink" Target="https://github.com/dailydotdev/apps/blob/main/CLAUDE.md" TargetMode="External"/><Relationship Id="rId417" Type="http://schemas.openxmlformats.org/officeDocument/2006/relationships/hyperlink" Target="https://github.com/BoldGrid/w3-total-cache/blob/master/AGENTS.md" TargetMode="External"/><Relationship Id="rId459" Type="http://schemas.openxmlformats.org/officeDocument/2006/relationships/hyperlink" Target="https://github.com/JuliaLang/julia/blob/master/AGENTS.md" TargetMode="External"/><Relationship Id="rId16" Type="http://schemas.openxmlformats.org/officeDocument/2006/relationships/hyperlink" Target="https://github.com/wolfi-dev/os/blob/main/CLAUDE.md" TargetMode="External"/><Relationship Id="rId221" Type="http://schemas.openxmlformats.org/officeDocument/2006/relationships/hyperlink" Target="https://github.com/dailydotdev/apps/blob/main/CLAUDE.md" TargetMode="External"/><Relationship Id="rId263" Type="http://schemas.openxmlformats.org/officeDocument/2006/relationships/hyperlink" Target="https://github.com/cockroachdb/cockroach/blob/master/CLAUDE.md" TargetMode="External"/><Relationship Id="rId319" Type="http://schemas.openxmlformats.org/officeDocument/2006/relationships/hyperlink" Target="https://github.com/lostleaf/binance_datatool/blob/main/CLAUDE.md" TargetMode="External"/><Relationship Id="rId470" Type="http://schemas.openxmlformats.org/officeDocument/2006/relationships/hyperlink" Target="https://github.com/langchain-ai/langchain/blob/master/AGENTS.md" TargetMode="External"/><Relationship Id="rId58" Type="http://schemas.openxmlformats.org/officeDocument/2006/relationships/hyperlink" Target="https://github.com/janbjorge/pgqueuer/blob/main/AGENTS.md" TargetMode="External"/><Relationship Id="rId123" Type="http://schemas.openxmlformats.org/officeDocument/2006/relationships/hyperlink" Target="https://github.com/dotnet/docs-aspire/blob/main/.github/copilot-instructions.md" TargetMode="External"/><Relationship Id="rId330" Type="http://schemas.openxmlformats.org/officeDocument/2006/relationships/hyperlink" Target="https://github.com/obophenotype/uberon/blob/master/CLAUDE.md" TargetMode="External"/><Relationship Id="rId165" Type="http://schemas.openxmlformats.org/officeDocument/2006/relationships/hyperlink" Target="https://github.com/syntaxfm/website/blob/main/.github/copilot-instructions.md" TargetMode="External"/><Relationship Id="rId372" Type="http://schemas.openxmlformats.org/officeDocument/2006/relationships/hyperlink" Target="https://github.com/RchGrav/claudebox/blob/main/CLAUDE.md" TargetMode="External"/><Relationship Id="rId428" Type="http://schemas.openxmlformats.org/officeDocument/2006/relationships/hyperlink" Target="https://github.com/carverauto/serviceradar/blob/main/AGENTS.md" TargetMode="External"/><Relationship Id="rId232" Type="http://schemas.openxmlformats.org/officeDocument/2006/relationships/hyperlink" Target="https://github.com/pytorch/pytorch/blob/main/AGENTS.md" TargetMode="External"/><Relationship Id="rId274" Type="http://schemas.openxmlformats.org/officeDocument/2006/relationships/hyperlink" Target="https://github.com/colinhacks/zod/blob/main/CLAUDE.md" TargetMode="External"/><Relationship Id="rId481" Type="http://schemas.openxmlformats.org/officeDocument/2006/relationships/hyperlink" Target="https://github.com/luccahuguet/yazelix/blob/main/AGENTS.md" TargetMode="External"/><Relationship Id="rId27" Type="http://schemas.openxmlformats.org/officeDocument/2006/relationships/hyperlink" Target="https://github.com/zed-industries/zed/blob/main/CLAUDE.md" TargetMode="External"/><Relationship Id="rId69" Type="http://schemas.openxmlformats.org/officeDocument/2006/relationships/hyperlink" Target="https://github.com/rocketship-ai/rocketship/blob/main/AGENTS.md" TargetMode="External"/><Relationship Id="rId134" Type="http://schemas.openxmlformats.org/officeDocument/2006/relationships/hyperlink" Target="https://github.com/istio/istio/blob/master/.github/copilot-instructions.md" TargetMode="External"/><Relationship Id="rId80" Type="http://schemas.openxmlformats.org/officeDocument/2006/relationships/hyperlink" Target="https://github.com/seasonedcc/remix-forms/blob/main/AGENTS.md" TargetMode="External"/><Relationship Id="rId176" Type="http://schemas.openxmlformats.org/officeDocument/2006/relationships/hyperlink" Target="https://github.com/module-federation/core/blob/main/CLAUDE.md" TargetMode="External"/><Relationship Id="rId341" Type="http://schemas.openxmlformats.org/officeDocument/2006/relationships/hyperlink" Target="https://github.com/open-metadata/OpenMetadata/blob/main/CLAUDE.md" TargetMode="External"/><Relationship Id="rId383" Type="http://schemas.openxmlformats.org/officeDocument/2006/relationships/hyperlink" Target="https://github.com/RchGrav/claudebox/blob/main/CLAUDE.md" TargetMode="External"/><Relationship Id="rId439" Type="http://schemas.openxmlformats.org/officeDocument/2006/relationships/hyperlink" Target="https://github.com/DataDog/datadog-agent/blob/main/AGENTS.md" TargetMode="External"/><Relationship Id="rId201" Type="http://schemas.openxmlformats.org/officeDocument/2006/relationships/hyperlink" Target="https://github.com/owid/owid-grapher/blob/master/CLAUDE.md" TargetMode="External"/><Relationship Id="rId243" Type="http://schemas.openxmlformats.org/officeDocument/2006/relationships/hyperlink" Target="https://github.com/anyproto/anytype-ts/blob/main/CLAUDE.md" TargetMode="External"/><Relationship Id="rId285" Type="http://schemas.openxmlformats.org/officeDocument/2006/relationships/hyperlink" Target="https://github.com/dailydotdev/apps/blob/main/CLAUDE.md" TargetMode="External"/><Relationship Id="rId450" Type="http://schemas.openxmlformats.org/officeDocument/2006/relationships/hyperlink" Target="https://github.com/herbie-fp/herbie/blob/main/AGENTS.md" TargetMode="External"/><Relationship Id="rId38" Type="http://schemas.openxmlformats.org/officeDocument/2006/relationships/hyperlink" Target="https://github.com/zenml-io/zenml/blob/main/CLAUDE.md" TargetMode="External"/><Relationship Id="rId103" Type="http://schemas.openxmlformats.org/officeDocument/2006/relationships/hyperlink" Target="https://github.com/yoshiko-pg/difit/blob/main/AGENTS.md" TargetMode="External"/><Relationship Id="rId310" Type="http://schemas.openxmlformats.org/officeDocument/2006/relationships/hyperlink" Target="https://github.com/lfnovo/esperanto/blob/main/CLAUDE.md" TargetMode="External"/><Relationship Id="rId492" Type="http://schemas.openxmlformats.org/officeDocument/2006/relationships/hyperlink" Target="https://github.com/luccahuguet/yazelix/blob/main/AGENTS.md" TargetMode="External"/><Relationship Id="rId91" Type="http://schemas.openxmlformats.org/officeDocument/2006/relationships/hyperlink" Target="https://github.com/wieslawsoltes/Dock/blob/master/AGENTS.md" TargetMode="External"/><Relationship Id="rId145" Type="http://schemas.openxmlformats.org/officeDocument/2006/relationships/hyperlink" Target="https://github.com/microsoft/python-environment-tools/blob/main/.github/copilot-instructions.md" TargetMode="External"/><Relationship Id="rId187" Type="http://schemas.openxmlformats.org/officeDocument/2006/relationships/hyperlink" Target="https://github.com/langchain-ai/langchain/blob/master/CLAUDE.md" TargetMode="External"/><Relationship Id="rId352" Type="http://schemas.openxmlformats.org/officeDocument/2006/relationships/hyperlink" Target="https://github.com/Pipelex/pipelex/blob/main/CLAUDE.md" TargetMode="External"/><Relationship Id="rId394" Type="http://schemas.openxmlformats.org/officeDocument/2006/relationships/hyperlink" Target="https://github.com/theopenco/llmgateway/blob/main/CLAUDE.md" TargetMode="External"/><Relationship Id="rId408" Type="http://schemas.openxmlformats.org/officeDocument/2006/relationships/hyperlink" Target="https://github.com/zenml-io/zenml/blob/main/CLAUDE.md" TargetMode="External"/><Relationship Id="rId212" Type="http://schemas.openxmlformats.org/officeDocument/2006/relationships/hyperlink" Target="https://github.com/NuGet/NuGetGallery/blob/main/.github/copilot-instructions.md" TargetMode="External"/><Relationship Id="rId254" Type="http://schemas.openxmlformats.org/officeDocument/2006/relationships/hyperlink" Target="https://github.com/CapSoftware/Cap/blob/main/CLAUDE.md" TargetMode="External"/><Relationship Id="rId49" Type="http://schemas.openxmlformats.org/officeDocument/2006/relationships/hyperlink" Target="https://github.com/commonwarexyz/monorepo/blob/main/AGENTS.md" TargetMode="External"/><Relationship Id="rId114" Type="http://schemas.openxmlformats.org/officeDocument/2006/relationships/hyperlink" Target="https://github.com/Azure/AgentBaker/blob/main/.github/copilot-instructions.md" TargetMode="External"/><Relationship Id="rId296" Type="http://schemas.openxmlformats.org/officeDocument/2006/relationships/hyperlink" Target="https://github.com/grafbase/grafbase/blob/main/CLAUDE.md" TargetMode="External"/><Relationship Id="rId461" Type="http://schemas.openxmlformats.org/officeDocument/2006/relationships/hyperlink" Target="https://github.com/JuliaLang/julia/blob/master/AGENTS.md" TargetMode="External"/><Relationship Id="rId60" Type="http://schemas.openxmlformats.org/officeDocument/2006/relationships/hyperlink" Target="https://github.com/langfuse/langfuse/blob/main/AGENTS.md" TargetMode="External"/><Relationship Id="rId156" Type="http://schemas.openxmlformats.org/officeDocument/2006/relationships/hyperlink" Target="https://github.com/raycast/extensions/blob/main/.github/copilot-instructions.md" TargetMode="External"/><Relationship Id="rId198" Type="http://schemas.openxmlformats.org/officeDocument/2006/relationships/hyperlink" Target="https://github.com/CapSoftware/Cap/blob/main/CLAUDE.md" TargetMode="External"/><Relationship Id="rId321" Type="http://schemas.openxmlformats.org/officeDocument/2006/relationships/hyperlink" Target="https://github.com/netdata/netdata/blob/master/CLAUDE.md" TargetMode="External"/><Relationship Id="rId363" Type="http://schemas.openxmlformats.org/officeDocument/2006/relationships/hyperlink" Target="https://github.com/princeton-pli/hal-harness/blob/main/CLAUDE.md" TargetMode="External"/><Relationship Id="rId419" Type="http://schemas.openxmlformats.org/officeDocument/2006/relationships/hyperlink" Target="https://github.com/BoldGrid/w3-total-cache/blob/master/AGENTS.md" TargetMode="External"/><Relationship Id="rId223" Type="http://schemas.openxmlformats.org/officeDocument/2006/relationships/hyperlink" Target="https://github.com/public-ui/kolibri/blob/master/AGENTS.md" TargetMode="External"/><Relationship Id="rId430" Type="http://schemas.openxmlformats.org/officeDocument/2006/relationships/hyperlink" Target="https://github.com/carverauto/serviceradar/blob/main/AGENTS.md" TargetMode="External"/><Relationship Id="rId18" Type="http://schemas.openxmlformats.org/officeDocument/2006/relationships/hyperlink" Target="https://github.com/wvlet/airframe/blob/main/CLAUDE.md" TargetMode="External"/><Relationship Id="rId265" Type="http://schemas.openxmlformats.org/officeDocument/2006/relationships/hyperlink" Target="https://github.com/coder/coder/blob/main/CLAUDE.md" TargetMode="External"/><Relationship Id="rId472" Type="http://schemas.openxmlformats.org/officeDocument/2006/relationships/hyperlink" Target="https://github.com/langchain-ai/langchain/blob/master/AGENTS.md" TargetMode="External"/><Relationship Id="rId125" Type="http://schemas.openxmlformats.org/officeDocument/2006/relationships/hyperlink" Target="https://github.com/dotnet/runtime/blob/main/.github/copilot-instructions.md" TargetMode="External"/><Relationship Id="rId167" Type="http://schemas.openxmlformats.org/officeDocument/2006/relationships/hyperlink" Target="https://github.com/wvlet/airframe/blob/main/.github/copilot-instructions.md" TargetMode="External"/><Relationship Id="rId332" Type="http://schemas.openxmlformats.org/officeDocument/2006/relationships/hyperlink" Target="https://github.com/OlympiaAI/raix/blob/main/CLAUDE.md" TargetMode="External"/><Relationship Id="rId374" Type="http://schemas.openxmlformats.org/officeDocument/2006/relationships/hyperlink" Target="https://github.com/RchGrav/claudebox/blob/main/CLAUDE.md" TargetMode="External"/><Relationship Id="rId71" Type="http://schemas.openxmlformats.org/officeDocument/2006/relationships/hyperlink" Target="https://github.com/RSSNext/Folo/blob/main/AGENTS.md" TargetMode="External"/><Relationship Id="rId234" Type="http://schemas.openxmlformats.org/officeDocument/2006/relationships/hyperlink" Target="https://github.com/abh/ntppool/blob/main/CLAUDE.md" TargetMode="External"/><Relationship Id="rId2" Type="http://schemas.openxmlformats.org/officeDocument/2006/relationships/hyperlink" Target="https://github.com/saleor/saleor/blob/main/CLAUDE.md" TargetMode="External"/><Relationship Id="rId29" Type="http://schemas.openxmlformats.org/officeDocument/2006/relationships/hyperlink" Target="https://github.com/zed-industries/zed/blob/main/CLAUDE.md" TargetMode="External"/><Relationship Id="rId276" Type="http://schemas.openxmlformats.org/officeDocument/2006/relationships/hyperlink" Target="https://github.com/Comfy-Org/comfy-claude-prompt-library/blob/master/CLAUDE.md" TargetMode="External"/><Relationship Id="rId441" Type="http://schemas.openxmlformats.org/officeDocument/2006/relationships/hyperlink" Target="https://github.com/ESPresense/ESPresense-companion/blob/main/AGENTS.md" TargetMode="External"/><Relationship Id="rId483" Type="http://schemas.openxmlformats.org/officeDocument/2006/relationships/hyperlink" Target="https://github.com/luccahuguet/yazelix/blob/main/AGENTS.md" TargetMode="External"/><Relationship Id="rId40" Type="http://schemas.openxmlformats.org/officeDocument/2006/relationships/hyperlink" Target="https://github.com/ArcInstitute/SRAgent/blob/main/AGENTS.md" TargetMode="External"/><Relationship Id="rId136" Type="http://schemas.openxmlformats.org/officeDocument/2006/relationships/hyperlink" Target="https://github.com/microsoft/ApplicationInsights-JS/blob/main/.github/copilot-instructions.md" TargetMode="External"/><Relationship Id="rId178" Type="http://schemas.openxmlformats.org/officeDocument/2006/relationships/hyperlink" Target="https://github.com/Open-LLM-VTuber/Open-LLM-VTuber/blob/main/.github/copilot-instructions.md" TargetMode="External"/><Relationship Id="rId301" Type="http://schemas.openxmlformats.org/officeDocument/2006/relationships/hyperlink" Target="https://github.com/J-Tech-Japan/Sekiban/blob/main/CLAUDE.md" TargetMode="External"/><Relationship Id="rId343" Type="http://schemas.openxmlformats.org/officeDocument/2006/relationships/hyperlink" Target="https://github.com/open-metadata/OpenMetadata/blob/main/CLAUDE.md" TargetMode="External"/><Relationship Id="rId82" Type="http://schemas.openxmlformats.org/officeDocument/2006/relationships/hyperlink" Target="https://github.com/stack-auth/stack-auth/blob/main/AGENTS.md" TargetMode="External"/><Relationship Id="rId203" Type="http://schemas.openxmlformats.org/officeDocument/2006/relationships/hyperlink" Target="https://github.com/alchemiststudiosDOTai/tunacode/blob/master/AGENTS.md" TargetMode="External"/><Relationship Id="rId385" Type="http://schemas.openxmlformats.org/officeDocument/2006/relationships/hyperlink" Target="https://github.com/saleor/saleor/blob/main/CLAUDE.md" TargetMode="External"/><Relationship Id="rId245" Type="http://schemas.openxmlformats.org/officeDocument/2006/relationships/hyperlink" Target="https://github.com/Azure/LogicAppsUX/blob/main/CLAUDE.md" TargetMode="External"/><Relationship Id="rId287" Type="http://schemas.openxmlformats.org/officeDocument/2006/relationships/hyperlink" Target="https://github.com/dailydotdev/apps/blob/main/CLAUDE.md" TargetMode="External"/><Relationship Id="rId410" Type="http://schemas.openxmlformats.org/officeDocument/2006/relationships/hyperlink" Target="https://github.com/alchemiststudiosDOTai/tunacode/blob/master/AGENTS.md" TargetMode="External"/><Relationship Id="rId452" Type="http://schemas.openxmlformats.org/officeDocument/2006/relationships/hyperlink" Target="https://github.com/janbjorge/pgqueuer/blob/main/AGENTS.md" TargetMode="External"/><Relationship Id="rId494" Type="http://schemas.openxmlformats.org/officeDocument/2006/relationships/hyperlink" Target="https://github.com/luccahuguet/yazelix/blob/main/AGENTS.md" TargetMode="External"/><Relationship Id="rId105" Type="http://schemas.openxmlformats.org/officeDocument/2006/relationships/hyperlink" Target="https://github.com/zenml-io/zenml/blob/main/AGENTS.md" TargetMode="External"/><Relationship Id="rId147" Type="http://schemas.openxmlformats.org/officeDocument/2006/relationships/hyperlink" Target="https://github.com/microsoft/TypeScript/blob/main/.github/copilot-instructions.md" TargetMode="External"/><Relationship Id="rId312" Type="http://schemas.openxmlformats.org/officeDocument/2006/relationships/hyperlink" Target="https://github.com/lgallard/terraform-aws-cognito-user-pool/blob/master/CLAUDE.md" TargetMode="External"/><Relationship Id="rId354" Type="http://schemas.openxmlformats.org/officeDocument/2006/relationships/hyperlink" Target="https://github.com/Pipelex/pipelex/blob/main/CLAUDE.md" TargetMode="External"/><Relationship Id="rId51" Type="http://schemas.openxmlformats.org/officeDocument/2006/relationships/hyperlink" Target="https://github.com/epicweb-dev/epicshop/blob/main/AGENTS.md" TargetMode="External"/><Relationship Id="rId93" Type="http://schemas.openxmlformats.org/officeDocument/2006/relationships/hyperlink" Target="https://github.com/wieslawsoltes/Dock/blob/master/AGENTS.md" TargetMode="External"/><Relationship Id="rId189" Type="http://schemas.openxmlformats.org/officeDocument/2006/relationships/hyperlink" Target="https://github.com/wolfi-dev/os/blob/main/CLAUDE.md" TargetMode="External"/><Relationship Id="rId396" Type="http://schemas.openxmlformats.org/officeDocument/2006/relationships/hyperlink" Target="https://github.com/theopenco/llmgateway/blob/main/CLAUDE.md" TargetMode="External"/><Relationship Id="rId214" Type="http://schemas.openxmlformats.org/officeDocument/2006/relationships/hyperlink" Target="https://github.com/wvlet/airframe/blob/main/.github/copilot-instructions.md" TargetMode="External"/><Relationship Id="rId256" Type="http://schemas.openxmlformats.org/officeDocument/2006/relationships/hyperlink" Target="https://github.com/clidey/dory/blob/main/CLAUDE.md" TargetMode="External"/><Relationship Id="rId298" Type="http://schemas.openxmlformats.org/officeDocument/2006/relationships/hyperlink" Target="https://github.com/home-assistant/frontend/blob/master/CLAUDE.md" TargetMode="External"/><Relationship Id="rId421" Type="http://schemas.openxmlformats.org/officeDocument/2006/relationships/hyperlink" Target="https://github.com/BoldGrid/w3-total-cache/blob/master/AGENTS.md" TargetMode="External"/><Relationship Id="rId463" Type="http://schemas.openxmlformats.org/officeDocument/2006/relationships/hyperlink" Target="https://github.com/JuliaLang/julia/blob/master/AGENTS.md" TargetMode="External"/><Relationship Id="rId116" Type="http://schemas.openxmlformats.org/officeDocument/2006/relationships/hyperlink" Target="https://github.com/Azure/AgentBaker/blob/main/.github/copilot-instructions.md" TargetMode="External"/><Relationship Id="rId158" Type="http://schemas.openxmlformats.org/officeDocument/2006/relationships/hyperlink" Target="https://github.com/Skyscanner/backpack-ios/blob/main/.github/copilot-instructions.md" TargetMode="External"/><Relationship Id="rId323" Type="http://schemas.openxmlformats.org/officeDocument/2006/relationships/hyperlink" Target="https://github.com/netdata/netdata/blob/master/CLAUDE.md" TargetMode="External"/><Relationship Id="rId20" Type="http://schemas.openxmlformats.org/officeDocument/2006/relationships/hyperlink" Target="https://github.com/wvlet/wvlet/blob/main/CLAUDE.md" TargetMode="External"/><Relationship Id="rId62" Type="http://schemas.openxmlformats.org/officeDocument/2006/relationships/hyperlink" Target="https://github.com/luccahuguet/yazelix/blob/main/AGENTS.md" TargetMode="External"/><Relationship Id="rId365" Type="http://schemas.openxmlformats.org/officeDocument/2006/relationships/hyperlink" Target="https://github.com/princeton-pli/hal-harness/blob/main/CLAUDE.md" TargetMode="External"/><Relationship Id="rId225" Type="http://schemas.openxmlformats.org/officeDocument/2006/relationships/hyperlink" Target="https://github.com/SparkDevNetwork/Rock/blob/master/.github/copilot-instructions.md" TargetMode="External"/><Relationship Id="rId267" Type="http://schemas.openxmlformats.org/officeDocument/2006/relationships/hyperlink" Target="https://github.com/coder/coder/blob/main/CLAUDE.md" TargetMode="External"/><Relationship Id="rId432" Type="http://schemas.openxmlformats.org/officeDocument/2006/relationships/hyperlink" Target="https://github.com/commonwarexyz/monorepo/blob/main/AGENTS.md" TargetMode="External"/><Relationship Id="rId474" Type="http://schemas.openxmlformats.org/officeDocument/2006/relationships/hyperlink" Target="https://github.com/langfuse/langfuse/blob/main/AGENTS.md" TargetMode="External"/><Relationship Id="rId127" Type="http://schemas.openxmlformats.org/officeDocument/2006/relationships/hyperlink" Target="https://github.com/esphome/esphome/blob/main/.github/copilot-instructions.md" TargetMode="External"/><Relationship Id="rId10" Type="http://schemas.openxmlformats.org/officeDocument/2006/relationships/hyperlink" Target="https://github.com/thirdweb-dev/js/blob/main/CLAUDE.md" TargetMode="External"/><Relationship Id="rId31" Type="http://schemas.openxmlformats.org/officeDocument/2006/relationships/hyperlink" Target="https://github.com/zed-industries/zed/blob/main/CLAUDE.md" TargetMode="External"/><Relationship Id="rId52" Type="http://schemas.openxmlformats.org/officeDocument/2006/relationships/hyperlink" Target="https://github.com/epicweb-dev/epicshop/blob/main/AGENTS.md" TargetMode="External"/><Relationship Id="rId73" Type="http://schemas.openxmlformats.org/officeDocument/2006/relationships/hyperlink" Target="https://github.com/RSSNext/Folo/blob/main/AGENTS.md" TargetMode="External"/><Relationship Id="rId94" Type="http://schemas.openxmlformats.org/officeDocument/2006/relationships/hyperlink" Target="https://github.com/wieslawsoltes/Dock/blob/master/AGENTS.md" TargetMode="External"/><Relationship Id="rId148" Type="http://schemas.openxmlformats.org/officeDocument/2006/relationships/hyperlink" Target="https://github.com/microsoft/vs-threading/blob/main/.github/copilot-instructions.md" TargetMode="External"/><Relationship Id="rId169" Type="http://schemas.openxmlformats.org/officeDocument/2006/relationships/hyperlink" Target="https://github.com/zwave-js/zwave-js/blob/master/.github/copilot-instructions.md" TargetMode="External"/><Relationship Id="rId334" Type="http://schemas.openxmlformats.org/officeDocument/2006/relationships/hyperlink" Target="https://github.com/OneKeyHQ/app-monorepo/blob/master/CLAUDE.md" TargetMode="External"/><Relationship Id="rId355" Type="http://schemas.openxmlformats.org/officeDocument/2006/relationships/hyperlink" Target="https://github.com/Pipelex/pipelex/blob/main/CLAUDE.md" TargetMode="External"/><Relationship Id="rId376" Type="http://schemas.openxmlformats.org/officeDocument/2006/relationships/hyperlink" Target="https://github.com/RchGrav/claudebox/blob/main/CLAUDE.md" TargetMode="External"/><Relationship Id="rId397" Type="http://schemas.openxmlformats.org/officeDocument/2006/relationships/hyperlink" Target="https://github.com/theopenco/llmgateway/blob/main/CLAUDE.md" TargetMode="External"/><Relationship Id="rId4" Type="http://schemas.openxmlformats.org/officeDocument/2006/relationships/hyperlink" Target="https://github.com/steipete/Peekaboo/blob/main/CLAUDE.md" TargetMode="External"/><Relationship Id="rId180" Type="http://schemas.openxmlformats.org/officeDocument/2006/relationships/hyperlink" Target="https://github.com/esphome/esphome/blob/main/.github/copilot-instructions.md" TargetMode="External"/><Relationship Id="rId215" Type="http://schemas.openxmlformats.org/officeDocument/2006/relationships/hyperlink" Target="https://github.com/wvlet/airframe/blob/main/.github/copilot-instructions.md" TargetMode="External"/><Relationship Id="rId236" Type="http://schemas.openxmlformats.org/officeDocument/2006/relationships/hyperlink" Target="https://github.com/ajanraj/OpenChat/blob/main/CLAUDE.md" TargetMode="External"/><Relationship Id="rId257" Type="http://schemas.openxmlformats.org/officeDocument/2006/relationships/hyperlink" Target="https://github.com/clidey/dory/blob/main/CLAUDE.md" TargetMode="External"/><Relationship Id="rId278" Type="http://schemas.openxmlformats.org/officeDocument/2006/relationships/hyperlink" Target="https://github.com/compiler-explorer/infra/blob/main/CLAUDE.md" TargetMode="External"/><Relationship Id="rId401" Type="http://schemas.openxmlformats.org/officeDocument/2006/relationships/hyperlink" Target="https://github.com/truenas/webui/blob/master/CLAUDE.md" TargetMode="External"/><Relationship Id="rId422" Type="http://schemas.openxmlformats.org/officeDocument/2006/relationships/hyperlink" Target="https://github.com/bruin-data/bruin/blob/main/AGENTS.md" TargetMode="External"/><Relationship Id="rId443" Type="http://schemas.openxmlformats.org/officeDocument/2006/relationships/hyperlink" Target="https://github.com/gitkraken/vscode-gitlens/blob/main/AGENTS.md" TargetMode="External"/><Relationship Id="rId464" Type="http://schemas.openxmlformats.org/officeDocument/2006/relationships/hyperlink" Target="https://github.com/JuliaLang/julia/blob/master/AGENTS.md" TargetMode="External"/><Relationship Id="rId303" Type="http://schemas.openxmlformats.org/officeDocument/2006/relationships/hyperlink" Target="https://github.com/J-Tech-Japan/Sekiban/blob/main/CLAUDE.md" TargetMode="External"/><Relationship Id="rId485" Type="http://schemas.openxmlformats.org/officeDocument/2006/relationships/hyperlink" Target="https://github.com/luccahuguet/yazelix/blob/main/AGENTS.md" TargetMode="External"/><Relationship Id="rId42" Type="http://schemas.openxmlformats.org/officeDocument/2006/relationships/hyperlink" Target="https://github.com/Azure-Samples/serverless-chat-langchainjs/blob/main/AGENTS.md" TargetMode="External"/><Relationship Id="rId84" Type="http://schemas.openxmlformats.org/officeDocument/2006/relationships/hyperlink" Target="https://github.com/swarmauri/swarmauri-sdk/blob/main/AGENTS.md" TargetMode="External"/><Relationship Id="rId138" Type="http://schemas.openxmlformats.org/officeDocument/2006/relationships/hyperlink" Target="https://github.com/microsoft/ApplicationInsights-JS/blob/main/.github/copilot-instructions.md" TargetMode="External"/><Relationship Id="rId345" Type="http://schemas.openxmlformats.org/officeDocument/2006/relationships/hyperlink" Target="https://github.com/open-metadata/OpenMetadata/blob/main/CLAUDE.md" TargetMode="External"/><Relationship Id="rId387" Type="http://schemas.openxmlformats.org/officeDocument/2006/relationships/hyperlink" Target="https://github.com/saleor/saleor/blob/main/CLAUDE.md" TargetMode="External"/><Relationship Id="rId191" Type="http://schemas.openxmlformats.org/officeDocument/2006/relationships/hyperlink" Target="https://github.com/Azure/LogicAppsUX/blob/main/CLAUDE.md" TargetMode="External"/><Relationship Id="rId205" Type="http://schemas.openxmlformats.org/officeDocument/2006/relationships/hyperlink" Target="https://github.com/Azure/AgentBaker/blob/main/.github/copilot-instructions.md" TargetMode="External"/><Relationship Id="rId247" Type="http://schemas.openxmlformats.org/officeDocument/2006/relationships/hyperlink" Target="https://github.com/BerriAI/litellm/blob/main/CLAUDE.md" TargetMode="External"/><Relationship Id="rId412" Type="http://schemas.openxmlformats.org/officeDocument/2006/relationships/hyperlink" Target="https://github.com/ArcInstitute/SRAgent/blob/main/AGENTS.md" TargetMode="External"/><Relationship Id="rId107" Type="http://schemas.openxmlformats.org/officeDocument/2006/relationships/hyperlink" Target="https://github.com/zenml-io/zenml/blob/main/AGENTS.md" TargetMode="External"/><Relationship Id="rId289" Type="http://schemas.openxmlformats.org/officeDocument/2006/relationships/hyperlink" Target="https://github.com/dailydotdev/apps/blob/main/CLAUDE.md" TargetMode="External"/><Relationship Id="rId454" Type="http://schemas.openxmlformats.org/officeDocument/2006/relationships/hyperlink" Target="https://github.com/julep-ai/julep/blob/main/AGENTS.md" TargetMode="External"/><Relationship Id="rId496" Type="http://schemas.openxmlformats.org/officeDocument/2006/relationships/hyperlink" Target="https://github.com/luccahuguet/yazelix/blob/main/AGENTS.md" TargetMode="External"/><Relationship Id="rId11" Type="http://schemas.openxmlformats.org/officeDocument/2006/relationships/hyperlink" Target="https://github.com/thirdweb-dev/js/blob/main/CLAUDE.md" TargetMode="External"/><Relationship Id="rId53" Type="http://schemas.openxmlformats.org/officeDocument/2006/relationships/hyperlink" Target="https://github.com/epicweb-dev/epicshop/blob/main/AGENTS.md" TargetMode="External"/><Relationship Id="rId149" Type="http://schemas.openxmlformats.org/officeDocument/2006/relationships/hyperlink" Target="https://github.com/microsoft/vscode-jupyter/blob/main/.github/copilot-instructions.md" TargetMode="External"/><Relationship Id="rId314" Type="http://schemas.openxmlformats.org/officeDocument/2006/relationships/hyperlink" Target="https://github.com/LLFourn/secp256kfun/blob/master/CLAUDE.md" TargetMode="External"/><Relationship Id="rId356" Type="http://schemas.openxmlformats.org/officeDocument/2006/relationships/hyperlink" Target="https://github.com/Pipelex/pipelex/blob/main/CLAUDE.md" TargetMode="External"/><Relationship Id="rId398" Type="http://schemas.openxmlformats.org/officeDocument/2006/relationships/hyperlink" Target="https://github.com/theopenco/llmgateway/blob/main/CLAUDE.md" TargetMode="External"/><Relationship Id="rId95" Type="http://schemas.openxmlformats.org/officeDocument/2006/relationships/hyperlink" Target="https://github.com/wieslawsoltes/Xaml.Behaviors/blob/master/AGENTS.md" TargetMode="External"/><Relationship Id="rId160" Type="http://schemas.openxmlformats.org/officeDocument/2006/relationships/hyperlink" Target="https://github.com/SparkDevNetwork/Rock/blob/master/.github/copilot-instructions.md" TargetMode="External"/><Relationship Id="rId216" Type="http://schemas.openxmlformats.org/officeDocument/2006/relationships/hyperlink" Target="https://github.com/evmts/tevm-monorepo/blob/main/CLAUDE.md" TargetMode="External"/><Relationship Id="rId423" Type="http://schemas.openxmlformats.org/officeDocument/2006/relationships/hyperlink" Target="https://github.com/CapSoftware/Cap/blob/main/AGENTS.md" TargetMode="External"/><Relationship Id="rId258" Type="http://schemas.openxmlformats.org/officeDocument/2006/relationships/hyperlink" Target="https://github.com/clidey/dory/blob/main/CLAUDE.md" TargetMode="External"/><Relationship Id="rId465" Type="http://schemas.openxmlformats.org/officeDocument/2006/relationships/hyperlink" Target="https://github.com/JuliaLang/julia/blob/master/AGENTS.md" TargetMode="External"/><Relationship Id="rId22" Type="http://schemas.openxmlformats.org/officeDocument/2006/relationships/hyperlink" Target="https://github.com/wvlet/wvlet/blob/main/CLAUDE.md" TargetMode="External"/><Relationship Id="rId64" Type="http://schemas.openxmlformats.org/officeDocument/2006/relationships/hyperlink" Target="https://github.com/Pipelex/pipelex/blob/main/AGENTS.md" TargetMode="External"/><Relationship Id="rId118" Type="http://schemas.openxmlformats.org/officeDocument/2006/relationships/hyperlink" Target="https://github.com/Azure/AgentBaker/blob/main/.github/copilot-instructions.md" TargetMode="External"/><Relationship Id="rId325" Type="http://schemas.openxmlformats.org/officeDocument/2006/relationships/hyperlink" Target="https://github.com/netdata/netdata/blob/master/CLAUDE.md" TargetMode="External"/><Relationship Id="rId367" Type="http://schemas.openxmlformats.org/officeDocument/2006/relationships/hyperlink" Target="https://github.com/qltysh/qlty/blob/main/CLAUDE.md" TargetMode="External"/><Relationship Id="rId171" Type="http://schemas.openxmlformats.org/officeDocument/2006/relationships/hyperlink" Target="https://github.com/lightdash/lightdash/blob/main/CLAUDE.md" TargetMode="External"/><Relationship Id="rId227" Type="http://schemas.openxmlformats.org/officeDocument/2006/relationships/hyperlink" Target="https://github.com/Azure/autorest.typescript/blob/main/.github/copilot-instructions.md" TargetMode="External"/><Relationship Id="rId269" Type="http://schemas.openxmlformats.org/officeDocument/2006/relationships/hyperlink" Target="https://github.com/coder/coder/blob/main/CLAUDE.md" TargetMode="External"/><Relationship Id="rId434" Type="http://schemas.openxmlformats.org/officeDocument/2006/relationships/hyperlink" Target="https://github.com/commonwarexyz/monorepo/blob/main/AGENTS.md" TargetMode="External"/><Relationship Id="rId476" Type="http://schemas.openxmlformats.org/officeDocument/2006/relationships/hyperlink" Target="https://github.com/langfuse/langfuse/blob/main/AGENTS.md" TargetMode="External"/><Relationship Id="rId33" Type="http://schemas.openxmlformats.org/officeDocument/2006/relationships/hyperlink" Target="https://github.com/zed-industries/zed/blob/main/CLAUDE.md" TargetMode="External"/><Relationship Id="rId129" Type="http://schemas.openxmlformats.org/officeDocument/2006/relationships/hyperlink" Target="https://github.com/esphome/esphome/blob/main/.github/copilot-instructions.md" TargetMode="External"/><Relationship Id="rId280" Type="http://schemas.openxmlformats.org/officeDocument/2006/relationships/hyperlink" Target="https://github.com/dailydotdev/apps/blob/main/CLAUDE.md" TargetMode="External"/><Relationship Id="rId336" Type="http://schemas.openxmlformats.org/officeDocument/2006/relationships/hyperlink" Target="https://github.com/OneKeyHQ/app-monorepo/blob/master/CLAUDE.md" TargetMode="External"/><Relationship Id="rId501" Type="http://schemas.openxmlformats.org/officeDocument/2006/relationships/table" Target="../tables/table2.xml"/><Relationship Id="rId75" Type="http://schemas.openxmlformats.org/officeDocument/2006/relationships/hyperlink" Target="https://github.com/rustfs/rustfs/blob/main/AGENTS.md" TargetMode="External"/><Relationship Id="rId140" Type="http://schemas.openxmlformats.org/officeDocument/2006/relationships/hyperlink" Target="https://github.com/microsoft/ApplicationInsights-JS/blob/main/.github/copilot-instructions.md" TargetMode="External"/><Relationship Id="rId182" Type="http://schemas.openxmlformats.org/officeDocument/2006/relationships/hyperlink" Target="https://github.com/anyproto/anytype-ts/blob/main/CLAUDE.md" TargetMode="External"/><Relationship Id="rId378" Type="http://schemas.openxmlformats.org/officeDocument/2006/relationships/hyperlink" Target="https://github.com/RchGrav/claudebox/blob/main/CLAUDE.md" TargetMode="External"/><Relationship Id="rId403" Type="http://schemas.openxmlformats.org/officeDocument/2006/relationships/hyperlink" Target="https://github.com/vaadin/flow/blob/main/CLAUDE.md" TargetMode="External"/><Relationship Id="rId6" Type="http://schemas.openxmlformats.org/officeDocument/2006/relationships/hyperlink" Target="https://github.com/steipete/Peekaboo/blob/main/CLAUDE.md" TargetMode="External"/><Relationship Id="rId238" Type="http://schemas.openxmlformats.org/officeDocument/2006/relationships/hyperlink" Target="https://github.com/ajanraj/OpenChat/blob/main/CLAUDE.md" TargetMode="External"/><Relationship Id="rId445" Type="http://schemas.openxmlformats.org/officeDocument/2006/relationships/hyperlink" Target="https://github.com/gitkraken/vscode-gitlens/blob/main/AGENTS.md" TargetMode="External"/><Relationship Id="rId487" Type="http://schemas.openxmlformats.org/officeDocument/2006/relationships/hyperlink" Target="https://github.com/luccahuguet/yazelix/blob/main/AGENTS.md" TargetMode="External"/><Relationship Id="rId291" Type="http://schemas.openxmlformats.org/officeDocument/2006/relationships/hyperlink" Target="https://github.com/geneontology/go-ontology/blob/master/CLAUDE.md" TargetMode="External"/><Relationship Id="rId305" Type="http://schemas.openxmlformats.org/officeDocument/2006/relationships/hyperlink" Target="https://github.com/langchain-ai/langchain/blob/master/CLAUDE.md" TargetMode="External"/><Relationship Id="rId347" Type="http://schemas.openxmlformats.org/officeDocument/2006/relationships/hyperlink" Target="https://github.com/openai/openai-agents-python/blob/main/CLAUDE.md" TargetMode="External"/><Relationship Id="rId44" Type="http://schemas.openxmlformats.org/officeDocument/2006/relationships/hyperlink" Target="https://github.com/CapSoftware/Cap/blob/main/AGENTS.md" TargetMode="External"/><Relationship Id="rId86" Type="http://schemas.openxmlformats.org/officeDocument/2006/relationships/hyperlink" Target="https://github.com/web-infra-dev/rspack/blob/main/AGENTS.md" TargetMode="External"/><Relationship Id="rId151" Type="http://schemas.openxmlformats.org/officeDocument/2006/relationships/hyperlink" Target="https://github.com/NG-ZORRO/ng-zorro-antd/blob/master/.github/copilot-instructions.md" TargetMode="External"/><Relationship Id="rId389" Type="http://schemas.openxmlformats.org/officeDocument/2006/relationships/hyperlink" Target="https://github.com/Southclaws/storyden/blob/main/CLAUDE.md" TargetMode="External"/><Relationship Id="rId193" Type="http://schemas.openxmlformats.org/officeDocument/2006/relationships/hyperlink" Target="https://github.com/zed-industries/zed/blob/main/CLAUDE.md" TargetMode="External"/><Relationship Id="rId207" Type="http://schemas.openxmlformats.org/officeDocument/2006/relationships/hyperlink" Target="https://github.com/owid/owid-grapher/blob/master/.github/copilot-instructions.md" TargetMode="External"/><Relationship Id="rId249" Type="http://schemas.openxmlformats.org/officeDocument/2006/relationships/hyperlink" Target="https://github.com/BerriAI/litellm/blob/main/CLAUDE.md" TargetMode="External"/><Relationship Id="rId414" Type="http://schemas.openxmlformats.org/officeDocument/2006/relationships/hyperlink" Target="https://github.com/biolink/biolink-model/blob/master/AGENTS.md" TargetMode="External"/><Relationship Id="rId456" Type="http://schemas.openxmlformats.org/officeDocument/2006/relationships/hyperlink" Target="https://github.com/JuliaLang/julia/blob/master/AGENTS.md" TargetMode="External"/><Relationship Id="rId498" Type="http://schemas.openxmlformats.org/officeDocument/2006/relationships/hyperlink" Target="https://github.com/luccahuguet/yazelix/blob/main/AGENTS.md" TargetMode="External"/><Relationship Id="rId13" Type="http://schemas.openxmlformats.org/officeDocument/2006/relationships/hyperlink" Target="https://github.com/tphakala/birdnet-go/blob/main/CLAUDE.md" TargetMode="External"/><Relationship Id="rId109" Type="http://schemas.openxmlformats.org/officeDocument/2006/relationships/hyperlink" Target="https://github.com/zenml-io/zenml/blob/main/AGENTS.md" TargetMode="External"/><Relationship Id="rId260" Type="http://schemas.openxmlformats.org/officeDocument/2006/relationships/hyperlink" Target="https://github.com/cloudposse/atmos/blob/main/CLAUDE.md" TargetMode="External"/><Relationship Id="rId316" Type="http://schemas.openxmlformats.org/officeDocument/2006/relationships/hyperlink" Target="https://github.com/lollipopkit/flutter_server_box/blob/main/CLAUDE.md" TargetMode="External"/><Relationship Id="rId55" Type="http://schemas.openxmlformats.org/officeDocument/2006/relationships/hyperlink" Target="https://github.com/gluesql/glues/blob/main/AGENTS.md" TargetMode="External"/><Relationship Id="rId97" Type="http://schemas.openxmlformats.org/officeDocument/2006/relationships/hyperlink" Target="https://github.com/wieslawsoltes/Xaml.Behaviors/blob/master/AGENTS.md" TargetMode="External"/><Relationship Id="rId120" Type="http://schemas.openxmlformats.org/officeDocument/2006/relationships/hyperlink" Target="https://github.com/Azure/azure-sdk-tools/blob/main/.github/copilot-instructions.md" TargetMode="External"/><Relationship Id="rId358" Type="http://schemas.openxmlformats.org/officeDocument/2006/relationships/hyperlink" Target="https://github.com/Pipelex/pipelex/blob/main/CLAUDE.md" TargetMode="External"/><Relationship Id="rId162" Type="http://schemas.openxmlformats.org/officeDocument/2006/relationships/hyperlink" Target="https://github.com/sybrew/the-seo-framework/blob/master/.github/copilot-instructions.md" TargetMode="External"/><Relationship Id="rId218" Type="http://schemas.openxmlformats.org/officeDocument/2006/relationships/hyperlink" Target="https://github.com/useautumn/autumn/blob/main/AGENTS.md" TargetMode="External"/><Relationship Id="rId425" Type="http://schemas.openxmlformats.org/officeDocument/2006/relationships/hyperlink" Target="https://github.com/CapSoftware/Cap/blob/main/AGENTS.md" TargetMode="External"/><Relationship Id="rId467" Type="http://schemas.openxmlformats.org/officeDocument/2006/relationships/hyperlink" Target="https://github.com/kdroidFilter/Platform-Tools/blob/master/AGENTS.md" TargetMode="External"/><Relationship Id="rId271" Type="http://schemas.openxmlformats.org/officeDocument/2006/relationships/hyperlink" Target="https://github.com/coder/coder/blob/main/CLAUDE.md" TargetMode="External"/><Relationship Id="rId24" Type="http://schemas.openxmlformats.org/officeDocument/2006/relationships/hyperlink" Target="https://github.com/wvlet/wvlet/blob/main/CLAUDE.md" TargetMode="External"/><Relationship Id="rId66" Type="http://schemas.openxmlformats.org/officeDocument/2006/relationships/hyperlink" Target="https://github.com/Pipelex/pipelex/blob/main/AGENTS.md" TargetMode="External"/><Relationship Id="rId131" Type="http://schemas.openxmlformats.org/officeDocument/2006/relationships/hyperlink" Target="https://github.com/esphome/esphome/blob/main/.github/copilot-instructions.md" TargetMode="External"/><Relationship Id="rId327" Type="http://schemas.openxmlformats.org/officeDocument/2006/relationships/hyperlink" Target="https://github.com/nrwl/nx/blob/master/CLAUDE.md" TargetMode="External"/><Relationship Id="rId369" Type="http://schemas.openxmlformats.org/officeDocument/2006/relationships/hyperlink" Target="https://github.com/qltysh/qlty/blob/main/CLAUDE.md" TargetMode="External"/><Relationship Id="rId173" Type="http://schemas.openxmlformats.org/officeDocument/2006/relationships/hyperlink" Target="https://github.com/lightdash/lightdash/blob/main/CLAUDE.md" TargetMode="External"/><Relationship Id="rId229" Type="http://schemas.openxmlformats.org/officeDocument/2006/relationships/hyperlink" Target="https://github.com/stepfunc/dnp3/blob/main/CLAUDE.md" TargetMode="External"/><Relationship Id="rId380" Type="http://schemas.openxmlformats.org/officeDocument/2006/relationships/hyperlink" Target="https://github.com/RchGrav/claudebox/blob/main/CLAUDE.md" TargetMode="External"/><Relationship Id="rId436" Type="http://schemas.openxmlformats.org/officeDocument/2006/relationships/hyperlink" Target="https://github.com/commonwarexyz/monorepo/blob/main/AGENTS.md" TargetMode="External"/><Relationship Id="rId240" Type="http://schemas.openxmlformats.org/officeDocument/2006/relationships/hyperlink" Target="https://github.com/angular-eslint/angular-eslint/blob/main/CLAUDE.md" TargetMode="External"/><Relationship Id="rId478" Type="http://schemas.openxmlformats.org/officeDocument/2006/relationships/hyperlink" Target="https://github.com/langfuse/langfuse/blob/main/AGENTS.md" TargetMode="External"/><Relationship Id="rId35" Type="http://schemas.openxmlformats.org/officeDocument/2006/relationships/hyperlink" Target="https://github.com/zenml-io/zenml/blob/main/CLAUDE.md" TargetMode="External"/><Relationship Id="rId77" Type="http://schemas.openxmlformats.org/officeDocument/2006/relationships/hyperlink" Target="https://github.com/rustfs/rustfs/blob/main/AGENTS.md" TargetMode="External"/><Relationship Id="rId100" Type="http://schemas.openxmlformats.org/officeDocument/2006/relationships/hyperlink" Target="https://github.com/wieslawsoltes/Xaml.Behaviors/blob/master/AGENTS.md" TargetMode="External"/><Relationship Id="rId282" Type="http://schemas.openxmlformats.org/officeDocument/2006/relationships/hyperlink" Target="https://github.com/dailydotdev/apps/blob/main/CLAUDE.md" TargetMode="External"/><Relationship Id="rId338" Type="http://schemas.openxmlformats.org/officeDocument/2006/relationships/hyperlink" Target="https://github.com/open-metadata/OpenMetadata/blob/main/CLAUDE.md" TargetMode="External"/><Relationship Id="rId8" Type="http://schemas.openxmlformats.org/officeDocument/2006/relationships/hyperlink" Target="https://github.com/thirdweb-dev/js/blob/main/CLAUDE.md" TargetMode="External"/><Relationship Id="rId142" Type="http://schemas.openxmlformats.org/officeDocument/2006/relationships/hyperlink" Target="https://github.com/microsoft/ApplicationInsights-JS/blob/main/.github/copilot-instructions.md" TargetMode="External"/><Relationship Id="rId184" Type="http://schemas.openxmlformats.org/officeDocument/2006/relationships/hyperlink" Target="https://github.com/zenml-io/zenml/blob/main/CLAUDE.md" TargetMode="External"/><Relationship Id="rId391" Type="http://schemas.openxmlformats.org/officeDocument/2006/relationships/hyperlink" Target="https://github.com/speaches-ai/speaches/blob/master/CLAUDE.md" TargetMode="External"/><Relationship Id="rId405" Type="http://schemas.openxmlformats.org/officeDocument/2006/relationships/hyperlink" Target="https://github.com/xlnfinance/xln/blob/main/CLAUDE.md" TargetMode="External"/><Relationship Id="rId447" Type="http://schemas.openxmlformats.org/officeDocument/2006/relationships/hyperlink" Target="https://github.com/hahwul/dalfox/blob/main/AGENTS.md" TargetMode="External"/><Relationship Id="rId251" Type="http://schemas.openxmlformats.org/officeDocument/2006/relationships/hyperlink" Target="https://github.com/CapSoftware/Cap/blob/main/CLAUDE.md" TargetMode="External"/><Relationship Id="rId489" Type="http://schemas.openxmlformats.org/officeDocument/2006/relationships/hyperlink" Target="https://github.com/luccahuguet/yazelix/blob/main/AGENTS.md" TargetMode="External"/><Relationship Id="rId46" Type="http://schemas.openxmlformats.org/officeDocument/2006/relationships/hyperlink" Target="https://github.com/carverauto/serviceradar/blob/main/AGENTS.md" TargetMode="External"/><Relationship Id="rId293" Type="http://schemas.openxmlformats.org/officeDocument/2006/relationships/hyperlink" Target="https://github.com/getsentry/sentry-cocoa/blob/main/CLAUDE.md" TargetMode="External"/><Relationship Id="rId307" Type="http://schemas.openxmlformats.org/officeDocument/2006/relationships/hyperlink" Target="https://github.com/langchain-ai/langchain/blob/master/CLAUDE.md" TargetMode="External"/><Relationship Id="rId349" Type="http://schemas.openxmlformats.org/officeDocument/2006/relationships/hyperlink" Target="https://github.com/openai/openai-agents-python/blob/main/CLAUDE.md" TargetMode="External"/><Relationship Id="rId88" Type="http://schemas.openxmlformats.org/officeDocument/2006/relationships/hyperlink" Target="https://github.com/wieslawsoltes/Dock/blob/master/AGENTS.md" TargetMode="External"/><Relationship Id="rId111" Type="http://schemas.openxmlformats.org/officeDocument/2006/relationships/hyperlink" Target="https://github.com/Agoric/agoric-sdk/blob/master/.github/copilot-instructions.md" TargetMode="External"/><Relationship Id="rId153" Type="http://schemas.openxmlformats.org/officeDocument/2006/relationships/hyperlink" Target="https://github.com/Open-LLM-VTuber/Open-LLM-VTuber/blob/main/.github/copilot-instructions.md" TargetMode="External"/><Relationship Id="rId195" Type="http://schemas.openxmlformats.org/officeDocument/2006/relationships/hyperlink" Target="https://github.com/dotnet/runtime/blob/main/.github/copilot-instructions.md" TargetMode="External"/><Relationship Id="rId209" Type="http://schemas.openxmlformats.org/officeDocument/2006/relationships/hyperlink" Target="https://github.com/colinhacks/zod/blob/main/CLAUDE.md" TargetMode="External"/><Relationship Id="rId360" Type="http://schemas.openxmlformats.org/officeDocument/2006/relationships/hyperlink" Target="https://github.com/Pipelex/pipelex/blob/main/CLAUDE.md" TargetMode="External"/><Relationship Id="rId416" Type="http://schemas.openxmlformats.org/officeDocument/2006/relationships/hyperlink" Target="https://github.com/bionic-gpt/bionic-gpt/blob/main/AGENTS.md" TargetMode="External"/><Relationship Id="rId220" Type="http://schemas.openxmlformats.org/officeDocument/2006/relationships/hyperlink" Target="https://github.com/cloudposse/atmos/blob/main/CLAUDE.md" TargetMode="External"/><Relationship Id="rId458" Type="http://schemas.openxmlformats.org/officeDocument/2006/relationships/hyperlink" Target="https://github.com/JuliaLang/julia/blob/master/AGENTS.md" TargetMode="External"/><Relationship Id="rId15" Type="http://schemas.openxmlformats.org/officeDocument/2006/relationships/hyperlink" Target="https://github.com/truenas/webui/blob/master/CLAUDE.md" TargetMode="External"/><Relationship Id="rId57" Type="http://schemas.openxmlformats.org/officeDocument/2006/relationships/hyperlink" Target="https://github.com/hahwul/dalfox/blob/main/AGENTS.md" TargetMode="External"/><Relationship Id="rId262" Type="http://schemas.openxmlformats.org/officeDocument/2006/relationships/hyperlink" Target="https://github.com/cockroachdb/cockroach/blob/master/CLAUDE.md" TargetMode="External"/><Relationship Id="rId318" Type="http://schemas.openxmlformats.org/officeDocument/2006/relationships/hyperlink" Target="https://github.com/lostleaf/binance_datatool/blob/main/CLAUDE.md" TargetMode="External"/><Relationship Id="rId99" Type="http://schemas.openxmlformats.org/officeDocument/2006/relationships/hyperlink" Target="https://github.com/wieslawsoltes/Xaml.Behaviors/blob/master/AGENTS.md" TargetMode="External"/><Relationship Id="rId122" Type="http://schemas.openxmlformats.org/officeDocument/2006/relationships/hyperlink" Target="https://github.com/bbc/simorgh/blob/master/.github/copilot-instructions.md" TargetMode="External"/><Relationship Id="rId164" Type="http://schemas.openxmlformats.org/officeDocument/2006/relationships/hyperlink" Target="https://github.com/syntaxfm/website/blob/main/.github/copilot-instructions.md" TargetMode="External"/><Relationship Id="rId371" Type="http://schemas.openxmlformats.org/officeDocument/2006/relationships/hyperlink" Target="https://github.com/quarylabs/sqruff/blob/main/CLAUDE.md" TargetMode="External"/><Relationship Id="rId427" Type="http://schemas.openxmlformats.org/officeDocument/2006/relationships/hyperlink" Target="https://github.com/CapSoftware/Cap/blob/main/AGENTS.md" TargetMode="External"/><Relationship Id="rId469" Type="http://schemas.openxmlformats.org/officeDocument/2006/relationships/hyperlink" Target="https://github.com/langchain-ai/langchain/blob/master/AGENTS.md" TargetMode="External"/><Relationship Id="rId26" Type="http://schemas.openxmlformats.org/officeDocument/2006/relationships/hyperlink" Target="https://github.com/zed-industries/zed/blob/main/CLAUDE.md" TargetMode="External"/><Relationship Id="rId231" Type="http://schemas.openxmlformats.org/officeDocument/2006/relationships/hyperlink" Target="https://github.com/luccahuguet/yazelix/blob/main/AGENTS.md" TargetMode="External"/><Relationship Id="rId273" Type="http://schemas.openxmlformats.org/officeDocument/2006/relationships/hyperlink" Target="https://github.com/colinhacks/zod/blob/main/CLAUDE.md" TargetMode="External"/><Relationship Id="rId329" Type="http://schemas.openxmlformats.org/officeDocument/2006/relationships/hyperlink" Target="https://github.com/obophenotype/uberon/blob/master/CLAUDE.md" TargetMode="External"/><Relationship Id="rId480" Type="http://schemas.openxmlformats.org/officeDocument/2006/relationships/hyperlink" Target="https://github.com/luccahuguet/yazelix/blob/main/AGENTS.md" TargetMode="External"/><Relationship Id="rId68" Type="http://schemas.openxmlformats.org/officeDocument/2006/relationships/hyperlink" Target="https://github.com/PrairieLearn/PrairieLearn/blob/master/AGENTS.md" TargetMode="External"/><Relationship Id="rId133" Type="http://schemas.openxmlformats.org/officeDocument/2006/relationships/hyperlink" Target="https://github.com/github/branch-deploy/blob/main/.github/copilot-instructions.md" TargetMode="External"/><Relationship Id="rId175" Type="http://schemas.openxmlformats.org/officeDocument/2006/relationships/hyperlink" Target="https://github.com/Freika/dawarich/blob/master/CLAUDE.md" TargetMode="External"/><Relationship Id="rId340" Type="http://schemas.openxmlformats.org/officeDocument/2006/relationships/hyperlink" Target="https://github.com/open-metadata/OpenMetadata/blob/main/CLAUDE.md" TargetMode="External"/><Relationship Id="rId200" Type="http://schemas.openxmlformats.org/officeDocument/2006/relationships/hyperlink" Target="https://github.com/owid/etl/blob/master/CLAUDE.md" TargetMode="External"/><Relationship Id="rId382" Type="http://schemas.openxmlformats.org/officeDocument/2006/relationships/hyperlink" Target="https://github.com/RchGrav/claudebox/blob/main/CLAUDE.md" TargetMode="External"/><Relationship Id="rId438" Type="http://schemas.openxmlformats.org/officeDocument/2006/relationships/hyperlink" Target="https://github.com/DannyMac180/meta-agent/blob/main/AGENTS.md" TargetMode="External"/><Relationship Id="rId242" Type="http://schemas.openxmlformats.org/officeDocument/2006/relationships/hyperlink" Target="https://github.com/anyproto/anytype-ts/blob/main/CLAUDE.md" TargetMode="External"/><Relationship Id="rId284" Type="http://schemas.openxmlformats.org/officeDocument/2006/relationships/hyperlink" Target="https://github.com/dailydotdev/apps/blob/main/CLAUDE.md" TargetMode="External"/><Relationship Id="rId491" Type="http://schemas.openxmlformats.org/officeDocument/2006/relationships/hyperlink" Target="https://github.com/luccahuguet/yazelix/blob/main/AGENTS.md" TargetMode="External"/><Relationship Id="rId37" Type="http://schemas.openxmlformats.org/officeDocument/2006/relationships/hyperlink" Target="https://github.com/zenml-io/zenml/blob/main/CLAUDE.md" TargetMode="External"/><Relationship Id="rId79" Type="http://schemas.openxmlformats.org/officeDocument/2006/relationships/hyperlink" Target="https://github.com/rustfs/rustfs/blob/main/AGENTS.md" TargetMode="External"/><Relationship Id="rId102" Type="http://schemas.openxmlformats.org/officeDocument/2006/relationships/hyperlink" Target="https://github.com/wieslawsoltes/Xaml.Behaviors/blob/master/AGENTS.md" TargetMode="External"/><Relationship Id="rId144" Type="http://schemas.openxmlformats.org/officeDocument/2006/relationships/hyperlink" Target="https://github.com/microsoft/GSL/blob/main/.github/copilot-instructions.md" TargetMode="External"/><Relationship Id="rId90" Type="http://schemas.openxmlformats.org/officeDocument/2006/relationships/hyperlink" Target="https://github.com/wieslawsoltes/Dock/blob/master/AGENTS.md" TargetMode="External"/><Relationship Id="rId186" Type="http://schemas.openxmlformats.org/officeDocument/2006/relationships/hyperlink" Target="https://github.com/Zaki-1052/GPTPortal/blob/main/AGENTS.md" TargetMode="External"/><Relationship Id="rId351" Type="http://schemas.openxmlformats.org/officeDocument/2006/relationships/hyperlink" Target="https://github.com/paradigmxyz/reth/blob/main/CLAUDE.md" TargetMode="External"/><Relationship Id="rId393" Type="http://schemas.openxmlformats.org/officeDocument/2006/relationships/hyperlink" Target="https://github.com/theopenco/llmgateway/blob/main/CLAUDE.md" TargetMode="External"/><Relationship Id="rId407" Type="http://schemas.openxmlformats.org/officeDocument/2006/relationships/hyperlink" Target="https://github.com/zenml-io/zenml/blob/main/CLAUDE.md" TargetMode="External"/><Relationship Id="rId449" Type="http://schemas.openxmlformats.org/officeDocument/2006/relationships/hyperlink" Target="https://github.com/herbie-fp/herbie/blob/main/AGENTS.md" TargetMode="External"/><Relationship Id="rId211" Type="http://schemas.openxmlformats.org/officeDocument/2006/relationships/hyperlink" Target="https://github.com/carverauto/serviceradar/blob/main/AGENTS.md" TargetMode="External"/><Relationship Id="rId253" Type="http://schemas.openxmlformats.org/officeDocument/2006/relationships/hyperlink" Target="https://github.com/CapSoftware/Cap/blob/main/CLAUDE.md" TargetMode="External"/><Relationship Id="rId295" Type="http://schemas.openxmlformats.org/officeDocument/2006/relationships/hyperlink" Target="https://github.com/getsentry/vitest-evals/blob/main/CLAUDE.md" TargetMode="External"/><Relationship Id="rId309" Type="http://schemas.openxmlformats.org/officeDocument/2006/relationships/hyperlink" Target="https://github.com/langchain-ai/langchain/blob/master/CLAUDE.md" TargetMode="External"/><Relationship Id="rId460" Type="http://schemas.openxmlformats.org/officeDocument/2006/relationships/hyperlink" Target="https://github.com/JuliaLang/julia/blob/master/AGENTS.md" TargetMode="External"/><Relationship Id="rId48" Type="http://schemas.openxmlformats.org/officeDocument/2006/relationships/hyperlink" Target="https://github.com/commonwarexyz/monorepo/blob/main/AGENTS.md" TargetMode="External"/><Relationship Id="rId113" Type="http://schemas.openxmlformats.org/officeDocument/2006/relationships/hyperlink" Target="https://github.com/Azure/AgentBaker/blob/main/.github/copilot-instructions.md" TargetMode="External"/><Relationship Id="rId320" Type="http://schemas.openxmlformats.org/officeDocument/2006/relationships/hyperlink" Target="https://github.com/netdata/netdata/blob/master/CLAUDE.md" TargetMode="External"/><Relationship Id="rId155" Type="http://schemas.openxmlformats.org/officeDocument/2006/relationships/hyperlink" Target="https://github.com/owid/owid-grapher/blob/master/.github/copilot-instructions.md" TargetMode="External"/><Relationship Id="rId197" Type="http://schemas.openxmlformats.org/officeDocument/2006/relationships/hyperlink" Target="https://github.com/BerriAI/litellm/blob/main/CLAUDE.md" TargetMode="External"/><Relationship Id="rId362" Type="http://schemas.openxmlformats.org/officeDocument/2006/relationships/hyperlink" Target="https://github.com/Pipelex/pipelex/blob/main/CLAUDE.md" TargetMode="External"/><Relationship Id="rId418" Type="http://schemas.openxmlformats.org/officeDocument/2006/relationships/hyperlink" Target="https://github.com/BoldGrid/w3-total-cache/blob/master/AGENTS.md" TargetMode="External"/><Relationship Id="rId222" Type="http://schemas.openxmlformats.org/officeDocument/2006/relationships/hyperlink" Target="https://github.com/getsentry/sentry-cocoa/blob/main/CLAUDE.md" TargetMode="External"/><Relationship Id="rId264" Type="http://schemas.openxmlformats.org/officeDocument/2006/relationships/hyperlink" Target="https://github.com/cockroachdb/cockroach/blob/master/CLAUDE.md" TargetMode="External"/><Relationship Id="rId471" Type="http://schemas.openxmlformats.org/officeDocument/2006/relationships/hyperlink" Target="https://github.com/langchain-ai/langchain/blob/master/AGENTS.md" TargetMode="External"/><Relationship Id="rId17" Type="http://schemas.openxmlformats.org/officeDocument/2006/relationships/hyperlink" Target="https://github.com/wolfi-dev/os/blob/main/CLAUDE.md" TargetMode="External"/><Relationship Id="rId59" Type="http://schemas.openxmlformats.org/officeDocument/2006/relationships/hyperlink" Target="https://github.com/johnlindquist/kit/blob/main/AGENTS.md" TargetMode="External"/><Relationship Id="rId124" Type="http://schemas.openxmlformats.org/officeDocument/2006/relationships/hyperlink" Target="https://github.com/dotnet/docs-aspire/blob/main/.github/copilot-instructions.md" TargetMode="External"/><Relationship Id="rId70" Type="http://schemas.openxmlformats.org/officeDocument/2006/relationships/hyperlink" Target="https://github.com/RSSNext/Folo/blob/main/AGENTS.md" TargetMode="External"/><Relationship Id="rId166" Type="http://schemas.openxmlformats.org/officeDocument/2006/relationships/hyperlink" Target="https://github.com/triggerdotdev/trigger.dev/blob/main/.github/copilot-instructions.md" TargetMode="External"/><Relationship Id="rId331" Type="http://schemas.openxmlformats.org/officeDocument/2006/relationships/hyperlink" Target="https://github.com/OlympiaAI/raix/blob/main/CLAUDE.md" TargetMode="External"/><Relationship Id="rId373" Type="http://schemas.openxmlformats.org/officeDocument/2006/relationships/hyperlink" Target="https://github.com/RchGrav/claudebox/blob/main/CLAUDE.md" TargetMode="External"/><Relationship Id="rId429" Type="http://schemas.openxmlformats.org/officeDocument/2006/relationships/hyperlink" Target="https://github.com/carverauto/serviceradar/blob/main/AGENTS.md" TargetMode="External"/><Relationship Id="rId1" Type="http://schemas.openxmlformats.org/officeDocument/2006/relationships/hyperlink" Target="https://github.com/saleor/saleor/blob/main/CLAUDE.md" TargetMode="External"/><Relationship Id="rId233" Type="http://schemas.openxmlformats.org/officeDocument/2006/relationships/hyperlink" Target="https://github.com/microsoft/TypeScript/blob/main/.github/copilot-instructions.md" TargetMode="External"/><Relationship Id="rId440" Type="http://schemas.openxmlformats.org/officeDocument/2006/relationships/hyperlink" Target="https://github.com/elamperti/OpenWebScrobbler/blob/main/AGENTS.md" TargetMode="External"/><Relationship Id="rId28" Type="http://schemas.openxmlformats.org/officeDocument/2006/relationships/hyperlink" Target="https://github.com/zed-industries/zed/blob/main/CLAUDE.md" TargetMode="External"/><Relationship Id="rId275" Type="http://schemas.openxmlformats.org/officeDocument/2006/relationships/hyperlink" Target="https://github.com/colinhacks/zod/blob/main/CLAUDE.md" TargetMode="External"/><Relationship Id="rId300" Type="http://schemas.openxmlformats.org/officeDocument/2006/relationships/hyperlink" Target="https://github.com/home-assistant/frontend/blob/master/CLAUDE.md" TargetMode="External"/><Relationship Id="rId482" Type="http://schemas.openxmlformats.org/officeDocument/2006/relationships/hyperlink" Target="https://github.com/luccahuguet/yazelix/blob/main/AGENTS.md" TargetMode="External"/><Relationship Id="rId81" Type="http://schemas.openxmlformats.org/officeDocument/2006/relationships/hyperlink" Target="https://github.com/seasonedcc/remix-forms/blob/main/AGENTS.md" TargetMode="External"/><Relationship Id="rId135" Type="http://schemas.openxmlformats.org/officeDocument/2006/relationships/hyperlink" Target="https://github.com/microsoft/ApplicationInsights-JS/blob/main/.github/copilot-instructions.md" TargetMode="External"/><Relationship Id="rId177" Type="http://schemas.openxmlformats.org/officeDocument/2006/relationships/hyperlink" Target="https://github.com/microsoft/ApplicationInsights-JS/blob/main/.github/copilot-instructions.md" TargetMode="External"/><Relationship Id="rId342" Type="http://schemas.openxmlformats.org/officeDocument/2006/relationships/hyperlink" Target="https://github.com/open-metadata/OpenMetadata/blob/main/CLAUDE.md" TargetMode="External"/><Relationship Id="rId384" Type="http://schemas.openxmlformats.org/officeDocument/2006/relationships/hyperlink" Target="https://github.com/saleor/apps/blob/main/CLAUDE.md" TargetMode="External"/><Relationship Id="rId202" Type="http://schemas.openxmlformats.org/officeDocument/2006/relationships/hyperlink" Target="https://github.com/thirdweb-dev/js/blob/main/CLAUDE.md" TargetMode="External"/><Relationship Id="rId244" Type="http://schemas.openxmlformats.org/officeDocument/2006/relationships/hyperlink" Target="https://github.com/Azure/LogicAppsUX/blob/main/CLAUDE.md" TargetMode="External"/><Relationship Id="rId39" Type="http://schemas.openxmlformats.org/officeDocument/2006/relationships/hyperlink" Target="https://github.com/zenml-io/zenml/blob/main/CLAUDE.md" TargetMode="External"/><Relationship Id="rId286" Type="http://schemas.openxmlformats.org/officeDocument/2006/relationships/hyperlink" Target="https://github.com/dailydotdev/apps/blob/main/CLAUDE.md" TargetMode="External"/><Relationship Id="rId451" Type="http://schemas.openxmlformats.org/officeDocument/2006/relationships/hyperlink" Target="https://github.com/herbie-fp/herbie/blob/main/AGENTS.md" TargetMode="External"/><Relationship Id="rId493" Type="http://schemas.openxmlformats.org/officeDocument/2006/relationships/hyperlink" Target="https://github.com/luccahuguet/yazelix/blob/main/AGENTS.md" TargetMode="External"/><Relationship Id="rId50" Type="http://schemas.openxmlformats.org/officeDocument/2006/relationships/hyperlink" Target="https://github.com/DannyMac180/meta-agent/blob/main/AGENTS.md" TargetMode="External"/><Relationship Id="rId104" Type="http://schemas.openxmlformats.org/officeDocument/2006/relationships/hyperlink" Target="https://github.com/yoshiko-pg/difit/blob/main/AGENTS.md" TargetMode="External"/><Relationship Id="rId146" Type="http://schemas.openxmlformats.org/officeDocument/2006/relationships/hyperlink" Target="https://github.com/microsoft/react-native-windows/blob/main/.github/copilot-instructions.md" TargetMode="External"/><Relationship Id="rId188" Type="http://schemas.openxmlformats.org/officeDocument/2006/relationships/hyperlink" Target="https://github.com/johnlindquist/kit/blob/main/AGENTS.md" TargetMode="External"/><Relationship Id="rId311" Type="http://schemas.openxmlformats.org/officeDocument/2006/relationships/hyperlink" Target="https://github.com/lgallard/terraform-aws-backup/blob/master/CLAUDE.md" TargetMode="External"/><Relationship Id="rId353" Type="http://schemas.openxmlformats.org/officeDocument/2006/relationships/hyperlink" Target="https://github.com/Pipelex/pipelex/blob/main/CLAUDE.md" TargetMode="External"/><Relationship Id="rId395" Type="http://schemas.openxmlformats.org/officeDocument/2006/relationships/hyperlink" Target="https://github.com/theopenco/llmgateway/blob/main/CLAUDE.md" TargetMode="External"/><Relationship Id="rId409" Type="http://schemas.openxmlformats.org/officeDocument/2006/relationships/hyperlink" Target="https://github.com/alchemiststudiosDOTai/tunacode/blob/master/AGENTS.md" TargetMode="External"/><Relationship Id="rId92" Type="http://schemas.openxmlformats.org/officeDocument/2006/relationships/hyperlink" Target="https://github.com/wieslawsoltes/Dock/blob/master/AGENTS.md" TargetMode="External"/><Relationship Id="rId213" Type="http://schemas.openxmlformats.org/officeDocument/2006/relationships/hyperlink" Target="https://github.com/public-ui/kolibri/blob/master/AGENTS.md" TargetMode="External"/><Relationship Id="rId420" Type="http://schemas.openxmlformats.org/officeDocument/2006/relationships/hyperlink" Target="https://github.com/BoldGrid/w3-total-cache/blob/master/AGENTS.md" TargetMode="External"/><Relationship Id="rId255" Type="http://schemas.openxmlformats.org/officeDocument/2006/relationships/hyperlink" Target="https://github.com/CapSoftware/Cap/blob/main/CLAUDE.md" TargetMode="External"/><Relationship Id="rId297" Type="http://schemas.openxmlformats.org/officeDocument/2006/relationships/hyperlink" Target="https://github.com/hashintel/hash/blob/main/CLAUDE.md" TargetMode="External"/><Relationship Id="rId462" Type="http://schemas.openxmlformats.org/officeDocument/2006/relationships/hyperlink" Target="https://github.com/JuliaLang/julia/blob/master/AGENTS.md" TargetMode="External"/><Relationship Id="rId115" Type="http://schemas.openxmlformats.org/officeDocument/2006/relationships/hyperlink" Target="https://github.com/Azure/AgentBaker/blob/main/.github/copilot-instructions.md" TargetMode="External"/><Relationship Id="rId157" Type="http://schemas.openxmlformats.org/officeDocument/2006/relationships/hyperlink" Target="https://github.com/raycast/extensions/blob/main/.github/copilot-instructions.md" TargetMode="External"/><Relationship Id="rId322" Type="http://schemas.openxmlformats.org/officeDocument/2006/relationships/hyperlink" Target="https://github.com/netdata/netdata/blob/master/CLAUDE.md" TargetMode="External"/><Relationship Id="rId364" Type="http://schemas.openxmlformats.org/officeDocument/2006/relationships/hyperlink" Target="https://github.com/princeton-pli/hal-harness/blob/main/CLAUDE.md" TargetMode="External"/><Relationship Id="rId61" Type="http://schemas.openxmlformats.org/officeDocument/2006/relationships/hyperlink" Target="https://github.com/luccahuguet/yazelix/blob/main/AGENTS.md" TargetMode="External"/><Relationship Id="rId199" Type="http://schemas.openxmlformats.org/officeDocument/2006/relationships/hyperlink" Target="https://github.com/Freika/dawarich/blob/master/CLAUDE.md" TargetMode="External"/><Relationship Id="rId19" Type="http://schemas.openxmlformats.org/officeDocument/2006/relationships/hyperlink" Target="https://github.com/wvlet/airframe/blob/main/CLAUDE.md" TargetMode="External"/><Relationship Id="rId224" Type="http://schemas.openxmlformats.org/officeDocument/2006/relationships/hyperlink" Target="https://github.com/microsoft/typespec/blob/main/.github/copilot-instructions.md" TargetMode="External"/><Relationship Id="rId266" Type="http://schemas.openxmlformats.org/officeDocument/2006/relationships/hyperlink" Target="https://github.com/coder/coder/blob/main/CLAUDE.md" TargetMode="External"/><Relationship Id="rId431" Type="http://schemas.openxmlformats.org/officeDocument/2006/relationships/hyperlink" Target="https://github.com/commonwarexyz/monorepo/blob/main/AGENTS.md" TargetMode="External"/><Relationship Id="rId473" Type="http://schemas.openxmlformats.org/officeDocument/2006/relationships/hyperlink" Target="https://github.com/langchain-ai/langchain/blob/master/AGENTS.md" TargetMode="External"/><Relationship Id="rId30" Type="http://schemas.openxmlformats.org/officeDocument/2006/relationships/hyperlink" Target="https://github.com/zed-industries/zed/blob/main/CLAUDE.md" TargetMode="External"/><Relationship Id="rId126" Type="http://schemas.openxmlformats.org/officeDocument/2006/relationships/hyperlink" Target="https://github.com/dotnet/sdk/blob/main/.github/copilot-instructions.md" TargetMode="External"/><Relationship Id="rId168" Type="http://schemas.openxmlformats.org/officeDocument/2006/relationships/hyperlink" Target="https://github.com/wvlet/airframe/blob/main/.github/copilot-instructions.md" TargetMode="External"/><Relationship Id="rId333" Type="http://schemas.openxmlformats.org/officeDocument/2006/relationships/hyperlink" Target="https://github.com/OneKeyHQ/app-monorepo/blob/master/CLAUDE.md" TargetMode="External"/><Relationship Id="rId72" Type="http://schemas.openxmlformats.org/officeDocument/2006/relationships/hyperlink" Target="https://github.com/RSSNext/Folo/blob/main/AGENTS.md" TargetMode="External"/><Relationship Id="rId375" Type="http://schemas.openxmlformats.org/officeDocument/2006/relationships/hyperlink" Target="https://github.com/RchGrav/claudebox/blob/main/CLAUDE.md" TargetMode="External"/><Relationship Id="rId3" Type="http://schemas.openxmlformats.org/officeDocument/2006/relationships/hyperlink" Target="https://github.com/spylang/spy/blob/main/CLAUDE.md" TargetMode="External"/><Relationship Id="rId235" Type="http://schemas.openxmlformats.org/officeDocument/2006/relationships/hyperlink" Target="https://github.com/ajanraj/OpenChat/blob/main/CLAUDE.md" TargetMode="External"/><Relationship Id="rId277" Type="http://schemas.openxmlformats.org/officeDocument/2006/relationships/hyperlink" Target="https://github.com/Comfy-Org/comfy-claude-prompt-library/blob/master/CLAUDE.md" TargetMode="External"/><Relationship Id="rId400" Type="http://schemas.openxmlformats.org/officeDocument/2006/relationships/hyperlink" Target="https://github.com/truenas/webui/blob/master/CLAUDE.md" TargetMode="External"/><Relationship Id="rId442" Type="http://schemas.openxmlformats.org/officeDocument/2006/relationships/hyperlink" Target="https://github.com/fujiapple852/trippy/blob/master/AGENTS.md" TargetMode="External"/><Relationship Id="rId484" Type="http://schemas.openxmlformats.org/officeDocument/2006/relationships/hyperlink" Target="https://github.com/luccahuguet/yazelix/blob/main/AGENTS.md" TargetMode="External"/><Relationship Id="rId137" Type="http://schemas.openxmlformats.org/officeDocument/2006/relationships/hyperlink" Target="https://github.com/microsoft/ApplicationInsights-JS/blob/main/.github/copilot-instructions.md" TargetMode="External"/><Relationship Id="rId302" Type="http://schemas.openxmlformats.org/officeDocument/2006/relationships/hyperlink" Target="https://github.com/J-Tech-Japan/Sekiban/blob/main/CLAUDE.md" TargetMode="External"/><Relationship Id="rId344" Type="http://schemas.openxmlformats.org/officeDocument/2006/relationships/hyperlink" Target="https://github.com/open-metadata/OpenMetadata/blob/main/CLAUDE.md" TargetMode="External"/><Relationship Id="rId41" Type="http://schemas.openxmlformats.org/officeDocument/2006/relationships/hyperlink" Target="https://github.com/Azure-Samples/serverless-chat-langchainjs/blob/main/AGENTS.md" TargetMode="External"/><Relationship Id="rId83" Type="http://schemas.openxmlformats.org/officeDocument/2006/relationships/hyperlink" Target="https://github.com/stack-auth/stack-auth/blob/main/AGENTS.md" TargetMode="External"/><Relationship Id="rId179" Type="http://schemas.openxmlformats.org/officeDocument/2006/relationships/hyperlink" Target="https://github.com/Azure/AgentBaker/blob/main/.github/copilot-instructions.md" TargetMode="External"/><Relationship Id="rId386" Type="http://schemas.openxmlformats.org/officeDocument/2006/relationships/hyperlink" Target="https://github.com/saleor/saleor/blob/main/CLAUDE.md" TargetMode="External"/><Relationship Id="rId190" Type="http://schemas.openxmlformats.org/officeDocument/2006/relationships/hyperlink" Target="https://github.com/ArcInstitute/SRAgent/blob/main/AGENTS.md" TargetMode="External"/><Relationship Id="rId204" Type="http://schemas.openxmlformats.org/officeDocument/2006/relationships/hyperlink" Target="https://github.com/elamperti/OpenWebScrobbler/blob/main/AGENTS.md" TargetMode="External"/><Relationship Id="rId246" Type="http://schemas.openxmlformats.org/officeDocument/2006/relationships/hyperlink" Target="https://github.com/BerriAI/litellm/blob/main/CLAUDE.md" TargetMode="External"/><Relationship Id="rId288" Type="http://schemas.openxmlformats.org/officeDocument/2006/relationships/hyperlink" Target="https://github.com/dailydotdev/apps/blob/main/CLAUDE.md" TargetMode="External"/><Relationship Id="rId411" Type="http://schemas.openxmlformats.org/officeDocument/2006/relationships/hyperlink" Target="https://github.com/alchemiststudiosDOTai/tunacode/blob/master/AGENTS.md" TargetMode="External"/><Relationship Id="rId453" Type="http://schemas.openxmlformats.org/officeDocument/2006/relationships/hyperlink" Target="https://github.com/jaredsburrows/android-gif-search/blob/master/AGENTS.md" TargetMode="External"/><Relationship Id="rId106" Type="http://schemas.openxmlformats.org/officeDocument/2006/relationships/hyperlink" Target="https://github.com/zenml-io/zenml/blob/main/AGENTS.md" TargetMode="External"/><Relationship Id="rId313" Type="http://schemas.openxmlformats.org/officeDocument/2006/relationships/hyperlink" Target="https://github.com/lightdash/lightdash/blob/main/CLAUDE.md" TargetMode="External"/><Relationship Id="rId495" Type="http://schemas.openxmlformats.org/officeDocument/2006/relationships/hyperlink" Target="https://github.com/luccahuguet/yazelix/blob/main/AGENTS.md"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github.com/Azure/AgentBaker/blob/main/.github/copilot-instructions.md" TargetMode="External"/><Relationship Id="rId299" Type="http://schemas.openxmlformats.org/officeDocument/2006/relationships/hyperlink" Target="https://github.com/home-assistant/frontend/blob/master/CLAUDE.md" TargetMode="External"/><Relationship Id="rId21" Type="http://schemas.openxmlformats.org/officeDocument/2006/relationships/hyperlink" Target="https://github.com/wvlet/wvlet/blob/main/CLAUDE.md" TargetMode="External"/><Relationship Id="rId63" Type="http://schemas.openxmlformats.org/officeDocument/2006/relationships/hyperlink" Target="https://github.com/luccahuguet/yazelix/blob/main/AGENTS.md" TargetMode="External"/><Relationship Id="rId159" Type="http://schemas.openxmlformats.org/officeDocument/2006/relationships/hyperlink" Target="https://github.com/SparkDevNetwork/Rock/blob/master/.github/copilot-instructions.md" TargetMode="External"/><Relationship Id="rId324" Type="http://schemas.openxmlformats.org/officeDocument/2006/relationships/hyperlink" Target="https://github.com/netdata/netdata/blob/master/CLAUDE.md" TargetMode="External"/><Relationship Id="rId366" Type="http://schemas.openxmlformats.org/officeDocument/2006/relationships/hyperlink" Target="https://github.com/qltysh/qlty/blob/main/CLAUDE.md" TargetMode="External"/><Relationship Id="rId170" Type="http://schemas.openxmlformats.org/officeDocument/2006/relationships/hyperlink" Target="https://github.com/zwave-js/zwave-js-ui/blob/master/.github/copilot-instructions.md" TargetMode="External"/><Relationship Id="rId226" Type="http://schemas.openxmlformats.org/officeDocument/2006/relationships/hyperlink" Target="https://github.com/RchGrav/claudebox/blob/main/CLAUDE.md" TargetMode="External"/><Relationship Id="rId433" Type="http://schemas.openxmlformats.org/officeDocument/2006/relationships/hyperlink" Target="https://github.com/commonwarexyz/monorepo/blob/main/AGENTS.md" TargetMode="External"/><Relationship Id="rId268" Type="http://schemas.openxmlformats.org/officeDocument/2006/relationships/hyperlink" Target="https://github.com/coder/coder/blob/main/CLAUDE.md" TargetMode="External"/><Relationship Id="rId475" Type="http://schemas.openxmlformats.org/officeDocument/2006/relationships/hyperlink" Target="https://github.com/langfuse/langfuse/blob/main/AGENTS.md" TargetMode="External"/><Relationship Id="rId32" Type="http://schemas.openxmlformats.org/officeDocument/2006/relationships/hyperlink" Target="https://github.com/zed-industries/zed/blob/main/CLAUDE.md" TargetMode="External"/><Relationship Id="rId74" Type="http://schemas.openxmlformats.org/officeDocument/2006/relationships/hyperlink" Target="https://github.com/RSSNext/Folo/blob/main/AGENTS.md" TargetMode="External"/><Relationship Id="rId128" Type="http://schemas.openxmlformats.org/officeDocument/2006/relationships/hyperlink" Target="https://github.com/esphome/esphome/blob/main/.github/copilot-instructions.md" TargetMode="External"/><Relationship Id="rId335" Type="http://schemas.openxmlformats.org/officeDocument/2006/relationships/hyperlink" Target="https://github.com/OneKeyHQ/app-monorepo/blob/master/CLAUDE.md" TargetMode="External"/><Relationship Id="rId377" Type="http://schemas.openxmlformats.org/officeDocument/2006/relationships/hyperlink" Target="https://github.com/RchGrav/claudebox/blob/main/CLAUDE.md" TargetMode="External"/><Relationship Id="rId500" Type="http://schemas.openxmlformats.org/officeDocument/2006/relationships/hyperlink" Target="https://github.com/marin-community/marin/blob/main/AGENTS.md" TargetMode="External"/><Relationship Id="rId5" Type="http://schemas.openxmlformats.org/officeDocument/2006/relationships/hyperlink" Target="https://github.com/steipete/Peekaboo/blob/main/CLAUDE.md" TargetMode="External"/><Relationship Id="rId181" Type="http://schemas.openxmlformats.org/officeDocument/2006/relationships/hyperlink" Target="https://github.com/humanwhocodes/crosspost/blob/main/.github/copilot-instructions.md" TargetMode="External"/><Relationship Id="rId237" Type="http://schemas.openxmlformats.org/officeDocument/2006/relationships/hyperlink" Target="https://github.com/ajanraj/OpenChat/blob/main/CLAUDE.md" TargetMode="External"/><Relationship Id="rId402" Type="http://schemas.openxmlformats.org/officeDocument/2006/relationships/hyperlink" Target="https://github.com/twentyhq/twenty/blob/main/CLAUDE.md" TargetMode="External"/><Relationship Id="rId279" Type="http://schemas.openxmlformats.org/officeDocument/2006/relationships/hyperlink" Target="https://github.com/dailydotdev/apps/blob/main/CLAUDE.md" TargetMode="External"/><Relationship Id="rId444" Type="http://schemas.openxmlformats.org/officeDocument/2006/relationships/hyperlink" Target="https://github.com/gitkraken/vscode-gitlens/blob/main/AGENTS.md" TargetMode="External"/><Relationship Id="rId486" Type="http://schemas.openxmlformats.org/officeDocument/2006/relationships/hyperlink" Target="https://github.com/luccahuguet/yazelix/blob/main/AGENTS.md" TargetMode="External"/><Relationship Id="rId43" Type="http://schemas.openxmlformats.org/officeDocument/2006/relationships/hyperlink" Target="https://github.com/bruin-data/bruin/blob/main/AGENTS.md" TargetMode="External"/><Relationship Id="rId139" Type="http://schemas.openxmlformats.org/officeDocument/2006/relationships/hyperlink" Target="https://github.com/microsoft/ApplicationInsights-JS/blob/main/.github/copilot-instructions.md" TargetMode="External"/><Relationship Id="rId290" Type="http://schemas.openxmlformats.org/officeDocument/2006/relationships/hyperlink" Target="https://github.com/dropseed/plain/blob/main/CLAUDE.md" TargetMode="External"/><Relationship Id="rId304" Type="http://schemas.openxmlformats.org/officeDocument/2006/relationships/hyperlink" Target="https://github.com/langchain-ai/langchain/blob/master/CLAUDE.md" TargetMode="External"/><Relationship Id="rId346" Type="http://schemas.openxmlformats.org/officeDocument/2006/relationships/hyperlink" Target="https://github.com/openai/openai-agents-python/blob/main/CLAUDE.md" TargetMode="External"/><Relationship Id="rId388" Type="http://schemas.openxmlformats.org/officeDocument/2006/relationships/hyperlink" Target="https://github.com/saleor/saleor/blob/main/CLAUDE.md" TargetMode="External"/><Relationship Id="rId85" Type="http://schemas.openxmlformats.org/officeDocument/2006/relationships/hyperlink" Target="https://github.com/useautumn/autumn/blob/main/AGENTS.md" TargetMode="External"/><Relationship Id="rId150" Type="http://schemas.openxmlformats.org/officeDocument/2006/relationships/hyperlink" Target="https://github.com/NG-ZORRO/ng-zorro-antd/blob/master/.github/copilot-instructions.md" TargetMode="External"/><Relationship Id="rId192" Type="http://schemas.openxmlformats.org/officeDocument/2006/relationships/hyperlink" Target="https://github.com/zed-industries/zed/blob/main/CLAUDE.md" TargetMode="External"/><Relationship Id="rId206" Type="http://schemas.openxmlformats.org/officeDocument/2006/relationships/hyperlink" Target="https://github.com/octgn/OCTGN/blob/master/.github/copilot-instructions.md" TargetMode="External"/><Relationship Id="rId413" Type="http://schemas.openxmlformats.org/officeDocument/2006/relationships/hyperlink" Target="https://github.com/biolink/biolink-model/blob/master/AGENTS.md" TargetMode="External"/><Relationship Id="rId248" Type="http://schemas.openxmlformats.org/officeDocument/2006/relationships/hyperlink" Target="https://github.com/BerriAI/litellm/blob/main/CLAUDE.md" TargetMode="External"/><Relationship Id="rId455" Type="http://schemas.openxmlformats.org/officeDocument/2006/relationships/hyperlink" Target="https://github.com/julep-ai/julep/blob/main/AGENTS.md" TargetMode="External"/><Relationship Id="rId497" Type="http://schemas.openxmlformats.org/officeDocument/2006/relationships/hyperlink" Target="https://github.com/luccahuguet/yazelix/blob/main/AGENTS.md" TargetMode="External"/><Relationship Id="rId12" Type="http://schemas.openxmlformats.org/officeDocument/2006/relationships/hyperlink" Target="https://github.com/thirdweb-dev/js/blob/main/CLAUDE.md" TargetMode="External"/><Relationship Id="rId108" Type="http://schemas.openxmlformats.org/officeDocument/2006/relationships/hyperlink" Target="https://github.com/zenml-io/zenml/blob/main/AGENTS.md" TargetMode="External"/><Relationship Id="rId315" Type="http://schemas.openxmlformats.org/officeDocument/2006/relationships/hyperlink" Target="https://github.com/lollipopkit/flutter_server_box/blob/main/CLAUDE.md" TargetMode="External"/><Relationship Id="rId357" Type="http://schemas.openxmlformats.org/officeDocument/2006/relationships/hyperlink" Target="https://github.com/Pipelex/pipelex/blob/main/CLAUDE.md" TargetMode="External"/><Relationship Id="rId54" Type="http://schemas.openxmlformats.org/officeDocument/2006/relationships/hyperlink" Target="https://github.com/ESPresense/ESPresense-companion/blob/main/AGENTS.md" TargetMode="External"/><Relationship Id="rId96" Type="http://schemas.openxmlformats.org/officeDocument/2006/relationships/hyperlink" Target="https://github.com/wieslawsoltes/Xaml.Behaviors/blob/master/AGENTS.md" TargetMode="External"/><Relationship Id="rId161" Type="http://schemas.openxmlformats.org/officeDocument/2006/relationships/hyperlink" Target="https://github.com/sybrew/the-seo-framework/blob/master/.github/copilot-instructions.md" TargetMode="External"/><Relationship Id="rId217" Type="http://schemas.openxmlformats.org/officeDocument/2006/relationships/hyperlink" Target="https://github.com/RchGrav/claudebox/blob/main/CLAUDE.md" TargetMode="External"/><Relationship Id="rId399" Type="http://schemas.openxmlformats.org/officeDocument/2006/relationships/hyperlink" Target="https://github.com/thirdweb-dev/js/blob/main/CLAUDE.md" TargetMode="External"/><Relationship Id="rId259" Type="http://schemas.openxmlformats.org/officeDocument/2006/relationships/hyperlink" Target="https://github.com/clidey/dory/blob/main/CLAUDE.md" TargetMode="External"/><Relationship Id="rId424" Type="http://schemas.openxmlformats.org/officeDocument/2006/relationships/hyperlink" Target="https://github.com/CapSoftware/Cap/blob/main/AGENTS.md" TargetMode="External"/><Relationship Id="rId466" Type="http://schemas.openxmlformats.org/officeDocument/2006/relationships/hyperlink" Target="https://github.com/katspaugh/wavesurfer.js/blob/main/AGENTS.md" TargetMode="External"/><Relationship Id="rId23" Type="http://schemas.openxmlformats.org/officeDocument/2006/relationships/hyperlink" Target="https://github.com/wvlet/wvlet/blob/main/CLAUDE.md" TargetMode="External"/><Relationship Id="rId119" Type="http://schemas.openxmlformats.org/officeDocument/2006/relationships/hyperlink" Target="https://github.com/Azure/AgentBaker/blob/main/.github/copilot-instructions.md" TargetMode="External"/><Relationship Id="rId270" Type="http://schemas.openxmlformats.org/officeDocument/2006/relationships/hyperlink" Target="https://github.com/coder/coder/blob/main/CLAUDE.md" TargetMode="External"/><Relationship Id="rId326" Type="http://schemas.openxmlformats.org/officeDocument/2006/relationships/hyperlink" Target="https://github.com/netdata/netdata/blob/master/CLAUDE.md" TargetMode="External"/><Relationship Id="rId65" Type="http://schemas.openxmlformats.org/officeDocument/2006/relationships/hyperlink" Target="https://github.com/Pipelex/pipelex/blob/main/AGENTS.md" TargetMode="External"/><Relationship Id="rId130" Type="http://schemas.openxmlformats.org/officeDocument/2006/relationships/hyperlink" Target="https://github.com/esphome/esphome/blob/main/.github/copilot-instructions.md" TargetMode="External"/><Relationship Id="rId368" Type="http://schemas.openxmlformats.org/officeDocument/2006/relationships/hyperlink" Target="https://github.com/qltysh/qlty/blob/main/CLAUDE.md" TargetMode="External"/><Relationship Id="rId172" Type="http://schemas.openxmlformats.org/officeDocument/2006/relationships/hyperlink" Target="https://github.com/lightdash/lightdash/blob/main/CLAUDE.md" TargetMode="External"/><Relationship Id="rId228" Type="http://schemas.openxmlformats.org/officeDocument/2006/relationships/hyperlink" Target="https://github.com/anyproto/anytype-ts/blob/main/CLAUDE.md" TargetMode="External"/><Relationship Id="rId435" Type="http://schemas.openxmlformats.org/officeDocument/2006/relationships/hyperlink" Target="https://github.com/commonwarexyz/monorepo/blob/main/AGENTS.md" TargetMode="External"/><Relationship Id="rId477" Type="http://schemas.openxmlformats.org/officeDocument/2006/relationships/hyperlink" Target="https://github.com/langfuse/langfuse/blob/main/AGENTS.md" TargetMode="External"/><Relationship Id="rId281" Type="http://schemas.openxmlformats.org/officeDocument/2006/relationships/hyperlink" Target="https://github.com/dailydotdev/apps/blob/main/CLAUDE.md" TargetMode="External"/><Relationship Id="rId337" Type="http://schemas.openxmlformats.org/officeDocument/2006/relationships/hyperlink" Target="https://github.com/OneKeyHQ/app-monorepo/blob/master/CLAUDE.md" TargetMode="External"/><Relationship Id="rId34" Type="http://schemas.openxmlformats.org/officeDocument/2006/relationships/hyperlink" Target="https://github.com/zed-industries/zed/blob/main/CLAUDE.md" TargetMode="External"/><Relationship Id="rId76" Type="http://schemas.openxmlformats.org/officeDocument/2006/relationships/hyperlink" Target="https://github.com/rustfs/rustfs/blob/main/AGENTS.md" TargetMode="External"/><Relationship Id="rId141" Type="http://schemas.openxmlformats.org/officeDocument/2006/relationships/hyperlink" Target="https://github.com/microsoft/ApplicationInsights-JS/blob/main/.github/copilot-instructions.md" TargetMode="External"/><Relationship Id="rId379" Type="http://schemas.openxmlformats.org/officeDocument/2006/relationships/hyperlink" Target="https://github.com/RchGrav/claudebox/blob/main/CLAUDE.md" TargetMode="External"/><Relationship Id="rId7" Type="http://schemas.openxmlformats.org/officeDocument/2006/relationships/hyperlink" Target="https://github.com/stepfunc/dnp3/blob/main/CLAUDE.md" TargetMode="External"/><Relationship Id="rId183" Type="http://schemas.openxmlformats.org/officeDocument/2006/relationships/hyperlink" Target="https://github.com/open-metadata/OpenMetadata/blob/main/CLAUDE.md" TargetMode="External"/><Relationship Id="rId239" Type="http://schemas.openxmlformats.org/officeDocument/2006/relationships/hyperlink" Target="https://github.com/ajanraj/OpenChat/blob/main/CLAUDE.md" TargetMode="External"/><Relationship Id="rId390" Type="http://schemas.openxmlformats.org/officeDocument/2006/relationships/hyperlink" Target="https://github.com/speaches-ai/speaches/blob/master/CLAUDE.md" TargetMode="External"/><Relationship Id="rId404" Type="http://schemas.openxmlformats.org/officeDocument/2006/relationships/hyperlink" Target="https://github.com/wolfi-dev/os/blob/main/CLAUDE.md" TargetMode="External"/><Relationship Id="rId446" Type="http://schemas.openxmlformats.org/officeDocument/2006/relationships/hyperlink" Target="https://github.com/gitkraken/vscode-gitlens/blob/main/AGENTS.md" TargetMode="External"/><Relationship Id="rId250" Type="http://schemas.openxmlformats.org/officeDocument/2006/relationships/hyperlink" Target="https://github.com/CapSoftware/Cap/blob/main/CLAUDE.md" TargetMode="External"/><Relationship Id="rId292" Type="http://schemas.openxmlformats.org/officeDocument/2006/relationships/hyperlink" Target="https://github.com/getsentry/sentry-cocoa/blob/main/CLAUDE.md" TargetMode="External"/><Relationship Id="rId306" Type="http://schemas.openxmlformats.org/officeDocument/2006/relationships/hyperlink" Target="https://github.com/langchain-ai/langchain/blob/master/CLAUDE.md" TargetMode="External"/><Relationship Id="rId488" Type="http://schemas.openxmlformats.org/officeDocument/2006/relationships/hyperlink" Target="https://github.com/luccahuguet/yazelix/blob/main/AGENTS.md" TargetMode="External"/><Relationship Id="rId45" Type="http://schemas.openxmlformats.org/officeDocument/2006/relationships/hyperlink" Target="https://github.com/CapSoftware/Cap/blob/main/AGENTS.md" TargetMode="External"/><Relationship Id="rId87" Type="http://schemas.openxmlformats.org/officeDocument/2006/relationships/hyperlink" Target="https://github.com/webgptorg/promptbook/blob/main/AGENTS.md" TargetMode="External"/><Relationship Id="rId110" Type="http://schemas.openxmlformats.org/officeDocument/2006/relationships/hyperlink" Target="https://github.com/Agoric/agoric-sdk/blob/master/.github/copilot-instructions.md" TargetMode="External"/><Relationship Id="rId348" Type="http://schemas.openxmlformats.org/officeDocument/2006/relationships/hyperlink" Target="https://github.com/openai/openai-agents-python/blob/main/CLAUDE.md" TargetMode="External"/><Relationship Id="rId152" Type="http://schemas.openxmlformats.org/officeDocument/2006/relationships/hyperlink" Target="https://github.com/NuGet/NuGetGallery/blob/main/.github/copilot-instructions.md" TargetMode="External"/><Relationship Id="rId194" Type="http://schemas.openxmlformats.org/officeDocument/2006/relationships/hyperlink" Target="https://github.com/web-infra-dev/rspack/blob/main/AGENTS.md" TargetMode="External"/><Relationship Id="rId208" Type="http://schemas.openxmlformats.org/officeDocument/2006/relationships/hyperlink" Target="https://github.com/epicweb-dev/epicshop/blob/main/AGENTS.md" TargetMode="External"/><Relationship Id="rId415" Type="http://schemas.openxmlformats.org/officeDocument/2006/relationships/hyperlink" Target="https://github.com/biolink/biolink-model/blob/master/AGENTS.md" TargetMode="External"/><Relationship Id="rId457" Type="http://schemas.openxmlformats.org/officeDocument/2006/relationships/hyperlink" Target="https://github.com/JuliaLang/julia/blob/master/AGENTS.md" TargetMode="External"/><Relationship Id="rId261" Type="http://schemas.openxmlformats.org/officeDocument/2006/relationships/hyperlink" Target="https://github.com/cloudposse/atmos/blob/main/CLAUDE.md" TargetMode="External"/><Relationship Id="rId499" Type="http://schemas.openxmlformats.org/officeDocument/2006/relationships/hyperlink" Target="https://github.com/luccahuguet/yazelix/blob/main/AGENTS.md" TargetMode="External"/><Relationship Id="rId14" Type="http://schemas.openxmlformats.org/officeDocument/2006/relationships/hyperlink" Target="https://github.com/truenas/webui/blob/master/CLAUDE.md" TargetMode="External"/><Relationship Id="rId56" Type="http://schemas.openxmlformats.org/officeDocument/2006/relationships/hyperlink" Target="https://github.com/hahwul/dalfox/blob/main/AGENTS.md" TargetMode="External"/><Relationship Id="rId317" Type="http://schemas.openxmlformats.org/officeDocument/2006/relationships/hyperlink" Target="https://github.com/lostleaf/binance_datatool/blob/main/CLAUDE.md" TargetMode="External"/><Relationship Id="rId359" Type="http://schemas.openxmlformats.org/officeDocument/2006/relationships/hyperlink" Target="https://github.com/Pipelex/pipelex/blob/main/CLAUDE.md" TargetMode="External"/><Relationship Id="rId98" Type="http://schemas.openxmlformats.org/officeDocument/2006/relationships/hyperlink" Target="https://github.com/wieslawsoltes/Xaml.Behaviors/blob/master/AGENTS.md" TargetMode="External"/><Relationship Id="rId121" Type="http://schemas.openxmlformats.org/officeDocument/2006/relationships/hyperlink" Target="https://github.com/bbc/simorgh/blob/master/.github/copilot-instructions.md" TargetMode="External"/><Relationship Id="rId163" Type="http://schemas.openxmlformats.org/officeDocument/2006/relationships/hyperlink" Target="https://github.com/syntaxfm/website/blob/main/.github/copilot-instructions.md" TargetMode="External"/><Relationship Id="rId219" Type="http://schemas.openxmlformats.org/officeDocument/2006/relationships/hyperlink" Target="https://github.com/dotnet/docs-desktop/blob/main/.github/copilot-instructions.md" TargetMode="External"/><Relationship Id="rId370" Type="http://schemas.openxmlformats.org/officeDocument/2006/relationships/hyperlink" Target="https://github.com/qltysh/qlty/blob/main/CLAUDE.md" TargetMode="External"/><Relationship Id="rId426" Type="http://schemas.openxmlformats.org/officeDocument/2006/relationships/hyperlink" Target="https://github.com/CapSoftware/Cap/blob/main/AGENTS.md" TargetMode="External"/><Relationship Id="rId230" Type="http://schemas.openxmlformats.org/officeDocument/2006/relationships/hyperlink" Target="https://github.com/logancyang/obsidian-copilot/blob/master/AGENTS.md" TargetMode="External"/><Relationship Id="rId468" Type="http://schemas.openxmlformats.org/officeDocument/2006/relationships/hyperlink" Target="https://github.com/langchain-ai/langchain/blob/master/AGENTS.md" TargetMode="External"/><Relationship Id="rId25" Type="http://schemas.openxmlformats.org/officeDocument/2006/relationships/hyperlink" Target="https://github.com/yamadashy/repomix/blob/main/CLAUDE.md" TargetMode="External"/><Relationship Id="rId67" Type="http://schemas.openxmlformats.org/officeDocument/2006/relationships/hyperlink" Target="https://github.com/PrairieLearn/PrairieLearn/blob/master/AGENTS.md" TargetMode="External"/><Relationship Id="rId272" Type="http://schemas.openxmlformats.org/officeDocument/2006/relationships/hyperlink" Target="https://github.com/coder/coder/blob/main/CLAUDE.md" TargetMode="External"/><Relationship Id="rId328" Type="http://schemas.openxmlformats.org/officeDocument/2006/relationships/hyperlink" Target="https://github.com/nrwl/nx/blob/master/CLAUDE.md" TargetMode="External"/><Relationship Id="rId132" Type="http://schemas.openxmlformats.org/officeDocument/2006/relationships/hyperlink" Target="https://github.com/friendsofhyperf/components/blob/main/.github/copilot-instructions.md" TargetMode="External"/><Relationship Id="rId174" Type="http://schemas.openxmlformats.org/officeDocument/2006/relationships/hyperlink" Target="https://github.com/cloudwalk/stratus/blob/main/CLAUDE.md" TargetMode="External"/><Relationship Id="rId381" Type="http://schemas.openxmlformats.org/officeDocument/2006/relationships/hyperlink" Target="https://github.com/RchGrav/claudebox/blob/main/CLAUDE.md" TargetMode="External"/><Relationship Id="rId241" Type="http://schemas.openxmlformats.org/officeDocument/2006/relationships/hyperlink" Target="https://github.com/anyproto/anytype-ts/blob/main/CLAUDE.md" TargetMode="External"/><Relationship Id="rId437" Type="http://schemas.openxmlformats.org/officeDocument/2006/relationships/hyperlink" Target="https://github.com/cubicdaiya/nginx-build/blob/master/AGENTS.md" TargetMode="External"/><Relationship Id="rId479" Type="http://schemas.openxmlformats.org/officeDocument/2006/relationships/hyperlink" Target="https://github.com/llama-farm/llamafarm/blob/main/AGENTS.md" TargetMode="External"/><Relationship Id="rId36" Type="http://schemas.openxmlformats.org/officeDocument/2006/relationships/hyperlink" Target="https://github.com/zenml-io/zenml/blob/main/CLAUDE.md" TargetMode="External"/><Relationship Id="rId283" Type="http://schemas.openxmlformats.org/officeDocument/2006/relationships/hyperlink" Target="https://github.com/dailydotdev/apps/blob/main/CLAUDE.md" TargetMode="External"/><Relationship Id="rId339" Type="http://schemas.openxmlformats.org/officeDocument/2006/relationships/hyperlink" Target="https://github.com/open-metadata/OpenMetadata/blob/main/CLAUDE.md" TargetMode="External"/><Relationship Id="rId490" Type="http://schemas.openxmlformats.org/officeDocument/2006/relationships/hyperlink" Target="https://github.com/luccahuguet/yazelix/blob/main/AGENTS.md" TargetMode="External"/><Relationship Id="rId78" Type="http://schemas.openxmlformats.org/officeDocument/2006/relationships/hyperlink" Target="https://github.com/rustfs/rustfs/blob/main/AGENTS.md" TargetMode="External"/><Relationship Id="rId101" Type="http://schemas.openxmlformats.org/officeDocument/2006/relationships/hyperlink" Target="https://github.com/wieslawsoltes/Xaml.Behaviors/blob/master/AGENTS.md" TargetMode="External"/><Relationship Id="rId143" Type="http://schemas.openxmlformats.org/officeDocument/2006/relationships/hyperlink" Target="https://github.com/microsoft/ApplicationInsights-JS/blob/main/.github/copilot-instructions.md" TargetMode="External"/><Relationship Id="rId185" Type="http://schemas.openxmlformats.org/officeDocument/2006/relationships/hyperlink" Target="https://github.com/zenml-io/zenml/blob/main/AGENTS.md" TargetMode="External"/><Relationship Id="rId350" Type="http://schemas.openxmlformats.org/officeDocument/2006/relationships/hyperlink" Target="https://github.com/owid/owid-grapher/blob/master/CLAUDE.md" TargetMode="External"/><Relationship Id="rId406" Type="http://schemas.openxmlformats.org/officeDocument/2006/relationships/hyperlink" Target="https://github.com/zed-industries/zed/blob/main/CLAUDE.md" TargetMode="External"/><Relationship Id="rId9" Type="http://schemas.openxmlformats.org/officeDocument/2006/relationships/hyperlink" Target="https://github.com/thirdweb-dev/js/blob/main/CLAUDE.md" TargetMode="External"/><Relationship Id="rId210" Type="http://schemas.openxmlformats.org/officeDocument/2006/relationships/hyperlink" Target="https://github.com/Comfy-Org/comfy-claude-prompt-library/blob/master/CLAUDE.md" TargetMode="External"/><Relationship Id="rId392" Type="http://schemas.openxmlformats.org/officeDocument/2006/relationships/hyperlink" Target="https://github.com/spylang/spy/blob/main/CLAUDE.md" TargetMode="External"/><Relationship Id="rId448" Type="http://schemas.openxmlformats.org/officeDocument/2006/relationships/hyperlink" Target="https://github.com/hathach/tinyusb/blob/master/AGENTS.md" TargetMode="External"/><Relationship Id="rId252" Type="http://schemas.openxmlformats.org/officeDocument/2006/relationships/hyperlink" Target="https://github.com/CapSoftware/Cap/blob/main/CLAUDE.md" TargetMode="External"/><Relationship Id="rId294" Type="http://schemas.openxmlformats.org/officeDocument/2006/relationships/hyperlink" Target="https://github.com/getsentry/sentry-javascript/blob/master/CLAUDE.md" TargetMode="External"/><Relationship Id="rId308" Type="http://schemas.openxmlformats.org/officeDocument/2006/relationships/hyperlink" Target="https://github.com/langchain-ai/langchain/blob/master/CLAUDE.md" TargetMode="External"/><Relationship Id="rId47" Type="http://schemas.openxmlformats.org/officeDocument/2006/relationships/hyperlink" Target="https://github.com/catatsuy/private-isu/blob/master/AGENTS.md" TargetMode="External"/><Relationship Id="rId89" Type="http://schemas.openxmlformats.org/officeDocument/2006/relationships/hyperlink" Target="https://github.com/wieslawsoltes/Dock/blob/master/AGENTS.md" TargetMode="External"/><Relationship Id="rId112" Type="http://schemas.openxmlformats.org/officeDocument/2006/relationships/hyperlink" Target="https://github.com/Aiko-IT-Systems/DisCatSharp/blob/main/.github/copilot-instructions.md" TargetMode="External"/><Relationship Id="rId154" Type="http://schemas.openxmlformats.org/officeDocument/2006/relationships/hyperlink" Target="https://github.com/Open-LLM-VTuber/Open-LLM-VTuber/blob/main/.github/copilot-instructions.md" TargetMode="External"/><Relationship Id="rId361" Type="http://schemas.openxmlformats.org/officeDocument/2006/relationships/hyperlink" Target="https://github.com/Pipelex/pipelex/blob/main/CLAUDE.md" TargetMode="External"/><Relationship Id="rId196" Type="http://schemas.openxmlformats.org/officeDocument/2006/relationships/hyperlink" Target="https://github.com/dailydotdev/apps/blob/main/CLAUDE.md" TargetMode="External"/><Relationship Id="rId417" Type="http://schemas.openxmlformats.org/officeDocument/2006/relationships/hyperlink" Target="https://github.com/BoldGrid/w3-total-cache/blob/master/AGENTS.md" TargetMode="External"/><Relationship Id="rId459" Type="http://schemas.openxmlformats.org/officeDocument/2006/relationships/hyperlink" Target="https://github.com/JuliaLang/julia/blob/master/AGENTS.md" TargetMode="External"/><Relationship Id="rId16" Type="http://schemas.openxmlformats.org/officeDocument/2006/relationships/hyperlink" Target="https://github.com/wolfi-dev/os/blob/main/CLAUDE.md" TargetMode="External"/><Relationship Id="rId221" Type="http://schemas.openxmlformats.org/officeDocument/2006/relationships/hyperlink" Target="https://github.com/dailydotdev/apps/blob/main/CLAUDE.md" TargetMode="External"/><Relationship Id="rId263" Type="http://schemas.openxmlformats.org/officeDocument/2006/relationships/hyperlink" Target="https://github.com/cockroachdb/cockroach/blob/master/CLAUDE.md" TargetMode="External"/><Relationship Id="rId319" Type="http://schemas.openxmlformats.org/officeDocument/2006/relationships/hyperlink" Target="https://github.com/lostleaf/binance_datatool/blob/main/CLAUDE.md" TargetMode="External"/><Relationship Id="rId470" Type="http://schemas.openxmlformats.org/officeDocument/2006/relationships/hyperlink" Target="https://github.com/langchain-ai/langchain/blob/master/AGENTS.md" TargetMode="External"/><Relationship Id="rId58" Type="http://schemas.openxmlformats.org/officeDocument/2006/relationships/hyperlink" Target="https://github.com/janbjorge/pgqueuer/blob/main/AGENTS.md" TargetMode="External"/><Relationship Id="rId123" Type="http://schemas.openxmlformats.org/officeDocument/2006/relationships/hyperlink" Target="https://github.com/dotnet/docs-aspire/blob/main/.github/copilot-instructions.md" TargetMode="External"/><Relationship Id="rId330" Type="http://schemas.openxmlformats.org/officeDocument/2006/relationships/hyperlink" Target="https://github.com/obophenotype/uberon/blob/master/CLAUDE.md" TargetMode="External"/><Relationship Id="rId165" Type="http://schemas.openxmlformats.org/officeDocument/2006/relationships/hyperlink" Target="https://github.com/syntaxfm/website/blob/main/.github/copilot-instructions.md" TargetMode="External"/><Relationship Id="rId372" Type="http://schemas.openxmlformats.org/officeDocument/2006/relationships/hyperlink" Target="https://github.com/RchGrav/claudebox/blob/main/CLAUDE.md" TargetMode="External"/><Relationship Id="rId428" Type="http://schemas.openxmlformats.org/officeDocument/2006/relationships/hyperlink" Target="https://github.com/carverauto/serviceradar/blob/main/AGENTS.md" TargetMode="External"/><Relationship Id="rId232" Type="http://schemas.openxmlformats.org/officeDocument/2006/relationships/hyperlink" Target="https://github.com/pytorch/pytorch/blob/main/AGENTS.md" TargetMode="External"/><Relationship Id="rId274" Type="http://schemas.openxmlformats.org/officeDocument/2006/relationships/hyperlink" Target="https://github.com/colinhacks/zod/blob/main/CLAUDE.md" TargetMode="External"/><Relationship Id="rId481" Type="http://schemas.openxmlformats.org/officeDocument/2006/relationships/hyperlink" Target="https://github.com/luccahuguet/yazelix/blob/main/AGENTS.md" TargetMode="External"/><Relationship Id="rId27" Type="http://schemas.openxmlformats.org/officeDocument/2006/relationships/hyperlink" Target="https://github.com/zed-industries/zed/blob/main/CLAUDE.md" TargetMode="External"/><Relationship Id="rId69" Type="http://schemas.openxmlformats.org/officeDocument/2006/relationships/hyperlink" Target="https://github.com/rocketship-ai/rocketship/blob/main/AGENTS.md" TargetMode="External"/><Relationship Id="rId134" Type="http://schemas.openxmlformats.org/officeDocument/2006/relationships/hyperlink" Target="https://github.com/istio/istio/blob/master/.github/copilot-instructions.md" TargetMode="External"/><Relationship Id="rId80" Type="http://schemas.openxmlformats.org/officeDocument/2006/relationships/hyperlink" Target="https://github.com/seasonedcc/remix-forms/blob/main/AGENTS.md" TargetMode="External"/><Relationship Id="rId176" Type="http://schemas.openxmlformats.org/officeDocument/2006/relationships/hyperlink" Target="https://github.com/module-federation/core/blob/main/CLAUDE.md" TargetMode="External"/><Relationship Id="rId341" Type="http://schemas.openxmlformats.org/officeDocument/2006/relationships/hyperlink" Target="https://github.com/open-metadata/OpenMetadata/blob/main/CLAUDE.md" TargetMode="External"/><Relationship Id="rId383" Type="http://schemas.openxmlformats.org/officeDocument/2006/relationships/hyperlink" Target="https://github.com/RchGrav/claudebox/blob/main/CLAUDE.md" TargetMode="External"/><Relationship Id="rId439" Type="http://schemas.openxmlformats.org/officeDocument/2006/relationships/hyperlink" Target="https://github.com/DataDog/datadog-agent/blob/main/AGENTS.md" TargetMode="External"/><Relationship Id="rId201" Type="http://schemas.openxmlformats.org/officeDocument/2006/relationships/hyperlink" Target="https://github.com/owid/owid-grapher/blob/master/CLAUDE.md" TargetMode="External"/><Relationship Id="rId243" Type="http://schemas.openxmlformats.org/officeDocument/2006/relationships/hyperlink" Target="https://github.com/anyproto/anytype-ts/blob/main/CLAUDE.md" TargetMode="External"/><Relationship Id="rId285" Type="http://schemas.openxmlformats.org/officeDocument/2006/relationships/hyperlink" Target="https://github.com/dailydotdev/apps/blob/main/CLAUDE.md" TargetMode="External"/><Relationship Id="rId450" Type="http://schemas.openxmlformats.org/officeDocument/2006/relationships/hyperlink" Target="https://github.com/herbie-fp/herbie/blob/main/AGENTS.md" TargetMode="External"/><Relationship Id="rId38" Type="http://schemas.openxmlformats.org/officeDocument/2006/relationships/hyperlink" Target="https://github.com/zenml-io/zenml/blob/main/CLAUDE.md" TargetMode="External"/><Relationship Id="rId103" Type="http://schemas.openxmlformats.org/officeDocument/2006/relationships/hyperlink" Target="https://github.com/yoshiko-pg/difit/blob/main/AGENTS.md" TargetMode="External"/><Relationship Id="rId310" Type="http://schemas.openxmlformats.org/officeDocument/2006/relationships/hyperlink" Target="https://github.com/lfnovo/esperanto/blob/main/CLAUDE.md" TargetMode="External"/><Relationship Id="rId492" Type="http://schemas.openxmlformats.org/officeDocument/2006/relationships/hyperlink" Target="https://github.com/luccahuguet/yazelix/blob/main/AGENTS.md" TargetMode="External"/><Relationship Id="rId91" Type="http://schemas.openxmlformats.org/officeDocument/2006/relationships/hyperlink" Target="https://github.com/wieslawsoltes/Dock/blob/master/AGENTS.md" TargetMode="External"/><Relationship Id="rId145" Type="http://schemas.openxmlformats.org/officeDocument/2006/relationships/hyperlink" Target="https://github.com/microsoft/python-environment-tools/blob/main/.github/copilot-instructions.md" TargetMode="External"/><Relationship Id="rId187" Type="http://schemas.openxmlformats.org/officeDocument/2006/relationships/hyperlink" Target="https://github.com/langchain-ai/langchain/blob/master/CLAUDE.md" TargetMode="External"/><Relationship Id="rId352" Type="http://schemas.openxmlformats.org/officeDocument/2006/relationships/hyperlink" Target="https://github.com/Pipelex/pipelex/blob/main/CLAUDE.md" TargetMode="External"/><Relationship Id="rId394" Type="http://schemas.openxmlformats.org/officeDocument/2006/relationships/hyperlink" Target="https://github.com/theopenco/llmgateway/blob/main/CLAUDE.md" TargetMode="External"/><Relationship Id="rId408" Type="http://schemas.openxmlformats.org/officeDocument/2006/relationships/hyperlink" Target="https://github.com/zenml-io/zenml/blob/main/CLAUDE.md" TargetMode="External"/><Relationship Id="rId212" Type="http://schemas.openxmlformats.org/officeDocument/2006/relationships/hyperlink" Target="https://github.com/NuGet/NuGetGallery/blob/main/.github/copilot-instructions.md" TargetMode="External"/><Relationship Id="rId254" Type="http://schemas.openxmlformats.org/officeDocument/2006/relationships/hyperlink" Target="https://github.com/CapSoftware/Cap/blob/main/CLAUDE.md" TargetMode="External"/><Relationship Id="rId49" Type="http://schemas.openxmlformats.org/officeDocument/2006/relationships/hyperlink" Target="https://github.com/commonwarexyz/monorepo/blob/main/AGENTS.md" TargetMode="External"/><Relationship Id="rId114" Type="http://schemas.openxmlformats.org/officeDocument/2006/relationships/hyperlink" Target="https://github.com/Azure/AgentBaker/blob/main/.github/copilot-instructions.md" TargetMode="External"/><Relationship Id="rId296" Type="http://schemas.openxmlformats.org/officeDocument/2006/relationships/hyperlink" Target="https://github.com/grafbase/grafbase/blob/main/CLAUDE.md" TargetMode="External"/><Relationship Id="rId461" Type="http://schemas.openxmlformats.org/officeDocument/2006/relationships/hyperlink" Target="https://github.com/JuliaLang/julia/blob/master/AGENTS.md" TargetMode="External"/><Relationship Id="rId60" Type="http://schemas.openxmlformats.org/officeDocument/2006/relationships/hyperlink" Target="https://github.com/langfuse/langfuse/blob/main/AGENTS.md" TargetMode="External"/><Relationship Id="rId156" Type="http://schemas.openxmlformats.org/officeDocument/2006/relationships/hyperlink" Target="https://github.com/raycast/extensions/blob/main/.github/copilot-instructions.md" TargetMode="External"/><Relationship Id="rId198" Type="http://schemas.openxmlformats.org/officeDocument/2006/relationships/hyperlink" Target="https://github.com/CapSoftware/Cap/blob/main/CLAUDE.md" TargetMode="External"/><Relationship Id="rId321" Type="http://schemas.openxmlformats.org/officeDocument/2006/relationships/hyperlink" Target="https://github.com/netdata/netdata/blob/master/CLAUDE.md" TargetMode="External"/><Relationship Id="rId363" Type="http://schemas.openxmlformats.org/officeDocument/2006/relationships/hyperlink" Target="https://github.com/princeton-pli/hal-harness/blob/main/CLAUDE.md" TargetMode="External"/><Relationship Id="rId419" Type="http://schemas.openxmlformats.org/officeDocument/2006/relationships/hyperlink" Target="https://github.com/BoldGrid/w3-total-cache/blob/master/AGENTS.md" TargetMode="External"/><Relationship Id="rId223" Type="http://schemas.openxmlformats.org/officeDocument/2006/relationships/hyperlink" Target="https://github.com/public-ui/kolibri/blob/master/AGENTS.md" TargetMode="External"/><Relationship Id="rId430" Type="http://schemas.openxmlformats.org/officeDocument/2006/relationships/hyperlink" Target="https://github.com/carverauto/serviceradar/blob/main/AGENTS.md" TargetMode="External"/><Relationship Id="rId18" Type="http://schemas.openxmlformats.org/officeDocument/2006/relationships/hyperlink" Target="https://github.com/wvlet/airframe/blob/main/CLAUDE.md" TargetMode="External"/><Relationship Id="rId265" Type="http://schemas.openxmlformats.org/officeDocument/2006/relationships/hyperlink" Target="https://github.com/coder/coder/blob/main/CLAUDE.md" TargetMode="External"/><Relationship Id="rId472" Type="http://schemas.openxmlformats.org/officeDocument/2006/relationships/hyperlink" Target="https://github.com/langchain-ai/langchain/blob/master/AGENTS.md" TargetMode="External"/><Relationship Id="rId125" Type="http://schemas.openxmlformats.org/officeDocument/2006/relationships/hyperlink" Target="https://github.com/dotnet/runtime/blob/main/.github/copilot-instructions.md" TargetMode="External"/><Relationship Id="rId167" Type="http://schemas.openxmlformats.org/officeDocument/2006/relationships/hyperlink" Target="https://github.com/wvlet/airframe/blob/main/.github/copilot-instructions.md" TargetMode="External"/><Relationship Id="rId332" Type="http://schemas.openxmlformats.org/officeDocument/2006/relationships/hyperlink" Target="https://github.com/OlympiaAI/raix/blob/main/CLAUDE.md" TargetMode="External"/><Relationship Id="rId374" Type="http://schemas.openxmlformats.org/officeDocument/2006/relationships/hyperlink" Target="https://github.com/RchGrav/claudebox/blob/main/CLAUDE.md" TargetMode="External"/><Relationship Id="rId71" Type="http://schemas.openxmlformats.org/officeDocument/2006/relationships/hyperlink" Target="https://github.com/RSSNext/Folo/blob/main/AGENTS.md" TargetMode="External"/><Relationship Id="rId234" Type="http://schemas.openxmlformats.org/officeDocument/2006/relationships/hyperlink" Target="https://github.com/abh/ntppool/blob/main/CLAUDE.md" TargetMode="External"/><Relationship Id="rId2" Type="http://schemas.openxmlformats.org/officeDocument/2006/relationships/hyperlink" Target="https://github.com/saleor/saleor/blob/main/CLAUDE.md" TargetMode="External"/><Relationship Id="rId29" Type="http://schemas.openxmlformats.org/officeDocument/2006/relationships/hyperlink" Target="https://github.com/zed-industries/zed/blob/main/CLAUDE.md" TargetMode="External"/><Relationship Id="rId276" Type="http://schemas.openxmlformats.org/officeDocument/2006/relationships/hyperlink" Target="https://github.com/Comfy-Org/comfy-claude-prompt-library/blob/master/CLAUDE.md" TargetMode="External"/><Relationship Id="rId441" Type="http://schemas.openxmlformats.org/officeDocument/2006/relationships/hyperlink" Target="https://github.com/ESPresense/ESPresense-companion/blob/main/AGENTS.md" TargetMode="External"/><Relationship Id="rId483" Type="http://schemas.openxmlformats.org/officeDocument/2006/relationships/hyperlink" Target="https://github.com/luccahuguet/yazelix/blob/main/AGENTS.md" TargetMode="External"/><Relationship Id="rId40" Type="http://schemas.openxmlformats.org/officeDocument/2006/relationships/hyperlink" Target="https://github.com/ArcInstitute/SRAgent/blob/main/AGENTS.md" TargetMode="External"/><Relationship Id="rId136" Type="http://schemas.openxmlformats.org/officeDocument/2006/relationships/hyperlink" Target="https://github.com/microsoft/ApplicationInsights-JS/blob/main/.github/copilot-instructions.md" TargetMode="External"/><Relationship Id="rId178" Type="http://schemas.openxmlformats.org/officeDocument/2006/relationships/hyperlink" Target="https://github.com/Open-LLM-VTuber/Open-LLM-VTuber/blob/main/.github/copilot-instructions.md" TargetMode="External"/><Relationship Id="rId301" Type="http://schemas.openxmlformats.org/officeDocument/2006/relationships/hyperlink" Target="https://github.com/J-Tech-Japan/Sekiban/blob/main/CLAUDE.md" TargetMode="External"/><Relationship Id="rId343" Type="http://schemas.openxmlformats.org/officeDocument/2006/relationships/hyperlink" Target="https://github.com/open-metadata/OpenMetadata/blob/main/CLAUDE.md" TargetMode="External"/><Relationship Id="rId82" Type="http://schemas.openxmlformats.org/officeDocument/2006/relationships/hyperlink" Target="https://github.com/stack-auth/stack-auth/blob/main/AGENTS.md" TargetMode="External"/><Relationship Id="rId203" Type="http://schemas.openxmlformats.org/officeDocument/2006/relationships/hyperlink" Target="https://github.com/alchemiststudiosDOTai/tunacode/blob/master/AGENTS.md" TargetMode="External"/><Relationship Id="rId385" Type="http://schemas.openxmlformats.org/officeDocument/2006/relationships/hyperlink" Target="https://github.com/saleor/saleor/blob/main/CLAUDE.md" TargetMode="External"/><Relationship Id="rId245" Type="http://schemas.openxmlformats.org/officeDocument/2006/relationships/hyperlink" Target="https://github.com/Azure/LogicAppsUX/blob/main/CLAUDE.md" TargetMode="External"/><Relationship Id="rId287" Type="http://schemas.openxmlformats.org/officeDocument/2006/relationships/hyperlink" Target="https://github.com/dailydotdev/apps/blob/main/CLAUDE.md" TargetMode="External"/><Relationship Id="rId410" Type="http://schemas.openxmlformats.org/officeDocument/2006/relationships/hyperlink" Target="https://github.com/alchemiststudiosDOTai/tunacode/blob/master/AGENTS.md" TargetMode="External"/><Relationship Id="rId452" Type="http://schemas.openxmlformats.org/officeDocument/2006/relationships/hyperlink" Target="https://github.com/janbjorge/pgqueuer/blob/main/AGENTS.md" TargetMode="External"/><Relationship Id="rId494" Type="http://schemas.openxmlformats.org/officeDocument/2006/relationships/hyperlink" Target="https://github.com/luccahuguet/yazelix/blob/main/AGENTS.md" TargetMode="External"/><Relationship Id="rId105" Type="http://schemas.openxmlformats.org/officeDocument/2006/relationships/hyperlink" Target="https://github.com/zenml-io/zenml/blob/main/AGENTS.md" TargetMode="External"/><Relationship Id="rId147" Type="http://schemas.openxmlformats.org/officeDocument/2006/relationships/hyperlink" Target="https://github.com/microsoft/TypeScript/blob/main/.github/copilot-instructions.md" TargetMode="External"/><Relationship Id="rId312" Type="http://schemas.openxmlformats.org/officeDocument/2006/relationships/hyperlink" Target="https://github.com/lgallard/terraform-aws-cognito-user-pool/blob/master/CLAUDE.md" TargetMode="External"/><Relationship Id="rId354" Type="http://schemas.openxmlformats.org/officeDocument/2006/relationships/hyperlink" Target="https://github.com/Pipelex/pipelex/blob/main/CLAUDE.md" TargetMode="External"/><Relationship Id="rId51" Type="http://schemas.openxmlformats.org/officeDocument/2006/relationships/hyperlink" Target="https://github.com/epicweb-dev/epicshop/blob/main/AGENTS.md" TargetMode="External"/><Relationship Id="rId93" Type="http://schemas.openxmlformats.org/officeDocument/2006/relationships/hyperlink" Target="https://github.com/wieslawsoltes/Dock/blob/master/AGENTS.md" TargetMode="External"/><Relationship Id="rId189" Type="http://schemas.openxmlformats.org/officeDocument/2006/relationships/hyperlink" Target="https://github.com/wolfi-dev/os/blob/main/CLAUDE.md" TargetMode="External"/><Relationship Id="rId396" Type="http://schemas.openxmlformats.org/officeDocument/2006/relationships/hyperlink" Target="https://github.com/theopenco/llmgateway/blob/main/CLAUDE.md" TargetMode="External"/><Relationship Id="rId214" Type="http://schemas.openxmlformats.org/officeDocument/2006/relationships/hyperlink" Target="https://github.com/wvlet/airframe/blob/main/.github/copilot-instructions.md" TargetMode="External"/><Relationship Id="rId256" Type="http://schemas.openxmlformats.org/officeDocument/2006/relationships/hyperlink" Target="https://github.com/clidey/dory/blob/main/CLAUDE.md" TargetMode="External"/><Relationship Id="rId298" Type="http://schemas.openxmlformats.org/officeDocument/2006/relationships/hyperlink" Target="https://github.com/home-assistant/frontend/blob/master/CLAUDE.md" TargetMode="External"/><Relationship Id="rId421" Type="http://schemas.openxmlformats.org/officeDocument/2006/relationships/hyperlink" Target="https://github.com/BoldGrid/w3-total-cache/blob/master/AGENTS.md" TargetMode="External"/><Relationship Id="rId463" Type="http://schemas.openxmlformats.org/officeDocument/2006/relationships/hyperlink" Target="https://github.com/JuliaLang/julia/blob/master/AGENTS.md" TargetMode="External"/><Relationship Id="rId116" Type="http://schemas.openxmlformats.org/officeDocument/2006/relationships/hyperlink" Target="https://github.com/Azure/AgentBaker/blob/main/.github/copilot-instructions.md" TargetMode="External"/><Relationship Id="rId158" Type="http://schemas.openxmlformats.org/officeDocument/2006/relationships/hyperlink" Target="https://github.com/Skyscanner/backpack-ios/blob/main/.github/copilot-instructions.md" TargetMode="External"/><Relationship Id="rId323" Type="http://schemas.openxmlformats.org/officeDocument/2006/relationships/hyperlink" Target="https://github.com/netdata/netdata/blob/master/CLAUDE.md" TargetMode="External"/><Relationship Id="rId20" Type="http://schemas.openxmlformats.org/officeDocument/2006/relationships/hyperlink" Target="https://github.com/wvlet/wvlet/blob/main/CLAUDE.md" TargetMode="External"/><Relationship Id="rId62" Type="http://schemas.openxmlformats.org/officeDocument/2006/relationships/hyperlink" Target="https://github.com/luccahuguet/yazelix/blob/main/AGENTS.md" TargetMode="External"/><Relationship Id="rId365" Type="http://schemas.openxmlformats.org/officeDocument/2006/relationships/hyperlink" Target="https://github.com/princeton-pli/hal-harness/blob/main/CLAUDE.md" TargetMode="External"/><Relationship Id="rId225" Type="http://schemas.openxmlformats.org/officeDocument/2006/relationships/hyperlink" Target="https://github.com/SparkDevNetwork/Rock/blob/master/.github/copilot-instructions.md" TargetMode="External"/><Relationship Id="rId267" Type="http://schemas.openxmlformats.org/officeDocument/2006/relationships/hyperlink" Target="https://github.com/coder/coder/blob/main/CLAUDE.md" TargetMode="External"/><Relationship Id="rId432" Type="http://schemas.openxmlformats.org/officeDocument/2006/relationships/hyperlink" Target="https://github.com/commonwarexyz/monorepo/blob/main/AGENTS.md" TargetMode="External"/><Relationship Id="rId474" Type="http://schemas.openxmlformats.org/officeDocument/2006/relationships/hyperlink" Target="https://github.com/langfuse/langfuse/blob/main/AGENTS.md" TargetMode="External"/><Relationship Id="rId127" Type="http://schemas.openxmlformats.org/officeDocument/2006/relationships/hyperlink" Target="https://github.com/esphome/esphome/blob/main/.github/copilot-instructions.md" TargetMode="External"/><Relationship Id="rId10" Type="http://schemas.openxmlformats.org/officeDocument/2006/relationships/hyperlink" Target="https://github.com/thirdweb-dev/js/blob/main/CLAUDE.md" TargetMode="External"/><Relationship Id="rId31" Type="http://schemas.openxmlformats.org/officeDocument/2006/relationships/hyperlink" Target="https://github.com/zed-industries/zed/blob/main/CLAUDE.md" TargetMode="External"/><Relationship Id="rId52" Type="http://schemas.openxmlformats.org/officeDocument/2006/relationships/hyperlink" Target="https://github.com/epicweb-dev/epicshop/blob/main/AGENTS.md" TargetMode="External"/><Relationship Id="rId73" Type="http://schemas.openxmlformats.org/officeDocument/2006/relationships/hyperlink" Target="https://github.com/RSSNext/Folo/blob/main/AGENTS.md" TargetMode="External"/><Relationship Id="rId94" Type="http://schemas.openxmlformats.org/officeDocument/2006/relationships/hyperlink" Target="https://github.com/wieslawsoltes/Dock/blob/master/AGENTS.md" TargetMode="External"/><Relationship Id="rId148" Type="http://schemas.openxmlformats.org/officeDocument/2006/relationships/hyperlink" Target="https://github.com/microsoft/vs-threading/blob/main/.github/copilot-instructions.md" TargetMode="External"/><Relationship Id="rId169" Type="http://schemas.openxmlformats.org/officeDocument/2006/relationships/hyperlink" Target="https://github.com/zwave-js/zwave-js/blob/master/.github/copilot-instructions.md" TargetMode="External"/><Relationship Id="rId334" Type="http://schemas.openxmlformats.org/officeDocument/2006/relationships/hyperlink" Target="https://github.com/OneKeyHQ/app-monorepo/blob/master/CLAUDE.md" TargetMode="External"/><Relationship Id="rId355" Type="http://schemas.openxmlformats.org/officeDocument/2006/relationships/hyperlink" Target="https://github.com/Pipelex/pipelex/blob/main/CLAUDE.md" TargetMode="External"/><Relationship Id="rId376" Type="http://schemas.openxmlformats.org/officeDocument/2006/relationships/hyperlink" Target="https://github.com/RchGrav/claudebox/blob/main/CLAUDE.md" TargetMode="External"/><Relationship Id="rId397" Type="http://schemas.openxmlformats.org/officeDocument/2006/relationships/hyperlink" Target="https://github.com/theopenco/llmgateway/blob/main/CLAUDE.md" TargetMode="External"/><Relationship Id="rId4" Type="http://schemas.openxmlformats.org/officeDocument/2006/relationships/hyperlink" Target="https://github.com/steipete/Peekaboo/blob/main/CLAUDE.md" TargetMode="External"/><Relationship Id="rId180" Type="http://schemas.openxmlformats.org/officeDocument/2006/relationships/hyperlink" Target="https://github.com/esphome/esphome/blob/main/.github/copilot-instructions.md" TargetMode="External"/><Relationship Id="rId215" Type="http://schemas.openxmlformats.org/officeDocument/2006/relationships/hyperlink" Target="https://github.com/wvlet/airframe/blob/main/.github/copilot-instructions.md" TargetMode="External"/><Relationship Id="rId236" Type="http://schemas.openxmlformats.org/officeDocument/2006/relationships/hyperlink" Target="https://github.com/ajanraj/OpenChat/blob/main/CLAUDE.md" TargetMode="External"/><Relationship Id="rId257" Type="http://schemas.openxmlformats.org/officeDocument/2006/relationships/hyperlink" Target="https://github.com/clidey/dory/blob/main/CLAUDE.md" TargetMode="External"/><Relationship Id="rId278" Type="http://schemas.openxmlformats.org/officeDocument/2006/relationships/hyperlink" Target="https://github.com/compiler-explorer/infra/blob/main/CLAUDE.md" TargetMode="External"/><Relationship Id="rId401" Type="http://schemas.openxmlformats.org/officeDocument/2006/relationships/hyperlink" Target="https://github.com/truenas/webui/blob/master/CLAUDE.md" TargetMode="External"/><Relationship Id="rId422" Type="http://schemas.openxmlformats.org/officeDocument/2006/relationships/hyperlink" Target="https://github.com/bruin-data/bruin/blob/main/AGENTS.md" TargetMode="External"/><Relationship Id="rId443" Type="http://schemas.openxmlformats.org/officeDocument/2006/relationships/hyperlink" Target="https://github.com/gitkraken/vscode-gitlens/blob/main/AGENTS.md" TargetMode="External"/><Relationship Id="rId464" Type="http://schemas.openxmlformats.org/officeDocument/2006/relationships/hyperlink" Target="https://github.com/JuliaLang/julia/blob/master/AGENTS.md" TargetMode="External"/><Relationship Id="rId303" Type="http://schemas.openxmlformats.org/officeDocument/2006/relationships/hyperlink" Target="https://github.com/J-Tech-Japan/Sekiban/blob/main/CLAUDE.md" TargetMode="External"/><Relationship Id="rId485" Type="http://schemas.openxmlformats.org/officeDocument/2006/relationships/hyperlink" Target="https://github.com/luccahuguet/yazelix/blob/main/AGENTS.md" TargetMode="External"/><Relationship Id="rId42" Type="http://schemas.openxmlformats.org/officeDocument/2006/relationships/hyperlink" Target="https://github.com/Azure-Samples/serverless-chat-langchainjs/blob/main/AGENTS.md" TargetMode="External"/><Relationship Id="rId84" Type="http://schemas.openxmlformats.org/officeDocument/2006/relationships/hyperlink" Target="https://github.com/swarmauri/swarmauri-sdk/blob/main/AGENTS.md" TargetMode="External"/><Relationship Id="rId138" Type="http://schemas.openxmlformats.org/officeDocument/2006/relationships/hyperlink" Target="https://github.com/microsoft/ApplicationInsights-JS/blob/main/.github/copilot-instructions.md" TargetMode="External"/><Relationship Id="rId345" Type="http://schemas.openxmlformats.org/officeDocument/2006/relationships/hyperlink" Target="https://github.com/open-metadata/OpenMetadata/blob/main/CLAUDE.md" TargetMode="External"/><Relationship Id="rId387" Type="http://schemas.openxmlformats.org/officeDocument/2006/relationships/hyperlink" Target="https://github.com/saleor/saleor/blob/main/CLAUDE.md" TargetMode="External"/><Relationship Id="rId191" Type="http://schemas.openxmlformats.org/officeDocument/2006/relationships/hyperlink" Target="https://github.com/Azure/LogicAppsUX/blob/main/CLAUDE.md" TargetMode="External"/><Relationship Id="rId205" Type="http://schemas.openxmlformats.org/officeDocument/2006/relationships/hyperlink" Target="https://github.com/Azure/AgentBaker/blob/main/.github/copilot-instructions.md" TargetMode="External"/><Relationship Id="rId247" Type="http://schemas.openxmlformats.org/officeDocument/2006/relationships/hyperlink" Target="https://github.com/BerriAI/litellm/blob/main/CLAUDE.md" TargetMode="External"/><Relationship Id="rId412" Type="http://schemas.openxmlformats.org/officeDocument/2006/relationships/hyperlink" Target="https://github.com/ArcInstitute/SRAgent/blob/main/AGENTS.md" TargetMode="External"/><Relationship Id="rId107" Type="http://schemas.openxmlformats.org/officeDocument/2006/relationships/hyperlink" Target="https://github.com/zenml-io/zenml/blob/main/AGENTS.md" TargetMode="External"/><Relationship Id="rId289" Type="http://schemas.openxmlformats.org/officeDocument/2006/relationships/hyperlink" Target="https://github.com/dailydotdev/apps/blob/main/CLAUDE.md" TargetMode="External"/><Relationship Id="rId454" Type="http://schemas.openxmlformats.org/officeDocument/2006/relationships/hyperlink" Target="https://github.com/julep-ai/julep/blob/main/AGENTS.md" TargetMode="External"/><Relationship Id="rId496" Type="http://schemas.openxmlformats.org/officeDocument/2006/relationships/hyperlink" Target="https://github.com/luccahuguet/yazelix/blob/main/AGENTS.md" TargetMode="External"/><Relationship Id="rId11" Type="http://schemas.openxmlformats.org/officeDocument/2006/relationships/hyperlink" Target="https://github.com/thirdweb-dev/js/blob/main/CLAUDE.md" TargetMode="External"/><Relationship Id="rId53" Type="http://schemas.openxmlformats.org/officeDocument/2006/relationships/hyperlink" Target="https://github.com/epicweb-dev/epicshop/blob/main/AGENTS.md" TargetMode="External"/><Relationship Id="rId149" Type="http://schemas.openxmlformats.org/officeDocument/2006/relationships/hyperlink" Target="https://github.com/microsoft/vscode-jupyter/blob/main/.github/copilot-instructions.md" TargetMode="External"/><Relationship Id="rId314" Type="http://schemas.openxmlformats.org/officeDocument/2006/relationships/hyperlink" Target="https://github.com/LLFourn/secp256kfun/blob/master/CLAUDE.md" TargetMode="External"/><Relationship Id="rId356" Type="http://schemas.openxmlformats.org/officeDocument/2006/relationships/hyperlink" Target="https://github.com/Pipelex/pipelex/blob/main/CLAUDE.md" TargetMode="External"/><Relationship Id="rId398" Type="http://schemas.openxmlformats.org/officeDocument/2006/relationships/hyperlink" Target="https://github.com/theopenco/llmgateway/blob/main/CLAUDE.md" TargetMode="External"/><Relationship Id="rId95" Type="http://schemas.openxmlformats.org/officeDocument/2006/relationships/hyperlink" Target="https://github.com/wieslawsoltes/Xaml.Behaviors/blob/master/AGENTS.md" TargetMode="External"/><Relationship Id="rId160" Type="http://schemas.openxmlformats.org/officeDocument/2006/relationships/hyperlink" Target="https://github.com/SparkDevNetwork/Rock/blob/master/.github/copilot-instructions.md" TargetMode="External"/><Relationship Id="rId216" Type="http://schemas.openxmlformats.org/officeDocument/2006/relationships/hyperlink" Target="https://github.com/evmts/tevm-monorepo/blob/main/CLAUDE.md" TargetMode="External"/><Relationship Id="rId423" Type="http://schemas.openxmlformats.org/officeDocument/2006/relationships/hyperlink" Target="https://github.com/CapSoftware/Cap/blob/main/AGENTS.md" TargetMode="External"/><Relationship Id="rId258" Type="http://schemas.openxmlformats.org/officeDocument/2006/relationships/hyperlink" Target="https://github.com/clidey/dory/blob/main/CLAUDE.md" TargetMode="External"/><Relationship Id="rId465" Type="http://schemas.openxmlformats.org/officeDocument/2006/relationships/hyperlink" Target="https://github.com/JuliaLang/julia/blob/master/AGENTS.md" TargetMode="External"/><Relationship Id="rId22" Type="http://schemas.openxmlformats.org/officeDocument/2006/relationships/hyperlink" Target="https://github.com/wvlet/wvlet/blob/main/CLAUDE.md" TargetMode="External"/><Relationship Id="rId64" Type="http://schemas.openxmlformats.org/officeDocument/2006/relationships/hyperlink" Target="https://github.com/Pipelex/pipelex/blob/main/AGENTS.md" TargetMode="External"/><Relationship Id="rId118" Type="http://schemas.openxmlformats.org/officeDocument/2006/relationships/hyperlink" Target="https://github.com/Azure/AgentBaker/blob/main/.github/copilot-instructions.md" TargetMode="External"/><Relationship Id="rId325" Type="http://schemas.openxmlformats.org/officeDocument/2006/relationships/hyperlink" Target="https://github.com/netdata/netdata/blob/master/CLAUDE.md" TargetMode="External"/><Relationship Id="rId367" Type="http://schemas.openxmlformats.org/officeDocument/2006/relationships/hyperlink" Target="https://github.com/qltysh/qlty/blob/main/CLAUDE.md" TargetMode="External"/><Relationship Id="rId171" Type="http://schemas.openxmlformats.org/officeDocument/2006/relationships/hyperlink" Target="https://github.com/lightdash/lightdash/blob/main/CLAUDE.md" TargetMode="External"/><Relationship Id="rId227" Type="http://schemas.openxmlformats.org/officeDocument/2006/relationships/hyperlink" Target="https://github.com/Azure/autorest.typescript/blob/main/.github/copilot-instructions.md" TargetMode="External"/><Relationship Id="rId269" Type="http://schemas.openxmlformats.org/officeDocument/2006/relationships/hyperlink" Target="https://github.com/coder/coder/blob/main/CLAUDE.md" TargetMode="External"/><Relationship Id="rId434" Type="http://schemas.openxmlformats.org/officeDocument/2006/relationships/hyperlink" Target="https://github.com/commonwarexyz/monorepo/blob/main/AGENTS.md" TargetMode="External"/><Relationship Id="rId476" Type="http://schemas.openxmlformats.org/officeDocument/2006/relationships/hyperlink" Target="https://github.com/langfuse/langfuse/blob/main/AGENTS.md" TargetMode="External"/><Relationship Id="rId33" Type="http://schemas.openxmlformats.org/officeDocument/2006/relationships/hyperlink" Target="https://github.com/zed-industries/zed/blob/main/CLAUDE.md" TargetMode="External"/><Relationship Id="rId129" Type="http://schemas.openxmlformats.org/officeDocument/2006/relationships/hyperlink" Target="https://github.com/esphome/esphome/blob/main/.github/copilot-instructions.md" TargetMode="External"/><Relationship Id="rId280" Type="http://schemas.openxmlformats.org/officeDocument/2006/relationships/hyperlink" Target="https://github.com/dailydotdev/apps/blob/main/CLAUDE.md" TargetMode="External"/><Relationship Id="rId336" Type="http://schemas.openxmlformats.org/officeDocument/2006/relationships/hyperlink" Target="https://github.com/OneKeyHQ/app-monorepo/blob/master/CLAUDE.md" TargetMode="External"/><Relationship Id="rId501" Type="http://schemas.openxmlformats.org/officeDocument/2006/relationships/table" Target="../tables/table3.xml"/><Relationship Id="rId75" Type="http://schemas.openxmlformats.org/officeDocument/2006/relationships/hyperlink" Target="https://github.com/rustfs/rustfs/blob/main/AGENTS.md" TargetMode="External"/><Relationship Id="rId140" Type="http://schemas.openxmlformats.org/officeDocument/2006/relationships/hyperlink" Target="https://github.com/microsoft/ApplicationInsights-JS/blob/main/.github/copilot-instructions.md" TargetMode="External"/><Relationship Id="rId182" Type="http://schemas.openxmlformats.org/officeDocument/2006/relationships/hyperlink" Target="https://github.com/anyproto/anytype-ts/blob/main/CLAUDE.md" TargetMode="External"/><Relationship Id="rId378" Type="http://schemas.openxmlformats.org/officeDocument/2006/relationships/hyperlink" Target="https://github.com/RchGrav/claudebox/blob/main/CLAUDE.md" TargetMode="External"/><Relationship Id="rId403" Type="http://schemas.openxmlformats.org/officeDocument/2006/relationships/hyperlink" Target="https://github.com/vaadin/flow/blob/main/CLAUDE.md" TargetMode="External"/><Relationship Id="rId6" Type="http://schemas.openxmlformats.org/officeDocument/2006/relationships/hyperlink" Target="https://github.com/steipete/Peekaboo/blob/main/CLAUDE.md" TargetMode="External"/><Relationship Id="rId238" Type="http://schemas.openxmlformats.org/officeDocument/2006/relationships/hyperlink" Target="https://github.com/ajanraj/OpenChat/blob/main/CLAUDE.md" TargetMode="External"/><Relationship Id="rId445" Type="http://schemas.openxmlformats.org/officeDocument/2006/relationships/hyperlink" Target="https://github.com/gitkraken/vscode-gitlens/blob/main/AGENTS.md" TargetMode="External"/><Relationship Id="rId487" Type="http://schemas.openxmlformats.org/officeDocument/2006/relationships/hyperlink" Target="https://github.com/luccahuguet/yazelix/blob/main/AGENTS.md" TargetMode="External"/><Relationship Id="rId291" Type="http://schemas.openxmlformats.org/officeDocument/2006/relationships/hyperlink" Target="https://github.com/geneontology/go-ontology/blob/master/CLAUDE.md" TargetMode="External"/><Relationship Id="rId305" Type="http://schemas.openxmlformats.org/officeDocument/2006/relationships/hyperlink" Target="https://github.com/langchain-ai/langchain/blob/master/CLAUDE.md" TargetMode="External"/><Relationship Id="rId347" Type="http://schemas.openxmlformats.org/officeDocument/2006/relationships/hyperlink" Target="https://github.com/openai/openai-agents-python/blob/main/CLAUDE.md" TargetMode="External"/><Relationship Id="rId44" Type="http://schemas.openxmlformats.org/officeDocument/2006/relationships/hyperlink" Target="https://github.com/CapSoftware/Cap/blob/main/AGENTS.md" TargetMode="External"/><Relationship Id="rId86" Type="http://schemas.openxmlformats.org/officeDocument/2006/relationships/hyperlink" Target="https://github.com/web-infra-dev/rspack/blob/main/AGENTS.md" TargetMode="External"/><Relationship Id="rId151" Type="http://schemas.openxmlformats.org/officeDocument/2006/relationships/hyperlink" Target="https://github.com/NG-ZORRO/ng-zorro-antd/blob/master/.github/copilot-instructions.md" TargetMode="External"/><Relationship Id="rId389" Type="http://schemas.openxmlformats.org/officeDocument/2006/relationships/hyperlink" Target="https://github.com/Southclaws/storyden/blob/main/CLAUDE.md" TargetMode="External"/><Relationship Id="rId193" Type="http://schemas.openxmlformats.org/officeDocument/2006/relationships/hyperlink" Target="https://github.com/zed-industries/zed/blob/main/CLAUDE.md" TargetMode="External"/><Relationship Id="rId207" Type="http://schemas.openxmlformats.org/officeDocument/2006/relationships/hyperlink" Target="https://github.com/owid/owid-grapher/blob/master/.github/copilot-instructions.md" TargetMode="External"/><Relationship Id="rId249" Type="http://schemas.openxmlformats.org/officeDocument/2006/relationships/hyperlink" Target="https://github.com/BerriAI/litellm/blob/main/CLAUDE.md" TargetMode="External"/><Relationship Id="rId414" Type="http://schemas.openxmlformats.org/officeDocument/2006/relationships/hyperlink" Target="https://github.com/biolink/biolink-model/blob/master/AGENTS.md" TargetMode="External"/><Relationship Id="rId456" Type="http://schemas.openxmlformats.org/officeDocument/2006/relationships/hyperlink" Target="https://github.com/JuliaLang/julia/blob/master/AGENTS.md" TargetMode="External"/><Relationship Id="rId498" Type="http://schemas.openxmlformats.org/officeDocument/2006/relationships/hyperlink" Target="https://github.com/luccahuguet/yazelix/blob/main/AGENTS.md" TargetMode="External"/><Relationship Id="rId13" Type="http://schemas.openxmlformats.org/officeDocument/2006/relationships/hyperlink" Target="https://github.com/tphakala/birdnet-go/blob/main/CLAUDE.md" TargetMode="External"/><Relationship Id="rId109" Type="http://schemas.openxmlformats.org/officeDocument/2006/relationships/hyperlink" Target="https://github.com/zenml-io/zenml/blob/main/AGENTS.md" TargetMode="External"/><Relationship Id="rId260" Type="http://schemas.openxmlformats.org/officeDocument/2006/relationships/hyperlink" Target="https://github.com/cloudposse/atmos/blob/main/CLAUDE.md" TargetMode="External"/><Relationship Id="rId316" Type="http://schemas.openxmlformats.org/officeDocument/2006/relationships/hyperlink" Target="https://github.com/lollipopkit/flutter_server_box/blob/main/CLAUDE.md" TargetMode="External"/><Relationship Id="rId55" Type="http://schemas.openxmlformats.org/officeDocument/2006/relationships/hyperlink" Target="https://github.com/gluesql/glues/blob/main/AGENTS.md" TargetMode="External"/><Relationship Id="rId97" Type="http://schemas.openxmlformats.org/officeDocument/2006/relationships/hyperlink" Target="https://github.com/wieslawsoltes/Xaml.Behaviors/blob/master/AGENTS.md" TargetMode="External"/><Relationship Id="rId120" Type="http://schemas.openxmlformats.org/officeDocument/2006/relationships/hyperlink" Target="https://github.com/Azure/azure-sdk-tools/blob/main/.github/copilot-instructions.md" TargetMode="External"/><Relationship Id="rId358" Type="http://schemas.openxmlformats.org/officeDocument/2006/relationships/hyperlink" Target="https://github.com/Pipelex/pipelex/blob/main/CLAUDE.md" TargetMode="External"/><Relationship Id="rId162" Type="http://schemas.openxmlformats.org/officeDocument/2006/relationships/hyperlink" Target="https://github.com/sybrew/the-seo-framework/blob/master/.github/copilot-instructions.md" TargetMode="External"/><Relationship Id="rId218" Type="http://schemas.openxmlformats.org/officeDocument/2006/relationships/hyperlink" Target="https://github.com/useautumn/autumn/blob/main/AGENTS.md" TargetMode="External"/><Relationship Id="rId425" Type="http://schemas.openxmlformats.org/officeDocument/2006/relationships/hyperlink" Target="https://github.com/CapSoftware/Cap/blob/main/AGENTS.md" TargetMode="External"/><Relationship Id="rId467" Type="http://schemas.openxmlformats.org/officeDocument/2006/relationships/hyperlink" Target="https://github.com/kdroidFilter/Platform-Tools/blob/master/AGENTS.md" TargetMode="External"/><Relationship Id="rId271" Type="http://schemas.openxmlformats.org/officeDocument/2006/relationships/hyperlink" Target="https://github.com/coder/coder/blob/main/CLAUDE.md" TargetMode="External"/><Relationship Id="rId24" Type="http://schemas.openxmlformats.org/officeDocument/2006/relationships/hyperlink" Target="https://github.com/wvlet/wvlet/blob/main/CLAUDE.md" TargetMode="External"/><Relationship Id="rId66" Type="http://schemas.openxmlformats.org/officeDocument/2006/relationships/hyperlink" Target="https://github.com/Pipelex/pipelex/blob/main/AGENTS.md" TargetMode="External"/><Relationship Id="rId131" Type="http://schemas.openxmlformats.org/officeDocument/2006/relationships/hyperlink" Target="https://github.com/esphome/esphome/blob/main/.github/copilot-instructions.md" TargetMode="External"/><Relationship Id="rId327" Type="http://schemas.openxmlformats.org/officeDocument/2006/relationships/hyperlink" Target="https://github.com/nrwl/nx/blob/master/CLAUDE.md" TargetMode="External"/><Relationship Id="rId369" Type="http://schemas.openxmlformats.org/officeDocument/2006/relationships/hyperlink" Target="https://github.com/qltysh/qlty/blob/main/CLAUDE.md" TargetMode="External"/><Relationship Id="rId173" Type="http://schemas.openxmlformats.org/officeDocument/2006/relationships/hyperlink" Target="https://github.com/lightdash/lightdash/blob/main/CLAUDE.md" TargetMode="External"/><Relationship Id="rId229" Type="http://schemas.openxmlformats.org/officeDocument/2006/relationships/hyperlink" Target="https://github.com/stepfunc/dnp3/blob/main/CLAUDE.md" TargetMode="External"/><Relationship Id="rId380" Type="http://schemas.openxmlformats.org/officeDocument/2006/relationships/hyperlink" Target="https://github.com/RchGrav/claudebox/blob/main/CLAUDE.md" TargetMode="External"/><Relationship Id="rId436" Type="http://schemas.openxmlformats.org/officeDocument/2006/relationships/hyperlink" Target="https://github.com/commonwarexyz/monorepo/blob/main/AGENTS.md" TargetMode="External"/><Relationship Id="rId240" Type="http://schemas.openxmlformats.org/officeDocument/2006/relationships/hyperlink" Target="https://github.com/angular-eslint/angular-eslint/blob/main/CLAUDE.md" TargetMode="External"/><Relationship Id="rId478" Type="http://schemas.openxmlformats.org/officeDocument/2006/relationships/hyperlink" Target="https://github.com/langfuse/langfuse/blob/main/AGENTS.md" TargetMode="External"/><Relationship Id="rId35" Type="http://schemas.openxmlformats.org/officeDocument/2006/relationships/hyperlink" Target="https://github.com/zenml-io/zenml/blob/main/CLAUDE.md" TargetMode="External"/><Relationship Id="rId77" Type="http://schemas.openxmlformats.org/officeDocument/2006/relationships/hyperlink" Target="https://github.com/rustfs/rustfs/blob/main/AGENTS.md" TargetMode="External"/><Relationship Id="rId100" Type="http://schemas.openxmlformats.org/officeDocument/2006/relationships/hyperlink" Target="https://github.com/wieslawsoltes/Xaml.Behaviors/blob/master/AGENTS.md" TargetMode="External"/><Relationship Id="rId282" Type="http://schemas.openxmlformats.org/officeDocument/2006/relationships/hyperlink" Target="https://github.com/dailydotdev/apps/blob/main/CLAUDE.md" TargetMode="External"/><Relationship Id="rId338" Type="http://schemas.openxmlformats.org/officeDocument/2006/relationships/hyperlink" Target="https://github.com/open-metadata/OpenMetadata/blob/main/CLAUDE.md" TargetMode="External"/><Relationship Id="rId8" Type="http://schemas.openxmlformats.org/officeDocument/2006/relationships/hyperlink" Target="https://github.com/thirdweb-dev/js/blob/main/CLAUDE.md" TargetMode="External"/><Relationship Id="rId142" Type="http://schemas.openxmlformats.org/officeDocument/2006/relationships/hyperlink" Target="https://github.com/microsoft/ApplicationInsights-JS/blob/main/.github/copilot-instructions.md" TargetMode="External"/><Relationship Id="rId184" Type="http://schemas.openxmlformats.org/officeDocument/2006/relationships/hyperlink" Target="https://github.com/zenml-io/zenml/blob/main/CLAUDE.md" TargetMode="External"/><Relationship Id="rId391" Type="http://schemas.openxmlformats.org/officeDocument/2006/relationships/hyperlink" Target="https://github.com/speaches-ai/speaches/blob/master/CLAUDE.md" TargetMode="External"/><Relationship Id="rId405" Type="http://schemas.openxmlformats.org/officeDocument/2006/relationships/hyperlink" Target="https://github.com/xlnfinance/xln/blob/main/CLAUDE.md" TargetMode="External"/><Relationship Id="rId447" Type="http://schemas.openxmlformats.org/officeDocument/2006/relationships/hyperlink" Target="https://github.com/hahwul/dalfox/blob/main/AGENTS.md" TargetMode="External"/><Relationship Id="rId251" Type="http://schemas.openxmlformats.org/officeDocument/2006/relationships/hyperlink" Target="https://github.com/CapSoftware/Cap/blob/main/CLAUDE.md" TargetMode="External"/><Relationship Id="rId489" Type="http://schemas.openxmlformats.org/officeDocument/2006/relationships/hyperlink" Target="https://github.com/luccahuguet/yazelix/blob/main/AGENTS.md" TargetMode="External"/><Relationship Id="rId46" Type="http://schemas.openxmlformats.org/officeDocument/2006/relationships/hyperlink" Target="https://github.com/carverauto/serviceradar/blob/main/AGENTS.md" TargetMode="External"/><Relationship Id="rId293" Type="http://schemas.openxmlformats.org/officeDocument/2006/relationships/hyperlink" Target="https://github.com/getsentry/sentry-cocoa/blob/main/CLAUDE.md" TargetMode="External"/><Relationship Id="rId307" Type="http://schemas.openxmlformats.org/officeDocument/2006/relationships/hyperlink" Target="https://github.com/langchain-ai/langchain/blob/master/CLAUDE.md" TargetMode="External"/><Relationship Id="rId349" Type="http://schemas.openxmlformats.org/officeDocument/2006/relationships/hyperlink" Target="https://github.com/openai/openai-agents-python/blob/main/CLAUDE.md" TargetMode="External"/><Relationship Id="rId88" Type="http://schemas.openxmlformats.org/officeDocument/2006/relationships/hyperlink" Target="https://github.com/wieslawsoltes/Dock/blob/master/AGENTS.md" TargetMode="External"/><Relationship Id="rId111" Type="http://schemas.openxmlformats.org/officeDocument/2006/relationships/hyperlink" Target="https://github.com/Agoric/agoric-sdk/blob/master/.github/copilot-instructions.md" TargetMode="External"/><Relationship Id="rId153" Type="http://schemas.openxmlformats.org/officeDocument/2006/relationships/hyperlink" Target="https://github.com/Open-LLM-VTuber/Open-LLM-VTuber/blob/main/.github/copilot-instructions.md" TargetMode="External"/><Relationship Id="rId195" Type="http://schemas.openxmlformats.org/officeDocument/2006/relationships/hyperlink" Target="https://github.com/dotnet/runtime/blob/main/.github/copilot-instructions.md" TargetMode="External"/><Relationship Id="rId209" Type="http://schemas.openxmlformats.org/officeDocument/2006/relationships/hyperlink" Target="https://github.com/colinhacks/zod/blob/main/CLAUDE.md" TargetMode="External"/><Relationship Id="rId360" Type="http://schemas.openxmlformats.org/officeDocument/2006/relationships/hyperlink" Target="https://github.com/Pipelex/pipelex/blob/main/CLAUDE.md" TargetMode="External"/><Relationship Id="rId416" Type="http://schemas.openxmlformats.org/officeDocument/2006/relationships/hyperlink" Target="https://github.com/bionic-gpt/bionic-gpt/blob/main/AGENTS.md" TargetMode="External"/><Relationship Id="rId220" Type="http://schemas.openxmlformats.org/officeDocument/2006/relationships/hyperlink" Target="https://github.com/cloudposse/atmos/blob/main/CLAUDE.md" TargetMode="External"/><Relationship Id="rId458" Type="http://schemas.openxmlformats.org/officeDocument/2006/relationships/hyperlink" Target="https://github.com/JuliaLang/julia/blob/master/AGENTS.md" TargetMode="External"/><Relationship Id="rId15" Type="http://schemas.openxmlformats.org/officeDocument/2006/relationships/hyperlink" Target="https://github.com/truenas/webui/blob/master/CLAUDE.md" TargetMode="External"/><Relationship Id="rId57" Type="http://schemas.openxmlformats.org/officeDocument/2006/relationships/hyperlink" Target="https://github.com/hahwul/dalfox/blob/main/AGENTS.md" TargetMode="External"/><Relationship Id="rId262" Type="http://schemas.openxmlformats.org/officeDocument/2006/relationships/hyperlink" Target="https://github.com/cockroachdb/cockroach/blob/master/CLAUDE.md" TargetMode="External"/><Relationship Id="rId318" Type="http://schemas.openxmlformats.org/officeDocument/2006/relationships/hyperlink" Target="https://github.com/lostleaf/binance_datatool/blob/main/CLAUDE.md" TargetMode="External"/><Relationship Id="rId99" Type="http://schemas.openxmlformats.org/officeDocument/2006/relationships/hyperlink" Target="https://github.com/wieslawsoltes/Xaml.Behaviors/blob/master/AGENTS.md" TargetMode="External"/><Relationship Id="rId122" Type="http://schemas.openxmlformats.org/officeDocument/2006/relationships/hyperlink" Target="https://github.com/bbc/simorgh/blob/master/.github/copilot-instructions.md" TargetMode="External"/><Relationship Id="rId164" Type="http://schemas.openxmlformats.org/officeDocument/2006/relationships/hyperlink" Target="https://github.com/syntaxfm/website/blob/main/.github/copilot-instructions.md" TargetMode="External"/><Relationship Id="rId371" Type="http://schemas.openxmlformats.org/officeDocument/2006/relationships/hyperlink" Target="https://github.com/quarylabs/sqruff/blob/main/CLAUDE.md" TargetMode="External"/><Relationship Id="rId427" Type="http://schemas.openxmlformats.org/officeDocument/2006/relationships/hyperlink" Target="https://github.com/CapSoftware/Cap/blob/main/AGENTS.md" TargetMode="External"/><Relationship Id="rId469" Type="http://schemas.openxmlformats.org/officeDocument/2006/relationships/hyperlink" Target="https://github.com/langchain-ai/langchain/blob/master/AGENTS.md" TargetMode="External"/><Relationship Id="rId26" Type="http://schemas.openxmlformats.org/officeDocument/2006/relationships/hyperlink" Target="https://github.com/zed-industries/zed/blob/main/CLAUDE.md" TargetMode="External"/><Relationship Id="rId231" Type="http://schemas.openxmlformats.org/officeDocument/2006/relationships/hyperlink" Target="https://github.com/luccahuguet/yazelix/blob/main/AGENTS.md" TargetMode="External"/><Relationship Id="rId273" Type="http://schemas.openxmlformats.org/officeDocument/2006/relationships/hyperlink" Target="https://github.com/colinhacks/zod/blob/main/CLAUDE.md" TargetMode="External"/><Relationship Id="rId329" Type="http://schemas.openxmlformats.org/officeDocument/2006/relationships/hyperlink" Target="https://github.com/obophenotype/uberon/blob/master/CLAUDE.md" TargetMode="External"/><Relationship Id="rId480" Type="http://schemas.openxmlformats.org/officeDocument/2006/relationships/hyperlink" Target="https://github.com/luccahuguet/yazelix/blob/main/AGENTS.md" TargetMode="External"/><Relationship Id="rId68" Type="http://schemas.openxmlformats.org/officeDocument/2006/relationships/hyperlink" Target="https://github.com/PrairieLearn/PrairieLearn/blob/master/AGENTS.md" TargetMode="External"/><Relationship Id="rId133" Type="http://schemas.openxmlformats.org/officeDocument/2006/relationships/hyperlink" Target="https://github.com/github/branch-deploy/blob/main/.github/copilot-instructions.md" TargetMode="External"/><Relationship Id="rId175" Type="http://schemas.openxmlformats.org/officeDocument/2006/relationships/hyperlink" Target="https://github.com/Freika/dawarich/blob/master/CLAUDE.md" TargetMode="External"/><Relationship Id="rId340" Type="http://schemas.openxmlformats.org/officeDocument/2006/relationships/hyperlink" Target="https://github.com/open-metadata/OpenMetadata/blob/main/CLAUDE.md" TargetMode="External"/><Relationship Id="rId200" Type="http://schemas.openxmlformats.org/officeDocument/2006/relationships/hyperlink" Target="https://github.com/owid/etl/blob/master/CLAUDE.md" TargetMode="External"/><Relationship Id="rId382" Type="http://schemas.openxmlformats.org/officeDocument/2006/relationships/hyperlink" Target="https://github.com/RchGrav/claudebox/blob/main/CLAUDE.md" TargetMode="External"/><Relationship Id="rId438" Type="http://schemas.openxmlformats.org/officeDocument/2006/relationships/hyperlink" Target="https://github.com/DannyMac180/meta-agent/blob/main/AGENTS.md" TargetMode="External"/><Relationship Id="rId242" Type="http://schemas.openxmlformats.org/officeDocument/2006/relationships/hyperlink" Target="https://github.com/anyproto/anytype-ts/blob/main/CLAUDE.md" TargetMode="External"/><Relationship Id="rId284" Type="http://schemas.openxmlformats.org/officeDocument/2006/relationships/hyperlink" Target="https://github.com/dailydotdev/apps/blob/main/CLAUDE.md" TargetMode="External"/><Relationship Id="rId491" Type="http://schemas.openxmlformats.org/officeDocument/2006/relationships/hyperlink" Target="https://github.com/luccahuguet/yazelix/blob/main/AGENTS.md" TargetMode="External"/><Relationship Id="rId37" Type="http://schemas.openxmlformats.org/officeDocument/2006/relationships/hyperlink" Target="https://github.com/zenml-io/zenml/blob/main/CLAUDE.md" TargetMode="External"/><Relationship Id="rId79" Type="http://schemas.openxmlformats.org/officeDocument/2006/relationships/hyperlink" Target="https://github.com/rustfs/rustfs/blob/main/AGENTS.md" TargetMode="External"/><Relationship Id="rId102" Type="http://schemas.openxmlformats.org/officeDocument/2006/relationships/hyperlink" Target="https://github.com/wieslawsoltes/Xaml.Behaviors/blob/master/AGENTS.md" TargetMode="External"/><Relationship Id="rId144" Type="http://schemas.openxmlformats.org/officeDocument/2006/relationships/hyperlink" Target="https://github.com/microsoft/GSL/blob/main/.github/copilot-instructions.md" TargetMode="External"/><Relationship Id="rId90" Type="http://schemas.openxmlformats.org/officeDocument/2006/relationships/hyperlink" Target="https://github.com/wieslawsoltes/Dock/blob/master/AGENTS.md" TargetMode="External"/><Relationship Id="rId186" Type="http://schemas.openxmlformats.org/officeDocument/2006/relationships/hyperlink" Target="https://github.com/Zaki-1052/GPTPortal/blob/main/AGENTS.md" TargetMode="External"/><Relationship Id="rId351" Type="http://schemas.openxmlformats.org/officeDocument/2006/relationships/hyperlink" Target="https://github.com/paradigmxyz/reth/blob/main/CLAUDE.md" TargetMode="External"/><Relationship Id="rId393" Type="http://schemas.openxmlformats.org/officeDocument/2006/relationships/hyperlink" Target="https://github.com/theopenco/llmgateway/blob/main/CLAUDE.md" TargetMode="External"/><Relationship Id="rId407" Type="http://schemas.openxmlformats.org/officeDocument/2006/relationships/hyperlink" Target="https://github.com/zenml-io/zenml/blob/main/CLAUDE.md" TargetMode="External"/><Relationship Id="rId449" Type="http://schemas.openxmlformats.org/officeDocument/2006/relationships/hyperlink" Target="https://github.com/herbie-fp/herbie/blob/main/AGENTS.md" TargetMode="External"/><Relationship Id="rId211" Type="http://schemas.openxmlformats.org/officeDocument/2006/relationships/hyperlink" Target="https://github.com/carverauto/serviceradar/blob/main/AGENTS.md" TargetMode="External"/><Relationship Id="rId253" Type="http://schemas.openxmlformats.org/officeDocument/2006/relationships/hyperlink" Target="https://github.com/CapSoftware/Cap/blob/main/CLAUDE.md" TargetMode="External"/><Relationship Id="rId295" Type="http://schemas.openxmlformats.org/officeDocument/2006/relationships/hyperlink" Target="https://github.com/getsentry/vitest-evals/blob/main/CLAUDE.md" TargetMode="External"/><Relationship Id="rId309" Type="http://schemas.openxmlformats.org/officeDocument/2006/relationships/hyperlink" Target="https://github.com/langchain-ai/langchain/blob/master/CLAUDE.md" TargetMode="External"/><Relationship Id="rId460" Type="http://schemas.openxmlformats.org/officeDocument/2006/relationships/hyperlink" Target="https://github.com/JuliaLang/julia/blob/master/AGENTS.md" TargetMode="External"/><Relationship Id="rId48" Type="http://schemas.openxmlformats.org/officeDocument/2006/relationships/hyperlink" Target="https://github.com/commonwarexyz/monorepo/blob/main/AGENTS.md" TargetMode="External"/><Relationship Id="rId113" Type="http://schemas.openxmlformats.org/officeDocument/2006/relationships/hyperlink" Target="https://github.com/Azure/AgentBaker/blob/main/.github/copilot-instructions.md" TargetMode="External"/><Relationship Id="rId320" Type="http://schemas.openxmlformats.org/officeDocument/2006/relationships/hyperlink" Target="https://github.com/netdata/netdata/blob/master/CLAUDE.md" TargetMode="External"/><Relationship Id="rId155" Type="http://schemas.openxmlformats.org/officeDocument/2006/relationships/hyperlink" Target="https://github.com/owid/owid-grapher/blob/master/.github/copilot-instructions.md" TargetMode="External"/><Relationship Id="rId197" Type="http://schemas.openxmlformats.org/officeDocument/2006/relationships/hyperlink" Target="https://github.com/BerriAI/litellm/blob/main/CLAUDE.md" TargetMode="External"/><Relationship Id="rId362" Type="http://schemas.openxmlformats.org/officeDocument/2006/relationships/hyperlink" Target="https://github.com/Pipelex/pipelex/blob/main/CLAUDE.md" TargetMode="External"/><Relationship Id="rId418" Type="http://schemas.openxmlformats.org/officeDocument/2006/relationships/hyperlink" Target="https://github.com/BoldGrid/w3-total-cache/blob/master/AGENTS.md" TargetMode="External"/><Relationship Id="rId222" Type="http://schemas.openxmlformats.org/officeDocument/2006/relationships/hyperlink" Target="https://github.com/getsentry/sentry-cocoa/blob/main/CLAUDE.md" TargetMode="External"/><Relationship Id="rId264" Type="http://schemas.openxmlformats.org/officeDocument/2006/relationships/hyperlink" Target="https://github.com/cockroachdb/cockroach/blob/master/CLAUDE.md" TargetMode="External"/><Relationship Id="rId471" Type="http://schemas.openxmlformats.org/officeDocument/2006/relationships/hyperlink" Target="https://github.com/langchain-ai/langchain/blob/master/AGENTS.md" TargetMode="External"/><Relationship Id="rId17" Type="http://schemas.openxmlformats.org/officeDocument/2006/relationships/hyperlink" Target="https://github.com/wolfi-dev/os/blob/main/CLAUDE.md" TargetMode="External"/><Relationship Id="rId59" Type="http://schemas.openxmlformats.org/officeDocument/2006/relationships/hyperlink" Target="https://github.com/johnlindquist/kit/blob/main/AGENTS.md" TargetMode="External"/><Relationship Id="rId124" Type="http://schemas.openxmlformats.org/officeDocument/2006/relationships/hyperlink" Target="https://github.com/dotnet/docs-aspire/blob/main/.github/copilot-instructions.md" TargetMode="External"/><Relationship Id="rId70" Type="http://schemas.openxmlformats.org/officeDocument/2006/relationships/hyperlink" Target="https://github.com/RSSNext/Folo/blob/main/AGENTS.md" TargetMode="External"/><Relationship Id="rId166" Type="http://schemas.openxmlformats.org/officeDocument/2006/relationships/hyperlink" Target="https://github.com/triggerdotdev/trigger.dev/blob/main/.github/copilot-instructions.md" TargetMode="External"/><Relationship Id="rId331" Type="http://schemas.openxmlformats.org/officeDocument/2006/relationships/hyperlink" Target="https://github.com/OlympiaAI/raix/blob/main/CLAUDE.md" TargetMode="External"/><Relationship Id="rId373" Type="http://schemas.openxmlformats.org/officeDocument/2006/relationships/hyperlink" Target="https://github.com/RchGrav/claudebox/blob/main/CLAUDE.md" TargetMode="External"/><Relationship Id="rId429" Type="http://schemas.openxmlformats.org/officeDocument/2006/relationships/hyperlink" Target="https://github.com/carverauto/serviceradar/blob/main/AGENTS.md" TargetMode="External"/><Relationship Id="rId1" Type="http://schemas.openxmlformats.org/officeDocument/2006/relationships/hyperlink" Target="https://github.com/saleor/saleor/blob/main/CLAUDE.md" TargetMode="External"/><Relationship Id="rId233" Type="http://schemas.openxmlformats.org/officeDocument/2006/relationships/hyperlink" Target="https://github.com/microsoft/TypeScript/blob/main/.github/copilot-instructions.md" TargetMode="External"/><Relationship Id="rId440" Type="http://schemas.openxmlformats.org/officeDocument/2006/relationships/hyperlink" Target="https://github.com/elamperti/OpenWebScrobbler/blob/main/AGENTS.md" TargetMode="External"/><Relationship Id="rId28" Type="http://schemas.openxmlformats.org/officeDocument/2006/relationships/hyperlink" Target="https://github.com/zed-industries/zed/blob/main/CLAUDE.md" TargetMode="External"/><Relationship Id="rId275" Type="http://schemas.openxmlformats.org/officeDocument/2006/relationships/hyperlink" Target="https://github.com/colinhacks/zod/blob/main/CLAUDE.md" TargetMode="External"/><Relationship Id="rId300" Type="http://schemas.openxmlformats.org/officeDocument/2006/relationships/hyperlink" Target="https://github.com/home-assistant/frontend/blob/master/CLAUDE.md" TargetMode="External"/><Relationship Id="rId482" Type="http://schemas.openxmlformats.org/officeDocument/2006/relationships/hyperlink" Target="https://github.com/luccahuguet/yazelix/blob/main/AGENTS.md" TargetMode="External"/><Relationship Id="rId81" Type="http://schemas.openxmlformats.org/officeDocument/2006/relationships/hyperlink" Target="https://github.com/seasonedcc/remix-forms/blob/main/AGENTS.md" TargetMode="External"/><Relationship Id="rId135" Type="http://schemas.openxmlformats.org/officeDocument/2006/relationships/hyperlink" Target="https://github.com/microsoft/ApplicationInsights-JS/blob/main/.github/copilot-instructions.md" TargetMode="External"/><Relationship Id="rId177" Type="http://schemas.openxmlformats.org/officeDocument/2006/relationships/hyperlink" Target="https://github.com/microsoft/ApplicationInsights-JS/blob/main/.github/copilot-instructions.md" TargetMode="External"/><Relationship Id="rId342" Type="http://schemas.openxmlformats.org/officeDocument/2006/relationships/hyperlink" Target="https://github.com/open-metadata/OpenMetadata/blob/main/CLAUDE.md" TargetMode="External"/><Relationship Id="rId384" Type="http://schemas.openxmlformats.org/officeDocument/2006/relationships/hyperlink" Target="https://github.com/saleor/apps/blob/main/CLAUDE.md" TargetMode="External"/><Relationship Id="rId202" Type="http://schemas.openxmlformats.org/officeDocument/2006/relationships/hyperlink" Target="https://github.com/thirdweb-dev/js/blob/main/CLAUDE.md" TargetMode="External"/><Relationship Id="rId244" Type="http://schemas.openxmlformats.org/officeDocument/2006/relationships/hyperlink" Target="https://github.com/Azure/LogicAppsUX/blob/main/CLAUDE.md" TargetMode="External"/><Relationship Id="rId39" Type="http://schemas.openxmlformats.org/officeDocument/2006/relationships/hyperlink" Target="https://github.com/zenml-io/zenml/blob/main/CLAUDE.md" TargetMode="External"/><Relationship Id="rId286" Type="http://schemas.openxmlformats.org/officeDocument/2006/relationships/hyperlink" Target="https://github.com/dailydotdev/apps/blob/main/CLAUDE.md" TargetMode="External"/><Relationship Id="rId451" Type="http://schemas.openxmlformats.org/officeDocument/2006/relationships/hyperlink" Target="https://github.com/herbie-fp/herbie/blob/main/AGENTS.md" TargetMode="External"/><Relationship Id="rId493" Type="http://schemas.openxmlformats.org/officeDocument/2006/relationships/hyperlink" Target="https://github.com/luccahuguet/yazelix/blob/main/AGENTS.md" TargetMode="External"/><Relationship Id="rId50" Type="http://schemas.openxmlformats.org/officeDocument/2006/relationships/hyperlink" Target="https://github.com/DannyMac180/meta-agent/blob/main/AGENTS.md" TargetMode="External"/><Relationship Id="rId104" Type="http://schemas.openxmlformats.org/officeDocument/2006/relationships/hyperlink" Target="https://github.com/yoshiko-pg/difit/blob/main/AGENTS.md" TargetMode="External"/><Relationship Id="rId146" Type="http://schemas.openxmlformats.org/officeDocument/2006/relationships/hyperlink" Target="https://github.com/microsoft/react-native-windows/blob/main/.github/copilot-instructions.md" TargetMode="External"/><Relationship Id="rId188" Type="http://schemas.openxmlformats.org/officeDocument/2006/relationships/hyperlink" Target="https://github.com/johnlindquist/kit/blob/main/AGENTS.md" TargetMode="External"/><Relationship Id="rId311" Type="http://schemas.openxmlformats.org/officeDocument/2006/relationships/hyperlink" Target="https://github.com/lgallard/terraform-aws-backup/blob/master/CLAUDE.md" TargetMode="External"/><Relationship Id="rId353" Type="http://schemas.openxmlformats.org/officeDocument/2006/relationships/hyperlink" Target="https://github.com/Pipelex/pipelex/blob/main/CLAUDE.md" TargetMode="External"/><Relationship Id="rId395" Type="http://schemas.openxmlformats.org/officeDocument/2006/relationships/hyperlink" Target="https://github.com/theopenco/llmgateway/blob/main/CLAUDE.md" TargetMode="External"/><Relationship Id="rId409" Type="http://schemas.openxmlformats.org/officeDocument/2006/relationships/hyperlink" Target="https://github.com/alchemiststudiosDOTai/tunacode/blob/master/AGENTS.md" TargetMode="External"/><Relationship Id="rId92" Type="http://schemas.openxmlformats.org/officeDocument/2006/relationships/hyperlink" Target="https://github.com/wieslawsoltes/Dock/blob/master/AGENTS.md" TargetMode="External"/><Relationship Id="rId213" Type="http://schemas.openxmlformats.org/officeDocument/2006/relationships/hyperlink" Target="https://github.com/public-ui/kolibri/blob/master/AGENTS.md" TargetMode="External"/><Relationship Id="rId420" Type="http://schemas.openxmlformats.org/officeDocument/2006/relationships/hyperlink" Target="https://github.com/BoldGrid/w3-total-cache/blob/master/AGENTS.md" TargetMode="External"/><Relationship Id="rId255" Type="http://schemas.openxmlformats.org/officeDocument/2006/relationships/hyperlink" Target="https://github.com/CapSoftware/Cap/blob/main/CLAUDE.md" TargetMode="External"/><Relationship Id="rId297" Type="http://schemas.openxmlformats.org/officeDocument/2006/relationships/hyperlink" Target="https://github.com/hashintel/hash/blob/main/CLAUDE.md" TargetMode="External"/><Relationship Id="rId462" Type="http://schemas.openxmlformats.org/officeDocument/2006/relationships/hyperlink" Target="https://github.com/JuliaLang/julia/blob/master/AGENTS.md" TargetMode="External"/><Relationship Id="rId115" Type="http://schemas.openxmlformats.org/officeDocument/2006/relationships/hyperlink" Target="https://github.com/Azure/AgentBaker/blob/main/.github/copilot-instructions.md" TargetMode="External"/><Relationship Id="rId157" Type="http://schemas.openxmlformats.org/officeDocument/2006/relationships/hyperlink" Target="https://github.com/raycast/extensions/blob/main/.github/copilot-instructions.md" TargetMode="External"/><Relationship Id="rId322" Type="http://schemas.openxmlformats.org/officeDocument/2006/relationships/hyperlink" Target="https://github.com/netdata/netdata/blob/master/CLAUDE.md" TargetMode="External"/><Relationship Id="rId364" Type="http://schemas.openxmlformats.org/officeDocument/2006/relationships/hyperlink" Target="https://github.com/princeton-pli/hal-harness/blob/main/CLAUDE.md" TargetMode="External"/><Relationship Id="rId61" Type="http://schemas.openxmlformats.org/officeDocument/2006/relationships/hyperlink" Target="https://github.com/luccahuguet/yazelix/blob/main/AGENTS.md" TargetMode="External"/><Relationship Id="rId199" Type="http://schemas.openxmlformats.org/officeDocument/2006/relationships/hyperlink" Target="https://github.com/Freika/dawarich/blob/master/CLAUDE.md" TargetMode="External"/><Relationship Id="rId19" Type="http://schemas.openxmlformats.org/officeDocument/2006/relationships/hyperlink" Target="https://github.com/wvlet/airframe/blob/main/CLAUDE.md" TargetMode="External"/><Relationship Id="rId224" Type="http://schemas.openxmlformats.org/officeDocument/2006/relationships/hyperlink" Target="https://github.com/microsoft/typespec/blob/main/.github/copilot-instructions.md" TargetMode="External"/><Relationship Id="rId266" Type="http://schemas.openxmlformats.org/officeDocument/2006/relationships/hyperlink" Target="https://github.com/coder/coder/blob/main/CLAUDE.md" TargetMode="External"/><Relationship Id="rId431" Type="http://schemas.openxmlformats.org/officeDocument/2006/relationships/hyperlink" Target="https://github.com/commonwarexyz/monorepo/blob/main/AGENTS.md" TargetMode="External"/><Relationship Id="rId473" Type="http://schemas.openxmlformats.org/officeDocument/2006/relationships/hyperlink" Target="https://github.com/langchain-ai/langchain/blob/master/AGENTS.md" TargetMode="External"/><Relationship Id="rId30" Type="http://schemas.openxmlformats.org/officeDocument/2006/relationships/hyperlink" Target="https://github.com/zed-industries/zed/blob/main/CLAUDE.md" TargetMode="External"/><Relationship Id="rId126" Type="http://schemas.openxmlformats.org/officeDocument/2006/relationships/hyperlink" Target="https://github.com/dotnet/sdk/blob/main/.github/copilot-instructions.md" TargetMode="External"/><Relationship Id="rId168" Type="http://schemas.openxmlformats.org/officeDocument/2006/relationships/hyperlink" Target="https://github.com/wvlet/airframe/blob/main/.github/copilot-instructions.md" TargetMode="External"/><Relationship Id="rId333" Type="http://schemas.openxmlformats.org/officeDocument/2006/relationships/hyperlink" Target="https://github.com/OneKeyHQ/app-monorepo/blob/master/CLAUDE.md" TargetMode="External"/><Relationship Id="rId72" Type="http://schemas.openxmlformats.org/officeDocument/2006/relationships/hyperlink" Target="https://github.com/RSSNext/Folo/blob/main/AGENTS.md" TargetMode="External"/><Relationship Id="rId375" Type="http://schemas.openxmlformats.org/officeDocument/2006/relationships/hyperlink" Target="https://github.com/RchGrav/claudebox/blob/main/CLAUDE.md" TargetMode="External"/><Relationship Id="rId3" Type="http://schemas.openxmlformats.org/officeDocument/2006/relationships/hyperlink" Target="https://github.com/spylang/spy/blob/main/CLAUDE.md" TargetMode="External"/><Relationship Id="rId235" Type="http://schemas.openxmlformats.org/officeDocument/2006/relationships/hyperlink" Target="https://github.com/ajanraj/OpenChat/blob/main/CLAUDE.md" TargetMode="External"/><Relationship Id="rId277" Type="http://schemas.openxmlformats.org/officeDocument/2006/relationships/hyperlink" Target="https://github.com/Comfy-Org/comfy-claude-prompt-library/blob/master/CLAUDE.md" TargetMode="External"/><Relationship Id="rId400" Type="http://schemas.openxmlformats.org/officeDocument/2006/relationships/hyperlink" Target="https://github.com/truenas/webui/blob/master/CLAUDE.md" TargetMode="External"/><Relationship Id="rId442" Type="http://schemas.openxmlformats.org/officeDocument/2006/relationships/hyperlink" Target="https://github.com/fujiapple852/trippy/blob/master/AGENTS.md" TargetMode="External"/><Relationship Id="rId484" Type="http://schemas.openxmlformats.org/officeDocument/2006/relationships/hyperlink" Target="https://github.com/luccahuguet/yazelix/blob/main/AGENTS.md" TargetMode="External"/><Relationship Id="rId137" Type="http://schemas.openxmlformats.org/officeDocument/2006/relationships/hyperlink" Target="https://github.com/microsoft/ApplicationInsights-JS/blob/main/.github/copilot-instructions.md" TargetMode="External"/><Relationship Id="rId302" Type="http://schemas.openxmlformats.org/officeDocument/2006/relationships/hyperlink" Target="https://github.com/J-Tech-Japan/Sekiban/blob/main/CLAUDE.md" TargetMode="External"/><Relationship Id="rId344" Type="http://schemas.openxmlformats.org/officeDocument/2006/relationships/hyperlink" Target="https://github.com/open-metadata/OpenMetadata/blob/main/CLAUDE.md" TargetMode="External"/><Relationship Id="rId41" Type="http://schemas.openxmlformats.org/officeDocument/2006/relationships/hyperlink" Target="https://github.com/Azure-Samples/serverless-chat-langchainjs/blob/main/AGENTS.md" TargetMode="External"/><Relationship Id="rId83" Type="http://schemas.openxmlformats.org/officeDocument/2006/relationships/hyperlink" Target="https://github.com/stack-auth/stack-auth/blob/main/AGENTS.md" TargetMode="External"/><Relationship Id="rId179" Type="http://schemas.openxmlformats.org/officeDocument/2006/relationships/hyperlink" Target="https://github.com/Azure/AgentBaker/blob/main/.github/copilot-instructions.md" TargetMode="External"/><Relationship Id="rId386" Type="http://schemas.openxmlformats.org/officeDocument/2006/relationships/hyperlink" Target="https://github.com/saleor/saleor/blob/main/CLAUDE.md" TargetMode="External"/><Relationship Id="rId190" Type="http://schemas.openxmlformats.org/officeDocument/2006/relationships/hyperlink" Target="https://github.com/ArcInstitute/SRAgent/blob/main/AGENTS.md" TargetMode="External"/><Relationship Id="rId204" Type="http://schemas.openxmlformats.org/officeDocument/2006/relationships/hyperlink" Target="https://github.com/elamperti/OpenWebScrobbler/blob/main/AGENTS.md" TargetMode="External"/><Relationship Id="rId246" Type="http://schemas.openxmlformats.org/officeDocument/2006/relationships/hyperlink" Target="https://github.com/BerriAI/litellm/blob/main/CLAUDE.md" TargetMode="External"/><Relationship Id="rId288" Type="http://schemas.openxmlformats.org/officeDocument/2006/relationships/hyperlink" Target="https://github.com/dailydotdev/apps/blob/main/CLAUDE.md" TargetMode="External"/><Relationship Id="rId411" Type="http://schemas.openxmlformats.org/officeDocument/2006/relationships/hyperlink" Target="https://github.com/alchemiststudiosDOTai/tunacode/blob/master/AGENTS.md" TargetMode="External"/><Relationship Id="rId453" Type="http://schemas.openxmlformats.org/officeDocument/2006/relationships/hyperlink" Target="https://github.com/jaredsburrows/android-gif-search/blob/master/AGENTS.md" TargetMode="External"/><Relationship Id="rId106" Type="http://schemas.openxmlformats.org/officeDocument/2006/relationships/hyperlink" Target="https://github.com/zenml-io/zenml/blob/main/AGENTS.md" TargetMode="External"/><Relationship Id="rId313" Type="http://schemas.openxmlformats.org/officeDocument/2006/relationships/hyperlink" Target="https://github.com/lightdash/lightdash/blob/main/CLAUDE.md" TargetMode="External"/><Relationship Id="rId495" Type="http://schemas.openxmlformats.org/officeDocument/2006/relationships/hyperlink" Target="https://github.com/luccahuguet/yazelix/blob/main/AGENTS.md"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522" Type="http://schemas.openxmlformats.org/officeDocument/2006/relationships/hyperlink" Target="https://github.com/BerriAI/litellm/blob/main/CLAUDE.md" TargetMode="External"/><Relationship Id="rId1827" Type="http://schemas.openxmlformats.org/officeDocument/2006/relationships/hyperlink" Target="https://github.com/DumbWareio/DumbAssets/blob/main/.github/copilot-instructions.md" TargetMode="External"/><Relationship Id="rId21" Type="http://schemas.openxmlformats.org/officeDocument/2006/relationships/hyperlink" Target="https://github.com/PrairieLearn/PrairieLearn/blob/master/AGENTS.md" TargetMode="External"/><Relationship Id="rId170" Type="http://schemas.openxmlformats.org/officeDocument/2006/relationships/hyperlink" Target="https://github.com/sybrew/the-seo-framework/blob/master/.github/copilot-instructions.md" TargetMode="External"/><Relationship Id="rId268" Type="http://schemas.openxmlformats.org/officeDocument/2006/relationships/hyperlink" Target="https://github.com/marin-community/marin/blob/main/AGENTS.md" TargetMode="External"/><Relationship Id="rId475" Type="http://schemas.openxmlformats.org/officeDocument/2006/relationships/hyperlink" Target="https://github.com/abh/ntppool/blob/main/CLAUDE.md" TargetMode="External"/><Relationship Id="rId682" Type="http://schemas.openxmlformats.org/officeDocument/2006/relationships/hyperlink" Target="https://github.com/module-federation/core/blob/main/CLAUDE.md" TargetMode="External"/><Relationship Id="rId128" Type="http://schemas.openxmlformats.org/officeDocument/2006/relationships/hyperlink" Target="https://github.com/microsoft/ApplicationInsights-JS/blob/main/.github/copilot-instructions.md" TargetMode="External"/><Relationship Id="rId335" Type="http://schemas.openxmlformats.org/officeDocument/2006/relationships/hyperlink" Target="https://github.com/pannous/wasp/blob/main/CLAUDE.md" TargetMode="External"/><Relationship Id="rId542" Type="http://schemas.openxmlformats.org/officeDocument/2006/relationships/hyperlink" Target="https://github.com/paradigmxyz/reth/blob/main/CLAUDE.md" TargetMode="External"/><Relationship Id="rId987" Type="http://schemas.openxmlformats.org/officeDocument/2006/relationships/hyperlink" Target="https://github.com/mixpanel/mixpanel-android/blob/master/AGENTS.md" TargetMode="External"/><Relationship Id="rId1172" Type="http://schemas.openxmlformats.org/officeDocument/2006/relationships/hyperlink" Target="https://github.com/OneKeyHQ/app-monorepo/blob/master/CLAUDE.md" TargetMode="External"/><Relationship Id="rId402" Type="http://schemas.openxmlformats.org/officeDocument/2006/relationships/hyperlink" Target="https://github.com/dotnet/macios/blob/main/.github/copilot-instructions.md" TargetMode="External"/><Relationship Id="rId847" Type="http://schemas.openxmlformats.org/officeDocument/2006/relationships/hyperlink" Target="https://github.com/module-federation/core/blob/main/CLAUDE.md" TargetMode="External"/><Relationship Id="rId1032" Type="http://schemas.openxmlformats.org/officeDocument/2006/relationships/hyperlink" Target="https://github.com/webgptorg/promptbook/blob/main/AGENTS.md" TargetMode="External"/><Relationship Id="rId1477" Type="http://schemas.openxmlformats.org/officeDocument/2006/relationships/hyperlink" Target="https://github.com/thirdweb-dev/js/blob/main/CLAUDE.md" TargetMode="External"/><Relationship Id="rId1684" Type="http://schemas.openxmlformats.org/officeDocument/2006/relationships/hyperlink" Target="https://github.com/owid/etl/blob/master/AGENTS.md" TargetMode="External"/><Relationship Id="rId1891" Type="http://schemas.openxmlformats.org/officeDocument/2006/relationships/hyperlink" Target="https://github.com/NuGet/NuGetGallery/blob/main/.github/copilot-instructions.md" TargetMode="External"/><Relationship Id="rId707" Type="http://schemas.openxmlformats.org/officeDocument/2006/relationships/hyperlink" Target="https://github.com/openai/openai-agents-python/blob/main/AGENTS.md" TargetMode="External"/><Relationship Id="rId914" Type="http://schemas.openxmlformats.org/officeDocument/2006/relationships/hyperlink" Target="https://github.com/Southclaws/storyden/blob/main/CLAUDE.md" TargetMode="External"/><Relationship Id="rId1337" Type="http://schemas.openxmlformats.org/officeDocument/2006/relationships/hyperlink" Target="https://github.com/open-metadata/OpenMetadata/blob/main/CLAUDE.md" TargetMode="External"/><Relationship Id="rId1544" Type="http://schemas.openxmlformats.org/officeDocument/2006/relationships/hyperlink" Target="https://github.com/dotCMS/core/blob/main/CLAUDE.md" TargetMode="External"/><Relationship Id="rId1751" Type="http://schemas.openxmlformats.org/officeDocument/2006/relationships/hyperlink" Target="https://github.com/wandb/weave/blob/master/AGENTS.md" TargetMode="External"/><Relationship Id="rId43" Type="http://schemas.openxmlformats.org/officeDocument/2006/relationships/hyperlink" Target="https://github.com/pytorch/pytorch/blob/main/AGENTS.md" TargetMode="External"/><Relationship Id="rId1404" Type="http://schemas.openxmlformats.org/officeDocument/2006/relationships/hyperlink" Target="https://github.com/marin-community/marin/blob/main/AGENTS.md" TargetMode="External"/><Relationship Id="rId1611" Type="http://schemas.openxmlformats.org/officeDocument/2006/relationships/hyperlink" Target="https://github.com/Pipelex/pipelex/blob/main/CLAUDE.md" TargetMode="External"/><Relationship Id="rId1849" Type="http://schemas.openxmlformats.org/officeDocument/2006/relationships/hyperlink" Target="https://github.com/compiler-explorer/compiler-explorer/blob/main/CLAUDE.md" TargetMode="External"/><Relationship Id="rId192" Type="http://schemas.openxmlformats.org/officeDocument/2006/relationships/hyperlink" Target="https://github.com/dotnet/sdk/blob/main/.github/copilot-instructions.md" TargetMode="External"/><Relationship Id="rId1709" Type="http://schemas.openxmlformats.org/officeDocument/2006/relationships/hyperlink" Target="https://github.com/dotnet/dotnet-api-docs/blob/main/.github/copilot-instructions.md" TargetMode="External"/><Relationship Id="rId1916" Type="http://schemas.openxmlformats.org/officeDocument/2006/relationships/hyperlink" Target="https://github.com/xlnfinance/xln/blob/main/CLAUDE.md" TargetMode="External"/><Relationship Id="rId497" Type="http://schemas.openxmlformats.org/officeDocument/2006/relationships/hyperlink" Target="https://github.com/coder/coder/blob/main/CLAUDE.md" TargetMode="External"/><Relationship Id="rId357" Type="http://schemas.openxmlformats.org/officeDocument/2006/relationships/hyperlink" Target="https://github.com/CapSoftware/Cap/blob/main/AGENTS.md" TargetMode="External"/><Relationship Id="rId1194" Type="http://schemas.openxmlformats.org/officeDocument/2006/relationships/hyperlink" Target="https://github.com/julep-ai/julep/blob/main/AGENTS.md" TargetMode="External"/><Relationship Id="rId217" Type="http://schemas.openxmlformats.org/officeDocument/2006/relationships/hyperlink" Target="https://github.com/wandb/weave/blob/master/AGENTS.md" TargetMode="External"/><Relationship Id="rId564" Type="http://schemas.openxmlformats.org/officeDocument/2006/relationships/hyperlink" Target="https://github.com/speaches-ai/speaches/blob/master/CLAUDE.md" TargetMode="External"/><Relationship Id="rId771" Type="http://schemas.openxmlformats.org/officeDocument/2006/relationships/hyperlink" Target="https://github.com/coder/coder/blob/main/CLAUDE.md" TargetMode="External"/><Relationship Id="rId869" Type="http://schemas.openxmlformats.org/officeDocument/2006/relationships/hyperlink" Target="https://github.com/open-metadata/OpenMetadata/blob/main/CLAUDE.md" TargetMode="External"/><Relationship Id="rId1499" Type="http://schemas.openxmlformats.org/officeDocument/2006/relationships/hyperlink" Target="https://github.com/dotnet/docs-aspire/blob/main/.github/copilot-instructions.md" TargetMode="External"/><Relationship Id="rId424" Type="http://schemas.openxmlformats.org/officeDocument/2006/relationships/hyperlink" Target="https://github.com/abh/ntppool/blob/main/CLAUDE.md" TargetMode="External"/><Relationship Id="rId631" Type="http://schemas.openxmlformats.org/officeDocument/2006/relationships/hyperlink" Target="https://github.com/dotnet/maui/blob/main/.github/copilot-instructions.md" TargetMode="External"/><Relationship Id="rId729" Type="http://schemas.openxmlformats.org/officeDocument/2006/relationships/hyperlink" Target="https://github.com/angular-eslint/angular-eslint/blob/main/CLAUDE.md" TargetMode="External"/><Relationship Id="rId1054" Type="http://schemas.openxmlformats.org/officeDocument/2006/relationships/hyperlink" Target="https://github.com/ast-grep/ast-grep/blob/main/.github/copilot-instructions.md" TargetMode="External"/><Relationship Id="rId1261" Type="http://schemas.openxmlformats.org/officeDocument/2006/relationships/hyperlink" Target="https://github.com/anyproto/anytype-swift/blob/main/CLAUDE.md" TargetMode="External"/><Relationship Id="rId1359" Type="http://schemas.openxmlformats.org/officeDocument/2006/relationships/hyperlink" Target="https://github.com/xlnfinance/xln/blob/main/CLAUDE.md" TargetMode="External"/><Relationship Id="rId936" Type="http://schemas.openxmlformats.org/officeDocument/2006/relationships/hyperlink" Target="https://github.com/xlnfinance/xln/blob/main/CLAUDE.md" TargetMode="External"/><Relationship Id="rId1121" Type="http://schemas.openxmlformats.org/officeDocument/2006/relationships/hyperlink" Target="https://github.com/james-gould/azure-keyvault-emulator/blob/master/.github/copilot-instructions.md" TargetMode="External"/><Relationship Id="rId1219" Type="http://schemas.openxmlformats.org/officeDocument/2006/relationships/hyperlink" Target="https://github.com/colinhacks/zod/blob/main/CLAUDE.md" TargetMode="External"/><Relationship Id="rId1566" Type="http://schemas.openxmlformats.org/officeDocument/2006/relationships/hyperlink" Target="https://github.com/getsentry/sentry-javascript/blob/master/CLAUDE.md" TargetMode="External"/><Relationship Id="rId1773" Type="http://schemas.openxmlformats.org/officeDocument/2006/relationships/hyperlink" Target="https://github.com/CapSoftware/Cap/blob/main/AGENTS.md" TargetMode="External"/><Relationship Id="rId65" Type="http://schemas.openxmlformats.org/officeDocument/2006/relationships/hyperlink" Target="https://github.com/theopenco/llmgateway/blob/main/AGENTS.md" TargetMode="External"/><Relationship Id="rId1426" Type="http://schemas.openxmlformats.org/officeDocument/2006/relationships/hyperlink" Target="https://github.com/shopware/shopware/blob/master/AGENTS.md" TargetMode="External"/><Relationship Id="rId1633" Type="http://schemas.openxmlformats.org/officeDocument/2006/relationships/hyperlink" Target="https://github.com/wolfi-dev/os/blob/main/CLAUDE.md" TargetMode="External"/><Relationship Id="rId1840" Type="http://schemas.openxmlformats.org/officeDocument/2006/relationships/hyperlink" Target="https://github.com/abh/ntppool/blob/main/CLAUDE.md" TargetMode="External"/><Relationship Id="rId1700" Type="http://schemas.openxmlformats.org/officeDocument/2006/relationships/hyperlink" Target="https://github.com/zenml-io/zenml/blob/main/AGENTS.md" TargetMode="External"/><Relationship Id="rId1938" Type="http://schemas.openxmlformats.org/officeDocument/2006/relationships/hyperlink" Target="https://github.com/luccahuguet/yazelix/blob/main/AGENTS.md" TargetMode="External"/><Relationship Id="rId281" Type="http://schemas.openxmlformats.org/officeDocument/2006/relationships/hyperlink" Target="https://github.com/cloudposse/atmos/blob/main/CLAUDE.md" TargetMode="External"/><Relationship Id="rId141" Type="http://schemas.openxmlformats.org/officeDocument/2006/relationships/hyperlink" Target="https://github.com/NG-ZORRO/ng-zorro-antd/blob/master/.github/copilot-instructions.md" TargetMode="External"/><Relationship Id="rId379" Type="http://schemas.openxmlformats.org/officeDocument/2006/relationships/hyperlink" Target="https://github.com/pytorch/pytorch/blob/main/AGENTS.md" TargetMode="External"/><Relationship Id="rId586" Type="http://schemas.openxmlformats.org/officeDocument/2006/relationships/hyperlink" Target="https://github.com/gitkraken/vscode-gitlens/blob/main/AGENTS.md" TargetMode="External"/><Relationship Id="rId793" Type="http://schemas.openxmlformats.org/officeDocument/2006/relationships/hyperlink" Target="https://github.com/dailydotdev/apps/blob/main/CLAUDE.md" TargetMode="External"/><Relationship Id="rId7" Type="http://schemas.openxmlformats.org/officeDocument/2006/relationships/hyperlink" Target="https://github.com/microsoft/mcp-for-beginners/blob/main/AGENTS.md" TargetMode="External"/><Relationship Id="rId239" Type="http://schemas.openxmlformats.org/officeDocument/2006/relationships/hyperlink" Target="https://github.com/SparkDevNetwork/Rock/blob/master/.github/copilot-instructions.md" TargetMode="External"/><Relationship Id="rId446" Type="http://schemas.openxmlformats.org/officeDocument/2006/relationships/hyperlink" Target="https://github.com/geneontology/go-ontology/blob/master/.github/copilot-instructions.md" TargetMode="External"/><Relationship Id="rId653" Type="http://schemas.openxmlformats.org/officeDocument/2006/relationships/hyperlink" Target="https://github.com/NG-ZORRO/ng-zorro-antd/blob/master/.github/copilot-instructions.md" TargetMode="External"/><Relationship Id="rId1076" Type="http://schemas.openxmlformats.org/officeDocument/2006/relationships/hyperlink" Target="https://github.com/Chainlit/chainlit/blob/main/.github/copilot-instructions.md" TargetMode="External"/><Relationship Id="rId1283" Type="http://schemas.openxmlformats.org/officeDocument/2006/relationships/hyperlink" Target="https://github.com/Azure/LogicAppsUX/blob/main/CLAUDE.md" TargetMode="External"/><Relationship Id="rId1490" Type="http://schemas.openxmlformats.org/officeDocument/2006/relationships/hyperlink" Target="https://github.com/wieslawsoltes/Dock/blob/master/AGENTS.md" TargetMode="External"/><Relationship Id="rId306" Type="http://schemas.openxmlformats.org/officeDocument/2006/relationships/hyperlink" Target="https://github.com/dailydotdev/apps/blob/main/CLAUDE.md" TargetMode="External"/><Relationship Id="rId860" Type="http://schemas.openxmlformats.org/officeDocument/2006/relationships/hyperlink" Target="https://github.com/obophenotype/uberon/blob/master/CLAUDE.md" TargetMode="External"/><Relationship Id="rId958" Type="http://schemas.openxmlformats.org/officeDocument/2006/relationships/hyperlink" Target="https://github.com/CapSoftware/Cap/blob/main/AGENTS.md" TargetMode="External"/><Relationship Id="rId1143" Type="http://schemas.openxmlformats.org/officeDocument/2006/relationships/hyperlink" Target="https://github.com/primer/react/blob/main/.github/copilot-instructions.md" TargetMode="External"/><Relationship Id="rId1588" Type="http://schemas.openxmlformats.org/officeDocument/2006/relationships/hyperlink" Target="https://github.com/modelcontextprotocol/typescript-sdk/blob/main/CLAUDE.md" TargetMode="External"/><Relationship Id="rId1795" Type="http://schemas.openxmlformats.org/officeDocument/2006/relationships/hyperlink" Target="https://github.com/theopenco/llmgateway/blob/main/AGENTS.md" TargetMode="External"/><Relationship Id="rId87" Type="http://schemas.openxmlformats.org/officeDocument/2006/relationships/hyperlink" Target="https://github.com/yoshiko-pg/difit/blob/main/AGENTS.md" TargetMode="External"/><Relationship Id="rId513" Type="http://schemas.openxmlformats.org/officeDocument/2006/relationships/hyperlink" Target="https://github.com/grafbase/grafbase/blob/main/CLAUDE.md" TargetMode="External"/><Relationship Id="rId720" Type="http://schemas.openxmlformats.org/officeDocument/2006/relationships/hyperlink" Target="https://github.com/abh/ntppool/blob/main/CLAUDE.md" TargetMode="External"/><Relationship Id="rId818" Type="http://schemas.openxmlformats.org/officeDocument/2006/relationships/hyperlink" Target="https://github.com/geneontology/go-ontology/blob/master/CLAUDE.md" TargetMode="External"/><Relationship Id="rId1350" Type="http://schemas.openxmlformats.org/officeDocument/2006/relationships/hyperlink" Target="https://github.com/saleor/apps/blob/main/CLAUDE.md" TargetMode="External"/><Relationship Id="rId1448" Type="http://schemas.openxmlformats.org/officeDocument/2006/relationships/hyperlink" Target="https://github.com/FidelusAleksander/ghcertified/blob/master/.github/copilot-instructions.md" TargetMode="External"/><Relationship Id="rId1655" Type="http://schemas.openxmlformats.org/officeDocument/2006/relationships/hyperlink" Target="https://github.com/DataDog/datadog-agent/blob/main/AGENTS.md" TargetMode="External"/><Relationship Id="rId1003" Type="http://schemas.openxmlformats.org/officeDocument/2006/relationships/hyperlink" Target="https://github.com/PrairieLearn/PrairieLearn/blob/master/AGENTS.md" TargetMode="External"/><Relationship Id="rId1210" Type="http://schemas.openxmlformats.org/officeDocument/2006/relationships/hyperlink" Target="https://github.com/owid/etl/blob/master/CLAUDE.md" TargetMode="External"/><Relationship Id="rId1308" Type="http://schemas.openxmlformats.org/officeDocument/2006/relationships/hyperlink" Target="https://github.com/getsentry/sentry-cocoa/blob/main/CLAUDE.md" TargetMode="External"/><Relationship Id="rId1862" Type="http://schemas.openxmlformats.org/officeDocument/2006/relationships/hyperlink" Target="https://github.com/modelcontextprotocol/typescript-sdk/blob/main/CLAUDE.md" TargetMode="External"/><Relationship Id="rId1515" Type="http://schemas.openxmlformats.org/officeDocument/2006/relationships/hyperlink" Target="https://github.com/anyproto/anytype-ts/blob/main/CLAUDE.md" TargetMode="External"/><Relationship Id="rId1722" Type="http://schemas.openxmlformats.org/officeDocument/2006/relationships/hyperlink" Target="https://github.com/microsoft/FluidFramework/blob/main/.github/copilot-instructions.md" TargetMode="External"/><Relationship Id="rId14" Type="http://schemas.openxmlformats.org/officeDocument/2006/relationships/hyperlink" Target="https://github.com/Pipelex/pipelex/blob/main/AGENTS.md" TargetMode="External"/><Relationship Id="rId163" Type="http://schemas.openxmlformats.org/officeDocument/2006/relationships/hyperlink" Target="https://github.com/sybrew/the-seo-framework/blob/master/.github/copilot-instructions.md" TargetMode="External"/><Relationship Id="rId370" Type="http://schemas.openxmlformats.org/officeDocument/2006/relationships/hyperlink" Target="https://github.com/PrairieLearn/PrairieLearn/blob/master/AGENTS.md" TargetMode="External"/><Relationship Id="rId230" Type="http://schemas.openxmlformats.org/officeDocument/2006/relationships/hyperlink" Target="https://github.com/luccahuguet/yazelix/blob/main/AGENTS.md" TargetMode="External"/><Relationship Id="rId468" Type="http://schemas.openxmlformats.org/officeDocument/2006/relationships/hyperlink" Target="https://github.com/coder/coder/blob/main/CLAUDE.md" TargetMode="External"/><Relationship Id="rId675" Type="http://schemas.openxmlformats.org/officeDocument/2006/relationships/hyperlink" Target="https://github.com/carverauto/serviceradar/blob/main/AGENTS.md" TargetMode="External"/><Relationship Id="rId882" Type="http://schemas.openxmlformats.org/officeDocument/2006/relationships/hyperlink" Target="https://github.com/pannous/wasp/blob/main/CLAUDE.md" TargetMode="External"/><Relationship Id="rId1098" Type="http://schemas.openxmlformats.org/officeDocument/2006/relationships/hyperlink" Target="https://github.com/friendsofhyperf/components/blob/main/.github/copilot-instructions.md" TargetMode="External"/><Relationship Id="rId328" Type="http://schemas.openxmlformats.org/officeDocument/2006/relationships/hyperlink" Target="https://github.com/nrwl/nx/blob/master/CLAUDE.md" TargetMode="External"/><Relationship Id="rId535" Type="http://schemas.openxmlformats.org/officeDocument/2006/relationships/hyperlink" Target="https://github.com/open-metadata/OpenMetadata/blob/main/CLAUDE.md" TargetMode="External"/><Relationship Id="rId742" Type="http://schemas.openxmlformats.org/officeDocument/2006/relationships/hyperlink" Target="https://github.com/browser-use/browser-use/blob/main/CLAUDE.md" TargetMode="External"/><Relationship Id="rId1165" Type="http://schemas.openxmlformats.org/officeDocument/2006/relationships/hyperlink" Target="https://github.com/OneKeyHQ/app-monorepo/blob/master/CLAUDE.md" TargetMode="External"/><Relationship Id="rId1372" Type="http://schemas.openxmlformats.org/officeDocument/2006/relationships/hyperlink" Target="https://github.com/charlesvestal/extending-move/blob/main/AGENTS.md" TargetMode="External"/><Relationship Id="rId602" Type="http://schemas.openxmlformats.org/officeDocument/2006/relationships/hyperlink" Target="https://github.com/owid/etl/blob/master/AGENTS.md" TargetMode="External"/><Relationship Id="rId1025" Type="http://schemas.openxmlformats.org/officeDocument/2006/relationships/hyperlink" Target="https://github.com/theopenco/llmgateway/blob/main/AGENTS.md" TargetMode="External"/><Relationship Id="rId1232" Type="http://schemas.openxmlformats.org/officeDocument/2006/relationships/hyperlink" Target="https://github.com/dotCMS/core/blob/main/CLAUDE.md" TargetMode="External"/><Relationship Id="rId1677" Type="http://schemas.openxmlformats.org/officeDocument/2006/relationships/hyperlink" Target="https://github.com/marin-community/marin/blob/main/AGENTS.md" TargetMode="External"/><Relationship Id="rId1884" Type="http://schemas.openxmlformats.org/officeDocument/2006/relationships/hyperlink" Target="https://github.com/dotnet/runtime/blob/main/.github/copilot-instructions.md" TargetMode="External"/><Relationship Id="rId907" Type="http://schemas.openxmlformats.org/officeDocument/2006/relationships/hyperlink" Target="https://github.com/RchGrav/claudebox/blob/main/CLAUDE.md" TargetMode="External"/><Relationship Id="rId1537" Type="http://schemas.openxmlformats.org/officeDocument/2006/relationships/hyperlink" Target="https://github.com/Comfy-Org/comfy-claude-prompt-library/blob/master/CLAUDE.md" TargetMode="External"/><Relationship Id="rId1744" Type="http://schemas.openxmlformats.org/officeDocument/2006/relationships/hyperlink" Target="https://github.com/timmo001/system-bridge/blob/master/.github/copilot-instructions.md" TargetMode="External"/><Relationship Id="rId36" Type="http://schemas.openxmlformats.org/officeDocument/2006/relationships/hyperlink" Target="https://github.com/pulumi/docs/blob/master/AGENTS.md" TargetMode="External"/><Relationship Id="rId1604" Type="http://schemas.openxmlformats.org/officeDocument/2006/relationships/hyperlink" Target="https://github.com/open-metadata/OpenMetadata/blob/main/CLAUDE.md" TargetMode="External"/><Relationship Id="rId185" Type="http://schemas.openxmlformats.org/officeDocument/2006/relationships/hyperlink" Target="https://github.com/vczh-libraries/GacUI/blob/master/.github/copilot-instructions.md" TargetMode="External"/><Relationship Id="rId1811" Type="http://schemas.openxmlformats.org/officeDocument/2006/relationships/hyperlink" Target="https://github.com/open-metadata/OpenMetadata/blob/main/CLAUDE.md" TargetMode="External"/><Relationship Id="rId1909" Type="http://schemas.openxmlformats.org/officeDocument/2006/relationships/hyperlink" Target="https://github.com/microsoft/vs-threading/blob/main/.github/copilot-instructions.md" TargetMode="External"/><Relationship Id="rId392" Type="http://schemas.openxmlformats.org/officeDocument/2006/relationships/hyperlink" Target="https://github.com/Azure/autorest.typescript/blob/main/.github/copilot-instructions.md" TargetMode="External"/><Relationship Id="rId697" Type="http://schemas.openxmlformats.org/officeDocument/2006/relationships/hyperlink" Target="https://github.com/janbjorge/pgqueuer/blob/main/AGENTS.md" TargetMode="External"/><Relationship Id="rId252" Type="http://schemas.openxmlformats.org/officeDocument/2006/relationships/hyperlink" Target="https://github.com/getsentry/sentry-java/blob/main/CLAUDE.md" TargetMode="External"/><Relationship Id="rId1187" Type="http://schemas.openxmlformats.org/officeDocument/2006/relationships/hyperlink" Target="https://github.com/stack-auth/stack-auth/blob/main/AGENTS.md" TargetMode="External"/><Relationship Id="rId112" Type="http://schemas.openxmlformats.org/officeDocument/2006/relationships/hyperlink" Target="https://github.com/dotnet/maui/blob/main/.github/copilot-instructions.md" TargetMode="External"/><Relationship Id="rId557" Type="http://schemas.openxmlformats.org/officeDocument/2006/relationships/hyperlink" Target="https://github.com/saleor/saleor/blob/main/CLAUDE.md" TargetMode="External"/><Relationship Id="rId764" Type="http://schemas.openxmlformats.org/officeDocument/2006/relationships/hyperlink" Target="https://github.com/cloudposse/atmos/blob/main/CLAUDE.md" TargetMode="External"/><Relationship Id="rId971" Type="http://schemas.openxmlformats.org/officeDocument/2006/relationships/hyperlink" Target="https://github.com/gitkraken/vscode-gitlens/blob/main/AGENTS.md" TargetMode="External"/><Relationship Id="rId1394" Type="http://schemas.openxmlformats.org/officeDocument/2006/relationships/hyperlink" Target="https://github.com/luccahuguet/yazelix/blob/main/AGENTS.md" TargetMode="External"/><Relationship Id="rId1699" Type="http://schemas.openxmlformats.org/officeDocument/2006/relationships/hyperlink" Target="https://github.com/zenml-io/zenml/blob/main/AGENTS.md" TargetMode="External"/><Relationship Id="rId417" Type="http://schemas.openxmlformats.org/officeDocument/2006/relationships/hyperlink" Target="https://github.com/owncast/owncast/blob/master/.github/copilot-instructions.md" TargetMode="External"/><Relationship Id="rId624" Type="http://schemas.openxmlformats.org/officeDocument/2006/relationships/hyperlink" Target="https://github.com/Azure/azure-functions-host/blob/master/.github/copilot-instructions.md" TargetMode="External"/><Relationship Id="rId831" Type="http://schemas.openxmlformats.org/officeDocument/2006/relationships/hyperlink" Target="https://github.com/getsentry/sentry-mcp/blob/main/CLAUDE.md" TargetMode="External"/><Relationship Id="rId1047" Type="http://schemas.openxmlformats.org/officeDocument/2006/relationships/hyperlink" Target="https://github.com/alandtse/alexa_media_player/blob/master/.github/copilot-instructions.md" TargetMode="External"/><Relationship Id="rId1254" Type="http://schemas.openxmlformats.org/officeDocument/2006/relationships/hyperlink" Target="https://github.com/esphome/esphome/blob/main/.github/copilot-instructions.md" TargetMode="External"/><Relationship Id="rId1461" Type="http://schemas.openxmlformats.org/officeDocument/2006/relationships/hyperlink" Target="https://github.com/zwave-js/zwave-js-ui/blob/master/.github/copilot-instructions.md" TargetMode="External"/><Relationship Id="rId929" Type="http://schemas.openxmlformats.org/officeDocument/2006/relationships/hyperlink" Target="https://github.com/transloadit/uppy/blob/main/CLAUDE.md" TargetMode="External"/><Relationship Id="rId1114" Type="http://schemas.openxmlformats.org/officeDocument/2006/relationships/hyperlink" Target="https://github.com/irihitech/Ursa.Avalonia/blob/main/.github/copilot-instructions.md" TargetMode="External"/><Relationship Id="rId1321" Type="http://schemas.openxmlformats.org/officeDocument/2006/relationships/hyperlink" Target="https://github.com/langchain-ai/langchain/blob/master/CLAUDE.md" TargetMode="External"/><Relationship Id="rId1559" Type="http://schemas.openxmlformats.org/officeDocument/2006/relationships/hyperlink" Target="https://github.com/fukuball/jieba-php/blob/master/CLAUDE.md" TargetMode="External"/><Relationship Id="rId1766" Type="http://schemas.openxmlformats.org/officeDocument/2006/relationships/hyperlink" Target="https://github.com/zenml-io/zenml/blob/main/CLAUDE.md" TargetMode="External"/><Relationship Id="rId58" Type="http://schemas.openxmlformats.org/officeDocument/2006/relationships/hyperlink" Target="https://github.com/rustfs/rustfs/blob/main/AGENTS.md" TargetMode="External"/><Relationship Id="rId1419" Type="http://schemas.openxmlformats.org/officeDocument/2006/relationships/hyperlink" Target="https://github.com/python-cachier/cachier/blob/master/AGENTS.md" TargetMode="External"/><Relationship Id="rId1626" Type="http://schemas.openxmlformats.org/officeDocument/2006/relationships/hyperlink" Target="https://github.com/twentyhq/twenty/blob/main/CLAUDE.md" TargetMode="External"/><Relationship Id="rId1833" Type="http://schemas.openxmlformats.org/officeDocument/2006/relationships/hyperlink" Target="https://github.com/microsoft/TypeScript/blob/main/.github/copilot-instructions.md" TargetMode="External"/><Relationship Id="rId1900" Type="http://schemas.openxmlformats.org/officeDocument/2006/relationships/hyperlink" Target="https://github.com/seasonedcc/remix-forms/blob/main/AGENTS.md" TargetMode="External"/><Relationship Id="rId274" Type="http://schemas.openxmlformats.org/officeDocument/2006/relationships/hyperlink" Target="https://github.com/BerriAI/litellm/blob/main/CLAUDE.md" TargetMode="External"/><Relationship Id="rId481" Type="http://schemas.openxmlformats.org/officeDocument/2006/relationships/hyperlink" Target="https://github.com/anyproto/anytype-ts/blob/main/CLAUDE.md" TargetMode="External"/><Relationship Id="rId134" Type="http://schemas.openxmlformats.org/officeDocument/2006/relationships/hyperlink" Target="https://github.com/microsoft/typespec/blob/main/.github/copilot-instructions.md" TargetMode="External"/><Relationship Id="rId579" Type="http://schemas.openxmlformats.org/officeDocument/2006/relationships/hyperlink" Target="https://github.com/zed-industries/zed/blob/main/CLAUDE.md" TargetMode="External"/><Relationship Id="rId786" Type="http://schemas.openxmlformats.org/officeDocument/2006/relationships/hyperlink" Target="https://github.com/compiler-explorer/infra/blob/main/CLAUDE.md" TargetMode="External"/><Relationship Id="rId993" Type="http://schemas.openxmlformats.org/officeDocument/2006/relationships/hyperlink" Target="https://github.com/Pipelex/pipelex/blob/main/AGENTS.md" TargetMode="External"/><Relationship Id="rId341" Type="http://schemas.openxmlformats.org/officeDocument/2006/relationships/hyperlink" Target="https://github.com/princeton-pli/hal-harness/blob/main/CLAUDE.md" TargetMode="External"/><Relationship Id="rId439" Type="http://schemas.openxmlformats.org/officeDocument/2006/relationships/hyperlink" Target="https://github.com/commonwarexyz/monorepo/blob/main/AGENTS.md" TargetMode="External"/><Relationship Id="rId646" Type="http://schemas.openxmlformats.org/officeDocument/2006/relationships/hyperlink" Target="https://github.com/microsoft/ApplicationInsights-JS/blob/main/.github/copilot-instructions.md" TargetMode="External"/><Relationship Id="rId1069" Type="http://schemas.openxmlformats.org/officeDocument/2006/relationships/hyperlink" Target="https://github.com/Azure/autorest.typescript/blob/main/.github/copilot-instructions.md" TargetMode="External"/><Relationship Id="rId1276" Type="http://schemas.openxmlformats.org/officeDocument/2006/relationships/hyperlink" Target="https://github.com/stack-auth/stack-auth/blob/main/AGENTS.md" TargetMode="External"/><Relationship Id="rId1483" Type="http://schemas.openxmlformats.org/officeDocument/2006/relationships/hyperlink" Target="https://github.com/gitkraken/vscode-gitlens/blob/main/AGENTS.md" TargetMode="External"/><Relationship Id="rId201" Type="http://schemas.openxmlformats.org/officeDocument/2006/relationships/hyperlink" Target="https://github.com/anyproto/anytype-ts/blob/main/CLAUDE.md" TargetMode="External"/><Relationship Id="rId506" Type="http://schemas.openxmlformats.org/officeDocument/2006/relationships/hyperlink" Target="https://github.com/evmts/tevm-monorepo/blob/main/CLAUDE.md" TargetMode="External"/><Relationship Id="rId853" Type="http://schemas.openxmlformats.org/officeDocument/2006/relationships/hyperlink" Target="https://github.com/netdata/netdata/blob/master/CLAUDE.md" TargetMode="External"/><Relationship Id="rId1136" Type="http://schemas.openxmlformats.org/officeDocument/2006/relationships/hyperlink" Target="https://github.com/obophenotype/uberon/blob/master/.github/copilot-instructions.md" TargetMode="External"/><Relationship Id="rId1690" Type="http://schemas.openxmlformats.org/officeDocument/2006/relationships/hyperlink" Target="https://github.com/python-cachier/cachier/blob/master/AGENTS.md" TargetMode="External"/><Relationship Id="rId1788" Type="http://schemas.openxmlformats.org/officeDocument/2006/relationships/hyperlink" Target="https://github.com/theopenco/llmgateway/blob/main/CLAUDE.md" TargetMode="External"/><Relationship Id="rId713" Type="http://schemas.openxmlformats.org/officeDocument/2006/relationships/hyperlink" Target="https://github.com/abh/ntppool/blob/main/CLAUDE.md" TargetMode="External"/><Relationship Id="rId920" Type="http://schemas.openxmlformats.org/officeDocument/2006/relationships/hyperlink" Target="https://github.com/theopenco/llmgateway/blob/main/CLAUDE.md" TargetMode="External"/><Relationship Id="rId1343" Type="http://schemas.openxmlformats.org/officeDocument/2006/relationships/hyperlink" Target="https://github.com/RchGrav/claudebox/blob/main/CLAUDE.md" TargetMode="External"/><Relationship Id="rId1550" Type="http://schemas.openxmlformats.org/officeDocument/2006/relationships/hyperlink" Target="https://github.com/dropseed/plain/blob/main/CLAUDE.md" TargetMode="External"/><Relationship Id="rId1648" Type="http://schemas.openxmlformats.org/officeDocument/2006/relationships/hyperlink" Target="https://github.com/commonwarexyz/monorepo/blob/main/AGENTS.md" TargetMode="External"/><Relationship Id="rId1203" Type="http://schemas.openxmlformats.org/officeDocument/2006/relationships/hyperlink" Target="https://github.com/OneKeyHQ/app-monorepo/blob/master/CLAUDE.md" TargetMode="External"/><Relationship Id="rId1410" Type="http://schemas.openxmlformats.org/officeDocument/2006/relationships/hyperlink" Target="https://github.com/mixpanel/mixpanel-android/blob/master/AGENTS.md" TargetMode="External"/><Relationship Id="rId1508" Type="http://schemas.openxmlformats.org/officeDocument/2006/relationships/hyperlink" Target="https://github.com/AhmedElywa/prisma-tools/blob/main/CLAUDE.md" TargetMode="External"/><Relationship Id="rId1855" Type="http://schemas.openxmlformats.org/officeDocument/2006/relationships/hyperlink" Target="https://github.com/Freika/dawarich/blob/master/CLAUDE.md" TargetMode="External"/><Relationship Id="rId1715" Type="http://schemas.openxmlformats.org/officeDocument/2006/relationships/hyperlink" Target="https://github.com/FidelusAleksander/ghcertified/blob/master/.github/copilot-instructions.md" TargetMode="External"/><Relationship Id="rId1922" Type="http://schemas.openxmlformats.org/officeDocument/2006/relationships/hyperlink" Target="https://github.com/xlnfinance/xln/blob/main/CLAUDE.md" TargetMode="External"/><Relationship Id="rId296" Type="http://schemas.openxmlformats.org/officeDocument/2006/relationships/hyperlink" Target="https://github.com/colinhacks/zod/blob/main/CLAUDE.md" TargetMode="External"/><Relationship Id="rId156" Type="http://schemas.openxmlformats.org/officeDocument/2006/relationships/hyperlink" Target="https://github.com/SparkDevNetwork/Rock/blob/master/.github/copilot-instructions.md" TargetMode="External"/><Relationship Id="rId363" Type="http://schemas.openxmlformats.org/officeDocument/2006/relationships/hyperlink" Target="https://github.com/Kiln-AI/Kiln/blob/main/AGENTS.md" TargetMode="External"/><Relationship Id="rId570" Type="http://schemas.openxmlformats.org/officeDocument/2006/relationships/hyperlink" Target="https://github.com/truenas/webui/blob/master/CLAUDE.md" TargetMode="External"/><Relationship Id="rId223" Type="http://schemas.openxmlformats.org/officeDocument/2006/relationships/hyperlink" Target="https://github.com/luccahuguet/yazelix/blob/main/AGENTS.md" TargetMode="External"/><Relationship Id="rId430" Type="http://schemas.openxmlformats.org/officeDocument/2006/relationships/hyperlink" Target="https://github.com/Pipelex/pipelex/blob/main/AGENTS.md" TargetMode="External"/><Relationship Id="rId668" Type="http://schemas.openxmlformats.org/officeDocument/2006/relationships/hyperlink" Target="https://github.com/sybrew/the-seo-framework/blob/master/.github/copilot-instructions.md" TargetMode="External"/><Relationship Id="rId875" Type="http://schemas.openxmlformats.org/officeDocument/2006/relationships/hyperlink" Target="https://github.com/open-metadata/OpenMetadata/blob/main/CLAUDE.md" TargetMode="External"/><Relationship Id="rId1060" Type="http://schemas.openxmlformats.org/officeDocument/2006/relationships/hyperlink" Target="https://github.com/AstrBotDevs/AstrBot/blob/master/.github/copilot-instructions.md" TargetMode="External"/><Relationship Id="rId1298" Type="http://schemas.openxmlformats.org/officeDocument/2006/relationships/hyperlink" Target="https://github.com/evmts/tevm-monorepo/blob/main/CLAUDE.md" TargetMode="External"/><Relationship Id="rId528" Type="http://schemas.openxmlformats.org/officeDocument/2006/relationships/hyperlink" Target="https://github.com/numbagg/numbagg/blob/main/CLAUDE.md" TargetMode="External"/><Relationship Id="rId735" Type="http://schemas.openxmlformats.org/officeDocument/2006/relationships/hyperlink" Target="https://github.com/anyproto/anytype-ts/blob/main/CLAUDE.md" TargetMode="External"/><Relationship Id="rId942" Type="http://schemas.openxmlformats.org/officeDocument/2006/relationships/hyperlink" Target="https://github.com/xlnfinance/xln/blob/main/CLAUDE.md" TargetMode="External"/><Relationship Id="rId1158" Type="http://schemas.openxmlformats.org/officeDocument/2006/relationships/hyperlink" Target="https://github.com/zwave-js/zwave-js/blob/master/.github/copilot-instructions.md" TargetMode="External"/><Relationship Id="rId1365" Type="http://schemas.openxmlformats.org/officeDocument/2006/relationships/hyperlink" Target="https://github.com/bruin-data/bruin/blob/main/AGENTS.md" TargetMode="External"/><Relationship Id="rId1572" Type="http://schemas.openxmlformats.org/officeDocument/2006/relationships/hyperlink" Target="https://github.com/home-assistant/frontend/blob/master/CLAUDE.md" TargetMode="External"/><Relationship Id="rId1018" Type="http://schemas.openxmlformats.org/officeDocument/2006/relationships/hyperlink" Target="https://github.com/pytorch/pytorch/blob/main/AGENTS.md" TargetMode="External"/><Relationship Id="rId1225" Type="http://schemas.openxmlformats.org/officeDocument/2006/relationships/hyperlink" Target="https://github.com/lollipopkit/flutter_server_box/blob/main/CLAUDE.md" TargetMode="External"/><Relationship Id="rId1432" Type="http://schemas.openxmlformats.org/officeDocument/2006/relationships/hyperlink" Target="https://github.com/wieslawsoltes/Dock/blob/master/AGENTS.md" TargetMode="External"/><Relationship Id="rId1877" Type="http://schemas.openxmlformats.org/officeDocument/2006/relationships/hyperlink" Target="https://github.com/PrairieLearn/PrairieLearn/blob/master/AGENTS.md" TargetMode="External"/><Relationship Id="rId71" Type="http://schemas.openxmlformats.org/officeDocument/2006/relationships/hyperlink" Target="https://github.com/useautumn/autumn/blob/main/AGENTS.md" TargetMode="External"/><Relationship Id="rId802" Type="http://schemas.openxmlformats.org/officeDocument/2006/relationships/hyperlink" Target="https://github.com/FastLED/FastLED/blob/master/CLAUDE.md" TargetMode="External"/><Relationship Id="rId1737" Type="http://schemas.openxmlformats.org/officeDocument/2006/relationships/hyperlink" Target="https://github.com/SparkDevNetwork/Rock/blob/master/.github/copilot-instructions.md" TargetMode="External"/><Relationship Id="rId29" Type="http://schemas.openxmlformats.org/officeDocument/2006/relationships/hyperlink" Target="https://github.com/public-ui/kolibri/blob/master/AGENTS.md" TargetMode="External"/><Relationship Id="rId178" Type="http://schemas.openxmlformats.org/officeDocument/2006/relationships/hyperlink" Target="https://github.com/sybrew/the-seo-framework/blob/master/.github/copilot-instructions.md" TargetMode="External"/><Relationship Id="rId1804" Type="http://schemas.openxmlformats.org/officeDocument/2006/relationships/hyperlink" Target="https://github.com/dailydotdev/apps/blob/main/CLAUDE.md" TargetMode="External"/><Relationship Id="rId385" Type="http://schemas.openxmlformats.org/officeDocument/2006/relationships/hyperlink" Target="https://github.com/stack-auth/stack-auth/blob/main/AGENTS.md" TargetMode="External"/><Relationship Id="rId592" Type="http://schemas.openxmlformats.org/officeDocument/2006/relationships/hyperlink" Target="https://github.com/llama-farm/llamafarm/blob/main/AGENTS.md" TargetMode="External"/><Relationship Id="rId245" Type="http://schemas.openxmlformats.org/officeDocument/2006/relationships/hyperlink" Target="https://github.com/getsentry/sentry-java/blob/main/CLAUDE.md" TargetMode="External"/><Relationship Id="rId452" Type="http://schemas.openxmlformats.org/officeDocument/2006/relationships/hyperlink" Target="https://github.com/Freika/dawarich/blob/master/CLAUDE.md" TargetMode="External"/><Relationship Id="rId897" Type="http://schemas.openxmlformats.org/officeDocument/2006/relationships/hyperlink" Target="https://github.com/Pipelex/pipelex/blob/main/CLAUDE.md" TargetMode="External"/><Relationship Id="rId1082" Type="http://schemas.openxmlformats.org/officeDocument/2006/relationships/hyperlink" Target="https://github.com/christianhelle/apiclientcodegen/blob/master/.github/copilot-instructions.md" TargetMode="External"/><Relationship Id="rId105" Type="http://schemas.openxmlformats.org/officeDocument/2006/relationships/hyperlink" Target="https://github.com/dotnet/core/blob/main/.github/copilot-instructions.md" TargetMode="External"/><Relationship Id="rId312" Type="http://schemas.openxmlformats.org/officeDocument/2006/relationships/hyperlink" Target="https://github.com/evmts/tevm-monorepo/blob/main/CLAUDE.md" TargetMode="External"/><Relationship Id="rId757" Type="http://schemas.openxmlformats.org/officeDocument/2006/relationships/hyperlink" Target="https://github.com/cloudposse/atmos/blob/main/CLAUDE.md" TargetMode="External"/><Relationship Id="rId964" Type="http://schemas.openxmlformats.org/officeDocument/2006/relationships/hyperlink" Target="https://github.com/carverauto/serviceradar/blob/main/AGENTS.md" TargetMode="External"/><Relationship Id="rId1387" Type="http://schemas.openxmlformats.org/officeDocument/2006/relationships/hyperlink" Target="https://github.com/Kiln-AI/Kiln/blob/main/AGENTS.md" TargetMode="External"/><Relationship Id="rId1594" Type="http://schemas.openxmlformats.org/officeDocument/2006/relationships/hyperlink" Target="https://github.com/open-metadata/OpenMetadata/blob/main/CLAUDE.md" TargetMode="External"/><Relationship Id="rId93" Type="http://schemas.openxmlformats.org/officeDocument/2006/relationships/hyperlink" Target="https://github.com/Azure/azure-functions-host/blob/master/.github/copilot-instructions.md" TargetMode="External"/><Relationship Id="rId617" Type="http://schemas.openxmlformats.org/officeDocument/2006/relationships/hyperlink" Target="https://github.com/theopenco/llmgateway/blob/main/AGENTS.md" TargetMode="External"/><Relationship Id="rId824" Type="http://schemas.openxmlformats.org/officeDocument/2006/relationships/hyperlink" Target="https://github.com/getsentry/sentry-javascript/blob/master/CLAUDE.md" TargetMode="External"/><Relationship Id="rId1247" Type="http://schemas.openxmlformats.org/officeDocument/2006/relationships/hyperlink" Target="https://github.com/dotnet/maui/blob/main/.github/copilot-instructions.md" TargetMode="External"/><Relationship Id="rId1454" Type="http://schemas.openxmlformats.org/officeDocument/2006/relationships/hyperlink" Target="https://github.com/microsoft/react-native-windows/blob/main/.github/copilot-instructions.md" TargetMode="External"/><Relationship Id="rId1661" Type="http://schemas.openxmlformats.org/officeDocument/2006/relationships/hyperlink" Target="https://github.com/janbjorge/pgqueuer/blob/main/AGENTS.md" TargetMode="External"/><Relationship Id="rId1899" Type="http://schemas.openxmlformats.org/officeDocument/2006/relationships/hyperlink" Target="https://github.com/zenml-io/zenml/blob/main/AGENTS.md" TargetMode="External"/><Relationship Id="rId1107" Type="http://schemas.openxmlformats.org/officeDocument/2006/relationships/hyperlink" Target="https://github.com/geneontology/go-ontology/blob/master/.github/copilot-instructions.md" TargetMode="External"/><Relationship Id="rId1314" Type="http://schemas.openxmlformats.org/officeDocument/2006/relationships/hyperlink" Target="https://github.com/home-assistant/frontend/blob/master/CLAUDE.md" TargetMode="External"/><Relationship Id="rId1521" Type="http://schemas.openxmlformats.org/officeDocument/2006/relationships/hyperlink" Target="https://github.com/BerriAI/litellm/blob/main/CLAUDE.md" TargetMode="External"/><Relationship Id="rId1759" Type="http://schemas.openxmlformats.org/officeDocument/2006/relationships/hyperlink" Target="https://github.com/dotnet/aspnetcore/blob/main/.github/copilot-instructions.md" TargetMode="External"/><Relationship Id="rId1619" Type="http://schemas.openxmlformats.org/officeDocument/2006/relationships/hyperlink" Target="https://github.com/saleor/saleor/blob/main/CLAUDE.md" TargetMode="External"/><Relationship Id="rId1826" Type="http://schemas.openxmlformats.org/officeDocument/2006/relationships/hyperlink" Target="https://github.com/DumbWareio/DumbAssets/blob/main/.github/copilot-instructions.md" TargetMode="External"/><Relationship Id="rId20" Type="http://schemas.openxmlformats.org/officeDocument/2006/relationships/hyperlink" Target="https://github.com/Pipelex/pipelex/blob/main/AGENTS.md" TargetMode="External"/><Relationship Id="rId267" Type="http://schemas.openxmlformats.org/officeDocument/2006/relationships/hyperlink" Target="https://github.com/geneontology/go-ontology/blob/master/CLAUDE.md" TargetMode="External"/><Relationship Id="rId474" Type="http://schemas.openxmlformats.org/officeDocument/2006/relationships/hyperlink" Target="https://github.com/abh/ntppool/blob/main/CLAUDE.md" TargetMode="External"/><Relationship Id="rId127" Type="http://schemas.openxmlformats.org/officeDocument/2006/relationships/hyperlink" Target="https://github.com/microsoft/ApplicationInsights-JS/blob/main/.github/copilot-instructions.md" TargetMode="External"/><Relationship Id="rId681" Type="http://schemas.openxmlformats.org/officeDocument/2006/relationships/hyperlink" Target="https://github.com/sybrew/the-seo-framework/blob/master/.github/copilot-instructions.md" TargetMode="External"/><Relationship Id="rId779" Type="http://schemas.openxmlformats.org/officeDocument/2006/relationships/hyperlink" Target="https://github.com/Comfy-Org/comfy-claude-prompt-library/blob/master/CLAUDE.md" TargetMode="External"/><Relationship Id="rId986" Type="http://schemas.openxmlformats.org/officeDocument/2006/relationships/hyperlink" Target="https://github.com/mixpanel/mixpanel-android/blob/master/AGENTS.md" TargetMode="External"/><Relationship Id="rId334" Type="http://schemas.openxmlformats.org/officeDocument/2006/relationships/hyperlink" Target="https://github.com/owid/etl/blob/master/CLAUDE.md" TargetMode="External"/><Relationship Id="rId541" Type="http://schemas.openxmlformats.org/officeDocument/2006/relationships/hyperlink" Target="https://github.com/pannous/wasp/blob/main/CLAUDE.md" TargetMode="External"/><Relationship Id="rId639" Type="http://schemas.openxmlformats.org/officeDocument/2006/relationships/hyperlink" Target="https://github.com/HotCakeX/Harden-Windows-Security/blob/main/.github/copilot-instructions.md" TargetMode="External"/><Relationship Id="rId1171" Type="http://schemas.openxmlformats.org/officeDocument/2006/relationships/hyperlink" Target="https://github.com/OneKeyHQ/app-monorepo/blob/master/CLAUDE.md" TargetMode="External"/><Relationship Id="rId1269" Type="http://schemas.openxmlformats.org/officeDocument/2006/relationships/hyperlink" Target="https://github.com/RchGrav/claudebox/blob/main/CLAUDE.md" TargetMode="External"/><Relationship Id="rId1476" Type="http://schemas.openxmlformats.org/officeDocument/2006/relationships/hyperlink" Target="https://github.com/open-metadata/OpenMetadata/blob/main/CLAUDE.md" TargetMode="External"/><Relationship Id="rId401" Type="http://schemas.openxmlformats.org/officeDocument/2006/relationships/hyperlink" Target="https://github.com/dotnet/macios/blob/main/.github/copilot-instructions.md" TargetMode="External"/><Relationship Id="rId846" Type="http://schemas.openxmlformats.org/officeDocument/2006/relationships/hyperlink" Target="https://github.com/lollipopkit/flutter_server_box/blob/main/CLAUDE.md" TargetMode="External"/><Relationship Id="rId1031" Type="http://schemas.openxmlformats.org/officeDocument/2006/relationships/hyperlink" Target="https://github.com/valkey-io/valkey-glide/blob/main/AGENTS.md" TargetMode="External"/><Relationship Id="rId1129" Type="http://schemas.openxmlformats.org/officeDocument/2006/relationships/hyperlink" Target="https://github.com/microsoft/typespec/blob/main/.github/copilot-instructions.md" TargetMode="External"/><Relationship Id="rId1683" Type="http://schemas.openxmlformats.org/officeDocument/2006/relationships/hyperlink" Target="https://github.com/openai/openai-agents-python/blob/main/AGENTS.md" TargetMode="External"/><Relationship Id="rId1890" Type="http://schemas.openxmlformats.org/officeDocument/2006/relationships/hyperlink" Target="https://github.com/microsoft/simplechat/blob/main/.github/copilot-instructions.md" TargetMode="External"/><Relationship Id="rId706" Type="http://schemas.openxmlformats.org/officeDocument/2006/relationships/hyperlink" Target="https://github.com/openai/openai-agents-python/blob/main/CLAUDE.md" TargetMode="External"/><Relationship Id="rId913" Type="http://schemas.openxmlformats.org/officeDocument/2006/relationships/hyperlink" Target="https://github.com/saleor/saleor/blob/main/CLAUDE.md" TargetMode="External"/><Relationship Id="rId1336" Type="http://schemas.openxmlformats.org/officeDocument/2006/relationships/hyperlink" Target="https://github.com/open-metadata/OpenMetadata/blob/main/CLAUDE.md" TargetMode="External"/><Relationship Id="rId1543" Type="http://schemas.openxmlformats.org/officeDocument/2006/relationships/hyperlink" Target="https://github.com/dailydotdev/apps/blob/main/CLAUDE.md" TargetMode="External"/><Relationship Id="rId1750" Type="http://schemas.openxmlformats.org/officeDocument/2006/relationships/hyperlink" Target="https://github.com/Open-LLM-VTuber/Open-LLM-VTuber/blob/main/.github/copilot-instructions.md" TargetMode="External"/><Relationship Id="rId42" Type="http://schemas.openxmlformats.org/officeDocument/2006/relationships/hyperlink" Target="https://github.com/pytorch/pytorch/blob/main/AGENTS.md" TargetMode="External"/><Relationship Id="rId1403" Type="http://schemas.openxmlformats.org/officeDocument/2006/relationships/hyperlink" Target="https://github.com/marin-community/marin/blob/main/AGENTS.md" TargetMode="External"/><Relationship Id="rId1610" Type="http://schemas.openxmlformats.org/officeDocument/2006/relationships/hyperlink" Target="https://github.com/owid/etl/blob/master/CLAUDE.md" TargetMode="External"/><Relationship Id="rId1848" Type="http://schemas.openxmlformats.org/officeDocument/2006/relationships/hyperlink" Target="https://github.com/coder/coder/blob/main/CLAUDE.md" TargetMode="External"/><Relationship Id="rId191" Type="http://schemas.openxmlformats.org/officeDocument/2006/relationships/hyperlink" Target="https://github.com/carverauto/serviceradar/blob/main/AGENTS.md" TargetMode="External"/><Relationship Id="rId1708" Type="http://schemas.openxmlformats.org/officeDocument/2006/relationships/hyperlink" Target="https://github.com/dotnet/dotnet-api-docs/blob/main/.github/copilot-instructions.md" TargetMode="External"/><Relationship Id="rId1915" Type="http://schemas.openxmlformats.org/officeDocument/2006/relationships/hyperlink" Target="https://github.com/steipete/Peekaboo/blob/main/CLAUDE.md" TargetMode="External"/><Relationship Id="rId289" Type="http://schemas.openxmlformats.org/officeDocument/2006/relationships/hyperlink" Target="https://github.com/coder/coder/blob/main/CLAUDE.md" TargetMode="External"/><Relationship Id="rId496" Type="http://schemas.openxmlformats.org/officeDocument/2006/relationships/hyperlink" Target="https://github.com/cloudposse/atmos/blob/main/CLAUDE.md" TargetMode="External"/><Relationship Id="rId149" Type="http://schemas.openxmlformats.org/officeDocument/2006/relationships/hyperlink" Target="https://github.com/raycast/extensions/blob/main/.github/copilot-instructions.md" TargetMode="External"/><Relationship Id="rId356" Type="http://schemas.openxmlformats.org/officeDocument/2006/relationships/hyperlink" Target="https://github.com/bionic-gpt/bionic-gpt/blob/main/AGENTS.md" TargetMode="External"/><Relationship Id="rId563" Type="http://schemas.openxmlformats.org/officeDocument/2006/relationships/hyperlink" Target="https://github.com/speaches-ai/speaches/blob/master/CLAUDE.md" TargetMode="External"/><Relationship Id="rId770" Type="http://schemas.openxmlformats.org/officeDocument/2006/relationships/hyperlink" Target="https://github.com/cloudposse/atmos/blob/main/CLAUDE.md" TargetMode="External"/><Relationship Id="rId1193" Type="http://schemas.openxmlformats.org/officeDocument/2006/relationships/hyperlink" Target="https://github.com/lightdash/lightdash/blob/main/CLAUDE.md" TargetMode="External"/><Relationship Id="rId216" Type="http://schemas.openxmlformats.org/officeDocument/2006/relationships/hyperlink" Target="https://github.com/OneKeyHQ/app-monorepo/blob/master/CLAUDE.md" TargetMode="External"/><Relationship Id="rId423" Type="http://schemas.openxmlformats.org/officeDocument/2006/relationships/hyperlink" Target="https://github.com/abh/ntppool/blob/main/CLAUDE.md" TargetMode="External"/><Relationship Id="rId868" Type="http://schemas.openxmlformats.org/officeDocument/2006/relationships/hyperlink" Target="https://github.com/open-metadata/OpenMetadata/blob/main/CLAUDE.md" TargetMode="External"/><Relationship Id="rId1053" Type="http://schemas.openxmlformats.org/officeDocument/2006/relationships/hyperlink" Target="https://github.com/ast-grep/ast-grep/blob/main/.github/copilot-instructions.md" TargetMode="External"/><Relationship Id="rId1260" Type="http://schemas.openxmlformats.org/officeDocument/2006/relationships/hyperlink" Target="https://github.com/marin-community/marin/blob/main/AGENTS.md" TargetMode="External"/><Relationship Id="rId1498" Type="http://schemas.openxmlformats.org/officeDocument/2006/relationships/hyperlink" Target="https://github.com/carverauto/serviceradar/blob/main/AGENTS.md" TargetMode="External"/><Relationship Id="rId630" Type="http://schemas.openxmlformats.org/officeDocument/2006/relationships/hyperlink" Target="https://github.com/dotnet/java-interop/blob/main/.github/copilot-instructions.md" TargetMode="External"/><Relationship Id="rId728" Type="http://schemas.openxmlformats.org/officeDocument/2006/relationships/hyperlink" Target="https://github.com/allenai/open-instruct/blob/main/CLAUDE.md" TargetMode="External"/><Relationship Id="rId935" Type="http://schemas.openxmlformats.org/officeDocument/2006/relationships/hyperlink" Target="https://github.com/wolfi-dev/os/blob/main/CLAUDE.md" TargetMode="External"/><Relationship Id="rId1358" Type="http://schemas.openxmlformats.org/officeDocument/2006/relationships/hyperlink" Target="https://github.com/xlnfinance/xln/blob/main/CLAUDE.md" TargetMode="External"/><Relationship Id="rId1565" Type="http://schemas.openxmlformats.org/officeDocument/2006/relationships/hyperlink" Target="https://github.com/getsentry/sentry-javascript/blob/master/CLAUDE.md" TargetMode="External"/><Relationship Id="rId1772" Type="http://schemas.openxmlformats.org/officeDocument/2006/relationships/hyperlink" Target="https://github.com/zenml-io/zenml/blob/main/AGENTS.md" TargetMode="External"/><Relationship Id="rId64" Type="http://schemas.openxmlformats.org/officeDocument/2006/relationships/hyperlink" Target="https://github.com/theopenco/llmgateway/blob/main/AGENTS.md" TargetMode="External"/><Relationship Id="rId1120" Type="http://schemas.openxmlformats.org/officeDocument/2006/relationships/hyperlink" Target="https://github.com/james-gould/azure-keyvault-emulator/blob/master/.github/copilot-instructions.md" TargetMode="External"/><Relationship Id="rId1218" Type="http://schemas.openxmlformats.org/officeDocument/2006/relationships/hyperlink" Target="https://github.com/coder/coder/blob/main/CLAUDE.md" TargetMode="External"/><Relationship Id="rId1425" Type="http://schemas.openxmlformats.org/officeDocument/2006/relationships/hyperlink" Target="https://github.com/shopware/shopware/blob/master/AGENTS.md" TargetMode="External"/><Relationship Id="rId1632" Type="http://schemas.openxmlformats.org/officeDocument/2006/relationships/hyperlink" Target="https://github.com/wolfi-dev/os/blob/main/CLAUDE.md" TargetMode="External"/><Relationship Id="rId1937" Type="http://schemas.openxmlformats.org/officeDocument/2006/relationships/hyperlink" Target="https://github.com/dailydotdev/apps/blob/main/CLAUDE.md" TargetMode="External"/><Relationship Id="rId280" Type="http://schemas.openxmlformats.org/officeDocument/2006/relationships/hyperlink" Target="https://github.com/cloudposse/atmos/blob/main/CLAUDE.md" TargetMode="External"/><Relationship Id="rId140" Type="http://schemas.openxmlformats.org/officeDocument/2006/relationships/hyperlink" Target="https://github.com/NG-ZORRO/ng-zorro-antd/blob/master/.github/copilot-instructions.md" TargetMode="External"/><Relationship Id="rId378" Type="http://schemas.openxmlformats.org/officeDocument/2006/relationships/hyperlink" Target="https://github.com/pytorch/pytorch/blob/main/AGENTS.md" TargetMode="External"/><Relationship Id="rId585" Type="http://schemas.openxmlformats.org/officeDocument/2006/relationships/hyperlink" Target="https://github.com/getsentry/sentry-mcp/blob/main/AGENTS.md" TargetMode="External"/><Relationship Id="rId792" Type="http://schemas.openxmlformats.org/officeDocument/2006/relationships/hyperlink" Target="https://github.com/dailydotdev/apps/blob/main/CLAUDE.md" TargetMode="External"/><Relationship Id="rId6" Type="http://schemas.openxmlformats.org/officeDocument/2006/relationships/hyperlink" Target="https://github.com/microsoft/mcp-for-beginners/blob/main/AGENTS.md" TargetMode="External"/><Relationship Id="rId238" Type="http://schemas.openxmlformats.org/officeDocument/2006/relationships/hyperlink" Target="https://github.com/ShaunLawrie/PwshSpectreConsole/blob/main/.github/copilot-instructions.md" TargetMode="External"/><Relationship Id="rId445" Type="http://schemas.openxmlformats.org/officeDocument/2006/relationships/hyperlink" Target="https://github.com/PrairieLearn/PrairieLearn/blob/master/AGENTS.md" TargetMode="External"/><Relationship Id="rId652" Type="http://schemas.openxmlformats.org/officeDocument/2006/relationships/hyperlink" Target="https://github.com/microsoft/vs-threading/blob/main/.github/copilot-instructions.md" TargetMode="External"/><Relationship Id="rId1075" Type="http://schemas.openxmlformats.org/officeDocument/2006/relationships/hyperlink" Target="https://github.com/Azure/azure-functions-host/blob/master/.github/copilot-instructions.md" TargetMode="External"/><Relationship Id="rId1282" Type="http://schemas.openxmlformats.org/officeDocument/2006/relationships/hyperlink" Target="https://github.com/Azure/LogicAppsUX/blob/main/CLAUDE.md" TargetMode="External"/><Relationship Id="rId305" Type="http://schemas.openxmlformats.org/officeDocument/2006/relationships/hyperlink" Target="https://github.com/compiler-explorer/infra/blob/main/CLAUDE.md" TargetMode="External"/><Relationship Id="rId512" Type="http://schemas.openxmlformats.org/officeDocument/2006/relationships/hyperlink" Target="https://github.com/gojiplus/tuber/blob/master/CLAUDE.md" TargetMode="External"/><Relationship Id="rId957" Type="http://schemas.openxmlformats.org/officeDocument/2006/relationships/hyperlink" Target="https://github.com/CapSoftware/Cap/blob/main/AGENTS.md" TargetMode="External"/><Relationship Id="rId1142" Type="http://schemas.openxmlformats.org/officeDocument/2006/relationships/hyperlink" Target="https://github.com/primer/react/blob/main/.github/copilot-instructions.md" TargetMode="External"/><Relationship Id="rId1587" Type="http://schemas.openxmlformats.org/officeDocument/2006/relationships/hyperlink" Target="https://github.com/lostleaf/binance_datatool/blob/main/CLAUDE.md" TargetMode="External"/><Relationship Id="rId1794" Type="http://schemas.openxmlformats.org/officeDocument/2006/relationships/hyperlink" Target="https://github.com/theopenco/llmgateway/blob/main/AGENTS.md" TargetMode="External"/><Relationship Id="rId86" Type="http://schemas.openxmlformats.org/officeDocument/2006/relationships/hyperlink" Target="https://github.com/wieslawsoltes/Xaml.Behaviors/blob/master/AGENTS.md" TargetMode="External"/><Relationship Id="rId817" Type="http://schemas.openxmlformats.org/officeDocument/2006/relationships/hyperlink" Target="https://github.com/geneontology/go-ontology/blob/master/CLAUDE.md" TargetMode="External"/><Relationship Id="rId1002" Type="http://schemas.openxmlformats.org/officeDocument/2006/relationships/hyperlink" Target="https://github.com/PrairieLearn/PrairieLearn/blob/master/AGENTS.md" TargetMode="External"/><Relationship Id="rId1447" Type="http://schemas.openxmlformats.org/officeDocument/2006/relationships/hyperlink" Target="https://github.com/esphome/esphome/blob/main/.github/copilot-instructions.md" TargetMode="External"/><Relationship Id="rId1654" Type="http://schemas.openxmlformats.org/officeDocument/2006/relationships/hyperlink" Target="https://github.com/DataDog/datadog-agent/blob/main/AGENTS.md" TargetMode="External"/><Relationship Id="rId1861" Type="http://schemas.openxmlformats.org/officeDocument/2006/relationships/hyperlink" Target="https://github.com/langchain-ai/langchain/blob/master/CLAUDE.md" TargetMode="External"/><Relationship Id="rId1307" Type="http://schemas.openxmlformats.org/officeDocument/2006/relationships/hyperlink" Target="https://github.com/getsentry/sentry-cocoa/blob/main/CLAUDE.md" TargetMode="External"/><Relationship Id="rId1514" Type="http://schemas.openxmlformats.org/officeDocument/2006/relationships/hyperlink" Target="https://github.com/anyproto/anytype-swift/blob/main/CLAUDE.md" TargetMode="External"/><Relationship Id="rId1721" Type="http://schemas.openxmlformats.org/officeDocument/2006/relationships/hyperlink" Target="https://github.com/microsoft/ApplicationInsights-JS/blob/main/.github/copilot-instructions.md" TargetMode="External"/><Relationship Id="rId13" Type="http://schemas.openxmlformats.org/officeDocument/2006/relationships/hyperlink" Target="https://github.com/Pipelex/pipelex/blob/main/AGENTS.md" TargetMode="External"/><Relationship Id="rId1819" Type="http://schemas.openxmlformats.org/officeDocument/2006/relationships/hyperlink" Target="https://github.com/Azure/autorest.typescript/blob/main/.github/copilot-instructions.md" TargetMode="External"/><Relationship Id="rId162" Type="http://schemas.openxmlformats.org/officeDocument/2006/relationships/hyperlink" Target="https://github.com/SparkDevNetwork/Rock/blob/master/.github/copilot-instructions.md" TargetMode="External"/><Relationship Id="rId467" Type="http://schemas.openxmlformats.org/officeDocument/2006/relationships/hyperlink" Target="https://github.com/friendsofhyperf/components/blob/main/.github/copilot-instructions.md" TargetMode="External"/><Relationship Id="rId1097" Type="http://schemas.openxmlformats.org/officeDocument/2006/relationships/hyperlink" Target="https://github.com/FidelusAleksander/ghcertified/blob/master/.github/copilot-instructions.md" TargetMode="External"/><Relationship Id="rId674" Type="http://schemas.openxmlformats.org/officeDocument/2006/relationships/hyperlink" Target="https://github.com/browser-use/browser-use/blob/main/CLAUDE.md" TargetMode="External"/><Relationship Id="rId881" Type="http://schemas.openxmlformats.org/officeDocument/2006/relationships/hyperlink" Target="https://github.com/pannous/wasp/blob/main/CLAUDE.md" TargetMode="External"/><Relationship Id="rId979" Type="http://schemas.openxmlformats.org/officeDocument/2006/relationships/hyperlink" Target="https://github.com/luccahuguet/yazelix/blob/main/AGENTS.md" TargetMode="External"/><Relationship Id="rId327" Type="http://schemas.openxmlformats.org/officeDocument/2006/relationships/hyperlink" Target="https://github.com/nrwl/nx/blob/master/CLAUDE.md" TargetMode="External"/><Relationship Id="rId534" Type="http://schemas.openxmlformats.org/officeDocument/2006/relationships/hyperlink" Target="https://github.com/open-metadata/OpenMetadata/blob/main/CLAUDE.md" TargetMode="External"/><Relationship Id="rId741" Type="http://schemas.openxmlformats.org/officeDocument/2006/relationships/hyperlink" Target="https://github.com/BerriAI/litellm/blob/main/CLAUDE.md" TargetMode="External"/><Relationship Id="rId839" Type="http://schemas.openxmlformats.org/officeDocument/2006/relationships/hyperlink" Target="https://github.com/kubetail-org/kubetail/blob/main/CLAUDE.md" TargetMode="External"/><Relationship Id="rId1164" Type="http://schemas.openxmlformats.org/officeDocument/2006/relationships/hyperlink" Target="https://github.com/abh/ntppool/blob/main/CLAUDE.md" TargetMode="External"/><Relationship Id="rId1371" Type="http://schemas.openxmlformats.org/officeDocument/2006/relationships/hyperlink" Target="https://github.com/carverauto/serviceradar/blob/main/AGENTS.md" TargetMode="External"/><Relationship Id="rId1469" Type="http://schemas.openxmlformats.org/officeDocument/2006/relationships/hyperlink" Target="https://github.com/xlnfinance/xln/blob/main/CLAUDE.md" TargetMode="External"/><Relationship Id="rId601" Type="http://schemas.openxmlformats.org/officeDocument/2006/relationships/hyperlink" Target="https://github.com/marin-community/marin/blob/main/AGENTS.md" TargetMode="External"/><Relationship Id="rId1024" Type="http://schemas.openxmlformats.org/officeDocument/2006/relationships/hyperlink" Target="https://github.com/stack-auth/stack-auth/blob/main/AGENTS.md" TargetMode="External"/><Relationship Id="rId1231" Type="http://schemas.openxmlformats.org/officeDocument/2006/relationships/hyperlink" Target="https://github.com/cloudposse/atmos/blob/main/CLAUDE.md" TargetMode="External"/><Relationship Id="rId1676" Type="http://schemas.openxmlformats.org/officeDocument/2006/relationships/hyperlink" Target="https://github.com/marin-community/marin/blob/main/AGENTS.md" TargetMode="External"/><Relationship Id="rId1883" Type="http://schemas.openxmlformats.org/officeDocument/2006/relationships/hyperlink" Target="https://github.com/Agoric/agoric-sdk/blob/master/.github/copilot-instructions.md" TargetMode="External"/><Relationship Id="rId906" Type="http://schemas.openxmlformats.org/officeDocument/2006/relationships/hyperlink" Target="https://github.com/RchGrav/claudebox/blob/main/CLAUDE.md" TargetMode="External"/><Relationship Id="rId1329" Type="http://schemas.openxmlformats.org/officeDocument/2006/relationships/hyperlink" Target="https://github.com/op-rs/kona/blob/main/CLAUDE.md" TargetMode="External"/><Relationship Id="rId1536" Type="http://schemas.openxmlformats.org/officeDocument/2006/relationships/hyperlink" Target="https://github.com/Comfy-Org/comfy-claude-prompt-library/blob/master/CLAUDE.md" TargetMode="External"/><Relationship Id="rId1743" Type="http://schemas.openxmlformats.org/officeDocument/2006/relationships/hyperlink" Target="https://github.com/syntaxfm/website/blob/main/.github/copilot-instructions.md" TargetMode="External"/><Relationship Id="rId35" Type="http://schemas.openxmlformats.org/officeDocument/2006/relationships/hyperlink" Target="https://github.com/pulumi/docs/blob/master/AGENTS.md" TargetMode="External"/><Relationship Id="rId1603" Type="http://schemas.openxmlformats.org/officeDocument/2006/relationships/hyperlink" Target="https://github.com/open-metadata/OpenMetadata/blob/main/CLAUDE.md" TargetMode="External"/><Relationship Id="rId1810" Type="http://schemas.openxmlformats.org/officeDocument/2006/relationships/hyperlink" Target="https://github.com/nrwl/nx/blob/master/CLAUDE.md" TargetMode="External"/><Relationship Id="rId184" Type="http://schemas.openxmlformats.org/officeDocument/2006/relationships/hyperlink" Target="https://github.com/vczh-libraries/GacUI/blob/master/.github/copilot-instructions.md" TargetMode="External"/><Relationship Id="rId391" Type="http://schemas.openxmlformats.org/officeDocument/2006/relationships/hyperlink" Target="https://github.com/Azure/AgentBaker/blob/main/.github/copilot-instructions.md" TargetMode="External"/><Relationship Id="rId1908" Type="http://schemas.openxmlformats.org/officeDocument/2006/relationships/hyperlink" Target="https://github.com/microsoft/typespec/blob/main/.github/copilot-instructions.md" TargetMode="External"/><Relationship Id="rId251" Type="http://schemas.openxmlformats.org/officeDocument/2006/relationships/hyperlink" Target="https://github.com/microsoft/python-environment-tools/blob/main/.github/copilot-instructions.md" TargetMode="External"/><Relationship Id="rId489" Type="http://schemas.openxmlformats.org/officeDocument/2006/relationships/hyperlink" Target="https://github.com/browser-use/browser-use/blob/main/CLAUDE.md" TargetMode="External"/><Relationship Id="rId696" Type="http://schemas.openxmlformats.org/officeDocument/2006/relationships/hyperlink" Target="https://github.com/janbjorge/pgqueuer/blob/main/AGENTS.md" TargetMode="External"/><Relationship Id="rId349" Type="http://schemas.openxmlformats.org/officeDocument/2006/relationships/hyperlink" Target="https://github.com/truenas/webui/blob/master/CLAUDE.md" TargetMode="External"/><Relationship Id="rId556" Type="http://schemas.openxmlformats.org/officeDocument/2006/relationships/hyperlink" Target="https://github.com/saleor/saleor/blob/main/CLAUDE.md" TargetMode="External"/><Relationship Id="rId763" Type="http://schemas.openxmlformats.org/officeDocument/2006/relationships/hyperlink" Target="https://github.com/cloudposse/atmos/blob/main/CLAUDE.md" TargetMode="External"/><Relationship Id="rId1186" Type="http://schemas.openxmlformats.org/officeDocument/2006/relationships/hyperlink" Target="https://github.com/wieslawsoltes/Xaml.Behaviors/blob/master/AGENTS.md" TargetMode="External"/><Relationship Id="rId1393" Type="http://schemas.openxmlformats.org/officeDocument/2006/relationships/hyperlink" Target="https://github.com/logancyang/obsidian-copilot/blob/master/AGENTS.md" TargetMode="External"/><Relationship Id="rId111" Type="http://schemas.openxmlformats.org/officeDocument/2006/relationships/hyperlink" Target="https://github.com/dotnet/maui/blob/main/.github/copilot-instructions.md" TargetMode="External"/><Relationship Id="rId209" Type="http://schemas.openxmlformats.org/officeDocument/2006/relationships/hyperlink" Target="https://github.com/CapSoftware/Cap/blob/main/CLAUDE.md" TargetMode="External"/><Relationship Id="rId416" Type="http://schemas.openxmlformats.org/officeDocument/2006/relationships/hyperlink" Target="https://github.com/Open-LLM-VTuber/Open-LLM-VTuber/blob/main/.github/copilot-instructions.md" TargetMode="External"/><Relationship Id="rId970" Type="http://schemas.openxmlformats.org/officeDocument/2006/relationships/hyperlink" Target="https://github.com/getsentry/sentry-mcp/blob/main/AGENTS.md" TargetMode="External"/><Relationship Id="rId1046" Type="http://schemas.openxmlformats.org/officeDocument/2006/relationships/hyperlink" Target="https://github.com/alandtse/alexa_media_player/blob/master/.github/copilot-instructions.md" TargetMode="External"/><Relationship Id="rId1253" Type="http://schemas.openxmlformats.org/officeDocument/2006/relationships/hyperlink" Target="https://github.com/grafbase/grafbase/blob/main/CLAUDE.md" TargetMode="External"/><Relationship Id="rId1698" Type="http://schemas.openxmlformats.org/officeDocument/2006/relationships/hyperlink" Target="https://github.com/webgptorg/promptbook/blob/main/AGENTS.md" TargetMode="External"/><Relationship Id="rId623" Type="http://schemas.openxmlformats.org/officeDocument/2006/relationships/hyperlink" Target="https://github.com/zenml-io/zenml/blob/main/AGENTS.md" TargetMode="External"/><Relationship Id="rId830" Type="http://schemas.openxmlformats.org/officeDocument/2006/relationships/hyperlink" Target="https://github.com/getsentry/sentry-javascript/blob/master/CLAUDE.md" TargetMode="External"/><Relationship Id="rId928" Type="http://schemas.openxmlformats.org/officeDocument/2006/relationships/hyperlink" Target="https://github.com/traceloop/openllmetry/blob/main/CLAUDE.md" TargetMode="External"/><Relationship Id="rId1460" Type="http://schemas.openxmlformats.org/officeDocument/2006/relationships/hyperlink" Target="https://github.com/triggerdotdev/trigger.dev/blob/main/.github/copilot-instructions.md" TargetMode="External"/><Relationship Id="rId1558" Type="http://schemas.openxmlformats.org/officeDocument/2006/relationships/hyperlink" Target="https://github.com/Freika/dawarich/blob/master/CLAUDE.md" TargetMode="External"/><Relationship Id="rId1765" Type="http://schemas.openxmlformats.org/officeDocument/2006/relationships/hyperlink" Target="https://github.com/twentyhq/twenty/blob/main/CLAUDE.md" TargetMode="External"/><Relationship Id="rId57" Type="http://schemas.openxmlformats.org/officeDocument/2006/relationships/hyperlink" Target="https://github.com/rustfs/rustfs/blob/main/AGENTS.md" TargetMode="External"/><Relationship Id="rId1113" Type="http://schemas.openxmlformats.org/officeDocument/2006/relationships/hyperlink" Target="https://github.com/irihitech/Ursa.Avalonia/blob/main/.github/copilot-instructions.md" TargetMode="External"/><Relationship Id="rId1320" Type="http://schemas.openxmlformats.org/officeDocument/2006/relationships/hyperlink" Target="https://github.com/langchain-ai/langchain/blob/master/CLAUDE.md" TargetMode="External"/><Relationship Id="rId1418" Type="http://schemas.openxmlformats.org/officeDocument/2006/relationships/hyperlink" Target="https://github.com/python-cachier/cachier/blob/master/AGENTS.md" TargetMode="External"/><Relationship Id="rId1625" Type="http://schemas.openxmlformats.org/officeDocument/2006/relationships/hyperlink" Target="https://github.com/twentyhq/twenty/blob/main/CLAUDE.md" TargetMode="External"/><Relationship Id="rId1832" Type="http://schemas.openxmlformats.org/officeDocument/2006/relationships/hyperlink" Target="https://github.com/ajanraj/OpenChat/blob/main/CLAUDE.md" TargetMode="External"/><Relationship Id="rId273" Type="http://schemas.openxmlformats.org/officeDocument/2006/relationships/hyperlink" Target="https://github.com/allenai/open-instruct/blob/main/CLAUDE.md" TargetMode="External"/><Relationship Id="rId480" Type="http://schemas.openxmlformats.org/officeDocument/2006/relationships/hyperlink" Target="https://github.com/angular-eslint/angular-eslint/blob/main/CLAUDE.md" TargetMode="External"/><Relationship Id="rId133" Type="http://schemas.openxmlformats.org/officeDocument/2006/relationships/hyperlink" Target="https://github.com/microsoft/typespec/blob/main/.github/copilot-instructions.md" TargetMode="External"/><Relationship Id="rId340" Type="http://schemas.openxmlformats.org/officeDocument/2006/relationships/hyperlink" Target="https://github.com/PrefectHQ/marvin/blob/main/CLAUDE.md" TargetMode="External"/><Relationship Id="rId578" Type="http://schemas.openxmlformats.org/officeDocument/2006/relationships/hyperlink" Target="https://github.com/zed-industries/zed/blob/main/CLAUDE.md" TargetMode="External"/><Relationship Id="rId785" Type="http://schemas.openxmlformats.org/officeDocument/2006/relationships/hyperlink" Target="https://github.com/compiler-explorer/infra/blob/main/CLAUDE.md" TargetMode="External"/><Relationship Id="rId992" Type="http://schemas.openxmlformats.org/officeDocument/2006/relationships/hyperlink" Target="https://github.com/Pipelex/pipelex/blob/main/AGENTS.md" TargetMode="External"/><Relationship Id="rId200" Type="http://schemas.openxmlformats.org/officeDocument/2006/relationships/hyperlink" Target="https://github.com/dotnet/runtime/blob/main/.github/copilot-instructions.md" TargetMode="External"/><Relationship Id="rId438" Type="http://schemas.openxmlformats.org/officeDocument/2006/relationships/hyperlink" Target="https://github.com/microsoft/ApplicationInsights-JS/blob/main/.github/copilot-instructions.md" TargetMode="External"/><Relationship Id="rId645" Type="http://schemas.openxmlformats.org/officeDocument/2006/relationships/hyperlink" Target="https://github.com/microsoft/ApplicationInsights-JS/blob/main/.github/copilot-instructions.md" TargetMode="External"/><Relationship Id="rId852" Type="http://schemas.openxmlformats.org/officeDocument/2006/relationships/hyperlink" Target="https://github.com/netdata/netdata/blob/master/CLAUDE.md" TargetMode="External"/><Relationship Id="rId1068" Type="http://schemas.openxmlformats.org/officeDocument/2006/relationships/hyperlink" Target="https://github.com/Azure/autorest.typescript/blob/main/.github/copilot-instructions.md" TargetMode="External"/><Relationship Id="rId1275" Type="http://schemas.openxmlformats.org/officeDocument/2006/relationships/hyperlink" Target="https://github.com/Pipelex/pipelex/blob/main/AGENTS.md" TargetMode="External"/><Relationship Id="rId1482" Type="http://schemas.openxmlformats.org/officeDocument/2006/relationships/hyperlink" Target="https://github.com/epicweb-dev/epicshop/blob/main/AGENTS.md" TargetMode="External"/><Relationship Id="rId505" Type="http://schemas.openxmlformats.org/officeDocument/2006/relationships/hyperlink" Target="https://github.com/evmts/tevm-monorepo/blob/main/CLAUDE.md" TargetMode="External"/><Relationship Id="rId712" Type="http://schemas.openxmlformats.org/officeDocument/2006/relationships/hyperlink" Target="https://github.com/abh/ntppool/blob/main/CLAUDE.md" TargetMode="External"/><Relationship Id="rId1135" Type="http://schemas.openxmlformats.org/officeDocument/2006/relationships/hyperlink" Target="https://github.com/obophenotype/uberon/blob/master/.github/copilot-instructions.md" TargetMode="External"/><Relationship Id="rId1342" Type="http://schemas.openxmlformats.org/officeDocument/2006/relationships/hyperlink" Target="https://github.com/owid/etl/blob/master/CLAUDE.md" TargetMode="External"/><Relationship Id="rId1787" Type="http://schemas.openxmlformats.org/officeDocument/2006/relationships/hyperlink" Target="https://github.com/theopenco/llmgateway/blob/main/CLAUDE.md" TargetMode="External"/><Relationship Id="rId79" Type="http://schemas.openxmlformats.org/officeDocument/2006/relationships/hyperlink" Target="https://github.com/webgptorg/promptbook/blob/main/AGENTS.md" TargetMode="External"/><Relationship Id="rId1202" Type="http://schemas.openxmlformats.org/officeDocument/2006/relationships/hyperlink" Target="https://github.com/julep-ai/julep/blob/main/AGENTS.md" TargetMode="External"/><Relationship Id="rId1647" Type="http://schemas.openxmlformats.org/officeDocument/2006/relationships/hyperlink" Target="https://github.com/carverauto/serviceradar/blob/main/AGENTS.md" TargetMode="External"/><Relationship Id="rId1854" Type="http://schemas.openxmlformats.org/officeDocument/2006/relationships/hyperlink" Target="https://github.com/Freika/dawarich/blob/master/CLAUDE.md" TargetMode="External"/><Relationship Id="rId1507" Type="http://schemas.openxmlformats.org/officeDocument/2006/relationships/hyperlink" Target="https://github.com/actnwit/RhodoniteTS/blob/main/CLAUDE.md" TargetMode="External"/><Relationship Id="rId1714" Type="http://schemas.openxmlformats.org/officeDocument/2006/relationships/hyperlink" Target="https://github.com/esphome/esphome/blob/main/.github/copilot-instructions.md" TargetMode="External"/><Relationship Id="rId295" Type="http://schemas.openxmlformats.org/officeDocument/2006/relationships/hyperlink" Target="https://github.com/colinhacks/zod/blob/main/CLAUDE.md" TargetMode="External"/><Relationship Id="rId1921" Type="http://schemas.openxmlformats.org/officeDocument/2006/relationships/hyperlink" Target="https://github.com/sybrew/the-seo-framework/blob/master/.github/copilot-instructions.md" TargetMode="External"/><Relationship Id="rId155" Type="http://schemas.openxmlformats.org/officeDocument/2006/relationships/hyperlink" Target="https://github.com/ShaunLawrie/PwshSpectreConsole/blob/main/.github/copilot-instructions.md" TargetMode="External"/><Relationship Id="rId362" Type="http://schemas.openxmlformats.org/officeDocument/2006/relationships/hyperlink" Target="https://github.com/herbie-fp/herbie/blob/main/AGENTS.md" TargetMode="External"/><Relationship Id="rId1297" Type="http://schemas.openxmlformats.org/officeDocument/2006/relationships/hyperlink" Target="https://github.com/dropseed/plain/blob/main/CLAUDE.md" TargetMode="External"/><Relationship Id="rId222" Type="http://schemas.openxmlformats.org/officeDocument/2006/relationships/hyperlink" Target="https://github.com/dotnet/maui/blob/main/.github/copilot-instructions.md" TargetMode="External"/><Relationship Id="rId667" Type="http://schemas.openxmlformats.org/officeDocument/2006/relationships/hyperlink" Target="https://github.com/SparkDevNetwork/Rock/blob/master/.github/copilot-instructions.md" TargetMode="External"/><Relationship Id="rId874" Type="http://schemas.openxmlformats.org/officeDocument/2006/relationships/hyperlink" Target="https://github.com/open-metadata/OpenMetadata/blob/main/CLAUDE.md" TargetMode="External"/><Relationship Id="rId527" Type="http://schemas.openxmlformats.org/officeDocument/2006/relationships/hyperlink" Target="https://github.com/nrwl/nx/blob/master/CLAUDE.md" TargetMode="External"/><Relationship Id="rId734" Type="http://schemas.openxmlformats.org/officeDocument/2006/relationships/hyperlink" Target="https://github.com/anyproto/anytype-ts/blob/main/CLAUDE.md" TargetMode="External"/><Relationship Id="rId941" Type="http://schemas.openxmlformats.org/officeDocument/2006/relationships/hyperlink" Target="https://github.com/xlnfinance/xln/blob/main/CLAUDE.md" TargetMode="External"/><Relationship Id="rId1157" Type="http://schemas.openxmlformats.org/officeDocument/2006/relationships/hyperlink" Target="https://github.com/wled/WLED/blob/main/.github/copilot-instructions.md" TargetMode="External"/><Relationship Id="rId1364" Type="http://schemas.openxmlformats.org/officeDocument/2006/relationships/hyperlink" Target="https://github.com/zenml-io/zenml/blob/main/CLAUDE.md" TargetMode="External"/><Relationship Id="rId1571" Type="http://schemas.openxmlformats.org/officeDocument/2006/relationships/hyperlink" Target="https://github.com/home-assistant/frontend/blob/master/CLAUDE.md" TargetMode="External"/><Relationship Id="rId70" Type="http://schemas.openxmlformats.org/officeDocument/2006/relationships/hyperlink" Target="https://github.com/useautumn/autumn/blob/main/AGENTS.md" TargetMode="External"/><Relationship Id="rId801" Type="http://schemas.openxmlformats.org/officeDocument/2006/relationships/hyperlink" Target="https://github.com/evmts/tevm-monorepo/blob/main/CLAUDE.md" TargetMode="External"/><Relationship Id="rId1017" Type="http://schemas.openxmlformats.org/officeDocument/2006/relationships/hyperlink" Target="https://github.com/pytorch/pytorch/blob/main/AGENTS.md" TargetMode="External"/><Relationship Id="rId1224" Type="http://schemas.openxmlformats.org/officeDocument/2006/relationships/hyperlink" Target="https://github.com/microsoft/simplechat/blob/main/.github/copilot-instructions.md" TargetMode="External"/><Relationship Id="rId1431" Type="http://schemas.openxmlformats.org/officeDocument/2006/relationships/hyperlink" Target="https://github.com/wieslawsoltes/Dock/blob/master/AGENTS.md" TargetMode="External"/><Relationship Id="rId1669" Type="http://schemas.openxmlformats.org/officeDocument/2006/relationships/hyperlink" Target="https://github.com/langchain-ai/langchain/blob/master/AGENTS.md" TargetMode="External"/><Relationship Id="rId1876" Type="http://schemas.openxmlformats.org/officeDocument/2006/relationships/hyperlink" Target="https://github.com/langfuse/langfuse/blob/main/AGENTS.md" TargetMode="External"/><Relationship Id="rId1529" Type="http://schemas.openxmlformats.org/officeDocument/2006/relationships/hyperlink" Target="https://github.com/colinhacks/zod/blob/main/CLAUDE.md" TargetMode="External"/><Relationship Id="rId1736" Type="http://schemas.openxmlformats.org/officeDocument/2006/relationships/hyperlink" Target="https://github.com/SparkDevNetwork/Rock/blob/master/.github/copilot-instructions.md" TargetMode="External"/><Relationship Id="rId1943" Type="http://schemas.openxmlformats.org/officeDocument/2006/relationships/table" Target="../tables/table4.xml"/><Relationship Id="rId28" Type="http://schemas.openxmlformats.org/officeDocument/2006/relationships/hyperlink" Target="https://github.com/public-ui/kolibri/blob/master/AGENTS.md" TargetMode="External"/><Relationship Id="rId1803" Type="http://schemas.openxmlformats.org/officeDocument/2006/relationships/hyperlink" Target="https://github.com/geneontology/go-ontology/blob/master/.github/copilot-instructions.md" TargetMode="External"/><Relationship Id="rId177" Type="http://schemas.openxmlformats.org/officeDocument/2006/relationships/hyperlink" Target="https://github.com/sybrew/the-seo-framework/blob/master/.github/copilot-instructions.md" TargetMode="External"/><Relationship Id="rId384" Type="http://schemas.openxmlformats.org/officeDocument/2006/relationships/hyperlink" Target="https://github.com/stack-auth/stack-auth/blob/main/AGENTS.md" TargetMode="External"/><Relationship Id="rId591" Type="http://schemas.openxmlformats.org/officeDocument/2006/relationships/hyperlink" Target="https://github.com/llama-farm/llamafarm/blob/main/AGENTS.md" TargetMode="External"/><Relationship Id="rId244" Type="http://schemas.openxmlformats.org/officeDocument/2006/relationships/hyperlink" Target="https://github.com/dotnet/sdk/blob/main/.github/copilot-instructions.md" TargetMode="External"/><Relationship Id="rId689" Type="http://schemas.openxmlformats.org/officeDocument/2006/relationships/hyperlink" Target="https://github.com/netdata/netdata/blob/master/CLAUDE.md" TargetMode="External"/><Relationship Id="rId896" Type="http://schemas.openxmlformats.org/officeDocument/2006/relationships/hyperlink" Target="https://github.com/Pipelex/pipelex/blob/main/CLAUDE.md" TargetMode="External"/><Relationship Id="rId1081" Type="http://schemas.openxmlformats.org/officeDocument/2006/relationships/hyperlink" Target="https://github.com/christianhelle/apiclientcodegen/blob/master/.github/copilot-instructions.md" TargetMode="External"/><Relationship Id="rId451" Type="http://schemas.openxmlformats.org/officeDocument/2006/relationships/hyperlink" Target="https://github.com/Freika/dawarich/blob/master/CLAUDE.md" TargetMode="External"/><Relationship Id="rId549" Type="http://schemas.openxmlformats.org/officeDocument/2006/relationships/hyperlink" Target="https://github.com/qltysh/qlty/blob/main/CLAUDE.md" TargetMode="External"/><Relationship Id="rId756" Type="http://schemas.openxmlformats.org/officeDocument/2006/relationships/hyperlink" Target="https://github.com/cloudposse/atmos/blob/main/CLAUDE.md" TargetMode="External"/><Relationship Id="rId1179" Type="http://schemas.openxmlformats.org/officeDocument/2006/relationships/hyperlink" Target="https://github.com/xlnfinance/xln/blob/main/CLAUDE.md" TargetMode="External"/><Relationship Id="rId1386" Type="http://schemas.openxmlformats.org/officeDocument/2006/relationships/hyperlink" Target="https://github.com/janbjorge/pgqueuer/blob/main/AGENTS.md" TargetMode="External"/><Relationship Id="rId1593" Type="http://schemas.openxmlformats.org/officeDocument/2006/relationships/hyperlink" Target="https://github.com/OneKeyHQ/app-monorepo/blob/master/CLAUDE.md" TargetMode="External"/><Relationship Id="rId104" Type="http://schemas.openxmlformats.org/officeDocument/2006/relationships/hyperlink" Target="https://github.com/dotnet/core/blob/main/.github/copilot-instructions.md" TargetMode="External"/><Relationship Id="rId311" Type="http://schemas.openxmlformats.org/officeDocument/2006/relationships/hyperlink" Target="https://github.com/dropseed/plain/blob/main/CLAUDE.md" TargetMode="External"/><Relationship Id="rId409" Type="http://schemas.openxmlformats.org/officeDocument/2006/relationships/hyperlink" Target="https://github.com/humanwhocodes/crosspost/blob/main/.github/copilot-instructions.md" TargetMode="External"/><Relationship Id="rId963" Type="http://schemas.openxmlformats.org/officeDocument/2006/relationships/hyperlink" Target="https://github.com/carverauto/serviceradar/blob/main/AGENTS.md" TargetMode="External"/><Relationship Id="rId1039" Type="http://schemas.openxmlformats.org/officeDocument/2006/relationships/hyperlink" Target="https://github.com/zenml-io/zenml/blob/main/AGENTS.md" TargetMode="External"/><Relationship Id="rId1246" Type="http://schemas.openxmlformats.org/officeDocument/2006/relationships/hyperlink" Target="https://github.com/dotnet/maui/blob/main/.github/copilot-instructions.md" TargetMode="External"/><Relationship Id="rId1898" Type="http://schemas.openxmlformats.org/officeDocument/2006/relationships/hyperlink" Target="https://github.com/luccahuguet/yazelix/blob/main/AGENTS.md" TargetMode="External"/><Relationship Id="rId92" Type="http://schemas.openxmlformats.org/officeDocument/2006/relationships/hyperlink" Target="https://github.com/Azure/autorest.typescript/blob/main/.github/copilot-instructions.md" TargetMode="External"/><Relationship Id="rId616" Type="http://schemas.openxmlformats.org/officeDocument/2006/relationships/hyperlink" Target="https://github.com/stack-auth/stack-auth/blob/main/AGENTS.md" TargetMode="External"/><Relationship Id="rId823" Type="http://schemas.openxmlformats.org/officeDocument/2006/relationships/hyperlink" Target="https://github.com/getsentry/sentry-javascript/blob/master/CLAUDE.md" TargetMode="External"/><Relationship Id="rId1453" Type="http://schemas.openxmlformats.org/officeDocument/2006/relationships/hyperlink" Target="https://github.com/microsoft/PowerToys/blob/main/.github/copilot-instructions.md" TargetMode="External"/><Relationship Id="rId1660" Type="http://schemas.openxmlformats.org/officeDocument/2006/relationships/hyperlink" Target="https://github.com/janbjorge/pgqueuer/blob/main/AGENTS.md" TargetMode="External"/><Relationship Id="rId1758" Type="http://schemas.openxmlformats.org/officeDocument/2006/relationships/hyperlink" Target="https://github.com/Azure/azure-functions-host/blob/master/.github/copilot-instructions.md" TargetMode="External"/><Relationship Id="rId1106" Type="http://schemas.openxmlformats.org/officeDocument/2006/relationships/hyperlink" Target="https://github.com/geneontology/go-ontology/blob/master/.github/copilot-instructions.md" TargetMode="External"/><Relationship Id="rId1313" Type="http://schemas.openxmlformats.org/officeDocument/2006/relationships/hyperlink" Target="https://github.com/home-assistant/frontend/blob/master/CLAUDE.md" TargetMode="External"/><Relationship Id="rId1520" Type="http://schemas.openxmlformats.org/officeDocument/2006/relationships/hyperlink" Target="https://github.com/BerriAI/litellm/blob/main/CLAUDE.md" TargetMode="External"/><Relationship Id="rId1618" Type="http://schemas.openxmlformats.org/officeDocument/2006/relationships/hyperlink" Target="https://github.com/saleor/saleor/blob/main/CLAUDE.md" TargetMode="External"/><Relationship Id="rId1825" Type="http://schemas.openxmlformats.org/officeDocument/2006/relationships/hyperlink" Target="https://github.com/dotnet/maui/blob/main/.github/copilot-instructions.md" TargetMode="External"/><Relationship Id="rId199" Type="http://schemas.openxmlformats.org/officeDocument/2006/relationships/hyperlink" Target="https://github.com/public-ui/kolibri/blob/master/AGENTS.md" TargetMode="External"/><Relationship Id="rId266" Type="http://schemas.openxmlformats.org/officeDocument/2006/relationships/hyperlink" Target="https://github.com/anyproto/anytype-ts/blob/main/CLAUDE.md" TargetMode="External"/><Relationship Id="rId473" Type="http://schemas.openxmlformats.org/officeDocument/2006/relationships/hyperlink" Target="https://github.com/module-federation/core/blob/main/CLAUDE.md" TargetMode="External"/><Relationship Id="rId680" Type="http://schemas.openxmlformats.org/officeDocument/2006/relationships/hyperlink" Target="https://github.com/vaadin/flow/blob/main/CLAUDE.md" TargetMode="External"/><Relationship Id="rId126" Type="http://schemas.openxmlformats.org/officeDocument/2006/relationships/hyperlink" Target="https://github.com/microsoft/ApplicationInsights-JS/blob/main/.github/copilot-instructions.md" TargetMode="External"/><Relationship Id="rId333" Type="http://schemas.openxmlformats.org/officeDocument/2006/relationships/hyperlink" Target="https://github.com/open-metadata/OpenMetadata/blob/main/CLAUDE.md" TargetMode="External"/><Relationship Id="rId540" Type="http://schemas.openxmlformats.org/officeDocument/2006/relationships/hyperlink" Target="https://github.com/owid/owid-grapher/blob/master/CLAUDE.md" TargetMode="External"/><Relationship Id="rId778" Type="http://schemas.openxmlformats.org/officeDocument/2006/relationships/hyperlink" Target="https://github.com/Comfy-Org/comfy-claude-prompt-library/blob/master/CLAUDE.md" TargetMode="External"/><Relationship Id="rId985" Type="http://schemas.openxmlformats.org/officeDocument/2006/relationships/hyperlink" Target="https://github.com/marin-community/marin/blob/main/AGENTS.md" TargetMode="External"/><Relationship Id="rId1170" Type="http://schemas.openxmlformats.org/officeDocument/2006/relationships/hyperlink" Target="https://github.com/OneKeyHQ/app-monorepo/blob/master/CLAUDE.md" TargetMode="External"/><Relationship Id="rId638" Type="http://schemas.openxmlformats.org/officeDocument/2006/relationships/hyperlink" Target="https://github.com/esphome/esphome/blob/main/.github/copilot-instructions.md" TargetMode="External"/><Relationship Id="rId845" Type="http://schemas.openxmlformats.org/officeDocument/2006/relationships/hyperlink" Target="https://github.com/lightdash/lightdash/blob/main/CLAUDE.md" TargetMode="External"/><Relationship Id="rId1030" Type="http://schemas.openxmlformats.org/officeDocument/2006/relationships/hyperlink" Target="https://github.com/theopenco/llmgateway/blob/main/AGENTS.md" TargetMode="External"/><Relationship Id="rId1268" Type="http://schemas.openxmlformats.org/officeDocument/2006/relationships/hyperlink" Target="https://github.com/Pipelex/pipelex/blob/main/CLAUDE.md" TargetMode="External"/><Relationship Id="rId1475" Type="http://schemas.openxmlformats.org/officeDocument/2006/relationships/hyperlink" Target="https://github.com/open-metadata/OpenMetadata/blob/main/CLAUDE.md" TargetMode="External"/><Relationship Id="rId1682" Type="http://schemas.openxmlformats.org/officeDocument/2006/relationships/hyperlink" Target="https://github.com/modelcontextprotocol/inspector/blob/main/AGENTS.md" TargetMode="External"/><Relationship Id="rId400" Type="http://schemas.openxmlformats.org/officeDocument/2006/relationships/hyperlink" Target="https://github.com/dotnet/fsharp/blob/main/.github/copilot-instructions.md" TargetMode="External"/><Relationship Id="rId705" Type="http://schemas.openxmlformats.org/officeDocument/2006/relationships/hyperlink" Target="https://github.com/BerriAI/litellm/blob/main/CLAUDE.md" TargetMode="External"/><Relationship Id="rId1128" Type="http://schemas.openxmlformats.org/officeDocument/2006/relationships/hyperlink" Target="https://github.com/microsoft/simplechat/blob/main/.github/copilot-instructions.md" TargetMode="External"/><Relationship Id="rId1335" Type="http://schemas.openxmlformats.org/officeDocument/2006/relationships/hyperlink" Target="https://github.com/open-metadata/OpenMetadata/blob/main/CLAUDE.md" TargetMode="External"/><Relationship Id="rId1542" Type="http://schemas.openxmlformats.org/officeDocument/2006/relationships/hyperlink" Target="https://github.com/dailydotdev/apps/blob/main/CLAUDE.md" TargetMode="External"/><Relationship Id="rId912" Type="http://schemas.openxmlformats.org/officeDocument/2006/relationships/hyperlink" Target="https://github.com/safety-research/safety-tooling/blob/main/CLAUDE.md" TargetMode="External"/><Relationship Id="rId1847" Type="http://schemas.openxmlformats.org/officeDocument/2006/relationships/hyperlink" Target="https://github.com/coder/coder/blob/main/CLAUDE.md" TargetMode="External"/><Relationship Id="rId41" Type="http://schemas.openxmlformats.org/officeDocument/2006/relationships/hyperlink" Target="https://github.com/pytorch/pytorch/blob/main/AGENTS.md" TargetMode="External"/><Relationship Id="rId1402" Type="http://schemas.openxmlformats.org/officeDocument/2006/relationships/hyperlink" Target="https://github.com/marin-community/marin/blob/main/AGENTS.md" TargetMode="External"/><Relationship Id="rId1707" Type="http://schemas.openxmlformats.org/officeDocument/2006/relationships/hyperlink" Target="https://github.com/dotnet/docs-aspire/blob/main/.github/copilot-instructions.md" TargetMode="External"/><Relationship Id="rId190" Type="http://schemas.openxmlformats.org/officeDocument/2006/relationships/hyperlink" Target="https://github.com/Freika/dawarich/blob/master/CLAUDE.md" TargetMode="External"/><Relationship Id="rId288" Type="http://schemas.openxmlformats.org/officeDocument/2006/relationships/hyperlink" Target="https://github.com/coder/coder/blob/main/CLAUDE.md" TargetMode="External"/><Relationship Id="rId1914" Type="http://schemas.openxmlformats.org/officeDocument/2006/relationships/hyperlink" Target="https://github.com/Skyvern-AI/skyvern/blob/master/CLAUDE.md" TargetMode="External"/><Relationship Id="rId495" Type="http://schemas.openxmlformats.org/officeDocument/2006/relationships/hyperlink" Target="https://github.com/cloudposse/atmos/blob/main/CLAUDE.md" TargetMode="External"/><Relationship Id="rId148" Type="http://schemas.openxmlformats.org/officeDocument/2006/relationships/hyperlink" Target="https://github.com/raycast/extensions/blob/main/.github/copilot-instructions.md" TargetMode="External"/><Relationship Id="rId355" Type="http://schemas.openxmlformats.org/officeDocument/2006/relationships/hyperlink" Target="https://github.com/zenml-io/zenml/blob/main/CLAUDE.md" TargetMode="External"/><Relationship Id="rId562" Type="http://schemas.openxmlformats.org/officeDocument/2006/relationships/hyperlink" Target="https://github.com/speaches-ai/speaches/blob/master/CLAUDE.md" TargetMode="External"/><Relationship Id="rId1192" Type="http://schemas.openxmlformats.org/officeDocument/2006/relationships/hyperlink" Target="https://github.com/evmts/tevm-monorepo/blob/main/CLAUDE.md" TargetMode="External"/><Relationship Id="rId215" Type="http://schemas.openxmlformats.org/officeDocument/2006/relationships/hyperlink" Target="https://github.com/Comfy-Org/comfy-claude-prompt-library/blob/master/CLAUDE.md" TargetMode="External"/><Relationship Id="rId422" Type="http://schemas.openxmlformats.org/officeDocument/2006/relationships/hyperlink" Target="https://github.com/SparkDevNetwork/Rock/blob/master/.github/copilot-instructions.md" TargetMode="External"/><Relationship Id="rId867" Type="http://schemas.openxmlformats.org/officeDocument/2006/relationships/hyperlink" Target="https://github.com/OneKeyHQ/app-monorepo/blob/master/CLAUDE.md" TargetMode="External"/><Relationship Id="rId1052" Type="http://schemas.openxmlformats.org/officeDocument/2006/relationships/hyperlink" Target="https://github.com/ast-grep/ast-grep/blob/main/.github/copilot-instructions.md" TargetMode="External"/><Relationship Id="rId1497" Type="http://schemas.openxmlformats.org/officeDocument/2006/relationships/hyperlink" Target="https://github.com/open-metadata/OpenMetadata/blob/main/CLAUDE.md" TargetMode="External"/><Relationship Id="rId727" Type="http://schemas.openxmlformats.org/officeDocument/2006/relationships/hyperlink" Target="https://github.com/allenai/open-instruct/blob/main/CLAUDE.md" TargetMode="External"/><Relationship Id="rId934" Type="http://schemas.openxmlformats.org/officeDocument/2006/relationships/hyperlink" Target="https://github.com/wolfi-dev/os/blob/main/CLAUDE.md" TargetMode="External"/><Relationship Id="rId1357" Type="http://schemas.openxmlformats.org/officeDocument/2006/relationships/hyperlink" Target="https://github.com/wvlet/wvlet/blob/main/CLAUDE.md" TargetMode="External"/><Relationship Id="rId1564" Type="http://schemas.openxmlformats.org/officeDocument/2006/relationships/hyperlink" Target="https://github.com/gensx-inc/gensx/blob/main/CLAUDE.md" TargetMode="External"/><Relationship Id="rId1771" Type="http://schemas.openxmlformats.org/officeDocument/2006/relationships/hyperlink" Target="https://github.com/microsoft/react-native-windows/blob/main/.github/copilot-instructions.md" TargetMode="External"/><Relationship Id="rId63" Type="http://schemas.openxmlformats.org/officeDocument/2006/relationships/hyperlink" Target="https://github.com/swarmauri/swarmauri-sdk/blob/main/AGENTS.md" TargetMode="External"/><Relationship Id="rId1217" Type="http://schemas.openxmlformats.org/officeDocument/2006/relationships/hyperlink" Target="https://github.com/abh/ntppool/blob/main/CLAUDE.md" TargetMode="External"/><Relationship Id="rId1424" Type="http://schemas.openxmlformats.org/officeDocument/2006/relationships/hyperlink" Target="https://github.com/shopware/shopware/blob/master/AGENTS.md" TargetMode="External"/><Relationship Id="rId1631" Type="http://schemas.openxmlformats.org/officeDocument/2006/relationships/hyperlink" Target="https://github.com/wolfi-dev/os/blob/main/CLAUDE.md" TargetMode="External"/><Relationship Id="rId1869" Type="http://schemas.openxmlformats.org/officeDocument/2006/relationships/hyperlink" Target="https://github.com/zenml-io/zenml/blob/main/CLAUDE.md" TargetMode="External"/><Relationship Id="rId1729" Type="http://schemas.openxmlformats.org/officeDocument/2006/relationships/hyperlink" Target="https://github.com/mixpanel/mixpanel-android/blob/master/.github/copilot-instructions.md" TargetMode="External"/><Relationship Id="rId1936" Type="http://schemas.openxmlformats.org/officeDocument/2006/relationships/hyperlink" Target="https://github.com/dailydotdev/apps/blob/main/CLAUDE.md" TargetMode="External"/><Relationship Id="rId377" Type="http://schemas.openxmlformats.org/officeDocument/2006/relationships/hyperlink" Target="https://github.com/pulumi/docs/blob/master/AGENTS.md" TargetMode="External"/><Relationship Id="rId584" Type="http://schemas.openxmlformats.org/officeDocument/2006/relationships/hyperlink" Target="https://github.com/epicweb-dev/epicshop/blob/main/AGENTS.md" TargetMode="External"/><Relationship Id="rId5" Type="http://schemas.openxmlformats.org/officeDocument/2006/relationships/hyperlink" Target="https://github.com/microsoft/mcp-for-beginners/blob/main/AGENTS.md" TargetMode="External"/><Relationship Id="rId237" Type="http://schemas.openxmlformats.org/officeDocument/2006/relationships/hyperlink" Target="https://github.com/microsoft/simplechat/blob/main/.github/copilot-instructions.md" TargetMode="External"/><Relationship Id="rId791" Type="http://schemas.openxmlformats.org/officeDocument/2006/relationships/hyperlink" Target="https://github.com/dailydotdev/apps/blob/main/CLAUDE.md" TargetMode="External"/><Relationship Id="rId889" Type="http://schemas.openxmlformats.org/officeDocument/2006/relationships/hyperlink" Target="https://github.com/Pipelex/pipelex/blob/main/CLAUDE.md" TargetMode="External"/><Relationship Id="rId1074" Type="http://schemas.openxmlformats.org/officeDocument/2006/relationships/hyperlink" Target="https://github.com/Azure/azure-functions-host/blob/master/.github/copilot-instructions.md" TargetMode="External"/><Relationship Id="rId444" Type="http://schemas.openxmlformats.org/officeDocument/2006/relationships/hyperlink" Target="https://github.com/geneontology/go-ontology/blob/master/CLAUDE.md" TargetMode="External"/><Relationship Id="rId651" Type="http://schemas.openxmlformats.org/officeDocument/2006/relationships/hyperlink" Target="https://github.com/microsoft/typespec/blob/main/.github/copilot-instructions.md" TargetMode="External"/><Relationship Id="rId749" Type="http://schemas.openxmlformats.org/officeDocument/2006/relationships/hyperlink" Target="https://github.com/CapSoftware/Cap/blob/main/CLAUDE.md" TargetMode="External"/><Relationship Id="rId1281" Type="http://schemas.openxmlformats.org/officeDocument/2006/relationships/hyperlink" Target="https://github.com/anyproto/anytype-swift/blob/main/CLAUDE.md" TargetMode="External"/><Relationship Id="rId1379" Type="http://schemas.openxmlformats.org/officeDocument/2006/relationships/hyperlink" Target="https://github.com/hathach/tinyusb/blob/master/AGENTS.md" TargetMode="External"/><Relationship Id="rId1586" Type="http://schemas.openxmlformats.org/officeDocument/2006/relationships/hyperlink" Target="https://github.com/lostleaf/binance_datatool/blob/main/CLAUDE.md" TargetMode="External"/><Relationship Id="rId304" Type="http://schemas.openxmlformats.org/officeDocument/2006/relationships/hyperlink" Target="https://github.com/compiler-explorer/infra/blob/main/CLAUDE.md" TargetMode="External"/><Relationship Id="rId511" Type="http://schemas.openxmlformats.org/officeDocument/2006/relationships/hyperlink" Target="https://github.com/gitpod-io/gitpod/blob/main/CLAUDE.md" TargetMode="External"/><Relationship Id="rId609" Type="http://schemas.openxmlformats.org/officeDocument/2006/relationships/hyperlink" Target="https://github.com/RSSNext/Folo/blob/main/AGENTS.md" TargetMode="External"/><Relationship Id="rId956" Type="http://schemas.openxmlformats.org/officeDocument/2006/relationships/hyperlink" Target="https://github.com/CapSoftware/Cap/blob/main/AGENTS.md" TargetMode="External"/><Relationship Id="rId1141" Type="http://schemas.openxmlformats.org/officeDocument/2006/relationships/hyperlink" Target="https://github.com/primer/react/blob/main/.github/copilot-instructions.md" TargetMode="External"/><Relationship Id="rId1239" Type="http://schemas.openxmlformats.org/officeDocument/2006/relationships/hyperlink" Target="https://github.com/theopenco/llmgateway/blob/main/CLAUDE.md" TargetMode="External"/><Relationship Id="rId1793" Type="http://schemas.openxmlformats.org/officeDocument/2006/relationships/hyperlink" Target="https://github.com/owid/etl/blob/master/AGENTS.md" TargetMode="External"/><Relationship Id="rId85" Type="http://schemas.openxmlformats.org/officeDocument/2006/relationships/hyperlink" Target="https://github.com/wieslawsoltes/Xaml.Behaviors/blob/master/AGENTS.md" TargetMode="External"/><Relationship Id="rId816" Type="http://schemas.openxmlformats.org/officeDocument/2006/relationships/hyperlink" Target="https://github.com/geneontology/go-ontology/blob/master/CLAUDE.md" TargetMode="External"/><Relationship Id="rId1001" Type="http://schemas.openxmlformats.org/officeDocument/2006/relationships/hyperlink" Target="https://github.com/PrairieLearn/PrairieLearn/blob/master/AGENTS.md" TargetMode="External"/><Relationship Id="rId1446" Type="http://schemas.openxmlformats.org/officeDocument/2006/relationships/hyperlink" Target="https://github.com/dotnet/docs-aspire/blob/main/.github/copilot-instructions.md" TargetMode="External"/><Relationship Id="rId1653" Type="http://schemas.openxmlformats.org/officeDocument/2006/relationships/hyperlink" Target="https://github.com/DataDog/datadog-agent/blob/main/AGENTS.md" TargetMode="External"/><Relationship Id="rId1860" Type="http://schemas.openxmlformats.org/officeDocument/2006/relationships/hyperlink" Target="https://github.com/jxnl/blog/blob/main/CLAUDE.md" TargetMode="External"/><Relationship Id="rId1306" Type="http://schemas.openxmlformats.org/officeDocument/2006/relationships/hyperlink" Target="https://github.com/geneontology/go-ontology/blob/master/CLAUDE.md" TargetMode="External"/><Relationship Id="rId1513" Type="http://schemas.openxmlformats.org/officeDocument/2006/relationships/hyperlink" Target="https://github.com/angular-eslint/angular-eslint/blob/main/CLAUDE.md" TargetMode="External"/><Relationship Id="rId1720" Type="http://schemas.openxmlformats.org/officeDocument/2006/relationships/hyperlink" Target="https://github.com/kubefleet-dev/kubefleet/blob/main/.github/copilot-instructions.md" TargetMode="External"/><Relationship Id="rId12" Type="http://schemas.openxmlformats.org/officeDocument/2006/relationships/hyperlink" Target="https://github.com/openai/openai-agents-python/blob/main/AGENTS.md" TargetMode="External"/><Relationship Id="rId1818" Type="http://schemas.openxmlformats.org/officeDocument/2006/relationships/hyperlink" Target="https://github.com/Azure/autorest.typescript/blob/main/.github/copilot-instructions.md" TargetMode="External"/><Relationship Id="rId161" Type="http://schemas.openxmlformats.org/officeDocument/2006/relationships/hyperlink" Target="https://github.com/SparkDevNetwork/Rock/blob/master/.github/copilot-instructions.md" TargetMode="External"/><Relationship Id="rId399" Type="http://schemas.openxmlformats.org/officeDocument/2006/relationships/hyperlink" Target="https://github.com/dotnet/dotnet-api-docs/blob/main/.github/copilot-instructions.md" TargetMode="External"/><Relationship Id="rId259" Type="http://schemas.openxmlformats.org/officeDocument/2006/relationships/hyperlink" Target="https://github.com/microsoft/mcp-for-beginners/blob/main/AGENTS.md" TargetMode="External"/><Relationship Id="rId466" Type="http://schemas.openxmlformats.org/officeDocument/2006/relationships/hyperlink" Target="https://github.com/SparkDevNetwork/Rock/blob/master/.github/copilot-instructions.md" TargetMode="External"/><Relationship Id="rId673" Type="http://schemas.openxmlformats.org/officeDocument/2006/relationships/hyperlink" Target="https://github.com/zwave-js/zwave-js-ui/blob/master/.github/copilot-instructions.md" TargetMode="External"/><Relationship Id="rId880" Type="http://schemas.openxmlformats.org/officeDocument/2006/relationships/hyperlink" Target="https://github.com/pannous/wasp/blob/main/CLAUDE.md" TargetMode="External"/><Relationship Id="rId1096" Type="http://schemas.openxmlformats.org/officeDocument/2006/relationships/hyperlink" Target="https://github.com/esphome/esphome/blob/main/.github/copilot-instructions.md" TargetMode="External"/><Relationship Id="rId119" Type="http://schemas.openxmlformats.org/officeDocument/2006/relationships/hyperlink" Target="https://github.com/friendsofhyperf/components/blob/main/.github/copilot-instructions.md" TargetMode="External"/><Relationship Id="rId326" Type="http://schemas.openxmlformats.org/officeDocument/2006/relationships/hyperlink" Target="https://github.com/nrwl/nx/blob/master/CLAUDE.md" TargetMode="External"/><Relationship Id="rId533" Type="http://schemas.openxmlformats.org/officeDocument/2006/relationships/hyperlink" Target="https://github.com/open-metadata/OpenMetadata/blob/main/CLAUDE.md" TargetMode="External"/><Relationship Id="rId978" Type="http://schemas.openxmlformats.org/officeDocument/2006/relationships/hyperlink" Target="https://github.com/logancyang/obsidian-copilot/blob/master/AGENTS.md" TargetMode="External"/><Relationship Id="rId1163" Type="http://schemas.openxmlformats.org/officeDocument/2006/relationships/hyperlink" Target="https://github.com/zwave-js/zwave-js-ui/blob/master/.github/copilot-instructions.md" TargetMode="External"/><Relationship Id="rId1370" Type="http://schemas.openxmlformats.org/officeDocument/2006/relationships/hyperlink" Target="https://github.com/carverauto/serviceradar/blob/main/AGENTS.md" TargetMode="External"/><Relationship Id="rId740" Type="http://schemas.openxmlformats.org/officeDocument/2006/relationships/hyperlink" Target="https://github.com/BerriAI/litellm/blob/main/CLAUDE.md" TargetMode="External"/><Relationship Id="rId838" Type="http://schemas.openxmlformats.org/officeDocument/2006/relationships/hyperlink" Target="https://github.com/kubetail-org/kubetail/blob/main/CLAUDE.md" TargetMode="External"/><Relationship Id="rId1023" Type="http://schemas.openxmlformats.org/officeDocument/2006/relationships/hyperlink" Target="https://github.com/stack-auth/stack-auth/blob/main/AGENTS.md" TargetMode="External"/><Relationship Id="rId1468" Type="http://schemas.openxmlformats.org/officeDocument/2006/relationships/hyperlink" Target="https://github.com/janbjorge/pgqueuer/blob/main/AGENTS.md" TargetMode="External"/><Relationship Id="rId1675" Type="http://schemas.openxmlformats.org/officeDocument/2006/relationships/hyperlink" Target="https://github.com/luccahuguet/yazelix/blob/main/AGENTS.md" TargetMode="External"/><Relationship Id="rId1882" Type="http://schemas.openxmlformats.org/officeDocument/2006/relationships/hyperlink" Target="https://github.com/Agoric/agoric-sdk/blob/master/.github/copilot-instructions.md" TargetMode="External"/><Relationship Id="rId600" Type="http://schemas.openxmlformats.org/officeDocument/2006/relationships/hyperlink" Target="https://github.com/marin-community/marin/blob/main/AGENTS.md" TargetMode="External"/><Relationship Id="rId1230" Type="http://schemas.openxmlformats.org/officeDocument/2006/relationships/hyperlink" Target="https://github.com/browser-use/browser-use/blob/main/CLAUDE.md" TargetMode="External"/><Relationship Id="rId1328" Type="http://schemas.openxmlformats.org/officeDocument/2006/relationships/hyperlink" Target="https://github.com/OneKeyHQ/app-monorepo/blob/master/CLAUDE.md" TargetMode="External"/><Relationship Id="rId1535" Type="http://schemas.openxmlformats.org/officeDocument/2006/relationships/hyperlink" Target="https://github.com/Comfy-Org/comfy-claude-prompt-library/blob/master/CLAUDE.md" TargetMode="External"/><Relationship Id="rId905" Type="http://schemas.openxmlformats.org/officeDocument/2006/relationships/hyperlink" Target="https://github.com/RchGrav/claudebox/blob/main/CLAUDE.md" TargetMode="External"/><Relationship Id="rId1742" Type="http://schemas.openxmlformats.org/officeDocument/2006/relationships/hyperlink" Target="https://github.com/sybrew/the-seo-framework/blob/master/.github/copilot-instructions.md" TargetMode="External"/><Relationship Id="rId34" Type="http://schemas.openxmlformats.org/officeDocument/2006/relationships/hyperlink" Target="https://github.com/public-ui/kolibri/blob/master/AGENTS.md" TargetMode="External"/><Relationship Id="rId1602" Type="http://schemas.openxmlformats.org/officeDocument/2006/relationships/hyperlink" Target="https://github.com/open-metadata/OpenMetadata/blob/main/CLAUDE.md" TargetMode="External"/><Relationship Id="rId183" Type="http://schemas.openxmlformats.org/officeDocument/2006/relationships/hyperlink" Target="https://github.com/vczh-libraries/GacUI/blob/master/.github/copilot-instructions.md" TargetMode="External"/><Relationship Id="rId390" Type="http://schemas.openxmlformats.org/officeDocument/2006/relationships/hyperlink" Target="https://github.com/AstrBotDevs/AstrBot/blob/master/.github/copilot-instructions.md" TargetMode="External"/><Relationship Id="rId1907" Type="http://schemas.openxmlformats.org/officeDocument/2006/relationships/hyperlink" Target="https://github.com/module-federation/core/blob/main/CLAUDE.md" TargetMode="External"/><Relationship Id="rId250" Type="http://schemas.openxmlformats.org/officeDocument/2006/relationships/hyperlink" Target="https://github.com/Azure/autorest.typescript/blob/main/.github/copilot-instructions.md" TargetMode="External"/><Relationship Id="rId488" Type="http://schemas.openxmlformats.org/officeDocument/2006/relationships/hyperlink" Target="https://github.com/browser-use/browser-use/blob/main/CLAUDE.md" TargetMode="External"/><Relationship Id="rId695" Type="http://schemas.openxmlformats.org/officeDocument/2006/relationships/hyperlink" Target="https://github.com/janbjorge/pgqueuer/blob/main/AGENTS.md" TargetMode="External"/><Relationship Id="rId110" Type="http://schemas.openxmlformats.org/officeDocument/2006/relationships/hyperlink" Target="https://github.com/dotnet/maui/blob/main/.github/copilot-instructions.md" TargetMode="External"/><Relationship Id="rId348" Type="http://schemas.openxmlformats.org/officeDocument/2006/relationships/hyperlink" Target="https://github.com/spylang/spy/blob/main/CLAUDE.md" TargetMode="External"/><Relationship Id="rId555" Type="http://schemas.openxmlformats.org/officeDocument/2006/relationships/hyperlink" Target="https://github.com/saleor/saleor/blob/main/CLAUDE.md" TargetMode="External"/><Relationship Id="rId762" Type="http://schemas.openxmlformats.org/officeDocument/2006/relationships/hyperlink" Target="https://github.com/cloudposse/atmos/blob/main/CLAUDE.md" TargetMode="External"/><Relationship Id="rId1185" Type="http://schemas.openxmlformats.org/officeDocument/2006/relationships/hyperlink" Target="https://github.com/wieslawsoltes/Dock/blob/master/AGENTS.md" TargetMode="External"/><Relationship Id="rId1392" Type="http://schemas.openxmlformats.org/officeDocument/2006/relationships/hyperlink" Target="https://github.com/logancyang/obsidian-copilot/blob/master/AGENTS.md" TargetMode="External"/><Relationship Id="rId208" Type="http://schemas.openxmlformats.org/officeDocument/2006/relationships/hyperlink" Target="https://github.com/CapSoftware/Cap/blob/main/AGENTS.md" TargetMode="External"/><Relationship Id="rId415" Type="http://schemas.openxmlformats.org/officeDocument/2006/relationships/hyperlink" Target="https://github.com/Open-LLM-VTuber/Open-LLM-VTuber/blob/main/.github/copilot-instructions.md" TargetMode="External"/><Relationship Id="rId622" Type="http://schemas.openxmlformats.org/officeDocument/2006/relationships/hyperlink" Target="https://github.com/zenml-io/zenml/blob/main/AGENTS.md" TargetMode="External"/><Relationship Id="rId1045" Type="http://schemas.openxmlformats.org/officeDocument/2006/relationships/hyperlink" Target="https://github.com/alandtse/alexa_media_player/blob/master/.github/copilot-instructions.md" TargetMode="External"/><Relationship Id="rId1252" Type="http://schemas.openxmlformats.org/officeDocument/2006/relationships/hyperlink" Target="https://github.com/OneKeyHQ/app-monorepo/blob/master/CLAUDE.md" TargetMode="External"/><Relationship Id="rId1697" Type="http://schemas.openxmlformats.org/officeDocument/2006/relationships/hyperlink" Target="https://github.com/webgptorg/promptbook/blob/main/AGENTS.md" TargetMode="External"/><Relationship Id="rId927" Type="http://schemas.openxmlformats.org/officeDocument/2006/relationships/hyperlink" Target="https://github.com/tphakala/birdnet-go/blob/main/CLAUDE.md" TargetMode="External"/><Relationship Id="rId1112" Type="http://schemas.openxmlformats.org/officeDocument/2006/relationships/hyperlink" Target="https://github.com/igraph/igraph/blob/main/.github/copilot-instructions.md" TargetMode="External"/><Relationship Id="rId1557" Type="http://schemas.openxmlformats.org/officeDocument/2006/relationships/hyperlink" Target="https://github.com/FluidGroup/Brightroom/blob/main/CLAUDE.md" TargetMode="External"/><Relationship Id="rId1764" Type="http://schemas.openxmlformats.org/officeDocument/2006/relationships/hyperlink" Target="https://github.com/open-metadata/OpenMetadata/blob/main/CLAUDE.md" TargetMode="External"/><Relationship Id="rId56" Type="http://schemas.openxmlformats.org/officeDocument/2006/relationships/hyperlink" Target="https://github.com/rustfs/rustfs/blob/main/AGENTS.md" TargetMode="External"/><Relationship Id="rId1417" Type="http://schemas.openxmlformats.org/officeDocument/2006/relationships/hyperlink" Target="https://github.com/pulumi/docs/blob/master/AGENTS.md" TargetMode="External"/><Relationship Id="rId1624" Type="http://schemas.openxmlformats.org/officeDocument/2006/relationships/hyperlink" Target="https://github.com/twentyhq/twenty/blob/main/CLAUDE.md" TargetMode="External"/><Relationship Id="rId1831" Type="http://schemas.openxmlformats.org/officeDocument/2006/relationships/hyperlink" Target="https://github.com/SparkDevNetwork/Rock/blob/master/.github/copilot-instructions.md" TargetMode="External"/><Relationship Id="rId1929" Type="http://schemas.openxmlformats.org/officeDocument/2006/relationships/hyperlink" Target="https://github.com/coder/coder/blob/main/CLAUDE.md" TargetMode="External"/><Relationship Id="rId272" Type="http://schemas.openxmlformats.org/officeDocument/2006/relationships/hyperlink" Target="https://github.com/abh/ntppool/blob/main/CLAUDE.md" TargetMode="External"/><Relationship Id="rId577" Type="http://schemas.openxmlformats.org/officeDocument/2006/relationships/hyperlink" Target="https://github.com/wvlet/wvlet/blob/main/CLAUDE.md" TargetMode="External"/><Relationship Id="rId132" Type="http://schemas.openxmlformats.org/officeDocument/2006/relationships/hyperlink" Target="https://github.com/microsoft/simplechat/blob/main/.github/copilot-instructions.md" TargetMode="External"/><Relationship Id="rId784" Type="http://schemas.openxmlformats.org/officeDocument/2006/relationships/hyperlink" Target="https://github.com/compiler-explorer/infra/blob/main/CLAUDE.md" TargetMode="External"/><Relationship Id="rId991" Type="http://schemas.openxmlformats.org/officeDocument/2006/relationships/hyperlink" Target="https://github.com/owid/etl/blob/master/AGENTS.md" TargetMode="External"/><Relationship Id="rId1067" Type="http://schemas.openxmlformats.org/officeDocument/2006/relationships/hyperlink" Target="https://github.com/Azure/autorest.typescript/blob/main/.github/copilot-instructions.md" TargetMode="External"/><Relationship Id="rId437" Type="http://schemas.openxmlformats.org/officeDocument/2006/relationships/hyperlink" Target="https://github.com/DumbWareio/DumbAssets/blob/main/.github/copilot-instructions.md" TargetMode="External"/><Relationship Id="rId644" Type="http://schemas.openxmlformats.org/officeDocument/2006/relationships/hyperlink" Target="https://github.com/microsoft/ApplicationInsights-JS/blob/main/.github/copilot-instructions.md" TargetMode="External"/><Relationship Id="rId851" Type="http://schemas.openxmlformats.org/officeDocument/2006/relationships/hyperlink" Target="https://github.com/netdata/netdata/blob/master/CLAUDE.md" TargetMode="External"/><Relationship Id="rId1274" Type="http://schemas.openxmlformats.org/officeDocument/2006/relationships/hyperlink" Target="https://github.com/janbjorge/pgqueuer/blob/main/AGENTS.md" TargetMode="External"/><Relationship Id="rId1481" Type="http://schemas.openxmlformats.org/officeDocument/2006/relationships/hyperlink" Target="https://github.com/elamperti/OpenWebScrobbler/blob/main/AGENTS.md" TargetMode="External"/><Relationship Id="rId1579" Type="http://schemas.openxmlformats.org/officeDocument/2006/relationships/hyperlink" Target="https://github.com/langchain-ai/langchain/blob/master/CLAUDE.md" TargetMode="External"/><Relationship Id="rId504" Type="http://schemas.openxmlformats.org/officeDocument/2006/relationships/hyperlink" Target="https://github.com/ESPresense/ESPresense-companion/blob/main/CLAUDE.md" TargetMode="External"/><Relationship Id="rId711" Type="http://schemas.openxmlformats.org/officeDocument/2006/relationships/hyperlink" Target="https://github.com/elamperti/OpenWebScrobbler/blob/main/AGENTS.md" TargetMode="External"/><Relationship Id="rId949" Type="http://schemas.openxmlformats.org/officeDocument/2006/relationships/hyperlink" Target="https://github.com/Agoric/agoric-sdk/blob/master/AGENTS.md" TargetMode="External"/><Relationship Id="rId1134" Type="http://schemas.openxmlformats.org/officeDocument/2006/relationships/hyperlink" Target="https://github.com/NuGet/NuGetGallery/blob/main/.github/copilot-instructions.md" TargetMode="External"/><Relationship Id="rId1341" Type="http://schemas.openxmlformats.org/officeDocument/2006/relationships/hyperlink" Target="https://github.com/owid/etl/blob/master/CLAUDE.md" TargetMode="External"/><Relationship Id="rId1786" Type="http://schemas.openxmlformats.org/officeDocument/2006/relationships/hyperlink" Target="https://github.com/theopenco/llmgateway/blob/main/CLAUDE.md" TargetMode="External"/><Relationship Id="rId78" Type="http://schemas.openxmlformats.org/officeDocument/2006/relationships/hyperlink" Target="https://github.com/webgptorg/promptbook/blob/main/AGENTS.md" TargetMode="External"/><Relationship Id="rId809" Type="http://schemas.openxmlformats.org/officeDocument/2006/relationships/hyperlink" Target="https://github.com/Freika/dawarich/blob/master/CLAUDE.md" TargetMode="External"/><Relationship Id="rId1201" Type="http://schemas.openxmlformats.org/officeDocument/2006/relationships/hyperlink" Target="https://github.com/Pipelex/pipelex/blob/main/AGENTS.md" TargetMode="External"/><Relationship Id="rId1439" Type="http://schemas.openxmlformats.org/officeDocument/2006/relationships/hyperlink" Target="https://github.com/zenml-io/zenml/blob/main/AGENTS.md" TargetMode="External"/><Relationship Id="rId1646" Type="http://schemas.openxmlformats.org/officeDocument/2006/relationships/hyperlink" Target="https://github.com/carverauto/serviceradar/blob/main/AGENTS.md" TargetMode="External"/><Relationship Id="rId1853" Type="http://schemas.openxmlformats.org/officeDocument/2006/relationships/hyperlink" Target="https://github.com/Freika/dawarich/blob/master/CLAUDE.md" TargetMode="External"/><Relationship Id="rId1506" Type="http://schemas.openxmlformats.org/officeDocument/2006/relationships/hyperlink" Target="https://github.com/abh/ntppool/blob/main/CLAUDE.md" TargetMode="External"/><Relationship Id="rId1713" Type="http://schemas.openxmlformats.org/officeDocument/2006/relationships/hyperlink" Target="https://github.com/esphome/esphome/blob/main/.github/copilot-instructions.md" TargetMode="External"/><Relationship Id="rId1920" Type="http://schemas.openxmlformats.org/officeDocument/2006/relationships/hyperlink" Target="https://github.com/james-gould/azure-keyvault-emulator/blob/master/.github/copilot-instructions.md" TargetMode="External"/><Relationship Id="rId294" Type="http://schemas.openxmlformats.org/officeDocument/2006/relationships/hyperlink" Target="https://github.com/colinhacks/zod/blob/main/CLAUDE.md" TargetMode="External"/><Relationship Id="rId154" Type="http://schemas.openxmlformats.org/officeDocument/2006/relationships/hyperlink" Target="https://github.com/ShaunLawrie/PwshSpectreConsole/blob/main/.github/copilot-instructions.md" TargetMode="External"/><Relationship Id="rId361" Type="http://schemas.openxmlformats.org/officeDocument/2006/relationships/hyperlink" Target="https://github.com/gitkraken/vscode-gitlens/blob/main/AGENTS.md" TargetMode="External"/><Relationship Id="rId599" Type="http://schemas.openxmlformats.org/officeDocument/2006/relationships/hyperlink" Target="https://github.com/marin-community/marin/blob/main/AGENTS.md" TargetMode="External"/><Relationship Id="rId459" Type="http://schemas.openxmlformats.org/officeDocument/2006/relationships/hyperlink" Target="https://github.com/humanwhocodes/crosspost/blob/main/.github/copilot-instructions.md" TargetMode="External"/><Relationship Id="rId666" Type="http://schemas.openxmlformats.org/officeDocument/2006/relationships/hyperlink" Target="https://github.com/SparkDevNetwork/Rock/blob/master/.github/copilot-instructions.md" TargetMode="External"/><Relationship Id="rId873" Type="http://schemas.openxmlformats.org/officeDocument/2006/relationships/hyperlink" Target="https://github.com/open-metadata/OpenMetadata/blob/main/CLAUDE.md" TargetMode="External"/><Relationship Id="rId1089" Type="http://schemas.openxmlformats.org/officeDocument/2006/relationships/hyperlink" Target="https://github.com/dotnet/aspnetcore/blob/main/.github/copilot-instructions.md" TargetMode="External"/><Relationship Id="rId1296" Type="http://schemas.openxmlformats.org/officeDocument/2006/relationships/hyperlink" Target="https://github.com/dropseed/plain/blob/main/CLAUDE.md" TargetMode="External"/><Relationship Id="rId221" Type="http://schemas.openxmlformats.org/officeDocument/2006/relationships/hyperlink" Target="https://github.com/HotCakeX/Harden-Windows-Security/blob/main/.github/copilot-instructions.md" TargetMode="External"/><Relationship Id="rId319" Type="http://schemas.openxmlformats.org/officeDocument/2006/relationships/hyperlink" Target="https://github.com/home-assistant/frontend/blob/master/CLAUDE.md" TargetMode="External"/><Relationship Id="rId526" Type="http://schemas.openxmlformats.org/officeDocument/2006/relationships/hyperlink" Target="https://github.com/nrwl/nx/blob/master/CLAUDE.md" TargetMode="External"/><Relationship Id="rId1156" Type="http://schemas.openxmlformats.org/officeDocument/2006/relationships/hyperlink" Target="https://github.com/wled/WLED/blob/main/.github/copilot-instructions.md" TargetMode="External"/><Relationship Id="rId1363" Type="http://schemas.openxmlformats.org/officeDocument/2006/relationships/hyperlink" Target="https://github.com/zenml-io/zenml/blob/main/CLAUDE.md" TargetMode="External"/><Relationship Id="rId733" Type="http://schemas.openxmlformats.org/officeDocument/2006/relationships/hyperlink" Target="https://github.com/anyproto/anytype-ts/blob/main/CLAUDE.md" TargetMode="External"/><Relationship Id="rId940" Type="http://schemas.openxmlformats.org/officeDocument/2006/relationships/hyperlink" Target="https://github.com/xlnfinance/xln/blob/main/CLAUDE.md" TargetMode="External"/><Relationship Id="rId1016" Type="http://schemas.openxmlformats.org/officeDocument/2006/relationships/hyperlink" Target="https://github.com/python-cachier/cachier/blob/master/AGENTS.md" TargetMode="External"/><Relationship Id="rId1570" Type="http://schemas.openxmlformats.org/officeDocument/2006/relationships/hyperlink" Target="https://github.com/hivesolutions/appier/blob/master/CLAUDE.md" TargetMode="External"/><Relationship Id="rId1668" Type="http://schemas.openxmlformats.org/officeDocument/2006/relationships/hyperlink" Target="https://github.com/langchain-ai/langchain/blob/master/AGENTS.md" TargetMode="External"/><Relationship Id="rId1875" Type="http://schemas.openxmlformats.org/officeDocument/2006/relationships/hyperlink" Target="https://github.com/langchain-ai/langchain/blob/master/AGENTS.md" TargetMode="External"/><Relationship Id="rId800" Type="http://schemas.openxmlformats.org/officeDocument/2006/relationships/hyperlink" Target="https://github.com/evmts/tevm-monorepo/blob/main/CLAUDE.md" TargetMode="External"/><Relationship Id="rId1223" Type="http://schemas.openxmlformats.org/officeDocument/2006/relationships/hyperlink" Target="https://github.com/saleor/saleor/blob/main/CLAUDE.md" TargetMode="External"/><Relationship Id="rId1430" Type="http://schemas.openxmlformats.org/officeDocument/2006/relationships/hyperlink" Target="https://github.com/valkey-io/valkey-glide/blob/main/AGENTS.md" TargetMode="External"/><Relationship Id="rId1528" Type="http://schemas.openxmlformats.org/officeDocument/2006/relationships/hyperlink" Target="https://github.com/colinhacks/zod/blob/main/CLAUDE.md" TargetMode="External"/><Relationship Id="rId1735" Type="http://schemas.openxmlformats.org/officeDocument/2006/relationships/hyperlink" Target="https://github.com/Significant-Gravitas/AutoGPT/blob/master/.github/copilot-instructions.md" TargetMode="External"/><Relationship Id="rId1942" Type="http://schemas.openxmlformats.org/officeDocument/2006/relationships/hyperlink" Target="https://github.com/dailydotdev/apps/blob/main/CLAUDE.md" TargetMode="External"/><Relationship Id="rId27" Type="http://schemas.openxmlformats.org/officeDocument/2006/relationships/hyperlink" Target="https://github.com/public-ui/kolibri/blob/master/AGENTS.md" TargetMode="External"/><Relationship Id="rId1802" Type="http://schemas.openxmlformats.org/officeDocument/2006/relationships/hyperlink" Target="https://github.com/vaadin/flow/blob/main/CLAUDE.md" TargetMode="External"/><Relationship Id="rId176" Type="http://schemas.openxmlformats.org/officeDocument/2006/relationships/hyperlink" Target="https://github.com/sybrew/the-seo-framework/blob/master/.github/copilot-instructions.md" TargetMode="External"/><Relationship Id="rId383" Type="http://schemas.openxmlformats.org/officeDocument/2006/relationships/hyperlink" Target="https://github.com/stack-auth/stack-auth/blob/main/AGENTS.md" TargetMode="External"/><Relationship Id="rId590" Type="http://schemas.openxmlformats.org/officeDocument/2006/relationships/hyperlink" Target="https://github.com/langfuse/langfuse/blob/main/AGENTS.md" TargetMode="External"/><Relationship Id="rId243" Type="http://schemas.openxmlformats.org/officeDocument/2006/relationships/hyperlink" Target="https://github.com/public-ui/kolibri/blob/master/AGENTS.md" TargetMode="External"/><Relationship Id="rId450" Type="http://schemas.openxmlformats.org/officeDocument/2006/relationships/hyperlink" Target="https://github.com/dotnet/runtime/blob/main/.github/copilot-instructions.md" TargetMode="External"/><Relationship Id="rId688" Type="http://schemas.openxmlformats.org/officeDocument/2006/relationships/hyperlink" Target="https://github.com/netdata/netdata/blob/master/CLAUDE.md" TargetMode="External"/><Relationship Id="rId895" Type="http://schemas.openxmlformats.org/officeDocument/2006/relationships/hyperlink" Target="https://github.com/Pipelex/pipelex/blob/main/CLAUDE.md" TargetMode="External"/><Relationship Id="rId1080" Type="http://schemas.openxmlformats.org/officeDocument/2006/relationships/hyperlink" Target="https://github.com/christianhelle/apiclientcodegen/blob/master/.github/copilot-instructions.md" TargetMode="External"/><Relationship Id="rId103" Type="http://schemas.openxmlformats.org/officeDocument/2006/relationships/hyperlink" Target="https://github.com/dotnet/aspnetcore/blob/main/.github/copilot-instructions.md" TargetMode="External"/><Relationship Id="rId310" Type="http://schemas.openxmlformats.org/officeDocument/2006/relationships/hyperlink" Target="https://github.com/dropseed/plain/blob/main/CLAUDE.md" TargetMode="External"/><Relationship Id="rId548" Type="http://schemas.openxmlformats.org/officeDocument/2006/relationships/hyperlink" Target="https://github.com/qltysh/qlty/blob/main/CLAUDE.md" TargetMode="External"/><Relationship Id="rId755" Type="http://schemas.openxmlformats.org/officeDocument/2006/relationships/hyperlink" Target="https://github.com/cloudposse/atmos/blob/main/CLAUDE.md" TargetMode="External"/><Relationship Id="rId962" Type="http://schemas.openxmlformats.org/officeDocument/2006/relationships/hyperlink" Target="https://github.com/carverauto/serviceradar/blob/main/AGENTS.md" TargetMode="External"/><Relationship Id="rId1178" Type="http://schemas.openxmlformats.org/officeDocument/2006/relationships/hyperlink" Target="https://github.com/Freika/dawarich/blob/master/CLAUDE.md" TargetMode="External"/><Relationship Id="rId1385" Type="http://schemas.openxmlformats.org/officeDocument/2006/relationships/hyperlink" Target="https://github.com/janbjorge/pgqueuer/blob/main/AGENTS.md" TargetMode="External"/><Relationship Id="rId1592" Type="http://schemas.openxmlformats.org/officeDocument/2006/relationships/hyperlink" Target="https://github.com/OlympiaAI/raix/blob/main/CLAUDE.md" TargetMode="External"/><Relationship Id="rId91" Type="http://schemas.openxmlformats.org/officeDocument/2006/relationships/hyperlink" Target="https://github.com/AstrBotDevs/AstrBot/blob/master/.github/copilot-instructions.md" TargetMode="External"/><Relationship Id="rId408" Type="http://schemas.openxmlformats.org/officeDocument/2006/relationships/hyperlink" Target="https://github.com/humanwhocodes/crosspost/blob/main/.github/copilot-instructions.md" TargetMode="External"/><Relationship Id="rId615" Type="http://schemas.openxmlformats.org/officeDocument/2006/relationships/hyperlink" Target="https://github.com/stack-auth/stack-auth/blob/main/AGENTS.md" TargetMode="External"/><Relationship Id="rId822" Type="http://schemas.openxmlformats.org/officeDocument/2006/relationships/hyperlink" Target="https://github.com/getsentry/sentry-cocoa/blob/main/CLAUDE.md" TargetMode="External"/><Relationship Id="rId1038" Type="http://schemas.openxmlformats.org/officeDocument/2006/relationships/hyperlink" Target="https://github.com/Zaki-1052/GPTPortal/blob/main/AGENTS.md" TargetMode="External"/><Relationship Id="rId1245" Type="http://schemas.openxmlformats.org/officeDocument/2006/relationships/hyperlink" Target="https://github.com/theopenco/llmgateway/blob/main/AGENTS.md" TargetMode="External"/><Relationship Id="rId1452" Type="http://schemas.openxmlformats.org/officeDocument/2006/relationships/hyperlink" Target="https://github.com/microsoft/PowerToys/blob/main/.github/copilot-instructions.md" TargetMode="External"/><Relationship Id="rId1897" Type="http://schemas.openxmlformats.org/officeDocument/2006/relationships/hyperlink" Target="https://github.com/zenml-io/zenml/blob/main/CLAUDE.md" TargetMode="External"/><Relationship Id="rId1105" Type="http://schemas.openxmlformats.org/officeDocument/2006/relationships/hyperlink" Target="https://github.com/geneontology/go-ontology/blob/master/.github/copilot-instructions.md" TargetMode="External"/><Relationship Id="rId1312" Type="http://schemas.openxmlformats.org/officeDocument/2006/relationships/hyperlink" Target="https://github.com/home-assistant/frontend/blob/master/CLAUDE.md" TargetMode="External"/><Relationship Id="rId1757" Type="http://schemas.openxmlformats.org/officeDocument/2006/relationships/hyperlink" Target="https://github.com/stack-auth/stack-auth/blob/main/AGENTS.md" TargetMode="External"/><Relationship Id="rId49" Type="http://schemas.openxmlformats.org/officeDocument/2006/relationships/hyperlink" Target="https://github.com/Rello/audioplayer/blob/master/AGENTS.md" TargetMode="External"/><Relationship Id="rId1617" Type="http://schemas.openxmlformats.org/officeDocument/2006/relationships/hyperlink" Target="https://github.com/RchGrav/claudebox/blob/main/CLAUDE.md" TargetMode="External"/><Relationship Id="rId1824" Type="http://schemas.openxmlformats.org/officeDocument/2006/relationships/hyperlink" Target="https://github.com/DestinyItemManager/DIM/blob/master/.github/copilot-instructions.md" TargetMode="External"/><Relationship Id="rId198" Type="http://schemas.openxmlformats.org/officeDocument/2006/relationships/hyperlink" Target="https://github.com/gitkraken/vscode-gitlens/blob/main/AGENTS.md" TargetMode="External"/><Relationship Id="rId265" Type="http://schemas.openxmlformats.org/officeDocument/2006/relationships/hyperlink" Target="https://github.com/dotnet/maui/blob/main/.github/copilot-instructions.md" TargetMode="External"/><Relationship Id="rId472" Type="http://schemas.openxmlformats.org/officeDocument/2006/relationships/hyperlink" Target="https://github.com/sybrew/the-seo-framework/blob/master/.github/copilot-instructions.md" TargetMode="External"/><Relationship Id="rId125" Type="http://schemas.openxmlformats.org/officeDocument/2006/relationships/hyperlink" Target="https://github.com/igraph/igraph/blob/main/.github/copilot-instructions.md" TargetMode="External"/><Relationship Id="rId332" Type="http://schemas.openxmlformats.org/officeDocument/2006/relationships/hyperlink" Target="https://github.com/open-metadata/OpenMetadata/blob/main/CLAUDE.md" TargetMode="External"/><Relationship Id="rId777" Type="http://schemas.openxmlformats.org/officeDocument/2006/relationships/hyperlink" Target="https://github.com/colinhacks/zod/blob/main/CLAUDE.md" TargetMode="External"/><Relationship Id="rId984" Type="http://schemas.openxmlformats.org/officeDocument/2006/relationships/hyperlink" Target="https://github.com/marin-community/marin/blob/main/AGENTS.md" TargetMode="External"/><Relationship Id="rId637" Type="http://schemas.openxmlformats.org/officeDocument/2006/relationships/hyperlink" Target="https://github.com/esphome/esphome/blob/main/.github/copilot-instructions.md" TargetMode="External"/><Relationship Id="rId844" Type="http://schemas.openxmlformats.org/officeDocument/2006/relationships/hyperlink" Target="https://github.com/lightdash/lightdash/blob/main/CLAUDE.md" TargetMode="External"/><Relationship Id="rId1267" Type="http://schemas.openxmlformats.org/officeDocument/2006/relationships/hyperlink" Target="https://github.com/pannous/wasp/blob/main/CLAUDE.md" TargetMode="External"/><Relationship Id="rId1474" Type="http://schemas.openxmlformats.org/officeDocument/2006/relationships/hyperlink" Target="https://github.com/netdata/netdata/blob/master/CLAUDE.md" TargetMode="External"/><Relationship Id="rId1681" Type="http://schemas.openxmlformats.org/officeDocument/2006/relationships/hyperlink" Target="https://github.com/mixpanel/mixpanel-android/blob/master/AGENTS.md" TargetMode="External"/><Relationship Id="rId704" Type="http://schemas.openxmlformats.org/officeDocument/2006/relationships/hyperlink" Target="https://github.com/NG-ZORRO/ng-zorro-antd/blob/master/.github/copilot-instructions.md" TargetMode="External"/><Relationship Id="rId911" Type="http://schemas.openxmlformats.org/officeDocument/2006/relationships/hyperlink" Target="https://github.com/safety-research/safety-tooling/blob/main/CLAUDE.md" TargetMode="External"/><Relationship Id="rId1127" Type="http://schemas.openxmlformats.org/officeDocument/2006/relationships/hyperlink" Target="https://github.com/microsoft/Olive/blob/main/.github/copilot-instructions.md" TargetMode="External"/><Relationship Id="rId1334" Type="http://schemas.openxmlformats.org/officeDocument/2006/relationships/hyperlink" Target="https://github.com/open-metadata/OpenMetadata/blob/main/CLAUDE.md" TargetMode="External"/><Relationship Id="rId1541" Type="http://schemas.openxmlformats.org/officeDocument/2006/relationships/hyperlink" Target="https://github.com/dailydotdev/apps/blob/main/CLAUDE.md" TargetMode="External"/><Relationship Id="rId1779" Type="http://schemas.openxmlformats.org/officeDocument/2006/relationships/hyperlink" Target="https://github.com/microsoft/typespec/blob/main/.github/copilot-instructions.md" TargetMode="External"/><Relationship Id="rId40" Type="http://schemas.openxmlformats.org/officeDocument/2006/relationships/hyperlink" Target="https://github.com/pytorch/pytorch/blob/main/AGENTS.md" TargetMode="External"/><Relationship Id="rId1401" Type="http://schemas.openxmlformats.org/officeDocument/2006/relationships/hyperlink" Target="https://github.com/marin-community/marin/blob/main/AGENTS.md" TargetMode="External"/><Relationship Id="rId1639" Type="http://schemas.openxmlformats.org/officeDocument/2006/relationships/hyperlink" Target="https://github.com/xlnfinance/xln/blob/main/CLAUDE.md" TargetMode="External"/><Relationship Id="rId1846" Type="http://schemas.openxmlformats.org/officeDocument/2006/relationships/hyperlink" Target="https://github.com/cockroachdb/cockroach/blob/master/CLAUDE.md" TargetMode="External"/><Relationship Id="rId1706" Type="http://schemas.openxmlformats.org/officeDocument/2006/relationships/hyperlink" Target="https://github.com/dotnet/docs-aspire/blob/main/.github/copilot-instructions.md" TargetMode="External"/><Relationship Id="rId1913" Type="http://schemas.openxmlformats.org/officeDocument/2006/relationships/hyperlink" Target="https://github.com/RchGrav/claudebox/blob/main/CLAUDE.md" TargetMode="External"/><Relationship Id="rId287" Type="http://schemas.openxmlformats.org/officeDocument/2006/relationships/hyperlink" Target="https://github.com/coder/coder/blob/main/CLAUDE.md" TargetMode="External"/><Relationship Id="rId494" Type="http://schemas.openxmlformats.org/officeDocument/2006/relationships/hyperlink" Target="https://github.com/cloudposse/atmos/blob/main/CLAUDE.md" TargetMode="External"/><Relationship Id="rId147" Type="http://schemas.openxmlformats.org/officeDocument/2006/relationships/hyperlink" Target="https://github.com/owncast/owncast/blob/master/.github/copilot-instructions.md" TargetMode="External"/><Relationship Id="rId354" Type="http://schemas.openxmlformats.org/officeDocument/2006/relationships/hyperlink" Target="https://github.com/zenml-io/zenml/blob/main/CLAUDE.md" TargetMode="External"/><Relationship Id="rId799" Type="http://schemas.openxmlformats.org/officeDocument/2006/relationships/hyperlink" Target="https://github.com/ensdomains/ens-app-v3/blob/main/CLAUDE.md" TargetMode="External"/><Relationship Id="rId1191" Type="http://schemas.openxmlformats.org/officeDocument/2006/relationships/hyperlink" Target="https://github.com/cloudposse/atmos/blob/main/CLAUDE.md" TargetMode="External"/><Relationship Id="rId561" Type="http://schemas.openxmlformats.org/officeDocument/2006/relationships/hyperlink" Target="https://github.com/speaches-ai/speaches/blob/master/CLAUDE.md" TargetMode="External"/><Relationship Id="rId659" Type="http://schemas.openxmlformats.org/officeDocument/2006/relationships/hyperlink" Target="https://github.com/Open-LLM-VTuber/Open-LLM-VTuber/blob/main/.github/copilot-instructions.md" TargetMode="External"/><Relationship Id="rId866" Type="http://schemas.openxmlformats.org/officeDocument/2006/relationships/hyperlink" Target="https://github.com/OneKeyHQ/app-monorepo/blob/master/CLAUDE.md" TargetMode="External"/><Relationship Id="rId1289" Type="http://schemas.openxmlformats.org/officeDocument/2006/relationships/hyperlink" Target="https://github.com/colinhacks/zod/blob/main/CLAUDE.md" TargetMode="External"/><Relationship Id="rId1496" Type="http://schemas.openxmlformats.org/officeDocument/2006/relationships/hyperlink" Target="https://github.com/module-federation/core/blob/main/CLAUDE.md" TargetMode="External"/><Relationship Id="rId214" Type="http://schemas.openxmlformats.org/officeDocument/2006/relationships/hyperlink" Target="https://github.com/abh/ntppool/blob/main/CLAUDE.md" TargetMode="External"/><Relationship Id="rId421" Type="http://schemas.openxmlformats.org/officeDocument/2006/relationships/hyperlink" Target="https://github.com/SparkDevNetwork/Rock/blob/master/.github/copilot-instructions.md" TargetMode="External"/><Relationship Id="rId519" Type="http://schemas.openxmlformats.org/officeDocument/2006/relationships/hyperlink" Target="https://github.com/jxnl/blog/blob/main/CLAUDE.md" TargetMode="External"/><Relationship Id="rId1051" Type="http://schemas.openxmlformats.org/officeDocument/2006/relationships/hyperlink" Target="https://github.com/ast-grep/ast-grep/blob/main/.github/copilot-instructions.md" TargetMode="External"/><Relationship Id="rId1149" Type="http://schemas.openxmlformats.org/officeDocument/2006/relationships/hyperlink" Target="https://github.com/Skyscanner/backpack-ios/blob/main/.github/copilot-instructions.md" TargetMode="External"/><Relationship Id="rId1356" Type="http://schemas.openxmlformats.org/officeDocument/2006/relationships/hyperlink" Target="https://github.com/truenas/webui/blob/master/CLAUDE.md" TargetMode="External"/><Relationship Id="rId726" Type="http://schemas.openxmlformats.org/officeDocument/2006/relationships/hyperlink" Target="https://github.com/ajanraj/OpenChat/blob/main/CLAUDE.md" TargetMode="External"/><Relationship Id="rId933" Type="http://schemas.openxmlformats.org/officeDocument/2006/relationships/hyperlink" Target="https://github.com/vaadin/flow/blob/main/CLAUDE.md" TargetMode="External"/><Relationship Id="rId1009" Type="http://schemas.openxmlformats.org/officeDocument/2006/relationships/hyperlink" Target="https://github.com/public-ui/kolibri/blob/master/AGENTS.md" TargetMode="External"/><Relationship Id="rId1563" Type="http://schemas.openxmlformats.org/officeDocument/2006/relationships/hyperlink" Target="https://github.com/geneontology/go-ontology/blob/master/CLAUDE.md" TargetMode="External"/><Relationship Id="rId1770" Type="http://schemas.openxmlformats.org/officeDocument/2006/relationships/hyperlink" Target="https://github.com/dotnet/macios/blob/main/.github/copilot-instructions.md" TargetMode="External"/><Relationship Id="rId1868" Type="http://schemas.openxmlformats.org/officeDocument/2006/relationships/hyperlink" Target="https://github.com/wvlet/wvlet/blob/main/CLAUDE.md" TargetMode="External"/><Relationship Id="rId62" Type="http://schemas.openxmlformats.org/officeDocument/2006/relationships/hyperlink" Target="https://github.com/stack-auth/stack-auth/blob/main/AGENTS.md" TargetMode="External"/><Relationship Id="rId1216" Type="http://schemas.openxmlformats.org/officeDocument/2006/relationships/hyperlink" Target="https://github.com/DannyMac180/meta-agent/blob/main/AGENTS.md" TargetMode="External"/><Relationship Id="rId1423" Type="http://schemas.openxmlformats.org/officeDocument/2006/relationships/hyperlink" Target="https://github.com/shopware/shopware/blob/master/AGENTS.md" TargetMode="External"/><Relationship Id="rId1630" Type="http://schemas.openxmlformats.org/officeDocument/2006/relationships/hyperlink" Target="https://github.com/wolfi-dev/os/blob/main/CLAUDE.md" TargetMode="External"/><Relationship Id="rId1728" Type="http://schemas.openxmlformats.org/officeDocument/2006/relationships/hyperlink" Target="https://github.com/microsoft/vscode-jupyter/blob/main/.github/copilot-instructions.md" TargetMode="External"/><Relationship Id="rId1935" Type="http://schemas.openxmlformats.org/officeDocument/2006/relationships/hyperlink" Target="https://github.com/Azure/azure-rest-api-specs/blob/main/.github/copilot-instructions.md" TargetMode="External"/><Relationship Id="rId169" Type="http://schemas.openxmlformats.org/officeDocument/2006/relationships/hyperlink" Target="https://github.com/sybrew/the-seo-framework/blob/master/.github/copilot-instructions.md" TargetMode="External"/><Relationship Id="rId376" Type="http://schemas.openxmlformats.org/officeDocument/2006/relationships/hyperlink" Target="https://github.com/PrairieLearn/PrairieLearn/blob/master/AGENTS.md" TargetMode="External"/><Relationship Id="rId583" Type="http://schemas.openxmlformats.org/officeDocument/2006/relationships/hyperlink" Target="https://github.com/elamperti/OpenWebScrobbler/blob/main/AGENTS.md" TargetMode="External"/><Relationship Id="rId790" Type="http://schemas.openxmlformats.org/officeDocument/2006/relationships/hyperlink" Target="https://github.com/dailydotdev/apps/blob/main/CLAUDE.md" TargetMode="External"/><Relationship Id="rId4" Type="http://schemas.openxmlformats.org/officeDocument/2006/relationships/hyperlink" Target="https://github.com/microsoft/mcp-for-beginners/blob/main/AGENTS.md" TargetMode="External"/><Relationship Id="rId236" Type="http://schemas.openxmlformats.org/officeDocument/2006/relationships/hyperlink" Target="https://github.com/microsoft/ApplicationInsights-JS/blob/main/.github/copilot-instructions.md" TargetMode="External"/><Relationship Id="rId443" Type="http://schemas.openxmlformats.org/officeDocument/2006/relationships/hyperlink" Target="https://github.com/geneontology/go-ontology/blob/master/.github/copilot-instructions.md" TargetMode="External"/><Relationship Id="rId650" Type="http://schemas.openxmlformats.org/officeDocument/2006/relationships/hyperlink" Target="https://github.com/microsoft/TypeScript/blob/main/.github/copilot-instructions.md" TargetMode="External"/><Relationship Id="rId888" Type="http://schemas.openxmlformats.org/officeDocument/2006/relationships/hyperlink" Target="https://github.com/pathintegral-institute/mcpm.sh/blob/main/CLAUDE.md" TargetMode="External"/><Relationship Id="rId1073" Type="http://schemas.openxmlformats.org/officeDocument/2006/relationships/hyperlink" Target="https://github.com/Azure/azure-functions-host/blob/master/.github/copilot-instructions.md" TargetMode="External"/><Relationship Id="rId1280" Type="http://schemas.openxmlformats.org/officeDocument/2006/relationships/hyperlink" Target="https://github.com/OneKeyHQ/app-monorepo/blob/master/CLAUDE.md" TargetMode="External"/><Relationship Id="rId303" Type="http://schemas.openxmlformats.org/officeDocument/2006/relationships/hyperlink" Target="https://github.com/compiler-explorer/infra/blob/main/CLAUDE.md" TargetMode="External"/><Relationship Id="rId748" Type="http://schemas.openxmlformats.org/officeDocument/2006/relationships/hyperlink" Target="https://github.com/CapSoftware/Cap/blob/main/CLAUDE.md" TargetMode="External"/><Relationship Id="rId955" Type="http://schemas.openxmlformats.org/officeDocument/2006/relationships/hyperlink" Target="https://github.com/cablehead/xs/blob/main/AGENTS.md" TargetMode="External"/><Relationship Id="rId1140" Type="http://schemas.openxmlformats.org/officeDocument/2006/relationships/hyperlink" Target="https://github.com/owncast/owncast/blob/master/.github/copilot-instructions.md" TargetMode="External"/><Relationship Id="rId1378" Type="http://schemas.openxmlformats.org/officeDocument/2006/relationships/hyperlink" Target="https://github.com/hathach/tinyusb/blob/master/AGENTS.md" TargetMode="External"/><Relationship Id="rId1585" Type="http://schemas.openxmlformats.org/officeDocument/2006/relationships/hyperlink" Target="https://github.com/lostleaf/binance_datatool/blob/main/CLAUDE.md" TargetMode="External"/><Relationship Id="rId1792" Type="http://schemas.openxmlformats.org/officeDocument/2006/relationships/hyperlink" Target="https://github.com/microsoft/mcp-for-beginners/blob/main/AGENTS.md" TargetMode="External"/><Relationship Id="rId84" Type="http://schemas.openxmlformats.org/officeDocument/2006/relationships/hyperlink" Target="https://github.com/wieslawsoltes/Xaml.Behaviors/blob/master/AGENTS.md" TargetMode="External"/><Relationship Id="rId510" Type="http://schemas.openxmlformats.org/officeDocument/2006/relationships/hyperlink" Target="https://github.com/Freika/dawarich/blob/master/CLAUDE.md" TargetMode="External"/><Relationship Id="rId608" Type="http://schemas.openxmlformats.org/officeDocument/2006/relationships/hyperlink" Target="https://github.com/python-cachier/cachier/blob/master/AGENTS.md" TargetMode="External"/><Relationship Id="rId815" Type="http://schemas.openxmlformats.org/officeDocument/2006/relationships/hyperlink" Target="https://github.com/geneontology/go-ontology/blob/master/CLAUDE.md" TargetMode="External"/><Relationship Id="rId1238" Type="http://schemas.openxmlformats.org/officeDocument/2006/relationships/hyperlink" Target="https://github.com/theopenco/llmgateway/blob/main/CLAUDE.md" TargetMode="External"/><Relationship Id="rId1445" Type="http://schemas.openxmlformats.org/officeDocument/2006/relationships/hyperlink" Target="https://github.com/alandtse/alexa_media_player/blob/master/.github/copilot-instructions.md" TargetMode="External"/><Relationship Id="rId1652" Type="http://schemas.openxmlformats.org/officeDocument/2006/relationships/hyperlink" Target="https://github.com/DataDog/datadog-agent/blob/main/AGENTS.md" TargetMode="External"/><Relationship Id="rId1000" Type="http://schemas.openxmlformats.org/officeDocument/2006/relationships/hyperlink" Target="https://github.com/Pipelex/pipelex/blob/main/AGENTS.md" TargetMode="External"/><Relationship Id="rId1305" Type="http://schemas.openxmlformats.org/officeDocument/2006/relationships/hyperlink" Target="https://github.com/Freika/dawarich/blob/master/CLAUDE.md" TargetMode="External"/><Relationship Id="rId1512" Type="http://schemas.openxmlformats.org/officeDocument/2006/relationships/hyperlink" Target="https://github.com/angular-eslint/angular-eslint/blob/main/CLAUDE.md" TargetMode="External"/><Relationship Id="rId1817" Type="http://schemas.openxmlformats.org/officeDocument/2006/relationships/hyperlink" Target="https://github.com/zenml-io/zenml/blob/main/AGENTS.md" TargetMode="External"/><Relationship Id="rId11" Type="http://schemas.openxmlformats.org/officeDocument/2006/relationships/hyperlink" Target="https://github.com/openai/openai-agents-python/blob/main/AGENTS.md" TargetMode="External"/><Relationship Id="rId398" Type="http://schemas.openxmlformats.org/officeDocument/2006/relationships/hyperlink" Target="https://github.com/dotnet/dotnet-api-docs/blob/main/.github/copilot-instructions.md" TargetMode="External"/><Relationship Id="rId160" Type="http://schemas.openxmlformats.org/officeDocument/2006/relationships/hyperlink" Target="https://github.com/SparkDevNetwork/Rock/blob/master/.github/copilot-instructions.md" TargetMode="External"/><Relationship Id="rId258" Type="http://schemas.openxmlformats.org/officeDocument/2006/relationships/hyperlink" Target="https://github.com/microsoft/mcp-for-beginners/blob/main/AGENTS.md" TargetMode="External"/><Relationship Id="rId465" Type="http://schemas.openxmlformats.org/officeDocument/2006/relationships/hyperlink" Target="https://github.com/PrairieLearn/PrairieLearn/blob/master/AGENTS.md" TargetMode="External"/><Relationship Id="rId672" Type="http://schemas.openxmlformats.org/officeDocument/2006/relationships/hyperlink" Target="https://github.com/zwave-js/zwave-js-ui/blob/master/.github/copilot-instructions.md" TargetMode="External"/><Relationship Id="rId1095" Type="http://schemas.openxmlformats.org/officeDocument/2006/relationships/hyperlink" Target="https://github.com/esphome/esphome/blob/main/.github/copilot-instructions.md" TargetMode="External"/><Relationship Id="rId118" Type="http://schemas.openxmlformats.org/officeDocument/2006/relationships/hyperlink" Target="https://github.com/esphome/esphome/blob/main/.github/copilot-instructions.md" TargetMode="External"/><Relationship Id="rId325" Type="http://schemas.openxmlformats.org/officeDocument/2006/relationships/hyperlink" Target="https://github.com/module-federation/core/blob/main/CLAUDE.md" TargetMode="External"/><Relationship Id="rId532" Type="http://schemas.openxmlformats.org/officeDocument/2006/relationships/hyperlink" Target="https://github.com/open-metadata/OpenMetadata/blob/main/CLAUDE.md" TargetMode="External"/><Relationship Id="rId977" Type="http://schemas.openxmlformats.org/officeDocument/2006/relationships/hyperlink" Target="https://github.com/logancyang/obsidian-copilot/blob/master/AGENTS.md" TargetMode="External"/><Relationship Id="rId1162" Type="http://schemas.openxmlformats.org/officeDocument/2006/relationships/hyperlink" Target="https://github.com/zwave-js/zwave-js-ui/blob/master/.github/copilot-instructions.md" TargetMode="External"/><Relationship Id="rId837" Type="http://schemas.openxmlformats.org/officeDocument/2006/relationships/hyperlink" Target="https://github.com/ivo-toby/mcp-openapi-server/blob/main/CLAUDE.md" TargetMode="External"/><Relationship Id="rId1022" Type="http://schemas.openxmlformats.org/officeDocument/2006/relationships/hyperlink" Target="https://github.com/stack-auth/stack-auth/blob/main/AGENTS.md" TargetMode="External"/><Relationship Id="rId1467" Type="http://schemas.openxmlformats.org/officeDocument/2006/relationships/hyperlink" Target="https://github.com/valkey-io/valkey-glide/blob/main/AGENTS.md" TargetMode="External"/><Relationship Id="rId1674" Type="http://schemas.openxmlformats.org/officeDocument/2006/relationships/hyperlink" Target="https://github.com/luccahuguet/yazelix/blob/main/AGENTS.md" TargetMode="External"/><Relationship Id="rId1881" Type="http://schemas.openxmlformats.org/officeDocument/2006/relationships/hyperlink" Target="https://github.com/useautumn/autumn/blob/main/AGENTS.md" TargetMode="External"/><Relationship Id="rId904" Type="http://schemas.openxmlformats.org/officeDocument/2006/relationships/hyperlink" Target="https://github.com/RchGrav/claudebox/blob/main/CLAUDE.md" TargetMode="External"/><Relationship Id="rId1327" Type="http://schemas.openxmlformats.org/officeDocument/2006/relationships/hyperlink" Target="https://github.com/obophenotype/uberon/blob/master/CLAUDE.md" TargetMode="External"/><Relationship Id="rId1534" Type="http://schemas.openxmlformats.org/officeDocument/2006/relationships/hyperlink" Target="https://github.com/Comfy-Org/comfy-claude-prompt-library/blob/master/CLAUDE.md" TargetMode="External"/><Relationship Id="rId1741" Type="http://schemas.openxmlformats.org/officeDocument/2006/relationships/hyperlink" Target="https://github.com/sybrew/the-seo-framework/blob/master/.github/copilot-instructions.md" TargetMode="External"/><Relationship Id="rId33" Type="http://schemas.openxmlformats.org/officeDocument/2006/relationships/hyperlink" Target="https://github.com/public-ui/kolibri/blob/master/AGENTS.md" TargetMode="External"/><Relationship Id="rId1601" Type="http://schemas.openxmlformats.org/officeDocument/2006/relationships/hyperlink" Target="https://github.com/open-metadata/OpenMetadata/blob/main/CLAUDE.md" TargetMode="External"/><Relationship Id="rId1839" Type="http://schemas.openxmlformats.org/officeDocument/2006/relationships/hyperlink" Target="https://github.com/abh/ntppool/blob/main/CLAUDE.md" TargetMode="External"/><Relationship Id="rId182" Type="http://schemas.openxmlformats.org/officeDocument/2006/relationships/hyperlink" Target="https://github.com/vczh-libraries/GacUI/blob/master/.github/copilot-instructions.md" TargetMode="External"/><Relationship Id="rId1906" Type="http://schemas.openxmlformats.org/officeDocument/2006/relationships/hyperlink" Target="https://github.com/colinhacks/zod/blob/main/CLAUDE.md" TargetMode="External"/><Relationship Id="rId487" Type="http://schemas.openxmlformats.org/officeDocument/2006/relationships/hyperlink" Target="https://github.com/browser-use/browser-use/blob/main/CLAUDE.md" TargetMode="External"/><Relationship Id="rId694" Type="http://schemas.openxmlformats.org/officeDocument/2006/relationships/hyperlink" Target="https://github.com/commonwarexyz/monorepo/blob/main/AGENTS.md" TargetMode="External"/><Relationship Id="rId347" Type="http://schemas.openxmlformats.org/officeDocument/2006/relationships/hyperlink" Target="https://github.com/safety-research/safety-tooling/blob/main/CLAUDE.md" TargetMode="External"/><Relationship Id="rId999" Type="http://schemas.openxmlformats.org/officeDocument/2006/relationships/hyperlink" Target="https://github.com/Pipelex/pipelex/blob/main/AGENTS.md" TargetMode="External"/><Relationship Id="rId1184" Type="http://schemas.openxmlformats.org/officeDocument/2006/relationships/hyperlink" Target="https://github.com/stack-auth/stack-auth/blob/main/AGENTS.md" TargetMode="External"/><Relationship Id="rId554" Type="http://schemas.openxmlformats.org/officeDocument/2006/relationships/hyperlink" Target="https://github.com/saleor/saleor/blob/main/CLAUDE.md" TargetMode="External"/><Relationship Id="rId761" Type="http://schemas.openxmlformats.org/officeDocument/2006/relationships/hyperlink" Target="https://github.com/cloudposse/atmos/blob/main/CLAUDE.md" TargetMode="External"/><Relationship Id="rId859" Type="http://schemas.openxmlformats.org/officeDocument/2006/relationships/hyperlink" Target="https://github.com/obophenotype/uberon/blob/master/CLAUDE.md" TargetMode="External"/><Relationship Id="rId1391" Type="http://schemas.openxmlformats.org/officeDocument/2006/relationships/hyperlink" Target="https://github.com/langfuse/langfuse/blob/main/AGENTS.md" TargetMode="External"/><Relationship Id="rId1489" Type="http://schemas.openxmlformats.org/officeDocument/2006/relationships/hyperlink" Target="https://github.com/RSSNext/Folo/blob/main/AGENTS.md" TargetMode="External"/><Relationship Id="rId1696" Type="http://schemas.openxmlformats.org/officeDocument/2006/relationships/hyperlink" Target="https://github.com/wandb/weave/blob/master/AGENTS.md" TargetMode="External"/><Relationship Id="rId207" Type="http://schemas.openxmlformats.org/officeDocument/2006/relationships/hyperlink" Target="https://github.com/public-ui/kolibri/blob/master/AGENTS.md" TargetMode="External"/><Relationship Id="rId414" Type="http://schemas.openxmlformats.org/officeDocument/2006/relationships/hyperlink" Target="https://github.com/NuGet/NuGetGallery/blob/main/.github/copilot-instructions.md" TargetMode="External"/><Relationship Id="rId621" Type="http://schemas.openxmlformats.org/officeDocument/2006/relationships/hyperlink" Target="https://github.com/wieslawsoltes/Xaml.Behaviors/blob/master/AGENTS.md" TargetMode="External"/><Relationship Id="rId1044" Type="http://schemas.openxmlformats.org/officeDocument/2006/relationships/hyperlink" Target="https://github.com/alandtse/alexa_media_player/blob/master/.github/copilot-instructions.md" TargetMode="External"/><Relationship Id="rId1251" Type="http://schemas.openxmlformats.org/officeDocument/2006/relationships/hyperlink" Target="https://github.com/projectcalico/calico/blob/master/.github/copilot-instructions.md" TargetMode="External"/><Relationship Id="rId1349" Type="http://schemas.openxmlformats.org/officeDocument/2006/relationships/hyperlink" Target="https://github.com/rocket-admin/rocketadmin/blob/main/CLAUDE.md" TargetMode="External"/><Relationship Id="rId719" Type="http://schemas.openxmlformats.org/officeDocument/2006/relationships/hyperlink" Target="https://github.com/abh/ntppool/blob/main/CLAUDE.md" TargetMode="External"/><Relationship Id="rId926" Type="http://schemas.openxmlformats.org/officeDocument/2006/relationships/hyperlink" Target="https://github.com/thirdweb-dev/js/blob/main/CLAUDE.md" TargetMode="External"/><Relationship Id="rId1111" Type="http://schemas.openxmlformats.org/officeDocument/2006/relationships/hyperlink" Target="https://github.com/HotCakeX/Harden-Windows-Security/blob/main/.github/copilot-instructions.md" TargetMode="External"/><Relationship Id="rId1556" Type="http://schemas.openxmlformats.org/officeDocument/2006/relationships/hyperlink" Target="https://github.com/FastLED/FastLED/blob/master/CLAUDE.md" TargetMode="External"/><Relationship Id="rId1763" Type="http://schemas.openxmlformats.org/officeDocument/2006/relationships/hyperlink" Target="https://github.com/FastLED/FastLED/blob/master/CLAUDE.md" TargetMode="External"/><Relationship Id="rId55" Type="http://schemas.openxmlformats.org/officeDocument/2006/relationships/hyperlink" Target="https://github.com/RSSNext/Folo/blob/main/AGENTS.md" TargetMode="External"/><Relationship Id="rId1209" Type="http://schemas.openxmlformats.org/officeDocument/2006/relationships/hyperlink" Target="https://github.com/dotCMS/core/blob/main/CLAUDE.md" TargetMode="External"/><Relationship Id="rId1416" Type="http://schemas.openxmlformats.org/officeDocument/2006/relationships/hyperlink" Target="https://github.com/public-ui/kolibri/blob/master/AGENTS.md" TargetMode="External"/><Relationship Id="rId1623" Type="http://schemas.openxmlformats.org/officeDocument/2006/relationships/hyperlink" Target="https://github.com/twentyhq/twenty/blob/main/CLAUDE.md" TargetMode="External"/><Relationship Id="rId1830" Type="http://schemas.openxmlformats.org/officeDocument/2006/relationships/hyperlink" Target="https://github.com/igraph/igraph/blob/main/.github/copilot-instructions.md" TargetMode="External"/><Relationship Id="rId1928" Type="http://schemas.openxmlformats.org/officeDocument/2006/relationships/hyperlink" Target="https://github.com/geneontology/go-ontology/blob/master/.github/copilot-instructions.md" TargetMode="External"/><Relationship Id="rId271" Type="http://schemas.openxmlformats.org/officeDocument/2006/relationships/hyperlink" Target="https://github.com/abh/ntppool/blob/main/CLAUDE.md" TargetMode="External"/><Relationship Id="rId131" Type="http://schemas.openxmlformats.org/officeDocument/2006/relationships/hyperlink" Target="https://github.com/microsoft/simplechat/blob/main/.github/copilot-instructions.md" TargetMode="External"/><Relationship Id="rId369" Type="http://schemas.openxmlformats.org/officeDocument/2006/relationships/hyperlink" Target="https://github.com/PrairieLearn/PrairieLearn/blob/master/AGENTS.md" TargetMode="External"/><Relationship Id="rId576" Type="http://schemas.openxmlformats.org/officeDocument/2006/relationships/hyperlink" Target="https://github.com/wolfi-dev/os/blob/main/CLAUDE.md" TargetMode="External"/><Relationship Id="rId783" Type="http://schemas.openxmlformats.org/officeDocument/2006/relationships/hyperlink" Target="https://github.com/compiler-explorer/compiler-explorer/blob/main/CLAUDE.md" TargetMode="External"/><Relationship Id="rId990" Type="http://schemas.openxmlformats.org/officeDocument/2006/relationships/hyperlink" Target="https://github.com/owid/etl/blob/master/AGENTS.md" TargetMode="External"/><Relationship Id="rId229" Type="http://schemas.openxmlformats.org/officeDocument/2006/relationships/hyperlink" Target="https://github.com/Pipelex/pipelex/blob/main/CLAUDE.md" TargetMode="External"/><Relationship Id="rId436" Type="http://schemas.openxmlformats.org/officeDocument/2006/relationships/hyperlink" Target="https://github.com/home-assistant/frontend/blob/master/CLAUDE.md" TargetMode="External"/><Relationship Id="rId643" Type="http://schemas.openxmlformats.org/officeDocument/2006/relationships/hyperlink" Target="https://github.com/microsoft/ApplicationInsights-JS/blob/main/.github/copilot-instructions.md" TargetMode="External"/><Relationship Id="rId1066" Type="http://schemas.openxmlformats.org/officeDocument/2006/relationships/hyperlink" Target="https://github.com/Azure/autorest.typescript/blob/main/.github/copilot-instructions.md" TargetMode="External"/><Relationship Id="rId1273" Type="http://schemas.openxmlformats.org/officeDocument/2006/relationships/hyperlink" Target="https://github.com/alchemiststudiosDOTai/tunacode/blob/master/AGENTS.md" TargetMode="External"/><Relationship Id="rId1480" Type="http://schemas.openxmlformats.org/officeDocument/2006/relationships/hyperlink" Target="https://github.com/charlesvestal/extending-move/blob/main/AGENTS.md" TargetMode="External"/><Relationship Id="rId850" Type="http://schemas.openxmlformats.org/officeDocument/2006/relationships/hyperlink" Target="https://github.com/netdata/netdata/blob/master/CLAUDE.md" TargetMode="External"/><Relationship Id="rId948" Type="http://schemas.openxmlformats.org/officeDocument/2006/relationships/hyperlink" Target="https://github.com/zenml-io/zenml/blob/main/CLAUDE.md" TargetMode="External"/><Relationship Id="rId1133" Type="http://schemas.openxmlformats.org/officeDocument/2006/relationships/hyperlink" Target="https://github.com/NuGet/NuGetGallery/blob/main/.github/copilot-instructions.md" TargetMode="External"/><Relationship Id="rId1578" Type="http://schemas.openxmlformats.org/officeDocument/2006/relationships/hyperlink" Target="https://github.com/kubetail-org/kubetail/blob/main/CLAUDE.md" TargetMode="External"/><Relationship Id="rId1785" Type="http://schemas.openxmlformats.org/officeDocument/2006/relationships/hyperlink" Target="https://github.com/RchGrav/claudebox/blob/main/CLAUDE.md" TargetMode="External"/><Relationship Id="rId77" Type="http://schemas.openxmlformats.org/officeDocument/2006/relationships/hyperlink" Target="https://github.com/webgptorg/promptbook/blob/main/AGENTS.md" TargetMode="External"/><Relationship Id="rId503" Type="http://schemas.openxmlformats.org/officeDocument/2006/relationships/hyperlink" Target="https://github.com/dailydotdev/apps/blob/main/CLAUDE.md" TargetMode="External"/><Relationship Id="rId710" Type="http://schemas.openxmlformats.org/officeDocument/2006/relationships/hyperlink" Target="https://github.com/commonwarexyz/monorepo/blob/main/AGENTS.md" TargetMode="External"/><Relationship Id="rId808" Type="http://schemas.openxmlformats.org/officeDocument/2006/relationships/hyperlink" Target="https://github.com/Freika/dawarich/blob/master/CLAUDE.md" TargetMode="External"/><Relationship Id="rId1340" Type="http://schemas.openxmlformats.org/officeDocument/2006/relationships/hyperlink" Target="https://github.com/open-metadata/OpenMetadata/blob/main/CLAUDE.md" TargetMode="External"/><Relationship Id="rId1438" Type="http://schemas.openxmlformats.org/officeDocument/2006/relationships/hyperlink" Target="https://github.com/ydb-platform/ydb/blob/main/AGENTS.md" TargetMode="External"/><Relationship Id="rId1645" Type="http://schemas.openxmlformats.org/officeDocument/2006/relationships/hyperlink" Target="https://github.com/CapSoftware/Cap/blob/main/AGENTS.md" TargetMode="External"/><Relationship Id="rId1200" Type="http://schemas.openxmlformats.org/officeDocument/2006/relationships/hyperlink" Target="https://github.com/RchGrav/claudebox/blob/main/CLAUDE.md" TargetMode="External"/><Relationship Id="rId1852" Type="http://schemas.openxmlformats.org/officeDocument/2006/relationships/hyperlink" Target="https://github.com/ESPresense/ESPresense-companion/blob/main/CLAUDE.md" TargetMode="External"/><Relationship Id="rId1505" Type="http://schemas.openxmlformats.org/officeDocument/2006/relationships/hyperlink" Target="https://github.com/abh/ntppool/blob/main/CLAUDE.md" TargetMode="External"/><Relationship Id="rId1712" Type="http://schemas.openxmlformats.org/officeDocument/2006/relationships/hyperlink" Target="https://github.com/DumbWareio/DumbAssets/blob/main/.github/copilot-instructions.md" TargetMode="External"/><Relationship Id="rId293" Type="http://schemas.openxmlformats.org/officeDocument/2006/relationships/hyperlink" Target="https://github.com/colinhacks/zod/blob/main/CLAUDE.md" TargetMode="External"/><Relationship Id="rId153" Type="http://schemas.openxmlformats.org/officeDocument/2006/relationships/hyperlink" Target="https://github.com/ShaunLawrie/PwshSpectreConsole/blob/main/.github/copilot-instructions.md" TargetMode="External"/><Relationship Id="rId360" Type="http://schemas.openxmlformats.org/officeDocument/2006/relationships/hyperlink" Target="https://github.com/DataDog/datadog-agent/blob/main/AGENTS.md" TargetMode="External"/><Relationship Id="rId598" Type="http://schemas.openxmlformats.org/officeDocument/2006/relationships/hyperlink" Target="https://github.com/marin-community/marin/blob/main/AGENTS.md" TargetMode="External"/><Relationship Id="rId220" Type="http://schemas.openxmlformats.org/officeDocument/2006/relationships/hyperlink" Target="https://github.com/luccahuguet/yazelix/blob/main/AGENTS.md" TargetMode="External"/><Relationship Id="rId458" Type="http://schemas.openxmlformats.org/officeDocument/2006/relationships/hyperlink" Target="https://github.com/hathach/tinyusb/blob/master/AGENTS.md" TargetMode="External"/><Relationship Id="rId665" Type="http://schemas.openxmlformats.org/officeDocument/2006/relationships/hyperlink" Target="https://github.com/Skyscanner/backpack-ios/blob/main/.github/copilot-instructions.md" TargetMode="External"/><Relationship Id="rId872" Type="http://schemas.openxmlformats.org/officeDocument/2006/relationships/hyperlink" Target="https://github.com/open-metadata/OpenMetadata/blob/main/CLAUDE.md" TargetMode="External"/><Relationship Id="rId1088" Type="http://schemas.openxmlformats.org/officeDocument/2006/relationships/hyperlink" Target="https://github.com/dotnet/aspnetcore/blob/main/.github/copilot-instructions.md" TargetMode="External"/><Relationship Id="rId1295" Type="http://schemas.openxmlformats.org/officeDocument/2006/relationships/hyperlink" Target="https://github.com/compiler-explorer/infra/blob/main/CLAUDE.md" TargetMode="External"/><Relationship Id="rId318" Type="http://schemas.openxmlformats.org/officeDocument/2006/relationships/hyperlink" Target="https://github.com/home-assistant/frontend/blob/master/CLAUDE.md" TargetMode="External"/><Relationship Id="rId525" Type="http://schemas.openxmlformats.org/officeDocument/2006/relationships/hyperlink" Target="https://github.com/netdata/netdata/blob/master/CLAUDE.md" TargetMode="External"/><Relationship Id="rId732" Type="http://schemas.openxmlformats.org/officeDocument/2006/relationships/hyperlink" Target="https://github.com/anyproto/anytype-swift/blob/main/CLAUDE.md" TargetMode="External"/><Relationship Id="rId1155" Type="http://schemas.openxmlformats.org/officeDocument/2006/relationships/hyperlink" Target="https://github.com/wled/WLED/blob/main/.github/copilot-instructions.md" TargetMode="External"/><Relationship Id="rId1362" Type="http://schemas.openxmlformats.org/officeDocument/2006/relationships/hyperlink" Target="https://github.com/zenml-io/zenml/blob/main/CLAUDE.md" TargetMode="External"/><Relationship Id="rId99" Type="http://schemas.openxmlformats.org/officeDocument/2006/relationships/hyperlink" Target="https://github.com/Azure/azure-sdk-tools/blob/main/.github/copilot-instructions.md" TargetMode="External"/><Relationship Id="rId1015" Type="http://schemas.openxmlformats.org/officeDocument/2006/relationships/hyperlink" Target="https://github.com/python-cachier/cachier/blob/master/AGENTS.md" TargetMode="External"/><Relationship Id="rId1222" Type="http://schemas.openxmlformats.org/officeDocument/2006/relationships/hyperlink" Target="https://github.com/RchGrav/claudebox/blob/main/CLAUDE.md" TargetMode="External"/><Relationship Id="rId1667" Type="http://schemas.openxmlformats.org/officeDocument/2006/relationships/hyperlink" Target="https://github.com/langchain-ai/langchain/blob/master/AGENTS.md" TargetMode="External"/><Relationship Id="rId1874" Type="http://schemas.openxmlformats.org/officeDocument/2006/relationships/hyperlink" Target="https://github.com/julep-ai/julep/blob/main/AGENTS.md" TargetMode="External"/><Relationship Id="rId1527" Type="http://schemas.openxmlformats.org/officeDocument/2006/relationships/hyperlink" Target="https://github.com/cloudposse/atmos/blob/main/CLAUDE.md" TargetMode="External"/><Relationship Id="rId1734" Type="http://schemas.openxmlformats.org/officeDocument/2006/relationships/hyperlink" Target="https://github.com/sarchlab/akita/blob/main/.github/copilot-instructions.md" TargetMode="External"/><Relationship Id="rId1941" Type="http://schemas.openxmlformats.org/officeDocument/2006/relationships/hyperlink" Target="https://github.com/wandb/weave/blob/master/AGENTS.md" TargetMode="External"/><Relationship Id="rId26" Type="http://schemas.openxmlformats.org/officeDocument/2006/relationships/hyperlink" Target="https://github.com/public-ui/kolibri/blob/master/AGENTS.md" TargetMode="External"/><Relationship Id="rId175" Type="http://schemas.openxmlformats.org/officeDocument/2006/relationships/hyperlink" Target="https://github.com/sybrew/the-seo-framework/blob/master/.github/copilot-instructions.md" TargetMode="External"/><Relationship Id="rId1801" Type="http://schemas.openxmlformats.org/officeDocument/2006/relationships/hyperlink" Target="https://github.com/open-metadata/OpenMetadata/blob/main/CLAUDE.md" TargetMode="External"/><Relationship Id="rId382" Type="http://schemas.openxmlformats.org/officeDocument/2006/relationships/hyperlink" Target="https://github.com/seasonedcc/remix-forms/blob/main/AGENTS.md" TargetMode="External"/><Relationship Id="rId687" Type="http://schemas.openxmlformats.org/officeDocument/2006/relationships/hyperlink" Target="https://github.com/netdata/netdata/blob/master/CLAUDE.md" TargetMode="External"/><Relationship Id="rId242" Type="http://schemas.openxmlformats.org/officeDocument/2006/relationships/hyperlink" Target="https://github.com/lightdash/lightdash/blob/main/CLAUDE.md" TargetMode="External"/><Relationship Id="rId894" Type="http://schemas.openxmlformats.org/officeDocument/2006/relationships/hyperlink" Target="https://github.com/Pipelex/pipelex/blob/main/CLAUDE.md" TargetMode="External"/><Relationship Id="rId1177" Type="http://schemas.openxmlformats.org/officeDocument/2006/relationships/hyperlink" Target="https://github.com/Freika/dawarich/blob/master/CLAUDE.md" TargetMode="External"/><Relationship Id="rId102" Type="http://schemas.openxmlformats.org/officeDocument/2006/relationships/hyperlink" Target="https://github.com/DestinyItemManager/DIM/blob/master/.github/copilot-instructions.md" TargetMode="External"/><Relationship Id="rId547" Type="http://schemas.openxmlformats.org/officeDocument/2006/relationships/hyperlink" Target="https://github.com/proximafusion/vmecpp/blob/main/CLAUDE.md" TargetMode="External"/><Relationship Id="rId754" Type="http://schemas.openxmlformats.org/officeDocument/2006/relationships/hyperlink" Target="https://github.com/cloudposse/atmos/blob/main/CLAUDE.md" TargetMode="External"/><Relationship Id="rId961" Type="http://schemas.openxmlformats.org/officeDocument/2006/relationships/hyperlink" Target="https://github.com/carverauto/serviceradar/blob/main/AGENTS.md" TargetMode="External"/><Relationship Id="rId1384" Type="http://schemas.openxmlformats.org/officeDocument/2006/relationships/hyperlink" Target="https://github.com/janbjorge/pgqueuer/blob/main/AGENTS.md" TargetMode="External"/><Relationship Id="rId1591" Type="http://schemas.openxmlformats.org/officeDocument/2006/relationships/hyperlink" Target="https://github.com/netdata/netdata/blob/master/CLAUDE.md" TargetMode="External"/><Relationship Id="rId1689" Type="http://schemas.openxmlformats.org/officeDocument/2006/relationships/hyperlink" Target="https://github.com/pulumi/docs/blob/master/AGENTS.md" TargetMode="External"/><Relationship Id="rId90" Type="http://schemas.openxmlformats.org/officeDocument/2006/relationships/hyperlink" Target="https://github.com/Aiko-IT-Systems/DisCatSharp/blob/main/.github/copilot-instructions.md" TargetMode="External"/><Relationship Id="rId407" Type="http://schemas.openxmlformats.org/officeDocument/2006/relationships/hyperlink" Target="https://github.com/geneontology/go-ontology/blob/master/.github/copilot-instructions.md" TargetMode="External"/><Relationship Id="rId614" Type="http://schemas.openxmlformats.org/officeDocument/2006/relationships/hyperlink" Target="https://github.com/stack-auth/stack-auth/blob/main/AGENTS.md" TargetMode="External"/><Relationship Id="rId821" Type="http://schemas.openxmlformats.org/officeDocument/2006/relationships/hyperlink" Target="https://github.com/gensx-inc/gensx/blob/main/CLAUDE.md" TargetMode="External"/><Relationship Id="rId1037" Type="http://schemas.openxmlformats.org/officeDocument/2006/relationships/hyperlink" Target="https://github.com/wieslawsoltes/Xaml.Behaviors/blob/master/AGENTS.md" TargetMode="External"/><Relationship Id="rId1244" Type="http://schemas.openxmlformats.org/officeDocument/2006/relationships/hyperlink" Target="https://github.com/theopenco/llmgateway/blob/main/AGENTS.md" TargetMode="External"/><Relationship Id="rId1451" Type="http://schemas.openxmlformats.org/officeDocument/2006/relationships/hyperlink" Target="https://github.com/geneontology/go-ontology/blob/master/.github/copilot-instructions.md" TargetMode="External"/><Relationship Id="rId1896" Type="http://schemas.openxmlformats.org/officeDocument/2006/relationships/hyperlink" Target="https://github.com/CapSoftware/Cap/blob/main/CLAUDE.md" TargetMode="External"/><Relationship Id="rId253" Type="http://schemas.openxmlformats.org/officeDocument/2006/relationships/hyperlink" Target="https://github.com/netdata/netdata/blob/master/CLAUDE.md" TargetMode="External"/><Relationship Id="rId460" Type="http://schemas.openxmlformats.org/officeDocument/2006/relationships/hyperlink" Target="https://github.com/colinhacks/zod/blob/main/CLAUDE.md" TargetMode="External"/><Relationship Id="rId698" Type="http://schemas.openxmlformats.org/officeDocument/2006/relationships/hyperlink" Target="https://github.com/Pipelex/pipelex/blob/main/AGENTS.md" TargetMode="External"/><Relationship Id="rId919" Type="http://schemas.openxmlformats.org/officeDocument/2006/relationships/hyperlink" Target="https://github.com/steipete/Peekaboo/blob/main/CLAUDE.md" TargetMode="External"/><Relationship Id="rId1090" Type="http://schemas.openxmlformats.org/officeDocument/2006/relationships/hyperlink" Target="https://github.com/dotnet/core/blob/main/.github/copilot-instructions.md" TargetMode="External"/><Relationship Id="rId1104" Type="http://schemas.openxmlformats.org/officeDocument/2006/relationships/hyperlink" Target="https://github.com/geneontology/go-ontology/blob/master/.github/copilot-instructions.md" TargetMode="External"/><Relationship Id="rId1311" Type="http://schemas.openxmlformats.org/officeDocument/2006/relationships/hyperlink" Target="https://github.com/home-assistant/frontend/blob/master/CLAUDE.md" TargetMode="External"/><Relationship Id="rId1549" Type="http://schemas.openxmlformats.org/officeDocument/2006/relationships/hyperlink" Target="https://github.com/dropseed/plain/blob/main/CLAUDE.md" TargetMode="External"/><Relationship Id="rId1756" Type="http://schemas.openxmlformats.org/officeDocument/2006/relationships/hyperlink" Target="https://github.com/PrairieLearn/PrairieLearn/blob/master/AGENTS.md" TargetMode="External"/><Relationship Id="rId48" Type="http://schemas.openxmlformats.org/officeDocument/2006/relationships/hyperlink" Target="https://github.com/Rello/analytics/blob/master/AGENTS.md" TargetMode="External"/><Relationship Id="rId113" Type="http://schemas.openxmlformats.org/officeDocument/2006/relationships/hyperlink" Target="https://github.com/dotnet/maui/blob/main/.github/copilot-instructions.md" TargetMode="External"/><Relationship Id="rId320" Type="http://schemas.openxmlformats.org/officeDocument/2006/relationships/hyperlink" Target="https://github.com/ithacaxyz/account/blob/main/CLAUDE.md" TargetMode="External"/><Relationship Id="rId558" Type="http://schemas.openxmlformats.org/officeDocument/2006/relationships/hyperlink" Target="https://github.com/speaches-ai/speaches/blob/master/CLAUDE.md" TargetMode="External"/><Relationship Id="rId765" Type="http://schemas.openxmlformats.org/officeDocument/2006/relationships/hyperlink" Target="https://github.com/cloudposse/atmos/blob/main/CLAUDE.md" TargetMode="External"/><Relationship Id="rId972" Type="http://schemas.openxmlformats.org/officeDocument/2006/relationships/hyperlink" Target="https://github.com/janbjorge/pgqueuer/blob/main/AGENTS.md" TargetMode="External"/><Relationship Id="rId1188" Type="http://schemas.openxmlformats.org/officeDocument/2006/relationships/hyperlink" Target="https://github.com/coder/coder/blob/main/CLAUDE.md" TargetMode="External"/><Relationship Id="rId1395" Type="http://schemas.openxmlformats.org/officeDocument/2006/relationships/hyperlink" Target="https://github.com/marin-community/marin/blob/main/AGENTS.md" TargetMode="External"/><Relationship Id="rId1409" Type="http://schemas.openxmlformats.org/officeDocument/2006/relationships/hyperlink" Target="https://github.com/microsoft/mcp-for-beginners/blob/main/AGENTS.md" TargetMode="External"/><Relationship Id="rId1616" Type="http://schemas.openxmlformats.org/officeDocument/2006/relationships/hyperlink" Target="https://github.com/RchGrav/claudebox/blob/main/CLAUDE.md" TargetMode="External"/><Relationship Id="rId1823" Type="http://schemas.openxmlformats.org/officeDocument/2006/relationships/hyperlink" Target="https://github.com/Azure/azure-rest-api-specs/blob/main/.github/copilot-instructions.md" TargetMode="External"/><Relationship Id="rId197" Type="http://schemas.openxmlformats.org/officeDocument/2006/relationships/hyperlink" Target="https://github.com/dailydotdev/apps/blob/main/CLAUDE.md" TargetMode="External"/><Relationship Id="rId418" Type="http://schemas.openxmlformats.org/officeDocument/2006/relationships/hyperlink" Target="https://github.com/raycast/extensions/blob/main/.github/copilot-instructions.md" TargetMode="External"/><Relationship Id="rId625" Type="http://schemas.openxmlformats.org/officeDocument/2006/relationships/hyperlink" Target="https://github.com/bbc/simorgh/blob/master/.github/copilot-instructions.md" TargetMode="External"/><Relationship Id="rId832" Type="http://schemas.openxmlformats.org/officeDocument/2006/relationships/hyperlink" Target="https://github.com/gojiplus/tuber/blob/master/CLAUDE.md" TargetMode="External"/><Relationship Id="rId1048" Type="http://schemas.openxmlformats.org/officeDocument/2006/relationships/hyperlink" Target="https://github.com/alandtse/alexa_media_player/blob/master/.github/copilot-instructions.md" TargetMode="External"/><Relationship Id="rId1255" Type="http://schemas.openxmlformats.org/officeDocument/2006/relationships/hyperlink" Target="https://github.com/Azure/AgentBaker/blob/main/.github/copilot-instructions.md" TargetMode="External"/><Relationship Id="rId1462" Type="http://schemas.openxmlformats.org/officeDocument/2006/relationships/hyperlink" Target="https://github.com/gensx-inc/gensx/blob/main/CLAUDE.md" TargetMode="External"/><Relationship Id="rId264" Type="http://schemas.openxmlformats.org/officeDocument/2006/relationships/hyperlink" Target="https://github.com/luccahuguet/yazelix/blob/main/AGENTS.md" TargetMode="External"/><Relationship Id="rId471" Type="http://schemas.openxmlformats.org/officeDocument/2006/relationships/hyperlink" Target="https://github.com/sybrew/the-seo-framework/blob/master/.github/copilot-instructions.md" TargetMode="External"/><Relationship Id="rId1115" Type="http://schemas.openxmlformats.org/officeDocument/2006/relationships/hyperlink" Target="https://github.com/irihitech/Ursa.Avalonia/blob/main/.github/copilot-instructions.md" TargetMode="External"/><Relationship Id="rId1322" Type="http://schemas.openxmlformats.org/officeDocument/2006/relationships/hyperlink" Target="https://github.com/lgallard/terraform-aws-backup/blob/master/CLAUDE.md" TargetMode="External"/><Relationship Id="rId1767" Type="http://schemas.openxmlformats.org/officeDocument/2006/relationships/hyperlink" Target="https://github.com/CapSoftware/Cap/blob/main/AGENTS.md" TargetMode="External"/><Relationship Id="rId59" Type="http://schemas.openxmlformats.org/officeDocument/2006/relationships/hyperlink" Target="https://github.com/seasonedcc/remix-forms/blob/main/AGENTS.md" TargetMode="External"/><Relationship Id="rId124" Type="http://schemas.openxmlformats.org/officeDocument/2006/relationships/hyperlink" Target="https://github.com/igraph/igraph/blob/main/.github/copilot-instructions.md" TargetMode="External"/><Relationship Id="rId569" Type="http://schemas.openxmlformats.org/officeDocument/2006/relationships/hyperlink" Target="https://github.com/tphakala/birdnet-go/blob/main/CLAUDE.md" TargetMode="External"/><Relationship Id="rId776" Type="http://schemas.openxmlformats.org/officeDocument/2006/relationships/hyperlink" Target="https://github.com/colinhacks/zod/blob/main/CLAUDE.md" TargetMode="External"/><Relationship Id="rId983" Type="http://schemas.openxmlformats.org/officeDocument/2006/relationships/hyperlink" Target="https://github.com/marin-community/marin/blob/main/AGENTS.md" TargetMode="External"/><Relationship Id="rId1199" Type="http://schemas.openxmlformats.org/officeDocument/2006/relationships/hyperlink" Target="https://github.com/Pipelex/pipelex/blob/main/CLAUDE.md" TargetMode="External"/><Relationship Id="rId1627" Type="http://schemas.openxmlformats.org/officeDocument/2006/relationships/hyperlink" Target="https://github.com/vaadin/flow/blob/main/CLAUDE.md" TargetMode="External"/><Relationship Id="rId1834" Type="http://schemas.openxmlformats.org/officeDocument/2006/relationships/hyperlink" Target="https://github.com/syntaxfm/website/blob/main/.github/copilot-instructions.md" TargetMode="External"/><Relationship Id="rId331" Type="http://schemas.openxmlformats.org/officeDocument/2006/relationships/hyperlink" Target="https://github.com/open-metadata/OpenMetadata/blob/main/CLAUDE.md" TargetMode="External"/><Relationship Id="rId429" Type="http://schemas.openxmlformats.org/officeDocument/2006/relationships/hyperlink" Target="https://github.com/Pipelex/pipelex/blob/main/CLAUDE.md" TargetMode="External"/><Relationship Id="rId636" Type="http://schemas.openxmlformats.org/officeDocument/2006/relationships/hyperlink" Target="https://github.com/Epix-Incorporated/Adonis/blob/master/.github/copilot-instructions.md" TargetMode="External"/><Relationship Id="rId1059" Type="http://schemas.openxmlformats.org/officeDocument/2006/relationships/hyperlink" Target="https://github.com/AstrBotDevs/AstrBot/blob/master/.github/copilot-instructions.md" TargetMode="External"/><Relationship Id="rId1266" Type="http://schemas.openxmlformats.org/officeDocument/2006/relationships/hyperlink" Target="https://github.com/module-federation/core/blob/main/CLAUDE.md" TargetMode="External"/><Relationship Id="rId1473" Type="http://schemas.openxmlformats.org/officeDocument/2006/relationships/hyperlink" Target="https://github.com/liam-hq/liam/blob/main/CLAUDE.md" TargetMode="External"/><Relationship Id="rId843" Type="http://schemas.openxmlformats.org/officeDocument/2006/relationships/hyperlink" Target="https://github.com/lightdash/lightdash/blob/main/CLAUDE.md" TargetMode="External"/><Relationship Id="rId1126" Type="http://schemas.openxmlformats.org/officeDocument/2006/relationships/hyperlink" Target="https://github.com/microsoft/Olive/blob/main/.github/copilot-instructions.md" TargetMode="External"/><Relationship Id="rId1680" Type="http://schemas.openxmlformats.org/officeDocument/2006/relationships/hyperlink" Target="https://github.com/mixpanel/mixpanel-android/blob/master/AGENTS.md" TargetMode="External"/><Relationship Id="rId1778" Type="http://schemas.openxmlformats.org/officeDocument/2006/relationships/hyperlink" Target="https://github.com/CapSoftware/Cap/blob/main/CLAUDE.md" TargetMode="External"/><Relationship Id="rId1901" Type="http://schemas.openxmlformats.org/officeDocument/2006/relationships/hyperlink" Target="https://github.com/Pipelex/pipelex/blob/main/AGENTS.md" TargetMode="External"/><Relationship Id="rId275" Type="http://schemas.openxmlformats.org/officeDocument/2006/relationships/hyperlink" Target="https://github.com/BerriAI/litellm/blob/main/CLAUDE.md" TargetMode="External"/><Relationship Id="rId482" Type="http://schemas.openxmlformats.org/officeDocument/2006/relationships/hyperlink" Target="https://github.com/anyproto/anytype-ts/blob/main/CLAUDE.md" TargetMode="External"/><Relationship Id="rId703" Type="http://schemas.openxmlformats.org/officeDocument/2006/relationships/hyperlink" Target="https://github.com/igraph/igraph/blob/main/.github/copilot-instructions.md" TargetMode="External"/><Relationship Id="rId910" Type="http://schemas.openxmlformats.org/officeDocument/2006/relationships/hyperlink" Target="https://github.com/recallnet/js-recall/blob/main/CLAUDE.md" TargetMode="External"/><Relationship Id="rId1333" Type="http://schemas.openxmlformats.org/officeDocument/2006/relationships/hyperlink" Target="https://github.com/open-metadata/OpenMetadata/blob/main/CLAUDE.md" TargetMode="External"/><Relationship Id="rId1540" Type="http://schemas.openxmlformats.org/officeDocument/2006/relationships/hyperlink" Target="https://github.com/compiler-explorer/infra/blob/main/CLAUDE.md" TargetMode="External"/><Relationship Id="rId1638" Type="http://schemas.openxmlformats.org/officeDocument/2006/relationships/hyperlink" Target="https://github.com/xlnfinance/xln/blob/main/CLAUDE.md" TargetMode="External"/><Relationship Id="rId135" Type="http://schemas.openxmlformats.org/officeDocument/2006/relationships/hyperlink" Target="https://github.com/microsoft/typespec/blob/main/.github/copilot-instructions.md" TargetMode="External"/><Relationship Id="rId342" Type="http://schemas.openxmlformats.org/officeDocument/2006/relationships/hyperlink" Target="https://github.com/RchGrav/claudebox/blob/main/CLAUDE.md" TargetMode="External"/><Relationship Id="rId787" Type="http://schemas.openxmlformats.org/officeDocument/2006/relationships/hyperlink" Target="https://github.com/dailydotdev/apps/blob/main/CLAUDE.md" TargetMode="External"/><Relationship Id="rId994" Type="http://schemas.openxmlformats.org/officeDocument/2006/relationships/hyperlink" Target="https://github.com/Pipelex/pipelex/blob/main/AGENTS.md" TargetMode="External"/><Relationship Id="rId1400" Type="http://schemas.openxmlformats.org/officeDocument/2006/relationships/hyperlink" Target="https://github.com/marin-community/marin/blob/main/AGENTS.md" TargetMode="External"/><Relationship Id="rId1845" Type="http://schemas.openxmlformats.org/officeDocument/2006/relationships/hyperlink" Target="https://github.com/cloudposse/atmos/blob/main/CLAUDE.md" TargetMode="External"/><Relationship Id="rId202" Type="http://schemas.openxmlformats.org/officeDocument/2006/relationships/hyperlink" Target="https://github.com/cloudposse/atmos/blob/main/CLAUDE.md" TargetMode="External"/><Relationship Id="rId647" Type="http://schemas.openxmlformats.org/officeDocument/2006/relationships/hyperlink" Target="https://github.com/microsoft/ApplicationInsights-JS/blob/main/.github/copilot-instructions.md" TargetMode="External"/><Relationship Id="rId854" Type="http://schemas.openxmlformats.org/officeDocument/2006/relationships/hyperlink" Target="https://github.com/netdata/netdata/blob/master/CLAUDE.md" TargetMode="External"/><Relationship Id="rId1277" Type="http://schemas.openxmlformats.org/officeDocument/2006/relationships/hyperlink" Target="https://github.com/wieslawsoltes/Dock/blob/master/AGENTS.md" TargetMode="External"/><Relationship Id="rId1484" Type="http://schemas.openxmlformats.org/officeDocument/2006/relationships/hyperlink" Target="https://github.com/gitkraken/vscode-gitlens/blob/main/AGENTS.md" TargetMode="External"/><Relationship Id="rId1691" Type="http://schemas.openxmlformats.org/officeDocument/2006/relationships/hyperlink" Target="https://github.com/rustfs/rustfs/blob/main/AGENTS.md" TargetMode="External"/><Relationship Id="rId1705" Type="http://schemas.openxmlformats.org/officeDocument/2006/relationships/hyperlink" Target="https://github.com/BrighterCommand/Brighter/blob/master/.github/copilot-instructions.md" TargetMode="External"/><Relationship Id="rId1912" Type="http://schemas.openxmlformats.org/officeDocument/2006/relationships/hyperlink" Target="https://github.com/Pipelex/pipelex/blob/main/CLAUDE.md" TargetMode="External"/><Relationship Id="rId286" Type="http://schemas.openxmlformats.org/officeDocument/2006/relationships/hyperlink" Target="https://github.com/coder/coder/blob/main/CLAUDE.md" TargetMode="External"/><Relationship Id="rId493" Type="http://schemas.openxmlformats.org/officeDocument/2006/relationships/hyperlink" Target="https://github.com/cloudposse/atmos/blob/main/CLAUDE.md" TargetMode="External"/><Relationship Id="rId507" Type="http://schemas.openxmlformats.org/officeDocument/2006/relationships/hyperlink" Target="https://github.com/evmts/tevm-monorepo/blob/main/CLAUDE.md" TargetMode="External"/><Relationship Id="rId714" Type="http://schemas.openxmlformats.org/officeDocument/2006/relationships/hyperlink" Target="https://github.com/abh/ntppool/blob/main/CLAUDE.md" TargetMode="External"/><Relationship Id="rId921" Type="http://schemas.openxmlformats.org/officeDocument/2006/relationships/hyperlink" Target="https://github.com/theopenco/llmgateway/blob/main/CLAUDE.md" TargetMode="External"/><Relationship Id="rId1137" Type="http://schemas.openxmlformats.org/officeDocument/2006/relationships/hyperlink" Target="https://github.com/octgn/OCTGN/blob/master/.github/copilot-instructions.md" TargetMode="External"/><Relationship Id="rId1344" Type="http://schemas.openxmlformats.org/officeDocument/2006/relationships/hyperlink" Target="https://github.com/RchGrav/claudebox/blob/main/CLAUDE.md" TargetMode="External"/><Relationship Id="rId1551" Type="http://schemas.openxmlformats.org/officeDocument/2006/relationships/hyperlink" Target="https://github.com/ensdomains/ens-app-v3/blob/main/CLAUDE.md" TargetMode="External"/><Relationship Id="rId1789" Type="http://schemas.openxmlformats.org/officeDocument/2006/relationships/hyperlink" Target="https://github.com/theopenco/llmgateway/blob/main/CLAUDE.md" TargetMode="External"/><Relationship Id="rId50" Type="http://schemas.openxmlformats.org/officeDocument/2006/relationships/hyperlink" Target="https://github.com/Rello/audioplayer/blob/master/AGENTS.md" TargetMode="External"/><Relationship Id="rId146" Type="http://schemas.openxmlformats.org/officeDocument/2006/relationships/hyperlink" Target="https://github.com/owncast/owncast/blob/master/.github/copilot-instructions.md" TargetMode="External"/><Relationship Id="rId353" Type="http://schemas.openxmlformats.org/officeDocument/2006/relationships/hyperlink" Target="https://github.com/zenml-io/zenml/blob/main/CLAUDE.md" TargetMode="External"/><Relationship Id="rId560" Type="http://schemas.openxmlformats.org/officeDocument/2006/relationships/hyperlink" Target="https://github.com/speaches-ai/speaches/blob/master/CLAUDE.md" TargetMode="External"/><Relationship Id="rId798" Type="http://schemas.openxmlformats.org/officeDocument/2006/relationships/hyperlink" Target="https://github.com/dymensionxyz/dymension/blob/main/CLAUDE.md" TargetMode="External"/><Relationship Id="rId1190" Type="http://schemas.openxmlformats.org/officeDocument/2006/relationships/hyperlink" Target="https://github.com/cloudposse/atmos/blob/main/CLAUDE.md" TargetMode="External"/><Relationship Id="rId1204" Type="http://schemas.openxmlformats.org/officeDocument/2006/relationships/hyperlink" Target="https://github.com/zed-industries/zed/blob/main/CLAUDE.md" TargetMode="External"/><Relationship Id="rId1411" Type="http://schemas.openxmlformats.org/officeDocument/2006/relationships/hyperlink" Target="https://github.com/mixpanel/mixpanel-android/blob/master/AGENTS.md" TargetMode="External"/><Relationship Id="rId1649" Type="http://schemas.openxmlformats.org/officeDocument/2006/relationships/hyperlink" Target="https://github.com/commonwarexyz/monorepo/blob/main/AGENTS.md" TargetMode="External"/><Relationship Id="rId1856" Type="http://schemas.openxmlformats.org/officeDocument/2006/relationships/hyperlink" Target="https://github.com/grafbase/grafbase/blob/main/CLAUDE.md" TargetMode="External"/><Relationship Id="rId213" Type="http://schemas.openxmlformats.org/officeDocument/2006/relationships/hyperlink" Target="https://github.com/SparkDevNetwork/Rock/blob/master/.github/copilot-instructions.md" TargetMode="External"/><Relationship Id="rId420" Type="http://schemas.openxmlformats.org/officeDocument/2006/relationships/hyperlink" Target="https://github.com/Skyscanner/backpack-ios/blob/main/.github/copilot-instructions.md" TargetMode="External"/><Relationship Id="rId658" Type="http://schemas.openxmlformats.org/officeDocument/2006/relationships/hyperlink" Target="https://github.com/Open-LLM-VTuber/Open-LLM-VTuber/blob/main/.github/copilot-instructions.md" TargetMode="External"/><Relationship Id="rId865" Type="http://schemas.openxmlformats.org/officeDocument/2006/relationships/hyperlink" Target="https://github.com/OneKeyHQ/app-monorepo/blob/master/CLAUDE.md" TargetMode="External"/><Relationship Id="rId1050" Type="http://schemas.openxmlformats.org/officeDocument/2006/relationships/hyperlink" Target="https://github.com/ast-grep/ast-grep/blob/main/.github/copilot-instructions.md" TargetMode="External"/><Relationship Id="rId1288" Type="http://schemas.openxmlformats.org/officeDocument/2006/relationships/hyperlink" Target="https://github.com/colinhacks/zod/blob/main/CLAUDE.md" TargetMode="External"/><Relationship Id="rId1495" Type="http://schemas.openxmlformats.org/officeDocument/2006/relationships/hyperlink" Target="https://github.com/fukuball/jieba-php/blob/master/CLAUDE.md" TargetMode="External"/><Relationship Id="rId1509" Type="http://schemas.openxmlformats.org/officeDocument/2006/relationships/hyperlink" Target="https://github.com/ajanraj/OpenChat/blob/main/CLAUDE.md" TargetMode="External"/><Relationship Id="rId1716" Type="http://schemas.openxmlformats.org/officeDocument/2006/relationships/hyperlink" Target="https://github.com/geneontology/go-ontology/blob/master/.github/copilot-instructions.md" TargetMode="External"/><Relationship Id="rId1923" Type="http://schemas.openxmlformats.org/officeDocument/2006/relationships/hyperlink" Target="https://github.com/microsoft/simplechat/blob/main/.github/copilot-instructions.md" TargetMode="External"/><Relationship Id="rId297" Type="http://schemas.openxmlformats.org/officeDocument/2006/relationships/hyperlink" Target="https://github.com/colinhacks/zod/blob/main/CLAUDE.md" TargetMode="External"/><Relationship Id="rId518" Type="http://schemas.openxmlformats.org/officeDocument/2006/relationships/hyperlink" Target="https://github.com/J-Tech-Japan/Sekiban/blob/main/CLAUDE.md" TargetMode="External"/><Relationship Id="rId725" Type="http://schemas.openxmlformats.org/officeDocument/2006/relationships/hyperlink" Target="https://github.com/ajanraj/OpenChat/blob/main/CLAUDE.md" TargetMode="External"/><Relationship Id="rId932" Type="http://schemas.openxmlformats.org/officeDocument/2006/relationships/hyperlink" Target="https://github.com/twentyhq/twenty/blob/main/CLAUDE.md" TargetMode="External"/><Relationship Id="rId1148" Type="http://schemas.openxmlformats.org/officeDocument/2006/relationships/hyperlink" Target="https://github.com/Significant-Gravitas/AutoGPT/blob/master/.github/copilot-instructions.md" TargetMode="External"/><Relationship Id="rId1355" Type="http://schemas.openxmlformats.org/officeDocument/2006/relationships/hyperlink" Target="https://github.com/transloadit/uppy/blob/main/CLAUDE.md" TargetMode="External"/><Relationship Id="rId1562" Type="http://schemas.openxmlformats.org/officeDocument/2006/relationships/hyperlink" Target="https://github.com/geneontology/go-ontology/blob/master/CLAUDE.md" TargetMode="External"/><Relationship Id="rId157" Type="http://schemas.openxmlformats.org/officeDocument/2006/relationships/hyperlink" Target="https://github.com/SparkDevNetwork/Rock/blob/master/.github/copilot-instructions.md" TargetMode="External"/><Relationship Id="rId364" Type="http://schemas.openxmlformats.org/officeDocument/2006/relationships/hyperlink" Target="https://github.com/marin-community/marin/blob/main/AGENTS.md" TargetMode="External"/><Relationship Id="rId1008" Type="http://schemas.openxmlformats.org/officeDocument/2006/relationships/hyperlink" Target="https://github.com/public-ui/kolibri/blob/master/AGENTS.md" TargetMode="External"/><Relationship Id="rId1215" Type="http://schemas.openxmlformats.org/officeDocument/2006/relationships/hyperlink" Target="https://github.com/luccahuguet/yazelix/blob/main/AGENTS.md" TargetMode="External"/><Relationship Id="rId1422" Type="http://schemas.openxmlformats.org/officeDocument/2006/relationships/hyperlink" Target="https://github.com/Rello/audioplayer/blob/master/AGENTS.md" TargetMode="External"/><Relationship Id="rId1867" Type="http://schemas.openxmlformats.org/officeDocument/2006/relationships/hyperlink" Target="https://github.com/steipete/Peekaboo/blob/main/CLAUDE.md" TargetMode="External"/><Relationship Id="rId61" Type="http://schemas.openxmlformats.org/officeDocument/2006/relationships/hyperlink" Target="https://github.com/stack-auth/stack-auth/blob/main/AGENTS.md" TargetMode="External"/><Relationship Id="rId571" Type="http://schemas.openxmlformats.org/officeDocument/2006/relationships/hyperlink" Target="https://github.com/truenas/webui/blob/master/CLAUDE.md" TargetMode="External"/><Relationship Id="rId669" Type="http://schemas.openxmlformats.org/officeDocument/2006/relationships/hyperlink" Target="https://github.com/triggerdotdev/trigger.dev/blob/main/.github/copilot-instructions.md" TargetMode="External"/><Relationship Id="rId876" Type="http://schemas.openxmlformats.org/officeDocument/2006/relationships/hyperlink" Target="https://github.com/open-metadata/OpenMetadata/blob/main/CLAUDE.md" TargetMode="External"/><Relationship Id="rId1299" Type="http://schemas.openxmlformats.org/officeDocument/2006/relationships/hyperlink" Target="https://github.com/evmts/tevm-monorepo/blob/main/CLAUDE.md" TargetMode="External"/><Relationship Id="rId1727" Type="http://schemas.openxmlformats.org/officeDocument/2006/relationships/hyperlink" Target="https://github.com/microsoft/vscode-jupyter/blob/main/.github/copilot-instructions.md" TargetMode="External"/><Relationship Id="rId1934" Type="http://schemas.openxmlformats.org/officeDocument/2006/relationships/hyperlink" Target="https://github.com/module-federation/core/blob/main/CLAUDE.md" TargetMode="External"/><Relationship Id="rId19" Type="http://schemas.openxmlformats.org/officeDocument/2006/relationships/hyperlink" Target="https://github.com/Pipelex/pipelex/blob/main/AGENTS.md" TargetMode="External"/><Relationship Id="rId224" Type="http://schemas.openxmlformats.org/officeDocument/2006/relationships/hyperlink" Target="https://github.com/angular-eslint/angular-eslint/blob/main/CLAUDE.md" TargetMode="External"/><Relationship Id="rId431" Type="http://schemas.openxmlformats.org/officeDocument/2006/relationships/hyperlink" Target="https://github.com/cloudposse/atmos/blob/main/CLAUDE.md" TargetMode="External"/><Relationship Id="rId529" Type="http://schemas.openxmlformats.org/officeDocument/2006/relationships/hyperlink" Target="https://github.com/numbagg/numbagg/blob/main/CLAUDE.md" TargetMode="External"/><Relationship Id="rId736" Type="http://schemas.openxmlformats.org/officeDocument/2006/relationships/hyperlink" Target="https://github.com/badlogic/lemmy/blob/main/CLAUDE.md" TargetMode="External"/><Relationship Id="rId1061" Type="http://schemas.openxmlformats.org/officeDocument/2006/relationships/hyperlink" Target="https://github.com/Azure/autorest.typescript/blob/main/.github/copilot-instructions.md" TargetMode="External"/><Relationship Id="rId1159" Type="http://schemas.openxmlformats.org/officeDocument/2006/relationships/hyperlink" Target="https://github.com/zwave-js/zwave-js/blob/master/.github/copilot-instructions.md" TargetMode="External"/><Relationship Id="rId1366" Type="http://schemas.openxmlformats.org/officeDocument/2006/relationships/hyperlink" Target="https://github.com/cablehead/xs/blob/main/AGENTS.md" TargetMode="External"/><Relationship Id="rId168" Type="http://schemas.openxmlformats.org/officeDocument/2006/relationships/hyperlink" Target="https://github.com/sybrew/the-seo-framework/blob/master/.github/copilot-instructions.md" TargetMode="External"/><Relationship Id="rId943" Type="http://schemas.openxmlformats.org/officeDocument/2006/relationships/hyperlink" Target="https://github.com/xlnfinance/xln/blob/main/CLAUDE.md" TargetMode="External"/><Relationship Id="rId1019" Type="http://schemas.openxmlformats.org/officeDocument/2006/relationships/hyperlink" Target="https://github.com/pytorch/pytorch/blob/main/AGENTS.md" TargetMode="External"/><Relationship Id="rId1573" Type="http://schemas.openxmlformats.org/officeDocument/2006/relationships/hyperlink" Target="https://github.com/home-assistant/frontend/blob/master/CLAUDE.md" TargetMode="External"/><Relationship Id="rId1780" Type="http://schemas.openxmlformats.org/officeDocument/2006/relationships/hyperlink" Target="https://github.com/colinhacks/zod/blob/main/CLAUDE.md" TargetMode="External"/><Relationship Id="rId1878" Type="http://schemas.openxmlformats.org/officeDocument/2006/relationships/hyperlink" Target="https://github.com/PrairieLearn/PrairieLearn/blob/master/AGENTS.md" TargetMode="External"/><Relationship Id="rId72" Type="http://schemas.openxmlformats.org/officeDocument/2006/relationships/hyperlink" Target="https://github.com/useautumn/autumn/blob/main/AGENTS.md" TargetMode="External"/><Relationship Id="rId375" Type="http://schemas.openxmlformats.org/officeDocument/2006/relationships/hyperlink" Target="https://github.com/PrairieLearn/PrairieLearn/blob/master/AGENTS.md" TargetMode="External"/><Relationship Id="rId582" Type="http://schemas.openxmlformats.org/officeDocument/2006/relationships/hyperlink" Target="https://github.com/CapSoftware/Cap/blob/main/AGENTS.md" TargetMode="External"/><Relationship Id="rId803" Type="http://schemas.openxmlformats.org/officeDocument/2006/relationships/hyperlink" Target="https://github.com/FastLED/FastLED/blob/master/CLAUDE.md" TargetMode="External"/><Relationship Id="rId1226" Type="http://schemas.openxmlformats.org/officeDocument/2006/relationships/hyperlink" Target="https://github.com/Comfy-Org/comfy-claude-prompt-library/blob/master/CLAUDE.md" TargetMode="External"/><Relationship Id="rId1433" Type="http://schemas.openxmlformats.org/officeDocument/2006/relationships/hyperlink" Target="https://github.com/wieslawsoltes/Dock/blob/master/AGENTS.md" TargetMode="External"/><Relationship Id="rId1640" Type="http://schemas.openxmlformats.org/officeDocument/2006/relationships/hyperlink" Target="https://github.com/xlnfinance/xln/blob/main/CLAUDE.md" TargetMode="External"/><Relationship Id="rId1738" Type="http://schemas.openxmlformats.org/officeDocument/2006/relationships/hyperlink" Target="https://github.com/SparkDevNetwork/Rock/blob/master/.github/copilot-instructions.md" TargetMode="External"/><Relationship Id="rId3" Type="http://schemas.openxmlformats.org/officeDocument/2006/relationships/hyperlink" Target="https://github.com/marin-community/marin/blob/main/AGENTS.md" TargetMode="External"/><Relationship Id="rId235" Type="http://schemas.openxmlformats.org/officeDocument/2006/relationships/hyperlink" Target="https://github.com/DestinyItemManager/DIM/blob/master/.github/copilot-instructions.md" TargetMode="External"/><Relationship Id="rId442" Type="http://schemas.openxmlformats.org/officeDocument/2006/relationships/hyperlink" Target="https://github.com/xlnfinance/xln/blob/main/CLAUDE.md" TargetMode="External"/><Relationship Id="rId887" Type="http://schemas.openxmlformats.org/officeDocument/2006/relationships/hyperlink" Target="https://github.com/pathintegral-institute/mcpm.sh/blob/main/CLAUDE.md" TargetMode="External"/><Relationship Id="rId1072" Type="http://schemas.openxmlformats.org/officeDocument/2006/relationships/hyperlink" Target="https://github.com/Azure/autorest.typescript/blob/main/.github/copilot-instructions.md" TargetMode="External"/><Relationship Id="rId1500" Type="http://schemas.openxmlformats.org/officeDocument/2006/relationships/hyperlink" Target="https://github.com/raycast/extensions/blob/main/.github/copilot-instructions.md" TargetMode="External"/><Relationship Id="rId302" Type="http://schemas.openxmlformats.org/officeDocument/2006/relationships/hyperlink" Target="https://github.com/compiler-explorer/compiler-explorer/blob/main/CLAUDE.md" TargetMode="External"/><Relationship Id="rId747" Type="http://schemas.openxmlformats.org/officeDocument/2006/relationships/hyperlink" Target="https://github.com/CapSoftware/Cap/blob/main/CLAUDE.md" TargetMode="External"/><Relationship Id="rId954" Type="http://schemas.openxmlformats.org/officeDocument/2006/relationships/hyperlink" Target="https://github.com/cablehead/xs/blob/main/AGENTS.md" TargetMode="External"/><Relationship Id="rId1377" Type="http://schemas.openxmlformats.org/officeDocument/2006/relationships/hyperlink" Target="https://github.com/hahwul/dalfox/blob/main/AGENTS.md" TargetMode="External"/><Relationship Id="rId1584" Type="http://schemas.openxmlformats.org/officeDocument/2006/relationships/hyperlink" Target="https://github.com/lollipopkit/flutter_server_box/blob/main/CLAUDE.md" TargetMode="External"/><Relationship Id="rId1791" Type="http://schemas.openxmlformats.org/officeDocument/2006/relationships/hyperlink" Target="https://github.com/cablehead/xs/blob/main/AGENTS.md" TargetMode="External"/><Relationship Id="rId1805" Type="http://schemas.openxmlformats.org/officeDocument/2006/relationships/hyperlink" Target="https://github.com/FastLED/FastLED/blob/master/CLAUDE.md" TargetMode="External"/><Relationship Id="rId83" Type="http://schemas.openxmlformats.org/officeDocument/2006/relationships/hyperlink" Target="https://github.com/wieslawsoltes/Dock/blob/master/AGENTS.md" TargetMode="External"/><Relationship Id="rId179" Type="http://schemas.openxmlformats.org/officeDocument/2006/relationships/hyperlink" Target="https://github.com/sybrew/the-seo-framework/blob/master/.github/copilot-instructions.md" TargetMode="External"/><Relationship Id="rId386" Type="http://schemas.openxmlformats.org/officeDocument/2006/relationships/hyperlink" Target="https://github.com/theosanderson/taxonium/blob/master/AGENTS.md" TargetMode="External"/><Relationship Id="rId593" Type="http://schemas.openxmlformats.org/officeDocument/2006/relationships/hyperlink" Target="https://github.com/luccahuguet/yazelix/blob/main/AGENTS.md" TargetMode="External"/><Relationship Id="rId607" Type="http://schemas.openxmlformats.org/officeDocument/2006/relationships/hyperlink" Target="https://github.com/public-ui/kolibri/blob/master/AGENTS.md" TargetMode="External"/><Relationship Id="rId814" Type="http://schemas.openxmlformats.org/officeDocument/2006/relationships/hyperlink" Target="https://github.com/geneontology/go-ontology/blob/master/CLAUDE.md" TargetMode="External"/><Relationship Id="rId1237" Type="http://schemas.openxmlformats.org/officeDocument/2006/relationships/hyperlink" Target="https://github.com/owid/etl/blob/master/CLAUDE.md" TargetMode="External"/><Relationship Id="rId1444" Type="http://schemas.openxmlformats.org/officeDocument/2006/relationships/hyperlink" Target="https://github.com/Agoric/agoric-sdk/blob/master/.github/copilot-instructions.md" TargetMode="External"/><Relationship Id="rId1651" Type="http://schemas.openxmlformats.org/officeDocument/2006/relationships/hyperlink" Target="https://github.com/commonwarexyz/monorepo/blob/main/AGENTS.md" TargetMode="External"/><Relationship Id="rId1889" Type="http://schemas.openxmlformats.org/officeDocument/2006/relationships/hyperlink" Target="https://github.com/microsoft/ApplicationInsights-JS/blob/main/.github/copilot-instructions.md" TargetMode="External"/><Relationship Id="rId246" Type="http://schemas.openxmlformats.org/officeDocument/2006/relationships/hyperlink" Target="https://github.com/marin-community/marin/blob/main/AGENTS.md" TargetMode="External"/><Relationship Id="rId453" Type="http://schemas.openxmlformats.org/officeDocument/2006/relationships/hyperlink" Target="https://github.com/ithacaxyz/account/blob/main/CLAUDE.md" TargetMode="External"/><Relationship Id="rId660" Type="http://schemas.openxmlformats.org/officeDocument/2006/relationships/hyperlink" Target="https://github.com/owid/owid-grapher/blob/master/.github/copilot-instructions.md" TargetMode="External"/><Relationship Id="rId898" Type="http://schemas.openxmlformats.org/officeDocument/2006/relationships/hyperlink" Target="https://github.com/proximafusion/vmecpp/blob/main/CLAUDE.md" TargetMode="External"/><Relationship Id="rId1083" Type="http://schemas.openxmlformats.org/officeDocument/2006/relationships/hyperlink" Target="https://github.com/christianhelle/apiclientcodegen/blob/master/.github/copilot-instructions.md" TargetMode="External"/><Relationship Id="rId1290" Type="http://schemas.openxmlformats.org/officeDocument/2006/relationships/hyperlink" Target="https://github.com/Comfy-Org/comfy-claude-prompt-library/blob/master/CLAUDE.md" TargetMode="External"/><Relationship Id="rId1304" Type="http://schemas.openxmlformats.org/officeDocument/2006/relationships/hyperlink" Target="https://github.com/Freika/dawarich/blob/master/CLAUDE.md" TargetMode="External"/><Relationship Id="rId1511" Type="http://schemas.openxmlformats.org/officeDocument/2006/relationships/hyperlink" Target="https://github.com/allenai/open-instruct/blob/main/CLAUDE.md" TargetMode="External"/><Relationship Id="rId1749" Type="http://schemas.openxmlformats.org/officeDocument/2006/relationships/hyperlink" Target="https://github.com/zwave-js/zwave-js-ui/blob/master/.github/copilot-instructions.md" TargetMode="External"/><Relationship Id="rId106" Type="http://schemas.openxmlformats.org/officeDocument/2006/relationships/hyperlink" Target="https://github.com/dotnet/maui/blob/main/.github/copilot-instructions.md" TargetMode="External"/><Relationship Id="rId313" Type="http://schemas.openxmlformats.org/officeDocument/2006/relationships/hyperlink" Target="https://github.com/evmts/tevm-monorepo/blob/main/CLAUDE.md" TargetMode="External"/><Relationship Id="rId758" Type="http://schemas.openxmlformats.org/officeDocument/2006/relationships/hyperlink" Target="https://github.com/cloudposse/atmos/blob/main/CLAUDE.md" TargetMode="External"/><Relationship Id="rId965" Type="http://schemas.openxmlformats.org/officeDocument/2006/relationships/hyperlink" Target="https://github.com/catatsuy/private-isu/blob/master/AGENTS.md" TargetMode="External"/><Relationship Id="rId1150" Type="http://schemas.openxmlformats.org/officeDocument/2006/relationships/hyperlink" Target="https://github.com/SparkDevNetwork/Rock/blob/master/.github/copilot-instructions.md" TargetMode="External"/><Relationship Id="rId1388" Type="http://schemas.openxmlformats.org/officeDocument/2006/relationships/hyperlink" Target="https://github.com/langchain-ai/langchain/blob/master/AGENTS.md" TargetMode="External"/><Relationship Id="rId1595" Type="http://schemas.openxmlformats.org/officeDocument/2006/relationships/hyperlink" Target="https://github.com/open-metadata/OpenMetadata/blob/main/CLAUDE.md" TargetMode="External"/><Relationship Id="rId1609" Type="http://schemas.openxmlformats.org/officeDocument/2006/relationships/hyperlink" Target="https://github.com/owid/etl/blob/master/CLAUDE.md" TargetMode="External"/><Relationship Id="rId1816" Type="http://schemas.openxmlformats.org/officeDocument/2006/relationships/hyperlink" Target="https://github.com/public-ui/kolibri/blob/master/AGENTS.md" TargetMode="External"/><Relationship Id="rId10" Type="http://schemas.openxmlformats.org/officeDocument/2006/relationships/hyperlink" Target="https://github.com/openai/openai-agents-python/blob/main/AGENTS.md" TargetMode="External"/><Relationship Id="rId94" Type="http://schemas.openxmlformats.org/officeDocument/2006/relationships/hyperlink" Target="https://github.com/Azure/azure-functions-host/blob/master/.github/copilot-instructions.md" TargetMode="External"/><Relationship Id="rId397" Type="http://schemas.openxmlformats.org/officeDocument/2006/relationships/hyperlink" Target="https://github.com/dotnet/dotnet-api-docs/blob/main/.github/copilot-instructions.md" TargetMode="External"/><Relationship Id="rId520" Type="http://schemas.openxmlformats.org/officeDocument/2006/relationships/hyperlink" Target="https://github.com/kern/filepizza/blob/main/CLAUDE.md" TargetMode="External"/><Relationship Id="rId618" Type="http://schemas.openxmlformats.org/officeDocument/2006/relationships/hyperlink" Target="https://github.com/web-infra-dev/rspack/blob/main/AGENTS.md" TargetMode="External"/><Relationship Id="rId825" Type="http://schemas.openxmlformats.org/officeDocument/2006/relationships/hyperlink" Target="https://github.com/getsentry/sentry-javascript/blob/master/CLAUDE.md" TargetMode="External"/><Relationship Id="rId1248" Type="http://schemas.openxmlformats.org/officeDocument/2006/relationships/hyperlink" Target="https://github.com/geneontology/go-ontology/blob/master/.github/copilot-instructions.md" TargetMode="External"/><Relationship Id="rId1455" Type="http://schemas.openxmlformats.org/officeDocument/2006/relationships/hyperlink" Target="https://github.com/mixpanel/mixpanel-android/blob/master/.github/copilot-instructions.md" TargetMode="External"/><Relationship Id="rId1662" Type="http://schemas.openxmlformats.org/officeDocument/2006/relationships/hyperlink" Target="https://github.com/julep-ai/julep/blob/main/AGENTS.md" TargetMode="External"/><Relationship Id="rId257" Type="http://schemas.openxmlformats.org/officeDocument/2006/relationships/hyperlink" Target="https://github.com/langfuse/langfuse/blob/main/AGENTS.md" TargetMode="External"/><Relationship Id="rId464" Type="http://schemas.openxmlformats.org/officeDocument/2006/relationships/hyperlink" Target="https://github.com/PrairieLearn/PrairieLearn/blob/master/AGENTS.md" TargetMode="External"/><Relationship Id="rId1010" Type="http://schemas.openxmlformats.org/officeDocument/2006/relationships/hyperlink" Target="https://github.com/pulumi/docs/blob/master/AGENTS.md" TargetMode="External"/><Relationship Id="rId1094" Type="http://schemas.openxmlformats.org/officeDocument/2006/relationships/hyperlink" Target="https://github.com/dotnet/runtime/blob/main/.github/copilot-instructions.md" TargetMode="External"/><Relationship Id="rId1108" Type="http://schemas.openxmlformats.org/officeDocument/2006/relationships/hyperlink" Target="https://github.com/geneontology/go-ontology/blob/master/.github/copilot-instructions.md" TargetMode="External"/><Relationship Id="rId1315" Type="http://schemas.openxmlformats.org/officeDocument/2006/relationships/hyperlink" Target="https://github.com/ithacaxyz/account/blob/main/CLAUDE.md" TargetMode="External"/><Relationship Id="rId117" Type="http://schemas.openxmlformats.org/officeDocument/2006/relationships/hyperlink" Target="https://github.com/dotnet/sdk/blob/main/.github/copilot-instructions.md" TargetMode="External"/><Relationship Id="rId671" Type="http://schemas.openxmlformats.org/officeDocument/2006/relationships/hyperlink" Target="https://github.com/zwave-js/zwave-js-ui/blob/master/.github/copilot-instructions.md" TargetMode="External"/><Relationship Id="rId769" Type="http://schemas.openxmlformats.org/officeDocument/2006/relationships/hyperlink" Target="https://github.com/cloudposse/atmos/blob/main/CLAUDE.md" TargetMode="External"/><Relationship Id="rId976" Type="http://schemas.openxmlformats.org/officeDocument/2006/relationships/hyperlink" Target="https://github.com/logancyang/obsidian-copilot/blob/master/AGENTS.md" TargetMode="External"/><Relationship Id="rId1399" Type="http://schemas.openxmlformats.org/officeDocument/2006/relationships/hyperlink" Target="https://github.com/marin-community/marin/blob/main/AGENTS.md" TargetMode="External"/><Relationship Id="rId324" Type="http://schemas.openxmlformats.org/officeDocument/2006/relationships/hyperlink" Target="https://github.com/liam-hq/liam/blob/main/CLAUDE.md" TargetMode="External"/><Relationship Id="rId531" Type="http://schemas.openxmlformats.org/officeDocument/2006/relationships/hyperlink" Target="https://github.com/open-metadata/OpenMetadata/blob/main/CLAUDE.md" TargetMode="External"/><Relationship Id="rId629" Type="http://schemas.openxmlformats.org/officeDocument/2006/relationships/hyperlink" Target="https://github.com/dotnet/dotnet-api-docs/blob/main/.github/copilot-instructions.md" TargetMode="External"/><Relationship Id="rId1161" Type="http://schemas.openxmlformats.org/officeDocument/2006/relationships/hyperlink" Target="https://github.com/zwave-js/zwave-js-ui/blob/master/.github/copilot-instructions.md" TargetMode="External"/><Relationship Id="rId1259" Type="http://schemas.openxmlformats.org/officeDocument/2006/relationships/hyperlink" Target="https://github.com/owncast/owncast/blob/master/.github/copilot-instructions.md" TargetMode="External"/><Relationship Id="rId1466" Type="http://schemas.openxmlformats.org/officeDocument/2006/relationships/hyperlink" Target="https://github.com/stepfunc/dnp3/blob/main/CLAUDE.md" TargetMode="External"/><Relationship Id="rId836" Type="http://schemas.openxmlformats.org/officeDocument/2006/relationships/hyperlink" Target="https://github.com/home-assistant/frontend/blob/master/CLAUDE.md" TargetMode="External"/><Relationship Id="rId1021" Type="http://schemas.openxmlformats.org/officeDocument/2006/relationships/hyperlink" Target="https://github.com/rustfs/rustfs/blob/main/AGENTS.md" TargetMode="External"/><Relationship Id="rId1119" Type="http://schemas.openxmlformats.org/officeDocument/2006/relationships/hyperlink" Target="https://github.com/james-gould/azure-keyvault-emulator/blob/master/.github/copilot-instructions.md" TargetMode="External"/><Relationship Id="rId1673" Type="http://schemas.openxmlformats.org/officeDocument/2006/relationships/hyperlink" Target="https://github.com/luccahuguet/yazelix/blob/main/AGENTS.md" TargetMode="External"/><Relationship Id="rId1880" Type="http://schemas.openxmlformats.org/officeDocument/2006/relationships/hyperlink" Target="https://github.com/seasonedcc/remix-forms/blob/main/AGENTS.md" TargetMode="External"/><Relationship Id="rId903" Type="http://schemas.openxmlformats.org/officeDocument/2006/relationships/hyperlink" Target="https://github.com/RchGrav/claudebox/blob/main/CLAUDE.md" TargetMode="External"/><Relationship Id="rId1326" Type="http://schemas.openxmlformats.org/officeDocument/2006/relationships/hyperlink" Target="https://github.com/module-federation/core/blob/main/CLAUDE.md" TargetMode="External"/><Relationship Id="rId1533" Type="http://schemas.openxmlformats.org/officeDocument/2006/relationships/hyperlink" Target="https://github.com/colinhacks/zod/blob/main/CLAUDE.md" TargetMode="External"/><Relationship Id="rId1740" Type="http://schemas.openxmlformats.org/officeDocument/2006/relationships/hyperlink" Target="https://github.com/sybrew/the-seo-framework/blob/master/.github/copilot-instructions.md" TargetMode="External"/><Relationship Id="rId32" Type="http://schemas.openxmlformats.org/officeDocument/2006/relationships/hyperlink" Target="https://github.com/public-ui/kolibri/blob/master/AGENTS.md" TargetMode="External"/><Relationship Id="rId1600" Type="http://schemas.openxmlformats.org/officeDocument/2006/relationships/hyperlink" Target="https://github.com/open-metadata/OpenMetadata/blob/main/CLAUDE.md" TargetMode="External"/><Relationship Id="rId1838" Type="http://schemas.openxmlformats.org/officeDocument/2006/relationships/hyperlink" Target="https://github.com/abh/ntppool/blob/main/CLAUDE.md" TargetMode="External"/><Relationship Id="rId181" Type="http://schemas.openxmlformats.org/officeDocument/2006/relationships/hyperlink" Target="https://github.com/vczh-libraries/GacUI/blob/master/.github/copilot-instructions.md" TargetMode="External"/><Relationship Id="rId1905" Type="http://schemas.openxmlformats.org/officeDocument/2006/relationships/hyperlink" Target="https://github.com/colinhacks/zod/blob/main/CLAUDE.md" TargetMode="External"/><Relationship Id="rId279" Type="http://schemas.openxmlformats.org/officeDocument/2006/relationships/hyperlink" Target="https://github.com/browser-use/browser-use/blob/main/CLAUDE.md" TargetMode="External"/><Relationship Id="rId486" Type="http://schemas.openxmlformats.org/officeDocument/2006/relationships/hyperlink" Target="https://github.com/browser-use/browser-use/blob/main/CLAUDE.md" TargetMode="External"/><Relationship Id="rId693" Type="http://schemas.openxmlformats.org/officeDocument/2006/relationships/hyperlink" Target="https://github.com/Azure-Samples/serverless-chat-langchainjs/blob/main/AGENTS.md" TargetMode="External"/><Relationship Id="rId139" Type="http://schemas.openxmlformats.org/officeDocument/2006/relationships/hyperlink" Target="https://github.com/NG-ZORRO/ng-zorro-antd/blob/master/.github/copilot-instructions.md" TargetMode="External"/><Relationship Id="rId346" Type="http://schemas.openxmlformats.org/officeDocument/2006/relationships/hyperlink" Target="https://github.com/safety-research/safety-tooling/blob/main/CLAUDE.md" TargetMode="External"/><Relationship Id="rId553" Type="http://schemas.openxmlformats.org/officeDocument/2006/relationships/hyperlink" Target="https://github.com/saleor/apps/blob/main/CLAUDE.md" TargetMode="External"/><Relationship Id="rId760" Type="http://schemas.openxmlformats.org/officeDocument/2006/relationships/hyperlink" Target="https://github.com/cloudposse/atmos/blob/main/CLAUDE.md" TargetMode="External"/><Relationship Id="rId998" Type="http://schemas.openxmlformats.org/officeDocument/2006/relationships/hyperlink" Target="https://github.com/Pipelex/pipelex/blob/main/AGENTS.md" TargetMode="External"/><Relationship Id="rId1183" Type="http://schemas.openxmlformats.org/officeDocument/2006/relationships/hyperlink" Target="https://github.com/PrairieLearn/PrairieLearn/blob/master/AGENTS.md" TargetMode="External"/><Relationship Id="rId1390" Type="http://schemas.openxmlformats.org/officeDocument/2006/relationships/hyperlink" Target="https://github.com/langchain-ai/langchain/blob/master/AGENTS.md" TargetMode="External"/><Relationship Id="rId206" Type="http://schemas.openxmlformats.org/officeDocument/2006/relationships/hyperlink" Target="https://github.com/ajanraj/OpenChat/blob/main/CLAUDE.md" TargetMode="External"/><Relationship Id="rId413" Type="http://schemas.openxmlformats.org/officeDocument/2006/relationships/hyperlink" Target="https://github.com/NuGet/NuGetGallery/blob/main/.github/copilot-instructions.md" TargetMode="External"/><Relationship Id="rId858" Type="http://schemas.openxmlformats.org/officeDocument/2006/relationships/hyperlink" Target="https://github.com/nrwl/nx/blob/master/CLAUDE.md" TargetMode="External"/><Relationship Id="rId1043" Type="http://schemas.openxmlformats.org/officeDocument/2006/relationships/hyperlink" Target="https://github.com/alandtse/alexa_media_player/blob/master/.github/copilot-instructions.md" TargetMode="External"/><Relationship Id="rId1488" Type="http://schemas.openxmlformats.org/officeDocument/2006/relationships/hyperlink" Target="https://github.com/python-cachier/cachier/blob/master/AGENTS.md" TargetMode="External"/><Relationship Id="rId1695" Type="http://schemas.openxmlformats.org/officeDocument/2006/relationships/hyperlink" Target="https://github.com/wandb/weave/blob/master/AGENTS.md" TargetMode="External"/><Relationship Id="rId620" Type="http://schemas.openxmlformats.org/officeDocument/2006/relationships/hyperlink" Target="https://github.com/wieslawsoltes/Dock/blob/master/AGENTS.md" TargetMode="External"/><Relationship Id="rId718" Type="http://schemas.openxmlformats.org/officeDocument/2006/relationships/hyperlink" Target="https://github.com/abh/ntppool/blob/main/CLAUDE.md" TargetMode="External"/><Relationship Id="rId925" Type="http://schemas.openxmlformats.org/officeDocument/2006/relationships/hyperlink" Target="https://github.com/theopenco/llmgateway/blob/main/CLAUDE.md" TargetMode="External"/><Relationship Id="rId1250" Type="http://schemas.openxmlformats.org/officeDocument/2006/relationships/hyperlink" Target="https://github.com/owncast/owncast/blob/master/.github/copilot-instructions.md" TargetMode="External"/><Relationship Id="rId1348" Type="http://schemas.openxmlformats.org/officeDocument/2006/relationships/hyperlink" Target="https://github.com/rocket-admin/rocketadmin/blob/main/CLAUDE.md" TargetMode="External"/><Relationship Id="rId1555" Type="http://schemas.openxmlformats.org/officeDocument/2006/relationships/hyperlink" Target="https://github.com/FastLED/FastLED/blob/master/CLAUDE.md" TargetMode="External"/><Relationship Id="rId1762" Type="http://schemas.openxmlformats.org/officeDocument/2006/relationships/hyperlink" Target="https://github.com/CapSoftware/Cap/blob/main/CLAUDE.md" TargetMode="External"/><Relationship Id="rId1110" Type="http://schemas.openxmlformats.org/officeDocument/2006/relationships/hyperlink" Target="https://github.com/geneontology/go-ontology/blob/master/.github/copilot-instructions.md" TargetMode="External"/><Relationship Id="rId1208" Type="http://schemas.openxmlformats.org/officeDocument/2006/relationships/hyperlink" Target="https://github.com/CapSoftware/Cap/blob/main/CLAUDE.md" TargetMode="External"/><Relationship Id="rId1415" Type="http://schemas.openxmlformats.org/officeDocument/2006/relationships/hyperlink" Target="https://github.com/Pipelex/pipelex/blob/main/AGENTS.md" TargetMode="External"/><Relationship Id="rId54" Type="http://schemas.openxmlformats.org/officeDocument/2006/relationships/hyperlink" Target="https://github.com/RSSNext/Folo/blob/main/AGENTS.md" TargetMode="External"/><Relationship Id="rId1622" Type="http://schemas.openxmlformats.org/officeDocument/2006/relationships/hyperlink" Target="https://github.com/twentyhq/twenty/blob/main/CLAUDE.md" TargetMode="External"/><Relationship Id="rId1927" Type="http://schemas.openxmlformats.org/officeDocument/2006/relationships/hyperlink" Target="https://github.com/geneontology/go-ontology/blob/master/CLAUDE.md" TargetMode="External"/><Relationship Id="rId270" Type="http://schemas.openxmlformats.org/officeDocument/2006/relationships/hyperlink" Target="https://github.com/alchemiststudiosDOTai/tunacode/blob/master/AGENTS.md" TargetMode="External"/><Relationship Id="rId130" Type="http://schemas.openxmlformats.org/officeDocument/2006/relationships/hyperlink" Target="https://github.com/microsoft/simplechat/blob/main/.github/copilot-instructions.md" TargetMode="External"/><Relationship Id="rId368" Type="http://schemas.openxmlformats.org/officeDocument/2006/relationships/hyperlink" Target="https://github.com/Pipelex/pipelex/blob/main/AGENTS.md" TargetMode="External"/><Relationship Id="rId575" Type="http://schemas.openxmlformats.org/officeDocument/2006/relationships/hyperlink" Target="https://github.com/twentyhq/twenty/blob/main/CLAUDE.md" TargetMode="External"/><Relationship Id="rId782" Type="http://schemas.openxmlformats.org/officeDocument/2006/relationships/hyperlink" Target="https://github.com/compiler-explorer/compiler-explorer/blob/main/CLAUDE.md" TargetMode="External"/><Relationship Id="rId228" Type="http://schemas.openxmlformats.org/officeDocument/2006/relationships/hyperlink" Target="https://github.com/netdata/netdata/blob/master/CLAUDE.md" TargetMode="External"/><Relationship Id="rId435" Type="http://schemas.openxmlformats.org/officeDocument/2006/relationships/hyperlink" Target="https://github.com/metacraft-labs/codetracer/blob/main/AGENTS.md" TargetMode="External"/><Relationship Id="rId642" Type="http://schemas.openxmlformats.org/officeDocument/2006/relationships/hyperlink" Target="https://github.com/microsoft/ApplicationInsights-JS/blob/main/.github/copilot-instructions.md" TargetMode="External"/><Relationship Id="rId1065" Type="http://schemas.openxmlformats.org/officeDocument/2006/relationships/hyperlink" Target="https://github.com/Azure/autorest.typescript/blob/main/.github/copilot-instructions.md" TargetMode="External"/><Relationship Id="rId1272" Type="http://schemas.openxmlformats.org/officeDocument/2006/relationships/hyperlink" Target="https://github.com/wvlet/wvlet/blob/main/CLAUDE.md" TargetMode="External"/><Relationship Id="rId502" Type="http://schemas.openxmlformats.org/officeDocument/2006/relationships/hyperlink" Target="https://github.com/dailydotdev/apps/blob/main/CLAUDE.md" TargetMode="External"/><Relationship Id="rId947" Type="http://schemas.openxmlformats.org/officeDocument/2006/relationships/hyperlink" Target="https://github.com/zenml-io/zenml/blob/main/CLAUDE.md" TargetMode="External"/><Relationship Id="rId1132" Type="http://schemas.openxmlformats.org/officeDocument/2006/relationships/hyperlink" Target="https://github.com/mixpanel/mixpanel-android/blob/master/.github/copilot-instructions.md" TargetMode="External"/><Relationship Id="rId1577" Type="http://schemas.openxmlformats.org/officeDocument/2006/relationships/hyperlink" Target="https://github.com/kubetail-org/kubetail/blob/main/CLAUDE.md" TargetMode="External"/><Relationship Id="rId1784" Type="http://schemas.openxmlformats.org/officeDocument/2006/relationships/hyperlink" Target="https://github.com/Pipelex/pipelex/blob/main/CLAUDE.md" TargetMode="External"/><Relationship Id="rId76" Type="http://schemas.openxmlformats.org/officeDocument/2006/relationships/hyperlink" Target="https://github.com/web-infra-dev/rspack/blob/main/AGENTS.md" TargetMode="External"/><Relationship Id="rId807" Type="http://schemas.openxmlformats.org/officeDocument/2006/relationships/hyperlink" Target="https://github.com/FastLED/FastLED/blob/master/CLAUDE.md" TargetMode="External"/><Relationship Id="rId1437" Type="http://schemas.openxmlformats.org/officeDocument/2006/relationships/hyperlink" Target="https://github.com/ydb-platform/ydb/blob/main/AGENTS.md" TargetMode="External"/><Relationship Id="rId1644" Type="http://schemas.openxmlformats.org/officeDocument/2006/relationships/hyperlink" Target="https://github.com/bionic-gpt/bionic-gpt/blob/main/AGENTS.md" TargetMode="External"/><Relationship Id="rId1851" Type="http://schemas.openxmlformats.org/officeDocument/2006/relationships/hyperlink" Target="https://github.com/dailydotdev/apps/blob/main/CLAUDE.md" TargetMode="External"/><Relationship Id="rId1504" Type="http://schemas.openxmlformats.org/officeDocument/2006/relationships/hyperlink" Target="https://github.com/abh/ntppool/blob/main/CLAUDE.md" TargetMode="External"/><Relationship Id="rId1711" Type="http://schemas.openxmlformats.org/officeDocument/2006/relationships/hyperlink" Target="https://github.com/dotnet/sdk/blob/main/.github/copilot-instructions.md" TargetMode="External"/><Relationship Id="rId292" Type="http://schemas.openxmlformats.org/officeDocument/2006/relationships/hyperlink" Target="https://github.com/colinhacks/zod/blob/main/CLAUDE.md" TargetMode="External"/><Relationship Id="rId1809" Type="http://schemas.openxmlformats.org/officeDocument/2006/relationships/hyperlink" Target="https://github.com/modelcontextprotocol/typescript-sdk/blob/main/CLAUDE.md" TargetMode="External"/><Relationship Id="rId597" Type="http://schemas.openxmlformats.org/officeDocument/2006/relationships/hyperlink" Target="https://github.com/luccahuguet/yazelix/blob/main/AGENTS.md" TargetMode="External"/><Relationship Id="rId152" Type="http://schemas.openxmlformats.org/officeDocument/2006/relationships/hyperlink" Target="https://github.com/sarchlab/akita/blob/main/.github/copilot-instructions.md" TargetMode="External"/><Relationship Id="rId457" Type="http://schemas.openxmlformats.org/officeDocument/2006/relationships/hyperlink" Target="https://github.com/bbc/simorgh/blob/master/.github/copilot-instructions.md" TargetMode="External"/><Relationship Id="rId1087" Type="http://schemas.openxmlformats.org/officeDocument/2006/relationships/hyperlink" Target="https://github.com/dotnet/aspnetcore/blob/main/.github/copilot-instructions.md" TargetMode="External"/><Relationship Id="rId1294" Type="http://schemas.openxmlformats.org/officeDocument/2006/relationships/hyperlink" Target="https://github.com/compiler-explorer/infra/blob/main/CLAUDE.md" TargetMode="External"/><Relationship Id="rId664" Type="http://schemas.openxmlformats.org/officeDocument/2006/relationships/hyperlink" Target="https://github.com/saleor/apps/blob/main/.github/copilot-instructions.md" TargetMode="External"/><Relationship Id="rId871" Type="http://schemas.openxmlformats.org/officeDocument/2006/relationships/hyperlink" Target="https://github.com/open-metadata/OpenMetadata/blob/main/CLAUDE.md" TargetMode="External"/><Relationship Id="rId969" Type="http://schemas.openxmlformats.org/officeDocument/2006/relationships/hyperlink" Target="https://github.com/elamperti/OpenWebScrobbler/blob/main/AGENTS.md" TargetMode="External"/><Relationship Id="rId1599" Type="http://schemas.openxmlformats.org/officeDocument/2006/relationships/hyperlink" Target="https://github.com/open-metadata/OpenMetadata/blob/main/CLAUDE.md" TargetMode="External"/><Relationship Id="rId317" Type="http://schemas.openxmlformats.org/officeDocument/2006/relationships/hyperlink" Target="https://github.com/home-assistant/frontend/blob/master/CLAUDE.md" TargetMode="External"/><Relationship Id="rId524" Type="http://schemas.openxmlformats.org/officeDocument/2006/relationships/hyperlink" Target="https://github.com/netdata/netdata/blob/master/CLAUDE.md" TargetMode="External"/><Relationship Id="rId731" Type="http://schemas.openxmlformats.org/officeDocument/2006/relationships/hyperlink" Target="https://github.com/anyproto/anytype-swift/blob/main/CLAUDE.md" TargetMode="External"/><Relationship Id="rId1154" Type="http://schemas.openxmlformats.org/officeDocument/2006/relationships/hyperlink" Target="https://github.com/sybrew/the-seo-framework/blob/master/.github/copilot-instructions.md" TargetMode="External"/><Relationship Id="rId1361" Type="http://schemas.openxmlformats.org/officeDocument/2006/relationships/hyperlink" Target="https://github.com/zenml-io/zenml/blob/main/CLAUDE.md" TargetMode="External"/><Relationship Id="rId1459" Type="http://schemas.openxmlformats.org/officeDocument/2006/relationships/hyperlink" Target="https://github.com/Significant-Gravitas/AutoGPT/blob/master/.github/copilot-instructions.md" TargetMode="External"/><Relationship Id="rId98" Type="http://schemas.openxmlformats.org/officeDocument/2006/relationships/hyperlink" Target="https://github.com/Azure/azure-sdk-for-net/blob/main/.github/copilot-instructions.md" TargetMode="External"/><Relationship Id="rId829" Type="http://schemas.openxmlformats.org/officeDocument/2006/relationships/hyperlink" Target="https://github.com/getsentry/sentry-javascript/blob/master/CLAUDE.md" TargetMode="External"/><Relationship Id="rId1014" Type="http://schemas.openxmlformats.org/officeDocument/2006/relationships/hyperlink" Target="https://github.com/python-cachier/cachier/blob/master/AGENTS.md" TargetMode="External"/><Relationship Id="rId1221" Type="http://schemas.openxmlformats.org/officeDocument/2006/relationships/hyperlink" Target="https://github.com/pannous/wasp/blob/main/CLAUDE.md" TargetMode="External"/><Relationship Id="rId1666" Type="http://schemas.openxmlformats.org/officeDocument/2006/relationships/hyperlink" Target="https://github.com/langchain-ai/langchain/blob/master/AGENTS.md" TargetMode="External"/><Relationship Id="rId1873" Type="http://schemas.openxmlformats.org/officeDocument/2006/relationships/hyperlink" Target="https://github.com/julep-ai/julep/blob/main/AGENTS.md" TargetMode="External"/><Relationship Id="rId1319" Type="http://schemas.openxmlformats.org/officeDocument/2006/relationships/hyperlink" Target="https://github.com/langchain-ai/langchain/blob/master/CLAUDE.md" TargetMode="External"/><Relationship Id="rId1526" Type="http://schemas.openxmlformats.org/officeDocument/2006/relationships/hyperlink" Target="https://github.com/cloudposse/atmos/blob/main/CLAUDE.md" TargetMode="External"/><Relationship Id="rId1733" Type="http://schemas.openxmlformats.org/officeDocument/2006/relationships/hyperlink" Target="https://github.com/owncast/owncast/blob/master/.github/copilot-instructions.md" TargetMode="External"/><Relationship Id="rId1940" Type="http://schemas.openxmlformats.org/officeDocument/2006/relationships/hyperlink" Target="https://github.com/luccahuguet/yazelix/blob/main/AGENTS.md" TargetMode="External"/><Relationship Id="rId25" Type="http://schemas.openxmlformats.org/officeDocument/2006/relationships/hyperlink" Target="https://github.com/public-ui/kolibri/blob/master/AGENTS.md" TargetMode="External"/><Relationship Id="rId1800" Type="http://schemas.openxmlformats.org/officeDocument/2006/relationships/hyperlink" Target="https://github.com/geneontology/go-ontology/blob/master/CLAUDE.md" TargetMode="External"/><Relationship Id="rId174" Type="http://schemas.openxmlformats.org/officeDocument/2006/relationships/hyperlink" Target="https://github.com/sybrew/the-seo-framework/blob/master/.github/copilot-instructions.md" TargetMode="External"/><Relationship Id="rId381" Type="http://schemas.openxmlformats.org/officeDocument/2006/relationships/hyperlink" Target="https://github.com/pytorch/pytorch/blob/main/AGENTS.md" TargetMode="External"/><Relationship Id="rId241" Type="http://schemas.openxmlformats.org/officeDocument/2006/relationships/hyperlink" Target="https://github.com/Comfy-Org/comfy-claude-prompt-library/blob/master/CLAUDE.md" TargetMode="External"/><Relationship Id="rId479" Type="http://schemas.openxmlformats.org/officeDocument/2006/relationships/hyperlink" Target="https://github.com/angular-eslint/angular-eslint/blob/main/CLAUDE.md" TargetMode="External"/><Relationship Id="rId686" Type="http://schemas.openxmlformats.org/officeDocument/2006/relationships/hyperlink" Target="https://github.com/Expensify/App/blob/main/CLAUDE.md" TargetMode="External"/><Relationship Id="rId893" Type="http://schemas.openxmlformats.org/officeDocument/2006/relationships/hyperlink" Target="https://github.com/Pipelex/pipelex/blob/main/CLAUDE.md" TargetMode="External"/><Relationship Id="rId339" Type="http://schemas.openxmlformats.org/officeDocument/2006/relationships/hyperlink" Target="https://github.com/Pipelex/pipelex/blob/main/CLAUDE.md" TargetMode="External"/><Relationship Id="rId546" Type="http://schemas.openxmlformats.org/officeDocument/2006/relationships/hyperlink" Target="https://github.com/PrefectHQ/marvin/blob/main/CLAUDE.md" TargetMode="External"/><Relationship Id="rId753" Type="http://schemas.openxmlformats.org/officeDocument/2006/relationships/hyperlink" Target="https://github.com/cloudposse/atmos/blob/main/CLAUDE.md" TargetMode="External"/><Relationship Id="rId1176" Type="http://schemas.openxmlformats.org/officeDocument/2006/relationships/hyperlink" Target="https://github.com/wandb/weave/blob/master/AGENTS.md" TargetMode="External"/><Relationship Id="rId1383" Type="http://schemas.openxmlformats.org/officeDocument/2006/relationships/hyperlink" Target="https://github.com/janbjorge/pgqueuer/blob/main/AGENTS.md" TargetMode="External"/><Relationship Id="rId101" Type="http://schemas.openxmlformats.org/officeDocument/2006/relationships/hyperlink" Target="https://github.com/Cysharp/MagicOnion/blob/main/.github/copilot-instructions.md" TargetMode="External"/><Relationship Id="rId406" Type="http://schemas.openxmlformats.org/officeDocument/2006/relationships/hyperlink" Target="https://github.com/geneontology/go-ontology/blob/master/.github/copilot-instructions.md" TargetMode="External"/><Relationship Id="rId960" Type="http://schemas.openxmlformats.org/officeDocument/2006/relationships/hyperlink" Target="https://github.com/carverauto/serviceradar/blob/main/AGENTS.md" TargetMode="External"/><Relationship Id="rId1036" Type="http://schemas.openxmlformats.org/officeDocument/2006/relationships/hyperlink" Target="https://github.com/wieslawsoltes/Dock/blob/master/AGENTS.md" TargetMode="External"/><Relationship Id="rId1243" Type="http://schemas.openxmlformats.org/officeDocument/2006/relationships/hyperlink" Target="https://github.com/owid/etl/blob/master/AGENTS.md" TargetMode="External"/><Relationship Id="rId1590" Type="http://schemas.openxmlformats.org/officeDocument/2006/relationships/hyperlink" Target="https://github.com/module-federation/core/blob/main/CLAUDE.md" TargetMode="External"/><Relationship Id="rId1688" Type="http://schemas.openxmlformats.org/officeDocument/2006/relationships/hyperlink" Target="https://github.com/proximafusion/vmecpp/blob/main/AGENTS.md" TargetMode="External"/><Relationship Id="rId1895" Type="http://schemas.openxmlformats.org/officeDocument/2006/relationships/hyperlink" Target="https://github.com/Skyscanner/backpack-ios/blob/main/.github/copilot-instructions.md" TargetMode="External"/><Relationship Id="rId613" Type="http://schemas.openxmlformats.org/officeDocument/2006/relationships/hyperlink" Target="https://github.com/stack-auth/stack-auth/blob/main/AGENTS.md" TargetMode="External"/><Relationship Id="rId820" Type="http://schemas.openxmlformats.org/officeDocument/2006/relationships/hyperlink" Target="https://github.com/geneontology/go-ontology/blob/master/CLAUDE.md" TargetMode="External"/><Relationship Id="rId918" Type="http://schemas.openxmlformats.org/officeDocument/2006/relationships/hyperlink" Target="https://github.com/Southclaws/storyden/blob/main/CLAUDE.md" TargetMode="External"/><Relationship Id="rId1450" Type="http://schemas.openxmlformats.org/officeDocument/2006/relationships/hyperlink" Target="https://github.com/friendsofhyperf/components/blob/main/.github/copilot-instructions.md" TargetMode="External"/><Relationship Id="rId1548" Type="http://schemas.openxmlformats.org/officeDocument/2006/relationships/hyperlink" Target="https://github.com/dropseed/plain/blob/main/CLAUDE.md" TargetMode="External"/><Relationship Id="rId1755" Type="http://schemas.openxmlformats.org/officeDocument/2006/relationships/hyperlink" Target="https://github.com/PrairieLearn/PrairieLearn/blob/master/AGENTS.md" TargetMode="External"/><Relationship Id="rId1103" Type="http://schemas.openxmlformats.org/officeDocument/2006/relationships/hyperlink" Target="https://github.com/geneontology/go-ontology/blob/master/.github/copilot-instructions.md" TargetMode="External"/><Relationship Id="rId1310" Type="http://schemas.openxmlformats.org/officeDocument/2006/relationships/hyperlink" Target="https://github.com/home-assistant/frontend/blob/master/CLAUDE.md" TargetMode="External"/><Relationship Id="rId1408" Type="http://schemas.openxmlformats.org/officeDocument/2006/relationships/hyperlink" Target="https://github.com/microsoft/mcp-dotnet-samples/blob/main/AGENTS.md" TargetMode="External"/><Relationship Id="rId47" Type="http://schemas.openxmlformats.org/officeDocument/2006/relationships/hyperlink" Target="https://github.com/Rello/analytics/blob/master/AGENTS.md" TargetMode="External"/><Relationship Id="rId1615" Type="http://schemas.openxmlformats.org/officeDocument/2006/relationships/hyperlink" Target="https://github.com/proximafusion/vmecpp/blob/main/CLAUDE.md" TargetMode="External"/><Relationship Id="rId1822" Type="http://schemas.openxmlformats.org/officeDocument/2006/relationships/hyperlink" Target="https://github.com/Azure/azure-functions-host/blob/master/.github/copilot-instructions.md" TargetMode="External"/><Relationship Id="rId196" Type="http://schemas.openxmlformats.org/officeDocument/2006/relationships/hyperlink" Target="https://github.com/compiler-explorer/infra/blob/main/CLAUDE.md" TargetMode="External"/><Relationship Id="rId263" Type="http://schemas.openxmlformats.org/officeDocument/2006/relationships/hyperlink" Target="https://github.com/sybrew/the-seo-framework/blob/master/.github/copilot-instructions.md" TargetMode="External"/><Relationship Id="rId470" Type="http://schemas.openxmlformats.org/officeDocument/2006/relationships/hyperlink" Target="https://github.com/OneKeyHQ/app-monorepo/blob/master/CLAUDE.md" TargetMode="External"/><Relationship Id="rId123" Type="http://schemas.openxmlformats.org/officeDocument/2006/relationships/hyperlink" Target="https://github.com/humanwhocodes/crosspost/blob/main/.github/copilot-instructions.md" TargetMode="External"/><Relationship Id="rId330" Type="http://schemas.openxmlformats.org/officeDocument/2006/relationships/hyperlink" Target="https://github.com/OlympiaAI/raix/blob/main/CLAUDE.md" TargetMode="External"/><Relationship Id="rId568" Type="http://schemas.openxmlformats.org/officeDocument/2006/relationships/hyperlink" Target="https://github.com/tphakala/birdnet-go/blob/main/CLAUDE.md" TargetMode="External"/><Relationship Id="rId775" Type="http://schemas.openxmlformats.org/officeDocument/2006/relationships/hyperlink" Target="https://github.com/colinhacks/zod/blob/main/CLAUDE.md" TargetMode="External"/><Relationship Id="rId982" Type="http://schemas.openxmlformats.org/officeDocument/2006/relationships/hyperlink" Target="https://github.com/marin-community/marin/blob/main/AGENTS.md" TargetMode="External"/><Relationship Id="rId1198" Type="http://schemas.openxmlformats.org/officeDocument/2006/relationships/hyperlink" Target="https://github.com/OneKeyHQ/app-monorepo/blob/master/CLAUDE.md" TargetMode="External"/><Relationship Id="rId428" Type="http://schemas.openxmlformats.org/officeDocument/2006/relationships/hyperlink" Target="https://github.com/CapSoftware/Cap/blob/main/AGENTS.md" TargetMode="External"/><Relationship Id="rId635" Type="http://schemas.openxmlformats.org/officeDocument/2006/relationships/hyperlink" Target="https://github.com/dotnet/sdk/blob/main/.github/copilot-instructions.md" TargetMode="External"/><Relationship Id="rId842" Type="http://schemas.openxmlformats.org/officeDocument/2006/relationships/hyperlink" Target="https://github.com/lightdash/lightdash/blob/main/CLAUDE.md" TargetMode="External"/><Relationship Id="rId1058" Type="http://schemas.openxmlformats.org/officeDocument/2006/relationships/hyperlink" Target="https://github.com/AstrBotDevs/AstrBot/blob/master/.github/copilot-instructions.md" TargetMode="External"/><Relationship Id="rId1265" Type="http://schemas.openxmlformats.org/officeDocument/2006/relationships/hyperlink" Target="https://github.com/cloudposse/atmos/blob/main/CLAUDE.md" TargetMode="External"/><Relationship Id="rId1472" Type="http://schemas.openxmlformats.org/officeDocument/2006/relationships/hyperlink" Target="https://github.com/Freika/dawarich/blob/master/CLAUDE.md" TargetMode="External"/><Relationship Id="rId702" Type="http://schemas.openxmlformats.org/officeDocument/2006/relationships/hyperlink" Target="https://github.com/humanwhocodes/crosspost/blob/main/.github/copilot-instructions.md" TargetMode="External"/><Relationship Id="rId1125" Type="http://schemas.openxmlformats.org/officeDocument/2006/relationships/hyperlink" Target="https://github.com/microsoft/Olive/blob/main/.github/copilot-instructions.md" TargetMode="External"/><Relationship Id="rId1332" Type="http://schemas.openxmlformats.org/officeDocument/2006/relationships/hyperlink" Target="https://github.com/open-metadata/OpenMetadata/blob/main/CLAUDE.md" TargetMode="External"/><Relationship Id="rId1777" Type="http://schemas.openxmlformats.org/officeDocument/2006/relationships/hyperlink" Target="https://github.com/netdata/netdata/blob/master/CLAUDE.md" TargetMode="External"/><Relationship Id="rId69" Type="http://schemas.openxmlformats.org/officeDocument/2006/relationships/hyperlink" Target="https://github.com/theopenco/llmgateway/blob/main/AGENTS.md" TargetMode="External"/><Relationship Id="rId1637" Type="http://schemas.openxmlformats.org/officeDocument/2006/relationships/hyperlink" Target="https://github.com/xlnfinance/xln/blob/main/CLAUDE.md" TargetMode="External"/><Relationship Id="rId1844" Type="http://schemas.openxmlformats.org/officeDocument/2006/relationships/hyperlink" Target="https://github.com/CapSoftware/Cap/blob/main/CLAUDE.md" TargetMode="External"/><Relationship Id="rId1704" Type="http://schemas.openxmlformats.org/officeDocument/2006/relationships/hyperlink" Target="https://github.com/benwbrum/fromthepage/blob/main/.github/copilot-instructions.md" TargetMode="External"/><Relationship Id="rId285" Type="http://schemas.openxmlformats.org/officeDocument/2006/relationships/hyperlink" Target="https://github.com/coder/coder/blob/main/CLAUDE.md" TargetMode="External"/><Relationship Id="rId1911" Type="http://schemas.openxmlformats.org/officeDocument/2006/relationships/hyperlink" Target="https://github.com/coder/coder/blob/main/CLAUDE.md" TargetMode="External"/><Relationship Id="rId492" Type="http://schemas.openxmlformats.org/officeDocument/2006/relationships/hyperlink" Target="https://github.com/cloudposse/atmos/blob/main/CLAUDE.md" TargetMode="External"/><Relationship Id="rId797" Type="http://schemas.openxmlformats.org/officeDocument/2006/relationships/hyperlink" Target="https://github.com/dymensionxyz/dymension/blob/main/CLAUDE.md" TargetMode="External"/><Relationship Id="rId145" Type="http://schemas.openxmlformats.org/officeDocument/2006/relationships/hyperlink" Target="https://github.com/owncast/owncast/blob/master/.github/copilot-instructions.md" TargetMode="External"/><Relationship Id="rId352" Type="http://schemas.openxmlformats.org/officeDocument/2006/relationships/hyperlink" Target="https://github.com/xlnfinance/xln/blob/main/CLAUDE.md" TargetMode="External"/><Relationship Id="rId1287" Type="http://schemas.openxmlformats.org/officeDocument/2006/relationships/hyperlink" Target="https://github.com/colinhacks/zod/blob/main/CLAUDE.md" TargetMode="External"/><Relationship Id="rId212" Type="http://schemas.openxmlformats.org/officeDocument/2006/relationships/hyperlink" Target="https://github.com/webgptorg/promptbook/blob/main/AGENTS.md" TargetMode="External"/><Relationship Id="rId657" Type="http://schemas.openxmlformats.org/officeDocument/2006/relationships/hyperlink" Target="https://github.com/nkdAgility/azure-devops-migration-tools/blob/main/.github/copilot-instructions.md" TargetMode="External"/><Relationship Id="rId864" Type="http://schemas.openxmlformats.org/officeDocument/2006/relationships/hyperlink" Target="https://github.com/OneKeyHQ/app-monorepo/blob/master/CLAUDE.md" TargetMode="External"/><Relationship Id="rId1494" Type="http://schemas.openxmlformats.org/officeDocument/2006/relationships/hyperlink" Target="https://github.com/mixpanel/mixpanel-android/blob/master/.github/copilot-instructions.md" TargetMode="External"/><Relationship Id="rId1799" Type="http://schemas.openxmlformats.org/officeDocument/2006/relationships/hyperlink" Target="https://github.com/microsoft/FluidFramework/blob/main/.github/copilot-instructions.md" TargetMode="External"/><Relationship Id="rId517" Type="http://schemas.openxmlformats.org/officeDocument/2006/relationships/hyperlink" Target="https://github.com/ithacaxyz/account/blob/main/CLAUDE.md" TargetMode="External"/><Relationship Id="rId724" Type="http://schemas.openxmlformats.org/officeDocument/2006/relationships/hyperlink" Target="https://github.com/AhmedElywa/prisma-tools/blob/main/CLAUDE.md" TargetMode="External"/><Relationship Id="rId931" Type="http://schemas.openxmlformats.org/officeDocument/2006/relationships/hyperlink" Target="https://github.com/truenas/webui/blob/master/CLAUDE.md" TargetMode="External"/><Relationship Id="rId1147" Type="http://schemas.openxmlformats.org/officeDocument/2006/relationships/hyperlink" Target="https://github.com/Significant-Gravitas/AutoGPT/blob/master/.github/copilot-instructions.md" TargetMode="External"/><Relationship Id="rId1354" Type="http://schemas.openxmlformats.org/officeDocument/2006/relationships/hyperlink" Target="https://github.com/tphakala/birdnet-go/blob/main/CLAUDE.md" TargetMode="External"/><Relationship Id="rId1561" Type="http://schemas.openxmlformats.org/officeDocument/2006/relationships/hyperlink" Target="https://github.com/geneontology/go-ontology/blob/master/CLAUDE.md" TargetMode="External"/><Relationship Id="rId60" Type="http://schemas.openxmlformats.org/officeDocument/2006/relationships/hyperlink" Target="https://github.com/SimonHalvdansson/Harmonic-HN/blob/main/AGENTS.md" TargetMode="External"/><Relationship Id="rId1007" Type="http://schemas.openxmlformats.org/officeDocument/2006/relationships/hyperlink" Target="https://github.com/public-ui/kolibri/blob/master/AGENTS.md" TargetMode="External"/><Relationship Id="rId1214" Type="http://schemas.openxmlformats.org/officeDocument/2006/relationships/hyperlink" Target="https://github.com/obophenotype/uberon/blob/master/.github/copilot-instructions.md" TargetMode="External"/><Relationship Id="rId1421" Type="http://schemas.openxmlformats.org/officeDocument/2006/relationships/hyperlink" Target="https://github.com/python-cachier/cachier/blob/master/AGENTS.md" TargetMode="External"/><Relationship Id="rId1659" Type="http://schemas.openxmlformats.org/officeDocument/2006/relationships/hyperlink" Target="https://github.com/janbjorge/pgqueuer/blob/main/AGENTS.md" TargetMode="External"/><Relationship Id="rId1866" Type="http://schemas.openxmlformats.org/officeDocument/2006/relationships/hyperlink" Target="https://github.com/safety-research/safety-tooling/blob/main/CLAUDE.md" TargetMode="External"/><Relationship Id="rId1519" Type="http://schemas.openxmlformats.org/officeDocument/2006/relationships/hyperlink" Target="https://github.com/Azure/LogicAppsUX/blob/main/CLAUDE.md" TargetMode="External"/><Relationship Id="rId1726" Type="http://schemas.openxmlformats.org/officeDocument/2006/relationships/hyperlink" Target="https://github.com/microsoft/vscode-jupyter/blob/main/.github/copilot-instructions.md" TargetMode="External"/><Relationship Id="rId1933" Type="http://schemas.openxmlformats.org/officeDocument/2006/relationships/hyperlink" Target="https://github.com/Pipelex/pipelex/blob/main/AGENTS.md" TargetMode="External"/><Relationship Id="rId18" Type="http://schemas.openxmlformats.org/officeDocument/2006/relationships/hyperlink" Target="https://github.com/Pipelex/pipelex/blob/main/AGENTS.md" TargetMode="External"/><Relationship Id="rId167" Type="http://schemas.openxmlformats.org/officeDocument/2006/relationships/hyperlink" Target="https://github.com/sybrew/the-seo-framework/blob/master/.github/copilot-instructions.md" TargetMode="External"/><Relationship Id="rId374" Type="http://schemas.openxmlformats.org/officeDocument/2006/relationships/hyperlink" Target="https://github.com/PrairieLearn/PrairieLearn/blob/master/AGENTS.md" TargetMode="External"/><Relationship Id="rId581" Type="http://schemas.openxmlformats.org/officeDocument/2006/relationships/hyperlink" Target="https://github.com/zenml-io/zenml/blob/main/CLAUDE.md" TargetMode="External"/><Relationship Id="rId234" Type="http://schemas.openxmlformats.org/officeDocument/2006/relationships/hyperlink" Target="https://github.com/rustfs/rustfs/blob/main/AGENTS.md" TargetMode="External"/><Relationship Id="rId679" Type="http://schemas.openxmlformats.org/officeDocument/2006/relationships/hyperlink" Target="https://github.com/cloudposse/atmos/blob/main/CLAUDE.md" TargetMode="External"/><Relationship Id="rId886" Type="http://schemas.openxmlformats.org/officeDocument/2006/relationships/hyperlink" Target="https://github.com/paradigmxyz/reth/blob/main/CLAUDE.md" TargetMode="External"/><Relationship Id="rId2" Type="http://schemas.openxmlformats.org/officeDocument/2006/relationships/hyperlink" Target="https://github.com/marin-community/marin/blob/main/AGENTS.md" TargetMode="External"/><Relationship Id="rId441" Type="http://schemas.openxmlformats.org/officeDocument/2006/relationships/hyperlink" Target="https://github.com/temporalio/ui/blob/main/CLAUDE.md" TargetMode="External"/><Relationship Id="rId539" Type="http://schemas.openxmlformats.org/officeDocument/2006/relationships/hyperlink" Target="https://github.com/owid/etl/blob/master/CLAUDE.md" TargetMode="External"/><Relationship Id="rId746" Type="http://schemas.openxmlformats.org/officeDocument/2006/relationships/hyperlink" Target="https://github.com/CapSoftware/Cap/blob/main/CLAUDE.md" TargetMode="External"/><Relationship Id="rId1071" Type="http://schemas.openxmlformats.org/officeDocument/2006/relationships/hyperlink" Target="https://github.com/Azure/autorest.typescript/blob/main/.github/copilot-instructions.md" TargetMode="External"/><Relationship Id="rId1169" Type="http://schemas.openxmlformats.org/officeDocument/2006/relationships/hyperlink" Target="https://github.com/OneKeyHQ/app-monorepo/blob/master/CLAUDE.md" TargetMode="External"/><Relationship Id="rId1376" Type="http://schemas.openxmlformats.org/officeDocument/2006/relationships/hyperlink" Target="https://github.com/hahwul/dalfox/blob/main/AGENTS.md" TargetMode="External"/><Relationship Id="rId1583" Type="http://schemas.openxmlformats.org/officeDocument/2006/relationships/hyperlink" Target="https://github.com/lollipopkit/flutter_server_box/blob/main/CLAUDE.md" TargetMode="External"/><Relationship Id="rId301" Type="http://schemas.openxmlformats.org/officeDocument/2006/relationships/hyperlink" Target="https://github.com/compiler-explorer/compiler-explorer/blob/main/CLAUDE.md" TargetMode="External"/><Relationship Id="rId953" Type="http://schemas.openxmlformats.org/officeDocument/2006/relationships/hyperlink" Target="https://github.com/cablehead/xs/blob/main/AGENTS.md" TargetMode="External"/><Relationship Id="rId1029" Type="http://schemas.openxmlformats.org/officeDocument/2006/relationships/hyperlink" Target="https://github.com/theopenco/llmgateway/blob/main/AGENTS.md" TargetMode="External"/><Relationship Id="rId1236" Type="http://schemas.openxmlformats.org/officeDocument/2006/relationships/hyperlink" Target="https://github.com/netdata/netdata/blob/master/CLAUDE.md" TargetMode="External"/><Relationship Id="rId1790" Type="http://schemas.openxmlformats.org/officeDocument/2006/relationships/hyperlink" Target="https://github.com/vaadin/flow/blob/main/CLAUDE.md" TargetMode="External"/><Relationship Id="rId1888" Type="http://schemas.openxmlformats.org/officeDocument/2006/relationships/hyperlink" Target="https://github.com/microsoft/ApplicationInsights-JS/blob/main/.github/copilot-instructions.md" TargetMode="External"/><Relationship Id="rId82" Type="http://schemas.openxmlformats.org/officeDocument/2006/relationships/hyperlink" Target="https://github.com/wieslawsoltes/Dock/blob/master/AGENTS.md" TargetMode="External"/><Relationship Id="rId606" Type="http://schemas.openxmlformats.org/officeDocument/2006/relationships/hyperlink" Target="https://github.com/proximafusion/vmecpp/blob/main/AGENTS.md" TargetMode="External"/><Relationship Id="rId813" Type="http://schemas.openxmlformats.org/officeDocument/2006/relationships/hyperlink" Target="https://github.com/geneontology/go-ontology/blob/master/CLAUDE.md" TargetMode="External"/><Relationship Id="rId1443" Type="http://schemas.openxmlformats.org/officeDocument/2006/relationships/hyperlink" Target="https://github.com/zenml-io/zenml/blob/main/AGENTS.md" TargetMode="External"/><Relationship Id="rId1650" Type="http://schemas.openxmlformats.org/officeDocument/2006/relationships/hyperlink" Target="https://github.com/commonwarexyz/monorepo/blob/main/AGENTS.md" TargetMode="External"/><Relationship Id="rId1748" Type="http://schemas.openxmlformats.org/officeDocument/2006/relationships/hyperlink" Target="https://github.com/zwave-js/zwave-js-ui/blob/master/.github/copilot-instructions.md" TargetMode="External"/><Relationship Id="rId1303" Type="http://schemas.openxmlformats.org/officeDocument/2006/relationships/hyperlink" Target="https://github.com/Freika/dawarich/blob/master/CLAUDE.md" TargetMode="External"/><Relationship Id="rId1510" Type="http://schemas.openxmlformats.org/officeDocument/2006/relationships/hyperlink" Target="https://github.com/allenai/open-instruct/blob/main/CLAUDE.md" TargetMode="External"/><Relationship Id="rId1608" Type="http://schemas.openxmlformats.org/officeDocument/2006/relationships/hyperlink" Target="https://github.com/openai/openai-agents-python/blob/main/CLAUDE.md" TargetMode="External"/><Relationship Id="rId1815" Type="http://schemas.openxmlformats.org/officeDocument/2006/relationships/hyperlink" Target="https://github.com/luccahuguet/yazelix/blob/main/AGENTS.md" TargetMode="External"/><Relationship Id="rId189" Type="http://schemas.openxmlformats.org/officeDocument/2006/relationships/hyperlink" Target="https://github.com/zwave-js/zwave-js/blob/master/.github/copilot-instructions.md" TargetMode="External"/><Relationship Id="rId396" Type="http://schemas.openxmlformats.org/officeDocument/2006/relationships/hyperlink" Target="https://github.com/dotnet/dotnet-api-docs/blob/main/.github/copilot-instructions.md" TargetMode="External"/><Relationship Id="rId256" Type="http://schemas.openxmlformats.org/officeDocument/2006/relationships/hyperlink" Target="https://github.com/julep-ai/julep/blob/main/AGENTS.md" TargetMode="External"/><Relationship Id="rId463" Type="http://schemas.openxmlformats.org/officeDocument/2006/relationships/hyperlink" Target="https://github.com/fukuball/jieba-php/blob/master/CLAUDE.md" TargetMode="External"/><Relationship Id="rId670" Type="http://schemas.openxmlformats.org/officeDocument/2006/relationships/hyperlink" Target="https://github.com/zwave-js/zwave-js/blob/master/.github/copilot-instructions.md" TargetMode="External"/><Relationship Id="rId1093" Type="http://schemas.openxmlformats.org/officeDocument/2006/relationships/hyperlink" Target="https://github.com/dotnet/runtime/blob/main/.github/copilot-instructions.md" TargetMode="External"/><Relationship Id="rId116" Type="http://schemas.openxmlformats.org/officeDocument/2006/relationships/hyperlink" Target="https://github.com/dotnet/runtime/blob/main/.github/copilot-instructions.md" TargetMode="External"/><Relationship Id="rId323" Type="http://schemas.openxmlformats.org/officeDocument/2006/relationships/hyperlink" Target="https://github.com/lfnovo/esperanto/blob/main/CLAUDE.md" TargetMode="External"/><Relationship Id="rId530" Type="http://schemas.openxmlformats.org/officeDocument/2006/relationships/hyperlink" Target="https://github.com/numbagg/numbagg/blob/main/CLAUDE.md" TargetMode="External"/><Relationship Id="rId768" Type="http://schemas.openxmlformats.org/officeDocument/2006/relationships/hyperlink" Target="https://github.com/cloudposse/atmos/blob/main/CLAUDE.md" TargetMode="External"/><Relationship Id="rId975" Type="http://schemas.openxmlformats.org/officeDocument/2006/relationships/hyperlink" Target="https://github.com/langfuse/langfuse/blob/main/AGENTS.md" TargetMode="External"/><Relationship Id="rId1160" Type="http://schemas.openxmlformats.org/officeDocument/2006/relationships/hyperlink" Target="https://github.com/zwave-js/zwave-js-ui/blob/master/.github/copilot-instructions.md" TargetMode="External"/><Relationship Id="rId1398" Type="http://schemas.openxmlformats.org/officeDocument/2006/relationships/hyperlink" Target="https://github.com/marin-community/marin/blob/main/AGENTS.md" TargetMode="External"/><Relationship Id="rId628" Type="http://schemas.openxmlformats.org/officeDocument/2006/relationships/hyperlink" Target="https://github.com/dotnet/docs-aspire/blob/main/.github/copilot-instructions.md" TargetMode="External"/><Relationship Id="rId835" Type="http://schemas.openxmlformats.org/officeDocument/2006/relationships/hyperlink" Target="https://github.com/home-assistant/frontend/blob/master/CLAUDE.md" TargetMode="External"/><Relationship Id="rId1258" Type="http://schemas.openxmlformats.org/officeDocument/2006/relationships/hyperlink" Target="https://github.com/wled/WLED/blob/main/.github/copilot-instructions.md" TargetMode="External"/><Relationship Id="rId1465" Type="http://schemas.openxmlformats.org/officeDocument/2006/relationships/hyperlink" Target="https://github.com/langchain-ai/langchain/blob/master/AGENTS.md" TargetMode="External"/><Relationship Id="rId1672" Type="http://schemas.openxmlformats.org/officeDocument/2006/relationships/hyperlink" Target="https://github.com/luccahuguet/yazelix/blob/main/AGENTS.md" TargetMode="External"/><Relationship Id="rId1020" Type="http://schemas.openxmlformats.org/officeDocument/2006/relationships/hyperlink" Target="https://github.com/rainbow-me/rainbowkit/blob/main/AGENTS.md" TargetMode="External"/><Relationship Id="rId1118" Type="http://schemas.openxmlformats.org/officeDocument/2006/relationships/hyperlink" Target="https://github.com/james-gould/azure-keyvault-emulator/blob/master/.github/copilot-instructions.md" TargetMode="External"/><Relationship Id="rId1325" Type="http://schemas.openxmlformats.org/officeDocument/2006/relationships/hyperlink" Target="https://github.com/lightdash/lightdash/blob/main/CLAUDE.md" TargetMode="External"/><Relationship Id="rId1532" Type="http://schemas.openxmlformats.org/officeDocument/2006/relationships/hyperlink" Target="https://github.com/colinhacks/zod/blob/main/CLAUDE.md" TargetMode="External"/><Relationship Id="rId902" Type="http://schemas.openxmlformats.org/officeDocument/2006/relationships/hyperlink" Target="https://github.com/RchGrav/claudebox/blob/main/CLAUDE.md" TargetMode="External"/><Relationship Id="rId1837" Type="http://schemas.openxmlformats.org/officeDocument/2006/relationships/hyperlink" Target="https://github.com/Significant-Gravitas/AutoGPT/blob/master/.github/copilot-instructions.md" TargetMode="External"/><Relationship Id="rId31" Type="http://schemas.openxmlformats.org/officeDocument/2006/relationships/hyperlink" Target="https://github.com/public-ui/kolibri/blob/master/AGENTS.md" TargetMode="External"/><Relationship Id="rId180" Type="http://schemas.openxmlformats.org/officeDocument/2006/relationships/hyperlink" Target="https://github.com/vczh-libraries/GacUI/blob/master/.github/copilot-instructions.md" TargetMode="External"/><Relationship Id="rId278" Type="http://schemas.openxmlformats.org/officeDocument/2006/relationships/hyperlink" Target="https://github.com/browser-use/browser-use/blob/main/CLAUDE.md" TargetMode="External"/><Relationship Id="rId1904" Type="http://schemas.openxmlformats.org/officeDocument/2006/relationships/hyperlink" Target="https://github.com/CapSoftware/Cap/blob/main/AGENTS.md" TargetMode="External"/><Relationship Id="rId485" Type="http://schemas.openxmlformats.org/officeDocument/2006/relationships/hyperlink" Target="https://github.com/BerriAI/litellm/blob/main/CLAUDE.md" TargetMode="External"/><Relationship Id="rId692" Type="http://schemas.openxmlformats.org/officeDocument/2006/relationships/hyperlink" Target="https://github.com/Pipelex/pipelex/blob/main/CLAUDE.md" TargetMode="External"/><Relationship Id="rId138" Type="http://schemas.openxmlformats.org/officeDocument/2006/relationships/hyperlink" Target="https://github.com/NG-ZORRO/ng-zorro-antd/blob/master/.github/copilot-instructions.md" TargetMode="External"/><Relationship Id="rId345" Type="http://schemas.openxmlformats.org/officeDocument/2006/relationships/hyperlink" Target="https://github.com/safety-research/safety-tooling/blob/main/CLAUDE.md" TargetMode="External"/><Relationship Id="rId552" Type="http://schemas.openxmlformats.org/officeDocument/2006/relationships/hyperlink" Target="https://github.com/RchGrav/claudebox/blob/main/CLAUDE.md" TargetMode="External"/><Relationship Id="rId997" Type="http://schemas.openxmlformats.org/officeDocument/2006/relationships/hyperlink" Target="https://github.com/Pipelex/pipelex/blob/main/AGENTS.md" TargetMode="External"/><Relationship Id="rId1182" Type="http://schemas.openxmlformats.org/officeDocument/2006/relationships/hyperlink" Target="https://github.com/github/gh-gei/blob/main/.github/copilot-instructions.md" TargetMode="External"/><Relationship Id="rId205" Type="http://schemas.openxmlformats.org/officeDocument/2006/relationships/hyperlink" Target="https://github.com/CapSoftware/Cap/blob/main/CLAUDE.md" TargetMode="External"/><Relationship Id="rId412" Type="http://schemas.openxmlformats.org/officeDocument/2006/relationships/hyperlink" Target="https://github.com/microsoft/GSL/blob/main/.github/copilot-instructions.md" TargetMode="External"/><Relationship Id="rId857" Type="http://schemas.openxmlformats.org/officeDocument/2006/relationships/hyperlink" Target="https://github.com/netlify/cli/blob/main/CLAUDE.md" TargetMode="External"/><Relationship Id="rId1042" Type="http://schemas.openxmlformats.org/officeDocument/2006/relationships/hyperlink" Target="https://github.com/alandtse/alexa_media_player/blob/master/.github/copilot-instructions.md" TargetMode="External"/><Relationship Id="rId1487" Type="http://schemas.openxmlformats.org/officeDocument/2006/relationships/hyperlink" Target="https://github.com/mixpanel/mixpanel-android/blob/master/AGENTS.md" TargetMode="External"/><Relationship Id="rId1694" Type="http://schemas.openxmlformats.org/officeDocument/2006/relationships/hyperlink" Target="https://github.com/useautumn/autumn/blob/main/AGENTS.md" TargetMode="External"/><Relationship Id="rId717" Type="http://schemas.openxmlformats.org/officeDocument/2006/relationships/hyperlink" Target="https://github.com/abh/ntppool/blob/main/CLAUDE.md" TargetMode="External"/><Relationship Id="rId924" Type="http://schemas.openxmlformats.org/officeDocument/2006/relationships/hyperlink" Target="https://github.com/theopenco/llmgateway/blob/main/CLAUDE.md" TargetMode="External"/><Relationship Id="rId1347" Type="http://schemas.openxmlformats.org/officeDocument/2006/relationships/hyperlink" Target="https://github.com/RchGrav/claudebox/blob/main/CLAUDE.md" TargetMode="External"/><Relationship Id="rId1554" Type="http://schemas.openxmlformats.org/officeDocument/2006/relationships/hyperlink" Target="https://github.com/Expensify/App/blob/main/CLAUDE.md" TargetMode="External"/><Relationship Id="rId1761" Type="http://schemas.openxmlformats.org/officeDocument/2006/relationships/hyperlink" Target="https://github.com/Azure/LogicAppsUX/blob/main/CLAUDE.md" TargetMode="External"/><Relationship Id="rId53" Type="http://schemas.openxmlformats.org/officeDocument/2006/relationships/hyperlink" Target="https://github.com/rocketship-ai/rocketship/blob/main/AGENTS.md" TargetMode="External"/><Relationship Id="rId1207" Type="http://schemas.openxmlformats.org/officeDocument/2006/relationships/hyperlink" Target="https://github.com/BerriAI/litellm/blob/main/CLAUDE.md" TargetMode="External"/><Relationship Id="rId1414" Type="http://schemas.openxmlformats.org/officeDocument/2006/relationships/hyperlink" Target="https://github.com/owid/etl/blob/master/AGENTS.md" TargetMode="External"/><Relationship Id="rId1621" Type="http://schemas.openxmlformats.org/officeDocument/2006/relationships/hyperlink" Target="https://github.com/tphakala/birdnet-go/blob/main/CLAUDE.md" TargetMode="External"/><Relationship Id="rId1859" Type="http://schemas.openxmlformats.org/officeDocument/2006/relationships/hyperlink" Target="https://github.com/JuliaBesties/BestieTemplate.jl/blob/main/CLAUDE.md" TargetMode="External"/><Relationship Id="rId1719" Type="http://schemas.openxmlformats.org/officeDocument/2006/relationships/hyperlink" Target="https://github.com/kubefleet-dev/kubefleet/blob/main/.github/copilot-instructions.md" TargetMode="External"/><Relationship Id="rId1926" Type="http://schemas.openxmlformats.org/officeDocument/2006/relationships/hyperlink" Target="https://github.com/xlnfinance/xln/blob/main/CLAUDE.md" TargetMode="External"/><Relationship Id="rId367" Type="http://schemas.openxmlformats.org/officeDocument/2006/relationships/hyperlink" Target="https://github.com/Pipelex/pipelex/blob/main/AGENTS.md" TargetMode="External"/><Relationship Id="rId574" Type="http://schemas.openxmlformats.org/officeDocument/2006/relationships/hyperlink" Target="https://github.com/truenas/webui/blob/master/CLAUDE.md" TargetMode="External"/><Relationship Id="rId227" Type="http://schemas.openxmlformats.org/officeDocument/2006/relationships/hyperlink" Target="https://github.com/netdata/netdata/blob/master/CLAUDE.md" TargetMode="External"/><Relationship Id="rId781" Type="http://schemas.openxmlformats.org/officeDocument/2006/relationships/hyperlink" Target="https://github.com/compiler-explorer/compiler-explorer/blob/main/CLAUDE.md" TargetMode="External"/><Relationship Id="rId879" Type="http://schemas.openxmlformats.org/officeDocument/2006/relationships/hyperlink" Target="https://github.com/owid/etl/blob/master/CLAUDE.md" TargetMode="External"/><Relationship Id="rId434" Type="http://schemas.openxmlformats.org/officeDocument/2006/relationships/hyperlink" Target="https://github.com/paradigmxyz/reth/blob/main/CLAUDE.md" TargetMode="External"/><Relationship Id="rId641" Type="http://schemas.openxmlformats.org/officeDocument/2006/relationships/hyperlink" Target="https://github.com/microsoft/ApplicationInsights-JS/blob/main/.github/copilot-instructions.md" TargetMode="External"/><Relationship Id="rId739" Type="http://schemas.openxmlformats.org/officeDocument/2006/relationships/hyperlink" Target="https://github.com/BerriAI/litellm/blob/main/CLAUDE.md" TargetMode="External"/><Relationship Id="rId1064" Type="http://schemas.openxmlformats.org/officeDocument/2006/relationships/hyperlink" Target="https://github.com/Azure/autorest.typescript/blob/main/.github/copilot-instructions.md" TargetMode="External"/><Relationship Id="rId1271" Type="http://schemas.openxmlformats.org/officeDocument/2006/relationships/hyperlink" Target="https://github.com/safety-research/safety-tooling/blob/main/CLAUDE.md" TargetMode="External"/><Relationship Id="rId1369" Type="http://schemas.openxmlformats.org/officeDocument/2006/relationships/hyperlink" Target="https://github.com/CapSoftware/Cap/blob/main/AGENTS.md" TargetMode="External"/><Relationship Id="rId1576" Type="http://schemas.openxmlformats.org/officeDocument/2006/relationships/hyperlink" Target="https://github.com/JuliaBesties/BestieTemplate.jl/blob/main/CLAUDE.md" TargetMode="External"/><Relationship Id="rId501" Type="http://schemas.openxmlformats.org/officeDocument/2006/relationships/hyperlink" Target="https://github.com/dailydotdev/apps/blob/main/CLAUDE.md" TargetMode="External"/><Relationship Id="rId946" Type="http://schemas.openxmlformats.org/officeDocument/2006/relationships/hyperlink" Target="https://github.com/zenml-io/zenml/blob/main/CLAUDE.md" TargetMode="External"/><Relationship Id="rId1131" Type="http://schemas.openxmlformats.org/officeDocument/2006/relationships/hyperlink" Target="https://github.com/microsoft/typespec/blob/main/.github/copilot-instructions.md" TargetMode="External"/><Relationship Id="rId1229" Type="http://schemas.openxmlformats.org/officeDocument/2006/relationships/hyperlink" Target="https://github.com/BerriAI/litellm/blob/main/CLAUDE.md" TargetMode="External"/><Relationship Id="rId1783" Type="http://schemas.openxmlformats.org/officeDocument/2006/relationships/hyperlink" Target="https://github.com/owid/etl/blob/master/CLAUDE.md" TargetMode="External"/><Relationship Id="rId75" Type="http://schemas.openxmlformats.org/officeDocument/2006/relationships/hyperlink" Target="https://github.com/wandb/weave/blob/master/AGENTS.md" TargetMode="External"/><Relationship Id="rId806" Type="http://schemas.openxmlformats.org/officeDocument/2006/relationships/hyperlink" Target="https://github.com/FastLED/FastLED/blob/master/CLAUDE.md" TargetMode="External"/><Relationship Id="rId1436" Type="http://schemas.openxmlformats.org/officeDocument/2006/relationships/hyperlink" Target="https://github.com/wieslawsoltes/Xaml.Behaviors/blob/master/AGENTS.md" TargetMode="External"/><Relationship Id="rId1643" Type="http://schemas.openxmlformats.org/officeDocument/2006/relationships/hyperlink" Target="https://github.com/zenml-io/zenml/blob/main/CLAUDE.md" TargetMode="External"/><Relationship Id="rId1850" Type="http://schemas.openxmlformats.org/officeDocument/2006/relationships/hyperlink" Target="https://github.com/compiler-explorer/infra/blob/main/CLAUDE.md" TargetMode="External"/><Relationship Id="rId1503" Type="http://schemas.openxmlformats.org/officeDocument/2006/relationships/hyperlink" Target="https://github.com/abh/ntppool/blob/main/CLAUDE.md" TargetMode="External"/><Relationship Id="rId1710" Type="http://schemas.openxmlformats.org/officeDocument/2006/relationships/hyperlink" Target="https://github.com/dotnet/maui/blob/main/.github/copilot-instructions.md" TargetMode="External"/><Relationship Id="rId291" Type="http://schemas.openxmlformats.org/officeDocument/2006/relationships/hyperlink" Target="https://github.com/colinhacks/zod/blob/main/CLAUDE.md" TargetMode="External"/><Relationship Id="rId1808" Type="http://schemas.openxmlformats.org/officeDocument/2006/relationships/hyperlink" Target="https://github.com/lollipopkit/flutter_server_box/blob/main/CLAUDE.md" TargetMode="External"/><Relationship Id="rId151" Type="http://schemas.openxmlformats.org/officeDocument/2006/relationships/hyperlink" Target="https://github.com/sarchlab/akita/blob/main/.github/copilot-instructions.md" TargetMode="External"/><Relationship Id="rId389" Type="http://schemas.openxmlformats.org/officeDocument/2006/relationships/hyperlink" Target="https://github.com/zenml-io/zenml/blob/main/AGENTS.md" TargetMode="External"/><Relationship Id="rId596" Type="http://schemas.openxmlformats.org/officeDocument/2006/relationships/hyperlink" Target="https://github.com/luccahuguet/yazelix/blob/main/AGENTS.md" TargetMode="External"/><Relationship Id="rId249" Type="http://schemas.openxmlformats.org/officeDocument/2006/relationships/hyperlink" Target="https://github.com/Azure/autorest.typescript/blob/main/.github/copilot-instructions.md" TargetMode="External"/><Relationship Id="rId456" Type="http://schemas.openxmlformats.org/officeDocument/2006/relationships/hyperlink" Target="https://github.com/glu-lang/glu/blob/main/.github/copilot-instructions.md" TargetMode="External"/><Relationship Id="rId663" Type="http://schemas.openxmlformats.org/officeDocument/2006/relationships/hyperlink" Target="https://github.com/raycast/extensions/blob/main/.github/copilot-instructions.md" TargetMode="External"/><Relationship Id="rId870" Type="http://schemas.openxmlformats.org/officeDocument/2006/relationships/hyperlink" Target="https://github.com/open-metadata/OpenMetadata/blob/main/CLAUDE.md" TargetMode="External"/><Relationship Id="rId1086" Type="http://schemas.openxmlformats.org/officeDocument/2006/relationships/hyperlink" Target="https://github.com/collinbarrett/FilterLists/blob/main/.github/copilot-instructions.md" TargetMode="External"/><Relationship Id="rId1293" Type="http://schemas.openxmlformats.org/officeDocument/2006/relationships/hyperlink" Target="https://github.com/compiler-explorer/compiler-explorer/blob/main/CLAUDE.md" TargetMode="External"/><Relationship Id="rId109" Type="http://schemas.openxmlformats.org/officeDocument/2006/relationships/hyperlink" Target="https://github.com/dotnet/maui/blob/main/.github/copilot-instructions.md" TargetMode="External"/><Relationship Id="rId316" Type="http://schemas.openxmlformats.org/officeDocument/2006/relationships/hyperlink" Target="https://github.com/home-assistant/frontend/blob/master/CLAUDE.md" TargetMode="External"/><Relationship Id="rId523" Type="http://schemas.openxmlformats.org/officeDocument/2006/relationships/hyperlink" Target="https://github.com/liam-hq/liam/blob/main/CLAUDE.md" TargetMode="External"/><Relationship Id="rId968" Type="http://schemas.openxmlformats.org/officeDocument/2006/relationships/hyperlink" Target="https://github.com/DataDog/datadog-agent/blob/main/AGENTS.md" TargetMode="External"/><Relationship Id="rId1153" Type="http://schemas.openxmlformats.org/officeDocument/2006/relationships/hyperlink" Target="https://github.com/sybrew/the-seo-framework/blob/master/.github/copilot-instructions.md" TargetMode="External"/><Relationship Id="rId1598" Type="http://schemas.openxmlformats.org/officeDocument/2006/relationships/hyperlink" Target="https://github.com/open-metadata/OpenMetadata/blob/main/CLAUDE.md" TargetMode="External"/><Relationship Id="rId97" Type="http://schemas.openxmlformats.org/officeDocument/2006/relationships/hyperlink" Target="https://github.com/Azure/azure-rest-api-specs/blob/main/.github/copilot-instructions.md" TargetMode="External"/><Relationship Id="rId730" Type="http://schemas.openxmlformats.org/officeDocument/2006/relationships/hyperlink" Target="https://github.com/anyproto/anytype-swift/blob/main/CLAUDE.md" TargetMode="External"/><Relationship Id="rId828" Type="http://schemas.openxmlformats.org/officeDocument/2006/relationships/hyperlink" Target="https://github.com/getsentry/sentry-javascript/blob/master/CLAUDE.md" TargetMode="External"/><Relationship Id="rId1013" Type="http://schemas.openxmlformats.org/officeDocument/2006/relationships/hyperlink" Target="https://github.com/python-cachier/cachier/blob/master/AGENTS.md" TargetMode="External"/><Relationship Id="rId1360" Type="http://schemas.openxmlformats.org/officeDocument/2006/relationships/hyperlink" Target="https://github.com/zed-industries/zed/blob/main/CLAUDE.md" TargetMode="External"/><Relationship Id="rId1458" Type="http://schemas.openxmlformats.org/officeDocument/2006/relationships/hyperlink" Target="https://github.com/raycast/extensions/blob/main/.github/copilot-instructions.md" TargetMode="External"/><Relationship Id="rId1665" Type="http://schemas.openxmlformats.org/officeDocument/2006/relationships/hyperlink" Target="https://github.com/Kiln-AI/Kiln/blob/main/AGENTS.md" TargetMode="External"/><Relationship Id="rId1872" Type="http://schemas.openxmlformats.org/officeDocument/2006/relationships/hyperlink" Target="https://github.com/gitkraken/vscode-gitlens/blob/main/AGENTS.md" TargetMode="External"/><Relationship Id="rId1220" Type="http://schemas.openxmlformats.org/officeDocument/2006/relationships/hyperlink" Target="https://github.com/Freika/dawarich/blob/master/CLAUDE.md" TargetMode="External"/><Relationship Id="rId1318" Type="http://schemas.openxmlformats.org/officeDocument/2006/relationships/hyperlink" Target="https://github.com/kubetail-org/kubetail/blob/main/CLAUDE.md" TargetMode="External"/><Relationship Id="rId1525" Type="http://schemas.openxmlformats.org/officeDocument/2006/relationships/hyperlink" Target="https://github.com/CapSoftware/Cap/blob/main/CLAUDE.md" TargetMode="External"/><Relationship Id="rId1732" Type="http://schemas.openxmlformats.org/officeDocument/2006/relationships/hyperlink" Target="https://github.com/owncast/owncast/blob/master/.github/copilot-instructions.md" TargetMode="External"/><Relationship Id="rId24" Type="http://schemas.openxmlformats.org/officeDocument/2006/relationships/hyperlink" Target="https://github.com/PrairieLearn/PrairieLearn/blob/master/AGENTS.md" TargetMode="External"/><Relationship Id="rId173" Type="http://schemas.openxmlformats.org/officeDocument/2006/relationships/hyperlink" Target="https://github.com/sybrew/the-seo-framework/blob/master/.github/copilot-instructions.md" TargetMode="External"/><Relationship Id="rId380" Type="http://schemas.openxmlformats.org/officeDocument/2006/relationships/hyperlink" Target="https://github.com/pytorch/pytorch/blob/main/AGENTS.md" TargetMode="External"/><Relationship Id="rId240" Type="http://schemas.openxmlformats.org/officeDocument/2006/relationships/hyperlink" Target="https://github.com/vczh-libraries/GacUI/blob/master/.github/copilot-instructions.md" TargetMode="External"/><Relationship Id="rId478" Type="http://schemas.openxmlformats.org/officeDocument/2006/relationships/hyperlink" Target="https://github.com/angular-eslint/angular-eslint/blob/main/CLAUDE.md" TargetMode="External"/><Relationship Id="rId685" Type="http://schemas.openxmlformats.org/officeDocument/2006/relationships/hyperlink" Target="https://github.com/compiler-explorer/compiler-explorer/blob/main/CLAUDE.md" TargetMode="External"/><Relationship Id="rId892" Type="http://schemas.openxmlformats.org/officeDocument/2006/relationships/hyperlink" Target="https://github.com/Pipelex/pipelex/blob/main/CLAUDE.md" TargetMode="External"/><Relationship Id="rId100" Type="http://schemas.openxmlformats.org/officeDocument/2006/relationships/hyperlink" Target="https://github.com/christianhelle/apiclientcodegen/blob/master/.github/copilot-instructions.md" TargetMode="External"/><Relationship Id="rId338" Type="http://schemas.openxmlformats.org/officeDocument/2006/relationships/hyperlink" Target="https://github.com/Pipelex/pipelex/blob/main/CLAUDE.md" TargetMode="External"/><Relationship Id="rId545" Type="http://schemas.openxmlformats.org/officeDocument/2006/relationships/hyperlink" Target="https://github.com/PrefectHQ/marvin/blob/main/CLAUDE.md" TargetMode="External"/><Relationship Id="rId752" Type="http://schemas.openxmlformats.org/officeDocument/2006/relationships/hyperlink" Target="https://github.com/CapSoftware/Cap/blob/main/CLAUDE.md" TargetMode="External"/><Relationship Id="rId1175" Type="http://schemas.openxmlformats.org/officeDocument/2006/relationships/hyperlink" Target="https://github.com/luccahuguet/yazelix/blob/main/AGENTS.md" TargetMode="External"/><Relationship Id="rId1382" Type="http://schemas.openxmlformats.org/officeDocument/2006/relationships/hyperlink" Target="https://github.com/janbjorge/pgqueuer/blob/main/AGENTS.md" TargetMode="External"/><Relationship Id="rId405" Type="http://schemas.openxmlformats.org/officeDocument/2006/relationships/hyperlink" Target="https://github.com/friendsofhyperf/components/blob/main/.github/copilot-instructions.md" TargetMode="External"/><Relationship Id="rId612" Type="http://schemas.openxmlformats.org/officeDocument/2006/relationships/hyperlink" Target="https://github.com/seasonedcc/remix-forms/blob/main/AGENTS.md" TargetMode="External"/><Relationship Id="rId1035" Type="http://schemas.openxmlformats.org/officeDocument/2006/relationships/hyperlink" Target="https://github.com/webgptorg/promptbook/blob/main/AGENTS.md" TargetMode="External"/><Relationship Id="rId1242" Type="http://schemas.openxmlformats.org/officeDocument/2006/relationships/hyperlink" Target="https://github.com/Agoric/agoric-sdk/blob/master/AGENTS.md" TargetMode="External"/><Relationship Id="rId1687" Type="http://schemas.openxmlformats.org/officeDocument/2006/relationships/hyperlink" Target="https://github.com/Pipelex/pipelex/blob/main/AGENTS.md" TargetMode="External"/><Relationship Id="rId1894" Type="http://schemas.openxmlformats.org/officeDocument/2006/relationships/hyperlink" Target="https://github.com/Azure/AgentBaker/blob/main/.github/copilot-instructions.md" TargetMode="External"/><Relationship Id="rId917" Type="http://schemas.openxmlformats.org/officeDocument/2006/relationships/hyperlink" Target="https://github.com/Southclaws/storyden/blob/main/CLAUDE.md" TargetMode="External"/><Relationship Id="rId1102" Type="http://schemas.openxmlformats.org/officeDocument/2006/relationships/hyperlink" Target="https://github.com/geneontology/go-ontology/blob/master/.github/copilot-instructions.md" TargetMode="External"/><Relationship Id="rId1547" Type="http://schemas.openxmlformats.org/officeDocument/2006/relationships/hyperlink" Target="https://github.com/dotCMS/core/blob/main/CLAUDE.md" TargetMode="External"/><Relationship Id="rId1754" Type="http://schemas.openxmlformats.org/officeDocument/2006/relationships/hyperlink" Target="https://github.com/saleor/saleor/blob/main/CLAUDE.md" TargetMode="External"/><Relationship Id="rId46" Type="http://schemas.openxmlformats.org/officeDocument/2006/relationships/hyperlink" Target="https://github.com/Rello/analytics/blob/master/AGENTS.md" TargetMode="External"/><Relationship Id="rId1407" Type="http://schemas.openxmlformats.org/officeDocument/2006/relationships/hyperlink" Target="https://github.com/microsoft/mcp-dotnet-samples/blob/main/AGENTS.md" TargetMode="External"/><Relationship Id="rId1614" Type="http://schemas.openxmlformats.org/officeDocument/2006/relationships/hyperlink" Target="https://github.com/PrefectHQ/marvin/blob/main/CLAUDE.md" TargetMode="External"/><Relationship Id="rId1821" Type="http://schemas.openxmlformats.org/officeDocument/2006/relationships/hyperlink" Target="https://github.com/Azure/autorest.typescript/blob/main/.github/copilot-instructions.md" TargetMode="External"/><Relationship Id="rId195" Type="http://schemas.openxmlformats.org/officeDocument/2006/relationships/hyperlink" Target="https://github.com/RchGrav/claudebox/blob/main/CLAUDE.md" TargetMode="External"/><Relationship Id="rId1919" Type="http://schemas.openxmlformats.org/officeDocument/2006/relationships/hyperlink" Target="https://github.com/Pipelex/pipelex/blob/main/AGENTS.md" TargetMode="External"/><Relationship Id="rId262" Type="http://schemas.openxmlformats.org/officeDocument/2006/relationships/hyperlink" Target="https://github.com/SparkDevNetwork/Rock/blob/master/.github/copilot-instructions.md" TargetMode="External"/><Relationship Id="rId567" Type="http://schemas.openxmlformats.org/officeDocument/2006/relationships/hyperlink" Target="https://github.com/tphakala/birdnet-go/blob/main/CLAUDE.md" TargetMode="External"/><Relationship Id="rId1197" Type="http://schemas.openxmlformats.org/officeDocument/2006/relationships/hyperlink" Target="https://github.com/cloudposse/atmos/blob/main/CLAUDE.md" TargetMode="External"/><Relationship Id="rId122" Type="http://schemas.openxmlformats.org/officeDocument/2006/relationships/hyperlink" Target="https://github.com/HotCakeX/Harden-Windows-Security/blob/main/.github/copilot-instructions.md" TargetMode="External"/><Relationship Id="rId774" Type="http://schemas.openxmlformats.org/officeDocument/2006/relationships/hyperlink" Target="https://github.com/coder/coder/blob/main/CLAUDE.md" TargetMode="External"/><Relationship Id="rId981" Type="http://schemas.openxmlformats.org/officeDocument/2006/relationships/hyperlink" Target="https://github.com/luccahuguet/yazelix/blob/main/AGENTS.md" TargetMode="External"/><Relationship Id="rId1057" Type="http://schemas.openxmlformats.org/officeDocument/2006/relationships/hyperlink" Target="https://github.com/ast-grep/ast-grep/blob/main/.github/copilot-instructions.md" TargetMode="External"/><Relationship Id="rId427" Type="http://schemas.openxmlformats.org/officeDocument/2006/relationships/hyperlink" Target="https://github.com/paradigmxyz/reth/blob/main/CLAUDE.md" TargetMode="External"/><Relationship Id="rId634" Type="http://schemas.openxmlformats.org/officeDocument/2006/relationships/hyperlink" Target="https://github.com/dotnet/runtime/blob/main/.github/copilot-instructions.md" TargetMode="External"/><Relationship Id="rId841" Type="http://schemas.openxmlformats.org/officeDocument/2006/relationships/hyperlink" Target="https://github.com/lfnovo/esperanto/blob/main/CLAUDE.md" TargetMode="External"/><Relationship Id="rId1264" Type="http://schemas.openxmlformats.org/officeDocument/2006/relationships/hyperlink" Target="https://github.com/cloudposse/atmos/blob/main/CLAUDE.md" TargetMode="External"/><Relationship Id="rId1471" Type="http://schemas.openxmlformats.org/officeDocument/2006/relationships/hyperlink" Target="https://github.com/dropseed/plain/blob/main/CLAUDE.md" TargetMode="External"/><Relationship Id="rId1569" Type="http://schemas.openxmlformats.org/officeDocument/2006/relationships/hyperlink" Target="https://github.com/gojiplus/tuber/blob/master/CLAUDE.md" TargetMode="External"/><Relationship Id="rId701" Type="http://schemas.openxmlformats.org/officeDocument/2006/relationships/hyperlink" Target="https://github.com/dotnet/runtime/blob/main/.github/copilot-instructions.md" TargetMode="External"/><Relationship Id="rId939" Type="http://schemas.openxmlformats.org/officeDocument/2006/relationships/hyperlink" Target="https://github.com/xlnfinance/xln/blob/main/CLAUDE.md" TargetMode="External"/><Relationship Id="rId1124" Type="http://schemas.openxmlformats.org/officeDocument/2006/relationships/hyperlink" Target="https://github.com/microsoft/FluidFramework/blob/main/.github/copilot-instructions.md" TargetMode="External"/><Relationship Id="rId1331" Type="http://schemas.openxmlformats.org/officeDocument/2006/relationships/hyperlink" Target="https://github.com/open-metadata/OpenMetadata/blob/main/CLAUDE.md" TargetMode="External"/><Relationship Id="rId1776" Type="http://schemas.openxmlformats.org/officeDocument/2006/relationships/hyperlink" Target="https://github.com/raycast/extensions/blob/main/.github/copilot-instructions.md" TargetMode="External"/><Relationship Id="rId68" Type="http://schemas.openxmlformats.org/officeDocument/2006/relationships/hyperlink" Target="https://github.com/theopenco/llmgateway/blob/main/AGENTS.md" TargetMode="External"/><Relationship Id="rId1429" Type="http://schemas.openxmlformats.org/officeDocument/2006/relationships/hyperlink" Target="https://github.com/useautumn/autumn/blob/main/AGENTS.md" TargetMode="External"/><Relationship Id="rId1636" Type="http://schemas.openxmlformats.org/officeDocument/2006/relationships/hyperlink" Target="https://github.com/wvlet/airframe/blob/main/CLAUDE.md" TargetMode="External"/><Relationship Id="rId1843" Type="http://schemas.openxmlformats.org/officeDocument/2006/relationships/hyperlink" Target="https://github.com/CapSoftware/Cap/blob/main/CLAUDE.md" TargetMode="External"/><Relationship Id="rId1703" Type="http://schemas.openxmlformats.org/officeDocument/2006/relationships/hyperlink" Target="https://github.com/Azure/fleet/blob/main/.github/copilot-instructions.md" TargetMode="External"/><Relationship Id="rId1910" Type="http://schemas.openxmlformats.org/officeDocument/2006/relationships/hyperlink" Target="https://github.com/sybrew/the-seo-framework/blob/master/.github/copilot-instructions.md" TargetMode="External"/><Relationship Id="rId284" Type="http://schemas.openxmlformats.org/officeDocument/2006/relationships/hyperlink" Target="https://github.com/coder/coder/blob/main/CLAUDE.md" TargetMode="External"/><Relationship Id="rId491" Type="http://schemas.openxmlformats.org/officeDocument/2006/relationships/hyperlink" Target="https://github.com/CapSoftware/Cap/blob/main/CLAUDE.md" TargetMode="External"/><Relationship Id="rId144" Type="http://schemas.openxmlformats.org/officeDocument/2006/relationships/hyperlink" Target="https://github.com/owid/owid-grapher/blob/master/.github/copilot-instructions.md" TargetMode="External"/><Relationship Id="rId589" Type="http://schemas.openxmlformats.org/officeDocument/2006/relationships/hyperlink" Target="https://github.com/julep-ai/julep/blob/main/AGENTS.md" TargetMode="External"/><Relationship Id="rId796" Type="http://schemas.openxmlformats.org/officeDocument/2006/relationships/hyperlink" Target="https://github.com/dymensionxyz/dymension/blob/main/CLAUDE.md" TargetMode="External"/><Relationship Id="rId351" Type="http://schemas.openxmlformats.org/officeDocument/2006/relationships/hyperlink" Target="https://github.com/vaadin/flow/blob/main/CLAUDE.md" TargetMode="External"/><Relationship Id="rId449" Type="http://schemas.openxmlformats.org/officeDocument/2006/relationships/hyperlink" Target="https://github.com/dotnet/aspnetcore/blob/main/.github/copilot-instructions.md" TargetMode="External"/><Relationship Id="rId656" Type="http://schemas.openxmlformats.org/officeDocument/2006/relationships/hyperlink" Target="https://github.com/NG-ZORRO/ng-zorro-antd/blob/master/.github/copilot-instructions.md" TargetMode="External"/><Relationship Id="rId863" Type="http://schemas.openxmlformats.org/officeDocument/2006/relationships/hyperlink" Target="https://github.com/OneKeyHQ/app-monorepo/blob/master/CLAUDE.md" TargetMode="External"/><Relationship Id="rId1079" Type="http://schemas.openxmlformats.org/officeDocument/2006/relationships/hyperlink" Target="https://github.com/christianhelle/apiclientcodegen/blob/master/.github/copilot-instructions.md" TargetMode="External"/><Relationship Id="rId1286" Type="http://schemas.openxmlformats.org/officeDocument/2006/relationships/hyperlink" Target="https://github.com/colinhacks/zod/blob/main/CLAUDE.md" TargetMode="External"/><Relationship Id="rId1493" Type="http://schemas.openxmlformats.org/officeDocument/2006/relationships/hyperlink" Target="https://github.com/mixpanel/mixpanel-android/blob/master/.github/copilot-instructions.md" TargetMode="External"/><Relationship Id="rId211" Type="http://schemas.openxmlformats.org/officeDocument/2006/relationships/hyperlink" Target="https://github.com/colinhacks/zod/blob/main/CLAUDE.md" TargetMode="External"/><Relationship Id="rId309" Type="http://schemas.openxmlformats.org/officeDocument/2006/relationships/hyperlink" Target="https://github.com/dailydotdev/apps/blob/main/CLAUDE.md" TargetMode="External"/><Relationship Id="rId516" Type="http://schemas.openxmlformats.org/officeDocument/2006/relationships/hyperlink" Target="https://github.com/ithacaxyz/account/blob/main/CLAUDE.md" TargetMode="External"/><Relationship Id="rId1146" Type="http://schemas.openxmlformats.org/officeDocument/2006/relationships/hyperlink" Target="https://github.com/sarchlab/akita/blob/main/.github/copilot-instructions.md" TargetMode="External"/><Relationship Id="rId1798" Type="http://schemas.openxmlformats.org/officeDocument/2006/relationships/hyperlink" Target="https://github.com/igraph/igraph/blob/main/.github/copilot-instructions.md" TargetMode="External"/><Relationship Id="rId723" Type="http://schemas.openxmlformats.org/officeDocument/2006/relationships/hyperlink" Target="https://github.com/abh/ntppool/blob/main/CLAUDE.md" TargetMode="External"/><Relationship Id="rId930" Type="http://schemas.openxmlformats.org/officeDocument/2006/relationships/hyperlink" Target="https://github.com/truenas/webui/blob/master/CLAUDE.md" TargetMode="External"/><Relationship Id="rId1006" Type="http://schemas.openxmlformats.org/officeDocument/2006/relationships/hyperlink" Target="https://github.com/proximafusion/vmecpp/blob/main/AGENTS.md" TargetMode="External"/><Relationship Id="rId1353" Type="http://schemas.openxmlformats.org/officeDocument/2006/relationships/hyperlink" Target="https://github.com/tphakala/birdnet-go/blob/main/CLAUDE.md" TargetMode="External"/><Relationship Id="rId1560" Type="http://schemas.openxmlformats.org/officeDocument/2006/relationships/hyperlink" Target="https://github.com/geneontology/go-ontology/blob/master/CLAUDE.md" TargetMode="External"/><Relationship Id="rId1658" Type="http://schemas.openxmlformats.org/officeDocument/2006/relationships/hyperlink" Target="https://github.com/janbjorge/pgqueuer/blob/main/AGENTS.md" TargetMode="External"/><Relationship Id="rId1865" Type="http://schemas.openxmlformats.org/officeDocument/2006/relationships/hyperlink" Target="https://github.com/pdfme/pdfme/blob/main/CLAUDE.md" TargetMode="External"/><Relationship Id="rId1213" Type="http://schemas.openxmlformats.org/officeDocument/2006/relationships/hyperlink" Target="https://github.com/collinbarrett/FilterLists/blob/main/.github/copilot-instructions.md" TargetMode="External"/><Relationship Id="rId1420" Type="http://schemas.openxmlformats.org/officeDocument/2006/relationships/hyperlink" Target="https://github.com/python-cachier/cachier/blob/master/AGENTS.md" TargetMode="External"/><Relationship Id="rId1518" Type="http://schemas.openxmlformats.org/officeDocument/2006/relationships/hyperlink" Target="https://github.com/Azure/LogicAppsUX/blob/main/CLAUDE.md" TargetMode="External"/><Relationship Id="rId1725" Type="http://schemas.openxmlformats.org/officeDocument/2006/relationships/hyperlink" Target="https://github.com/microsoft/react-native-windows/blob/main/.github/copilot-instructions.md" TargetMode="External"/><Relationship Id="rId1932" Type="http://schemas.openxmlformats.org/officeDocument/2006/relationships/hyperlink" Target="https://github.com/Pipelex/pipelex/blob/main/CLAUDE.md" TargetMode="External"/><Relationship Id="rId17" Type="http://schemas.openxmlformats.org/officeDocument/2006/relationships/hyperlink" Target="https://github.com/Pipelex/pipelex/blob/main/AGENTS.md" TargetMode="External"/><Relationship Id="rId166" Type="http://schemas.openxmlformats.org/officeDocument/2006/relationships/hyperlink" Target="https://github.com/sybrew/the-seo-framework/blob/master/.github/copilot-instructions.md" TargetMode="External"/><Relationship Id="rId373" Type="http://schemas.openxmlformats.org/officeDocument/2006/relationships/hyperlink" Target="https://github.com/PrairieLearn/PrairieLearn/blob/master/AGENTS.md" TargetMode="External"/><Relationship Id="rId580" Type="http://schemas.openxmlformats.org/officeDocument/2006/relationships/hyperlink" Target="https://github.com/zed-industries/zed/blob/main/CLAUDE.md" TargetMode="External"/><Relationship Id="rId1" Type="http://schemas.openxmlformats.org/officeDocument/2006/relationships/hyperlink" Target="https://github.com/marin-community/marin/blob/main/AGENTS.md" TargetMode="External"/><Relationship Id="rId233" Type="http://schemas.openxmlformats.org/officeDocument/2006/relationships/hyperlink" Target="https://github.com/rustfs/rustfs/blob/main/AGENTS.md" TargetMode="External"/><Relationship Id="rId440" Type="http://schemas.openxmlformats.org/officeDocument/2006/relationships/hyperlink" Target="https://github.com/geneontology/go-ontology/blob/master/CLAUDE.md" TargetMode="External"/><Relationship Id="rId678" Type="http://schemas.openxmlformats.org/officeDocument/2006/relationships/hyperlink" Target="https://github.com/BerriAI/litellm/blob/main/CLAUDE.md" TargetMode="External"/><Relationship Id="rId885" Type="http://schemas.openxmlformats.org/officeDocument/2006/relationships/hyperlink" Target="https://github.com/pannous/wasp/blob/main/CLAUDE.md" TargetMode="External"/><Relationship Id="rId1070" Type="http://schemas.openxmlformats.org/officeDocument/2006/relationships/hyperlink" Target="https://github.com/Azure/autorest.typescript/blob/main/.github/copilot-instructions.md" TargetMode="External"/><Relationship Id="rId300" Type="http://schemas.openxmlformats.org/officeDocument/2006/relationships/hyperlink" Target="https://github.com/Comfy-Org/comfy-claude-prompt-library/blob/master/CLAUDE.md" TargetMode="External"/><Relationship Id="rId538" Type="http://schemas.openxmlformats.org/officeDocument/2006/relationships/hyperlink" Target="https://github.com/open-metadata/OpenMetadata/blob/main/CLAUDE.md" TargetMode="External"/><Relationship Id="rId745" Type="http://schemas.openxmlformats.org/officeDocument/2006/relationships/hyperlink" Target="https://github.com/browser-use/browser-use/blob/main/CLAUDE.md" TargetMode="External"/><Relationship Id="rId952" Type="http://schemas.openxmlformats.org/officeDocument/2006/relationships/hyperlink" Target="https://github.com/biolink/biolink-model/blob/master/AGENTS.md" TargetMode="External"/><Relationship Id="rId1168" Type="http://schemas.openxmlformats.org/officeDocument/2006/relationships/hyperlink" Target="https://github.com/OneKeyHQ/app-monorepo/blob/master/CLAUDE.md" TargetMode="External"/><Relationship Id="rId1375" Type="http://schemas.openxmlformats.org/officeDocument/2006/relationships/hyperlink" Target="https://github.com/EduardoPires/EquinoxProject/blob/master/AGENTS.md" TargetMode="External"/><Relationship Id="rId1582" Type="http://schemas.openxmlformats.org/officeDocument/2006/relationships/hyperlink" Target="https://github.com/lgallard/terraform-aws-backup/blob/master/CLAUDE.md" TargetMode="External"/><Relationship Id="rId81" Type="http://schemas.openxmlformats.org/officeDocument/2006/relationships/hyperlink" Target="https://github.com/wieslawsoltes/Dock/blob/master/AGENTS.md" TargetMode="External"/><Relationship Id="rId605" Type="http://schemas.openxmlformats.org/officeDocument/2006/relationships/hyperlink" Target="https://github.com/PrairieLearn/PrairieLearn/blob/master/AGENTS.md" TargetMode="External"/><Relationship Id="rId812" Type="http://schemas.openxmlformats.org/officeDocument/2006/relationships/hyperlink" Target="https://github.com/geneontology/go-ontology/blob/master/CLAUDE.md" TargetMode="External"/><Relationship Id="rId1028" Type="http://schemas.openxmlformats.org/officeDocument/2006/relationships/hyperlink" Target="https://github.com/theopenco/llmgateway/blob/main/AGENTS.md" TargetMode="External"/><Relationship Id="rId1235" Type="http://schemas.openxmlformats.org/officeDocument/2006/relationships/hyperlink" Target="https://github.com/geneontology/go-ontology/blob/master/CLAUDE.md" TargetMode="External"/><Relationship Id="rId1442" Type="http://schemas.openxmlformats.org/officeDocument/2006/relationships/hyperlink" Target="https://github.com/zenml-io/zenml/blob/main/AGENTS.md" TargetMode="External"/><Relationship Id="rId1887" Type="http://schemas.openxmlformats.org/officeDocument/2006/relationships/hyperlink" Target="https://github.com/friendsofhyperf/components/blob/main/.github/copilot-instructions.md" TargetMode="External"/><Relationship Id="rId1302" Type="http://schemas.openxmlformats.org/officeDocument/2006/relationships/hyperlink" Target="https://github.com/Freika/dawarich/blob/master/CLAUDE.md" TargetMode="External"/><Relationship Id="rId1747" Type="http://schemas.openxmlformats.org/officeDocument/2006/relationships/hyperlink" Target="https://github.com/zwave-js/zwave-js-ui/blob/master/.github/copilot-instructions.md" TargetMode="External"/><Relationship Id="rId39" Type="http://schemas.openxmlformats.org/officeDocument/2006/relationships/hyperlink" Target="https://github.com/python-cachier/cachier/blob/master/AGENTS.md" TargetMode="External"/><Relationship Id="rId1607" Type="http://schemas.openxmlformats.org/officeDocument/2006/relationships/hyperlink" Target="https://github.com/open-metadata/OpenMetadata/blob/main/CLAUDE.md" TargetMode="External"/><Relationship Id="rId1814" Type="http://schemas.openxmlformats.org/officeDocument/2006/relationships/hyperlink" Target="https://github.com/luccahuguet/yazelix/blob/main/AGENTS.md" TargetMode="External"/><Relationship Id="rId188" Type="http://schemas.openxmlformats.org/officeDocument/2006/relationships/hyperlink" Target="https://github.com/zwave-js/zwave-js/blob/master/.github/copilot-instructions.md" TargetMode="External"/><Relationship Id="rId395" Type="http://schemas.openxmlformats.org/officeDocument/2006/relationships/hyperlink" Target="https://github.com/bbc/simorgh/blob/master/.github/copilot-instructions.md" TargetMode="External"/><Relationship Id="rId255" Type="http://schemas.openxmlformats.org/officeDocument/2006/relationships/hyperlink" Target="https://github.com/gitkraken/vscode-gitlens/blob/main/AGENTS.md" TargetMode="External"/><Relationship Id="rId462" Type="http://schemas.openxmlformats.org/officeDocument/2006/relationships/hyperlink" Target="https://github.com/Azure/autorest.typescript/blob/main/.github/copilot-instructions.md" TargetMode="External"/><Relationship Id="rId1092" Type="http://schemas.openxmlformats.org/officeDocument/2006/relationships/hyperlink" Target="https://github.com/dotnet/maui/blob/main/.github/copilot-instructions.md" TargetMode="External"/><Relationship Id="rId1397" Type="http://schemas.openxmlformats.org/officeDocument/2006/relationships/hyperlink" Target="https://github.com/marin-community/marin/blob/main/AGENTS.md" TargetMode="External"/><Relationship Id="rId115" Type="http://schemas.openxmlformats.org/officeDocument/2006/relationships/hyperlink" Target="https://github.com/dotnet/runtime/blob/main/.github/copilot-instructions.md" TargetMode="External"/><Relationship Id="rId322" Type="http://schemas.openxmlformats.org/officeDocument/2006/relationships/hyperlink" Target="https://github.com/lfnovo/esperanto/blob/main/CLAUDE.md" TargetMode="External"/><Relationship Id="rId767" Type="http://schemas.openxmlformats.org/officeDocument/2006/relationships/hyperlink" Target="https://github.com/cloudposse/atmos/blob/main/CLAUDE.md" TargetMode="External"/><Relationship Id="rId974" Type="http://schemas.openxmlformats.org/officeDocument/2006/relationships/hyperlink" Target="https://github.com/langfuse/langfuse/blob/main/AGENTS.md" TargetMode="External"/><Relationship Id="rId627" Type="http://schemas.openxmlformats.org/officeDocument/2006/relationships/hyperlink" Target="https://github.com/dotnet/docs-aspire/blob/main/.github/copilot-instructions.md" TargetMode="External"/><Relationship Id="rId834" Type="http://schemas.openxmlformats.org/officeDocument/2006/relationships/hyperlink" Target="https://github.com/home-assistant/frontend/blob/master/CLAUDE.md" TargetMode="External"/><Relationship Id="rId1257" Type="http://schemas.openxmlformats.org/officeDocument/2006/relationships/hyperlink" Target="https://github.com/J-Tech-Japan/Sekiban/blob/main/CLAUDE.md" TargetMode="External"/><Relationship Id="rId1464" Type="http://schemas.openxmlformats.org/officeDocument/2006/relationships/hyperlink" Target="https://github.com/twentyhq/twenty/blob/main/CLAUDE.md" TargetMode="External"/><Relationship Id="rId1671" Type="http://schemas.openxmlformats.org/officeDocument/2006/relationships/hyperlink" Target="https://github.com/luccahuguet/yazelix/blob/main/AGENTS.md" TargetMode="External"/><Relationship Id="rId901" Type="http://schemas.openxmlformats.org/officeDocument/2006/relationships/hyperlink" Target="https://github.com/qltysh/qlty/blob/main/CLAUDE.md" TargetMode="External"/><Relationship Id="rId1117" Type="http://schemas.openxmlformats.org/officeDocument/2006/relationships/hyperlink" Target="https://github.com/irihitech/Ursa.Avalonia/blob/main/.github/copilot-instructions.md" TargetMode="External"/><Relationship Id="rId1324" Type="http://schemas.openxmlformats.org/officeDocument/2006/relationships/hyperlink" Target="https://github.com/lgallard/terraform-aws-backup/blob/master/CLAUDE.md" TargetMode="External"/><Relationship Id="rId1531" Type="http://schemas.openxmlformats.org/officeDocument/2006/relationships/hyperlink" Target="https://github.com/colinhacks/zod/blob/main/CLAUDE.md" TargetMode="External"/><Relationship Id="rId1769" Type="http://schemas.openxmlformats.org/officeDocument/2006/relationships/hyperlink" Target="https://github.com/dotnet/java-interop/blob/main/.github/copilot-instructions.md" TargetMode="External"/><Relationship Id="rId30" Type="http://schemas.openxmlformats.org/officeDocument/2006/relationships/hyperlink" Target="https://github.com/public-ui/kolibri/blob/master/AGENTS.md" TargetMode="External"/><Relationship Id="rId1629" Type="http://schemas.openxmlformats.org/officeDocument/2006/relationships/hyperlink" Target="https://github.com/vaadin/flow/blob/main/CLAUDE.md" TargetMode="External"/><Relationship Id="rId1836" Type="http://schemas.openxmlformats.org/officeDocument/2006/relationships/hyperlink" Target="https://github.com/julep-ai/julep/blob/main/AGENTS.md" TargetMode="External"/><Relationship Id="rId1903" Type="http://schemas.openxmlformats.org/officeDocument/2006/relationships/hyperlink" Target="https://github.com/evmts/tevm-monorepo/blob/main/CLAUDE.md" TargetMode="External"/><Relationship Id="rId277" Type="http://schemas.openxmlformats.org/officeDocument/2006/relationships/hyperlink" Target="https://github.com/browser-use/browser-use/blob/main/CLAUDE.md" TargetMode="External"/><Relationship Id="rId484" Type="http://schemas.openxmlformats.org/officeDocument/2006/relationships/hyperlink" Target="https://github.com/berachain/beacon-kit/blob/main/CLAUDE.md" TargetMode="External"/><Relationship Id="rId137" Type="http://schemas.openxmlformats.org/officeDocument/2006/relationships/hyperlink" Target="https://github.com/NG-ZORRO/ng-zorro-antd/blob/master/.github/copilot-instructions.md" TargetMode="External"/><Relationship Id="rId344" Type="http://schemas.openxmlformats.org/officeDocument/2006/relationships/hyperlink" Target="https://github.com/safety-research/safety-tooling/blob/main/CLAUDE.md" TargetMode="External"/><Relationship Id="rId691" Type="http://schemas.openxmlformats.org/officeDocument/2006/relationships/hyperlink" Target="https://github.com/pannous/wasp/blob/main/CLAUDE.md" TargetMode="External"/><Relationship Id="rId789" Type="http://schemas.openxmlformats.org/officeDocument/2006/relationships/hyperlink" Target="https://github.com/dailydotdev/apps/blob/main/CLAUDE.md" TargetMode="External"/><Relationship Id="rId996" Type="http://schemas.openxmlformats.org/officeDocument/2006/relationships/hyperlink" Target="https://github.com/Pipelex/pipelex/blob/main/AGENTS.md" TargetMode="External"/><Relationship Id="rId551" Type="http://schemas.openxmlformats.org/officeDocument/2006/relationships/hyperlink" Target="https://github.com/RchGrav/claudebox/blob/main/CLAUDE.md" TargetMode="External"/><Relationship Id="rId649" Type="http://schemas.openxmlformats.org/officeDocument/2006/relationships/hyperlink" Target="https://github.com/microsoft/Olive/blob/main/.github/copilot-instructions.md" TargetMode="External"/><Relationship Id="rId856" Type="http://schemas.openxmlformats.org/officeDocument/2006/relationships/hyperlink" Target="https://github.com/netdata/netdata/blob/master/CLAUDE.md" TargetMode="External"/><Relationship Id="rId1181" Type="http://schemas.openxmlformats.org/officeDocument/2006/relationships/hyperlink" Target="https://github.com/stack-auth/stack-auth/blob/main/AGENTS.md" TargetMode="External"/><Relationship Id="rId1279" Type="http://schemas.openxmlformats.org/officeDocument/2006/relationships/hyperlink" Target="https://github.com/dotnet/runtime/blob/main/.github/copilot-instructions.md" TargetMode="External"/><Relationship Id="rId1486" Type="http://schemas.openxmlformats.org/officeDocument/2006/relationships/hyperlink" Target="https://github.com/logancyang/obsidian-copilot/blob/master/AGENTS.md" TargetMode="External"/><Relationship Id="rId204" Type="http://schemas.openxmlformats.org/officeDocument/2006/relationships/hyperlink" Target="https://github.com/dailydotdev/apps/blob/main/CLAUDE.md" TargetMode="External"/><Relationship Id="rId411" Type="http://schemas.openxmlformats.org/officeDocument/2006/relationships/hyperlink" Target="https://github.com/microsoft/ApplicationInsights-JS/blob/main/.github/copilot-instructions.md" TargetMode="External"/><Relationship Id="rId509" Type="http://schemas.openxmlformats.org/officeDocument/2006/relationships/hyperlink" Target="https://github.com/Freika/dawarich/blob/master/CLAUDE.md" TargetMode="External"/><Relationship Id="rId1041" Type="http://schemas.openxmlformats.org/officeDocument/2006/relationships/hyperlink" Target="https://github.com/zenml-io/zenml/blob/main/AGENTS.md" TargetMode="External"/><Relationship Id="rId1139" Type="http://schemas.openxmlformats.org/officeDocument/2006/relationships/hyperlink" Target="https://github.com/octgn/OCTGN/blob/master/.github/copilot-instructions.md" TargetMode="External"/><Relationship Id="rId1346" Type="http://schemas.openxmlformats.org/officeDocument/2006/relationships/hyperlink" Target="https://github.com/RchGrav/claudebox/blob/main/CLAUDE.md" TargetMode="External"/><Relationship Id="rId1693" Type="http://schemas.openxmlformats.org/officeDocument/2006/relationships/hyperlink" Target="https://github.com/useautumn/autumn/blob/main/AGENTS.md" TargetMode="External"/><Relationship Id="rId716" Type="http://schemas.openxmlformats.org/officeDocument/2006/relationships/hyperlink" Target="https://github.com/abh/ntppool/blob/main/CLAUDE.md" TargetMode="External"/><Relationship Id="rId923" Type="http://schemas.openxmlformats.org/officeDocument/2006/relationships/hyperlink" Target="https://github.com/theopenco/llmgateway/blob/main/CLAUDE.md" TargetMode="External"/><Relationship Id="rId1553" Type="http://schemas.openxmlformats.org/officeDocument/2006/relationships/hyperlink" Target="https://github.com/evmts/tevm-monorepo/blob/main/CLAUDE.md" TargetMode="External"/><Relationship Id="rId1760" Type="http://schemas.openxmlformats.org/officeDocument/2006/relationships/hyperlink" Target="https://github.com/dotnet/runtime/blob/main/.github/copilot-instructions.md" TargetMode="External"/><Relationship Id="rId1858" Type="http://schemas.openxmlformats.org/officeDocument/2006/relationships/hyperlink" Target="https://github.com/ithacaxyz/account/blob/main/CLAUDE.md" TargetMode="External"/><Relationship Id="rId52" Type="http://schemas.openxmlformats.org/officeDocument/2006/relationships/hyperlink" Target="https://github.com/rocketship-ai/rocketship/blob/main/AGENTS.md" TargetMode="External"/><Relationship Id="rId1206" Type="http://schemas.openxmlformats.org/officeDocument/2006/relationships/hyperlink" Target="https://github.com/BerriAI/litellm/blob/main/CLAUDE.md" TargetMode="External"/><Relationship Id="rId1413" Type="http://schemas.openxmlformats.org/officeDocument/2006/relationships/hyperlink" Target="https://github.com/owid/etl/blob/master/AGENTS.md" TargetMode="External"/><Relationship Id="rId1620" Type="http://schemas.openxmlformats.org/officeDocument/2006/relationships/hyperlink" Target="https://github.com/theopenco/llmgateway/blob/main/CLAUDE.md" TargetMode="External"/><Relationship Id="rId1718" Type="http://schemas.openxmlformats.org/officeDocument/2006/relationships/hyperlink" Target="https://github.com/glu-lang/glu/blob/main/.github/copilot-instructions.md" TargetMode="External"/><Relationship Id="rId1925" Type="http://schemas.openxmlformats.org/officeDocument/2006/relationships/hyperlink" Target="https://github.com/xlnfinance/xln/blob/main/CLAUDE.md" TargetMode="External"/><Relationship Id="rId299" Type="http://schemas.openxmlformats.org/officeDocument/2006/relationships/hyperlink" Target="https://github.com/Comfy-Org/comfy-claude-prompt-library/blob/master/CLAUDE.md" TargetMode="External"/><Relationship Id="rId159" Type="http://schemas.openxmlformats.org/officeDocument/2006/relationships/hyperlink" Target="https://github.com/SparkDevNetwork/Rock/blob/master/.github/copilot-instructions.md" TargetMode="External"/><Relationship Id="rId366" Type="http://schemas.openxmlformats.org/officeDocument/2006/relationships/hyperlink" Target="https://github.com/Pipelex/pipelex/blob/main/AGENTS.md" TargetMode="External"/><Relationship Id="rId573" Type="http://schemas.openxmlformats.org/officeDocument/2006/relationships/hyperlink" Target="https://github.com/truenas/webui/blob/master/CLAUDE.md" TargetMode="External"/><Relationship Id="rId780" Type="http://schemas.openxmlformats.org/officeDocument/2006/relationships/hyperlink" Target="https://github.com/Comfy-Org/comfy-claude-prompt-library/blob/master/CLAUDE.md" TargetMode="External"/><Relationship Id="rId226" Type="http://schemas.openxmlformats.org/officeDocument/2006/relationships/hyperlink" Target="https://github.com/lostleaf/binance_datatool/blob/main/CLAUDE.md" TargetMode="External"/><Relationship Id="rId433" Type="http://schemas.openxmlformats.org/officeDocument/2006/relationships/hyperlink" Target="https://github.com/dailydotdev/apps/blob/main/CLAUDE.md" TargetMode="External"/><Relationship Id="rId878" Type="http://schemas.openxmlformats.org/officeDocument/2006/relationships/hyperlink" Target="https://github.com/owid/etl/blob/master/CLAUDE.md" TargetMode="External"/><Relationship Id="rId1063" Type="http://schemas.openxmlformats.org/officeDocument/2006/relationships/hyperlink" Target="https://github.com/Azure/autorest.typescript/blob/main/.github/copilot-instructions.md" TargetMode="External"/><Relationship Id="rId1270" Type="http://schemas.openxmlformats.org/officeDocument/2006/relationships/hyperlink" Target="https://github.com/RchGrav/claudebox/blob/main/CLAUDE.md" TargetMode="External"/><Relationship Id="rId640" Type="http://schemas.openxmlformats.org/officeDocument/2006/relationships/hyperlink" Target="https://github.com/james-gould/azure-keyvault-emulator/blob/master/.github/copilot-instructions.md" TargetMode="External"/><Relationship Id="rId738" Type="http://schemas.openxmlformats.org/officeDocument/2006/relationships/hyperlink" Target="https://github.com/BerriAI/litellm/blob/main/CLAUDE.md" TargetMode="External"/><Relationship Id="rId945" Type="http://schemas.openxmlformats.org/officeDocument/2006/relationships/hyperlink" Target="https://github.com/zed-industries/zed/blob/main/CLAUDE.md" TargetMode="External"/><Relationship Id="rId1368" Type="http://schemas.openxmlformats.org/officeDocument/2006/relationships/hyperlink" Target="https://github.com/cablehead/xs/blob/main/AGENTS.md" TargetMode="External"/><Relationship Id="rId1575" Type="http://schemas.openxmlformats.org/officeDocument/2006/relationships/hyperlink" Target="https://github.com/johnlindquist/kit/blob/main/CLAUDE.md" TargetMode="External"/><Relationship Id="rId1782" Type="http://schemas.openxmlformats.org/officeDocument/2006/relationships/hyperlink" Target="https://github.com/raycast/extensions/blob/main/.github/copilot-instructions.md" TargetMode="External"/><Relationship Id="rId74" Type="http://schemas.openxmlformats.org/officeDocument/2006/relationships/hyperlink" Target="https://github.com/wandb/weave/blob/master/AGENTS.md" TargetMode="External"/><Relationship Id="rId500" Type="http://schemas.openxmlformats.org/officeDocument/2006/relationships/hyperlink" Target="https://github.com/compiler-explorer/infra/blob/main/CLAUDE.md" TargetMode="External"/><Relationship Id="rId805" Type="http://schemas.openxmlformats.org/officeDocument/2006/relationships/hyperlink" Target="https://github.com/FastLED/FastLED/blob/master/CLAUDE.md" TargetMode="External"/><Relationship Id="rId1130" Type="http://schemas.openxmlformats.org/officeDocument/2006/relationships/hyperlink" Target="https://github.com/microsoft/typespec/blob/main/.github/copilot-instructions.md" TargetMode="External"/><Relationship Id="rId1228" Type="http://schemas.openxmlformats.org/officeDocument/2006/relationships/hyperlink" Target="https://github.com/anyproto/anytype-ts/blob/main/CLAUDE.md" TargetMode="External"/><Relationship Id="rId1435" Type="http://schemas.openxmlformats.org/officeDocument/2006/relationships/hyperlink" Target="https://github.com/wieslawsoltes/Xaml.Behaviors/blob/master/AGENTS.md" TargetMode="External"/><Relationship Id="rId1642" Type="http://schemas.openxmlformats.org/officeDocument/2006/relationships/hyperlink" Target="https://github.com/zed-industries/zed/blob/main/CLAUDE.md" TargetMode="External"/><Relationship Id="rId1502" Type="http://schemas.openxmlformats.org/officeDocument/2006/relationships/hyperlink" Target="https://github.com/abh/ntppool/blob/main/CLAUDE.md" TargetMode="External"/><Relationship Id="rId1807" Type="http://schemas.openxmlformats.org/officeDocument/2006/relationships/hyperlink" Target="https://github.com/lightdash/lightdash/blob/main/CLAUDE.md" TargetMode="External"/><Relationship Id="rId290" Type="http://schemas.openxmlformats.org/officeDocument/2006/relationships/hyperlink" Target="https://github.com/coder/coder/blob/main/CLAUDE.md" TargetMode="External"/><Relationship Id="rId388" Type="http://schemas.openxmlformats.org/officeDocument/2006/relationships/hyperlink" Target="https://github.com/zenml-io/zenml/blob/main/AGENTS.md" TargetMode="External"/><Relationship Id="rId150" Type="http://schemas.openxmlformats.org/officeDocument/2006/relationships/hyperlink" Target="https://github.com/sarchlab/akita/blob/main/.github/copilot-instructions.md" TargetMode="External"/><Relationship Id="rId595" Type="http://schemas.openxmlformats.org/officeDocument/2006/relationships/hyperlink" Target="https://github.com/luccahuguet/yazelix/blob/main/AGENTS.md" TargetMode="External"/><Relationship Id="rId248" Type="http://schemas.openxmlformats.org/officeDocument/2006/relationships/hyperlink" Target="https://github.com/Azure/autorest.typescript/blob/main/.github/copilot-instructions.md" TargetMode="External"/><Relationship Id="rId455" Type="http://schemas.openxmlformats.org/officeDocument/2006/relationships/hyperlink" Target="https://github.com/pytorch/pytorch/blob/main/AGENTS.md" TargetMode="External"/><Relationship Id="rId662" Type="http://schemas.openxmlformats.org/officeDocument/2006/relationships/hyperlink" Target="https://github.com/raycast/extensions/blob/main/.github/copilot-instructions.md" TargetMode="External"/><Relationship Id="rId1085" Type="http://schemas.openxmlformats.org/officeDocument/2006/relationships/hyperlink" Target="https://github.com/christianhelle/apiclientcodegen/blob/master/.github/copilot-instructions.md" TargetMode="External"/><Relationship Id="rId1292" Type="http://schemas.openxmlformats.org/officeDocument/2006/relationships/hyperlink" Target="https://github.com/compiler-explorer/compiler-explorer/blob/main/CLAUDE.md" TargetMode="External"/><Relationship Id="rId108" Type="http://schemas.openxmlformats.org/officeDocument/2006/relationships/hyperlink" Target="https://github.com/dotnet/maui/blob/main/.github/copilot-instructions.md" TargetMode="External"/><Relationship Id="rId315" Type="http://schemas.openxmlformats.org/officeDocument/2006/relationships/hyperlink" Target="https://github.com/geneontology/go-ontology/blob/master/CLAUDE.md" TargetMode="External"/><Relationship Id="rId522" Type="http://schemas.openxmlformats.org/officeDocument/2006/relationships/hyperlink" Target="https://github.com/lgallard/terraform-aws-cognito-user-pool/blob/master/CLAUDE.md" TargetMode="External"/><Relationship Id="rId967" Type="http://schemas.openxmlformats.org/officeDocument/2006/relationships/hyperlink" Target="https://github.com/DataDog/datadog-agent/blob/main/AGENTS.md" TargetMode="External"/><Relationship Id="rId1152" Type="http://schemas.openxmlformats.org/officeDocument/2006/relationships/hyperlink" Target="https://github.com/sybrew/the-seo-framework/blob/master/.github/copilot-instructions.md" TargetMode="External"/><Relationship Id="rId1597" Type="http://schemas.openxmlformats.org/officeDocument/2006/relationships/hyperlink" Target="https://github.com/open-metadata/OpenMetadata/blob/main/CLAUDE.md" TargetMode="External"/><Relationship Id="rId96" Type="http://schemas.openxmlformats.org/officeDocument/2006/relationships/hyperlink" Target="https://github.com/Azure/azure-functions-host/blob/master/.github/copilot-instructions.md" TargetMode="External"/><Relationship Id="rId827" Type="http://schemas.openxmlformats.org/officeDocument/2006/relationships/hyperlink" Target="https://github.com/getsentry/sentry-javascript/blob/master/CLAUDE.md" TargetMode="External"/><Relationship Id="rId1012" Type="http://schemas.openxmlformats.org/officeDocument/2006/relationships/hyperlink" Target="https://github.com/pulumi/docs/blob/master/AGENTS.md" TargetMode="External"/><Relationship Id="rId1457" Type="http://schemas.openxmlformats.org/officeDocument/2006/relationships/hyperlink" Target="https://github.com/obophenotype/uberon/blob/master/.github/copilot-instructions.md" TargetMode="External"/><Relationship Id="rId1664" Type="http://schemas.openxmlformats.org/officeDocument/2006/relationships/hyperlink" Target="https://github.com/Kiln-AI/Kiln/blob/main/AGENTS.md" TargetMode="External"/><Relationship Id="rId1871" Type="http://schemas.openxmlformats.org/officeDocument/2006/relationships/hyperlink" Target="https://github.com/commonwarexyz/monorepo/blob/main/AGENTS.md" TargetMode="External"/><Relationship Id="rId1317" Type="http://schemas.openxmlformats.org/officeDocument/2006/relationships/hyperlink" Target="https://github.com/JuliaBesties/BestieTemplate.jl/blob/main/CLAUDE.md" TargetMode="External"/><Relationship Id="rId1524" Type="http://schemas.openxmlformats.org/officeDocument/2006/relationships/hyperlink" Target="https://github.com/browser-use/browser-use/blob/main/CLAUDE.md" TargetMode="External"/><Relationship Id="rId1731" Type="http://schemas.openxmlformats.org/officeDocument/2006/relationships/hyperlink" Target="https://github.com/octgn/OCTGN/blob/master/.github/copilot-instructions.md" TargetMode="External"/><Relationship Id="rId23" Type="http://schemas.openxmlformats.org/officeDocument/2006/relationships/hyperlink" Target="https://github.com/PrairieLearn/PrairieLearn/blob/master/AGENTS.md" TargetMode="External"/><Relationship Id="rId1829" Type="http://schemas.openxmlformats.org/officeDocument/2006/relationships/hyperlink" Target="https://github.com/igraph/igraph/blob/main/.github/copilot-instructions.md" TargetMode="External"/><Relationship Id="rId172" Type="http://schemas.openxmlformats.org/officeDocument/2006/relationships/hyperlink" Target="https://github.com/sybrew/the-seo-framework/blob/master/.github/copilot-instructions.md" TargetMode="External"/><Relationship Id="rId477" Type="http://schemas.openxmlformats.org/officeDocument/2006/relationships/hyperlink" Target="https://github.com/allenai/open-instruct/blob/main/CLAUDE.md" TargetMode="External"/><Relationship Id="rId684" Type="http://schemas.openxmlformats.org/officeDocument/2006/relationships/hyperlink" Target="https://github.com/lostleaf/binance_datatool/blob/main/CLAUDE.md" TargetMode="External"/><Relationship Id="rId337" Type="http://schemas.openxmlformats.org/officeDocument/2006/relationships/hyperlink" Target="https://github.com/Pipelex/pipelex/blob/main/CLAUDE.md" TargetMode="External"/><Relationship Id="rId891" Type="http://schemas.openxmlformats.org/officeDocument/2006/relationships/hyperlink" Target="https://github.com/Pipelex/pipelex/blob/main/CLAUDE.md" TargetMode="External"/><Relationship Id="rId989" Type="http://schemas.openxmlformats.org/officeDocument/2006/relationships/hyperlink" Target="https://github.com/modal-labs/modal-client/blob/main/AGENTS.md" TargetMode="External"/><Relationship Id="rId544" Type="http://schemas.openxmlformats.org/officeDocument/2006/relationships/hyperlink" Target="https://github.com/PrefectHQ/marvin/blob/main/CLAUDE.md" TargetMode="External"/><Relationship Id="rId751" Type="http://schemas.openxmlformats.org/officeDocument/2006/relationships/hyperlink" Target="https://github.com/CapSoftware/Cap/blob/main/CLAUDE.md" TargetMode="External"/><Relationship Id="rId849" Type="http://schemas.openxmlformats.org/officeDocument/2006/relationships/hyperlink" Target="https://github.com/module-federation/core/blob/main/CLAUDE.md" TargetMode="External"/><Relationship Id="rId1174" Type="http://schemas.openxmlformats.org/officeDocument/2006/relationships/hyperlink" Target="https://github.com/OneKeyHQ/app-monorepo/blob/master/CLAUDE.md" TargetMode="External"/><Relationship Id="rId1381" Type="http://schemas.openxmlformats.org/officeDocument/2006/relationships/hyperlink" Target="https://github.com/janbjorge/pgqueuer/blob/main/AGENTS.md" TargetMode="External"/><Relationship Id="rId1479" Type="http://schemas.openxmlformats.org/officeDocument/2006/relationships/hyperlink" Target="https://github.com/twentyhq/twenty/blob/main/CLAUDE.md" TargetMode="External"/><Relationship Id="rId1686" Type="http://schemas.openxmlformats.org/officeDocument/2006/relationships/hyperlink" Target="https://github.com/Pipelex/pipelex/blob/main/AGENTS.md" TargetMode="External"/><Relationship Id="rId404" Type="http://schemas.openxmlformats.org/officeDocument/2006/relationships/hyperlink" Target="https://github.com/DumbWareio/DumbAssets/blob/main/.github/copilot-instructions.md" TargetMode="External"/><Relationship Id="rId611" Type="http://schemas.openxmlformats.org/officeDocument/2006/relationships/hyperlink" Target="https://github.com/rustfs/rustfs/blob/main/AGENTS.md" TargetMode="External"/><Relationship Id="rId1034" Type="http://schemas.openxmlformats.org/officeDocument/2006/relationships/hyperlink" Target="https://github.com/webgptorg/promptbook/blob/main/AGENTS.md" TargetMode="External"/><Relationship Id="rId1241" Type="http://schemas.openxmlformats.org/officeDocument/2006/relationships/hyperlink" Target="https://github.com/traceloop/openllmetry/blob/main/CLAUDE.md" TargetMode="External"/><Relationship Id="rId1339" Type="http://schemas.openxmlformats.org/officeDocument/2006/relationships/hyperlink" Target="https://github.com/open-metadata/OpenMetadata/blob/main/CLAUDE.md" TargetMode="External"/><Relationship Id="rId1893" Type="http://schemas.openxmlformats.org/officeDocument/2006/relationships/hyperlink" Target="https://github.com/wled/WLED/blob/main/.github/copilot-instructions.md" TargetMode="External"/><Relationship Id="rId709" Type="http://schemas.openxmlformats.org/officeDocument/2006/relationships/hyperlink" Target="https://github.com/Azure/AgentBaker/blob/main/.github/copilot-instructions.md" TargetMode="External"/><Relationship Id="rId916" Type="http://schemas.openxmlformats.org/officeDocument/2006/relationships/hyperlink" Target="https://github.com/Southclaws/storyden/blob/main/CLAUDE.md" TargetMode="External"/><Relationship Id="rId1101" Type="http://schemas.openxmlformats.org/officeDocument/2006/relationships/hyperlink" Target="https://github.com/geneontology/go-ontology/blob/master/.github/copilot-instructions.md" TargetMode="External"/><Relationship Id="rId1546" Type="http://schemas.openxmlformats.org/officeDocument/2006/relationships/hyperlink" Target="https://github.com/dotCMS/core/blob/main/CLAUDE.md" TargetMode="External"/><Relationship Id="rId1753" Type="http://schemas.openxmlformats.org/officeDocument/2006/relationships/hyperlink" Target="https://github.com/shinnku-nikaidou/shinnku-com/blob/main/AGENTS.md" TargetMode="External"/><Relationship Id="rId45" Type="http://schemas.openxmlformats.org/officeDocument/2006/relationships/hyperlink" Target="https://github.com/Rello/analytics/blob/master/AGENTS.md" TargetMode="External"/><Relationship Id="rId1406" Type="http://schemas.openxmlformats.org/officeDocument/2006/relationships/hyperlink" Target="https://github.com/mark3labs/mcp-go/blob/main/AGENTS.md" TargetMode="External"/><Relationship Id="rId1613" Type="http://schemas.openxmlformats.org/officeDocument/2006/relationships/hyperlink" Target="https://github.com/Pipelex/pipelex/blob/main/CLAUDE.md" TargetMode="External"/><Relationship Id="rId1820" Type="http://schemas.openxmlformats.org/officeDocument/2006/relationships/hyperlink" Target="https://github.com/Azure/autorest.typescript/blob/main/.github/copilot-instructions.md" TargetMode="External"/><Relationship Id="rId194" Type="http://schemas.openxmlformats.org/officeDocument/2006/relationships/hyperlink" Target="https://github.com/cloudposse/atmos/blob/main/CLAUDE.md" TargetMode="External"/><Relationship Id="rId1918" Type="http://schemas.openxmlformats.org/officeDocument/2006/relationships/hyperlink" Target="https://github.com/xlnfinance/xln/blob/main/CLAUDE.md" TargetMode="External"/><Relationship Id="rId261" Type="http://schemas.openxmlformats.org/officeDocument/2006/relationships/hyperlink" Target="https://github.com/SparkDevNetwork/Rock/blob/master/.github/copilot-instructions.md" TargetMode="External"/><Relationship Id="rId499" Type="http://schemas.openxmlformats.org/officeDocument/2006/relationships/hyperlink" Target="https://github.com/compiler-explorer/infra/blob/main/CLAUDE.md" TargetMode="External"/><Relationship Id="rId359" Type="http://schemas.openxmlformats.org/officeDocument/2006/relationships/hyperlink" Target="https://github.com/commonwarexyz/monorepo/blob/main/AGENTS.md" TargetMode="External"/><Relationship Id="rId566" Type="http://schemas.openxmlformats.org/officeDocument/2006/relationships/hyperlink" Target="https://github.com/theopenco/llmgateway/blob/main/CLAUDE.md" TargetMode="External"/><Relationship Id="rId773" Type="http://schemas.openxmlformats.org/officeDocument/2006/relationships/hyperlink" Target="https://github.com/coder/coder/blob/main/CLAUDE.md" TargetMode="External"/><Relationship Id="rId1196" Type="http://schemas.openxmlformats.org/officeDocument/2006/relationships/hyperlink" Target="https://github.com/stack-auth/stack-auth/blob/main/AGENTS.md" TargetMode="External"/><Relationship Id="rId121" Type="http://schemas.openxmlformats.org/officeDocument/2006/relationships/hyperlink" Target="https://github.com/HotCakeX/Harden-Windows-Security/blob/main/.github/copilot-instructions.md" TargetMode="External"/><Relationship Id="rId219" Type="http://schemas.openxmlformats.org/officeDocument/2006/relationships/hyperlink" Target="https://github.com/wled/WLED/blob/main/.github/copilot-instructions.md" TargetMode="External"/><Relationship Id="rId426" Type="http://schemas.openxmlformats.org/officeDocument/2006/relationships/hyperlink" Target="https://github.com/CapSoftware/Cap/blob/main/CLAUDE.md" TargetMode="External"/><Relationship Id="rId633" Type="http://schemas.openxmlformats.org/officeDocument/2006/relationships/hyperlink" Target="https://github.com/dotnet/runtime/blob/main/.github/copilot-instructions.md" TargetMode="External"/><Relationship Id="rId980" Type="http://schemas.openxmlformats.org/officeDocument/2006/relationships/hyperlink" Target="https://github.com/luccahuguet/yazelix/blob/main/AGENTS.md" TargetMode="External"/><Relationship Id="rId1056" Type="http://schemas.openxmlformats.org/officeDocument/2006/relationships/hyperlink" Target="https://github.com/ast-grep/ast-grep/blob/main/.github/copilot-instructions.md" TargetMode="External"/><Relationship Id="rId1263" Type="http://schemas.openxmlformats.org/officeDocument/2006/relationships/hyperlink" Target="https://github.com/cloudposse/atmos/blob/main/CLAUDE.md" TargetMode="External"/><Relationship Id="rId840" Type="http://schemas.openxmlformats.org/officeDocument/2006/relationships/hyperlink" Target="https://github.com/lfnovo/esperanto/blob/main/CLAUDE.md" TargetMode="External"/><Relationship Id="rId938" Type="http://schemas.openxmlformats.org/officeDocument/2006/relationships/hyperlink" Target="https://github.com/xlnfinance/xln/blob/main/CLAUDE.md" TargetMode="External"/><Relationship Id="rId1470" Type="http://schemas.openxmlformats.org/officeDocument/2006/relationships/hyperlink" Target="https://github.com/colinhacks/zod/blob/main/CLAUDE.md" TargetMode="External"/><Relationship Id="rId1568" Type="http://schemas.openxmlformats.org/officeDocument/2006/relationships/hyperlink" Target="https://github.com/getsentry/vitest-evals/blob/main/CLAUDE.md" TargetMode="External"/><Relationship Id="rId1775" Type="http://schemas.openxmlformats.org/officeDocument/2006/relationships/hyperlink" Target="https://github.com/vczh-libraries/GacUI/blob/master/.github/copilot-instructions.md" TargetMode="External"/><Relationship Id="rId67" Type="http://schemas.openxmlformats.org/officeDocument/2006/relationships/hyperlink" Target="https://github.com/theopenco/llmgateway/blob/main/AGENTS.md" TargetMode="External"/><Relationship Id="rId700" Type="http://schemas.openxmlformats.org/officeDocument/2006/relationships/hyperlink" Target="https://github.com/dotnet/maui/blob/main/.github/copilot-instructions.md" TargetMode="External"/><Relationship Id="rId1123" Type="http://schemas.openxmlformats.org/officeDocument/2006/relationships/hyperlink" Target="https://github.com/microsoft/ApplicationInsights-JS/blob/main/.github/copilot-instructions.md" TargetMode="External"/><Relationship Id="rId1330" Type="http://schemas.openxmlformats.org/officeDocument/2006/relationships/hyperlink" Target="https://github.com/open-metadata/OpenMetadata/blob/main/CLAUDE.md" TargetMode="External"/><Relationship Id="rId1428" Type="http://schemas.openxmlformats.org/officeDocument/2006/relationships/hyperlink" Target="https://github.com/theopenco/llmgateway/blob/main/AGENTS.md" TargetMode="External"/><Relationship Id="rId1635" Type="http://schemas.openxmlformats.org/officeDocument/2006/relationships/hyperlink" Target="https://github.com/wvlet/airframe/blob/main/CLAUDE.md" TargetMode="External"/><Relationship Id="rId1842" Type="http://schemas.openxmlformats.org/officeDocument/2006/relationships/hyperlink" Target="https://github.com/actnwit/RhodoniteTS/blob/main/CLAUDE.md" TargetMode="External"/><Relationship Id="rId1702" Type="http://schemas.openxmlformats.org/officeDocument/2006/relationships/hyperlink" Target="https://github.com/Azure/fleet/blob/main/.github/copilot-instructions.md" TargetMode="External"/><Relationship Id="rId283" Type="http://schemas.openxmlformats.org/officeDocument/2006/relationships/hyperlink" Target="https://github.com/coder/coder/blob/main/CLAUDE.md" TargetMode="External"/><Relationship Id="rId490" Type="http://schemas.openxmlformats.org/officeDocument/2006/relationships/hyperlink" Target="https://github.com/CapSoftware/Cap/blob/main/CLAUDE.md" TargetMode="External"/><Relationship Id="rId143" Type="http://schemas.openxmlformats.org/officeDocument/2006/relationships/hyperlink" Target="https://github.com/obophenotype/uberon/blob/master/.github/copilot-instructions.md" TargetMode="External"/><Relationship Id="rId350" Type="http://schemas.openxmlformats.org/officeDocument/2006/relationships/hyperlink" Target="https://github.com/truenas/webui/blob/master/CLAUDE.md" TargetMode="External"/><Relationship Id="rId588" Type="http://schemas.openxmlformats.org/officeDocument/2006/relationships/hyperlink" Target="https://github.com/janbjorge/pgqueuer/blob/main/AGENTS.md" TargetMode="External"/><Relationship Id="rId795" Type="http://schemas.openxmlformats.org/officeDocument/2006/relationships/hyperlink" Target="https://github.com/dropseed/plain/blob/main/CLAUDE.md" TargetMode="External"/><Relationship Id="rId9" Type="http://schemas.openxmlformats.org/officeDocument/2006/relationships/hyperlink" Target="https://github.com/openai/openai-agents-python/blob/main/AGENTS.md" TargetMode="External"/><Relationship Id="rId210" Type="http://schemas.openxmlformats.org/officeDocument/2006/relationships/hyperlink" Target="https://github.com/CapSoftware/Cap/blob/main/AGENTS.md" TargetMode="External"/><Relationship Id="rId448" Type="http://schemas.openxmlformats.org/officeDocument/2006/relationships/hyperlink" Target="https://github.com/Azure/azure-functions-host/blob/master/.github/copilot-instructions.md" TargetMode="External"/><Relationship Id="rId655" Type="http://schemas.openxmlformats.org/officeDocument/2006/relationships/hyperlink" Target="https://github.com/NG-ZORRO/ng-zorro-antd/blob/master/.github/copilot-instructions.md" TargetMode="External"/><Relationship Id="rId862" Type="http://schemas.openxmlformats.org/officeDocument/2006/relationships/hyperlink" Target="https://github.com/OneKeyHQ/app-monorepo/blob/master/CLAUDE.md" TargetMode="External"/><Relationship Id="rId1078" Type="http://schemas.openxmlformats.org/officeDocument/2006/relationships/hyperlink" Target="https://github.com/Chainlit/chainlit/blob/main/.github/copilot-instructions.md" TargetMode="External"/><Relationship Id="rId1285" Type="http://schemas.openxmlformats.org/officeDocument/2006/relationships/hyperlink" Target="https://github.com/CapSoftware/Cap/blob/main/CLAUDE.md" TargetMode="External"/><Relationship Id="rId1492" Type="http://schemas.openxmlformats.org/officeDocument/2006/relationships/hyperlink" Target="https://github.com/Azure/AgentBaker/blob/main/.github/copilot-instructions.md" TargetMode="External"/><Relationship Id="rId308" Type="http://schemas.openxmlformats.org/officeDocument/2006/relationships/hyperlink" Target="https://github.com/dailydotdev/apps/blob/main/CLAUDE.md" TargetMode="External"/><Relationship Id="rId515" Type="http://schemas.openxmlformats.org/officeDocument/2006/relationships/hyperlink" Target="https://github.com/home-assistant/frontend/blob/master/CLAUDE.md" TargetMode="External"/><Relationship Id="rId722" Type="http://schemas.openxmlformats.org/officeDocument/2006/relationships/hyperlink" Target="https://github.com/abh/ntppool/blob/main/CLAUDE.md" TargetMode="External"/><Relationship Id="rId1145" Type="http://schemas.openxmlformats.org/officeDocument/2006/relationships/hyperlink" Target="https://github.com/sarchlab/akita/blob/main/.github/copilot-instructions.md" TargetMode="External"/><Relationship Id="rId1352" Type="http://schemas.openxmlformats.org/officeDocument/2006/relationships/hyperlink" Target="https://github.com/theopenco/llmgateway/blob/main/CLAUDE.md" TargetMode="External"/><Relationship Id="rId1797" Type="http://schemas.openxmlformats.org/officeDocument/2006/relationships/hyperlink" Target="https://github.com/theopenco/llmgateway/blob/main/AGENTS.md" TargetMode="External"/><Relationship Id="rId89" Type="http://schemas.openxmlformats.org/officeDocument/2006/relationships/hyperlink" Target="https://github.com/zenml-io/zenml/blob/main/AGENTS.md" TargetMode="External"/><Relationship Id="rId1005" Type="http://schemas.openxmlformats.org/officeDocument/2006/relationships/hyperlink" Target="https://github.com/proximafusion/vmecpp/blob/main/AGENTS.md" TargetMode="External"/><Relationship Id="rId1212" Type="http://schemas.openxmlformats.org/officeDocument/2006/relationships/hyperlink" Target="https://github.com/owid/etl/blob/master/AGENTS.md" TargetMode="External"/><Relationship Id="rId1657" Type="http://schemas.openxmlformats.org/officeDocument/2006/relationships/hyperlink" Target="https://github.com/janbjorge/pgqueuer/blob/main/AGENTS.md" TargetMode="External"/><Relationship Id="rId1864" Type="http://schemas.openxmlformats.org/officeDocument/2006/relationships/hyperlink" Target="https://github.com/obophenotype/uberon/blob/master/CLAUDE.md" TargetMode="External"/><Relationship Id="rId1517" Type="http://schemas.openxmlformats.org/officeDocument/2006/relationships/hyperlink" Target="https://github.com/anyproto/anytype-ts/blob/main/CLAUDE.md" TargetMode="External"/><Relationship Id="rId1724" Type="http://schemas.openxmlformats.org/officeDocument/2006/relationships/hyperlink" Target="https://github.com/microsoft/python-environment-tools/blob/main/.github/copilot-instructions.md" TargetMode="External"/><Relationship Id="rId16" Type="http://schemas.openxmlformats.org/officeDocument/2006/relationships/hyperlink" Target="https://github.com/Pipelex/pipelex/blob/main/AGENTS.md" TargetMode="External"/><Relationship Id="rId1931" Type="http://schemas.openxmlformats.org/officeDocument/2006/relationships/hyperlink" Target="https://github.com/public-ui/kolibri/blob/master/AGENTS.md" TargetMode="External"/><Relationship Id="rId165" Type="http://schemas.openxmlformats.org/officeDocument/2006/relationships/hyperlink" Target="https://github.com/sybrew/the-seo-framework/blob/master/.github/copilot-instructions.md" TargetMode="External"/><Relationship Id="rId372" Type="http://schemas.openxmlformats.org/officeDocument/2006/relationships/hyperlink" Target="https://github.com/PrairieLearn/PrairieLearn/blob/master/AGENTS.md" TargetMode="External"/><Relationship Id="rId677" Type="http://schemas.openxmlformats.org/officeDocument/2006/relationships/hyperlink" Target="https://github.com/vczh-libraries/GacUI/blob/master/.github/copilot-instructions.md" TargetMode="External"/><Relationship Id="rId232" Type="http://schemas.openxmlformats.org/officeDocument/2006/relationships/hyperlink" Target="https://github.com/pulumi/docs/blob/master/AGENTS.md" TargetMode="External"/><Relationship Id="rId884" Type="http://schemas.openxmlformats.org/officeDocument/2006/relationships/hyperlink" Target="https://github.com/pannous/wasp/blob/main/CLAUDE.md" TargetMode="External"/><Relationship Id="rId537" Type="http://schemas.openxmlformats.org/officeDocument/2006/relationships/hyperlink" Target="https://github.com/open-metadata/OpenMetadata/blob/main/CLAUDE.md" TargetMode="External"/><Relationship Id="rId744" Type="http://schemas.openxmlformats.org/officeDocument/2006/relationships/hyperlink" Target="https://github.com/browser-use/browser-use/blob/main/CLAUDE.md" TargetMode="External"/><Relationship Id="rId951" Type="http://schemas.openxmlformats.org/officeDocument/2006/relationships/hyperlink" Target="https://github.com/biolink/biolink-model/blob/master/AGENTS.md" TargetMode="External"/><Relationship Id="rId1167" Type="http://schemas.openxmlformats.org/officeDocument/2006/relationships/hyperlink" Target="https://github.com/OneKeyHQ/app-monorepo/blob/master/CLAUDE.md" TargetMode="External"/><Relationship Id="rId1374" Type="http://schemas.openxmlformats.org/officeDocument/2006/relationships/hyperlink" Target="https://github.com/DannyMac180/meta-agent/blob/main/AGENTS.md" TargetMode="External"/><Relationship Id="rId1581" Type="http://schemas.openxmlformats.org/officeDocument/2006/relationships/hyperlink" Target="https://github.com/langchain-ai/langchain/blob/master/CLAUDE.md" TargetMode="External"/><Relationship Id="rId1679" Type="http://schemas.openxmlformats.org/officeDocument/2006/relationships/hyperlink" Target="https://github.com/mbrt/gmailctl/blob/master/AGENTS.md" TargetMode="External"/><Relationship Id="rId80" Type="http://schemas.openxmlformats.org/officeDocument/2006/relationships/hyperlink" Target="https://github.com/webgptorg/promptbook/blob/main/AGENTS.md" TargetMode="External"/><Relationship Id="rId604" Type="http://schemas.openxmlformats.org/officeDocument/2006/relationships/hyperlink" Target="https://github.com/PrairieLearn/PrairieLearn/blob/master/AGENTS.md" TargetMode="External"/><Relationship Id="rId811" Type="http://schemas.openxmlformats.org/officeDocument/2006/relationships/hyperlink" Target="https://github.com/geneontology/go-ontology/blob/master/CLAUDE.md" TargetMode="External"/><Relationship Id="rId1027" Type="http://schemas.openxmlformats.org/officeDocument/2006/relationships/hyperlink" Target="https://github.com/theopenco/llmgateway/blob/main/AGENTS.md" TargetMode="External"/><Relationship Id="rId1234" Type="http://schemas.openxmlformats.org/officeDocument/2006/relationships/hyperlink" Target="https://github.com/Freika/dawarich/blob/master/CLAUDE.md" TargetMode="External"/><Relationship Id="rId1441" Type="http://schemas.openxmlformats.org/officeDocument/2006/relationships/hyperlink" Target="https://github.com/zenml-io/zenml/blob/main/AGENTS.md" TargetMode="External"/><Relationship Id="rId1886" Type="http://schemas.openxmlformats.org/officeDocument/2006/relationships/hyperlink" Target="https://github.com/dotnet/sdk/blob/main/.github/copilot-instructions.md" TargetMode="External"/><Relationship Id="rId909" Type="http://schemas.openxmlformats.org/officeDocument/2006/relationships/hyperlink" Target="https://github.com/RchGrav/claudebox/blob/main/CLAUDE.md" TargetMode="External"/><Relationship Id="rId1301" Type="http://schemas.openxmlformats.org/officeDocument/2006/relationships/hyperlink" Target="https://github.com/Freika/dawarich/blob/master/CLAUDE.md" TargetMode="External"/><Relationship Id="rId1539" Type="http://schemas.openxmlformats.org/officeDocument/2006/relationships/hyperlink" Target="https://github.com/compiler-explorer/compiler-explorer/blob/main/CLAUDE.md" TargetMode="External"/><Relationship Id="rId1746" Type="http://schemas.openxmlformats.org/officeDocument/2006/relationships/hyperlink" Target="https://github.com/zwave-js/zwave-js/blob/master/.github/copilot-instructions.md" TargetMode="External"/><Relationship Id="rId38" Type="http://schemas.openxmlformats.org/officeDocument/2006/relationships/hyperlink" Target="https://github.com/pulumi/docs/blob/master/AGENTS.md" TargetMode="External"/><Relationship Id="rId1606" Type="http://schemas.openxmlformats.org/officeDocument/2006/relationships/hyperlink" Target="https://github.com/open-metadata/OpenMetadata/blob/main/CLAUDE.md" TargetMode="External"/><Relationship Id="rId1813" Type="http://schemas.openxmlformats.org/officeDocument/2006/relationships/hyperlink" Target="https://github.com/langchain-ai/langchain/blob/master/AGENTS.md" TargetMode="External"/><Relationship Id="rId187" Type="http://schemas.openxmlformats.org/officeDocument/2006/relationships/hyperlink" Target="https://github.com/zwave-js/zwave-js/blob/master/.github/copilot-instructions.md" TargetMode="External"/><Relationship Id="rId394" Type="http://schemas.openxmlformats.org/officeDocument/2006/relationships/hyperlink" Target="https://github.com/Azure/azure-sdk-tools/blob/main/.github/copilot-instructions.md" TargetMode="External"/><Relationship Id="rId254" Type="http://schemas.openxmlformats.org/officeDocument/2006/relationships/hyperlink" Target="https://github.com/gitkraken/vscode-gitlens/blob/main/AGENTS.md" TargetMode="External"/><Relationship Id="rId699" Type="http://schemas.openxmlformats.org/officeDocument/2006/relationships/hyperlink" Target="https://github.com/python-cachier/cachier/blob/master/AGENTS.md" TargetMode="External"/><Relationship Id="rId1091" Type="http://schemas.openxmlformats.org/officeDocument/2006/relationships/hyperlink" Target="https://github.com/dotnet/core/blob/main/.github/copilot-instructions.md" TargetMode="External"/><Relationship Id="rId114" Type="http://schemas.openxmlformats.org/officeDocument/2006/relationships/hyperlink" Target="https://github.com/dotnet/runtime/blob/main/.github/copilot-instructions.md" TargetMode="External"/><Relationship Id="rId461" Type="http://schemas.openxmlformats.org/officeDocument/2006/relationships/hyperlink" Target="https://github.com/lfnovo/esperanto/blob/main/CLAUDE.md" TargetMode="External"/><Relationship Id="rId559" Type="http://schemas.openxmlformats.org/officeDocument/2006/relationships/hyperlink" Target="https://github.com/speaches-ai/speaches/blob/master/CLAUDE.md" TargetMode="External"/><Relationship Id="rId766" Type="http://schemas.openxmlformats.org/officeDocument/2006/relationships/hyperlink" Target="https://github.com/cloudposse/atmos/blob/main/CLAUDE.md" TargetMode="External"/><Relationship Id="rId1189" Type="http://schemas.openxmlformats.org/officeDocument/2006/relationships/hyperlink" Target="https://github.com/dotnet/maui/blob/main/.github/copilot-instructions.md" TargetMode="External"/><Relationship Id="rId1396" Type="http://schemas.openxmlformats.org/officeDocument/2006/relationships/hyperlink" Target="https://github.com/marin-community/marin/blob/main/AGENTS.md" TargetMode="External"/><Relationship Id="rId321" Type="http://schemas.openxmlformats.org/officeDocument/2006/relationships/hyperlink" Target="https://github.com/lfnovo/esperanto/blob/main/CLAUDE.md" TargetMode="External"/><Relationship Id="rId419" Type="http://schemas.openxmlformats.org/officeDocument/2006/relationships/hyperlink" Target="https://github.com/ShaunLawrie/PwshSpectreConsole/blob/main/.github/copilot-instructions.md" TargetMode="External"/><Relationship Id="rId626" Type="http://schemas.openxmlformats.org/officeDocument/2006/relationships/hyperlink" Target="https://github.com/dotnet/aspnetcore/blob/main/.github/copilot-instructions.md" TargetMode="External"/><Relationship Id="rId973" Type="http://schemas.openxmlformats.org/officeDocument/2006/relationships/hyperlink" Target="https://github.com/langfuse/langfuse/blob/main/AGENTS.md" TargetMode="External"/><Relationship Id="rId1049" Type="http://schemas.openxmlformats.org/officeDocument/2006/relationships/hyperlink" Target="https://github.com/ast-grep/ast-grep/blob/main/.github/copilot-instructions.md" TargetMode="External"/><Relationship Id="rId1256" Type="http://schemas.openxmlformats.org/officeDocument/2006/relationships/hyperlink" Target="https://github.com/coder/coder/blob/main/CLAUDE.md" TargetMode="External"/><Relationship Id="rId833" Type="http://schemas.openxmlformats.org/officeDocument/2006/relationships/hyperlink" Target="https://github.com/home-assistant/frontend/blob/master/CLAUDE.md" TargetMode="External"/><Relationship Id="rId1116" Type="http://schemas.openxmlformats.org/officeDocument/2006/relationships/hyperlink" Target="https://github.com/irihitech/Ursa.Avalonia/blob/main/.github/copilot-instructions.md" TargetMode="External"/><Relationship Id="rId1463" Type="http://schemas.openxmlformats.org/officeDocument/2006/relationships/hyperlink" Target="https://github.com/langchain-ai/langchain/blob/master/CLAUDE.md" TargetMode="External"/><Relationship Id="rId1670" Type="http://schemas.openxmlformats.org/officeDocument/2006/relationships/hyperlink" Target="https://github.com/logancyang/obsidian-copilot/blob/master/AGENTS.md" TargetMode="External"/><Relationship Id="rId1768" Type="http://schemas.openxmlformats.org/officeDocument/2006/relationships/hyperlink" Target="https://github.com/gitkraken/vscode-gitlens/blob/main/AGENTS.md" TargetMode="External"/><Relationship Id="rId900" Type="http://schemas.openxmlformats.org/officeDocument/2006/relationships/hyperlink" Target="https://github.com/proximafusion/vmecpp/blob/main/CLAUDE.md" TargetMode="External"/><Relationship Id="rId1323" Type="http://schemas.openxmlformats.org/officeDocument/2006/relationships/hyperlink" Target="https://github.com/lgallard/terraform-aws-backup/blob/master/CLAUDE.md" TargetMode="External"/><Relationship Id="rId1530" Type="http://schemas.openxmlformats.org/officeDocument/2006/relationships/hyperlink" Target="https://github.com/colinhacks/zod/blob/main/CLAUDE.md" TargetMode="External"/><Relationship Id="rId1628" Type="http://schemas.openxmlformats.org/officeDocument/2006/relationships/hyperlink" Target="https://github.com/vaadin/flow/blob/main/CLAUDE.md" TargetMode="External"/><Relationship Id="rId1835" Type="http://schemas.openxmlformats.org/officeDocument/2006/relationships/hyperlink" Target="https://github.com/open-metadata/OpenMetadata/blob/main/CLAUDE.md" TargetMode="External"/><Relationship Id="rId1902" Type="http://schemas.openxmlformats.org/officeDocument/2006/relationships/hyperlink" Target="https://github.com/luccahuguet/yazelix/blob/main/AGENTS.md" TargetMode="External"/><Relationship Id="rId276" Type="http://schemas.openxmlformats.org/officeDocument/2006/relationships/hyperlink" Target="https://github.com/BerriAI/litellm/blob/main/CLAUDE.md" TargetMode="External"/><Relationship Id="rId483" Type="http://schemas.openxmlformats.org/officeDocument/2006/relationships/hyperlink" Target="https://github.com/Azure/LogicAppsUX/blob/main/CLAUDE.md" TargetMode="External"/><Relationship Id="rId690" Type="http://schemas.openxmlformats.org/officeDocument/2006/relationships/hyperlink" Target="https://github.com/OneKeyHQ/app-monorepo/blob/master/CLAUDE.md" TargetMode="External"/><Relationship Id="rId136" Type="http://schemas.openxmlformats.org/officeDocument/2006/relationships/hyperlink" Target="https://github.com/NG-ZORRO/ng-zorro-antd/blob/master/.github/copilot-instructions.md" TargetMode="External"/><Relationship Id="rId343" Type="http://schemas.openxmlformats.org/officeDocument/2006/relationships/hyperlink" Target="https://github.com/RchGrav/claudebox/blob/main/CLAUDE.md" TargetMode="External"/><Relationship Id="rId550" Type="http://schemas.openxmlformats.org/officeDocument/2006/relationships/hyperlink" Target="https://github.com/RchGrav/claudebox/blob/main/CLAUDE.md" TargetMode="External"/><Relationship Id="rId788" Type="http://schemas.openxmlformats.org/officeDocument/2006/relationships/hyperlink" Target="https://github.com/dailydotdev/apps/blob/main/CLAUDE.md" TargetMode="External"/><Relationship Id="rId995" Type="http://schemas.openxmlformats.org/officeDocument/2006/relationships/hyperlink" Target="https://github.com/Pipelex/pipelex/blob/main/AGENTS.md" TargetMode="External"/><Relationship Id="rId1180" Type="http://schemas.openxmlformats.org/officeDocument/2006/relationships/hyperlink" Target="https://github.com/marin-community/marin/blob/main/AGENTS.md" TargetMode="External"/><Relationship Id="rId203" Type="http://schemas.openxmlformats.org/officeDocument/2006/relationships/hyperlink" Target="https://github.com/alchemiststudiosDOTai/tunacode/blob/master/AGENTS.md" TargetMode="External"/><Relationship Id="rId648" Type="http://schemas.openxmlformats.org/officeDocument/2006/relationships/hyperlink" Target="https://github.com/microsoft/ApplicationInsights-JS/blob/main/.github/copilot-instructions.md" TargetMode="External"/><Relationship Id="rId855" Type="http://schemas.openxmlformats.org/officeDocument/2006/relationships/hyperlink" Target="https://github.com/netdata/netdata/blob/master/CLAUDE.md" TargetMode="External"/><Relationship Id="rId1040" Type="http://schemas.openxmlformats.org/officeDocument/2006/relationships/hyperlink" Target="https://github.com/zenml-io/zenml/blob/main/AGENTS.md" TargetMode="External"/><Relationship Id="rId1278" Type="http://schemas.openxmlformats.org/officeDocument/2006/relationships/hyperlink" Target="https://github.com/wieslawsoltes/Xaml.Behaviors/blob/master/AGENTS.md" TargetMode="External"/><Relationship Id="rId1485" Type="http://schemas.openxmlformats.org/officeDocument/2006/relationships/hyperlink" Target="https://github.com/gitkraken/vscode-gitlens/blob/main/AGENTS.md" TargetMode="External"/><Relationship Id="rId1692" Type="http://schemas.openxmlformats.org/officeDocument/2006/relationships/hyperlink" Target="https://github.com/theopenco/llmgateway/blob/main/AGENTS.md" TargetMode="External"/><Relationship Id="rId410" Type="http://schemas.openxmlformats.org/officeDocument/2006/relationships/hyperlink" Target="https://github.com/microsoft/ApplicationInsights-JS/blob/main/.github/copilot-instructions.md" TargetMode="External"/><Relationship Id="rId508" Type="http://schemas.openxmlformats.org/officeDocument/2006/relationships/hyperlink" Target="https://github.com/FluidGroup/Brightroom/blob/main/CLAUDE.md" TargetMode="External"/><Relationship Id="rId715" Type="http://schemas.openxmlformats.org/officeDocument/2006/relationships/hyperlink" Target="https://github.com/abh/ntppool/blob/main/CLAUDE.md" TargetMode="External"/><Relationship Id="rId922" Type="http://schemas.openxmlformats.org/officeDocument/2006/relationships/hyperlink" Target="https://github.com/theopenco/llmgateway/blob/main/CLAUDE.md" TargetMode="External"/><Relationship Id="rId1138" Type="http://schemas.openxmlformats.org/officeDocument/2006/relationships/hyperlink" Target="https://github.com/octgn/OCTGN/blob/master/.github/copilot-instructions.md" TargetMode="External"/><Relationship Id="rId1345" Type="http://schemas.openxmlformats.org/officeDocument/2006/relationships/hyperlink" Target="https://github.com/RchGrav/claudebox/blob/main/CLAUDE.md" TargetMode="External"/><Relationship Id="rId1552" Type="http://schemas.openxmlformats.org/officeDocument/2006/relationships/hyperlink" Target="https://github.com/evmts/tevm-monorepo/blob/main/CLAUDE.md" TargetMode="External"/><Relationship Id="rId1205" Type="http://schemas.openxmlformats.org/officeDocument/2006/relationships/hyperlink" Target="https://github.com/public-ui/kolibri/blob/master/AGENTS.md" TargetMode="External"/><Relationship Id="rId1857" Type="http://schemas.openxmlformats.org/officeDocument/2006/relationships/hyperlink" Target="https://github.com/grafbase/grafbase/blob/main/CLAUDE.md" TargetMode="External"/><Relationship Id="rId51" Type="http://schemas.openxmlformats.org/officeDocument/2006/relationships/hyperlink" Target="https://github.com/Rello/audioplayer/blob/master/AGENTS.md" TargetMode="External"/><Relationship Id="rId1412" Type="http://schemas.openxmlformats.org/officeDocument/2006/relationships/hyperlink" Target="https://github.com/mixpanel/mixpanel-android/blob/master/AGENTS.md" TargetMode="External"/><Relationship Id="rId1717" Type="http://schemas.openxmlformats.org/officeDocument/2006/relationships/hyperlink" Target="https://github.com/github/gh-models/blob/main/.github/copilot-instructions.md" TargetMode="External"/><Relationship Id="rId1924" Type="http://schemas.openxmlformats.org/officeDocument/2006/relationships/hyperlink" Target="https://github.com/saleor/saleor/blob/main/CLAUDE.md" TargetMode="External"/><Relationship Id="rId298" Type="http://schemas.openxmlformats.org/officeDocument/2006/relationships/hyperlink" Target="https://github.com/Comfy-Org/comfy-claude-prompt-library/blob/master/CLAUDE.md" TargetMode="External"/><Relationship Id="rId158" Type="http://schemas.openxmlformats.org/officeDocument/2006/relationships/hyperlink" Target="https://github.com/SparkDevNetwork/Rock/blob/master/.github/copilot-instructions.md" TargetMode="External"/><Relationship Id="rId365" Type="http://schemas.openxmlformats.org/officeDocument/2006/relationships/hyperlink" Target="https://github.com/owid/etl/blob/master/AGENTS.md" TargetMode="External"/><Relationship Id="rId572" Type="http://schemas.openxmlformats.org/officeDocument/2006/relationships/hyperlink" Target="https://github.com/truenas/webui/blob/master/CLAUDE.md" TargetMode="External"/><Relationship Id="rId225" Type="http://schemas.openxmlformats.org/officeDocument/2006/relationships/hyperlink" Target="https://github.com/FastLED/FastLED/blob/master/CLAUDE.md" TargetMode="External"/><Relationship Id="rId432" Type="http://schemas.openxmlformats.org/officeDocument/2006/relationships/hyperlink" Target="https://github.com/dailydotdev/apps/blob/main/CLAUDE.md" TargetMode="External"/><Relationship Id="rId877" Type="http://schemas.openxmlformats.org/officeDocument/2006/relationships/hyperlink" Target="https://github.com/open-metadata/OpenMetadata/blob/main/CLAUDE.md" TargetMode="External"/><Relationship Id="rId1062" Type="http://schemas.openxmlformats.org/officeDocument/2006/relationships/hyperlink" Target="https://github.com/Azure/autorest.typescript/blob/main/.github/copilot-instructions.md" TargetMode="External"/><Relationship Id="rId737" Type="http://schemas.openxmlformats.org/officeDocument/2006/relationships/hyperlink" Target="https://github.com/BerriAI/litellm/blob/main/CLAUDE.md" TargetMode="External"/><Relationship Id="rId944" Type="http://schemas.openxmlformats.org/officeDocument/2006/relationships/hyperlink" Target="https://github.com/xlnfinance/xln/blob/main/CLAUDE.md" TargetMode="External"/><Relationship Id="rId1367" Type="http://schemas.openxmlformats.org/officeDocument/2006/relationships/hyperlink" Target="https://github.com/cablehead/xs/blob/main/AGENTS.md" TargetMode="External"/><Relationship Id="rId1574" Type="http://schemas.openxmlformats.org/officeDocument/2006/relationships/hyperlink" Target="https://github.com/johnlindquist/kit/blob/main/CLAUDE.md" TargetMode="External"/><Relationship Id="rId1781" Type="http://schemas.openxmlformats.org/officeDocument/2006/relationships/hyperlink" Target="https://github.com/useautumn/autumn/blob/main/AGENTS.md" TargetMode="External"/><Relationship Id="rId73" Type="http://schemas.openxmlformats.org/officeDocument/2006/relationships/hyperlink" Target="https://github.com/valkey-io/valkey-glide/blob/main/AGENTS.md" TargetMode="External"/><Relationship Id="rId804" Type="http://schemas.openxmlformats.org/officeDocument/2006/relationships/hyperlink" Target="https://github.com/FastLED/FastLED/blob/master/CLAUDE.md" TargetMode="External"/><Relationship Id="rId1227" Type="http://schemas.openxmlformats.org/officeDocument/2006/relationships/hyperlink" Target="https://github.com/anyproto/anytype-ts/blob/main/CLAUDE.md" TargetMode="External"/><Relationship Id="rId1434" Type="http://schemas.openxmlformats.org/officeDocument/2006/relationships/hyperlink" Target="https://github.com/wieslawsoltes/Xaml.Behaviors/blob/master/AGENTS.md" TargetMode="External"/><Relationship Id="rId1641" Type="http://schemas.openxmlformats.org/officeDocument/2006/relationships/hyperlink" Target="https://github.com/zed-industries/zed/blob/main/CLAUDE.md" TargetMode="External"/><Relationship Id="rId1879" Type="http://schemas.openxmlformats.org/officeDocument/2006/relationships/hyperlink" Target="https://github.com/rainbow-me/rainbowkit/blob/main/AGENTS.md" TargetMode="External"/><Relationship Id="rId1501" Type="http://schemas.openxmlformats.org/officeDocument/2006/relationships/hyperlink" Target="https://github.com/RchGrav/claudebox/blob/main/CLAUDE.md" TargetMode="External"/><Relationship Id="rId1739" Type="http://schemas.openxmlformats.org/officeDocument/2006/relationships/hyperlink" Target="https://github.com/sybrew/the-seo-framework/blob/master/.github/copilot-instructions.md" TargetMode="External"/><Relationship Id="rId1806" Type="http://schemas.openxmlformats.org/officeDocument/2006/relationships/hyperlink" Target="https://github.com/geneontology/go-ontology/blob/master/CLAUDE.md" TargetMode="External"/><Relationship Id="rId387" Type="http://schemas.openxmlformats.org/officeDocument/2006/relationships/hyperlink" Target="https://github.com/webgptorg/promptbook/blob/main/AGENTS.md" TargetMode="External"/><Relationship Id="rId594" Type="http://schemas.openxmlformats.org/officeDocument/2006/relationships/hyperlink" Target="https://github.com/luccahuguet/yazelix/blob/main/AGENTS.md" TargetMode="External"/><Relationship Id="rId247" Type="http://schemas.openxmlformats.org/officeDocument/2006/relationships/hyperlink" Target="https://github.com/Azure/autorest.typescript/blob/main/.github/copilot-instructions.md" TargetMode="External"/><Relationship Id="rId899" Type="http://schemas.openxmlformats.org/officeDocument/2006/relationships/hyperlink" Target="https://github.com/proximafusion/vmecpp/blob/main/CLAUDE.md" TargetMode="External"/><Relationship Id="rId1084" Type="http://schemas.openxmlformats.org/officeDocument/2006/relationships/hyperlink" Target="https://github.com/christianhelle/apiclientcodegen/blob/master/.github/copilot-instructions.md" TargetMode="External"/><Relationship Id="rId107" Type="http://schemas.openxmlformats.org/officeDocument/2006/relationships/hyperlink" Target="https://github.com/dotnet/maui/blob/main/.github/copilot-instructions.md" TargetMode="External"/><Relationship Id="rId454" Type="http://schemas.openxmlformats.org/officeDocument/2006/relationships/hyperlink" Target="https://github.com/dailydotdev/apps/blob/main/CLAUDE.md" TargetMode="External"/><Relationship Id="rId661" Type="http://schemas.openxmlformats.org/officeDocument/2006/relationships/hyperlink" Target="https://github.com/raycast/extensions/blob/main/.github/copilot-instructions.md" TargetMode="External"/><Relationship Id="rId759" Type="http://schemas.openxmlformats.org/officeDocument/2006/relationships/hyperlink" Target="https://github.com/cloudposse/atmos/blob/main/CLAUDE.md" TargetMode="External"/><Relationship Id="rId966" Type="http://schemas.openxmlformats.org/officeDocument/2006/relationships/hyperlink" Target="https://github.com/commonwarexyz/monorepo/blob/main/AGENTS.md" TargetMode="External"/><Relationship Id="rId1291" Type="http://schemas.openxmlformats.org/officeDocument/2006/relationships/hyperlink" Target="https://github.com/Comfy-Org/comfy-claude-prompt-library/blob/master/CLAUDE.md" TargetMode="External"/><Relationship Id="rId1389" Type="http://schemas.openxmlformats.org/officeDocument/2006/relationships/hyperlink" Target="https://github.com/langchain-ai/langchain/blob/master/AGENTS.md" TargetMode="External"/><Relationship Id="rId1596" Type="http://schemas.openxmlformats.org/officeDocument/2006/relationships/hyperlink" Target="https://github.com/open-metadata/OpenMetadata/blob/main/CLAUDE.md" TargetMode="External"/><Relationship Id="rId314" Type="http://schemas.openxmlformats.org/officeDocument/2006/relationships/hyperlink" Target="https://github.com/geneontology/go-ontology/blob/master/CLAUDE.md" TargetMode="External"/><Relationship Id="rId521" Type="http://schemas.openxmlformats.org/officeDocument/2006/relationships/hyperlink" Target="https://github.com/lgallard/terraform-aws-backup/blob/master/CLAUDE.md" TargetMode="External"/><Relationship Id="rId619" Type="http://schemas.openxmlformats.org/officeDocument/2006/relationships/hyperlink" Target="https://github.com/webgptorg/promptbook/blob/main/AGENTS.md" TargetMode="External"/><Relationship Id="rId1151" Type="http://schemas.openxmlformats.org/officeDocument/2006/relationships/hyperlink" Target="https://github.com/sybrew/the-seo-framework/blob/master/.github/copilot-instructions.md" TargetMode="External"/><Relationship Id="rId1249" Type="http://schemas.openxmlformats.org/officeDocument/2006/relationships/hyperlink" Target="https://github.com/octgn/OCTGN/blob/master/.github/copilot-instructions.md" TargetMode="External"/><Relationship Id="rId95" Type="http://schemas.openxmlformats.org/officeDocument/2006/relationships/hyperlink" Target="https://github.com/Azure/azure-functions-host/blob/master/.github/copilot-instructions.md" TargetMode="External"/><Relationship Id="rId826" Type="http://schemas.openxmlformats.org/officeDocument/2006/relationships/hyperlink" Target="https://github.com/getsentry/sentry-javascript/blob/master/CLAUDE.md" TargetMode="External"/><Relationship Id="rId1011" Type="http://schemas.openxmlformats.org/officeDocument/2006/relationships/hyperlink" Target="https://github.com/pulumi/docs/blob/master/AGENTS.md" TargetMode="External"/><Relationship Id="rId1109" Type="http://schemas.openxmlformats.org/officeDocument/2006/relationships/hyperlink" Target="https://github.com/geneontology/go-ontology/blob/master/.github/copilot-instructions.md" TargetMode="External"/><Relationship Id="rId1456" Type="http://schemas.openxmlformats.org/officeDocument/2006/relationships/hyperlink" Target="https://github.com/nkdAgility/azure-devops-migration-tools/blob/main/.github/copilot-instructions.md" TargetMode="External"/><Relationship Id="rId1663" Type="http://schemas.openxmlformats.org/officeDocument/2006/relationships/hyperlink" Target="https://github.com/julep-ai/julep/blob/main/AGENTS.md" TargetMode="External"/><Relationship Id="rId1870" Type="http://schemas.openxmlformats.org/officeDocument/2006/relationships/hyperlink" Target="https://github.com/alchemiststudiosDOTai/tunacode/blob/master/AGENTS.md" TargetMode="External"/><Relationship Id="rId1316" Type="http://schemas.openxmlformats.org/officeDocument/2006/relationships/hyperlink" Target="https://github.com/jefago/tiny-markdown-editor/blob/main/CLAUDE.md" TargetMode="External"/><Relationship Id="rId1523" Type="http://schemas.openxmlformats.org/officeDocument/2006/relationships/hyperlink" Target="https://github.com/BerriAI/litellm/blob/main/CLAUDE.md" TargetMode="External"/><Relationship Id="rId1730" Type="http://schemas.openxmlformats.org/officeDocument/2006/relationships/hyperlink" Target="https://github.com/NuGet/NuGetGallery/blob/main/.github/copilot-instructions.md" TargetMode="External"/><Relationship Id="rId22" Type="http://schemas.openxmlformats.org/officeDocument/2006/relationships/hyperlink" Target="https://github.com/PrairieLearn/PrairieLearn/blob/master/AGENTS.md" TargetMode="External"/><Relationship Id="rId1828" Type="http://schemas.openxmlformats.org/officeDocument/2006/relationships/hyperlink" Target="https://github.com/geneontology/go-ontology/blob/master/.github/copilot-instructions.md" TargetMode="External"/><Relationship Id="rId171" Type="http://schemas.openxmlformats.org/officeDocument/2006/relationships/hyperlink" Target="https://github.com/sybrew/the-seo-framework/blob/master/.github/copilot-instructions.md" TargetMode="External"/><Relationship Id="rId269" Type="http://schemas.openxmlformats.org/officeDocument/2006/relationships/hyperlink" Target="https://github.com/geneontology/go-ontology/blob/master/.github/copilot-instructions.md" TargetMode="External"/><Relationship Id="rId476" Type="http://schemas.openxmlformats.org/officeDocument/2006/relationships/hyperlink" Target="https://github.com/allenai/open-instruct/blob/main/CLAUDE.md" TargetMode="External"/><Relationship Id="rId683" Type="http://schemas.openxmlformats.org/officeDocument/2006/relationships/hyperlink" Target="https://github.com/compiler-explorer/infra/blob/main/CLAUDE.md" TargetMode="External"/><Relationship Id="rId890" Type="http://schemas.openxmlformats.org/officeDocument/2006/relationships/hyperlink" Target="https://github.com/Pipelex/pipelex/blob/main/CLAUDE.md" TargetMode="External"/><Relationship Id="rId129" Type="http://schemas.openxmlformats.org/officeDocument/2006/relationships/hyperlink" Target="https://github.com/microsoft/ApplicationInsights-JS/blob/main/.github/copilot-instructions.md" TargetMode="External"/><Relationship Id="rId336" Type="http://schemas.openxmlformats.org/officeDocument/2006/relationships/hyperlink" Target="https://github.com/paradigmxyz/reth/blob/main/CLAUDE.md" TargetMode="External"/><Relationship Id="rId543" Type="http://schemas.openxmlformats.org/officeDocument/2006/relationships/hyperlink" Target="https://github.com/Pipelex/pipelex/blob/main/CLAUDE.md" TargetMode="External"/><Relationship Id="rId988" Type="http://schemas.openxmlformats.org/officeDocument/2006/relationships/hyperlink" Target="https://github.com/mixpanel/mixpanel-android/blob/master/AGENTS.md" TargetMode="External"/><Relationship Id="rId1173" Type="http://schemas.openxmlformats.org/officeDocument/2006/relationships/hyperlink" Target="https://github.com/OneKeyHQ/app-monorepo/blob/master/CLAUDE.md" TargetMode="External"/><Relationship Id="rId1380" Type="http://schemas.openxmlformats.org/officeDocument/2006/relationships/hyperlink" Target="https://github.com/hathach/tinyusb/blob/master/AGENTS.md" TargetMode="External"/><Relationship Id="rId403" Type="http://schemas.openxmlformats.org/officeDocument/2006/relationships/hyperlink" Target="https://github.com/dotnet/macios/blob/main/.github/copilot-instructions.md" TargetMode="External"/><Relationship Id="rId750" Type="http://schemas.openxmlformats.org/officeDocument/2006/relationships/hyperlink" Target="https://github.com/CapSoftware/Cap/blob/main/CLAUDE.md" TargetMode="External"/><Relationship Id="rId848" Type="http://schemas.openxmlformats.org/officeDocument/2006/relationships/hyperlink" Target="https://github.com/module-federation/core/blob/main/CLAUDE.md" TargetMode="External"/><Relationship Id="rId1033" Type="http://schemas.openxmlformats.org/officeDocument/2006/relationships/hyperlink" Target="https://github.com/webgptorg/promptbook/blob/main/AGENTS.md" TargetMode="External"/><Relationship Id="rId1478" Type="http://schemas.openxmlformats.org/officeDocument/2006/relationships/hyperlink" Target="https://github.com/twentyhq/twenty/blob/main/CLAUDE.md" TargetMode="External"/><Relationship Id="rId1685" Type="http://schemas.openxmlformats.org/officeDocument/2006/relationships/hyperlink" Target="https://github.com/owid/etl/blob/master/AGENTS.md" TargetMode="External"/><Relationship Id="rId1892" Type="http://schemas.openxmlformats.org/officeDocument/2006/relationships/hyperlink" Target="https://github.com/obophenotype/uberon/blob/master/.github/copilot-instructions.md" TargetMode="External"/><Relationship Id="rId610" Type="http://schemas.openxmlformats.org/officeDocument/2006/relationships/hyperlink" Target="https://github.com/rustfs/rustfs/blob/main/AGENTS.md" TargetMode="External"/><Relationship Id="rId708" Type="http://schemas.openxmlformats.org/officeDocument/2006/relationships/hyperlink" Target="https://github.com/useautumn/autumn/blob/main/AGENTS.md" TargetMode="External"/><Relationship Id="rId915" Type="http://schemas.openxmlformats.org/officeDocument/2006/relationships/hyperlink" Target="https://github.com/Southclaws/storyden/blob/main/CLAUDE.md" TargetMode="External"/><Relationship Id="rId1240" Type="http://schemas.openxmlformats.org/officeDocument/2006/relationships/hyperlink" Target="https://github.com/thirdweb-dev/js/blob/main/CLAUDE.md" TargetMode="External"/><Relationship Id="rId1338" Type="http://schemas.openxmlformats.org/officeDocument/2006/relationships/hyperlink" Target="https://github.com/open-metadata/OpenMetadata/blob/main/CLAUDE.md" TargetMode="External"/><Relationship Id="rId1545" Type="http://schemas.openxmlformats.org/officeDocument/2006/relationships/hyperlink" Target="https://github.com/dotCMS/core/blob/main/CLAUDE.md" TargetMode="External"/><Relationship Id="rId1100" Type="http://schemas.openxmlformats.org/officeDocument/2006/relationships/hyperlink" Target="https://github.com/geneontology/go-ontology/blob/master/.github/copilot-instructions.md" TargetMode="External"/><Relationship Id="rId1405" Type="http://schemas.openxmlformats.org/officeDocument/2006/relationships/hyperlink" Target="https://github.com/marin-community/marin/blob/main/AGENTS.md" TargetMode="External"/><Relationship Id="rId1752" Type="http://schemas.openxmlformats.org/officeDocument/2006/relationships/hyperlink" Target="https://github.com/HotCakeX/Harden-Windows-Security/blob/main/.github/copilot-instructions.md" TargetMode="External"/><Relationship Id="rId44" Type="http://schemas.openxmlformats.org/officeDocument/2006/relationships/hyperlink" Target="https://github.com/Rello/analytics/blob/master/AGENTS.md" TargetMode="External"/><Relationship Id="rId1612" Type="http://schemas.openxmlformats.org/officeDocument/2006/relationships/hyperlink" Target="https://github.com/Pipelex/pipelex/blob/main/CLAUDE.md" TargetMode="External"/><Relationship Id="rId1917" Type="http://schemas.openxmlformats.org/officeDocument/2006/relationships/hyperlink" Target="https://github.com/xlnfinance/xln/blob/main/CLAUDE.md" TargetMode="External"/><Relationship Id="rId193" Type="http://schemas.openxmlformats.org/officeDocument/2006/relationships/hyperlink" Target="https://github.com/sarchlab/akita/blob/main/.github/copilot-instructions.md" TargetMode="External"/><Relationship Id="rId498" Type="http://schemas.openxmlformats.org/officeDocument/2006/relationships/hyperlink" Target="https://github.com/colinhacks/zod/blob/main/CLAUDE.md" TargetMode="External"/><Relationship Id="rId260" Type="http://schemas.openxmlformats.org/officeDocument/2006/relationships/hyperlink" Target="https://github.com/dotnet/runtime/blob/main/.github/copilot-instructions.md" TargetMode="External"/><Relationship Id="rId120" Type="http://schemas.openxmlformats.org/officeDocument/2006/relationships/hyperlink" Target="https://github.com/geneontology/go-ontology/blob/master/.github/copilot-instructions.md" TargetMode="External"/><Relationship Id="rId358" Type="http://schemas.openxmlformats.org/officeDocument/2006/relationships/hyperlink" Target="https://github.com/commonwarexyz/monorepo/blob/main/AGENTS.md" TargetMode="External"/><Relationship Id="rId565" Type="http://schemas.openxmlformats.org/officeDocument/2006/relationships/hyperlink" Target="https://github.com/spylang/spy/blob/main/CLAUDE.md" TargetMode="External"/><Relationship Id="rId772" Type="http://schemas.openxmlformats.org/officeDocument/2006/relationships/hyperlink" Target="https://github.com/coder/coder/blob/main/CLAUDE.md" TargetMode="External"/><Relationship Id="rId1195" Type="http://schemas.openxmlformats.org/officeDocument/2006/relationships/hyperlink" Target="https://github.com/stack-auth/stack-auth/blob/main/AGENTS.md" TargetMode="External"/><Relationship Id="rId218" Type="http://schemas.openxmlformats.org/officeDocument/2006/relationships/hyperlink" Target="https://github.com/dotnet/runtime/blob/main/.github/copilot-instructions.md" TargetMode="External"/><Relationship Id="rId425" Type="http://schemas.openxmlformats.org/officeDocument/2006/relationships/hyperlink" Target="https://github.com/abh/ntppool/blob/main/CLAUDE.md" TargetMode="External"/><Relationship Id="rId632" Type="http://schemas.openxmlformats.org/officeDocument/2006/relationships/hyperlink" Target="https://github.com/dotnet/runtime/blob/main/.github/copilot-instructions.md" TargetMode="External"/><Relationship Id="rId1055" Type="http://schemas.openxmlformats.org/officeDocument/2006/relationships/hyperlink" Target="https://github.com/ast-grep/ast-grep/blob/main/.github/copilot-instructions.md" TargetMode="External"/><Relationship Id="rId1262" Type="http://schemas.openxmlformats.org/officeDocument/2006/relationships/hyperlink" Target="https://github.com/anyproto/anytype-swift/blob/main/CLAUDE.md" TargetMode="External"/><Relationship Id="rId937" Type="http://schemas.openxmlformats.org/officeDocument/2006/relationships/hyperlink" Target="https://github.com/xlnfinance/xln/blob/main/CLAUDE.md" TargetMode="External"/><Relationship Id="rId1122" Type="http://schemas.openxmlformats.org/officeDocument/2006/relationships/hyperlink" Target="https://github.com/microsoft/ApplicationInsights-JS/blob/main/.github/copilot-instructions.md" TargetMode="External"/><Relationship Id="rId1567" Type="http://schemas.openxmlformats.org/officeDocument/2006/relationships/hyperlink" Target="https://github.com/getsentry/vitest-evals/blob/main/CLAUDE.md" TargetMode="External"/><Relationship Id="rId1774" Type="http://schemas.openxmlformats.org/officeDocument/2006/relationships/hyperlink" Target="https://github.com/microsoft/vs-threading/blob/main/.github/copilot-instructions.md" TargetMode="External"/><Relationship Id="rId66" Type="http://schemas.openxmlformats.org/officeDocument/2006/relationships/hyperlink" Target="https://github.com/theopenco/llmgateway/blob/main/AGENTS.md" TargetMode="External"/><Relationship Id="rId1427" Type="http://schemas.openxmlformats.org/officeDocument/2006/relationships/hyperlink" Target="https://github.com/SimonHalvdansson/Harmonic-HN/blob/main/AGENTS.md" TargetMode="External"/><Relationship Id="rId1634" Type="http://schemas.openxmlformats.org/officeDocument/2006/relationships/hyperlink" Target="https://github.com/wolfi-dev/os/blob/main/CLAUDE.md" TargetMode="External"/><Relationship Id="rId1841" Type="http://schemas.openxmlformats.org/officeDocument/2006/relationships/hyperlink" Target="https://github.com/abh/ntppool/blob/main/CLAUDE.md" TargetMode="External"/><Relationship Id="rId1939" Type="http://schemas.openxmlformats.org/officeDocument/2006/relationships/hyperlink" Target="https://github.com/luccahuguet/yazelix/blob/main/AGENTS.md" TargetMode="External"/><Relationship Id="rId1701" Type="http://schemas.openxmlformats.org/officeDocument/2006/relationships/hyperlink" Target="https://github.com/Agoric/agoric-sdk/blob/master/.github/copilot-instructions.md" TargetMode="External"/><Relationship Id="rId282" Type="http://schemas.openxmlformats.org/officeDocument/2006/relationships/hyperlink" Target="https://github.com/cockroachdb/cockroach/blob/master/CLAUDE.md" TargetMode="External"/><Relationship Id="rId587" Type="http://schemas.openxmlformats.org/officeDocument/2006/relationships/hyperlink" Target="https://github.com/hathach/tinyusb/blob/master/AGENTS.md" TargetMode="External"/><Relationship Id="rId8" Type="http://schemas.openxmlformats.org/officeDocument/2006/relationships/hyperlink" Target="https://github.com/msgbyte/tianji/blob/master/AGENTS.md" TargetMode="External"/><Relationship Id="rId142" Type="http://schemas.openxmlformats.org/officeDocument/2006/relationships/hyperlink" Target="https://github.com/obophenotype/uberon/blob/master/.github/copilot-instructions.md" TargetMode="External"/><Relationship Id="rId447" Type="http://schemas.openxmlformats.org/officeDocument/2006/relationships/hyperlink" Target="https://github.com/julep-ai/julep/blob/main/AGENTS.md" TargetMode="External"/><Relationship Id="rId794" Type="http://schemas.openxmlformats.org/officeDocument/2006/relationships/hyperlink" Target="https://github.com/dropseed/plain/blob/main/CLAUDE.md" TargetMode="External"/><Relationship Id="rId1077" Type="http://schemas.openxmlformats.org/officeDocument/2006/relationships/hyperlink" Target="https://github.com/Chainlit/chainlit/blob/main/.github/copilot-instructions.md" TargetMode="External"/><Relationship Id="rId654" Type="http://schemas.openxmlformats.org/officeDocument/2006/relationships/hyperlink" Target="https://github.com/NG-ZORRO/ng-zorro-antd/blob/master/.github/copilot-instructions.md" TargetMode="External"/><Relationship Id="rId861" Type="http://schemas.openxmlformats.org/officeDocument/2006/relationships/hyperlink" Target="https://github.com/OlympiaAI/raix/blob/main/CLAUDE.md" TargetMode="External"/><Relationship Id="rId959" Type="http://schemas.openxmlformats.org/officeDocument/2006/relationships/hyperlink" Target="https://github.com/carverauto/serviceradar/blob/main/AGENTS.md" TargetMode="External"/><Relationship Id="rId1284" Type="http://schemas.openxmlformats.org/officeDocument/2006/relationships/hyperlink" Target="https://github.com/BerriAI/litellm/blob/main/CLAUDE.md" TargetMode="External"/><Relationship Id="rId1491" Type="http://schemas.openxmlformats.org/officeDocument/2006/relationships/hyperlink" Target="https://github.com/wieslawsoltes/Xaml.Behaviors/blob/master/AGENTS.md" TargetMode="External"/><Relationship Id="rId1589" Type="http://schemas.openxmlformats.org/officeDocument/2006/relationships/hyperlink" Target="https://github.com/modelcontextprotocol/typescript-sdk/blob/main/CLAUDE.md" TargetMode="External"/><Relationship Id="rId307" Type="http://schemas.openxmlformats.org/officeDocument/2006/relationships/hyperlink" Target="https://github.com/dailydotdev/apps/blob/main/CLAUDE.md" TargetMode="External"/><Relationship Id="rId514" Type="http://schemas.openxmlformats.org/officeDocument/2006/relationships/hyperlink" Target="https://github.com/home-assistant/frontend/blob/master/CLAUDE.md" TargetMode="External"/><Relationship Id="rId721" Type="http://schemas.openxmlformats.org/officeDocument/2006/relationships/hyperlink" Target="https://github.com/abh/ntppool/blob/main/CLAUDE.md" TargetMode="External"/><Relationship Id="rId1144" Type="http://schemas.openxmlformats.org/officeDocument/2006/relationships/hyperlink" Target="https://github.com/sarchlab/akita/blob/main/.github/copilot-instructions.md" TargetMode="External"/><Relationship Id="rId1351" Type="http://schemas.openxmlformats.org/officeDocument/2006/relationships/hyperlink" Target="https://github.com/stepfunc/dnp3/blob/main/CLAUDE.md" TargetMode="External"/><Relationship Id="rId1449" Type="http://schemas.openxmlformats.org/officeDocument/2006/relationships/hyperlink" Target="https://github.com/FidelusAleksander/ghcertified/blob/master/.github/copilot-instructions.md" TargetMode="External"/><Relationship Id="rId1796" Type="http://schemas.openxmlformats.org/officeDocument/2006/relationships/hyperlink" Target="https://github.com/theopenco/llmgateway/blob/main/AGENTS.md" TargetMode="External"/><Relationship Id="rId88" Type="http://schemas.openxmlformats.org/officeDocument/2006/relationships/hyperlink" Target="https://github.com/zenml-io/zenml/blob/main/AGENTS.md" TargetMode="External"/><Relationship Id="rId819" Type="http://schemas.openxmlformats.org/officeDocument/2006/relationships/hyperlink" Target="https://github.com/geneontology/go-ontology/blob/master/CLAUDE.md" TargetMode="External"/><Relationship Id="rId1004" Type="http://schemas.openxmlformats.org/officeDocument/2006/relationships/hyperlink" Target="https://github.com/proximafusion/vmecpp/blob/main/AGENTS.md" TargetMode="External"/><Relationship Id="rId1211" Type="http://schemas.openxmlformats.org/officeDocument/2006/relationships/hyperlink" Target="https://github.com/logancyang/obsidian-copilot/blob/master/AGENTS.md" TargetMode="External"/><Relationship Id="rId1656" Type="http://schemas.openxmlformats.org/officeDocument/2006/relationships/hyperlink" Target="https://github.com/EduardoPires/EquinoxProject/blob/master/AGENTS.md" TargetMode="External"/><Relationship Id="rId1863" Type="http://schemas.openxmlformats.org/officeDocument/2006/relationships/hyperlink" Target="https://github.com/module-federation/core/blob/main/CLAUDE.md" TargetMode="External"/><Relationship Id="rId1309" Type="http://schemas.openxmlformats.org/officeDocument/2006/relationships/hyperlink" Target="https://github.com/habibrehmansg/infopanel/blob/main/CLAUDE.md" TargetMode="External"/><Relationship Id="rId1516" Type="http://schemas.openxmlformats.org/officeDocument/2006/relationships/hyperlink" Target="https://github.com/anyproto/anytype-ts/blob/main/CLAUDE.md" TargetMode="External"/><Relationship Id="rId1723" Type="http://schemas.openxmlformats.org/officeDocument/2006/relationships/hyperlink" Target="https://github.com/microsoft/GSL/blob/main/.github/copilot-instructions.md" TargetMode="External"/><Relationship Id="rId1930" Type="http://schemas.openxmlformats.org/officeDocument/2006/relationships/hyperlink" Target="https://github.com/public-ui/kolibri/blob/master/AGENTS.md" TargetMode="External"/><Relationship Id="rId15" Type="http://schemas.openxmlformats.org/officeDocument/2006/relationships/hyperlink" Target="https://github.com/Pipelex/pipelex/blob/main/AGENTS.md" TargetMode="External"/><Relationship Id="rId164" Type="http://schemas.openxmlformats.org/officeDocument/2006/relationships/hyperlink" Target="https://github.com/sybrew/the-seo-framework/blob/master/.github/copilot-instructions.md" TargetMode="External"/><Relationship Id="rId371" Type="http://schemas.openxmlformats.org/officeDocument/2006/relationships/hyperlink" Target="https://github.com/PrairieLearn/PrairieLearn/blob/master/AGENTS.md" TargetMode="External"/><Relationship Id="rId469" Type="http://schemas.openxmlformats.org/officeDocument/2006/relationships/hyperlink" Target="https://github.com/FastLED/FastLED/blob/master/CLAUDE.md" TargetMode="External"/><Relationship Id="rId676" Type="http://schemas.openxmlformats.org/officeDocument/2006/relationships/hyperlink" Target="https://github.com/public-ui/kolibri/blob/master/AGENTS.md" TargetMode="External"/><Relationship Id="rId883" Type="http://schemas.openxmlformats.org/officeDocument/2006/relationships/hyperlink" Target="https://github.com/pannous/wasp/blob/main/CLAUDE.md" TargetMode="External"/><Relationship Id="rId1099" Type="http://schemas.openxmlformats.org/officeDocument/2006/relationships/hyperlink" Target="https://github.com/friendsofhyperf/components/blob/main/.github/copilot-instructions.md" TargetMode="External"/><Relationship Id="rId231" Type="http://schemas.openxmlformats.org/officeDocument/2006/relationships/hyperlink" Target="https://github.com/Pipelex/pipelex/blob/main/AGENTS.md" TargetMode="External"/><Relationship Id="rId329" Type="http://schemas.openxmlformats.org/officeDocument/2006/relationships/hyperlink" Target="https://github.com/OlympiaAI/raix/blob/main/CLAUDE.md" TargetMode="External"/><Relationship Id="rId536" Type="http://schemas.openxmlformats.org/officeDocument/2006/relationships/hyperlink" Target="https://github.com/open-metadata/OpenMetadata/blob/main/CLAUDE.md" TargetMode="External"/><Relationship Id="rId1166" Type="http://schemas.openxmlformats.org/officeDocument/2006/relationships/hyperlink" Target="https://github.com/OneKeyHQ/app-monorepo/blob/master/CLAUDE.md" TargetMode="External"/><Relationship Id="rId1373" Type="http://schemas.openxmlformats.org/officeDocument/2006/relationships/hyperlink" Target="https://github.com/commonwarexyz/monorepo/blob/main/AGENTS.md" TargetMode="External"/><Relationship Id="rId743" Type="http://schemas.openxmlformats.org/officeDocument/2006/relationships/hyperlink" Target="https://github.com/browser-use/browser-use/blob/main/CLAUDE.md" TargetMode="External"/><Relationship Id="rId950" Type="http://schemas.openxmlformats.org/officeDocument/2006/relationships/hyperlink" Target="https://github.com/alchemiststudiosDOTai/tunacode/blob/master/AGENTS.md" TargetMode="External"/><Relationship Id="rId1026" Type="http://schemas.openxmlformats.org/officeDocument/2006/relationships/hyperlink" Target="https://github.com/theopenco/llmgateway/blob/main/AGENTS.md" TargetMode="External"/><Relationship Id="rId1580" Type="http://schemas.openxmlformats.org/officeDocument/2006/relationships/hyperlink" Target="https://github.com/langchain-ai/langchain/blob/master/CLAUDE.md" TargetMode="External"/><Relationship Id="rId1678" Type="http://schemas.openxmlformats.org/officeDocument/2006/relationships/hyperlink" Target="https://github.com/marin-community/marin/blob/main/AGENTS.md" TargetMode="External"/><Relationship Id="rId1885" Type="http://schemas.openxmlformats.org/officeDocument/2006/relationships/hyperlink" Target="https://github.com/dotnet/runtime/blob/main/.github/copilot-instructions.md" TargetMode="External"/><Relationship Id="rId603" Type="http://schemas.openxmlformats.org/officeDocument/2006/relationships/hyperlink" Target="https://github.com/Pipelex/pipelex/blob/main/AGENTS.md" TargetMode="External"/><Relationship Id="rId810" Type="http://schemas.openxmlformats.org/officeDocument/2006/relationships/hyperlink" Target="https://github.com/Freika/dawarich/blob/master/CLAUDE.md" TargetMode="External"/><Relationship Id="rId908" Type="http://schemas.openxmlformats.org/officeDocument/2006/relationships/hyperlink" Target="https://github.com/RchGrav/claudebox/blob/main/CLAUDE.md" TargetMode="External"/><Relationship Id="rId1233" Type="http://schemas.openxmlformats.org/officeDocument/2006/relationships/hyperlink" Target="https://github.com/dotCMS/core/blob/main/CLAUDE.md" TargetMode="External"/><Relationship Id="rId1440" Type="http://schemas.openxmlformats.org/officeDocument/2006/relationships/hyperlink" Target="https://github.com/zenml-io/zenml/blob/main/AGENTS.md" TargetMode="External"/><Relationship Id="rId1538" Type="http://schemas.openxmlformats.org/officeDocument/2006/relationships/hyperlink" Target="https://github.com/compiler-explorer/compiler-explorer/blob/main/CLAUDE.md" TargetMode="External"/><Relationship Id="rId1300" Type="http://schemas.openxmlformats.org/officeDocument/2006/relationships/hyperlink" Target="https://github.com/Freika/dawarich/blob/master/CLAUDE.md" TargetMode="External"/><Relationship Id="rId1745" Type="http://schemas.openxmlformats.org/officeDocument/2006/relationships/hyperlink" Target="https://github.com/zwave-js/zwave-js/blob/master/.github/copilot-instructions.md" TargetMode="External"/><Relationship Id="rId37" Type="http://schemas.openxmlformats.org/officeDocument/2006/relationships/hyperlink" Target="https://github.com/pulumi/docs/blob/master/AGENTS.md" TargetMode="External"/><Relationship Id="rId1605" Type="http://schemas.openxmlformats.org/officeDocument/2006/relationships/hyperlink" Target="https://github.com/open-metadata/OpenMetadata/blob/main/CLAUDE.md" TargetMode="External"/><Relationship Id="rId1812" Type="http://schemas.openxmlformats.org/officeDocument/2006/relationships/hyperlink" Target="https://github.com/zenml-io/zenml/blob/main/CLAUDE.md" TargetMode="External"/><Relationship Id="rId186" Type="http://schemas.openxmlformats.org/officeDocument/2006/relationships/hyperlink" Target="https://github.com/wled/WLED/blob/main/.github/copilot-instructions.md" TargetMode="External"/><Relationship Id="rId393" Type="http://schemas.openxmlformats.org/officeDocument/2006/relationships/hyperlink" Target="https://github.com/Azure/azure-mcp/blob/main/.github/copilot-instructions.md" TargetMode="External"/></Relationships>
</file>

<file path=xl/worksheets/_rels/sheet9.xml.rels><?xml version="1.0" encoding="UTF-8" standalone="yes"?>
<Relationships xmlns="http://schemas.openxmlformats.org/package/2006/relationships"><Relationship Id="rId1522" Type="http://schemas.openxmlformats.org/officeDocument/2006/relationships/hyperlink" Target="https://github.com/BerriAI/litellm/blob/main/CLAUDE.md" TargetMode="External"/><Relationship Id="rId1827" Type="http://schemas.openxmlformats.org/officeDocument/2006/relationships/hyperlink" Target="https://github.com/DumbWareio/DumbAssets/blob/main/.github/copilot-instructions.md" TargetMode="External"/><Relationship Id="rId21" Type="http://schemas.openxmlformats.org/officeDocument/2006/relationships/hyperlink" Target="https://github.com/PrairieLearn/PrairieLearn/blob/master/AGENTS.md" TargetMode="External"/><Relationship Id="rId170" Type="http://schemas.openxmlformats.org/officeDocument/2006/relationships/hyperlink" Target="https://github.com/sybrew/the-seo-framework/blob/master/.github/copilot-instructions.md" TargetMode="External"/><Relationship Id="rId268" Type="http://schemas.openxmlformats.org/officeDocument/2006/relationships/hyperlink" Target="https://github.com/marin-community/marin/blob/main/AGENTS.md" TargetMode="External"/><Relationship Id="rId475" Type="http://schemas.openxmlformats.org/officeDocument/2006/relationships/hyperlink" Target="https://github.com/abh/ntppool/blob/main/CLAUDE.md" TargetMode="External"/><Relationship Id="rId682" Type="http://schemas.openxmlformats.org/officeDocument/2006/relationships/hyperlink" Target="https://github.com/module-federation/core/blob/main/CLAUDE.md" TargetMode="External"/><Relationship Id="rId128" Type="http://schemas.openxmlformats.org/officeDocument/2006/relationships/hyperlink" Target="https://github.com/microsoft/ApplicationInsights-JS/blob/main/.github/copilot-instructions.md" TargetMode="External"/><Relationship Id="rId335" Type="http://schemas.openxmlformats.org/officeDocument/2006/relationships/hyperlink" Target="https://github.com/pannous/wasp/blob/main/CLAUDE.md" TargetMode="External"/><Relationship Id="rId542" Type="http://schemas.openxmlformats.org/officeDocument/2006/relationships/hyperlink" Target="https://github.com/paradigmxyz/reth/blob/main/CLAUDE.md" TargetMode="External"/><Relationship Id="rId987" Type="http://schemas.openxmlformats.org/officeDocument/2006/relationships/hyperlink" Target="https://github.com/mixpanel/mixpanel-android/blob/master/AGENTS.md" TargetMode="External"/><Relationship Id="rId1172" Type="http://schemas.openxmlformats.org/officeDocument/2006/relationships/hyperlink" Target="https://github.com/OneKeyHQ/app-monorepo/blob/master/CLAUDE.md" TargetMode="External"/><Relationship Id="rId402" Type="http://schemas.openxmlformats.org/officeDocument/2006/relationships/hyperlink" Target="https://github.com/dotnet/macios/blob/main/.github/copilot-instructions.md" TargetMode="External"/><Relationship Id="rId847" Type="http://schemas.openxmlformats.org/officeDocument/2006/relationships/hyperlink" Target="https://github.com/module-federation/core/blob/main/CLAUDE.md" TargetMode="External"/><Relationship Id="rId1032" Type="http://schemas.openxmlformats.org/officeDocument/2006/relationships/hyperlink" Target="https://github.com/webgptorg/promptbook/blob/main/AGENTS.md" TargetMode="External"/><Relationship Id="rId1477" Type="http://schemas.openxmlformats.org/officeDocument/2006/relationships/hyperlink" Target="https://github.com/thirdweb-dev/js/blob/main/CLAUDE.md" TargetMode="External"/><Relationship Id="rId1684" Type="http://schemas.openxmlformats.org/officeDocument/2006/relationships/hyperlink" Target="https://github.com/owid/etl/blob/master/AGENTS.md" TargetMode="External"/><Relationship Id="rId1891" Type="http://schemas.openxmlformats.org/officeDocument/2006/relationships/hyperlink" Target="https://github.com/NuGet/NuGetGallery/blob/main/.github/copilot-instructions.md" TargetMode="External"/><Relationship Id="rId707" Type="http://schemas.openxmlformats.org/officeDocument/2006/relationships/hyperlink" Target="https://github.com/openai/openai-agents-python/blob/main/AGENTS.md" TargetMode="External"/><Relationship Id="rId914" Type="http://schemas.openxmlformats.org/officeDocument/2006/relationships/hyperlink" Target="https://github.com/Southclaws/storyden/blob/main/CLAUDE.md" TargetMode="External"/><Relationship Id="rId1337" Type="http://schemas.openxmlformats.org/officeDocument/2006/relationships/hyperlink" Target="https://github.com/open-metadata/OpenMetadata/blob/main/CLAUDE.md" TargetMode="External"/><Relationship Id="rId1544" Type="http://schemas.openxmlformats.org/officeDocument/2006/relationships/hyperlink" Target="https://github.com/dotCMS/core/blob/main/CLAUDE.md" TargetMode="External"/><Relationship Id="rId1751" Type="http://schemas.openxmlformats.org/officeDocument/2006/relationships/hyperlink" Target="https://github.com/wandb/weave/blob/master/AGENTS.md" TargetMode="External"/><Relationship Id="rId43" Type="http://schemas.openxmlformats.org/officeDocument/2006/relationships/hyperlink" Target="https://github.com/pytorch/pytorch/blob/main/AGENTS.md" TargetMode="External"/><Relationship Id="rId1404" Type="http://schemas.openxmlformats.org/officeDocument/2006/relationships/hyperlink" Target="https://github.com/marin-community/marin/blob/main/AGENTS.md" TargetMode="External"/><Relationship Id="rId1611" Type="http://schemas.openxmlformats.org/officeDocument/2006/relationships/hyperlink" Target="https://github.com/Pipelex/pipelex/blob/main/CLAUDE.md" TargetMode="External"/><Relationship Id="rId1849" Type="http://schemas.openxmlformats.org/officeDocument/2006/relationships/hyperlink" Target="https://github.com/compiler-explorer/compiler-explorer/blob/main/CLAUDE.md" TargetMode="External"/><Relationship Id="rId192" Type="http://schemas.openxmlformats.org/officeDocument/2006/relationships/hyperlink" Target="https://github.com/dotnet/sdk/blob/main/.github/copilot-instructions.md" TargetMode="External"/><Relationship Id="rId1709" Type="http://schemas.openxmlformats.org/officeDocument/2006/relationships/hyperlink" Target="https://github.com/dotnet/dotnet-api-docs/blob/main/.github/copilot-instructions.md" TargetMode="External"/><Relationship Id="rId1916" Type="http://schemas.openxmlformats.org/officeDocument/2006/relationships/hyperlink" Target="https://github.com/xlnfinance/xln/blob/main/CLAUDE.md" TargetMode="External"/><Relationship Id="rId497" Type="http://schemas.openxmlformats.org/officeDocument/2006/relationships/hyperlink" Target="https://github.com/coder/coder/blob/main/CLAUDE.md" TargetMode="External"/><Relationship Id="rId357" Type="http://schemas.openxmlformats.org/officeDocument/2006/relationships/hyperlink" Target="https://github.com/CapSoftware/Cap/blob/main/AGENTS.md" TargetMode="External"/><Relationship Id="rId1194" Type="http://schemas.openxmlformats.org/officeDocument/2006/relationships/hyperlink" Target="https://github.com/julep-ai/julep/blob/main/AGENTS.md" TargetMode="External"/><Relationship Id="rId217" Type="http://schemas.openxmlformats.org/officeDocument/2006/relationships/hyperlink" Target="https://github.com/wandb/weave/blob/master/AGENTS.md" TargetMode="External"/><Relationship Id="rId564" Type="http://schemas.openxmlformats.org/officeDocument/2006/relationships/hyperlink" Target="https://github.com/speaches-ai/speaches/blob/master/CLAUDE.md" TargetMode="External"/><Relationship Id="rId771" Type="http://schemas.openxmlformats.org/officeDocument/2006/relationships/hyperlink" Target="https://github.com/coder/coder/blob/main/CLAUDE.md" TargetMode="External"/><Relationship Id="rId869" Type="http://schemas.openxmlformats.org/officeDocument/2006/relationships/hyperlink" Target="https://github.com/open-metadata/OpenMetadata/blob/main/CLAUDE.md" TargetMode="External"/><Relationship Id="rId1499" Type="http://schemas.openxmlformats.org/officeDocument/2006/relationships/hyperlink" Target="https://github.com/dotnet/docs-aspire/blob/main/.github/copilot-instructions.md" TargetMode="External"/><Relationship Id="rId424" Type="http://schemas.openxmlformats.org/officeDocument/2006/relationships/hyperlink" Target="https://github.com/abh/ntppool/blob/main/CLAUDE.md" TargetMode="External"/><Relationship Id="rId631" Type="http://schemas.openxmlformats.org/officeDocument/2006/relationships/hyperlink" Target="https://github.com/dotnet/maui/blob/main/.github/copilot-instructions.md" TargetMode="External"/><Relationship Id="rId729" Type="http://schemas.openxmlformats.org/officeDocument/2006/relationships/hyperlink" Target="https://github.com/angular-eslint/angular-eslint/blob/main/CLAUDE.md" TargetMode="External"/><Relationship Id="rId1054" Type="http://schemas.openxmlformats.org/officeDocument/2006/relationships/hyperlink" Target="https://github.com/ast-grep/ast-grep/blob/main/.github/copilot-instructions.md" TargetMode="External"/><Relationship Id="rId1261" Type="http://schemas.openxmlformats.org/officeDocument/2006/relationships/hyperlink" Target="https://github.com/anyproto/anytype-swift/blob/main/CLAUDE.md" TargetMode="External"/><Relationship Id="rId1359" Type="http://schemas.openxmlformats.org/officeDocument/2006/relationships/hyperlink" Target="https://github.com/xlnfinance/xln/blob/main/CLAUDE.md" TargetMode="External"/><Relationship Id="rId936" Type="http://schemas.openxmlformats.org/officeDocument/2006/relationships/hyperlink" Target="https://github.com/xlnfinance/xln/blob/main/CLAUDE.md" TargetMode="External"/><Relationship Id="rId1121" Type="http://schemas.openxmlformats.org/officeDocument/2006/relationships/hyperlink" Target="https://github.com/james-gould/azure-keyvault-emulator/blob/master/.github/copilot-instructions.md" TargetMode="External"/><Relationship Id="rId1219" Type="http://schemas.openxmlformats.org/officeDocument/2006/relationships/hyperlink" Target="https://github.com/colinhacks/zod/blob/main/CLAUDE.md" TargetMode="External"/><Relationship Id="rId1566" Type="http://schemas.openxmlformats.org/officeDocument/2006/relationships/hyperlink" Target="https://github.com/getsentry/sentry-javascript/blob/master/CLAUDE.md" TargetMode="External"/><Relationship Id="rId1773" Type="http://schemas.openxmlformats.org/officeDocument/2006/relationships/hyperlink" Target="https://github.com/CapSoftware/Cap/blob/main/AGENTS.md" TargetMode="External"/><Relationship Id="rId65" Type="http://schemas.openxmlformats.org/officeDocument/2006/relationships/hyperlink" Target="https://github.com/theopenco/llmgateway/blob/main/AGENTS.md" TargetMode="External"/><Relationship Id="rId1426" Type="http://schemas.openxmlformats.org/officeDocument/2006/relationships/hyperlink" Target="https://github.com/shopware/shopware/blob/master/AGENTS.md" TargetMode="External"/><Relationship Id="rId1633" Type="http://schemas.openxmlformats.org/officeDocument/2006/relationships/hyperlink" Target="https://github.com/wolfi-dev/os/blob/main/CLAUDE.md" TargetMode="External"/><Relationship Id="rId1840" Type="http://schemas.openxmlformats.org/officeDocument/2006/relationships/hyperlink" Target="https://github.com/abh/ntppool/blob/main/CLAUDE.md" TargetMode="External"/><Relationship Id="rId1700" Type="http://schemas.openxmlformats.org/officeDocument/2006/relationships/hyperlink" Target="https://github.com/zenml-io/zenml/blob/main/AGENTS.md" TargetMode="External"/><Relationship Id="rId1938" Type="http://schemas.openxmlformats.org/officeDocument/2006/relationships/hyperlink" Target="https://github.com/luccahuguet/yazelix/blob/main/AGENTS.md" TargetMode="External"/><Relationship Id="rId281" Type="http://schemas.openxmlformats.org/officeDocument/2006/relationships/hyperlink" Target="https://github.com/cloudposse/atmos/blob/main/CLAUDE.md" TargetMode="External"/><Relationship Id="rId141" Type="http://schemas.openxmlformats.org/officeDocument/2006/relationships/hyperlink" Target="https://github.com/NG-ZORRO/ng-zorro-antd/blob/master/.github/copilot-instructions.md" TargetMode="External"/><Relationship Id="rId379" Type="http://schemas.openxmlformats.org/officeDocument/2006/relationships/hyperlink" Target="https://github.com/pytorch/pytorch/blob/main/AGENTS.md" TargetMode="External"/><Relationship Id="rId586" Type="http://schemas.openxmlformats.org/officeDocument/2006/relationships/hyperlink" Target="https://github.com/gitkraken/vscode-gitlens/blob/main/AGENTS.md" TargetMode="External"/><Relationship Id="rId793" Type="http://schemas.openxmlformats.org/officeDocument/2006/relationships/hyperlink" Target="https://github.com/dailydotdev/apps/blob/main/CLAUDE.md" TargetMode="External"/><Relationship Id="rId7" Type="http://schemas.openxmlformats.org/officeDocument/2006/relationships/hyperlink" Target="https://github.com/microsoft/mcp-for-beginners/blob/main/AGENTS.md" TargetMode="External"/><Relationship Id="rId239" Type="http://schemas.openxmlformats.org/officeDocument/2006/relationships/hyperlink" Target="https://github.com/SparkDevNetwork/Rock/blob/master/.github/copilot-instructions.md" TargetMode="External"/><Relationship Id="rId446" Type="http://schemas.openxmlformats.org/officeDocument/2006/relationships/hyperlink" Target="https://github.com/geneontology/go-ontology/blob/master/.github/copilot-instructions.md" TargetMode="External"/><Relationship Id="rId653" Type="http://schemas.openxmlformats.org/officeDocument/2006/relationships/hyperlink" Target="https://github.com/NG-ZORRO/ng-zorro-antd/blob/master/.github/copilot-instructions.md" TargetMode="External"/><Relationship Id="rId1076" Type="http://schemas.openxmlformats.org/officeDocument/2006/relationships/hyperlink" Target="https://github.com/Chainlit/chainlit/blob/main/.github/copilot-instructions.md" TargetMode="External"/><Relationship Id="rId1283" Type="http://schemas.openxmlformats.org/officeDocument/2006/relationships/hyperlink" Target="https://github.com/Azure/LogicAppsUX/blob/main/CLAUDE.md" TargetMode="External"/><Relationship Id="rId1490" Type="http://schemas.openxmlformats.org/officeDocument/2006/relationships/hyperlink" Target="https://github.com/wieslawsoltes/Dock/blob/master/AGENTS.md" TargetMode="External"/><Relationship Id="rId306" Type="http://schemas.openxmlformats.org/officeDocument/2006/relationships/hyperlink" Target="https://github.com/dailydotdev/apps/blob/main/CLAUDE.md" TargetMode="External"/><Relationship Id="rId860" Type="http://schemas.openxmlformats.org/officeDocument/2006/relationships/hyperlink" Target="https://github.com/obophenotype/uberon/blob/master/CLAUDE.md" TargetMode="External"/><Relationship Id="rId958" Type="http://schemas.openxmlformats.org/officeDocument/2006/relationships/hyperlink" Target="https://github.com/CapSoftware/Cap/blob/main/AGENTS.md" TargetMode="External"/><Relationship Id="rId1143" Type="http://schemas.openxmlformats.org/officeDocument/2006/relationships/hyperlink" Target="https://github.com/primer/react/blob/main/.github/copilot-instructions.md" TargetMode="External"/><Relationship Id="rId1588" Type="http://schemas.openxmlformats.org/officeDocument/2006/relationships/hyperlink" Target="https://github.com/modelcontextprotocol/typescript-sdk/blob/main/CLAUDE.md" TargetMode="External"/><Relationship Id="rId1795" Type="http://schemas.openxmlformats.org/officeDocument/2006/relationships/hyperlink" Target="https://github.com/theopenco/llmgateway/blob/main/AGENTS.md" TargetMode="External"/><Relationship Id="rId87" Type="http://schemas.openxmlformats.org/officeDocument/2006/relationships/hyperlink" Target="https://github.com/yoshiko-pg/difit/blob/main/AGENTS.md" TargetMode="External"/><Relationship Id="rId513" Type="http://schemas.openxmlformats.org/officeDocument/2006/relationships/hyperlink" Target="https://github.com/grafbase/grafbase/blob/main/CLAUDE.md" TargetMode="External"/><Relationship Id="rId720" Type="http://schemas.openxmlformats.org/officeDocument/2006/relationships/hyperlink" Target="https://github.com/abh/ntppool/blob/main/CLAUDE.md" TargetMode="External"/><Relationship Id="rId818" Type="http://schemas.openxmlformats.org/officeDocument/2006/relationships/hyperlink" Target="https://github.com/geneontology/go-ontology/blob/master/CLAUDE.md" TargetMode="External"/><Relationship Id="rId1350" Type="http://schemas.openxmlformats.org/officeDocument/2006/relationships/hyperlink" Target="https://github.com/saleor/apps/blob/main/CLAUDE.md" TargetMode="External"/><Relationship Id="rId1448" Type="http://schemas.openxmlformats.org/officeDocument/2006/relationships/hyperlink" Target="https://github.com/FidelusAleksander/ghcertified/blob/master/.github/copilot-instructions.md" TargetMode="External"/><Relationship Id="rId1655" Type="http://schemas.openxmlformats.org/officeDocument/2006/relationships/hyperlink" Target="https://github.com/DataDog/datadog-agent/blob/main/AGENTS.md" TargetMode="External"/><Relationship Id="rId1003" Type="http://schemas.openxmlformats.org/officeDocument/2006/relationships/hyperlink" Target="https://github.com/PrairieLearn/PrairieLearn/blob/master/AGENTS.md" TargetMode="External"/><Relationship Id="rId1210" Type="http://schemas.openxmlformats.org/officeDocument/2006/relationships/hyperlink" Target="https://github.com/owid/etl/blob/master/CLAUDE.md" TargetMode="External"/><Relationship Id="rId1308" Type="http://schemas.openxmlformats.org/officeDocument/2006/relationships/hyperlink" Target="https://github.com/getsentry/sentry-cocoa/blob/main/CLAUDE.md" TargetMode="External"/><Relationship Id="rId1862" Type="http://schemas.openxmlformats.org/officeDocument/2006/relationships/hyperlink" Target="https://github.com/modelcontextprotocol/typescript-sdk/blob/main/CLAUDE.md" TargetMode="External"/><Relationship Id="rId1515" Type="http://schemas.openxmlformats.org/officeDocument/2006/relationships/hyperlink" Target="https://github.com/anyproto/anytype-ts/blob/main/CLAUDE.md" TargetMode="External"/><Relationship Id="rId1722" Type="http://schemas.openxmlformats.org/officeDocument/2006/relationships/hyperlink" Target="https://github.com/microsoft/FluidFramework/blob/main/.github/copilot-instructions.md" TargetMode="External"/><Relationship Id="rId14" Type="http://schemas.openxmlformats.org/officeDocument/2006/relationships/hyperlink" Target="https://github.com/Pipelex/pipelex/blob/main/AGENTS.md" TargetMode="External"/><Relationship Id="rId163" Type="http://schemas.openxmlformats.org/officeDocument/2006/relationships/hyperlink" Target="https://github.com/sybrew/the-seo-framework/blob/master/.github/copilot-instructions.md" TargetMode="External"/><Relationship Id="rId370" Type="http://schemas.openxmlformats.org/officeDocument/2006/relationships/hyperlink" Target="https://github.com/PrairieLearn/PrairieLearn/blob/master/AGENTS.md" TargetMode="External"/><Relationship Id="rId230" Type="http://schemas.openxmlformats.org/officeDocument/2006/relationships/hyperlink" Target="https://github.com/luccahuguet/yazelix/blob/main/AGENTS.md" TargetMode="External"/><Relationship Id="rId468" Type="http://schemas.openxmlformats.org/officeDocument/2006/relationships/hyperlink" Target="https://github.com/coder/coder/blob/main/CLAUDE.md" TargetMode="External"/><Relationship Id="rId675" Type="http://schemas.openxmlformats.org/officeDocument/2006/relationships/hyperlink" Target="https://github.com/carverauto/serviceradar/blob/main/AGENTS.md" TargetMode="External"/><Relationship Id="rId882" Type="http://schemas.openxmlformats.org/officeDocument/2006/relationships/hyperlink" Target="https://github.com/pannous/wasp/blob/main/CLAUDE.md" TargetMode="External"/><Relationship Id="rId1098" Type="http://schemas.openxmlformats.org/officeDocument/2006/relationships/hyperlink" Target="https://github.com/friendsofhyperf/components/blob/main/.github/copilot-instructions.md" TargetMode="External"/><Relationship Id="rId328" Type="http://schemas.openxmlformats.org/officeDocument/2006/relationships/hyperlink" Target="https://github.com/nrwl/nx/blob/master/CLAUDE.md" TargetMode="External"/><Relationship Id="rId535" Type="http://schemas.openxmlformats.org/officeDocument/2006/relationships/hyperlink" Target="https://github.com/open-metadata/OpenMetadata/blob/main/CLAUDE.md" TargetMode="External"/><Relationship Id="rId742" Type="http://schemas.openxmlformats.org/officeDocument/2006/relationships/hyperlink" Target="https://github.com/browser-use/browser-use/blob/main/CLAUDE.md" TargetMode="External"/><Relationship Id="rId1165" Type="http://schemas.openxmlformats.org/officeDocument/2006/relationships/hyperlink" Target="https://github.com/OneKeyHQ/app-monorepo/blob/master/CLAUDE.md" TargetMode="External"/><Relationship Id="rId1372" Type="http://schemas.openxmlformats.org/officeDocument/2006/relationships/hyperlink" Target="https://github.com/charlesvestal/extending-move/blob/main/AGENTS.md" TargetMode="External"/><Relationship Id="rId602" Type="http://schemas.openxmlformats.org/officeDocument/2006/relationships/hyperlink" Target="https://github.com/owid/etl/blob/master/AGENTS.md" TargetMode="External"/><Relationship Id="rId1025" Type="http://schemas.openxmlformats.org/officeDocument/2006/relationships/hyperlink" Target="https://github.com/theopenco/llmgateway/blob/main/AGENTS.md" TargetMode="External"/><Relationship Id="rId1232" Type="http://schemas.openxmlformats.org/officeDocument/2006/relationships/hyperlink" Target="https://github.com/dotCMS/core/blob/main/CLAUDE.md" TargetMode="External"/><Relationship Id="rId1677" Type="http://schemas.openxmlformats.org/officeDocument/2006/relationships/hyperlink" Target="https://github.com/marin-community/marin/blob/main/AGENTS.md" TargetMode="External"/><Relationship Id="rId1884" Type="http://schemas.openxmlformats.org/officeDocument/2006/relationships/hyperlink" Target="https://github.com/dotnet/runtime/blob/main/.github/copilot-instructions.md" TargetMode="External"/><Relationship Id="rId907" Type="http://schemas.openxmlformats.org/officeDocument/2006/relationships/hyperlink" Target="https://github.com/RchGrav/claudebox/blob/main/CLAUDE.md" TargetMode="External"/><Relationship Id="rId1537" Type="http://schemas.openxmlformats.org/officeDocument/2006/relationships/hyperlink" Target="https://github.com/Comfy-Org/comfy-claude-prompt-library/blob/master/CLAUDE.md" TargetMode="External"/><Relationship Id="rId1744" Type="http://schemas.openxmlformats.org/officeDocument/2006/relationships/hyperlink" Target="https://github.com/timmo001/system-bridge/blob/master/.github/copilot-instructions.md" TargetMode="External"/><Relationship Id="rId36" Type="http://schemas.openxmlformats.org/officeDocument/2006/relationships/hyperlink" Target="https://github.com/pulumi/docs/blob/master/AGENTS.md" TargetMode="External"/><Relationship Id="rId1604" Type="http://schemas.openxmlformats.org/officeDocument/2006/relationships/hyperlink" Target="https://github.com/open-metadata/OpenMetadata/blob/main/CLAUDE.md" TargetMode="External"/><Relationship Id="rId185" Type="http://schemas.openxmlformats.org/officeDocument/2006/relationships/hyperlink" Target="https://github.com/vczh-libraries/GacUI/blob/master/.github/copilot-instructions.md" TargetMode="External"/><Relationship Id="rId1811" Type="http://schemas.openxmlformats.org/officeDocument/2006/relationships/hyperlink" Target="https://github.com/open-metadata/OpenMetadata/blob/main/CLAUDE.md" TargetMode="External"/><Relationship Id="rId1909" Type="http://schemas.openxmlformats.org/officeDocument/2006/relationships/hyperlink" Target="https://github.com/microsoft/vs-threading/blob/main/.github/copilot-instructions.md" TargetMode="External"/><Relationship Id="rId392" Type="http://schemas.openxmlformats.org/officeDocument/2006/relationships/hyperlink" Target="https://github.com/Azure/autorest.typescript/blob/main/.github/copilot-instructions.md" TargetMode="External"/><Relationship Id="rId697" Type="http://schemas.openxmlformats.org/officeDocument/2006/relationships/hyperlink" Target="https://github.com/janbjorge/pgqueuer/blob/main/AGENTS.md" TargetMode="External"/><Relationship Id="rId252" Type="http://schemas.openxmlformats.org/officeDocument/2006/relationships/hyperlink" Target="https://github.com/getsentry/sentry-java/blob/main/CLAUDE.md" TargetMode="External"/><Relationship Id="rId1187" Type="http://schemas.openxmlformats.org/officeDocument/2006/relationships/hyperlink" Target="https://github.com/stack-auth/stack-auth/blob/main/AGENTS.md" TargetMode="External"/><Relationship Id="rId112" Type="http://schemas.openxmlformats.org/officeDocument/2006/relationships/hyperlink" Target="https://github.com/dotnet/maui/blob/main/.github/copilot-instructions.md" TargetMode="External"/><Relationship Id="rId557" Type="http://schemas.openxmlformats.org/officeDocument/2006/relationships/hyperlink" Target="https://github.com/saleor/saleor/blob/main/CLAUDE.md" TargetMode="External"/><Relationship Id="rId764" Type="http://schemas.openxmlformats.org/officeDocument/2006/relationships/hyperlink" Target="https://github.com/cloudposse/atmos/blob/main/CLAUDE.md" TargetMode="External"/><Relationship Id="rId971" Type="http://schemas.openxmlformats.org/officeDocument/2006/relationships/hyperlink" Target="https://github.com/gitkraken/vscode-gitlens/blob/main/AGENTS.md" TargetMode="External"/><Relationship Id="rId1394" Type="http://schemas.openxmlformats.org/officeDocument/2006/relationships/hyperlink" Target="https://github.com/luccahuguet/yazelix/blob/main/AGENTS.md" TargetMode="External"/><Relationship Id="rId1699" Type="http://schemas.openxmlformats.org/officeDocument/2006/relationships/hyperlink" Target="https://github.com/zenml-io/zenml/blob/main/AGENTS.md" TargetMode="External"/><Relationship Id="rId417" Type="http://schemas.openxmlformats.org/officeDocument/2006/relationships/hyperlink" Target="https://github.com/owncast/owncast/blob/master/.github/copilot-instructions.md" TargetMode="External"/><Relationship Id="rId624" Type="http://schemas.openxmlformats.org/officeDocument/2006/relationships/hyperlink" Target="https://github.com/Azure/azure-functions-host/blob/master/.github/copilot-instructions.md" TargetMode="External"/><Relationship Id="rId831" Type="http://schemas.openxmlformats.org/officeDocument/2006/relationships/hyperlink" Target="https://github.com/getsentry/sentry-mcp/blob/main/CLAUDE.md" TargetMode="External"/><Relationship Id="rId1047" Type="http://schemas.openxmlformats.org/officeDocument/2006/relationships/hyperlink" Target="https://github.com/alandtse/alexa_media_player/blob/master/.github/copilot-instructions.md" TargetMode="External"/><Relationship Id="rId1254" Type="http://schemas.openxmlformats.org/officeDocument/2006/relationships/hyperlink" Target="https://github.com/esphome/esphome/blob/main/.github/copilot-instructions.md" TargetMode="External"/><Relationship Id="rId1461" Type="http://schemas.openxmlformats.org/officeDocument/2006/relationships/hyperlink" Target="https://github.com/zwave-js/zwave-js-ui/blob/master/.github/copilot-instructions.md" TargetMode="External"/><Relationship Id="rId929" Type="http://schemas.openxmlformats.org/officeDocument/2006/relationships/hyperlink" Target="https://github.com/transloadit/uppy/blob/main/CLAUDE.md" TargetMode="External"/><Relationship Id="rId1114" Type="http://schemas.openxmlformats.org/officeDocument/2006/relationships/hyperlink" Target="https://github.com/irihitech/Ursa.Avalonia/blob/main/.github/copilot-instructions.md" TargetMode="External"/><Relationship Id="rId1321" Type="http://schemas.openxmlformats.org/officeDocument/2006/relationships/hyperlink" Target="https://github.com/langchain-ai/langchain/blob/master/CLAUDE.md" TargetMode="External"/><Relationship Id="rId1559" Type="http://schemas.openxmlformats.org/officeDocument/2006/relationships/hyperlink" Target="https://github.com/fukuball/jieba-php/blob/master/CLAUDE.md" TargetMode="External"/><Relationship Id="rId1766" Type="http://schemas.openxmlformats.org/officeDocument/2006/relationships/hyperlink" Target="https://github.com/zenml-io/zenml/blob/main/CLAUDE.md" TargetMode="External"/><Relationship Id="rId58" Type="http://schemas.openxmlformats.org/officeDocument/2006/relationships/hyperlink" Target="https://github.com/rustfs/rustfs/blob/main/AGENTS.md" TargetMode="External"/><Relationship Id="rId1419" Type="http://schemas.openxmlformats.org/officeDocument/2006/relationships/hyperlink" Target="https://github.com/python-cachier/cachier/blob/master/AGENTS.md" TargetMode="External"/><Relationship Id="rId1626" Type="http://schemas.openxmlformats.org/officeDocument/2006/relationships/hyperlink" Target="https://github.com/twentyhq/twenty/blob/main/CLAUDE.md" TargetMode="External"/><Relationship Id="rId1833" Type="http://schemas.openxmlformats.org/officeDocument/2006/relationships/hyperlink" Target="https://github.com/microsoft/TypeScript/blob/main/.github/copilot-instructions.md" TargetMode="External"/><Relationship Id="rId1900" Type="http://schemas.openxmlformats.org/officeDocument/2006/relationships/hyperlink" Target="https://github.com/seasonedcc/remix-forms/blob/main/AGENTS.md" TargetMode="External"/><Relationship Id="rId274" Type="http://schemas.openxmlformats.org/officeDocument/2006/relationships/hyperlink" Target="https://github.com/BerriAI/litellm/blob/main/CLAUDE.md" TargetMode="External"/><Relationship Id="rId481" Type="http://schemas.openxmlformats.org/officeDocument/2006/relationships/hyperlink" Target="https://github.com/anyproto/anytype-ts/blob/main/CLAUDE.md" TargetMode="External"/><Relationship Id="rId134" Type="http://schemas.openxmlformats.org/officeDocument/2006/relationships/hyperlink" Target="https://github.com/microsoft/typespec/blob/main/.github/copilot-instructions.md" TargetMode="External"/><Relationship Id="rId579" Type="http://schemas.openxmlformats.org/officeDocument/2006/relationships/hyperlink" Target="https://github.com/zed-industries/zed/blob/main/CLAUDE.md" TargetMode="External"/><Relationship Id="rId786" Type="http://schemas.openxmlformats.org/officeDocument/2006/relationships/hyperlink" Target="https://github.com/compiler-explorer/infra/blob/main/CLAUDE.md" TargetMode="External"/><Relationship Id="rId993" Type="http://schemas.openxmlformats.org/officeDocument/2006/relationships/hyperlink" Target="https://github.com/Pipelex/pipelex/blob/main/AGENTS.md" TargetMode="External"/><Relationship Id="rId341" Type="http://schemas.openxmlformats.org/officeDocument/2006/relationships/hyperlink" Target="https://github.com/princeton-pli/hal-harness/blob/main/CLAUDE.md" TargetMode="External"/><Relationship Id="rId439" Type="http://schemas.openxmlformats.org/officeDocument/2006/relationships/hyperlink" Target="https://github.com/commonwarexyz/monorepo/blob/main/AGENTS.md" TargetMode="External"/><Relationship Id="rId646" Type="http://schemas.openxmlformats.org/officeDocument/2006/relationships/hyperlink" Target="https://github.com/microsoft/ApplicationInsights-JS/blob/main/.github/copilot-instructions.md" TargetMode="External"/><Relationship Id="rId1069" Type="http://schemas.openxmlformats.org/officeDocument/2006/relationships/hyperlink" Target="https://github.com/Azure/autorest.typescript/blob/main/.github/copilot-instructions.md" TargetMode="External"/><Relationship Id="rId1276" Type="http://schemas.openxmlformats.org/officeDocument/2006/relationships/hyperlink" Target="https://github.com/stack-auth/stack-auth/blob/main/AGENTS.md" TargetMode="External"/><Relationship Id="rId1483" Type="http://schemas.openxmlformats.org/officeDocument/2006/relationships/hyperlink" Target="https://github.com/gitkraken/vscode-gitlens/blob/main/AGENTS.md" TargetMode="External"/><Relationship Id="rId201" Type="http://schemas.openxmlformats.org/officeDocument/2006/relationships/hyperlink" Target="https://github.com/anyproto/anytype-ts/blob/main/CLAUDE.md" TargetMode="External"/><Relationship Id="rId506" Type="http://schemas.openxmlformats.org/officeDocument/2006/relationships/hyperlink" Target="https://github.com/evmts/tevm-monorepo/blob/main/CLAUDE.md" TargetMode="External"/><Relationship Id="rId853" Type="http://schemas.openxmlformats.org/officeDocument/2006/relationships/hyperlink" Target="https://github.com/netdata/netdata/blob/master/CLAUDE.md" TargetMode="External"/><Relationship Id="rId1136" Type="http://schemas.openxmlformats.org/officeDocument/2006/relationships/hyperlink" Target="https://github.com/obophenotype/uberon/blob/master/.github/copilot-instructions.md" TargetMode="External"/><Relationship Id="rId1690" Type="http://schemas.openxmlformats.org/officeDocument/2006/relationships/hyperlink" Target="https://github.com/python-cachier/cachier/blob/master/AGENTS.md" TargetMode="External"/><Relationship Id="rId1788" Type="http://schemas.openxmlformats.org/officeDocument/2006/relationships/hyperlink" Target="https://github.com/theopenco/llmgateway/blob/main/CLAUDE.md" TargetMode="External"/><Relationship Id="rId713" Type="http://schemas.openxmlformats.org/officeDocument/2006/relationships/hyperlink" Target="https://github.com/abh/ntppool/blob/main/CLAUDE.md" TargetMode="External"/><Relationship Id="rId920" Type="http://schemas.openxmlformats.org/officeDocument/2006/relationships/hyperlink" Target="https://github.com/theopenco/llmgateway/blob/main/CLAUDE.md" TargetMode="External"/><Relationship Id="rId1343" Type="http://schemas.openxmlformats.org/officeDocument/2006/relationships/hyperlink" Target="https://github.com/RchGrav/claudebox/blob/main/CLAUDE.md" TargetMode="External"/><Relationship Id="rId1550" Type="http://schemas.openxmlformats.org/officeDocument/2006/relationships/hyperlink" Target="https://github.com/dropseed/plain/blob/main/CLAUDE.md" TargetMode="External"/><Relationship Id="rId1648" Type="http://schemas.openxmlformats.org/officeDocument/2006/relationships/hyperlink" Target="https://github.com/commonwarexyz/monorepo/blob/main/AGENTS.md" TargetMode="External"/><Relationship Id="rId1203" Type="http://schemas.openxmlformats.org/officeDocument/2006/relationships/hyperlink" Target="https://github.com/OneKeyHQ/app-monorepo/blob/master/CLAUDE.md" TargetMode="External"/><Relationship Id="rId1410" Type="http://schemas.openxmlformats.org/officeDocument/2006/relationships/hyperlink" Target="https://github.com/mixpanel/mixpanel-android/blob/master/AGENTS.md" TargetMode="External"/><Relationship Id="rId1508" Type="http://schemas.openxmlformats.org/officeDocument/2006/relationships/hyperlink" Target="https://github.com/AhmedElywa/prisma-tools/blob/main/CLAUDE.md" TargetMode="External"/><Relationship Id="rId1855" Type="http://schemas.openxmlformats.org/officeDocument/2006/relationships/hyperlink" Target="https://github.com/Freika/dawarich/blob/master/CLAUDE.md" TargetMode="External"/><Relationship Id="rId1715" Type="http://schemas.openxmlformats.org/officeDocument/2006/relationships/hyperlink" Target="https://github.com/FidelusAleksander/ghcertified/blob/master/.github/copilot-instructions.md" TargetMode="External"/><Relationship Id="rId1922" Type="http://schemas.openxmlformats.org/officeDocument/2006/relationships/hyperlink" Target="https://github.com/xlnfinance/xln/blob/main/CLAUDE.md" TargetMode="External"/><Relationship Id="rId296" Type="http://schemas.openxmlformats.org/officeDocument/2006/relationships/hyperlink" Target="https://github.com/colinhacks/zod/blob/main/CLAUDE.md" TargetMode="External"/><Relationship Id="rId156" Type="http://schemas.openxmlformats.org/officeDocument/2006/relationships/hyperlink" Target="https://github.com/SparkDevNetwork/Rock/blob/master/.github/copilot-instructions.md" TargetMode="External"/><Relationship Id="rId363" Type="http://schemas.openxmlformats.org/officeDocument/2006/relationships/hyperlink" Target="https://github.com/Kiln-AI/Kiln/blob/main/AGENTS.md" TargetMode="External"/><Relationship Id="rId570" Type="http://schemas.openxmlformats.org/officeDocument/2006/relationships/hyperlink" Target="https://github.com/truenas/webui/blob/master/CLAUDE.md" TargetMode="External"/><Relationship Id="rId223" Type="http://schemas.openxmlformats.org/officeDocument/2006/relationships/hyperlink" Target="https://github.com/luccahuguet/yazelix/blob/main/AGENTS.md" TargetMode="External"/><Relationship Id="rId430" Type="http://schemas.openxmlformats.org/officeDocument/2006/relationships/hyperlink" Target="https://github.com/Pipelex/pipelex/blob/main/AGENTS.md" TargetMode="External"/><Relationship Id="rId668" Type="http://schemas.openxmlformats.org/officeDocument/2006/relationships/hyperlink" Target="https://github.com/sybrew/the-seo-framework/blob/master/.github/copilot-instructions.md" TargetMode="External"/><Relationship Id="rId875" Type="http://schemas.openxmlformats.org/officeDocument/2006/relationships/hyperlink" Target="https://github.com/open-metadata/OpenMetadata/blob/main/CLAUDE.md" TargetMode="External"/><Relationship Id="rId1060" Type="http://schemas.openxmlformats.org/officeDocument/2006/relationships/hyperlink" Target="https://github.com/AstrBotDevs/AstrBot/blob/master/.github/copilot-instructions.md" TargetMode="External"/><Relationship Id="rId1298" Type="http://schemas.openxmlformats.org/officeDocument/2006/relationships/hyperlink" Target="https://github.com/evmts/tevm-monorepo/blob/main/CLAUDE.md" TargetMode="External"/><Relationship Id="rId528" Type="http://schemas.openxmlformats.org/officeDocument/2006/relationships/hyperlink" Target="https://github.com/numbagg/numbagg/blob/main/CLAUDE.md" TargetMode="External"/><Relationship Id="rId735" Type="http://schemas.openxmlformats.org/officeDocument/2006/relationships/hyperlink" Target="https://github.com/anyproto/anytype-ts/blob/main/CLAUDE.md" TargetMode="External"/><Relationship Id="rId942" Type="http://schemas.openxmlformats.org/officeDocument/2006/relationships/hyperlink" Target="https://github.com/xlnfinance/xln/blob/main/CLAUDE.md" TargetMode="External"/><Relationship Id="rId1158" Type="http://schemas.openxmlformats.org/officeDocument/2006/relationships/hyperlink" Target="https://github.com/zwave-js/zwave-js/blob/master/.github/copilot-instructions.md" TargetMode="External"/><Relationship Id="rId1365" Type="http://schemas.openxmlformats.org/officeDocument/2006/relationships/hyperlink" Target="https://github.com/bruin-data/bruin/blob/main/AGENTS.md" TargetMode="External"/><Relationship Id="rId1572" Type="http://schemas.openxmlformats.org/officeDocument/2006/relationships/hyperlink" Target="https://github.com/home-assistant/frontend/blob/master/CLAUDE.md" TargetMode="External"/><Relationship Id="rId1018" Type="http://schemas.openxmlformats.org/officeDocument/2006/relationships/hyperlink" Target="https://github.com/pytorch/pytorch/blob/main/AGENTS.md" TargetMode="External"/><Relationship Id="rId1225" Type="http://schemas.openxmlformats.org/officeDocument/2006/relationships/hyperlink" Target="https://github.com/lollipopkit/flutter_server_box/blob/main/CLAUDE.md" TargetMode="External"/><Relationship Id="rId1432" Type="http://schemas.openxmlformats.org/officeDocument/2006/relationships/hyperlink" Target="https://github.com/wieslawsoltes/Dock/blob/master/AGENTS.md" TargetMode="External"/><Relationship Id="rId1877" Type="http://schemas.openxmlformats.org/officeDocument/2006/relationships/hyperlink" Target="https://github.com/PrairieLearn/PrairieLearn/blob/master/AGENTS.md" TargetMode="External"/><Relationship Id="rId71" Type="http://schemas.openxmlformats.org/officeDocument/2006/relationships/hyperlink" Target="https://github.com/useautumn/autumn/blob/main/AGENTS.md" TargetMode="External"/><Relationship Id="rId802" Type="http://schemas.openxmlformats.org/officeDocument/2006/relationships/hyperlink" Target="https://github.com/FastLED/FastLED/blob/master/CLAUDE.md" TargetMode="External"/><Relationship Id="rId1737" Type="http://schemas.openxmlformats.org/officeDocument/2006/relationships/hyperlink" Target="https://github.com/SparkDevNetwork/Rock/blob/master/.github/copilot-instructions.md" TargetMode="External"/><Relationship Id="rId29" Type="http://schemas.openxmlformats.org/officeDocument/2006/relationships/hyperlink" Target="https://github.com/public-ui/kolibri/blob/master/AGENTS.md" TargetMode="External"/><Relationship Id="rId178" Type="http://schemas.openxmlformats.org/officeDocument/2006/relationships/hyperlink" Target="https://github.com/sybrew/the-seo-framework/blob/master/.github/copilot-instructions.md" TargetMode="External"/><Relationship Id="rId1804" Type="http://schemas.openxmlformats.org/officeDocument/2006/relationships/hyperlink" Target="https://github.com/dailydotdev/apps/blob/main/CLAUDE.md" TargetMode="External"/><Relationship Id="rId385" Type="http://schemas.openxmlformats.org/officeDocument/2006/relationships/hyperlink" Target="https://github.com/stack-auth/stack-auth/blob/main/AGENTS.md" TargetMode="External"/><Relationship Id="rId592" Type="http://schemas.openxmlformats.org/officeDocument/2006/relationships/hyperlink" Target="https://github.com/llama-farm/llamafarm/blob/main/AGENTS.md" TargetMode="External"/><Relationship Id="rId245" Type="http://schemas.openxmlformats.org/officeDocument/2006/relationships/hyperlink" Target="https://github.com/getsentry/sentry-java/blob/main/CLAUDE.md" TargetMode="External"/><Relationship Id="rId452" Type="http://schemas.openxmlformats.org/officeDocument/2006/relationships/hyperlink" Target="https://github.com/Freika/dawarich/blob/master/CLAUDE.md" TargetMode="External"/><Relationship Id="rId897" Type="http://schemas.openxmlformats.org/officeDocument/2006/relationships/hyperlink" Target="https://github.com/Pipelex/pipelex/blob/main/CLAUDE.md" TargetMode="External"/><Relationship Id="rId1082" Type="http://schemas.openxmlformats.org/officeDocument/2006/relationships/hyperlink" Target="https://github.com/christianhelle/apiclientcodegen/blob/master/.github/copilot-instructions.md" TargetMode="External"/><Relationship Id="rId105" Type="http://schemas.openxmlformats.org/officeDocument/2006/relationships/hyperlink" Target="https://github.com/dotnet/core/blob/main/.github/copilot-instructions.md" TargetMode="External"/><Relationship Id="rId312" Type="http://schemas.openxmlformats.org/officeDocument/2006/relationships/hyperlink" Target="https://github.com/evmts/tevm-monorepo/blob/main/CLAUDE.md" TargetMode="External"/><Relationship Id="rId757" Type="http://schemas.openxmlformats.org/officeDocument/2006/relationships/hyperlink" Target="https://github.com/cloudposse/atmos/blob/main/CLAUDE.md" TargetMode="External"/><Relationship Id="rId964" Type="http://schemas.openxmlformats.org/officeDocument/2006/relationships/hyperlink" Target="https://github.com/carverauto/serviceradar/blob/main/AGENTS.md" TargetMode="External"/><Relationship Id="rId1387" Type="http://schemas.openxmlformats.org/officeDocument/2006/relationships/hyperlink" Target="https://github.com/Kiln-AI/Kiln/blob/main/AGENTS.md" TargetMode="External"/><Relationship Id="rId1594" Type="http://schemas.openxmlformats.org/officeDocument/2006/relationships/hyperlink" Target="https://github.com/open-metadata/OpenMetadata/blob/main/CLAUDE.md" TargetMode="External"/><Relationship Id="rId93" Type="http://schemas.openxmlformats.org/officeDocument/2006/relationships/hyperlink" Target="https://github.com/Azure/azure-functions-host/blob/master/.github/copilot-instructions.md" TargetMode="External"/><Relationship Id="rId617" Type="http://schemas.openxmlformats.org/officeDocument/2006/relationships/hyperlink" Target="https://github.com/theopenco/llmgateway/blob/main/AGENTS.md" TargetMode="External"/><Relationship Id="rId824" Type="http://schemas.openxmlformats.org/officeDocument/2006/relationships/hyperlink" Target="https://github.com/getsentry/sentry-javascript/blob/master/CLAUDE.md" TargetMode="External"/><Relationship Id="rId1247" Type="http://schemas.openxmlformats.org/officeDocument/2006/relationships/hyperlink" Target="https://github.com/dotnet/maui/blob/main/.github/copilot-instructions.md" TargetMode="External"/><Relationship Id="rId1454" Type="http://schemas.openxmlformats.org/officeDocument/2006/relationships/hyperlink" Target="https://github.com/microsoft/react-native-windows/blob/main/.github/copilot-instructions.md" TargetMode="External"/><Relationship Id="rId1661" Type="http://schemas.openxmlformats.org/officeDocument/2006/relationships/hyperlink" Target="https://github.com/janbjorge/pgqueuer/blob/main/AGENTS.md" TargetMode="External"/><Relationship Id="rId1899" Type="http://schemas.openxmlformats.org/officeDocument/2006/relationships/hyperlink" Target="https://github.com/zenml-io/zenml/blob/main/AGENTS.md" TargetMode="External"/><Relationship Id="rId1107" Type="http://schemas.openxmlformats.org/officeDocument/2006/relationships/hyperlink" Target="https://github.com/geneontology/go-ontology/blob/master/.github/copilot-instructions.md" TargetMode="External"/><Relationship Id="rId1314" Type="http://schemas.openxmlformats.org/officeDocument/2006/relationships/hyperlink" Target="https://github.com/home-assistant/frontend/blob/master/CLAUDE.md" TargetMode="External"/><Relationship Id="rId1521" Type="http://schemas.openxmlformats.org/officeDocument/2006/relationships/hyperlink" Target="https://github.com/BerriAI/litellm/blob/main/CLAUDE.md" TargetMode="External"/><Relationship Id="rId1759" Type="http://schemas.openxmlformats.org/officeDocument/2006/relationships/hyperlink" Target="https://github.com/dotnet/aspnetcore/blob/main/.github/copilot-instructions.md" TargetMode="External"/><Relationship Id="rId1619" Type="http://schemas.openxmlformats.org/officeDocument/2006/relationships/hyperlink" Target="https://github.com/saleor/saleor/blob/main/CLAUDE.md" TargetMode="External"/><Relationship Id="rId1826" Type="http://schemas.openxmlformats.org/officeDocument/2006/relationships/hyperlink" Target="https://github.com/DumbWareio/DumbAssets/blob/main/.github/copilot-instructions.md" TargetMode="External"/><Relationship Id="rId20" Type="http://schemas.openxmlformats.org/officeDocument/2006/relationships/hyperlink" Target="https://github.com/Pipelex/pipelex/blob/main/AGENTS.md" TargetMode="External"/><Relationship Id="rId267" Type="http://schemas.openxmlformats.org/officeDocument/2006/relationships/hyperlink" Target="https://github.com/geneontology/go-ontology/blob/master/CLAUDE.md" TargetMode="External"/><Relationship Id="rId474" Type="http://schemas.openxmlformats.org/officeDocument/2006/relationships/hyperlink" Target="https://github.com/abh/ntppool/blob/main/CLAUDE.md" TargetMode="External"/><Relationship Id="rId127" Type="http://schemas.openxmlformats.org/officeDocument/2006/relationships/hyperlink" Target="https://github.com/microsoft/ApplicationInsights-JS/blob/main/.github/copilot-instructions.md" TargetMode="External"/><Relationship Id="rId681" Type="http://schemas.openxmlformats.org/officeDocument/2006/relationships/hyperlink" Target="https://github.com/sybrew/the-seo-framework/blob/master/.github/copilot-instructions.md" TargetMode="External"/><Relationship Id="rId779" Type="http://schemas.openxmlformats.org/officeDocument/2006/relationships/hyperlink" Target="https://github.com/Comfy-Org/comfy-claude-prompt-library/blob/master/CLAUDE.md" TargetMode="External"/><Relationship Id="rId986" Type="http://schemas.openxmlformats.org/officeDocument/2006/relationships/hyperlink" Target="https://github.com/mixpanel/mixpanel-android/blob/master/AGENTS.md" TargetMode="External"/><Relationship Id="rId334" Type="http://schemas.openxmlformats.org/officeDocument/2006/relationships/hyperlink" Target="https://github.com/owid/etl/blob/master/CLAUDE.md" TargetMode="External"/><Relationship Id="rId541" Type="http://schemas.openxmlformats.org/officeDocument/2006/relationships/hyperlink" Target="https://github.com/pannous/wasp/blob/main/CLAUDE.md" TargetMode="External"/><Relationship Id="rId639" Type="http://schemas.openxmlformats.org/officeDocument/2006/relationships/hyperlink" Target="https://github.com/HotCakeX/Harden-Windows-Security/blob/main/.github/copilot-instructions.md" TargetMode="External"/><Relationship Id="rId1171" Type="http://schemas.openxmlformats.org/officeDocument/2006/relationships/hyperlink" Target="https://github.com/OneKeyHQ/app-monorepo/blob/master/CLAUDE.md" TargetMode="External"/><Relationship Id="rId1269" Type="http://schemas.openxmlformats.org/officeDocument/2006/relationships/hyperlink" Target="https://github.com/RchGrav/claudebox/blob/main/CLAUDE.md" TargetMode="External"/><Relationship Id="rId1476" Type="http://schemas.openxmlformats.org/officeDocument/2006/relationships/hyperlink" Target="https://github.com/open-metadata/OpenMetadata/blob/main/CLAUDE.md" TargetMode="External"/><Relationship Id="rId401" Type="http://schemas.openxmlformats.org/officeDocument/2006/relationships/hyperlink" Target="https://github.com/dotnet/macios/blob/main/.github/copilot-instructions.md" TargetMode="External"/><Relationship Id="rId846" Type="http://schemas.openxmlformats.org/officeDocument/2006/relationships/hyperlink" Target="https://github.com/lollipopkit/flutter_server_box/blob/main/CLAUDE.md" TargetMode="External"/><Relationship Id="rId1031" Type="http://schemas.openxmlformats.org/officeDocument/2006/relationships/hyperlink" Target="https://github.com/valkey-io/valkey-glide/blob/main/AGENTS.md" TargetMode="External"/><Relationship Id="rId1129" Type="http://schemas.openxmlformats.org/officeDocument/2006/relationships/hyperlink" Target="https://github.com/microsoft/typespec/blob/main/.github/copilot-instructions.md" TargetMode="External"/><Relationship Id="rId1683" Type="http://schemas.openxmlformats.org/officeDocument/2006/relationships/hyperlink" Target="https://github.com/openai/openai-agents-python/blob/main/AGENTS.md" TargetMode="External"/><Relationship Id="rId1890" Type="http://schemas.openxmlformats.org/officeDocument/2006/relationships/hyperlink" Target="https://github.com/microsoft/simplechat/blob/main/.github/copilot-instructions.md" TargetMode="External"/><Relationship Id="rId706" Type="http://schemas.openxmlformats.org/officeDocument/2006/relationships/hyperlink" Target="https://github.com/openai/openai-agents-python/blob/main/CLAUDE.md" TargetMode="External"/><Relationship Id="rId913" Type="http://schemas.openxmlformats.org/officeDocument/2006/relationships/hyperlink" Target="https://github.com/saleor/saleor/blob/main/CLAUDE.md" TargetMode="External"/><Relationship Id="rId1336" Type="http://schemas.openxmlformats.org/officeDocument/2006/relationships/hyperlink" Target="https://github.com/open-metadata/OpenMetadata/blob/main/CLAUDE.md" TargetMode="External"/><Relationship Id="rId1543" Type="http://schemas.openxmlformats.org/officeDocument/2006/relationships/hyperlink" Target="https://github.com/dailydotdev/apps/blob/main/CLAUDE.md" TargetMode="External"/><Relationship Id="rId1750" Type="http://schemas.openxmlformats.org/officeDocument/2006/relationships/hyperlink" Target="https://github.com/Open-LLM-VTuber/Open-LLM-VTuber/blob/main/.github/copilot-instructions.md" TargetMode="External"/><Relationship Id="rId42" Type="http://schemas.openxmlformats.org/officeDocument/2006/relationships/hyperlink" Target="https://github.com/pytorch/pytorch/blob/main/AGENTS.md" TargetMode="External"/><Relationship Id="rId1403" Type="http://schemas.openxmlformats.org/officeDocument/2006/relationships/hyperlink" Target="https://github.com/marin-community/marin/blob/main/AGENTS.md" TargetMode="External"/><Relationship Id="rId1610" Type="http://schemas.openxmlformats.org/officeDocument/2006/relationships/hyperlink" Target="https://github.com/owid/etl/blob/master/CLAUDE.md" TargetMode="External"/><Relationship Id="rId1848" Type="http://schemas.openxmlformats.org/officeDocument/2006/relationships/hyperlink" Target="https://github.com/coder/coder/blob/main/CLAUDE.md" TargetMode="External"/><Relationship Id="rId191" Type="http://schemas.openxmlformats.org/officeDocument/2006/relationships/hyperlink" Target="https://github.com/carverauto/serviceradar/blob/main/AGENTS.md" TargetMode="External"/><Relationship Id="rId1708" Type="http://schemas.openxmlformats.org/officeDocument/2006/relationships/hyperlink" Target="https://github.com/dotnet/dotnet-api-docs/blob/main/.github/copilot-instructions.md" TargetMode="External"/><Relationship Id="rId1915" Type="http://schemas.openxmlformats.org/officeDocument/2006/relationships/hyperlink" Target="https://github.com/steipete/Peekaboo/blob/main/CLAUDE.md" TargetMode="External"/><Relationship Id="rId289" Type="http://schemas.openxmlformats.org/officeDocument/2006/relationships/hyperlink" Target="https://github.com/coder/coder/blob/main/CLAUDE.md" TargetMode="External"/><Relationship Id="rId496" Type="http://schemas.openxmlformats.org/officeDocument/2006/relationships/hyperlink" Target="https://github.com/cloudposse/atmos/blob/main/CLAUDE.md" TargetMode="External"/><Relationship Id="rId149" Type="http://schemas.openxmlformats.org/officeDocument/2006/relationships/hyperlink" Target="https://github.com/raycast/extensions/blob/main/.github/copilot-instructions.md" TargetMode="External"/><Relationship Id="rId356" Type="http://schemas.openxmlformats.org/officeDocument/2006/relationships/hyperlink" Target="https://github.com/bionic-gpt/bionic-gpt/blob/main/AGENTS.md" TargetMode="External"/><Relationship Id="rId563" Type="http://schemas.openxmlformats.org/officeDocument/2006/relationships/hyperlink" Target="https://github.com/speaches-ai/speaches/blob/master/CLAUDE.md" TargetMode="External"/><Relationship Id="rId770" Type="http://schemas.openxmlformats.org/officeDocument/2006/relationships/hyperlink" Target="https://github.com/cloudposse/atmos/blob/main/CLAUDE.md" TargetMode="External"/><Relationship Id="rId1193" Type="http://schemas.openxmlformats.org/officeDocument/2006/relationships/hyperlink" Target="https://github.com/lightdash/lightdash/blob/main/CLAUDE.md" TargetMode="External"/><Relationship Id="rId216" Type="http://schemas.openxmlformats.org/officeDocument/2006/relationships/hyperlink" Target="https://github.com/OneKeyHQ/app-monorepo/blob/master/CLAUDE.md" TargetMode="External"/><Relationship Id="rId423" Type="http://schemas.openxmlformats.org/officeDocument/2006/relationships/hyperlink" Target="https://github.com/abh/ntppool/blob/main/CLAUDE.md" TargetMode="External"/><Relationship Id="rId868" Type="http://schemas.openxmlformats.org/officeDocument/2006/relationships/hyperlink" Target="https://github.com/open-metadata/OpenMetadata/blob/main/CLAUDE.md" TargetMode="External"/><Relationship Id="rId1053" Type="http://schemas.openxmlformats.org/officeDocument/2006/relationships/hyperlink" Target="https://github.com/ast-grep/ast-grep/blob/main/.github/copilot-instructions.md" TargetMode="External"/><Relationship Id="rId1260" Type="http://schemas.openxmlformats.org/officeDocument/2006/relationships/hyperlink" Target="https://github.com/marin-community/marin/blob/main/AGENTS.md" TargetMode="External"/><Relationship Id="rId1498" Type="http://schemas.openxmlformats.org/officeDocument/2006/relationships/hyperlink" Target="https://github.com/carverauto/serviceradar/blob/main/AGENTS.md" TargetMode="External"/><Relationship Id="rId630" Type="http://schemas.openxmlformats.org/officeDocument/2006/relationships/hyperlink" Target="https://github.com/dotnet/java-interop/blob/main/.github/copilot-instructions.md" TargetMode="External"/><Relationship Id="rId728" Type="http://schemas.openxmlformats.org/officeDocument/2006/relationships/hyperlink" Target="https://github.com/allenai/open-instruct/blob/main/CLAUDE.md" TargetMode="External"/><Relationship Id="rId935" Type="http://schemas.openxmlformats.org/officeDocument/2006/relationships/hyperlink" Target="https://github.com/wolfi-dev/os/blob/main/CLAUDE.md" TargetMode="External"/><Relationship Id="rId1358" Type="http://schemas.openxmlformats.org/officeDocument/2006/relationships/hyperlink" Target="https://github.com/xlnfinance/xln/blob/main/CLAUDE.md" TargetMode="External"/><Relationship Id="rId1565" Type="http://schemas.openxmlformats.org/officeDocument/2006/relationships/hyperlink" Target="https://github.com/getsentry/sentry-javascript/blob/master/CLAUDE.md" TargetMode="External"/><Relationship Id="rId1772" Type="http://schemas.openxmlformats.org/officeDocument/2006/relationships/hyperlink" Target="https://github.com/zenml-io/zenml/blob/main/AGENTS.md" TargetMode="External"/><Relationship Id="rId64" Type="http://schemas.openxmlformats.org/officeDocument/2006/relationships/hyperlink" Target="https://github.com/theopenco/llmgateway/blob/main/AGENTS.md" TargetMode="External"/><Relationship Id="rId1120" Type="http://schemas.openxmlformats.org/officeDocument/2006/relationships/hyperlink" Target="https://github.com/james-gould/azure-keyvault-emulator/blob/master/.github/copilot-instructions.md" TargetMode="External"/><Relationship Id="rId1218" Type="http://schemas.openxmlformats.org/officeDocument/2006/relationships/hyperlink" Target="https://github.com/coder/coder/blob/main/CLAUDE.md" TargetMode="External"/><Relationship Id="rId1425" Type="http://schemas.openxmlformats.org/officeDocument/2006/relationships/hyperlink" Target="https://github.com/shopware/shopware/blob/master/AGENTS.md" TargetMode="External"/><Relationship Id="rId1632" Type="http://schemas.openxmlformats.org/officeDocument/2006/relationships/hyperlink" Target="https://github.com/wolfi-dev/os/blob/main/CLAUDE.md" TargetMode="External"/><Relationship Id="rId1937" Type="http://schemas.openxmlformats.org/officeDocument/2006/relationships/hyperlink" Target="https://github.com/dailydotdev/apps/blob/main/CLAUDE.md" TargetMode="External"/><Relationship Id="rId280" Type="http://schemas.openxmlformats.org/officeDocument/2006/relationships/hyperlink" Target="https://github.com/cloudposse/atmos/blob/main/CLAUDE.md" TargetMode="External"/><Relationship Id="rId140" Type="http://schemas.openxmlformats.org/officeDocument/2006/relationships/hyperlink" Target="https://github.com/NG-ZORRO/ng-zorro-antd/blob/master/.github/copilot-instructions.md" TargetMode="External"/><Relationship Id="rId378" Type="http://schemas.openxmlformats.org/officeDocument/2006/relationships/hyperlink" Target="https://github.com/pytorch/pytorch/blob/main/AGENTS.md" TargetMode="External"/><Relationship Id="rId585" Type="http://schemas.openxmlformats.org/officeDocument/2006/relationships/hyperlink" Target="https://github.com/getsentry/sentry-mcp/blob/main/AGENTS.md" TargetMode="External"/><Relationship Id="rId792" Type="http://schemas.openxmlformats.org/officeDocument/2006/relationships/hyperlink" Target="https://github.com/dailydotdev/apps/blob/main/CLAUDE.md" TargetMode="External"/><Relationship Id="rId6" Type="http://schemas.openxmlformats.org/officeDocument/2006/relationships/hyperlink" Target="https://github.com/microsoft/mcp-for-beginners/blob/main/AGENTS.md" TargetMode="External"/><Relationship Id="rId238" Type="http://schemas.openxmlformats.org/officeDocument/2006/relationships/hyperlink" Target="https://github.com/ShaunLawrie/PwshSpectreConsole/blob/main/.github/copilot-instructions.md" TargetMode="External"/><Relationship Id="rId445" Type="http://schemas.openxmlformats.org/officeDocument/2006/relationships/hyperlink" Target="https://github.com/PrairieLearn/PrairieLearn/blob/master/AGENTS.md" TargetMode="External"/><Relationship Id="rId652" Type="http://schemas.openxmlformats.org/officeDocument/2006/relationships/hyperlink" Target="https://github.com/microsoft/vs-threading/blob/main/.github/copilot-instructions.md" TargetMode="External"/><Relationship Id="rId1075" Type="http://schemas.openxmlformats.org/officeDocument/2006/relationships/hyperlink" Target="https://github.com/Azure/azure-functions-host/blob/master/.github/copilot-instructions.md" TargetMode="External"/><Relationship Id="rId1282" Type="http://schemas.openxmlformats.org/officeDocument/2006/relationships/hyperlink" Target="https://github.com/Azure/LogicAppsUX/blob/main/CLAUDE.md" TargetMode="External"/><Relationship Id="rId305" Type="http://schemas.openxmlformats.org/officeDocument/2006/relationships/hyperlink" Target="https://github.com/compiler-explorer/infra/blob/main/CLAUDE.md" TargetMode="External"/><Relationship Id="rId512" Type="http://schemas.openxmlformats.org/officeDocument/2006/relationships/hyperlink" Target="https://github.com/gojiplus/tuber/blob/master/CLAUDE.md" TargetMode="External"/><Relationship Id="rId957" Type="http://schemas.openxmlformats.org/officeDocument/2006/relationships/hyperlink" Target="https://github.com/CapSoftware/Cap/blob/main/AGENTS.md" TargetMode="External"/><Relationship Id="rId1142" Type="http://schemas.openxmlformats.org/officeDocument/2006/relationships/hyperlink" Target="https://github.com/primer/react/blob/main/.github/copilot-instructions.md" TargetMode="External"/><Relationship Id="rId1587" Type="http://schemas.openxmlformats.org/officeDocument/2006/relationships/hyperlink" Target="https://github.com/lostleaf/binance_datatool/blob/main/CLAUDE.md" TargetMode="External"/><Relationship Id="rId1794" Type="http://schemas.openxmlformats.org/officeDocument/2006/relationships/hyperlink" Target="https://github.com/theopenco/llmgateway/blob/main/AGENTS.md" TargetMode="External"/><Relationship Id="rId86" Type="http://schemas.openxmlformats.org/officeDocument/2006/relationships/hyperlink" Target="https://github.com/wieslawsoltes/Xaml.Behaviors/blob/master/AGENTS.md" TargetMode="External"/><Relationship Id="rId817" Type="http://schemas.openxmlformats.org/officeDocument/2006/relationships/hyperlink" Target="https://github.com/geneontology/go-ontology/blob/master/CLAUDE.md" TargetMode="External"/><Relationship Id="rId1002" Type="http://schemas.openxmlformats.org/officeDocument/2006/relationships/hyperlink" Target="https://github.com/PrairieLearn/PrairieLearn/blob/master/AGENTS.md" TargetMode="External"/><Relationship Id="rId1447" Type="http://schemas.openxmlformats.org/officeDocument/2006/relationships/hyperlink" Target="https://github.com/esphome/esphome/blob/main/.github/copilot-instructions.md" TargetMode="External"/><Relationship Id="rId1654" Type="http://schemas.openxmlformats.org/officeDocument/2006/relationships/hyperlink" Target="https://github.com/DataDog/datadog-agent/blob/main/AGENTS.md" TargetMode="External"/><Relationship Id="rId1861" Type="http://schemas.openxmlformats.org/officeDocument/2006/relationships/hyperlink" Target="https://github.com/langchain-ai/langchain/blob/master/CLAUDE.md" TargetMode="External"/><Relationship Id="rId1307" Type="http://schemas.openxmlformats.org/officeDocument/2006/relationships/hyperlink" Target="https://github.com/getsentry/sentry-cocoa/blob/main/CLAUDE.md" TargetMode="External"/><Relationship Id="rId1514" Type="http://schemas.openxmlformats.org/officeDocument/2006/relationships/hyperlink" Target="https://github.com/anyproto/anytype-swift/blob/main/CLAUDE.md" TargetMode="External"/><Relationship Id="rId1721" Type="http://schemas.openxmlformats.org/officeDocument/2006/relationships/hyperlink" Target="https://github.com/microsoft/ApplicationInsights-JS/blob/main/.github/copilot-instructions.md" TargetMode="External"/><Relationship Id="rId13" Type="http://schemas.openxmlformats.org/officeDocument/2006/relationships/hyperlink" Target="https://github.com/Pipelex/pipelex/blob/main/AGENTS.md" TargetMode="External"/><Relationship Id="rId1819" Type="http://schemas.openxmlformats.org/officeDocument/2006/relationships/hyperlink" Target="https://github.com/Azure/autorest.typescript/blob/main/.github/copilot-instructions.md" TargetMode="External"/><Relationship Id="rId162" Type="http://schemas.openxmlformats.org/officeDocument/2006/relationships/hyperlink" Target="https://github.com/SparkDevNetwork/Rock/blob/master/.github/copilot-instructions.md" TargetMode="External"/><Relationship Id="rId467" Type="http://schemas.openxmlformats.org/officeDocument/2006/relationships/hyperlink" Target="https://github.com/friendsofhyperf/components/blob/main/.github/copilot-instructions.md" TargetMode="External"/><Relationship Id="rId1097" Type="http://schemas.openxmlformats.org/officeDocument/2006/relationships/hyperlink" Target="https://github.com/FidelusAleksander/ghcertified/blob/master/.github/copilot-instructions.md" TargetMode="External"/><Relationship Id="rId674" Type="http://schemas.openxmlformats.org/officeDocument/2006/relationships/hyperlink" Target="https://github.com/browser-use/browser-use/blob/main/CLAUDE.md" TargetMode="External"/><Relationship Id="rId881" Type="http://schemas.openxmlformats.org/officeDocument/2006/relationships/hyperlink" Target="https://github.com/pannous/wasp/blob/main/CLAUDE.md" TargetMode="External"/><Relationship Id="rId979" Type="http://schemas.openxmlformats.org/officeDocument/2006/relationships/hyperlink" Target="https://github.com/luccahuguet/yazelix/blob/main/AGENTS.md" TargetMode="External"/><Relationship Id="rId327" Type="http://schemas.openxmlformats.org/officeDocument/2006/relationships/hyperlink" Target="https://github.com/nrwl/nx/blob/master/CLAUDE.md" TargetMode="External"/><Relationship Id="rId534" Type="http://schemas.openxmlformats.org/officeDocument/2006/relationships/hyperlink" Target="https://github.com/open-metadata/OpenMetadata/blob/main/CLAUDE.md" TargetMode="External"/><Relationship Id="rId741" Type="http://schemas.openxmlformats.org/officeDocument/2006/relationships/hyperlink" Target="https://github.com/BerriAI/litellm/blob/main/CLAUDE.md" TargetMode="External"/><Relationship Id="rId839" Type="http://schemas.openxmlformats.org/officeDocument/2006/relationships/hyperlink" Target="https://github.com/kubetail-org/kubetail/blob/main/CLAUDE.md" TargetMode="External"/><Relationship Id="rId1164" Type="http://schemas.openxmlformats.org/officeDocument/2006/relationships/hyperlink" Target="https://github.com/abh/ntppool/blob/main/CLAUDE.md" TargetMode="External"/><Relationship Id="rId1371" Type="http://schemas.openxmlformats.org/officeDocument/2006/relationships/hyperlink" Target="https://github.com/carverauto/serviceradar/blob/main/AGENTS.md" TargetMode="External"/><Relationship Id="rId1469" Type="http://schemas.openxmlformats.org/officeDocument/2006/relationships/hyperlink" Target="https://github.com/xlnfinance/xln/blob/main/CLAUDE.md" TargetMode="External"/><Relationship Id="rId601" Type="http://schemas.openxmlformats.org/officeDocument/2006/relationships/hyperlink" Target="https://github.com/marin-community/marin/blob/main/AGENTS.md" TargetMode="External"/><Relationship Id="rId1024" Type="http://schemas.openxmlformats.org/officeDocument/2006/relationships/hyperlink" Target="https://github.com/stack-auth/stack-auth/blob/main/AGENTS.md" TargetMode="External"/><Relationship Id="rId1231" Type="http://schemas.openxmlformats.org/officeDocument/2006/relationships/hyperlink" Target="https://github.com/cloudposse/atmos/blob/main/CLAUDE.md" TargetMode="External"/><Relationship Id="rId1676" Type="http://schemas.openxmlformats.org/officeDocument/2006/relationships/hyperlink" Target="https://github.com/marin-community/marin/blob/main/AGENTS.md" TargetMode="External"/><Relationship Id="rId1883" Type="http://schemas.openxmlformats.org/officeDocument/2006/relationships/hyperlink" Target="https://github.com/Agoric/agoric-sdk/blob/master/.github/copilot-instructions.md" TargetMode="External"/><Relationship Id="rId906" Type="http://schemas.openxmlformats.org/officeDocument/2006/relationships/hyperlink" Target="https://github.com/RchGrav/claudebox/blob/main/CLAUDE.md" TargetMode="External"/><Relationship Id="rId1329" Type="http://schemas.openxmlformats.org/officeDocument/2006/relationships/hyperlink" Target="https://github.com/op-rs/kona/blob/main/CLAUDE.md" TargetMode="External"/><Relationship Id="rId1536" Type="http://schemas.openxmlformats.org/officeDocument/2006/relationships/hyperlink" Target="https://github.com/Comfy-Org/comfy-claude-prompt-library/blob/master/CLAUDE.md" TargetMode="External"/><Relationship Id="rId1743" Type="http://schemas.openxmlformats.org/officeDocument/2006/relationships/hyperlink" Target="https://github.com/syntaxfm/website/blob/main/.github/copilot-instructions.md" TargetMode="External"/><Relationship Id="rId35" Type="http://schemas.openxmlformats.org/officeDocument/2006/relationships/hyperlink" Target="https://github.com/pulumi/docs/blob/master/AGENTS.md" TargetMode="External"/><Relationship Id="rId1603" Type="http://schemas.openxmlformats.org/officeDocument/2006/relationships/hyperlink" Target="https://github.com/open-metadata/OpenMetadata/blob/main/CLAUDE.md" TargetMode="External"/><Relationship Id="rId1810" Type="http://schemas.openxmlformats.org/officeDocument/2006/relationships/hyperlink" Target="https://github.com/nrwl/nx/blob/master/CLAUDE.md" TargetMode="External"/><Relationship Id="rId184" Type="http://schemas.openxmlformats.org/officeDocument/2006/relationships/hyperlink" Target="https://github.com/vczh-libraries/GacUI/blob/master/.github/copilot-instructions.md" TargetMode="External"/><Relationship Id="rId391" Type="http://schemas.openxmlformats.org/officeDocument/2006/relationships/hyperlink" Target="https://github.com/Azure/AgentBaker/blob/main/.github/copilot-instructions.md" TargetMode="External"/><Relationship Id="rId1908" Type="http://schemas.openxmlformats.org/officeDocument/2006/relationships/hyperlink" Target="https://github.com/microsoft/typespec/blob/main/.github/copilot-instructions.md" TargetMode="External"/><Relationship Id="rId251" Type="http://schemas.openxmlformats.org/officeDocument/2006/relationships/hyperlink" Target="https://github.com/microsoft/python-environment-tools/blob/main/.github/copilot-instructions.md" TargetMode="External"/><Relationship Id="rId489" Type="http://schemas.openxmlformats.org/officeDocument/2006/relationships/hyperlink" Target="https://github.com/browser-use/browser-use/blob/main/CLAUDE.md" TargetMode="External"/><Relationship Id="rId696" Type="http://schemas.openxmlformats.org/officeDocument/2006/relationships/hyperlink" Target="https://github.com/janbjorge/pgqueuer/blob/main/AGENTS.md" TargetMode="External"/><Relationship Id="rId349" Type="http://schemas.openxmlformats.org/officeDocument/2006/relationships/hyperlink" Target="https://github.com/truenas/webui/blob/master/CLAUDE.md" TargetMode="External"/><Relationship Id="rId556" Type="http://schemas.openxmlformats.org/officeDocument/2006/relationships/hyperlink" Target="https://github.com/saleor/saleor/blob/main/CLAUDE.md" TargetMode="External"/><Relationship Id="rId763" Type="http://schemas.openxmlformats.org/officeDocument/2006/relationships/hyperlink" Target="https://github.com/cloudposse/atmos/blob/main/CLAUDE.md" TargetMode="External"/><Relationship Id="rId1186" Type="http://schemas.openxmlformats.org/officeDocument/2006/relationships/hyperlink" Target="https://github.com/wieslawsoltes/Xaml.Behaviors/blob/master/AGENTS.md" TargetMode="External"/><Relationship Id="rId1393" Type="http://schemas.openxmlformats.org/officeDocument/2006/relationships/hyperlink" Target="https://github.com/logancyang/obsidian-copilot/blob/master/AGENTS.md" TargetMode="External"/><Relationship Id="rId111" Type="http://schemas.openxmlformats.org/officeDocument/2006/relationships/hyperlink" Target="https://github.com/dotnet/maui/blob/main/.github/copilot-instructions.md" TargetMode="External"/><Relationship Id="rId209" Type="http://schemas.openxmlformats.org/officeDocument/2006/relationships/hyperlink" Target="https://github.com/CapSoftware/Cap/blob/main/CLAUDE.md" TargetMode="External"/><Relationship Id="rId416" Type="http://schemas.openxmlformats.org/officeDocument/2006/relationships/hyperlink" Target="https://github.com/Open-LLM-VTuber/Open-LLM-VTuber/blob/main/.github/copilot-instructions.md" TargetMode="External"/><Relationship Id="rId970" Type="http://schemas.openxmlformats.org/officeDocument/2006/relationships/hyperlink" Target="https://github.com/getsentry/sentry-mcp/blob/main/AGENTS.md" TargetMode="External"/><Relationship Id="rId1046" Type="http://schemas.openxmlformats.org/officeDocument/2006/relationships/hyperlink" Target="https://github.com/alandtse/alexa_media_player/blob/master/.github/copilot-instructions.md" TargetMode="External"/><Relationship Id="rId1253" Type="http://schemas.openxmlformats.org/officeDocument/2006/relationships/hyperlink" Target="https://github.com/grafbase/grafbase/blob/main/CLAUDE.md" TargetMode="External"/><Relationship Id="rId1698" Type="http://schemas.openxmlformats.org/officeDocument/2006/relationships/hyperlink" Target="https://github.com/webgptorg/promptbook/blob/main/AGENTS.md" TargetMode="External"/><Relationship Id="rId623" Type="http://schemas.openxmlformats.org/officeDocument/2006/relationships/hyperlink" Target="https://github.com/zenml-io/zenml/blob/main/AGENTS.md" TargetMode="External"/><Relationship Id="rId830" Type="http://schemas.openxmlformats.org/officeDocument/2006/relationships/hyperlink" Target="https://github.com/getsentry/sentry-javascript/blob/master/CLAUDE.md" TargetMode="External"/><Relationship Id="rId928" Type="http://schemas.openxmlformats.org/officeDocument/2006/relationships/hyperlink" Target="https://github.com/traceloop/openllmetry/blob/main/CLAUDE.md" TargetMode="External"/><Relationship Id="rId1460" Type="http://schemas.openxmlformats.org/officeDocument/2006/relationships/hyperlink" Target="https://github.com/triggerdotdev/trigger.dev/blob/main/.github/copilot-instructions.md" TargetMode="External"/><Relationship Id="rId1558" Type="http://schemas.openxmlformats.org/officeDocument/2006/relationships/hyperlink" Target="https://github.com/Freika/dawarich/blob/master/CLAUDE.md" TargetMode="External"/><Relationship Id="rId1765" Type="http://schemas.openxmlformats.org/officeDocument/2006/relationships/hyperlink" Target="https://github.com/twentyhq/twenty/blob/main/CLAUDE.md" TargetMode="External"/><Relationship Id="rId57" Type="http://schemas.openxmlformats.org/officeDocument/2006/relationships/hyperlink" Target="https://github.com/rustfs/rustfs/blob/main/AGENTS.md" TargetMode="External"/><Relationship Id="rId1113" Type="http://schemas.openxmlformats.org/officeDocument/2006/relationships/hyperlink" Target="https://github.com/irihitech/Ursa.Avalonia/blob/main/.github/copilot-instructions.md" TargetMode="External"/><Relationship Id="rId1320" Type="http://schemas.openxmlformats.org/officeDocument/2006/relationships/hyperlink" Target="https://github.com/langchain-ai/langchain/blob/master/CLAUDE.md" TargetMode="External"/><Relationship Id="rId1418" Type="http://schemas.openxmlformats.org/officeDocument/2006/relationships/hyperlink" Target="https://github.com/python-cachier/cachier/blob/master/AGENTS.md" TargetMode="External"/><Relationship Id="rId1625" Type="http://schemas.openxmlformats.org/officeDocument/2006/relationships/hyperlink" Target="https://github.com/twentyhq/twenty/blob/main/CLAUDE.md" TargetMode="External"/><Relationship Id="rId1832" Type="http://schemas.openxmlformats.org/officeDocument/2006/relationships/hyperlink" Target="https://github.com/ajanraj/OpenChat/blob/main/CLAUDE.md" TargetMode="External"/><Relationship Id="rId273" Type="http://schemas.openxmlformats.org/officeDocument/2006/relationships/hyperlink" Target="https://github.com/allenai/open-instruct/blob/main/CLAUDE.md" TargetMode="External"/><Relationship Id="rId480" Type="http://schemas.openxmlformats.org/officeDocument/2006/relationships/hyperlink" Target="https://github.com/angular-eslint/angular-eslint/blob/main/CLAUDE.md" TargetMode="External"/><Relationship Id="rId133" Type="http://schemas.openxmlformats.org/officeDocument/2006/relationships/hyperlink" Target="https://github.com/microsoft/typespec/blob/main/.github/copilot-instructions.md" TargetMode="External"/><Relationship Id="rId340" Type="http://schemas.openxmlformats.org/officeDocument/2006/relationships/hyperlink" Target="https://github.com/PrefectHQ/marvin/blob/main/CLAUDE.md" TargetMode="External"/><Relationship Id="rId578" Type="http://schemas.openxmlformats.org/officeDocument/2006/relationships/hyperlink" Target="https://github.com/zed-industries/zed/blob/main/CLAUDE.md" TargetMode="External"/><Relationship Id="rId785" Type="http://schemas.openxmlformats.org/officeDocument/2006/relationships/hyperlink" Target="https://github.com/compiler-explorer/infra/blob/main/CLAUDE.md" TargetMode="External"/><Relationship Id="rId992" Type="http://schemas.openxmlformats.org/officeDocument/2006/relationships/hyperlink" Target="https://github.com/Pipelex/pipelex/blob/main/AGENTS.md" TargetMode="External"/><Relationship Id="rId200" Type="http://schemas.openxmlformats.org/officeDocument/2006/relationships/hyperlink" Target="https://github.com/dotnet/runtime/blob/main/.github/copilot-instructions.md" TargetMode="External"/><Relationship Id="rId438" Type="http://schemas.openxmlformats.org/officeDocument/2006/relationships/hyperlink" Target="https://github.com/microsoft/ApplicationInsights-JS/blob/main/.github/copilot-instructions.md" TargetMode="External"/><Relationship Id="rId645" Type="http://schemas.openxmlformats.org/officeDocument/2006/relationships/hyperlink" Target="https://github.com/microsoft/ApplicationInsights-JS/blob/main/.github/copilot-instructions.md" TargetMode="External"/><Relationship Id="rId852" Type="http://schemas.openxmlformats.org/officeDocument/2006/relationships/hyperlink" Target="https://github.com/netdata/netdata/blob/master/CLAUDE.md" TargetMode="External"/><Relationship Id="rId1068" Type="http://schemas.openxmlformats.org/officeDocument/2006/relationships/hyperlink" Target="https://github.com/Azure/autorest.typescript/blob/main/.github/copilot-instructions.md" TargetMode="External"/><Relationship Id="rId1275" Type="http://schemas.openxmlformats.org/officeDocument/2006/relationships/hyperlink" Target="https://github.com/Pipelex/pipelex/blob/main/AGENTS.md" TargetMode="External"/><Relationship Id="rId1482" Type="http://schemas.openxmlformats.org/officeDocument/2006/relationships/hyperlink" Target="https://github.com/epicweb-dev/epicshop/blob/main/AGENTS.md" TargetMode="External"/><Relationship Id="rId505" Type="http://schemas.openxmlformats.org/officeDocument/2006/relationships/hyperlink" Target="https://github.com/evmts/tevm-monorepo/blob/main/CLAUDE.md" TargetMode="External"/><Relationship Id="rId712" Type="http://schemas.openxmlformats.org/officeDocument/2006/relationships/hyperlink" Target="https://github.com/abh/ntppool/blob/main/CLAUDE.md" TargetMode="External"/><Relationship Id="rId1135" Type="http://schemas.openxmlformats.org/officeDocument/2006/relationships/hyperlink" Target="https://github.com/obophenotype/uberon/blob/master/.github/copilot-instructions.md" TargetMode="External"/><Relationship Id="rId1342" Type="http://schemas.openxmlformats.org/officeDocument/2006/relationships/hyperlink" Target="https://github.com/owid/etl/blob/master/CLAUDE.md" TargetMode="External"/><Relationship Id="rId1787" Type="http://schemas.openxmlformats.org/officeDocument/2006/relationships/hyperlink" Target="https://github.com/theopenco/llmgateway/blob/main/CLAUDE.md" TargetMode="External"/><Relationship Id="rId79" Type="http://schemas.openxmlformats.org/officeDocument/2006/relationships/hyperlink" Target="https://github.com/webgptorg/promptbook/blob/main/AGENTS.md" TargetMode="External"/><Relationship Id="rId1202" Type="http://schemas.openxmlformats.org/officeDocument/2006/relationships/hyperlink" Target="https://github.com/julep-ai/julep/blob/main/AGENTS.md" TargetMode="External"/><Relationship Id="rId1647" Type="http://schemas.openxmlformats.org/officeDocument/2006/relationships/hyperlink" Target="https://github.com/carverauto/serviceradar/blob/main/AGENTS.md" TargetMode="External"/><Relationship Id="rId1854" Type="http://schemas.openxmlformats.org/officeDocument/2006/relationships/hyperlink" Target="https://github.com/Freika/dawarich/blob/master/CLAUDE.md" TargetMode="External"/><Relationship Id="rId1507" Type="http://schemas.openxmlformats.org/officeDocument/2006/relationships/hyperlink" Target="https://github.com/actnwit/RhodoniteTS/blob/main/CLAUDE.md" TargetMode="External"/><Relationship Id="rId1714" Type="http://schemas.openxmlformats.org/officeDocument/2006/relationships/hyperlink" Target="https://github.com/esphome/esphome/blob/main/.github/copilot-instructions.md" TargetMode="External"/><Relationship Id="rId295" Type="http://schemas.openxmlformats.org/officeDocument/2006/relationships/hyperlink" Target="https://github.com/colinhacks/zod/blob/main/CLAUDE.md" TargetMode="External"/><Relationship Id="rId1921" Type="http://schemas.openxmlformats.org/officeDocument/2006/relationships/hyperlink" Target="https://github.com/sybrew/the-seo-framework/blob/master/.github/copilot-instructions.md" TargetMode="External"/><Relationship Id="rId155" Type="http://schemas.openxmlformats.org/officeDocument/2006/relationships/hyperlink" Target="https://github.com/ShaunLawrie/PwshSpectreConsole/blob/main/.github/copilot-instructions.md" TargetMode="External"/><Relationship Id="rId362" Type="http://schemas.openxmlformats.org/officeDocument/2006/relationships/hyperlink" Target="https://github.com/herbie-fp/herbie/blob/main/AGENTS.md" TargetMode="External"/><Relationship Id="rId1297" Type="http://schemas.openxmlformats.org/officeDocument/2006/relationships/hyperlink" Target="https://github.com/dropseed/plain/blob/main/CLAUDE.md" TargetMode="External"/><Relationship Id="rId222" Type="http://schemas.openxmlformats.org/officeDocument/2006/relationships/hyperlink" Target="https://github.com/dotnet/maui/blob/main/.github/copilot-instructions.md" TargetMode="External"/><Relationship Id="rId667" Type="http://schemas.openxmlformats.org/officeDocument/2006/relationships/hyperlink" Target="https://github.com/SparkDevNetwork/Rock/blob/master/.github/copilot-instructions.md" TargetMode="External"/><Relationship Id="rId874" Type="http://schemas.openxmlformats.org/officeDocument/2006/relationships/hyperlink" Target="https://github.com/open-metadata/OpenMetadata/blob/main/CLAUDE.md" TargetMode="External"/><Relationship Id="rId527" Type="http://schemas.openxmlformats.org/officeDocument/2006/relationships/hyperlink" Target="https://github.com/nrwl/nx/blob/master/CLAUDE.md" TargetMode="External"/><Relationship Id="rId734" Type="http://schemas.openxmlformats.org/officeDocument/2006/relationships/hyperlink" Target="https://github.com/anyproto/anytype-ts/blob/main/CLAUDE.md" TargetMode="External"/><Relationship Id="rId941" Type="http://schemas.openxmlformats.org/officeDocument/2006/relationships/hyperlink" Target="https://github.com/xlnfinance/xln/blob/main/CLAUDE.md" TargetMode="External"/><Relationship Id="rId1157" Type="http://schemas.openxmlformats.org/officeDocument/2006/relationships/hyperlink" Target="https://github.com/wled/WLED/blob/main/.github/copilot-instructions.md" TargetMode="External"/><Relationship Id="rId1364" Type="http://schemas.openxmlformats.org/officeDocument/2006/relationships/hyperlink" Target="https://github.com/zenml-io/zenml/blob/main/CLAUDE.md" TargetMode="External"/><Relationship Id="rId1571" Type="http://schemas.openxmlformats.org/officeDocument/2006/relationships/hyperlink" Target="https://github.com/home-assistant/frontend/blob/master/CLAUDE.md" TargetMode="External"/><Relationship Id="rId70" Type="http://schemas.openxmlformats.org/officeDocument/2006/relationships/hyperlink" Target="https://github.com/useautumn/autumn/blob/main/AGENTS.md" TargetMode="External"/><Relationship Id="rId801" Type="http://schemas.openxmlformats.org/officeDocument/2006/relationships/hyperlink" Target="https://github.com/evmts/tevm-monorepo/blob/main/CLAUDE.md" TargetMode="External"/><Relationship Id="rId1017" Type="http://schemas.openxmlformats.org/officeDocument/2006/relationships/hyperlink" Target="https://github.com/pytorch/pytorch/blob/main/AGENTS.md" TargetMode="External"/><Relationship Id="rId1224" Type="http://schemas.openxmlformats.org/officeDocument/2006/relationships/hyperlink" Target="https://github.com/microsoft/simplechat/blob/main/.github/copilot-instructions.md" TargetMode="External"/><Relationship Id="rId1431" Type="http://schemas.openxmlformats.org/officeDocument/2006/relationships/hyperlink" Target="https://github.com/wieslawsoltes/Dock/blob/master/AGENTS.md" TargetMode="External"/><Relationship Id="rId1669" Type="http://schemas.openxmlformats.org/officeDocument/2006/relationships/hyperlink" Target="https://github.com/langchain-ai/langchain/blob/master/AGENTS.md" TargetMode="External"/><Relationship Id="rId1876" Type="http://schemas.openxmlformats.org/officeDocument/2006/relationships/hyperlink" Target="https://github.com/langfuse/langfuse/blob/main/AGENTS.md" TargetMode="External"/><Relationship Id="rId1529" Type="http://schemas.openxmlformats.org/officeDocument/2006/relationships/hyperlink" Target="https://github.com/colinhacks/zod/blob/main/CLAUDE.md" TargetMode="External"/><Relationship Id="rId1736" Type="http://schemas.openxmlformats.org/officeDocument/2006/relationships/hyperlink" Target="https://github.com/SparkDevNetwork/Rock/blob/master/.github/copilot-instructions.md" TargetMode="External"/><Relationship Id="rId1943" Type="http://schemas.openxmlformats.org/officeDocument/2006/relationships/table" Target="../tables/table5.xml"/><Relationship Id="rId28" Type="http://schemas.openxmlformats.org/officeDocument/2006/relationships/hyperlink" Target="https://github.com/public-ui/kolibri/blob/master/AGENTS.md" TargetMode="External"/><Relationship Id="rId1803" Type="http://schemas.openxmlformats.org/officeDocument/2006/relationships/hyperlink" Target="https://github.com/geneontology/go-ontology/blob/master/.github/copilot-instructions.md" TargetMode="External"/><Relationship Id="rId177" Type="http://schemas.openxmlformats.org/officeDocument/2006/relationships/hyperlink" Target="https://github.com/sybrew/the-seo-framework/blob/master/.github/copilot-instructions.md" TargetMode="External"/><Relationship Id="rId384" Type="http://schemas.openxmlformats.org/officeDocument/2006/relationships/hyperlink" Target="https://github.com/stack-auth/stack-auth/blob/main/AGENTS.md" TargetMode="External"/><Relationship Id="rId591" Type="http://schemas.openxmlformats.org/officeDocument/2006/relationships/hyperlink" Target="https://github.com/llama-farm/llamafarm/blob/main/AGENTS.md" TargetMode="External"/><Relationship Id="rId244" Type="http://schemas.openxmlformats.org/officeDocument/2006/relationships/hyperlink" Target="https://github.com/dotnet/sdk/blob/main/.github/copilot-instructions.md" TargetMode="External"/><Relationship Id="rId689" Type="http://schemas.openxmlformats.org/officeDocument/2006/relationships/hyperlink" Target="https://github.com/netdata/netdata/blob/master/CLAUDE.md" TargetMode="External"/><Relationship Id="rId896" Type="http://schemas.openxmlformats.org/officeDocument/2006/relationships/hyperlink" Target="https://github.com/Pipelex/pipelex/blob/main/CLAUDE.md" TargetMode="External"/><Relationship Id="rId1081" Type="http://schemas.openxmlformats.org/officeDocument/2006/relationships/hyperlink" Target="https://github.com/christianhelle/apiclientcodegen/blob/master/.github/copilot-instructions.md" TargetMode="External"/><Relationship Id="rId451" Type="http://schemas.openxmlformats.org/officeDocument/2006/relationships/hyperlink" Target="https://github.com/Freika/dawarich/blob/master/CLAUDE.md" TargetMode="External"/><Relationship Id="rId549" Type="http://schemas.openxmlformats.org/officeDocument/2006/relationships/hyperlink" Target="https://github.com/qltysh/qlty/blob/main/CLAUDE.md" TargetMode="External"/><Relationship Id="rId756" Type="http://schemas.openxmlformats.org/officeDocument/2006/relationships/hyperlink" Target="https://github.com/cloudposse/atmos/blob/main/CLAUDE.md" TargetMode="External"/><Relationship Id="rId1179" Type="http://schemas.openxmlformats.org/officeDocument/2006/relationships/hyperlink" Target="https://github.com/xlnfinance/xln/blob/main/CLAUDE.md" TargetMode="External"/><Relationship Id="rId1386" Type="http://schemas.openxmlformats.org/officeDocument/2006/relationships/hyperlink" Target="https://github.com/janbjorge/pgqueuer/blob/main/AGENTS.md" TargetMode="External"/><Relationship Id="rId1593" Type="http://schemas.openxmlformats.org/officeDocument/2006/relationships/hyperlink" Target="https://github.com/OneKeyHQ/app-monorepo/blob/master/CLAUDE.md" TargetMode="External"/><Relationship Id="rId104" Type="http://schemas.openxmlformats.org/officeDocument/2006/relationships/hyperlink" Target="https://github.com/dotnet/core/blob/main/.github/copilot-instructions.md" TargetMode="External"/><Relationship Id="rId311" Type="http://schemas.openxmlformats.org/officeDocument/2006/relationships/hyperlink" Target="https://github.com/dropseed/plain/blob/main/CLAUDE.md" TargetMode="External"/><Relationship Id="rId409" Type="http://schemas.openxmlformats.org/officeDocument/2006/relationships/hyperlink" Target="https://github.com/humanwhocodes/crosspost/blob/main/.github/copilot-instructions.md" TargetMode="External"/><Relationship Id="rId963" Type="http://schemas.openxmlformats.org/officeDocument/2006/relationships/hyperlink" Target="https://github.com/carverauto/serviceradar/blob/main/AGENTS.md" TargetMode="External"/><Relationship Id="rId1039" Type="http://schemas.openxmlformats.org/officeDocument/2006/relationships/hyperlink" Target="https://github.com/zenml-io/zenml/blob/main/AGENTS.md" TargetMode="External"/><Relationship Id="rId1246" Type="http://schemas.openxmlformats.org/officeDocument/2006/relationships/hyperlink" Target="https://github.com/dotnet/maui/blob/main/.github/copilot-instructions.md" TargetMode="External"/><Relationship Id="rId1898" Type="http://schemas.openxmlformats.org/officeDocument/2006/relationships/hyperlink" Target="https://github.com/luccahuguet/yazelix/blob/main/AGENTS.md" TargetMode="External"/><Relationship Id="rId92" Type="http://schemas.openxmlformats.org/officeDocument/2006/relationships/hyperlink" Target="https://github.com/Azure/autorest.typescript/blob/main/.github/copilot-instructions.md" TargetMode="External"/><Relationship Id="rId616" Type="http://schemas.openxmlformats.org/officeDocument/2006/relationships/hyperlink" Target="https://github.com/stack-auth/stack-auth/blob/main/AGENTS.md" TargetMode="External"/><Relationship Id="rId823" Type="http://schemas.openxmlformats.org/officeDocument/2006/relationships/hyperlink" Target="https://github.com/getsentry/sentry-javascript/blob/master/CLAUDE.md" TargetMode="External"/><Relationship Id="rId1453" Type="http://schemas.openxmlformats.org/officeDocument/2006/relationships/hyperlink" Target="https://github.com/microsoft/PowerToys/blob/main/.github/copilot-instructions.md" TargetMode="External"/><Relationship Id="rId1660" Type="http://schemas.openxmlformats.org/officeDocument/2006/relationships/hyperlink" Target="https://github.com/janbjorge/pgqueuer/blob/main/AGENTS.md" TargetMode="External"/><Relationship Id="rId1758" Type="http://schemas.openxmlformats.org/officeDocument/2006/relationships/hyperlink" Target="https://github.com/Azure/azure-functions-host/blob/master/.github/copilot-instructions.md" TargetMode="External"/><Relationship Id="rId1106" Type="http://schemas.openxmlformats.org/officeDocument/2006/relationships/hyperlink" Target="https://github.com/geneontology/go-ontology/blob/master/.github/copilot-instructions.md" TargetMode="External"/><Relationship Id="rId1313" Type="http://schemas.openxmlformats.org/officeDocument/2006/relationships/hyperlink" Target="https://github.com/home-assistant/frontend/blob/master/CLAUDE.md" TargetMode="External"/><Relationship Id="rId1520" Type="http://schemas.openxmlformats.org/officeDocument/2006/relationships/hyperlink" Target="https://github.com/BerriAI/litellm/blob/main/CLAUDE.md" TargetMode="External"/><Relationship Id="rId1618" Type="http://schemas.openxmlformats.org/officeDocument/2006/relationships/hyperlink" Target="https://github.com/saleor/saleor/blob/main/CLAUDE.md" TargetMode="External"/><Relationship Id="rId1825" Type="http://schemas.openxmlformats.org/officeDocument/2006/relationships/hyperlink" Target="https://github.com/dotnet/maui/blob/main/.github/copilot-instructions.md" TargetMode="External"/><Relationship Id="rId199" Type="http://schemas.openxmlformats.org/officeDocument/2006/relationships/hyperlink" Target="https://github.com/public-ui/kolibri/blob/master/AGENTS.md" TargetMode="External"/><Relationship Id="rId266" Type="http://schemas.openxmlformats.org/officeDocument/2006/relationships/hyperlink" Target="https://github.com/anyproto/anytype-ts/blob/main/CLAUDE.md" TargetMode="External"/><Relationship Id="rId473" Type="http://schemas.openxmlformats.org/officeDocument/2006/relationships/hyperlink" Target="https://github.com/module-federation/core/blob/main/CLAUDE.md" TargetMode="External"/><Relationship Id="rId680" Type="http://schemas.openxmlformats.org/officeDocument/2006/relationships/hyperlink" Target="https://github.com/vaadin/flow/blob/main/CLAUDE.md" TargetMode="External"/><Relationship Id="rId126" Type="http://schemas.openxmlformats.org/officeDocument/2006/relationships/hyperlink" Target="https://github.com/microsoft/ApplicationInsights-JS/blob/main/.github/copilot-instructions.md" TargetMode="External"/><Relationship Id="rId333" Type="http://schemas.openxmlformats.org/officeDocument/2006/relationships/hyperlink" Target="https://github.com/open-metadata/OpenMetadata/blob/main/CLAUDE.md" TargetMode="External"/><Relationship Id="rId540" Type="http://schemas.openxmlformats.org/officeDocument/2006/relationships/hyperlink" Target="https://github.com/owid/owid-grapher/blob/master/CLAUDE.md" TargetMode="External"/><Relationship Id="rId778" Type="http://schemas.openxmlformats.org/officeDocument/2006/relationships/hyperlink" Target="https://github.com/Comfy-Org/comfy-claude-prompt-library/blob/master/CLAUDE.md" TargetMode="External"/><Relationship Id="rId985" Type="http://schemas.openxmlformats.org/officeDocument/2006/relationships/hyperlink" Target="https://github.com/marin-community/marin/blob/main/AGENTS.md" TargetMode="External"/><Relationship Id="rId1170" Type="http://schemas.openxmlformats.org/officeDocument/2006/relationships/hyperlink" Target="https://github.com/OneKeyHQ/app-monorepo/blob/master/CLAUDE.md" TargetMode="External"/><Relationship Id="rId638" Type="http://schemas.openxmlformats.org/officeDocument/2006/relationships/hyperlink" Target="https://github.com/esphome/esphome/blob/main/.github/copilot-instructions.md" TargetMode="External"/><Relationship Id="rId845" Type="http://schemas.openxmlformats.org/officeDocument/2006/relationships/hyperlink" Target="https://github.com/lightdash/lightdash/blob/main/CLAUDE.md" TargetMode="External"/><Relationship Id="rId1030" Type="http://schemas.openxmlformats.org/officeDocument/2006/relationships/hyperlink" Target="https://github.com/theopenco/llmgateway/blob/main/AGENTS.md" TargetMode="External"/><Relationship Id="rId1268" Type="http://schemas.openxmlformats.org/officeDocument/2006/relationships/hyperlink" Target="https://github.com/Pipelex/pipelex/blob/main/CLAUDE.md" TargetMode="External"/><Relationship Id="rId1475" Type="http://schemas.openxmlformats.org/officeDocument/2006/relationships/hyperlink" Target="https://github.com/open-metadata/OpenMetadata/blob/main/CLAUDE.md" TargetMode="External"/><Relationship Id="rId1682" Type="http://schemas.openxmlformats.org/officeDocument/2006/relationships/hyperlink" Target="https://github.com/modelcontextprotocol/inspector/blob/main/AGENTS.md" TargetMode="External"/><Relationship Id="rId400" Type="http://schemas.openxmlformats.org/officeDocument/2006/relationships/hyperlink" Target="https://github.com/dotnet/fsharp/blob/main/.github/copilot-instructions.md" TargetMode="External"/><Relationship Id="rId705" Type="http://schemas.openxmlformats.org/officeDocument/2006/relationships/hyperlink" Target="https://github.com/BerriAI/litellm/blob/main/CLAUDE.md" TargetMode="External"/><Relationship Id="rId1128" Type="http://schemas.openxmlformats.org/officeDocument/2006/relationships/hyperlink" Target="https://github.com/microsoft/simplechat/blob/main/.github/copilot-instructions.md" TargetMode="External"/><Relationship Id="rId1335" Type="http://schemas.openxmlformats.org/officeDocument/2006/relationships/hyperlink" Target="https://github.com/open-metadata/OpenMetadata/blob/main/CLAUDE.md" TargetMode="External"/><Relationship Id="rId1542" Type="http://schemas.openxmlformats.org/officeDocument/2006/relationships/hyperlink" Target="https://github.com/dailydotdev/apps/blob/main/CLAUDE.md" TargetMode="External"/><Relationship Id="rId912" Type="http://schemas.openxmlformats.org/officeDocument/2006/relationships/hyperlink" Target="https://github.com/safety-research/safety-tooling/blob/main/CLAUDE.md" TargetMode="External"/><Relationship Id="rId1847" Type="http://schemas.openxmlformats.org/officeDocument/2006/relationships/hyperlink" Target="https://github.com/coder/coder/blob/main/CLAUDE.md" TargetMode="External"/><Relationship Id="rId41" Type="http://schemas.openxmlformats.org/officeDocument/2006/relationships/hyperlink" Target="https://github.com/pytorch/pytorch/blob/main/AGENTS.md" TargetMode="External"/><Relationship Id="rId1402" Type="http://schemas.openxmlformats.org/officeDocument/2006/relationships/hyperlink" Target="https://github.com/marin-community/marin/blob/main/AGENTS.md" TargetMode="External"/><Relationship Id="rId1707" Type="http://schemas.openxmlformats.org/officeDocument/2006/relationships/hyperlink" Target="https://github.com/dotnet/docs-aspire/blob/main/.github/copilot-instructions.md" TargetMode="External"/><Relationship Id="rId190" Type="http://schemas.openxmlformats.org/officeDocument/2006/relationships/hyperlink" Target="https://github.com/Freika/dawarich/blob/master/CLAUDE.md" TargetMode="External"/><Relationship Id="rId288" Type="http://schemas.openxmlformats.org/officeDocument/2006/relationships/hyperlink" Target="https://github.com/coder/coder/blob/main/CLAUDE.md" TargetMode="External"/><Relationship Id="rId1914" Type="http://schemas.openxmlformats.org/officeDocument/2006/relationships/hyperlink" Target="https://github.com/Skyvern-AI/skyvern/blob/master/CLAUDE.md" TargetMode="External"/><Relationship Id="rId495" Type="http://schemas.openxmlformats.org/officeDocument/2006/relationships/hyperlink" Target="https://github.com/cloudposse/atmos/blob/main/CLAUDE.md" TargetMode="External"/><Relationship Id="rId148" Type="http://schemas.openxmlformats.org/officeDocument/2006/relationships/hyperlink" Target="https://github.com/raycast/extensions/blob/main/.github/copilot-instructions.md" TargetMode="External"/><Relationship Id="rId355" Type="http://schemas.openxmlformats.org/officeDocument/2006/relationships/hyperlink" Target="https://github.com/zenml-io/zenml/blob/main/CLAUDE.md" TargetMode="External"/><Relationship Id="rId562" Type="http://schemas.openxmlformats.org/officeDocument/2006/relationships/hyperlink" Target="https://github.com/speaches-ai/speaches/blob/master/CLAUDE.md" TargetMode="External"/><Relationship Id="rId1192" Type="http://schemas.openxmlformats.org/officeDocument/2006/relationships/hyperlink" Target="https://github.com/evmts/tevm-monorepo/blob/main/CLAUDE.md" TargetMode="External"/><Relationship Id="rId215" Type="http://schemas.openxmlformats.org/officeDocument/2006/relationships/hyperlink" Target="https://github.com/Comfy-Org/comfy-claude-prompt-library/blob/master/CLAUDE.md" TargetMode="External"/><Relationship Id="rId422" Type="http://schemas.openxmlformats.org/officeDocument/2006/relationships/hyperlink" Target="https://github.com/SparkDevNetwork/Rock/blob/master/.github/copilot-instructions.md" TargetMode="External"/><Relationship Id="rId867" Type="http://schemas.openxmlformats.org/officeDocument/2006/relationships/hyperlink" Target="https://github.com/OneKeyHQ/app-monorepo/blob/master/CLAUDE.md" TargetMode="External"/><Relationship Id="rId1052" Type="http://schemas.openxmlformats.org/officeDocument/2006/relationships/hyperlink" Target="https://github.com/ast-grep/ast-grep/blob/main/.github/copilot-instructions.md" TargetMode="External"/><Relationship Id="rId1497" Type="http://schemas.openxmlformats.org/officeDocument/2006/relationships/hyperlink" Target="https://github.com/open-metadata/OpenMetadata/blob/main/CLAUDE.md" TargetMode="External"/><Relationship Id="rId727" Type="http://schemas.openxmlformats.org/officeDocument/2006/relationships/hyperlink" Target="https://github.com/allenai/open-instruct/blob/main/CLAUDE.md" TargetMode="External"/><Relationship Id="rId934" Type="http://schemas.openxmlformats.org/officeDocument/2006/relationships/hyperlink" Target="https://github.com/wolfi-dev/os/blob/main/CLAUDE.md" TargetMode="External"/><Relationship Id="rId1357" Type="http://schemas.openxmlformats.org/officeDocument/2006/relationships/hyperlink" Target="https://github.com/wvlet/wvlet/blob/main/CLAUDE.md" TargetMode="External"/><Relationship Id="rId1564" Type="http://schemas.openxmlformats.org/officeDocument/2006/relationships/hyperlink" Target="https://github.com/gensx-inc/gensx/blob/main/CLAUDE.md" TargetMode="External"/><Relationship Id="rId1771" Type="http://schemas.openxmlformats.org/officeDocument/2006/relationships/hyperlink" Target="https://github.com/microsoft/react-native-windows/blob/main/.github/copilot-instructions.md" TargetMode="External"/><Relationship Id="rId63" Type="http://schemas.openxmlformats.org/officeDocument/2006/relationships/hyperlink" Target="https://github.com/swarmauri/swarmauri-sdk/blob/main/AGENTS.md" TargetMode="External"/><Relationship Id="rId1217" Type="http://schemas.openxmlformats.org/officeDocument/2006/relationships/hyperlink" Target="https://github.com/abh/ntppool/blob/main/CLAUDE.md" TargetMode="External"/><Relationship Id="rId1424" Type="http://schemas.openxmlformats.org/officeDocument/2006/relationships/hyperlink" Target="https://github.com/shopware/shopware/blob/master/AGENTS.md" TargetMode="External"/><Relationship Id="rId1631" Type="http://schemas.openxmlformats.org/officeDocument/2006/relationships/hyperlink" Target="https://github.com/wolfi-dev/os/blob/main/CLAUDE.md" TargetMode="External"/><Relationship Id="rId1869" Type="http://schemas.openxmlformats.org/officeDocument/2006/relationships/hyperlink" Target="https://github.com/zenml-io/zenml/blob/main/CLAUDE.md" TargetMode="External"/><Relationship Id="rId1729" Type="http://schemas.openxmlformats.org/officeDocument/2006/relationships/hyperlink" Target="https://github.com/mixpanel/mixpanel-android/blob/master/.github/copilot-instructions.md" TargetMode="External"/><Relationship Id="rId1936" Type="http://schemas.openxmlformats.org/officeDocument/2006/relationships/hyperlink" Target="https://github.com/dailydotdev/apps/blob/main/CLAUDE.md" TargetMode="External"/><Relationship Id="rId377" Type="http://schemas.openxmlformats.org/officeDocument/2006/relationships/hyperlink" Target="https://github.com/pulumi/docs/blob/master/AGENTS.md" TargetMode="External"/><Relationship Id="rId584" Type="http://schemas.openxmlformats.org/officeDocument/2006/relationships/hyperlink" Target="https://github.com/epicweb-dev/epicshop/blob/main/AGENTS.md" TargetMode="External"/><Relationship Id="rId5" Type="http://schemas.openxmlformats.org/officeDocument/2006/relationships/hyperlink" Target="https://github.com/microsoft/mcp-for-beginners/blob/main/AGENTS.md" TargetMode="External"/><Relationship Id="rId237" Type="http://schemas.openxmlformats.org/officeDocument/2006/relationships/hyperlink" Target="https://github.com/microsoft/simplechat/blob/main/.github/copilot-instructions.md" TargetMode="External"/><Relationship Id="rId791" Type="http://schemas.openxmlformats.org/officeDocument/2006/relationships/hyperlink" Target="https://github.com/dailydotdev/apps/blob/main/CLAUDE.md" TargetMode="External"/><Relationship Id="rId889" Type="http://schemas.openxmlformats.org/officeDocument/2006/relationships/hyperlink" Target="https://github.com/Pipelex/pipelex/blob/main/CLAUDE.md" TargetMode="External"/><Relationship Id="rId1074" Type="http://schemas.openxmlformats.org/officeDocument/2006/relationships/hyperlink" Target="https://github.com/Azure/azure-functions-host/blob/master/.github/copilot-instructions.md" TargetMode="External"/><Relationship Id="rId444" Type="http://schemas.openxmlformats.org/officeDocument/2006/relationships/hyperlink" Target="https://github.com/geneontology/go-ontology/blob/master/CLAUDE.md" TargetMode="External"/><Relationship Id="rId651" Type="http://schemas.openxmlformats.org/officeDocument/2006/relationships/hyperlink" Target="https://github.com/microsoft/typespec/blob/main/.github/copilot-instructions.md" TargetMode="External"/><Relationship Id="rId749" Type="http://schemas.openxmlformats.org/officeDocument/2006/relationships/hyperlink" Target="https://github.com/CapSoftware/Cap/blob/main/CLAUDE.md" TargetMode="External"/><Relationship Id="rId1281" Type="http://schemas.openxmlformats.org/officeDocument/2006/relationships/hyperlink" Target="https://github.com/anyproto/anytype-swift/blob/main/CLAUDE.md" TargetMode="External"/><Relationship Id="rId1379" Type="http://schemas.openxmlformats.org/officeDocument/2006/relationships/hyperlink" Target="https://github.com/hathach/tinyusb/blob/master/AGENTS.md" TargetMode="External"/><Relationship Id="rId1586" Type="http://schemas.openxmlformats.org/officeDocument/2006/relationships/hyperlink" Target="https://github.com/lostleaf/binance_datatool/blob/main/CLAUDE.md" TargetMode="External"/><Relationship Id="rId304" Type="http://schemas.openxmlformats.org/officeDocument/2006/relationships/hyperlink" Target="https://github.com/compiler-explorer/infra/blob/main/CLAUDE.md" TargetMode="External"/><Relationship Id="rId511" Type="http://schemas.openxmlformats.org/officeDocument/2006/relationships/hyperlink" Target="https://github.com/gitpod-io/gitpod/blob/main/CLAUDE.md" TargetMode="External"/><Relationship Id="rId609" Type="http://schemas.openxmlformats.org/officeDocument/2006/relationships/hyperlink" Target="https://github.com/RSSNext/Folo/blob/main/AGENTS.md" TargetMode="External"/><Relationship Id="rId956" Type="http://schemas.openxmlformats.org/officeDocument/2006/relationships/hyperlink" Target="https://github.com/CapSoftware/Cap/blob/main/AGENTS.md" TargetMode="External"/><Relationship Id="rId1141" Type="http://schemas.openxmlformats.org/officeDocument/2006/relationships/hyperlink" Target="https://github.com/primer/react/blob/main/.github/copilot-instructions.md" TargetMode="External"/><Relationship Id="rId1239" Type="http://schemas.openxmlformats.org/officeDocument/2006/relationships/hyperlink" Target="https://github.com/theopenco/llmgateway/blob/main/CLAUDE.md" TargetMode="External"/><Relationship Id="rId1793" Type="http://schemas.openxmlformats.org/officeDocument/2006/relationships/hyperlink" Target="https://github.com/owid/etl/blob/master/AGENTS.md" TargetMode="External"/><Relationship Id="rId85" Type="http://schemas.openxmlformats.org/officeDocument/2006/relationships/hyperlink" Target="https://github.com/wieslawsoltes/Xaml.Behaviors/blob/master/AGENTS.md" TargetMode="External"/><Relationship Id="rId816" Type="http://schemas.openxmlformats.org/officeDocument/2006/relationships/hyperlink" Target="https://github.com/geneontology/go-ontology/blob/master/CLAUDE.md" TargetMode="External"/><Relationship Id="rId1001" Type="http://schemas.openxmlformats.org/officeDocument/2006/relationships/hyperlink" Target="https://github.com/PrairieLearn/PrairieLearn/blob/master/AGENTS.md" TargetMode="External"/><Relationship Id="rId1446" Type="http://schemas.openxmlformats.org/officeDocument/2006/relationships/hyperlink" Target="https://github.com/dotnet/docs-aspire/blob/main/.github/copilot-instructions.md" TargetMode="External"/><Relationship Id="rId1653" Type="http://schemas.openxmlformats.org/officeDocument/2006/relationships/hyperlink" Target="https://github.com/DataDog/datadog-agent/blob/main/AGENTS.md" TargetMode="External"/><Relationship Id="rId1860" Type="http://schemas.openxmlformats.org/officeDocument/2006/relationships/hyperlink" Target="https://github.com/jxnl/blog/blob/main/CLAUDE.md" TargetMode="External"/><Relationship Id="rId1306" Type="http://schemas.openxmlformats.org/officeDocument/2006/relationships/hyperlink" Target="https://github.com/geneontology/go-ontology/blob/master/CLAUDE.md" TargetMode="External"/><Relationship Id="rId1513" Type="http://schemas.openxmlformats.org/officeDocument/2006/relationships/hyperlink" Target="https://github.com/angular-eslint/angular-eslint/blob/main/CLAUDE.md" TargetMode="External"/><Relationship Id="rId1720" Type="http://schemas.openxmlformats.org/officeDocument/2006/relationships/hyperlink" Target="https://github.com/kubefleet-dev/kubefleet/blob/main/.github/copilot-instructions.md" TargetMode="External"/><Relationship Id="rId12" Type="http://schemas.openxmlformats.org/officeDocument/2006/relationships/hyperlink" Target="https://github.com/openai/openai-agents-python/blob/main/AGENTS.md" TargetMode="External"/><Relationship Id="rId1818" Type="http://schemas.openxmlformats.org/officeDocument/2006/relationships/hyperlink" Target="https://github.com/Azure/autorest.typescript/blob/main/.github/copilot-instructions.md" TargetMode="External"/><Relationship Id="rId161" Type="http://schemas.openxmlformats.org/officeDocument/2006/relationships/hyperlink" Target="https://github.com/SparkDevNetwork/Rock/blob/master/.github/copilot-instructions.md" TargetMode="External"/><Relationship Id="rId399" Type="http://schemas.openxmlformats.org/officeDocument/2006/relationships/hyperlink" Target="https://github.com/dotnet/dotnet-api-docs/blob/main/.github/copilot-instructions.md" TargetMode="External"/><Relationship Id="rId259" Type="http://schemas.openxmlformats.org/officeDocument/2006/relationships/hyperlink" Target="https://github.com/microsoft/mcp-for-beginners/blob/main/AGENTS.md" TargetMode="External"/><Relationship Id="rId466" Type="http://schemas.openxmlformats.org/officeDocument/2006/relationships/hyperlink" Target="https://github.com/SparkDevNetwork/Rock/blob/master/.github/copilot-instructions.md" TargetMode="External"/><Relationship Id="rId673" Type="http://schemas.openxmlformats.org/officeDocument/2006/relationships/hyperlink" Target="https://github.com/zwave-js/zwave-js-ui/blob/master/.github/copilot-instructions.md" TargetMode="External"/><Relationship Id="rId880" Type="http://schemas.openxmlformats.org/officeDocument/2006/relationships/hyperlink" Target="https://github.com/pannous/wasp/blob/main/CLAUDE.md" TargetMode="External"/><Relationship Id="rId1096" Type="http://schemas.openxmlformats.org/officeDocument/2006/relationships/hyperlink" Target="https://github.com/esphome/esphome/blob/main/.github/copilot-instructions.md" TargetMode="External"/><Relationship Id="rId119" Type="http://schemas.openxmlformats.org/officeDocument/2006/relationships/hyperlink" Target="https://github.com/friendsofhyperf/components/blob/main/.github/copilot-instructions.md" TargetMode="External"/><Relationship Id="rId326" Type="http://schemas.openxmlformats.org/officeDocument/2006/relationships/hyperlink" Target="https://github.com/nrwl/nx/blob/master/CLAUDE.md" TargetMode="External"/><Relationship Id="rId533" Type="http://schemas.openxmlformats.org/officeDocument/2006/relationships/hyperlink" Target="https://github.com/open-metadata/OpenMetadata/blob/main/CLAUDE.md" TargetMode="External"/><Relationship Id="rId978" Type="http://schemas.openxmlformats.org/officeDocument/2006/relationships/hyperlink" Target="https://github.com/logancyang/obsidian-copilot/blob/master/AGENTS.md" TargetMode="External"/><Relationship Id="rId1163" Type="http://schemas.openxmlformats.org/officeDocument/2006/relationships/hyperlink" Target="https://github.com/zwave-js/zwave-js-ui/blob/master/.github/copilot-instructions.md" TargetMode="External"/><Relationship Id="rId1370" Type="http://schemas.openxmlformats.org/officeDocument/2006/relationships/hyperlink" Target="https://github.com/carverauto/serviceradar/blob/main/AGENTS.md" TargetMode="External"/><Relationship Id="rId740" Type="http://schemas.openxmlformats.org/officeDocument/2006/relationships/hyperlink" Target="https://github.com/BerriAI/litellm/blob/main/CLAUDE.md" TargetMode="External"/><Relationship Id="rId838" Type="http://schemas.openxmlformats.org/officeDocument/2006/relationships/hyperlink" Target="https://github.com/kubetail-org/kubetail/blob/main/CLAUDE.md" TargetMode="External"/><Relationship Id="rId1023" Type="http://schemas.openxmlformats.org/officeDocument/2006/relationships/hyperlink" Target="https://github.com/stack-auth/stack-auth/blob/main/AGENTS.md" TargetMode="External"/><Relationship Id="rId1468" Type="http://schemas.openxmlformats.org/officeDocument/2006/relationships/hyperlink" Target="https://github.com/janbjorge/pgqueuer/blob/main/AGENTS.md" TargetMode="External"/><Relationship Id="rId1675" Type="http://schemas.openxmlformats.org/officeDocument/2006/relationships/hyperlink" Target="https://github.com/luccahuguet/yazelix/blob/main/AGENTS.md" TargetMode="External"/><Relationship Id="rId1882" Type="http://schemas.openxmlformats.org/officeDocument/2006/relationships/hyperlink" Target="https://github.com/Agoric/agoric-sdk/blob/master/.github/copilot-instructions.md" TargetMode="External"/><Relationship Id="rId600" Type="http://schemas.openxmlformats.org/officeDocument/2006/relationships/hyperlink" Target="https://github.com/marin-community/marin/blob/main/AGENTS.md" TargetMode="External"/><Relationship Id="rId1230" Type="http://schemas.openxmlformats.org/officeDocument/2006/relationships/hyperlink" Target="https://github.com/browser-use/browser-use/blob/main/CLAUDE.md" TargetMode="External"/><Relationship Id="rId1328" Type="http://schemas.openxmlformats.org/officeDocument/2006/relationships/hyperlink" Target="https://github.com/OneKeyHQ/app-monorepo/blob/master/CLAUDE.md" TargetMode="External"/><Relationship Id="rId1535" Type="http://schemas.openxmlformats.org/officeDocument/2006/relationships/hyperlink" Target="https://github.com/Comfy-Org/comfy-claude-prompt-library/blob/master/CLAUDE.md" TargetMode="External"/><Relationship Id="rId905" Type="http://schemas.openxmlformats.org/officeDocument/2006/relationships/hyperlink" Target="https://github.com/RchGrav/claudebox/blob/main/CLAUDE.md" TargetMode="External"/><Relationship Id="rId1742" Type="http://schemas.openxmlformats.org/officeDocument/2006/relationships/hyperlink" Target="https://github.com/sybrew/the-seo-framework/blob/master/.github/copilot-instructions.md" TargetMode="External"/><Relationship Id="rId34" Type="http://schemas.openxmlformats.org/officeDocument/2006/relationships/hyperlink" Target="https://github.com/public-ui/kolibri/blob/master/AGENTS.md" TargetMode="External"/><Relationship Id="rId1602" Type="http://schemas.openxmlformats.org/officeDocument/2006/relationships/hyperlink" Target="https://github.com/open-metadata/OpenMetadata/blob/main/CLAUDE.md" TargetMode="External"/><Relationship Id="rId183" Type="http://schemas.openxmlformats.org/officeDocument/2006/relationships/hyperlink" Target="https://github.com/vczh-libraries/GacUI/blob/master/.github/copilot-instructions.md" TargetMode="External"/><Relationship Id="rId390" Type="http://schemas.openxmlformats.org/officeDocument/2006/relationships/hyperlink" Target="https://github.com/AstrBotDevs/AstrBot/blob/master/.github/copilot-instructions.md" TargetMode="External"/><Relationship Id="rId1907" Type="http://schemas.openxmlformats.org/officeDocument/2006/relationships/hyperlink" Target="https://github.com/module-federation/core/blob/main/CLAUDE.md" TargetMode="External"/><Relationship Id="rId250" Type="http://schemas.openxmlformats.org/officeDocument/2006/relationships/hyperlink" Target="https://github.com/Azure/autorest.typescript/blob/main/.github/copilot-instructions.md" TargetMode="External"/><Relationship Id="rId488" Type="http://schemas.openxmlformats.org/officeDocument/2006/relationships/hyperlink" Target="https://github.com/browser-use/browser-use/blob/main/CLAUDE.md" TargetMode="External"/><Relationship Id="rId695" Type="http://schemas.openxmlformats.org/officeDocument/2006/relationships/hyperlink" Target="https://github.com/janbjorge/pgqueuer/blob/main/AGENTS.md" TargetMode="External"/><Relationship Id="rId110" Type="http://schemas.openxmlformats.org/officeDocument/2006/relationships/hyperlink" Target="https://github.com/dotnet/maui/blob/main/.github/copilot-instructions.md" TargetMode="External"/><Relationship Id="rId348" Type="http://schemas.openxmlformats.org/officeDocument/2006/relationships/hyperlink" Target="https://github.com/spylang/spy/blob/main/CLAUDE.md" TargetMode="External"/><Relationship Id="rId555" Type="http://schemas.openxmlformats.org/officeDocument/2006/relationships/hyperlink" Target="https://github.com/saleor/saleor/blob/main/CLAUDE.md" TargetMode="External"/><Relationship Id="rId762" Type="http://schemas.openxmlformats.org/officeDocument/2006/relationships/hyperlink" Target="https://github.com/cloudposse/atmos/blob/main/CLAUDE.md" TargetMode="External"/><Relationship Id="rId1185" Type="http://schemas.openxmlformats.org/officeDocument/2006/relationships/hyperlink" Target="https://github.com/wieslawsoltes/Dock/blob/master/AGENTS.md" TargetMode="External"/><Relationship Id="rId1392" Type="http://schemas.openxmlformats.org/officeDocument/2006/relationships/hyperlink" Target="https://github.com/logancyang/obsidian-copilot/blob/master/AGENTS.md" TargetMode="External"/><Relationship Id="rId208" Type="http://schemas.openxmlformats.org/officeDocument/2006/relationships/hyperlink" Target="https://github.com/CapSoftware/Cap/blob/main/AGENTS.md" TargetMode="External"/><Relationship Id="rId415" Type="http://schemas.openxmlformats.org/officeDocument/2006/relationships/hyperlink" Target="https://github.com/Open-LLM-VTuber/Open-LLM-VTuber/blob/main/.github/copilot-instructions.md" TargetMode="External"/><Relationship Id="rId622" Type="http://schemas.openxmlformats.org/officeDocument/2006/relationships/hyperlink" Target="https://github.com/zenml-io/zenml/blob/main/AGENTS.md" TargetMode="External"/><Relationship Id="rId1045" Type="http://schemas.openxmlformats.org/officeDocument/2006/relationships/hyperlink" Target="https://github.com/alandtse/alexa_media_player/blob/master/.github/copilot-instructions.md" TargetMode="External"/><Relationship Id="rId1252" Type="http://schemas.openxmlformats.org/officeDocument/2006/relationships/hyperlink" Target="https://github.com/OneKeyHQ/app-monorepo/blob/master/CLAUDE.md" TargetMode="External"/><Relationship Id="rId1697" Type="http://schemas.openxmlformats.org/officeDocument/2006/relationships/hyperlink" Target="https://github.com/webgptorg/promptbook/blob/main/AGENTS.md" TargetMode="External"/><Relationship Id="rId927" Type="http://schemas.openxmlformats.org/officeDocument/2006/relationships/hyperlink" Target="https://github.com/tphakala/birdnet-go/blob/main/CLAUDE.md" TargetMode="External"/><Relationship Id="rId1112" Type="http://schemas.openxmlformats.org/officeDocument/2006/relationships/hyperlink" Target="https://github.com/igraph/igraph/blob/main/.github/copilot-instructions.md" TargetMode="External"/><Relationship Id="rId1557" Type="http://schemas.openxmlformats.org/officeDocument/2006/relationships/hyperlink" Target="https://github.com/FluidGroup/Brightroom/blob/main/CLAUDE.md" TargetMode="External"/><Relationship Id="rId1764" Type="http://schemas.openxmlformats.org/officeDocument/2006/relationships/hyperlink" Target="https://github.com/open-metadata/OpenMetadata/blob/main/CLAUDE.md" TargetMode="External"/><Relationship Id="rId56" Type="http://schemas.openxmlformats.org/officeDocument/2006/relationships/hyperlink" Target="https://github.com/rustfs/rustfs/blob/main/AGENTS.md" TargetMode="External"/><Relationship Id="rId1417" Type="http://schemas.openxmlformats.org/officeDocument/2006/relationships/hyperlink" Target="https://github.com/pulumi/docs/blob/master/AGENTS.md" TargetMode="External"/><Relationship Id="rId1624" Type="http://schemas.openxmlformats.org/officeDocument/2006/relationships/hyperlink" Target="https://github.com/twentyhq/twenty/blob/main/CLAUDE.md" TargetMode="External"/><Relationship Id="rId1831" Type="http://schemas.openxmlformats.org/officeDocument/2006/relationships/hyperlink" Target="https://github.com/SparkDevNetwork/Rock/blob/master/.github/copilot-instructions.md" TargetMode="External"/><Relationship Id="rId1929" Type="http://schemas.openxmlformats.org/officeDocument/2006/relationships/hyperlink" Target="https://github.com/coder/coder/blob/main/CLAUDE.md" TargetMode="External"/><Relationship Id="rId272" Type="http://schemas.openxmlformats.org/officeDocument/2006/relationships/hyperlink" Target="https://github.com/abh/ntppool/blob/main/CLAUDE.md" TargetMode="External"/><Relationship Id="rId577" Type="http://schemas.openxmlformats.org/officeDocument/2006/relationships/hyperlink" Target="https://github.com/wvlet/wvlet/blob/main/CLAUDE.md" TargetMode="External"/><Relationship Id="rId132" Type="http://schemas.openxmlformats.org/officeDocument/2006/relationships/hyperlink" Target="https://github.com/microsoft/simplechat/blob/main/.github/copilot-instructions.md" TargetMode="External"/><Relationship Id="rId784" Type="http://schemas.openxmlformats.org/officeDocument/2006/relationships/hyperlink" Target="https://github.com/compiler-explorer/infra/blob/main/CLAUDE.md" TargetMode="External"/><Relationship Id="rId991" Type="http://schemas.openxmlformats.org/officeDocument/2006/relationships/hyperlink" Target="https://github.com/owid/etl/blob/master/AGENTS.md" TargetMode="External"/><Relationship Id="rId1067" Type="http://schemas.openxmlformats.org/officeDocument/2006/relationships/hyperlink" Target="https://github.com/Azure/autorest.typescript/blob/main/.github/copilot-instructions.md" TargetMode="External"/><Relationship Id="rId437" Type="http://schemas.openxmlformats.org/officeDocument/2006/relationships/hyperlink" Target="https://github.com/DumbWareio/DumbAssets/blob/main/.github/copilot-instructions.md" TargetMode="External"/><Relationship Id="rId644" Type="http://schemas.openxmlformats.org/officeDocument/2006/relationships/hyperlink" Target="https://github.com/microsoft/ApplicationInsights-JS/blob/main/.github/copilot-instructions.md" TargetMode="External"/><Relationship Id="rId851" Type="http://schemas.openxmlformats.org/officeDocument/2006/relationships/hyperlink" Target="https://github.com/netdata/netdata/blob/master/CLAUDE.md" TargetMode="External"/><Relationship Id="rId1274" Type="http://schemas.openxmlformats.org/officeDocument/2006/relationships/hyperlink" Target="https://github.com/janbjorge/pgqueuer/blob/main/AGENTS.md" TargetMode="External"/><Relationship Id="rId1481" Type="http://schemas.openxmlformats.org/officeDocument/2006/relationships/hyperlink" Target="https://github.com/elamperti/OpenWebScrobbler/blob/main/AGENTS.md" TargetMode="External"/><Relationship Id="rId1579" Type="http://schemas.openxmlformats.org/officeDocument/2006/relationships/hyperlink" Target="https://github.com/langchain-ai/langchain/blob/master/CLAUDE.md" TargetMode="External"/><Relationship Id="rId504" Type="http://schemas.openxmlformats.org/officeDocument/2006/relationships/hyperlink" Target="https://github.com/ESPresense/ESPresense-companion/blob/main/CLAUDE.md" TargetMode="External"/><Relationship Id="rId711" Type="http://schemas.openxmlformats.org/officeDocument/2006/relationships/hyperlink" Target="https://github.com/elamperti/OpenWebScrobbler/blob/main/AGENTS.md" TargetMode="External"/><Relationship Id="rId949" Type="http://schemas.openxmlformats.org/officeDocument/2006/relationships/hyperlink" Target="https://github.com/Agoric/agoric-sdk/blob/master/AGENTS.md" TargetMode="External"/><Relationship Id="rId1134" Type="http://schemas.openxmlformats.org/officeDocument/2006/relationships/hyperlink" Target="https://github.com/NuGet/NuGetGallery/blob/main/.github/copilot-instructions.md" TargetMode="External"/><Relationship Id="rId1341" Type="http://schemas.openxmlformats.org/officeDocument/2006/relationships/hyperlink" Target="https://github.com/owid/etl/blob/master/CLAUDE.md" TargetMode="External"/><Relationship Id="rId1786" Type="http://schemas.openxmlformats.org/officeDocument/2006/relationships/hyperlink" Target="https://github.com/theopenco/llmgateway/blob/main/CLAUDE.md" TargetMode="External"/><Relationship Id="rId78" Type="http://schemas.openxmlformats.org/officeDocument/2006/relationships/hyperlink" Target="https://github.com/webgptorg/promptbook/blob/main/AGENTS.md" TargetMode="External"/><Relationship Id="rId809" Type="http://schemas.openxmlformats.org/officeDocument/2006/relationships/hyperlink" Target="https://github.com/Freika/dawarich/blob/master/CLAUDE.md" TargetMode="External"/><Relationship Id="rId1201" Type="http://schemas.openxmlformats.org/officeDocument/2006/relationships/hyperlink" Target="https://github.com/Pipelex/pipelex/blob/main/AGENTS.md" TargetMode="External"/><Relationship Id="rId1439" Type="http://schemas.openxmlformats.org/officeDocument/2006/relationships/hyperlink" Target="https://github.com/zenml-io/zenml/blob/main/AGENTS.md" TargetMode="External"/><Relationship Id="rId1646" Type="http://schemas.openxmlformats.org/officeDocument/2006/relationships/hyperlink" Target="https://github.com/carverauto/serviceradar/blob/main/AGENTS.md" TargetMode="External"/><Relationship Id="rId1853" Type="http://schemas.openxmlformats.org/officeDocument/2006/relationships/hyperlink" Target="https://github.com/Freika/dawarich/blob/master/CLAUDE.md" TargetMode="External"/><Relationship Id="rId1506" Type="http://schemas.openxmlformats.org/officeDocument/2006/relationships/hyperlink" Target="https://github.com/abh/ntppool/blob/main/CLAUDE.md" TargetMode="External"/><Relationship Id="rId1713" Type="http://schemas.openxmlformats.org/officeDocument/2006/relationships/hyperlink" Target="https://github.com/esphome/esphome/blob/main/.github/copilot-instructions.md" TargetMode="External"/><Relationship Id="rId1920" Type="http://schemas.openxmlformats.org/officeDocument/2006/relationships/hyperlink" Target="https://github.com/james-gould/azure-keyvault-emulator/blob/master/.github/copilot-instructions.md" TargetMode="External"/><Relationship Id="rId294" Type="http://schemas.openxmlformats.org/officeDocument/2006/relationships/hyperlink" Target="https://github.com/colinhacks/zod/blob/main/CLAUDE.md" TargetMode="External"/><Relationship Id="rId154" Type="http://schemas.openxmlformats.org/officeDocument/2006/relationships/hyperlink" Target="https://github.com/ShaunLawrie/PwshSpectreConsole/blob/main/.github/copilot-instructions.md" TargetMode="External"/><Relationship Id="rId361" Type="http://schemas.openxmlformats.org/officeDocument/2006/relationships/hyperlink" Target="https://github.com/gitkraken/vscode-gitlens/blob/main/AGENTS.md" TargetMode="External"/><Relationship Id="rId599" Type="http://schemas.openxmlformats.org/officeDocument/2006/relationships/hyperlink" Target="https://github.com/marin-community/marin/blob/main/AGENTS.md" TargetMode="External"/><Relationship Id="rId459" Type="http://schemas.openxmlformats.org/officeDocument/2006/relationships/hyperlink" Target="https://github.com/humanwhocodes/crosspost/blob/main/.github/copilot-instructions.md" TargetMode="External"/><Relationship Id="rId666" Type="http://schemas.openxmlformats.org/officeDocument/2006/relationships/hyperlink" Target="https://github.com/SparkDevNetwork/Rock/blob/master/.github/copilot-instructions.md" TargetMode="External"/><Relationship Id="rId873" Type="http://schemas.openxmlformats.org/officeDocument/2006/relationships/hyperlink" Target="https://github.com/open-metadata/OpenMetadata/blob/main/CLAUDE.md" TargetMode="External"/><Relationship Id="rId1089" Type="http://schemas.openxmlformats.org/officeDocument/2006/relationships/hyperlink" Target="https://github.com/dotnet/aspnetcore/blob/main/.github/copilot-instructions.md" TargetMode="External"/><Relationship Id="rId1296" Type="http://schemas.openxmlformats.org/officeDocument/2006/relationships/hyperlink" Target="https://github.com/dropseed/plain/blob/main/CLAUDE.md" TargetMode="External"/><Relationship Id="rId221" Type="http://schemas.openxmlformats.org/officeDocument/2006/relationships/hyperlink" Target="https://github.com/HotCakeX/Harden-Windows-Security/blob/main/.github/copilot-instructions.md" TargetMode="External"/><Relationship Id="rId319" Type="http://schemas.openxmlformats.org/officeDocument/2006/relationships/hyperlink" Target="https://github.com/home-assistant/frontend/blob/master/CLAUDE.md" TargetMode="External"/><Relationship Id="rId526" Type="http://schemas.openxmlformats.org/officeDocument/2006/relationships/hyperlink" Target="https://github.com/nrwl/nx/blob/master/CLAUDE.md" TargetMode="External"/><Relationship Id="rId1156" Type="http://schemas.openxmlformats.org/officeDocument/2006/relationships/hyperlink" Target="https://github.com/wled/WLED/blob/main/.github/copilot-instructions.md" TargetMode="External"/><Relationship Id="rId1363" Type="http://schemas.openxmlformats.org/officeDocument/2006/relationships/hyperlink" Target="https://github.com/zenml-io/zenml/blob/main/CLAUDE.md" TargetMode="External"/><Relationship Id="rId733" Type="http://schemas.openxmlformats.org/officeDocument/2006/relationships/hyperlink" Target="https://github.com/anyproto/anytype-ts/blob/main/CLAUDE.md" TargetMode="External"/><Relationship Id="rId940" Type="http://schemas.openxmlformats.org/officeDocument/2006/relationships/hyperlink" Target="https://github.com/xlnfinance/xln/blob/main/CLAUDE.md" TargetMode="External"/><Relationship Id="rId1016" Type="http://schemas.openxmlformats.org/officeDocument/2006/relationships/hyperlink" Target="https://github.com/python-cachier/cachier/blob/master/AGENTS.md" TargetMode="External"/><Relationship Id="rId1570" Type="http://schemas.openxmlformats.org/officeDocument/2006/relationships/hyperlink" Target="https://github.com/hivesolutions/appier/blob/master/CLAUDE.md" TargetMode="External"/><Relationship Id="rId1668" Type="http://schemas.openxmlformats.org/officeDocument/2006/relationships/hyperlink" Target="https://github.com/langchain-ai/langchain/blob/master/AGENTS.md" TargetMode="External"/><Relationship Id="rId1875" Type="http://schemas.openxmlformats.org/officeDocument/2006/relationships/hyperlink" Target="https://github.com/langchain-ai/langchain/blob/master/AGENTS.md" TargetMode="External"/><Relationship Id="rId800" Type="http://schemas.openxmlformats.org/officeDocument/2006/relationships/hyperlink" Target="https://github.com/evmts/tevm-monorepo/blob/main/CLAUDE.md" TargetMode="External"/><Relationship Id="rId1223" Type="http://schemas.openxmlformats.org/officeDocument/2006/relationships/hyperlink" Target="https://github.com/saleor/saleor/blob/main/CLAUDE.md" TargetMode="External"/><Relationship Id="rId1430" Type="http://schemas.openxmlformats.org/officeDocument/2006/relationships/hyperlink" Target="https://github.com/valkey-io/valkey-glide/blob/main/AGENTS.md" TargetMode="External"/><Relationship Id="rId1528" Type="http://schemas.openxmlformats.org/officeDocument/2006/relationships/hyperlink" Target="https://github.com/colinhacks/zod/blob/main/CLAUDE.md" TargetMode="External"/><Relationship Id="rId1735" Type="http://schemas.openxmlformats.org/officeDocument/2006/relationships/hyperlink" Target="https://github.com/Significant-Gravitas/AutoGPT/blob/master/.github/copilot-instructions.md" TargetMode="External"/><Relationship Id="rId1942" Type="http://schemas.openxmlformats.org/officeDocument/2006/relationships/hyperlink" Target="https://github.com/dailydotdev/apps/blob/main/CLAUDE.md" TargetMode="External"/><Relationship Id="rId27" Type="http://schemas.openxmlformats.org/officeDocument/2006/relationships/hyperlink" Target="https://github.com/public-ui/kolibri/blob/master/AGENTS.md" TargetMode="External"/><Relationship Id="rId1802" Type="http://schemas.openxmlformats.org/officeDocument/2006/relationships/hyperlink" Target="https://github.com/vaadin/flow/blob/main/CLAUDE.md" TargetMode="External"/><Relationship Id="rId176" Type="http://schemas.openxmlformats.org/officeDocument/2006/relationships/hyperlink" Target="https://github.com/sybrew/the-seo-framework/blob/master/.github/copilot-instructions.md" TargetMode="External"/><Relationship Id="rId383" Type="http://schemas.openxmlformats.org/officeDocument/2006/relationships/hyperlink" Target="https://github.com/stack-auth/stack-auth/blob/main/AGENTS.md" TargetMode="External"/><Relationship Id="rId590" Type="http://schemas.openxmlformats.org/officeDocument/2006/relationships/hyperlink" Target="https://github.com/langfuse/langfuse/blob/main/AGENTS.md" TargetMode="External"/><Relationship Id="rId243" Type="http://schemas.openxmlformats.org/officeDocument/2006/relationships/hyperlink" Target="https://github.com/public-ui/kolibri/blob/master/AGENTS.md" TargetMode="External"/><Relationship Id="rId450" Type="http://schemas.openxmlformats.org/officeDocument/2006/relationships/hyperlink" Target="https://github.com/dotnet/runtime/blob/main/.github/copilot-instructions.md" TargetMode="External"/><Relationship Id="rId688" Type="http://schemas.openxmlformats.org/officeDocument/2006/relationships/hyperlink" Target="https://github.com/netdata/netdata/blob/master/CLAUDE.md" TargetMode="External"/><Relationship Id="rId895" Type="http://schemas.openxmlformats.org/officeDocument/2006/relationships/hyperlink" Target="https://github.com/Pipelex/pipelex/blob/main/CLAUDE.md" TargetMode="External"/><Relationship Id="rId1080" Type="http://schemas.openxmlformats.org/officeDocument/2006/relationships/hyperlink" Target="https://github.com/christianhelle/apiclientcodegen/blob/master/.github/copilot-instructions.md" TargetMode="External"/><Relationship Id="rId103" Type="http://schemas.openxmlformats.org/officeDocument/2006/relationships/hyperlink" Target="https://github.com/dotnet/aspnetcore/blob/main/.github/copilot-instructions.md" TargetMode="External"/><Relationship Id="rId310" Type="http://schemas.openxmlformats.org/officeDocument/2006/relationships/hyperlink" Target="https://github.com/dropseed/plain/blob/main/CLAUDE.md" TargetMode="External"/><Relationship Id="rId548" Type="http://schemas.openxmlformats.org/officeDocument/2006/relationships/hyperlink" Target="https://github.com/qltysh/qlty/blob/main/CLAUDE.md" TargetMode="External"/><Relationship Id="rId755" Type="http://schemas.openxmlformats.org/officeDocument/2006/relationships/hyperlink" Target="https://github.com/cloudposse/atmos/blob/main/CLAUDE.md" TargetMode="External"/><Relationship Id="rId962" Type="http://schemas.openxmlformats.org/officeDocument/2006/relationships/hyperlink" Target="https://github.com/carverauto/serviceradar/blob/main/AGENTS.md" TargetMode="External"/><Relationship Id="rId1178" Type="http://schemas.openxmlformats.org/officeDocument/2006/relationships/hyperlink" Target="https://github.com/Freika/dawarich/blob/master/CLAUDE.md" TargetMode="External"/><Relationship Id="rId1385" Type="http://schemas.openxmlformats.org/officeDocument/2006/relationships/hyperlink" Target="https://github.com/janbjorge/pgqueuer/blob/main/AGENTS.md" TargetMode="External"/><Relationship Id="rId1592" Type="http://schemas.openxmlformats.org/officeDocument/2006/relationships/hyperlink" Target="https://github.com/OlympiaAI/raix/blob/main/CLAUDE.md" TargetMode="External"/><Relationship Id="rId91" Type="http://schemas.openxmlformats.org/officeDocument/2006/relationships/hyperlink" Target="https://github.com/AstrBotDevs/AstrBot/blob/master/.github/copilot-instructions.md" TargetMode="External"/><Relationship Id="rId408" Type="http://schemas.openxmlformats.org/officeDocument/2006/relationships/hyperlink" Target="https://github.com/humanwhocodes/crosspost/blob/main/.github/copilot-instructions.md" TargetMode="External"/><Relationship Id="rId615" Type="http://schemas.openxmlformats.org/officeDocument/2006/relationships/hyperlink" Target="https://github.com/stack-auth/stack-auth/blob/main/AGENTS.md" TargetMode="External"/><Relationship Id="rId822" Type="http://schemas.openxmlformats.org/officeDocument/2006/relationships/hyperlink" Target="https://github.com/getsentry/sentry-cocoa/blob/main/CLAUDE.md" TargetMode="External"/><Relationship Id="rId1038" Type="http://schemas.openxmlformats.org/officeDocument/2006/relationships/hyperlink" Target="https://github.com/Zaki-1052/GPTPortal/blob/main/AGENTS.md" TargetMode="External"/><Relationship Id="rId1245" Type="http://schemas.openxmlformats.org/officeDocument/2006/relationships/hyperlink" Target="https://github.com/theopenco/llmgateway/blob/main/AGENTS.md" TargetMode="External"/><Relationship Id="rId1452" Type="http://schemas.openxmlformats.org/officeDocument/2006/relationships/hyperlink" Target="https://github.com/microsoft/PowerToys/blob/main/.github/copilot-instructions.md" TargetMode="External"/><Relationship Id="rId1897" Type="http://schemas.openxmlformats.org/officeDocument/2006/relationships/hyperlink" Target="https://github.com/zenml-io/zenml/blob/main/CLAUDE.md" TargetMode="External"/><Relationship Id="rId1105" Type="http://schemas.openxmlformats.org/officeDocument/2006/relationships/hyperlink" Target="https://github.com/geneontology/go-ontology/blob/master/.github/copilot-instructions.md" TargetMode="External"/><Relationship Id="rId1312" Type="http://schemas.openxmlformats.org/officeDocument/2006/relationships/hyperlink" Target="https://github.com/home-assistant/frontend/blob/master/CLAUDE.md" TargetMode="External"/><Relationship Id="rId1757" Type="http://schemas.openxmlformats.org/officeDocument/2006/relationships/hyperlink" Target="https://github.com/stack-auth/stack-auth/blob/main/AGENTS.md" TargetMode="External"/><Relationship Id="rId49" Type="http://schemas.openxmlformats.org/officeDocument/2006/relationships/hyperlink" Target="https://github.com/Rello/audioplayer/blob/master/AGENTS.md" TargetMode="External"/><Relationship Id="rId1617" Type="http://schemas.openxmlformats.org/officeDocument/2006/relationships/hyperlink" Target="https://github.com/RchGrav/claudebox/blob/main/CLAUDE.md" TargetMode="External"/><Relationship Id="rId1824" Type="http://schemas.openxmlformats.org/officeDocument/2006/relationships/hyperlink" Target="https://github.com/DestinyItemManager/DIM/blob/master/.github/copilot-instructions.md" TargetMode="External"/><Relationship Id="rId198" Type="http://schemas.openxmlformats.org/officeDocument/2006/relationships/hyperlink" Target="https://github.com/gitkraken/vscode-gitlens/blob/main/AGENTS.md" TargetMode="External"/><Relationship Id="rId265" Type="http://schemas.openxmlformats.org/officeDocument/2006/relationships/hyperlink" Target="https://github.com/dotnet/maui/blob/main/.github/copilot-instructions.md" TargetMode="External"/><Relationship Id="rId472" Type="http://schemas.openxmlformats.org/officeDocument/2006/relationships/hyperlink" Target="https://github.com/sybrew/the-seo-framework/blob/master/.github/copilot-instructions.md" TargetMode="External"/><Relationship Id="rId125" Type="http://schemas.openxmlformats.org/officeDocument/2006/relationships/hyperlink" Target="https://github.com/igraph/igraph/blob/main/.github/copilot-instructions.md" TargetMode="External"/><Relationship Id="rId332" Type="http://schemas.openxmlformats.org/officeDocument/2006/relationships/hyperlink" Target="https://github.com/open-metadata/OpenMetadata/blob/main/CLAUDE.md" TargetMode="External"/><Relationship Id="rId777" Type="http://schemas.openxmlformats.org/officeDocument/2006/relationships/hyperlink" Target="https://github.com/colinhacks/zod/blob/main/CLAUDE.md" TargetMode="External"/><Relationship Id="rId984" Type="http://schemas.openxmlformats.org/officeDocument/2006/relationships/hyperlink" Target="https://github.com/marin-community/marin/blob/main/AGENTS.md" TargetMode="External"/><Relationship Id="rId637" Type="http://schemas.openxmlformats.org/officeDocument/2006/relationships/hyperlink" Target="https://github.com/esphome/esphome/blob/main/.github/copilot-instructions.md" TargetMode="External"/><Relationship Id="rId844" Type="http://schemas.openxmlformats.org/officeDocument/2006/relationships/hyperlink" Target="https://github.com/lightdash/lightdash/blob/main/CLAUDE.md" TargetMode="External"/><Relationship Id="rId1267" Type="http://schemas.openxmlformats.org/officeDocument/2006/relationships/hyperlink" Target="https://github.com/pannous/wasp/blob/main/CLAUDE.md" TargetMode="External"/><Relationship Id="rId1474" Type="http://schemas.openxmlformats.org/officeDocument/2006/relationships/hyperlink" Target="https://github.com/netdata/netdata/blob/master/CLAUDE.md" TargetMode="External"/><Relationship Id="rId1681" Type="http://schemas.openxmlformats.org/officeDocument/2006/relationships/hyperlink" Target="https://github.com/mixpanel/mixpanel-android/blob/master/AGENTS.md" TargetMode="External"/><Relationship Id="rId704" Type="http://schemas.openxmlformats.org/officeDocument/2006/relationships/hyperlink" Target="https://github.com/NG-ZORRO/ng-zorro-antd/blob/master/.github/copilot-instructions.md" TargetMode="External"/><Relationship Id="rId911" Type="http://schemas.openxmlformats.org/officeDocument/2006/relationships/hyperlink" Target="https://github.com/safety-research/safety-tooling/blob/main/CLAUDE.md" TargetMode="External"/><Relationship Id="rId1127" Type="http://schemas.openxmlformats.org/officeDocument/2006/relationships/hyperlink" Target="https://github.com/microsoft/Olive/blob/main/.github/copilot-instructions.md" TargetMode="External"/><Relationship Id="rId1334" Type="http://schemas.openxmlformats.org/officeDocument/2006/relationships/hyperlink" Target="https://github.com/open-metadata/OpenMetadata/blob/main/CLAUDE.md" TargetMode="External"/><Relationship Id="rId1541" Type="http://schemas.openxmlformats.org/officeDocument/2006/relationships/hyperlink" Target="https://github.com/dailydotdev/apps/blob/main/CLAUDE.md" TargetMode="External"/><Relationship Id="rId1779" Type="http://schemas.openxmlformats.org/officeDocument/2006/relationships/hyperlink" Target="https://github.com/microsoft/typespec/blob/main/.github/copilot-instructions.md" TargetMode="External"/><Relationship Id="rId40" Type="http://schemas.openxmlformats.org/officeDocument/2006/relationships/hyperlink" Target="https://github.com/pytorch/pytorch/blob/main/AGENTS.md" TargetMode="External"/><Relationship Id="rId1401" Type="http://schemas.openxmlformats.org/officeDocument/2006/relationships/hyperlink" Target="https://github.com/marin-community/marin/blob/main/AGENTS.md" TargetMode="External"/><Relationship Id="rId1639" Type="http://schemas.openxmlformats.org/officeDocument/2006/relationships/hyperlink" Target="https://github.com/xlnfinance/xln/blob/main/CLAUDE.md" TargetMode="External"/><Relationship Id="rId1846" Type="http://schemas.openxmlformats.org/officeDocument/2006/relationships/hyperlink" Target="https://github.com/cockroachdb/cockroach/blob/master/CLAUDE.md" TargetMode="External"/><Relationship Id="rId1706" Type="http://schemas.openxmlformats.org/officeDocument/2006/relationships/hyperlink" Target="https://github.com/dotnet/docs-aspire/blob/main/.github/copilot-instructions.md" TargetMode="External"/><Relationship Id="rId1913" Type="http://schemas.openxmlformats.org/officeDocument/2006/relationships/hyperlink" Target="https://github.com/RchGrav/claudebox/blob/main/CLAUDE.md" TargetMode="External"/><Relationship Id="rId287" Type="http://schemas.openxmlformats.org/officeDocument/2006/relationships/hyperlink" Target="https://github.com/coder/coder/blob/main/CLAUDE.md" TargetMode="External"/><Relationship Id="rId494" Type="http://schemas.openxmlformats.org/officeDocument/2006/relationships/hyperlink" Target="https://github.com/cloudposse/atmos/blob/main/CLAUDE.md" TargetMode="External"/><Relationship Id="rId147" Type="http://schemas.openxmlformats.org/officeDocument/2006/relationships/hyperlink" Target="https://github.com/owncast/owncast/blob/master/.github/copilot-instructions.md" TargetMode="External"/><Relationship Id="rId354" Type="http://schemas.openxmlformats.org/officeDocument/2006/relationships/hyperlink" Target="https://github.com/zenml-io/zenml/blob/main/CLAUDE.md" TargetMode="External"/><Relationship Id="rId799" Type="http://schemas.openxmlformats.org/officeDocument/2006/relationships/hyperlink" Target="https://github.com/ensdomains/ens-app-v3/blob/main/CLAUDE.md" TargetMode="External"/><Relationship Id="rId1191" Type="http://schemas.openxmlformats.org/officeDocument/2006/relationships/hyperlink" Target="https://github.com/cloudposse/atmos/blob/main/CLAUDE.md" TargetMode="External"/><Relationship Id="rId561" Type="http://schemas.openxmlformats.org/officeDocument/2006/relationships/hyperlink" Target="https://github.com/speaches-ai/speaches/blob/master/CLAUDE.md" TargetMode="External"/><Relationship Id="rId659" Type="http://schemas.openxmlformats.org/officeDocument/2006/relationships/hyperlink" Target="https://github.com/Open-LLM-VTuber/Open-LLM-VTuber/blob/main/.github/copilot-instructions.md" TargetMode="External"/><Relationship Id="rId866" Type="http://schemas.openxmlformats.org/officeDocument/2006/relationships/hyperlink" Target="https://github.com/OneKeyHQ/app-monorepo/blob/master/CLAUDE.md" TargetMode="External"/><Relationship Id="rId1289" Type="http://schemas.openxmlformats.org/officeDocument/2006/relationships/hyperlink" Target="https://github.com/colinhacks/zod/blob/main/CLAUDE.md" TargetMode="External"/><Relationship Id="rId1496" Type="http://schemas.openxmlformats.org/officeDocument/2006/relationships/hyperlink" Target="https://github.com/module-federation/core/blob/main/CLAUDE.md" TargetMode="External"/><Relationship Id="rId214" Type="http://schemas.openxmlformats.org/officeDocument/2006/relationships/hyperlink" Target="https://github.com/abh/ntppool/blob/main/CLAUDE.md" TargetMode="External"/><Relationship Id="rId421" Type="http://schemas.openxmlformats.org/officeDocument/2006/relationships/hyperlink" Target="https://github.com/SparkDevNetwork/Rock/blob/master/.github/copilot-instructions.md" TargetMode="External"/><Relationship Id="rId519" Type="http://schemas.openxmlformats.org/officeDocument/2006/relationships/hyperlink" Target="https://github.com/jxnl/blog/blob/main/CLAUDE.md" TargetMode="External"/><Relationship Id="rId1051" Type="http://schemas.openxmlformats.org/officeDocument/2006/relationships/hyperlink" Target="https://github.com/ast-grep/ast-grep/blob/main/.github/copilot-instructions.md" TargetMode="External"/><Relationship Id="rId1149" Type="http://schemas.openxmlformats.org/officeDocument/2006/relationships/hyperlink" Target="https://github.com/Skyscanner/backpack-ios/blob/main/.github/copilot-instructions.md" TargetMode="External"/><Relationship Id="rId1356" Type="http://schemas.openxmlformats.org/officeDocument/2006/relationships/hyperlink" Target="https://github.com/truenas/webui/blob/master/CLAUDE.md" TargetMode="External"/><Relationship Id="rId726" Type="http://schemas.openxmlformats.org/officeDocument/2006/relationships/hyperlink" Target="https://github.com/ajanraj/OpenChat/blob/main/CLAUDE.md" TargetMode="External"/><Relationship Id="rId933" Type="http://schemas.openxmlformats.org/officeDocument/2006/relationships/hyperlink" Target="https://github.com/vaadin/flow/blob/main/CLAUDE.md" TargetMode="External"/><Relationship Id="rId1009" Type="http://schemas.openxmlformats.org/officeDocument/2006/relationships/hyperlink" Target="https://github.com/public-ui/kolibri/blob/master/AGENTS.md" TargetMode="External"/><Relationship Id="rId1563" Type="http://schemas.openxmlformats.org/officeDocument/2006/relationships/hyperlink" Target="https://github.com/geneontology/go-ontology/blob/master/CLAUDE.md" TargetMode="External"/><Relationship Id="rId1770" Type="http://schemas.openxmlformats.org/officeDocument/2006/relationships/hyperlink" Target="https://github.com/dotnet/macios/blob/main/.github/copilot-instructions.md" TargetMode="External"/><Relationship Id="rId1868" Type="http://schemas.openxmlformats.org/officeDocument/2006/relationships/hyperlink" Target="https://github.com/wvlet/wvlet/blob/main/CLAUDE.md" TargetMode="External"/><Relationship Id="rId62" Type="http://schemas.openxmlformats.org/officeDocument/2006/relationships/hyperlink" Target="https://github.com/stack-auth/stack-auth/blob/main/AGENTS.md" TargetMode="External"/><Relationship Id="rId1216" Type="http://schemas.openxmlformats.org/officeDocument/2006/relationships/hyperlink" Target="https://github.com/DannyMac180/meta-agent/blob/main/AGENTS.md" TargetMode="External"/><Relationship Id="rId1423" Type="http://schemas.openxmlformats.org/officeDocument/2006/relationships/hyperlink" Target="https://github.com/shopware/shopware/blob/master/AGENTS.md" TargetMode="External"/><Relationship Id="rId1630" Type="http://schemas.openxmlformats.org/officeDocument/2006/relationships/hyperlink" Target="https://github.com/wolfi-dev/os/blob/main/CLAUDE.md" TargetMode="External"/><Relationship Id="rId1728" Type="http://schemas.openxmlformats.org/officeDocument/2006/relationships/hyperlink" Target="https://github.com/microsoft/vscode-jupyter/blob/main/.github/copilot-instructions.md" TargetMode="External"/><Relationship Id="rId1935" Type="http://schemas.openxmlformats.org/officeDocument/2006/relationships/hyperlink" Target="https://github.com/Azure/azure-rest-api-specs/blob/main/.github/copilot-instructions.md" TargetMode="External"/><Relationship Id="rId169" Type="http://schemas.openxmlformats.org/officeDocument/2006/relationships/hyperlink" Target="https://github.com/sybrew/the-seo-framework/blob/master/.github/copilot-instructions.md" TargetMode="External"/><Relationship Id="rId376" Type="http://schemas.openxmlformats.org/officeDocument/2006/relationships/hyperlink" Target="https://github.com/PrairieLearn/PrairieLearn/blob/master/AGENTS.md" TargetMode="External"/><Relationship Id="rId583" Type="http://schemas.openxmlformats.org/officeDocument/2006/relationships/hyperlink" Target="https://github.com/elamperti/OpenWebScrobbler/blob/main/AGENTS.md" TargetMode="External"/><Relationship Id="rId790" Type="http://schemas.openxmlformats.org/officeDocument/2006/relationships/hyperlink" Target="https://github.com/dailydotdev/apps/blob/main/CLAUDE.md" TargetMode="External"/><Relationship Id="rId4" Type="http://schemas.openxmlformats.org/officeDocument/2006/relationships/hyperlink" Target="https://github.com/microsoft/mcp-for-beginners/blob/main/AGENTS.md" TargetMode="External"/><Relationship Id="rId236" Type="http://schemas.openxmlformats.org/officeDocument/2006/relationships/hyperlink" Target="https://github.com/microsoft/ApplicationInsights-JS/blob/main/.github/copilot-instructions.md" TargetMode="External"/><Relationship Id="rId443" Type="http://schemas.openxmlformats.org/officeDocument/2006/relationships/hyperlink" Target="https://github.com/geneontology/go-ontology/blob/master/.github/copilot-instructions.md" TargetMode="External"/><Relationship Id="rId650" Type="http://schemas.openxmlformats.org/officeDocument/2006/relationships/hyperlink" Target="https://github.com/microsoft/TypeScript/blob/main/.github/copilot-instructions.md" TargetMode="External"/><Relationship Id="rId888" Type="http://schemas.openxmlformats.org/officeDocument/2006/relationships/hyperlink" Target="https://github.com/pathintegral-institute/mcpm.sh/blob/main/CLAUDE.md" TargetMode="External"/><Relationship Id="rId1073" Type="http://schemas.openxmlformats.org/officeDocument/2006/relationships/hyperlink" Target="https://github.com/Azure/azure-functions-host/blob/master/.github/copilot-instructions.md" TargetMode="External"/><Relationship Id="rId1280" Type="http://schemas.openxmlformats.org/officeDocument/2006/relationships/hyperlink" Target="https://github.com/OneKeyHQ/app-monorepo/blob/master/CLAUDE.md" TargetMode="External"/><Relationship Id="rId303" Type="http://schemas.openxmlformats.org/officeDocument/2006/relationships/hyperlink" Target="https://github.com/compiler-explorer/infra/blob/main/CLAUDE.md" TargetMode="External"/><Relationship Id="rId748" Type="http://schemas.openxmlformats.org/officeDocument/2006/relationships/hyperlink" Target="https://github.com/CapSoftware/Cap/blob/main/CLAUDE.md" TargetMode="External"/><Relationship Id="rId955" Type="http://schemas.openxmlformats.org/officeDocument/2006/relationships/hyperlink" Target="https://github.com/cablehead/xs/blob/main/AGENTS.md" TargetMode="External"/><Relationship Id="rId1140" Type="http://schemas.openxmlformats.org/officeDocument/2006/relationships/hyperlink" Target="https://github.com/owncast/owncast/blob/master/.github/copilot-instructions.md" TargetMode="External"/><Relationship Id="rId1378" Type="http://schemas.openxmlformats.org/officeDocument/2006/relationships/hyperlink" Target="https://github.com/hathach/tinyusb/blob/master/AGENTS.md" TargetMode="External"/><Relationship Id="rId1585" Type="http://schemas.openxmlformats.org/officeDocument/2006/relationships/hyperlink" Target="https://github.com/lostleaf/binance_datatool/blob/main/CLAUDE.md" TargetMode="External"/><Relationship Id="rId1792" Type="http://schemas.openxmlformats.org/officeDocument/2006/relationships/hyperlink" Target="https://github.com/microsoft/mcp-for-beginners/blob/main/AGENTS.md" TargetMode="External"/><Relationship Id="rId84" Type="http://schemas.openxmlformats.org/officeDocument/2006/relationships/hyperlink" Target="https://github.com/wieslawsoltes/Xaml.Behaviors/blob/master/AGENTS.md" TargetMode="External"/><Relationship Id="rId510" Type="http://schemas.openxmlformats.org/officeDocument/2006/relationships/hyperlink" Target="https://github.com/Freika/dawarich/blob/master/CLAUDE.md" TargetMode="External"/><Relationship Id="rId608" Type="http://schemas.openxmlformats.org/officeDocument/2006/relationships/hyperlink" Target="https://github.com/python-cachier/cachier/blob/master/AGENTS.md" TargetMode="External"/><Relationship Id="rId815" Type="http://schemas.openxmlformats.org/officeDocument/2006/relationships/hyperlink" Target="https://github.com/geneontology/go-ontology/blob/master/CLAUDE.md" TargetMode="External"/><Relationship Id="rId1238" Type="http://schemas.openxmlformats.org/officeDocument/2006/relationships/hyperlink" Target="https://github.com/theopenco/llmgateway/blob/main/CLAUDE.md" TargetMode="External"/><Relationship Id="rId1445" Type="http://schemas.openxmlformats.org/officeDocument/2006/relationships/hyperlink" Target="https://github.com/alandtse/alexa_media_player/blob/master/.github/copilot-instructions.md" TargetMode="External"/><Relationship Id="rId1652" Type="http://schemas.openxmlformats.org/officeDocument/2006/relationships/hyperlink" Target="https://github.com/DataDog/datadog-agent/blob/main/AGENTS.md" TargetMode="External"/><Relationship Id="rId1000" Type="http://schemas.openxmlformats.org/officeDocument/2006/relationships/hyperlink" Target="https://github.com/Pipelex/pipelex/blob/main/AGENTS.md" TargetMode="External"/><Relationship Id="rId1305" Type="http://schemas.openxmlformats.org/officeDocument/2006/relationships/hyperlink" Target="https://github.com/Freika/dawarich/blob/master/CLAUDE.md" TargetMode="External"/><Relationship Id="rId1512" Type="http://schemas.openxmlformats.org/officeDocument/2006/relationships/hyperlink" Target="https://github.com/angular-eslint/angular-eslint/blob/main/CLAUDE.md" TargetMode="External"/><Relationship Id="rId1817" Type="http://schemas.openxmlformats.org/officeDocument/2006/relationships/hyperlink" Target="https://github.com/zenml-io/zenml/blob/main/AGENTS.md" TargetMode="External"/><Relationship Id="rId11" Type="http://schemas.openxmlformats.org/officeDocument/2006/relationships/hyperlink" Target="https://github.com/openai/openai-agents-python/blob/main/AGENTS.md" TargetMode="External"/><Relationship Id="rId398" Type="http://schemas.openxmlformats.org/officeDocument/2006/relationships/hyperlink" Target="https://github.com/dotnet/dotnet-api-docs/blob/main/.github/copilot-instructions.md" TargetMode="External"/><Relationship Id="rId160" Type="http://schemas.openxmlformats.org/officeDocument/2006/relationships/hyperlink" Target="https://github.com/SparkDevNetwork/Rock/blob/master/.github/copilot-instructions.md" TargetMode="External"/><Relationship Id="rId258" Type="http://schemas.openxmlformats.org/officeDocument/2006/relationships/hyperlink" Target="https://github.com/microsoft/mcp-for-beginners/blob/main/AGENTS.md" TargetMode="External"/><Relationship Id="rId465" Type="http://schemas.openxmlformats.org/officeDocument/2006/relationships/hyperlink" Target="https://github.com/PrairieLearn/PrairieLearn/blob/master/AGENTS.md" TargetMode="External"/><Relationship Id="rId672" Type="http://schemas.openxmlformats.org/officeDocument/2006/relationships/hyperlink" Target="https://github.com/zwave-js/zwave-js-ui/blob/master/.github/copilot-instructions.md" TargetMode="External"/><Relationship Id="rId1095" Type="http://schemas.openxmlformats.org/officeDocument/2006/relationships/hyperlink" Target="https://github.com/esphome/esphome/blob/main/.github/copilot-instructions.md" TargetMode="External"/><Relationship Id="rId118" Type="http://schemas.openxmlformats.org/officeDocument/2006/relationships/hyperlink" Target="https://github.com/esphome/esphome/blob/main/.github/copilot-instructions.md" TargetMode="External"/><Relationship Id="rId325" Type="http://schemas.openxmlformats.org/officeDocument/2006/relationships/hyperlink" Target="https://github.com/module-federation/core/blob/main/CLAUDE.md" TargetMode="External"/><Relationship Id="rId532" Type="http://schemas.openxmlformats.org/officeDocument/2006/relationships/hyperlink" Target="https://github.com/open-metadata/OpenMetadata/blob/main/CLAUDE.md" TargetMode="External"/><Relationship Id="rId977" Type="http://schemas.openxmlformats.org/officeDocument/2006/relationships/hyperlink" Target="https://github.com/logancyang/obsidian-copilot/blob/master/AGENTS.md" TargetMode="External"/><Relationship Id="rId1162" Type="http://schemas.openxmlformats.org/officeDocument/2006/relationships/hyperlink" Target="https://github.com/zwave-js/zwave-js-ui/blob/master/.github/copilot-instructions.md" TargetMode="External"/><Relationship Id="rId837" Type="http://schemas.openxmlformats.org/officeDocument/2006/relationships/hyperlink" Target="https://github.com/ivo-toby/mcp-openapi-server/blob/main/CLAUDE.md" TargetMode="External"/><Relationship Id="rId1022" Type="http://schemas.openxmlformats.org/officeDocument/2006/relationships/hyperlink" Target="https://github.com/stack-auth/stack-auth/blob/main/AGENTS.md" TargetMode="External"/><Relationship Id="rId1467" Type="http://schemas.openxmlformats.org/officeDocument/2006/relationships/hyperlink" Target="https://github.com/valkey-io/valkey-glide/blob/main/AGENTS.md" TargetMode="External"/><Relationship Id="rId1674" Type="http://schemas.openxmlformats.org/officeDocument/2006/relationships/hyperlink" Target="https://github.com/luccahuguet/yazelix/blob/main/AGENTS.md" TargetMode="External"/><Relationship Id="rId1881" Type="http://schemas.openxmlformats.org/officeDocument/2006/relationships/hyperlink" Target="https://github.com/useautumn/autumn/blob/main/AGENTS.md" TargetMode="External"/><Relationship Id="rId904" Type="http://schemas.openxmlformats.org/officeDocument/2006/relationships/hyperlink" Target="https://github.com/RchGrav/claudebox/blob/main/CLAUDE.md" TargetMode="External"/><Relationship Id="rId1327" Type="http://schemas.openxmlformats.org/officeDocument/2006/relationships/hyperlink" Target="https://github.com/obophenotype/uberon/blob/master/CLAUDE.md" TargetMode="External"/><Relationship Id="rId1534" Type="http://schemas.openxmlformats.org/officeDocument/2006/relationships/hyperlink" Target="https://github.com/Comfy-Org/comfy-claude-prompt-library/blob/master/CLAUDE.md" TargetMode="External"/><Relationship Id="rId1741" Type="http://schemas.openxmlformats.org/officeDocument/2006/relationships/hyperlink" Target="https://github.com/sybrew/the-seo-framework/blob/master/.github/copilot-instructions.md" TargetMode="External"/><Relationship Id="rId33" Type="http://schemas.openxmlformats.org/officeDocument/2006/relationships/hyperlink" Target="https://github.com/public-ui/kolibri/blob/master/AGENTS.md" TargetMode="External"/><Relationship Id="rId1601" Type="http://schemas.openxmlformats.org/officeDocument/2006/relationships/hyperlink" Target="https://github.com/open-metadata/OpenMetadata/blob/main/CLAUDE.md" TargetMode="External"/><Relationship Id="rId1839" Type="http://schemas.openxmlformats.org/officeDocument/2006/relationships/hyperlink" Target="https://github.com/abh/ntppool/blob/main/CLAUDE.md" TargetMode="External"/><Relationship Id="rId182" Type="http://schemas.openxmlformats.org/officeDocument/2006/relationships/hyperlink" Target="https://github.com/vczh-libraries/GacUI/blob/master/.github/copilot-instructions.md" TargetMode="External"/><Relationship Id="rId1906" Type="http://schemas.openxmlformats.org/officeDocument/2006/relationships/hyperlink" Target="https://github.com/colinhacks/zod/blob/main/CLAUDE.md" TargetMode="External"/><Relationship Id="rId487" Type="http://schemas.openxmlformats.org/officeDocument/2006/relationships/hyperlink" Target="https://github.com/browser-use/browser-use/blob/main/CLAUDE.md" TargetMode="External"/><Relationship Id="rId694" Type="http://schemas.openxmlformats.org/officeDocument/2006/relationships/hyperlink" Target="https://github.com/commonwarexyz/monorepo/blob/main/AGENTS.md" TargetMode="External"/><Relationship Id="rId347" Type="http://schemas.openxmlformats.org/officeDocument/2006/relationships/hyperlink" Target="https://github.com/safety-research/safety-tooling/blob/main/CLAUDE.md" TargetMode="External"/><Relationship Id="rId999" Type="http://schemas.openxmlformats.org/officeDocument/2006/relationships/hyperlink" Target="https://github.com/Pipelex/pipelex/blob/main/AGENTS.md" TargetMode="External"/><Relationship Id="rId1184" Type="http://schemas.openxmlformats.org/officeDocument/2006/relationships/hyperlink" Target="https://github.com/stack-auth/stack-auth/blob/main/AGENTS.md" TargetMode="External"/><Relationship Id="rId554" Type="http://schemas.openxmlformats.org/officeDocument/2006/relationships/hyperlink" Target="https://github.com/saleor/saleor/blob/main/CLAUDE.md" TargetMode="External"/><Relationship Id="rId761" Type="http://schemas.openxmlformats.org/officeDocument/2006/relationships/hyperlink" Target="https://github.com/cloudposse/atmos/blob/main/CLAUDE.md" TargetMode="External"/><Relationship Id="rId859" Type="http://schemas.openxmlformats.org/officeDocument/2006/relationships/hyperlink" Target="https://github.com/obophenotype/uberon/blob/master/CLAUDE.md" TargetMode="External"/><Relationship Id="rId1391" Type="http://schemas.openxmlformats.org/officeDocument/2006/relationships/hyperlink" Target="https://github.com/langfuse/langfuse/blob/main/AGENTS.md" TargetMode="External"/><Relationship Id="rId1489" Type="http://schemas.openxmlformats.org/officeDocument/2006/relationships/hyperlink" Target="https://github.com/RSSNext/Folo/blob/main/AGENTS.md" TargetMode="External"/><Relationship Id="rId1696" Type="http://schemas.openxmlformats.org/officeDocument/2006/relationships/hyperlink" Target="https://github.com/wandb/weave/blob/master/AGENTS.md" TargetMode="External"/><Relationship Id="rId207" Type="http://schemas.openxmlformats.org/officeDocument/2006/relationships/hyperlink" Target="https://github.com/public-ui/kolibri/blob/master/AGENTS.md" TargetMode="External"/><Relationship Id="rId414" Type="http://schemas.openxmlformats.org/officeDocument/2006/relationships/hyperlink" Target="https://github.com/NuGet/NuGetGallery/blob/main/.github/copilot-instructions.md" TargetMode="External"/><Relationship Id="rId621" Type="http://schemas.openxmlformats.org/officeDocument/2006/relationships/hyperlink" Target="https://github.com/wieslawsoltes/Xaml.Behaviors/blob/master/AGENTS.md" TargetMode="External"/><Relationship Id="rId1044" Type="http://schemas.openxmlformats.org/officeDocument/2006/relationships/hyperlink" Target="https://github.com/alandtse/alexa_media_player/blob/master/.github/copilot-instructions.md" TargetMode="External"/><Relationship Id="rId1251" Type="http://schemas.openxmlformats.org/officeDocument/2006/relationships/hyperlink" Target="https://github.com/projectcalico/calico/blob/master/.github/copilot-instructions.md" TargetMode="External"/><Relationship Id="rId1349" Type="http://schemas.openxmlformats.org/officeDocument/2006/relationships/hyperlink" Target="https://github.com/rocket-admin/rocketadmin/blob/main/CLAUDE.md" TargetMode="External"/><Relationship Id="rId719" Type="http://schemas.openxmlformats.org/officeDocument/2006/relationships/hyperlink" Target="https://github.com/abh/ntppool/blob/main/CLAUDE.md" TargetMode="External"/><Relationship Id="rId926" Type="http://schemas.openxmlformats.org/officeDocument/2006/relationships/hyperlink" Target="https://github.com/thirdweb-dev/js/blob/main/CLAUDE.md" TargetMode="External"/><Relationship Id="rId1111" Type="http://schemas.openxmlformats.org/officeDocument/2006/relationships/hyperlink" Target="https://github.com/HotCakeX/Harden-Windows-Security/blob/main/.github/copilot-instructions.md" TargetMode="External"/><Relationship Id="rId1556" Type="http://schemas.openxmlformats.org/officeDocument/2006/relationships/hyperlink" Target="https://github.com/FastLED/FastLED/blob/master/CLAUDE.md" TargetMode="External"/><Relationship Id="rId1763" Type="http://schemas.openxmlformats.org/officeDocument/2006/relationships/hyperlink" Target="https://github.com/FastLED/FastLED/blob/master/CLAUDE.md" TargetMode="External"/><Relationship Id="rId55" Type="http://schemas.openxmlformats.org/officeDocument/2006/relationships/hyperlink" Target="https://github.com/RSSNext/Folo/blob/main/AGENTS.md" TargetMode="External"/><Relationship Id="rId1209" Type="http://schemas.openxmlformats.org/officeDocument/2006/relationships/hyperlink" Target="https://github.com/dotCMS/core/blob/main/CLAUDE.md" TargetMode="External"/><Relationship Id="rId1416" Type="http://schemas.openxmlformats.org/officeDocument/2006/relationships/hyperlink" Target="https://github.com/public-ui/kolibri/blob/master/AGENTS.md" TargetMode="External"/><Relationship Id="rId1623" Type="http://schemas.openxmlformats.org/officeDocument/2006/relationships/hyperlink" Target="https://github.com/twentyhq/twenty/blob/main/CLAUDE.md" TargetMode="External"/><Relationship Id="rId1830" Type="http://schemas.openxmlformats.org/officeDocument/2006/relationships/hyperlink" Target="https://github.com/igraph/igraph/blob/main/.github/copilot-instructions.md" TargetMode="External"/><Relationship Id="rId1928" Type="http://schemas.openxmlformats.org/officeDocument/2006/relationships/hyperlink" Target="https://github.com/geneontology/go-ontology/blob/master/.github/copilot-instructions.md" TargetMode="External"/><Relationship Id="rId271" Type="http://schemas.openxmlformats.org/officeDocument/2006/relationships/hyperlink" Target="https://github.com/abh/ntppool/blob/main/CLAUDE.md" TargetMode="External"/><Relationship Id="rId131" Type="http://schemas.openxmlformats.org/officeDocument/2006/relationships/hyperlink" Target="https://github.com/microsoft/simplechat/blob/main/.github/copilot-instructions.md" TargetMode="External"/><Relationship Id="rId369" Type="http://schemas.openxmlformats.org/officeDocument/2006/relationships/hyperlink" Target="https://github.com/PrairieLearn/PrairieLearn/blob/master/AGENTS.md" TargetMode="External"/><Relationship Id="rId576" Type="http://schemas.openxmlformats.org/officeDocument/2006/relationships/hyperlink" Target="https://github.com/wolfi-dev/os/blob/main/CLAUDE.md" TargetMode="External"/><Relationship Id="rId783" Type="http://schemas.openxmlformats.org/officeDocument/2006/relationships/hyperlink" Target="https://github.com/compiler-explorer/compiler-explorer/blob/main/CLAUDE.md" TargetMode="External"/><Relationship Id="rId990" Type="http://schemas.openxmlformats.org/officeDocument/2006/relationships/hyperlink" Target="https://github.com/owid/etl/blob/master/AGENTS.md" TargetMode="External"/><Relationship Id="rId229" Type="http://schemas.openxmlformats.org/officeDocument/2006/relationships/hyperlink" Target="https://github.com/Pipelex/pipelex/blob/main/CLAUDE.md" TargetMode="External"/><Relationship Id="rId436" Type="http://schemas.openxmlformats.org/officeDocument/2006/relationships/hyperlink" Target="https://github.com/home-assistant/frontend/blob/master/CLAUDE.md" TargetMode="External"/><Relationship Id="rId643" Type="http://schemas.openxmlformats.org/officeDocument/2006/relationships/hyperlink" Target="https://github.com/microsoft/ApplicationInsights-JS/blob/main/.github/copilot-instructions.md" TargetMode="External"/><Relationship Id="rId1066" Type="http://schemas.openxmlformats.org/officeDocument/2006/relationships/hyperlink" Target="https://github.com/Azure/autorest.typescript/blob/main/.github/copilot-instructions.md" TargetMode="External"/><Relationship Id="rId1273" Type="http://schemas.openxmlformats.org/officeDocument/2006/relationships/hyperlink" Target="https://github.com/alchemiststudiosDOTai/tunacode/blob/master/AGENTS.md" TargetMode="External"/><Relationship Id="rId1480" Type="http://schemas.openxmlformats.org/officeDocument/2006/relationships/hyperlink" Target="https://github.com/charlesvestal/extending-move/blob/main/AGENTS.md" TargetMode="External"/><Relationship Id="rId850" Type="http://schemas.openxmlformats.org/officeDocument/2006/relationships/hyperlink" Target="https://github.com/netdata/netdata/blob/master/CLAUDE.md" TargetMode="External"/><Relationship Id="rId948" Type="http://schemas.openxmlformats.org/officeDocument/2006/relationships/hyperlink" Target="https://github.com/zenml-io/zenml/blob/main/CLAUDE.md" TargetMode="External"/><Relationship Id="rId1133" Type="http://schemas.openxmlformats.org/officeDocument/2006/relationships/hyperlink" Target="https://github.com/NuGet/NuGetGallery/blob/main/.github/copilot-instructions.md" TargetMode="External"/><Relationship Id="rId1578" Type="http://schemas.openxmlformats.org/officeDocument/2006/relationships/hyperlink" Target="https://github.com/kubetail-org/kubetail/blob/main/CLAUDE.md" TargetMode="External"/><Relationship Id="rId1785" Type="http://schemas.openxmlformats.org/officeDocument/2006/relationships/hyperlink" Target="https://github.com/RchGrav/claudebox/blob/main/CLAUDE.md" TargetMode="External"/><Relationship Id="rId77" Type="http://schemas.openxmlformats.org/officeDocument/2006/relationships/hyperlink" Target="https://github.com/webgptorg/promptbook/blob/main/AGENTS.md" TargetMode="External"/><Relationship Id="rId503" Type="http://schemas.openxmlformats.org/officeDocument/2006/relationships/hyperlink" Target="https://github.com/dailydotdev/apps/blob/main/CLAUDE.md" TargetMode="External"/><Relationship Id="rId710" Type="http://schemas.openxmlformats.org/officeDocument/2006/relationships/hyperlink" Target="https://github.com/commonwarexyz/monorepo/blob/main/AGENTS.md" TargetMode="External"/><Relationship Id="rId808" Type="http://schemas.openxmlformats.org/officeDocument/2006/relationships/hyperlink" Target="https://github.com/Freika/dawarich/blob/master/CLAUDE.md" TargetMode="External"/><Relationship Id="rId1340" Type="http://schemas.openxmlformats.org/officeDocument/2006/relationships/hyperlink" Target="https://github.com/open-metadata/OpenMetadata/blob/main/CLAUDE.md" TargetMode="External"/><Relationship Id="rId1438" Type="http://schemas.openxmlformats.org/officeDocument/2006/relationships/hyperlink" Target="https://github.com/ydb-platform/ydb/blob/main/AGENTS.md" TargetMode="External"/><Relationship Id="rId1645" Type="http://schemas.openxmlformats.org/officeDocument/2006/relationships/hyperlink" Target="https://github.com/CapSoftware/Cap/blob/main/AGENTS.md" TargetMode="External"/><Relationship Id="rId1200" Type="http://schemas.openxmlformats.org/officeDocument/2006/relationships/hyperlink" Target="https://github.com/RchGrav/claudebox/blob/main/CLAUDE.md" TargetMode="External"/><Relationship Id="rId1852" Type="http://schemas.openxmlformats.org/officeDocument/2006/relationships/hyperlink" Target="https://github.com/ESPresense/ESPresense-companion/blob/main/CLAUDE.md" TargetMode="External"/><Relationship Id="rId1505" Type="http://schemas.openxmlformats.org/officeDocument/2006/relationships/hyperlink" Target="https://github.com/abh/ntppool/blob/main/CLAUDE.md" TargetMode="External"/><Relationship Id="rId1712" Type="http://schemas.openxmlformats.org/officeDocument/2006/relationships/hyperlink" Target="https://github.com/DumbWareio/DumbAssets/blob/main/.github/copilot-instructions.md" TargetMode="External"/><Relationship Id="rId293" Type="http://schemas.openxmlformats.org/officeDocument/2006/relationships/hyperlink" Target="https://github.com/colinhacks/zod/blob/main/CLAUDE.md" TargetMode="External"/><Relationship Id="rId153" Type="http://schemas.openxmlformats.org/officeDocument/2006/relationships/hyperlink" Target="https://github.com/ShaunLawrie/PwshSpectreConsole/blob/main/.github/copilot-instructions.md" TargetMode="External"/><Relationship Id="rId360" Type="http://schemas.openxmlformats.org/officeDocument/2006/relationships/hyperlink" Target="https://github.com/DataDog/datadog-agent/blob/main/AGENTS.md" TargetMode="External"/><Relationship Id="rId598" Type="http://schemas.openxmlformats.org/officeDocument/2006/relationships/hyperlink" Target="https://github.com/marin-community/marin/blob/main/AGENTS.md" TargetMode="External"/><Relationship Id="rId220" Type="http://schemas.openxmlformats.org/officeDocument/2006/relationships/hyperlink" Target="https://github.com/luccahuguet/yazelix/blob/main/AGENTS.md" TargetMode="External"/><Relationship Id="rId458" Type="http://schemas.openxmlformats.org/officeDocument/2006/relationships/hyperlink" Target="https://github.com/hathach/tinyusb/blob/master/AGENTS.md" TargetMode="External"/><Relationship Id="rId665" Type="http://schemas.openxmlformats.org/officeDocument/2006/relationships/hyperlink" Target="https://github.com/Skyscanner/backpack-ios/blob/main/.github/copilot-instructions.md" TargetMode="External"/><Relationship Id="rId872" Type="http://schemas.openxmlformats.org/officeDocument/2006/relationships/hyperlink" Target="https://github.com/open-metadata/OpenMetadata/blob/main/CLAUDE.md" TargetMode="External"/><Relationship Id="rId1088" Type="http://schemas.openxmlformats.org/officeDocument/2006/relationships/hyperlink" Target="https://github.com/dotnet/aspnetcore/blob/main/.github/copilot-instructions.md" TargetMode="External"/><Relationship Id="rId1295" Type="http://schemas.openxmlformats.org/officeDocument/2006/relationships/hyperlink" Target="https://github.com/compiler-explorer/infra/blob/main/CLAUDE.md" TargetMode="External"/><Relationship Id="rId318" Type="http://schemas.openxmlformats.org/officeDocument/2006/relationships/hyperlink" Target="https://github.com/home-assistant/frontend/blob/master/CLAUDE.md" TargetMode="External"/><Relationship Id="rId525" Type="http://schemas.openxmlformats.org/officeDocument/2006/relationships/hyperlink" Target="https://github.com/netdata/netdata/blob/master/CLAUDE.md" TargetMode="External"/><Relationship Id="rId732" Type="http://schemas.openxmlformats.org/officeDocument/2006/relationships/hyperlink" Target="https://github.com/anyproto/anytype-swift/blob/main/CLAUDE.md" TargetMode="External"/><Relationship Id="rId1155" Type="http://schemas.openxmlformats.org/officeDocument/2006/relationships/hyperlink" Target="https://github.com/wled/WLED/blob/main/.github/copilot-instructions.md" TargetMode="External"/><Relationship Id="rId1362" Type="http://schemas.openxmlformats.org/officeDocument/2006/relationships/hyperlink" Target="https://github.com/zenml-io/zenml/blob/main/CLAUDE.md" TargetMode="External"/><Relationship Id="rId99" Type="http://schemas.openxmlformats.org/officeDocument/2006/relationships/hyperlink" Target="https://github.com/Azure/azure-sdk-tools/blob/main/.github/copilot-instructions.md" TargetMode="External"/><Relationship Id="rId1015" Type="http://schemas.openxmlformats.org/officeDocument/2006/relationships/hyperlink" Target="https://github.com/python-cachier/cachier/blob/master/AGENTS.md" TargetMode="External"/><Relationship Id="rId1222" Type="http://schemas.openxmlformats.org/officeDocument/2006/relationships/hyperlink" Target="https://github.com/RchGrav/claudebox/blob/main/CLAUDE.md" TargetMode="External"/><Relationship Id="rId1667" Type="http://schemas.openxmlformats.org/officeDocument/2006/relationships/hyperlink" Target="https://github.com/langchain-ai/langchain/blob/master/AGENTS.md" TargetMode="External"/><Relationship Id="rId1874" Type="http://schemas.openxmlformats.org/officeDocument/2006/relationships/hyperlink" Target="https://github.com/julep-ai/julep/blob/main/AGENTS.md" TargetMode="External"/><Relationship Id="rId1527" Type="http://schemas.openxmlformats.org/officeDocument/2006/relationships/hyperlink" Target="https://github.com/cloudposse/atmos/blob/main/CLAUDE.md" TargetMode="External"/><Relationship Id="rId1734" Type="http://schemas.openxmlformats.org/officeDocument/2006/relationships/hyperlink" Target="https://github.com/sarchlab/akita/blob/main/.github/copilot-instructions.md" TargetMode="External"/><Relationship Id="rId1941" Type="http://schemas.openxmlformats.org/officeDocument/2006/relationships/hyperlink" Target="https://github.com/wandb/weave/blob/master/AGENTS.md" TargetMode="External"/><Relationship Id="rId26" Type="http://schemas.openxmlformats.org/officeDocument/2006/relationships/hyperlink" Target="https://github.com/public-ui/kolibri/blob/master/AGENTS.md" TargetMode="External"/><Relationship Id="rId175" Type="http://schemas.openxmlformats.org/officeDocument/2006/relationships/hyperlink" Target="https://github.com/sybrew/the-seo-framework/blob/master/.github/copilot-instructions.md" TargetMode="External"/><Relationship Id="rId1801" Type="http://schemas.openxmlformats.org/officeDocument/2006/relationships/hyperlink" Target="https://github.com/open-metadata/OpenMetadata/blob/main/CLAUDE.md" TargetMode="External"/><Relationship Id="rId382" Type="http://schemas.openxmlformats.org/officeDocument/2006/relationships/hyperlink" Target="https://github.com/seasonedcc/remix-forms/blob/main/AGENTS.md" TargetMode="External"/><Relationship Id="rId687" Type="http://schemas.openxmlformats.org/officeDocument/2006/relationships/hyperlink" Target="https://github.com/netdata/netdata/blob/master/CLAUDE.md" TargetMode="External"/><Relationship Id="rId242" Type="http://schemas.openxmlformats.org/officeDocument/2006/relationships/hyperlink" Target="https://github.com/lightdash/lightdash/blob/main/CLAUDE.md" TargetMode="External"/><Relationship Id="rId894" Type="http://schemas.openxmlformats.org/officeDocument/2006/relationships/hyperlink" Target="https://github.com/Pipelex/pipelex/blob/main/CLAUDE.md" TargetMode="External"/><Relationship Id="rId1177" Type="http://schemas.openxmlformats.org/officeDocument/2006/relationships/hyperlink" Target="https://github.com/Freika/dawarich/blob/master/CLAUDE.md" TargetMode="External"/><Relationship Id="rId102" Type="http://schemas.openxmlformats.org/officeDocument/2006/relationships/hyperlink" Target="https://github.com/DestinyItemManager/DIM/blob/master/.github/copilot-instructions.md" TargetMode="External"/><Relationship Id="rId547" Type="http://schemas.openxmlformats.org/officeDocument/2006/relationships/hyperlink" Target="https://github.com/proximafusion/vmecpp/blob/main/CLAUDE.md" TargetMode="External"/><Relationship Id="rId754" Type="http://schemas.openxmlformats.org/officeDocument/2006/relationships/hyperlink" Target="https://github.com/cloudposse/atmos/blob/main/CLAUDE.md" TargetMode="External"/><Relationship Id="rId961" Type="http://schemas.openxmlformats.org/officeDocument/2006/relationships/hyperlink" Target="https://github.com/carverauto/serviceradar/blob/main/AGENTS.md" TargetMode="External"/><Relationship Id="rId1384" Type="http://schemas.openxmlformats.org/officeDocument/2006/relationships/hyperlink" Target="https://github.com/janbjorge/pgqueuer/blob/main/AGENTS.md" TargetMode="External"/><Relationship Id="rId1591" Type="http://schemas.openxmlformats.org/officeDocument/2006/relationships/hyperlink" Target="https://github.com/netdata/netdata/blob/master/CLAUDE.md" TargetMode="External"/><Relationship Id="rId1689" Type="http://schemas.openxmlformats.org/officeDocument/2006/relationships/hyperlink" Target="https://github.com/pulumi/docs/blob/master/AGENTS.md" TargetMode="External"/><Relationship Id="rId90" Type="http://schemas.openxmlformats.org/officeDocument/2006/relationships/hyperlink" Target="https://github.com/Aiko-IT-Systems/DisCatSharp/blob/main/.github/copilot-instructions.md" TargetMode="External"/><Relationship Id="rId407" Type="http://schemas.openxmlformats.org/officeDocument/2006/relationships/hyperlink" Target="https://github.com/geneontology/go-ontology/blob/master/.github/copilot-instructions.md" TargetMode="External"/><Relationship Id="rId614" Type="http://schemas.openxmlformats.org/officeDocument/2006/relationships/hyperlink" Target="https://github.com/stack-auth/stack-auth/blob/main/AGENTS.md" TargetMode="External"/><Relationship Id="rId821" Type="http://schemas.openxmlformats.org/officeDocument/2006/relationships/hyperlink" Target="https://github.com/gensx-inc/gensx/blob/main/CLAUDE.md" TargetMode="External"/><Relationship Id="rId1037" Type="http://schemas.openxmlformats.org/officeDocument/2006/relationships/hyperlink" Target="https://github.com/wieslawsoltes/Xaml.Behaviors/blob/master/AGENTS.md" TargetMode="External"/><Relationship Id="rId1244" Type="http://schemas.openxmlformats.org/officeDocument/2006/relationships/hyperlink" Target="https://github.com/theopenco/llmgateway/blob/main/AGENTS.md" TargetMode="External"/><Relationship Id="rId1451" Type="http://schemas.openxmlformats.org/officeDocument/2006/relationships/hyperlink" Target="https://github.com/geneontology/go-ontology/blob/master/.github/copilot-instructions.md" TargetMode="External"/><Relationship Id="rId1896" Type="http://schemas.openxmlformats.org/officeDocument/2006/relationships/hyperlink" Target="https://github.com/CapSoftware/Cap/blob/main/CLAUDE.md" TargetMode="External"/><Relationship Id="rId253" Type="http://schemas.openxmlformats.org/officeDocument/2006/relationships/hyperlink" Target="https://github.com/netdata/netdata/blob/master/CLAUDE.md" TargetMode="External"/><Relationship Id="rId460" Type="http://schemas.openxmlformats.org/officeDocument/2006/relationships/hyperlink" Target="https://github.com/colinhacks/zod/blob/main/CLAUDE.md" TargetMode="External"/><Relationship Id="rId698" Type="http://schemas.openxmlformats.org/officeDocument/2006/relationships/hyperlink" Target="https://github.com/Pipelex/pipelex/blob/main/AGENTS.md" TargetMode="External"/><Relationship Id="rId919" Type="http://schemas.openxmlformats.org/officeDocument/2006/relationships/hyperlink" Target="https://github.com/steipete/Peekaboo/blob/main/CLAUDE.md" TargetMode="External"/><Relationship Id="rId1090" Type="http://schemas.openxmlformats.org/officeDocument/2006/relationships/hyperlink" Target="https://github.com/dotnet/core/blob/main/.github/copilot-instructions.md" TargetMode="External"/><Relationship Id="rId1104" Type="http://schemas.openxmlformats.org/officeDocument/2006/relationships/hyperlink" Target="https://github.com/geneontology/go-ontology/blob/master/.github/copilot-instructions.md" TargetMode="External"/><Relationship Id="rId1311" Type="http://schemas.openxmlformats.org/officeDocument/2006/relationships/hyperlink" Target="https://github.com/home-assistant/frontend/blob/master/CLAUDE.md" TargetMode="External"/><Relationship Id="rId1549" Type="http://schemas.openxmlformats.org/officeDocument/2006/relationships/hyperlink" Target="https://github.com/dropseed/plain/blob/main/CLAUDE.md" TargetMode="External"/><Relationship Id="rId1756" Type="http://schemas.openxmlformats.org/officeDocument/2006/relationships/hyperlink" Target="https://github.com/PrairieLearn/PrairieLearn/blob/master/AGENTS.md" TargetMode="External"/><Relationship Id="rId48" Type="http://schemas.openxmlformats.org/officeDocument/2006/relationships/hyperlink" Target="https://github.com/Rello/analytics/blob/master/AGENTS.md" TargetMode="External"/><Relationship Id="rId113" Type="http://schemas.openxmlformats.org/officeDocument/2006/relationships/hyperlink" Target="https://github.com/dotnet/maui/blob/main/.github/copilot-instructions.md" TargetMode="External"/><Relationship Id="rId320" Type="http://schemas.openxmlformats.org/officeDocument/2006/relationships/hyperlink" Target="https://github.com/ithacaxyz/account/blob/main/CLAUDE.md" TargetMode="External"/><Relationship Id="rId558" Type="http://schemas.openxmlformats.org/officeDocument/2006/relationships/hyperlink" Target="https://github.com/speaches-ai/speaches/blob/master/CLAUDE.md" TargetMode="External"/><Relationship Id="rId765" Type="http://schemas.openxmlformats.org/officeDocument/2006/relationships/hyperlink" Target="https://github.com/cloudposse/atmos/blob/main/CLAUDE.md" TargetMode="External"/><Relationship Id="rId972" Type="http://schemas.openxmlformats.org/officeDocument/2006/relationships/hyperlink" Target="https://github.com/janbjorge/pgqueuer/blob/main/AGENTS.md" TargetMode="External"/><Relationship Id="rId1188" Type="http://schemas.openxmlformats.org/officeDocument/2006/relationships/hyperlink" Target="https://github.com/coder/coder/blob/main/CLAUDE.md" TargetMode="External"/><Relationship Id="rId1395" Type="http://schemas.openxmlformats.org/officeDocument/2006/relationships/hyperlink" Target="https://github.com/marin-community/marin/blob/main/AGENTS.md" TargetMode="External"/><Relationship Id="rId1409" Type="http://schemas.openxmlformats.org/officeDocument/2006/relationships/hyperlink" Target="https://github.com/microsoft/mcp-for-beginners/blob/main/AGENTS.md" TargetMode="External"/><Relationship Id="rId1616" Type="http://schemas.openxmlformats.org/officeDocument/2006/relationships/hyperlink" Target="https://github.com/RchGrav/claudebox/blob/main/CLAUDE.md" TargetMode="External"/><Relationship Id="rId1823" Type="http://schemas.openxmlformats.org/officeDocument/2006/relationships/hyperlink" Target="https://github.com/Azure/azure-rest-api-specs/blob/main/.github/copilot-instructions.md" TargetMode="External"/><Relationship Id="rId197" Type="http://schemas.openxmlformats.org/officeDocument/2006/relationships/hyperlink" Target="https://github.com/dailydotdev/apps/blob/main/CLAUDE.md" TargetMode="External"/><Relationship Id="rId418" Type="http://schemas.openxmlformats.org/officeDocument/2006/relationships/hyperlink" Target="https://github.com/raycast/extensions/blob/main/.github/copilot-instructions.md" TargetMode="External"/><Relationship Id="rId625" Type="http://schemas.openxmlformats.org/officeDocument/2006/relationships/hyperlink" Target="https://github.com/bbc/simorgh/blob/master/.github/copilot-instructions.md" TargetMode="External"/><Relationship Id="rId832" Type="http://schemas.openxmlformats.org/officeDocument/2006/relationships/hyperlink" Target="https://github.com/gojiplus/tuber/blob/master/CLAUDE.md" TargetMode="External"/><Relationship Id="rId1048" Type="http://schemas.openxmlformats.org/officeDocument/2006/relationships/hyperlink" Target="https://github.com/alandtse/alexa_media_player/blob/master/.github/copilot-instructions.md" TargetMode="External"/><Relationship Id="rId1255" Type="http://schemas.openxmlformats.org/officeDocument/2006/relationships/hyperlink" Target="https://github.com/Azure/AgentBaker/blob/main/.github/copilot-instructions.md" TargetMode="External"/><Relationship Id="rId1462" Type="http://schemas.openxmlformats.org/officeDocument/2006/relationships/hyperlink" Target="https://github.com/gensx-inc/gensx/blob/main/CLAUDE.md" TargetMode="External"/><Relationship Id="rId264" Type="http://schemas.openxmlformats.org/officeDocument/2006/relationships/hyperlink" Target="https://github.com/luccahuguet/yazelix/blob/main/AGENTS.md" TargetMode="External"/><Relationship Id="rId471" Type="http://schemas.openxmlformats.org/officeDocument/2006/relationships/hyperlink" Target="https://github.com/sybrew/the-seo-framework/blob/master/.github/copilot-instructions.md" TargetMode="External"/><Relationship Id="rId1115" Type="http://schemas.openxmlformats.org/officeDocument/2006/relationships/hyperlink" Target="https://github.com/irihitech/Ursa.Avalonia/blob/main/.github/copilot-instructions.md" TargetMode="External"/><Relationship Id="rId1322" Type="http://schemas.openxmlformats.org/officeDocument/2006/relationships/hyperlink" Target="https://github.com/lgallard/terraform-aws-backup/blob/master/CLAUDE.md" TargetMode="External"/><Relationship Id="rId1767" Type="http://schemas.openxmlformats.org/officeDocument/2006/relationships/hyperlink" Target="https://github.com/CapSoftware/Cap/blob/main/AGENTS.md" TargetMode="External"/><Relationship Id="rId59" Type="http://schemas.openxmlformats.org/officeDocument/2006/relationships/hyperlink" Target="https://github.com/seasonedcc/remix-forms/blob/main/AGENTS.md" TargetMode="External"/><Relationship Id="rId124" Type="http://schemas.openxmlformats.org/officeDocument/2006/relationships/hyperlink" Target="https://github.com/igraph/igraph/blob/main/.github/copilot-instructions.md" TargetMode="External"/><Relationship Id="rId569" Type="http://schemas.openxmlformats.org/officeDocument/2006/relationships/hyperlink" Target="https://github.com/tphakala/birdnet-go/blob/main/CLAUDE.md" TargetMode="External"/><Relationship Id="rId776" Type="http://schemas.openxmlformats.org/officeDocument/2006/relationships/hyperlink" Target="https://github.com/colinhacks/zod/blob/main/CLAUDE.md" TargetMode="External"/><Relationship Id="rId983" Type="http://schemas.openxmlformats.org/officeDocument/2006/relationships/hyperlink" Target="https://github.com/marin-community/marin/blob/main/AGENTS.md" TargetMode="External"/><Relationship Id="rId1199" Type="http://schemas.openxmlformats.org/officeDocument/2006/relationships/hyperlink" Target="https://github.com/Pipelex/pipelex/blob/main/CLAUDE.md" TargetMode="External"/><Relationship Id="rId1627" Type="http://schemas.openxmlformats.org/officeDocument/2006/relationships/hyperlink" Target="https://github.com/vaadin/flow/blob/main/CLAUDE.md" TargetMode="External"/><Relationship Id="rId1834" Type="http://schemas.openxmlformats.org/officeDocument/2006/relationships/hyperlink" Target="https://github.com/syntaxfm/website/blob/main/.github/copilot-instructions.md" TargetMode="External"/><Relationship Id="rId331" Type="http://schemas.openxmlformats.org/officeDocument/2006/relationships/hyperlink" Target="https://github.com/open-metadata/OpenMetadata/blob/main/CLAUDE.md" TargetMode="External"/><Relationship Id="rId429" Type="http://schemas.openxmlformats.org/officeDocument/2006/relationships/hyperlink" Target="https://github.com/Pipelex/pipelex/blob/main/CLAUDE.md" TargetMode="External"/><Relationship Id="rId636" Type="http://schemas.openxmlformats.org/officeDocument/2006/relationships/hyperlink" Target="https://github.com/Epix-Incorporated/Adonis/blob/master/.github/copilot-instructions.md" TargetMode="External"/><Relationship Id="rId1059" Type="http://schemas.openxmlformats.org/officeDocument/2006/relationships/hyperlink" Target="https://github.com/AstrBotDevs/AstrBot/blob/master/.github/copilot-instructions.md" TargetMode="External"/><Relationship Id="rId1266" Type="http://schemas.openxmlformats.org/officeDocument/2006/relationships/hyperlink" Target="https://github.com/module-federation/core/blob/main/CLAUDE.md" TargetMode="External"/><Relationship Id="rId1473" Type="http://schemas.openxmlformats.org/officeDocument/2006/relationships/hyperlink" Target="https://github.com/liam-hq/liam/blob/main/CLAUDE.md" TargetMode="External"/><Relationship Id="rId843" Type="http://schemas.openxmlformats.org/officeDocument/2006/relationships/hyperlink" Target="https://github.com/lightdash/lightdash/blob/main/CLAUDE.md" TargetMode="External"/><Relationship Id="rId1126" Type="http://schemas.openxmlformats.org/officeDocument/2006/relationships/hyperlink" Target="https://github.com/microsoft/Olive/blob/main/.github/copilot-instructions.md" TargetMode="External"/><Relationship Id="rId1680" Type="http://schemas.openxmlformats.org/officeDocument/2006/relationships/hyperlink" Target="https://github.com/mixpanel/mixpanel-android/blob/master/AGENTS.md" TargetMode="External"/><Relationship Id="rId1778" Type="http://schemas.openxmlformats.org/officeDocument/2006/relationships/hyperlink" Target="https://github.com/CapSoftware/Cap/blob/main/CLAUDE.md" TargetMode="External"/><Relationship Id="rId1901" Type="http://schemas.openxmlformats.org/officeDocument/2006/relationships/hyperlink" Target="https://github.com/Pipelex/pipelex/blob/main/AGENTS.md" TargetMode="External"/><Relationship Id="rId275" Type="http://schemas.openxmlformats.org/officeDocument/2006/relationships/hyperlink" Target="https://github.com/BerriAI/litellm/blob/main/CLAUDE.md" TargetMode="External"/><Relationship Id="rId482" Type="http://schemas.openxmlformats.org/officeDocument/2006/relationships/hyperlink" Target="https://github.com/anyproto/anytype-ts/blob/main/CLAUDE.md" TargetMode="External"/><Relationship Id="rId703" Type="http://schemas.openxmlformats.org/officeDocument/2006/relationships/hyperlink" Target="https://github.com/igraph/igraph/blob/main/.github/copilot-instructions.md" TargetMode="External"/><Relationship Id="rId910" Type="http://schemas.openxmlformats.org/officeDocument/2006/relationships/hyperlink" Target="https://github.com/recallnet/js-recall/blob/main/CLAUDE.md" TargetMode="External"/><Relationship Id="rId1333" Type="http://schemas.openxmlformats.org/officeDocument/2006/relationships/hyperlink" Target="https://github.com/open-metadata/OpenMetadata/blob/main/CLAUDE.md" TargetMode="External"/><Relationship Id="rId1540" Type="http://schemas.openxmlformats.org/officeDocument/2006/relationships/hyperlink" Target="https://github.com/compiler-explorer/infra/blob/main/CLAUDE.md" TargetMode="External"/><Relationship Id="rId1638" Type="http://schemas.openxmlformats.org/officeDocument/2006/relationships/hyperlink" Target="https://github.com/xlnfinance/xln/blob/main/CLAUDE.md" TargetMode="External"/><Relationship Id="rId135" Type="http://schemas.openxmlformats.org/officeDocument/2006/relationships/hyperlink" Target="https://github.com/microsoft/typespec/blob/main/.github/copilot-instructions.md" TargetMode="External"/><Relationship Id="rId342" Type="http://schemas.openxmlformats.org/officeDocument/2006/relationships/hyperlink" Target="https://github.com/RchGrav/claudebox/blob/main/CLAUDE.md" TargetMode="External"/><Relationship Id="rId787" Type="http://schemas.openxmlformats.org/officeDocument/2006/relationships/hyperlink" Target="https://github.com/dailydotdev/apps/blob/main/CLAUDE.md" TargetMode="External"/><Relationship Id="rId994" Type="http://schemas.openxmlformats.org/officeDocument/2006/relationships/hyperlink" Target="https://github.com/Pipelex/pipelex/blob/main/AGENTS.md" TargetMode="External"/><Relationship Id="rId1400" Type="http://schemas.openxmlformats.org/officeDocument/2006/relationships/hyperlink" Target="https://github.com/marin-community/marin/blob/main/AGENTS.md" TargetMode="External"/><Relationship Id="rId1845" Type="http://schemas.openxmlformats.org/officeDocument/2006/relationships/hyperlink" Target="https://github.com/cloudposse/atmos/blob/main/CLAUDE.md" TargetMode="External"/><Relationship Id="rId202" Type="http://schemas.openxmlformats.org/officeDocument/2006/relationships/hyperlink" Target="https://github.com/cloudposse/atmos/blob/main/CLAUDE.md" TargetMode="External"/><Relationship Id="rId647" Type="http://schemas.openxmlformats.org/officeDocument/2006/relationships/hyperlink" Target="https://github.com/microsoft/ApplicationInsights-JS/blob/main/.github/copilot-instructions.md" TargetMode="External"/><Relationship Id="rId854" Type="http://schemas.openxmlformats.org/officeDocument/2006/relationships/hyperlink" Target="https://github.com/netdata/netdata/blob/master/CLAUDE.md" TargetMode="External"/><Relationship Id="rId1277" Type="http://schemas.openxmlformats.org/officeDocument/2006/relationships/hyperlink" Target="https://github.com/wieslawsoltes/Dock/blob/master/AGENTS.md" TargetMode="External"/><Relationship Id="rId1484" Type="http://schemas.openxmlformats.org/officeDocument/2006/relationships/hyperlink" Target="https://github.com/gitkraken/vscode-gitlens/blob/main/AGENTS.md" TargetMode="External"/><Relationship Id="rId1691" Type="http://schemas.openxmlformats.org/officeDocument/2006/relationships/hyperlink" Target="https://github.com/rustfs/rustfs/blob/main/AGENTS.md" TargetMode="External"/><Relationship Id="rId1705" Type="http://schemas.openxmlformats.org/officeDocument/2006/relationships/hyperlink" Target="https://github.com/BrighterCommand/Brighter/blob/master/.github/copilot-instructions.md" TargetMode="External"/><Relationship Id="rId1912" Type="http://schemas.openxmlformats.org/officeDocument/2006/relationships/hyperlink" Target="https://github.com/Pipelex/pipelex/blob/main/CLAUDE.md" TargetMode="External"/><Relationship Id="rId286" Type="http://schemas.openxmlformats.org/officeDocument/2006/relationships/hyperlink" Target="https://github.com/coder/coder/blob/main/CLAUDE.md" TargetMode="External"/><Relationship Id="rId493" Type="http://schemas.openxmlformats.org/officeDocument/2006/relationships/hyperlink" Target="https://github.com/cloudposse/atmos/blob/main/CLAUDE.md" TargetMode="External"/><Relationship Id="rId507" Type="http://schemas.openxmlformats.org/officeDocument/2006/relationships/hyperlink" Target="https://github.com/evmts/tevm-monorepo/blob/main/CLAUDE.md" TargetMode="External"/><Relationship Id="rId714" Type="http://schemas.openxmlformats.org/officeDocument/2006/relationships/hyperlink" Target="https://github.com/abh/ntppool/blob/main/CLAUDE.md" TargetMode="External"/><Relationship Id="rId921" Type="http://schemas.openxmlformats.org/officeDocument/2006/relationships/hyperlink" Target="https://github.com/theopenco/llmgateway/blob/main/CLAUDE.md" TargetMode="External"/><Relationship Id="rId1137" Type="http://schemas.openxmlformats.org/officeDocument/2006/relationships/hyperlink" Target="https://github.com/octgn/OCTGN/blob/master/.github/copilot-instructions.md" TargetMode="External"/><Relationship Id="rId1344" Type="http://schemas.openxmlformats.org/officeDocument/2006/relationships/hyperlink" Target="https://github.com/RchGrav/claudebox/blob/main/CLAUDE.md" TargetMode="External"/><Relationship Id="rId1551" Type="http://schemas.openxmlformats.org/officeDocument/2006/relationships/hyperlink" Target="https://github.com/ensdomains/ens-app-v3/blob/main/CLAUDE.md" TargetMode="External"/><Relationship Id="rId1789" Type="http://schemas.openxmlformats.org/officeDocument/2006/relationships/hyperlink" Target="https://github.com/theopenco/llmgateway/blob/main/CLAUDE.md" TargetMode="External"/><Relationship Id="rId50" Type="http://schemas.openxmlformats.org/officeDocument/2006/relationships/hyperlink" Target="https://github.com/Rello/audioplayer/blob/master/AGENTS.md" TargetMode="External"/><Relationship Id="rId146" Type="http://schemas.openxmlformats.org/officeDocument/2006/relationships/hyperlink" Target="https://github.com/owncast/owncast/blob/master/.github/copilot-instructions.md" TargetMode="External"/><Relationship Id="rId353" Type="http://schemas.openxmlformats.org/officeDocument/2006/relationships/hyperlink" Target="https://github.com/zenml-io/zenml/blob/main/CLAUDE.md" TargetMode="External"/><Relationship Id="rId560" Type="http://schemas.openxmlformats.org/officeDocument/2006/relationships/hyperlink" Target="https://github.com/speaches-ai/speaches/blob/master/CLAUDE.md" TargetMode="External"/><Relationship Id="rId798" Type="http://schemas.openxmlformats.org/officeDocument/2006/relationships/hyperlink" Target="https://github.com/dymensionxyz/dymension/blob/main/CLAUDE.md" TargetMode="External"/><Relationship Id="rId1190" Type="http://schemas.openxmlformats.org/officeDocument/2006/relationships/hyperlink" Target="https://github.com/cloudposse/atmos/blob/main/CLAUDE.md" TargetMode="External"/><Relationship Id="rId1204" Type="http://schemas.openxmlformats.org/officeDocument/2006/relationships/hyperlink" Target="https://github.com/zed-industries/zed/blob/main/CLAUDE.md" TargetMode="External"/><Relationship Id="rId1411" Type="http://schemas.openxmlformats.org/officeDocument/2006/relationships/hyperlink" Target="https://github.com/mixpanel/mixpanel-android/blob/master/AGENTS.md" TargetMode="External"/><Relationship Id="rId1649" Type="http://schemas.openxmlformats.org/officeDocument/2006/relationships/hyperlink" Target="https://github.com/commonwarexyz/monorepo/blob/main/AGENTS.md" TargetMode="External"/><Relationship Id="rId1856" Type="http://schemas.openxmlformats.org/officeDocument/2006/relationships/hyperlink" Target="https://github.com/grafbase/grafbase/blob/main/CLAUDE.md" TargetMode="External"/><Relationship Id="rId213" Type="http://schemas.openxmlformats.org/officeDocument/2006/relationships/hyperlink" Target="https://github.com/SparkDevNetwork/Rock/blob/master/.github/copilot-instructions.md" TargetMode="External"/><Relationship Id="rId420" Type="http://schemas.openxmlformats.org/officeDocument/2006/relationships/hyperlink" Target="https://github.com/Skyscanner/backpack-ios/blob/main/.github/copilot-instructions.md" TargetMode="External"/><Relationship Id="rId658" Type="http://schemas.openxmlformats.org/officeDocument/2006/relationships/hyperlink" Target="https://github.com/Open-LLM-VTuber/Open-LLM-VTuber/blob/main/.github/copilot-instructions.md" TargetMode="External"/><Relationship Id="rId865" Type="http://schemas.openxmlformats.org/officeDocument/2006/relationships/hyperlink" Target="https://github.com/OneKeyHQ/app-monorepo/blob/master/CLAUDE.md" TargetMode="External"/><Relationship Id="rId1050" Type="http://schemas.openxmlformats.org/officeDocument/2006/relationships/hyperlink" Target="https://github.com/ast-grep/ast-grep/blob/main/.github/copilot-instructions.md" TargetMode="External"/><Relationship Id="rId1288" Type="http://schemas.openxmlformats.org/officeDocument/2006/relationships/hyperlink" Target="https://github.com/colinhacks/zod/blob/main/CLAUDE.md" TargetMode="External"/><Relationship Id="rId1495" Type="http://schemas.openxmlformats.org/officeDocument/2006/relationships/hyperlink" Target="https://github.com/fukuball/jieba-php/blob/master/CLAUDE.md" TargetMode="External"/><Relationship Id="rId1509" Type="http://schemas.openxmlformats.org/officeDocument/2006/relationships/hyperlink" Target="https://github.com/ajanraj/OpenChat/blob/main/CLAUDE.md" TargetMode="External"/><Relationship Id="rId1716" Type="http://schemas.openxmlformats.org/officeDocument/2006/relationships/hyperlink" Target="https://github.com/geneontology/go-ontology/blob/master/.github/copilot-instructions.md" TargetMode="External"/><Relationship Id="rId1923" Type="http://schemas.openxmlformats.org/officeDocument/2006/relationships/hyperlink" Target="https://github.com/microsoft/simplechat/blob/main/.github/copilot-instructions.md" TargetMode="External"/><Relationship Id="rId297" Type="http://schemas.openxmlformats.org/officeDocument/2006/relationships/hyperlink" Target="https://github.com/colinhacks/zod/blob/main/CLAUDE.md" TargetMode="External"/><Relationship Id="rId518" Type="http://schemas.openxmlformats.org/officeDocument/2006/relationships/hyperlink" Target="https://github.com/J-Tech-Japan/Sekiban/blob/main/CLAUDE.md" TargetMode="External"/><Relationship Id="rId725" Type="http://schemas.openxmlformats.org/officeDocument/2006/relationships/hyperlink" Target="https://github.com/ajanraj/OpenChat/blob/main/CLAUDE.md" TargetMode="External"/><Relationship Id="rId932" Type="http://schemas.openxmlformats.org/officeDocument/2006/relationships/hyperlink" Target="https://github.com/twentyhq/twenty/blob/main/CLAUDE.md" TargetMode="External"/><Relationship Id="rId1148" Type="http://schemas.openxmlformats.org/officeDocument/2006/relationships/hyperlink" Target="https://github.com/Significant-Gravitas/AutoGPT/blob/master/.github/copilot-instructions.md" TargetMode="External"/><Relationship Id="rId1355" Type="http://schemas.openxmlformats.org/officeDocument/2006/relationships/hyperlink" Target="https://github.com/transloadit/uppy/blob/main/CLAUDE.md" TargetMode="External"/><Relationship Id="rId1562" Type="http://schemas.openxmlformats.org/officeDocument/2006/relationships/hyperlink" Target="https://github.com/geneontology/go-ontology/blob/master/CLAUDE.md" TargetMode="External"/><Relationship Id="rId157" Type="http://schemas.openxmlformats.org/officeDocument/2006/relationships/hyperlink" Target="https://github.com/SparkDevNetwork/Rock/blob/master/.github/copilot-instructions.md" TargetMode="External"/><Relationship Id="rId364" Type="http://schemas.openxmlformats.org/officeDocument/2006/relationships/hyperlink" Target="https://github.com/marin-community/marin/blob/main/AGENTS.md" TargetMode="External"/><Relationship Id="rId1008" Type="http://schemas.openxmlformats.org/officeDocument/2006/relationships/hyperlink" Target="https://github.com/public-ui/kolibri/blob/master/AGENTS.md" TargetMode="External"/><Relationship Id="rId1215" Type="http://schemas.openxmlformats.org/officeDocument/2006/relationships/hyperlink" Target="https://github.com/luccahuguet/yazelix/blob/main/AGENTS.md" TargetMode="External"/><Relationship Id="rId1422" Type="http://schemas.openxmlformats.org/officeDocument/2006/relationships/hyperlink" Target="https://github.com/Rello/audioplayer/blob/master/AGENTS.md" TargetMode="External"/><Relationship Id="rId1867" Type="http://schemas.openxmlformats.org/officeDocument/2006/relationships/hyperlink" Target="https://github.com/steipete/Peekaboo/blob/main/CLAUDE.md" TargetMode="External"/><Relationship Id="rId61" Type="http://schemas.openxmlformats.org/officeDocument/2006/relationships/hyperlink" Target="https://github.com/stack-auth/stack-auth/blob/main/AGENTS.md" TargetMode="External"/><Relationship Id="rId571" Type="http://schemas.openxmlformats.org/officeDocument/2006/relationships/hyperlink" Target="https://github.com/truenas/webui/blob/master/CLAUDE.md" TargetMode="External"/><Relationship Id="rId669" Type="http://schemas.openxmlformats.org/officeDocument/2006/relationships/hyperlink" Target="https://github.com/triggerdotdev/trigger.dev/blob/main/.github/copilot-instructions.md" TargetMode="External"/><Relationship Id="rId876" Type="http://schemas.openxmlformats.org/officeDocument/2006/relationships/hyperlink" Target="https://github.com/open-metadata/OpenMetadata/blob/main/CLAUDE.md" TargetMode="External"/><Relationship Id="rId1299" Type="http://schemas.openxmlformats.org/officeDocument/2006/relationships/hyperlink" Target="https://github.com/evmts/tevm-monorepo/blob/main/CLAUDE.md" TargetMode="External"/><Relationship Id="rId1727" Type="http://schemas.openxmlformats.org/officeDocument/2006/relationships/hyperlink" Target="https://github.com/microsoft/vscode-jupyter/blob/main/.github/copilot-instructions.md" TargetMode="External"/><Relationship Id="rId1934" Type="http://schemas.openxmlformats.org/officeDocument/2006/relationships/hyperlink" Target="https://github.com/module-federation/core/blob/main/CLAUDE.md" TargetMode="External"/><Relationship Id="rId19" Type="http://schemas.openxmlformats.org/officeDocument/2006/relationships/hyperlink" Target="https://github.com/Pipelex/pipelex/blob/main/AGENTS.md" TargetMode="External"/><Relationship Id="rId224" Type="http://schemas.openxmlformats.org/officeDocument/2006/relationships/hyperlink" Target="https://github.com/angular-eslint/angular-eslint/blob/main/CLAUDE.md" TargetMode="External"/><Relationship Id="rId431" Type="http://schemas.openxmlformats.org/officeDocument/2006/relationships/hyperlink" Target="https://github.com/cloudposse/atmos/blob/main/CLAUDE.md" TargetMode="External"/><Relationship Id="rId529" Type="http://schemas.openxmlformats.org/officeDocument/2006/relationships/hyperlink" Target="https://github.com/numbagg/numbagg/blob/main/CLAUDE.md" TargetMode="External"/><Relationship Id="rId736" Type="http://schemas.openxmlformats.org/officeDocument/2006/relationships/hyperlink" Target="https://github.com/badlogic/lemmy/blob/main/CLAUDE.md" TargetMode="External"/><Relationship Id="rId1061" Type="http://schemas.openxmlformats.org/officeDocument/2006/relationships/hyperlink" Target="https://github.com/Azure/autorest.typescript/blob/main/.github/copilot-instructions.md" TargetMode="External"/><Relationship Id="rId1159" Type="http://schemas.openxmlformats.org/officeDocument/2006/relationships/hyperlink" Target="https://github.com/zwave-js/zwave-js/blob/master/.github/copilot-instructions.md" TargetMode="External"/><Relationship Id="rId1366" Type="http://schemas.openxmlformats.org/officeDocument/2006/relationships/hyperlink" Target="https://github.com/cablehead/xs/blob/main/AGENTS.md" TargetMode="External"/><Relationship Id="rId168" Type="http://schemas.openxmlformats.org/officeDocument/2006/relationships/hyperlink" Target="https://github.com/sybrew/the-seo-framework/blob/master/.github/copilot-instructions.md" TargetMode="External"/><Relationship Id="rId943" Type="http://schemas.openxmlformats.org/officeDocument/2006/relationships/hyperlink" Target="https://github.com/xlnfinance/xln/blob/main/CLAUDE.md" TargetMode="External"/><Relationship Id="rId1019" Type="http://schemas.openxmlformats.org/officeDocument/2006/relationships/hyperlink" Target="https://github.com/pytorch/pytorch/blob/main/AGENTS.md" TargetMode="External"/><Relationship Id="rId1573" Type="http://schemas.openxmlformats.org/officeDocument/2006/relationships/hyperlink" Target="https://github.com/home-assistant/frontend/blob/master/CLAUDE.md" TargetMode="External"/><Relationship Id="rId1780" Type="http://schemas.openxmlformats.org/officeDocument/2006/relationships/hyperlink" Target="https://github.com/colinhacks/zod/blob/main/CLAUDE.md" TargetMode="External"/><Relationship Id="rId1878" Type="http://schemas.openxmlformats.org/officeDocument/2006/relationships/hyperlink" Target="https://github.com/PrairieLearn/PrairieLearn/blob/master/AGENTS.md" TargetMode="External"/><Relationship Id="rId72" Type="http://schemas.openxmlformats.org/officeDocument/2006/relationships/hyperlink" Target="https://github.com/useautumn/autumn/blob/main/AGENTS.md" TargetMode="External"/><Relationship Id="rId375" Type="http://schemas.openxmlformats.org/officeDocument/2006/relationships/hyperlink" Target="https://github.com/PrairieLearn/PrairieLearn/blob/master/AGENTS.md" TargetMode="External"/><Relationship Id="rId582" Type="http://schemas.openxmlformats.org/officeDocument/2006/relationships/hyperlink" Target="https://github.com/CapSoftware/Cap/blob/main/AGENTS.md" TargetMode="External"/><Relationship Id="rId803" Type="http://schemas.openxmlformats.org/officeDocument/2006/relationships/hyperlink" Target="https://github.com/FastLED/FastLED/blob/master/CLAUDE.md" TargetMode="External"/><Relationship Id="rId1226" Type="http://schemas.openxmlformats.org/officeDocument/2006/relationships/hyperlink" Target="https://github.com/Comfy-Org/comfy-claude-prompt-library/blob/master/CLAUDE.md" TargetMode="External"/><Relationship Id="rId1433" Type="http://schemas.openxmlformats.org/officeDocument/2006/relationships/hyperlink" Target="https://github.com/wieslawsoltes/Dock/blob/master/AGENTS.md" TargetMode="External"/><Relationship Id="rId1640" Type="http://schemas.openxmlformats.org/officeDocument/2006/relationships/hyperlink" Target="https://github.com/xlnfinance/xln/blob/main/CLAUDE.md" TargetMode="External"/><Relationship Id="rId1738" Type="http://schemas.openxmlformats.org/officeDocument/2006/relationships/hyperlink" Target="https://github.com/SparkDevNetwork/Rock/blob/master/.github/copilot-instructions.md" TargetMode="External"/><Relationship Id="rId3" Type="http://schemas.openxmlformats.org/officeDocument/2006/relationships/hyperlink" Target="https://github.com/marin-community/marin/blob/main/AGENTS.md" TargetMode="External"/><Relationship Id="rId235" Type="http://schemas.openxmlformats.org/officeDocument/2006/relationships/hyperlink" Target="https://github.com/DestinyItemManager/DIM/blob/master/.github/copilot-instructions.md" TargetMode="External"/><Relationship Id="rId442" Type="http://schemas.openxmlformats.org/officeDocument/2006/relationships/hyperlink" Target="https://github.com/xlnfinance/xln/blob/main/CLAUDE.md" TargetMode="External"/><Relationship Id="rId887" Type="http://schemas.openxmlformats.org/officeDocument/2006/relationships/hyperlink" Target="https://github.com/pathintegral-institute/mcpm.sh/blob/main/CLAUDE.md" TargetMode="External"/><Relationship Id="rId1072" Type="http://schemas.openxmlformats.org/officeDocument/2006/relationships/hyperlink" Target="https://github.com/Azure/autorest.typescript/blob/main/.github/copilot-instructions.md" TargetMode="External"/><Relationship Id="rId1500" Type="http://schemas.openxmlformats.org/officeDocument/2006/relationships/hyperlink" Target="https://github.com/raycast/extensions/blob/main/.github/copilot-instructions.md" TargetMode="External"/><Relationship Id="rId302" Type="http://schemas.openxmlformats.org/officeDocument/2006/relationships/hyperlink" Target="https://github.com/compiler-explorer/compiler-explorer/blob/main/CLAUDE.md" TargetMode="External"/><Relationship Id="rId747" Type="http://schemas.openxmlformats.org/officeDocument/2006/relationships/hyperlink" Target="https://github.com/CapSoftware/Cap/blob/main/CLAUDE.md" TargetMode="External"/><Relationship Id="rId954" Type="http://schemas.openxmlformats.org/officeDocument/2006/relationships/hyperlink" Target="https://github.com/cablehead/xs/blob/main/AGENTS.md" TargetMode="External"/><Relationship Id="rId1377" Type="http://schemas.openxmlformats.org/officeDocument/2006/relationships/hyperlink" Target="https://github.com/hahwul/dalfox/blob/main/AGENTS.md" TargetMode="External"/><Relationship Id="rId1584" Type="http://schemas.openxmlformats.org/officeDocument/2006/relationships/hyperlink" Target="https://github.com/lollipopkit/flutter_server_box/blob/main/CLAUDE.md" TargetMode="External"/><Relationship Id="rId1791" Type="http://schemas.openxmlformats.org/officeDocument/2006/relationships/hyperlink" Target="https://github.com/cablehead/xs/blob/main/AGENTS.md" TargetMode="External"/><Relationship Id="rId1805" Type="http://schemas.openxmlformats.org/officeDocument/2006/relationships/hyperlink" Target="https://github.com/FastLED/FastLED/blob/master/CLAUDE.md" TargetMode="External"/><Relationship Id="rId83" Type="http://schemas.openxmlformats.org/officeDocument/2006/relationships/hyperlink" Target="https://github.com/wieslawsoltes/Dock/blob/master/AGENTS.md" TargetMode="External"/><Relationship Id="rId179" Type="http://schemas.openxmlformats.org/officeDocument/2006/relationships/hyperlink" Target="https://github.com/sybrew/the-seo-framework/blob/master/.github/copilot-instructions.md" TargetMode="External"/><Relationship Id="rId386" Type="http://schemas.openxmlformats.org/officeDocument/2006/relationships/hyperlink" Target="https://github.com/theosanderson/taxonium/blob/master/AGENTS.md" TargetMode="External"/><Relationship Id="rId593" Type="http://schemas.openxmlformats.org/officeDocument/2006/relationships/hyperlink" Target="https://github.com/luccahuguet/yazelix/blob/main/AGENTS.md" TargetMode="External"/><Relationship Id="rId607" Type="http://schemas.openxmlformats.org/officeDocument/2006/relationships/hyperlink" Target="https://github.com/public-ui/kolibri/blob/master/AGENTS.md" TargetMode="External"/><Relationship Id="rId814" Type="http://schemas.openxmlformats.org/officeDocument/2006/relationships/hyperlink" Target="https://github.com/geneontology/go-ontology/blob/master/CLAUDE.md" TargetMode="External"/><Relationship Id="rId1237" Type="http://schemas.openxmlformats.org/officeDocument/2006/relationships/hyperlink" Target="https://github.com/owid/etl/blob/master/CLAUDE.md" TargetMode="External"/><Relationship Id="rId1444" Type="http://schemas.openxmlformats.org/officeDocument/2006/relationships/hyperlink" Target="https://github.com/Agoric/agoric-sdk/blob/master/.github/copilot-instructions.md" TargetMode="External"/><Relationship Id="rId1651" Type="http://schemas.openxmlformats.org/officeDocument/2006/relationships/hyperlink" Target="https://github.com/commonwarexyz/monorepo/blob/main/AGENTS.md" TargetMode="External"/><Relationship Id="rId1889" Type="http://schemas.openxmlformats.org/officeDocument/2006/relationships/hyperlink" Target="https://github.com/microsoft/ApplicationInsights-JS/blob/main/.github/copilot-instructions.md" TargetMode="External"/><Relationship Id="rId246" Type="http://schemas.openxmlformats.org/officeDocument/2006/relationships/hyperlink" Target="https://github.com/marin-community/marin/blob/main/AGENTS.md" TargetMode="External"/><Relationship Id="rId453" Type="http://schemas.openxmlformats.org/officeDocument/2006/relationships/hyperlink" Target="https://github.com/ithacaxyz/account/blob/main/CLAUDE.md" TargetMode="External"/><Relationship Id="rId660" Type="http://schemas.openxmlformats.org/officeDocument/2006/relationships/hyperlink" Target="https://github.com/owid/owid-grapher/blob/master/.github/copilot-instructions.md" TargetMode="External"/><Relationship Id="rId898" Type="http://schemas.openxmlformats.org/officeDocument/2006/relationships/hyperlink" Target="https://github.com/proximafusion/vmecpp/blob/main/CLAUDE.md" TargetMode="External"/><Relationship Id="rId1083" Type="http://schemas.openxmlformats.org/officeDocument/2006/relationships/hyperlink" Target="https://github.com/christianhelle/apiclientcodegen/blob/master/.github/copilot-instructions.md" TargetMode="External"/><Relationship Id="rId1290" Type="http://schemas.openxmlformats.org/officeDocument/2006/relationships/hyperlink" Target="https://github.com/Comfy-Org/comfy-claude-prompt-library/blob/master/CLAUDE.md" TargetMode="External"/><Relationship Id="rId1304" Type="http://schemas.openxmlformats.org/officeDocument/2006/relationships/hyperlink" Target="https://github.com/Freika/dawarich/blob/master/CLAUDE.md" TargetMode="External"/><Relationship Id="rId1511" Type="http://schemas.openxmlformats.org/officeDocument/2006/relationships/hyperlink" Target="https://github.com/allenai/open-instruct/blob/main/CLAUDE.md" TargetMode="External"/><Relationship Id="rId1749" Type="http://schemas.openxmlformats.org/officeDocument/2006/relationships/hyperlink" Target="https://github.com/zwave-js/zwave-js-ui/blob/master/.github/copilot-instructions.md" TargetMode="External"/><Relationship Id="rId106" Type="http://schemas.openxmlformats.org/officeDocument/2006/relationships/hyperlink" Target="https://github.com/dotnet/maui/blob/main/.github/copilot-instructions.md" TargetMode="External"/><Relationship Id="rId313" Type="http://schemas.openxmlformats.org/officeDocument/2006/relationships/hyperlink" Target="https://github.com/evmts/tevm-monorepo/blob/main/CLAUDE.md" TargetMode="External"/><Relationship Id="rId758" Type="http://schemas.openxmlformats.org/officeDocument/2006/relationships/hyperlink" Target="https://github.com/cloudposse/atmos/blob/main/CLAUDE.md" TargetMode="External"/><Relationship Id="rId965" Type="http://schemas.openxmlformats.org/officeDocument/2006/relationships/hyperlink" Target="https://github.com/catatsuy/private-isu/blob/master/AGENTS.md" TargetMode="External"/><Relationship Id="rId1150" Type="http://schemas.openxmlformats.org/officeDocument/2006/relationships/hyperlink" Target="https://github.com/SparkDevNetwork/Rock/blob/master/.github/copilot-instructions.md" TargetMode="External"/><Relationship Id="rId1388" Type="http://schemas.openxmlformats.org/officeDocument/2006/relationships/hyperlink" Target="https://github.com/langchain-ai/langchain/blob/master/AGENTS.md" TargetMode="External"/><Relationship Id="rId1595" Type="http://schemas.openxmlformats.org/officeDocument/2006/relationships/hyperlink" Target="https://github.com/open-metadata/OpenMetadata/blob/main/CLAUDE.md" TargetMode="External"/><Relationship Id="rId1609" Type="http://schemas.openxmlformats.org/officeDocument/2006/relationships/hyperlink" Target="https://github.com/owid/etl/blob/master/CLAUDE.md" TargetMode="External"/><Relationship Id="rId1816" Type="http://schemas.openxmlformats.org/officeDocument/2006/relationships/hyperlink" Target="https://github.com/public-ui/kolibri/blob/master/AGENTS.md" TargetMode="External"/><Relationship Id="rId10" Type="http://schemas.openxmlformats.org/officeDocument/2006/relationships/hyperlink" Target="https://github.com/openai/openai-agents-python/blob/main/AGENTS.md" TargetMode="External"/><Relationship Id="rId94" Type="http://schemas.openxmlformats.org/officeDocument/2006/relationships/hyperlink" Target="https://github.com/Azure/azure-functions-host/blob/master/.github/copilot-instructions.md" TargetMode="External"/><Relationship Id="rId397" Type="http://schemas.openxmlformats.org/officeDocument/2006/relationships/hyperlink" Target="https://github.com/dotnet/dotnet-api-docs/blob/main/.github/copilot-instructions.md" TargetMode="External"/><Relationship Id="rId520" Type="http://schemas.openxmlformats.org/officeDocument/2006/relationships/hyperlink" Target="https://github.com/kern/filepizza/blob/main/CLAUDE.md" TargetMode="External"/><Relationship Id="rId618" Type="http://schemas.openxmlformats.org/officeDocument/2006/relationships/hyperlink" Target="https://github.com/web-infra-dev/rspack/blob/main/AGENTS.md" TargetMode="External"/><Relationship Id="rId825" Type="http://schemas.openxmlformats.org/officeDocument/2006/relationships/hyperlink" Target="https://github.com/getsentry/sentry-javascript/blob/master/CLAUDE.md" TargetMode="External"/><Relationship Id="rId1248" Type="http://schemas.openxmlformats.org/officeDocument/2006/relationships/hyperlink" Target="https://github.com/geneontology/go-ontology/blob/master/.github/copilot-instructions.md" TargetMode="External"/><Relationship Id="rId1455" Type="http://schemas.openxmlformats.org/officeDocument/2006/relationships/hyperlink" Target="https://github.com/mixpanel/mixpanel-android/blob/master/.github/copilot-instructions.md" TargetMode="External"/><Relationship Id="rId1662" Type="http://schemas.openxmlformats.org/officeDocument/2006/relationships/hyperlink" Target="https://github.com/julep-ai/julep/blob/main/AGENTS.md" TargetMode="External"/><Relationship Id="rId257" Type="http://schemas.openxmlformats.org/officeDocument/2006/relationships/hyperlink" Target="https://github.com/langfuse/langfuse/blob/main/AGENTS.md" TargetMode="External"/><Relationship Id="rId464" Type="http://schemas.openxmlformats.org/officeDocument/2006/relationships/hyperlink" Target="https://github.com/PrairieLearn/PrairieLearn/blob/master/AGENTS.md" TargetMode="External"/><Relationship Id="rId1010" Type="http://schemas.openxmlformats.org/officeDocument/2006/relationships/hyperlink" Target="https://github.com/pulumi/docs/blob/master/AGENTS.md" TargetMode="External"/><Relationship Id="rId1094" Type="http://schemas.openxmlformats.org/officeDocument/2006/relationships/hyperlink" Target="https://github.com/dotnet/runtime/blob/main/.github/copilot-instructions.md" TargetMode="External"/><Relationship Id="rId1108" Type="http://schemas.openxmlformats.org/officeDocument/2006/relationships/hyperlink" Target="https://github.com/geneontology/go-ontology/blob/master/.github/copilot-instructions.md" TargetMode="External"/><Relationship Id="rId1315" Type="http://schemas.openxmlformats.org/officeDocument/2006/relationships/hyperlink" Target="https://github.com/ithacaxyz/account/blob/main/CLAUDE.md" TargetMode="External"/><Relationship Id="rId117" Type="http://schemas.openxmlformats.org/officeDocument/2006/relationships/hyperlink" Target="https://github.com/dotnet/sdk/blob/main/.github/copilot-instructions.md" TargetMode="External"/><Relationship Id="rId671" Type="http://schemas.openxmlformats.org/officeDocument/2006/relationships/hyperlink" Target="https://github.com/zwave-js/zwave-js-ui/blob/master/.github/copilot-instructions.md" TargetMode="External"/><Relationship Id="rId769" Type="http://schemas.openxmlformats.org/officeDocument/2006/relationships/hyperlink" Target="https://github.com/cloudposse/atmos/blob/main/CLAUDE.md" TargetMode="External"/><Relationship Id="rId976" Type="http://schemas.openxmlformats.org/officeDocument/2006/relationships/hyperlink" Target="https://github.com/logancyang/obsidian-copilot/blob/master/AGENTS.md" TargetMode="External"/><Relationship Id="rId1399" Type="http://schemas.openxmlformats.org/officeDocument/2006/relationships/hyperlink" Target="https://github.com/marin-community/marin/blob/main/AGENTS.md" TargetMode="External"/><Relationship Id="rId324" Type="http://schemas.openxmlformats.org/officeDocument/2006/relationships/hyperlink" Target="https://github.com/liam-hq/liam/blob/main/CLAUDE.md" TargetMode="External"/><Relationship Id="rId531" Type="http://schemas.openxmlformats.org/officeDocument/2006/relationships/hyperlink" Target="https://github.com/open-metadata/OpenMetadata/blob/main/CLAUDE.md" TargetMode="External"/><Relationship Id="rId629" Type="http://schemas.openxmlformats.org/officeDocument/2006/relationships/hyperlink" Target="https://github.com/dotnet/dotnet-api-docs/blob/main/.github/copilot-instructions.md" TargetMode="External"/><Relationship Id="rId1161" Type="http://schemas.openxmlformats.org/officeDocument/2006/relationships/hyperlink" Target="https://github.com/zwave-js/zwave-js-ui/blob/master/.github/copilot-instructions.md" TargetMode="External"/><Relationship Id="rId1259" Type="http://schemas.openxmlformats.org/officeDocument/2006/relationships/hyperlink" Target="https://github.com/owncast/owncast/blob/master/.github/copilot-instructions.md" TargetMode="External"/><Relationship Id="rId1466" Type="http://schemas.openxmlformats.org/officeDocument/2006/relationships/hyperlink" Target="https://github.com/stepfunc/dnp3/blob/main/CLAUDE.md" TargetMode="External"/><Relationship Id="rId836" Type="http://schemas.openxmlformats.org/officeDocument/2006/relationships/hyperlink" Target="https://github.com/home-assistant/frontend/blob/master/CLAUDE.md" TargetMode="External"/><Relationship Id="rId1021" Type="http://schemas.openxmlformats.org/officeDocument/2006/relationships/hyperlink" Target="https://github.com/rustfs/rustfs/blob/main/AGENTS.md" TargetMode="External"/><Relationship Id="rId1119" Type="http://schemas.openxmlformats.org/officeDocument/2006/relationships/hyperlink" Target="https://github.com/james-gould/azure-keyvault-emulator/blob/master/.github/copilot-instructions.md" TargetMode="External"/><Relationship Id="rId1673" Type="http://schemas.openxmlformats.org/officeDocument/2006/relationships/hyperlink" Target="https://github.com/luccahuguet/yazelix/blob/main/AGENTS.md" TargetMode="External"/><Relationship Id="rId1880" Type="http://schemas.openxmlformats.org/officeDocument/2006/relationships/hyperlink" Target="https://github.com/seasonedcc/remix-forms/blob/main/AGENTS.md" TargetMode="External"/><Relationship Id="rId903" Type="http://schemas.openxmlformats.org/officeDocument/2006/relationships/hyperlink" Target="https://github.com/RchGrav/claudebox/blob/main/CLAUDE.md" TargetMode="External"/><Relationship Id="rId1326" Type="http://schemas.openxmlformats.org/officeDocument/2006/relationships/hyperlink" Target="https://github.com/module-federation/core/blob/main/CLAUDE.md" TargetMode="External"/><Relationship Id="rId1533" Type="http://schemas.openxmlformats.org/officeDocument/2006/relationships/hyperlink" Target="https://github.com/colinhacks/zod/blob/main/CLAUDE.md" TargetMode="External"/><Relationship Id="rId1740" Type="http://schemas.openxmlformats.org/officeDocument/2006/relationships/hyperlink" Target="https://github.com/sybrew/the-seo-framework/blob/master/.github/copilot-instructions.md" TargetMode="External"/><Relationship Id="rId32" Type="http://schemas.openxmlformats.org/officeDocument/2006/relationships/hyperlink" Target="https://github.com/public-ui/kolibri/blob/master/AGENTS.md" TargetMode="External"/><Relationship Id="rId1600" Type="http://schemas.openxmlformats.org/officeDocument/2006/relationships/hyperlink" Target="https://github.com/open-metadata/OpenMetadata/blob/main/CLAUDE.md" TargetMode="External"/><Relationship Id="rId1838" Type="http://schemas.openxmlformats.org/officeDocument/2006/relationships/hyperlink" Target="https://github.com/abh/ntppool/blob/main/CLAUDE.md" TargetMode="External"/><Relationship Id="rId181" Type="http://schemas.openxmlformats.org/officeDocument/2006/relationships/hyperlink" Target="https://github.com/vczh-libraries/GacUI/blob/master/.github/copilot-instructions.md" TargetMode="External"/><Relationship Id="rId1905" Type="http://schemas.openxmlformats.org/officeDocument/2006/relationships/hyperlink" Target="https://github.com/colinhacks/zod/blob/main/CLAUDE.md" TargetMode="External"/><Relationship Id="rId279" Type="http://schemas.openxmlformats.org/officeDocument/2006/relationships/hyperlink" Target="https://github.com/browser-use/browser-use/blob/main/CLAUDE.md" TargetMode="External"/><Relationship Id="rId486" Type="http://schemas.openxmlformats.org/officeDocument/2006/relationships/hyperlink" Target="https://github.com/browser-use/browser-use/blob/main/CLAUDE.md" TargetMode="External"/><Relationship Id="rId693" Type="http://schemas.openxmlformats.org/officeDocument/2006/relationships/hyperlink" Target="https://github.com/Azure-Samples/serverless-chat-langchainjs/blob/main/AGENTS.md" TargetMode="External"/><Relationship Id="rId139" Type="http://schemas.openxmlformats.org/officeDocument/2006/relationships/hyperlink" Target="https://github.com/NG-ZORRO/ng-zorro-antd/blob/master/.github/copilot-instructions.md" TargetMode="External"/><Relationship Id="rId346" Type="http://schemas.openxmlformats.org/officeDocument/2006/relationships/hyperlink" Target="https://github.com/safety-research/safety-tooling/blob/main/CLAUDE.md" TargetMode="External"/><Relationship Id="rId553" Type="http://schemas.openxmlformats.org/officeDocument/2006/relationships/hyperlink" Target="https://github.com/saleor/apps/blob/main/CLAUDE.md" TargetMode="External"/><Relationship Id="rId760" Type="http://schemas.openxmlformats.org/officeDocument/2006/relationships/hyperlink" Target="https://github.com/cloudposse/atmos/blob/main/CLAUDE.md" TargetMode="External"/><Relationship Id="rId998" Type="http://schemas.openxmlformats.org/officeDocument/2006/relationships/hyperlink" Target="https://github.com/Pipelex/pipelex/blob/main/AGENTS.md" TargetMode="External"/><Relationship Id="rId1183" Type="http://schemas.openxmlformats.org/officeDocument/2006/relationships/hyperlink" Target="https://github.com/PrairieLearn/PrairieLearn/blob/master/AGENTS.md" TargetMode="External"/><Relationship Id="rId1390" Type="http://schemas.openxmlformats.org/officeDocument/2006/relationships/hyperlink" Target="https://github.com/langchain-ai/langchain/blob/master/AGENTS.md" TargetMode="External"/><Relationship Id="rId206" Type="http://schemas.openxmlformats.org/officeDocument/2006/relationships/hyperlink" Target="https://github.com/ajanraj/OpenChat/blob/main/CLAUDE.md" TargetMode="External"/><Relationship Id="rId413" Type="http://schemas.openxmlformats.org/officeDocument/2006/relationships/hyperlink" Target="https://github.com/NuGet/NuGetGallery/blob/main/.github/copilot-instructions.md" TargetMode="External"/><Relationship Id="rId858" Type="http://schemas.openxmlformats.org/officeDocument/2006/relationships/hyperlink" Target="https://github.com/nrwl/nx/blob/master/CLAUDE.md" TargetMode="External"/><Relationship Id="rId1043" Type="http://schemas.openxmlformats.org/officeDocument/2006/relationships/hyperlink" Target="https://github.com/alandtse/alexa_media_player/blob/master/.github/copilot-instructions.md" TargetMode="External"/><Relationship Id="rId1488" Type="http://schemas.openxmlformats.org/officeDocument/2006/relationships/hyperlink" Target="https://github.com/python-cachier/cachier/blob/master/AGENTS.md" TargetMode="External"/><Relationship Id="rId1695" Type="http://schemas.openxmlformats.org/officeDocument/2006/relationships/hyperlink" Target="https://github.com/wandb/weave/blob/master/AGENTS.md" TargetMode="External"/><Relationship Id="rId620" Type="http://schemas.openxmlformats.org/officeDocument/2006/relationships/hyperlink" Target="https://github.com/wieslawsoltes/Dock/blob/master/AGENTS.md" TargetMode="External"/><Relationship Id="rId718" Type="http://schemas.openxmlformats.org/officeDocument/2006/relationships/hyperlink" Target="https://github.com/abh/ntppool/blob/main/CLAUDE.md" TargetMode="External"/><Relationship Id="rId925" Type="http://schemas.openxmlformats.org/officeDocument/2006/relationships/hyperlink" Target="https://github.com/theopenco/llmgateway/blob/main/CLAUDE.md" TargetMode="External"/><Relationship Id="rId1250" Type="http://schemas.openxmlformats.org/officeDocument/2006/relationships/hyperlink" Target="https://github.com/owncast/owncast/blob/master/.github/copilot-instructions.md" TargetMode="External"/><Relationship Id="rId1348" Type="http://schemas.openxmlformats.org/officeDocument/2006/relationships/hyperlink" Target="https://github.com/rocket-admin/rocketadmin/blob/main/CLAUDE.md" TargetMode="External"/><Relationship Id="rId1555" Type="http://schemas.openxmlformats.org/officeDocument/2006/relationships/hyperlink" Target="https://github.com/FastLED/FastLED/blob/master/CLAUDE.md" TargetMode="External"/><Relationship Id="rId1762" Type="http://schemas.openxmlformats.org/officeDocument/2006/relationships/hyperlink" Target="https://github.com/CapSoftware/Cap/blob/main/CLAUDE.md" TargetMode="External"/><Relationship Id="rId1110" Type="http://schemas.openxmlformats.org/officeDocument/2006/relationships/hyperlink" Target="https://github.com/geneontology/go-ontology/blob/master/.github/copilot-instructions.md" TargetMode="External"/><Relationship Id="rId1208" Type="http://schemas.openxmlformats.org/officeDocument/2006/relationships/hyperlink" Target="https://github.com/CapSoftware/Cap/blob/main/CLAUDE.md" TargetMode="External"/><Relationship Id="rId1415" Type="http://schemas.openxmlformats.org/officeDocument/2006/relationships/hyperlink" Target="https://github.com/Pipelex/pipelex/blob/main/AGENTS.md" TargetMode="External"/><Relationship Id="rId54" Type="http://schemas.openxmlformats.org/officeDocument/2006/relationships/hyperlink" Target="https://github.com/RSSNext/Folo/blob/main/AGENTS.md" TargetMode="External"/><Relationship Id="rId1622" Type="http://schemas.openxmlformats.org/officeDocument/2006/relationships/hyperlink" Target="https://github.com/twentyhq/twenty/blob/main/CLAUDE.md" TargetMode="External"/><Relationship Id="rId1927" Type="http://schemas.openxmlformats.org/officeDocument/2006/relationships/hyperlink" Target="https://github.com/geneontology/go-ontology/blob/master/CLAUDE.md" TargetMode="External"/><Relationship Id="rId270" Type="http://schemas.openxmlformats.org/officeDocument/2006/relationships/hyperlink" Target="https://github.com/alchemiststudiosDOTai/tunacode/blob/master/AGENTS.md" TargetMode="External"/><Relationship Id="rId130" Type="http://schemas.openxmlformats.org/officeDocument/2006/relationships/hyperlink" Target="https://github.com/microsoft/simplechat/blob/main/.github/copilot-instructions.md" TargetMode="External"/><Relationship Id="rId368" Type="http://schemas.openxmlformats.org/officeDocument/2006/relationships/hyperlink" Target="https://github.com/Pipelex/pipelex/blob/main/AGENTS.md" TargetMode="External"/><Relationship Id="rId575" Type="http://schemas.openxmlformats.org/officeDocument/2006/relationships/hyperlink" Target="https://github.com/twentyhq/twenty/blob/main/CLAUDE.md" TargetMode="External"/><Relationship Id="rId782" Type="http://schemas.openxmlformats.org/officeDocument/2006/relationships/hyperlink" Target="https://github.com/compiler-explorer/compiler-explorer/blob/main/CLAUDE.md" TargetMode="External"/><Relationship Id="rId228" Type="http://schemas.openxmlformats.org/officeDocument/2006/relationships/hyperlink" Target="https://github.com/netdata/netdata/blob/master/CLAUDE.md" TargetMode="External"/><Relationship Id="rId435" Type="http://schemas.openxmlformats.org/officeDocument/2006/relationships/hyperlink" Target="https://github.com/metacraft-labs/codetracer/blob/main/AGENTS.md" TargetMode="External"/><Relationship Id="rId642" Type="http://schemas.openxmlformats.org/officeDocument/2006/relationships/hyperlink" Target="https://github.com/microsoft/ApplicationInsights-JS/blob/main/.github/copilot-instructions.md" TargetMode="External"/><Relationship Id="rId1065" Type="http://schemas.openxmlformats.org/officeDocument/2006/relationships/hyperlink" Target="https://github.com/Azure/autorest.typescript/blob/main/.github/copilot-instructions.md" TargetMode="External"/><Relationship Id="rId1272" Type="http://schemas.openxmlformats.org/officeDocument/2006/relationships/hyperlink" Target="https://github.com/wvlet/wvlet/blob/main/CLAUDE.md" TargetMode="External"/><Relationship Id="rId502" Type="http://schemas.openxmlformats.org/officeDocument/2006/relationships/hyperlink" Target="https://github.com/dailydotdev/apps/blob/main/CLAUDE.md" TargetMode="External"/><Relationship Id="rId947" Type="http://schemas.openxmlformats.org/officeDocument/2006/relationships/hyperlink" Target="https://github.com/zenml-io/zenml/blob/main/CLAUDE.md" TargetMode="External"/><Relationship Id="rId1132" Type="http://schemas.openxmlformats.org/officeDocument/2006/relationships/hyperlink" Target="https://github.com/mixpanel/mixpanel-android/blob/master/.github/copilot-instructions.md" TargetMode="External"/><Relationship Id="rId1577" Type="http://schemas.openxmlformats.org/officeDocument/2006/relationships/hyperlink" Target="https://github.com/kubetail-org/kubetail/blob/main/CLAUDE.md" TargetMode="External"/><Relationship Id="rId1784" Type="http://schemas.openxmlformats.org/officeDocument/2006/relationships/hyperlink" Target="https://github.com/Pipelex/pipelex/blob/main/CLAUDE.md" TargetMode="External"/><Relationship Id="rId76" Type="http://schemas.openxmlformats.org/officeDocument/2006/relationships/hyperlink" Target="https://github.com/web-infra-dev/rspack/blob/main/AGENTS.md" TargetMode="External"/><Relationship Id="rId807" Type="http://schemas.openxmlformats.org/officeDocument/2006/relationships/hyperlink" Target="https://github.com/FastLED/FastLED/blob/master/CLAUDE.md" TargetMode="External"/><Relationship Id="rId1437" Type="http://schemas.openxmlformats.org/officeDocument/2006/relationships/hyperlink" Target="https://github.com/ydb-platform/ydb/blob/main/AGENTS.md" TargetMode="External"/><Relationship Id="rId1644" Type="http://schemas.openxmlformats.org/officeDocument/2006/relationships/hyperlink" Target="https://github.com/bionic-gpt/bionic-gpt/blob/main/AGENTS.md" TargetMode="External"/><Relationship Id="rId1851" Type="http://schemas.openxmlformats.org/officeDocument/2006/relationships/hyperlink" Target="https://github.com/dailydotdev/apps/blob/main/CLAUDE.md" TargetMode="External"/><Relationship Id="rId1504" Type="http://schemas.openxmlformats.org/officeDocument/2006/relationships/hyperlink" Target="https://github.com/abh/ntppool/blob/main/CLAUDE.md" TargetMode="External"/><Relationship Id="rId1711" Type="http://schemas.openxmlformats.org/officeDocument/2006/relationships/hyperlink" Target="https://github.com/dotnet/sdk/blob/main/.github/copilot-instructions.md" TargetMode="External"/><Relationship Id="rId292" Type="http://schemas.openxmlformats.org/officeDocument/2006/relationships/hyperlink" Target="https://github.com/colinhacks/zod/blob/main/CLAUDE.md" TargetMode="External"/><Relationship Id="rId1809" Type="http://schemas.openxmlformats.org/officeDocument/2006/relationships/hyperlink" Target="https://github.com/modelcontextprotocol/typescript-sdk/blob/main/CLAUDE.md" TargetMode="External"/><Relationship Id="rId597" Type="http://schemas.openxmlformats.org/officeDocument/2006/relationships/hyperlink" Target="https://github.com/luccahuguet/yazelix/blob/main/AGENTS.md" TargetMode="External"/><Relationship Id="rId152" Type="http://schemas.openxmlformats.org/officeDocument/2006/relationships/hyperlink" Target="https://github.com/sarchlab/akita/blob/main/.github/copilot-instructions.md" TargetMode="External"/><Relationship Id="rId457" Type="http://schemas.openxmlformats.org/officeDocument/2006/relationships/hyperlink" Target="https://github.com/bbc/simorgh/blob/master/.github/copilot-instructions.md" TargetMode="External"/><Relationship Id="rId1087" Type="http://schemas.openxmlformats.org/officeDocument/2006/relationships/hyperlink" Target="https://github.com/dotnet/aspnetcore/blob/main/.github/copilot-instructions.md" TargetMode="External"/><Relationship Id="rId1294" Type="http://schemas.openxmlformats.org/officeDocument/2006/relationships/hyperlink" Target="https://github.com/compiler-explorer/infra/blob/main/CLAUDE.md" TargetMode="External"/><Relationship Id="rId664" Type="http://schemas.openxmlformats.org/officeDocument/2006/relationships/hyperlink" Target="https://github.com/saleor/apps/blob/main/.github/copilot-instructions.md" TargetMode="External"/><Relationship Id="rId871" Type="http://schemas.openxmlformats.org/officeDocument/2006/relationships/hyperlink" Target="https://github.com/open-metadata/OpenMetadata/blob/main/CLAUDE.md" TargetMode="External"/><Relationship Id="rId969" Type="http://schemas.openxmlformats.org/officeDocument/2006/relationships/hyperlink" Target="https://github.com/elamperti/OpenWebScrobbler/blob/main/AGENTS.md" TargetMode="External"/><Relationship Id="rId1599" Type="http://schemas.openxmlformats.org/officeDocument/2006/relationships/hyperlink" Target="https://github.com/open-metadata/OpenMetadata/blob/main/CLAUDE.md" TargetMode="External"/><Relationship Id="rId317" Type="http://schemas.openxmlformats.org/officeDocument/2006/relationships/hyperlink" Target="https://github.com/home-assistant/frontend/blob/master/CLAUDE.md" TargetMode="External"/><Relationship Id="rId524" Type="http://schemas.openxmlformats.org/officeDocument/2006/relationships/hyperlink" Target="https://github.com/netdata/netdata/blob/master/CLAUDE.md" TargetMode="External"/><Relationship Id="rId731" Type="http://schemas.openxmlformats.org/officeDocument/2006/relationships/hyperlink" Target="https://github.com/anyproto/anytype-swift/blob/main/CLAUDE.md" TargetMode="External"/><Relationship Id="rId1154" Type="http://schemas.openxmlformats.org/officeDocument/2006/relationships/hyperlink" Target="https://github.com/sybrew/the-seo-framework/blob/master/.github/copilot-instructions.md" TargetMode="External"/><Relationship Id="rId1361" Type="http://schemas.openxmlformats.org/officeDocument/2006/relationships/hyperlink" Target="https://github.com/zenml-io/zenml/blob/main/CLAUDE.md" TargetMode="External"/><Relationship Id="rId1459" Type="http://schemas.openxmlformats.org/officeDocument/2006/relationships/hyperlink" Target="https://github.com/Significant-Gravitas/AutoGPT/blob/master/.github/copilot-instructions.md" TargetMode="External"/><Relationship Id="rId98" Type="http://schemas.openxmlformats.org/officeDocument/2006/relationships/hyperlink" Target="https://github.com/Azure/azure-sdk-for-net/blob/main/.github/copilot-instructions.md" TargetMode="External"/><Relationship Id="rId829" Type="http://schemas.openxmlformats.org/officeDocument/2006/relationships/hyperlink" Target="https://github.com/getsentry/sentry-javascript/blob/master/CLAUDE.md" TargetMode="External"/><Relationship Id="rId1014" Type="http://schemas.openxmlformats.org/officeDocument/2006/relationships/hyperlink" Target="https://github.com/python-cachier/cachier/blob/master/AGENTS.md" TargetMode="External"/><Relationship Id="rId1221" Type="http://schemas.openxmlformats.org/officeDocument/2006/relationships/hyperlink" Target="https://github.com/pannous/wasp/blob/main/CLAUDE.md" TargetMode="External"/><Relationship Id="rId1666" Type="http://schemas.openxmlformats.org/officeDocument/2006/relationships/hyperlink" Target="https://github.com/langchain-ai/langchain/blob/master/AGENTS.md" TargetMode="External"/><Relationship Id="rId1873" Type="http://schemas.openxmlformats.org/officeDocument/2006/relationships/hyperlink" Target="https://github.com/julep-ai/julep/blob/main/AGENTS.md" TargetMode="External"/><Relationship Id="rId1319" Type="http://schemas.openxmlformats.org/officeDocument/2006/relationships/hyperlink" Target="https://github.com/langchain-ai/langchain/blob/master/CLAUDE.md" TargetMode="External"/><Relationship Id="rId1526" Type="http://schemas.openxmlformats.org/officeDocument/2006/relationships/hyperlink" Target="https://github.com/cloudposse/atmos/blob/main/CLAUDE.md" TargetMode="External"/><Relationship Id="rId1733" Type="http://schemas.openxmlformats.org/officeDocument/2006/relationships/hyperlink" Target="https://github.com/owncast/owncast/blob/master/.github/copilot-instructions.md" TargetMode="External"/><Relationship Id="rId1940" Type="http://schemas.openxmlformats.org/officeDocument/2006/relationships/hyperlink" Target="https://github.com/luccahuguet/yazelix/blob/main/AGENTS.md" TargetMode="External"/><Relationship Id="rId25" Type="http://schemas.openxmlformats.org/officeDocument/2006/relationships/hyperlink" Target="https://github.com/public-ui/kolibri/blob/master/AGENTS.md" TargetMode="External"/><Relationship Id="rId1800" Type="http://schemas.openxmlformats.org/officeDocument/2006/relationships/hyperlink" Target="https://github.com/geneontology/go-ontology/blob/master/CLAUDE.md" TargetMode="External"/><Relationship Id="rId174" Type="http://schemas.openxmlformats.org/officeDocument/2006/relationships/hyperlink" Target="https://github.com/sybrew/the-seo-framework/blob/master/.github/copilot-instructions.md" TargetMode="External"/><Relationship Id="rId381" Type="http://schemas.openxmlformats.org/officeDocument/2006/relationships/hyperlink" Target="https://github.com/pytorch/pytorch/blob/main/AGENTS.md" TargetMode="External"/><Relationship Id="rId241" Type="http://schemas.openxmlformats.org/officeDocument/2006/relationships/hyperlink" Target="https://github.com/Comfy-Org/comfy-claude-prompt-library/blob/master/CLAUDE.md" TargetMode="External"/><Relationship Id="rId479" Type="http://schemas.openxmlformats.org/officeDocument/2006/relationships/hyperlink" Target="https://github.com/angular-eslint/angular-eslint/blob/main/CLAUDE.md" TargetMode="External"/><Relationship Id="rId686" Type="http://schemas.openxmlformats.org/officeDocument/2006/relationships/hyperlink" Target="https://github.com/Expensify/App/blob/main/CLAUDE.md" TargetMode="External"/><Relationship Id="rId893" Type="http://schemas.openxmlformats.org/officeDocument/2006/relationships/hyperlink" Target="https://github.com/Pipelex/pipelex/blob/main/CLAUDE.md" TargetMode="External"/><Relationship Id="rId339" Type="http://schemas.openxmlformats.org/officeDocument/2006/relationships/hyperlink" Target="https://github.com/Pipelex/pipelex/blob/main/CLAUDE.md" TargetMode="External"/><Relationship Id="rId546" Type="http://schemas.openxmlformats.org/officeDocument/2006/relationships/hyperlink" Target="https://github.com/PrefectHQ/marvin/blob/main/CLAUDE.md" TargetMode="External"/><Relationship Id="rId753" Type="http://schemas.openxmlformats.org/officeDocument/2006/relationships/hyperlink" Target="https://github.com/cloudposse/atmos/blob/main/CLAUDE.md" TargetMode="External"/><Relationship Id="rId1176" Type="http://schemas.openxmlformats.org/officeDocument/2006/relationships/hyperlink" Target="https://github.com/wandb/weave/blob/master/AGENTS.md" TargetMode="External"/><Relationship Id="rId1383" Type="http://schemas.openxmlformats.org/officeDocument/2006/relationships/hyperlink" Target="https://github.com/janbjorge/pgqueuer/blob/main/AGENTS.md" TargetMode="External"/><Relationship Id="rId101" Type="http://schemas.openxmlformats.org/officeDocument/2006/relationships/hyperlink" Target="https://github.com/Cysharp/MagicOnion/blob/main/.github/copilot-instructions.md" TargetMode="External"/><Relationship Id="rId406" Type="http://schemas.openxmlformats.org/officeDocument/2006/relationships/hyperlink" Target="https://github.com/geneontology/go-ontology/blob/master/.github/copilot-instructions.md" TargetMode="External"/><Relationship Id="rId960" Type="http://schemas.openxmlformats.org/officeDocument/2006/relationships/hyperlink" Target="https://github.com/carverauto/serviceradar/blob/main/AGENTS.md" TargetMode="External"/><Relationship Id="rId1036" Type="http://schemas.openxmlformats.org/officeDocument/2006/relationships/hyperlink" Target="https://github.com/wieslawsoltes/Dock/blob/master/AGENTS.md" TargetMode="External"/><Relationship Id="rId1243" Type="http://schemas.openxmlformats.org/officeDocument/2006/relationships/hyperlink" Target="https://github.com/owid/etl/blob/master/AGENTS.md" TargetMode="External"/><Relationship Id="rId1590" Type="http://schemas.openxmlformats.org/officeDocument/2006/relationships/hyperlink" Target="https://github.com/module-federation/core/blob/main/CLAUDE.md" TargetMode="External"/><Relationship Id="rId1688" Type="http://schemas.openxmlformats.org/officeDocument/2006/relationships/hyperlink" Target="https://github.com/proximafusion/vmecpp/blob/main/AGENTS.md" TargetMode="External"/><Relationship Id="rId1895" Type="http://schemas.openxmlformats.org/officeDocument/2006/relationships/hyperlink" Target="https://github.com/Skyscanner/backpack-ios/blob/main/.github/copilot-instructions.md" TargetMode="External"/><Relationship Id="rId613" Type="http://schemas.openxmlformats.org/officeDocument/2006/relationships/hyperlink" Target="https://github.com/stack-auth/stack-auth/blob/main/AGENTS.md" TargetMode="External"/><Relationship Id="rId820" Type="http://schemas.openxmlformats.org/officeDocument/2006/relationships/hyperlink" Target="https://github.com/geneontology/go-ontology/blob/master/CLAUDE.md" TargetMode="External"/><Relationship Id="rId918" Type="http://schemas.openxmlformats.org/officeDocument/2006/relationships/hyperlink" Target="https://github.com/Southclaws/storyden/blob/main/CLAUDE.md" TargetMode="External"/><Relationship Id="rId1450" Type="http://schemas.openxmlformats.org/officeDocument/2006/relationships/hyperlink" Target="https://github.com/friendsofhyperf/components/blob/main/.github/copilot-instructions.md" TargetMode="External"/><Relationship Id="rId1548" Type="http://schemas.openxmlformats.org/officeDocument/2006/relationships/hyperlink" Target="https://github.com/dropseed/plain/blob/main/CLAUDE.md" TargetMode="External"/><Relationship Id="rId1755" Type="http://schemas.openxmlformats.org/officeDocument/2006/relationships/hyperlink" Target="https://github.com/PrairieLearn/PrairieLearn/blob/master/AGENTS.md" TargetMode="External"/><Relationship Id="rId1103" Type="http://schemas.openxmlformats.org/officeDocument/2006/relationships/hyperlink" Target="https://github.com/geneontology/go-ontology/blob/master/.github/copilot-instructions.md" TargetMode="External"/><Relationship Id="rId1310" Type="http://schemas.openxmlformats.org/officeDocument/2006/relationships/hyperlink" Target="https://github.com/home-assistant/frontend/blob/master/CLAUDE.md" TargetMode="External"/><Relationship Id="rId1408" Type="http://schemas.openxmlformats.org/officeDocument/2006/relationships/hyperlink" Target="https://github.com/microsoft/mcp-dotnet-samples/blob/main/AGENTS.md" TargetMode="External"/><Relationship Id="rId47" Type="http://schemas.openxmlformats.org/officeDocument/2006/relationships/hyperlink" Target="https://github.com/Rello/analytics/blob/master/AGENTS.md" TargetMode="External"/><Relationship Id="rId1615" Type="http://schemas.openxmlformats.org/officeDocument/2006/relationships/hyperlink" Target="https://github.com/proximafusion/vmecpp/blob/main/CLAUDE.md" TargetMode="External"/><Relationship Id="rId1822" Type="http://schemas.openxmlformats.org/officeDocument/2006/relationships/hyperlink" Target="https://github.com/Azure/azure-functions-host/blob/master/.github/copilot-instructions.md" TargetMode="External"/><Relationship Id="rId196" Type="http://schemas.openxmlformats.org/officeDocument/2006/relationships/hyperlink" Target="https://github.com/compiler-explorer/infra/blob/main/CLAUDE.md" TargetMode="External"/><Relationship Id="rId263" Type="http://schemas.openxmlformats.org/officeDocument/2006/relationships/hyperlink" Target="https://github.com/sybrew/the-seo-framework/blob/master/.github/copilot-instructions.md" TargetMode="External"/><Relationship Id="rId470" Type="http://schemas.openxmlformats.org/officeDocument/2006/relationships/hyperlink" Target="https://github.com/OneKeyHQ/app-monorepo/blob/master/CLAUDE.md" TargetMode="External"/><Relationship Id="rId123" Type="http://schemas.openxmlformats.org/officeDocument/2006/relationships/hyperlink" Target="https://github.com/humanwhocodes/crosspost/blob/main/.github/copilot-instructions.md" TargetMode="External"/><Relationship Id="rId330" Type="http://schemas.openxmlformats.org/officeDocument/2006/relationships/hyperlink" Target="https://github.com/OlympiaAI/raix/blob/main/CLAUDE.md" TargetMode="External"/><Relationship Id="rId568" Type="http://schemas.openxmlformats.org/officeDocument/2006/relationships/hyperlink" Target="https://github.com/tphakala/birdnet-go/blob/main/CLAUDE.md" TargetMode="External"/><Relationship Id="rId775" Type="http://schemas.openxmlformats.org/officeDocument/2006/relationships/hyperlink" Target="https://github.com/colinhacks/zod/blob/main/CLAUDE.md" TargetMode="External"/><Relationship Id="rId982" Type="http://schemas.openxmlformats.org/officeDocument/2006/relationships/hyperlink" Target="https://github.com/marin-community/marin/blob/main/AGENTS.md" TargetMode="External"/><Relationship Id="rId1198" Type="http://schemas.openxmlformats.org/officeDocument/2006/relationships/hyperlink" Target="https://github.com/OneKeyHQ/app-monorepo/blob/master/CLAUDE.md" TargetMode="External"/><Relationship Id="rId428" Type="http://schemas.openxmlformats.org/officeDocument/2006/relationships/hyperlink" Target="https://github.com/CapSoftware/Cap/blob/main/AGENTS.md" TargetMode="External"/><Relationship Id="rId635" Type="http://schemas.openxmlformats.org/officeDocument/2006/relationships/hyperlink" Target="https://github.com/dotnet/sdk/blob/main/.github/copilot-instructions.md" TargetMode="External"/><Relationship Id="rId842" Type="http://schemas.openxmlformats.org/officeDocument/2006/relationships/hyperlink" Target="https://github.com/lightdash/lightdash/blob/main/CLAUDE.md" TargetMode="External"/><Relationship Id="rId1058" Type="http://schemas.openxmlformats.org/officeDocument/2006/relationships/hyperlink" Target="https://github.com/AstrBotDevs/AstrBot/blob/master/.github/copilot-instructions.md" TargetMode="External"/><Relationship Id="rId1265" Type="http://schemas.openxmlformats.org/officeDocument/2006/relationships/hyperlink" Target="https://github.com/cloudposse/atmos/blob/main/CLAUDE.md" TargetMode="External"/><Relationship Id="rId1472" Type="http://schemas.openxmlformats.org/officeDocument/2006/relationships/hyperlink" Target="https://github.com/Freika/dawarich/blob/master/CLAUDE.md" TargetMode="External"/><Relationship Id="rId702" Type="http://schemas.openxmlformats.org/officeDocument/2006/relationships/hyperlink" Target="https://github.com/humanwhocodes/crosspost/blob/main/.github/copilot-instructions.md" TargetMode="External"/><Relationship Id="rId1125" Type="http://schemas.openxmlformats.org/officeDocument/2006/relationships/hyperlink" Target="https://github.com/microsoft/Olive/blob/main/.github/copilot-instructions.md" TargetMode="External"/><Relationship Id="rId1332" Type="http://schemas.openxmlformats.org/officeDocument/2006/relationships/hyperlink" Target="https://github.com/open-metadata/OpenMetadata/blob/main/CLAUDE.md" TargetMode="External"/><Relationship Id="rId1777" Type="http://schemas.openxmlformats.org/officeDocument/2006/relationships/hyperlink" Target="https://github.com/netdata/netdata/blob/master/CLAUDE.md" TargetMode="External"/><Relationship Id="rId69" Type="http://schemas.openxmlformats.org/officeDocument/2006/relationships/hyperlink" Target="https://github.com/theopenco/llmgateway/blob/main/AGENTS.md" TargetMode="External"/><Relationship Id="rId1637" Type="http://schemas.openxmlformats.org/officeDocument/2006/relationships/hyperlink" Target="https://github.com/xlnfinance/xln/blob/main/CLAUDE.md" TargetMode="External"/><Relationship Id="rId1844" Type="http://schemas.openxmlformats.org/officeDocument/2006/relationships/hyperlink" Target="https://github.com/CapSoftware/Cap/blob/main/CLAUDE.md" TargetMode="External"/><Relationship Id="rId1704" Type="http://schemas.openxmlformats.org/officeDocument/2006/relationships/hyperlink" Target="https://github.com/benwbrum/fromthepage/blob/main/.github/copilot-instructions.md" TargetMode="External"/><Relationship Id="rId285" Type="http://schemas.openxmlformats.org/officeDocument/2006/relationships/hyperlink" Target="https://github.com/coder/coder/blob/main/CLAUDE.md" TargetMode="External"/><Relationship Id="rId1911" Type="http://schemas.openxmlformats.org/officeDocument/2006/relationships/hyperlink" Target="https://github.com/coder/coder/blob/main/CLAUDE.md" TargetMode="External"/><Relationship Id="rId492" Type="http://schemas.openxmlformats.org/officeDocument/2006/relationships/hyperlink" Target="https://github.com/cloudposse/atmos/blob/main/CLAUDE.md" TargetMode="External"/><Relationship Id="rId797" Type="http://schemas.openxmlformats.org/officeDocument/2006/relationships/hyperlink" Target="https://github.com/dymensionxyz/dymension/blob/main/CLAUDE.md" TargetMode="External"/><Relationship Id="rId145" Type="http://schemas.openxmlformats.org/officeDocument/2006/relationships/hyperlink" Target="https://github.com/owncast/owncast/blob/master/.github/copilot-instructions.md" TargetMode="External"/><Relationship Id="rId352" Type="http://schemas.openxmlformats.org/officeDocument/2006/relationships/hyperlink" Target="https://github.com/xlnfinance/xln/blob/main/CLAUDE.md" TargetMode="External"/><Relationship Id="rId1287" Type="http://schemas.openxmlformats.org/officeDocument/2006/relationships/hyperlink" Target="https://github.com/colinhacks/zod/blob/main/CLAUDE.md" TargetMode="External"/><Relationship Id="rId212" Type="http://schemas.openxmlformats.org/officeDocument/2006/relationships/hyperlink" Target="https://github.com/webgptorg/promptbook/blob/main/AGENTS.md" TargetMode="External"/><Relationship Id="rId657" Type="http://schemas.openxmlformats.org/officeDocument/2006/relationships/hyperlink" Target="https://github.com/nkdAgility/azure-devops-migration-tools/blob/main/.github/copilot-instructions.md" TargetMode="External"/><Relationship Id="rId864" Type="http://schemas.openxmlformats.org/officeDocument/2006/relationships/hyperlink" Target="https://github.com/OneKeyHQ/app-monorepo/blob/master/CLAUDE.md" TargetMode="External"/><Relationship Id="rId1494" Type="http://schemas.openxmlformats.org/officeDocument/2006/relationships/hyperlink" Target="https://github.com/mixpanel/mixpanel-android/blob/master/.github/copilot-instructions.md" TargetMode="External"/><Relationship Id="rId1799" Type="http://schemas.openxmlformats.org/officeDocument/2006/relationships/hyperlink" Target="https://github.com/microsoft/FluidFramework/blob/main/.github/copilot-instructions.md" TargetMode="External"/><Relationship Id="rId517" Type="http://schemas.openxmlformats.org/officeDocument/2006/relationships/hyperlink" Target="https://github.com/ithacaxyz/account/blob/main/CLAUDE.md" TargetMode="External"/><Relationship Id="rId724" Type="http://schemas.openxmlformats.org/officeDocument/2006/relationships/hyperlink" Target="https://github.com/AhmedElywa/prisma-tools/blob/main/CLAUDE.md" TargetMode="External"/><Relationship Id="rId931" Type="http://schemas.openxmlformats.org/officeDocument/2006/relationships/hyperlink" Target="https://github.com/truenas/webui/blob/master/CLAUDE.md" TargetMode="External"/><Relationship Id="rId1147" Type="http://schemas.openxmlformats.org/officeDocument/2006/relationships/hyperlink" Target="https://github.com/Significant-Gravitas/AutoGPT/blob/master/.github/copilot-instructions.md" TargetMode="External"/><Relationship Id="rId1354" Type="http://schemas.openxmlformats.org/officeDocument/2006/relationships/hyperlink" Target="https://github.com/tphakala/birdnet-go/blob/main/CLAUDE.md" TargetMode="External"/><Relationship Id="rId1561" Type="http://schemas.openxmlformats.org/officeDocument/2006/relationships/hyperlink" Target="https://github.com/geneontology/go-ontology/blob/master/CLAUDE.md" TargetMode="External"/><Relationship Id="rId60" Type="http://schemas.openxmlformats.org/officeDocument/2006/relationships/hyperlink" Target="https://github.com/SimonHalvdansson/Harmonic-HN/blob/main/AGENTS.md" TargetMode="External"/><Relationship Id="rId1007" Type="http://schemas.openxmlformats.org/officeDocument/2006/relationships/hyperlink" Target="https://github.com/public-ui/kolibri/blob/master/AGENTS.md" TargetMode="External"/><Relationship Id="rId1214" Type="http://schemas.openxmlformats.org/officeDocument/2006/relationships/hyperlink" Target="https://github.com/obophenotype/uberon/blob/master/.github/copilot-instructions.md" TargetMode="External"/><Relationship Id="rId1421" Type="http://schemas.openxmlformats.org/officeDocument/2006/relationships/hyperlink" Target="https://github.com/python-cachier/cachier/blob/master/AGENTS.md" TargetMode="External"/><Relationship Id="rId1659" Type="http://schemas.openxmlformats.org/officeDocument/2006/relationships/hyperlink" Target="https://github.com/janbjorge/pgqueuer/blob/main/AGENTS.md" TargetMode="External"/><Relationship Id="rId1866" Type="http://schemas.openxmlformats.org/officeDocument/2006/relationships/hyperlink" Target="https://github.com/safety-research/safety-tooling/blob/main/CLAUDE.md" TargetMode="External"/><Relationship Id="rId1519" Type="http://schemas.openxmlformats.org/officeDocument/2006/relationships/hyperlink" Target="https://github.com/Azure/LogicAppsUX/blob/main/CLAUDE.md" TargetMode="External"/><Relationship Id="rId1726" Type="http://schemas.openxmlformats.org/officeDocument/2006/relationships/hyperlink" Target="https://github.com/microsoft/vscode-jupyter/blob/main/.github/copilot-instructions.md" TargetMode="External"/><Relationship Id="rId1933" Type="http://schemas.openxmlformats.org/officeDocument/2006/relationships/hyperlink" Target="https://github.com/Pipelex/pipelex/blob/main/AGENTS.md" TargetMode="External"/><Relationship Id="rId18" Type="http://schemas.openxmlformats.org/officeDocument/2006/relationships/hyperlink" Target="https://github.com/Pipelex/pipelex/blob/main/AGENTS.md" TargetMode="External"/><Relationship Id="rId167" Type="http://schemas.openxmlformats.org/officeDocument/2006/relationships/hyperlink" Target="https://github.com/sybrew/the-seo-framework/blob/master/.github/copilot-instructions.md" TargetMode="External"/><Relationship Id="rId374" Type="http://schemas.openxmlformats.org/officeDocument/2006/relationships/hyperlink" Target="https://github.com/PrairieLearn/PrairieLearn/blob/master/AGENTS.md" TargetMode="External"/><Relationship Id="rId581" Type="http://schemas.openxmlformats.org/officeDocument/2006/relationships/hyperlink" Target="https://github.com/zenml-io/zenml/blob/main/CLAUDE.md" TargetMode="External"/><Relationship Id="rId234" Type="http://schemas.openxmlformats.org/officeDocument/2006/relationships/hyperlink" Target="https://github.com/rustfs/rustfs/blob/main/AGENTS.md" TargetMode="External"/><Relationship Id="rId679" Type="http://schemas.openxmlformats.org/officeDocument/2006/relationships/hyperlink" Target="https://github.com/cloudposse/atmos/blob/main/CLAUDE.md" TargetMode="External"/><Relationship Id="rId886" Type="http://schemas.openxmlformats.org/officeDocument/2006/relationships/hyperlink" Target="https://github.com/paradigmxyz/reth/blob/main/CLAUDE.md" TargetMode="External"/><Relationship Id="rId2" Type="http://schemas.openxmlformats.org/officeDocument/2006/relationships/hyperlink" Target="https://github.com/marin-community/marin/blob/main/AGENTS.md" TargetMode="External"/><Relationship Id="rId441" Type="http://schemas.openxmlformats.org/officeDocument/2006/relationships/hyperlink" Target="https://github.com/temporalio/ui/blob/main/CLAUDE.md" TargetMode="External"/><Relationship Id="rId539" Type="http://schemas.openxmlformats.org/officeDocument/2006/relationships/hyperlink" Target="https://github.com/owid/etl/blob/master/CLAUDE.md" TargetMode="External"/><Relationship Id="rId746" Type="http://schemas.openxmlformats.org/officeDocument/2006/relationships/hyperlink" Target="https://github.com/CapSoftware/Cap/blob/main/CLAUDE.md" TargetMode="External"/><Relationship Id="rId1071" Type="http://schemas.openxmlformats.org/officeDocument/2006/relationships/hyperlink" Target="https://github.com/Azure/autorest.typescript/blob/main/.github/copilot-instructions.md" TargetMode="External"/><Relationship Id="rId1169" Type="http://schemas.openxmlformats.org/officeDocument/2006/relationships/hyperlink" Target="https://github.com/OneKeyHQ/app-monorepo/blob/master/CLAUDE.md" TargetMode="External"/><Relationship Id="rId1376" Type="http://schemas.openxmlformats.org/officeDocument/2006/relationships/hyperlink" Target="https://github.com/hahwul/dalfox/blob/main/AGENTS.md" TargetMode="External"/><Relationship Id="rId1583" Type="http://schemas.openxmlformats.org/officeDocument/2006/relationships/hyperlink" Target="https://github.com/lollipopkit/flutter_server_box/blob/main/CLAUDE.md" TargetMode="External"/><Relationship Id="rId301" Type="http://schemas.openxmlformats.org/officeDocument/2006/relationships/hyperlink" Target="https://github.com/compiler-explorer/compiler-explorer/blob/main/CLAUDE.md" TargetMode="External"/><Relationship Id="rId953" Type="http://schemas.openxmlformats.org/officeDocument/2006/relationships/hyperlink" Target="https://github.com/cablehead/xs/blob/main/AGENTS.md" TargetMode="External"/><Relationship Id="rId1029" Type="http://schemas.openxmlformats.org/officeDocument/2006/relationships/hyperlink" Target="https://github.com/theopenco/llmgateway/blob/main/AGENTS.md" TargetMode="External"/><Relationship Id="rId1236" Type="http://schemas.openxmlformats.org/officeDocument/2006/relationships/hyperlink" Target="https://github.com/netdata/netdata/blob/master/CLAUDE.md" TargetMode="External"/><Relationship Id="rId1790" Type="http://schemas.openxmlformats.org/officeDocument/2006/relationships/hyperlink" Target="https://github.com/vaadin/flow/blob/main/CLAUDE.md" TargetMode="External"/><Relationship Id="rId1888" Type="http://schemas.openxmlformats.org/officeDocument/2006/relationships/hyperlink" Target="https://github.com/microsoft/ApplicationInsights-JS/blob/main/.github/copilot-instructions.md" TargetMode="External"/><Relationship Id="rId82" Type="http://schemas.openxmlformats.org/officeDocument/2006/relationships/hyperlink" Target="https://github.com/wieslawsoltes/Dock/blob/master/AGENTS.md" TargetMode="External"/><Relationship Id="rId606" Type="http://schemas.openxmlformats.org/officeDocument/2006/relationships/hyperlink" Target="https://github.com/proximafusion/vmecpp/blob/main/AGENTS.md" TargetMode="External"/><Relationship Id="rId813" Type="http://schemas.openxmlformats.org/officeDocument/2006/relationships/hyperlink" Target="https://github.com/geneontology/go-ontology/blob/master/CLAUDE.md" TargetMode="External"/><Relationship Id="rId1443" Type="http://schemas.openxmlformats.org/officeDocument/2006/relationships/hyperlink" Target="https://github.com/zenml-io/zenml/blob/main/AGENTS.md" TargetMode="External"/><Relationship Id="rId1650" Type="http://schemas.openxmlformats.org/officeDocument/2006/relationships/hyperlink" Target="https://github.com/commonwarexyz/monorepo/blob/main/AGENTS.md" TargetMode="External"/><Relationship Id="rId1748" Type="http://schemas.openxmlformats.org/officeDocument/2006/relationships/hyperlink" Target="https://github.com/zwave-js/zwave-js-ui/blob/master/.github/copilot-instructions.md" TargetMode="External"/><Relationship Id="rId1303" Type="http://schemas.openxmlformats.org/officeDocument/2006/relationships/hyperlink" Target="https://github.com/Freika/dawarich/blob/master/CLAUDE.md" TargetMode="External"/><Relationship Id="rId1510" Type="http://schemas.openxmlformats.org/officeDocument/2006/relationships/hyperlink" Target="https://github.com/allenai/open-instruct/blob/main/CLAUDE.md" TargetMode="External"/><Relationship Id="rId1608" Type="http://schemas.openxmlformats.org/officeDocument/2006/relationships/hyperlink" Target="https://github.com/openai/openai-agents-python/blob/main/CLAUDE.md" TargetMode="External"/><Relationship Id="rId1815" Type="http://schemas.openxmlformats.org/officeDocument/2006/relationships/hyperlink" Target="https://github.com/luccahuguet/yazelix/blob/main/AGENTS.md" TargetMode="External"/><Relationship Id="rId189" Type="http://schemas.openxmlformats.org/officeDocument/2006/relationships/hyperlink" Target="https://github.com/zwave-js/zwave-js/blob/master/.github/copilot-instructions.md" TargetMode="External"/><Relationship Id="rId396" Type="http://schemas.openxmlformats.org/officeDocument/2006/relationships/hyperlink" Target="https://github.com/dotnet/dotnet-api-docs/blob/main/.github/copilot-instructions.md" TargetMode="External"/><Relationship Id="rId256" Type="http://schemas.openxmlformats.org/officeDocument/2006/relationships/hyperlink" Target="https://github.com/julep-ai/julep/blob/main/AGENTS.md" TargetMode="External"/><Relationship Id="rId463" Type="http://schemas.openxmlformats.org/officeDocument/2006/relationships/hyperlink" Target="https://github.com/fukuball/jieba-php/blob/master/CLAUDE.md" TargetMode="External"/><Relationship Id="rId670" Type="http://schemas.openxmlformats.org/officeDocument/2006/relationships/hyperlink" Target="https://github.com/zwave-js/zwave-js/blob/master/.github/copilot-instructions.md" TargetMode="External"/><Relationship Id="rId1093" Type="http://schemas.openxmlformats.org/officeDocument/2006/relationships/hyperlink" Target="https://github.com/dotnet/runtime/blob/main/.github/copilot-instructions.md" TargetMode="External"/><Relationship Id="rId116" Type="http://schemas.openxmlformats.org/officeDocument/2006/relationships/hyperlink" Target="https://github.com/dotnet/runtime/blob/main/.github/copilot-instructions.md" TargetMode="External"/><Relationship Id="rId323" Type="http://schemas.openxmlformats.org/officeDocument/2006/relationships/hyperlink" Target="https://github.com/lfnovo/esperanto/blob/main/CLAUDE.md" TargetMode="External"/><Relationship Id="rId530" Type="http://schemas.openxmlformats.org/officeDocument/2006/relationships/hyperlink" Target="https://github.com/numbagg/numbagg/blob/main/CLAUDE.md" TargetMode="External"/><Relationship Id="rId768" Type="http://schemas.openxmlformats.org/officeDocument/2006/relationships/hyperlink" Target="https://github.com/cloudposse/atmos/blob/main/CLAUDE.md" TargetMode="External"/><Relationship Id="rId975" Type="http://schemas.openxmlformats.org/officeDocument/2006/relationships/hyperlink" Target="https://github.com/langfuse/langfuse/blob/main/AGENTS.md" TargetMode="External"/><Relationship Id="rId1160" Type="http://schemas.openxmlformats.org/officeDocument/2006/relationships/hyperlink" Target="https://github.com/zwave-js/zwave-js-ui/blob/master/.github/copilot-instructions.md" TargetMode="External"/><Relationship Id="rId1398" Type="http://schemas.openxmlformats.org/officeDocument/2006/relationships/hyperlink" Target="https://github.com/marin-community/marin/blob/main/AGENTS.md" TargetMode="External"/><Relationship Id="rId628" Type="http://schemas.openxmlformats.org/officeDocument/2006/relationships/hyperlink" Target="https://github.com/dotnet/docs-aspire/blob/main/.github/copilot-instructions.md" TargetMode="External"/><Relationship Id="rId835" Type="http://schemas.openxmlformats.org/officeDocument/2006/relationships/hyperlink" Target="https://github.com/home-assistant/frontend/blob/master/CLAUDE.md" TargetMode="External"/><Relationship Id="rId1258" Type="http://schemas.openxmlformats.org/officeDocument/2006/relationships/hyperlink" Target="https://github.com/wled/WLED/blob/main/.github/copilot-instructions.md" TargetMode="External"/><Relationship Id="rId1465" Type="http://schemas.openxmlformats.org/officeDocument/2006/relationships/hyperlink" Target="https://github.com/langchain-ai/langchain/blob/master/AGENTS.md" TargetMode="External"/><Relationship Id="rId1672" Type="http://schemas.openxmlformats.org/officeDocument/2006/relationships/hyperlink" Target="https://github.com/luccahuguet/yazelix/blob/main/AGENTS.md" TargetMode="External"/><Relationship Id="rId1020" Type="http://schemas.openxmlformats.org/officeDocument/2006/relationships/hyperlink" Target="https://github.com/rainbow-me/rainbowkit/blob/main/AGENTS.md" TargetMode="External"/><Relationship Id="rId1118" Type="http://schemas.openxmlformats.org/officeDocument/2006/relationships/hyperlink" Target="https://github.com/james-gould/azure-keyvault-emulator/blob/master/.github/copilot-instructions.md" TargetMode="External"/><Relationship Id="rId1325" Type="http://schemas.openxmlformats.org/officeDocument/2006/relationships/hyperlink" Target="https://github.com/lightdash/lightdash/blob/main/CLAUDE.md" TargetMode="External"/><Relationship Id="rId1532" Type="http://schemas.openxmlformats.org/officeDocument/2006/relationships/hyperlink" Target="https://github.com/colinhacks/zod/blob/main/CLAUDE.md" TargetMode="External"/><Relationship Id="rId902" Type="http://schemas.openxmlformats.org/officeDocument/2006/relationships/hyperlink" Target="https://github.com/RchGrav/claudebox/blob/main/CLAUDE.md" TargetMode="External"/><Relationship Id="rId1837" Type="http://schemas.openxmlformats.org/officeDocument/2006/relationships/hyperlink" Target="https://github.com/Significant-Gravitas/AutoGPT/blob/master/.github/copilot-instructions.md" TargetMode="External"/><Relationship Id="rId31" Type="http://schemas.openxmlformats.org/officeDocument/2006/relationships/hyperlink" Target="https://github.com/public-ui/kolibri/blob/master/AGENTS.md" TargetMode="External"/><Relationship Id="rId180" Type="http://schemas.openxmlformats.org/officeDocument/2006/relationships/hyperlink" Target="https://github.com/vczh-libraries/GacUI/blob/master/.github/copilot-instructions.md" TargetMode="External"/><Relationship Id="rId278" Type="http://schemas.openxmlformats.org/officeDocument/2006/relationships/hyperlink" Target="https://github.com/browser-use/browser-use/blob/main/CLAUDE.md" TargetMode="External"/><Relationship Id="rId1904" Type="http://schemas.openxmlformats.org/officeDocument/2006/relationships/hyperlink" Target="https://github.com/CapSoftware/Cap/blob/main/AGENTS.md" TargetMode="External"/><Relationship Id="rId485" Type="http://schemas.openxmlformats.org/officeDocument/2006/relationships/hyperlink" Target="https://github.com/BerriAI/litellm/blob/main/CLAUDE.md" TargetMode="External"/><Relationship Id="rId692" Type="http://schemas.openxmlformats.org/officeDocument/2006/relationships/hyperlink" Target="https://github.com/Pipelex/pipelex/blob/main/CLAUDE.md" TargetMode="External"/><Relationship Id="rId138" Type="http://schemas.openxmlformats.org/officeDocument/2006/relationships/hyperlink" Target="https://github.com/NG-ZORRO/ng-zorro-antd/blob/master/.github/copilot-instructions.md" TargetMode="External"/><Relationship Id="rId345" Type="http://schemas.openxmlformats.org/officeDocument/2006/relationships/hyperlink" Target="https://github.com/safety-research/safety-tooling/blob/main/CLAUDE.md" TargetMode="External"/><Relationship Id="rId552" Type="http://schemas.openxmlformats.org/officeDocument/2006/relationships/hyperlink" Target="https://github.com/RchGrav/claudebox/blob/main/CLAUDE.md" TargetMode="External"/><Relationship Id="rId997" Type="http://schemas.openxmlformats.org/officeDocument/2006/relationships/hyperlink" Target="https://github.com/Pipelex/pipelex/blob/main/AGENTS.md" TargetMode="External"/><Relationship Id="rId1182" Type="http://schemas.openxmlformats.org/officeDocument/2006/relationships/hyperlink" Target="https://github.com/github/gh-gei/blob/main/.github/copilot-instructions.md" TargetMode="External"/><Relationship Id="rId205" Type="http://schemas.openxmlformats.org/officeDocument/2006/relationships/hyperlink" Target="https://github.com/CapSoftware/Cap/blob/main/CLAUDE.md" TargetMode="External"/><Relationship Id="rId412" Type="http://schemas.openxmlformats.org/officeDocument/2006/relationships/hyperlink" Target="https://github.com/microsoft/GSL/blob/main/.github/copilot-instructions.md" TargetMode="External"/><Relationship Id="rId857" Type="http://schemas.openxmlformats.org/officeDocument/2006/relationships/hyperlink" Target="https://github.com/netlify/cli/blob/main/CLAUDE.md" TargetMode="External"/><Relationship Id="rId1042" Type="http://schemas.openxmlformats.org/officeDocument/2006/relationships/hyperlink" Target="https://github.com/alandtse/alexa_media_player/blob/master/.github/copilot-instructions.md" TargetMode="External"/><Relationship Id="rId1487" Type="http://schemas.openxmlformats.org/officeDocument/2006/relationships/hyperlink" Target="https://github.com/mixpanel/mixpanel-android/blob/master/AGENTS.md" TargetMode="External"/><Relationship Id="rId1694" Type="http://schemas.openxmlformats.org/officeDocument/2006/relationships/hyperlink" Target="https://github.com/useautumn/autumn/blob/main/AGENTS.md" TargetMode="External"/><Relationship Id="rId717" Type="http://schemas.openxmlformats.org/officeDocument/2006/relationships/hyperlink" Target="https://github.com/abh/ntppool/blob/main/CLAUDE.md" TargetMode="External"/><Relationship Id="rId924" Type="http://schemas.openxmlformats.org/officeDocument/2006/relationships/hyperlink" Target="https://github.com/theopenco/llmgateway/blob/main/CLAUDE.md" TargetMode="External"/><Relationship Id="rId1347" Type="http://schemas.openxmlformats.org/officeDocument/2006/relationships/hyperlink" Target="https://github.com/RchGrav/claudebox/blob/main/CLAUDE.md" TargetMode="External"/><Relationship Id="rId1554" Type="http://schemas.openxmlformats.org/officeDocument/2006/relationships/hyperlink" Target="https://github.com/Expensify/App/blob/main/CLAUDE.md" TargetMode="External"/><Relationship Id="rId1761" Type="http://schemas.openxmlformats.org/officeDocument/2006/relationships/hyperlink" Target="https://github.com/Azure/LogicAppsUX/blob/main/CLAUDE.md" TargetMode="External"/><Relationship Id="rId53" Type="http://schemas.openxmlformats.org/officeDocument/2006/relationships/hyperlink" Target="https://github.com/rocketship-ai/rocketship/blob/main/AGENTS.md" TargetMode="External"/><Relationship Id="rId1207" Type="http://schemas.openxmlformats.org/officeDocument/2006/relationships/hyperlink" Target="https://github.com/BerriAI/litellm/blob/main/CLAUDE.md" TargetMode="External"/><Relationship Id="rId1414" Type="http://schemas.openxmlformats.org/officeDocument/2006/relationships/hyperlink" Target="https://github.com/owid/etl/blob/master/AGENTS.md" TargetMode="External"/><Relationship Id="rId1621" Type="http://schemas.openxmlformats.org/officeDocument/2006/relationships/hyperlink" Target="https://github.com/tphakala/birdnet-go/blob/main/CLAUDE.md" TargetMode="External"/><Relationship Id="rId1859" Type="http://schemas.openxmlformats.org/officeDocument/2006/relationships/hyperlink" Target="https://github.com/JuliaBesties/BestieTemplate.jl/blob/main/CLAUDE.md" TargetMode="External"/><Relationship Id="rId1719" Type="http://schemas.openxmlformats.org/officeDocument/2006/relationships/hyperlink" Target="https://github.com/kubefleet-dev/kubefleet/blob/main/.github/copilot-instructions.md" TargetMode="External"/><Relationship Id="rId1926" Type="http://schemas.openxmlformats.org/officeDocument/2006/relationships/hyperlink" Target="https://github.com/xlnfinance/xln/blob/main/CLAUDE.md" TargetMode="External"/><Relationship Id="rId367" Type="http://schemas.openxmlformats.org/officeDocument/2006/relationships/hyperlink" Target="https://github.com/Pipelex/pipelex/blob/main/AGENTS.md" TargetMode="External"/><Relationship Id="rId574" Type="http://schemas.openxmlformats.org/officeDocument/2006/relationships/hyperlink" Target="https://github.com/truenas/webui/blob/master/CLAUDE.md" TargetMode="External"/><Relationship Id="rId227" Type="http://schemas.openxmlformats.org/officeDocument/2006/relationships/hyperlink" Target="https://github.com/netdata/netdata/blob/master/CLAUDE.md" TargetMode="External"/><Relationship Id="rId781" Type="http://schemas.openxmlformats.org/officeDocument/2006/relationships/hyperlink" Target="https://github.com/compiler-explorer/compiler-explorer/blob/main/CLAUDE.md" TargetMode="External"/><Relationship Id="rId879" Type="http://schemas.openxmlformats.org/officeDocument/2006/relationships/hyperlink" Target="https://github.com/owid/etl/blob/master/CLAUDE.md" TargetMode="External"/><Relationship Id="rId434" Type="http://schemas.openxmlformats.org/officeDocument/2006/relationships/hyperlink" Target="https://github.com/paradigmxyz/reth/blob/main/CLAUDE.md" TargetMode="External"/><Relationship Id="rId641" Type="http://schemas.openxmlformats.org/officeDocument/2006/relationships/hyperlink" Target="https://github.com/microsoft/ApplicationInsights-JS/blob/main/.github/copilot-instructions.md" TargetMode="External"/><Relationship Id="rId739" Type="http://schemas.openxmlformats.org/officeDocument/2006/relationships/hyperlink" Target="https://github.com/BerriAI/litellm/blob/main/CLAUDE.md" TargetMode="External"/><Relationship Id="rId1064" Type="http://schemas.openxmlformats.org/officeDocument/2006/relationships/hyperlink" Target="https://github.com/Azure/autorest.typescript/blob/main/.github/copilot-instructions.md" TargetMode="External"/><Relationship Id="rId1271" Type="http://schemas.openxmlformats.org/officeDocument/2006/relationships/hyperlink" Target="https://github.com/safety-research/safety-tooling/blob/main/CLAUDE.md" TargetMode="External"/><Relationship Id="rId1369" Type="http://schemas.openxmlformats.org/officeDocument/2006/relationships/hyperlink" Target="https://github.com/CapSoftware/Cap/blob/main/AGENTS.md" TargetMode="External"/><Relationship Id="rId1576" Type="http://schemas.openxmlformats.org/officeDocument/2006/relationships/hyperlink" Target="https://github.com/JuliaBesties/BestieTemplate.jl/blob/main/CLAUDE.md" TargetMode="External"/><Relationship Id="rId501" Type="http://schemas.openxmlformats.org/officeDocument/2006/relationships/hyperlink" Target="https://github.com/dailydotdev/apps/blob/main/CLAUDE.md" TargetMode="External"/><Relationship Id="rId946" Type="http://schemas.openxmlformats.org/officeDocument/2006/relationships/hyperlink" Target="https://github.com/zenml-io/zenml/blob/main/CLAUDE.md" TargetMode="External"/><Relationship Id="rId1131" Type="http://schemas.openxmlformats.org/officeDocument/2006/relationships/hyperlink" Target="https://github.com/microsoft/typespec/blob/main/.github/copilot-instructions.md" TargetMode="External"/><Relationship Id="rId1229" Type="http://schemas.openxmlformats.org/officeDocument/2006/relationships/hyperlink" Target="https://github.com/BerriAI/litellm/blob/main/CLAUDE.md" TargetMode="External"/><Relationship Id="rId1783" Type="http://schemas.openxmlformats.org/officeDocument/2006/relationships/hyperlink" Target="https://github.com/owid/etl/blob/master/CLAUDE.md" TargetMode="External"/><Relationship Id="rId75" Type="http://schemas.openxmlformats.org/officeDocument/2006/relationships/hyperlink" Target="https://github.com/wandb/weave/blob/master/AGENTS.md" TargetMode="External"/><Relationship Id="rId806" Type="http://schemas.openxmlformats.org/officeDocument/2006/relationships/hyperlink" Target="https://github.com/FastLED/FastLED/blob/master/CLAUDE.md" TargetMode="External"/><Relationship Id="rId1436" Type="http://schemas.openxmlformats.org/officeDocument/2006/relationships/hyperlink" Target="https://github.com/wieslawsoltes/Xaml.Behaviors/blob/master/AGENTS.md" TargetMode="External"/><Relationship Id="rId1643" Type="http://schemas.openxmlformats.org/officeDocument/2006/relationships/hyperlink" Target="https://github.com/zenml-io/zenml/blob/main/CLAUDE.md" TargetMode="External"/><Relationship Id="rId1850" Type="http://schemas.openxmlformats.org/officeDocument/2006/relationships/hyperlink" Target="https://github.com/compiler-explorer/infra/blob/main/CLAUDE.md" TargetMode="External"/><Relationship Id="rId1503" Type="http://schemas.openxmlformats.org/officeDocument/2006/relationships/hyperlink" Target="https://github.com/abh/ntppool/blob/main/CLAUDE.md" TargetMode="External"/><Relationship Id="rId1710" Type="http://schemas.openxmlformats.org/officeDocument/2006/relationships/hyperlink" Target="https://github.com/dotnet/maui/blob/main/.github/copilot-instructions.md" TargetMode="External"/><Relationship Id="rId291" Type="http://schemas.openxmlformats.org/officeDocument/2006/relationships/hyperlink" Target="https://github.com/colinhacks/zod/blob/main/CLAUDE.md" TargetMode="External"/><Relationship Id="rId1808" Type="http://schemas.openxmlformats.org/officeDocument/2006/relationships/hyperlink" Target="https://github.com/lollipopkit/flutter_server_box/blob/main/CLAUDE.md" TargetMode="External"/><Relationship Id="rId151" Type="http://schemas.openxmlformats.org/officeDocument/2006/relationships/hyperlink" Target="https://github.com/sarchlab/akita/blob/main/.github/copilot-instructions.md" TargetMode="External"/><Relationship Id="rId389" Type="http://schemas.openxmlformats.org/officeDocument/2006/relationships/hyperlink" Target="https://github.com/zenml-io/zenml/blob/main/AGENTS.md" TargetMode="External"/><Relationship Id="rId596" Type="http://schemas.openxmlformats.org/officeDocument/2006/relationships/hyperlink" Target="https://github.com/luccahuguet/yazelix/blob/main/AGENTS.md" TargetMode="External"/><Relationship Id="rId249" Type="http://schemas.openxmlformats.org/officeDocument/2006/relationships/hyperlink" Target="https://github.com/Azure/autorest.typescript/blob/main/.github/copilot-instructions.md" TargetMode="External"/><Relationship Id="rId456" Type="http://schemas.openxmlformats.org/officeDocument/2006/relationships/hyperlink" Target="https://github.com/glu-lang/glu/blob/main/.github/copilot-instructions.md" TargetMode="External"/><Relationship Id="rId663" Type="http://schemas.openxmlformats.org/officeDocument/2006/relationships/hyperlink" Target="https://github.com/raycast/extensions/blob/main/.github/copilot-instructions.md" TargetMode="External"/><Relationship Id="rId870" Type="http://schemas.openxmlformats.org/officeDocument/2006/relationships/hyperlink" Target="https://github.com/open-metadata/OpenMetadata/blob/main/CLAUDE.md" TargetMode="External"/><Relationship Id="rId1086" Type="http://schemas.openxmlformats.org/officeDocument/2006/relationships/hyperlink" Target="https://github.com/collinbarrett/FilterLists/blob/main/.github/copilot-instructions.md" TargetMode="External"/><Relationship Id="rId1293" Type="http://schemas.openxmlformats.org/officeDocument/2006/relationships/hyperlink" Target="https://github.com/compiler-explorer/compiler-explorer/blob/main/CLAUDE.md" TargetMode="External"/><Relationship Id="rId109" Type="http://schemas.openxmlformats.org/officeDocument/2006/relationships/hyperlink" Target="https://github.com/dotnet/maui/blob/main/.github/copilot-instructions.md" TargetMode="External"/><Relationship Id="rId316" Type="http://schemas.openxmlformats.org/officeDocument/2006/relationships/hyperlink" Target="https://github.com/home-assistant/frontend/blob/master/CLAUDE.md" TargetMode="External"/><Relationship Id="rId523" Type="http://schemas.openxmlformats.org/officeDocument/2006/relationships/hyperlink" Target="https://github.com/liam-hq/liam/blob/main/CLAUDE.md" TargetMode="External"/><Relationship Id="rId968" Type="http://schemas.openxmlformats.org/officeDocument/2006/relationships/hyperlink" Target="https://github.com/DataDog/datadog-agent/blob/main/AGENTS.md" TargetMode="External"/><Relationship Id="rId1153" Type="http://schemas.openxmlformats.org/officeDocument/2006/relationships/hyperlink" Target="https://github.com/sybrew/the-seo-framework/blob/master/.github/copilot-instructions.md" TargetMode="External"/><Relationship Id="rId1598" Type="http://schemas.openxmlformats.org/officeDocument/2006/relationships/hyperlink" Target="https://github.com/open-metadata/OpenMetadata/blob/main/CLAUDE.md" TargetMode="External"/><Relationship Id="rId97" Type="http://schemas.openxmlformats.org/officeDocument/2006/relationships/hyperlink" Target="https://github.com/Azure/azure-rest-api-specs/blob/main/.github/copilot-instructions.md" TargetMode="External"/><Relationship Id="rId730" Type="http://schemas.openxmlformats.org/officeDocument/2006/relationships/hyperlink" Target="https://github.com/anyproto/anytype-swift/blob/main/CLAUDE.md" TargetMode="External"/><Relationship Id="rId828" Type="http://schemas.openxmlformats.org/officeDocument/2006/relationships/hyperlink" Target="https://github.com/getsentry/sentry-javascript/blob/master/CLAUDE.md" TargetMode="External"/><Relationship Id="rId1013" Type="http://schemas.openxmlformats.org/officeDocument/2006/relationships/hyperlink" Target="https://github.com/python-cachier/cachier/blob/master/AGENTS.md" TargetMode="External"/><Relationship Id="rId1360" Type="http://schemas.openxmlformats.org/officeDocument/2006/relationships/hyperlink" Target="https://github.com/zed-industries/zed/blob/main/CLAUDE.md" TargetMode="External"/><Relationship Id="rId1458" Type="http://schemas.openxmlformats.org/officeDocument/2006/relationships/hyperlink" Target="https://github.com/raycast/extensions/blob/main/.github/copilot-instructions.md" TargetMode="External"/><Relationship Id="rId1665" Type="http://schemas.openxmlformats.org/officeDocument/2006/relationships/hyperlink" Target="https://github.com/Kiln-AI/Kiln/blob/main/AGENTS.md" TargetMode="External"/><Relationship Id="rId1872" Type="http://schemas.openxmlformats.org/officeDocument/2006/relationships/hyperlink" Target="https://github.com/gitkraken/vscode-gitlens/blob/main/AGENTS.md" TargetMode="External"/><Relationship Id="rId1220" Type="http://schemas.openxmlformats.org/officeDocument/2006/relationships/hyperlink" Target="https://github.com/Freika/dawarich/blob/master/CLAUDE.md" TargetMode="External"/><Relationship Id="rId1318" Type="http://schemas.openxmlformats.org/officeDocument/2006/relationships/hyperlink" Target="https://github.com/kubetail-org/kubetail/blob/main/CLAUDE.md" TargetMode="External"/><Relationship Id="rId1525" Type="http://schemas.openxmlformats.org/officeDocument/2006/relationships/hyperlink" Target="https://github.com/CapSoftware/Cap/blob/main/CLAUDE.md" TargetMode="External"/><Relationship Id="rId1732" Type="http://schemas.openxmlformats.org/officeDocument/2006/relationships/hyperlink" Target="https://github.com/owncast/owncast/blob/master/.github/copilot-instructions.md" TargetMode="External"/><Relationship Id="rId24" Type="http://schemas.openxmlformats.org/officeDocument/2006/relationships/hyperlink" Target="https://github.com/PrairieLearn/PrairieLearn/blob/master/AGENTS.md" TargetMode="External"/><Relationship Id="rId173" Type="http://schemas.openxmlformats.org/officeDocument/2006/relationships/hyperlink" Target="https://github.com/sybrew/the-seo-framework/blob/master/.github/copilot-instructions.md" TargetMode="External"/><Relationship Id="rId380" Type="http://schemas.openxmlformats.org/officeDocument/2006/relationships/hyperlink" Target="https://github.com/pytorch/pytorch/blob/main/AGENTS.md" TargetMode="External"/><Relationship Id="rId240" Type="http://schemas.openxmlformats.org/officeDocument/2006/relationships/hyperlink" Target="https://github.com/vczh-libraries/GacUI/blob/master/.github/copilot-instructions.md" TargetMode="External"/><Relationship Id="rId478" Type="http://schemas.openxmlformats.org/officeDocument/2006/relationships/hyperlink" Target="https://github.com/angular-eslint/angular-eslint/blob/main/CLAUDE.md" TargetMode="External"/><Relationship Id="rId685" Type="http://schemas.openxmlformats.org/officeDocument/2006/relationships/hyperlink" Target="https://github.com/compiler-explorer/compiler-explorer/blob/main/CLAUDE.md" TargetMode="External"/><Relationship Id="rId892" Type="http://schemas.openxmlformats.org/officeDocument/2006/relationships/hyperlink" Target="https://github.com/Pipelex/pipelex/blob/main/CLAUDE.md" TargetMode="External"/><Relationship Id="rId100" Type="http://schemas.openxmlformats.org/officeDocument/2006/relationships/hyperlink" Target="https://github.com/christianhelle/apiclientcodegen/blob/master/.github/copilot-instructions.md" TargetMode="External"/><Relationship Id="rId338" Type="http://schemas.openxmlformats.org/officeDocument/2006/relationships/hyperlink" Target="https://github.com/Pipelex/pipelex/blob/main/CLAUDE.md" TargetMode="External"/><Relationship Id="rId545" Type="http://schemas.openxmlformats.org/officeDocument/2006/relationships/hyperlink" Target="https://github.com/PrefectHQ/marvin/blob/main/CLAUDE.md" TargetMode="External"/><Relationship Id="rId752" Type="http://schemas.openxmlformats.org/officeDocument/2006/relationships/hyperlink" Target="https://github.com/CapSoftware/Cap/blob/main/CLAUDE.md" TargetMode="External"/><Relationship Id="rId1175" Type="http://schemas.openxmlformats.org/officeDocument/2006/relationships/hyperlink" Target="https://github.com/luccahuguet/yazelix/blob/main/AGENTS.md" TargetMode="External"/><Relationship Id="rId1382" Type="http://schemas.openxmlformats.org/officeDocument/2006/relationships/hyperlink" Target="https://github.com/janbjorge/pgqueuer/blob/main/AGENTS.md" TargetMode="External"/><Relationship Id="rId405" Type="http://schemas.openxmlformats.org/officeDocument/2006/relationships/hyperlink" Target="https://github.com/friendsofhyperf/components/blob/main/.github/copilot-instructions.md" TargetMode="External"/><Relationship Id="rId612" Type="http://schemas.openxmlformats.org/officeDocument/2006/relationships/hyperlink" Target="https://github.com/seasonedcc/remix-forms/blob/main/AGENTS.md" TargetMode="External"/><Relationship Id="rId1035" Type="http://schemas.openxmlformats.org/officeDocument/2006/relationships/hyperlink" Target="https://github.com/webgptorg/promptbook/blob/main/AGENTS.md" TargetMode="External"/><Relationship Id="rId1242" Type="http://schemas.openxmlformats.org/officeDocument/2006/relationships/hyperlink" Target="https://github.com/Agoric/agoric-sdk/blob/master/AGENTS.md" TargetMode="External"/><Relationship Id="rId1687" Type="http://schemas.openxmlformats.org/officeDocument/2006/relationships/hyperlink" Target="https://github.com/Pipelex/pipelex/blob/main/AGENTS.md" TargetMode="External"/><Relationship Id="rId1894" Type="http://schemas.openxmlformats.org/officeDocument/2006/relationships/hyperlink" Target="https://github.com/Azure/AgentBaker/blob/main/.github/copilot-instructions.md" TargetMode="External"/><Relationship Id="rId917" Type="http://schemas.openxmlformats.org/officeDocument/2006/relationships/hyperlink" Target="https://github.com/Southclaws/storyden/blob/main/CLAUDE.md" TargetMode="External"/><Relationship Id="rId1102" Type="http://schemas.openxmlformats.org/officeDocument/2006/relationships/hyperlink" Target="https://github.com/geneontology/go-ontology/blob/master/.github/copilot-instructions.md" TargetMode="External"/><Relationship Id="rId1547" Type="http://schemas.openxmlformats.org/officeDocument/2006/relationships/hyperlink" Target="https://github.com/dotCMS/core/blob/main/CLAUDE.md" TargetMode="External"/><Relationship Id="rId1754" Type="http://schemas.openxmlformats.org/officeDocument/2006/relationships/hyperlink" Target="https://github.com/saleor/saleor/blob/main/CLAUDE.md" TargetMode="External"/><Relationship Id="rId46" Type="http://schemas.openxmlformats.org/officeDocument/2006/relationships/hyperlink" Target="https://github.com/Rello/analytics/blob/master/AGENTS.md" TargetMode="External"/><Relationship Id="rId1407" Type="http://schemas.openxmlformats.org/officeDocument/2006/relationships/hyperlink" Target="https://github.com/microsoft/mcp-dotnet-samples/blob/main/AGENTS.md" TargetMode="External"/><Relationship Id="rId1614" Type="http://schemas.openxmlformats.org/officeDocument/2006/relationships/hyperlink" Target="https://github.com/PrefectHQ/marvin/blob/main/CLAUDE.md" TargetMode="External"/><Relationship Id="rId1821" Type="http://schemas.openxmlformats.org/officeDocument/2006/relationships/hyperlink" Target="https://github.com/Azure/autorest.typescript/blob/main/.github/copilot-instructions.md" TargetMode="External"/><Relationship Id="rId195" Type="http://schemas.openxmlformats.org/officeDocument/2006/relationships/hyperlink" Target="https://github.com/RchGrav/claudebox/blob/main/CLAUDE.md" TargetMode="External"/><Relationship Id="rId1919" Type="http://schemas.openxmlformats.org/officeDocument/2006/relationships/hyperlink" Target="https://github.com/Pipelex/pipelex/blob/main/AGENTS.md" TargetMode="External"/><Relationship Id="rId262" Type="http://schemas.openxmlformats.org/officeDocument/2006/relationships/hyperlink" Target="https://github.com/SparkDevNetwork/Rock/blob/master/.github/copilot-instructions.md" TargetMode="External"/><Relationship Id="rId567" Type="http://schemas.openxmlformats.org/officeDocument/2006/relationships/hyperlink" Target="https://github.com/tphakala/birdnet-go/blob/main/CLAUDE.md" TargetMode="External"/><Relationship Id="rId1197" Type="http://schemas.openxmlformats.org/officeDocument/2006/relationships/hyperlink" Target="https://github.com/cloudposse/atmos/blob/main/CLAUDE.md" TargetMode="External"/><Relationship Id="rId122" Type="http://schemas.openxmlformats.org/officeDocument/2006/relationships/hyperlink" Target="https://github.com/HotCakeX/Harden-Windows-Security/blob/main/.github/copilot-instructions.md" TargetMode="External"/><Relationship Id="rId774" Type="http://schemas.openxmlformats.org/officeDocument/2006/relationships/hyperlink" Target="https://github.com/coder/coder/blob/main/CLAUDE.md" TargetMode="External"/><Relationship Id="rId981" Type="http://schemas.openxmlformats.org/officeDocument/2006/relationships/hyperlink" Target="https://github.com/luccahuguet/yazelix/blob/main/AGENTS.md" TargetMode="External"/><Relationship Id="rId1057" Type="http://schemas.openxmlformats.org/officeDocument/2006/relationships/hyperlink" Target="https://github.com/ast-grep/ast-grep/blob/main/.github/copilot-instructions.md" TargetMode="External"/><Relationship Id="rId427" Type="http://schemas.openxmlformats.org/officeDocument/2006/relationships/hyperlink" Target="https://github.com/paradigmxyz/reth/blob/main/CLAUDE.md" TargetMode="External"/><Relationship Id="rId634" Type="http://schemas.openxmlformats.org/officeDocument/2006/relationships/hyperlink" Target="https://github.com/dotnet/runtime/blob/main/.github/copilot-instructions.md" TargetMode="External"/><Relationship Id="rId841" Type="http://schemas.openxmlformats.org/officeDocument/2006/relationships/hyperlink" Target="https://github.com/lfnovo/esperanto/blob/main/CLAUDE.md" TargetMode="External"/><Relationship Id="rId1264" Type="http://schemas.openxmlformats.org/officeDocument/2006/relationships/hyperlink" Target="https://github.com/cloudposse/atmos/blob/main/CLAUDE.md" TargetMode="External"/><Relationship Id="rId1471" Type="http://schemas.openxmlformats.org/officeDocument/2006/relationships/hyperlink" Target="https://github.com/dropseed/plain/blob/main/CLAUDE.md" TargetMode="External"/><Relationship Id="rId1569" Type="http://schemas.openxmlformats.org/officeDocument/2006/relationships/hyperlink" Target="https://github.com/gojiplus/tuber/blob/master/CLAUDE.md" TargetMode="External"/><Relationship Id="rId701" Type="http://schemas.openxmlformats.org/officeDocument/2006/relationships/hyperlink" Target="https://github.com/dotnet/runtime/blob/main/.github/copilot-instructions.md" TargetMode="External"/><Relationship Id="rId939" Type="http://schemas.openxmlformats.org/officeDocument/2006/relationships/hyperlink" Target="https://github.com/xlnfinance/xln/blob/main/CLAUDE.md" TargetMode="External"/><Relationship Id="rId1124" Type="http://schemas.openxmlformats.org/officeDocument/2006/relationships/hyperlink" Target="https://github.com/microsoft/FluidFramework/blob/main/.github/copilot-instructions.md" TargetMode="External"/><Relationship Id="rId1331" Type="http://schemas.openxmlformats.org/officeDocument/2006/relationships/hyperlink" Target="https://github.com/open-metadata/OpenMetadata/blob/main/CLAUDE.md" TargetMode="External"/><Relationship Id="rId1776" Type="http://schemas.openxmlformats.org/officeDocument/2006/relationships/hyperlink" Target="https://github.com/raycast/extensions/blob/main/.github/copilot-instructions.md" TargetMode="External"/><Relationship Id="rId68" Type="http://schemas.openxmlformats.org/officeDocument/2006/relationships/hyperlink" Target="https://github.com/theopenco/llmgateway/blob/main/AGENTS.md" TargetMode="External"/><Relationship Id="rId1429" Type="http://schemas.openxmlformats.org/officeDocument/2006/relationships/hyperlink" Target="https://github.com/useautumn/autumn/blob/main/AGENTS.md" TargetMode="External"/><Relationship Id="rId1636" Type="http://schemas.openxmlformats.org/officeDocument/2006/relationships/hyperlink" Target="https://github.com/wvlet/airframe/blob/main/CLAUDE.md" TargetMode="External"/><Relationship Id="rId1843" Type="http://schemas.openxmlformats.org/officeDocument/2006/relationships/hyperlink" Target="https://github.com/CapSoftware/Cap/blob/main/CLAUDE.md" TargetMode="External"/><Relationship Id="rId1703" Type="http://schemas.openxmlformats.org/officeDocument/2006/relationships/hyperlink" Target="https://github.com/Azure/fleet/blob/main/.github/copilot-instructions.md" TargetMode="External"/><Relationship Id="rId1910" Type="http://schemas.openxmlformats.org/officeDocument/2006/relationships/hyperlink" Target="https://github.com/sybrew/the-seo-framework/blob/master/.github/copilot-instructions.md" TargetMode="External"/><Relationship Id="rId284" Type="http://schemas.openxmlformats.org/officeDocument/2006/relationships/hyperlink" Target="https://github.com/coder/coder/blob/main/CLAUDE.md" TargetMode="External"/><Relationship Id="rId491" Type="http://schemas.openxmlformats.org/officeDocument/2006/relationships/hyperlink" Target="https://github.com/CapSoftware/Cap/blob/main/CLAUDE.md" TargetMode="External"/><Relationship Id="rId144" Type="http://schemas.openxmlformats.org/officeDocument/2006/relationships/hyperlink" Target="https://github.com/owid/owid-grapher/blob/master/.github/copilot-instructions.md" TargetMode="External"/><Relationship Id="rId589" Type="http://schemas.openxmlformats.org/officeDocument/2006/relationships/hyperlink" Target="https://github.com/julep-ai/julep/blob/main/AGENTS.md" TargetMode="External"/><Relationship Id="rId796" Type="http://schemas.openxmlformats.org/officeDocument/2006/relationships/hyperlink" Target="https://github.com/dymensionxyz/dymension/blob/main/CLAUDE.md" TargetMode="External"/><Relationship Id="rId351" Type="http://schemas.openxmlformats.org/officeDocument/2006/relationships/hyperlink" Target="https://github.com/vaadin/flow/blob/main/CLAUDE.md" TargetMode="External"/><Relationship Id="rId449" Type="http://schemas.openxmlformats.org/officeDocument/2006/relationships/hyperlink" Target="https://github.com/dotnet/aspnetcore/blob/main/.github/copilot-instructions.md" TargetMode="External"/><Relationship Id="rId656" Type="http://schemas.openxmlformats.org/officeDocument/2006/relationships/hyperlink" Target="https://github.com/NG-ZORRO/ng-zorro-antd/blob/master/.github/copilot-instructions.md" TargetMode="External"/><Relationship Id="rId863" Type="http://schemas.openxmlformats.org/officeDocument/2006/relationships/hyperlink" Target="https://github.com/OneKeyHQ/app-monorepo/blob/master/CLAUDE.md" TargetMode="External"/><Relationship Id="rId1079" Type="http://schemas.openxmlformats.org/officeDocument/2006/relationships/hyperlink" Target="https://github.com/christianhelle/apiclientcodegen/blob/master/.github/copilot-instructions.md" TargetMode="External"/><Relationship Id="rId1286" Type="http://schemas.openxmlformats.org/officeDocument/2006/relationships/hyperlink" Target="https://github.com/colinhacks/zod/blob/main/CLAUDE.md" TargetMode="External"/><Relationship Id="rId1493" Type="http://schemas.openxmlformats.org/officeDocument/2006/relationships/hyperlink" Target="https://github.com/mixpanel/mixpanel-android/blob/master/.github/copilot-instructions.md" TargetMode="External"/><Relationship Id="rId211" Type="http://schemas.openxmlformats.org/officeDocument/2006/relationships/hyperlink" Target="https://github.com/colinhacks/zod/blob/main/CLAUDE.md" TargetMode="External"/><Relationship Id="rId309" Type="http://schemas.openxmlformats.org/officeDocument/2006/relationships/hyperlink" Target="https://github.com/dailydotdev/apps/blob/main/CLAUDE.md" TargetMode="External"/><Relationship Id="rId516" Type="http://schemas.openxmlformats.org/officeDocument/2006/relationships/hyperlink" Target="https://github.com/ithacaxyz/account/blob/main/CLAUDE.md" TargetMode="External"/><Relationship Id="rId1146" Type="http://schemas.openxmlformats.org/officeDocument/2006/relationships/hyperlink" Target="https://github.com/sarchlab/akita/blob/main/.github/copilot-instructions.md" TargetMode="External"/><Relationship Id="rId1798" Type="http://schemas.openxmlformats.org/officeDocument/2006/relationships/hyperlink" Target="https://github.com/igraph/igraph/blob/main/.github/copilot-instructions.md" TargetMode="External"/><Relationship Id="rId723" Type="http://schemas.openxmlformats.org/officeDocument/2006/relationships/hyperlink" Target="https://github.com/abh/ntppool/blob/main/CLAUDE.md" TargetMode="External"/><Relationship Id="rId930" Type="http://schemas.openxmlformats.org/officeDocument/2006/relationships/hyperlink" Target="https://github.com/truenas/webui/blob/master/CLAUDE.md" TargetMode="External"/><Relationship Id="rId1006" Type="http://schemas.openxmlformats.org/officeDocument/2006/relationships/hyperlink" Target="https://github.com/proximafusion/vmecpp/blob/main/AGENTS.md" TargetMode="External"/><Relationship Id="rId1353" Type="http://schemas.openxmlformats.org/officeDocument/2006/relationships/hyperlink" Target="https://github.com/tphakala/birdnet-go/blob/main/CLAUDE.md" TargetMode="External"/><Relationship Id="rId1560" Type="http://schemas.openxmlformats.org/officeDocument/2006/relationships/hyperlink" Target="https://github.com/geneontology/go-ontology/blob/master/CLAUDE.md" TargetMode="External"/><Relationship Id="rId1658" Type="http://schemas.openxmlformats.org/officeDocument/2006/relationships/hyperlink" Target="https://github.com/janbjorge/pgqueuer/blob/main/AGENTS.md" TargetMode="External"/><Relationship Id="rId1865" Type="http://schemas.openxmlformats.org/officeDocument/2006/relationships/hyperlink" Target="https://github.com/pdfme/pdfme/blob/main/CLAUDE.md" TargetMode="External"/><Relationship Id="rId1213" Type="http://schemas.openxmlformats.org/officeDocument/2006/relationships/hyperlink" Target="https://github.com/collinbarrett/FilterLists/blob/main/.github/copilot-instructions.md" TargetMode="External"/><Relationship Id="rId1420" Type="http://schemas.openxmlformats.org/officeDocument/2006/relationships/hyperlink" Target="https://github.com/python-cachier/cachier/blob/master/AGENTS.md" TargetMode="External"/><Relationship Id="rId1518" Type="http://schemas.openxmlformats.org/officeDocument/2006/relationships/hyperlink" Target="https://github.com/Azure/LogicAppsUX/blob/main/CLAUDE.md" TargetMode="External"/><Relationship Id="rId1725" Type="http://schemas.openxmlformats.org/officeDocument/2006/relationships/hyperlink" Target="https://github.com/microsoft/react-native-windows/blob/main/.github/copilot-instructions.md" TargetMode="External"/><Relationship Id="rId1932" Type="http://schemas.openxmlformats.org/officeDocument/2006/relationships/hyperlink" Target="https://github.com/Pipelex/pipelex/blob/main/CLAUDE.md" TargetMode="External"/><Relationship Id="rId17" Type="http://schemas.openxmlformats.org/officeDocument/2006/relationships/hyperlink" Target="https://github.com/Pipelex/pipelex/blob/main/AGENTS.md" TargetMode="External"/><Relationship Id="rId166" Type="http://schemas.openxmlformats.org/officeDocument/2006/relationships/hyperlink" Target="https://github.com/sybrew/the-seo-framework/blob/master/.github/copilot-instructions.md" TargetMode="External"/><Relationship Id="rId373" Type="http://schemas.openxmlformats.org/officeDocument/2006/relationships/hyperlink" Target="https://github.com/PrairieLearn/PrairieLearn/blob/master/AGENTS.md" TargetMode="External"/><Relationship Id="rId580" Type="http://schemas.openxmlformats.org/officeDocument/2006/relationships/hyperlink" Target="https://github.com/zed-industries/zed/blob/main/CLAUDE.md" TargetMode="External"/><Relationship Id="rId1" Type="http://schemas.openxmlformats.org/officeDocument/2006/relationships/hyperlink" Target="https://github.com/marin-community/marin/blob/main/AGENTS.md" TargetMode="External"/><Relationship Id="rId233" Type="http://schemas.openxmlformats.org/officeDocument/2006/relationships/hyperlink" Target="https://github.com/rustfs/rustfs/blob/main/AGENTS.md" TargetMode="External"/><Relationship Id="rId440" Type="http://schemas.openxmlformats.org/officeDocument/2006/relationships/hyperlink" Target="https://github.com/geneontology/go-ontology/blob/master/CLAUDE.md" TargetMode="External"/><Relationship Id="rId678" Type="http://schemas.openxmlformats.org/officeDocument/2006/relationships/hyperlink" Target="https://github.com/BerriAI/litellm/blob/main/CLAUDE.md" TargetMode="External"/><Relationship Id="rId885" Type="http://schemas.openxmlformats.org/officeDocument/2006/relationships/hyperlink" Target="https://github.com/pannous/wasp/blob/main/CLAUDE.md" TargetMode="External"/><Relationship Id="rId1070" Type="http://schemas.openxmlformats.org/officeDocument/2006/relationships/hyperlink" Target="https://github.com/Azure/autorest.typescript/blob/main/.github/copilot-instructions.md" TargetMode="External"/><Relationship Id="rId300" Type="http://schemas.openxmlformats.org/officeDocument/2006/relationships/hyperlink" Target="https://github.com/Comfy-Org/comfy-claude-prompt-library/blob/master/CLAUDE.md" TargetMode="External"/><Relationship Id="rId538" Type="http://schemas.openxmlformats.org/officeDocument/2006/relationships/hyperlink" Target="https://github.com/open-metadata/OpenMetadata/blob/main/CLAUDE.md" TargetMode="External"/><Relationship Id="rId745" Type="http://schemas.openxmlformats.org/officeDocument/2006/relationships/hyperlink" Target="https://github.com/browser-use/browser-use/blob/main/CLAUDE.md" TargetMode="External"/><Relationship Id="rId952" Type="http://schemas.openxmlformats.org/officeDocument/2006/relationships/hyperlink" Target="https://github.com/biolink/biolink-model/blob/master/AGENTS.md" TargetMode="External"/><Relationship Id="rId1168" Type="http://schemas.openxmlformats.org/officeDocument/2006/relationships/hyperlink" Target="https://github.com/OneKeyHQ/app-monorepo/blob/master/CLAUDE.md" TargetMode="External"/><Relationship Id="rId1375" Type="http://schemas.openxmlformats.org/officeDocument/2006/relationships/hyperlink" Target="https://github.com/EduardoPires/EquinoxProject/blob/master/AGENTS.md" TargetMode="External"/><Relationship Id="rId1582" Type="http://schemas.openxmlformats.org/officeDocument/2006/relationships/hyperlink" Target="https://github.com/lgallard/terraform-aws-backup/blob/master/CLAUDE.md" TargetMode="External"/><Relationship Id="rId81" Type="http://schemas.openxmlformats.org/officeDocument/2006/relationships/hyperlink" Target="https://github.com/wieslawsoltes/Dock/blob/master/AGENTS.md" TargetMode="External"/><Relationship Id="rId605" Type="http://schemas.openxmlformats.org/officeDocument/2006/relationships/hyperlink" Target="https://github.com/PrairieLearn/PrairieLearn/blob/master/AGENTS.md" TargetMode="External"/><Relationship Id="rId812" Type="http://schemas.openxmlformats.org/officeDocument/2006/relationships/hyperlink" Target="https://github.com/geneontology/go-ontology/blob/master/CLAUDE.md" TargetMode="External"/><Relationship Id="rId1028" Type="http://schemas.openxmlformats.org/officeDocument/2006/relationships/hyperlink" Target="https://github.com/theopenco/llmgateway/blob/main/AGENTS.md" TargetMode="External"/><Relationship Id="rId1235" Type="http://schemas.openxmlformats.org/officeDocument/2006/relationships/hyperlink" Target="https://github.com/geneontology/go-ontology/blob/master/CLAUDE.md" TargetMode="External"/><Relationship Id="rId1442" Type="http://schemas.openxmlformats.org/officeDocument/2006/relationships/hyperlink" Target="https://github.com/zenml-io/zenml/blob/main/AGENTS.md" TargetMode="External"/><Relationship Id="rId1887" Type="http://schemas.openxmlformats.org/officeDocument/2006/relationships/hyperlink" Target="https://github.com/friendsofhyperf/components/blob/main/.github/copilot-instructions.md" TargetMode="External"/><Relationship Id="rId1302" Type="http://schemas.openxmlformats.org/officeDocument/2006/relationships/hyperlink" Target="https://github.com/Freika/dawarich/blob/master/CLAUDE.md" TargetMode="External"/><Relationship Id="rId1747" Type="http://schemas.openxmlformats.org/officeDocument/2006/relationships/hyperlink" Target="https://github.com/zwave-js/zwave-js-ui/blob/master/.github/copilot-instructions.md" TargetMode="External"/><Relationship Id="rId39" Type="http://schemas.openxmlformats.org/officeDocument/2006/relationships/hyperlink" Target="https://github.com/python-cachier/cachier/blob/master/AGENTS.md" TargetMode="External"/><Relationship Id="rId1607" Type="http://schemas.openxmlformats.org/officeDocument/2006/relationships/hyperlink" Target="https://github.com/open-metadata/OpenMetadata/blob/main/CLAUDE.md" TargetMode="External"/><Relationship Id="rId1814" Type="http://schemas.openxmlformats.org/officeDocument/2006/relationships/hyperlink" Target="https://github.com/luccahuguet/yazelix/blob/main/AGENTS.md" TargetMode="External"/><Relationship Id="rId188" Type="http://schemas.openxmlformats.org/officeDocument/2006/relationships/hyperlink" Target="https://github.com/zwave-js/zwave-js/blob/master/.github/copilot-instructions.md" TargetMode="External"/><Relationship Id="rId395" Type="http://schemas.openxmlformats.org/officeDocument/2006/relationships/hyperlink" Target="https://github.com/bbc/simorgh/blob/master/.github/copilot-instructions.md" TargetMode="External"/><Relationship Id="rId255" Type="http://schemas.openxmlformats.org/officeDocument/2006/relationships/hyperlink" Target="https://github.com/gitkraken/vscode-gitlens/blob/main/AGENTS.md" TargetMode="External"/><Relationship Id="rId462" Type="http://schemas.openxmlformats.org/officeDocument/2006/relationships/hyperlink" Target="https://github.com/Azure/autorest.typescript/blob/main/.github/copilot-instructions.md" TargetMode="External"/><Relationship Id="rId1092" Type="http://schemas.openxmlformats.org/officeDocument/2006/relationships/hyperlink" Target="https://github.com/dotnet/maui/blob/main/.github/copilot-instructions.md" TargetMode="External"/><Relationship Id="rId1397" Type="http://schemas.openxmlformats.org/officeDocument/2006/relationships/hyperlink" Target="https://github.com/marin-community/marin/blob/main/AGENTS.md" TargetMode="External"/><Relationship Id="rId115" Type="http://schemas.openxmlformats.org/officeDocument/2006/relationships/hyperlink" Target="https://github.com/dotnet/runtime/blob/main/.github/copilot-instructions.md" TargetMode="External"/><Relationship Id="rId322" Type="http://schemas.openxmlformats.org/officeDocument/2006/relationships/hyperlink" Target="https://github.com/lfnovo/esperanto/blob/main/CLAUDE.md" TargetMode="External"/><Relationship Id="rId767" Type="http://schemas.openxmlformats.org/officeDocument/2006/relationships/hyperlink" Target="https://github.com/cloudposse/atmos/blob/main/CLAUDE.md" TargetMode="External"/><Relationship Id="rId974" Type="http://schemas.openxmlformats.org/officeDocument/2006/relationships/hyperlink" Target="https://github.com/langfuse/langfuse/blob/main/AGENTS.md" TargetMode="External"/><Relationship Id="rId627" Type="http://schemas.openxmlformats.org/officeDocument/2006/relationships/hyperlink" Target="https://github.com/dotnet/docs-aspire/blob/main/.github/copilot-instructions.md" TargetMode="External"/><Relationship Id="rId834" Type="http://schemas.openxmlformats.org/officeDocument/2006/relationships/hyperlink" Target="https://github.com/home-assistant/frontend/blob/master/CLAUDE.md" TargetMode="External"/><Relationship Id="rId1257" Type="http://schemas.openxmlformats.org/officeDocument/2006/relationships/hyperlink" Target="https://github.com/J-Tech-Japan/Sekiban/blob/main/CLAUDE.md" TargetMode="External"/><Relationship Id="rId1464" Type="http://schemas.openxmlformats.org/officeDocument/2006/relationships/hyperlink" Target="https://github.com/twentyhq/twenty/blob/main/CLAUDE.md" TargetMode="External"/><Relationship Id="rId1671" Type="http://schemas.openxmlformats.org/officeDocument/2006/relationships/hyperlink" Target="https://github.com/luccahuguet/yazelix/blob/main/AGENTS.md" TargetMode="External"/><Relationship Id="rId901" Type="http://schemas.openxmlformats.org/officeDocument/2006/relationships/hyperlink" Target="https://github.com/qltysh/qlty/blob/main/CLAUDE.md" TargetMode="External"/><Relationship Id="rId1117" Type="http://schemas.openxmlformats.org/officeDocument/2006/relationships/hyperlink" Target="https://github.com/irihitech/Ursa.Avalonia/blob/main/.github/copilot-instructions.md" TargetMode="External"/><Relationship Id="rId1324" Type="http://schemas.openxmlformats.org/officeDocument/2006/relationships/hyperlink" Target="https://github.com/lgallard/terraform-aws-backup/blob/master/CLAUDE.md" TargetMode="External"/><Relationship Id="rId1531" Type="http://schemas.openxmlformats.org/officeDocument/2006/relationships/hyperlink" Target="https://github.com/colinhacks/zod/blob/main/CLAUDE.md" TargetMode="External"/><Relationship Id="rId1769" Type="http://schemas.openxmlformats.org/officeDocument/2006/relationships/hyperlink" Target="https://github.com/dotnet/java-interop/blob/main/.github/copilot-instructions.md" TargetMode="External"/><Relationship Id="rId30" Type="http://schemas.openxmlformats.org/officeDocument/2006/relationships/hyperlink" Target="https://github.com/public-ui/kolibri/blob/master/AGENTS.md" TargetMode="External"/><Relationship Id="rId1629" Type="http://schemas.openxmlformats.org/officeDocument/2006/relationships/hyperlink" Target="https://github.com/vaadin/flow/blob/main/CLAUDE.md" TargetMode="External"/><Relationship Id="rId1836" Type="http://schemas.openxmlformats.org/officeDocument/2006/relationships/hyperlink" Target="https://github.com/julep-ai/julep/blob/main/AGENTS.md" TargetMode="External"/><Relationship Id="rId1903" Type="http://schemas.openxmlformats.org/officeDocument/2006/relationships/hyperlink" Target="https://github.com/evmts/tevm-monorepo/blob/main/CLAUDE.md" TargetMode="External"/><Relationship Id="rId277" Type="http://schemas.openxmlformats.org/officeDocument/2006/relationships/hyperlink" Target="https://github.com/browser-use/browser-use/blob/main/CLAUDE.md" TargetMode="External"/><Relationship Id="rId484" Type="http://schemas.openxmlformats.org/officeDocument/2006/relationships/hyperlink" Target="https://github.com/berachain/beacon-kit/blob/main/CLAUDE.md" TargetMode="External"/><Relationship Id="rId137" Type="http://schemas.openxmlformats.org/officeDocument/2006/relationships/hyperlink" Target="https://github.com/NG-ZORRO/ng-zorro-antd/blob/master/.github/copilot-instructions.md" TargetMode="External"/><Relationship Id="rId344" Type="http://schemas.openxmlformats.org/officeDocument/2006/relationships/hyperlink" Target="https://github.com/safety-research/safety-tooling/blob/main/CLAUDE.md" TargetMode="External"/><Relationship Id="rId691" Type="http://schemas.openxmlformats.org/officeDocument/2006/relationships/hyperlink" Target="https://github.com/pannous/wasp/blob/main/CLAUDE.md" TargetMode="External"/><Relationship Id="rId789" Type="http://schemas.openxmlformats.org/officeDocument/2006/relationships/hyperlink" Target="https://github.com/dailydotdev/apps/blob/main/CLAUDE.md" TargetMode="External"/><Relationship Id="rId996" Type="http://schemas.openxmlformats.org/officeDocument/2006/relationships/hyperlink" Target="https://github.com/Pipelex/pipelex/blob/main/AGENTS.md" TargetMode="External"/><Relationship Id="rId551" Type="http://schemas.openxmlformats.org/officeDocument/2006/relationships/hyperlink" Target="https://github.com/RchGrav/claudebox/blob/main/CLAUDE.md" TargetMode="External"/><Relationship Id="rId649" Type="http://schemas.openxmlformats.org/officeDocument/2006/relationships/hyperlink" Target="https://github.com/microsoft/Olive/blob/main/.github/copilot-instructions.md" TargetMode="External"/><Relationship Id="rId856" Type="http://schemas.openxmlformats.org/officeDocument/2006/relationships/hyperlink" Target="https://github.com/netdata/netdata/blob/master/CLAUDE.md" TargetMode="External"/><Relationship Id="rId1181" Type="http://schemas.openxmlformats.org/officeDocument/2006/relationships/hyperlink" Target="https://github.com/stack-auth/stack-auth/blob/main/AGENTS.md" TargetMode="External"/><Relationship Id="rId1279" Type="http://schemas.openxmlformats.org/officeDocument/2006/relationships/hyperlink" Target="https://github.com/dotnet/runtime/blob/main/.github/copilot-instructions.md" TargetMode="External"/><Relationship Id="rId1486" Type="http://schemas.openxmlformats.org/officeDocument/2006/relationships/hyperlink" Target="https://github.com/logancyang/obsidian-copilot/blob/master/AGENTS.md" TargetMode="External"/><Relationship Id="rId204" Type="http://schemas.openxmlformats.org/officeDocument/2006/relationships/hyperlink" Target="https://github.com/dailydotdev/apps/blob/main/CLAUDE.md" TargetMode="External"/><Relationship Id="rId411" Type="http://schemas.openxmlformats.org/officeDocument/2006/relationships/hyperlink" Target="https://github.com/microsoft/ApplicationInsights-JS/blob/main/.github/copilot-instructions.md" TargetMode="External"/><Relationship Id="rId509" Type="http://schemas.openxmlformats.org/officeDocument/2006/relationships/hyperlink" Target="https://github.com/Freika/dawarich/blob/master/CLAUDE.md" TargetMode="External"/><Relationship Id="rId1041" Type="http://schemas.openxmlformats.org/officeDocument/2006/relationships/hyperlink" Target="https://github.com/zenml-io/zenml/blob/main/AGENTS.md" TargetMode="External"/><Relationship Id="rId1139" Type="http://schemas.openxmlformats.org/officeDocument/2006/relationships/hyperlink" Target="https://github.com/octgn/OCTGN/blob/master/.github/copilot-instructions.md" TargetMode="External"/><Relationship Id="rId1346" Type="http://schemas.openxmlformats.org/officeDocument/2006/relationships/hyperlink" Target="https://github.com/RchGrav/claudebox/blob/main/CLAUDE.md" TargetMode="External"/><Relationship Id="rId1693" Type="http://schemas.openxmlformats.org/officeDocument/2006/relationships/hyperlink" Target="https://github.com/useautumn/autumn/blob/main/AGENTS.md" TargetMode="External"/><Relationship Id="rId716" Type="http://schemas.openxmlformats.org/officeDocument/2006/relationships/hyperlink" Target="https://github.com/abh/ntppool/blob/main/CLAUDE.md" TargetMode="External"/><Relationship Id="rId923" Type="http://schemas.openxmlformats.org/officeDocument/2006/relationships/hyperlink" Target="https://github.com/theopenco/llmgateway/blob/main/CLAUDE.md" TargetMode="External"/><Relationship Id="rId1553" Type="http://schemas.openxmlformats.org/officeDocument/2006/relationships/hyperlink" Target="https://github.com/evmts/tevm-monorepo/blob/main/CLAUDE.md" TargetMode="External"/><Relationship Id="rId1760" Type="http://schemas.openxmlformats.org/officeDocument/2006/relationships/hyperlink" Target="https://github.com/dotnet/runtime/blob/main/.github/copilot-instructions.md" TargetMode="External"/><Relationship Id="rId1858" Type="http://schemas.openxmlformats.org/officeDocument/2006/relationships/hyperlink" Target="https://github.com/ithacaxyz/account/blob/main/CLAUDE.md" TargetMode="External"/><Relationship Id="rId52" Type="http://schemas.openxmlformats.org/officeDocument/2006/relationships/hyperlink" Target="https://github.com/rocketship-ai/rocketship/blob/main/AGENTS.md" TargetMode="External"/><Relationship Id="rId1206" Type="http://schemas.openxmlformats.org/officeDocument/2006/relationships/hyperlink" Target="https://github.com/BerriAI/litellm/blob/main/CLAUDE.md" TargetMode="External"/><Relationship Id="rId1413" Type="http://schemas.openxmlformats.org/officeDocument/2006/relationships/hyperlink" Target="https://github.com/owid/etl/blob/master/AGENTS.md" TargetMode="External"/><Relationship Id="rId1620" Type="http://schemas.openxmlformats.org/officeDocument/2006/relationships/hyperlink" Target="https://github.com/theopenco/llmgateway/blob/main/CLAUDE.md" TargetMode="External"/><Relationship Id="rId1718" Type="http://schemas.openxmlformats.org/officeDocument/2006/relationships/hyperlink" Target="https://github.com/glu-lang/glu/blob/main/.github/copilot-instructions.md" TargetMode="External"/><Relationship Id="rId1925" Type="http://schemas.openxmlformats.org/officeDocument/2006/relationships/hyperlink" Target="https://github.com/xlnfinance/xln/blob/main/CLAUDE.md" TargetMode="External"/><Relationship Id="rId299" Type="http://schemas.openxmlformats.org/officeDocument/2006/relationships/hyperlink" Target="https://github.com/Comfy-Org/comfy-claude-prompt-library/blob/master/CLAUDE.md" TargetMode="External"/><Relationship Id="rId159" Type="http://schemas.openxmlformats.org/officeDocument/2006/relationships/hyperlink" Target="https://github.com/SparkDevNetwork/Rock/blob/master/.github/copilot-instructions.md" TargetMode="External"/><Relationship Id="rId366" Type="http://schemas.openxmlformats.org/officeDocument/2006/relationships/hyperlink" Target="https://github.com/Pipelex/pipelex/blob/main/AGENTS.md" TargetMode="External"/><Relationship Id="rId573" Type="http://schemas.openxmlformats.org/officeDocument/2006/relationships/hyperlink" Target="https://github.com/truenas/webui/blob/master/CLAUDE.md" TargetMode="External"/><Relationship Id="rId780" Type="http://schemas.openxmlformats.org/officeDocument/2006/relationships/hyperlink" Target="https://github.com/Comfy-Org/comfy-claude-prompt-library/blob/master/CLAUDE.md" TargetMode="External"/><Relationship Id="rId226" Type="http://schemas.openxmlformats.org/officeDocument/2006/relationships/hyperlink" Target="https://github.com/lostleaf/binance_datatool/blob/main/CLAUDE.md" TargetMode="External"/><Relationship Id="rId433" Type="http://schemas.openxmlformats.org/officeDocument/2006/relationships/hyperlink" Target="https://github.com/dailydotdev/apps/blob/main/CLAUDE.md" TargetMode="External"/><Relationship Id="rId878" Type="http://schemas.openxmlformats.org/officeDocument/2006/relationships/hyperlink" Target="https://github.com/owid/etl/blob/master/CLAUDE.md" TargetMode="External"/><Relationship Id="rId1063" Type="http://schemas.openxmlformats.org/officeDocument/2006/relationships/hyperlink" Target="https://github.com/Azure/autorest.typescript/blob/main/.github/copilot-instructions.md" TargetMode="External"/><Relationship Id="rId1270" Type="http://schemas.openxmlformats.org/officeDocument/2006/relationships/hyperlink" Target="https://github.com/RchGrav/claudebox/blob/main/CLAUDE.md" TargetMode="External"/><Relationship Id="rId640" Type="http://schemas.openxmlformats.org/officeDocument/2006/relationships/hyperlink" Target="https://github.com/james-gould/azure-keyvault-emulator/blob/master/.github/copilot-instructions.md" TargetMode="External"/><Relationship Id="rId738" Type="http://schemas.openxmlformats.org/officeDocument/2006/relationships/hyperlink" Target="https://github.com/BerriAI/litellm/blob/main/CLAUDE.md" TargetMode="External"/><Relationship Id="rId945" Type="http://schemas.openxmlformats.org/officeDocument/2006/relationships/hyperlink" Target="https://github.com/zed-industries/zed/blob/main/CLAUDE.md" TargetMode="External"/><Relationship Id="rId1368" Type="http://schemas.openxmlformats.org/officeDocument/2006/relationships/hyperlink" Target="https://github.com/cablehead/xs/blob/main/AGENTS.md" TargetMode="External"/><Relationship Id="rId1575" Type="http://schemas.openxmlformats.org/officeDocument/2006/relationships/hyperlink" Target="https://github.com/johnlindquist/kit/blob/main/CLAUDE.md" TargetMode="External"/><Relationship Id="rId1782" Type="http://schemas.openxmlformats.org/officeDocument/2006/relationships/hyperlink" Target="https://github.com/raycast/extensions/blob/main/.github/copilot-instructions.md" TargetMode="External"/><Relationship Id="rId74" Type="http://schemas.openxmlformats.org/officeDocument/2006/relationships/hyperlink" Target="https://github.com/wandb/weave/blob/master/AGENTS.md" TargetMode="External"/><Relationship Id="rId500" Type="http://schemas.openxmlformats.org/officeDocument/2006/relationships/hyperlink" Target="https://github.com/compiler-explorer/infra/blob/main/CLAUDE.md" TargetMode="External"/><Relationship Id="rId805" Type="http://schemas.openxmlformats.org/officeDocument/2006/relationships/hyperlink" Target="https://github.com/FastLED/FastLED/blob/master/CLAUDE.md" TargetMode="External"/><Relationship Id="rId1130" Type="http://schemas.openxmlformats.org/officeDocument/2006/relationships/hyperlink" Target="https://github.com/microsoft/typespec/blob/main/.github/copilot-instructions.md" TargetMode="External"/><Relationship Id="rId1228" Type="http://schemas.openxmlformats.org/officeDocument/2006/relationships/hyperlink" Target="https://github.com/anyproto/anytype-ts/blob/main/CLAUDE.md" TargetMode="External"/><Relationship Id="rId1435" Type="http://schemas.openxmlformats.org/officeDocument/2006/relationships/hyperlink" Target="https://github.com/wieslawsoltes/Xaml.Behaviors/blob/master/AGENTS.md" TargetMode="External"/><Relationship Id="rId1642" Type="http://schemas.openxmlformats.org/officeDocument/2006/relationships/hyperlink" Target="https://github.com/zed-industries/zed/blob/main/CLAUDE.md" TargetMode="External"/><Relationship Id="rId1502" Type="http://schemas.openxmlformats.org/officeDocument/2006/relationships/hyperlink" Target="https://github.com/abh/ntppool/blob/main/CLAUDE.md" TargetMode="External"/><Relationship Id="rId1807" Type="http://schemas.openxmlformats.org/officeDocument/2006/relationships/hyperlink" Target="https://github.com/lightdash/lightdash/blob/main/CLAUDE.md" TargetMode="External"/><Relationship Id="rId290" Type="http://schemas.openxmlformats.org/officeDocument/2006/relationships/hyperlink" Target="https://github.com/coder/coder/blob/main/CLAUDE.md" TargetMode="External"/><Relationship Id="rId388" Type="http://schemas.openxmlformats.org/officeDocument/2006/relationships/hyperlink" Target="https://github.com/zenml-io/zenml/blob/main/AGENTS.md" TargetMode="External"/><Relationship Id="rId150" Type="http://schemas.openxmlformats.org/officeDocument/2006/relationships/hyperlink" Target="https://github.com/sarchlab/akita/blob/main/.github/copilot-instructions.md" TargetMode="External"/><Relationship Id="rId595" Type="http://schemas.openxmlformats.org/officeDocument/2006/relationships/hyperlink" Target="https://github.com/luccahuguet/yazelix/blob/main/AGENTS.md" TargetMode="External"/><Relationship Id="rId248" Type="http://schemas.openxmlformats.org/officeDocument/2006/relationships/hyperlink" Target="https://github.com/Azure/autorest.typescript/blob/main/.github/copilot-instructions.md" TargetMode="External"/><Relationship Id="rId455" Type="http://schemas.openxmlformats.org/officeDocument/2006/relationships/hyperlink" Target="https://github.com/pytorch/pytorch/blob/main/AGENTS.md" TargetMode="External"/><Relationship Id="rId662" Type="http://schemas.openxmlformats.org/officeDocument/2006/relationships/hyperlink" Target="https://github.com/raycast/extensions/blob/main/.github/copilot-instructions.md" TargetMode="External"/><Relationship Id="rId1085" Type="http://schemas.openxmlformats.org/officeDocument/2006/relationships/hyperlink" Target="https://github.com/christianhelle/apiclientcodegen/blob/master/.github/copilot-instructions.md" TargetMode="External"/><Relationship Id="rId1292" Type="http://schemas.openxmlformats.org/officeDocument/2006/relationships/hyperlink" Target="https://github.com/compiler-explorer/compiler-explorer/blob/main/CLAUDE.md" TargetMode="External"/><Relationship Id="rId108" Type="http://schemas.openxmlformats.org/officeDocument/2006/relationships/hyperlink" Target="https://github.com/dotnet/maui/blob/main/.github/copilot-instructions.md" TargetMode="External"/><Relationship Id="rId315" Type="http://schemas.openxmlformats.org/officeDocument/2006/relationships/hyperlink" Target="https://github.com/geneontology/go-ontology/blob/master/CLAUDE.md" TargetMode="External"/><Relationship Id="rId522" Type="http://schemas.openxmlformats.org/officeDocument/2006/relationships/hyperlink" Target="https://github.com/lgallard/terraform-aws-cognito-user-pool/blob/master/CLAUDE.md" TargetMode="External"/><Relationship Id="rId967" Type="http://schemas.openxmlformats.org/officeDocument/2006/relationships/hyperlink" Target="https://github.com/DataDog/datadog-agent/blob/main/AGENTS.md" TargetMode="External"/><Relationship Id="rId1152" Type="http://schemas.openxmlformats.org/officeDocument/2006/relationships/hyperlink" Target="https://github.com/sybrew/the-seo-framework/blob/master/.github/copilot-instructions.md" TargetMode="External"/><Relationship Id="rId1597" Type="http://schemas.openxmlformats.org/officeDocument/2006/relationships/hyperlink" Target="https://github.com/open-metadata/OpenMetadata/blob/main/CLAUDE.md" TargetMode="External"/><Relationship Id="rId96" Type="http://schemas.openxmlformats.org/officeDocument/2006/relationships/hyperlink" Target="https://github.com/Azure/azure-functions-host/blob/master/.github/copilot-instructions.md" TargetMode="External"/><Relationship Id="rId827" Type="http://schemas.openxmlformats.org/officeDocument/2006/relationships/hyperlink" Target="https://github.com/getsentry/sentry-javascript/blob/master/CLAUDE.md" TargetMode="External"/><Relationship Id="rId1012" Type="http://schemas.openxmlformats.org/officeDocument/2006/relationships/hyperlink" Target="https://github.com/pulumi/docs/blob/master/AGENTS.md" TargetMode="External"/><Relationship Id="rId1457" Type="http://schemas.openxmlformats.org/officeDocument/2006/relationships/hyperlink" Target="https://github.com/obophenotype/uberon/blob/master/.github/copilot-instructions.md" TargetMode="External"/><Relationship Id="rId1664" Type="http://schemas.openxmlformats.org/officeDocument/2006/relationships/hyperlink" Target="https://github.com/Kiln-AI/Kiln/blob/main/AGENTS.md" TargetMode="External"/><Relationship Id="rId1871" Type="http://schemas.openxmlformats.org/officeDocument/2006/relationships/hyperlink" Target="https://github.com/commonwarexyz/monorepo/blob/main/AGENTS.md" TargetMode="External"/><Relationship Id="rId1317" Type="http://schemas.openxmlformats.org/officeDocument/2006/relationships/hyperlink" Target="https://github.com/JuliaBesties/BestieTemplate.jl/blob/main/CLAUDE.md" TargetMode="External"/><Relationship Id="rId1524" Type="http://schemas.openxmlformats.org/officeDocument/2006/relationships/hyperlink" Target="https://github.com/browser-use/browser-use/blob/main/CLAUDE.md" TargetMode="External"/><Relationship Id="rId1731" Type="http://schemas.openxmlformats.org/officeDocument/2006/relationships/hyperlink" Target="https://github.com/octgn/OCTGN/blob/master/.github/copilot-instructions.md" TargetMode="External"/><Relationship Id="rId23" Type="http://schemas.openxmlformats.org/officeDocument/2006/relationships/hyperlink" Target="https://github.com/PrairieLearn/PrairieLearn/blob/master/AGENTS.md" TargetMode="External"/><Relationship Id="rId1829" Type="http://schemas.openxmlformats.org/officeDocument/2006/relationships/hyperlink" Target="https://github.com/igraph/igraph/blob/main/.github/copilot-instructions.md" TargetMode="External"/><Relationship Id="rId172" Type="http://schemas.openxmlformats.org/officeDocument/2006/relationships/hyperlink" Target="https://github.com/sybrew/the-seo-framework/blob/master/.github/copilot-instructions.md" TargetMode="External"/><Relationship Id="rId477" Type="http://schemas.openxmlformats.org/officeDocument/2006/relationships/hyperlink" Target="https://github.com/allenai/open-instruct/blob/main/CLAUDE.md" TargetMode="External"/><Relationship Id="rId684" Type="http://schemas.openxmlformats.org/officeDocument/2006/relationships/hyperlink" Target="https://github.com/lostleaf/binance_datatool/blob/main/CLAUDE.md" TargetMode="External"/><Relationship Id="rId337" Type="http://schemas.openxmlformats.org/officeDocument/2006/relationships/hyperlink" Target="https://github.com/Pipelex/pipelex/blob/main/CLAUDE.md" TargetMode="External"/><Relationship Id="rId891" Type="http://schemas.openxmlformats.org/officeDocument/2006/relationships/hyperlink" Target="https://github.com/Pipelex/pipelex/blob/main/CLAUDE.md" TargetMode="External"/><Relationship Id="rId989" Type="http://schemas.openxmlformats.org/officeDocument/2006/relationships/hyperlink" Target="https://github.com/modal-labs/modal-client/blob/main/AGENTS.md" TargetMode="External"/><Relationship Id="rId544" Type="http://schemas.openxmlformats.org/officeDocument/2006/relationships/hyperlink" Target="https://github.com/PrefectHQ/marvin/blob/main/CLAUDE.md" TargetMode="External"/><Relationship Id="rId751" Type="http://schemas.openxmlformats.org/officeDocument/2006/relationships/hyperlink" Target="https://github.com/CapSoftware/Cap/blob/main/CLAUDE.md" TargetMode="External"/><Relationship Id="rId849" Type="http://schemas.openxmlformats.org/officeDocument/2006/relationships/hyperlink" Target="https://github.com/module-federation/core/blob/main/CLAUDE.md" TargetMode="External"/><Relationship Id="rId1174" Type="http://schemas.openxmlformats.org/officeDocument/2006/relationships/hyperlink" Target="https://github.com/OneKeyHQ/app-monorepo/blob/master/CLAUDE.md" TargetMode="External"/><Relationship Id="rId1381" Type="http://schemas.openxmlformats.org/officeDocument/2006/relationships/hyperlink" Target="https://github.com/janbjorge/pgqueuer/blob/main/AGENTS.md" TargetMode="External"/><Relationship Id="rId1479" Type="http://schemas.openxmlformats.org/officeDocument/2006/relationships/hyperlink" Target="https://github.com/twentyhq/twenty/blob/main/CLAUDE.md" TargetMode="External"/><Relationship Id="rId1686" Type="http://schemas.openxmlformats.org/officeDocument/2006/relationships/hyperlink" Target="https://github.com/Pipelex/pipelex/blob/main/AGENTS.md" TargetMode="External"/><Relationship Id="rId404" Type="http://schemas.openxmlformats.org/officeDocument/2006/relationships/hyperlink" Target="https://github.com/DumbWareio/DumbAssets/blob/main/.github/copilot-instructions.md" TargetMode="External"/><Relationship Id="rId611" Type="http://schemas.openxmlformats.org/officeDocument/2006/relationships/hyperlink" Target="https://github.com/rustfs/rustfs/blob/main/AGENTS.md" TargetMode="External"/><Relationship Id="rId1034" Type="http://schemas.openxmlformats.org/officeDocument/2006/relationships/hyperlink" Target="https://github.com/webgptorg/promptbook/blob/main/AGENTS.md" TargetMode="External"/><Relationship Id="rId1241" Type="http://schemas.openxmlformats.org/officeDocument/2006/relationships/hyperlink" Target="https://github.com/traceloop/openllmetry/blob/main/CLAUDE.md" TargetMode="External"/><Relationship Id="rId1339" Type="http://schemas.openxmlformats.org/officeDocument/2006/relationships/hyperlink" Target="https://github.com/open-metadata/OpenMetadata/blob/main/CLAUDE.md" TargetMode="External"/><Relationship Id="rId1893" Type="http://schemas.openxmlformats.org/officeDocument/2006/relationships/hyperlink" Target="https://github.com/wled/WLED/blob/main/.github/copilot-instructions.md" TargetMode="External"/><Relationship Id="rId709" Type="http://schemas.openxmlformats.org/officeDocument/2006/relationships/hyperlink" Target="https://github.com/Azure/AgentBaker/blob/main/.github/copilot-instructions.md" TargetMode="External"/><Relationship Id="rId916" Type="http://schemas.openxmlformats.org/officeDocument/2006/relationships/hyperlink" Target="https://github.com/Southclaws/storyden/blob/main/CLAUDE.md" TargetMode="External"/><Relationship Id="rId1101" Type="http://schemas.openxmlformats.org/officeDocument/2006/relationships/hyperlink" Target="https://github.com/geneontology/go-ontology/blob/master/.github/copilot-instructions.md" TargetMode="External"/><Relationship Id="rId1546" Type="http://schemas.openxmlformats.org/officeDocument/2006/relationships/hyperlink" Target="https://github.com/dotCMS/core/blob/main/CLAUDE.md" TargetMode="External"/><Relationship Id="rId1753" Type="http://schemas.openxmlformats.org/officeDocument/2006/relationships/hyperlink" Target="https://github.com/shinnku-nikaidou/shinnku-com/blob/main/AGENTS.md" TargetMode="External"/><Relationship Id="rId45" Type="http://schemas.openxmlformats.org/officeDocument/2006/relationships/hyperlink" Target="https://github.com/Rello/analytics/blob/master/AGENTS.md" TargetMode="External"/><Relationship Id="rId1406" Type="http://schemas.openxmlformats.org/officeDocument/2006/relationships/hyperlink" Target="https://github.com/mark3labs/mcp-go/blob/main/AGENTS.md" TargetMode="External"/><Relationship Id="rId1613" Type="http://schemas.openxmlformats.org/officeDocument/2006/relationships/hyperlink" Target="https://github.com/Pipelex/pipelex/blob/main/CLAUDE.md" TargetMode="External"/><Relationship Id="rId1820" Type="http://schemas.openxmlformats.org/officeDocument/2006/relationships/hyperlink" Target="https://github.com/Azure/autorest.typescript/blob/main/.github/copilot-instructions.md" TargetMode="External"/><Relationship Id="rId194" Type="http://schemas.openxmlformats.org/officeDocument/2006/relationships/hyperlink" Target="https://github.com/cloudposse/atmos/blob/main/CLAUDE.md" TargetMode="External"/><Relationship Id="rId1918" Type="http://schemas.openxmlformats.org/officeDocument/2006/relationships/hyperlink" Target="https://github.com/xlnfinance/xln/blob/main/CLAUDE.md" TargetMode="External"/><Relationship Id="rId261" Type="http://schemas.openxmlformats.org/officeDocument/2006/relationships/hyperlink" Target="https://github.com/SparkDevNetwork/Rock/blob/master/.github/copilot-instructions.md" TargetMode="External"/><Relationship Id="rId499" Type="http://schemas.openxmlformats.org/officeDocument/2006/relationships/hyperlink" Target="https://github.com/compiler-explorer/infra/blob/main/CLAUDE.md" TargetMode="External"/><Relationship Id="rId359" Type="http://schemas.openxmlformats.org/officeDocument/2006/relationships/hyperlink" Target="https://github.com/commonwarexyz/monorepo/blob/main/AGENTS.md" TargetMode="External"/><Relationship Id="rId566" Type="http://schemas.openxmlformats.org/officeDocument/2006/relationships/hyperlink" Target="https://github.com/theopenco/llmgateway/blob/main/CLAUDE.md" TargetMode="External"/><Relationship Id="rId773" Type="http://schemas.openxmlformats.org/officeDocument/2006/relationships/hyperlink" Target="https://github.com/coder/coder/blob/main/CLAUDE.md" TargetMode="External"/><Relationship Id="rId1196" Type="http://schemas.openxmlformats.org/officeDocument/2006/relationships/hyperlink" Target="https://github.com/stack-auth/stack-auth/blob/main/AGENTS.md" TargetMode="External"/><Relationship Id="rId121" Type="http://schemas.openxmlformats.org/officeDocument/2006/relationships/hyperlink" Target="https://github.com/HotCakeX/Harden-Windows-Security/blob/main/.github/copilot-instructions.md" TargetMode="External"/><Relationship Id="rId219" Type="http://schemas.openxmlformats.org/officeDocument/2006/relationships/hyperlink" Target="https://github.com/wled/WLED/blob/main/.github/copilot-instructions.md" TargetMode="External"/><Relationship Id="rId426" Type="http://schemas.openxmlformats.org/officeDocument/2006/relationships/hyperlink" Target="https://github.com/CapSoftware/Cap/blob/main/CLAUDE.md" TargetMode="External"/><Relationship Id="rId633" Type="http://schemas.openxmlformats.org/officeDocument/2006/relationships/hyperlink" Target="https://github.com/dotnet/runtime/blob/main/.github/copilot-instructions.md" TargetMode="External"/><Relationship Id="rId980" Type="http://schemas.openxmlformats.org/officeDocument/2006/relationships/hyperlink" Target="https://github.com/luccahuguet/yazelix/blob/main/AGENTS.md" TargetMode="External"/><Relationship Id="rId1056" Type="http://schemas.openxmlformats.org/officeDocument/2006/relationships/hyperlink" Target="https://github.com/ast-grep/ast-grep/blob/main/.github/copilot-instructions.md" TargetMode="External"/><Relationship Id="rId1263" Type="http://schemas.openxmlformats.org/officeDocument/2006/relationships/hyperlink" Target="https://github.com/cloudposse/atmos/blob/main/CLAUDE.md" TargetMode="External"/><Relationship Id="rId840" Type="http://schemas.openxmlformats.org/officeDocument/2006/relationships/hyperlink" Target="https://github.com/lfnovo/esperanto/blob/main/CLAUDE.md" TargetMode="External"/><Relationship Id="rId938" Type="http://schemas.openxmlformats.org/officeDocument/2006/relationships/hyperlink" Target="https://github.com/xlnfinance/xln/blob/main/CLAUDE.md" TargetMode="External"/><Relationship Id="rId1470" Type="http://schemas.openxmlformats.org/officeDocument/2006/relationships/hyperlink" Target="https://github.com/colinhacks/zod/blob/main/CLAUDE.md" TargetMode="External"/><Relationship Id="rId1568" Type="http://schemas.openxmlformats.org/officeDocument/2006/relationships/hyperlink" Target="https://github.com/getsentry/vitest-evals/blob/main/CLAUDE.md" TargetMode="External"/><Relationship Id="rId1775" Type="http://schemas.openxmlformats.org/officeDocument/2006/relationships/hyperlink" Target="https://github.com/vczh-libraries/GacUI/blob/master/.github/copilot-instructions.md" TargetMode="External"/><Relationship Id="rId67" Type="http://schemas.openxmlformats.org/officeDocument/2006/relationships/hyperlink" Target="https://github.com/theopenco/llmgateway/blob/main/AGENTS.md" TargetMode="External"/><Relationship Id="rId700" Type="http://schemas.openxmlformats.org/officeDocument/2006/relationships/hyperlink" Target="https://github.com/dotnet/maui/blob/main/.github/copilot-instructions.md" TargetMode="External"/><Relationship Id="rId1123" Type="http://schemas.openxmlformats.org/officeDocument/2006/relationships/hyperlink" Target="https://github.com/microsoft/ApplicationInsights-JS/blob/main/.github/copilot-instructions.md" TargetMode="External"/><Relationship Id="rId1330" Type="http://schemas.openxmlformats.org/officeDocument/2006/relationships/hyperlink" Target="https://github.com/open-metadata/OpenMetadata/blob/main/CLAUDE.md" TargetMode="External"/><Relationship Id="rId1428" Type="http://schemas.openxmlformats.org/officeDocument/2006/relationships/hyperlink" Target="https://github.com/theopenco/llmgateway/blob/main/AGENTS.md" TargetMode="External"/><Relationship Id="rId1635" Type="http://schemas.openxmlformats.org/officeDocument/2006/relationships/hyperlink" Target="https://github.com/wvlet/airframe/blob/main/CLAUDE.md" TargetMode="External"/><Relationship Id="rId1842" Type="http://schemas.openxmlformats.org/officeDocument/2006/relationships/hyperlink" Target="https://github.com/actnwit/RhodoniteTS/blob/main/CLAUDE.md" TargetMode="External"/><Relationship Id="rId1702" Type="http://schemas.openxmlformats.org/officeDocument/2006/relationships/hyperlink" Target="https://github.com/Azure/fleet/blob/main/.github/copilot-instructions.md" TargetMode="External"/><Relationship Id="rId283" Type="http://schemas.openxmlformats.org/officeDocument/2006/relationships/hyperlink" Target="https://github.com/coder/coder/blob/main/CLAUDE.md" TargetMode="External"/><Relationship Id="rId490" Type="http://schemas.openxmlformats.org/officeDocument/2006/relationships/hyperlink" Target="https://github.com/CapSoftware/Cap/blob/main/CLAUDE.md" TargetMode="External"/><Relationship Id="rId143" Type="http://schemas.openxmlformats.org/officeDocument/2006/relationships/hyperlink" Target="https://github.com/obophenotype/uberon/blob/master/.github/copilot-instructions.md" TargetMode="External"/><Relationship Id="rId350" Type="http://schemas.openxmlformats.org/officeDocument/2006/relationships/hyperlink" Target="https://github.com/truenas/webui/blob/master/CLAUDE.md" TargetMode="External"/><Relationship Id="rId588" Type="http://schemas.openxmlformats.org/officeDocument/2006/relationships/hyperlink" Target="https://github.com/janbjorge/pgqueuer/blob/main/AGENTS.md" TargetMode="External"/><Relationship Id="rId795" Type="http://schemas.openxmlformats.org/officeDocument/2006/relationships/hyperlink" Target="https://github.com/dropseed/plain/blob/main/CLAUDE.md" TargetMode="External"/><Relationship Id="rId9" Type="http://schemas.openxmlformats.org/officeDocument/2006/relationships/hyperlink" Target="https://github.com/openai/openai-agents-python/blob/main/AGENTS.md" TargetMode="External"/><Relationship Id="rId210" Type="http://schemas.openxmlformats.org/officeDocument/2006/relationships/hyperlink" Target="https://github.com/CapSoftware/Cap/blob/main/AGENTS.md" TargetMode="External"/><Relationship Id="rId448" Type="http://schemas.openxmlformats.org/officeDocument/2006/relationships/hyperlink" Target="https://github.com/Azure/azure-functions-host/blob/master/.github/copilot-instructions.md" TargetMode="External"/><Relationship Id="rId655" Type="http://schemas.openxmlformats.org/officeDocument/2006/relationships/hyperlink" Target="https://github.com/NG-ZORRO/ng-zorro-antd/blob/master/.github/copilot-instructions.md" TargetMode="External"/><Relationship Id="rId862" Type="http://schemas.openxmlformats.org/officeDocument/2006/relationships/hyperlink" Target="https://github.com/OneKeyHQ/app-monorepo/blob/master/CLAUDE.md" TargetMode="External"/><Relationship Id="rId1078" Type="http://schemas.openxmlformats.org/officeDocument/2006/relationships/hyperlink" Target="https://github.com/Chainlit/chainlit/blob/main/.github/copilot-instructions.md" TargetMode="External"/><Relationship Id="rId1285" Type="http://schemas.openxmlformats.org/officeDocument/2006/relationships/hyperlink" Target="https://github.com/CapSoftware/Cap/blob/main/CLAUDE.md" TargetMode="External"/><Relationship Id="rId1492" Type="http://schemas.openxmlformats.org/officeDocument/2006/relationships/hyperlink" Target="https://github.com/Azure/AgentBaker/blob/main/.github/copilot-instructions.md" TargetMode="External"/><Relationship Id="rId308" Type="http://schemas.openxmlformats.org/officeDocument/2006/relationships/hyperlink" Target="https://github.com/dailydotdev/apps/blob/main/CLAUDE.md" TargetMode="External"/><Relationship Id="rId515" Type="http://schemas.openxmlformats.org/officeDocument/2006/relationships/hyperlink" Target="https://github.com/home-assistant/frontend/blob/master/CLAUDE.md" TargetMode="External"/><Relationship Id="rId722" Type="http://schemas.openxmlformats.org/officeDocument/2006/relationships/hyperlink" Target="https://github.com/abh/ntppool/blob/main/CLAUDE.md" TargetMode="External"/><Relationship Id="rId1145" Type="http://schemas.openxmlformats.org/officeDocument/2006/relationships/hyperlink" Target="https://github.com/sarchlab/akita/blob/main/.github/copilot-instructions.md" TargetMode="External"/><Relationship Id="rId1352" Type="http://schemas.openxmlformats.org/officeDocument/2006/relationships/hyperlink" Target="https://github.com/theopenco/llmgateway/blob/main/CLAUDE.md" TargetMode="External"/><Relationship Id="rId1797" Type="http://schemas.openxmlformats.org/officeDocument/2006/relationships/hyperlink" Target="https://github.com/theopenco/llmgateway/blob/main/AGENTS.md" TargetMode="External"/><Relationship Id="rId89" Type="http://schemas.openxmlformats.org/officeDocument/2006/relationships/hyperlink" Target="https://github.com/zenml-io/zenml/blob/main/AGENTS.md" TargetMode="External"/><Relationship Id="rId1005" Type="http://schemas.openxmlformats.org/officeDocument/2006/relationships/hyperlink" Target="https://github.com/proximafusion/vmecpp/blob/main/AGENTS.md" TargetMode="External"/><Relationship Id="rId1212" Type="http://schemas.openxmlformats.org/officeDocument/2006/relationships/hyperlink" Target="https://github.com/owid/etl/blob/master/AGENTS.md" TargetMode="External"/><Relationship Id="rId1657" Type="http://schemas.openxmlformats.org/officeDocument/2006/relationships/hyperlink" Target="https://github.com/janbjorge/pgqueuer/blob/main/AGENTS.md" TargetMode="External"/><Relationship Id="rId1864" Type="http://schemas.openxmlformats.org/officeDocument/2006/relationships/hyperlink" Target="https://github.com/obophenotype/uberon/blob/master/CLAUDE.md" TargetMode="External"/><Relationship Id="rId1517" Type="http://schemas.openxmlformats.org/officeDocument/2006/relationships/hyperlink" Target="https://github.com/anyproto/anytype-ts/blob/main/CLAUDE.md" TargetMode="External"/><Relationship Id="rId1724" Type="http://schemas.openxmlformats.org/officeDocument/2006/relationships/hyperlink" Target="https://github.com/microsoft/python-environment-tools/blob/main/.github/copilot-instructions.md" TargetMode="External"/><Relationship Id="rId16" Type="http://schemas.openxmlformats.org/officeDocument/2006/relationships/hyperlink" Target="https://github.com/Pipelex/pipelex/blob/main/AGENTS.md" TargetMode="External"/><Relationship Id="rId1931" Type="http://schemas.openxmlformats.org/officeDocument/2006/relationships/hyperlink" Target="https://github.com/public-ui/kolibri/blob/master/AGENTS.md" TargetMode="External"/><Relationship Id="rId165" Type="http://schemas.openxmlformats.org/officeDocument/2006/relationships/hyperlink" Target="https://github.com/sybrew/the-seo-framework/blob/master/.github/copilot-instructions.md" TargetMode="External"/><Relationship Id="rId372" Type="http://schemas.openxmlformats.org/officeDocument/2006/relationships/hyperlink" Target="https://github.com/PrairieLearn/PrairieLearn/blob/master/AGENTS.md" TargetMode="External"/><Relationship Id="rId677" Type="http://schemas.openxmlformats.org/officeDocument/2006/relationships/hyperlink" Target="https://github.com/vczh-libraries/GacUI/blob/master/.github/copilot-instructions.md" TargetMode="External"/><Relationship Id="rId232" Type="http://schemas.openxmlformats.org/officeDocument/2006/relationships/hyperlink" Target="https://github.com/pulumi/docs/blob/master/AGENTS.md" TargetMode="External"/><Relationship Id="rId884" Type="http://schemas.openxmlformats.org/officeDocument/2006/relationships/hyperlink" Target="https://github.com/pannous/wasp/blob/main/CLAUDE.md" TargetMode="External"/><Relationship Id="rId537" Type="http://schemas.openxmlformats.org/officeDocument/2006/relationships/hyperlink" Target="https://github.com/open-metadata/OpenMetadata/blob/main/CLAUDE.md" TargetMode="External"/><Relationship Id="rId744" Type="http://schemas.openxmlformats.org/officeDocument/2006/relationships/hyperlink" Target="https://github.com/browser-use/browser-use/blob/main/CLAUDE.md" TargetMode="External"/><Relationship Id="rId951" Type="http://schemas.openxmlformats.org/officeDocument/2006/relationships/hyperlink" Target="https://github.com/biolink/biolink-model/blob/master/AGENTS.md" TargetMode="External"/><Relationship Id="rId1167" Type="http://schemas.openxmlformats.org/officeDocument/2006/relationships/hyperlink" Target="https://github.com/OneKeyHQ/app-monorepo/blob/master/CLAUDE.md" TargetMode="External"/><Relationship Id="rId1374" Type="http://schemas.openxmlformats.org/officeDocument/2006/relationships/hyperlink" Target="https://github.com/DannyMac180/meta-agent/blob/main/AGENTS.md" TargetMode="External"/><Relationship Id="rId1581" Type="http://schemas.openxmlformats.org/officeDocument/2006/relationships/hyperlink" Target="https://github.com/langchain-ai/langchain/blob/master/CLAUDE.md" TargetMode="External"/><Relationship Id="rId1679" Type="http://schemas.openxmlformats.org/officeDocument/2006/relationships/hyperlink" Target="https://github.com/mbrt/gmailctl/blob/master/AGENTS.md" TargetMode="External"/><Relationship Id="rId80" Type="http://schemas.openxmlformats.org/officeDocument/2006/relationships/hyperlink" Target="https://github.com/webgptorg/promptbook/blob/main/AGENTS.md" TargetMode="External"/><Relationship Id="rId604" Type="http://schemas.openxmlformats.org/officeDocument/2006/relationships/hyperlink" Target="https://github.com/PrairieLearn/PrairieLearn/blob/master/AGENTS.md" TargetMode="External"/><Relationship Id="rId811" Type="http://schemas.openxmlformats.org/officeDocument/2006/relationships/hyperlink" Target="https://github.com/geneontology/go-ontology/blob/master/CLAUDE.md" TargetMode="External"/><Relationship Id="rId1027" Type="http://schemas.openxmlformats.org/officeDocument/2006/relationships/hyperlink" Target="https://github.com/theopenco/llmgateway/blob/main/AGENTS.md" TargetMode="External"/><Relationship Id="rId1234" Type="http://schemas.openxmlformats.org/officeDocument/2006/relationships/hyperlink" Target="https://github.com/Freika/dawarich/blob/master/CLAUDE.md" TargetMode="External"/><Relationship Id="rId1441" Type="http://schemas.openxmlformats.org/officeDocument/2006/relationships/hyperlink" Target="https://github.com/zenml-io/zenml/blob/main/AGENTS.md" TargetMode="External"/><Relationship Id="rId1886" Type="http://schemas.openxmlformats.org/officeDocument/2006/relationships/hyperlink" Target="https://github.com/dotnet/sdk/blob/main/.github/copilot-instructions.md" TargetMode="External"/><Relationship Id="rId909" Type="http://schemas.openxmlformats.org/officeDocument/2006/relationships/hyperlink" Target="https://github.com/RchGrav/claudebox/blob/main/CLAUDE.md" TargetMode="External"/><Relationship Id="rId1301" Type="http://schemas.openxmlformats.org/officeDocument/2006/relationships/hyperlink" Target="https://github.com/Freika/dawarich/blob/master/CLAUDE.md" TargetMode="External"/><Relationship Id="rId1539" Type="http://schemas.openxmlformats.org/officeDocument/2006/relationships/hyperlink" Target="https://github.com/compiler-explorer/compiler-explorer/blob/main/CLAUDE.md" TargetMode="External"/><Relationship Id="rId1746" Type="http://schemas.openxmlformats.org/officeDocument/2006/relationships/hyperlink" Target="https://github.com/zwave-js/zwave-js/blob/master/.github/copilot-instructions.md" TargetMode="External"/><Relationship Id="rId38" Type="http://schemas.openxmlformats.org/officeDocument/2006/relationships/hyperlink" Target="https://github.com/pulumi/docs/blob/master/AGENTS.md" TargetMode="External"/><Relationship Id="rId1606" Type="http://schemas.openxmlformats.org/officeDocument/2006/relationships/hyperlink" Target="https://github.com/open-metadata/OpenMetadata/blob/main/CLAUDE.md" TargetMode="External"/><Relationship Id="rId1813" Type="http://schemas.openxmlformats.org/officeDocument/2006/relationships/hyperlink" Target="https://github.com/langchain-ai/langchain/blob/master/AGENTS.md" TargetMode="External"/><Relationship Id="rId187" Type="http://schemas.openxmlformats.org/officeDocument/2006/relationships/hyperlink" Target="https://github.com/zwave-js/zwave-js/blob/master/.github/copilot-instructions.md" TargetMode="External"/><Relationship Id="rId394" Type="http://schemas.openxmlformats.org/officeDocument/2006/relationships/hyperlink" Target="https://github.com/Azure/azure-sdk-tools/blob/main/.github/copilot-instructions.md" TargetMode="External"/><Relationship Id="rId254" Type="http://schemas.openxmlformats.org/officeDocument/2006/relationships/hyperlink" Target="https://github.com/gitkraken/vscode-gitlens/blob/main/AGENTS.md" TargetMode="External"/><Relationship Id="rId699" Type="http://schemas.openxmlformats.org/officeDocument/2006/relationships/hyperlink" Target="https://github.com/python-cachier/cachier/blob/master/AGENTS.md" TargetMode="External"/><Relationship Id="rId1091" Type="http://schemas.openxmlformats.org/officeDocument/2006/relationships/hyperlink" Target="https://github.com/dotnet/core/blob/main/.github/copilot-instructions.md" TargetMode="External"/><Relationship Id="rId114" Type="http://schemas.openxmlformats.org/officeDocument/2006/relationships/hyperlink" Target="https://github.com/dotnet/runtime/blob/main/.github/copilot-instructions.md" TargetMode="External"/><Relationship Id="rId461" Type="http://schemas.openxmlformats.org/officeDocument/2006/relationships/hyperlink" Target="https://github.com/lfnovo/esperanto/blob/main/CLAUDE.md" TargetMode="External"/><Relationship Id="rId559" Type="http://schemas.openxmlformats.org/officeDocument/2006/relationships/hyperlink" Target="https://github.com/speaches-ai/speaches/blob/master/CLAUDE.md" TargetMode="External"/><Relationship Id="rId766" Type="http://schemas.openxmlformats.org/officeDocument/2006/relationships/hyperlink" Target="https://github.com/cloudposse/atmos/blob/main/CLAUDE.md" TargetMode="External"/><Relationship Id="rId1189" Type="http://schemas.openxmlformats.org/officeDocument/2006/relationships/hyperlink" Target="https://github.com/dotnet/maui/blob/main/.github/copilot-instructions.md" TargetMode="External"/><Relationship Id="rId1396" Type="http://schemas.openxmlformats.org/officeDocument/2006/relationships/hyperlink" Target="https://github.com/marin-community/marin/blob/main/AGENTS.md" TargetMode="External"/><Relationship Id="rId321" Type="http://schemas.openxmlformats.org/officeDocument/2006/relationships/hyperlink" Target="https://github.com/lfnovo/esperanto/blob/main/CLAUDE.md" TargetMode="External"/><Relationship Id="rId419" Type="http://schemas.openxmlformats.org/officeDocument/2006/relationships/hyperlink" Target="https://github.com/ShaunLawrie/PwshSpectreConsole/blob/main/.github/copilot-instructions.md" TargetMode="External"/><Relationship Id="rId626" Type="http://schemas.openxmlformats.org/officeDocument/2006/relationships/hyperlink" Target="https://github.com/dotnet/aspnetcore/blob/main/.github/copilot-instructions.md" TargetMode="External"/><Relationship Id="rId973" Type="http://schemas.openxmlformats.org/officeDocument/2006/relationships/hyperlink" Target="https://github.com/langfuse/langfuse/blob/main/AGENTS.md" TargetMode="External"/><Relationship Id="rId1049" Type="http://schemas.openxmlformats.org/officeDocument/2006/relationships/hyperlink" Target="https://github.com/ast-grep/ast-grep/blob/main/.github/copilot-instructions.md" TargetMode="External"/><Relationship Id="rId1256" Type="http://schemas.openxmlformats.org/officeDocument/2006/relationships/hyperlink" Target="https://github.com/coder/coder/blob/main/CLAUDE.md" TargetMode="External"/><Relationship Id="rId833" Type="http://schemas.openxmlformats.org/officeDocument/2006/relationships/hyperlink" Target="https://github.com/home-assistant/frontend/blob/master/CLAUDE.md" TargetMode="External"/><Relationship Id="rId1116" Type="http://schemas.openxmlformats.org/officeDocument/2006/relationships/hyperlink" Target="https://github.com/irihitech/Ursa.Avalonia/blob/main/.github/copilot-instructions.md" TargetMode="External"/><Relationship Id="rId1463" Type="http://schemas.openxmlformats.org/officeDocument/2006/relationships/hyperlink" Target="https://github.com/langchain-ai/langchain/blob/master/CLAUDE.md" TargetMode="External"/><Relationship Id="rId1670" Type="http://schemas.openxmlformats.org/officeDocument/2006/relationships/hyperlink" Target="https://github.com/logancyang/obsidian-copilot/blob/master/AGENTS.md" TargetMode="External"/><Relationship Id="rId1768" Type="http://schemas.openxmlformats.org/officeDocument/2006/relationships/hyperlink" Target="https://github.com/gitkraken/vscode-gitlens/blob/main/AGENTS.md" TargetMode="External"/><Relationship Id="rId900" Type="http://schemas.openxmlformats.org/officeDocument/2006/relationships/hyperlink" Target="https://github.com/proximafusion/vmecpp/blob/main/CLAUDE.md" TargetMode="External"/><Relationship Id="rId1323" Type="http://schemas.openxmlformats.org/officeDocument/2006/relationships/hyperlink" Target="https://github.com/lgallard/terraform-aws-backup/blob/master/CLAUDE.md" TargetMode="External"/><Relationship Id="rId1530" Type="http://schemas.openxmlformats.org/officeDocument/2006/relationships/hyperlink" Target="https://github.com/colinhacks/zod/blob/main/CLAUDE.md" TargetMode="External"/><Relationship Id="rId1628" Type="http://schemas.openxmlformats.org/officeDocument/2006/relationships/hyperlink" Target="https://github.com/vaadin/flow/blob/main/CLAUDE.md" TargetMode="External"/><Relationship Id="rId1835" Type="http://schemas.openxmlformats.org/officeDocument/2006/relationships/hyperlink" Target="https://github.com/open-metadata/OpenMetadata/blob/main/CLAUDE.md" TargetMode="External"/><Relationship Id="rId1902" Type="http://schemas.openxmlformats.org/officeDocument/2006/relationships/hyperlink" Target="https://github.com/luccahuguet/yazelix/blob/main/AGENTS.md" TargetMode="External"/><Relationship Id="rId276" Type="http://schemas.openxmlformats.org/officeDocument/2006/relationships/hyperlink" Target="https://github.com/BerriAI/litellm/blob/main/CLAUDE.md" TargetMode="External"/><Relationship Id="rId483" Type="http://schemas.openxmlformats.org/officeDocument/2006/relationships/hyperlink" Target="https://github.com/Azure/LogicAppsUX/blob/main/CLAUDE.md" TargetMode="External"/><Relationship Id="rId690" Type="http://schemas.openxmlformats.org/officeDocument/2006/relationships/hyperlink" Target="https://github.com/OneKeyHQ/app-monorepo/blob/master/CLAUDE.md" TargetMode="External"/><Relationship Id="rId136" Type="http://schemas.openxmlformats.org/officeDocument/2006/relationships/hyperlink" Target="https://github.com/NG-ZORRO/ng-zorro-antd/blob/master/.github/copilot-instructions.md" TargetMode="External"/><Relationship Id="rId343" Type="http://schemas.openxmlformats.org/officeDocument/2006/relationships/hyperlink" Target="https://github.com/RchGrav/claudebox/blob/main/CLAUDE.md" TargetMode="External"/><Relationship Id="rId550" Type="http://schemas.openxmlformats.org/officeDocument/2006/relationships/hyperlink" Target="https://github.com/RchGrav/claudebox/blob/main/CLAUDE.md" TargetMode="External"/><Relationship Id="rId788" Type="http://schemas.openxmlformats.org/officeDocument/2006/relationships/hyperlink" Target="https://github.com/dailydotdev/apps/blob/main/CLAUDE.md" TargetMode="External"/><Relationship Id="rId995" Type="http://schemas.openxmlformats.org/officeDocument/2006/relationships/hyperlink" Target="https://github.com/Pipelex/pipelex/blob/main/AGENTS.md" TargetMode="External"/><Relationship Id="rId1180" Type="http://schemas.openxmlformats.org/officeDocument/2006/relationships/hyperlink" Target="https://github.com/marin-community/marin/blob/main/AGENTS.md" TargetMode="External"/><Relationship Id="rId203" Type="http://schemas.openxmlformats.org/officeDocument/2006/relationships/hyperlink" Target="https://github.com/alchemiststudiosDOTai/tunacode/blob/master/AGENTS.md" TargetMode="External"/><Relationship Id="rId648" Type="http://schemas.openxmlformats.org/officeDocument/2006/relationships/hyperlink" Target="https://github.com/microsoft/ApplicationInsights-JS/blob/main/.github/copilot-instructions.md" TargetMode="External"/><Relationship Id="rId855" Type="http://schemas.openxmlformats.org/officeDocument/2006/relationships/hyperlink" Target="https://github.com/netdata/netdata/blob/master/CLAUDE.md" TargetMode="External"/><Relationship Id="rId1040" Type="http://schemas.openxmlformats.org/officeDocument/2006/relationships/hyperlink" Target="https://github.com/zenml-io/zenml/blob/main/AGENTS.md" TargetMode="External"/><Relationship Id="rId1278" Type="http://schemas.openxmlformats.org/officeDocument/2006/relationships/hyperlink" Target="https://github.com/wieslawsoltes/Xaml.Behaviors/blob/master/AGENTS.md" TargetMode="External"/><Relationship Id="rId1485" Type="http://schemas.openxmlformats.org/officeDocument/2006/relationships/hyperlink" Target="https://github.com/gitkraken/vscode-gitlens/blob/main/AGENTS.md" TargetMode="External"/><Relationship Id="rId1692" Type="http://schemas.openxmlformats.org/officeDocument/2006/relationships/hyperlink" Target="https://github.com/theopenco/llmgateway/blob/main/AGENTS.md" TargetMode="External"/><Relationship Id="rId410" Type="http://schemas.openxmlformats.org/officeDocument/2006/relationships/hyperlink" Target="https://github.com/microsoft/ApplicationInsights-JS/blob/main/.github/copilot-instructions.md" TargetMode="External"/><Relationship Id="rId508" Type="http://schemas.openxmlformats.org/officeDocument/2006/relationships/hyperlink" Target="https://github.com/FluidGroup/Brightroom/blob/main/CLAUDE.md" TargetMode="External"/><Relationship Id="rId715" Type="http://schemas.openxmlformats.org/officeDocument/2006/relationships/hyperlink" Target="https://github.com/abh/ntppool/blob/main/CLAUDE.md" TargetMode="External"/><Relationship Id="rId922" Type="http://schemas.openxmlformats.org/officeDocument/2006/relationships/hyperlink" Target="https://github.com/theopenco/llmgateway/blob/main/CLAUDE.md" TargetMode="External"/><Relationship Id="rId1138" Type="http://schemas.openxmlformats.org/officeDocument/2006/relationships/hyperlink" Target="https://github.com/octgn/OCTGN/blob/master/.github/copilot-instructions.md" TargetMode="External"/><Relationship Id="rId1345" Type="http://schemas.openxmlformats.org/officeDocument/2006/relationships/hyperlink" Target="https://github.com/RchGrav/claudebox/blob/main/CLAUDE.md" TargetMode="External"/><Relationship Id="rId1552" Type="http://schemas.openxmlformats.org/officeDocument/2006/relationships/hyperlink" Target="https://github.com/evmts/tevm-monorepo/blob/main/CLAUDE.md" TargetMode="External"/><Relationship Id="rId1205" Type="http://schemas.openxmlformats.org/officeDocument/2006/relationships/hyperlink" Target="https://github.com/public-ui/kolibri/blob/master/AGENTS.md" TargetMode="External"/><Relationship Id="rId1857" Type="http://schemas.openxmlformats.org/officeDocument/2006/relationships/hyperlink" Target="https://github.com/grafbase/grafbase/blob/main/CLAUDE.md" TargetMode="External"/><Relationship Id="rId51" Type="http://schemas.openxmlformats.org/officeDocument/2006/relationships/hyperlink" Target="https://github.com/Rello/audioplayer/blob/master/AGENTS.md" TargetMode="External"/><Relationship Id="rId1412" Type="http://schemas.openxmlformats.org/officeDocument/2006/relationships/hyperlink" Target="https://github.com/mixpanel/mixpanel-android/blob/master/AGENTS.md" TargetMode="External"/><Relationship Id="rId1717" Type="http://schemas.openxmlformats.org/officeDocument/2006/relationships/hyperlink" Target="https://github.com/github/gh-models/blob/main/.github/copilot-instructions.md" TargetMode="External"/><Relationship Id="rId1924" Type="http://schemas.openxmlformats.org/officeDocument/2006/relationships/hyperlink" Target="https://github.com/saleor/saleor/blob/main/CLAUDE.md" TargetMode="External"/><Relationship Id="rId298" Type="http://schemas.openxmlformats.org/officeDocument/2006/relationships/hyperlink" Target="https://github.com/Comfy-Org/comfy-claude-prompt-library/blob/master/CLAUDE.md" TargetMode="External"/><Relationship Id="rId158" Type="http://schemas.openxmlformats.org/officeDocument/2006/relationships/hyperlink" Target="https://github.com/SparkDevNetwork/Rock/blob/master/.github/copilot-instructions.md" TargetMode="External"/><Relationship Id="rId365" Type="http://schemas.openxmlformats.org/officeDocument/2006/relationships/hyperlink" Target="https://github.com/owid/etl/blob/master/AGENTS.md" TargetMode="External"/><Relationship Id="rId572" Type="http://schemas.openxmlformats.org/officeDocument/2006/relationships/hyperlink" Target="https://github.com/truenas/webui/blob/master/CLAUDE.md" TargetMode="External"/><Relationship Id="rId225" Type="http://schemas.openxmlformats.org/officeDocument/2006/relationships/hyperlink" Target="https://github.com/FastLED/FastLED/blob/master/CLAUDE.md" TargetMode="External"/><Relationship Id="rId432" Type="http://schemas.openxmlformats.org/officeDocument/2006/relationships/hyperlink" Target="https://github.com/dailydotdev/apps/blob/main/CLAUDE.md" TargetMode="External"/><Relationship Id="rId877" Type="http://schemas.openxmlformats.org/officeDocument/2006/relationships/hyperlink" Target="https://github.com/open-metadata/OpenMetadata/blob/main/CLAUDE.md" TargetMode="External"/><Relationship Id="rId1062" Type="http://schemas.openxmlformats.org/officeDocument/2006/relationships/hyperlink" Target="https://github.com/Azure/autorest.typescript/blob/main/.github/copilot-instructions.md" TargetMode="External"/><Relationship Id="rId737" Type="http://schemas.openxmlformats.org/officeDocument/2006/relationships/hyperlink" Target="https://github.com/BerriAI/litellm/blob/main/CLAUDE.md" TargetMode="External"/><Relationship Id="rId944" Type="http://schemas.openxmlformats.org/officeDocument/2006/relationships/hyperlink" Target="https://github.com/xlnfinance/xln/blob/main/CLAUDE.md" TargetMode="External"/><Relationship Id="rId1367" Type="http://schemas.openxmlformats.org/officeDocument/2006/relationships/hyperlink" Target="https://github.com/cablehead/xs/blob/main/AGENTS.md" TargetMode="External"/><Relationship Id="rId1574" Type="http://schemas.openxmlformats.org/officeDocument/2006/relationships/hyperlink" Target="https://github.com/johnlindquist/kit/blob/main/CLAUDE.md" TargetMode="External"/><Relationship Id="rId1781" Type="http://schemas.openxmlformats.org/officeDocument/2006/relationships/hyperlink" Target="https://github.com/useautumn/autumn/blob/main/AGENTS.md" TargetMode="External"/><Relationship Id="rId73" Type="http://schemas.openxmlformats.org/officeDocument/2006/relationships/hyperlink" Target="https://github.com/valkey-io/valkey-glide/blob/main/AGENTS.md" TargetMode="External"/><Relationship Id="rId804" Type="http://schemas.openxmlformats.org/officeDocument/2006/relationships/hyperlink" Target="https://github.com/FastLED/FastLED/blob/master/CLAUDE.md" TargetMode="External"/><Relationship Id="rId1227" Type="http://schemas.openxmlformats.org/officeDocument/2006/relationships/hyperlink" Target="https://github.com/anyproto/anytype-ts/blob/main/CLAUDE.md" TargetMode="External"/><Relationship Id="rId1434" Type="http://schemas.openxmlformats.org/officeDocument/2006/relationships/hyperlink" Target="https://github.com/wieslawsoltes/Xaml.Behaviors/blob/master/AGENTS.md" TargetMode="External"/><Relationship Id="rId1641" Type="http://schemas.openxmlformats.org/officeDocument/2006/relationships/hyperlink" Target="https://github.com/zed-industries/zed/blob/main/CLAUDE.md" TargetMode="External"/><Relationship Id="rId1879" Type="http://schemas.openxmlformats.org/officeDocument/2006/relationships/hyperlink" Target="https://github.com/rainbow-me/rainbowkit/blob/main/AGENTS.md" TargetMode="External"/><Relationship Id="rId1501" Type="http://schemas.openxmlformats.org/officeDocument/2006/relationships/hyperlink" Target="https://github.com/RchGrav/claudebox/blob/main/CLAUDE.md" TargetMode="External"/><Relationship Id="rId1739" Type="http://schemas.openxmlformats.org/officeDocument/2006/relationships/hyperlink" Target="https://github.com/sybrew/the-seo-framework/blob/master/.github/copilot-instructions.md" TargetMode="External"/><Relationship Id="rId1806" Type="http://schemas.openxmlformats.org/officeDocument/2006/relationships/hyperlink" Target="https://github.com/geneontology/go-ontology/blob/master/CLAUDE.md" TargetMode="External"/><Relationship Id="rId387" Type="http://schemas.openxmlformats.org/officeDocument/2006/relationships/hyperlink" Target="https://github.com/webgptorg/promptbook/blob/main/AGENTS.md" TargetMode="External"/><Relationship Id="rId594" Type="http://schemas.openxmlformats.org/officeDocument/2006/relationships/hyperlink" Target="https://github.com/luccahuguet/yazelix/blob/main/AGENTS.md" TargetMode="External"/><Relationship Id="rId247" Type="http://schemas.openxmlformats.org/officeDocument/2006/relationships/hyperlink" Target="https://github.com/Azure/autorest.typescript/blob/main/.github/copilot-instructions.md" TargetMode="External"/><Relationship Id="rId899" Type="http://schemas.openxmlformats.org/officeDocument/2006/relationships/hyperlink" Target="https://github.com/proximafusion/vmecpp/blob/main/CLAUDE.md" TargetMode="External"/><Relationship Id="rId1084" Type="http://schemas.openxmlformats.org/officeDocument/2006/relationships/hyperlink" Target="https://github.com/christianhelle/apiclientcodegen/blob/master/.github/copilot-instructions.md" TargetMode="External"/><Relationship Id="rId107" Type="http://schemas.openxmlformats.org/officeDocument/2006/relationships/hyperlink" Target="https://github.com/dotnet/maui/blob/main/.github/copilot-instructions.md" TargetMode="External"/><Relationship Id="rId454" Type="http://schemas.openxmlformats.org/officeDocument/2006/relationships/hyperlink" Target="https://github.com/dailydotdev/apps/blob/main/CLAUDE.md" TargetMode="External"/><Relationship Id="rId661" Type="http://schemas.openxmlformats.org/officeDocument/2006/relationships/hyperlink" Target="https://github.com/raycast/extensions/blob/main/.github/copilot-instructions.md" TargetMode="External"/><Relationship Id="rId759" Type="http://schemas.openxmlformats.org/officeDocument/2006/relationships/hyperlink" Target="https://github.com/cloudposse/atmos/blob/main/CLAUDE.md" TargetMode="External"/><Relationship Id="rId966" Type="http://schemas.openxmlformats.org/officeDocument/2006/relationships/hyperlink" Target="https://github.com/commonwarexyz/monorepo/blob/main/AGENTS.md" TargetMode="External"/><Relationship Id="rId1291" Type="http://schemas.openxmlformats.org/officeDocument/2006/relationships/hyperlink" Target="https://github.com/Comfy-Org/comfy-claude-prompt-library/blob/master/CLAUDE.md" TargetMode="External"/><Relationship Id="rId1389" Type="http://schemas.openxmlformats.org/officeDocument/2006/relationships/hyperlink" Target="https://github.com/langchain-ai/langchain/blob/master/AGENTS.md" TargetMode="External"/><Relationship Id="rId1596" Type="http://schemas.openxmlformats.org/officeDocument/2006/relationships/hyperlink" Target="https://github.com/open-metadata/OpenMetadata/blob/main/CLAUDE.md" TargetMode="External"/><Relationship Id="rId314" Type="http://schemas.openxmlformats.org/officeDocument/2006/relationships/hyperlink" Target="https://github.com/geneontology/go-ontology/blob/master/CLAUDE.md" TargetMode="External"/><Relationship Id="rId521" Type="http://schemas.openxmlformats.org/officeDocument/2006/relationships/hyperlink" Target="https://github.com/lgallard/terraform-aws-backup/blob/master/CLAUDE.md" TargetMode="External"/><Relationship Id="rId619" Type="http://schemas.openxmlformats.org/officeDocument/2006/relationships/hyperlink" Target="https://github.com/webgptorg/promptbook/blob/main/AGENTS.md" TargetMode="External"/><Relationship Id="rId1151" Type="http://schemas.openxmlformats.org/officeDocument/2006/relationships/hyperlink" Target="https://github.com/sybrew/the-seo-framework/blob/master/.github/copilot-instructions.md" TargetMode="External"/><Relationship Id="rId1249" Type="http://schemas.openxmlformats.org/officeDocument/2006/relationships/hyperlink" Target="https://github.com/octgn/OCTGN/blob/master/.github/copilot-instructions.md" TargetMode="External"/><Relationship Id="rId95" Type="http://schemas.openxmlformats.org/officeDocument/2006/relationships/hyperlink" Target="https://github.com/Azure/azure-functions-host/blob/master/.github/copilot-instructions.md" TargetMode="External"/><Relationship Id="rId826" Type="http://schemas.openxmlformats.org/officeDocument/2006/relationships/hyperlink" Target="https://github.com/getsentry/sentry-javascript/blob/master/CLAUDE.md" TargetMode="External"/><Relationship Id="rId1011" Type="http://schemas.openxmlformats.org/officeDocument/2006/relationships/hyperlink" Target="https://github.com/pulumi/docs/blob/master/AGENTS.md" TargetMode="External"/><Relationship Id="rId1109" Type="http://schemas.openxmlformats.org/officeDocument/2006/relationships/hyperlink" Target="https://github.com/geneontology/go-ontology/blob/master/.github/copilot-instructions.md" TargetMode="External"/><Relationship Id="rId1456" Type="http://schemas.openxmlformats.org/officeDocument/2006/relationships/hyperlink" Target="https://github.com/nkdAgility/azure-devops-migration-tools/blob/main/.github/copilot-instructions.md" TargetMode="External"/><Relationship Id="rId1663" Type="http://schemas.openxmlformats.org/officeDocument/2006/relationships/hyperlink" Target="https://github.com/julep-ai/julep/blob/main/AGENTS.md" TargetMode="External"/><Relationship Id="rId1870" Type="http://schemas.openxmlformats.org/officeDocument/2006/relationships/hyperlink" Target="https://github.com/alchemiststudiosDOTai/tunacode/blob/master/AGENTS.md" TargetMode="External"/><Relationship Id="rId1316" Type="http://schemas.openxmlformats.org/officeDocument/2006/relationships/hyperlink" Target="https://github.com/jefago/tiny-markdown-editor/blob/main/CLAUDE.md" TargetMode="External"/><Relationship Id="rId1523" Type="http://schemas.openxmlformats.org/officeDocument/2006/relationships/hyperlink" Target="https://github.com/BerriAI/litellm/blob/main/CLAUDE.md" TargetMode="External"/><Relationship Id="rId1730" Type="http://schemas.openxmlformats.org/officeDocument/2006/relationships/hyperlink" Target="https://github.com/NuGet/NuGetGallery/blob/main/.github/copilot-instructions.md" TargetMode="External"/><Relationship Id="rId22" Type="http://schemas.openxmlformats.org/officeDocument/2006/relationships/hyperlink" Target="https://github.com/PrairieLearn/PrairieLearn/blob/master/AGENTS.md" TargetMode="External"/><Relationship Id="rId1828" Type="http://schemas.openxmlformats.org/officeDocument/2006/relationships/hyperlink" Target="https://github.com/geneontology/go-ontology/blob/master/.github/copilot-instructions.md" TargetMode="External"/><Relationship Id="rId171" Type="http://schemas.openxmlformats.org/officeDocument/2006/relationships/hyperlink" Target="https://github.com/sybrew/the-seo-framework/blob/master/.github/copilot-instructions.md" TargetMode="External"/><Relationship Id="rId269" Type="http://schemas.openxmlformats.org/officeDocument/2006/relationships/hyperlink" Target="https://github.com/geneontology/go-ontology/blob/master/.github/copilot-instructions.md" TargetMode="External"/><Relationship Id="rId476" Type="http://schemas.openxmlformats.org/officeDocument/2006/relationships/hyperlink" Target="https://github.com/allenai/open-instruct/blob/main/CLAUDE.md" TargetMode="External"/><Relationship Id="rId683" Type="http://schemas.openxmlformats.org/officeDocument/2006/relationships/hyperlink" Target="https://github.com/compiler-explorer/infra/blob/main/CLAUDE.md" TargetMode="External"/><Relationship Id="rId890" Type="http://schemas.openxmlformats.org/officeDocument/2006/relationships/hyperlink" Target="https://github.com/Pipelex/pipelex/blob/main/CLAUDE.md" TargetMode="External"/><Relationship Id="rId129" Type="http://schemas.openxmlformats.org/officeDocument/2006/relationships/hyperlink" Target="https://github.com/microsoft/ApplicationInsights-JS/blob/main/.github/copilot-instructions.md" TargetMode="External"/><Relationship Id="rId336" Type="http://schemas.openxmlformats.org/officeDocument/2006/relationships/hyperlink" Target="https://github.com/paradigmxyz/reth/blob/main/CLAUDE.md" TargetMode="External"/><Relationship Id="rId543" Type="http://schemas.openxmlformats.org/officeDocument/2006/relationships/hyperlink" Target="https://github.com/Pipelex/pipelex/blob/main/CLAUDE.md" TargetMode="External"/><Relationship Id="rId988" Type="http://schemas.openxmlformats.org/officeDocument/2006/relationships/hyperlink" Target="https://github.com/mixpanel/mixpanel-android/blob/master/AGENTS.md" TargetMode="External"/><Relationship Id="rId1173" Type="http://schemas.openxmlformats.org/officeDocument/2006/relationships/hyperlink" Target="https://github.com/OneKeyHQ/app-monorepo/blob/master/CLAUDE.md" TargetMode="External"/><Relationship Id="rId1380" Type="http://schemas.openxmlformats.org/officeDocument/2006/relationships/hyperlink" Target="https://github.com/hathach/tinyusb/blob/master/AGENTS.md" TargetMode="External"/><Relationship Id="rId403" Type="http://schemas.openxmlformats.org/officeDocument/2006/relationships/hyperlink" Target="https://github.com/dotnet/macios/blob/main/.github/copilot-instructions.md" TargetMode="External"/><Relationship Id="rId750" Type="http://schemas.openxmlformats.org/officeDocument/2006/relationships/hyperlink" Target="https://github.com/CapSoftware/Cap/blob/main/CLAUDE.md" TargetMode="External"/><Relationship Id="rId848" Type="http://schemas.openxmlformats.org/officeDocument/2006/relationships/hyperlink" Target="https://github.com/module-federation/core/blob/main/CLAUDE.md" TargetMode="External"/><Relationship Id="rId1033" Type="http://schemas.openxmlformats.org/officeDocument/2006/relationships/hyperlink" Target="https://github.com/webgptorg/promptbook/blob/main/AGENTS.md" TargetMode="External"/><Relationship Id="rId1478" Type="http://schemas.openxmlformats.org/officeDocument/2006/relationships/hyperlink" Target="https://github.com/twentyhq/twenty/blob/main/CLAUDE.md" TargetMode="External"/><Relationship Id="rId1685" Type="http://schemas.openxmlformats.org/officeDocument/2006/relationships/hyperlink" Target="https://github.com/owid/etl/blob/master/AGENTS.md" TargetMode="External"/><Relationship Id="rId1892" Type="http://schemas.openxmlformats.org/officeDocument/2006/relationships/hyperlink" Target="https://github.com/obophenotype/uberon/blob/master/.github/copilot-instructions.md" TargetMode="External"/><Relationship Id="rId610" Type="http://schemas.openxmlformats.org/officeDocument/2006/relationships/hyperlink" Target="https://github.com/rustfs/rustfs/blob/main/AGENTS.md" TargetMode="External"/><Relationship Id="rId708" Type="http://schemas.openxmlformats.org/officeDocument/2006/relationships/hyperlink" Target="https://github.com/useautumn/autumn/blob/main/AGENTS.md" TargetMode="External"/><Relationship Id="rId915" Type="http://schemas.openxmlformats.org/officeDocument/2006/relationships/hyperlink" Target="https://github.com/Southclaws/storyden/blob/main/CLAUDE.md" TargetMode="External"/><Relationship Id="rId1240" Type="http://schemas.openxmlformats.org/officeDocument/2006/relationships/hyperlink" Target="https://github.com/thirdweb-dev/js/blob/main/CLAUDE.md" TargetMode="External"/><Relationship Id="rId1338" Type="http://schemas.openxmlformats.org/officeDocument/2006/relationships/hyperlink" Target="https://github.com/open-metadata/OpenMetadata/blob/main/CLAUDE.md" TargetMode="External"/><Relationship Id="rId1545" Type="http://schemas.openxmlformats.org/officeDocument/2006/relationships/hyperlink" Target="https://github.com/dotCMS/core/blob/main/CLAUDE.md" TargetMode="External"/><Relationship Id="rId1100" Type="http://schemas.openxmlformats.org/officeDocument/2006/relationships/hyperlink" Target="https://github.com/geneontology/go-ontology/blob/master/.github/copilot-instructions.md" TargetMode="External"/><Relationship Id="rId1405" Type="http://schemas.openxmlformats.org/officeDocument/2006/relationships/hyperlink" Target="https://github.com/marin-community/marin/blob/main/AGENTS.md" TargetMode="External"/><Relationship Id="rId1752" Type="http://schemas.openxmlformats.org/officeDocument/2006/relationships/hyperlink" Target="https://github.com/HotCakeX/Harden-Windows-Security/blob/main/.github/copilot-instructions.md" TargetMode="External"/><Relationship Id="rId44" Type="http://schemas.openxmlformats.org/officeDocument/2006/relationships/hyperlink" Target="https://github.com/Rello/analytics/blob/master/AGENTS.md" TargetMode="External"/><Relationship Id="rId1612" Type="http://schemas.openxmlformats.org/officeDocument/2006/relationships/hyperlink" Target="https://github.com/Pipelex/pipelex/blob/main/CLAUDE.md" TargetMode="External"/><Relationship Id="rId1917" Type="http://schemas.openxmlformats.org/officeDocument/2006/relationships/hyperlink" Target="https://github.com/xlnfinance/xln/blob/main/CLAUDE.md" TargetMode="External"/><Relationship Id="rId193" Type="http://schemas.openxmlformats.org/officeDocument/2006/relationships/hyperlink" Target="https://github.com/sarchlab/akita/blob/main/.github/copilot-instructions.md" TargetMode="External"/><Relationship Id="rId498" Type="http://schemas.openxmlformats.org/officeDocument/2006/relationships/hyperlink" Target="https://github.com/colinhacks/zod/blob/main/CLAUDE.md" TargetMode="External"/><Relationship Id="rId260" Type="http://schemas.openxmlformats.org/officeDocument/2006/relationships/hyperlink" Target="https://github.com/dotnet/runtime/blob/main/.github/copilot-instructions.md" TargetMode="External"/><Relationship Id="rId120" Type="http://schemas.openxmlformats.org/officeDocument/2006/relationships/hyperlink" Target="https://github.com/geneontology/go-ontology/blob/master/.github/copilot-instructions.md" TargetMode="External"/><Relationship Id="rId358" Type="http://schemas.openxmlformats.org/officeDocument/2006/relationships/hyperlink" Target="https://github.com/commonwarexyz/monorepo/blob/main/AGENTS.md" TargetMode="External"/><Relationship Id="rId565" Type="http://schemas.openxmlformats.org/officeDocument/2006/relationships/hyperlink" Target="https://github.com/spylang/spy/blob/main/CLAUDE.md" TargetMode="External"/><Relationship Id="rId772" Type="http://schemas.openxmlformats.org/officeDocument/2006/relationships/hyperlink" Target="https://github.com/coder/coder/blob/main/CLAUDE.md" TargetMode="External"/><Relationship Id="rId1195" Type="http://schemas.openxmlformats.org/officeDocument/2006/relationships/hyperlink" Target="https://github.com/stack-auth/stack-auth/blob/main/AGENTS.md" TargetMode="External"/><Relationship Id="rId218" Type="http://schemas.openxmlformats.org/officeDocument/2006/relationships/hyperlink" Target="https://github.com/dotnet/runtime/blob/main/.github/copilot-instructions.md" TargetMode="External"/><Relationship Id="rId425" Type="http://schemas.openxmlformats.org/officeDocument/2006/relationships/hyperlink" Target="https://github.com/abh/ntppool/blob/main/CLAUDE.md" TargetMode="External"/><Relationship Id="rId632" Type="http://schemas.openxmlformats.org/officeDocument/2006/relationships/hyperlink" Target="https://github.com/dotnet/runtime/blob/main/.github/copilot-instructions.md" TargetMode="External"/><Relationship Id="rId1055" Type="http://schemas.openxmlformats.org/officeDocument/2006/relationships/hyperlink" Target="https://github.com/ast-grep/ast-grep/blob/main/.github/copilot-instructions.md" TargetMode="External"/><Relationship Id="rId1262" Type="http://schemas.openxmlformats.org/officeDocument/2006/relationships/hyperlink" Target="https://github.com/anyproto/anytype-swift/blob/main/CLAUDE.md" TargetMode="External"/><Relationship Id="rId937" Type="http://schemas.openxmlformats.org/officeDocument/2006/relationships/hyperlink" Target="https://github.com/xlnfinance/xln/blob/main/CLAUDE.md" TargetMode="External"/><Relationship Id="rId1122" Type="http://schemas.openxmlformats.org/officeDocument/2006/relationships/hyperlink" Target="https://github.com/microsoft/ApplicationInsights-JS/blob/main/.github/copilot-instructions.md" TargetMode="External"/><Relationship Id="rId1567" Type="http://schemas.openxmlformats.org/officeDocument/2006/relationships/hyperlink" Target="https://github.com/getsentry/vitest-evals/blob/main/CLAUDE.md" TargetMode="External"/><Relationship Id="rId1774" Type="http://schemas.openxmlformats.org/officeDocument/2006/relationships/hyperlink" Target="https://github.com/microsoft/vs-threading/blob/main/.github/copilot-instructions.md" TargetMode="External"/><Relationship Id="rId66" Type="http://schemas.openxmlformats.org/officeDocument/2006/relationships/hyperlink" Target="https://github.com/theopenco/llmgateway/blob/main/AGENTS.md" TargetMode="External"/><Relationship Id="rId1427" Type="http://schemas.openxmlformats.org/officeDocument/2006/relationships/hyperlink" Target="https://github.com/SimonHalvdansson/Harmonic-HN/blob/main/AGENTS.md" TargetMode="External"/><Relationship Id="rId1634" Type="http://schemas.openxmlformats.org/officeDocument/2006/relationships/hyperlink" Target="https://github.com/wolfi-dev/os/blob/main/CLAUDE.md" TargetMode="External"/><Relationship Id="rId1841" Type="http://schemas.openxmlformats.org/officeDocument/2006/relationships/hyperlink" Target="https://github.com/abh/ntppool/blob/main/CLAUDE.md" TargetMode="External"/><Relationship Id="rId1939" Type="http://schemas.openxmlformats.org/officeDocument/2006/relationships/hyperlink" Target="https://github.com/luccahuguet/yazelix/blob/main/AGENTS.md" TargetMode="External"/><Relationship Id="rId1701" Type="http://schemas.openxmlformats.org/officeDocument/2006/relationships/hyperlink" Target="https://github.com/Agoric/agoric-sdk/blob/master/.github/copilot-instructions.md" TargetMode="External"/><Relationship Id="rId282" Type="http://schemas.openxmlformats.org/officeDocument/2006/relationships/hyperlink" Target="https://github.com/cockroachdb/cockroach/blob/master/CLAUDE.md" TargetMode="External"/><Relationship Id="rId587" Type="http://schemas.openxmlformats.org/officeDocument/2006/relationships/hyperlink" Target="https://github.com/hathach/tinyusb/blob/master/AGENTS.md" TargetMode="External"/><Relationship Id="rId8" Type="http://schemas.openxmlformats.org/officeDocument/2006/relationships/hyperlink" Target="https://github.com/msgbyte/tianji/blob/master/AGENTS.md" TargetMode="External"/><Relationship Id="rId142" Type="http://schemas.openxmlformats.org/officeDocument/2006/relationships/hyperlink" Target="https://github.com/obophenotype/uberon/blob/master/.github/copilot-instructions.md" TargetMode="External"/><Relationship Id="rId447" Type="http://schemas.openxmlformats.org/officeDocument/2006/relationships/hyperlink" Target="https://github.com/julep-ai/julep/blob/main/AGENTS.md" TargetMode="External"/><Relationship Id="rId794" Type="http://schemas.openxmlformats.org/officeDocument/2006/relationships/hyperlink" Target="https://github.com/dropseed/plain/blob/main/CLAUDE.md" TargetMode="External"/><Relationship Id="rId1077" Type="http://schemas.openxmlformats.org/officeDocument/2006/relationships/hyperlink" Target="https://github.com/Chainlit/chainlit/blob/main/.github/copilot-instructions.md" TargetMode="External"/><Relationship Id="rId654" Type="http://schemas.openxmlformats.org/officeDocument/2006/relationships/hyperlink" Target="https://github.com/NG-ZORRO/ng-zorro-antd/blob/master/.github/copilot-instructions.md" TargetMode="External"/><Relationship Id="rId861" Type="http://schemas.openxmlformats.org/officeDocument/2006/relationships/hyperlink" Target="https://github.com/OlympiaAI/raix/blob/main/CLAUDE.md" TargetMode="External"/><Relationship Id="rId959" Type="http://schemas.openxmlformats.org/officeDocument/2006/relationships/hyperlink" Target="https://github.com/carverauto/serviceradar/blob/main/AGENTS.md" TargetMode="External"/><Relationship Id="rId1284" Type="http://schemas.openxmlformats.org/officeDocument/2006/relationships/hyperlink" Target="https://github.com/BerriAI/litellm/blob/main/CLAUDE.md" TargetMode="External"/><Relationship Id="rId1491" Type="http://schemas.openxmlformats.org/officeDocument/2006/relationships/hyperlink" Target="https://github.com/wieslawsoltes/Xaml.Behaviors/blob/master/AGENTS.md" TargetMode="External"/><Relationship Id="rId1589" Type="http://schemas.openxmlformats.org/officeDocument/2006/relationships/hyperlink" Target="https://github.com/modelcontextprotocol/typescript-sdk/blob/main/CLAUDE.md" TargetMode="External"/><Relationship Id="rId307" Type="http://schemas.openxmlformats.org/officeDocument/2006/relationships/hyperlink" Target="https://github.com/dailydotdev/apps/blob/main/CLAUDE.md" TargetMode="External"/><Relationship Id="rId514" Type="http://schemas.openxmlformats.org/officeDocument/2006/relationships/hyperlink" Target="https://github.com/home-assistant/frontend/blob/master/CLAUDE.md" TargetMode="External"/><Relationship Id="rId721" Type="http://schemas.openxmlformats.org/officeDocument/2006/relationships/hyperlink" Target="https://github.com/abh/ntppool/blob/main/CLAUDE.md" TargetMode="External"/><Relationship Id="rId1144" Type="http://schemas.openxmlformats.org/officeDocument/2006/relationships/hyperlink" Target="https://github.com/sarchlab/akita/blob/main/.github/copilot-instructions.md" TargetMode="External"/><Relationship Id="rId1351" Type="http://schemas.openxmlformats.org/officeDocument/2006/relationships/hyperlink" Target="https://github.com/stepfunc/dnp3/blob/main/CLAUDE.md" TargetMode="External"/><Relationship Id="rId1449" Type="http://schemas.openxmlformats.org/officeDocument/2006/relationships/hyperlink" Target="https://github.com/FidelusAleksander/ghcertified/blob/master/.github/copilot-instructions.md" TargetMode="External"/><Relationship Id="rId1796" Type="http://schemas.openxmlformats.org/officeDocument/2006/relationships/hyperlink" Target="https://github.com/theopenco/llmgateway/blob/main/AGENTS.md" TargetMode="External"/><Relationship Id="rId88" Type="http://schemas.openxmlformats.org/officeDocument/2006/relationships/hyperlink" Target="https://github.com/zenml-io/zenml/blob/main/AGENTS.md" TargetMode="External"/><Relationship Id="rId819" Type="http://schemas.openxmlformats.org/officeDocument/2006/relationships/hyperlink" Target="https://github.com/geneontology/go-ontology/blob/master/CLAUDE.md" TargetMode="External"/><Relationship Id="rId1004" Type="http://schemas.openxmlformats.org/officeDocument/2006/relationships/hyperlink" Target="https://github.com/proximafusion/vmecpp/blob/main/AGENTS.md" TargetMode="External"/><Relationship Id="rId1211" Type="http://schemas.openxmlformats.org/officeDocument/2006/relationships/hyperlink" Target="https://github.com/logancyang/obsidian-copilot/blob/master/AGENTS.md" TargetMode="External"/><Relationship Id="rId1656" Type="http://schemas.openxmlformats.org/officeDocument/2006/relationships/hyperlink" Target="https://github.com/EduardoPires/EquinoxProject/blob/master/AGENTS.md" TargetMode="External"/><Relationship Id="rId1863" Type="http://schemas.openxmlformats.org/officeDocument/2006/relationships/hyperlink" Target="https://github.com/module-federation/core/blob/main/CLAUDE.md" TargetMode="External"/><Relationship Id="rId1309" Type="http://schemas.openxmlformats.org/officeDocument/2006/relationships/hyperlink" Target="https://github.com/habibrehmansg/infopanel/blob/main/CLAUDE.md" TargetMode="External"/><Relationship Id="rId1516" Type="http://schemas.openxmlformats.org/officeDocument/2006/relationships/hyperlink" Target="https://github.com/anyproto/anytype-ts/blob/main/CLAUDE.md" TargetMode="External"/><Relationship Id="rId1723" Type="http://schemas.openxmlformats.org/officeDocument/2006/relationships/hyperlink" Target="https://github.com/microsoft/GSL/blob/main/.github/copilot-instructions.md" TargetMode="External"/><Relationship Id="rId1930" Type="http://schemas.openxmlformats.org/officeDocument/2006/relationships/hyperlink" Target="https://github.com/public-ui/kolibri/blob/master/AGENTS.md" TargetMode="External"/><Relationship Id="rId15" Type="http://schemas.openxmlformats.org/officeDocument/2006/relationships/hyperlink" Target="https://github.com/Pipelex/pipelex/blob/main/AGENTS.md" TargetMode="External"/><Relationship Id="rId164" Type="http://schemas.openxmlformats.org/officeDocument/2006/relationships/hyperlink" Target="https://github.com/sybrew/the-seo-framework/blob/master/.github/copilot-instructions.md" TargetMode="External"/><Relationship Id="rId371" Type="http://schemas.openxmlformats.org/officeDocument/2006/relationships/hyperlink" Target="https://github.com/PrairieLearn/PrairieLearn/blob/master/AGENTS.md" TargetMode="External"/><Relationship Id="rId469" Type="http://schemas.openxmlformats.org/officeDocument/2006/relationships/hyperlink" Target="https://github.com/FastLED/FastLED/blob/master/CLAUDE.md" TargetMode="External"/><Relationship Id="rId676" Type="http://schemas.openxmlformats.org/officeDocument/2006/relationships/hyperlink" Target="https://github.com/public-ui/kolibri/blob/master/AGENTS.md" TargetMode="External"/><Relationship Id="rId883" Type="http://schemas.openxmlformats.org/officeDocument/2006/relationships/hyperlink" Target="https://github.com/pannous/wasp/blob/main/CLAUDE.md" TargetMode="External"/><Relationship Id="rId1099" Type="http://schemas.openxmlformats.org/officeDocument/2006/relationships/hyperlink" Target="https://github.com/friendsofhyperf/components/blob/main/.github/copilot-instructions.md" TargetMode="External"/><Relationship Id="rId231" Type="http://schemas.openxmlformats.org/officeDocument/2006/relationships/hyperlink" Target="https://github.com/Pipelex/pipelex/blob/main/AGENTS.md" TargetMode="External"/><Relationship Id="rId329" Type="http://schemas.openxmlformats.org/officeDocument/2006/relationships/hyperlink" Target="https://github.com/OlympiaAI/raix/blob/main/CLAUDE.md" TargetMode="External"/><Relationship Id="rId536" Type="http://schemas.openxmlformats.org/officeDocument/2006/relationships/hyperlink" Target="https://github.com/open-metadata/OpenMetadata/blob/main/CLAUDE.md" TargetMode="External"/><Relationship Id="rId1166" Type="http://schemas.openxmlformats.org/officeDocument/2006/relationships/hyperlink" Target="https://github.com/OneKeyHQ/app-monorepo/blob/master/CLAUDE.md" TargetMode="External"/><Relationship Id="rId1373" Type="http://schemas.openxmlformats.org/officeDocument/2006/relationships/hyperlink" Target="https://github.com/commonwarexyz/monorepo/blob/main/AGENTS.md" TargetMode="External"/><Relationship Id="rId743" Type="http://schemas.openxmlformats.org/officeDocument/2006/relationships/hyperlink" Target="https://github.com/browser-use/browser-use/blob/main/CLAUDE.md" TargetMode="External"/><Relationship Id="rId950" Type="http://schemas.openxmlformats.org/officeDocument/2006/relationships/hyperlink" Target="https://github.com/alchemiststudiosDOTai/tunacode/blob/master/AGENTS.md" TargetMode="External"/><Relationship Id="rId1026" Type="http://schemas.openxmlformats.org/officeDocument/2006/relationships/hyperlink" Target="https://github.com/theopenco/llmgateway/blob/main/AGENTS.md" TargetMode="External"/><Relationship Id="rId1580" Type="http://schemas.openxmlformats.org/officeDocument/2006/relationships/hyperlink" Target="https://github.com/langchain-ai/langchain/blob/master/CLAUDE.md" TargetMode="External"/><Relationship Id="rId1678" Type="http://schemas.openxmlformats.org/officeDocument/2006/relationships/hyperlink" Target="https://github.com/marin-community/marin/blob/main/AGENTS.md" TargetMode="External"/><Relationship Id="rId1885" Type="http://schemas.openxmlformats.org/officeDocument/2006/relationships/hyperlink" Target="https://github.com/dotnet/runtime/blob/main/.github/copilot-instructions.md" TargetMode="External"/><Relationship Id="rId603" Type="http://schemas.openxmlformats.org/officeDocument/2006/relationships/hyperlink" Target="https://github.com/Pipelex/pipelex/blob/main/AGENTS.md" TargetMode="External"/><Relationship Id="rId810" Type="http://schemas.openxmlformats.org/officeDocument/2006/relationships/hyperlink" Target="https://github.com/Freika/dawarich/blob/master/CLAUDE.md" TargetMode="External"/><Relationship Id="rId908" Type="http://schemas.openxmlformats.org/officeDocument/2006/relationships/hyperlink" Target="https://github.com/RchGrav/claudebox/blob/main/CLAUDE.md" TargetMode="External"/><Relationship Id="rId1233" Type="http://schemas.openxmlformats.org/officeDocument/2006/relationships/hyperlink" Target="https://github.com/dotCMS/core/blob/main/CLAUDE.md" TargetMode="External"/><Relationship Id="rId1440" Type="http://schemas.openxmlformats.org/officeDocument/2006/relationships/hyperlink" Target="https://github.com/zenml-io/zenml/blob/main/AGENTS.md" TargetMode="External"/><Relationship Id="rId1538" Type="http://schemas.openxmlformats.org/officeDocument/2006/relationships/hyperlink" Target="https://github.com/compiler-explorer/compiler-explorer/blob/main/CLAUDE.md" TargetMode="External"/><Relationship Id="rId1300" Type="http://schemas.openxmlformats.org/officeDocument/2006/relationships/hyperlink" Target="https://github.com/Freika/dawarich/blob/master/CLAUDE.md" TargetMode="External"/><Relationship Id="rId1745" Type="http://schemas.openxmlformats.org/officeDocument/2006/relationships/hyperlink" Target="https://github.com/zwave-js/zwave-js/blob/master/.github/copilot-instructions.md" TargetMode="External"/><Relationship Id="rId37" Type="http://schemas.openxmlformats.org/officeDocument/2006/relationships/hyperlink" Target="https://github.com/pulumi/docs/blob/master/AGENTS.md" TargetMode="External"/><Relationship Id="rId1605" Type="http://schemas.openxmlformats.org/officeDocument/2006/relationships/hyperlink" Target="https://github.com/open-metadata/OpenMetadata/blob/main/CLAUDE.md" TargetMode="External"/><Relationship Id="rId1812" Type="http://schemas.openxmlformats.org/officeDocument/2006/relationships/hyperlink" Target="https://github.com/zenml-io/zenml/blob/main/CLAUDE.md" TargetMode="External"/><Relationship Id="rId186" Type="http://schemas.openxmlformats.org/officeDocument/2006/relationships/hyperlink" Target="https://github.com/wled/WLED/blob/main/.github/copilot-instructions.md" TargetMode="External"/><Relationship Id="rId393" Type="http://schemas.openxmlformats.org/officeDocument/2006/relationships/hyperlink" Target="https://github.com/Azure/azure-mcp/blob/main/.github/copilot-instructions.md"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github.com/Azure/LogicAppsUX/blob/main/CLAUDE.md" TargetMode="External"/><Relationship Id="rId21" Type="http://schemas.openxmlformats.org/officeDocument/2006/relationships/hyperlink" Target="https://github.com/raycast/extensions/blob/main/.github/copilot-instructions.md" TargetMode="External"/><Relationship Id="rId42" Type="http://schemas.openxmlformats.org/officeDocument/2006/relationships/hyperlink" Target="https://github.com/open-metadata/OpenMetadata/blob/main/CLAUDE.md" TargetMode="External"/><Relationship Id="rId47" Type="http://schemas.openxmlformats.org/officeDocument/2006/relationships/hyperlink" Target="https://github.com/cablehead/xs/blob/main/AGENTS.md" TargetMode="External"/><Relationship Id="rId63" Type="http://schemas.openxmlformats.org/officeDocument/2006/relationships/hyperlink" Target="https://github.com/safety-research/safety-tooling/blob/main/CLAUDE.md" TargetMode="External"/><Relationship Id="rId68" Type="http://schemas.openxmlformats.org/officeDocument/2006/relationships/hyperlink" Target="https://github.com/xlnfinance/xln/blob/main/CLAUDE.md" TargetMode="External"/><Relationship Id="rId84" Type="http://schemas.openxmlformats.org/officeDocument/2006/relationships/hyperlink" Target="https://github.com/vaadin/flow/blob/main/CLAUDE.md" TargetMode="External"/><Relationship Id="rId89" Type="http://schemas.openxmlformats.org/officeDocument/2006/relationships/hyperlink" Target="https://github.com/Pipelex/pipelex/blob/main/CLAUDE.md" TargetMode="External"/><Relationship Id="rId16" Type="http://schemas.openxmlformats.org/officeDocument/2006/relationships/hyperlink" Target="https://github.com/safety-research/safety-tooling/blob/main/CLAUDE.md" TargetMode="External"/><Relationship Id="rId11" Type="http://schemas.openxmlformats.org/officeDocument/2006/relationships/hyperlink" Target="https://github.com/microsoft/python-environment-tools/blob/main/.github/copilot-instructions.md" TargetMode="External"/><Relationship Id="rId32" Type="http://schemas.openxmlformats.org/officeDocument/2006/relationships/hyperlink" Target="https://github.com/raycast/extensions/blob/main/.github/copilot-instructions.md" TargetMode="External"/><Relationship Id="rId37" Type="http://schemas.openxmlformats.org/officeDocument/2006/relationships/hyperlink" Target="https://github.com/abh/ntppool/blob/main/CLAUDE.md" TargetMode="External"/><Relationship Id="rId53" Type="http://schemas.openxmlformats.org/officeDocument/2006/relationships/hyperlink" Target="https://github.com/public-ui/kolibri/blob/master/AGENTS.md" TargetMode="External"/><Relationship Id="rId58" Type="http://schemas.openxmlformats.org/officeDocument/2006/relationships/hyperlink" Target="https://github.com/OneKeyHQ/app-monorepo/blob/master/CLAUDE.md" TargetMode="External"/><Relationship Id="rId74" Type="http://schemas.openxmlformats.org/officeDocument/2006/relationships/hyperlink" Target="https://github.com/FidelusAleksander/ghcertified/blob/master/.github/copilot-instructions.md" TargetMode="External"/><Relationship Id="rId79" Type="http://schemas.openxmlformats.org/officeDocument/2006/relationships/hyperlink" Target="https://github.com/colinhacks/zod/blob/main/CLAUDE.md" TargetMode="External"/><Relationship Id="rId5" Type="http://schemas.openxmlformats.org/officeDocument/2006/relationships/hyperlink" Target="https://github.com/microsoft/typespec/blob/main/.github/copilot-instructions.md" TargetMode="External"/><Relationship Id="rId90" Type="http://schemas.openxmlformats.org/officeDocument/2006/relationships/hyperlink" Target="https://github.com/modelcontextprotocol/typescript-sdk/blob/main/CLAUDE.md" TargetMode="External"/><Relationship Id="rId95" Type="http://schemas.openxmlformats.org/officeDocument/2006/relationships/hyperlink" Target="https://github.com/langchain-ai/langchain/blob/master/CLAUDE.md" TargetMode="External"/><Relationship Id="rId22" Type="http://schemas.openxmlformats.org/officeDocument/2006/relationships/hyperlink" Target="https://github.com/Pipelex/pipelex/blob/main/CLAUDE.md" TargetMode="External"/><Relationship Id="rId27" Type="http://schemas.openxmlformats.org/officeDocument/2006/relationships/hyperlink" Target="https://github.com/berachain/beacon-kit/blob/main/CLAUDE.md" TargetMode="External"/><Relationship Id="rId43" Type="http://schemas.openxmlformats.org/officeDocument/2006/relationships/hyperlink" Target="https://github.com/pathintegral-institute/mcpm.sh/blob/main/CLAUDE.md" TargetMode="External"/><Relationship Id="rId48" Type="http://schemas.openxmlformats.org/officeDocument/2006/relationships/hyperlink" Target="https://github.com/carverauto/serviceradar/blob/main/AGENTS.md" TargetMode="External"/><Relationship Id="rId64" Type="http://schemas.openxmlformats.org/officeDocument/2006/relationships/hyperlink" Target="https://github.com/Comfy-Org/comfy-claude-prompt-library/blob/master/CLAUDE.md" TargetMode="External"/><Relationship Id="rId69" Type="http://schemas.openxmlformats.org/officeDocument/2006/relationships/hyperlink" Target="https://github.com/zenml-io/zenml/blob/main/CLAUDE.md" TargetMode="External"/><Relationship Id="rId80" Type="http://schemas.openxmlformats.org/officeDocument/2006/relationships/hyperlink" Target="https://github.com/Comfy-Org/comfy-claude-prompt-library/blob/master/CLAUDE.md" TargetMode="External"/><Relationship Id="rId85" Type="http://schemas.openxmlformats.org/officeDocument/2006/relationships/hyperlink" Target="https://github.com/zed-industries/zed/blob/main/CLAUDE.md" TargetMode="External"/><Relationship Id="rId3" Type="http://schemas.openxmlformats.org/officeDocument/2006/relationships/hyperlink" Target="https://github.com/pulumi/docs/blob/master/AGENTS.md" TargetMode="External"/><Relationship Id="rId12" Type="http://schemas.openxmlformats.org/officeDocument/2006/relationships/hyperlink" Target="https://github.com/evmts/tevm-monorepo/blob/main/CLAUDE.md" TargetMode="External"/><Relationship Id="rId17" Type="http://schemas.openxmlformats.org/officeDocument/2006/relationships/hyperlink" Target="https://github.com/DataDog/datadog-agent/blob/main/AGENTS.md" TargetMode="External"/><Relationship Id="rId25" Type="http://schemas.openxmlformats.org/officeDocument/2006/relationships/hyperlink" Target="https://github.com/sybrew/the-seo-framework/blob/master/.github/copilot-instructions.md" TargetMode="External"/><Relationship Id="rId33" Type="http://schemas.openxmlformats.org/officeDocument/2006/relationships/hyperlink" Target="https://github.com/vczh-libraries/GacUI/blob/master/.github/copilot-instructions.md" TargetMode="External"/><Relationship Id="rId38" Type="http://schemas.openxmlformats.org/officeDocument/2006/relationships/hyperlink" Target="https://github.com/Comfy-Org/comfy-claude-prompt-library/blob/master/CLAUDE.md" TargetMode="External"/><Relationship Id="rId46" Type="http://schemas.openxmlformats.org/officeDocument/2006/relationships/hyperlink" Target="https://github.com/twentyhq/twenty/blob/main/CLAUDE.md" TargetMode="External"/><Relationship Id="rId59" Type="http://schemas.openxmlformats.org/officeDocument/2006/relationships/hyperlink" Target="https://github.com/wandb/weave/blob/master/AGENTS.md" TargetMode="External"/><Relationship Id="rId67" Type="http://schemas.openxmlformats.org/officeDocument/2006/relationships/hyperlink" Target="https://github.com/RchGrav/claudebox/blob/main/CLAUDE.md" TargetMode="External"/><Relationship Id="rId20" Type="http://schemas.openxmlformats.org/officeDocument/2006/relationships/hyperlink" Target="https://github.com/dotnet/dotnet-api-docs/blob/main/.github/copilot-instructions.md" TargetMode="External"/><Relationship Id="rId41" Type="http://schemas.openxmlformats.org/officeDocument/2006/relationships/hyperlink" Target="https://github.com/home-assistant/frontend/blob/master/CLAUDE.md" TargetMode="External"/><Relationship Id="rId54" Type="http://schemas.openxmlformats.org/officeDocument/2006/relationships/hyperlink" Target="https://github.com/public-ui/kolibri/blob/master/AGENTS.md" TargetMode="External"/><Relationship Id="rId62" Type="http://schemas.openxmlformats.org/officeDocument/2006/relationships/hyperlink" Target="https://github.com/octgn/OCTGN/blob/master/.github/copilot-instructions.md" TargetMode="External"/><Relationship Id="rId70" Type="http://schemas.openxmlformats.org/officeDocument/2006/relationships/hyperlink" Target="https://github.com/mark3labs/mcp-go/blob/main/AGENTS.md" TargetMode="External"/><Relationship Id="rId75" Type="http://schemas.openxmlformats.org/officeDocument/2006/relationships/hyperlink" Target="https://github.com/nkdAgility/azure-devops-migration-tools/blob/main/.github/copilot-instructions.md" TargetMode="External"/><Relationship Id="rId83" Type="http://schemas.openxmlformats.org/officeDocument/2006/relationships/hyperlink" Target="https://github.com/twentyhq/twenty/blob/main/CLAUDE.md" TargetMode="External"/><Relationship Id="rId88" Type="http://schemas.openxmlformats.org/officeDocument/2006/relationships/hyperlink" Target="https://github.com/colinhacks/zod/blob/main/CLAUDE.md" TargetMode="External"/><Relationship Id="rId91" Type="http://schemas.openxmlformats.org/officeDocument/2006/relationships/hyperlink" Target="https://github.com/luccahuguet/yazelix/blob/main/AGENTS.md" TargetMode="External"/><Relationship Id="rId96" Type="http://schemas.openxmlformats.org/officeDocument/2006/relationships/hyperlink" Target="https://github.com/wvlet/wvlet/blob/main/CLAUDE.md" TargetMode="External"/><Relationship Id="rId1" Type="http://schemas.openxmlformats.org/officeDocument/2006/relationships/hyperlink" Target="https://github.com/marin-community/marin/blob/main/AGENTS.md" TargetMode="External"/><Relationship Id="rId6" Type="http://schemas.openxmlformats.org/officeDocument/2006/relationships/hyperlink" Target="https://github.com/raycast/extensions/blob/main/.github/copilot-instructions.md" TargetMode="External"/><Relationship Id="rId15" Type="http://schemas.openxmlformats.org/officeDocument/2006/relationships/hyperlink" Target="https://github.com/open-metadata/OpenMetadata/blob/main/CLAUDE.md" TargetMode="External"/><Relationship Id="rId23" Type="http://schemas.openxmlformats.org/officeDocument/2006/relationships/hyperlink" Target="https://github.com/Pipelex/pipelex/blob/747154f59ac1087014e6e29b035efb6891eaa745/AGENTS.md" TargetMode="External"/><Relationship Id="rId28" Type="http://schemas.openxmlformats.org/officeDocument/2006/relationships/hyperlink" Target="https://github.com/gitpod-io/gitpod/blob/main/CLAUDE.md" TargetMode="External"/><Relationship Id="rId36" Type="http://schemas.openxmlformats.org/officeDocument/2006/relationships/hyperlink" Target="https://github.com/commonwarexyz/monorepo/blob/main/AGENTS.md" TargetMode="External"/><Relationship Id="rId49" Type="http://schemas.openxmlformats.org/officeDocument/2006/relationships/hyperlink" Target="https://github.com/DataDog/datadog-agent/blob/main/AGENTS.md" TargetMode="External"/><Relationship Id="rId57" Type="http://schemas.openxmlformats.org/officeDocument/2006/relationships/hyperlink" Target="https://github.com/irihitech/Ursa.Avalonia/blob/main/.github/copilot-instructions.md" TargetMode="External"/><Relationship Id="rId10" Type="http://schemas.openxmlformats.org/officeDocument/2006/relationships/hyperlink" Target="https://github.com/lostleaf/binance_datatool/blob/main/CLAUDE.md" TargetMode="External"/><Relationship Id="rId31" Type="http://schemas.openxmlformats.org/officeDocument/2006/relationships/hyperlink" Target="https://github.com/wieslawsoltes/Dock/blob/master/AGENTS.md" TargetMode="External"/><Relationship Id="rId44" Type="http://schemas.openxmlformats.org/officeDocument/2006/relationships/hyperlink" Target="https://github.com/proximafusion/vmecpp/blob/main/CLAUDE.md" TargetMode="External"/><Relationship Id="rId52" Type="http://schemas.openxmlformats.org/officeDocument/2006/relationships/hyperlink" Target="https://github.com/mixpanel/mixpanel-android/blob/master/AGENTS.md" TargetMode="External"/><Relationship Id="rId60" Type="http://schemas.openxmlformats.org/officeDocument/2006/relationships/hyperlink" Target="https://github.com/dotnet/maui/blob/main/.github/copilot-instructions.md" TargetMode="External"/><Relationship Id="rId65" Type="http://schemas.openxmlformats.org/officeDocument/2006/relationships/hyperlink" Target="https://github.com/obophenotype/uberon/blob/master/CLAUDE.md" TargetMode="External"/><Relationship Id="rId73" Type="http://schemas.openxmlformats.org/officeDocument/2006/relationships/hyperlink" Target="https://github.com/useautumn/autumn/blob/main/AGENTS.md" TargetMode="External"/><Relationship Id="rId78" Type="http://schemas.openxmlformats.org/officeDocument/2006/relationships/hyperlink" Target="https://github.com/fukuball/jieba-php/blob/master/CLAUDE.md" TargetMode="External"/><Relationship Id="rId81" Type="http://schemas.openxmlformats.org/officeDocument/2006/relationships/hyperlink" Target="https://github.com/Freika/dawarich/blob/master/CLAUDE.md" TargetMode="External"/><Relationship Id="rId86" Type="http://schemas.openxmlformats.org/officeDocument/2006/relationships/hyperlink" Target="https://github.com/janbjorge/pgqueuer/blob/main/AGENTS.md" TargetMode="External"/><Relationship Id="rId94" Type="http://schemas.openxmlformats.org/officeDocument/2006/relationships/hyperlink" Target="https://github.com/abh/ntppool/blob/main/CLAUDE.md" TargetMode="External"/><Relationship Id="rId4" Type="http://schemas.openxmlformats.org/officeDocument/2006/relationships/hyperlink" Target="https://github.com/pytorch/pytorch/blob/main/AGENTS.md" TargetMode="External"/><Relationship Id="rId9" Type="http://schemas.openxmlformats.org/officeDocument/2006/relationships/hyperlink" Target="https://github.com/dailydotdev/apps/blob/main/CLAUDE.md" TargetMode="External"/><Relationship Id="rId13" Type="http://schemas.openxmlformats.org/officeDocument/2006/relationships/hyperlink" Target="https://github.com/evmts/tevm-monorepo/blob/main/CLAUDE.md" TargetMode="External"/><Relationship Id="rId18" Type="http://schemas.openxmlformats.org/officeDocument/2006/relationships/hyperlink" Target="https://github.com/herbie-fp/herbie/blob/main/AGENTS.md" TargetMode="External"/><Relationship Id="rId39" Type="http://schemas.openxmlformats.org/officeDocument/2006/relationships/hyperlink" Target="https://github.com/Freika/dawarich/blob/master/CLAUDE.md" TargetMode="External"/><Relationship Id="rId34" Type="http://schemas.openxmlformats.org/officeDocument/2006/relationships/hyperlink" Target="https://github.com/vaadin/flow/blob/main/CLAUDE.md" TargetMode="External"/><Relationship Id="rId50" Type="http://schemas.openxmlformats.org/officeDocument/2006/relationships/hyperlink" Target="https://github.com/langfuse/langfuse/blob/main/AGENTS.md" TargetMode="External"/><Relationship Id="rId55" Type="http://schemas.openxmlformats.org/officeDocument/2006/relationships/hyperlink" Target="https://github.com/pulumi/docs/blob/master/AGENTS.md" TargetMode="External"/><Relationship Id="rId76" Type="http://schemas.openxmlformats.org/officeDocument/2006/relationships/hyperlink" Target="https://github.com/obophenotype/uberon/blob/master/.github/copilot-instructions.md" TargetMode="External"/><Relationship Id="rId97" Type="http://schemas.openxmlformats.org/officeDocument/2006/relationships/hyperlink" Target="https://github.com/commonwarexyz/monorepo/blob/main/AGENTS.md" TargetMode="External"/><Relationship Id="rId7" Type="http://schemas.openxmlformats.org/officeDocument/2006/relationships/hyperlink" Target="https://github.com/sybrew/the-seo-framework/blob/master/.github/copilot-instructions.md" TargetMode="External"/><Relationship Id="rId71" Type="http://schemas.openxmlformats.org/officeDocument/2006/relationships/hyperlink" Target="https://github.com/Pipelex/pipelex/blob/main/AGENTS.md" TargetMode="External"/><Relationship Id="rId92" Type="http://schemas.openxmlformats.org/officeDocument/2006/relationships/hyperlink" Target="https://github.com/luccahuguet/yazelix/blob/main/AGENTS.md" TargetMode="External"/><Relationship Id="rId2" Type="http://schemas.openxmlformats.org/officeDocument/2006/relationships/hyperlink" Target="https://github.com/public-ui/kolibri/blob/master/AGENTS.md" TargetMode="External"/><Relationship Id="rId29" Type="http://schemas.openxmlformats.org/officeDocument/2006/relationships/hyperlink" Target="https://github.com/netdata/netdata/blob/master/CLAUDE.md" TargetMode="External"/><Relationship Id="rId24" Type="http://schemas.openxmlformats.org/officeDocument/2006/relationships/hyperlink" Target="https://github.com/dailydotdev/apps/blob/main/CLAUDE.md" TargetMode="External"/><Relationship Id="rId40" Type="http://schemas.openxmlformats.org/officeDocument/2006/relationships/hyperlink" Target="https://github.com/getsentry/sentry-javascript/blob/master/CLAUDE.md" TargetMode="External"/><Relationship Id="rId45" Type="http://schemas.openxmlformats.org/officeDocument/2006/relationships/hyperlink" Target="https://github.com/safety-research/safety-tooling/blob/main/CLAUDE.md" TargetMode="External"/><Relationship Id="rId66" Type="http://schemas.openxmlformats.org/officeDocument/2006/relationships/hyperlink" Target="https://github.com/op-rs/kona/blob/main/CLAUDE.md" TargetMode="External"/><Relationship Id="rId87" Type="http://schemas.openxmlformats.org/officeDocument/2006/relationships/hyperlink" Target="https://github.com/mixpanel/mixpanel-android/blob/master/AGENTS.md" TargetMode="External"/><Relationship Id="rId61" Type="http://schemas.openxmlformats.org/officeDocument/2006/relationships/hyperlink" Target="https://github.com/cloudposse/atmos/blob/main/CLAUDE.md" TargetMode="External"/><Relationship Id="rId82" Type="http://schemas.openxmlformats.org/officeDocument/2006/relationships/hyperlink" Target="https://github.com/saleor/saleor/blob/main/CLAUDE.md" TargetMode="External"/><Relationship Id="rId19" Type="http://schemas.openxmlformats.org/officeDocument/2006/relationships/hyperlink" Target="https://github.com/PrairieLearn/PrairieLearn/blob/master/AGENTS.md" TargetMode="External"/><Relationship Id="rId14" Type="http://schemas.openxmlformats.org/officeDocument/2006/relationships/hyperlink" Target="https://github.com/nrwl/nx/blob/master/CLAUDE.md" TargetMode="External"/><Relationship Id="rId30" Type="http://schemas.openxmlformats.org/officeDocument/2006/relationships/hyperlink" Target="https://github.com/getsentry/sentry-mcp/blob/main/AGENTS.md" TargetMode="External"/><Relationship Id="rId35" Type="http://schemas.openxmlformats.org/officeDocument/2006/relationships/hyperlink" Target="https://github.com/module-federation/core/blob/main/CLAUDE.md" TargetMode="External"/><Relationship Id="rId56" Type="http://schemas.openxmlformats.org/officeDocument/2006/relationships/hyperlink" Target="https://github.com/ast-grep/ast-grep/blob/main/.github/copilot-instructions.md" TargetMode="External"/><Relationship Id="rId77" Type="http://schemas.openxmlformats.org/officeDocument/2006/relationships/hyperlink" Target="https://github.com/raycast/extensions/blob/main/.github/copilot-instructions.md" TargetMode="External"/><Relationship Id="rId8" Type="http://schemas.openxmlformats.org/officeDocument/2006/relationships/hyperlink" Target="https://github.com/cloudposse/atmos/blob/main/CLAUDE.md" TargetMode="External"/><Relationship Id="rId51" Type="http://schemas.openxmlformats.org/officeDocument/2006/relationships/hyperlink" Target="https://github.com/luccahuguet/yazelix/blob/main/AGENTS.md" TargetMode="External"/><Relationship Id="rId72" Type="http://schemas.openxmlformats.org/officeDocument/2006/relationships/hyperlink" Target="https://github.com/pulumi/docs/blob/master/AGENTS.md" TargetMode="External"/><Relationship Id="rId93" Type="http://schemas.openxmlformats.org/officeDocument/2006/relationships/hyperlink" Target="https://github.com/abh/ntppool/blob/main/CLAUDE.md" TargetMode="External"/><Relationship Id="rId98" Type="http://schemas.openxmlformats.org/officeDocument/2006/relationships/hyperlink" Target="https://github.com/dailydotdev/apps/blob/main/CLAUDE.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53"/>
  <sheetViews>
    <sheetView topLeftCell="C1" workbookViewId="0">
      <selection activeCell="G1" sqref="G1:G2553"/>
    </sheetView>
  </sheetViews>
  <sheetFormatPr baseColWidth="10" defaultColWidth="12.6640625" defaultRowHeight="15.75" customHeight="1" x14ac:dyDescent="0.15"/>
  <cols>
    <col min="5" max="5" width="77.5" customWidth="1"/>
    <col min="7" max="7" width="47.1640625" customWidth="1"/>
  </cols>
  <sheetData>
    <row r="1" spans="1:7" ht="15.75" customHeight="1" x14ac:dyDescent="0.15">
      <c r="A1" s="1" t="s">
        <v>0</v>
      </c>
      <c r="B1" s="2" t="s">
        <v>1</v>
      </c>
      <c r="C1" s="3" t="s">
        <v>2</v>
      </c>
      <c r="D1" s="4" t="s">
        <v>3</v>
      </c>
      <c r="E1" s="5" t="s">
        <v>4</v>
      </c>
      <c r="F1" s="3" t="s">
        <v>5</v>
      </c>
      <c r="G1" s="33" t="s">
        <v>6</v>
      </c>
    </row>
    <row r="2" spans="1:7" ht="15.75" customHeight="1" x14ac:dyDescent="0.15">
      <c r="A2" s="6" t="s">
        <v>7</v>
      </c>
      <c r="B2" s="6" t="s">
        <v>8</v>
      </c>
      <c r="C2" s="7" t="s">
        <v>9</v>
      </c>
      <c r="D2" s="6">
        <v>40</v>
      </c>
      <c r="E2" s="8" t="s">
        <v>10</v>
      </c>
      <c r="F2" s="6" t="s">
        <v>11</v>
      </c>
      <c r="G2" s="33" t="s">
        <v>12</v>
      </c>
    </row>
    <row r="3" spans="1:7" ht="15.75" customHeight="1" x14ac:dyDescent="0.15">
      <c r="A3" s="6" t="s">
        <v>13</v>
      </c>
      <c r="B3" s="6" t="s">
        <v>14</v>
      </c>
      <c r="C3" s="7" t="s">
        <v>15</v>
      </c>
      <c r="D3" s="6">
        <v>103</v>
      </c>
      <c r="E3" s="8" t="s">
        <v>16</v>
      </c>
      <c r="F3" s="6" t="s">
        <v>17</v>
      </c>
      <c r="G3" s="33" t="s">
        <v>18</v>
      </c>
    </row>
    <row r="4" spans="1:7" ht="15.75" customHeight="1" x14ac:dyDescent="0.15">
      <c r="A4" s="6" t="s">
        <v>13</v>
      </c>
      <c r="B4" s="6" t="s">
        <v>14</v>
      </c>
      <c r="C4" s="7" t="s">
        <v>15</v>
      </c>
      <c r="D4" s="6">
        <v>104</v>
      </c>
      <c r="E4" s="8" t="s">
        <v>19</v>
      </c>
      <c r="F4" s="6" t="s">
        <v>17</v>
      </c>
      <c r="G4" s="33" t="s">
        <v>18</v>
      </c>
    </row>
    <row r="5" spans="1:7" ht="15.75" customHeight="1" x14ac:dyDescent="0.15">
      <c r="A5" s="6" t="s">
        <v>13</v>
      </c>
      <c r="B5" s="6" t="s">
        <v>14</v>
      </c>
      <c r="C5" s="7" t="s">
        <v>15</v>
      </c>
      <c r="D5" s="6">
        <v>105</v>
      </c>
      <c r="E5" s="8" t="s">
        <v>20</v>
      </c>
      <c r="F5" s="6" t="s">
        <v>17</v>
      </c>
      <c r="G5" s="33" t="s">
        <v>18</v>
      </c>
    </row>
    <row r="6" spans="1:7" ht="15.75" customHeight="1" x14ac:dyDescent="0.15">
      <c r="A6" s="6" t="s">
        <v>13</v>
      </c>
      <c r="B6" s="6" t="s">
        <v>14</v>
      </c>
      <c r="C6" s="7" t="s">
        <v>15</v>
      </c>
      <c r="D6" s="6">
        <v>106</v>
      </c>
      <c r="E6" s="8" t="s">
        <v>21</v>
      </c>
      <c r="F6" s="6" t="s">
        <v>17</v>
      </c>
      <c r="G6" s="33" t="s">
        <v>18</v>
      </c>
    </row>
    <row r="7" spans="1:7" ht="15.75" customHeight="1" x14ac:dyDescent="0.15">
      <c r="A7" s="6" t="s">
        <v>13</v>
      </c>
      <c r="B7" s="6" t="s">
        <v>14</v>
      </c>
      <c r="C7" s="7" t="s">
        <v>15</v>
      </c>
      <c r="D7" s="6">
        <v>107</v>
      </c>
      <c r="E7" s="8" t="s">
        <v>22</v>
      </c>
      <c r="F7" s="6" t="s">
        <v>17</v>
      </c>
      <c r="G7" s="33" t="s">
        <v>23</v>
      </c>
    </row>
    <row r="8" spans="1:7" ht="15.75" customHeight="1" x14ac:dyDescent="0.15">
      <c r="A8" s="6" t="s">
        <v>13</v>
      </c>
      <c r="B8" s="6" t="s">
        <v>14</v>
      </c>
      <c r="C8" s="7" t="s">
        <v>15</v>
      </c>
      <c r="D8" s="6">
        <v>112</v>
      </c>
      <c r="E8" s="8" t="s">
        <v>24</v>
      </c>
      <c r="F8" s="6" t="s">
        <v>17</v>
      </c>
      <c r="G8" s="33" t="s">
        <v>18</v>
      </c>
    </row>
    <row r="9" spans="1:7" ht="15.75" customHeight="1" x14ac:dyDescent="0.15">
      <c r="A9" s="6" t="s">
        <v>25</v>
      </c>
      <c r="B9" s="6" t="s">
        <v>26</v>
      </c>
      <c r="C9" s="7" t="s">
        <v>27</v>
      </c>
      <c r="D9" s="6">
        <v>20</v>
      </c>
      <c r="E9" s="8" t="s">
        <v>28</v>
      </c>
      <c r="F9" s="6" t="s">
        <v>29</v>
      </c>
      <c r="G9" s="33" t="s">
        <v>30</v>
      </c>
    </row>
    <row r="10" spans="1:7" ht="15.75" customHeight="1" x14ac:dyDescent="0.15">
      <c r="A10" s="6" t="s">
        <v>31</v>
      </c>
      <c r="B10" s="6" t="s">
        <v>31</v>
      </c>
      <c r="C10" s="7" t="s">
        <v>32</v>
      </c>
      <c r="D10" s="6">
        <v>20</v>
      </c>
      <c r="E10" s="8" t="s">
        <v>33</v>
      </c>
      <c r="F10" s="6" t="s">
        <v>34</v>
      </c>
      <c r="G10" s="33" t="s">
        <v>30</v>
      </c>
    </row>
    <row r="11" spans="1:7" ht="15.75" customHeight="1" x14ac:dyDescent="0.15">
      <c r="A11" s="6" t="s">
        <v>35</v>
      </c>
      <c r="B11" s="6" t="s">
        <v>36</v>
      </c>
      <c r="C11" s="7" t="s">
        <v>37</v>
      </c>
      <c r="D11" s="6">
        <v>111</v>
      </c>
      <c r="E11" s="8" t="s">
        <v>38</v>
      </c>
      <c r="F11" s="6" t="s">
        <v>11</v>
      </c>
      <c r="G11" s="33" t="s">
        <v>23</v>
      </c>
    </row>
    <row r="12" spans="1:7" ht="15.75" customHeight="1" x14ac:dyDescent="0.15">
      <c r="A12" s="6" t="s">
        <v>39</v>
      </c>
      <c r="B12" s="6" t="s">
        <v>40</v>
      </c>
      <c r="C12" s="7" t="s">
        <v>41</v>
      </c>
      <c r="D12" s="6">
        <v>4</v>
      </c>
      <c r="E12" s="8" t="s">
        <v>42</v>
      </c>
      <c r="F12" s="6" t="s">
        <v>11</v>
      </c>
      <c r="G12" s="33" t="s">
        <v>30</v>
      </c>
    </row>
    <row r="13" spans="1:7" ht="15.75" customHeight="1" x14ac:dyDescent="0.15">
      <c r="A13" s="6" t="s">
        <v>43</v>
      </c>
      <c r="B13" s="6" t="s">
        <v>44</v>
      </c>
      <c r="C13" s="7" t="s">
        <v>45</v>
      </c>
      <c r="D13" s="6">
        <v>30</v>
      </c>
      <c r="E13" s="8" t="s">
        <v>46</v>
      </c>
      <c r="F13" s="6" t="s">
        <v>11</v>
      </c>
      <c r="G13" s="33" t="s">
        <v>30</v>
      </c>
    </row>
    <row r="14" spans="1:7" ht="15.75" customHeight="1" x14ac:dyDescent="0.15">
      <c r="A14" s="6" t="s">
        <v>47</v>
      </c>
      <c r="B14" s="6" t="s">
        <v>48</v>
      </c>
      <c r="C14" s="7" t="s">
        <v>49</v>
      </c>
      <c r="D14" s="6">
        <v>32</v>
      </c>
      <c r="E14" s="8" t="s">
        <v>50</v>
      </c>
      <c r="F14" s="6" t="s">
        <v>11</v>
      </c>
      <c r="G14" s="33" t="s">
        <v>30</v>
      </c>
    </row>
    <row r="15" spans="1:7" ht="15.75" customHeight="1" x14ac:dyDescent="0.15">
      <c r="A15" s="6" t="s">
        <v>51</v>
      </c>
      <c r="B15" s="6" t="s">
        <v>52</v>
      </c>
      <c r="C15" s="7" t="s">
        <v>53</v>
      </c>
      <c r="D15" s="6">
        <v>46</v>
      </c>
      <c r="E15" s="8" t="s">
        <v>54</v>
      </c>
      <c r="G15" s="33" t="s">
        <v>30</v>
      </c>
    </row>
    <row r="16" spans="1:7" ht="15.75" customHeight="1" x14ac:dyDescent="0.15">
      <c r="A16" s="6" t="s">
        <v>51</v>
      </c>
      <c r="B16" s="6" t="s">
        <v>52</v>
      </c>
      <c r="C16" s="7" t="s">
        <v>53</v>
      </c>
      <c r="D16" s="6">
        <v>47</v>
      </c>
      <c r="E16" s="8" t="s">
        <v>55</v>
      </c>
      <c r="G16" s="33" t="s">
        <v>30</v>
      </c>
    </row>
    <row r="17" spans="1:7" ht="15.75" customHeight="1" x14ac:dyDescent="0.15">
      <c r="A17" s="6" t="s">
        <v>51</v>
      </c>
      <c r="B17" s="6" t="s">
        <v>56</v>
      </c>
      <c r="C17" s="7" t="s">
        <v>57</v>
      </c>
      <c r="D17" s="6">
        <v>106</v>
      </c>
      <c r="E17" s="8" t="s">
        <v>58</v>
      </c>
      <c r="F17" s="6" t="s">
        <v>59</v>
      </c>
      <c r="G17" s="33" t="s">
        <v>12</v>
      </c>
    </row>
    <row r="18" spans="1:7" ht="15.75" customHeight="1" x14ac:dyDescent="0.15">
      <c r="A18" s="6" t="s">
        <v>60</v>
      </c>
      <c r="B18" s="6" t="s">
        <v>61</v>
      </c>
      <c r="C18" s="7" t="s">
        <v>62</v>
      </c>
      <c r="D18" s="6">
        <v>32</v>
      </c>
      <c r="E18" s="8" t="s">
        <v>50</v>
      </c>
      <c r="F18" s="6" t="s">
        <v>11</v>
      </c>
      <c r="G18" s="33" t="s">
        <v>30</v>
      </c>
    </row>
    <row r="19" spans="1:7" ht="15.75" customHeight="1" x14ac:dyDescent="0.15">
      <c r="A19" s="6" t="s">
        <v>63</v>
      </c>
      <c r="B19" s="6" t="s">
        <v>64</v>
      </c>
      <c r="C19" s="7" t="s">
        <v>65</v>
      </c>
      <c r="D19" s="6">
        <v>7</v>
      </c>
      <c r="E19" s="8" t="s">
        <v>66</v>
      </c>
      <c r="F19" s="6" t="s">
        <v>11</v>
      </c>
      <c r="G19" s="33" t="s">
        <v>67</v>
      </c>
    </row>
    <row r="20" spans="1:7" ht="15.75" customHeight="1" x14ac:dyDescent="0.15">
      <c r="A20" s="6" t="s">
        <v>68</v>
      </c>
      <c r="B20" s="6" t="s">
        <v>69</v>
      </c>
      <c r="C20" s="7" t="s">
        <v>70</v>
      </c>
      <c r="D20" s="6">
        <v>121</v>
      </c>
      <c r="E20" s="8" t="s">
        <v>71</v>
      </c>
      <c r="F20" s="6" t="s">
        <v>72</v>
      </c>
      <c r="G20" s="33" t="s">
        <v>30</v>
      </c>
    </row>
    <row r="21" spans="1:7" ht="15.75" customHeight="1" x14ac:dyDescent="0.15">
      <c r="A21" s="6" t="s">
        <v>73</v>
      </c>
      <c r="B21" s="6" t="s">
        <v>74</v>
      </c>
      <c r="C21" s="7" t="s">
        <v>75</v>
      </c>
      <c r="D21" s="6">
        <v>225</v>
      </c>
      <c r="E21" s="8" t="s">
        <v>76</v>
      </c>
      <c r="F21" s="6" t="s">
        <v>72</v>
      </c>
      <c r="G21" s="33" t="s">
        <v>77</v>
      </c>
    </row>
    <row r="22" spans="1:7" ht="15.75" customHeight="1" x14ac:dyDescent="0.15">
      <c r="A22" s="6" t="s">
        <v>73</v>
      </c>
      <c r="B22" s="6" t="s">
        <v>74</v>
      </c>
      <c r="C22" s="7" t="s">
        <v>75</v>
      </c>
      <c r="D22" s="6">
        <v>227</v>
      </c>
      <c r="E22" s="8" t="s">
        <v>78</v>
      </c>
      <c r="F22" s="6" t="s">
        <v>72</v>
      </c>
      <c r="G22" s="33" t="s">
        <v>77</v>
      </c>
    </row>
    <row r="23" spans="1:7" ht="15.75" customHeight="1" x14ac:dyDescent="0.15">
      <c r="A23" s="6" t="s">
        <v>79</v>
      </c>
      <c r="B23" s="6" t="s">
        <v>80</v>
      </c>
      <c r="C23" s="7" t="s">
        <v>81</v>
      </c>
      <c r="D23" s="6">
        <v>138</v>
      </c>
      <c r="E23" s="8" t="s">
        <v>82</v>
      </c>
      <c r="F23" s="6" t="s">
        <v>72</v>
      </c>
      <c r="G23" s="33" t="s">
        <v>83</v>
      </c>
    </row>
    <row r="24" spans="1:7" ht="15.75" customHeight="1" x14ac:dyDescent="0.15">
      <c r="A24" s="6" t="s">
        <v>84</v>
      </c>
      <c r="B24" s="6" t="s">
        <v>85</v>
      </c>
      <c r="C24" s="7" t="s">
        <v>86</v>
      </c>
      <c r="D24" s="6">
        <v>21</v>
      </c>
      <c r="E24" s="8" t="s">
        <v>87</v>
      </c>
      <c r="F24" s="6" t="s">
        <v>72</v>
      </c>
      <c r="G24" s="33" t="s">
        <v>88</v>
      </c>
    </row>
    <row r="25" spans="1:7" ht="15.75" customHeight="1" x14ac:dyDescent="0.15">
      <c r="A25" s="6" t="s">
        <v>84</v>
      </c>
      <c r="B25" s="6" t="s">
        <v>85</v>
      </c>
      <c r="C25" s="7" t="s">
        <v>86</v>
      </c>
      <c r="D25" s="6">
        <v>24</v>
      </c>
      <c r="E25" s="8" t="s">
        <v>89</v>
      </c>
      <c r="F25" s="6" t="s">
        <v>72</v>
      </c>
      <c r="G25" s="33" t="s">
        <v>23</v>
      </c>
    </row>
    <row r="26" spans="1:7" ht="15.75" customHeight="1" x14ac:dyDescent="0.15">
      <c r="A26" s="6" t="s">
        <v>84</v>
      </c>
      <c r="B26" s="6" t="s">
        <v>85</v>
      </c>
      <c r="C26" s="7" t="s">
        <v>86</v>
      </c>
      <c r="D26" s="6">
        <v>28</v>
      </c>
      <c r="E26" s="8" t="s">
        <v>90</v>
      </c>
      <c r="F26" s="6" t="s">
        <v>72</v>
      </c>
      <c r="G26" s="33" t="s">
        <v>83</v>
      </c>
    </row>
    <row r="27" spans="1:7" ht="15.75" customHeight="1" x14ac:dyDescent="0.15">
      <c r="A27" s="6" t="s">
        <v>84</v>
      </c>
      <c r="B27" s="6" t="s">
        <v>85</v>
      </c>
      <c r="C27" s="7" t="s">
        <v>86</v>
      </c>
      <c r="D27" s="6">
        <v>35</v>
      </c>
      <c r="E27" s="8" t="s">
        <v>91</v>
      </c>
      <c r="F27" s="6" t="s">
        <v>72</v>
      </c>
      <c r="G27" s="33" t="s">
        <v>18</v>
      </c>
    </row>
    <row r="28" spans="1:7" ht="15.75" customHeight="1" x14ac:dyDescent="0.15">
      <c r="A28" s="6" t="s">
        <v>92</v>
      </c>
      <c r="B28" s="6" t="s">
        <v>93</v>
      </c>
      <c r="C28" s="7" t="s">
        <v>94</v>
      </c>
      <c r="D28" s="6">
        <v>81</v>
      </c>
      <c r="E28" s="8" t="s">
        <v>95</v>
      </c>
      <c r="F28" s="6" t="s">
        <v>72</v>
      </c>
      <c r="G28" s="33" t="s">
        <v>30</v>
      </c>
    </row>
    <row r="29" spans="1:7" ht="15.75" customHeight="1" x14ac:dyDescent="0.15">
      <c r="A29" s="6" t="s">
        <v>51</v>
      </c>
      <c r="B29" s="6" t="s">
        <v>96</v>
      </c>
      <c r="C29" s="7" t="s">
        <v>97</v>
      </c>
      <c r="D29" s="6">
        <v>43</v>
      </c>
      <c r="E29" s="8" t="s">
        <v>98</v>
      </c>
      <c r="F29" s="6" t="s">
        <v>72</v>
      </c>
      <c r="G29" s="33" t="s">
        <v>23</v>
      </c>
    </row>
    <row r="30" spans="1:7" ht="15.75" customHeight="1" x14ac:dyDescent="0.15">
      <c r="A30" s="6" t="s">
        <v>51</v>
      </c>
      <c r="B30" s="6" t="s">
        <v>96</v>
      </c>
      <c r="C30" s="7" t="s">
        <v>97</v>
      </c>
      <c r="D30" s="6">
        <v>44</v>
      </c>
      <c r="E30" s="8" t="s">
        <v>99</v>
      </c>
      <c r="F30" s="6" t="s">
        <v>72</v>
      </c>
      <c r="G30" s="33" t="s">
        <v>23</v>
      </c>
    </row>
    <row r="31" spans="1:7" ht="15.75" customHeight="1" x14ac:dyDescent="0.15">
      <c r="A31" s="6" t="s">
        <v>51</v>
      </c>
      <c r="B31" s="6" t="s">
        <v>96</v>
      </c>
      <c r="C31" s="7" t="s">
        <v>97</v>
      </c>
      <c r="D31" s="6">
        <v>45</v>
      </c>
      <c r="E31" s="8" t="s">
        <v>100</v>
      </c>
      <c r="F31" s="6" t="s">
        <v>72</v>
      </c>
      <c r="G31" s="33" t="s">
        <v>23</v>
      </c>
    </row>
    <row r="32" spans="1:7" ht="15.75" customHeight="1" x14ac:dyDescent="0.15">
      <c r="A32" s="6" t="s">
        <v>101</v>
      </c>
      <c r="B32" s="6" t="s">
        <v>102</v>
      </c>
      <c r="C32" s="7" t="s">
        <v>103</v>
      </c>
      <c r="D32" s="6">
        <v>12</v>
      </c>
      <c r="E32" s="8" t="s">
        <v>104</v>
      </c>
      <c r="F32" s="6" t="s">
        <v>72</v>
      </c>
      <c r="G32" s="33" t="s">
        <v>12</v>
      </c>
    </row>
    <row r="33" spans="1:7" ht="15.75" customHeight="1" x14ac:dyDescent="0.15">
      <c r="A33" s="6" t="s">
        <v>105</v>
      </c>
      <c r="B33" s="6" t="s">
        <v>106</v>
      </c>
      <c r="C33" s="7" t="s">
        <v>107</v>
      </c>
      <c r="D33" s="6">
        <v>143</v>
      </c>
      <c r="E33" s="8" t="s">
        <v>108</v>
      </c>
      <c r="F33" s="6" t="s">
        <v>109</v>
      </c>
      <c r="G33" s="33" t="s">
        <v>30</v>
      </c>
    </row>
    <row r="34" spans="1:7" ht="15.75" customHeight="1" x14ac:dyDescent="0.15">
      <c r="A34" s="6" t="s">
        <v>105</v>
      </c>
      <c r="B34" s="6" t="s">
        <v>106</v>
      </c>
      <c r="C34" s="7" t="s">
        <v>107</v>
      </c>
      <c r="D34" s="6">
        <v>149</v>
      </c>
      <c r="E34" s="8" t="s">
        <v>110</v>
      </c>
      <c r="F34" s="6" t="s">
        <v>109</v>
      </c>
      <c r="G34" s="33" t="s">
        <v>30</v>
      </c>
    </row>
    <row r="35" spans="1:7" ht="15.75" customHeight="1" x14ac:dyDescent="0.15">
      <c r="A35" s="6" t="s">
        <v>51</v>
      </c>
      <c r="B35" s="6" t="s">
        <v>56</v>
      </c>
      <c r="C35" s="7" t="s">
        <v>57</v>
      </c>
      <c r="D35" s="6">
        <v>77</v>
      </c>
      <c r="E35" s="8" t="s">
        <v>111</v>
      </c>
      <c r="F35" s="6" t="s">
        <v>109</v>
      </c>
      <c r="G35" s="33" t="s">
        <v>30</v>
      </c>
    </row>
    <row r="36" spans="1:7" ht="15.75" customHeight="1" x14ac:dyDescent="0.15">
      <c r="A36" s="6" t="s">
        <v>105</v>
      </c>
      <c r="B36" s="6" t="s">
        <v>106</v>
      </c>
      <c r="C36" s="7" t="s">
        <v>112</v>
      </c>
      <c r="D36" s="6">
        <v>143</v>
      </c>
      <c r="E36" s="8" t="s">
        <v>108</v>
      </c>
      <c r="F36" s="6" t="s">
        <v>109</v>
      </c>
      <c r="G36" s="33" t="s">
        <v>30</v>
      </c>
    </row>
    <row r="37" spans="1:7" ht="15.75" customHeight="1" x14ac:dyDescent="0.15">
      <c r="A37" s="6" t="s">
        <v>105</v>
      </c>
      <c r="B37" s="6" t="s">
        <v>106</v>
      </c>
      <c r="C37" s="7" t="s">
        <v>112</v>
      </c>
      <c r="D37" s="6">
        <v>149</v>
      </c>
      <c r="E37" s="8" t="s">
        <v>110</v>
      </c>
      <c r="F37" s="6" t="s">
        <v>109</v>
      </c>
      <c r="G37" s="33" t="s">
        <v>30</v>
      </c>
    </row>
    <row r="38" spans="1:7" ht="15.75" customHeight="1" x14ac:dyDescent="0.15">
      <c r="A38" s="6" t="s">
        <v>68</v>
      </c>
      <c r="B38" s="6" t="s">
        <v>69</v>
      </c>
      <c r="C38" s="7" t="s">
        <v>70</v>
      </c>
      <c r="D38" s="6">
        <v>117</v>
      </c>
      <c r="E38" s="8" t="s">
        <v>113</v>
      </c>
      <c r="F38" s="6" t="s">
        <v>114</v>
      </c>
      <c r="G38" s="33" t="s">
        <v>115</v>
      </c>
    </row>
    <row r="39" spans="1:7" ht="15.75" customHeight="1" x14ac:dyDescent="0.15">
      <c r="A39" s="6" t="s">
        <v>68</v>
      </c>
      <c r="B39" s="6" t="s">
        <v>69</v>
      </c>
      <c r="C39" s="7" t="s">
        <v>70</v>
      </c>
      <c r="D39" s="6">
        <v>135</v>
      </c>
      <c r="E39" s="8" t="s">
        <v>116</v>
      </c>
      <c r="F39" s="6" t="s">
        <v>114</v>
      </c>
      <c r="G39" s="33" t="s">
        <v>115</v>
      </c>
    </row>
    <row r="40" spans="1:7" ht="15.75" customHeight="1" x14ac:dyDescent="0.15">
      <c r="A40" s="6" t="s">
        <v>68</v>
      </c>
      <c r="B40" s="6" t="s">
        <v>69</v>
      </c>
      <c r="C40" s="7" t="s">
        <v>70</v>
      </c>
      <c r="D40" s="6">
        <v>190</v>
      </c>
      <c r="E40" s="8" t="s">
        <v>117</v>
      </c>
      <c r="F40" s="6" t="s">
        <v>114</v>
      </c>
      <c r="G40" s="33" t="s">
        <v>83</v>
      </c>
    </row>
    <row r="41" spans="1:7" ht="15.75" customHeight="1" x14ac:dyDescent="0.15">
      <c r="A41" s="6" t="s">
        <v>118</v>
      </c>
      <c r="B41" s="6" t="s">
        <v>119</v>
      </c>
      <c r="C41" s="7" t="s">
        <v>120</v>
      </c>
      <c r="D41" s="6">
        <v>41</v>
      </c>
      <c r="E41" s="8" t="s">
        <v>121</v>
      </c>
      <c r="F41" s="6" t="s">
        <v>114</v>
      </c>
      <c r="G41" s="33" t="s">
        <v>30</v>
      </c>
    </row>
    <row r="42" spans="1:7" ht="15.75" customHeight="1" x14ac:dyDescent="0.15">
      <c r="A42" s="6" t="s">
        <v>118</v>
      </c>
      <c r="B42" s="6" t="s">
        <v>119</v>
      </c>
      <c r="C42" s="7" t="s">
        <v>120</v>
      </c>
      <c r="D42" s="6">
        <v>50</v>
      </c>
      <c r="E42" s="8" t="s">
        <v>122</v>
      </c>
      <c r="F42" s="6" t="s">
        <v>114</v>
      </c>
      <c r="G42" s="33" t="s">
        <v>30</v>
      </c>
    </row>
    <row r="43" spans="1:7" ht="15.75" customHeight="1" x14ac:dyDescent="0.15">
      <c r="A43" s="6" t="s">
        <v>123</v>
      </c>
      <c r="B43" s="6" t="s">
        <v>124</v>
      </c>
      <c r="C43" s="7" t="s">
        <v>125</v>
      </c>
      <c r="D43" s="6">
        <v>1</v>
      </c>
      <c r="E43" s="8" t="s">
        <v>126</v>
      </c>
      <c r="F43" s="6" t="s">
        <v>114</v>
      </c>
      <c r="G43" s="33" t="s">
        <v>30</v>
      </c>
    </row>
    <row r="44" spans="1:7" ht="15.75" customHeight="1" x14ac:dyDescent="0.15">
      <c r="A44" s="6" t="s">
        <v>127</v>
      </c>
      <c r="B44" s="6" t="s">
        <v>128</v>
      </c>
      <c r="C44" s="7" t="s">
        <v>129</v>
      </c>
      <c r="D44" s="6">
        <v>60</v>
      </c>
      <c r="E44" s="8" t="s">
        <v>130</v>
      </c>
      <c r="F44" s="6" t="s">
        <v>114</v>
      </c>
      <c r="G44" s="33" t="s">
        <v>30</v>
      </c>
    </row>
    <row r="45" spans="1:7" ht="15.75" customHeight="1" x14ac:dyDescent="0.15">
      <c r="A45" s="6" t="s">
        <v>131</v>
      </c>
      <c r="B45" s="6" t="s">
        <v>132</v>
      </c>
      <c r="C45" s="7" t="s">
        <v>133</v>
      </c>
      <c r="D45" s="6">
        <v>46</v>
      </c>
      <c r="E45" s="8" t="s">
        <v>134</v>
      </c>
      <c r="F45" s="6" t="s">
        <v>114</v>
      </c>
      <c r="G45" s="33" t="s">
        <v>30</v>
      </c>
    </row>
    <row r="46" spans="1:7" ht="15.75" customHeight="1" x14ac:dyDescent="0.15">
      <c r="A46" s="6" t="s">
        <v>131</v>
      </c>
      <c r="B46" s="6" t="s">
        <v>132</v>
      </c>
      <c r="C46" s="7" t="s">
        <v>133</v>
      </c>
      <c r="D46" s="6">
        <v>80</v>
      </c>
      <c r="E46" s="8" t="s">
        <v>135</v>
      </c>
      <c r="F46" s="6" t="s">
        <v>114</v>
      </c>
      <c r="G46" s="33" t="s">
        <v>136</v>
      </c>
    </row>
    <row r="47" spans="1:7" ht="15.75" customHeight="1" x14ac:dyDescent="0.15">
      <c r="A47" s="6" t="s">
        <v>131</v>
      </c>
      <c r="B47" s="6" t="s">
        <v>132</v>
      </c>
      <c r="C47" s="7" t="s">
        <v>133</v>
      </c>
      <c r="D47" s="6">
        <v>81</v>
      </c>
      <c r="E47" s="8" t="s">
        <v>137</v>
      </c>
      <c r="F47" s="6" t="s">
        <v>114</v>
      </c>
      <c r="G47" s="33" t="s">
        <v>136</v>
      </c>
    </row>
    <row r="48" spans="1:7" ht="15.75" customHeight="1" x14ac:dyDescent="0.15">
      <c r="A48" s="6" t="s">
        <v>131</v>
      </c>
      <c r="B48" s="6" t="s">
        <v>132</v>
      </c>
      <c r="C48" s="7" t="s">
        <v>133</v>
      </c>
      <c r="D48" s="6">
        <v>186</v>
      </c>
      <c r="E48" s="8" t="s">
        <v>138</v>
      </c>
      <c r="F48" s="6" t="s">
        <v>114</v>
      </c>
      <c r="G48" s="33" t="s">
        <v>30</v>
      </c>
    </row>
    <row r="49" spans="1:7" ht="15.75" customHeight="1" x14ac:dyDescent="0.15">
      <c r="A49" s="6" t="s">
        <v>131</v>
      </c>
      <c r="B49" s="6" t="s">
        <v>132</v>
      </c>
      <c r="C49" s="7" t="s">
        <v>133</v>
      </c>
      <c r="D49" s="6">
        <v>196</v>
      </c>
      <c r="E49" s="8" t="s">
        <v>139</v>
      </c>
      <c r="F49" s="6" t="s">
        <v>114</v>
      </c>
      <c r="G49" s="33" t="s">
        <v>30</v>
      </c>
    </row>
    <row r="50" spans="1:7" ht="15.75" customHeight="1" x14ac:dyDescent="0.15">
      <c r="A50" s="6" t="s">
        <v>140</v>
      </c>
      <c r="B50" s="6" t="s">
        <v>141</v>
      </c>
      <c r="C50" s="7" t="s">
        <v>142</v>
      </c>
      <c r="D50" s="6">
        <v>52</v>
      </c>
      <c r="E50" s="8" t="s">
        <v>143</v>
      </c>
      <c r="F50" s="6" t="s">
        <v>114</v>
      </c>
      <c r="G50" s="33" t="s">
        <v>88</v>
      </c>
    </row>
    <row r="51" spans="1:7" ht="15.75" customHeight="1" x14ac:dyDescent="0.15">
      <c r="A51" s="6" t="s">
        <v>140</v>
      </c>
      <c r="B51" s="6" t="s">
        <v>141</v>
      </c>
      <c r="C51" s="7" t="s">
        <v>142</v>
      </c>
      <c r="D51" s="6">
        <v>115</v>
      </c>
      <c r="E51" s="8" t="s">
        <v>144</v>
      </c>
      <c r="F51" s="6" t="s">
        <v>114</v>
      </c>
      <c r="G51" s="33" t="s">
        <v>88</v>
      </c>
    </row>
    <row r="52" spans="1:7" ht="14" x14ac:dyDescent="0.15">
      <c r="A52" s="6" t="s">
        <v>145</v>
      </c>
      <c r="B52" s="6" t="s">
        <v>146</v>
      </c>
      <c r="C52" s="7" t="s">
        <v>147</v>
      </c>
      <c r="D52" s="6">
        <v>53</v>
      </c>
      <c r="E52" s="8" t="s">
        <v>148</v>
      </c>
      <c r="F52" s="6" t="s">
        <v>114</v>
      </c>
      <c r="G52" s="33" t="s">
        <v>30</v>
      </c>
    </row>
    <row r="53" spans="1:7" ht="14" x14ac:dyDescent="0.15">
      <c r="A53" s="6" t="s">
        <v>149</v>
      </c>
      <c r="B53" s="6" t="s">
        <v>150</v>
      </c>
      <c r="C53" s="7" t="s">
        <v>151</v>
      </c>
      <c r="D53" s="6">
        <v>14</v>
      </c>
      <c r="E53" s="8" t="s">
        <v>152</v>
      </c>
      <c r="F53" s="6" t="s">
        <v>114</v>
      </c>
      <c r="G53" s="33" t="s">
        <v>136</v>
      </c>
    </row>
    <row r="54" spans="1:7" ht="14" x14ac:dyDescent="0.15">
      <c r="A54" s="6" t="s">
        <v>153</v>
      </c>
      <c r="B54" s="6" t="s">
        <v>153</v>
      </c>
      <c r="C54" s="7" t="s">
        <v>154</v>
      </c>
      <c r="D54" s="6">
        <v>78</v>
      </c>
      <c r="E54" s="8" t="s">
        <v>155</v>
      </c>
      <c r="F54" s="6" t="s">
        <v>114</v>
      </c>
      <c r="G54" s="33" t="s">
        <v>83</v>
      </c>
    </row>
    <row r="55" spans="1:7" ht="14" x14ac:dyDescent="0.15">
      <c r="A55" s="6" t="s">
        <v>156</v>
      </c>
      <c r="B55" s="6" t="s">
        <v>156</v>
      </c>
      <c r="C55" s="7" t="s">
        <v>157</v>
      </c>
      <c r="D55" s="6">
        <v>33</v>
      </c>
      <c r="E55" s="8" t="s">
        <v>158</v>
      </c>
      <c r="F55" s="6" t="s">
        <v>114</v>
      </c>
      <c r="G55" s="33" t="s">
        <v>83</v>
      </c>
    </row>
    <row r="56" spans="1:7" ht="14" x14ac:dyDescent="0.15">
      <c r="A56" s="6" t="s">
        <v>156</v>
      </c>
      <c r="B56" s="6" t="s">
        <v>159</v>
      </c>
      <c r="C56" s="7" t="s">
        <v>160</v>
      </c>
      <c r="D56" s="6">
        <v>3</v>
      </c>
      <c r="E56" s="8" t="s">
        <v>161</v>
      </c>
      <c r="F56" s="6" t="s">
        <v>114</v>
      </c>
      <c r="G56" s="33" t="s">
        <v>12</v>
      </c>
    </row>
    <row r="57" spans="1:7" ht="14" x14ac:dyDescent="0.15">
      <c r="A57" s="6" t="s">
        <v>156</v>
      </c>
      <c r="B57" s="6" t="s">
        <v>159</v>
      </c>
      <c r="C57" s="7" t="s">
        <v>160</v>
      </c>
      <c r="D57" s="6">
        <v>4</v>
      </c>
      <c r="E57" s="8" t="s">
        <v>162</v>
      </c>
      <c r="F57" s="6" t="s">
        <v>114</v>
      </c>
      <c r="G57" s="33" t="s">
        <v>12</v>
      </c>
    </row>
    <row r="58" spans="1:7" ht="14" x14ac:dyDescent="0.15">
      <c r="A58" s="6" t="s">
        <v>156</v>
      </c>
      <c r="B58" s="6" t="s">
        <v>159</v>
      </c>
      <c r="C58" s="7" t="s">
        <v>160</v>
      </c>
      <c r="D58" s="6">
        <v>6</v>
      </c>
      <c r="E58" s="8" t="s">
        <v>163</v>
      </c>
      <c r="F58" s="6" t="s">
        <v>114</v>
      </c>
      <c r="G58" s="33" t="s">
        <v>12</v>
      </c>
    </row>
    <row r="59" spans="1:7" ht="28" x14ac:dyDescent="0.15">
      <c r="A59" s="6" t="s">
        <v>164</v>
      </c>
      <c r="B59" s="6" t="s">
        <v>165</v>
      </c>
      <c r="C59" s="7" t="s">
        <v>166</v>
      </c>
      <c r="D59" s="6">
        <v>147</v>
      </c>
      <c r="E59" s="8" t="s">
        <v>167</v>
      </c>
      <c r="F59" s="6" t="s">
        <v>114</v>
      </c>
      <c r="G59" s="33" t="s">
        <v>67</v>
      </c>
    </row>
    <row r="60" spans="1:7" ht="28" x14ac:dyDescent="0.15">
      <c r="A60" s="6" t="s">
        <v>164</v>
      </c>
      <c r="B60" s="6" t="s">
        <v>165</v>
      </c>
      <c r="C60" s="7" t="s">
        <v>166</v>
      </c>
      <c r="D60" s="6">
        <v>150</v>
      </c>
      <c r="E60" s="8" t="s">
        <v>168</v>
      </c>
      <c r="F60" s="6" t="s">
        <v>114</v>
      </c>
      <c r="G60" s="33" t="s">
        <v>67</v>
      </c>
    </row>
    <row r="61" spans="1:7" ht="14" x14ac:dyDescent="0.15">
      <c r="A61" s="6" t="s">
        <v>169</v>
      </c>
      <c r="B61" s="6" t="s">
        <v>169</v>
      </c>
      <c r="C61" s="7" t="s">
        <v>170</v>
      </c>
      <c r="D61" s="6">
        <v>64</v>
      </c>
      <c r="E61" s="8" t="s">
        <v>171</v>
      </c>
      <c r="F61" s="6" t="s">
        <v>114</v>
      </c>
      <c r="G61" s="33" t="s">
        <v>88</v>
      </c>
    </row>
    <row r="62" spans="1:7" ht="14" x14ac:dyDescent="0.15">
      <c r="A62" s="6" t="s">
        <v>169</v>
      </c>
      <c r="B62" s="6" t="s">
        <v>169</v>
      </c>
      <c r="C62" s="7" t="s">
        <v>170</v>
      </c>
      <c r="D62" s="6">
        <v>78</v>
      </c>
      <c r="E62" s="8" t="s">
        <v>172</v>
      </c>
      <c r="F62" s="6" t="s">
        <v>114</v>
      </c>
      <c r="G62" s="33" t="s">
        <v>115</v>
      </c>
    </row>
    <row r="63" spans="1:7" ht="14" x14ac:dyDescent="0.15">
      <c r="A63" s="6" t="s">
        <v>173</v>
      </c>
      <c r="B63" s="6" t="s">
        <v>174</v>
      </c>
      <c r="C63" s="7" t="s">
        <v>175</v>
      </c>
      <c r="D63" s="6">
        <v>27</v>
      </c>
      <c r="E63" s="8" t="s">
        <v>176</v>
      </c>
      <c r="F63" s="6" t="s">
        <v>114</v>
      </c>
      <c r="G63" s="33" t="s">
        <v>83</v>
      </c>
    </row>
    <row r="64" spans="1:7" ht="14" x14ac:dyDescent="0.15">
      <c r="A64" s="6" t="s">
        <v>177</v>
      </c>
      <c r="B64" s="6" t="s">
        <v>178</v>
      </c>
      <c r="C64" s="7" t="s">
        <v>179</v>
      </c>
      <c r="D64" s="6">
        <v>99</v>
      </c>
      <c r="E64" s="8" t="s">
        <v>180</v>
      </c>
      <c r="F64" s="6" t="s">
        <v>114</v>
      </c>
      <c r="G64" s="33" t="s">
        <v>30</v>
      </c>
    </row>
    <row r="65" spans="1:7" ht="14" x14ac:dyDescent="0.15">
      <c r="A65" s="6" t="s">
        <v>181</v>
      </c>
      <c r="B65" s="6" t="s">
        <v>182</v>
      </c>
      <c r="C65" s="7" t="s">
        <v>183</v>
      </c>
      <c r="D65" s="6">
        <v>41</v>
      </c>
      <c r="E65" s="8" t="s">
        <v>184</v>
      </c>
      <c r="F65" s="6" t="s">
        <v>114</v>
      </c>
      <c r="G65" s="33" t="s">
        <v>30</v>
      </c>
    </row>
    <row r="66" spans="1:7" ht="14" x14ac:dyDescent="0.15">
      <c r="A66" s="6" t="s">
        <v>185</v>
      </c>
      <c r="B66" s="6" t="s">
        <v>186</v>
      </c>
      <c r="C66" s="7" t="s">
        <v>187</v>
      </c>
      <c r="D66" s="6">
        <v>51</v>
      </c>
      <c r="E66" s="8" t="s">
        <v>188</v>
      </c>
      <c r="F66" s="6" t="s">
        <v>114</v>
      </c>
      <c r="G66" s="33" t="s">
        <v>18</v>
      </c>
    </row>
    <row r="67" spans="1:7" ht="28" x14ac:dyDescent="0.15">
      <c r="A67" s="6" t="s">
        <v>185</v>
      </c>
      <c r="B67" s="6" t="s">
        <v>189</v>
      </c>
      <c r="C67" s="7" t="s">
        <v>190</v>
      </c>
      <c r="D67" s="6">
        <v>6</v>
      </c>
      <c r="E67" s="8" t="s">
        <v>191</v>
      </c>
      <c r="F67" s="6" t="s">
        <v>114</v>
      </c>
      <c r="G67" s="33" t="s">
        <v>18</v>
      </c>
    </row>
    <row r="68" spans="1:7" ht="14" x14ac:dyDescent="0.15">
      <c r="A68" s="6" t="s">
        <v>192</v>
      </c>
      <c r="B68" s="6" t="s">
        <v>192</v>
      </c>
      <c r="C68" s="7" t="s">
        <v>193</v>
      </c>
      <c r="D68" s="6">
        <v>7</v>
      </c>
      <c r="E68" s="8" t="s">
        <v>194</v>
      </c>
      <c r="F68" s="6" t="s">
        <v>114</v>
      </c>
      <c r="G68" s="33" t="s">
        <v>18</v>
      </c>
    </row>
    <row r="69" spans="1:7" ht="28" x14ac:dyDescent="0.15">
      <c r="A69" s="6" t="s">
        <v>192</v>
      </c>
      <c r="B69" s="6" t="s">
        <v>192</v>
      </c>
      <c r="C69" s="7" t="s">
        <v>193</v>
      </c>
      <c r="D69" s="6">
        <v>14</v>
      </c>
      <c r="E69" s="8" t="s">
        <v>195</v>
      </c>
      <c r="F69" s="6" t="s">
        <v>114</v>
      </c>
      <c r="G69" s="33" t="s">
        <v>88</v>
      </c>
    </row>
    <row r="70" spans="1:7" ht="14" x14ac:dyDescent="0.15">
      <c r="A70" s="6" t="s">
        <v>73</v>
      </c>
      <c r="B70" s="6" t="s">
        <v>74</v>
      </c>
      <c r="C70" s="7" t="s">
        <v>75</v>
      </c>
      <c r="D70" s="6">
        <v>36</v>
      </c>
      <c r="E70" s="8" t="s">
        <v>196</v>
      </c>
      <c r="F70" s="6" t="s">
        <v>114</v>
      </c>
      <c r="G70" s="33" t="s">
        <v>30</v>
      </c>
    </row>
    <row r="71" spans="1:7" ht="14" x14ac:dyDescent="0.15">
      <c r="A71" s="6" t="s">
        <v>73</v>
      </c>
      <c r="B71" s="6" t="s">
        <v>74</v>
      </c>
      <c r="C71" s="7" t="s">
        <v>75</v>
      </c>
      <c r="D71" s="6">
        <v>220</v>
      </c>
      <c r="E71" s="8" t="s">
        <v>197</v>
      </c>
      <c r="F71" s="6" t="s">
        <v>114</v>
      </c>
      <c r="G71" s="33" t="s">
        <v>77</v>
      </c>
    </row>
    <row r="72" spans="1:7" ht="14" x14ac:dyDescent="0.15">
      <c r="A72" s="6" t="s">
        <v>73</v>
      </c>
      <c r="B72" s="6" t="s">
        <v>74</v>
      </c>
      <c r="C72" s="7" t="s">
        <v>75</v>
      </c>
      <c r="D72" s="6">
        <v>222</v>
      </c>
      <c r="E72" s="8" t="s">
        <v>198</v>
      </c>
      <c r="F72" s="6" t="s">
        <v>114</v>
      </c>
      <c r="G72" s="33" t="s">
        <v>77</v>
      </c>
    </row>
    <row r="73" spans="1:7" ht="14" x14ac:dyDescent="0.15">
      <c r="A73" s="6" t="s">
        <v>73</v>
      </c>
      <c r="B73" s="6" t="s">
        <v>74</v>
      </c>
      <c r="C73" s="7" t="s">
        <v>75</v>
      </c>
      <c r="D73" s="6">
        <v>230</v>
      </c>
      <c r="E73" s="8" t="s">
        <v>199</v>
      </c>
      <c r="F73" s="6" t="s">
        <v>114</v>
      </c>
      <c r="G73" s="33" t="s">
        <v>77</v>
      </c>
    </row>
    <row r="74" spans="1:7" ht="14" x14ac:dyDescent="0.15">
      <c r="A74" s="6" t="s">
        <v>73</v>
      </c>
      <c r="B74" s="6" t="s">
        <v>74</v>
      </c>
      <c r="C74" s="7" t="s">
        <v>75</v>
      </c>
      <c r="D74" s="6">
        <v>284</v>
      </c>
      <c r="E74" s="8" t="s">
        <v>200</v>
      </c>
      <c r="F74" s="6" t="s">
        <v>114</v>
      </c>
      <c r="G74" s="33" t="s">
        <v>77</v>
      </c>
    </row>
    <row r="75" spans="1:7" ht="28" x14ac:dyDescent="0.15">
      <c r="A75" s="6" t="s">
        <v>201</v>
      </c>
      <c r="B75" s="6" t="s">
        <v>202</v>
      </c>
      <c r="C75" s="7" t="s">
        <v>203</v>
      </c>
      <c r="D75" s="6">
        <v>31</v>
      </c>
      <c r="E75" s="8" t="s">
        <v>204</v>
      </c>
      <c r="F75" s="6" t="s">
        <v>114</v>
      </c>
      <c r="G75" s="33" t="s">
        <v>30</v>
      </c>
    </row>
    <row r="76" spans="1:7" ht="14" x14ac:dyDescent="0.15">
      <c r="A76" s="6" t="s">
        <v>205</v>
      </c>
      <c r="B76" s="6" t="s">
        <v>206</v>
      </c>
      <c r="C76" s="7" t="s">
        <v>207</v>
      </c>
      <c r="D76" s="6">
        <v>33</v>
      </c>
      <c r="E76" s="8" t="s">
        <v>208</v>
      </c>
      <c r="F76" s="6" t="s">
        <v>114</v>
      </c>
      <c r="G76" s="33" t="s">
        <v>136</v>
      </c>
    </row>
    <row r="77" spans="1:7" ht="14" x14ac:dyDescent="0.15">
      <c r="A77" s="6" t="s">
        <v>205</v>
      </c>
      <c r="B77" s="6" t="s">
        <v>206</v>
      </c>
      <c r="C77" s="7" t="s">
        <v>207</v>
      </c>
      <c r="D77" s="6">
        <v>108</v>
      </c>
      <c r="E77" s="8" t="s">
        <v>209</v>
      </c>
      <c r="F77" s="6" t="s">
        <v>114</v>
      </c>
      <c r="G77" s="33" t="s">
        <v>77</v>
      </c>
    </row>
    <row r="78" spans="1:7" ht="14" x14ac:dyDescent="0.15">
      <c r="A78" s="6" t="s">
        <v>210</v>
      </c>
      <c r="B78" s="6" t="s">
        <v>211</v>
      </c>
      <c r="C78" s="7" t="s">
        <v>212</v>
      </c>
      <c r="D78" s="6">
        <v>25</v>
      </c>
      <c r="E78" s="8" t="s">
        <v>213</v>
      </c>
      <c r="F78" s="6" t="s">
        <v>114</v>
      </c>
      <c r="G78" s="33" t="s">
        <v>77</v>
      </c>
    </row>
    <row r="79" spans="1:7" ht="14" x14ac:dyDescent="0.15">
      <c r="A79" s="6" t="s">
        <v>210</v>
      </c>
      <c r="B79" s="6" t="s">
        <v>211</v>
      </c>
      <c r="C79" s="7" t="s">
        <v>212</v>
      </c>
      <c r="D79" s="6">
        <v>42</v>
      </c>
      <c r="E79" s="8" t="s">
        <v>214</v>
      </c>
      <c r="F79" s="6" t="s">
        <v>114</v>
      </c>
      <c r="G79" s="33" t="s">
        <v>77</v>
      </c>
    </row>
    <row r="80" spans="1:7" ht="28" x14ac:dyDescent="0.15">
      <c r="A80" s="6" t="s">
        <v>215</v>
      </c>
      <c r="B80" s="6" t="s">
        <v>216</v>
      </c>
      <c r="C80" s="7" t="s">
        <v>217</v>
      </c>
      <c r="D80" s="6">
        <v>32</v>
      </c>
      <c r="E80" s="8" t="s">
        <v>218</v>
      </c>
      <c r="F80" s="6" t="s">
        <v>114</v>
      </c>
      <c r="G80" s="33" t="s">
        <v>219</v>
      </c>
    </row>
    <row r="81" spans="1:7" ht="28" x14ac:dyDescent="0.15">
      <c r="A81" s="6" t="s">
        <v>7</v>
      </c>
      <c r="B81" s="6" t="s">
        <v>8</v>
      </c>
      <c r="C81" s="7" t="s">
        <v>9</v>
      </c>
      <c r="D81" s="6">
        <v>39</v>
      </c>
      <c r="E81" s="8" t="s">
        <v>220</v>
      </c>
      <c r="F81" s="6" t="s">
        <v>114</v>
      </c>
      <c r="G81" s="33" t="s">
        <v>12</v>
      </c>
    </row>
    <row r="82" spans="1:7" ht="14" x14ac:dyDescent="0.15">
      <c r="A82" s="6" t="s">
        <v>221</v>
      </c>
      <c r="B82" s="6" t="s">
        <v>222</v>
      </c>
      <c r="C82" s="7" t="s">
        <v>223</v>
      </c>
      <c r="D82" s="6">
        <v>63</v>
      </c>
      <c r="E82" s="8" t="s">
        <v>224</v>
      </c>
      <c r="F82" s="6" t="s">
        <v>114</v>
      </c>
      <c r="G82" s="33" t="s">
        <v>136</v>
      </c>
    </row>
    <row r="83" spans="1:7" ht="14" x14ac:dyDescent="0.15">
      <c r="A83" s="6" t="s">
        <v>13</v>
      </c>
      <c r="B83" s="6" t="s">
        <v>14</v>
      </c>
      <c r="C83" s="7" t="s">
        <v>15</v>
      </c>
      <c r="D83" s="6">
        <v>50</v>
      </c>
      <c r="E83" s="8" t="s">
        <v>225</v>
      </c>
      <c r="F83" s="6" t="s">
        <v>114</v>
      </c>
      <c r="G83" s="33" t="s">
        <v>18</v>
      </c>
    </row>
    <row r="84" spans="1:7" ht="14" x14ac:dyDescent="0.15">
      <c r="A84" s="6" t="s">
        <v>13</v>
      </c>
      <c r="B84" s="6" t="s">
        <v>14</v>
      </c>
      <c r="C84" s="7" t="s">
        <v>15</v>
      </c>
      <c r="D84" s="6">
        <v>66</v>
      </c>
      <c r="E84" s="8" t="s">
        <v>226</v>
      </c>
      <c r="F84" s="6" t="s">
        <v>114</v>
      </c>
      <c r="G84" s="33" t="s">
        <v>18</v>
      </c>
    </row>
    <row r="85" spans="1:7" ht="14" x14ac:dyDescent="0.15">
      <c r="A85" s="6" t="s">
        <v>13</v>
      </c>
      <c r="B85" s="6" t="s">
        <v>14</v>
      </c>
      <c r="C85" s="7" t="s">
        <v>15</v>
      </c>
      <c r="D85" s="6">
        <v>116</v>
      </c>
      <c r="E85" s="8" t="s">
        <v>227</v>
      </c>
      <c r="F85" s="6" t="s">
        <v>114</v>
      </c>
      <c r="G85" s="33" t="s">
        <v>18</v>
      </c>
    </row>
    <row r="86" spans="1:7" ht="28" x14ac:dyDescent="0.15">
      <c r="A86" s="6" t="s">
        <v>228</v>
      </c>
      <c r="B86" s="6" t="s">
        <v>229</v>
      </c>
      <c r="C86" s="7" t="s">
        <v>230</v>
      </c>
      <c r="D86" s="6">
        <v>99</v>
      </c>
      <c r="E86" s="8" t="s">
        <v>231</v>
      </c>
      <c r="F86" s="6" t="s">
        <v>114</v>
      </c>
      <c r="G86" s="33" t="s">
        <v>136</v>
      </c>
    </row>
    <row r="87" spans="1:7" ht="14" x14ac:dyDescent="0.15">
      <c r="A87" s="6" t="s">
        <v>232</v>
      </c>
      <c r="B87" s="6" t="s">
        <v>233</v>
      </c>
      <c r="C87" s="7" t="s">
        <v>234</v>
      </c>
      <c r="D87" s="6">
        <v>47</v>
      </c>
      <c r="E87" s="8" t="s">
        <v>235</v>
      </c>
      <c r="F87" s="6" t="s">
        <v>114</v>
      </c>
      <c r="G87" s="33" t="s">
        <v>30</v>
      </c>
    </row>
    <row r="88" spans="1:7" ht="28" x14ac:dyDescent="0.15">
      <c r="A88" s="6" t="s">
        <v>232</v>
      </c>
      <c r="B88" s="6" t="s">
        <v>233</v>
      </c>
      <c r="C88" s="7" t="s">
        <v>234</v>
      </c>
      <c r="D88" s="6">
        <v>78</v>
      </c>
      <c r="E88" s="8" t="s">
        <v>236</v>
      </c>
      <c r="F88" s="6" t="s">
        <v>114</v>
      </c>
      <c r="G88" s="33" t="s">
        <v>83</v>
      </c>
    </row>
    <row r="89" spans="1:7" ht="14" x14ac:dyDescent="0.15">
      <c r="A89" s="6" t="s">
        <v>232</v>
      </c>
      <c r="B89" s="6" t="s">
        <v>233</v>
      </c>
      <c r="C89" s="7" t="s">
        <v>234</v>
      </c>
      <c r="D89" s="6">
        <v>91</v>
      </c>
      <c r="E89" s="8" t="s">
        <v>237</v>
      </c>
      <c r="F89" s="6" t="s">
        <v>114</v>
      </c>
      <c r="G89" s="33" t="s">
        <v>30</v>
      </c>
    </row>
    <row r="90" spans="1:7" ht="28" x14ac:dyDescent="0.15">
      <c r="A90" s="6" t="s">
        <v>25</v>
      </c>
      <c r="B90" s="6" t="s">
        <v>238</v>
      </c>
      <c r="C90" s="7" t="s">
        <v>239</v>
      </c>
      <c r="D90" s="6">
        <v>51</v>
      </c>
      <c r="E90" s="8" t="s">
        <v>240</v>
      </c>
      <c r="F90" s="6" t="s">
        <v>114</v>
      </c>
      <c r="G90" s="33" t="s">
        <v>219</v>
      </c>
    </row>
    <row r="91" spans="1:7" ht="14" x14ac:dyDescent="0.15">
      <c r="A91" s="6" t="s">
        <v>25</v>
      </c>
      <c r="B91" s="6" t="s">
        <v>26</v>
      </c>
      <c r="C91" s="7" t="s">
        <v>27</v>
      </c>
      <c r="D91" s="6">
        <v>15</v>
      </c>
      <c r="E91" s="8" t="s">
        <v>241</v>
      </c>
      <c r="F91" s="6" t="s">
        <v>114</v>
      </c>
      <c r="G91" s="33" t="s">
        <v>30</v>
      </c>
    </row>
    <row r="92" spans="1:7" ht="14" x14ac:dyDescent="0.15">
      <c r="A92" s="6" t="s">
        <v>79</v>
      </c>
      <c r="B92" s="6" t="s">
        <v>80</v>
      </c>
      <c r="C92" s="7" t="s">
        <v>81</v>
      </c>
      <c r="D92" s="6">
        <v>34</v>
      </c>
      <c r="E92" s="8" t="s">
        <v>242</v>
      </c>
      <c r="F92" s="6" t="s">
        <v>114</v>
      </c>
      <c r="G92" s="33" t="s">
        <v>219</v>
      </c>
    </row>
    <row r="93" spans="1:7" ht="14" x14ac:dyDescent="0.15">
      <c r="A93" s="6" t="s">
        <v>79</v>
      </c>
      <c r="B93" s="6" t="s">
        <v>80</v>
      </c>
      <c r="C93" s="7" t="s">
        <v>81</v>
      </c>
      <c r="D93" s="6">
        <v>40</v>
      </c>
      <c r="E93" s="8" t="s">
        <v>243</v>
      </c>
      <c r="F93" s="6" t="s">
        <v>114</v>
      </c>
      <c r="G93" s="33" t="s">
        <v>12</v>
      </c>
    </row>
    <row r="94" spans="1:7" ht="14" x14ac:dyDescent="0.15">
      <c r="A94" s="6" t="s">
        <v>244</v>
      </c>
      <c r="B94" s="6" t="s">
        <v>244</v>
      </c>
      <c r="C94" s="7" t="s">
        <v>245</v>
      </c>
      <c r="D94" s="6">
        <v>83</v>
      </c>
      <c r="E94" s="8" t="s">
        <v>246</v>
      </c>
      <c r="F94" s="6" t="s">
        <v>114</v>
      </c>
      <c r="G94" s="33" t="s">
        <v>30</v>
      </c>
    </row>
    <row r="95" spans="1:7" ht="14" x14ac:dyDescent="0.15">
      <c r="A95" s="6" t="s">
        <v>247</v>
      </c>
      <c r="B95" s="6" t="s">
        <v>248</v>
      </c>
      <c r="C95" s="7" t="s">
        <v>249</v>
      </c>
      <c r="D95" s="6">
        <v>55</v>
      </c>
      <c r="E95" s="8" t="s">
        <v>250</v>
      </c>
      <c r="F95" s="6" t="s">
        <v>114</v>
      </c>
      <c r="G95" s="33" t="s">
        <v>136</v>
      </c>
    </row>
    <row r="96" spans="1:7" ht="14" x14ac:dyDescent="0.15">
      <c r="A96" s="6" t="s">
        <v>247</v>
      </c>
      <c r="B96" s="6" t="s">
        <v>248</v>
      </c>
      <c r="C96" s="7" t="s">
        <v>249</v>
      </c>
      <c r="D96" s="6">
        <v>59</v>
      </c>
      <c r="E96" s="8" t="s">
        <v>251</v>
      </c>
      <c r="F96" s="6" t="s">
        <v>114</v>
      </c>
      <c r="G96" s="33" t="s">
        <v>30</v>
      </c>
    </row>
    <row r="97" spans="1:7" ht="14" x14ac:dyDescent="0.15">
      <c r="A97" s="6" t="s">
        <v>247</v>
      </c>
      <c r="B97" s="6" t="s">
        <v>248</v>
      </c>
      <c r="C97" s="7" t="s">
        <v>249</v>
      </c>
      <c r="D97" s="6">
        <v>73</v>
      </c>
      <c r="E97" s="8" t="s">
        <v>252</v>
      </c>
      <c r="F97" s="6" t="s">
        <v>114</v>
      </c>
      <c r="G97" s="33" t="s">
        <v>30</v>
      </c>
    </row>
    <row r="98" spans="1:7" ht="28" x14ac:dyDescent="0.15">
      <c r="A98" s="6" t="s">
        <v>247</v>
      </c>
      <c r="B98" s="6" t="s">
        <v>248</v>
      </c>
      <c r="C98" s="7" t="s">
        <v>249</v>
      </c>
      <c r="D98" s="6">
        <v>189</v>
      </c>
      <c r="E98" s="8" t="s">
        <v>253</v>
      </c>
      <c r="F98" s="6" t="s">
        <v>114</v>
      </c>
      <c r="G98" s="33" t="s">
        <v>30</v>
      </c>
    </row>
    <row r="99" spans="1:7" ht="14" x14ac:dyDescent="0.15">
      <c r="A99" s="6" t="s">
        <v>254</v>
      </c>
      <c r="B99" s="6" t="s">
        <v>255</v>
      </c>
      <c r="C99" s="7" t="s">
        <v>256</v>
      </c>
      <c r="D99" s="6">
        <v>118</v>
      </c>
      <c r="E99" s="8" t="s">
        <v>257</v>
      </c>
      <c r="F99" s="6" t="s">
        <v>114</v>
      </c>
      <c r="G99" s="33" t="s">
        <v>30</v>
      </c>
    </row>
    <row r="100" spans="1:7" ht="14" x14ac:dyDescent="0.15">
      <c r="A100" s="6" t="s">
        <v>254</v>
      </c>
      <c r="B100" s="6" t="s">
        <v>255</v>
      </c>
      <c r="C100" s="7" t="s">
        <v>256</v>
      </c>
      <c r="D100" s="6">
        <v>186</v>
      </c>
      <c r="E100" s="8" t="s">
        <v>258</v>
      </c>
      <c r="F100" s="6" t="s">
        <v>114</v>
      </c>
      <c r="G100" s="33" t="s">
        <v>23</v>
      </c>
    </row>
    <row r="101" spans="1:7" ht="14" x14ac:dyDescent="0.15">
      <c r="A101" s="6" t="s">
        <v>259</v>
      </c>
      <c r="B101" s="6" t="s">
        <v>260</v>
      </c>
      <c r="C101" s="7" t="s">
        <v>261</v>
      </c>
      <c r="D101" s="6">
        <v>54</v>
      </c>
      <c r="E101" s="8" t="s">
        <v>262</v>
      </c>
      <c r="F101" s="6" t="s">
        <v>114</v>
      </c>
      <c r="G101" s="33" t="s">
        <v>30</v>
      </c>
    </row>
    <row r="102" spans="1:7" ht="14" x14ac:dyDescent="0.15">
      <c r="A102" s="6" t="s">
        <v>31</v>
      </c>
      <c r="B102" s="6" t="s">
        <v>31</v>
      </c>
      <c r="C102" s="7" t="s">
        <v>32</v>
      </c>
      <c r="D102" s="6">
        <v>21</v>
      </c>
      <c r="E102" s="8" t="s">
        <v>263</v>
      </c>
      <c r="F102" s="6" t="s">
        <v>114</v>
      </c>
      <c r="G102" s="33" t="s">
        <v>88</v>
      </c>
    </row>
    <row r="103" spans="1:7" ht="14" x14ac:dyDescent="0.15">
      <c r="A103" s="6" t="s">
        <v>31</v>
      </c>
      <c r="B103" s="6" t="s">
        <v>31</v>
      </c>
      <c r="C103" s="7" t="s">
        <v>32</v>
      </c>
      <c r="D103" s="6">
        <v>58</v>
      </c>
      <c r="E103" s="8" t="s">
        <v>264</v>
      </c>
      <c r="F103" s="6" t="s">
        <v>114</v>
      </c>
      <c r="G103" s="33" t="s">
        <v>18</v>
      </c>
    </row>
    <row r="104" spans="1:7" ht="14" x14ac:dyDescent="0.15">
      <c r="A104" s="6" t="s">
        <v>265</v>
      </c>
      <c r="B104" s="6" t="s">
        <v>266</v>
      </c>
      <c r="C104" s="7" t="s">
        <v>267</v>
      </c>
      <c r="D104" s="6">
        <v>2</v>
      </c>
      <c r="E104" s="8" t="s">
        <v>268</v>
      </c>
      <c r="F104" s="6" t="s">
        <v>114</v>
      </c>
      <c r="G104" s="33" t="s">
        <v>23</v>
      </c>
    </row>
    <row r="105" spans="1:7" ht="28" x14ac:dyDescent="0.15">
      <c r="A105" s="6" t="s">
        <v>269</v>
      </c>
      <c r="B105" s="6" t="s">
        <v>270</v>
      </c>
      <c r="C105" s="7" t="s">
        <v>271</v>
      </c>
      <c r="D105" s="6">
        <v>23</v>
      </c>
      <c r="E105" s="8" t="s">
        <v>272</v>
      </c>
      <c r="F105" s="6" t="s">
        <v>114</v>
      </c>
      <c r="G105" s="33" t="s">
        <v>30</v>
      </c>
    </row>
    <row r="106" spans="1:7" ht="28" x14ac:dyDescent="0.15">
      <c r="A106" s="6" t="s">
        <v>269</v>
      </c>
      <c r="B106" s="6" t="s">
        <v>270</v>
      </c>
      <c r="C106" s="7" t="s">
        <v>271</v>
      </c>
      <c r="D106" s="6">
        <v>29</v>
      </c>
      <c r="E106" s="8" t="s">
        <v>273</v>
      </c>
      <c r="F106" s="6" t="s">
        <v>114</v>
      </c>
      <c r="G106" s="33" t="s">
        <v>12</v>
      </c>
    </row>
    <row r="107" spans="1:7" ht="28" x14ac:dyDescent="0.15">
      <c r="A107" s="6" t="s">
        <v>269</v>
      </c>
      <c r="B107" s="6" t="s">
        <v>270</v>
      </c>
      <c r="C107" s="7" t="s">
        <v>271</v>
      </c>
      <c r="D107" s="6">
        <v>33</v>
      </c>
      <c r="E107" s="8" t="s">
        <v>274</v>
      </c>
      <c r="F107" s="6" t="s">
        <v>114</v>
      </c>
      <c r="G107" s="33" t="s">
        <v>136</v>
      </c>
    </row>
    <row r="108" spans="1:7" ht="14" x14ac:dyDescent="0.15">
      <c r="A108" s="6" t="s">
        <v>275</v>
      </c>
      <c r="B108" s="6" t="s">
        <v>276</v>
      </c>
      <c r="C108" s="7" t="s">
        <v>277</v>
      </c>
      <c r="D108" s="6">
        <v>13</v>
      </c>
      <c r="E108" s="8" t="s">
        <v>278</v>
      </c>
      <c r="F108" s="6" t="s">
        <v>114</v>
      </c>
      <c r="G108" s="33" t="s">
        <v>30</v>
      </c>
    </row>
    <row r="109" spans="1:7" ht="14" x14ac:dyDescent="0.15">
      <c r="A109" s="6" t="s">
        <v>279</v>
      </c>
      <c r="B109" s="6" t="s">
        <v>280</v>
      </c>
      <c r="C109" s="7" t="s">
        <v>281</v>
      </c>
      <c r="D109" s="6">
        <v>40</v>
      </c>
      <c r="E109" s="8" t="s">
        <v>282</v>
      </c>
      <c r="F109" s="6" t="s">
        <v>114</v>
      </c>
      <c r="G109" s="33" t="s">
        <v>12</v>
      </c>
    </row>
    <row r="110" spans="1:7" ht="14" x14ac:dyDescent="0.15">
      <c r="A110" s="6" t="s">
        <v>279</v>
      </c>
      <c r="B110" s="6" t="s">
        <v>280</v>
      </c>
      <c r="C110" s="7" t="s">
        <v>281</v>
      </c>
      <c r="D110" s="6">
        <v>47</v>
      </c>
      <c r="E110" s="8" t="s">
        <v>283</v>
      </c>
      <c r="F110" s="6" t="s">
        <v>114</v>
      </c>
      <c r="G110" s="33" t="s">
        <v>83</v>
      </c>
    </row>
    <row r="111" spans="1:7" ht="28" x14ac:dyDescent="0.15">
      <c r="A111" s="6" t="s">
        <v>279</v>
      </c>
      <c r="B111" s="6" t="s">
        <v>280</v>
      </c>
      <c r="C111" s="7" t="s">
        <v>281</v>
      </c>
      <c r="D111" s="6">
        <v>52</v>
      </c>
      <c r="E111" s="8" t="s">
        <v>284</v>
      </c>
      <c r="F111" s="6" t="s">
        <v>114</v>
      </c>
      <c r="G111" s="33" t="s">
        <v>30</v>
      </c>
    </row>
    <row r="112" spans="1:7" ht="14" x14ac:dyDescent="0.15">
      <c r="A112" s="6" t="s">
        <v>279</v>
      </c>
      <c r="B112" s="6" t="s">
        <v>280</v>
      </c>
      <c r="C112" s="7" t="s">
        <v>281</v>
      </c>
      <c r="D112" s="6">
        <v>55</v>
      </c>
      <c r="E112" s="8" t="s">
        <v>285</v>
      </c>
      <c r="F112" s="6" t="s">
        <v>114</v>
      </c>
      <c r="G112" s="33" t="s">
        <v>88</v>
      </c>
    </row>
    <row r="113" spans="1:7" ht="14" x14ac:dyDescent="0.15">
      <c r="A113" s="6" t="s">
        <v>279</v>
      </c>
      <c r="B113" s="6" t="s">
        <v>280</v>
      </c>
      <c r="C113" s="7" t="s">
        <v>281</v>
      </c>
      <c r="D113" s="6">
        <v>90</v>
      </c>
      <c r="E113" s="8" t="s">
        <v>286</v>
      </c>
      <c r="F113" s="6" t="s">
        <v>114</v>
      </c>
      <c r="G113" s="33" t="s">
        <v>30</v>
      </c>
    </row>
    <row r="114" spans="1:7" ht="14" x14ac:dyDescent="0.15">
      <c r="A114" s="6" t="s">
        <v>287</v>
      </c>
      <c r="B114" s="6" t="s">
        <v>288</v>
      </c>
      <c r="C114" s="7" t="s">
        <v>289</v>
      </c>
      <c r="D114" s="6">
        <v>40</v>
      </c>
      <c r="E114" s="8" t="s">
        <v>290</v>
      </c>
      <c r="F114" s="6" t="s">
        <v>114</v>
      </c>
      <c r="G114" s="33" t="s">
        <v>12</v>
      </c>
    </row>
    <row r="115" spans="1:7" ht="14" x14ac:dyDescent="0.15">
      <c r="A115" s="6" t="s">
        <v>291</v>
      </c>
      <c r="B115" s="6" t="s">
        <v>292</v>
      </c>
      <c r="C115" s="7" t="s">
        <v>293</v>
      </c>
      <c r="D115" s="6">
        <v>5</v>
      </c>
      <c r="E115" s="8" t="s">
        <v>294</v>
      </c>
      <c r="F115" s="6" t="s">
        <v>114</v>
      </c>
      <c r="G115" s="33" t="s">
        <v>30</v>
      </c>
    </row>
    <row r="116" spans="1:7" ht="14" x14ac:dyDescent="0.15">
      <c r="A116" s="6" t="s">
        <v>291</v>
      </c>
      <c r="B116" s="6" t="s">
        <v>292</v>
      </c>
      <c r="C116" s="7" t="s">
        <v>293</v>
      </c>
      <c r="D116" s="6">
        <v>57</v>
      </c>
      <c r="E116" s="8" t="s">
        <v>295</v>
      </c>
      <c r="F116" s="6" t="s">
        <v>114</v>
      </c>
      <c r="G116" s="33" t="s">
        <v>30</v>
      </c>
    </row>
    <row r="117" spans="1:7" ht="14" x14ac:dyDescent="0.15">
      <c r="A117" s="6" t="s">
        <v>296</v>
      </c>
      <c r="B117" s="6" t="s">
        <v>297</v>
      </c>
      <c r="C117" s="7" t="s">
        <v>298</v>
      </c>
      <c r="D117" s="6">
        <v>48</v>
      </c>
      <c r="E117" s="8" t="s">
        <v>299</v>
      </c>
      <c r="F117" s="6" t="s">
        <v>114</v>
      </c>
      <c r="G117" s="33" t="s">
        <v>136</v>
      </c>
    </row>
    <row r="118" spans="1:7" ht="14" x14ac:dyDescent="0.15">
      <c r="A118" s="6" t="s">
        <v>296</v>
      </c>
      <c r="B118" s="6" t="s">
        <v>297</v>
      </c>
      <c r="C118" s="7" t="s">
        <v>298</v>
      </c>
      <c r="D118" s="6">
        <v>69</v>
      </c>
      <c r="E118" s="8" t="s">
        <v>300</v>
      </c>
      <c r="F118" s="6" t="s">
        <v>114</v>
      </c>
      <c r="G118" s="33" t="s">
        <v>88</v>
      </c>
    </row>
    <row r="119" spans="1:7" ht="14" x14ac:dyDescent="0.15">
      <c r="A119" s="6" t="s">
        <v>301</v>
      </c>
      <c r="B119" s="6" t="s">
        <v>302</v>
      </c>
      <c r="C119" s="7" t="s">
        <v>303</v>
      </c>
      <c r="D119" s="6">
        <v>45</v>
      </c>
      <c r="E119" s="8" t="s">
        <v>304</v>
      </c>
      <c r="F119" s="6" t="s">
        <v>114</v>
      </c>
      <c r="G119" s="33" t="s">
        <v>30</v>
      </c>
    </row>
    <row r="120" spans="1:7" ht="14" x14ac:dyDescent="0.15">
      <c r="A120" s="6" t="s">
        <v>301</v>
      </c>
      <c r="B120" s="6" t="s">
        <v>302</v>
      </c>
      <c r="C120" s="7" t="s">
        <v>303</v>
      </c>
      <c r="D120" s="6">
        <v>51</v>
      </c>
      <c r="E120" s="8" t="s">
        <v>305</v>
      </c>
      <c r="F120" s="6" t="s">
        <v>114</v>
      </c>
      <c r="G120" s="33" t="s">
        <v>88</v>
      </c>
    </row>
    <row r="121" spans="1:7" ht="28" x14ac:dyDescent="0.15">
      <c r="A121" s="6" t="s">
        <v>301</v>
      </c>
      <c r="B121" s="6" t="s">
        <v>301</v>
      </c>
      <c r="C121" s="7" t="s">
        <v>306</v>
      </c>
      <c r="D121" s="6">
        <v>28</v>
      </c>
      <c r="E121" s="8" t="s">
        <v>307</v>
      </c>
      <c r="F121" s="6" t="s">
        <v>114</v>
      </c>
      <c r="G121" s="33" t="s">
        <v>88</v>
      </c>
    </row>
    <row r="122" spans="1:7" ht="14" x14ac:dyDescent="0.15">
      <c r="A122" s="6" t="s">
        <v>301</v>
      </c>
      <c r="B122" s="6" t="s">
        <v>301</v>
      </c>
      <c r="C122" s="7" t="s">
        <v>306</v>
      </c>
      <c r="D122" s="6">
        <v>32</v>
      </c>
      <c r="E122" s="8" t="s">
        <v>308</v>
      </c>
      <c r="F122" s="6" t="s">
        <v>114</v>
      </c>
      <c r="G122" s="33" t="s">
        <v>88</v>
      </c>
    </row>
    <row r="123" spans="1:7" ht="14" x14ac:dyDescent="0.15">
      <c r="A123" s="6" t="s">
        <v>301</v>
      </c>
      <c r="B123" s="6" t="s">
        <v>301</v>
      </c>
      <c r="C123" s="7" t="s">
        <v>306</v>
      </c>
      <c r="D123" s="6">
        <v>54</v>
      </c>
      <c r="E123" s="8" t="s">
        <v>309</v>
      </c>
      <c r="F123" s="6" t="s">
        <v>114</v>
      </c>
      <c r="G123" s="33" t="s">
        <v>30</v>
      </c>
    </row>
    <row r="124" spans="1:7" ht="14" x14ac:dyDescent="0.15">
      <c r="A124" s="6" t="s">
        <v>301</v>
      </c>
      <c r="B124" s="6" t="s">
        <v>301</v>
      </c>
      <c r="C124" s="7" t="s">
        <v>306</v>
      </c>
      <c r="D124" s="6">
        <v>66</v>
      </c>
      <c r="E124" s="8" t="s">
        <v>310</v>
      </c>
      <c r="F124" s="6" t="s">
        <v>114</v>
      </c>
      <c r="G124" s="33" t="s">
        <v>30</v>
      </c>
    </row>
    <row r="125" spans="1:7" ht="14" x14ac:dyDescent="0.15">
      <c r="A125" s="6" t="s">
        <v>301</v>
      </c>
      <c r="B125" s="6" t="s">
        <v>301</v>
      </c>
      <c r="C125" s="7" t="s">
        <v>306</v>
      </c>
      <c r="D125" s="6">
        <v>96</v>
      </c>
      <c r="E125" s="8" t="s">
        <v>311</v>
      </c>
      <c r="F125" s="6" t="s">
        <v>114</v>
      </c>
      <c r="G125" s="33" t="s">
        <v>12</v>
      </c>
    </row>
    <row r="126" spans="1:7" ht="14" x14ac:dyDescent="0.15">
      <c r="A126" s="6" t="s">
        <v>312</v>
      </c>
      <c r="B126" s="6" t="s">
        <v>313</v>
      </c>
      <c r="C126" s="7" t="s">
        <v>314</v>
      </c>
      <c r="D126" s="6">
        <v>10</v>
      </c>
      <c r="E126" s="8" t="s">
        <v>315</v>
      </c>
      <c r="F126" s="6" t="s">
        <v>114</v>
      </c>
      <c r="G126" s="33" t="s">
        <v>30</v>
      </c>
    </row>
    <row r="127" spans="1:7" ht="14" x14ac:dyDescent="0.15">
      <c r="A127" s="6" t="s">
        <v>35</v>
      </c>
      <c r="B127" s="6" t="s">
        <v>36</v>
      </c>
      <c r="C127" s="7" t="s">
        <v>37</v>
      </c>
      <c r="D127" s="6">
        <v>6</v>
      </c>
      <c r="E127" s="8" t="s">
        <v>316</v>
      </c>
      <c r="F127" s="6" t="s">
        <v>114</v>
      </c>
      <c r="G127" s="33" t="s">
        <v>18</v>
      </c>
    </row>
    <row r="128" spans="1:7" ht="28" x14ac:dyDescent="0.15">
      <c r="A128" s="6" t="s">
        <v>35</v>
      </c>
      <c r="B128" s="6" t="s">
        <v>36</v>
      </c>
      <c r="C128" s="7" t="s">
        <v>37</v>
      </c>
      <c r="D128" s="6">
        <v>7</v>
      </c>
      <c r="E128" s="8" t="s">
        <v>317</v>
      </c>
      <c r="F128" s="6" t="s">
        <v>114</v>
      </c>
      <c r="G128" s="33" t="s">
        <v>30</v>
      </c>
    </row>
    <row r="129" spans="1:7" ht="14" x14ac:dyDescent="0.15">
      <c r="A129" s="6" t="s">
        <v>35</v>
      </c>
      <c r="B129" s="6" t="s">
        <v>36</v>
      </c>
      <c r="C129" s="7" t="s">
        <v>37</v>
      </c>
      <c r="D129" s="6">
        <v>14</v>
      </c>
      <c r="E129" s="8" t="s">
        <v>318</v>
      </c>
      <c r="F129" s="6" t="s">
        <v>114</v>
      </c>
      <c r="G129" s="33" t="s">
        <v>83</v>
      </c>
    </row>
    <row r="130" spans="1:7" ht="14" x14ac:dyDescent="0.15">
      <c r="A130" s="6" t="s">
        <v>35</v>
      </c>
      <c r="B130" s="6" t="s">
        <v>36</v>
      </c>
      <c r="C130" s="7" t="s">
        <v>37</v>
      </c>
      <c r="D130" s="6">
        <v>18</v>
      </c>
      <c r="E130" s="8" t="s">
        <v>319</v>
      </c>
      <c r="F130" s="6" t="s">
        <v>114</v>
      </c>
      <c r="G130" s="33" t="s">
        <v>18</v>
      </c>
    </row>
    <row r="131" spans="1:7" ht="28" x14ac:dyDescent="0.15">
      <c r="A131" s="6" t="s">
        <v>35</v>
      </c>
      <c r="B131" s="6" t="s">
        <v>36</v>
      </c>
      <c r="C131" s="7" t="s">
        <v>37</v>
      </c>
      <c r="D131" s="6">
        <v>48</v>
      </c>
      <c r="E131" s="8" t="s">
        <v>320</v>
      </c>
      <c r="F131" s="6" t="s">
        <v>114</v>
      </c>
      <c r="G131" s="33" t="s">
        <v>30</v>
      </c>
    </row>
    <row r="132" spans="1:7" ht="14" x14ac:dyDescent="0.15">
      <c r="A132" s="6" t="s">
        <v>35</v>
      </c>
      <c r="B132" s="6" t="s">
        <v>36</v>
      </c>
      <c r="C132" s="7" t="s">
        <v>37</v>
      </c>
      <c r="D132" s="6">
        <v>70</v>
      </c>
      <c r="E132" s="8" t="s">
        <v>321</v>
      </c>
      <c r="F132" s="6" t="s">
        <v>114</v>
      </c>
      <c r="G132" s="33" t="s">
        <v>30</v>
      </c>
    </row>
    <row r="133" spans="1:7" ht="14" x14ac:dyDescent="0.15">
      <c r="A133" s="6" t="s">
        <v>35</v>
      </c>
      <c r="B133" s="6" t="s">
        <v>36</v>
      </c>
      <c r="C133" s="7" t="s">
        <v>37</v>
      </c>
      <c r="D133" s="6">
        <v>96</v>
      </c>
      <c r="E133" s="8" t="s">
        <v>322</v>
      </c>
      <c r="F133" s="6" t="s">
        <v>114</v>
      </c>
      <c r="G133" s="33" t="s">
        <v>12</v>
      </c>
    </row>
    <row r="134" spans="1:7" ht="14" x14ac:dyDescent="0.15">
      <c r="A134" s="6" t="s">
        <v>35</v>
      </c>
      <c r="B134" s="6" t="s">
        <v>36</v>
      </c>
      <c r="C134" s="7" t="s">
        <v>37</v>
      </c>
      <c r="D134" s="6">
        <v>97</v>
      </c>
      <c r="E134" s="8" t="s">
        <v>323</v>
      </c>
      <c r="F134" s="6" t="s">
        <v>114</v>
      </c>
      <c r="G134" s="33" t="s">
        <v>12</v>
      </c>
    </row>
    <row r="135" spans="1:7" ht="14" x14ac:dyDescent="0.15">
      <c r="A135" s="6" t="s">
        <v>35</v>
      </c>
      <c r="B135" s="6" t="s">
        <v>36</v>
      </c>
      <c r="C135" s="7" t="s">
        <v>37</v>
      </c>
      <c r="D135" s="6">
        <v>119</v>
      </c>
      <c r="E135" s="8" t="s">
        <v>324</v>
      </c>
      <c r="F135" s="6" t="s">
        <v>114</v>
      </c>
      <c r="G135" s="33" t="s">
        <v>23</v>
      </c>
    </row>
    <row r="136" spans="1:7" ht="14" x14ac:dyDescent="0.15">
      <c r="A136" s="6" t="s">
        <v>325</v>
      </c>
      <c r="B136" s="6" t="s">
        <v>326</v>
      </c>
      <c r="C136" s="7" t="s">
        <v>327</v>
      </c>
      <c r="D136" s="6">
        <v>21</v>
      </c>
      <c r="E136" s="8" t="s">
        <v>328</v>
      </c>
      <c r="F136" s="6" t="s">
        <v>114</v>
      </c>
      <c r="G136" s="33" t="s">
        <v>23</v>
      </c>
    </row>
    <row r="137" spans="1:7" ht="14" x14ac:dyDescent="0.15">
      <c r="A137" s="6" t="s">
        <v>325</v>
      </c>
      <c r="B137" s="6" t="s">
        <v>326</v>
      </c>
      <c r="C137" s="7" t="s">
        <v>327</v>
      </c>
      <c r="D137" s="6">
        <v>22</v>
      </c>
      <c r="E137" s="8" t="s">
        <v>329</v>
      </c>
      <c r="F137" s="6" t="s">
        <v>114</v>
      </c>
      <c r="G137" s="33" t="s">
        <v>23</v>
      </c>
    </row>
    <row r="138" spans="1:7" ht="14" x14ac:dyDescent="0.15">
      <c r="A138" s="6" t="s">
        <v>325</v>
      </c>
      <c r="B138" s="6" t="s">
        <v>326</v>
      </c>
      <c r="C138" s="7" t="s">
        <v>327</v>
      </c>
      <c r="D138" s="6">
        <v>85</v>
      </c>
      <c r="E138" s="8" t="s">
        <v>330</v>
      </c>
      <c r="F138" s="6" t="s">
        <v>114</v>
      </c>
      <c r="G138" s="33" t="s">
        <v>30</v>
      </c>
    </row>
    <row r="139" spans="1:7" ht="14" x14ac:dyDescent="0.15">
      <c r="A139" s="6" t="s">
        <v>325</v>
      </c>
      <c r="B139" s="6" t="s">
        <v>326</v>
      </c>
      <c r="C139" s="7" t="s">
        <v>327</v>
      </c>
      <c r="D139" s="6">
        <v>179</v>
      </c>
      <c r="E139" s="8" t="s">
        <v>331</v>
      </c>
      <c r="F139" s="6" t="s">
        <v>114</v>
      </c>
      <c r="G139" s="33" t="s">
        <v>77</v>
      </c>
    </row>
    <row r="140" spans="1:7" ht="14" x14ac:dyDescent="0.15">
      <c r="A140" s="6" t="s">
        <v>325</v>
      </c>
      <c r="B140" s="6" t="s">
        <v>326</v>
      </c>
      <c r="C140" s="7" t="s">
        <v>327</v>
      </c>
      <c r="D140" s="6">
        <v>271</v>
      </c>
      <c r="E140" s="8" t="s">
        <v>332</v>
      </c>
      <c r="F140" s="6" t="s">
        <v>114</v>
      </c>
      <c r="G140" s="33" t="s">
        <v>77</v>
      </c>
    </row>
    <row r="141" spans="1:7" ht="14" x14ac:dyDescent="0.15">
      <c r="A141" s="6" t="s">
        <v>333</v>
      </c>
      <c r="B141" s="6" t="s">
        <v>334</v>
      </c>
      <c r="C141" s="7" t="s">
        <v>335</v>
      </c>
      <c r="D141" s="6">
        <v>19</v>
      </c>
      <c r="E141" s="8" t="s">
        <v>336</v>
      </c>
      <c r="F141" s="6" t="s">
        <v>114</v>
      </c>
      <c r="G141" s="33" t="s">
        <v>88</v>
      </c>
    </row>
    <row r="142" spans="1:7" ht="14" x14ac:dyDescent="0.15">
      <c r="A142" s="6" t="s">
        <v>337</v>
      </c>
      <c r="B142" s="6" t="s">
        <v>338</v>
      </c>
      <c r="C142" s="7" t="s">
        <v>339</v>
      </c>
      <c r="D142" s="6">
        <v>21</v>
      </c>
      <c r="E142" s="8" t="s">
        <v>340</v>
      </c>
      <c r="F142" s="6" t="s">
        <v>114</v>
      </c>
      <c r="G142" s="33" t="s">
        <v>30</v>
      </c>
    </row>
    <row r="143" spans="1:7" ht="28" x14ac:dyDescent="0.15">
      <c r="A143" s="6" t="s">
        <v>337</v>
      </c>
      <c r="B143" s="6" t="s">
        <v>338</v>
      </c>
      <c r="C143" s="7" t="s">
        <v>339</v>
      </c>
      <c r="D143" s="6">
        <v>37</v>
      </c>
      <c r="E143" s="8" t="s">
        <v>341</v>
      </c>
      <c r="F143" s="6" t="s">
        <v>114</v>
      </c>
      <c r="G143" s="33" t="s">
        <v>342</v>
      </c>
    </row>
    <row r="144" spans="1:7" ht="14" x14ac:dyDescent="0.15">
      <c r="A144" s="6" t="s">
        <v>343</v>
      </c>
      <c r="B144" s="6" t="s">
        <v>344</v>
      </c>
      <c r="C144" s="7" t="s">
        <v>345</v>
      </c>
      <c r="D144" s="6">
        <v>34</v>
      </c>
      <c r="E144" s="8" t="s">
        <v>346</v>
      </c>
      <c r="F144" s="6" t="s">
        <v>114</v>
      </c>
      <c r="G144" s="33" t="s">
        <v>136</v>
      </c>
    </row>
    <row r="145" spans="1:7" ht="14" x14ac:dyDescent="0.15">
      <c r="A145" s="6" t="s">
        <v>131</v>
      </c>
      <c r="B145" s="6" t="s">
        <v>132</v>
      </c>
      <c r="C145" s="7" t="s">
        <v>347</v>
      </c>
      <c r="D145" s="6">
        <v>42</v>
      </c>
      <c r="E145" s="8" t="s">
        <v>134</v>
      </c>
      <c r="F145" s="6" t="s">
        <v>114</v>
      </c>
      <c r="G145" s="33" t="s">
        <v>30</v>
      </c>
    </row>
    <row r="146" spans="1:7" ht="28" x14ac:dyDescent="0.15">
      <c r="A146" s="6" t="s">
        <v>131</v>
      </c>
      <c r="B146" s="6" t="s">
        <v>132</v>
      </c>
      <c r="C146" s="7" t="s">
        <v>347</v>
      </c>
      <c r="D146" s="6">
        <v>83</v>
      </c>
      <c r="E146" s="8" t="s">
        <v>348</v>
      </c>
      <c r="F146" s="6" t="s">
        <v>114</v>
      </c>
      <c r="G146" s="33" t="s">
        <v>30</v>
      </c>
    </row>
    <row r="147" spans="1:7" ht="28" x14ac:dyDescent="0.15">
      <c r="A147" s="6" t="s">
        <v>349</v>
      </c>
      <c r="B147" s="6" t="s">
        <v>350</v>
      </c>
      <c r="C147" s="7" t="s">
        <v>351</v>
      </c>
      <c r="D147" s="6">
        <v>217</v>
      </c>
      <c r="E147" s="8" t="s">
        <v>352</v>
      </c>
      <c r="F147" s="6" t="s">
        <v>114</v>
      </c>
      <c r="G147" s="33" t="s">
        <v>30</v>
      </c>
    </row>
    <row r="148" spans="1:7" ht="28" x14ac:dyDescent="0.15">
      <c r="A148" s="6" t="s">
        <v>353</v>
      </c>
      <c r="B148" s="6" t="s">
        <v>354</v>
      </c>
      <c r="C148" s="7" t="s">
        <v>355</v>
      </c>
      <c r="D148" s="6">
        <v>10</v>
      </c>
      <c r="E148" s="8" t="s">
        <v>356</v>
      </c>
      <c r="F148" s="6" t="s">
        <v>114</v>
      </c>
      <c r="G148" s="33" t="s">
        <v>83</v>
      </c>
    </row>
    <row r="149" spans="1:7" ht="14" x14ac:dyDescent="0.15">
      <c r="A149" s="6" t="s">
        <v>357</v>
      </c>
      <c r="B149" s="6" t="s">
        <v>358</v>
      </c>
      <c r="C149" s="7" t="s">
        <v>359</v>
      </c>
      <c r="D149" s="6">
        <v>117</v>
      </c>
      <c r="E149" s="8" t="s">
        <v>360</v>
      </c>
      <c r="F149" s="6" t="s">
        <v>114</v>
      </c>
      <c r="G149" s="33" t="s">
        <v>136</v>
      </c>
    </row>
    <row r="150" spans="1:7" ht="14" x14ac:dyDescent="0.15">
      <c r="A150" s="6" t="s">
        <v>357</v>
      </c>
      <c r="B150" s="6" t="s">
        <v>358</v>
      </c>
      <c r="C150" s="7" t="s">
        <v>359</v>
      </c>
      <c r="D150" s="6">
        <v>129</v>
      </c>
      <c r="E150" s="8" t="s">
        <v>361</v>
      </c>
      <c r="F150" s="6" t="s">
        <v>114</v>
      </c>
      <c r="G150" s="33" t="s">
        <v>30</v>
      </c>
    </row>
    <row r="151" spans="1:7" ht="28" x14ac:dyDescent="0.15">
      <c r="A151" s="6" t="s">
        <v>362</v>
      </c>
      <c r="B151" s="6" t="s">
        <v>363</v>
      </c>
      <c r="C151" s="7" t="s">
        <v>364</v>
      </c>
      <c r="D151" s="6">
        <v>44</v>
      </c>
      <c r="E151" s="8" t="s">
        <v>365</v>
      </c>
      <c r="F151" s="6" t="s">
        <v>114</v>
      </c>
      <c r="G151" s="33" t="s">
        <v>83</v>
      </c>
    </row>
    <row r="152" spans="1:7" ht="14" x14ac:dyDescent="0.15">
      <c r="A152" s="6" t="s">
        <v>366</v>
      </c>
      <c r="B152" s="6" t="s">
        <v>367</v>
      </c>
      <c r="C152" s="7" t="s">
        <v>368</v>
      </c>
      <c r="D152" s="6">
        <v>71</v>
      </c>
      <c r="E152" s="8" t="s">
        <v>369</v>
      </c>
      <c r="F152" s="6" t="s">
        <v>114</v>
      </c>
      <c r="G152" s="33" t="s">
        <v>88</v>
      </c>
    </row>
    <row r="153" spans="1:7" ht="14" x14ac:dyDescent="0.15">
      <c r="A153" s="6" t="s">
        <v>366</v>
      </c>
      <c r="B153" s="6" t="s">
        <v>367</v>
      </c>
      <c r="C153" s="7" t="s">
        <v>368</v>
      </c>
      <c r="D153" s="6">
        <v>74</v>
      </c>
      <c r="E153" s="8" t="s">
        <v>370</v>
      </c>
      <c r="F153" s="6" t="s">
        <v>114</v>
      </c>
      <c r="G153" s="33" t="s">
        <v>88</v>
      </c>
    </row>
    <row r="154" spans="1:7" ht="14" x14ac:dyDescent="0.15">
      <c r="A154" s="6" t="s">
        <v>366</v>
      </c>
      <c r="B154" s="6" t="s">
        <v>367</v>
      </c>
      <c r="C154" s="7" t="s">
        <v>368</v>
      </c>
      <c r="D154" s="6">
        <v>79</v>
      </c>
      <c r="E154" s="8" t="s">
        <v>371</v>
      </c>
      <c r="F154" s="6" t="s">
        <v>114</v>
      </c>
      <c r="G154" s="33" t="s">
        <v>88</v>
      </c>
    </row>
    <row r="155" spans="1:7" ht="14" x14ac:dyDescent="0.15">
      <c r="A155" s="6" t="s">
        <v>372</v>
      </c>
      <c r="B155" s="6" t="s">
        <v>373</v>
      </c>
      <c r="C155" s="7" t="s">
        <v>374</v>
      </c>
      <c r="D155" s="6">
        <v>29</v>
      </c>
      <c r="E155" s="8" t="s">
        <v>375</v>
      </c>
      <c r="F155" s="6" t="s">
        <v>114</v>
      </c>
      <c r="G155" s="33" t="s">
        <v>342</v>
      </c>
    </row>
    <row r="156" spans="1:7" ht="28" x14ac:dyDescent="0.15">
      <c r="A156" s="6" t="s">
        <v>39</v>
      </c>
      <c r="B156" s="6" t="s">
        <v>40</v>
      </c>
      <c r="C156" s="7" t="s">
        <v>41</v>
      </c>
      <c r="D156" s="6">
        <v>15</v>
      </c>
      <c r="E156" s="8" t="s">
        <v>376</v>
      </c>
      <c r="F156" s="6" t="s">
        <v>114</v>
      </c>
      <c r="G156" s="33" t="s">
        <v>88</v>
      </c>
    </row>
    <row r="157" spans="1:7" ht="14" x14ac:dyDescent="0.15">
      <c r="A157" s="6" t="s">
        <v>377</v>
      </c>
      <c r="B157" s="6" t="s">
        <v>378</v>
      </c>
      <c r="C157" s="7" t="s">
        <v>379</v>
      </c>
      <c r="D157" s="6">
        <v>55</v>
      </c>
      <c r="E157" s="8" t="s">
        <v>380</v>
      </c>
      <c r="F157" s="6" t="s">
        <v>114</v>
      </c>
      <c r="G157" s="33" t="s">
        <v>30</v>
      </c>
    </row>
    <row r="158" spans="1:7" ht="14" x14ac:dyDescent="0.15">
      <c r="A158" s="6" t="s">
        <v>377</v>
      </c>
      <c r="B158" s="6" t="s">
        <v>378</v>
      </c>
      <c r="C158" s="7" t="s">
        <v>379</v>
      </c>
      <c r="D158" s="6">
        <v>132</v>
      </c>
      <c r="E158" s="8" t="s">
        <v>381</v>
      </c>
      <c r="F158" s="6" t="s">
        <v>114</v>
      </c>
      <c r="G158" s="33" t="s">
        <v>30</v>
      </c>
    </row>
    <row r="159" spans="1:7" ht="14" x14ac:dyDescent="0.15">
      <c r="A159" s="6" t="s">
        <v>382</v>
      </c>
      <c r="B159" s="6" t="s">
        <v>383</v>
      </c>
      <c r="C159" s="7" t="s">
        <v>384</v>
      </c>
      <c r="D159" s="6">
        <v>65</v>
      </c>
      <c r="E159" s="8" t="s">
        <v>385</v>
      </c>
      <c r="F159" s="6" t="s">
        <v>114</v>
      </c>
      <c r="G159" s="33" t="s">
        <v>30</v>
      </c>
    </row>
    <row r="160" spans="1:7" ht="14" x14ac:dyDescent="0.15">
      <c r="A160" s="6" t="s">
        <v>386</v>
      </c>
      <c r="B160" s="6" t="s">
        <v>387</v>
      </c>
      <c r="C160" s="7" t="s">
        <v>388</v>
      </c>
      <c r="D160" s="6">
        <v>30</v>
      </c>
      <c r="E160" s="8" t="s">
        <v>389</v>
      </c>
      <c r="F160" s="6" t="s">
        <v>114</v>
      </c>
      <c r="G160" s="33" t="s">
        <v>342</v>
      </c>
    </row>
    <row r="161" spans="1:7" ht="14" x14ac:dyDescent="0.15">
      <c r="A161" s="6" t="s">
        <v>390</v>
      </c>
      <c r="B161" s="6" t="s">
        <v>390</v>
      </c>
      <c r="C161" s="7" t="s">
        <v>391</v>
      </c>
      <c r="D161" s="6">
        <v>93</v>
      </c>
      <c r="E161" s="8" t="s">
        <v>392</v>
      </c>
      <c r="F161" s="6" t="s">
        <v>114</v>
      </c>
      <c r="G161" s="33" t="s">
        <v>18</v>
      </c>
    </row>
    <row r="162" spans="1:7" ht="28" x14ac:dyDescent="0.15">
      <c r="A162" s="6" t="s">
        <v>393</v>
      </c>
      <c r="B162" s="6" t="s">
        <v>394</v>
      </c>
      <c r="C162" s="7" t="s">
        <v>395</v>
      </c>
      <c r="D162" s="6">
        <v>47</v>
      </c>
      <c r="E162" s="8" t="s">
        <v>396</v>
      </c>
      <c r="F162" s="6" t="s">
        <v>114</v>
      </c>
      <c r="G162" s="33" t="s">
        <v>115</v>
      </c>
    </row>
    <row r="163" spans="1:7" ht="28" x14ac:dyDescent="0.15">
      <c r="A163" s="6" t="s">
        <v>393</v>
      </c>
      <c r="B163" s="6" t="s">
        <v>394</v>
      </c>
      <c r="C163" s="7" t="s">
        <v>395</v>
      </c>
      <c r="D163" s="6">
        <v>105</v>
      </c>
      <c r="E163" s="8" t="s">
        <v>397</v>
      </c>
      <c r="F163" s="6" t="s">
        <v>114</v>
      </c>
      <c r="G163" s="33" t="s">
        <v>136</v>
      </c>
    </row>
    <row r="164" spans="1:7" ht="28" x14ac:dyDescent="0.15">
      <c r="A164" s="6" t="s">
        <v>393</v>
      </c>
      <c r="B164" s="6" t="s">
        <v>394</v>
      </c>
      <c r="C164" s="7" t="s">
        <v>395</v>
      </c>
      <c r="D164" s="6">
        <v>114</v>
      </c>
      <c r="E164" s="8" t="s">
        <v>398</v>
      </c>
      <c r="F164" s="6" t="s">
        <v>114</v>
      </c>
      <c r="G164" s="33" t="s">
        <v>30</v>
      </c>
    </row>
    <row r="165" spans="1:7" ht="14" x14ac:dyDescent="0.15">
      <c r="A165" s="6" t="s">
        <v>247</v>
      </c>
      <c r="B165" s="6" t="s">
        <v>248</v>
      </c>
      <c r="C165" s="7" t="s">
        <v>399</v>
      </c>
      <c r="D165" s="6">
        <v>34</v>
      </c>
      <c r="E165" s="8" t="s">
        <v>250</v>
      </c>
      <c r="F165" s="6" t="s">
        <v>114</v>
      </c>
      <c r="G165" s="33" t="s">
        <v>30</v>
      </c>
    </row>
    <row r="166" spans="1:7" ht="14" x14ac:dyDescent="0.15">
      <c r="A166" s="6" t="s">
        <v>247</v>
      </c>
      <c r="B166" s="6" t="s">
        <v>248</v>
      </c>
      <c r="C166" s="7" t="s">
        <v>399</v>
      </c>
      <c r="D166" s="6">
        <v>38</v>
      </c>
      <c r="E166" s="8" t="s">
        <v>251</v>
      </c>
      <c r="F166" s="6" t="s">
        <v>114</v>
      </c>
      <c r="G166" s="33" t="s">
        <v>30</v>
      </c>
    </row>
    <row r="167" spans="1:7" ht="14" x14ac:dyDescent="0.15">
      <c r="A167" s="6" t="s">
        <v>247</v>
      </c>
      <c r="B167" s="6" t="s">
        <v>248</v>
      </c>
      <c r="C167" s="7" t="s">
        <v>399</v>
      </c>
      <c r="D167" s="6">
        <v>52</v>
      </c>
      <c r="E167" s="8" t="s">
        <v>252</v>
      </c>
      <c r="F167" s="6" t="s">
        <v>114</v>
      </c>
      <c r="G167" s="33" t="s">
        <v>30</v>
      </c>
    </row>
    <row r="168" spans="1:7" ht="14" x14ac:dyDescent="0.15">
      <c r="A168" s="6" t="s">
        <v>400</v>
      </c>
      <c r="B168" s="6" t="s">
        <v>400</v>
      </c>
      <c r="C168" s="7" t="s">
        <v>401</v>
      </c>
      <c r="D168" s="6">
        <v>126</v>
      </c>
      <c r="E168" s="8" t="s">
        <v>402</v>
      </c>
      <c r="F168" s="6" t="s">
        <v>114</v>
      </c>
      <c r="G168" s="33" t="s">
        <v>88</v>
      </c>
    </row>
    <row r="169" spans="1:7" ht="14" x14ac:dyDescent="0.15">
      <c r="A169" s="6" t="s">
        <v>400</v>
      </c>
      <c r="B169" s="6" t="s">
        <v>400</v>
      </c>
      <c r="C169" s="7" t="s">
        <v>401</v>
      </c>
      <c r="D169" s="6">
        <v>163</v>
      </c>
      <c r="E169" s="8" t="s">
        <v>403</v>
      </c>
      <c r="F169" s="6" t="s">
        <v>114</v>
      </c>
      <c r="G169" s="33" t="s">
        <v>30</v>
      </c>
    </row>
    <row r="170" spans="1:7" ht="28" x14ac:dyDescent="0.15">
      <c r="A170" s="6" t="s">
        <v>404</v>
      </c>
      <c r="B170" s="6" t="s">
        <v>405</v>
      </c>
      <c r="C170" s="7" t="s">
        <v>406</v>
      </c>
      <c r="D170" s="6">
        <v>107</v>
      </c>
      <c r="E170" s="8" t="s">
        <v>407</v>
      </c>
      <c r="F170" s="6" t="s">
        <v>114</v>
      </c>
      <c r="G170" s="33" t="s">
        <v>88</v>
      </c>
    </row>
    <row r="171" spans="1:7" ht="14" x14ac:dyDescent="0.15">
      <c r="A171" s="6" t="s">
        <v>408</v>
      </c>
      <c r="B171" s="6" t="s">
        <v>409</v>
      </c>
      <c r="C171" s="7" t="s">
        <v>410</v>
      </c>
      <c r="D171" s="6">
        <v>12</v>
      </c>
      <c r="E171" s="8" t="s">
        <v>411</v>
      </c>
      <c r="F171" s="6" t="s">
        <v>114</v>
      </c>
      <c r="G171" s="33" t="s">
        <v>30</v>
      </c>
    </row>
    <row r="172" spans="1:7" ht="14" x14ac:dyDescent="0.15">
      <c r="A172" s="6" t="s">
        <v>408</v>
      </c>
      <c r="B172" s="6" t="s">
        <v>409</v>
      </c>
      <c r="C172" s="7" t="s">
        <v>410</v>
      </c>
      <c r="D172" s="6">
        <v>19</v>
      </c>
      <c r="E172" s="8" t="s">
        <v>412</v>
      </c>
      <c r="F172" s="6" t="s">
        <v>114</v>
      </c>
      <c r="G172" s="33" t="s">
        <v>83</v>
      </c>
    </row>
    <row r="173" spans="1:7" ht="14" x14ac:dyDescent="0.15">
      <c r="A173" s="6" t="s">
        <v>408</v>
      </c>
      <c r="B173" s="6" t="s">
        <v>409</v>
      </c>
      <c r="C173" s="7" t="s">
        <v>410</v>
      </c>
      <c r="D173" s="6">
        <v>24</v>
      </c>
      <c r="E173" s="8" t="s">
        <v>413</v>
      </c>
      <c r="F173" s="6" t="s">
        <v>114</v>
      </c>
      <c r="G173" s="33" t="s">
        <v>30</v>
      </c>
    </row>
    <row r="174" spans="1:7" ht="14" x14ac:dyDescent="0.15">
      <c r="A174" s="6" t="s">
        <v>408</v>
      </c>
      <c r="B174" s="6" t="s">
        <v>409</v>
      </c>
      <c r="C174" s="7" t="s">
        <v>410</v>
      </c>
      <c r="D174" s="6">
        <v>31</v>
      </c>
      <c r="E174" s="8" t="s">
        <v>414</v>
      </c>
      <c r="F174" s="6" t="s">
        <v>114</v>
      </c>
      <c r="G174" s="33" t="s">
        <v>30</v>
      </c>
    </row>
    <row r="175" spans="1:7" ht="28" x14ac:dyDescent="0.15">
      <c r="A175" s="6" t="s">
        <v>408</v>
      </c>
      <c r="B175" s="6" t="s">
        <v>409</v>
      </c>
      <c r="C175" s="7" t="s">
        <v>410</v>
      </c>
      <c r="D175" s="6">
        <v>64</v>
      </c>
      <c r="E175" s="8" t="s">
        <v>415</v>
      </c>
      <c r="F175" s="6" t="s">
        <v>114</v>
      </c>
      <c r="G175" s="33" t="s">
        <v>18</v>
      </c>
    </row>
    <row r="176" spans="1:7" ht="28" x14ac:dyDescent="0.15">
      <c r="A176" s="6" t="s">
        <v>416</v>
      </c>
      <c r="B176" s="6" t="s">
        <v>416</v>
      </c>
      <c r="C176" s="7" t="s">
        <v>417</v>
      </c>
      <c r="D176" s="6">
        <v>12</v>
      </c>
      <c r="E176" s="8" t="s">
        <v>418</v>
      </c>
      <c r="F176" s="6" t="s">
        <v>114</v>
      </c>
      <c r="G176" s="33" t="s">
        <v>18</v>
      </c>
    </row>
    <row r="177" spans="1:7" ht="14" x14ac:dyDescent="0.15">
      <c r="A177" s="6" t="s">
        <v>416</v>
      </c>
      <c r="B177" s="6" t="s">
        <v>416</v>
      </c>
      <c r="C177" s="7" t="s">
        <v>417</v>
      </c>
      <c r="D177" s="6">
        <v>17</v>
      </c>
      <c r="E177" s="8" t="s">
        <v>419</v>
      </c>
      <c r="F177" s="6" t="s">
        <v>114</v>
      </c>
      <c r="G177" s="33" t="s">
        <v>77</v>
      </c>
    </row>
    <row r="178" spans="1:7" ht="28" x14ac:dyDescent="0.15">
      <c r="A178" s="6" t="s">
        <v>416</v>
      </c>
      <c r="B178" s="6" t="s">
        <v>416</v>
      </c>
      <c r="C178" s="7" t="s">
        <v>417</v>
      </c>
      <c r="D178" s="6">
        <v>25</v>
      </c>
      <c r="E178" s="8" t="s">
        <v>420</v>
      </c>
      <c r="F178" s="6" t="s">
        <v>114</v>
      </c>
      <c r="G178" s="33" t="s">
        <v>18</v>
      </c>
    </row>
    <row r="179" spans="1:7" ht="28" x14ac:dyDescent="0.15">
      <c r="A179" s="6" t="s">
        <v>416</v>
      </c>
      <c r="B179" s="6" t="s">
        <v>416</v>
      </c>
      <c r="C179" s="7" t="s">
        <v>417</v>
      </c>
      <c r="D179" s="6">
        <v>32</v>
      </c>
      <c r="E179" s="8" t="s">
        <v>421</v>
      </c>
      <c r="F179" s="6" t="s">
        <v>114</v>
      </c>
      <c r="G179" s="33" t="s">
        <v>30</v>
      </c>
    </row>
    <row r="180" spans="1:7" ht="14" x14ac:dyDescent="0.15">
      <c r="A180" s="6" t="s">
        <v>416</v>
      </c>
      <c r="B180" s="6" t="s">
        <v>416</v>
      </c>
      <c r="C180" s="7" t="s">
        <v>417</v>
      </c>
      <c r="D180" s="6">
        <v>38</v>
      </c>
      <c r="E180" s="8" t="s">
        <v>422</v>
      </c>
      <c r="F180" s="6" t="s">
        <v>114</v>
      </c>
      <c r="G180" s="33" t="s">
        <v>23</v>
      </c>
    </row>
    <row r="181" spans="1:7" ht="14" x14ac:dyDescent="0.15">
      <c r="A181" s="6" t="s">
        <v>423</v>
      </c>
      <c r="B181" s="6" t="s">
        <v>424</v>
      </c>
      <c r="C181" s="7" t="s">
        <v>425</v>
      </c>
      <c r="D181" s="6">
        <v>37</v>
      </c>
      <c r="E181" s="8" t="s">
        <v>426</v>
      </c>
      <c r="F181" s="6" t="s">
        <v>114</v>
      </c>
      <c r="G181" s="33" t="s">
        <v>88</v>
      </c>
    </row>
    <row r="182" spans="1:7" ht="14" x14ac:dyDescent="0.15">
      <c r="A182" s="6" t="s">
        <v>423</v>
      </c>
      <c r="B182" s="6" t="s">
        <v>424</v>
      </c>
      <c r="C182" s="7" t="s">
        <v>425</v>
      </c>
      <c r="D182" s="6">
        <v>43</v>
      </c>
      <c r="E182" s="8" t="s">
        <v>427</v>
      </c>
      <c r="F182" s="6" t="s">
        <v>114</v>
      </c>
      <c r="G182" s="33" t="s">
        <v>88</v>
      </c>
    </row>
    <row r="183" spans="1:7" ht="14" x14ac:dyDescent="0.15">
      <c r="A183" s="6" t="s">
        <v>428</v>
      </c>
      <c r="B183" s="6" t="s">
        <v>428</v>
      </c>
      <c r="C183" s="7" t="s">
        <v>429</v>
      </c>
      <c r="D183" s="6">
        <v>92</v>
      </c>
      <c r="E183" s="8" t="s">
        <v>430</v>
      </c>
      <c r="F183" s="6" t="s">
        <v>114</v>
      </c>
      <c r="G183" s="33" t="s">
        <v>30</v>
      </c>
    </row>
    <row r="184" spans="1:7" ht="14" x14ac:dyDescent="0.15">
      <c r="A184" s="6" t="s">
        <v>428</v>
      </c>
      <c r="B184" s="6" t="s">
        <v>428</v>
      </c>
      <c r="C184" s="7" t="s">
        <v>429</v>
      </c>
      <c r="D184" s="6">
        <v>116</v>
      </c>
      <c r="E184" s="8" t="s">
        <v>431</v>
      </c>
      <c r="F184" s="6" t="s">
        <v>114</v>
      </c>
      <c r="G184" s="33" t="s">
        <v>30</v>
      </c>
    </row>
    <row r="185" spans="1:7" ht="14" x14ac:dyDescent="0.15">
      <c r="A185" s="6" t="s">
        <v>432</v>
      </c>
      <c r="B185" s="6" t="s">
        <v>433</v>
      </c>
      <c r="C185" s="7" t="s">
        <v>434</v>
      </c>
      <c r="D185" s="6">
        <v>11</v>
      </c>
      <c r="E185" s="8" t="s">
        <v>435</v>
      </c>
      <c r="F185" s="6" t="s">
        <v>114</v>
      </c>
      <c r="G185" s="33" t="s">
        <v>30</v>
      </c>
    </row>
    <row r="186" spans="1:7" ht="28" x14ac:dyDescent="0.15">
      <c r="A186" s="6" t="s">
        <v>43</v>
      </c>
      <c r="B186" s="6" t="s">
        <v>44</v>
      </c>
      <c r="C186" s="7" t="s">
        <v>45</v>
      </c>
      <c r="D186" s="6">
        <v>46</v>
      </c>
      <c r="E186" s="8" t="s">
        <v>436</v>
      </c>
      <c r="F186" s="6" t="s">
        <v>114</v>
      </c>
      <c r="G186" s="33" t="s">
        <v>30</v>
      </c>
    </row>
    <row r="187" spans="1:7" ht="42" x14ac:dyDescent="0.15">
      <c r="A187" s="6" t="s">
        <v>437</v>
      </c>
      <c r="B187" s="6" t="s">
        <v>438</v>
      </c>
      <c r="C187" s="7" t="s">
        <v>439</v>
      </c>
      <c r="D187" s="6">
        <v>43</v>
      </c>
      <c r="E187" s="8" t="s">
        <v>440</v>
      </c>
      <c r="F187" s="6" t="s">
        <v>114</v>
      </c>
      <c r="G187" s="33" t="s">
        <v>136</v>
      </c>
    </row>
    <row r="188" spans="1:7" ht="28" x14ac:dyDescent="0.15">
      <c r="A188" s="6" t="s">
        <v>441</v>
      </c>
      <c r="B188" s="6" t="s">
        <v>442</v>
      </c>
      <c r="C188" s="7" t="s">
        <v>443</v>
      </c>
      <c r="D188" s="6">
        <v>101</v>
      </c>
      <c r="E188" s="8" t="s">
        <v>444</v>
      </c>
      <c r="F188" s="6" t="s">
        <v>114</v>
      </c>
      <c r="G188" s="33" t="s">
        <v>30</v>
      </c>
    </row>
    <row r="189" spans="1:7" ht="14" x14ac:dyDescent="0.15">
      <c r="A189" s="6" t="s">
        <v>445</v>
      </c>
      <c r="B189" s="6" t="s">
        <v>446</v>
      </c>
      <c r="C189" s="7" t="s">
        <v>447</v>
      </c>
      <c r="D189" s="6">
        <v>5</v>
      </c>
      <c r="E189" s="8" t="s">
        <v>448</v>
      </c>
      <c r="F189" s="6" t="s">
        <v>114</v>
      </c>
      <c r="G189" s="33" t="s">
        <v>30</v>
      </c>
    </row>
    <row r="190" spans="1:7" ht="14" x14ac:dyDescent="0.15">
      <c r="A190" s="6" t="s">
        <v>445</v>
      </c>
      <c r="B190" s="6" t="s">
        <v>446</v>
      </c>
      <c r="C190" s="7" t="s">
        <v>447</v>
      </c>
      <c r="D190" s="6">
        <v>9</v>
      </c>
      <c r="E190" s="8" t="s">
        <v>449</v>
      </c>
      <c r="F190" s="6" t="s">
        <v>114</v>
      </c>
      <c r="G190" s="33" t="s">
        <v>30</v>
      </c>
    </row>
    <row r="191" spans="1:7" ht="14" x14ac:dyDescent="0.15">
      <c r="A191" s="6" t="s">
        <v>445</v>
      </c>
      <c r="B191" s="6" t="s">
        <v>446</v>
      </c>
      <c r="C191" s="7" t="s">
        <v>447</v>
      </c>
      <c r="D191" s="6">
        <v>28</v>
      </c>
      <c r="E191" s="8" t="s">
        <v>450</v>
      </c>
      <c r="F191" s="6" t="s">
        <v>114</v>
      </c>
      <c r="G191" s="33" t="s">
        <v>30</v>
      </c>
    </row>
    <row r="192" spans="1:7" ht="14" x14ac:dyDescent="0.15">
      <c r="A192" s="6" t="s">
        <v>445</v>
      </c>
      <c r="B192" s="6" t="s">
        <v>446</v>
      </c>
      <c r="C192" s="7" t="s">
        <v>447</v>
      </c>
      <c r="D192" s="6">
        <v>67</v>
      </c>
      <c r="E192" s="8" t="s">
        <v>451</v>
      </c>
      <c r="F192" s="6" t="s">
        <v>114</v>
      </c>
      <c r="G192" s="33" t="s">
        <v>219</v>
      </c>
    </row>
    <row r="193" spans="1:7" ht="14" x14ac:dyDescent="0.15">
      <c r="A193" s="6" t="s">
        <v>445</v>
      </c>
      <c r="B193" s="6" t="s">
        <v>446</v>
      </c>
      <c r="C193" s="7" t="s">
        <v>447</v>
      </c>
      <c r="D193" s="6">
        <v>68</v>
      </c>
      <c r="E193" s="8" t="s">
        <v>452</v>
      </c>
      <c r="F193" s="6" t="s">
        <v>114</v>
      </c>
      <c r="G193" s="33" t="s">
        <v>219</v>
      </c>
    </row>
    <row r="194" spans="1:7" ht="14" x14ac:dyDescent="0.15">
      <c r="A194" s="6" t="s">
        <v>445</v>
      </c>
      <c r="B194" s="6" t="s">
        <v>446</v>
      </c>
      <c r="C194" s="7" t="s">
        <v>447</v>
      </c>
      <c r="D194" s="6">
        <v>85</v>
      </c>
      <c r="E194" s="8" t="s">
        <v>453</v>
      </c>
      <c r="F194" s="6" t="s">
        <v>114</v>
      </c>
      <c r="G194" s="33" t="s">
        <v>30</v>
      </c>
    </row>
    <row r="195" spans="1:7" ht="14" x14ac:dyDescent="0.15">
      <c r="A195" s="6" t="s">
        <v>445</v>
      </c>
      <c r="B195" s="6" t="s">
        <v>446</v>
      </c>
      <c r="C195" s="7" t="s">
        <v>447</v>
      </c>
      <c r="D195" s="6">
        <v>86</v>
      </c>
      <c r="E195" s="8" t="s">
        <v>454</v>
      </c>
      <c r="F195" s="6" t="s">
        <v>114</v>
      </c>
      <c r="G195" s="33" t="s">
        <v>30</v>
      </c>
    </row>
    <row r="196" spans="1:7" ht="14" x14ac:dyDescent="0.15">
      <c r="A196" s="6" t="s">
        <v>445</v>
      </c>
      <c r="B196" s="6" t="s">
        <v>455</v>
      </c>
      <c r="C196" s="7" t="s">
        <v>456</v>
      </c>
      <c r="D196" s="6">
        <v>5</v>
      </c>
      <c r="E196" s="8" t="s">
        <v>448</v>
      </c>
      <c r="F196" s="6" t="s">
        <v>114</v>
      </c>
      <c r="G196" s="33" t="s">
        <v>30</v>
      </c>
    </row>
    <row r="197" spans="1:7" ht="14" x14ac:dyDescent="0.15">
      <c r="A197" s="6" t="s">
        <v>445</v>
      </c>
      <c r="B197" s="6" t="s">
        <v>455</v>
      </c>
      <c r="C197" s="7" t="s">
        <v>456</v>
      </c>
      <c r="D197" s="6">
        <v>9</v>
      </c>
      <c r="E197" s="8" t="s">
        <v>449</v>
      </c>
      <c r="F197" s="6" t="s">
        <v>114</v>
      </c>
      <c r="G197" s="33" t="s">
        <v>30</v>
      </c>
    </row>
    <row r="198" spans="1:7" ht="14" x14ac:dyDescent="0.15">
      <c r="A198" s="6" t="s">
        <v>445</v>
      </c>
      <c r="B198" s="6" t="s">
        <v>455</v>
      </c>
      <c r="C198" s="7" t="s">
        <v>456</v>
      </c>
      <c r="D198" s="6">
        <v>28</v>
      </c>
      <c r="E198" s="8" t="s">
        <v>450</v>
      </c>
      <c r="F198" s="6" t="s">
        <v>114</v>
      </c>
      <c r="G198" s="33" t="s">
        <v>30</v>
      </c>
    </row>
    <row r="199" spans="1:7" ht="14" x14ac:dyDescent="0.15">
      <c r="A199" s="6" t="s">
        <v>445</v>
      </c>
      <c r="B199" s="6" t="s">
        <v>455</v>
      </c>
      <c r="C199" s="7" t="s">
        <v>456</v>
      </c>
      <c r="D199" s="6">
        <v>38</v>
      </c>
      <c r="E199" s="8" t="s">
        <v>457</v>
      </c>
      <c r="F199" s="6" t="s">
        <v>114</v>
      </c>
      <c r="G199" s="33" t="s">
        <v>219</v>
      </c>
    </row>
    <row r="200" spans="1:7" ht="14" x14ac:dyDescent="0.15">
      <c r="A200" s="6" t="s">
        <v>445</v>
      </c>
      <c r="B200" s="6" t="s">
        <v>455</v>
      </c>
      <c r="C200" s="7" t="s">
        <v>456</v>
      </c>
      <c r="D200" s="6">
        <v>67</v>
      </c>
      <c r="E200" s="8" t="s">
        <v>451</v>
      </c>
      <c r="F200" s="6" t="s">
        <v>114</v>
      </c>
      <c r="G200" s="33" t="s">
        <v>219</v>
      </c>
    </row>
    <row r="201" spans="1:7" ht="14" x14ac:dyDescent="0.15">
      <c r="A201" s="6" t="s">
        <v>445</v>
      </c>
      <c r="B201" s="6" t="s">
        <v>455</v>
      </c>
      <c r="C201" s="7" t="s">
        <v>456</v>
      </c>
      <c r="D201" s="6">
        <v>68</v>
      </c>
      <c r="E201" s="8" t="s">
        <v>452</v>
      </c>
      <c r="F201" s="6" t="s">
        <v>114</v>
      </c>
      <c r="G201" s="33" t="s">
        <v>219</v>
      </c>
    </row>
    <row r="202" spans="1:7" ht="14" x14ac:dyDescent="0.15">
      <c r="A202" s="6" t="s">
        <v>445</v>
      </c>
      <c r="B202" s="6" t="s">
        <v>455</v>
      </c>
      <c r="C202" s="7" t="s">
        <v>456</v>
      </c>
      <c r="D202" s="6">
        <v>85</v>
      </c>
      <c r="E202" s="8" t="s">
        <v>453</v>
      </c>
      <c r="F202" s="6" t="s">
        <v>114</v>
      </c>
      <c r="G202" s="33" t="s">
        <v>30</v>
      </c>
    </row>
    <row r="203" spans="1:7" ht="14" x14ac:dyDescent="0.15">
      <c r="A203" s="6" t="s">
        <v>445</v>
      </c>
      <c r="B203" s="6" t="s">
        <v>455</v>
      </c>
      <c r="C203" s="7" t="s">
        <v>456</v>
      </c>
      <c r="D203" s="6">
        <v>86</v>
      </c>
      <c r="E203" s="8" t="s">
        <v>454</v>
      </c>
      <c r="F203" s="6" t="s">
        <v>114</v>
      </c>
      <c r="G203" s="33" t="s">
        <v>30</v>
      </c>
    </row>
    <row r="204" spans="1:7" ht="28" x14ac:dyDescent="0.15">
      <c r="A204" s="6" t="s">
        <v>458</v>
      </c>
      <c r="B204" s="6" t="s">
        <v>459</v>
      </c>
      <c r="C204" s="7" t="s">
        <v>460</v>
      </c>
      <c r="D204" s="6">
        <v>10</v>
      </c>
      <c r="E204" s="8" t="s">
        <v>461</v>
      </c>
      <c r="F204" s="6" t="s">
        <v>114</v>
      </c>
      <c r="G204" s="33" t="s">
        <v>30</v>
      </c>
    </row>
    <row r="205" spans="1:7" ht="28" x14ac:dyDescent="0.15">
      <c r="A205" s="6" t="s">
        <v>458</v>
      </c>
      <c r="B205" s="6" t="s">
        <v>459</v>
      </c>
      <c r="C205" s="7" t="s">
        <v>460</v>
      </c>
      <c r="D205" s="6">
        <v>21</v>
      </c>
      <c r="E205" s="8" t="s">
        <v>462</v>
      </c>
      <c r="F205" s="6" t="s">
        <v>114</v>
      </c>
      <c r="G205" s="33" t="s">
        <v>136</v>
      </c>
    </row>
    <row r="206" spans="1:7" ht="14" x14ac:dyDescent="0.15">
      <c r="A206" s="6" t="s">
        <v>325</v>
      </c>
      <c r="B206" s="6" t="s">
        <v>326</v>
      </c>
      <c r="C206" s="7" t="s">
        <v>463</v>
      </c>
      <c r="D206" s="6">
        <v>16</v>
      </c>
      <c r="E206" s="8" t="s">
        <v>328</v>
      </c>
      <c r="F206" s="6" t="s">
        <v>114</v>
      </c>
      <c r="G206" s="33" t="s">
        <v>23</v>
      </c>
    </row>
    <row r="207" spans="1:7" ht="14" x14ac:dyDescent="0.15">
      <c r="A207" s="6" t="s">
        <v>325</v>
      </c>
      <c r="B207" s="6" t="s">
        <v>326</v>
      </c>
      <c r="C207" s="7" t="s">
        <v>463</v>
      </c>
      <c r="D207" s="6">
        <v>17</v>
      </c>
      <c r="E207" s="8" t="s">
        <v>464</v>
      </c>
      <c r="F207" s="6" t="s">
        <v>114</v>
      </c>
      <c r="G207" s="33" t="s">
        <v>23</v>
      </c>
    </row>
    <row r="208" spans="1:7" ht="14" x14ac:dyDescent="0.15">
      <c r="A208" s="6" t="s">
        <v>325</v>
      </c>
      <c r="B208" s="6" t="s">
        <v>326</v>
      </c>
      <c r="C208" s="7" t="s">
        <v>463</v>
      </c>
      <c r="D208" s="6">
        <v>76</v>
      </c>
      <c r="E208" s="8" t="s">
        <v>330</v>
      </c>
      <c r="F208" s="6" t="s">
        <v>114</v>
      </c>
      <c r="G208" s="33" t="s">
        <v>30</v>
      </c>
    </row>
    <row r="209" spans="1:7" ht="28" x14ac:dyDescent="0.15">
      <c r="A209" s="6" t="s">
        <v>325</v>
      </c>
      <c r="B209" s="6" t="s">
        <v>326</v>
      </c>
      <c r="C209" s="7" t="s">
        <v>463</v>
      </c>
      <c r="D209" s="6">
        <v>93</v>
      </c>
      <c r="E209" s="8" t="s">
        <v>465</v>
      </c>
      <c r="F209" s="6" t="s">
        <v>114</v>
      </c>
      <c r="G209" s="33" t="s">
        <v>30</v>
      </c>
    </row>
    <row r="210" spans="1:7" ht="14" x14ac:dyDescent="0.15">
      <c r="A210" s="6" t="s">
        <v>325</v>
      </c>
      <c r="B210" s="6" t="s">
        <v>326</v>
      </c>
      <c r="C210" s="7" t="s">
        <v>463</v>
      </c>
      <c r="D210" s="6">
        <v>264</v>
      </c>
      <c r="E210" s="8" t="s">
        <v>332</v>
      </c>
      <c r="F210" s="6" t="s">
        <v>114</v>
      </c>
      <c r="G210" s="33" t="s">
        <v>77</v>
      </c>
    </row>
    <row r="211" spans="1:7" ht="14" x14ac:dyDescent="0.15">
      <c r="A211" s="6" t="s">
        <v>466</v>
      </c>
      <c r="B211" s="6" t="s">
        <v>467</v>
      </c>
      <c r="C211" s="7" t="s">
        <v>468</v>
      </c>
      <c r="D211" s="6">
        <v>13</v>
      </c>
      <c r="E211" s="8" t="s">
        <v>469</v>
      </c>
      <c r="F211" s="6" t="s">
        <v>114</v>
      </c>
      <c r="G211" s="33" t="s">
        <v>83</v>
      </c>
    </row>
    <row r="212" spans="1:7" ht="14" x14ac:dyDescent="0.15">
      <c r="A212" s="6" t="s">
        <v>466</v>
      </c>
      <c r="B212" s="6" t="s">
        <v>467</v>
      </c>
      <c r="C212" s="7" t="s">
        <v>468</v>
      </c>
      <c r="D212" s="6">
        <v>17</v>
      </c>
      <c r="E212" s="8" t="s">
        <v>470</v>
      </c>
      <c r="F212" s="6" t="s">
        <v>114</v>
      </c>
      <c r="G212" s="33" t="s">
        <v>12</v>
      </c>
    </row>
    <row r="213" spans="1:7" ht="14" x14ac:dyDescent="0.15">
      <c r="A213" s="6" t="s">
        <v>471</v>
      </c>
      <c r="B213" s="6" t="s">
        <v>472</v>
      </c>
      <c r="C213" s="7" t="s">
        <v>473</v>
      </c>
      <c r="D213" s="6">
        <v>39</v>
      </c>
      <c r="E213" s="8" t="s">
        <v>474</v>
      </c>
      <c r="F213" s="6" t="s">
        <v>114</v>
      </c>
      <c r="G213" s="33" t="s">
        <v>30</v>
      </c>
    </row>
    <row r="214" spans="1:7" ht="28" x14ac:dyDescent="0.15">
      <c r="A214" s="6" t="s">
        <v>47</v>
      </c>
      <c r="B214" s="6" t="s">
        <v>475</v>
      </c>
      <c r="C214" s="7" t="s">
        <v>476</v>
      </c>
      <c r="D214" s="6">
        <v>32</v>
      </c>
      <c r="E214" s="8" t="s">
        <v>477</v>
      </c>
      <c r="F214" s="6" t="s">
        <v>114</v>
      </c>
      <c r="G214" s="33" t="s">
        <v>88</v>
      </c>
    </row>
    <row r="215" spans="1:7" ht="14" x14ac:dyDescent="0.15">
      <c r="A215" s="6" t="s">
        <v>47</v>
      </c>
      <c r="B215" s="6" t="s">
        <v>475</v>
      </c>
      <c r="C215" s="7" t="s">
        <v>476</v>
      </c>
      <c r="D215" s="6">
        <v>33</v>
      </c>
      <c r="E215" s="8" t="s">
        <v>478</v>
      </c>
      <c r="F215" s="6" t="s">
        <v>114</v>
      </c>
      <c r="G215" s="33" t="s">
        <v>219</v>
      </c>
    </row>
    <row r="216" spans="1:7" ht="14" x14ac:dyDescent="0.15">
      <c r="A216" s="6" t="s">
        <v>47</v>
      </c>
      <c r="B216" s="6" t="s">
        <v>475</v>
      </c>
      <c r="C216" s="7" t="s">
        <v>476</v>
      </c>
      <c r="D216" s="6">
        <v>34</v>
      </c>
      <c r="E216" s="8" t="s">
        <v>479</v>
      </c>
      <c r="F216" s="6" t="s">
        <v>114</v>
      </c>
      <c r="G216" s="33" t="s">
        <v>219</v>
      </c>
    </row>
    <row r="217" spans="1:7" ht="14" x14ac:dyDescent="0.15">
      <c r="A217" s="6" t="s">
        <v>47</v>
      </c>
      <c r="B217" s="6" t="s">
        <v>475</v>
      </c>
      <c r="C217" s="7" t="s">
        <v>476</v>
      </c>
      <c r="D217" s="6">
        <v>49</v>
      </c>
      <c r="E217" s="8" t="s">
        <v>480</v>
      </c>
      <c r="F217" s="6" t="s">
        <v>114</v>
      </c>
      <c r="G217" s="33" t="s">
        <v>30</v>
      </c>
    </row>
    <row r="218" spans="1:7" ht="28" x14ac:dyDescent="0.15">
      <c r="A218" s="6" t="s">
        <v>47</v>
      </c>
      <c r="B218" s="6" t="s">
        <v>475</v>
      </c>
      <c r="C218" s="7" t="s">
        <v>476</v>
      </c>
      <c r="D218" s="6">
        <v>113</v>
      </c>
      <c r="E218" s="8" t="s">
        <v>481</v>
      </c>
      <c r="F218" s="6" t="s">
        <v>114</v>
      </c>
      <c r="G218" s="33" t="s">
        <v>30</v>
      </c>
    </row>
    <row r="219" spans="1:7" ht="28" x14ac:dyDescent="0.15">
      <c r="A219" s="6" t="s">
        <v>47</v>
      </c>
      <c r="B219" s="6" t="s">
        <v>475</v>
      </c>
      <c r="C219" s="7" t="s">
        <v>476</v>
      </c>
      <c r="D219" s="6">
        <v>117</v>
      </c>
      <c r="E219" s="8" t="s">
        <v>482</v>
      </c>
      <c r="F219" s="6" t="s">
        <v>114</v>
      </c>
      <c r="G219" s="33" t="s">
        <v>30</v>
      </c>
    </row>
    <row r="220" spans="1:7" ht="28" x14ac:dyDescent="0.15">
      <c r="A220" s="6" t="s">
        <v>47</v>
      </c>
      <c r="B220" s="6" t="s">
        <v>475</v>
      </c>
      <c r="C220" s="7" t="s">
        <v>476</v>
      </c>
      <c r="D220" s="6">
        <v>118</v>
      </c>
      <c r="E220" s="8" t="s">
        <v>483</v>
      </c>
      <c r="F220" s="6" t="s">
        <v>114</v>
      </c>
      <c r="G220" s="33" t="s">
        <v>12</v>
      </c>
    </row>
    <row r="221" spans="1:7" ht="14" x14ac:dyDescent="0.15">
      <c r="A221" s="6" t="s">
        <v>47</v>
      </c>
      <c r="B221" s="6" t="s">
        <v>484</v>
      </c>
      <c r="C221" s="7" t="s">
        <v>485</v>
      </c>
      <c r="D221" s="6">
        <v>36</v>
      </c>
      <c r="E221" s="8" t="s">
        <v>486</v>
      </c>
      <c r="F221" s="6" t="s">
        <v>114</v>
      </c>
      <c r="G221" s="33" t="s">
        <v>30</v>
      </c>
    </row>
    <row r="222" spans="1:7" ht="28" x14ac:dyDescent="0.15">
      <c r="A222" s="6" t="s">
        <v>487</v>
      </c>
      <c r="B222" s="6" t="s">
        <v>488</v>
      </c>
      <c r="C222" s="7" t="s">
        <v>489</v>
      </c>
      <c r="D222" s="6">
        <v>4</v>
      </c>
      <c r="E222" s="8" t="s">
        <v>490</v>
      </c>
      <c r="F222" s="6" t="s">
        <v>114</v>
      </c>
      <c r="G222" s="33" t="s">
        <v>83</v>
      </c>
    </row>
    <row r="223" spans="1:7" ht="14" x14ac:dyDescent="0.15">
      <c r="A223" s="6" t="s">
        <v>487</v>
      </c>
      <c r="B223" s="6" t="s">
        <v>488</v>
      </c>
      <c r="C223" s="7" t="s">
        <v>489</v>
      </c>
      <c r="D223" s="6">
        <v>9</v>
      </c>
      <c r="E223" s="8" t="s">
        <v>491</v>
      </c>
      <c r="F223" s="6" t="s">
        <v>114</v>
      </c>
      <c r="G223" s="33" t="s">
        <v>30</v>
      </c>
    </row>
    <row r="224" spans="1:7" ht="14" x14ac:dyDescent="0.15">
      <c r="A224" s="6" t="s">
        <v>51</v>
      </c>
      <c r="B224" s="6" t="s">
        <v>492</v>
      </c>
      <c r="C224" s="7" t="s">
        <v>493</v>
      </c>
      <c r="D224" s="6">
        <v>12</v>
      </c>
      <c r="E224" s="8" t="s">
        <v>494</v>
      </c>
      <c r="F224" s="6" t="s">
        <v>114</v>
      </c>
      <c r="G224" s="33" t="s">
        <v>77</v>
      </c>
    </row>
    <row r="225" spans="1:7" ht="14" x14ac:dyDescent="0.15">
      <c r="A225" s="6" t="s">
        <v>51</v>
      </c>
      <c r="B225" s="6" t="s">
        <v>492</v>
      </c>
      <c r="C225" s="7" t="s">
        <v>493</v>
      </c>
      <c r="D225" s="6">
        <v>18</v>
      </c>
      <c r="E225" s="8" t="s">
        <v>495</v>
      </c>
      <c r="F225" s="6" t="s">
        <v>114</v>
      </c>
      <c r="G225" s="33" t="s">
        <v>77</v>
      </c>
    </row>
    <row r="226" spans="1:7" ht="28" x14ac:dyDescent="0.15">
      <c r="A226" s="6" t="s">
        <v>51</v>
      </c>
      <c r="B226" s="6" t="s">
        <v>496</v>
      </c>
      <c r="C226" s="7" t="s">
        <v>497</v>
      </c>
      <c r="D226" s="6">
        <v>33</v>
      </c>
      <c r="E226" s="8" t="s">
        <v>498</v>
      </c>
      <c r="F226" s="6" t="s">
        <v>114</v>
      </c>
      <c r="G226" s="33" t="s">
        <v>88</v>
      </c>
    </row>
    <row r="227" spans="1:7" ht="28" x14ac:dyDescent="0.15">
      <c r="A227" s="6" t="s">
        <v>51</v>
      </c>
      <c r="B227" s="6" t="s">
        <v>499</v>
      </c>
      <c r="C227" s="7" t="s">
        <v>500</v>
      </c>
      <c r="D227" s="6">
        <v>33</v>
      </c>
      <c r="E227" s="8" t="s">
        <v>501</v>
      </c>
      <c r="F227" s="6" t="s">
        <v>114</v>
      </c>
      <c r="G227" s="33" t="s">
        <v>136</v>
      </c>
    </row>
    <row r="228" spans="1:7" ht="14" x14ac:dyDescent="0.15">
      <c r="A228" s="6" t="s">
        <v>502</v>
      </c>
      <c r="B228" s="6" t="s">
        <v>502</v>
      </c>
      <c r="C228" s="7" t="s">
        <v>503</v>
      </c>
      <c r="D228" s="6">
        <v>197</v>
      </c>
      <c r="E228" s="8" t="s">
        <v>504</v>
      </c>
      <c r="F228" s="6" t="s">
        <v>114</v>
      </c>
      <c r="G228" s="33" t="s">
        <v>30</v>
      </c>
    </row>
    <row r="229" spans="1:7" ht="28" x14ac:dyDescent="0.15">
      <c r="A229" s="6" t="s">
        <v>502</v>
      </c>
      <c r="B229" s="6" t="s">
        <v>502</v>
      </c>
      <c r="C229" s="7" t="s">
        <v>503</v>
      </c>
      <c r="D229" s="6">
        <v>213</v>
      </c>
      <c r="E229" s="8" t="s">
        <v>505</v>
      </c>
      <c r="F229" s="6" t="s">
        <v>114</v>
      </c>
      <c r="G229" s="33" t="s">
        <v>219</v>
      </c>
    </row>
    <row r="230" spans="1:7" ht="28" x14ac:dyDescent="0.15">
      <c r="A230" s="6" t="s">
        <v>502</v>
      </c>
      <c r="B230" s="6" t="s">
        <v>502</v>
      </c>
      <c r="C230" s="7" t="s">
        <v>503</v>
      </c>
      <c r="D230" s="6">
        <v>214</v>
      </c>
      <c r="E230" s="8" t="s">
        <v>506</v>
      </c>
      <c r="F230" s="6" t="s">
        <v>114</v>
      </c>
      <c r="G230" s="33" t="s">
        <v>219</v>
      </c>
    </row>
    <row r="231" spans="1:7" ht="14" x14ac:dyDescent="0.15">
      <c r="A231" s="6" t="s">
        <v>502</v>
      </c>
      <c r="B231" s="6" t="s">
        <v>502</v>
      </c>
      <c r="C231" s="7" t="s">
        <v>503</v>
      </c>
      <c r="D231" s="6">
        <v>226</v>
      </c>
      <c r="E231" s="8" t="s">
        <v>507</v>
      </c>
      <c r="F231" s="6" t="s">
        <v>114</v>
      </c>
      <c r="G231" s="33" t="s">
        <v>219</v>
      </c>
    </row>
    <row r="232" spans="1:7" ht="14" x14ac:dyDescent="0.15">
      <c r="A232" s="6" t="s">
        <v>502</v>
      </c>
      <c r="B232" s="6" t="s">
        <v>502</v>
      </c>
      <c r="C232" s="7" t="s">
        <v>503</v>
      </c>
      <c r="D232" s="6">
        <v>240</v>
      </c>
      <c r="E232" s="8" t="s">
        <v>508</v>
      </c>
      <c r="F232" s="6" t="s">
        <v>114</v>
      </c>
      <c r="G232" s="33" t="s">
        <v>30</v>
      </c>
    </row>
    <row r="233" spans="1:7" ht="14" x14ac:dyDescent="0.15">
      <c r="A233" s="6" t="s">
        <v>509</v>
      </c>
      <c r="B233" s="6" t="s">
        <v>510</v>
      </c>
      <c r="C233" s="7" t="s">
        <v>511</v>
      </c>
      <c r="D233" s="6">
        <v>148</v>
      </c>
      <c r="E233" s="8" t="s">
        <v>512</v>
      </c>
      <c r="F233" s="6" t="s">
        <v>114</v>
      </c>
      <c r="G233" s="33" t="s">
        <v>513</v>
      </c>
    </row>
    <row r="234" spans="1:7" ht="14" x14ac:dyDescent="0.15">
      <c r="A234" s="6" t="s">
        <v>514</v>
      </c>
      <c r="B234" s="6" t="s">
        <v>515</v>
      </c>
      <c r="C234" s="7" t="s">
        <v>516</v>
      </c>
      <c r="D234" s="6">
        <v>24</v>
      </c>
      <c r="E234" s="8" t="s">
        <v>517</v>
      </c>
      <c r="F234" s="6" t="s">
        <v>114</v>
      </c>
      <c r="G234" s="33" t="s">
        <v>115</v>
      </c>
    </row>
    <row r="235" spans="1:7" ht="14" x14ac:dyDescent="0.15">
      <c r="A235" s="6" t="s">
        <v>518</v>
      </c>
      <c r="B235" s="6" t="s">
        <v>518</v>
      </c>
      <c r="C235" s="7" t="s">
        <v>519</v>
      </c>
      <c r="D235" s="6">
        <v>28</v>
      </c>
      <c r="E235" s="8" t="s">
        <v>520</v>
      </c>
      <c r="F235" s="6" t="s">
        <v>114</v>
      </c>
      <c r="G235" s="33" t="s">
        <v>219</v>
      </c>
    </row>
    <row r="236" spans="1:7" ht="14" x14ac:dyDescent="0.15">
      <c r="A236" s="6" t="s">
        <v>521</v>
      </c>
      <c r="B236" s="6" t="s">
        <v>522</v>
      </c>
      <c r="C236" s="7" t="s">
        <v>523</v>
      </c>
      <c r="D236" s="6">
        <v>49</v>
      </c>
      <c r="E236" s="8" t="s">
        <v>524</v>
      </c>
      <c r="F236" s="6" t="s">
        <v>114</v>
      </c>
      <c r="G236" s="33" t="s">
        <v>219</v>
      </c>
    </row>
    <row r="237" spans="1:7" ht="14" x14ac:dyDescent="0.15">
      <c r="A237" s="6" t="s">
        <v>521</v>
      </c>
      <c r="B237" s="6" t="s">
        <v>522</v>
      </c>
      <c r="C237" s="7" t="s">
        <v>523</v>
      </c>
      <c r="D237" s="6">
        <v>52</v>
      </c>
      <c r="E237" s="8" t="s">
        <v>525</v>
      </c>
      <c r="F237" s="6" t="s">
        <v>114</v>
      </c>
      <c r="G237" s="33" t="s">
        <v>219</v>
      </c>
    </row>
    <row r="238" spans="1:7" ht="14" x14ac:dyDescent="0.15">
      <c r="A238" s="6" t="s">
        <v>521</v>
      </c>
      <c r="B238" s="6" t="s">
        <v>522</v>
      </c>
      <c r="C238" s="7" t="s">
        <v>523</v>
      </c>
      <c r="D238" s="6">
        <v>111</v>
      </c>
      <c r="E238" s="8" t="s">
        <v>526</v>
      </c>
      <c r="F238" s="6" t="s">
        <v>114</v>
      </c>
      <c r="G238" s="33" t="s">
        <v>30</v>
      </c>
    </row>
    <row r="239" spans="1:7" ht="14" x14ac:dyDescent="0.15">
      <c r="A239" s="6" t="s">
        <v>521</v>
      </c>
      <c r="B239" s="6" t="s">
        <v>522</v>
      </c>
      <c r="C239" s="7" t="s">
        <v>523</v>
      </c>
      <c r="D239" s="6">
        <v>156</v>
      </c>
      <c r="E239" s="8" t="s">
        <v>527</v>
      </c>
      <c r="F239" s="6" t="s">
        <v>114</v>
      </c>
      <c r="G239" s="33" t="s">
        <v>219</v>
      </c>
    </row>
    <row r="240" spans="1:7" ht="14" x14ac:dyDescent="0.15">
      <c r="A240" s="6" t="s">
        <v>521</v>
      </c>
      <c r="B240" s="6" t="s">
        <v>522</v>
      </c>
      <c r="C240" s="7" t="s">
        <v>523</v>
      </c>
      <c r="D240" s="6">
        <v>160</v>
      </c>
      <c r="E240" s="8" t="s">
        <v>528</v>
      </c>
      <c r="F240" s="6" t="s">
        <v>114</v>
      </c>
      <c r="G240" s="33" t="s">
        <v>219</v>
      </c>
    </row>
    <row r="241" spans="1:7" ht="14" x14ac:dyDescent="0.15">
      <c r="A241" s="6" t="s">
        <v>521</v>
      </c>
      <c r="B241" s="6" t="s">
        <v>522</v>
      </c>
      <c r="C241" s="7" t="s">
        <v>523</v>
      </c>
      <c r="D241" s="6">
        <v>164</v>
      </c>
      <c r="E241" s="8" t="s">
        <v>529</v>
      </c>
      <c r="F241" s="6" t="s">
        <v>114</v>
      </c>
      <c r="G241" s="33" t="s">
        <v>30</v>
      </c>
    </row>
    <row r="242" spans="1:7" ht="14" x14ac:dyDescent="0.15">
      <c r="A242" s="6" t="s">
        <v>521</v>
      </c>
      <c r="B242" s="6" t="s">
        <v>522</v>
      </c>
      <c r="C242" s="7" t="s">
        <v>523</v>
      </c>
      <c r="D242" s="6">
        <v>172</v>
      </c>
      <c r="E242" s="8" t="s">
        <v>530</v>
      </c>
      <c r="F242" s="6" t="s">
        <v>114</v>
      </c>
      <c r="G242" s="33" t="s">
        <v>30</v>
      </c>
    </row>
    <row r="243" spans="1:7" ht="14" x14ac:dyDescent="0.15">
      <c r="A243" s="6" t="s">
        <v>521</v>
      </c>
      <c r="B243" s="6" t="s">
        <v>522</v>
      </c>
      <c r="C243" s="7" t="s">
        <v>523</v>
      </c>
      <c r="D243" s="6">
        <v>174</v>
      </c>
      <c r="E243" s="8" t="s">
        <v>531</v>
      </c>
      <c r="F243" s="6" t="s">
        <v>114</v>
      </c>
      <c r="G243" s="33" t="s">
        <v>30</v>
      </c>
    </row>
    <row r="244" spans="1:7" ht="14" x14ac:dyDescent="0.15">
      <c r="A244" s="6" t="s">
        <v>521</v>
      </c>
      <c r="B244" s="6" t="s">
        <v>522</v>
      </c>
      <c r="C244" s="7" t="s">
        <v>523</v>
      </c>
      <c r="D244" s="6">
        <v>176</v>
      </c>
      <c r="E244" s="8" t="s">
        <v>532</v>
      </c>
      <c r="F244" s="6" t="s">
        <v>114</v>
      </c>
      <c r="G244" s="33" t="s">
        <v>219</v>
      </c>
    </row>
    <row r="245" spans="1:7" ht="14" x14ac:dyDescent="0.15">
      <c r="A245" s="6" t="s">
        <v>521</v>
      </c>
      <c r="B245" s="6" t="s">
        <v>533</v>
      </c>
      <c r="C245" s="7" t="s">
        <v>534</v>
      </c>
      <c r="D245" s="6">
        <v>43</v>
      </c>
      <c r="E245" s="8" t="s">
        <v>535</v>
      </c>
      <c r="F245" s="6" t="s">
        <v>114</v>
      </c>
      <c r="G245" s="33" t="s">
        <v>219</v>
      </c>
    </row>
    <row r="246" spans="1:7" ht="14" x14ac:dyDescent="0.15">
      <c r="A246" s="6" t="s">
        <v>521</v>
      </c>
      <c r="B246" s="6" t="s">
        <v>536</v>
      </c>
      <c r="C246" s="7" t="s">
        <v>537</v>
      </c>
      <c r="D246" s="6">
        <v>22</v>
      </c>
      <c r="E246" s="8" t="s">
        <v>538</v>
      </c>
      <c r="F246" s="6" t="s">
        <v>114</v>
      </c>
      <c r="G246" s="33" t="s">
        <v>18</v>
      </c>
    </row>
    <row r="247" spans="1:7" ht="14" x14ac:dyDescent="0.15">
      <c r="A247" s="6" t="s">
        <v>521</v>
      </c>
      <c r="B247" s="6" t="s">
        <v>539</v>
      </c>
      <c r="C247" s="7" t="s">
        <v>540</v>
      </c>
      <c r="D247" s="6">
        <v>63</v>
      </c>
      <c r="E247" s="8" t="s">
        <v>541</v>
      </c>
      <c r="F247" s="6" t="s">
        <v>114</v>
      </c>
      <c r="G247" s="33" t="s">
        <v>30</v>
      </c>
    </row>
    <row r="248" spans="1:7" ht="14" x14ac:dyDescent="0.15">
      <c r="A248" s="6" t="s">
        <v>521</v>
      </c>
      <c r="B248" s="6" t="s">
        <v>542</v>
      </c>
      <c r="C248" s="7" t="s">
        <v>543</v>
      </c>
      <c r="D248" s="6">
        <v>42</v>
      </c>
      <c r="E248" s="8" t="s">
        <v>544</v>
      </c>
      <c r="F248" s="6" t="s">
        <v>114</v>
      </c>
      <c r="G248" s="33" t="s">
        <v>88</v>
      </c>
    </row>
    <row r="249" spans="1:7" ht="28" x14ac:dyDescent="0.15">
      <c r="A249" s="6" t="s">
        <v>521</v>
      </c>
      <c r="B249" s="6" t="s">
        <v>545</v>
      </c>
      <c r="C249" s="7" t="s">
        <v>546</v>
      </c>
      <c r="D249" s="6">
        <v>5</v>
      </c>
      <c r="E249" s="8" t="s">
        <v>547</v>
      </c>
      <c r="F249" s="6" t="s">
        <v>114</v>
      </c>
      <c r="G249" s="33" t="s">
        <v>30</v>
      </c>
    </row>
    <row r="250" spans="1:7" ht="14" x14ac:dyDescent="0.15">
      <c r="A250" s="6" t="s">
        <v>521</v>
      </c>
      <c r="B250" s="6" t="s">
        <v>548</v>
      </c>
      <c r="C250" s="7" t="s">
        <v>549</v>
      </c>
      <c r="D250" s="6">
        <v>15</v>
      </c>
      <c r="E250" s="8" t="s">
        <v>550</v>
      </c>
      <c r="F250" s="6" t="s">
        <v>114</v>
      </c>
      <c r="G250" s="33" t="s">
        <v>30</v>
      </c>
    </row>
    <row r="251" spans="1:7" ht="14" x14ac:dyDescent="0.15">
      <c r="A251" s="6" t="s">
        <v>551</v>
      </c>
      <c r="B251" s="6" t="s">
        <v>552</v>
      </c>
      <c r="C251" s="7" t="s">
        <v>553</v>
      </c>
      <c r="D251" s="6">
        <v>5</v>
      </c>
      <c r="E251" s="8" t="s">
        <v>294</v>
      </c>
      <c r="F251" s="6" t="s">
        <v>114</v>
      </c>
      <c r="G251" s="33" t="s">
        <v>30</v>
      </c>
    </row>
    <row r="252" spans="1:7" ht="14" x14ac:dyDescent="0.15">
      <c r="A252" s="6" t="s">
        <v>551</v>
      </c>
      <c r="B252" s="6" t="s">
        <v>552</v>
      </c>
      <c r="C252" s="7" t="s">
        <v>553</v>
      </c>
      <c r="D252" s="6">
        <v>30</v>
      </c>
      <c r="E252" s="8" t="s">
        <v>554</v>
      </c>
      <c r="F252" s="6" t="s">
        <v>114</v>
      </c>
      <c r="G252" s="33" t="s">
        <v>115</v>
      </c>
    </row>
    <row r="253" spans="1:7" ht="14" x14ac:dyDescent="0.15">
      <c r="A253" s="6" t="s">
        <v>555</v>
      </c>
      <c r="B253" s="6" t="s">
        <v>556</v>
      </c>
      <c r="C253" s="7" t="s">
        <v>557</v>
      </c>
      <c r="D253" s="6">
        <v>52</v>
      </c>
      <c r="E253" s="8" t="s">
        <v>558</v>
      </c>
      <c r="F253" s="6" t="s">
        <v>114</v>
      </c>
      <c r="G253" s="33" t="s">
        <v>342</v>
      </c>
    </row>
    <row r="254" spans="1:7" ht="14" x14ac:dyDescent="0.15">
      <c r="A254" s="6" t="s">
        <v>559</v>
      </c>
      <c r="B254" s="6" t="s">
        <v>559</v>
      </c>
      <c r="C254" s="7" t="s">
        <v>560</v>
      </c>
      <c r="D254" s="6">
        <v>27</v>
      </c>
      <c r="E254" s="8" t="s">
        <v>561</v>
      </c>
      <c r="F254" s="6" t="s">
        <v>114</v>
      </c>
      <c r="G254" s="33" t="s">
        <v>30</v>
      </c>
    </row>
    <row r="255" spans="1:7" ht="14" x14ac:dyDescent="0.15">
      <c r="A255" s="6" t="s">
        <v>559</v>
      </c>
      <c r="B255" s="6" t="s">
        <v>559</v>
      </c>
      <c r="C255" s="7" t="s">
        <v>560</v>
      </c>
      <c r="D255" s="6">
        <v>41</v>
      </c>
      <c r="E255" s="8" t="s">
        <v>562</v>
      </c>
      <c r="F255" s="6" t="s">
        <v>114</v>
      </c>
      <c r="G255" s="33" t="s">
        <v>83</v>
      </c>
    </row>
    <row r="256" spans="1:7" ht="14" x14ac:dyDescent="0.15">
      <c r="A256" s="6" t="s">
        <v>25</v>
      </c>
      <c r="B256" s="6" t="s">
        <v>26</v>
      </c>
      <c r="C256" s="7" t="s">
        <v>563</v>
      </c>
      <c r="D256" s="6">
        <v>15</v>
      </c>
      <c r="E256" s="8" t="s">
        <v>241</v>
      </c>
      <c r="F256" s="6" t="s">
        <v>114</v>
      </c>
      <c r="G256" s="33" t="s">
        <v>30</v>
      </c>
    </row>
    <row r="257" spans="1:7" ht="14" x14ac:dyDescent="0.15">
      <c r="A257" s="6" t="s">
        <v>101</v>
      </c>
      <c r="B257" s="6" t="s">
        <v>102</v>
      </c>
      <c r="C257" s="7" t="s">
        <v>103</v>
      </c>
      <c r="D257" s="6">
        <v>51</v>
      </c>
      <c r="E257" s="8" t="s">
        <v>564</v>
      </c>
      <c r="F257" s="6" t="s">
        <v>114</v>
      </c>
      <c r="G257" s="33" t="s">
        <v>30</v>
      </c>
    </row>
    <row r="258" spans="1:7" ht="14" x14ac:dyDescent="0.15">
      <c r="A258" s="6" t="s">
        <v>101</v>
      </c>
      <c r="B258" s="6" t="s">
        <v>102</v>
      </c>
      <c r="C258" s="7" t="s">
        <v>103</v>
      </c>
      <c r="D258" s="6">
        <v>86</v>
      </c>
      <c r="E258" s="8" t="s">
        <v>565</v>
      </c>
      <c r="F258" s="6" t="s">
        <v>114</v>
      </c>
      <c r="G258" s="33" t="s">
        <v>18</v>
      </c>
    </row>
    <row r="259" spans="1:7" ht="14" x14ac:dyDescent="0.15">
      <c r="A259" s="6" t="s">
        <v>566</v>
      </c>
      <c r="B259" s="6" t="s">
        <v>567</v>
      </c>
      <c r="C259" s="7" t="s">
        <v>568</v>
      </c>
      <c r="D259" s="6">
        <v>241</v>
      </c>
      <c r="E259" s="8" t="s">
        <v>569</v>
      </c>
      <c r="F259" s="6" t="s">
        <v>114</v>
      </c>
      <c r="G259" s="33" t="s">
        <v>30</v>
      </c>
    </row>
    <row r="260" spans="1:7" ht="14" x14ac:dyDescent="0.15">
      <c r="A260" s="6" t="s">
        <v>570</v>
      </c>
      <c r="B260" s="6" t="s">
        <v>571</v>
      </c>
      <c r="C260" s="7" t="s">
        <v>572</v>
      </c>
      <c r="D260" s="6">
        <v>29</v>
      </c>
      <c r="E260" s="8" t="s">
        <v>573</v>
      </c>
      <c r="F260" s="6" t="s">
        <v>114</v>
      </c>
      <c r="G260" s="33" t="s">
        <v>30</v>
      </c>
    </row>
    <row r="261" spans="1:7" ht="42" x14ac:dyDescent="0.15">
      <c r="A261" s="6" t="s">
        <v>570</v>
      </c>
      <c r="B261" s="6" t="s">
        <v>571</v>
      </c>
      <c r="C261" s="7" t="s">
        <v>572</v>
      </c>
      <c r="D261" s="6">
        <v>67</v>
      </c>
      <c r="E261" s="8" t="s">
        <v>574</v>
      </c>
      <c r="F261" s="6" t="s">
        <v>114</v>
      </c>
      <c r="G261" s="33" t="s">
        <v>30</v>
      </c>
    </row>
    <row r="262" spans="1:7" ht="14" x14ac:dyDescent="0.15">
      <c r="A262" s="6" t="s">
        <v>575</v>
      </c>
      <c r="B262" s="6" t="s">
        <v>576</v>
      </c>
      <c r="C262" s="7" t="s">
        <v>577</v>
      </c>
      <c r="D262" s="6">
        <v>27</v>
      </c>
      <c r="E262" s="8" t="s">
        <v>578</v>
      </c>
      <c r="F262" s="6" t="s">
        <v>114</v>
      </c>
      <c r="G262" s="33" t="s">
        <v>18</v>
      </c>
    </row>
    <row r="263" spans="1:7" ht="14" x14ac:dyDescent="0.15">
      <c r="A263" s="6" t="s">
        <v>575</v>
      </c>
      <c r="B263" s="6" t="s">
        <v>576</v>
      </c>
      <c r="C263" s="7" t="s">
        <v>577</v>
      </c>
      <c r="D263" s="6">
        <v>49</v>
      </c>
      <c r="E263" s="8" t="s">
        <v>579</v>
      </c>
      <c r="F263" s="6" t="s">
        <v>114</v>
      </c>
      <c r="G263" s="33" t="s">
        <v>77</v>
      </c>
    </row>
    <row r="264" spans="1:7" ht="28" x14ac:dyDescent="0.15">
      <c r="A264" s="6" t="s">
        <v>580</v>
      </c>
      <c r="B264" s="6" t="s">
        <v>581</v>
      </c>
      <c r="C264" s="7" t="s">
        <v>582</v>
      </c>
      <c r="D264" s="6">
        <v>12</v>
      </c>
      <c r="E264" s="8" t="s">
        <v>583</v>
      </c>
      <c r="F264" s="6" t="s">
        <v>114</v>
      </c>
      <c r="G264" s="33" t="s">
        <v>30</v>
      </c>
    </row>
    <row r="265" spans="1:7" ht="14" x14ac:dyDescent="0.15">
      <c r="A265" s="6" t="s">
        <v>580</v>
      </c>
      <c r="B265" s="6" t="s">
        <v>581</v>
      </c>
      <c r="C265" s="7" t="s">
        <v>582</v>
      </c>
      <c r="D265" s="6">
        <v>23</v>
      </c>
      <c r="E265" s="8" t="s">
        <v>584</v>
      </c>
      <c r="F265" s="6" t="s">
        <v>114</v>
      </c>
      <c r="G265" s="33" t="s">
        <v>30</v>
      </c>
    </row>
    <row r="266" spans="1:7" ht="14" x14ac:dyDescent="0.15">
      <c r="A266" s="6" t="s">
        <v>580</v>
      </c>
      <c r="B266" s="6" t="s">
        <v>581</v>
      </c>
      <c r="C266" s="7" t="s">
        <v>582</v>
      </c>
      <c r="D266" s="6">
        <v>87</v>
      </c>
      <c r="E266" s="8" t="s">
        <v>585</v>
      </c>
      <c r="F266" s="6" t="s">
        <v>114</v>
      </c>
      <c r="G266" s="33" t="s">
        <v>115</v>
      </c>
    </row>
    <row r="267" spans="1:7" ht="14" x14ac:dyDescent="0.15">
      <c r="A267" s="6" t="s">
        <v>586</v>
      </c>
      <c r="B267" s="6" t="s">
        <v>587</v>
      </c>
      <c r="C267" s="7" t="s">
        <v>588</v>
      </c>
      <c r="D267" s="6">
        <v>10</v>
      </c>
      <c r="E267" s="8" t="s">
        <v>589</v>
      </c>
      <c r="F267" s="6" t="s">
        <v>114</v>
      </c>
      <c r="G267" s="33" t="s">
        <v>30</v>
      </c>
    </row>
    <row r="268" spans="1:7" ht="14" x14ac:dyDescent="0.15">
      <c r="A268" s="6" t="s">
        <v>301</v>
      </c>
      <c r="B268" s="6" t="s">
        <v>302</v>
      </c>
      <c r="C268" s="7" t="s">
        <v>590</v>
      </c>
      <c r="D268" s="6">
        <v>15</v>
      </c>
      <c r="E268" s="8" t="s">
        <v>591</v>
      </c>
      <c r="F268" s="6" t="s">
        <v>114</v>
      </c>
      <c r="G268" s="33" t="s">
        <v>136</v>
      </c>
    </row>
    <row r="269" spans="1:7" ht="14" x14ac:dyDescent="0.15">
      <c r="A269" s="6" t="s">
        <v>301</v>
      </c>
      <c r="B269" s="6" t="s">
        <v>302</v>
      </c>
      <c r="C269" s="7" t="s">
        <v>590</v>
      </c>
      <c r="D269" s="6">
        <v>39</v>
      </c>
      <c r="E269" s="8" t="s">
        <v>592</v>
      </c>
      <c r="F269" s="6" t="s">
        <v>114</v>
      </c>
      <c r="G269" s="33" t="s">
        <v>88</v>
      </c>
    </row>
    <row r="270" spans="1:7" ht="14" x14ac:dyDescent="0.15">
      <c r="A270" s="6" t="s">
        <v>593</v>
      </c>
      <c r="B270" s="6" t="s">
        <v>593</v>
      </c>
      <c r="C270" s="7" t="s">
        <v>594</v>
      </c>
      <c r="D270" s="6">
        <v>49</v>
      </c>
      <c r="E270" s="8" t="s">
        <v>595</v>
      </c>
      <c r="F270" s="6" t="s">
        <v>114</v>
      </c>
      <c r="G270" s="33" t="s">
        <v>83</v>
      </c>
    </row>
    <row r="271" spans="1:7" ht="14" x14ac:dyDescent="0.15">
      <c r="A271" s="6" t="s">
        <v>593</v>
      </c>
      <c r="B271" s="6" t="s">
        <v>596</v>
      </c>
      <c r="C271" s="7" t="s">
        <v>597</v>
      </c>
      <c r="D271" s="6">
        <v>35</v>
      </c>
      <c r="E271" s="8" t="s">
        <v>598</v>
      </c>
      <c r="F271" s="6" t="s">
        <v>114</v>
      </c>
      <c r="G271" s="33" t="s">
        <v>115</v>
      </c>
    </row>
    <row r="272" spans="1:7" ht="14" x14ac:dyDescent="0.15">
      <c r="A272" s="6" t="s">
        <v>599</v>
      </c>
      <c r="B272" s="6" t="s">
        <v>599</v>
      </c>
      <c r="C272" s="7" t="s">
        <v>600</v>
      </c>
      <c r="D272" s="6">
        <v>126</v>
      </c>
      <c r="E272" s="8" t="s">
        <v>601</v>
      </c>
      <c r="F272" s="6" t="s">
        <v>602</v>
      </c>
      <c r="G272" s="33" t="s">
        <v>83</v>
      </c>
    </row>
    <row r="273" spans="1:7" ht="14" x14ac:dyDescent="0.15">
      <c r="A273" s="6" t="s">
        <v>599</v>
      </c>
      <c r="B273" s="6" t="s">
        <v>599</v>
      </c>
      <c r="C273" s="7" t="s">
        <v>600</v>
      </c>
      <c r="D273" s="6">
        <v>129</v>
      </c>
      <c r="E273" s="8" t="s">
        <v>603</v>
      </c>
      <c r="F273" s="6" t="s">
        <v>602</v>
      </c>
      <c r="G273" s="33" t="s">
        <v>83</v>
      </c>
    </row>
    <row r="274" spans="1:7" ht="14" x14ac:dyDescent="0.15">
      <c r="A274" s="6" t="s">
        <v>599</v>
      </c>
      <c r="B274" s="6" t="s">
        <v>599</v>
      </c>
      <c r="C274" s="7" t="s">
        <v>600</v>
      </c>
      <c r="D274" s="6">
        <v>138</v>
      </c>
      <c r="E274" s="8" t="s">
        <v>604</v>
      </c>
      <c r="F274" s="6" t="s">
        <v>602</v>
      </c>
      <c r="G274" s="33" t="s">
        <v>30</v>
      </c>
    </row>
    <row r="275" spans="1:7" ht="14" x14ac:dyDescent="0.15">
      <c r="A275" s="6" t="s">
        <v>145</v>
      </c>
      <c r="B275" s="6" t="s">
        <v>146</v>
      </c>
      <c r="C275" s="7" t="s">
        <v>147</v>
      </c>
      <c r="D275" s="6">
        <v>52</v>
      </c>
      <c r="E275" s="8" t="s">
        <v>605</v>
      </c>
      <c r="F275" s="6" t="s">
        <v>606</v>
      </c>
      <c r="G275" s="33" t="s">
        <v>83</v>
      </c>
    </row>
    <row r="276" spans="1:7" ht="14" x14ac:dyDescent="0.15">
      <c r="A276" s="6" t="s">
        <v>173</v>
      </c>
      <c r="B276" s="6" t="s">
        <v>174</v>
      </c>
      <c r="C276" s="7" t="s">
        <v>175</v>
      </c>
      <c r="D276" s="6">
        <v>71</v>
      </c>
      <c r="E276" s="8" t="s">
        <v>607</v>
      </c>
      <c r="F276" s="6" t="s">
        <v>608</v>
      </c>
      <c r="G276" s="33" t="s">
        <v>30</v>
      </c>
    </row>
    <row r="277" spans="1:7" ht="14" x14ac:dyDescent="0.15">
      <c r="A277" s="6" t="s">
        <v>13</v>
      </c>
      <c r="B277" s="6" t="s">
        <v>14</v>
      </c>
      <c r="C277" s="7" t="s">
        <v>15</v>
      </c>
      <c r="D277" s="6">
        <v>165</v>
      </c>
      <c r="E277" s="8" t="s">
        <v>609</v>
      </c>
      <c r="F277" s="6" t="s">
        <v>114</v>
      </c>
      <c r="G277" s="33" t="s">
        <v>219</v>
      </c>
    </row>
    <row r="278" spans="1:7" ht="14" x14ac:dyDescent="0.15">
      <c r="A278" s="6" t="s">
        <v>521</v>
      </c>
      <c r="B278" s="6" t="s">
        <v>522</v>
      </c>
      <c r="C278" s="7" t="s">
        <v>523</v>
      </c>
      <c r="D278" s="6">
        <v>151</v>
      </c>
      <c r="E278" s="8" t="s">
        <v>610</v>
      </c>
      <c r="F278" s="6" t="s">
        <v>114</v>
      </c>
      <c r="G278" s="33" t="s">
        <v>219</v>
      </c>
    </row>
    <row r="279" spans="1:7" ht="14" x14ac:dyDescent="0.15">
      <c r="A279" s="6" t="s">
        <v>559</v>
      </c>
      <c r="B279" s="6" t="s">
        <v>559</v>
      </c>
      <c r="C279" s="7" t="s">
        <v>560</v>
      </c>
      <c r="D279" s="6">
        <v>31</v>
      </c>
      <c r="E279" s="8" t="s">
        <v>611</v>
      </c>
      <c r="F279" s="6" t="s">
        <v>114</v>
      </c>
      <c r="G279" s="33" t="s">
        <v>219</v>
      </c>
    </row>
    <row r="280" spans="1:7" ht="28" x14ac:dyDescent="0.15">
      <c r="A280" s="6" t="s">
        <v>47</v>
      </c>
      <c r="B280" s="6" t="s">
        <v>475</v>
      </c>
      <c r="C280" s="7" t="s">
        <v>476</v>
      </c>
      <c r="D280" s="6">
        <v>120</v>
      </c>
      <c r="E280" s="8" t="s">
        <v>612</v>
      </c>
      <c r="F280" s="6" t="s">
        <v>606</v>
      </c>
      <c r="G280" s="33" t="s">
        <v>136</v>
      </c>
    </row>
    <row r="281" spans="1:7" ht="28" x14ac:dyDescent="0.15">
      <c r="A281" s="6" t="s">
        <v>502</v>
      </c>
      <c r="B281" s="6" t="s">
        <v>502</v>
      </c>
      <c r="C281" s="7" t="s">
        <v>503</v>
      </c>
      <c r="D281" s="6">
        <v>66</v>
      </c>
      <c r="E281" s="8" t="s">
        <v>613</v>
      </c>
      <c r="F281" s="6" t="s">
        <v>614</v>
      </c>
      <c r="G281" s="33" t="s">
        <v>30</v>
      </c>
    </row>
    <row r="282" spans="1:7" ht="14" x14ac:dyDescent="0.15">
      <c r="A282" s="6" t="s">
        <v>615</v>
      </c>
      <c r="B282" s="6" t="s">
        <v>616</v>
      </c>
      <c r="C282" s="7" t="s">
        <v>617</v>
      </c>
      <c r="D282" s="6">
        <v>15</v>
      </c>
      <c r="E282" s="8" t="s">
        <v>618</v>
      </c>
      <c r="F282" s="6" t="s">
        <v>114</v>
      </c>
      <c r="G282" s="33" t="s">
        <v>30</v>
      </c>
    </row>
    <row r="283" spans="1:7" ht="28" x14ac:dyDescent="0.15">
      <c r="A283" s="6" t="s">
        <v>619</v>
      </c>
      <c r="B283" s="6" t="s">
        <v>620</v>
      </c>
      <c r="C283" s="7" t="s">
        <v>621</v>
      </c>
      <c r="D283" s="6">
        <v>187</v>
      </c>
      <c r="E283" s="8" t="s">
        <v>622</v>
      </c>
      <c r="F283" s="6" t="s">
        <v>623</v>
      </c>
      <c r="G283" s="33" t="s">
        <v>342</v>
      </c>
    </row>
    <row r="284" spans="1:7" ht="14" x14ac:dyDescent="0.15">
      <c r="A284" s="6" t="s">
        <v>232</v>
      </c>
      <c r="B284" s="6" t="s">
        <v>233</v>
      </c>
      <c r="C284" s="7" t="s">
        <v>234</v>
      </c>
      <c r="D284" s="6">
        <v>77</v>
      </c>
      <c r="E284" s="8" t="s">
        <v>624</v>
      </c>
      <c r="F284" s="6" t="s">
        <v>623</v>
      </c>
      <c r="G284" s="33" t="s">
        <v>30</v>
      </c>
    </row>
    <row r="285" spans="1:7" ht="28" x14ac:dyDescent="0.15">
      <c r="A285" s="6" t="s">
        <v>325</v>
      </c>
      <c r="B285" s="6" t="s">
        <v>326</v>
      </c>
      <c r="C285" s="7" t="s">
        <v>327</v>
      </c>
      <c r="D285" s="6">
        <v>20</v>
      </c>
      <c r="E285" s="8" t="s">
        <v>625</v>
      </c>
      <c r="F285" s="6" t="s">
        <v>623</v>
      </c>
      <c r="G285" s="33" t="s">
        <v>12</v>
      </c>
    </row>
    <row r="286" spans="1:7" ht="28" x14ac:dyDescent="0.15">
      <c r="A286" s="6" t="s">
        <v>325</v>
      </c>
      <c r="B286" s="6" t="s">
        <v>326</v>
      </c>
      <c r="C286" s="7" t="s">
        <v>463</v>
      </c>
      <c r="D286" s="6">
        <v>15</v>
      </c>
      <c r="E286" s="8" t="s">
        <v>625</v>
      </c>
      <c r="F286" s="6" t="s">
        <v>623</v>
      </c>
      <c r="G286" s="33" t="s">
        <v>12</v>
      </c>
    </row>
    <row r="287" spans="1:7" ht="28" x14ac:dyDescent="0.15">
      <c r="A287" s="6" t="s">
        <v>626</v>
      </c>
      <c r="B287" s="6" t="s">
        <v>627</v>
      </c>
      <c r="C287" s="7" t="s">
        <v>628</v>
      </c>
      <c r="D287" s="6">
        <v>25</v>
      </c>
      <c r="E287" s="8" t="s">
        <v>629</v>
      </c>
      <c r="F287" s="6" t="s">
        <v>114</v>
      </c>
      <c r="G287" s="33" t="s">
        <v>18</v>
      </c>
    </row>
    <row r="288" spans="1:7" ht="14" x14ac:dyDescent="0.15">
      <c r="A288" s="6" t="s">
        <v>7</v>
      </c>
      <c r="B288" s="6" t="s">
        <v>8</v>
      </c>
      <c r="C288" s="7" t="s">
        <v>9</v>
      </c>
      <c r="D288" s="6">
        <v>88</v>
      </c>
      <c r="E288" s="8" t="s">
        <v>630</v>
      </c>
      <c r="F288" s="6" t="s">
        <v>631</v>
      </c>
      <c r="G288" s="33" t="s">
        <v>136</v>
      </c>
    </row>
    <row r="289" spans="1:7" ht="14" x14ac:dyDescent="0.15">
      <c r="A289" s="6" t="s">
        <v>386</v>
      </c>
      <c r="B289" s="6" t="s">
        <v>387</v>
      </c>
      <c r="C289" s="7" t="s">
        <v>388</v>
      </c>
      <c r="D289" s="6">
        <v>15</v>
      </c>
      <c r="E289" s="8" t="s">
        <v>632</v>
      </c>
      <c r="F289" s="6" t="s">
        <v>631</v>
      </c>
      <c r="G289" s="33" t="s">
        <v>83</v>
      </c>
    </row>
    <row r="290" spans="1:7" ht="14" x14ac:dyDescent="0.15">
      <c r="A290" s="6" t="s">
        <v>296</v>
      </c>
      <c r="B290" s="6" t="s">
        <v>297</v>
      </c>
      <c r="C290" s="7" t="s">
        <v>298</v>
      </c>
      <c r="D290" s="6">
        <v>34</v>
      </c>
      <c r="E290" s="8" t="s">
        <v>633</v>
      </c>
      <c r="F290" s="6" t="s">
        <v>631</v>
      </c>
      <c r="G290" s="33" t="s">
        <v>23</v>
      </c>
    </row>
    <row r="291" spans="1:7" ht="28" x14ac:dyDescent="0.15">
      <c r="A291" s="6" t="s">
        <v>333</v>
      </c>
      <c r="B291" s="6" t="s">
        <v>334</v>
      </c>
      <c r="C291" s="7" t="s">
        <v>335</v>
      </c>
      <c r="D291" s="6">
        <v>15</v>
      </c>
      <c r="E291" s="8" t="s">
        <v>634</v>
      </c>
      <c r="F291" s="6" t="s">
        <v>631</v>
      </c>
      <c r="G291" s="33" t="s">
        <v>83</v>
      </c>
    </row>
    <row r="292" spans="1:7" ht="14" x14ac:dyDescent="0.15">
      <c r="A292" s="6" t="s">
        <v>47</v>
      </c>
      <c r="B292" s="6" t="s">
        <v>635</v>
      </c>
      <c r="C292" s="7" t="s">
        <v>636</v>
      </c>
      <c r="D292" s="6">
        <v>122</v>
      </c>
      <c r="E292" s="8" t="s">
        <v>637</v>
      </c>
      <c r="F292" s="6" t="s">
        <v>638</v>
      </c>
      <c r="G292" s="33" t="s">
        <v>30</v>
      </c>
    </row>
    <row r="293" spans="1:7" ht="28" x14ac:dyDescent="0.15">
      <c r="A293" s="6" t="s">
        <v>35</v>
      </c>
      <c r="B293" s="6" t="s">
        <v>36</v>
      </c>
      <c r="C293" s="7" t="s">
        <v>37</v>
      </c>
      <c r="D293" s="6">
        <v>24</v>
      </c>
      <c r="E293" s="8" t="s">
        <v>639</v>
      </c>
      <c r="F293" s="6" t="s">
        <v>638</v>
      </c>
      <c r="G293" s="33" t="s">
        <v>88</v>
      </c>
    </row>
    <row r="294" spans="1:7" ht="14" x14ac:dyDescent="0.15">
      <c r="A294" s="6" t="s">
        <v>35</v>
      </c>
      <c r="B294" s="6" t="s">
        <v>36</v>
      </c>
      <c r="C294" s="7" t="s">
        <v>37</v>
      </c>
      <c r="D294" s="6">
        <v>121</v>
      </c>
      <c r="E294" s="8" t="s">
        <v>640</v>
      </c>
      <c r="F294" s="6" t="s">
        <v>641</v>
      </c>
      <c r="G294" s="33" t="s">
        <v>23</v>
      </c>
    </row>
    <row r="295" spans="1:7" ht="28" x14ac:dyDescent="0.15">
      <c r="A295" s="6" t="s">
        <v>437</v>
      </c>
      <c r="B295" s="6" t="s">
        <v>438</v>
      </c>
      <c r="C295" s="7" t="s">
        <v>439</v>
      </c>
      <c r="D295" s="6">
        <v>6</v>
      </c>
      <c r="E295" s="8" t="s">
        <v>642</v>
      </c>
      <c r="F295" s="6" t="s">
        <v>643</v>
      </c>
      <c r="G295" s="33" t="s">
        <v>30</v>
      </c>
    </row>
    <row r="296" spans="1:7" ht="28" x14ac:dyDescent="0.15">
      <c r="A296" s="6" t="s">
        <v>51</v>
      </c>
      <c r="B296" s="6" t="s">
        <v>496</v>
      </c>
      <c r="C296" s="7" t="s">
        <v>497</v>
      </c>
      <c r="D296" s="6">
        <v>131</v>
      </c>
      <c r="E296" s="8" t="s">
        <v>644</v>
      </c>
      <c r="F296" s="6" t="s">
        <v>638</v>
      </c>
      <c r="G296" s="33" t="s">
        <v>136</v>
      </c>
    </row>
    <row r="297" spans="1:7" ht="42" x14ac:dyDescent="0.15">
      <c r="A297" s="6" t="s">
        <v>164</v>
      </c>
      <c r="B297" s="6" t="s">
        <v>165</v>
      </c>
      <c r="C297" s="7" t="s">
        <v>166</v>
      </c>
      <c r="D297" s="6">
        <v>163</v>
      </c>
      <c r="E297" s="8" t="s">
        <v>645</v>
      </c>
      <c r="F297" s="6" t="s">
        <v>114</v>
      </c>
      <c r="G297" s="33" t="s">
        <v>30</v>
      </c>
    </row>
    <row r="298" spans="1:7" ht="42" x14ac:dyDescent="0.15">
      <c r="A298" s="6" t="s">
        <v>127</v>
      </c>
      <c r="B298" s="6" t="s">
        <v>128</v>
      </c>
      <c r="C298" s="7" t="s">
        <v>129</v>
      </c>
      <c r="D298" s="6">
        <v>85</v>
      </c>
      <c r="E298" s="8" t="s">
        <v>646</v>
      </c>
      <c r="F298" s="6" t="s">
        <v>114</v>
      </c>
      <c r="G298" s="33" t="s">
        <v>30</v>
      </c>
    </row>
    <row r="299" spans="1:7" ht="14" x14ac:dyDescent="0.15">
      <c r="A299" s="6" t="s">
        <v>131</v>
      </c>
      <c r="B299" s="6" t="s">
        <v>132</v>
      </c>
      <c r="C299" s="7" t="s">
        <v>133</v>
      </c>
      <c r="D299" s="6">
        <v>203</v>
      </c>
      <c r="E299" s="8" t="s">
        <v>647</v>
      </c>
      <c r="F299" s="6" t="s">
        <v>114</v>
      </c>
      <c r="G299" s="33" t="s">
        <v>115</v>
      </c>
    </row>
    <row r="300" spans="1:7" ht="28" x14ac:dyDescent="0.15">
      <c r="A300" s="6" t="s">
        <v>173</v>
      </c>
      <c r="B300" s="6" t="s">
        <v>174</v>
      </c>
      <c r="C300" s="7" t="s">
        <v>175</v>
      </c>
      <c r="D300" s="6">
        <v>75</v>
      </c>
      <c r="E300" s="8" t="s">
        <v>648</v>
      </c>
      <c r="F300" s="6" t="s">
        <v>114</v>
      </c>
      <c r="G300" s="33" t="s">
        <v>88</v>
      </c>
    </row>
    <row r="301" spans="1:7" ht="28" x14ac:dyDescent="0.15">
      <c r="A301" s="6" t="s">
        <v>25</v>
      </c>
      <c r="B301" s="6" t="s">
        <v>238</v>
      </c>
      <c r="C301" s="7" t="s">
        <v>239</v>
      </c>
      <c r="D301" s="6">
        <v>22</v>
      </c>
      <c r="E301" s="8" t="s">
        <v>649</v>
      </c>
      <c r="F301" s="6" t="s">
        <v>114</v>
      </c>
      <c r="G301" s="33" t="s">
        <v>136</v>
      </c>
    </row>
    <row r="302" spans="1:7" ht="28" x14ac:dyDescent="0.15">
      <c r="A302" s="6" t="s">
        <v>25</v>
      </c>
      <c r="B302" s="6" t="s">
        <v>26</v>
      </c>
      <c r="C302" s="7" t="s">
        <v>27</v>
      </c>
      <c r="D302" s="6">
        <v>22</v>
      </c>
      <c r="E302" s="8" t="s">
        <v>650</v>
      </c>
      <c r="F302" s="6" t="s">
        <v>114</v>
      </c>
      <c r="G302" s="33" t="s">
        <v>30</v>
      </c>
    </row>
    <row r="303" spans="1:7" ht="14" x14ac:dyDescent="0.15">
      <c r="A303" s="6" t="s">
        <v>279</v>
      </c>
      <c r="B303" s="6" t="s">
        <v>280</v>
      </c>
      <c r="C303" s="7" t="s">
        <v>281</v>
      </c>
      <c r="D303" s="6">
        <v>65</v>
      </c>
      <c r="E303" s="8" t="s">
        <v>651</v>
      </c>
      <c r="F303" s="6" t="s">
        <v>114</v>
      </c>
      <c r="G303" s="33" t="s">
        <v>23</v>
      </c>
    </row>
    <row r="304" spans="1:7" ht="14" x14ac:dyDescent="0.15">
      <c r="A304" s="6" t="s">
        <v>652</v>
      </c>
      <c r="B304" s="6" t="s">
        <v>653</v>
      </c>
      <c r="C304" s="7" t="s">
        <v>654</v>
      </c>
      <c r="D304" s="6">
        <v>99</v>
      </c>
      <c r="E304" s="8" t="s">
        <v>655</v>
      </c>
      <c r="F304" s="6" t="s">
        <v>114</v>
      </c>
      <c r="G304" s="33" t="s">
        <v>115</v>
      </c>
    </row>
    <row r="305" spans="1:7" ht="14" x14ac:dyDescent="0.15">
      <c r="A305" s="6" t="s">
        <v>656</v>
      </c>
      <c r="B305" s="6" t="s">
        <v>657</v>
      </c>
      <c r="C305" s="7" t="s">
        <v>658</v>
      </c>
      <c r="D305" s="6">
        <v>37</v>
      </c>
      <c r="E305" s="8" t="s">
        <v>659</v>
      </c>
      <c r="F305" s="6" t="s">
        <v>114</v>
      </c>
      <c r="G305" s="33" t="s">
        <v>30</v>
      </c>
    </row>
    <row r="306" spans="1:7" ht="28" x14ac:dyDescent="0.15">
      <c r="A306" s="6" t="s">
        <v>47</v>
      </c>
      <c r="B306" s="6" t="s">
        <v>475</v>
      </c>
      <c r="C306" s="7" t="s">
        <v>476</v>
      </c>
      <c r="D306" s="6">
        <v>200</v>
      </c>
      <c r="E306" s="8" t="s">
        <v>660</v>
      </c>
      <c r="F306" s="6" t="s">
        <v>114</v>
      </c>
      <c r="G306" s="33" t="s">
        <v>67</v>
      </c>
    </row>
    <row r="307" spans="1:7" ht="28" x14ac:dyDescent="0.15">
      <c r="A307" s="6" t="s">
        <v>661</v>
      </c>
      <c r="B307" s="6" t="s">
        <v>662</v>
      </c>
      <c r="C307" s="7" t="s">
        <v>663</v>
      </c>
      <c r="D307" s="6">
        <v>37</v>
      </c>
      <c r="E307" s="8" t="s">
        <v>664</v>
      </c>
      <c r="F307" s="6" t="s">
        <v>114</v>
      </c>
      <c r="G307" s="33" t="s">
        <v>88</v>
      </c>
    </row>
    <row r="308" spans="1:7" ht="28" x14ac:dyDescent="0.15">
      <c r="A308" s="6" t="s">
        <v>25</v>
      </c>
      <c r="B308" s="6" t="s">
        <v>26</v>
      </c>
      <c r="C308" s="7" t="s">
        <v>563</v>
      </c>
      <c r="D308" s="6">
        <v>22</v>
      </c>
      <c r="E308" s="8" t="s">
        <v>650</v>
      </c>
      <c r="F308" s="6" t="s">
        <v>114</v>
      </c>
      <c r="G308" s="33" t="s">
        <v>30</v>
      </c>
    </row>
    <row r="309" spans="1:7" ht="14" x14ac:dyDescent="0.15">
      <c r="A309" s="6" t="s">
        <v>366</v>
      </c>
      <c r="B309" s="6" t="s">
        <v>367</v>
      </c>
      <c r="C309" s="7" t="s">
        <v>368</v>
      </c>
      <c r="D309" s="6">
        <v>60</v>
      </c>
      <c r="E309" s="8" t="s">
        <v>665</v>
      </c>
      <c r="F309" s="6" t="s">
        <v>114</v>
      </c>
      <c r="G309" s="33" t="s">
        <v>88</v>
      </c>
    </row>
    <row r="310" spans="1:7" ht="28" x14ac:dyDescent="0.15">
      <c r="A310" s="6" t="s">
        <v>666</v>
      </c>
      <c r="B310" s="6" t="s">
        <v>667</v>
      </c>
      <c r="C310" s="7" t="s">
        <v>668</v>
      </c>
      <c r="D310" s="6">
        <v>26</v>
      </c>
      <c r="E310" s="8" t="s">
        <v>669</v>
      </c>
      <c r="F310" s="6" t="s">
        <v>114</v>
      </c>
      <c r="G310" s="33" t="s">
        <v>88</v>
      </c>
    </row>
    <row r="311" spans="1:7" ht="14" x14ac:dyDescent="0.15">
      <c r="A311" s="6" t="s">
        <v>670</v>
      </c>
      <c r="B311" s="6" t="s">
        <v>671</v>
      </c>
      <c r="C311" s="7" t="s">
        <v>672</v>
      </c>
      <c r="D311" s="6">
        <v>175</v>
      </c>
      <c r="E311" s="8" t="s">
        <v>673</v>
      </c>
      <c r="F311" s="6" t="s">
        <v>114</v>
      </c>
      <c r="G311" s="33" t="s">
        <v>77</v>
      </c>
    </row>
    <row r="312" spans="1:7" ht="28" x14ac:dyDescent="0.15">
      <c r="A312" s="6" t="s">
        <v>349</v>
      </c>
      <c r="B312" s="6" t="s">
        <v>350</v>
      </c>
      <c r="C312" s="7" t="s">
        <v>351</v>
      </c>
      <c r="D312" s="6">
        <v>39</v>
      </c>
      <c r="E312" s="8" t="s">
        <v>674</v>
      </c>
      <c r="F312" s="6" t="s">
        <v>114</v>
      </c>
      <c r="G312" s="33" t="s">
        <v>136</v>
      </c>
    </row>
    <row r="313" spans="1:7" ht="14" x14ac:dyDescent="0.15">
      <c r="A313" s="6" t="s">
        <v>555</v>
      </c>
      <c r="B313" s="6" t="s">
        <v>556</v>
      </c>
      <c r="C313" s="7" t="s">
        <v>557</v>
      </c>
      <c r="D313" s="6">
        <v>36</v>
      </c>
      <c r="E313" s="8" t="s">
        <v>675</v>
      </c>
      <c r="F313" s="6" t="s">
        <v>606</v>
      </c>
      <c r="G313" s="33" t="s">
        <v>30</v>
      </c>
    </row>
    <row r="314" spans="1:7" ht="14" x14ac:dyDescent="0.15">
      <c r="A314" s="6" t="s">
        <v>92</v>
      </c>
      <c r="B314" s="6" t="s">
        <v>93</v>
      </c>
      <c r="C314" s="7" t="s">
        <v>94</v>
      </c>
      <c r="D314" s="6">
        <v>108</v>
      </c>
      <c r="E314" s="8" t="s">
        <v>676</v>
      </c>
      <c r="F314" s="6" t="s">
        <v>677</v>
      </c>
      <c r="G314" s="33" t="s">
        <v>83</v>
      </c>
    </row>
    <row r="315" spans="1:7" ht="14" x14ac:dyDescent="0.15">
      <c r="A315" s="6" t="s">
        <v>301</v>
      </c>
      <c r="B315" s="6" t="s">
        <v>302</v>
      </c>
      <c r="C315" s="7" t="s">
        <v>590</v>
      </c>
      <c r="D315" s="6">
        <v>22</v>
      </c>
      <c r="E315" s="8" t="s">
        <v>678</v>
      </c>
      <c r="F315" s="6" t="s">
        <v>679</v>
      </c>
      <c r="G315" s="33" t="s">
        <v>30</v>
      </c>
    </row>
    <row r="316" spans="1:7" ht="14" x14ac:dyDescent="0.15">
      <c r="A316" s="6" t="s">
        <v>301</v>
      </c>
      <c r="B316" s="6" t="s">
        <v>302</v>
      </c>
      <c r="C316" s="7" t="s">
        <v>590</v>
      </c>
      <c r="D316" s="6">
        <v>28</v>
      </c>
      <c r="E316" s="8" t="s">
        <v>680</v>
      </c>
      <c r="F316" s="6" t="s">
        <v>679</v>
      </c>
      <c r="G316" s="33" t="s">
        <v>30</v>
      </c>
    </row>
    <row r="317" spans="1:7" ht="14" x14ac:dyDescent="0.15">
      <c r="A317" s="6" t="s">
        <v>681</v>
      </c>
      <c r="B317" s="6" t="s">
        <v>682</v>
      </c>
      <c r="C317" s="7" t="s">
        <v>683</v>
      </c>
      <c r="D317" s="6">
        <v>208</v>
      </c>
      <c r="E317" s="8" t="s">
        <v>684</v>
      </c>
      <c r="F317" s="6" t="s">
        <v>685</v>
      </c>
      <c r="G317" s="33" t="s">
        <v>136</v>
      </c>
    </row>
    <row r="318" spans="1:7" ht="14" x14ac:dyDescent="0.15">
      <c r="A318" s="6" t="s">
        <v>254</v>
      </c>
      <c r="B318" s="6" t="s">
        <v>255</v>
      </c>
      <c r="C318" s="7" t="s">
        <v>256</v>
      </c>
      <c r="D318" s="6">
        <v>134</v>
      </c>
      <c r="E318" s="8" t="s">
        <v>686</v>
      </c>
      <c r="F318" s="6" t="s">
        <v>687</v>
      </c>
      <c r="G318" s="33" t="s">
        <v>30</v>
      </c>
    </row>
    <row r="319" spans="1:7" ht="14" x14ac:dyDescent="0.15">
      <c r="A319" s="6" t="s">
        <v>43</v>
      </c>
      <c r="B319" s="6" t="s">
        <v>44</v>
      </c>
      <c r="C319" s="7" t="s">
        <v>45</v>
      </c>
      <c r="D319" s="6">
        <v>50</v>
      </c>
      <c r="E319" s="8" t="s">
        <v>688</v>
      </c>
      <c r="F319" s="6" t="s">
        <v>687</v>
      </c>
      <c r="G319" s="33" t="s">
        <v>513</v>
      </c>
    </row>
    <row r="320" spans="1:7" ht="14" x14ac:dyDescent="0.15">
      <c r="A320" s="6" t="s">
        <v>51</v>
      </c>
      <c r="B320" s="6" t="s">
        <v>96</v>
      </c>
      <c r="C320" s="7" t="s">
        <v>97</v>
      </c>
      <c r="D320" s="6">
        <v>18</v>
      </c>
      <c r="E320" s="8" t="s">
        <v>689</v>
      </c>
      <c r="F320" s="6" t="s">
        <v>687</v>
      </c>
      <c r="G320" s="33" t="s">
        <v>30</v>
      </c>
    </row>
    <row r="321" spans="1:7" ht="28" x14ac:dyDescent="0.15">
      <c r="A321" s="6" t="s">
        <v>140</v>
      </c>
      <c r="B321" s="6" t="s">
        <v>141</v>
      </c>
      <c r="C321" s="7" t="s">
        <v>142</v>
      </c>
      <c r="D321" s="6">
        <v>59</v>
      </c>
      <c r="E321" s="8" t="s">
        <v>690</v>
      </c>
      <c r="F321" s="6" t="s">
        <v>691</v>
      </c>
      <c r="G321" s="33" t="s">
        <v>30</v>
      </c>
    </row>
    <row r="322" spans="1:7" ht="42" x14ac:dyDescent="0.15">
      <c r="A322" s="6" t="s">
        <v>164</v>
      </c>
      <c r="B322" s="6" t="s">
        <v>165</v>
      </c>
      <c r="C322" s="7" t="s">
        <v>166</v>
      </c>
      <c r="D322" s="6">
        <v>149</v>
      </c>
      <c r="E322" s="8" t="s">
        <v>692</v>
      </c>
      <c r="F322" s="6" t="s">
        <v>691</v>
      </c>
      <c r="G322" s="33" t="s">
        <v>342</v>
      </c>
    </row>
    <row r="323" spans="1:7" ht="14" x14ac:dyDescent="0.15">
      <c r="A323" s="6" t="s">
        <v>185</v>
      </c>
      <c r="B323" s="6" t="s">
        <v>186</v>
      </c>
      <c r="C323" s="7" t="s">
        <v>187</v>
      </c>
      <c r="D323" s="6">
        <v>47</v>
      </c>
      <c r="E323" s="8" t="s">
        <v>693</v>
      </c>
      <c r="F323" s="6" t="s">
        <v>691</v>
      </c>
      <c r="G323" s="33" t="s">
        <v>18</v>
      </c>
    </row>
    <row r="324" spans="1:7" ht="28" x14ac:dyDescent="0.15">
      <c r="A324" s="6" t="s">
        <v>92</v>
      </c>
      <c r="B324" s="6" t="s">
        <v>93</v>
      </c>
      <c r="C324" s="7" t="s">
        <v>94</v>
      </c>
      <c r="D324" s="6">
        <v>94</v>
      </c>
      <c r="E324" s="8" t="s">
        <v>694</v>
      </c>
      <c r="F324" s="6" t="s">
        <v>691</v>
      </c>
      <c r="G324" s="33" t="s">
        <v>30</v>
      </c>
    </row>
    <row r="325" spans="1:7" ht="14" x14ac:dyDescent="0.15">
      <c r="A325" s="6" t="s">
        <v>521</v>
      </c>
      <c r="B325" s="6" t="s">
        <v>695</v>
      </c>
      <c r="C325" s="7" t="s">
        <v>696</v>
      </c>
      <c r="D325" s="6">
        <v>74</v>
      </c>
      <c r="E325" s="8" t="s">
        <v>697</v>
      </c>
      <c r="F325" s="6" t="s">
        <v>691</v>
      </c>
      <c r="G325" s="33" t="s">
        <v>12</v>
      </c>
    </row>
    <row r="326" spans="1:7" ht="42" x14ac:dyDescent="0.15">
      <c r="A326" s="6" t="s">
        <v>570</v>
      </c>
      <c r="B326" s="6" t="s">
        <v>571</v>
      </c>
      <c r="C326" s="7" t="s">
        <v>572</v>
      </c>
      <c r="D326" s="6">
        <v>65</v>
      </c>
      <c r="E326" s="8" t="s">
        <v>698</v>
      </c>
      <c r="F326" s="6" t="s">
        <v>699</v>
      </c>
      <c r="G326" s="33" t="s">
        <v>30</v>
      </c>
    </row>
    <row r="327" spans="1:7" ht="14" x14ac:dyDescent="0.15">
      <c r="A327" s="6" t="s">
        <v>254</v>
      </c>
      <c r="B327" s="6" t="s">
        <v>255</v>
      </c>
      <c r="C327" s="7" t="s">
        <v>256</v>
      </c>
      <c r="D327" s="6">
        <v>12</v>
      </c>
      <c r="E327" s="8" t="s">
        <v>700</v>
      </c>
      <c r="F327" s="6" t="s">
        <v>701</v>
      </c>
      <c r="G327" s="33" t="s">
        <v>136</v>
      </c>
    </row>
    <row r="328" spans="1:7" ht="42" x14ac:dyDescent="0.15">
      <c r="A328" s="6" t="s">
        <v>47</v>
      </c>
      <c r="B328" s="6" t="s">
        <v>702</v>
      </c>
      <c r="C328" s="7" t="s">
        <v>703</v>
      </c>
      <c r="D328" s="6">
        <v>158</v>
      </c>
      <c r="E328" s="8" t="s">
        <v>704</v>
      </c>
      <c r="F328" s="6" t="s">
        <v>701</v>
      </c>
      <c r="G328" s="33" t="s">
        <v>18</v>
      </c>
    </row>
    <row r="329" spans="1:7" ht="28" x14ac:dyDescent="0.15">
      <c r="A329" s="6" t="s">
        <v>619</v>
      </c>
      <c r="B329" s="6" t="s">
        <v>620</v>
      </c>
      <c r="C329" s="7" t="s">
        <v>621</v>
      </c>
      <c r="D329" s="6">
        <v>115</v>
      </c>
      <c r="E329" s="8" t="s">
        <v>705</v>
      </c>
      <c r="F329" s="6" t="s">
        <v>706</v>
      </c>
      <c r="G329" s="33" t="s">
        <v>18</v>
      </c>
    </row>
    <row r="330" spans="1:7" ht="28" x14ac:dyDescent="0.15">
      <c r="A330" s="6" t="s">
        <v>275</v>
      </c>
      <c r="B330" s="6" t="s">
        <v>276</v>
      </c>
      <c r="C330" s="7" t="s">
        <v>277</v>
      </c>
      <c r="D330" s="6">
        <v>1</v>
      </c>
      <c r="E330" s="8" t="s">
        <v>707</v>
      </c>
      <c r="F330" s="6" t="s">
        <v>706</v>
      </c>
      <c r="G330" s="33" t="s">
        <v>12</v>
      </c>
    </row>
    <row r="331" spans="1:7" ht="28" x14ac:dyDescent="0.15">
      <c r="A331" s="6" t="s">
        <v>708</v>
      </c>
      <c r="B331" s="6" t="s">
        <v>709</v>
      </c>
      <c r="C331" s="7" t="s">
        <v>710</v>
      </c>
      <c r="D331" s="6">
        <v>106</v>
      </c>
      <c r="E331" s="8" t="s">
        <v>711</v>
      </c>
      <c r="F331" s="6" t="s">
        <v>706</v>
      </c>
      <c r="G331" s="33" t="s">
        <v>18</v>
      </c>
    </row>
    <row r="332" spans="1:7" ht="42" x14ac:dyDescent="0.15">
      <c r="A332" s="6" t="s">
        <v>393</v>
      </c>
      <c r="B332" s="6" t="s">
        <v>394</v>
      </c>
      <c r="C332" s="7" t="s">
        <v>395</v>
      </c>
      <c r="D332" s="6">
        <v>50</v>
      </c>
      <c r="E332" s="8" t="s">
        <v>712</v>
      </c>
      <c r="F332" s="6" t="s">
        <v>706</v>
      </c>
      <c r="G332" s="33" t="s">
        <v>18</v>
      </c>
    </row>
    <row r="333" spans="1:7" ht="14" x14ac:dyDescent="0.15">
      <c r="A333" s="6" t="s">
        <v>713</v>
      </c>
      <c r="B333" s="6" t="s">
        <v>713</v>
      </c>
      <c r="C333" s="7" t="s">
        <v>714</v>
      </c>
      <c r="D333" s="6">
        <v>82</v>
      </c>
      <c r="E333" s="8" t="s">
        <v>715</v>
      </c>
      <c r="F333" s="6" t="s">
        <v>706</v>
      </c>
      <c r="G333" s="33" t="s">
        <v>12</v>
      </c>
    </row>
    <row r="334" spans="1:7" ht="14" x14ac:dyDescent="0.15">
      <c r="A334" s="6" t="s">
        <v>521</v>
      </c>
      <c r="B334" s="6" t="s">
        <v>542</v>
      </c>
      <c r="C334" s="7" t="s">
        <v>543</v>
      </c>
      <c r="D334" s="6">
        <v>57</v>
      </c>
      <c r="E334" s="8" t="s">
        <v>716</v>
      </c>
      <c r="F334" s="6" t="s">
        <v>706</v>
      </c>
      <c r="G334" s="33" t="s">
        <v>88</v>
      </c>
    </row>
    <row r="335" spans="1:7" ht="14" x14ac:dyDescent="0.15">
      <c r="A335" s="6" t="s">
        <v>68</v>
      </c>
      <c r="B335" s="6" t="s">
        <v>69</v>
      </c>
      <c r="C335" s="7" t="s">
        <v>70</v>
      </c>
      <c r="D335" s="6">
        <v>56</v>
      </c>
      <c r="E335" s="8" t="s">
        <v>717</v>
      </c>
      <c r="F335" s="6" t="s">
        <v>718</v>
      </c>
      <c r="G335" s="33" t="s">
        <v>12</v>
      </c>
    </row>
    <row r="336" spans="1:7" ht="42" x14ac:dyDescent="0.15">
      <c r="A336" s="6" t="s">
        <v>118</v>
      </c>
      <c r="B336" s="6" t="s">
        <v>119</v>
      </c>
      <c r="C336" s="7" t="s">
        <v>120</v>
      </c>
      <c r="D336" s="6">
        <v>3</v>
      </c>
      <c r="E336" s="8" t="s">
        <v>719</v>
      </c>
      <c r="F336" s="6" t="s">
        <v>718</v>
      </c>
      <c r="G336" s="33" t="s">
        <v>18</v>
      </c>
    </row>
    <row r="337" spans="1:7" ht="14" x14ac:dyDescent="0.15">
      <c r="A337" s="6" t="s">
        <v>118</v>
      </c>
      <c r="B337" s="6" t="s">
        <v>119</v>
      </c>
      <c r="C337" s="7" t="s">
        <v>120</v>
      </c>
      <c r="D337" s="6">
        <v>12</v>
      </c>
      <c r="E337" s="8" t="s">
        <v>720</v>
      </c>
      <c r="F337" s="6" t="s">
        <v>718</v>
      </c>
      <c r="G337" s="33" t="s">
        <v>18</v>
      </c>
    </row>
    <row r="338" spans="1:7" ht="14" x14ac:dyDescent="0.15">
      <c r="A338" s="6" t="s">
        <v>118</v>
      </c>
      <c r="B338" s="6" t="s">
        <v>119</v>
      </c>
      <c r="C338" s="7" t="s">
        <v>120</v>
      </c>
      <c r="D338" s="6">
        <v>46</v>
      </c>
      <c r="E338" s="8" t="s">
        <v>721</v>
      </c>
      <c r="F338" s="6" t="s">
        <v>718</v>
      </c>
      <c r="G338" s="33" t="s">
        <v>30</v>
      </c>
    </row>
    <row r="339" spans="1:7" ht="14" x14ac:dyDescent="0.15">
      <c r="A339" s="6" t="s">
        <v>118</v>
      </c>
      <c r="B339" s="6" t="s">
        <v>119</v>
      </c>
      <c r="C339" s="7" t="s">
        <v>120</v>
      </c>
      <c r="D339" s="6">
        <v>54</v>
      </c>
      <c r="E339" s="8" t="s">
        <v>722</v>
      </c>
      <c r="F339" s="6" t="s">
        <v>718</v>
      </c>
      <c r="G339" s="33" t="s">
        <v>18</v>
      </c>
    </row>
    <row r="340" spans="1:7" ht="14" x14ac:dyDescent="0.15">
      <c r="A340" s="6" t="s">
        <v>118</v>
      </c>
      <c r="B340" s="6" t="s">
        <v>119</v>
      </c>
      <c r="C340" s="7" t="s">
        <v>120</v>
      </c>
      <c r="D340" s="6">
        <v>59</v>
      </c>
      <c r="E340" s="8" t="s">
        <v>723</v>
      </c>
      <c r="F340" s="6" t="s">
        <v>718</v>
      </c>
      <c r="G340" s="33" t="s">
        <v>136</v>
      </c>
    </row>
    <row r="341" spans="1:7" ht="14" x14ac:dyDescent="0.15">
      <c r="A341" s="6" t="s">
        <v>724</v>
      </c>
      <c r="B341" s="6" t="s">
        <v>724</v>
      </c>
      <c r="C341" s="7" t="s">
        <v>725</v>
      </c>
      <c r="D341" s="6">
        <v>41</v>
      </c>
      <c r="E341" s="8" t="s">
        <v>726</v>
      </c>
      <c r="F341" s="6" t="s">
        <v>718</v>
      </c>
      <c r="G341" s="33" t="s">
        <v>18</v>
      </c>
    </row>
    <row r="342" spans="1:7" ht="14" x14ac:dyDescent="0.15">
      <c r="A342" s="6" t="s">
        <v>619</v>
      </c>
      <c r="B342" s="6" t="s">
        <v>620</v>
      </c>
      <c r="C342" s="7" t="s">
        <v>621</v>
      </c>
      <c r="D342" s="6">
        <v>119</v>
      </c>
      <c r="E342" s="8" t="s">
        <v>727</v>
      </c>
      <c r="F342" s="6" t="s">
        <v>718</v>
      </c>
      <c r="G342" s="33" t="s">
        <v>18</v>
      </c>
    </row>
    <row r="343" spans="1:7" ht="14" x14ac:dyDescent="0.15">
      <c r="A343" s="6" t="s">
        <v>619</v>
      </c>
      <c r="B343" s="6" t="s">
        <v>620</v>
      </c>
      <c r="C343" s="7" t="s">
        <v>621</v>
      </c>
      <c r="D343" s="6">
        <v>132</v>
      </c>
      <c r="E343" s="8" t="s">
        <v>728</v>
      </c>
      <c r="F343" s="6" t="s">
        <v>718</v>
      </c>
      <c r="G343" s="33" t="s">
        <v>18</v>
      </c>
    </row>
    <row r="344" spans="1:7" ht="14" x14ac:dyDescent="0.15">
      <c r="A344" s="6" t="s">
        <v>619</v>
      </c>
      <c r="B344" s="6" t="s">
        <v>620</v>
      </c>
      <c r="C344" s="7" t="s">
        <v>621</v>
      </c>
      <c r="D344" s="6">
        <v>208</v>
      </c>
      <c r="E344" s="8" t="s">
        <v>729</v>
      </c>
      <c r="F344" s="6" t="s">
        <v>718</v>
      </c>
      <c r="G344" s="33" t="s">
        <v>30</v>
      </c>
    </row>
    <row r="345" spans="1:7" ht="14" x14ac:dyDescent="0.15">
      <c r="A345" s="6" t="s">
        <v>47</v>
      </c>
      <c r="B345" s="6" t="s">
        <v>635</v>
      </c>
      <c r="C345" s="7" t="s">
        <v>636</v>
      </c>
      <c r="D345" s="6">
        <v>2</v>
      </c>
      <c r="E345" s="8" t="s">
        <v>730</v>
      </c>
      <c r="F345" s="6" t="s">
        <v>718</v>
      </c>
      <c r="G345" s="33" t="s">
        <v>513</v>
      </c>
    </row>
    <row r="346" spans="1:7" ht="14" x14ac:dyDescent="0.15">
      <c r="A346" s="6" t="s">
        <v>47</v>
      </c>
      <c r="B346" s="6" t="s">
        <v>635</v>
      </c>
      <c r="C346" s="7" t="s">
        <v>636</v>
      </c>
      <c r="D346" s="6">
        <v>118</v>
      </c>
      <c r="E346" s="8" t="s">
        <v>731</v>
      </c>
      <c r="F346" s="6" t="s">
        <v>718</v>
      </c>
      <c r="G346" s="33" t="s">
        <v>18</v>
      </c>
    </row>
    <row r="347" spans="1:7" ht="28" x14ac:dyDescent="0.15">
      <c r="A347" s="6" t="s">
        <v>127</v>
      </c>
      <c r="B347" s="6" t="s">
        <v>128</v>
      </c>
      <c r="C347" s="7" t="s">
        <v>129</v>
      </c>
      <c r="D347" s="6">
        <v>4</v>
      </c>
      <c r="E347" s="8" t="s">
        <v>732</v>
      </c>
      <c r="F347" s="6" t="s">
        <v>718</v>
      </c>
      <c r="G347" s="33" t="s">
        <v>23</v>
      </c>
    </row>
    <row r="348" spans="1:7" ht="28" x14ac:dyDescent="0.15">
      <c r="A348" s="6" t="s">
        <v>127</v>
      </c>
      <c r="B348" s="6" t="s">
        <v>128</v>
      </c>
      <c r="C348" s="7" t="s">
        <v>129</v>
      </c>
      <c r="D348" s="6">
        <v>84</v>
      </c>
      <c r="E348" s="8" t="s">
        <v>733</v>
      </c>
      <c r="F348" s="6" t="s">
        <v>718</v>
      </c>
      <c r="G348" s="33" t="s">
        <v>30</v>
      </c>
    </row>
    <row r="349" spans="1:7" ht="14" x14ac:dyDescent="0.15">
      <c r="A349" s="6" t="s">
        <v>127</v>
      </c>
      <c r="B349" s="6" t="s">
        <v>128</v>
      </c>
      <c r="C349" s="7" t="s">
        <v>129</v>
      </c>
      <c r="D349" s="6">
        <v>107</v>
      </c>
      <c r="E349" s="8" t="s">
        <v>734</v>
      </c>
      <c r="F349" s="6" t="s">
        <v>718</v>
      </c>
      <c r="G349" s="33" t="s">
        <v>30</v>
      </c>
    </row>
    <row r="350" spans="1:7" ht="14" x14ac:dyDescent="0.15">
      <c r="A350" s="6" t="s">
        <v>127</v>
      </c>
      <c r="B350" s="6" t="s">
        <v>128</v>
      </c>
      <c r="C350" s="7" t="s">
        <v>129</v>
      </c>
      <c r="D350" s="6">
        <v>133</v>
      </c>
      <c r="E350" s="8" t="s">
        <v>735</v>
      </c>
      <c r="F350" s="6" t="s">
        <v>718</v>
      </c>
      <c r="G350" s="33" t="s">
        <v>30</v>
      </c>
    </row>
    <row r="351" spans="1:7" ht="14" x14ac:dyDescent="0.15">
      <c r="A351" s="6" t="s">
        <v>131</v>
      </c>
      <c r="B351" s="6" t="s">
        <v>132</v>
      </c>
      <c r="C351" s="7" t="s">
        <v>133</v>
      </c>
      <c r="D351" s="6">
        <v>18</v>
      </c>
      <c r="E351" s="8" t="s">
        <v>736</v>
      </c>
      <c r="F351" s="6" t="s">
        <v>718</v>
      </c>
      <c r="G351" s="33" t="s">
        <v>18</v>
      </c>
    </row>
    <row r="352" spans="1:7" ht="14" x14ac:dyDescent="0.15">
      <c r="A352" s="6" t="s">
        <v>131</v>
      </c>
      <c r="B352" s="6" t="s">
        <v>132</v>
      </c>
      <c r="C352" s="7" t="s">
        <v>133</v>
      </c>
      <c r="D352" s="6">
        <v>72</v>
      </c>
      <c r="E352" s="8" t="s">
        <v>737</v>
      </c>
      <c r="F352" s="6" t="s">
        <v>718</v>
      </c>
      <c r="G352" s="33" t="s">
        <v>18</v>
      </c>
    </row>
    <row r="353" spans="1:7" ht="14" x14ac:dyDescent="0.15">
      <c r="A353" s="6" t="s">
        <v>131</v>
      </c>
      <c r="B353" s="6" t="s">
        <v>132</v>
      </c>
      <c r="C353" s="7" t="s">
        <v>133</v>
      </c>
      <c r="D353" s="6">
        <v>73</v>
      </c>
      <c r="E353" s="8" t="s">
        <v>738</v>
      </c>
      <c r="F353" s="6" t="s">
        <v>718</v>
      </c>
      <c r="G353" s="33" t="s">
        <v>18</v>
      </c>
    </row>
    <row r="354" spans="1:7" ht="14" x14ac:dyDescent="0.15">
      <c r="A354" s="6" t="s">
        <v>131</v>
      </c>
      <c r="B354" s="6" t="s">
        <v>132</v>
      </c>
      <c r="C354" s="7" t="s">
        <v>133</v>
      </c>
      <c r="D354" s="6">
        <v>77</v>
      </c>
      <c r="E354" s="8" t="s">
        <v>739</v>
      </c>
      <c r="F354" s="6" t="s">
        <v>718</v>
      </c>
      <c r="G354" s="33" t="s">
        <v>136</v>
      </c>
    </row>
    <row r="355" spans="1:7" ht="14" x14ac:dyDescent="0.15">
      <c r="A355" s="6" t="s">
        <v>131</v>
      </c>
      <c r="B355" s="6" t="s">
        <v>132</v>
      </c>
      <c r="C355" s="7" t="s">
        <v>133</v>
      </c>
      <c r="D355" s="6">
        <v>86</v>
      </c>
      <c r="E355" s="8" t="s">
        <v>740</v>
      </c>
      <c r="F355" s="6" t="s">
        <v>718</v>
      </c>
      <c r="G355" s="33" t="s">
        <v>30</v>
      </c>
    </row>
    <row r="356" spans="1:7" ht="28" x14ac:dyDescent="0.15">
      <c r="A356" s="6" t="s">
        <v>131</v>
      </c>
      <c r="B356" s="6" t="s">
        <v>132</v>
      </c>
      <c r="C356" s="7" t="s">
        <v>133</v>
      </c>
      <c r="D356" s="6">
        <v>117</v>
      </c>
      <c r="E356" s="8" t="s">
        <v>741</v>
      </c>
      <c r="F356" s="6" t="s">
        <v>718</v>
      </c>
      <c r="G356" s="33" t="s">
        <v>30</v>
      </c>
    </row>
    <row r="357" spans="1:7" ht="14" x14ac:dyDescent="0.15">
      <c r="A357" s="6" t="s">
        <v>742</v>
      </c>
      <c r="B357" s="6" t="s">
        <v>743</v>
      </c>
      <c r="C357" s="7" t="s">
        <v>744</v>
      </c>
      <c r="D357" s="6">
        <v>5</v>
      </c>
      <c r="E357" s="8" t="s">
        <v>745</v>
      </c>
      <c r="F357" s="6" t="s">
        <v>718</v>
      </c>
      <c r="G357" s="33" t="s">
        <v>18</v>
      </c>
    </row>
    <row r="358" spans="1:7" ht="14" x14ac:dyDescent="0.15">
      <c r="A358" s="6" t="s">
        <v>742</v>
      </c>
      <c r="B358" s="6" t="s">
        <v>743</v>
      </c>
      <c r="C358" s="7" t="s">
        <v>744</v>
      </c>
      <c r="D358" s="6">
        <v>6</v>
      </c>
      <c r="E358" s="8" t="s">
        <v>746</v>
      </c>
      <c r="F358" s="6" t="s">
        <v>718</v>
      </c>
      <c r="G358" s="33" t="s">
        <v>30</v>
      </c>
    </row>
    <row r="359" spans="1:7" ht="14" x14ac:dyDescent="0.15">
      <c r="A359" s="6" t="s">
        <v>742</v>
      </c>
      <c r="B359" s="6" t="s">
        <v>743</v>
      </c>
      <c r="C359" s="7" t="s">
        <v>744</v>
      </c>
      <c r="D359" s="6">
        <v>7</v>
      </c>
      <c r="E359" s="8" t="s">
        <v>747</v>
      </c>
      <c r="F359" s="6" t="s">
        <v>718</v>
      </c>
      <c r="G359" s="33" t="s">
        <v>83</v>
      </c>
    </row>
    <row r="360" spans="1:7" ht="14" x14ac:dyDescent="0.15">
      <c r="A360" s="6" t="s">
        <v>742</v>
      </c>
      <c r="B360" s="6" t="s">
        <v>743</v>
      </c>
      <c r="C360" s="7" t="s">
        <v>744</v>
      </c>
      <c r="D360" s="6">
        <v>8</v>
      </c>
      <c r="E360" s="8" t="s">
        <v>748</v>
      </c>
      <c r="F360" s="6" t="s">
        <v>718</v>
      </c>
      <c r="G360" s="33" t="s">
        <v>30</v>
      </c>
    </row>
    <row r="361" spans="1:7" ht="28" x14ac:dyDescent="0.15">
      <c r="A361" s="6" t="s">
        <v>140</v>
      </c>
      <c r="B361" s="6" t="s">
        <v>141</v>
      </c>
      <c r="C361" s="7" t="s">
        <v>142</v>
      </c>
      <c r="D361" s="6">
        <v>6</v>
      </c>
      <c r="E361" s="8" t="s">
        <v>749</v>
      </c>
      <c r="F361" s="6" t="s">
        <v>718</v>
      </c>
      <c r="G361" s="33" t="s">
        <v>30</v>
      </c>
    </row>
    <row r="362" spans="1:7" ht="14" x14ac:dyDescent="0.15">
      <c r="A362" s="6" t="s">
        <v>140</v>
      </c>
      <c r="B362" s="6" t="s">
        <v>141</v>
      </c>
      <c r="C362" s="7" t="s">
        <v>142</v>
      </c>
      <c r="D362" s="6">
        <v>87</v>
      </c>
      <c r="E362" s="8" t="s">
        <v>750</v>
      </c>
      <c r="F362" s="6" t="s">
        <v>718</v>
      </c>
      <c r="G362" s="33" t="s">
        <v>513</v>
      </c>
    </row>
    <row r="363" spans="1:7" ht="14" x14ac:dyDescent="0.15">
      <c r="A363" s="6" t="s">
        <v>149</v>
      </c>
      <c r="B363" s="6" t="s">
        <v>150</v>
      </c>
      <c r="C363" s="7" t="s">
        <v>151</v>
      </c>
      <c r="D363" s="6">
        <v>22</v>
      </c>
      <c r="E363" s="8" t="s">
        <v>751</v>
      </c>
      <c r="F363" s="6" t="s">
        <v>718</v>
      </c>
      <c r="G363" s="33" t="s">
        <v>136</v>
      </c>
    </row>
    <row r="364" spans="1:7" ht="14" x14ac:dyDescent="0.15">
      <c r="A364" s="6" t="s">
        <v>149</v>
      </c>
      <c r="B364" s="6" t="s">
        <v>150</v>
      </c>
      <c r="C364" s="7" t="s">
        <v>151</v>
      </c>
      <c r="D364" s="6">
        <v>50</v>
      </c>
      <c r="E364" s="8" t="s">
        <v>752</v>
      </c>
      <c r="F364" s="6" t="s">
        <v>718</v>
      </c>
      <c r="G364" s="33" t="s">
        <v>67</v>
      </c>
    </row>
    <row r="365" spans="1:7" ht="14" x14ac:dyDescent="0.15">
      <c r="A365" s="6" t="s">
        <v>149</v>
      </c>
      <c r="B365" s="6" t="s">
        <v>150</v>
      </c>
      <c r="C365" s="7" t="s">
        <v>151</v>
      </c>
      <c r="D365" s="6">
        <v>71</v>
      </c>
      <c r="E365" s="8" t="s">
        <v>753</v>
      </c>
      <c r="F365" s="6" t="s">
        <v>718</v>
      </c>
      <c r="G365" s="33" t="s">
        <v>18</v>
      </c>
    </row>
    <row r="366" spans="1:7" ht="14" x14ac:dyDescent="0.15">
      <c r="A366" s="6" t="s">
        <v>153</v>
      </c>
      <c r="B366" s="6" t="s">
        <v>153</v>
      </c>
      <c r="C366" s="7" t="s">
        <v>154</v>
      </c>
      <c r="D366" s="6">
        <v>19</v>
      </c>
      <c r="E366" s="8" t="s">
        <v>754</v>
      </c>
      <c r="F366" s="6" t="s">
        <v>718</v>
      </c>
      <c r="G366" s="33" t="s">
        <v>18</v>
      </c>
    </row>
    <row r="367" spans="1:7" ht="14" x14ac:dyDescent="0.15">
      <c r="A367" s="6" t="s">
        <v>153</v>
      </c>
      <c r="B367" s="6" t="s">
        <v>153</v>
      </c>
      <c r="C367" s="7" t="s">
        <v>154</v>
      </c>
      <c r="D367" s="6">
        <v>67</v>
      </c>
      <c r="E367" s="8" t="s">
        <v>755</v>
      </c>
      <c r="F367" s="6" t="s">
        <v>718</v>
      </c>
      <c r="G367" s="33" t="s">
        <v>23</v>
      </c>
    </row>
    <row r="368" spans="1:7" ht="14" x14ac:dyDescent="0.15">
      <c r="A368" s="6" t="s">
        <v>153</v>
      </c>
      <c r="B368" s="6" t="s">
        <v>153</v>
      </c>
      <c r="C368" s="7" t="s">
        <v>154</v>
      </c>
      <c r="D368" s="6">
        <v>83</v>
      </c>
      <c r="E368" s="8" t="s">
        <v>756</v>
      </c>
      <c r="F368" s="6" t="s">
        <v>718</v>
      </c>
      <c r="G368" s="33" t="s">
        <v>30</v>
      </c>
    </row>
    <row r="369" spans="1:7" ht="14" x14ac:dyDescent="0.15">
      <c r="A369" s="6" t="s">
        <v>153</v>
      </c>
      <c r="B369" s="6" t="s">
        <v>153</v>
      </c>
      <c r="C369" s="7" t="s">
        <v>154</v>
      </c>
      <c r="D369" s="6">
        <v>130</v>
      </c>
      <c r="E369" s="8" t="s">
        <v>757</v>
      </c>
      <c r="F369" s="6" t="s">
        <v>718</v>
      </c>
      <c r="G369" s="33" t="s">
        <v>18</v>
      </c>
    </row>
    <row r="370" spans="1:7" ht="14" x14ac:dyDescent="0.15">
      <c r="A370" s="6" t="s">
        <v>153</v>
      </c>
      <c r="B370" s="6" t="s">
        <v>153</v>
      </c>
      <c r="C370" s="7" t="s">
        <v>154</v>
      </c>
      <c r="D370" s="6">
        <v>133</v>
      </c>
      <c r="E370" s="8" t="s">
        <v>758</v>
      </c>
      <c r="F370" s="6" t="s">
        <v>718</v>
      </c>
      <c r="G370" s="33" t="s">
        <v>513</v>
      </c>
    </row>
    <row r="371" spans="1:7" ht="14" x14ac:dyDescent="0.15">
      <c r="A371" s="6" t="s">
        <v>153</v>
      </c>
      <c r="B371" s="6" t="s">
        <v>153</v>
      </c>
      <c r="C371" s="7" t="s">
        <v>154</v>
      </c>
      <c r="D371" s="6">
        <v>165</v>
      </c>
      <c r="E371" s="8" t="s">
        <v>759</v>
      </c>
      <c r="F371" s="6" t="s">
        <v>718</v>
      </c>
      <c r="G371" s="33" t="s">
        <v>88</v>
      </c>
    </row>
    <row r="372" spans="1:7" ht="14" x14ac:dyDescent="0.15">
      <c r="A372" s="6" t="s">
        <v>153</v>
      </c>
      <c r="B372" s="6" t="s">
        <v>153</v>
      </c>
      <c r="C372" s="7" t="s">
        <v>154</v>
      </c>
      <c r="D372" s="6">
        <v>192</v>
      </c>
      <c r="E372" s="8" t="s">
        <v>760</v>
      </c>
      <c r="F372" s="6" t="s">
        <v>718</v>
      </c>
      <c r="G372" s="33" t="s">
        <v>77</v>
      </c>
    </row>
    <row r="373" spans="1:7" ht="14" x14ac:dyDescent="0.15">
      <c r="A373" s="6" t="s">
        <v>153</v>
      </c>
      <c r="B373" s="6" t="s">
        <v>153</v>
      </c>
      <c r="C373" s="7" t="s">
        <v>154</v>
      </c>
      <c r="D373" s="6">
        <v>197</v>
      </c>
      <c r="E373" s="8" t="s">
        <v>761</v>
      </c>
      <c r="F373" s="6" t="s">
        <v>718</v>
      </c>
      <c r="G373" s="33" t="s">
        <v>77</v>
      </c>
    </row>
    <row r="374" spans="1:7" ht="14" x14ac:dyDescent="0.15">
      <c r="A374" s="6" t="s">
        <v>666</v>
      </c>
      <c r="B374" s="6" t="s">
        <v>667</v>
      </c>
      <c r="C374" s="7" t="s">
        <v>668</v>
      </c>
      <c r="D374" s="6">
        <v>37</v>
      </c>
      <c r="E374" s="8" t="s">
        <v>762</v>
      </c>
      <c r="F374" s="6" t="s">
        <v>718</v>
      </c>
      <c r="G374" s="33" t="s">
        <v>12</v>
      </c>
    </row>
    <row r="375" spans="1:7" ht="14" x14ac:dyDescent="0.15">
      <c r="A375" s="6" t="s">
        <v>666</v>
      </c>
      <c r="B375" s="6" t="s">
        <v>667</v>
      </c>
      <c r="C375" s="7" t="s">
        <v>668</v>
      </c>
      <c r="D375" s="6">
        <v>76</v>
      </c>
      <c r="E375" s="8" t="s">
        <v>763</v>
      </c>
      <c r="F375" s="6" t="s">
        <v>718</v>
      </c>
      <c r="G375" s="33" t="s">
        <v>77</v>
      </c>
    </row>
    <row r="376" spans="1:7" ht="28" x14ac:dyDescent="0.15">
      <c r="A376" s="6" t="s">
        <v>666</v>
      </c>
      <c r="B376" s="6" t="s">
        <v>667</v>
      </c>
      <c r="C376" s="7" t="s">
        <v>668</v>
      </c>
      <c r="D376" s="6">
        <v>105</v>
      </c>
      <c r="E376" s="8" t="s">
        <v>764</v>
      </c>
      <c r="F376" s="6" t="s">
        <v>718</v>
      </c>
      <c r="G376" s="33" t="s">
        <v>67</v>
      </c>
    </row>
    <row r="377" spans="1:7" ht="14" x14ac:dyDescent="0.15">
      <c r="A377" s="6" t="s">
        <v>670</v>
      </c>
      <c r="B377" s="6" t="s">
        <v>671</v>
      </c>
      <c r="C377" s="7" t="s">
        <v>672</v>
      </c>
      <c r="D377" s="6">
        <v>19</v>
      </c>
      <c r="E377" s="8" t="s">
        <v>765</v>
      </c>
      <c r="F377" s="6" t="s">
        <v>718</v>
      </c>
      <c r="G377" s="33" t="s">
        <v>30</v>
      </c>
    </row>
    <row r="378" spans="1:7" ht="14" x14ac:dyDescent="0.15">
      <c r="A378" s="6" t="s">
        <v>670</v>
      </c>
      <c r="B378" s="6" t="s">
        <v>671</v>
      </c>
      <c r="C378" s="7" t="s">
        <v>672</v>
      </c>
      <c r="D378" s="6">
        <v>21</v>
      </c>
      <c r="E378" s="8" t="s">
        <v>766</v>
      </c>
      <c r="F378" s="6" t="s">
        <v>718</v>
      </c>
      <c r="G378" s="33" t="s">
        <v>18</v>
      </c>
    </row>
    <row r="379" spans="1:7" ht="14" x14ac:dyDescent="0.15">
      <c r="A379" s="6" t="s">
        <v>156</v>
      </c>
      <c r="B379" s="6" t="s">
        <v>159</v>
      </c>
      <c r="C379" s="7" t="s">
        <v>160</v>
      </c>
      <c r="D379" s="6">
        <v>39</v>
      </c>
      <c r="E379" s="8" t="s">
        <v>767</v>
      </c>
      <c r="F379" s="6" t="s">
        <v>718</v>
      </c>
      <c r="G379" s="33" t="s">
        <v>12</v>
      </c>
    </row>
    <row r="380" spans="1:7" ht="28" x14ac:dyDescent="0.15">
      <c r="A380" s="6" t="s">
        <v>164</v>
      </c>
      <c r="B380" s="6" t="s">
        <v>165</v>
      </c>
      <c r="C380" s="7" t="s">
        <v>166</v>
      </c>
      <c r="D380" s="6">
        <v>16</v>
      </c>
      <c r="E380" s="8" t="s">
        <v>768</v>
      </c>
      <c r="F380" s="6" t="s">
        <v>718</v>
      </c>
      <c r="G380" s="33" t="s">
        <v>30</v>
      </c>
    </row>
    <row r="381" spans="1:7" ht="28" x14ac:dyDescent="0.15">
      <c r="A381" s="6" t="s">
        <v>164</v>
      </c>
      <c r="B381" s="6" t="s">
        <v>165</v>
      </c>
      <c r="C381" s="7" t="s">
        <v>166</v>
      </c>
      <c r="D381" s="6">
        <v>42</v>
      </c>
      <c r="E381" s="8" t="s">
        <v>769</v>
      </c>
      <c r="F381" s="6" t="s">
        <v>718</v>
      </c>
      <c r="G381" s="33" t="s">
        <v>136</v>
      </c>
    </row>
    <row r="382" spans="1:7" ht="28" x14ac:dyDescent="0.15">
      <c r="A382" s="6" t="s">
        <v>164</v>
      </c>
      <c r="B382" s="6" t="s">
        <v>165</v>
      </c>
      <c r="C382" s="7" t="s">
        <v>166</v>
      </c>
      <c r="D382" s="6">
        <v>46</v>
      </c>
      <c r="E382" s="8" t="s">
        <v>770</v>
      </c>
      <c r="F382" s="6" t="s">
        <v>718</v>
      </c>
      <c r="G382" s="33" t="s">
        <v>30</v>
      </c>
    </row>
    <row r="383" spans="1:7" ht="14" x14ac:dyDescent="0.15">
      <c r="A383" s="6" t="s">
        <v>164</v>
      </c>
      <c r="B383" s="6" t="s">
        <v>165</v>
      </c>
      <c r="C383" s="7" t="s">
        <v>166</v>
      </c>
      <c r="D383" s="6">
        <v>48</v>
      </c>
      <c r="E383" s="8" t="s">
        <v>771</v>
      </c>
      <c r="F383" s="6" t="s">
        <v>718</v>
      </c>
      <c r="G383" s="33" t="s">
        <v>30</v>
      </c>
    </row>
    <row r="384" spans="1:7" ht="42" x14ac:dyDescent="0.15">
      <c r="A384" s="6" t="s">
        <v>164</v>
      </c>
      <c r="B384" s="6" t="s">
        <v>165</v>
      </c>
      <c r="C384" s="7" t="s">
        <v>166</v>
      </c>
      <c r="D384" s="6">
        <v>64</v>
      </c>
      <c r="E384" s="8" t="s">
        <v>772</v>
      </c>
      <c r="F384" s="6" t="s">
        <v>718</v>
      </c>
      <c r="G384" s="33" t="s">
        <v>30</v>
      </c>
    </row>
    <row r="385" spans="1:7" ht="28" x14ac:dyDescent="0.15">
      <c r="A385" s="6" t="s">
        <v>164</v>
      </c>
      <c r="B385" s="6" t="s">
        <v>165</v>
      </c>
      <c r="C385" s="7" t="s">
        <v>166</v>
      </c>
      <c r="D385" s="6">
        <v>71</v>
      </c>
      <c r="E385" s="8" t="s">
        <v>773</v>
      </c>
      <c r="F385" s="6" t="s">
        <v>718</v>
      </c>
      <c r="G385" s="33" t="s">
        <v>30</v>
      </c>
    </row>
    <row r="386" spans="1:7" ht="14" x14ac:dyDescent="0.15">
      <c r="A386" s="6" t="s">
        <v>164</v>
      </c>
      <c r="B386" s="6" t="s">
        <v>165</v>
      </c>
      <c r="C386" s="7" t="s">
        <v>166</v>
      </c>
      <c r="D386" s="6">
        <v>76</v>
      </c>
      <c r="E386" s="8" t="s">
        <v>774</v>
      </c>
      <c r="F386" s="6" t="s">
        <v>718</v>
      </c>
      <c r="G386" s="33" t="s">
        <v>30</v>
      </c>
    </row>
    <row r="387" spans="1:7" ht="14" x14ac:dyDescent="0.15">
      <c r="A387" s="6" t="s">
        <v>164</v>
      </c>
      <c r="B387" s="6" t="s">
        <v>165</v>
      </c>
      <c r="C387" s="7" t="s">
        <v>166</v>
      </c>
      <c r="D387" s="6">
        <v>103</v>
      </c>
      <c r="E387" s="8" t="s">
        <v>775</v>
      </c>
      <c r="F387" s="6" t="s">
        <v>718</v>
      </c>
      <c r="G387" s="33" t="s">
        <v>115</v>
      </c>
    </row>
    <row r="388" spans="1:7" ht="28" x14ac:dyDescent="0.15">
      <c r="A388" s="6" t="s">
        <v>164</v>
      </c>
      <c r="B388" s="6" t="s">
        <v>165</v>
      </c>
      <c r="C388" s="7" t="s">
        <v>166</v>
      </c>
      <c r="D388" s="6">
        <v>154</v>
      </c>
      <c r="E388" s="8" t="s">
        <v>776</v>
      </c>
      <c r="F388" s="6" t="s">
        <v>718</v>
      </c>
      <c r="G388" s="33" t="s">
        <v>30</v>
      </c>
    </row>
    <row r="389" spans="1:7" ht="14" x14ac:dyDescent="0.15">
      <c r="A389" s="6" t="s">
        <v>164</v>
      </c>
      <c r="B389" s="6" t="s">
        <v>165</v>
      </c>
      <c r="C389" s="7" t="s">
        <v>166</v>
      </c>
      <c r="D389" s="6">
        <v>157</v>
      </c>
      <c r="E389" s="8" t="s">
        <v>777</v>
      </c>
      <c r="F389" s="6" t="s">
        <v>718</v>
      </c>
      <c r="G389" s="33" t="s">
        <v>30</v>
      </c>
    </row>
    <row r="390" spans="1:7" ht="14" x14ac:dyDescent="0.15">
      <c r="A390" s="6" t="s">
        <v>164</v>
      </c>
      <c r="B390" s="6" t="s">
        <v>165</v>
      </c>
      <c r="C390" s="7" t="s">
        <v>166</v>
      </c>
      <c r="D390" s="6">
        <v>173</v>
      </c>
      <c r="E390" s="8" t="s">
        <v>778</v>
      </c>
      <c r="F390" s="6" t="s">
        <v>718</v>
      </c>
      <c r="G390" s="33" t="s">
        <v>30</v>
      </c>
    </row>
    <row r="391" spans="1:7" ht="14" x14ac:dyDescent="0.15">
      <c r="A391" s="6" t="s">
        <v>779</v>
      </c>
      <c r="B391" s="6" t="s">
        <v>780</v>
      </c>
      <c r="C391" s="7" t="s">
        <v>781</v>
      </c>
      <c r="D391" s="6">
        <v>85</v>
      </c>
      <c r="E391" s="8" t="s">
        <v>782</v>
      </c>
      <c r="F391" s="6" t="s">
        <v>718</v>
      </c>
      <c r="G391" s="33" t="s">
        <v>23</v>
      </c>
    </row>
    <row r="392" spans="1:7" ht="14" x14ac:dyDescent="0.15">
      <c r="A392" s="6" t="s">
        <v>105</v>
      </c>
      <c r="B392" s="6" t="s">
        <v>106</v>
      </c>
      <c r="C392" s="7" t="s">
        <v>107</v>
      </c>
      <c r="D392" s="6">
        <v>95</v>
      </c>
      <c r="E392" s="8" t="s">
        <v>783</v>
      </c>
      <c r="F392" s="6" t="s">
        <v>718</v>
      </c>
      <c r="G392" s="33" t="s">
        <v>18</v>
      </c>
    </row>
    <row r="393" spans="1:7" ht="14" x14ac:dyDescent="0.15">
      <c r="A393" s="6" t="s">
        <v>185</v>
      </c>
      <c r="B393" s="6" t="s">
        <v>186</v>
      </c>
      <c r="C393" s="7" t="s">
        <v>187</v>
      </c>
      <c r="D393" s="6">
        <v>36</v>
      </c>
      <c r="E393" s="8" t="s">
        <v>784</v>
      </c>
      <c r="F393" s="6" t="s">
        <v>718</v>
      </c>
      <c r="G393" s="33" t="s">
        <v>136</v>
      </c>
    </row>
    <row r="394" spans="1:7" ht="14" x14ac:dyDescent="0.15">
      <c r="A394" s="6" t="s">
        <v>185</v>
      </c>
      <c r="B394" s="6" t="s">
        <v>186</v>
      </c>
      <c r="C394" s="7" t="s">
        <v>187</v>
      </c>
      <c r="D394" s="6">
        <v>54</v>
      </c>
      <c r="E394" s="8" t="s">
        <v>785</v>
      </c>
      <c r="F394" s="6" t="s">
        <v>718</v>
      </c>
      <c r="G394" s="33" t="s">
        <v>136</v>
      </c>
    </row>
    <row r="395" spans="1:7" ht="14" x14ac:dyDescent="0.15">
      <c r="A395" s="6" t="s">
        <v>185</v>
      </c>
      <c r="B395" s="6" t="s">
        <v>189</v>
      </c>
      <c r="C395" s="7" t="s">
        <v>190</v>
      </c>
      <c r="D395" s="6">
        <v>63</v>
      </c>
      <c r="E395" s="8" t="s">
        <v>786</v>
      </c>
      <c r="F395" s="6" t="s">
        <v>718</v>
      </c>
      <c r="G395" s="33" t="s">
        <v>136</v>
      </c>
    </row>
    <row r="396" spans="1:7" ht="14" x14ac:dyDescent="0.15">
      <c r="A396" s="6" t="s">
        <v>185</v>
      </c>
      <c r="B396" s="6" t="s">
        <v>787</v>
      </c>
      <c r="C396" s="7" t="s">
        <v>788</v>
      </c>
      <c r="D396" s="6">
        <v>16</v>
      </c>
      <c r="E396" s="8" t="s">
        <v>789</v>
      </c>
      <c r="F396" s="6" t="s">
        <v>718</v>
      </c>
      <c r="G396" s="33" t="s">
        <v>23</v>
      </c>
    </row>
    <row r="397" spans="1:7" ht="14" x14ac:dyDescent="0.15">
      <c r="A397" s="6" t="s">
        <v>192</v>
      </c>
      <c r="B397" s="6" t="s">
        <v>192</v>
      </c>
      <c r="C397" s="7" t="s">
        <v>193</v>
      </c>
      <c r="D397" s="6">
        <v>11</v>
      </c>
      <c r="E397" s="8" t="s">
        <v>790</v>
      </c>
      <c r="F397" s="6" t="s">
        <v>718</v>
      </c>
      <c r="G397" s="33" t="s">
        <v>30</v>
      </c>
    </row>
    <row r="398" spans="1:7" ht="14" x14ac:dyDescent="0.15">
      <c r="A398" s="6" t="s">
        <v>791</v>
      </c>
      <c r="B398" s="6" t="s">
        <v>792</v>
      </c>
      <c r="C398" s="7" t="s">
        <v>793</v>
      </c>
      <c r="D398" s="6">
        <v>45</v>
      </c>
      <c r="E398" s="8" t="s">
        <v>794</v>
      </c>
      <c r="F398" s="6" t="s">
        <v>718</v>
      </c>
      <c r="G398" s="33" t="s">
        <v>18</v>
      </c>
    </row>
    <row r="399" spans="1:7" ht="42" x14ac:dyDescent="0.15">
      <c r="A399" s="6" t="s">
        <v>73</v>
      </c>
      <c r="B399" s="6" t="s">
        <v>74</v>
      </c>
      <c r="C399" s="7" t="s">
        <v>75</v>
      </c>
      <c r="D399" s="6">
        <v>81</v>
      </c>
      <c r="E399" s="8" t="s">
        <v>795</v>
      </c>
      <c r="F399" s="6" t="s">
        <v>718</v>
      </c>
      <c r="G399" s="33" t="s">
        <v>30</v>
      </c>
    </row>
    <row r="400" spans="1:7" ht="14" x14ac:dyDescent="0.15">
      <c r="A400" s="6" t="s">
        <v>73</v>
      </c>
      <c r="B400" s="6" t="s">
        <v>74</v>
      </c>
      <c r="C400" s="7" t="s">
        <v>75</v>
      </c>
      <c r="D400" s="6">
        <v>180</v>
      </c>
      <c r="E400" s="8" t="s">
        <v>796</v>
      </c>
      <c r="F400" s="6" t="s">
        <v>718</v>
      </c>
      <c r="G400" s="33" t="s">
        <v>23</v>
      </c>
    </row>
    <row r="401" spans="1:7" ht="28" x14ac:dyDescent="0.15">
      <c r="A401" s="6" t="s">
        <v>73</v>
      </c>
      <c r="B401" s="6" t="s">
        <v>74</v>
      </c>
      <c r="C401" s="7" t="s">
        <v>75</v>
      </c>
      <c r="D401" s="6">
        <v>182</v>
      </c>
      <c r="E401" s="8" t="s">
        <v>797</v>
      </c>
      <c r="F401" s="6" t="s">
        <v>718</v>
      </c>
      <c r="G401" s="33" t="s">
        <v>67</v>
      </c>
    </row>
    <row r="402" spans="1:7" ht="14" x14ac:dyDescent="0.15">
      <c r="A402" s="6" t="s">
        <v>201</v>
      </c>
      <c r="B402" s="6" t="s">
        <v>202</v>
      </c>
      <c r="C402" s="7" t="s">
        <v>203</v>
      </c>
      <c r="D402" s="6">
        <v>7</v>
      </c>
      <c r="E402" s="8" t="s">
        <v>798</v>
      </c>
      <c r="F402" s="6" t="s">
        <v>718</v>
      </c>
      <c r="G402" s="33" t="s">
        <v>18</v>
      </c>
    </row>
    <row r="403" spans="1:7" ht="14" x14ac:dyDescent="0.15">
      <c r="A403" s="6" t="s">
        <v>201</v>
      </c>
      <c r="B403" s="6" t="s">
        <v>202</v>
      </c>
      <c r="C403" s="7" t="s">
        <v>203</v>
      </c>
      <c r="D403" s="6">
        <v>8</v>
      </c>
      <c r="E403" s="8" t="s">
        <v>799</v>
      </c>
      <c r="F403" s="6" t="s">
        <v>718</v>
      </c>
      <c r="G403" s="33" t="s">
        <v>18</v>
      </c>
    </row>
    <row r="404" spans="1:7" ht="14" x14ac:dyDescent="0.15">
      <c r="A404" s="6" t="s">
        <v>201</v>
      </c>
      <c r="B404" s="6" t="s">
        <v>202</v>
      </c>
      <c r="C404" s="7" t="s">
        <v>203</v>
      </c>
      <c r="D404" s="6">
        <v>9</v>
      </c>
      <c r="E404" s="8" t="s">
        <v>800</v>
      </c>
      <c r="F404" s="6" t="s">
        <v>718</v>
      </c>
      <c r="G404" s="33" t="s">
        <v>115</v>
      </c>
    </row>
    <row r="405" spans="1:7" ht="14" x14ac:dyDescent="0.15">
      <c r="A405" s="6" t="s">
        <v>7</v>
      </c>
      <c r="B405" s="6" t="s">
        <v>8</v>
      </c>
      <c r="C405" s="7" t="s">
        <v>9</v>
      </c>
      <c r="D405" s="6">
        <v>32</v>
      </c>
      <c r="E405" s="8" t="s">
        <v>801</v>
      </c>
      <c r="F405" s="6" t="s">
        <v>718</v>
      </c>
      <c r="G405" s="33" t="s">
        <v>12</v>
      </c>
    </row>
    <row r="406" spans="1:7" ht="14" x14ac:dyDescent="0.15">
      <c r="A406" s="6" t="s">
        <v>7</v>
      </c>
      <c r="B406" s="6" t="s">
        <v>8</v>
      </c>
      <c r="C406" s="7" t="s">
        <v>9</v>
      </c>
      <c r="D406" s="6">
        <v>35</v>
      </c>
      <c r="E406" s="8" t="s">
        <v>802</v>
      </c>
      <c r="F406" s="6" t="s">
        <v>718</v>
      </c>
      <c r="G406" s="33" t="s">
        <v>12</v>
      </c>
    </row>
    <row r="407" spans="1:7" ht="14" x14ac:dyDescent="0.15">
      <c r="A407" s="6" t="s">
        <v>7</v>
      </c>
      <c r="B407" s="6" t="s">
        <v>8</v>
      </c>
      <c r="C407" s="7" t="s">
        <v>9</v>
      </c>
      <c r="D407" s="6">
        <v>49</v>
      </c>
      <c r="E407" s="8" t="s">
        <v>803</v>
      </c>
      <c r="F407" s="6" t="s">
        <v>718</v>
      </c>
      <c r="G407" s="33" t="s">
        <v>18</v>
      </c>
    </row>
    <row r="408" spans="1:7" ht="28" x14ac:dyDescent="0.15">
      <c r="A408" s="6" t="s">
        <v>7</v>
      </c>
      <c r="B408" s="6" t="s">
        <v>8</v>
      </c>
      <c r="C408" s="7" t="s">
        <v>9</v>
      </c>
      <c r="D408" s="6">
        <v>80</v>
      </c>
      <c r="E408" s="8" t="s">
        <v>804</v>
      </c>
      <c r="F408" s="6" t="s">
        <v>718</v>
      </c>
      <c r="G408" s="33" t="s">
        <v>23</v>
      </c>
    </row>
    <row r="409" spans="1:7" ht="14" x14ac:dyDescent="0.15">
      <c r="A409" s="6" t="s">
        <v>7</v>
      </c>
      <c r="B409" s="6" t="s">
        <v>8</v>
      </c>
      <c r="C409" s="7" t="s">
        <v>9</v>
      </c>
      <c r="D409" s="6">
        <v>85</v>
      </c>
      <c r="E409" s="8" t="s">
        <v>805</v>
      </c>
      <c r="F409" s="6" t="s">
        <v>718</v>
      </c>
      <c r="G409" s="33" t="s">
        <v>83</v>
      </c>
    </row>
    <row r="410" spans="1:7" ht="14" x14ac:dyDescent="0.15">
      <c r="A410" s="6" t="s">
        <v>7</v>
      </c>
      <c r="B410" s="6" t="s">
        <v>8</v>
      </c>
      <c r="C410" s="7" t="s">
        <v>9</v>
      </c>
      <c r="D410" s="6">
        <v>91</v>
      </c>
      <c r="E410" s="8" t="s">
        <v>806</v>
      </c>
      <c r="F410" s="6" t="s">
        <v>718</v>
      </c>
      <c r="G410" s="33" t="s">
        <v>18</v>
      </c>
    </row>
    <row r="411" spans="1:7" ht="14" x14ac:dyDescent="0.15">
      <c r="A411" s="6" t="s">
        <v>221</v>
      </c>
      <c r="B411" s="6" t="s">
        <v>222</v>
      </c>
      <c r="C411" s="7" t="s">
        <v>223</v>
      </c>
      <c r="D411" s="6">
        <v>124</v>
      </c>
      <c r="E411" s="8" t="s">
        <v>807</v>
      </c>
      <c r="F411" s="6" t="s">
        <v>718</v>
      </c>
      <c r="G411" s="33" t="s">
        <v>342</v>
      </c>
    </row>
    <row r="412" spans="1:7" ht="14" x14ac:dyDescent="0.15">
      <c r="A412" s="6" t="s">
        <v>808</v>
      </c>
      <c r="B412" s="6" t="s">
        <v>809</v>
      </c>
      <c r="C412" s="7" t="s">
        <v>810</v>
      </c>
      <c r="D412" s="6">
        <v>97</v>
      </c>
      <c r="E412" s="8" t="s">
        <v>811</v>
      </c>
      <c r="F412" s="6" t="s">
        <v>718</v>
      </c>
      <c r="G412" s="33" t="s">
        <v>136</v>
      </c>
    </row>
    <row r="413" spans="1:7" ht="28" x14ac:dyDescent="0.15">
      <c r="A413" s="6" t="s">
        <v>808</v>
      </c>
      <c r="B413" s="6" t="s">
        <v>812</v>
      </c>
      <c r="C413" s="7" t="s">
        <v>813</v>
      </c>
      <c r="D413" s="6">
        <v>112</v>
      </c>
      <c r="E413" s="8" t="s">
        <v>814</v>
      </c>
      <c r="F413" s="6" t="s">
        <v>718</v>
      </c>
      <c r="G413" s="33" t="s">
        <v>136</v>
      </c>
    </row>
    <row r="414" spans="1:7" ht="28" x14ac:dyDescent="0.15">
      <c r="A414" s="6" t="s">
        <v>599</v>
      </c>
      <c r="B414" s="6" t="s">
        <v>599</v>
      </c>
      <c r="C414" s="7" t="s">
        <v>600</v>
      </c>
      <c r="D414" s="6">
        <v>167</v>
      </c>
      <c r="E414" s="8" t="s">
        <v>815</v>
      </c>
      <c r="F414" s="6" t="s">
        <v>718</v>
      </c>
      <c r="G414" s="33" t="s">
        <v>30</v>
      </c>
    </row>
    <row r="415" spans="1:7" ht="14" x14ac:dyDescent="0.15">
      <c r="A415" s="6" t="s">
        <v>816</v>
      </c>
      <c r="B415" s="6" t="s">
        <v>817</v>
      </c>
      <c r="C415" s="7" t="s">
        <v>818</v>
      </c>
      <c r="D415" s="6">
        <v>2</v>
      </c>
      <c r="E415" s="8" t="s">
        <v>819</v>
      </c>
      <c r="F415" s="6" t="s">
        <v>718</v>
      </c>
      <c r="G415" s="33" t="s">
        <v>23</v>
      </c>
    </row>
    <row r="416" spans="1:7" ht="14" x14ac:dyDescent="0.15">
      <c r="A416" s="6" t="s">
        <v>820</v>
      </c>
      <c r="B416" s="6" t="s">
        <v>821</v>
      </c>
      <c r="C416" s="7" t="s">
        <v>822</v>
      </c>
      <c r="D416" s="6">
        <v>67</v>
      </c>
      <c r="E416" s="8" t="s">
        <v>823</v>
      </c>
      <c r="F416" s="6" t="s">
        <v>718</v>
      </c>
      <c r="G416" s="33" t="s">
        <v>136</v>
      </c>
    </row>
    <row r="417" spans="1:7" ht="14" x14ac:dyDescent="0.15">
      <c r="A417" s="6" t="s">
        <v>820</v>
      </c>
      <c r="B417" s="6" t="s">
        <v>821</v>
      </c>
      <c r="C417" s="7" t="s">
        <v>822</v>
      </c>
      <c r="D417" s="6">
        <v>70</v>
      </c>
      <c r="E417" s="8" t="s">
        <v>824</v>
      </c>
      <c r="F417" s="6" t="s">
        <v>718</v>
      </c>
      <c r="G417" s="33" t="s">
        <v>136</v>
      </c>
    </row>
    <row r="418" spans="1:7" ht="28" x14ac:dyDescent="0.15">
      <c r="A418" s="6" t="s">
        <v>825</v>
      </c>
      <c r="B418" s="6" t="s">
        <v>826</v>
      </c>
      <c r="C418" s="7" t="s">
        <v>827</v>
      </c>
      <c r="D418" s="6">
        <v>15</v>
      </c>
      <c r="E418" s="8" t="s">
        <v>828</v>
      </c>
      <c r="F418" s="6" t="s">
        <v>718</v>
      </c>
      <c r="G418" s="33" t="s">
        <v>12</v>
      </c>
    </row>
    <row r="419" spans="1:7" ht="14" x14ac:dyDescent="0.15">
      <c r="A419" s="6" t="s">
        <v>825</v>
      </c>
      <c r="B419" s="6" t="s">
        <v>826</v>
      </c>
      <c r="C419" s="7" t="s">
        <v>827</v>
      </c>
      <c r="D419" s="6">
        <v>47</v>
      </c>
      <c r="E419" s="8" t="s">
        <v>829</v>
      </c>
      <c r="F419" s="6" t="s">
        <v>718</v>
      </c>
      <c r="G419" s="33" t="s">
        <v>30</v>
      </c>
    </row>
    <row r="420" spans="1:7" ht="14" x14ac:dyDescent="0.15">
      <c r="A420" s="6" t="s">
        <v>825</v>
      </c>
      <c r="B420" s="6" t="s">
        <v>826</v>
      </c>
      <c r="C420" s="7" t="s">
        <v>827</v>
      </c>
      <c r="D420" s="6">
        <v>66</v>
      </c>
      <c r="E420" s="8" t="s">
        <v>830</v>
      </c>
      <c r="F420" s="6" t="s">
        <v>718</v>
      </c>
      <c r="G420" s="33" t="s">
        <v>23</v>
      </c>
    </row>
    <row r="421" spans="1:7" ht="14" x14ac:dyDescent="0.15">
      <c r="A421" s="6" t="s">
        <v>831</v>
      </c>
      <c r="B421" s="6" t="s">
        <v>831</v>
      </c>
      <c r="C421" s="7" t="s">
        <v>832</v>
      </c>
      <c r="D421" s="6">
        <v>7</v>
      </c>
      <c r="E421" s="8" t="s">
        <v>833</v>
      </c>
      <c r="F421" s="6" t="s">
        <v>718</v>
      </c>
      <c r="G421" s="33" t="s">
        <v>115</v>
      </c>
    </row>
    <row r="422" spans="1:7" ht="14" x14ac:dyDescent="0.15">
      <c r="A422" s="6" t="s">
        <v>831</v>
      </c>
      <c r="B422" s="6" t="s">
        <v>831</v>
      </c>
      <c r="C422" s="7" t="s">
        <v>832</v>
      </c>
      <c r="D422" s="6">
        <v>95</v>
      </c>
      <c r="E422" s="8" t="s">
        <v>834</v>
      </c>
      <c r="F422" s="6" t="s">
        <v>718</v>
      </c>
      <c r="G422" s="33" t="s">
        <v>12</v>
      </c>
    </row>
    <row r="423" spans="1:7" ht="28" x14ac:dyDescent="0.15">
      <c r="A423" s="6" t="s">
        <v>831</v>
      </c>
      <c r="B423" s="6" t="s">
        <v>831</v>
      </c>
      <c r="C423" s="7" t="s">
        <v>832</v>
      </c>
      <c r="D423" s="6">
        <v>96</v>
      </c>
      <c r="E423" s="8" t="s">
        <v>835</v>
      </c>
      <c r="F423" s="6" t="s">
        <v>718</v>
      </c>
      <c r="G423" s="33" t="s">
        <v>12</v>
      </c>
    </row>
    <row r="424" spans="1:7" ht="14" x14ac:dyDescent="0.15">
      <c r="A424" s="6" t="s">
        <v>831</v>
      </c>
      <c r="B424" s="6" t="s">
        <v>831</v>
      </c>
      <c r="C424" s="7" t="s">
        <v>832</v>
      </c>
      <c r="D424" s="6">
        <v>126</v>
      </c>
      <c r="E424" s="8" t="s">
        <v>836</v>
      </c>
      <c r="F424" s="6" t="s">
        <v>718</v>
      </c>
      <c r="G424" s="33" t="s">
        <v>18</v>
      </c>
    </row>
    <row r="425" spans="1:7" ht="14" x14ac:dyDescent="0.15">
      <c r="A425" s="6" t="s">
        <v>831</v>
      </c>
      <c r="B425" s="6" t="s">
        <v>831</v>
      </c>
      <c r="C425" s="7" t="s">
        <v>832</v>
      </c>
      <c r="D425" s="6">
        <v>174</v>
      </c>
      <c r="E425" s="8" t="s">
        <v>837</v>
      </c>
      <c r="F425" s="6" t="s">
        <v>718</v>
      </c>
      <c r="G425" s="33" t="s">
        <v>30</v>
      </c>
    </row>
    <row r="426" spans="1:7" ht="14" x14ac:dyDescent="0.15">
      <c r="A426" s="6" t="s">
        <v>831</v>
      </c>
      <c r="B426" s="6" t="s">
        <v>831</v>
      </c>
      <c r="C426" s="7" t="s">
        <v>832</v>
      </c>
      <c r="D426" s="6">
        <v>257</v>
      </c>
      <c r="E426" s="8" t="s">
        <v>838</v>
      </c>
      <c r="F426" s="6" t="s">
        <v>718</v>
      </c>
      <c r="G426" s="33" t="s">
        <v>18</v>
      </c>
    </row>
    <row r="427" spans="1:7" ht="28" x14ac:dyDescent="0.15">
      <c r="A427" s="6" t="s">
        <v>831</v>
      </c>
      <c r="B427" s="6" t="s">
        <v>831</v>
      </c>
      <c r="C427" s="7" t="s">
        <v>832</v>
      </c>
      <c r="D427" s="6">
        <v>258</v>
      </c>
      <c r="E427" s="8" t="s">
        <v>839</v>
      </c>
      <c r="F427" s="6" t="s">
        <v>718</v>
      </c>
      <c r="G427" s="33" t="s">
        <v>18</v>
      </c>
    </row>
    <row r="428" spans="1:7" ht="14" x14ac:dyDescent="0.15">
      <c r="A428" s="6" t="s">
        <v>228</v>
      </c>
      <c r="B428" s="6" t="s">
        <v>229</v>
      </c>
      <c r="C428" s="7" t="s">
        <v>230</v>
      </c>
      <c r="D428" s="6">
        <v>51</v>
      </c>
      <c r="E428" s="8" t="s">
        <v>840</v>
      </c>
      <c r="F428" s="6" t="s">
        <v>718</v>
      </c>
      <c r="G428" s="33" t="s">
        <v>12</v>
      </c>
    </row>
    <row r="429" spans="1:7" ht="14" x14ac:dyDescent="0.15">
      <c r="A429" s="6" t="s">
        <v>228</v>
      </c>
      <c r="B429" s="6" t="s">
        <v>229</v>
      </c>
      <c r="C429" s="7" t="s">
        <v>230</v>
      </c>
      <c r="D429" s="6">
        <v>80</v>
      </c>
      <c r="E429" s="8" t="s">
        <v>841</v>
      </c>
      <c r="F429" s="6" t="s">
        <v>718</v>
      </c>
      <c r="G429" s="33" t="s">
        <v>23</v>
      </c>
    </row>
    <row r="430" spans="1:7" ht="28" x14ac:dyDescent="0.15">
      <c r="A430" s="6" t="s">
        <v>842</v>
      </c>
      <c r="B430" s="6" t="s">
        <v>843</v>
      </c>
      <c r="C430" s="7" t="s">
        <v>844</v>
      </c>
      <c r="D430" s="6">
        <v>11</v>
      </c>
      <c r="E430" s="8" t="s">
        <v>845</v>
      </c>
      <c r="F430" s="6" t="s">
        <v>718</v>
      </c>
      <c r="G430" s="33" t="s">
        <v>18</v>
      </c>
    </row>
    <row r="431" spans="1:7" ht="14" x14ac:dyDescent="0.15">
      <c r="A431" s="6" t="s">
        <v>842</v>
      </c>
      <c r="B431" s="6" t="s">
        <v>843</v>
      </c>
      <c r="C431" s="7" t="s">
        <v>844</v>
      </c>
      <c r="D431" s="6">
        <v>19</v>
      </c>
      <c r="E431" s="8" t="s">
        <v>783</v>
      </c>
      <c r="F431" s="6" t="s">
        <v>718</v>
      </c>
      <c r="G431" s="33" t="s">
        <v>18</v>
      </c>
    </row>
    <row r="432" spans="1:7" ht="14" x14ac:dyDescent="0.15">
      <c r="A432" s="6" t="s">
        <v>846</v>
      </c>
      <c r="B432" s="6" t="s">
        <v>847</v>
      </c>
      <c r="C432" s="7" t="s">
        <v>848</v>
      </c>
      <c r="D432" s="6">
        <v>10</v>
      </c>
      <c r="E432" s="8" t="s">
        <v>849</v>
      </c>
      <c r="F432" s="6" t="s">
        <v>718</v>
      </c>
      <c r="G432" s="33" t="s">
        <v>30</v>
      </c>
    </row>
    <row r="433" spans="1:7" ht="14" x14ac:dyDescent="0.15">
      <c r="A433" s="6" t="s">
        <v>846</v>
      </c>
      <c r="B433" s="6" t="s">
        <v>847</v>
      </c>
      <c r="C433" s="7" t="s">
        <v>848</v>
      </c>
      <c r="D433" s="6">
        <v>13</v>
      </c>
      <c r="E433" s="8" t="s">
        <v>850</v>
      </c>
      <c r="F433" s="6" t="s">
        <v>718</v>
      </c>
      <c r="G433" s="33" t="s">
        <v>115</v>
      </c>
    </row>
    <row r="434" spans="1:7" ht="14" x14ac:dyDescent="0.15">
      <c r="A434" s="6" t="s">
        <v>851</v>
      </c>
      <c r="B434" s="6" t="s">
        <v>852</v>
      </c>
      <c r="C434" s="7" t="s">
        <v>853</v>
      </c>
      <c r="D434" s="6">
        <v>38</v>
      </c>
      <c r="E434" s="8" t="s">
        <v>854</v>
      </c>
      <c r="F434" s="6" t="s">
        <v>718</v>
      </c>
      <c r="G434" s="33" t="s">
        <v>18</v>
      </c>
    </row>
    <row r="435" spans="1:7" ht="14" x14ac:dyDescent="0.15">
      <c r="A435" s="6" t="s">
        <v>851</v>
      </c>
      <c r="B435" s="6" t="s">
        <v>852</v>
      </c>
      <c r="C435" s="7" t="s">
        <v>853</v>
      </c>
      <c r="D435" s="6">
        <v>48</v>
      </c>
      <c r="E435" s="8" t="s">
        <v>855</v>
      </c>
      <c r="F435" s="6" t="s">
        <v>718</v>
      </c>
      <c r="G435" s="33" t="s">
        <v>12</v>
      </c>
    </row>
    <row r="436" spans="1:7" ht="28" x14ac:dyDescent="0.15">
      <c r="A436" s="6" t="s">
        <v>851</v>
      </c>
      <c r="B436" s="6" t="s">
        <v>852</v>
      </c>
      <c r="C436" s="7" t="s">
        <v>853</v>
      </c>
      <c r="D436" s="6">
        <v>52</v>
      </c>
      <c r="E436" s="8" t="s">
        <v>856</v>
      </c>
      <c r="F436" s="6" t="s">
        <v>718</v>
      </c>
      <c r="G436" s="33" t="s">
        <v>18</v>
      </c>
    </row>
    <row r="437" spans="1:7" ht="14" x14ac:dyDescent="0.15">
      <c r="A437" s="6" t="s">
        <v>851</v>
      </c>
      <c r="B437" s="6" t="s">
        <v>852</v>
      </c>
      <c r="C437" s="7" t="s">
        <v>853</v>
      </c>
      <c r="D437" s="6">
        <v>55</v>
      </c>
      <c r="E437" s="8" t="s">
        <v>857</v>
      </c>
      <c r="F437" s="6" t="s">
        <v>718</v>
      </c>
      <c r="G437" s="33" t="s">
        <v>18</v>
      </c>
    </row>
    <row r="438" spans="1:7" ht="14" x14ac:dyDescent="0.15">
      <c r="A438" s="6" t="s">
        <v>851</v>
      </c>
      <c r="B438" s="6" t="s">
        <v>852</v>
      </c>
      <c r="C438" s="7" t="s">
        <v>853</v>
      </c>
      <c r="D438" s="6">
        <v>71</v>
      </c>
      <c r="E438" s="8" t="s">
        <v>858</v>
      </c>
      <c r="F438" s="6" t="s">
        <v>718</v>
      </c>
      <c r="G438" s="33" t="s">
        <v>18</v>
      </c>
    </row>
    <row r="439" spans="1:7" ht="14" x14ac:dyDescent="0.15">
      <c r="A439" s="6" t="s">
        <v>232</v>
      </c>
      <c r="B439" s="6" t="s">
        <v>233</v>
      </c>
      <c r="C439" s="7" t="s">
        <v>234</v>
      </c>
      <c r="D439" s="6">
        <v>62</v>
      </c>
      <c r="E439" s="8" t="s">
        <v>859</v>
      </c>
      <c r="F439" s="6" t="s">
        <v>718</v>
      </c>
      <c r="G439" s="33" t="s">
        <v>30</v>
      </c>
    </row>
    <row r="440" spans="1:7" ht="14" x14ac:dyDescent="0.15">
      <c r="A440" s="6" t="s">
        <v>232</v>
      </c>
      <c r="B440" s="6" t="s">
        <v>233</v>
      </c>
      <c r="C440" s="7" t="s">
        <v>234</v>
      </c>
      <c r="D440" s="6">
        <v>73</v>
      </c>
      <c r="E440" s="8" t="s">
        <v>860</v>
      </c>
      <c r="F440" s="6" t="s">
        <v>718</v>
      </c>
      <c r="G440" s="33" t="s">
        <v>30</v>
      </c>
    </row>
    <row r="441" spans="1:7" ht="14" x14ac:dyDescent="0.15">
      <c r="A441" s="6" t="s">
        <v>232</v>
      </c>
      <c r="B441" s="6" t="s">
        <v>233</v>
      </c>
      <c r="C441" s="7" t="s">
        <v>234</v>
      </c>
      <c r="D441" s="6">
        <v>74</v>
      </c>
      <c r="E441" s="8" t="s">
        <v>861</v>
      </c>
      <c r="F441" s="6" t="s">
        <v>718</v>
      </c>
      <c r="G441" s="33" t="s">
        <v>30</v>
      </c>
    </row>
    <row r="442" spans="1:7" ht="14" x14ac:dyDescent="0.15">
      <c r="A442" s="6" t="s">
        <v>232</v>
      </c>
      <c r="B442" s="6" t="s">
        <v>233</v>
      </c>
      <c r="C442" s="7" t="s">
        <v>234</v>
      </c>
      <c r="D442" s="6">
        <v>76</v>
      </c>
      <c r="E442" s="8" t="s">
        <v>862</v>
      </c>
      <c r="F442" s="6" t="s">
        <v>718</v>
      </c>
      <c r="G442" s="33" t="s">
        <v>83</v>
      </c>
    </row>
    <row r="443" spans="1:7" ht="14" x14ac:dyDescent="0.15">
      <c r="A443" s="6" t="s">
        <v>232</v>
      </c>
      <c r="B443" s="6" t="s">
        <v>233</v>
      </c>
      <c r="C443" s="7" t="s">
        <v>234</v>
      </c>
      <c r="D443" s="6">
        <v>80</v>
      </c>
      <c r="E443" s="8" t="s">
        <v>863</v>
      </c>
      <c r="F443" s="6" t="s">
        <v>718</v>
      </c>
      <c r="G443" s="33" t="s">
        <v>30</v>
      </c>
    </row>
    <row r="444" spans="1:7" ht="14" x14ac:dyDescent="0.15">
      <c r="A444" s="6" t="s">
        <v>232</v>
      </c>
      <c r="B444" s="6" t="s">
        <v>233</v>
      </c>
      <c r="C444" s="7" t="s">
        <v>234</v>
      </c>
      <c r="D444" s="6">
        <v>101</v>
      </c>
      <c r="E444" s="8" t="s">
        <v>864</v>
      </c>
      <c r="F444" s="6" t="s">
        <v>718</v>
      </c>
      <c r="G444" s="33" t="s">
        <v>23</v>
      </c>
    </row>
    <row r="445" spans="1:7" ht="28" x14ac:dyDescent="0.15">
      <c r="A445" s="6" t="s">
        <v>232</v>
      </c>
      <c r="B445" s="6" t="s">
        <v>233</v>
      </c>
      <c r="C445" s="7" t="s">
        <v>234</v>
      </c>
      <c r="D445" s="6">
        <v>176</v>
      </c>
      <c r="E445" s="8" t="s">
        <v>865</v>
      </c>
      <c r="F445" s="6" t="s">
        <v>718</v>
      </c>
      <c r="G445" s="33" t="s">
        <v>30</v>
      </c>
    </row>
    <row r="446" spans="1:7" ht="14" x14ac:dyDescent="0.15">
      <c r="A446" s="6" t="s">
        <v>232</v>
      </c>
      <c r="B446" s="6" t="s">
        <v>233</v>
      </c>
      <c r="C446" s="7" t="s">
        <v>234</v>
      </c>
      <c r="D446" s="6">
        <v>177</v>
      </c>
      <c r="E446" s="8" t="s">
        <v>866</v>
      </c>
      <c r="F446" s="6" t="s">
        <v>718</v>
      </c>
      <c r="G446" s="33" t="s">
        <v>30</v>
      </c>
    </row>
    <row r="447" spans="1:7" ht="56" x14ac:dyDescent="0.15">
      <c r="A447" s="6" t="s">
        <v>867</v>
      </c>
      <c r="B447" s="6" t="s">
        <v>868</v>
      </c>
      <c r="C447" s="7" t="s">
        <v>869</v>
      </c>
      <c r="D447" s="6">
        <v>26</v>
      </c>
      <c r="E447" s="8" t="s">
        <v>870</v>
      </c>
      <c r="F447" s="6" t="s">
        <v>718</v>
      </c>
      <c r="G447" s="33" t="s">
        <v>18</v>
      </c>
    </row>
    <row r="448" spans="1:7" ht="28" x14ac:dyDescent="0.15">
      <c r="A448" s="6" t="s">
        <v>867</v>
      </c>
      <c r="B448" s="6" t="s">
        <v>868</v>
      </c>
      <c r="C448" s="7" t="s">
        <v>869</v>
      </c>
      <c r="D448" s="6">
        <v>30</v>
      </c>
      <c r="E448" s="8" t="s">
        <v>871</v>
      </c>
      <c r="F448" s="6" t="s">
        <v>718</v>
      </c>
      <c r="G448" s="33" t="s">
        <v>30</v>
      </c>
    </row>
    <row r="449" spans="1:7" ht="28" x14ac:dyDescent="0.15">
      <c r="A449" s="6" t="s">
        <v>867</v>
      </c>
      <c r="B449" s="6" t="s">
        <v>868</v>
      </c>
      <c r="C449" s="7" t="s">
        <v>869</v>
      </c>
      <c r="D449" s="6">
        <v>33</v>
      </c>
      <c r="E449" s="8" t="s">
        <v>872</v>
      </c>
      <c r="F449" s="6" t="s">
        <v>718</v>
      </c>
      <c r="G449" s="33" t="s">
        <v>30</v>
      </c>
    </row>
    <row r="450" spans="1:7" ht="28" x14ac:dyDescent="0.15">
      <c r="A450" s="6" t="s">
        <v>867</v>
      </c>
      <c r="B450" s="6" t="s">
        <v>868</v>
      </c>
      <c r="C450" s="7" t="s">
        <v>869</v>
      </c>
      <c r="D450" s="6">
        <v>39</v>
      </c>
      <c r="E450" s="8" t="s">
        <v>873</v>
      </c>
      <c r="F450" s="6" t="s">
        <v>718</v>
      </c>
      <c r="G450" s="33" t="s">
        <v>23</v>
      </c>
    </row>
    <row r="451" spans="1:7" ht="14" x14ac:dyDescent="0.15">
      <c r="A451" s="6" t="s">
        <v>25</v>
      </c>
      <c r="B451" s="6" t="s">
        <v>26</v>
      </c>
      <c r="C451" s="7" t="s">
        <v>27</v>
      </c>
      <c r="D451" s="6">
        <v>25</v>
      </c>
      <c r="E451" s="8" t="s">
        <v>874</v>
      </c>
      <c r="F451" s="6" t="s">
        <v>718</v>
      </c>
      <c r="G451" s="33" t="s">
        <v>83</v>
      </c>
    </row>
    <row r="452" spans="1:7" ht="28" x14ac:dyDescent="0.15">
      <c r="A452" s="6" t="s">
        <v>79</v>
      </c>
      <c r="B452" s="6" t="s">
        <v>80</v>
      </c>
      <c r="C452" s="7" t="s">
        <v>81</v>
      </c>
      <c r="D452" s="6">
        <v>54</v>
      </c>
      <c r="E452" s="8" t="s">
        <v>875</v>
      </c>
      <c r="F452" s="6" t="s">
        <v>718</v>
      </c>
      <c r="G452" s="33" t="s">
        <v>136</v>
      </c>
    </row>
    <row r="453" spans="1:7" ht="28" x14ac:dyDescent="0.15">
      <c r="A453" s="6" t="s">
        <v>247</v>
      </c>
      <c r="B453" s="6" t="s">
        <v>248</v>
      </c>
      <c r="C453" s="7" t="s">
        <v>249</v>
      </c>
      <c r="D453" s="6">
        <v>14</v>
      </c>
      <c r="E453" s="8" t="s">
        <v>876</v>
      </c>
      <c r="F453" s="6" t="s">
        <v>718</v>
      </c>
      <c r="G453" s="33" t="s">
        <v>88</v>
      </c>
    </row>
    <row r="454" spans="1:7" ht="28" x14ac:dyDescent="0.15">
      <c r="A454" s="6" t="s">
        <v>247</v>
      </c>
      <c r="B454" s="6" t="s">
        <v>248</v>
      </c>
      <c r="C454" s="7" t="s">
        <v>249</v>
      </c>
      <c r="D454" s="6">
        <v>18</v>
      </c>
      <c r="E454" s="8" t="s">
        <v>876</v>
      </c>
      <c r="F454" s="6" t="s">
        <v>718</v>
      </c>
      <c r="G454" s="33" t="s">
        <v>88</v>
      </c>
    </row>
    <row r="455" spans="1:7" ht="28" x14ac:dyDescent="0.15">
      <c r="A455" s="6" t="s">
        <v>247</v>
      </c>
      <c r="B455" s="6" t="s">
        <v>248</v>
      </c>
      <c r="C455" s="7" t="s">
        <v>249</v>
      </c>
      <c r="D455" s="6">
        <v>22</v>
      </c>
      <c r="E455" s="8" t="s">
        <v>876</v>
      </c>
      <c r="F455" s="6" t="s">
        <v>718</v>
      </c>
      <c r="G455" s="33" t="s">
        <v>88</v>
      </c>
    </row>
    <row r="456" spans="1:7" ht="28" x14ac:dyDescent="0.15">
      <c r="A456" s="6" t="s">
        <v>247</v>
      </c>
      <c r="B456" s="6" t="s">
        <v>248</v>
      </c>
      <c r="C456" s="7" t="s">
        <v>249</v>
      </c>
      <c r="D456" s="6">
        <v>61</v>
      </c>
      <c r="E456" s="8" t="s">
        <v>877</v>
      </c>
      <c r="F456" s="6" t="s">
        <v>718</v>
      </c>
      <c r="G456" s="33" t="s">
        <v>83</v>
      </c>
    </row>
    <row r="457" spans="1:7" ht="28" x14ac:dyDescent="0.15">
      <c r="A457" s="6" t="s">
        <v>247</v>
      </c>
      <c r="B457" s="6" t="s">
        <v>248</v>
      </c>
      <c r="C457" s="7" t="s">
        <v>249</v>
      </c>
      <c r="D457" s="6">
        <v>74</v>
      </c>
      <c r="E457" s="8" t="s">
        <v>878</v>
      </c>
      <c r="F457" s="6" t="s">
        <v>718</v>
      </c>
      <c r="G457" s="33" t="s">
        <v>30</v>
      </c>
    </row>
    <row r="458" spans="1:7" ht="28" x14ac:dyDescent="0.15">
      <c r="A458" s="6" t="s">
        <v>247</v>
      </c>
      <c r="B458" s="6" t="s">
        <v>248</v>
      </c>
      <c r="C458" s="7" t="s">
        <v>249</v>
      </c>
      <c r="D458" s="6">
        <v>75</v>
      </c>
      <c r="E458" s="8" t="s">
        <v>879</v>
      </c>
      <c r="F458" s="6" t="s">
        <v>718</v>
      </c>
      <c r="G458" s="33" t="s">
        <v>30</v>
      </c>
    </row>
    <row r="459" spans="1:7" ht="14" x14ac:dyDescent="0.15">
      <c r="A459" s="6" t="s">
        <v>247</v>
      </c>
      <c r="B459" s="6" t="s">
        <v>248</v>
      </c>
      <c r="C459" s="7" t="s">
        <v>249</v>
      </c>
      <c r="D459" s="6">
        <v>79</v>
      </c>
      <c r="E459" s="8" t="s">
        <v>880</v>
      </c>
      <c r="F459" s="6" t="s">
        <v>718</v>
      </c>
      <c r="G459" s="33" t="s">
        <v>30</v>
      </c>
    </row>
    <row r="460" spans="1:7" ht="42" x14ac:dyDescent="0.15">
      <c r="A460" s="6" t="s">
        <v>247</v>
      </c>
      <c r="B460" s="6" t="s">
        <v>248</v>
      </c>
      <c r="C460" s="7" t="s">
        <v>249</v>
      </c>
      <c r="D460" s="6">
        <v>105</v>
      </c>
      <c r="E460" s="8" t="s">
        <v>881</v>
      </c>
      <c r="F460" s="6" t="s">
        <v>718</v>
      </c>
      <c r="G460" s="33" t="s">
        <v>30</v>
      </c>
    </row>
    <row r="461" spans="1:7" ht="14" x14ac:dyDescent="0.15">
      <c r="A461" s="6" t="s">
        <v>247</v>
      </c>
      <c r="B461" s="6" t="s">
        <v>248</v>
      </c>
      <c r="C461" s="7" t="s">
        <v>249</v>
      </c>
      <c r="D461" s="6">
        <v>132</v>
      </c>
      <c r="E461" s="8" t="s">
        <v>882</v>
      </c>
      <c r="F461" s="6" t="s">
        <v>718</v>
      </c>
      <c r="G461" s="33" t="s">
        <v>30</v>
      </c>
    </row>
    <row r="462" spans="1:7" ht="28" x14ac:dyDescent="0.15">
      <c r="A462" s="6" t="s">
        <v>247</v>
      </c>
      <c r="B462" s="6" t="s">
        <v>248</v>
      </c>
      <c r="C462" s="7" t="s">
        <v>249</v>
      </c>
      <c r="D462" s="6">
        <v>133</v>
      </c>
      <c r="E462" s="8" t="s">
        <v>883</v>
      </c>
      <c r="F462" s="6" t="s">
        <v>718</v>
      </c>
      <c r="G462" s="33" t="s">
        <v>30</v>
      </c>
    </row>
    <row r="463" spans="1:7" ht="14" x14ac:dyDescent="0.15">
      <c r="A463" s="6" t="s">
        <v>247</v>
      </c>
      <c r="B463" s="6" t="s">
        <v>248</v>
      </c>
      <c r="C463" s="7" t="s">
        <v>249</v>
      </c>
      <c r="D463" s="6">
        <v>166</v>
      </c>
      <c r="E463" s="8" t="s">
        <v>884</v>
      </c>
      <c r="F463" s="6" t="s">
        <v>718</v>
      </c>
      <c r="G463" s="33" t="s">
        <v>88</v>
      </c>
    </row>
    <row r="464" spans="1:7" ht="14" x14ac:dyDescent="0.15">
      <c r="A464" s="6" t="s">
        <v>885</v>
      </c>
      <c r="B464" s="6" t="s">
        <v>886</v>
      </c>
      <c r="C464" s="7" t="s">
        <v>887</v>
      </c>
      <c r="D464" s="6">
        <v>5</v>
      </c>
      <c r="E464" s="8" t="s">
        <v>888</v>
      </c>
      <c r="F464" s="6" t="s">
        <v>718</v>
      </c>
      <c r="G464" s="33" t="s">
        <v>18</v>
      </c>
    </row>
    <row r="465" spans="1:7" ht="14" x14ac:dyDescent="0.15">
      <c r="A465" s="6" t="s">
        <v>885</v>
      </c>
      <c r="B465" s="6" t="s">
        <v>886</v>
      </c>
      <c r="C465" s="7" t="s">
        <v>887</v>
      </c>
      <c r="D465" s="6">
        <v>9</v>
      </c>
      <c r="E465" s="8" t="s">
        <v>889</v>
      </c>
      <c r="F465" s="6" t="s">
        <v>718</v>
      </c>
      <c r="G465" s="33" t="s">
        <v>18</v>
      </c>
    </row>
    <row r="466" spans="1:7" ht="14" x14ac:dyDescent="0.15">
      <c r="A466" s="6" t="s">
        <v>885</v>
      </c>
      <c r="B466" s="6" t="s">
        <v>886</v>
      </c>
      <c r="C466" s="7" t="s">
        <v>887</v>
      </c>
      <c r="D466" s="6">
        <v>10</v>
      </c>
      <c r="E466" s="8" t="s">
        <v>890</v>
      </c>
      <c r="F466" s="6" t="s">
        <v>718</v>
      </c>
      <c r="G466" s="33" t="s">
        <v>18</v>
      </c>
    </row>
    <row r="467" spans="1:7" ht="28" x14ac:dyDescent="0.15">
      <c r="A467" s="6" t="s">
        <v>891</v>
      </c>
      <c r="B467" s="6" t="s">
        <v>892</v>
      </c>
      <c r="C467" s="7" t="s">
        <v>893</v>
      </c>
      <c r="D467" s="6">
        <v>16</v>
      </c>
      <c r="E467" s="8" t="s">
        <v>894</v>
      </c>
      <c r="F467" s="6" t="s">
        <v>718</v>
      </c>
      <c r="G467" s="33" t="s">
        <v>23</v>
      </c>
    </row>
    <row r="468" spans="1:7" ht="14" x14ac:dyDescent="0.15">
      <c r="A468" s="6" t="s">
        <v>891</v>
      </c>
      <c r="B468" s="6" t="s">
        <v>892</v>
      </c>
      <c r="C468" s="7" t="s">
        <v>893</v>
      </c>
      <c r="D468" s="6">
        <v>17</v>
      </c>
      <c r="E468" s="8" t="s">
        <v>895</v>
      </c>
      <c r="F468" s="6" t="s">
        <v>718</v>
      </c>
      <c r="G468" s="33" t="s">
        <v>23</v>
      </c>
    </row>
    <row r="469" spans="1:7" ht="14" x14ac:dyDescent="0.15">
      <c r="A469" s="6" t="s">
        <v>891</v>
      </c>
      <c r="B469" s="6" t="s">
        <v>892</v>
      </c>
      <c r="C469" s="7" t="s">
        <v>893</v>
      </c>
      <c r="D469" s="6">
        <v>21</v>
      </c>
      <c r="E469" s="8" t="s">
        <v>896</v>
      </c>
      <c r="F469" s="6" t="s">
        <v>718</v>
      </c>
      <c r="G469" s="33" t="s">
        <v>88</v>
      </c>
    </row>
    <row r="470" spans="1:7" ht="14" x14ac:dyDescent="0.15">
      <c r="A470" s="6" t="s">
        <v>891</v>
      </c>
      <c r="B470" s="6" t="s">
        <v>892</v>
      </c>
      <c r="C470" s="7" t="s">
        <v>893</v>
      </c>
      <c r="D470" s="6">
        <v>22</v>
      </c>
      <c r="E470" s="8" t="s">
        <v>897</v>
      </c>
      <c r="F470" s="6" t="s">
        <v>718</v>
      </c>
      <c r="G470" s="33" t="s">
        <v>88</v>
      </c>
    </row>
    <row r="471" spans="1:7" ht="14" x14ac:dyDescent="0.15">
      <c r="A471" s="6" t="s">
        <v>891</v>
      </c>
      <c r="B471" s="6" t="s">
        <v>892</v>
      </c>
      <c r="C471" s="7" t="s">
        <v>893</v>
      </c>
      <c r="D471" s="6">
        <v>23</v>
      </c>
      <c r="E471" s="8" t="s">
        <v>898</v>
      </c>
      <c r="F471" s="6" t="s">
        <v>718</v>
      </c>
      <c r="G471" s="33" t="s">
        <v>88</v>
      </c>
    </row>
    <row r="472" spans="1:7" ht="14" x14ac:dyDescent="0.15">
      <c r="A472" s="6" t="s">
        <v>899</v>
      </c>
      <c r="B472" s="6" t="s">
        <v>900</v>
      </c>
      <c r="C472" s="7" t="s">
        <v>901</v>
      </c>
      <c r="D472" s="6">
        <v>8</v>
      </c>
      <c r="E472" s="8" t="s">
        <v>902</v>
      </c>
      <c r="F472" s="6" t="s">
        <v>718</v>
      </c>
      <c r="G472" s="33" t="s">
        <v>23</v>
      </c>
    </row>
    <row r="473" spans="1:7" ht="14" x14ac:dyDescent="0.15">
      <c r="A473" s="6" t="s">
        <v>254</v>
      </c>
      <c r="B473" s="6" t="s">
        <v>255</v>
      </c>
      <c r="C473" s="7" t="s">
        <v>256</v>
      </c>
      <c r="D473" s="6">
        <v>11</v>
      </c>
      <c r="E473" s="8" t="s">
        <v>903</v>
      </c>
      <c r="F473" s="6" t="s">
        <v>718</v>
      </c>
      <c r="G473" s="33" t="s">
        <v>136</v>
      </c>
    </row>
    <row r="474" spans="1:7" ht="14" x14ac:dyDescent="0.15">
      <c r="A474" s="6" t="s">
        <v>254</v>
      </c>
      <c r="B474" s="6" t="s">
        <v>255</v>
      </c>
      <c r="C474" s="7" t="s">
        <v>256</v>
      </c>
      <c r="D474" s="6">
        <v>13</v>
      </c>
      <c r="E474" s="8" t="s">
        <v>904</v>
      </c>
      <c r="F474" s="6" t="s">
        <v>905</v>
      </c>
      <c r="G474" s="33" t="s">
        <v>136</v>
      </c>
    </row>
    <row r="475" spans="1:7" ht="14" x14ac:dyDescent="0.15">
      <c r="A475" s="6" t="s">
        <v>254</v>
      </c>
      <c r="B475" s="6" t="s">
        <v>255</v>
      </c>
      <c r="C475" s="7" t="s">
        <v>256</v>
      </c>
      <c r="D475" s="6">
        <v>15</v>
      </c>
      <c r="E475" s="8" t="s">
        <v>906</v>
      </c>
      <c r="F475" s="6" t="s">
        <v>718</v>
      </c>
      <c r="G475" s="33" t="s">
        <v>136</v>
      </c>
    </row>
    <row r="476" spans="1:7" ht="14" x14ac:dyDescent="0.15">
      <c r="A476" s="6" t="s">
        <v>254</v>
      </c>
      <c r="B476" s="6" t="s">
        <v>255</v>
      </c>
      <c r="C476" s="7" t="s">
        <v>256</v>
      </c>
      <c r="D476" s="6">
        <v>16</v>
      </c>
      <c r="E476" s="8" t="s">
        <v>907</v>
      </c>
      <c r="F476" s="6" t="s">
        <v>718</v>
      </c>
      <c r="G476" s="33" t="s">
        <v>136</v>
      </c>
    </row>
    <row r="477" spans="1:7" ht="14" x14ac:dyDescent="0.15">
      <c r="A477" s="6" t="s">
        <v>254</v>
      </c>
      <c r="B477" s="6" t="s">
        <v>255</v>
      </c>
      <c r="C477" s="7" t="s">
        <v>256</v>
      </c>
      <c r="D477" s="6">
        <v>24</v>
      </c>
      <c r="E477" s="8" t="s">
        <v>908</v>
      </c>
      <c r="F477" s="6" t="s">
        <v>718</v>
      </c>
      <c r="G477" s="33" t="s">
        <v>136</v>
      </c>
    </row>
    <row r="478" spans="1:7" ht="14" x14ac:dyDescent="0.15">
      <c r="A478" s="6" t="s">
        <v>254</v>
      </c>
      <c r="B478" s="6" t="s">
        <v>255</v>
      </c>
      <c r="C478" s="7" t="s">
        <v>256</v>
      </c>
      <c r="D478" s="6">
        <v>25</v>
      </c>
      <c r="E478" s="8" t="s">
        <v>909</v>
      </c>
      <c r="F478" s="6" t="s">
        <v>718</v>
      </c>
      <c r="G478" s="33" t="s">
        <v>136</v>
      </c>
    </row>
    <row r="479" spans="1:7" ht="14" x14ac:dyDescent="0.15">
      <c r="A479" s="6" t="s">
        <v>254</v>
      </c>
      <c r="B479" s="6" t="s">
        <v>255</v>
      </c>
      <c r="C479" s="7" t="s">
        <v>256</v>
      </c>
      <c r="D479" s="6">
        <v>26</v>
      </c>
      <c r="E479" s="8" t="s">
        <v>910</v>
      </c>
      <c r="F479" s="6" t="s">
        <v>718</v>
      </c>
      <c r="G479" s="33" t="s">
        <v>136</v>
      </c>
    </row>
    <row r="480" spans="1:7" ht="14" x14ac:dyDescent="0.15">
      <c r="A480" s="6" t="s">
        <v>254</v>
      </c>
      <c r="B480" s="6" t="s">
        <v>255</v>
      </c>
      <c r="C480" s="7" t="s">
        <v>256</v>
      </c>
      <c r="D480" s="6">
        <v>27</v>
      </c>
      <c r="E480" s="8" t="s">
        <v>911</v>
      </c>
      <c r="F480" s="6" t="s">
        <v>718</v>
      </c>
      <c r="G480" s="33" t="s">
        <v>136</v>
      </c>
    </row>
    <row r="481" spans="1:7" ht="14" x14ac:dyDescent="0.15">
      <c r="A481" s="6" t="s">
        <v>254</v>
      </c>
      <c r="B481" s="6" t="s">
        <v>255</v>
      </c>
      <c r="C481" s="7" t="s">
        <v>256</v>
      </c>
      <c r="D481" s="6">
        <v>28</v>
      </c>
      <c r="E481" s="8" t="s">
        <v>912</v>
      </c>
      <c r="F481" s="6" t="s">
        <v>718</v>
      </c>
      <c r="G481" s="33" t="s">
        <v>136</v>
      </c>
    </row>
    <row r="482" spans="1:7" ht="14" x14ac:dyDescent="0.15">
      <c r="A482" s="6" t="s">
        <v>254</v>
      </c>
      <c r="B482" s="6" t="s">
        <v>255</v>
      </c>
      <c r="C482" s="7" t="s">
        <v>256</v>
      </c>
      <c r="D482" s="6">
        <v>31</v>
      </c>
      <c r="E482" s="8" t="s">
        <v>913</v>
      </c>
      <c r="F482" s="6" t="s">
        <v>718</v>
      </c>
      <c r="G482" s="33" t="s">
        <v>136</v>
      </c>
    </row>
    <row r="483" spans="1:7" ht="14" x14ac:dyDescent="0.15">
      <c r="A483" s="6" t="s">
        <v>254</v>
      </c>
      <c r="B483" s="6" t="s">
        <v>255</v>
      </c>
      <c r="C483" s="7" t="s">
        <v>256</v>
      </c>
      <c r="D483" s="6">
        <v>183</v>
      </c>
      <c r="E483" s="8" t="s">
        <v>914</v>
      </c>
      <c r="F483" s="6" t="s">
        <v>718</v>
      </c>
      <c r="G483" s="33" t="s">
        <v>23</v>
      </c>
    </row>
    <row r="484" spans="1:7" ht="14" x14ac:dyDescent="0.15">
      <c r="A484" s="6" t="s">
        <v>254</v>
      </c>
      <c r="B484" s="6" t="s">
        <v>255</v>
      </c>
      <c r="C484" s="7" t="s">
        <v>256</v>
      </c>
      <c r="D484" s="6">
        <v>228</v>
      </c>
      <c r="E484" s="8" t="s">
        <v>915</v>
      </c>
      <c r="F484" s="6" t="s">
        <v>718</v>
      </c>
      <c r="G484" s="33" t="s">
        <v>18</v>
      </c>
    </row>
    <row r="485" spans="1:7" ht="14" x14ac:dyDescent="0.15">
      <c r="A485" s="6" t="s">
        <v>31</v>
      </c>
      <c r="B485" s="6" t="s">
        <v>165</v>
      </c>
      <c r="C485" s="7" t="s">
        <v>916</v>
      </c>
      <c r="D485" s="6">
        <v>62</v>
      </c>
      <c r="E485" s="8" t="s">
        <v>917</v>
      </c>
      <c r="F485" s="6" t="s">
        <v>718</v>
      </c>
      <c r="G485" s="33" t="s">
        <v>12</v>
      </c>
    </row>
    <row r="486" spans="1:7" ht="14" x14ac:dyDescent="0.15">
      <c r="A486" s="6" t="s">
        <v>31</v>
      </c>
      <c r="B486" s="6" t="s">
        <v>31</v>
      </c>
      <c r="C486" s="7" t="s">
        <v>32</v>
      </c>
      <c r="D486" s="6">
        <v>12</v>
      </c>
      <c r="E486" s="8" t="s">
        <v>918</v>
      </c>
      <c r="F486" s="6" t="s">
        <v>718</v>
      </c>
      <c r="G486" s="33" t="s">
        <v>88</v>
      </c>
    </row>
    <row r="487" spans="1:7" ht="14" x14ac:dyDescent="0.15">
      <c r="A487" s="6" t="s">
        <v>31</v>
      </c>
      <c r="B487" s="6" t="s">
        <v>31</v>
      </c>
      <c r="C487" s="7" t="s">
        <v>32</v>
      </c>
      <c r="D487" s="6">
        <v>25</v>
      </c>
      <c r="E487" s="8" t="s">
        <v>919</v>
      </c>
      <c r="F487" s="6" t="s">
        <v>718</v>
      </c>
      <c r="G487" s="33" t="s">
        <v>88</v>
      </c>
    </row>
    <row r="488" spans="1:7" ht="28" x14ac:dyDescent="0.15">
      <c r="A488" s="6" t="s">
        <v>31</v>
      </c>
      <c r="B488" s="6" t="s">
        <v>31</v>
      </c>
      <c r="C488" s="7" t="s">
        <v>32</v>
      </c>
      <c r="D488" s="6">
        <v>26</v>
      </c>
      <c r="E488" s="8" t="s">
        <v>920</v>
      </c>
      <c r="F488" s="6" t="s">
        <v>718</v>
      </c>
      <c r="G488" s="33" t="s">
        <v>88</v>
      </c>
    </row>
    <row r="489" spans="1:7" ht="14" x14ac:dyDescent="0.15">
      <c r="A489" s="6" t="s">
        <v>31</v>
      </c>
      <c r="B489" s="6" t="s">
        <v>31</v>
      </c>
      <c r="C489" s="7" t="s">
        <v>32</v>
      </c>
      <c r="D489" s="6">
        <v>29</v>
      </c>
      <c r="E489" s="8" t="s">
        <v>921</v>
      </c>
      <c r="F489" s="6" t="s">
        <v>718</v>
      </c>
      <c r="G489" s="33" t="s">
        <v>88</v>
      </c>
    </row>
    <row r="490" spans="1:7" ht="28" x14ac:dyDescent="0.15">
      <c r="A490" s="6" t="s">
        <v>922</v>
      </c>
      <c r="B490" s="6" t="s">
        <v>923</v>
      </c>
      <c r="C490" s="7" t="s">
        <v>924</v>
      </c>
      <c r="D490" s="6">
        <v>54</v>
      </c>
      <c r="E490" s="8" t="s">
        <v>925</v>
      </c>
      <c r="F490" s="6" t="s">
        <v>718</v>
      </c>
      <c r="G490" s="33" t="s">
        <v>18</v>
      </c>
    </row>
    <row r="491" spans="1:7" ht="14" x14ac:dyDescent="0.15">
      <c r="A491" s="6" t="s">
        <v>926</v>
      </c>
      <c r="B491" s="6" t="s">
        <v>927</v>
      </c>
      <c r="C491" s="7" t="s">
        <v>928</v>
      </c>
      <c r="D491" s="6">
        <v>12</v>
      </c>
      <c r="E491" s="8" t="s">
        <v>929</v>
      </c>
      <c r="F491" s="6" t="s">
        <v>718</v>
      </c>
      <c r="G491" s="33" t="s">
        <v>23</v>
      </c>
    </row>
    <row r="492" spans="1:7" ht="14" x14ac:dyDescent="0.15">
      <c r="A492" s="6" t="s">
        <v>926</v>
      </c>
      <c r="B492" s="6" t="s">
        <v>927</v>
      </c>
      <c r="C492" s="7" t="s">
        <v>928</v>
      </c>
      <c r="D492" s="6">
        <v>14</v>
      </c>
      <c r="E492" s="8" t="s">
        <v>930</v>
      </c>
      <c r="F492" s="6" t="s">
        <v>718</v>
      </c>
      <c r="G492" s="33" t="s">
        <v>23</v>
      </c>
    </row>
    <row r="493" spans="1:7" ht="14" x14ac:dyDescent="0.15">
      <c r="A493" s="6" t="s">
        <v>265</v>
      </c>
      <c r="B493" s="6" t="s">
        <v>266</v>
      </c>
      <c r="C493" s="7" t="s">
        <v>267</v>
      </c>
      <c r="D493" s="6">
        <v>33</v>
      </c>
      <c r="E493" s="8" t="s">
        <v>931</v>
      </c>
      <c r="F493" s="6" t="s">
        <v>718</v>
      </c>
      <c r="G493" s="33" t="s">
        <v>88</v>
      </c>
    </row>
    <row r="494" spans="1:7" ht="28" x14ac:dyDescent="0.15">
      <c r="A494" s="6" t="s">
        <v>932</v>
      </c>
      <c r="B494" s="6" t="s">
        <v>933</v>
      </c>
      <c r="C494" s="7" t="s">
        <v>934</v>
      </c>
      <c r="D494" s="6">
        <v>23</v>
      </c>
      <c r="E494" s="8" t="s">
        <v>935</v>
      </c>
      <c r="F494" s="6" t="s">
        <v>718</v>
      </c>
      <c r="G494" s="33" t="s">
        <v>88</v>
      </c>
    </row>
    <row r="495" spans="1:7" ht="14" x14ac:dyDescent="0.15">
      <c r="A495" s="6" t="s">
        <v>932</v>
      </c>
      <c r="B495" s="6" t="s">
        <v>933</v>
      </c>
      <c r="C495" s="7" t="s">
        <v>934</v>
      </c>
      <c r="D495" s="6">
        <v>80</v>
      </c>
      <c r="E495" s="8" t="s">
        <v>936</v>
      </c>
      <c r="F495" s="6" t="s">
        <v>718</v>
      </c>
      <c r="G495" s="33" t="s">
        <v>136</v>
      </c>
    </row>
    <row r="496" spans="1:7" ht="28" x14ac:dyDescent="0.15">
      <c r="A496" s="6" t="s">
        <v>932</v>
      </c>
      <c r="B496" s="6" t="s">
        <v>933</v>
      </c>
      <c r="C496" s="7" t="s">
        <v>934</v>
      </c>
      <c r="D496" s="6">
        <v>93</v>
      </c>
      <c r="E496" s="8" t="s">
        <v>937</v>
      </c>
      <c r="F496" s="6" t="s">
        <v>718</v>
      </c>
      <c r="G496" s="33" t="s">
        <v>30</v>
      </c>
    </row>
    <row r="497" spans="1:7" ht="14" x14ac:dyDescent="0.15">
      <c r="A497" s="6" t="s">
        <v>932</v>
      </c>
      <c r="B497" s="6" t="s">
        <v>933</v>
      </c>
      <c r="C497" s="7" t="s">
        <v>934</v>
      </c>
      <c r="D497" s="6">
        <v>96</v>
      </c>
      <c r="E497" s="8" t="s">
        <v>938</v>
      </c>
      <c r="F497" s="6" t="s">
        <v>718</v>
      </c>
      <c r="G497" s="33" t="s">
        <v>12</v>
      </c>
    </row>
    <row r="498" spans="1:7" ht="28" x14ac:dyDescent="0.15">
      <c r="A498" s="6" t="s">
        <v>932</v>
      </c>
      <c r="B498" s="6" t="s">
        <v>933</v>
      </c>
      <c r="C498" s="7" t="s">
        <v>934</v>
      </c>
      <c r="D498" s="6">
        <v>103</v>
      </c>
      <c r="E498" s="8" t="s">
        <v>939</v>
      </c>
      <c r="F498" s="6" t="s">
        <v>718</v>
      </c>
      <c r="G498" s="33" t="s">
        <v>30</v>
      </c>
    </row>
    <row r="499" spans="1:7" ht="28" x14ac:dyDescent="0.15">
      <c r="A499" s="6" t="s">
        <v>932</v>
      </c>
      <c r="B499" s="6" t="s">
        <v>933</v>
      </c>
      <c r="C499" s="7" t="s">
        <v>934</v>
      </c>
      <c r="D499" s="6">
        <v>107</v>
      </c>
      <c r="E499" s="8" t="s">
        <v>940</v>
      </c>
      <c r="F499" s="6" t="s">
        <v>718</v>
      </c>
      <c r="G499" s="33" t="s">
        <v>30</v>
      </c>
    </row>
    <row r="500" spans="1:7" ht="14" x14ac:dyDescent="0.15">
      <c r="A500" s="6" t="s">
        <v>279</v>
      </c>
      <c r="B500" s="6" t="s">
        <v>280</v>
      </c>
      <c r="C500" s="7" t="s">
        <v>281</v>
      </c>
      <c r="D500" s="6">
        <v>42</v>
      </c>
      <c r="E500" s="8" t="s">
        <v>941</v>
      </c>
      <c r="F500" s="6" t="s">
        <v>718</v>
      </c>
      <c r="G500" s="33" t="s">
        <v>12</v>
      </c>
    </row>
    <row r="501" spans="1:7" ht="14" x14ac:dyDescent="0.15">
      <c r="A501" s="6" t="s">
        <v>291</v>
      </c>
      <c r="B501" s="6" t="s">
        <v>292</v>
      </c>
      <c r="C501" s="7" t="s">
        <v>293</v>
      </c>
      <c r="D501" s="6">
        <v>73</v>
      </c>
      <c r="E501" s="8" t="s">
        <v>942</v>
      </c>
      <c r="F501" s="6" t="s">
        <v>718</v>
      </c>
      <c r="G501" s="33" t="s">
        <v>88</v>
      </c>
    </row>
    <row r="502" spans="1:7" ht="14" x14ac:dyDescent="0.15">
      <c r="A502" s="6" t="s">
        <v>291</v>
      </c>
      <c r="B502" s="6" t="s">
        <v>292</v>
      </c>
      <c r="C502" s="7" t="s">
        <v>293</v>
      </c>
      <c r="D502" s="6">
        <v>75</v>
      </c>
      <c r="E502" s="8" t="s">
        <v>943</v>
      </c>
      <c r="F502" s="6" t="s">
        <v>718</v>
      </c>
      <c r="G502" s="33" t="s">
        <v>88</v>
      </c>
    </row>
    <row r="503" spans="1:7" ht="14" x14ac:dyDescent="0.15">
      <c r="A503" s="6" t="s">
        <v>944</v>
      </c>
      <c r="B503" s="6" t="s">
        <v>945</v>
      </c>
      <c r="C503" s="7" t="s">
        <v>946</v>
      </c>
      <c r="D503" s="6">
        <v>36</v>
      </c>
      <c r="E503" s="8" t="s">
        <v>947</v>
      </c>
      <c r="F503" s="6" t="s">
        <v>718</v>
      </c>
      <c r="G503" s="33" t="s">
        <v>23</v>
      </c>
    </row>
    <row r="504" spans="1:7" ht="14" x14ac:dyDescent="0.15">
      <c r="A504" s="6" t="s">
        <v>948</v>
      </c>
      <c r="B504" s="6" t="s">
        <v>949</v>
      </c>
      <c r="C504" s="7" t="s">
        <v>950</v>
      </c>
      <c r="D504" s="6">
        <v>48</v>
      </c>
      <c r="E504" s="8" t="s">
        <v>951</v>
      </c>
      <c r="F504" s="6" t="s">
        <v>718</v>
      </c>
      <c r="G504" s="33" t="s">
        <v>18</v>
      </c>
    </row>
    <row r="505" spans="1:7" ht="14" x14ac:dyDescent="0.15">
      <c r="A505" s="6" t="s">
        <v>296</v>
      </c>
      <c r="B505" s="6" t="s">
        <v>297</v>
      </c>
      <c r="C505" s="7" t="s">
        <v>298</v>
      </c>
      <c r="D505" s="6">
        <v>11</v>
      </c>
      <c r="E505" s="8" t="s">
        <v>952</v>
      </c>
      <c r="F505" s="6" t="s">
        <v>718</v>
      </c>
      <c r="G505" s="33" t="s">
        <v>12</v>
      </c>
    </row>
    <row r="506" spans="1:7" ht="14" x14ac:dyDescent="0.15">
      <c r="A506" s="6" t="s">
        <v>953</v>
      </c>
      <c r="B506" s="6" t="s">
        <v>954</v>
      </c>
      <c r="C506" s="7" t="s">
        <v>955</v>
      </c>
      <c r="D506" s="6">
        <v>34</v>
      </c>
      <c r="E506" s="8" t="s">
        <v>956</v>
      </c>
      <c r="F506" s="6" t="s">
        <v>718</v>
      </c>
      <c r="G506" s="33" t="s">
        <v>88</v>
      </c>
    </row>
    <row r="507" spans="1:7" ht="14" x14ac:dyDescent="0.15">
      <c r="A507" s="6" t="s">
        <v>35</v>
      </c>
      <c r="B507" s="6" t="s">
        <v>36</v>
      </c>
      <c r="C507" s="7" t="s">
        <v>37</v>
      </c>
      <c r="D507" s="6">
        <v>3</v>
      </c>
      <c r="E507" s="8" t="s">
        <v>957</v>
      </c>
      <c r="F507" s="6" t="s">
        <v>718</v>
      </c>
      <c r="G507" s="33" t="s">
        <v>23</v>
      </c>
    </row>
    <row r="508" spans="1:7" ht="14" x14ac:dyDescent="0.15">
      <c r="A508" s="6" t="s">
        <v>325</v>
      </c>
      <c r="B508" s="6" t="s">
        <v>326</v>
      </c>
      <c r="C508" s="7" t="s">
        <v>327</v>
      </c>
      <c r="D508" s="6">
        <v>24</v>
      </c>
      <c r="E508" s="8" t="s">
        <v>958</v>
      </c>
      <c r="F508" s="6" t="s">
        <v>718</v>
      </c>
      <c r="G508" s="33" t="s">
        <v>23</v>
      </c>
    </row>
    <row r="509" spans="1:7" ht="14" x14ac:dyDescent="0.15">
      <c r="A509" s="6" t="s">
        <v>325</v>
      </c>
      <c r="B509" s="6" t="s">
        <v>326</v>
      </c>
      <c r="C509" s="7" t="s">
        <v>327</v>
      </c>
      <c r="D509" s="6">
        <v>111</v>
      </c>
      <c r="E509" s="8" t="s">
        <v>959</v>
      </c>
      <c r="F509" s="6" t="s">
        <v>718</v>
      </c>
      <c r="G509" s="33" t="s">
        <v>88</v>
      </c>
    </row>
    <row r="510" spans="1:7" ht="28" x14ac:dyDescent="0.15">
      <c r="A510" s="6" t="s">
        <v>652</v>
      </c>
      <c r="B510" s="6" t="s">
        <v>653</v>
      </c>
      <c r="C510" s="7" t="s">
        <v>654</v>
      </c>
      <c r="D510" s="6">
        <v>93</v>
      </c>
      <c r="E510" s="8" t="s">
        <v>960</v>
      </c>
      <c r="F510" s="6" t="s">
        <v>718</v>
      </c>
      <c r="G510" s="33" t="s">
        <v>115</v>
      </c>
    </row>
    <row r="511" spans="1:7" ht="28" x14ac:dyDescent="0.15">
      <c r="A511" s="6" t="s">
        <v>652</v>
      </c>
      <c r="B511" s="6" t="s">
        <v>653</v>
      </c>
      <c r="C511" s="7" t="s">
        <v>654</v>
      </c>
      <c r="D511" s="6">
        <v>96</v>
      </c>
      <c r="E511" s="8" t="s">
        <v>961</v>
      </c>
      <c r="F511" s="6" t="s">
        <v>718</v>
      </c>
      <c r="G511" s="33" t="s">
        <v>115</v>
      </c>
    </row>
    <row r="512" spans="1:7" ht="14" x14ac:dyDescent="0.15">
      <c r="A512" s="6" t="s">
        <v>652</v>
      </c>
      <c r="B512" s="6" t="s">
        <v>653</v>
      </c>
      <c r="C512" s="7" t="s">
        <v>654</v>
      </c>
      <c r="D512" s="6">
        <v>97</v>
      </c>
      <c r="E512" s="8" t="s">
        <v>962</v>
      </c>
      <c r="F512" s="6" t="s">
        <v>718</v>
      </c>
      <c r="G512" s="33" t="s">
        <v>115</v>
      </c>
    </row>
    <row r="513" spans="1:7" ht="14" x14ac:dyDescent="0.15">
      <c r="A513" s="6" t="s">
        <v>333</v>
      </c>
      <c r="B513" s="6" t="s">
        <v>334</v>
      </c>
      <c r="C513" s="7" t="s">
        <v>335</v>
      </c>
      <c r="D513" s="6">
        <v>28</v>
      </c>
      <c r="E513" s="8" t="s">
        <v>963</v>
      </c>
      <c r="F513" s="6" t="s">
        <v>718</v>
      </c>
      <c r="G513" s="33" t="s">
        <v>342</v>
      </c>
    </row>
    <row r="514" spans="1:7" ht="14" x14ac:dyDescent="0.15">
      <c r="A514" s="6" t="s">
        <v>964</v>
      </c>
      <c r="B514" s="6" t="s">
        <v>965</v>
      </c>
      <c r="C514" s="7" t="s">
        <v>966</v>
      </c>
      <c r="D514" s="6">
        <v>8</v>
      </c>
      <c r="E514" s="8" t="s">
        <v>967</v>
      </c>
      <c r="F514" s="6" t="s">
        <v>718</v>
      </c>
      <c r="G514" s="33" t="s">
        <v>18</v>
      </c>
    </row>
    <row r="515" spans="1:7" ht="14" x14ac:dyDescent="0.15">
      <c r="A515" s="6" t="s">
        <v>964</v>
      </c>
      <c r="B515" s="6" t="s">
        <v>965</v>
      </c>
      <c r="C515" s="7" t="s">
        <v>966</v>
      </c>
      <c r="D515" s="6">
        <v>10</v>
      </c>
      <c r="E515" s="8" t="s">
        <v>968</v>
      </c>
      <c r="F515" s="6" t="s">
        <v>718</v>
      </c>
      <c r="G515" s="33" t="s">
        <v>18</v>
      </c>
    </row>
    <row r="516" spans="1:7" ht="14" x14ac:dyDescent="0.15">
      <c r="A516" s="6" t="s">
        <v>964</v>
      </c>
      <c r="B516" s="6" t="s">
        <v>965</v>
      </c>
      <c r="C516" s="7" t="s">
        <v>966</v>
      </c>
      <c r="D516" s="6">
        <v>16</v>
      </c>
      <c r="E516" s="8" t="s">
        <v>969</v>
      </c>
      <c r="F516" s="6" t="s">
        <v>718</v>
      </c>
      <c r="G516" s="33" t="s">
        <v>18</v>
      </c>
    </row>
    <row r="517" spans="1:7" ht="14" x14ac:dyDescent="0.15">
      <c r="A517" s="6" t="s">
        <v>970</v>
      </c>
      <c r="B517" s="6" t="s">
        <v>970</v>
      </c>
      <c r="C517" s="7" t="s">
        <v>971</v>
      </c>
      <c r="D517" s="6">
        <v>15</v>
      </c>
      <c r="E517" s="8" t="s">
        <v>972</v>
      </c>
      <c r="F517" s="6" t="s">
        <v>718</v>
      </c>
      <c r="G517" s="33" t="s">
        <v>30</v>
      </c>
    </row>
    <row r="518" spans="1:7" ht="14" x14ac:dyDescent="0.15">
      <c r="A518" s="6" t="s">
        <v>973</v>
      </c>
      <c r="B518" s="6" t="s">
        <v>974</v>
      </c>
      <c r="C518" s="7" t="s">
        <v>975</v>
      </c>
      <c r="D518" s="6">
        <v>6</v>
      </c>
      <c r="E518" s="8" t="s">
        <v>976</v>
      </c>
      <c r="F518" s="6" t="s">
        <v>718</v>
      </c>
      <c r="G518" s="33" t="s">
        <v>83</v>
      </c>
    </row>
    <row r="519" spans="1:7" ht="28" x14ac:dyDescent="0.15">
      <c r="A519" s="6" t="s">
        <v>973</v>
      </c>
      <c r="B519" s="6" t="s">
        <v>974</v>
      </c>
      <c r="C519" s="7" t="s">
        <v>975</v>
      </c>
      <c r="D519" s="6">
        <v>8</v>
      </c>
      <c r="E519" s="8" t="s">
        <v>977</v>
      </c>
      <c r="F519" s="6" t="s">
        <v>718</v>
      </c>
      <c r="G519" s="33" t="s">
        <v>18</v>
      </c>
    </row>
    <row r="520" spans="1:7" ht="14" x14ac:dyDescent="0.15">
      <c r="A520" s="6" t="s">
        <v>973</v>
      </c>
      <c r="B520" s="6" t="s">
        <v>974</v>
      </c>
      <c r="C520" s="7" t="s">
        <v>975</v>
      </c>
      <c r="D520" s="6">
        <v>20</v>
      </c>
      <c r="E520" s="8" t="s">
        <v>978</v>
      </c>
      <c r="F520" s="6" t="s">
        <v>718</v>
      </c>
      <c r="G520" s="33" t="s">
        <v>136</v>
      </c>
    </row>
    <row r="521" spans="1:7" ht="14" x14ac:dyDescent="0.15">
      <c r="A521" s="6" t="s">
        <v>973</v>
      </c>
      <c r="B521" s="6" t="s">
        <v>974</v>
      </c>
      <c r="C521" s="7" t="s">
        <v>975</v>
      </c>
      <c r="D521" s="6">
        <v>21</v>
      </c>
      <c r="E521" s="8" t="s">
        <v>979</v>
      </c>
      <c r="F521" s="6" t="s">
        <v>718</v>
      </c>
      <c r="G521" s="33" t="s">
        <v>18</v>
      </c>
    </row>
    <row r="522" spans="1:7" ht="14" x14ac:dyDescent="0.15">
      <c r="A522" s="6" t="s">
        <v>973</v>
      </c>
      <c r="B522" s="6" t="s">
        <v>974</v>
      </c>
      <c r="C522" s="7" t="s">
        <v>975</v>
      </c>
      <c r="D522" s="6">
        <v>22</v>
      </c>
      <c r="E522" s="8" t="s">
        <v>980</v>
      </c>
      <c r="F522" s="6" t="s">
        <v>718</v>
      </c>
      <c r="G522" s="33" t="s">
        <v>18</v>
      </c>
    </row>
    <row r="523" spans="1:7" ht="14" x14ac:dyDescent="0.15">
      <c r="A523" s="6" t="s">
        <v>343</v>
      </c>
      <c r="B523" s="6" t="s">
        <v>344</v>
      </c>
      <c r="C523" s="7" t="s">
        <v>345</v>
      </c>
      <c r="D523" s="6">
        <v>7</v>
      </c>
      <c r="E523" s="8" t="s">
        <v>981</v>
      </c>
      <c r="F523" s="6" t="s">
        <v>718</v>
      </c>
      <c r="G523" s="33" t="s">
        <v>18</v>
      </c>
    </row>
    <row r="524" spans="1:7" ht="14" x14ac:dyDescent="0.15">
      <c r="A524" s="6" t="s">
        <v>131</v>
      </c>
      <c r="B524" s="6" t="s">
        <v>132</v>
      </c>
      <c r="C524" s="7" t="s">
        <v>347</v>
      </c>
      <c r="D524" s="6">
        <v>16</v>
      </c>
      <c r="E524" s="8" t="s">
        <v>982</v>
      </c>
      <c r="F524" s="6" t="s">
        <v>718</v>
      </c>
      <c r="G524" s="33" t="s">
        <v>18</v>
      </c>
    </row>
    <row r="525" spans="1:7" ht="14" x14ac:dyDescent="0.15">
      <c r="A525" s="6" t="s">
        <v>131</v>
      </c>
      <c r="B525" s="6" t="s">
        <v>132</v>
      </c>
      <c r="C525" s="7" t="s">
        <v>347</v>
      </c>
      <c r="D525" s="6">
        <v>33</v>
      </c>
      <c r="E525" s="8" t="s">
        <v>983</v>
      </c>
      <c r="F525" s="6" t="s">
        <v>718</v>
      </c>
      <c r="G525" s="33" t="s">
        <v>83</v>
      </c>
    </row>
    <row r="526" spans="1:7" ht="14" x14ac:dyDescent="0.15">
      <c r="A526" s="6" t="s">
        <v>131</v>
      </c>
      <c r="B526" s="6" t="s">
        <v>132</v>
      </c>
      <c r="C526" s="7" t="s">
        <v>347</v>
      </c>
      <c r="D526" s="6">
        <v>62</v>
      </c>
      <c r="E526" s="8" t="s">
        <v>984</v>
      </c>
      <c r="F526" s="6" t="s">
        <v>718</v>
      </c>
      <c r="G526" s="33" t="s">
        <v>83</v>
      </c>
    </row>
    <row r="527" spans="1:7" ht="14" x14ac:dyDescent="0.15">
      <c r="A527" s="6" t="s">
        <v>131</v>
      </c>
      <c r="B527" s="6" t="s">
        <v>132</v>
      </c>
      <c r="C527" s="7" t="s">
        <v>347</v>
      </c>
      <c r="D527" s="6">
        <v>67</v>
      </c>
      <c r="E527" s="8" t="s">
        <v>985</v>
      </c>
      <c r="F527" s="6" t="s">
        <v>718</v>
      </c>
      <c r="G527" s="33" t="s">
        <v>83</v>
      </c>
    </row>
    <row r="528" spans="1:7" ht="14" x14ac:dyDescent="0.15">
      <c r="A528" s="6" t="s">
        <v>131</v>
      </c>
      <c r="B528" s="6" t="s">
        <v>132</v>
      </c>
      <c r="C528" s="7" t="s">
        <v>347</v>
      </c>
      <c r="D528" s="6">
        <v>75</v>
      </c>
      <c r="E528" s="8" t="s">
        <v>986</v>
      </c>
      <c r="F528" s="6" t="s">
        <v>718</v>
      </c>
      <c r="G528" s="33" t="s">
        <v>136</v>
      </c>
    </row>
    <row r="529" spans="1:7" ht="14" x14ac:dyDescent="0.15">
      <c r="A529" s="6" t="s">
        <v>349</v>
      </c>
      <c r="B529" s="6" t="s">
        <v>350</v>
      </c>
      <c r="C529" s="7" t="s">
        <v>351</v>
      </c>
      <c r="D529" s="6">
        <v>127</v>
      </c>
      <c r="E529" s="8" t="s">
        <v>987</v>
      </c>
      <c r="F529" s="6" t="s">
        <v>718</v>
      </c>
      <c r="G529" s="33" t="s">
        <v>12</v>
      </c>
    </row>
    <row r="530" spans="1:7" ht="14" x14ac:dyDescent="0.15">
      <c r="A530" s="6" t="s">
        <v>349</v>
      </c>
      <c r="B530" s="6" t="s">
        <v>350</v>
      </c>
      <c r="C530" s="7" t="s">
        <v>351</v>
      </c>
      <c r="D530" s="6">
        <v>210</v>
      </c>
      <c r="E530" s="8" t="s">
        <v>988</v>
      </c>
      <c r="F530" s="6" t="s">
        <v>718</v>
      </c>
      <c r="G530" s="33" t="s">
        <v>30</v>
      </c>
    </row>
    <row r="531" spans="1:7" ht="14" x14ac:dyDescent="0.15">
      <c r="A531" s="6" t="s">
        <v>349</v>
      </c>
      <c r="B531" s="6" t="s">
        <v>350</v>
      </c>
      <c r="C531" s="7" t="s">
        <v>351</v>
      </c>
      <c r="D531" s="6">
        <v>216</v>
      </c>
      <c r="E531" s="8" t="s">
        <v>989</v>
      </c>
      <c r="F531" s="6" t="s">
        <v>718</v>
      </c>
      <c r="G531" s="33" t="s">
        <v>30</v>
      </c>
    </row>
    <row r="532" spans="1:7" ht="28" x14ac:dyDescent="0.15">
      <c r="A532" s="6" t="s">
        <v>357</v>
      </c>
      <c r="B532" s="6" t="s">
        <v>358</v>
      </c>
      <c r="C532" s="7" t="s">
        <v>359</v>
      </c>
      <c r="D532" s="6">
        <v>34</v>
      </c>
      <c r="E532" s="8" t="s">
        <v>990</v>
      </c>
      <c r="F532" s="6" t="s">
        <v>718</v>
      </c>
      <c r="G532" s="33" t="s">
        <v>30</v>
      </c>
    </row>
    <row r="533" spans="1:7" ht="14" x14ac:dyDescent="0.15">
      <c r="A533" s="6" t="s">
        <v>357</v>
      </c>
      <c r="B533" s="6" t="s">
        <v>358</v>
      </c>
      <c r="C533" s="7" t="s">
        <v>359</v>
      </c>
      <c r="D533" s="6">
        <v>58</v>
      </c>
      <c r="E533" s="8" t="s">
        <v>991</v>
      </c>
      <c r="F533" s="6" t="s">
        <v>718</v>
      </c>
      <c r="G533" s="33" t="s">
        <v>30</v>
      </c>
    </row>
    <row r="534" spans="1:7" ht="28" x14ac:dyDescent="0.15">
      <c r="A534" s="6" t="s">
        <v>357</v>
      </c>
      <c r="B534" s="6" t="s">
        <v>358</v>
      </c>
      <c r="C534" s="7" t="s">
        <v>359</v>
      </c>
      <c r="D534" s="6">
        <v>177</v>
      </c>
      <c r="E534" s="8" t="s">
        <v>992</v>
      </c>
      <c r="F534" s="6" t="s">
        <v>718</v>
      </c>
      <c r="G534" s="33" t="s">
        <v>30</v>
      </c>
    </row>
    <row r="535" spans="1:7" ht="28" x14ac:dyDescent="0.15">
      <c r="A535" s="6" t="s">
        <v>357</v>
      </c>
      <c r="B535" s="6" t="s">
        <v>358</v>
      </c>
      <c r="C535" s="7" t="s">
        <v>359</v>
      </c>
      <c r="D535" s="6">
        <v>187</v>
      </c>
      <c r="E535" s="8" t="s">
        <v>993</v>
      </c>
      <c r="F535" s="6" t="s">
        <v>718</v>
      </c>
      <c r="G535" s="33" t="s">
        <v>23</v>
      </c>
    </row>
    <row r="536" spans="1:7" ht="28" x14ac:dyDescent="0.15">
      <c r="A536" s="6" t="s">
        <v>357</v>
      </c>
      <c r="B536" s="6" t="s">
        <v>358</v>
      </c>
      <c r="C536" s="7" t="s">
        <v>359</v>
      </c>
      <c r="D536" s="6">
        <v>190</v>
      </c>
      <c r="E536" s="8" t="s">
        <v>994</v>
      </c>
      <c r="F536" s="6" t="s">
        <v>718</v>
      </c>
      <c r="G536" s="33" t="s">
        <v>23</v>
      </c>
    </row>
    <row r="537" spans="1:7" ht="28" x14ac:dyDescent="0.15">
      <c r="A537" s="6" t="s">
        <v>357</v>
      </c>
      <c r="B537" s="6" t="s">
        <v>358</v>
      </c>
      <c r="C537" s="7" t="s">
        <v>359</v>
      </c>
      <c r="D537" s="6">
        <v>194</v>
      </c>
      <c r="E537" s="8" t="s">
        <v>995</v>
      </c>
      <c r="F537" s="6" t="s">
        <v>718</v>
      </c>
      <c r="G537" s="33" t="s">
        <v>23</v>
      </c>
    </row>
    <row r="538" spans="1:7" ht="14" x14ac:dyDescent="0.15">
      <c r="A538" s="6" t="s">
        <v>996</v>
      </c>
      <c r="B538" s="6" t="s">
        <v>997</v>
      </c>
      <c r="C538" s="7" t="s">
        <v>998</v>
      </c>
      <c r="D538" s="6">
        <v>27</v>
      </c>
      <c r="E538" s="8" t="s">
        <v>999</v>
      </c>
      <c r="F538" s="6" t="s">
        <v>718</v>
      </c>
      <c r="G538" s="33" t="s">
        <v>342</v>
      </c>
    </row>
    <row r="539" spans="1:7" ht="28" x14ac:dyDescent="0.15">
      <c r="A539" s="6" t="s">
        <v>362</v>
      </c>
      <c r="B539" s="6" t="s">
        <v>363</v>
      </c>
      <c r="C539" s="7" t="s">
        <v>364</v>
      </c>
      <c r="D539" s="6">
        <v>54</v>
      </c>
      <c r="E539" s="8" t="s">
        <v>1000</v>
      </c>
      <c r="F539" s="6" t="s">
        <v>718</v>
      </c>
      <c r="G539" s="33" t="s">
        <v>18</v>
      </c>
    </row>
    <row r="540" spans="1:7" ht="14" x14ac:dyDescent="0.15">
      <c r="A540" s="6" t="s">
        <v>1001</v>
      </c>
      <c r="B540" s="6" t="s">
        <v>1002</v>
      </c>
      <c r="C540" s="7" t="s">
        <v>1003</v>
      </c>
      <c r="D540" s="6">
        <v>47</v>
      </c>
      <c r="E540" s="8" t="s">
        <v>1004</v>
      </c>
      <c r="F540" s="6" t="s">
        <v>718</v>
      </c>
      <c r="G540" s="33" t="s">
        <v>136</v>
      </c>
    </row>
    <row r="541" spans="1:7" ht="14" x14ac:dyDescent="0.15">
      <c r="A541" s="6" t="s">
        <v>656</v>
      </c>
      <c r="B541" s="6" t="s">
        <v>657</v>
      </c>
      <c r="C541" s="7" t="s">
        <v>658</v>
      </c>
      <c r="D541" s="6">
        <v>39</v>
      </c>
      <c r="E541" s="8" t="s">
        <v>1005</v>
      </c>
      <c r="F541" s="6" t="s">
        <v>718</v>
      </c>
      <c r="G541" s="33" t="s">
        <v>30</v>
      </c>
    </row>
    <row r="542" spans="1:7" ht="14" x14ac:dyDescent="0.15">
      <c r="A542" s="6" t="s">
        <v>372</v>
      </c>
      <c r="B542" s="6" t="s">
        <v>373</v>
      </c>
      <c r="C542" s="7" t="s">
        <v>374</v>
      </c>
      <c r="D542" s="6">
        <v>27</v>
      </c>
      <c r="E542" s="8" t="s">
        <v>1006</v>
      </c>
      <c r="F542" s="6" t="s">
        <v>718</v>
      </c>
      <c r="G542" s="33" t="s">
        <v>342</v>
      </c>
    </row>
    <row r="543" spans="1:7" ht="14" x14ac:dyDescent="0.15">
      <c r="A543" s="6" t="s">
        <v>1007</v>
      </c>
      <c r="B543" s="6" t="s">
        <v>1008</v>
      </c>
      <c r="C543" s="7" t="s">
        <v>1009</v>
      </c>
      <c r="D543" s="6">
        <v>4</v>
      </c>
      <c r="E543" s="8" t="s">
        <v>1010</v>
      </c>
      <c r="F543" s="6" t="s">
        <v>718</v>
      </c>
      <c r="G543" s="33" t="s">
        <v>88</v>
      </c>
    </row>
    <row r="544" spans="1:7" ht="14" x14ac:dyDescent="0.15">
      <c r="A544" s="6" t="s">
        <v>1011</v>
      </c>
      <c r="B544" s="6" t="s">
        <v>1012</v>
      </c>
      <c r="C544" s="7" t="s">
        <v>1013</v>
      </c>
      <c r="D544" s="6">
        <v>5</v>
      </c>
      <c r="E544" s="8" t="s">
        <v>1014</v>
      </c>
      <c r="F544" s="6" t="s">
        <v>718</v>
      </c>
      <c r="G544" s="33" t="s">
        <v>18</v>
      </c>
    </row>
    <row r="545" spans="1:7" ht="28" x14ac:dyDescent="0.15">
      <c r="A545" s="6" t="s">
        <v>1011</v>
      </c>
      <c r="B545" s="6" t="s">
        <v>1012</v>
      </c>
      <c r="C545" s="7" t="s">
        <v>1013</v>
      </c>
      <c r="D545" s="6">
        <v>8</v>
      </c>
      <c r="E545" s="8" t="s">
        <v>1015</v>
      </c>
      <c r="F545" s="6" t="s">
        <v>718</v>
      </c>
      <c r="G545" s="33" t="s">
        <v>18</v>
      </c>
    </row>
    <row r="546" spans="1:7" ht="14" x14ac:dyDescent="0.15">
      <c r="A546" s="6" t="s">
        <v>1011</v>
      </c>
      <c r="B546" s="6" t="s">
        <v>1012</v>
      </c>
      <c r="C546" s="7" t="s">
        <v>1013</v>
      </c>
      <c r="D546" s="6">
        <v>19</v>
      </c>
      <c r="E546" s="8" t="s">
        <v>1016</v>
      </c>
      <c r="F546" s="6" t="s">
        <v>718</v>
      </c>
      <c r="G546" s="33" t="s">
        <v>18</v>
      </c>
    </row>
    <row r="547" spans="1:7" ht="14" x14ac:dyDescent="0.15">
      <c r="A547" s="6" t="s">
        <v>1011</v>
      </c>
      <c r="B547" s="6" t="s">
        <v>1012</v>
      </c>
      <c r="C547" s="7" t="s">
        <v>1013</v>
      </c>
      <c r="D547" s="6">
        <v>30</v>
      </c>
      <c r="E547" s="8" t="s">
        <v>1017</v>
      </c>
      <c r="F547" s="6" t="s">
        <v>718</v>
      </c>
      <c r="G547" s="33" t="s">
        <v>18</v>
      </c>
    </row>
    <row r="548" spans="1:7" ht="14" x14ac:dyDescent="0.15">
      <c r="A548" s="6" t="s">
        <v>377</v>
      </c>
      <c r="B548" s="6" t="s">
        <v>378</v>
      </c>
      <c r="C548" s="7" t="s">
        <v>379</v>
      </c>
      <c r="D548" s="6">
        <v>52</v>
      </c>
      <c r="E548" s="8" t="s">
        <v>1018</v>
      </c>
      <c r="F548" s="6" t="s">
        <v>718</v>
      </c>
      <c r="G548" s="33" t="s">
        <v>30</v>
      </c>
    </row>
    <row r="549" spans="1:7" ht="14" x14ac:dyDescent="0.15">
      <c r="A549" s="6" t="s">
        <v>1019</v>
      </c>
      <c r="B549" s="6" t="s">
        <v>1020</v>
      </c>
      <c r="C549" s="7" t="s">
        <v>1021</v>
      </c>
      <c r="D549" s="6">
        <v>51</v>
      </c>
      <c r="E549" s="8" t="s">
        <v>1022</v>
      </c>
      <c r="F549" s="6" t="s">
        <v>718</v>
      </c>
      <c r="G549" s="33" t="s">
        <v>12</v>
      </c>
    </row>
    <row r="550" spans="1:7" ht="14" x14ac:dyDescent="0.15">
      <c r="A550" s="6" t="s">
        <v>1023</v>
      </c>
      <c r="B550" s="6" t="s">
        <v>1024</v>
      </c>
      <c r="C550" s="7" t="s">
        <v>1025</v>
      </c>
      <c r="D550" s="6">
        <v>15</v>
      </c>
      <c r="E550" s="8" t="s">
        <v>1026</v>
      </c>
      <c r="F550" s="6" t="s">
        <v>718</v>
      </c>
      <c r="G550" s="33" t="s">
        <v>30</v>
      </c>
    </row>
    <row r="551" spans="1:7" ht="14" x14ac:dyDescent="0.15">
      <c r="A551" s="6" t="s">
        <v>1023</v>
      </c>
      <c r="B551" s="6" t="s">
        <v>1024</v>
      </c>
      <c r="C551" s="7" t="s">
        <v>1025</v>
      </c>
      <c r="D551" s="6">
        <v>26</v>
      </c>
      <c r="E551" s="8" t="s">
        <v>1027</v>
      </c>
      <c r="F551" s="6" t="s">
        <v>718</v>
      </c>
      <c r="G551" s="33" t="s">
        <v>30</v>
      </c>
    </row>
    <row r="552" spans="1:7" ht="14" x14ac:dyDescent="0.15">
      <c r="A552" s="6" t="s">
        <v>1023</v>
      </c>
      <c r="B552" s="6" t="s">
        <v>1024</v>
      </c>
      <c r="C552" s="7" t="s">
        <v>1025</v>
      </c>
      <c r="D552" s="6">
        <v>27</v>
      </c>
      <c r="E552" s="8" t="s">
        <v>1028</v>
      </c>
      <c r="F552" s="6" t="s">
        <v>718</v>
      </c>
      <c r="G552" s="33" t="s">
        <v>30</v>
      </c>
    </row>
    <row r="553" spans="1:7" ht="14" x14ac:dyDescent="0.15">
      <c r="A553" s="6" t="s">
        <v>382</v>
      </c>
      <c r="B553" s="6" t="s">
        <v>383</v>
      </c>
      <c r="C553" s="7" t="s">
        <v>384</v>
      </c>
      <c r="D553" s="6">
        <v>89</v>
      </c>
      <c r="E553" s="8" t="s">
        <v>1029</v>
      </c>
      <c r="F553" s="6" t="s">
        <v>718</v>
      </c>
      <c r="G553" s="33" t="s">
        <v>30</v>
      </c>
    </row>
    <row r="554" spans="1:7" ht="14" x14ac:dyDescent="0.15">
      <c r="A554" s="6" t="s">
        <v>1030</v>
      </c>
      <c r="B554" s="6" t="s">
        <v>1031</v>
      </c>
      <c r="C554" s="7" t="s">
        <v>1032</v>
      </c>
      <c r="D554" s="6">
        <v>32</v>
      </c>
      <c r="E554" s="8" t="s">
        <v>1033</v>
      </c>
      <c r="F554" s="6" t="s">
        <v>718</v>
      </c>
      <c r="G554" s="33" t="s">
        <v>342</v>
      </c>
    </row>
    <row r="555" spans="1:7" ht="28" x14ac:dyDescent="0.15">
      <c r="A555" s="6" t="s">
        <v>84</v>
      </c>
      <c r="B555" s="6" t="s">
        <v>85</v>
      </c>
      <c r="C555" s="7" t="s">
        <v>86</v>
      </c>
      <c r="D555" s="6">
        <v>99</v>
      </c>
      <c r="E555" s="8" t="s">
        <v>1034</v>
      </c>
      <c r="F555" s="6" t="s">
        <v>718</v>
      </c>
      <c r="G555" s="33" t="s">
        <v>18</v>
      </c>
    </row>
    <row r="556" spans="1:7" ht="14" x14ac:dyDescent="0.15">
      <c r="A556" s="6" t="s">
        <v>84</v>
      </c>
      <c r="B556" s="6" t="s">
        <v>85</v>
      </c>
      <c r="C556" s="7" t="s">
        <v>86</v>
      </c>
      <c r="D556" s="6">
        <v>115</v>
      </c>
      <c r="E556" s="8" t="s">
        <v>1035</v>
      </c>
      <c r="F556" s="6" t="s">
        <v>718</v>
      </c>
      <c r="G556" s="33" t="s">
        <v>88</v>
      </c>
    </row>
    <row r="557" spans="1:7" ht="14" x14ac:dyDescent="0.15">
      <c r="A557" s="6" t="s">
        <v>1036</v>
      </c>
      <c r="B557" s="6" t="s">
        <v>1037</v>
      </c>
      <c r="C557" s="7" t="s">
        <v>1038</v>
      </c>
      <c r="D557" s="6">
        <v>44</v>
      </c>
      <c r="E557" s="8" t="s">
        <v>1039</v>
      </c>
      <c r="F557" s="6" t="s">
        <v>718</v>
      </c>
      <c r="G557" s="33" t="s">
        <v>88</v>
      </c>
    </row>
    <row r="558" spans="1:7" ht="14" x14ac:dyDescent="0.15">
      <c r="A558" s="6" t="s">
        <v>1036</v>
      </c>
      <c r="B558" s="6" t="s">
        <v>1037</v>
      </c>
      <c r="C558" s="7" t="s">
        <v>1038</v>
      </c>
      <c r="D558" s="6">
        <v>46</v>
      </c>
      <c r="E558" s="8" t="s">
        <v>1040</v>
      </c>
      <c r="F558" s="6" t="s">
        <v>718</v>
      </c>
      <c r="G558" s="33" t="s">
        <v>88</v>
      </c>
    </row>
    <row r="559" spans="1:7" ht="14" x14ac:dyDescent="0.15">
      <c r="A559" s="6" t="s">
        <v>1036</v>
      </c>
      <c r="B559" s="6" t="s">
        <v>1037</v>
      </c>
      <c r="C559" s="7" t="s">
        <v>1038</v>
      </c>
      <c r="D559" s="6">
        <v>47</v>
      </c>
      <c r="E559" s="8" t="s">
        <v>1041</v>
      </c>
      <c r="F559" s="6" t="s">
        <v>718</v>
      </c>
      <c r="G559" s="33" t="s">
        <v>88</v>
      </c>
    </row>
    <row r="560" spans="1:7" ht="14" x14ac:dyDescent="0.15">
      <c r="A560" s="6" t="s">
        <v>1036</v>
      </c>
      <c r="B560" s="6" t="s">
        <v>1037</v>
      </c>
      <c r="C560" s="7" t="s">
        <v>1038</v>
      </c>
      <c r="D560" s="6">
        <v>54</v>
      </c>
      <c r="E560" s="8" t="s">
        <v>1042</v>
      </c>
      <c r="F560" s="6" t="s">
        <v>718</v>
      </c>
      <c r="G560" s="33" t="s">
        <v>88</v>
      </c>
    </row>
    <row r="561" spans="1:7" ht="14" x14ac:dyDescent="0.15">
      <c r="A561" s="6" t="s">
        <v>1036</v>
      </c>
      <c r="B561" s="6" t="s">
        <v>1037</v>
      </c>
      <c r="C561" s="7" t="s">
        <v>1038</v>
      </c>
      <c r="D561" s="6">
        <v>74</v>
      </c>
      <c r="E561" s="8" t="s">
        <v>1043</v>
      </c>
      <c r="F561" s="6" t="s">
        <v>718</v>
      </c>
      <c r="G561" s="33" t="s">
        <v>30</v>
      </c>
    </row>
    <row r="562" spans="1:7" ht="14" x14ac:dyDescent="0.15">
      <c r="A562" s="6" t="s">
        <v>1036</v>
      </c>
      <c r="B562" s="6" t="s">
        <v>1037</v>
      </c>
      <c r="C562" s="7" t="s">
        <v>1038</v>
      </c>
      <c r="D562" s="6">
        <v>75</v>
      </c>
      <c r="E562" s="8" t="s">
        <v>1044</v>
      </c>
      <c r="F562" s="6" t="s">
        <v>718</v>
      </c>
      <c r="G562" s="33" t="s">
        <v>30</v>
      </c>
    </row>
    <row r="563" spans="1:7" ht="14" x14ac:dyDescent="0.15">
      <c r="A563" s="6" t="s">
        <v>1036</v>
      </c>
      <c r="B563" s="6" t="s">
        <v>1037</v>
      </c>
      <c r="C563" s="7" t="s">
        <v>1038</v>
      </c>
      <c r="D563" s="6">
        <v>77</v>
      </c>
      <c r="E563" s="8" t="s">
        <v>1045</v>
      </c>
      <c r="F563" s="6" t="s">
        <v>718</v>
      </c>
      <c r="G563" s="33" t="s">
        <v>83</v>
      </c>
    </row>
    <row r="564" spans="1:7" ht="14" x14ac:dyDescent="0.15">
      <c r="A564" s="6" t="s">
        <v>1036</v>
      </c>
      <c r="B564" s="6" t="s">
        <v>1037</v>
      </c>
      <c r="C564" s="7" t="s">
        <v>1038</v>
      </c>
      <c r="D564" s="6">
        <v>82</v>
      </c>
      <c r="E564" s="8" t="s">
        <v>1046</v>
      </c>
      <c r="F564" s="6" t="s">
        <v>718</v>
      </c>
      <c r="G564" s="33" t="s">
        <v>12</v>
      </c>
    </row>
    <row r="565" spans="1:7" ht="14" x14ac:dyDescent="0.15">
      <c r="A565" s="6" t="s">
        <v>1036</v>
      </c>
      <c r="B565" s="6" t="s">
        <v>1037</v>
      </c>
      <c r="C565" s="7" t="s">
        <v>1038</v>
      </c>
      <c r="D565" s="6">
        <v>84</v>
      </c>
      <c r="E565" s="8" t="s">
        <v>1047</v>
      </c>
      <c r="F565" s="6" t="s">
        <v>718</v>
      </c>
      <c r="G565" s="33" t="s">
        <v>12</v>
      </c>
    </row>
    <row r="566" spans="1:7" ht="28" x14ac:dyDescent="0.15">
      <c r="A566" s="6" t="s">
        <v>1036</v>
      </c>
      <c r="B566" s="6" t="s">
        <v>1037</v>
      </c>
      <c r="C566" s="7" t="s">
        <v>1038</v>
      </c>
      <c r="D566" s="6">
        <v>86</v>
      </c>
      <c r="E566" s="8" t="s">
        <v>1048</v>
      </c>
      <c r="F566" s="6" t="s">
        <v>718</v>
      </c>
      <c r="G566" s="33" t="s">
        <v>12</v>
      </c>
    </row>
    <row r="567" spans="1:7" ht="14" x14ac:dyDescent="0.15">
      <c r="A567" s="6" t="s">
        <v>1049</v>
      </c>
      <c r="B567" s="6" t="s">
        <v>1050</v>
      </c>
      <c r="C567" s="7" t="s">
        <v>1051</v>
      </c>
      <c r="D567" s="6">
        <v>4</v>
      </c>
      <c r="E567" s="8" t="s">
        <v>1052</v>
      </c>
      <c r="F567" s="6" t="s">
        <v>718</v>
      </c>
      <c r="G567" s="33" t="s">
        <v>12</v>
      </c>
    </row>
    <row r="568" spans="1:7" ht="28" x14ac:dyDescent="0.15">
      <c r="A568" s="6" t="s">
        <v>1053</v>
      </c>
      <c r="B568" s="6" t="s">
        <v>1054</v>
      </c>
      <c r="C568" s="7" t="s">
        <v>1055</v>
      </c>
      <c r="D568" s="6">
        <v>5</v>
      </c>
      <c r="E568" s="8" t="s">
        <v>1056</v>
      </c>
      <c r="F568" s="6" t="s">
        <v>718</v>
      </c>
      <c r="G568" s="33" t="s">
        <v>18</v>
      </c>
    </row>
    <row r="569" spans="1:7" ht="14" x14ac:dyDescent="0.15">
      <c r="A569" s="6" t="s">
        <v>7</v>
      </c>
      <c r="B569" s="6" t="s">
        <v>8</v>
      </c>
      <c r="C569" s="7" t="s">
        <v>1057</v>
      </c>
      <c r="D569" s="6">
        <v>32</v>
      </c>
      <c r="E569" s="8" t="s">
        <v>801</v>
      </c>
      <c r="F569" s="6" t="s">
        <v>718</v>
      </c>
      <c r="G569" s="33" t="s">
        <v>12</v>
      </c>
    </row>
    <row r="570" spans="1:7" ht="14" x14ac:dyDescent="0.15">
      <c r="A570" s="6" t="s">
        <v>7</v>
      </c>
      <c r="B570" s="6" t="s">
        <v>8</v>
      </c>
      <c r="C570" s="7" t="s">
        <v>1057</v>
      </c>
      <c r="D570" s="6">
        <v>35</v>
      </c>
      <c r="E570" s="8" t="s">
        <v>802</v>
      </c>
      <c r="F570" s="6" t="s">
        <v>718</v>
      </c>
      <c r="G570" s="33" t="s">
        <v>12</v>
      </c>
    </row>
    <row r="571" spans="1:7" ht="14" x14ac:dyDescent="0.15">
      <c r="A571" s="6" t="s">
        <v>7</v>
      </c>
      <c r="B571" s="6" t="s">
        <v>8</v>
      </c>
      <c r="C571" s="7" t="s">
        <v>1057</v>
      </c>
      <c r="D571" s="6">
        <v>49</v>
      </c>
      <c r="E571" s="8" t="s">
        <v>803</v>
      </c>
      <c r="F571" s="6" t="s">
        <v>718</v>
      </c>
      <c r="G571" s="33" t="s">
        <v>18</v>
      </c>
    </row>
    <row r="572" spans="1:7" ht="28" x14ac:dyDescent="0.15">
      <c r="A572" s="6" t="s">
        <v>7</v>
      </c>
      <c r="B572" s="6" t="s">
        <v>8</v>
      </c>
      <c r="C572" s="7" t="s">
        <v>1057</v>
      </c>
      <c r="D572" s="6">
        <v>80</v>
      </c>
      <c r="E572" s="8" t="s">
        <v>804</v>
      </c>
      <c r="F572" s="6" t="s">
        <v>718</v>
      </c>
      <c r="G572" s="33" t="s">
        <v>23</v>
      </c>
    </row>
    <row r="573" spans="1:7" ht="14" x14ac:dyDescent="0.15">
      <c r="A573" s="6" t="s">
        <v>7</v>
      </c>
      <c r="B573" s="6" t="s">
        <v>8</v>
      </c>
      <c r="C573" s="7" t="s">
        <v>1057</v>
      </c>
      <c r="D573" s="6">
        <v>85</v>
      </c>
      <c r="E573" s="8" t="s">
        <v>805</v>
      </c>
      <c r="F573" s="6" t="s">
        <v>718</v>
      </c>
      <c r="G573" s="33" t="s">
        <v>23</v>
      </c>
    </row>
    <row r="574" spans="1:7" ht="14" x14ac:dyDescent="0.15">
      <c r="A574" s="6" t="s">
        <v>7</v>
      </c>
      <c r="B574" s="6" t="s">
        <v>8</v>
      </c>
      <c r="C574" s="7" t="s">
        <v>1057</v>
      </c>
      <c r="D574" s="6">
        <v>91</v>
      </c>
      <c r="E574" s="8" t="s">
        <v>806</v>
      </c>
      <c r="F574" s="6" t="s">
        <v>718</v>
      </c>
      <c r="G574" s="33" t="s">
        <v>18</v>
      </c>
    </row>
    <row r="575" spans="1:7" ht="14" x14ac:dyDescent="0.15">
      <c r="A575" s="6" t="s">
        <v>390</v>
      </c>
      <c r="B575" s="6" t="s">
        <v>390</v>
      </c>
      <c r="C575" s="7" t="s">
        <v>391</v>
      </c>
      <c r="D575" s="6">
        <v>16</v>
      </c>
      <c r="E575" s="8" t="s">
        <v>1058</v>
      </c>
      <c r="F575" s="6" t="s">
        <v>718</v>
      </c>
      <c r="G575" s="33" t="s">
        <v>513</v>
      </c>
    </row>
    <row r="576" spans="1:7" ht="14" x14ac:dyDescent="0.15">
      <c r="A576" s="6" t="s">
        <v>390</v>
      </c>
      <c r="B576" s="6" t="s">
        <v>390</v>
      </c>
      <c r="C576" s="7" t="s">
        <v>391</v>
      </c>
      <c r="D576" s="6">
        <v>95</v>
      </c>
      <c r="E576" s="8" t="s">
        <v>1059</v>
      </c>
      <c r="F576" s="6" t="s">
        <v>718</v>
      </c>
      <c r="G576" s="33" t="s">
        <v>136</v>
      </c>
    </row>
    <row r="577" spans="1:7" ht="14" x14ac:dyDescent="0.15">
      <c r="A577" s="6" t="s">
        <v>390</v>
      </c>
      <c r="B577" s="6" t="s">
        <v>390</v>
      </c>
      <c r="C577" s="7" t="s">
        <v>391</v>
      </c>
      <c r="D577" s="6">
        <v>130</v>
      </c>
      <c r="E577" s="8" t="s">
        <v>1060</v>
      </c>
      <c r="F577" s="6" t="s">
        <v>718</v>
      </c>
      <c r="G577" s="33" t="s">
        <v>12</v>
      </c>
    </row>
    <row r="578" spans="1:7" ht="14" x14ac:dyDescent="0.15">
      <c r="A578" s="6" t="s">
        <v>390</v>
      </c>
      <c r="B578" s="6" t="s">
        <v>390</v>
      </c>
      <c r="C578" s="7" t="s">
        <v>391</v>
      </c>
      <c r="D578" s="6">
        <v>145</v>
      </c>
      <c r="E578" s="8" t="s">
        <v>1061</v>
      </c>
      <c r="F578" s="6" t="s">
        <v>718</v>
      </c>
      <c r="G578" s="33" t="s">
        <v>12</v>
      </c>
    </row>
    <row r="579" spans="1:7" ht="14" x14ac:dyDescent="0.15">
      <c r="A579" s="6" t="s">
        <v>390</v>
      </c>
      <c r="B579" s="6" t="s">
        <v>390</v>
      </c>
      <c r="C579" s="7" t="s">
        <v>391</v>
      </c>
      <c r="D579" s="6">
        <v>147</v>
      </c>
      <c r="E579" s="8" t="s">
        <v>1062</v>
      </c>
      <c r="F579" s="6" t="s">
        <v>718</v>
      </c>
      <c r="G579" s="33" t="s">
        <v>12</v>
      </c>
    </row>
    <row r="580" spans="1:7" ht="14" x14ac:dyDescent="0.15">
      <c r="A580" s="6" t="s">
        <v>1063</v>
      </c>
      <c r="B580" s="6" t="s">
        <v>1064</v>
      </c>
      <c r="C580" s="7" t="s">
        <v>1065</v>
      </c>
      <c r="D580" s="6">
        <v>47</v>
      </c>
      <c r="E580" s="8" t="s">
        <v>1006</v>
      </c>
      <c r="F580" s="6" t="s">
        <v>718</v>
      </c>
      <c r="G580" s="33" t="s">
        <v>342</v>
      </c>
    </row>
    <row r="581" spans="1:7" ht="28" x14ac:dyDescent="0.15">
      <c r="A581" s="6" t="s">
        <v>393</v>
      </c>
      <c r="B581" s="6" t="s">
        <v>394</v>
      </c>
      <c r="C581" s="7" t="s">
        <v>395</v>
      </c>
      <c r="D581" s="6">
        <v>16</v>
      </c>
      <c r="E581" s="8" t="s">
        <v>1066</v>
      </c>
      <c r="F581" s="6" t="s">
        <v>718</v>
      </c>
      <c r="G581" s="33" t="s">
        <v>23</v>
      </c>
    </row>
    <row r="582" spans="1:7" ht="28" x14ac:dyDescent="0.15">
      <c r="A582" s="6" t="s">
        <v>393</v>
      </c>
      <c r="B582" s="6" t="s">
        <v>394</v>
      </c>
      <c r="C582" s="7" t="s">
        <v>395</v>
      </c>
      <c r="D582" s="6">
        <v>37</v>
      </c>
      <c r="E582" s="8" t="s">
        <v>1067</v>
      </c>
      <c r="F582" s="6" t="s">
        <v>718</v>
      </c>
      <c r="G582" s="33" t="s">
        <v>23</v>
      </c>
    </row>
    <row r="583" spans="1:7" ht="14" x14ac:dyDescent="0.15">
      <c r="A583" s="6" t="s">
        <v>393</v>
      </c>
      <c r="B583" s="6" t="s">
        <v>394</v>
      </c>
      <c r="C583" s="7" t="s">
        <v>395</v>
      </c>
      <c r="D583" s="6">
        <v>80</v>
      </c>
      <c r="E583" s="8" t="s">
        <v>1068</v>
      </c>
      <c r="F583" s="6" t="s">
        <v>718</v>
      </c>
      <c r="G583" s="33" t="s">
        <v>18</v>
      </c>
    </row>
    <row r="584" spans="1:7" ht="14" x14ac:dyDescent="0.15">
      <c r="A584" s="6" t="s">
        <v>393</v>
      </c>
      <c r="B584" s="6" t="s">
        <v>394</v>
      </c>
      <c r="C584" s="7" t="s">
        <v>395</v>
      </c>
      <c r="D584" s="6">
        <v>85</v>
      </c>
      <c r="E584" s="8" t="s">
        <v>1069</v>
      </c>
      <c r="F584" s="6" t="s">
        <v>718</v>
      </c>
      <c r="G584" s="33" t="s">
        <v>12</v>
      </c>
    </row>
    <row r="585" spans="1:7" ht="14" x14ac:dyDescent="0.15">
      <c r="A585" s="6" t="s">
        <v>393</v>
      </c>
      <c r="B585" s="6" t="s">
        <v>394</v>
      </c>
      <c r="C585" s="7" t="s">
        <v>395</v>
      </c>
      <c r="D585" s="6">
        <v>88</v>
      </c>
      <c r="E585" s="8" t="s">
        <v>1070</v>
      </c>
      <c r="F585" s="6" t="s">
        <v>718</v>
      </c>
      <c r="G585" s="33" t="s">
        <v>513</v>
      </c>
    </row>
    <row r="586" spans="1:7" ht="28" x14ac:dyDescent="0.15">
      <c r="A586" s="6" t="s">
        <v>393</v>
      </c>
      <c r="B586" s="6" t="s">
        <v>394</v>
      </c>
      <c r="C586" s="7" t="s">
        <v>395</v>
      </c>
      <c r="D586" s="6">
        <v>95</v>
      </c>
      <c r="E586" s="8" t="s">
        <v>1071</v>
      </c>
      <c r="F586" s="6" t="s">
        <v>718</v>
      </c>
      <c r="G586" s="33" t="s">
        <v>18</v>
      </c>
    </row>
    <row r="587" spans="1:7" ht="28" x14ac:dyDescent="0.15">
      <c r="A587" s="6" t="s">
        <v>393</v>
      </c>
      <c r="B587" s="6" t="s">
        <v>394</v>
      </c>
      <c r="C587" s="7" t="s">
        <v>395</v>
      </c>
      <c r="D587" s="6">
        <v>109</v>
      </c>
      <c r="E587" s="8" t="s">
        <v>1072</v>
      </c>
      <c r="F587" s="6" t="s">
        <v>718</v>
      </c>
      <c r="G587" s="33" t="s">
        <v>18</v>
      </c>
    </row>
    <row r="588" spans="1:7" ht="28" x14ac:dyDescent="0.15">
      <c r="A588" s="6" t="s">
        <v>393</v>
      </c>
      <c r="B588" s="6" t="s">
        <v>394</v>
      </c>
      <c r="C588" s="7" t="s">
        <v>395</v>
      </c>
      <c r="D588" s="6">
        <v>113</v>
      </c>
      <c r="E588" s="8" t="s">
        <v>1073</v>
      </c>
      <c r="F588" s="6" t="s">
        <v>718</v>
      </c>
      <c r="G588" s="33" t="s">
        <v>30</v>
      </c>
    </row>
    <row r="589" spans="1:7" ht="28" x14ac:dyDescent="0.15">
      <c r="A589" s="6" t="s">
        <v>393</v>
      </c>
      <c r="B589" s="6" t="s">
        <v>394</v>
      </c>
      <c r="C589" s="7" t="s">
        <v>395</v>
      </c>
      <c r="D589" s="6">
        <v>120</v>
      </c>
      <c r="E589" s="8" t="s">
        <v>1074</v>
      </c>
      <c r="F589" s="6" t="s">
        <v>718</v>
      </c>
      <c r="G589" s="33" t="s">
        <v>30</v>
      </c>
    </row>
    <row r="590" spans="1:7" ht="14" x14ac:dyDescent="0.15">
      <c r="A590" s="6" t="s">
        <v>393</v>
      </c>
      <c r="B590" s="6" t="s">
        <v>394</v>
      </c>
      <c r="C590" s="7" t="s">
        <v>395</v>
      </c>
      <c r="D590" s="6">
        <v>122</v>
      </c>
      <c r="E590" s="8" t="s">
        <v>1075</v>
      </c>
      <c r="F590" s="6" t="s">
        <v>718</v>
      </c>
      <c r="G590" s="33" t="s">
        <v>30</v>
      </c>
    </row>
    <row r="591" spans="1:7" ht="28" x14ac:dyDescent="0.15">
      <c r="A591" s="6" t="s">
        <v>393</v>
      </c>
      <c r="B591" s="6" t="s">
        <v>394</v>
      </c>
      <c r="C591" s="7" t="s">
        <v>395</v>
      </c>
      <c r="D591" s="6">
        <v>142</v>
      </c>
      <c r="E591" s="8" t="s">
        <v>1076</v>
      </c>
      <c r="F591" s="6" t="s">
        <v>718</v>
      </c>
      <c r="G591" s="33" t="s">
        <v>136</v>
      </c>
    </row>
    <row r="592" spans="1:7" ht="28" x14ac:dyDescent="0.15">
      <c r="A592" s="6" t="s">
        <v>393</v>
      </c>
      <c r="B592" s="6" t="s">
        <v>394</v>
      </c>
      <c r="C592" s="7" t="s">
        <v>395</v>
      </c>
      <c r="D592" s="6">
        <v>152</v>
      </c>
      <c r="E592" s="8" t="s">
        <v>1077</v>
      </c>
      <c r="F592" s="6" t="s">
        <v>718</v>
      </c>
      <c r="G592" s="33" t="s">
        <v>12</v>
      </c>
    </row>
    <row r="593" spans="1:7" ht="28" x14ac:dyDescent="0.15">
      <c r="A593" s="6" t="s">
        <v>393</v>
      </c>
      <c r="B593" s="6" t="s">
        <v>394</v>
      </c>
      <c r="C593" s="7" t="s">
        <v>395</v>
      </c>
      <c r="D593" s="6">
        <v>170</v>
      </c>
      <c r="E593" s="8" t="s">
        <v>1078</v>
      </c>
      <c r="F593" s="6" t="s">
        <v>718</v>
      </c>
      <c r="G593" s="33" t="s">
        <v>18</v>
      </c>
    </row>
    <row r="594" spans="1:7" ht="28" x14ac:dyDescent="0.15">
      <c r="A594" s="6" t="s">
        <v>393</v>
      </c>
      <c r="B594" s="6" t="s">
        <v>394</v>
      </c>
      <c r="C594" s="7" t="s">
        <v>395</v>
      </c>
      <c r="D594" s="6">
        <v>190</v>
      </c>
      <c r="E594" s="8" t="s">
        <v>1079</v>
      </c>
      <c r="F594" s="6" t="s">
        <v>718</v>
      </c>
      <c r="G594" s="33" t="s">
        <v>88</v>
      </c>
    </row>
    <row r="595" spans="1:7" ht="42" x14ac:dyDescent="0.15">
      <c r="A595" s="6" t="s">
        <v>393</v>
      </c>
      <c r="B595" s="6" t="s">
        <v>394</v>
      </c>
      <c r="C595" s="7" t="s">
        <v>395</v>
      </c>
      <c r="D595" s="6">
        <v>199</v>
      </c>
      <c r="E595" s="8" t="s">
        <v>1080</v>
      </c>
      <c r="F595" s="6" t="s">
        <v>718</v>
      </c>
      <c r="G595" s="33" t="s">
        <v>88</v>
      </c>
    </row>
    <row r="596" spans="1:7" ht="14" x14ac:dyDescent="0.15">
      <c r="A596" s="6" t="s">
        <v>393</v>
      </c>
      <c r="B596" s="6" t="s">
        <v>394</v>
      </c>
      <c r="C596" s="7" t="s">
        <v>395</v>
      </c>
      <c r="D596" s="6">
        <v>200</v>
      </c>
      <c r="E596" s="8" t="s">
        <v>1081</v>
      </c>
      <c r="F596" s="6" t="s">
        <v>718</v>
      </c>
      <c r="G596" s="33" t="s">
        <v>88</v>
      </c>
    </row>
    <row r="597" spans="1:7" ht="14" x14ac:dyDescent="0.15">
      <c r="A597" s="6" t="s">
        <v>393</v>
      </c>
      <c r="B597" s="6" t="s">
        <v>394</v>
      </c>
      <c r="C597" s="7" t="s">
        <v>395</v>
      </c>
      <c r="D597" s="6">
        <v>227</v>
      </c>
      <c r="E597" s="8" t="s">
        <v>1082</v>
      </c>
      <c r="F597" s="6" t="s">
        <v>718</v>
      </c>
      <c r="G597" s="33" t="s">
        <v>18</v>
      </c>
    </row>
    <row r="598" spans="1:7" ht="14" x14ac:dyDescent="0.15">
      <c r="A598" s="6" t="s">
        <v>393</v>
      </c>
      <c r="B598" s="6" t="s">
        <v>394</v>
      </c>
      <c r="C598" s="7" t="s">
        <v>395</v>
      </c>
      <c r="D598" s="6">
        <v>229</v>
      </c>
      <c r="E598" s="8" t="s">
        <v>1083</v>
      </c>
      <c r="F598" s="6" t="s">
        <v>718</v>
      </c>
      <c r="G598" s="33" t="s">
        <v>18</v>
      </c>
    </row>
    <row r="599" spans="1:7" ht="14" x14ac:dyDescent="0.15">
      <c r="A599" s="6" t="s">
        <v>393</v>
      </c>
      <c r="B599" s="6" t="s">
        <v>394</v>
      </c>
      <c r="C599" s="7" t="s">
        <v>395</v>
      </c>
      <c r="D599" s="6">
        <v>242</v>
      </c>
      <c r="E599" s="8" t="s">
        <v>1084</v>
      </c>
      <c r="F599" s="6" t="s">
        <v>718</v>
      </c>
      <c r="G599" s="33" t="s">
        <v>12</v>
      </c>
    </row>
    <row r="600" spans="1:7" ht="14" x14ac:dyDescent="0.15">
      <c r="A600" s="6" t="s">
        <v>393</v>
      </c>
      <c r="B600" s="6" t="s">
        <v>394</v>
      </c>
      <c r="C600" s="7" t="s">
        <v>395</v>
      </c>
      <c r="D600" s="6">
        <v>245</v>
      </c>
      <c r="E600" s="8" t="s">
        <v>1085</v>
      </c>
      <c r="F600" s="6" t="s">
        <v>718</v>
      </c>
      <c r="G600" s="33" t="s">
        <v>12</v>
      </c>
    </row>
    <row r="601" spans="1:7" ht="28" x14ac:dyDescent="0.15">
      <c r="A601" s="6" t="s">
        <v>1086</v>
      </c>
      <c r="B601" s="6" t="s">
        <v>1087</v>
      </c>
      <c r="C601" s="7" t="s">
        <v>1088</v>
      </c>
      <c r="D601" s="6">
        <v>23</v>
      </c>
      <c r="E601" s="8" t="s">
        <v>1089</v>
      </c>
      <c r="F601" s="6" t="s">
        <v>718</v>
      </c>
      <c r="G601" s="33" t="s">
        <v>18</v>
      </c>
    </row>
    <row r="602" spans="1:7" ht="14" x14ac:dyDescent="0.15">
      <c r="A602" s="6" t="s">
        <v>1086</v>
      </c>
      <c r="B602" s="6" t="s">
        <v>1087</v>
      </c>
      <c r="C602" s="7" t="s">
        <v>1088</v>
      </c>
      <c r="D602" s="6">
        <v>75</v>
      </c>
      <c r="E602" s="8" t="s">
        <v>1090</v>
      </c>
      <c r="F602" s="6" t="s">
        <v>718</v>
      </c>
      <c r="G602" s="33" t="s">
        <v>23</v>
      </c>
    </row>
    <row r="603" spans="1:7" ht="14" x14ac:dyDescent="0.15">
      <c r="A603" s="6" t="s">
        <v>1086</v>
      </c>
      <c r="B603" s="6" t="s">
        <v>1087</v>
      </c>
      <c r="C603" s="7" t="s">
        <v>1088</v>
      </c>
      <c r="D603" s="6">
        <v>92</v>
      </c>
      <c r="E603" s="8" t="s">
        <v>1091</v>
      </c>
      <c r="F603" s="6" t="s">
        <v>718</v>
      </c>
      <c r="G603" s="33" t="s">
        <v>30</v>
      </c>
    </row>
    <row r="604" spans="1:7" ht="14" x14ac:dyDescent="0.15">
      <c r="A604" s="6" t="s">
        <v>1086</v>
      </c>
      <c r="B604" s="6" t="s">
        <v>1087</v>
      </c>
      <c r="C604" s="7" t="s">
        <v>1088</v>
      </c>
      <c r="D604" s="6">
        <v>97</v>
      </c>
      <c r="E604" s="8" t="s">
        <v>1092</v>
      </c>
      <c r="F604" s="6" t="s">
        <v>718</v>
      </c>
      <c r="G604" s="33" t="s">
        <v>88</v>
      </c>
    </row>
    <row r="605" spans="1:7" ht="14" x14ac:dyDescent="0.15">
      <c r="A605" s="6" t="s">
        <v>521</v>
      </c>
      <c r="B605" s="6" t="s">
        <v>1093</v>
      </c>
      <c r="C605" s="7" t="s">
        <v>1094</v>
      </c>
      <c r="D605" s="6">
        <v>27</v>
      </c>
      <c r="E605" s="8" t="s">
        <v>1095</v>
      </c>
      <c r="F605" s="6" t="s">
        <v>718</v>
      </c>
      <c r="G605" s="33" t="s">
        <v>23</v>
      </c>
    </row>
    <row r="606" spans="1:7" ht="14" x14ac:dyDescent="0.15">
      <c r="A606" s="6" t="s">
        <v>521</v>
      </c>
      <c r="B606" s="6" t="s">
        <v>1093</v>
      </c>
      <c r="C606" s="7" t="s">
        <v>1094</v>
      </c>
      <c r="D606" s="6">
        <v>35</v>
      </c>
      <c r="E606" s="8" t="s">
        <v>1096</v>
      </c>
      <c r="F606" s="6" t="s">
        <v>718</v>
      </c>
      <c r="G606" s="33" t="s">
        <v>23</v>
      </c>
    </row>
    <row r="607" spans="1:7" ht="14" x14ac:dyDescent="0.15">
      <c r="A607" s="6" t="s">
        <v>521</v>
      </c>
      <c r="B607" s="6" t="s">
        <v>1093</v>
      </c>
      <c r="C607" s="7" t="s">
        <v>1094</v>
      </c>
      <c r="D607" s="6">
        <v>87</v>
      </c>
      <c r="E607" s="8" t="s">
        <v>1097</v>
      </c>
      <c r="F607" s="6" t="s">
        <v>718</v>
      </c>
      <c r="G607" s="33" t="s">
        <v>23</v>
      </c>
    </row>
    <row r="608" spans="1:7" ht="14" x14ac:dyDescent="0.15">
      <c r="A608" s="6" t="s">
        <v>521</v>
      </c>
      <c r="B608" s="6" t="s">
        <v>1093</v>
      </c>
      <c r="C608" s="7" t="s">
        <v>1094</v>
      </c>
      <c r="D608" s="6">
        <v>88</v>
      </c>
      <c r="E608" s="8" t="s">
        <v>1098</v>
      </c>
      <c r="F608" s="6" t="s">
        <v>718</v>
      </c>
      <c r="G608" s="33" t="s">
        <v>23</v>
      </c>
    </row>
    <row r="609" spans="1:7" ht="14" x14ac:dyDescent="0.15">
      <c r="A609" s="6" t="s">
        <v>1099</v>
      </c>
      <c r="B609" s="6" t="s">
        <v>1100</v>
      </c>
      <c r="C609" s="7" t="s">
        <v>1101</v>
      </c>
      <c r="D609" s="6">
        <v>5</v>
      </c>
      <c r="E609" s="8" t="s">
        <v>1102</v>
      </c>
      <c r="F609" s="6" t="s">
        <v>718</v>
      </c>
      <c r="G609" s="33" t="s">
        <v>18</v>
      </c>
    </row>
    <row r="610" spans="1:7" ht="56" x14ac:dyDescent="0.15">
      <c r="A610" s="6" t="s">
        <v>867</v>
      </c>
      <c r="B610" s="6" t="s">
        <v>868</v>
      </c>
      <c r="C610" s="7" t="s">
        <v>1103</v>
      </c>
      <c r="D610" s="6">
        <v>26</v>
      </c>
      <c r="E610" s="8" t="s">
        <v>870</v>
      </c>
      <c r="F610" s="6" t="s">
        <v>718</v>
      </c>
      <c r="G610" s="33" t="s">
        <v>12</v>
      </c>
    </row>
    <row r="611" spans="1:7" ht="28" x14ac:dyDescent="0.15">
      <c r="A611" s="6" t="s">
        <v>867</v>
      </c>
      <c r="B611" s="6" t="s">
        <v>868</v>
      </c>
      <c r="C611" s="7" t="s">
        <v>1103</v>
      </c>
      <c r="D611" s="6">
        <v>30</v>
      </c>
      <c r="E611" s="8" t="s">
        <v>871</v>
      </c>
      <c r="F611" s="6" t="s">
        <v>718</v>
      </c>
      <c r="G611" s="33" t="s">
        <v>30</v>
      </c>
    </row>
    <row r="612" spans="1:7" ht="28" x14ac:dyDescent="0.15">
      <c r="A612" s="6" t="s">
        <v>867</v>
      </c>
      <c r="B612" s="6" t="s">
        <v>868</v>
      </c>
      <c r="C612" s="7" t="s">
        <v>1103</v>
      </c>
      <c r="D612" s="6">
        <v>33</v>
      </c>
      <c r="E612" s="8" t="s">
        <v>872</v>
      </c>
      <c r="F612" s="6" t="s">
        <v>718</v>
      </c>
      <c r="G612" s="33" t="s">
        <v>30</v>
      </c>
    </row>
    <row r="613" spans="1:7" ht="28" x14ac:dyDescent="0.15">
      <c r="A613" s="6" t="s">
        <v>867</v>
      </c>
      <c r="B613" s="6" t="s">
        <v>868</v>
      </c>
      <c r="C613" s="7" t="s">
        <v>1103</v>
      </c>
      <c r="D613" s="6">
        <v>39</v>
      </c>
      <c r="E613" s="8" t="s">
        <v>873</v>
      </c>
      <c r="F613" s="6" t="s">
        <v>718</v>
      </c>
      <c r="G613" s="33" t="s">
        <v>23</v>
      </c>
    </row>
    <row r="614" spans="1:7" ht="28" x14ac:dyDescent="0.15">
      <c r="A614" s="6" t="s">
        <v>247</v>
      </c>
      <c r="B614" s="6" t="s">
        <v>248</v>
      </c>
      <c r="C614" s="7" t="s">
        <v>399</v>
      </c>
      <c r="D614" s="6">
        <v>40</v>
      </c>
      <c r="E614" s="8" t="s">
        <v>877</v>
      </c>
      <c r="F614" s="6" t="s">
        <v>718</v>
      </c>
      <c r="G614" s="33" t="s">
        <v>30</v>
      </c>
    </row>
    <row r="615" spans="1:7" ht="28" x14ac:dyDescent="0.15">
      <c r="A615" s="6" t="s">
        <v>247</v>
      </c>
      <c r="B615" s="6" t="s">
        <v>248</v>
      </c>
      <c r="C615" s="7" t="s">
        <v>399</v>
      </c>
      <c r="D615" s="6">
        <v>53</v>
      </c>
      <c r="E615" s="8" t="s">
        <v>878</v>
      </c>
      <c r="F615" s="6" t="s">
        <v>718</v>
      </c>
      <c r="G615" s="33" t="s">
        <v>30</v>
      </c>
    </row>
    <row r="616" spans="1:7" ht="28" x14ac:dyDescent="0.15">
      <c r="A616" s="6" t="s">
        <v>247</v>
      </c>
      <c r="B616" s="6" t="s">
        <v>248</v>
      </c>
      <c r="C616" s="7" t="s">
        <v>399</v>
      </c>
      <c r="D616" s="6">
        <v>54</v>
      </c>
      <c r="E616" s="8" t="s">
        <v>879</v>
      </c>
      <c r="F616" s="6" t="s">
        <v>718</v>
      </c>
      <c r="G616" s="33" t="s">
        <v>30</v>
      </c>
    </row>
    <row r="617" spans="1:7" ht="14" x14ac:dyDescent="0.15">
      <c r="A617" s="6" t="s">
        <v>247</v>
      </c>
      <c r="B617" s="6" t="s">
        <v>248</v>
      </c>
      <c r="C617" s="7" t="s">
        <v>399</v>
      </c>
      <c r="D617" s="6">
        <v>58</v>
      </c>
      <c r="E617" s="8" t="s">
        <v>880</v>
      </c>
      <c r="F617" s="6" t="s">
        <v>718</v>
      </c>
      <c r="G617" s="33" t="s">
        <v>30</v>
      </c>
    </row>
    <row r="618" spans="1:7" ht="42" x14ac:dyDescent="0.15">
      <c r="A618" s="6" t="s">
        <v>247</v>
      </c>
      <c r="B618" s="6" t="s">
        <v>248</v>
      </c>
      <c r="C618" s="7" t="s">
        <v>399</v>
      </c>
      <c r="D618" s="6">
        <v>84</v>
      </c>
      <c r="E618" s="8" t="s">
        <v>881</v>
      </c>
      <c r="F618" s="6" t="s">
        <v>718</v>
      </c>
      <c r="G618" s="33" t="s">
        <v>30</v>
      </c>
    </row>
    <row r="619" spans="1:7" ht="14" x14ac:dyDescent="0.15">
      <c r="A619" s="6" t="s">
        <v>247</v>
      </c>
      <c r="B619" s="6" t="s">
        <v>248</v>
      </c>
      <c r="C619" s="7" t="s">
        <v>399</v>
      </c>
      <c r="D619" s="6">
        <v>111</v>
      </c>
      <c r="E619" s="8" t="s">
        <v>882</v>
      </c>
      <c r="F619" s="6" t="s">
        <v>718</v>
      </c>
      <c r="G619" s="33" t="s">
        <v>30</v>
      </c>
    </row>
    <row r="620" spans="1:7" ht="28" x14ac:dyDescent="0.15">
      <c r="A620" s="6" t="s">
        <v>247</v>
      </c>
      <c r="B620" s="6" t="s">
        <v>248</v>
      </c>
      <c r="C620" s="7" t="s">
        <v>399</v>
      </c>
      <c r="D620" s="6">
        <v>112</v>
      </c>
      <c r="E620" s="8" t="s">
        <v>883</v>
      </c>
      <c r="F620" s="6" t="s">
        <v>718</v>
      </c>
      <c r="G620" s="33" t="s">
        <v>30</v>
      </c>
    </row>
    <row r="621" spans="1:7" ht="14" x14ac:dyDescent="0.15">
      <c r="A621" s="6" t="s">
        <v>247</v>
      </c>
      <c r="B621" s="6" t="s">
        <v>248</v>
      </c>
      <c r="C621" s="7" t="s">
        <v>399</v>
      </c>
      <c r="D621" s="6">
        <v>145</v>
      </c>
      <c r="E621" s="8" t="s">
        <v>884</v>
      </c>
      <c r="F621" s="6" t="s">
        <v>718</v>
      </c>
      <c r="G621" s="33" t="s">
        <v>88</v>
      </c>
    </row>
    <row r="622" spans="1:7" ht="28" x14ac:dyDescent="0.15">
      <c r="A622" s="6" t="s">
        <v>400</v>
      </c>
      <c r="B622" s="6" t="s">
        <v>400</v>
      </c>
      <c r="C622" s="7" t="s">
        <v>401</v>
      </c>
      <c r="D622" s="6">
        <v>24</v>
      </c>
      <c r="E622" s="8" t="s">
        <v>1104</v>
      </c>
      <c r="F622" s="6" t="s">
        <v>718</v>
      </c>
      <c r="G622" s="33" t="s">
        <v>136</v>
      </c>
    </row>
    <row r="623" spans="1:7" ht="14" x14ac:dyDescent="0.15">
      <c r="A623" s="6" t="s">
        <v>400</v>
      </c>
      <c r="B623" s="6" t="s">
        <v>400</v>
      </c>
      <c r="C623" s="7" t="s">
        <v>401</v>
      </c>
      <c r="D623" s="6">
        <v>63</v>
      </c>
      <c r="E623" s="8" t="s">
        <v>1105</v>
      </c>
      <c r="F623" s="6" t="s">
        <v>718</v>
      </c>
      <c r="G623" s="33" t="s">
        <v>30</v>
      </c>
    </row>
    <row r="624" spans="1:7" ht="28" x14ac:dyDescent="0.15">
      <c r="A624" s="6" t="s">
        <v>400</v>
      </c>
      <c r="B624" s="6" t="s">
        <v>400</v>
      </c>
      <c r="C624" s="7" t="s">
        <v>401</v>
      </c>
      <c r="D624" s="6">
        <v>82</v>
      </c>
      <c r="E624" s="8" t="s">
        <v>1106</v>
      </c>
      <c r="F624" s="6" t="s">
        <v>718</v>
      </c>
      <c r="G624" s="33" t="s">
        <v>30</v>
      </c>
    </row>
    <row r="625" spans="1:7" ht="28" x14ac:dyDescent="0.15">
      <c r="A625" s="6" t="s">
        <v>400</v>
      </c>
      <c r="B625" s="6" t="s">
        <v>400</v>
      </c>
      <c r="C625" s="7" t="s">
        <v>401</v>
      </c>
      <c r="D625" s="6">
        <v>104</v>
      </c>
      <c r="E625" s="8" t="s">
        <v>1107</v>
      </c>
      <c r="F625" s="6" t="s">
        <v>718</v>
      </c>
      <c r="G625" s="33" t="s">
        <v>30</v>
      </c>
    </row>
    <row r="626" spans="1:7" ht="14" x14ac:dyDescent="0.15">
      <c r="A626" s="6" t="s">
        <v>92</v>
      </c>
      <c r="B626" s="6" t="s">
        <v>93</v>
      </c>
      <c r="C626" s="7" t="s">
        <v>94</v>
      </c>
      <c r="D626" s="6">
        <v>37</v>
      </c>
      <c r="E626" s="8" t="s">
        <v>1108</v>
      </c>
      <c r="F626" s="6" t="s">
        <v>718</v>
      </c>
      <c r="G626" s="33" t="s">
        <v>18</v>
      </c>
    </row>
    <row r="627" spans="1:7" ht="14" x14ac:dyDescent="0.15">
      <c r="A627" s="6" t="s">
        <v>92</v>
      </c>
      <c r="B627" s="6" t="s">
        <v>93</v>
      </c>
      <c r="C627" s="7" t="s">
        <v>94</v>
      </c>
      <c r="D627" s="6">
        <v>39</v>
      </c>
      <c r="E627" s="8" t="s">
        <v>1109</v>
      </c>
      <c r="F627" s="6" t="s">
        <v>718</v>
      </c>
      <c r="G627" s="33" t="s">
        <v>18</v>
      </c>
    </row>
    <row r="628" spans="1:7" ht="28" x14ac:dyDescent="0.15">
      <c r="A628" s="6" t="s">
        <v>92</v>
      </c>
      <c r="B628" s="6" t="s">
        <v>93</v>
      </c>
      <c r="C628" s="7" t="s">
        <v>94</v>
      </c>
      <c r="D628" s="6">
        <v>84</v>
      </c>
      <c r="E628" s="8" t="s">
        <v>1110</v>
      </c>
      <c r="F628" s="6" t="s">
        <v>718</v>
      </c>
      <c r="G628" s="33" t="s">
        <v>30</v>
      </c>
    </row>
    <row r="629" spans="1:7" ht="28" x14ac:dyDescent="0.15">
      <c r="A629" s="6" t="s">
        <v>92</v>
      </c>
      <c r="B629" s="6" t="s">
        <v>93</v>
      </c>
      <c r="C629" s="7" t="s">
        <v>94</v>
      </c>
      <c r="D629" s="6">
        <v>86</v>
      </c>
      <c r="E629" s="8" t="s">
        <v>1111</v>
      </c>
      <c r="F629" s="6" t="s">
        <v>718</v>
      </c>
      <c r="G629" s="33" t="s">
        <v>30</v>
      </c>
    </row>
    <row r="630" spans="1:7" ht="28" x14ac:dyDescent="0.15">
      <c r="A630" s="6" t="s">
        <v>92</v>
      </c>
      <c r="B630" s="6" t="s">
        <v>93</v>
      </c>
      <c r="C630" s="7" t="s">
        <v>94</v>
      </c>
      <c r="D630" s="6">
        <v>87</v>
      </c>
      <c r="E630" s="8" t="s">
        <v>1112</v>
      </c>
      <c r="F630" s="6" t="s">
        <v>718</v>
      </c>
      <c r="G630" s="33" t="s">
        <v>30</v>
      </c>
    </row>
    <row r="631" spans="1:7" ht="28" x14ac:dyDescent="0.15">
      <c r="A631" s="6" t="s">
        <v>92</v>
      </c>
      <c r="B631" s="6" t="s">
        <v>93</v>
      </c>
      <c r="C631" s="7" t="s">
        <v>94</v>
      </c>
      <c r="D631" s="6">
        <v>90</v>
      </c>
      <c r="E631" s="8" t="s">
        <v>1113</v>
      </c>
      <c r="F631" s="6" t="s">
        <v>718</v>
      </c>
      <c r="G631" s="33" t="s">
        <v>30</v>
      </c>
    </row>
    <row r="632" spans="1:7" ht="14" x14ac:dyDescent="0.15">
      <c r="A632" s="6" t="s">
        <v>92</v>
      </c>
      <c r="B632" s="6" t="s">
        <v>93</v>
      </c>
      <c r="C632" s="7" t="s">
        <v>94</v>
      </c>
      <c r="D632" s="6">
        <v>92</v>
      </c>
      <c r="E632" s="8" t="s">
        <v>1114</v>
      </c>
      <c r="F632" s="6" t="s">
        <v>718</v>
      </c>
      <c r="G632" s="33" t="s">
        <v>30</v>
      </c>
    </row>
    <row r="633" spans="1:7" ht="14" x14ac:dyDescent="0.15">
      <c r="A633" s="6" t="s">
        <v>92</v>
      </c>
      <c r="B633" s="6" t="s">
        <v>93</v>
      </c>
      <c r="C633" s="7" t="s">
        <v>94</v>
      </c>
      <c r="D633" s="6">
        <v>121</v>
      </c>
      <c r="E633" s="8" t="s">
        <v>1115</v>
      </c>
      <c r="F633" s="6" t="s">
        <v>718</v>
      </c>
      <c r="G633" s="33" t="s">
        <v>30</v>
      </c>
    </row>
    <row r="634" spans="1:7" ht="28" x14ac:dyDescent="0.15">
      <c r="A634" s="6" t="s">
        <v>92</v>
      </c>
      <c r="B634" s="6" t="s">
        <v>93</v>
      </c>
      <c r="C634" s="7" t="s">
        <v>94</v>
      </c>
      <c r="D634" s="6">
        <v>124</v>
      </c>
      <c r="E634" s="8" t="s">
        <v>1116</v>
      </c>
      <c r="F634" s="6" t="s">
        <v>718</v>
      </c>
      <c r="G634" s="33" t="s">
        <v>83</v>
      </c>
    </row>
    <row r="635" spans="1:7" ht="14" x14ac:dyDescent="0.15">
      <c r="A635" s="6" t="s">
        <v>92</v>
      </c>
      <c r="B635" s="6" t="s">
        <v>93</v>
      </c>
      <c r="C635" s="7" t="s">
        <v>94</v>
      </c>
      <c r="D635" s="6">
        <v>143</v>
      </c>
      <c r="E635" s="8" t="s">
        <v>1117</v>
      </c>
      <c r="F635" s="6" t="s">
        <v>718</v>
      </c>
      <c r="G635" s="33" t="s">
        <v>136</v>
      </c>
    </row>
    <row r="636" spans="1:7" ht="14" x14ac:dyDescent="0.15">
      <c r="A636" s="6" t="s">
        <v>1118</v>
      </c>
      <c r="B636" s="6" t="s">
        <v>1119</v>
      </c>
      <c r="C636" s="7" t="s">
        <v>1120</v>
      </c>
      <c r="D636" s="6">
        <v>24</v>
      </c>
      <c r="E636" s="8" t="s">
        <v>1121</v>
      </c>
      <c r="F636" s="6" t="s">
        <v>718</v>
      </c>
      <c r="G636" s="33" t="s">
        <v>18</v>
      </c>
    </row>
    <row r="637" spans="1:7" ht="28" x14ac:dyDescent="0.15">
      <c r="A637" s="6" t="s">
        <v>1118</v>
      </c>
      <c r="B637" s="6" t="s">
        <v>1119</v>
      </c>
      <c r="C637" s="7" t="s">
        <v>1120</v>
      </c>
      <c r="D637" s="6">
        <v>34</v>
      </c>
      <c r="E637" s="8" t="s">
        <v>1122</v>
      </c>
      <c r="F637" s="6" t="s">
        <v>718</v>
      </c>
      <c r="G637" s="33" t="s">
        <v>83</v>
      </c>
    </row>
    <row r="638" spans="1:7" ht="14" x14ac:dyDescent="0.15">
      <c r="A638" s="6" t="s">
        <v>1118</v>
      </c>
      <c r="B638" s="6" t="s">
        <v>1119</v>
      </c>
      <c r="C638" s="7" t="s">
        <v>1120</v>
      </c>
      <c r="D638" s="6">
        <v>40</v>
      </c>
      <c r="E638" s="8" t="s">
        <v>1123</v>
      </c>
      <c r="F638" s="6" t="s">
        <v>718</v>
      </c>
      <c r="G638" s="33" t="s">
        <v>23</v>
      </c>
    </row>
    <row r="639" spans="1:7" ht="14" x14ac:dyDescent="0.15">
      <c r="A639" s="6" t="s">
        <v>1118</v>
      </c>
      <c r="B639" s="6" t="s">
        <v>1119</v>
      </c>
      <c r="C639" s="7" t="s">
        <v>1120</v>
      </c>
      <c r="D639" s="6">
        <v>74</v>
      </c>
      <c r="E639" s="8" t="s">
        <v>1124</v>
      </c>
      <c r="F639" s="6" t="s">
        <v>718</v>
      </c>
      <c r="G639" s="33" t="s">
        <v>23</v>
      </c>
    </row>
    <row r="640" spans="1:7" ht="14" x14ac:dyDescent="0.15">
      <c r="A640" s="6" t="s">
        <v>1125</v>
      </c>
      <c r="B640" s="6" t="s">
        <v>1126</v>
      </c>
      <c r="C640" s="7" t="s">
        <v>1127</v>
      </c>
      <c r="D640" s="6">
        <v>152</v>
      </c>
      <c r="E640" s="8" t="s">
        <v>1128</v>
      </c>
      <c r="F640" s="6" t="s">
        <v>718</v>
      </c>
      <c r="G640" s="33" t="s">
        <v>30</v>
      </c>
    </row>
    <row r="641" spans="1:7" ht="14" x14ac:dyDescent="0.15">
      <c r="A641" s="6" t="s">
        <v>713</v>
      </c>
      <c r="B641" s="6" t="s">
        <v>713</v>
      </c>
      <c r="C641" s="7" t="s">
        <v>714</v>
      </c>
      <c r="D641" s="6">
        <v>2</v>
      </c>
      <c r="E641" s="8" t="s">
        <v>1129</v>
      </c>
      <c r="F641" s="6" t="s">
        <v>718</v>
      </c>
      <c r="G641" s="33" t="s">
        <v>12</v>
      </c>
    </row>
    <row r="642" spans="1:7" ht="14" x14ac:dyDescent="0.15">
      <c r="A642" s="6" t="s">
        <v>713</v>
      </c>
      <c r="B642" s="6" t="s">
        <v>713</v>
      </c>
      <c r="C642" s="7" t="s">
        <v>714</v>
      </c>
      <c r="D642" s="6">
        <v>10</v>
      </c>
      <c r="E642" s="8" t="s">
        <v>1130</v>
      </c>
      <c r="F642" s="6" t="s">
        <v>718</v>
      </c>
      <c r="G642" s="33" t="s">
        <v>136</v>
      </c>
    </row>
    <row r="643" spans="1:7" ht="14" x14ac:dyDescent="0.15">
      <c r="A643" s="6" t="s">
        <v>713</v>
      </c>
      <c r="B643" s="6" t="s">
        <v>713</v>
      </c>
      <c r="C643" s="7" t="s">
        <v>714</v>
      </c>
      <c r="D643" s="6">
        <v>15</v>
      </c>
      <c r="E643" s="8" t="s">
        <v>1131</v>
      </c>
      <c r="F643" s="6" t="s">
        <v>718</v>
      </c>
      <c r="G643" s="33" t="s">
        <v>18</v>
      </c>
    </row>
    <row r="644" spans="1:7" ht="14" x14ac:dyDescent="0.15">
      <c r="A644" s="6" t="s">
        <v>713</v>
      </c>
      <c r="B644" s="6" t="s">
        <v>713</v>
      </c>
      <c r="C644" s="7" t="s">
        <v>714</v>
      </c>
      <c r="D644" s="6">
        <v>111</v>
      </c>
      <c r="E644" s="8" t="s">
        <v>1132</v>
      </c>
      <c r="F644" s="6" t="s">
        <v>718</v>
      </c>
      <c r="G644" s="33" t="s">
        <v>83</v>
      </c>
    </row>
    <row r="645" spans="1:7" ht="14" x14ac:dyDescent="0.15">
      <c r="A645" s="6" t="s">
        <v>1133</v>
      </c>
      <c r="B645" s="6" t="s">
        <v>1134</v>
      </c>
      <c r="C645" s="7" t="s">
        <v>1135</v>
      </c>
      <c r="D645" s="6">
        <v>5</v>
      </c>
      <c r="E645" s="8" t="s">
        <v>1136</v>
      </c>
      <c r="F645" s="6" t="s">
        <v>718</v>
      </c>
      <c r="G645" s="33" t="s">
        <v>18</v>
      </c>
    </row>
    <row r="646" spans="1:7" ht="14" x14ac:dyDescent="0.15">
      <c r="A646" s="6" t="s">
        <v>1133</v>
      </c>
      <c r="B646" s="6" t="s">
        <v>1134</v>
      </c>
      <c r="C646" s="7" t="s">
        <v>1135</v>
      </c>
      <c r="D646" s="6">
        <v>7</v>
      </c>
      <c r="E646" s="8" t="s">
        <v>1136</v>
      </c>
      <c r="F646" s="6" t="s">
        <v>718</v>
      </c>
      <c r="G646" s="33" t="s">
        <v>18</v>
      </c>
    </row>
    <row r="647" spans="1:7" ht="14" x14ac:dyDescent="0.15">
      <c r="A647" s="6" t="s">
        <v>1133</v>
      </c>
      <c r="B647" s="6" t="s">
        <v>1134</v>
      </c>
      <c r="C647" s="7" t="s">
        <v>1135</v>
      </c>
      <c r="D647" s="6">
        <v>9</v>
      </c>
      <c r="E647" s="8" t="s">
        <v>1136</v>
      </c>
      <c r="F647" s="6" t="s">
        <v>718</v>
      </c>
      <c r="G647" s="33" t="s">
        <v>18</v>
      </c>
    </row>
    <row r="648" spans="1:7" ht="14" x14ac:dyDescent="0.15">
      <c r="A648" s="6" t="s">
        <v>1133</v>
      </c>
      <c r="B648" s="6" t="s">
        <v>1134</v>
      </c>
      <c r="C648" s="7" t="s">
        <v>1135</v>
      </c>
      <c r="D648" s="6">
        <v>11</v>
      </c>
      <c r="E648" s="8" t="s">
        <v>1136</v>
      </c>
      <c r="F648" s="6" t="s">
        <v>718</v>
      </c>
      <c r="G648" s="33" t="s">
        <v>18</v>
      </c>
    </row>
    <row r="649" spans="1:7" ht="14" x14ac:dyDescent="0.15">
      <c r="A649" s="6" t="s">
        <v>1133</v>
      </c>
      <c r="B649" s="6" t="s">
        <v>1134</v>
      </c>
      <c r="C649" s="7" t="s">
        <v>1135</v>
      </c>
      <c r="D649" s="6">
        <v>23</v>
      </c>
      <c r="E649" s="8" t="s">
        <v>1137</v>
      </c>
      <c r="F649" s="6" t="s">
        <v>718</v>
      </c>
      <c r="G649" s="33" t="s">
        <v>30</v>
      </c>
    </row>
    <row r="650" spans="1:7" ht="14" x14ac:dyDescent="0.15">
      <c r="A650" s="6" t="s">
        <v>1133</v>
      </c>
      <c r="B650" s="6" t="s">
        <v>1138</v>
      </c>
      <c r="C650" s="7" t="s">
        <v>1139</v>
      </c>
      <c r="D650" s="6">
        <v>5</v>
      </c>
      <c r="E650" s="8" t="s">
        <v>1136</v>
      </c>
      <c r="F650" s="6" t="s">
        <v>718</v>
      </c>
      <c r="G650" s="33" t="s">
        <v>18</v>
      </c>
    </row>
    <row r="651" spans="1:7" ht="14" x14ac:dyDescent="0.15">
      <c r="A651" s="6" t="s">
        <v>1133</v>
      </c>
      <c r="B651" s="6" t="s">
        <v>1138</v>
      </c>
      <c r="C651" s="7" t="s">
        <v>1139</v>
      </c>
      <c r="D651" s="6">
        <v>7</v>
      </c>
      <c r="E651" s="8" t="s">
        <v>1136</v>
      </c>
      <c r="F651" s="6" t="s">
        <v>718</v>
      </c>
      <c r="G651" s="33" t="s">
        <v>18</v>
      </c>
    </row>
    <row r="652" spans="1:7" ht="14" x14ac:dyDescent="0.15">
      <c r="A652" s="6" t="s">
        <v>1133</v>
      </c>
      <c r="B652" s="6" t="s">
        <v>1138</v>
      </c>
      <c r="C652" s="7" t="s">
        <v>1139</v>
      </c>
      <c r="D652" s="6">
        <v>9</v>
      </c>
      <c r="E652" s="8" t="s">
        <v>1136</v>
      </c>
      <c r="F652" s="6" t="s">
        <v>718</v>
      </c>
      <c r="G652" s="33" t="s">
        <v>18</v>
      </c>
    </row>
    <row r="653" spans="1:7" ht="28" x14ac:dyDescent="0.15">
      <c r="A653" s="6" t="s">
        <v>404</v>
      </c>
      <c r="B653" s="6" t="s">
        <v>405</v>
      </c>
      <c r="C653" s="7" t="s">
        <v>406</v>
      </c>
      <c r="D653" s="6">
        <v>4</v>
      </c>
      <c r="E653" s="8" t="s">
        <v>1140</v>
      </c>
      <c r="F653" s="6" t="s">
        <v>718</v>
      </c>
      <c r="G653" s="33" t="s">
        <v>115</v>
      </c>
    </row>
    <row r="654" spans="1:7" ht="14" x14ac:dyDescent="0.15">
      <c r="A654" s="6" t="s">
        <v>404</v>
      </c>
      <c r="B654" s="6" t="s">
        <v>405</v>
      </c>
      <c r="C654" s="7" t="s">
        <v>406</v>
      </c>
      <c r="D654" s="6">
        <v>80</v>
      </c>
      <c r="E654" s="8" t="s">
        <v>1141</v>
      </c>
      <c r="F654" s="6" t="s">
        <v>718</v>
      </c>
      <c r="G654" s="33" t="s">
        <v>30</v>
      </c>
    </row>
    <row r="655" spans="1:7" ht="14" x14ac:dyDescent="0.15">
      <c r="A655" s="6" t="s">
        <v>408</v>
      </c>
      <c r="B655" s="6" t="s">
        <v>409</v>
      </c>
      <c r="C655" s="7" t="s">
        <v>410</v>
      </c>
      <c r="D655" s="6">
        <v>47</v>
      </c>
      <c r="E655" s="8" t="s">
        <v>1142</v>
      </c>
      <c r="F655" s="6" t="s">
        <v>718</v>
      </c>
      <c r="G655" s="33" t="s">
        <v>30</v>
      </c>
    </row>
    <row r="656" spans="1:7" ht="14" x14ac:dyDescent="0.15">
      <c r="A656" s="6" t="s">
        <v>408</v>
      </c>
      <c r="B656" s="6" t="s">
        <v>409</v>
      </c>
      <c r="C656" s="7" t="s">
        <v>410</v>
      </c>
      <c r="D656" s="6">
        <v>65</v>
      </c>
      <c r="E656" s="8" t="s">
        <v>1143</v>
      </c>
      <c r="F656" s="6" t="s">
        <v>718</v>
      </c>
      <c r="G656" s="33" t="s">
        <v>30</v>
      </c>
    </row>
    <row r="657" spans="1:7" ht="14" x14ac:dyDescent="0.15">
      <c r="A657" s="6" t="s">
        <v>416</v>
      </c>
      <c r="B657" s="6" t="s">
        <v>416</v>
      </c>
      <c r="C657" s="7" t="s">
        <v>417</v>
      </c>
      <c r="D657" s="6">
        <v>29</v>
      </c>
      <c r="E657" s="8" t="s">
        <v>1144</v>
      </c>
      <c r="F657" s="6" t="s">
        <v>718</v>
      </c>
      <c r="G657" s="33" t="s">
        <v>18</v>
      </c>
    </row>
    <row r="658" spans="1:7" ht="14" x14ac:dyDescent="0.15">
      <c r="A658" s="6" t="s">
        <v>416</v>
      </c>
      <c r="B658" s="6" t="s">
        <v>416</v>
      </c>
      <c r="C658" s="7" t="s">
        <v>417</v>
      </c>
      <c r="D658" s="6">
        <v>49</v>
      </c>
      <c r="E658" s="8" t="s">
        <v>1145</v>
      </c>
      <c r="F658" s="6" t="s">
        <v>718</v>
      </c>
      <c r="G658" s="33" t="s">
        <v>12</v>
      </c>
    </row>
    <row r="659" spans="1:7" ht="28" x14ac:dyDescent="0.15">
      <c r="A659" s="6" t="s">
        <v>416</v>
      </c>
      <c r="B659" s="6" t="s">
        <v>416</v>
      </c>
      <c r="C659" s="7" t="s">
        <v>417</v>
      </c>
      <c r="D659" s="6">
        <v>57</v>
      </c>
      <c r="E659" s="8" t="s">
        <v>1146</v>
      </c>
      <c r="F659" s="6" t="s">
        <v>718</v>
      </c>
      <c r="G659" s="33" t="s">
        <v>12</v>
      </c>
    </row>
    <row r="660" spans="1:7" ht="14" x14ac:dyDescent="0.15">
      <c r="A660" s="6" t="s">
        <v>423</v>
      </c>
      <c r="B660" s="6" t="s">
        <v>424</v>
      </c>
      <c r="C660" s="7" t="s">
        <v>425</v>
      </c>
      <c r="D660" s="6">
        <v>48</v>
      </c>
      <c r="E660" s="8" t="s">
        <v>1147</v>
      </c>
      <c r="F660" s="6" t="s">
        <v>718</v>
      </c>
      <c r="G660" s="33" t="s">
        <v>88</v>
      </c>
    </row>
    <row r="661" spans="1:7" ht="14" x14ac:dyDescent="0.15">
      <c r="A661" s="6" t="s">
        <v>1148</v>
      </c>
      <c r="B661" s="6" t="s">
        <v>1149</v>
      </c>
      <c r="C661" s="7" t="s">
        <v>1150</v>
      </c>
      <c r="D661" s="6">
        <v>7</v>
      </c>
      <c r="E661" s="8" t="s">
        <v>1151</v>
      </c>
      <c r="F661" s="6" t="s">
        <v>718</v>
      </c>
      <c r="G661" s="33" t="s">
        <v>23</v>
      </c>
    </row>
    <row r="662" spans="1:7" ht="28" x14ac:dyDescent="0.15">
      <c r="A662" s="6" t="s">
        <v>428</v>
      </c>
      <c r="B662" s="6" t="s">
        <v>428</v>
      </c>
      <c r="C662" s="7" t="s">
        <v>429</v>
      </c>
      <c r="D662" s="6">
        <v>17</v>
      </c>
      <c r="E662" s="8" t="s">
        <v>1152</v>
      </c>
      <c r="F662" s="6" t="s">
        <v>718</v>
      </c>
      <c r="G662" s="33" t="s">
        <v>136</v>
      </c>
    </row>
    <row r="663" spans="1:7" ht="28" x14ac:dyDescent="0.15">
      <c r="A663" s="6" t="s">
        <v>428</v>
      </c>
      <c r="B663" s="6" t="s">
        <v>428</v>
      </c>
      <c r="C663" s="7" t="s">
        <v>429</v>
      </c>
      <c r="D663" s="6">
        <v>114</v>
      </c>
      <c r="E663" s="8" t="s">
        <v>1153</v>
      </c>
      <c r="F663" s="6" t="s">
        <v>718</v>
      </c>
      <c r="G663" s="33" t="s">
        <v>30</v>
      </c>
    </row>
    <row r="664" spans="1:7" ht="14" x14ac:dyDescent="0.15">
      <c r="A664" s="6" t="s">
        <v>432</v>
      </c>
      <c r="B664" s="6" t="s">
        <v>433</v>
      </c>
      <c r="C664" s="7" t="s">
        <v>434</v>
      </c>
      <c r="D664" s="6">
        <v>19</v>
      </c>
      <c r="E664" s="8" t="s">
        <v>1154</v>
      </c>
      <c r="F664" s="6" t="s">
        <v>718</v>
      </c>
      <c r="G664" s="33" t="s">
        <v>12</v>
      </c>
    </row>
    <row r="665" spans="1:7" ht="28" x14ac:dyDescent="0.15">
      <c r="A665" s="6" t="s">
        <v>932</v>
      </c>
      <c r="B665" s="6" t="s">
        <v>933</v>
      </c>
      <c r="C665" s="7" t="s">
        <v>1155</v>
      </c>
      <c r="D665" s="6">
        <v>23</v>
      </c>
      <c r="E665" s="8" t="s">
        <v>935</v>
      </c>
      <c r="F665" s="6" t="s">
        <v>718</v>
      </c>
      <c r="G665" s="33" t="s">
        <v>88</v>
      </c>
    </row>
    <row r="666" spans="1:7" ht="14" x14ac:dyDescent="0.15">
      <c r="A666" s="6" t="s">
        <v>932</v>
      </c>
      <c r="B666" s="6" t="s">
        <v>933</v>
      </c>
      <c r="C666" s="7" t="s">
        <v>1155</v>
      </c>
      <c r="D666" s="6">
        <v>80</v>
      </c>
      <c r="E666" s="8" t="s">
        <v>936</v>
      </c>
      <c r="F666" s="6" t="s">
        <v>718</v>
      </c>
      <c r="G666" s="33" t="s">
        <v>12</v>
      </c>
    </row>
    <row r="667" spans="1:7" ht="28" x14ac:dyDescent="0.15">
      <c r="A667" s="6" t="s">
        <v>932</v>
      </c>
      <c r="B667" s="6" t="s">
        <v>933</v>
      </c>
      <c r="C667" s="7" t="s">
        <v>1155</v>
      </c>
      <c r="D667" s="6">
        <v>93</v>
      </c>
      <c r="E667" s="8" t="s">
        <v>937</v>
      </c>
      <c r="F667" s="6" t="s">
        <v>718</v>
      </c>
      <c r="G667" s="33" t="s">
        <v>30</v>
      </c>
    </row>
    <row r="668" spans="1:7" ht="14" x14ac:dyDescent="0.15">
      <c r="A668" s="6" t="s">
        <v>932</v>
      </c>
      <c r="B668" s="6" t="s">
        <v>933</v>
      </c>
      <c r="C668" s="7" t="s">
        <v>1155</v>
      </c>
      <c r="D668" s="6">
        <v>96</v>
      </c>
      <c r="E668" s="8" t="s">
        <v>938</v>
      </c>
      <c r="F668" s="6" t="s">
        <v>718</v>
      </c>
      <c r="G668" s="33" t="s">
        <v>12</v>
      </c>
    </row>
    <row r="669" spans="1:7" ht="28" x14ac:dyDescent="0.15">
      <c r="A669" s="6" t="s">
        <v>932</v>
      </c>
      <c r="B669" s="6" t="s">
        <v>933</v>
      </c>
      <c r="C669" s="7" t="s">
        <v>1155</v>
      </c>
      <c r="D669" s="6">
        <v>103</v>
      </c>
      <c r="E669" s="8" t="s">
        <v>939</v>
      </c>
      <c r="F669" s="6" t="s">
        <v>718</v>
      </c>
      <c r="G669" s="33" t="s">
        <v>219</v>
      </c>
    </row>
    <row r="670" spans="1:7" ht="28" x14ac:dyDescent="0.15">
      <c r="A670" s="6" t="s">
        <v>932</v>
      </c>
      <c r="B670" s="6" t="s">
        <v>933</v>
      </c>
      <c r="C670" s="7" t="s">
        <v>1155</v>
      </c>
      <c r="D670" s="6">
        <v>107</v>
      </c>
      <c r="E670" s="8" t="s">
        <v>940</v>
      </c>
      <c r="F670" s="6" t="s">
        <v>718</v>
      </c>
      <c r="G670" s="33" t="s">
        <v>30</v>
      </c>
    </row>
    <row r="671" spans="1:7" ht="28" x14ac:dyDescent="0.15">
      <c r="A671" s="6" t="s">
        <v>43</v>
      </c>
      <c r="B671" s="6" t="s">
        <v>44</v>
      </c>
      <c r="C671" s="7" t="s">
        <v>45</v>
      </c>
      <c r="D671" s="6">
        <v>34</v>
      </c>
      <c r="E671" s="8" t="s">
        <v>1156</v>
      </c>
      <c r="F671" s="6" t="s">
        <v>718</v>
      </c>
      <c r="G671" s="33" t="s">
        <v>30</v>
      </c>
    </row>
    <row r="672" spans="1:7" ht="14" x14ac:dyDescent="0.15">
      <c r="A672" s="6" t="s">
        <v>43</v>
      </c>
      <c r="B672" s="6" t="s">
        <v>44</v>
      </c>
      <c r="C672" s="7" t="s">
        <v>45</v>
      </c>
      <c r="D672" s="6">
        <v>61</v>
      </c>
      <c r="E672" s="8" t="s">
        <v>1157</v>
      </c>
      <c r="F672" s="6" t="s">
        <v>718</v>
      </c>
      <c r="G672" s="33" t="s">
        <v>18</v>
      </c>
    </row>
    <row r="673" spans="1:7" ht="14" x14ac:dyDescent="0.15">
      <c r="A673" s="6" t="s">
        <v>43</v>
      </c>
      <c r="B673" s="6" t="s">
        <v>44</v>
      </c>
      <c r="C673" s="7" t="s">
        <v>45</v>
      </c>
      <c r="D673" s="6">
        <v>70</v>
      </c>
      <c r="E673" s="8" t="s">
        <v>1158</v>
      </c>
      <c r="F673" s="6" t="s">
        <v>718</v>
      </c>
      <c r="G673" s="33" t="s">
        <v>18</v>
      </c>
    </row>
    <row r="674" spans="1:7" ht="14" x14ac:dyDescent="0.15">
      <c r="A674" s="6" t="s">
        <v>1159</v>
      </c>
      <c r="B674" s="6" t="s">
        <v>1160</v>
      </c>
      <c r="C674" s="7" t="s">
        <v>1161</v>
      </c>
      <c r="D674" s="6">
        <v>53</v>
      </c>
      <c r="E674" s="8" t="s">
        <v>1162</v>
      </c>
      <c r="F674" s="6" t="s">
        <v>718</v>
      </c>
      <c r="G674" s="33" t="s">
        <v>18</v>
      </c>
    </row>
    <row r="675" spans="1:7" ht="28" x14ac:dyDescent="0.15">
      <c r="A675" s="6" t="s">
        <v>1163</v>
      </c>
      <c r="B675" s="6" t="s">
        <v>1164</v>
      </c>
      <c r="C675" s="7" t="s">
        <v>1165</v>
      </c>
      <c r="D675" s="6">
        <v>23</v>
      </c>
      <c r="E675" s="8" t="s">
        <v>1166</v>
      </c>
      <c r="F675" s="6" t="s">
        <v>718</v>
      </c>
      <c r="G675" s="33" t="s">
        <v>88</v>
      </c>
    </row>
    <row r="676" spans="1:7" ht="14" x14ac:dyDescent="0.15">
      <c r="A676" s="6" t="s">
        <v>1163</v>
      </c>
      <c r="B676" s="6" t="s">
        <v>1164</v>
      </c>
      <c r="C676" s="7" t="s">
        <v>1165</v>
      </c>
      <c r="D676" s="6">
        <v>25</v>
      </c>
      <c r="E676" s="8" t="s">
        <v>1167</v>
      </c>
      <c r="F676" s="6" t="s">
        <v>718</v>
      </c>
      <c r="G676" s="33" t="s">
        <v>88</v>
      </c>
    </row>
    <row r="677" spans="1:7" ht="28" x14ac:dyDescent="0.15">
      <c r="A677" s="6" t="s">
        <v>437</v>
      </c>
      <c r="B677" s="6" t="s">
        <v>438</v>
      </c>
      <c r="C677" s="7" t="s">
        <v>439</v>
      </c>
      <c r="D677" s="6">
        <v>7</v>
      </c>
      <c r="E677" s="8" t="s">
        <v>1168</v>
      </c>
      <c r="F677" s="6" t="s">
        <v>718</v>
      </c>
      <c r="G677" s="33" t="s">
        <v>219</v>
      </c>
    </row>
    <row r="678" spans="1:7" ht="14" x14ac:dyDescent="0.15">
      <c r="A678" s="6" t="s">
        <v>441</v>
      </c>
      <c r="B678" s="6" t="s">
        <v>442</v>
      </c>
      <c r="C678" s="7" t="s">
        <v>443</v>
      </c>
      <c r="D678" s="6">
        <v>26</v>
      </c>
      <c r="E678" s="8" t="s">
        <v>1169</v>
      </c>
      <c r="F678" s="6" t="s">
        <v>718</v>
      </c>
      <c r="G678" s="33" t="s">
        <v>18</v>
      </c>
    </row>
    <row r="679" spans="1:7" ht="28" x14ac:dyDescent="0.15">
      <c r="A679" s="6" t="s">
        <v>441</v>
      </c>
      <c r="B679" s="6" t="s">
        <v>442</v>
      </c>
      <c r="C679" s="7" t="s">
        <v>443</v>
      </c>
      <c r="D679" s="6">
        <v>52</v>
      </c>
      <c r="E679" s="8" t="s">
        <v>1170</v>
      </c>
      <c r="F679" s="6" t="s">
        <v>718</v>
      </c>
      <c r="G679" s="33" t="s">
        <v>18</v>
      </c>
    </row>
    <row r="680" spans="1:7" ht="28" x14ac:dyDescent="0.15">
      <c r="A680" s="6" t="s">
        <v>441</v>
      </c>
      <c r="B680" s="6" t="s">
        <v>442</v>
      </c>
      <c r="C680" s="7" t="s">
        <v>443</v>
      </c>
      <c r="D680" s="6">
        <v>74</v>
      </c>
      <c r="E680" s="8" t="s">
        <v>1171</v>
      </c>
      <c r="F680" s="6" t="s">
        <v>718</v>
      </c>
      <c r="G680" s="33" t="s">
        <v>18</v>
      </c>
    </row>
    <row r="681" spans="1:7" ht="28" x14ac:dyDescent="0.15">
      <c r="A681" s="6" t="s">
        <v>441</v>
      </c>
      <c r="B681" s="6" t="s">
        <v>442</v>
      </c>
      <c r="C681" s="7" t="s">
        <v>443</v>
      </c>
      <c r="D681" s="6">
        <v>110</v>
      </c>
      <c r="E681" s="8" t="s">
        <v>1172</v>
      </c>
      <c r="F681" s="6" t="s">
        <v>718</v>
      </c>
      <c r="G681" s="33" t="s">
        <v>18</v>
      </c>
    </row>
    <row r="682" spans="1:7" ht="14" x14ac:dyDescent="0.15">
      <c r="A682" s="6" t="s">
        <v>445</v>
      </c>
      <c r="B682" s="6" t="s">
        <v>446</v>
      </c>
      <c r="C682" s="7" t="s">
        <v>447</v>
      </c>
      <c r="D682" s="6">
        <v>52</v>
      </c>
      <c r="E682" s="8" t="s">
        <v>1173</v>
      </c>
      <c r="F682" s="6" t="s">
        <v>718</v>
      </c>
      <c r="G682" s="33" t="s">
        <v>30</v>
      </c>
    </row>
    <row r="683" spans="1:7" ht="14" x14ac:dyDescent="0.15">
      <c r="A683" s="6" t="s">
        <v>445</v>
      </c>
      <c r="B683" s="6" t="s">
        <v>446</v>
      </c>
      <c r="C683" s="7" t="s">
        <v>447</v>
      </c>
      <c r="D683" s="6">
        <v>54</v>
      </c>
      <c r="E683" s="8" t="s">
        <v>1174</v>
      </c>
      <c r="F683" s="6" t="s">
        <v>718</v>
      </c>
      <c r="G683" s="33" t="s">
        <v>30</v>
      </c>
    </row>
    <row r="684" spans="1:7" ht="14" x14ac:dyDescent="0.15">
      <c r="A684" s="6" t="s">
        <v>445</v>
      </c>
      <c r="B684" s="6" t="s">
        <v>446</v>
      </c>
      <c r="C684" s="7" t="s">
        <v>447</v>
      </c>
      <c r="D684" s="6">
        <v>62</v>
      </c>
      <c r="E684" s="8" t="s">
        <v>1175</v>
      </c>
      <c r="F684" s="6" t="s">
        <v>718</v>
      </c>
      <c r="G684" s="33" t="s">
        <v>30</v>
      </c>
    </row>
    <row r="685" spans="1:7" ht="14" x14ac:dyDescent="0.15">
      <c r="A685" s="6" t="s">
        <v>445</v>
      </c>
      <c r="B685" s="6" t="s">
        <v>455</v>
      </c>
      <c r="C685" s="7" t="s">
        <v>456</v>
      </c>
      <c r="D685" s="6">
        <v>52</v>
      </c>
      <c r="E685" s="8" t="s">
        <v>1173</v>
      </c>
      <c r="F685" s="6" t="s">
        <v>718</v>
      </c>
      <c r="G685" s="33" t="s">
        <v>30</v>
      </c>
    </row>
    <row r="686" spans="1:7" ht="14" x14ac:dyDescent="0.15">
      <c r="A686" s="6" t="s">
        <v>445</v>
      </c>
      <c r="B686" s="6" t="s">
        <v>455</v>
      </c>
      <c r="C686" s="7" t="s">
        <v>456</v>
      </c>
      <c r="D686" s="6">
        <v>54</v>
      </c>
      <c r="E686" s="8" t="s">
        <v>1174</v>
      </c>
      <c r="F686" s="6" t="s">
        <v>718</v>
      </c>
      <c r="G686" s="33" t="s">
        <v>30</v>
      </c>
    </row>
    <row r="687" spans="1:7" ht="14" x14ac:dyDescent="0.15">
      <c r="A687" s="6" t="s">
        <v>445</v>
      </c>
      <c r="B687" s="6" t="s">
        <v>455</v>
      </c>
      <c r="C687" s="7" t="s">
        <v>456</v>
      </c>
      <c r="D687" s="6">
        <v>62</v>
      </c>
      <c r="E687" s="8" t="s">
        <v>1175</v>
      </c>
      <c r="F687" s="6" t="s">
        <v>718</v>
      </c>
      <c r="G687" s="33" t="s">
        <v>30</v>
      </c>
    </row>
    <row r="688" spans="1:7" ht="14" x14ac:dyDescent="0.15">
      <c r="A688" s="6" t="s">
        <v>458</v>
      </c>
      <c r="B688" s="6" t="s">
        <v>459</v>
      </c>
      <c r="C688" s="7" t="s">
        <v>460</v>
      </c>
      <c r="D688" s="6">
        <v>3</v>
      </c>
      <c r="E688" s="8" t="s">
        <v>1176</v>
      </c>
      <c r="F688" s="6" t="s">
        <v>718</v>
      </c>
      <c r="G688" s="33" t="s">
        <v>136</v>
      </c>
    </row>
    <row r="689" spans="1:7" ht="14" x14ac:dyDescent="0.15">
      <c r="A689" s="6" t="s">
        <v>325</v>
      </c>
      <c r="B689" s="6" t="s">
        <v>326</v>
      </c>
      <c r="C689" s="7" t="s">
        <v>463</v>
      </c>
      <c r="D689" s="6">
        <v>19</v>
      </c>
      <c r="E689" s="8" t="s">
        <v>1177</v>
      </c>
      <c r="F689" s="6" t="s">
        <v>718</v>
      </c>
      <c r="G689" s="33" t="s">
        <v>83</v>
      </c>
    </row>
    <row r="690" spans="1:7" ht="14" x14ac:dyDescent="0.15">
      <c r="A690" s="6" t="s">
        <v>325</v>
      </c>
      <c r="B690" s="6" t="s">
        <v>326</v>
      </c>
      <c r="C690" s="7" t="s">
        <v>463</v>
      </c>
      <c r="D690" s="6">
        <v>107</v>
      </c>
      <c r="E690" s="8" t="s">
        <v>959</v>
      </c>
      <c r="F690" s="6" t="s">
        <v>718</v>
      </c>
      <c r="G690" s="33" t="s">
        <v>88</v>
      </c>
    </row>
    <row r="691" spans="1:7" ht="14" x14ac:dyDescent="0.15">
      <c r="A691" s="6" t="s">
        <v>471</v>
      </c>
      <c r="B691" s="6" t="s">
        <v>472</v>
      </c>
      <c r="C691" s="7" t="s">
        <v>473</v>
      </c>
      <c r="D691" s="6">
        <v>41</v>
      </c>
      <c r="E691" s="8" t="s">
        <v>1178</v>
      </c>
      <c r="F691" s="6" t="s">
        <v>718</v>
      </c>
      <c r="G691" s="33" t="s">
        <v>83</v>
      </c>
    </row>
    <row r="692" spans="1:7" ht="14" x14ac:dyDescent="0.15">
      <c r="A692" s="6" t="s">
        <v>1179</v>
      </c>
      <c r="B692" s="6" t="s">
        <v>1180</v>
      </c>
      <c r="C692" s="7" t="s">
        <v>1181</v>
      </c>
      <c r="D692" s="6">
        <v>20</v>
      </c>
      <c r="E692" s="8" t="s">
        <v>1182</v>
      </c>
      <c r="F692" s="6" t="s">
        <v>718</v>
      </c>
      <c r="G692" s="33" t="s">
        <v>88</v>
      </c>
    </row>
    <row r="693" spans="1:7" ht="14" x14ac:dyDescent="0.15">
      <c r="A693" s="6" t="s">
        <v>47</v>
      </c>
      <c r="B693" s="6" t="s">
        <v>702</v>
      </c>
      <c r="C693" s="7" t="s">
        <v>703</v>
      </c>
      <c r="D693" s="6">
        <v>133</v>
      </c>
      <c r="E693" s="8" t="s">
        <v>1183</v>
      </c>
      <c r="F693" s="6" t="s">
        <v>718</v>
      </c>
      <c r="G693" s="33" t="s">
        <v>136</v>
      </c>
    </row>
    <row r="694" spans="1:7" ht="14" x14ac:dyDescent="0.15">
      <c r="A694" s="6" t="s">
        <v>47</v>
      </c>
      <c r="B694" s="6" t="s">
        <v>1184</v>
      </c>
      <c r="C694" s="7" t="s">
        <v>1185</v>
      </c>
      <c r="D694" s="6">
        <v>18</v>
      </c>
      <c r="E694" s="8" t="s">
        <v>1186</v>
      </c>
      <c r="F694" s="6" t="s">
        <v>718</v>
      </c>
      <c r="G694" s="33" t="s">
        <v>88</v>
      </c>
    </row>
    <row r="695" spans="1:7" ht="28" x14ac:dyDescent="0.15">
      <c r="A695" s="6" t="s">
        <v>47</v>
      </c>
      <c r="B695" s="6" t="s">
        <v>1184</v>
      </c>
      <c r="C695" s="7" t="s">
        <v>1185</v>
      </c>
      <c r="D695" s="6">
        <v>21</v>
      </c>
      <c r="E695" s="8" t="s">
        <v>1187</v>
      </c>
      <c r="F695" s="6" t="s">
        <v>718</v>
      </c>
      <c r="G695" s="33" t="s">
        <v>88</v>
      </c>
    </row>
    <row r="696" spans="1:7" ht="28" x14ac:dyDescent="0.15">
      <c r="A696" s="6" t="s">
        <v>47</v>
      </c>
      <c r="B696" s="6" t="s">
        <v>1184</v>
      </c>
      <c r="C696" s="7" t="s">
        <v>1185</v>
      </c>
      <c r="D696" s="6">
        <v>26</v>
      </c>
      <c r="E696" s="8" t="s">
        <v>1188</v>
      </c>
      <c r="F696" s="6" t="s">
        <v>718</v>
      </c>
      <c r="G696" s="33" t="s">
        <v>30</v>
      </c>
    </row>
    <row r="697" spans="1:7" ht="28" x14ac:dyDescent="0.15">
      <c r="A697" s="6" t="s">
        <v>47</v>
      </c>
      <c r="B697" s="6" t="s">
        <v>1184</v>
      </c>
      <c r="C697" s="7" t="s">
        <v>1185</v>
      </c>
      <c r="D697" s="6">
        <v>28</v>
      </c>
      <c r="E697" s="8" t="s">
        <v>1189</v>
      </c>
      <c r="F697" s="6" t="s">
        <v>718</v>
      </c>
      <c r="G697" s="33" t="s">
        <v>30</v>
      </c>
    </row>
    <row r="698" spans="1:7" ht="28" x14ac:dyDescent="0.15">
      <c r="A698" s="6" t="s">
        <v>47</v>
      </c>
      <c r="B698" s="6" t="s">
        <v>1190</v>
      </c>
      <c r="C698" s="7" t="s">
        <v>1191</v>
      </c>
      <c r="D698" s="6">
        <v>25</v>
      </c>
      <c r="E698" s="8" t="s">
        <v>1192</v>
      </c>
      <c r="F698" s="6" t="s">
        <v>718</v>
      </c>
      <c r="G698" s="33" t="s">
        <v>18</v>
      </c>
    </row>
    <row r="699" spans="1:7" ht="14" x14ac:dyDescent="0.15">
      <c r="A699" s="6" t="s">
        <v>47</v>
      </c>
      <c r="B699" s="6" t="s">
        <v>1193</v>
      </c>
      <c r="C699" s="7" t="s">
        <v>1194</v>
      </c>
      <c r="D699" s="6">
        <v>7</v>
      </c>
      <c r="E699" s="8" t="s">
        <v>1195</v>
      </c>
      <c r="F699" s="6" t="s">
        <v>718</v>
      </c>
      <c r="G699" s="33" t="s">
        <v>18</v>
      </c>
    </row>
    <row r="700" spans="1:7" ht="14" x14ac:dyDescent="0.15">
      <c r="A700" s="6" t="s">
        <v>47</v>
      </c>
      <c r="B700" s="6" t="s">
        <v>484</v>
      </c>
      <c r="C700" s="7" t="s">
        <v>485</v>
      </c>
      <c r="D700" s="6">
        <v>79</v>
      </c>
      <c r="E700" s="8" t="s">
        <v>1196</v>
      </c>
      <c r="F700" s="6" t="s">
        <v>718</v>
      </c>
      <c r="G700" s="33" t="s">
        <v>30</v>
      </c>
    </row>
    <row r="701" spans="1:7" ht="28" x14ac:dyDescent="0.15">
      <c r="A701" s="6" t="s">
        <v>1197</v>
      </c>
      <c r="B701" s="6" t="s">
        <v>1198</v>
      </c>
      <c r="C701" s="7" t="s">
        <v>1199</v>
      </c>
      <c r="D701" s="6">
        <v>87</v>
      </c>
      <c r="E701" s="8" t="s">
        <v>1200</v>
      </c>
      <c r="F701" s="6" t="s">
        <v>718</v>
      </c>
      <c r="G701" s="33" t="s">
        <v>136</v>
      </c>
    </row>
    <row r="702" spans="1:7" ht="14" x14ac:dyDescent="0.15">
      <c r="A702" s="6" t="s">
        <v>1201</v>
      </c>
      <c r="B702" s="6" t="s">
        <v>1202</v>
      </c>
      <c r="C702" s="7" t="s">
        <v>1203</v>
      </c>
      <c r="D702" s="6">
        <v>8</v>
      </c>
      <c r="E702" s="8" t="s">
        <v>1204</v>
      </c>
      <c r="F702" s="6" t="s">
        <v>718</v>
      </c>
      <c r="G702" s="33" t="s">
        <v>83</v>
      </c>
    </row>
    <row r="703" spans="1:7" ht="14" x14ac:dyDescent="0.15">
      <c r="A703" s="6" t="s">
        <v>1205</v>
      </c>
      <c r="B703" s="6" t="s">
        <v>1206</v>
      </c>
      <c r="C703" s="7" t="s">
        <v>1207</v>
      </c>
      <c r="D703" s="6">
        <v>11</v>
      </c>
      <c r="E703" s="8" t="s">
        <v>1208</v>
      </c>
      <c r="F703" s="6" t="s">
        <v>718</v>
      </c>
      <c r="G703" s="33" t="s">
        <v>83</v>
      </c>
    </row>
    <row r="704" spans="1:7" ht="14" x14ac:dyDescent="0.15">
      <c r="A704" s="6" t="s">
        <v>51</v>
      </c>
      <c r="B704" s="6" t="s">
        <v>1209</v>
      </c>
      <c r="C704" s="7" t="s">
        <v>1210</v>
      </c>
      <c r="D704" s="6">
        <v>18</v>
      </c>
      <c r="E704" s="8" t="s">
        <v>1186</v>
      </c>
      <c r="F704" s="6" t="s">
        <v>718</v>
      </c>
      <c r="G704" s="33" t="s">
        <v>88</v>
      </c>
    </row>
    <row r="705" spans="1:7" ht="14" x14ac:dyDescent="0.15">
      <c r="A705" s="6" t="s">
        <v>51</v>
      </c>
      <c r="B705" s="6" t="s">
        <v>14</v>
      </c>
      <c r="C705" s="7" t="s">
        <v>1211</v>
      </c>
      <c r="D705" s="6">
        <v>4</v>
      </c>
      <c r="E705" s="8" t="s">
        <v>1212</v>
      </c>
      <c r="F705" s="6" t="s">
        <v>718</v>
      </c>
      <c r="G705" s="33" t="s">
        <v>23</v>
      </c>
    </row>
    <row r="706" spans="1:7" ht="14" x14ac:dyDescent="0.15">
      <c r="A706" s="6" t="s">
        <v>51</v>
      </c>
      <c r="B706" s="6" t="s">
        <v>14</v>
      </c>
      <c r="C706" s="7" t="s">
        <v>1211</v>
      </c>
      <c r="D706" s="6">
        <v>78</v>
      </c>
      <c r="E706" s="8" t="s">
        <v>1213</v>
      </c>
      <c r="F706" s="6" t="s">
        <v>718</v>
      </c>
      <c r="G706" s="33" t="s">
        <v>18</v>
      </c>
    </row>
    <row r="707" spans="1:7" ht="28" x14ac:dyDescent="0.15">
      <c r="A707" s="6" t="s">
        <v>51</v>
      </c>
      <c r="B707" s="6" t="s">
        <v>56</v>
      </c>
      <c r="C707" s="7" t="s">
        <v>57</v>
      </c>
      <c r="D707" s="6">
        <v>68</v>
      </c>
      <c r="E707" s="8" t="s">
        <v>1214</v>
      </c>
      <c r="F707" s="6" t="s">
        <v>718</v>
      </c>
      <c r="G707" s="33" t="s">
        <v>12</v>
      </c>
    </row>
    <row r="708" spans="1:7" ht="28" x14ac:dyDescent="0.15">
      <c r="A708" s="6" t="s">
        <v>51</v>
      </c>
      <c r="B708" s="6" t="s">
        <v>56</v>
      </c>
      <c r="C708" s="7" t="s">
        <v>57</v>
      </c>
      <c r="D708" s="6">
        <v>74</v>
      </c>
      <c r="E708" s="8" t="s">
        <v>1215</v>
      </c>
      <c r="F708" s="6" t="s">
        <v>718</v>
      </c>
      <c r="G708" s="33" t="s">
        <v>88</v>
      </c>
    </row>
    <row r="709" spans="1:7" ht="28" x14ac:dyDescent="0.15">
      <c r="A709" s="6" t="s">
        <v>51</v>
      </c>
      <c r="B709" s="6" t="s">
        <v>56</v>
      </c>
      <c r="C709" s="7" t="s">
        <v>57</v>
      </c>
      <c r="D709" s="6">
        <v>84</v>
      </c>
      <c r="E709" s="8" t="s">
        <v>1216</v>
      </c>
      <c r="F709" s="6" t="s">
        <v>718</v>
      </c>
      <c r="G709" s="33" t="s">
        <v>136</v>
      </c>
    </row>
    <row r="710" spans="1:7" ht="14" x14ac:dyDescent="0.15">
      <c r="A710" s="6" t="s">
        <v>51</v>
      </c>
      <c r="B710" s="6" t="s">
        <v>56</v>
      </c>
      <c r="C710" s="7" t="s">
        <v>57</v>
      </c>
      <c r="D710" s="6">
        <v>111</v>
      </c>
      <c r="E710" s="8" t="s">
        <v>1217</v>
      </c>
      <c r="F710" s="6" t="s">
        <v>718</v>
      </c>
      <c r="G710" s="33" t="s">
        <v>12</v>
      </c>
    </row>
    <row r="711" spans="1:7" ht="14" x14ac:dyDescent="0.15">
      <c r="A711" s="6" t="s">
        <v>51</v>
      </c>
      <c r="B711" s="6" t="s">
        <v>56</v>
      </c>
      <c r="C711" s="7" t="s">
        <v>57</v>
      </c>
      <c r="D711" s="6">
        <v>136</v>
      </c>
      <c r="E711" s="8" t="s">
        <v>1218</v>
      </c>
      <c r="F711" s="6" t="s">
        <v>718</v>
      </c>
      <c r="G711" s="33" t="s">
        <v>88</v>
      </c>
    </row>
    <row r="712" spans="1:7" ht="14" x14ac:dyDescent="0.15">
      <c r="A712" s="6" t="s">
        <v>51</v>
      </c>
      <c r="B712" s="6" t="s">
        <v>56</v>
      </c>
      <c r="C712" s="7" t="s">
        <v>57</v>
      </c>
      <c r="D712" s="6">
        <v>146</v>
      </c>
      <c r="E712" s="8" t="s">
        <v>1219</v>
      </c>
      <c r="F712" s="6" t="s">
        <v>718</v>
      </c>
      <c r="G712" s="33" t="s">
        <v>18</v>
      </c>
    </row>
    <row r="713" spans="1:7" ht="14" x14ac:dyDescent="0.15">
      <c r="A713" s="6" t="s">
        <v>51</v>
      </c>
      <c r="B713" s="6" t="s">
        <v>56</v>
      </c>
      <c r="C713" s="7" t="s">
        <v>57</v>
      </c>
      <c r="D713" s="6">
        <v>160</v>
      </c>
      <c r="E713" s="8" t="s">
        <v>1218</v>
      </c>
      <c r="F713" s="6" t="s">
        <v>718</v>
      </c>
      <c r="G713" s="33" t="s">
        <v>88</v>
      </c>
    </row>
    <row r="714" spans="1:7" ht="14" x14ac:dyDescent="0.15">
      <c r="A714" s="6" t="s">
        <v>51</v>
      </c>
      <c r="B714" s="6" t="s">
        <v>56</v>
      </c>
      <c r="C714" s="7" t="s">
        <v>57</v>
      </c>
      <c r="D714" s="6">
        <v>222</v>
      </c>
      <c r="E714" s="8" t="s">
        <v>1220</v>
      </c>
      <c r="F714" s="6" t="s">
        <v>718</v>
      </c>
      <c r="G714" s="33" t="s">
        <v>18</v>
      </c>
    </row>
    <row r="715" spans="1:7" ht="28" x14ac:dyDescent="0.15">
      <c r="A715" s="6" t="s">
        <v>51</v>
      </c>
      <c r="B715" s="6" t="s">
        <v>496</v>
      </c>
      <c r="C715" s="7" t="s">
        <v>497</v>
      </c>
      <c r="D715" s="6">
        <v>9</v>
      </c>
      <c r="E715" s="8" t="s">
        <v>1221</v>
      </c>
      <c r="F715" s="6" t="s">
        <v>718</v>
      </c>
      <c r="G715" s="33" t="s">
        <v>88</v>
      </c>
    </row>
    <row r="716" spans="1:7" ht="14" x14ac:dyDescent="0.15">
      <c r="A716" s="6" t="s">
        <v>51</v>
      </c>
      <c r="B716" s="6" t="s">
        <v>496</v>
      </c>
      <c r="C716" s="7" t="s">
        <v>497</v>
      </c>
      <c r="D716" s="6">
        <v>39</v>
      </c>
      <c r="E716" s="8" t="s">
        <v>1222</v>
      </c>
      <c r="F716" s="6" t="s">
        <v>718</v>
      </c>
      <c r="G716" s="33" t="s">
        <v>88</v>
      </c>
    </row>
    <row r="717" spans="1:7" ht="14" x14ac:dyDescent="0.15">
      <c r="A717" s="6" t="s">
        <v>51</v>
      </c>
      <c r="B717" s="6" t="s">
        <v>496</v>
      </c>
      <c r="C717" s="7" t="s">
        <v>497</v>
      </c>
      <c r="D717" s="6">
        <v>125</v>
      </c>
      <c r="E717" s="8" t="s">
        <v>1223</v>
      </c>
      <c r="F717" s="6" t="s">
        <v>718</v>
      </c>
      <c r="G717" s="33" t="s">
        <v>88</v>
      </c>
    </row>
    <row r="718" spans="1:7" ht="14" x14ac:dyDescent="0.15">
      <c r="A718" s="6" t="s">
        <v>51</v>
      </c>
      <c r="B718" s="6" t="s">
        <v>499</v>
      </c>
      <c r="C718" s="7" t="s">
        <v>500</v>
      </c>
      <c r="D718" s="6">
        <v>9</v>
      </c>
      <c r="E718" s="8" t="s">
        <v>1224</v>
      </c>
      <c r="F718" s="6" t="s">
        <v>718</v>
      </c>
      <c r="G718" s="33" t="s">
        <v>30</v>
      </c>
    </row>
    <row r="719" spans="1:7" ht="14" x14ac:dyDescent="0.15">
      <c r="A719" s="6" t="s">
        <v>502</v>
      </c>
      <c r="B719" s="6" t="s">
        <v>502</v>
      </c>
      <c r="C719" s="7" t="s">
        <v>503</v>
      </c>
      <c r="D719" s="6">
        <v>252</v>
      </c>
      <c r="E719" s="8" t="s">
        <v>1225</v>
      </c>
      <c r="F719" s="6" t="s">
        <v>718</v>
      </c>
      <c r="G719" s="33" t="s">
        <v>342</v>
      </c>
    </row>
    <row r="720" spans="1:7" ht="28" x14ac:dyDescent="0.15">
      <c r="A720" s="6" t="s">
        <v>509</v>
      </c>
      <c r="B720" s="6" t="s">
        <v>510</v>
      </c>
      <c r="C720" s="7" t="s">
        <v>511</v>
      </c>
      <c r="D720" s="6">
        <v>158</v>
      </c>
      <c r="E720" s="8" t="s">
        <v>1226</v>
      </c>
      <c r="F720" s="6" t="s">
        <v>718</v>
      </c>
      <c r="G720" s="33" t="s">
        <v>18</v>
      </c>
    </row>
    <row r="721" spans="1:7" ht="14" x14ac:dyDescent="0.15">
      <c r="A721" s="6" t="s">
        <v>105</v>
      </c>
      <c r="B721" s="6" t="s">
        <v>106</v>
      </c>
      <c r="C721" s="7" t="s">
        <v>112</v>
      </c>
      <c r="D721" s="6">
        <v>95</v>
      </c>
      <c r="E721" s="8" t="s">
        <v>783</v>
      </c>
      <c r="F721" s="6" t="s">
        <v>718</v>
      </c>
      <c r="G721" s="33" t="s">
        <v>18</v>
      </c>
    </row>
    <row r="722" spans="1:7" ht="14" x14ac:dyDescent="0.15">
      <c r="A722" s="6" t="s">
        <v>1227</v>
      </c>
      <c r="B722" s="6" t="s">
        <v>1228</v>
      </c>
      <c r="C722" s="7" t="s">
        <v>1229</v>
      </c>
      <c r="D722" s="6">
        <v>14</v>
      </c>
      <c r="E722" s="8" t="s">
        <v>1230</v>
      </c>
      <c r="F722" s="6" t="s">
        <v>718</v>
      </c>
      <c r="G722" s="33" t="s">
        <v>18</v>
      </c>
    </row>
    <row r="723" spans="1:7" ht="14" x14ac:dyDescent="0.15">
      <c r="A723" s="6" t="s">
        <v>1227</v>
      </c>
      <c r="B723" s="6" t="s">
        <v>1228</v>
      </c>
      <c r="C723" s="7" t="s">
        <v>1229</v>
      </c>
      <c r="D723" s="6">
        <v>17</v>
      </c>
      <c r="E723" s="8" t="s">
        <v>1231</v>
      </c>
      <c r="F723" s="6" t="s">
        <v>718</v>
      </c>
      <c r="G723" s="33" t="s">
        <v>30</v>
      </c>
    </row>
    <row r="724" spans="1:7" ht="14" x14ac:dyDescent="0.15">
      <c r="A724" s="6" t="s">
        <v>615</v>
      </c>
      <c r="B724" s="6" t="s">
        <v>616</v>
      </c>
      <c r="C724" s="7" t="s">
        <v>617</v>
      </c>
      <c r="D724" s="6">
        <v>80</v>
      </c>
      <c r="E724" s="8" t="s">
        <v>1232</v>
      </c>
      <c r="F724" s="6" t="s">
        <v>718</v>
      </c>
      <c r="G724" s="33" t="s">
        <v>88</v>
      </c>
    </row>
    <row r="725" spans="1:7" ht="14" x14ac:dyDescent="0.15">
      <c r="A725" s="6" t="s">
        <v>1233</v>
      </c>
      <c r="B725" s="6" t="s">
        <v>1233</v>
      </c>
      <c r="C725" s="7" t="s">
        <v>1234</v>
      </c>
      <c r="D725" s="6">
        <v>63</v>
      </c>
      <c r="E725" s="8" t="s">
        <v>1235</v>
      </c>
      <c r="F725" s="6" t="s">
        <v>718</v>
      </c>
      <c r="G725" s="33" t="s">
        <v>88</v>
      </c>
    </row>
    <row r="726" spans="1:7" ht="14" x14ac:dyDescent="0.15">
      <c r="A726" s="6" t="s">
        <v>1233</v>
      </c>
      <c r="B726" s="6" t="s">
        <v>1233</v>
      </c>
      <c r="C726" s="7" t="s">
        <v>1234</v>
      </c>
      <c r="D726" s="6">
        <v>95</v>
      </c>
      <c r="E726" s="8" t="s">
        <v>1236</v>
      </c>
      <c r="F726" s="6" t="s">
        <v>718</v>
      </c>
      <c r="G726" s="33" t="s">
        <v>23</v>
      </c>
    </row>
    <row r="727" spans="1:7" ht="14" x14ac:dyDescent="0.15">
      <c r="A727" s="6" t="s">
        <v>521</v>
      </c>
      <c r="B727" s="6" t="s">
        <v>522</v>
      </c>
      <c r="C727" s="7" t="s">
        <v>523</v>
      </c>
      <c r="D727" s="6">
        <v>53</v>
      </c>
      <c r="E727" s="8" t="s">
        <v>1237</v>
      </c>
      <c r="F727" s="6" t="s">
        <v>718</v>
      </c>
      <c r="G727" s="33" t="s">
        <v>219</v>
      </c>
    </row>
    <row r="728" spans="1:7" ht="14" x14ac:dyDescent="0.15">
      <c r="A728" s="6" t="s">
        <v>521</v>
      </c>
      <c r="B728" s="6" t="s">
        <v>522</v>
      </c>
      <c r="C728" s="7" t="s">
        <v>523</v>
      </c>
      <c r="D728" s="6">
        <v>54</v>
      </c>
      <c r="E728" s="8" t="s">
        <v>1238</v>
      </c>
      <c r="F728" s="6" t="s">
        <v>718</v>
      </c>
      <c r="G728" s="33" t="s">
        <v>219</v>
      </c>
    </row>
    <row r="729" spans="1:7" ht="14" x14ac:dyDescent="0.15">
      <c r="A729" s="6" t="s">
        <v>521</v>
      </c>
      <c r="B729" s="6" t="s">
        <v>522</v>
      </c>
      <c r="C729" s="7" t="s">
        <v>523</v>
      </c>
      <c r="D729" s="6">
        <v>55</v>
      </c>
      <c r="E729" s="8" t="s">
        <v>1239</v>
      </c>
      <c r="F729" s="6" t="s">
        <v>718</v>
      </c>
      <c r="G729" s="33" t="s">
        <v>219</v>
      </c>
    </row>
    <row r="730" spans="1:7" ht="28" x14ac:dyDescent="0.15">
      <c r="A730" s="6" t="s">
        <v>521</v>
      </c>
      <c r="B730" s="6" t="s">
        <v>522</v>
      </c>
      <c r="C730" s="7" t="s">
        <v>523</v>
      </c>
      <c r="D730" s="6">
        <v>99</v>
      </c>
      <c r="E730" s="8" t="s">
        <v>1240</v>
      </c>
      <c r="F730" s="6" t="s">
        <v>718</v>
      </c>
      <c r="G730" s="33" t="s">
        <v>88</v>
      </c>
    </row>
    <row r="731" spans="1:7" ht="14" x14ac:dyDescent="0.15">
      <c r="A731" s="6" t="s">
        <v>521</v>
      </c>
      <c r="B731" s="6" t="s">
        <v>1241</v>
      </c>
      <c r="C731" s="7" t="s">
        <v>1242</v>
      </c>
      <c r="D731" s="6">
        <v>7</v>
      </c>
      <c r="E731" s="8" t="s">
        <v>1243</v>
      </c>
      <c r="F731" s="6" t="s">
        <v>718</v>
      </c>
      <c r="G731" s="33" t="s">
        <v>18</v>
      </c>
    </row>
    <row r="732" spans="1:7" ht="42" x14ac:dyDescent="0.15">
      <c r="A732" s="6" t="s">
        <v>521</v>
      </c>
      <c r="B732" s="6" t="s">
        <v>1241</v>
      </c>
      <c r="C732" s="7" t="s">
        <v>1242</v>
      </c>
      <c r="D732" s="6">
        <v>20</v>
      </c>
      <c r="E732" s="8" t="s">
        <v>1244</v>
      </c>
      <c r="F732" s="6" t="s">
        <v>718</v>
      </c>
      <c r="G732" s="33" t="s">
        <v>18</v>
      </c>
    </row>
    <row r="733" spans="1:7" ht="28" x14ac:dyDescent="0.15">
      <c r="A733" s="6" t="s">
        <v>521</v>
      </c>
      <c r="B733" s="6" t="s">
        <v>1241</v>
      </c>
      <c r="C733" s="7" t="s">
        <v>1242</v>
      </c>
      <c r="D733" s="6">
        <v>71</v>
      </c>
      <c r="E733" s="8" t="s">
        <v>1245</v>
      </c>
      <c r="F733" s="6" t="s">
        <v>718</v>
      </c>
      <c r="G733" s="33" t="s">
        <v>18</v>
      </c>
    </row>
    <row r="734" spans="1:7" ht="28" x14ac:dyDescent="0.15">
      <c r="A734" s="6" t="s">
        <v>521</v>
      </c>
      <c r="B734" s="6" t="s">
        <v>695</v>
      </c>
      <c r="C734" s="7" t="s">
        <v>696</v>
      </c>
      <c r="D734" s="6">
        <v>5</v>
      </c>
      <c r="E734" s="8" t="s">
        <v>1246</v>
      </c>
      <c r="F734" s="6" t="s">
        <v>718</v>
      </c>
      <c r="G734" s="33" t="s">
        <v>18</v>
      </c>
    </row>
    <row r="735" spans="1:7" ht="14" x14ac:dyDescent="0.15">
      <c r="A735" s="6" t="s">
        <v>521</v>
      </c>
      <c r="B735" s="6" t="s">
        <v>695</v>
      </c>
      <c r="C735" s="7" t="s">
        <v>696</v>
      </c>
      <c r="D735" s="6">
        <v>6</v>
      </c>
      <c r="E735" s="8" t="s">
        <v>1247</v>
      </c>
      <c r="F735" s="6" t="s">
        <v>718</v>
      </c>
      <c r="G735" s="33" t="s">
        <v>136</v>
      </c>
    </row>
    <row r="736" spans="1:7" ht="14" x14ac:dyDescent="0.15">
      <c r="A736" s="6" t="s">
        <v>521</v>
      </c>
      <c r="B736" s="6" t="s">
        <v>695</v>
      </c>
      <c r="C736" s="7" t="s">
        <v>696</v>
      </c>
      <c r="D736" s="6">
        <v>71</v>
      </c>
      <c r="E736" s="8" t="s">
        <v>1248</v>
      </c>
      <c r="F736" s="6" t="s">
        <v>718</v>
      </c>
      <c r="G736" s="33" t="s">
        <v>12</v>
      </c>
    </row>
    <row r="737" spans="1:7" ht="14" x14ac:dyDescent="0.15">
      <c r="A737" s="6" t="s">
        <v>551</v>
      </c>
      <c r="B737" s="6" t="s">
        <v>552</v>
      </c>
      <c r="C737" s="7" t="s">
        <v>553</v>
      </c>
      <c r="D737" s="6">
        <v>11</v>
      </c>
      <c r="E737" s="8" t="s">
        <v>1249</v>
      </c>
      <c r="F737" s="6" t="s">
        <v>718</v>
      </c>
      <c r="G737" s="33" t="s">
        <v>30</v>
      </c>
    </row>
    <row r="738" spans="1:7" ht="14" x14ac:dyDescent="0.15">
      <c r="A738" s="6" t="s">
        <v>551</v>
      </c>
      <c r="B738" s="6" t="s">
        <v>552</v>
      </c>
      <c r="C738" s="7" t="s">
        <v>553</v>
      </c>
      <c r="D738" s="6">
        <v>23</v>
      </c>
      <c r="E738" s="8" t="s">
        <v>1250</v>
      </c>
      <c r="F738" s="6" t="s">
        <v>718</v>
      </c>
      <c r="G738" s="33" t="s">
        <v>30</v>
      </c>
    </row>
    <row r="739" spans="1:7" ht="14" x14ac:dyDescent="0.15">
      <c r="A739" s="6" t="s">
        <v>551</v>
      </c>
      <c r="B739" s="6" t="s">
        <v>552</v>
      </c>
      <c r="C739" s="7" t="s">
        <v>553</v>
      </c>
      <c r="D739" s="6">
        <v>24</v>
      </c>
      <c r="E739" s="8" t="s">
        <v>1251</v>
      </c>
      <c r="F739" s="6" t="s">
        <v>718</v>
      </c>
      <c r="G739" s="33" t="s">
        <v>30</v>
      </c>
    </row>
    <row r="740" spans="1:7" ht="14" x14ac:dyDescent="0.15">
      <c r="A740" s="6" t="s">
        <v>551</v>
      </c>
      <c r="B740" s="6" t="s">
        <v>552</v>
      </c>
      <c r="C740" s="7" t="s">
        <v>553</v>
      </c>
      <c r="D740" s="6">
        <v>29</v>
      </c>
      <c r="E740" s="8" t="s">
        <v>1252</v>
      </c>
      <c r="F740" s="6" t="s">
        <v>718</v>
      </c>
      <c r="G740" s="33" t="s">
        <v>30</v>
      </c>
    </row>
    <row r="741" spans="1:7" ht="14" x14ac:dyDescent="0.15">
      <c r="A741" s="6" t="s">
        <v>551</v>
      </c>
      <c r="B741" s="6" t="s">
        <v>552</v>
      </c>
      <c r="C741" s="7" t="s">
        <v>553</v>
      </c>
      <c r="D741" s="6">
        <v>33</v>
      </c>
      <c r="E741" s="8" t="s">
        <v>1253</v>
      </c>
      <c r="F741" s="6" t="s">
        <v>718</v>
      </c>
      <c r="G741" s="33" t="s">
        <v>30</v>
      </c>
    </row>
    <row r="742" spans="1:7" ht="14" x14ac:dyDescent="0.15">
      <c r="A742" s="6" t="s">
        <v>551</v>
      </c>
      <c r="B742" s="6" t="s">
        <v>552</v>
      </c>
      <c r="C742" s="7" t="s">
        <v>553</v>
      </c>
      <c r="D742" s="6">
        <v>34</v>
      </c>
      <c r="E742" s="8" t="s">
        <v>1254</v>
      </c>
      <c r="F742" s="6" t="s">
        <v>718</v>
      </c>
      <c r="G742" s="33" t="s">
        <v>30</v>
      </c>
    </row>
    <row r="743" spans="1:7" ht="28" x14ac:dyDescent="0.15">
      <c r="A743" s="6" t="s">
        <v>842</v>
      </c>
      <c r="B743" s="6" t="s">
        <v>843</v>
      </c>
      <c r="C743" s="7" t="s">
        <v>1255</v>
      </c>
      <c r="D743" s="6">
        <v>11</v>
      </c>
      <c r="E743" s="8" t="s">
        <v>845</v>
      </c>
      <c r="F743" s="6" t="s">
        <v>718</v>
      </c>
      <c r="G743" s="33" t="s">
        <v>18</v>
      </c>
    </row>
    <row r="744" spans="1:7" ht="14" x14ac:dyDescent="0.15">
      <c r="A744" s="6" t="s">
        <v>842</v>
      </c>
      <c r="B744" s="6" t="s">
        <v>843</v>
      </c>
      <c r="C744" s="7" t="s">
        <v>1255</v>
      </c>
      <c r="D744" s="6">
        <v>19</v>
      </c>
      <c r="E744" s="8" t="s">
        <v>783</v>
      </c>
      <c r="F744" s="6" t="s">
        <v>718</v>
      </c>
      <c r="G744" s="33" t="s">
        <v>18</v>
      </c>
    </row>
    <row r="745" spans="1:7" ht="14" x14ac:dyDescent="0.15">
      <c r="A745" s="6" t="s">
        <v>25</v>
      </c>
      <c r="B745" s="6" t="s">
        <v>26</v>
      </c>
      <c r="C745" s="7" t="s">
        <v>563</v>
      </c>
      <c r="D745" s="6">
        <v>25</v>
      </c>
      <c r="E745" s="8" t="s">
        <v>874</v>
      </c>
      <c r="F745" s="6" t="s">
        <v>718</v>
      </c>
      <c r="G745" s="33" t="s">
        <v>30</v>
      </c>
    </row>
    <row r="746" spans="1:7" ht="14" x14ac:dyDescent="0.15">
      <c r="A746" s="6" t="s">
        <v>1256</v>
      </c>
      <c r="B746" s="6" t="s">
        <v>1256</v>
      </c>
      <c r="C746" s="7" t="s">
        <v>1257</v>
      </c>
      <c r="D746" s="6">
        <v>16</v>
      </c>
      <c r="E746" s="8" t="s">
        <v>1258</v>
      </c>
      <c r="F746" s="6" t="s">
        <v>718</v>
      </c>
      <c r="G746" s="33" t="s">
        <v>18</v>
      </c>
    </row>
    <row r="747" spans="1:7" ht="28" x14ac:dyDescent="0.15">
      <c r="A747" s="6" t="s">
        <v>1256</v>
      </c>
      <c r="B747" s="6" t="s">
        <v>1256</v>
      </c>
      <c r="C747" s="7" t="s">
        <v>1257</v>
      </c>
      <c r="D747" s="6">
        <v>24</v>
      </c>
      <c r="E747" s="8" t="s">
        <v>1259</v>
      </c>
      <c r="F747" s="6" t="s">
        <v>718</v>
      </c>
      <c r="G747" s="33" t="s">
        <v>136</v>
      </c>
    </row>
    <row r="748" spans="1:7" ht="14" x14ac:dyDescent="0.15">
      <c r="A748" s="6" t="s">
        <v>1256</v>
      </c>
      <c r="B748" s="6" t="s">
        <v>1256</v>
      </c>
      <c r="C748" s="7" t="s">
        <v>1257</v>
      </c>
      <c r="D748" s="6">
        <v>44</v>
      </c>
      <c r="E748" s="8" t="s">
        <v>1260</v>
      </c>
      <c r="F748" s="6" t="s">
        <v>718</v>
      </c>
      <c r="G748" s="33" t="s">
        <v>136</v>
      </c>
    </row>
    <row r="749" spans="1:7" ht="14" x14ac:dyDescent="0.15">
      <c r="A749" s="6" t="s">
        <v>101</v>
      </c>
      <c r="B749" s="6" t="s">
        <v>102</v>
      </c>
      <c r="C749" s="7" t="s">
        <v>103</v>
      </c>
      <c r="D749" s="6">
        <v>13</v>
      </c>
      <c r="E749" s="8" t="s">
        <v>1261</v>
      </c>
      <c r="F749" s="6" t="s">
        <v>718</v>
      </c>
      <c r="G749" s="33" t="s">
        <v>23</v>
      </c>
    </row>
    <row r="750" spans="1:7" ht="14" x14ac:dyDescent="0.15">
      <c r="A750" s="6" t="s">
        <v>101</v>
      </c>
      <c r="B750" s="6" t="s">
        <v>102</v>
      </c>
      <c r="C750" s="7" t="s">
        <v>103</v>
      </c>
      <c r="D750" s="6">
        <v>54</v>
      </c>
      <c r="E750" s="8" t="s">
        <v>1262</v>
      </c>
      <c r="F750" s="6" t="s">
        <v>718</v>
      </c>
      <c r="G750" s="33" t="s">
        <v>136</v>
      </c>
    </row>
    <row r="751" spans="1:7" ht="14" x14ac:dyDescent="0.15">
      <c r="A751" s="6" t="s">
        <v>1263</v>
      </c>
      <c r="B751" s="6" t="s">
        <v>1264</v>
      </c>
      <c r="C751" s="7" t="s">
        <v>1265</v>
      </c>
      <c r="D751" s="6">
        <v>56</v>
      </c>
      <c r="E751" s="8" t="s">
        <v>1266</v>
      </c>
      <c r="F751" s="6" t="s">
        <v>718</v>
      </c>
      <c r="G751" s="33" t="s">
        <v>83</v>
      </c>
    </row>
    <row r="752" spans="1:7" ht="14" x14ac:dyDescent="0.15">
      <c r="A752" s="6" t="s">
        <v>1263</v>
      </c>
      <c r="B752" s="6" t="s">
        <v>1264</v>
      </c>
      <c r="C752" s="7" t="s">
        <v>1265</v>
      </c>
      <c r="D752" s="6">
        <v>61</v>
      </c>
      <c r="E752" s="8" t="s">
        <v>1267</v>
      </c>
      <c r="F752" s="6" t="s">
        <v>718</v>
      </c>
      <c r="G752" s="33" t="s">
        <v>83</v>
      </c>
    </row>
    <row r="753" spans="1:7" ht="14" x14ac:dyDescent="0.15">
      <c r="A753" s="6" t="s">
        <v>1263</v>
      </c>
      <c r="B753" s="6" t="s">
        <v>1264</v>
      </c>
      <c r="C753" s="7" t="s">
        <v>1265</v>
      </c>
      <c r="D753" s="6">
        <v>62</v>
      </c>
      <c r="E753" s="8" t="s">
        <v>1268</v>
      </c>
      <c r="F753" s="6" t="s">
        <v>718</v>
      </c>
      <c r="G753" s="33" t="s">
        <v>83</v>
      </c>
    </row>
    <row r="754" spans="1:7" ht="42" x14ac:dyDescent="0.15">
      <c r="A754" s="6" t="s">
        <v>1269</v>
      </c>
      <c r="B754" s="6" t="s">
        <v>1270</v>
      </c>
      <c r="C754" s="7" t="s">
        <v>1271</v>
      </c>
      <c r="D754" s="6">
        <v>3</v>
      </c>
      <c r="E754" s="8" t="s">
        <v>1272</v>
      </c>
      <c r="F754" s="6" t="s">
        <v>718</v>
      </c>
      <c r="G754" s="33" t="s">
        <v>18</v>
      </c>
    </row>
    <row r="755" spans="1:7" ht="14" x14ac:dyDescent="0.15">
      <c r="A755" s="6" t="s">
        <v>1269</v>
      </c>
      <c r="B755" s="6" t="s">
        <v>1270</v>
      </c>
      <c r="C755" s="7" t="s">
        <v>1271</v>
      </c>
      <c r="D755" s="6">
        <v>11</v>
      </c>
      <c r="E755" s="8" t="s">
        <v>1273</v>
      </c>
      <c r="F755" s="6" t="s">
        <v>718</v>
      </c>
      <c r="G755" s="33" t="s">
        <v>18</v>
      </c>
    </row>
    <row r="756" spans="1:7" ht="14" x14ac:dyDescent="0.15">
      <c r="A756" s="6" t="s">
        <v>1269</v>
      </c>
      <c r="B756" s="6" t="s">
        <v>1270</v>
      </c>
      <c r="C756" s="7" t="s">
        <v>1271</v>
      </c>
      <c r="D756" s="6">
        <v>17</v>
      </c>
      <c r="E756" s="8" t="s">
        <v>1274</v>
      </c>
      <c r="F756" s="6" t="s">
        <v>718</v>
      </c>
      <c r="G756" s="33" t="s">
        <v>23</v>
      </c>
    </row>
    <row r="757" spans="1:7" ht="14" x14ac:dyDescent="0.15">
      <c r="A757" s="6" t="s">
        <v>570</v>
      </c>
      <c r="B757" s="6" t="s">
        <v>571</v>
      </c>
      <c r="C757" s="7" t="s">
        <v>572</v>
      </c>
      <c r="D757" s="6">
        <v>4</v>
      </c>
      <c r="E757" s="8" t="s">
        <v>1275</v>
      </c>
      <c r="F757" s="6" t="s">
        <v>718</v>
      </c>
      <c r="G757" s="33" t="s">
        <v>115</v>
      </c>
    </row>
    <row r="758" spans="1:7" ht="14" x14ac:dyDescent="0.15">
      <c r="A758" s="6" t="s">
        <v>570</v>
      </c>
      <c r="B758" s="6" t="s">
        <v>571</v>
      </c>
      <c r="C758" s="7" t="s">
        <v>572</v>
      </c>
      <c r="D758" s="6">
        <v>9</v>
      </c>
      <c r="E758" s="8" t="s">
        <v>1276</v>
      </c>
      <c r="F758" s="6" t="s">
        <v>718</v>
      </c>
      <c r="G758" s="33" t="s">
        <v>30</v>
      </c>
    </row>
    <row r="759" spans="1:7" ht="14" x14ac:dyDescent="0.15">
      <c r="A759" s="6" t="s">
        <v>570</v>
      </c>
      <c r="B759" s="6" t="s">
        <v>571</v>
      </c>
      <c r="C759" s="7" t="s">
        <v>572</v>
      </c>
      <c r="D759" s="6">
        <v>96</v>
      </c>
      <c r="E759" s="8" t="s">
        <v>1277</v>
      </c>
      <c r="F759" s="6" t="s">
        <v>718</v>
      </c>
      <c r="G759" s="33" t="s">
        <v>83</v>
      </c>
    </row>
    <row r="760" spans="1:7" ht="14" x14ac:dyDescent="0.15">
      <c r="A760" s="6" t="s">
        <v>570</v>
      </c>
      <c r="B760" s="6" t="s">
        <v>571</v>
      </c>
      <c r="C760" s="7" t="s">
        <v>572</v>
      </c>
      <c r="D760" s="6">
        <v>97</v>
      </c>
      <c r="E760" s="8" t="s">
        <v>1278</v>
      </c>
      <c r="F760" s="6" t="s">
        <v>718</v>
      </c>
      <c r="G760" s="33" t="s">
        <v>83</v>
      </c>
    </row>
    <row r="761" spans="1:7" ht="14" x14ac:dyDescent="0.15">
      <c r="A761" s="6" t="s">
        <v>570</v>
      </c>
      <c r="B761" s="6" t="s">
        <v>571</v>
      </c>
      <c r="C761" s="7" t="s">
        <v>572</v>
      </c>
      <c r="D761" s="6">
        <v>102</v>
      </c>
      <c r="E761" s="8" t="s">
        <v>1279</v>
      </c>
      <c r="F761" s="6" t="s">
        <v>718</v>
      </c>
      <c r="G761" s="33" t="s">
        <v>83</v>
      </c>
    </row>
    <row r="762" spans="1:7" ht="14" x14ac:dyDescent="0.15">
      <c r="A762" s="6" t="s">
        <v>570</v>
      </c>
      <c r="B762" s="6" t="s">
        <v>571</v>
      </c>
      <c r="C762" s="7" t="s">
        <v>572</v>
      </c>
      <c r="D762" s="6">
        <v>104</v>
      </c>
      <c r="E762" s="8" t="s">
        <v>1277</v>
      </c>
      <c r="F762" s="6" t="s">
        <v>718</v>
      </c>
      <c r="G762" s="33" t="s">
        <v>83</v>
      </c>
    </row>
    <row r="763" spans="1:7" ht="14" x14ac:dyDescent="0.15">
      <c r="A763" s="6" t="s">
        <v>570</v>
      </c>
      <c r="B763" s="6" t="s">
        <v>571</v>
      </c>
      <c r="C763" s="7" t="s">
        <v>572</v>
      </c>
      <c r="D763" s="6">
        <v>185</v>
      </c>
      <c r="E763" s="8" t="s">
        <v>1280</v>
      </c>
      <c r="F763" s="6" t="s">
        <v>718</v>
      </c>
      <c r="G763" s="33" t="s">
        <v>30</v>
      </c>
    </row>
    <row r="764" spans="1:7" ht="14" x14ac:dyDescent="0.15">
      <c r="A764" s="6" t="s">
        <v>575</v>
      </c>
      <c r="B764" s="6" t="s">
        <v>576</v>
      </c>
      <c r="C764" s="7" t="s">
        <v>577</v>
      </c>
      <c r="D764" s="6">
        <v>13</v>
      </c>
      <c r="E764" s="8" t="s">
        <v>1281</v>
      </c>
      <c r="F764" s="6" t="s">
        <v>718</v>
      </c>
      <c r="G764" s="33" t="s">
        <v>23</v>
      </c>
    </row>
    <row r="765" spans="1:7" ht="14" x14ac:dyDescent="0.15">
      <c r="A765" s="6" t="s">
        <v>575</v>
      </c>
      <c r="B765" s="6" t="s">
        <v>576</v>
      </c>
      <c r="C765" s="7" t="s">
        <v>577</v>
      </c>
      <c r="D765" s="6">
        <v>30</v>
      </c>
      <c r="E765" s="8" t="s">
        <v>1282</v>
      </c>
      <c r="F765" s="6" t="s">
        <v>718</v>
      </c>
      <c r="G765" s="33" t="s">
        <v>18</v>
      </c>
    </row>
    <row r="766" spans="1:7" ht="14" x14ac:dyDescent="0.15">
      <c r="A766" s="6" t="s">
        <v>575</v>
      </c>
      <c r="B766" s="6" t="s">
        <v>576</v>
      </c>
      <c r="C766" s="7" t="s">
        <v>577</v>
      </c>
      <c r="D766" s="6">
        <v>37</v>
      </c>
      <c r="E766" s="8" t="s">
        <v>1283</v>
      </c>
      <c r="F766" s="6" t="s">
        <v>718</v>
      </c>
      <c r="G766" s="33" t="s">
        <v>18</v>
      </c>
    </row>
    <row r="767" spans="1:7" ht="14" x14ac:dyDescent="0.15">
      <c r="A767" s="6" t="s">
        <v>575</v>
      </c>
      <c r="B767" s="6" t="s">
        <v>576</v>
      </c>
      <c r="C767" s="7" t="s">
        <v>577</v>
      </c>
      <c r="D767" s="6">
        <v>45</v>
      </c>
      <c r="E767" s="8" t="s">
        <v>1284</v>
      </c>
      <c r="F767" s="6" t="s">
        <v>718</v>
      </c>
      <c r="G767" s="33" t="s">
        <v>18</v>
      </c>
    </row>
    <row r="768" spans="1:7" ht="14" x14ac:dyDescent="0.15">
      <c r="A768" s="6" t="s">
        <v>575</v>
      </c>
      <c r="B768" s="6" t="s">
        <v>576</v>
      </c>
      <c r="C768" s="7" t="s">
        <v>577</v>
      </c>
      <c r="D768" s="6">
        <v>51</v>
      </c>
      <c r="E768" s="8" t="s">
        <v>1285</v>
      </c>
      <c r="F768" s="6" t="s">
        <v>718</v>
      </c>
      <c r="G768" s="33" t="s">
        <v>18</v>
      </c>
    </row>
    <row r="769" spans="1:7" ht="28" x14ac:dyDescent="0.15">
      <c r="A769" s="6" t="s">
        <v>575</v>
      </c>
      <c r="B769" s="6" t="s">
        <v>576</v>
      </c>
      <c r="C769" s="7" t="s">
        <v>577</v>
      </c>
      <c r="D769" s="6">
        <v>52</v>
      </c>
      <c r="E769" s="8" t="s">
        <v>1286</v>
      </c>
      <c r="F769" s="6" t="s">
        <v>718</v>
      </c>
      <c r="G769" s="33" t="s">
        <v>18</v>
      </c>
    </row>
    <row r="770" spans="1:7" ht="14" x14ac:dyDescent="0.15">
      <c r="A770" s="6" t="s">
        <v>575</v>
      </c>
      <c r="B770" s="6" t="s">
        <v>576</v>
      </c>
      <c r="C770" s="7" t="s">
        <v>577</v>
      </c>
      <c r="D770" s="6">
        <v>53</v>
      </c>
      <c r="E770" s="8" t="s">
        <v>1287</v>
      </c>
      <c r="F770" s="6" t="s">
        <v>718</v>
      </c>
      <c r="G770" s="33" t="s">
        <v>18</v>
      </c>
    </row>
    <row r="771" spans="1:7" ht="14" x14ac:dyDescent="0.15">
      <c r="A771" s="6" t="s">
        <v>575</v>
      </c>
      <c r="B771" s="6" t="s">
        <v>576</v>
      </c>
      <c r="C771" s="7" t="s">
        <v>577</v>
      </c>
      <c r="D771" s="6">
        <v>54</v>
      </c>
      <c r="E771" s="8" t="s">
        <v>1288</v>
      </c>
      <c r="F771" s="6" t="s">
        <v>718</v>
      </c>
      <c r="G771" s="33" t="s">
        <v>18</v>
      </c>
    </row>
    <row r="772" spans="1:7" ht="28" x14ac:dyDescent="0.15">
      <c r="A772" s="6" t="s">
        <v>575</v>
      </c>
      <c r="B772" s="6" t="s">
        <v>576</v>
      </c>
      <c r="C772" s="7" t="s">
        <v>577</v>
      </c>
      <c r="D772" s="6">
        <v>55</v>
      </c>
      <c r="E772" s="8" t="s">
        <v>1289</v>
      </c>
      <c r="F772" s="6" t="s">
        <v>718</v>
      </c>
      <c r="G772" s="33" t="s">
        <v>18</v>
      </c>
    </row>
    <row r="773" spans="1:7" ht="14" x14ac:dyDescent="0.15">
      <c r="A773" s="6" t="s">
        <v>575</v>
      </c>
      <c r="B773" s="6" t="s">
        <v>576</v>
      </c>
      <c r="C773" s="7" t="s">
        <v>577</v>
      </c>
      <c r="D773" s="6">
        <v>56</v>
      </c>
      <c r="E773" s="8" t="s">
        <v>1290</v>
      </c>
      <c r="F773" s="6" t="s">
        <v>718</v>
      </c>
      <c r="G773" s="33" t="s">
        <v>18</v>
      </c>
    </row>
    <row r="774" spans="1:7" ht="14" x14ac:dyDescent="0.15">
      <c r="A774" s="6" t="s">
        <v>575</v>
      </c>
      <c r="B774" s="6" t="s">
        <v>576</v>
      </c>
      <c r="C774" s="7" t="s">
        <v>577</v>
      </c>
      <c r="D774" s="6">
        <v>72</v>
      </c>
      <c r="E774" s="8" t="s">
        <v>1291</v>
      </c>
      <c r="F774" s="6" t="s">
        <v>718</v>
      </c>
      <c r="G774" s="33" t="s">
        <v>18</v>
      </c>
    </row>
    <row r="775" spans="1:7" ht="28" x14ac:dyDescent="0.15">
      <c r="A775" s="6" t="s">
        <v>575</v>
      </c>
      <c r="B775" s="6" t="s">
        <v>576</v>
      </c>
      <c r="C775" s="7" t="s">
        <v>577</v>
      </c>
      <c r="D775" s="6">
        <v>74</v>
      </c>
      <c r="E775" s="8" t="s">
        <v>1292</v>
      </c>
      <c r="F775" s="6" t="s">
        <v>718</v>
      </c>
      <c r="G775" s="33" t="s">
        <v>12</v>
      </c>
    </row>
    <row r="776" spans="1:7" ht="14" x14ac:dyDescent="0.15">
      <c r="A776" s="6" t="s">
        <v>575</v>
      </c>
      <c r="B776" s="6" t="s">
        <v>576</v>
      </c>
      <c r="C776" s="7" t="s">
        <v>577</v>
      </c>
      <c r="D776" s="6">
        <v>90</v>
      </c>
      <c r="E776" s="8" t="s">
        <v>1293</v>
      </c>
      <c r="F776" s="6" t="s">
        <v>718</v>
      </c>
      <c r="G776" s="33" t="s">
        <v>18</v>
      </c>
    </row>
    <row r="777" spans="1:7" ht="14" x14ac:dyDescent="0.15">
      <c r="A777" s="6" t="s">
        <v>575</v>
      </c>
      <c r="B777" s="6" t="s">
        <v>576</v>
      </c>
      <c r="C777" s="7" t="s">
        <v>577</v>
      </c>
      <c r="D777" s="6">
        <v>103</v>
      </c>
      <c r="E777" s="8" t="s">
        <v>1294</v>
      </c>
      <c r="F777" s="6" t="s">
        <v>718</v>
      </c>
      <c r="G777" s="33" t="s">
        <v>23</v>
      </c>
    </row>
    <row r="778" spans="1:7" ht="14" x14ac:dyDescent="0.15">
      <c r="A778" s="6" t="s">
        <v>575</v>
      </c>
      <c r="B778" s="6" t="s">
        <v>576</v>
      </c>
      <c r="C778" s="7" t="s">
        <v>577</v>
      </c>
      <c r="D778" s="6">
        <v>104</v>
      </c>
      <c r="E778" s="8" t="s">
        <v>1295</v>
      </c>
      <c r="F778" s="6" t="s">
        <v>718</v>
      </c>
      <c r="G778" s="33" t="s">
        <v>23</v>
      </c>
    </row>
    <row r="779" spans="1:7" ht="14" x14ac:dyDescent="0.15">
      <c r="A779" s="6" t="s">
        <v>575</v>
      </c>
      <c r="B779" s="6" t="s">
        <v>576</v>
      </c>
      <c r="C779" s="7" t="s">
        <v>577</v>
      </c>
      <c r="D779" s="6">
        <v>113</v>
      </c>
      <c r="E779" s="8" t="s">
        <v>1296</v>
      </c>
      <c r="F779" s="6" t="s">
        <v>718</v>
      </c>
      <c r="G779" s="33" t="s">
        <v>18</v>
      </c>
    </row>
    <row r="780" spans="1:7" ht="14" x14ac:dyDescent="0.15">
      <c r="A780" s="6" t="s">
        <v>575</v>
      </c>
      <c r="B780" s="6" t="s">
        <v>576</v>
      </c>
      <c r="C780" s="7" t="s">
        <v>577</v>
      </c>
      <c r="D780" s="6">
        <v>134</v>
      </c>
      <c r="E780" s="8" t="s">
        <v>1297</v>
      </c>
      <c r="F780" s="6" t="s">
        <v>718</v>
      </c>
      <c r="G780" s="33" t="s">
        <v>136</v>
      </c>
    </row>
    <row r="781" spans="1:7" ht="14" x14ac:dyDescent="0.15">
      <c r="A781" s="6" t="s">
        <v>1298</v>
      </c>
      <c r="B781" s="6" t="s">
        <v>1299</v>
      </c>
      <c r="C781" s="7" t="s">
        <v>1300</v>
      </c>
      <c r="D781" s="6">
        <v>7</v>
      </c>
      <c r="E781" s="8" t="s">
        <v>1301</v>
      </c>
      <c r="F781" s="6" t="s">
        <v>718</v>
      </c>
      <c r="G781" s="33" t="s">
        <v>18</v>
      </c>
    </row>
    <row r="782" spans="1:7" ht="14" x14ac:dyDescent="0.15">
      <c r="A782" s="6" t="s">
        <v>1298</v>
      </c>
      <c r="B782" s="6" t="s">
        <v>1299</v>
      </c>
      <c r="C782" s="7" t="s">
        <v>1300</v>
      </c>
      <c r="D782" s="6">
        <v>12</v>
      </c>
      <c r="E782" s="8" t="s">
        <v>1302</v>
      </c>
      <c r="F782" s="6" t="s">
        <v>718</v>
      </c>
      <c r="G782" s="33" t="s">
        <v>136</v>
      </c>
    </row>
    <row r="783" spans="1:7" ht="14" x14ac:dyDescent="0.15">
      <c r="A783" s="6" t="s">
        <v>1298</v>
      </c>
      <c r="B783" s="6" t="s">
        <v>1299</v>
      </c>
      <c r="C783" s="7" t="s">
        <v>1300</v>
      </c>
      <c r="D783" s="6">
        <v>13</v>
      </c>
      <c r="E783" s="8" t="s">
        <v>1303</v>
      </c>
      <c r="F783" s="6" t="s">
        <v>718</v>
      </c>
      <c r="G783" s="33" t="s">
        <v>18</v>
      </c>
    </row>
    <row r="784" spans="1:7" ht="14" x14ac:dyDescent="0.15">
      <c r="A784" s="6" t="s">
        <v>1298</v>
      </c>
      <c r="B784" s="6" t="s">
        <v>1299</v>
      </c>
      <c r="C784" s="7" t="s">
        <v>1300</v>
      </c>
      <c r="D784" s="6">
        <v>29</v>
      </c>
      <c r="E784" s="8" t="s">
        <v>1304</v>
      </c>
      <c r="F784" s="6" t="s">
        <v>718</v>
      </c>
      <c r="G784" s="33" t="s">
        <v>136</v>
      </c>
    </row>
    <row r="785" spans="1:7" ht="14" x14ac:dyDescent="0.15">
      <c r="A785" s="6" t="s">
        <v>1298</v>
      </c>
      <c r="B785" s="6" t="s">
        <v>1299</v>
      </c>
      <c r="C785" s="7" t="s">
        <v>1300</v>
      </c>
      <c r="D785" s="6">
        <v>57</v>
      </c>
      <c r="E785" s="8" t="s">
        <v>1305</v>
      </c>
      <c r="F785" s="6" t="s">
        <v>718</v>
      </c>
      <c r="G785" s="33" t="s">
        <v>23</v>
      </c>
    </row>
    <row r="786" spans="1:7" ht="28" x14ac:dyDescent="0.15">
      <c r="A786" s="6" t="s">
        <v>1298</v>
      </c>
      <c r="B786" s="6" t="s">
        <v>1299</v>
      </c>
      <c r="C786" s="7" t="s">
        <v>1300</v>
      </c>
      <c r="D786" s="6">
        <v>97</v>
      </c>
      <c r="E786" s="8" t="s">
        <v>1306</v>
      </c>
      <c r="F786" s="6" t="s">
        <v>718</v>
      </c>
      <c r="G786" s="33" t="s">
        <v>77</v>
      </c>
    </row>
    <row r="787" spans="1:7" ht="14" x14ac:dyDescent="0.15">
      <c r="A787" s="6" t="s">
        <v>63</v>
      </c>
      <c r="B787" s="6" t="s">
        <v>64</v>
      </c>
      <c r="C787" s="7" t="s">
        <v>65</v>
      </c>
      <c r="D787" s="6">
        <v>78</v>
      </c>
      <c r="E787" s="8" t="s">
        <v>1307</v>
      </c>
      <c r="F787" s="6" t="s">
        <v>718</v>
      </c>
      <c r="G787" s="33" t="s">
        <v>77</v>
      </c>
    </row>
    <row r="788" spans="1:7" ht="28" x14ac:dyDescent="0.15">
      <c r="A788" s="6" t="s">
        <v>593</v>
      </c>
      <c r="B788" s="6" t="s">
        <v>593</v>
      </c>
      <c r="C788" s="7" t="s">
        <v>594</v>
      </c>
      <c r="D788" s="6">
        <v>32</v>
      </c>
      <c r="E788" s="8" t="s">
        <v>1308</v>
      </c>
      <c r="F788" s="6" t="s">
        <v>718</v>
      </c>
      <c r="G788" s="33" t="s">
        <v>115</v>
      </c>
    </row>
    <row r="789" spans="1:7" ht="28" x14ac:dyDescent="0.15">
      <c r="A789" s="6" t="s">
        <v>593</v>
      </c>
      <c r="B789" s="6" t="s">
        <v>593</v>
      </c>
      <c r="C789" s="7" t="s">
        <v>594</v>
      </c>
      <c r="D789" s="6">
        <v>53</v>
      </c>
      <c r="E789" s="8" t="s">
        <v>1309</v>
      </c>
      <c r="F789" s="6" t="s">
        <v>718</v>
      </c>
      <c r="G789" s="33" t="s">
        <v>88</v>
      </c>
    </row>
    <row r="790" spans="1:7" ht="28" x14ac:dyDescent="0.15">
      <c r="A790" s="6" t="s">
        <v>593</v>
      </c>
      <c r="B790" s="6" t="s">
        <v>593</v>
      </c>
      <c r="C790" s="7" t="s">
        <v>594</v>
      </c>
      <c r="D790" s="6">
        <v>54</v>
      </c>
      <c r="E790" s="8" t="s">
        <v>1310</v>
      </c>
      <c r="F790" s="6" t="s">
        <v>718</v>
      </c>
      <c r="G790" s="33" t="s">
        <v>88</v>
      </c>
    </row>
    <row r="791" spans="1:7" ht="14" x14ac:dyDescent="0.15">
      <c r="A791" s="6" t="s">
        <v>173</v>
      </c>
      <c r="B791" s="6" t="s">
        <v>174</v>
      </c>
      <c r="C791" s="7" t="s">
        <v>175</v>
      </c>
      <c r="D791" s="6">
        <v>221</v>
      </c>
      <c r="E791" s="8" t="s">
        <v>1311</v>
      </c>
      <c r="F791" s="6" t="s">
        <v>1312</v>
      </c>
      <c r="G791" s="33" t="s">
        <v>30</v>
      </c>
    </row>
    <row r="792" spans="1:7" ht="28" x14ac:dyDescent="0.15">
      <c r="A792" s="6" t="s">
        <v>349</v>
      </c>
      <c r="B792" s="6" t="s">
        <v>350</v>
      </c>
      <c r="C792" s="7" t="s">
        <v>351</v>
      </c>
      <c r="D792" s="6">
        <v>212</v>
      </c>
      <c r="E792" s="8" t="s">
        <v>1313</v>
      </c>
      <c r="F792" s="6" t="s">
        <v>1314</v>
      </c>
      <c r="G792" s="33" t="s">
        <v>30</v>
      </c>
    </row>
    <row r="793" spans="1:7" ht="14" x14ac:dyDescent="0.15">
      <c r="A793" s="6" t="s">
        <v>51</v>
      </c>
      <c r="B793" s="6" t="s">
        <v>499</v>
      </c>
      <c r="C793" s="7" t="s">
        <v>500</v>
      </c>
      <c r="D793" s="6">
        <v>11</v>
      </c>
      <c r="E793" s="8" t="s">
        <v>1315</v>
      </c>
      <c r="F793" s="6" t="s">
        <v>1314</v>
      </c>
      <c r="G793" s="33" t="s">
        <v>12</v>
      </c>
    </row>
    <row r="794" spans="1:7" ht="14" x14ac:dyDescent="0.15">
      <c r="A794" s="6" t="s">
        <v>1263</v>
      </c>
      <c r="B794" s="6" t="s">
        <v>1264</v>
      </c>
      <c r="C794" s="7" t="s">
        <v>1265</v>
      </c>
      <c r="D794" s="6">
        <v>59</v>
      </c>
      <c r="E794" s="8" t="s">
        <v>1316</v>
      </c>
      <c r="F794" s="6" t="s">
        <v>1314</v>
      </c>
      <c r="G794" s="33" t="s">
        <v>115</v>
      </c>
    </row>
    <row r="795" spans="1:7" ht="14" x14ac:dyDescent="0.15">
      <c r="A795" s="6" t="s">
        <v>140</v>
      </c>
      <c r="B795" s="6" t="s">
        <v>141</v>
      </c>
      <c r="C795" s="7" t="s">
        <v>142</v>
      </c>
      <c r="D795" s="6">
        <v>66</v>
      </c>
      <c r="E795" s="8" t="s">
        <v>1317</v>
      </c>
      <c r="F795" s="6" t="s">
        <v>1318</v>
      </c>
      <c r="G795" s="33" t="s">
        <v>30</v>
      </c>
    </row>
    <row r="796" spans="1:7" ht="14" x14ac:dyDescent="0.15">
      <c r="A796" s="6" t="s">
        <v>254</v>
      </c>
      <c r="B796" s="6" t="s">
        <v>255</v>
      </c>
      <c r="C796" s="7" t="s">
        <v>256</v>
      </c>
      <c r="D796" s="6">
        <v>23</v>
      </c>
      <c r="E796" s="8" t="s">
        <v>1319</v>
      </c>
      <c r="F796" s="6" t="s">
        <v>1320</v>
      </c>
      <c r="G796" s="33" t="s">
        <v>136</v>
      </c>
    </row>
    <row r="797" spans="1:7" ht="14" x14ac:dyDescent="0.15">
      <c r="A797" s="6" t="s">
        <v>156</v>
      </c>
      <c r="B797" s="6" t="s">
        <v>159</v>
      </c>
      <c r="C797" s="7" t="s">
        <v>160</v>
      </c>
      <c r="D797" s="6">
        <v>29</v>
      </c>
      <c r="E797" s="8" t="s">
        <v>1321</v>
      </c>
      <c r="F797" s="6" t="s">
        <v>718</v>
      </c>
      <c r="G797" s="33" t="s">
        <v>18</v>
      </c>
    </row>
    <row r="798" spans="1:7" ht="42" x14ac:dyDescent="0.15">
      <c r="A798" s="6" t="s">
        <v>164</v>
      </c>
      <c r="B798" s="6" t="s">
        <v>165</v>
      </c>
      <c r="C798" s="7" t="s">
        <v>166</v>
      </c>
      <c r="D798" s="6">
        <v>159</v>
      </c>
      <c r="E798" s="8" t="s">
        <v>1322</v>
      </c>
      <c r="F798" s="6" t="s">
        <v>718</v>
      </c>
      <c r="G798" s="33" t="s">
        <v>30</v>
      </c>
    </row>
    <row r="799" spans="1:7" ht="14" x14ac:dyDescent="0.15">
      <c r="A799" s="6" t="s">
        <v>1011</v>
      </c>
      <c r="B799" s="6" t="s">
        <v>1012</v>
      </c>
      <c r="C799" s="7" t="s">
        <v>1013</v>
      </c>
      <c r="D799" s="6">
        <v>12</v>
      </c>
      <c r="E799" s="8" t="s">
        <v>1323</v>
      </c>
      <c r="F799" s="6" t="s">
        <v>718</v>
      </c>
      <c r="G799" s="33" t="s">
        <v>18</v>
      </c>
    </row>
    <row r="800" spans="1:7" ht="14" x14ac:dyDescent="0.15">
      <c r="A800" s="6" t="s">
        <v>92</v>
      </c>
      <c r="B800" s="6" t="s">
        <v>93</v>
      </c>
      <c r="C800" s="7" t="s">
        <v>94</v>
      </c>
      <c r="D800" s="6">
        <v>112</v>
      </c>
      <c r="E800" s="8" t="s">
        <v>1324</v>
      </c>
      <c r="F800" s="6" t="s">
        <v>718</v>
      </c>
      <c r="G800" s="33" t="s">
        <v>83</v>
      </c>
    </row>
    <row r="801" spans="1:7" ht="28" x14ac:dyDescent="0.15">
      <c r="A801" s="6" t="s">
        <v>51</v>
      </c>
      <c r="B801" s="6" t="s">
        <v>496</v>
      </c>
      <c r="C801" s="7" t="s">
        <v>497</v>
      </c>
      <c r="D801" s="6">
        <v>38</v>
      </c>
      <c r="E801" s="8" t="s">
        <v>1325</v>
      </c>
      <c r="F801" s="6" t="s">
        <v>718</v>
      </c>
      <c r="G801" s="33" t="s">
        <v>88</v>
      </c>
    </row>
    <row r="802" spans="1:7" ht="14" x14ac:dyDescent="0.15">
      <c r="A802" s="6" t="s">
        <v>619</v>
      </c>
      <c r="B802" s="6" t="s">
        <v>620</v>
      </c>
      <c r="C802" s="7" t="s">
        <v>621</v>
      </c>
      <c r="D802" s="6">
        <v>114</v>
      </c>
      <c r="E802" s="8" t="s">
        <v>1326</v>
      </c>
      <c r="F802" s="6" t="s">
        <v>718</v>
      </c>
      <c r="G802" s="33" t="s">
        <v>30</v>
      </c>
    </row>
    <row r="803" spans="1:7" ht="42" x14ac:dyDescent="0.15">
      <c r="A803" s="6" t="s">
        <v>140</v>
      </c>
      <c r="B803" s="6" t="s">
        <v>141</v>
      </c>
      <c r="C803" s="7" t="s">
        <v>142</v>
      </c>
      <c r="D803" s="6">
        <v>256</v>
      </c>
      <c r="E803" s="8" t="s">
        <v>1327</v>
      </c>
      <c r="F803" s="6" t="s">
        <v>1314</v>
      </c>
      <c r="G803" s="33" t="s">
        <v>88</v>
      </c>
    </row>
    <row r="804" spans="1:7" ht="14" x14ac:dyDescent="0.15">
      <c r="A804" s="6" t="s">
        <v>652</v>
      </c>
      <c r="B804" s="6" t="s">
        <v>653</v>
      </c>
      <c r="C804" s="7" t="s">
        <v>654</v>
      </c>
      <c r="D804" s="6">
        <v>94</v>
      </c>
      <c r="E804" s="8" t="s">
        <v>1328</v>
      </c>
      <c r="F804" s="6" t="s">
        <v>1329</v>
      </c>
      <c r="G804" s="33" t="s">
        <v>115</v>
      </c>
    </row>
    <row r="805" spans="1:7" ht="28" x14ac:dyDescent="0.15">
      <c r="A805" s="6" t="s">
        <v>164</v>
      </c>
      <c r="B805" s="6" t="s">
        <v>165</v>
      </c>
      <c r="C805" s="7" t="s">
        <v>166</v>
      </c>
      <c r="D805" s="6">
        <v>13</v>
      </c>
      <c r="E805" s="8" t="s">
        <v>1330</v>
      </c>
      <c r="F805" s="6" t="s">
        <v>718</v>
      </c>
      <c r="G805" s="33" t="s">
        <v>30</v>
      </c>
    </row>
    <row r="806" spans="1:7" ht="28" x14ac:dyDescent="0.15">
      <c r="A806" s="6" t="s">
        <v>131</v>
      </c>
      <c r="B806" s="6" t="s">
        <v>132</v>
      </c>
      <c r="C806" s="7" t="s">
        <v>133</v>
      </c>
      <c r="D806" s="6">
        <v>235</v>
      </c>
      <c r="E806" s="8" t="s">
        <v>1331</v>
      </c>
      <c r="F806" s="6" t="s">
        <v>1314</v>
      </c>
      <c r="G806" s="33" t="s">
        <v>18</v>
      </c>
    </row>
    <row r="807" spans="1:7" ht="14" x14ac:dyDescent="0.15">
      <c r="A807" s="6" t="s">
        <v>118</v>
      </c>
      <c r="B807" s="6" t="s">
        <v>119</v>
      </c>
      <c r="C807" s="7" t="s">
        <v>120</v>
      </c>
      <c r="D807" s="6">
        <v>43</v>
      </c>
      <c r="E807" s="8" t="s">
        <v>1332</v>
      </c>
      <c r="F807" s="6" t="s">
        <v>718</v>
      </c>
      <c r="G807" s="33" t="s">
        <v>30</v>
      </c>
    </row>
    <row r="808" spans="1:7" ht="28" x14ac:dyDescent="0.15">
      <c r="A808" s="6" t="s">
        <v>92</v>
      </c>
      <c r="B808" s="6" t="s">
        <v>93</v>
      </c>
      <c r="C808" s="7" t="s">
        <v>94</v>
      </c>
      <c r="D808" s="6">
        <v>45</v>
      </c>
      <c r="E808" s="8" t="s">
        <v>1333</v>
      </c>
      <c r="F808" s="6" t="s">
        <v>1334</v>
      </c>
      <c r="G808" s="33" t="s">
        <v>18</v>
      </c>
    </row>
    <row r="809" spans="1:7" ht="28" x14ac:dyDescent="0.15">
      <c r="A809" s="6" t="s">
        <v>131</v>
      </c>
      <c r="B809" s="6" t="s">
        <v>132</v>
      </c>
      <c r="C809" s="7" t="s">
        <v>347</v>
      </c>
      <c r="D809" s="6">
        <v>92</v>
      </c>
      <c r="E809" s="8" t="s">
        <v>1335</v>
      </c>
      <c r="F809" s="6" t="s">
        <v>1314</v>
      </c>
      <c r="G809" s="33" t="s">
        <v>18</v>
      </c>
    </row>
    <row r="810" spans="1:7" ht="14" x14ac:dyDescent="0.15">
      <c r="A810" s="6" t="s">
        <v>131</v>
      </c>
      <c r="B810" s="6" t="s">
        <v>132</v>
      </c>
      <c r="C810" s="7" t="s">
        <v>133</v>
      </c>
      <c r="D810" s="6">
        <v>48</v>
      </c>
      <c r="E810" s="8" t="s">
        <v>1336</v>
      </c>
      <c r="F810" s="6" t="s">
        <v>718</v>
      </c>
      <c r="G810" s="33" t="s">
        <v>18</v>
      </c>
    </row>
    <row r="811" spans="1:7" ht="14" x14ac:dyDescent="0.15">
      <c r="A811" s="6" t="s">
        <v>131</v>
      </c>
      <c r="B811" s="6" t="s">
        <v>132</v>
      </c>
      <c r="C811" s="7" t="s">
        <v>347</v>
      </c>
      <c r="D811" s="6">
        <v>44</v>
      </c>
      <c r="E811" s="8" t="s">
        <v>1337</v>
      </c>
      <c r="F811" s="6" t="s">
        <v>718</v>
      </c>
      <c r="G811" s="33" t="s">
        <v>18</v>
      </c>
    </row>
    <row r="812" spans="1:7" ht="28" x14ac:dyDescent="0.15">
      <c r="A812" s="6" t="s">
        <v>666</v>
      </c>
      <c r="B812" s="6" t="s">
        <v>667</v>
      </c>
      <c r="C812" s="7" t="s">
        <v>668</v>
      </c>
      <c r="D812" s="6">
        <v>55</v>
      </c>
      <c r="E812" s="8" t="s">
        <v>1338</v>
      </c>
      <c r="F812" s="6" t="s">
        <v>1339</v>
      </c>
      <c r="G812" s="33" t="s">
        <v>12</v>
      </c>
    </row>
    <row r="813" spans="1:7" ht="28" x14ac:dyDescent="0.15">
      <c r="A813" s="6" t="s">
        <v>441</v>
      </c>
      <c r="B813" s="6" t="s">
        <v>442</v>
      </c>
      <c r="C813" s="7" t="s">
        <v>443</v>
      </c>
      <c r="D813" s="6">
        <v>106</v>
      </c>
      <c r="E813" s="8" t="s">
        <v>1340</v>
      </c>
      <c r="F813" s="6" t="s">
        <v>1339</v>
      </c>
      <c r="G813" s="33" t="s">
        <v>83</v>
      </c>
    </row>
    <row r="814" spans="1:7" ht="28" x14ac:dyDescent="0.15">
      <c r="A814" s="6" t="s">
        <v>570</v>
      </c>
      <c r="B814" s="6" t="s">
        <v>571</v>
      </c>
      <c r="C814" s="7" t="s">
        <v>572</v>
      </c>
      <c r="D814" s="6">
        <v>24</v>
      </c>
      <c r="E814" s="8" t="s">
        <v>1341</v>
      </c>
      <c r="F814" s="6" t="s">
        <v>718</v>
      </c>
      <c r="G814" s="33" t="s">
        <v>30</v>
      </c>
    </row>
    <row r="815" spans="1:7" ht="28" x14ac:dyDescent="0.15">
      <c r="A815" s="6" t="s">
        <v>68</v>
      </c>
      <c r="B815" s="6" t="s">
        <v>69</v>
      </c>
      <c r="C815" s="7" t="s">
        <v>70</v>
      </c>
      <c r="D815" s="6">
        <v>58</v>
      </c>
      <c r="E815" s="8" t="s">
        <v>1342</v>
      </c>
      <c r="F815" s="6" t="s">
        <v>1343</v>
      </c>
      <c r="G815" s="33" t="s">
        <v>12</v>
      </c>
    </row>
    <row r="816" spans="1:7" ht="28" x14ac:dyDescent="0.15">
      <c r="A816" s="6" t="s">
        <v>670</v>
      </c>
      <c r="B816" s="6" t="s">
        <v>671</v>
      </c>
      <c r="C816" s="7" t="s">
        <v>672</v>
      </c>
      <c r="D816" s="6">
        <v>54</v>
      </c>
      <c r="E816" s="8" t="s">
        <v>1344</v>
      </c>
      <c r="F816" s="6" t="s">
        <v>1343</v>
      </c>
      <c r="G816" s="33" t="s">
        <v>12</v>
      </c>
    </row>
    <row r="817" spans="1:7" ht="28" x14ac:dyDescent="0.15">
      <c r="A817" s="6" t="s">
        <v>851</v>
      </c>
      <c r="B817" s="6" t="s">
        <v>852</v>
      </c>
      <c r="C817" s="7" t="s">
        <v>853</v>
      </c>
      <c r="D817" s="6">
        <v>47</v>
      </c>
      <c r="E817" s="8" t="s">
        <v>1345</v>
      </c>
      <c r="F817" s="6" t="s">
        <v>1343</v>
      </c>
      <c r="G817" s="33" t="s">
        <v>12</v>
      </c>
    </row>
    <row r="818" spans="1:7" ht="28" x14ac:dyDescent="0.15">
      <c r="A818" s="6" t="s">
        <v>1163</v>
      </c>
      <c r="B818" s="6" t="s">
        <v>1164</v>
      </c>
      <c r="C818" s="7" t="s">
        <v>1165</v>
      </c>
      <c r="D818" s="6">
        <v>104</v>
      </c>
      <c r="E818" s="8" t="s">
        <v>1346</v>
      </c>
      <c r="F818" s="6" t="s">
        <v>1343</v>
      </c>
      <c r="G818" s="33" t="s">
        <v>342</v>
      </c>
    </row>
    <row r="819" spans="1:7" ht="14" x14ac:dyDescent="0.15">
      <c r="A819" s="6" t="s">
        <v>51</v>
      </c>
      <c r="B819" s="6" t="s">
        <v>496</v>
      </c>
      <c r="C819" s="7" t="s">
        <v>497</v>
      </c>
      <c r="D819" s="6">
        <v>86</v>
      </c>
      <c r="E819" s="8" t="s">
        <v>1347</v>
      </c>
      <c r="F819" s="6" t="s">
        <v>1343</v>
      </c>
      <c r="G819" s="33" t="s">
        <v>136</v>
      </c>
    </row>
    <row r="820" spans="1:7" ht="28" x14ac:dyDescent="0.15">
      <c r="A820" s="6" t="s">
        <v>63</v>
      </c>
      <c r="B820" s="6" t="s">
        <v>64</v>
      </c>
      <c r="C820" s="7" t="s">
        <v>65</v>
      </c>
      <c r="D820" s="6">
        <v>79</v>
      </c>
      <c r="E820" s="8" t="s">
        <v>1348</v>
      </c>
      <c r="F820" s="6" t="s">
        <v>1343</v>
      </c>
      <c r="G820" s="33" t="s">
        <v>12</v>
      </c>
    </row>
    <row r="821" spans="1:7" ht="28" x14ac:dyDescent="0.15">
      <c r="A821" s="6" t="s">
        <v>393</v>
      </c>
      <c r="B821" s="6" t="s">
        <v>394</v>
      </c>
      <c r="C821" s="7" t="s">
        <v>395</v>
      </c>
      <c r="D821" s="6">
        <v>112</v>
      </c>
      <c r="E821" s="8" t="s">
        <v>1349</v>
      </c>
      <c r="F821" s="6" t="s">
        <v>1343</v>
      </c>
      <c r="G821" s="33" t="s">
        <v>136</v>
      </c>
    </row>
    <row r="822" spans="1:7" ht="28" x14ac:dyDescent="0.15">
      <c r="A822" s="6" t="s">
        <v>1227</v>
      </c>
      <c r="B822" s="6" t="s">
        <v>1228</v>
      </c>
      <c r="C822" s="7" t="s">
        <v>1229</v>
      </c>
      <c r="D822" s="6">
        <v>15</v>
      </c>
      <c r="E822" s="8" t="s">
        <v>1350</v>
      </c>
      <c r="F822" s="6" t="s">
        <v>1343</v>
      </c>
      <c r="G822" s="33" t="s">
        <v>23</v>
      </c>
    </row>
    <row r="823" spans="1:7" ht="28" x14ac:dyDescent="0.15">
      <c r="A823" s="6" t="s">
        <v>51</v>
      </c>
      <c r="B823" s="6" t="s">
        <v>56</v>
      </c>
      <c r="C823" s="7" t="s">
        <v>57</v>
      </c>
      <c r="D823" s="6">
        <v>107</v>
      </c>
      <c r="E823" s="8" t="s">
        <v>1351</v>
      </c>
      <c r="F823" s="6" t="s">
        <v>718</v>
      </c>
      <c r="G823" s="33" t="s">
        <v>12</v>
      </c>
    </row>
    <row r="824" spans="1:7" ht="42" x14ac:dyDescent="0.15">
      <c r="A824" s="6" t="s">
        <v>393</v>
      </c>
      <c r="B824" s="6" t="s">
        <v>394</v>
      </c>
      <c r="C824" s="7" t="s">
        <v>395</v>
      </c>
      <c r="D824" s="6">
        <v>48</v>
      </c>
      <c r="E824" s="8" t="s">
        <v>1352</v>
      </c>
      <c r="F824" s="6" t="s">
        <v>718</v>
      </c>
      <c r="G824" s="33" t="s">
        <v>18</v>
      </c>
    </row>
    <row r="825" spans="1:7" ht="28" x14ac:dyDescent="0.15">
      <c r="A825" s="6" t="s">
        <v>724</v>
      </c>
      <c r="B825" s="6" t="s">
        <v>724</v>
      </c>
      <c r="C825" s="7" t="s">
        <v>725</v>
      </c>
      <c r="D825" s="6">
        <v>62</v>
      </c>
      <c r="E825" s="8" t="s">
        <v>1353</v>
      </c>
      <c r="F825" s="6" t="s">
        <v>718</v>
      </c>
      <c r="G825" s="33" t="s">
        <v>12</v>
      </c>
    </row>
    <row r="826" spans="1:7" ht="28" x14ac:dyDescent="0.15">
      <c r="A826" s="6" t="s">
        <v>169</v>
      </c>
      <c r="B826" s="6" t="s">
        <v>169</v>
      </c>
      <c r="C826" s="7" t="s">
        <v>170</v>
      </c>
      <c r="D826" s="6">
        <v>47</v>
      </c>
      <c r="E826" s="8" t="s">
        <v>1354</v>
      </c>
      <c r="F826" s="6" t="s">
        <v>718</v>
      </c>
      <c r="G826" s="33" t="s">
        <v>18</v>
      </c>
    </row>
    <row r="827" spans="1:7" ht="14" x14ac:dyDescent="0.15">
      <c r="A827" s="6" t="s">
        <v>825</v>
      </c>
      <c r="B827" s="6" t="s">
        <v>826</v>
      </c>
      <c r="C827" s="7" t="s">
        <v>827</v>
      </c>
      <c r="D827" s="6">
        <v>37</v>
      </c>
      <c r="E827" s="8" t="s">
        <v>1355</v>
      </c>
      <c r="F827" s="6" t="s">
        <v>718</v>
      </c>
      <c r="G827" s="33" t="s">
        <v>23</v>
      </c>
    </row>
    <row r="828" spans="1:7" ht="14" x14ac:dyDescent="0.15">
      <c r="A828" s="6" t="s">
        <v>831</v>
      </c>
      <c r="B828" s="6" t="s">
        <v>831</v>
      </c>
      <c r="C828" s="7" t="s">
        <v>832</v>
      </c>
      <c r="D828" s="6">
        <v>170</v>
      </c>
      <c r="E828" s="8" t="s">
        <v>1356</v>
      </c>
      <c r="F828" s="6" t="s">
        <v>718</v>
      </c>
      <c r="G828" s="33" t="s">
        <v>18</v>
      </c>
    </row>
    <row r="829" spans="1:7" ht="14" x14ac:dyDescent="0.15">
      <c r="A829" s="6" t="s">
        <v>831</v>
      </c>
      <c r="B829" s="6" t="s">
        <v>831</v>
      </c>
      <c r="C829" s="7" t="s">
        <v>832</v>
      </c>
      <c r="D829" s="6">
        <v>176</v>
      </c>
      <c r="E829" s="8" t="s">
        <v>1357</v>
      </c>
      <c r="F829" s="6" t="s">
        <v>718</v>
      </c>
      <c r="G829" s="33" t="s">
        <v>18</v>
      </c>
    </row>
    <row r="830" spans="1:7" ht="42" x14ac:dyDescent="0.15">
      <c r="A830" s="6" t="s">
        <v>247</v>
      </c>
      <c r="B830" s="6" t="s">
        <v>248</v>
      </c>
      <c r="C830" s="7" t="s">
        <v>249</v>
      </c>
      <c r="D830" s="6">
        <v>128</v>
      </c>
      <c r="E830" s="8" t="s">
        <v>1358</v>
      </c>
      <c r="F830" s="6" t="s">
        <v>718</v>
      </c>
      <c r="G830" s="33" t="s">
        <v>30</v>
      </c>
    </row>
    <row r="831" spans="1:7" ht="28" x14ac:dyDescent="0.15">
      <c r="A831" s="6" t="s">
        <v>393</v>
      </c>
      <c r="B831" s="6" t="s">
        <v>394</v>
      </c>
      <c r="C831" s="7" t="s">
        <v>395</v>
      </c>
      <c r="D831" s="6">
        <v>129</v>
      </c>
      <c r="E831" s="8" t="s">
        <v>1359</v>
      </c>
      <c r="F831" s="6" t="s">
        <v>718</v>
      </c>
      <c r="G831" s="33" t="s">
        <v>88</v>
      </c>
    </row>
    <row r="832" spans="1:7" ht="42" x14ac:dyDescent="0.15">
      <c r="A832" s="6" t="s">
        <v>247</v>
      </c>
      <c r="B832" s="6" t="s">
        <v>248</v>
      </c>
      <c r="C832" s="7" t="s">
        <v>399</v>
      </c>
      <c r="D832" s="6">
        <v>107</v>
      </c>
      <c r="E832" s="8" t="s">
        <v>1358</v>
      </c>
      <c r="F832" s="6" t="s">
        <v>718</v>
      </c>
      <c r="G832" s="33" t="s">
        <v>30</v>
      </c>
    </row>
    <row r="833" spans="1:7" ht="28" x14ac:dyDescent="0.15">
      <c r="A833" s="6" t="s">
        <v>1118</v>
      </c>
      <c r="B833" s="6" t="s">
        <v>1119</v>
      </c>
      <c r="C833" s="7" t="s">
        <v>1120</v>
      </c>
      <c r="D833" s="6">
        <v>20</v>
      </c>
      <c r="E833" s="8" t="s">
        <v>1360</v>
      </c>
      <c r="F833" s="6" t="s">
        <v>718</v>
      </c>
      <c r="G833" s="33" t="s">
        <v>136</v>
      </c>
    </row>
    <row r="834" spans="1:7" ht="28" x14ac:dyDescent="0.15">
      <c r="A834" s="6" t="s">
        <v>416</v>
      </c>
      <c r="B834" s="6" t="s">
        <v>416</v>
      </c>
      <c r="C834" s="7" t="s">
        <v>417</v>
      </c>
      <c r="D834" s="6">
        <v>20</v>
      </c>
      <c r="E834" s="8" t="s">
        <v>1361</v>
      </c>
      <c r="F834" s="6" t="s">
        <v>718</v>
      </c>
      <c r="G834" s="33" t="s">
        <v>18</v>
      </c>
    </row>
    <row r="835" spans="1:7" ht="14" x14ac:dyDescent="0.15">
      <c r="A835" s="6" t="s">
        <v>416</v>
      </c>
      <c r="B835" s="6" t="s">
        <v>416</v>
      </c>
      <c r="C835" s="7" t="s">
        <v>417</v>
      </c>
      <c r="D835" s="6">
        <v>24</v>
      </c>
      <c r="E835" s="8" t="s">
        <v>1362</v>
      </c>
      <c r="F835" s="6" t="s">
        <v>718</v>
      </c>
      <c r="G835" s="33" t="s">
        <v>115</v>
      </c>
    </row>
    <row r="836" spans="1:7" ht="14" x14ac:dyDescent="0.15">
      <c r="A836" s="6" t="s">
        <v>1205</v>
      </c>
      <c r="B836" s="6" t="s">
        <v>1206</v>
      </c>
      <c r="C836" s="7" t="s">
        <v>1207</v>
      </c>
      <c r="D836" s="6">
        <v>12</v>
      </c>
      <c r="E836" s="8" t="s">
        <v>1363</v>
      </c>
      <c r="F836" s="6" t="s">
        <v>718</v>
      </c>
      <c r="G836" s="33" t="s">
        <v>30</v>
      </c>
    </row>
    <row r="837" spans="1:7" ht="14" x14ac:dyDescent="0.15">
      <c r="A837" s="6" t="s">
        <v>521</v>
      </c>
      <c r="B837" s="6" t="s">
        <v>522</v>
      </c>
      <c r="C837" s="7" t="s">
        <v>523</v>
      </c>
      <c r="D837" s="6">
        <v>18</v>
      </c>
      <c r="E837" s="8" t="s">
        <v>1364</v>
      </c>
      <c r="F837" s="6" t="s">
        <v>718</v>
      </c>
      <c r="G837" s="33" t="s">
        <v>12</v>
      </c>
    </row>
    <row r="838" spans="1:7" ht="28" x14ac:dyDescent="0.15">
      <c r="A838" s="6" t="s">
        <v>521</v>
      </c>
      <c r="B838" s="6" t="s">
        <v>1241</v>
      </c>
      <c r="C838" s="7" t="s">
        <v>1242</v>
      </c>
      <c r="D838" s="6">
        <v>23</v>
      </c>
      <c r="E838" s="8" t="s">
        <v>1365</v>
      </c>
      <c r="F838" s="6" t="s">
        <v>718</v>
      </c>
      <c r="G838" s="33" t="s">
        <v>18</v>
      </c>
    </row>
    <row r="839" spans="1:7" ht="28" x14ac:dyDescent="0.15">
      <c r="A839" s="6" t="s">
        <v>1269</v>
      </c>
      <c r="B839" s="6" t="s">
        <v>1270</v>
      </c>
      <c r="C839" s="7" t="s">
        <v>1271</v>
      </c>
      <c r="D839" s="6">
        <v>5</v>
      </c>
      <c r="E839" s="8" t="s">
        <v>1365</v>
      </c>
      <c r="F839" s="6" t="s">
        <v>718</v>
      </c>
      <c r="G839" s="33" t="s">
        <v>18</v>
      </c>
    </row>
    <row r="840" spans="1:7" ht="28" x14ac:dyDescent="0.15">
      <c r="A840" s="6" t="s">
        <v>570</v>
      </c>
      <c r="B840" s="6" t="s">
        <v>571</v>
      </c>
      <c r="C840" s="7" t="s">
        <v>572</v>
      </c>
      <c r="D840" s="6">
        <v>94</v>
      </c>
      <c r="E840" s="8" t="s">
        <v>1366</v>
      </c>
      <c r="F840" s="6" t="s">
        <v>718</v>
      </c>
      <c r="G840" s="33" t="s">
        <v>83</v>
      </c>
    </row>
    <row r="841" spans="1:7" ht="14" x14ac:dyDescent="0.15">
      <c r="A841" s="6" t="s">
        <v>1298</v>
      </c>
      <c r="B841" s="6" t="s">
        <v>1299</v>
      </c>
      <c r="C841" s="7" t="s">
        <v>1300</v>
      </c>
      <c r="D841" s="6">
        <v>16</v>
      </c>
      <c r="E841" s="8" t="s">
        <v>1367</v>
      </c>
      <c r="F841" s="6" t="s">
        <v>718</v>
      </c>
      <c r="G841" s="33" t="s">
        <v>136</v>
      </c>
    </row>
    <row r="842" spans="1:7" ht="42" x14ac:dyDescent="0.15">
      <c r="A842" s="6" t="s">
        <v>670</v>
      </c>
      <c r="B842" s="6" t="s">
        <v>671</v>
      </c>
      <c r="C842" s="7" t="s">
        <v>672</v>
      </c>
      <c r="D842" s="6">
        <v>55</v>
      </c>
      <c r="E842" s="8" t="s">
        <v>1368</v>
      </c>
      <c r="F842" s="6" t="s">
        <v>1369</v>
      </c>
      <c r="G842" s="33" t="s">
        <v>12</v>
      </c>
    </row>
    <row r="843" spans="1:7" ht="28" x14ac:dyDescent="0.15">
      <c r="A843" s="6" t="s">
        <v>599</v>
      </c>
      <c r="B843" s="6" t="s">
        <v>599</v>
      </c>
      <c r="C843" s="7" t="s">
        <v>600</v>
      </c>
      <c r="D843" s="6">
        <v>97</v>
      </c>
      <c r="E843" s="8" t="s">
        <v>1370</v>
      </c>
      <c r="F843" s="6" t="s">
        <v>1371</v>
      </c>
      <c r="G843" s="33" t="s">
        <v>342</v>
      </c>
    </row>
    <row r="844" spans="1:7" ht="28" x14ac:dyDescent="0.15">
      <c r="A844" s="6" t="s">
        <v>92</v>
      </c>
      <c r="B844" s="6" t="s">
        <v>93</v>
      </c>
      <c r="C844" s="7" t="s">
        <v>94</v>
      </c>
      <c r="D844" s="6">
        <v>95</v>
      </c>
      <c r="E844" s="8" t="s">
        <v>1372</v>
      </c>
      <c r="F844" s="6" t="s">
        <v>1334</v>
      </c>
      <c r="G844" s="33" t="s">
        <v>83</v>
      </c>
    </row>
    <row r="845" spans="1:7" ht="28" x14ac:dyDescent="0.15">
      <c r="A845" s="6" t="s">
        <v>51</v>
      </c>
      <c r="B845" s="6" t="s">
        <v>499</v>
      </c>
      <c r="C845" s="7" t="s">
        <v>500</v>
      </c>
      <c r="D845" s="6">
        <v>37</v>
      </c>
      <c r="E845" s="8" t="s">
        <v>1373</v>
      </c>
      <c r="F845" s="6" t="s">
        <v>1334</v>
      </c>
      <c r="G845" s="33" t="s">
        <v>23</v>
      </c>
    </row>
    <row r="846" spans="1:7" ht="14" x14ac:dyDescent="0.15">
      <c r="A846" s="6" t="s">
        <v>185</v>
      </c>
      <c r="B846" s="6" t="s">
        <v>1374</v>
      </c>
      <c r="C846" s="7" t="s">
        <v>1375</v>
      </c>
      <c r="D846" s="6">
        <v>2</v>
      </c>
      <c r="E846" s="8" t="s">
        <v>1376</v>
      </c>
      <c r="F846" s="6" t="s">
        <v>718</v>
      </c>
      <c r="G846" s="33" t="s">
        <v>18</v>
      </c>
    </row>
    <row r="847" spans="1:7" ht="14" x14ac:dyDescent="0.15">
      <c r="A847" s="6" t="s">
        <v>1086</v>
      </c>
      <c r="B847" s="6" t="s">
        <v>1087</v>
      </c>
      <c r="C847" s="7" t="s">
        <v>1088</v>
      </c>
      <c r="D847" s="6">
        <v>17</v>
      </c>
      <c r="E847" s="8" t="s">
        <v>1377</v>
      </c>
      <c r="F847" s="6" t="s">
        <v>718</v>
      </c>
      <c r="G847" s="33" t="s">
        <v>18</v>
      </c>
    </row>
    <row r="848" spans="1:7" ht="14" x14ac:dyDescent="0.15">
      <c r="A848" s="6" t="s">
        <v>47</v>
      </c>
      <c r="B848" s="6" t="s">
        <v>702</v>
      </c>
      <c r="C848" s="7" t="s">
        <v>703</v>
      </c>
      <c r="D848" s="6">
        <v>142</v>
      </c>
      <c r="E848" s="8" t="s">
        <v>1378</v>
      </c>
      <c r="F848" s="6" t="s">
        <v>718</v>
      </c>
      <c r="G848" s="33" t="s">
        <v>88</v>
      </c>
    </row>
    <row r="849" spans="1:7" ht="14" x14ac:dyDescent="0.15">
      <c r="A849" s="6" t="s">
        <v>47</v>
      </c>
      <c r="B849" s="6" t="s">
        <v>702</v>
      </c>
      <c r="C849" s="7" t="s">
        <v>703</v>
      </c>
      <c r="D849" s="6">
        <v>145</v>
      </c>
      <c r="E849" s="8" t="s">
        <v>1378</v>
      </c>
      <c r="F849" s="6" t="s">
        <v>718</v>
      </c>
      <c r="G849" s="33" t="s">
        <v>88</v>
      </c>
    </row>
    <row r="850" spans="1:7" ht="14" x14ac:dyDescent="0.15">
      <c r="A850" s="6" t="s">
        <v>47</v>
      </c>
      <c r="B850" s="6" t="s">
        <v>702</v>
      </c>
      <c r="C850" s="7" t="s">
        <v>703</v>
      </c>
      <c r="D850" s="6">
        <v>148</v>
      </c>
      <c r="E850" s="8" t="s">
        <v>1378</v>
      </c>
      <c r="F850" s="6" t="s">
        <v>718</v>
      </c>
      <c r="G850" s="33" t="s">
        <v>88</v>
      </c>
    </row>
    <row r="851" spans="1:7" ht="14" x14ac:dyDescent="0.15">
      <c r="A851" s="6" t="s">
        <v>47</v>
      </c>
      <c r="B851" s="6" t="s">
        <v>702</v>
      </c>
      <c r="C851" s="7" t="s">
        <v>703</v>
      </c>
      <c r="D851" s="6">
        <v>151</v>
      </c>
      <c r="E851" s="8" t="s">
        <v>1378</v>
      </c>
      <c r="F851" s="6" t="s">
        <v>718</v>
      </c>
      <c r="G851" s="33" t="s">
        <v>88</v>
      </c>
    </row>
    <row r="852" spans="1:7" ht="28" x14ac:dyDescent="0.15">
      <c r="A852" s="6" t="s">
        <v>521</v>
      </c>
      <c r="B852" s="6" t="s">
        <v>536</v>
      </c>
      <c r="C852" s="7" t="s">
        <v>537</v>
      </c>
      <c r="D852" s="6">
        <v>62</v>
      </c>
      <c r="E852" s="8" t="s">
        <v>1379</v>
      </c>
      <c r="F852" s="6" t="s">
        <v>1314</v>
      </c>
      <c r="G852" s="33" t="s">
        <v>30</v>
      </c>
    </row>
    <row r="853" spans="1:7" ht="14" x14ac:dyDescent="0.15">
      <c r="A853" s="6" t="s">
        <v>185</v>
      </c>
      <c r="B853" s="6" t="s">
        <v>1374</v>
      </c>
      <c r="C853" s="7" t="s">
        <v>1375</v>
      </c>
      <c r="D853" s="6">
        <v>3</v>
      </c>
      <c r="E853" s="8" t="s">
        <v>1380</v>
      </c>
      <c r="F853" s="6" t="s">
        <v>718</v>
      </c>
      <c r="G853" s="33" t="s">
        <v>18</v>
      </c>
    </row>
    <row r="854" spans="1:7" ht="28" x14ac:dyDescent="0.15">
      <c r="A854" s="6" t="s">
        <v>831</v>
      </c>
      <c r="B854" s="6" t="s">
        <v>831</v>
      </c>
      <c r="C854" s="7" t="s">
        <v>832</v>
      </c>
      <c r="D854" s="6">
        <v>39</v>
      </c>
      <c r="E854" s="8" t="s">
        <v>1381</v>
      </c>
      <c r="F854" s="6" t="s">
        <v>718</v>
      </c>
      <c r="G854" s="33" t="s">
        <v>342</v>
      </c>
    </row>
    <row r="855" spans="1:7" ht="14" x14ac:dyDescent="0.15">
      <c r="A855" s="6" t="s">
        <v>1011</v>
      </c>
      <c r="B855" s="6" t="s">
        <v>1012</v>
      </c>
      <c r="C855" s="7" t="s">
        <v>1013</v>
      </c>
      <c r="D855" s="6">
        <v>16</v>
      </c>
      <c r="E855" s="8" t="s">
        <v>1382</v>
      </c>
      <c r="F855" s="6" t="s">
        <v>718</v>
      </c>
      <c r="G855" s="33" t="s">
        <v>18</v>
      </c>
    </row>
    <row r="856" spans="1:7" ht="28" x14ac:dyDescent="0.15">
      <c r="A856" s="6" t="s">
        <v>1011</v>
      </c>
      <c r="B856" s="6" t="s">
        <v>1012</v>
      </c>
      <c r="C856" s="7" t="s">
        <v>1013</v>
      </c>
      <c r="D856" s="6">
        <v>21</v>
      </c>
      <c r="E856" s="8" t="s">
        <v>1383</v>
      </c>
      <c r="F856" s="6" t="s">
        <v>718</v>
      </c>
      <c r="G856" s="33" t="s">
        <v>136</v>
      </c>
    </row>
    <row r="857" spans="1:7" ht="14" x14ac:dyDescent="0.15">
      <c r="A857" s="6" t="s">
        <v>84</v>
      </c>
      <c r="B857" s="6" t="s">
        <v>85</v>
      </c>
      <c r="C857" s="7" t="s">
        <v>86</v>
      </c>
      <c r="D857" s="6">
        <v>82</v>
      </c>
      <c r="E857" s="8" t="s">
        <v>1384</v>
      </c>
      <c r="F857" s="6" t="s">
        <v>718</v>
      </c>
      <c r="G857" s="33" t="s">
        <v>23</v>
      </c>
    </row>
    <row r="858" spans="1:7" ht="14" x14ac:dyDescent="0.15">
      <c r="A858" s="6" t="s">
        <v>390</v>
      </c>
      <c r="B858" s="6" t="s">
        <v>390</v>
      </c>
      <c r="C858" s="7" t="s">
        <v>391</v>
      </c>
      <c r="D858" s="6">
        <v>142</v>
      </c>
      <c r="E858" s="8" t="s">
        <v>1385</v>
      </c>
      <c r="F858" s="6" t="s">
        <v>718</v>
      </c>
      <c r="G858" s="33" t="s">
        <v>136</v>
      </c>
    </row>
    <row r="859" spans="1:7" ht="14" x14ac:dyDescent="0.15">
      <c r="A859" s="6" t="s">
        <v>521</v>
      </c>
      <c r="B859" s="6" t="s">
        <v>1093</v>
      </c>
      <c r="C859" s="7" t="s">
        <v>1094</v>
      </c>
      <c r="D859" s="6">
        <v>89</v>
      </c>
      <c r="E859" s="8" t="s">
        <v>1386</v>
      </c>
      <c r="F859" s="6" t="s">
        <v>718</v>
      </c>
      <c r="G859" s="33" t="s">
        <v>18</v>
      </c>
    </row>
    <row r="860" spans="1:7" ht="14" x14ac:dyDescent="0.15">
      <c r="A860" s="6" t="s">
        <v>521</v>
      </c>
      <c r="B860" s="6" t="s">
        <v>1093</v>
      </c>
      <c r="C860" s="7" t="s">
        <v>1094</v>
      </c>
      <c r="D860" s="6">
        <v>90</v>
      </c>
      <c r="E860" s="8" t="s">
        <v>1387</v>
      </c>
      <c r="F860" s="6" t="s">
        <v>718</v>
      </c>
      <c r="G860" s="33" t="s">
        <v>18</v>
      </c>
    </row>
    <row r="861" spans="1:7" ht="28" x14ac:dyDescent="0.15">
      <c r="A861" s="6" t="s">
        <v>51</v>
      </c>
      <c r="B861" s="6" t="s">
        <v>496</v>
      </c>
      <c r="C861" s="7" t="s">
        <v>497</v>
      </c>
      <c r="D861" s="6">
        <v>8</v>
      </c>
      <c r="E861" s="8" t="s">
        <v>1388</v>
      </c>
      <c r="F861" s="6" t="s">
        <v>718</v>
      </c>
      <c r="G861" s="33" t="s">
        <v>88</v>
      </c>
    </row>
    <row r="862" spans="1:7" ht="14" x14ac:dyDescent="0.15">
      <c r="A862" s="6" t="s">
        <v>570</v>
      </c>
      <c r="B862" s="6" t="s">
        <v>571</v>
      </c>
      <c r="C862" s="7" t="s">
        <v>572</v>
      </c>
      <c r="D862" s="6">
        <v>182</v>
      </c>
      <c r="E862" s="8" t="s">
        <v>1389</v>
      </c>
      <c r="F862" s="6" t="s">
        <v>718</v>
      </c>
      <c r="G862" s="33" t="s">
        <v>30</v>
      </c>
    </row>
    <row r="863" spans="1:7" ht="28" x14ac:dyDescent="0.15">
      <c r="A863" s="6" t="s">
        <v>570</v>
      </c>
      <c r="B863" s="6" t="s">
        <v>571</v>
      </c>
      <c r="C863" s="7" t="s">
        <v>572</v>
      </c>
      <c r="D863" s="6">
        <v>221</v>
      </c>
      <c r="E863" s="8" t="s">
        <v>1390</v>
      </c>
      <c r="F863" s="6" t="s">
        <v>718</v>
      </c>
      <c r="G863" s="33" t="s">
        <v>30</v>
      </c>
    </row>
    <row r="864" spans="1:7" ht="28" x14ac:dyDescent="0.15">
      <c r="A864" s="6" t="s">
        <v>575</v>
      </c>
      <c r="B864" s="6" t="s">
        <v>576</v>
      </c>
      <c r="C864" s="7" t="s">
        <v>577</v>
      </c>
      <c r="D864" s="6">
        <v>111</v>
      </c>
      <c r="E864" s="8" t="s">
        <v>1391</v>
      </c>
      <c r="F864" s="6" t="s">
        <v>718</v>
      </c>
      <c r="G864" s="33" t="s">
        <v>83</v>
      </c>
    </row>
    <row r="865" spans="1:7" ht="42" x14ac:dyDescent="0.15">
      <c r="A865" s="6" t="s">
        <v>393</v>
      </c>
      <c r="B865" s="6" t="s">
        <v>394</v>
      </c>
      <c r="C865" s="7" t="s">
        <v>395</v>
      </c>
      <c r="D865" s="6">
        <v>185</v>
      </c>
      <c r="E865" s="8" t="s">
        <v>1392</v>
      </c>
      <c r="F865" s="6" t="s">
        <v>718</v>
      </c>
      <c r="G865" s="33" t="s">
        <v>88</v>
      </c>
    </row>
    <row r="866" spans="1:7" ht="14" x14ac:dyDescent="0.15">
      <c r="A866" s="6" t="s">
        <v>51</v>
      </c>
      <c r="B866" s="6" t="s">
        <v>56</v>
      </c>
      <c r="C866" s="7" t="s">
        <v>57</v>
      </c>
      <c r="D866" s="6">
        <v>152</v>
      </c>
      <c r="E866" s="8" t="s">
        <v>1393</v>
      </c>
      <c r="F866" s="6" t="s">
        <v>718</v>
      </c>
      <c r="G866" s="33" t="s">
        <v>18</v>
      </c>
    </row>
    <row r="867" spans="1:7" ht="28" x14ac:dyDescent="0.15">
      <c r="A867" s="6" t="s">
        <v>619</v>
      </c>
      <c r="B867" s="6" t="s">
        <v>620</v>
      </c>
      <c r="C867" s="7" t="s">
        <v>621</v>
      </c>
      <c r="D867" s="6">
        <v>117</v>
      </c>
      <c r="E867" s="8" t="s">
        <v>1394</v>
      </c>
      <c r="F867" s="6" t="s">
        <v>718</v>
      </c>
      <c r="G867" s="33" t="s">
        <v>18</v>
      </c>
    </row>
    <row r="868" spans="1:7" ht="28" x14ac:dyDescent="0.15">
      <c r="A868" s="6" t="s">
        <v>105</v>
      </c>
      <c r="B868" s="6" t="s">
        <v>106</v>
      </c>
      <c r="C868" s="7" t="s">
        <v>107</v>
      </c>
      <c r="D868" s="6">
        <v>117</v>
      </c>
      <c r="E868" s="8" t="s">
        <v>1395</v>
      </c>
      <c r="F868" s="6" t="s">
        <v>718</v>
      </c>
      <c r="G868" s="33" t="s">
        <v>18</v>
      </c>
    </row>
    <row r="869" spans="1:7" ht="28" x14ac:dyDescent="0.15">
      <c r="A869" s="6" t="s">
        <v>1086</v>
      </c>
      <c r="B869" s="6" t="s">
        <v>1087</v>
      </c>
      <c r="C869" s="7" t="s">
        <v>1088</v>
      </c>
      <c r="D869" s="6">
        <v>99</v>
      </c>
      <c r="E869" s="8" t="s">
        <v>1396</v>
      </c>
      <c r="F869" s="6" t="s">
        <v>718</v>
      </c>
      <c r="G869" s="33" t="s">
        <v>88</v>
      </c>
    </row>
    <row r="870" spans="1:7" ht="28" x14ac:dyDescent="0.15">
      <c r="A870" s="6" t="s">
        <v>105</v>
      </c>
      <c r="B870" s="6" t="s">
        <v>106</v>
      </c>
      <c r="C870" s="7" t="s">
        <v>112</v>
      </c>
      <c r="D870" s="6">
        <v>117</v>
      </c>
      <c r="E870" s="8" t="s">
        <v>1395</v>
      </c>
      <c r="F870" s="6" t="s">
        <v>718</v>
      </c>
      <c r="G870" s="33" t="s">
        <v>18</v>
      </c>
    </row>
    <row r="871" spans="1:7" ht="28" x14ac:dyDescent="0.15">
      <c r="A871" s="6" t="s">
        <v>652</v>
      </c>
      <c r="B871" s="6" t="s">
        <v>653</v>
      </c>
      <c r="C871" s="7" t="s">
        <v>654</v>
      </c>
      <c r="D871" s="6">
        <v>21</v>
      </c>
      <c r="E871" s="8" t="s">
        <v>1397</v>
      </c>
      <c r="F871" s="6" t="s">
        <v>1398</v>
      </c>
      <c r="G871" s="33" t="s">
        <v>12</v>
      </c>
    </row>
    <row r="872" spans="1:7" ht="14" x14ac:dyDescent="0.15">
      <c r="A872" s="6" t="s">
        <v>68</v>
      </c>
      <c r="B872" s="6" t="s">
        <v>69</v>
      </c>
      <c r="C872" s="7" t="s">
        <v>70</v>
      </c>
      <c r="D872" s="6">
        <v>71</v>
      </c>
      <c r="E872" s="8" t="s">
        <v>1399</v>
      </c>
      <c r="F872" s="6" t="s">
        <v>1400</v>
      </c>
      <c r="G872" s="33" t="s">
        <v>18</v>
      </c>
    </row>
    <row r="873" spans="1:7" ht="14" x14ac:dyDescent="0.15">
      <c r="A873" s="6" t="s">
        <v>68</v>
      </c>
      <c r="B873" s="6" t="s">
        <v>69</v>
      </c>
      <c r="C873" s="7" t="s">
        <v>70</v>
      </c>
      <c r="D873" s="6">
        <v>133</v>
      </c>
      <c r="E873" s="8" t="s">
        <v>1401</v>
      </c>
      <c r="F873" s="6" t="s">
        <v>1400</v>
      </c>
      <c r="G873" s="33" t="s">
        <v>18</v>
      </c>
    </row>
    <row r="874" spans="1:7" ht="14" x14ac:dyDescent="0.15">
      <c r="A874" s="6" t="s">
        <v>1402</v>
      </c>
      <c r="B874" s="6" t="s">
        <v>1403</v>
      </c>
      <c r="C874" s="7" t="s">
        <v>1404</v>
      </c>
      <c r="D874" s="6">
        <v>48</v>
      </c>
      <c r="E874" s="8" t="s">
        <v>1405</v>
      </c>
      <c r="F874" s="6" t="s">
        <v>1400</v>
      </c>
      <c r="G874" s="33" t="s">
        <v>23</v>
      </c>
    </row>
    <row r="875" spans="1:7" ht="14" x14ac:dyDescent="0.15">
      <c r="A875" s="6" t="s">
        <v>127</v>
      </c>
      <c r="B875" s="6" t="s">
        <v>128</v>
      </c>
      <c r="C875" s="7" t="s">
        <v>129</v>
      </c>
      <c r="D875" s="6">
        <v>66</v>
      </c>
      <c r="E875" s="8" t="s">
        <v>1406</v>
      </c>
      <c r="F875" s="6" t="s">
        <v>1400</v>
      </c>
      <c r="G875" s="33" t="s">
        <v>30</v>
      </c>
    </row>
    <row r="876" spans="1:7" ht="14" x14ac:dyDescent="0.15">
      <c r="A876" s="6" t="s">
        <v>127</v>
      </c>
      <c r="B876" s="6" t="s">
        <v>128</v>
      </c>
      <c r="C876" s="7" t="s">
        <v>129</v>
      </c>
      <c r="D876" s="6">
        <v>123</v>
      </c>
      <c r="E876" s="8" t="s">
        <v>1407</v>
      </c>
      <c r="F876" s="6" t="s">
        <v>1400</v>
      </c>
      <c r="G876" s="33" t="s">
        <v>30</v>
      </c>
    </row>
    <row r="877" spans="1:7" ht="28" x14ac:dyDescent="0.15">
      <c r="A877" s="6" t="s">
        <v>127</v>
      </c>
      <c r="B877" s="6" t="s">
        <v>128</v>
      </c>
      <c r="C877" s="7" t="s">
        <v>129</v>
      </c>
      <c r="D877" s="6">
        <v>146</v>
      </c>
      <c r="E877" s="8" t="s">
        <v>1408</v>
      </c>
      <c r="F877" s="6" t="s">
        <v>1400</v>
      </c>
      <c r="G877" s="33" t="s">
        <v>18</v>
      </c>
    </row>
    <row r="878" spans="1:7" ht="14" x14ac:dyDescent="0.15">
      <c r="A878" s="6" t="s">
        <v>1409</v>
      </c>
      <c r="B878" s="6" t="s">
        <v>1409</v>
      </c>
      <c r="C878" s="7" t="s">
        <v>1410</v>
      </c>
      <c r="D878" s="6">
        <v>64</v>
      </c>
      <c r="E878" s="8" t="s">
        <v>1411</v>
      </c>
      <c r="F878" s="6" t="s">
        <v>1400</v>
      </c>
      <c r="G878" s="33" t="s">
        <v>77</v>
      </c>
    </row>
    <row r="879" spans="1:7" ht="28" x14ac:dyDescent="0.15">
      <c r="A879" s="6" t="s">
        <v>1409</v>
      </c>
      <c r="B879" s="6" t="s">
        <v>1409</v>
      </c>
      <c r="C879" s="7" t="s">
        <v>1410</v>
      </c>
      <c r="D879" s="6">
        <v>65</v>
      </c>
      <c r="E879" s="8" t="s">
        <v>1412</v>
      </c>
      <c r="F879" s="6" t="s">
        <v>1400</v>
      </c>
      <c r="G879" s="33" t="s">
        <v>77</v>
      </c>
    </row>
    <row r="880" spans="1:7" ht="14" x14ac:dyDescent="0.15">
      <c r="A880" s="6" t="s">
        <v>1409</v>
      </c>
      <c r="B880" s="6" t="s">
        <v>1409</v>
      </c>
      <c r="C880" s="7" t="s">
        <v>1410</v>
      </c>
      <c r="D880" s="6">
        <v>105</v>
      </c>
      <c r="E880" s="8" t="s">
        <v>1413</v>
      </c>
      <c r="F880" s="6" t="s">
        <v>1400</v>
      </c>
      <c r="G880" s="33" t="s">
        <v>77</v>
      </c>
    </row>
    <row r="881" spans="1:7" ht="14" x14ac:dyDescent="0.15">
      <c r="A881" s="6" t="s">
        <v>140</v>
      </c>
      <c r="B881" s="6" t="s">
        <v>141</v>
      </c>
      <c r="C881" s="7" t="s">
        <v>142</v>
      </c>
      <c r="D881" s="6">
        <v>222</v>
      </c>
      <c r="E881" s="8" t="s">
        <v>1414</v>
      </c>
      <c r="F881" s="6" t="s">
        <v>1400</v>
      </c>
      <c r="G881" s="33" t="s">
        <v>12</v>
      </c>
    </row>
    <row r="882" spans="1:7" ht="14" x14ac:dyDescent="0.15">
      <c r="A882" s="6" t="s">
        <v>140</v>
      </c>
      <c r="B882" s="6" t="s">
        <v>141</v>
      </c>
      <c r="C882" s="7" t="s">
        <v>142</v>
      </c>
      <c r="D882" s="6">
        <v>250</v>
      </c>
      <c r="E882" s="8" t="s">
        <v>1415</v>
      </c>
      <c r="F882" s="6" t="s">
        <v>1400</v>
      </c>
      <c r="G882" s="33" t="s">
        <v>115</v>
      </c>
    </row>
    <row r="883" spans="1:7" ht="14" x14ac:dyDescent="0.15">
      <c r="A883" s="6" t="s">
        <v>149</v>
      </c>
      <c r="B883" s="6" t="s">
        <v>150</v>
      </c>
      <c r="C883" s="7" t="s">
        <v>151</v>
      </c>
      <c r="D883" s="6">
        <v>69</v>
      </c>
      <c r="E883" s="8" t="s">
        <v>1416</v>
      </c>
      <c r="F883" s="6" t="s">
        <v>1400</v>
      </c>
      <c r="G883" s="33" t="s">
        <v>12</v>
      </c>
    </row>
    <row r="884" spans="1:7" ht="14" x14ac:dyDescent="0.15">
      <c r="A884" s="6" t="s">
        <v>153</v>
      </c>
      <c r="B884" s="6" t="s">
        <v>153</v>
      </c>
      <c r="C884" s="7" t="s">
        <v>154</v>
      </c>
      <c r="D884" s="6">
        <v>2</v>
      </c>
      <c r="E884" s="8" t="s">
        <v>1417</v>
      </c>
      <c r="F884" s="6" t="s">
        <v>1400</v>
      </c>
      <c r="G884" s="33" t="s">
        <v>18</v>
      </c>
    </row>
    <row r="885" spans="1:7" ht="14" x14ac:dyDescent="0.15">
      <c r="A885" s="6" t="s">
        <v>153</v>
      </c>
      <c r="B885" s="6" t="s">
        <v>153</v>
      </c>
      <c r="C885" s="7" t="s">
        <v>154</v>
      </c>
      <c r="D885" s="6">
        <v>33</v>
      </c>
      <c r="E885" s="8" t="s">
        <v>1418</v>
      </c>
      <c r="F885" s="6" t="s">
        <v>1400</v>
      </c>
      <c r="G885" s="33" t="s">
        <v>18</v>
      </c>
    </row>
    <row r="886" spans="1:7" ht="14" x14ac:dyDescent="0.15">
      <c r="A886" s="6" t="s">
        <v>153</v>
      </c>
      <c r="B886" s="6" t="s">
        <v>153</v>
      </c>
      <c r="C886" s="7" t="s">
        <v>154</v>
      </c>
      <c r="D886" s="6">
        <v>38</v>
      </c>
      <c r="E886" s="8" t="s">
        <v>1419</v>
      </c>
      <c r="F886" s="6" t="s">
        <v>1400</v>
      </c>
      <c r="G886" s="33" t="s">
        <v>136</v>
      </c>
    </row>
    <row r="887" spans="1:7" ht="14" x14ac:dyDescent="0.15">
      <c r="A887" s="6" t="s">
        <v>153</v>
      </c>
      <c r="B887" s="6" t="s">
        <v>153</v>
      </c>
      <c r="C887" s="7" t="s">
        <v>154</v>
      </c>
      <c r="D887" s="6">
        <v>136</v>
      </c>
      <c r="E887" s="8" t="s">
        <v>1420</v>
      </c>
      <c r="F887" s="6" t="s">
        <v>1400</v>
      </c>
      <c r="G887" s="33" t="s">
        <v>12</v>
      </c>
    </row>
    <row r="888" spans="1:7" ht="14" x14ac:dyDescent="0.15">
      <c r="A888" s="6" t="s">
        <v>153</v>
      </c>
      <c r="B888" s="6" t="s">
        <v>153</v>
      </c>
      <c r="C888" s="7" t="s">
        <v>154</v>
      </c>
      <c r="D888" s="6">
        <v>200</v>
      </c>
      <c r="E888" s="8" t="s">
        <v>1421</v>
      </c>
      <c r="F888" s="6" t="s">
        <v>1400</v>
      </c>
      <c r="G888" s="33" t="s">
        <v>18</v>
      </c>
    </row>
    <row r="889" spans="1:7" ht="14" x14ac:dyDescent="0.15">
      <c r="A889" s="6" t="s">
        <v>153</v>
      </c>
      <c r="B889" s="6" t="s">
        <v>153</v>
      </c>
      <c r="C889" s="7" t="s">
        <v>154</v>
      </c>
      <c r="D889" s="6">
        <v>204</v>
      </c>
      <c r="E889" s="8" t="s">
        <v>1422</v>
      </c>
      <c r="F889" s="6" t="s">
        <v>1400</v>
      </c>
      <c r="G889" s="33" t="s">
        <v>23</v>
      </c>
    </row>
    <row r="890" spans="1:7" ht="14" x14ac:dyDescent="0.15">
      <c r="A890" s="6" t="s">
        <v>153</v>
      </c>
      <c r="B890" s="6" t="s">
        <v>153</v>
      </c>
      <c r="C890" s="7" t="s">
        <v>154</v>
      </c>
      <c r="D890" s="6">
        <v>208</v>
      </c>
      <c r="E890" s="8" t="s">
        <v>1423</v>
      </c>
      <c r="F890" s="6" t="s">
        <v>1400</v>
      </c>
      <c r="G890" s="33" t="s">
        <v>23</v>
      </c>
    </row>
    <row r="891" spans="1:7" ht="14" x14ac:dyDescent="0.15">
      <c r="A891" s="6" t="s">
        <v>153</v>
      </c>
      <c r="B891" s="6" t="s">
        <v>153</v>
      </c>
      <c r="C891" s="7" t="s">
        <v>154</v>
      </c>
      <c r="D891" s="6">
        <v>213</v>
      </c>
      <c r="E891" s="8" t="s">
        <v>1424</v>
      </c>
      <c r="F891" s="6" t="s">
        <v>1400</v>
      </c>
      <c r="G891" s="33" t="s">
        <v>88</v>
      </c>
    </row>
    <row r="892" spans="1:7" ht="14" x14ac:dyDescent="0.15">
      <c r="A892" s="6" t="s">
        <v>666</v>
      </c>
      <c r="B892" s="6" t="s">
        <v>667</v>
      </c>
      <c r="C892" s="7" t="s">
        <v>668</v>
      </c>
      <c r="D892" s="6">
        <v>35</v>
      </c>
      <c r="E892" s="8" t="s">
        <v>1425</v>
      </c>
      <c r="F892" s="6" t="s">
        <v>1400</v>
      </c>
      <c r="G892" s="33" t="s">
        <v>30</v>
      </c>
    </row>
    <row r="893" spans="1:7" ht="28" x14ac:dyDescent="0.15">
      <c r="A893" s="6" t="s">
        <v>666</v>
      </c>
      <c r="B893" s="6" t="s">
        <v>667</v>
      </c>
      <c r="C893" s="7" t="s">
        <v>668</v>
      </c>
      <c r="D893" s="6">
        <v>57</v>
      </c>
      <c r="E893" s="8" t="s">
        <v>1426</v>
      </c>
      <c r="F893" s="6" t="s">
        <v>1400</v>
      </c>
      <c r="G893" s="33" t="s">
        <v>18</v>
      </c>
    </row>
    <row r="894" spans="1:7" ht="14" x14ac:dyDescent="0.15">
      <c r="A894" s="6" t="s">
        <v>666</v>
      </c>
      <c r="B894" s="6" t="s">
        <v>667</v>
      </c>
      <c r="C894" s="7" t="s">
        <v>668</v>
      </c>
      <c r="D894" s="6">
        <v>68</v>
      </c>
      <c r="E894" s="8" t="s">
        <v>1427</v>
      </c>
      <c r="F894" s="6" t="s">
        <v>1400</v>
      </c>
      <c r="G894" s="33" t="s">
        <v>77</v>
      </c>
    </row>
    <row r="895" spans="1:7" ht="28" x14ac:dyDescent="0.15">
      <c r="A895" s="6" t="s">
        <v>666</v>
      </c>
      <c r="B895" s="6" t="s">
        <v>667</v>
      </c>
      <c r="C895" s="7" t="s">
        <v>668</v>
      </c>
      <c r="D895" s="6">
        <v>79</v>
      </c>
      <c r="E895" s="8" t="s">
        <v>1428</v>
      </c>
      <c r="F895" s="6" t="s">
        <v>1400</v>
      </c>
      <c r="G895" s="33" t="s">
        <v>77</v>
      </c>
    </row>
    <row r="896" spans="1:7" ht="28" x14ac:dyDescent="0.15">
      <c r="A896" s="6" t="s">
        <v>666</v>
      </c>
      <c r="B896" s="6" t="s">
        <v>667</v>
      </c>
      <c r="C896" s="7" t="s">
        <v>668</v>
      </c>
      <c r="D896" s="6">
        <v>95</v>
      </c>
      <c r="E896" s="8" t="s">
        <v>1429</v>
      </c>
      <c r="F896" s="6" t="s">
        <v>1400</v>
      </c>
      <c r="G896" s="33" t="s">
        <v>77</v>
      </c>
    </row>
    <row r="897" spans="1:7" ht="14" x14ac:dyDescent="0.15">
      <c r="A897" s="6" t="s">
        <v>666</v>
      </c>
      <c r="B897" s="6" t="s">
        <v>667</v>
      </c>
      <c r="C897" s="7" t="s">
        <v>668</v>
      </c>
      <c r="D897" s="6">
        <v>104</v>
      </c>
      <c r="E897" s="8" t="s">
        <v>1430</v>
      </c>
      <c r="F897" s="6" t="s">
        <v>1400</v>
      </c>
      <c r="G897" s="33" t="s">
        <v>77</v>
      </c>
    </row>
    <row r="898" spans="1:7" ht="28" x14ac:dyDescent="0.15">
      <c r="A898" s="6" t="s">
        <v>666</v>
      </c>
      <c r="B898" s="6" t="s">
        <v>667</v>
      </c>
      <c r="C898" s="7" t="s">
        <v>668</v>
      </c>
      <c r="D898" s="6">
        <v>119</v>
      </c>
      <c r="E898" s="8" t="s">
        <v>1431</v>
      </c>
      <c r="F898" s="6" t="s">
        <v>1400</v>
      </c>
      <c r="G898" s="33" t="s">
        <v>12</v>
      </c>
    </row>
    <row r="899" spans="1:7" ht="14" x14ac:dyDescent="0.15">
      <c r="A899" s="6" t="s">
        <v>670</v>
      </c>
      <c r="B899" s="6" t="s">
        <v>671</v>
      </c>
      <c r="C899" s="7" t="s">
        <v>672</v>
      </c>
      <c r="D899" s="6">
        <v>11</v>
      </c>
      <c r="E899" s="8" t="s">
        <v>1432</v>
      </c>
      <c r="F899" s="6" t="s">
        <v>1400</v>
      </c>
      <c r="G899" s="33" t="s">
        <v>18</v>
      </c>
    </row>
    <row r="900" spans="1:7" ht="14" x14ac:dyDescent="0.15">
      <c r="A900" s="6" t="s">
        <v>670</v>
      </c>
      <c r="B900" s="6" t="s">
        <v>671</v>
      </c>
      <c r="C900" s="7" t="s">
        <v>672</v>
      </c>
      <c r="D900" s="6">
        <v>25</v>
      </c>
      <c r="E900" s="8" t="s">
        <v>1433</v>
      </c>
      <c r="F900" s="6" t="s">
        <v>1400</v>
      </c>
      <c r="G900" s="33" t="s">
        <v>18</v>
      </c>
    </row>
    <row r="901" spans="1:7" ht="14" x14ac:dyDescent="0.15">
      <c r="A901" s="6" t="s">
        <v>670</v>
      </c>
      <c r="B901" s="6" t="s">
        <v>671</v>
      </c>
      <c r="C901" s="7" t="s">
        <v>672</v>
      </c>
      <c r="D901" s="6">
        <v>133</v>
      </c>
      <c r="E901" s="8" t="s">
        <v>1434</v>
      </c>
      <c r="F901" s="6" t="s">
        <v>1400</v>
      </c>
      <c r="G901" s="33" t="s">
        <v>18</v>
      </c>
    </row>
    <row r="902" spans="1:7" ht="14" x14ac:dyDescent="0.15">
      <c r="A902" s="6" t="s">
        <v>156</v>
      </c>
      <c r="B902" s="6" t="s">
        <v>156</v>
      </c>
      <c r="C902" s="7" t="s">
        <v>157</v>
      </c>
      <c r="D902" s="6">
        <v>31</v>
      </c>
      <c r="E902" s="8" t="s">
        <v>1435</v>
      </c>
      <c r="F902" s="6" t="s">
        <v>1400</v>
      </c>
      <c r="G902" s="33" t="s">
        <v>23</v>
      </c>
    </row>
    <row r="903" spans="1:7" ht="14" x14ac:dyDescent="0.15">
      <c r="A903" s="6" t="s">
        <v>156</v>
      </c>
      <c r="B903" s="6" t="s">
        <v>156</v>
      </c>
      <c r="C903" s="7" t="s">
        <v>157</v>
      </c>
      <c r="D903" s="6">
        <v>32</v>
      </c>
      <c r="E903" s="8" t="s">
        <v>1436</v>
      </c>
      <c r="F903" s="6" t="s">
        <v>1400</v>
      </c>
      <c r="G903" s="33" t="s">
        <v>23</v>
      </c>
    </row>
    <row r="904" spans="1:7" ht="28" x14ac:dyDescent="0.15">
      <c r="A904" s="6" t="s">
        <v>156</v>
      </c>
      <c r="B904" s="6" t="s">
        <v>159</v>
      </c>
      <c r="C904" s="7" t="s">
        <v>160</v>
      </c>
      <c r="D904" s="6">
        <v>5</v>
      </c>
      <c r="E904" s="8" t="s">
        <v>1437</v>
      </c>
      <c r="F904" s="6" t="s">
        <v>1400</v>
      </c>
      <c r="G904" s="33" t="s">
        <v>77</v>
      </c>
    </row>
    <row r="905" spans="1:7" ht="28" x14ac:dyDescent="0.15">
      <c r="A905" s="6" t="s">
        <v>156</v>
      </c>
      <c r="B905" s="6" t="s">
        <v>159</v>
      </c>
      <c r="C905" s="7" t="s">
        <v>160</v>
      </c>
      <c r="D905" s="6">
        <v>19</v>
      </c>
      <c r="E905" s="8" t="s">
        <v>1438</v>
      </c>
      <c r="F905" s="6" t="s">
        <v>1400</v>
      </c>
      <c r="G905" s="33" t="s">
        <v>18</v>
      </c>
    </row>
    <row r="906" spans="1:7" ht="14" x14ac:dyDescent="0.15">
      <c r="A906" s="6" t="s">
        <v>156</v>
      </c>
      <c r="B906" s="6" t="s">
        <v>159</v>
      </c>
      <c r="C906" s="7" t="s">
        <v>160</v>
      </c>
      <c r="D906" s="6">
        <v>53</v>
      </c>
      <c r="E906" s="8" t="s">
        <v>1439</v>
      </c>
      <c r="F906" s="6" t="s">
        <v>1400</v>
      </c>
      <c r="G906" s="33" t="s">
        <v>23</v>
      </c>
    </row>
    <row r="907" spans="1:7" ht="14" x14ac:dyDescent="0.15">
      <c r="A907" s="6" t="s">
        <v>164</v>
      </c>
      <c r="B907" s="6" t="s">
        <v>165</v>
      </c>
      <c r="C907" s="7" t="s">
        <v>166</v>
      </c>
      <c r="D907" s="6">
        <v>6</v>
      </c>
      <c r="E907" s="8" t="s">
        <v>1440</v>
      </c>
      <c r="F907" s="6" t="s">
        <v>1400</v>
      </c>
      <c r="G907" s="33" t="s">
        <v>115</v>
      </c>
    </row>
    <row r="908" spans="1:7" ht="14" x14ac:dyDescent="0.15">
      <c r="A908" s="6" t="s">
        <v>164</v>
      </c>
      <c r="B908" s="6" t="s">
        <v>165</v>
      </c>
      <c r="C908" s="7" t="s">
        <v>166</v>
      </c>
      <c r="D908" s="6">
        <v>115</v>
      </c>
      <c r="E908" s="8" t="s">
        <v>1441</v>
      </c>
      <c r="F908" s="6" t="s">
        <v>1400</v>
      </c>
      <c r="G908" s="33" t="s">
        <v>30</v>
      </c>
    </row>
    <row r="909" spans="1:7" ht="14" x14ac:dyDescent="0.15">
      <c r="A909" s="6" t="s">
        <v>164</v>
      </c>
      <c r="B909" s="6" t="s">
        <v>165</v>
      </c>
      <c r="C909" s="7" t="s">
        <v>166</v>
      </c>
      <c r="D909" s="6">
        <v>142</v>
      </c>
      <c r="E909" s="8" t="s">
        <v>1442</v>
      </c>
      <c r="F909" s="6" t="s">
        <v>1400</v>
      </c>
      <c r="G909" s="33" t="s">
        <v>115</v>
      </c>
    </row>
    <row r="910" spans="1:7" ht="28" x14ac:dyDescent="0.15">
      <c r="A910" s="6" t="s">
        <v>164</v>
      </c>
      <c r="B910" s="6" t="s">
        <v>165</v>
      </c>
      <c r="C910" s="7" t="s">
        <v>166</v>
      </c>
      <c r="D910" s="6">
        <v>176</v>
      </c>
      <c r="E910" s="8" t="s">
        <v>1443</v>
      </c>
      <c r="F910" s="6" t="s">
        <v>1400</v>
      </c>
      <c r="G910" s="33" t="s">
        <v>30</v>
      </c>
    </row>
    <row r="911" spans="1:7" ht="28" x14ac:dyDescent="0.15">
      <c r="A911" s="6" t="s">
        <v>779</v>
      </c>
      <c r="B911" s="6" t="s">
        <v>780</v>
      </c>
      <c r="C911" s="7" t="s">
        <v>781</v>
      </c>
      <c r="D911" s="6">
        <v>43</v>
      </c>
      <c r="E911" s="8" t="s">
        <v>1444</v>
      </c>
      <c r="F911" s="6" t="s">
        <v>1400</v>
      </c>
      <c r="G911" s="33" t="s">
        <v>30</v>
      </c>
    </row>
    <row r="912" spans="1:7" ht="14" x14ac:dyDescent="0.15">
      <c r="A912" s="6" t="s">
        <v>779</v>
      </c>
      <c r="B912" s="6" t="s">
        <v>780</v>
      </c>
      <c r="C912" s="7" t="s">
        <v>781</v>
      </c>
      <c r="D912" s="6">
        <v>62</v>
      </c>
      <c r="E912" s="8" t="s">
        <v>1445</v>
      </c>
      <c r="F912" s="6" t="s">
        <v>1400</v>
      </c>
      <c r="G912" s="33" t="s">
        <v>30</v>
      </c>
    </row>
    <row r="913" spans="1:7" ht="14" x14ac:dyDescent="0.15">
      <c r="A913" s="6" t="s">
        <v>681</v>
      </c>
      <c r="B913" s="6" t="s">
        <v>682</v>
      </c>
      <c r="C913" s="7" t="s">
        <v>683</v>
      </c>
      <c r="D913" s="6">
        <v>84</v>
      </c>
      <c r="E913" s="8" t="s">
        <v>1446</v>
      </c>
      <c r="F913" s="6" t="s">
        <v>1400</v>
      </c>
      <c r="G913" s="33" t="s">
        <v>77</v>
      </c>
    </row>
    <row r="914" spans="1:7" ht="28" x14ac:dyDescent="0.15">
      <c r="A914" s="6" t="s">
        <v>681</v>
      </c>
      <c r="B914" s="6" t="s">
        <v>682</v>
      </c>
      <c r="C914" s="7" t="s">
        <v>683</v>
      </c>
      <c r="D914" s="6">
        <v>168</v>
      </c>
      <c r="E914" s="8" t="s">
        <v>1447</v>
      </c>
      <c r="F914" s="6" t="s">
        <v>1400</v>
      </c>
      <c r="G914" s="33" t="s">
        <v>88</v>
      </c>
    </row>
    <row r="915" spans="1:7" ht="14" x14ac:dyDescent="0.15">
      <c r="A915" s="6" t="s">
        <v>105</v>
      </c>
      <c r="B915" s="6" t="s">
        <v>106</v>
      </c>
      <c r="C915" s="7" t="s">
        <v>107</v>
      </c>
      <c r="D915" s="6">
        <v>239</v>
      </c>
      <c r="E915" s="8" t="s">
        <v>1448</v>
      </c>
      <c r="F915" s="6" t="s">
        <v>1400</v>
      </c>
      <c r="G915" s="33" t="s">
        <v>12</v>
      </c>
    </row>
    <row r="916" spans="1:7" ht="14" x14ac:dyDescent="0.15">
      <c r="A916" s="6" t="s">
        <v>105</v>
      </c>
      <c r="B916" s="6" t="s">
        <v>106</v>
      </c>
      <c r="C916" s="7" t="s">
        <v>107</v>
      </c>
      <c r="D916" s="6">
        <v>249</v>
      </c>
      <c r="E916" s="8" t="s">
        <v>1449</v>
      </c>
      <c r="F916" s="6" t="s">
        <v>1400</v>
      </c>
      <c r="G916" s="33" t="s">
        <v>12</v>
      </c>
    </row>
    <row r="917" spans="1:7" ht="14" x14ac:dyDescent="0.15">
      <c r="A917" s="6" t="s">
        <v>73</v>
      </c>
      <c r="B917" s="6" t="s">
        <v>74</v>
      </c>
      <c r="C917" s="7" t="s">
        <v>75</v>
      </c>
      <c r="D917" s="6">
        <v>169</v>
      </c>
      <c r="E917" s="8" t="s">
        <v>1450</v>
      </c>
      <c r="F917" s="6" t="s">
        <v>1400</v>
      </c>
      <c r="G917" s="33" t="s">
        <v>30</v>
      </c>
    </row>
    <row r="918" spans="1:7" ht="14" x14ac:dyDescent="0.15">
      <c r="A918" s="6" t="s">
        <v>73</v>
      </c>
      <c r="B918" s="6" t="s">
        <v>74</v>
      </c>
      <c r="C918" s="7" t="s">
        <v>75</v>
      </c>
      <c r="D918" s="6">
        <v>170</v>
      </c>
      <c r="E918" s="8" t="s">
        <v>1451</v>
      </c>
      <c r="F918" s="6" t="s">
        <v>1400</v>
      </c>
      <c r="G918" s="33" t="s">
        <v>30</v>
      </c>
    </row>
    <row r="919" spans="1:7" ht="14" x14ac:dyDescent="0.15">
      <c r="A919" s="6" t="s">
        <v>73</v>
      </c>
      <c r="B919" s="6" t="s">
        <v>74</v>
      </c>
      <c r="C919" s="7" t="s">
        <v>75</v>
      </c>
      <c r="D919" s="6">
        <v>171</v>
      </c>
      <c r="E919" s="8" t="s">
        <v>1452</v>
      </c>
      <c r="F919" s="6" t="s">
        <v>1400</v>
      </c>
      <c r="G919" s="33" t="s">
        <v>30</v>
      </c>
    </row>
    <row r="920" spans="1:7" ht="14" x14ac:dyDescent="0.15">
      <c r="A920" s="6" t="s">
        <v>73</v>
      </c>
      <c r="B920" s="6" t="s">
        <v>74</v>
      </c>
      <c r="C920" s="7" t="s">
        <v>75</v>
      </c>
      <c r="D920" s="6">
        <v>172</v>
      </c>
      <c r="E920" s="8" t="s">
        <v>1453</v>
      </c>
      <c r="F920" s="6" t="s">
        <v>1400</v>
      </c>
      <c r="G920" s="33" t="s">
        <v>219</v>
      </c>
    </row>
    <row r="921" spans="1:7" ht="14" x14ac:dyDescent="0.15">
      <c r="A921" s="6" t="s">
        <v>1454</v>
      </c>
      <c r="B921" s="6" t="s">
        <v>1455</v>
      </c>
      <c r="C921" s="7" t="s">
        <v>1456</v>
      </c>
      <c r="D921" s="6">
        <v>68</v>
      </c>
      <c r="E921" s="8" t="s">
        <v>1457</v>
      </c>
      <c r="F921" s="6" t="s">
        <v>1400</v>
      </c>
      <c r="G921" s="33" t="s">
        <v>88</v>
      </c>
    </row>
    <row r="922" spans="1:7" ht="28" x14ac:dyDescent="0.15">
      <c r="A922" s="6" t="s">
        <v>221</v>
      </c>
      <c r="B922" s="6" t="s">
        <v>222</v>
      </c>
      <c r="C922" s="7" t="s">
        <v>223</v>
      </c>
      <c r="D922" s="6">
        <v>84</v>
      </c>
      <c r="E922" s="8" t="s">
        <v>1458</v>
      </c>
      <c r="F922" s="6" t="s">
        <v>1400</v>
      </c>
      <c r="G922" s="33" t="s">
        <v>136</v>
      </c>
    </row>
    <row r="923" spans="1:7" ht="14" x14ac:dyDescent="0.15">
      <c r="A923" s="6" t="s">
        <v>221</v>
      </c>
      <c r="B923" s="6" t="s">
        <v>222</v>
      </c>
      <c r="C923" s="7" t="s">
        <v>223</v>
      </c>
      <c r="D923" s="6">
        <v>85</v>
      </c>
      <c r="E923" s="8" t="s">
        <v>1459</v>
      </c>
      <c r="F923" s="6" t="s">
        <v>1400</v>
      </c>
      <c r="G923" s="33" t="s">
        <v>30</v>
      </c>
    </row>
    <row r="924" spans="1:7" ht="14" x14ac:dyDescent="0.15">
      <c r="A924" s="6" t="s">
        <v>221</v>
      </c>
      <c r="B924" s="6" t="s">
        <v>222</v>
      </c>
      <c r="C924" s="7" t="s">
        <v>223</v>
      </c>
      <c r="D924" s="6">
        <v>86</v>
      </c>
      <c r="E924" s="8" t="s">
        <v>1460</v>
      </c>
      <c r="F924" s="6" t="s">
        <v>1400</v>
      </c>
      <c r="G924" s="33" t="s">
        <v>30</v>
      </c>
    </row>
    <row r="925" spans="1:7" ht="14" x14ac:dyDescent="0.15">
      <c r="A925" s="6" t="s">
        <v>1461</v>
      </c>
      <c r="B925" s="6" t="s">
        <v>1462</v>
      </c>
      <c r="C925" s="7" t="s">
        <v>1463</v>
      </c>
      <c r="D925" s="6">
        <v>33</v>
      </c>
      <c r="E925" s="8" t="s">
        <v>1464</v>
      </c>
      <c r="F925" s="6" t="s">
        <v>1400</v>
      </c>
      <c r="G925" s="33" t="s">
        <v>30</v>
      </c>
    </row>
    <row r="926" spans="1:7" ht="14" x14ac:dyDescent="0.15">
      <c r="A926" s="6" t="s">
        <v>13</v>
      </c>
      <c r="B926" s="6" t="s">
        <v>14</v>
      </c>
      <c r="C926" s="7" t="s">
        <v>15</v>
      </c>
      <c r="D926" s="6">
        <v>159</v>
      </c>
      <c r="E926" s="8" t="s">
        <v>1465</v>
      </c>
      <c r="F926" s="6" t="s">
        <v>1400</v>
      </c>
      <c r="G926" s="33" t="s">
        <v>115</v>
      </c>
    </row>
    <row r="927" spans="1:7" ht="14" x14ac:dyDescent="0.15">
      <c r="A927" s="6" t="s">
        <v>228</v>
      </c>
      <c r="B927" s="6" t="s">
        <v>229</v>
      </c>
      <c r="C927" s="7" t="s">
        <v>230</v>
      </c>
      <c r="D927" s="6">
        <v>75</v>
      </c>
      <c r="E927" s="8" t="s">
        <v>1466</v>
      </c>
      <c r="F927" s="6" t="s">
        <v>1400</v>
      </c>
      <c r="G927" s="33" t="s">
        <v>12</v>
      </c>
    </row>
    <row r="928" spans="1:7" ht="28" x14ac:dyDescent="0.15">
      <c r="A928" s="6" t="s">
        <v>228</v>
      </c>
      <c r="B928" s="6" t="s">
        <v>229</v>
      </c>
      <c r="C928" s="7" t="s">
        <v>230</v>
      </c>
      <c r="D928" s="6">
        <v>106</v>
      </c>
      <c r="E928" s="8" t="s">
        <v>1467</v>
      </c>
      <c r="F928" s="6" t="s">
        <v>1400</v>
      </c>
      <c r="G928" s="33" t="s">
        <v>136</v>
      </c>
    </row>
    <row r="929" spans="1:7" ht="28" x14ac:dyDescent="0.15">
      <c r="A929" s="6" t="s">
        <v>228</v>
      </c>
      <c r="B929" s="6" t="s">
        <v>229</v>
      </c>
      <c r="C929" s="7" t="s">
        <v>230</v>
      </c>
      <c r="D929" s="6">
        <v>107</v>
      </c>
      <c r="E929" s="8" t="s">
        <v>1468</v>
      </c>
      <c r="F929" s="6" t="s">
        <v>1400</v>
      </c>
      <c r="G929" s="33" t="s">
        <v>18</v>
      </c>
    </row>
    <row r="930" spans="1:7" ht="14" x14ac:dyDescent="0.15">
      <c r="A930" s="6" t="s">
        <v>846</v>
      </c>
      <c r="B930" s="6" t="s">
        <v>847</v>
      </c>
      <c r="C930" s="7" t="s">
        <v>848</v>
      </c>
      <c r="D930" s="6">
        <v>7</v>
      </c>
      <c r="E930" s="8" t="s">
        <v>1469</v>
      </c>
      <c r="F930" s="6" t="s">
        <v>1400</v>
      </c>
      <c r="G930" s="33" t="s">
        <v>88</v>
      </c>
    </row>
    <row r="931" spans="1:7" ht="14" x14ac:dyDescent="0.15">
      <c r="A931" s="6" t="s">
        <v>846</v>
      </c>
      <c r="B931" s="6" t="s">
        <v>847</v>
      </c>
      <c r="C931" s="7" t="s">
        <v>848</v>
      </c>
      <c r="D931" s="6">
        <v>15</v>
      </c>
      <c r="E931" s="8" t="s">
        <v>1470</v>
      </c>
      <c r="F931" s="6" t="s">
        <v>1400</v>
      </c>
      <c r="G931" s="33" t="s">
        <v>12</v>
      </c>
    </row>
    <row r="932" spans="1:7" ht="14" x14ac:dyDescent="0.15">
      <c r="A932" s="6" t="s">
        <v>232</v>
      </c>
      <c r="B932" s="6" t="s">
        <v>233</v>
      </c>
      <c r="C932" s="7" t="s">
        <v>234</v>
      </c>
      <c r="D932" s="6">
        <v>141</v>
      </c>
      <c r="E932" s="8" t="s">
        <v>1471</v>
      </c>
      <c r="F932" s="6" t="s">
        <v>1400</v>
      </c>
      <c r="G932" s="33" t="s">
        <v>30</v>
      </c>
    </row>
    <row r="933" spans="1:7" ht="14" x14ac:dyDescent="0.15">
      <c r="A933" s="6" t="s">
        <v>232</v>
      </c>
      <c r="B933" s="6" t="s">
        <v>233</v>
      </c>
      <c r="C933" s="7" t="s">
        <v>234</v>
      </c>
      <c r="D933" s="6">
        <v>202</v>
      </c>
      <c r="E933" s="8" t="s">
        <v>1472</v>
      </c>
      <c r="F933" s="6" t="s">
        <v>1400</v>
      </c>
      <c r="G933" s="33" t="s">
        <v>88</v>
      </c>
    </row>
    <row r="934" spans="1:7" ht="14" x14ac:dyDescent="0.15">
      <c r="A934" s="6" t="s">
        <v>232</v>
      </c>
      <c r="B934" s="6" t="s">
        <v>233</v>
      </c>
      <c r="C934" s="7" t="s">
        <v>234</v>
      </c>
      <c r="D934" s="6">
        <v>212</v>
      </c>
      <c r="E934" s="8" t="s">
        <v>1473</v>
      </c>
      <c r="F934" s="6" t="s">
        <v>1400</v>
      </c>
      <c r="G934" s="33" t="s">
        <v>18</v>
      </c>
    </row>
    <row r="935" spans="1:7" ht="14" x14ac:dyDescent="0.15">
      <c r="A935" s="6" t="s">
        <v>25</v>
      </c>
      <c r="B935" s="6" t="s">
        <v>238</v>
      </c>
      <c r="C935" s="7" t="s">
        <v>239</v>
      </c>
      <c r="D935" s="6">
        <v>7</v>
      </c>
      <c r="E935" s="8" t="s">
        <v>1474</v>
      </c>
      <c r="F935" s="6" t="s">
        <v>1400</v>
      </c>
      <c r="G935" s="33" t="s">
        <v>18</v>
      </c>
    </row>
    <row r="936" spans="1:7" ht="14" x14ac:dyDescent="0.15">
      <c r="A936" s="6" t="s">
        <v>1475</v>
      </c>
      <c r="B936" s="6" t="s">
        <v>1476</v>
      </c>
      <c r="C936" s="7" t="s">
        <v>1477</v>
      </c>
      <c r="D936" s="6">
        <v>118</v>
      </c>
      <c r="E936" s="8" t="s">
        <v>1478</v>
      </c>
      <c r="F936" s="6" t="s">
        <v>1400</v>
      </c>
      <c r="G936" s="33" t="s">
        <v>23</v>
      </c>
    </row>
    <row r="937" spans="1:7" ht="14" x14ac:dyDescent="0.15">
      <c r="A937" s="6" t="s">
        <v>79</v>
      </c>
      <c r="B937" s="6" t="s">
        <v>80</v>
      </c>
      <c r="C937" s="7" t="s">
        <v>81</v>
      </c>
      <c r="D937" s="6">
        <v>76</v>
      </c>
      <c r="E937" s="8" t="s">
        <v>1479</v>
      </c>
      <c r="F937" s="6" t="s">
        <v>1400</v>
      </c>
      <c r="G937" s="33" t="s">
        <v>513</v>
      </c>
    </row>
    <row r="938" spans="1:7" ht="28" x14ac:dyDescent="0.15">
      <c r="A938" s="6" t="s">
        <v>247</v>
      </c>
      <c r="B938" s="6" t="s">
        <v>248</v>
      </c>
      <c r="C938" s="7" t="s">
        <v>249</v>
      </c>
      <c r="D938" s="6">
        <v>64</v>
      </c>
      <c r="E938" s="8" t="s">
        <v>1480</v>
      </c>
      <c r="F938" s="6" t="s">
        <v>1400</v>
      </c>
      <c r="G938" s="33" t="s">
        <v>30</v>
      </c>
    </row>
    <row r="939" spans="1:7" ht="14" x14ac:dyDescent="0.15">
      <c r="A939" s="6" t="s">
        <v>247</v>
      </c>
      <c r="B939" s="6" t="s">
        <v>248</v>
      </c>
      <c r="C939" s="7" t="s">
        <v>249</v>
      </c>
      <c r="D939" s="6">
        <v>72</v>
      </c>
      <c r="E939" s="8" t="s">
        <v>1481</v>
      </c>
      <c r="F939" s="6" t="s">
        <v>1400</v>
      </c>
      <c r="G939" s="33" t="s">
        <v>83</v>
      </c>
    </row>
    <row r="940" spans="1:7" ht="14" x14ac:dyDescent="0.15">
      <c r="A940" s="6" t="s">
        <v>247</v>
      </c>
      <c r="B940" s="6" t="s">
        <v>248</v>
      </c>
      <c r="C940" s="7" t="s">
        <v>249</v>
      </c>
      <c r="D940" s="6">
        <v>207</v>
      </c>
      <c r="E940" s="8" t="s">
        <v>1482</v>
      </c>
      <c r="F940" s="6" t="s">
        <v>1400</v>
      </c>
      <c r="G940" s="33" t="s">
        <v>18</v>
      </c>
    </row>
    <row r="941" spans="1:7" ht="14" x14ac:dyDescent="0.15">
      <c r="A941" s="6" t="s">
        <v>1483</v>
      </c>
      <c r="B941" s="6" t="s">
        <v>1484</v>
      </c>
      <c r="C941" s="7" t="s">
        <v>1485</v>
      </c>
      <c r="D941" s="6">
        <v>30</v>
      </c>
      <c r="E941" s="8" t="s">
        <v>1486</v>
      </c>
      <c r="F941" s="6" t="s">
        <v>1400</v>
      </c>
      <c r="G941" s="33" t="s">
        <v>18</v>
      </c>
    </row>
    <row r="942" spans="1:7" ht="14" x14ac:dyDescent="0.15">
      <c r="A942" s="6" t="s">
        <v>885</v>
      </c>
      <c r="B942" s="6" t="s">
        <v>886</v>
      </c>
      <c r="C942" s="7" t="s">
        <v>887</v>
      </c>
      <c r="D942" s="6">
        <v>4</v>
      </c>
      <c r="E942" s="8" t="s">
        <v>1487</v>
      </c>
      <c r="F942" s="6" t="s">
        <v>1400</v>
      </c>
      <c r="G942" s="33" t="s">
        <v>136</v>
      </c>
    </row>
    <row r="943" spans="1:7" ht="14" x14ac:dyDescent="0.15">
      <c r="A943" s="6" t="s">
        <v>254</v>
      </c>
      <c r="B943" s="6" t="s">
        <v>255</v>
      </c>
      <c r="C943" s="7" t="s">
        <v>256</v>
      </c>
      <c r="D943" s="6">
        <v>78</v>
      </c>
      <c r="E943" s="8" t="s">
        <v>1488</v>
      </c>
      <c r="F943" s="6" t="s">
        <v>1400</v>
      </c>
      <c r="G943" s="33" t="s">
        <v>136</v>
      </c>
    </row>
    <row r="944" spans="1:7" ht="14" x14ac:dyDescent="0.15">
      <c r="A944" s="6" t="s">
        <v>254</v>
      </c>
      <c r="B944" s="6" t="s">
        <v>255</v>
      </c>
      <c r="C944" s="7" t="s">
        <v>256</v>
      </c>
      <c r="D944" s="6">
        <v>83</v>
      </c>
      <c r="E944" s="8" t="s">
        <v>1489</v>
      </c>
      <c r="F944" s="6" t="s">
        <v>1400</v>
      </c>
      <c r="G944" s="33" t="s">
        <v>77</v>
      </c>
    </row>
    <row r="945" spans="1:7" ht="14" x14ac:dyDescent="0.15">
      <c r="A945" s="6" t="s">
        <v>1490</v>
      </c>
      <c r="B945" s="6" t="s">
        <v>1491</v>
      </c>
      <c r="C945" s="7" t="s">
        <v>1492</v>
      </c>
      <c r="D945" s="6">
        <v>16</v>
      </c>
      <c r="E945" s="8" t="s">
        <v>1493</v>
      </c>
      <c r="F945" s="6" t="s">
        <v>1400</v>
      </c>
      <c r="G945" s="33" t="s">
        <v>513</v>
      </c>
    </row>
    <row r="946" spans="1:7" ht="14" x14ac:dyDescent="0.15">
      <c r="A946" s="6" t="s">
        <v>1490</v>
      </c>
      <c r="B946" s="6" t="s">
        <v>1491</v>
      </c>
      <c r="C946" s="7" t="s">
        <v>1492</v>
      </c>
      <c r="D946" s="6">
        <v>69</v>
      </c>
      <c r="E946" s="8" t="s">
        <v>1494</v>
      </c>
      <c r="F946" s="6" t="s">
        <v>1400</v>
      </c>
      <c r="G946" s="33" t="s">
        <v>30</v>
      </c>
    </row>
    <row r="947" spans="1:7" ht="14" x14ac:dyDescent="0.15">
      <c r="A947" s="6" t="s">
        <v>1490</v>
      </c>
      <c r="B947" s="6" t="s">
        <v>1491</v>
      </c>
      <c r="C947" s="7" t="s">
        <v>1492</v>
      </c>
      <c r="D947" s="6">
        <v>72</v>
      </c>
      <c r="E947" s="8" t="s">
        <v>1495</v>
      </c>
      <c r="F947" s="6" t="s">
        <v>1400</v>
      </c>
      <c r="G947" s="33" t="s">
        <v>30</v>
      </c>
    </row>
    <row r="948" spans="1:7" ht="14" x14ac:dyDescent="0.15">
      <c r="A948" s="6" t="s">
        <v>1490</v>
      </c>
      <c r="B948" s="6" t="s">
        <v>1491</v>
      </c>
      <c r="C948" s="7" t="s">
        <v>1492</v>
      </c>
      <c r="D948" s="6">
        <v>76</v>
      </c>
      <c r="E948" s="8" t="s">
        <v>1496</v>
      </c>
      <c r="F948" s="6" t="s">
        <v>1400</v>
      </c>
      <c r="G948" s="33" t="s">
        <v>18</v>
      </c>
    </row>
    <row r="949" spans="1:7" ht="14" x14ac:dyDescent="0.15">
      <c r="A949" s="6" t="s">
        <v>265</v>
      </c>
      <c r="B949" s="6" t="s">
        <v>266</v>
      </c>
      <c r="C949" s="7" t="s">
        <v>267</v>
      </c>
      <c r="D949" s="6">
        <v>36</v>
      </c>
      <c r="E949" s="8" t="s">
        <v>1497</v>
      </c>
      <c r="F949" s="6" t="s">
        <v>1400</v>
      </c>
      <c r="G949" s="33" t="s">
        <v>12</v>
      </c>
    </row>
    <row r="950" spans="1:7" ht="14" x14ac:dyDescent="0.15">
      <c r="A950" s="6" t="s">
        <v>291</v>
      </c>
      <c r="B950" s="6" t="s">
        <v>292</v>
      </c>
      <c r="C950" s="7" t="s">
        <v>293</v>
      </c>
      <c r="D950" s="6">
        <v>20</v>
      </c>
      <c r="E950" s="8" t="s">
        <v>1498</v>
      </c>
      <c r="F950" s="6" t="s">
        <v>1400</v>
      </c>
      <c r="G950" s="33" t="s">
        <v>136</v>
      </c>
    </row>
    <row r="951" spans="1:7" ht="28" x14ac:dyDescent="0.15">
      <c r="A951" s="6" t="s">
        <v>291</v>
      </c>
      <c r="B951" s="6" t="s">
        <v>292</v>
      </c>
      <c r="C951" s="7" t="s">
        <v>293</v>
      </c>
      <c r="D951" s="6">
        <v>90</v>
      </c>
      <c r="E951" s="8" t="s">
        <v>1499</v>
      </c>
      <c r="F951" s="6" t="s">
        <v>1400</v>
      </c>
      <c r="G951" s="33" t="s">
        <v>88</v>
      </c>
    </row>
    <row r="952" spans="1:7" ht="14" x14ac:dyDescent="0.15">
      <c r="A952" s="6" t="s">
        <v>948</v>
      </c>
      <c r="B952" s="6" t="s">
        <v>949</v>
      </c>
      <c r="C952" s="7" t="s">
        <v>950</v>
      </c>
      <c r="D952" s="6">
        <v>108</v>
      </c>
      <c r="E952" s="8" t="s">
        <v>1500</v>
      </c>
      <c r="F952" s="6" t="s">
        <v>1400</v>
      </c>
      <c r="G952" s="33" t="s">
        <v>23</v>
      </c>
    </row>
    <row r="953" spans="1:7" ht="14" x14ac:dyDescent="0.15">
      <c r="A953" s="6" t="s">
        <v>953</v>
      </c>
      <c r="B953" s="6" t="s">
        <v>954</v>
      </c>
      <c r="C953" s="7" t="s">
        <v>955</v>
      </c>
      <c r="D953" s="6">
        <v>118</v>
      </c>
      <c r="E953" s="8" t="s">
        <v>1501</v>
      </c>
      <c r="F953" s="6" t="s">
        <v>1400</v>
      </c>
      <c r="G953" s="33" t="s">
        <v>342</v>
      </c>
    </row>
    <row r="954" spans="1:7" ht="14" x14ac:dyDescent="0.15">
      <c r="A954" s="6" t="s">
        <v>325</v>
      </c>
      <c r="B954" s="6" t="s">
        <v>326</v>
      </c>
      <c r="C954" s="7" t="s">
        <v>327</v>
      </c>
      <c r="D954" s="6">
        <v>41</v>
      </c>
      <c r="E954" s="8" t="s">
        <v>1502</v>
      </c>
      <c r="F954" s="6" t="s">
        <v>1400</v>
      </c>
      <c r="G954" s="33" t="s">
        <v>30</v>
      </c>
    </row>
    <row r="955" spans="1:7" ht="14" x14ac:dyDescent="0.15">
      <c r="A955" s="6" t="s">
        <v>325</v>
      </c>
      <c r="B955" s="6" t="s">
        <v>326</v>
      </c>
      <c r="C955" s="7" t="s">
        <v>327</v>
      </c>
      <c r="D955" s="6">
        <v>180</v>
      </c>
      <c r="E955" s="8" t="s">
        <v>1503</v>
      </c>
      <c r="F955" s="6" t="s">
        <v>1400</v>
      </c>
      <c r="G955" s="33" t="s">
        <v>77</v>
      </c>
    </row>
    <row r="956" spans="1:7" ht="14" x14ac:dyDescent="0.15">
      <c r="A956" s="6" t="s">
        <v>325</v>
      </c>
      <c r="B956" s="6" t="s">
        <v>326</v>
      </c>
      <c r="C956" s="7" t="s">
        <v>327</v>
      </c>
      <c r="D956" s="6">
        <v>247</v>
      </c>
      <c r="E956" s="8" t="s">
        <v>1504</v>
      </c>
      <c r="F956" s="6" t="s">
        <v>1400</v>
      </c>
      <c r="G956" s="33" t="s">
        <v>115</v>
      </c>
    </row>
    <row r="957" spans="1:7" ht="28" x14ac:dyDescent="0.15">
      <c r="A957" s="6" t="s">
        <v>970</v>
      </c>
      <c r="B957" s="6" t="s">
        <v>970</v>
      </c>
      <c r="C957" s="7" t="s">
        <v>971</v>
      </c>
      <c r="D957" s="6">
        <v>30</v>
      </c>
      <c r="E957" s="8" t="s">
        <v>1505</v>
      </c>
      <c r="F957" s="6" t="s">
        <v>1400</v>
      </c>
      <c r="G957" s="33" t="s">
        <v>30</v>
      </c>
    </row>
    <row r="958" spans="1:7" ht="28" x14ac:dyDescent="0.15">
      <c r="A958" s="6" t="s">
        <v>131</v>
      </c>
      <c r="B958" s="6" t="s">
        <v>132</v>
      </c>
      <c r="C958" s="7" t="s">
        <v>347</v>
      </c>
      <c r="D958" s="6">
        <v>37</v>
      </c>
      <c r="E958" s="8" t="s">
        <v>1506</v>
      </c>
      <c r="F958" s="6" t="s">
        <v>1400</v>
      </c>
      <c r="G958" s="33" t="s">
        <v>30</v>
      </c>
    </row>
    <row r="959" spans="1:7" ht="14" x14ac:dyDescent="0.15">
      <c r="A959" s="6" t="s">
        <v>357</v>
      </c>
      <c r="B959" s="6" t="s">
        <v>358</v>
      </c>
      <c r="C959" s="7" t="s">
        <v>359</v>
      </c>
      <c r="D959" s="6">
        <v>189</v>
      </c>
      <c r="E959" s="8" t="s">
        <v>1507</v>
      </c>
      <c r="F959" s="6" t="s">
        <v>1400</v>
      </c>
      <c r="G959" s="33" t="s">
        <v>77</v>
      </c>
    </row>
    <row r="960" spans="1:7" ht="14" x14ac:dyDescent="0.15">
      <c r="A960" s="6" t="s">
        <v>357</v>
      </c>
      <c r="B960" s="6" t="s">
        <v>358</v>
      </c>
      <c r="C960" s="7" t="s">
        <v>359</v>
      </c>
      <c r="D960" s="6">
        <v>223</v>
      </c>
      <c r="E960" s="8" t="s">
        <v>1508</v>
      </c>
      <c r="F960" s="6" t="s">
        <v>1400</v>
      </c>
      <c r="G960" s="33" t="s">
        <v>219</v>
      </c>
    </row>
    <row r="961" spans="1:7" ht="14" x14ac:dyDescent="0.15">
      <c r="A961" s="6" t="s">
        <v>1001</v>
      </c>
      <c r="B961" s="6" t="s">
        <v>1002</v>
      </c>
      <c r="C961" s="7" t="s">
        <v>1003</v>
      </c>
      <c r="D961" s="6">
        <v>202</v>
      </c>
      <c r="E961" s="8" t="s">
        <v>1509</v>
      </c>
      <c r="F961" s="6" t="s">
        <v>1400</v>
      </c>
      <c r="G961" s="33" t="s">
        <v>23</v>
      </c>
    </row>
    <row r="962" spans="1:7" ht="28" x14ac:dyDescent="0.15">
      <c r="A962" s="6" t="s">
        <v>1011</v>
      </c>
      <c r="B962" s="6" t="s">
        <v>1012</v>
      </c>
      <c r="C962" s="7" t="s">
        <v>1013</v>
      </c>
      <c r="D962" s="6">
        <v>135</v>
      </c>
      <c r="E962" s="8" t="s">
        <v>1510</v>
      </c>
      <c r="F962" s="6" t="s">
        <v>1400</v>
      </c>
      <c r="G962" s="33" t="s">
        <v>88</v>
      </c>
    </row>
    <row r="963" spans="1:7" ht="14" x14ac:dyDescent="0.15">
      <c r="A963" s="6" t="s">
        <v>1023</v>
      </c>
      <c r="B963" s="6" t="s">
        <v>1024</v>
      </c>
      <c r="C963" s="7" t="s">
        <v>1025</v>
      </c>
      <c r="D963" s="6">
        <v>19</v>
      </c>
      <c r="E963" s="8" t="s">
        <v>1511</v>
      </c>
      <c r="F963" s="6" t="s">
        <v>1400</v>
      </c>
      <c r="G963" s="33" t="s">
        <v>83</v>
      </c>
    </row>
    <row r="964" spans="1:7" ht="14" x14ac:dyDescent="0.15">
      <c r="A964" s="6" t="s">
        <v>1512</v>
      </c>
      <c r="B964" s="6" t="s">
        <v>1513</v>
      </c>
      <c r="C964" s="7" t="s">
        <v>1514</v>
      </c>
      <c r="D964" s="6">
        <v>45</v>
      </c>
      <c r="E964" s="8" t="s">
        <v>1515</v>
      </c>
      <c r="F964" s="6" t="s">
        <v>1400</v>
      </c>
      <c r="G964" s="33" t="s">
        <v>23</v>
      </c>
    </row>
    <row r="965" spans="1:7" ht="14" x14ac:dyDescent="0.15">
      <c r="A965" s="6" t="s">
        <v>1086</v>
      </c>
      <c r="B965" s="6" t="s">
        <v>1087</v>
      </c>
      <c r="C965" s="7" t="s">
        <v>1088</v>
      </c>
      <c r="D965" s="6">
        <v>60</v>
      </c>
      <c r="E965" s="8" t="s">
        <v>1516</v>
      </c>
      <c r="F965" s="6" t="s">
        <v>1400</v>
      </c>
      <c r="G965" s="33" t="s">
        <v>30</v>
      </c>
    </row>
    <row r="966" spans="1:7" ht="14" x14ac:dyDescent="0.15">
      <c r="A966" s="6" t="s">
        <v>25</v>
      </c>
      <c r="B966" s="6" t="s">
        <v>238</v>
      </c>
      <c r="C966" s="7" t="s">
        <v>1517</v>
      </c>
      <c r="D966" s="6">
        <v>7</v>
      </c>
      <c r="E966" s="8" t="s">
        <v>1474</v>
      </c>
      <c r="F966" s="6" t="s">
        <v>1400</v>
      </c>
      <c r="G966" s="33" t="s">
        <v>18</v>
      </c>
    </row>
    <row r="967" spans="1:7" ht="28" x14ac:dyDescent="0.15">
      <c r="A967" s="6" t="s">
        <v>247</v>
      </c>
      <c r="B967" s="6" t="s">
        <v>248</v>
      </c>
      <c r="C967" s="7" t="s">
        <v>399</v>
      </c>
      <c r="D967" s="6">
        <v>43</v>
      </c>
      <c r="E967" s="8" t="s">
        <v>1480</v>
      </c>
      <c r="F967" s="6" t="s">
        <v>1400</v>
      </c>
      <c r="G967" s="33" t="s">
        <v>30</v>
      </c>
    </row>
    <row r="968" spans="1:7" ht="14" x14ac:dyDescent="0.15">
      <c r="A968" s="6" t="s">
        <v>247</v>
      </c>
      <c r="B968" s="6" t="s">
        <v>248</v>
      </c>
      <c r="C968" s="7" t="s">
        <v>399</v>
      </c>
      <c r="D968" s="6">
        <v>51</v>
      </c>
      <c r="E968" s="8" t="s">
        <v>1481</v>
      </c>
      <c r="F968" s="6" t="s">
        <v>1400</v>
      </c>
      <c r="G968" s="33" t="s">
        <v>83</v>
      </c>
    </row>
    <row r="969" spans="1:7" ht="14" x14ac:dyDescent="0.15">
      <c r="A969" s="6" t="s">
        <v>247</v>
      </c>
      <c r="B969" s="6" t="s">
        <v>248</v>
      </c>
      <c r="C969" s="7" t="s">
        <v>399</v>
      </c>
      <c r="D969" s="6">
        <v>186</v>
      </c>
      <c r="E969" s="8" t="s">
        <v>1482</v>
      </c>
      <c r="F969" s="6" t="s">
        <v>1400</v>
      </c>
      <c r="G969" s="33" t="s">
        <v>18</v>
      </c>
    </row>
    <row r="970" spans="1:7" ht="28" x14ac:dyDescent="0.15">
      <c r="A970" s="6" t="s">
        <v>400</v>
      </c>
      <c r="B970" s="6" t="s">
        <v>400</v>
      </c>
      <c r="C970" s="7" t="s">
        <v>401</v>
      </c>
      <c r="D970" s="6">
        <v>98</v>
      </c>
      <c r="E970" s="8" t="s">
        <v>1518</v>
      </c>
      <c r="F970" s="6" t="s">
        <v>1400</v>
      </c>
      <c r="G970" s="33" t="s">
        <v>30</v>
      </c>
    </row>
    <row r="971" spans="1:7" ht="28" x14ac:dyDescent="0.15">
      <c r="A971" s="6" t="s">
        <v>400</v>
      </c>
      <c r="B971" s="6" t="s">
        <v>400</v>
      </c>
      <c r="C971" s="7" t="s">
        <v>401</v>
      </c>
      <c r="D971" s="6">
        <v>99</v>
      </c>
      <c r="E971" s="8" t="s">
        <v>1519</v>
      </c>
      <c r="F971" s="6" t="s">
        <v>1400</v>
      </c>
      <c r="G971" s="33" t="s">
        <v>23</v>
      </c>
    </row>
    <row r="972" spans="1:7" ht="14" x14ac:dyDescent="0.15">
      <c r="A972" s="6" t="s">
        <v>400</v>
      </c>
      <c r="B972" s="6" t="s">
        <v>400</v>
      </c>
      <c r="C972" s="7" t="s">
        <v>401</v>
      </c>
      <c r="D972" s="6">
        <v>136</v>
      </c>
      <c r="E972" s="8" t="s">
        <v>1520</v>
      </c>
      <c r="F972" s="6" t="s">
        <v>1400</v>
      </c>
      <c r="G972" s="33" t="s">
        <v>88</v>
      </c>
    </row>
    <row r="973" spans="1:7" ht="14" x14ac:dyDescent="0.15">
      <c r="A973" s="6" t="s">
        <v>400</v>
      </c>
      <c r="B973" s="6" t="s">
        <v>400</v>
      </c>
      <c r="C973" s="7" t="s">
        <v>401</v>
      </c>
      <c r="D973" s="6">
        <v>137</v>
      </c>
      <c r="E973" s="8" t="s">
        <v>1521</v>
      </c>
      <c r="F973" s="6" t="s">
        <v>1400</v>
      </c>
      <c r="G973" s="33" t="s">
        <v>88</v>
      </c>
    </row>
    <row r="974" spans="1:7" ht="28" x14ac:dyDescent="0.15">
      <c r="A974" s="6" t="s">
        <v>400</v>
      </c>
      <c r="B974" s="6" t="s">
        <v>400</v>
      </c>
      <c r="C974" s="7" t="s">
        <v>401</v>
      </c>
      <c r="D974" s="6">
        <v>141</v>
      </c>
      <c r="E974" s="8" t="s">
        <v>1522</v>
      </c>
      <c r="F974" s="6" t="s">
        <v>1400</v>
      </c>
      <c r="G974" s="33" t="s">
        <v>23</v>
      </c>
    </row>
    <row r="975" spans="1:7" ht="28" x14ac:dyDescent="0.15">
      <c r="A975" s="6" t="s">
        <v>400</v>
      </c>
      <c r="B975" s="6" t="s">
        <v>400</v>
      </c>
      <c r="C975" s="7" t="s">
        <v>401</v>
      </c>
      <c r="D975" s="6">
        <v>144</v>
      </c>
      <c r="E975" s="8" t="s">
        <v>1523</v>
      </c>
      <c r="F975" s="6" t="s">
        <v>1400</v>
      </c>
      <c r="G975" s="33" t="s">
        <v>88</v>
      </c>
    </row>
    <row r="976" spans="1:7" ht="14" x14ac:dyDescent="0.15">
      <c r="A976" s="6" t="s">
        <v>400</v>
      </c>
      <c r="B976" s="6" t="s">
        <v>400</v>
      </c>
      <c r="C976" s="7" t="s">
        <v>401</v>
      </c>
      <c r="D976" s="6">
        <v>160</v>
      </c>
      <c r="E976" s="8" t="s">
        <v>1524</v>
      </c>
      <c r="F976" s="6" t="s">
        <v>1400</v>
      </c>
      <c r="G976" s="33" t="s">
        <v>219</v>
      </c>
    </row>
    <row r="977" spans="1:7" ht="42" x14ac:dyDescent="0.15">
      <c r="A977" s="6" t="s">
        <v>400</v>
      </c>
      <c r="B977" s="6" t="s">
        <v>400</v>
      </c>
      <c r="C977" s="7" t="s">
        <v>401</v>
      </c>
      <c r="D977" s="6">
        <v>162</v>
      </c>
      <c r="E977" s="8" t="s">
        <v>1525</v>
      </c>
      <c r="F977" s="6" t="s">
        <v>1400</v>
      </c>
      <c r="G977" s="33" t="s">
        <v>30</v>
      </c>
    </row>
    <row r="978" spans="1:7" ht="14" x14ac:dyDescent="0.15">
      <c r="A978" s="6" t="s">
        <v>1118</v>
      </c>
      <c r="B978" s="6" t="s">
        <v>1119</v>
      </c>
      <c r="C978" s="7" t="s">
        <v>1120</v>
      </c>
      <c r="D978" s="6">
        <v>78</v>
      </c>
      <c r="E978" s="8" t="s">
        <v>1526</v>
      </c>
      <c r="F978" s="6" t="s">
        <v>1400</v>
      </c>
      <c r="G978" s="33" t="s">
        <v>23</v>
      </c>
    </row>
    <row r="979" spans="1:7" ht="14" x14ac:dyDescent="0.15">
      <c r="A979" s="6" t="s">
        <v>713</v>
      </c>
      <c r="B979" s="6" t="s">
        <v>713</v>
      </c>
      <c r="C979" s="7" t="s">
        <v>714</v>
      </c>
      <c r="D979" s="6">
        <v>35</v>
      </c>
      <c r="E979" s="8" t="s">
        <v>1527</v>
      </c>
      <c r="F979" s="6" t="s">
        <v>1400</v>
      </c>
      <c r="G979" s="33" t="s">
        <v>12</v>
      </c>
    </row>
    <row r="980" spans="1:7" ht="14" x14ac:dyDescent="0.15">
      <c r="A980" s="6" t="s">
        <v>713</v>
      </c>
      <c r="B980" s="6" t="s">
        <v>713</v>
      </c>
      <c r="C980" s="7" t="s">
        <v>714</v>
      </c>
      <c r="D980" s="6">
        <v>36</v>
      </c>
      <c r="E980" s="8" t="s">
        <v>1528</v>
      </c>
      <c r="F980" s="6" t="s">
        <v>1400</v>
      </c>
      <c r="G980" s="33" t="s">
        <v>12</v>
      </c>
    </row>
    <row r="981" spans="1:7" ht="14" x14ac:dyDescent="0.15">
      <c r="A981" s="6" t="s">
        <v>713</v>
      </c>
      <c r="B981" s="6" t="s">
        <v>713</v>
      </c>
      <c r="C981" s="7" t="s">
        <v>714</v>
      </c>
      <c r="D981" s="6">
        <v>68</v>
      </c>
      <c r="E981" s="8" t="s">
        <v>1529</v>
      </c>
      <c r="F981" s="6" t="s">
        <v>1400</v>
      </c>
      <c r="G981" s="33" t="s">
        <v>12</v>
      </c>
    </row>
    <row r="982" spans="1:7" ht="14" x14ac:dyDescent="0.15">
      <c r="A982" s="6" t="s">
        <v>713</v>
      </c>
      <c r="B982" s="6" t="s">
        <v>713</v>
      </c>
      <c r="C982" s="7" t="s">
        <v>714</v>
      </c>
      <c r="D982" s="6">
        <v>103</v>
      </c>
      <c r="E982" s="8" t="s">
        <v>1530</v>
      </c>
      <c r="F982" s="6" t="s">
        <v>1400</v>
      </c>
      <c r="G982" s="33" t="s">
        <v>30</v>
      </c>
    </row>
    <row r="983" spans="1:7" ht="14" x14ac:dyDescent="0.15">
      <c r="A983" s="6" t="s">
        <v>423</v>
      </c>
      <c r="B983" s="6" t="s">
        <v>424</v>
      </c>
      <c r="C983" s="7" t="s">
        <v>425</v>
      </c>
      <c r="D983" s="6">
        <v>46</v>
      </c>
      <c r="E983" s="8" t="s">
        <v>1531</v>
      </c>
      <c r="F983" s="6" t="s">
        <v>1400</v>
      </c>
      <c r="G983" s="33" t="s">
        <v>88</v>
      </c>
    </row>
    <row r="984" spans="1:7" ht="14" x14ac:dyDescent="0.15">
      <c r="A984" s="6" t="s">
        <v>428</v>
      </c>
      <c r="B984" s="6" t="s">
        <v>428</v>
      </c>
      <c r="C984" s="7" t="s">
        <v>429</v>
      </c>
      <c r="D984" s="6">
        <v>15</v>
      </c>
      <c r="E984" s="8" t="s">
        <v>1532</v>
      </c>
      <c r="F984" s="6" t="s">
        <v>1400</v>
      </c>
      <c r="G984" s="33" t="s">
        <v>136</v>
      </c>
    </row>
    <row r="985" spans="1:7" ht="14" x14ac:dyDescent="0.15">
      <c r="A985" s="6" t="s">
        <v>428</v>
      </c>
      <c r="B985" s="6" t="s">
        <v>428</v>
      </c>
      <c r="C985" s="7" t="s">
        <v>429</v>
      </c>
      <c r="D985" s="6">
        <v>67</v>
      </c>
      <c r="E985" s="8" t="s">
        <v>1533</v>
      </c>
      <c r="F985" s="6" t="s">
        <v>1400</v>
      </c>
      <c r="G985" s="33" t="s">
        <v>30</v>
      </c>
    </row>
    <row r="986" spans="1:7" ht="14" x14ac:dyDescent="0.15">
      <c r="A986" s="6" t="s">
        <v>428</v>
      </c>
      <c r="B986" s="6" t="s">
        <v>428</v>
      </c>
      <c r="C986" s="7" t="s">
        <v>429</v>
      </c>
      <c r="D986" s="6">
        <v>94</v>
      </c>
      <c r="E986" s="8" t="s">
        <v>1534</v>
      </c>
      <c r="F986" s="6" t="s">
        <v>1400</v>
      </c>
      <c r="G986" s="33" t="s">
        <v>30</v>
      </c>
    </row>
    <row r="987" spans="1:7" ht="14" x14ac:dyDescent="0.15">
      <c r="A987" s="6" t="s">
        <v>1535</v>
      </c>
      <c r="B987" s="6" t="s">
        <v>1536</v>
      </c>
      <c r="C987" s="7" t="s">
        <v>1537</v>
      </c>
      <c r="D987" s="6">
        <v>2</v>
      </c>
      <c r="E987" s="8" t="s">
        <v>1538</v>
      </c>
      <c r="F987" s="6" t="s">
        <v>1400</v>
      </c>
      <c r="G987" s="33" t="s">
        <v>12</v>
      </c>
    </row>
    <row r="988" spans="1:7" ht="14" x14ac:dyDescent="0.15">
      <c r="A988" s="6" t="s">
        <v>441</v>
      </c>
      <c r="B988" s="6" t="s">
        <v>442</v>
      </c>
      <c r="C988" s="7" t="s">
        <v>443</v>
      </c>
      <c r="D988" s="6">
        <v>98</v>
      </c>
      <c r="E988" s="8" t="s">
        <v>1539</v>
      </c>
      <c r="F988" s="6" t="s">
        <v>1400</v>
      </c>
      <c r="G988" s="33" t="s">
        <v>115</v>
      </c>
    </row>
    <row r="989" spans="1:7" ht="14" x14ac:dyDescent="0.15">
      <c r="A989" s="6" t="s">
        <v>325</v>
      </c>
      <c r="B989" s="6" t="s">
        <v>326</v>
      </c>
      <c r="C989" s="7" t="s">
        <v>463</v>
      </c>
      <c r="D989" s="6">
        <v>88</v>
      </c>
      <c r="E989" s="8" t="s">
        <v>1502</v>
      </c>
      <c r="F989" s="6" t="s">
        <v>1400</v>
      </c>
      <c r="G989" s="33" t="s">
        <v>30</v>
      </c>
    </row>
    <row r="990" spans="1:7" ht="14" x14ac:dyDescent="0.15">
      <c r="A990" s="6" t="s">
        <v>325</v>
      </c>
      <c r="B990" s="6" t="s">
        <v>326</v>
      </c>
      <c r="C990" s="7" t="s">
        <v>463</v>
      </c>
      <c r="D990" s="6">
        <v>239</v>
      </c>
      <c r="E990" s="8" t="s">
        <v>1504</v>
      </c>
      <c r="F990" s="6" t="s">
        <v>1400</v>
      </c>
      <c r="G990" s="33" t="s">
        <v>115</v>
      </c>
    </row>
    <row r="991" spans="1:7" ht="14" x14ac:dyDescent="0.15">
      <c r="A991" s="6" t="s">
        <v>1179</v>
      </c>
      <c r="B991" s="6" t="s">
        <v>1180</v>
      </c>
      <c r="C991" s="7" t="s">
        <v>1181</v>
      </c>
      <c r="D991" s="6">
        <v>43</v>
      </c>
      <c r="E991" s="8" t="s">
        <v>1540</v>
      </c>
      <c r="F991" s="6" t="s">
        <v>1400</v>
      </c>
      <c r="G991" s="33" t="s">
        <v>88</v>
      </c>
    </row>
    <row r="992" spans="1:7" ht="28" x14ac:dyDescent="0.15">
      <c r="A992" s="6" t="s">
        <v>47</v>
      </c>
      <c r="B992" s="6" t="s">
        <v>475</v>
      </c>
      <c r="C992" s="7" t="s">
        <v>476</v>
      </c>
      <c r="D992" s="6">
        <v>54</v>
      </c>
      <c r="E992" s="8" t="s">
        <v>1541</v>
      </c>
      <c r="F992" s="6" t="s">
        <v>1400</v>
      </c>
      <c r="G992" s="33" t="s">
        <v>18</v>
      </c>
    </row>
    <row r="993" spans="1:7" ht="28" x14ac:dyDescent="0.15">
      <c r="A993" s="6" t="s">
        <v>47</v>
      </c>
      <c r="B993" s="6" t="s">
        <v>702</v>
      </c>
      <c r="C993" s="7" t="s">
        <v>703</v>
      </c>
      <c r="D993" s="6">
        <v>161</v>
      </c>
      <c r="E993" s="8" t="s">
        <v>1542</v>
      </c>
      <c r="F993" s="6" t="s">
        <v>1400</v>
      </c>
      <c r="G993" s="33" t="s">
        <v>18</v>
      </c>
    </row>
    <row r="994" spans="1:7" ht="28" x14ac:dyDescent="0.15">
      <c r="A994" s="6" t="s">
        <v>47</v>
      </c>
      <c r="B994" s="6" t="s">
        <v>1543</v>
      </c>
      <c r="C994" s="7" t="s">
        <v>1544</v>
      </c>
      <c r="D994" s="6">
        <v>10</v>
      </c>
      <c r="E994" s="8" t="s">
        <v>1545</v>
      </c>
      <c r="F994" s="6" t="s">
        <v>1400</v>
      </c>
      <c r="G994" s="33" t="s">
        <v>136</v>
      </c>
    </row>
    <row r="995" spans="1:7" ht="14" x14ac:dyDescent="0.15">
      <c r="A995" s="6" t="s">
        <v>47</v>
      </c>
      <c r="B995" s="6" t="s">
        <v>484</v>
      </c>
      <c r="C995" s="7" t="s">
        <v>485</v>
      </c>
      <c r="D995" s="6">
        <v>40</v>
      </c>
      <c r="E995" s="8" t="s">
        <v>1493</v>
      </c>
      <c r="F995" s="6" t="s">
        <v>1400</v>
      </c>
      <c r="G995" s="33" t="s">
        <v>513</v>
      </c>
    </row>
    <row r="996" spans="1:7" ht="14" x14ac:dyDescent="0.15">
      <c r="A996" s="6" t="s">
        <v>487</v>
      </c>
      <c r="B996" s="6" t="s">
        <v>488</v>
      </c>
      <c r="C996" s="7" t="s">
        <v>489</v>
      </c>
      <c r="D996" s="6">
        <v>11</v>
      </c>
      <c r="E996" s="8" t="s">
        <v>1546</v>
      </c>
      <c r="F996" s="6" t="s">
        <v>1400</v>
      </c>
      <c r="G996" s="33" t="s">
        <v>30</v>
      </c>
    </row>
    <row r="997" spans="1:7" ht="14" x14ac:dyDescent="0.15">
      <c r="A997" s="6" t="s">
        <v>51</v>
      </c>
      <c r="B997" s="6" t="s">
        <v>1547</v>
      </c>
      <c r="C997" s="7" t="s">
        <v>1548</v>
      </c>
      <c r="D997" s="6">
        <v>6</v>
      </c>
      <c r="E997" s="8" t="s">
        <v>1549</v>
      </c>
      <c r="F997" s="6" t="s">
        <v>1400</v>
      </c>
      <c r="G997" s="33" t="s">
        <v>18</v>
      </c>
    </row>
    <row r="998" spans="1:7" ht="42" x14ac:dyDescent="0.15">
      <c r="A998" s="6" t="s">
        <v>51</v>
      </c>
      <c r="B998" s="6" t="s">
        <v>1547</v>
      </c>
      <c r="C998" s="7" t="s">
        <v>1548</v>
      </c>
      <c r="D998" s="6">
        <v>13</v>
      </c>
      <c r="E998" s="8" t="s">
        <v>1550</v>
      </c>
      <c r="F998" s="6" t="s">
        <v>1400</v>
      </c>
      <c r="G998" s="33" t="s">
        <v>23</v>
      </c>
    </row>
    <row r="999" spans="1:7" ht="14" x14ac:dyDescent="0.15">
      <c r="A999" s="6" t="s">
        <v>51</v>
      </c>
      <c r="B999" s="6" t="s">
        <v>1547</v>
      </c>
      <c r="C999" s="7" t="s">
        <v>1548</v>
      </c>
      <c r="D999" s="6">
        <v>26</v>
      </c>
      <c r="E999" s="8" t="s">
        <v>1551</v>
      </c>
      <c r="F999" s="6" t="s">
        <v>1400</v>
      </c>
      <c r="G999" s="33" t="s">
        <v>23</v>
      </c>
    </row>
    <row r="1000" spans="1:7" ht="14" x14ac:dyDescent="0.15">
      <c r="A1000" s="6" t="s">
        <v>51</v>
      </c>
      <c r="B1000" s="6" t="s">
        <v>1547</v>
      </c>
      <c r="C1000" s="7" t="s">
        <v>1548</v>
      </c>
      <c r="D1000" s="6">
        <v>40</v>
      </c>
      <c r="E1000" s="8" t="s">
        <v>1552</v>
      </c>
      <c r="F1000" s="6" t="s">
        <v>1400</v>
      </c>
      <c r="G1000" s="33" t="s">
        <v>77</v>
      </c>
    </row>
    <row r="1001" spans="1:7" ht="14" x14ac:dyDescent="0.15">
      <c r="A1001" s="6" t="s">
        <v>51</v>
      </c>
      <c r="B1001" s="6" t="s">
        <v>1553</v>
      </c>
      <c r="C1001" s="7" t="s">
        <v>1554</v>
      </c>
      <c r="D1001" s="6">
        <v>7</v>
      </c>
      <c r="E1001" s="8" t="s">
        <v>1555</v>
      </c>
      <c r="F1001" s="6" t="s">
        <v>1400</v>
      </c>
      <c r="G1001" s="33" t="s">
        <v>77</v>
      </c>
    </row>
    <row r="1002" spans="1:7" ht="14" x14ac:dyDescent="0.15">
      <c r="A1002" s="6" t="s">
        <v>51</v>
      </c>
      <c r="B1002" s="6" t="s">
        <v>1556</v>
      </c>
      <c r="C1002" s="7" t="s">
        <v>1557</v>
      </c>
      <c r="D1002" s="6">
        <v>4</v>
      </c>
      <c r="E1002" s="8" t="s">
        <v>1558</v>
      </c>
      <c r="F1002" s="6" t="s">
        <v>1400</v>
      </c>
      <c r="G1002" s="33" t="s">
        <v>67</v>
      </c>
    </row>
    <row r="1003" spans="1:7" ht="14" x14ac:dyDescent="0.15">
      <c r="A1003" s="6" t="s">
        <v>51</v>
      </c>
      <c r="B1003" s="6" t="s">
        <v>1556</v>
      </c>
      <c r="C1003" s="7" t="s">
        <v>1557</v>
      </c>
      <c r="D1003" s="6">
        <v>68</v>
      </c>
      <c r="E1003" s="8" t="s">
        <v>1559</v>
      </c>
      <c r="F1003" s="6" t="s">
        <v>1400</v>
      </c>
      <c r="G1003" s="33" t="s">
        <v>30</v>
      </c>
    </row>
    <row r="1004" spans="1:7" ht="14" x14ac:dyDescent="0.15">
      <c r="A1004" s="6" t="s">
        <v>51</v>
      </c>
      <c r="B1004" s="6" t="s">
        <v>1556</v>
      </c>
      <c r="C1004" s="7" t="s">
        <v>1557</v>
      </c>
      <c r="D1004" s="6">
        <v>76</v>
      </c>
      <c r="E1004" s="8" t="s">
        <v>1560</v>
      </c>
      <c r="F1004" s="6" t="s">
        <v>1400</v>
      </c>
      <c r="G1004" s="33" t="s">
        <v>30</v>
      </c>
    </row>
    <row r="1005" spans="1:7" ht="14" x14ac:dyDescent="0.15">
      <c r="A1005" s="6" t="s">
        <v>1561</v>
      </c>
      <c r="B1005" s="6" t="s">
        <v>1562</v>
      </c>
      <c r="C1005" s="7" t="s">
        <v>1563</v>
      </c>
      <c r="D1005" s="6">
        <v>6</v>
      </c>
      <c r="E1005" s="8" t="s">
        <v>1564</v>
      </c>
      <c r="F1005" s="6" t="s">
        <v>1400</v>
      </c>
      <c r="G1005" s="33" t="s">
        <v>115</v>
      </c>
    </row>
    <row r="1006" spans="1:7" ht="14" x14ac:dyDescent="0.15">
      <c r="A1006" s="6" t="s">
        <v>509</v>
      </c>
      <c r="B1006" s="6" t="s">
        <v>510</v>
      </c>
      <c r="C1006" s="7" t="s">
        <v>511</v>
      </c>
      <c r="D1006" s="6">
        <v>170</v>
      </c>
      <c r="E1006" s="8" t="s">
        <v>1565</v>
      </c>
      <c r="F1006" s="6" t="s">
        <v>1400</v>
      </c>
      <c r="G1006" s="33" t="s">
        <v>88</v>
      </c>
    </row>
    <row r="1007" spans="1:7" ht="14" x14ac:dyDescent="0.15">
      <c r="A1007" s="6" t="s">
        <v>105</v>
      </c>
      <c r="B1007" s="6" t="s">
        <v>106</v>
      </c>
      <c r="C1007" s="7" t="s">
        <v>112</v>
      </c>
      <c r="D1007" s="6">
        <v>239</v>
      </c>
      <c r="E1007" s="8" t="s">
        <v>1448</v>
      </c>
      <c r="F1007" s="6" t="s">
        <v>1400</v>
      </c>
      <c r="G1007" s="33" t="s">
        <v>12</v>
      </c>
    </row>
    <row r="1008" spans="1:7" ht="14" x14ac:dyDescent="0.15">
      <c r="A1008" s="6" t="s">
        <v>105</v>
      </c>
      <c r="B1008" s="6" t="s">
        <v>106</v>
      </c>
      <c r="C1008" s="7" t="s">
        <v>112</v>
      </c>
      <c r="D1008" s="6">
        <v>249</v>
      </c>
      <c r="E1008" s="8" t="s">
        <v>1449</v>
      </c>
      <c r="F1008" s="6" t="s">
        <v>1400</v>
      </c>
      <c r="G1008" s="33" t="s">
        <v>12</v>
      </c>
    </row>
    <row r="1009" spans="1:7" ht="28" x14ac:dyDescent="0.15">
      <c r="A1009" s="6" t="s">
        <v>615</v>
      </c>
      <c r="B1009" s="6" t="s">
        <v>616</v>
      </c>
      <c r="C1009" s="7" t="s">
        <v>617</v>
      </c>
      <c r="D1009" s="6">
        <v>18</v>
      </c>
      <c r="E1009" s="8" t="s">
        <v>1566</v>
      </c>
      <c r="F1009" s="6" t="s">
        <v>1400</v>
      </c>
      <c r="G1009" s="33" t="s">
        <v>30</v>
      </c>
    </row>
    <row r="1010" spans="1:7" ht="14" x14ac:dyDescent="0.15">
      <c r="A1010" s="6" t="s">
        <v>615</v>
      </c>
      <c r="B1010" s="6" t="s">
        <v>616</v>
      </c>
      <c r="C1010" s="7" t="s">
        <v>617</v>
      </c>
      <c r="D1010" s="6">
        <v>49</v>
      </c>
      <c r="E1010" s="8" t="s">
        <v>1567</v>
      </c>
      <c r="F1010" s="6" t="s">
        <v>1400</v>
      </c>
      <c r="G1010" s="33" t="s">
        <v>115</v>
      </c>
    </row>
    <row r="1011" spans="1:7" ht="14" x14ac:dyDescent="0.15">
      <c r="A1011" s="6" t="s">
        <v>521</v>
      </c>
      <c r="B1011" s="6" t="s">
        <v>522</v>
      </c>
      <c r="C1011" s="7" t="s">
        <v>523</v>
      </c>
      <c r="D1011" s="6">
        <v>171</v>
      </c>
      <c r="E1011" s="8" t="s">
        <v>1568</v>
      </c>
      <c r="F1011" s="6" t="s">
        <v>1400</v>
      </c>
      <c r="G1011" s="33" t="s">
        <v>219</v>
      </c>
    </row>
    <row r="1012" spans="1:7" ht="14" x14ac:dyDescent="0.15">
      <c r="A1012" s="6" t="s">
        <v>521</v>
      </c>
      <c r="B1012" s="6" t="s">
        <v>522</v>
      </c>
      <c r="C1012" s="7" t="s">
        <v>523</v>
      </c>
      <c r="D1012" s="6">
        <v>173</v>
      </c>
      <c r="E1012" s="8" t="s">
        <v>1569</v>
      </c>
      <c r="F1012" s="6" t="s">
        <v>1400</v>
      </c>
      <c r="G1012" s="33" t="s">
        <v>342</v>
      </c>
    </row>
    <row r="1013" spans="1:7" ht="14" x14ac:dyDescent="0.15">
      <c r="A1013" s="6" t="s">
        <v>521</v>
      </c>
      <c r="B1013" s="6" t="s">
        <v>533</v>
      </c>
      <c r="C1013" s="7" t="s">
        <v>534</v>
      </c>
      <c r="D1013" s="6">
        <v>18</v>
      </c>
      <c r="E1013" s="8" t="s">
        <v>1570</v>
      </c>
      <c r="F1013" s="6" t="s">
        <v>1400</v>
      </c>
      <c r="G1013" s="33" t="s">
        <v>30</v>
      </c>
    </row>
    <row r="1014" spans="1:7" ht="14" x14ac:dyDescent="0.15">
      <c r="A1014" s="6" t="s">
        <v>555</v>
      </c>
      <c r="B1014" s="6" t="s">
        <v>556</v>
      </c>
      <c r="C1014" s="7" t="s">
        <v>557</v>
      </c>
      <c r="D1014" s="6">
        <v>12</v>
      </c>
      <c r="E1014" s="8" t="s">
        <v>1559</v>
      </c>
      <c r="F1014" s="6" t="s">
        <v>1400</v>
      </c>
      <c r="G1014" s="33" t="s">
        <v>30</v>
      </c>
    </row>
    <row r="1015" spans="1:7" ht="14" x14ac:dyDescent="0.15">
      <c r="A1015" s="6" t="s">
        <v>555</v>
      </c>
      <c r="B1015" s="6" t="s">
        <v>556</v>
      </c>
      <c r="C1015" s="7" t="s">
        <v>557</v>
      </c>
      <c r="D1015" s="6">
        <v>41</v>
      </c>
      <c r="E1015" s="8" t="s">
        <v>1571</v>
      </c>
      <c r="F1015" s="6" t="s">
        <v>1400</v>
      </c>
      <c r="G1015" s="33" t="s">
        <v>136</v>
      </c>
    </row>
    <row r="1016" spans="1:7" ht="14" x14ac:dyDescent="0.15">
      <c r="A1016" s="6" t="s">
        <v>559</v>
      </c>
      <c r="B1016" s="6" t="s">
        <v>559</v>
      </c>
      <c r="C1016" s="7" t="s">
        <v>560</v>
      </c>
      <c r="D1016" s="6">
        <v>45</v>
      </c>
      <c r="E1016" s="8" t="s">
        <v>1572</v>
      </c>
      <c r="F1016" s="6" t="s">
        <v>1400</v>
      </c>
      <c r="G1016" s="33" t="s">
        <v>30</v>
      </c>
    </row>
    <row r="1017" spans="1:7" ht="14" x14ac:dyDescent="0.15">
      <c r="A1017" s="6" t="s">
        <v>559</v>
      </c>
      <c r="B1017" s="6" t="s">
        <v>559</v>
      </c>
      <c r="C1017" s="7" t="s">
        <v>560</v>
      </c>
      <c r="D1017" s="6">
        <v>47</v>
      </c>
      <c r="E1017" s="8" t="s">
        <v>1573</v>
      </c>
      <c r="F1017" s="6" t="s">
        <v>1400</v>
      </c>
      <c r="G1017" s="33" t="s">
        <v>30</v>
      </c>
    </row>
    <row r="1018" spans="1:7" ht="14" x14ac:dyDescent="0.15">
      <c r="A1018" s="6" t="s">
        <v>1256</v>
      </c>
      <c r="B1018" s="6" t="s">
        <v>1256</v>
      </c>
      <c r="C1018" s="7" t="s">
        <v>1257</v>
      </c>
      <c r="D1018" s="6">
        <v>53</v>
      </c>
      <c r="E1018" s="8" t="s">
        <v>1574</v>
      </c>
      <c r="F1018" s="6" t="s">
        <v>1400</v>
      </c>
      <c r="G1018" s="33" t="s">
        <v>77</v>
      </c>
    </row>
    <row r="1019" spans="1:7" ht="14" x14ac:dyDescent="0.15">
      <c r="A1019" s="6" t="s">
        <v>101</v>
      </c>
      <c r="B1019" s="6" t="s">
        <v>102</v>
      </c>
      <c r="C1019" s="7" t="s">
        <v>103</v>
      </c>
      <c r="D1019" s="6">
        <v>78</v>
      </c>
      <c r="E1019" s="8" t="s">
        <v>1575</v>
      </c>
      <c r="F1019" s="6" t="s">
        <v>1400</v>
      </c>
      <c r="G1019" s="33" t="s">
        <v>83</v>
      </c>
    </row>
    <row r="1020" spans="1:7" ht="28" x14ac:dyDescent="0.15">
      <c r="A1020" s="6" t="s">
        <v>1269</v>
      </c>
      <c r="B1020" s="6" t="s">
        <v>1270</v>
      </c>
      <c r="C1020" s="7" t="s">
        <v>1271</v>
      </c>
      <c r="D1020" s="6">
        <v>35</v>
      </c>
      <c r="E1020" s="8" t="s">
        <v>1576</v>
      </c>
      <c r="F1020" s="6" t="s">
        <v>1400</v>
      </c>
      <c r="G1020" s="33" t="s">
        <v>18</v>
      </c>
    </row>
    <row r="1021" spans="1:7" ht="14" x14ac:dyDescent="0.15">
      <c r="A1021" s="6" t="s">
        <v>566</v>
      </c>
      <c r="B1021" s="6" t="s">
        <v>567</v>
      </c>
      <c r="C1021" s="7" t="s">
        <v>568</v>
      </c>
      <c r="D1021" s="6">
        <v>234</v>
      </c>
      <c r="E1021" s="8" t="s">
        <v>1577</v>
      </c>
      <c r="F1021" s="6" t="s">
        <v>1400</v>
      </c>
      <c r="G1021" s="33" t="s">
        <v>23</v>
      </c>
    </row>
    <row r="1022" spans="1:7" ht="14" x14ac:dyDescent="0.15">
      <c r="A1022" s="6" t="s">
        <v>570</v>
      </c>
      <c r="B1022" s="6" t="s">
        <v>571</v>
      </c>
      <c r="C1022" s="7" t="s">
        <v>572</v>
      </c>
      <c r="D1022" s="6">
        <v>2</v>
      </c>
      <c r="E1022" s="8" t="s">
        <v>1578</v>
      </c>
      <c r="F1022" s="6" t="s">
        <v>1400</v>
      </c>
      <c r="G1022" s="33" t="s">
        <v>30</v>
      </c>
    </row>
    <row r="1023" spans="1:7" ht="14" x14ac:dyDescent="0.15">
      <c r="A1023" s="6" t="s">
        <v>570</v>
      </c>
      <c r="B1023" s="6" t="s">
        <v>571</v>
      </c>
      <c r="C1023" s="7" t="s">
        <v>572</v>
      </c>
      <c r="D1023" s="6">
        <v>68</v>
      </c>
      <c r="E1023" s="8" t="s">
        <v>1579</v>
      </c>
      <c r="F1023" s="6" t="s">
        <v>1400</v>
      </c>
      <c r="G1023" s="33" t="s">
        <v>30</v>
      </c>
    </row>
    <row r="1024" spans="1:7" ht="28" x14ac:dyDescent="0.15">
      <c r="A1024" s="6" t="s">
        <v>68</v>
      </c>
      <c r="B1024" s="6" t="s">
        <v>69</v>
      </c>
      <c r="C1024" s="7" t="s">
        <v>70</v>
      </c>
      <c r="D1024" s="6">
        <v>118</v>
      </c>
      <c r="E1024" s="8" t="s">
        <v>1580</v>
      </c>
      <c r="F1024" s="6" t="s">
        <v>1581</v>
      </c>
      <c r="G1024" s="33" t="s">
        <v>115</v>
      </c>
    </row>
    <row r="1025" spans="1:7" ht="14" x14ac:dyDescent="0.15">
      <c r="A1025" s="6" t="s">
        <v>68</v>
      </c>
      <c r="B1025" s="6" t="s">
        <v>69</v>
      </c>
      <c r="C1025" s="7" t="s">
        <v>70</v>
      </c>
      <c r="D1025" s="6">
        <v>120</v>
      </c>
      <c r="E1025" s="8" t="s">
        <v>1582</v>
      </c>
      <c r="F1025" s="6" t="s">
        <v>1581</v>
      </c>
      <c r="G1025" s="33" t="s">
        <v>30</v>
      </c>
    </row>
    <row r="1026" spans="1:7" ht="14" x14ac:dyDescent="0.15">
      <c r="A1026" s="6" t="s">
        <v>68</v>
      </c>
      <c r="B1026" s="6" t="s">
        <v>69</v>
      </c>
      <c r="C1026" s="7" t="s">
        <v>70</v>
      </c>
      <c r="D1026" s="6">
        <v>122</v>
      </c>
      <c r="E1026" s="8" t="s">
        <v>1583</v>
      </c>
      <c r="F1026" s="6" t="s">
        <v>1581</v>
      </c>
      <c r="G1026" s="33" t="s">
        <v>30</v>
      </c>
    </row>
    <row r="1027" spans="1:7" ht="14" x14ac:dyDescent="0.15">
      <c r="A1027" s="6" t="s">
        <v>131</v>
      </c>
      <c r="B1027" s="6" t="s">
        <v>132</v>
      </c>
      <c r="C1027" s="7" t="s">
        <v>133</v>
      </c>
      <c r="D1027" s="6">
        <v>19</v>
      </c>
      <c r="E1027" s="8" t="s">
        <v>1584</v>
      </c>
      <c r="F1027" s="6" t="s">
        <v>1581</v>
      </c>
      <c r="G1027" s="33" t="s">
        <v>83</v>
      </c>
    </row>
    <row r="1028" spans="1:7" ht="14" x14ac:dyDescent="0.15">
      <c r="A1028" s="6" t="s">
        <v>79</v>
      </c>
      <c r="B1028" s="6" t="s">
        <v>80</v>
      </c>
      <c r="C1028" s="7" t="s">
        <v>81</v>
      </c>
      <c r="D1028" s="6">
        <v>131</v>
      </c>
      <c r="E1028" s="8" t="s">
        <v>1585</v>
      </c>
      <c r="F1028" s="6" t="s">
        <v>1581</v>
      </c>
      <c r="G1028" s="33" t="s">
        <v>23</v>
      </c>
    </row>
    <row r="1029" spans="1:7" ht="14" x14ac:dyDescent="0.15">
      <c r="A1029" s="6" t="s">
        <v>131</v>
      </c>
      <c r="B1029" s="6" t="s">
        <v>132</v>
      </c>
      <c r="C1029" s="7" t="s">
        <v>347</v>
      </c>
      <c r="D1029" s="6">
        <v>17</v>
      </c>
      <c r="E1029" s="8" t="s">
        <v>1584</v>
      </c>
      <c r="F1029" s="6" t="s">
        <v>1581</v>
      </c>
      <c r="G1029" s="33" t="s">
        <v>83</v>
      </c>
    </row>
    <row r="1030" spans="1:7" ht="14" x14ac:dyDescent="0.15">
      <c r="A1030" s="6" t="s">
        <v>247</v>
      </c>
      <c r="B1030" s="6" t="s">
        <v>248</v>
      </c>
      <c r="C1030" s="7" t="s">
        <v>249</v>
      </c>
      <c r="D1030" s="6">
        <v>120</v>
      </c>
      <c r="E1030" s="8" t="s">
        <v>1586</v>
      </c>
      <c r="F1030" s="6" t="s">
        <v>1587</v>
      </c>
      <c r="G1030" s="33" t="s">
        <v>77</v>
      </c>
    </row>
    <row r="1031" spans="1:7" ht="14" x14ac:dyDescent="0.15">
      <c r="A1031" s="6" t="s">
        <v>247</v>
      </c>
      <c r="B1031" s="6" t="s">
        <v>248</v>
      </c>
      <c r="C1031" s="7" t="s">
        <v>399</v>
      </c>
      <c r="D1031" s="6">
        <v>99</v>
      </c>
      <c r="E1031" s="8" t="s">
        <v>1586</v>
      </c>
      <c r="F1031" s="6" t="s">
        <v>1587</v>
      </c>
      <c r="G1031" s="33" t="s">
        <v>77</v>
      </c>
    </row>
    <row r="1032" spans="1:7" ht="14" x14ac:dyDescent="0.15">
      <c r="A1032" s="6" t="s">
        <v>140</v>
      </c>
      <c r="B1032" s="6" t="s">
        <v>141</v>
      </c>
      <c r="C1032" s="7" t="s">
        <v>142</v>
      </c>
      <c r="D1032" s="6">
        <v>74</v>
      </c>
      <c r="E1032" s="8" t="s">
        <v>1588</v>
      </c>
      <c r="F1032" s="6" t="s">
        <v>1589</v>
      </c>
      <c r="G1032" s="33" t="s">
        <v>30</v>
      </c>
    </row>
    <row r="1033" spans="1:7" ht="28" x14ac:dyDescent="0.15">
      <c r="A1033" s="6" t="s">
        <v>164</v>
      </c>
      <c r="B1033" s="6" t="s">
        <v>165</v>
      </c>
      <c r="C1033" s="7" t="s">
        <v>166</v>
      </c>
      <c r="D1033" s="6">
        <v>91</v>
      </c>
      <c r="E1033" s="8" t="s">
        <v>1590</v>
      </c>
      <c r="F1033" s="6" t="s">
        <v>1589</v>
      </c>
      <c r="G1033" s="33" t="s">
        <v>23</v>
      </c>
    </row>
    <row r="1034" spans="1:7" ht="28" x14ac:dyDescent="0.15">
      <c r="A1034" s="6" t="s">
        <v>164</v>
      </c>
      <c r="B1034" s="6" t="s">
        <v>165</v>
      </c>
      <c r="C1034" s="7" t="s">
        <v>166</v>
      </c>
      <c r="D1034" s="6">
        <v>143</v>
      </c>
      <c r="E1034" s="8" t="s">
        <v>1591</v>
      </c>
      <c r="F1034" s="6" t="s">
        <v>1589</v>
      </c>
      <c r="G1034" s="33" t="s">
        <v>115</v>
      </c>
    </row>
    <row r="1035" spans="1:7" ht="28" x14ac:dyDescent="0.15">
      <c r="A1035" s="6" t="s">
        <v>79</v>
      </c>
      <c r="B1035" s="6" t="s">
        <v>80</v>
      </c>
      <c r="C1035" s="7" t="s">
        <v>81</v>
      </c>
      <c r="D1035" s="6">
        <v>38</v>
      </c>
      <c r="E1035" s="8" t="s">
        <v>1592</v>
      </c>
      <c r="F1035" s="6" t="s">
        <v>1400</v>
      </c>
      <c r="G1035" s="33" t="s">
        <v>219</v>
      </c>
    </row>
    <row r="1036" spans="1:7" ht="14" x14ac:dyDescent="0.15">
      <c r="A1036" s="6" t="s">
        <v>1593</v>
      </c>
      <c r="B1036" s="6" t="s">
        <v>1594</v>
      </c>
      <c r="C1036" s="7" t="s">
        <v>1595</v>
      </c>
      <c r="D1036" s="6">
        <v>5</v>
      </c>
      <c r="E1036" s="8" t="s">
        <v>1596</v>
      </c>
      <c r="F1036" s="6" t="s">
        <v>1400</v>
      </c>
      <c r="G1036" s="33" t="s">
        <v>18</v>
      </c>
    </row>
    <row r="1037" spans="1:7" ht="14" x14ac:dyDescent="0.15">
      <c r="A1037" s="6" t="s">
        <v>73</v>
      </c>
      <c r="B1037" s="6" t="s">
        <v>74</v>
      </c>
      <c r="C1037" s="7" t="s">
        <v>75</v>
      </c>
      <c r="D1037" s="6">
        <v>173</v>
      </c>
      <c r="E1037" s="8" t="s">
        <v>1597</v>
      </c>
      <c r="F1037" s="6" t="s">
        <v>1400</v>
      </c>
      <c r="G1037" s="33" t="s">
        <v>18</v>
      </c>
    </row>
    <row r="1038" spans="1:7" ht="14" x14ac:dyDescent="0.15">
      <c r="A1038" s="6" t="s">
        <v>1561</v>
      </c>
      <c r="B1038" s="6" t="s">
        <v>1562</v>
      </c>
      <c r="C1038" s="7" t="s">
        <v>1563</v>
      </c>
      <c r="D1038" s="6">
        <v>177</v>
      </c>
      <c r="E1038" s="8" t="s">
        <v>1598</v>
      </c>
      <c r="F1038" s="6" t="s">
        <v>1400</v>
      </c>
      <c r="G1038" s="33" t="s">
        <v>18</v>
      </c>
    </row>
    <row r="1039" spans="1:7" ht="14" x14ac:dyDescent="0.15">
      <c r="A1039" s="6" t="s">
        <v>521</v>
      </c>
      <c r="B1039" s="6" t="s">
        <v>522</v>
      </c>
      <c r="C1039" s="7" t="s">
        <v>523</v>
      </c>
      <c r="D1039" s="6">
        <v>175</v>
      </c>
      <c r="E1039" s="8" t="s">
        <v>1599</v>
      </c>
      <c r="F1039" s="6" t="s">
        <v>1400</v>
      </c>
      <c r="G1039" s="33" t="s">
        <v>18</v>
      </c>
    </row>
    <row r="1040" spans="1:7" ht="28" x14ac:dyDescent="0.15">
      <c r="A1040" s="6" t="s">
        <v>357</v>
      </c>
      <c r="B1040" s="6" t="s">
        <v>358</v>
      </c>
      <c r="C1040" s="7" t="s">
        <v>359</v>
      </c>
      <c r="D1040" s="6">
        <v>195</v>
      </c>
      <c r="E1040" s="8" t="s">
        <v>1600</v>
      </c>
      <c r="F1040" s="6" t="s">
        <v>1601</v>
      </c>
      <c r="G1040" s="33" t="s">
        <v>23</v>
      </c>
    </row>
    <row r="1041" spans="1:7" ht="14" x14ac:dyDescent="0.15">
      <c r="A1041" s="6" t="s">
        <v>105</v>
      </c>
      <c r="B1041" s="6" t="s">
        <v>106</v>
      </c>
      <c r="C1041" s="7" t="s">
        <v>107</v>
      </c>
      <c r="D1041" s="6">
        <v>260</v>
      </c>
      <c r="E1041" s="8" t="s">
        <v>1602</v>
      </c>
      <c r="F1041" s="6" t="s">
        <v>1603</v>
      </c>
      <c r="G1041" s="33" t="s">
        <v>77</v>
      </c>
    </row>
    <row r="1042" spans="1:7" ht="14" x14ac:dyDescent="0.15">
      <c r="A1042" s="6" t="s">
        <v>1604</v>
      </c>
      <c r="B1042" s="6" t="s">
        <v>1605</v>
      </c>
      <c r="C1042" s="7" t="s">
        <v>1606</v>
      </c>
      <c r="D1042" s="6">
        <v>14</v>
      </c>
      <c r="E1042" s="8" t="s">
        <v>1607</v>
      </c>
      <c r="F1042" s="6" t="s">
        <v>1603</v>
      </c>
      <c r="G1042" s="33" t="s">
        <v>23</v>
      </c>
    </row>
    <row r="1043" spans="1:7" ht="14" x14ac:dyDescent="0.15">
      <c r="A1043" s="6" t="s">
        <v>953</v>
      </c>
      <c r="B1043" s="6" t="s">
        <v>954</v>
      </c>
      <c r="C1043" s="7" t="s">
        <v>955</v>
      </c>
      <c r="D1043" s="6">
        <v>57</v>
      </c>
      <c r="E1043" s="8" t="s">
        <v>1608</v>
      </c>
      <c r="F1043" s="6" t="s">
        <v>1603</v>
      </c>
      <c r="G1043" s="33" t="s">
        <v>18</v>
      </c>
    </row>
    <row r="1044" spans="1:7" ht="14" x14ac:dyDescent="0.15">
      <c r="A1044" s="6" t="s">
        <v>105</v>
      </c>
      <c r="B1044" s="6" t="s">
        <v>106</v>
      </c>
      <c r="C1044" s="7" t="s">
        <v>112</v>
      </c>
      <c r="D1044" s="6">
        <v>260</v>
      </c>
      <c r="E1044" s="8" t="s">
        <v>1602</v>
      </c>
      <c r="F1044" s="6" t="s">
        <v>1603</v>
      </c>
      <c r="G1044" s="33" t="s">
        <v>77</v>
      </c>
    </row>
    <row r="1045" spans="1:7" ht="14" x14ac:dyDescent="0.15">
      <c r="A1045" s="6" t="s">
        <v>105</v>
      </c>
      <c r="B1045" s="6" t="s">
        <v>106</v>
      </c>
      <c r="C1045" s="7" t="s">
        <v>107</v>
      </c>
      <c r="D1045" s="6">
        <v>238</v>
      </c>
      <c r="E1045" s="8" t="s">
        <v>1609</v>
      </c>
      <c r="F1045" s="6" t="s">
        <v>1610</v>
      </c>
      <c r="G1045" s="33" t="s">
        <v>12</v>
      </c>
    </row>
    <row r="1046" spans="1:7" ht="14" x14ac:dyDescent="0.15">
      <c r="A1046" s="6" t="s">
        <v>400</v>
      </c>
      <c r="B1046" s="6" t="s">
        <v>400</v>
      </c>
      <c r="C1046" s="7" t="s">
        <v>401</v>
      </c>
      <c r="D1046" s="6">
        <v>178</v>
      </c>
      <c r="E1046" s="8" t="s">
        <v>1611</v>
      </c>
      <c r="F1046" s="6" t="s">
        <v>1612</v>
      </c>
      <c r="G1046" s="33" t="s">
        <v>77</v>
      </c>
    </row>
    <row r="1047" spans="1:7" ht="14" x14ac:dyDescent="0.15">
      <c r="A1047" s="6" t="s">
        <v>105</v>
      </c>
      <c r="B1047" s="6" t="s">
        <v>106</v>
      </c>
      <c r="C1047" s="7" t="s">
        <v>112</v>
      </c>
      <c r="D1047" s="6">
        <v>238</v>
      </c>
      <c r="E1047" s="8" t="s">
        <v>1609</v>
      </c>
      <c r="F1047" s="6" t="s">
        <v>1610</v>
      </c>
      <c r="G1047" s="33" t="s">
        <v>12</v>
      </c>
    </row>
    <row r="1048" spans="1:7" ht="28" x14ac:dyDescent="0.15">
      <c r="A1048" s="6" t="s">
        <v>84</v>
      </c>
      <c r="B1048" s="6" t="s">
        <v>85</v>
      </c>
      <c r="C1048" s="7" t="s">
        <v>86</v>
      </c>
      <c r="D1048" s="6">
        <v>18</v>
      </c>
      <c r="E1048" s="8" t="s">
        <v>1613</v>
      </c>
      <c r="F1048" s="6" t="s">
        <v>1614</v>
      </c>
      <c r="G1048" s="33" t="s">
        <v>18</v>
      </c>
    </row>
    <row r="1049" spans="1:7" ht="28" x14ac:dyDescent="0.15">
      <c r="A1049" s="6" t="s">
        <v>47</v>
      </c>
      <c r="B1049" s="6" t="s">
        <v>1184</v>
      </c>
      <c r="C1049" s="7" t="s">
        <v>1185</v>
      </c>
      <c r="D1049" s="6">
        <v>17</v>
      </c>
      <c r="E1049" s="8" t="s">
        <v>1615</v>
      </c>
      <c r="F1049" s="6" t="s">
        <v>1616</v>
      </c>
      <c r="G1049" s="33" t="s">
        <v>30</v>
      </c>
    </row>
    <row r="1050" spans="1:7" ht="28" x14ac:dyDescent="0.15">
      <c r="A1050" s="6" t="s">
        <v>51</v>
      </c>
      <c r="B1050" s="6" t="s">
        <v>1209</v>
      </c>
      <c r="C1050" s="7" t="s">
        <v>1210</v>
      </c>
      <c r="D1050" s="6">
        <v>16</v>
      </c>
      <c r="E1050" s="8" t="s">
        <v>1615</v>
      </c>
      <c r="F1050" s="6" t="s">
        <v>1616</v>
      </c>
      <c r="G1050" s="33" t="s">
        <v>30</v>
      </c>
    </row>
    <row r="1051" spans="1:7" ht="28" x14ac:dyDescent="0.15">
      <c r="A1051" s="6" t="s">
        <v>51</v>
      </c>
      <c r="B1051" s="6" t="s">
        <v>496</v>
      </c>
      <c r="C1051" s="7" t="s">
        <v>497</v>
      </c>
      <c r="D1051" s="6">
        <v>23</v>
      </c>
      <c r="E1051" s="8" t="s">
        <v>1617</v>
      </c>
      <c r="F1051" s="6" t="s">
        <v>1616</v>
      </c>
      <c r="G1051" s="33" t="s">
        <v>30</v>
      </c>
    </row>
    <row r="1052" spans="1:7" ht="28" x14ac:dyDescent="0.15">
      <c r="A1052" s="6" t="s">
        <v>173</v>
      </c>
      <c r="B1052" s="6" t="s">
        <v>174</v>
      </c>
      <c r="C1052" s="7" t="s">
        <v>175</v>
      </c>
      <c r="D1052" s="6">
        <v>78</v>
      </c>
      <c r="E1052" s="8" t="s">
        <v>1618</v>
      </c>
      <c r="F1052" s="6" t="s">
        <v>1610</v>
      </c>
      <c r="G1052" s="33" t="s">
        <v>88</v>
      </c>
    </row>
    <row r="1053" spans="1:7" ht="28" x14ac:dyDescent="0.15">
      <c r="A1053" s="6" t="s">
        <v>173</v>
      </c>
      <c r="B1053" s="6" t="s">
        <v>174</v>
      </c>
      <c r="C1053" s="7" t="s">
        <v>175</v>
      </c>
      <c r="D1053" s="6">
        <v>76</v>
      </c>
      <c r="E1053" s="8" t="s">
        <v>1619</v>
      </c>
      <c r="F1053" s="6" t="s">
        <v>1610</v>
      </c>
      <c r="G1053" s="33" t="s">
        <v>88</v>
      </c>
    </row>
    <row r="1054" spans="1:7" ht="14" x14ac:dyDescent="0.15">
      <c r="A1054" s="6" t="s">
        <v>1454</v>
      </c>
      <c r="B1054" s="6" t="s">
        <v>1455</v>
      </c>
      <c r="C1054" s="7" t="s">
        <v>1456</v>
      </c>
      <c r="D1054" s="6">
        <v>143</v>
      </c>
      <c r="E1054" s="8" t="s">
        <v>1620</v>
      </c>
      <c r="F1054" s="6" t="s">
        <v>1400</v>
      </c>
      <c r="G1054" s="33" t="s">
        <v>136</v>
      </c>
    </row>
    <row r="1055" spans="1:7" ht="14" x14ac:dyDescent="0.15">
      <c r="A1055" s="6" t="s">
        <v>164</v>
      </c>
      <c r="B1055" s="6" t="s">
        <v>165</v>
      </c>
      <c r="C1055" s="7" t="s">
        <v>166</v>
      </c>
      <c r="D1055" s="6">
        <v>144</v>
      </c>
      <c r="E1055" s="8" t="s">
        <v>1621</v>
      </c>
      <c r="F1055" s="6" t="s">
        <v>1400</v>
      </c>
      <c r="G1055" s="33" t="s">
        <v>30</v>
      </c>
    </row>
    <row r="1056" spans="1:7" ht="14" x14ac:dyDescent="0.15">
      <c r="A1056" s="6" t="s">
        <v>713</v>
      </c>
      <c r="B1056" s="6" t="s">
        <v>713</v>
      </c>
      <c r="C1056" s="7" t="s">
        <v>714</v>
      </c>
      <c r="D1056" s="6">
        <v>98</v>
      </c>
      <c r="E1056" s="8" t="s">
        <v>1622</v>
      </c>
      <c r="F1056" s="6" t="s">
        <v>1400</v>
      </c>
      <c r="G1056" s="33" t="s">
        <v>30</v>
      </c>
    </row>
    <row r="1057" spans="1:7" ht="28" x14ac:dyDescent="0.15">
      <c r="A1057" s="6" t="s">
        <v>1623</v>
      </c>
      <c r="B1057" s="6" t="s">
        <v>1624</v>
      </c>
      <c r="C1057" s="7" t="s">
        <v>1625</v>
      </c>
      <c r="D1057" s="6">
        <v>20</v>
      </c>
      <c r="E1057" s="8" t="s">
        <v>1626</v>
      </c>
      <c r="F1057" s="6" t="s">
        <v>1400</v>
      </c>
      <c r="G1057" s="33" t="s">
        <v>30</v>
      </c>
    </row>
    <row r="1058" spans="1:7" ht="28" x14ac:dyDescent="0.15">
      <c r="A1058" s="6" t="s">
        <v>487</v>
      </c>
      <c r="B1058" s="6" t="s">
        <v>488</v>
      </c>
      <c r="C1058" s="7" t="s">
        <v>489</v>
      </c>
      <c r="D1058" s="6">
        <v>15</v>
      </c>
      <c r="E1058" s="8" t="s">
        <v>1627</v>
      </c>
      <c r="F1058" s="6" t="s">
        <v>1628</v>
      </c>
      <c r="G1058" s="33" t="s">
        <v>88</v>
      </c>
    </row>
    <row r="1059" spans="1:7" ht="28" x14ac:dyDescent="0.15">
      <c r="A1059" s="6" t="s">
        <v>1019</v>
      </c>
      <c r="B1059" s="6" t="s">
        <v>1020</v>
      </c>
      <c r="C1059" s="7" t="s">
        <v>1021</v>
      </c>
      <c r="D1059" s="6">
        <v>8</v>
      </c>
      <c r="E1059" s="8" t="s">
        <v>1629</v>
      </c>
      <c r="F1059" s="6" t="s">
        <v>1628</v>
      </c>
      <c r="G1059" s="33" t="s">
        <v>18</v>
      </c>
    </row>
    <row r="1060" spans="1:7" ht="14" x14ac:dyDescent="0.15">
      <c r="A1060" s="6" t="s">
        <v>615</v>
      </c>
      <c r="B1060" s="6" t="s">
        <v>616</v>
      </c>
      <c r="C1060" s="7" t="s">
        <v>617</v>
      </c>
      <c r="D1060" s="6">
        <v>64</v>
      </c>
      <c r="E1060" s="8" t="s">
        <v>1630</v>
      </c>
      <c r="F1060" s="6" t="s">
        <v>1400</v>
      </c>
      <c r="G1060" s="33" t="s">
        <v>30</v>
      </c>
    </row>
    <row r="1061" spans="1:7" ht="14" x14ac:dyDescent="0.15">
      <c r="A1061" s="6" t="s">
        <v>666</v>
      </c>
      <c r="B1061" s="6" t="s">
        <v>667</v>
      </c>
      <c r="C1061" s="7" t="s">
        <v>668</v>
      </c>
      <c r="D1061" s="6">
        <v>24</v>
      </c>
      <c r="E1061" s="8" t="s">
        <v>1631</v>
      </c>
      <c r="F1061" s="6" t="s">
        <v>1400</v>
      </c>
      <c r="G1061" s="33" t="s">
        <v>88</v>
      </c>
    </row>
    <row r="1062" spans="1:7" ht="14" x14ac:dyDescent="0.15">
      <c r="A1062" s="6" t="s">
        <v>221</v>
      </c>
      <c r="B1062" s="6" t="s">
        <v>222</v>
      </c>
      <c r="C1062" s="7" t="s">
        <v>223</v>
      </c>
      <c r="D1062" s="6">
        <v>47</v>
      </c>
      <c r="E1062" s="8" t="s">
        <v>1632</v>
      </c>
      <c r="F1062" s="6" t="s">
        <v>1400</v>
      </c>
      <c r="G1062" s="33" t="s">
        <v>30</v>
      </c>
    </row>
    <row r="1063" spans="1:7" ht="28" x14ac:dyDescent="0.15">
      <c r="A1063" s="6" t="s">
        <v>47</v>
      </c>
      <c r="B1063" s="6" t="s">
        <v>702</v>
      </c>
      <c r="C1063" s="7" t="s">
        <v>703</v>
      </c>
      <c r="D1063" s="6">
        <v>160</v>
      </c>
      <c r="E1063" s="8" t="s">
        <v>1633</v>
      </c>
      <c r="F1063" s="6" t="s">
        <v>1400</v>
      </c>
      <c r="G1063" s="33" t="s">
        <v>18</v>
      </c>
    </row>
    <row r="1064" spans="1:7" ht="28" x14ac:dyDescent="0.15">
      <c r="A1064" s="6" t="s">
        <v>177</v>
      </c>
      <c r="B1064" s="6" t="s">
        <v>178</v>
      </c>
      <c r="C1064" s="7" t="s">
        <v>179</v>
      </c>
      <c r="D1064" s="6">
        <v>78</v>
      </c>
      <c r="E1064" s="8" t="s">
        <v>1634</v>
      </c>
      <c r="F1064" s="6" t="s">
        <v>1635</v>
      </c>
      <c r="G1064" s="33" t="s">
        <v>30</v>
      </c>
    </row>
    <row r="1065" spans="1:7" ht="28" x14ac:dyDescent="0.15">
      <c r="A1065" s="6" t="s">
        <v>400</v>
      </c>
      <c r="B1065" s="6" t="s">
        <v>400</v>
      </c>
      <c r="C1065" s="7" t="s">
        <v>401</v>
      </c>
      <c r="D1065" s="6">
        <v>135</v>
      </c>
      <c r="E1065" s="8" t="s">
        <v>1636</v>
      </c>
      <c r="F1065" s="6" t="s">
        <v>1400</v>
      </c>
      <c r="G1065" s="33" t="s">
        <v>88</v>
      </c>
    </row>
    <row r="1066" spans="1:7" ht="14" x14ac:dyDescent="0.15">
      <c r="A1066" s="6" t="s">
        <v>400</v>
      </c>
      <c r="B1066" s="6" t="s">
        <v>400</v>
      </c>
      <c r="C1066" s="7" t="s">
        <v>401</v>
      </c>
      <c r="D1066" s="6">
        <v>180</v>
      </c>
      <c r="E1066" s="8" t="s">
        <v>1637</v>
      </c>
      <c r="F1066" s="6" t="s">
        <v>1400</v>
      </c>
      <c r="G1066" s="33" t="s">
        <v>18</v>
      </c>
    </row>
    <row r="1067" spans="1:7" ht="14" x14ac:dyDescent="0.15">
      <c r="A1067" s="6" t="s">
        <v>570</v>
      </c>
      <c r="B1067" s="6" t="s">
        <v>571</v>
      </c>
      <c r="C1067" s="7" t="s">
        <v>572</v>
      </c>
      <c r="D1067" s="6">
        <v>179</v>
      </c>
      <c r="E1067" s="8" t="s">
        <v>1638</v>
      </c>
      <c r="F1067" s="6" t="s">
        <v>1400</v>
      </c>
      <c r="G1067" s="33" t="s">
        <v>30</v>
      </c>
    </row>
    <row r="1068" spans="1:7" ht="14" x14ac:dyDescent="0.15">
      <c r="A1068" s="6" t="s">
        <v>509</v>
      </c>
      <c r="B1068" s="6" t="s">
        <v>510</v>
      </c>
      <c r="C1068" s="7" t="s">
        <v>511</v>
      </c>
      <c r="D1068" s="6">
        <v>176</v>
      </c>
      <c r="E1068" s="8" t="s">
        <v>1639</v>
      </c>
      <c r="F1068" s="6" t="s">
        <v>1400</v>
      </c>
      <c r="G1068" s="33" t="s">
        <v>30</v>
      </c>
    </row>
    <row r="1069" spans="1:7" ht="14" x14ac:dyDescent="0.15">
      <c r="A1069" s="6" t="s">
        <v>153</v>
      </c>
      <c r="B1069" s="6" t="s">
        <v>153</v>
      </c>
      <c r="C1069" s="7" t="s">
        <v>154</v>
      </c>
      <c r="D1069" s="6">
        <v>9</v>
      </c>
      <c r="E1069" s="8" t="s">
        <v>1640</v>
      </c>
      <c r="F1069" s="6" t="s">
        <v>1400</v>
      </c>
      <c r="G1069" s="33" t="s">
        <v>18</v>
      </c>
    </row>
    <row r="1070" spans="1:7" ht="28" x14ac:dyDescent="0.15">
      <c r="A1070" s="6" t="s">
        <v>169</v>
      </c>
      <c r="B1070" s="6" t="s">
        <v>169</v>
      </c>
      <c r="C1070" s="7" t="s">
        <v>170</v>
      </c>
      <c r="D1070" s="6">
        <v>24</v>
      </c>
      <c r="E1070" s="8" t="s">
        <v>1641</v>
      </c>
      <c r="F1070" s="6" t="s">
        <v>1642</v>
      </c>
      <c r="G1070" s="33" t="s">
        <v>136</v>
      </c>
    </row>
    <row r="1071" spans="1:7" ht="14" x14ac:dyDescent="0.15">
      <c r="A1071" s="6" t="s">
        <v>851</v>
      </c>
      <c r="B1071" s="6" t="s">
        <v>852</v>
      </c>
      <c r="C1071" s="7" t="s">
        <v>853</v>
      </c>
      <c r="D1071" s="6">
        <v>13</v>
      </c>
      <c r="E1071" s="8" t="s">
        <v>1643</v>
      </c>
      <c r="F1071" s="6" t="s">
        <v>1642</v>
      </c>
      <c r="G1071" s="33" t="s">
        <v>30</v>
      </c>
    </row>
    <row r="1072" spans="1:7" ht="14" x14ac:dyDescent="0.15">
      <c r="A1072" s="6" t="s">
        <v>575</v>
      </c>
      <c r="B1072" s="6" t="s">
        <v>576</v>
      </c>
      <c r="C1072" s="7" t="s">
        <v>577</v>
      </c>
      <c r="D1072" s="6">
        <v>60</v>
      </c>
      <c r="E1072" s="8" t="s">
        <v>1644</v>
      </c>
      <c r="F1072" s="6" t="s">
        <v>1642</v>
      </c>
      <c r="G1072" s="33" t="s">
        <v>18</v>
      </c>
    </row>
    <row r="1073" spans="1:7" ht="14" x14ac:dyDescent="0.15">
      <c r="A1073" s="6" t="s">
        <v>575</v>
      </c>
      <c r="B1073" s="6" t="s">
        <v>576</v>
      </c>
      <c r="C1073" s="7" t="s">
        <v>577</v>
      </c>
      <c r="D1073" s="6">
        <v>75</v>
      </c>
      <c r="E1073" s="8" t="s">
        <v>1645</v>
      </c>
      <c r="F1073" s="6" t="s">
        <v>1642</v>
      </c>
      <c r="G1073" s="33" t="s">
        <v>18</v>
      </c>
    </row>
    <row r="1074" spans="1:7" ht="14" x14ac:dyDescent="0.15">
      <c r="A1074" s="6" t="s">
        <v>13</v>
      </c>
      <c r="B1074" s="6" t="s">
        <v>14</v>
      </c>
      <c r="C1074" s="7" t="s">
        <v>15</v>
      </c>
      <c r="D1074" s="6">
        <v>110</v>
      </c>
      <c r="E1074" s="8" t="s">
        <v>1646</v>
      </c>
      <c r="F1074" s="6" t="s">
        <v>17</v>
      </c>
      <c r="G1074" s="33" t="s">
        <v>30</v>
      </c>
    </row>
    <row r="1075" spans="1:7" ht="14" x14ac:dyDescent="0.15">
      <c r="A1075" s="6" t="s">
        <v>68</v>
      </c>
      <c r="B1075" s="6" t="s">
        <v>69</v>
      </c>
      <c r="C1075" s="7" t="s">
        <v>70</v>
      </c>
      <c r="D1075" s="6">
        <v>128</v>
      </c>
      <c r="E1075" s="8" t="s">
        <v>1647</v>
      </c>
      <c r="F1075" s="6" t="s">
        <v>34</v>
      </c>
      <c r="G1075" s="33" t="s">
        <v>30</v>
      </c>
    </row>
    <row r="1076" spans="1:7" ht="14" x14ac:dyDescent="0.15">
      <c r="A1076" s="6" t="s">
        <v>68</v>
      </c>
      <c r="B1076" s="6" t="s">
        <v>69</v>
      </c>
      <c r="C1076" s="7" t="s">
        <v>70</v>
      </c>
      <c r="D1076" s="6">
        <v>129</v>
      </c>
      <c r="E1076" s="8" t="s">
        <v>1648</v>
      </c>
      <c r="F1076" s="6" t="s">
        <v>34</v>
      </c>
      <c r="G1076" s="33" t="s">
        <v>30</v>
      </c>
    </row>
    <row r="1077" spans="1:7" ht="14" x14ac:dyDescent="0.15">
      <c r="A1077" s="6" t="s">
        <v>1402</v>
      </c>
      <c r="B1077" s="6" t="s">
        <v>1403</v>
      </c>
      <c r="C1077" s="7" t="s">
        <v>1404</v>
      </c>
      <c r="D1077" s="6">
        <v>30</v>
      </c>
      <c r="E1077" s="8" t="s">
        <v>1649</v>
      </c>
      <c r="F1077" s="6" t="s">
        <v>34</v>
      </c>
      <c r="G1077" s="33" t="s">
        <v>88</v>
      </c>
    </row>
    <row r="1078" spans="1:7" ht="14" x14ac:dyDescent="0.15">
      <c r="A1078" s="6" t="s">
        <v>1402</v>
      </c>
      <c r="B1078" s="6" t="s">
        <v>1403</v>
      </c>
      <c r="C1078" s="7" t="s">
        <v>1404</v>
      </c>
      <c r="D1078" s="6">
        <v>47</v>
      </c>
      <c r="E1078" s="8" t="s">
        <v>1650</v>
      </c>
      <c r="F1078" s="6" t="s">
        <v>34</v>
      </c>
      <c r="G1078" s="33" t="s">
        <v>83</v>
      </c>
    </row>
    <row r="1079" spans="1:7" ht="14" x14ac:dyDescent="0.15">
      <c r="A1079" s="6" t="s">
        <v>724</v>
      </c>
      <c r="B1079" s="6" t="s">
        <v>724</v>
      </c>
      <c r="C1079" s="7" t="s">
        <v>725</v>
      </c>
      <c r="D1079" s="6">
        <v>3</v>
      </c>
      <c r="E1079" s="8" t="s">
        <v>1651</v>
      </c>
      <c r="F1079" s="6" t="s">
        <v>34</v>
      </c>
      <c r="G1079" s="33" t="s">
        <v>136</v>
      </c>
    </row>
    <row r="1080" spans="1:7" ht="14" x14ac:dyDescent="0.15">
      <c r="A1080" s="6" t="s">
        <v>724</v>
      </c>
      <c r="B1080" s="6" t="s">
        <v>724</v>
      </c>
      <c r="C1080" s="7" t="s">
        <v>725</v>
      </c>
      <c r="D1080" s="6">
        <v>70</v>
      </c>
      <c r="E1080" s="8" t="s">
        <v>1652</v>
      </c>
      <c r="F1080" s="6" t="s">
        <v>34</v>
      </c>
      <c r="G1080" s="33" t="s">
        <v>136</v>
      </c>
    </row>
    <row r="1081" spans="1:7" ht="14" x14ac:dyDescent="0.15">
      <c r="A1081" s="6" t="s">
        <v>724</v>
      </c>
      <c r="B1081" s="6" t="s">
        <v>724</v>
      </c>
      <c r="C1081" s="7" t="s">
        <v>725</v>
      </c>
      <c r="D1081" s="6">
        <v>75</v>
      </c>
      <c r="E1081" s="8" t="s">
        <v>1653</v>
      </c>
      <c r="F1081" s="6" t="s">
        <v>34</v>
      </c>
      <c r="G1081" s="33" t="s">
        <v>18</v>
      </c>
    </row>
    <row r="1082" spans="1:7" ht="14" x14ac:dyDescent="0.15">
      <c r="A1082" s="6" t="s">
        <v>619</v>
      </c>
      <c r="B1082" s="6" t="s">
        <v>620</v>
      </c>
      <c r="C1082" s="7" t="s">
        <v>621</v>
      </c>
      <c r="D1082" s="6">
        <v>113</v>
      </c>
      <c r="E1082" s="8" t="s">
        <v>1654</v>
      </c>
      <c r="F1082" s="6" t="s">
        <v>34</v>
      </c>
      <c r="G1082" s="33" t="s">
        <v>30</v>
      </c>
    </row>
    <row r="1083" spans="1:7" ht="28" x14ac:dyDescent="0.15">
      <c r="A1083" s="6" t="s">
        <v>619</v>
      </c>
      <c r="B1083" s="6" t="s">
        <v>620</v>
      </c>
      <c r="C1083" s="7" t="s">
        <v>621</v>
      </c>
      <c r="D1083" s="6">
        <v>129</v>
      </c>
      <c r="E1083" s="8" t="s">
        <v>1655</v>
      </c>
      <c r="F1083" s="6" t="s">
        <v>34</v>
      </c>
      <c r="G1083" s="33" t="s">
        <v>30</v>
      </c>
    </row>
    <row r="1084" spans="1:7" ht="14" x14ac:dyDescent="0.15">
      <c r="A1084" s="6" t="s">
        <v>47</v>
      </c>
      <c r="B1084" s="6" t="s">
        <v>635</v>
      </c>
      <c r="C1084" s="7" t="s">
        <v>636</v>
      </c>
      <c r="D1084" s="6">
        <v>96</v>
      </c>
      <c r="E1084" s="8" t="s">
        <v>1656</v>
      </c>
      <c r="F1084" s="6" t="s">
        <v>34</v>
      </c>
      <c r="G1084" s="33" t="s">
        <v>30</v>
      </c>
    </row>
    <row r="1085" spans="1:7" ht="28" x14ac:dyDescent="0.15">
      <c r="A1085" s="6" t="s">
        <v>1657</v>
      </c>
      <c r="B1085" s="6" t="s">
        <v>1658</v>
      </c>
      <c r="C1085" s="7" t="s">
        <v>1659</v>
      </c>
      <c r="D1085" s="6">
        <v>2</v>
      </c>
      <c r="E1085" s="8" t="s">
        <v>1660</v>
      </c>
      <c r="F1085" s="6" t="s">
        <v>34</v>
      </c>
      <c r="G1085" s="33" t="s">
        <v>18</v>
      </c>
    </row>
    <row r="1086" spans="1:7" ht="14" x14ac:dyDescent="0.15">
      <c r="A1086" s="6" t="s">
        <v>127</v>
      </c>
      <c r="B1086" s="6" t="s">
        <v>128</v>
      </c>
      <c r="C1086" s="7" t="s">
        <v>129</v>
      </c>
      <c r="D1086" s="6">
        <v>108</v>
      </c>
      <c r="E1086" s="8" t="s">
        <v>1661</v>
      </c>
      <c r="F1086" s="6" t="s">
        <v>34</v>
      </c>
      <c r="G1086" s="33" t="s">
        <v>30</v>
      </c>
    </row>
    <row r="1087" spans="1:7" ht="28" x14ac:dyDescent="0.15">
      <c r="A1087" s="6" t="s">
        <v>1409</v>
      </c>
      <c r="B1087" s="6" t="s">
        <v>1409</v>
      </c>
      <c r="C1087" s="7" t="s">
        <v>1410</v>
      </c>
      <c r="D1087" s="6">
        <v>33</v>
      </c>
      <c r="E1087" s="8" t="s">
        <v>1662</v>
      </c>
      <c r="F1087" s="6" t="s">
        <v>34</v>
      </c>
      <c r="G1087" s="33" t="s">
        <v>83</v>
      </c>
    </row>
    <row r="1088" spans="1:7" ht="28" x14ac:dyDescent="0.15">
      <c r="A1088" s="6" t="s">
        <v>1409</v>
      </c>
      <c r="B1088" s="6" t="s">
        <v>1409</v>
      </c>
      <c r="C1088" s="7" t="s">
        <v>1410</v>
      </c>
      <c r="D1088" s="6">
        <v>39</v>
      </c>
      <c r="E1088" s="8" t="s">
        <v>1663</v>
      </c>
      <c r="F1088" s="6" t="s">
        <v>34</v>
      </c>
      <c r="G1088" s="33" t="s">
        <v>30</v>
      </c>
    </row>
    <row r="1089" spans="1:7" ht="28" x14ac:dyDescent="0.15">
      <c r="A1089" s="6" t="s">
        <v>1409</v>
      </c>
      <c r="B1089" s="6" t="s">
        <v>1409</v>
      </c>
      <c r="C1089" s="7" t="s">
        <v>1410</v>
      </c>
      <c r="D1089" s="6">
        <v>61</v>
      </c>
      <c r="E1089" s="8" t="s">
        <v>1664</v>
      </c>
      <c r="F1089" s="6" t="s">
        <v>34</v>
      </c>
      <c r="G1089" s="33" t="s">
        <v>88</v>
      </c>
    </row>
    <row r="1090" spans="1:7" ht="14" x14ac:dyDescent="0.15">
      <c r="A1090" s="6" t="s">
        <v>1409</v>
      </c>
      <c r="B1090" s="6" t="s">
        <v>1409</v>
      </c>
      <c r="C1090" s="7" t="s">
        <v>1410</v>
      </c>
      <c r="D1090" s="6">
        <v>103</v>
      </c>
      <c r="E1090" s="8" t="s">
        <v>1665</v>
      </c>
      <c r="F1090" s="6" t="s">
        <v>34</v>
      </c>
      <c r="G1090" s="33" t="s">
        <v>136</v>
      </c>
    </row>
    <row r="1091" spans="1:7" ht="14" x14ac:dyDescent="0.15">
      <c r="A1091" s="6" t="s">
        <v>131</v>
      </c>
      <c r="B1091" s="6" t="s">
        <v>132</v>
      </c>
      <c r="C1091" s="7" t="s">
        <v>133</v>
      </c>
      <c r="D1091" s="6">
        <v>92</v>
      </c>
      <c r="E1091" s="8" t="s">
        <v>1666</v>
      </c>
      <c r="F1091" s="6" t="s">
        <v>34</v>
      </c>
      <c r="G1091" s="33" t="s">
        <v>30</v>
      </c>
    </row>
    <row r="1092" spans="1:7" ht="42" x14ac:dyDescent="0.15">
      <c r="A1092" s="6" t="s">
        <v>131</v>
      </c>
      <c r="B1092" s="6" t="s">
        <v>132</v>
      </c>
      <c r="C1092" s="7" t="s">
        <v>133</v>
      </c>
      <c r="D1092" s="6">
        <v>192</v>
      </c>
      <c r="E1092" s="8" t="s">
        <v>1667</v>
      </c>
      <c r="F1092" s="6" t="s">
        <v>34</v>
      </c>
      <c r="G1092" s="33" t="s">
        <v>30</v>
      </c>
    </row>
    <row r="1093" spans="1:7" ht="28" x14ac:dyDescent="0.15">
      <c r="A1093" s="6" t="s">
        <v>140</v>
      </c>
      <c r="B1093" s="6" t="s">
        <v>141</v>
      </c>
      <c r="C1093" s="7" t="s">
        <v>142</v>
      </c>
      <c r="D1093" s="6">
        <v>9</v>
      </c>
      <c r="E1093" s="8" t="s">
        <v>1668</v>
      </c>
      <c r="F1093" s="6" t="s">
        <v>34</v>
      </c>
      <c r="G1093" s="33" t="s">
        <v>18</v>
      </c>
    </row>
    <row r="1094" spans="1:7" ht="14" x14ac:dyDescent="0.15">
      <c r="A1094" s="6" t="s">
        <v>140</v>
      </c>
      <c r="B1094" s="6" t="s">
        <v>141</v>
      </c>
      <c r="C1094" s="7" t="s">
        <v>142</v>
      </c>
      <c r="D1094" s="6">
        <v>28</v>
      </c>
      <c r="E1094" s="8" t="s">
        <v>1669</v>
      </c>
      <c r="F1094" s="6" t="s">
        <v>34</v>
      </c>
      <c r="G1094" s="33" t="s">
        <v>18</v>
      </c>
    </row>
    <row r="1095" spans="1:7" ht="14" x14ac:dyDescent="0.15">
      <c r="A1095" s="6" t="s">
        <v>140</v>
      </c>
      <c r="B1095" s="6" t="s">
        <v>141</v>
      </c>
      <c r="C1095" s="7" t="s">
        <v>142</v>
      </c>
      <c r="D1095" s="6">
        <v>53</v>
      </c>
      <c r="E1095" s="8" t="s">
        <v>1670</v>
      </c>
      <c r="F1095" s="6" t="s">
        <v>34</v>
      </c>
      <c r="G1095" s="33" t="s">
        <v>30</v>
      </c>
    </row>
    <row r="1096" spans="1:7" ht="14" x14ac:dyDescent="0.15">
      <c r="A1096" s="6" t="s">
        <v>140</v>
      </c>
      <c r="B1096" s="6" t="s">
        <v>141</v>
      </c>
      <c r="C1096" s="7" t="s">
        <v>142</v>
      </c>
      <c r="D1096" s="6">
        <v>211</v>
      </c>
      <c r="E1096" s="8" t="s">
        <v>1671</v>
      </c>
      <c r="F1096" s="6" t="s">
        <v>34</v>
      </c>
      <c r="G1096" s="33" t="s">
        <v>23</v>
      </c>
    </row>
    <row r="1097" spans="1:7" ht="14" x14ac:dyDescent="0.15">
      <c r="A1097" s="6" t="s">
        <v>140</v>
      </c>
      <c r="B1097" s="6" t="s">
        <v>141</v>
      </c>
      <c r="C1097" s="7" t="s">
        <v>142</v>
      </c>
      <c r="D1097" s="6">
        <v>253</v>
      </c>
      <c r="E1097" s="8" t="s">
        <v>1672</v>
      </c>
      <c r="F1097" s="6" t="s">
        <v>34</v>
      </c>
      <c r="G1097" s="33" t="s">
        <v>30</v>
      </c>
    </row>
    <row r="1098" spans="1:7" ht="14" x14ac:dyDescent="0.15">
      <c r="A1098" s="6" t="s">
        <v>153</v>
      </c>
      <c r="B1098" s="6" t="s">
        <v>153</v>
      </c>
      <c r="C1098" s="7" t="s">
        <v>154</v>
      </c>
      <c r="D1098" s="6">
        <v>79</v>
      </c>
      <c r="E1098" s="8" t="s">
        <v>1673</v>
      </c>
      <c r="F1098" s="6" t="s">
        <v>34</v>
      </c>
      <c r="G1098" s="33" t="s">
        <v>30</v>
      </c>
    </row>
    <row r="1099" spans="1:7" ht="28" x14ac:dyDescent="0.15">
      <c r="A1099" s="6" t="s">
        <v>666</v>
      </c>
      <c r="B1099" s="6" t="s">
        <v>667</v>
      </c>
      <c r="C1099" s="7" t="s">
        <v>668</v>
      </c>
      <c r="D1099" s="6">
        <v>31</v>
      </c>
      <c r="E1099" s="8" t="s">
        <v>1674</v>
      </c>
      <c r="F1099" s="6" t="s">
        <v>34</v>
      </c>
      <c r="G1099" s="33" t="s">
        <v>18</v>
      </c>
    </row>
    <row r="1100" spans="1:7" ht="28" x14ac:dyDescent="0.15">
      <c r="A1100" s="6" t="s">
        <v>156</v>
      </c>
      <c r="B1100" s="6" t="s">
        <v>159</v>
      </c>
      <c r="C1100" s="7" t="s">
        <v>160</v>
      </c>
      <c r="D1100" s="6">
        <v>44</v>
      </c>
      <c r="E1100" s="8" t="s">
        <v>1675</v>
      </c>
      <c r="F1100" s="6" t="s">
        <v>34</v>
      </c>
      <c r="G1100" s="33" t="s">
        <v>83</v>
      </c>
    </row>
    <row r="1101" spans="1:7" ht="14" x14ac:dyDescent="0.15">
      <c r="A1101" s="6" t="s">
        <v>156</v>
      </c>
      <c r="B1101" s="6" t="s">
        <v>159</v>
      </c>
      <c r="C1101" s="7" t="s">
        <v>160</v>
      </c>
      <c r="D1101" s="6">
        <v>46</v>
      </c>
      <c r="E1101" s="8" t="s">
        <v>1676</v>
      </c>
      <c r="F1101" s="6" t="s">
        <v>34</v>
      </c>
      <c r="G1101" s="33" t="s">
        <v>83</v>
      </c>
    </row>
    <row r="1102" spans="1:7" ht="14" x14ac:dyDescent="0.15">
      <c r="A1102" s="6" t="s">
        <v>164</v>
      </c>
      <c r="B1102" s="6" t="s">
        <v>165</v>
      </c>
      <c r="C1102" s="7" t="s">
        <v>166</v>
      </c>
      <c r="D1102" s="6">
        <v>10</v>
      </c>
      <c r="E1102" s="8" t="s">
        <v>1677</v>
      </c>
      <c r="F1102" s="6" t="s">
        <v>34</v>
      </c>
      <c r="G1102" s="33" t="s">
        <v>83</v>
      </c>
    </row>
    <row r="1103" spans="1:7" ht="42" x14ac:dyDescent="0.15">
      <c r="A1103" s="6" t="s">
        <v>164</v>
      </c>
      <c r="B1103" s="6" t="s">
        <v>165</v>
      </c>
      <c r="C1103" s="7" t="s">
        <v>166</v>
      </c>
      <c r="D1103" s="6">
        <v>51</v>
      </c>
      <c r="E1103" s="8" t="s">
        <v>1678</v>
      </c>
      <c r="F1103" s="6" t="s">
        <v>34</v>
      </c>
      <c r="G1103" s="33" t="s">
        <v>30</v>
      </c>
    </row>
    <row r="1104" spans="1:7" ht="28" x14ac:dyDescent="0.15">
      <c r="A1104" s="6" t="s">
        <v>164</v>
      </c>
      <c r="B1104" s="6" t="s">
        <v>165</v>
      </c>
      <c r="C1104" s="7" t="s">
        <v>166</v>
      </c>
      <c r="D1104" s="6">
        <v>92</v>
      </c>
      <c r="E1104" s="8" t="s">
        <v>1679</v>
      </c>
      <c r="F1104" s="6" t="s">
        <v>34</v>
      </c>
      <c r="G1104" s="33" t="s">
        <v>30</v>
      </c>
    </row>
    <row r="1105" spans="1:7" ht="28" x14ac:dyDescent="0.15">
      <c r="A1105" s="6" t="s">
        <v>372</v>
      </c>
      <c r="B1105" s="6" t="s">
        <v>373</v>
      </c>
      <c r="C1105" s="7" t="s">
        <v>1680</v>
      </c>
      <c r="D1105" s="6">
        <v>26</v>
      </c>
      <c r="E1105" s="8" t="s">
        <v>1681</v>
      </c>
      <c r="F1105" s="6" t="s">
        <v>34</v>
      </c>
      <c r="G1105" s="33" t="s">
        <v>30</v>
      </c>
    </row>
    <row r="1106" spans="1:7" ht="28" x14ac:dyDescent="0.15">
      <c r="A1106" s="6" t="s">
        <v>681</v>
      </c>
      <c r="B1106" s="6" t="s">
        <v>682</v>
      </c>
      <c r="C1106" s="7" t="s">
        <v>683</v>
      </c>
      <c r="D1106" s="6">
        <v>70</v>
      </c>
      <c r="E1106" s="8" t="s">
        <v>1682</v>
      </c>
      <c r="F1106" s="6" t="s">
        <v>34</v>
      </c>
      <c r="G1106" s="33" t="s">
        <v>83</v>
      </c>
    </row>
    <row r="1107" spans="1:7" ht="14" x14ac:dyDescent="0.15">
      <c r="A1107" s="6" t="s">
        <v>681</v>
      </c>
      <c r="B1107" s="6" t="s">
        <v>682</v>
      </c>
      <c r="C1107" s="7" t="s">
        <v>683</v>
      </c>
      <c r="D1107" s="6">
        <v>136</v>
      </c>
      <c r="E1107" s="8" t="s">
        <v>1683</v>
      </c>
      <c r="F1107" s="6" t="s">
        <v>34</v>
      </c>
      <c r="G1107" s="33" t="s">
        <v>88</v>
      </c>
    </row>
    <row r="1108" spans="1:7" ht="14" x14ac:dyDescent="0.15">
      <c r="A1108" s="6" t="s">
        <v>681</v>
      </c>
      <c r="B1108" s="6" t="s">
        <v>682</v>
      </c>
      <c r="C1108" s="7" t="s">
        <v>683</v>
      </c>
      <c r="D1108" s="6">
        <v>263</v>
      </c>
      <c r="E1108" s="8" t="s">
        <v>1684</v>
      </c>
      <c r="F1108" s="6" t="s">
        <v>34</v>
      </c>
      <c r="G1108" s="33" t="s">
        <v>18</v>
      </c>
    </row>
    <row r="1109" spans="1:7" ht="14" x14ac:dyDescent="0.15">
      <c r="A1109" s="6" t="s">
        <v>1685</v>
      </c>
      <c r="B1109" s="6" t="s">
        <v>1686</v>
      </c>
      <c r="C1109" s="7" t="s">
        <v>1687</v>
      </c>
      <c r="D1109" s="6">
        <v>31</v>
      </c>
      <c r="E1109" s="8" t="s">
        <v>1688</v>
      </c>
      <c r="F1109" s="6" t="s">
        <v>34</v>
      </c>
      <c r="G1109" s="33" t="s">
        <v>219</v>
      </c>
    </row>
    <row r="1110" spans="1:7" ht="28" x14ac:dyDescent="0.15">
      <c r="A1110" s="6" t="s">
        <v>173</v>
      </c>
      <c r="B1110" s="6" t="s">
        <v>174</v>
      </c>
      <c r="C1110" s="7" t="s">
        <v>175</v>
      </c>
      <c r="D1110" s="6">
        <v>163</v>
      </c>
      <c r="E1110" s="8" t="s">
        <v>1689</v>
      </c>
      <c r="F1110" s="6" t="s">
        <v>34</v>
      </c>
      <c r="G1110" s="33" t="s">
        <v>30</v>
      </c>
    </row>
    <row r="1111" spans="1:7" ht="14" x14ac:dyDescent="0.15">
      <c r="A1111" s="6" t="s">
        <v>173</v>
      </c>
      <c r="B1111" s="6" t="s">
        <v>174</v>
      </c>
      <c r="C1111" s="7" t="s">
        <v>175</v>
      </c>
      <c r="D1111" s="6">
        <v>266</v>
      </c>
      <c r="E1111" s="8" t="s">
        <v>1690</v>
      </c>
      <c r="F1111" s="6" t="s">
        <v>34</v>
      </c>
      <c r="G1111" s="33" t="s">
        <v>30</v>
      </c>
    </row>
    <row r="1112" spans="1:7" ht="14" x14ac:dyDescent="0.15">
      <c r="A1112" s="6" t="s">
        <v>1691</v>
      </c>
      <c r="B1112" s="6" t="s">
        <v>1692</v>
      </c>
      <c r="C1112" s="7" t="s">
        <v>1693</v>
      </c>
      <c r="D1112" s="6">
        <v>99</v>
      </c>
      <c r="E1112" s="8" t="s">
        <v>1694</v>
      </c>
      <c r="F1112" s="6" t="s">
        <v>34</v>
      </c>
      <c r="G1112" s="33" t="s">
        <v>77</v>
      </c>
    </row>
    <row r="1113" spans="1:7" ht="14" x14ac:dyDescent="0.15">
      <c r="A1113" s="6" t="s">
        <v>1695</v>
      </c>
      <c r="B1113" s="6" t="s">
        <v>1696</v>
      </c>
      <c r="C1113" s="7" t="s">
        <v>1697</v>
      </c>
      <c r="D1113" s="6">
        <v>26</v>
      </c>
      <c r="E1113" s="8" t="s">
        <v>1698</v>
      </c>
      <c r="F1113" s="6" t="s">
        <v>34</v>
      </c>
      <c r="G1113" s="33" t="s">
        <v>219</v>
      </c>
    </row>
    <row r="1114" spans="1:7" ht="14" x14ac:dyDescent="0.15">
      <c r="A1114" s="6" t="s">
        <v>192</v>
      </c>
      <c r="B1114" s="6" t="s">
        <v>192</v>
      </c>
      <c r="C1114" s="7" t="s">
        <v>193</v>
      </c>
      <c r="D1114" s="6">
        <v>23</v>
      </c>
      <c r="E1114" s="8" t="s">
        <v>1699</v>
      </c>
      <c r="F1114" s="6" t="s">
        <v>34</v>
      </c>
      <c r="G1114" s="33" t="s">
        <v>136</v>
      </c>
    </row>
    <row r="1115" spans="1:7" ht="14" x14ac:dyDescent="0.15">
      <c r="A1115" s="6" t="s">
        <v>73</v>
      </c>
      <c r="B1115" s="6" t="s">
        <v>74</v>
      </c>
      <c r="C1115" s="7" t="s">
        <v>75</v>
      </c>
      <c r="D1115" s="6">
        <v>229</v>
      </c>
      <c r="E1115" s="8" t="s">
        <v>1700</v>
      </c>
      <c r="F1115" s="6" t="s">
        <v>34</v>
      </c>
      <c r="G1115" s="33" t="s">
        <v>77</v>
      </c>
    </row>
    <row r="1116" spans="1:7" ht="14" x14ac:dyDescent="0.15">
      <c r="A1116" s="6" t="s">
        <v>73</v>
      </c>
      <c r="B1116" s="6" t="s">
        <v>74</v>
      </c>
      <c r="C1116" s="7" t="s">
        <v>75</v>
      </c>
      <c r="D1116" s="6">
        <v>249</v>
      </c>
      <c r="E1116" s="8" t="s">
        <v>1701</v>
      </c>
      <c r="F1116" s="6" t="s">
        <v>34</v>
      </c>
      <c r="G1116" s="33" t="s">
        <v>77</v>
      </c>
    </row>
    <row r="1117" spans="1:7" ht="14" x14ac:dyDescent="0.15">
      <c r="A1117" s="6" t="s">
        <v>1454</v>
      </c>
      <c r="B1117" s="6" t="s">
        <v>1455</v>
      </c>
      <c r="C1117" s="7" t="s">
        <v>1456</v>
      </c>
      <c r="D1117" s="6">
        <v>46</v>
      </c>
      <c r="E1117" s="8" t="s">
        <v>1702</v>
      </c>
      <c r="F1117" s="6" t="s">
        <v>34</v>
      </c>
      <c r="G1117" s="33" t="s">
        <v>30</v>
      </c>
    </row>
    <row r="1118" spans="1:7" ht="14" x14ac:dyDescent="0.15">
      <c r="A1118" s="6" t="s">
        <v>1454</v>
      </c>
      <c r="B1118" s="6" t="s">
        <v>1455</v>
      </c>
      <c r="C1118" s="7" t="s">
        <v>1456</v>
      </c>
      <c r="D1118" s="6">
        <v>112</v>
      </c>
      <c r="E1118" s="8" t="s">
        <v>1703</v>
      </c>
      <c r="F1118" s="6" t="s">
        <v>34</v>
      </c>
      <c r="G1118" s="33" t="s">
        <v>88</v>
      </c>
    </row>
    <row r="1119" spans="1:7" ht="14" x14ac:dyDescent="0.15">
      <c r="A1119" s="6" t="s">
        <v>201</v>
      </c>
      <c r="B1119" s="6" t="s">
        <v>202</v>
      </c>
      <c r="C1119" s="7" t="s">
        <v>203</v>
      </c>
      <c r="D1119" s="6">
        <v>30</v>
      </c>
      <c r="E1119" s="8" t="s">
        <v>1704</v>
      </c>
      <c r="F1119" s="6" t="s">
        <v>34</v>
      </c>
      <c r="G1119" s="33" t="s">
        <v>18</v>
      </c>
    </row>
    <row r="1120" spans="1:7" ht="42" x14ac:dyDescent="0.15">
      <c r="A1120" s="6" t="s">
        <v>210</v>
      </c>
      <c r="B1120" s="6" t="s">
        <v>211</v>
      </c>
      <c r="C1120" s="7" t="s">
        <v>212</v>
      </c>
      <c r="D1120" s="6">
        <v>26</v>
      </c>
      <c r="E1120" s="8" t="s">
        <v>1705</v>
      </c>
      <c r="F1120" s="6" t="s">
        <v>34</v>
      </c>
      <c r="G1120" s="33" t="s">
        <v>77</v>
      </c>
    </row>
    <row r="1121" spans="1:7" ht="14" x14ac:dyDescent="0.15">
      <c r="A1121" s="6" t="s">
        <v>1706</v>
      </c>
      <c r="B1121" s="6" t="s">
        <v>1707</v>
      </c>
      <c r="C1121" s="7" t="s">
        <v>1708</v>
      </c>
      <c r="D1121" s="6">
        <v>32</v>
      </c>
      <c r="E1121" s="8" t="s">
        <v>1709</v>
      </c>
      <c r="F1121" s="6" t="s">
        <v>34</v>
      </c>
      <c r="G1121" s="33" t="s">
        <v>136</v>
      </c>
    </row>
    <row r="1122" spans="1:7" ht="14" x14ac:dyDescent="0.15">
      <c r="A1122" s="6" t="s">
        <v>808</v>
      </c>
      <c r="B1122" s="6" t="s">
        <v>809</v>
      </c>
      <c r="C1122" s="7" t="s">
        <v>810</v>
      </c>
      <c r="D1122" s="6">
        <v>23</v>
      </c>
      <c r="E1122" s="8" t="s">
        <v>1710</v>
      </c>
      <c r="F1122" s="6" t="s">
        <v>34</v>
      </c>
      <c r="G1122" s="33" t="s">
        <v>88</v>
      </c>
    </row>
    <row r="1123" spans="1:7" ht="28" x14ac:dyDescent="0.15">
      <c r="A1123" s="6" t="s">
        <v>808</v>
      </c>
      <c r="B1123" s="6" t="s">
        <v>812</v>
      </c>
      <c r="C1123" s="7" t="s">
        <v>813</v>
      </c>
      <c r="D1123" s="6">
        <v>20</v>
      </c>
      <c r="E1123" s="8" t="s">
        <v>1711</v>
      </c>
      <c r="F1123" s="6" t="s">
        <v>34</v>
      </c>
      <c r="G1123" s="33" t="s">
        <v>88</v>
      </c>
    </row>
    <row r="1124" spans="1:7" ht="14" x14ac:dyDescent="0.15">
      <c r="A1124" s="6" t="s">
        <v>1461</v>
      </c>
      <c r="B1124" s="6" t="s">
        <v>1462</v>
      </c>
      <c r="C1124" s="7" t="s">
        <v>1463</v>
      </c>
      <c r="D1124" s="6">
        <v>35</v>
      </c>
      <c r="E1124" s="8" t="s">
        <v>1712</v>
      </c>
      <c r="F1124" s="6" t="s">
        <v>34</v>
      </c>
      <c r="G1124" s="33" t="s">
        <v>83</v>
      </c>
    </row>
    <row r="1125" spans="1:7" ht="28" x14ac:dyDescent="0.15">
      <c r="A1125" s="6" t="s">
        <v>831</v>
      </c>
      <c r="B1125" s="6" t="s">
        <v>831</v>
      </c>
      <c r="C1125" s="7" t="s">
        <v>832</v>
      </c>
      <c r="D1125" s="6">
        <v>35</v>
      </c>
      <c r="E1125" s="8" t="s">
        <v>1713</v>
      </c>
      <c r="F1125" s="6" t="s">
        <v>34</v>
      </c>
      <c r="G1125" s="33" t="s">
        <v>342</v>
      </c>
    </row>
    <row r="1126" spans="1:7" ht="42" x14ac:dyDescent="0.15">
      <c r="A1126" s="6" t="s">
        <v>831</v>
      </c>
      <c r="B1126" s="6" t="s">
        <v>831</v>
      </c>
      <c r="C1126" s="7" t="s">
        <v>832</v>
      </c>
      <c r="D1126" s="6">
        <v>40</v>
      </c>
      <c r="E1126" s="8" t="s">
        <v>1714</v>
      </c>
      <c r="F1126" s="6" t="s">
        <v>34</v>
      </c>
      <c r="G1126" s="33" t="s">
        <v>18</v>
      </c>
    </row>
    <row r="1127" spans="1:7" ht="28" x14ac:dyDescent="0.15">
      <c r="A1127" s="6" t="s">
        <v>228</v>
      </c>
      <c r="B1127" s="6" t="s">
        <v>229</v>
      </c>
      <c r="C1127" s="7" t="s">
        <v>230</v>
      </c>
      <c r="D1127" s="6">
        <v>58</v>
      </c>
      <c r="E1127" s="8" t="s">
        <v>1715</v>
      </c>
      <c r="F1127" s="6" t="s">
        <v>34</v>
      </c>
      <c r="G1127" s="33" t="s">
        <v>18</v>
      </c>
    </row>
    <row r="1128" spans="1:7" ht="14" x14ac:dyDescent="0.15">
      <c r="A1128" s="6" t="s">
        <v>228</v>
      </c>
      <c r="B1128" s="6" t="s">
        <v>229</v>
      </c>
      <c r="C1128" s="7" t="s">
        <v>230</v>
      </c>
      <c r="D1128" s="6">
        <v>98</v>
      </c>
      <c r="E1128" s="8" t="s">
        <v>1652</v>
      </c>
      <c r="F1128" s="6" t="s">
        <v>34</v>
      </c>
      <c r="G1128" s="33" t="s">
        <v>136</v>
      </c>
    </row>
    <row r="1129" spans="1:7" ht="14" x14ac:dyDescent="0.15">
      <c r="A1129" s="6" t="s">
        <v>1716</v>
      </c>
      <c r="B1129" s="6" t="s">
        <v>1716</v>
      </c>
      <c r="C1129" s="7" t="s">
        <v>1717</v>
      </c>
      <c r="D1129" s="6">
        <v>9</v>
      </c>
      <c r="E1129" s="8" t="s">
        <v>1718</v>
      </c>
      <c r="F1129" s="6" t="s">
        <v>34</v>
      </c>
      <c r="G1129" s="33" t="s">
        <v>88</v>
      </c>
    </row>
    <row r="1130" spans="1:7" ht="14" x14ac:dyDescent="0.15">
      <c r="A1130" s="6" t="s">
        <v>1716</v>
      </c>
      <c r="B1130" s="6" t="s">
        <v>1716</v>
      </c>
      <c r="C1130" s="7" t="s">
        <v>1717</v>
      </c>
      <c r="D1130" s="6">
        <v>10</v>
      </c>
      <c r="E1130" s="8" t="s">
        <v>1719</v>
      </c>
      <c r="F1130" s="6" t="s">
        <v>34</v>
      </c>
      <c r="G1130" s="33" t="s">
        <v>136</v>
      </c>
    </row>
    <row r="1131" spans="1:7" ht="14" x14ac:dyDescent="0.15">
      <c r="A1131" s="6" t="s">
        <v>1716</v>
      </c>
      <c r="B1131" s="6" t="s">
        <v>1716</v>
      </c>
      <c r="C1131" s="7" t="s">
        <v>1717</v>
      </c>
      <c r="D1131" s="6">
        <v>11</v>
      </c>
      <c r="E1131" s="8" t="s">
        <v>1720</v>
      </c>
      <c r="F1131" s="6" t="s">
        <v>34</v>
      </c>
      <c r="G1131" s="33" t="s">
        <v>136</v>
      </c>
    </row>
    <row r="1132" spans="1:7" ht="14" x14ac:dyDescent="0.15">
      <c r="A1132" s="6" t="s">
        <v>232</v>
      </c>
      <c r="B1132" s="6" t="s">
        <v>233</v>
      </c>
      <c r="C1132" s="7" t="s">
        <v>234</v>
      </c>
      <c r="D1132" s="6">
        <v>158</v>
      </c>
      <c r="E1132" s="8" t="s">
        <v>1721</v>
      </c>
      <c r="F1132" s="6" t="s">
        <v>34</v>
      </c>
      <c r="G1132" s="33" t="s">
        <v>30</v>
      </c>
    </row>
    <row r="1133" spans="1:7" ht="14" x14ac:dyDescent="0.15">
      <c r="A1133" s="6" t="s">
        <v>232</v>
      </c>
      <c r="B1133" s="6" t="s">
        <v>233</v>
      </c>
      <c r="C1133" s="7" t="s">
        <v>234</v>
      </c>
      <c r="D1133" s="6">
        <v>159</v>
      </c>
      <c r="E1133" s="8" t="s">
        <v>1722</v>
      </c>
      <c r="F1133" s="6" t="s">
        <v>34</v>
      </c>
      <c r="G1133" s="33" t="s">
        <v>30</v>
      </c>
    </row>
    <row r="1134" spans="1:7" ht="14" x14ac:dyDescent="0.15">
      <c r="A1134" s="6" t="s">
        <v>232</v>
      </c>
      <c r="B1134" s="6" t="s">
        <v>233</v>
      </c>
      <c r="C1134" s="7" t="s">
        <v>234</v>
      </c>
      <c r="D1134" s="6">
        <v>215</v>
      </c>
      <c r="E1134" s="8" t="s">
        <v>1723</v>
      </c>
      <c r="F1134" s="6" t="s">
        <v>34</v>
      </c>
      <c r="G1134" s="33" t="s">
        <v>88</v>
      </c>
    </row>
    <row r="1135" spans="1:7" ht="14" x14ac:dyDescent="0.15">
      <c r="A1135" s="6" t="s">
        <v>232</v>
      </c>
      <c r="B1135" s="6" t="s">
        <v>233</v>
      </c>
      <c r="C1135" s="7" t="s">
        <v>234</v>
      </c>
      <c r="D1135" s="6">
        <v>218</v>
      </c>
      <c r="E1135" s="8" t="s">
        <v>1724</v>
      </c>
      <c r="F1135" s="6" t="s">
        <v>34</v>
      </c>
      <c r="G1135" s="33" t="s">
        <v>88</v>
      </c>
    </row>
    <row r="1136" spans="1:7" ht="14" x14ac:dyDescent="0.15">
      <c r="A1136" s="6" t="s">
        <v>232</v>
      </c>
      <c r="B1136" s="6" t="s">
        <v>233</v>
      </c>
      <c r="C1136" s="7" t="s">
        <v>234</v>
      </c>
      <c r="D1136" s="6">
        <v>219</v>
      </c>
      <c r="E1136" s="8" t="s">
        <v>1725</v>
      </c>
      <c r="F1136" s="6" t="s">
        <v>34</v>
      </c>
      <c r="G1136" s="33" t="s">
        <v>88</v>
      </c>
    </row>
    <row r="1137" spans="1:7" ht="14" x14ac:dyDescent="0.15">
      <c r="A1137" s="6" t="s">
        <v>232</v>
      </c>
      <c r="B1137" s="6" t="s">
        <v>233</v>
      </c>
      <c r="C1137" s="7" t="s">
        <v>234</v>
      </c>
      <c r="D1137" s="6">
        <v>220</v>
      </c>
      <c r="E1137" s="8" t="s">
        <v>1726</v>
      </c>
      <c r="F1137" s="6" t="s">
        <v>34</v>
      </c>
      <c r="G1137" s="33" t="s">
        <v>88</v>
      </c>
    </row>
    <row r="1138" spans="1:7" ht="42" x14ac:dyDescent="0.15">
      <c r="A1138" s="6" t="s">
        <v>232</v>
      </c>
      <c r="B1138" s="6" t="s">
        <v>233</v>
      </c>
      <c r="C1138" s="7" t="s">
        <v>234</v>
      </c>
      <c r="D1138" s="6">
        <v>224</v>
      </c>
      <c r="E1138" s="8" t="s">
        <v>1727</v>
      </c>
      <c r="F1138" s="6" t="s">
        <v>34</v>
      </c>
      <c r="G1138" s="33" t="s">
        <v>30</v>
      </c>
    </row>
    <row r="1139" spans="1:7" ht="28" x14ac:dyDescent="0.15">
      <c r="A1139" s="6" t="s">
        <v>232</v>
      </c>
      <c r="B1139" s="6" t="s">
        <v>233</v>
      </c>
      <c r="C1139" s="7" t="s">
        <v>234</v>
      </c>
      <c r="D1139" s="6">
        <v>225</v>
      </c>
      <c r="E1139" s="8" t="s">
        <v>1728</v>
      </c>
      <c r="F1139" s="6" t="s">
        <v>34</v>
      </c>
      <c r="G1139" s="33" t="s">
        <v>30</v>
      </c>
    </row>
    <row r="1140" spans="1:7" ht="14" x14ac:dyDescent="0.15">
      <c r="A1140" s="6" t="s">
        <v>25</v>
      </c>
      <c r="B1140" s="6" t="s">
        <v>238</v>
      </c>
      <c r="C1140" s="7" t="s">
        <v>239</v>
      </c>
      <c r="D1140" s="6">
        <v>61</v>
      </c>
      <c r="E1140" s="8" t="s">
        <v>1729</v>
      </c>
      <c r="F1140" s="6" t="s">
        <v>34</v>
      </c>
      <c r="G1140" s="33" t="s">
        <v>219</v>
      </c>
    </row>
    <row r="1141" spans="1:7" ht="14" x14ac:dyDescent="0.15">
      <c r="A1141" s="6" t="s">
        <v>25</v>
      </c>
      <c r="B1141" s="6" t="s">
        <v>26</v>
      </c>
      <c r="C1141" s="7" t="s">
        <v>27</v>
      </c>
      <c r="D1141" s="6">
        <v>12</v>
      </c>
      <c r="E1141" s="8" t="s">
        <v>1730</v>
      </c>
      <c r="F1141" s="6" t="s">
        <v>34</v>
      </c>
      <c r="G1141" s="33" t="s">
        <v>83</v>
      </c>
    </row>
    <row r="1142" spans="1:7" ht="14" x14ac:dyDescent="0.15">
      <c r="A1142" s="6" t="s">
        <v>1475</v>
      </c>
      <c r="B1142" s="6" t="s">
        <v>1476</v>
      </c>
      <c r="C1142" s="7" t="s">
        <v>1477</v>
      </c>
      <c r="D1142" s="6">
        <v>56</v>
      </c>
      <c r="E1142" s="8" t="s">
        <v>1731</v>
      </c>
      <c r="F1142" s="6" t="s">
        <v>34</v>
      </c>
      <c r="G1142" s="33" t="s">
        <v>83</v>
      </c>
    </row>
    <row r="1143" spans="1:7" ht="14" x14ac:dyDescent="0.15">
      <c r="A1143" s="6" t="s">
        <v>79</v>
      </c>
      <c r="B1143" s="6" t="s">
        <v>80</v>
      </c>
      <c r="C1143" s="7" t="s">
        <v>81</v>
      </c>
      <c r="D1143" s="6">
        <v>37</v>
      </c>
      <c r="E1143" s="8" t="s">
        <v>1732</v>
      </c>
      <c r="F1143" s="6" t="s">
        <v>34</v>
      </c>
      <c r="G1143" s="33" t="s">
        <v>30</v>
      </c>
    </row>
    <row r="1144" spans="1:7" ht="14" x14ac:dyDescent="0.15">
      <c r="A1144" s="6" t="s">
        <v>247</v>
      </c>
      <c r="B1144" s="6" t="s">
        <v>248</v>
      </c>
      <c r="C1144" s="7" t="s">
        <v>249</v>
      </c>
      <c r="D1144" s="6">
        <v>38</v>
      </c>
      <c r="E1144" s="8" t="s">
        <v>1733</v>
      </c>
      <c r="F1144" s="6" t="s">
        <v>34</v>
      </c>
      <c r="G1144" s="33" t="s">
        <v>136</v>
      </c>
    </row>
    <row r="1145" spans="1:7" ht="14" x14ac:dyDescent="0.15">
      <c r="A1145" s="6" t="s">
        <v>1483</v>
      </c>
      <c r="B1145" s="6" t="s">
        <v>1484</v>
      </c>
      <c r="C1145" s="7" t="s">
        <v>1485</v>
      </c>
      <c r="D1145" s="6">
        <v>17</v>
      </c>
      <c r="E1145" s="8" t="s">
        <v>1734</v>
      </c>
      <c r="F1145" s="6" t="s">
        <v>34</v>
      </c>
      <c r="G1145" s="33" t="s">
        <v>83</v>
      </c>
    </row>
    <row r="1146" spans="1:7" ht="14" x14ac:dyDescent="0.15">
      <c r="A1146" s="6" t="s">
        <v>1483</v>
      </c>
      <c r="B1146" s="6" t="s">
        <v>1484</v>
      </c>
      <c r="C1146" s="7" t="s">
        <v>1485</v>
      </c>
      <c r="D1146" s="6">
        <v>18</v>
      </c>
      <c r="E1146" s="8" t="s">
        <v>1735</v>
      </c>
      <c r="F1146" s="6" t="s">
        <v>34</v>
      </c>
      <c r="G1146" s="33" t="s">
        <v>83</v>
      </c>
    </row>
    <row r="1147" spans="1:7" ht="14" x14ac:dyDescent="0.15">
      <c r="A1147" s="6" t="s">
        <v>1483</v>
      </c>
      <c r="B1147" s="6" t="s">
        <v>1484</v>
      </c>
      <c r="C1147" s="7" t="s">
        <v>1485</v>
      </c>
      <c r="D1147" s="6">
        <v>19</v>
      </c>
      <c r="E1147" s="8" t="s">
        <v>1736</v>
      </c>
      <c r="F1147" s="6" t="s">
        <v>34</v>
      </c>
      <c r="G1147" s="33" t="s">
        <v>83</v>
      </c>
    </row>
    <row r="1148" spans="1:7" ht="14" x14ac:dyDescent="0.15">
      <c r="A1148" s="6" t="s">
        <v>1737</v>
      </c>
      <c r="B1148" s="6" t="s">
        <v>1738</v>
      </c>
      <c r="C1148" s="7" t="s">
        <v>1739</v>
      </c>
      <c r="D1148" s="6">
        <v>41</v>
      </c>
      <c r="E1148" s="8" t="s">
        <v>1740</v>
      </c>
      <c r="F1148" s="6" t="s">
        <v>34</v>
      </c>
      <c r="G1148" s="33" t="s">
        <v>30</v>
      </c>
    </row>
    <row r="1149" spans="1:7" ht="14" x14ac:dyDescent="0.15">
      <c r="A1149" s="6" t="s">
        <v>891</v>
      </c>
      <c r="B1149" s="6" t="s">
        <v>892</v>
      </c>
      <c r="C1149" s="7" t="s">
        <v>893</v>
      </c>
      <c r="D1149" s="6">
        <v>9</v>
      </c>
      <c r="E1149" s="8" t="s">
        <v>1741</v>
      </c>
      <c r="F1149" s="6" t="s">
        <v>34</v>
      </c>
      <c r="G1149" s="33" t="s">
        <v>30</v>
      </c>
    </row>
    <row r="1150" spans="1:7" ht="14" x14ac:dyDescent="0.15">
      <c r="A1150" s="6" t="s">
        <v>891</v>
      </c>
      <c r="B1150" s="6" t="s">
        <v>892</v>
      </c>
      <c r="C1150" s="7" t="s">
        <v>893</v>
      </c>
      <c r="D1150" s="6">
        <v>10</v>
      </c>
      <c r="E1150" s="8" t="s">
        <v>1742</v>
      </c>
      <c r="F1150" s="6" t="s">
        <v>34</v>
      </c>
      <c r="G1150" s="33" t="s">
        <v>30</v>
      </c>
    </row>
    <row r="1151" spans="1:7" ht="14" x14ac:dyDescent="0.15">
      <c r="A1151" s="6" t="s">
        <v>254</v>
      </c>
      <c r="B1151" s="6" t="s">
        <v>255</v>
      </c>
      <c r="C1151" s="7" t="s">
        <v>256</v>
      </c>
      <c r="D1151" s="6">
        <v>69</v>
      </c>
      <c r="E1151" s="8" t="s">
        <v>1743</v>
      </c>
      <c r="F1151" s="6" t="s">
        <v>34</v>
      </c>
      <c r="G1151" s="33" t="s">
        <v>30</v>
      </c>
    </row>
    <row r="1152" spans="1:7" ht="14" x14ac:dyDescent="0.15">
      <c r="A1152" s="6" t="s">
        <v>254</v>
      </c>
      <c r="B1152" s="6" t="s">
        <v>255</v>
      </c>
      <c r="C1152" s="7" t="s">
        <v>256</v>
      </c>
      <c r="D1152" s="6">
        <v>87</v>
      </c>
      <c r="E1152" s="8" t="s">
        <v>1744</v>
      </c>
      <c r="F1152" s="6" t="s">
        <v>34</v>
      </c>
      <c r="G1152" s="33" t="s">
        <v>30</v>
      </c>
    </row>
    <row r="1153" spans="1:7" ht="28" x14ac:dyDescent="0.15">
      <c r="A1153" s="6" t="s">
        <v>254</v>
      </c>
      <c r="B1153" s="6" t="s">
        <v>255</v>
      </c>
      <c r="C1153" s="7" t="s">
        <v>256</v>
      </c>
      <c r="D1153" s="6">
        <v>270</v>
      </c>
      <c r="E1153" s="8" t="s">
        <v>1745</v>
      </c>
      <c r="F1153" s="6" t="s">
        <v>34</v>
      </c>
      <c r="G1153" s="33" t="s">
        <v>18</v>
      </c>
    </row>
    <row r="1154" spans="1:7" ht="14" x14ac:dyDescent="0.15">
      <c r="A1154" s="6" t="s">
        <v>31</v>
      </c>
      <c r="B1154" s="6" t="s">
        <v>165</v>
      </c>
      <c r="C1154" s="7" t="s">
        <v>916</v>
      </c>
      <c r="D1154" s="6">
        <v>34</v>
      </c>
      <c r="E1154" s="8" t="s">
        <v>1746</v>
      </c>
      <c r="F1154" s="6" t="s">
        <v>34</v>
      </c>
      <c r="G1154" s="33" t="s">
        <v>30</v>
      </c>
    </row>
    <row r="1155" spans="1:7" ht="14" x14ac:dyDescent="0.15">
      <c r="A1155" s="6" t="s">
        <v>31</v>
      </c>
      <c r="B1155" s="6" t="s">
        <v>31</v>
      </c>
      <c r="C1155" s="7" t="s">
        <v>32</v>
      </c>
      <c r="D1155" s="6">
        <v>23</v>
      </c>
      <c r="E1155" s="8" t="s">
        <v>1747</v>
      </c>
      <c r="F1155" s="6" t="s">
        <v>34</v>
      </c>
      <c r="G1155" s="33" t="s">
        <v>30</v>
      </c>
    </row>
    <row r="1156" spans="1:7" ht="28" x14ac:dyDescent="0.15">
      <c r="A1156" s="6" t="s">
        <v>31</v>
      </c>
      <c r="B1156" s="6" t="s">
        <v>31</v>
      </c>
      <c r="C1156" s="7" t="s">
        <v>32</v>
      </c>
      <c r="D1156" s="6">
        <v>24</v>
      </c>
      <c r="E1156" s="8" t="s">
        <v>1748</v>
      </c>
      <c r="F1156" s="6" t="s">
        <v>34</v>
      </c>
      <c r="G1156" s="33" t="s">
        <v>30</v>
      </c>
    </row>
    <row r="1157" spans="1:7" ht="28" x14ac:dyDescent="0.15">
      <c r="A1157" s="6" t="s">
        <v>31</v>
      </c>
      <c r="B1157" s="6" t="s">
        <v>31</v>
      </c>
      <c r="C1157" s="7" t="s">
        <v>32</v>
      </c>
      <c r="D1157" s="6">
        <v>30</v>
      </c>
      <c r="E1157" s="8" t="s">
        <v>1749</v>
      </c>
      <c r="F1157" s="6" t="s">
        <v>34</v>
      </c>
      <c r="G1157" s="33" t="s">
        <v>88</v>
      </c>
    </row>
    <row r="1158" spans="1:7" ht="28" x14ac:dyDescent="0.15">
      <c r="A1158" s="6" t="s">
        <v>31</v>
      </c>
      <c r="B1158" s="6" t="s">
        <v>31</v>
      </c>
      <c r="C1158" s="7" t="s">
        <v>32</v>
      </c>
      <c r="D1158" s="6">
        <v>32</v>
      </c>
      <c r="E1158" s="8" t="s">
        <v>1750</v>
      </c>
      <c r="F1158" s="6" t="s">
        <v>34</v>
      </c>
      <c r="G1158" s="33" t="s">
        <v>30</v>
      </c>
    </row>
    <row r="1159" spans="1:7" ht="14" x14ac:dyDescent="0.15">
      <c r="A1159" s="6" t="s">
        <v>926</v>
      </c>
      <c r="B1159" s="6" t="s">
        <v>927</v>
      </c>
      <c r="C1159" s="7" t="s">
        <v>928</v>
      </c>
      <c r="D1159" s="6">
        <v>4</v>
      </c>
      <c r="E1159" s="8" t="s">
        <v>1751</v>
      </c>
      <c r="F1159" s="6" t="s">
        <v>34</v>
      </c>
      <c r="G1159" s="33" t="s">
        <v>83</v>
      </c>
    </row>
    <row r="1160" spans="1:7" ht="14" x14ac:dyDescent="0.15">
      <c r="A1160" s="6" t="s">
        <v>926</v>
      </c>
      <c r="B1160" s="6" t="s">
        <v>927</v>
      </c>
      <c r="C1160" s="7" t="s">
        <v>928</v>
      </c>
      <c r="D1160" s="6">
        <v>5</v>
      </c>
      <c r="E1160" s="8" t="s">
        <v>1752</v>
      </c>
      <c r="F1160" s="6" t="s">
        <v>34</v>
      </c>
      <c r="G1160" s="33" t="s">
        <v>83</v>
      </c>
    </row>
    <row r="1161" spans="1:7" ht="14" x14ac:dyDescent="0.15">
      <c r="A1161" s="6" t="s">
        <v>926</v>
      </c>
      <c r="B1161" s="6" t="s">
        <v>927</v>
      </c>
      <c r="C1161" s="7" t="s">
        <v>928</v>
      </c>
      <c r="D1161" s="6">
        <v>6</v>
      </c>
      <c r="E1161" s="8" t="s">
        <v>1753</v>
      </c>
      <c r="F1161" s="6" t="s">
        <v>34</v>
      </c>
      <c r="G1161" s="33" t="s">
        <v>83</v>
      </c>
    </row>
    <row r="1162" spans="1:7" ht="14" x14ac:dyDescent="0.15">
      <c r="A1162" s="6" t="s">
        <v>926</v>
      </c>
      <c r="B1162" s="6" t="s">
        <v>927</v>
      </c>
      <c r="C1162" s="7" t="s">
        <v>928</v>
      </c>
      <c r="D1162" s="6">
        <v>7</v>
      </c>
      <c r="E1162" s="8" t="s">
        <v>1754</v>
      </c>
      <c r="F1162" s="6" t="s">
        <v>34</v>
      </c>
      <c r="G1162" s="33" t="s">
        <v>83</v>
      </c>
    </row>
    <row r="1163" spans="1:7" ht="28" x14ac:dyDescent="0.15">
      <c r="A1163" s="6" t="s">
        <v>926</v>
      </c>
      <c r="B1163" s="6" t="s">
        <v>927</v>
      </c>
      <c r="C1163" s="7" t="s">
        <v>928</v>
      </c>
      <c r="D1163" s="6">
        <v>10</v>
      </c>
      <c r="E1163" s="8" t="s">
        <v>1755</v>
      </c>
      <c r="F1163" s="6" t="s">
        <v>34</v>
      </c>
      <c r="G1163" s="33" t="s">
        <v>30</v>
      </c>
    </row>
    <row r="1164" spans="1:7" ht="14" x14ac:dyDescent="0.15">
      <c r="A1164" s="6" t="s">
        <v>926</v>
      </c>
      <c r="B1164" s="6" t="s">
        <v>927</v>
      </c>
      <c r="C1164" s="7" t="s">
        <v>928</v>
      </c>
      <c r="D1164" s="6">
        <v>11</v>
      </c>
      <c r="E1164" s="8" t="s">
        <v>1756</v>
      </c>
      <c r="F1164" s="6" t="s">
        <v>34</v>
      </c>
      <c r="G1164" s="33" t="s">
        <v>30</v>
      </c>
    </row>
    <row r="1165" spans="1:7" ht="14" x14ac:dyDescent="0.15">
      <c r="A1165" s="6" t="s">
        <v>926</v>
      </c>
      <c r="B1165" s="6" t="s">
        <v>927</v>
      </c>
      <c r="C1165" s="7" t="s">
        <v>928</v>
      </c>
      <c r="D1165" s="6">
        <v>13</v>
      </c>
      <c r="E1165" s="8" t="s">
        <v>1757</v>
      </c>
      <c r="F1165" s="6" t="s">
        <v>34</v>
      </c>
      <c r="G1165" s="33" t="s">
        <v>83</v>
      </c>
    </row>
    <row r="1166" spans="1:7" ht="14" x14ac:dyDescent="0.15">
      <c r="A1166" s="6" t="s">
        <v>265</v>
      </c>
      <c r="B1166" s="6" t="s">
        <v>266</v>
      </c>
      <c r="C1166" s="7" t="s">
        <v>267</v>
      </c>
      <c r="D1166" s="6">
        <v>3</v>
      </c>
      <c r="E1166" s="8" t="s">
        <v>1758</v>
      </c>
      <c r="F1166" s="6" t="s">
        <v>34</v>
      </c>
      <c r="G1166" s="33" t="s">
        <v>77</v>
      </c>
    </row>
    <row r="1167" spans="1:7" ht="28" x14ac:dyDescent="0.15">
      <c r="A1167" s="6" t="s">
        <v>932</v>
      </c>
      <c r="B1167" s="6" t="s">
        <v>933</v>
      </c>
      <c r="C1167" s="7" t="s">
        <v>934</v>
      </c>
      <c r="D1167" s="6">
        <v>74</v>
      </c>
      <c r="E1167" s="8" t="s">
        <v>1759</v>
      </c>
      <c r="F1167" s="6" t="s">
        <v>34</v>
      </c>
      <c r="G1167" s="33" t="s">
        <v>136</v>
      </c>
    </row>
    <row r="1168" spans="1:7" ht="14" x14ac:dyDescent="0.15">
      <c r="A1168" s="6" t="s">
        <v>287</v>
      </c>
      <c r="B1168" s="6" t="s">
        <v>288</v>
      </c>
      <c r="C1168" s="7" t="s">
        <v>289</v>
      </c>
      <c r="D1168" s="6">
        <v>18</v>
      </c>
      <c r="E1168" s="8" t="s">
        <v>1760</v>
      </c>
      <c r="F1168" s="6" t="s">
        <v>34</v>
      </c>
      <c r="G1168" s="33" t="s">
        <v>30</v>
      </c>
    </row>
    <row r="1169" spans="1:7" ht="14" x14ac:dyDescent="0.15">
      <c r="A1169" s="6" t="s">
        <v>287</v>
      </c>
      <c r="B1169" s="6" t="s">
        <v>288</v>
      </c>
      <c r="C1169" s="7" t="s">
        <v>289</v>
      </c>
      <c r="D1169" s="6">
        <v>25</v>
      </c>
      <c r="E1169" s="8" t="s">
        <v>1761</v>
      </c>
      <c r="F1169" s="6" t="s">
        <v>34</v>
      </c>
      <c r="G1169" s="33" t="s">
        <v>18</v>
      </c>
    </row>
    <row r="1170" spans="1:7" ht="14" x14ac:dyDescent="0.15">
      <c r="A1170" s="6" t="s">
        <v>287</v>
      </c>
      <c r="B1170" s="6" t="s">
        <v>288</v>
      </c>
      <c r="C1170" s="7" t="s">
        <v>289</v>
      </c>
      <c r="D1170" s="6">
        <v>44</v>
      </c>
      <c r="E1170" s="8" t="s">
        <v>1762</v>
      </c>
      <c r="F1170" s="6" t="s">
        <v>34</v>
      </c>
      <c r="G1170" s="33" t="s">
        <v>88</v>
      </c>
    </row>
    <row r="1171" spans="1:7" ht="28" x14ac:dyDescent="0.15">
      <c r="A1171" s="6" t="s">
        <v>291</v>
      </c>
      <c r="B1171" s="6" t="s">
        <v>292</v>
      </c>
      <c r="C1171" s="7" t="s">
        <v>293</v>
      </c>
      <c r="D1171" s="6">
        <v>43</v>
      </c>
      <c r="E1171" s="8" t="s">
        <v>1763</v>
      </c>
      <c r="F1171" s="6" t="s">
        <v>34</v>
      </c>
      <c r="G1171" s="33" t="s">
        <v>30</v>
      </c>
    </row>
    <row r="1172" spans="1:7" ht="14" x14ac:dyDescent="0.15">
      <c r="A1172" s="6" t="s">
        <v>291</v>
      </c>
      <c r="B1172" s="6" t="s">
        <v>292</v>
      </c>
      <c r="C1172" s="7" t="s">
        <v>293</v>
      </c>
      <c r="D1172" s="6">
        <v>45</v>
      </c>
      <c r="E1172" s="8" t="s">
        <v>1764</v>
      </c>
      <c r="F1172" s="6" t="s">
        <v>34</v>
      </c>
      <c r="G1172" s="33" t="s">
        <v>30</v>
      </c>
    </row>
    <row r="1173" spans="1:7" ht="14" x14ac:dyDescent="0.15">
      <c r="A1173" s="6" t="s">
        <v>291</v>
      </c>
      <c r="B1173" s="6" t="s">
        <v>292</v>
      </c>
      <c r="C1173" s="7" t="s">
        <v>293</v>
      </c>
      <c r="D1173" s="6">
        <v>55</v>
      </c>
      <c r="E1173" s="8" t="s">
        <v>1765</v>
      </c>
      <c r="F1173" s="6" t="s">
        <v>34</v>
      </c>
      <c r="G1173" s="33" t="s">
        <v>30</v>
      </c>
    </row>
    <row r="1174" spans="1:7" ht="28" x14ac:dyDescent="0.15">
      <c r="A1174" s="6" t="s">
        <v>291</v>
      </c>
      <c r="B1174" s="6" t="s">
        <v>292</v>
      </c>
      <c r="C1174" s="7" t="s">
        <v>293</v>
      </c>
      <c r="D1174" s="6">
        <v>66</v>
      </c>
      <c r="E1174" s="8" t="s">
        <v>1766</v>
      </c>
      <c r="F1174" s="6" t="s">
        <v>34</v>
      </c>
      <c r="G1174" s="33" t="s">
        <v>30</v>
      </c>
    </row>
    <row r="1175" spans="1:7" ht="28" x14ac:dyDescent="0.15">
      <c r="A1175" s="6" t="s">
        <v>291</v>
      </c>
      <c r="B1175" s="6" t="s">
        <v>292</v>
      </c>
      <c r="C1175" s="7" t="s">
        <v>293</v>
      </c>
      <c r="D1175" s="6">
        <v>67</v>
      </c>
      <c r="E1175" s="8" t="s">
        <v>1767</v>
      </c>
      <c r="F1175" s="6" t="s">
        <v>34</v>
      </c>
      <c r="G1175" s="33" t="s">
        <v>30</v>
      </c>
    </row>
    <row r="1176" spans="1:7" ht="14" x14ac:dyDescent="0.15">
      <c r="A1176" s="6" t="s">
        <v>944</v>
      </c>
      <c r="B1176" s="6" t="s">
        <v>945</v>
      </c>
      <c r="C1176" s="7" t="s">
        <v>946</v>
      </c>
      <c r="D1176" s="6">
        <v>57</v>
      </c>
      <c r="E1176" s="8" t="s">
        <v>1768</v>
      </c>
      <c r="F1176" s="6" t="s">
        <v>34</v>
      </c>
      <c r="G1176" s="33" t="s">
        <v>30</v>
      </c>
    </row>
    <row r="1177" spans="1:7" ht="14" x14ac:dyDescent="0.15">
      <c r="A1177" s="6" t="s">
        <v>296</v>
      </c>
      <c r="B1177" s="6" t="s">
        <v>297</v>
      </c>
      <c r="C1177" s="7" t="s">
        <v>298</v>
      </c>
      <c r="D1177" s="6">
        <v>90</v>
      </c>
      <c r="E1177" s="8" t="s">
        <v>1769</v>
      </c>
      <c r="F1177" s="6" t="s">
        <v>34</v>
      </c>
      <c r="G1177" s="33" t="s">
        <v>88</v>
      </c>
    </row>
    <row r="1178" spans="1:7" ht="14" x14ac:dyDescent="0.15">
      <c r="A1178" s="6" t="s">
        <v>301</v>
      </c>
      <c r="B1178" s="6" t="s">
        <v>301</v>
      </c>
      <c r="C1178" s="7" t="s">
        <v>306</v>
      </c>
      <c r="D1178" s="6">
        <v>51</v>
      </c>
      <c r="E1178" s="8" t="s">
        <v>1770</v>
      </c>
      <c r="F1178" s="6" t="s">
        <v>34</v>
      </c>
      <c r="G1178" s="33" t="s">
        <v>83</v>
      </c>
    </row>
    <row r="1179" spans="1:7" ht="42" x14ac:dyDescent="0.15">
      <c r="A1179" s="6" t="s">
        <v>35</v>
      </c>
      <c r="B1179" s="6" t="s">
        <v>36</v>
      </c>
      <c r="C1179" s="7" t="s">
        <v>37</v>
      </c>
      <c r="D1179" s="6">
        <v>17</v>
      </c>
      <c r="E1179" s="8" t="s">
        <v>1771</v>
      </c>
      <c r="F1179" s="6" t="s">
        <v>34</v>
      </c>
      <c r="G1179" s="33" t="s">
        <v>136</v>
      </c>
    </row>
    <row r="1180" spans="1:7" ht="42" x14ac:dyDescent="0.15">
      <c r="A1180" s="6" t="s">
        <v>35</v>
      </c>
      <c r="B1180" s="6" t="s">
        <v>36</v>
      </c>
      <c r="C1180" s="7" t="s">
        <v>37</v>
      </c>
      <c r="D1180" s="6">
        <v>71</v>
      </c>
      <c r="E1180" s="8" t="s">
        <v>1772</v>
      </c>
      <c r="F1180" s="6" t="s">
        <v>34</v>
      </c>
      <c r="G1180" s="33" t="s">
        <v>30</v>
      </c>
    </row>
    <row r="1181" spans="1:7" ht="14" x14ac:dyDescent="0.15">
      <c r="A1181" s="6" t="s">
        <v>35</v>
      </c>
      <c r="B1181" s="6" t="s">
        <v>36</v>
      </c>
      <c r="C1181" s="7" t="s">
        <v>37</v>
      </c>
      <c r="D1181" s="6">
        <v>93</v>
      </c>
      <c r="E1181" s="8" t="s">
        <v>1773</v>
      </c>
      <c r="F1181" s="6" t="s">
        <v>34</v>
      </c>
      <c r="G1181" s="33" t="s">
        <v>136</v>
      </c>
    </row>
    <row r="1182" spans="1:7" ht="14" x14ac:dyDescent="0.15">
      <c r="A1182" s="6" t="s">
        <v>325</v>
      </c>
      <c r="B1182" s="6" t="s">
        <v>326</v>
      </c>
      <c r="C1182" s="7" t="s">
        <v>327</v>
      </c>
      <c r="D1182" s="6">
        <v>50</v>
      </c>
      <c r="E1182" s="8" t="s">
        <v>1774</v>
      </c>
      <c r="F1182" s="6" t="s">
        <v>34</v>
      </c>
      <c r="G1182" s="33" t="s">
        <v>30</v>
      </c>
    </row>
    <row r="1183" spans="1:7" ht="28" x14ac:dyDescent="0.15">
      <c r="A1183" s="6" t="s">
        <v>131</v>
      </c>
      <c r="B1183" s="6" t="s">
        <v>132</v>
      </c>
      <c r="C1183" s="7" t="s">
        <v>347</v>
      </c>
      <c r="D1183" s="6">
        <v>81</v>
      </c>
      <c r="E1183" s="8" t="s">
        <v>1775</v>
      </c>
      <c r="F1183" s="6" t="s">
        <v>34</v>
      </c>
      <c r="G1183" s="33" t="s">
        <v>30</v>
      </c>
    </row>
    <row r="1184" spans="1:7" ht="28" x14ac:dyDescent="0.15">
      <c r="A1184" s="6" t="s">
        <v>656</v>
      </c>
      <c r="B1184" s="6" t="s">
        <v>657</v>
      </c>
      <c r="C1184" s="7" t="s">
        <v>658</v>
      </c>
      <c r="D1184" s="6">
        <v>52</v>
      </c>
      <c r="E1184" s="8" t="s">
        <v>1776</v>
      </c>
      <c r="F1184" s="6" t="s">
        <v>34</v>
      </c>
      <c r="G1184" s="33" t="s">
        <v>88</v>
      </c>
    </row>
    <row r="1185" spans="1:7" ht="14" x14ac:dyDescent="0.15">
      <c r="A1185" s="6" t="s">
        <v>366</v>
      </c>
      <c r="B1185" s="6" t="s">
        <v>367</v>
      </c>
      <c r="C1185" s="7" t="s">
        <v>368</v>
      </c>
      <c r="D1185" s="6">
        <v>89</v>
      </c>
      <c r="E1185" s="8" t="s">
        <v>1777</v>
      </c>
      <c r="F1185" s="6" t="s">
        <v>34</v>
      </c>
      <c r="G1185" s="33" t="s">
        <v>30</v>
      </c>
    </row>
    <row r="1186" spans="1:7" ht="42" x14ac:dyDescent="0.15">
      <c r="A1186" s="6" t="s">
        <v>185</v>
      </c>
      <c r="B1186" s="6" t="s">
        <v>1778</v>
      </c>
      <c r="C1186" s="7" t="s">
        <v>1779</v>
      </c>
      <c r="D1186" s="6">
        <v>31</v>
      </c>
      <c r="E1186" s="8" t="s">
        <v>1780</v>
      </c>
      <c r="F1186" s="6" t="s">
        <v>34</v>
      </c>
      <c r="G1186" s="33" t="s">
        <v>30</v>
      </c>
    </row>
    <row r="1187" spans="1:7" ht="28" x14ac:dyDescent="0.15">
      <c r="A1187" s="6" t="s">
        <v>1011</v>
      </c>
      <c r="B1187" s="6" t="s">
        <v>1012</v>
      </c>
      <c r="C1187" s="7" t="s">
        <v>1013</v>
      </c>
      <c r="D1187" s="6">
        <v>73</v>
      </c>
      <c r="E1187" s="8" t="s">
        <v>1781</v>
      </c>
      <c r="F1187" s="6" t="s">
        <v>34</v>
      </c>
      <c r="G1187" s="33" t="s">
        <v>30</v>
      </c>
    </row>
    <row r="1188" spans="1:7" ht="28" x14ac:dyDescent="0.15">
      <c r="A1188" s="6" t="s">
        <v>1019</v>
      </c>
      <c r="B1188" s="6" t="s">
        <v>1020</v>
      </c>
      <c r="C1188" s="7" t="s">
        <v>1021</v>
      </c>
      <c r="D1188" s="6">
        <v>5</v>
      </c>
      <c r="E1188" s="8" t="s">
        <v>1782</v>
      </c>
      <c r="F1188" s="6" t="s">
        <v>34</v>
      </c>
      <c r="G1188" s="33" t="s">
        <v>18</v>
      </c>
    </row>
    <row r="1189" spans="1:7" ht="28" x14ac:dyDescent="0.15">
      <c r="A1189" s="6" t="s">
        <v>382</v>
      </c>
      <c r="B1189" s="6" t="s">
        <v>383</v>
      </c>
      <c r="C1189" s="7" t="s">
        <v>384</v>
      </c>
      <c r="D1189" s="6">
        <v>80</v>
      </c>
      <c r="E1189" s="8" t="s">
        <v>1783</v>
      </c>
      <c r="F1189" s="6" t="s">
        <v>34</v>
      </c>
      <c r="G1189" s="33" t="s">
        <v>83</v>
      </c>
    </row>
    <row r="1190" spans="1:7" ht="14" x14ac:dyDescent="0.15">
      <c r="A1190" s="6" t="s">
        <v>84</v>
      </c>
      <c r="B1190" s="6" t="s">
        <v>85</v>
      </c>
      <c r="C1190" s="7" t="s">
        <v>86</v>
      </c>
      <c r="D1190" s="6">
        <v>27</v>
      </c>
      <c r="E1190" s="8" t="s">
        <v>1784</v>
      </c>
      <c r="F1190" s="6" t="s">
        <v>34</v>
      </c>
      <c r="G1190" s="33" t="s">
        <v>83</v>
      </c>
    </row>
    <row r="1191" spans="1:7" ht="14" x14ac:dyDescent="0.15">
      <c r="A1191" s="6" t="s">
        <v>390</v>
      </c>
      <c r="B1191" s="6" t="s">
        <v>390</v>
      </c>
      <c r="C1191" s="7" t="s">
        <v>391</v>
      </c>
      <c r="D1191" s="6">
        <v>124</v>
      </c>
      <c r="E1191" s="8" t="s">
        <v>1785</v>
      </c>
      <c r="F1191" s="6" t="s">
        <v>34</v>
      </c>
      <c r="G1191" s="33" t="s">
        <v>18</v>
      </c>
    </row>
    <row r="1192" spans="1:7" ht="14" x14ac:dyDescent="0.15">
      <c r="A1192" s="6" t="s">
        <v>1063</v>
      </c>
      <c r="B1192" s="6" t="s">
        <v>1064</v>
      </c>
      <c r="C1192" s="7" t="s">
        <v>1065</v>
      </c>
      <c r="D1192" s="6">
        <v>57</v>
      </c>
      <c r="E1192" s="8" t="s">
        <v>1652</v>
      </c>
      <c r="F1192" s="6" t="s">
        <v>34</v>
      </c>
      <c r="G1192" s="33" t="s">
        <v>136</v>
      </c>
    </row>
    <row r="1193" spans="1:7" ht="14" x14ac:dyDescent="0.15">
      <c r="A1193" s="6" t="s">
        <v>1063</v>
      </c>
      <c r="B1193" s="6" t="s">
        <v>1064</v>
      </c>
      <c r="C1193" s="7" t="s">
        <v>1065</v>
      </c>
      <c r="D1193" s="6">
        <v>62</v>
      </c>
      <c r="E1193" s="8" t="s">
        <v>1653</v>
      </c>
      <c r="F1193" s="6" t="s">
        <v>34</v>
      </c>
      <c r="G1193" s="33" t="s">
        <v>136</v>
      </c>
    </row>
    <row r="1194" spans="1:7" ht="28" x14ac:dyDescent="0.15">
      <c r="A1194" s="6" t="s">
        <v>393</v>
      </c>
      <c r="B1194" s="6" t="s">
        <v>394</v>
      </c>
      <c r="C1194" s="7" t="s">
        <v>395</v>
      </c>
      <c r="D1194" s="6">
        <v>4</v>
      </c>
      <c r="E1194" s="8" t="s">
        <v>1786</v>
      </c>
      <c r="F1194" s="6" t="s">
        <v>34</v>
      </c>
      <c r="G1194" s="33" t="s">
        <v>18</v>
      </c>
    </row>
    <row r="1195" spans="1:7" ht="28" x14ac:dyDescent="0.15">
      <c r="A1195" s="6" t="s">
        <v>393</v>
      </c>
      <c r="B1195" s="6" t="s">
        <v>394</v>
      </c>
      <c r="C1195" s="7" t="s">
        <v>395</v>
      </c>
      <c r="D1195" s="6">
        <v>38</v>
      </c>
      <c r="E1195" s="8" t="s">
        <v>1787</v>
      </c>
      <c r="F1195" s="6" t="s">
        <v>34</v>
      </c>
      <c r="G1195" s="33" t="s">
        <v>23</v>
      </c>
    </row>
    <row r="1196" spans="1:7" ht="28" x14ac:dyDescent="0.15">
      <c r="A1196" s="6" t="s">
        <v>393</v>
      </c>
      <c r="B1196" s="6" t="s">
        <v>394</v>
      </c>
      <c r="C1196" s="7" t="s">
        <v>395</v>
      </c>
      <c r="D1196" s="6">
        <v>69</v>
      </c>
      <c r="E1196" s="8" t="s">
        <v>1788</v>
      </c>
      <c r="F1196" s="6" t="s">
        <v>34</v>
      </c>
      <c r="G1196" s="33" t="s">
        <v>18</v>
      </c>
    </row>
    <row r="1197" spans="1:7" ht="28" x14ac:dyDescent="0.15">
      <c r="A1197" s="6" t="s">
        <v>393</v>
      </c>
      <c r="B1197" s="6" t="s">
        <v>394</v>
      </c>
      <c r="C1197" s="7" t="s">
        <v>395</v>
      </c>
      <c r="D1197" s="6">
        <v>99</v>
      </c>
      <c r="E1197" s="8" t="s">
        <v>1789</v>
      </c>
      <c r="F1197" s="6" t="s">
        <v>34</v>
      </c>
      <c r="G1197" s="33" t="s">
        <v>136</v>
      </c>
    </row>
    <row r="1198" spans="1:7" ht="42" x14ac:dyDescent="0.15">
      <c r="A1198" s="6" t="s">
        <v>393</v>
      </c>
      <c r="B1198" s="6" t="s">
        <v>394</v>
      </c>
      <c r="C1198" s="7" t="s">
        <v>395</v>
      </c>
      <c r="D1198" s="6">
        <v>181</v>
      </c>
      <c r="E1198" s="8" t="s">
        <v>1790</v>
      </c>
      <c r="F1198" s="6" t="s">
        <v>34</v>
      </c>
      <c r="G1198" s="33" t="s">
        <v>115</v>
      </c>
    </row>
    <row r="1199" spans="1:7" ht="28" x14ac:dyDescent="0.15">
      <c r="A1199" s="6" t="s">
        <v>1086</v>
      </c>
      <c r="B1199" s="6" t="s">
        <v>1087</v>
      </c>
      <c r="C1199" s="7" t="s">
        <v>1088</v>
      </c>
      <c r="D1199" s="6">
        <v>62</v>
      </c>
      <c r="E1199" s="8" t="s">
        <v>1791</v>
      </c>
      <c r="F1199" s="6" t="s">
        <v>34</v>
      </c>
      <c r="G1199" s="33" t="s">
        <v>30</v>
      </c>
    </row>
    <row r="1200" spans="1:7" ht="14" x14ac:dyDescent="0.15">
      <c r="A1200" s="6" t="s">
        <v>1086</v>
      </c>
      <c r="B1200" s="6" t="s">
        <v>1087</v>
      </c>
      <c r="C1200" s="7" t="s">
        <v>1088</v>
      </c>
      <c r="D1200" s="6">
        <v>82</v>
      </c>
      <c r="E1200" s="8" t="s">
        <v>1792</v>
      </c>
      <c r="F1200" s="6" t="s">
        <v>34</v>
      </c>
      <c r="G1200" s="33" t="s">
        <v>30</v>
      </c>
    </row>
    <row r="1201" spans="1:7" ht="14" x14ac:dyDescent="0.15">
      <c r="A1201" s="6" t="s">
        <v>1086</v>
      </c>
      <c r="B1201" s="6" t="s">
        <v>1087</v>
      </c>
      <c r="C1201" s="7" t="s">
        <v>1088</v>
      </c>
      <c r="D1201" s="6">
        <v>83</v>
      </c>
      <c r="E1201" s="8" t="s">
        <v>1793</v>
      </c>
      <c r="F1201" s="6" t="s">
        <v>34</v>
      </c>
      <c r="G1201" s="33" t="s">
        <v>30</v>
      </c>
    </row>
    <row r="1202" spans="1:7" ht="14" x14ac:dyDescent="0.15">
      <c r="A1202" s="6" t="s">
        <v>1086</v>
      </c>
      <c r="B1202" s="6" t="s">
        <v>1087</v>
      </c>
      <c r="C1202" s="7" t="s">
        <v>1088</v>
      </c>
      <c r="D1202" s="6">
        <v>85</v>
      </c>
      <c r="E1202" s="8" t="s">
        <v>1794</v>
      </c>
      <c r="F1202" s="6" t="s">
        <v>34</v>
      </c>
      <c r="G1202" s="33" t="s">
        <v>18</v>
      </c>
    </row>
    <row r="1203" spans="1:7" ht="14" x14ac:dyDescent="0.15">
      <c r="A1203" s="6" t="s">
        <v>25</v>
      </c>
      <c r="B1203" s="6" t="s">
        <v>238</v>
      </c>
      <c r="C1203" s="7" t="s">
        <v>1517</v>
      </c>
      <c r="D1203" s="6">
        <v>61</v>
      </c>
      <c r="E1203" s="8" t="s">
        <v>1729</v>
      </c>
      <c r="F1203" s="6" t="s">
        <v>34</v>
      </c>
      <c r="G1203" s="33" t="s">
        <v>219</v>
      </c>
    </row>
    <row r="1204" spans="1:7" ht="14" x14ac:dyDescent="0.15">
      <c r="A1204" s="6" t="s">
        <v>247</v>
      </c>
      <c r="B1204" s="6" t="s">
        <v>248</v>
      </c>
      <c r="C1204" s="7" t="s">
        <v>399</v>
      </c>
      <c r="D1204" s="6">
        <v>16</v>
      </c>
      <c r="E1204" s="8" t="s">
        <v>1733</v>
      </c>
      <c r="F1204" s="6" t="s">
        <v>34</v>
      </c>
      <c r="G1204" s="33" t="s">
        <v>136</v>
      </c>
    </row>
    <row r="1205" spans="1:7" ht="28" x14ac:dyDescent="0.15">
      <c r="A1205" s="6" t="s">
        <v>400</v>
      </c>
      <c r="B1205" s="6" t="s">
        <v>400</v>
      </c>
      <c r="C1205" s="7" t="s">
        <v>401</v>
      </c>
      <c r="D1205" s="6">
        <v>108</v>
      </c>
      <c r="E1205" s="8" t="s">
        <v>1795</v>
      </c>
      <c r="F1205" s="6" t="s">
        <v>34</v>
      </c>
      <c r="G1205" s="33" t="s">
        <v>30</v>
      </c>
    </row>
    <row r="1206" spans="1:7" ht="28" x14ac:dyDescent="0.15">
      <c r="A1206" s="6" t="s">
        <v>400</v>
      </c>
      <c r="B1206" s="6" t="s">
        <v>400</v>
      </c>
      <c r="C1206" s="7" t="s">
        <v>401</v>
      </c>
      <c r="D1206" s="6">
        <v>156</v>
      </c>
      <c r="E1206" s="8" t="s">
        <v>1796</v>
      </c>
      <c r="F1206" s="6" t="s">
        <v>34</v>
      </c>
      <c r="G1206" s="33" t="s">
        <v>83</v>
      </c>
    </row>
    <row r="1207" spans="1:7" ht="14" x14ac:dyDescent="0.15">
      <c r="A1207" s="6" t="s">
        <v>1737</v>
      </c>
      <c r="B1207" s="6" t="s">
        <v>1738</v>
      </c>
      <c r="C1207" s="7" t="s">
        <v>1797</v>
      </c>
      <c r="D1207" s="6">
        <v>41</v>
      </c>
      <c r="E1207" s="8" t="s">
        <v>1740</v>
      </c>
      <c r="F1207" s="6" t="s">
        <v>34</v>
      </c>
      <c r="G1207" s="33" t="s">
        <v>30</v>
      </c>
    </row>
    <row r="1208" spans="1:7" ht="14" x14ac:dyDescent="0.15">
      <c r="A1208" s="6" t="s">
        <v>92</v>
      </c>
      <c r="B1208" s="6" t="s">
        <v>93</v>
      </c>
      <c r="C1208" s="7" t="s">
        <v>94</v>
      </c>
      <c r="D1208" s="6">
        <v>126</v>
      </c>
      <c r="E1208" s="8" t="s">
        <v>1798</v>
      </c>
      <c r="F1208" s="6" t="s">
        <v>34</v>
      </c>
      <c r="G1208" s="33" t="s">
        <v>136</v>
      </c>
    </row>
    <row r="1209" spans="1:7" ht="14" x14ac:dyDescent="0.15">
      <c r="A1209" s="6" t="s">
        <v>1125</v>
      </c>
      <c r="B1209" s="6" t="s">
        <v>1126</v>
      </c>
      <c r="C1209" s="7" t="s">
        <v>1127</v>
      </c>
      <c r="D1209" s="6">
        <v>128</v>
      </c>
      <c r="E1209" s="8" t="s">
        <v>1799</v>
      </c>
      <c r="F1209" s="6" t="s">
        <v>34</v>
      </c>
      <c r="G1209" s="33" t="s">
        <v>12</v>
      </c>
    </row>
    <row r="1210" spans="1:7" ht="14" x14ac:dyDescent="0.15">
      <c r="A1210" s="6" t="s">
        <v>408</v>
      </c>
      <c r="B1210" s="6" t="s">
        <v>409</v>
      </c>
      <c r="C1210" s="7" t="s">
        <v>410</v>
      </c>
      <c r="D1210" s="6">
        <v>17</v>
      </c>
      <c r="E1210" s="8" t="s">
        <v>1800</v>
      </c>
      <c r="F1210" s="6" t="s">
        <v>34</v>
      </c>
      <c r="G1210" s="33" t="s">
        <v>30</v>
      </c>
    </row>
    <row r="1211" spans="1:7" ht="28" x14ac:dyDescent="0.15">
      <c r="A1211" s="6" t="s">
        <v>416</v>
      </c>
      <c r="B1211" s="6" t="s">
        <v>416</v>
      </c>
      <c r="C1211" s="7" t="s">
        <v>417</v>
      </c>
      <c r="D1211" s="6">
        <v>56</v>
      </c>
      <c r="E1211" s="8" t="s">
        <v>1801</v>
      </c>
      <c r="F1211" s="6" t="s">
        <v>34</v>
      </c>
      <c r="G1211" s="33" t="s">
        <v>12</v>
      </c>
    </row>
    <row r="1212" spans="1:7" ht="14" x14ac:dyDescent="0.15">
      <c r="A1212" s="6" t="s">
        <v>416</v>
      </c>
      <c r="B1212" s="6" t="s">
        <v>416</v>
      </c>
      <c r="C1212" s="7" t="s">
        <v>417</v>
      </c>
      <c r="D1212" s="6">
        <v>62</v>
      </c>
      <c r="E1212" s="8" t="s">
        <v>1802</v>
      </c>
      <c r="F1212" s="6" t="s">
        <v>34</v>
      </c>
      <c r="G1212" s="33" t="s">
        <v>12</v>
      </c>
    </row>
    <row r="1213" spans="1:7" ht="28" x14ac:dyDescent="0.15">
      <c r="A1213" s="6" t="s">
        <v>423</v>
      </c>
      <c r="B1213" s="6" t="s">
        <v>424</v>
      </c>
      <c r="C1213" s="7" t="s">
        <v>425</v>
      </c>
      <c r="D1213" s="6">
        <v>44</v>
      </c>
      <c r="E1213" s="8" t="s">
        <v>1803</v>
      </c>
      <c r="F1213" s="6" t="s">
        <v>34</v>
      </c>
      <c r="G1213" s="33" t="s">
        <v>88</v>
      </c>
    </row>
    <row r="1214" spans="1:7" ht="14" x14ac:dyDescent="0.15">
      <c r="A1214" s="6" t="s">
        <v>428</v>
      </c>
      <c r="B1214" s="6" t="s">
        <v>428</v>
      </c>
      <c r="C1214" s="7" t="s">
        <v>429</v>
      </c>
      <c r="D1214" s="6">
        <v>77</v>
      </c>
      <c r="E1214" s="8" t="s">
        <v>1804</v>
      </c>
      <c r="F1214" s="6" t="s">
        <v>34</v>
      </c>
      <c r="G1214" s="33" t="s">
        <v>30</v>
      </c>
    </row>
    <row r="1215" spans="1:7" ht="14" x14ac:dyDescent="0.15">
      <c r="A1215" s="6" t="s">
        <v>428</v>
      </c>
      <c r="B1215" s="6" t="s">
        <v>428</v>
      </c>
      <c r="C1215" s="7" t="s">
        <v>429</v>
      </c>
      <c r="D1215" s="6">
        <v>113</v>
      </c>
      <c r="E1215" s="8" t="s">
        <v>1805</v>
      </c>
      <c r="F1215" s="6" t="s">
        <v>34</v>
      </c>
      <c r="G1215" s="33" t="s">
        <v>30</v>
      </c>
    </row>
    <row r="1216" spans="1:7" ht="14" x14ac:dyDescent="0.15">
      <c r="A1216" s="6" t="s">
        <v>428</v>
      </c>
      <c r="B1216" s="6" t="s">
        <v>428</v>
      </c>
      <c r="C1216" s="7" t="s">
        <v>429</v>
      </c>
      <c r="D1216" s="6">
        <v>131</v>
      </c>
      <c r="E1216" s="8" t="s">
        <v>1806</v>
      </c>
      <c r="F1216" s="6" t="s">
        <v>34</v>
      </c>
      <c r="G1216" s="33" t="s">
        <v>30</v>
      </c>
    </row>
    <row r="1217" spans="1:7" ht="14" x14ac:dyDescent="0.15">
      <c r="A1217" s="6" t="s">
        <v>428</v>
      </c>
      <c r="B1217" s="6" t="s">
        <v>428</v>
      </c>
      <c r="C1217" s="7" t="s">
        <v>429</v>
      </c>
      <c r="D1217" s="6">
        <v>138</v>
      </c>
      <c r="E1217" s="8" t="s">
        <v>1807</v>
      </c>
      <c r="F1217" s="6" t="s">
        <v>34</v>
      </c>
      <c r="G1217" s="33" t="s">
        <v>30</v>
      </c>
    </row>
    <row r="1218" spans="1:7" ht="28" x14ac:dyDescent="0.15">
      <c r="A1218" s="6" t="s">
        <v>932</v>
      </c>
      <c r="B1218" s="6" t="s">
        <v>933</v>
      </c>
      <c r="C1218" s="7" t="s">
        <v>1155</v>
      </c>
      <c r="D1218" s="6">
        <v>74</v>
      </c>
      <c r="E1218" s="8" t="s">
        <v>1759</v>
      </c>
      <c r="F1218" s="6" t="s">
        <v>34</v>
      </c>
      <c r="G1218" s="33" t="s">
        <v>136</v>
      </c>
    </row>
    <row r="1219" spans="1:7" ht="28" x14ac:dyDescent="0.15">
      <c r="A1219" s="6" t="s">
        <v>437</v>
      </c>
      <c r="B1219" s="6" t="s">
        <v>438</v>
      </c>
      <c r="C1219" s="7" t="s">
        <v>439</v>
      </c>
      <c r="D1219" s="6">
        <v>5</v>
      </c>
      <c r="E1219" s="8" t="s">
        <v>1808</v>
      </c>
      <c r="F1219" s="6" t="s">
        <v>34</v>
      </c>
      <c r="G1219" s="33" t="s">
        <v>30</v>
      </c>
    </row>
    <row r="1220" spans="1:7" ht="14" x14ac:dyDescent="0.15">
      <c r="A1220" s="6" t="s">
        <v>441</v>
      </c>
      <c r="B1220" s="6" t="s">
        <v>442</v>
      </c>
      <c r="C1220" s="7" t="s">
        <v>443</v>
      </c>
      <c r="D1220" s="6">
        <v>75</v>
      </c>
      <c r="E1220" s="8" t="s">
        <v>1809</v>
      </c>
      <c r="F1220" s="6" t="s">
        <v>34</v>
      </c>
      <c r="G1220" s="33" t="s">
        <v>18</v>
      </c>
    </row>
    <row r="1221" spans="1:7" ht="14" x14ac:dyDescent="0.15">
      <c r="A1221" s="6" t="s">
        <v>445</v>
      </c>
      <c r="B1221" s="6" t="s">
        <v>446</v>
      </c>
      <c r="C1221" s="7" t="s">
        <v>447</v>
      </c>
      <c r="D1221" s="6">
        <v>40</v>
      </c>
      <c r="E1221" s="8" t="s">
        <v>1810</v>
      </c>
      <c r="F1221" s="6" t="s">
        <v>34</v>
      </c>
      <c r="G1221" s="33" t="s">
        <v>30</v>
      </c>
    </row>
    <row r="1222" spans="1:7" ht="14" x14ac:dyDescent="0.15">
      <c r="A1222" s="6" t="s">
        <v>445</v>
      </c>
      <c r="B1222" s="6" t="s">
        <v>455</v>
      </c>
      <c r="C1222" s="7" t="s">
        <v>456</v>
      </c>
      <c r="D1222" s="6">
        <v>40</v>
      </c>
      <c r="E1222" s="8" t="s">
        <v>1810</v>
      </c>
      <c r="F1222" s="6" t="s">
        <v>34</v>
      </c>
      <c r="G1222" s="33" t="s">
        <v>30</v>
      </c>
    </row>
    <row r="1223" spans="1:7" ht="14" x14ac:dyDescent="0.15">
      <c r="A1223" s="6" t="s">
        <v>325</v>
      </c>
      <c r="B1223" s="6" t="s">
        <v>326</v>
      </c>
      <c r="C1223" s="7" t="s">
        <v>463</v>
      </c>
      <c r="D1223" s="6">
        <v>41</v>
      </c>
      <c r="E1223" s="8" t="s">
        <v>1774</v>
      </c>
      <c r="F1223" s="6" t="s">
        <v>34</v>
      </c>
      <c r="G1223" s="33" t="s">
        <v>30</v>
      </c>
    </row>
    <row r="1224" spans="1:7" ht="28" x14ac:dyDescent="0.15">
      <c r="A1224" s="6" t="s">
        <v>325</v>
      </c>
      <c r="B1224" s="6" t="s">
        <v>326</v>
      </c>
      <c r="C1224" s="7" t="s">
        <v>463</v>
      </c>
      <c r="D1224" s="6">
        <v>80</v>
      </c>
      <c r="E1224" s="8" t="s">
        <v>1811</v>
      </c>
      <c r="F1224" s="6" t="s">
        <v>34</v>
      </c>
      <c r="G1224" s="33" t="s">
        <v>30</v>
      </c>
    </row>
    <row r="1225" spans="1:7" ht="14" x14ac:dyDescent="0.15">
      <c r="A1225" s="6" t="s">
        <v>47</v>
      </c>
      <c r="B1225" s="6" t="s">
        <v>1184</v>
      </c>
      <c r="C1225" s="7" t="s">
        <v>1185</v>
      </c>
      <c r="D1225" s="6">
        <v>12</v>
      </c>
      <c r="E1225" s="8" t="s">
        <v>1812</v>
      </c>
      <c r="F1225" s="6" t="s">
        <v>34</v>
      </c>
      <c r="G1225" s="33" t="s">
        <v>30</v>
      </c>
    </row>
    <row r="1226" spans="1:7" ht="42" x14ac:dyDescent="0.15">
      <c r="A1226" s="6" t="s">
        <v>487</v>
      </c>
      <c r="B1226" s="6" t="s">
        <v>488</v>
      </c>
      <c r="C1226" s="7" t="s">
        <v>489</v>
      </c>
      <c r="D1226" s="6">
        <v>14</v>
      </c>
      <c r="E1226" s="8" t="s">
        <v>1813</v>
      </c>
      <c r="F1226" s="6" t="s">
        <v>34</v>
      </c>
      <c r="G1226" s="33" t="s">
        <v>88</v>
      </c>
    </row>
    <row r="1227" spans="1:7" ht="14" x14ac:dyDescent="0.15">
      <c r="A1227" s="6" t="s">
        <v>51</v>
      </c>
      <c r="B1227" s="6" t="s">
        <v>1209</v>
      </c>
      <c r="C1227" s="7" t="s">
        <v>1210</v>
      </c>
      <c r="D1227" s="6">
        <v>11</v>
      </c>
      <c r="E1227" s="8" t="s">
        <v>1812</v>
      </c>
      <c r="F1227" s="6" t="s">
        <v>34</v>
      </c>
      <c r="G1227" s="33" t="s">
        <v>30</v>
      </c>
    </row>
    <row r="1228" spans="1:7" ht="14" x14ac:dyDescent="0.15">
      <c r="A1228" s="6" t="s">
        <v>51</v>
      </c>
      <c r="B1228" s="6" t="s">
        <v>492</v>
      </c>
      <c r="C1228" s="7" t="s">
        <v>493</v>
      </c>
      <c r="D1228" s="6">
        <v>4</v>
      </c>
      <c r="E1228" s="8" t="s">
        <v>1814</v>
      </c>
      <c r="F1228" s="6" t="s">
        <v>34</v>
      </c>
      <c r="G1228" s="33" t="s">
        <v>77</v>
      </c>
    </row>
    <row r="1229" spans="1:7" ht="14" x14ac:dyDescent="0.15">
      <c r="A1229" s="6" t="s">
        <v>51</v>
      </c>
      <c r="B1229" s="6" t="s">
        <v>492</v>
      </c>
      <c r="C1229" s="7" t="s">
        <v>493</v>
      </c>
      <c r="D1229" s="6">
        <v>11</v>
      </c>
      <c r="E1229" s="8" t="s">
        <v>1815</v>
      </c>
      <c r="F1229" s="6" t="s">
        <v>34</v>
      </c>
      <c r="G1229" s="33" t="s">
        <v>77</v>
      </c>
    </row>
    <row r="1230" spans="1:7" ht="14" x14ac:dyDescent="0.15">
      <c r="A1230" s="6" t="s">
        <v>51</v>
      </c>
      <c r="B1230" s="6" t="s">
        <v>1547</v>
      </c>
      <c r="C1230" s="7" t="s">
        <v>1548</v>
      </c>
      <c r="D1230" s="6">
        <v>47</v>
      </c>
      <c r="E1230" s="8" t="s">
        <v>1816</v>
      </c>
      <c r="F1230" s="6" t="s">
        <v>34</v>
      </c>
      <c r="G1230" s="33" t="s">
        <v>77</v>
      </c>
    </row>
    <row r="1231" spans="1:7" ht="14" x14ac:dyDescent="0.15">
      <c r="A1231" s="6" t="s">
        <v>51</v>
      </c>
      <c r="B1231" s="6" t="s">
        <v>52</v>
      </c>
      <c r="C1231" s="7" t="s">
        <v>53</v>
      </c>
      <c r="D1231" s="6">
        <v>9</v>
      </c>
      <c r="E1231" s="8" t="s">
        <v>1817</v>
      </c>
      <c r="F1231" s="6" t="s">
        <v>34</v>
      </c>
      <c r="G1231" s="33" t="s">
        <v>30</v>
      </c>
    </row>
    <row r="1232" spans="1:7" ht="28" x14ac:dyDescent="0.15">
      <c r="A1232" s="6" t="s">
        <v>51</v>
      </c>
      <c r="B1232" s="6" t="s">
        <v>56</v>
      </c>
      <c r="C1232" s="7" t="s">
        <v>57</v>
      </c>
      <c r="D1232" s="6">
        <v>214</v>
      </c>
      <c r="E1232" s="8" t="s">
        <v>1818</v>
      </c>
      <c r="F1232" s="6" t="s">
        <v>34</v>
      </c>
      <c r="G1232" s="33" t="s">
        <v>88</v>
      </c>
    </row>
    <row r="1233" spans="1:7" ht="14" x14ac:dyDescent="0.15">
      <c r="A1233" s="6" t="s">
        <v>51</v>
      </c>
      <c r="B1233" s="6" t="s">
        <v>496</v>
      </c>
      <c r="C1233" s="7" t="s">
        <v>497</v>
      </c>
      <c r="D1233" s="6">
        <v>21</v>
      </c>
      <c r="E1233" s="8" t="s">
        <v>1819</v>
      </c>
      <c r="F1233" s="6" t="s">
        <v>34</v>
      </c>
      <c r="G1233" s="33" t="s">
        <v>30</v>
      </c>
    </row>
    <row r="1234" spans="1:7" ht="14" x14ac:dyDescent="0.15">
      <c r="A1234" s="6" t="s">
        <v>51</v>
      </c>
      <c r="B1234" s="6" t="s">
        <v>496</v>
      </c>
      <c r="C1234" s="7" t="s">
        <v>497</v>
      </c>
      <c r="D1234" s="6">
        <v>85</v>
      </c>
      <c r="E1234" s="8" t="s">
        <v>1820</v>
      </c>
      <c r="F1234" s="6" t="s">
        <v>34</v>
      </c>
      <c r="G1234" s="33" t="s">
        <v>136</v>
      </c>
    </row>
    <row r="1235" spans="1:7" ht="14" x14ac:dyDescent="0.15">
      <c r="A1235" s="6" t="s">
        <v>51</v>
      </c>
      <c r="B1235" s="6" t="s">
        <v>496</v>
      </c>
      <c r="C1235" s="7" t="s">
        <v>497</v>
      </c>
      <c r="D1235" s="6">
        <v>134</v>
      </c>
      <c r="E1235" s="8" t="s">
        <v>1821</v>
      </c>
      <c r="F1235" s="6" t="s">
        <v>34</v>
      </c>
      <c r="G1235" s="33" t="s">
        <v>136</v>
      </c>
    </row>
    <row r="1236" spans="1:7" ht="42" x14ac:dyDescent="0.15">
      <c r="A1236" s="6" t="s">
        <v>51</v>
      </c>
      <c r="B1236" s="6" t="s">
        <v>499</v>
      </c>
      <c r="C1236" s="7" t="s">
        <v>500</v>
      </c>
      <c r="D1236" s="6">
        <v>15</v>
      </c>
      <c r="E1236" s="8" t="s">
        <v>1822</v>
      </c>
      <c r="F1236" s="6" t="s">
        <v>34</v>
      </c>
      <c r="G1236" s="33" t="s">
        <v>88</v>
      </c>
    </row>
    <row r="1237" spans="1:7" ht="28" x14ac:dyDescent="0.15">
      <c r="A1237" s="6" t="s">
        <v>1823</v>
      </c>
      <c r="B1237" s="6" t="s">
        <v>1824</v>
      </c>
      <c r="C1237" s="7" t="s">
        <v>1825</v>
      </c>
      <c r="D1237" s="6">
        <v>2</v>
      </c>
      <c r="E1237" s="8" t="s">
        <v>1826</v>
      </c>
      <c r="F1237" s="6" t="s">
        <v>34</v>
      </c>
      <c r="G1237" s="33" t="s">
        <v>30</v>
      </c>
    </row>
    <row r="1238" spans="1:7" ht="28" x14ac:dyDescent="0.15">
      <c r="A1238" s="6" t="s">
        <v>502</v>
      </c>
      <c r="B1238" s="6" t="s">
        <v>502</v>
      </c>
      <c r="C1238" s="7" t="s">
        <v>503</v>
      </c>
      <c r="D1238" s="6">
        <v>195</v>
      </c>
      <c r="E1238" s="8" t="s">
        <v>1827</v>
      </c>
      <c r="F1238" s="6" t="s">
        <v>34</v>
      </c>
      <c r="G1238" s="33" t="s">
        <v>30</v>
      </c>
    </row>
    <row r="1239" spans="1:7" ht="28" x14ac:dyDescent="0.15">
      <c r="A1239" s="6" t="s">
        <v>502</v>
      </c>
      <c r="B1239" s="6" t="s">
        <v>502</v>
      </c>
      <c r="C1239" s="7" t="s">
        <v>503</v>
      </c>
      <c r="D1239" s="6">
        <v>210</v>
      </c>
      <c r="E1239" s="8" t="s">
        <v>1828</v>
      </c>
      <c r="F1239" s="6" t="s">
        <v>34</v>
      </c>
      <c r="G1239" s="33" t="s">
        <v>30</v>
      </c>
    </row>
    <row r="1240" spans="1:7" ht="28" x14ac:dyDescent="0.15">
      <c r="A1240" s="6" t="s">
        <v>1227</v>
      </c>
      <c r="B1240" s="6" t="s">
        <v>1228</v>
      </c>
      <c r="C1240" s="7" t="s">
        <v>1229</v>
      </c>
      <c r="D1240" s="6">
        <v>13</v>
      </c>
      <c r="E1240" s="8" t="s">
        <v>1829</v>
      </c>
      <c r="F1240" s="6" t="s">
        <v>34</v>
      </c>
      <c r="G1240" s="33" t="s">
        <v>83</v>
      </c>
    </row>
    <row r="1241" spans="1:7" ht="28" x14ac:dyDescent="0.15">
      <c r="A1241" s="6" t="s">
        <v>1830</v>
      </c>
      <c r="B1241" s="6" t="s">
        <v>1831</v>
      </c>
      <c r="C1241" s="7" t="s">
        <v>1832</v>
      </c>
      <c r="D1241" s="6">
        <v>60</v>
      </c>
      <c r="E1241" s="8" t="s">
        <v>1833</v>
      </c>
      <c r="F1241" s="6" t="s">
        <v>34</v>
      </c>
      <c r="G1241" s="33" t="s">
        <v>136</v>
      </c>
    </row>
    <row r="1242" spans="1:7" ht="28" x14ac:dyDescent="0.15">
      <c r="A1242" s="6" t="s">
        <v>521</v>
      </c>
      <c r="B1242" s="6" t="s">
        <v>522</v>
      </c>
      <c r="C1242" s="7" t="s">
        <v>523</v>
      </c>
      <c r="D1242" s="6">
        <v>24</v>
      </c>
      <c r="E1242" s="8" t="s">
        <v>1834</v>
      </c>
      <c r="F1242" s="6" t="s">
        <v>34</v>
      </c>
      <c r="G1242" s="33" t="s">
        <v>30</v>
      </c>
    </row>
    <row r="1243" spans="1:7" ht="14" x14ac:dyDescent="0.15">
      <c r="A1243" s="6" t="s">
        <v>521</v>
      </c>
      <c r="B1243" s="6" t="s">
        <v>522</v>
      </c>
      <c r="C1243" s="7" t="s">
        <v>523</v>
      </c>
      <c r="D1243" s="6">
        <v>65</v>
      </c>
      <c r="E1243" s="8" t="s">
        <v>1835</v>
      </c>
      <c r="F1243" s="6" t="s">
        <v>34</v>
      </c>
      <c r="G1243" s="33" t="s">
        <v>30</v>
      </c>
    </row>
    <row r="1244" spans="1:7" ht="28" x14ac:dyDescent="0.15">
      <c r="A1244" s="6" t="s">
        <v>521</v>
      </c>
      <c r="B1244" s="6" t="s">
        <v>522</v>
      </c>
      <c r="C1244" s="7" t="s">
        <v>523</v>
      </c>
      <c r="D1244" s="6">
        <v>68</v>
      </c>
      <c r="E1244" s="8" t="s">
        <v>1836</v>
      </c>
      <c r="F1244" s="6" t="s">
        <v>34</v>
      </c>
      <c r="G1244" s="33" t="s">
        <v>30</v>
      </c>
    </row>
    <row r="1245" spans="1:7" ht="14" x14ac:dyDescent="0.15">
      <c r="A1245" s="6" t="s">
        <v>521</v>
      </c>
      <c r="B1245" s="6" t="s">
        <v>522</v>
      </c>
      <c r="C1245" s="7" t="s">
        <v>523</v>
      </c>
      <c r="D1245" s="6">
        <v>69</v>
      </c>
      <c r="E1245" s="8" t="s">
        <v>1837</v>
      </c>
      <c r="F1245" s="6" t="s">
        <v>34</v>
      </c>
      <c r="G1245" s="33" t="s">
        <v>30</v>
      </c>
    </row>
    <row r="1246" spans="1:7" ht="28" x14ac:dyDescent="0.15">
      <c r="A1246" s="6" t="s">
        <v>521</v>
      </c>
      <c r="B1246" s="6" t="s">
        <v>522</v>
      </c>
      <c r="C1246" s="7" t="s">
        <v>523</v>
      </c>
      <c r="D1246" s="6">
        <v>112</v>
      </c>
      <c r="E1246" s="8" t="s">
        <v>1838</v>
      </c>
      <c r="F1246" s="6" t="s">
        <v>34</v>
      </c>
      <c r="G1246" s="33" t="s">
        <v>88</v>
      </c>
    </row>
    <row r="1247" spans="1:7" ht="28" x14ac:dyDescent="0.15">
      <c r="A1247" s="6" t="s">
        <v>521</v>
      </c>
      <c r="B1247" s="6" t="s">
        <v>522</v>
      </c>
      <c r="C1247" s="7" t="s">
        <v>523</v>
      </c>
      <c r="D1247" s="6">
        <v>116</v>
      </c>
      <c r="E1247" s="8" t="s">
        <v>1839</v>
      </c>
      <c r="F1247" s="6" t="s">
        <v>34</v>
      </c>
      <c r="G1247" s="33" t="s">
        <v>88</v>
      </c>
    </row>
    <row r="1248" spans="1:7" ht="28" x14ac:dyDescent="0.15">
      <c r="A1248" s="6" t="s">
        <v>521</v>
      </c>
      <c r="B1248" s="6" t="s">
        <v>522</v>
      </c>
      <c r="C1248" s="7" t="s">
        <v>523</v>
      </c>
      <c r="D1248" s="6">
        <v>133</v>
      </c>
      <c r="E1248" s="8" t="s">
        <v>1840</v>
      </c>
      <c r="F1248" s="6" t="s">
        <v>34</v>
      </c>
      <c r="G1248" s="33" t="s">
        <v>88</v>
      </c>
    </row>
    <row r="1249" spans="1:7" ht="28" x14ac:dyDescent="0.15">
      <c r="A1249" s="6" t="s">
        <v>521</v>
      </c>
      <c r="B1249" s="6" t="s">
        <v>522</v>
      </c>
      <c r="C1249" s="7" t="s">
        <v>523</v>
      </c>
      <c r="D1249" s="6">
        <v>137</v>
      </c>
      <c r="E1249" s="8" t="s">
        <v>1841</v>
      </c>
      <c r="F1249" s="6" t="s">
        <v>34</v>
      </c>
      <c r="G1249" s="33" t="s">
        <v>30</v>
      </c>
    </row>
    <row r="1250" spans="1:7" ht="14" x14ac:dyDescent="0.15">
      <c r="A1250" s="6" t="s">
        <v>521</v>
      </c>
      <c r="B1250" s="6" t="s">
        <v>1842</v>
      </c>
      <c r="C1250" s="7" t="s">
        <v>1843</v>
      </c>
      <c r="D1250" s="6">
        <v>72</v>
      </c>
      <c r="E1250" s="8" t="s">
        <v>1844</v>
      </c>
      <c r="F1250" s="6" t="s">
        <v>34</v>
      </c>
      <c r="G1250" s="33" t="s">
        <v>30</v>
      </c>
    </row>
    <row r="1251" spans="1:7" ht="28" x14ac:dyDescent="0.15">
      <c r="A1251" s="6" t="s">
        <v>521</v>
      </c>
      <c r="B1251" s="6" t="s">
        <v>542</v>
      </c>
      <c r="C1251" s="7" t="s">
        <v>543</v>
      </c>
      <c r="D1251" s="6">
        <v>34</v>
      </c>
      <c r="E1251" s="8" t="s">
        <v>1845</v>
      </c>
      <c r="F1251" s="6" t="s">
        <v>34</v>
      </c>
      <c r="G1251" s="33" t="s">
        <v>88</v>
      </c>
    </row>
    <row r="1252" spans="1:7" ht="28" x14ac:dyDescent="0.15">
      <c r="A1252" s="6" t="s">
        <v>521</v>
      </c>
      <c r="B1252" s="6" t="s">
        <v>695</v>
      </c>
      <c r="C1252" s="7" t="s">
        <v>696</v>
      </c>
      <c r="D1252" s="6">
        <v>83</v>
      </c>
      <c r="E1252" s="8" t="s">
        <v>1846</v>
      </c>
      <c r="F1252" s="6" t="s">
        <v>34</v>
      </c>
      <c r="G1252" s="33" t="s">
        <v>12</v>
      </c>
    </row>
    <row r="1253" spans="1:7" ht="28" x14ac:dyDescent="0.15">
      <c r="A1253" s="6" t="s">
        <v>521</v>
      </c>
      <c r="B1253" s="6" t="s">
        <v>545</v>
      </c>
      <c r="C1253" s="7" t="s">
        <v>546</v>
      </c>
      <c r="D1253" s="6">
        <v>36</v>
      </c>
      <c r="E1253" s="8" t="s">
        <v>1847</v>
      </c>
      <c r="F1253" s="6" t="s">
        <v>34</v>
      </c>
      <c r="G1253" s="33" t="s">
        <v>83</v>
      </c>
    </row>
    <row r="1254" spans="1:7" ht="14" x14ac:dyDescent="0.15">
      <c r="A1254" s="6" t="s">
        <v>551</v>
      </c>
      <c r="B1254" s="6" t="s">
        <v>552</v>
      </c>
      <c r="C1254" s="7" t="s">
        <v>553</v>
      </c>
      <c r="D1254" s="6">
        <v>18</v>
      </c>
      <c r="E1254" s="8" t="s">
        <v>1848</v>
      </c>
      <c r="F1254" s="6" t="s">
        <v>34</v>
      </c>
      <c r="G1254" s="33" t="s">
        <v>30</v>
      </c>
    </row>
    <row r="1255" spans="1:7" ht="14" x14ac:dyDescent="0.15">
      <c r="A1255" s="6" t="s">
        <v>551</v>
      </c>
      <c r="B1255" s="6" t="s">
        <v>552</v>
      </c>
      <c r="C1255" s="7" t="s">
        <v>553</v>
      </c>
      <c r="D1255" s="6">
        <v>22</v>
      </c>
      <c r="E1255" s="8" t="s">
        <v>1849</v>
      </c>
      <c r="F1255" s="6" t="s">
        <v>34</v>
      </c>
      <c r="G1255" s="33" t="s">
        <v>30</v>
      </c>
    </row>
    <row r="1256" spans="1:7" ht="14" x14ac:dyDescent="0.15">
      <c r="A1256" s="6" t="s">
        <v>551</v>
      </c>
      <c r="B1256" s="6" t="s">
        <v>552</v>
      </c>
      <c r="C1256" s="7" t="s">
        <v>553</v>
      </c>
      <c r="D1256" s="6">
        <v>31</v>
      </c>
      <c r="E1256" s="8" t="s">
        <v>1850</v>
      </c>
      <c r="F1256" s="6" t="s">
        <v>34</v>
      </c>
      <c r="G1256" s="33" t="s">
        <v>30</v>
      </c>
    </row>
    <row r="1257" spans="1:7" ht="14" x14ac:dyDescent="0.15">
      <c r="A1257" s="6" t="s">
        <v>551</v>
      </c>
      <c r="B1257" s="6" t="s">
        <v>552</v>
      </c>
      <c r="C1257" s="7" t="s">
        <v>553</v>
      </c>
      <c r="D1257" s="6">
        <v>37</v>
      </c>
      <c r="E1257" s="8" t="s">
        <v>1851</v>
      </c>
      <c r="F1257" s="6" t="s">
        <v>34</v>
      </c>
      <c r="G1257" s="33" t="s">
        <v>30</v>
      </c>
    </row>
    <row r="1258" spans="1:7" ht="28" x14ac:dyDescent="0.15">
      <c r="A1258" s="6" t="s">
        <v>1852</v>
      </c>
      <c r="B1258" s="6" t="s">
        <v>1853</v>
      </c>
      <c r="C1258" s="7" t="s">
        <v>1854</v>
      </c>
      <c r="D1258" s="6">
        <v>165</v>
      </c>
      <c r="E1258" s="8" t="s">
        <v>1855</v>
      </c>
      <c r="F1258" s="6" t="s">
        <v>34</v>
      </c>
      <c r="G1258" s="33" t="s">
        <v>18</v>
      </c>
    </row>
    <row r="1259" spans="1:7" ht="28" x14ac:dyDescent="0.15">
      <c r="A1259" s="6" t="s">
        <v>559</v>
      </c>
      <c r="B1259" s="6" t="s">
        <v>559</v>
      </c>
      <c r="C1259" s="7" t="s">
        <v>560</v>
      </c>
      <c r="D1259" s="6">
        <v>7</v>
      </c>
      <c r="E1259" s="8" t="s">
        <v>1856</v>
      </c>
      <c r="F1259" s="6" t="s">
        <v>34</v>
      </c>
      <c r="G1259" s="33" t="s">
        <v>136</v>
      </c>
    </row>
    <row r="1260" spans="1:7" ht="14" x14ac:dyDescent="0.15">
      <c r="A1260" s="6" t="s">
        <v>559</v>
      </c>
      <c r="B1260" s="6" t="s">
        <v>559</v>
      </c>
      <c r="C1260" s="7" t="s">
        <v>560</v>
      </c>
      <c r="D1260" s="6">
        <v>63</v>
      </c>
      <c r="E1260" s="8" t="s">
        <v>1857</v>
      </c>
      <c r="F1260" s="6" t="s">
        <v>34</v>
      </c>
      <c r="G1260" s="33" t="s">
        <v>136</v>
      </c>
    </row>
    <row r="1261" spans="1:7" ht="14" x14ac:dyDescent="0.15">
      <c r="A1261" s="6" t="s">
        <v>25</v>
      </c>
      <c r="B1261" s="6" t="s">
        <v>26</v>
      </c>
      <c r="C1261" s="7" t="s">
        <v>563</v>
      </c>
      <c r="D1261" s="6">
        <v>12</v>
      </c>
      <c r="E1261" s="8" t="s">
        <v>1730</v>
      </c>
      <c r="F1261" s="6" t="s">
        <v>34</v>
      </c>
      <c r="G1261" s="33" t="s">
        <v>83</v>
      </c>
    </row>
    <row r="1262" spans="1:7" ht="14" x14ac:dyDescent="0.15">
      <c r="A1262" s="6" t="s">
        <v>101</v>
      </c>
      <c r="B1262" s="6" t="s">
        <v>102</v>
      </c>
      <c r="C1262" s="7" t="s">
        <v>103</v>
      </c>
      <c r="D1262" s="6">
        <v>4</v>
      </c>
      <c r="E1262" s="8" t="s">
        <v>1858</v>
      </c>
      <c r="F1262" s="6" t="s">
        <v>34</v>
      </c>
      <c r="G1262" s="33" t="s">
        <v>18</v>
      </c>
    </row>
    <row r="1263" spans="1:7" ht="28" x14ac:dyDescent="0.15">
      <c r="A1263" s="6" t="s">
        <v>101</v>
      </c>
      <c r="B1263" s="6" t="s">
        <v>102</v>
      </c>
      <c r="C1263" s="7" t="s">
        <v>103</v>
      </c>
      <c r="D1263" s="6">
        <v>9</v>
      </c>
      <c r="E1263" s="8" t="s">
        <v>1859</v>
      </c>
      <c r="F1263" s="6" t="s">
        <v>34</v>
      </c>
      <c r="G1263" s="33" t="s">
        <v>18</v>
      </c>
    </row>
    <row r="1264" spans="1:7" ht="14" x14ac:dyDescent="0.15">
      <c r="A1264" s="6" t="s">
        <v>101</v>
      </c>
      <c r="B1264" s="6" t="s">
        <v>102</v>
      </c>
      <c r="C1264" s="7" t="s">
        <v>103</v>
      </c>
      <c r="D1264" s="6">
        <v>43</v>
      </c>
      <c r="E1264" s="8" t="s">
        <v>1860</v>
      </c>
      <c r="F1264" s="6" t="s">
        <v>34</v>
      </c>
      <c r="G1264" s="33" t="s">
        <v>23</v>
      </c>
    </row>
    <row r="1265" spans="1:7" ht="14" x14ac:dyDescent="0.15">
      <c r="A1265" s="6" t="s">
        <v>31</v>
      </c>
      <c r="B1265" s="6" t="s">
        <v>165</v>
      </c>
      <c r="C1265" s="7" t="s">
        <v>1861</v>
      </c>
      <c r="D1265" s="6">
        <v>6</v>
      </c>
      <c r="E1265" s="8" t="s">
        <v>1862</v>
      </c>
      <c r="F1265" s="6" t="s">
        <v>34</v>
      </c>
      <c r="G1265" s="33" t="s">
        <v>30</v>
      </c>
    </row>
    <row r="1266" spans="1:7" ht="14" x14ac:dyDescent="0.15">
      <c r="A1266" s="6" t="s">
        <v>566</v>
      </c>
      <c r="B1266" s="6" t="s">
        <v>567</v>
      </c>
      <c r="C1266" s="7" t="s">
        <v>568</v>
      </c>
      <c r="D1266" s="6">
        <v>282</v>
      </c>
      <c r="E1266" s="8" t="s">
        <v>1863</v>
      </c>
      <c r="F1266" s="6" t="s">
        <v>34</v>
      </c>
      <c r="G1266" s="33" t="s">
        <v>30</v>
      </c>
    </row>
    <row r="1267" spans="1:7" ht="14" x14ac:dyDescent="0.15">
      <c r="A1267" s="6" t="s">
        <v>570</v>
      </c>
      <c r="B1267" s="6" t="s">
        <v>571</v>
      </c>
      <c r="C1267" s="7" t="s">
        <v>572</v>
      </c>
      <c r="D1267" s="6">
        <v>5</v>
      </c>
      <c r="E1267" s="8" t="s">
        <v>1864</v>
      </c>
      <c r="F1267" s="6" t="s">
        <v>34</v>
      </c>
      <c r="G1267" s="33" t="s">
        <v>30</v>
      </c>
    </row>
    <row r="1268" spans="1:7" ht="28" x14ac:dyDescent="0.15">
      <c r="A1268" s="6" t="s">
        <v>570</v>
      </c>
      <c r="B1268" s="6" t="s">
        <v>571</v>
      </c>
      <c r="C1268" s="7" t="s">
        <v>572</v>
      </c>
      <c r="D1268" s="6">
        <v>120</v>
      </c>
      <c r="E1268" s="8" t="s">
        <v>1865</v>
      </c>
      <c r="F1268" s="6" t="s">
        <v>34</v>
      </c>
      <c r="G1268" s="33" t="s">
        <v>30</v>
      </c>
    </row>
    <row r="1269" spans="1:7" ht="28" x14ac:dyDescent="0.15">
      <c r="A1269" s="6" t="s">
        <v>575</v>
      </c>
      <c r="B1269" s="6" t="s">
        <v>576</v>
      </c>
      <c r="C1269" s="7" t="s">
        <v>577</v>
      </c>
      <c r="D1269" s="6">
        <v>78</v>
      </c>
      <c r="E1269" s="8" t="s">
        <v>1866</v>
      </c>
      <c r="F1269" s="6" t="s">
        <v>34</v>
      </c>
      <c r="G1269" s="33" t="s">
        <v>18</v>
      </c>
    </row>
    <row r="1270" spans="1:7" ht="14" x14ac:dyDescent="0.15">
      <c r="A1270" s="6" t="s">
        <v>586</v>
      </c>
      <c r="B1270" s="6" t="s">
        <v>587</v>
      </c>
      <c r="C1270" s="7" t="s">
        <v>588</v>
      </c>
      <c r="D1270" s="6">
        <v>5</v>
      </c>
      <c r="E1270" s="8" t="s">
        <v>1867</v>
      </c>
      <c r="F1270" s="6" t="s">
        <v>34</v>
      </c>
      <c r="G1270" s="33" t="s">
        <v>30</v>
      </c>
    </row>
    <row r="1271" spans="1:7" ht="28" x14ac:dyDescent="0.15">
      <c r="A1271" s="6" t="s">
        <v>593</v>
      </c>
      <c r="B1271" s="6" t="s">
        <v>593</v>
      </c>
      <c r="C1271" s="7" t="s">
        <v>594</v>
      </c>
      <c r="D1271" s="6">
        <v>52</v>
      </c>
      <c r="E1271" s="8" t="s">
        <v>1868</v>
      </c>
      <c r="F1271" s="6" t="s">
        <v>34</v>
      </c>
      <c r="G1271" s="33" t="s">
        <v>88</v>
      </c>
    </row>
    <row r="1272" spans="1:7" ht="28" x14ac:dyDescent="0.15">
      <c r="A1272" s="6" t="s">
        <v>593</v>
      </c>
      <c r="B1272" s="6" t="s">
        <v>596</v>
      </c>
      <c r="C1272" s="7" t="s">
        <v>597</v>
      </c>
      <c r="D1272" s="6">
        <v>17</v>
      </c>
      <c r="E1272" s="8" t="s">
        <v>1869</v>
      </c>
      <c r="F1272" s="6" t="s">
        <v>34</v>
      </c>
      <c r="G1272" s="33" t="s">
        <v>115</v>
      </c>
    </row>
    <row r="1273" spans="1:7" ht="28" x14ac:dyDescent="0.15">
      <c r="A1273" s="6" t="s">
        <v>593</v>
      </c>
      <c r="B1273" s="6" t="s">
        <v>596</v>
      </c>
      <c r="C1273" s="7" t="s">
        <v>597</v>
      </c>
      <c r="D1273" s="6">
        <v>38</v>
      </c>
      <c r="E1273" s="8" t="s">
        <v>1870</v>
      </c>
      <c r="F1273" s="6" t="s">
        <v>34</v>
      </c>
      <c r="G1273" s="33" t="s">
        <v>30</v>
      </c>
    </row>
    <row r="1274" spans="1:7" ht="28" x14ac:dyDescent="0.15">
      <c r="A1274" s="6" t="s">
        <v>593</v>
      </c>
      <c r="B1274" s="6" t="s">
        <v>596</v>
      </c>
      <c r="C1274" s="7" t="s">
        <v>597</v>
      </c>
      <c r="D1274" s="6">
        <v>39</v>
      </c>
      <c r="E1274" s="8" t="s">
        <v>1871</v>
      </c>
      <c r="F1274" s="6" t="s">
        <v>34</v>
      </c>
      <c r="G1274" s="33" t="s">
        <v>30</v>
      </c>
    </row>
    <row r="1275" spans="1:7" ht="28" x14ac:dyDescent="0.15">
      <c r="A1275" s="6" t="s">
        <v>1409</v>
      </c>
      <c r="B1275" s="6" t="s">
        <v>1409</v>
      </c>
      <c r="C1275" s="7" t="s">
        <v>1410</v>
      </c>
      <c r="D1275" s="6">
        <v>87</v>
      </c>
      <c r="E1275" s="8" t="s">
        <v>1872</v>
      </c>
      <c r="F1275" s="6" t="s">
        <v>34</v>
      </c>
      <c r="G1275" s="33" t="s">
        <v>18</v>
      </c>
    </row>
    <row r="1276" spans="1:7" ht="14" x14ac:dyDescent="0.15">
      <c r="A1276" s="6" t="s">
        <v>349</v>
      </c>
      <c r="B1276" s="6" t="s">
        <v>350</v>
      </c>
      <c r="C1276" s="7" t="s">
        <v>351</v>
      </c>
      <c r="D1276" s="6">
        <v>103</v>
      </c>
      <c r="E1276" s="8" t="s">
        <v>1873</v>
      </c>
      <c r="F1276" s="6" t="s">
        <v>34</v>
      </c>
      <c r="G1276" s="33" t="s">
        <v>88</v>
      </c>
    </row>
    <row r="1277" spans="1:7" ht="14" x14ac:dyDescent="0.15">
      <c r="A1277" s="6" t="s">
        <v>92</v>
      </c>
      <c r="B1277" s="6" t="s">
        <v>93</v>
      </c>
      <c r="C1277" s="7" t="s">
        <v>94</v>
      </c>
      <c r="D1277" s="6">
        <v>113</v>
      </c>
      <c r="E1277" s="8" t="s">
        <v>1874</v>
      </c>
      <c r="F1277" s="6" t="s">
        <v>34</v>
      </c>
      <c r="G1277" s="33" t="s">
        <v>18</v>
      </c>
    </row>
    <row r="1278" spans="1:7" ht="14" x14ac:dyDescent="0.15">
      <c r="A1278" s="6" t="s">
        <v>1298</v>
      </c>
      <c r="B1278" s="6" t="s">
        <v>1299</v>
      </c>
      <c r="C1278" s="7" t="s">
        <v>1300</v>
      </c>
      <c r="D1278" s="6">
        <v>11</v>
      </c>
      <c r="E1278" s="8" t="s">
        <v>1875</v>
      </c>
      <c r="F1278" s="6" t="s">
        <v>34</v>
      </c>
      <c r="G1278" s="33" t="s">
        <v>136</v>
      </c>
    </row>
    <row r="1279" spans="1:7" ht="28" x14ac:dyDescent="0.15">
      <c r="A1279" s="6" t="s">
        <v>127</v>
      </c>
      <c r="B1279" s="6" t="s">
        <v>128</v>
      </c>
      <c r="C1279" s="7" t="s">
        <v>129</v>
      </c>
      <c r="D1279" s="6">
        <v>114</v>
      </c>
      <c r="E1279" s="8" t="s">
        <v>1876</v>
      </c>
      <c r="F1279" s="6" t="s">
        <v>34</v>
      </c>
      <c r="G1279" s="33" t="s">
        <v>219</v>
      </c>
    </row>
    <row r="1280" spans="1:7" ht="14" x14ac:dyDescent="0.15">
      <c r="A1280" s="6" t="s">
        <v>140</v>
      </c>
      <c r="B1280" s="6" t="s">
        <v>141</v>
      </c>
      <c r="C1280" s="7" t="s">
        <v>142</v>
      </c>
      <c r="D1280" s="6">
        <v>255</v>
      </c>
      <c r="E1280" s="8" t="s">
        <v>1877</v>
      </c>
      <c r="F1280" s="6" t="s">
        <v>34</v>
      </c>
      <c r="G1280" s="33" t="s">
        <v>88</v>
      </c>
    </row>
    <row r="1281" spans="1:7" ht="14" x14ac:dyDescent="0.15">
      <c r="A1281" s="6" t="s">
        <v>948</v>
      </c>
      <c r="B1281" s="6" t="s">
        <v>949</v>
      </c>
      <c r="C1281" s="7" t="s">
        <v>950</v>
      </c>
      <c r="D1281" s="6">
        <v>110</v>
      </c>
      <c r="E1281" s="8" t="s">
        <v>1878</v>
      </c>
      <c r="F1281" s="6" t="s">
        <v>34</v>
      </c>
      <c r="G1281" s="33" t="s">
        <v>12</v>
      </c>
    </row>
    <row r="1282" spans="1:7" ht="42" x14ac:dyDescent="0.15">
      <c r="A1282" s="6" t="s">
        <v>575</v>
      </c>
      <c r="B1282" s="6" t="s">
        <v>576</v>
      </c>
      <c r="C1282" s="7" t="s">
        <v>577</v>
      </c>
      <c r="D1282" s="6">
        <v>31</v>
      </c>
      <c r="E1282" s="8" t="s">
        <v>1879</v>
      </c>
      <c r="F1282" s="6" t="s">
        <v>34</v>
      </c>
      <c r="G1282" s="33" t="s">
        <v>23</v>
      </c>
    </row>
    <row r="1283" spans="1:7" ht="14" x14ac:dyDescent="0.15">
      <c r="A1283" s="6" t="s">
        <v>13</v>
      </c>
      <c r="B1283" s="6" t="s">
        <v>14</v>
      </c>
      <c r="C1283" s="7" t="s">
        <v>15</v>
      </c>
      <c r="D1283" s="6">
        <v>108</v>
      </c>
      <c r="E1283" s="8" t="s">
        <v>1880</v>
      </c>
      <c r="F1283" s="6" t="s">
        <v>17</v>
      </c>
      <c r="G1283" s="33" t="s">
        <v>18</v>
      </c>
    </row>
    <row r="1284" spans="1:7" ht="14" x14ac:dyDescent="0.15">
      <c r="A1284" s="6" t="s">
        <v>156</v>
      </c>
      <c r="B1284" s="6" t="s">
        <v>159</v>
      </c>
      <c r="C1284" s="7" t="s">
        <v>160</v>
      </c>
      <c r="D1284" s="6">
        <v>31</v>
      </c>
      <c r="E1284" s="8" t="s">
        <v>1881</v>
      </c>
      <c r="F1284" s="6" t="s">
        <v>1882</v>
      </c>
      <c r="G1284" s="33" t="s">
        <v>18</v>
      </c>
    </row>
    <row r="1285" spans="1:7" ht="28" x14ac:dyDescent="0.15">
      <c r="A1285" s="6" t="s">
        <v>825</v>
      </c>
      <c r="B1285" s="6" t="s">
        <v>826</v>
      </c>
      <c r="C1285" s="7" t="s">
        <v>827</v>
      </c>
      <c r="D1285" s="6">
        <v>39</v>
      </c>
      <c r="E1285" s="8" t="s">
        <v>1883</v>
      </c>
      <c r="F1285" s="6" t="s">
        <v>1882</v>
      </c>
      <c r="G1285" s="33" t="s">
        <v>30</v>
      </c>
    </row>
    <row r="1286" spans="1:7" ht="28" x14ac:dyDescent="0.15">
      <c r="A1286" s="6" t="s">
        <v>156</v>
      </c>
      <c r="B1286" s="6" t="s">
        <v>156</v>
      </c>
      <c r="C1286" s="7" t="s">
        <v>157</v>
      </c>
      <c r="D1286" s="6">
        <v>41</v>
      </c>
      <c r="E1286" s="8" t="s">
        <v>1884</v>
      </c>
      <c r="F1286" s="6" t="s">
        <v>1885</v>
      </c>
      <c r="G1286" s="33" t="s">
        <v>30</v>
      </c>
    </row>
    <row r="1287" spans="1:7" ht="28" x14ac:dyDescent="0.15">
      <c r="A1287" s="6" t="s">
        <v>1886</v>
      </c>
      <c r="B1287" s="6" t="s">
        <v>1887</v>
      </c>
      <c r="C1287" s="7" t="s">
        <v>1888</v>
      </c>
      <c r="D1287" s="6">
        <v>140</v>
      </c>
      <c r="E1287" s="8" t="s">
        <v>1889</v>
      </c>
      <c r="F1287" s="6" t="s">
        <v>1885</v>
      </c>
      <c r="G1287" s="33" t="s">
        <v>136</v>
      </c>
    </row>
    <row r="1288" spans="1:7" ht="28" x14ac:dyDescent="0.15">
      <c r="A1288" s="6" t="s">
        <v>831</v>
      </c>
      <c r="B1288" s="6" t="s">
        <v>831</v>
      </c>
      <c r="C1288" s="7" t="s">
        <v>832</v>
      </c>
      <c r="D1288" s="6">
        <v>15</v>
      </c>
      <c r="E1288" s="8" t="s">
        <v>1890</v>
      </c>
      <c r="F1288" s="6" t="s">
        <v>1885</v>
      </c>
      <c r="G1288" s="33" t="s">
        <v>18</v>
      </c>
    </row>
    <row r="1289" spans="1:7" ht="14" x14ac:dyDescent="0.15">
      <c r="A1289" s="6" t="s">
        <v>831</v>
      </c>
      <c r="B1289" s="6" t="s">
        <v>831</v>
      </c>
      <c r="C1289" s="7" t="s">
        <v>832</v>
      </c>
      <c r="D1289" s="6">
        <v>26</v>
      </c>
      <c r="E1289" s="8" t="s">
        <v>1891</v>
      </c>
      <c r="F1289" s="6" t="s">
        <v>1885</v>
      </c>
      <c r="G1289" s="33" t="s">
        <v>18</v>
      </c>
    </row>
    <row r="1290" spans="1:7" ht="28" x14ac:dyDescent="0.15">
      <c r="A1290" s="6" t="s">
        <v>831</v>
      </c>
      <c r="B1290" s="6" t="s">
        <v>831</v>
      </c>
      <c r="C1290" s="7" t="s">
        <v>832</v>
      </c>
      <c r="D1290" s="6">
        <v>44</v>
      </c>
      <c r="E1290" s="8" t="s">
        <v>1892</v>
      </c>
      <c r="F1290" s="6" t="s">
        <v>1885</v>
      </c>
      <c r="G1290" s="33" t="s">
        <v>18</v>
      </c>
    </row>
    <row r="1291" spans="1:7" ht="14" x14ac:dyDescent="0.15">
      <c r="A1291" s="6" t="s">
        <v>851</v>
      </c>
      <c r="B1291" s="6" t="s">
        <v>852</v>
      </c>
      <c r="C1291" s="7" t="s">
        <v>853</v>
      </c>
      <c r="D1291" s="6">
        <v>27</v>
      </c>
      <c r="E1291" s="8" t="s">
        <v>1893</v>
      </c>
      <c r="F1291" s="6" t="s">
        <v>1885</v>
      </c>
      <c r="G1291" s="33" t="s">
        <v>342</v>
      </c>
    </row>
    <row r="1292" spans="1:7" ht="14" x14ac:dyDescent="0.15">
      <c r="A1292" s="6" t="s">
        <v>1475</v>
      </c>
      <c r="B1292" s="6" t="s">
        <v>1476</v>
      </c>
      <c r="C1292" s="7" t="s">
        <v>1477</v>
      </c>
      <c r="D1292" s="6">
        <v>28</v>
      </c>
      <c r="E1292" s="8" t="s">
        <v>1894</v>
      </c>
      <c r="F1292" s="6" t="s">
        <v>1885</v>
      </c>
      <c r="G1292" s="33" t="s">
        <v>88</v>
      </c>
    </row>
    <row r="1293" spans="1:7" ht="14" x14ac:dyDescent="0.15">
      <c r="A1293" s="6" t="s">
        <v>247</v>
      </c>
      <c r="B1293" s="6" t="s">
        <v>248</v>
      </c>
      <c r="C1293" s="7" t="s">
        <v>249</v>
      </c>
      <c r="D1293" s="6">
        <v>150</v>
      </c>
      <c r="E1293" s="8" t="s">
        <v>1895</v>
      </c>
      <c r="F1293" s="6" t="s">
        <v>1885</v>
      </c>
      <c r="G1293" s="33" t="s">
        <v>30</v>
      </c>
    </row>
    <row r="1294" spans="1:7" ht="28" x14ac:dyDescent="0.15">
      <c r="A1294" s="6" t="s">
        <v>337</v>
      </c>
      <c r="B1294" s="6" t="s">
        <v>338</v>
      </c>
      <c r="C1294" s="7" t="s">
        <v>339</v>
      </c>
      <c r="D1294" s="6">
        <v>38</v>
      </c>
      <c r="E1294" s="8" t="s">
        <v>1896</v>
      </c>
      <c r="F1294" s="6" t="s">
        <v>1885</v>
      </c>
      <c r="G1294" s="33" t="s">
        <v>342</v>
      </c>
    </row>
    <row r="1295" spans="1:7" ht="14" x14ac:dyDescent="0.15">
      <c r="A1295" s="6" t="s">
        <v>357</v>
      </c>
      <c r="B1295" s="6" t="s">
        <v>358</v>
      </c>
      <c r="C1295" s="7" t="s">
        <v>359</v>
      </c>
      <c r="D1295" s="6">
        <v>155</v>
      </c>
      <c r="E1295" s="8" t="s">
        <v>1897</v>
      </c>
      <c r="F1295" s="6" t="s">
        <v>1885</v>
      </c>
      <c r="G1295" s="33" t="s">
        <v>88</v>
      </c>
    </row>
    <row r="1296" spans="1:7" ht="14" x14ac:dyDescent="0.15">
      <c r="A1296" s="6" t="s">
        <v>382</v>
      </c>
      <c r="B1296" s="6" t="s">
        <v>383</v>
      </c>
      <c r="C1296" s="7" t="s">
        <v>384</v>
      </c>
      <c r="D1296" s="6">
        <v>30</v>
      </c>
      <c r="E1296" s="8" t="s">
        <v>1898</v>
      </c>
      <c r="F1296" s="6" t="s">
        <v>1885</v>
      </c>
      <c r="G1296" s="33" t="s">
        <v>30</v>
      </c>
    </row>
    <row r="1297" spans="1:7" ht="28" x14ac:dyDescent="0.15">
      <c r="A1297" s="6" t="s">
        <v>382</v>
      </c>
      <c r="B1297" s="6" t="s">
        <v>383</v>
      </c>
      <c r="C1297" s="7" t="s">
        <v>384</v>
      </c>
      <c r="D1297" s="6">
        <v>31</v>
      </c>
      <c r="E1297" s="8" t="s">
        <v>1899</v>
      </c>
      <c r="F1297" s="6" t="s">
        <v>1885</v>
      </c>
      <c r="G1297" s="33" t="s">
        <v>30</v>
      </c>
    </row>
    <row r="1298" spans="1:7" ht="28" x14ac:dyDescent="0.15">
      <c r="A1298" s="6" t="s">
        <v>382</v>
      </c>
      <c r="B1298" s="6" t="s">
        <v>383</v>
      </c>
      <c r="C1298" s="7" t="s">
        <v>384</v>
      </c>
      <c r="D1298" s="6">
        <v>32</v>
      </c>
      <c r="E1298" s="8" t="s">
        <v>1900</v>
      </c>
      <c r="F1298" s="6" t="s">
        <v>1885</v>
      </c>
      <c r="G1298" s="33" t="s">
        <v>30</v>
      </c>
    </row>
    <row r="1299" spans="1:7" ht="14" x14ac:dyDescent="0.15">
      <c r="A1299" s="6" t="s">
        <v>247</v>
      </c>
      <c r="B1299" s="6" t="s">
        <v>248</v>
      </c>
      <c r="C1299" s="7" t="s">
        <v>399</v>
      </c>
      <c r="D1299" s="6">
        <v>129</v>
      </c>
      <c r="E1299" s="8" t="s">
        <v>1895</v>
      </c>
      <c r="F1299" s="6" t="s">
        <v>1885</v>
      </c>
      <c r="G1299" s="33" t="s">
        <v>30</v>
      </c>
    </row>
    <row r="1300" spans="1:7" ht="14" x14ac:dyDescent="0.15">
      <c r="A1300" s="6" t="s">
        <v>1125</v>
      </c>
      <c r="B1300" s="6" t="s">
        <v>1126</v>
      </c>
      <c r="C1300" s="7" t="s">
        <v>1127</v>
      </c>
      <c r="D1300" s="6">
        <v>140</v>
      </c>
      <c r="E1300" s="8" t="s">
        <v>1901</v>
      </c>
      <c r="F1300" s="6" t="s">
        <v>1885</v>
      </c>
      <c r="G1300" s="33" t="s">
        <v>88</v>
      </c>
    </row>
    <row r="1301" spans="1:7" ht="14" x14ac:dyDescent="0.15">
      <c r="A1301" s="6" t="s">
        <v>51</v>
      </c>
      <c r="B1301" s="6" t="s">
        <v>56</v>
      </c>
      <c r="C1301" s="7" t="s">
        <v>57</v>
      </c>
      <c r="D1301" s="6">
        <v>92</v>
      </c>
      <c r="E1301" s="8" t="s">
        <v>1902</v>
      </c>
      <c r="F1301" s="6" t="s">
        <v>1885</v>
      </c>
      <c r="G1301" s="33" t="s">
        <v>12</v>
      </c>
    </row>
    <row r="1302" spans="1:7" ht="14" x14ac:dyDescent="0.15">
      <c r="A1302" s="6" t="s">
        <v>51</v>
      </c>
      <c r="B1302" s="6" t="s">
        <v>496</v>
      </c>
      <c r="C1302" s="7" t="s">
        <v>497</v>
      </c>
      <c r="D1302" s="6">
        <v>7</v>
      </c>
      <c r="E1302" s="8" t="s">
        <v>1903</v>
      </c>
      <c r="F1302" s="6" t="s">
        <v>1885</v>
      </c>
      <c r="G1302" s="33" t="s">
        <v>18</v>
      </c>
    </row>
    <row r="1303" spans="1:7" ht="14" x14ac:dyDescent="0.15">
      <c r="A1303" s="6" t="s">
        <v>615</v>
      </c>
      <c r="B1303" s="6" t="s">
        <v>616</v>
      </c>
      <c r="C1303" s="7" t="s">
        <v>617</v>
      </c>
      <c r="D1303" s="6">
        <v>62</v>
      </c>
      <c r="E1303" s="8" t="s">
        <v>1904</v>
      </c>
      <c r="F1303" s="6" t="s">
        <v>1885</v>
      </c>
      <c r="G1303" s="33" t="s">
        <v>30</v>
      </c>
    </row>
    <row r="1304" spans="1:7" ht="14" x14ac:dyDescent="0.15">
      <c r="A1304" s="6" t="s">
        <v>1233</v>
      </c>
      <c r="B1304" s="6" t="s">
        <v>1233</v>
      </c>
      <c r="C1304" s="7" t="s">
        <v>1234</v>
      </c>
      <c r="D1304" s="6">
        <v>31</v>
      </c>
      <c r="E1304" s="8" t="s">
        <v>1905</v>
      </c>
      <c r="F1304" s="6" t="s">
        <v>1885</v>
      </c>
      <c r="G1304" s="33" t="s">
        <v>30</v>
      </c>
    </row>
    <row r="1305" spans="1:7" ht="14" x14ac:dyDescent="0.15">
      <c r="A1305" s="6" t="s">
        <v>551</v>
      </c>
      <c r="B1305" s="6" t="s">
        <v>552</v>
      </c>
      <c r="C1305" s="7" t="s">
        <v>553</v>
      </c>
      <c r="D1305" s="6">
        <v>7</v>
      </c>
      <c r="E1305" s="8" t="s">
        <v>1906</v>
      </c>
      <c r="F1305" s="6" t="s">
        <v>1885</v>
      </c>
      <c r="G1305" s="33" t="s">
        <v>30</v>
      </c>
    </row>
    <row r="1306" spans="1:7" ht="28" x14ac:dyDescent="0.15">
      <c r="A1306" s="6" t="s">
        <v>127</v>
      </c>
      <c r="B1306" s="6" t="s">
        <v>128</v>
      </c>
      <c r="C1306" s="7" t="s">
        <v>129</v>
      </c>
      <c r="D1306" s="6">
        <v>124</v>
      </c>
      <c r="E1306" s="8" t="s">
        <v>1907</v>
      </c>
      <c r="F1306" s="6" t="s">
        <v>1885</v>
      </c>
      <c r="G1306" s="33" t="s">
        <v>219</v>
      </c>
    </row>
    <row r="1307" spans="1:7" ht="28" x14ac:dyDescent="0.15">
      <c r="A1307" s="6" t="s">
        <v>867</v>
      </c>
      <c r="B1307" s="6" t="s">
        <v>868</v>
      </c>
      <c r="C1307" s="7" t="s">
        <v>869</v>
      </c>
      <c r="D1307" s="6">
        <v>53</v>
      </c>
      <c r="E1307" s="8" t="s">
        <v>1908</v>
      </c>
      <c r="F1307" s="6" t="s">
        <v>1885</v>
      </c>
      <c r="G1307" s="33" t="s">
        <v>30</v>
      </c>
    </row>
    <row r="1308" spans="1:7" ht="28" x14ac:dyDescent="0.15">
      <c r="A1308" s="6" t="s">
        <v>867</v>
      </c>
      <c r="B1308" s="6" t="s">
        <v>868</v>
      </c>
      <c r="C1308" s="7" t="s">
        <v>1103</v>
      </c>
      <c r="D1308" s="6">
        <v>53</v>
      </c>
      <c r="E1308" s="8" t="s">
        <v>1908</v>
      </c>
      <c r="F1308" s="6" t="s">
        <v>1885</v>
      </c>
      <c r="G1308" s="33" t="s">
        <v>30</v>
      </c>
    </row>
    <row r="1309" spans="1:7" ht="28" x14ac:dyDescent="0.15">
      <c r="A1309" s="6" t="s">
        <v>43</v>
      </c>
      <c r="B1309" s="6" t="s">
        <v>44</v>
      </c>
      <c r="C1309" s="7" t="s">
        <v>45</v>
      </c>
      <c r="D1309" s="6">
        <v>33</v>
      </c>
      <c r="E1309" s="8" t="s">
        <v>1909</v>
      </c>
      <c r="F1309" s="6" t="s">
        <v>1885</v>
      </c>
      <c r="G1309" s="33" t="s">
        <v>18</v>
      </c>
    </row>
    <row r="1310" spans="1:7" ht="28" x14ac:dyDescent="0.15">
      <c r="A1310" s="6" t="s">
        <v>47</v>
      </c>
      <c r="B1310" s="6" t="s">
        <v>475</v>
      </c>
      <c r="C1310" s="7" t="s">
        <v>476</v>
      </c>
      <c r="D1310" s="6">
        <v>81</v>
      </c>
      <c r="E1310" s="8" t="s">
        <v>1910</v>
      </c>
      <c r="F1310" s="6" t="s">
        <v>1885</v>
      </c>
      <c r="G1310" s="33" t="s">
        <v>30</v>
      </c>
    </row>
    <row r="1311" spans="1:7" ht="28" x14ac:dyDescent="0.15">
      <c r="A1311" s="6" t="s">
        <v>357</v>
      </c>
      <c r="B1311" s="6" t="s">
        <v>358</v>
      </c>
      <c r="C1311" s="7" t="s">
        <v>359</v>
      </c>
      <c r="D1311" s="6">
        <v>59</v>
      </c>
      <c r="E1311" s="8" t="s">
        <v>1911</v>
      </c>
      <c r="F1311" s="6" t="s">
        <v>1885</v>
      </c>
      <c r="G1311" s="33" t="s">
        <v>30</v>
      </c>
    </row>
    <row r="1312" spans="1:7" ht="28" x14ac:dyDescent="0.15">
      <c r="A1312" s="6" t="s">
        <v>656</v>
      </c>
      <c r="B1312" s="6" t="s">
        <v>657</v>
      </c>
      <c r="C1312" s="7" t="s">
        <v>658</v>
      </c>
      <c r="D1312" s="6">
        <v>11</v>
      </c>
      <c r="E1312" s="8" t="s">
        <v>1912</v>
      </c>
      <c r="F1312" s="6" t="s">
        <v>1882</v>
      </c>
      <c r="G1312" s="33" t="s">
        <v>18</v>
      </c>
    </row>
    <row r="1313" spans="1:7" ht="28" x14ac:dyDescent="0.15">
      <c r="A1313" s="6" t="s">
        <v>68</v>
      </c>
      <c r="B1313" s="6" t="s">
        <v>69</v>
      </c>
      <c r="C1313" s="7" t="s">
        <v>70</v>
      </c>
      <c r="D1313" s="6">
        <v>19</v>
      </c>
      <c r="E1313" s="8" t="s">
        <v>1913</v>
      </c>
      <c r="F1313" s="6" t="s">
        <v>1914</v>
      </c>
      <c r="G1313" s="33" t="s">
        <v>83</v>
      </c>
    </row>
    <row r="1314" spans="1:7" ht="14" x14ac:dyDescent="0.15">
      <c r="A1314" s="6" t="s">
        <v>68</v>
      </c>
      <c r="B1314" s="6" t="s">
        <v>69</v>
      </c>
      <c r="C1314" s="7" t="s">
        <v>70</v>
      </c>
      <c r="D1314" s="6">
        <v>20</v>
      </c>
      <c r="E1314" s="8" t="s">
        <v>1915</v>
      </c>
      <c r="F1314" s="6" t="s">
        <v>1914</v>
      </c>
      <c r="G1314" s="33" t="s">
        <v>30</v>
      </c>
    </row>
    <row r="1315" spans="1:7" ht="14" x14ac:dyDescent="0.15">
      <c r="A1315" s="6" t="s">
        <v>68</v>
      </c>
      <c r="B1315" s="6" t="s">
        <v>69</v>
      </c>
      <c r="C1315" s="7" t="s">
        <v>70</v>
      </c>
      <c r="D1315" s="6">
        <v>21</v>
      </c>
      <c r="E1315" s="8" t="s">
        <v>1916</v>
      </c>
      <c r="F1315" s="6" t="s">
        <v>1914</v>
      </c>
      <c r="G1315" s="33" t="s">
        <v>30</v>
      </c>
    </row>
    <row r="1316" spans="1:7" ht="14" x14ac:dyDescent="0.15">
      <c r="A1316" s="6" t="s">
        <v>68</v>
      </c>
      <c r="B1316" s="6" t="s">
        <v>69</v>
      </c>
      <c r="C1316" s="7" t="s">
        <v>70</v>
      </c>
      <c r="D1316" s="6">
        <v>53</v>
      </c>
      <c r="E1316" s="8" t="s">
        <v>1917</v>
      </c>
      <c r="F1316" s="6" t="s">
        <v>1914</v>
      </c>
      <c r="G1316" s="33" t="s">
        <v>136</v>
      </c>
    </row>
    <row r="1317" spans="1:7" ht="14" x14ac:dyDescent="0.15">
      <c r="A1317" s="6" t="s">
        <v>68</v>
      </c>
      <c r="B1317" s="6" t="s">
        <v>69</v>
      </c>
      <c r="C1317" s="7" t="s">
        <v>70</v>
      </c>
      <c r="D1317" s="6">
        <v>54</v>
      </c>
      <c r="E1317" s="8" t="s">
        <v>1918</v>
      </c>
      <c r="F1317" s="6" t="s">
        <v>1914</v>
      </c>
      <c r="G1317" s="33" t="s">
        <v>18</v>
      </c>
    </row>
    <row r="1318" spans="1:7" ht="14" x14ac:dyDescent="0.15">
      <c r="A1318" s="6" t="s">
        <v>68</v>
      </c>
      <c r="B1318" s="6" t="s">
        <v>69</v>
      </c>
      <c r="C1318" s="7" t="s">
        <v>70</v>
      </c>
      <c r="D1318" s="6">
        <v>55</v>
      </c>
      <c r="E1318" s="8" t="s">
        <v>1919</v>
      </c>
      <c r="F1318" s="6" t="s">
        <v>1914</v>
      </c>
      <c r="G1318" s="33" t="s">
        <v>18</v>
      </c>
    </row>
    <row r="1319" spans="1:7" ht="28" x14ac:dyDescent="0.15">
      <c r="A1319" s="6" t="s">
        <v>68</v>
      </c>
      <c r="B1319" s="6" t="s">
        <v>69</v>
      </c>
      <c r="C1319" s="7" t="s">
        <v>70</v>
      </c>
      <c r="D1319" s="6">
        <v>92</v>
      </c>
      <c r="E1319" s="8" t="s">
        <v>1913</v>
      </c>
      <c r="F1319" s="6" t="s">
        <v>1914</v>
      </c>
      <c r="G1319" s="33" t="s">
        <v>83</v>
      </c>
    </row>
    <row r="1320" spans="1:7" ht="14" x14ac:dyDescent="0.15">
      <c r="A1320" s="6" t="s">
        <v>68</v>
      </c>
      <c r="B1320" s="6" t="s">
        <v>69</v>
      </c>
      <c r="C1320" s="7" t="s">
        <v>70</v>
      </c>
      <c r="D1320" s="6">
        <v>93</v>
      </c>
      <c r="E1320" s="8" t="s">
        <v>1915</v>
      </c>
      <c r="F1320" s="6" t="s">
        <v>1914</v>
      </c>
      <c r="G1320" s="33" t="s">
        <v>30</v>
      </c>
    </row>
    <row r="1321" spans="1:7" ht="14" x14ac:dyDescent="0.15">
      <c r="A1321" s="6" t="s">
        <v>68</v>
      </c>
      <c r="B1321" s="6" t="s">
        <v>69</v>
      </c>
      <c r="C1321" s="7" t="s">
        <v>70</v>
      </c>
      <c r="D1321" s="6">
        <v>94</v>
      </c>
      <c r="E1321" s="8" t="s">
        <v>1916</v>
      </c>
      <c r="F1321" s="6" t="s">
        <v>1914</v>
      </c>
      <c r="G1321" s="33" t="s">
        <v>30</v>
      </c>
    </row>
    <row r="1322" spans="1:7" ht="14" x14ac:dyDescent="0.15">
      <c r="A1322" s="6" t="s">
        <v>68</v>
      </c>
      <c r="B1322" s="6" t="s">
        <v>69</v>
      </c>
      <c r="C1322" s="7" t="s">
        <v>70</v>
      </c>
      <c r="D1322" s="6">
        <v>104</v>
      </c>
      <c r="E1322" s="8" t="s">
        <v>1920</v>
      </c>
      <c r="F1322" s="6" t="s">
        <v>1914</v>
      </c>
      <c r="G1322" s="33" t="s">
        <v>83</v>
      </c>
    </row>
    <row r="1323" spans="1:7" ht="14" x14ac:dyDescent="0.15">
      <c r="A1323" s="6" t="s">
        <v>68</v>
      </c>
      <c r="B1323" s="6" t="s">
        <v>69</v>
      </c>
      <c r="C1323" s="7" t="s">
        <v>70</v>
      </c>
      <c r="D1323" s="6">
        <v>114</v>
      </c>
      <c r="E1323" s="8" t="s">
        <v>1921</v>
      </c>
      <c r="F1323" s="6" t="s">
        <v>1914</v>
      </c>
      <c r="G1323" s="33" t="s">
        <v>83</v>
      </c>
    </row>
    <row r="1324" spans="1:7" ht="14" x14ac:dyDescent="0.15">
      <c r="A1324" s="6" t="s">
        <v>68</v>
      </c>
      <c r="B1324" s="6" t="s">
        <v>69</v>
      </c>
      <c r="C1324" s="7" t="s">
        <v>70</v>
      </c>
      <c r="D1324" s="6">
        <v>246</v>
      </c>
      <c r="E1324" s="8" t="s">
        <v>1922</v>
      </c>
      <c r="F1324" s="6" t="s">
        <v>1914</v>
      </c>
      <c r="G1324" s="33" t="s">
        <v>12</v>
      </c>
    </row>
    <row r="1325" spans="1:7" ht="14" x14ac:dyDescent="0.15">
      <c r="A1325" s="6" t="s">
        <v>1923</v>
      </c>
      <c r="B1325" s="6" t="s">
        <v>1924</v>
      </c>
      <c r="C1325" s="7" t="s">
        <v>1925</v>
      </c>
      <c r="D1325" s="6">
        <v>83</v>
      </c>
      <c r="E1325" s="8" t="s">
        <v>1926</v>
      </c>
      <c r="F1325" s="6" t="s">
        <v>1914</v>
      </c>
      <c r="G1325" s="33" t="s">
        <v>12</v>
      </c>
    </row>
    <row r="1326" spans="1:7" ht="14" x14ac:dyDescent="0.15">
      <c r="A1326" s="6" t="s">
        <v>118</v>
      </c>
      <c r="B1326" s="6" t="s">
        <v>119</v>
      </c>
      <c r="C1326" s="7" t="s">
        <v>120</v>
      </c>
      <c r="D1326" s="6">
        <v>132</v>
      </c>
      <c r="E1326" s="8" t="s">
        <v>1927</v>
      </c>
      <c r="F1326" s="6" t="s">
        <v>1914</v>
      </c>
      <c r="G1326" s="33" t="s">
        <v>18</v>
      </c>
    </row>
    <row r="1327" spans="1:7" ht="14" x14ac:dyDescent="0.15">
      <c r="A1327" s="6" t="s">
        <v>118</v>
      </c>
      <c r="B1327" s="6" t="s">
        <v>119</v>
      </c>
      <c r="C1327" s="7" t="s">
        <v>120</v>
      </c>
      <c r="D1327" s="6">
        <v>134</v>
      </c>
      <c r="E1327" s="8" t="s">
        <v>1928</v>
      </c>
      <c r="F1327" s="6" t="s">
        <v>1914</v>
      </c>
      <c r="G1327" s="33" t="s">
        <v>23</v>
      </c>
    </row>
    <row r="1328" spans="1:7" ht="14" x14ac:dyDescent="0.15">
      <c r="A1328" s="6" t="s">
        <v>1402</v>
      </c>
      <c r="B1328" s="6" t="s">
        <v>1403</v>
      </c>
      <c r="C1328" s="7" t="s">
        <v>1404</v>
      </c>
      <c r="D1328" s="6">
        <v>44</v>
      </c>
      <c r="E1328" s="8" t="s">
        <v>1929</v>
      </c>
      <c r="F1328" s="6" t="s">
        <v>1914</v>
      </c>
      <c r="G1328" s="33" t="s">
        <v>30</v>
      </c>
    </row>
    <row r="1329" spans="1:7" ht="14" x14ac:dyDescent="0.15">
      <c r="A1329" s="6" t="s">
        <v>1402</v>
      </c>
      <c r="B1329" s="6" t="s">
        <v>1403</v>
      </c>
      <c r="C1329" s="7" t="s">
        <v>1404</v>
      </c>
      <c r="D1329" s="6">
        <v>46</v>
      </c>
      <c r="E1329" s="8" t="s">
        <v>1930</v>
      </c>
      <c r="F1329" s="6" t="s">
        <v>1914</v>
      </c>
      <c r="G1329" s="33" t="s">
        <v>83</v>
      </c>
    </row>
    <row r="1330" spans="1:7" ht="14" x14ac:dyDescent="0.15">
      <c r="A1330" s="6" t="s">
        <v>724</v>
      </c>
      <c r="B1330" s="6" t="s">
        <v>724</v>
      </c>
      <c r="C1330" s="7" t="s">
        <v>725</v>
      </c>
      <c r="D1330" s="6">
        <v>57</v>
      </c>
      <c r="E1330" s="8" t="s">
        <v>1931</v>
      </c>
      <c r="F1330" s="6" t="s">
        <v>1914</v>
      </c>
      <c r="G1330" s="33" t="s">
        <v>136</v>
      </c>
    </row>
    <row r="1331" spans="1:7" ht="14" x14ac:dyDescent="0.15">
      <c r="A1331" s="6" t="s">
        <v>619</v>
      </c>
      <c r="B1331" s="6" t="s">
        <v>1932</v>
      </c>
      <c r="C1331" s="7" t="s">
        <v>1933</v>
      </c>
      <c r="D1331" s="6">
        <v>4</v>
      </c>
      <c r="E1331" s="8" t="s">
        <v>1934</v>
      </c>
      <c r="F1331" s="6" t="s">
        <v>1914</v>
      </c>
      <c r="G1331" s="33" t="s">
        <v>23</v>
      </c>
    </row>
    <row r="1332" spans="1:7" ht="14" x14ac:dyDescent="0.15">
      <c r="A1332" s="6" t="s">
        <v>619</v>
      </c>
      <c r="B1332" s="6" t="s">
        <v>1932</v>
      </c>
      <c r="C1332" s="7" t="s">
        <v>1933</v>
      </c>
      <c r="D1332" s="6">
        <v>70</v>
      </c>
      <c r="E1332" s="8" t="s">
        <v>1935</v>
      </c>
      <c r="F1332" s="6" t="s">
        <v>1914</v>
      </c>
      <c r="G1332" s="33" t="s">
        <v>18</v>
      </c>
    </row>
    <row r="1333" spans="1:7" ht="14" x14ac:dyDescent="0.15">
      <c r="A1333" s="6" t="s">
        <v>619</v>
      </c>
      <c r="B1333" s="6" t="s">
        <v>1932</v>
      </c>
      <c r="C1333" s="7" t="s">
        <v>1933</v>
      </c>
      <c r="D1333" s="6">
        <v>75</v>
      </c>
      <c r="E1333" s="8" t="s">
        <v>1936</v>
      </c>
      <c r="F1333" s="6" t="s">
        <v>1914</v>
      </c>
      <c r="G1333" s="33" t="s">
        <v>12</v>
      </c>
    </row>
    <row r="1334" spans="1:7" ht="14" x14ac:dyDescent="0.15">
      <c r="A1334" s="6" t="s">
        <v>619</v>
      </c>
      <c r="B1334" s="6" t="s">
        <v>620</v>
      </c>
      <c r="C1334" s="7" t="s">
        <v>621</v>
      </c>
      <c r="D1334" s="6">
        <v>124</v>
      </c>
      <c r="E1334" s="8" t="s">
        <v>1937</v>
      </c>
      <c r="F1334" s="6" t="s">
        <v>1914</v>
      </c>
      <c r="G1334" s="33" t="s">
        <v>83</v>
      </c>
    </row>
    <row r="1335" spans="1:7" ht="28" x14ac:dyDescent="0.15">
      <c r="A1335" s="6" t="s">
        <v>619</v>
      </c>
      <c r="B1335" s="6" t="s">
        <v>620</v>
      </c>
      <c r="C1335" s="7" t="s">
        <v>621</v>
      </c>
      <c r="D1335" s="6">
        <v>137</v>
      </c>
      <c r="E1335" s="8" t="s">
        <v>1938</v>
      </c>
      <c r="F1335" s="6" t="s">
        <v>1914</v>
      </c>
      <c r="G1335" s="33" t="s">
        <v>30</v>
      </c>
    </row>
    <row r="1336" spans="1:7" ht="14" x14ac:dyDescent="0.15">
      <c r="A1336" s="6" t="s">
        <v>619</v>
      </c>
      <c r="B1336" s="6" t="s">
        <v>620</v>
      </c>
      <c r="C1336" s="7" t="s">
        <v>621</v>
      </c>
      <c r="D1336" s="6">
        <v>143</v>
      </c>
      <c r="E1336" s="8" t="s">
        <v>1939</v>
      </c>
      <c r="F1336" s="6" t="s">
        <v>1914</v>
      </c>
      <c r="G1336" s="33" t="s">
        <v>30</v>
      </c>
    </row>
    <row r="1337" spans="1:7" ht="14" x14ac:dyDescent="0.15">
      <c r="A1337" s="6" t="s">
        <v>123</v>
      </c>
      <c r="B1337" s="6" t="s">
        <v>124</v>
      </c>
      <c r="C1337" s="7" t="s">
        <v>125</v>
      </c>
      <c r="D1337" s="6">
        <v>3</v>
      </c>
      <c r="E1337" s="8" t="s">
        <v>1940</v>
      </c>
      <c r="F1337" s="6" t="s">
        <v>1914</v>
      </c>
      <c r="G1337" s="33" t="s">
        <v>30</v>
      </c>
    </row>
    <row r="1338" spans="1:7" ht="14" x14ac:dyDescent="0.15">
      <c r="A1338" s="6" t="s">
        <v>127</v>
      </c>
      <c r="B1338" s="6" t="s">
        <v>128</v>
      </c>
      <c r="C1338" s="7" t="s">
        <v>129</v>
      </c>
      <c r="D1338" s="6">
        <v>94</v>
      </c>
      <c r="E1338" s="8" t="s">
        <v>1941</v>
      </c>
      <c r="F1338" s="6" t="s">
        <v>1914</v>
      </c>
      <c r="G1338" s="33" t="s">
        <v>30</v>
      </c>
    </row>
    <row r="1339" spans="1:7" ht="28" x14ac:dyDescent="0.15">
      <c r="A1339" s="6" t="s">
        <v>127</v>
      </c>
      <c r="B1339" s="6" t="s">
        <v>128</v>
      </c>
      <c r="C1339" s="7" t="s">
        <v>129</v>
      </c>
      <c r="D1339" s="6">
        <v>97</v>
      </c>
      <c r="E1339" s="8" t="s">
        <v>1942</v>
      </c>
      <c r="F1339" s="6" t="s">
        <v>1914</v>
      </c>
      <c r="G1339" s="33" t="s">
        <v>30</v>
      </c>
    </row>
    <row r="1340" spans="1:7" ht="28" x14ac:dyDescent="0.15">
      <c r="A1340" s="6" t="s">
        <v>127</v>
      </c>
      <c r="B1340" s="6" t="s">
        <v>128</v>
      </c>
      <c r="C1340" s="7" t="s">
        <v>129</v>
      </c>
      <c r="D1340" s="6">
        <v>103</v>
      </c>
      <c r="E1340" s="8" t="s">
        <v>1943</v>
      </c>
      <c r="F1340" s="6" t="s">
        <v>1914</v>
      </c>
      <c r="G1340" s="33" t="s">
        <v>30</v>
      </c>
    </row>
    <row r="1341" spans="1:7" ht="28" x14ac:dyDescent="0.15">
      <c r="A1341" s="6" t="s">
        <v>127</v>
      </c>
      <c r="B1341" s="6" t="s">
        <v>128</v>
      </c>
      <c r="C1341" s="7" t="s">
        <v>129</v>
      </c>
      <c r="D1341" s="6">
        <v>132</v>
      </c>
      <c r="E1341" s="8" t="s">
        <v>1944</v>
      </c>
      <c r="F1341" s="6" t="s">
        <v>1914</v>
      </c>
      <c r="G1341" s="33" t="s">
        <v>30</v>
      </c>
    </row>
    <row r="1342" spans="1:7" ht="14" x14ac:dyDescent="0.15">
      <c r="A1342" s="6" t="s">
        <v>127</v>
      </c>
      <c r="B1342" s="6" t="s">
        <v>128</v>
      </c>
      <c r="C1342" s="7" t="s">
        <v>129</v>
      </c>
      <c r="D1342" s="6">
        <v>138</v>
      </c>
      <c r="E1342" s="8" t="s">
        <v>1945</v>
      </c>
      <c r="F1342" s="6" t="s">
        <v>1914</v>
      </c>
      <c r="G1342" s="33" t="s">
        <v>342</v>
      </c>
    </row>
    <row r="1343" spans="1:7" ht="14" x14ac:dyDescent="0.15">
      <c r="A1343" s="6" t="s">
        <v>1409</v>
      </c>
      <c r="B1343" s="6" t="s">
        <v>1409</v>
      </c>
      <c r="C1343" s="7" t="s">
        <v>1410</v>
      </c>
      <c r="D1343" s="6">
        <v>58</v>
      </c>
      <c r="E1343" s="8" t="s">
        <v>1946</v>
      </c>
      <c r="F1343" s="6" t="s">
        <v>1914</v>
      </c>
      <c r="G1343" s="33" t="s">
        <v>88</v>
      </c>
    </row>
    <row r="1344" spans="1:7" ht="28" x14ac:dyDescent="0.15">
      <c r="A1344" s="6" t="s">
        <v>1409</v>
      </c>
      <c r="B1344" s="6" t="s">
        <v>1409</v>
      </c>
      <c r="C1344" s="7" t="s">
        <v>1410</v>
      </c>
      <c r="D1344" s="6">
        <v>104</v>
      </c>
      <c r="E1344" s="8" t="s">
        <v>1947</v>
      </c>
      <c r="F1344" s="6" t="s">
        <v>1914</v>
      </c>
      <c r="G1344" s="33" t="s">
        <v>18</v>
      </c>
    </row>
    <row r="1345" spans="1:7" ht="14" x14ac:dyDescent="0.15">
      <c r="A1345" s="6" t="s">
        <v>1409</v>
      </c>
      <c r="B1345" s="6" t="s">
        <v>1409</v>
      </c>
      <c r="C1345" s="7" t="s">
        <v>1410</v>
      </c>
      <c r="D1345" s="6">
        <v>110</v>
      </c>
      <c r="E1345" s="8" t="s">
        <v>1948</v>
      </c>
      <c r="F1345" s="6" t="s">
        <v>1914</v>
      </c>
      <c r="G1345" s="33" t="s">
        <v>18</v>
      </c>
    </row>
    <row r="1346" spans="1:7" ht="14" x14ac:dyDescent="0.15">
      <c r="A1346" s="6" t="s">
        <v>1409</v>
      </c>
      <c r="B1346" s="6" t="s">
        <v>1409</v>
      </c>
      <c r="C1346" s="7" t="s">
        <v>1410</v>
      </c>
      <c r="D1346" s="6">
        <v>112</v>
      </c>
      <c r="E1346" s="8" t="s">
        <v>1949</v>
      </c>
      <c r="F1346" s="6" t="s">
        <v>1914</v>
      </c>
      <c r="G1346" s="33" t="s">
        <v>23</v>
      </c>
    </row>
    <row r="1347" spans="1:7" ht="28" x14ac:dyDescent="0.15">
      <c r="A1347" s="6" t="s">
        <v>131</v>
      </c>
      <c r="B1347" s="6" t="s">
        <v>132</v>
      </c>
      <c r="C1347" s="7" t="s">
        <v>133</v>
      </c>
      <c r="D1347" s="6">
        <v>8</v>
      </c>
      <c r="E1347" s="8" t="s">
        <v>1950</v>
      </c>
      <c r="F1347" s="6" t="s">
        <v>1914</v>
      </c>
      <c r="G1347" s="33" t="s">
        <v>23</v>
      </c>
    </row>
    <row r="1348" spans="1:7" ht="28" x14ac:dyDescent="0.15">
      <c r="A1348" s="6" t="s">
        <v>131</v>
      </c>
      <c r="B1348" s="6" t="s">
        <v>132</v>
      </c>
      <c r="C1348" s="7" t="s">
        <v>133</v>
      </c>
      <c r="D1348" s="6">
        <v>9</v>
      </c>
      <c r="E1348" s="8" t="s">
        <v>1951</v>
      </c>
      <c r="F1348" s="6" t="s">
        <v>1914</v>
      </c>
      <c r="G1348" s="33" t="s">
        <v>136</v>
      </c>
    </row>
    <row r="1349" spans="1:7" ht="14" x14ac:dyDescent="0.15">
      <c r="A1349" s="6" t="s">
        <v>131</v>
      </c>
      <c r="B1349" s="6" t="s">
        <v>132</v>
      </c>
      <c r="C1349" s="7" t="s">
        <v>133</v>
      </c>
      <c r="D1349" s="6">
        <v>39</v>
      </c>
      <c r="E1349" s="8" t="s">
        <v>1952</v>
      </c>
      <c r="F1349" s="6" t="s">
        <v>1914</v>
      </c>
      <c r="G1349" s="33" t="s">
        <v>83</v>
      </c>
    </row>
    <row r="1350" spans="1:7" ht="14" x14ac:dyDescent="0.15">
      <c r="A1350" s="6" t="s">
        <v>131</v>
      </c>
      <c r="B1350" s="6" t="s">
        <v>132</v>
      </c>
      <c r="C1350" s="7" t="s">
        <v>133</v>
      </c>
      <c r="D1350" s="6">
        <v>84</v>
      </c>
      <c r="E1350" s="8" t="s">
        <v>1953</v>
      </c>
      <c r="F1350" s="6" t="s">
        <v>1914</v>
      </c>
      <c r="G1350" s="33" t="s">
        <v>136</v>
      </c>
    </row>
    <row r="1351" spans="1:7" ht="14" x14ac:dyDescent="0.15">
      <c r="A1351" s="6" t="s">
        <v>131</v>
      </c>
      <c r="B1351" s="6" t="s">
        <v>132</v>
      </c>
      <c r="C1351" s="7" t="s">
        <v>133</v>
      </c>
      <c r="D1351" s="6">
        <v>85</v>
      </c>
      <c r="E1351" s="8" t="s">
        <v>1954</v>
      </c>
      <c r="F1351" s="6" t="s">
        <v>1914</v>
      </c>
      <c r="G1351" s="33" t="s">
        <v>18</v>
      </c>
    </row>
    <row r="1352" spans="1:7" ht="14" x14ac:dyDescent="0.15">
      <c r="A1352" s="6" t="s">
        <v>131</v>
      </c>
      <c r="B1352" s="6" t="s">
        <v>132</v>
      </c>
      <c r="C1352" s="7" t="s">
        <v>133</v>
      </c>
      <c r="D1352" s="6">
        <v>112</v>
      </c>
      <c r="E1352" s="8" t="s">
        <v>1955</v>
      </c>
      <c r="F1352" s="6" t="s">
        <v>1914</v>
      </c>
      <c r="G1352" s="33" t="s">
        <v>18</v>
      </c>
    </row>
    <row r="1353" spans="1:7" ht="28" x14ac:dyDescent="0.15">
      <c r="A1353" s="6" t="s">
        <v>131</v>
      </c>
      <c r="B1353" s="6" t="s">
        <v>132</v>
      </c>
      <c r="C1353" s="7" t="s">
        <v>133</v>
      </c>
      <c r="D1353" s="6">
        <v>178</v>
      </c>
      <c r="E1353" s="8" t="s">
        <v>1956</v>
      </c>
      <c r="F1353" s="6" t="s">
        <v>1914</v>
      </c>
      <c r="G1353" s="33" t="s">
        <v>30</v>
      </c>
    </row>
    <row r="1354" spans="1:7" ht="14" x14ac:dyDescent="0.15">
      <c r="A1354" s="6" t="s">
        <v>140</v>
      </c>
      <c r="B1354" s="6" t="s">
        <v>141</v>
      </c>
      <c r="C1354" s="7" t="s">
        <v>142</v>
      </c>
      <c r="D1354" s="6">
        <v>5</v>
      </c>
      <c r="E1354" s="8" t="s">
        <v>1957</v>
      </c>
      <c r="F1354" s="6" t="s">
        <v>1914</v>
      </c>
      <c r="G1354" s="33" t="s">
        <v>18</v>
      </c>
    </row>
    <row r="1355" spans="1:7" ht="28" x14ac:dyDescent="0.15">
      <c r="A1355" s="6" t="s">
        <v>140</v>
      </c>
      <c r="B1355" s="6" t="s">
        <v>141</v>
      </c>
      <c r="C1355" s="7" t="s">
        <v>142</v>
      </c>
      <c r="D1355" s="6">
        <v>8</v>
      </c>
      <c r="E1355" s="8" t="s">
        <v>1958</v>
      </c>
      <c r="F1355" s="6" t="s">
        <v>1914</v>
      </c>
      <c r="G1355" s="33" t="s">
        <v>18</v>
      </c>
    </row>
    <row r="1356" spans="1:7" ht="14" x14ac:dyDescent="0.15">
      <c r="A1356" s="6" t="s">
        <v>140</v>
      </c>
      <c r="B1356" s="6" t="s">
        <v>141</v>
      </c>
      <c r="C1356" s="7" t="s">
        <v>142</v>
      </c>
      <c r="D1356" s="6">
        <v>12</v>
      </c>
      <c r="E1356" s="8" t="s">
        <v>1959</v>
      </c>
      <c r="F1356" s="6" t="s">
        <v>1914</v>
      </c>
      <c r="G1356" s="33" t="s">
        <v>18</v>
      </c>
    </row>
    <row r="1357" spans="1:7" ht="28" x14ac:dyDescent="0.15">
      <c r="A1357" s="6" t="s">
        <v>140</v>
      </c>
      <c r="B1357" s="6" t="s">
        <v>141</v>
      </c>
      <c r="C1357" s="7" t="s">
        <v>142</v>
      </c>
      <c r="D1357" s="6">
        <v>15</v>
      </c>
      <c r="E1357" s="8" t="s">
        <v>1960</v>
      </c>
      <c r="F1357" s="6" t="s">
        <v>1914</v>
      </c>
      <c r="G1357" s="33" t="s">
        <v>18</v>
      </c>
    </row>
    <row r="1358" spans="1:7" ht="14" x14ac:dyDescent="0.15">
      <c r="A1358" s="6" t="s">
        <v>140</v>
      </c>
      <c r="B1358" s="6" t="s">
        <v>141</v>
      </c>
      <c r="C1358" s="7" t="s">
        <v>142</v>
      </c>
      <c r="D1358" s="6">
        <v>104</v>
      </c>
      <c r="E1358" s="8" t="s">
        <v>1961</v>
      </c>
      <c r="F1358" s="6" t="s">
        <v>1914</v>
      </c>
      <c r="G1358" s="33" t="s">
        <v>30</v>
      </c>
    </row>
    <row r="1359" spans="1:7" ht="14" x14ac:dyDescent="0.15">
      <c r="A1359" s="6" t="s">
        <v>140</v>
      </c>
      <c r="B1359" s="6" t="s">
        <v>141</v>
      </c>
      <c r="C1359" s="7" t="s">
        <v>142</v>
      </c>
      <c r="D1359" s="6">
        <v>114</v>
      </c>
      <c r="E1359" s="8" t="s">
        <v>1962</v>
      </c>
      <c r="F1359" s="6" t="s">
        <v>1914</v>
      </c>
      <c r="G1359" s="33" t="s">
        <v>88</v>
      </c>
    </row>
    <row r="1360" spans="1:7" ht="28" x14ac:dyDescent="0.15">
      <c r="A1360" s="6" t="s">
        <v>140</v>
      </c>
      <c r="B1360" s="6" t="s">
        <v>141</v>
      </c>
      <c r="C1360" s="7" t="s">
        <v>142</v>
      </c>
      <c r="D1360" s="6">
        <v>125</v>
      </c>
      <c r="E1360" s="8" t="s">
        <v>1963</v>
      </c>
      <c r="F1360" s="6" t="s">
        <v>1914</v>
      </c>
      <c r="G1360" s="33" t="s">
        <v>88</v>
      </c>
    </row>
    <row r="1361" spans="1:7" ht="14" x14ac:dyDescent="0.15">
      <c r="A1361" s="6" t="s">
        <v>140</v>
      </c>
      <c r="B1361" s="6" t="s">
        <v>141</v>
      </c>
      <c r="C1361" s="7" t="s">
        <v>142</v>
      </c>
      <c r="D1361" s="6">
        <v>138</v>
      </c>
      <c r="E1361" s="8" t="s">
        <v>1964</v>
      </c>
      <c r="F1361" s="6" t="s">
        <v>1914</v>
      </c>
      <c r="G1361" s="33" t="s">
        <v>88</v>
      </c>
    </row>
    <row r="1362" spans="1:7" ht="14" x14ac:dyDescent="0.15">
      <c r="A1362" s="6" t="s">
        <v>140</v>
      </c>
      <c r="B1362" s="6" t="s">
        <v>141</v>
      </c>
      <c r="C1362" s="7" t="s">
        <v>142</v>
      </c>
      <c r="D1362" s="6">
        <v>150</v>
      </c>
      <c r="E1362" s="8" t="s">
        <v>1965</v>
      </c>
      <c r="F1362" s="6" t="s">
        <v>1914</v>
      </c>
      <c r="G1362" s="33" t="s">
        <v>88</v>
      </c>
    </row>
    <row r="1363" spans="1:7" ht="14" x14ac:dyDescent="0.15">
      <c r="A1363" s="6" t="s">
        <v>140</v>
      </c>
      <c r="B1363" s="6" t="s">
        <v>141</v>
      </c>
      <c r="C1363" s="7" t="s">
        <v>142</v>
      </c>
      <c r="D1363" s="6">
        <v>154</v>
      </c>
      <c r="E1363" s="8" t="s">
        <v>1966</v>
      </c>
      <c r="F1363" s="6" t="s">
        <v>1914</v>
      </c>
      <c r="G1363" s="33" t="s">
        <v>88</v>
      </c>
    </row>
    <row r="1364" spans="1:7" ht="14" x14ac:dyDescent="0.15">
      <c r="A1364" s="6" t="s">
        <v>140</v>
      </c>
      <c r="B1364" s="6" t="s">
        <v>141</v>
      </c>
      <c r="C1364" s="7" t="s">
        <v>142</v>
      </c>
      <c r="D1364" s="6">
        <v>157</v>
      </c>
      <c r="E1364" s="8" t="s">
        <v>1967</v>
      </c>
      <c r="F1364" s="6" t="s">
        <v>1914</v>
      </c>
      <c r="G1364" s="33" t="s">
        <v>88</v>
      </c>
    </row>
    <row r="1365" spans="1:7" ht="14" x14ac:dyDescent="0.15">
      <c r="A1365" s="6" t="s">
        <v>140</v>
      </c>
      <c r="B1365" s="6" t="s">
        <v>141</v>
      </c>
      <c r="C1365" s="7" t="s">
        <v>142</v>
      </c>
      <c r="D1365" s="6">
        <v>245</v>
      </c>
      <c r="E1365" s="8" t="s">
        <v>1968</v>
      </c>
      <c r="F1365" s="6" t="s">
        <v>1914</v>
      </c>
      <c r="G1365" s="33" t="s">
        <v>30</v>
      </c>
    </row>
    <row r="1366" spans="1:7" ht="14" x14ac:dyDescent="0.15">
      <c r="A1366" s="6" t="s">
        <v>140</v>
      </c>
      <c r="B1366" s="6" t="s">
        <v>141</v>
      </c>
      <c r="C1366" s="7" t="s">
        <v>142</v>
      </c>
      <c r="D1366" s="6">
        <v>258</v>
      </c>
      <c r="E1366" s="8" t="s">
        <v>1969</v>
      </c>
      <c r="F1366" s="6" t="s">
        <v>1914</v>
      </c>
      <c r="G1366" s="33" t="s">
        <v>30</v>
      </c>
    </row>
    <row r="1367" spans="1:7" ht="28" x14ac:dyDescent="0.15">
      <c r="A1367" s="6" t="s">
        <v>140</v>
      </c>
      <c r="B1367" s="6" t="s">
        <v>141</v>
      </c>
      <c r="C1367" s="7" t="s">
        <v>142</v>
      </c>
      <c r="D1367" s="6">
        <v>260</v>
      </c>
      <c r="E1367" s="8" t="s">
        <v>1970</v>
      </c>
      <c r="F1367" s="6" t="s">
        <v>1914</v>
      </c>
      <c r="G1367" s="33" t="s">
        <v>30</v>
      </c>
    </row>
    <row r="1368" spans="1:7" ht="28" x14ac:dyDescent="0.15">
      <c r="A1368" s="6" t="s">
        <v>140</v>
      </c>
      <c r="B1368" s="6" t="s">
        <v>141</v>
      </c>
      <c r="C1368" s="7" t="s">
        <v>142</v>
      </c>
      <c r="D1368" s="6">
        <v>261</v>
      </c>
      <c r="E1368" s="8" t="s">
        <v>1971</v>
      </c>
      <c r="F1368" s="6" t="s">
        <v>1914</v>
      </c>
      <c r="G1368" s="33" t="s">
        <v>30</v>
      </c>
    </row>
    <row r="1369" spans="1:7" ht="28" x14ac:dyDescent="0.15">
      <c r="A1369" s="6" t="s">
        <v>140</v>
      </c>
      <c r="B1369" s="6" t="s">
        <v>141</v>
      </c>
      <c r="C1369" s="7" t="s">
        <v>142</v>
      </c>
      <c r="D1369" s="6">
        <v>263</v>
      </c>
      <c r="E1369" s="8" t="s">
        <v>1972</v>
      </c>
      <c r="F1369" s="6" t="s">
        <v>1914</v>
      </c>
      <c r="G1369" s="33" t="s">
        <v>88</v>
      </c>
    </row>
    <row r="1370" spans="1:7" ht="14" x14ac:dyDescent="0.15">
      <c r="A1370" s="6" t="s">
        <v>140</v>
      </c>
      <c r="B1370" s="6" t="s">
        <v>141</v>
      </c>
      <c r="C1370" s="7" t="s">
        <v>142</v>
      </c>
      <c r="D1370" s="6">
        <v>270</v>
      </c>
      <c r="E1370" s="8" t="s">
        <v>1973</v>
      </c>
      <c r="F1370" s="6" t="s">
        <v>1914</v>
      </c>
      <c r="G1370" s="33" t="s">
        <v>342</v>
      </c>
    </row>
    <row r="1371" spans="1:7" ht="14" x14ac:dyDescent="0.15">
      <c r="A1371" s="6" t="s">
        <v>140</v>
      </c>
      <c r="B1371" s="6" t="s">
        <v>141</v>
      </c>
      <c r="C1371" s="7" t="s">
        <v>142</v>
      </c>
      <c r="D1371" s="6">
        <v>281</v>
      </c>
      <c r="E1371" s="8" t="s">
        <v>1974</v>
      </c>
      <c r="F1371" s="6" t="s">
        <v>1914</v>
      </c>
      <c r="G1371" s="33" t="s">
        <v>136</v>
      </c>
    </row>
    <row r="1372" spans="1:7" ht="14" x14ac:dyDescent="0.15">
      <c r="A1372" s="6" t="s">
        <v>153</v>
      </c>
      <c r="B1372" s="6" t="s">
        <v>153</v>
      </c>
      <c r="C1372" s="7" t="s">
        <v>154</v>
      </c>
      <c r="D1372" s="6">
        <v>16</v>
      </c>
      <c r="E1372" s="8" t="s">
        <v>1975</v>
      </c>
      <c r="F1372" s="6" t="s">
        <v>1914</v>
      </c>
      <c r="G1372" s="33" t="s">
        <v>18</v>
      </c>
    </row>
    <row r="1373" spans="1:7" ht="14" x14ac:dyDescent="0.15">
      <c r="A1373" s="6" t="s">
        <v>153</v>
      </c>
      <c r="B1373" s="6" t="s">
        <v>153</v>
      </c>
      <c r="C1373" s="7" t="s">
        <v>154</v>
      </c>
      <c r="D1373" s="6">
        <v>95</v>
      </c>
      <c r="E1373" s="8" t="s">
        <v>1976</v>
      </c>
      <c r="F1373" s="6" t="s">
        <v>1914</v>
      </c>
      <c r="G1373" s="33" t="s">
        <v>12</v>
      </c>
    </row>
    <row r="1374" spans="1:7" ht="14" x14ac:dyDescent="0.15">
      <c r="A1374" s="6" t="s">
        <v>153</v>
      </c>
      <c r="B1374" s="6" t="s">
        <v>153</v>
      </c>
      <c r="C1374" s="7" t="s">
        <v>154</v>
      </c>
      <c r="D1374" s="6">
        <v>145</v>
      </c>
      <c r="E1374" s="8" t="s">
        <v>1977</v>
      </c>
      <c r="F1374" s="6" t="s">
        <v>1914</v>
      </c>
      <c r="G1374" s="33" t="s">
        <v>88</v>
      </c>
    </row>
    <row r="1375" spans="1:7" ht="14" x14ac:dyDescent="0.15">
      <c r="A1375" s="6" t="s">
        <v>153</v>
      </c>
      <c r="B1375" s="6" t="s">
        <v>153</v>
      </c>
      <c r="C1375" s="7" t="s">
        <v>154</v>
      </c>
      <c r="D1375" s="6">
        <v>148</v>
      </c>
      <c r="E1375" s="8" t="s">
        <v>1978</v>
      </c>
      <c r="F1375" s="6" t="s">
        <v>1914</v>
      </c>
      <c r="G1375" s="33" t="s">
        <v>88</v>
      </c>
    </row>
    <row r="1376" spans="1:7" ht="14" x14ac:dyDescent="0.15">
      <c r="A1376" s="6" t="s">
        <v>666</v>
      </c>
      <c r="B1376" s="6" t="s">
        <v>667</v>
      </c>
      <c r="C1376" s="7" t="s">
        <v>668</v>
      </c>
      <c r="D1376" s="6">
        <v>21</v>
      </c>
      <c r="E1376" s="8" t="s">
        <v>1979</v>
      </c>
      <c r="F1376" s="6" t="s">
        <v>1914</v>
      </c>
      <c r="G1376" s="33" t="s">
        <v>88</v>
      </c>
    </row>
    <row r="1377" spans="1:7" ht="14" x14ac:dyDescent="0.15">
      <c r="A1377" s="6" t="s">
        <v>666</v>
      </c>
      <c r="B1377" s="6" t="s">
        <v>667</v>
      </c>
      <c r="C1377" s="7" t="s">
        <v>668</v>
      </c>
      <c r="D1377" s="6">
        <v>39</v>
      </c>
      <c r="E1377" s="8" t="s">
        <v>1980</v>
      </c>
      <c r="F1377" s="6" t="s">
        <v>1914</v>
      </c>
      <c r="G1377" s="33" t="s">
        <v>136</v>
      </c>
    </row>
    <row r="1378" spans="1:7" ht="28" x14ac:dyDescent="0.15">
      <c r="A1378" s="6" t="s">
        <v>666</v>
      </c>
      <c r="B1378" s="6" t="s">
        <v>667</v>
      </c>
      <c r="C1378" s="7" t="s">
        <v>668</v>
      </c>
      <c r="D1378" s="6">
        <v>58</v>
      </c>
      <c r="E1378" s="8" t="s">
        <v>1981</v>
      </c>
      <c r="F1378" s="6" t="s">
        <v>1914</v>
      </c>
      <c r="G1378" s="33" t="s">
        <v>12</v>
      </c>
    </row>
    <row r="1379" spans="1:7" ht="14" x14ac:dyDescent="0.15">
      <c r="A1379" s="6" t="s">
        <v>670</v>
      </c>
      <c r="B1379" s="6" t="s">
        <v>671</v>
      </c>
      <c r="C1379" s="7" t="s">
        <v>672</v>
      </c>
      <c r="D1379" s="6">
        <v>52</v>
      </c>
      <c r="E1379" s="8" t="s">
        <v>1982</v>
      </c>
      <c r="F1379" s="6" t="s">
        <v>1914</v>
      </c>
      <c r="G1379" s="33" t="s">
        <v>12</v>
      </c>
    </row>
    <row r="1380" spans="1:7" ht="28" x14ac:dyDescent="0.15">
      <c r="A1380" s="6" t="s">
        <v>670</v>
      </c>
      <c r="B1380" s="6" t="s">
        <v>671</v>
      </c>
      <c r="C1380" s="7" t="s">
        <v>672</v>
      </c>
      <c r="D1380" s="6">
        <v>68</v>
      </c>
      <c r="E1380" s="8" t="s">
        <v>1983</v>
      </c>
      <c r="F1380" s="6" t="s">
        <v>1914</v>
      </c>
      <c r="G1380" s="33" t="s">
        <v>12</v>
      </c>
    </row>
    <row r="1381" spans="1:7" ht="14" x14ac:dyDescent="0.15">
      <c r="A1381" s="6" t="s">
        <v>670</v>
      </c>
      <c r="B1381" s="6" t="s">
        <v>671</v>
      </c>
      <c r="C1381" s="7" t="s">
        <v>672</v>
      </c>
      <c r="D1381" s="6">
        <v>72</v>
      </c>
      <c r="E1381" s="8" t="s">
        <v>1984</v>
      </c>
      <c r="F1381" s="6" t="s">
        <v>1914</v>
      </c>
      <c r="G1381" s="33" t="s">
        <v>23</v>
      </c>
    </row>
    <row r="1382" spans="1:7" ht="14" x14ac:dyDescent="0.15">
      <c r="A1382" s="6" t="s">
        <v>156</v>
      </c>
      <c r="B1382" s="6" t="s">
        <v>156</v>
      </c>
      <c r="C1382" s="7" t="s">
        <v>157</v>
      </c>
      <c r="D1382" s="6">
        <v>11</v>
      </c>
      <c r="E1382" s="8" t="s">
        <v>1985</v>
      </c>
      <c r="F1382" s="6" t="s">
        <v>1914</v>
      </c>
      <c r="G1382" s="33" t="s">
        <v>12</v>
      </c>
    </row>
    <row r="1383" spans="1:7" ht="28" x14ac:dyDescent="0.15">
      <c r="A1383" s="6" t="s">
        <v>156</v>
      </c>
      <c r="B1383" s="6" t="s">
        <v>156</v>
      </c>
      <c r="C1383" s="7" t="s">
        <v>157</v>
      </c>
      <c r="D1383" s="6">
        <v>12</v>
      </c>
      <c r="E1383" s="8" t="s">
        <v>1986</v>
      </c>
      <c r="F1383" s="6" t="s">
        <v>1914</v>
      </c>
      <c r="G1383" s="33" t="s">
        <v>12</v>
      </c>
    </row>
    <row r="1384" spans="1:7" ht="28" x14ac:dyDescent="0.15">
      <c r="A1384" s="6" t="s">
        <v>156</v>
      </c>
      <c r="B1384" s="6" t="s">
        <v>156</v>
      </c>
      <c r="C1384" s="7" t="s">
        <v>157</v>
      </c>
      <c r="D1384" s="6">
        <v>26</v>
      </c>
      <c r="E1384" s="8" t="s">
        <v>1987</v>
      </c>
      <c r="F1384" s="6" t="s">
        <v>1914</v>
      </c>
      <c r="G1384" s="33" t="s">
        <v>30</v>
      </c>
    </row>
    <row r="1385" spans="1:7" ht="28" x14ac:dyDescent="0.15">
      <c r="A1385" s="6" t="s">
        <v>156</v>
      </c>
      <c r="B1385" s="6" t="s">
        <v>159</v>
      </c>
      <c r="C1385" s="7" t="s">
        <v>160</v>
      </c>
      <c r="D1385" s="6">
        <v>16</v>
      </c>
      <c r="E1385" s="8" t="s">
        <v>1988</v>
      </c>
      <c r="F1385" s="6" t="s">
        <v>1914</v>
      </c>
      <c r="G1385" s="33" t="s">
        <v>136</v>
      </c>
    </row>
    <row r="1386" spans="1:7" ht="14" x14ac:dyDescent="0.15">
      <c r="A1386" s="6" t="s">
        <v>156</v>
      </c>
      <c r="B1386" s="6" t="s">
        <v>159</v>
      </c>
      <c r="C1386" s="7" t="s">
        <v>160</v>
      </c>
      <c r="D1386" s="6">
        <v>56</v>
      </c>
      <c r="E1386" s="8" t="s">
        <v>1989</v>
      </c>
      <c r="F1386" s="6" t="s">
        <v>1914</v>
      </c>
      <c r="G1386" s="33" t="s">
        <v>30</v>
      </c>
    </row>
    <row r="1387" spans="1:7" ht="14" x14ac:dyDescent="0.15">
      <c r="A1387" s="6" t="s">
        <v>156</v>
      </c>
      <c r="B1387" s="6" t="s">
        <v>159</v>
      </c>
      <c r="C1387" s="7" t="s">
        <v>160</v>
      </c>
      <c r="D1387" s="6">
        <v>57</v>
      </c>
      <c r="E1387" s="8" t="s">
        <v>1990</v>
      </c>
      <c r="F1387" s="6" t="s">
        <v>1914</v>
      </c>
      <c r="G1387" s="33" t="s">
        <v>30</v>
      </c>
    </row>
    <row r="1388" spans="1:7" ht="14" x14ac:dyDescent="0.15">
      <c r="A1388" s="6" t="s">
        <v>164</v>
      </c>
      <c r="B1388" s="6" t="s">
        <v>165</v>
      </c>
      <c r="C1388" s="7" t="s">
        <v>166</v>
      </c>
      <c r="D1388" s="6">
        <v>39</v>
      </c>
      <c r="E1388" s="8" t="s">
        <v>1991</v>
      </c>
      <c r="F1388" s="6" t="s">
        <v>1914</v>
      </c>
      <c r="G1388" s="33" t="s">
        <v>30</v>
      </c>
    </row>
    <row r="1389" spans="1:7" ht="28" x14ac:dyDescent="0.15">
      <c r="A1389" s="6" t="s">
        <v>164</v>
      </c>
      <c r="B1389" s="6" t="s">
        <v>165</v>
      </c>
      <c r="C1389" s="7" t="s">
        <v>166</v>
      </c>
      <c r="D1389" s="6">
        <v>100</v>
      </c>
      <c r="E1389" s="8" t="s">
        <v>1992</v>
      </c>
      <c r="F1389" s="6" t="s">
        <v>1914</v>
      </c>
      <c r="G1389" s="33" t="s">
        <v>219</v>
      </c>
    </row>
    <row r="1390" spans="1:7" ht="28" x14ac:dyDescent="0.15">
      <c r="A1390" s="6" t="s">
        <v>164</v>
      </c>
      <c r="B1390" s="6" t="s">
        <v>165</v>
      </c>
      <c r="C1390" s="7" t="s">
        <v>166</v>
      </c>
      <c r="D1390" s="6">
        <v>102</v>
      </c>
      <c r="E1390" s="8" t="s">
        <v>1993</v>
      </c>
      <c r="F1390" s="6" t="s">
        <v>1914</v>
      </c>
      <c r="G1390" s="33" t="s">
        <v>115</v>
      </c>
    </row>
    <row r="1391" spans="1:7" ht="14" x14ac:dyDescent="0.15">
      <c r="A1391" s="6" t="s">
        <v>164</v>
      </c>
      <c r="B1391" s="6" t="s">
        <v>165</v>
      </c>
      <c r="C1391" s="7" t="s">
        <v>166</v>
      </c>
      <c r="D1391" s="6">
        <v>140</v>
      </c>
      <c r="E1391" s="8" t="s">
        <v>1994</v>
      </c>
      <c r="F1391" s="6" t="s">
        <v>1914</v>
      </c>
      <c r="G1391" s="33" t="s">
        <v>30</v>
      </c>
    </row>
    <row r="1392" spans="1:7" ht="42" x14ac:dyDescent="0.15">
      <c r="A1392" s="6" t="s">
        <v>164</v>
      </c>
      <c r="B1392" s="6" t="s">
        <v>165</v>
      </c>
      <c r="C1392" s="7" t="s">
        <v>166</v>
      </c>
      <c r="D1392" s="6">
        <v>162</v>
      </c>
      <c r="E1392" s="8" t="s">
        <v>1995</v>
      </c>
      <c r="F1392" s="6" t="s">
        <v>1914</v>
      </c>
      <c r="G1392" s="33" t="s">
        <v>30</v>
      </c>
    </row>
    <row r="1393" spans="1:7" ht="42" x14ac:dyDescent="0.15">
      <c r="A1393" s="6" t="s">
        <v>164</v>
      </c>
      <c r="B1393" s="6" t="s">
        <v>165</v>
      </c>
      <c r="C1393" s="7" t="s">
        <v>166</v>
      </c>
      <c r="D1393" s="6">
        <v>164</v>
      </c>
      <c r="E1393" s="8" t="s">
        <v>1996</v>
      </c>
      <c r="F1393" s="6" t="s">
        <v>1914</v>
      </c>
      <c r="G1393" s="33" t="s">
        <v>30</v>
      </c>
    </row>
    <row r="1394" spans="1:7" ht="28" x14ac:dyDescent="0.15">
      <c r="A1394" s="6" t="s">
        <v>164</v>
      </c>
      <c r="B1394" s="6" t="s">
        <v>165</v>
      </c>
      <c r="C1394" s="7" t="s">
        <v>166</v>
      </c>
      <c r="D1394" s="6">
        <v>174</v>
      </c>
      <c r="E1394" s="8" t="s">
        <v>1997</v>
      </c>
      <c r="F1394" s="6" t="s">
        <v>1914</v>
      </c>
      <c r="G1394" s="33" t="s">
        <v>30</v>
      </c>
    </row>
    <row r="1395" spans="1:7" ht="28" x14ac:dyDescent="0.15">
      <c r="A1395" s="6" t="s">
        <v>779</v>
      </c>
      <c r="B1395" s="6" t="s">
        <v>780</v>
      </c>
      <c r="C1395" s="7" t="s">
        <v>781</v>
      </c>
      <c r="D1395" s="6">
        <v>4</v>
      </c>
      <c r="E1395" s="8" t="s">
        <v>1998</v>
      </c>
      <c r="F1395" s="6" t="s">
        <v>1914</v>
      </c>
      <c r="G1395" s="33" t="s">
        <v>136</v>
      </c>
    </row>
    <row r="1396" spans="1:7" ht="28" x14ac:dyDescent="0.15">
      <c r="A1396" s="6" t="s">
        <v>779</v>
      </c>
      <c r="B1396" s="6" t="s">
        <v>780</v>
      </c>
      <c r="C1396" s="7" t="s">
        <v>781</v>
      </c>
      <c r="D1396" s="6">
        <v>58</v>
      </c>
      <c r="E1396" s="8" t="s">
        <v>1999</v>
      </c>
      <c r="F1396" s="6" t="s">
        <v>1914</v>
      </c>
      <c r="G1396" s="33" t="s">
        <v>30</v>
      </c>
    </row>
    <row r="1397" spans="1:7" ht="28" x14ac:dyDescent="0.15">
      <c r="A1397" s="6" t="s">
        <v>2000</v>
      </c>
      <c r="B1397" s="6" t="s">
        <v>2001</v>
      </c>
      <c r="C1397" s="7" t="s">
        <v>2002</v>
      </c>
      <c r="D1397" s="6">
        <v>7</v>
      </c>
      <c r="E1397" s="8" t="s">
        <v>2003</v>
      </c>
      <c r="F1397" s="6" t="s">
        <v>1914</v>
      </c>
      <c r="G1397" s="33" t="s">
        <v>30</v>
      </c>
    </row>
    <row r="1398" spans="1:7" ht="14" x14ac:dyDescent="0.15">
      <c r="A1398" s="6" t="s">
        <v>2000</v>
      </c>
      <c r="B1398" s="6" t="s">
        <v>2001</v>
      </c>
      <c r="C1398" s="7" t="s">
        <v>2002</v>
      </c>
      <c r="D1398" s="6">
        <v>74</v>
      </c>
      <c r="E1398" s="8" t="s">
        <v>2004</v>
      </c>
      <c r="F1398" s="6" t="s">
        <v>1914</v>
      </c>
      <c r="G1398" s="33" t="s">
        <v>23</v>
      </c>
    </row>
    <row r="1399" spans="1:7" ht="14" x14ac:dyDescent="0.15">
      <c r="A1399" s="6" t="s">
        <v>2000</v>
      </c>
      <c r="B1399" s="6" t="s">
        <v>2001</v>
      </c>
      <c r="C1399" s="7" t="s">
        <v>2002</v>
      </c>
      <c r="D1399" s="6">
        <v>108</v>
      </c>
      <c r="E1399" s="8" t="s">
        <v>2005</v>
      </c>
      <c r="F1399" s="6" t="s">
        <v>1914</v>
      </c>
      <c r="G1399" s="33" t="s">
        <v>342</v>
      </c>
    </row>
    <row r="1400" spans="1:7" ht="14" x14ac:dyDescent="0.15">
      <c r="A1400" s="6" t="s">
        <v>2006</v>
      </c>
      <c r="B1400" s="6" t="s">
        <v>2007</v>
      </c>
      <c r="C1400" s="7" t="s">
        <v>2008</v>
      </c>
      <c r="D1400" s="6">
        <v>71</v>
      </c>
      <c r="E1400" s="8" t="s">
        <v>2009</v>
      </c>
      <c r="F1400" s="6" t="s">
        <v>1914</v>
      </c>
      <c r="G1400" s="33" t="s">
        <v>30</v>
      </c>
    </row>
    <row r="1401" spans="1:7" ht="14" x14ac:dyDescent="0.15">
      <c r="A1401" s="6" t="s">
        <v>681</v>
      </c>
      <c r="B1401" s="6" t="s">
        <v>682</v>
      </c>
      <c r="C1401" s="7" t="s">
        <v>683</v>
      </c>
      <c r="D1401" s="6">
        <v>87</v>
      </c>
      <c r="E1401" s="8" t="s">
        <v>2010</v>
      </c>
      <c r="F1401" s="6" t="s">
        <v>1914</v>
      </c>
      <c r="G1401" s="33" t="s">
        <v>136</v>
      </c>
    </row>
    <row r="1402" spans="1:7" ht="14" x14ac:dyDescent="0.15">
      <c r="A1402" s="6" t="s">
        <v>681</v>
      </c>
      <c r="B1402" s="6" t="s">
        <v>682</v>
      </c>
      <c r="C1402" s="7" t="s">
        <v>683</v>
      </c>
      <c r="D1402" s="6">
        <v>90</v>
      </c>
      <c r="E1402" s="8" t="s">
        <v>2011</v>
      </c>
      <c r="F1402" s="6" t="s">
        <v>1914</v>
      </c>
      <c r="G1402" s="33" t="s">
        <v>88</v>
      </c>
    </row>
    <row r="1403" spans="1:7" ht="14" x14ac:dyDescent="0.15">
      <c r="A1403" s="6" t="s">
        <v>169</v>
      </c>
      <c r="B1403" s="6" t="s">
        <v>169</v>
      </c>
      <c r="C1403" s="7" t="s">
        <v>170</v>
      </c>
      <c r="D1403" s="6">
        <v>23</v>
      </c>
      <c r="E1403" s="8" t="s">
        <v>2012</v>
      </c>
      <c r="F1403" s="6" t="s">
        <v>1914</v>
      </c>
      <c r="G1403" s="33" t="s">
        <v>136</v>
      </c>
    </row>
    <row r="1404" spans="1:7" ht="14" x14ac:dyDescent="0.15">
      <c r="A1404" s="6" t="s">
        <v>169</v>
      </c>
      <c r="B1404" s="6" t="s">
        <v>169</v>
      </c>
      <c r="C1404" s="7" t="s">
        <v>170</v>
      </c>
      <c r="D1404" s="6">
        <v>32</v>
      </c>
      <c r="E1404" s="8" t="s">
        <v>2013</v>
      </c>
      <c r="F1404" s="6" t="s">
        <v>1914</v>
      </c>
      <c r="G1404" s="33" t="s">
        <v>12</v>
      </c>
    </row>
    <row r="1405" spans="1:7" ht="14" x14ac:dyDescent="0.15">
      <c r="A1405" s="6" t="s">
        <v>169</v>
      </c>
      <c r="B1405" s="6" t="s">
        <v>169</v>
      </c>
      <c r="C1405" s="7" t="s">
        <v>170</v>
      </c>
      <c r="D1405" s="6">
        <v>33</v>
      </c>
      <c r="E1405" s="8" t="s">
        <v>2014</v>
      </c>
      <c r="F1405" s="6" t="s">
        <v>1914</v>
      </c>
      <c r="G1405" s="33" t="s">
        <v>12</v>
      </c>
    </row>
    <row r="1406" spans="1:7" ht="28" x14ac:dyDescent="0.15">
      <c r="A1406" s="6" t="s">
        <v>169</v>
      </c>
      <c r="B1406" s="6" t="s">
        <v>169</v>
      </c>
      <c r="C1406" s="7" t="s">
        <v>170</v>
      </c>
      <c r="D1406" s="6">
        <v>34</v>
      </c>
      <c r="E1406" s="8" t="s">
        <v>2015</v>
      </c>
      <c r="F1406" s="6" t="s">
        <v>1914</v>
      </c>
      <c r="G1406" s="33" t="s">
        <v>12</v>
      </c>
    </row>
    <row r="1407" spans="1:7" ht="14" x14ac:dyDescent="0.15">
      <c r="A1407" s="6" t="s">
        <v>169</v>
      </c>
      <c r="B1407" s="6" t="s">
        <v>169</v>
      </c>
      <c r="C1407" s="7" t="s">
        <v>170</v>
      </c>
      <c r="D1407" s="6">
        <v>50</v>
      </c>
      <c r="E1407" s="8" t="s">
        <v>2016</v>
      </c>
      <c r="F1407" s="6" t="s">
        <v>1914</v>
      </c>
      <c r="G1407" s="33" t="s">
        <v>18</v>
      </c>
    </row>
    <row r="1408" spans="1:7" ht="14" x14ac:dyDescent="0.15">
      <c r="A1408" s="6" t="s">
        <v>169</v>
      </c>
      <c r="B1408" s="6" t="s">
        <v>169</v>
      </c>
      <c r="C1408" s="7" t="s">
        <v>170</v>
      </c>
      <c r="D1408" s="6">
        <v>51</v>
      </c>
      <c r="E1408" s="8" t="s">
        <v>2017</v>
      </c>
      <c r="F1408" s="6" t="s">
        <v>1914</v>
      </c>
      <c r="G1408" s="33" t="s">
        <v>136</v>
      </c>
    </row>
    <row r="1409" spans="1:7" ht="14" x14ac:dyDescent="0.15">
      <c r="A1409" s="6" t="s">
        <v>173</v>
      </c>
      <c r="B1409" s="6" t="s">
        <v>174</v>
      </c>
      <c r="C1409" s="7" t="s">
        <v>175</v>
      </c>
      <c r="D1409" s="6">
        <v>29</v>
      </c>
      <c r="E1409" s="8" t="s">
        <v>2018</v>
      </c>
      <c r="F1409" s="6" t="s">
        <v>1914</v>
      </c>
      <c r="G1409" s="33" t="s">
        <v>30</v>
      </c>
    </row>
    <row r="1410" spans="1:7" ht="28" x14ac:dyDescent="0.15">
      <c r="A1410" s="6" t="s">
        <v>173</v>
      </c>
      <c r="B1410" s="6" t="s">
        <v>174</v>
      </c>
      <c r="C1410" s="7" t="s">
        <v>175</v>
      </c>
      <c r="D1410" s="6">
        <v>168</v>
      </c>
      <c r="E1410" s="8" t="s">
        <v>2019</v>
      </c>
      <c r="F1410" s="6" t="s">
        <v>1914</v>
      </c>
      <c r="G1410" s="33" t="s">
        <v>30</v>
      </c>
    </row>
    <row r="1411" spans="1:7" ht="14" x14ac:dyDescent="0.15">
      <c r="A1411" s="6" t="s">
        <v>173</v>
      </c>
      <c r="B1411" s="6" t="s">
        <v>174</v>
      </c>
      <c r="C1411" s="7" t="s">
        <v>175</v>
      </c>
      <c r="D1411" s="6">
        <v>194</v>
      </c>
      <c r="E1411" s="8" t="s">
        <v>2020</v>
      </c>
      <c r="F1411" s="6" t="s">
        <v>1914</v>
      </c>
      <c r="G1411" s="33" t="s">
        <v>342</v>
      </c>
    </row>
    <row r="1412" spans="1:7" ht="28" x14ac:dyDescent="0.15">
      <c r="A1412" s="6" t="s">
        <v>105</v>
      </c>
      <c r="B1412" s="6" t="s">
        <v>106</v>
      </c>
      <c r="C1412" s="7" t="s">
        <v>107</v>
      </c>
      <c r="D1412" s="6">
        <v>67</v>
      </c>
      <c r="E1412" s="8" t="s">
        <v>2021</v>
      </c>
      <c r="F1412" s="6" t="s">
        <v>1914</v>
      </c>
      <c r="G1412" s="33" t="s">
        <v>18</v>
      </c>
    </row>
    <row r="1413" spans="1:7" ht="14" x14ac:dyDescent="0.15">
      <c r="A1413" s="6" t="s">
        <v>105</v>
      </c>
      <c r="B1413" s="6" t="s">
        <v>106</v>
      </c>
      <c r="C1413" s="7" t="s">
        <v>107</v>
      </c>
      <c r="D1413" s="6">
        <v>120</v>
      </c>
      <c r="E1413" s="8" t="s">
        <v>2022</v>
      </c>
      <c r="F1413" s="6" t="s">
        <v>1914</v>
      </c>
      <c r="G1413" s="33" t="s">
        <v>18</v>
      </c>
    </row>
    <row r="1414" spans="1:7" ht="14" x14ac:dyDescent="0.15">
      <c r="A1414" s="6" t="s">
        <v>105</v>
      </c>
      <c r="B1414" s="6" t="s">
        <v>106</v>
      </c>
      <c r="C1414" s="7" t="s">
        <v>107</v>
      </c>
      <c r="D1414" s="6">
        <v>121</v>
      </c>
      <c r="E1414" s="8" t="s">
        <v>2023</v>
      </c>
      <c r="F1414" s="6" t="s">
        <v>1914</v>
      </c>
      <c r="G1414" s="33" t="s">
        <v>18</v>
      </c>
    </row>
    <row r="1415" spans="1:7" ht="14" x14ac:dyDescent="0.15">
      <c r="A1415" s="6" t="s">
        <v>105</v>
      </c>
      <c r="B1415" s="6" t="s">
        <v>106</v>
      </c>
      <c r="C1415" s="7" t="s">
        <v>107</v>
      </c>
      <c r="D1415" s="6">
        <v>136</v>
      </c>
      <c r="E1415" s="8" t="s">
        <v>2024</v>
      </c>
      <c r="F1415" s="6" t="s">
        <v>1914</v>
      </c>
      <c r="G1415" s="33" t="s">
        <v>18</v>
      </c>
    </row>
    <row r="1416" spans="1:7" ht="14" x14ac:dyDescent="0.15">
      <c r="A1416" s="6" t="s">
        <v>105</v>
      </c>
      <c r="B1416" s="6" t="s">
        <v>106</v>
      </c>
      <c r="C1416" s="7" t="s">
        <v>107</v>
      </c>
      <c r="D1416" s="6">
        <v>137</v>
      </c>
      <c r="E1416" s="8" t="s">
        <v>2025</v>
      </c>
      <c r="F1416" s="6" t="s">
        <v>1914</v>
      </c>
      <c r="G1416" s="33" t="s">
        <v>18</v>
      </c>
    </row>
    <row r="1417" spans="1:7" ht="14" x14ac:dyDescent="0.15">
      <c r="A1417" s="6" t="s">
        <v>105</v>
      </c>
      <c r="B1417" s="6" t="s">
        <v>106</v>
      </c>
      <c r="C1417" s="7" t="s">
        <v>107</v>
      </c>
      <c r="D1417" s="6">
        <v>163</v>
      </c>
      <c r="E1417" s="8" t="s">
        <v>2026</v>
      </c>
      <c r="F1417" s="6" t="s">
        <v>1914</v>
      </c>
      <c r="G1417" s="33" t="s">
        <v>18</v>
      </c>
    </row>
    <row r="1418" spans="1:7" ht="14" x14ac:dyDescent="0.15">
      <c r="A1418" s="6" t="s">
        <v>105</v>
      </c>
      <c r="B1418" s="6" t="s">
        <v>106</v>
      </c>
      <c r="C1418" s="7" t="s">
        <v>107</v>
      </c>
      <c r="D1418" s="6">
        <v>178</v>
      </c>
      <c r="E1418" s="8" t="s">
        <v>2027</v>
      </c>
      <c r="F1418" s="6" t="s">
        <v>1914</v>
      </c>
      <c r="G1418" s="33" t="s">
        <v>18</v>
      </c>
    </row>
    <row r="1419" spans="1:7" ht="14" x14ac:dyDescent="0.15">
      <c r="A1419" s="6" t="s">
        <v>105</v>
      </c>
      <c r="B1419" s="6" t="s">
        <v>106</v>
      </c>
      <c r="C1419" s="7" t="s">
        <v>107</v>
      </c>
      <c r="D1419" s="6">
        <v>182</v>
      </c>
      <c r="E1419" s="8" t="s">
        <v>2028</v>
      </c>
      <c r="F1419" s="6" t="s">
        <v>1914</v>
      </c>
      <c r="G1419" s="33" t="s">
        <v>18</v>
      </c>
    </row>
    <row r="1420" spans="1:7" ht="14" x14ac:dyDescent="0.15">
      <c r="A1420" s="6" t="s">
        <v>105</v>
      </c>
      <c r="B1420" s="6" t="s">
        <v>106</v>
      </c>
      <c r="C1420" s="7" t="s">
        <v>107</v>
      </c>
      <c r="D1420" s="6">
        <v>198</v>
      </c>
      <c r="E1420" s="8" t="s">
        <v>2029</v>
      </c>
      <c r="F1420" s="6" t="s">
        <v>1914</v>
      </c>
      <c r="G1420" s="33" t="s">
        <v>18</v>
      </c>
    </row>
    <row r="1421" spans="1:7" ht="14" x14ac:dyDescent="0.15">
      <c r="A1421" s="6" t="s">
        <v>105</v>
      </c>
      <c r="B1421" s="6" t="s">
        <v>106</v>
      </c>
      <c r="C1421" s="7" t="s">
        <v>107</v>
      </c>
      <c r="D1421" s="6">
        <v>200</v>
      </c>
      <c r="E1421" s="8" t="s">
        <v>2030</v>
      </c>
      <c r="F1421" s="6" t="s">
        <v>1914</v>
      </c>
      <c r="G1421" s="33" t="s">
        <v>18</v>
      </c>
    </row>
    <row r="1422" spans="1:7" ht="14" x14ac:dyDescent="0.15">
      <c r="A1422" s="6" t="s">
        <v>181</v>
      </c>
      <c r="B1422" s="6" t="s">
        <v>182</v>
      </c>
      <c r="C1422" s="7" t="s">
        <v>183</v>
      </c>
      <c r="D1422" s="6">
        <v>69</v>
      </c>
      <c r="E1422" s="8" t="s">
        <v>2031</v>
      </c>
      <c r="F1422" s="6" t="s">
        <v>1914</v>
      </c>
      <c r="G1422" s="33" t="s">
        <v>23</v>
      </c>
    </row>
    <row r="1423" spans="1:7" ht="14" x14ac:dyDescent="0.15">
      <c r="A1423" s="6" t="s">
        <v>185</v>
      </c>
      <c r="B1423" s="6" t="s">
        <v>186</v>
      </c>
      <c r="C1423" s="7" t="s">
        <v>187</v>
      </c>
      <c r="D1423" s="6">
        <v>77</v>
      </c>
      <c r="E1423" s="8" t="s">
        <v>2032</v>
      </c>
      <c r="F1423" s="6" t="s">
        <v>1914</v>
      </c>
      <c r="G1423" s="33" t="s">
        <v>12</v>
      </c>
    </row>
    <row r="1424" spans="1:7" ht="14" x14ac:dyDescent="0.15">
      <c r="A1424" s="6" t="s">
        <v>185</v>
      </c>
      <c r="B1424" s="6" t="s">
        <v>189</v>
      </c>
      <c r="C1424" s="7" t="s">
        <v>190</v>
      </c>
      <c r="D1424" s="6">
        <v>5</v>
      </c>
      <c r="E1424" s="8" t="s">
        <v>2033</v>
      </c>
      <c r="F1424" s="6" t="s">
        <v>1914</v>
      </c>
      <c r="G1424" s="33" t="s">
        <v>136</v>
      </c>
    </row>
    <row r="1425" spans="1:7" ht="14" x14ac:dyDescent="0.15">
      <c r="A1425" s="6" t="s">
        <v>185</v>
      </c>
      <c r="B1425" s="6" t="s">
        <v>189</v>
      </c>
      <c r="C1425" s="7" t="s">
        <v>190</v>
      </c>
      <c r="D1425" s="6">
        <v>31</v>
      </c>
      <c r="E1425" s="8" t="s">
        <v>2034</v>
      </c>
      <c r="F1425" s="6" t="s">
        <v>1914</v>
      </c>
      <c r="G1425" s="33" t="s">
        <v>12</v>
      </c>
    </row>
    <row r="1426" spans="1:7" ht="14" x14ac:dyDescent="0.15">
      <c r="A1426" s="6" t="s">
        <v>185</v>
      </c>
      <c r="B1426" s="6" t="s">
        <v>189</v>
      </c>
      <c r="C1426" s="7" t="s">
        <v>190</v>
      </c>
      <c r="D1426" s="6">
        <v>33</v>
      </c>
      <c r="E1426" s="8" t="s">
        <v>2035</v>
      </c>
      <c r="F1426" s="6" t="s">
        <v>1914</v>
      </c>
      <c r="G1426" s="33" t="s">
        <v>136</v>
      </c>
    </row>
    <row r="1427" spans="1:7" ht="14" x14ac:dyDescent="0.15">
      <c r="A1427" s="6" t="s">
        <v>185</v>
      </c>
      <c r="B1427" s="6" t="s">
        <v>189</v>
      </c>
      <c r="C1427" s="7" t="s">
        <v>190</v>
      </c>
      <c r="D1427" s="6">
        <v>38</v>
      </c>
      <c r="E1427" s="8" t="s">
        <v>2036</v>
      </c>
      <c r="F1427" s="6" t="s">
        <v>1914</v>
      </c>
      <c r="G1427" s="33" t="s">
        <v>12</v>
      </c>
    </row>
    <row r="1428" spans="1:7" ht="28" x14ac:dyDescent="0.15">
      <c r="A1428" s="6" t="s">
        <v>185</v>
      </c>
      <c r="B1428" s="6" t="s">
        <v>189</v>
      </c>
      <c r="C1428" s="7" t="s">
        <v>190</v>
      </c>
      <c r="D1428" s="6">
        <v>40</v>
      </c>
      <c r="E1428" s="8" t="s">
        <v>2037</v>
      </c>
      <c r="F1428" s="6" t="s">
        <v>1914</v>
      </c>
      <c r="G1428" s="33" t="s">
        <v>30</v>
      </c>
    </row>
    <row r="1429" spans="1:7" ht="14" x14ac:dyDescent="0.15">
      <c r="A1429" s="6" t="s">
        <v>185</v>
      </c>
      <c r="B1429" s="6" t="s">
        <v>189</v>
      </c>
      <c r="C1429" s="7" t="s">
        <v>190</v>
      </c>
      <c r="D1429" s="6">
        <v>60</v>
      </c>
      <c r="E1429" s="8" t="s">
        <v>2038</v>
      </c>
      <c r="F1429" s="6" t="s">
        <v>1914</v>
      </c>
      <c r="G1429" s="33" t="s">
        <v>136</v>
      </c>
    </row>
    <row r="1430" spans="1:7" ht="14" x14ac:dyDescent="0.15">
      <c r="A1430" s="6" t="s">
        <v>185</v>
      </c>
      <c r="B1430" s="6" t="s">
        <v>189</v>
      </c>
      <c r="C1430" s="7" t="s">
        <v>190</v>
      </c>
      <c r="D1430" s="6">
        <v>61</v>
      </c>
      <c r="E1430" s="8" t="s">
        <v>2039</v>
      </c>
      <c r="F1430" s="6" t="s">
        <v>1914</v>
      </c>
      <c r="G1430" s="33" t="s">
        <v>136</v>
      </c>
    </row>
    <row r="1431" spans="1:7" ht="14" x14ac:dyDescent="0.15">
      <c r="A1431" s="6" t="s">
        <v>185</v>
      </c>
      <c r="B1431" s="6" t="s">
        <v>189</v>
      </c>
      <c r="C1431" s="7" t="s">
        <v>190</v>
      </c>
      <c r="D1431" s="6">
        <v>66</v>
      </c>
      <c r="E1431" s="8" t="s">
        <v>2040</v>
      </c>
      <c r="F1431" s="6" t="s">
        <v>1914</v>
      </c>
      <c r="G1431" s="33" t="s">
        <v>342</v>
      </c>
    </row>
    <row r="1432" spans="1:7" ht="14" x14ac:dyDescent="0.15">
      <c r="A1432" s="6" t="s">
        <v>185</v>
      </c>
      <c r="B1432" s="6" t="s">
        <v>1778</v>
      </c>
      <c r="C1432" s="7" t="s">
        <v>2041</v>
      </c>
      <c r="D1432" s="6">
        <v>4</v>
      </c>
      <c r="E1432" s="8" t="s">
        <v>2042</v>
      </c>
      <c r="F1432" s="6" t="s">
        <v>1914</v>
      </c>
      <c r="G1432" s="33" t="s">
        <v>342</v>
      </c>
    </row>
    <row r="1433" spans="1:7" ht="28" x14ac:dyDescent="0.15">
      <c r="A1433" s="6" t="s">
        <v>1695</v>
      </c>
      <c r="B1433" s="6" t="s">
        <v>1696</v>
      </c>
      <c r="C1433" s="7" t="s">
        <v>1697</v>
      </c>
      <c r="D1433" s="6">
        <v>51</v>
      </c>
      <c r="E1433" s="8" t="s">
        <v>2043</v>
      </c>
      <c r="F1433" s="6" t="s">
        <v>1914</v>
      </c>
      <c r="G1433" s="33" t="s">
        <v>30</v>
      </c>
    </row>
    <row r="1434" spans="1:7" ht="28" x14ac:dyDescent="0.15">
      <c r="A1434" s="6" t="s">
        <v>73</v>
      </c>
      <c r="B1434" s="6" t="s">
        <v>74</v>
      </c>
      <c r="C1434" s="7" t="s">
        <v>75</v>
      </c>
      <c r="D1434" s="6">
        <v>13</v>
      </c>
      <c r="E1434" s="8" t="s">
        <v>2044</v>
      </c>
      <c r="F1434" s="6" t="s">
        <v>1914</v>
      </c>
      <c r="G1434" s="33" t="s">
        <v>136</v>
      </c>
    </row>
    <row r="1435" spans="1:7" ht="14" x14ac:dyDescent="0.15">
      <c r="A1435" s="6" t="s">
        <v>73</v>
      </c>
      <c r="B1435" s="6" t="s">
        <v>74</v>
      </c>
      <c r="C1435" s="7" t="s">
        <v>75</v>
      </c>
      <c r="D1435" s="6">
        <v>174</v>
      </c>
      <c r="E1435" s="8" t="s">
        <v>2045</v>
      </c>
      <c r="F1435" s="6" t="s">
        <v>1914</v>
      </c>
      <c r="G1435" s="33" t="s">
        <v>342</v>
      </c>
    </row>
    <row r="1436" spans="1:7" ht="14" x14ac:dyDescent="0.15">
      <c r="A1436" s="6" t="s">
        <v>73</v>
      </c>
      <c r="B1436" s="6" t="s">
        <v>74</v>
      </c>
      <c r="C1436" s="7" t="s">
        <v>75</v>
      </c>
      <c r="D1436" s="6">
        <v>221</v>
      </c>
      <c r="E1436" s="8" t="s">
        <v>2046</v>
      </c>
      <c r="F1436" s="6" t="s">
        <v>1914</v>
      </c>
      <c r="G1436" s="33" t="s">
        <v>77</v>
      </c>
    </row>
    <row r="1437" spans="1:7" ht="14" x14ac:dyDescent="0.15">
      <c r="A1437" s="6" t="s">
        <v>73</v>
      </c>
      <c r="B1437" s="6" t="s">
        <v>74</v>
      </c>
      <c r="C1437" s="7" t="s">
        <v>75</v>
      </c>
      <c r="D1437" s="6">
        <v>280</v>
      </c>
      <c r="E1437" s="8" t="s">
        <v>2047</v>
      </c>
      <c r="F1437" s="6" t="s">
        <v>1914</v>
      </c>
      <c r="G1437" s="33" t="s">
        <v>77</v>
      </c>
    </row>
    <row r="1438" spans="1:7" ht="14" x14ac:dyDescent="0.15">
      <c r="A1438" s="6" t="s">
        <v>2048</v>
      </c>
      <c r="B1438" s="6" t="s">
        <v>2049</v>
      </c>
      <c r="C1438" s="7" t="s">
        <v>2050</v>
      </c>
      <c r="D1438" s="6">
        <v>16</v>
      </c>
      <c r="E1438" s="8" t="s">
        <v>2051</v>
      </c>
      <c r="F1438" s="6" t="s">
        <v>1914</v>
      </c>
      <c r="G1438" s="33" t="s">
        <v>88</v>
      </c>
    </row>
    <row r="1439" spans="1:7" ht="28" x14ac:dyDescent="0.15">
      <c r="A1439" s="6" t="s">
        <v>215</v>
      </c>
      <c r="B1439" s="6" t="s">
        <v>216</v>
      </c>
      <c r="C1439" s="7" t="s">
        <v>217</v>
      </c>
      <c r="D1439" s="6">
        <v>11</v>
      </c>
      <c r="E1439" s="8" t="s">
        <v>2052</v>
      </c>
      <c r="F1439" s="6" t="s">
        <v>1914</v>
      </c>
      <c r="G1439" s="33" t="s">
        <v>30</v>
      </c>
    </row>
    <row r="1440" spans="1:7" ht="28" x14ac:dyDescent="0.15">
      <c r="A1440" s="6" t="s">
        <v>215</v>
      </c>
      <c r="B1440" s="6" t="s">
        <v>216</v>
      </c>
      <c r="C1440" s="7" t="s">
        <v>217</v>
      </c>
      <c r="D1440" s="6">
        <v>16</v>
      </c>
      <c r="E1440" s="8" t="s">
        <v>2053</v>
      </c>
      <c r="F1440" s="6" t="s">
        <v>1914</v>
      </c>
      <c r="G1440" s="33" t="s">
        <v>88</v>
      </c>
    </row>
    <row r="1441" spans="1:7" ht="14" x14ac:dyDescent="0.15">
      <c r="A1441" s="6" t="s">
        <v>221</v>
      </c>
      <c r="B1441" s="6" t="s">
        <v>222</v>
      </c>
      <c r="C1441" s="7" t="s">
        <v>223</v>
      </c>
      <c r="D1441" s="6">
        <v>94</v>
      </c>
      <c r="E1441" s="8" t="s">
        <v>2054</v>
      </c>
      <c r="F1441" s="6" t="s">
        <v>1914</v>
      </c>
      <c r="G1441" s="33" t="s">
        <v>342</v>
      </c>
    </row>
    <row r="1442" spans="1:7" ht="14" x14ac:dyDescent="0.15">
      <c r="A1442" s="6" t="s">
        <v>221</v>
      </c>
      <c r="B1442" s="6" t="s">
        <v>222</v>
      </c>
      <c r="C1442" s="7" t="s">
        <v>223</v>
      </c>
      <c r="D1442" s="6">
        <v>121</v>
      </c>
      <c r="E1442" s="8" t="s">
        <v>2055</v>
      </c>
      <c r="F1442" s="6" t="s">
        <v>1914</v>
      </c>
      <c r="G1442" s="33" t="s">
        <v>88</v>
      </c>
    </row>
    <row r="1443" spans="1:7" ht="28" x14ac:dyDescent="0.15">
      <c r="A1443" s="6" t="s">
        <v>599</v>
      </c>
      <c r="B1443" s="6" t="s">
        <v>599</v>
      </c>
      <c r="C1443" s="7" t="s">
        <v>600</v>
      </c>
      <c r="D1443" s="6">
        <v>5</v>
      </c>
      <c r="E1443" s="8" t="s">
        <v>2056</v>
      </c>
      <c r="F1443" s="6" t="s">
        <v>1914</v>
      </c>
      <c r="G1443" s="33" t="s">
        <v>18</v>
      </c>
    </row>
    <row r="1444" spans="1:7" ht="14" x14ac:dyDescent="0.15">
      <c r="A1444" s="6" t="s">
        <v>599</v>
      </c>
      <c r="B1444" s="6" t="s">
        <v>599</v>
      </c>
      <c r="C1444" s="7" t="s">
        <v>600</v>
      </c>
      <c r="D1444" s="6">
        <v>57</v>
      </c>
      <c r="E1444" s="8" t="s">
        <v>2057</v>
      </c>
      <c r="F1444" s="6" t="s">
        <v>1914</v>
      </c>
      <c r="G1444" s="33" t="s">
        <v>136</v>
      </c>
    </row>
    <row r="1445" spans="1:7" ht="28" x14ac:dyDescent="0.15">
      <c r="A1445" s="6" t="s">
        <v>599</v>
      </c>
      <c r="B1445" s="6" t="s">
        <v>599</v>
      </c>
      <c r="C1445" s="7" t="s">
        <v>600</v>
      </c>
      <c r="D1445" s="6">
        <v>70</v>
      </c>
      <c r="E1445" s="8" t="s">
        <v>2058</v>
      </c>
      <c r="F1445" s="6" t="s">
        <v>1914</v>
      </c>
      <c r="G1445" s="33" t="s">
        <v>30</v>
      </c>
    </row>
    <row r="1446" spans="1:7" ht="14" x14ac:dyDescent="0.15">
      <c r="A1446" s="6" t="s">
        <v>599</v>
      </c>
      <c r="B1446" s="6" t="s">
        <v>599</v>
      </c>
      <c r="C1446" s="7" t="s">
        <v>600</v>
      </c>
      <c r="D1446" s="6">
        <v>191</v>
      </c>
      <c r="E1446" s="8" t="s">
        <v>2059</v>
      </c>
      <c r="F1446" s="6" t="s">
        <v>1914</v>
      </c>
      <c r="G1446" s="33" t="s">
        <v>30</v>
      </c>
    </row>
    <row r="1447" spans="1:7" ht="14" x14ac:dyDescent="0.15">
      <c r="A1447" s="6" t="s">
        <v>820</v>
      </c>
      <c r="B1447" s="6" t="s">
        <v>821</v>
      </c>
      <c r="C1447" s="7" t="s">
        <v>822</v>
      </c>
      <c r="D1447" s="6">
        <v>50</v>
      </c>
      <c r="E1447" s="8" t="s">
        <v>2060</v>
      </c>
      <c r="F1447" s="6" t="s">
        <v>1914</v>
      </c>
      <c r="G1447" s="33" t="s">
        <v>136</v>
      </c>
    </row>
    <row r="1448" spans="1:7" ht="14" x14ac:dyDescent="0.15">
      <c r="A1448" s="6" t="s">
        <v>13</v>
      </c>
      <c r="B1448" s="6" t="s">
        <v>14</v>
      </c>
      <c r="C1448" s="7" t="s">
        <v>15</v>
      </c>
      <c r="D1448" s="6">
        <v>77</v>
      </c>
      <c r="E1448" s="8" t="s">
        <v>2061</v>
      </c>
      <c r="F1448" s="6" t="s">
        <v>1914</v>
      </c>
      <c r="G1448" s="33" t="s">
        <v>342</v>
      </c>
    </row>
    <row r="1449" spans="1:7" ht="14" x14ac:dyDescent="0.15">
      <c r="A1449" s="6" t="s">
        <v>13</v>
      </c>
      <c r="B1449" s="6" t="s">
        <v>14</v>
      </c>
      <c r="C1449" s="7" t="s">
        <v>15</v>
      </c>
      <c r="D1449" s="6">
        <v>146</v>
      </c>
      <c r="E1449" s="8" t="s">
        <v>2062</v>
      </c>
      <c r="F1449" s="6" t="s">
        <v>1914</v>
      </c>
      <c r="G1449" s="33" t="s">
        <v>136</v>
      </c>
    </row>
    <row r="1450" spans="1:7" ht="14" x14ac:dyDescent="0.15">
      <c r="A1450" s="6" t="s">
        <v>13</v>
      </c>
      <c r="B1450" s="6" t="s">
        <v>14</v>
      </c>
      <c r="C1450" s="7" t="s">
        <v>15</v>
      </c>
      <c r="D1450" s="6">
        <v>169</v>
      </c>
      <c r="E1450" s="8" t="s">
        <v>2063</v>
      </c>
      <c r="F1450" s="6" t="s">
        <v>1914</v>
      </c>
      <c r="G1450" s="33" t="s">
        <v>342</v>
      </c>
    </row>
    <row r="1451" spans="1:7" ht="14" x14ac:dyDescent="0.15">
      <c r="A1451" s="6" t="s">
        <v>831</v>
      </c>
      <c r="B1451" s="6" t="s">
        <v>831</v>
      </c>
      <c r="C1451" s="7" t="s">
        <v>832</v>
      </c>
      <c r="D1451" s="6">
        <v>30</v>
      </c>
      <c r="E1451" s="8" t="s">
        <v>2064</v>
      </c>
      <c r="F1451" s="6" t="s">
        <v>1914</v>
      </c>
      <c r="G1451" s="33" t="s">
        <v>342</v>
      </c>
    </row>
    <row r="1452" spans="1:7" ht="14" x14ac:dyDescent="0.15">
      <c r="A1452" s="6" t="s">
        <v>831</v>
      </c>
      <c r="B1452" s="6" t="s">
        <v>831</v>
      </c>
      <c r="C1452" s="7" t="s">
        <v>832</v>
      </c>
      <c r="D1452" s="6">
        <v>43</v>
      </c>
      <c r="E1452" s="8" t="s">
        <v>2065</v>
      </c>
      <c r="F1452" s="6" t="s">
        <v>1914</v>
      </c>
      <c r="G1452" s="33" t="s">
        <v>23</v>
      </c>
    </row>
    <row r="1453" spans="1:7" ht="14" x14ac:dyDescent="0.15">
      <c r="A1453" s="6" t="s">
        <v>831</v>
      </c>
      <c r="B1453" s="6" t="s">
        <v>831</v>
      </c>
      <c r="C1453" s="7" t="s">
        <v>832</v>
      </c>
      <c r="D1453" s="6">
        <v>89</v>
      </c>
      <c r="E1453" s="8" t="s">
        <v>2066</v>
      </c>
      <c r="F1453" s="6" t="s">
        <v>1914</v>
      </c>
      <c r="G1453" s="33" t="s">
        <v>23</v>
      </c>
    </row>
    <row r="1454" spans="1:7" ht="14" x14ac:dyDescent="0.15">
      <c r="A1454" s="6" t="s">
        <v>831</v>
      </c>
      <c r="B1454" s="6" t="s">
        <v>831</v>
      </c>
      <c r="C1454" s="7" t="s">
        <v>832</v>
      </c>
      <c r="D1454" s="6">
        <v>97</v>
      </c>
      <c r="E1454" s="8" t="s">
        <v>2067</v>
      </c>
      <c r="F1454" s="6" t="s">
        <v>1914</v>
      </c>
      <c r="G1454" s="33" t="s">
        <v>18</v>
      </c>
    </row>
    <row r="1455" spans="1:7" ht="14" x14ac:dyDescent="0.15">
      <c r="A1455" s="6" t="s">
        <v>831</v>
      </c>
      <c r="B1455" s="6" t="s">
        <v>831</v>
      </c>
      <c r="C1455" s="7" t="s">
        <v>832</v>
      </c>
      <c r="D1455" s="6">
        <v>124</v>
      </c>
      <c r="E1455" s="8" t="s">
        <v>2068</v>
      </c>
      <c r="F1455" s="6" t="s">
        <v>1914</v>
      </c>
      <c r="G1455" s="33" t="s">
        <v>23</v>
      </c>
    </row>
    <row r="1456" spans="1:7" ht="42" x14ac:dyDescent="0.15">
      <c r="A1456" s="6" t="s">
        <v>831</v>
      </c>
      <c r="B1456" s="6" t="s">
        <v>831</v>
      </c>
      <c r="C1456" s="7" t="s">
        <v>832</v>
      </c>
      <c r="D1456" s="6">
        <v>186</v>
      </c>
      <c r="E1456" s="8" t="s">
        <v>2069</v>
      </c>
      <c r="F1456" s="6" t="s">
        <v>1914</v>
      </c>
      <c r="G1456" s="33" t="s">
        <v>342</v>
      </c>
    </row>
    <row r="1457" spans="1:7" ht="14" x14ac:dyDescent="0.15">
      <c r="A1457" s="6" t="s">
        <v>831</v>
      </c>
      <c r="B1457" s="6" t="s">
        <v>831</v>
      </c>
      <c r="C1457" s="7" t="s">
        <v>832</v>
      </c>
      <c r="D1457" s="6">
        <v>350</v>
      </c>
      <c r="E1457" s="8" t="s">
        <v>2070</v>
      </c>
      <c r="F1457" s="6" t="s">
        <v>1914</v>
      </c>
      <c r="G1457" s="33" t="s">
        <v>342</v>
      </c>
    </row>
    <row r="1458" spans="1:7" ht="28" x14ac:dyDescent="0.15">
      <c r="A1458" s="6" t="s">
        <v>2071</v>
      </c>
      <c r="B1458" s="6" t="s">
        <v>2072</v>
      </c>
      <c r="C1458" s="7" t="s">
        <v>2073</v>
      </c>
      <c r="D1458" s="6">
        <v>86</v>
      </c>
      <c r="E1458" s="8" t="s">
        <v>2074</v>
      </c>
      <c r="F1458" s="6" t="s">
        <v>1914</v>
      </c>
      <c r="G1458" s="33" t="s">
        <v>23</v>
      </c>
    </row>
    <row r="1459" spans="1:7" ht="14" x14ac:dyDescent="0.15">
      <c r="A1459" s="6" t="s">
        <v>228</v>
      </c>
      <c r="B1459" s="6" t="s">
        <v>229</v>
      </c>
      <c r="C1459" s="7" t="s">
        <v>230</v>
      </c>
      <c r="D1459" s="6">
        <v>103</v>
      </c>
      <c r="E1459" s="8" t="s">
        <v>2075</v>
      </c>
      <c r="F1459" s="6" t="s">
        <v>1914</v>
      </c>
      <c r="G1459" s="33" t="s">
        <v>18</v>
      </c>
    </row>
    <row r="1460" spans="1:7" ht="28" x14ac:dyDescent="0.15">
      <c r="A1460" s="6" t="s">
        <v>842</v>
      </c>
      <c r="B1460" s="6" t="s">
        <v>843</v>
      </c>
      <c r="C1460" s="7" t="s">
        <v>844</v>
      </c>
      <c r="D1460" s="6">
        <v>40</v>
      </c>
      <c r="E1460" s="8" t="s">
        <v>2076</v>
      </c>
      <c r="F1460" s="6" t="s">
        <v>1914</v>
      </c>
      <c r="G1460" s="33" t="s">
        <v>18</v>
      </c>
    </row>
    <row r="1461" spans="1:7" ht="14" x14ac:dyDescent="0.15">
      <c r="A1461" s="6" t="s">
        <v>842</v>
      </c>
      <c r="B1461" s="6" t="s">
        <v>843</v>
      </c>
      <c r="C1461" s="7" t="s">
        <v>844</v>
      </c>
      <c r="D1461" s="6">
        <v>41</v>
      </c>
      <c r="E1461" s="8" t="s">
        <v>2023</v>
      </c>
      <c r="F1461" s="6" t="s">
        <v>1914</v>
      </c>
      <c r="G1461" s="33" t="s">
        <v>18</v>
      </c>
    </row>
    <row r="1462" spans="1:7" ht="14" x14ac:dyDescent="0.15">
      <c r="A1462" s="6" t="s">
        <v>846</v>
      </c>
      <c r="B1462" s="6" t="s">
        <v>847</v>
      </c>
      <c r="C1462" s="7" t="s">
        <v>848</v>
      </c>
      <c r="D1462" s="6">
        <v>9</v>
      </c>
      <c r="E1462" s="8" t="s">
        <v>2077</v>
      </c>
      <c r="F1462" s="6" t="s">
        <v>1914</v>
      </c>
      <c r="G1462" s="33" t="s">
        <v>88</v>
      </c>
    </row>
    <row r="1463" spans="1:7" ht="28" x14ac:dyDescent="0.15">
      <c r="A1463" s="6" t="s">
        <v>851</v>
      </c>
      <c r="B1463" s="6" t="s">
        <v>852</v>
      </c>
      <c r="C1463" s="7" t="s">
        <v>853</v>
      </c>
      <c r="D1463" s="6">
        <v>5</v>
      </c>
      <c r="E1463" s="8" t="s">
        <v>2078</v>
      </c>
      <c r="F1463" s="6" t="s">
        <v>1914</v>
      </c>
      <c r="G1463" s="33" t="s">
        <v>30</v>
      </c>
    </row>
    <row r="1464" spans="1:7" ht="14" x14ac:dyDescent="0.15">
      <c r="A1464" s="6" t="s">
        <v>851</v>
      </c>
      <c r="B1464" s="6" t="s">
        <v>852</v>
      </c>
      <c r="C1464" s="7" t="s">
        <v>853</v>
      </c>
      <c r="D1464" s="6">
        <v>10</v>
      </c>
      <c r="E1464" s="8" t="s">
        <v>2079</v>
      </c>
      <c r="F1464" s="6" t="s">
        <v>1914</v>
      </c>
      <c r="G1464" s="33" t="s">
        <v>30</v>
      </c>
    </row>
    <row r="1465" spans="1:7" ht="14" x14ac:dyDescent="0.15">
      <c r="A1465" s="6" t="s">
        <v>851</v>
      </c>
      <c r="B1465" s="6" t="s">
        <v>852</v>
      </c>
      <c r="C1465" s="7" t="s">
        <v>853</v>
      </c>
      <c r="D1465" s="6">
        <v>12</v>
      </c>
      <c r="E1465" s="8" t="s">
        <v>2080</v>
      </c>
      <c r="F1465" s="6" t="s">
        <v>1914</v>
      </c>
      <c r="G1465" s="33" t="s">
        <v>30</v>
      </c>
    </row>
    <row r="1466" spans="1:7" ht="14" x14ac:dyDescent="0.15">
      <c r="A1466" s="6" t="s">
        <v>851</v>
      </c>
      <c r="B1466" s="6" t="s">
        <v>852</v>
      </c>
      <c r="C1466" s="7" t="s">
        <v>853</v>
      </c>
      <c r="D1466" s="6">
        <v>41</v>
      </c>
      <c r="E1466" s="8" t="s">
        <v>2081</v>
      </c>
      <c r="F1466" s="6" t="s">
        <v>1914</v>
      </c>
      <c r="G1466" s="33" t="s">
        <v>30</v>
      </c>
    </row>
    <row r="1467" spans="1:7" ht="14" x14ac:dyDescent="0.15">
      <c r="A1467" s="6" t="s">
        <v>851</v>
      </c>
      <c r="B1467" s="6" t="s">
        <v>852</v>
      </c>
      <c r="C1467" s="7" t="s">
        <v>853</v>
      </c>
      <c r="D1467" s="6">
        <v>45</v>
      </c>
      <c r="E1467" s="8" t="s">
        <v>2082</v>
      </c>
      <c r="F1467" s="6" t="s">
        <v>1914</v>
      </c>
      <c r="G1467" s="33" t="s">
        <v>12</v>
      </c>
    </row>
    <row r="1468" spans="1:7" ht="14" x14ac:dyDescent="0.15">
      <c r="A1468" s="6" t="s">
        <v>851</v>
      </c>
      <c r="B1468" s="6" t="s">
        <v>852</v>
      </c>
      <c r="C1468" s="7" t="s">
        <v>853</v>
      </c>
      <c r="D1468" s="6">
        <v>50</v>
      </c>
      <c r="E1468" s="8" t="s">
        <v>2083</v>
      </c>
      <c r="F1468" s="6" t="s">
        <v>1914</v>
      </c>
      <c r="G1468" s="33" t="s">
        <v>12</v>
      </c>
    </row>
    <row r="1469" spans="1:7" ht="14" x14ac:dyDescent="0.15">
      <c r="A1469" s="6" t="s">
        <v>232</v>
      </c>
      <c r="B1469" s="6" t="s">
        <v>233</v>
      </c>
      <c r="C1469" s="7" t="s">
        <v>234</v>
      </c>
      <c r="D1469" s="6">
        <v>66</v>
      </c>
      <c r="E1469" s="8" t="s">
        <v>2084</v>
      </c>
      <c r="F1469" s="6" t="s">
        <v>1914</v>
      </c>
      <c r="G1469" s="33" t="s">
        <v>83</v>
      </c>
    </row>
    <row r="1470" spans="1:7" ht="14" x14ac:dyDescent="0.15">
      <c r="A1470" s="6" t="s">
        <v>232</v>
      </c>
      <c r="B1470" s="6" t="s">
        <v>233</v>
      </c>
      <c r="C1470" s="7" t="s">
        <v>234</v>
      </c>
      <c r="D1470" s="6">
        <v>100</v>
      </c>
      <c r="E1470" s="8" t="s">
        <v>2085</v>
      </c>
      <c r="F1470" s="6" t="s">
        <v>1914</v>
      </c>
      <c r="G1470" s="33" t="s">
        <v>342</v>
      </c>
    </row>
    <row r="1471" spans="1:7" ht="14" x14ac:dyDescent="0.15">
      <c r="A1471" s="6" t="s">
        <v>232</v>
      </c>
      <c r="B1471" s="6" t="s">
        <v>233</v>
      </c>
      <c r="C1471" s="7" t="s">
        <v>234</v>
      </c>
      <c r="D1471" s="6">
        <v>102</v>
      </c>
      <c r="E1471" s="8" t="s">
        <v>2086</v>
      </c>
      <c r="F1471" s="6" t="s">
        <v>1914</v>
      </c>
      <c r="G1471" s="33" t="s">
        <v>23</v>
      </c>
    </row>
    <row r="1472" spans="1:7" ht="14" x14ac:dyDescent="0.15">
      <c r="A1472" s="6" t="s">
        <v>232</v>
      </c>
      <c r="B1472" s="6" t="s">
        <v>233</v>
      </c>
      <c r="C1472" s="7" t="s">
        <v>234</v>
      </c>
      <c r="D1472" s="6">
        <v>108</v>
      </c>
      <c r="E1472" s="8" t="s">
        <v>2087</v>
      </c>
      <c r="F1472" s="6" t="s">
        <v>1914</v>
      </c>
      <c r="G1472" s="33" t="s">
        <v>23</v>
      </c>
    </row>
    <row r="1473" spans="1:7" ht="28" x14ac:dyDescent="0.15">
      <c r="A1473" s="6" t="s">
        <v>232</v>
      </c>
      <c r="B1473" s="6" t="s">
        <v>233</v>
      </c>
      <c r="C1473" s="7" t="s">
        <v>234</v>
      </c>
      <c r="D1473" s="6">
        <v>123</v>
      </c>
      <c r="E1473" s="8" t="s">
        <v>2088</v>
      </c>
      <c r="F1473" s="6" t="s">
        <v>1914</v>
      </c>
      <c r="G1473" s="33" t="s">
        <v>83</v>
      </c>
    </row>
    <row r="1474" spans="1:7" ht="28" x14ac:dyDescent="0.15">
      <c r="A1474" s="6" t="s">
        <v>232</v>
      </c>
      <c r="B1474" s="6" t="s">
        <v>233</v>
      </c>
      <c r="C1474" s="7" t="s">
        <v>234</v>
      </c>
      <c r="D1474" s="6">
        <v>129</v>
      </c>
      <c r="E1474" s="8" t="s">
        <v>2089</v>
      </c>
      <c r="F1474" s="6" t="s">
        <v>1914</v>
      </c>
      <c r="G1474" s="33" t="s">
        <v>30</v>
      </c>
    </row>
    <row r="1475" spans="1:7" ht="28" x14ac:dyDescent="0.15">
      <c r="A1475" s="6" t="s">
        <v>232</v>
      </c>
      <c r="B1475" s="6" t="s">
        <v>233</v>
      </c>
      <c r="C1475" s="7" t="s">
        <v>234</v>
      </c>
      <c r="D1475" s="6">
        <v>138</v>
      </c>
      <c r="E1475" s="8" t="s">
        <v>2090</v>
      </c>
      <c r="F1475" s="6" t="s">
        <v>1914</v>
      </c>
      <c r="G1475" s="33" t="s">
        <v>30</v>
      </c>
    </row>
    <row r="1476" spans="1:7" ht="14" x14ac:dyDescent="0.15">
      <c r="A1476" s="6" t="s">
        <v>232</v>
      </c>
      <c r="B1476" s="6" t="s">
        <v>233</v>
      </c>
      <c r="C1476" s="7" t="s">
        <v>234</v>
      </c>
      <c r="D1476" s="6">
        <v>161</v>
      </c>
      <c r="E1476" s="8" t="s">
        <v>2091</v>
      </c>
      <c r="F1476" s="6" t="s">
        <v>1914</v>
      </c>
      <c r="G1476" s="33" t="s">
        <v>30</v>
      </c>
    </row>
    <row r="1477" spans="1:7" ht="14" x14ac:dyDescent="0.15">
      <c r="A1477" s="6" t="s">
        <v>232</v>
      </c>
      <c r="B1477" s="6" t="s">
        <v>233</v>
      </c>
      <c r="C1477" s="7" t="s">
        <v>234</v>
      </c>
      <c r="D1477" s="6">
        <v>173</v>
      </c>
      <c r="E1477" s="8" t="s">
        <v>2092</v>
      </c>
      <c r="F1477" s="6" t="s">
        <v>1914</v>
      </c>
      <c r="G1477" s="33" t="s">
        <v>88</v>
      </c>
    </row>
    <row r="1478" spans="1:7" ht="14" x14ac:dyDescent="0.15">
      <c r="A1478" s="6" t="s">
        <v>232</v>
      </c>
      <c r="B1478" s="6" t="s">
        <v>233</v>
      </c>
      <c r="C1478" s="7" t="s">
        <v>234</v>
      </c>
      <c r="D1478" s="6">
        <v>181</v>
      </c>
      <c r="E1478" s="8" t="s">
        <v>2093</v>
      </c>
      <c r="F1478" s="6" t="s">
        <v>1914</v>
      </c>
      <c r="G1478" s="33" t="s">
        <v>30</v>
      </c>
    </row>
    <row r="1479" spans="1:7" ht="14" x14ac:dyDescent="0.15">
      <c r="A1479" s="6" t="s">
        <v>25</v>
      </c>
      <c r="B1479" s="6" t="s">
        <v>238</v>
      </c>
      <c r="C1479" s="7" t="s">
        <v>239</v>
      </c>
      <c r="D1479" s="6">
        <v>6</v>
      </c>
      <c r="E1479" s="8" t="s">
        <v>2094</v>
      </c>
      <c r="F1479" s="6" t="s">
        <v>1914</v>
      </c>
      <c r="G1479" s="33" t="s">
        <v>12</v>
      </c>
    </row>
    <row r="1480" spans="1:7" ht="14" x14ac:dyDescent="0.15">
      <c r="A1480" s="6" t="s">
        <v>25</v>
      </c>
      <c r="B1480" s="6" t="s">
        <v>238</v>
      </c>
      <c r="C1480" s="7" t="s">
        <v>239</v>
      </c>
      <c r="D1480" s="6">
        <v>27</v>
      </c>
      <c r="E1480" s="8" t="s">
        <v>2095</v>
      </c>
      <c r="F1480" s="6" t="s">
        <v>1914</v>
      </c>
      <c r="G1480" s="33" t="s">
        <v>12</v>
      </c>
    </row>
    <row r="1481" spans="1:7" ht="14" x14ac:dyDescent="0.15">
      <c r="A1481" s="6" t="s">
        <v>1475</v>
      </c>
      <c r="B1481" s="6" t="s">
        <v>1476</v>
      </c>
      <c r="C1481" s="7" t="s">
        <v>1477</v>
      </c>
      <c r="D1481" s="6">
        <v>22</v>
      </c>
      <c r="E1481" s="8" t="s">
        <v>2096</v>
      </c>
      <c r="F1481" s="6" t="s">
        <v>1914</v>
      </c>
      <c r="G1481" s="33" t="s">
        <v>88</v>
      </c>
    </row>
    <row r="1482" spans="1:7" ht="14" x14ac:dyDescent="0.15">
      <c r="A1482" s="6" t="s">
        <v>1475</v>
      </c>
      <c r="B1482" s="6" t="s">
        <v>1476</v>
      </c>
      <c r="C1482" s="7" t="s">
        <v>1477</v>
      </c>
      <c r="D1482" s="6">
        <v>54</v>
      </c>
      <c r="E1482" s="8" t="s">
        <v>2097</v>
      </c>
      <c r="F1482" s="6" t="s">
        <v>1914</v>
      </c>
      <c r="G1482" s="33" t="s">
        <v>18</v>
      </c>
    </row>
    <row r="1483" spans="1:7" ht="14" x14ac:dyDescent="0.15">
      <c r="A1483" s="6" t="s">
        <v>1475</v>
      </c>
      <c r="B1483" s="6" t="s">
        <v>1476</v>
      </c>
      <c r="C1483" s="7" t="s">
        <v>1477</v>
      </c>
      <c r="D1483" s="6">
        <v>55</v>
      </c>
      <c r="E1483" s="8" t="s">
        <v>2098</v>
      </c>
      <c r="F1483" s="6" t="s">
        <v>1914</v>
      </c>
      <c r="G1483" s="33" t="s">
        <v>23</v>
      </c>
    </row>
    <row r="1484" spans="1:7" ht="28" x14ac:dyDescent="0.15">
      <c r="A1484" s="6" t="s">
        <v>1475</v>
      </c>
      <c r="B1484" s="6" t="s">
        <v>1476</v>
      </c>
      <c r="C1484" s="7" t="s">
        <v>1477</v>
      </c>
      <c r="D1484" s="6">
        <v>59</v>
      </c>
      <c r="E1484" s="8" t="s">
        <v>2099</v>
      </c>
      <c r="F1484" s="6" t="s">
        <v>1914</v>
      </c>
      <c r="G1484" s="33" t="s">
        <v>30</v>
      </c>
    </row>
    <row r="1485" spans="1:7" ht="14" x14ac:dyDescent="0.15">
      <c r="A1485" s="6" t="s">
        <v>1475</v>
      </c>
      <c r="B1485" s="6" t="s">
        <v>1476</v>
      </c>
      <c r="C1485" s="7" t="s">
        <v>1477</v>
      </c>
      <c r="D1485" s="6">
        <v>61</v>
      </c>
      <c r="E1485" s="8" t="s">
        <v>2100</v>
      </c>
      <c r="F1485" s="6" t="s">
        <v>1914</v>
      </c>
      <c r="G1485" s="33" t="s">
        <v>30</v>
      </c>
    </row>
    <row r="1486" spans="1:7" ht="14" x14ac:dyDescent="0.15">
      <c r="A1486" s="6" t="s">
        <v>1475</v>
      </c>
      <c r="B1486" s="6" t="s">
        <v>1476</v>
      </c>
      <c r="C1486" s="7" t="s">
        <v>1477</v>
      </c>
      <c r="D1486" s="6">
        <v>115</v>
      </c>
      <c r="E1486" s="8" t="s">
        <v>2101</v>
      </c>
      <c r="F1486" s="6" t="s">
        <v>1914</v>
      </c>
      <c r="G1486" s="33" t="s">
        <v>88</v>
      </c>
    </row>
    <row r="1487" spans="1:7" ht="28" x14ac:dyDescent="0.15">
      <c r="A1487" s="6" t="s">
        <v>79</v>
      </c>
      <c r="B1487" s="6" t="s">
        <v>80</v>
      </c>
      <c r="C1487" s="7" t="s">
        <v>81</v>
      </c>
      <c r="D1487" s="6">
        <v>45</v>
      </c>
      <c r="E1487" s="8" t="s">
        <v>2102</v>
      </c>
      <c r="F1487" s="6" t="s">
        <v>1914</v>
      </c>
      <c r="G1487" s="33" t="s">
        <v>18</v>
      </c>
    </row>
    <row r="1488" spans="1:7" ht="14" x14ac:dyDescent="0.15">
      <c r="A1488" s="6" t="s">
        <v>2103</v>
      </c>
      <c r="B1488" s="7" t="s">
        <v>2104</v>
      </c>
      <c r="C1488" s="7" t="s">
        <v>2105</v>
      </c>
      <c r="D1488" s="6">
        <v>7</v>
      </c>
      <c r="E1488" s="8" t="s">
        <v>2106</v>
      </c>
      <c r="F1488" s="6" t="s">
        <v>1914</v>
      </c>
      <c r="G1488" s="33" t="s">
        <v>12</v>
      </c>
    </row>
    <row r="1489" spans="1:7" ht="14" x14ac:dyDescent="0.15">
      <c r="A1489" s="6" t="s">
        <v>2103</v>
      </c>
      <c r="B1489" s="7" t="s">
        <v>2104</v>
      </c>
      <c r="C1489" s="7" t="s">
        <v>2105</v>
      </c>
      <c r="D1489" s="6">
        <v>12</v>
      </c>
      <c r="E1489" s="8" t="s">
        <v>2107</v>
      </c>
      <c r="F1489" s="6" t="s">
        <v>1914</v>
      </c>
      <c r="G1489" s="33" t="s">
        <v>12</v>
      </c>
    </row>
    <row r="1490" spans="1:7" ht="28" x14ac:dyDescent="0.15">
      <c r="A1490" s="6" t="s">
        <v>247</v>
      </c>
      <c r="B1490" s="6" t="s">
        <v>248</v>
      </c>
      <c r="C1490" s="7" t="s">
        <v>249</v>
      </c>
      <c r="D1490" s="6">
        <v>65</v>
      </c>
      <c r="E1490" s="8" t="s">
        <v>2108</v>
      </c>
      <c r="F1490" s="6" t="s">
        <v>1914</v>
      </c>
      <c r="G1490" s="33" t="s">
        <v>88</v>
      </c>
    </row>
    <row r="1491" spans="1:7" ht="28" x14ac:dyDescent="0.15">
      <c r="A1491" s="6" t="s">
        <v>247</v>
      </c>
      <c r="B1491" s="6" t="s">
        <v>248</v>
      </c>
      <c r="C1491" s="7" t="s">
        <v>249</v>
      </c>
      <c r="D1491" s="6">
        <v>69</v>
      </c>
      <c r="E1491" s="8" t="s">
        <v>2109</v>
      </c>
      <c r="F1491" s="6" t="s">
        <v>1914</v>
      </c>
      <c r="G1491" s="33" t="s">
        <v>30</v>
      </c>
    </row>
    <row r="1492" spans="1:7" ht="14" x14ac:dyDescent="0.15">
      <c r="A1492" s="6" t="s">
        <v>247</v>
      </c>
      <c r="B1492" s="6" t="s">
        <v>248</v>
      </c>
      <c r="C1492" s="7" t="s">
        <v>249</v>
      </c>
      <c r="D1492" s="6">
        <v>152</v>
      </c>
      <c r="E1492" s="8" t="s">
        <v>2110</v>
      </c>
      <c r="F1492" s="6" t="s">
        <v>1914</v>
      </c>
      <c r="G1492" s="33" t="s">
        <v>30</v>
      </c>
    </row>
    <row r="1493" spans="1:7" ht="14" x14ac:dyDescent="0.15">
      <c r="A1493" s="6" t="s">
        <v>247</v>
      </c>
      <c r="B1493" s="6" t="s">
        <v>248</v>
      </c>
      <c r="C1493" s="7" t="s">
        <v>249</v>
      </c>
      <c r="D1493" s="6">
        <v>158</v>
      </c>
      <c r="E1493" s="8" t="s">
        <v>2111</v>
      </c>
      <c r="F1493" s="6" t="s">
        <v>1914</v>
      </c>
      <c r="G1493" s="33" t="s">
        <v>88</v>
      </c>
    </row>
    <row r="1494" spans="1:7" ht="14" x14ac:dyDescent="0.15">
      <c r="A1494" s="6" t="s">
        <v>247</v>
      </c>
      <c r="B1494" s="6" t="s">
        <v>248</v>
      </c>
      <c r="C1494" s="7" t="s">
        <v>249</v>
      </c>
      <c r="D1494" s="6">
        <v>160</v>
      </c>
      <c r="E1494" s="8" t="s">
        <v>2112</v>
      </c>
      <c r="F1494" s="6" t="s">
        <v>1914</v>
      </c>
      <c r="G1494" s="33" t="s">
        <v>88</v>
      </c>
    </row>
    <row r="1495" spans="1:7" ht="14" x14ac:dyDescent="0.15">
      <c r="A1495" s="6" t="s">
        <v>247</v>
      </c>
      <c r="B1495" s="6" t="s">
        <v>248</v>
      </c>
      <c r="C1495" s="7" t="s">
        <v>249</v>
      </c>
      <c r="D1495" s="6">
        <v>172</v>
      </c>
      <c r="E1495" s="8" t="s">
        <v>2113</v>
      </c>
      <c r="F1495" s="6" t="s">
        <v>1914</v>
      </c>
      <c r="G1495" s="33" t="s">
        <v>88</v>
      </c>
    </row>
    <row r="1496" spans="1:7" ht="14" x14ac:dyDescent="0.15">
      <c r="A1496" s="6" t="s">
        <v>247</v>
      </c>
      <c r="B1496" s="6" t="s">
        <v>248</v>
      </c>
      <c r="C1496" s="7" t="s">
        <v>249</v>
      </c>
      <c r="D1496" s="6">
        <v>180</v>
      </c>
      <c r="E1496" s="8" t="s">
        <v>2114</v>
      </c>
      <c r="F1496" s="6" t="s">
        <v>1914</v>
      </c>
      <c r="G1496" s="33" t="s">
        <v>88</v>
      </c>
    </row>
    <row r="1497" spans="1:7" ht="14" x14ac:dyDescent="0.15">
      <c r="A1497" s="6" t="s">
        <v>247</v>
      </c>
      <c r="B1497" s="6" t="s">
        <v>248</v>
      </c>
      <c r="C1497" s="7" t="s">
        <v>249</v>
      </c>
      <c r="D1497" s="6">
        <v>183</v>
      </c>
      <c r="E1497" s="8" t="s">
        <v>2115</v>
      </c>
      <c r="F1497" s="6" t="s">
        <v>1914</v>
      </c>
      <c r="G1497" s="33" t="s">
        <v>88</v>
      </c>
    </row>
    <row r="1498" spans="1:7" ht="14" x14ac:dyDescent="0.15">
      <c r="A1498" s="6" t="s">
        <v>247</v>
      </c>
      <c r="B1498" s="6" t="s">
        <v>248</v>
      </c>
      <c r="C1498" s="7" t="s">
        <v>249</v>
      </c>
      <c r="D1498" s="6">
        <v>186</v>
      </c>
      <c r="E1498" s="8" t="s">
        <v>2116</v>
      </c>
      <c r="F1498" s="6" t="s">
        <v>1914</v>
      </c>
      <c r="G1498" s="33" t="s">
        <v>88</v>
      </c>
    </row>
    <row r="1499" spans="1:7" ht="14" x14ac:dyDescent="0.15">
      <c r="A1499" s="6" t="s">
        <v>1737</v>
      </c>
      <c r="B1499" s="6" t="s">
        <v>1738</v>
      </c>
      <c r="C1499" s="7" t="s">
        <v>1739</v>
      </c>
      <c r="D1499" s="6">
        <v>93</v>
      </c>
      <c r="E1499" s="8" t="s">
        <v>2117</v>
      </c>
      <c r="F1499" s="6" t="s">
        <v>1914</v>
      </c>
      <c r="G1499" s="33" t="s">
        <v>83</v>
      </c>
    </row>
    <row r="1500" spans="1:7" ht="14" x14ac:dyDescent="0.15">
      <c r="A1500" s="6" t="s">
        <v>1737</v>
      </c>
      <c r="B1500" s="6" t="s">
        <v>1738</v>
      </c>
      <c r="C1500" s="7" t="s">
        <v>1739</v>
      </c>
      <c r="D1500" s="6">
        <v>94</v>
      </c>
      <c r="E1500" s="8" t="s">
        <v>2118</v>
      </c>
      <c r="F1500" s="6" t="s">
        <v>1914</v>
      </c>
      <c r="G1500" s="33" t="s">
        <v>77</v>
      </c>
    </row>
    <row r="1501" spans="1:7" ht="14" x14ac:dyDescent="0.15">
      <c r="A1501" s="6" t="s">
        <v>1737</v>
      </c>
      <c r="B1501" s="6" t="s">
        <v>1738</v>
      </c>
      <c r="C1501" s="7" t="s">
        <v>1739</v>
      </c>
      <c r="D1501" s="6">
        <v>95</v>
      </c>
      <c r="E1501" s="8" t="s">
        <v>2119</v>
      </c>
      <c r="F1501" s="6" t="s">
        <v>1914</v>
      </c>
      <c r="G1501" s="33" t="s">
        <v>77</v>
      </c>
    </row>
    <row r="1502" spans="1:7" ht="14" x14ac:dyDescent="0.15">
      <c r="A1502" s="6" t="s">
        <v>891</v>
      </c>
      <c r="B1502" s="6" t="s">
        <v>892</v>
      </c>
      <c r="C1502" s="7" t="s">
        <v>893</v>
      </c>
      <c r="D1502" s="6">
        <v>25</v>
      </c>
      <c r="E1502" s="8" t="s">
        <v>2120</v>
      </c>
      <c r="F1502" s="6" t="s">
        <v>1914</v>
      </c>
      <c r="G1502" s="33" t="s">
        <v>12</v>
      </c>
    </row>
    <row r="1503" spans="1:7" ht="14" x14ac:dyDescent="0.15">
      <c r="A1503" s="6" t="s">
        <v>254</v>
      </c>
      <c r="B1503" s="6" t="s">
        <v>255</v>
      </c>
      <c r="C1503" s="7" t="s">
        <v>256</v>
      </c>
      <c r="D1503" s="6">
        <v>36</v>
      </c>
      <c r="E1503" s="8" t="s">
        <v>2121</v>
      </c>
      <c r="F1503" s="6" t="s">
        <v>1914</v>
      </c>
      <c r="G1503" s="33" t="s">
        <v>30</v>
      </c>
    </row>
    <row r="1504" spans="1:7" ht="14" x14ac:dyDescent="0.15">
      <c r="A1504" s="6" t="s">
        <v>254</v>
      </c>
      <c r="B1504" s="6" t="s">
        <v>255</v>
      </c>
      <c r="C1504" s="7" t="s">
        <v>256</v>
      </c>
      <c r="D1504" s="6">
        <v>37</v>
      </c>
      <c r="E1504" s="8" t="s">
        <v>2122</v>
      </c>
      <c r="F1504" s="6" t="s">
        <v>1914</v>
      </c>
      <c r="G1504" s="33" t="s">
        <v>30</v>
      </c>
    </row>
    <row r="1505" spans="1:7" ht="14" x14ac:dyDescent="0.15">
      <c r="A1505" s="6" t="s">
        <v>254</v>
      </c>
      <c r="B1505" s="6" t="s">
        <v>255</v>
      </c>
      <c r="C1505" s="7" t="s">
        <v>256</v>
      </c>
      <c r="D1505" s="6">
        <v>72</v>
      </c>
      <c r="E1505" s="8" t="s">
        <v>2123</v>
      </c>
      <c r="F1505" s="6" t="s">
        <v>1914</v>
      </c>
      <c r="G1505" s="33" t="s">
        <v>18</v>
      </c>
    </row>
    <row r="1506" spans="1:7" ht="14" x14ac:dyDescent="0.15">
      <c r="A1506" s="6" t="s">
        <v>254</v>
      </c>
      <c r="B1506" s="6" t="s">
        <v>255</v>
      </c>
      <c r="C1506" s="7" t="s">
        <v>256</v>
      </c>
      <c r="D1506" s="6">
        <v>84</v>
      </c>
      <c r="E1506" s="8" t="s">
        <v>2124</v>
      </c>
      <c r="F1506" s="6" t="s">
        <v>1914</v>
      </c>
      <c r="G1506" s="33" t="s">
        <v>136</v>
      </c>
    </row>
    <row r="1507" spans="1:7" ht="14" x14ac:dyDescent="0.15">
      <c r="A1507" s="6" t="s">
        <v>254</v>
      </c>
      <c r="B1507" s="6" t="s">
        <v>255</v>
      </c>
      <c r="C1507" s="7" t="s">
        <v>256</v>
      </c>
      <c r="D1507" s="6">
        <v>105</v>
      </c>
      <c r="E1507" s="8" t="s">
        <v>2125</v>
      </c>
      <c r="F1507" s="6" t="s">
        <v>1914</v>
      </c>
      <c r="G1507" s="33" t="s">
        <v>30</v>
      </c>
    </row>
    <row r="1508" spans="1:7" ht="14" x14ac:dyDescent="0.15">
      <c r="A1508" s="6" t="s">
        <v>254</v>
      </c>
      <c r="B1508" s="6" t="s">
        <v>255</v>
      </c>
      <c r="C1508" s="7" t="s">
        <v>256</v>
      </c>
      <c r="D1508" s="6">
        <v>122</v>
      </c>
      <c r="E1508" s="8" t="s">
        <v>2126</v>
      </c>
      <c r="F1508" s="6" t="s">
        <v>1914</v>
      </c>
      <c r="G1508" s="33" t="s">
        <v>136</v>
      </c>
    </row>
    <row r="1509" spans="1:7" ht="14" x14ac:dyDescent="0.15">
      <c r="A1509" s="6" t="s">
        <v>254</v>
      </c>
      <c r="B1509" s="6" t="s">
        <v>255</v>
      </c>
      <c r="C1509" s="7" t="s">
        <v>256</v>
      </c>
      <c r="D1509" s="6">
        <v>130</v>
      </c>
      <c r="E1509" s="8" t="s">
        <v>2127</v>
      </c>
      <c r="F1509" s="6" t="s">
        <v>1914</v>
      </c>
      <c r="G1509" s="33" t="s">
        <v>30</v>
      </c>
    </row>
    <row r="1510" spans="1:7" ht="28" x14ac:dyDescent="0.15">
      <c r="A1510" s="6" t="s">
        <v>254</v>
      </c>
      <c r="B1510" s="6" t="s">
        <v>255</v>
      </c>
      <c r="C1510" s="7" t="s">
        <v>256</v>
      </c>
      <c r="D1510" s="6">
        <v>175</v>
      </c>
      <c r="E1510" s="8" t="s">
        <v>2128</v>
      </c>
      <c r="F1510" s="6" t="s">
        <v>1914</v>
      </c>
      <c r="G1510" s="33" t="s">
        <v>18</v>
      </c>
    </row>
    <row r="1511" spans="1:7" ht="14" x14ac:dyDescent="0.15">
      <c r="A1511" s="6" t="s">
        <v>2129</v>
      </c>
      <c r="B1511" s="6" t="s">
        <v>2130</v>
      </c>
      <c r="C1511" s="7" t="s">
        <v>2131</v>
      </c>
      <c r="D1511" s="6">
        <v>22</v>
      </c>
      <c r="E1511" s="8" t="s">
        <v>2132</v>
      </c>
      <c r="F1511" s="6" t="s">
        <v>1914</v>
      </c>
      <c r="G1511" s="33" t="s">
        <v>12</v>
      </c>
    </row>
    <row r="1512" spans="1:7" ht="14" x14ac:dyDescent="0.15">
      <c r="A1512" s="6" t="s">
        <v>1490</v>
      </c>
      <c r="B1512" s="6" t="s">
        <v>1491</v>
      </c>
      <c r="C1512" s="7" t="s">
        <v>1492</v>
      </c>
      <c r="D1512" s="6">
        <v>7</v>
      </c>
      <c r="E1512" s="8" t="s">
        <v>2133</v>
      </c>
      <c r="F1512" s="6" t="s">
        <v>1914</v>
      </c>
      <c r="G1512" s="33" t="s">
        <v>342</v>
      </c>
    </row>
    <row r="1513" spans="1:7" ht="14" x14ac:dyDescent="0.15">
      <c r="A1513" s="6" t="s">
        <v>1490</v>
      </c>
      <c r="B1513" s="6" t="s">
        <v>1491</v>
      </c>
      <c r="C1513" s="7" t="s">
        <v>1492</v>
      </c>
      <c r="D1513" s="6">
        <v>21</v>
      </c>
      <c r="E1513" s="8" t="s">
        <v>2134</v>
      </c>
      <c r="F1513" s="6" t="s">
        <v>1914</v>
      </c>
      <c r="G1513" s="33" t="s">
        <v>342</v>
      </c>
    </row>
    <row r="1514" spans="1:7" ht="14" x14ac:dyDescent="0.15">
      <c r="A1514" s="6" t="s">
        <v>31</v>
      </c>
      <c r="B1514" s="6" t="s">
        <v>31</v>
      </c>
      <c r="C1514" s="7" t="s">
        <v>32</v>
      </c>
      <c r="D1514" s="6">
        <v>40</v>
      </c>
      <c r="E1514" s="8" t="s">
        <v>2135</v>
      </c>
      <c r="F1514" s="6" t="s">
        <v>1914</v>
      </c>
      <c r="G1514" s="33" t="s">
        <v>30</v>
      </c>
    </row>
    <row r="1515" spans="1:7" ht="14" x14ac:dyDescent="0.15">
      <c r="A1515" s="6" t="s">
        <v>922</v>
      </c>
      <c r="B1515" s="6" t="s">
        <v>923</v>
      </c>
      <c r="C1515" s="7" t="s">
        <v>924</v>
      </c>
      <c r="D1515" s="6">
        <v>2</v>
      </c>
      <c r="E1515" s="8" t="s">
        <v>2136</v>
      </c>
      <c r="F1515" s="6" t="s">
        <v>1914</v>
      </c>
      <c r="G1515" s="33" t="s">
        <v>23</v>
      </c>
    </row>
    <row r="1516" spans="1:7" ht="14" x14ac:dyDescent="0.15">
      <c r="A1516" s="6" t="s">
        <v>922</v>
      </c>
      <c r="B1516" s="6" t="s">
        <v>923</v>
      </c>
      <c r="C1516" s="7" t="s">
        <v>924</v>
      </c>
      <c r="D1516" s="6">
        <v>4</v>
      </c>
      <c r="E1516" s="8" t="s">
        <v>2137</v>
      </c>
      <c r="F1516" s="6" t="s">
        <v>1914</v>
      </c>
      <c r="G1516" s="33" t="s">
        <v>136</v>
      </c>
    </row>
    <row r="1517" spans="1:7" ht="14" x14ac:dyDescent="0.15">
      <c r="A1517" s="6" t="s">
        <v>922</v>
      </c>
      <c r="B1517" s="6" t="s">
        <v>923</v>
      </c>
      <c r="C1517" s="7" t="s">
        <v>924</v>
      </c>
      <c r="D1517" s="6">
        <v>16</v>
      </c>
      <c r="E1517" s="8" t="s">
        <v>2138</v>
      </c>
      <c r="F1517" s="6" t="s">
        <v>1914</v>
      </c>
      <c r="G1517" s="33" t="s">
        <v>30</v>
      </c>
    </row>
    <row r="1518" spans="1:7" ht="14" x14ac:dyDescent="0.15">
      <c r="A1518" s="6" t="s">
        <v>922</v>
      </c>
      <c r="B1518" s="6" t="s">
        <v>923</v>
      </c>
      <c r="C1518" s="7" t="s">
        <v>924</v>
      </c>
      <c r="D1518" s="6">
        <v>18</v>
      </c>
      <c r="E1518" s="8" t="s">
        <v>2139</v>
      </c>
      <c r="F1518" s="6" t="s">
        <v>1914</v>
      </c>
      <c r="G1518" s="33" t="s">
        <v>30</v>
      </c>
    </row>
    <row r="1519" spans="1:7" ht="28" x14ac:dyDescent="0.15">
      <c r="A1519" s="6" t="s">
        <v>922</v>
      </c>
      <c r="B1519" s="6" t="s">
        <v>923</v>
      </c>
      <c r="C1519" s="7" t="s">
        <v>924</v>
      </c>
      <c r="D1519" s="6">
        <v>21</v>
      </c>
      <c r="E1519" s="8" t="s">
        <v>2140</v>
      </c>
      <c r="F1519" s="6" t="s">
        <v>1914</v>
      </c>
      <c r="G1519" s="33" t="s">
        <v>30</v>
      </c>
    </row>
    <row r="1520" spans="1:7" ht="28" x14ac:dyDescent="0.15">
      <c r="A1520" s="6" t="s">
        <v>269</v>
      </c>
      <c r="B1520" s="6" t="s">
        <v>270</v>
      </c>
      <c r="C1520" s="7" t="s">
        <v>271</v>
      </c>
      <c r="D1520" s="6">
        <v>32</v>
      </c>
      <c r="E1520" s="8" t="s">
        <v>2141</v>
      </c>
      <c r="F1520" s="6" t="s">
        <v>1914</v>
      </c>
      <c r="G1520" s="33" t="s">
        <v>342</v>
      </c>
    </row>
    <row r="1521" spans="1:7" ht="14" x14ac:dyDescent="0.15">
      <c r="A1521" s="6" t="s">
        <v>932</v>
      </c>
      <c r="B1521" s="6" t="s">
        <v>933</v>
      </c>
      <c r="C1521" s="7" t="s">
        <v>934</v>
      </c>
      <c r="D1521" s="6">
        <v>18</v>
      </c>
      <c r="E1521" s="8" t="s">
        <v>2142</v>
      </c>
      <c r="F1521" s="6" t="s">
        <v>1914</v>
      </c>
      <c r="G1521" s="33" t="s">
        <v>30</v>
      </c>
    </row>
    <row r="1522" spans="1:7" ht="28" x14ac:dyDescent="0.15">
      <c r="A1522" s="6" t="s">
        <v>932</v>
      </c>
      <c r="B1522" s="6" t="s">
        <v>933</v>
      </c>
      <c r="C1522" s="7" t="s">
        <v>934</v>
      </c>
      <c r="D1522" s="6">
        <v>77</v>
      </c>
      <c r="E1522" s="8" t="s">
        <v>2143</v>
      </c>
      <c r="F1522" s="6" t="s">
        <v>1914</v>
      </c>
      <c r="G1522" s="33" t="s">
        <v>12</v>
      </c>
    </row>
    <row r="1523" spans="1:7" ht="28" x14ac:dyDescent="0.15">
      <c r="A1523" s="6" t="s">
        <v>932</v>
      </c>
      <c r="B1523" s="6" t="s">
        <v>933</v>
      </c>
      <c r="C1523" s="7" t="s">
        <v>934</v>
      </c>
      <c r="D1523" s="6">
        <v>88</v>
      </c>
      <c r="E1523" s="8" t="s">
        <v>2144</v>
      </c>
      <c r="F1523" s="6" t="s">
        <v>1914</v>
      </c>
      <c r="G1523" s="33" t="s">
        <v>30</v>
      </c>
    </row>
    <row r="1524" spans="1:7" ht="14" x14ac:dyDescent="0.15">
      <c r="A1524" s="6" t="s">
        <v>932</v>
      </c>
      <c r="B1524" s="6" t="s">
        <v>933</v>
      </c>
      <c r="C1524" s="7" t="s">
        <v>934</v>
      </c>
      <c r="D1524" s="6">
        <v>90</v>
      </c>
      <c r="E1524" s="8" t="s">
        <v>2145</v>
      </c>
      <c r="F1524" s="6" t="s">
        <v>1914</v>
      </c>
      <c r="G1524" s="33" t="s">
        <v>30</v>
      </c>
    </row>
    <row r="1525" spans="1:7" ht="14" x14ac:dyDescent="0.15">
      <c r="A1525" s="6" t="s">
        <v>932</v>
      </c>
      <c r="B1525" s="6" t="s">
        <v>933</v>
      </c>
      <c r="C1525" s="7" t="s">
        <v>934</v>
      </c>
      <c r="D1525" s="6">
        <v>94</v>
      </c>
      <c r="E1525" s="8" t="s">
        <v>2146</v>
      </c>
      <c r="F1525" s="6" t="s">
        <v>1914</v>
      </c>
      <c r="G1525" s="33" t="s">
        <v>30</v>
      </c>
    </row>
    <row r="1526" spans="1:7" ht="14" x14ac:dyDescent="0.15">
      <c r="A1526" s="6" t="s">
        <v>932</v>
      </c>
      <c r="B1526" s="6" t="s">
        <v>933</v>
      </c>
      <c r="C1526" s="7" t="s">
        <v>934</v>
      </c>
      <c r="D1526" s="6">
        <v>109</v>
      </c>
      <c r="E1526" s="8" t="s">
        <v>2147</v>
      </c>
      <c r="F1526" s="6" t="s">
        <v>1914</v>
      </c>
      <c r="G1526" s="33" t="s">
        <v>88</v>
      </c>
    </row>
    <row r="1527" spans="1:7" ht="14" x14ac:dyDescent="0.15">
      <c r="A1527" s="6" t="s">
        <v>279</v>
      </c>
      <c r="B1527" s="6" t="s">
        <v>280</v>
      </c>
      <c r="C1527" s="7" t="s">
        <v>281</v>
      </c>
      <c r="D1527" s="6">
        <v>89</v>
      </c>
      <c r="E1527" s="8" t="s">
        <v>2148</v>
      </c>
      <c r="F1527" s="6" t="s">
        <v>1914</v>
      </c>
      <c r="G1527" s="33" t="s">
        <v>342</v>
      </c>
    </row>
    <row r="1528" spans="1:7" ht="14" x14ac:dyDescent="0.15">
      <c r="A1528" s="6" t="s">
        <v>287</v>
      </c>
      <c r="B1528" s="6" t="s">
        <v>288</v>
      </c>
      <c r="C1528" s="7" t="s">
        <v>289</v>
      </c>
      <c r="D1528" s="6">
        <v>13</v>
      </c>
      <c r="E1528" s="8" t="s">
        <v>2149</v>
      </c>
      <c r="F1528" s="6" t="s">
        <v>1914</v>
      </c>
      <c r="G1528" s="33" t="s">
        <v>30</v>
      </c>
    </row>
    <row r="1529" spans="1:7" ht="14" x14ac:dyDescent="0.15">
      <c r="A1529" s="6" t="s">
        <v>2150</v>
      </c>
      <c r="B1529" s="6" t="s">
        <v>2151</v>
      </c>
      <c r="C1529" s="7" t="s">
        <v>2152</v>
      </c>
      <c r="D1529" s="6">
        <v>6</v>
      </c>
      <c r="E1529" s="8" t="s">
        <v>2153</v>
      </c>
      <c r="F1529" s="6" t="s">
        <v>1914</v>
      </c>
      <c r="G1529" s="33" t="s">
        <v>342</v>
      </c>
    </row>
    <row r="1530" spans="1:7" ht="14" x14ac:dyDescent="0.15">
      <c r="A1530" s="6" t="s">
        <v>2154</v>
      </c>
      <c r="B1530" s="6" t="s">
        <v>2155</v>
      </c>
      <c r="C1530" s="7" t="s">
        <v>2156</v>
      </c>
      <c r="D1530" s="6">
        <v>68</v>
      </c>
      <c r="E1530" s="8" t="s">
        <v>2157</v>
      </c>
      <c r="F1530" s="6" t="s">
        <v>1914</v>
      </c>
      <c r="G1530" s="33" t="s">
        <v>342</v>
      </c>
    </row>
    <row r="1531" spans="1:7" ht="14" x14ac:dyDescent="0.15">
      <c r="A1531" s="6" t="s">
        <v>291</v>
      </c>
      <c r="B1531" s="6" t="s">
        <v>292</v>
      </c>
      <c r="C1531" s="7" t="s">
        <v>293</v>
      </c>
      <c r="D1531" s="6">
        <v>10</v>
      </c>
      <c r="E1531" s="8" t="s">
        <v>2158</v>
      </c>
      <c r="F1531" s="6" t="s">
        <v>1914</v>
      </c>
      <c r="G1531" s="33" t="s">
        <v>88</v>
      </c>
    </row>
    <row r="1532" spans="1:7" ht="14" x14ac:dyDescent="0.15">
      <c r="A1532" s="6" t="s">
        <v>291</v>
      </c>
      <c r="B1532" s="6" t="s">
        <v>292</v>
      </c>
      <c r="C1532" s="7" t="s">
        <v>293</v>
      </c>
      <c r="D1532" s="6">
        <v>71</v>
      </c>
      <c r="E1532" s="8" t="s">
        <v>2159</v>
      </c>
      <c r="F1532" s="6" t="s">
        <v>1914</v>
      </c>
      <c r="G1532" s="33" t="s">
        <v>88</v>
      </c>
    </row>
    <row r="1533" spans="1:7" ht="14" x14ac:dyDescent="0.15">
      <c r="A1533" s="6" t="s">
        <v>944</v>
      </c>
      <c r="B1533" s="6" t="s">
        <v>945</v>
      </c>
      <c r="C1533" s="7" t="s">
        <v>946</v>
      </c>
      <c r="D1533" s="6">
        <v>55</v>
      </c>
      <c r="E1533" s="8" t="s">
        <v>2160</v>
      </c>
      <c r="F1533" s="6" t="s">
        <v>1914</v>
      </c>
      <c r="G1533" s="33" t="s">
        <v>136</v>
      </c>
    </row>
    <row r="1534" spans="1:7" ht="14" x14ac:dyDescent="0.15">
      <c r="A1534" s="6" t="s">
        <v>948</v>
      </c>
      <c r="B1534" s="6" t="s">
        <v>949</v>
      </c>
      <c r="C1534" s="7" t="s">
        <v>950</v>
      </c>
      <c r="D1534" s="6">
        <v>64</v>
      </c>
      <c r="E1534" s="8" t="s">
        <v>2161</v>
      </c>
      <c r="F1534" s="6" t="s">
        <v>1914</v>
      </c>
      <c r="G1534" s="33" t="s">
        <v>513</v>
      </c>
    </row>
    <row r="1535" spans="1:7" ht="14" x14ac:dyDescent="0.15">
      <c r="A1535" s="6" t="s">
        <v>296</v>
      </c>
      <c r="B1535" s="6" t="s">
        <v>297</v>
      </c>
      <c r="C1535" s="7" t="s">
        <v>298</v>
      </c>
      <c r="D1535" s="6">
        <v>2</v>
      </c>
      <c r="E1535" s="8" t="s">
        <v>2162</v>
      </c>
      <c r="F1535" s="6" t="s">
        <v>1914</v>
      </c>
      <c r="G1535" s="33" t="s">
        <v>12</v>
      </c>
    </row>
    <row r="1536" spans="1:7" ht="28" x14ac:dyDescent="0.15">
      <c r="A1536" s="6" t="s">
        <v>296</v>
      </c>
      <c r="B1536" s="6" t="s">
        <v>297</v>
      </c>
      <c r="C1536" s="7" t="s">
        <v>298</v>
      </c>
      <c r="D1536" s="6">
        <v>79</v>
      </c>
      <c r="E1536" s="8" t="s">
        <v>2163</v>
      </c>
      <c r="F1536" s="6" t="s">
        <v>1914</v>
      </c>
      <c r="G1536" s="33" t="s">
        <v>88</v>
      </c>
    </row>
    <row r="1537" spans="1:7" ht="14" x14ac:dyDescent="0.15">
      <c r="A1537" s="6" t="s">
        <v>953</v>
      </c>
      <c r="B1537" s="6" t="s">
        <v>954</v>
      </c>
      <c r="C1537" s="7" t="s">
        <v>955</v>
      </c>
      <c r="D1537" s="6">
        <v>39</v>
      </c>
      <c r="E1537" s="8" t="s">
        <v>2164</v>
      </c>
      <c r="F1537" s="6" t="s">
        <v>1914</v>
      </c>
      <c r="G1537" s="33" t="s">
        <v>23</v>
      </c>
    </row>
    <row r="1538" spans="1:7" ht="14" x14ac:dyDescent="0.15">
      <c r="A1538" s="6" t="s">
        <v>953</v>
      </c>
      <c r="B1538" s="6" t="s">
        <v>954</v>
      </c>
      <c r="C1538" s="7" t="s">
        <v>955</v>
      </c>
      <c r="D1538" s="6">
        <v>53</v>
      </c>
      <c r="E1538" s="8" t="s">
        <v>2165</v>
      </c>
      <c r="F1538" s="6" t="s">
        <v>1914</v>
      </c>
      <c r="G1538" s="33" t="s">
        <v>136</v>
      </c>
    </row>
    <row r="1539" spans="1:7" ht="14" x14ac:dyDescent="0.15">
      <c r="A1539" s="6" t="s">
        <v>953</v>
      </c>
      <c r="B1539" s="6" t="s">
        <v>954</v>
      </c>
      <c r="C1539" s="7" t="s">
        <v>955</v>
      </c>
      <c r="D1539" s="6">
        <v>59</v>
      </c>
      <c r="E1539" s="8" t="s">
        <v>2166</v>
      </c>
      <c r="F1539" s="6" t="s">
        <v>1914</v>
      </c>
      <c r="G1539" s="33" t="s">
        <v>136</v>
      </c>
    </row>
    <row r="1540" spans="1:7" ht="14" x14ac:dyDescent="0.15">
      <c r="A1540" s="6" t="s">
        <v>953</v>
      </c>
      <c r="B1540" s="6" t="s">
        <v>954</v>
      </c>
      <c r="C1540" s="7" t="s">
        <v>955</v>
      </c>
      <c r="D1540" s="6">
        <v>66</v>
      </c>
      <c r="E1540" s="8" t="s">
        <v>2167</v>
      </c>
      <c r="F1540" s="6" t="s">
        <v>1914</v>
      </c>
      <c r="G1540" s="33" t="s">
        <v>12</v>
      </c>
    </row>
    <row r="1541" spans="1:7" ht="14" x14ac:dyDescent="0.15">
      <c r="A1541" s="6" t="s">
        <v>953</v>
      </c>
      <c r="B1541" s="6" t="s">
        <v>954</v>
      </c>
      <c r="C1541" s="7" t="s">
        <v>955</v>
      </c>
      <c r="D1541" s="6">
        <v>80</v>
      </c>
      <c r="E1541" s="8" t="s">
        <v>2168</v>
      </c>
      <c r="F1541" s="6" t="s">
        <v>1914</v>
      </c>
      <c r="G1541" s="33" t="s">
        <v>136</v>
      </c>
    </row>
    <row r="1542" spans="1:7" ht="14" x14ac:dyDescent="0.15">
      <c r="A1542" s="6" t="s">
        <v>953</v>
      </c>
      <c r="B1542" s="6" t="s">
        <v>954</v>
      </c>
      <c r="C1542" s="7" t="s">
        <v>955</v>
      </c>
      <c r="D1542" s="6">
        <v>81</v>
      </c>
      <c r="E1542" s="8" t="s">
        <v>2169</v>
      </c>
      <c r="F1542" s="6" t="s">
        <v>1914</v>
      </c>
      <c r="G1542" s="33" t="s">
        <v>30</v>
      </c>
    </row>
    <row r="1543" spans="1:7" ht="14" x14ac:dyDescent="0.15">
      <c r="A1543" s="6" t="s">
        <v>953</v>
      </c>
      <c r="B1543" s="6" t="s">
        <v>954</v>
      </c>
      <c r="C1543" s="7" t="s">
        <v>955</v>
      </c>
      <c r="D1543" s="6">
        <v>83</v>
      </c>
      <c r="E1543" s="8" t="s">
        <v>2170</v>
      </c>
      <c r="F1543" s="6" t="s">
        <v>1914</v>
      </c>
      <c r="G1543" s="33" t="s">
        <v>30</v>
      </c>
    </row>
    <row r="1544" spans="1:7" ht="14" x14ac:dyDescent="0.15">
      <c r="A1544" s="6" t="s">
        <v>953</v>
      </c>
      <c r="B1544" s="6" t="s">
        <v>954</v>
      </c>
      <c r="C1544" s="7" t="s">
        <v>955</v>
      </c>
      <c r="D1544" s="6">
        <v>106</v>
      </c>
      <c r="E1544" s="8" t="s">
        <v>2171</v>
      </c>
      <c r="F1544" s="6" t="s">
        <v>1914</v>
      </c>
      <c r="G1544" s="33" t="s">
        <v>83</v>
      </c>
    </row>
    <row r="1545" spans="1:7" ht="14" x14ac:dyDescent="0.15">
      <c r="A1545" s="6" t="s">
        <v>953</v>
      </c>
      <c r="B1545" s="6" t="s">
        <v>954</v>
      </c>
      <c r="C1545" s="7" t="s">
        <v>955</v>
      </c>
      <c r="D1545" s="6">
        <v>108</v>
      </c>
      <c r="E1545" s="8" t="s">
        <v>2172</v>
      </c>
      <c r="F1545" s="6" t="s">
        <v>1914</v>
      </c>
      <c r="G1545" s="33" t="s">
        <v>18</v>
      </c>
    </row>
    <row r="1546" spans="1:7" ht="14" x14ac:dyDescent="0.15">
      <c r="A1546" s="6" t="s">
        <v>35</v>
      </c>
      <c r="B1546" s="6" t="s">
        <v>36</v>
      </c>
      <c r="C1546" s="7" t="s">
        <v>37</v>
      </c>
      <c r="D1546" s="6">
        <v>9</v>
      </c>
      <c r="E1546" s="8" t="s">
        <v>2173</v>
      </c>
      <c r="F1546" s="6" t="s">
        <v>1914</v>
      </c>
      <c r="G1546" s="33" t="s">
        <v>30</v>
      </c>
    </row>
    <row r="1547" spans="1:7" ht="28" x14ac:dyDescent="0.15">
      <c r="A1547" s="6" t="s">
        <v>325</v>
      </c>
      <c r="B1547" s="6" t="s">
        <v>326</v>
      </c>
      <c r="C1547" s="7" t="s">
        <v>327</v>
      </c>
      <c r="D1547" s="6">
        <v>90</v>
      </c>
      <c r="E1547" s="8" t="s">
        <v>2174</v>
      </c>
      <c r="F1547" s="6" t="s">
        <v>1914</v>
      </c>
      <c r="G1547" s="33" t="s">
        <v>30</v>
      </c>
    </row>
    <row r="1548" spans="1:7" ht="14" x14ac:dyDescent="0.15">
      <c r="A1548" s="6" t="s">
        <v>325</v>
      </c>
      <c r="B1548" s="6" t="s">
        <v>326</v>
      </c>
      <c r="C1548" s="7" t="s">
        <v>327</v>
      </c>
      <c r="D1548" s="6">
        <v>147</v>
      </c>
      <c r="E1548" s="8" t="s">
        <v>2175</v>
      </c>
      <c r="F1548" s="6" t="s">
        <v>1914</v>
      </c>
      <c r="G1548" s="33" t="s">
        <v>342</v>
      </c>
    </row>
    <row r="1549" spans="1:7" ht="14" x14ac:dyDescent="0.15">
      <c r="A1549" s="6" t="s">
        <v>325</v>
      </c>
      <c r="B1549" s="6" t="s">
        <v>326</v>
      </c>
      <c r="C1549" s="7" t="s">
        <v>327</v>
      </c>
      <c r="D1549" s="6">
        <v>156</v>
      </c>
      <c r="E1549" s="8" t="s">
        <v>2176</v>
      </c>
      <c r="F1549" s="6" t="s">
        <v>1914</v>
      </c>
      <c r="G1549" s="33" t="s">
        <v>18</v>
      </c>
    </row>
    <row r="1550" spans="1:7" ht="14" x14ac:dyDescent="0.15">
      <c r="A1550" s="6" t="s">
        <v>466</v>
      </c>
      <c r="B1550" s="6" t="s">
        <v>467</v>
      </c>
      <c r="C1550" s="7" t="s">
        <v>2177</v>
      </c>
      <c r="D1550" s="6">
        <v>37</v>
      </c>
      <c r="E1550" s="8" t="s">
        <v>2178</v>
      </c>
      <c r="F1550" s="6" t="s">
        <v>1914</v>
      </c>
      <c r="G1550" s="33" t="s">
        <v>30</v>
      </c>
    </row>
    <row r="1551" spans="1:7" ht="28" x14ac:dyDescent="0.15">
      <c r="A1551" s="6" t="s">
        <v>652</v>
      </c>
      <c r="B1551" s="6" t="s">
        <v>653</v>
      </c>
      <c r="C1551" s="7" t="s">
        <v>654</v>
      </c>
      <c r="D1551" s="6">
        <v>19</v>
      </c>
      <c r="E1551" s="8" t="s">
        <v>2179</v>
      </c>
      <c r="F1551" s="6" t="s">
        <v>1914</v>
      </c>
      <c r="G1551" s="33" t="s">
        <v>18</v>
      </c>
    </row>
    <row r="1552" spans="1:7" ht="14" x14ac:dyDescent="0.15">
      <c r="A1552" s="6" t="s">
        <v>964</v>
      </c>
      <c r="B1552" s="6" t="s">
        <v>965</v>
      </c>
      <c r="C1552" s="7" t="s">
        <v>966</v>
      </c>
      <c r="D1552" s="6">
        <v>3</v>
      </c>
      <c r="E1552" s="8" t="s">
        <v>2180</v>
      </c>
      <c r="F1552" s="6" t="s">
        <v>1914</v>
      </c>
      <c r="G1552" s="33" t="s">
        <v>136</v>
      </c>
    </row>
    <row r="1553" spans="1:7" ht="14" x14ac:dyDescent="0.15">
      <c r="A1553" s="6" t="s">
        <v>964</v>
      </c>
      <c r="B1553" s="6" t="s">
        <v>965</v>
      </c>
      <c r="C1553" s="7" t="s">
        <v>966</v>
      </c>
      <c r="D1553" s="6">
        <v>30</v>
      </c>
      <c r="E1553" s="8" t="s">
        <v>2181</v>
      </c>
      <c r="F1553" s="6" t="s">
        <v>1914</v>
      </c>
      <c r="G1553" s="33" t="s">
        <v>18</v>
      </c>
    </row>
    <row r="1554" spans="1:7" ht="14" x14ac:dyDescent="0.15">
      <c r="A1554" s="6" t="s">
        <v>2182</v>
      </c>
      <c r="B1554" s="6" t="s">
        <v>2183</v>
      </c>
      <c r="C1554" s="7" t="s">
        <v>2184</v>
      </c>
      <c r="D1554" s="6">
        <v>1</v>
      </c>
      <c r="E1554" s="8" t="s">
        <v>2185</v>
      </c>
      <c r="F1554" s="6" t="s">
        <v>1914</v>
      </c>
      <c r="G1554" s="33" t="s">
        <v>12</v>
      </c>
    </row>
    <row r="1555" spans="1:7" ht="14" x14ac:dyDescent="0.15">
      <c r="A1555" s="6" t="s">
        <v>2182</v>
      </c>
      <c r="B1555" s="6" t="s">
        <v>2183</v>
      </c>
      <c r="C1555" s="7" t="s">
        <v>2184</v>
      </c>
      <c r="D1555" s="6">
        <v>5</v>
      </c>
      <c r="E1555" s="8" t="s">
        <v>2186</v>
      </c>
      <c r="F1555" s="6" t="s">
        <v>1914</v>
      </c>
      <c r="G1555" s="33" t="s">
        <v>77</v>
      </c>
    </row>
    <row r="1556" spans="1:7" ht="14" x14ac:dyDescent="0.15">
      <c r="A1556" s="6" t="s">
        <v>2182</v>
      </c>
      <c r="B1556" s="6" t="s">
        <v>2183</v>
      </c>
      <c r="C1556" s="7" t="s">
        <v>2184</v>
      </c>
      <c r="D1556" s="6">
        <v>6</v>
      </c>
      <c r="E1556" s="8" t="s">
        <v>2187</v>
      </c>
      <c r="F1556" s="6" t="s">
        <v>1914</v>
      </c>
      <c r="G1556" s="33" t="s">
        <v>12</v>
      </c>
    </row>
    <row r="1557" spans="1:7" ht="42" x14ac:dyDescent="0.15">
      <c r="A1557" s="6" t="s">
        <v>131</v>
      </c>
      <c r="B1557" s="6" t="s">
        <v>132</v>
      </c>
      <c r="C1557" s="7" t="s">
        <v>347</v>
      </c>
      <c r="D1557" s="6">
        <v>7</v>
      </c>
      <c r="E1557" s="8" t="s">
        <v>2188</v>
      </c>
      <c r="F1557" s="6" t="s">
        <v>1914</v>
      </c>
      <c r="G1557" s="33" t="s">
        <v>18</v>
      </c>
    </row>
    <row r="1558" spans="1:7" ht="28" x14ac:dyDescent="0.15">
      <c r="A1558" s="6" t="s">
        <v>131</v>
      </c>
      <c r="B1558" s="6" t="s">
        <v>132</v>
      </c>
      <c r="C1558" s="7" t="s">
        <v>347</v>
      </c>
      <c r="D1558" s="6">
        <v>8</v>
      </c>
      <c r="E1558" s="8" t="s">
        <v>2189</v>
      </c>
      <c r="F1558" s="6" t="s">
        <v>1914</v>
      </c>
      <c r="G1558" s="33" t="s">
        <v>136</v>
      </c>
    </row>
    <row r="1559" spans="1:7" ht="14" x14ac:dyDescent="0.15">
      <c r="A1559" s="6" t="s">
        <v>131</v>
      </c>
      <c r="B1559" s="6" t="s">
        <v>132</v>
      </c>
      <c r="C1559" s="7" t="s">
        <v>347</v>
      </c>
      <c r="D1559" s="6">
        <v>36</v>
      </c>
      <c r="E1559" s="8" t="s">
        <v>2190</v>
      </c>
      <c r="F1559" s="6" t="s">
        <v>1914</v>
      </c>
      <c r="G1559" s="33" t="s">
        <v>83</v>
      </c>
    </row>
    <row r="1560" spans="1:7" ht="14" x14ac:dyDescent="0.15">
      <c r="A1560" s="6" t="s">
        <v>349</v>
      </c>
      <c r="B1560" s="6" t="s">
        <v>350</v>
      </c>
      <c r="C1560" s="7" t="s">
        <v>351</v>
      </c>
      <c r="D1560" s="6">
        <v>45</v>
      </c>
      <c r="E1560" s="8" t="s">
        <v>2191</v>
      </c>
      <c r="F1560" s="6" t="s">
        <v>1914</v>
      </c>
      <c r="G1560" s="33" t="s">
        <v>30</v>
      </c>
    </row>
    <row r="1561" spans="1:7" ht="14" x14ac:dyDescent="0.15">
      <c r="A1561" s="6" t="s">
        <v>349</v>
      </c>
      <c r="B1561" s="6" t="s">
        <v>350</v>
      </c>
      <c r="C1561" s="7" t="s">
        <v>351</v>
      </c>
      <c r="D1561" s="6">
        <v>50</v>
      </c>
      <c r="E1561" s="8" t="s">
        <v>2192</v>
      </c>
      <c r="F1561" s="6" t="s">
        <v>1914</v>
      </c>
      <c r="G1561" s="33" t="s">
        <v>30</v>
      </c>
    </row>
    <row r="1562" spans="1:7" ht="14" x14ac:dyDescent="0.15">
      <c r="A1562" s="6" t="s">
        <v>349</v>
      </c>
      <c r="B1562" s="6" t="s">
        <v>350</v>
      </c>
      <c r="C1562" s="7" t="s">
        <v>351</v>
      </c>
      <c r="D1562" s="6">
        <v>53</v>
      </c>
      <c r="E1562" s="8" t="s">
        <v>2193</v>
      </c>
      <c r="F1562" s="6" t="s">
        <v>1914</v>
      </c>
      <c r="G1562" s="33" t="s">
        <v>342</v>
      </c>
    </row>
    <row r="1563" spans="1:7" ht="14" x14ac:dyDescent="0.15">
      <c r="A1563" s="6" t="s">
        <v>349</v>
      </c>
      <c r="B1563" s="6" t="s">
        <v>350</v>
      </c>
      <c r="C1563" s="7" t="s">
        <v>351</v>
      </c>
      <c r="D1563" s="6">
        <v>58</v>
      </c>
      <c r="E1563" s="8" t="s">
        <v>2194</v>
      </c>
      <c r="F1563" s="6" t="s">
        <v>1914</v>
      </c>
      <c r="G1563" s="33" t="s">
        <v>30</v>
      </c>
    </row>
    <row r="1564" spans="1:7" ht="14" x14ac:dyDescent="0.15">
      <c r="A1564" s="6" t="s">
        <v>349</v>
      </c>
      <c r="B1564" s="6" t="s">
        <v>350</v>
      </c>
      <c r="C1564" s="7" t="s">
        <v>351</v>
      </c>
      <c r="D1564" s="6">
        <v>206</v>
      </c>
      <c r="E1564" s="8" t="s">
        <v>2195</v>
      </c>
      <c r="F1564" s="6" t="s">
        <v>1914</v>
      </c>
      <c r="G1564" s="33" t="s">
        <v>30</v>
      </c>
    </row>
    <row r="1565" spans="1:7" ht="14" x14ac:dyDescent="0.15">
      <c r="A1565" s="6" t="s">
        <v>349</v>
      </c>
      <c r="B1565" s="6" t="s">
        <v>350</v>
      </c>
      <c r="C1565" s="7" t="s">
        <v>351</v>
      </c>
      <c r="D1565" s="6">
        <v>218</v>
      </c>
      <c r="E1565" s="8" t="s">
        <v>2196</v>
      </c>
      <c r="F1565" s="6" t="s">
        <v>1914</v>
      </c>
      <c r="G1565" s="33" t="s">
        <v>30</v>
      </c>
    </row>
    <row r="1566" spans="1:7" ht="28" x14ac:dyDescent="0.15">
      <c r="A1566" s="6" t="s">
        <v>353</v>
      </c>
      <c r="B1566" s="6" t="s">
        <v>354</v>
      </c>
      <c r="C1566" s="7" t="s">
        <v>355</v>
      </c>
      <c r="D1566" s="6">
        <v>20</v>
      </c>
      <c r="E1566" s="8" t="s">
        <v>2197</v>
      </c>
      <c r="F1566" s="6" t="s">
        <v>1914</v>
      </c>
      <c r="G1566" s="33" t="s">
        <v>342</v>
      </c>
    </row>
    <row r="1567" spans="1:7" ht="14" x14ac:dyDescent="0.15">
      <c r="A1567" s="6" t="s">
        <v>357</v>
      </c>
      <c r="B1567" s="6" t="s">
        <v>358</v>
      </c>
      <c r="C1567" s="7" t="s">
        <v>359</v>
      </c>
      <c r="D1567" s="6">
        <v>216</v>
      </c>
      <c r="E1567" s="8" t="s">
        <v>2198</v>
      </c>
      <c r="F1567" s="6" t="s">
        <v>1914</v>
      </c>
      <c r="G1567" s="33" t="s">
        <v>83</v>
      </c>
    </row>
    <row r="1568" spans="1:7" ht="14" x14ac:dyDescent="0.15">
      <c r="A1568" s="6" t="s">
        <v>1001</v>
      </c>
      <c r="B1568" s="6" t="s">
        <v>1002</v>
      </c>
      <c r="C1568" s="7" t="s">
        <v>1003</v>
      </c>
      <c r="D1568" s="6">
        <v>38</v>
      </c>
      <c r="E1568" s="8" t="s">
        <v>2199</v>
      </c>
      <c r="F1568" s="6" t="s">
        <v>1914</v>
      </c>
      <c r="G1568" s="33" t="s">
        <v>136</v>
      </c>
    </row>
    <row r="1569" spans="1:7" ht="14" x14ac:dyDescent="0.15">
      <c r="A1569" s="6" t="s">
        <v>1001</v>
      </c>
      <c r="B1569" s="6" t="s">
        <v>1002</v>
      </c>
      <c r="C1569" s="7" t="s">
        <v>1003</v>
      </c>
      <c r="D1569" s="6">
        <v>134</v>
      </c>
      <c r="E1569" s="8" t="s">
        <v>2200</v>
      </c>
      <c r="F1569" s="6" t="s">
        <v>1914</v>
      </c>
      <c r="G1569" s="33" t="s">
        <v>342</v>
      </c>
    </row>
    <row r="1570" spans="1:7" ht="14" x14ac:dyDescent="0.15">
      <c r="A1570" s="6" t="s">
        <v>656</v>
      </c>
      <c r="B1570" s="6" t="s">
        <v>657</v>
      </c>
      <c r="C1570" s="7" t="s">
        <v>658</v>
      </c>
      <c r="D1570" s="6">
        <v>61</v>
      </c>
      <c r="E1570" s="8" t="s">
        <v>2201</v>
      </c>
      <c r="F1570" s="6" t="s">
        <v>1914</v>
      </c>
      <c r="G1570" s="33" t="s">
        <v>342</v>
      </c>
    </row>
    <row r="1571" spans="1:7" ht="14" x14ac:dyDescent="0.15">
      <c r="A1571" s="6" t="s">
        <v>185</v>
      </c>
      <c r="B1571" s="6" t="s">
        <v>1778</v>
      </c>
      <c r="C1571" s="7" t="s">
        <v>1779</v>
      </c>
      <c r="D1571" s="6">
        <v>4</v>
      </c>
      <c r="E1571" s="8" t="s">
        <v>2042</v>
      </c>
      <c r="F1571" s="6" t="s">
        <v>1914</v>
      </c>
      <c r="G1571" s="33" t="s">
        <v>342</v>
      </c>
    </row>
    <row r="1572" spans="1:7" ht="14" x14ac:dyDescent="0.15">
      <c r="A1572" s="6" t="s">
        <v>1011</v>
      </c>
      <c r="B1572" s="6" t="s">
        <v>1012</v>
      </c>
      <c r="C1572" s="7" t="s">
        <v>1013</v>
      </c>
      <c r="D1572" s="6">
        <v>124</v>
      </c>
      <c r="E1572" s="8" t="s">
        <v>2202</v>
      </c>
      <c r="F1572" s="6" t="s">
        <v>1914</v>
      </c>
      <c r="G1572" s="33" t="s">
        <v>18</v>
      </c>
    </row>
    <row r="1573" spans="1:7" ht="14" x14ac:dyDescent="0.15">
      <c r="A1573" s="6" t="s">
        <v>382</v>
      </c>
      <c r="B1573" s="6" t="s">
        <v>383</v>
      </c>
      <c r="C1573" s="7" t="s">
        <v>384</v>
      </c>
      <c r="D1573" s="6">
        <v>91</v>
      </c>
      <c r="E1573" s="8" t="s">
        <v>2203</v>
      </c>
      <c r="F1573" s="6" t="s">
        <v>1914</v>
      </c>
      <c r="G1573" s="33" t="s">
        <v>115</v>
      </c>
    </row>
    <row r="1574" spans="1:7" ht="42" x14ac:dyDescent="0.15">
      <c r="A1574" s="6" t="s">
        <v>390</v>
      </c>
      <c r="B1574" s="6" t="s">
        <v>390</v>
      </c>
      <c r="C1574" s="7" t="s">
        <v>391</v>
      </c>
      <c r="D1574" s="6">
        <v>91</v>
      </c>
      <c r="E1574" s="8" t="s">
        <v>2204</v>
      </c>
      <c r="F1574" s="6" t="s">
        <v>1914</v>
      </c>
      <c r="G1574" s="33" t="s">
        <v>18</v>
      </c>
    </row>
    <row r="1575" spans="1:7" ht="14" x14ac:dyDescent="0.15">
      <c r="A1575" s="6" t="s">
        <v>390</v>
      </c>
      <c r="B1575" s="6" t="s">
        <v>390</v>
      </c>
      <c r="C1575" s="7" t="s">
        <v>391</v>
      </c>
      <c r="D1575" s="6">
        <v>103</v>
      </c>
      <c r="E1575" s="8" t="s">
        <v>2205</v>
      </c>
      <c r="F1575" s="6" t="s">
        <v>1914</v>
      </c>
      <c r="G1575" s="33" t="s">
        <v>18</v>
      </c>
    </row>
    <row r="1576" spans="1:7" ht="14" x14ac:dyDescent="0.15">
      <c r="A1576" s="6" t="s">
        <v>390</v>
      </c>
      <c r="B1576" s="6" t="s">
        <v>390</v>
      </c>
      <c r="C1576" s="7" t="s">
        <v>391</v>
      </c>
      <c r="D1576" s="6">
        <v>114</v>
      </c>
      <c r="E1576" s="8" t="s">
        <v>2206</v>
      </c>
      <c r="F1576" s="6" t="s">
        <v>1914</v>
      </c>
      <c r="G1576" s="33" t="s">
        <v>342</v>
      </c>
    </row>
    <row r="1577" spans="1:7" ht="14" x14ac:dyDescent="0.15">
      <c r="A1577" s="6" t="s">
        <v>708</v>
      </c>
      <c r="B1577" s="6" t="s">
        <v>709</v>
      </c>
      <c r="C1577" s="7" t="s">
        <v>710</v>
      </c>
      <c r="D1577" s="6">
        <v>4</v>
      </c>
      <c r="E1577" s="8" t="s">
        <v>2207</v>
      </c>
      <c r="F1577" s="6" t="s">
        <v>1914</v>
      </c>
      <c r="G1577" s="33" t="s">
        <v>136</v>
      </c>
    </row>
    <row r="1578" spans="1:7" ht="14" x14ac:dyDescent="0.15">
      <c r="A1578" s="6" t="s">
        <v>708</v>
      </c>
      <c r="B1578" s="6" t="s">
        <v>709</v>
      </c>
      <c r="C1578" s="7" t="s">
        <v>710</v>
      </c>
      <c r="D1578" s="6">
        <v>124</v>
      </c>
      <c r="E1578" s="8" t="s">
        <v>2208</v>
      </c>
      <c r="F1578" s="6" t="s">
        <v>1914</v>
      </c>
      <c r="G1578" s="33" t="s">
        <v>30</v>
      </c>
    </row>
    <row r="1579" spans="1:7" ht="28" x14ac:dyDescent="0.15">
      <c r="A1579" s="6" t="s">
        <v>708</v>
      </c>
      <c r="B1579" s="6" t="s">
        <v>709</v>
      </c>
      <c r="C1579" s="7" t="s">
        <v>710</v>
      </c>
      <c r="D1579" s="6">
        <v>129</v>
      </c>
      <c r="E1579" s="8" t="s">
        <v>2209</v>
      </c>
      <c r="F1579" s="6" t="s">
        <v>1914</v>
      </c>
      <c r="G1579" s="33" t="s">
        <v>30</v>
      </c>
    </row>
    <row r="1580" spans="1:7" ht="28" x14ac:dyDescent="0.15">
      <c r="A1580" s="6" t="s">
        <v>393</v>
      </c>
      <c r="B1580" s="6" t="s">
        <v>394</v>
      </c>
      <c r="C1580" s="7" t="s">
        <v>395</v>
      </c>
      <c r="D1580" s="6">
        <v>8</v>
      </c>
      <c r="E1580" s="8" t="s">
        <v>2210</v>
      </c>
      <c r="F1580" s="6" t="s">
        <v>1914</v>
      </c>
      <c r="G1580" s="33" t="s">
        <v>136</v>
      </c>
    </row>
    <row r="1581" spans="1:7" ht="28" x14ac:dyDescent="0.15">
      <c r="A1581" s="6" t="s">
        <v>393</v>
      </c>
      <c r="B1581" s="6" t="s">
        <v>394</v>
      </c>
      <c r="C1581" s="7" t="s">
        <v>395</v>
      </c>
      <c r="D1581" s="6">
        <v>17</v>
      </c>
      <c r="E1581" s="8" t="s">
        <v>2211</v>
      </c>
      <c r="F1581" s="6" t="s">
        <v>1914</v>
      </c>
      <c r="G1581" s="33" t="s">
        <v>83</v>
      </c>
    </row>
    <row r="1582" spans="1:7" ht="14" x14ac:dyDescent="0.15">
      <c r="A1582" s="6" t="s">
        <v>393</v>
      </c>
      <c r="B1582" s="6" t="s">
        <v>394</v>
      </c>
      <c r="C1582" s="7" t="s">
        <v>395</v>
      </c>
      <c r="D1582" s="6">
        <v>178</v>
      </c>
      <c r="E1582" s="8" t="s">
        <v>2212</v>
      </c>
      <c r="F1582" s="6" t="s">
        <v>1914</v>
      </c>
      <c r="G1582" s="33" t="s">
        <v>115</v>
      </c>
    </row>
    <row r="1583" spans="1:7" ht="28" x14ac:dyDescent="0.15">
      <c r="A1583" s="6" t="s">
        <v>1086</v>
      </c>
      <c r="B1583" s="6" t="s">
        <v>1087</v>
      </c>
      <c r="C1583" s="7" t="s">
        <v>1088</v>
      </c>
      <c r="D1583" s="6">
        <v>22</v>
      </c>
      <c r="E1583" s="8" t="s">
        <v>2213</v>
      </c>
      <c r="F1583" s="6" t="s">
        <v>1914</v>
      </c>
      <c r="G1583" s="33" t="s">
        <v>219</v>
      </c>
    </row>
    <row r="1584" spans="1:7" ht="14" x14ac:dyDescent="0.15">
      <c r="A1584" s="6" t="s">
        <v>1086</v>
      </c>
      <c r="B1584" s="6" t="s">
        <v>1087</v>
      </c>
      <c r="C1584" s="7" t="s">
        <v>1088</v>
      </c>
      <c r="D1584" s="6">
        <v>24</v>
      </c>
      <c r="E1584" s="8" t="s">
        <v>2214</v>
      </c>
      <c r="F1584" s="6" t="s">
        <v>1914</v>
      </c>
      <c r="G1584" s="33" t="s">
        <v>77</v>
      </c>
    </row>
    <row r="1585" spans="1:7" ht="14" x14ac:dyDescent="0.15">
      <c r="A1585" s="6" t="s">
        <v>1086</v>
      </c>
      <c r="B1585" s="6" t="s">
        <v>1087</v>
      </c>
      <c r="C1585" s="7" t="s">
        <v>1088</v>
      </c>
      <c r="D1585" s="6">
        <v>25</v>
      </c>
      <c r="E1585" s="8" t="s">
        <v>2215</v>
      </c>
      <c r="F1585" s="6" t="s">
        <v>1914</v>
      </c>
      <c r="G1585" s="33" t="s">
        <v>12</v>
      </c>
    </row>
    <row r="1586" spans="1:7" ht="14" x14ac:dyDescent="0.15">
      <c r="A1586" s="6" t="s">
        <v>1086</v>
      </c>
      <c r="B1586" s="6" t="s">
        <v>1087</v>
      </c>
      <c r="C1586" s="7" t="s">
        <v>1088</v>
      </c>
      <c r="D1586" s="6">
        <v>95</v>
      </c>
      <c r="E1586" s="8" t="s">
        <v>2216</v>
      </c>
      <c r="F1586" s="6" t="s">
        <v>1914</v>
      </c>
      <c r="G1586" s="33" t="s">
        <v>30</v>
      </c>
    </row>
    <row r="1587" spans="1:7" ht="14" x14ac:dyDescent="0.15">
      <c r="A1587" s="6" t="s">
        <v>2217</v>
      </c>
      <c r="B1587" s="6" t="s">
        <v>2218</v>
      </c>
      <c r="C1587" s="7" t="s">
        <v>2219</v>
      </c>
      <c r="D1587" s="6">
        <v>12</v>
      </c>
      <c r="E1587" s="8" t="s">
        <v>2220</v>
      </c>
      <c r="F1587" s="6" t="s">
        <v>1914</v>
      </c>
      <c r="G1587" s="33" t="s">
        <v>30</v>
      </c>
    </row>
    <row r="1588" spans="1:7" ht="14" x14ac:dyDescent="0.15">
      <c r="A1588" s="6" t="s">
        <v>2217</v>
      </c>
      <c r="B1588" s="6" t="s">
        <v>2218</v>
      </c>
      <c r="C1588" s="7" t="s">
        <v>2219</v>
      </c>
      <c r="D1588" s="6">
        <v>15</v>
      </c>
      <c r="E1588" s="8" t="s">
        <v>2221</v>
      </c>
      <c r="F1588" s="6" t="s">
        <v>1914</v>
      </c>
      <c r="G1588" s="33" t="s">
        <v>30</v>
      </c>
    </row>
    <row r="1589" spans="1:7" ht="14" x14ac:dyDescent="0.15">
      <c r="A1589" s="6" t="s">
        <v>2217</v>
      </c>
      <c r="B1589" s="6" t="s">
        <v>2218</v>
      </c>
      <c r="C1589" s="7" t="s">
        <v>2219</v>
      </c>
      <c r="D1589" s="6">
        <v>48</v>
      </c>
      <c r="E1589" s="8" t="s">
        <v>2222</v>
      </c>
      <c r="F1589" s="6" t="s">
        <v>1914</v>
      </c>
      <c r="G1589" s="33" t="s">
        <v>513</v>
      </c>
    </row>
    <row r="1590" spans="1:7" ht="14" x14ac:dyDescent="0.15">
      <c r="A1590" s="6" t="s">
        <v>2223</v>
      </c>
      <c r="B1590" s="6" t="s">
        <v>2224</v>
      </c>
      <c r="C1590" s="7" t="s">
        <v>2225</v>
      </c>
      <c r="D1590" s="6">
        <v>26</v>
      </c>
      <c r="E1590" s="8" t="s">
        <v>2226</v>
      </c>
      <c r="F1590" s="6" t="s">
        <v>1914</v>
      </c>
      <c r="G1590" s="33" t="s">
        <v>18</v>
      </c>
    </row>
    <row r="1591" spans="1:7" ht="14" x14ac:dyDescent="0.15">
      <c r="A1591" s="6" t="s">
        <v>25</v>
      </c>
      <c r="B1591" s="6" t="s">
        <v>238</v>
      </c>
      <c r="C1591" s="7" t="s">
        <v>1517</v>
      </c>
      <c r="D1591" s="6">
        <v>6</v>
      </c>
      <c r="E1591" s="8" t="s">
        <v>2094</v>
      </c>
      <c r="F1591" s="6" t="s">
        <v>1914</v>
      </c>
      <c r="G1591" s="33" t="s">
        <v>12</v>
      </c>
    </row>
    <row r="1592" spans="1:7" ht="14" x14ac:dyDescent="0.15">
      <c r="A1592" s="6" t="s">
        <v>25</v>
      </c>
      <c r="B1592" s="6" t="s">
        <v>238</v>
      </c>
      <c r="C1592" s="7" t="s">
        <v>1517</v>
      </c>
      <c r="D1592" s="6">
        <v>27</v>
      </c>
      <c r="E1592" s="8" t="s">
        <v>2095</v>
      </c>
      <c r="F1592" s="6" t="s">
        <v>1914</v>
      </c>
      <c r="G1592" s="33" t="s">
        <v>12</v>
      </c>
    </row>
    <row r="1593" spans="1:7" ht="28" x14ac:dyDescent="0.15">
      <c r="A1593" s="6" t="s">
        <v>247</v>
      </c>
      <c r="B1593" s="6" t="s">
        <v>248</v>
      </c>
      <c r="C1593" s="7" t="s">
        <v>399</v>
      </c>
      <c r="D1593" s="6">
        <v>44</v>
      </c>
      <c r="E1593" s="8" t="s">
        <v>2108</v>
      </c>
      <c r="F1593" s="6" t="s">
        <v>1914</v>
      </c>
      <c r="G1593" s="33" t="s">
        <v>88</v>
      </c>
    </row>
    <row r="1594" spans="1:7" ht="28" x14ac:dyDescent="0.15">
      <c r="A1594" s="6" t="s">
        <v>247</v>
      </c>
      <c r="B1594" s="6" t="s">
        <v>248</v>
      </c>
      <c r="C1594" s="7" t="s">
        <v>399</v>
      </c>
      <c r="D1594" s="6">
        <v>48</v>
      </c>
      <c r="E1594" s="8" t="s">
        <v>2109</v>
      </c>
      <c r="F1594" s="6" t="s">
        <v>1914</v>
      </c>
      <c r="G1594" s="33" t="s">
        <v>30</v>
      </c>
    </row>
    <row r="1595" spans="1:7" ht="14" x14ac:dyDescent="0.15">
      <c r="A1595" s="6" t="s">
        <v>247</v>
      </c>
      <c r="B1595" s="6" t="s">
        <v>248</v>
      </c>
      <c r="C1595" s="7" t="s">
        <v>399</v>
      </c>
      <c r="D1595" s="6">
        <v>131</v>
      </c>
      <c r="E1595" s="8" t="s">
        <v>2110</v>
      </c>
      <c r="F1595" s="6" t="s">
        <v>1914</v>
      </c>
      <c r="G1595" s="33" t="s">
        <v>30</v>
      </c>
    </row>
    <row r="1596" spans="1:7" ht="14" x14ac:dyDescent="0.15">
      <c r="A1596" s="6" t="s">
        <v>247</v>
      </c>
      <c r="B1596" s="6" t="s">
        <v>248</v>
      </c>
      <c r="C1596" s="7" t="s">
        <v>399</v>
      </c>
      <c r="D1596" s="6">
        <v>137</v>
      </c>
      <c r="E1596" s="8" t="s">
        <v>2111</v>
      </c>
      <c r="F1596" s="6" t="s">
        <v>1914</v>
      </c>
      <c r="G1596" s="33" t="s">
        <v>88</v>
      </c>
    </row>
    <row r="1597" spans="1:7" ht="14" x14ac:dyDescent="0.15">
      <c r="A1597" s="6" t="s">
        <v>247</v>
      </c>
      <c r="B1597" s="6" t="s">
        <v>248</v>
      </c>
      <c r="C1597" s="7" t="s">
        <v>399</v>
      </c>
      <c r="D1597" s="6">
        <v>139</v>
      </c>
      <c r="E1597" s="8" t="s">
        <v>2112</v>
      </c>
      <c r="F1597" s="6" t="s">
        <v>1914</v>
      </c>
      <c r="G1597" s="33" t="s">
        <v>88</v>
      </c>
    </row>
    <row r="1598" spans="1:7" ht="14" x14ac:dyDescent="0.15">
      <c r="A1598" s="6" t="s">
        <v>247</v>
      </c>
      <c r="B1598" s="6" t="s">
        <v>248</v>
      </c>
      <c r="C1598" s="7" t="s">
        <v>399</v>
      </c>
      <c r="D1598" s="6">
        <v>151</v>
      </c>
      <c r="E1598" s="8" t="s">
        <v>2113</v>
      </c>
      <c r="F1598" s="6" t="s">
        <v>1914</v>
      </c>
      <c r="G1598" s="33" t="s">
        <v>88</v>
      </c>
    </row>
    <row r="1599" spans="1:7" ht="14" x14ac:dyDescent="0.15">
      <c r="A1599" s="6" t="s">
        <v>247</v>
      </c>
      <c r="B1599" s="6" t="s">
        <v>248</v>
      </c>
      <c r="C1599" s="7" t="s">
        <v>399</v>
      </c>
      <c r="D1599" s="6">
        <v>159</v>
      </c>
      <c r="E1599" s="8" t="s">
        <v>2114</v>
      </c>
      <c r="F1599" s="6" t="s">
        <v>1914</v>
      </c>
      <c r="G1599" s="33" t="s">
        <v>88</v>
      </c>
    </row>
    <row r="1600" spans="1:7" ht="14" x14ac:dyDescent="0.15">
      <c r="A1600" s="6" t="s">
        <v>247</v>
      </c>
      <c r="B1600" s="6" t="s">
        <v>248</v>
      </c>
      <c r="C1600" s="7" t="s">
        <v>399</v>
      </c>
      <c r="D1600" s="6">
        <v>162</v>
      </c>
      <c r="E1600" s="8" t="s">
        <v>2115</v>
      </c>
      <c r="F1600" s="6" t="s">
        <v>1914</v>
      </c>
      <c r="G1600" s="33" t="s">
        <v>88</v>
      </c>
    </row>
    <row r="1601" spans="1:7" ht="14" x14ac:dyDescent="0.15">
      <c r="A1601" s="6" t="s">
        <v>247</v>
      </c>
      <c r="B1601" s="6" t="s">
        <v>248</v>
      </c>
      <c r="C1601" s="7" t="s">
        <v>399</v>
      </c>
      <c r="D1601" s="6">
        <v>165</v>
      </c>
      <c r="E1601" s="8" t="s">
        <v>2116</v>
      </c>
      <c r="F1601" s="6" t="s">
        <v>1914</v>
      </c>
      <c r="G1601" s="33" t="s">
        <v>88</v>
      </c>
    </row>
    <row r="1602" spans="1:7" ht="14" x14ac:dyDescent="0.15">
      <c r="A1602" s="6" t="s">
        <v>400</v>
      </c>
      <c r="B1602" s="6" t="s">
        <v>400</v>
      </c>
      <c r="C1602" s="7" t="s">
        <v>401</v>
      </c>
      <c r="D1602" s="6">
        <v>19</v>
      </c>
      <c r="E1602" s="8" t="s">
        <v>2227</v>
      </c>
      <c r="F1602" s="6" t="s">
        <v>1914</v>
      </c>
      <c r="G1602" s="33" t="s">
        <v>12</v>
      </c>
    </row>
    <row r="1603" spans="1:7" ht="14" x14ac:dyDescent="0.15">
      <c r="A1603" s="6" t="s">
        <v>400</v>
      </c>
      <c r="B1603" s="6" t="s">
        <v>400</v>
      </c>
      <c r="C1603" s="7" t="s">
        <v>401</v>
      </c>
      <c r="D1603" s="6">
        <v>20</v>
      </c>
      <c r="E1603" s="8" t="s">
        <v>2228</v>
      </c>
      <c r="F1603" s="6" t="s">
        <v>1914</v>
      </c>
      <c r="G1603" s="33" t="s">
        <v>12</v>
      </c>
    </row>
    <row r="1604" spans="1:7" ht="14" x14ac:dyDescent="0.15">
      <c r="A1604" s="6" t="s">
        <v>400</v>
      </c>
      <c r="B1604" s="6" t="s">
        <v>400</v>
      </c>
      <c r="C1604" s="7" t="s">
        <v>401</v>
      </c>
      <c r="D1604" s="6">
        <v>83</v>
      </c>
      <c r="E1604" s="8" t="s">
        <v>2229</v>
      </c>
      <c r="F1604" s="6" t="s">
        <v>1914</v>
      </c>
      <c r="G1604" s="33" t="s">
        <v>30</v>
      </c>
    </row>
    <row r="1605" spans="1:7" ht="14" x14ac:dyDescent="0.15">
      <c r="A1605" s="6" t="s">
        <v>1737</v>
      </c>
      <c r="B1605" s="6" t="s">
        <v>1738</v>
      </c>
      <c r="C1605" s="7" t="s">
        <v>1797</v>
      </c>
      <c r="D1605" s="6">
        <v>93</v>
      </c>
      <c r="E1605" s="8" t="s">
        <v>2117</v>
      </c>
      <c r="F1605" s="6" t="s">
        <v>1914</v>
      </c>
      <c r="G1605" s="33" t="s">
        <v>83</v>
      </c>
    </row>
    <row r="1606" spans="1:7" ht="14" x14ac:dyDescent="0.15">
      <c r="A1606" s="6" t="s">
        <v>1737</v>
      </c>
      <c r="B1606" s="6" t="s">
        <v>1738</v>
      </c>
      <c r="C1606" s="7" t="s">
        <v>1797</v>
      </c>
      <c r="D1606" s="6">
        <v>94</v>
      </c>
      <c r="E1606" s="8" t="s">
        <v>2118</v>
      </c>
      <c r="F1606" s="6" t="s">
        <v>1914</v>
      </c>
      <c r="G1606" s="33" t="s">
        <v>83</v>
      </c>
    </row>
    <row r="1607" spans="1:7" ht="14" x14ac:dyDescent="0.15">
      <c r="A1607" s="6" t="s">
        <v>1737</v>
      </c>
      <c r="B1607" s="6" t="s">
        <v>1738</v>
      </c>
      <c r="C1607" s="7" t="s">
        <v>1797</v>
      </c>
      <c r="D1607" s="6">
        <v>95</v>
      </c>
      <c r="E1607" s="8" t="s">
        <v>2119</v>
      </c>
      <c r="F1607" s="6" t="s">
        <v>1914</v>
      </c>
      <c r="G1607" s="33" t="s">
        <v>83</v>
      </c>
    </row>
    <row r="1608" spans="1:7" ht="14" x14ac:dyDescent="0.15">
      <c r="A1608" s="6" t="s">
        <v>92</v>
      </c>
      <c r="B1608" s="6" t="s">
        <v>93</v>
      </c>
      <c r="C1608" s="7" t="s">
        <v>94</v>
      </c>
      <c r="D1608" s="6">
        <v>13</v>
      </c>
      <c r="E1608" s="8" t="s">
        <v>2230</v>
      </c>
      <c r="F1608" s="6" t="s">
        <v>1914</v>
      </c>
      <c r="G1608" s="33" t="s">
        <v>136</v>
      </c>
    </row>
    <row r="1609" spans="1:7" ht="14" x14ac:dyDescent="0.15">
      <c r="A1609" s="6" t="s">
        <v>92</v>
      </c>
      <c r="B1609" s="6" t="s">
        <v>93</v>
      </c>
      <c r="C1609" s="7" t="s">
        <v>94</v>
      </c>
      <c r="D1609" s="6">
        <v>74</v>
      </c>
      <c r="E1609" s="8" t="s">
        <v>2231</v>
      </c>
      <c r="F1609" s="6" t="s">
        <v>1914</v>
      </c>
      <c r="G1609" s="33" t="s">
        <v>83</v>
      </c>
    </row>
    <row r="1610" spans="1:7" ht="28" x14ac:dyDescent="0.15">
      <c r="A1610" s="6" t="s">
        <v>92</v>
      </c>
      <c r="B1610" s="6" t="s">
        <v>93</v>
      </c>
      <c r="C1610" s="7" t="s">
        <v>94</v>
      </c>
      <c r="D1610" s="6">
        <v>98</v>
      </c>
      <c r="E1610" s="8" t="s">
        <v>2232</v>
      </c>
      <c r="F1610" s="6" t="s">
        <v>1914</v>
      </c>
      <c r="G1610" s="33" t="s">
        <v>30</v>
      </c>
    </row>
    <row r="1611" spans="1:7" ht="14" x14ac:dyDescent="0.15">
      <c r="A1611" s="6" t="s">
        <v>1118</v>
      </c>
      <c r="B1611" s="6" t="s">
        <v>1119</v>
      </c>
      <c r="C1611" s="7" t="s">
        <v>1120</v>
      </c>
      <c r="D1611" s="6">
        <v>4</v>
      </c>
      <c r="E1611" s="8" t="s">
        <v>2233</v>
      </c>
      <c r="F1611" s="6" t="s">
        <v>1914</v>
      </c>
      <c r="G1611" s="33" t="s">
        <v>12</v>
      </c>
    </row>
    <row r="1612" spans="1:7" ht="14" x14ac:dyDescent="0.15">
      <c r="A1612" s="6" t="s">
        <v>1118</v>
      </c>
      <c r="B1612" s="6" t="s">
        <v>1119</v>
      </c>
      <c r="C1612" s="7" t="s">
        <v>1120</v>
      </c>
      <c r="D1612" s="6">
        <v>41</v>
      </c>
      <c r="E1612" s="8" t="s">
        <v>2234</v>
      </c>
      <c r="F1612" s="6" t="s">
        <v>1914</v>
      </c>
      <c r="G1612" s="33" t="s">
        <v>77</v>
      </c>
    </row>
    <row r="1613" spans="1:7" ht="14" x14ac:dyDescent="0.15">
      <c r="A1613" s="6" t="s">
        <v>1118</v>
      </c>
      <c r="B1613" s="6" t="s">
        <v>1119</v>
      </c>
      <c r="C1613" s="7" t="s">
        <v>1120</v>
      </c>
      <c r="D1613" s="6">
        <v>81</v>
      </c>
      <c r="E1613" s="8" t="s">
        <v>2235</v>
      </c>
      <c r="F1613" s="6" t="s">
        <v>1914</v>
      </c>
      <c r="G1613" s="33" t="s">
        <v>23</v>
      </c>
    </row>
    <row r="1614" spans="1:7" ht="14" x14ac:dyDescent="0.15">
      <c r="A1614" s="6" t="s">
        <v>1125</v>
      </c>
      <c r="B1614" s="6" t="s">
        <v>1126</v>
      </c>
      <c r="C1614" s="7" t="s">
        <v>1127</v>
      </c>
      <c r="D1614" s="6">
        <v>130</v>
      </c>
      <c r="E1614" s="8" t="s">
        <v>2236</v>
      </c>
      <c r="F1614" s="6" t="s">
        <v>1914</v>
      </c>
      <c r="G1614" s="33" t="s">
        <v>77</v>
      </c>
    </row>
    <row r="1615" spans="1:7" ht="14" x14ac:dyDescent="0.15">
      <c r="A1615" s="6" t="s">
        <v>1125</v>
      </c>
      <c r="B1615" s="6" t="s">
        <v>1126</v>
      </c>
      <c r="C1615" s="7" t="s">
        <v>1127</v>
      </c>
      <c r="D1615" s="6">
        <v>181</v>
      </c>
      <c r="E1615" s="8" t="s">
        <v>2237</v>
      </c>
      <c r="F1615" s="6" t="s">
        <v>1914</v>
      </c>
      <c r="G1615" s="33" t="s">
        <v>342</v>
      </c>
    </row>
    <row r="1616" spans="1:7" ht="14" x14ac:dyDescent="0.15">
      <c r="A1616" s="6" t="s">
        <v>1125</v>
      </c>
      <c r="B1616" s="6" t="s">
        <v>1126</v>
      </c>
      <c r="C1616" s="7" t="s">
        <v>1127</v>
      </c>
      <c r="D1616" s="6">
        <v>185</v>
      </c>
      <c r="E1616" s="8" t="s">
        <v>2238</v>
      </c>
      <c r="F1616" s="6" t="s">
        <v>1914</v>
      </c>
      <c r="G1616" s="33" t="s">
        <v>30</v>
      </c>
    </row>
    <row r="1617" spans="1:7" ht="14" x14ac:dyDescent="0.15">
      <c r="A1617" s="6" t="s">
        <v>1125</v>
      </c>
      <c r="B1617" s="6" t="s">
        <v>1126</v>
      </c>
      <c r="C1617" s="7" t="s">
        <v>1127</v>
      </c>
      <c r="D1617" s="6">
        <v>198</v>
      </c>
      <c r="E1617" s="8" t="s">
        <v>2237</v>
      </c>
      <c r="F1617" s="6" t="s">
        <v>1914</v>
      </c>
      <c r="G1617" s="33" t="s">
        <v>342</v>
      </c>
    </row>
    <row r="1618" spans="1:7" ht="14" x14ac:dyDescent="0.15">
      <c r="A1618" s="6" t="s">
        <v>713</v>
      </c>
      <c r="B1618" s="6" t="s">
        <v>713</v>
      </c>
      <c r="C1618" s="7" t="s">
        <v>714</v>
      </c>
      <c r="D1618" s="6">
        <v>24</v>
      </c>
      <c r="E1618" s="8" t="s">
        <v>2239</v>
      </c>
      <c r="F1618" s="6" t="s">
        <v>1914</v>
      </c>
      <c r="G1618" s="33" t="s">
        <v>136</v>
      </c>
    </row>
    <row r="1619" spans="1:7" ht="14" x14ac:dyDescent="0.15">
      <c r="A1619" s="6" t="s">
        <v>713</v>
      </c>
      <c r="B1619" s="6" t="s">
        <v>713</v>
      </c>
      <c r="C1619" s="7" t="s">
        <v>714</v>
      </c>
      <c r="D1619" s="6">
        <v>45</v>
      </c>
      <c r="E1619" s="8" t="s">
        <v>2240</v>
      </c>
      <c r="F1619" s="6" t="s">
        <v>1914</v>
      </c>
      <c r="G1619" s="33" t="s">
        <v>12</v>
      </c>
    </row>
    <row r="1620" spans="1:7" ht="14" x14ac:dyDescent="0.15">
      <c r="A1620" s="6" t="s">
        <v>713</v>
      </c>
      <c r="B1620" s="6" t="s">
        <v>713</v>
      </c>
      <c r="C1620" s="7" t="s">
        <v>714</v>
      </c>
      <c r="D1620" s="6">
        <v>78</v>
      </c>
      <c r="E1620" s="8" t="s">
        <v>2241</v>
      </c>
      <c r="F1620" s="6" t="s">
        <v>1914</v>
      </c>
      <c r="G1620" s="33" t="s">
        <v>12</v>
      </c>
    </row>
    <row r="1621" spans="1:7" ht="14" x14ac:dyDescent="0.15">
      <c r="A1621" s="6" t="s">
        <v>2242</v>
      </c>
      <c r="B1621" s="6" t="s">
        <v>2243</v>
      </c>
      <c r="C1621" s="7" t="s">
        <v>2244</v>
      </c>
      <c r="D1621" s="6">
        <v>38</v>
      </c>
      <c r="E1621" s="8" t="s">
        <v>2245</v>
      </c>
      <c r="F1621" s="6" t="s">
        <v>1914</v>
      </c>
      <c r="G1621" s="33" t="s">
        <v>23</v>
      </c>
    </row>
    <row r="1622" spans="1:7" ht="14" x14ac:dyDescent="0.15">
      <c r="A1622" s="6" t="s">
        <v>416</v>
      </c>
      <c r="B1622" s="6" t="s">
        <v>416</v>
      </c>
      <c r="C1622" s="7" t="s">
        <v>417</v>
      </c>
      <c r="D1622" s="6">
        <v>63</v>
      </c>
      <c r="E1622" s="8" t="s">
        <v>2246</v>
      </c>
      <c r="F1622" s="6" t="s">
        <v>1914</v>
      </c>
      <c r="G1622" s="33" t="s">
        <v>342</v>
      </c>
    </row>
    <row r="1623" spans="1:7" ht="14" x14ac:dyDescent="0.15">
      <c r="A1623" s="6" t="s">
        <v>428</v>
      </c>
      <c r="B1623" s="6" t="s">
        <v>428</v>
      </c>
      <c r="C1623" s="7" t="s">
        <v>429</v>
      </c>
      <c r="D1623" s="6">
        <v>11</v>
      </c>
      <c r="E1623" s="8" t="s">
        <v>2247</v>
      </c>
      <c r="F1623" s="6" t="s">
        <v>1914</v>
      </c>
      <c r="G1623" s="33" t="s">
        <v>136</v>
      </c>
    </row>
    <row r="1624" spans="1:7" ht="14" x14ac:dyDescent="0.15">
      <c r="A1624" s="6" t="s">
        <v>428</v>
      </c>
      <c r="B1624" s="6" t="s">
        <v>428</v>
      </c>
      <c r="C1624" s="7" t="s">
        <v>429</v>
      </c>
      <c r="D1624" s="6">
        <v>54</v>
      </c>
      <c r="E1624" s="8" t="s">
        <v>2248</v>
      </c>
      <c r="F1624" s="6" t="s">
        <v>1914</v>
      </c>
      <c r="G1624" s="33" t="s">
        <v>136</v>
      </c>
    </row>
    <row r="1625" spans="1:7" ht="14" x14ac:dyDescent="0.15">
      <c r="A1625" s="6" t="s">
        <v>428</v>
      </c>
      <c r="B1625" s="6" t="s">
        <v>428</v>
      </c>
      <c r="C1625" s="7" t="s">
        <v>429</v>
      </c>
      <c r="D1625" s="6">
        <v>79</v>
      </c>
      <c r="E1625" s="8" t="s">
        <v>2249</v>
      </c>
      <c r="F1625" s="6" t="s">
        <v>1914</v>
      </c>
      <c r="G1625" s="33" t="s">
        <v>30</v>
      </c>
    </row>
    <row r="1626" spans="1:7" ht="14" x14ac:dyDescent="0.15">
      <c r="A1626" s="6" t="s">
        <v>932</v>
      </c>
      <c r="B1626" s="6" t="s">
        <v>933</v>
      </c>
      <c r="C1626" s="7" t="s">
        <v>1155</v>
      </c>
      <c r="D1626" s="6">
        <v>18</v>
      </c>
      <c r="E1626" s="8" t="s">
        <v>2142</v>
      </c>
      <c r="F1626" s="6" t="s">
        <v>1914</v>
      </c>
      <c r="G1626" s="33" t="s">
        <v>30</v>
      </c>
    </row>
    <row r="1627" spans="1:7" ht="28" x14ac:dyDescent="0.15">
      <c r="A1627" s="6" t="s">
        <v>932</v>
      </c>
      <c r="B1627" s="6" t="s">
        <v>933</v>
      </c>
      <c r="C1627" s="7" t="s">
        <v>1155</v>
      </c>
      <c r="D1627" s="6">
        <v>77</v>
      </c>
      <c r="E1627" s="8" t="s">
        <v>2143</v>
      </c>
      <c r="F1627" s="6" t="s">
        <v>1914</v>
      </c>
      <c r="G1627" s="33" t="s">
        <v>12</v>
      </c>
    </row>
    <row r="1628" spans="1:7" ht="28" x14ac:dyDescent="0.15">
      <c r="A1628" s="6" t="s">
        <v>932</v>
      </c>
      <c r="B1628" s="6" t="s">
        <v>933</v>
      </c>
      <c r="C1628" s="7" t="s">
        <v>1155</v>
      </c>
      <c r="D1628" s="6">
        <v>88</v>
      </c>
      <c r="E1628" s="8" t="s">
        <v>2144</v>
      </c>
      <c r="F1628" s="6" t="s">
        <v>1914</v>
      </c>
      <c r="G1628" s="33" t="s">
        <v>30</v>
      </c>
    </row>
    <row r="1629" spans="1:7" ht="14" x14ac:dyDescent="0.15">
      <c r="A1629" s="6" t="s">
        <v>932</v>
      </c>
      <c r="B1629" s="6" t="s">
        <v>933</v>
      </c>
      <c r="C1629" s="7" t="s">
        <v>1155</v>
      </c>
      <c r="D1629" s="6">
        <v>90</v>
      </c>
      <c r="E1629" s="8" t="s">
        <v>2145</v>
      </c>
      <c r="F1629" s="6" t="s">
        <v>1914</v>
      </c>
      <c r="G1629" s="33" t="s">
        <v>30</v>
      </c>
    </row>
    <row r="1630" spans="1:7" ht="14" x14ac:dyDescent="0.15">
      <c r="A1630" s="6" t="s">
        <v>932</v>
      </c>
      <c r="B1630" s="6" t="s">
        <v>933</v>
      </c>
      <c r="C1630" s="7" t="s">
        <v>1155</v>
      </c>
      <c r="D1630" s="6">
        <v>94</v>
      </c>
      <c r="E1630" s="8" t="s">
        <v>2146</v>
      </c>
      <c r="F1630" s="6" t="s">
        <v>1914</v>
      </c>
      <c r="G1630" s="33" t="s">
        <v>30</v>
      </c>
    </row>
    <row r="1631" spans="1:7" ht="14" x14ac:dyDescent="0.15">
      <c r="A1631" s="6" t="s">
        <v>932</v>
      </c>
      <c r="B1631" s="6" t="s">
        <v>933</v>
      </c>
      <c r="C1631" s="7" t="s">
        <v>1155</v>
      </c>
      <c r="D1631" s="6">
        <v>109</v>
      </c>
      <c r="E1631" s="8" t="s">
        <v>2147</v>
      </c>
      <c r="F1631" s="6" t="s">
        <v>1914</v>
      </c>
      <c r="G1631" s="33" t="s">
        <v>88</v>
      </c>
    </row>
    <row r="1632" spans="1:7" ht="14" x14ac:dyDescent="0.15">
      <c r="A1632" s="6" t="s">
        <v>1159</v>
      </c>
      <c r="B1632" s="6" t="s">
        <v>1160</v>
      </c>
      <c r="C1632" s="7" t="s">
        <v>1161</v>
      </c>
      <c r="D1632" s="6">
        <v>49</v>
      </c>
      <c r="E1632" s="8" t="s">
        <v>2250</v>
      </c>
      <c r="F1632" s="6" t="s">
        <v>1914</v>
      </c>
      <c r="G1632" s="33" t="s">
        <v>342</v>
      </c>
    </row>
    <row r="1633" spans="1:7" ht="14" x14ac:dyDescent="0.15">
      <c r="A1633" s="6" t="s">
        <v>441</v>
      </c>
      <c r="B1633" s="6" t="s">
        <v>442</v>
      </c>
      <c r="C1633" s="7" t="s">
        <v>443</v>
      </c>
      <c r="D1633" s="6">
        <v>20</v>
      </c>
      <c r="E1633" s="8" t="s">
        <v>2251</v>
      </c>
      <c r="F1633" s="6" t="s">
        <v>1914</v>
      </c>
      <c r="G1633" s="33" t="s">
        <v>136</v>
      </c>
    </row>
    <row r="1634" spans="1:7" ht="28" x14ac:dyDescent="0.15">
      <c r="A1634" s="6" t="s">
        <v>441</v>
      </c>
      <c r="B1634" s="6" t="s">
        <v>442</v>
      </c>
      <c r="C1634" s="7" t="s">
        <v>443</v>
      </c>
      <c r="D1634" s="6">
        <v>21</v>
      </c>
      <c r="E1634" s="8" t="s">
        <v>2252</v>
      </c>
      <c r="F1634" s="6" t="s">
        <v>1914</v>
      </c>
      <c r="G1634" s="33" t="s">
        <v>136</v>
      </c>
    </row>
    <row r="1635" spans="1:7" ht="14" x14ac:dyDescent="0.15">
      <c r="A1635" s="6" t="s">
        <v>441</v>
      </c>
      <c r="B1635" s="6" t="s">
        <v>442</v>
      </c>
      <c r="C1635" s="7" t="s">
        <v>443</v>
      </c>
      <c r="D1635" s="6">
        <v>22</v>
      </c>
      <c r="E1635" s="8" t="s">
        <v>2253</v>
      </c>
      <c r="F1635" s="6" t="s">
        <v>1914</v>
      </c>
      <c r="G1635" s="33" t="s">
        <v>136</v>
      </c>
    </row>
    <row r="1636" spans="1:7" ht="14" x14ac:dyDescent="0.15">
      <c r="A1636" s="6" t="s">
        <v>441</v>
      </c>
      <c r="B1636" s="6" t="s">
        <v>442</v>
      </c>
      <c r="C1636" s="7" t="s">
        <v>443</v>
      </c>
      <c r="D1636" s="6">
        <v>23</v>
      </c>
      <c r="E1636" s="8" t="s">
        <v>2254</v>
      </c>
      <c r="F1636" s="6" t="s">
        <v>1914</v>
      </c>
      <c r="G1636" s="33" t="s">
        <v>136</v>
      </c>
    </row>
    <row r="1637" spans="1:7" ht="14" x14ac:dyDescent="0.15">
      <c r="A1637" s="6" t="s">
        <v>445</v>
      </c>
      <c r="B1637" s="6" t="s">
        <v>446</v>
      </c>
      <c r="C1637" s="7" t="s">
        <v>447</v>
      </c>
      <c r="D1637" s="6">
        <v>43</v>
      </c>
      <c r="E1637" s="8" t="s">
        <v>2255</v>
      </c>
      <c r="F1637" s="6" t="s">
        <v>1914</v>
      </c>
      <c r="G1637" s="33" t="s">
        <v>30</v>
      </c>
    </row>
    <row r="1638" spans="1:7" ht="14" x14ac:dyDescent="0.15">
      <c r="A1638" s="6" t="s">
        <v>445</v>
      </c>
      <c r="B1638" s="6" t="s">
        <v>455</v>
      </c>
      <c r="C1638" s="7" t="s">
        <v>456</v>
      </c>
      <c r="D1638" s="6">
        <v>43</v>
      </c>
      <c r="E1638" s="8" t="s">
        <v>2255</v>
      </c>
      <c r="F1638" s="6" t="s">
        <v>1914</v>
      </c>
      <c r="G1638" s="33" t="s">
        <v>30</v>
      </c>
    </row>
    <row r="1639" spans="1:7" ht="28" x14ac:dyDescent="0.15">
      <c r="A1639" s="6" t="s">
        <v>626</v>
      </c>
      <c r="B1639" s="6" t="s">
        <v>627</v>
      </c>
      <c r="C1639" s="7" t="s">
        <v>628</v>
      </c>
      <c r="D1639" s="6">
        <v>22</v>
      </c>
      <c r="E1639" s="8" t="s">
        <v>2256</v>
      </c>
      <c r="F1639" s="6" t="s">
        <v>1914</v>
      </c>
      <c r="G1639" s="33" t="s">
        <v>342</v>
      </c>
    </row>
    <row r="1640" spans="1:7" ht="28" x14ac:dyDescent="0.15">
      <c r="A1640" s="6" t="s">
        <v>325</v>
      </c>
      <c r="B1640" s="6" t="s">
        <v>326</v>
      </c>
      <c r="C1640" s="7" t="s">
        <v>463</v>
      </c>
      <c r="D1640" s="6">
        <v>81</v>
      </c>
      <c r="E1640" s="8" t="s">
        <v>2257</v>
      </c>
      <c r="F1640" s="6" t="s">
        <v>1914</v>
      </c>
      <c r="G1640" s="33" t="s">
        <v>30</v>
      </c>
    </row>
    <row r="1641" spans="1:7" ht="14" x14ac:dyDescent="0.15">
      <c r="A1641" s="6" t="s">
        <v>325</v>
      </c>
      <c r="B1641" s="6" t="s">
        <v>326</v>
      </c>
      <c r="C1641" s="7" t="s">
        <v>463</v>
      </c>
      <c r="D1641" s="6">
        <v>146</v>
      </c>
      <c r="E1641" s="8" t="s">
        <v>2175</v>
      </c>
      <c r="F1641" s="6" t="s">
        <v>1914</v>
      </c>
      <c r="G1641" s="33" t="s">
        <v>342</v>
      </c>
    </row>
    <row r="1642" spans="1:7" ht="14" x14ac:dyDescent="0.15">
      <c r="A1642" s="6" t="s">
        <v>325</v>
      </c>
      <c r="B1642" s="6" t="s">
        <v>326</v>
      </c>
      <c r="C1642" s="7" t="s">
        <v>463</v>
      </c>
      <c r="D1642" s="6">
        <v>156</v>
      </c>
      <c r="E1642" s="8" t="s">
        <v>2176</v>
      </c>
      <c r="F1642" s="6" t="s">
        <v>1914</v>
      </c>
      <c r="G1642" s="33" t="s">
        <v>18</v>
      </c>
    </row>
    <row r="1643" spans="1:7" ht="14" x14ac:dyDescent="0.15">
      <c r="A1643" s="6" t="s">
        <v>2258</v>
      </c>
      <c r="B1643" s="6" t="s">
        <v>2259</v>
      </c>
      <c r="C1643" s="7" t="s">
        <v>2260</v>
      </c>
      <c r="D1643" s="6">
        <v>11</v>
      </c>
      <c r="E1643" s="8" t="s">
        <v>2261</v>
      </c>
      <c r="F1643" s="6" t="s">
        <v>1914</v>
      </c>
      <c r="G1643" s="33" t="s">
        <v>513</v>
      </c>
    </row>
    <row r="1644" spans="1:7" ht="28" x14ac:dyDescent="0.15">
      <c r="A1644" s="6" t="s">
        <v>2258</v>
      </c>
      <c r="B1644" s="6" t="s">
        <v>2259</v>
      </c>
      <c r="C1644" s="7" t="s">
        <v>2260</v>
      </c>
      <c r="D1644" s="6">
        <v>23</v>
      </c>
      <c r="E1644" s="8" t="s">
        <v>2262</v>
      </c>
      <c r="F1644" s="6" t="s">
        <v>1914</v>
      </c>
      <c r="G1644" s="33" t="s">
        <v>136</v>
      </c>
    </row>
    <row r="1645" spans="1:7" ht="14" x14ac:dyDescent="0.15">
      <c r="A1645" s="6" t="s">
        <v>2258</v>
      </c>
      <c r="B1645" s="6" t="s">
        <v>2259</v>
      </c>
      <c r="C1645" s="7" t="s">
        <v>2260</v>
      </c>
      <c r="D1645" s="6">
        <v>30</v>
      </c>
      <c r="E1645" s="8" t="s">
        <v>2263</v>
      </c>
      <c r="F1645" s="6" t="s">
        <v>1914</v>
      </c>
      <c r="G1645" s="33" t="s">
        <v>88</v>
      </c>
    </row>
    <row r="1646" spans="1:7" ht="14" x14ac:dyDescent="0.15">
      <c r="A1646" s="6" t="s">
        <v>2258</v>
      </c>
      <c r="B1646" s="6" t="s">
        <v>2259</v>
      </c>
      <c r="C1646" s="7" t="s">
        <v>2260</v>
      </c>
      <c r="D1646" s="6">
        <v>46</v>
      </c>
      <c r="E1646" s="8" t="s">
        <v>2264</v>
      </c>
      <c r="F1646" s="6" t="s">
        <v>1914</v>
      </c>
      <c r="G1646" s="33" t="s">
        <v>136</v>
      </c>
    </row>
    <row r="1647" spans="1:7" ht="14" x14ac:dyDescent="0.15">
      <c r="A1647" s="6" t="s">
        <v>2258</v>
      </c>
      <c r="B1647" s="6" t="s">
        <v>2259</v>
      </c>
      <c r="C1647" s="7" t="s">
        <v>2260</v>
      </c>
      <c r="D1647" s="6">
        <v>53</v>
      </c>
      <c r="E1647" s="8" t="s">
        <v>2265</v>
      </c>
      <c r="F1647" s="6" t="s">
        <v>1914</v>
      </c>
      <c r="G1647" s="33" t="s">
        <v>136</v>
      </c>
    </row>
    <row r="1648" spans="1:7" ht="14" x14ac:dyDescent="0.15">
      <c r="A1648" s="6" t="s">
        <v>2258</v>
      </c>
      <c r="B1648" s="6" t="s">
        <v>2259</v>
      </c>
      <c r="C1648" s="7" t="s">
        <v>2260</v>
      </c>
      <c r="D1648" s="6">
        <v>64</v>
      </c>
      <c r="E1648" s="8" t="s">
        <v>2266</v>
      </c>
      <c r="F1648" s="6" t="s">
        <v>1914</v>
      </c>
      <c r="G1648" s="33" t="s">
        <v>136</v>
      </c>
    </row>
    <row r="1649" spans="1:7" ht="14" x14ac:dyDescent="0.15">
      <c r="A1649" s="6" t="s">
        <v>2258</v>
      </c>
      <c r="B1649" s="6" t="s">
        <v>2259</v>
      </c>
      <c r="C1649" s="7" t="s">
        <v>2260</v>
      </c>
      <c r="D1649" s="6">
        <v>87</v>
      </c>
      <c r="E1649" s="8" t="s">
        <v>2267</v>
      </c>
      <c r="F1649" s="6" t="s">
        <v>1914</v>
      </c>
      <c r="G1649" s="33" t="s">
        <v>136</v>
      </c>
    </row>
    <row r="1650" spans="1:7" ht="14" x14ac:dyDescent="0.15">
      <c r="A1650" s="6" t="s">
        <v>2268</v>
      </c>
      <c r="B1650" s="6" t="s">
        <v>2268</v>
      </c>
      <c r="C1650" s="7" t="s">
        <v>2269</v>
      </c>
      <c r="D1650" s="6">
        <v>9</v>
      </c>
      <c r="E1650" s="8" t="s">
        <v>2270</v>
      </c>
      <c r="F1650" s="6" t="s">
        <v>1914</v>
      </c>
      <c r="G1650" s="33" t="s">
        <v>136</v>
      </c>
    </row>
    <row r="1651" spans="1:7" ht="14" x14ac:dyDescent="0.15">
      <c r="A1651" s="6" t="s">
        <v>2268</v>
      </c>
      <c r="B1651" s="6" t="s">
        <v>2268</v>
      </c>
      <c r="C1651" s="7" t="s">
        <v>2269</v>
      </c>
      <c r="D1651" s="6">
        <v>11</v>
      </c>
      <c r="E1651" s="8" t="s">
        <v>2271</v>
      </c>
      <c r="F1651" s="6" t="s">
        <v>1914</v>
      </c>
      <c r="G1651" s="33" t="s">
        <v>136</v>
      </c>
    </row>
    <row r="1652" spans="1:7" ht="14" x14ac:dyDescent="0.15">
      <c r="A1652" s="6" t="s">
        <v>2268</v>
      </c>
      <c r="B1652" s="6" t="s">
        <v>2268</v>
      </c>
      <c r="C1652" s="7" t="s">
        <v>2269</v>
      </c>
      <c r="D1652" s="6">
        <v>13</v>
      </c>
      <c r="E1652" s="8" t="s">
        <v>2270</v>
      </c>
      <c r="F1652" s="6" t="s">
        <v>1914</v>
      </c>
      <c r="G1652" s="33" t="s">
        <v>136</v>
      </c>
    </row>
    <row r="1653" spans="1:7" ht="14" x14ac:dyDescent="0.15">
      <c r="A1653" s="6" t="s">
        <v>2268</v>
      </c>
      <c r="B1653" s="6" t="s">
        <v>2268</v>
      </c>
      <c r="C1653" s="7" t="s">
        <v>2269</v>
      </c>
      <c r="D1653" s="6">
        <v>16</v>
      </c>
      <c r="E1653" s="8" t="s">
        <v>2272</v>
      </c>
      <c r="F1653" s="6" t="s">
        <v>1914</v>
      </c>
      <c r="G1653" s="33" t="s">
        <v>136</v>
      </c>
    </row>
    <row r="1654" spans="1:7" ht="14" x14ac:dyDescent="0.15">
      <c r="A1654" s="6" t="s">
        <v>2268</v>
      </c>
      <c r="B1654" s="6" t="s">
        <v>2268</v>
      </c>
      <c r="C1654" s="7" t="s">
        <v>2269</v>
      </c>
      <c r="D1654" s="6">
        <v>23</v>
      </c>
      <c r="E1654" s="8" t="s">
        <v>2273</v>
      </c>
      <c r="F1654" s="6" t="s">
        <v>1914</v>
      </c>
      <c r="G1654" s="33" t="s">
        <v>136</v>
      </c>
    </row>
    <row r="1655" spans="1:7" ht="14" x14ac:dyDescent="0.15">
      <c r="A1655" s="6" t="s">
        <v>2268</v>
      </c>
      <c r="B1655" s="6" t="s">
        <v>2268</v>
      </c>
      <c r="C1655" s="7" t="s">
        <v>2269</v>
      </c>
      <c r="D1655" s="6">
        <v>25</v>
      </c>
      <c r="E1655" s="8" t="s">
        <v>2273</v>
      </c>
      <c r="F1655" s="6" t="s">
        <v>1914</v>
      </c>
      <c r="G1655" s="33" t="s">
        <v>136</v>
      </c>
    </row>
    <row r="1656" spans="1:7" ht="14" x14ac:dyDescent="0.15">
      <c r="A1656" s="6" t="s">
        <v>2268</v>
      </c>
      <c r="B1656" s="6" t="s">
        <v>2268</v>
      </c>
      <c r="C1656" s="7" t="s">
        <v>2269</v>
      </c>
      <c r="D1656" s="6">
        <v>27</v>
      </c>
      <c r="E1656" s="8" t="s">
        <v>2274</v>
      </c>
      <c r="F1656" s="6" t="s">
        <v>1914</v>
      </c>
      <c r="G1656" s="33" t="s">
        <v>513</v>
      </c>
    </row>
    <row r="1657" spans="1:7" ht="14" x14ac:dyDescent="0.15">
      <c r="A1657" s="6" t="s">
        <v>2268</v>
      </c>
      <c r="B1657" s="6" t="s">
        <v>2268</v>
      </c>
      <c r="C1657" s="7" t="s">
        <v>2269</v>
      </c>
      <c r="D1657" s="6">
        <v>33</v>
      </c>
      <c r="E1657" s="8" t="s">
        <v>2272</v>
      </c>
      <c r="F1657" s="6" t="s">
        <v>1914</v>
      </c>
      <c r="G1657" s="33" t="s">
        <v>136</v>
      </c>
    </row>
    <row r="1658" spans="1:7" ht="14" x14ac:dyDescent="0.15">
      <c r="A1658" s="6" t="s">
        <v>2268</v>
      </c>
      <c r="B1658" s="6" t="s">
        <v>2268</v>
      </c>
      <c r="C1658" s="7" t="s">
        <v>2269</v>
      </c>
      <c r="D1658" s="6">
        <v>50</v>
      </c>
      <c r="E1658" s="8" t="s">
        <v>2275</v>
      </c>
      <c r="F1658" s="6" t="s">
        <v>1914</v>
      </c>
      <c r="G1658" s="33" t="s">
        <v>136</v>
      </c>
    </row>
    <row r="1659" spans="1:7" ht="14" x14ac:dyDescent="0.15">
      <c r="A1659" s="6" t="s">
        <v>1179</v>
      </c>
      <c r="B1659" s="6" t="s">
        <v>1180</v>
      </c>
      <c r="C1659" s="7" t="s">
        <v>1181</v>
      </c>
      <c r="D1659" s="6">
        <v>7</v>
      </c>
      <c r="E1659" s="8" t="s">
        <v>2261</v>
      </c>
      <c r="F1659" s="6" t="s">
        <v>1914</v>
      </c>
      <c r="G1659" s="33" t="s">
        <v>513</v>
      </c>
    </row>
    <row r="1660" spans="1:7" ht="14" x14ac:dyDescent="0.15">
      <c r="A1660" s="6" t="s">
        <v>1179</v>
      </c>
      <c r="B1660" s="6" t="s">
        <v>1180</v>
      </c>
      <c r="C1660" s="7" t="s">
        <v>1181</v>
      </c>
      <c r="D1660" s="6">
        <v>15</v>
      </c>
      <c r="E1660" s="8" t="s">
        <v>2261</v>
      </c>
      <c r="F1660" s="6" t="s">
        <v>1914</v>
      </c>
      <c r="G1660" s="33" t="s">
        <v>513</v>
      </c>
    </row>
    <row r="1661" spans="1:7" ht="14" x14ac:dyDescent="0.15">
      <c r="A1661" s="6" t="s">
        <v>1179</v>
      </c>
      <c r="B1661" s="6" t="s">
        <v>1180</v>
      </c>
      <c r="C1661" s="7" t="s">
        <v>1181</v>
      </c>
      <c r="D1661" s="6">
        <v>18</v>
      </c>
      <c r="E1661" s="8" t="s">
        <v>2261</v>
      </c>
      <c r="F1661" s="6" t="s">
        <v>1914</v>
      </c>
      <c r="G1661" s="33" t="s">
        <v>513</v>
      </c>
    </row>
    <row r="1662" spans="1:7" ht="14" x14ac:dyDescent="0.15">
      <c r="A1662" s="6" t="s">
        <v>47</v>
      </c>
      <c r="B1662" s="6" t="s">
        <v>702</v>
      </c>
      <c r="C1662" s="7" t="s">
        <v>703</v>
      </c>
      <c r="D1662" s="6">
        <v>6</v>
      </c>
      <c r="E1662" s="8" t="s">
        <v>2261</v>
      </c>
      <c r="F1662" s="6" t="s">
        <v>1914</v>
      </c>
      <c r="G1662" s="33" t="s">
        <v>513</v>
      </c>
    </row>
    <row r="1663" spans="1:7" ht="14" x14ac:dyDescent="0.15">
      <c r="A1663" s="6" t="s">
        <v>47</v>
      </c>
      <c r="B1663" s="6" t="s">
        <v>702</v>
      </c>
      <c r="C1663" s="7" t="s">
        <v>703</v>
      </c>
      <c r="D1663" s="6">
        <v>9</v>
      </c>
      <c r="E1663" s="8" t="s">
        <v>2261</v>
      </c>
      <c r="F1663" s="6" t="s">
        <v>1914</v>
      </c>
      <c r="G1663" s="33" t="s">
        <v>513</v>
      </c>
    </row>
    <row r="1664" spans="1:7" ht="14" x14ac:dyDescent="0.15">
      <c r="A1664" s="6" t="s">
        <v>47</v>
      </c>
      <c r="B1664" s="6" t="s">
        <v>702</v>
      </c>
      <c r="C1664" s="7" t="s">
        <v>703</v>
      </c>
      <c r="D1664" s="6">
        <v>12</v>
      </c>
      <c r="E1664" s="8" t="s">
        <v>2261</v>
      </c>
      <c r="F1664" s="6" t="s">
        <v>1914</v>
      </c>
      <c r="G1664" s="33" t="s">
        <v>513</v>
      </c>
    </row>
    <row r="1665" spans="1:7" ht="14" x14ac:dyDescent="0.15">
      <c r="A1665" s="6" t="s">
        <v>47</v>
      </c>
      <c r="B1665" s="6" t="s">
        <v>702</v>
      </c>
      <c r="C1665" s="7" t="s">
        <v>703</v>
      </c>
      <c r="D1665" s="6">
        <v>16</v>
      </c>
      <c r="E1665" s="8" t="s">
        <v>2261</v>
      </c>
      <c r="F1665" s="6" t="s">
        <v>1914</v>
      </c>
      <c r="G1665" s="33" t="s">
        <v>513</v>
      </c>
    </row>
    <row r="1666" spans="1:7" ht="14" x14ac:dyDescent="0.15">
      <c r="A1666" s="6" t="s">
        <v>47</v>
      </c>
      <c r="B1666" s="6" t="s">
        <v>702</v>
      </c>
      <c r="C1666" s="7" t="s">
        <v>703</v>
      </c>
      <c r="D1666" s="6">
        <v>19</v>
      </c>
      <c r="E1666" s="8" t="s">
        <v>2261</v>
      </c>
      <c r="F1666" s="6" t="s">
        <v>1914</v>
      </c>
      <c r="G1666" s="33" t="s">
        <v>513</v>
      </c>
    </row>
    <row r="1667" spans="1:7" ht="14" x14ac:dyDescent="0.15">
      <c r="A1667" s="6" t="s">
        <v>47</v>
      </c>
      <c r="B1667" s="6" t="s">
        <v>702</v>
      </c>
      <c r="C1667" s="7" t="s">
        <v>703</v>
      </c>
      <c r="D1667" s="6">
        <v>22</v>
      </c>
      <c r="E1667" s="8" t="s">
        <v>2261</v>
      </c>
      <c r="F1667" s="6" t="s">
        <v>1914</v>
      </c>
      <c r="G1667" s="33" t="s">
        <v>513</v>
      </c>
    </row>
    <row r="1668" spans="1:7" ht="14" x14ac:dyDescent="0.15">
      <c r="A1668" s="6" t="s">
        <v>47</v>
      </c>
      <c r="B1668" s="6" t="s">
        <v>702</v>
      </c>
      <c r="C1668" s="7" t="s">
        <v>703</v>
      </c>
      <c r="D1668" s="6">
        <v>25</v>
      </c>
      <c r="E1668" s="8" t="s">
        <v>2261</v>
      </c>
      <c r="F1668" s="6" t="s">
        <v>1914</v>
      </c>
      <c r="G1668" s="33" t="s">
        <v>513</v>
      </c>
    </row>
    <row r="1669" spans="1:7" ht="14" x14ac:dyDescent="0.15">
      <c r="A1669" s="6" t="s">
        <v>47</v>
      </c>
      <c r="B1669" s="6" t="s">
        <v>702</v>
      </c>
      <c r="C1669" s="7" t="s">
        <v>703</v>
      </c>
      <c r="D1669" s="6">
        <v>31</v>
      </c>
      <c r="E1669" s="8" t="s">
        <v>2261</v>
      </c>
      <c r="F1669" s="6" t="s">
        <v>1914</v>
      </c>
      <c r="G1669" s="33" t="s">
        <v>513</v>
      </c>
    </row>
    <row r="1670" spans="1:7" ht="14" x14ac:dyDescent="0.15">
      <c r="A1670" s="6" t="s">
        <v>47</v>
      </c>
      <c r="B1670" s="6" t="s">
        <v>702</v>
      </c>
      <c r="C1670" s="7" t="s">
        <v>703</v>
      </c>
      <c r="D1670" s="6">
        <v>34</v>
      </c>
      <c r="E1670" s="8" t="s">
        <v>2261</v>
      </c>
      <c r="F1670" s="6" t="s">
        <v>1914</v>
      </c>
      <c r="G1670" s="33" t="s">
        <v>513</v>
      </c>
    </row>
    <row r="1671" spans="1:7" ht="14" x14ac:dyDescent="0.15">
      <c r="A1671" s="6" t="s">
        <v>47</v>
      </c>
      <c r="B1671" s="6" t="s">
        <v>702</v>
      </c>
      <c r="C1671" s="7" t="s">
        <v>703</v>
      </c>
      <c r="D1671" s="6">
        <v>37</v>
      </c>
      <c r="E1671" s="8" t="s">
        <v>2261</v>
      </c>
      <c r="F1671" s="6" t="s">
        <v>1914</v>
      </c>
      <c r="G1671" s="33" t="s">
        <v>513</v>
      </c>
    </row>
    <row r="1672" spans="1:7" ht="14" x14ac:dyDescent="0.15">
      <c r="A1672" s="6" t="s">
        <v>47</v>
      </c>
      <c r="B1672" s="6" t="s">
        <v>702</v>
      </c>
      <c r="C1672" s="7" t="s">
        <v>703</v>
      </c>
      <c r="D1672" s="6">
        <v>40</v>
      </c>
      <c r="E1672" s="8" t="s">
        <v>2261</v>
      </c>
      <c r="F1672" s="6" t="s">
        <v>1914</v>
      </c>
      <c r="G1672" s="33" t="s">
        <v>513</v>
      </c>
    </row>
    <row r="1673" spans="1:7" ht="14" x14ac:dyDescent="0.15">
      <c r="A1673" s="6" t="s">
        <v>47</v>
      </c>
      <c r="B1673" s="6" t="s">
        <v>702</v>
      </c>
      <c r="C1673" s="7" t="s">
        <v>703</v>
      </c>
      <c r="D1673" s="6">
        <v>43</v>
      </c>
      <c r="E1673" s="8" t="s">
        <v>2261</v>
      </c>
      <c r="F1673" s="6" t="s">
        <v>1914</v>
      </c>
      <c r="G1673" s="33" t="s">
        <v>513</v>
      </c>
    </row>
    <row r="1674" spans="1:7" ht="14" x14ac:dyDescent="0.15">
      <c r="A1674" s="6" t="s">
        <v>47</v>
      </c>
      <c r="B1674" s="6" t="s">
        <v>1184</v>
      </c>
      <c r="C1674" s="7" t="s">
        <v>1185</v>
      </c>
      <c r="D1674" s="6">
        <v>3</v>
      </c>
      <c r="E1674" s="8" t="s">
        <v>2276</v>
      </c>
      <c r="F1674" s="6" t="s">
        <v>1914</v>
      </c>
      <c r="G1674" s="33" t="s">
        <v>18</v>
      </c>
    </row>
    <row r="1675" spans="1:7" ht="14" x14ac:dyDescent="0.15">
      <c r="A1675" s="6" t="s">
        <v>47</v>
      </c>
      <c r="B1675" s="6" t="s">
        <v>1184</v>
      </c>
      <c r="C1675" s="7" t="s">
        <v>1185</v>
      </c>
      <c r="D1675" s="6">
        <v>4</v>
      </c>
      <c r="E1675" s="8" t="s">
        <v>2277</v>
      </c>
      <c r="F1675" s="6" t="s">
        <v>1914</v>
      </c>
      <c r="G1675" s="33" t="s">
        <v>18</v>
      </c>
    </row>
    <row r="1676" spans="1:7" ht="14" x14ac:dyDescent="0.15">
      <c r="A1676" s="6" t="s">
        <v>47</v>
      </c>
      <c r="B1676" s="6" t="s">
        <v>1184</v>
      </c>
      <c r="C1676" s="7" t="s">
        <v>1185</v>
      </c>
      <c r="D1676" s="6">
        <v>5</v>
      </c>
      <c r="E1676" s="8" t="s">
        <v>2278</v>
      </c>
      <c r="F1676" s="6" t="s">
        <v>1914</v>
      </c>
      <c r="G1676" s="33" t="s">
        <v>18</v>
      </c>
    </row>
    <row r="1677" spans="1:7" ht="14" x14ac:dyDescent="0.15">
      <c r="A1677" s="6" t="s">
        <v>2279</v>
      </c>
      <c r="B1677" s="6" t="s">
        <v>2280</v>
      </c>
      <c r="C1677" s="7" t="s">
        <v>2281</v>
      </c>
      <c r="D1677" s="6">
        <v>4</v>
      </c>
      <c r="E1677" s="8" t="s">
        <v>2282</v>
      </c>
      <c r="F1677" s="6" t="s">
        <v>1914</v>
      </c>
      <c r="G1677" s="33" t="s">
        <v>136</v>
      </c>
    </row>
    <row r="1678" spans="1:7" ht="14" x14ac:dyDescent="0.15">
      <c r="A1678" s="6" t="s">
        <v>2279</v>
      </c>
      <c r="B1678" s="6" t="s">
        <v>2280</v>
      </c>
      <c r="C1678" s="7" t="s">
        <v>2281</v>
      </c>
      <c r="D1678" s="6">
        <v>15</v>
      </c>
      <c r="E1678" s="8" t="s">
        <v>2283</v>
      </c>
      <c r="F1678" s="6" t="s">
        <v>1914</v>
      </c>
      <c r="G1678" s="33" t="s">
        <v>136</v>
      </c>
    </row>
    <row r="1679" spans="1:7" ht="14" x14ac:dyDescent="0.15">
      <c r="A1679" s="6" t="s">
        <v>2279</v>
      </c>
      <c r="B1679" s="6" t="s">
        <v>2280</v>
      </c>
      <c r="C1679" s="7" t="s">
        <v>2281</v>
      </c>
      <c r="D1679" s="6">
        <v>33</v>
      </c>
      <c r="E1679" s="8" t="s">
        <v>2284</v>
      </c>
      <c r="F1679" s="6" t="s">
        <v>1914</v>
      </c>
      <c r="G1679" s="33" t="s">
        <v>136</v>
      </c>
    </row>
    <row r="1680" spans="1:7" ht="14" x14ac:dyDescent="0.15">
      <c r="A1680" s="6" t="s">
        <v>1197</v>
      </c>
      <c r="B1680" s="6" t="s">
        <v>1198</v>
      </c>
      <c r="C1680" s="7" t="s">
        <v>1199</v>
      </c>
      <c r="D1680" s="6">
        <v>26</v>
      </c>
      <c r="E1680" s="8" t="s">
        <v>2285</v>
      </c>
      <c r="F1680" s="6" t="s">
        <v>1914</v>
      </c>
      <c r="G1680" s="33" t="s">
        <v>136</v>
      </c>
    </row>
    <row r="1681" spans="1:7" ht="14" x14ac:dyDescent="0.15">
      <c r="A1681" s="6" t="s">
        <v>1197</v>
      </c>
      <c r="B1681" s="6" t="s">
        <v>1198</v>
      </c>
      <c r="C1681" s="7" t="s">
        <v>1199</v>
      </c>
      <c r="D1681" s="6">
        <v>30</v>
      </c>
      <c r="E1681" s="8" t="s">
        <v>2286</v>
      </c>
      <c r="F1681" s="6" t="s">
        <v>1914</v>
      </c>
      <c r="G1681" s="33" t="s">
        <v>88</v>
      </c>
    </row>
    <row r="1682" spans="1:7" ht="14" x14ac:dyDescent="0.15">
      <c r="A1682" s="6" t="s">
        <v>1197</v>
      </c>
      <c r="B1682" s="6" t="s">
        <v>1198</v>
      </c>
      <c r="C1682" s="7" t="s">
        <v>1199</v>
      </c>
      <c r="D1682" s="6">
        <v>34</v>
      </c>
      <c r="E1682" s="8" t="s">
        <v>2287</v>
      </c>
      <c r="F1682" s="6" t="s">
        <v>1914</v>
      </c>
      <c r="G1682" s="33" t="s">
        <v>88</v>
      </c>
    </row>
    <row r="1683" spans="1:7" ht="14" x14ac:dyDescent="0.15">
      <c r="A1683" s="6" t="s">
        <v>1197</v>
      </c>
      <c r="B1683" s="6" t="s">
        <v>1198</v>
      </c>
      <c r="C1683" s="7" t="s">
        <v>1199</v>
      </c>
      <c r="D1683" s="6">
        <v>37</v>
      </c>
      <c r="E1683" s="8" t="s">
        <v>2288</v>
      </c>
      <c r="F1683" s="6" t="s">
        <v>1914</v>
      </c>
      <c r="G1683" s="33" t="s">
        <v>513</v>
      </c>
    </row>
    <row r="1684" spans="1:7" ht="14" x14ac:dyDescent="0.15">
      <c r="A1684" s="6" t="s">
        <v>1197</v>
      </c>
      <c r="B1684" s="6" t="s">
        <v>1198</v>
      </c>
      <c r="C1684" s="7" t="s">
        <v>1199</v>
      </c>
      <c r="D1684" s="6">
        <v>45</v>
      </c>
      <c r="E1684" s="8" t="s">
        <v>2289</v>
      </c>
      <c r="F1684" s="6" t="s">
        <v>1914</v>
      </c>
      <c r="G1684" s="33" t="s">
        <v>136</v>
      </c>
    </row>
    <row r="1685" spans="1:7" ht="14" x14ac:dyDescent="0.15">
      <c r="A1685" s="6" t="s">
        <v>1197</v>
      </c>
      <c r="B1685" s="6" t="s">
        <v>1198</v>
      </c>
      <c r="C1685" s="7" t="s">
        <v>1199</v>
      </c>
      <c r="D1685" s="6">
        <v>58</v>
      </c>
      <c r="E1685" s="8" t="s">
        <v>2290</v>
      </c>
      <c r="F1685" s="6" t="s">
        <v>1914</v>
      </c>
      <c r="G1685" s="33" t="s">
        <v>136</v>
      </c>
    </row>
    <row r="1686" spans="1:7" ht="28" x14ac:dyDescent="0.15">
      <c r="A1686" s="6" t="s">
        <v>1197</v>
      </c>
      <c r="B1686" s="6" t="s">
        <v>1198</v>
      </c>
      <c r="C1686" s="7" t="s">
        <v>1199</v>
      </c>
      <c r="D1686" s="6">
        <v>92</v>
      </c>
      <c r="E1686" s="8" t="s">
        <v>2291</v>
      </c>
      <c r="F1686" s="6" t="s">
        <v>1914</v>
      </c>
      <c r="G1686" s="33" t="s">
        <v>136</v>
      </c>
    </row>
    <row r="1687" spans="1:7" ht="28" x14ac:dyDescent="0.15">
      <c r="A1687" s="6" t="s">
        <v>2292</v>
      </c>
      <c r="B1687" s="6" t="s">
        <v>2293</v>
      </c>
      <c r="C1687" s="7" t="s">
        <v>2294</v>
      </c>
      <c r="D1687" s="6">
        <v>142</v>
      </c>
      <c r="E1687" s="8" t="s">
        <v>2295</v>
      </c>
      <c r="F1687" s="6" t="s">
        <v>1914</v>
      </c>
      <c r="G1687" s="33" t="s">
        <v>18</v>
      </c>
    </row>
    <row r="1688" spans="1:7" ht="14" x14ac:dyDescent="0.15">
      <c r="A1688" s="6" t="s">
        <v>51</v>
      </c>
      <c r="B1688" s="6" t="s">
        <v>1209</v>
      </c>
      <c r="C1688" s="7" t="s">
        <v>1210</v>
      </c>
      <c r="D1688" s="6">
        <v>3</v>
      </c>
      <c r="E1688" s="8" t="s">
        <v>2276</v>
      </c>
      <c r="F1688" s="6" t="s">
        <v>1914</v>
      </c>
      <c r="G1688" s="33" t="s">
        <v>18</v>
      </c>
    </row>
    <row r="1689" spans="1:7" ht="14" x14ac:dyDescent="0.15">
      <c r="A1689" s="6" t="s">
        <v>51</v>
      </c>
      <c r="B1689" s="6" t="s">
        <v>1209</v>
      </c>
      <c r="C1689" s="7" t="s">
        <v>1210</v>
      </c>
      <c r="D1689" s="6">
        <v>4</v>
      </c>
      <c r="E1689" s="8" t="s">
        <v>2277</v>
      </c>
      <c r="F1689" s="6" t="s">
        <v>1914</v>
      </c>
      <c r="G1689" s="33" t="s">
        <v>18</v>
      </c>
    </row>
    <row r="1690" spans="1:7" ht="14" x14ac:dyDescent="0.15">
      <c r="A1690" s="6" t="s">
        <v>51</v>
      </c>
      <c r="B1690" s="6" t="s">
        <v>1209</v>
      </c>
      <c r="C1690" s="7" t="s">
        <v>1210</v>
      </c>
      <c r="D1690" s="6">
        <v>5</v>
      </c>
      <c r="E1690" s="8" t="s">
        <v>2278</v>
      </c>
      <c r="F1690" s="6" t="s">
        <v>1914</v>
      </c>
      <c r="G1690" s="33" t="s">
        <v>18</v>
      </c>
    </row>
    <row r="1691" spans="1:7" ht="14" x14ac:dyDescent="0.15">
      <c r="A1691" s="6" t="s">
        <v>51</v>
      </c>
      <c r="B1691" s="6" t="s">
        <v>14</v>
      </c>
      <c r="C1691" s="7" t="s">
        <v>1211</v>
      </c>
      <c r="D1691" s="6">
        <v>9</v>
      </c>
      <c r="E1691" s="8" t="s">
        <v>2296</v>
      </c>
      <c r="F1691" s="6" t="s">
        <v>1914</v>
      </c>
      <c r="G1691" s="33" t="s">
        <v>136</v>
      </c>
    </row>
    <row r="1692" spans="1:7" ht="14" x14ac:dyDescent="0.15">
      <c r="A1692" s="6" t="s">
        <v>51</v>
      </c>
      <c r="B1692" s="6" t="s">
        <v>14</v>
      </c>
      <c r="C1692" s="7" t="s">
        <v>1211</v>
      </c>
      <c r="D1692" s="6">
        <v>64</v>
      </c>
      <c r="E1692" s="8" t="s">
        <v>2297</v>
      </c>
      <c r="F1692" s="6" t="s">
        <v>1914</v>
      </c>
      <c r="G1692" s="33" t="s">
        <v>18</v>
      </c>
    </row>
    <row r="1693" spans="1:7" ht="14" x14ac:dyDescent="0.15">
      <c r="A1693" s="6" t="s">
        <v>51</v>
      </c>
      <c r="B1693" s="6" t="s">
        <v>56</v>
      </c>
      <c r="C1693" s="7" t="s">
        <v>57</v>
      </c>
      <c r="D1693" s="6">
        <v>105</v>
      </c>
      <c r="E1693" s="8" t="s">
        <v>2298</v>
      </c>
      <c r="F1693" s="6" t="s">
        <v>1914</v>
      </c>
      <c r="G1693" s="33" t="s">
        <v>12</v>
      </c>
    </row>
    <row r="1694" spans="1:7" ht="14" x14ac:dyDescent="0.15">
      <c r="A1694" s="6" t="s">
        <v>51</v>
      </c>
      <c r="B1694" s="6" t="s">
        <v>496</v>
      </c>
      <c r="C1694" s="7" t="s">
        <v>497</v>
      </c>
      <c r="D1694" s="6">
        <v>43</v>
      </c>
      <c r="E1694" s="8" t="s">
        <v>2299</v>
      </c>
      <c r="F1694" s="6" t="s">
        <v>1914</v>
      </c>
      <c r="G1694" s="33" t="s">
        <v>12</v>
      </c>
    </row>
    <row r="1695" spans="1:7" ht="14" x14ac:dyDescent="0.15">
      <c r="A1695" s="6" t="s">
        <v>51</v>
      </c>
      <c r="B1695" s="6" t="s">
        <v>496</v>
      </c>
      <c r="C1695" s="7" t="s">
        <v>497</v>
      </c>
      <c r="D1695" s="6">
        <v>47</v>
      </c>
      <c r="E1695" s="8" t="s">
        <v>2300</v>
      </c>
      <c r="F1695" s="6" t="s">
        <v>1914</v>
      </c>
      <c r="G1695" s="33" t="s">
        <v>12</v>
      </c>
    </row>
    <row r="1696" spans="1:7" ht="28" x14ac:dyDescent="0.15">
      <c r="A1696" s="6" t="s">
        <v>502</v>
      </c>
      <c r="B1696" s="6" t="s">
        <v>502</v>
      </c>
      <c r="C1696" s="7" t="s">
        <v>503</v>
      </c>
      <c r="D1696" s="6">
        <v>145</v>
      </c>
      <c r="E1696" s="8" t="s">
        <v>2301</v>
      </c>
      <c r="F1696" s="6" t="s">
        <v>1914</v>
      </c>
      <c r="G1696" s="33" t="s">
        <v>88</v>
      </c>
    </row>
    <row r="1697" spans="1:7" ht="14" x14ac:dyDescent="0.15">
      <c r="A1697" s="6" t="s">
        <v>502</v>
      </c>
      <c r="B1697" s="6" t="s">
        <v>502</v>
      </c>
      <c r="C1697" s="7" t="s">
        <v>503</v>
      </c>
      <c r="D1697" s="6">
        <v>238</v>
      </c>
      <c r="E1697" s="8" t="s">
        <v>2302</v>
      </c>
      <c r="F1697" s="6" t="s">
        <v>1914</v>
      </c>
      <c r="G1697" s="33" t="s">
        <v>30</v>
      </c>
    </row>
    <row r="1698" spans="1:7" ht="28" x14ac:dyDescent="0.15">
      <c r="A1698" s="6" t="s">
        <v>2303</v>
      </c>
      <c r="B1698" s="6" t="s">
        <v>2304</v>
      </c>
      <c r="C1698" s="7" t="s">
        <v>2305</v>
      </c>
      <c r="D1698" s="6">
        <v>28</v>
      </c>
      <c r="E1698" s="8" t="s">
        <v>2306</v>
      </c>
      <c r="F1698" s="6" t="s">
        <v>1914</v>
      </c>
      <c r="G1698" s="33" t="s">
        <v>18</v>
      </c>
    </row>
    <row r="1699" spans="1:7" ht="14" x14ac:dyDescent="0.15">
      <c r="A1699" s="6" t="s">
        <v>509</v>
      </c>
      <c r="B1699" s="6" t="s">
        <v>510</v>
      </c>
      <c r="C1699" s="7" t="s">
        <v>511</v>
      </c>
      <c r="D1699" s="6">
        <v>160</v>
      </c>
      <c r="E1699" s="8" t="s">
        <v>2307</v>
      </c>
      <c r="F1699" s="6" t="s">
        <v>1914</v>
      </c>
      <c r="G1699" s="33" t="s">
        <v>18</v>
      </c>
    </row>
    <row r="1700" spans="1:7" ht="14" x14ac:dyDescent="0.15">
      <c r="A1700" s="6" t="s">
        <v>509</v>
      </c>
      <c r="B1700" s="6" t="s">
        <v>510</v>
      </c>
      <c r="C1700" s="7" t="s">
        <v>511</v>
      </c>
      <c r="D1700" s="6">
        <v>181</v>
      </c>
      <c r="E1700" s="8" t="s">
        <v>2308</v>
      </c>
      <c r="F1700" s="6" t="s">
        <v>1914</v>
      </c>
      <c r="G1700" s="33" t="s">
        <v>18</v>
      </c>
    </row>
    <row r="1701" spans="1:7" ht="14" x14ac:dyDescent="0.15">
      <c r="A1701" s="6" t="s">
        <v>105</v>
      </c>
      <c r="B1701" s="6" t="s">
        <v>106</v>
      </c>
      <c r="C1701" s="7" t="s">
        <v>112</v>
      </c>
      <c r="D1701" s="6">
        <v>10</v>
      </c>
      <c r="E1701" s="8" t="s">
        <v>2309</v>
      </c>
      <c r="F1701" s="6" t="s">
        <v>1914</v>
      </c>
      <c r="G1701" s="33" t="s">
        <v>513</v>
      </c>
    </row>
    <row r="1702" spans="1:7" ht="28" x14ac:dyDescent="0.15">
      <c r="A1702" s="6" t="s">
        <v>105</v>
      </c>
      <c r="B1702" s="6" t="s">
        <v>106</v>
      </c>
      <c r="C1702" s="7" t="s">
        <v>112</v>
      </c>
      <c r="D1702" s="6">
        <v>67</v>
      </c>
      <c r="E1702" s="8" t="s">
        <v>2021</v>
      </c>
      <c r="F1702" s="6" t="s">
        <v>1914</v>
      </c>
      <c r="G1702" s="33" t="s">
        <v>18</v>
      </c>
    </row>
    <row r="1703" spans="1:7" ht="14" x14ac:dyDescent="0.15">
      <c r="A1703" s="6" t="s">
        <v>105</v>
      </c>
      <c r="B1703" s="6" t="s">
        <v>106</v>
      </c>
      <c r="C1703" s="7" t="s">
        <v>112</v>
      </c>
      <c r="D1703" s="6">
        <v>120</v>
      </c>
      <c r="E1703" s="8" t="s">
        <v>2022</v>
      </c>
      <c r="F1703" s="6" t="s">
        <v>1914</v>
      </c>
      <c r="G1703" s="33" t="s">
        <v>18</v>
      </c>
    </row>
    <row r="1704" spans="1:7" ht="14" x14ac:dyDescent="0.15">
      <c r="A1704" s="6" t="s">
        <v>105</v>
      </c>
      <c r="B1704" s="6" t="s">
        <v>106</v>
      </c>
      <c r="C1704" s="7" t="s">
        <v>112</v>
      </c>
      <c r="D1704" s="6">
        <v>121</v>
      </c>
      <c r="E1704" s="8" t="s">
        <v>2023</v>
      </c>
      <c r="F1704" s="6" t="s">
        <v>1914</v>
      </c>
      <c r="G1704" s="33" t="s">
        <v>18</v>
      </c>
    </row>
    <row r="1705" spans="1:7" ht="14" x14ac:dyDescent="0.15">
      <c r="A1705" s="6" t="s">
        <v>105</v>
      </c>
      <c r="B1705" s="6" t="s">
        <v>106</v>
      </c>
      <c r="C1705" s="7" t="s">
        <v>112</v>
      </c>
      <c r="D1705" s="6">
        <v>136</v>
      </c>
      <c r="E1705" s="8" t="s">
        <v>2024</v>
      </c>
      <c r="F1705" s="6" t="s">
        <v>1914</v>
      </c>
      <c r="G1705" s="33" t="s">
        <v>18</v>
      </c>
    </row>
    <row r="1706" spans="1:7" ht="14" x14ac:dyDescent="0.15">
      <c r="A1706" s="6" t="s">
        <v>105</v>
      </c>
      <c r="B1706" s="6" t="s">
        <v>106</v>
      </c>
      <c r="C1706" s="7" t="s">
        <v>112</v>
      </c>
      <c r="D1706" s="6">
        <v>137</v>
      </c>
      <c r="E1706" s="8" t="s">
        <v>2025</v>
      </c>
      <c r="F1706" s="6" t="s">
        <v>1914</v>
      </c>
      <c r="G1706" s="33" t="s">
        <v>18</v>
      </c>
    </row>
    <row r="1707" spans="1:7" ht="14" x14ac:dyDescent="0.15">
      <c r="A1707" s="6" t="s">
        <v>105</v>
      </c>
      <c r="B1707" s="6" t="s">
        <v>106</v>
      </c>
      <c r="C1707" s="7" t="s">
        <v>112</v>
      </c>
      <c r="D1707" s="6">
        <v>163</v>
      </c>
      <c r="E1707" s="8" t="s">
        <v>2026</v>
      </c>
      <c r="F1707" s="6" t="s">
        <v>1914</v>
      </c>
      <c r="G1707" s="33" t="s">
        <v>18</v>
      </c>
    </row>
    <row r="1708" spans="1:7" ht="14" x14ac:dyDescent="0.15">
      <c r="A1708" s="6" t="s">
        <v>105</v>
      </c>
      <c r="B1708" s="6" t="s">
        <v>106</v>
      </c>
      <c r="C1708" s="7" t="s">
        <v>112</v>
      </c>
      <c r="D1708" s="6">
        <v>178</v>
      </c>
      <c r="E1708" s="8" t="s">
        <v>2027</v>
      </c>
      <c r="F1708" s="6" t="s">
        <v>1914</v>
      </c>
      <c r="G1708" s="33" t="s">
        <v>18</v>
      </c>
    </row>
    <row r="1709" spans="1:7" ht="14" x14ac:dyDescent="0.15">
      <c r="A1709" s="6" t="s">
        <v>105</v>
      </c>
      <c r="B1709" s="6" t="s">
        <v>106</v>
      </c>
      <c r="C1709" s="7" t="s">
        <v>112</v>
      </c>
      <c r="D1709" s="6">
        <v>182</v>
      </c>
      <c r="E1709" s="8" t="s">
        <v>2028</v>
      </c>
      <c r="F1709" s="6" t="s">
        <v>1914</v>
      </c>
      <c r="G1709" s="33" t="s">
        <v>18</v>
      </c>
    </row>
    <row r="1710" spans="1:7" ht="14" x14ac:dyDescent="0.15">
      <c r="A1710" s="6" t="s">
        <v>105</v>
      </c>
      <c r="B1710" s="6" t="s">
        <v>106</v>
      </c>
      <c r="C1710" s="7" t="s">
        <v>112</v>
      </c>
      <c r="D1710" s="6">
        <v>198</v>
      </c>
      <c r="E1710" s="8" t="s">
        <v>2029</v>
      </c>
      <c r="F1710" s="6" t="s">
        <v>1914</v>
      </c>
      <c r="G1710" s="33" t="s">
        <v>18</v>
      </c>
    </row>
    <row r="1711" spans="1:7" ht="14" x14ac:dyDescent="0.15">
      <c r="A1711" s="6" t="s">
        <v>105</v>
      </c>
      <c r="B1711" s="6" t="s">
        <v>106</v>
      </c>
      <c r="C1711" s="7" t="s">
        <v>112</v>
      </c>
      <c r="D1711" s="6">
        <v>200</v>
      </c>
      <c r="E1711" s="8" t="s">
        <v>2030</v>
      </c>
      <c r="F1711" s="6" t="s">
        <v>1914</v>
      </c>
      <c r="G1711" s="33" t="s">
        <v>18</v>
      </c>
    </row>
    <row r="1712" spans="1:7" ht="14" x14ac:dyDescent="0.15">
      <c r="A1712" s="6" t="s">
        <v>1227</v>
      </c>
      <c r="B1712" s="6" t="s">
        <v>1228</v>
      </c>
      <c r="C1712" s="7" t="s">
        <v>1229</v>
      </c>
      <c r="D1712" s="6">
        <v>10</v>
      </c>
      <c r="E1712" s="8" t="s">
        <v>2310</v>
      </c>
      <c r="F1712" s="6" t="s">
        <v>1914</v>
      </c>
      <c r="G1712" s="33" t="s">
        <v>18</v>
      </c>
    </row>
    <row r="1713" spans="1:7" ht="28" x14ac:dyDescent="0.15">
      <c r="A1713" s="6" t="s">
        <v>1233</v>
      </c>
      <c r="B1713" s="6" t="s">
        <v>1233</v>
      </c>
      <c r="C1713" s="7" t="s">
        <v>1234</v>
      </c>
      <c r="D1713" s="6">
        <v>7</v>
      </c>
      <c r="E1713" s="8" t="s">
        <v>2311</v>
      </c>
      <c r="F1713" s="6" t="s">
        <v>1914</v>
      </c>
      <c r="G1713" s="33" t="s">
        <v>30</v>
      </c>
    </row>
    <row r="1714" spans="1:7" ht="14" x14ac:dyDescent="0.15">
      <c r="A1714" s="6" t="s">
        <v>2312</v>
      </c>
      <c r="B1714" s="6" t="s">
        <v>2313</v>
      </c>
      <c r="C1714" s="7" t="s">
        <v>2314</v>
      </c>
      <c r="D1714" s="6">
        <v>13</v>
      </c>
      <c r="E1714" s="8" t="s">
        <v>2261</v>
      </c>
      <c r="F1714" s="6" t="s">
        <v>1914</v>
      </c>
      <c r="G1714" s="33" t="s">
        <v>513</v>
      </c>
    </row>
    <row r="1715" spans="1:7" ht="28" x14ac:dyDescent="0.15">
      <c r="A1715" s="6" t="s">
        <v>2312</v>
      </c>
      <c r="B1715" s="6" t="s">
        <v>2313</v>
      </c>
      <c r="C1715" s="7" t="s">
        <v>2314</v>
      </c>
      <c r="D1715" s="6">
        <v>22</v>
      </c>
      <c r="E1715" s="8" t="s">
        <v>2315</v>
      </c>
      <c r="F1715" s="6" t="s">
        <v>1914</v>
      </c>
      <c r="G1715" s="33" t="s">
        <v>136</v>
      </c>
    </row>
    <row r="1716" spans="1:7" ht="14" x14ac:dyDescent="0.15">
      <c r="A1716" s="6" t="s">
        <v>2312</v>
      </c>
      <c r="B1716" s="6" t="s">
        <v>2313</v>
      </c>
      <c r="C1716" s="7" t="s">
        <v>2314</v>
      </c>
      <c r="D1716" s="6">
        <v>27</v>
      </c>
      <c r="E1716" s="8" t="s">
        <v>2316</v>
      </c>
      <c r="F1716" s="6" t="s">
        <v>1914</v>
      </c>
      <c r="G1716" s="33" t="s">
        <v>136</v>
      </c>
    </row>
    <row r="1717" spans="1:7" ht="14" x14ac:dyDescent="0.15">
      <c r="A1717" s="6" t="s">
        <v>2312</v>
      </c>
      <c r="B1717" s="6" t="s">
        <v>2313</v>
      </c>
      <c r="C1717" s="7" t="s">
        <v>2314</v>
      </c>
      <c r="D1717" s="6">
        <v>33</v>
      </c>
      <c r="E1717" s="8" t="s">
        <v>2317</v>
      </c>
      <c r="F1717" s="6" t="s">
        <v>1914</v>
      </c>
      <c r="G1717" s="33" t="s">
        <v>88</v>
      </c>
    </row>
    <row r="1718" spans="1:7" ht="14" x14ac:dyDescent="0.15">
      <c r="A1718" s="6" t="s">
        <v>2312</v>
      </c>
      <c r="B1718" s="6" t="s">
        <v>2313</v>
      </c>
      <c r="C1718" s="7" t="s">
        <v>2314</v>
      </c>
      <c r="D1718" s="6">
        <v>36</v>
      </c>
      <c r="E1718" s="8" t="s">
        <v>2318</v>
      </c>
      <c r="F1718" s="6" t="s">
        <v>1914</v>
      </c>
      <c r="G1718" s="33" t="s">
        <v>88</v>
      </c>
    </row>
    <row r="1719" spans="1:7" ht="14" x14ac:dyDescent="0.15">
      <c r="A1719" s="6" t="s">
        <v>1830</v>
      </c>
      <c r="B1719" s="6" t="s">
        <v>1831</v>
      </c>
      <c r="C1719" s="7" t="s">
        <v>1832</v>
      </c>
      <c r="D1719" s="6">
        <v>9</v>
      </c>
      <c r="E1719" s="8" t="s">
        <v>2319</v>
      </c>
      <c r="F1719" s="6" t="s">
        <v>1914</v>
      </c>
      <c r="G1719" s="33" t="s">
        <v>136</v>
      </c>
    </row>
    <row r="1720" spans="1:7" ht="14" x14ac:dyDescent="0.15">
      <c r="A1720" s="6" t="s">
        <v>1830</v>
      </c>
      <c r="B1720" s="6" t="s">
        <v>1831</v>
      </c>
      <c r="C1720" s="7" t="s">
        <v>1832</v>
      </c>
      <c r="D1720" s="6">
        <v>11</v>
      </c>
      <c r="E1720" s="8" t="s">
        <v>2261</v>
      </c>
      <c r="F1720" s="6" t="s">
        <v>1914</v>
      </c>
      <c r="G1720" s="33" t="s">
        <v>513</v>
      </c>
    </row>
    <row r="1721" spans="1:7" ht="14" x14ac:dyDescent="0.15">
      <c r="A1721" s="6" t="s">
        <v>1830</v>
      </c>
      <c r="B1721" s="6" t="s">
        <v>1831</v>
      </c>
      <c r="C1721" s="7" t="s">
        <v>1832</v>
      </c>
      <c r="D1721" s="6">
        <v>14</v>
      </c>
      <c r="E1721" s="8" t="s">
        <v>2261</v>
      </c>
      <c r="F1721" s="6" t="s">
        <v>1914</v>
      </c>
      <c r="G1721" s="33" t="s">
        <v>513</v>
      </c>
    </row>
    <row r="1722" spans="1:7" ht="14" x14ac:dyDescent="0.15">
      <c r="A1722" s="6" t="s">
        <v>1830</v>
      </c>
      <c r="B1722" s="6" t="s">
        <v>1831</v>
      </c>
      <c r="C1722" s="7" t="s">
        <v>1832</v>
      </c>
      <c r="D1722" s="6">
        <v>20</v>
      </c>
      <c r="E1722" s="8" t="s">
        <v>2261</v>
      </c>
      <c r="F1722" s="6" t="s">
        <v>1914</v>
      </c>
      <c r="G1722" s="33" t="s">
        <v>513</v>
      </c>
    </row>
    <row r="1723" spans="1:7" ht="14" x14ac:dyDescent="0.15">
      <c r="A1723" s="6" t="s">
        <v>521</v>
      </c>
      <c r="B1723" s="6" t="s">
        <v>522</v>
      </c>
      <c r="C1723" s="7" t="s">
        <v>523</v>
      </c>
      <c r="D1723" s="6">
        <v>43</v>
      </c>
      <c r="E1723" s="8" t="s">
        <v>2320</v>
      </c>
      <c r="F1723" s="6" t="s">
        <v>1914</v>
      </c>
      <c r="G1723" s="33" t="s">
        <v>30</v>
      </c>
    </row>
    <row r="1724" spans="1:7" ht="14" x14ac:dyDescent="0.15">
      <c r="A1724" s="6" t="s">
        <v>521</v>
      </c>
      <c r="B1724" s="6" t="s">
        <v>522</v>
      </c>
      <c r="C1724" s="7" t="s">
        <v>523</v>
      </c>
      <c r="D1724" s="6">
        <v>76</v>
      </c>
      <c r="E1724" s="8" t="s">
        <v>2321</v>
      </c>
      <c r="F1724" s="6" t="s">
        <v>1914</v>
      </c>
      <c r="G1724" s="33" t="s">
        <v>342</v>
      </c>
    </row>
    <row r="1725" spans="1:7" ht="14" x14ac:dyDescent="0.15">
      <c r="A1725" s="6" t="s">
        <v>521</v>
      </c>
      <c r="B1725" s="6" t="s">
        <v>2322</v>
      </c>
      <c r="C1725" s="7" t="s">
        <v>2323</v>
      </c>
      <c r="D1725" s="6">
        <v>5</v>
      </c>
      <c r="E1725" s="8" t="s">
        <v>2324</v>
      </c>
      <c r="F1725" s="6" t="s">
        <v>1914</v>
      </c>
      <c r="G1725" s="33" t="s">
        <v>18</v>
      </c>
    </row>
    <row r="1726" spans="1:7" ht="14" x14ac:dyDescent="0.15">
      <c r="A1726" s="6" t="s">
        <v>521</v>
      </c>
      <c r="B1726" s="6" t="s">
        <v>1842</v>
      </c>
      <c r="C1726" s="7" t="s">
        <v>1843</v>
      </c>
      <c r="D1726" s="6">
        <v>5</v>
      </c>
      <c r="E1726" s="8" t="s">
        <v>2261</v>
      </c>
      <c r="F1726" s="6" t="s">
        <v>1914</v>
      </c>
      <c r="G1726" s="33" t="s">
        <v>513</v>
      </c>
    </row>
    <row r="1727" spans="1:7" ht="14" x14ac:dyDescent="0.15">
      <c r="A1727" s="6" t="s">
        <v>521</v>
      </c>
      <c r="B1727" s="6" t="s">
        <v>1842</v>
      </c>
      <c r="C1727" s="7" t="s">
        <v>1843</v>
      </c>
      <c r="D1727" s="6">
        <v>11</v>
      </c>
      <c r="E1727" s="8" t="s">
        <v>2261</v>
      </c>
      <c r="F1727" s="6" t="s">
        <v>1914</v>
      </c>
      <c r="G1727" s="33" t="s">
        <v>513</v>
      </c>
    </row>
    <row r="1728" spans="1:7" ht="14" x14ac:dyDescent="0.15">
      <c r="A1728" s="6" t="s">
        <v>521</v>
      </c>
      <c r="B1728" s="6" t="s">
        <v>1842</v>
      </c>
      <c r="C1728" s="7" t="s">
        <v>1843</v>
      </c>
      <c r="D1728" s="6">
        <v>34</v>
      </c>
      <c r="E1728" s="8" t="s">
        <v>2325</v>
      </c>
      <c r="F1728" s="6" t="s">
        <v>1914</v>
      </c>
      <c r="G1728" s="33" t="s">
        <v>136</v>
      </c>
    </row>
    <row r="1729" spans="1:7" ht="14" x14ac:dyDescent="0.15">
      <c r="A1729" s="6" t="s">
        <v>521</v>
      </c>
      <c r="B1729" s="6" t="s">
        <v>1241</v>
      </c>
      <c r="C1729" s="7" t="s">
        <v>1242</v>
      </c>
      <c r="D1729" s="6">
        <v>26</v>
      </c>
      <c r="E1729" s="8" t="s">
        <v>2326</v>
      </c>
      <c r="F1729" s="6" t="s">
        <v>1914</v>
      </c>
      <c r="G1729" s="33" t="s">
        <v>18</v>
      </c>
    </row>
    <row r="1730" spans="1:7" ht="28" x14ac:dyDescent="0.15">
      <c r="A1730" s="6" t="s">
        <v>521</v>
      </c>
      <c r="B1730" s="6" t="s">
        <v>695</v>
      </c>
      <c r="C1730" s="7" t="s">
        <v>696</v>
      </c>
      <c r="D1730" s="6">
        <v>11</v>
      </c>
      <c r="E1730" s="8" t="s">
        <v>2327</v>
      </c>
      <c r="F1730" s="6" t="s">
        <v>1914</v>
      </c>
      <c r="G1730" s="33" t="s">
        <v>136</v>
      </c>
    </row>
    <row r="1731" spans="1:7" ht="28" x14ac:dyDescent="0.15">
      <c r="A1731" s="6" t="s">
        <v>521</v>
      </c>
      <c r="B1731" s="6" t="s">
        <v>695</v>
      </c>
      <c r="C1731" s="7" t="s">
        <v>696</v>
      </c>
      <c r="D1731" s="6">
        <v>15</v>
      </c>
      <c r="E1731" s="8" t="s">
        <v>2328</v>
      </c>
      <c r="F1731" s="6" t="s">
        <v>1914</v>
      </c>
      <c r="G1731" s="33" t="s">
        <v>136</v>
      </c>
    </row>
    <row r="1732" spans="1:7" ht="14" x14ac:dyDescent="0.15">
      <c r="A1732" s="6" t="s">
        <v>521</v>
      </c>
      <c r="B1732" s="6" t="s">
        <v>695</v>
      </c>
      <c r="C1732" s="7" t="s">
        <v>696</v>
      </c>
      <c r="D1732" s="6">
        <v>49</v>
      </c>
      <c r="E1732" s="8" t="s">
        <v>2329</v>
      </c>
      <c r="F1732" s="6" t="s">
        <v>1914</v>
      </c>
      <c r="G1732" s="33" t="s">
        <v>136</v>
      </c>
    </row>
    <row r="1733" spans="1:7" ht="14" x14ac:dyDescent="0.15">
      <c r="A1733" s="6" t="s">
        <v>2217</v>
      </c>
      <c r="B1733" s="6" t="s">
        <v>2218</v>
      </c>
      <c r="C1733" s="7" t="s">
        <v>2330</v>
      </c>
      <c r="D1733" s="6">
        <v>3</v>
      </c>
      <c r="E1733" s="8" t="s">
        <v>2331</v>
      </c>
      <c r="F1733" s="6" t="s">
        <v>1914</v>
      </c>
      <c r="G1733" s="33" t="s">
        <v>18</v>
      </c>
    </row>
    <row r="1734" spans="1:7" ht="14" x14ac:dyDescent="0.15">
      <c r="A1734" s="6" t="s">
        <v>555</v>
      </c>
      <c r="B1734" s="6" t="s">
        <v>556</v>
      </c>
      <c r="C1734" s="7" t="s">
        <v>557</v>
      </c>
      <c r="D1734" s="6">
        <v>30</v>
      </c>
      <c r="E1734" s="8" t="s">
        <v>2332</v>
      </c>
      <c r="F1734" s="6" t="s">
        <v>1914</v>
      </c>
      <c r="G1734" s="33" t="s">
        <v>30</v>
      </c>
    </row>
    <row r="1735" spans="1:7" ht="14" x14ac:dyDescent="0.15">
      <c r="A1735" s="6" t="s">
        <v>555</v>
      </c>
      <c r="B1735" s="6" t="s">
        <v>556</v>
      </c>
      <c r="C1735" s="7" t="s">
        <v>557</v>
      </c>
      <c r="D1735" s="6">
        <v>65</v>
      </c>
      <c r="E1735" s="8" t="s">
        <v>2333</v>
      </c>
      <c r="F1735" s="6" t="s">
        <v>1914</v>
      </c>
      <c r="G1735" s="33" t="s">
        <v>30</v>
      </c>
    </row>
    <row r="1736" spans="1:7" ht="28" x14ac:dyDescent="0.15">
      <c r="A1736" s="6" t="s">
        <v>842</v>
      </c>
      <c r="B1736" s="6" t="s">
        <v>843</v>
      </c>
      <c r="C1736" s="7" t="s">
        <v>1255</v>
      </c>
      <c r="D1736" s="6">
        <v>40</v>
      </c>
      <c r="E1736" s="8" t="s">
        <v>2076</v>
      </c>
      <c r="F1736" s="6" t="s">
        <v>1914</v>
      </c>
      <c r="G1736" s="33" t="s">
        <v>18</v>
      </c>
    </row>
    <row r="1737" spans="1:7" ht="14" x14ac:dyDescent="0.15">
      <c r="A1737" s="6" t="s">
        <v>842</v>
      </c>
      <c r="B1737" s="6" t="s">
        <v>843</v>
      </c>
      <c r="C1737" s="7" t="s">
        <v>1255</v>
      </c>
      <c r="D1737" s="6">
        <v>41</v>
      </c>
      <c r="E1737" s="8" t="s">
        <v>2023</v>
      </c>
      <c r="F1737" s="6" t="s">
        <v>1914</v>
      </c>
      <c r="G1737" s="33" t="s">
        <v>18</v>
      </c>
    </row>
    <row r="1738" spans="1:7" ht="28" x14ac:dyDescent="0.15">
      <c r="A1738" s="6" t="s">
        <v>661</v>
      </c>
      <c r="B1738" s="6" t="s">
        <v>662</v>
      </c>
      <c r="C1738" s="7" t="s">
        <v>663</v>
      </c>
      <c r="D1738" s="6">
        <v>49</v>
      </c>
      <c r="E1738" s="8" t="s">
        <v>2334</v>
      </c>
      <c r="F1738" s="6" t="s">
        <v>1914</v>
      </c>
      <c r="G1738" s="33" t="s">
        <v>23</v>
      </c>
    </row>
    <row r="1739" spans="1:7" ht="14" x14ac:dyDescent="0.15">
      <c r="A1739" s="6" t="s">
        <v>661</v>
      </c>
      <c r="B1739" s="6" t="s">
        <v>662</v>
      </c>
      <c r="C1739" s="7" t="s">
        <v>663</v>
      </c>
      <c r="D1739" s="6">
        <v>52</v>
      </c>
      <c r="E1739" s="8" t="s">
        <v>2335</v>
      </c>
      <c r="F1739" s="6" t="s">
        <v>1914</v>
      </c>
      <c r="G1739" s="33" t="s">
        <v>18</v>
      </c>
    </row>
    <row r="1740" spans="1:7" ht="14" x14ac:dyDescent="0.15">
      <c r="A1740" s="6" t="s">
        <v>661</v>
      </c>
      <c r="B1740" s="6" t="s">
        <v>662</v>
      </c>
      <c r="C1740" s="7" t="s">
        <v>663</v>
      </c>
      <c r="D1740" s="6">
        <v>75</v>
      </c>
      <c r="E1740" s="8" t="s">
        <v>2336</v>
      </c>
      <c r="F1740" s="6" t="s">
        <v>1914</v>
      </c>
      <c r="G1740" s="33" t="s">
        <v>18</v>
      </c>
    </row>
    <row r="1741" spans="1:7" ht="14" x14ac:dyDescent="0.15">
      <c r="A1741" s="6" t="s">
        <v>1256</v>
      </c>
      <c r="B1741" s="6" t="s">
        <v>1256</v>
      </c>
      <c r="C1741" s="7" t="s">
        <v>1257</v>
      </c>
      <c r="D1741" s="6">
        <v>51</v>
      </c>
      <c r="E1741" s="8" t="s">
        <v>2337</v>
      </c>
      <c r="F1741" s="6" t="s">
        <v>1914</v>
      </c>
      <c r="G1741" s="33" t="s">
        <v>12</v>
      </c>
    </row>
    <row r="1742" spans="1:7" ht="14" x14ac:dyDescent="0.15">
      <c r="A1742" s="6" t="s">
        <v>2338</v>
      </c>
      <c r="B1742" s="6" t="s">
        <v>2339</v>
      </c>
      <c r="C1742" s="7" t="s">
        <v>2340</v>
      </c>
      <c r="D1742" s="6">
        <v>18</v>
      </c>
      <c r="E1742" s="8" t="s">
        <v>2261</v>
      </c>
      <c r="F1742" s="6" t="s">
        <v>1914</v>
      </c>
      <c r="G1742" s="33" t="s">
        <v>513</v>
      </c>
    </row>
    <row r="1743" spans="1:7" ht="14" x14ac:dyDescent="0.15">
      <c r="A1743" s="6" t="s">
        <v>2338</v>
      </c>
      <c r="B1743" s="6" t="s">
        <v>2339</v>
      </c>
      <c r="C1743" s="7" t="s">
        <v>2340</v>
      </c>
      <c r="D1743" s="6">
        <v>25</v>
      </c>
      <c r="E1743" s="8" t="s">
        <v>2261</v>
      </c>
      <c r="F1743" s="6" t="s">
        <v>1914</v>
      </c>
      <c r="G1743" s="33" t="s">
        <v>513</v>
      </c>
    </row>
    <row r="1744" spans="1:7" ht="14" x14ac:dyDescent="0.15">
      <c r="A1744" s="6" t="s">
        <v>2338</v>
      </c>
      <c r="B1744" s="6" t="s">
        <v>2339</v>
      </c>
      <c r="C1744" s="7" t="s">
        <v>2340</v>
      </c>
      <c r="D1744" s="6">
        <v>89</v>
      </c>
      <c r="E1744" s="8" t="s">
        <v>2341</v>
      </c>
      <c r="F1744" s="6" t="s">
        <v>1914</v>
      </c>
      <c r="G1744" s="33" t="s">
        <v>136</v>
      </c>
    </row>
    <row r="1745" spans="1:7" ht="14" x14ac:dyDescent="0.15">
      <c r="A1745" s="6" t="s">
        <v>1263</v>
      </c>
      <c r="B1745" s="6" t="s">
        <v>1264</v>
      </c>
      <c r="C1745" s="7" t="s">
        <v>1265</v>
      </c>
      <c r="D1745" s="6">
        <v>6</v>
      </c>
      <c r="E1745" s="8" t="s">
        <v>2261</v>
      </c>
      <c r="F1745" s="6" t="s">
        <v>1914</v>
      </c>
      <c r="G1745" s="33" t="s">
        <v>513</v>
      </c>
    </row>
    <row r="1746" spans="1:7" ht="14" x14ac:dyDescent="0.15">
      <c r="A1746" s="6" t="s">
        <v>1263</v>
      </c>
      <c r="B1746" s="6" t="s">
        <v>1264</v>
      </c>
      <c r="C1746" s="7" t="s">
        <v>1265</v>
      </c>
      <c r="D1746" s="6">
        <v>14</v>
      </c>
      <c r="E1746" s="8" t="s">
        <v>2261</v>
      </c>
      <c r="F1746" s="6" t="s">
        <v>1914</v>
      </c>
      <c r="G1746" s="33" t="s">
        <v>513</v>
      </c>
    </row>
    <row r="1747" spans="1:7" ht="14" x14ac:dyDescent="0.15">
      <c r="A1747" s="6" t="s">
        <v>1263</v>
      </c>
      <c r="B1747" s="6" t="s">
        <v>1264</v>
      </c>
      <c r="C1747" s="7" t="s">
        <v>1265</v>
      </c>
      <c r="D1747" s="6">
        <v>33</v>
      </c>
      <c r="E1747" s="8" t="s">
        <v>2342</v>
      </c>
      <c r="F1747" s="6" t="s">
        <v>1914</v>
      </c>
      <c r="G1747" s="33" t="s">
        <v>136</v>
      </c>
    </row>
    <row r="1748" spans="1:7" ht="14" x14ac:dyDescent="0.15">
      <c r="A1748" s="6" t="s">
        <v>2343</v>
      </c>
      <c r="B1748" s="6" t="s">
        <v>2344</v>
      </c>
      <c r="C1748" s="7" t="s">
        <v>2345</v>
      </c>
      <c r="D1748" s="6">
        <v>118</v>
      </c>
      <c r="E1748" s="8" t="s">
        <v>2346</v>
      </c>
      <c r="F1748" s="6" t="s">
        <v>1914</v>
      </c>
      <c r="G1748" s="33" t="s">
        <v>30</v>
      </c>
    </row>
    <row r="1749" spans="1:7" ht="14" x14ac:dyDescent="0.15">
      <c r="A1749" s="6" t="s">
        <v>2343</v>
      </c>
      <c r="B1749" s="6" t="s">
        <v>2344</v>
      </c>
      <c r="C1749" s="7" t="s">
        <v>2345</v>
      </c>
      <c r="D1749" s="6">
        <v>128</v>
      </c>
      <c r="E1749" s="8" t="s">
        <v>2347</v>
      </c>
      <c r="F1749" s="6" t="s">
        <v>1914</v>
      </c>
      <c r="G1749" s="33" t="s">
        <v>30</v>
      </c>
    </row>
    <row r="1750" spans="1:7" ht="14" x14ac:dyDescent="0.15">
      <c r="A1750" s="6" t="s">
        <v>566</v>
      </c>
      <c r="B1750" s="6" t="s">
        <v>567</v>
      </c>
      <c r="C1750" s="7" t="s">
        <v>568</v>
      </c>
      <c r="D1750" s="6">
        <v>75</v>
      </c>
      <c r="E1750" s="8" t="s">
        <v>2348</v>
      </c>
      <c r="F1750" s="6" t="s">
        <v>1914</v>
      </c>
      <c r="G1750" s="33" t="s">
        <v>83</v>
      </c>
    </row>
    <row r="1751" spans="1:7" ht="14" x14ac:dyDescent="0.15">
      <c r="A1751" s="6" t="s">
        <v>570</v>
      </c>
      <c r="B1751" s="6" t="s">
        <v>571</v>
      </c>
      <c r="C1751" s="7" t="s">
        <v>572</v>
      </c>
      <c r="D1751" s="6">
        <v>209</v>
      </c>
      <c r="E1751" s="8" t="s">
        <v>2349</v>
      </c>
      <c r="F1751" s="6" t="s">
        <v>1914</v>
      </c>
      <c r="G1751" s="33" t="s">
        <v>30</v>
      </c>
    </row>
    <row r="1752" spans="1:7" ht="14" x14ac:dyDescent="0.15">
      <c r="A1752" s="6" t="s">
        <v>575</v>
      </c>
      <c r="B1752" s="6" t="s">
        <v>576</v>
      </c>
      <c r="C1752" s="7" t="s">
        <v>577</v>
      </c>
      <c r="D1752" s="6">
        <v>9</v>
      </c>
      <c r="E1752" s="8" t="s">
        <v>2350</v>
      </c>
      <c r="F1752" s="6" t="s">
        <v>1914</v>
      </c>
      <c r="G1752" s="33" t="s">
        <v>136</v>
      </c>
    </row>
    <row r="1753" spans="1:7" ht="14" x14ac:dyDescent="0.15">
      <c r="A1753" s="6" t="s">
        <v>575</v>
      </c>
      <c r="B1753" s="6" t="s">
        <v>576</v>
      </c>
      <c r="C1753" s="7" t="s">
        <v>577</v>
      </c>
      <c r="D1753" s="6">
        <v>36</v>
      </c>
      <c r="E1753" s="8" t="s">
        <v>2351</v>
      </c>
      <c r="F1753" s="6" t="s">
        <v>1914</v>
      </c>
      <c r="G1753" s="33" t="s">
        <v>18</v>
      </c>
    </row>
    <row r="1754" spans="1:7" ht="14" x14ac:dyDescent="0.15">
      <c r="A1754" s="6" t="s">
        <v>575</v>
      </c>
      <c r="B1754" s="6" t="s">
        <v>576</v>
      </c>
      <c r="C1754" s="7" t="s">
        <v>577</v>
      </c>
      <c r="D1754" s="6">
        <v>68</v>
      </c>
      <c r="E1754" s="8" t="s">
        <v>2352</v>
      </c>
      <c r="F1754" s="6" t="s">
        <v>1914</v>
      </c>
      <c r="G1754" s="33" t="s">
        <v>23</v>
      </c>
    </row>
    <row r="1755" spans="1:7" ht="14" x14ac:dyDescent="0.15">
      <c r="A1755" s="6" t="s">
        <v>575</v>
      </c>
      <c r="B1755" s="6" t="s">
        <v>576</v>
      </c>
      <c r="C1755" s="7" t="s">
        <v>577</v>
      </c>
      <c r="D1755" s="6">
        <v>73</v>
      </c>
      <c r="E1755" s="8" t="s">
        <v>2353</v>
      </c>
      <c r="F1755" s="6" t="s">
        <v>1914</v>
      </c>
      <c r="G1755" s="33" t="s">
        <v>12</v>
      </c>
    </row>
    <row r="1756" spans="1:7" ht="14" x14ac:dyDescent="0.15">
      <c r="A1756" s="6" t="s">
        <v>63</v>
      </c>
      <c r="B1756" s="6" t="s">
        <v>64</v>
      </c>
      <c r="C1756" s="7" t="s">
        <v>65</v>
      </c>
      <c r="D1756" s="6">
        <v>28</v>
      </c>
      <c r="E1756" s="8" t="s">
        <v>2354</v>
      </c>
      <c r="F1756" s="6" t="s">
        <v>1914</v>
      </c>
      <c r="G1756" s="33" t="s">
        <v>18</v>
      </c>
    </row>
    <row r="1757" spans="1:7" ht="14" x14ac:dyDescent="0.15">
      <c r="A1757" s="6" t="s">
        <v>63</v>
      </c>
      <c r="B1757" s="6" t="s">
        <v>64</v>
      </c>
      <c r="C1757" s="7" t="s">
        <v>65</v>
      </c>
      <c r="D1757" s="6">
        <v>41</v>
      </c>
      <c r="E1757" s="8" t="s">
        <v>2355</v>
      </c>
      <c r="F1757" s="6" t="s">
        <v>1914</v>
      </c>
      <c r="G1757" s="33" t="s">
        <v>18</v>
      </c>
    </row>
    <row r="1758" spans="1:7" ht="28" x14ac:dyDescent="0.15">
      <c r="A1758" s="6" t="s">
        <v>63</v>
      </c>
      <c r="B1758" s="6" t="s">
        <v>64</v>
      </c>
      <c r="C1758" s="7" t="s">
        <v>65</v>
      </c>
      <c r="D1758" s="6">
        <v>51</v>
      </c>
      <c r="E1758" s="8" t="s">
        <v>2356</v>
      </c>
      <c r="F1758" s="6" t="s">
        <v>1914</v>
      </c>
      <c r="G1758" s="33" t="s">
        <v>18</v>
      </c>
    </row>
    <row r="1759" spans="1:7" ht="28" x14ac:dyDescent="0.15">
      <c r="A1759" s="6" t="s">
        <v>593</v>
      </c>
      <c r="B1759" s="6" t="s">
        <v>593</v>
      </c>
      <c r="C1759" s="7" t="s">
        <v>594</v>
      </c>
      <c r="D1759" s="6">
        <v>2</v>
      </c>
      <c r="E1759" s="8" t="s">
        <v>2357</v>
      </c>
      <c r="F1759" s="6" t="s">
        <v>1914</v>
      </c>
      <c r="G1759" s="33" t="s">
        <v>18</v>
      </c>
    </row>
    <row r="1760" spans="1:7" ht="14" x14ac:dyDescent="0.15">
      <c r="A1760" s="6" t="s">
        <v>593</v>
      </c>
      <c r="B1760" s="6" t="s">
        <v>593</v>
      </c>
      <c r="C1760" s="7" t="s">
        <v>594</v>
      </c>
      <c r="D1760" s="6">
        <v>34</v>
      </c>
      <c r="E1760" s="8" t="s">
        <v>2358</v>
      </c>
      <c r="F1760" s="6" t="s">
        <v>1914</v>
      </c>
      <c r="G1760" s="33" t="s">
        <v>23</v>
      </c>
    </row>
    <row r="1761" spans="1:7" ht="14" x14ac:dyDescent="0.15">
      <c r="A1761" s="6" t="s">
        <v>593</v>
      </c>
      <c r="B1761" s="6" t="s">
        <v>596</v>
      </c>
      <c r="C1761" s="7" t="s">
        <v>597</v>
      </c>
      <c r="D1761" s="6">
        <v>20</v>
      </c>
      <c r="E1761" s="8" t="s">
        <v>2359</v>
      </c>
      <c r="F1761" s="6" t="s">
        <v>1914</v>
      </c>
      <c r="G1761" s="33" t="s">
        <v>30</v>
      </c>
    </row>
    <row r="1762" spans="1:7" ht="14" x14ac:dyDescent="0.15">
      <c r="A1762" s="6" t="s">
        <v>593</v>
      </c>
      <c r="B1762" s="6" t="s">
        <v>596</v>
      </c>
      <c r="C1762" s="7" t="s">
        <v>597</v>
      </c>
      <c r="D1762" s="6">
        <v>90</v>
      </c>
      <c r="E1762" s="8" t="s">
        <v>2360</v>
      </c>
      <c r="F1762" s="6" t="s">
        <v>1914</v>
      </c>
      <c r="G1762" s="33" t="s">
        <v>136</v>
      </c>
    </row>
    <row r="1763" spans="1:7" ht="14" x14ac:dyDescent="0.15">
      <c r="A1763" s="6" t="s">
        <v>593</v>
      </c>
      <c r="B1763" s="6" t="s">
        <v>596</v>
      </c>
      <c r="C1763" s="7" t="s">
        <v>597</v>
      </c>
      <c r="D1763" s="6">
        <v>112</v>
      </c>
      <c r="E1763" s="8" t="s">
        <v>2361</v>
      </c>
      <c r="F1763" s="6" t="s">
        <v>1914</v>
      </c>
      <c r="G1763" s="33" t="s">
        <v>88</v>
      </c>
    </row>
    <row r="1764" spans="1:7" ht="28" x14ac:dyDescent="0.15">
      <c r="A1764" s="6" t="s">
        <v>593</v>
      </c>
      <c r="B1764" s="6" t="s">
        <v>596</v>
      </c>
      <c r="C1764" s="7" t="s">
        <v>597</v>
      </c>
      <c r="D1764" s="6">
        <v>188</v>
      </c>
      <c r="E1764" s="8" t="s">
        <v>2362</v>
      </c>
      <c r="F1764" s="6" t="s">
        <v>1914</v>
      </c>
      <c r="G1764" s="33" t="s">
        <v>136</v>
      </c>
    </row>
    <row r="1765" spans="1:7" ht="14" x14ac:dyDescent="0.15">
      <c r="A1765" s="6" t="s">
        <v>68</v>
      </c>
      <c r="B1765" s="6" t="s">
        <v>69</v>
      </c>
      <c r="C1765" s="7" t="s">
        <v>70</v>
      </c>
      <c r="D1765" s="6">
        <v>119</v>
      </c>
      <c r="E1765" s="8" t="s">
        <v>2363</v>
      </c>
      <c r="F1765" s="6" t="s">
        <v>2364</v>
      </c>
      <c r="G1765" s="33" t="s">
        <v>30</v>
      </c>
    </row>
    <row r="1766" spans="1:7" ht="14" x14ac:dyDescent="0.15">
      <c r="A1766" s="6" t="s">
        <v>851</v>
      </c>
      <c r="B1766" s="6" t="s">
        <v>852</v>
      </c>
      <c r="C1766" s="7" t="s">
        <v>853</v>
      </c>
      <c r="D1766" s="6">
        <v>19</v>
      </c>
      <c r="E1766" s="8" t="s">
        <v>2365</v>
      </c>
      <c r="F1766" s="6" t="s">
        <v>2364</v>
      </c>
      <c r="G1766" s="33" t="s">
        <v>342</v>
      </c>
    </row>
    <row r="1767" spans="1:7" ht="14" x14ac:dyDescent="0.15">
      <c r="A1767" s="6" t="s">
        <v>851</v>
      </c>
      <c r="B1767" s="6" t="s">
        <v>852</v>
      </c>
      <c r="C1767" s="7" t="s">
        <v>853</v>
      </c>
      <c r="D1767" s="6">
        <v>20</v>
      </c>
      <c r="E1767" s="8" t="s">
        <v>2366</v>
      </c>
      <c r="F1767" s="6" t="s">
        <v>2364</v>
      </c>
      <c r="G1767" s="33" t="s">
        <v>342</v>
      </c>
    </row>
    <row r="1768" spans="1:7" ht="14" x14ac:dyDescent="0.15">
      <c r="A1768" s="6" t="s">
        <v>851</v>
      </c>
      <c r="B1768" s="6" t="s">
        <v>852</v>
      </c>
      <c r="C1768" s="7" t="s">
        <v>853</v>
      </c>
      <c r="D1768" s="6">
        <v>21</v>
      </c>
      <c r="E1768" s="8" t="s">
        <v>2367</v>
      </c>
      <c r="F1768" s="6" t="s">
        <v>2364</v>
      </c>
      <c r="G1768" s="33" t="s">
        <v>342</v>
      </c>
    </row>
    <row r="1769" spans="1:7" ht="14" x14ac:dyDescent="0.15">
      <c r="A1769" s="6" t="s">
        <v>851</v>
      </c>
      <c r="B1769" s="6" t="s">
        <v>852</v>
      </c>
      <c r="C1769" s="7" t="s">
        <v>853</v>
      </c>
      <c r="D1769" s="6">
        <v>22</v>
      </c>
      <c r="E1769" s="8" t="s">
        <v>2368</v>
      </c>
      <c r="F1769" s="6" t="s">
        <v>2364</v>
      </c>
      <c r="G1769" s="33" t="s">
        <v>342</v>
      </c>
    </row>
    <row r="1770" spans="1:7" ht="28" x14ac:dyDescent="0.15">
      <c r="A1770" s="6" t="s">
        <v>851</v>
      </c>
      <c r="B1770" s="6" t="s">
        <v>852</v>
      </c>
      <c r="C1770" s="7" t="s">
        <v>853</v>
      </c>
      <c r="D1770" s="6">
        <v>31</v>
      </c>
      <c r="E1770" s="8" t="s">
        <v>2369</v>
      </c>
      <c r="F1770" s="6" t="s">
        <v>2364</v>
      </c>
      <c r="G1770" s="33" t="s">
        <v>30</v>
      </c>
    </row>
    <row r="1771" spans="1:7" ht="28" x14ac:dyDescent="0.15">
      <c r="A1771" s="6" t="s">
        <v>851</v>
      </c>
      <c r="B1771" s="6" t="s">
        <v>852</v>
      </c>
      <c r="C1771" s="7" t="s">
        <v>853</v>
      </c>
      <c r="D1771" s="6">
        <v>32</v>
      </c>
      <c r="E1771" s="8" t="s">
        <v>2370</v>
      </c>
      <c r="F1771" s="6" t="s">
        <v>2364</v>
      </c>
      <c r="G1771" s="33" t="s">
        <v>30</v>
      </c>
    </row>
    <row r="1772" spans="1:7" ht="14" x14ac:dyDescent="0.15">
      <c r="A1772" s="6" t="s">
        <v>851</v>
      </c>
      <c r="B1772" s="6" t="s">
        <v>852</v>
      </c>
      <c r="C1772" s="7" t="s">
        <v>853</v>
      </c>
      <c r="D1772" s="6">
        <v>33</v>
      </c>
      <c r="E1772" s="8" t="s">
        <v>2371</v>
      </c>
      <c r="F1772" s="6" t="s">
        <v>2364</v>
      </c>
      <c r="G1772" s="33" t="s">
        <v>30</v>
      </c>
    </row>
    <row r="1773" spans="1:7" ht="14" x14ac:dyDescent="0.15">
      <c r="A1773" s="6" t="s">
        <v>851</v>
      </c>
      <c r="B1773" s="6" t="s">
        <v>852</v>
      </c>
      <c r="C1773" s="7" t="s">
        <v>853</v>
      </c>
      <c r="D1773" s="6">
        <v>34</v>
      </c>
      <c r="E1773" s="8" t="s">
        <v>2372</v>
      </c>
      <c r="F1773" s="6" t="s">
        <v>2364</v>
      </c>
      <c r="G1773" s="33" t="s">
        <v>18</v>
      </c>
    </row>
    <row r="1774" spans="1:7" ht="14" x14ac:dyDescent="0.15">
      <c r="A1774" s="6" t="s">
        <v>851</v>
      </c>
      <c r="B1774" s="6" t="s">
        <v>852</v>
      </c>
      <c r="C1774" s="7" t="s">
        <v>853</v>
      </c>
      <c r="D1774" s="6">
        <v>36</v>
      </c>
      <c r="E1774" s="8" t="s">
        <v>2373</v>
      </c>
      <c r="F1774" s="6" t="s">
        <v>2364</v>
      </c>
      <c r="G1774" s="33" t="s">
        <v>12</v>
      </c>
    </row>
    <row r="1775" spans="1:7" ht="28" x14ac:dyDescent="0.15">
      <c r="A1775" s="6" t="s">
        <v>851</v>
      </c>
      <c r="B1775" s="6" t="s">
        <v>852</v>
      </c>
      <c r="C1775" s="7" t="s">
        <v>853</v>
      </c>
      <c r="D1775" s="6">
        <v>37</v>
      </c>
      <c r="E1775" s="8" t="s">
        <v>2374</v>
      </c>
      <c r="F1775" s="6" t="s">
        <v>2364</v>
      </c>
      <c r="G1775" s="33" t="s">
        <v>30</v>
      </c>
    </row>
    <row r="1776" spans="1:7" ht="14" x14ac:dyDescent="0.15">
      <c r="A1776" s="6" t="s">
        <v>393</v>
      </c>
      <c r="B1776" s="6" t="s">
        <v>394</v>
      </c>
      <c r="C1776" s="7" t="s">
        <v>395</v>
      </c>
      <c r="D1776" s="6">
        <v>57</v>
      </c>
      <c r="E1776" s="8" t="s">
        <v>2375</v>
      </c>
      <c r="F1776" s="6" t="s">
        <v>2364</v>
      </c>
      <c r="G1776" s="33" t="s">
        <v>30</v>
      </c>
    </row>
    <row r="1777" spans="1:7" ht="14" x14ac:dyDescent="0.15">
      <c r="A1777" s="6" t="s">
        <v>1163</v>
      </c>
      <c r="B1777" s="6" t="s">
        <v>1164</v>
      </c>
      <c r="C1777" s="7" t="s">
        <v>1165</v>
      </c>
      <c r="D1777" s="6">
        <v>14</v>
      </c>
      <c r="E1777" s="8" t="s">
        <v>2376</v>
      </c>
      <c r="F1777" s="6" t="s">
        <v>2364</v>
      </c>
      <c r="G1777" s="33" t="s">
        <v>513</v>
      </c>
    </row>
    <row r="1778" spans="1:7" ht="28" x14ac:dyDescent="0.15">
      <c r="A1778" s="6" t="s">
        <v>173</v>
      </c>
      <c r="B1778" s="6" t="s">
        <v>174</v>
      </c>
      <c r="C1778" s="7" t="s">
        <v>175</v>
      </c>
      <c r="D1778" s="6">
        <v>72</v>
      </c>
      <c r="E1778" s="8" t="s">
        <v>2377</v>
      </c>
      <c r="F1778" s="6" t="s">
        <v>2378</v>
      </c>
      <c r="G1778" s="33" t="s">
        <v>88</v>
      </c>
    </row>
    <row r="1779" spans="1:7" ht="28" x14ac:dyDescent="0.15">
      <c r="A1779" s="6" t="s">
        <v>173</v>
      </c>
      <c r="B1779" s="6" t="s">
        <v>174</v>
      </c>
      <c r="C1779" s="7" t="s">
        <v>175</v>
      </c>
      <c r="D1779" s="6">
        <v>74</v>
      </c>
      <c r="E1779" s="8" t="s">
        <v>2379</v>
      </c>
      <c r="F1779" s="6" t="s">
        <v>2378</v>
      </c>
      <c r="G1779" s="33" t="s">
        <v>88</v>
      </c>
    </row>
    <row r="1780" spans="1:7" ht="14" x14ac:dyDescent="0.15">
      <c r="A1780" s="6" t="s">
        <v>953</v>
      </c>
      <c r="B1780" s="6" t="s">
        <v>954</v>
      </c>
      <c r="C1780" s="7" t="s">
        <v>955</v>
      </c>
      <c r="D1780" s="6">
        <v>8</v>
      </c>
      <c r="E1780" s="8" t="s">
        <v>2380</v>
      </c>
      <c r="F1780" s="6" t="s">
        <v>2378</v>
      </c>
      <c r="G1780" s="33" t="s">
        <v>30</v>
      </c>
    </row>
    <row r="1781" spans="1:7" ht="14" x14ac:dyDescent="0.15">
      <c r="A1781" s="6" t="s">
        <v>1086</v>
      </c>
      <c r="B1781" s="6" t="s">
        <v>1087</v>
      </c>
      <c r="C1781" s="7" t="s">
        <v>1088</v>
      </c>
      <c r="D1781" s="6">
        <v>67</v>
      </c>
      <c r="E1781" s="8" t="s">
        <v>2381</v>
      </c>
      <c r="F1781" s="6" t="s">
        <v>2378</v>
      </c>
      <c r="G1781" s="33" t="s">
        <v>30</v>
      </c>
    </row>
    <row r="1782" spans="1:7" ht="28" x14ac:dyDescent="0.15">
      <c r="A1782" s="6" t="s">
        <v>428</v>
      </c>
      <c r="B1782" s="6" t="s">
        <v>428</v>
      </c>
      <c r="C1782" s="7" t="s">
        <v>429</v>
      </c>
      <c r="D1782" s="6">
        <v>128</v>
      </c>
      <c r="E1782" s="8" t="s">
        <v>2382</v>
      </c>
      <c r="F1782" s="6" t="s">
        <v>2378</v>
      </c>
      <c r="G1782" s="33" t="s">
        <v>30</v>
      </c>
    </row>
    <row r="1783" spans="1:7" ht="14" x14ac:dyDescent="0.15">
      <c r="A1783" s="6" t="s">
        <v>514</v>
      </c>
      <c r="B1783" s="6" t="s">
        <v>2383</v>
      </c>
      <c r="C1783" s="7" t="s">
        <v>2384</v>
      </c>
      <c r="D1783" s="6">
        <v>19</v>
      </c>
      <c r="E1783" s="8" t="s">
        <v>2385</v>
      </c>
      <c r="F1783" s="6" t="s">
        <v>2378</v>
      </c>
      <c r="G1783" s="33" t="s">
        <v>30</v>
      </c>
    </row>
    <row r="1784" spans="1:7" ht="14" x14ac:dyDescent="0.15">
      <c r="A1784" s="6" t="s">
        <v>400</v>
      </c>
      <c r="B1784" s="6" t="s">
        <v>400</v>
      </c>
      <c r="C1784" s="7" t="s">
        <v>401</v>
      </c>
      <c r="D1784" s="6">
        <v>97</v>
      </c>
      <c r="E1784" s="8" t="s">
        <v>2386</v>
      </c>
      <c r="F1784" s="6" t="s">
        <v>2387</v>
      </c>
      <c r="G1784" s="33" t="s">
        <v>30</v>
      </c>
    </row>
    <row r="1785" spans="1:7" ht="14" x14ac:dyDescent="0.15">
      <c r="A1785" s="6" t="s">
        <v>428</v>
      </c>
      <c r="B1785" s="6" t="s">
        <v>428</v>
      </c>
      <c r="C1785" s="7" t="s">
        <v>429</v>
      </c>
      <c r="D1785" s="6">
        <v>75</v>
      </c>
      <c r="E1785" s="8" t="s">
        <v>2388</v>
      </c>
      <c r="F1785" s="6" t="s">
        <v>2387</v>
      </c>
      <c r="G1785" s="33" t="s">
        <v>30</v>
      </c>
    </row>
    <row r="1786" spans="1:7" ht="14" x14ac:dyDescent="0.15">
      <c r="A1786" s="6" t="s">
        <v>445</v>
      </c>
      <c r="B1786" s="6" t="s">
        <v>446</v>
      </c>
      <c r="C1786" s="7" t="s">
        <v>447</v>
      </c>
      <c r="D1786" s="6">
        <v>71</v>
      </c>
      <c r="E1786" s="8" t="s">
        <v>2389</v>
      </c>
      <c r="F1786" s="6" t="s">
        <v>2387</v>
      </c>
      <c r="G1786" s="33" t="s">
        <v>30</v>
      </c>
    </row>
    <row r="1787" spans="1:7" ht="14" x14ac:dyDescent="0.15">
      <c r="A1787" s="6" t="s">
        <v>445</v>
      </c>
      <c r="B1787" s="6" t="s">
        <v>455</v>
      </c>
      <c r="C1787" s="7" t="s">
        <v>456</v>
      </c>
      <c r="D1787" s="6">
        <v>71</v>
      </c>
      <c r="E1787" s="8" t="s">
        <v>2389</v>
      </c>
      <c r="F1787" s="6" t="s">
        <v>2387</v>
      </c>
      <c r="G1787" s="33" t="s">
        <v>30</v>
      </c>
    </row>
    <row r="1788" spans="1:7" ht="14" x14ac:dyDescent="0.15">
      <c r="A1788" s="6" t="s">
        <v>428</v>
      </c>
      <c r="B1788" s="6" t="s">
        <v>428</v>
      </c>
      <c r="C1788" s="7" t="s">
        <v>429</v>
      </c>
      <c r="D1788" s="6">
        <v>56</v>
      </c>
      <c r="E1788" s="8" t="s">
        <v>2390</v>
      </c>
      <c r="F1788" s="6" t="s">
        <v>1914</v>
      </c>
      <c r="G1788" s="33" t="s">
        <v>30</v>
      </c>
    </row>
    <row r="1789" spans="1:7" ht="14" x14ac:dyDescent="0.15">
      <c r="A1789" s="6" t="s">
        <v>153</v>
      </c>
      <c r="B1789" s="6" t="s">
        <v>153</v>
      </c>
      <c r="C1789" s="7" t="s">
        <v>154</v>
      </c>
      <c r="D1789" s="6">
        <v>131</v>
      </c>
      <c r="E1789" s="8" t="s">
        <v>2391</v>
      </c>
      <c r="F1789" s="6" t="s">
        <v>1914</v>
      </c>
      <c r="G1789" s="33" t="s">
        <v>12</v>
      </c>
    </row>
    <row r="1790" spans="1:7" ht="14" x14ac:dyDescent="0.15">
      <c r="A1790" s="6" t="s">
        <v>51</v>
      </c>
      <c r="B1790" s="6" t="s">
        <v>56</v>
      </c>
      <c r="C1790" s="7" t="s">
        <v>57</v>
      </c>
      <c r="D1790" s="6">
        <v>97</v>
      </c>
      <c r="E1790" s="8" t="s">
        <v>2392</v>
      </c>
      <c r="F1790" s="6" t="s">
        <v>1914</v>
      </c>
      <c r="G1790" s="33" t="s">
        <v>18</v>
      </c>
    </row>
    <row r="1791" spans="1:7" ht="14" x14ac:dyDescent="0.15">
      <c r="A1791" s="6" t="s">
        <v>140</v>
      </c>
      <c r="B1791" s="6" t="s">
        <v>141</v>
      </c>
      <c r="C1791" s="7" t="s">
        <v>142</v>
      </c>
      <c r="D1791" s="6">
        <v>144</v>
      </c>
      <c r="E1791" s="8" t="s">
        <v>2393</v>
      </c>
      <c r="F1791" s="6" t="s">
        <v>1914</v>
      </c>
      <c r="G1791" s="33" t="s">
        <v>30</v>
      </c>
    </row>
    <row r="1792" spans="1:7" ht="28" x14ac:dyDescent="0.15">
      <c r="A1792" s="6" t="s">
        <v>140</v>
      </c>
      <c r="B1792" s="6" t="s">
        <v>141</v>
      </c>
      <c r="C1792" s="7" t="s">
        <v>142</v>
      </c>
      <c r="D1792" s="6">
        <v>123</v>
      </c>
      <c r="E1792" s="8" t="s">
        <v>2394</v>
      </c>
      <c r="F1792" s="6" t="s">
        <v>2395</v>
      </c>
      <c r="G1792" s="33" t="s">
        <v>88</v>
      </c>
    </row>
    <row r="1793" spans="1:7" ht="14" x14ac:dyDescent="0.15">
      <c r="A1793" s="6" t="s">
        <v>681</v>
      </c>
      <c r="B1793" s="6" t="s">
        <v>682</v>
      </c>
      <c r="C1793" s="7" t="s">
        <v>683</v>
      </c>
      <c r="D1793" s="6">
        <v>92</v>
      </c>
      <c r="E1793" s="8" t="s">
        <v>2396</v>
      </c>
      <c r="F1793" s="6" t="s">
        <v>2395</v>
      </c>
      <c r="G1793" s="33" t="s">
        <v>88</v>
      </c>
    </row>
    <row r="1794" spans="1:7" ht="28" x14ac:dyDescent="0.15">
      <c r="A1794" s="6" t="s">
        <v>599</v>
      </c>
      <c r="B1794" s="6" t="s">
        <v>599</v>
      </c>
      <c r="C1794" s="7" t="s">
        <v>600</v>
      </c>
      <c r="D1794" s="6">
        <v>123</v>
      </c>
      <c r="E1794" s="8" t="s">
        <v>2397</v>
      </c>
      <c r="F1794" s="6" t="s">
        <v>2395</v>
      </c>
      <c r="G1794" s="33" t="s">
        <v>30</v>
      </c>
    </row>
    <row r="1795" spans="1:7" ht="14" x14ac:dyDescent="0.15">
      <c r="A1795" s="6" t="s">
        <v>84</v>
      </c>
      <c r="B1795" s="6" t="s">
        <v>85</v>
      </c>
      <c r="C1795" s="7" t="s">
        <v>86</v>
      </c>
      <c r="D1795" s="6">
        <v>95</v>
      </c>
      <c r="E1795" s="8" t="s">
        <v>2398</v>
      </c>
      <c r="F1795" s="6" t="s">
        <v>2395</v>
      </c>
      <c r="G1795" s="33" t="s">
        <v>67</v>
      </c>
    </row>
    <row r="1796" spans="1:7" ht="14" x14ac:dyDescent="0.15">
      <c r="A1796" s="6" t="s">
        <v>428</v>
      </c>
      <c r="B1796" s="6" t="s">
        <v>428</v>
      </c>
      <c r="C1796" s="7" t="s">
        <v>429</v>
      </c>
      <c r="D1796" s="6">
        <v>87</v>
      </c>
      <c r="E1796" s="8" t="s">
        <v>2399</v>
      </c>
      <c r="F1796" s="6" t="s">
        <v>2395</v>
      </c>
      <c r="G1796" s="33" t="s">
        <v>30</v>
      </c>
    </row>
    <row r="1797" spans="1:7" ht="28" x14ac:dyDescent="0.15">
      <c r="A1797" s="6" t="s">
        <v>428</v>
      </c>
      <c r="B1797" s="6" t="s">
        <v>428</v>
      </c>
      <c r="C1797" s="7" t="s">
        <v>429</v>
      </c>
      <c r="D1797" s="6">
        <v>108</v>
      </c>
      <c r="E1797" s="8" t="s">
        <v>2400</v>
      </c>
      <c r="F1797" s="6" t="s">
        <v>2395</v>
      </c>
      <c r="G1797" s="33" t="s">
        <v>12</v>
      </c>
    </row>
    <row r="1798" spans="1:7" ht="14" x14ac:dyDescent="0.15">
      <c r="A1798" s="6" t="s">
        <v>140</v>
      </c>
      <c r="B1798" s="6" t="s">
        <v>141</v>
      </c>
      <c r="C1798" s="7" t="s">
        <v>142</v>
      </c>
      <c r="D1798" s="6">
        <v>96</v>
      </c>
      <c r="E1798" s="8" t="s">
        <v>2401</v>
      </c>
      <c r="F1798" s="6" t="s">
        <v>2402</v>
      </c>
      <c r="G1798" s="33" t="s">
        <v>30</v>
      </c>
    </row>
    <row r="1799" spans="1:7" ht="14" x14ac:dyDescent="0.15">
      <c r="A1799" s="6" t="s">
        <v>851</v>
      </c>
      <c r="B1799" s="6" t="s">
        <v>852</v>
      </c>
      <c r="C1799" s="7" t="s">
        <v>853</v>
      </c>
      <c r="D1799" s="6">
        <v>18</v>
      </c>
      <c r="E1799" s="8" t="s">
        <v>2403</v>
      </c>
      <c r="F1799" s="6" t="s">
        <v>2402</v>
      </c>
      <c r="G1799" s="33" t="s">
        <v>513</v>
      </c>
    </row>
    <row r="1800" spans="1:7" ht="42" x14ac:dyDescent="0.15">
      <c r="A1800" s="6" t="s">
        <v>247</v>
      </c>
      <c r="B1800" s="6" t="s">
        <v>248</v>
      </c>
      <c r="C1800" s="7" t="s">
        <v>249</v>
      </c>
      <c r="D1800" s="6">
        <v>116</v>
      </c>
      <c r="E1800" s="8" t="s">
        <v>2404</v>
      </c>
      <c r="F1800" s="6" t="s">
        <v>2402</v>
      </c>
      <c r="G1800" s="33" t="s">
        <v>30</v>
      </c>
    </row>
    <row r="1801" spans="1:7" ht="14" x14ac:dyDescent="0.15">
      <c r="A1801" s="6" t="s">
        <v>254</v>
      </c>
      <c r="B1801" s="6" t="s">
        <v>255</v>
      </c>
      <c r="C1801" s="7" t="s">
        <v>256</v>
      </c>
      <c r="D1801" s="6">
        <v>32</v>
      </c>
      <c r="E1801" s="8" t="s">
        <v>2405</v>
      </c>
      <c r="F1801" s="6" t="s">
        <v>2402</v>
      </c>
      <c r="G1801" s="33" t="s">
        <v>12</v>
      </c>
    </row>
    <row r="1802" spans="1:7" ht="42" x14ac:dyDescent="0.15">
      <c r="A1802" s="6" t="s">
        <v>247</v>
      </c>
      <c r="B1802" s="6" t="s">
        <v>248</v>
      </c>
      <c r="C1802" s="7" t="s">
        <v>399</v>
      </c>
      <c r="D1802" s="6">
        <v>95</v>
      </c>
      <c r="E1802" s="8" t="s">
        <v>2404</v>
      </c>
      <c r="F1802" s="6" t="s">
        <v>2402</v>
      </c>
      <c r="G1802" s="33" t="s">
        <v>30</v>
      </c>
    </row>
    <row r="1803" spans="1:7" ht="28" x14ac:dyDescent="0.15">
      <c r="A1803" s="6" t="s">
        <v>84</v>
      </c>
      <c r="B1803" s="6" t="s">
        <v>85</v>
      </c>
      <c r="C1803" s="7" t="s">
        <v>86</v>
      </c>
      <c r="D1803" s="6">
        <v>202</v>
      </c>
      <c r="E1803" s="8" t="s">
        <v>2406</v>
      </c>
      <c r="F1803" s="6" t="s">
        <v>1914</v>
      </c>
      <c r="G1803" s="33" t="s">
        <v>18</v>
      </c>
    </row>
    <row r="1804" spans="1:7" ht="28" x14ac:dyDescent="0.15">
      <c r="A1804" s="6" t="s">
        <v>851</v>
      </c>
      <c r="B1804" s="6" t="s">
        <v>852</v>
      </c>
      <c r="C1804" s="7" t="s">
        <v>853</v>
      </c>
      <c r="D1804" s="6">
        <v>35</v>
      </c>
      <c r="E1804" s="8" t="s">
        <v>2407</v>
      </c>
      <c r="F1804" s="6" t="s">
        <v>2364</v>
      </c>
      <c r="G1804" s="33" t="s">
        <v>30</v>
      </c>
    </row>
    <row r="1805" spans="1:7" ht="28" x14ac:dyDescent="0.15">
      <c r="A1805" s="6" t="s">
        <v>35</v>
      </c>
      <c r="B1805" s="6" t="s">
        <v>36</v>
      </c>
      <c r="C1805" s="7" t="s">
        <v>37</v>
      </c>
      <c r="D1805" s="6">
        <v>16</v>
      </c>
      <c r="E1805" s="8" t="s">
        <v>2408</v>
      </c>
      <c r="F1805" s="6" t="s">
        <v>2409</v>
      </c>
      <c r="G1805" s="33" t="s">
        <v>18</v>
      </c>
    </row>
    <row r="1806" spans="1:7" ht="28" x14ac:dyDescent="0.15">
      <c r="A1806" s="6" t="s">
        <v>92</v>
      </c>
      <c r="B1806" s="6" t="s">
        <v>93</v>
      </c>
      <c r="C1806" s="7" t="s">
        <v>94</v>
      </c>
      <c r="D1806" s="6">
        <v>120</v>
      </c>
      <c r="E1806" s="8" t="s">
        <v>2410</v>
      </c>
      <c r="F1806" s="6" t="s">
        <v>2409</v>
      </c>
      <c r="G1806" s="33" t="s">
        <v>30</v>
      </c>
    </row>
    <row r="1807" spans="1:7" ht="28" x14ac:dyDescent="0.15">
      <c r="A1807" s="6" t="s">
        <v>127</v>
      </c>
      <c r="B1807" s="6" t="s">
        <v>128</v>
      </c>
      <c r="C1807" s="7" t="s">
        <v>129</v>
      </c>
      <c r="D1807" s="6">
        <v>150</v>
      </c>
      <c r="E1807" s="8" t="s">
        <v>2411</v>
      </c>
      <c r="F1807" s="6" t="s">
        <v>2412</v>
      </c>
      <c r="G1807" s="33" t="s">
        <v>30</v>
      </c>
    </row>
    <row r="1808" spans="1:7" ht="14" x14ac:dyDescent="0.15">
      <c r="A1808" s="6" t="s">
        <v>127</v>
      </c>
      <c r="B1808" s="6" t="s">
        <v>128</v>
      </c>
      <c r="C1808" s="7" t="s">
        <v>129</v>
      </c>
      <c r="D1808" s="6">
        <v>112</v>
      </c>
      <c r="E1808" s="8" t="s">
        <v>2413</v>
      </c>
      <c r="F1808" s="6" t="s">
        <v>2414</v>
      </c>
      <c r="G1808" s="33" t="s">
        <v>30</v>
      </c>
    </row>
    <row r="1809" spans="1:7" ht="14" x14ac:dyDescent="0.15">
      <c r="A1809" s="6" t="s">
        <v>131</v>
      </c>
      <c r="B1809" s="6" t="s">
        <v>132</v>
      </c>
      <c r="C1809" s="7" t="s">
        <v>133</v>
      </c>
      <c r="D1809" s="6">
        <v>124</v>
      </c>
      <c r="E1809" s="8" t="s">
        <v>2415</v>
      </c>
      <c r="F1809" s="6" t="s">
        <v>2414</v>
      </c>
      <c r="G1809" s="33" t="s">
        <v>18</v>
      </c>
    </row>
    <row r="1810" spans="1:7" ht="14" x14ac:dyDescent="0.15">
      <c r="A1810" s="6" t="s">
        <v>2416</v>
      </c>
      <c r="B1810" s="6" t="s">
        <v>14</v>
      </c>
      <c r="C1810" s="7" t="s">
        <v>2417</v>
      </c>
      <c r="D1810" s="6">
        <v>5</v>
      </c>
      <c r="E1810" s="8" t="s">
        <v>2418</v>
      </c>
      <c r="F1810" s="6" t="s">
        <v>2414</v>
      </c>
      <c r="G1810" s="33" t="s">
        <v>342</v>
      </c>
    </row>
    <row r="1811" spans="1:7" ht="14" x14ac:dyDescent="0.15">
      <c r="A1811" s="6" t="s">
        <v>25</v>
      </c>
      <c r="B1811" s="6" t="s">
        <v>238</v>
      </c>
      <c r="C1811" s="7" t="s">
        <v>239</v>
      </c>
      <c r="D1811" s="6">
        <v>3</v>
      </c>
      <c r="E1811" s="8" t="s">
        <v>2419</v>
      </c>
      <c r="F1811" s="6" t="s">
        <v>2414</v>
      </c>
      <c r="G1811" s="33" t="s">
        <v>30</v>
      </c>
    </row>
    <row r="1812" spans="1:7" ht="28" x14ac:dyDescent="0.15">
      <c r="A1812" s="6" t="s">
        <v>708</v>
      </c>
      <c r="B1812" s="6" t="s">
        <v>709</v>
      </c>
      <c r="C1812" s="7" t="s">
        <v>710</v>
      </c>
      <c r="D1812" s="6">
        <v>104</v>
      </c>
      <c r="E1812" s="8" t="s">
        <v>2420</v>
      </c>
      <c r="F1812" s="6" t="s">
        <v>2414</v>
      </c>
      <c r="G1812" s="33" t="s">
        <v>30</v>
      </c>
    </row>
    <row r="1813" spans="1:7" ht="14" x14ac:dyDescent="0.15">
      <c r="A1813" s="6" t="s">
        <v>25</v>
      </c>
      <c r="B1813" s="6" t="s">
        <v>238</v>
      </c>
      <c r="C1813" s="7" t="s">
        <v>1517</v>
      </c>
      <c r="D1813" s="6">
        <v>3</v>
      </c>
      <c r="E1813" s="8" t="s">
        <v>2419</v>
      </c>
      <c r="F1813" s="6" t="s">
        <v>2414</v>
      </c>
      <c r="G1813" s="33" t="s">
        <v>30</v>
      </c>
    </row>
    <row r="1814" spans="1:7" ht="28" x14ac:dyDescent="0.15">
      <c r="A1814" s="6" t="s">
        <v>2292</v>
      </c>
      <c r="B1814" s="6" t="s">
        <v>2293</v>
      </c>
      <c r="C1814" s="7" t="s">
        <v>2294</v>
      </c>
      <c r="D1814" s="6">
        <v>141</v>
      </c>
      <c r="E1814" s="8" t="s">
        <v>2421</v>
      </c>
      <c r="F1814" s="6" t="s">
        <v>2414</v>
      </c>
      <c r="G1814" s="33" t="s">
        <v>12</v>
      </c>
    </row>
    <row r="1815" spans="1:7" ht="14" x14ac:dyDescent="0.15">
      <c r="A1815" s="6" t="s">
        <v>842</v>
      </c>
      <c r="B1815" s="6" t="s">
        <v>843</v>
      </c>
      <c r="C1815" s="7" t="s">
        <v>1255</v>
      </c>
      <c r="D1815" s="6">
        <v>71</v>
      </c>
      <c r="E1815" s="8" t="s">
        <v>2422</v>
      </c>
      <c r="F1815" s="6" t="s">
        <v>2414</v>
      </c>
      <c r="G1815" s="33" t="s">
        <v>30</v>
      </c>
    </row>
    <row r="1816" spans="1:7" ht="14" x14ac:dyDescent="0.15">
      <c r="A1816" s="6" t="s">
        <v>393</v>
      </c>
      <c r="B1816" s="6" t="s">
        <v>394</v>
      </c>
      <c r="C1816" s="7" t="s">
        <v>395</v>
      </c>
      <c r="D1816" s="6">
        <v>58</v>
      </c>
      <c r="E1816" s="8" t="s">
        <v>2423</v>
      </c>
      <c r="F1816" s="6" t="s">
        <v>2424</v>
      </c>
      <c r="G1816" s="33" t="s">
        <v>30</v>
      </c>
    </row>
    <row r="1817" spans="1:7" ht="28" x14ac:dyDescent="0.15">
      <c r="A1817" s="6" t="s">
        <v>362</v>
      </c>
      <c r="B1817" s="6" t="s">
        <v>363</v>
      </c>
      <c r="C1817" s="7" t="s">
        <v>364</v>
      </c>
      <c r="D1817" s="6">
        <v>47</v>
      </c>
      <c r="E1817" s="8" t="s">
        <v>2425</v>
      </c>
      <c r="F1817" s="6" t="s">
        <v>2426</v>
      </c>
      <c r="G1817" s="33" t="s">
        <v>30</v>
      </c>
    </row>
    <row r="1818" spans="1:7" ht="28" x14ac:dyDescent="0.15">
      <c r="A1818" s="6" t="s">
        <v>68</v>
      </c>
      <c r="B1818" s="6" t="s">
        <v>69</v>
      </c>
      <c r="C1818" s="7" t="s">
        <v>70</v>
      </c>
      <c r="D1818" s="6">
        <v>57</v>
      </c>
      <c r="E1818" s="8" t="s">
        <v>2427</v>
      </c>
      <c r="F1818" s="6" t="s">
        <v>2428</v>
      </c>
      <c r="G1818" s="33" t="s">
        <v>12</v>
      </c>
    </row>
    <row r="1819" spans="1:7" ht="14" x14ac:dyDescent="0.15">
      <c r="A1819" s="6" t="s">
        <v>153</v>
      </c>
      <c r="B1819" s="6" t="s">
        <v>153</v>
      </c>
      <c r="C1819" s="7" t="s">
        <v>154</v>
      </c>
      <c r="D1819" s="6">
        <v>17</v>
      </c>
      <c r="E1819" s="8" t="s">
        <v>2429</v>
      </c>
      <c r="F1819" s="6" t="s">
        <v>2428</v>
      </c>
      <c r="G1819" s="33" t="s">
        <v>77</v>
      </c>
    </row>
    <row r="1820" spans="1:7" ht="14" x14ac:dyDescent="0.15">
      <c r="A1820" s="6" t="s">
        <v>666</v>
      </c>
      <c r="B1820" s="6" t="s">
        <v>667</v>
      </c>
      <c r="C1820" s="7" t="s">
        <v>668</v>
      </c>
      <c r="D1820" s="6">
        <v>103</v>
      </c>
      <c r="E1820" s="8" t="s">
        <v>2430</v>
      </c>
      <c r="F1820" s="6" t="s">
        <v>2428</v>
      </c>
      <c r="G1820" s="33" t="s">
        <v>67</v>
      </c>
    </row>
    <row r="1821" spans="1:7" ht="42" x14ac:dyDescent="0.15">
      <c r="A1821" s="6" t="s">
        <v>173</v>
      </c>
      <c r="B1821" s="6" t="s">
        <v>174</v>
      </c>
      <c r="C1821" s="7" t="s">
        <v>175</v>
      </c>
      <c r="D1821" s="6">
        <v>73</v>
      </c>
      <c r="E1821" s="8" t="s">
        <v>2431</v>
      </c>
      <c r="F1821" s="6" t="s">
        <v>2428</v>
      </c>
      <c r="G1821" s="33" t="s">
        <v>88</v>
      </c>
    </row>
    <row r="1822" spans="1:7" ht="14" x14ac:dyDescent="0.15">
      <c r="A1822" s="6" t="s">
        <v>1475</v>
      </c>
      <c r="B1822" s="6" t="s">
        <v>1476</v>
      </c>
      <c r="C1822" s="7" t="s">
        <v>1477</v>
      </c>
      <c r="D1822" s="6">
        <v>53</v>
      </c>
      <c r="E1822" s="8" t="s">
        <v>2432</v>
      </c>
      <c r="F1822" s="6" t="s">
        <v>2428</v>
      </c>
      <c r="G1822" s="33" t="s">
        <v>18</v>
      </c>
    </row>
    <row r="1823" spans="1:7" ht="14" x14ac:dyDescent="0.15">
      <c r="A1823" s="6" t="s">
        <v>254</v>
      </c>
      <c r="B1823" s="6" t="s">
        <v>255</v>
      </c>
      <c r="C1823" s="7" t="s">
        <v>256</v>
      </c>
      <c r="D1823" s="6">
        <v>208</v>
      </c>
      <c r="E1823" s="8" t="s">
        <v>2433</v>
      </c>
      <c r="F1823" s="6" t="s">
        <v>2428</v>
      </c>
      <c r="G1823" s="33" t="s">
        <v>18</v>
      </c>
    </row>
    <row r="1824" spans="1:7" ht="14" x14ac:dyDescent="0.15">
      <c r="A1824" s="6" t="s">
        <v>31</v>
      </c>
      <c r="B1824" s="6" t="s">
        <v>31</v>
      </c>
      <c r="C1824" s="7" t="s">
        <v>32</v>
      </c>
      <c r="D1824" s="6">
        <v>37</v>
      </c>
      <c r="E1824" s="8" t="s">
        <v>2434</v>
      </c>
      <c r="F1824" s="6" t="s">
        <v>2428</v>
      </c>
      <c r="G1824" s="33" t="s">
        <v>30</v>
      </c>
    </row>
    <row r="1825" spans="1:7" ht="14" x14ac:dyDescent="0.15">
      <c r="A1825" s="6" t="s">
        <v>521</v>
      </c>
      <c r="B1825" s="6" t="s">
        <v>1241</v>
      </c>
      <c r="C1825" s="7" t="s">
        <v>1242</v>
      </c>
      <c r="D1825" s="6">
        <v>25</v>
      </c>
      <c r="E1825" s="8" t="s">
        <v>2435</v>
      </c>
      <c r="F1825" s="6" t="s">
        <v>2428</v>
      </c>
      <c r="G1825" s="33" t="s">
        <v>18</v>
      </c>
    </row>
    <row r="1826" spans="1:7" ht="28" x14ac:dyDescent="0.15">
      <c r="A1826" s="6" t="s">
        <v>820</v>
      </c>
      <c r="B1826" s="6" t="s">
        <v>821</v>
      </c>
      <c r="C1826" s="7" t="s">
        <v>822</v>
      </c>
      <c r="D1826" s="6">
        <v>47</v>
      </c>
      <c r="E1826" s="8" t="s">
        <v>2436</v>
      </c>
      <c r="F1826" s="6" t="s">
        <v>2437</v>
      </c>
      <c r="G1826" s="33" t="s">
        <v>136</v>
      </c>
    </row>
    <row r="1827" spans="1:7" ht="14" x14ac:dyDescent="0.15">
      <c r="A1827" s="6" t="s">
        <v>670</v>
      </c>
      <c r="B1827" s="6" t="s">
        <v>671</v>
      </c>
      <c r="C1827" s="7" t="s">
        <v>672</v>
      </c>
      <c r="D1827" s="6">
        <v>100</v>
      </c>
      <c r="E1827" s="8" t="s">
        <v>2438</v>
      </c>
      <c r="F1827" s="6" t="s">
        <v>1914</v>
      </c>
      <c r="G1827" s="33" t="s">
        <v>18</v>
      </c>
    </row>
    <row r="1828" spans="1:7" ht="28" x14ac:dyDescent="0.15">
      <c r="A1828" s="6" t="s">
        <v>619</v>
      </c>
      <c r="B1828" s="6" t="s">
        <v>620</v>
      </c>
      <c r="C1828" s="7" t="s">
        <v>621</v>
      </c>
      <c r="D1828" s="6">
        <v>116</v>
      </c>
      <c r="E1828" s="8" t="s">
        <v>2439</v>
      </c>
      <c r="F1828" s="6" t="s">
        <v>1914</v>
      </c>
      <c r="G1828" s="33" t="s">
        <v>30</v>
      </c>
    </row>
    <row r="1829" spans="1:7" ht="28" x14ac:dyDescent="0.15">
      <c r="A1829" s="6" t="s">
        <v>619</v>
      </c>
      <c r="B1829" s="6" t="s">
        <v>620</v>
      </c>
      <c r="C1829" s="7" t="s">
        <v>621</v>
      </c>
      <c r="D1829" s="6">
        <v>221</v>
      </c>
      <c r="E1829" s="8" t="s">
        <v>2440</v>
      </c>
      <c r="F1829" s="6" t="s">
        <v>1914</v>
      </c>
      <c r="G1829" s="33" t="s">
        <v>30</v>
      </c>
    </row>
    <row r="1830" spans="1:7" ht="14" x14ac:dyDescent="0.15">
      <c r="A1830" s="6" t="s">
        <v>127</v>
      </c>
      <c r="B1830" s="6" t="s">
        <v>128</v>
      </c>
      <c r="C1830" s="7" t="s">
        <v>129</v>
      </c>
      <c r="D1830" s="6">
        <v>100</v>
      </c>
      <c r="E1830" s="8" t="s">
        <v>2441</v>
      </c>
      <c r="F1830" s="6" t="s">
        <v>1914</v>
      </c>
      <c r="G1830" s="33" t="s">
        <v>342</v>
      </c>
    </row>
    <row r="1831" spans="1:7" ht="28" x14ac:dyDescent="0.15">
      <c r="A1831" s="6" t="s">
        <v>1409</v>
      </c>
      <c r="B1831" s="6" t="s">
        <v>1409</v>
      </c>
      <c r="C1831" s="7" t="s">
        <v>1410</v>
      </c>
      <c r="D1831" s="6">
        <v>56</v>
      </c>
      <c r="E1831" s="8" t="s">
        <v>2442</v>
      </c>
      <c r="F1831" s="6" t="s">
        <v>1914</v>
      </c>
      <c r="G1831" s="33" t="s">
        <v>88</v>
      </c>
    </row>
    <row r="1832" spans="1:7" ht="14" x14ac:dyDescent="0.15">
      <c r="A1832" s="6" t="s">
        <v>140</v>
      </c>
      <c r="B1832" s="6" t="s">
        <v>141</v>
      </c>
      <c r="C1832" s="7" t="s">
        <v>142</v>
      </c>
      <c r="D1832" s="6">
        <v>194</v>
      </c>
      <c r="E1832" s="8" t="s">
        <v>2443</v>
      </c>
      <c r="F1832" s="6" t="s">
        <v>1914</v>
      </c>
      <c r="G1832" s="33" t="s">
        <v>23</v>
      </c>
    </row>
    <row r="1833" spans="1:7" ht="14" x14ac:dyDescent="0.15">
      <c r="A1833" s="6" t="s">
        <v>2416</v>
      </c>
      <c r="B1833" s="6" t="s">
        <v>14</v>
      </c>
      <c r="C1833" s="7" t="s">
        <v>2417</v>
      </c>
      <c r="D1833" s="6">
        <v>2</v>
      </c>
      <c r="E1833" s="8" t="s">
        <v>2444</v>
      </c>
      <c r="F1833" s="6" t="s">
        <v>1914</v>
      </c>
      <c r="G1833" s="33" t="s">
        <v>30</v>
      </c>
    </row>
    <row r="1834" spans="1:7" ht="14" x14ac:dyDescent="0.15">
      <c r="A1834" s="6" t="s">
        <v>2416</v>
      </c>
      <c r="B1834" s="6" t="s">
        <v>14</v>
      </c>
      <c r="C1834" s="7" t="s">
        <v>2417</v>
      </c>
      <c r="D1834" s="6">
        <v>3</v>
      </c>
      <c r="E1834" s="8" t="s">
        <v>2445</v>
      </c>
      <c r="F1834" s="6" t="s">
        <v>1914</v>
      </c>
      <c r="G1834" s="33" t="s">
        <v>136</v>
      </c>
    </row>
    <row r="1835" spans="1:7" ht="14" x14ac:dyDescent="0.15">
      <c r="A1835" s="6" t="s">
        <v>173</v>
      </c>
      <c r="B1835" s="6" t="s">
        <v>174</v>
      </c>
      <c r="C1835" s="7" t="s">
        <v>175</v>
      </c>
      <c r="D1835" s="6">
        <v>243</v>
      </c>
      <c r="E1835" s="8" t="s">
        <v>2446</v>
      </c>
      <c r="F1835" s="6" t="s">
        <v>1914</v>
      </c>
      <c r="G1835" s="33" t="s">
        <v>30</v>
      </c>
    </row>
    <row r="1836" spans="1:7" ht="28" x14ac:dyDescent="0.15">
      <c r="A1836" s="6" t="s">
        <v>105</v>
      </c>
      <c r="B1836" s="6" t="s">
        <v>106</v>
      </c>
      <c r="C1836" s="7" t="s">
        <v>107</v>
      </c>
      <c r="D1836" s="6">
        <v>232</v>
      </c>
      <c r="E1836" s="8" t="s">
        <v>2447</v>
      </c>
      <c r="F1836" s="6" t="s">
        <v>1914</v>
      </c>
      <c r="G1836" s="33" t="s">
        <v>30</v>
      </c>
    </row>
    <row r="1837" spans="1:7" ht="56" x14ac:dyDescent="0.15">
      <c r="A1837" s="6" t="s">
        <v>831</v>
      </c>
      <c r="B1837" s="6" t="s">
        <v>831</v>
      </c>
      <c r="C1837" s="7" t="s">
        <v>832</v>
      </c>
      <c r="D1837" s="6">
        <v>184</v>
      </c>
      <c r="E1837" s="8" t="s">
        <v>2448</v>
      </c>
      <c r="F1837" s="6" t="s">
        <v>1914</v>
      </c>
      <c r="G1837" s="33" t="s">
        <v>342</v>
      </c>
    </row>
    <row r="1838" spans="1:7" ht="14" x14ac:dyDescent="0.15">
      <c r="A1838" s="6" t="s">
        <v>25</v>
      </c>
      <c r="B1838" s="6" t="s">
        <v>238</v>
      </c>
      <c r="C1838" s="7" t="s">
        <v>239</v>
      </c>
      <c r="D1838" s="6">
        <v>24</v>
      </c>
      <c r="E1838" s="8" t="s">
        <v>2449</v>
      </c>
      <c r="F1838" s="6" t="s">
        <v>1914</v>
      </c>
      <c r="G1838" s="33" t="s">
        <v>136</v>
      </c>
    </row>
    <row r="1839" spans="1:7" ht="14" x14ac:dyDescent="0.15">
      <c r="A1839" s="6" t="s">
        <v>932</v>
      </c>
      <c r="B1839" s="6" t="s">
        <v>933</v>
      </c>
      <c r="C1839" s="7" t="s">
        <v>934</v>
      </c>
      <c r="D1839" s="6">
        <v>76</v>
      </c>
      <c r="E1839" s="8" t="s">
        <v>2450</v>
      </c>
      <c r="F1839" s="6" t="s">
        <v>1914</v>
      </c>
      <c r="G1839" s="33" t="s">
        <v>18</v>
      </c>
    </row>
    <row r="1840" spans="1:7" ht="28" x14ac:dyDescent="0.15">
      <c r="A1840" s="6" t="s">
        <v>932</v>
      </c>
      <c r="B1840" s="6" t="s">
        <v>933</v>
      </c>
      <c r="C1840" s="7" t="s">
        <v>934</v>
      </c>
      <c r="D1840" s="6">
        <v>97</v>
      </c>
      <c r="E1840" s="8" t="s">
        <v>2451</v>
      </c>
      <c r="F1840" s="6" t="s">
        <v>1914</v>
      </c>
      <c r="G1840" s="33" t="s">
        <v>12</v>
      </c>
    </row>
    <row r="1841" spans="1:7" ht="14" x14ac:dyDescent="0.15">
      <c r="A1841" s="6" t="s">
        <v>279</v>
      </c>
      <c r="B1841" s="6" t="s">
        <v>280</v>
      </c>
      <c r="C1841" s="7" t="s">
        <v>281</v>
      </c>
      <c r="D1841" s="6">
        <v>103</v>
      </c>
      <c r="E1841" s="8" t="s">
        <v>2452</v>
      </c>
      <c r="F1841" s="6" t="s">
        <v>1914</v>
      </c>
      <c r="G1841" s="33" t="s">
        <v>30</v>
      </c>
    </row>
    <row r="1842" spans="1:7" ht="14" x14ac:dyDescent="0.15">
      <c r="A1842" s="6" t="s">
        <v>2150</v>
      </c>
      <c r="B1842" s="6" t="s">
        <v>2151</v>
      </c>
      <c r="C1842" s="7" t="s">
        <v>2152</v>
      </c>
      <c r="D1842" s="6">
        <v>8</v>
      </c>
      <c r="E1842" s="8" t="s">
        <v>2453</v>
      </c>
      <c r="F1842" s="6" t="s">
        <v>1914</v>
      </c>
      <c r="G1842" s="33" t="s">
        <v>342</v>
      </c>
    </row>
    <row r="1843" spans="1:7" ht="42" x14ac:dyDescent="0.15">
      <c r="A1843" s="6" t="s">
        <v>466</v>
      </c>
      <c r="B1843" s="6" t="s">
        <v>467</v>
      </c>
      <c r="C1843" s="7" t="s">
        <v>2177</v>
      </c>
      <c r="D1843" s="6">
        <v>31</v>
      </c>
      <c r="E1843" s="8" t="s">
        <v>2454</v>
      </c>
      <c r="F1843" s="6" t="s">
        <v>1914</v>
      </c>
      <c r="G1843" s="33" t="s">
        <v>30</v>
      </c>
    </row>
    <row r="1844" spans="1:7" ht="14" x14ac:dyDescent="0.15">
      <c r="A1844" s="6" t="s">
        <v>25</v>
      </c>
      <c r="B1844" s="6" t="s">
        <v>238</v>
      </c>
      <c r="C1844" s="7" t="s">
        <v>1517</v>
      </c>
      <c r="D1844" s="6">
        <v>24</v>
      </c>
      <c r="E1844" s="8" t="s">
        <v>2449</v>
      </c>
      <c r="F1844" s="6" t="s">
        <v>1914</v>
      </c>
      <c r="G1844" s="33" t="s">
        <v>136</v>
      </c>
    </row>
    <row r="1845" spans="1:7" ht="14" x14ac:dyDescent="0.15">
      <c r="A1845" s="6" t="s">
        <v>932</v>
      </c>
      <c r="B1845" s="6" t="s">
        <v>933</v>
      </c>
      <c r="C1845" s="7" t="s">
        <v>1155</v>
      </c>
      <c r="D1845" s="6">
        <v>76</v>
      </c>
      <c r="E1845" s="8" t="s">
        <v>2450</v>
      </c>
      <c r="F1845" s="6" t="s">
        <v>1914</v>
      </c>
      <c r="G1845" s="33" t="s">
        <v>18</v>
      </c>
    </row>
    <row r="1846" spans="1:7" ht="28" x14ac:dyDescent="0.15">
      <c r="A1846" s="6" t="s">
        <v>932</v>
      </c>
      <c r="B1846" s="6" t="s">
        <v>933</v>
      </c>
      <c r="C1846" s="7" t="s">
        <v>1155</v>
      </c>
      <c r="D1846" s="6">
        <v>97</v>
      </c>
      <c r="E1846" s="8" t="s">
        <v>2451</v>
      </c>
      <c r="F1846" s="6" t="s">
        <v>1914</v>
      </c>
      <c r="G1846" s="33" t="s">
        <v>12</v>
      </c>
    </row>
    <row r="1847" spans="1:7" ht="14" x14ac:dyDescent="0.15">
      <c r="A1847" s="6" t="s">
        <v>51</v>
      </c>
      <c r="B1847" s="6" t="s">
        <v>56</v>
      </c>
      <c r="C1847" s="7" t="s">
        <v>57</v>
      </c>
      <c r="D1847" s="6">
        <v>181</v>
      </c>
      <c r="E1847" s="8" t="s">
        <v>2455</v>
      </c>
      <c r="F1847" s="6" t="s">
        <v>1914</v>
      </c>
      <c r="G1847" s="33" t="s">
        <v>12</v>
      </c>
    </row>
    <row r="1848" spans="1:7" ht="14" x14ac:dyDescent="0.15">
      <c r="A1848" s="6" t="s">
        <v>51</v>
      </c>
      <c r="B1848" s="6" t="s">
        <v>56</v>
      </c>
      <c r="C1848" s="7" t="s">
        <v>57</v>
      </c>
      <c r="D1848" s="6">
        <v>189</v>
      </c>
      <c r="E1848" s="8" t="s">
        <v>2456</v>
      </c>
      <c r="F1848" s="6" t="s">
        <v>1914</v>
      </c>
      <c r="G1848" s="33" t="s">
        <v>12</v>
      </c>
    </row>
    <row r="1849" spans="1:7" ht="28" x14ac:dyDescent="0.15">
      <c r="A1849" s="6" t="s">
        <v>105</v>
      </c>
      <c r="B1849" s="6" t="s">
        <v>106</v>
      </c>
      <c r="C1849" s="7" t="s">
        <v>112</v>
      </c>
      <c r="D1849" s="6">
        <v>232</v>
      </c>
      <c r="E1849" s="8" t="s">
        <v>2447</v>
      </c>
      <c r="F1849" s="6" t="s">
        <v>1914</v>
      </c>
      <c r="G1849" s="33" t="s">
        <v>30</v>
      </c>
    </row>
    <row r="1850" spans="1:7" ht="14" x14ac:dyDescent="0.15">
      <c r="A1850" s="6" t="s">
        <v>661</v>
      </c>
      <c r="B1850" s="6" t="s">
        <v>662</v>
      </c>
      <c r="C1850" s="7" t="s">
        <v>663</v>
      </c>
      <c r="D1850" s="6">
        <v>73</v>
      </c>
      <c r="E1850" s="8" t="s">
        <v>2457</v>
      </c>
      <c r="F1850" s="6" t="s">
        <v>1914</v>
      </c>
      <c r="G1850" s="33" t="s">
        <v>30</v>
      </c>
    </row>
    <row r="1851" spans="1:7" ht="28" x14ac:dyDescent="0.15">
      <c r="A1851" s="6" t="s">
        <v>1256</v>
      </c>
      <c r="B1851" s="6" t="s">
        <v>1256</v>
      </c>
      <c r="C1851" s="7" t="s">
        <v>1257</v>
      </c>
      <c r="D1851" s="6">
        <v>70</v>
      </c>
      <c r="E1851" s="8" t="s">
        <v>2458</v>
      </c>
      <c r="F1851" s="6" t="s">
        <v>1914</v>
      </c>
      <c r="G1851" s="33" t="s">
        <v>12</v>
      </c>
    </row>
    <row r="1852" spans="1:7" ht="14" x14ac:dyDescent="0.15">
      <c r="A1852" s="6" t="s">
        <v>2459</v>
      </c>
      <c r="B1852" s="6" t="s">
        <v>2460</v>
      </c>
      <c r="C1852" s="7" t="s">
        <v>2461</v>
      </c>
      <c r="D1852" s="6">
        <v>42</v>
      </c>
      <c r="E1852" s="8" t="s">
        <v>2462</v>
      </c>
      <c r="F1852" s="6" t="s">
        <v>1914</v>
      </c>
      <c r="G1852" s="33" t="s">
        <v>136</v>
      </c>
    </row>
    <row r="1853" spans="1:7" ht="28" x14ac:dyDescent="0.15">
      <c r="A1853" s="6" t="s">
        <v>851</v>
      </c>
      <c r="B1853" s="6" t="s">
        <v>852</v>
      </c>
      <c r="C1853" s="7" t="s">
        <v>853</v>
      </c>
      <c r="D1853" s="6">
        <v>15</v>
      </c>
      <c r="E1853" s="8" t="s">
        <v>2463</v>
      </c>
      <c r="F1853" s="6" t="s">
        <v>2378</v>
      </c>
      <c r="G1853" s="33" t="s">
        <v>30</v>
      </c>
    </row>
    <row r="1854" spans="1:7" ht="28" x14ac:dyDescent="0.15">
      <c r="A1854" s="6" t="s">
        <v>192</v>
      </c>
      <c r="B1854" s="6" t="s">
        <v>192</v>
      </c>
      <c r="C1854" s="7" t="s">
        <v>193</v>
      </c>
      <c r="D1854" s="6">
        <v>9</v>
      </c>
      <c r="E1854" s="8" t="s">
        <v>2464</v>
      </c>
      <c r="F1854" s="6" t="s">
        <v>2465</v>
      </c>
      <c r="G1854" s="33" t="s">
        <v>30</v>
      </c>
    </row>
    <row r="1855" spans="1:7" ht="28" x14ac:dyDescent="0.15">
      <c r="A1855" s="6" t="s">
        <v>502</v>
      </c>
      <c r="B1855" s="6" t="s">
        <v>502</v>
      </c>
      <c r="C1855" s="7" t="s">
        <v>503</v>
      </c>
      <c r="D1855" s="6">
        <v>76</v>
      </c>
      <c r="E1855" s="8" t="s">
        <v>2466</v>
      </c>
      <c r="F1855" s="6" t="s">
        <v>2465</v>
      </c>
      <c r="G1855" s="33" t="s">
        <v>30</v>
      </c>
    </row>
    <row r="1856" spans="1:7" ht="28" x14ac:dyDescent="0.15">
      <c r="A1856" s="6" t="s">
        <v>47</v>
      </c>
      <c r="B1856" s="6" t="s">
        <v>475</v>
      </c>
      <c r="C1856" s="7" t="s">
        <v>476</v>
      </c>
      <c r="D1856" s="6">
        <v>122</v>
      </c>
      <c r="E1856" s="8" t="s">
        <v>2467</v>
      </c>
      <c r="F1856" s="6" t="s">
        <v>2378</v>
      </c>
      <c r="G1856" s="33" t="s">
        <v>30</v>
      </c>
    </row>
    <row r="1857" spans="1:7" ht="14" x14ac:dyDescent="0.15">
      <c r="A1857" s="6" t="s">
        <v>153</v>
      </c>
      <c r="B1857" s="6" t="s">
        <v>153</v>
      </c>
      <c r="C1857" s="7" t="s">
        <v>154</v>
      </c>
      <c r="D1857" s="6">
        <v>7</v>
      </c>
      <c r="E1857" s="8" t="s">
        <v>2468</v>
      </c>
      <c r="F1857" s="6" t="s">
        <v>1914</v>
      </c>
      <c r="G1857" s="33" t="s">
        <v>18</v>
      </c>
    </row>
    <row r="1858" spans="1:7" ht="28" x14ac:dyDescent="0.15">
      <c r="A1858" s="6" t="s">
        <v>201</v>
      </c>
      <c r="B1858" s="6" t="s">
        <v>202</v>
      </c>
      <c r="C1858" s="7" t="s">
        <v>203</v>
      </c>
      <c r="D1858" s="6">
        <v>4</v>
      </c>
      <c r="E1858" s="8" t="s">
        <v>2469</v>
      </c>
      <c r="F1858" s="6" t="s">
        <v>1914</v>
      </c>
      <c r="G1858" s="33" t="s">
        <v>18</v>
      </c>
    </row>
    <row r="1859" spans="1:7" ht="28" x14ac:dyDescent="0.15">
      <c r="A1859" s="6" t="s">
        <v>63</v>
      </c>
      <c r="B1859" s="6" t="s">
        <v>64</v>
      </c>
      <c r="C1859" s="7" t="s">
        <v>65</v>
      </c>
      <c r="D1859" s="6">
        <v>22</v>
      </c>
      <c r="E1859" s="8" t="s">
        <v>2470</v>
      </c>
      <c r="F1859" s="6" t="s">
        <v>1914</v>
      </c>
      <c r="G1859" s="33" t="s">
        <v>136</v>
      </c>
    </row>
    <row r="1860" spans="1:7" ht="14" x14ac:dyDescent="0.15">
      <c r="A1860" s="6" t="s">
        <v>1256</v>
      </c>
      <c r="B1860" s="6" t="s">
        <v>1256</v>
      </c>
      <c r="C1860" s="7" t="s">
        <v>1257</v>
      </c>
      <c r="D1860" s="6">
        <v>59</v>
      </c>
      <c r="E1860" s="8" t="s">
        <v>2471</v>
      </c>
      <c r="F1860" s="6" t="s">
        <v>1914</v>
      </c>
      <c r="G1860" s="33" t="s">
        <v>18</v>
      </c>
    </row>
    <row r="1861" spans="1:7" ht="14" x14ac:dyDescent="0.15">
      <c r="A1861" s="6" t="s">
        <v>1086</v>
      </c>
      <c r="B1861" s="6" t="s">
        <v>1087</v>
      </c>
      <c r="C1861" s="7" t="s">
        <v>1088</v>
      </c>
      <c r="D1861" s="6">
        <v>21</v>
      </c>
      <c r="E1861" s="8" t="s">
        <v>2472</v>
      </c>
      <c r="F1861" s="6" t="s">
        <v>2473</v>
      </c>
      <c r="G1861" s="33" t="s">
        <v>136</v>
      </c>
    </row>
    <row r="1862" spans="1:7" ht="14" x14ac:dyDescent="0.15">
      <c r="A1862" s="6" t="s">
        <v>619</v>
      </c>
      <c r="B1862" s="6" t="s">
        <v>1932</v>
      </c>
      <c r="C1862" s="7" t="s">
        <v>1933</v>
      </c>
      <c r="D1862" s="6">
        <v>3</v>
      </c>
      <c r="E1862" s="8" t="s">
        <v>2474</v>
      </c>
      <c r="F1862" s="6" t="s">
        <v>1914</v>
      </c>
      <c r="G1862" s="33" t="s">
        <v>12</v>
      </c>
    </row>
    <row r="1863" spans="1:7" ht="14" x14ac:dyDescent="0.15">
      <c r="A1863" s="6" t="s">
        <v>619</v>
      </c>
      <c r="B1863" s="6" t="s">
        <v>1932</v>
      </c>
      <c r="C1863" s="7" t="s">
        <v>1933</v>
      </c>
      <c r="D1863" s="6">
        <v>5</v>
      </c>
      <c r="E1863" s="8" t="s">
        <v>2475</v>
      </c>
      <c r="F1863" s="6" t="s">
        <v>1914</v>
      </c>
      <c r="G1863" s="33" t="s">
        <v>12</v>
      </c>
    </row>
    <row r="1864" spans="1:7" ht="14" x14ac:dyDescent="0.15">
      <c r="A1864" s="6" t="s">
        <v>140</v>
      </c>
      <c r="B1864" s="6" t="s">
        <v>141</v>
      </c>
      <c r="C1864" s="7" t="s">
        <v>142</v>
      </c>
      <c r="D1864" s="6">
        <v>16</v>
      </c>
      <c r="E1864" s="8" t="s">
        <v>2476</v>
      </c>
      <c r="F1864" s="6" t="s">
        <v>1914</v>
      </c>
      <c r="G1864" s="33" t="s">
        <v>12</v>
      </c>
    </row>
    <row r="1865" spans="1:7" ht="28" x14ac:dyDescent="0.15">
      <c r="A1865" s="6" t="s">
        <v>140</v>
      </c>
      <c r="B1865" s="6" t="s">
        <v>141</v>
      </c>
      <c r="C1865" s="7" t="s">
        <v>142</v>
      </c>
      <c r="D1865" s="6">
        <v>78</v>
      </c>
      <c r="E1865" s="8" t="s">
        <v>2477</v>
      </c>
      <c r="F1865" s="6" t="s">
        <v>1914</v>
      </c>
      <c r="G1865" s="33" t="s">
        <v>23</v>
      </c>
    </row>
    <row r="1866" spans="1:7" ht="14" x14ac:dyDescent="0.15">
      <c r="A1866" s="6" t="s">
        <v>140</v>
      </c>
      <c r="B1866" s="6" t="s">
        <v>141</v>
      </c>
      <c r="C1866" s="7" t="s">
        <v>142</v>
      </c>
      <c r="D1866" s="6">
        <v>225</v>
      </c>
      <c r="E1866" s="8" t="s">
        <v>2478</v>
      </c>
      <c r="F1866" s="6" t="s">
        <v>1914</v>
      </c>
      <c r="G1866" s="33" t="s">
        <v>12</v>
      </c>
    </row>
    <row r="1867" spans="1:7" ht="14" x14ac:dyDescent="0.15">
      <c r="A1867" s="6" t="s">
        <v>13</v>
      </c>
      <c r="B1867" s="6" t="s">
        <v>14</v>
      </c>
      <c r="C1867" s="7" t="s">
        <v>15</v>
      </c>
      <c r="D1867" s="6">
        <v>70</v>
      </c>
      <c r="E1867" s="8" t="s">
        <v>2479</v>
      </c>
      <c r="F1867" s="6" t="s">
        <v>1914</v>
      </c>
      <c r="G1867" s="33" t="s">
        <v>30</v>
      </c>
    </row>
    <row r="1868" spans="1:7" ht="28" x14ac:dyDescent="0.15">
      <c r="A1868" s="6" t="s">
        <v>1475</v>
      </c>
      <c r="B1868" s="6" t="s">
        <v>1476</v>
      </c>
      <c r="C1868" s="7" t="s">
        <v>1477</v>
      </c>
      <c r="D1868" s="6">
        <v>119</v>
      </c>
      <c r="E1868" s="8" t="s">
        <v>2480</v>
      </c>
      <c r="F1868" s="6" t="s">
        <v>1914</v>
      </c>
      <c r="G1868" s="33" t="s">
        <v>136</v>
      </c>
    </row>
    <row r="1869" spans="1:7" ht="14" x14ac:dyDescent="0.15">
      <c r="A1869" s="6" t="s">
        <v>247</v>
      </c>
      <c r="B1869" s="6" t="s">
        <v>248</v>
      </c>
      <c r="C1869" s="7" t="s">
        <v>249</v>
      </c>
      <c r="D1869" s="6">
        <v>46</v>
      </c>
      <c r="E1869" s="8" t="s">
        <v>2481</v>
      </c>
      <c r="F1869" s="6" t="s">
        <v>1914</v>
      </c>
      <c r="G1869" s="33" t="s">
        <v>30</v>
      </c>
    </row>
    <row r="1870" spans="1:7" ht="14" x14ac:dyDescent="0.15">
      <c r="A1870" s="6" t="s">
        <v>254</v>
      </c>
      <c r="B1870" s="6" t="s">
        <v>255</v>
      </c>
      <c r="C1870" s="7" t="s">
        <v>256</v>
      </c>
      <c r="D1870" s="6">
        <v>34</v>
      </c>
      <c r="E1870" s="8" t="s">
        <v>2482</v>
      </c>
      <c r="F1870" s="6" t="s">
        <v>1914</v>
      </c>
      <c r="G1870" s="33" t="s">
        <v>12</v>
      </c>
    </row>
    <row r="1871" spans="1:7" ht="14" x14ac:dyDescent="0.15">
      <c r="A1871" s="6" t="s">
        <v>254</v>
      </c>
      <c r="B1871" s="6" t="s">
        <v>255</v>
      </c>
      <c r="C1871" s="7" t="s">
        <v>256</v>
      </c>
      <c r="D1871" s="6">
        <v>251</v>
      </c>
      <c r="E1871" s="8" t="s">
        <v>2483</v>
      </c>
      <c r="F1871" s="6" t="s">
        <v>1914</v>
      </c>
      <c r="G1871" s="33" t="s">
        <v>18</v>
      </c>
    </row>
    <row r="1872" spans="1:7" ht="14" x14ac:dyDescent="0.15">
      <c r="A1872" s="6" t="s">
        <v>1490</v>
      </c>
      <c r="B1872" s="6" t="s">
        <v>1491</v>
      </c>
      <c r="C1872" s="7" t="s">
        <v>1492</v>
      </c>
      <c r="D1872" s="6">
        <v>6</v>
      </c>
      <c r="E1872" s="8" t="s">
        <v>2484</v>
      </c>
      <c r="F1872" s="6" t="s">
        <v>1914</v>
      </c>
      <c r="G1872" s="33" t="s">
        <v>219</v>
      </c>
    </row>
    <row r="1873" spans="1:7" ht="14" x14ac:dyDescent="0.15">
      <c r="A1873" s="6" t="s">
        <v>301</v>
      </c>
      <c r="B1873" s="6" t="s">
        <v>301</v>
      </c>
      <c r="C1873" s="7" t="s">
        <v>306</v>
      </c>
      <c r="D1873" s="6">
        <v>105</v>
      </c>
      <c r="E1873" s="8" t="s">
        <v>2485</v>
      </c>
      <c r="F1873" s="6" t="s">
        <v>1914</v>
      </c>
      <c r="G1873" s="33" t="s">
        <v>12</v>
      </c>
    </row>
    <row r="1874" spans="1:7" ht="28" x14ac:dyDescent="0.15">
      <c r="A1874" s="6" t="s">
        <v>652</v>
      </c>
      <c r="B1874" s="6" t="s">
        <v>653</v>
      </c>
      <c r="C1874" s="7" t="s">
        <v>654</v>
      </c>
      <c r="D1874" s="6">
        <v>98</v>
      </c>
      <c r="E1874" s="8" t="s">
        <v>2486</v>
      </c>
      <c r="F1874" s="6" t="s">
        <v>1914</v>
      </c>
      <c r="G1874" s="33" t="s">
        <v>12</v>
      </c>
    </row>
    <row r="1875" spans="1:7" ht="28" x14ac:dyDescent="0.15">
      <c r="A1875" s="6" t="s">
        <v>382</v>
      </c>
      <c r="B1875" s="6" t="s">
        <v>383</v>
      </c>
      <c r="C1875" s="7" t="s">
        <v>384</v>
      </c>
      <c r="D1875" s="6">
        <v>92</v>
      </c>
      <c r="E1875" s="8" t="s">
        <v>2487</v>
      </c>
      <c r="F1875" s="6" t="s">
        <v>1914</v>
      </c>
      <c r="G1875" s="33" t="s">
        <v>88</v>
      </c>
    </row>
    <row r="1876" spans="1:7" ht="14" x14ac:dyDescent="0.15">
      <c r="A1876" s="6" t="s">
        <v>247</v>
      </c>
      <c r="B1876" s="6" t="s">
        <v>248</v>
      </c>
      <c r="C1876" s="7" t="s">
        <v>399</v>
      </c>
      <c r="D1876" s="6">
        <v>25</v>
      </c>
      <c r="E1876" s="8" t="s">
        <v>2481</v>
      </c>
      <c r="F1876" s="6" t="s">
        <v>1914</v>
      </c>
      <c r="G1876" s="33" t="s">
        <v>30</v>
      </c>
    </row>
    <row r="1877" spans="1:7" ht="14" x14ac:dyDescent="0.15">
      <c r="A1877" s="6" t="s">
        <v>428</v>
      </c>
      <c r="B1877" s="6" t="s">
        <v>428</v>
      </c>
      <c r="C1877" s="7" t="s">
        <v>429</v>
      </c>
      <c r="D1877" s="6">
        <v>110</v>
      </c>
      <c r="E1877" s="8" t="s">
        <v>2488</v>
      </c>
      <c r="F1877" s="6" t="s">
        <v>1914</v>
      </c>
      <c r="G1877" s="33" t="s">
        <v>115</v>
      </c>
    </row>
    <row r="1878" spans="1:7" ht="14" x14ac:dyDescent="0.15">
      <c r="A1878" s="6" t="s">
        <v>445</v>
      </c>
      <c r="B1878" s="6" t="s">
        <v>446</v>
      </c>
      <c r="C1878" s="7" t="s">
        <v>447</v>
      </c>
      <c r="D1878" s="6">
        <v>61</v>
      </c>
      <c r="E1878" s="8" t="s">
        <v>2489</v>
      </c>
      <c r="F1878" s="6" t="s">
        <v>1914</v>
      </c>
      <c r="G1878" s="33" t="s">
        <v>30</v>
      </c>
    </row>
    <row r="1879" spans="1:7" ht="14" x14ac:dyDescent="0.15">
      <c r="A1879" s="6" t="s">
        <v>445</v>
      </c>
      <c r="B1879" s="6" t="s">
        <v>455</v>
      </c>
      <c r="C1879" s="7" t="s">
        <v>456</v>
      </c>
      <c r="D1879" s="6">
        <v>61</v>
      </c>
      <c r="E1879" s="8" t="s">
        <v>2489</v>
      </c>
      <c r="F1879" s="6" t="s">
        <v>1914</v>
      </c>
      <c r="G1879" s="33" t="s">
        <v>30</v>
      </c>
    </row>
    <row r="1880" spans="1:7" ht="14" x14ac:dyDescent="0.15">
      <c r="A1880" s="6" t="s">
        <v>51</v>
      </c>
      <c r="B1880" s="6" t="s">
        <v>496</v>
      </c>
      <c r="C1880" s="7" t="s">
        <v>497</v>
      </c>
      <c r="D1880" s="6">
        <v>45</v>
      </c>
      <c r="E1880" s="8" t="s">
        <v>2490</v>
      </c>
      <c r="F1880" s="6" t="s">
        <v>1914</v>
      </c>
      <c r="G1880" s="33" t="s">
        <v>12</v>
      </c>
    </row>
    <row r="1881" spans="1:7" ht="14" x14ac:dyDescent="0.15">
      <c r="A1881" s="6" t="s">
        <v>851</v>
      </c>
      <c r="B1881" s="6" t="s">
        <v>852</v>
      </c>
      <c r="C1881" s="7" t="s">
        <v>853</v>
      </c>
      <c r="D1881" s="6">
        <v>23</v>
      </c>
      <c r="E1881" s="8" t="s">
        <v>2491</v>
      </c>
      <c r="F1881" s="6" t="s">
        <v>2364</v>
      </c>
      <c r="G1881" s="33" t="s">
        <v>342</v>
      </c>
    </row>
    <row r="1882" spans="1:7" ht="14" x14ac:dyDescent="0.15">
      <c r="A1882" s="6" t="s">
        <v>619</v>
      </c>
      <c r="B1882" s="6" t="s">
        <v>1932</v>
      </c>
      <c r="C1882" s="7" t="s">
        <v>1933</v>
      </c>
      <c r="D1882" s="6">
        <v>61</v>
      </c>
      <c r="E1882" s="8" t="s">
        <v>2492</v>
      </c>
      <c r="F1882" s="6" t="s">
        <v>2493</v>
      </c>
      <c r="G1882" s="33" t="s">
        <v>12</v>
      </c>
    </row>
    <row r="1883" spans="1:7" ht="14" x14ac:dyDescent="0.15">
      <c r="A1883" s="6" t="s">
        <v>47</v>
      </c>
      <c r="B1883" s="6" t="s">
        <v>635</v>
      </c>
      <c r="C1883" s="7" t="s">
        <v>636</v>
      </c>
      <c r="D1883" s="6">
        <v>111</v>
      </c>
      <c r="E1883" s="8" t="s">
        <v>2494</v>
      </c>
      <c r="F1883" s="6" t="s">
        <v>2493</v>
      </c>
      <c r="G1883" s="33" t="s">
        <v>30</v>
      </c>
    </row>
    <row r="1884" spans="1:7" ht="14" x14ac:dyDescent="0.15">
      <c r="A1884" s="6" t="s">
        <v>47</v>
      </c>
      <c r="B1884" s="6" t="s">
        <v>635</v>
      </c>
      <c r="C1884" s="7" t="s">
        <v>636</v>
      </c>
      <c r="D1884" s="6">
        <v>115</v>
      </c>
      <c r="E1884" s="8" t="s">
        <v>2495</v>
      </c>
      <c r="F1884" s="6" t="s">
        <v>2493</v>
      </c>
      <c r="G1884" s="33" t="s">
        <v>30</v>
      </c>
    </row>
    <row r="1885" spans="1:7" ht="28" x14ac:dyDescent="0.15">
      <c r="A1885" s="6" t="s">
        <v>127</v>
      </c>
      <c r="B1885" s="6" t="s">
        <v>128</v>
      </c>
      <c r="C1885" s="7" t="s">
        <v>129</v>
      </c>
      <c r="D1885" s="6">
        <v>131</v>
      </c>
      <c r="E1885" s="8" t="s">
        <v>2496</v>
      </c>
      <c r="F1885" s="6" t="s">
        <v>2493</v>
      </c>
      <c r="G1885" s="33" t="s">
        <v>30</v>
      </c>
    </row>
    <row r="1886" spans="1:7" ht="14" x14ac:dyDescent="0.15">
      <c r="A1886" s="6" t="s">
        <v>131</v>
      </c>
      <c r="B1886" s="6" t="s">
        <v>132</v>
      </c>
      <c r="C1886" s="7" t="s">
        <v>133</v>
      </c>
      <c r="D1886" s="6">
        <v>173</v>
      </c>
      <c r="E1886" s="8" t="s">
        <v>2497</v>
      </c>
      <c r="F1886" s="6" t="s">
        <v>2493</v>
      </c>
      <c r="G1886" s="33" t="s">
        <v>30</v>
      </c>
    </row>
    <row r="1887" spans="1:7" ht="14" x14ac:dyDescent="0.15">
      <c r="A1887" s="6" t="s">
        <v>666</v>
      </c>
      <c r="B1887" s="6" t="s">
        <v>667</v>
      </c>
      <c r="C1887" s="7" t="s">
        <v>668</v>
      </c>
      <c r="D1887" s="6">
        <v>27</v>
      </c>
      <c r="E1887" s="8" t="s">
        <v>2498</v>
      </c>
      <c r="F1887" s="6" t="s">
        <v>2493</v>
      </c>
      <c r="G1887" s="33" t="s">
        <v>30</v>
      </c>
    </row>
    <row r="1888" spans="1:7" ht="14" x14ac:dyDescent="0.15">
      <c r="A1888" s="6" t="s">
        <v>666</v>
      </c>
      <c r="B1888" s="6" t="s">
        <v>667</v>
      </c>
      <c r="C1888" s="7" t="s">
        <v>668</v>
      </c>
      <c r="D1888" s="6">
        <v>33</v>
      </c>
      <c r="E1888" s="8" t="s">
        <v>2499</v>
      </c>
      <c r="F1888" s="6" t="s">
        <v>2493</v>
      </c>
      <c r="G1888" s="33" t="s">
        <v>23</v>
      </c>
    </row>
    <row r="1889" spans="1:7" ht="28" x14ac:dyDescent="0.15">
      <c r="A1889" s="6" t="s">
        <v>666</v>
      </c>
      <c r="B1889" s="6" t="s">
        <v>667</v>
      </c>
      <c r="C1889" s="7" t="s">
        <v>668</v>
      </c>
      <c r="D1889" s="6">
        <v>70</v>
      </c>
      <c r="E1889" s="8" t="s">
        <v>2500</v>
      </c>
      <c r="F1889" s="6" t="s">
        <v>2493</v>
      </c>
      <c r="G1889" s="33" t="s">
        <v>77</v>
      </c>
    </row>
    <row r="1890" spans="1:7" ht="28" x14ac:dyDescent="0.15">
      <c r="A1890" s="6" t="s">
        <v>666</v>
      </c>
      <c r="B1890" s="6" t="s">
        <v>667</v>
      </c>
      <c r="C1890" s="7" t="s">
        <v>668</v>
      </c>
      <c r="D1890" s="6">
        <v>81</v>
      </c>
      <c r="E1890" s="8" t="s">
        <v>2501</v>
      </c>
      <c r="F1890" s="6" t="s">
        <v>2493</v>
      </c>
      <c r="G1890" s="33" t="s">
        <v>77</v>
      </c>
    </row>
    <row r="1891" spans="1:7" ht="14" x14ac:dyDescent="0.15">
      <c r="A1891" s="6" t="s">
        <v>670</v>
      </c>
      <c r="B1891" s="6" t="s">
        <v>671</v>
      </c>
      <c r="C1891" s="7" t="s">
        <v>672</v>
      </c>
      <c r="D1891" s="6">
        <v>94</v>
      </c>
      <c r="E1891" s="8" t="s">
        <v>2502</v>
      </c>
      <c r="F1891" s="6" t="s">
        <v>2493</v>
      </c>
      <c r="G1891" s="33" t="s">
        <v>342</v>
      </c>
    </row>
    <row r="1892" spans="1:7" ht="14" x14ac:dyDescent="0.15">
      <c r="A1892" s="6" t="s">
        <v>670</v>
      </c>
      <c r="B1892" s="6" t="s">
        <v>671</v>
      </c>
      <c r="C1892" s="7" t="s">
        <v>672</v>
      </c>
      <c r="D1892" s="6">
        <v>209</v>
      </c>
      <c r="E1892" s="8" t="s">
        <v>2503</v>
      </c>
      <c r="F1892" s="6" t="s">
        <v>2493</v>
      </c>
      <c r="G1892" s="33" t="s">
        <v>30</v>
      </c>
    </row>
    <row r="1893" spans="1:7" ht="14" x14ac:dyDescent="0.15">
      <c r="A1893" s="6" t="s">
        <v>156</v>
      </c>
      <c r="B1893" s="6" t="s">
        <v>156</v>
      </c>
      <c r="C1893" s="7" t="s">
        <v>157</v>
      </c>
      <c r="D1893" s="6">
        <v>21</v>
      </c>
      <c r="E1893" s="8" t="s">
        <v>2504</v>
      </c>
      <c r="F1893" s="6" t="s">
        <v>2493</v>
      </c>
      <c r="G1893" s="33" t="s">
        <v>30</v>
      </c>
    </row>
    <row r="1894" spans="1:7" ht="14" x14ac:dyDescent="0.15">
      <c r="A1894" s="6" t="s">
        <v>156</v>
      </c>
      <c r="B1894" s="6" t="s">
        <v>156</v>
      </c>
      <c r="C1894" s="7" t="s">
        <v>157</v>
      </c>
      <c r="D1894" s="6">
        <v>23</v>
      </c>
      <c r="E1894" s="8" t="s">
        <v>2505</v>
      </c>
      <c r="F1894" s="6" t="s">
        <v>2493</v>
      </c>
      <c r="G1894" s="33" t="s">
        <v>30</v>
      </c>
    </row>
    <row r="1895" spans="1:7" ht="14" x14ac:dyDescent="0.15">
      <c r="A1895" s="6" t="s">
        <v>156</v>
      </c>
      <c r="B1895" s="6" t="s">
        <v>159</v>
      </c>
      <c r="C1895" s="7" t="s">
        <v>160</v>
      </c>
      <c r="D1895" s="6">
        <v>48</v>
      </c>
      <c r="E1895" s="8" t="s">
        <v>2506</v>
      </c>
      <c r="F1895" s="6" t="s">
        <v>2493</v>
      </c>
      <c r="G1895" s="33" t="s">
        <v>30</v>
      </c>
    </row>
    <row r="1896" spans="1:7" ht="14" x14ac:dyDescent="0.15">
      <c r="A1896" s="6" t="s">
        <v>156</v>
      </c>
      <c r="B1896" s="6" t="s">
        <v>159</v>
      </c>
      <c r="C1896" s="7" t="s">
        <v>160</v>
      </c>
      <c r="D1896" s="6">
        <v>298</v>
      </c>
      <c r="E1896" s="8" t="s">
        <v>2507</v>
      </c>
      <c r="F1896" s="6" t="s">
        <v>2493</v>
      </c>
      <c r="G1896" s="33" t="s">
        <v>18</v>
      </c>
    </row>
    <row r="1897" spans="1:7" ht="14" x14ac:dyDescent="0.15">
      <c r="A1897" s="6" t="s">
        <v>779</v>
      </c>
      <c r="B1897" s="6" t="s">
        <v>780</v>
      </c>
      <c r="C1897" s="7" t="s">
        <v>781</v>
      </c>
      <c r="D1897" s="6">
        <v>53</v>
      </c>
      <c r="E1897" s="8" t="s">
        <v>2508</v>
      </c>
      <c r="F1897" s="6" t="s">
        <v>2493</v>
      </c>
      <c r="G1897" s="33" t="s">
        <v>30</v>
      </c>
    </row>
    <row r="1898" spans="1:7" ht="14" x14ac:dyDescent="0.15">
      <c r="A1898" s="6" t="s">
        <v>779</v>
      </c>
      <c r="B1898" s="6" t="s">
        <v>780</v>
      </c>
      <c r="C1898" s="7" t="s">
        <v>781</v>
      </c>
      <c r="D1898" s="6">
        <v>56</v>
      </c>
      <c r="E1898" s="8" t="s">
        <v>2509</v>
      </c>
      <c r="F1898" s="6" t="s">
        <v>2493</v>
      </c>
      <c r="G1898" s="33" t="s">
        <v>30</v>
      </c>
    </row>
    <row r="1899" spans="1:7" ht="14" x14ac:dyDescent="0.15">
      <c r="A1899" s="6" t="s">
        <v>681</v>
      </c>
      <c r="B1899" s="6" t="s">
        <v>682</v>
      </c>
      <c r="C1899" s="7" t="s">
        <v>683</v>
      </c>
      <c r="D1899" s="6">
        <v>246</v>
      </c>
      <c r="E1899" s="8" t="s">
        <v>2510</v>
      </c>
      <c r="F1899" s="6" t="s">
        <v>2493</v>
      </c>
      <c r="G1899" s="33" t="s">
        <v>18</v>
      </c>
    </row>
    <row r="1900" spans="1:7" ht="14" x14ac:dyDescent="0.15">
      <c r="A1900" s="6" t="s">
        <v>681</v>
      </c>
      <c r="B1900" s="6" t="s">
        <v>682</v>
      </c>
      <c r="C1900" s="7" t="s">
        <v>683</v>
      </c>
      <c r="D1900" s="6">
        <v>298</v>
      </c>
      <c r="E1900" s="8" t="s">
        <v>2510</v>
      </c>
      <c r="F1900" s="6" t="s">
        <v>2493</v>
      </c>
      <c r="G1900" s="33" t="s">
        <v>18</v>
      </c>
    </row>
    <row r="1901" spans="1:7" ht="14" x14ac:dyDescent="0.15">
      <c r="A1901" s="6" t="s">
        <v>173</v>
      </c>
      <c r="B1901" s="6" t="s">
        <v>174</v>
      </c>
      <c r="C1901" s="7" t="s">
        <v>175</v>
      </c>
      <c r="D1901" s="6">
        <v>36</v>
      </c>
      <c r="E1901" s="8" t="s">
        <v>2511</v>
      </c>
      <c r="F1901" s="6" t="s">
        <v>2493</v>
      </c>
      <c r="G1901" s="33" t="s">
        <v>136</v>
      </c>
    </row>
    <row r="1902" spans="1:7" ht="14" x14ac:dyDescent="0.15">
      <c r="A1902" s="6" t="s">
        <v>173</v>
      </c>
      <c r="B1902" s="6" t="s">
        <v>174</v>
      </c>
      <c r="C1902" s="7" t="s">
        <v>175</v>
      </c>
      <c r="D1902" s="6">
        <v>177</v>
      </c>
      <c r="E1902" s="8" t="s">
        <v>2512</v>
      </c>
      <c r="F1902" s="6" t="s">
        <v>2493</v>
      </c>
      <c r="G1902" s="33" t="s">
        <v>30</v>
      </c>
    </row>
    <row r="1903" spans="1:7" ht="28" x14ac:dyDescent="0.15">
      <c r="A1903" s="6" t="s">
        <v>173</v>
      </c>
      <c r="B1903" s="6" t="s">
        <v>174</v>
      </c>
      <c r="C1903" s="7" t="s">
        <v>175</v>
      </c>
      <c r="D1903" s="6">
        <v>179</v>
      </c>
      <c r="E1903" s="8" t="s">
        <v>2513</v>
      </c>
      <c r="F1903" s="6" t="s">
        <v>2493</v>
      </c>
      <c r="G1903" s="33" t="s">
        <v>30</v>
      </c>
    </row>
    <row r="1904" spans="1:7" ht="28" x14ac:dyDescent="0.15">
      <c r="A1904" s="6" t="s">
        <v>173</v>
      </c>
      <c r="B1904" s="6" t="s">
        <v>174</v>
      </c>
      <c r="C1904" s="7" t="s">
        <v>175</v>
      </c>
      <c r="D1904" s="6">
        <v>180</v>
      </c>
      <c r="E1904" s="8" t="s">
        <v>2514</v>
      </c>
      <c r="F1904" s="6" t="s">
        <v>2493</v>
      </c>
      <c r="G1904" s="33" t="s">
        <v>30</v>
      </c>
    </row>
    <row r="1905" spans="1:7" ht="28" x14ac:dyDescent="0.15">
      <c r="A1905" s="6" t="s">
        <v>173</v>
      </c>
      <c r="B1905" s="6" t="s">
        <v>174</v>
      </c>
      <c r="C1905" s="7" t="s">
        <v>175</v>
      </c>
      <c r="D1905" s="6">
        <v>181</v>
      </c>
      <c r="E1905" s="8" t="s">
        <v>2515</v>
      </c>
      <c r="F1905" s="6" t="s">
        <v>2493</v>
      </c>
      <c r="G1905" s="33" t="s">
        <v>30</v>
      </c>
    </row>
    <row r="1906" spans="1:7" ht="28" x14ac:dyDescent="0.15">
      <c r="A1906" s="6" t="s">
        <v>173</v>
      </c>
      <c r="B1906" s="6" t="s">
        <v>174</v>
      </c>
      <c r="C1906" s="7" t="s">
        <v>175</v>
      </c>
      <c r="D1906" s="6">
        <v>182</v>
      </c>
      <c r="E1906" s="8" t="s">
        <v>2516</v>
      </c>
      <c r="F1906" s="6" t="s">
        <v>2493</v>
      </c>
      <c r="G1906" s="33" t="s">
        <v>30</v>
      </c>
    </row>
    <row r="1907" spans="1:7" ht="14" x14ac:dyDescent="0.15">
      <c r="A1907" s="6" t="s">
        <v>105</v>
      </c>
      <c r="B1907" s="6" t="s">
        <v>106</v>
      </c>
      <c r="C1907" s="7" t="s">
        <v>107</v>
      </c>
      <c r="D1907" s="6">
        <v>257</v>
      </c>
      <c r="E1907" s="8" t="s">
        <v>2517</v>
      </c>
      <c r="F1907" s="6" t="s">
        <v>2493</v>
      </c>
      <c r="G1907" s="33" t="s">
        <v>77</v>
      </c>
    </row>
    <row r="1908" spans="1:7" ht="14" x14ac:dyDescent="0.15">
      <c r="A1908" s="6" t="s">
        <v>185</v>
      </c>
      <c r="B1908" s="6" t="s">
        <v>186</v>
      </c>
      <c r="C1908" s="7" t="s">
        <v>187</v>
      </c>
      <c r="D1908" s="6">
        <v>3</v>
      </c>
      <c r="E1908" s="8" t="s">
        <v>2518</v>
      </c>
      <c r="F1908" s="6" t="s">
        <v>2493</v>
      </c>
      <c r="G1908" s="33" t="s">
        <v>77</v>
      </c>
    </row>
    <row r="1909" spans="1:7" ht="28" x14ac:dyDescent="0.15">
      <c r="A1909" s="6" t="s">
        <v>185</v>
      </c>
      <c r="B1909" s="6" t="s">
        <v>186</v>
      </c>
      <c r="C1909" s="7" t="s">
        <v>187</v>
      </c>
      <c r="D1909" s="6">
        <v>74</v>
      </c>
      <c r="E1909" s="8" t="s">
        <v>2519</v>
      </c>
      <c r="F1909" s="6" t="s">
        <v>2493</v>
      </c>
      <c r="G1909" s="33" t="s">
        <v>12</v>
      </c>
    </row>
    <row r="1910" spans="1:7" ht="14" x14ac:dyDescent="0.15">
      <c r="A1910" s="6" t="s">
        <v>2520</v>
      </c>
      <c r="B1910" s="6" t="s">
        <v>2521</v>
      </c>
      <c r="C1910" s="7" t="s">
        <v>2522</v>
      </c>
      <c r="D1910" s="6">
        <v>3</v>
      </c>
      <c r="E1910" s="8" t="s">
        <v>2523</v>
      </c>
      <c r="F1910" s="6" t="s">
        <v>2493</v>
      </c>
      <c r="G1910" s="33" t="s">
        <v>136</v>
      </c>
    </row>
    <row r="1911" spans="1:7" ht="14" x14ac:dyDescent="0.15">
      <c r="A1911" s="6" t="s">
        <v>73</v>
      </c>
      <c r="B1911" s="6" t="s">
        <v>74</v>
      </c>
      <c r="C1911" s="7" t="s">
        <v>75</v>
      </c>
      <c r="D1911" s="6">
        <v>29</v>
      </c>
      <c r="E1911" s="8" t="s">
        <v>2524</v>
      </c>
      <c r="F1911" s="6" t="s">
        <v>2493</v>
      </c>
      <c r="G1911" s="33" t="s">
        <v>30</v>
      </c>
    </row>
    <row r="1912" spans="1:7" ht="14" x14ac:dyDescent="0.15">
      <c r="A1912" s="6" t="s">
        <v>73</v>
      </c>
      <c r="B1912" s="6" t="s">
        <v>74</v>
      </c>
      <c r="C1912" s="7" t="s">
        <v>75</v>
      </c>
      <c r="D1912" s="6">
        <v>30</v>
      </c>
      <c r="E1912" s="8" t="s">
        <v>2525</v>
      </c>
      <c r="F1912" s="6" t="s">
        <v>2493</v>
      </c>
      <c r="G1912" s="33" t="s">
        <v>30</v>
      </c>
    </row>
    <row r="1913" spans="1:7" ht="14" x14ac:dyDescent="0.15">
      <c r="A1913" s="6" t="s">
        <v>73</v>
      </c>
      <c r="B1913" s="6" t="s">
        <v>74</v>
      </c>
      <c r="C1913" s="7" t="s">
        <v>75</v>
      </c>
      <c r="D1913" s="6">
        <v>40</v>
      </c>
      <c r="E1913" s="8" t="s">
        <v>2526</v>
      </c>
      <c r="F1913" s="6" t="s">
        <v>2493</v>
      </c>
      <c r="G1913" s="33" t="s">
        <v>83</v>
      </c>
    </row>
    <row r="1914" spans="1:7" ht="14" x14ac:dyDescent="0.15">
      <c r="A1914" s="6" t="s">
        <v>73</v>
      </c>
      <c r="B1914" s="6" t="s">
        <v>74</v>
      </c>
      <c r="C1914" s="7" t="s">
        <v>75</v>
      </c>
      <c r="D1914" s="6">
        <v>264</v>
      </c>
      <c r="E1914" s="8" t="s">
        <v>2527</v>
      </c>
      <c r="F1914" s="6" t="s">
        <v>2493</v>
      </c>
      <c r="G1914" s="33" t="s">
        <v>67</v>
      </c>
    </row>
    <row r="1915" spans="1:7" ht="14" x14ac:dyDescent="0.15">
      <c r="A1915" s="6" t="s">
        <v>73</v>
      </c>
      <c r="B1915" s="6" t="s">
        <v>74</v>
      </c>
      <c r="C1915" s="7" t="s">
        <v>75</v>
      </c>
      <c r="D1915" s="6">
        <v>275</v>
      </c>
      <c r="E1915" s="8" t="s">
        <v>2528</v>
      </c>
      <c r="F1915" s="6" t="s">
        <v>2493</v>
      </c>
      <c r="G1915" s="33" t="s">
        <v>67</v>
      </c>
    </row>
    <row r="1916" spans="1:7" ht="14" x14ac:dyDescent="0.15">
      <c r="A1916" s="6" t="s">
        <v>1454</v>
      </c>
      <c r="B1916" s="6" t="s">
        <v>1455</v>
      </c>
      <c r="C1916" s="7" t="s">
        <v>1456</v>
      </c>
      <c r="D1916" s="6">
        <v>79</v>
      </c>
      <c r="E1916" s="8" t="s">
        <v>2529</v>
      </c>
      <c r="F1916" s="6" t="s">
        <v>2493</v>
      </c>
      <c r="G1916" s="33" t="s">
        <v>88</v>
      </c>
    </row>
    <row r="1917" spans="1:7" ht="14" x14ac:dyDescent="0.15">
      <c r="A1917" s="6" t="s">
        <v>2530</v>
      </c>
      <c r="B1917" s="6" t="s">
        <v>2531</v>
      </c>
      <c r="C1917" s="7" t="s">
        <v>2532</v>
      </c>
      <c r="D1917" s="6">
        <v>35</v>
      </c>
      <c r="E1917" s="8" t="s">
        <v>2533</v>
      </c>
      <c r="F1917" s="6" t="s">
        <v>2493</v>
      </c>
      <c r="G1917" s="33" t="s">
        <v>136</v>
      </c>
    </row>
    <row r="1918" spans="1:7" ht="14" x14ac:dyDescent="0.15">
      <c r="A1918" s="6" t="s">
        <v>205</v>
      </c>
      <c r="B1918" s="6" t="s">
        <v>206</v>
      </c>
      <c r="C1918" s="7" t="s">
        <v>207</v>
      </c>
      <c r="D1918" s="6">
        <v>66</v>
      </c>
      <c r="E1918" s="8" t="s">
        <v>2534</v>
      </c>
      <c r="F1918" s="6" t="s">
        <v>2493</v>
      </c>
      <c r="G1918" s="33" t="s">
        <v>83</v>
      </c>
    </row>
    <row r="1919" spans="1:7" ht="14" x14ac:dyDescent="0.15">
      <c r="A1919" s="6" t="s">
        <v>215</v>
      </c>
      <c r="B1919" s="6" t="s">
        <v>216</v>
      </c>
      <c r="C1919" s="7" t="s">
        <v>217</v>
      </c>
      <c r="D1919" s="6">
        <v>45</v>
      </c>
      <c r="E1919" s="8" t="s">
        <v>2535</v>
      </c>
      <c r="F1919" s="6" t="s">
        <v>2493</v>
      </c>
      <c r="G1919" s="33" t="s">
        <v>12</v>
      </c>
    </row>
    <row r="1920" spans="1:7" ht="14" x14ac:dyDescent="0.15">
      <c r="A1920" s="6" t="s">
        <v>7</v>
      </c>
      <c r="B1920" s="6" t="s">
        <v>8</v>
      </c>
      <c r="C1920" s="7" t="s">
        <v>9</v>
      </c>
      <c r="D1920" s="6">
        <v>71</v>
      </c>
      <c r="E1920" s="8" t="s">
        <v>2536</v>
      </c>
      <c r="F1920" s="6" t="s">
        <v>2493</v>
      </c>
      <c r="G1920" s="33" t="s">
        <v>88</v>
      </c>
    </row>
    <row r="1921" spans="1:7" ht="14" x14ac:dyDescent="0.15">
      <c r="A1921" s="6" t="s">
        <v>7</v>
      </c>
      <c r="B1921" s="6" t="s">
        <v>8</v>
      </c>
      <c r="C1921" s="7" t="s">
        <v>9</v>
      </c>
      <c r="D1921" s="6">
        <v>73</v>
      </c>
      <c r="E1921" s="8" t="s">
        <v>2537</v>
      </c>
      <c r="F1921" s="6" t="s">
        <v>2493</v>
      </c>
      <c r="G1921" s="33" t="s">
        <v>342</v>
      </c>
    </row>
    <row r="1922" spans="1:7" ht="14" x14ac:dyDescent="0.15">
      <c r="A1922" s="6" t="s">
        <v>7</v>
      </c>
      <c r="B1922" s="6" t="s">
        <v>8</v>
      </c>
      <c r="C1922" s="7" t="s">
        <v>9</v>
      </c>
      <c r="D1922" s="6">
        <v>74</v>
      </c>
      <c r="E1922" s="8" t="s">
        <v>2538</v>
      </c>
      <c r="F1922" s="6" t="s">
        <v>2493</v>
      </c>
      <c r="G1922" s="33" t="s">
        <v>30</v>
      </c>
    </row>
    <row r="1923" spans="1:7" ht="14" x14ac:dyDescent="0.15">
      <c r="A1923" s="6" t="s">
        <v>808</v>
      </c>
      <c r="B1923" s="6" t="s">
        <v>809</v>
      </c>
      <c r="C1923" s="7" t="s">
        <v>810</v>
      </c>
      <c r="D1923" s="6">
        <v>49</v>
      </c>
      <c r="E1923" s="8" t="s">
        <v>2539</v>
      </c>
      <c r="F1923" s="6" t="s">
        <v>2493</v>
      </c>
      <c r="G1923" s="33" t="s">
        <v>342</v>
      </c>
    </row>
    <row r="1924" spans="1:7" ht="14" x14ac:dyDescent="0.15">
      <c r="A1924" s="6" t="s">
        <v>808</v>
      </c>
      <c r="B1924" s="6" t="s">
        <v>809</v>
      </c>
      <c r="C1924" s="7" t="s">
        <v>810</v>
      </c>
      <c r="D1924" s="6">
        <v>51</v>
      </c>
      <c r="E1924" s="8" t="s">
        <v>2540</v>
      </c>
      <c r="F1924" s="6" t="s">
        <v>2493</v>
      </c>
      <c r="G1924" s="33" t="s">
        <v>342</v>
      </c>
    </row>
    <row r="1925" spans="1:7" ht="14" x14ac:dyDescent="0.15">
      <c r="A1925" s="6" t="s">
        <v>808</v>
      </c>
      <c r="B1925" s="6" t="s">
        <v>809</v>
      </c>
      <c r="C1925" s="7" t="s">
        <v>810</v>
      </c>
      <c r="D1925" s="6">
        <v>70</v>
      </c>
      <c r="E1925" s="8" t="s">
        <v>2541</v>
      </c>
      <c r="F1925" s="6" t="s">
        <v>2493</v>
      </c>
      <c r="G1925" s="33" t="s">
        <v>88</v>
      </c>
    </row>
    <row r="1926" spans="1:7" ht="28" x14ac:dyDescent="0.15">
      <c r="A1926" s="6" t="s">
        <v>599</v>
      </c>
      <c r="B1926" s="6" t="s">
        <v>599</v>
      </c>
      <c r="C1926" s="7" t="s">
        <v>600</v>
      </c>
      <c r="D1926" s="6">
        <v>184</v>
      </c>
      <c r="E1926" s="8" t="s">
        <v>2542</v>
      </c>
      <c r="F1926" s="6" t="s">
        <v>2493</v>
      </c>
      <c r="G1926" s="33" t="s">
        <v>30</v>
      </c>
    </row>
    <row r="1927" spans="1:7" ht="14" x14ac:dyDescent="0.15">
      <c r="A1927" s="6" t="s">
        <v>13</v>
      </c>
      <c r="B1927" s="6" t="s">
        <v>14</v>
      </c>
      <c r="C1927" s="7" t="s">
        <v>15</v>
      </c>
      <c r="D1927" s="6">
        <v>89</v>
      </c>
      <c r="E1927" s="8" t="s">
        <v>2543</v>
      </c>
      <c r="F1927" s="6" t="s">
        <v>2544</v>
      </c>
      <c r="G1927" s="33" t="s">
        <v>18</v>
      </c>
    </row>
    <row r="1928" spans="1:7" ht="28" x14ac:dyDescent="0.15">
      <c r="A1928" s="6" t="s">
        <v>842</v>
      </c>
      <c r="B1928" s="6" t="s">
        <v>843</v>
      </c>
      <c r="C1928" s="7" t="s">
        <v>844</v>
      </c>
      <c r="D1928" s="6">
        <v>76</v>
      </c>
      <c r="E1928" s="8" t="s">
        <v>2545</v>
      </c>
      <c r="F1928" s="6" t="s">
        <v>2493</v>
      </c>
      <c r="G1928" s="33" t="s">
        <v>18</v>
      </c>
    </row>
    <row r="1929" spans="1:7" ht="14" x14ac:dyDescent="0.15">
      <c r="A1929" s="6" t="s">
        <v>851</v>
      </c>
      <c r="B1929" s="6" t="s">
        <v>852</v>
      </c>
      <c r="C1929" s="7" t="s">
        <v>853</v>
      </c>
      <c r="D1929" s="6">
        <v>74</v>
      </c>
      <c r="E1929" s="8" t="s">
        <v>2546</v>
      </c>
      <c r="F1929" s="6" t="s">
        <v>2493</v>
      </c>
      <c r="G1929" s="33" t="s">
        <v>136</v>
      </c>
    </row>
    <row r="1930" spans="1:7" ht="14" x14ac:dyDescent="0.15">
      <c r="A1930" s="6" t="s">
        <v>2547</v>
      </c>
      <c r="B1930" s="6" t="s">
        <v>2548</v>
      </c>
      <c r="C1930" s="7" t="s">
        <v>2549</v>
      </c>
      <c r="D1930" s="6">
        <v>18</v>
      </c>
      <c r="E1930" s="8" t="s">
        <v>2550</v>
      </c>
      <c r="F1930" s="6" t="s">
        <v>2493</v>
      </c>
      <c r="G1930" s="33" t="s">
        <v>30</v>
      </c>
    </row>
    <row r="1931" spans="1:7" ht="14" x14ac:dyDescent="0.15">
      <c r="A1931" s="6" t="s">
        <v>232</v>
      </c>
      <c r="B1931" s="6" t="s">
        <v>233</v>
      </c>
      <c r="C1931" s="7" t="s">
        <v>234</v>
      </c>
      <c r="D1931" s="6">
        <v>126</v>
      </c>
      <c r="E1931" s="8" t="s">
        <v>2551</v>
      </c>
      <c r="F1931" s="6" t="s">
        <v>2493</v>
      </c>
      <c r="G1931" s="33" t="s">
        <v>83</v>
      </c>
    </row>
    <row r="1932" spans="1:7" ht="14" x14ac:dyDescent="0.15">
      <c r="A1932" s="6" t="s">
        <v>232</v>
      </c>
      <c r="B1932" s="6" t="s">
        <v>233</v>
      </c>
      <c r="C1932" s="7" t="s">
        <v>234</v>
      </c>
      <c r="D1932" s="6">
        <v>132</v>
      </c>
      <c r="E1932" s="8" t="s">
        <v>2552</v>
      </c>
      <c r="F1932" s="6" t="s">
        <v>2493</v>
      </c>
      <c r="G1932" s="33" t="s">
        <v>30</v>
      </c>
    </row>
    <row r="1933" spans="1:7" ht="14" x14ac:dyDescent="0.15">
      <c r="A1933" s="6" t="s">
        <v>232</v>
      </c>
      <c r="B1933" s="6" t="s">
        <v>233</v>
      </c>
      <c r="C1933" s="7" t="s">
        <v>234</v>
      </c>
      <c r="D1933" s="6">
        <v>133</v>
      </c>
      <c r="E1933" s="8" t="s">
        <v>2553</v>
      </c>
      <c r="F1933" s="6" t="s">
        <v>2493</v>
      </c>
      <c r="G1933" s="33" t="s">
        <v>30</v>
      </c>
    </row>
    <row r="1934" spans="1:7" ht="14" x14ac:dyDescent="0.15">
      <c r="A1934" s="6" t="s">
        <v>232</v>
      </c>
      <c r="B1934" s="6" t="s">
        <v>233</v>
      </c>
      <c r="C1934" s="7" t="s">
        <v>234</v>
      </c>
      <c r="D1934" s="6">
        <v>134</v>
      </c>
      <c r="E1934" s="8" t="s">
        <v>2554</v>
      </c>
      <c r="F1934" s="6" t="s">
        <v>2493</v>
      </c>
      <c r="G1934" s="33" t="s">
        <v>30</v>
      </c>
    </row>
    <row r="1935" spans="1:7" ht="14" x14ac:dyDescent="0.15">
      <c r="A1935" s="6" t="s">
        <v>232</v>
      </c>
      <c r="B1935" s="6" t="s">
        <v>233</v>
      </c>
      <c r="C1935" s="7" t="s">
        <v>234</v>
      </c>
      <c r="D1935" s="6">
        <v>136</v>
      </c>
      <c r="E1935" s="8" t="s">
        <v>2555</v>
      </c>
      <c r="F1935" s="6" t="s">
        <v>2493</v>
      </c>
      <c r="G1935" s="33" t="s">
        <v>30</v>
      </c>
    </row>
    <row r="1936" spans="1:7" ht="14" x14ac:dyDescent="0.15">
      <c r="A1936" s="6" t="s">
        <v>232</v>
      </c>
      <c r="B1936" s="6" t="s">
        <v>233</v>
      </c>
      <c r="C1936" s="7" t="s">
        <v>234</v>
      </c>
      <c r="D1936" s="6">
        <v>137</v>
      </c>
      <c r="E1936" s="8" t="s">
        <v>2556</v>
      </c>
      <c r="F1936" s="6" t="s">
        <v>2493</v>
      </c>
      <c r="G1936" s="33" t="s">
        <v>30</v>
      </c>
    </row>
    <row r="1937" spans="1:7" ht="14" x14ac:dyDescent="0.15">
      <c r="A1937" s="6" t="s">
        <v>232</v>
      </c>
      <c r="B1937" s="6" t="s">
        <v>233</v>
      </c>
      <c r="C1937" s="7" t="s">
        <v>234</v>
      </c>
      <c r="D1937" s="6">
        <v>178</v>
      </c>
      <c r="E1937" s="8" t="s">
        <v>2557</v>
      </c>
      <c r="F1937" s="6" t="s">
        <v>2493</v>
      </c>
      <c r="G1937" s="33" t="s">
        <v>30</v>
      </c>
    </row>
    <row r="1938" spans="1:7" ht="14" x14ac:dyDescent="0.15">
      <c r="A1938" s="6" t="s">
        <v>232</v>
      </c>
      <c r="B1938" s="6" t="s">
        <v>233</v>
      </c>
      <c r="C1938" s="7" t="s">
        <v>234</v>
      </c>
      <c r="D1938" s="6">
        <v>180</v>
      </c>
      <c r="E1938" s="8" t="s">
        <v>2558</v>
      </c>
      <c r="F1938" s="6" t="s">
        <v>2493</v>
      </c>
      <c r="G1938" s="33" t="s">
        <v>83</v>
      </c>
    </row>
    <row r="1939" spans="1:7" ht="14" x14ac:dyDescent="0.15">
      <c r="A1939" s="6" t="s">
        <v>232</v>
      </c>
      <c r="B1939" s="6" t="s">
        <v>233</v>
      </c>
      <c r="C1939" s="7" t="s">
        <v>234</v>
      </c>
      <c r="D1939" s="6">
        <v>194</v>
      </c>
      <c r="E1939" s="8" t="s">
        <v>2559</v>
      </c>
      <c r="F1939" s="6" t="s">
        <v>2493</v>
      </c>
      <c r="G1939" s="33" t="s">
        <v>30</v>
      </c>
    </row>
    <row r="1940" spans="1:7" ht="14" x14ac:dyDescent="0.15">
      <c r="A1940" s="6" t="s">
        <v>232</v>
      </c>
      <c r="B1940" s="6" t="s">
        <v>233</v>
      </c>
      <c r="C1940" s="7" t="s">
        <v>234</v>
      </c>
      <c r="D1940" s="6">
        <v>208</v>
      </c>
      <c r="E1940" s="8" t="s">
        <v>2560</v>
      </c>
      <c r="F1940" s="6" t="s">
        <v>2493</v>
      </c>
      <c r="G1940" s="33" t="s">
        <v>30</v>
      </c>
    </row>
    <row r="1941" spans="1:7" ht="14" x14ac:dyDescent="0.15">
      <c r="A1941" s="6" t="s">
        <v>232</v>
      </c>
      <c r="B1941" s="6" t="s">
        <v>233</v>
      </c>
      <c r="C1941" s="7" t="s">
        <v>234</v>
      </c>
      <c r="D1941" s="6">
        <v>209</v>
      </c>
      <c r="E1941" s="8" t="s">
        <v>2561</v>
      </c>
      <c r="F1941" s="6" t="s">
        <v>2493</v>
      </c>
      <c r="G1941" s="33" t="s">
        <v>30</v>
      </c>
    </row>
    <row r="1942" spans="1:7" ht="14" x14ac:dyDescent="0.15">
      <c r="A1942" s="6" t="s">
        <v>25</v>
      </c>
      <c r="B1942" s="6" t="s">
        <v>238</v>
      </c>
      <c r="C1942" s="7" t="s">
        <v>239</v>
      </c>
      <c r="D1942" s="6">
        <v>39</v>
      </c>
      <c r="E1942" s="8" t="s">
        <v>2562</v>
      </c>
      <c r="F1942" s="6" t="s">
        <v>2493</v>
      </c>
      <c r="G1942" s="33" t="s">
        <v>30</v>
      </c>
    </row>
    <row r="1943" spans="1:7" ht="14" x14ac:dyDescent="0.15">
      <c r="A1943" s="6" t="s">
        <v>25</v>
      </c>
      <c r="B1943" s="6" t="s">
        <v>238</v>
      </c>
      <c r="C1943" s="7" t="s">
        <v>239</v>
      </c>
      <c r="D1943" s="6">
        <v>41</v>
      </c>
      <c r="E1943" s="8" t="s">
        <v>2563</v>
      </c>
      <c r="F1943" s="6" t="s">
        <v>2493</v>
      </c>
      <c r="G1943" s="33" t="s">
        <v>30</v>
      </c>
    </row>
    <row r="1944" spans="1:7" ht="14" x14ac:dyDescent="0.15">
      <c r="A1944" s="6" t="s">
        <v>254</v>
      </c>
      <c r="B1944" s="6" t="s">
        <v>255</v>
      </c>
      <c r="C1944" s="7" t="s">
        <v>256</v>
      </c>
      <c r="D1944" s="6">
        <v>66</v>
      </c>
      <c r="E1944" s="8" t="s">
        <v>2564</v>
      </c>
      <c r="F1944" s="6" t="s">
        <v>2493</v>
      </c>
      <c r="G1944" s="33" t="s">
        <v>30</v>
      </c>
    </row>
    <row r="1945" spans="1:7" ht="14" x14ac:dyDescent="0.15">
      <c r="A1945" s="6" t="s">
        <v>254</v>
      </c>
      <c r="B1945" s="6" t="s">
        <v>255</v>
      </c>
      <c r="C1945" s="7" t="s">
        <v>256</v>
      </c>
      <c r="D1945" s="6">
        <v>67</v>
      </c>
      <c r="E1945" s="8" t="s">
        <v>2565</v>
      </c>
      <c r="F1945" s="6" t="s">
        <v>2493</v>
      </c>
      <c r="G1945" s="33" t="s">
        <v>83</v>
      </c>
    </row>
    <row r="1946" spans="1:7" ht="14" x14ac:dyDescent="0.15">
      <c r="A1946" s="6" t="s">
        <v>254</v>
      </c>
      <c r="B1946" s="6" t="s">
        <v>255</v>
      </c>
      <c r="C1946" s="7" t="s">
        <v>256</v>
      </c>
      <c r="D1946" s="6">
        <v>68</v>
      </c>
      <c r="E1946" s="8" t="s">
        <v>2566</v>
      </c>
      <c r="F1946" s="6" t="s">
        <v>2493</v>
      </c>
      <c r="G1946" s="33" t="s">
        <v>83</v>
      </c>
    </row>
    <row r="1947" spans="1:7" ht="14" x14ac:dyDescent="0.15">
      <c r="A1947" s="6" t="s">
        <v>254</v>
      </c>
      <c r="B1947" s="6" t="s">
        <v>255</v>
      </c>
      <c r="C1947" s="7" t="s">
        <v>256</v>
      </c>
      <c r="D1947" s="6">
        <v>77</v>
      </c>
      <c r="E1947" s="8" t="s">
        <v>2567</v>
      </c>
      <c r="F1947" s="6" t="s">
        <v>2493</v>
      </c>
      <c r="G1947" s="33" t="s">
        <v>30</v>
      </c>
    </row>
    <row r="1948" spans="1:7" ht="14" x14ac:dyDescent="0.15">
      <c r="A1948" s="6" t="s">
        <v>254</v>
      </c>
      <c r="B1948" s="6" t="s">
        <v>255</v>
      </c>
      <c r="C1948" s="7" t="s">
        <v>256</v>
      </c>
      <c r="D1948" s="6">
        <v>250</v>
      </c>
      <c r="E1948" s="8" t="s">
        <v>2568</v>
      </c>
      <c r="F1948" s="6" t="s">
        <v>2493</v>
      </c>
      <c r="G1948" s="33" t="s">
        <v>88</v>
      </c>
    </row>
    <row r="1949" spans="1:7" ht="14" x14ac:dyDescent="0.15">
      <c r="A1949" s="6" t="s">
        <v>2569</v>
      </c>
      <c r="B1949" s="6" t="s">
        <v>2570</v>
      </c>
      <c r="C1949" s="7" t="s">
        <v>2571</v>
      </c>
      <c r="D1949" s="6">
        <v>29</v>
      </c>
      <c r="E1949" s="8" t="s">
        <v>2572</v>
      </c>
      <c r="F1949" s="6" t="s">
        <v>2493</v>
      </c>
      <c r="G1949" s="33" t="s">
        <v>30</v>
      </c>
    </row>
    <row r="1950" spans="1:7" ht="14" x14ac:dyDescent="0.15">
      <c r="A1950" s="6" t="s">
        <v>2569</v>
      </c>
      <c r="B1950" s="6" t="s">
        <v>2570</v>
      </c>
      <c r="C1950" s="7" t="s">
        <v>2571</v>
      </c>
      <c r="D1950" s="6">
        <v>30</v>
      </c>
      <c r="E1950" s="8" t="s">
        <v>2573</v>
      </c>
      <c r="F1950" s="6" t="s">
        <v>2493</v>
      </c>
      <c r="G1950" s="33" t="s">
        <v>30</v>
      </c>
    </row>
    <row r="1951" spans="1:7" ht="14" x14ac:dyDescent="0.15">
      <c r="A1951" s="6" t="s">
        <v>31</v>
      </c>
      <c r="B1951" s="6" t="s">
        <v>165</v>
      </c>
      <c r="C1951" s="7" t="s">
        <v>916</v>
      </c>
      <c r="D1951" s="6">
        <v>58</v>
      </c>
      <c r="E1951" s="8" t="s">
        <v>2574</v>
      </c>
      <c r="F1951" s="6" t="s">
        <v>2493</v>
      </c>
      <c r="G1951" s="33" t="s">
        <v>30</v>
      </c>
    </row>
    <row r="1952" spans="1:7" ht="14" x14ac:dyDescent="0.15">
      <c r="A1952" s="6" t="s">
        <v>275</v>
      </c>
      <c r="B1952" s="6" t="s">
        <v>276</v>
      </c>
      <c r="C1952" s="7" t="s">
        <v>277</v>
      </c>
      <c r="D1952" s="6">
        <v>14</v>
      </c>
      <c r="E1952" s="8" t="s">
        <v>2575</v>
      </c>
      <c r="F1952" s="6" t="s">
        <v>2493</v>
      </c>
      <c r="G1952" s="33" t="s">
        <v>30</v>
      </c>
    </row>
    <row r="1953" spans="1:7" ht="14" x14ac:dyDescent="0.15">
      <c r="A1953" s="6" t="s">
        <v>932</v>
      </c>
      <c r="B1953" s="6" t="s">
        <v>933</v>
      </c>
      <c r="C1953" s="7" t="s">
        <v>934</v>
      </c>
      <c r="D1953" s="6">
        <v>106</v>
      </c>
      <c r="E1953" s="8" t="s">
        <v>2576</v>
      </c>
      <c r="F1953" s="6" t="s">
        <v>2493</v>
      </c>
      <c r="G1953" s="33" t="s">
        <v>23</v>
      </c>
    </row>
    <row r="1954" spans="1:7" ht="14" x14ac:dyDescent="0.15">
      <c r="A1954" s="6" t="s">
        <v>287</v>
      </c>
      <c r="B1954" s="6" t="s">
        <v>288</v>
      </c>
      <c r="C1954" s="7" t="s">
        <v>289</v>
      </c>
      <c r="D1954" s="6">
        <v>16</v>
      </c>
      <c r="E1954" s="8" t="s">
        <v>2577</v>
      </c>
      <c r="F1954" s="6" t="s">
        <v>2493</v>
      </c>
      <c r="G1954" s="33" t="s">
        <v>83</v>
      </c>
    </row>
    <row r="1955" spans="1:7" ht="14" x14ac:dyDescent="0.15">
      <c r="A1955" s="6" t="s">
        <v>287</v>
      </c>
      <c r="B1955" s="6" t="s">
        <v>288</v>
      </c>
      <c r="C1955" s="7" t="s">
        <v>289</v>
      </c>
      <c r="D1955" s="6">
        <v>65</v>
      </c>
      <c r="E1955" s="8" t="s">
        <v>2578</v>
      </c>
      <c r="F1955" s="6" t="s">
        <v>2493</v>
      </c>
      <c r="G1955" s="33" t="s">
        <v>18</v>
      </c>
    </row>
    <row r="1956" spans="1:7" ht="14" x14ac:dyDescent="0.15">
      <c r="A1956" s="6" t="s">
        <v>2154</v>
      </c>
      <c r="B1956" s="6" t="s">
        <v>2155</v>
      </c>
      <c r="C1956" s="7" t="s">
        <v>2156</v>
      </c>
      <c r="D1956" s="6">
        <v>10</v>
      </c>
      <c r="E1956" s="8" t="s">
        <v>2579</v>
      </c>
      <c r="F1956" s="6" t="s">
        <v>2493</v>
      </c>
      <c r="G1956" s="33" t="s">
        <v>136</v>
      </c>
    </row>
    <row r="1957" spans="1:7" ht="28" x14ac:dyDescent="0.15">
      <c r="A1957" s="6" t="s">
        <v>291</v>
      </c>
      <c r="B1957" s="6" t="s">
        <v>292</v>
      </c>
      <c r="C1957" s="7" t="s">
        <v>293</v>
      </c>
      <c r="D1957" s="6">
        <v>51</v>
      </c>
      <c r="E1957" s="8" t="s">
        <v>2580</v>
      </c>
      <c r="F1957" s="6" t="s">
        <v>2493</v>
      </c>
      <c r="G1957" s="33" t="s">
        <v>30</v>
      </c>
    </row>
    <row r="1958" spans="1:7" ht="14" x14ac:dyDescent="0.15">
      <c r="A1958" s="6" t="s">
        <v>301</v>
      </c>
      <c r="B1958" s="6" t="s">
        <v>301</v>
      </c>
      <c r="C1958" s="7" t="s">
        <v>306</v>
      </c>
      <c r="D1958" s="6">
        <v>49</v>
      </c>
      <c r="E1958" s="8" t="s">
        <v>2581</v>
      </c>
      <c r="F1958" s="6" t="s">
        <v>2493</v>
      </c>
      <c r="G1958" s="33" t="s">
        <v>30</v>
      </c>
    </row>
    <row r="1959" spans="1:7" ht="14" x14ac:dyDescent="0.15">
      <c r="A1959" s="6" t="s">
        <v>953</v>
      </c>
      <c r="B1959" s="6" t="s">
        <v>954</v>
      </c>
      <c r="C1959" s="7" t="s">
        <v>955</v>
      </c>
      <c r="D1959" s="6">
        <v>11</v>
      </c>
      <c r="E1959" s="8" t="s">
        <v>2582</v>
      </c>
      <c r="F1959" s="6" t="s">
        <v>2493</v>
      </c>
      <c r="G1959" s="33" t="s">
        <v>18</v>
      </c>
    </row>
    <row r="1960" spans="1:7" ht="14" x14ac:dyDescent="0.15">
      <c r="A1960" s="6" t="s">
        <v>953</v>
      </c>
      <c r="B1960" s="6" t="s">
        <v>954</v>
      </c>
      <c r="C1960" s="7" t="s">
        <v>955</v>
      </c>
      <c r="D1960" s="6">
        <v>70</v>
      </c>
      <c r="E1960" s="8" t="s">
        <v>2583</v>
      </c>
      <c r="F1960" s="6" t="s">
        <v>2493</v>
      </c>
      <c r="G1960" s="33" t="s">
        <v>30</v>
      </c>
    </row>
    <row r="1961" spans="1:7" ht="14" x14ac:dyDescent="0.15">
      <c r="A1961" s="6" t="s">
        <v>35</v>
      </c>
      <c r="B1961" s="6" t="s">
        <v>36</v>
      </c>
      <c r="C1961" s="7" t="s">
        <v>37</v>
      </c>
      <c r="D1961" s="6">
        <v>19</v>
      </c>
      <c r="E1961" s="8" t="s">
        <v>2584</v>
      </c>
      <c r="F1961" s="6" t="s">
        <v>2493</v>
      </c>
      <c r="G1961" s="33" t="s">
        <v>83</v>
      </c>
    </row>
    <row r="1962" spans="1:7" ht="14" x14ac:dyDescent="0.15">
      <c r="A1962" s="6" t="s">
        <v>325</v>
      </c>
      <c r="B1962" s="6" t="s">
        <v>326</v>
      </c>
      <c r="C1962" s="7" t="s">
        <v>327</v>
      </c>
      <c r="D1962" s="6">
        <v>188</v>
      </c>
      <c r="E1962" s="8" t="s">
        <v>2585</v>
      </c>
      <c r="F1962" s="6" t="s">
        <v>2493</v>
      </c>
      <c r="G1962" s="33" t="s">
        <v>12</v>
      </c>
    </row>
    <row r="1963" spans="1:7" ht="14" x14ac:dyDescent="0.15">
      <c r="A1963" s="6" t="s">
        <v>325</v>
      </c>
      <c r="B1963" s="6" t="s">
        <v>326</v>
      </c>
      <c r="C1963" s="7" t="s">
        <v>327</v>
      </c>
      <c r="D1963" s="6">
        <v>253</v>
      </c>
      <c r="E1963" s="8" t="s">
        <v>2586</v>
      </c>
      <c r="F1963" s="6" t="s">
        <v>2493</v>
      </c>
      <c r="G1963" s="33" t="s">
        <v>30</v>
      </c>
    </row>
    <row r="1964" spans="1:7" ht="28" x14ac:dyDescent="0.15">
      <c r="A1964" s="6" t="s">
        <v>325</v>
      </c>
      <c r="B1964" s="6" t="s">
        <v>326</v>
      </c>
      <c r="C1964" s="7" t="s">
        <v>327</v>
      </c>
      <c r="D1964" s="6">
        <v>257</v>
      </c>
      <c r="E1964" s="8" t="s">
        <v>2587</v>
      </c>
      <c r="F1964" s="6" t="s">
        <v>2493</v>
      </c>
      <c r="G1964" s="33" t="s">
        <v>30</v>
      </c>
    </row>
    <row r="1965" spans="1:7" ht="28" x14ac:dyDescent="0.15">
      <c r="A1965" s="6" t="s">
        <v>325</v>
      </c>
      <c r="B1965" s="6" t="s">
        <v>326</v>
      </c>
      <c r="C1965" s="7" t="s">
        <v>327</v>
      </c>
      <c r="D1965" s="6">
        <v>258</v>
      </c>
      <c r="E1965" s="8" t="s">
        <v>2588</v>
      </c>
      <c r="F1965" s="6" t="s">
        <v>2493</v>
      </c>
      <c r="G1965" s="33" t="s">
        <v>30</v>
      </c>
    </row>
    <row r="1966" spans="1:7" ht="14" x14ac:dyDescent="0.15">
      <c r="A1966" s="6" t="s">
        <v>343</v>
      </c>
      <c r="B1966" s="6" t="s">
        <v>344</v>
      </c>
      <c r="C1966" s="7" t="s">
        <v>345</v>
      </c>
      <c r="D1966" s="6">
        <v>30</v>
      </c>
      <c r="E1966" s="8" t="s">
        <v>2589</v>
      </c>
      <c r="F1966" s="6" t="s">
        <v>2493</v>
      </c>
      <c r="G1966" s="33" t="s">
        <v>30</v>
      </c>
    </row>
    <row r="1967" spans="1:7" ht="14" x14ac:dyDescent="0.15">
      <c r="A1967" s="6" t="s">
        <v>2182</v>
      </c>
      <c r="B1967" s="6" t="s">
        <v>2183</v>
      </c>
      <c r="C1967" s="7" t="s">
        <v>2184</v>
      </c>
      <c r="D1967" s="6">
        <v>15</v>
      </c>
      <c r="E1967" s="8" t="s">
        <v>2590</v>
      </c>
      <c r="F1967" s="6" t="s">
        <v>2493</v>
      </c>
      <c r="G1967" s="33" t="s">
        <v>77</v>
      </c>
    </row>
    <row r="1968" spans="1:7" ht="14" x14ac:dyDescent="0.15">
      <c r="A1968" s="6" t="s">
        <v>2182</v>
      </c>
      <c r="B1968" s="6" t="s">
        <v>2183</v>
      </c>
      <c r="C1968" s="7" t="s">
        <v>2184</v>
      </c>
      <c r="D1968" s="6">
        <v>17</v>
      </c>
      <c r="E1968" s="8" t="s">
        <v>2591</v>
      </c>
      <c r="F1968" s="6" t="s">
        <v>2493</v>
      </c>
      <c r="G1968" s="33" t="s">
        <v>77</v>
      </c>
    </row>
    <row r="1969" spans="1:7" ht="14" x14ac:dyDescent="0.15">
      <c r="A1969" s="6" t="s">
        <v>2182</v>
      </c>
      <c r="B1969" s="6" t="s">
        <v>2183</v>
      </c>
      <c r="C1969" s="7" t="s">
        <v>2184</v>
      </c>
      <c r="D1969" s="6">
        <v>18</v>
      </c>
      <c r="E1969" s="8" t="s">
        <v>2592</v>
      </c>
      <c r="F1969" s="6" t="s">
        <v>2493</v>
      </c>
      <c r="G1969" s="33" t="s">
        <v>77</v>
      </c>
    </row>
    <row r="1970" spans="1:7" ht="28" x14ac:dyDescent="0.15">
      <c r="A1970" s="6" t="s">
        <v>131</v>
      </c>
      <c r="B1970" s="6" t="s">
        <v>132</v>
      </c>
      <c r="C1970" s="7" t="s">
        <v>347</v>
      </c>
      <c r="D1970" s="6">
        <v>80</v>
      </c>
      <c r="E1970" s="8" t="s">
        <v>2593</v>
      </c>
      <c r="F1970" s="6" t="s">
        <v>2493</v>
      </c>
      <c r="G1970" s="33" t="s">
        <v>18</v>
      </c>
    </row>
    <row r="1971" spans="1:7" ht="14" x14ac:dyDescent="0.15">
      <c r="A1971" s="6" t="s">
        <v>349</v>
      </c>
      <c r="B1971" s="6" t="s">
        <v>350</v>
      </c>
      <c r="C1971" s="7" t="s">
        <v>351</v>
      </c>
      <c r="D1971" s="6">
        <v>42</v>
      </c>
      <c r="E1971" s="8" t="s">
        <v>2594</v>
      </c>
      <c r="F1971" s="6" t="s">
        <v>2493</v>
      </c>
      <c r="G1971" s="33" t="s">
        <v>30</v>
      </c>
    </row>
    <row r="1972" spans="1:7" ht="14" x14ac:dyDescent="0.15">
      <c r="A1972" s="6" t="s">
        <v>349</v>
      </c>
      <c r="B1972" s="6" t="s">
        <v>350</v>
      </c>
      <c r="C1972" s="7" t="s">
        <v>351</v>
      </c>
      <c r="D1972" s="6">
        <v>51</v>
      </c>
      <c r="E1972" s="8" t="s">
        <v>2595</v>
      </c>
      <c r="F1972" s="6" t="s">
        <v>2493</v>
      </c>
      <c r="G1972" s="33" t="s">
        <v>342</v>
      </c>
    </row>
    <row r="1973" spans="1:7" ht="14" x14ac:dyDescent="0.15">
      <c r="A1973" s="6" t="s">
        <v>2596</v>
      </c>
      <c r="B1973" s="6" t="s">
        <v>2597</v>
      </c>
      <c r="C1973" s="7" t="s">
        <v>2598</v>
      </c>
      <c r="D1973" s="6">
        <v>4</v>
      </c>
      <c r="E1973" s="8" t="s">
        <v>2599</v>
      </c>
      <c r="F1973" s="6" t="s">
        <v>2493</v>
      </c>
      <c r="G1973" s="33" t="s">
        <v>30</v>
      </c>
    </row>
    <row r="1974" spans="1:7" ht="14" x14ac:dyDescent="0.15">
      <c r="A1974" s="6" t="s">
        <v>357</v>
      </c>
      <c r="B1974" s="6" t="s">
        <v>358</v>
      </c>
      <c r="C1974" s="7" t="s">
        <v>359</v>
      </c>
      <c r="D1974" s="6">
        <v>43</v>
      </c>
      <c r="E1974" s="8" t="s">
        <v>2600</v>
      </c>
      <c r="F1974" s="6" t="s">
        <v>2493</v>
      </c>
      <c r="G1974" s="33" t="s">
        <v>513</v>
      </c>
    </row>
    <row r="1975" spans="1:7" ht="28" x14ac:dyDescent="0.15">
      <c r="A1975" s="6" t="s">
        <v>362</v>
      </c>
      <c r="B1975" s="6" t="s">
        <v>363</v>
      </c>
      <c r="C1975" s="7" t="s">
        <v>364</v>
      </c>
      <c r="D1975" s="6">
        <v>46</v>
      </c>
      <c r="E1975" s="8" t="s">
        <v>2601</v>
      </c>
      <c r="F1975" s="6" t="s">
        <v>2493</v>
      </c>
      <c r="G1975" s="33" t="s">
        <v>30</v>
      </c>
    </row>
    <row r="1976" spans="1:7" ht="14" x14ac:dyDescent="0.15">
      <c r="A1976" s="6" t="s">
        <v>2602</v>
      </c>
      <c r="B1976" s="6" t="s">
        <v>2603</v>
      </c>
      <c r="C1976" s="7" t="s">
        <v>2604</v>
      </c>
      <c r="D1976" s="6">
        <v>33</v>
      </c>
      <c r="E1976" s="8" t="s">
        <v>2605</v>
      </c>
      <c r="F1976" s="6" t="s">
        <v>2493</v>
      </c>
      <c r="G1976" s="33" t="s">
        <v>136</v>
      </c>
    </row>
    <row r="1977" spans="1:7" ht="14" x14ac:dyDescent="0.15">
      <c r="A1977" s="6" t="s">
        <v>377</v>
      </c>
      <c r="B1977" s="6" t="s">
        <v>378</v>
      </c>
      <c r="C1977" s="7" t="s">
        <v>379</v>
      </c>
      <c r="D1977" s="6">
        <v>31</v>
      </c>
      <c r="E1977" s="8" t="s">
        <v>2606</v>
      </c>
      <c r="F1977" s="6" t="s">
        <v>2493</v>
      </c>
      <c r="G1977" s="33" t="s">
        <v>18</v>
      </c>
    </row>
    <row r="1978" spans="1:7" ht="14" x14ac:dyDescent="0.15">
      <c r="A1978" s="6" t="s">
        <v>377</v>
      </c>
      <c r="B1978" s="6" t="s">
        <v>378</v>
      </c>
      <c r="C1978" s="7" t="s">
        <v>379</v>
      </c>
      <c r="D1978" s="6">
        <v>123</v>
      </c>
      <c r="E1978" s="8" t="s">
        <v>2607</v>
      </c>
      <c r="F1978" s="6" t="s">
        <v>2493</v>
      </c>
      <c r="G1978" s="33" t="s">
        <v>30</v>
      </c>
    </row>
    <row r="1979" spans="1:7" ht="14" x14ac:dyDescent="0.15">
      <c r="A1979" s="6" t="s">
        <v>1019</v>
      </c>
      <c r="B1979" s="6" t="s">
        <v>1020</v>
      </c>
      <c r="C1979" s="7" t="s">
        <v>1021</v>
      </c>
      <c r="D1979" s="6">
        <v>6</v>
      </c>
      <c r="E1979" s="8" t="s">
        <v>2608</v>
      </c>
      <c r="F1979" s="6" t="s">
        <v>2493</v>
      </c>
      <c r="G1979" s="33" t="s">
        <v>18</v>
      </c>
    </row>
    <row r="1980" spans="1:7" ht="28" x14ac:dyDescent="0.15">
      <c r="A1980" s="6" t="s">
        <v>1019</v>
      </c>
      <c r="B1980" s="6" t="s">
        <v>1020</v>
      </c>
      <c r="C1980" s="7" t="s">
        <v>1021</v>
      </c>
      <c r="D1980" s="6">
        <v>12</v>
      </c>
      <c r="E1980" s="8" t="s">
        <v>2609</v>
      </c>
      <c r="F1980" s="6" t="s">
        <v>2493</v>
      </c>
      <c r="G1980" s="33" t="s">
        <v>83</v>
      </c>
    </row>
    <row r="1981" spans="1:7" ht="28" x14ac:dyDescent="0.15">
      <c r="A1981" s="6" t="s">
        <v>1019</v>
      </c>
      <c r="B1981" s="6" t="s">
        <v>1020</v>
      </c>
      <c r="C1981" s="7" t="s">
        <v>1021</v>
      </c>
      <c r="D1981" s="6">
        <v>15</v>
      </c>
      <c r="E1981" s="8" t="s">
        <v>2610</v>
      </c>
      <c r="F1981" s="6" t="s">
        <v>2493</v>
      </c>
      <c r="G1981" s="33" t="s">
        <v>30</v>
      </c>
    </row>
    <row r="1982" spans="1:7" ht="14" x14ac:dyDescent="0.15">
      <c r="A1982" s="6" t="s">
        <v>382</v>
      </c>
      <c r="B1982" s="6" t="s">
        <v>383</v>
      </c>
      <c r="C1982" s="7" t="s">
        <v>384</v>
      </c>
      <c r="D1982" s="6">
        <v>7</v>
      </c>
      <c r="E1982" s="8" t="s">
        <v>2611</v>
      </c>
      <c r="F1982" s="6" t="s">
        <v>2493</v>
      </c>
      <c r="G1982" s="33" t="s">
        <v>136</v>
      </c>
    </row>
    <row r="1983" spans="1:7" ht="14" x14ac:dyDescent="0.15">
      <c r="A1983" s="6" t="s">
        <v>382</v>
      </c>
      <c r="B1983" s="6" t="s">
        <v>383</v>
      </c>
      <c r="C1983" s="7" t="s">
        <v>384</v>
      </c>
      <c r="D1983" s="6">
        <v>12</v>
      </c>
      <c r="E1983" s="8" t="s">
        <v>2612</v>
      </c>
      <c r="F1983" s="6" t="s">
        <v>2493</v>
      </c>
      <c r="G1983" s="33" t="s">
        <v>30</v>
      </c>
    </row>
    <row r="1984" spans="1:7" ht="14" x14ac:dyDescent="0.15">
      <c r="A1984" s="6" t="s">
        <v>382</v>
      </c>
      <c r="B1984" s="6" t="s">
        <v>383</v>
      </c>
      <c r="C1984" s="7" t="s">
        <v>384</v>
      </c>
      <c r="D1984" s="6">
        <v>14</v>
      </c>
      <c r="E1984" s="8" t="s">
        <v>2613</v>
      </c>
      <c r="F1984" s="6" t="s">
        <v>2493</v>
      </c>
      <c r="G1984" s="33" t="s">
        <v>30</v>
      </c>
    </row>
    <row r="1985" spans="1:7" ht="14" x14ac:dyDescent="0.15">
      <c r="A1985" s="6" t="s">
        <v>382</v>
      </c>
      <c r="B1985" s="6" t="s">
        <v>383</v>
      </c>
      <c r="C1985" s="7" t="s">
        <v>384</v>
      </c>
      <c r="D1985" s="6">
        <v>57</v>
      </c>
      <c r="E1985" s="8" t="s">
        <v>2614</v>
      </c>
      <c r="F1985" s="6" t="s">
        <v>2493</v>
      </c>
      <c r="G1985" s="33" t="s">
        <v>30</v>
      </c>
    </row>
    <row r="1986" spans="1:7" ht="14" x14ac:dyDescent="0.15">
      <c r="A1986" s="6" t="s">
        <v>382</v>
      </c>
      <c r="B1986" s="6" t="s">
        <v>383</v>
      </c>
      <c r="C1986" s="7" t="s">
        <v>384</v>
      </c>
      <c r="D1986" s="6">
        <v>79</v>
      </c>
      <c r="E1986" s="8" t="s">
        <v>2615</v>
      </c>
      <c r="F1986" s="6" t="s">
        <v>2493</v>
      </c>
      <c r="G1986" s="33" t="s">
        <v>83</v>
      </c>
    </row>
    <row r="1987" spans="1:7" ht="14" x14ac:dyDescent="0.15">
      <c r="A1987" s="6" t="s">
        <v>382</v>
      </c>
      <c r="B1987" s="6" t="s">
        <v>383</v>
      </c>
      <c r="C1987" s="7" t="s">
        <v>384</v>
      </c>
      <c r="D1987" s="6">
        <v>109</v>
      </c>
      <c r="E1987" s="8" t="s">
        <v>2616</v>
      </c>
      <c r="F1987" s="6" t="s">
        <v>2493</v>
      </c>
      <c r="G1987" s="33" t="s">
        <v>77</v>
      </c>
    </row>
    <row r="1988" spans="1:7" ht="28" x14ac:dyDescent="0.15">
      <c r="A1988" s="6" t="s">
        <v>1512</v>
      </c>
      <c r="B1988" s="6" t="s">
        <v>1513</v>
      </c>
      <c r="C1988" s="7" t="s">
        <v>1514</v>
      </c>
      <c r="D1988" s="6">
        <v>47</v>
      </c>
      <c r="E1988" s="8" t="s">
        <v>2617</v>
      </c>
      <c r="F1988" s="6" t="s">
        <v>2493</v>
      </c>
      <c r="G1988" s="33" t="s">
        <v>12</v>
      </c>
    </row>
    <row r="1989" spans="1:7" ht="14" x14ac:dyDescent="0.15">
      <c r="A1989" s="6" t="s">
        <v>7</v>
      </c>
      <c r="B1989" s="6" t="s">
        <v>8</v>
      </c>
      <c r="C1989" s="7" t="s">
        <v>1057</v>
      </c>
      <c r="D1989" s="6">
        <v>71</v>
      </c>
      <c r="E1989" s="8" t="s">
        <v>2536</v>
      </c>
      <c r="F1989" s="6" t="s">
        <v>2493</v>
      </c>
      <c r="G1989" s="33" t="s">
        <v>88</v>
      </c>
    </row>
    <row r="1990" spans="1:7" ht="14" x14ac:dyDescent="0.15">
      <c r="A1990" s="6" t="s">
        <v>7</v>
      </c>
      <c r="B1990" s="6" t="s">
        <v>8</v>
      </c>
      <c r="C1990" s="7" t="s">
        <v>1057</v>
      </c>
      <c r="D1990" s="6">
        <v>73</v>
      </c>
      <c r="E1990" s="8" t="s">
        <v>2537</v>
      </c>
      <c r="F1990" s="6" t="s">
        <v>2493</v>
      </c>
      <c r="G1990" s="33" t="s">
        <v>342</v>
      </c>
    </row>
    <row r="1991" spans="1:7" ht="14" x14ac:dyDescent="0.15">
      <c r="A1991" s="6" t="s">
        <v>7</v>
      </c>
      <c r="B1991" s="6" t="s">
        <v>8</v>
      </c>
      <c r="C1991" s="7" t="s">
        <v>1057</v>
      </c>
      <c r="D1991" s="6">
        <v>74</v>
      </c>
      <c r="E1991" s="8" t="s">
        <v>2538</v>
      </c>
      <c r="F1991" s="6" t="s">
        <v>2493</v>
      </c>
      <c r="G1991" s="33" t="s">
        <v>30</v>
      </c>
    </row>
    <row r="1992" spans="1:7" ht="14" x14ac:dyDescent="0.15">
      <c r="A1992" s="6" t="s">
        <v>390</v>
      </c>
      <c r="B1992" s="6" t="s">
        <v>390</v>
      </c>
      <c r="C1992" s="7" t="s">
        <v>391</v>
      </c>
      <c r="D1992" s="6">
        <v>60</v>
      </c>
      <c r="E1992" s="8" t="s">
        <v>2618</v>
      </c>
      <c r="F1992" s="6" t="s">
        <v>2493</v>
      </c>
      <c r="G1992" s="33" t="s">
        <v>30</v>
      </c>
    </row>
    <row r="1993" spans="1:7" ht="14" x14ac:dyDescent="0.15">
      <c r="A1993" s="6" t="s">
        <v>708</v>
      </c>
      <c r="B1993" s="6" t="s">
        <v>709</v>
      </c>
      <c r="C1993" s="7" t="s">
        <v>710</v>
      </c>
      <c r="D1993" s="6">
        <v>39</v>
      </c>
      <c r="E1993" s="8" t="s">
        <v>2619</v>
      </c>
      <c r="F1993" s="6" t="s">
        <v>2493</v>
      </c>
      <c r="G1993" s="33" t="s">
        <v>30</v>
      </c>
    </row>
    <row r="1994" spans="1:7" ht="14" x14ac:dyDescent="0.15">
      <c r="A1994" s="6" t="s">
        <v>708</v>
      </c>
      <c r="B1994" s="6" t="s">
        <v>709</v>
      </c>
      <c r="C1994" s="7" t="s">
        <v>710</v>
      </c>
      <c r="D1994" s="6">
        <v>79</v>
      </c>
      <c r="E1994" s="8" t="s">
        <v>2620</v>
      </c>
      <c r="F1994" s="6" t="s">
        <v>2493</v>
      </c>
      <c r="G1994" s="33" t="s">
        <v>30</v>
      </c>
    </row>
    <row r="1995" spans="1:7" ht="14" x14ac:dyDescent="0.15">
      <c r="A1995" s="6" t="s">
        <v>393</v>
      </c>
      <c r="B1995" s="6" t="s">
        <v>394</v>
      </c>
      <c r="C1995" s="7" t="s">
        <v>395</v>
      </c>
      <c r="D1995" s="6">
        <v>52</v>
      </c>
      <c r="E1995" s="8" t="s">
        <v>2621</v>
      </c>
      <c r="F1995" s="6" t="s">
        <v>2493</v>
      </c>
      <c r="G1995" s="33" t="s">
        <v>30</v>
      </c>
    </row>
    <row r="1996" spans="1:7" ht="14" x14ac:dyDescent="0.15">
      <c r="A1996" s="6" t="s">
        <v>1086</v>
      </c>
      <c r="B1996" s="6" t="s">
        <v>1087</v>
      </c>
      <c r="C1996" s="7" t="s">
        <v>1088</v>
      </c>
      <c r="D1996" s="6">
        <v>30</v>
      </c>
      <c r="E1996" s="8" t="s">
        <v>2622</v>
      </c>
      <c r="F1996" s="6" t="s">
        <v>2493</v>
      </c>
      <c r="G1996" s="33" t="s">
        <v>30</v>
      </c>
    </row>
    <row r="1997" spans="1:7" ht="14" x14ac:dyDescent="0.15">
      <c r="A1997" s="6" t="s">
        <v>1086</v>
      </c>
      <c r="B1997" s="6" t="s">
        <v>1087</v>
      </c>
      <c r="C1997" s="7" t="s">
        <v>1088</v>
      </c>
      <c r="D1997" s="6">
        <v>31</v>
      </c>
      <c r="E1997" s="8" t="s">
        <v>2623</v>
      </c>
      <c r="F1997" s="6" t="s">
        <v>2493</v>
      </c>
      <c r="G1997" s="33" t="s">
        <v>30</v>
      </c>
    </row>
    <row r="1998" spans="1:7" ht="14" x14ac:dyDescent="0.15">
      <c r="A1998" s="6" t="s">
        <v>1086</v>
      </c>
      <c r="B1998" s="6" t="s">
        <v>1087</v>
      </c>
      <c r="C1998" s="7" t="s">
        <v>1088</v>
      </c>
      <c r="D1998" s="6">
        <v>40</v>
      </c>
      <c r="E1998" s="8" t="s">
        <v>2624</v>
      </c>
      <c r="F1998" s="6" t="s">
        <v>2493</v>
      </c>
      <c r="G1998" s="33" t="s">
        <v>30</v>
      </c>
    </row>
    <row r="1999" spans="1:7" ht="14" x14ac:dyDescent="0.15">
      <c r="A1999" s="6" t="s">
        <v>1086</v>
      </c>
      <c r="B1999" s="6" t="s">
        <v>1087</v>
      </c>
      <c r="C1999" s="7" t="s">
        <v>1088</v>
      </c>
      <c r="D1999" s="6">
        <v>47</v>
      </c>
      <c r="E1999" s="8" t="s">
        <v>2625</v>
      </c>
      <c r="F1999" s="6" t="s">
        <v>2493</v>
      </c>
      <c r="G1999" s="33" t="s">
        <v>83</v>
      </c>
    </row>
    <row r="2000" spans="1:7" ht="14" x14ac:dyDescent="0.15">
      <c r="A2000" s="6" t="s">
        <v>1086</v>
      </c>
      <c r="B2000" s="6" t="s">
        <v>1087</v>
      </c>
      <c r="C2000" s="7" t="s">
        <v>1088</v>
      </c>
      <c r="D2000" s="6">
        <v>49</v>
      </c>
      <c r="E2000" s="8" t="s">
        <v>2626</v>
      </c>
      <c r="F2000" s="6" t="s">
        <v>2493</v>
      </c>
      <c r="G2000" s="33" t="s">
        <v>83</v>
      </c>
    </row>
    <row r="2001" spans="1:7" ht="14" x14ac:dyDescent="0.15">
      <c r="A2001" s="6" t="s">
        <v>1086</v>
      </c>
      <c r="B2001" s="6" t="s">
        <v>1087</v>
      </c>
      <c r="C2001" s="7" t="s">
        <v>1088</v>
      </c>
      <c r="D2001" s="6">
        <v>50</v>
      </c>
      <c r="E2001" s="8" t="s">
        <v>2627</v>
      </c>
      <c r="F2001" s="6" t="s">
        <v>2493</v>
      </c>
      <c r="G2001" s="33" t="s">
        <v>83</v>
      </c>
    </row>
    <row r="2002" spans="1:7" ht="14" x14ac:dyDescent="0.15">
      <c r="A2002" s="6" t="s">
        <v>1086</v>
      </c>
      <c r="B2002" s="6" t="s">
        <v>1087</v>
      </c>
      <c r="C2002" s="7" t="s">
        <v>1088</v>
      </c>
      <c r="D2002" s="6">
        <v>56</v>
      </c>
      <c r="E2002" s="8" t="s">
        <v>2628</v>
      </c>
      <c r="F2002" s="6" t="s">
        <v>2493</v>
      </c>
      <c r="G2002" s="33" t="s">
        <v>30</v>
      </c>
    </row>
    <row r="2003" spans="1:7" ht="14" x14ac:dyDescent="0.15">
      <c r="A2003" s="6" t="s">
        <v>1086</v>
      </c>
      <c r="B2003" s="6" t="s">
        <v>1087</v>
      </c>
      <c r="C2003" s="7" t="s">
        <v>1088</v>
      </c>
      <c r="D2003" s="6">
        <v>57</v>
      </c>
      <c r="E2003" s="8" t="s">
        <v>2629</v>
      </c>
      <c r="F2003" s="6" t="s">
        <v>2493</v>
      </c>
      <c r="G2003" s="33" t="s">
        <v>30</v>
      </c>
    </row>
    <row r="2004" spans="1:7" ht="14" x14ac:dyDescent="0.15">
      <c r="A2004" s="6" t="s">
        <v>1086</v>
      </c>
      <c r="B2004" s="6" t="s">
        <v>1087</v>
      </c>
      <c r="C2004" s="7" t="s">
        <v>1088</v>
      </c>
      <c r="D2004" s="6">
        <v>72</v>
      </c>
      <c r="E2004" s="8" t="s">
        <v>2630</v>
      </c>
      <c r="F2004" s="6" t="s">
        <v>2493</v>
      </c>
      <c r="G2004" s="33" t="s">
        <v>30</v>
      </c>
    </row>
    <row r="2005" spans="1:7" ht="14" x14ac:dyDescent="0.15">
      <c r="A2005" s="6" t="s">
        <v>1086</v>
      </c>
      <c r="B2005" s="6" t="s">
        <v>1087</v>
      </c>
      <c r="C2005" s="7" t="s">
        <v>1088</v>
      </c>
      <c r="D2005" s="6">
        <v>104</v>
      </c>
      <c r="E2005" s="8" t="s">
        <v>2631</v>
      </c>
      <c r="F2005" s="6" t="s">
        <v>2493</v>
      </c>
      <c r="G2005" s="33" t="s">
        <v>88</v>
      </c>
    </row>
    <row r="2006" spans="1:7" ht="14" x14ac:dyDescent="0.15">
      <c r="A2006" s="6" t="s">
        <v>1086</v>
      </c>
      <c r="B2006" s="6" t="s">
        <v>1087</v>
      </c>
      <c r="C2006" s="7" t="s">
        <v>1088</v>
      </c>
      <c r="D2006" s="6">
        <v>106</v>
      </c>
      <c r="E2006" s="8" t="s">
        <v>2632</v>
      </c>
      <c r="F2006" s="6" t="s">
        <v>2493</v>
      </c>
      <c r="G2006" s="33" t="s">
        <v>88</v>
      </c>
    </row>
    <row r="2007" spans="1:7" ht="28" x14ac:dyDescent="0.15">
      <c r="A2007" s="6" t="s">
        <v>2633</v>
      </c>
      <c r="B2007" s="6" t="s">
        <v>2634</v>
      </c>
      <c r="C2007" s="7" t="s">
        <v>2635</v>
      </c>
      <c r="D2007" s="6">
        <v>14</v>
      </c>
      <c r="E2007" s="8" t="s">
        <v>2636</v>
      </c>
      <c r="F2007" s="6" t="s">
        <v>2493</v>
      </c>
      <c r="G2007" s="33" t="s">
        <v>23</v>
      </c>
    </row>
    <row r="2008" spans="1:7" ht="14" x14ac:dyDescent="0.15">
      <c r="A2008" s="6" t="s">
        <v>521</v>
      </c>
      <c r="B2008" s="6" t="s">
        <v>2637</v>
      </c>
      <c r="C2008" s="7" t="s">
        <v>2638</v>
      </c>
      <c r="D2008" s="6">
        <v>65</v>
      </c>
      <c r="E2008" s="8" t="s">
        <v>2639</v>
      </c>
      <c r="F2008" s="6" t="s">
        <v>2493</v>
      </c>
      <c r="G2008" s="33" t="s">
        <v>342</v>
      </c>
    </row>
    <row r="2009" spans="1:7" ht="14" x14ac:dyDescent="0.15">
      <c r="A2009" s="6" t="s">
        <v>521</v>
      </c>
      <c r="B2009" s="6" t="s">
        <v>2637</v>
      </c>
      <c r="C2009" s="7" t="s">
        <v>2638</v>
      </c>
      <c r="D2009" s="6">
        <v>66</v>
      </c>
      <c r="E2009" s="8" t="s">
        <v>2640</v>
      </c>
      <c r="F2009" s="6" t="s">
        <v>2493</v>
      </c>
      <c r="G2009" s="33" t="s">
        <v>219</v>
      </c>
    </row>
    <row r="2010" spans="1:7" ht="14" x14ac:dyDescent="0.15">
      <c r="A2010" s="6" t="s">
        <v>521</v>
      </c>
      <c r="B2010" s="6" t="s">
        <v>1093</v>
      </c>
      <c r="C2010" s="7" t="s">
        <v>1094</v>
      </c>
      <c r="D2010" s="6">
        <v>68</v>
      </c>
      <c r="E2010" s="8" t="s">
        <v>2641</v>
      </c>
      <c r="F2010" s="6" t="s">
        <v>2493</v>
      </c>
      <c r="G2010" s="33" t="s">
        <v>136</v>
      </c>
    </row>
    <row r="2011" spans="1:7" ht="14" x14ac:dyDescent="0.15">
      <c r="A2011" s="6" t="s">
        <v>2217</v>
      </c>
      <c r="B2011" s="6" t="s">
        <v>2218</v>
      </c>
      <c r="C2011" s="7" t="s">
        <v>2219</v>
      </c>
      <c r="D2011" s="6">
        <v>39</v>
      </c>
      <c r="E2011" s="8" t="s">
        <v>2642</v>
      </c>
      <c r="F2011" s="6" t="s">
        <v>2493</v>
      </c>
      <c r="G2011" s="33" t="s">
        <v>67</v>
      </c>
    </row>
    <row r="2012" spans="1:7" ht="14" x14ac:dyDescent="0.15">
      <c r="A2012" s="6" t="s">
        <v>2217</v>
      </c>
      <c r="B2012" s="6" t="s">
        <v>2218</v>
      </c>
      <c r="C2012" s="7" t="s">
        <v>2219</v>
      </c>
      <c r="D2012" s="6">
        <v>43</v>
      </c>
      <c r="E2012" s="8" t="s">
        <v>2643</v>
      </c>
      <c r="F2012" s="6" t="s">
        <v>2493</v>
      </c>
      <c r="G2012" s="33" t="s">
        <v>30</v>
      </c>
    </row>
    <row r="2013" spans="1:7" ht="14" x14ac:dyDescent="0.15">
      <c r="A2013" s="6" t="s">
        <v>2217</v>
      </c>
      <c r="B2013" s="6" t="s">
        <v>2218</v>
      </c>
      <c r="C2013" s="7" t="s">
        <v>2219</v>
      </c>
      <c r="D2013" s="6">
        <v>64</v>
      </c>
      <c r="E2013" s="8" t="s">
        <v>2644</v>
      </c>
      <c r="F2013" s="6" t="s">
        <v>2493</v>
      </c>
      <c r="G2013" s="33" t="s">
        <v>136</v>
      </c>
    </row>
    <row r="2014" spans="1:7" ht="14" x14ac:dyDescent="0.15">
      <c r="A2014" s="6" t="s">
        <v>25</v>
      </c>
      <c r="B2014" s="6" t="s">
        <v>238</v>
      </c>
      <c r="C2014" s="7" t="s">
        <v>1517</v>
      </c>
      <c r="D2014" s="6">
        <v>39</v>
      </c>
      <c r="E2014" s="8" t="s">
        <v>2562</v>
      </c>
      <c r="F2014" s="6" t="s">
        <v>2493</v>
      </c>
      <c r="G2014" s="33" t="s">
        <v>30</v>
      </c>
    </row>
    <row r="2015" spans="1:7" ht="14" x14ac:dyDescent="0.15">
      <c r="A2015" s="6" t="s">
        <v>25</v>
      </c>
      <c r="B2015" s="6" t="s">
        <v>238</v>
      </c>
      <c r="C2015" s="7" t="s">
        <v>1517</v>
      </c>
      <c r="D2015" s="6">
        <v>41</v>
      </c>
      <c r="E2015" s="8" t="s">
        <v>2563</v>
      </c>
      <c r="F2015" s="6" t="s">
        <v>2493</v>
      </c>
      <c r="G2015" s="33" t="s">
        <v>30</v>
      </c>
    </row>
    <row r="2016" spans="1:7" ht="14" x14ac:dyDescent="0.15">
      <c r="A2016" s="6" t="s">
        <v>247</v>
      </c>
      <c r="B2016" s="6" t="s">
        <v>248</v>
      </c>
      <c r="C2016" s="7" t="s">
        <v>399</v>
      </c>
      <c r="D2016" s="6">
        <v>96</v>
      </c>
      <c r="E2016" s="8" t="s">
        <v>2645</v>
      </c>
      <c r="F2016" s="6" t="s">
        <v>2493</v>
      </c>
      <c r="G2016" s="33" t="s">
        <v>18</v>
      </c>
    </row>
    <row r="2017" spans="1:7" ht="28" x14ac:dyDescent="0.15">
      <c r="A2017" s="6" t="s">
        <v>92</v>
      </c>
      <c r="B2017" s="6" t="s">
        <v>93</v>
      </c>
      <c r="C2017" s="7" t="s">
        <v>94</v>
      </c>
      <c r="D2017" s="6">
        <v>21</v>
      </c>
      <c r="E2017" s="8" t="s">
        <v>2646</v>
      </c>
      <c r="F2017" s="6" t="s">
        <v>2493</v>
      </c>
      <c r="G2017" s="33" t="s">
        <v>136</v>
      </c>
    </row>
    <row r="2018" spans="1:7" ht="14" x14ac:dyDescent="0.15">
      <c r="A2018" s="6" t="s">
        <v>1118</v>
      </c>
      <c r="B2018" s="6" t="s">
        <v>1119</v>
      </c>
      <c r="C2018" s="7" t="s">
        <v>1120</v>
      </c>
      <c r="D2018" s="6">
        <v>32</v>
      </c>
      <c r="E2018" s="8" t="s">
        <v>2647</v>
      </c>
      <c r="F2018" s="6" t="s">
        <v>2493</v>
      </c>
      <c r="G2018" s="33" t="s">
        <v>23</v>
      </c>
    </row>
    <row r="2019" spans="1:7" ht="14" x14ac:dyDescent="0.15">
      <c r="A2019" s="6" t="s">
        <v>1125</v>
      </c>
      <c r="B2019" s="6" t="s">
        <v>1126</v>
      </c>
      <c r="C2019" s="7" t="s">
        <v>1127</v>
      </c>
      <c r="D2019" s="6">
        <v>22</v>
      </c>
      <c r="E2019" s="8" t="s">
        <v>2648</v>
      </c>
      <c r="F2019" s="6" t="s">
        <v>2493</v>
      </c>
      <c r="G2019" s="33" t="s">
        <v>23</v>
      </c>
    </row>
    <row r="2020" spans="1:7" ht="14" x14ac:dyDescent="0.15">
      <c r="A2020" s="6" t="s">
        <v>1125</v>
      </c>
      <c r="B2020" s="6" t="s">
        <v>1126</v>
      </c>
      <c r="C2020" s="7" t="s">
        <v>1127</v>
      </c>
      <c r="D2020" s="6">
        <v>50</v>
      </c>
      <c r="E2020" s="8" t="s">
        <v>2649</v>
      </c>
      <c r="F2020" s="6" t="s">
        <v>2493</v>
      </c>
      <c r="G2020" s="33" t="s">
        <v>30</v>
      </c>
    </row>
    <row r="2021" spans="1:7" ht="14" x14ac:dyDescent="0.15">
      <c r="A2021" s="6" t="s">
        <v>1125</v>
      </c>
      <c r="B2021" s="6" t="s">
        <v>1126</v>
      </c>
      <c r="C2021" s="7" t="s">
        <v>1127</v>
      </c>
      <c r="D2021" s="6">
        <v>147</v>
      </c>
      <c r="E2021" s="8" t="s">
        <v>2650</v>
      </c>
      <c r="F2021" s="6" t="s">
        <v>2493</v>
      </c>
      <c r="G2021" s="33" t="s">
        <v>23</v>
      </c>
    </row>
    <row r="2022" spans="1:7" ht="14" x14ac:dyDescent="0.15">
      <c r="A2022" s="6" t="s">
        <v>1125</v>
      </c>
      <c r="B2022" s="6" t="s">
        <v>1126</v>
      </c>
      <c r="C2022" s="7" t="s">
        <v>1127</v>
      </c>
      <c r="D2022" s="6">
        <v>151</v>
      </c>
      <c r="E2022" s="8" t="s">
        <v>2651</v>
      </c>
      <c r="F2022" s="6" t="s">
        <v>2493</v>
      </c>
      <c r="G2022" s="33" t="s">
        <v>342</v>
      </c>
    </row>
    <row r="2023" spans="1:7" ht="14" x14ac:dyDescent="0.15">
      <c r="A2023" s="6" t="s">
        <v>1133</v>
      </c>
      <c r="B2023" s="6" t="s">
        <v>1138</v>
      </c>
      <c r="C2023" s="7" t="s">
        <v>1139</v>
      </c>
      <c r="D2023" s="6">
        <v>15</v>
      </c>
      <c r="E2023" s="8" t="s">
        <v>2652</v>
      </c>
      <c r="F2023" s="6" t="s">
        <v>2493</v>
      </c>
      <c r="G2023" s="33" t="s">
        <v>136</v>
      </c>
    </row>
    <row r="2024" spans="1:7" ht="14" x14ac:dyDescent="0.15">
      <c r="A2024" s="6" t="s">
        <v>2653</v>
      </c>
      <c r="B2024" s="6" t="s">
        <v>2653</v>
      </c>
      <c r="C2024" s="7" t="s">
        <v>2654</v>
      </c>
      <c r="D2024" s="6">
        <v>10</v>
      </c>
      <c r="E2024" s="8" t="s">
        <v>2655</v>
      </c>
      <c r="F2024" s="6" t="s">
        <v>2493</v>
      </c>
      <c r="G2024" s="33" t="s">
        <v>30</v>
      </c>
    </row>
    <row r="2025" spans="1:7" ht="14" x14ac:dyDescent="0.15">
      <c r="A2025" s="6" t="s">
        <v>2653</v>
      </c>
      <c r="B2025" s="6" t="s">
        <v>2653</v>
      </c>
      <c r="C2025" s="7" t="s">
        <v>2654</v>
      </c>
      <c r="D2025" s="6">
        <v>11</v>
      </c>
      <c r="E2025" s="8" t="s">
        <v>2656</v>
      </c>
      <c r="F2025" s="6" t="s">
        <v>2493</v>
      </c>
      <c r="G2025" s="33" t="s">
        <v>30</v>
      </c>
    </row>
    <row r="2026" spans="1:7" ht="14" x14ac:dyDescent="0.15">
      <c r="A2026" s="6" t="s">
        <v>2653</v>
      </c>
      <c r="B2026" s="6" t="s">
        <v>2653</v>
      </c>
      <c r="C2026" s="7" t="s">
        <v>2654</v>
      </c>
      <c r="D2026" s="6">
        <v>12</v>
      </c>
      <c r="E2026" s="8" t="s">
        <v>2657</v>
      </c>
      <c r="F2026" s="6" t="s">
        <v>2493</v>
      </c>
      <c r="G2026" s="33" t="s">
        <v>30</v>
      </c>
    </row>
    <row r="2027" spans="1:7" ht="14" x14ac:dyDescent="0.15">
      <c r="A2027" s="6" t="s">
        <v>2653</v>
      </c>
      <c r="B2027" s="6" t="s">
        <v>2653</v>
      </c>
      <c r="C2027" s="7" t="s">
        <v>2654</v>
      </c>
      <c r="D2027" s="6">
        <v>13</v>
      </c>
      <c r="E2027" s="8" t="s">
        <v>2658</v>
      </c>
      <c r="F2027" s="6" t="s">
        <v>2493</v>
      </c>
      <c r="G2027" s="33" t="s">
        <v>30</v>
      </c>
    </row>
    <row r="2028" spans="1:7" ht="14" x14ac:dyDescent="0.15">
      <c r="A2028" s="6" t="s">
        <v>1148</v>
      </c>
      <c r="B2028" s="6" t="s">
        <v>1149</v>
      </c>
      <c r="C2028" s="7" t="s">
        <v>1150</v>
      </c>
      <c r="D2028" s="6">
        <v>10</v>
      </c>
      <c r="E2028" s="8" t="s">
        <v>2659</v>
      </c>
      <c r="F2028" s="6" t="s">
        <v>2493</v>
      </c>
      <c r="G2028" s="33" t="s">
        <v>88</v>
      </c>
    </row>
    <row r="2029" spans="1:7" ht="14" x14ac:dyDescent="0.15">
      <c r="A2029" s="6" t="s">
        <v>932</v>
      </c>
      <c r="B2029" s="6" t="s">
        <v>933</v>
      </c>
      <c r="C2029" s="7" t="s">
        <v>1155</v>
      </c>
      <c r="D2029" s="6">
        <v>106</v>
      </c>
      <c r="E2029" s="8" t="s">
        <v>2576</v>
      </c>
      <c r="F2029" s="6" t="s">
        <v>2493</v>
      </c>
      <c r="G2029" s="33" t="s">
        <v>23</v>
      </c>
    </row>
    <row r="2030" spans="1:7" ht="14" x14ac:dyDescent="0.15">
      <c r="A2030" s="6" t="s">
        <v>43</v>
      </c>
      <c r="B2030" s="6" t="s">
        <v>44</v>
      </c>
      <c r="C2030" s="7" t="s">
        <v>45</v>
      </c>
      <c r="D2030" s="6">
        <v>76</v>
      </c>
      <c r="E2030" s="8" t="s">
        <v>2660</v>
      </c>
      <c r="F2030" s="6" t="s">
        <v>2493</v>
      </c>
      <c r="G2030" s="33" t="s">
        <v>513</v>
      </c>
    </row>
    <row r="2031" spans="1:7" ht="14" x14ac:dyDescent="0.15">
      <c r="A2031" s="6" t="s">
        <v>1159</v>
      </c>
      <c r="B2031" s="6" t="s">
        <v>1160</v>
      </c>
      <c r="C2031" s="7" t="s">
        <v>1161</v>
      </c>
      <c r="D2031" s="6">
        <v>61</v>
      </c>
      <c r="E2031" s="8" t="s">
        <v>2661</v>
      </c>
      <c r="F2031" s="6" t="s">
        <v>2493</v>
      </c>
      <c r="G2031" s="33" t="s">
        <v>342</v>
      </c>
    </row>
    <row r="2032" spans="1:7" ht="14" x14ac:dyDescent="0.15">
      <c r="A2032" s="6" t="s">
        <v>445</v>
      </c>
      <c r="B2032" s="6" t="s">
        <v>446</v>
      </c>
      <c r="C2032" s="7" t="s">
        <v>447</v>
      </c>
      <c r="D2032" s="6">
        <v>13</v>
      </c>
      <c r="E2032" s="8" t="s">
        <v>2662</v>
      </c>
      <c r="F2032" s="6" t="s">
        <v>2493</v>
      </c>
      <c r="G2032" s="33" t="s">
        <v>30</v>
      </c>
    </row>
    <row r="2033" spans="1:7" ht="14" x14ac:dyDescent="0.15">
      <c r="A2033" s="6" t="s">
        <v>445</v>
      </c>
      <c r="B2033" s="6" t="s">
        <v>446</v>
      </c>
      <c r="C2033" s="7" t="s">
        <v>447</v>
      </c>
      <c r="D2033" s="6">
        <v>26</v>
      </c>
      <c r="E2033" s="8" t="s">
        <v>2663</v>
      </c>
      <c r="F2033" s="6" t="s">
        <v>2493</v>
      </c>
      <c r="G2033" s="33" t="s">
        <v>30</v>
      </c>
    </row>
    <row r="2034" spans="1:7" ht="14" x14ac:dyDescent="0.15">
      <c r="A2034" s="6" t="s">
        <v>445</v>
      </c>
      <c r="B2034" s="6" t="s">
        <v>446</v>
      </c>
      <c r="C2034" s="7" t="s">
        <v>447</v>
      </c>
      <c r="D2034" s="6">
        <v>84</v>
      </c>
      <c r="E2034" s="8" t="s">
        <v>2664</v>
      </c>
      <c r="F2034" s="6" t="s">
        <v>2493</v>
      </c>
      <c r="G2034" s="33" t="s">
        <v>30</v>
      </c>
    </row>
    <row r="2035" spans="1:7" ht="14" x14ac:dyDescent="0.15">
      <c r="A2035" s="6" t="s">
        <v>445</v>
      </c>
      <c r="B2035" s="6" t="s">
        <v>455</v>
      </c>
      <c r="C2035" s="7" t="s">
        <v>456</v>
      </c>
      <c r="D2035" s="6">
        <v>13</v>
      </c>
      <c r="E2035" s="8" t="s">
        <v>2662</v>
      </c>
      <c r="F2035" s="6" t="s">
        <v>2493</v>
      </c>
      <c r="G2035" s="33" t="s">
        <v>30</v>
      </c>
    </row>
    <row r="2036" spans="1:7" ht="14" x14ac:dyDescent="0.15">
      <c r="A2036" s="6" t="s">
        <v>445</v>
      </c>
      <c r="B2036" s="6" t="s">
        <v>455</v>
      </c>
      <c r="C2036" s="7" t="s">
        <v>456</v>
      </c>
      <c r="D2036" s="6">
        <v>26</v>
      </c>
      <c r="E2036" s="8" t="s">
        <v>2663</v>
      </c>
      <c r="F2036" s="6" t="s">
        <v>2493</v>
      </c>
      <c r="G2036" s="33" t="s">
        <v>30</v>
      </c>
    </row>
    <row r="2037" spans="1:7" ht="14" x14ac:dyDescent="0.15">
      <c r="A2037" s="6" t="s">
        <v>445</v>
      </c>
      <c r="B2037" s="6" t="s">
        <v>455</v>
      </c>
      <c r="C2037" s="7" t="s">
        <v>456</v>
      </c>
      <c r="D2037" s="6">
        <v>84</v>
      </c>
      <c r="E2037" s="8" t="s">
        <v>2664</v>
      </c>
      <c r="F2037" s="6" t="s">
        <v>2493</v>
      </c>
      <c r="G2037" s="33" t="s">
        <v>30</v>
      </c>
    </row>
    <row r="2038" spans="1:7" ht="14" x14ac:dyDescent="0.15">
      <c r="A2038" s="6" t="s">
        <v>2665</v>
      </c>
      <c r="B2038" s="6" t="s">
        <v>2666</v>
      </c>
      <c r="C2038" s="7" t="s">
        <v>2667</v>
      </c>
      <c r="D2038" s="6">
        <v>2</v>
      </c>
      <c r="E2038" s="8" t="s">
        <v>2668</v>
      </c>
      <c r="F2038" s="6" t="s">
        <v>2493</v>
      </c>
      <c r="G2038" s="33" t="s">
        <v>88</v>
      </c>
    </row>
    <row r="2039" spans="1:7" ht="14" x14ac:dyDescent="0.15">
      <c r="A2039" s="6" t="s">
        <v>2665</v>
      </c>
      <c r="B2039" s="6" t="s">
        <v>2666</v>
      </c>
      <c r="C2039" s="7" t="s">
        <v>2667</v>
      </c>
      <c r="D2039" s="6">
        <v>3</v>
      </c>
      <c r="E2039" s="8" t="s">
        <v>2669</v>
      </c>
      <c r="F2039" s="6" t="s">
        <v>2493</v>
      </c>
      <c r="G2039" s="33" t="s">
        <v>136</v>
      </c>
    </row>
    <row r="2040" spans="1:7" ht="14" x14ac:dyDescent="0.15">
      <c r="A2040" s="6" t="s">
        <v>325</v>
      </c>
      <c r="B2040" s="6" t="s">
        <v>326</v>
      </c>
      <c r="C2040" s="7" t="s">
        <v>463</v>
      </c>
      <c r="D2040" s="6">
        <v>153</v>
      </c>
      <c r="E2040" s="8" t="s">
        <v>2670</v>
      </c>
      <c r="F2040" s="6" t="s">
        <v>2493</v>
      </c>
      <c r="G2040" s="33" t="s">
        <v>30</v>
      </c>
    </row>
    <row r="2041" spans="1:7" ht="14" x14ac:dyDescent="0.15">
      <c r="A2041" s="6" t="s">
        <v>325</v>
      </c>
      <c r="B2041" s="6" t="s">
        <v>326</v>
      </c>
      <c r="C2041" s="7" t="s">
        <v>463</v>
      </c>
      <c r="D2041" s="6">
        <v>181</v>
      </c>
      <c r="E2041" s="8" t="s">
        <v>2585</v>
      </c>
      <c r="F2041" s="6" t="s">
        <v>2493</v>
      </c>
      <c r="G2041" s="33" t="s">
        <v>12</v>
      </c>
    </row>
    <row r="2042" spans="1:7" ht="14" x14ac:dyDescent="0.15">
      <c r="A2042" s="6" t="s">
        <v>325</v>
      </c>
      <c r="B2042" s="6" t="s">
        <v>326</v>
      </c>
      <c r="C2042" s="7" t="s">
        <v>463</v>
      </c>
      <c r="D2042" s="6">
        <v>246</v>
      </c>
      <c r="E2042" s="8" t="s">
        <v>2671</v>
      </c>
      <c r="F2042" s="6" t="s">
        <v>2493</v>
      </c>
      <c r="G2042" s="33" t="s">
        <v>30</v>
      </c>
    </row>
    <row r="2043" spans="1:7" ht="28" x14ac:dyDescent="0.15">
      <c r="A2043" s="6" t="s">
        <v>325</v>
      </c>
      <c r="B2043" s="6" t="s">
        <v>326</v>
      </c>
      <c r="C2043" s="7" t="s">
        <v>463</v>
      </c>
      <c r="D2043" s="6">
        <v>250</v>
      </c>
      <c r="E2043" s="8" t="s">
        <v>2672</v>
      </c>
      <c r="F2043" s="6" t="s">
        <v>2493</v>
      </c>
      <c r="G2043" s="33" t="s">
        <v>30</v>
      </c>
    </row>
    <row r="2044" spans="1:7" ht="28" x14ac:dyDescent="0.15">
      <c r="A2044" s="6" t="s">
        <v>325</v>
      </c>
      <c r="B2044" s="6" t="s">
        <v>326</v>
      </c>
      <c r="C2044" s="7" t="s">
        <v>463</v>
      </c>
      <c r="D2044" s="6">
        <v>251</v>
      </c>
      <c r="E2044" s="8" t="s">
        <v>2673</v>
      </c>
      <c r="F2044" s="6" t="s">
        <v>2493</v>
      </c>
      <c r="G2044" s="33" t="s">
        <v>30</v>
      </c>
    </row>
    <row r="2045" spans="1:7" ht="14" x14ac:dyDescent="0.15">
      <c r="A2045" s="6" t="s">
        <v>466</v>
      </c>
      <c r="B2045" s="6" t="s">
        <v>467</v>
      </c>
      <c r="C2045" s="7" t="s">
        <v>468</v>
      </c>
      <c r="D2045" s="6">
        <v>12</v>
      </c>
      <c r="E2045" s="8" t="s">
        <v>2674</v>
      </c>
      <c r="F2045" s="6" t="s">
        <v>2493</v>
      </c>
      <c r="G2045" s="33" t="s">
        <v>30</v>
      </c>
    </row>
    <row r="2046" spans="1:7" ht="14" x14ac:dyDescent="0.15">
      <c r="A2046" s="6" t="s">
        <v>2258</v>
      </c>
      <c r="B2046" s="6" t="s">
        <v>2259</v>
      </c>
      <c r="C2046" s="7" t="s">
        <v>2260</v>
      </c>
      <c r="D2046" s="6">
        <v>42</v>
      </c>
      <c r="E2046" s="8" t="s">
        <v>2675</v>
      </c>
      <c r="F2046" s="6" t="s">
        <v>2493</v>
      </c>
      <c r="G2046" s="33" t="s">
        <v>136</v>
      </c>
    </row>
    <row r="2047" spans="1:7" ht="14" x14ac:dyDescent="0.15">
      <c r="A2047" s="6" t="s">
        <v>51</v>
      </c>
      <c r="B2047" s="6" t="s">
        <v>492</v>
      </c>
      <c r="C2047" s="7" t="s">
        <v>493</v>
      </c>
      <c r="D2047" s="6">
        <v>13</v>
      </c>
      <c r="E2047" s="8" t="s">
        <v>2676</v>
      </c>
      <c r="F2047" s="6" t="s">
        <v>2493</v>
      </c>
      <c r="G2047" s="33" t="s">
        <v>77</v>
      </c>
    </row>
    <row r="2048" spans="1:7" ht="14" x14ac:dyDescent="0.15">
      <c r="A2048" s="6" t="s">
        <v>502</v>
      </c>
      <c r="B2048" s="6" t="s">
        <v>502</v>
      </c>
      <c r="C2048" s="7" t="s">
        <v>503</v>
      </c>
      <c r="D2048" s="6">
        <v>74</v>
      </c>
      <c r="E2048" s="8" t="s">
        <v>2677</v>
      </c>
      <c r="F2048" s="6" t="s">
        <v>2493</v>
      </c>
      <c r="G2048" s="33" t="s">
        <v>83</v>
      </c>
    </row>
    <row r="2049" spans="1:7" ht="14" x14ac:dyDescent="0.15">
      <c r="A2049" s="6" t="s">
        <v>2303</v>
      </c>
      <c r="B2049" s="6" t="s">
        <v>2304</v>
      </c>
      <c r="C2049" s="7" t="s">
        <v>2305</v>
      </c>
      <c r="D2049" s="6">
        <v>13</v>
      </c>
      <c r="E2049" s="8" t="s">
        <v>2678</v>
      </c>
      <c r="F2049" s="6" t="s">
        <v>2493</v>
      </c>
      <c r="G2049" s="33" t="s">
        <v>18</v>
      </c>
    </row>
    <row r="2050" spans="1:7" ht="14" x14ac:dyDescent="0.15">
      <c r="A2050" s="6" t="s">
        <v>2303</v>
      </c>
      <c r="B2050" s="6" t="s">
        <v>2304</v>
      </c>
      <c r="C2050" s="7" t="s">
        <v>2305</v>
      </c>
      <c r="D2050" s="6">
        <v>14</v>
      </c>
      <c r="E2050" s="8" t="s">
        <v>2679</v>
      </c>
      <c r="F2050" s="6" t="s">
        <v>2493</v>
      </c>
      <c r="G2050" s="33" t="s">
        <v>18</v>
      </c>
    </row>
    <row r="2051" spans="1:7" ht="14" x14ac:dyDescent="0.15">
      <c r="A2051" s="6" t="s">
        <v>509</v>
      </c>
      <c r="B2051" s="6" t="s">
        <v>510</v>
      </c>
      <c r="C2051" s="7" t="s">
        <v>511</v>
      </c>
      <c r="D2051" s="6">
        <v>117</v>
      </c>
      <c r="E2051" s="8" t="s">
        <v>2680</v>
      </c>
      <c r="F2051" s="6" t="s">
        <v>2493</v>
      </c>
      <c r="G2051" s="33" t="s">
        <v>88</v>
      </c>
    </row>
    <row r="2052" spans="1:7" ht="14" x14ac:dyDescent="0.15">
      <c r="A2052" s="6" t="s">
        <v>105</v>
      </c>
      <c r="B2052" s="6" t="s">
        <v>106</v>
      </c>
      <c r="C2052" s="7" t="s">
        <v>112</v>
      </c>
      <c r="D2052" s="6">
        <v>257</v>
      </c>
      <c r="E2052" s="8" t="s">
        <v>2517</v>
      </c>
      <c r="F2052" s="6" t="s">
        <v>2493</v>
      </c>
      <c r="G2052" s="33" t="s">
        <v>77</v>
      </c>
    </row>
    <row r="2053" spans="1:7" ht="14" x14ac:dyDescent="0.15">
      <c r="A2053" s="6" t="s">
        <v>521</v>
      </c>
      <c r="B2053" s="6" t="s">
        <v>2681</v>
      </c>
      <c r="C2053" s="7" t="s">
        <v>2682</v>
      </c>
      <c r="D2053" s="6">
        <v>6</v>
      </c>
      <c r="E2053" s="8" t="s">
        <v>2683</v>
      </c>
      <c r="F2053" s="6" t="s">
        <v>2493</v>
      </c>
      <c r="G2053" s="33" t="s">
        <v>12</v>
      </c>
    </row>
    <row r="2054" spans="1:7" ht="14" x14ac:dyDescent="0.15">
      <c r="A2054" s="6" t="s">
        <v>521</v>
      </c>
      <c r="B2054" s="6" t="s">
        <v>2681</v>
      </c>
      <c r="C2054" s="7" t="s">
        <v>2682</v>
      </c>
      <c r="D2054" s="6">
        <v>8</v>
      </c>
      <c r="E2054" s="8" t="s">
        <v>2684</v>
      </c>
      <c r="F2054" s="6" t="s">
        <v>2493</v>
      </c>
      <c r="G2054" s="33" t="s">
        <v>30</v>
      </c>
    </row>
    <row r="2055" spans="1:7" ht="14" x14ac:dyDescent="0.15">
      <c r="A2055" s="6" t="s">
        <v>521</v>
      </c>
      <c r="B2055" s="6" t="s">
        <v>539</v>
      </c>
      <c r="C2055" s="7" t="s">
        <v>540</v>
      </c>
      <c r="D2055" s="6">
        <v>17</v>
      </c>
      <c r="E2055" s="8" t="s">
        <v>2685</v>
      </c>
      <c r="F2055" s="6" t="s">
        <v>2493</v>
      </c>
      <c r="G2055" s="33" t="s">
        <v>83</v>
      </c>
    </row>
    <row r="2056" spans="1:7" ht="14" x14ac:dyDescent="0.15">
      <c r="A2056" s="6" t="s">
        <v>2217</v>
      </c>
      <c r="B2056" s="6" t="s">
        <v>2218</v>
      </c>
      <c r="C2056" s="7" t="s">
        <v>2330</v>
      </c>
      <c r="D2056" s="6">
        <v>11</v>
      </c>
      <c r="E2056" s="8" t="s">
        <v>2686</v>
      </c>
      <c r="F2056" s="6" t="s">
        <v>2493</v>
      </c>
      <c r="G2056" s="33" t="s">
        <v>30</v>
      </c>
    </row>
    <row r="2057" spans="1:7" ht="14" x14ac:dyDescent="0.15">
      <c r="A2057" s="6" t="s">
        <v>1852</v>
      </c>
      <c r="B2057" s="6" t="s">
        <v>1853</v>
      </c>
      <c r="C2057" s="7" t="s">
        <v>1854</v>
      </c>
      <c r="D2057" s="6">
        <v>223</v>
      </c>
      <c r="E2057" s="8" t="s">
        <v>2687</v>
      </c>
      <c r="F2057" s="6" t="s">
        <v>2493</v>
      </c>
      <c r="G2057" s="33" t="s">
        <v>23</v>
      </c>
    </row>
    <row r="2058" spans="1:7" ht="14" x14ac:dyDescent="0.15">
      <c r="A2058" s="6" t="s">
        <v>842</v>
      </c>
      <c r="B2058" s="6" t="s">
        <v>843</v>
      </c>
      <c r="C2058" s="7" t="s">
        <v>1255</v>
      </c>
      <c r="D2058" s="6">
        <v>66</v>
      </c>
      <c r="E2058" s="8" t="s">
        <v>2688</v>
      </c>
      <c r="F2058" s="6" t="s">
        <v>2493</v>
      </c>
      <c r="G2058" s="33" t="s">
        <v>83</v>
      </c>
    </row>
    <row r="2059" spans="1:7" ht="14" x14ac:dyDescent="0.15">
      <c r="A2059" s="6" t="s">
        <v>101</v>
      </c>
      <c r="B2059" s="6" t="s">
        <v>102</v>
      </c>
      <c r="C2059" s="7" t="s">
        <v>103</v>
      </c>
      <c r="D2059" s="6">
        <v>77</v>
      </c>
      <c r="E2059" s="8" t="s">
        <v>2689</v>
      </c>
      <c r="F2059" s="6" t="s">
        <v>2493</v>
      </c>
      <c r="G2059" s="33" t="s">
        <v>30</v>
      </c>
    </row>
    <row r="2060" spans="1:7" ht="14" x14ac:dyDescent="0.15">
      <c r="A2060" s="6" t="s">
        <v>2343</v>
      </c>
      <c r="B2060" s="6" t="s">
        <v>2344</v>
      </c>
      <c r="C2060" s="7" t="s">
        <v>2345</v>
      </c>
      <c r="D2060" s="6">
        <v>123</v>
      </c>
      <c r="E2060" s="8" t="s">
        <v>2690</v>
      </c>
      <c r="F2060" s="6" t="s">
        <v>2493</v>
      </c>
      <c r="G2060" s="33" t="s">
        <v>30</v>
      </c>
    </row>
    <row r="2061" spans="1:7" ht="14" x14ac:dyDescent="0.15">
      <c r="A2061" s="6" t="s">
        <v>586</v>
      </c>
      <c r="B2061" s="6" t="s">
        <v>587</v>
      </c>
      <c r="C2061" s="7" t="s">
        <v>588</v>
      </c>
      <c r="D2061" s="6">
        <v>12</v>
      </c>
      <c r="E2061" s="8" t="s">
        <v>2691</v>
      </c>
      <c r="F2061" s="6" t="s">
        <v>2493</v>
      </c>
      <c r="G2061" s="33" t="s">
        <v>30</v>
      </c>
    </row>
    <row r="2062" spans="1:7" ht="14" x14ac:dyDescent="0.15">
      <c r="A2062" s="6" t="s">
        <v>593</v>
      </c>
      <c r="B2062" s="6" t="s">
        <v>596</v>
      </c>
      <c r="C2062" s="7" t="s">
        <v>597</v>
      </c>
      <c r="D2062" s="6">
        <v>71</v>
      </c>
      <c r="E2062" s="8" t="s">
        <v>2692</v>
      </c>
      <c r="F2062" s="6" t="s">
        <v>2493</v>
      </c>
      <c r="G2062" s="33" t="s">
        <v>30</v>
      </c>
    </row>
    <row r="2063" spans="1:7" ht="14" x14ac:dyDescent="0.15">
      <c r="A2063" s="6" t="s">
        <v>181</v>
      </c>
      <c r="B2063" s="6" t="s">
        <v>182</v>
      </c>
      <c r="C2063" s="7" t="s">
        <v>183</v>
      </c>
      <c r="D2063" s="6">
        <v>31</v>
      </c>
      <c r="E2063" s="8" t="s">
        <v>2693</v>
      </c>
      <c r="F2063" s="6" t="s">
        <v>2694</v>
      </c>
      <c r="G2063" s="33" t="s">
        <v>30</v>
      </c>
    </row>
    <row r="2064" spans="1:7" ht="14" x14ac:dyDescent="0.15">
      <c r="A2064" s="6" t="s">
        <v>7</v>
      </c>
      <c r="B2064" s="6" t="s">
        <v>8</v>
      </c>
      <c r="C2064" s="7" t="s">
        <v>9</v>
      </c>
      <c r="D2064" s="6">
        <v>62</v>
      </c>
      <c r="E2064" s="8" t="s">
        <v>2695</v>
      </c>
      <c r="F2064" s="6" t="s">
        <v>2694</v>
      </c>
      <c r="G2064" s="33" t="s">
        <v>88</v>
      </c>
    </row>
    <row r="2065" spans="1:7" ht="14" x14ac:dyDescent="0.15">
      <c r="A2065" s="6" t="s">
        <v>944</v>
      </c>
      <c r="B2065" s="6" t="s">
        <v>945</v>
      </c>
      <c r="C2065" s="7" t="s">
        <v>946</v>
      </c>
      <c r="D2065" s="6">
        <v>19</v>
      </c>
      <c r="E2065" s="8" t="s">
        <v>2696</v>
      </c>
      <c r="F2065" s="6" t="s">
        <v>2694</v>
      </c>
      <c r="G2065" s="33" t="s">
        <v>30</v>
      </c>
    </row>
    <row r="2066" spans="1:7" ht="14" x14ac:dyDescent="0.15">
      <c r="A2066" s="6" t="s">
        <v>7</v>
      </c>
      <c r="B2066" s="6" t="s">
        <v>8</v>
      </c>
      <c r="C2066" s="7" t="s">
        <v>1057</v>
      </c>
      <c r="D2066" s="6">
        <v>62</v>
      </c>
      <c r="E2066" s="8" t="s">
        <v>2695</v>
      </c>
      <c r="F2066" s="6" t="s">
        <v>2694</v>
      </c>
      <c r="G2066" s="33" t="s">
        <v>88</v>
      </c>
    </row>
    <row r="2067" spans="1:7" ht="14" x14ac:dyDescent="0.15">
      <c r="A2067" s="6" t="s">
        <v>275</v>
      </c>
      <c r="B2067" s="6" t="s">
        <v>276</v>
      </c>
      <c r="C2067" s="7" t="s">
        <v>277</v>
      </c>
      <c r="D2067" s="6">
        <v>11</v>
      </c>
      <c r="E2067" s="8" t="s">
        <v>2697</v>
      </c>
      <c r="F2067" s="6" t="s">
        <v>2698</v>
      </c>
      <c r="G2067" s="33" t="s">
        <v>342</v>
      </c>
    </row>
    <row r="2068" spans="1:7" ht="14" x14ac:dyDescent="0.15">
      <c r="A2068" s="6" t="s">
        <v>1159</v>
      </c>
      <c r="B2068" s="6" t="s">
        <v>1160</v>
      </c>
      <c r="C2068" s="7" t="s">
        <v>1161</v>
      </c>
      <c r="D2068" s="6">
        <v>57</v>
      </c>
      <c r="E2068" s="8" t="s">
        <v>2699</v>
      </c>
      <c r="F2068" s="6" t="s">
        <v>2493</v>
      </c>
      <c r="G2068" s="33" t="s">
        <v>12</v>
      </c>
    </row>
    <row r="2069" spans="1:7" ht="28" x14ac:dyDescent="0.15">
      <c r="A2069" s="6" t="s">
        <v>382</v>
      </c>
      <c r="B2069" s="6" t="s">
        <v>383</v>
      </c>
      <c r="C2069" s="7" t="s">
        <v>384</v>
      </c>
      <c r="D2069" s="6">
        <v>69</v>
      </c>
      <c r="E2069" s="8" t="s">
        <v>2700</v>
      </c>
      <c r="F2069" s="6" t="s">
        <v>2698</v>
      </c>
      <c r="G2069" s="33" t="s">
        <v>30</v>
      </c>
    </row>
    <row r="2070" spans="1:7" ht="14" x14ac:dyDescent="0.15">
      <c r="A2070" s="6" t="s">
        <v>953</v>
      </c>
      <c r="B2070" s="6" t="s">
        <v>954</v>
      </c>
      <c r="C2070" s="7" t="s">
        <v>955</v>
      </c>
      <c r="D2070" s="6">
        <v>12</v>
      </c>
      <c r="E2070" s="8" t="s">
        <v>2701</v>
      </c>
      <c r="F2070" s="6" t="s">
        <v>2493</v>
      </c>
      <c r="G2070" s="33" t="s">
        <v>18</v>
      </c>
    </row>
    <row r="2071" spans="1:7" ht="28" x14ac:dyDescent="0.15">
      <c r="A2071" s="6" t="s">
        <v>666</v>
      </c>
      <c r="B2071" s="6" t="s">
        <v>667</v>
      </c>
      <c r="C2071" s="7" t="s">
        <v>668</v>
      </c>
      <c r="D2071" s="6">
        <v>72</v>
      </c>
      <c r="E2071" s="8" t="s">
        <v>2702</v>
      </c>
      <c r="F2071" s="6" t="s">
        <v>2493</v>
      </c>
      <c r="G2071" s="33" t="s">
        <v>18</v>
      </c>
    </row>
    <row r="2072" spans="1:7" ht="28" x14ac:dyDescent="0.15">
      <c r="A2072" s="6" t="s">
        <v>779</v>
      </c>
      <c r="B2072" s="6" t="s">
        <v>780</v>
      </c>
      <c r="C2072" s="7" t="s">
        <v>781</v>
      </c>
      <c r="D2072" s="6">
        <v>52</v>
      </c>
      <c r="E2072" s="8" t="s">
        <v>2703</v>
      </c>
      <c r="F2072" s="6" t="s">
        <v>2493</v>
      </c>
      <c r="G2072" s="33" t="s">
        <v>30</v>
      </c>
    </row>
    <row r="2073" spans="1:7" ht="14" x14ac:dyDescent="0.15">
      <c r="A2073" s="6" t="s">
        <v>173</v>
      </c>
      <c r="B2073" s="6" t="s">
        <v>174</v>
      </c>
      <c r="C2073" s="7" t="s">
        <v>175</v>
      </c>
      <c r="D2073" s="6">
        <v>100</v>
      </c>
      <c r="E2073" s="8" t="s">
        <v>2704</v>
      </c>
      <c r="F2073" s="6" t="s">
        <v>2493</v>
      </c>
      <c r="G2073" s="33" t="s">
        <v>342</v>
      </c>
    </row>
    <row r="2074" spans="1:7" ht="14" x14ac:dyDescent="0.15">
      <c r="A2074" s="6" t="s">
        <v>1461</v>
      </c>
      <c r="B2074" s="6" t="s">
        <v>1462</v>
      </c>
      <c r="C2074" s="7" t="s">
        <v>1463</v>
      </c>
      <c r="D2074" s="6">
        <v>28</v>
      </c>
      <c r="E2074" s="8" t="s">
        <v>2705</v>
      </c>
      <c r="F2074" s="6" t="s">
        <v>2493</v>
      </c>
      <c r="G2074" s="33" t="s">
        <v>30</v>
      </c>
    </row>
    <row r="2075" spans="1:7" ht="28" x14ac:dyDescent="0.15">
      <c r="A2075" s="6" t="s">
        <v>831</v>
      </c>
      <c r="B2075" s="6" t="s">
        <v>831</v>
      </c>
      <c r="C2075" s="7" t="s">
        <v>832</v>
      </c>
      <c r="D2075" s="6">
        <v>185</v>
      </c>
      <c r="E2075" s="8" t="s">
        <v>2706</v>
      </c>
      <c r="F2075" s="6" t="s">
        <v>2493</v>
      </c>
      <c r="G2075" s="33" t="s">
        <v>18</v>
      </c>
    </row>
    <row r="2076" spans="1:7" ht="14" x14ac:dyDescent="0.15">
      <c r="A2076" s="6" t="s">
        <v>232</v>
      </c>
      <c r="B2076" s="6" t="s">
        <v>233</v>
      </c>
      <c r="C2076" s="7" t="s">
        <v>234</v>
      </c>
      <c r="D2076" s="6">
        <v>52</v>
      </c>
      <c r="E2076" s="8" t="s">
        <v>2707</v>
      </c>
      <c r="F2076" s="6" t="s">
        <v>2493</v>
      </c>
      <c r="G2076" s="33" t="s">
        <v>30</v>
      </c>
    </row>
    <row r="2077" spans="1:7" ht="14" x14ac:dyDescent="0.15">
      <c r="A2077" s="6" t="s">
        <v>232</v>
      </c>
      <c r="B2077" s="6" t="s">
        <v>233</v>
      </c>
      <c r="C2077" s="7" t="s">
        <v>234</v>
      </c>
      <c r="D2077" s="6">
        <v>210</v>
      </c>
      <c r="E2077" s="8" t="s">
        <v>2708</v>
      </c>
      <c r="F2077" s="6" t="s">
        <v>2493</v>
      </c>
      <c r="G2077" s="33" t="s">
        <v>88</v>
      </c>
    </row>
    <row r="2078" spans="1:7" ht="14" x14ac:dyDescent="0.15">
      <c r="A2078" s="6" t="s">
        <v>279</v>
      </c>
      <c r="B2078" s="6" t="s">
        <v>280</v>
      </c>
      <c r="C2078" s="7" t="s">
        <v>281</v>
      </c>
      <c r="D2078" s="6">
        <v>72</v>
      </c>
      <c r="E2078" s="8" t="s">
        <v>2709</v>
      </c>
      <c r="F2078" s="6" t="s">
        <v>2493</v>
      </c>
      <c r="G2078" s="33" t="s">
        <v>30</v>
      </c>
    </row>
    <row r="2079" spans="1:7" ht="14" x14ac:dyDescent="0.15">
      <c r="A2079" s="6" t="s">
        <v>944</v>
      </c>
      <c r="B2079" s="6" t="s">
        <v>945</v>
      </c>
      <c r="C2079" s="7" t="s">
        <v>946</v>
      </c>
      <c r="D2079" s="6">
        <v>15</v>
      </c>
      <c r="E2079" s="8" t="s">
        <v>2710</v>
      </c>
      <c r="F2079" s="6" t="s">
        <v>2493</v>
      </c>
      <c r="G2079" s="33" t="s">
        <v>30</v>
      </c>
    </row>
    <row r="2080" spans="1:7" ht="14" x14ac:dyDescent="0.15">
      <c r="A2080" s="6" t="s">
        <v>944</v>
      </c>
      <c r="B2080" s="6" t="s">
        <v>945</v>
      </c>
      <c r="C2080" s="7" t="s">
        <v>946</v>
      </c>
      <c r="D2080" s="6">
        <v>16</v>
      </c>
      <c r="E2080" s="8" t="s">
        <v>2711</v>
      </c>
      <c r="F2080" s="6" t="s">
        <v>2493</v>
      </c>
      <c r="G2080" s="33" t="s">
        <v>30</v>
      </c>
    </row>
    <row r="2081" spans="1:7" ht="14" x14ac:dyDescent="0.15">
      <c r="A2081" s="6" t="s">
        <v>2596</v>
      </c>
      <c r="B2081" s="6" t="s">
        <v>2597</v>
      </c>
      <c r="C2081" s="7" t="s">
        <v>2598</v>
      </c>
      <c r="D2081" s="6">
        <v>33</v>
      </c>
      <c r="E2081" s="8" t="s">
        <v>2712</v>
      </c>
      <c r="F2081" s="6" t="s">
        <v>2493</v>
      </c>
      <c r="G2081" s="33" t="s">
        <v>30</v>
      </c>
    </row>
    <row r="2082" spans="1:7" ht="14" x14ac:dyDescent="0.15">
      <c r="A2082" s="6" t="s">
        <v>656</v>
      </c>
      <c r="B2082" s="6" t="s">
        <v>657</v>
      </c>
      <c r="C2082" s="7" t="s">
        <v>658</v>
      </c>
      <c r="D2082" s="6">
        <v>25</v>
      </c>
      <c r="E2082" s="8" t="s">
        <v>2713</v>
      </c>
      <c r="F2082" s="6" t="s">
        <v>2493</v>
      </c>
      <c r="G2082" s="33" t="s">
        <v>30</v>
      </c>
    </row>
    <row r="2083" spans="1:7" ht="14" x14ac:dyDescent="0.15">
      <c r="A2083" s="6" t="s">
        <v>366</v>
      </c>
      <c r="B2083" s="6" t="s">
        <v>367</v>
      </c>
      <c r="C2083" s="7" t="s">
        <v>368</v>
      </c>
      <c r="D2083" s="6">
        <v>69</v>
      </c>
      <c r="E2083" s="8" t="s">
        <v>2714</v>
      </c>
      <c r="F2083" s="6" t="s">
        <v>2493</v>
      </c>
      <c r="G2083" s="33" t="s">
        <v>30</v>
      </c>
    </row>
    <row r="2084" spans="1:7" ht="28" x14ac:dyDescent="0.15">
      <c r="A2084" s="6" t="s">
        <v>1011</v>
      </c>
      <c r="B2084" s="6" t="s">
        <v>1012</v>
      </c>
      <c r="C2084" s="7" t="s">
        <v>1013</v>
      </c>
      <c r="D2084" s="6">
        <v>56</v>
      </c>
      <c r="E2084" s="8" t="s">
        <v>2715</v>
      </c>
      <c r="F2084" s="6" t="s">
        <v>2493</v>
      </c>
      <c r="G2084" s="33" t="s">
        <v>30</v>
      </c>
    </row>
    <row r="2085" spans="1:7" ht="14" x14ac:dyDescent="0.15">
      <c r="A2085" s="6" t="s">
        <v>1011</v>
      </c>
      <c r="B2085" s="6" t="s">
        <v>1012</v>
      </c>
      <c r="C2085" s="7" t="s">
        <v>1013</v>
      </c>
      <c r="D2085" s="6">
        <v>60</v>
      </c>
      <c r="E2085" s="8" t="s">
        <v>2716</v>
      </c>
      <c r="F2085" s="6" t="s">
        <v>2493</v>
      </c>
      <c r="G2085" s="33" t="s">
        <v>83</v>
      </c>
    </row>
    <row r="2086" spans="1:7" ht="14" x14ac:dyDescent="0.15">
      <c r="A2086" s="6" t="s">
        <v>1011</v>
      </c>
      <c r="B2086" s="6" t="s">
        <v>1012</v>
      </c>
      <c r="C2086" s="7" t="s">
        <v>1013</v>
      </c>
      <c r="D2086" s="6">
        <v>129</v>
      </c>
      <c r="E2086" s="8" t="s">
        <v>2717</v>
      </c>
      <c r="F2086" s="6" t="s">
        <v>2493</v>
      </c>
      <c r="G2086" s="33" t="s">
        <v>83</v>
      </c>
    </row>
    <row r="2087" spans="1:7" ht="14" x14ac:dyDescent="0.15">
      <c r="A2087" s="6" t="s">
        <v>708</v>
      </c>
      <c r="B2087" s="6" t="s">
        <v>709</v>
      </c>
      <c r="C2087" s="7" t="s">
        <v>710</v>
      </c>
      <c r="D2087" s="6">
        <v>114</v>
      </c>
      <c r="E2087" s="8" t="s">
        <v>2718</v>
      </c>
      <c r="F2087" s="6" t="s">
        <v>2493</v>
      </c>
      <c r="G2087" s="33" t="s">
        <v>30</v>
      </c>
    </row>
    <row r="2088" spans="1:7" ht="14" x14ac:dyDescent="0.15">
      <c r="A2088" s="6" t="s">
        <v>2217</v>
      </c>
      <c r="B2088" s="6" t="s">
        <v>2218</v>
      </c>
      <c r="C2088" s="7" t="s">
        <v>2219</v>
      </c>
      <c r="D2088" s="6">
        <v>14</v>
      </c>
      <c r="E2088" s="8" t="s">
        <v>2719</v>
      </c>
      <c r="F2088" s="6" t="s">
        <v>2493</v>
      </c>
      <c r="G2088" s="33" t="s">
        <v>30</v>
      </c>
    </row>
    <row r="2089" spans="1:7" ht="28" x14ac:dyDescent="0.15">
      <c r="A2089" s="6" t="s">
        <v>1125</v>
      </c>
      <c r="B2089" s="6" t="s">
        <v>1126</v>
      </c>
      <c r="C2089" s="7" t="s">
        <v>1127</v>
      </c>
      <c r="D2089" s="6">
        <v>28</v>
      </c>
      <c r="E2089" s="8" t="s">
        <v>2720</v>
      </c>
      <c r="F2089" s="6" t="s">
        <v>2493</v>
      </c>
      <c r="G2089" s="33" t="s">
        <v>30</v>
      </c>
    </row>
    <row r="2090" spans="1:7" ht="14" x14ac:dyDescent="0.15">
      <c r="A2090" s="6" t="s">
        <v>408</v>
      </c>
      <c r="B2090" s="6" t="s">
        <v>409</v>
      </c>
      <c r="C2090" s="7" t="s">
        <v>410</v>
      </c>
      <c r="D2090" s="6">
        <v>29</v>
      </c>
      <c r="E2090" s="8" t="s">
        <v>2721</v>
      </c>
      <c r="F2090" s="6" t="s">
        <v>2493</v>
      </c>
      <c r="G2090" s="33" t="s">
        <v>30</v>
      </c>
    </row>
    <row r="2091" spans="1:7" ht="14" x14ac:dyDescent="0.15">
      <c r="A2091" s="6" t="s">
        <v>445</v>
      </c>
      <c r="B2091" s="6" t="s">
        <v>446</v>
      </c>
      <c r="C2091" s="7" t="s">
        <v>447</v>
      </c>
      <c r="D2091" s="6">
        <v>33</v>
      </c>
      <c r="E2091" s="8" t="s">
        <v>2722</v>
      </c>
      <c r="F2091" s="6" t="s">
        <v>2493</v>
      </c>
      <c r="G2091" s="33" t="s">
        <v>30</v>
      </c>
    </row>
    <row r="2092" spans="1:7" ht="14" x14ac:dyDescent="0.15">
      <c r="A2092" s="6" t="s">
        <v>445</v>
      </c>
      <c r="B2092" s="6" t="s">
        <v>455</v>
      </c>
      <c r="C2092" s="7" t="s">
        <v>456</v>
      </c>
      <c r="D2092" s="6">
        <v>33</v>
      </c>
      <c r="E2092" s="8" t="s">
        <v>2722</v>
      </c>
      <c r="F2092" s="6" t="s">
        <v>2493</v>
      </c>
      <c r="G2092" s="33" t="s">
        <v>30</v>
      </c>
    </row>
    <row r="2093" spans="1:7" ht="14" x14ac:dyDescent="0.15">
      <c r="A2093" s="6" t="s">
        <v>47</v>
      </c>
      <c r="B2093" s="6" t="s">
        <v>475</v>
      </c>
      <c r="C2093" s="7" t="s">
        <v>476</v>
      </c>
      <c r="D2093" s="6">
        <v>112</v>
      </c>
      <c r="E2093" s="8" t="s">
        <v>2723</v>
      </c>
      <c r="F2093" s="6" t="s">
        <v>2493</v>
      </c>
      <c r="G2093" s="33" t="s">
        <v>23</v>
      </c>
    </row>
    <row r="2094" spans="1:7" ht="14" x14ac:dyDescent="0.15">
      <c r="A2094" s="6" t="s">
        <v>2217</v>
      </c>
      <c r="B2094" s="6" t="s">
        <v>2218</v>
      </c>
      <c r="C2094" s="7" t="s">
        <v>2330</v>
      </c>
      <c r="D2094" s="6">
        <v>5</v>
      </c>
      <c r="E2094" s="8" t="s">
        <v>2724</v>
      </c>
      <c r="F2094" s="6" t="s">
        <v>2493</v>
      </c>
      <c r="G2094" s="33" t="s">
        <v>136</v>
      </c>
    </row>
    <row r="2095" spans="1:7" ht="14" x14ac:dyDescent="0.15">
      <c r="A2095" s="6" t="s">
        <v>2217</v>
      </c>
      <c r="B2095" s="6" t="s">
        <v>2218</v>
      </c>
      <c r="C2095" s="7" t="s">
        <v>2330</v>
      </c>
      <c r="D2095" s="6">
        <v>12</v>
      </c>
      <c r="E2095" s="8" t="s">
        <v>2725</v>
      </c>
      <c r="F2095" s="6" t="s">
        <v>2493</v>
      </c>
      <c r="G2095" s="33" t="s">
        <v>88</v>
      </c>
    </row>
    <row r="2096" spans="1:7" ht="14" x14ac:dyDescent="0.15">
      <c r="A2096" s="6" t="s">
        <v>177</v>
      </c>
      <c r="B2096" s="6" t="s">
        <v>178</v>
      </c>
      <c r="C2096" s="7" t="s">
        <v>179</v>
      </c>
      <c r="D2096" s="6">
        <v>75</v>
      </c>
      <c r="E2096" s="8" t="s">
        <v>2726</v>
      </c>
      <c r="F2096" s="6" t="s">
        <v>2694</v>
      </c>
      <c r="G2096" s="33" t="s">
        <v>342</v>
      </c>
    </row>
    <row r="2097" spans="1:7" ht="14" x14ac:dyDescent="0.15">
      <c r="A2097" s="6" t="s">
        <v>13</v>
      </c>
      <c r="B2097" s="6" t="s">
        <v>14</v>
      </c>
      <c r="C2097" s="7" t="s">
        <v>15</v>
      </c>
      <c r="D2097" s="6">
        <v>3</v>
      </c>
      <c r="E2097" s="8" t="s">
        <v>2727</v>
      </c>
      <c r="F2097" s="6" t="s">
        <v>2493</v>
      </c>
      <c r="G2097" s="33" t="s">
        <v>18</v>
      </c>
    </row>
    <row r="2098" spans="1:7" ht="14" x14ac:dyDescent="0.15">
      <c r="A2098" s="6" t="s">
        <v>232</v>
      </c>
      <c r="B2098" s="6" t="s">
        <v>233</v>
      </c>
      <c r="C2098" s="7" t="s">
        <v>234</v>
      </c>
      <c r="D2098" s="6">
        <v>179</v>
      </c>
      <c r="E2098" s="8" t="s">
        <v>2728</v>
      </c>
      <c r="F2098" s="6" t="s">
        <v>2493</v>
      </c>
      <c r="G2098" s="33" t="s">
        <v>18</v>
      </c>
    </row>
    <row r="2099" spans="1:7" ht="14" x14ac:dyDescent="0.15">
      <c r="A2099" s="6" t="s">
        <v>349</v>
      </c>
      <c r="B2099" s="6" t="s">
        <v>350</v>
      </c>
      <c r="C2099" s="7" t="s">
        <v>351</v>
      </c>
      <c r="D2099" s="6">
        <v>54</v>
      </c>
      <c r="E2099" s="8" t="s">
        <v>2729</v>
      </c>
      <c r="F2099" s="6" t="s">
        <v>2493</v>
      </c>
      <c r="G2099" s="33" t="s">
        <v>30</v>
      </c>
    </row>
    <row r="2100" spans="1:7" ht="14" x14ac:dyDescent="0.15">
      <c r="A2100" s="6" t="s">
        <v>51</v>
      </c>
      <c r="B2100" s="6" t="s">
        <v>492</v>
      </c>
      <c r="C2100" s="7" t="s">
        <v>493</v>
      </c>
      <c r="D2100" s="6">
        <v>19</v>
      </c>
      <c r="E2100" s="8" t="s">
        <v>2730</v>
      </c>
      <c r="F2100" s="6" t="s">
        <v>2493</v>
      </c>
      <c r="G2100" s="33" t="s">
        <v>77</v>
      </c>
    </row>
    <row r="2101" spans="1:7" ht="14" x14ac:dyDescent="0.15">
      <c r="A2101" s="6" t="s">
        <v>101</v>
      </c>
      <c r="B2101" s="6" t="s">
        <v>102</v>
      </c>
      <c r="C2101" s="7" t="s">
        <v>103</v>
      </c>
      <c r="D2101" s="6">
        <v>66</v>
      </c>
      <c r="E2101" s="8" t="s">
        <v>2731</v>
      </c>
      <c r="F2101" s="6" t="s">
        <v>2493</v>
      </c>
      <c r="G2101" s="33" t="s">
        <v>67</v>
      </c>
    </row>
    <row r="2102" spans="1:7" ht="14" x14ac:dyDescent="0.15">
      <c r="A2102" s="6" t="s">
        <v>254</v>
      </c>
      <c r="B2102" s="6" t="s">
        <v>255</v>
      </c>
      <c r="C2102" s="7" t="s">
        <v>256</v>
      </c>
      <c r="D2102" s="6">
        <v>39</v>
      </c>
      <c r="E2102" s="8" t="s">
        <v>2732</v>
      </c>
      <c r="F2102" s="6" t="s">
        <v>2493</v>
      </c>
      <c r="G2102" s="33" t="s">
        <v>30</v>
      </c>
    </row>
    <row r="2103" spans="1:7" ht="14" x14ac:dyDescent="0.15">
      <c r="A2103" s="6" t="s">
        <v>68</v>
      </c>
      <c r="B2103" s="6" t="s">
        <v>69</v>
      </c>
      <c r="C2103" s="7" t="s">
        <v>70</v>
      </c>
      <c r="D2103" s="6">
        <v>115</v>
      </c>
      <c r="E2103" s="8" t="s">
        <v>2733</v>
      </c>
      <c r="F2103" s="6" t="s">
        <v>2734</v>
      </c>
      <c r="G2103" s="33" t="s">
        <v>30</v>
      </c>
    </row>
    <row r="2104" spans="1:7" ht="14" x14ac:dyDescent="0.15">
      <c r="A2104" s="6" t="s">
        <v>68</v>
      </c>
      <c r="B2104" s="6" t="s">
        <v>69</v>
      </c>
      <c r="C2104" s="7" t="s">
        <v>70</v>
      </c>
      <c r="D2104" s="6">
        <v>116</v>
      </c>
      <c r="E2104" s="8" t="s">
        <v>2735</v>
      </c>
      <c r="F2104" s="6" t="s">
        <v>2736</v>
      </c>
      <c r="G2104" s="33" t="s">
        <v>30</v>
      </c>
    </row>
    <row r="2105" spans="1:7" ht="14" x14ac:dyDescent="0.15">
      <c r="A2105" s="6" t="s">
        <v>68</v>
      </c>
      <c r="B2105" s="6" t="s">
        <v>69</v>
      </c>
      <c r="C2105" s="7" t="s">
        <v>70</v>
      </c>
      <c r="D2105" s="6">
        <v>139</v>
      </c>
      <c r="E2105" s="8" t="s">
        <v>2737</v>
      </c>
      <c r="F2105" s="6" t="s">
        <v>2734</v>
      </c>
      <c r="G2105" s="33" t="s">
        <v>83</v>
      </c>
    </row>
    <row r="2106" spans="1:7" ht="28" x14ac:dyDescent="0.15">
      <c r="A2106" s="6" t="s">
        <v>68</v>
      </c>
      <c r="B2106" s="6" t="s">
        <v>69</v>
      </c>
      <c r="C2106" s="7" t="s">
        <v>70</v>
      </c>
      <c r="D2106" s="6">
        <v>179</v>
      </c>
      <c r="E2106" s="8" t="s">
        <v>2738</v>
      </c>
      <c r="F2106" s="6" t="s">
        <v>2734</v>
      </c>
      <c r="G2106" s="33" t="s">
        <v>30</v>
      </c>
    </row>
    <row r="2107" spans="1:7" ht="14" x14ac:dyDescent="0.15">
      <c r="A2107" s="6" t="s">
        <v>68</v>
      </c>
      <c r="B2107" s="6" t="s">
        <v>69</v>
      </c>
      <c r="C2107" s="7" t="s">
        <v>70</v>
      </c>
      <c r="D2107" s="6">
        <v>189</v>
      </c>
      <c r="E2107" s="8" t="s">
        <v>2739</v>
      </c>
      <c r="F2107" s="6" t="s">
        <v>2734</v>
      </c>
      <c r="G2107" s="33" t="s">
        <v>83</v>
      </c>
    </row>
    <row r="2108" spans="1:7" ht="14" x14ac:dyDescent="0.15">
      <c r="A2108" s="6" t="s">
        <v>2740</v>
      </c>
      <c r="B2108" s="6" t="s">
        <v>2741</v>
      </c>
      <c r="C2108" s="7" t="s">
        <v>2742</v>
      </c>
      <c r="D2108" s="6">
        <v>7</v>
      </c>
      <c r="E2108" s="8" t="s">
        <v>2743</v>
      </c>
      <c r="F2108" s="6" t="s">
        <v>2734</v>
      </c>
      <c r="G2108" s="33" t="s">
        <v>12</v>
      </c>
    </row>
    <row r="2109" spans="1:7" ht="14" x14ac:dyDescent="0.15">
      <c r="A2109" s="6" t="s">
        <v>1923</v>
      </c>
      <c r="B2109" s="6" t="s">
        <v>1924</v>
      </c>
      <c r="C2109" s="7" t="s">
        <v>1925</v>
      </c>
      <c r="D2109" s="6">
        <v>58</v>
      </c>
      <c r="E2109" s="8" t="s">
        <v>2744</v>
      </c>
      <c r="F2109" s="6" t="s">
        <v>2734</v>
      </c>
      <c r="G2109" s="33" t="s">
        <v>30</v>
      </c>
    </row>
    <row r="2110" spans="1:7" ht="14" x14ac:dyDescent="0.15">
      <c r="A2110" s="6" t="s">
        <v>118</v>
      </c>
      <c r="B2110" s="6" t="s">
        <v>119</v>
      </c>
      <c r="C2110" s="7" t="s">
        <v>120</v>
      </c>
      <c r="D2110" s="6">
        <v>61</v>
      </c>
      <c r="E2110" s="8" t="s">
        <v>2745</v>
      </c>
      <c r="F2110" s="6" t="s">
        <v>2734</v>
      </c>
      <c r="G2110" s="33" t="s">
        <v>83</v>
      </c>
    </row>
    <row r="2111" spans="1:7" ht="14" x14ac:dyDescent="0.15">
      <c r="A2111" s="6" t="s">
        <v>1402</v>
      </c>
      <c r="B2111" s="6" t="s">
        <v>1403</v>
      </c>
      <c r="C2111" s="7" t="s">
        <v>1404</v>
      </c>
      <c r="D2111" s="6">
        <v>7</v>
      </c>
      <c r="E2111" s="8" t="s">
        <v>2746</v>
      </c>
      <c r="F2111" s="6" t="s">
        <v>2734</v>
      </c>
      <c r="G2111" s="33" t="s">
        <v>88</v>
      </c>
    </row>
    <row r="2112" spans="1:7" ht="28" x14ac:dyDescent="0.15">
      <c r="A2112" s="6" t="s">
        <v>1402</v>
      </c>
      <c r="B2112" s="6" t="s">
        <v>1403</v>
      </c>
      <c r="C2112" s="7" t="s">
        <v>1404</v>
      </c>
      <c r="D2112" s="6">
        <v>32</v>
      </c>
      <c r="E2112" s="8" t="s">
        <v>2747</v>
      </c>
      <c r="F2112" s="6" t="s">
        <v>2734</v>
      </c>
      <c r="G2112" s="33" t="s">
        <v>88</v>
      </c>
    </row>
    <row r="2113" spans="1:7" ht="28" x14ac:dyDescent="0.15">
      <c r="A2113" s="6" t="s">
        <v>724</v>
      </c>
      <c r="B2113" s="6" t="s">
        <v>724</v>
      </c>
      <c r="C2113" s="7" t="s">
        <v>725</v>
      </c>
      <c r="D2113" s="6">
        <v>15</v>
      </c>
      <c r="E2113" s="8" t="s">
        <v>2748</v>
      </c>
      <c r="F2113" s="6" t="s">
        <v>2736</v>
      </c>
      <c r="G2113" s="33" t="s">
        <v>136</v>
      </c>
    </row>
    <row r="2114" spans="1:7" ht="14" x14ac:dyDescent="0.15">
      <c r="A2114" s="6" t="s">
        <v>724</v>
      </c>
      <c r="B2114" s="6" t="s">
        <v>724</v>
      </c>
      <c r="C2114" s="7" t="s">
        <v>725</v>
      </c>
      <c r="D2114" s="6">
        <v>29</v>
      </c>
      <c r="E2114" s="8" t="s">
        <v>2749</v>
      </c>
      <c r="F2114" s="6" t="s">
        <v>2734</v>
      </c>
      <c r="G2114" s="33" t="s">
        <v>136</v>
      </c>
    </row>
    <row r="2115" spans="1:7" ht="14" x14ac:dyDescent="0.15">
      <c r="A2115" s="6" t="s">
        <v>619</v>
      </c>
      <c r="B2115" s="6" t="s">
        <v>1932</v>
      </c>
      <c r="C2115" s="7" t="s">
        <v>1933</v>
      </c>
      <c r="D2115" s="6">
        <v>9</v>
      </c>
      <c r="E2115" s="8" t="s">
        <v>2750</v>
      </c>
      <c r="F2115" s="6" t="s">
        <v>2734</v>
      </c>
      <c r="G2115" s="33" t="s">
        <v>23</v>
      </c>
    </row>
    <row r="2116" spans="1:7" ht="28" x14ac:dyDescent="0.15">
      <c r="A2116" s="6" t="s">
        <v>619</v>
      </c>
      <c r="B2116" s="6" t="s">
        <v>620</v>
      </c>
      <c r="C2116" s="7" t="s">
        <v>621</v>
      </c>
      <c r="D2116" s="6">
        <v>120</v>
      </c>
      <c r="E2116" s="8" t="s">
        <v>2751</v>
      </c>
      <c r="F2116" s="6" t="s">
        <v>2734</v>
      </c>
      <c r="G2116" s="33" t="s">
        <v>83</v>
      </c>
    </row>
    <row r="2117" spans="1:7" ht="14" x14ac:dyDescent="0.15">
      <c r="A2117" s="6" t="s">
        <v>619</v>
      </c>
      <c r="B2117" s="6" t="s">
        <v>620</v>
      </c>
      <c r="C2117" s="7" t="s">
        <v>621</v>
      </c>
      <c r="D2117" s="6">
        <v>128</v>
      </c>
      <c r="E2117" s="8" t="s">
        <v>2752</v>
      </c>
      <c r="F2117" s="6" t="s">
        <v>2736</v>
      </c>
      <c r="G2117" s="33" t="s">
        <v>30</v>
      </c>
    </row>
    <row r="2118" spans="1:7" ht="28" x14ac:dyDescent="0.15">
      <c r="A2118" s="6" t="s">
        <v>619</v>
      </c>
      <c r="B2118" s="6" t="s">
        <v>620</v>
      </c>
      <c r="C2118" s="7" t="s">
        <v>621</v>
      </c>
      <c r="D2118" s="6">
        <v>211</v>
      </c>
      <c r="E2118" s="8" t="s">
        <v>2753</v>
      </c>
      <c r="F2118" s="6" t="s">
        <v>2734</v>
      </c>
      <c r="G2118" s="33" t="s">
        <v>30</v>
      </c>
    </row>
    <row r="2119" spans="1:7" ht="14" x14ac:dyDescent="0.15">
      <c r="A2119" s="6" t="s">
        <v>47</v>
      </c>
      <c r="B2119" s="6" t="s">
        <v>635</v>
      </c>
      <c r="C2119" s="7" t="s">
        <v>636</v>
      </c>
      <c r="D2119" s="6">
        <v>89</v>
      </c>
      <c r="E2119" s="8" t="s">
        <v>2754</v>
      </c>
      <c r="F2119" s="6" t="s">
        <v>2734</v>
      </c>
      <c r="G2119" s="33" t="s">
        <v>30</v>
      </c>
    </row>
    <row r="2120" spans="1:7" ht="14" x14ac:dyDescent="0.15">
      <c r="A2120" s="6" t="s">
        <v>47</v>
      </c>
      <c r="B2120" s="6" t="s">
        <v>635</v>
      </c>
      <c r="C2120" s="7" t="s">
        <v>636</v>
      </c>
      <c r="D2120" s="6">
        <v>124</v>
      </c>
      <c r="E2120" s="8" t="s">
        <v>2755</v>
      </c>
      <c r="F2120" s="6" t="s">
        <v>2734</v>
      </c>
      <c r="G2120" s="33" t="s">
        <v>83</v>
      </c>
    </row>
    <row r="2121" spans="1:7" ht="28" x14ac:dyDescent="0.15">
      <c r="A2121" s="6" t="s">
        <v>127</v>
      </c>
      <c r="B2121" s="6" t="s">
        <v>128</v>
      </c>
      <c r="C2121" s="7" t="s">
        <v>129</v>
      </c>
      <c r="D2121" s="6">
        <v>82</v>
      </c>
      <c r="E2121" s="8" t="s">
        <v>2756</v>
      </c>
      <c r="F2121" s="6" t="s">
        <v>2734</v>
      </c>
      <c r="G2121" s="33" t="s">
        <v>30</v>
      </c>
    </row>
    <row r="2122" spans="1:7" ht="28" x14ac:dyDescent="0.15">
      <c r="A2122" s="6" t="s">
        <v>127</v>
      </c>
      <c r="B2122" s="6" t="s">
        <v>128</v>
      </c>
      <c r="C2122" s="7" t="s">
        <v>129</v>
      </c>
      <c r="D2122" s="6">
        <v>99</v>
      </c>
      <c r="E2122" s="8" t="s">
        <v>2757</v>
      </c>
      <c r="F2122" s="6" t="s">
        <v>2734</v>
      </c>
      <c r="G2122" s="33" t="s">
        <v>30</v>
      </c>
    </row>
    <row r="2123" spans="1:7" ht="14" x14ac:dyDescent="0.15">
      <c r="A2123" s="6" t="s">
        <v>127</v>
      </c>
      <c r="B2123" s="6" t="s">
        <v>128</v>
      </c>
      <c r="C2123" s="7" t="s">
        <v>129</v>
      </c>
      <c r="D2123" s="6">
        <v>117</v>
      </c>
      <c r="E2123" s="8" t="s">
        <v>2758</v>
      </c>
      <c r="F2123" s="6" t="s">
        <v>2734</v>
      </c>
      <c r="G2123" s="33" t="s">
        <v>219</v>
      </c>
    </row>
    <row r="2124" spans="1:7" ht="14" x14ac:dyDescent="0.15">
      <c r="A2124" s="6" t="s">
        <v>127</v>
      </c>
      <c r="B2124" s="6" t="s">
        <v>128</v>
      </c>
      <c r="C2124" s="7" t="s">
        <v>129</v>
      </c>
      <c r="D2124" s="6">
        <v>142</v>
      </c>
      <c r="E2124" s="8" t="s">
        <v>2759</v>
      </c>
      <c r="F2124" s="6" t="s">
        <v>2734</v>
      </c>
      <c r="G2124" s="33" t="s">
        <v>136</v>
      </c>
    </row>
    <row r="2125" spans="1:7" ht="14" x14ac:dyDescent="0.15">
      <c r="A2125" s="6" t="s">
        <v>1409</v>
      </c>
      <c r="B2125" s="6" t="s">
        <v>1409</v>
      </c>
      <c r="C2125" s="7" t="s">
        <v>1410</v>
      </c>
      <c r="D2125" s="6">
        <v>31</v>
      </c>
      <c r="E2125" s="8" t="s">
        <v>2760</v>
      </c>
      <c r="F2125" s="6" t="s">
        <v>2734</v>
      </c>
      <c r="G2125" s="33" t="s">
        <v>83</v>
      </c>
    </row>
    <row r="2126" spans="1:7" ht="14" x14ac:dyDescent="0.15">
      <c r="A2126" s="6" t="s">
        <v>131</v>
      </c>
      <c r="B2126" s="6" t="s">
        <v>132</v>
      </c>
      <c r="C2126" s="7" t="s">
        <v>133</v>
      </c>
      <c r="D2126" s="6">
        <v>38</v>
      </c>
      <c r="E2126" s="8" t="s">
        <v>2761</v>
      </c>
      <c r="F2126" s="6" t="s">
        <v>2734</v>
      </c>
      <c r="G2126" s="33" t="s">
        <v>83</v>
      </c>
    </row>
    <row r="2127" spans="1:7" ht="14" x14ac:dyDescent="0.15">
      <c r="A2127" s="6" t="s">
        <v>140</v>
      </c>
      <c r="B2127" s="6" t="s">
        <v>141</v>
      </c>
      <c r="C2127" s="7" t="s">
        <v>142</v>
      </c>
      <c r="D2127" s="6">
        <v>113</v>
      </c>
      <c r="E2127" s="8" t="s">
        <v>2762</v>
      </c>
      <c r="F2127" s="6" t="s">
        <v>2734</v>
      </c>
      <c r="G2127" s="33" t="s">
        <v>88</v>
      </c>
    </row>
    <row r="2128" spans="1:7" ht="28" x14ac:dyDescent="0.15">
      <c r="A2128" s="6" t="s">
        <v>140</v>
      </c>
      <c r="B2128" s="6" t="s">
        <v>141</v>
      </c>
      <c r="C2128" s="7" t="s">
        <v>142</v>
      </c>
      <c r="D2128" s="6">
        <v>127</v>
      </c>
      <c r="E2128" s="8" t="s">
        <v>2763</v>
      </c>
      <c r="F2128" s="6" t="s">
        <v>2734</v>
      </c>
      <c r="G2128" s="33" t="s">
        <v>88</v>
      </c>
    </row>
    <row r="2129" spans="1:7" ht="28" x14ac:dyDescent="0.15">
      <c r="A2129" s="6" t="s">
        <v>666</v>
      </c>
      <c r="B2129" s="6" t="s">
        <v>667</v>
      </c>
      <c r="C2129" s="7" t="s">
        <v>668</v>
      </c>
      <c r="D2129" s="6">
        <v>34</v>
      </c>
      <c r="E2129" s="8" t="s">
        <v>2764</v>
      </c>
      <c r="F2129" s="6" t="s">
        <v>2734</v>
      </c>
      <c r="G2129" s="33" t="s">
        <v>23</v>
      </c>
    </row>
    <row r="2130" spans="1:7" ht="14" x14ac:dyDescent="0.15">
      <c r="A2130" s="6" t="s">
        <v>666</v>
      </c>
      <c r="B2130" s="6" t="s">
        <v>667</v>
      </c>
      <c r="C2130" s="7" t="s">
        <v>668</v>
      </c>
      <c r="D2130" s="6">
        <v>64</v>
      </c>
      <c r="E2130" s="8" t="s">
        <v>2765</v>
      </c>
      <c r="F2130" s="6" t="s">
        <v>2734</v>
      </c>
      <c r="G2130" s="33" t="s">
        <v>77</v>
      </c>
    </row>
    <row r="2131" spans="1:7" ht="14" x14ac:dyDescent="0.15">
      <c r="A2131" s="6" t="s">
        <v>666</v>
      </c>
      <c r="B2131" s="6" t="s">
        <v>667</v>
      </c>
      <c r="C2131" s="7" t="s">
        <v>668</v>
      </c>
      <c r="D2131" s="6">
        <v>65</v>
      </c>
      <c r="E2131" s="8" t="s">
        <v>2766</v>
      </c>
      <c r="F2131" s="6" t="s">
        <v>2734</v>
      </c>
      <c r="G2131" s="33" t="s">
        <v>77</v>
      </c>
    </row>
    <row r="2132" spans="1:7" ht="28" x14ac:dyDescent="0.15">
      <c r="A2132" s="6" t="s">
        <v>666</v>
      </c>
      <c r="B2132" s="6" t="s">
        <v>667</v>
      </c>
      <c r="C2132" s="7" t="s">
        <v>668</v>
      </c>
      <c r="D2132" s="6">
        <v>71</v>
      </c>
      <c r="E2132" s="8" t="s">
        <v>2767</v>
      </c>
      <c r="F2132" s="6" t="s">
        <v>2734</v>
      </c>
      <c r="G2132" s="33" t="s">
        <v>77</v>
      </c>
    </row>
    <row r="2133" spans="1:7" ht="14" x14ac:dyDescent="0.15">
      <c r="A2133" s="6" t="s">
        <v>666</v>
      </c>
      <c r="B2133" s="6" t="s">
        <v>667</v>
      </c>
      <c r="C2133" s="7" t="s">
        <v>668</v>
      </c>
      <c r="D2133" s="6">
        <v>83</v>
      </c>
      <c r="E2133" s="8" t="s">
        <v>2768</v>
      </c>
      <c r="F2133" s="6" t="s">
        <v>2734</v>
      </c>
      <c r="G2133" s="33" t="s">
        <v>18</v>
      </c>
    </row>
    <row r="2134" spans="1:7" ht="28" x14ac:dyDescent="0.15">
      <c r="A2134" s="6" t="s">
        <v>666</v>
      </c>
      <c r="B2134" s="6" t="s">
        <v>667</v>
      </c>
      <c r="C2134" s="7" t="s">
        <v>668</v>
      </c>
      <c r="D2134" s="6">
        <v>112</v>
      </c>
      <c r="E2134" s="8" t="s">
        <v>2769</v>
      </c>
      <c r="F2134" s="6" t="s">
        <v>2734</v>
      </c>
      <c r="G2134" s="33" t="s">
        <v>12</v>
      </c>
    </row>
    <row r="2135" spans="1:7" ht="14" x14ac:dyDescent="0.15">
      <c r="A2135" s="6" t="s">
        <v>670</v>
      </c>
      <c r="B2135" s="6" t="s">
        <v>671</v>
      </c>
      <c r="C2135" s="7" t="s">
        <v>672</v>
      </c>
      <c r="D2135" s="6">
        <v>61</v>
      </c>
      <c r="E2135" s="8" t="s">
        <v>2770</v>
      </c>
      <c r="F2135" s="6" t="s">
        <v>2734</v>
      </c>
      <c r="G2135" s="33" t="s">
        <v>88</v>
      </c>
    </row>
    <row r="2136" spans="1:7" ht="28" x14ac:dyDescent="0.15">
      <c r="A2136" s="6" t="s">
        <v>670</v>
      </c>
      <c r="B2136" s="6" t="s">
        <v>671</v>
      </c>
      <c r="C2136" s="7" t="s">
        <v>672</v>
      </c>
      <c r="D2136" s="6">
        <v>83</v>
      </c>
      <c r="E2136" s="8" t="s">
        <v>2771</v>
      </c>
      <c r="F2136" s="6" t="s">
        <v>2736</v>
      </c>
      <c r="G2136" s="33" t="s">
        <v>23</v>
      </c>
    </row>
    <row r="2137" spans="1:7" ht="14" x14ac:dyDescent="0.15">
      <c r="A2137" s="6" t="s">
        <v>670</v>
      </c>
      <c r="B2137" s="6" t="s">
        <v>671</v>
      </c>
      <c r="C2137" s="7" t="s">
        <v>672</v>
      </c>
      <c r="D2137" s="6">
        <v>88</v>
      </c>
      <c r="E2137" s="8" t="s">
        <v>2772</v>
      </c>
      <c r="F2137" s="6" t="s">
        <v>2773</v>
      </c>
      <c r="G2137" s="33" t="s">
        <v>18</v>
      </c>
    </row>
    <row r="2138" spans="1:7" ht="14" x14ac:dyDescent="0.15">
      <c r="A2138" s="6" t="s">
        <v>670</v>
      </c>
      <c r="B2138" s="6" t="s">
        <v>671</v>
      </c>
      <c r="C2138" s="7" t="s">
        <v>672</v>
      </c>
      <c r="D2138" s="6">
        <v>123</v>
      </c>
      <c r="E2138" s="8" t="s">
        <v>2774</v>
      </c>
      <c r="F2138" s="6" t="s">
        <v>2734</v>
      </c>
      <c r="G2138" s="33" t="s">
        <v>18</v>
      </c>
    </row>
    <row r="2139" spans="1:7" ht="28" x14ac:dyDescent="0.15">
      <c r="A2139" s="6" t="s">
        <v>156</v>
      </c>
      <c r="B2139" s="6" t="s">
        <v>156</v>
      </c>
      <c r="C2139" s="7" t="s">
        <v>157</v>
      </c>
      <c r="D2139" s="6">
        <v>36</v>
      </c>
      <c r="E2139" s="8" t="s">
        <v>2775</v>
      </c>
      <c r="F2139" s="6" t="s">
        <v>2736</v>
      </c>
      <c r="G2139" s="33" t="s">
        <v>23</v>
      </c>
    </row>
    <row r="2140" spans="1:7" ht="14" x14ac:dyDescent="0.15">
      <c r="A2140" s="6" t="s">
        <v>156</v>
      </c>
      <c r="B2140" s="6" t="s">
        <v>156</v>
      </c>
      <c r="C2140" s="7" t="s">
        <v>157</v>
      </c>
      <c r="D2140" s="6">
        <v>110</v>
      </c>
      <c r="E2140" s="8" t="s">
        <v>2776</v>
      </c>
      <c r="F2140" s="6" t="s">
        <v>2734</v>
      </c>
      <c r="G2140" s="33" t="s">
        <v>88</v>
      </c>
    </row>
    <row r="2141" spans="1:7" ht="14" x14ac:dyDescent="0.15">
      <c r="A2141" s="6" t="s">
        <v>156</v>
      </c>
      <c r="B2141" s="6" t="s">
        <v>159</v>
      </c>
      <c r="C2141" s="7" t="s">
        <v>160</v>
      </c>
      <c r="D2141" s="6">
        <v>275</v>
      </c>
      <c r="E2141" s="8" t="s">
        <v>2777</v>
      </c>
      <c r="F2141" s="6" t="s">
        <v>2734</v>
      </c>
      <c r="G2141" s="33" t="s">
        <v>88</v>
      </c>
    </row>
    <row r="2142" spans="1:7" ht="14" x14ac:dyDescent="0.15">
      <c r="A2142" s="6" t="s">
        <v>164</v>
      </c>
      <c r="B2142" s="6" t="s">
        <v>165</v>
      </c>
      <c r="C2142" s="7" t="s">
        <v>166</v>
      </c>
      <c r="D2142" s="6">
        <v>8</v>
      </c>
      <c r="E2142" s="8" t="s">
        <v>2778</v>
      </c>
      <c r="F2142" s="6" t="s">
        <v>2734</v>
      </c>
      <c r="G2142" s="33" t="s">
        <v>88</v>
      </c>
    </row>
    <row r="2143" spans="1:7" ht="14" x14ac:dyDescent="0.15">
      <c r="A2143" s="6" t="s">
        <v>164</v>
      </c>
      <c r="B2143" s="6" t="s">
        <v>165</v>
      </c>
      <c r="C2143" s="7" t="s">
        <v>166</v>
      </c>
      <c r="D2143" s="6">
        <v>60</v>
      </c>
      <c r="E2143" s="8" t="s">
        <v>2779</v>
      </c>
      <c r="F2143" s="6" t="s">
        <v>2734</v>
      </c>
      <c r="G2143" s="33" t="s">
        <v>83</v>
      </c>
    </row>
    <row r="2144" spans="1:7" ht="14" x14ac:dyDescent="0.15">
      <c r="A2144" s="6" t="s">
        <v>164</v>
      </c>
      <c r="B2144" s="6" t="s">
        <v>165</v>
      </c>
      <c r="C2144" s="7" t="s">
        <v>166</v>
      </c>
      <c r="D2144" s="6">
        <v>65</v>
      </c>
      <c r="E2144" s="8" t="s">
        <v>2780</v>
      </c>
      <c r="F2144" s="6" t="s">
        <v>2734</v>
      </c>
      <c r="G2144" s="33" t="s">
        <v>88</v>
      </c>
    </row>
    <row r="2145" spans="1:7" ht="14" x14ac:dyDescent="0.15">
      <c r="A2145" s="6" t="s">
        <v>2416</v>
      </c>
      <c r="B2145" s="6" t="s">
        <v>14</v>
      </c>
      <c r="C2145" s="7" t="s">
        <v>2417</v>
      </c>
      <c r="D2145" s="6">
        <v>9</v>
      </c>
      <c r="E2145" s="8" t="s">
        <v>2781</v>
      </c>
      <c r="F2145" s="6" t="s">
        <v>2734</v>
      </c>
      <c r="G2145" s="33" t="s">
        <v>83</v>
      </c>
    </row>
    <row r="2146" spans="1:7" ht="14" x14ac:dyDescent="0.15">
      <c r="A2146" s="6" t="s">
        <v>2416</v>
      </c>
      <c r="B2146" s="6" t="s">
        <v>14</v>
      </c>
      <c r="C2146" s="7" t="s">
        <v>2417</v>
      </c>
      <c r="D2146" s="6">
        <v>10</v>
      </c>
      <c r="E2146" s="8" t="s">
        <v>2782</v>
      </c>
      <c r="F2146" s="6" t="s">
        <v>2734</v>
      </c>
      <c r="G2146" s="33" t="s">
        <v>30</v>
      </c>
    </row>
    <row r="2147" spans="1:7" ht="14" x14ac:dyDescent="0.15">
      <c r="A2147" s="6" t="s">
        <v>2416</v>
      </c>
      <c r="B2147" s="6" t="s">
        <v>14</v>
      </c>
      <c r="C2147" s="7" t="s">
        <v>2417</v>
      </c>
      <c r="D2147" s="6">
        <v>11</v>
      </c>
      <c r="E2147" s="8" t="s">
        <v>2783</v>
      </c>
      <c r="F2147" s="6" t="s">
        <v>2734</v>
      </c>
      <c r="G2147" s="33" t="s">
        <v>83</v>
      </c>
    </row>
    <row r="2148" spans="1:7" ht="14" x14ac:dyDescent="0.15">
      <c r="A2148" s="6" t="s">
        <v>2416</v>
      </c>
      <c r="B2148" s="6" t="s">
        <v>14</v>
      </c>
      <c r="C2148" s="7" t="s">
        <v>2417</v>
      </c>
      <c r="D2148" s="6">
        <v>45</v>
      </c>
      <c r="E2148" s="8" t="s">
        <v>2784</v>
      </c>
      <c r="F2148" s="6" t="s">
        <v>2734</v>
      </c>
      <c r="G2148" s="33" t="s">
        <v>23</v>
      </c>
    </row>
    <row r="2149" spans="1:7" ht="14" x14ac:dyDescent="0.15">
      <c r="A2149" s="6" t="s">
        <v>779</v>
      </c>
      <c r="B2149" s="6" t="s">
        <v>780</v>
      </c>
      <c r="C2149" s="7" t="s">
        <v>781</v>
      </c>
      <c r="D2149" s="6">
        <v>19</v>
      </c>
      <c r="E2149" s="8" t="s">
        <v>2785</v>
      </c>
      <c r="F2149" s="6" t="s">
        <v>2734</v>
      </c>
      <c r="G2149" s="33" t="s">
        <v>88</v>
      </c>
    </row>
    <row r="2150" spans="1:7" ht="14" x14ac:dyDescent="0.15">
      <c r="A2150" s="6" t="s">
        <v>779</v>
      </c>
      <c r="B2150" s="6" t="s">
        <v>780</v>
      </c>
      <c r="C2150" s="7" t="s">
        <v>781</v>
      </c>
      <c r="D2150" s="6">
        <v>65</v>
      </c>
      <c r="E2150" s="8" t="s">
        <v>2786</v>
      </c>
      <c r="F2150" s="6" t="s">
        <v>2734</v>
      </c>
      <c r="G2150" s="33" t="s">
        <v>77</v>
      </c>
    </row>
    <row r="2151" spans="1:7" ht="14" x14ac:dyDescent="0.15">
      <c r="A2151" s="6" t="s">
        <v>779</v>
      </c>
      <c r="B2151" s="6" t="s">
        <v>780</v>
      </c>
      <c r="C2151" s="7" t="s">
        <v>781</v>
      </c>
      <c r="D2151" s="6">
        <v>69</v>
      </c>
      <c r="E2151" s="8" t="s">
        <v>2787</v>
      </c>
      <c r="F2151" s="6" t="s">
        <v>2736</v>
      </c>
      <c r="G2151" s="33" t="s">
        <v>23</v>
      </c>
    </row>
    <row r="2152" spans="1:7" ht="14" x14ac:dyDescent="0.15">
      <c r="A2152" s="6" t="s">
        <v>2006</v>
      </c>
      <c r="B2152" s="6" t="s">
        <v>2007</v>
      </c>
      <c r="C2152" s="7" t="s">
        <v>2008</v>
      </c>
      <c r="D2152" s="6">
        <v>65</v>
      </c>
      <c r="E2152" s="8" t="s">
        <v>2788</v>
      </c>
      <c r="F2152" s="6" t="s">
        <v>2736</v>
      </c>
      <c r="G2152" s="33" t="s">
        <v>30</v>
      </c>
    </row>
    <row r="2153" spans="1:7" ht="28" x14ac:dyDescent="0.15">
      <c r="A2153" s="6" t="s">
        <v>681</v>
      </c>
      <c r="B2153" s="6" t="s">
        <v>682</v>
      </c>
      <c r="C2153" s="7" t="s">
        <v>683</v>
      </c>
      <c r="D2153" s="6">
        <v>170</v>
      </c>
      <c r="E2153" s="8" t="s">
        <v>2789</v>
      </c>
      <c r="F2153" s="6" t="s">
        <v>2734</v>
      </c>
      <c r="G2153" s="33" t="s">
        <v>88</v>
      </c>
    </row>
    <row r="2154" spans="1:7" ht="14" x14ac:dyDescent="0.15">
      <c r="A2154" s="6" t="s">
        <v>681</v>
      </c>
      <c r="B2154" s="6" t="s">
        <v>682</v>
      </c>
      <c r="C2154" s="7" t="s">
        <v>683</v>
      </c>
      <c r="D2154" s="6">
        <v>172</v>
      </c>
      <c r="E2154" s="8" t="s">
        <v>2790</v>
      </c>
      <c r="F2154" s="6" t="s">
        <v>2734</v>
      </c>
      <c r="G2154" s="33" t="s">
        <v>88</v>
      </c>
    </row>
    <row r="2155" spans="1:7" ht="14" x14ac:dyDescent="0.15">
      <c r="A2155" s="6" t="s">
        <v>1886</v>
      </c>
      <c r="B2155" s="6" t="s">
        <v>1887</v>
      </c>
      <c r="C2155" s="7" t="s">
        <v>1888</v>
      </c>
      <c r="D2155" s="6">
        <v>157</v>
      </c>
      <c r="E2155" s="8" t="s">
        <v>2791</v>
      </c>
      <c r="F2155" s="6" t="s">
        <v>2734</v>
      </c>
      <c r="G2155" s="33" t="s">
        <v>136</v>
      </c>
    </row>
    <row r="2156" spans="1:7" ht="14" x14ac:dyDescent="0.15">
      <c r="A2156" s="6" t="s">
        <v>169</v>
      </c>
      <c r="B2156" s="6" t="s">
        <v>169</v>
      </c>
      <c r="C2156" s="7" t="s">
        <v>170</v>
      </c>
      <c r="D2156" s="6">
        <v>16</v>
      </c>
      <c r="E2156" s="8" t="s">
        <v>2792</v>
      </c>
      <c r="F2156" s="6" t="s">
        <v>2734</v>
      </c>
      <c r="G2156" s="33" t="s">
        <v>136</v>
      </c>
    </row>
    <row r="2157" spans="1:7" ht="28" x14ac:dyDescent="0.15">
      <c r="A2157" s="6" t="s">
        <v>169</v>
      </c>
      <c r="B2157" s="6" t="s">
        <v>169</v>
      </c>
      <c r="C2157" s="7" t="s">
        <v>170</v>
      </c>
      <c r="D2157" s="6">
        <v>28</v>
      </c>
      <c r="E2157" s="8" t="s">
        <v>2793</v>
      </c>
      <c r="F2157" s="6" t="s">
        <v>2734</v>
      </c>
      <c r="G2157" s="33" t="s">
        <v>12</v>
      </c>
    </row>
    <row r="2158" spans="1:7" ht="14" x14ac:dyDescent="0.15">
      <c r="A2158" s="6" t="s">
        <v>1685</v>
      </c>
      <c r="B2158" s="6" t="s">
        <v>1686</v>
      </c>
      <c r="C2158" s="7" t="s">
        <v>1687</v>
      </c>
      <c r="D2158" s="6">
        <v>34</v>
      </c>
      <c r="E2158" s="8" t="s">
        <v>2794</v>
      </c>
      <c r="F2158" s="6" t="s">
        <v>2734</v>
      </c>
      <c r="G2158" s="33" t="s">
        <v>88</v>
      </c>
    </row>
    <row r="2159" spans="1:7" ht="14" x14ac:dyDescent="0.15">
      <c r="A2159" s="6" t="s">
        <v>173</v>
      </c>
      <c r="B2159" s="6" t="s">
        <v>174</v>
      </c>
      <c r="C2159" s="7" t="s">
        <v>175</v>
      </c>
      <c r="D2159" s="6">
        <v>195</v>
      </c>
      <c r="E2159" s="8" t="s">
        <v>2795</v>
      </c>
      <c r="F2159" s="6" t="s">
        <v>2734</v>
      </c>
      <c r="G2159" s="33" t="s">
        <v>18</v>
      </c>
    </row>
    <row r="2160" spans="1:7" ht="14" x14ac:dyDescent="0.15">
      <c r="A2160" s="6" t="s">
        <v>177</v>
      </c>
      <c r="B2160" s="6" t="s">
        <v>178</v>
      </c>
      <c r="C2160" s="7" t="s">
        <v>179</v>
      </c>
      <c r="D2160" s="6">
        <v>101</v>
      </c>
      <c r="E2160" s="8" t="s">
        <v>2796</v>
      </c>
      <c r="F2160" s="6" t="s">
        <v>2734</v>
      </c>
      <c r="G2160" s="33" t="s">
        <v>219</v>
      </c>
    </row>
    <row r="2161" spans="1:7" ht="14" x14ac:dyDescent="0.15">
      <c r="A2161" s="6" t="s">
        <v>105</v>
      </c>
      <c r="B2161" s="6" t="s">
        <v>106</v>
      </c>
      <c r="C2161" s="7" t="s">
        <v>107</v>
      </c>
      <c r="D2161" s="6">
        <v>38</v>
      </c>
      <c r="E2161" s="8" t="s">
        <v>2797</v>
      </c>
      <c r="F2161" s="6" t="s">
        <v>2734</v>
      </c>
      <c r="G2161" s="33" t="s">
        <v>88</v>
      </c>
    </row>
    <row r="2162" spans="1:7" ht="28" x14ac:dyDescent="0.15">
      <c r="A2162" s="6" t="s">
        <v>105</v>
      </c>
      <c r="B2162" s="6" t="s">
        <v>106</v>
      </c>
      <c r="C2162" s="7" t="s">
        <v>107</v>
      </c>
      <c r="D2162" s="6">
        <v>47</v>
      </c>
      <c r="E2162" s="8" t="s">
        <v>2798</v>
      </c>
      <c r="F2162" s="6" t="s">
        <v>2734</v>
      </c>
      <c r="G2162" s="33" t="s">
        <v>18</v>
      </c>
    </row>
    <row r="2163" spans="1:7" ht="28" x14ac:dyDescent="0.15">
      <c r="A2163" s="6" t="s">
        <v>105</v>
      </c>
      <c r="B2163" s="6" t="s">
        <v>106</v>
      </c>
      <c r="C2163" s="7" t="s">
        <v>107</v>
      </c>
      <c r="D2163" s="6">
        <v>66</v>
      </c>
      <c r="E2163" s="8" t="s">
        <v>2799</v>
      </c>
      <c r="F2163" s="6" t="s">
        <v>2734</v>
      </c>
      <c r="G2163" s="33" t="s">
        <v>18</v>
      </c>
    </row>
    <row r="2164" spans="1:7" ht="14" x14ac:dyDescent="0.15">
      <c r="A2164" s="6" t="s">
        <v>105</v>
      </c>
      <c r="B2164" s="6" t="s">
        <v>106</v>
      </c>
      <c r="C2164" s="7" t="s">
        <v>107</v>
      </c>
      <c r="D2164" s="6">
        <v>128</v>
      </c>
      <c r="E2164" s="8" t="s">
        <v>2800</v>
      </c>
      <c r="F2164" s="6" t="s">
        <v>2734</v>
      </c>
      <c r="G2164" s="33" t="s">
        <v>83</v>
      </c>
    </row>
    <row r="2165" spans="1:7" ht="14" x14ac:dyDescent="0.15">
      <c r="A2165" s="6" t="s">
        <v>181</v>
      </c>
      <c r="B2165" s="6" t="s">
        <v>182</v>
      </c>
      <c r="C2165" s="7" t="s">
        <v>183</v>
      </c>
      <c r="D2165" s="6">
        <v>45</v>
      </c>
      <c r="E2165" s="8" t="s">
        <v>2801</v>
      </c>
      <c r="F2165" s="6" t="s">
        <v>2734</v>
      </c>
      <c r="G2165" s="33" t="s">
        <v>30</v>
      </c>
    </row>
    <row r="2166" spans="1:7" ht="14" x14ac:dyDescent="0.15">
      <c r="A2166" s="6" t="s">
        <v>185</v>
      </c>
      <c r="B2166" s="6" t="s">
        <v>189</v>
      </c>
      <c r="C2166" s="7" t="s">
        <v>190</v>
      </c>
      <c r="D2166" s="6">
        <v>30</v>
      </c>
      <c r="E2166" s="8" t="s">
        <v>2802</v>
      </c>
      <c r="F2166" s="6" t="s">
        <v>2734</v>
      </c>
      <c r="G2166" s="33" t="s">
        <v>12</v>
      </c>
    </row>
    <row r="2167" spans="1:7" ht="14" x14ac:dyDescent="0.15">
      <c r="A2167" s="6" t="s">
        <v>185</v>
      </c>
      <c r="B2167" s="6" t="s">
        <v>189</v>
      </c>
      <c r="C2167" s="7" t="s">
        <v>190</v>
      </c>
      <c r="D2167" s="6">
        <v>59</v>
      </c>
      <c r="E2167" s="8" t="s">
        <v>2803</v>
      </c>
      <c r="F2167" s="6" t="s">
        <v>2734</v>
      </c>
      <c r="G2167" s="33" t="s">
        <v>136</v>
      </c>
    </row>
    <row r="2168" spans="1:7" ht="14" x14ac:dyDescent="0.15">
      <c r="A2168" s="6" t="s">
        <v>185</v>
      </c>
      <c r="B2168" s="6" t="s">
        <v>787</v>
      </c>
      <c r="C2168" s="7" t="s">
        <v>788</v>
      </c>
      <c r="D2168" s="6">
        <v>32</v>
      </c>
      <c r="E2168" s="8" t="s">
        <v>2804</v>
      </c>
      <c r="F2168" s="6" t="s">
        <v>2736</v>
      </c>
      <c r="G2168" s="33" t="s">
        <v>23</v>
      </c>
    </row>
    <row r="2169" spans="1:7" ht="14" x14ac:dyDescent="0.15">
      <c r="A2169" s="6" t="s">
        <v>185</v>
      </c>
      <c r="B2169" s="6" t="s">
        <v>787</v>
      </c>
      <c r="C2169" s="7" t="s">
        <v>788</v>
      </c>
      <c r="D2169" s="6">
        <v>37</v>
      </c>
      <c r="E2169" s="8" t="s">
        <v>2805</v>
      </c>
      <c r="F2169" s="6" t="s">
        <v>2734</v>
      </c>
      <c r="G2169" s="33" t="s">
        <v>136</v>
      </c>
    </row>
    <row r="2170" spans="1:7" ht="14" x14ac:dyDescent="0.15">
      <c r="A2170" s="6" t="s">
        <v>1695</v>
      </c>
      <c r="B2170" s="6" t="s">
        <v>1696</v>
      </c>
      <c r="C2170" s="7" t="s">
        <v>1697</v>
      </c>
      <c r="D2170" s="6">
        <v>25</v>
      </c>
      <c r="E2170" s="8" t="s">
        <v>2806</v>
      </c>
      <c r="F2170" s="6" t="s">
        <v>2734</v>
      </c>
      <c r="G2170" s="33" t="s">
        <v>30</v>
      </c>
    </row>
    <row r="2171" spans="1:7" ht="14" x14ac:dyDescent="0.15">
      <c r="A2171" s="6" t="s">
        <v>2807</v>
      </c>
      <c r="B2171" s="6" t="s">
        <v>2808</v>
      </c>
      <c r="C2171" s="7" t="s">
        <v>2809</v>
      </c>
      <c r="D2171" s="6">
        <v>26</v>
      </c>
      <c r="E2171" s="8" t="s">
        <v>2810</v>
      </c>
      <c r="F2171" s="6" t="s">
        <v>2734</v>
      </c>
      <c r="G2171" s="33" t="s">
        <v>30</v>
      </c>
    </row>
    <row r="2172" spans="1:7" ht="14" x14ac:dyDescent="0.15">
      <c r="A2172" s="6" t="s">
        <v>73</v>
      </c>
      <c r="B2172" s="6" t="s">
        <v>74</v>
      </c>
      <c r="C2172" s="7" t="s">
        <v>75</v>
      </c>
      <c r="D2172" s="6">
        <v>113</v>
      </c>
      <c r="E2172" s="8" t="s">
        <v>2811</v>
      </c>
      <c r="F2172" s="6" t="s">
        <v>2734</v>
      </c>
      <c r="G2172" s="33" t="s">
        <v>30</v>
      </c>
    </row>
    <row r="2173" spans="1:7" ht="14" x14ac:dyDescent="0.15">
      <c r="A2173" s="6" t="s">
        <v>73</v>
      </c>
      <c r="B2173" s="6" t="s">
        <v>74</v>
      </c>
      <c r="C2173" s="7" t="s">
        <v>75</v>
      </c>
      <c r="D2173" s="6">
        <v>184</v>
      </c>
      <c r="E2173" s="8" t="s">
        <v>2812</v>
      </c>
      <c r="F2173" s="6" t="s">
        <v>2734</v>
      </c>
      <c r="G2173" s="33" t="s">
        <v>77</v>
      </c>
    </row>
    <row r="2174" spans="1:7" ht="14" x14ac:dyDescent="0.15">
      <c r="A2174" s="6" t="s">
        <v>73</v>
      </c>
      <c r="B2174" s="6" t="s">
        <v>74</v>
      </c>
      <c r="C2174" s="7" t="s">
        <v>75</v>
      </c>
      <c r="D2174" s="6">
        <v>219</v>
      </c>
      <c r="E2174" s="8" t="s">
        <v>2813</v>
      </c>
      <c r="F2174" s="6" t="s">
        <v>2734</v>
      </c>
      <c r="G2174" s="33" t="s">
        <v>77</v>
      </c>
    </row>
    <row r="2175" spans="1:7" ht="28" x14ac:dyDescent="0.15">
      <c r="A2175" s="6" t="s">
        <v>386</v>
      </c>
      <c r="B2175" s="6" t="s">
        <v>387</v>
      </c>
      <c r="C2175" s="7" t="s">
        <v>2814</v>
      </c>
      <c r="D2175" s="6">
        <v>7</v>
      </c>
      <c r="E2175" s="8" t="s">
        <v>2815</v>
      </c>
      <c r="F2175" s="6" t="s">
        <v>2734</v>
      </c>
      <c r="G2175" s="33" t="s">
        <v>88</v>
      </c>
    </row>
    <row r="2176" spans="1:7" ht="14" x14ac:dyDescent="0.15">
      <c r="A2176" s="6" t="s">
        <v>386</v>
      </c>
      <c r="B2176" s="6" t="s">
        <v>387</v>
      </c>
      <c r="C2176" s="7" t="s">
        <v>2814</v>
      </c>
      <c r="D2176" s="6">
        <v>13</v>
      </c>
      <c r="E2176" s="8" t="s">
        <v>2816</v>
      </c>
      <c r="F2176" s="6" t="s">
        <v>2736</v>
      </c>
      <c r="G2176" s="33" t="s">
        <v>88</v>
      </c>
    </row>
    <row r="2177" spans="1:7" ht="14" x14ac:dyDescent="0.15">
      <c r="A2177" s="6" t="s">
        <v>205</v>
      </c>
      <c r="B2177" s="6" t="s">
        <v>206</v>
      </c>
      <c r="C2177" s="7" t="s">
        <v>207</v>
      </c>
      <c r="D2177" s="6">
        <v>132</v>
      </c>
      <c r="E2177" s="8" t="s">
        <v>2817</v>
      </c>
      <c r="F2177" s="6" t="s">
        <v>2734</v>
      </c>
      <c r="G2177" s="33" t="s">
        <v>77</v>
      </c>
    </row>
    <row r="2178" spans="1:7" ht="14" x14ac:dyDescent="0.15">
      <c r="A2178" s="6" t="s">
        <v>215</v>
      </c>
      <c r="B2178" s="6" t="s">
        <v>216</v>
      </c>
      <c r="C2178" s="7" t="s">
        <v>217</v>
      </c>
      <c r="D2178" s="6">
        <v>15</v>
      </c>
      <c r="E2178" s="8" t="s">
        <v>2818</v>
      </c>
      <c r="F2178" s="6" t="s">
        <v>2734</v>
      </c>
      <c r="G2178" s="33" t="s">
        <v>88</v>
      </c>
    </row>
    <row r="2179" spans="1:7" ht="14" x14ac:dyDescent="0.15">
      <c r="A2179" s="6" t="s">
        <v>215</v>
      </c>
      <c r="B2179" s="6" t="s">
        <v>216</v>
      </c>
      <c r="C2179" s="7" t="s">
        <v>217</v>
      </c>
      <c r="D2179" s="6">
        <v>46</v>
      </c>
      <c r="E2179" s="8" t="s">
        <v>2819</v>
      </c>
      <c r="F2179" s="6" t="s">
        <v>2734</v>
      </c>
      <c r="G2179" s="33" t="s">
        <v>12</v>
      </c>
    </row>
    <row r="2180" spans="1:7" ht="14" x14ac:dyDescent="0.15">
      <c r="A2180" s="6" t="s">
        <v>7</v>
      </c>
      <c r="B2180" s="6" t="s">
        <v>8</v>
      </c>
      <c r="C2180" s="7" t="s">
        <v>9</v>
      </c>
      <c r="D2180" s="6">
        <v>79</v>
      </c>
      <c r="E2180" s="8" t="s">
        <v>2820</v>
      </c>
      <c r="F2180" s="6" t="s">
        <v>2734</v>
      </c>
      <c r="G2180" s="33" t="s">
        <v>23</v>
      </c>
    </row>
    <row r="2181" spans="1:7" ht="14" x14ac:dyDescent="0.15">
      <c r="A2181" s="6" t="s">
        <v>7</v>
      </c>
      <c r="B2181" s="6" t="s">
        <v>8</v>
      </c>
      <c r="C2181" s="7" t="s">
        <v>9</v>
      </c>
      <c r="D2181" s="6">
        <v>84</v>
      </c>
      <c r="E2181" s="8" t="s">
        <v>2821</v>
      </c>
      <c r="F2181" s="6" t="s">
        <v>2734</v>
      </c>
      <c r="G2181" s="33" t="s">
        <v>77</v>
      </c>
    </row>
    <row r="2182" spans="1:7" ht="28" x14ac:dyDescent="0.15">
      <c r="A2182" s="6" t="s">
        <v>7</v>
      </c>
      <c r="B2182" s="6" t="s">
        <v>8</v>
      </c>
      <c r="C2182" s="7" t="s">
        <v>9</v>
      </c>
      <c r="D2182" s="6">
        <v>96</v>
      </c>
      <c r="E2182" s="8" t="s">
        <v>2822</v>
      </c>
      <c r="F2182" s="6" t="s">
        <v>2734</v>
      </c>
      <c r="G2182" s="33" t="s">
        <v>136</v>
      </c>
    </row>
    <row r="2183" spans="1:7" ht="14" x14ac:dyDescent="0.15">
      <c r="A2183" s="6" t="s">
        <v>808</v>
      </c>
      <c r="B2183" s="6" t="s">
        <v>809</v>
      </c>
      <c r="C2183" s="7" t="s">
        <v>810</v>
      </c>
      <c r="D2183" s="6">
        <v>27</v>
      </c>
      <c r="E2183" s="8" t="s">
        <v>2823</v>
      </c>
      <c r="F2183" s="6" t="s">
        <v>2734</v>
      </c>
      <c r="G2183" s="33" t="s">
        <v>18</v>
      </c>
    </row>
    <row r="2184" spans="1:7" ht="14" x14ac:dyDescent="0.15">
      <c r="A2184" s="6" t="s">
        <v>820</v>
      </c>
      <c r="B2184" s="6" t="s">
        <v>821</v>
      </c>
      <c r="C2184" s="7" t="s">
        <v>822</v>
      </c>
      <c r="D2184" s="6">
        <v>53</v>
      </c>
      <c r="E2184" s="8" t="s">
        <v>2824</v>
      </c>
      <c r="F2184" s="6" t="s">
        <v>2734</v>
      </c>
      <c r="G2184" s="33" t="s">
        <v>30</v>
      </c>
    </row>
    <row r="2185" spans="1:7" ht="14" x14ac:dyDescent="0.15">
      <c r="A2185" s="6" t="s">
        <v>820</v>
      </c>
      <c r="B2185" s="6" t="s">
        <v>821</v>
      </c>
      <c r="C2185" s="7" t="s">
        <v>822</v>
      </c>
      <c r="D2185" s="6">
        <v>69</v>
      </c>
      <c r="E2185" s="8" t="s">
        <v>2825</v>
      </c>
      <c r="F2185" s="6" t="s">
        <v>2734</v>
      </c>
      <c r="G2185" s="33" t="s">
        <v>136</v>
      </c>
    </row>
    <row r="2186" spans="1:7" ht="28" x14ac:dyDescent="0.15">
      <c r="A2186" s="6" t="s">
        <v>825</v>
      </c>
      <c r="B2186" s="6" t="s">
        <v>826</v>
      </c>
      <c r="C2186" s="7" t="s">
        <v>827</v>
      </c>
      <c r="D2186" s="6">
        <v>52</v>
      </c>
      <c r="E2186" s="8" t="s">
        <v>2826</v>
      </c>
      <c r="F2186" s="6" t="s">
        <v>2734</v>
      </c>
      <c r="G2186" s="33" t="s">
        <v>18</v>
      </c>
    </row>
    <row r="2187" spans="1:7" ht="14" x14ac:dyDescent="0.15">
      <c r="A2187" s="6" t="s">
        <v>825</v>
      </c>
      <c r="B2187" s="6" t="s">
        <v>826</v>
      </c>
      <c r="C2187" s="7" t="s">
        <v>827</v>
      </c>
      <c r="D2187" s="6">
        <v>63</v>
      </c>
      <c r="E2187" s="8" t="s">
        <v>2827</v>
      </c>
      <c r="F2187" s="6" t="s">
        <v>2734</v>
      </c>
      <c r="G2187" s="33" t="s">
        <v>88</v>
      </c>
    </row>
    <row r="2188" spans="1:7" ht="28" x14ac:dyDescent="0.15">
      <c r="A2188" s="6" t="s">
        <v>825</v>
      </c>
      <c r="B2188" s="6" t="s">
        <v>826</v>
      </c>
      <c r="C2188" s="7" t="s">
        <v>827</v>
      </c>
      <c r="D2188" s="6">
        <v>67</v>
      </c>
      <c r="E2188" s="8" t="s">
        <v>2828</v>
      </c>
      <c r="F2188" s="6" t="s">
        <v>2734</v>
      </c>
      <c r="G2188" s="33" t="s">
        <v>18</v>
      </c>
    </row>
    <row r="2189" spans="1:7" ht="14" x14ac:dyDescent="0.15">
      <c r="A2189" s="6" t="s">
        <v>2829</v>
      </c>
      <c r="B2189" s="6" t="s">
        <v>2830</v>
      </c>
      <c r="C2189" s="7" t="s">
        <v>2831</v>
      </c>
      <c r="D2189" s="6">
        <v>37</v>
      </c>
      <c r="E2189" s="8" t="s">
        <v>2832</v>
      </c>
      <c r="F2189" s="6" t="s">
        <v>2734</v>
      </c>
      <c r="G2189" s="33" t="s">
        <v>83</v>
      </c>
    </row>
    <row r="2190" spans="1:7" ht="28" x14ac:dyDescent="0.15">
      <c r="A2190" s="6" t="s">
        <v>2829</v>
      </c>
      <c r="B2190" s="6" t="s">
        <v>2830</v>
      </c>
      <c r="C2190" s="7" t="s">
        <v>2831</v>
      </c>
      <c r="D2190" s="6">
        <v>39</v>
      </c>
      <c r="E2190" s="8" t="s">
        <v>2833</v>
      </c>
      <c r="F2190" s="6" t="s">
        <v>2736</v>
      </c>
      <c r="G2190" s="33" t="s">
        <v>30</v>
      </c>
    </row>
    <row r="2191" spans="1:7" ht="14" x14ac:dyDescent="0.15">
      <c r="A2191" s="6" t="s">
        <v>13</v>
      </c>
      <c r="B2191" s="6" t="s">
        <v>14</v>
      </c>
      <c r="C2191" s="7" t="s">
        <v>15</v>
      </c>
      <c r="D2191" s="6">
        <v>138</v>
      </c>
      <c r="E2191" s="8" t="s">
        <v>2834</v>
      </c>
      <c r="F2191" s="6" t="s">
        <v>2734</v>
      </c>
      <c r="G2191" s="33" t="s">
        <v>18</v>
      </c>
    </row>
    <row r="2192" spans="1:7" ht="14" x14ac:dyDescent="0.15">
      <c r="A2192" s="6" t="s">
        <v>831</v>
      </c>
      <c r="B2192" s="6" t="s">
        <v>831</v>
      </c>
      <c r="C2192" s="7" t="s">
        <v>832</v>
      </c>
      <c r="D2192" s="6">
        <v>165</v>
      </c>
      <c r="E2192" s="8" t="s">
        <v>2835</v>
      </c>
      <c r="F2192" s="6" t="s">
        <v>2734</v>
      </c>
      <c r="G2192" s="33" t="s">
        <v>23</v>
      </c>
    </row>
    <row r="2193" spans="1:7" ht="14" x14ac:dyDescent="0.15">
      <c r="A2193" s="6" t="s">
        <v>846</v>
      </c>
      <c r="B2193" s="6" t="s">
        <v>847</v>
      </c>
      <c r="C2193" s="7" t="s">
        <v>848</v>
      </c>
      <c r="D2193" s="6">
        <v>8</v>
      </c>
      <c r="E2193" s="8" t="s">
        <v>2836</v>
      </c>
      <c r="F2193" s="6" t="s">
        <v>2736</v>
      </c>
      <c r="G2193" s="33" t="s">
        <v>88</v>
      </c>
    </row>
    <row r="2194" spans="1:7" ht="14" x14ac:dyDescent="0.15">
      <c r="A2194" s="6" t="s">
        <v>851</v>
      </c>
      <c r="B2194" s="6" t="s">
        <v>852</v>
      </c>
      <c r="C2194" s="7" t="s">
        <v>853</v>
      </c>
      <c r="D2194" s="6">
        <v>44</v>
      </c>
      <c r="E2194" s="8" t="s">
        <v>2837</v>
      </c>
      <c r="F2194" s="6" t="s">
        <v>2734</v>
      </c>
      <c r="G2194" s="33" t="s">
        <v>12</v>
      </c>
    </row>
    <row r="2195" spans="1:7" ht="28" x14ac:dyDescent="0.15">
      <c r="A2195" s="6" t="s">
        <v>232</v>
      </c>
      <c r="B2195" s="6" t="s">
        <v>233</v>
      </c>
      <c r="C2195" s="7" t="s">
        <v>234</v>
      </c>
      <c r="D2195" s="6">
        <v>12</v>
      </c>
      <c r="E2195" s="8" t="s">
        <v>2838</v>
      </c>
      <c r="F2195" s="6" t="s">
        <v>2734</v>
      </c>
      <c r="G2195" s="33" t="s">
        <v>18</v>
      </c>
    </row>
    <row r="2196" spans="1:7" ht="14" x14ac:dyDescent="0.15">
      <c r="A2196" s="6" t="s">
        <v>232</v>
      </c>
      <c r="B2196" s="6" t="s">
        <v>233</v>
      </c>
      <c r="C2196" s="7" t="s">
        <v>234</v>
      </c>
      <c r="D2196" s="6">
        <v>19</v>
      </c>
      <c r="E2196" s="8" t="s">
        <v>2839</v>
      </c>
      <c r="F2196" s="6" t="s">
        <v>2734</v>
      </c>
      <c r="G2196" s="33" t="s">
        <v>136</v>
      </c>
    </row>
    <row r="2197" spans="1:7" ht="14" x14ac:dyDescent="0.15">
      <c r="A2197" s="6" t="s">
        <v>232</v>
      </c>
      <c r="B2197" s="6" t="s">
        <v>233</v>
      </c>
      <c r="C2197" s="7" t="s">
        <v>234</v>
      </c>
      <c r="D2197" s="6">
        <v>56</v>
      </c>
      <c r="E2197" s="8" t="s">
        <v>2840</v>
      </c>
      <c r="F2197" s="6" t="s">
        <v>2734</v>
      </c>
      <c r="G2197" s="33" t="s">
        <v>30</v>
      </c>
    </row>
    <row r="2198" spans="1:7" ht="14" x14ac:dyDescent="0.15">
      <c r="A2198" s="6" t="s">
        <v>232</v>
      </c>
      <c r="B2198" s="6" t="s">
        <v>233</v>
      </c>
      <c r="C2198" s="7" t="s">
        <v>234</v>
      </c>
      <c r="D2198" s="6">
        <v>155</v>
      </c>
      <c r="E2198" s="8" t="s">
        <v>2841</v>
      </c>
      <c r="F2198" s="6" t="s">
        <v>2734</v>
      </c>
      <c r="G2198" s="33" t="s">
        <v>30</v>
      </c>
    </row>
    <row r="2199" spans="1:7" ht="14" x14ac:dyDescent="0.15">
      <c r="A2199" s="6" t="s">
        <v>232</v>
      </c>
      <c r="B2199" s="6" t="s">
        <v>233</v>
      </c>
      <c r="C2199" s="7" t="s">
        <v>234</v>
      </c>
      <c r="D2199" s="6">
        <v>157</v>
      </c>
      <c r="E2199" s="8" t="s">
        <v>2842</v>
      </c>
      <c r="F2199" s="6" t="s">
        <v>2734</v>
      </c>
      <c r="G2199" s="33" t="s">
        <v>30</v>
      </c>
    </row>
    <row r="2200" spans="1:7" ht="14" x14ac:dyDescent="0.15">
      <c r="A2200" s="6" t="s">
        <v>232</v>
      </c>
      <c r="B2200" s="6" t="s">
        <v>233</v>
      </c>
      <c r="C2200" s="7" t="s">
        <v>234</v>
      </c>
      <c r="D2200" s="6">
        <v>171</v>
      </c>
      <c r="E2200" s="8" t="s">
        <v>2843</v>
      </c>
      <c r="F2200" s="6" t="s">
        <v>2734</v>
      </c>
      <c r="G2200" s="33" t="s">
        <v>18</v>
      </c>
    </row>
    <row r="2201" spans="1:7" ht="14" x14ac:dyDescent="0.15">
      <c r="A2201" s="6" t="s">
        <v>232</v>
      </c>
      <c r="B2201" s="6" t="s">
        <v>233</v>
      </c>
      <c r="C2201" s="7" t="s">
        <v>234</v>
      </c>
      <c r="D2201" s="6">
        <v>196</v>
      </c>
      <c r="E2201" s="8" t="s">
        <v>2844</v>
      </c>
      <c r="F2201" s="6" t="s">
        <v>2734</v>
      </c>
      <c r="G2201" s="33" t="s">
        <v>83</v>
      </c>
    </row>
    <row r="2202" spans="1:7" ht="14" x14ac:dyDescent="0.15">
      <c r="A2202" s="6" t="s">
        <v>232</v>
      </c>
      <c r="B2202" s="6" t="s">
        <v>233</v>
      </c>
      <c r="C2202" s="7" t="s">
        <v>234</v>
      </c>
      <c r="D2202" s="6">
        <v>198</v>
      </c>
      <c r="E2202" s="8" t="s">
        <v>2845</v>
      </c>
      <c r="F2202" s="6" t="s">
        <v>2734</v>
      </c>
      <c r="G2202" s="33" t="s">
        <v>83</v>
      </c>
    </row>
    <row r="2203" spans="1:7" ht="14" x14ac:dyDescent="0.15">
      <c r="A2203" s="6" t="s">
        <v>232</v>
      </c>
      <c r="B2203" s="6" t="s">
        <v>233</v>
      </c>
      <c r="C2203" s="7" t="s">
        <v>234</v>
      </c>
      <c r="D2203" s="6">
        <v>200</v>
      </c>
      <c r="E2203" s="8" t="s">
        <v>2846</v>
      </c>
      <c r="F2203" s="6" t="s">
        <v>2734</v>
      </c>
      <c r="G2203" s="33" t="s">
        <v>23</v>
      </c>
    </row>
    <row r="2204" spans="1:7" ht="14" x14ac:dyDescent="0.15">
      <c r="A2204" s="6" t="s">
        <v>232</v>
      </c>
      <c r="B2204" s="6" t="s">
        <v>233</v>
      </c>
      <c r="C2204" s="7" t="s">
        <v>234</v>
      </c>
      <c r="D2204" s="6">
        <v>213</v>
      </c>
      <c r="E2204" s="8" t="s">
        <v>2847</v>
      </c>
      <c r="F2204" s="6" t="s">
        <v>2734</v>
      </c>
      <c r="G2204" s="33" t="s">
        <v>30</v>
      </c>
    </row>
    <row r="2205" spans="1:7" ht="14" x14ac:dyDescent="0.15">
      <c r="A2205" s="6" t="s">
        <v>232</v>
      </c>
      <c r="B2205" s="6" t="s">
        <v>233</v>
      </c>
      <c r="C2205" s="7" t="s">
        <v>234</v>
      </c>
      <c r="D2205" s="6">
        <v>214</v>
      </c>
      <c r="E2205" s="8" t="s">
        <v>2848</v>
      </c>
      <c r="F2205" s="6" t="s">
        <v>2734</v>
      </c>
      <c r="G2205" s="33" t="s">
        <v>88</v>
      </c>
    </row>
    <row r="2206" spans="1:7" ht="28" x14ac:dyDescent="0.15">
      <c r="A2206" s="6" t="s">
        <v>232</v>
      </c>
      <c r="B2206" s="6" t="s">
        <v>233</v>
      </c>
      <c r="C2206" s="7" t="s">
        <v>234</v>
      </c>
      <c r="D2206" s="6">
        <v>221</v>
      </c>
      <c r="E2206" s="8" t="s">
        <v>2849</v>
      </c>
      <c r="F2206" s="6" t="s">
        <v>2734</v>
      </c>
      <c r="G2206" s="33" t="s">
        <v>18</v>
      </c>
    </row>
    <row r="2207" spans="1:7" ht="42" x14ac:dyDescent="0.15">
      <c r="A2207" s="6" t="s">
        <v>232</v>
      </c>
      <c r="B2207" s="6" t="s">
        <v>233</v>
      </c>
      <c r="C2207" s="7" t="s">
        <v>234</v>
      </c>
      <c r="D2207" s="6">
        <v>222</v>
      </c>
      <c r="E2207" s="8" t="s">
        <v>2850</v>
      </c>
      <c r="F2207" s="6" t="s">
        <v>2736</v>
      </c>
      <c r="G2207" s="33" t="s">
        <v>18</v>
      </c>
    </row>
    <row r="2208" spans="1:7" ht="28" x14ac:dyDescent="0.15">
      <c r="A2208" s="6" t="s">
        <v>232</v>
      </c>
      <c r="B2208" s="6" t="s">
        <v>233</v>
      </c>
      <c r="C2208" s="7" t="s">
        <v>234</v>
      </c>
      <c r="D2208" s="6">
        <v>230</v>
      </c>
      <c r="E2208" s="8" t="s">
        <v>2851</v>
      </c>
      <c r="F2208" s="6" t="s">
        <v>2734</v>
      </c>
      <c r="G2208" s="33" t="s">
        <v>88</v>
      </c>
    </row>
    <row r="2209" spans="1:7" ht="14" x14ac:dyDescent="0.15">
      <c r="A2209" s="6" t="s">
        <v>867</v>
      </c>
      <c r="B2209" s="6" t="s">
        <v>868</v>
      </c>
      <c r="C2209" s="7" t="s">
        <v>869</v>
      </c>
      <c r="D2209" s="6">
        <v>16</v>
      </c>
      <c r="E2209" s="8" t="s">
        <v>2852</v>
      </c>
      <c r="F2209" s="6" t="s">
        <v>2734</v>
      </c>
      <c r="G2209" s="33" t="s">
        <v>12</v>
      </c>
    </row>
    <row r="2210" spans="1:7" ht="28" x14ac:dyDescent="0.15">
      <c r="A2210" s="6" t="s">
        <v>25</v>
      </c>
      <c r="B2210" s="6" t="s">
        <v>238</v>
      </c>
      <c r="C2210" s="7" t="s">
        <v>239</v>
      </c>
      <c r="D2210" s="6">
        <v>28</v>
      </c>
      <c r="E2210" s="8" t="s">
        <v>2853</v>
      </c>
      <c r="F2210" s="6" t="s">
        <v>2734</v>
      </c>
      <c r="G2210" s="33" t="s">
        <v>12</v>
      </c>
    </row>
    <row r="2211" spans="1:7" ht="14" x14ac:dyDescent="0.15">
      <c r="A2211" s="6" t="s">
        <v>25</v>
      </c>
      <c r="B2211" s="6" t="s">
        <v>238</v>
      </c>
      <c r="C2211" s="7" t="s">
        <v>239</v>
      </c>
      <c r="D2211" s="6">
        <v>62</v>
      </c>
      <c r="E2211" s="8" t="s">
        <v>2854</v>
      </c>
      <c r="F2211" s="6" t="s">
        <v>2734</v>
      </c>
      <c r="G2211" s="33" t="s">
        <v>136</v>
      </c>
    </row>
    <row r="2212" spans="1:7" ht="42" x14ac:dyDescent="0.15">
      <c r="A2212" s="6" t="s">
        <v>247</v>
      </c>
      <c r="B2212" s="6" t="s">
        <v>248</v>
      </c>
      <c r="C2212" s="7" t="s">
        <v>249</v>
      </c>
      <c r="D2212" s="6">
        <v>134</v>
      </c>
      <c r="E2212" s="8" t="s">
        <v>2855</v>
      </c>
      <c r="F2212" s="6" t="s">
        <v>2734</v>
      </c>
      <c r="G2212" s="33" t="s">
        <v>67</v>
      </c>
    </row>
    <row r="2213" spans="1:7" ht="14" x14ac:dyDescent="0.15">
      <c r="A2213" s="6" t="s">
        <v>247</v>
      </c>
      <c r="B2213" s="6" t="s">
        <v>248</v>
      </c>
      <c r="C2213" s="7" t="s">
        <v>249</v>
      </c>
      <c r="D2213" s="6">
        <v>191</v>
      </c>
      <c r="E2213" s="8" t="s">
        <v>2856</v>
      </c>
      <c r="F2213" s="6" t="s">
        <v>2734</v>
      </c>
      <c r="G2213" s="33" t="s">
        <v>88</v>
      </c>
    </row>
    <row r="2214" spans="1:7" ht="28" x14ac:dyDescent="0.15">
      <c r="A2214" s="6" t="s">
        <v>247</v>
      </c>
      <c r="B2214" s="6" t="s">
        <v>248</v>
      </c>
      <c r="C2214" s="7" t="s">
        <v>249</v>
      </c>
      <c r="D2214" s="6">
        <v>197</v>
      </c>
      <c r="E2214" s="8" t="s">
        <v>2857</v>
      </c>
      <c r="F2214" s="6" t="s">
        <v>2734</v>
      </c>
      <c r="G2214" s="33" t="s">
        <v>23</v>
      </c>
    </row>
    <row r="2215" spans="1:7" ht="14" x14ac:dyDescent="0.15">
      <c r="A2215" s="6" t="s">
        <v>1483</v>
      </c>
      <c r="B2215" s="6" t="s">
        <v>1484</v>
      </c>
      <c r="C2215" s="7" t="s">
        <v>1485</v>
      </c>
      <c r="D2215" s="6">
        <v>24</v>
      </c>
      <c r="E2215" s="8" t="s">
        <v>2858</v>
      </c>
      <c r="F2215" s="6" t="s">
        <v>2734</v>
      </c>
      <c r="G2215" s="33" t="s">
        <v>18</v>
      </c>
    </row>
    <row r="2216" spans="1:7" ht="14" x14ac:dyDescent="0.15">
      <c r="A2216" s="6" t="s">
        <v>1737</v>
      </c>
      <c r="B2216" s="6" t="s">
        <v>1738</v>
      </c>
      <c r="C2216" s="7" t="s">
        <v>1739</v>
      </c>
      <c r="D2216" s="6">
        <v>78</v>
      </c>
      <c r="E2216" s="8" t="s">
        <v>2859</v>
      </c>
      <c r="F2216" s="6" t="s">
        <v>2734</v>
      </c>
      <c r="G2216" s="33" t="s">
        <v>30</v>
      </c>
    </row>
    <row r="2217" spans="1:7" ht="14" x14ac:dyDescent="0.15">
      <c r="A2217" s="6" t="s">
        <v>254</v>
      </c>
      <c r="B2217" s="6" t="s">
        <v>255</v>
      </c>
      <c r="C2217" s="7" t="s">
        <v>256</v>
      </c>
      <c r="D2217" s="6">
        <v>21</v>
      </c>
      <c r="E2217" s="8" t="s">
        <v>2860</v>
      </c>
      <c r="F2217" s="6" t="s">
        <v>2734</v>
      </c>
      <c r="G2217" s="33" t="s">
        <v>136</v>
      </c>
    </row>
    <row r="2218" spans="1:7" ht="14" x14ac:dyDescent="0.15">
      <c r="A2218" s="6" t="s">
        <v>254</v>
      </c>
      <c r="B2218" s="6" t="s">
        <v>255</v>
      </c>
      <c r="C2218" s="7" t="s">
        <v>256</v>
      </c>
      <c r="D2218" s="6">
        <v>194</v>
      </c>
      <c r="E2218" s="8" t="s">
        <v>2861</v>
      </c>
      <c r="F2218" s="6" t="s">
        <v>2734</v>
      </c>
      <c r="G2218" s="33" t="s">
        <v>18</v>
      </c>
    </row>
    <row r="2219" spans="1:7" ht="14" x14ac:dyDescent="0.15">
      <c r="A2219" s="6" t="s">
        <v>31</v>
      </c>
      <c r="B2219" s="6" t="s">
        <v>31</v>
      </c>
      <c r="C2219" s="7" t="s">
        <v>32</v>
      </c>
      <c r="D2219" s="6">
        <v>18</v>
      </c>
      <c r="E2219" s="8" t="s">
        <v>2862</v>
      </c>
      <c r="F2219" s="6" t="s">
        <v>2734</v>
      </c>
      <c r="G2219" s="33" t="s">
        <v>88</v>
      </c>
    </row>
    <row r="2220" spans="1:7" ht="14" x14ac:dyDescent="0.15">
      <c r="A2220" s="6" t="s">
        <v>31</v>
      </c>
      <c r="B2220" s="6" t="s">
        <v>31</v>
      </c>
      <c r="C2220" s="7" t="s">
        <v>32</v>
      </c>
      <c r="D2220" s="6">
        <v>63</v>
      </c>
      <c r="E2220" s="8" t="s">
        <v>2863</v>
      </c>
      <c r="F2220" s="6" t="s">
        <v>2734</v>
      </c>
      <c r="G2220" s="33" t="s">
        <v>30</v>
      </c>
    </row>
    <row r="2221" spans="1:7" ht="14" x14ac:dyDescent="0.15">
      <c r="A2221" s="6" t="s">
        <v>932</v>
      </c>
      <c r="B2221" s="6" t="s">
        <v>933</v>
      </c>
      <c r="C2221" s="7" t="s">
        <v>934</v>
      </c>
      <c r="D2221" s="6">
        <v>72</v>
      </c>
      <c r="E2221" s="8" t="s">
        <v>2864</v>
      </c>
      <c r="F2221" s="6" t="s">
        <v>2734</v>
      </c>
      <c r="G2221" s="33" t="s">
        <v>83</v>
      </c>
    </row>
    <row r="2222" spans="1:7" ht="14" x14ac:dyDescent="0.15">
      <c r="A2222" s="6" t="s">
        <v>287</v>
      </c>
      <c r="B2222" s="6" t="s">
        <v>288</v>
      </c>
      <c r="C2222" s="7" t="s">
        <v>289</v>
      </c>
      <c r="D2222" s="6">
        <v>28</v>
      </c>
      <c r="E2222" s="8" t="s">
        <v>2865</v>
      </c>
      <c r="F2222" s="6" t="s">
        <v>2734</v>
      </c>
      <c r="G2222" s="33" t="s">
        <v>30</v>
      </c>
    </row>
    <row r="2223" spans="1:7" ht="14" x14ac:dyDescent="0.15">
      <c r="A2223" s="6" t="s">
        <v>944</v>
      </c>
      <c r="B2223" s="6" t="s">
        <v>945</v>
      </c>
      <c r="C2223" s="7" t="s">
        <v>946</v>
      </c>
      <c r="D2223" s="6">
        <v>29</v>
      </c>
      <c r="E2223" s="8" t="s">
        <v>2866</v>
      </c>
      <c r="F2223" s="6" t="s">
        <v>2734</v>
      </c>
      <c r="G2223" s="33" t="s">
        <v>83</v>
      </c>
    </row>
    <row r="2224" spans="1:7" ht="14" x14ac:dyDescent="0.15">
      <c r="A2224" s="6" t="s">
        <v>944</v>
      </c>
      <c r="B2224" s="6" t="s">
        <v>945</v>
      </c>
      <c r="C2224" s="7" t="s">
        <v>946</v>
      </c>
      <c r="D2224" s="6">
        <v>34</v>
      </c>
      <c r="E2224" s="8" t="s">
        <v>2867</v>
      </c>
      <c r="F2224" s="6" t="s">
        <v>2734</v>
      </c>
      <c r="G2224" s="33" t="s">
        <v>23</v>
      </c>
    </row>
    <row r="2225" spans="1:7" ht="14" x14ac:dyDescent="0.15">
      <c r="A2225" s="6" t="s">
        <v>944</v>
      </c>
      <c r="B2225" s="6" t="s">
        <v>945</v>
      </c>
      <c r="C2225" s="7" t="s">
        <v>946</v>
      </c>
      <c r="D2225" s="6">
        <v>35</v>
      </c>
      <c r="E2225" s="8" t="s">
        <v>2868</v>
      </c>
      <c r="F2225" s="6" t="s">
        <v>2734</v>
      </c>
      <c r="G2225" s="33" t="s">
        <v>23</v>
      </c>
    </row>
    <row r="2226" spans="1:7" ht="14" x14ac:dyDescent="0.15">
      <c r="A2226" s="6" t="s">
        <v>944</v>
      </c>
      <c r="B2226" s="6" t="s">
        <v>945</v>
      </c>
      <c r="C2226" s="7" t="s">
        <v>946</v>
      </c>
      <c r="D2226" s="6">
        <v>37</v>
      </c>
      <c r="E2226" s="8" t="s">
        <v>2869</v>
      </c>
      <c r="F2226" s="6" t="s">
        <v>2734</v>
      </c>
      <c r="G2226" s="33" t="s">
        <v>23</v>
      </c>
    </row>
    <row r="2227" spans="1:7" ht="14" x14ac:dyDescent="0.15">
      <c r="A2227" s="6" t="s">
        <v>944</v>
      </c>
      <c r="B2227" s="6" t="s">
        <v>945</v>
      </c>
      <c r="C2227" s="7" t="s">
        <v>946</v>
      </c>
      <c r="D2227" s="6">
        <v>70</v>
      </c>
      <c r="E2227" s="8" t="s">
        <v>2870</v>
      </c>
      <c r="F2227" s="6" t="s">
        <v>2734</v>
      </c>
      <c r="G2227" s="33" t="s">
        <v>88</v>
      </c>
    </row>
    <row r="2228" spans="1:7" ht="14" x14ac:dyDescent="0.15">
      <c r="A2228" s="6" t="s">
        <v>948</v>
      </c>
      <c r="B2228" s="6" t="s">
        <v>949</v>
      </c>
      <c r="C2228" s="7" t="s">
        <v>950</v>
      </c>
      <c r="D2228" s="6">
        <v>50</v>
      </c>
      <c r="E2228" s="8" t="s">
        <v>2871</v>
      </c>
      <c r="F2228" s="6" t="s">
        <v>2734</v>
      </c>
      <c r="G2228" s="33" t="s">
        <v>83</v>
      </c>
    </row>
    <row r="2229" spans="1:7" ht="14" x14ac:dyDescent="0.15">
      <c r="A2229" s="6" t="s">
        <v>948</v>
      </c>
      <c r="B2229" s="6" t="s">
        <v>949</v>
      </c>
      <c r="C2229" s="7" t="s">
        <v>950</v>
      </c>
      <c r="D2229" s="6">
        <v>52</v>
      </c>
      <c r="E2229" s="8" t="s">
        <v>2872</v>
      </c>
      <c r="F2229" s="6" t="s">
        <v>2734</v>
      </c>
      <c r="G2229" s="33" t="s">
        <v>12</v>
      </c>
    </row>
    <row r="2230" spans="1:7" ht="14" x14ac:dyDescent="0.15">
      <c r="A2230" s="6" t="s">
        <v>948</v>
      </c>
      <c r="B2230" s="6" t="s">
        <v>949</v>
      </c>
      <c r="C2230" s="7" t="s">
        <v>950</v>
      </c>
      <c r="D2230" s="6">
        <v>100</v>
      </c>
      <c r="E2230" s="8" t="s">
        <v>2873</v>
      </c>
      <c r="F2230" s="6" t="s">
        <v>2734</v>
      </c>
      <c r="G2230" s="33" t="s">
        <v>30</v>
      </c>
    </row>
    <row r="2231" spans="1:7" ht="14" x14ac:dyDescent="0.15">
      <c r="A2231" s="6" t="s">
        <v>296</v>
      </c>
      <c r="B2231" s="6" t="s">
        <v>297</v>
      </c>
      <c r="C2231" s="7" t="s">
        <v>298</v>
      </c>
      <c r="D2231" s="6">
        <v>7</v>
      </c>
      <c r="E2231" s="8" t="s">
        <v>2874</v>
      </c>
      <c r="F2231" s="6" t="s">
        <v>2734</v>
      </c>
      <c r="G2231" s="33" t="s">
        <v>77</v>
      </c>
    </row>
    <row r="2232" spans="1:7" ht="14" x14ac:dyDescent="0.15">
      <c r="A2232" s="6" t="s">
        <v>296</v>
      </c>
      <c r="B2232" s="6" t="s">
        <v>297</v>
      </c>
      <c r="C2232" s="7" t="s">
        <v>298</v>
      </c>
      <c r="D2232" s="6">
        <v>8</v>
      </c>
      <c r="E2232" s="8" t="s">
        <v>2875</v>
      </c>
      <c r="F2232" s="6" t="s">
        <v>2734</v>
      </c>
      <c r="G2232" s="33" t="s">
        <v>12</v>
      </c>
    </row>
    <row r="2233" spans="1:7" ht="14" x14ac:dyDescent="0.15">
      <c r="A2233" s="6" t="s">
        <v>296</v>
      </c>
      <c r="B2233" s="6" t="s">
        <v>297</v>
      </c>
      <c r="C2233" s="7" t="s">
        <v>298</v>
      </c>
      <c r="D2233" s="6">
        <v>55</v>
      </c>
      <c r="E2233" s="8" t="s">
        <v>2876</v>
      </c>
      <c r="F2233" s="6" t="s">
        <v>2734</v>
      </c>
      <c r="G2233" s="33" t="s">
        <v>88</v>
      </c>
    </row>
    <row r="2234" spans="1:7" ht="14" x14ac:dyDescent="0.15">
      <c r="A2234" s="6" t="s">
        <v>296</v>
      </c>
      <c r="B2234" s="6" t="s">
        <v>297</v>
      </c>
      <c r="C2234" s="7" t="s">
        <v>298</v>
      </c>
      <c r="D2234" s="6">
        <v>72</v>
      </c>
      <c r="E2234" s="8" t="s">
        <v>2877</v>
      </c>
      <c r="F2234" s="6" t="s">
        <v>2736</v>
      </c>
      <c r="G2234" s="33" t="s">
        <v>18</v>
      </c>
    </row>
    <row r="2235" spans="1:7" ht="14" x14ac:dyDescent="0.15">
      <c r="A2235" s="6" t="s">
        <v>296</v>
      </c>
      <c r="B2235" s="6" t="s">
        <v>297</v>
      </c>
      <c r="C2235" s="7" t="s">
        <v>298</v>
      </c>
      <c r="D2235" s="6">
        <v>87</v>
      </c>
      <c r="E2235" s="8" t="s">
        <v>2878</v>
      </c>
      <c r="F2235" s="6" t="s">
        <v>2734</v>
      </c>
      <c r="G2235" s="33" t="s">
        <v>88</v>
      </c>
    </row>
    <row r="2236" spans="1:7" ht="14" x14ac:dyDescent="0.15">
      <c r="A2236" s="6" t="s">
        <v>301</v>
      </c>
      <c r="B2236" s="6" t="s">
        <v>302</v>
      </c>
      <c r="C2236" s="7" t="s">
        <v>303</v>
      </c>
      <c r="D2236" s="6">
        <v>43</v>
      </c>
      <c r="E2236" s="8" t="s">
        <v>2879</v>
      </c>
      <c r="F2236" s="6" t="s">
        <v>2734</v>
      </c>
      <c r="G2236" s="33" t="s">
        <v>83</v>
      </c>
    </row>
    <row r="2237" spans="1:7" ht="14" x14ac:dyDescent="0.15">
      <c r="A2237" s="6" t="s">
        <v>301</v>
      </c>
      <c r="B2237" s="6" t="s">
        <v>302</v>
      </c>
      <c r="C2237" s="7" t="s">
        <v>303</v>
      </c>
      <c r="D2237" s="6">
        <v>57</v>
      </c>
      <c r="E2237" s="8" t="s">
        <v>2880</v>
      </c>
      <c r="F2237" s="6" t="s">
        <v>2734</v>
      </c>
      <c r="G2237" s="33" t="s">
        <v>12</v>
      </c>
    </row>
    <row r="2238" spans="1:7" ht="14" x14ac:dyDescent="0.15">
      <c r="A2238" s="6" t="s">
        <v>953</v>
      </c>
      <c r="B2238" s="6" t="s">
        <v>954</v>
      </c>
      <c r="C2238" s="7" t="s">
        <v>955</v>
      </c>
      <c r="D2238" s="6">
        <v>64</v>
      </c>
      <c r="E2238" s="8" t="s">
        <v>2881</v>
      </c>
      <c r="F2238" s="6" t="s">
        <v>2734</v>
      </c>
      <c r="G2238" s="33" t="s">
        <v>18</v>
      </c>
    </row>
    <row r="2239" spans="1:7" ht="14" x14ac:dyDescent="0.15">
      <c r="A2239" s="6" t="s">
        <v>953</v>
      </c>
      <c r="B2239" s="6" t="s">
        <v>954</v>
      </c>
      <c r="C2239" s="7" t="s">
        <v>955</v>
      </c>
      <c r="D2239" s="6">
        <v>73</v>
      </c>
      <c r="E2239" s="8" t="s">
        <v>2882</v>
      </c>
      <c r="F2239" s="6" t="s">
        <v>2734</v>
      </c>
      <c r="G2239" s="33" t="s">
        <v>18</v>
      </c>
    </row>
    <row r="2240" spans="1:7" ht="14" x14ac:dyDescent="0.15">
      <c r="A2240" s="6" t="s">
        <v>953</v>
      </c>
      <c r="B2240" s="6" t="s">
        <v>954</v>
      </c>
      <c r="C2240" s="7" t="s">
        <v>955</v>
      </c>
      <c r="D2240" s="6">
        <v>82</v>
      </c>
      <c r="E2240" s="8" t="s">
        <v>2883</v>
      </c>
      <c r="F2240" s="6" t="s">
        <v>2734</v>
      </c>
      <c r="G2240" s="33" t="s">
        <v>30</v>
      </c>
    </row>
    <row r="2241" spans="1:7" ht="14" x14ac:dyDescent="0.15">
      <c r="A2241" s="6" t="s">
        <v>953</v>
      </c>
      <c r="B2241" s="6" t="s">
        <v>954</v>
      </c>
      <c r="C2241" s="7" t="s">
        <v>955</v>
      </c>
      <c r="D2241" s="6">
        <v>91</v>
      </c>
      <c r="E2241" s="8" t="s">
        <v>2884</v>
      </c>
      <c r="F2241" s="6" t="s">
        <v>2734</v>
      </c>
      <c r="G2241" s="33" t="s">
        <v>136</v>
      </c>
    </row>
    <row r="2242" spans="1:7" ht="14" x14ac:dyDescent="0.15">
      <c r="A2242" s="6" t="s">
        <v>35</v>
      </c>
      <c r="B2242" s="6" t="s">
        <v>36</v>
      </c>
      <c r="C2242" s="7" t="s">
        <v>37</v>
      </c>
      <c r="D2242" s="6">
        <v>117</v>
      </c>
      <c r="E2242" s="8" t="s">
        <v>2885</v>
      </c>
      <c r="F2242" s="6" t="s">
        <v>2734</v>
      </c>
      <c r="G2242" s="33" t="s">
        <v>18</v>
      </c>
    </row>
    <row r="2243" spans="1:7" ht="14" x14ac:dyDescent="0.15">
      <c r="A2243" s="6" t="s">
        <v>35</v>
      </c>
      <c r="B2243" s="6" t="s">
        <v>36</v>
      </c>
      <c r="C2243" s="7" t="s">
        <v>37</v>
      </c>
      <c r="D2243" s="6">
        <v>118</v>
      </c>
      <c r="E2243" s="8" t="s">
        <v>2886</v>
      </c>
      <c r="F2243" s="6" t="s">
        <v>2734</v>
      </c>
      <c r="G2243" s="33" t="s">
        <v>18</v>
      </c>
    </row>
    <row r="2244" spans="1:7" ht="14" x14ac:dyDescent="0.15">
      <c r="A2244" s="6" t="s">
        <v>325</v>
      </c>
      <c r="B2244" s="6" t="s">
        <v>326</v>
      </c>
      <c r="C2244" s="7" t="s">
        <v>327</v>
      </c>
      <c r="D2244" s="6">
        <v>162</v>
      </c>
      <c r="E2244" s="8" t="s">
        <v>2887</v>
      </c>
      <c r="F2244" s="6" t="s">
        <v>2734</v>
      </c>
      <c r="G2244" s="33" t="s">
        <v>77</v>
      </c>
    </row>
    <row r="2245" spans="1:7" ht="28" x14ac:dyDescent="0.15">
      <c r="A2245" s="6" t="s">
        <v>970</v>
      </c>
      <c r="B2245" s="6" t="s">
        <v>970</v>
      </c>
      <c r="C2245" s="7" t="s">
        <v>971</v>
      </c>
      <c r="D2245" s="6">
        <v>31</v>
      </c>
      <c r="E2245" s="8" t="s">
        <v>2888</v>
      </c>
      <c r="F2245" s="6" t="s">
        <v>2734</v>
      </c>
      <c r="G2245" s="33" t="s">
        <v>30</v>
      </c>
    </row>
    <row r="2246" spans="1:7" ht="14" x14ac:dyDescent="0.15">
      <c r="A2246" s="6" t="s">
        <v>131</v>
      </c>
      <c r="B2246" s="6" t="s">
        <v>132</v>
      </c>
      <c r="C2246" s="7" t="s">
        <v>347</v>
      </c>
      <c r="D2246" s="6">
        <v>34</v>
      </c>
      <c r="E2246" s="8" t="s">
        <v>2761</v>
      </c>
      <c r="F2246" s="6" t="s">
        <v>2734</v>
      </c>
      <c r="G2246" s="33" t="s">
        <v>83</v>
      </c>
    </row>
    <row r="2247" spans="1:7" ht="14" x14ac:dyDescent="0.15">
      <c r="A2247" s="6" t="s">
        <v>349</v>
      </c>
      <c r="B2247" s="6" t="s">
        <v>350</v>
      </c>
      <c r="C2247" s="7" t="s">
        <v>351</v>
      </c>
      <c r="D2247" s="6">
        <v>70</v>
      </c>
      <c r="E2247" s="8" t="s">
        <v>2889</v>
      </c>
      <c r="F2247" s="6" t="s">
        <v>2734</v>
      </c>
      <c r="G2247" s="33" t="s">
        <v>136</v>
      </c>
    </row>
    <row r="2248" spans="1:7" ht="14" x14ac:dyDescent="0.15">
      <c r="A2248" s="6" t="s">
        <v>349</v>
      </c>
      <c r="B2248" s="6" t="s">
        <v>350</v>
      </c>
      <c r="C2248" s="7" t="s">
        <v>351</v>
      </c>
      <c r="D2248" s="6">
        <v>97</v>
      </c>
      <c r="E2248" s="8" t="s">
        <v>2890</v>
      </c>
      <c r="F2248" s="6" t="s">
        <v>2734</v>
      </c>
      <c r="G2248" s="33" t="s">
        <v>136</v>
      </c>
    </row>
    <row r="2249" spans="1:7" ht="14" x14ac:dyDescent="0.15">
      <c r="A2249" s="6" t="s">
        <v>357</v>
      </c>
      <c r="B2249" s="6" t="s">
        <v>358</v>
      </c>
      <c r="C2249" s="7" t="s">
        <v>359</v>
      </c>
      <c r="D2249" s="6">
        <v>110</v>
      </c>
      <c r="E2249" s="8" t="s">
        <v>2891</v>
      </c>
      <c r="F2249" s="6" t="s">
        <v>2734</v>
      </c>
      <c r="G2249" s="33" t="s">
        <v>83</v>
      </c>
    </row>
    <row r="2250" spans="1:7" ht="28" x14ac:dyDescent="0.15">
      <c r="A2250" s="6" t="s">
        <v>357</v>
      </c>
      <c r="B2250" s="6" t="s">
        <v>358</v>
      </c>
      <c r="C2250" s="7" t="s">
        <v>359</v>
      </c>
      <c r="D2250" s="6">
        <v>120</v>
      </c>
      <c r="E2250" s="8" t="s">
        <v>2892</v>
      </c>
      <c r="F2250" s="6" t="s">
        <v>2734</v>
      </c>
      <c r="G2250" s="33" t="s">
        <v>67</v>
      </c>
    </row>
    <row r="2251" spans="1:7" ht="14" x14ac:dyDescent="0.15">
      <c r="A2251" s="6" t="s">
        <v>357</v>
      </c>
      <c r="B2251" s="6" t="s">
        <v>358</v>
      </c>
      <c r="C2251" s="7" t="s">
        <v>359</v>
      </c>
      <c r="D2251" s="6">
        <v>157</v>
      </c>
      <c r="E2251" s="8" t="s">
        <v>2893</v>
      </c>
      <c r="F2251" s="6" t="s">
        <v>2734</v>
      </c>
      <c r="G2251" s="33" t="s">
        <v>67</v>
      </c>
    </row>
    <row r="2252" spans="1:7" ht="14" x14ac:dyDescent="0.15">
      <c r="A2252" s="6" t="s">
        <v>357</v>
      </c>
      <c r="B2252" s="6" t="s">
        <v>358</v>
      </c>
      <c r="C2252" s="7" t="s">
        <v>359</v>
      </c>
      <c r="D2252" s="6">
        <v>193</v>
      </c>
      <c r="E2252" s="8" t="s">
        <v>2894</v>
      </c>
      <c r="F2252" s="6" t="s">
        <v>2734</v>
      </c>
      <c r="G2252" s="33" t="s">
        <v>23</v>
      </c>
    </row>
    <row r="2253" spans="1:7" ht="14" x14ac:dyDescent="0.15">
      <c r="A2253" s="6" t="s">
        <v>1001</v>
      </c>
      <c r="B2253" s="6" t="s">
        <v>1002</v>
      </c>
      <c r="C2253" s="7" t="s">
        <v>1003</v>
      </c>
      <c r="D2253" s="6">
        <v>32</v>
      </c>
      <c r="E2253" s="8" t="s">
        <v>2895</v>
      </c>
      <c r="F2253" s="6" t="s">
        <v>2734</v>
      </c>
      <c r="G2253" s="33" t="s">
        <v>18</v>
      </c>
    </row>
    <row r="2254" spans="1:7" ht="14" x14ac:dyDescent="0.15">
      <c r="A2254" s="6" t="s">
        <v>1001</v>
      </c>
      <c r="B2254" s="6" t="s">
        <v>1002</v>
      </c>
      <c r="C2254" s="7" t="s">
        <v>1003</v>
      </c>
      <c r="D2254" s="6">
        <v>81</v>
      </c>
      <c r="E2254" s="8" t="s">
        <v>2896</v>
      </c>
      <c r="F2254" s="6" t="s">
        <v>2734</v>
      </c>
      <c r="G2254" s="33" t="s">
        <v>88</v>
      </c>
    </row>
    <row r="2255" spans="1:7" ht="14" x14ac:dyDescent="0.15">
      <c r="A2255" s="6" t="s">
        <v>1001</v>
      </c>
      <c r="B2255" s="6" t="s">
        <v>1002</v>
      </c>
      <c r="C2255" s="7" t="s">
        <v>1003</v>
      </c>
      <c r="D2255" s="6">
        <v>128</v>
      </c>
      <c r="E2255" s="8" t="s">
        <v>2897</v>
      </c>
      <c r="F2255" s="6" t="s">
        <v>2734</v>
      </c>
      <c r="G2255" s="33" t="s">
        <v>12</v>
      </c>
    </row>
    <row r="2256" spans="1:7" ht="14" x14ac:dyDescent="0.15">
      <c r="A2256" s="6" t="s">
        <v>1001</v>
      </c>
      <c r="B2256" s="6" t="s">
        <v>1002</v>
      </c>
      <c r="C2256" s="7" t="s">
        <v>1003</v>
      </c>
      <c r="D2256" s="6">
        <v>191</v>
      </c>
      <c r="E2256" s="8" t="s">
        <v>2898</v>
      </c>
      <c r="F2256" s="6" t="s">
        <v>2734</v>
      </c>
      <c r="G2256" s="33" t="s">
        <v>136</v>
      </c>
    </row>
    <row r="2257" spans="1:7" ht="28" x14ac:dyDescent="0.15">
      <c r="A2257" s="6" t="s">
        <v>2602</v>
      </c>
      <c r="B2257" s="6" t="s">
        <v>2603</v>
      </c>
      <c r="C2257" s="7" t="s">
        <v>2604</v>
      </c>
      <c r="D2257" s="6">
        <v>23</v>
      </c>
      <c r="E2257" s="8" t="s">
        <v>2899</v>
      </c>
      <c r="F2257" s="6" t="s">
        <v>2734</v>
      </c>
      <c r="G2257" s="33" t="s">
        <v>136</v>
      </c>
    </row>
    <row r="2258" spans="1:7" ht="14" x14ac:dyDescent="0.15">
      <c r="A2258" s="6" t="s">
        <v>382</v>
      </c>
      <c r="B2258" s="6" t="s">
        <v>383</v>
      </c>
      <c r="C2258" s="7" t="s">
        <v>384</v>
      </c>
      <c r="D2258" s="6">
        <v>35</v>
      </c>
      <c r="E2258" s="8" t="s">
        <v>2900</v>
      </c>
      <c r="F2258" s="6" t="s">
        <v>2736</v>
      </c>
      <c r="G2258" s="33" t="s">
        <v>30</v>
      </c>
    </row>
    <row r="2259" spans="1:7" ht="14" x14ac:dyDescent="0.15">
      <c r="A2259" s="6" t="s">
        <v>382</v>
      </c>
      <c r="B2259" s="6" t="s">
        <v>383</v>
      </c>
      <c r="C2259" s="7" t="s">
        <v>384</v>
      </c>
      <c r="D2259" s="6">
        <v>60</v>
      </c>
      <c r="E2259" s="8" t="s">
        <v>2901</v>
      </c>
      <c r="F2259" s="6" t="s">
        <v>2734</v>
      </c>
      <c r="G2259" s="33" t="s">
        <v>30</v>
      </c>
    </row>
    <row r="2260" spans="1:7" ht="28" x14ac:dyDescent="0.15">
      <c r="A2260" s="6" t="s">
        <v>382</v>
      </c>
      <c r="B2260" s="6" t="s">
        <v>383</v>
      </c>
      <c r="C2260" s="7" t="s">
        <v>384</v>
      </c>
      <c r="D2260" s="6">
        <v>68</v>
      </c>
      <c r="E2260" s="8" t="s">
        <v>2902</v>
      </c>
      <c r="F2260" s="6" t="s">
        <v>2734</v>
      </c>
      <c r="G2260" s="33" t="s">
        <v>30</v>
      </c>
    </row>
    <row r="2261" spans="1:7" ht="28" x14ac:dyDescent="0.15">
      <c r="A2261" s="6" t="s">
        <v>382</v>
      </c>
      <c r="B2261" s="6" t="s">
        <v>383</v>
      </c>
      <c r="C2261" s="7" t="s">
        <v>384</v>
      </c>
      <c r="D2261" s="6">
        <v>93</v>
      </c>
      <c r="E2261" s="8" t="s">
        <v>2903</v>
      </c>
      <c r="F2261" s="6" t="s">
        <v>2734</v>
      </c>
      <c r="G2261" s="33" t="s">
        <v>88</v>
      </c>
    </row>
    <row r="2262" spans="1:7" ht="14" x14ac:dyDescent="0.15">
      <c r="A2262" s="6" t="s">
        <v>382</v>
      </c>
      <c r="B2262" s="6" t="s">
        <v>383</v>
      </c>
      <c r="C2262" s="7" t="s">
        <v>384</v>
      </c>
      <c r="D2262" s="6">
        <v>114</v>
      </c>
      <c r="E2262" s="8" t="s">
        <v>2904</v>
      </c>
      <c r="F2262" s="6" t="s">
        <v>2734</v>
      </c>
      <c r="G2262" s="33" t="s">
        <v>12</v>
      </c>
    </row>
    <row r="2263" spans="1:7" ht="14" x14ac:dyDescent="0.15">
      <c r="A2263" s="6" t="s">
        <v>84</v>
      </c>
      <c r="B2263" s="6" t="s">
        <v>85</v>
      </c>
      <c r="C2263" s="7" t="s">
        <v>86</v>
      </c>
      <c r="D2263" s="6">
        <v>51</v>
      </c>
      <c r="E2263" s="8" t="s">
        <v>2905</v>
      </c>
      <c r="F2263" s="6" t="s">
        <v>2734</v>
      </c>
      <c r="G2263" s="33" t="s">
        <v>30</v>
      </c>
    </row>
    <row r="2264" spans="1:7" ht="14" x14ac:dyDescent="0.15">
      <c r="A2264" s="6" t="s">
        <v>84</v>
      </c>
      <c r="B2264" s="6" t="s">
        <v>85</v>
      </c>
      <c r="C2264" s="7" t="s">
        <v>86</v>
      </c>
      <c r="D2264" s="6">
        <v>124</v>
      </c>
      <c r="E2264" s="8" t="s">
        <v>2906</v>
      </c>
      <c r="F2264" s="6" t="s">
        <v>2734</v>
      </c>
      <c r="G2264" s="33" t="s">
        <v>88</v>
      </c>
    </row>
    <row r="2265" spans="1:7" ht="28" x14ac:dyDescent="0.15">
      <c r="A2265" s="6" t="s">
        <v>1512</v>
      </c>
      <c r="B2265" s="6" t="s">
        <v>1513</v>
      </c>
      <c r="C2265" s="7" t="s">
        <v>1514</v>
      </c>
      <c r="D2265" s="6">
        <v>20</v>
      </c>
      <c r="E2265" s="8" t="s">
        <v>2907</v>
      </c>
      <c r="F2265" s="6" t="s">
        <v>2734</v>
      </c>
      <c r="G2265" s="33" t="s">
        <v>136</v>
      </c>
    </row>
    <row r="2266" spans="1:7" ht="14" x14ac:dyDescent="0.15">
      <c r="A2266" s="6" t="s">
        <v>1512</v>
      </c>
      <c r="B2266" s="6" t="s">
        <v>1513</v>
      </c>
      <c r="C2266" s="7" t="s">
        <v>1514</v>
      </c>
      <c r="D2266" s="6">
        <v>21</v>
      </c>
      <c r="E2266" s="8" t="s">
        <v>2908</v>
      </c>
      <c r="F2266" s="6" t="s">
        <v>2734</v>
      </c>
      <c r="G2266" s="33" t="s">
        <v>136</v>
      </c>
    </row>
    <row r="2267" spans="1:7" ht="14" x14ac:dyDescent="0.15">
      <c r="A2267" s="6" t="s">
        <v>7</v>
      </c>
      <c r="B2267" s="6" t="s">
        <v>8</v>
      </c>
      <c r="C2267" s="7" t="s">
        <v>1057</v>
      </c>
      <c r="D2267" s="6">
        <v>79</v>
      </c>
      <c r="E2267" s="8" t="s">
        <v>2820</v>
      </c>
      <c r="F2267" s="6" t="s">
        <v>2734</v>
      </c>
      <c r="G2267" s="33" t="s">
        <v>23</v>
      </c>
    </row>
    <row r="2268" spans="1:7" ht="14" x14ac:dyDescent="0.15">
      <c r="A2268" s="6" t="s">
        <v>7</v>
      </c>
      <c r="B2268" s="6" t="s">
        <v>8</v>
      </c>
      <c r="C2268" s="7" t="s">
        <v>1057</v>
      </c>
      <c r="D2268" s="6">
        <v>84</v>
      </c>
      <c r="E2268" s="8" t="s">
        <v>2821</v>
      </c>
      <c r="F2268" s="6" t="s">
        <v>2734</v>
      </c>
      <c r="G2268" s="33" t="s">
        <v>77</v>
      </c>
    </row>
    <row r="2269" spans="1:7" ht="14" x14ac:dyDescent="0.15">
      <c r="A2269" s="6" t="s">
        <v>7</v>
      </c>
      <c r="B2269" s="6" t="s">
        <v>8</v>
      </c>
      <c r="C2269" s="7" t="s">
        <v>1057</v>
      </c>
      <c r="D2269" s="6">
        <v>93</v>
      </c>
      <c r="E2269" s="8" t="s">
        <v>2909</v>
      </c>
      <c r="F2269" s="6" t="s">
        <v>2734</v>
      </c>
      <c r="G2269" s="33" t="s">
        <v>23</v>
      </c>
    </row>
    <row r="2270" spans="1:7" ht="28" x14ac:dyDescent="0.15">
      <c r="A2270" s="6" t="s">
        <v>7</v>
      </c>
      <c r="B2270" s="6" t="s">
        <v>8</v>
      </c>
      <c r="C2270" s="7" t="s">
        <v>1057</v>
      </c>
      <c r="D2270" s="6">
        <v>96</v>
      </c>
      <c r="E2270" s="8" t="s">
        <v>2822</v>
      </c>
      <c r="F2270" s="6" t="s">
        <v>2734</v>
      </c>
      <c r="G2270" s="33" t="s">
        <v>136</v>
      </c>
    </row>
    <row r="2271" spans="1:7" ht="28" x14ac:dyDescent="0.15">
      <c r="A2271" s="6" t="s">
        <v>708</v>
      </c>
      <c r="B2271" s="6" t="s">
        <v>709</v>
      </c>
      <c r="C2271" s="7" t="s">
        <v>710</v>
      </c>
      <c r="D2271" s="6">
        <v>108</v>
      </c>
      <c r="E2271" s="8" t="s">
        <v>2910</v>
      </c>
      <c r="F2271" s="6" t="s">
        <v>2734</v>
      </c>
      <c r="G2271" s="33" t="s">
        <v>18</v>
      </c>
    </row>
    <row r="2272" spans="1:7" ht="28" x14ac:dyDescent="0.15">
      <c r="A2272" s="6" t="s">
        <v>393</v>
      </c>
      <c r="B2272" s="6" t="s">
        <v>394</v>
      </c>
      <c r="C2272" s="7" t="s">
        <v>395</v>
      </c>
      <c r="D2272" s="6">
        <v>14</v>
      </c>
      <c r="E2272" s="8" t="s">
        <v>2911</v>
      </c>
      <c r="F2272" s="6" t="s">
        <v>2736</v>
      </c>
      <c r="G2272" s="33" t="s">
        <v>18</v>
      </c>
    </row>
    <row r="2273" spans="1:7" ht="28" x14ac:dyDescent="0.15">
      <c r="A2273" s="6" t="s">
        <v>393</v>
      </c>
      <c r="B2273" s="6" t="s">
        <v>394</v>
      </c>
      <c r="C2273" s="7" t="s">
        <v>395</v>
      </c>
      <c r="D2273" s="6">
        <v>46</v>
      </c>
      <c r="E2273" s="8" t="s">
        <v>2912</v>
      </c>
      <c r="F2273" s="6" t="s">
        <v>2734</v>
      </c>
      <c r="G2273" s="33" t="s">
        <v>18</v>
      </c>
    </row>
    <row r="2274" spans="1:7" ht="28" x14ac:dyDescent="0.15">
      <c r="A2274" s="6" t="s">
        <v>393</v>
      </c>
      <c r="B2274" s="6" t="s">
        <v>394</v>
      </c>
      <c r="C2274" s="7" t="s">
        <v>395</v>
      </c>
      <c r="D2274" s="6">
        <v>51</v>
      </c>
      <c r="E2274" s="8" t="s">
        <v>2913</v>
      </c>
      <c r="F2274" s="6" t="s">
        <v>2734</v>
      </c>
      <c r="G2274" s="33" t="s">
        <v>18</v>
      </c>
    </row>
    <row r="2275" spans="1:7" ht="28" x14ac:dyDescent="0.15">
      <c r="A2275" s="6" t="s">
        <v>393</v>
      </c>
      <c r="B2275" s="6" t="s">
        <v>394</v>
      </c>
      <c r="C2275" s="7" t="s">
        <v>395</v>
      </c>
      <c r="D2275" s="6">
        <v>106</v>
      </c>
      <c r="E2275" s="8" t="s">
        <v>2914</v>
      </c>
      <c r="F2275" s="6" t="s">
        <v>2734</v>
      </c>
      <c r="G2275" s="33" t="s">
        <v>136</v>
      </c>
    </row>
    <row r="2276" spans="1:7" ht="14" x14ac:dyDescent="0.15">
      <c r="A2276" s="6" t="s">
        <v>393</v>
      </c>
      <c r="B2276" s="6" t="s">
        <v>394</v>
      </c>
      <c r="C2276" s="7" t="s">
        <v>395</v>
      </c>
      <c r="D2276" s="6">
        <v>119</v>
      </c>
      <c r="E2276" s="8" t="s">
        <v>2915</v>
      </c>
      <c r="F2276" s="6" t="s">
        <v>2734</v>
      </c>
      <c r="G2276" s="33" t="s">
        <v>18</v>
      </c>
    </row>
    <row r="2277" spans="1:7" ht="28" x14ac:dyDescent="0.15">
      <c r="A2277" s="6" t="s">
        <v>1086</v>
      </c>
      <c r="B2277" s="6" t="s">
        <v>1087</v>
      </c>
      <c r="C2277" s="7" t="s">
        <v>1088</v>
      </c>
      <c r="D2277" s="6">
        <v>63</v>
      </c>
      <c r="E2277" s="8" t="s">
        <v>2916</v>
      </c>
      <c r="F2277" s="6" t="s">
        <v>2734</v>
      </c>
      <c r="G2277" s="33" t="s">
        <v>30</v>
      </c>
    </row>
    <row r="2278" spans="1:7" ht="14" x14ac:dyDescent="0.15">
      <c r="A2278" s="6" t="s">
        <v>1086</v>
      </c>
      <c r="B2278" s="6" t="s">
        <v>1087</v>
      </c>
      <c r="C2278" s="7" t="s">
        <v>1088</v>
      </c>
      <c r="D2278" s="6">
        <v>64</v>
      </c>
      <c r="E2278" s="8" t="s">
        <v>2917</v>
      </c>
      <c r="F2278" s="6" t="s">
        <v>2734</v>
      </c>
      <c r="G2278" s="33" t="s">
        <v>30</v>
      </c>
    </row>
    <row r="2279" spans="1:7" ht="14" x14ac:dyDescent="0.15">
      <c r="A2279" s="6" t="s">
        <v>1086</v>
      </c>
      <c r="B2279" s="6" t="s">
        <v>1087</v>
      </c>
      <c r="C2279" s="7" t="s">
        <v>1088</v>
      </c>
      <c r="D2279" s="6">
        <v>107</v>
      </c>
      <c r="E2279" s="8" t="s">
        <v>2918</v>
      </c>
      <c r="F2279" s="6" t="s">
        <v>2734</v>
      </c>
      <c r="G2279" s="33" t="s">
        <v>88</v>
      </c>
    </row>
    <row r="2280" spans="1:7" ht="14" x14ac:dyDescent="0.15">
      <c r="A2280" s="6" t="s">
        <v>2919</v>
      </c>
      <c r="B2280" s="6" t="s">
        <v>2920</v>
      </c>
      <c r="C2280" s="7" t="s">
        <v>2921</v>
      </c>
      <c r="D2280" s="6">
        <v>12</v>
      </c>
      <c r="E2280" s="8" t="s">
        <v>2922</v>
      </c>
      <c r="F2280" s="6" t="s">
        <v>2734</v>
      </c>
      <c r="G2280" s="33" t="s">
        <v>136</v>
      </c>
    </row>
    <row r="2281" spans="1:7" ht="14" x14ac:dyDescent="0.15">
      <c r="A2281" s="6" t="s">
        <v>2217</v>
      </c>
      <c r="B2281" s="6" t="s">
        <v>2218</v>
      </c>
      <c r="C2281" s="7" t="s">
        <v>2219</v>
      </c>
      <c r="D2281" s="6">
        <v>46</v>
      </c>
      <c r="E2281" s="8" t="s">
        <v>2923</v>
      </c>
      <c r="F2281" s="6" t="s">
        <v>2734</v>
      </c>
      <c r="G2281" s="33" t="s">
        <v>30</v>
      </c>
    </row>
    <row r="2282" spans="1:7" ht="14" x14ac:dyDescent="0.15">
      <c r="A2282" s="6" t="s">
        <v>2217</v>
      </c>
      <c r="B2282" s="6" t="s">
        <v>2218</v>
      </c>
      <c r="C2282" s="7" t="s">
        <v>2219</v>
      </c>
      <c r="D2282" s="6">
        <v>55</v>
      </c>
      <c r="E2282" s="8" t="s">
        <v>2924</v>
      </c>
      <c r="F2282" s="6" t="s">
        <v>2734</v>
      </c>
      <c r="G2282" s="33" t="s">
        <v>30</v>
      </c>
    </row>
    <row r="2283" spans="1:7" ht="14" x14ac:dyDescent="0.15">
      <c r="A2283" s="6" t="s">
        <v>2829</v>
      </c>
      <c r="B2283" s="6" t="s">
        <v>2925</v>
      </c>
      <c r="C2283" s="7" t="s">
        <v>2926</v>
      </c>
      <c r="D2283" s="6">
        <v>12</v>
      </c>
      <c r="E2283" s="8" t="s">
        <v>2927</v>
      </c>
      <c r="F2283" s="6" t="s">
        <v>2734</v>
      </c>
      <c r="G2283" s="33" t="s">
        <v>83</v>
      </c>
    </row>
    <row r="2284" spans="1:7" ht="14" x14ac:dyDescent="0.15">
      <c r="A2284" s="6" t="s">
        <v>867</v>
      </c>
      <c r="B2284" s="6" t="s">
        <v>868</v>
      </c>
      <c r="C2284" s="7" t="s">
        <v>1103</v>
      </c>
      <c r="D2284" s="6">
        <v>16</v>
      </c>
      <c r="E2284" s="8" t="s">
        <v>2852</v>
      </c>
      <c r="F2284" s="6" t="s">
        <v>2734</v>
      </c>
      <c r="G2284" s="33" t="s">
        <v>12</v>
      </c>
    </row>
    <row r="2285" spans="1:7" ht="28" x14ac:dyDescent="0.15">
      <c r="A2285" s="6" t="s">
        <v>25</v>
      </c>
      <c r="B2285" s="6" t="s">
        <v>238</v>
      </c>
      <c r="C2285" s="7" t="s">
        <v>1517</v>
      </c>
      <c r="D2285" s="6">
        <v>28</v>
      </c>
      <c r="E2285" s="8" t="s">
        <v>2853</v>
      </c>
      <c r="F2285" s="6" t="s">
        <v>2734</v>
      </c>
      <c r="G2285" s="33" t="s">
        <v>12</v>
      </c>
    </row>
    <row r="2286" spans="1:7" ht="14" x14ac:dyDescent="0.15">
      <c r="A2286" s="6" t="s">
        <v>25</v>
      </c>
      <c r="B2286" s="6" t="s">
        <v>238</v>
      </c>
      <c r="C2286" s="7" t="s">
        <v>1517</v>
      </c>
      <c r="D2286" s="6">
        <v>62</v>
      </c>
      <c r="E2286" s="8" t="s">
        <v>2854</v>
      </c>
      <c r="F2286" s="6" t="s">
        <v>2734</v>
      </c>
      <c r="G2286" s="33" t="s">
        <v>136</v>
      </c>
    </row>
    <row r="2287" spans="1:7" ht="42" x14ac:dyDescent="0.15">
      <c r="A2287" s="6" t="s">
        <v>247</v>
      </c>
      <c r="B2287" s="6" t="s">
        <v>248</v>
      </c>
      <c r="C2287" s="7" t="s">
        <v>399</v>
      </c>
      <c r="D2287" s="6">
        <v>113</v>
      </c>
      <c r="E2287" s="8" t="s">
        <v>2855</v>
      </c>
      <c r="F2287" s="6" t="s">
        <v>2734</v>
      </c>
      <c r="G2287" s="33" t="s">
        <v>67</v>
      </c>
    </row>
    <row r="2288" spans="1:7" ht="28" x14ac:dyDescent="0.15">
      <c r="A2288" s="6" t="s">
        <v>247</v>
      </c>
      <c r="B2288" s="6" t="s">
        <v>248</v>
      </c>
      <c r="C2288" s="7" t="s">
        <v>399</v>
      </c>
      <c r="D2288" s="6">
        <v>176</v>
      </c>
      <c r="E2288" s="8" t="s">
        <v>2857</v>
      </c>
      <c r="F2288" s="6" t="s">
        <v>2734</v>
      </c>
      <c r="G2288" s="33" t="s">
        <v>23</v>
      </c>
    </row>
    <row r="2289" spans="1:7" ht="14" x14ac:dyDescent="0.15">
      <c r="A2289" s="6" t="s">
        <v>1737</v>
      </c>
      <c r="B2289" s="6" t="s">
        <v>1738</v>
      </c>
      <c r="C2289" s="7" t="s">
        <v>1797</v>
      </c>
      <c r="D2289" s="6">
        <v>78</v>
      </c>
      <c r="E2289" s="8" t="s">
        <v>2859</v>
      </c>
      <c r="F2289" s="6" t="s">
        <v>2734</v>
      </c>
      <c r="G2289" s="33" t="s">
        <v>219</v>
      </c>
    </row>
    <row r="2290" spans="1:7" ht="14" x14ac:dyDescent="0.15">
      <c r="A2290" s="6" t="s">
        <v>1118</v>
      </c>
      <c r="B2290" s="6" t="s">
        <v>1119</v>
      </c>
      <c r="C2290" s="7" t="s">
        <v>1120</v>
      </c>
      <c r="D2290" s="6">
        <v>43</v>
      </c>
      <c r="E2290" s="8" t="s">
        <v>2928</v>
      </c>
      <c r="F2290" s="6" t="s">
        <v>2734</v>
      </c>
      <c r="G2290" s="33" t="s">
        <v>83</v>
      </c>
    </row>
    <row r="2291" spans="1:7" ht="14" x14ac:dyDescent="0.15">
      <c r="A2291" s="6" t="s">
        <v>1125</v>
      </c>
      <c r="B2291" s="6" t="s">
        <v>1126</v>
      </c>
      <c r="C2291" s="7" t="s">
        <v>1127</v>
      </c>
      <c r="D2291" s="6">
        <v>159</v>
      </c>
      <c r="E2291" s="8" t="s">
        <v>2929</v>
      </c>
      <c r="F2291" s="6" t="s">
        <v>2734</v>
      </c>
      <c r="G2291" s="33" t="s">
        <v>12</v>
      </c>
    </row>
    <row r="2292" spans="1:7" ht="14" x14ac:dyDescent="0.15">
      <c r="A2292" s="6" t="s">
        <v>416</v>
      </c>
      <c r="B2292" s="6" t="s">
        <v>416</v>
      </c>
      <c r="C2292" s="7" t="s">
        <v>417</v>
      </c>
      <c r="D2292" s="6">
        <v>28</v>
      </c>
      <c r="E2292" s="8" t="s">
        <v>2930</v>
      </c>
      <c r="F2292" s="6" t="s">
        <v>2734</v>
      </c>
      <c r="G2292" s="33" t="s">
        <v>136</v>
      </c>
    </row>
    <row r="2293" spans="1:7" ht="14" x14ac:dyDescent="0.15">
      <c r="A2293" s="6" t="s">
        <v>932</v>
      </c>
      <c r="B2293" s="6" t="s">
        <v>933</v>
      </c>
      <c r="C2293" s="7" t="s">
        <v>1155</v>
      </c>
      <c r="D2293" s="6">
        <v>72</v>
      </c>
      <c r="E2293" s="8" t="s">
        <v>2864</v>
      </c>
      <c r="F2293" s="6" t="s">
        <v>2734</v>
      </c>
      <c r="G2293" s="33" t="s">
        <v>83</v>
      </c>
    </row>
    <row r="2294" spans="1:7" ht="28" x14ac:dyDescent="0.15">
      <c r="A2294" s="6" t="s">
        <v>43</v>
      </c>
      <c r="B2294" s="6" t="s">
        <v>44</v>
      </c>
      <c r="C2294" s="7" t="s">
        <v>45</v>
      </c>
      <c r="D2294" s="6">
        <v>32</v>
      </c>
      <c r="E2294" s="8" t="s">
        <v>2931</v>
      </c>
      <c r="F2294" s="6" t="s">
        <v>2734</v>
      </c>
      <c r="G2294" s="33" t="s">
        <v>30</v>
      </c>
    </row>
    <row r="2295" spans="1:7" ht="28" x14ac:dyDescent="0.15">
      <c r="A2295" s="6" t="s">
        <v>43</v>
      </c>
      <c r="B2295" s="6" t="s">
        <v>44</v>
      </c>
      <c r="C2295" s="7" t="s">
        <v>45</v>
      </c>
      <c r="D2295" s="6">
        <v>45</v>
      </c>
      <c r="E2295" s="8" t="s">
        <v>2932</v>
      </c>
      <c r="F2295" s="6" t="s">
        <v>2734</v>
      </c>
      <c r="G2295" s="33" t="s">
        <v>67</v>
      </c>
    </row>
    <row r="2296" spans="1:7" ht="14" x14ac:dyDescent="0.15">
      <c r="A2296" s="6" t="s">
        <v>1163</v>
      </c>
      <c r="B2296" s="6" t="s">
        <v>1164</v>
      </c>
      <c r="C2296" s="7" t="s">
        <v>1165</v>
      </c>
      <c r="D2296" s="6">
        <v>7</v>
      </c>
      <c r="E2296" s="8" t="s">
        <v>2933</v>
      </c>
      <c r="F2296" s="6" t="s">
        <v>2734</v>
      </c>
      <c r="G2296" s="33" t="s">
        <v>30</v>
      </c>
    </row>
    <row r="2297" spans="1:7" ht="14" x14ac:dyDescent="0.15">
      <c r="A2297" s="6" t="s">
        <v>1163</v>
      </c>
      <c r="B2297" s="6" t="s">
        <v>1164</v>
      </c>
      <c r="C2297" s="7" t="s">
        <v>1165</v>
      </c>
      <c r="D2297" s="6">
        <v>59</v>
      </c>
      <c r="E2297" s="8" t="s">
        <v>2934</v>
      </c>
      <c r="F2297" s="6" t="s">
        <v>2734</v>
      </c>
      <c r="G2297" s="33" t="s">
        <v>88</v>
      </c>
    </row>
    <row r="2298" spans="1:7" ht="28" x14ac:dyDescent="0.15">
      <c r="A2298" s="6" t="s">
        <v>441</v>
      </c>
      <c r="B2298" s="6" t="s">
        <v>442</v>
      </c>
      <c r="C2298" s="7" t="s">
        <v>443</v>
      </c>
      <c r="D2298" s="6">
        <v>11</v>
      </c>
      <c r="E2298" s="8" t="s">
        <v>2935</v>
      </c>
      <c r="F2298" s="6" t="s">
        <v>2734</v>
      </c>
      <c r="G2298" s="33" t="s">
        <v>23</v>
      </c>
    </row>
    <row r="2299" spans="1:7" ht="42" x14ac:dyDescent="0.15">
      <c r="A2299" s="6" t="s">
        <v>441</v>
      </c>
      <c r="B2299" s="6" t="s">
        <v>442</v>
      </c>
      <c r="C2299" s="7" t="s">
        <v>443</v>
      </c>
      <c r="D2299" s="6">
        <v>49</v>
      </c>
      <c r="E2299" s="8" t="s">
        <v>2936</v>
      </c>
      <c r="F2299" s="6" t="s">
        <v>2734</v>
      </c>
      <c r="G2299" s="33" t="s">
        <v>23</v>
      </c>
    </row>
    <row r="2300" spans="1:7" ht="14" x14ac:dyDescent="0.15">
      <c r="A2300" s="6" t="s">
        <v>325</v>
      </c>
      <c r="B2300" s="6" t="s">
        <v>326</v>
      </c>
      <c r="C2300" s="7" t="s">
        <v>463</v>
      </c>
      <c r="D2300" s="6">
        <v>138</v>
      </c>
      <c r="E2300" s="8" t="s">
        <v>2937</v>
      </c>
      <c r="F2300" s="6" t="s">
        <v>2734</v>
      </c>
      <c r="G2300" s="33" t="s">
        <v>12</v>
      </c>
    </row>
    <row r="2301" spans="1:7" ht="14" x14ac:dyDescent="0.15">
      <c r="A2301" s="6" t="s">
        <v>325</v>
      </c>
      <c r="B2301" s="6" t="s">
        <v>326</v>
      </c>
      <c r="C2301" s="7" t="s">
        <v>463</v>
      </c>
      <c r="D2301" s="6">
        <v>169</v>
      </c>
      <c r="E2301" s="8" t="s">
        <v>2887</v>
      </c>
      <c r="F2301" s="6" t="s">
        <v>2734</v>
      </c>
      <c r="G2301" s="33" t="s">
        <v>12</v>
      </c>
    </row>
    <row r="2302" spans="1:7" ht="14" x14ac:dyDescent="0.15">
      <c r="A2302" s="6" t="s">
        <v>466</v>
      </c>
      <c r="B2302" s="6" t="s">
        <v>467</v>
      </c>
      <c r="C2302" s="7" t="s">
        <v>468</v>
      </c>
      <c r="D2302" s="6">
        <v>8</v>
      </c>
      <c r="E2302" s="8" t="s">
        <v>2938</v>
      </c>
      <c r="F2302" s="6" t="s">
        <v>2734</v>
      </c>
      <c r="G2302" s="33" t="s">
        <v>83</v>
      </c>
    </row>
    <row r="2303" spans="1:7" ht="14" x14ac:dyDescent="0.15">
      <c r="A2303" s="6" t="s">
        <v>47</v>
      </c>
      <c r="B2303" s="6" t="s">
        <v>48</v>
      </c>
      <c r="C2303" s="7" t="s">
        <v>49</v>
      </c>
      <c r="D2303" s="6">
        <v>33</v>
      </c>
      <c r="E2303" s="8" t="s">
        <v>2939</v>
      </c>
      <c r="F2303" s="6" t="s">
        <v>2734</v>
      </c>
      <c r="G2303" s="33" t="s">
        <v>83</v>
      </c>
    </row>
    <row r="2304" spans="1:7" ht="14" x14ac:dyDescent="0.15">
      <c r="A2304" s="6" t="s">
        <v>47</v>
      </c>
      <c r="B2304" s="6" t="s">
        <v>48</v>
      </c>
      <c r="C2304" s="7" t="s">
        <v>49</v>
      </c>
      <c r="D2304" s="6">
        <v>35</v>
      </c>
      <c r="E2304" s="8" t="s">
        <v>2940</v>
      </c>
      <c r="F2304" s="6" t="s">
        <v>2734</v>
      </c>
      <c r="G2304" s="33" t="s">
        <v>88</v>
      </c>
    </row>
    <row r="2305" spans="1:7" ht="14" x14ac:dyDescent="0.15">
      <c r="A2305" s="6" t="s">
        <v>2941</v>
      </c>
      <c r="B2305" s="6" t="s">
        <v>2942</v>
      </c>
      <c r="C2305" s="7" t="s">
        <v>2943</v>
      </c>
      <c r="D2305" s="6">
        <v>27</v>
      </c>
      <c r="E2305" s="8" t="s">
        <v>2944</v>
      </c>
      <c r="F2305" s="6" t="s">
        <v>2734</v>
      </c>
      <c r="G2305" s="33" t="s">
        <v>18</v>
      </c>
    </row>
    <row r="2306" spans="1:7" ht="14" x14ac:dyDescent="0.15">
      <c r="A2306" s="6" t="s">
        <v>2945</v>
      </c>
      <c r="B2306" s="6" t="s">
        <v>2946</v>
      </c>
      <c r="C2306" s="7" t="s">
        <v>2947</v>
      </c>
      <c r="D2306" s="6">
        <v>4</v>
      </c>
      <c r="E2306" s="8" t="s">
        <v>2948</v>
      </c>
      <c r="F2306" s="6" t="s">
        <v>2734</v>
      </c>
      <c r="G2306" s="33" t="s">
        <v>18</v>
      </c>
    </row>
    <row r="2307" spans="1:7" ht="14" x14ac:dyDescent="0.15">
      <c r="A2307" s="6" t="s">
        <v>51</v>
      </c>
      <c r="B2307" s="6" t="s">
        <v>492</v>
      </c>
      <c r="C2307" s="7" t="s">
        <v>493</v>
      </c>
      <c r="D2307" s="6">
        <v>10</v>
      </c>
      <c r="E2307" s="8" t="s">
        <v>2949</v>
      </c>
      <c r="F2307" s="6" t="s">
        <v>2734</v>
      </c>
      <c r="G2307" s="33" t="s">
        <v>77</v>
      </c>
    </row>
    <row r="2308" spans="1:7" ht="14" x14ac:dyDescent="0.15">
      <c r="A2308" s="6" t="s">
        <v>51</v>
      </c>
      <c r="B2308" s="6" t="s">
        <v>492</v>
      </c>
      <c r="C2308" s="7" t="s">
        <v>493</v>
      </c>
      <c r="D2308" s="6">
        <v>16</v>
      </c>
      <c r="E2308" s="8" t="s">
        <v>2950</v>
      </c>
      <c r="F2308" s="6" t="s">
        <v>2734</v>
      </c>
      <c r="G2308" s="33" t="s">
        <v>77</v>
      </c>
    </row>
    <row r="2309" spans="1:7" ht="14" x14ac:dyDescent="0.15">
      <c r="A2309" s="6" t="s">
        <v>51</v>
      </c>
      <c r="B2309" s="6" t="s">
        <v>1547</v>
      </c>
      <c r="C2309" s="7" t="s">
        <v>1548</v>
      </c>
      <c r="D2309" s="6">
        <v>27</v>
      </c>
      <c r="E2309" s="8" t="s">
        <v>2951</v>
      </c>
      <c r="F2309" s="6" t="s">
        <v>2734</v>
      </c>
      <c r="G2309" s="33" t="s">
        <v>83</v>
      </c>
    </row>
    <row r="2310" spans="1:7" ht="28" x14ac:dyDescent="0.15">
      <c r="A2310" s="6" t="s">
        <v>51</v>
      </c>
      <c r="B2310" s="6" t="s">
        <v>1547</v>
      </c>
      <c r="C2310" s="7" t="s">
        <v>1548</v>
      </c>
      <c r="D2310" s="6">
        <v>28</v>
      </c>
      <c r="E2310" s="8" t="s">
        <v>2952</v>
      </c>
      <c r="F2310" s="6" t="s">
        <v>2734</v>
      </c>
      <c r="G2310" s="33" t="s">
        <v>83</v>
      </c>
    </row>
    <row r="2311" spans="1:7" ht="14" x14ac:dyDescent="0.15">
      <c r="A2311" s="6" t="s">
        <v>51</v>
      </c>
      <c r="B2311" s="6" t="s">
        <v>56</v>
      </c>
      <c r="C2311" s="7" t="s">
        <v>57</v>
      </c>
      <c r="D2311" s="6">
        <v>76</v>
      </c>
      <c r="E2311" s="8" t="s">
        <v>2953</v>
      </c>
      <c r="F2311" s="6" t="s">
        <v>2734</v>
      </c>
      <c r="G2311" s="33" t="s">
        <v>18</v>
      </c>
    </row>
    <row r="2312" spans="1:7" ht="42" x14ac:dyDescent="0.15">
      <c r="A2312" s="6" t="s">
        <v>51</v>
      </c>
      <c r="B2312" s="6" t="s">
        <v>499</v>
      </c>
      <c r="C2312" s="7" t="s">
        <v>500</v>
      </c>
      <c r="D2312" s="6">
        <v>39</v>
      </c>
      <c r="E2312" s="8" t="s">
        <v>2954</v>
      </c>
      <c r="F2312" s="6" t="s">
        <v>2736</v>
      </c>
      <c r="G2312" s="33" t="s">
        <v>18</v>
      </c>
    </row>
    <row r="2313" spans="1:7" ht="14" x14ac:dyDescent="0.15">
      <c r="A2313" s="6" t="s">
        <v>1561</v>
      </c>
      <c r="B2313" s="6" t="s">
        <v>1562</v>
      </c>
      <c r="C2313" s="7" t="s">
        <v>1563</v>
      </c>
      <c r="D2313" s="6">
        <v>74</v>
      </c>
      <c r="E2313" s="8" t="s">
        <v>2955</v>
      </c>
      <c r="F2313" s="6" t="s">
        <v>2734</v>
      </c>
      <c r="G2313" s="33" t="s">
        <v>23</v>
      </c>
    </row>
    <row r="2314" spans="1:7" ht="28" x14ac:dyDescent="0.15">
      <c r="A2314" s="6" t="s">
        <v>502</v>
      </c>
      <c r="B2314" s="6" t="s">
        <v>502</v>
      </c>
      <c r="C2314" s="7" t="s">
        <v>503</v>
      </c>
      <c r="D2314" s="6">
        <v>71</v>
      </c>
      <c r="E2314" s="8" t="s">
        <v>2956</v>
      </c>
      <c r="F2314" s="6" t="s">
        <v>2734</v>
      </c>
      <c r="G2314" s="33" t="s">
        <v>83</v>
      </c>
    </row>
    <row r="2315" spans="1:7" ht="14" x14ac:dyDescent="0.15">
      <c r="A2315" s="6" t="s">
        <v>502</v>
      </c>
      <c r="B2315" s="6" t="s">
        <v>502</v>
      </c>
      <c r="C2315" s="7" t="s">
        <v>503</v>
      </c>
      <c r="D2315" s="6">
        <v>72</v>
      </c>
      <c r="E2315" s="8" t="s">
        <v>2957</v>
      </c>
      <c r="F2315" s="6" t="s">
        <v>2734</v>
      </c>
      <c r="G2315" s="33" t="s">
        <v>83</v>
      </c>
    </row>
    <row r="2316" spans="1:7" ht="14" x14ac:dyDescent="0.15">
      <c r="A2316" s="6" t="s">
        <v>2303</v>
      </c>
      <c r="B2316" s="6" t="s">
        <v>2304</v>
      </c>
      <c r="C2316" s="7" t="s">
        <v>2305</v>
      </c>
      <c r="D2316" s="6">
        <v>43</v>
      </c>
      <c r="E2316" s="8" t="s">
        <v>2958</v>
      </c>
      <c r="F2316" s="6" t="s">
        <v>2734</v>
      </c>
      <c r="G2316" s="33" t="s">
        <v>136</v>
      </c>
    </row>
    <row r="2317" spans="1:7" ht="28" x14ac:dyDescent="0.15">
      <c r="A2317" s="6" t="s">
        <v>105</v>
      </c>
      <c r="B2317" s="6" t="s">
        <v>106</v>
      </c>
      <c r="C2317" s="7" t="s">
        <v>112</v>
      </c>
      <c r="D2317" s="6">
        <v>66</v>
      </c>
      <c r="E2317" s="8" t="s">
        <v>2799</v>
      </c>
      <c r="F2317" s="6" t="s">
        <v>2734</v>
      </c>
      <c r="G2317" s="33" t="s">
        <v>18</v>
      </c>
    </row>
    <row r="2318" spans="1:7" ht="14" x14ac:dyDescent="0.15">
      <c r="A2318" s="6" t="s">
        <v>514</v>
      </c>
      <c r="B2318" s="6" t="s">
        <v>2959</v>
      </c>
      <c r="C2318" s="7" t="s">
        <v>2960</v>
      </c>
      <c r="D2318" s="6">
        <v>13</v>
      </c>
      <c r="E2318" s="8" t="s">
        <v>2961</v>
      </c>
      <c r="F2318" s="6" t="s">
        <v>2734</v>
      </c>
      <c r="G2318" s="33" t="s">
        <v>30</v>
      </c>
    </row>
    <row r="2319" spans="1:7" ht="14" x14ac:dyDescent="0.15">
      <c r="A2319" s="6" t="s">
        <v>1623</v>
      </c>
      <c r="B2319" s="6" t="s">
        <v>1624</v>
      </c>
      <c r="C2319" s="7" t="s">
        <v>1625</v>
      </c>
      <c r="D2319" s="6">
        <v>14</v>
      </c>
      <c r="E2319" s="8" t="s">
        <v>2962</v>
      </c>
      <c r="F2319" s="6" t="s">
        <v>2734</v>
      </c>
      <c r="G2319" s="33" t="s">
        <v>30</v>
      </c>
    </row>
    <row r="2320" spans="1:7" ht="14" x14ac:dyDescent="0.15">
      <c r="A2320" s="6" t="s">
        <v>60</v>
      </c>
      <c r="B2320" s="6" t="s">
        <v>61</v>
      </c>
      <c r="C2320" s="7" t="s">
        <v>62</v>
      </c>
      <c r="D2320" s="6">
        <v>33</v>
      </c>
      <c r="E2320" s="8" t="s">
        <v>2939</v>
      </c>
      <c r="F2320" s="6" t="s">
        <v>2734</v>
      </c>
      <c r="G2320" s="33" t="s">
        <v>83</v>
      </c>
    </row>
    <row r="2321" spans="1:7" ht="14" x14ac:dyDescent="0.15">
      <c r="A2321" s="6" t="s">
        <v>60</v>
      </c>
      <c r="B2321" s="6" t="s">
        <v>61</v>
      </c>
      <c r="C2321" s="7" t="s">
        <v>62</v>
      </c>
      <c r="D2321" s="6">
        <v>35</v>
      </c>
      <c r="E2321" s="8" t="s">
        <v>2940</v>
      </c>
      <c r="F2321" s="6" t="s">
        <v>2734</v>
      </c>
      <c r="G2321" s="33" t="s">
        <v>88</v>
      </c>
    </row>
    <row r="2322" spans="1:7" ht="14" x14ac:dyDescent="0.15">
      <c r="A2322" s="6" t="s">
        <v>521</v>
      </c>
      <c r="B2322" s="6" t="s">
        <v>522</v>
      </c>
      <c r="C2322" s="7" t="s">
        <v>523</v>
      </c>
      <c r="D2322" s="6">
        <v>34</v>
      </c>
      <c r="E2322" s="8" t="s">
        <v>2963</v>
      </c>
      <c r="F2322" s="6" t="s">
        <v>2734</v>
      </c>
      <c r="G2322" s="33" t="s">
        <v>30</v>
      </c>
    </row>
    <row r="2323" spans="1:7" ht="28" x14ac:dyDescent="0.15">
      <c r="A2323" s="6" t="s">
        <v>521</v>
      </c>
      <c r="B2323" s="6" t="s">
        <v>2322</v>
      </c>
      <c r="C2323" s="7" t="s">
        <v>2323</v>
      </c>
      <c r="D2323" s="6">
        <v>3</v>
      </c>
      <c r="E2323" s="8" t="s">
        <v>2964</v>
      </c>
      <c r="F2323" s="6" t="s">
        <v>2734</v>
      </c>
      <c r="G2323" s="33" t="s">
        <v>30</v>
      </c>
    </row>
    <row r="2324" spans="1:7" ht="14" x14ac:dyDescent="0.15">
      <c r="A2324" s="6" t="s">
        <v>521</v>
      </c>
      <c r="B2324" s="6" t="s">
        <v>533</v>
      </c>
      <c r="C2324" s="7" t="s">
        <v>534</v>
      </c>
      <c r="D2324" s="6">
        <v>10</v>
      </c>
      <c r="E2324" s="8" t="s">
        <v>2965</v>
      </c>
      <c r="F2324" s="6" t="s">
        <v>2734</v>
      </c>
      <c r="G2324" s="33" t="s">
        <v>83</v>
      </c>
    </row>
    <row r="2325" spans="1:7" ht="14" x14ac:dyDescent="0.15">
      <c r="A2325" s="6" t="s">
        <v>521</v>
      </c>
      <c r="B2325" s="6" t="s">
        <v>536</v>
      </c>
      <c r="C2325" s="7" t="s">
        <v>537</v>
      </c>
      <c r="D2325" s="6">
        <v>24</v>
      </c>
      <c r="E2325" s="8" t="s">
        <v>2966</v>
      </c>
      <c r="F2325" s="6" t="s">
        <v>2734</v>
      </c>
      <c r="G2325" s="33" t="s">
        <v>18</v>
      </c>
    </row>
    <row r="2326" spans="1:7" ht="14" x14ac:dyDescent="0.15">
      <c r="A2326" s="6" t="s">
        <v>521</v>
      </c>
      <c r="B2326" s="6" t="s">
        <v>539</v>
      </c>
      <c r="C2326" s="7" t="s">
        <v>540</v>
      </c>
      <c r="D2326" s="6">
        <v>18</v>
      </c>
      <c r="E2326" s="8" t="s">
        <v>2967</v>
      </c>
      <c r="F2326" s="6" t="s">
        <v>2734</v>
      </c>
      <c r="G2326" s="33" t="s">
        <v>83</v>
      </c>
    </row>
    <row r="2327" spans="1:7" ht="14" x14ac:dyDescent="0.15">
      <c r="A2327" s="6" t="s">
        <v>521</v>
      </c>
      <c r="B2327" s="6" t="s">
        <v>548</v>
      </c>
      <c r="C2327" s="7" t="s">
        <v>549</v>
      </c>
      <c r="D2327" s="6">
        <v>14</v>
      </c>
      <c r="E2327" s="8" t="s">
        <v>2968</v>
      </c>
      <c r="F2327" s="6" t="s">
        <v>2734</v>
      </c>
      <c r="G2327" s="33" t="s">
        <v>30</v>
      </c>
    </row>
    <row r="2328" spans="1:7" ht="14" x14ac:dyDescent="0.15">
      <c r="A2328" s="6" t="s">
        <v>521</v>
      </c>
      <c r="B2328" s="6" t="s">
        <v>548</v>
      </c>
      <c r="C2328" s="7" t="s">
        <v>549</v>
      </c>
      <c r="D2328" s="6">
        <v>17</v>
      </c>
      <c r="E2328" s="8" t="s">
        <v>2969</v>
      </c>
      <c r="F2328" s="6" t="s">
        <v>2734</v>
      </c>
      <c r="G2328" s="33" t="s">
        <v>88</v>
      </c>
    </row>
    <row r="2329" spans="1:7" ht="14" x14ac:dyDescent="0.15">
      <c r="A2329" s="6" t="s">
        <v>521</v>
      </c>
      <c r="B2329" s="6" t="s">
        <v>548</v>
      </c>
      <c r="C2329" s="7" t="s">
        <v>549</v>
      </c>
      <c r="D2329" s="6">
        <v>21</v>
      </c>
      <c r="E2329" s="8" t="s">
        <v>2970</v>
      </c>
      <c r="F2329" s="6" t="s">
        <v>2734</v>
      </c>
      <c r="G2329" s="33" t="s">
        <v>30</v>
      </c>
    </row>
    <row r="2330" spans="1:7" ht="14" x14ac:dyDescent="0.15">
      <c r="A2330" s="6" t="s">
        <v>2217</v>
      </c>
      <c r="B2330" s="6" t="s">
        <v>2218</v>
      </c>
      <c r="C2330" s="7" t="s">
        <v>2330</v>
      </c>
      <c r="D2330" s="6">
        <v>14</v>
      </c>
      <c r="E2330" s="8" t="s">
        <v>2971</v>
      </c>
      <c r="F2330" s="6" t="s">
        <v>2734</v>
      </c>
      <c r="G2330" s="33" t="s">
        <v>88</v>
      </c>
    </row>
    <row r="2331" spans="1:7" ht="14" x14ac:dyDescent="0.15">
      <c r="A2331" s="6" t="s">
        <v>555</v>
      </c>
      <c r="B2331" s="6" t="s">
        <v>556</v>
      </c>
      <c r="C2331" s="7" t="s">
        <v>557</v>
      </c>
      <c r="D2331" s="6">
        <v>15</v>
      </c>
      <c r="E2331" s="8" t="s">
        <v>2972</v>
      </c>
      <c r="F2331" s="6" t="s">
        <v>2734</v>
      </c>
      <c r="G2331" s="33" t="s">
        <v>83</v>
      </c>
    </row>
    <row r="2332" spans="1:7" ht="14" x14ac:dyDescent="0.15">
      <c r="A2332" s="6" t="s">
        <v>661</v>
      </c>
      <c r="B2332" s="6" t="s">
        <v>662</v>
      </c>
      <c r="C2332" s="7" t="s">
        <v>663</v>
      </c>
      <c r="D2332" s="6">
        <v>102</v>
      </c>
      <c r="E2332" s="8" t="s">
        <v>2973</v>
      </c>
      <c r="F2332" s="6" t="s">
        <v>2734</v>
      </c>
      <c r="G2332" s="33" t="s">
        <v>88</v>
      </c>
    </row>
    <row r="2333" spans="1:7" ht="14" x14ac:dyDescent="0.15">
      <c r="A2333" s="6" t="s">
        <v>1256</v>
      </c>
      <c r="B2333" s="6" t="s">
        <v>1256</v>
      </c>
      <c r="C2333" s="7" t="s">
        <v>1257</v>
      </c>
      <c r="D2333" s="6">
        <v>60</v>
      </c>
      <c r="E2333" s="8" t="s">
        <v>2974</v>
      </c>
      <c r="F2333" s="6" t="s">
        <v>2736</v>
      </c>
      <c r="G2333" s="33" t="s">
        <v>12</v>
      </c>
    </row>
    <row r="2334" spans="1:7" ht="28" x14ac:dyDescent="0.15">
      <c r="A2334" s="6" t="s">
        <v>1256</v>
      </c>
      <c r="B2334" s="6" t="s">
        <v>1256</v>
      </c>
      <c r="C2334" s="7" t="s">
        <v>1257</v>
      </c>
      <c r="D2334" s="6">
        <v>69</v>
      </c>
      <c r="E2334" s="8" t="s">
        <v>2975</v>
      </c>
      <c r="F2334" s="6" t="s">
        <v>2736</v>
      </c>
      <c r="G2334" s="33" t="s">
        <v>18</v>
      </c>
    </row>
    <row r="2335" spans="1:7" ht="14" x14ac:dyDescent="0.15">
      <c r="A2335" s="6" t="s">
        <v>1263</v>
      </c>
      <c r="B2335" s="6" t="s">
        <v>1264</v>
      </c>
      <c r="C2335" s="7" t="s">
        <v>1265</v>
      </c>
      <c r="D2335" s="6">
        <v>52</v>
      </c>
      <c r="E2335" s="8" t="s">
        <v>2976</v>
      </c>
      <c r="F2335" s="6" t="s">
        <v>2734</v>
      </c>
      <c r="G2335" s="33" t="s">
        <v>30</v>
      </c>
    </row>
    <row r="2336" spans="1:7" ht="14" x14ac:dyDescent="0.15">
      <c r="A2336" s="6" t="s">
        <v>2343</v>
      </c>
      <c r="B2336" s="6" t="s">
        <v>2344</v>
      </c>
      <c r="C2336" s="7" t="s">
        <v>2345</v>
      </c>
      <c r="D2336" s="6">
        <v>120</v>
      </c>
      <c r="E2336" s="8" t="s">
        <v>2977</v>
      </c>
      <c r="F2336" s="6" t="s">
        <v>2734</v>
      </c>
      <c r="G2336" s="33" t="s">
        <v>30</v>
      </c>
    </row>
    <row r="2337" spans="1:7" ht="28" x14ac:dyDescent="0.15">
      <c r="A2337" s="6" t="s">
        <v>570</v>
      </c>
      <c r="B2337" s="6" t="s">
        <v>571</v>
      </c>
      <c r="C2337" s="7" t="s">
        <v>572</v>
      </c>
      <c r="D2337" s="6">
        <v>15</v>
      </c>
      <c r="E2337" s="8" t="s">
        <v>2978</v>
      </c>
      <c r="F2337" s="6" t="s">
        <v>2736</v>
      </c>
      <c r="G2337" s="33" t="s">
        <v>83</v>
      </c>
    </row>
    <row r="2338" spans="1:7" ht="28" x14ac:dyDescent="0.15">
      <c r="A2338" s="6" t="s">
        <v>570</v>
      </c>
      <c r="B2338" s="6" t="s">
        <v>571</v>
      </c>
      <c r="C2338" s="7" t="s">
        <v>572</v>
      </c>
      <c r="D2338" s="6">
        <v>16</v>
      </c>
      <c r="E2338" s="8" t="s">
        <v>2979</v>
      </c>
      <c r="F2338" s="6" t="s">
        <v>2736</v>
      </c>
      <c r="G2338" s="33" t="s">
        <v>83</v>
      </c>
    </row>
    <row r="2339" spans="1:7" ht="28" x14ac:dyDescent="0.15">
      <c r="A2339" s="6" t="s">
        <v>570</v>
      </c>
      <c r="B2339" s="6" t="s">
        <v>571</v>
      </c>
      <c r="C2339" s="7" t="s">
        <v>572</v>
      </c>
      <c r="D2339" s="6">
        <v>36</v>
      </c>
      <c r="E2339" s="8" t="s">
        <v>2980</v>
      </c>
      <c r="F2339" s="6" t="s">
        <v>2734</v>
      </c>
      <c r="G2339" s="33" t="s">
        <v>30</v>
      </c>
    </row>
    <row r="2340" spans="1:7" ht="14" x14ac:dyDescent="0.15">
      <c r="A2340" s="6" t="s">
        <v>575</v>
      </c>
      <c r="B2340" s="6" t="s">
        <v>576</v>
      </c>
      <c r="C2340" s="7" t="s">
        <v>577</v>
      </c>
      <c r="D2340" s="6">
        <v>76</v>
      </c>
      <c r="E2340" s="8" t="s">
        <v>2981</v>
      </c>
      <c r="F2340" s="6" t="s">
        <v>2734</v>
      </c>
      <c r="G2340" s="33" t="s">
        <v>18</v>
      </c>
    </row>
    <row r="2341" spans="1:7" ht="14" x14ac:dyDescent="0.15">
      <c r="A2341" s="6" t="s">
        <v>575</v>
      </c>
      <c r="B2341" s="6" t="s">
        <v>576</v>
      </c>
      <c r="C2341" s="7" t="s">
        <v>577</v>
      </c>
      <c r="D2341" s="6">
        <v>83</v>
      </c>
      <c r="E2341" s="8" t="s">
        <v>2982</v>
      </c>
      <c r="F2341" s="6" t="s">
        <v>2734</v>
      </c>
      <c r="G2341" s="33" t="s">
        <v>18</v>
      </c>
    </row>
    <row r="2342" spans="1:7" ht="14" x14ac:dyDescent="0.15">
      <c r="A2342" s="6" t="s">
        <v>575</v>
      </c>
      <c r="B2342" s="6" t="s">
        <v>576</v>
      </c>
      <c r="C2342" s="7" t="s">
        <v>577</v>
      </c>
      <c r="D2342" s="6">
        <v>92</v>
      </c>
      <c r="E2342" s="8" t="s">
        <v>2983</v>
      </c>
      <c r="F2342" s="6" t="s">
        <v>2734</v>
      </c>
      <c r="G2342" s="33" t="s">
        <v>83</v>
      </c>
    </row>
    <row r="2343" spans="1:7" ht="14" x14ac:dyDescent="0.15">
      <c r="A2343" s="6" t="s">
        <v>575</v>
      </c>
      <c r="B2343" s="6" t="s">
        <v>576</v>
      </c>
      <c r="C2343" s="7" t="s">
        <v>577</v>
      </c>
      <c r="D2343" s="6">
        <v>108</v>
      </c>
      <c r="E2343" s="8" t="s">
        <v>2984</v>
      </c>
      <c r="F2343" s="6" t="s">
        <v>2734</v>
      </c>
      <c r="G2343" s="33" t="s">
        <v>83</v>
      </c>
    </row>
    <row r="2344" spans="1:7" ht="14" x14ac:dyDescent="0.15">
      <c r="A2344" s="6" t="s">
        <v>580</v>
      </c>
      <c r="B2344" s="6" t="s">
        <v>581</v>
      </c>
      <c r="C2344" s="7" t="s">
        <v>582</v>
      </c>
      <c r="D2344" s="6">
        <v>20</v>
      </c>
      <c r="E2344" s="8" t="s">
        <v>2985</v>
      </c>
      <c r="F2344" s="6" t="s">
        <v>2734</v>
      </c>
      <c r="G2344" s="33" t="s">
        <v>83</v>
      </c>
    </row>
    <row r="2345" spans="1:7" ht="14" x14ac:dyDescent="0.15">
      <c r="A2345" s="6" t="s">
        <v>2986</v>
      </c>
      <c r="B2345" s="6" t="s">
        <v>2987</v>
      </c>
      <c r="C2345" s="7" t="s">
        <v>2988</v>
      </c>
      <c r="D2345" s="6">
        <v>7</v>
      </c>
      <c r="E2345" s="8" t="s">
        <v>2989</v>
      </c>
      <c r="F2345" s="6" t="s">
        <v>2734</v>
      </c>
      <c r="G2345" s="33" t="s">
        <v>136</v>
      </c>
    </row>
    <row r="2346" spans="1:7" ht="14" x14ac:dyDescent="0.15">
      <c r="A2346" s="6" t="s">
        <v>593</v>
      </c>
      <c r="B2346" s="6" t="s">
        <v>593</v>
      </c>
      <c r="C2346" s="7" t="s">
        <v>594</v>
      </c>
      <c r="D2346" s="6">
        <v>35</v>
      </c>
      <c r="E2346" s="8" t="s">
        <v>2990</v>
      </c>
      <c r="F2346" s="6" t="s">
        <v>2736</v>
      </c>
      <c r="G2346" s="33" t="s">
        <v>23</v>
      </c>
    </row>
    <row r="2347" spans="1:7" ht="14" x14ac:dyDescent="0.15">
      <c r="A2347" s="6" t="s">
        <v>593</v>
      </c>
      <c r="B2347" s="6" t="s">
        <v>593</v>
      </c>
      <c r="C2347" s="7" t="s">
        <v>594</v>
      </c>
      <c r="D2347" s="6">
        <v>43</v>
      </c>
      <c r="E2347" s="8" t="s">
        <v>2991</v>
      </c>
      <c r="F2347" s="6" t="s">
        <v>2734</v>
      </c>
      <c r="G2347" s="33" t="s">
        <v>23</v>
      </c>
    </row>
    <row r="2348" spans="1:7" ht="14" x14ac:dyDescent="0.15">
      <c r="A2348" s="6" t="s">
        <v>593</v>
      </c>
      <c r="B2348" s="6" t="s">
        <v>596</v>
      </c>
      <c r="C2348" s="7" t="s">
        <v>597</v>
      </c>
      <c r="D2348" s="6">
        <v>64</v>
      </c>
      <c r="E2348" s="8" t="s">
        <v>2992</v>
      </c>
      <c r="F2348" s="6" t="s">
        <v>2734</v>
      </c>
      <c r="G2348" s="33" t="s">
        <v>30</v>
      </c>
    </row>
    <row r="2349" spans="1:7" ht="14" x14ac:dyDescent="0.15">
      <c r="A2349" s="6" t="s">
        <v>593</v>
      </c>
      <c r="B2349" s="6" t="s">
        <v>596</v>
      </c>
      <c r="C2349" s="7" t="s">
        <v>597</v>
      </c>
      <c r="D2349" s="6">
        <v>69</v>
      </c>
      <c r="E2349" s="8" t="s">
        <v>2993</v>
      </c>
      <c r="F2349" s="6" t="s">
        <v>2734</v>
      </c>
      <c r="G2349" s="33" t="s">
        <v>30</v>
      </c>
    </row>
    <row r="2350" spans="1:7" ht="14" x14ac:dyDescent="0.15">
      <c r="A2350" s="6" t="s">
        <v>593</v>
      </c>
      <c r="B2350" s="6" t="s">
        <v>596</v>
      </c>
      <c r="C2350" s="7" t="s">
        <v>597</v>
      </c>
      <c r="D2350" s="6">
        <v>70</v>
      </c>
      <c r="E2350" s="8" t="s">
        <v>2994</v>
      </c>
      <c r="F2350" s="6" t="s">
        <v>2734</v>
      </c>
      <c r="G2350" s="33" t="s">
        <v>30</v>
      </c>
    </row>
    <row r="2351" spans="1:7" ht="28" x14ac:dyDescent="0.15">
      <c r="A2351" s="6" t="s">
        <v>559</v>
      </c>
      <c r="B2351" s="6" t="s">
        <v>559</v>
      </c>
      <c r="C2351" s="7" t="s">
        <v>560</v>
      </c>
      <c r="D2351" s="6">
        <v>13</v>
      </c>
      <c r="E2351" s="8" t="s">
        <v>2995</v>
      </c>
      <c r="F2351" s="6" t="s">
        <v>2734</v>
      </c>
      <c r="G2351" s="33" t="s">
        <v>115</v>
      </c>
    </row>
    <row r="2352" spans="1:7" ht="28" x14ac:dyDescent="0.15">
      <c r="A2352" s="6" t="s">
        <v>1163</v>
      </c>
      <c r="B2352" s="6" t="s">
        <v>1164</v>
      </c>
      <c r="C2352" s="7" t="s">
        <v>1165</v>
      </c>
      <c r="D2352" s="6">
        <v>30</v>
      </c>
      <c r="E2352" s="8" t="s">
        <v>2996</v>
      </c>
      <c r="F2352" s="6" t="s">
        <v>2734</v>
      </c>
      <c r="G2352" s="33" t="s">
        <v>83</v>
      </c>
    </row>
    <row r="2353" spans="1:7" ht="28" x14ac:dyDescent="0.15">
      <c r="A2353" s="6" t="s">
        <v>1227</v>
      </c>
      <c r="B2353" s="6" t="s">
        <v>1228</v>
      </c>
      <c r="C2353" s="7" t="s">
        <v>1229</v>
      </c>
      <c r="D2353" s="6">
        <v>3</v>
      </c>
      <c r="E2353" s="8" t="s">
        <v>2997</v>
      </c>
      <c r="F2353" s="6" t="s">
        <v>2734</v>
      </c>
      <c r="G2353" s="33" t="s">
        <v>18</v>
      </c>
    </row>
    <row r="2354" spans="1:7" ht="28" x14ac:dyDescent="0.15">
      <c r="A2354" s="6" t="s">
        <v>2998</v>
      </c>
      <c r="B2354" s="6" t="s">
        <v>2999</v>
      </c>
      <c r="C2354" s="7" t="s">
        <v>3000</v>
      </c>
      <c r="D2354" s="6">
        <v>11</v>
      </c>
      <c r="E2354" s="8" t="s">
        <v>3001</v>
      </c>
      <c r="F2354" s="6" t="s">
        <v>3002</v>
      </c>
      <c r="G2354" s="33" t="s">
        <v>12</v>
      </c>
    </row>
    <row r="2355" spans="1:7" ht="28" x14ac:dyDescent="0.15">
      <c r="A2355" s="6" t="s">
        <v>31</v>
      </c>
      <c r="B2355" s="6" t="s">
        <v>31</v>
      </c>
      <c r="C2355" s="7" t="s">
        <v>32</v>
      </c>
      <c r="D2355" s="6">
        <v>17</v>
      </c>
      <c r="E2355" s="8" t="s">
        <v>3003</v>
      </c>
      <c r="F2355" s="6" t="s">
        <v>3004</v>
      </c>
      <c r="G2355" s="33" t="s">
        <v>30</v>
      </c>
    </row>
    <row r="2356" spans="1:7" ht="28" x14ac:dyDescent="0.15">
      <c r="A2356" s="6" t="s">
        <v>400</v>
      </c>
      <c r="B2356" s="6" t="s">
        <v>400</v>
      </c>
      <c r="C2356" s="7" t="s">
        <v>401</v>
      </c>
      <c r="D2356" s="6">
        <v>26</v>
      </c>
      <c r="E2356" s="8" t="s">
        <v>3005</v>
      </c>
      <c r="F2356" s="6" t="s">
        <v>3004</v>
      </c>
      <c r="G2356" s="33" t="s">
        <v>12</v>
      </c>
    </row>
    <row r="2357" spans="1:7" ht="28" x14ac:dyDescent="0.15">
      <c r="A2357" s="6" t="s">
        <v>400</v>
      </c>
      <c r="B2357" s="6" t="s">
        <v>400</v>
      </c>
      <c r="C2357" s="7" t="s">
        <v>401</v>
      </c>
      <c r="D2357" s="6">
        <v>60</v>
      </c>
      <c r="E2357" s="8" t="s">
        <v>3006</v>
      </c>
      <c r="F2357" s="6" t="s">
        <v>3004</v>
      </c>
      <c r="G2357" s="33" t="s">
        <v>12</v>
      </c>
    </row>
    <row r="2358" spans="1:7" ht="28" x14ac:dyDescent="0.15">
      <c r="A2358" s="6" t="s">
        <v>428</v>
      </c>
      <c r="B2358" s="6" t="s">
        <v>428</v>
      </c>
      <c r="C2358" s="7" t="s">
        <v>429</v>
      </c>
      <c r="D2358" s="6">
        <v>95</v>
      </c>
      <c r="E2358" s="8" t="s">
        <v>3007</v>
      </c>
      <c r="F2358" s="6" t="s">
        <v>3004</v>
      </c>
      <c r="G2358" s="33" t="s">
        <v>30</v>
      </c>
    </row>
    <row r="2359" spans="1:7" ht="14" x14ac:dyDescent="0.15">
      <c r="A2359" s="6" t="s">
        <v>47</v>
      </c>
      <c r="B2359" s="6" t="s">
        <v>1184</v>
      </c>
      <c r="C2359" s="7" t="s">
        <v>1185</v>
      </c>
      <c r="D2359" s="6">
        <v>16</v>
      </c>
      <c r="E2359" s="8" t="s">
        <v>3008</v>
      </c>
      <c r="F2359" s="6" t="s">
        <v>3004</v>
      </c>
      <c r="G2359" s="33" t="s">
        <v>83</v>
      </c>
    </row>
    <row r="2360" spans="1:7" ht="14" x14ac:dyDescent="0.15">
      <c r="A2360" s="6" t="s">
        <v>51</v>
      </c>
      <c r="B2360" s="6" t="s">
        <v>1209</v>
      </c>
      <c r="C2360" s="7" t="s">
        <v>1210</v>
      </c>
      <c r="D2360" s="6">
        <v>15</v>
      </c>
      <c r="E2360" s="8" t="s">
        <v>3008</v>
      </c>
      <c r="F2360" s="6" t="s">
        <v>3004</v>
      </c>
      <c r="G2360" s="33" t="s">
        <v>83</v>
      </c>
    </row>
    <row r="2361" spans="1:7" ht="14" x14ac:dyDescent="0.15">
      <c r="A2361" s="6" t="s">
        <v>51</v>
      </c>
      <c r="B2361" s="6" t="s">
        <v>496</v>
      </c>
      <c r="C2361" s="7" t="s">
        <v>497</v>
      </c>
      <c r="D2361" s="6">
        <v>22</v>
      </c>
      <c r="E2361" s="8" t="s">
        <v>3009</v>
      </c>
      <c r="F2361" s="6" t="s">
        <v>3004</v>
      </c>
      <c r="G2361" s="33" t="s">
        <v>83</v>
      </c>
    </row>
    <row r="2362" spans="1:7" ht="14" x14ac:dyDescent="0.15">
      <c r="A2362" s="6" t="s">
        <v>47</v>
      </c>
      <c r="B2362" s="6" t="s">
        <v>635</v>
      </c>
      <c r="C2362" s="7" t="s">
        <v>636</v>
      </c>
      <c r="D2362" s="6">
        <v>121</v>
      </c>
      <c r="E2362" s="8" t="s">
        <v>3010</v>
      </c>
      <c r="F2362" s="6" t="s">
        <v>3011</v>
      </c>
      <c r="G2362" s="33" t="s">
        <v>83</v>
      </c>
    </row>
    <row r="2363" spans="1:7" ht="28" x14ac:dyDescent="0.15">
      <c r="A2363" s="6" t="s">
        <v>131</v>
      </c>
      <c r="B2363" s="6" t="s">
        <v>132</v>
      </c>
      <c r="C2363" s="7" t="s">
        <v>133</v>
      </c>
      <c r="D2363" s="6">
        <v>5</v>
      </c>
      <c r="E2363" s="8" t="s">
        <v>3012</v>
      </c>
      <c r="F2363" s="6" t="s">
        <v>3011</v>
      </c>
      <c r="G2363" s="33" t="s">
        <v>23</v>
      </c>
    </row>
    <row r="2364" spans="1:7" ht="28" x14ac:dyDescent="0.15">
      <c r="A2364" s="6" t="s">
        <v>169</v>
      </c>
      <c r="B2364" s="6" t="s">
        <v>169</v>
      </c>
      <c r="C2364" s="7" t="s">
        <v>170</v>
      </c>
      <c r="D2364" s="6">
        <v>29</v>
      </c>
      <c r="E2364" s="8" t="s">
        <v>3013</v>
      </c>
      <c r="F2364" s="6" t="s">
        <v>3011</v>
      </c>
      <c r="G2364" s="33" t="s">
        <v>12</v>
      </c>
    </row>
    <row r="2365" spans="1:7" ht="14" x14ac:dyDescent="0.15">
      <c r="A2365" s="6" t="s">
        <v>232</v>
      </c>
      <c r="B2365" s="6" t="s">
        <v>233</v>
      </c>
      <c r="C2365" s="7" t="s">
        <v>234</v>
      </c>
      <c r="D2365" s="6">
        <v>124</v>
      </c>
      <c r="E2365" s="8" t="s">
        <v>3014</v>
      </c>
      <c r="F2365" s="6" t="s">
        <v>3011</v>
      </c>
      <c r="G2365" s="33" t="s">
        <v>83</v>
      </c>
    </row>
    <row r="2366" spans="1:7" ht="14" x14ac:dyDescent="0.15">
      <c r="A2366" s="6" t="s">
        <v>944</v>
      </c>
      <c r="B2366" s="6" t="s">
        <v>945</v>
      </c>
      <c r="C2366" s="7" t="s">
        <v>946</v>
      </c>
      <c r="D2366" s="6">
        <v>23</v>
      </c>
      <c r="E2366" s="8" t="s">
        <v>3015</v>
      </c>
      <c r="F2366" s="6" t="s">
        <v>3011</v>
      </c>
      <c r="G2366" s="33" t="s">
        <v>83</v>
      </c>
    </row>
    <row r="2367" spans="1:7" ht="14" x14ac:dyDescent="0.15">
      <c r="A2367" s="6" t="s">
        <v>325</v>
      </c>
      <c r="B2367" s="6" t="s">
        <v>326</v>
      </c>
      <c r="C2367" s="7" t="s">
        <v>327</v>
      </c>
      <c r="D2367" s="6">
        <v>83</v>
      </c>
      <c r="E2367" s="8" t="s">
        <v>3016</v>
      </c>
      <c r="F2367" s="6" t="s">
        <v>3011</v>
      </c>
      <c r="G2367" s="33" t="s">
        <v>30</v>
      </c>
    </row>
    <row r="2368" spans="1:7" ht="28" x14ac:dyDescent="0.15">
      <c r="A2368" s="6" t="s">
        <v>131</v>
      </c>
      <c r="B2368" s="6" t="s">
        <v>132</v>
      </c>
      <c r="C2368" s="7" t="s">
        <v>347</v>
      </c>
      <c r="D2368" s="6">
        <v>4</v>
      </c>
      <c r="E2368" s="8" t="s">
        <v>3017</v>
      </c>
      <c r="F2368" s="6" t="s">
        <v>3011</v>
      </c>
      <c r="G2368" s="33" t="s">
        <v>23</v>
      </c>
    </row>
    <row r="2369" spans="1:7" ht="28" x14ac:dyDescent="0.15">
      <c r="A2369" s="6" t="s">
        <v>1011</v>
      </c>
      <c r="B2369" s="6" t="s">
        <v>1012</v>
      </c>
      <c r="C2369" s="7" t="s">
        <v>1013</v>
      </c>
      <c r="D2369" s="6">
        <v>62</v>
      </c>
      <c r="E2369" s="8" t="s">
        <v>3018</v>
      </c>
      <c r="F2369" s="6" t="s">
        <v>3011</v>
      </c>
      <c r="G2369" s="33" t="s">
        <v>83</v>
      </c>
    </row>
    <row r="2370" spans="1:7" ht="14" x14ac:dyDescent="0.15">
      <c r="A2370" s="6" t="s">
        <v>51</v>
      </c>
      <c r="B2370" s="6" t="s">
        <v>52</v>
      </c>
      <c r="C2370" s="7" t="s">
        <v>53</v>
      </c>
      <c r="D2370" s="6">
        <v>41</v>
      </c>
      <c r="E2370" s="8" t="s">
        <v>3019</v>
      </c>
      <c r="F2370" s="6" t="s">
        <v>3011</v>
      </c>
      <c r="G2370" s="33" t="s">
        <v>83</v>
      </c>
    </row>
    <row r="2371" spans="1:7" ht="14" x14ac:dyDescent="0.15">
      <c r="A2371" s="6" t="s">
        <v>51</v>
      </c>
      <c r="B2371" s="6" t="s">
        <v>1556</v>
      </c>
      <c r="C2371" s="7" t="s">
        <v>1557</v>
      </c>
      <c r="D2371" s="6">
        <v>92</v>
      </c>
      <c r="E2371" s="8" t="s">
        <v>3019</v>
      </c>
      <c r="F2371" s="6" t="s">
        <v>3011</v>
      </c>
      <c r="G2371" s="33" t="s">
        <v>83</v>
      </c>
    </row>
    <row r="2372" spans="1:7" ht="14" x14ac:dyDescent="0.15">
      <c r="A2372" s="6" t="s">
        <v>521</v>
      </c>
      <c r="B2372" s="6" t="s">
        <v>539</v>
      </c>
      <c r="C2372" s="7" t="s">
        <v>540</v>
      </c>
      <c r="D2372" s="6">
        <v>43</v>
      </c>
      <c r="E2372" s="8" t="s">
        <v>3020</v>
      </c>
      <c r="F2372" s="6" t="s">
        <v>3011</v>
      </c>
      <c r="G2372" s="33" t="s">
        <v>83</v>
      </c>
    </row>
    <row r="2373" spans="1:7" ht="28" x14ac:dyDescent="0.15">
      <c r="A2373" s="6" t="s">
        <v>325</v>
      </c>
      <c r="B2373" s="6" t="s">
        <v>326</v>
      </c>
      <c r="C2373" s="7" t="s">
        <v>463</v>
      </c>
      <c r="D2373" s="6">
        <v>68</v>
      </c>
      <c r="E2373" s="8" t="s">
        <v>3021</v>
      </c>
      <c r="F2373" s="6" t="s">
        <v>3022</v>
      </c>
      <c r="G2373" s="33" t="s">
        <v>30</v>
      </c>
    </row>
    <row r="2374" spans="1:7" ht="56" x14ac:dyDescent="0.15">
      <c r="A2374" s="6" t="s">
        <v>131</v>
      </c>
      <c r="B2374" s="6" t="s">
        <v>132</v>
      </c>
      <c r="C2374" s="7" t="s">
        <v>347</v>
      </c>
      <c r="D2374" s="6">
        <v>31</v>
      </c>
      <c r="E2374" s="8" t="s">
        <v>3023</v>
      </c>
      <c r="F2374" s="6" t="s">
        <v>3024</v>
      </c>
      <c r="G2374" s="33" t="s">
        <v>30</v>
      </c>
    </row>
    <row r="2375" spans="1:7" ht="14" x14ac:dyDescent="0.15">
      <c r="A2375" s="6" t="s">
        <v>521</v>
      </c>
      <c r="B2375" s="6" t="s">
        <v>545</v>
      </c>
      <c r="C2375" s="7" t="s">
        <v>546</v>
      </c>
      <c r="D2375" s="6">
        <v>6</v>
      </c>
      <c r="E2375" s="8" t="s">
        <v>3025</v>
      </c>
      <c r="F2375" s="6" t="s">
        <v>3024</v>
      </c>
      <c r="G2375" s="33" t="s">
        <v>30</v>
      </c>
    </row>
    <row r="2376" spans="1:7" ht="14" x14ac:dyDescent="0.15">
      <c r="A2376" s="6" t="s">
        <v>1298</v>
      </c>
      <c r="B2376" s="6" t="s">
        <v>1299</v>
      </c>
      <c r="C2376" s="7" t="s">
        <v>1300</v>
      </c>
      <c r="D2376" s="6">
        <v>26</v>
      </c>
      <c r="E2376" s="8" t="s">
        <v>3026</v>
      </c>
      <c r="F2376" s="6" t="s">
        <v>3024</v>
      </c>
      <c r="G2376" s="33" t="s">
        <v>18</v>
      </c>
    </row>
    <row r="2377" spans="1:7" ht="28" x14ac:dyDescent="0.15">
      <c r="A2377" s="6" t="s">
        <v>101</v>
      </c>
      <c r="B2377" s="6" t="s">
        <v>102</v>
      </c>
      <c r="C2377" s="7" t="s">
        <v>103</v>
      </c>
      <c r="D2377" s="6">
        <v>56</v>
      </c>
      <c r="E2377" s="8" t="s">
        <v>3027</v>
      </c>
      <c r="F2377" s="6" t="s">
        <v>3028</v>
      </c>
      <c r="G2377" s="33" t="s">
        <v>136</v>
      </c>
    </row>
    <row r="2378" spans="1:7" ht="14" x14ac:dyDescent="0.15">
      <c r="A2378" s="6" t="s">
        <v>831</v>
      </c>
      <c r="B2378" s="6" t="s">
        <v>831</v>
      </c>
      <c r="C2378" s="7" t="s">
        <v>832</v>
      </c>
      <c r="D2378" s="6">
        <v>5</v>
      </c>
      <c r="E2378" s="8" t="s">
        <v>3029</v>
      </c>
      <c r="F2378" s="6" t="s">
        <v>3024</v>
      </c>
      <c r="G2378" s="33" t="s">
        <v>18</v>
      </c>
    </row>
    <row r="2379" spans="1:7" ht="14" x14ac:dyDescent="0.15">
      <c r="A2379" s="6" t="s">
        <v>131</v>
      </c>
      <c r="B2379" s="6" t="s">
        <v>132</v>
      </c>
      <c r="C2379" s="7" t="s">
        <v>133</v>
      </c>
      <c r="D2379" s="6">
        <v>35</v>
      </c>
      <c r="E2379" s="8" t="s">
        <v>3030</v>
      </c>
      <c r="F2379" s="6" t="s">
        <v>3031</v>
      </c>
      <c r="G2379" s="33" t="s">
        <v>30</v>
      </c>
    </row>
    <row r="2380" spans="1:7" ht="14" x14ac:dyDescent="0.15">
      <c r="A2380" s="6" t="s">
        <v>521</v>
      </c>
      <c r="B2380" s="6" t="s">
        <v>695</v>
      </c>
      <c r="C2380" s="7" t="s">
        <v>696</v>
      </c>
      <c r="D2380" s="6">
        <v>69</v>
      </c>
      <c r="E2380" s="8" t="s">
        <v>3032</v>
      </c>
      <c r="F2380" s="6" t="s">
        <v>3033</v>
      </c>
      <c r="G2380" s="33" t="s">
        <v>12</v>
      </c>
    </row>
    <row r="2381" spans="1:7" ht="14" x14ac:dyDescent="0.15">
      <c r="A2381" s="6" t="s">
        <v>666</v>
      </c>
      <c r="B2381" s="6" t="s">
        <v>667</v>
      </c>
      <c r="C2381" s="7" t="s">
        <v>668</v>
      </c>
      <c r="D2381" s="6">
        <v>74</v>
      </c>
      <c r="E2381" s="8" t="s">
        <v>3034</v>
      </c>
      <c r="F2381" s="6" t="s">
        <v>2734</v>
      </c>
      <c r="G2381" s="33" t="s">
        <v>67</v>
      </c>
    </row>
    <row r="2382" spans="1:7" ht="28" x14ac:dyDescent="0.15">
      <c r="A2382" s="6" t="s">
        <v>43</v>
      </c>
      <c r="B2382" s="6" t="s">
        <v>44</v>
      </c>
      <c r="C2382" s="7" t="s">
        <v>45</v>
      </c>
      <c r="D2382" s="6">
        <v>72</v>
      </c>
      <c r="E2382" s="8" t="s">
        <v>3035</v>
      </c>
      <c r="F2382" s="6" t="s">
        <v>2736</v>
      </c>
      <c r="G2382" s="33" t="s">
        <v>23</v>
      </c>
    </row>
    <row r="2383" spans="1:7" ht="28" x14ac:dyDescent="0.15">
      <c r="A2383" s="6" t="s">
        <v>101</v>
      </c>
      <c r="B2383" s="6" t="s">
        <v>102</v>
      </c>
      <c r="C2383" s="7" t="s">
        <v>103</v>
      </c>
      <c r="D2383" s="6">
        <v>57</v>
      </c>
      <c r="E2383" s="8" t="s">
        <v>3036</v>
      </c>
      <c r="F2383" s="6" t="s">
        <v>3037</v>
      </c>
      <c r="G2383" s="33" t="s">
        <v>136</v>
      </c>
    </row>
    <row r="2384" spans="1:7" ht="42" x14ac:dyDescent="0.15">
      <c r="A2384" s="6" t="s">
        <v>25</v>
      </c>
      <c r="B2384" s="6" t="s">
        <v>238</v>
      </c>
      <c r="C2384" s="7" t="s">
        <v>239</v>
      </c>
      <c r="D2384" s="6">
        <v>5</v>
      </c>
      <c r="E2384" s="8" t="s">
        <v>3038</v>
      </c>
      <c r="F2384" s="6" t="s">
        <v>2734</v>
      </c>
      <c r="G2384" s="33" t="s">
        <v>18</v>
      </c>
    </row>
    <row r="2385" spans="1:7" ht="14" x14ac:dyDescent="0.15">
      <c r="A2385" s="6" t="s">
        <v>247</v>
      </c>
      <c r="B2385" s="6" t="s">
        <v>248</v>
      </c>
      <c r="C2385" s="7" t="s">
        <v>249</v>
      </c>
      <c r="D2385" s="6">
        <v>12</v>
      </c>
      <c r="E2385" s="8" t="s">
        <v>3039</v>
      </c>
      <c r="F2385" s="6" t="s">
        <v>2734</v>
      </c>
      <c r="G2385" s="33" t="s">
        <v>136</v>
      </c>
    </row>
    <row r="2386" spans="1:7" ht="14" x14ac:dyDescent="0.15">
      <c r="A2386" s="6" t="s">
        <v>254</v>
      </c>
      <c r="B2386" s="6" t="s">
        <v>255</v>
      </c>
      <c r="C2386" s="7" t="s">
        <v>256</v>
      </c>
      <c r="D2386" s="6">
        <v>29</v>
      </c>
      <c r="E2386" s="8" t="s">
        <v>3040</v>
      </c>
      <c r="F2386" s="6" t="s">
        <v>2734</v>
      </c>
      <c r="G2386" s="33" t="s">
        <v>136</v>
      </c>
    </row>
    <row r="2387" spans="1:7" ht="28" x14ac:dyDescent="0.15">
      <c r="A2387" s="6" t="s">
        <v>932</v>
      </c>
      <c r="B2387" s="6" t="s">
        <v>933</v>
      </c>
      <c r="C2387" s="7" t="s">
        <v>934</v>
      </c>
      <c r="D2387" s="6">
        <v>5</v>
      </c>
      <c r="E2387" s="8" t="s">
        <v>3041</v>
      </c>
      <c r="F2387" s="6" t="s">
        <v>2734</v>
      </c>
      <c r="G2387" s="33" t="s">
        <v>136</v>
      </c>
    </row>
    <row r="2388" spans="1:7" ht="28" x14ac:dyDescent="0.15">
      <c r="A2388" s="6" t="s">
        <v>932</v>
      </c>
      <c r="B2388" s="6" t="s">
        <v>933</v>
      </c>
      <c r="C2388" s="7" t="s">
        <v>934</v>
      </c>
      <c r="D2388" s="6">
        <v>11</v>
      </c>
      <c r="E2388" s="8" t="s">
        <v>3041</v>
      </c>
      <c r="F2388" s="6" t="s">
        <v>2734</v>
      </c>
      <c r="G2388" s="33" t="s">
        <v>136</v>
      </c>
    </row>
    <row r="2389" spans="1:7" ht="28" x14ac:dyDescent="0.15">
      <c r="A2389" s="6" t="s">
        <v>932</v>
      </c>
      <c r="B2389" s="6" t="s">
        <v>933</v>
      </c>
      <c r="C2389" s="7" t="s">
        <v>934</v>
      </c>
      <c r="D2389" s="6">
        <v>22</v>
      </c>
      <c r="E2389" s="8" t="s">
        <v>3041</v>
      </c>
      <c r="F2389" s="6" t="s">
        <v>2734</v>
      </c>
      <c r="G2389" s="33" t="s">
        <v>136</v>
      </c>
    </row>
    <row r="2390" spans="1:7" ht="28" x14ac:dyDescent="0.15">
      <c r="A2390" s="6" t="s">
        <v>932</v>
      </c>
      <c r="B2390" s="6" t="s">
        <v>933</v>
      </c>
      <c r="C2390" s="7" t="s">
        <v>934</v>
      </c>
      <c r="D2390" s="6">
        <v>39</v>
      </c>
      <c r="E2390" s="8" t="s">
        <v>3041</v>
      </c>
      <c r="F2390" s="6" t="s">
        <v>2734</v>
      </c>
      <c r="G2390" s="33" t="s">
        <v>136</v>
      </c>
    </row>
    <row r="2391" spans="1:7" ht="14" x14ac:dyDescent="0.15">
      <c r="A2391" s="6" t="s">
        <v>948</v>
      </c>
      <c r="B2391" s="6" t="s">
        <v>949</v>
      </c>
      <c r="C2391" s="7" t="s">
        <v>950</v>
      </c>
      <c r="D2391" s="6">
        <v>109</v>
      </c>
      <c r="E2391" s="8" t="s">
        <v>3042</v>
      </c>
      <c r="F2391" s="6" t="s">
        <v>2734</v>
      </c>
      <c r="G2391" s="33" t="s">
        <v>88</v>
      </c>
    </row>
    <row r="2392" spans="1:7" ht="14" x14ac:dyDescent="0.15">
      <c r="A2392" s="6" t="s">
        <v>2182</v>
      </c>
      <c r="B2392" s="6" t="s">
        <v>2183</v>
      </c>
      <c r="C2392" s="7" t="s">
        <v>2184</v>
      </c>
      <c r="D2392" s="6">
        <v>16</v>
      </c>
      <c r="E2392" s="8" t="s">
        <v>3043</v>
      </c>
      <c r="F2392" s="6" t="s">
        <v>2734</v>
      </c>
      <c r="G2392" s="33" t="s">
        <v>77</v>
      </c>
    </row>
    <row r="2393" spans="1:7" ht="14" x14ac:dyDescent="0.15">
      <c r="A2393" s="6" t="s">
        <v>521</v>
      </c>
      <c r="B2393" s="6" t="s">
        <v>1093</v>
      </c>
      <c r="C2393" s="7" t="s">
        <v>1094</v>
      </c>
      <c r="D2393" s="6">
        <v>74</v>
      </c>
      <c r="E2393" s="8" t="s">
        <v>3044</v>
      </c>
      <c r="F2393" s="6" t="s">
        <v>2734</v>
      </c>
      <c r="G2393" s="33" t="s">
        <v>23</v>
      </c>
    </row>
    <row r="2394" spans="1:7" ht="42" x14ac:dyDescent="0.15">
      <c r="A2394" s="6" t="s">
        <v>25</v>
      </c>
      <c r="B2394" s="6" t="s">
        <v>238</v>
      </c>
      <c r="C2394" s="7" t="s">
        <v>1517</v>
      </c>
      <c r="D2394" s="6">
        <v>5</v>
      </c>
      <c r="E2394" s="8" t="s">
        <v>3038</v>
      </c>
      <c r="F2394" s="6" t="s">
        <v>2734</v>
      </c>
      <c r="G2394" s="33" t="s">
        <v>18</v>
      </c>
    </row>
    <row r="2395" spans="1:7" ht="28" x14ac:dyDescent="0.15">
      <c r="A2395" s="6" t="s">
        <v>932</v>
      </c>
      <c r="B2395" s="6" t="s">
        <v>933</v>
      </c>
      <c r="C2395" s="7" t="s">
        <v>1155</v>
      </c>
      <c r="D2395" s="6">
        <v>5</v>
      </c>
      <c r="E2395" s="8" t="s">
        <v>3041</v>
      </c>
      <c r="F2395" s="6" t="s">
        <v>2734</v>
      </c>
      <c r="G2395" s="33" t="s">
        <v>136</v>
      </c>
    </row>
    <row r="2396" spans="1:7" ht="28" x14ac:dyDescent="0.15">
      <c r="A2396" s="6" t="s">
        <v>932</v>
      </c>
      <c r="B2396" s="6" t="s">
        <v>933</v>
      </c>
      <c r="C2396" s="7" t="s">
        <v>1155</v>
      </c>
      <c r="D2396" s="6">
        <v>11</v>
      </c>
      <c r="E2396" s="8" t="s">
        <v>3041</v>
      </c>
      <c r="F2396" s="6" t="s">
        <v>2734</v>
      </c>
      <c r="G2396" s="33" t="s">
        <v>136</v>
      </c>
    </row>
    <row r="2397" spans="1:7" ht="28" x14ac:dyDescent="0.15">
      <c r="A2397" s="6" t="s">
        <v>932</v>
      </c>
      <c r="B2397" s="6" t="s">
        <v>933</v>
      </c>
      <c r="C2397" s="7" t="s">
        <v>1155</v>
      </c>
      <c r="D2397" s="6">
        <v>22</v>
      </c>
      <c r="E2397" s="8" t="s">
        <v>3041</v>
      </c>
      <c r="F2397" s="6" t="s">
        <v>2734</v>
      </c>
      <c r="G2397" s="33" t="s">
        <v>136</v>
      </c>
    </row>
    <row r="2398" spans="1:7" ht="28" x14ac:dyDescent="0.15">
      <c r="A2398" s="6" t="s">
        <v>932</v>
      </c>
      <c r="B2398" s="6" t="s">
        <v>933</v>
      </c>
      <c r="C2398" s="7" t="s">
        <v>1155</v>
      </c>
      <c r="D2398" s="6">
        <v>39</v>
      </c>
      <c r="E2398" s="8" t="s">
        <v>3041</v>
      </c>
      <c r="F2398" s="6" t="s">
        <v>2734</v>
      </c>
      <c r="G2398" s="33" t="s">
        <v>136</v>
      </c>
    </row>
    <row r="2399" spans="1:7" ht="28" x14ac:dyDescent="0.15">
      <c r="A2399" s="6" t="s">
        <v>1233</v>
      </c>
      <c r="B2399" s="6" t="s">
        <v>1233</v>
      </c>
      <c r="C2399" s="7" t="s">
        <v>1234</v>
      </c>
      <c r="D2399" s="6">
        <v>55</v>
      </c>
      <c r="E2399" s="8" t="s">
        <v>3045</v>
      </c>
      <c r="F2399" s="6" t="s">
        <v>2734</v>
      </c>
      <c r="G2399" s="33" t="s">
        <v>88</v>
      </c>
    </row>
    <row r="2400" spans="1:7" ht="14" x14ac:dyDescent="0.15">
      <c r="A2400" s="6" t="s">
        <v>521</v>
      </c>
      <c r="B2400" s="6" t="s">
        <v>2322</v>
      </c>
      <c r="C2400" s="7" t="s">
        <v>2323</v>
      </c>
      <c r="D2400" s="6">
        <v>4</v>
      </c>
      <c r="E2400" s="8" t="s">
        <v>3046</v>
      </c>
      <c r="F2400" s="6" t="s">
        <v>2734</v>
      </c>
      <c r="G2400" s="33" t="s">
        <v>30</v>
      </c>
    </row>
    <row r="2401" spans="1:7" ht="42" x14ac:dyDescent="0.15">
      <c r="A2401" s="6" t="s">
        <v>105</v>
      </c>
      <c r="B2401" s="6" t="s">
        <v>106</v>
      </c>
      <c r="C2401" s="7" t="s">
        <v>107</v>
      </c>
      <c r="D2401" s="6">
        <v>88</v>
      </c>
      <c r="E2401" s="8" t="s">
        <v>3047</v>
      </c>
      <c r="F2401" s="6" t="s">
        <v>3048</v>
      </c>
      <c r="G2401" s="33" t="s">
        <v>18</v>
      </c>
    </row>
    <row r="2402" spans="1:7" ht="28" x14ac:dyDescent="0.15">
      <c r="A2402" s="6" t="s">
        <v>232</v>
      </c>
      <c r="B2402" s="6" t="s">
        <v>233</v>
      </c>
      <c r="C2402" s="7" t="s">
        <v>234</v>
      </c>
      <c r="D2402" s="6">
        <v>234</v>
      </c>
      <c r="E2402" s="8" t="s">
        <v>3049</v>
      </c>
      <c r="F2402" s="6" t="s">
        <v>3050</v>
      </c>
      <c r="G2402" s="33" t="s">
        <v>88</v>
      </c>
    </row>
    <row r="2403" spans="1:7" ht="14" x14ac:dyDescent="0.15">
      <c r="A2403" s="6" t="s">
        <v>948</v>
      </c>
      <c r="B2403" s="6" t="s">
        <v>949</v>
      </c>
      <c r="C2403" s="7" t="s">
        <v>950</v>
      </c>
      <c r="D2403" s="6">
        <v>88</v>
      </c>
      <c r="E2403" s="8" t="s">
        <v>3051</v>
      </c>
      <c r="F2403" s="6" t="s">
        <v>3050</v>
      </c>
      <c r="G2403" s="33" t="s">
        <v>88</v>
      </c>
    </row>
    <row r="2404" spans="1:7" ht="42" x14ac:dyDescent="0.15">
      <c r="A2404" s="6" t="s">
        <v>105</v>
      </c>
      <c r="B2404" s="6" t="s">
        <v>106</v>
      </c>
      <c r="C2404" s="7" t="s">
        <v>112</v>
      </c>
      <c r="D2404" s="6">
        <v>88</v>
      </c>
      <c r="E2404" s="8" t="s">
        <v>3047</v>
      </c>
      <c r="F2404" s="6" t="s">
        <v>3048</v>
      </c>
      <c r="G2404" s="33" t="s">
        <v>18</v>
      </c>
    </row>
    <row r="2405" spans="1:7" ht="14" x14ac:dyDescent="0.15">
      <c r="A2405" s="6" t="s">
        <v>164</v>
      </c>
      <c r="B2405" s="6" t="s">
        <v>165</v>
      </c>
      <c r="C2405" s="7" t="s">
        <v>166</v>
      </c>
      <c r="D2405" s="6">
        <v>134</v>
      </c>
      <c r="E2405" s="8" t="s">
        <v>3052</v>
      </c>
      <c r="F2405" s="6" t="s">
        <v>3002</v>
      </c>
      <c r="G2405" s="33" t="s">
        <v>67</v>
      </c>
    </row>
    <row r="2406" spans="1:7" ht="28" x14ac:dyDescent="0.15">
      <c r="A2406" s="6" t="s">
        <v>169</v>
      </c>
      <c r="B2406" s="6" t="s">
        <v>169</v>
      </c>
      <c r="C2406" s="7" t="s">
        <v>170</v>
      </c>
      <c r="D2406" s="6">
        <v>27</v>
      </c>
      <c r="E2406" s="8" t="s">
        <v>3053</v>
      </c>
      <c r="F2406" s="6" t="s">
        <v>3002</v>
      </c>
      <c r="G2406" s="33" t="s">
        <v>12</v>
      </c>
    </row>
    <row r="2407" spans="1:7" ht="28" x14ac:dyDescent="0.15">
      <c r="A2407" s="6" t="s">
        <v>105</v>
      </c>
      <c r="B2407" s="6" t="s">
        <v>106</v>
      </c>
      <c r="C2407" s="7" t="s">
        <v>107</v>
      </c>
      <c r="D2407" s="6">
        <v>62</v>
      </c>
      <c r="E2407" s="8" t="s">
        <v>3054</v>
      </c>
      <c r="F2407" s="6" t="s">
        <v>3002</v>
      </c>
      <c r="G2407" s="33" t="s">
        <v>18</v>
      </c>
    </row>
    <row r="2408" spans="1:7" ht="28" x14ac:dyDescent="0.15">
      <c r="A2408" s="6" t="s">
        <v>599</v>
      </c>
      <c r="B2408" s="6" t="s">
        <v>599</v>
      </c>
      <c r="C2408" s="7" t="s">
        <v>600</v>
      </c>
      <c r="D2408" s="6">
        <v>145</v>
      </c>
      <c r="E2408" s="8" t="s">
        <v>3055</v>
      </c>
      <c r="F2408" s="6" t="s">
        <v>3002</v>
      </c>
      <c r="G2408" s="33" t="s">
        <v>342</v>
      </c>
    </row>
    <row r="2409" spans="1:7" ht="14" x14ac:dyDescent="0.15">
      <c r="A2409" s="6" t="s">
        <v>820</v>
      </c>
      <c r="B2409" s="6" t="s">
        <v>821</v>
      </c>
      <c r="C2409" s="7" t="s">
        <v>822</v>
      </c>
      <c r="D2409" s="6">
        <v>49</v>
      </c>
      <c r="E2409" s="8" t="s">
        <v>3056</v>
      </c>
      <c r="F2409" s="6" t="s">
        <v>3002</v>
      </c>
      <c r="G2409" s="33" t="s">
        <v>18</v>
      </c>
    </row>
    <row r="2410" spans="1:7" ht="28" x14ac:dyDescent="0.15">
      <c r="A2410" s="6" t="s">
        <v>2829</v>
      </c>
      <c r="B2410" s="6" t="s">
        <v>2830</v>
      </c>
      <c r="C2410" s="7" t="s">
        <v>2831</v>
      </c>
      <c r="D2410" s="6">
        <v>57</v>
      </c>
      <c r="E2410" s="8" t="s">
        <v>3057</v>
      </c>
      <c r="F2410" s="6" t="s">
        <v>3002</v>
      </c>
      <c r="G2410" s="33" t="s">
        <v>18</v>
      </c>
    </row>
    <row r="2411" spans="1:7" ht="28" x14ac:dyDescent="0.15">
      <c r="A2411" s="6" t="s">
        <v>228</v>
      </c>
      <c r="B2411" s="6" t="s">
        <v>229</v>
      </c>
      <c r="C2411" s="7" t="s">
        <v>230</v>
      </c>
      <c r="D2411" s="6">
        <v>45</v>
      </c>
      <c r="E2411" s="8" t="s">
        <v>3058</v>
      </c>
      <c r="F2411" s="6" t="s">
        <v>3002</v>
      </c>
      <c r="G2411" s="33" t="s">
        <v>18</v>
      </c>
    </row>
    <row r="2412" spans="1:7" ht="14" x14ac:dyDescent="0.15">
      <c r="A2412" s="6" t="s">
        <v>232</v>
      </c>
      <c r="B2412" s="6" t="s">
        <v>233</v>
      </c>
      <c r="C2412" s="7" t="s">
        <v>234</v>
      </c>
      <c r="D2412" s="6">
        <v>217</v>
      </c>
      <c r="E2412" s="8" t="s">
        <v>3059</v>
      </c>
      <c r="F2412" s="6" t="s">
        <v>3002</v>
      </c>
      <c r="G2412" s="33" t="s">
        <v>88</v>
      </c>
    </row>
    <row r="2413" spans="1:7" ht="28" x14ac:dyDescent="0.15">
      <c r="A2413" s="6" t="s">
        <v>325</v>
      </c>
      <c r="B2413" s="6" t="s">
        <v>326</v>
      </c>
      <c r="C2413" s="7" t="s">
        <v>327</v>
      </c>
      <c r="D2413" s="6">
        <v>66</v>
      </c>
      <c r="E2413" s="8" t="s">
        <v>3060</v>
      </c>
      <c r="F2413" s="6" t="s">
        <v>3002</v>
      </c>
      <c r="G2413" s="33" t="s">
        <v>30</v>
      </c>
    </row>
    <row r="2414" spans="1:7" ht="14" x14ac:dyDescent="0.15">
      <c r="A2414" s="6" t="s">
        <v>7</v>
      </c>
      <c r="B2414" s="6" t="s">
        <v>8</v>
      </c>
      <c r="C2414" s="7" t="s">
        <v>1057</v>
      </c>
      <c r="D2414" s="6">
        <v>4</v>
      </c>
      <c r="E2414" s="8" t="s">
        <v>3061</v>
      </c>
      <c r="F2414" s="6" t="s">
        <v>3002</v>
      </c>
      <c r="G2414" s="33" t="s">
        <v>342</v>
      </c>
    </row>
    <row r="2415" spans="1:7" ht="28" x14ac:dyDescent="0.15">
      <c r="A2415" s="6" t="s">
        <v>393</v>
      </c>
      <c r="B2415" s="6" t="s">
        <v>394</v>
      </c>
      <c r="C2415" s="7" t="s">
        <v>395</v>
      </c>
      <c r="D2415" s="6">
        <v>76</v>
      </c>
      <c r="E2415" s="8" t="s">
        <v>3062</v>
      </c>
      <c r="F2415" s="6" t="s">
        <v>3002</v>
      </c>
      <c r="G2415" s="33" t="s">
        <v>12</v>
      </c>
    </row>
    <row r="2416" spans="1:7" ht="28" x14ac:dyDescent="0.15">
      <c r="A2416" s="6" t="s">
        <v>393</v>
      </c>
      <c r="B2416" s="6" t="s">
        <v>394</v>
      </c>
      <c r="C2416" s="7" t="s">
        <v>395</v>
      </c>
      <c r="D2416" s="6">
        <v>98</v>
      </c>
      <c r="E2416" s="8" t="s">
        <v>3063</v>
      </c>
      <c r="F2416" s="6" t="s">
        <v>3002</v>
      </c>
      <c r="G2416" s="33" t="s">
        <v>18</v>
      </c>
    </row>
    <row r="2417" spans="1:7" ht="28" x14ac:dyDescent="0.15">
      <c r="A2417" s="6" t="s">
        <v>92</v>
      </c>
      <c r="B2417" s="6" t="s">
        <v>93</v>
      </c>
      <c r="C2417" s="7" t="s">
        <v>94</v>
      </c>
      <c r="D2417" s="6">
        <v>61</v>
      </c>
      <c r="E2417" s="8" t="s">
        <v>3064</v>
      </c>
      <c r="F2417" s="6" t="s">
        <v>3002</v>
      </c>
      <c r="G2417" s="33" t="s">
        <v>30</v>
      </c>
    </row>
    <row r="2418" spans="1:7" ht="28" x14ac:dyDescent="0.15">
      <c r="A2418" s="6" t="s">
        <v>325</v>
      </c>
      <c r="B2418" s="6" t="s">
        <v>326</v>
      </c>
      <c r="C2418" s="7" t="s">
        <v>463</v>
      </c>
      <c r="D2418" s="6">
        <v>57</v>
      </c>
      <c r="E2418" s="8" t="s">
        <v>3060</v>
      </c>
      <c r="F2418" s="6" t="s">
        <v>3002</v>
      </c>
      <c r="G2418" s="33" t="s">
        <v>30</v>
      </c>
    </row>
    <row r="2419" spans="1:7" ht="28" x14ac:dyDescent="0.15">
      <c r="A2419" s="6" t="s">
        <v>47</v>
      </c>
      <c r="B2419" s="6" t="s">
        <v>702</v>
      </c>
      <c r="C2419" s="7" t="s">
        <v>703</v>
      </c>
      <c r="D2419" s="6">
        <v>77</v>
      </c>
      <c r="E2419" s="8" t="s">
        <v>3065</v>
      </c>
      <c r="F2419" s="6" t="s">
        <v>3002</v>
      </c>
      <c r="G2419" s="33" t="s">
        <v>18</v>
      </c>
    </row>
    <row r="2420" spans="1:7" ht="28" x14ac:dyDescent="0.15">
      <c r="A2420" s="6" t="s">
        <v>47</v>
      </c>
      <c r="B2420" s="6" t="s">
        <v>702</v>
      </c>
      <c r="C2420" s="7" t="s">
        <v>703</v>
      </c>
      <c r="D2420" s="6">
        <v>83</v>
      </c>
      <c r="E2420" s="8" t="s">
        <v>3066</v>
      </c>
      <c r="F2420" s="6" t="s">
        <v>3002</v>
      </c>
      <c r="G2420" s="33" t="s">
        <v>18</v>
      </c>
    </row>
    <row r="2421" spans="1:7" ht="14" x14ac:dyDescent="0.15">
      <c r="A2421" s="6" t="s">
        <v>47</v>
      </c>
      <c r="B2421" s="6" t="s">
        <v>702</v>
      </c>
      <c r="C2421" s="7" t="s">
        <v>703</v>
      </c>
      <c r="D2421" s="6">
        <v>127</v>
      </c>
      <c r="E2421" s="8" t="s">
        <v>3067</v>
      </c>
      <c r="F2421" s="6" t="s">
        <v>3002</v>
      </c>
      <c r="G2421" s="33" t="s">
        <v>18</v>
      </c>
    </row>
    <row r="2422" spans="1:7" ht="28" x14ac:dyDescent="0.15">
      <c r="A2422" s="6" t="s">
        <v>47</v>
      </c>
      <c r="B2422" s="6" t="s">
        <v>702</v>
      </c>
      <c r="C2422" s="7" t="s">
        <v>703</v>
      </c>
      <c r="D2422" s="6">
        <v>253</v>
      </c>
      <c r="E2422" s="8" t="s">
        <v>3068</v>
      </c>
      <c r="F2422" s="6" t="s">
        <v>3002</v>
      </c>
      <c r="G2422" s="33" t="s">
        <v>18</v>
      </c>
    </row>
    <row r="2423" spans="1:7" ht="28" x14ac:dyDescent="0.15">
      <c r="A2423" s="6" t="s">
        <v>47</v>
      </c>
      <c r="B2423" s="6" t="s">
        <v>1184</v>
      </c>
      <c r="C2423" s="7" t="s">
        <v>1185</v>
      </c>
      <c r="D2423" s="6">
        <v>27</v>
      </c>
      <c r="E2423" s="8" t="s">
        <v>3069</v>
      </c>
      <c r="F2423" s="6" t="s">
        <v>3002</v>
      </c>
      <c r="G2423" s="33" t="s">
        <v>30</v>
      </c>
    </row>
    <row r="2424" spans="1:7" ht="14" x14ac:dyDescent="0.15">
      <c r="A2424" s="6" t="s">
        <v>47</v>
      </c>
      <c r="B2424" s="6" t="s">
        <v>1190</v>
      </c>
      <c r="C2424" s="7" t="s">
        <v>1191</v>
      </c>
      <c r="D2424" s="6">
        <v>35</v>
      </c>
      <c r="E2424" s="8" t="s">
        <v>3070</v>
      </c>
      <c r="F2424" s="6" t="s">
        <v>3002</v>
      </c>
      <c r="G2424" s="33" t="s">
        <v>23</v>
      </c>
    </row>
    <row r="2425" spans="1:7" ht="14" x14ac:dyDescent="0.15">
      <c r="A2425" s="6" t="s">
        <v>1205</v>
      </c>
      <c r="B2425" s="6" t="s">
        <v>1206</v>
      </c>
      <c r="C2425" s="7" t="s">
        <v>1207</v>
      </c>
      <c r="D2425" s="6">
        <v>3</v>
      </c>
      <c r="E2425" s="8" t="s">
        <v>3071</v>
      </c>
      <c r="F2425" s="6" t="s">
        <v>3002</v>
      </c>
      <c r="G2425" s="33" t="s">
        <v>83</v>
      </c>
    </row>
    <row r="2426" spans="1:7" ht="28" x14ac:dyDescent="0.15">
      <c r="A2426" s="6" t="s">
        <v>51</v>
      </c>
      <c r="B2426" s="6" t="s">
        <v>56</v>
      </c>
      <c r="C2426" s="7" t="s">
        <v>57</v>
      </c>
      <c r="D2426" s="6">
        <v>65</v>
      </c>
      <c r="E2426" s="8" t="s">
        <v>3072</v>
      </c>
      <c r="F2426" s="6" t="s">
        <v>3002</v>
      </c>
      <c r="G2426" s="33" t="s">
        <v>136</v>
      </c>
    </row>
    <row r="2427" spans="1:7" ht="14" x14ac:dyDescent="0.15">
      <c r="A2427" s="6" t="s">
        <v>1561</v>
      </c>
      <c r="B2427" s="6" t="s">
        <v>1562</v>
      </c>
      <c r="C2427" s="7" t="s">
        <v>1563</v>
      </c>
      <c r="D2427" s="6">
        <v>85</v>
      </c>
      <c r="E2427" s="8" t="s">
        <v>3073</v>
      </c>
      <c r="F2427" s="6" t="s">
        <v>3002</v>
      </c>
      <c r="G2427" s="33" t="s">
        <v>30</v>
      </c>
    </row>
    <row r="2428" spans="1:7" ht="14" x14ac:dyDescent="0.15">
      <c r="A2428" s="6" t="s">
        <v>1561</v>
      </c>
      <c r="B2428" s="6" t="s">
        <v>1562</v>
      </c>
      <c r="C2428" s="7" t="s">
        <v>1563</v>
      </c>
      <c r="D2428" s="6">
        <v>194</v>
      </c>
      <c r="E2428" s="8" t="s">
        <v>3074</v>
      </c>
      <c r="F2428" s="6" t="s">
        <v>3002</v>
      </c>
      <c r="G2428" s="33" t="s">
        <v>30</v>
      </c>
    </row>
    <row r="2429" spans="1:7" ht="28" x14ac:dyDescent="0.15">
      <c r="A2429" s="6" t="s">
        <v>105</v>
      </c>
      <c r="B2429" s="6" t="s">
        <v>106</v>
      </c>
      <c r="C2429" s="7" t="s">
        <v>112</v>
      </c>
      <c r="D2429" s="6">
        <v>62</v>
      </c>
      <c r="E2429" s="8" t="s">
        <v>3054</v>
      </c>
      <c r="F2429" s="6" t="s">
        <v>3002</v>
      </c>
      <c r="G2429" s="33" t="s">
        <v>18</v>
      </c>
    </row>
    <row r="2430" spans="1:7" ht="14" x14ac:dyDescent="0.15">
      <c r="A2430" s="6" t="s">
        <v>1233</v>
      </c>
      <c r="B2430" s="6" t="s">
        <v>1233</v>
      </c>
      <c r="C2430" s="7" t="s">
        <v>1234</v>
      </c>
      <c r="D2430" s="6">
        <v>12</v>
      </c>
      <c r="E2430" s="8" t="s">
        <v>3075</v>
      </c>
      <c r="F2430" s="6" t="s">
        <v>3002</v>
      </c>
      <c r="G2430" s="33" t="s">
        <v>30</v>
      </c>
    </row>
    <row r="2431" spans="1:7" ht="28" x14ac:dyDescent="0.15">
      <c r="A2431" s="6" t="s">
        <v>1233</v>
      </c>
      <c r="B2431" s="6" t="s">
        <v>1233</v>
      </c>
      <c r="C2431" s="7" t="s">
        <v>1234</v>
      </c>
      <c r="D2431" s="6">
        <v>22</v>
      </c>
      <c r="E2431" s="8" t="s">
        <v>3076</v>
      </c>
      <c r="F2431" s="6" t="s">
        <v>3002</v>
      </c>
      <c r="G2431" s="33" t="s">
        <v>30</v>
      </c>
    </row>
    <row r="2432" spans="1:7" ht="28" x14ac:dyDescent="0.15">
      <c r="A2432" s="6" t="s">
        <v>570</v>
      </c>
      <c r="B2432" s="6" t="s">
        <v>571</v>
      </c>
      <c r="C2432" s="7" t="s">
        <v>572</v>
      </c>
      <c r="D2432" s="6">
        <v>152</v>
      </c>
      <c r="E2432" s="8" t="s">
        <v>3077</v>
      </c>
      <c r="F2432" s="6" t="s">
        <v>3002</v>
      </c>
      <c r="G2432" s="33" t="s">
        <v>30</v>
      </c>
    </row>
    <row r="2433" spans="1:7" ht="28" x14ac:dyDescent="0.15">
      <c r="A2433" s="6" t="s">
        <v>118</v>
      </c>
      <c r="B2433" s="6" t="s">
        <v>119</v>
      </c>
      <c r="C2433" s="7" t="s">
        <v>120</v>
      </c>
      <c r="D2433" s="6">
        <v>9</v>
      </c>
      <c r="E2433" s="8" t="s">
        <v>3078</v>
      </c>
      <c r="F2433" s="6" t="s">
        <v>3079</v>
      </c>
      <c r="G2433" s="33" t="s">
        <v>18</v>
      </c>
    </row>
    <row r="2434" spans="1:7" ht="14" x14ac:dyDescent="0.15">
      <c r="A2434" s="6" t="s">
        <v>521</v>
      </c>
      <c r="B2434" s="6" t="s">
        <v>542</v>
      </c>
      <c r="C2434" s="7" t="s">
        <v>543</v>
      </c>
      <c r="D2434" s="6">
        <v>87</v>
      </c>
      <c r="E2434" s="8" t="s">
        <v>3080</v>
      </c>
      <c r="F2434" s="6" t="s">
        <v>3079</v>
      </c>
      <c r="G2434" s="33" t="s">
        <v>18</v>
      </c>
    </row>
    <row r="2435" spans="1:7" ht="14" x14ac:dyDescent="0.15">
      <c r="A2435" s="6" t="s">
        <v>580</v>
      </c>
      <c r="B2435" s="6" t="s">
        <v>581</v>
      </c>
      <c r="C2435" s="7" t="s">
        <v>582</v>
      </c>
      <c r="D2435" s="6">
        <v>35</v>
      </c>
      <c r="E2435" s="8" t="s">
        <v>3081</v>
      </c>
      <c r="F2435" s="6" t="s">
        <v>3079</v>
      </c>
      <c r="G2435" s="33" t="s">
        <v>30</v>
      </c>
    </row>
    <row r="2436" spans="1:7" ht="28" x14ac:dyDescent="0.15">
      <c r="A2436" s="6" t="s">
        <v>232</v>
      </c>
      <c r="B2436" s="6" t="s">
        <v>233</v>
      </c>
      <c r="C2436" s="7" t="s">
        <v>234</v>
      </c>
      <c r="D2436" s="6">
        <v>226</v>
      </c>
      <c r="E2436" s="8" t="s">
        <v>3082</v>
      </c>
      <c r="F2436" s="6" t="s">
        <v>2734</v>
      </c>
      <c r="G2436" s="33" t="s">
        <v>88</v>
      </c>
    </row>
    <row r="2437" spans="1:7" ht="28" x14ac:dyDescent="0.15">
      <c r="A2437" s="6" t="s">
        <v>84</v>
      </c>
      <c r="B2437" s="6" t="s">
        <v>85</v>
      </c>
      <c r="C2437" s="7" t="s">
        <v>86</v>
      </c>
      <c r="D2437" s="6">
        <v>126</v>
      </c>
      <c r="E2437" s="8" t="s">
        <v>3083</v>
      </c>
      <c r="F2437" s="6" t="s">
        <v>2734</v>
      </c>
      <c r="G2437" s="33" t="s">
        <v>18</v>
      </c>
    </row>
    <row r="2438" spans="1:7" ht="14" x14ac:dyDescent="0.15">
      <c r="A2438" s="6" t="s">
        <v>2343</v>
      </c>
      <c r="B2438" s="6" t="s">
        <v>2344</v>
      </c>
      <c r="C2438" s="7" t="s">
        <v>2345</v>
      </c>
      <c r="D2438" s="6">
        <v>148</v>
      </c>
      <c r="E2438" s="8" t="s">
        <v>3084</v>
      </c>
      <c r="F2438" s="6" t="s">
        <v>3085</v>
      </c>
      <c r="G2438" s="33" t="s">
        <v>342</v>
      </c>
    </row>
    <row r="2439" spans="1:7" ht="14" x14ac:dyDescent="0.15">
      <c r="A2439" s="6" t="s">
        <v>68</v>
      </c>
      <c r="B2439" s="6" t="s">
        <v>69</v>
      </c>
      <c r="C2439" s="7" t="s">
        <v>70</v>
      </c>
      <c r="D2439" s="6">
        <v>43</v>
      </c>
      <c r="E2439" s="8" t="s">
        <v>3086</v>
      </c>
      <c r="F2439" s="6" t="s">
        <v>3087</v>
      </c>
      <c r="G2439" s="33" t="s">
        <v>12</v>
      </c>
    </row>
    <row r="2440" spans="1:7" ht="14" x14ac:dyDescent="0.15">
      <c r="A2440" s="6" t="s">
        <v>68</v>
      </c>
      <c r="B2440" s="6" t="s">
        <v>69</v>
      </c>
      <c r="C2440" s="7" t="s">
        <v>70</v>
      </c>
      <c r="D2440" s="6">
        <v>74</v>
      </c>
      <c r="E2440" s="8" t="s">
        <v>3088</v>
      </c>
      <c r="F2440" s="6" t="s">
        <v>3087</v>
      </c>
      <c r="G2440" s="33" t="s">
        <v>18</v>
      </c>
    </row>
    <row r="2441" spans="1:7" ht="14" x14ac:dyDescent="0.15">
      <c r="A2441" s="6" t="s">
        <v>68</v>
      </c>
      <c r="B2441" s="6" t="s">
        <v>69</v>
      </c>
      <c r="C2441" s="7" t="s">
        <v>70</v>
      </c>
      <c r="D2441" s="6">
        <v>83</v>
      </c>
      <c r="E2441" s="8" t="s">
        <v>3089</v>
      </c>
      <c r="F2441" s="6" t="s">
        <v>3087</v>
      </c>
      <c r="G2441" s="33" t="s">
        <v>219</v>
      </c>
    </row>
    <row r="2442" spans="1:7" ht="14" x14ac:dyDescent="0.15">
      <c r="A2442" s="6" t="s">
        <v>68</v>
      </c>
      <c r="B2442" s="6" t="s">
        <v>69</v>
      </c>
      <c r="C2442" s="7" t="s">
        <v>70</v>
      </c>
      <c r="D2442" s="6">
        <v>90</v>
      </c>
      <c r="E2442" s="8" t="s">
        <v>3090</v>
      </c>
      <c r="F2442" s="6" t="s">
        <v>3087</v>
      </c>
      <c r="G2442" s="33" t="s">
        <v>219</v>
      </c>
    </row>
    <row r="2443" spans="1:7" ht="14" x14ac:dyDescent="0.15">
      <c r="A2443" s="6" t="s">
        <v>2740</v>
      </c>
      <c r="B2443" s="6" t="s">
        <v>2741</v>
      </c>
      <c r="C2443" s="7" t="s">
        <v>2742</v>
      </c>
      <c r="D2443" s="6">
        <v>39</v>
      </c>
      <c r="E2443" s="8" t="s">
        <v>3091</v>
      </c>
      <c r="F2443" s="6" t="s">
        <v>3087</v>
      </c>
      <c r="G2443" s="33" t="s">
        <v>30</v>
      </c>
    </row>
    <row r="2444" spans="1:7" ht="28" x14ac:dyDescent="0.15">
      <c r="A2444" s="6" t="s">
        <v>131</v>
      </c>
      <c r="B2444" s="6" t="s">
        <v>132</v>
      </c>
      <c r="C2444" s="7" t="s">
        <v>133</v>
      </c>
      <c r="D2444" s="6">
        <v>182</v>
      </c>
      <c r="E2444" s="8" t="s">
        <v>3092</v>
      </c>
      <c r="F2444" s="6" t="s">
        <v>3087</v>
      </c>
      <c r="G2444" s="33" t="s">
        <v>30</v>
      </c>
    </row>
    <row r="2445" spans="1:7" ht="28" x14ac:dyDescent="0.15">
      <c r="A2445" s="6" t="s">
        <v>131</v>
      </c>
      <c r="B2445" s="6" t="s">
        <v>132</v>
      </c>
      <c r="C2445" s="7" t="s">
        <v>133</v>
      </c>
      <c r="D2445" s="6">
        <v>190</v>
      </c>
      <c r="E2445" s="8" t="s">
        <v>3093</v>
      </c>
      <c r="F2445" s="6" t="s">
        <v>3087</v>
      </c>
      <c r="G2445" s="33" t="s">
        <v>30</v>
      </c>
    </row>
    <row r="2446" spans="1:7" ht="28" x14ac:dyDescent="0.15">
      <c r="A2446" s="6" t="s">
        <v>140</v>
      </c>
      <c r="B2446" s="6" t="s">
        <v>141</v>
      </c>
      <c r="C2446" s="7" t="s">
        <v>142</v>
      </c>
      <c r="D2446" s="6">
        <v>19</v>
      </c>
      <c r="E2446" s="8" t="s">
        <v>3094</v>
      </c>
      <c r="F2446" s="6" t="s">
        <v>3087</v>
      </c>
      <c r="G2446" s="33" t="s">
        <v>18</v>
      </c>
    </row>
    <row r="2447" spans="1:7" ht="14" x14ac:dyDescent="0.15">
      <c r="A2447" s="6" t="s">
        <v>149</v>
      </c>
      <c r="B2447" s="6" t="s">
        <v>150</v>
      </c>
      <c r="C2447" s="7" t="s">
        <v>151</v>
      </c>
      <c r="D2447" s="6">
        <v>47</v>
      </c>
      <c r="E2447" s="8" t="s">
        <v>3095</v>
      </c>
      <c r="F2447" s="6" t="s">
        <v>3087</v>
      </c>
      <c r="G2447" s="33" t="s">
        <v>23</v>
      </c>
    </row>
    <row r="2448" spans="1:7" ht="14" x14ac:dyDescent="0.15">
      <c r="A2448" s="6" t="s">
        <v>153</v>
      </c>
      <c r="B2448" s="6" t="s">
        <v>153</v>
      </c>
      <c r="C2448" s="7" t="s">
        <v>154</v>
      </c>
      <c r="D2448" s="6">
        <v>180</v>
      </c>
      <c r="E2448" s="8" t="s">
        <v>3096</v>
      </c>
      <c r="F2448" s="6" t="s">
        <v>3087</v>
      </c>
      <c r="G2448" s="33" t="s">
        <v>23</v>
      </c>
    </row>
    <row r="2449" spans="1:7" ht="14" x14ac:dyDescent="0.15">
      <c r="A2449" s="6" t="s">
        <v>153</v>
      </c>
      <c r="B2449" s="6" t="s">
        <v>153</v>
      </c>
      <c r="C2449" s="7" t="s">
        <v>154</v>
      </c>
      <c r="D2449" s="6">
        <v>189</v>
      </c>
      <c r="E2449" s="8" t="s">
        <v>3097</v>
      </c>
      <c r="F2449" s="6" t="s">
        <v>3087</v>
      </c>
      <c r="G2449" s="33" t="s">
        <v>77</v>
      </c>
    </row>
    <row r="2450" spans="1:7" ht="14" x14ac:dyDescent="0.15">
      <c r="A2450" s="6" t="s">
        <v>156</v>
      </c>
      <c r="B2450" s="6" t="s">
        <v>156</v>
      </c>
      <c r="C2450" s="7" t="s">
        <v>157</v>
      </c>
      <c r="D2450" s="6">
        <v>90</v>
      </c>
      <c r="E2450" s="8" t="s">
        <v>3098</v>
      </c>
      <c r="F2450" s="6" t="s">
        <v>3087</v>
      </c>
      <c r="G2450" s="33" t="s">
        <v>88</v>
      </c>
    </row>
    <row r="2451" spans="1:7" ht="14" x14ac:dyDescent="0.15">
      <c r="A2451" s="6" t="s">
        <v>156</v>
      </c>
      <c r="B2451" s="6" t="s">
        <v>159</v>
      </c>
      <c r="C2451" s="7" t="s">
        <v>160</v>
      </c>
      <c r="D2451" s="6">
        <v>40</v>
      </c>
      <c r="E2451" s="8" t="s">
        <v>3099</v>
      </c>
      <c r="F2451" s="6" t="s">
        <v>3087</v>
      </c>
      <c r="G2451" s="33" t="s">
        <v>12</v>
      </c>
    </row>
    <row r="2452" spans="1:7" ht="14" x14ac:dyDescent="0.15">
      <c r="A2452" s="6" t="s">
        <v>164</v>
      </c>
      <c r="B2452" s="6" t="s">
        <v>165</v>
      </c>
      <c r="C2452" s="7" t="s">
        <v>166</v>
      </c>
      <c r="D2452" s="6">
        <v>90</v>
      </c>
      <c r="E2452" s="8" t="s">
        <v>3100</v>
      </c>
      <c r="F2452" s="6" t="s">
        <v>3087</v>
      </c>
      <c r="G2452" s="33" t="s">
        <v>115</v>
      </c>
    </row>
    <row r="2453" spans="1:7" ht="28" x14ac:dyDescent="0.15">
      <c r="A2453" s="6" t="s">
        <v>372</v>
      </c>
      <c r="B2453" s="6" t="s">
        <v>373</v>
      </c>
      <c r="C2453" s="7" t="s">
        <v>1680</v>
      </c>
      <c r="D2453" s="6">
        <v>27</v>
      </c>
      <c r="E2453" s="8" t="s">
        <v>3101</v>
      </c>
      <c r="F2453" s="6" t="s">
        <v>3087</v>
      </c>
      <c r="G2453" s="33" t="s">
        <v>30</v>
      </c>
    </row>
    <row r="2454" spans="1:7" ht="42" x14ac:dyDescent="0.15">
      <c r="A2454" s="6" t="s">
        <v>173</v>
      </c>
      <c r="B2454" s="6" t="s">
        <v>174</v>
      </c>
      <c r="C2454" s="7" t="s">
        <v>175</v>
      </c>
      <c r="D2454" s="6">
        <v>70</v>
      </c>
      <c r="E2454" s="8" t="s">
        <v>3102</v>
      </c>
      <c r="F2454" s="6" t="s">
        <v>3087</v>
      </c>
      <c r="G2454" s="33" t="s">
        <v>88</v>
      </c>
    </row>
    <row r="2455" spans="1:7" ht="14" x14ac:dyDescent="0.15">
      <c r="A2455" s="6" t="s">
        <v>173</v>
      </c>
      <c r="B2455" s="6" t="s">
        <v>174</v>
      </c>
      <c r="C2455" s="7" t="s">
        <v>175</v>
      </c>
      <c r="D2455" s="6">
        <v>101</v>
      </c>
      <c r="E2455" s="8" t="s">
        <v>3103</v>
      </c>
      <c r="F2455" s="6" t="s">
        <v>3087</v>
      </c>
      <c r="G2455" s="33" t="s">
        <v>342</v>
      </c>
    </row>
    <row r="2456" spans="1:7" ht="28" x14ac:dyDescent="0.15">
      <c r="A2456" s="6" t="s">
        <v>173</v>
      </c>
      <c r="B2456" s="6" t="s">
        <v>174</v>
      </c>
      <c r="C2456" s="7" t="s">
        <v>175</v>
      </c>
      <c r="D2456" s="6">
        <v>189</v>
      </c>
      <c r="E2456" s="8" t="s">
        <v>3104</v>
      </c>
      <c r="F2456" s="6" t="s">
        <v>3087</v>
      </c>
      <c r="G2456" s="33" t="s">
        <v>30</v>
      </c>
    </row>
    <row r="2457" spans="1:7" ht="14" x14ac:dyDescent="0.15">
      <c r="A2457" s="6" t="s">
        <v>192</v>
      </c>
      <c r="B2457" s="6" t="s">
        <v>192</v>
      </c>
      <c r="C2457" s="7" t="s">
        <v>193</v>
      </c>
      <c r="D2457" s="6">
        <v>10</v>
      </c>
      <c r="E2457" s="8" t="s">
        <v>3105</v>
      </c>
      <c r="F2457" s="6" t="s">
        <v>3087</v>
      </c>
      <c r="G2457" s="33" t="s">
        <v>83</v>
      </c>
    </row>
    <row r="2458" spans="1:7" ht="14" x14ac:dyDescent="0.15">
      <c r="A2458" s="6" t="s">
        <v>192</v>
      </c>
      <c r="B2458" s="6" t="s">
        <v>192</v>
      </c>
      <c r="C2458" s="7" t="s">
        <v>193</v>
      </c>
      <c r="D2458" s="6">
        <v>15</v>
      </c>
      <c r="E2458" s="8" t="s">
        <v>3106</v>
      </c>
      <c r="F2458" s="6" t="s">
        <v>3087</v>
      </c>
      <c r="G2458" s="33" t="s">
        <v>88</v>
      </c>
    </row>
    <row r="2459" spans="1:7" ht="28" x14ac:dyDescent="0.15">
      <c r="A2459" s="6" t="s">
        <v>1454</v>
      </c>
      <c r="B2459" s="6" t="s">
        <v>1455</v>
      </c>
      <c r="C2459" s="7" t="s">
        <v>1456</v>
      </c>
      <c r="D2459" s="6">
        <v>122</v>
      </c>
      <c r="E2459" s="8" t="s">
        <v>3107</v>
      </c>
      <c r="F2459" s="6" t="s">
        <v>3087</v>
      </c>
      <c r="G2459" s="33" t="s">
        <v>18</v>
      </c>
    </row>
    <row r="2460" spans="1:7" ht="28" x14ac:dyDescent="0.15">
      <c r="A2460" s="6" t="s">
        <v>205</v>
      </c>
      <c r="B2460" s="6" t="s">
        <v>206</v>
      </c>
      <c r="C2460" s="7" t="s">
        <v>207</v>
      </c>
      <c r="D2460" s="6">
        <v>137</v>
      </c>
      <c r="E2460" s="8" t="s">
        <v>3108</v>
      </c>
      <c r="F2460" s="6" t="s">
        <v>3087</v>
      </c>
      <c r="G2460" s="33" t="s">
        <v>88</v>
      </c>
    </row>
    <row r="2461" spans="1:7" ht="42" x14ac:dyDescent="0.15">
      <c r="A2461" s="6" t="s">
        <v>210</v>
      </c>
      <c r="B2461" s="6" t="s">
        <v>211</v>
      </c>
      <c r="C2461" s="7" t="s">
        <v>212</v>
      </c>
      <c r="D2461" s="6">
        <v>43</v>
      </c>
      <c r="E2461" s="8" t="s">
        <v>3109</v>
      </c>
      <c r="F2461" s="6" t="s">
        <v>3087</v>
      </c>
      <c r="G2461" s="33" t="s">
        <v>77</v>
      </c>
    </row>
    <row r="2462" spans="1:7" ht="14" x14ac:dyDescent="0.15">
      <c r="A2462" s="6" t="s">
        <v>7</v>
      </c>
      <c r="B2462" s="6" t="s">
        <v>8</v>
      </c>
      <c r="C2462" s="7" t="s">
        <v>9</v>
      </c>
      <c r="D2462" s="6">
        <v>81</v>
      </c>
      <c r="E2462" s="8" t="s">
        <v>3110</v>
      </c>
      <c r="F2462" s="6" t="s">
        <v>3087</v>
      </c>
      <c r="G2462" s="33" t="s">
        <v>23</v>
      </c>
    </row>
    <row r="2463" spans="1:7" ht="28" x14ac:dyDescent="0.15">
      <c r="A2463" s="6" t="s">
        <v>2829</v>
      </c>
      <c r="B2463" s="6" t="s">
        <v>2830</v>
      </c>
      <c r="C2463" s="7" t="s">
        <v>2831</v>
      </c>
      <c r="D2463" s="6">
        <v>6</v>
      </c>
      <c r="E2463" s="8" t="s">
        <v>3111</v>
      </c>
      <c r="F2463" s="6" t="s">
        <v>3087</v>
      </c>
      <c r="G2463" s="33" t="s">
        <v>23</v>
      </c>
    </row>
    <row r="2464" spans="1:7" ht="14" x14ac:dyDescent="0.15">
      <c r="A2464" s="6" t="s">
        <v>13</v>
      </c>
      <c r="B2464" s="6" t="s">
        <v>14</v>
      </c>
      <c r="C2464" s="7" t="s">
        <v>15</v>
      </c>
      <c r="D2464" s="6">
        <v>139</v>
      </c>
      <c r="E2464" s="8" t="s">
        <v>3112</v>
      </c>
      <c r="F2464" s="6" t="s">
        <v>3087</v>
      </c>
      <c r="G2464" s="33" t="s">
        <v>18</v>
      </c>
    </row>
    <row r="2465" spans="1:7" ht="28" x14ac:dyDescent="0.15">
      <c r="A2465" s="6" t="s">
        <v>842</v>
      </c>
      <c r="B2465" s="6" t="s">
        <v>843</v>
      </c>
      <c r="C2465" s="7" t="s">
        <v>844</v>
      </c>
      <c r="D2465" s="6">
        <v>57</v>
      </c>
      <c r="E2465" s="8" t="s">
        <v>3113</v>
      </c>
      <c r="F2465" s="6" t="s">
        <v>3087</v>
      </c>
      <c r="G2465" s="33" t="s">
        <v>12</v>
      </c>
    </row>
    <row r="2466" spans="1:7" ht="14" x14ac:dyDescent="0.15">
      <c r="A2466" s="6" t="s">
        <v>244</v>
      </c>
      <c r="B2466" s="6" t="s">
        <v>244</v>
      </c>
      <c r="C2466" s="7" t="s">
        <v>245</v>
      </c>
      <c r="D2466" s="6">
        <v>99</v>
      </c>
      <c r="E2466" s="8" t="s">
        <v>3114</v>
      </c>
      <c r="F2466" s="6" t="s">
        <v>3087</v>
      </c>
      <c r="G2466" s="33" t="s">
        <v>219</v>
      </c>
    </row>
    <row r="2467" spans="1:7" ht="14" x14ac:dyDescent="0.15">
      <c r="A2467" s="6" t="s">
        <v>1490</v>
      </c>
      <c r="B2467" s="6" t="s">
        <v>1491</v>
      </c>
      <c r="C2467" s="7" t="s">
        <v>1492</v>
      </c>
      <c r="D2467" s="6">
        <v>79</v>
      </c>
      <c r="E2467" s="8" t="s">
        <v>3115</v>
      </c>
      <c r="F2467" s="6" t="s">
        <v>3087</v>
      </c>
      <c r="G2467" s="33" t="s">
        <v>18</v>
      </c>
    </row>
    <row r="2468" spans="1:7" ht="14" x14ac:dyDescent="0.15">
      <c r="A2468" s="6" t="s">
        <v>269</v>
      </c>
      <c r="B2468" s="6" t="s">
        <v>270</v>
      </c>
      <c r="C2468" s="7" t="s">
        <v>271</v>
      </c>
      <c r="D2468" s="6">
        <v>6</v>
      </c>
      <c r="E2468" s="8" t="s">
        <v>3116</v>
      </c>
      <c r="F2468" s="6" t="s">
        <v>3087</v>
      </c>
      <c r="G2468" s="33" t="s">
        <v>18</v>
      </c>
    </row>
    <row r="2469" spans="1:7" ht="14" x14ac:dyDescent="0.15">
      <c r="A2469" s="6" t="s">
        <v>301</v>
      </c>
      <c r="B2469" s="6" t="s">
        <v>301</v>
      </c>
      <c r="C2469" s="7" t="s">
        <v>306</v>
      </c>
      <c r="D2469" s="6">
        <v>94</v>
      </c>
      <c r="E2469" s="8" t="s">
        <v>3117</v>
      </c>
      <c r="F2469" s="6" t="s">
        <v>3087</v>
      </c>
      <c r="G2469" s="33" t="s">
        <v>12</v>
      </c>
    </row>
    <row r="2470" spans="1:7" ht="42" x14ac:dyDescent="0.15">
      <c r="A2470" s="6" t="s">
        <v>325</v>
      </c>
      <c r="B2470" s="6" t="s">
        <v>326</v>
      </c>
      <c r="C2470" s="7" t="s">
        <v>327</v>
      </c>
      <c r="D2470" s="6">
        <v>89</v>
      </c>
      <c r="E2470" s="8" t="s">
        <v>3118</v>
      </c>
      <c r="F2470" s="6" t="s">
        <v>3087</v>
      </c>
      <c r="G2470" s="33" t="s">
        <v>30</v>
      </c>
    </row>
    <row r="2471" spans="1:7" ht="42" x14ac:dyDescent="0.15">
      <c r="A2471" s="6" t="s">
        <v>652</v>
      </c>
      <c r="B2471" s="6" t="s">
        <v>653</v>
      </c>
      <c r="C2471" s="7" t="s">
        <v>654</v>
      </c>
      <c r="D2471" s="6">
        <v>103</v>
      </c>
      <c r="E2471" s="8" t="s">
        <v>3119</v>
      </c>
      <c r="F2471" s="6" t="s">
        <v>3087</v>
      </c>
      <c r="G2471" s="33" t="s">
        <v>30</v>
      </c>
    </row>
    <row r="2472" spans="1:7" ht="28" x14ac:dyDescent="0.15">
      <c r="A2472" s="6" t="s">
        <v>357</v>
      </c>
      <c r="B2472" s="6" t="s">
        <v>358</v>
      </c>
      <c r="C2472" s="7" t="s">
        <v>359</v>
      </c>
      <c r="D2472" s="6">
        <v>38</v>
      </c>
      <c r="E2472" s="8" t="s">
        <v>3120</v>
      </c>
      <c r="F2472" s="6" t="s">
        <v>3087</v>
      </c>
      <c r="G2472" s="33" t="s">
        <v>18</v>
      </c>
    </row>
    <row r="2473" spans="1:7" ht="28" x14ac:dyDescent="0.15">
      <c r="A2473" s="6" t="s">
        <v>1011</v>
      </c>
      <c r="B2473" s="6" t="s">
        <v>1012</v>
      </c>
      <c r="C2473" s="7" t="s">
        <v>1013</v>
      </c>
      <c r="D2473" s="6">
        <v>33</v>
      </c>
      <c r="E2473" s="8" t="s">
        <v>3121</v>
      </c>
      <c r="F2473" s="6" t="s">
        <v>3087</v>
      </c>
      <c r="G2473" s="33" t="s">
        <v>18</v>
      </c>
    </row>
    <row r="2474" spans="1:7" ht="28" x14ac:dyDescent="0.15">
      <c r="A2474" s="6" t="s">
        <v>84</v>
      </c>
      <c r="B2474" s="6" t="s">
        <v>85</v>
      </c>
      <c r="C2474" s="7" t="s">
        <v>86</v>
      </c>
      <c r="D2474" s="6">
        <v>13</v>
      </c>
      <c r="E2474" s="8" t="s">
        <v>3122</v>
      </c>
      <c r="F2474" s="6" t="s">
        <v>3087</v>
      </c>
      <c r="G2474" s="33" t="s">
        <v>18</v>
      </c>
    </row>
    <row r="2475" spans="1:7" ht="28" x14ac:dyDescent="0.15">
      <c r="A2475" s="6" t="s">
        <v>84</v>
      </c>
      <c r="B2475" s="6" t="s">
        <v>85</v>
      </c>
      <c r="C2475" s="7" t="s">
        <v>86</v>
      </c>
      <c r="D2475" s="6">
        <v>183</v>
      </c>
      <c r="E2475" s="8" t="s">
        <v>3123</v>
      </c>
      <c r="F2475" s="6" t="s">
        <v>3087</v>
      </c>
      <c r="G2475" s="33" t="s">
        <v>18</v>
      </c>
    </row>
    <row r="2476" spans="1:7" ht="14" x14ac:dyDescent="0.15">
      <c r="A2476" s="6" t="s">
        <v>7</v>
      </c>
      <c r="B2476" s="6" t="s">
        <v>8</v>
      </c>
      <c r="C2476" s="7" t="s">
        <v>1057</v>
      </c>
      <c r="D2476" s="6">
        <v>81</v>
      </c>
      <c r="E2476" s="8" t="s">
        <v>3110</v>
      </c>
      <c r="F2476" s="6" t="s">
        <v>3087</v>
      </c>
      <c r="G2476" s="33" t="s">
        <v>23</v>
      </c>
    </row>
    <row r="2477" spans="1:7" ht="14" x14ac:dyDescent="0.15">
      <c r="A2477" s="6" t="s">
        <v>390</v>
      </c>
      <c r="B2477" s="6" t="s">
        <v>390</v>
      </c>
      <c r="C2477" s="7" t="s">
        <v>391</v>
      </c>
      <c r="D2477" s="6">
        <v>150</v>
      </c>
      <c r="E2477" s="8" t="s">
        <v>3124</v>
      </c>
      <c r="F2477" s="6" t="s">
        <v>3087</v>
      </c>
      <c r="G2477" s="33" t="s">
        <v>23</v>
      </c>
    </row>
    <row r="2478" spans="1:7" ht="28" x14ac:dyDescent="0.15">
      <c r="A2478" s="6" t="s">
        <v>400</v>
      </c>
      <c r="B2478" s="6" t="s">
        <v>400</v>
      </c>
      <c r="C2478" s="7" t="s">
        <v>401</v>
      </c>
      <c r="D2478" s="6">
        <v>111</v>
      </c>
      <c r="E2478" s="8" t="s">
        <v>3125</v>
      </c>
      <c r="F2478" s="6" t="s">
        <v>3087</v>
      </c>
      <c r="G2478" s="33" t="s">
        <v>115</v>
      </c>
    </row>
    <row r="2479" spans="1:7" ht="28" x14ac:dyDescent="0.15">
      <c r="A2479" s="6" t="s">
        <v>400</v>
      </c>
      <c r="B2479" s="6" t="s">
        <v>400</v>
      </c>
      <c r="C2479" s="7" t="s">
        <v>401</v>
      </c>
      <c r="D2479" s="6">
        <v>152</v>
      </c>
      <c r="E2479" s="8" t="s">
        <v>3126</v>
      </c>
      <c r="F2479" s="6" t="s">
        <v>3087</v>
      </c>
      <c r="G2479" s="33" t="s">
        <v>30</v>
      </c>
    </row>
    <row r="2480" spans="1:7" ht="14" x14ac:dyDescent="0.15">
      <c r="A2480" s="6" t="s">
        <v>2242</v>
      </c>
      <c r="B2480" s="6" t="s">
        <v>2243</v>
      </c>
      <c r="C2480" s="7" t="s">
        <v>2244</v>
      </c>
      <c r="D2480" s="6">
        <v>39</v>
      </c>
      <c r="E2480" s="8" t="s">
        <v>3127</v>
      </c>
      <c r="F2480" s="6" t="s">
        <v>3087</v>
      </c>
      <c r="G2480" s="33" t="s">
        <v>23</v>
      </c>
    </row>
    <row r="2481" spans="1:7" ht="28" x14ac:dyDescent="0.15">
      <c r="A2481" s="6" t="s">
        <v>423</v>
      </c>
      <c r="B2481" s="6" t="s">
        <v>424</v>
      </c>
      <c r="C2481" s="7" t="s">
        <v>425</v>
      </c>
      <c r="D2481" s="6">
        <v>39</v>
      </c>
      <c r="E2481" s="8" t="s">
        <v>3128</v>
      </c>
      <c r="F2481" s="6" t="s">
        <v>3087</v>
      </c>
      <c r="G2481" s="33" t="s">
        <v>88</v>
      </c>
    </row>
    <row r="2482" spans="1:7" ht="14" x14ac:dyDescent="0.15">
      <c r="A2482" s="6" t="s">
        <v>43</v>
      </c>
      <c r="B2482" s="6" t="s">
        <v>44</v>
      </c>
      <c r="C2482" s="7" t="s">
        <v>45</v>
      </c>
      <c r="D2482" s="6">
        <v>78</v>
      </c>
      <c r="E2482" s="8" t="s">
        <v>3129</v>
      </c>
      <c r="F2482" s="6" t="s">
        <v>3087</v>
      </c>
      <c r="G2482" s="33" t="s">
        <v>23</v>
      </c>
    </row>
    <row r="2483" spans="1:7" ht="14" x14ac:dyDescent="0.15">
      <c r="A2483" s="6" t="s">
        <v>466</v>
      </c>
      <c r="B2483" s="6" t="s">
        <v>467</v>
      </c>
      <c r="C2483" s="7" t="s">
        <v>468</v>
      </c>
      <c r="D2483" s="6">
        <v>19</v>
      </c>
      <c r="E2483" s="8" t="s">
        <v>3130</v>
      </c>
      <c r="F2483" s="6" t="s">
        <v>3087</v>
      </c>
      <c r="G2483" s="33" t="s">
        <v>30</v>
      </c>
    </row>
    <row r="2484" spans="1:7" ht="14" x14ac:dyDescent="0.15">
      <c r="A2484" s="6" t="s">
        <v>466</v>
      </c>
      <c r="B2484" s="6" t="s">
        <v>467</v>
      </c>
      <c r="C2484" s="7" t="s">
        <v>468</v>
      </c>
      <c r="D2484" s="6">
        <v>21</v>
      </c>
      <c r="E2484" s="8" t="s">
        <v>3131</v>
      </c>
      <c r="F2484" s="6" t="s">
        <v>3087</v>
      </c>
      <c r="G2484" s="33" t="s">
        <v>30</v>
      </c>
    </row>
    <row r="2485" spans="1:7" ht="28" x14ac:dyDescent="0.15">
      <c r="A2485" s="6" t="s">
        <v>51</v>
      </c>
      <c r="B2485" s="6" t="s">
        <v>496</v>
      </c>
      <c r="C2485" s="7" t="s">
        <v>497</v>
      </c>
      <c r="D2485" s="6">
        <v>27</v>
      </c>
      <c r="E2485" s="8" t="s">
        <v>3132</v>
      </c>
      <c r="F2485" s="6" t="s">
        <v>3087</v>
      </c>
      <c r="G2485" s="33" t="s">
        <v>88</v>
      </c>
    </row>
    <row r="2486" spans="1:7" ht="14" x14ac:dyDescent="0.15">
      <c r="A2486" s="6" t="s">
        <v>51</v>
      </c>
      <c r="B2486" s="6" t="s">
        <v>496</v>
      </c>
      <c r="C2486" s="7" t="s">
        <v>497</v>
      </c>
      <c r="D2486" s="6">
        <v>50</v>
      </c>
      <c r="E2486" s="8" t="s">
        <v>3133</v>
      </c>
      <c r="F2486" s="6" t="s">
        <v>3087</v>
      </c>
      <c r="G2486" s="33" t="s">
        <v>12</v>
      </c>
    </row>
    <row r="2487" spans="1:7" ht="42" x14ac:dyDescent="0.15">
      <c r="A2487" s="6" t="s">
        <v>51</v>
      </c>
      <c r="B2487" s="6" t="s">
        <v>499</v>
      </c>
      <c r="C2487" s="7" t="s">
        <v>500</v>
      </c>
      <c r="D2487" s="6">
        <v>41</v>
      </c>
      <c r="E2487" s="8" t="s">
        <v>3134</v>
      </c>
      <c r="F2487" s="6" t="s">
        <v>3087</v>
      </c>
      <c r="G2487" s="33" t="s">
        <v>18</v>
      </c>
    </row>
    <row r="2488" spans="1:7" ht="28" x14ac:dyDescent="0.15">
      <c r="A2488" s="6" t="s">
        <v>509</v>
      </c>
      <c r="B2488" s="6" t="s">
        <v>510</v>
      </c>
      <c r="C2488" s="7" t="s">
        <v>511</v>
      </c>
      <c r="D2488" s="6">
        <v>163</v>
      </c>
      <c r="E2488" s="8" t="s">
        <v>3135</v>
      </c>
      <c r="F2488" s="6" t="s">
        <v>3087</v>
      </c>
      <c r="G2488" s="33" t="s">
        <v>18</v>
      </c>
    </row>
    <row r="2489" spans="1:7" ht="14" x14ac:dyDescent="0.15">
      <c r="A2489" s="6" t="s">
        <v>521</v>
      </c>
      <c r="B2489" s="6" t="s">
        <v>522</v>
      </c>
      <c r="C2489" s="7" t="s">
        <v>523</v>
      </c>
      <c r="D2489" s="6">
        <v>63</v>
      </c>
      <c r="E2489" s="8" t="s">
        <v>3136</v>
      </c>
      <c r="F2489" s="6" t="s">
        <v>3087</v>
      </c>
      <c r="G2489" s="33" t="s">
        <v>30</v>
      </c>
    </row>
    <row r="2490" spans="1:7" ht="14" x14ac:dyDescent="0.15">
      <c r="A2490" s="6" t="s">
        <v>521</v>
      </c>
      <c r="B2490" s="6" t="s">
        <v>522</v>
      </c>
      <c r="C2490" s="7" t="s">
        <v>523</v>
      </c>
      <c r="D2490" s="6">
        <v>163</v>
      </c>
      <c r="E2490" s="8" t="s">
        <v>3137</v>
      </c>
      <c r="F2490" s="6" t="s">
        <v>3087</v>
      </c>
      <c r="G2490" s="33" t="s">
        <v>30</v>
      </c>
    </row>
    <row r="2491" spans="1:7" ht="14" x14ac:dyDescent="0.15">
      <c r="A2491" s="6" t="s">
        <v>521</v>
      </c>
      <c r="B2491" s="6" t="s">
        <v>1241</v>
      </c>
      <c r="C2491" s="7" t="s">
        <v>1242</v>
      </c>
      <c r="D2491" s="6">
        <v>56</v>
      </c>
      <c r="E2491" s="8" t="s">
        <v>3138</v>
      </c>
      <c r="F2491" s="6" t="s">
        <v>3087</v>
      </c>
      <c r="G2491" s="33" t="s">
        <v>18</v>
      </c>
    </row>
    <row r="2492" spans="1:7" ht="14" x14ac:dyDescent="0.15">
      <c r="A2492" s="6" t="s">
        <v>555</v>
      </c>
      <c r="B2492" s="6" t="s">
        <v>556</v>
      </c>
      <c r="C2492" s="7" t="s">
        <v>557</v>
      </c>
      <c r="D2492" s="6">
        <v>33</v>
      </c>
      <c r="E2492" s="8" t="s">
        <v>3139</v>
      </c>
      <c r="F2492" s="6" t="s">
        <v>3087</v>
      </c>
      <c r="G2492" s="33" t="s">
        <v>30</v>
      </c>
    </row>
    <row r="2493" spans="1:7" ht="28" x14ac:dyDescent="0.15">
      <c r="A2493" s="6" t="s">
        <v>842</v>
      </c>
      <c r="B2493" s="6" t="s">
        <v>843</v>
      </c>
      <c r="C2493" s="7" t="s">
        <v>1255</v>
      </c>
      <c r="D2493" s="6">
        <v>57</v>
      </c>
      <c r="E2493" s="8" t="s">
        <v>3113</v>
      </c>
      <c r="F2493" s="6" t="s">
        <v>3087</v>
      </c>
      <c r="G2493" s="33" t="s">
        <v>12</v>
      </c>
    </row>
    <row r="2494" spans="1:7" ht="14" x14ac:dyDescent="0.15">
      <c r="A2494" s="6" t="s">
        <v>63</v>
      </c>
      <c r="B2494" s="6" t="s">
        <v>64</v>
      </c>
      <c r="C2494" s="7" t="s">
        <v>65</v>
      </c>
      <c r="D2494" s="6">
        <v>53</v>
      </c>
      <c r="E2494" s="8" t="s">
        <v>3140</v>
      </c>
      <c r="F2494" s="6" t="s">
        <v>3087</v>
      </c>
      <c r="G2494" s="33" t="s">
        <v>18</v>
      </c>
    </row>
    <row r="2495" spans="1:7" ht="14" x14ac:dyDescent="0.15">
      <c r="A2495" s="6" t="s">
        <v>47</v>
      </c>
      <c r="B2495" s="6" t="s">
        <v>475</v>
      </c>
      <c r="C2495" s="7" t="s">
        <v>476</v>
      </c>
      <c r="D2495" s="6">
        <v>48</v>
      </c>
      <c r="E2495" s="8" t="s">
        <v>3141</v>
      </c>
      <c r="F2495" s="6" t="s">
        <v>3142</v>
      </c>
      <c r="G2495" s="33" t="s">
        <v>30</v>
      </c>
    </row>
    <row r="2496" spans="1:7" ht="14" x14ac:dyDescent="0.15">
      <c r="A2496" s="6" t="s">
        <v>566</v>
      </c>
      <c r="B2496" s="6" t="s">
        <v>567</v>
      </c>
      <c r="C2496" s="7" t="s">
        <v>568</v>
      </c>
      <c r="D2496" s="6">
        <v>71</v>
      </c>
      <c r="E2496" s="8" t="s">
        <v>3143</v>
      </c>
      <c r="F2496" s="6" t="s">
        <v>3142</v>
      </c>
      <c r="G2496" s="33" t="s">
        <v>30</v>
      </c>
    </row>
    <row r="2497" spans="1:7" ht="28" x14ac:dyDescent="0.15">
      <c r="A2497" s="6" t="s">
        <v>131</v>
      </c>
      <c r="B2497" s="6" t="s">
        <v>132</v>
      </c>
      <c r="C2497" s="7" t="s">
        <v>133</v>
      </c>
      <c r="D2497" s="6">
        <v>166</v>
      </c>
      <c r="E2497" s="8" t="s">
        <v>3144</v>
      </c>
      <c r="F2497" s="6" t="s">
        <v>3087</v>
      </c>
      <c r="G2497" s="33" t="s">
        <v>30</v>
      </c>
    </row>
    <row r="2498" spans="1:7" ht="28" x14ac:dyDescent="0.15">
      <c r="A2498" s="6" t="s">
        <v>325</v>
      </c>
      <c r="B2498" s="6" t="s">
        <v>326</v>
      </c>
      <c r="C2498" s="7" t="s">
        <v>327</v>
      </c>
      <c r="D2498" s="6">
        <v>16</v>
      </c>
      <c r="E2498" s="8" t="s">
        <v>3145</v>
      </c>
      <c r="F2498" s="6" t="s">
        <v>3087</v>
      </c>
      <c r="G2498" s="33" t="s">
        <v>23</v>
      </c>
    </row>
    <row r="2499" spans="1:7" ht="28" x14ac:dyDescent="0.15">
      <c r="A2499" s="6" t="s">
        <v>393</v>
      </c>
      <c r="B2499" s="6" t="s">
        <v>394</v>
      </c>
      <c r="C2499" s="7" t="s">
        <v>395</v>
      </c>
      <c r="D2499" s="6">
        <v>156</v>
      </c>
      <c r="E2499" s="8" t="s">
        <v>3146</v>
      </c>
      <c r="F2499" s="6" t="s">
        <v>3087</v>
      </c>
      <c r="G2499" s="33" t="s">
        <v>18</v>
      </c>
    </row>
    <row r="2500" spans="1:7" ht="28" x14ac:dyDescent="0.15">
      <c r="A2500" s="6" t="s">
        <v>325</v>
      </c>
      <c r="B2500" s="6" t="s">
        <v>326</v>
      </c>
      <c r="C2500" s="7" t="s">
        <v>463</v>
      </c>
      <c r="D2500" s="6">
        <v>11</v>
      </c>
      <c r="E2500" s="8" t="s">
        <v>3145</v>
      </c>
      <c r="F2500" s="6" t="s">
        <v>3087</v>
      </c>
      <c r="G2500" s="33" t="s">
        <v>23</v>
      </c>
    </row>
    <row r="2501" spans="1:7" ht="28" x14ac:dyDescent="0.15">
      <c r="A2501" s="6" t="s">
        <v>423</v>
      </c>
      <c r="B2501" s="6" t="s">
        <v>424</v>
      </c>
      <c r="C2501" s="7" t="s">
        <v>425</v>
      </c>
      <c r="D2501" s="6">
        <v>45</v>
      </c>
      <c r="E2501" s="8" t="s">
        <v>3147</v>
      </c>
      <c r="F2501" s="6" t="s">
        <v>3087</v>
      </c>
      <c r="G2501" s="33" t="s">
        <v>88</v>
      </c>
    </row>
    <row r="2502" spans="1:7" ht="28" x14ac:dyDescent="0.15">
      <c r="A2502" s="6" t="s">
        <v>247</v>
      </c>
      <c r="B2502" s="6" t="s">
        <v>248</v>
      </c>
      <c r="C2502" s="7" t="s">
        <v>399</v>
      </c>
      <c r="D2502" s="6">
        <v>37</v>
      </c>
      <c r="E2502" s="8" t="s">
        <v>3148</v>
      </c>
      <c r="F2502" s="6" t="s">
        <v>3087</v>
      </c>
      <c r="G2502" s="33" t="s">
        <v>83</v>
      </c>
    </row>
    <row r="2503" spans="1:7" ht="28" x14ac:dyDescent="0.15">
      <c r="A2503" s="6" t="s">
        <v>393</v>
      </c>
      <c r="B2503" s="6" t="s">
        <v>394</v>
      </c>
      <c r="C2503" s="7" t="s">
        <v>395</v>
      </c>
      <c r="D2503" s="6">
        <v>45</v>
      </c>
      <c r="E2503" s="8" t="s">
        <v>3149</v>
      </c>
      <c r="F2503" s="6" t="s">
        <v>3087</v>
      </c>
      <c r="G2503" s="33" t="s">
        <v>30</v>
      </c>
    </row>
    <row r="2504" spans="1:7" ht="14" x14ac:dyDescent="0.15">
      <c r="A2504" s="6" t="s">
        <v>681</v>
      </c>
      <c r="B2504" s="6" t="s">
        <v>682</v>
      </c>
      <c r="C2504" s="7" t="s">
        <v>683</v>
      </c>
      <c r="D2504" s="6">
        <v>166</v>
      </c>
      <c r="E2504" s="8" t="s">
        <v>3150</v>
      </c>
      <c r="F2504" s="6" t="s">
        <v>3151</v>
      </c>
      <c r="G2504" s="33" t="s">
        <v>88</v>
      </c>
    </row>
    <row r="2505" spans="1:7" ht="42" x14ac:dyDescent="0.15">
      <c r="A2505" s="6" t="s">
        <v>131</v>
      </c>
      <c r="B2505" s="6" t="s">
        <v>132</v>
      </c>
      <c r="C2505" s="7" t="s">
        <v>347</v>
      </c>
      <c r="D2505" s="6">
        <v>85</v>
      </c>
      <c r="E2505" s="8" t="s">
        <v>3152</v>
      </c>
      <c r="F2505" s="6" t="s">
        <v>3151</v>
      </c>
      <c r="G2505" s="33" t="s">
        <v>30</v>
      </c>
    </row>
    <row r="2506" spans="1:7" ht="28" x14ac:dyDescent="0.15">
      <c r="A2506" s="6" t="s">
        <v>666</v>
      </c>
      <c r="B2506" s="6" t="s">
        <v>667</v>
      </c>
      <c r="C2506" s="7" t="s">
        <v>668</v>
      </c>
      <c r="D2506" s="6">
        <v>69</v>
      </c>
      <c r="E2506" s="8" t="s">
        <v>3153</v>
      </c>
      <c r="G2506" s="33" t="s">
        <v>77</v>
      </c>
    </row>
    <row r="2507" spans="1:7" ht="14" x14ac:dyDescent="0.15">
      <c r="A2507" s="6" t="s">
        <v>666</v>
      </c>
      <c r="B2507" s="6" t="s">
        <v>667</v>
      </c>
      <c r="C2507" s="7" t="s">
        <v>668</v>
      </c>
      <c r="D2507" s="6">
        <v>99</v>
      </c>
      <c r="E2507" s="8" t="s">
        <v>3154</v>
      </c>
      <c r="G2507" s="33" t="s">
        <v>12</v>
      </c>
    </row>
    <row r="2508" spans="1:7" ht="14" x14ac:dyDescent="0.15">
      <c r="A2508" s="6" t="s">
        <v>13</v>
      </c>
      <c r="B2508" s="6" t="s">
        <v>14</v>
      </c>
      <c r="C2508" s="7" t="s">
        <v>15</v>
      </c>
      <c r="D2508" s="6">
        <v>111</v>
      </c>
      <c r="E2508" s="8" t="s">
        <v>3155</v>
      </c>
      <c r="F2508" s="6" t="s">
        <v>17</v>
      </c>
      <c r="G2508" s="33" t="s">
        <v>88</v>
      </c>
    </row>
    <row r="2509" spans="1:7" ht="28" x14ac:dyDescent="0.15">
      <c r="A2509" s="6" t="s">
        <v>521</v>
      </c>
      <c r="B2509" s="6" t="s">
        <v>695</v>
      </c>
      <c r="C2509" s="7" t="s">
        <v>696</v>
      </c>
      <c r="D2509" s="6">
        <v>75</v>
      </c>
      <c r="E2509" s="8" t="s">
        <v>3156</v>
      </c>
      <c r="G2509" s="33" t="s">
        <v>12</v>
      </c>
    </row>
    <row r="2510" spans="1:7" ht="28" x14ac:dyDescent="0.15">
      <c r="A2510" s="6" t="s">
        <v>521</v>
      </c>
      <c r="B2510" s="6" t="s">
        <v>545</v>
      </c>
      <c r="C2510" s="7" t="s">
        <v>546</v>
      </c>
      <c r="D2510" s="6">
        <v>15</v>
      </c>
      <c r="E2510" s="8" t="s">
        <v>3157</v>
      </c>
      <c r="F2510" s="6" t="s">
        <v>677</v>
      </c>
      <c r="G2510" s="33" t="s">
        <v>88</v>
      </c>
    </row>
    <row r="2511" spans="1:7" ht="14" x14ac:dyDescent="0.15">
      <c r="A2511" s="6" t="s">
        <v>575</v>
      </c>
      <c r="B2511" s="6" t="s">
        <v>576</v>
      </c>
      <c r="C2511" s="7" t="s">
        <v>577</v>
      </c>
      <c r="D2511" s="6">
        <v>47</v>
      </c>
      <c r="E2511" s="8" t="s">
        <v>3158</v>
      </c>
      <c r="G2511" s="33" t="s">
        <v>77</v>
      </c>
    </row>
    <row r="2512" spans="1:7" ht="14" x14ac:dyDescent="0.15">
      <c r="A2512" s="6" t="s">
        <v>153</v>
      </c>
      <c r="B2512" s="6" t="s">
        <v>153</v>
      </c>
      <c r="C2512" s="7" t="s">
        <v>154</v>
      </c>
      <c r="D2512" s="6">
        <v>3</v>
      </c>
      <c r="E2512" s="8" t="s">
        <v>3159</v>
      </c>
      <c r="F2512" s="6" t="s">
        <v>3160</v>
      </c>
      <c r="G2512" s="33" t="s">
        <v>18</v>
      </c>
    </row>
    <row r="2513" spans="1:7" ht="14" x14ac:dyDescent="0.15">
      <c r="A2513" s="6" t="s">
        <v>247</v>
      </c>
      <c r="B2513" s="6" t="s">
        <v>248</v>
      </c>
      <c r="C2513" s="7" t="s">
        <v>249</v>
      </c>
      <c r="D2513" s="6">
        <v>127</v>
      </c>
      <c r="E2513" s="8" t="s">
        <v>3161</v>
      </c>
      <c r="F2513" s="6" t="s">
        <v>3160</v>
      </c>
      <c r="G2513" s="33" t="s">
        <v>18</v>
      </c>
    </row>
    <row r="2514" spans="1:7" ht="14" x14ac:dyDescent="0.15">
      <c r="A2514" s="6" t="s">
        <v>254</v>
      </c>
      <c r="B2514" s="6" t="s">
        <v>255</v>
      </c>
      <c r="C2514" s="7" t="s">
        <v>256</v>
      </c>
      <c r="D2514" s="6">
        <v>103</v>
      </c>
      <c r="E2514" s="8" t="s">
        <v>3162</v>
      </c>
      <c r="F2514" s="6" t="s">
        <v>3160</v>
      </c>
      <c r="G2514" s="33" t="s">
        <v>136</v>
      </c>
    </row>
    <row r="2515" spans="1:7" ht="14" x14ac:dyDescent="0.15">
      <c r="A2515" s="6" t="s">
        <v>3163</v>
      </c>
      <c r="B2515" s="6" t="s">
        <v>3164</v>
      </c>
      <c r="C2515" s="7" t="s">
        <v>3165</v>
      </c>
      <c r="D2515" s="6">
        <v>7</v>
      </c>
      <c r="E2515" s="8" t="s">
        <v>3166</v>
      </c>
      <c r="F2515" s="6" t="s">
        <v>3160</v>
      </c>
      <c r="G2515" s="33" t="s">
        <v>136</v>
      </c>
    </row>
    <row r="2516" spans="1:7" ht="28" x14ac:dyDescent="0.15">
      <c r="A2516" s="6" t="s">
        <v>269</v>
      </c>
      <c r="B2516" s="6" t="s">
        <v>270</v>
      </c>
      <c r="C2516" s="7" t="s">
        <v>271</v>
      </c>
      <c r="D2516" s="6">
        <v>16</v>
      </c>
      <c r="E2516" s="8" t="s">
        <v>3167</v>
      </c>
      <c r="F2516" s="6" t="s">
        <v>3160</v>
      </c>
      <c r="G2516" s="33" t="s">
        <v>136</v>
      </c>
    </row>
    <row r="2517" spans="1:7" ht="14" x14ac:dyDescent="0.15">
      <c r="A2517" s="6" t="s">
        <v>953</v>
      </c>
      <c r="B2517" s="6" t="s">
        <v>954</v>
      </c>
      <c r="C2517" s="7" t="s">
        <v>955</v>
      </c>
      <c r="D2517" s="6">
        <v>9</v>
      </c>
      <c r="E2517" s="8" t="s">
        <v>3168</v>
      </c>
      <c r="F2517" s="6" t="s">
        <v>3160</v>
      </c>
      <c r="G2517" s="33" t="s">
        <v>18</v>
      </c>
    </row>
    <row r="2518" spans="1:7" ht="14" x14ac:dyDescent="0.15">
      <c r="A2518" s="6" t="s">
        <v>953</v>
      </c>
      <c r="B2518" s="6" t="s">
        <v>954</v>
      </c>
      <c r="C2518" s="7" t="s">
        <v>955</v>
      </c>
      <c r="D2518" s="6">
        <v>16</v>
      </c>
      <c r="E2518" s="8" t="s">
        <v>3169</v>
      </c>
      <c r="F2518" s="6" t="s">
        <v>3160</v>
      </c>
      <c r="G2518" s="33" t="s">
        <v>18</v>
      </c>
    </row>
    <row r="2519" spans="1:7" ht="14" x14ac:dyDescent="0.15">
      <c r="A2519" s="6" t="s">
        <v>953</v>
      </c>
      <c r="B2519" s="6" t="s">
        <v>954</v>
      </c>
      <c r="C2519" s="7" t="s">
        <v>955</v>
      </c>
      <c r="D2519" s="6">
        <v>42</v>
      </c>
      <c r="E2519" s="8" t="s">
        <v>3170</v>
      </c>
      <c r="F2519" s="6" t="s">
        <v>3160</v>
      </c>
      <c r="G2519" s="33" t="s">
        <v>18</v>
      </c>
    </row>
    <row r="2520" spans="1:7" ht="14" x14ac:dyDescent="0.15">
      <c r="A2520" s="6" t="s">
        <v>247</v>
      </c>
      <c r="B2520" s="6" t="s">
        <v>248</v>
      </c>
      <c r="C2520" s="7" t="s">
        <v>399</v>
      </c>
      <c r="D2520" s="6">
        <v>106</v>
      </c>
      <c r="E2520" s="8" t="s">
        <v>3161</v>
      </c>
      <c r="F2520" s="6" t="s">
        <v>3160</v>
      </c>
      <c r="G2520" s="33" t="s">
        <v>18</v>
      </c>
    </row>
    <row r="2521" spans="1:7" ht="14" x14ac:dyDescent="0.15">
      <c r="A2521" s="6" t="s">
        <v>1830</v>
      </c>
      <c r="B2521" s="6" t="s">
        <v>1831</v>
      </c>
      <c r="C2521" s="7" t="s">
        <v>1832</v>
      </c>
      <c r="D2521" s="6">
        <v>59</v>
      </c>
      <c r="E2521" s="8" t="s">
        <v>3171</v>
      </c>
      <c r="F2521" s="6" t="s">
        <v>3160</v>
      </c>
      <c r="G2521" s="33" t="s">
        <v>136</v>
      </c>
    </row>
    <row r="2522" spans="1:7" ht="14" x14ac:dyDescent="0.15">
      <c r="A2522" s="6" t="s">
        <v>575</v>
      </c>
      <c r="B2522" s="6" t="s">
        <v>576</v>
      </c>
      <c r="C2522" s="7" t="s">
        <v>577</v>
      </c>
      <c r="D2522" s="6">
        <v>115</v>
      </c>
      <c r="E2522" s="8" t="s">
        <v>3172</v>
      </c>
      <c r="F2522" s="6" t="s">
        <v>3160</v>
      </c>
      <c r="G2522" s="33" t="s">
        <v>18</v>
      </c>
    </row>
    <row r="2523" spans="1:7" ht="28" x14ac:dyDescent="0.15">
      <c r="A2523" s="6" t="s">
        <v>953</v>
      </c>
      <c r="B2523" s="6" t="s">
        <v>954</v>
      </c>
      <c r="C2523" s="7" t="s">
        <v>955</v>
      </c>
      <c r="D2523" s="6">
        <v>21</v>
      </c>
      <c r="E2523" s="8" t="s">
        <v>3173</v>
      </c>
      <c r="F2523" s="6" t="s">
        <v>3174</v>
      </c>
      <c r="G2523" s="33" t="s">
        <v>18</v>
      </c>
    </row>
    <row r="2524" spans="1:7" ht="14" x14ac:dyDescent="0.15">
      <c r="A2524" s="6" t="s">
        <v>521</v>
      </c>
      <c r="B2524" s="6" t="s">
        <v>1241</v>
      </c>
      <c r="C2524" s="7" t="s">
        <v>1242</v>
      </c>
      <c r="D2524" s="6">
        <v>27</v>
      </c>
      <c r="E2524" s="8" t="s">
        <v>3175</v>
      </c>
      <c r="F2524" s="6" t="s">
        <v>3174</v>
      </c>
      <c r="G2524" s="33" t="s">
        <v>18</v>
      </c>
    </row>
    <row r="2525" spans="1:7" ht="14" x14ac:dyDescent="0.15">
      <c r="A2525" s="6" t="s">
        <v>31</v>
      </c>
      <c r="B2525" s="6" t="s">
        <v>31</v>
      </c>
      <c r="C2525" s="7" t="s">
        <v>32</v>
      </c>
      <c r="D2525" s="6">
        <v>62</v>
      </c>
      <c r="E2525" s="8" t="s">
        <v>3176</v>
      </c>
      <c r="F2525" s="6" t="s">
        <v>3177</v>
      </c>
      <c r="G2525" s="33" t="s">
        <v>18</v>
      </c>
    </row>
    <row r="2526" spans="1:7" ht="14" x14ac:dyDescent="0.15">
      <c r="A2526" s="6" t="s">
        <v>953</v>
      </c>
      <c r="B2526" s="6" t="s">
        <v>954</v>
      </c>
      <c r="C2526" s="7" t="s">
        <v>955</v>
      </c>
      <c r="D2526" s="6">
        <v>10</v>
      </c>
      <c r="E2526" s="8" t="s">
        <v>3178</v>
      </c>
      <c r="F2526" s="6" t="s">
        <v>3177</v>
      </c>
      <c r="G2526" s="33" t="s">
        <v>18</v>
      </c>
    </row>
    <row r="2527" spans="1:7" ht="14" x14ac:dyDescent="0.15">
      <c r="A2527" s="6" t="s">
        <v>953</v>
      </c>
      <c r="B2527" s="6" t="s">
        <v>954</v>
      </c>
      <c r="C2527" s="7" t="s">
        <v>955</v>
      </c>
      <c r="D2527" s="6">
        <v>13</v>
      </c>
      <c r="E2527" s="8" t="s">
        <v>3179</v>
      </c>
      <c r="F2527" s="6" t="s">
        <v>3177</v>
      </c>
      <c r="G2527" s="33" t="s">
        <v>18</v>
      </c>
    </row>
    <row r="2528" spans="1:7" ht="28" x14ac:dyDescent="0.15">
      <c r="A2528" s="6" t="s">
        <v>105</v>
      </c>
      <c r="B2528" s="6" t="s">
        <v>106</v>
      </c>
      <c r="C2528" s="7" t="s">
        <v>107</v>
      </c>
      <c r="D2528" s="6">
        <v>56</v>
      </c>
      <c r="E2528" s="8" t="s">
        <v>3180</v>
      </c>
      <c r="F2528" s="6" t="s">
        <v>3181</v>
      </c>
      <c r="G2528" s="33" t="s">
        <v>18</v>
      </c>
    </row>
    <row r="2529" spans="1:7" ht="28" x14ac:dyDescent="0.15">
      <c r="A2529" s="6" t="s">
        <v>105</v>
      </c>
      <c r="B2529" s="6" t="s">
        <v>106</v>
      </c>
      <c r="C2529" s="7" t="s">
        <v>112</v>
      </c>
      <c r="D2529" s="6">
        <v>56</v>
      </c>
      <c r="E2529" s="8" t="s">
        <v>3180</v>
      </c>
      <c r="F2529" s="6" t="s">
        <v>3181</v>
      </c>
      <c r="G2529" s="33" t="s">
        <v>18</v>
      </c>
    </row>
    <row r="2530" spans="1:7" ht="14" x14ac:dyDescent="0.15">
      <c r="A2530" s="6" t="s">
        <v>153</v>
      </c>
      <c r="B2530" s="6" t="s">
        <v>153</v>
      </c>
      <c r="C2530" s="7" t="s">
        <v>154</v>
      </c>
      <c r="D2530" s="6">
        <v>20</v>
      </c>
      <c r="E2530" s="8" t="s">
        <v>3182</v>
      </c>
      <c r="F2530" s="6" t="s">
        <v>3183</v>
      </c>
      <c r="G2530" s="33" t="s">
        <v>18</v>
      </c>
    </row>
    <row r="2531" spans="1:7" ht="14" x14ac:dyDescent="0.15">
      <c r="A2531" s="6" t="s">
        <v>92</v>
      </c>
      <c r="B2531" s="6" t="s">
        <v>93</v>
      </c>
      <c r="C2531" s="7" t="s">
        <v>94</v>
      </c>
      <c r="D2531" s="6">
        <v>10</v>
      </c>
      <c r="E2531" s="8" t="s">
        <v>3184</v>
      </c>
      <c r="F2531" s="6" t="s">
        <v>3185</v>
      </c>
      <c r="G2531" s="33" t="s">
        <v>136</v>
      </c>
    </row>
    <row r="2532" spans="1:7" ht="28" x14ac:dyDescent="0.15">
      <c r="A2532" s="6" t="s">
        <v>92</v>
      </c>
      <c r="B2532" s="6" t="s">
        <v>93</v>
      </c>
      <c r="C2532" s="7" t="s">
        <v>94</v>
      </c>
      <c r="D2532" s="6">
        <v>28</v>
      </c>
      <c r="E2532" s="8" t="s">
        <v>3186</v>
      </c>
      <c r="F2532" s="6" t="s">
        <v>2734</v>
      </c>
      <c r="G2532" s="33" t="s">
        <v>30</v>
      </c>
    </row>
    <row r="2533" spans="1:7" ht="14" x14ac:dyDescent="0.15">
      <c r="A2533" s="6" t="s">
        <v>247</v>
      </c>
      <c r="B2533" s="6" t="s">
        <v>248</v>
      </c>
      <c r="C2533" s="7" t="s">
        <v>249</v>
      </c>
      <c r="D2533" s="6">
        <v>175</v>
      </c>
      <c r="E2533" s="8" t="s">
        <v>3187</v>
      </c>
      <c r="F2533" s="6" t="s">
        <v>3185</v>
      </c>
      <c r="G2533" s="33" t="s">
        <v>136</v>
      </c>
    </row>
    <row r="2534" spans="1:7" ht="14" x14ac:dyDescent="0.15">
      <c r="A2534" s="6" t="s">
        <v>247</v>
      </c>
      <c r="B2534" s="6" t="s">
        <v>248</v>
      </c>
      <c r="C2534" s="7" t="s">
        <v>399</v>
      </c>
      <c r="D2534" s="6">
        <v>154</v>
      </c>
      <c r="E2534" s="8" t="s">
        <v>3187</v>
      </c>
      <c r="F2534" s="6" t="s">
        <v>3185</v>
      </c>
      <c r="G2534" s="33" t="s">
        <v>136</v>
      </c>
    </row>
    <row r="2535" spans="1:7" ht="14" x14ac:dyDescent="0.15">
      <c r="A2535" s="6" t="s">
        <v>13</v>
      </c>
      <c r="B2535" s="6" t="s">
        <v>14</v>
      </c>
      <c r="C2535" s="7" t="s">
        <v>15</v>
      </c>
      <c r="D2535" s="6">
        <v>109</v>
      </c>
      <c r="E2535" s="8" t="s">
        <v>3188</v>
      </c>
      <c r="F2535" s="6" t="s">
        <v>17</v>
      </c>
      <c r="G2535" s="33" t="s">
        <v>18</v>
      </c>
    </row>
    <row r="2536" spans="1:7" ht="28" x14ac:dyDescent="0.15">
      <c r="A2536" s="6" t="s">
        <v>47</v>
      </c>
      <c r="B2536" s="6" t="s">
        <v>1190</v>
      </c>
      <c r="C2536" s="7" t="s">
        <v>1191</v>
      </c>
      <c r="D2536" s="6">
        <v>24</v>
      </c>
      <c r="E2536" s="8" t="s">
        <v>3189</v>
      </c>
      <c r="F2536" s="6" t="s">
        <v>11</v>
      </c>
      <c r="G2536" s="33" t="s">
        <v>18</v>
      </c>
    </row>
    <row r="2537" spans="1:7" ht="14" x14ac:dyDescent="0.15">
      <c r="A2537" s="6" t="s">
        <v>164</v>
      </c>
      <c r="B2537" s="6" t="s">
        <v>165</v>
      </c>
      <c r="C2537" s="7" t="s">
        <v>166</v>
      </c>
      <c r="D2537" s="6">
        <v>94</v>
      </c>
      <c r="E2537" s="8" t="s">
        <v>3190</v>
      </c>
      <c r="F2537" s="6" t="s">
        <v>72</v>
      </c>
      <c r="G2537" s="33" t="s">
        <v>30</v>
      </c>
    </row>
    <row r="2538" spans="1:7" ht="14" x14ac:dyDescent="0.15">
      <c r="A2538" s="6" t="s">
        <v>164</v>
      </c>
      <c r="B2538" s="6" t="s">
        <v>165</v>
      </c>
      <c r="C2538" s="7" t="s">
        <v>166</v>
      </c>
      <c r="D2538" s="6">
        <v>118</v>
      </c>
      <c r="E2538" s="8" t="s">
        <v>3191</v>
      </c>
      <c r="F2538" s="6" t="s">
        <v>72</v>
      </c>
      <c r="G2538" s="33" t="s">
        <v>115</v>
      </c>
    </row>
    <row r="2539" spans="1:7" ht="14" x14ac:dyDescent="0.15">
      <c r="A2539" s="6" t="s">
        <v>393</v>
      </c>
      <c r="B2539" s="6" t="s">
        <v>394</v>
      </c>
      <c r="C2539" s="7" t="s">
        <v>395</v>
      </c>
      <c r="D2539" s="6">
        <v>61</v>
      </c>
      <c r="E2539" s="8" t="s">
        <v>3192</v>
      </c>
      <c r="F2539" s="6" t="s">
        <v>72</v>
      </c>
      <c r="G2539" s="33" t="s">
        <v>30</v>
      </c>
    </row>
    <row r="2540" spans="1:7" ht="14" x14ac:dyDescent="0.15">
      <c r="A2540" s="6" t="s">
        <v>393</v>
      </c>
      <c r="B2540" s="6" t="s">
        <v>394</v>
      </c>
      <c r="C2540" s="7" t="s">
        <v>395</v>
      </c>
      <c r="D2540" s="6">
        <v>62</v>
      </c>
      <c r="E2540" s="8" t="s">
        <v>3193</v>
      </c>
      <c r="F2540" s="6" t="s">
        <v>72</v>
      </c>
      <c r="G2540" s="33" t="s">
        <v>30</v>
      </c>
    </row>
    <row r="2541" spans="1:7" ht="14" x14ac:dyDescent="0.15">
      <c r="A2541" s="6" t="s">
        <v>393</v>
      </c>
      <c r="B2541" s="6" t="s">
        <v>394</v>
      </c>
      <c r="C2541" s="7" t="s">
        <v>395</v>
      </c>
      <c r="D2541" s="6">
        <v>64</v>
      </c>
      <c r="E2541" s="8" t="s">
        <v>3194</v>
      </c>
      <c r="F2541" s="6" t="s">
        <v>72</v>
      </c>
      <c r="G2541" s="33" t="s">
        <v>83</v>
      </c>
    </row>
    <row r="2542" spans="1:7" ht="14" x14ac:dyDescent="0.15">
      <c r="A2542" s="6" t="s">
        <v>1163</v>
      </c>
      <c r="B2542" s="6" t="s">
        <v>1164</v>
      </c>
      <c r="C2542" s="7" t="s">
        <v>1165</v>
      </c>
      <c r="D2542" s="6">
        <v>62</v>
      </c>
      <c r="E2542" s="8" t="s">
        <v>3195</v>
      </c>
      <c r="F2542" s="6" t="s">
        <v>72</v>
      </c>
      <c r="G2542" s="33" t="s">
        <v>88</v>
      </c>
    </row>
    <row r="2543" spans="1:7" ht="14" x14ac:dyDescent="0.15">
      <c r="A2543" s="6" t="s">
        <v>164</v>
      </c>
      <c r="B2543" s="6" t="s">
        <v>165</v>
      </c>
      <c r="C2543" s="7" t="s">
        <v>166</v>
      </c>
      <c r="D2543" s="6">
        <v>120</v>
      </c>
      <c r="E2543" s="8" t="s">
        <v>3196</v>
      </c>
      <c r="F2543" s="6" t="s">
        <v>72</v>
      </c>
      <c r="G2543" s="33" t="s">
        <v>30</v>
      </c>
    </row>
    <row r="2544" spans="1:7" ht="13" x14ac:dyDescent="0.15">
      <c r="A2544" s="6"/>
      <c r="B2544" s="6"/>
      <c r="C2544" s="6"/>
      <c r="D2544" s="6"/>
      <c r="E2544" s="8"/>
      <c r="F2544" s="6"/>
      <c r="G2544" s="33"/>
    </row>
    <row r="2545" spans="1:7" ht="13" x14ac:dyDescent="0.15">
      <c r="A2545" s="6"/>
      <c r="B2545" s="6"/>
      <c r="C2545" s="6"/>
      <c r="D2545" s="6"/>
      <c r="E2545" s="8"/>
      <c r="F2545" s="6"/>
      <c r="G2545" s="33"/>
    </row>
    <row r="2546" spans="1:7" ht="13" x14ac:dyDescent="0.15">
      <c r="A2546" s="6"/>
      <c r="B2546" s="6"/>
      <c r="C2546" s="6"/>
      <c r="D2546" s="6"/>
      <c r="E2546" s="8"/>
      <c r="F2546" s="6"/>
      <c r="G2546" s="33"/>
    </row>
    <row r="2547" spans="1:7" ht="13" x14ac:dyDescent="0.15">
      <c r="A2547" s="6"/>
      <c r="B2547" s="6"/>
      <c r="C2547" s="6"/>
      <c r="D2547" s="6"/>
      <c r="E2547" s="8"/>
      <c r="F2547" s="6"/>
      <c r="G2547" s="33"/>
    </row>
    <row r="2548" spans="1:7" ht="13" x14ac:dyDescent="0.15">
      <c r="A2548" s="6"/>
      <c r="B2548" s="6"/>
      <c r="C2548" s="6"/>
      <c r="D2548" s="6"/>
      <c r="E2548" s="8"/>
      <c r="F2548" s="6"/>
      <c r="G2548" s="33"/>
    </row>
    <row r="2549" spans="1:7" ht="13" x14ac:dyDescent="0.15">
      <c r="A2549" s="6"/>
      <c r="B2549" s="6"/>
      <c r="C2549" s="6"/>
      <c r="D2549" s="6"/>
      <c r="E2549" s="8"/>
      <c r="F2549" s="6"/>
      <c r="G2549" s="33"/>
    </row>
    <row r="2550" spans="1:7" ht="13" x14ac:dyDescent="0.15">
      <c r="A2550" s="6"/>
      <c r="B2550" s="6"/>
      <c r="C2550" s="6"/>
      <c r="D2550" s="6"/>
      <c r="E2550" s="8"/>
      <c r="F2550" s="6"/>
      <c r="G2550" s="33"/>
    </row>
    <row r="2551" spans="1:7" ht="13" x14ac:dyDescent="0.15">
      <c r="A2551" s="6"/>
      <c r="B2551" s="6"/>
      <c r="C2551" s="6"/>
      <c r="D2551" s="6"/>
      <c r="E2551" s="8"/>
      <c r="F2551" s="6"/>
      <c r="G2551" s="33"/>
    </row>
    <row r="2552" spans="1:7" ht="13" x14ac:dyDescent="0.15">
      <c r="A2552" s="6"/>
      <c r="B2552" s="6"/>
      <c r="C2552" s="6"/>
      <c r="D2552" s="6"/>
      <c r="E2552" s="8"/>
      <c r="F2552" s="6"/>
      <c r="G2552" s="33"/>
    </row>
    <row r="2553" spans="1:7" ht="13" x14ac:dyDescent="0.15">
      <c r="A2553" s="6"/>
      <c r="B2553" s="6"/>
      <c r="C2553" s="6"/>
      <c r="D2553" s="6"/>
      <c r="E2553" s="8"/>
      <c r="F2553" s="6"/>
      <c r="G2553" s="33"/>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B1488" r:id="rId1487" xr:uid="{00000000-0004-0000-0000-0000CE050000}"/>
    <hyperlink ref="C1488" r:id="rId1488" xr:uid="{00000000-0004-0000-0000-0000CF050000}"/>
    <hyperlink ref="B1489" r:id="rId1489" xr:uid="{00000000-0004-0000-0000-0000D0050000}"/>
    <hyperlink ref="C1489" r:id="rId1490" xr:uid="{00000000-0004-0000-0000-0000D1050000}"/>
    <hyperlink ref="C1490" r:id="rId1491" xr:uid="{00000000-0004-0000-0000-0000D2050000}"/>
    <hyperlink ref="C1491" r:id="rId1492" xr:uid="{00000000-0004-0000-0000-0000D3050000}"/>
    <hyperlink ref="C1492" r:id="rId1493" xr:uid="{00000000-0004-0000-0000-0000D4050000}"/>
    <hyperlink ref="C1493" r:id="rId1494" xr:uid="{00000000-0004-0000-0000-0000D5050000}"/>
    <hyperlink ref="C1494" r:id="rId1495" xr:uid="{00000000-0004-0000-0000-0000D6050000}"/>
    <hyperlink ref="C1495" r:id="rId1496" xr:uid="{00000000-0004-0000-0000-0000D7050000}"/>
    <hyperlink ref="C1496" r:id="rId1497" xr:uid="{00000000-0004-0000-0000-0000D8050000}"/>
    <hyperlink ref="C1497" r:id="rId1498" xr:uid="{00000000-0004-0000-0000-0000D9050000}"/>
    <hyperlink ref="C1498" r:id="rId1499" xr:uid="{00000000-0004-0000-0000-0000DA050000}"/>
    <hyperlink ref="C1499" r:id="rId1500" xr:uid="{00000000-0004-0000-0000-0000DB050000}"/>
    <hyperlink ref="C1500" r:id="rId1501" xr:uid="{00000000-0004-0000-0000-0000DC050000}"/>
    <hyperlink ref="C1501" r:id="rId1502" xr:uid="{00000000-0004-0000-0000-0000DD050000}"/>
    <hyperlink ref="C1502" r:id="rId1503" xr:uid="{00000000-0004-0000-0000-0000DE050000}"/>
    <hyperlink ref="C1503" r:id="rId1504" xr:uid="{00000000-0004-0000-0000-0000DF050000}"/>
    <hyperlink ref="C1504" r:id="rId1505" xr:uid="{00000000-0004-0000-0000-0000E0050000}"/>
    <hyperlink ref="C1505" r:id="rId1506" xr:uid="{00000000-0004-0000-0000-0000E1050000}"/>
    <hyperlink ref="C1506" r:id="rId1507" xr:uid="{00000000-0004-0000-0000-0000E2050000}"/>
    <hyperlink ref="C1507" r:id="rId1508" xr:uid="{00000000-0004-0000-0000-0000E3050000}"/>
    <hyperlink ref="C1508" r:id="rId1509" xr:uid="{00000000-0004-0000-0000-0000E4050000}"/>
    <hyperlink ref="C1509" r:id="rId1510" xr:uid="{00000000-0004-0000-0000-0000E5050000}"/>
    <hyperlink ref="C1510" r:id="rId1511" xr:uid="{00000000-0004-0000-0000-0000E6050000}"/>
    <hyperlink ref="C1511" r:id="rId1512" xr:uid="{00000000-0004-0000-0000-0000E7050000}"/>
    <hyperlink ref="C1512" r:id="rId1513" xr:uid="{00000000-0004-0000-0000-0000E8050000}"/>
    <hyperlink ref="C1513" r:id="rId1514" xr:uid="{00000000-0004-0000-0000-0000E9050000}"/>
    <hyperlink ref="C1514" r:id="rId1515" xr:uid="{00000000-0004-0000-0000-0000EA050000}"/>
    <hyperlink ref="C1515" r:id="rId1516" xr:uid="{00000000-0004-0000-0000-0000EB050000}"/>
    <hyperlink ref="C1516" r:id="rId1517" xr:uid="{00000000-0004-0000-0000-0000EC050000}"/>
    <hyperlink ref="C1517" r:id="rId1518" xr:uid="{00000000-0004-0000-0000-0000ED050000}"/>
    <hyperlink ref="C1518" r:id="rId1519" xr:uid="{00000000-0004-0000-0000-0000EE050000}"/>
    <hyperlink ref="C1519" r:id="rId1520" xr:uid="{00000000-0004-0000-0000-0000EF050000}"/>
    <hyperlink ref="C1520" r:id="rId1521" xr:uid="{00000000-0004-0000-0000-0000F0050000}"/>
    <hyperlink ref="C1521" r:id="rId1522" xr:uid="{00000000-0004-0000-0000-0000F1050000}"/>
    <hyperlink ref="C1522" r:id="rId1523" xr:uid="{00000000-0004-0000-0000-0000F2050000}"/>
    <hyperlink ref="C1523" r:id="rId1524" xr:uid="{00000000-0004-0000-0000-0000F3050000}"/>
    <hyperlink ref="C1524" r:id="rId1525" xr:uid="{00000000-0004-0000-0000-0000F4050000}"/>
    <hyperlink ref="C1525" r:id="rId1526" xr:uid="{00000000-0004-0000-0000-0000F5050000}"/>
    <hyperlink ref="C1526" r:id="rId1527" xr:uid="{00000000-0004-0000-0000-0000F6050000}"/>
    <hyperlink ref="C1527" r:id="rId1528" xr:uid="{00000000-0004-0000-0000-0000F7050000}"/>
    <hyperlink ref="C1528" r:id="rId1529" xr:uid="{00000000-0004-0000-0000-0000F8050000}"/>
    <hyperlink ref="C1529" r:id="rId1530" xr:uid="{00000000-0004-0000-0000-0000F9050000}"/>
    <hyperlink ref="C1530" r:id="rId1531" xr:uid="{00000000-0004-0000-0000-0000FA050000}"/>
    <hyperlink ref="C1531" r:id="rId1532" xr:uid="{00000000-0004-0000-0000-0000FB050000}"/>
    <hyperlink ref="C1532" r:id="rId1533" xr:uid="{00000000-0004-0000-0000-0000FC050000}"/>
    <hyperlink ref="C1533" r:id="rId1534" xr:uid="{00000000-0004-0000-0000-0000FD050000}"/>
    <hyperlink ref="C1534" r:id="rId1535" xr:uid="{00000000-0004-0000-0000-0000FE050000}"/>
    <hyperlink ref="C1535" r:id="rId1536" xr:uid="{00000000-0004-0000-0000-0000FF050000}"/>
    <hyperlink ref="C1536" r:id="rId1537" xr:uid="{00000000-0004-0000-0000-000000060000}"/>
    <hyperlink ref="C1537" r:id="rId1538" xr:uid="{00000000-0004-0000-0000-000001060000}"/>
    <hyperlink ref="C1538" r:id="rId1539" xr:uid="{00000000-0004-0000-0000-000002060000}"/>
    <hyperlink ref="C1539" r:id="rId1540" xr:uid="{00000000-0004-0000-0000-000003060000}"/>
    <hyperlink ref="C1540" r:id="rId1541" xr:uid="{00000000-0004-0000-0000-000004060000}"/>
    <hyperlink ref="C1541" r:id="rId1542" xr:uid="{00000000-0004-0000-0000-000005060000}"/>
    <hyperlink ref="C1542" r:id="rId1543" xr:uid="{00000000-0004-0000-0000-000006060000}"/>
    <hyperlink ref="C1543" r:id="rId1544" xr:uid="{00000000-0004-0000-0000-000007060000}"/>
    <hyperlink ref="C1544" r:id="rId1545" xr:uid="{00000000-0004-0000-0000-000008060000}"/>
    <hyperlink ref="C1545" r:id="rId1546" xr:uid="{00000000-0004-0000-0000-000009060000}"/>
    <hyperlink ref="C1546" r:id="rId1547" xr:uid="{00000000-0004-0000-0000-00000A060000}"/>
    <hyperlink ref="C1547" r:id="rId1548" xr:uid="{00000000-0004-0000-0000-00000B060000}"/>
    <hyperlink ref="C1548" r:id="rId1549" xr:uid="{00000000-0004-0000-0000-00000C060000}"/>
    <hyperlink ref="C1549" r:id="rId1550" xr:uid="{00000000-0004-0000-0000-00000D060000}"/>
    <hyperlink ref="C1550" r:id="rId1551" xr:uid="{00000000-0004-0000-0000-00000E060000}"/>
    <hyperlink ref="C1551" r:id="rId1552" xr:uid="{00000000-0004-0000-0000-00000F060000}"/>
    <hyperlink ref="C1552" r:id="rId1553" xr:uid="{00000000-0004-0000-0000-000010060000}"/>
    <hyperlink ref="C1553" r:id="rId1554" xr:uid="{00000000-0004-0000-0000-000011060000}"/>
    <hyperlink ref="C1554" r:id="rId1555" xr:uid="{00000000-0004-0000-0000-000012060000}"/>
    <hyperlink ref="C1555" r:id="rId1556" xr:uid="{00000000-0004-0000-0000-000013060000}"/>
    <hyperlink ref="C1556" r:id="rId1557" xr:uid="{00000000-0004-0000-0000-000014060000}"/>
    <hyperlink ref="C1557" r:id="rId1558" xr:uid="{00000000-0004-0000-0000-000015060000}"/>
    <hyperlink ref="C1558" r:id="rId1559" xr:uid="{00000000-0004-0000-0000-000016060000}"/>
    <hyperlink ref="C1559" r:id="rId1560" xr:uid="{00000000-0004-0000-0000-000017060000}"/>
    <hyperlink ref="C1560" r:id="rId1561" xr:uid="{00000000-0004-0000-0000-000018060000}"/>
    <hyperlink ref="C1561" r:id="rId1562" xr:uid="{00000000-0004-0000-0000-000019060000}"/>
    <hyperlink ref="C1562" r:id="rId1563" xr:uid="{00000000-0004-0000-0000-00001A060000}"/>
    <hyperlink ref="C1563" r:id="rId1564" xr:uid="{00000000-0004-0000-0000-00001B060000}"/>
    <hyperlink ref="C1564" r:id="rId1565" xr:uid="{00000000-0004-0000-0000-00001C060000}"/>
    <hyperlink ref="C1565" r:id="rId1566" xr:uid="{00000000-0004-0000-0000-00001D060000}"/>
    <hyperlink ref="C1566" r:id="rId1567" xr:uid="{00000000-0004-0000-0000-00001E060000}"/>
    <hyperlink ref="C1567" r:id="rId1568" xr:uid="{00000000-0004-0000-0000-00001F060000}"/>
    <hyperlink ref="C1568" r:id="rId1569" xr:uid="{00000000-0004-0000-0000-000020060000}"/>
    <hyperlink ref="C1569" r:id="rId1570" xr:uid="{00000000-0004-0000-0000-000021060000}"/>
    <hyperlink ref="C1570" r:id="rId1571" xr:uid="{00000000-0004-0000-0000-000022060000}"/>
    <hyperlink ref="C1571" r:id="rId1572" xr:uid="{00000000-0004-0000-0000-000023060000}"/>
    <hyperlink ref="C1572" r:id="rId1573" xr:uid="{00000000-0004-0000-0000-000024060000}"/>
    <hyperlink ref="C1573" r:id="rId1574" xr:uid="{00000000-0004-0000-0000-000025060000}"/>
    <hyperlink ref="C1574" r:id="rId1575" xr:uid="{00000000-0004-0000-0000-000026060000}"/>
    <hyperlink ref="C1575" r:id="rId1576" xr:uid="{00000000-0004-0000-0000-000027060000}"/>
    <hyperlink ref="C1576" r:id="rId1577" xr:uid="{00000000-0004-0000-0000-000028060000}"/>
    <hyperlink ref="C1577" r:id="rId1578" xr:uid="{00000000-0004-0000-0000-000029060000}"/>
    <hyperlink ref="C1578" r:id="rId1579" xr:uid="{00000000-0004-0000-0000-00002A060000}"/>
    <hyperlink ref="C1579" r:id="rId1580" xr:uid="{00000000-0004-0000-0000-00002B060000}"/>
    <hyperlink ref="C1580" r:id="rId1581" xr:uid="{00000000-0004-0000-0000-00002C060000}"/>
    <hyperlink ref="C1581" r:id="rId1582" xr:uid="{00000000-0004-0000-0000-00002D060000}"/>
    <hyperlink ref="C1582" r:id="rId1583" xr:uid="{00000000-0004-0000-0000-00002E060000}"/>
    <hyperlink ref="C1583" r:id="rId1584" xr:uid="{00000000-0004-0000-0000-00002F060000}"/>
    <hyperlink ref="C1584" r:id="rId1585" xr:uid="{00000000-0004-0000-0000-000030060000}"/>
    <hyperlink ref="C1585" r:id="rId1586" xr:uid="{00000000-0004-0000-0000-000031060000}"/>
    <hyperlink ref="C1586" r:id="rId1587" xr:uid="{00000000-0004-0000-0000-000032060000}"/>
    <hyperlink ref="C1587" r:id="rId1588" xr:uid="{00000000-0004-0000-0000-000033060000}"/>
    <hyperlink ref="C1588" r:id="rId1589" xr:uid="{00000000-0004-0000-0000-000034060000}"/>
    <hyperlink ref="C1589" r:id="rId1590" xr:uid="{00000000-0004-0000-0000-000035060000}"/>
    <hyperlink ref="C1590" r:id="rId1591" xr:uid="{00000000-0004-0000-0000-000036060000}"/>
    <hyperlink ref="C1591" r:id="rId1592" xr:uid="{00000000-0004-0000-0000-000037060000}"/>
    <hyperlink ref="C1592" r:id="rId1593" xr:uid="{00000000-0004-0000-0000-000038060000}"/>
    <hyperlink ref="C1593" r:id="rId1594" xr:uid="{00000000-0004-0000-0000-000039060000}"/>
    <hyperlink ref="C1594" r:id="rId1595" xr:uid="{00000000-0004-0000-0000-00003A060000}"/>
    <hyperlink ref="C1595" r:id="rId1596" xr:uid="{00000000-0004-0000-0000-00003B060000}"/>
    <hyperlink ref="C1596" r:id="rId1597" xr:uid="{00000000-0004-0000-0000-00003C060000}"/>
    <hyperlink ref="C1597" r:id="rId1598" xr:uid="{00000000-0004-0000-0000-00003D060000}"/>
    <hyperlink ref="C1598" r:id="rId1599" xr:uid="{00000000-0004-0000-0000-00003E060000}"/>
    <hyperlink ref="C1599" r:id="rId1600" xr:uid="{00000000-0004-0000-0000-00003F060000}"/>
    <hyperlink ref="C1600" r:id="rId1601" xr:uid="{00000000-0004-0000-0000-000040060000}"/>
    <hyperlink ref="C1601" r:id="rId1602" xr:uid="{00000000-0004-0000-0000-000041060000}"/>
    <hyperlink ref="C1602" r:id="rId1603" xr:uid="{00000000-0004-0000-0000-000042060000}"/>
    <hyperlink ref="C1603" r:id="rId1604" xr:uid="{00000000-0004-0000-0000-000043060000}"/>
    <hyperlink ref="C1604" r:id="rId1605" xr:uid="{00000000-0004-0000-0000-000044060000}"/>
    <hyperlink ref="C1605" r:id="rId1606" xr:uid="{00000000-0004-0000-0000-000045060000}"/>
    <hyperlink ref="C1606" r:id="rId1607" xr:uid="{00000000-0004-0000-0000-000046060000}"/>
    <hyperlink ref="C1607" r:id="rId1608" xr:uid="{00000000-0004-0000-0000-000047060000}"/>
    <hyperlink ref="C1608" r:id="rId1609" xr:uid="{00000000-0004-0000-0000-000048060000}"/>
    <hyperlink ref="C1609" r:id="rId1610" xr:uid="{00000000-0004-0000-0000-000049060000}"/>
    <hyperlink ref="C1610" r:id="rId1611" xr:uid="{00000000-0004-0000-0000-00004A060000}"/>
    <hyperlink ref="C1611" r:id="rId1612" xr:uid="{00000000-0004-0000-0000-00004B060000}"/>
    <hyperlink ref="C1612" r:id="rId1613" xr:uid="{00000000-0004-0000-0000-00004C060000}"/>
    <hyperlink ref="C1613" r:id="rId1614" xr:uid="{00000000-0004-0000-0000-00004D060000}"/>
    <hyperlink ref="C1614" r:id="rId1615" xr:uid="{00000000-0004-0000-0000-00004E060000}"/>
    <hyperlink ref="C1615" r:id="rId1616" xr:uid="{00000000-0004-0000-0000-00004F060000}"/>
    <hyperlink ref="C1616" r:id="rId1617" xr:uid="{00000000-0004-0000-0000-000050060000}"/>
    <hyperlink ref="C1617" r:id="rId1618" xr:uid="{00000000-0004-0000-0000-000051060000}"/>
    <hyperlink ref="C1618" r:id="rId1619" xr:uid="{00000000-0004-0000-0000-000052060000}"/>
    <hyperlink ref="C1619" r:id="rId1620" xr:uid="{00000000-0004-0000-0000-000053060000}"/>
    <hyperlink ref="C1620" r:id="rId1621" xr:uid="{00000000-0004-0000-0000-000054060000}"/>
    <hyperlink ref="C1621" r:id="rId1622" xr:uid="{00000000-0004-0000-0000-000055060000}"/>
    <hyperlink ref="C1622" r:id="rId1623" xr:uid="{00000000-0004-0000-0000-000056060000}"/>
    <hyperlink ref="C1623" r:id="rId1624" xr:uid="{00000000-0004-0000-0000-000057060000}"/>
    <hyperlink ref="C1624" r:id="rId1625" xr:uid="{00000000-0004-0000-0000-000058060000}"/>
    <hyperlink ref="C1625" r:id="rId1626" xr:uid="{00000000-0004-0000-0000-000059060000}"/>
    <hyperlink ref="C1626" r:id="rId1627" xr:uid="{00000000-0004-0000-0000-00005A060000}"/>
    <hyperlink ref="C1627" r:id="rId1628" xr:uid="{00000000-0004-0000-0000-00005B060000}"/>
    <hyperlink ref="C1628" r:id="rId1629" xr:uid="{00000000-0004-0000-0000-00005C060000}"/>
    <hyperlink ref="C1629" r:id="rId1630" xr:uid="{00000000-0004-0000-0000-00005D060000}"/>
    <hyperlink ref="C1630" r:id="rId1631" xr:uid="{00000000-0004-0000-0000-00005E060000}"/>
    <hyperlink ref="C1631" r:id="rId1632" xr:uid="{00000000-0004-0000-0000-00005F060000}"/>
    <hyperlink ref="C1632" r:id="rId1633" xr:uid="{00000000-0004-0000-0000-000060060000}"/>
    <hyperlink ref="C1633" r:id="rId1634" xr:uid="{00000000-0004-0000-0000-000061060000}"/>
    <hyperlink ref="C1634" r:id="rId1635" xr:uid="{00000000-0004-0000-0000-000062060000}"/>
    <hyperlink ref="C1635" r:id="rId1636" xr:uid="{00000000-0004-0000-0000-000063060000}"/>
    <hyperlink ref="C1636" r:id="rId1637" xr:uid="{00000000-0004-0000-0000-000064060000}"/>
    <hyperlink ref="C1637" r:id="rId1638" xr:uid="{00000000-0004-0000-0000-000065060000}"/>
    <hyperlink ref="C1638" r:id="rId1639" xr:uid="{00000000-0004-0000-0000-000066060000}"/>
    <hyperlink ref="C1639" r:id="rId1640" xr:uid="{00000000-0004-0000-0000-000067060000}"/>
    <hyperlink ref="C1640" r:id="rId1641" xr:uid="{00000000-0004-0000-0000-000068060000}"/>
    <hyperlink ref="C1641" r:id="rId1642" xr:uid="{00000000-0004-0000-0000-000069060000}"/>
    <hyperlink ref="C1642" r:id="rId1643" xr:uid="{00000000-0004-0000-0000-00006A060000}"/>
    <hyperlink ref="C1643" r:id="rId1644" xr:uid="{00000000-0004-0000-0000-00006B060000}"/>
    <hyperlink ref="C1644" r:id="rId1645" xr:uid="{00000000-0004-0000-0000-00006C060000}"/>
    <hyperlink ref="C1645" r:id="rId1646" xr:uid="{00000000-0004-0000-0000-00006D060000}"/>
    <hyperlink ref="C1646" r:id="rId1647" xr:uid="{00000000-0004-0000-0000-00006E060000}"/>
    <hyperlink ref="C1647" r:id="rId1648" xr:uid="{00000000-0004-0000-0000-00006F060000}"/>
    <hyperlink ref="C1648" r:id="rId1649" xr:uid="{00000000-0004-0000-0000-000070060000}"/>
    <hyperlink ref="C1649" r:id="rId1650" xr:uid="{00000000-0004-0000-0000-000071060000}"/>
    <hyperlink ref="C1650" r:id="rId1651" xr:uid="{00000000-0004-0000-0000-000072060000}"/>
    <hyperlink ref="C1651" r:id="rId1652" xr:uid="{00000000-0004-0000-0000-000073060000}"/>
    <hyperlink ref="C1652" r:id="rId1653" xr:uid="{00000000-0004-0000-0000-000074060000}"/>
    <hyperlink ref="C1653" r:id="rId1654" xr:uid="{00000000-0004-0000-0000-000075060000}"/>
    <hyperlink ref="C1654" r:id="rId1655" xr:uid="{00000000-0004-0000-0000-000076060000}"/>
    <hyperlink ref="C1655" r:id="rId1656" xr:uid="{00000000-0004-0000-0000-000077060000}"/>
    <hyperlink ref="C1656" r:id="rId1657" xr:uid="{00000000-0004-0000-0000-000078060000}"/>
    <hyperlink ref="C1657" r:id="rId1658" xr:uid="{00000000-0004-0000-0000-000079060000}"/>
    <hyperlink ref="C1658" r:id="rId1659" xr:uid="{00000000-0004-0000-0000-00007A060000}"/>
    <hyperlink ref="C1659" r:id="rId1660" xr:uid="{00000000-0004-0000-0000-00007B060000}"/>
    <hyperlink ref="C1660" r:id="rId1661" xr:uid="{00000000-0004-0000-0000-00007C060000}"/>
    <hyperlink ref="C1661" r:id="rId1662" xr:uid="{00000000-0004-0000-0000-00007D060000}"/>
    <hyperlink ref="C1662" r:id="rId1663" xr:uid="{00000000-0004-0000-0000-00007E060000}"/>
    <hyperlink ref="C1663" r:id="rId1664" xr:uid="{00000000-0004-0000-0000-00007F060000}"/>
    <hyperlink ref="C1664" r:id="rId1665" xr:uid="{00000000-0004-0000-0000-000080060000}"/>
    <hyperlink ref="C1665" r:id="rId1666" xr:uid="{00000000-0004-0000-0000-000081060000}"/>
    <hyperlink ref="C1666" r:id="rId1667" xr:uid="{00000000-0004-0000-0000-000082060000}"/>
    <hyperlink ref="C1667" r:id="rId1668" xr:uid="{00000000-0004-0000-0000-000083060000}"/>
    <hyperlink ref="C1668" r:id="rId1669" xr:uid="{00000000-0004-0000-0000-000084060000}"/>
    <hyperlink ref="C1669" r:id="rId1670" xr:uid="{00000000-0004-0000-0000-000085060000}"/>
    <hyperlink ref="C1670" r:id="rId1671" xr:uid="{00000000-0004-0000-0000-000086060000}"/>
    <hyperlink ref="C1671" r:id="rId1672" xr:uid="{00000000-0004-0000-0000-000087060000}"/>
    <hyperlink ref="C1672" r:id="rId1673" xr:uid="{00000000-0004-0000-0000-000088060000}"/>
    <hyperlink ref="C1673" r:id="rId1674" xr:uid="{00000000-0004-0000-0000-000089060000}"/>
    <hyperlink ref="C1674" r:id="rId1675" xr:uid="{00000000-0004-0000-0000-00008A060000}"/>
    <hyperlink ref="C1675" r:id="rId1676" xr:uid="{00000000-0004-0000-0000-00008B060000}"/>
    <hyperlink ref="C1676" r:id="rId1677" xr:uid="{00000000-0004-0000-0000-00008C060000}"/>
    <hyperlink ref="C1677" r:id="rId1678" xr:uid="{00000000-0004-0000-0000-00008D060000}"/>
    <hyperlink ref="C1678" r:id="rId1679" xr:uid="{00000000-0004-0000-0000-00008E060000}"/>
    <hyperlink ref="C1679" r:id="rId1680" xr:uid="{00000000-0004-0000-0000-00008F060000}"/>
    <hyperlink ref="C1680" r:id="rId1681" xr:uid="{00000000-0004-0000-0000-000090060000}"/>
    <hyperlink ref="C1681" r:id="rId1682" xr:uid="{00000000-0004-0000-0000-000091060000}"/>
    <hyperlink ref="C1682" r:id="rId1683" xr:uid="{00000000-0004-0000-0000-000092060000}"/>
    <hyperlink ref="C1683" r:id="rId1684" xr:uid="{00000000-0004-0000-0000-000093060000}"/>
    <hyperlink ref="C1684" r:id="rId1685" xr:uid="{00000000-0004-0000-0000-000094060000}"/>
    <hyperlink ref="C1685" r:id="rId1686" xr:uid="{00000000-0004-0000-0000-000095060000}"/>
    <hyperlink ref="C1686" r:id="rId1687" xr:uid="{00000000-0004-0000-0000-000096060000}"/>
    <hyperlink ref="C1687" r:id="rId1688" xr:uid="{00000000-0004-0000-0000-000097060000}"/>
    <hyperlink ref="C1688" r:id="rId1689" xr:uid="{00000000-0004-0000-0000-000098060000}"/>
    <hyperlink ref="C1689" r:id="rId1690" xr:uid="{00000000-0004-0000-0000-000099060000}"/>
    <hyperlink ref="C1690" r:id="rId1691" xr:uid="{00000000-0004-0000-0000-00009A060000}"/>
    <hyperlink ref="C1691" r:id="rId1692" xr:uid="{00000000-0004-0000-0000-00009B060000}"/>
    <hyperlink ref="C1692" r:id="rId1693" xr:uid="{00000000-0004-0000-0000-00009C060000}"/>
    <hyperlink ref="C1693" r:id="rId1694" xr:uid="{00000000-0004-0000-0000-00009D060000}"/>
    <hyperlink ref="C1694" r:id="rId1695" xr:uid="{00000000-0004-0000-0000-00009E060000}"/>
    <hyperlink ref="C1695" r:id="rId1696" xr:uid="{00000000-0004-0000-0000-00009F060000}"/>
    <hyperlink ref="C1696" r:id="rId1697" xr:uid="{00000000-0004-0000-0000-0000A0060000}"/>
    <hyperlink ref="C1697" r:id="rId1698" xr:uid="{00000000-0004-0000-0000-0000A1060000}"/>
    <hyperlink ref="C1698" r:id="rId1699" xr:uid="{00000000-0004-0000-0000-0000A2060000}"/>
    <hyperlink ref="C1699" r:id="rId1700" xr:uid="{00000000-0004-0000-0000-0000A3060000}"/>
    <hyperlink ref="C1700" r:id="rId1701" xr:uid="{00000000-0004-0000-0000-0000A4060000}"/>
    <hyperlink ref="C1701" r:id="rId1702" xr:uid="{00000000-0004-0000-0000-0000A5060000}"/>
    <hyperlink ref="C1702" r:id="rId1703" xr:uid="{00000000-0004-0000-0000-0000A6060000}"/>
    <hyperlink ref="C1703" r:id="rId1704" xr:uid="{00000000-0004-0000-0000-0000A7060000}"/>
    <hyperlink ref="C1704" r:id="rId1705" xr:uid="{00000000-0004-0000-0000-0000A8060000}"/>
    <hyperlink ref="C1705" r:id="rId1706" xr:uid="{00000000-0004-0000-0000-0000A9060000}"/>
    <hyperlink ref="C1706" r:id="rId1707" xr:uid="{00000000-0004-0000-0000-0000AA060000}"/>
    <hyperlink ref="C1707" r:id="rId1708" xr:uid="{00000000-0004-0000-0000-0000AB060000}"/>
    <hyperlink ref="C1708" r:id="rId1709" xr:uid="{00000000-0004-0000-0000-0000AC060000}"/>
    <hyperlink ref="C1709" r:id="rId1710" xr:uid="{00000000-0004-0000-0000-0000AD060000}"/>
    <hyperlink ref="C1710" r:id="rId1711" xr:uid="{00000000-0004-0000-0000-0000AE060000}"/>
    <hyperlink ref="C1711" r:id="rId1712" xr:uid="{00000000-0004-0000-0000-0000AF060000}"/>
    <hyperlink ref="C1712" r:id="rId1713" xr:uid="{00000000-0004-0000-0000-0000B0060000}"/>
    <hyperlink ref="C1713" r:id="rId1714" xr:uid="{00000000-0004-0000-0000-0000B1060000}"/>
    <hyperlink ref="C1714" r:id="rId1715" xr:uid="{00000000-0004-0000-0000-0000B2060000}"/>
    <hyperlink ref="C1715" r:id="rId1716" xr:uid="{00000000-0004-0000-0000-0000B3060000}"/>
    <hyperlink ref="C1716" r:id="rId1717" xr:uid="{00000000-0004-0000-0000-0000B4060000}"/>
    <hyperlink ref="C1717" r:id="rId1718" xr:uid="{00000000-0004-0000-0000-0000B5060000}"/>
    <hyperlink ref="C1718" r:id="rId1719" xr:uid="{00000000-0004-0000-0000-0000B6060000}"/>
    <hyperlink ref="C1719" r:id="rId1720" xr:uid="{00000000-0004-0000-0000-0000B7060000}"/>
    <hyperlink ref="C1720" r:id="rId1721" xr:uid="{00000000-0004-0000-0000-0000B8060000}"/>
    <hyperlink ref="C1721" r:id="rId1722" xr:uid="{00000000-0004-0000-0000-0000B9060000}"/>
    <hyperlink ref="C1722" r:id="rId1723" xr:uid="{00000000-0004-0000-0000-0000BA060000}"/>
    <hyperlink ref="C1723" r:id="rId1724" xr:uid="{00000000-0004-0000-0000-0000BB060000}"/>
    <hyperlink ref="C1724" r:id="rId1725" xr:uid="{00000000-0004-0000-0000-0000BC060000}"/>
    <hyperlink ref="C1725" r:id="rId1726" xr:uid="{00000000-0004-0000-0000-0000BD060000}"/>
    <hyperlink ref="C1726" r:id="rId1727" xr:uid="{00000000-0004-0000-0000-0000BE060000}"/>
    <hyperlink ref="C1727" r:id="rId1728" xr:uid="{00000000-0004-0000-0000-0000BF060000}"/>
    <hyperlink ref="C1728" r:id="rId1729" xr:uid="{00000000-0004-0000-0000-0000C0060000}"/>
    <hyperlink ref="C1729" r:id="rId1730" xr:uid="{00000000-0004-0000-0000-0000C1060000}"/>
    <hyperlink ref="C1730" r:id="rId1731" xr:uid="{00000000-0004-0000-0000-0000C2060000}"/>
    <hyperlink ref="C1731" r:id="rId1732" xr:uid="{00000000-0004-0000-0000-0000C3060000}"/>
    <hyperlink ref="C1732" r:id="rId1733" xr:uid="{00000000-0004-0000-0000-0000C4060000}"/>
    <hyperlink ref="C1733" r:id="rId1734" xr:uid="{00000000-0004-0000-0000-0000C5060000}"/>
    <hyperlink ref="C1734" r:id="rId1735" xr:uid="{00000000-0004-0000-0000-0000C6060000}"/>
    <hyperlink ref="C1735" r:id="rId1736" xr:uid="{00000000-0004-0000-0000-0000C7060000}"/>
    <hyperlink ref="C1736" r:id="rId1737" xr:uid="{00000000-0004-0000-0000-0000C8060000}"/>
    <hyperlink ref="C1737" r:id="rId1738" xr:uid="{00000000-0004-0000-0000-0000C9060000}"/>
    <hyperlink ref="C1738" r:id="rId1739" xr:uid="{00000000-0004-0000-0000-0000CA060000}"/>
    <hyperlink ref="C1739" r:id="rId1740" xr:uid="{00000000-0004-0000-0000-0000CB060000}"/>
    <hyperlink ref="C1740" r:id="rId1741" xr:uid="{00000000-0004-0000-0000-0000CC060000}"/>
    <hyperlink ref="C1741" r:id="rId1742" xr:uid="{00000000-0004-0000-0000-0000CD060000}"/>
    <hyperlink ref="C1742" r:id="rId1743" xr:uid="{00000000-0004-0000-0000-0000CE060000}"/>
    <hyperlink ref="C1743" r:id="rId1744" xr:uid="{00000000-0004-0000-0000-0000CF060000}"/>
    <hyperlink ref="C1744" r:id="rId1745" xr:uid="{00000000-0004-0000-0000-0000D0060000}"/>
    <hyperlink ref="C1745" r:id="rId1746" xr:uid="{00000000-0004-0000-0000-0000D1060000}"/>
    <hyperlink ref="C1746" r:id="rId1747" xr:uid="{00000000-0004-0000-0000-0000D2060000}"/>
    <hyperlink ref="C1747" r:id="rId1748" xr:uid="{00000000-0004-0000-0000-0000D3060000}"/>
    <hyperlink ref="C1748" r:id="rId1749" xr:uid="{00000000-0004-0000-0000-0000D4060000}"/>
    <hyperlink ref="C1749" r:id="rId1750" xr:uid="{00000000-0004-0000-0000-0000D5060000}"/>
    <hyperlink ref="C1750" r:id="rId1751" xr:uid="{00000000-0004-0000-0000-0000D6060000}"/>
    <hyperlink ref="C1751" r:id="rId1752" xr:uid="{00000000-0004-0000-0000-0000D7060000}"/>
    <hyperlink ref="C1752" r:id="rId1753" xr:uid="{00000000-0004-0000-0000-0000D8060000}"/>
    <hyperlink ref="C1753" r:id="rId1754" xr:uid="{00000000-0004-0000-0000-0000D9060000}"/>
    <hyperlink ref="C1754" r:id="rId1755" xr:uid="{00000000-0004-0000-0000-0000DA060000}"/>
    <hyperlink ref="C1755" r:id="rId1756" xr:uid="{00000000-0004-0000-0000-0000DB060000}"/>
    <hyperlink ref="C1756" r:id="rId1757" xr:uid="{00000000-0004-0000-0000-0000DC060000}"/>
    <hyperlink ref="C1757" r:id="rId1758" xr:uid="{00000000-0004-0000-0000-0000DD060000}"/>
    <hyperlink ref="C1758" r:id="rId1759" xr:uid="{00000000-0004-0000-0000-0000DE060000}"/>
    <hyperlink ref="C1759" r:id="rId1760" xr:uid="{00000000-0004-0000-0000-0000DF060000}"/>
    <hyperlink ref="C1760" r:id="rId1761" xr:uid="{00000000-0004-0000-0000-0000E0060000}"/>
    <hyperlink ref="C1761" r:id="rId1762" xr:uid="{00000000-0004-0000-0000-0000E1060000}"/>
    <hyperlink ref="C1762" r:id="rId1763" xr:uid="{00000000-0004-0000-0000-0000E2060000}"/>
    <hyperlink ref="C1763" r:id="rId1764" xr:uid="{00000000-0004-0000-0000-0000E3060000}"/>
    <hyperlink ref="C1764" r:id="rId1765" xr:uid="{00000000-0004-0000-0000-0000E4060000}"/>
    <hyperlink ref="C1765" r:id="rId1766" xr:uid="{00000000-0004-0000-0000-0000E5060000}"/>
    <hyperlink ref="C1766" r:id="rId1767" xr:uid="{00000000-0004-0000-0000-0000E6060000}"/>
    <hyperlink ref="C1767" r:id="rId1768" xr:uid="{00000000-0004-0000-0000-0000E7060000}"/>
    <hyperlink ref="C1768" r:id="rId1769" xr:uid="{00000000-0004-0000-0000-0000E8060000}"/>
    <hyperlink ref="C1769" r:id="rId1770" xr:uid="{00000000-0004-0000-0000-0000E9060000}"/>
    <hyperlink ref="C1770" r:id="rId1771" xr:uid="{00000000-0004-0000-0000-0000EA060000}"/>
    <hyperlink ref="C1771" r:id="rId1772" xr:uid="{00000000-0004-0000-0000-0000EB060000}"/>
    <hyperlink ref="C1772" r:id="rId1773" xr:uid="{00000000-0004-0000-0000-0000EC060000}"/>
    <hyperlink ref="C1773" r:id="rId1774" xr:uid="{00000000-0004-0000-0000-0000ED060000}"/>
    <hyperlink ref="C1774" r:id="rId1775" xr:uid="{00000000-0004-0000-0000-0000EE060000}"/>
    <hyperlink ref="C1775" r:id="rId1776" xr:uid="{00000000-0004-0000-0000-0000EF060000}"/>
    <hyperlink ref="C1776" r:id="rId1777" xr:uid="{00000000-0004-0000-0000-0000F0060000}"/>
    <hyperlink ref="C1777" r:id="rId1778" xr:uid="{00000000-0004-0000-0000-0000F1060000}"/>
    <hyperlink ref="C1778" r:id="rId1779" xr:uid="{00000000-0004-0000-0000-0000F2060000}"/>
    <hyperlink ref="C1779" r:id="rId1780" xr:uid="{00000000-0004-0000-0000-0000F3060000}"/>
    <hyperlink ref="C1780" r:id="rId1781" xr:uid="{00000000-0004-0000-0000-0000F4060000}"/>
    <hyperlink ref="C1781" r:id="rId1782" xr:uid="{00000000-0004-0000-0000-0000F5060000}"/>
    <hyperlink ref="C1782" r:id="rId1783" xr:uid="{00000000-0004-0000-0000-0000F6060000}"/>
    <hyperlink ref="C1783" r:id="rId1784" xr:uid="{00000000-0004-0000-0000-0000F7060000}"/>
    <hyperlink ref="C1784" r:id="rId1785" xr:uid="{00000000-0004-0000-0000-0000F8060000}"/>
    <hyperlink ref="C1785" r:id="rId1786" xr:uid="{00000000-0004-0000-0000-0000F9060000}"/>
    <hyperlink ref="C1786" r:id="rId1787" xr:uid="{00000000-0004-0000-0000-0000FA060000}"/>
    <hyperlink ref="C1787" r:id="rId1788" xr:uid="{00000000-0004-0000-0000-0000FB060000}"/>
    <hyperlink ref="C1788" r:id="rId1789" xr:uid="{00000000-0004-0000-0000-0000FC060000}"/>
    <hyperlink ref="C1789" r:id="rId1790" xr:uid="{00000000-0004-0000-0000-0000FD060000}"/>
    <hyperlink ref="C1790" r:id="rId1791" xr:uid="{00000000-0004-0000-0000-0000FE060000}"/>
    <hyperlink ref="C1791" r:id="rId1792" xr:uid="{00000000-0004-0000-0000-0000FF060000}"/>
    <hyperlink ref="C1792" r:id="rId1793" xr:uid="{00000000-0004-0000-0000-000000070000}"/>
    <hyperlink ref="C1793" r:id="rId1794" xr:uid="{00000000-0004-0000-0000-000001070000}"/>
    <hyperlink ref="C1794" r:id="rId1795" xr:uid="{00000000-0004-0000-0000-000002070000}"/>
    <hyperlink ref="C1795" r:id="rId1796" xr:uid="{00000000-0004-0000-0000-000003070000}"/>
    <hyperlink ref="C1796" r:id="rId1797" xr:uid="{00000000-0004-0000-0000-000004070000}"/>
    <hyperlink ref="C1797" r:id="rId1798" xr:uid="{00000000-0004-0000-0000-000005070000}"/>
    <hyperlink ref="C1798" r:id="rId1799" xr:uid="{00000000-0004-0000-0000-000006070000}"/>
    <hyperlink ref="C1799" r:id="rId1800" xr:uid="{00000000-0004-0000-0000-000007070000}"/>
    <hyperlink ref="C1800" r:id="rId1801" xr:uid="{00000000-0004-0000-0000-000008070000}"/>
    <hyperlink ref="C1801" r:id="rId1802" xr:uid="{00000000-0004-0000-0000-000009070000}"/>
    <hyperlink ref="C1802" r:id="rId1803" xr:uid="{00000000-0004-0000-0000-00000A070000}"/>
    <hyperlink ref="C1803" r:id="rId1804" xr:uid="{00000000-0004-0000-0000-00000B070000}"/>
    <hyperlink ref="C1804" r:id="rId1805" xr:uid="{00000000-0004-0000-0000-00000C070000}"/>
    <hyperlink ref="C1805" r:id="rId1806" xr:uid="{00000000-0004-0000-0000-00000D070000}"/>
    <hyperlink ref="C1806" r:id="rId1807" xr:uid="{00000000-0004-0000-0000-00000E070000}"/>
    <hyperlink ref="C1807" r:id="rId1808" xr:uid="{00000000-0004-0000-0000-00000F070000}"/>
    <hyperlink ref="C1808" r:id="rId1809" xr:uid="{00000000-0004-0000-0000-000010070000}"/>
    <hyperlink ref="C1809" r:id="rId1810" xr:uid="{00000000-0004-0000-0000-000011070000}"/>
    <hyperlink ref="C1810" r:id="rId1811" xr:uid="{00000000-0004-0000-0000-000012070000}"/>
    <hyperlink ref="C1811" r:id="rId1812" xr:uid="{00000000-0004-0000-0000-000013070000}"/>
    <hyperlink ref="C1812" r:id="rId1813" xr:uid="{00000000-0004-0000-0000-000014070000}"/>
    <hyperlink ref="C1813" r:id="rId1814" xr:uid="{00000000-0004-0000-0000-000015070000}"/>
    <hyperlink ref="C1814" r:id="rId1815" xr:uid="{00000000-0004-0000-0000-000016070000}"/>
    <hyperlink ref="C1815" r:id="rId1816" xr:uid="{00000000-0004-0000-0000-000017070000}"/>
    <hyperlink ref="C1816" r:id="rId1817" xr:uid="{00000000-0004-0000-0000-000018070000}"/>
    <hyperlink ref="C1817" r:id="rId1818" xr:uid="{00000000-0004-0000-0000-000019070000}"/>
    <hyperlink ref="C1818" r:id="rId1819" xr:uid="{00000000-0004-0000-0000-00001A070000}"/>
    <hyperlink ref="C1819" r:id="rId1820" xr:uid="{00000000-0004-0000-0000-00001B070000}"/>
    <hyperlink ref="C1820" r:id="rId1821" xr:uid="{00000000-0004-0000-0000-00001C070000}"/>
    <hyperlink ref="C1821" r:id="rId1822" xr:uid="{00000000-0004-0000-0000-00001D070000}"/>
    <hyperlink ref="C1822" r:id="rId1823" xr:uid="{00000000-0004-0000-0000-00001E070000}"/>
    <hyperlink ref="C1823" r:id="rId1824" xr:uid="{00000000-0004-0000-0000-00001F070000}"/>
    <hyperlink ref="C1824" r:id="rId1825" xr:uid="{00000000-0004-0000-0000-000020070000}"/>
    <hyperlink ref="C1825" r:id="rId1826" xr:uid="{00000000-0004-0000-0000-000021070000}"/>
    <hyperlink ref="C1826" r:id="rId1827" xr:uid="{00000000-0004-0000-0000-000022070000}"/>
    <hyperlink ref="C1827" r:id="rId1828" xr:uid="{00000000-0004-0000-0000-000023070000}"/>
    <hyperlink ref="C1828" r:id="rId1829" xr:uid="{00000000-0004-0000-0000-000024070000}"/>
    <hyperlink ref="C1829" r:id="rId1830" xr:uid="{00000000-0004-0000-0000-000025070000}"/>
    <hyperlink ref="C1830" r:id="rId1831" xr:uid="{00000000-0004-0000-0000-000026070000}"/>
    <hyperlink ref="C1831" r:id="rId1832" xr:uid="{00000000-0004-0000-0000-000027070000}"/>
    <hyperlink ref="C1832" r:id="rId1833" xr:uid="{00000000-0004-0000-0000-000028070000}"/>
    <hyperlink ref="C1833" r:id="rId1834" xr:uid="{00000000-0004-0000-0000-000029070000}"/>
    <hyperlink ref="C1834" r:id="rId1835" xr:uid="{00000000-0004-0000-0000-00002A070000}"/>
    <hyperlink ref="C1835" r:id="rId1836" xr:uid="{00000000-0004-0000-0000-00002B070000}"/>
    <hyperlink ref="C1836" r:id="rId1837" xr:uid="{00000000-0004-0000-0000-00002C070000}"/>
    <hyperlink ref="C1837" r:id="rId1838" xr:uid="{00000000-0004-0000-0000-00002D070000}"/>
    <hyperlink ref="C1838" r:id="rId1839" xr:uid="{00000000-0004-0000-0000-00002E070000}"/>
    <hyperlink ref="C1839" r:id="rId1840" xr:uid="{00000000-0004-0000-0000-00002F070000}"/>
    <hyperlink ref="C1840" r:id="rId1841" xr:uid="{00000000-0004-0000-0000-000030070000}"/>
    <hyperlink ref="C1841" r:id="rId1842" xr:uid="{00000000-0004-0000-0000-000031070000}"/>
    <hyperlink ref="C1842" r:id="rId1843" xr:uid="{00000000-0004-0000-0000-000032070000}"/>
    <hyperlink ref="C1843" r:id="rId1844" xr:uid="{00000000-0004-0000-0000-000033070000}"/>
    <hyperlink ref="C1844" r:id="rId1845" xr:uid="{00000000-0004-0000-0000-000034070000}"/>
    <hyperlink ref="C1845" r:id="rId1846" xr:uid="{00000000-0004-0000-0000-000035070000}"/>
    <hyperlink ref="C1846" r:id="rId1847" xr:uid="{00000000-0004-0000-0000-000036070000}"/>
    <hyperlink ref="C1847" r:id="rId1848" xr:uid="{00000000-0004-0000-0000-000037070000}"/>
    <hyperlink ref="C1848" r:id="rId1849" xr:uid="{00000000-0004-0000-0000-000038070000}"/>
    <hyperlink ref="C1849" r:id="rId1850" xr:uid="{00000000-0004-0000-0000-000039070000}"/>
    <hyperlink ref="C1850" r:id="rId1851" xr:uid="{00000000-0004-0000-0000-00003A070000}"/>
    <hyperlink ref="C1851" r:id="rId1852" xr:uid="{00000000-0004-0000-0000-00003B070000}"/>
    <hyperlink ref="C1852" r:id="rId1853" xr:uid="{00000000-0004-0000-0000-00003C070000}"/>
    <hyperlink ref="C1853" r:id="rId1854" xr:uid="{00000000-0004-0000-0000-00003D070000}"/>
    <hyperlink ref="C1854" r:id="rId1855" xr:uid="{00000000-0004-0000-0000-00003E070000}"/>
    <hyperlink ref="C1855" r:id="rId1856" xr:uid="{00000000-0004-0000-0000-00003F070000}"/>
    <hyperlink ref="C1856" r:id="rId1857" xr:uid="{00000000-0004-0000-0000-000040070000}"/>
    <hyperlink ref="C1857" r:id="rId1858" xr:uid="{00000000-0004-0000-0000-000041070000}"/>
    <hyperlink ref="C1858" r:id="rId1859" xr:uid="{00000000-0004-0000-0000-000042070000}"/>
    <hyperlink ref="C1859" r:id="rId1860" xr:uid="{00000000-0004-0000-0000-000043070000}"/>
    <hyperlink ref="C1860" r:id="rId1861" xr:uid="{00000000-0004-0000-0000-000044070000}"/>
    <hyperlink ref="C1861" r:id="rId1862" xr:uid="{00000000-0004-0000-0000-000045070000}"/>
    <hyperlink ref="C1862" r:id="rId1863" xr:uid="{00000000-0004-0000-0000-000046070000}"/>
    <hyperlink ref="C1863" r:id="rId1864" xr:uid="{00000000-0004-0000-0000-000047070000}"/>
    <hyperlink ref="C1864" r:id="rId1865" xr:uid="{00000000-0004-0000-0000-000048070000}"/>
    <hyperlink ref="C1865" r:id="rId1866" xr:uid="{00000000-0004-0000-0000-000049070000}"/>
    <hyperlink ref="C1866" r:id="rId1867" xr:uid="{00000000-0004-0000-0000-00004A070000}"/>
    <hyperlink ref="C1867" r:id="rId1868" xr:uid="{00000000-0004-0000-0000-00004B070000}"/>
    <hyperlink ref="C1868" r:id="rId1869" xr:uid="{00000000-0004-0000-0000-00004C070000}"/>
    <hyperlink ref="C1869" r:id="rId1870" xr:uid="{00000000-0004-0000-0000-00004D070000}"/>
    <hyperlink ref="C1870" r:id="rId1871" xr:uid="{00000000-0004-0000-0000-00004E070000}"/>
    <hyperlink ref="C1871" r:id="rId1872" xr:uid="{00000000-0004-0000-0000-00004F070000}"/>
    <hyperlink ref="C1872" r:id="rId1873" xr:uid="{00000000-0004-0000-0000-000050070000}"/>
    <hyperlink ref="C1873" r:id="rId1874" xr:uid="{00000000-0004-0000-0000-000051070000}"/>
    <hyperlink ref="C1874" r:id="rId1875" xr:uid="{00000000-0004-0000-0000-000052070000}"/>
    <hyperlink ref="C1875" r:id="rId1876" xr:uid="{00000000-0004-0000-0000-000053070000}"/>
    <hyperlink ref="C1876" r:id="rId1877" xr:uid="{00000000-0004-0000-0000-000054070000}"/>
    <hyperlink ref="C1877" r:id="rId1878" xr:uid="{00000000-0004-0000-0000-000055070000}"/>
    <hyperlink ref="C1878" r:id="rId1879" xr:uid="{00000000-0004-0000-0000-000056070000}"/>
    <hyperlink ref="C1879" r:id="rId1880" xr:uid="{00000000-0004-0000-0000-000057070000}"/>
    <hyperlink ref="C1880" r:id="rId1881" xr:uid="{00000000-0004-0000-0000-000058070000}"/>
    <hyperlink ref="C1881" r:id="rId1882" xr:uid="{00000000-0004-0000-0000-000059070000}"/>
    <hyperlink ref="C1882" r:id="rId1883" xr:uid="{00000000-0004-0000-0000-00005A070000}"/>
    <hyperlink ref="C1883" r:id="rId1884" xr:uid="{00000000-0004-0000-0000-00005B070000}"/>
    <hyperlink ref="C1884" r:id="rId1885" xr:uid="{00000000-0004-0000-0000-00005C070000}"/>
    <hyperlink ref="C1885" r:id="rId1886" xr:uid="{00000000-0004-0000-0000-00005D070000}"/>
    <hyperlink ref="C1886" r:id="rId1887" xr:uid="{00000000-0004-0000-0000-00005E070000}"/>
    <hyperlink ref="C1887" r:id="rId1888" xr:uid="{00000000-0004-0000-0000-00005F070000}"/>
    <hyperlink ref="C1888" r:id="rId1889" xr:uid="{00000000-0004-0000-0000-000060070000}"/>
    <hyperlink ref="C1889" r:id="rId1890" xr:uid="{00000000-0004-0000-0000-000061070000}"/>
    <hyperlink ref="C1890" r:id="rId1891" xr:uid="{00000000-0004-0000-0000-000062070000}"/>
    <hyperlink ref="C1891" r:id="rId1892" xr:uid="{00000000-0004-0000-0000-000063070000}"/>
    <hyperlink ref="C1892" r:id="rId1893" xr:uid="{00000000-0004-0000-0000-000064070000}"/>
    <hyperlink ref="C1893" r:id="rId1894" xr:uid="{00000000-0004-0000-0000-000065070000}"/>
    <hyperlink ref="C1894" r:id="rId1895" xr:uid="{00000000-0004-0000-0000-000066070000}"/>
    <hyperlink ref="C1895" r:id="rId1896" xr:uid="{00000000-0004-0000-0000-000067070000}"/>
    <hyperlink ref="C1896" r:id="rId1897" xr:uid="{00000000-0004-0000-0000-000068070000}"/>
    <hyperlink ref="C1897" r:id="rId1898" xr:uid="{00000000-0004-0000-0000-000069070000}"/>
    <hyperlink ref="C1898" r:id="rId1899" xr:uid="{00000000-0004-0000-0000-00006A070000}"/>
    <hyperlink ref="C1899" r:id="rId1900" xr:uid="{00000000-0004-0000-0000-00006B070000}"/>
    <hyperlink ref="C1900" r:id="rId1901" xr:uid="{00000000-0004-0000-0000-00006C070000}"/>
    <hyperlink ref="C1901" r:id="rId1902" xr:uid="{00000000-0004-0000-0000-00006D070000}"/>
    <hyperlink ref="C1902" r:id="rId1903" xr:uid="{00000000-0004-0000-0000-00006E070000}"/>
    <hyperlink ref="C1903" r:id="rId1904" xr:uid="{00000000-0004-0000-0000-00006F070000}"/>
    <hyperlink ref="C1904" r:id="rId1905" xr:uid="{00000000-0004-0000-0000-000070070000}"/>
    <hyperlink ref="C1905" r:id="rId1906" xr:uid="{00000000-0004-0000-0000-000071070000}"/>
    <hyperlink ref="C1906" r:id="rId1907" xr:uid="{00000000-0004-0000-0000-000072070000}"/>
    <hyperlink ref="C1907" r:id="rId1908" xr:uid="{00000000-0004-0000-0000-000073070000}"/>
    <hyperlink ref="C1908" r:id="rId1909" xr:uid="{00000000-0004-0000-0000-000074070000}"/>
    <hyperlink ref="C1909" r:id="rId1910" xr:uid="{00000000-0004-0000-0000-000075070000}"/>
    <hyperlink ref="C1910" r:id="rId1911" xr:uid="{00000000-0004-0000-0000-000076070000}"/>
    <hyperlink ref="C1911" r:id="rId1912" xr:uid="{00000000-0004-0000-0000-000077070000}"/>
    <hyperlink ref="C1912" r:id="rId1913" xr:uid="{00000000-0004-0000-0000-000078070000}"/>
    <hyperlink ref="C1913" r:id="rId1914" xr:uid="{00000000-0004-0000-0000-000079070000}"/>
    <hyperlink ref="C1914" r:id="rId1915" xr:uid="{00000000-0004-0000-0000-00007A070000}"/>
    <hyperlink ref="C1915" r:id="rId1916" xr:uid="{00000000-0004-0000-0000-00007B070000}"/>
    <hyperlink ref="C1916" r:id="rId1917" xr:uid="{00000000-0004-0000-0000-00007C070000}"/>
    <hyperlink ref="C1917" r:id="rId1918" xr:uid="{00000000-0004-0000-0000-00007D070000}"/>
    <hyperlink ref="C1918" r:id="rId1919" xr:uid="{00000000-0004-0000-0000-00007E070000}"/>
    <hyperlink ref="C1919" r:id="rId1920" xr:uid="{00000000-0004-0000-0000-00007F070000}"/>
    <hyperlink ref="C1920" r:id="rId1921" xr:uid="{00000000-0004-0000-0000-000080070000}"/>
    <hyperlink ref="C1921" r:id="rId1922" xr:uid="{00000000-0004-0000-0000-000081070000}"/>
    <hyperlink ref="C1922" r:id="rId1923" xr:uid="{00000000-0004-0000-0000-000082070000}"/>
    <hyperlink ref="C1923" r:id="rId1924" xr:uid="{00000000-0004-0000-0000-000083070000}"/>
    <hyperlink ref="C1924" r:id="rId1925" xr:uid="{00000000-0004-0000-0000-000084070000}"/>
    <hyperlink ref="C1925" r:id="rId1926" xr:uid="{00000000-0004-0000-0000-000085070000}"/>
    <hyperlink ref="C1926" r:id="rId1927" xr:uid="{00000000-0004-0000-0000-000086070000}"/>
    <hyperlink ref="C1927" r:id="rId1928" xr:uid="{00000000-0004-0000-0000-000087070000}"/>
    <hyperlink ref="C1928" r:id="rId1929" xr:uid="{00000000-0004-0000-0000-000088070000}"/>
    <hyperlink ref="C1929" r:id="rId1930" xr:uid="{00000000-0004-0000-0000-000089070000}"/>
    <hyperlink ref="C1930" r:id="rId1931" xr:uid="{00000000-0004-0000-0000-00008A070000}"/>
    <hyperlink ref="C1931" r:id="rId1932" xr:uid="{00000000-0004-0000-0000-00008B070000}"/>
    <hyperlink ref="C1932" r:id="rId1933" xr:uid="{00000000-0004-0000-0000-00008C070000}"/>
    <hyperlink ref="C1933" r:id="rId1934" xr:uid="{00000000-0004-0000-0000-00008D070000}"/>
    <hyperlink ref="C1934" r:id="rId1935" xr:uid="{00000000-0004-0000-0000-00008E070000}"/>
    <hyperlink ref="C1935" r:id="rId1936" xr:uid="{00000000-0004-0000-0000-00008F070000}"/>
    <hyperlink ref="C1936" r:id="rId1937" xr:uid="{00000000-0004-0000-0000-000090070000}"/>
    <hyperlink ref="C1937" r:id="rId1938" xr:uid="{00000000-0004-0000-0000-000091070000}"/>
    <hyperlink ref="C1938" r:id="rId1939" xr:uid="{00000000-0004-0000-0000-000092070000}"/>
    <hyperlink ref="C1939" r:id="rId1940" xr:uid="{00000000-0004-0000-0000-000093070000}"/>
    <hyperlink ref="C1940" r:id="rId1941" xr:uid="{00000000-0004-0000-0000-000094070000}"/>
    <hyperlink ref="C1941" r:id="rId1942" xr:uid="{00000000-0004-0000-0000-000095070000}"/>
    <hyperlink ref="C1942" r:id="rId1943" xr:uid="{00000000-0004-0000-0000-000096070000}"/>
    <hyperlink ref="C1943" r:id="rId1944" xr:uid="{00000000-0004-0000-0000-000097070000}"/>
    <hyperlink ref="C1944" r:id="rId1945" xr:uid="{00000000-0004-0000-0000-000098070000}"/>
    <hyperlink ref="C1945" r:id="rId1946" xr:uid="{00000000-0004-0000-0000-000099070000}"/>
    <hyperlink ref="C1946" r:id="rId1947" xr:uid="{00000000-0004-0000-0000-00009A070000}"/>
    <hyperlink ref="C1947" r:id="rId1948" xr:uid="{00000000-0004-0000-0000-00009B070000}"/>
    <hyperlink ref="C1948" r:id="rId1949" xr:uid="{00000000-0004-0000-0000-00009C070000}"/>
    <hyperlink ref="C1949" r:id="rId1950" xr:uid="{00000000-0004-0000-0000-00009D070000}"/>
    <hyperlink ref="C1950" r:id="rId1951" xr:uid="{00000000-0004-0000-0000-00009E070000}"/>
    <hyperlink ref="C1951" r:id="rId1952" xr:uid="{00000000-0004-0000-0000-00009F070000}"/>
    <hyperlink ref="C1952" r:id="rId1953" xr:uid="{00000000-0004-0000-0000-0000A0070000}"/>
    <hyperlink ref="C1953" r:id="rId1954" xr:uid="{00000000-0004-0000-0000-0000A1070000}"/>
    <hyperlink ref="C1954" r:id="rId1955" xr:uid="{00000000-0004-0000-0000-0000A2070000}"/>
    <hyperlink ref="C1955" r:id="rId1956" xr:uid="{00000000-0004-0000-0000-0000A3070000}"/>
    <hyperlink ref="C1956" r:id="rId1957" xr:uid="{00000000-0004-0000-0000-0000A4070000}"/>
    <hyperlink ref="C1957" r:id="rId1958" xr:uid="{00000000-0004-0000-0000-0000A5070000}"/>
    <hyperlink ref="C1958" r:id="rId1959" xr:uid="{00000000-0004-0000-0000-0000A6070000}"/>
    <hyperlink ref="C1959" r:id="rId1960" xr:uid="{00000000-0004-0000-0000-0000A7070000}"/>
    <hyperlink ref="C1960" r:id="rId1961" xr:uid="{00000000-0004-0000-0000-0000A8070000}"/>
    <hyperlink ref="C1961" r:id="rId1962" xr:uid="{00000000-0004-0000-0000-0000A9070000}"/>
    <hyperlink ref="C1962" r:id="rId1963" xr:uid="{00000000-0004-0000-0000-0000AA070000}"/>
    <hyperlink ref="C1963" r:id="rId1964" xr:uid="{00000000-0004-0000-0000-0000AB070000}"/>
    <hyperlink ref="C1964" r:id="rId1965" xr:uid="{00000000-0004-0000-0000-0000AC070000}"/>
    <hyperlink ref="C1965" r:id="rId1966" xr:uid="{00000000-0004-0000-0000-0000AD070000}"/>
    <hyperlink ref="C1966" r:id="rId1967" xr:uid="{00000000-0004-0000-0000-0000AE070000}"/>
    <hyperlink ref="C1967" r:id="rId1968" xr:uid="{00000000-0004-0000-0000-0000AF070000}"/>
    <hyperlink ref="C1968" r:id="rId1969" xr:uid="{00000000-0004-0000-0000-0000B0070000}"/>
    <hyperlink ref="C1969" r:id="rId1970" xr:uid="{00000000-0004-0000-0000-0000B1070000}"/>
    <hyperlink ref="C1970" r:id="rId1971" xr:uid="{00000000-0004-0000-0000-0000B2070000}"/>
    <hyperlink ref="C1971" r:id="rId1972" xr:uid="{00000000-0004-0000-0000-0000B3070000}"/>
    <hyperlink ref="C1972" r:id="rId1973" xr:uid="{00000000-0004-0000-0000-0000B4070000}"/>
    <hyperlink ref="C1973" r:id="rId1974" xr:uid="{00000000-0004-0000-0000-0000B5070000}"/>
    <hyperlink ref="C1974" r:id="rId1975" xr:uid="{00000000-0004-0000-0000-0000B6070000}"/>
    <hyperlink ref="C1975" r:id="rId1976" xr:uid="{00000000-0004-0000-0000-0000B7070000}"/>
    <hyperlink ref="C1976" r:id="rId1977" xr:uid="{00000000-0004-0000-0000-0000B8070000}"/>
    <hyperlink ref="C1977" r:id="rId1978" xr:uid="{00000000-0004-0000-0000-0000B9070000}"/>
    <hyperlink ref="C1978" r:id="rId1979" xr:uid="{00000000-0004-0000-0000-0000BA070000}"/>
    <hyperlink ref="C1979" r:id="rId1980" xr:uid="{00000000-0004-0000-0000-0000BB070000}"/>
    <hyperlink ref="C1980" r:id="rId1981" xr:uid="{00000000-0004-0000-0000-0000BC070000}"/>
    <hyperlink ref="C1981" r:id="rId1982" xr:uid="{00000000-0004-0000-0000-0000BD070000}"/>
    <hyperlink ref="C1982" r:id="rId1983" xr:uid="{00000000-0004-0000-0000-0000BE070000}"/>
    <hyperlink ref="C1983" r:id="rId1984" xr:uid="{00000000-0004-0000-0000-0000BF070000}"/>
    <hyperlink ref="C1984" r:id="rId1985" xr:uid="{00000000-0004-0000-0000-0000C0070000}"/>
    <hyperlink ref="C1985" r:id="rId1986" xr:uid="{00000000-0004-0000-0000-0000C1070000}"/>
    <hyperlink ref="C1986" r:id="rId1987" xr:uid="{00000000-0004-0000-0000-0000C2070000}"/>
    <hyperlink ref="C1987" r:id="rId1988" xr:uid="{00000000-0004-0000-0000-0000C3070000}"/>
    <hyperlink ref="C1988" r:id="rId1989" xr:uid="{00000000-0004-0000-0000-0000C4070000}"/>
    <hyperlink ref="C1989" r:id="rId1990" xr:uid="{00000000-0004-0000-0000-0000C5070000}"/>
    <hyperlink ref="C1990" r:id="rId1991" xr:uid="{00000000-0004-0000-0000-0000C6070000}"/>
    <hyperlink ref="C1991" r:id="rId1992" xr:uid="{00000000-0004-0000-0000-0000C7070000}"/>
    <hyperlink ref="C1992" r:id="rId1993" xr:uid="{00000000-0004-0000-0000-0000C8070000}"/>
    <hyperlink ref="C1993" r:id="rId1994" xr:uid="{00000000-0004-0000-0000-0000C9070000}"/>
    <hyperlink ref="C1994" r:id="rId1995" xr:uid="{00000000-0004-0000-0000-0000CA070000}"/>
    <hyperlink ref="C1995" r:id="rId1996" xr:uid="{00000000-0004-0000-0000-0000CB070000}"/>
    <hyperlink ref="C1996" r:id="rId1997" xr:uid="{00000000-0004-0000-0000-0000CC070000}"/>
    <hyperlink ref="C1997" r:id="rId1998" xr:uid="{00000000-0004-0000-0000-0000CD070000}"/>
    <hyperlink ref="C1998" r:id="rId1999" xr:uid="{00000000-0004-0000-0000-0000CE070000}"/>
    <hyperlink ref="C1999" r:id="rId2000" xr:uid="{00000000-0004-0000-0000-0000CF070000}"/>
    <hyperlink ref="C2000" r:id="rId2001" xr:uid="{00000000-0004-0000-0000-0000D0070000}"/>
    <hyperlink ref="C2001" r:id="rId2002" xr:uid="{00000000-0004-0000-0000-0000D1070000}"/>
    <hyperlink ref="C2002" r:id="rId2003" xr:uid="{00000000-0004-0000-0000-0000D2070000}"/>
    <hyperlink ref="C2003" r:id="rId2004" xr:uid="{00000000-0004-0000-0000-0000D3070000}"/>
    <hyperlink ref="C2004" r:id="rId2005" xr:uid="{00000000-0004-0000-0000-0000D4070000}"/>
    <hyperlink ref="C2005" r:id="rId2006" xr:uid="{00000000-0004-0000-0000-0000D5070000}"/>
    <hyperlink ref="C2006" r:id="rId2007" xr:uid="{00000000-0004-0000-0000-0000D6070000}"/>
    <hyperlink ref="C2007" r:id="rId2008" xr:uid="{00000000-0004-0000-0000-0000D7070000}"/>
    <hyperlink ref="C2008" r:id="rId2009" xr:uid="{00000000-0004-0000-0000-0000D8070000}"/>
    <hyperlink ref="C2009" r:id="rId2010" xr:uid="{00000000-0004-0000-0000-0000D9070000}"/>
    <hyperlink ref="C2010" r:id="rId2011" xr:uid="{00000000-0004-0000-0000-0000DA070000}"/>
    <hyperlink ref="C2011" r:id="rId2012" xr:uid="{00000000-0004-0000-0000-0000DB070000}"/>
    <hyperlink ref="C2012" r:id="rId2013" xr:uid="{00000000-0004-0000-0000-0000DC070000}"/>
    <hyperlink ref="C2013" r:id="rId2014" xr:uid="{00000000-0004-0000-0000-0000DD070000}"/>
    <hyperlink ref="C2014" r:id="rId2015" xr:uid="{00000000-0004-0000-0000-0000DE070000}"/>
    <hyperlink ref="C2015" r:id="rId2016" xr:uid="{00000000-0004-0000-0000-0000DF070000}"/>
    <hyperlink ref="C2016" r:id="rId2017" xr:uid="{00000000-0004-0000-0000-0000E0070000}"/>
    <hyperlink ref="C2017" r:id="rId2018" xr:uid="{00000000-0004-0000-0000-0000E1070000}"/>
    <hyperlink ref="C2018" r:id="rId2019" xr:uid="{00000000-0004-0000-0000-0000E2070000}"/>
    <hyperlink ref="C2019" r:id="rId2020" xr:uid="{00000000-0004-0000-0000-0000E3070000}"/>
    <hyperlink ref="C2020" r:id="rId2021" xr:uid="{00000000-0004-0000-0000-0000E4070000}"/>
    <hyperlink ref="C2021" r:id="rId2022" xr:uid="{00000000-0004-0000-0000-0000E5070000}"/>
    <hyperlink ref="C2022" r:id="rId2023" xr:uid="{00000000-0004-0000-0000-0000E6070000}"/>
    <hyperlink ref="C2023" r:id="rId2024" xr:uid="{00000000-0004-0000-0000-0000E7070000}"/>
    <hyperlink ref="C2024" r:id="rId2025" xr:uid="{00000000-0004-0000-0000-0000E8070000}"/>
    <hyperlink ref="C2025" r:id="rId2026" xr:uid="{00000000-0004-0000-0000-0000E9070000}"/>
    <hyperlink ref="C2026" r:id="rId2027" xr:uid="{00000000-0004-0000-0000-0000EA070000}"/>
    <hyperlink ref="C2027" r:id="rId2028" xr:uid="{00000000-0004-0000-0000-0000EB070000}"/>
    <hyperlink ref="C2028" r:id="rId2029" xr:uid="{00000000-0004-0000-0000-0000EC070000}"/>
    <hyperlink ref="C2029" r:id="rId2030" xr:uid="{00000000-0004-0000-0000-0000ED070000}"/>
    <hyperlink ref="C2030" r:id="rId2031" xr:uid="{00000000-0004-0000-0000-0000EE070000}"/>
    <hyperlink ref="C2031" r:id="rId2032" xr:uid="{00000000-0004-0000-0000-0000EF070000}"/>
    <hyperlink ref="C2032" r:id="rId2033" xr:uid="{00000000-0004-0000-0000-0000F0070000}"/>
    <hyperlink ref="C2033" r:id="rId2034" xr:uid="{00000000-0004-0000-0000-0000F1070000}"/>
    <hyperlink ref="C2034" r:id="rId2035" xr:uid="{00000000-0004-0000-0000-0000F2070000}"/>
    <hyperlink ref="C2035" r:id="rId2036" xr:uid="{00000000-0004-0000-0000-0000F3070000}"/>
    <hyperlink ref="C2036" r:id="rId2037" xr:uid="{00000000-0004-0000-0000-0000F4070000}"/>
    <hyperlink ref="C2037" r:id="rId2038" xr:uid="{00000000-0004-0000-0000-0000F5070000}"/>
    <hyperlink ref="C2038" r:id="rId2039" xr:uid="{00000000-0004-0000-0000-0000F6070000}"/>
    <hyperlink ref="C2039" r:id="rId2040" xr:uid="{00000000-0004-0000-0000-0000F7070000}"/>
    <hyperlink ref="C2040" r:id="rId2041" xr:uid="{00000000-0004-0000-0000-0000F8070000}"/>
    <hyperlink ref="C2041" r:id="rId2042" xr:uid="{00000000-0004-0000-0000-0000F9070000}"/>
    <hyperlink ref="C2042" r:id="rId2043" xr:uid="{00000000-0004-0000-0000-0000FA070000}"/>
    <hyperlink ref="C2043" r:id="rId2044" xr:uid="{00000000-0004-0000-0000-0000FB070000}"/>
    <hyperlink ref="C2044" r:id="rId2045" xr:uid="{00000000-0004-0000-0000-0000FC070000}"/>
    <hyperlink ref="C2045" r:id="rId2046" xr:uid="{00000000-0004-0000-0000-0000FD070000}"/>
    <hyperlink ref="C2046" r:id="rId2047" xr:uid="{00000000-0004-0000-0000-0000FE070000}"/>
    <hyperlink ref="C2047" r:id="rId2048" xr:uid="{00000000-0004-0000-0000-0000FF070000}"/>
    <hyperlink ref="C2048" r:id="rId2049" xr:uid="{00000000-0004-0000-0000-000000080000}"/>
    <hyperlink ref="C2049" r:id="rId2050" xr:uid="{00000000-0004-0000-0000-000001080000}"/>
    <hyperlink ref="C2050" r:id="rId2051" xr:uid="{00000000-0004-0000-0000-000002080000}"/>
    <hyperlink ref="C2051" r:id="rId2052" xr:uid="{00000000-0004-0000-0000-000003080000}"/>
    <hyperlink ref="C2052" r:id="rId2053" xr:uid="{00000000-0004-0000-0000-000004080000}"/>
    <hyperlink ref="C2053" r:id="rId2054" xr:uid="{00000000-0004-0000-0000-000005080000}"/>
    <hyperlink ref="C2054" r:id="rId2055" xr:uid="{00000000-0004-0000-0000-000006080000}"/>
    <hyperlink ref="C2055" r:id="rId2056" xr:uid="{00000000-0004-0000-0000-000007080000}"/>
    <hyperlink ref="C2056" r:id="rId2057" xr:uid="{00000000-0004-0000-0000-000008080000}"/>
    <hyperlink ref="C2057" r:id="rId2058" xr:uid="{00000000-0004-0000-0000-000009080000}"/>
    <hyperlink ref="C2058" r:id="rId2059" xr:uid="{00000000-0004-0000-0000-00000A080000}"/>
    <hyperlink ref="C2059" r:id="rId2060" xr:uid="{00000000-0004-0000-0000-00000B080000}"/>
    <hyperlink ref="C2060" r:id="rId2061" xr:uid="{00000000-0004-0000-0000-00000C080000}"/>
    <hyperlink ref="C2061" r:id="rId2062" xr:uid="{00000000-0004-0000-0000-00000D080000}"/>
    <hyperlink ref="C2062" r:id="rId2063" xr:uid="{00000000-0004-0000-0000-00000E080000}"/>
    <hyperlink ref="C2063" r:id="rId2064" xr:uid="{00000000-0004-0000-0000-00000F080000}"/>
    <hyperlink ref="C2064" r:id="rId2065" xr:uid="{00000000-0004-0000-0000-000010080000}"/>
    <hyperlink ref="C2065" r:id="rId2066" xr:uid="{00000000-0004-0000-0000-000011080000}"/>
    <hyperlink ref="C2066" r:id="rId2067" xr:uid="{00000000-0004-0000-0000-000012080000}"/>
    <hyperlink ref="C2067" r:id="rId2068" xr:uid="{00000000-0004-0000-0000-000013080000}"/>
    <hyperlink ref="C2068" r:id="rId2069" xr:uid="{00000000-0004-0000-0000-000014080000}"/>
    <hyperlink ref="C2069" r:id="rId2070" xr:uid="{00000000-0004-0000-0000-000015080000}"/>
    <hyperlink ref="C2070" r:id="rId2071" xr:uid="{00000000-0004-0000-0000-000016080000}"/>
    <hyperlink ref="C2071" r:id="rId2072" xr:uid="{00000000-0004-0000-0000-000017080000}"/>
    <hyperlink ref="C2072" r:id="rId2073" xr:uid="{00000000-0004-0000-0000-000018080000}"/>
    <hyperlink ref="C2073" r:id="rId2074" xr:uid="{00000000-0004-0000-0000-000019080000}"/>
    <hyperlink ref="C2074" r:id="rId2075" xr:uid="{00000000-0004-0000-0000-00001A080000}"/>
    <hyperlink ref="C2075" r:id="rId2076" xr:uid="{00000000-0004-0000-0000-00001B080000}"/>
    <hyperlink ref="C2076" r:id="rId2077" xr:uid="{00000000-0004-0000-0000-00001C080000}"/>
    <hyperlink ref="C2077" r:id="rId2078" xr:uid="{00000000-0004-0000-0000-00001D080000}"/>
    <hyperlink ref="C2078" r:id="rId2079" xr:uid="{00000000-0004-0000-0000-00001E080000}"/>
    <hyperlink ref="C2079" r:id="rId2080" xr:uid="{00000000-0004-0000-0000-00001F080000}"/>
    <hyperlink ref="C2080" r:id="rId2081" xr:uid="{00000000-0004-0000-0000-000020080000}"/>
    <hyperlink ref="C2081" r:id="rId2082" xr:uid="{00000000-0004-0000-0000-000021080000}"/>
    <hyperlink ref="C2082" r:id="rId2083" xr:uid="{00000000-0004-0000-0000-000022080000}"/>
    <hyperlink ref="C2083" r:id="rId2084" xr:uid="{00000000-0004-0000-0000-000023080000}"/>
    <hyperlink ref="C2084" r:id="rId2085" xr:uid="{00000000-0004-0000-0000-000024080000}"/>
    <hyperlink ref="C2085" r:id="rId2086" xr:uid="{00000000-0004-0000-0000-000025080000}"/>
    <hyperlink ref="C2086" r:id="rId2087" xr:uid="{00000000-0004-0000-0000-000026080000}"/>
    <hyperlink ref="C2087" r:id="rId2088" xr:uid="{00000000-0004-0000-0000-000027080000}"/>
    <hyperlink ref="C2088" r:id="rId2089" xr:uid="{00000000-0004-0000-0000-000028080000}"/>
    <hyperlink ref="C2089" r:id="rId2090" xr:uid="{00000000-0004-0000-0000-000029080000}"/>
    <hyperlink ref="C2090" r:id="rId2091" xr:uid="{00000000-0004-0000-0000-00002A080000}"/>
    <hyperlink ref="C2091" r:id="rId2092" xr:uid="{00000000-0004-0000-0000-00002B080000}"/>
    <hyperlink ref="C2092" r:id="rId2093" xr:uid="{00000000-0004-0000-0000-00002C080000}"/>
    <hyperlink ref="C2093" r:id="rId2094" xr:uid="{00000000-0004-0000-0000-00002D080000}"/>
    <hyperlink ref="C2094" r:id="rId2095" xr:uid="{00000000-0004-0000-0000-00002E080000}"/>
    <hyperlink ref="C2095" r:id="rId2096" xr:uid="{00000000-0004-0000-0000-00002F080000}"/>
    <hyperlink ref="C2096" r:id="rId2097" xr:uid="{00000000-0004-0000-0000-000030080000}"/>
    <hyperlink ref="C2097" r:id="rId2098" xr:uid="{00000000-0004-0000-0000-000031080000}"/>
    <hyperlink ref="C2098" r:id="rId2099" xr:uid="{00000000-0004-0000-0000-000032080000}"/>
    <hyperlink ref="C2099" r:id="rId2100" xr:uid="{00000000-0004-0000-0000-000033080000}"/>
    <hyperlink ref="C2100" r:id="rId2101" xr:uid="{00000000-0004-0000-0000-000034080000}"/>
    <hyperlink ref="C2101" r:id="rId2102" xr:uid="{00000000-0004-0000-0000-000035080000}"/>
    <hyperlink ref="C2102" r:id="rId2103" xr:uid="{00000000-0004-0000-0000-000036080000}"/>
    <hyperlink ref="C2103" r:id="rId2104" xr:uid="{00000000-0004-0000-0000-000037080000}"/>
    <hyperlink ref="C2104" r:id="rId2105" xr:uid="{00000000-0004-0000-0000-000038080000}"/>
    <hyperlink ref="C2105" r:id="rId2106" xr:uid="{00000000-0004-0000-0000-000039080000}"/>
    <hyperlink ref="C2106" r:id="rId2107" xr:uid="{00000000-0004-0000-0000-00003A080000}"/>
    <hyperlink ref="C2107" r:id="rId2108" xr:uid="{00000000-0004-0000-0000-00003B080000}"/>
    <hyperlink ref="C2108" r:id="rId2109" xr:uid="{00000000-0004-0000-0000-00003C080000}"/>
    <hyperlink ref="C2109" r:id="rId2110" xr:uid="{00000000-0004-0000-0000-00003D080000}"/>
    <hyperlink ref="C2110" r:id="rId2111" xr:uid="{00000000-0004-0000-0000-00003E080000}"/>
    <hyperlink ref="C2111" r:id="rId2112" xr:uid="{00000000-0004-0000-0000-00003F080000}"/>
    <hyperlink ref="C2112" r:id="rId2113" xr:uid="{00000000-0004-0000-0000-000040080000}"/>
    <hyperlink ref="C2113" r:id="rId2114" xr:uid="{00000000-0004-0000-0000-000041080000}"/>
    <hyperlink ref="C2114" r:id="rId2115" xr:uid="{00000000-0004-0000-0000-000042080000}"/>
    <hyperlink ref="C2115" r:id="rId2116" xr:uid="{00000000-0004-0000-0000-000043080000}"/>
    <hyperlink ref="C2116" r:id="rId2117" xr:uid="{00000000-0004-0000-0000-000044080000}"/>
    <hyperlink ref="C2117" r:id="rId2118" xr:uid="{00000000-0004-0000-0000-000045080000}"/>
    <hyperlink ref="C2118" r:id="rId2119" xr:uid="{00000000-0004-0000-0000-000046080000}"/>
    <hyperlink ref="C2119" r:id="rId2120" xr:uid="{00000000-0004-0000-0000-000047080000}"/>
    <hyperlink ref="C2120" r:id="rId2121" xr:uid="{00000000-0004-0000-0000-000048080000}"/>
    <hyperlink ref="C2121" r:id="rId2122" xr:uid="{00000000-0004-0000-0000-000049080000}"/>
    <hyperlink ref="C2122" r:id="rId2123" xr:uid="{00000000-0004-0000-0000-00004A080000}"/>
    <hyperlink ref="C2123" r:id="rId2124" xr:uid="{00000000-0004-0000-0000-00004B080000}"/>
    <hyperlink ref="C2124" r:id="rId2125" xr:uid="{00000000-0004-0000-0000-00004C080000}"/>
    <hyperlink ref="C2125" r:id="rId2126" xr:uid="{00000000-0004-0000-0000-00004D080000}"/>
    <hyperlink ref="C2126" r:id="rId2127" xr:uid="{00000000-0004-0000-0000-00004E080000}"/>
    <hyperlink ref="C2127" r:id="rId2128" xr:uid="{00000000-0004-0000-0000-00004F080000}"/>
    <hyperlink ref="C2128" r:id="rId2129" xr:uid="{00000000-0004-0000-0000-000050080000}"/>
    <hyperlink ref="C2129" r:id="rId2130" xr:uid="{00000000-0004-0000-0000-000051080000}"/>
    <hyperlink ref="C2130" r:id="rId2131" xr:uid="{00000000-0004-0000-0000-000052080000}"/>
    <hyperlink ref="C2131" r:id="rId2132" xr:uid="{00000000-0004-0000-0000-000053080000}"/>
    <hyperlink ref="C2132" r:id="rId2133" xr:uid="{00000000-0004-0000-0000-000054080000}"/>
    <hyperlink ref="C2133" r:id="rId2134" xr:uid="{00000000-0004-0000-0000-000055080000}"/>
    <hyperlink ref="C2134" r:id="rId2135" xr:uid="{00000000-0004-0000-0000-000056080000}"/>
    <hyperlink ref="C2135" r:id="rId2136" xr:uid="{00000000-0004-0000-0000-000057080000}"/>
    <hyperlink ref="C2136" r:id="rId2137" xr:uid="{00000000-0004-0000-0000-000058080000}"/>
    <hyperlink ref="C2137" r:id="rId2138" xr:uid="{00000000-0004-0000-0000-000059080000}"/>
    <hyperlink ref="C2138" r:id="rId2139" xr:uid="{00000000-0004-0000-0000-00005A080000}"/>
    <hyperlink ref="C2139" r:id="rId2140" xr:uid="{00000000-0004-0000-0000-00005B080000}"/>
    <hyperlink ref="C2140" r:id="rId2141" xr:uid="{00000000-0004-0000-0000-00005C080000}"/>
    <hyperlink ref="C2141" r:id="rId2142" xr:uid="{00000000-0004-0000-0000-00005D080000}"/>
    <hyperlink ref="C2142" r:id="rId2143" xr:uid="{00000000-0004-0000-0000-00005E080000}"/>
    <hyperlink ref="C2143" r:id="rId2144" xr:uid="{00000000-0004-0000-0000-00005F080000}"/>
    <hyperlink ref="C2144" r:id="rId2145" xr:uid="{00000000-0004-0000-0000-000060080000}"/>
    <hyperlink ref="C2145" r:id="rId2146" xr:uid="{00000000-0004-0000-0000-000061080000}"/>
    <hyperlink ref="C2146" r:id="rId2147" xr:uid="{00000000-0004-0000-0000-000062080000}"/>
    <hyperlink ref="C2147" r:id="rId2148" xr:uid="{00000000-0004-0000-0000-000063080000}"/>
    <hyperlink ref="C2148" r:id="rId2149" xr:uid="{00000000-0004-0000-0000-000064080000}"/>
    <hyperlink ref="C2149" r:id="rId2150" xr:uid="{00000000-0004-0000-0000-000065080000}"/>
    <hyperlink ref="C2150" r:id="rId2151" xr:uid="{00000000-0004-0000-0000-000066080000}"/>
    <hyperlink ref="C2151" r:id="rId2152" xr:uid="{00000000-0004-0000-0000-000067080000}"/>
    <hyperlink ref="C2152" r:id="rId2153" xr:uid="{00000000-0004-0000-0000-000068080000}"/>
    <hyperlink ref="C2153" r:id="rId2154" xr:uid="{00000000-0004-0000-0000-000069080000}"/>
    <hyperlink ref="C2154" r:id="rId2155" xr:uid="{00000000-0004-0000-0000-00006A080000}"/>
    <hyperlink ref="C2155" r:id="rId2156" xr:uid="{00000000-0004-0000-0000-00006B080000}"/>
    <hyperlink ref="C2156" r:id="rId2157" xr:uid="{00000000-0004-0000-0000-00006C080000}"/>
    <hyperlink ref="C2157" r:id="rId2158" xr:uid="{00000000-0004-0000-0000-00006D080000}"/>
    <hyperlink ref="C2158" r:id="rId2159" xr:uid="{00000000-0004-0000-0000-00006E080000}"/>
    <hyperlink ref="C2159" r:id="rId2160" xr:uid="{00000000-0004-0000-0000-00006F080000}"/>
    <hyperlink ref="C2160" r:id="rId2161" xr:uid="{00000000-0004-0000-0000-000070080000}"/>
    <hyperlink ref="C2161" r:id="rId2162" xr:uid="{00000000-0004-0000-0000-000071080000}"/>
    <hyperlink ref="C2162" r:id="rId2163" xr:uid="{00000000-0004-0000-0000-000072080000}"/>
    <hyperlink ref="C2163" r:id="rId2164" xr:uid="{00000000-0004-0000-0000-000073080000}"/>
    <hyperlink ref="C2164" r:id="rId2165" xr:uid="{00000000-0004-0000-0000-000074080000}"/>
    <hyperlink ref="C2165" r:id="rId2166" xr:uid="{00000000-0004-0000-0000-000075080000}"/>
    <hyperlink ref="C2166" r:id="rId2167" xr:uid="{00000000-0004-0000-0000-000076080000}"/>
    <hyperlink ref="C2167" r:id="rId2168" xr:uid="{00000000-0004-0000-0000-000077080000}"/>
    <hyperlink ref="C2168" r:id="rId2169" xr:uid="{00000000-0004-0000-0000-000078080000}"/>
    <hyperlink ref="C2169" r:id="rId2170" xr:uid="{00000000-0004-0000-0000-000079080000}"/>
    <hyperlink ref="C2170" r:id="rId2171" xr:uid="{00000000-0004-0000-0000-00007A080000}"/>
    <hyperlink ref="C2171" r:id="rId2172" xr:uid="{00000000-0004-0000-0000-00007B080000}"/>
    <hyperlink ref="C2172" r:id="rId2173" xr:uid="{00000000-0004-0000-0000-00007C080000}"/>
    <hyperlink ref="C2173" r:id="rId2174" xr:uid="{00000000-0004-0000-0000-00007D080000}"/>
    <hyperlink ref="C2174" r:id="rId2175" xr:uid="{00000000-0004-0000-0000-00007E080000}"/>
    <hyperlink ref="C2175" r:id="rId2176" xr:uid="{00000000-0004-0000-0000-00007F080000}"/>
    <hyperlink ref="C2176" r:id="rId2177" xr:uid="{00000000-0004-0000-0000-000080080000}"/>
    <hyperlink ref="C2177" r:id="rId2178" xr:uid="{00000000-0004-0000-0000-000081080000}"/>
    <hyperlink ref="C2178" r:id="rId2179" xr:uid="{00000000-0004-0000-0000-000082080000}"/>
    <hyperlink ref="C2179" r:id="rId2180" xr:uid="{00000000-0004-0000-0000-000083080000}"/>
    <hyperlink ref="C2180" r:id="rId2181" xr:uid="{00000000-0004-0000-0000-000084080000}"/>
    <hyperlink ref="C2181" r:id="rId2182" xr:uid="{00000000-0004-0000-0000-000085080000}"/>
    <hyperlink ref="C2182" r:id="rId2183" xr:uid="{00000000-0004-0000-0000-000086080000}"/>
    <hyperlink ref="C2183" r:id="rId2184" xr:uid="{00000000-0004-0000-0000-000087080000}"/>
    <hyperlink ref="C2184" r:id="rId2185" xr:uid="{00000000-0004-0000-0000-000088080000}"/>
    <hyperlink ref="C2185" r:id="rId2186" xr:uid="{00000000-0004-0000-0000-000089080000}"/>
    <hyperlink ref="C2186" r:id="rId2187" xr:uid="{00000000-0004-0000-0000-00008A080000}"/>
    <hyperlink ref="C2187" r:id="rId2188" xr:uid="{00000000-0004-0000-0000-00008B080000}"/>
    <hyperlink ref="C2188" r:id="rId2189" xr:uid="{00000000-0004-0000-0000-00008C080000}"/>
    <hyperlink ref="C2189" r:id="rId2190" xr:uid="{00000000-0004-0000-0000-00008D080000}"/>
    <hyperlink ref="C2190" r:id="rId2191" xr:uid="{00000000-0004-0000-0000-00008E080000}"/>
    <hyperlink ref="C2191" r:id="rId2192" xr:uid="{00000000-0004-0000-0000-00008F080000}"/>
    <hyperlink ref="C2192" r:id="rId2193" xr:uid="{00000000-0004-0000-0000-000090080000}"/>
    <hyperlink ref="C2193" r:id="rId2194" xr:uid="{00000000-0004-0000-0000-000091080000}"/>
    <hyperlink ref="C2194" r:id="rId2195" xr:uid="{00000000-0004-0000-0000-000092080000}"/>
    <hyperlink ref="C2195" r:id="rId2196" xr:uid="{00000000-0004-0000-0000-000093080000}"/>
    <hyperlink ref="C2196" r:id="rId2197" xr:uid="{00000000-0004-0000-0000-000094080000}"/>
    <hyperlink ref="C2197" r:id="rId2198" xr:uid="{00000000-0004-0000-0000-000095080000}"/>
    <hyperlink ref="C2198" r:id="rId2199" xr:uid="{00000000-0004-0000-0000-000096080000}"/>
    <hyperlink ref="C2199" r:id="rId2200" xr:uid="{00000000-0004-0000-0000-000097080000}"/>
    <hyperlink ref="C2200" r:id="rId2201" xr:uid="{00000000-0004-0000-0000-000098080000}"/>
    <hyperlink ref="C2201" r:id="rId2202" xr:uid="{00000000-0004-0000-0000-000099080000}"/>
    <hyperlink ref="C2202" r:id="rId2203" xr:uid="{00000000-0004-0000-0000-00009A080000}"/>
    <hyperlink ref="C2203" r:id="rId2204" xr:uid="{00000000-0004-0000-0000-00009B080000}"/>
    <hyperlink ref="C2204" r:id="rId2205" xr:uid="{00000000-0004-0000-0000-00009C080000}"/>
    <hyperlink ref="C2205" r:id="rId2206" xr:uid="{00000000-0004-0000-0000-00009D080000}"/>
    <hyperlink ref="C2206" r:id="rId2207" xr:uid="{00000000-0004-0000-0000-00009E080000}"/>
    <hyperlink ref="C2207" r:id="rId2208" xr:uid="{00000000-0004-0000-0000-00009F080000}"/>
    <hyperlink ref="C2208" r:id="rId2209" xr:uid="{00000000-0004-0000-0000-0000A0080000}"/>
    <hyperlink ref="C2209" r:id="rId2210" xr:uid="{00000000-0004-0000-0000-0000A1080000}"/>
    <hyperlink ref="C2210" r:id="rId2211" xr:uid="{00000000-0004-0000-0000-0000A2080000}"/>
    <hyperlink ref="C2211" r:id="rId2212" xr:uid="{00000000-0004-0000-0000-0000A3080000}"/>
    <hyperlink ref="C2212" r:id="rId2213" xr:uid="{00000000-0004-0000-0000-0000A4080000}"/>
    <hyperlink ref="C2213" r:id="rId2214" xr:uid="{00000000-0004-0000-0000-0000A5080000}"/>
    <hyperlink ref="C2214" r:id="rId2215" xr:uid="{00000000-0004-0000-0000-0000A6080000}"/>
    <hyperlink ref="C2215" r:id="rId2216" xr:uid="{00000000-0004-0000-0000-0000A7080000}"/>
    <hyperlink ref="C2216" r:id="rId2217" xr:uid="{00000000-0004-0000-0000-0000A8080000}"/>
    <hyperlink ref="C2217" r:id="rId2218" xr:uid="{00000000-0004-0000-0000-0000A9080000}"/>
    <hyperlink ref="C2218" r:id="rId2219" xr:uid="{00000000-0004-0000-0000-0000AA080000}"/>
    <hyperlink ref="C2219" r:id="rId2220" xr:uid="{00000000-0004-0000-0000-0000AB080000}"/>
    <hyperlink ref="C2220" r:id="rId2221" xr:uid="{00000000-0004-0000-0000-0000AC080000}"/>
    <hyperlink ref="C2221" r:id="rId2222" xr:uid="{00000000-0004-0000-0000-0000AD080000}"/>
    <hyperlink ref="C2222" r:id="rId2223" xr:uid="{00000000-0004-0000-0000-0000AE080000}"/>
    <hyperlink ref="C2223" r:id="rId2224" xr:uid="{00000000-0004-0000-0000-0000AF080000}"/>
    <hyperlink ref="C2224" r:id="rId2225" xr:uid="{00000000-0004-0000-0000-0000B0080000}"/>
    <hyperlink ref="C2225" r:id="rId2226" xr:uid="{00000000-0004-0000-0000-0000B1080000}"/>
    <hyperlink ref="C2226" r:id="rId2227" xr:uid="{00000000-0004-0000-0000-0000B2080000}"/>
    <hyperlink ref="C2227" r:id="rId2228" xr:uid="{00000000-0004-0000-0000-0000B3080000}"/>
    <hyperlink ref="C2228" r:id="rId2229" xr:uid="{00000000-0004-0000-0000-0000B4080000}"/>
    <hyperlink ref="C2229" r:id="rId2230" xr:uid="{00000000-0004-0000-0000-0000B5080000}"/>
    <hyperlink ref="C2230" r:id="rId2231" xr:uid="{00000000-0004-0000-0000-0000B6080000}"/>
    <hyperlink ref="C2231" r:id="rId2232" xr:uid="{00000000-0004-0000-0000-0000B7080000}"/>
    <hyperlink ref="C2232" r:id="rId2233" xr:uid="{00000000-0004-0000-0000-0000B8080000}"/>
    <hyperlink ref="C2233" r:id="rId2234" xr:uid="{00000000-0004-0000-0000-0000B9080000}"/>
    <hyperlink ref="C2234" r:id="rId2235" xr:uid="{00000000-0004-0000-0000-0000BA080000}"/>
    <hyperlink ref="C2235" r:id="rId2236" xr:uid="{00000000-0004-0000-0000-0000BB080000}"/>
    <hyperlink ref="C2236" r:id="rId2237" xr:uid="{00000000-0004-0000-0000-0000BC080000}"/>
    <hyperlink ref="C2237" r:id="rId2238" xr:uid="{00000000-0004-0000-0000-0000BD080000}"/>
    <hyperlink ref="C2238" r:id="rId2239" xr:uid="{00000000-0004-0000-0000-0000BE080000}"/>
    <hyperlink ref="C2239" r:id="rId2240" xr:uid="{00000000-0004-0000-0000-0000BF080000}"/>
    <hyperlink ref="C2240" r:id="rId2241" xr:uid="{00000000-0004-0000-0000-0000C0080000}"/>
    <hyperlink ref="C2241" r:id="rId2242" xr:uid="{00000000-0004-0000-0000-0000C1080000}"/>
    <hyperlink ref="C2242" r:id="rId2243" xr:uid="{00000000-0004-0000-0000-0000C2080000}"/>
    <hyperlink ref="C2243" r:id="rId2244" xr:uid="{00000000-0004-0000-0000-0000C3080000}"/>
    <hyperlink ref="C2244" r:id="rId2245" xr:uid="{00000000-0004-0000-0000-0000C4080000}"/>
    <hyperlink ref="C2245" r:id="rId2246" xr:uid="{00000000-0004-0000-0000-0000C5080000}"/>
    <hyperlink ref="C2246" r:id="rId2247" xr:uid="{00000000-0004-0000-0000-0000C6080000}"/>
    <hyperlink ref="C2247" r:id="rId2248" xr:uid="{00000000-0004-0000-0000-0000C7080000}"/>
    <hyperlink ref="C2248" r:id="rId2249" xr:uid="{00000000-0004-0000-0000-0000C8080000}"/>
    <hyperlink ref="C2249" r:id="rId2250" xr:uid="{00000000-0004-0000-0000-0000C9080000}"/>
    <hyperlink ref="C2250" r:id="rId2251" xr:uid="{00000000-0004-0000-0000-0000CA080000}"/>
    <hyperlink ref="C2251" r:id="rId2252" xr:uid="{00000000-0004-0000-0000-0000CB080000}"/>
    <hyperlink ref="C2252" r:id="rId2253" xr:uid="{00000000-0004-0000-0000-0000CC080000}"/>
    <hyperlink ref="C2253" r:id="rId2254" xr:uid="{00000000-0004-0000-0000-0000CD080000}"/>
    <hyperlink ref="C2254" r:id="rId2255" xr:uid="{00000000-0004-0000-0000-0000CE080000}"/>
    <hyperlink ref="C2255" r:id="rId2256" xr:uid="{00000000-0004-0000-0000-0000CF080000}"/>
    <hyperlink ref="C2256" r:id="rId2257" xr:uid="{00000000-0004-0000-0000-0000D0080000}"/>
    <hyperlink ref="C2257" r:id="rId2258" xr:uid="{00000000-0004-0000-0000-0000D1080000}"/>
    <hyperlink ref="C2258" r:id="rId2259" xr:uid="{00000000-0004-0000-0000-0000D2080000}"/>
    <hyperlink ref="C2259" r:id="rId2260" xr:uid="{00000000-0004-0000-0000-0000D3080000}"/>
    <hyperlink ref="C2260" r:id="rId2261" xr:uid="{00000000-0004-0000-0000-0000D4080000}"/>
    <hyperlink ref="C2261" r:id="rId2262" xr:uid="{00000000-0004-0000-0000-0000D5080000}"/>
    <hyperlink ref="C2262" r:id="rId2263" xr:uid="{00000000-0004-0000-0000-0000D6080000}"/>
    <hyperlink ref="C2263" r:id="rId2264" xr:uid="{00000000-0004-0000-0000-0000D7080000}"/>
    <hyperlink ref="C2264" r:id="rId2265" xr:uid="{00000000-0004-0000-0000-0000D8080000}"/>
    <hyperlink ref="C2265" r:id="rId2266" xr:uid="{00000000-0004-0000-0000-0000D9080000}"/>
    <hyperlink ref="C2266" r:id="rId2267" xr:uid="{00000000-0004-0000-0000-0000DA080000}"/>
    <hyperlink ref="C2267" r:id="rId2268" xr:uid="{00000000-0004-0000-0000-0000DB080000}"/>
    <hyperlink ref="C2268" r:id="rId2269" xr:uid="{00000000-0004-0000-0000-0000DC080000}"/>
    <hyperlink ref="C2269" r:id="rId2270" xr:uid="{00000000-0004-0000-0000-0000DD080000}"/>
    <hyperlink ref="C2270" r:id="rId2271" xr:uid="{00000000-0004-0000-0000-0000DE080000}"/>
    <hyperlink ref="C2271" r:id="rId2272" xr:uid="{00000000-0004-0000-0000-0000DF080000}"/>
    <hyperlink ref="C2272" r:id="rId2273" xr:uid="{00000000-0004-0000-0000-0000E0080000}"/>
    <hyperlink ref="C2273" r:id="rId2274" xr:uid="{00000000-0004-0000-0000-0000E1080000}"/>
    <hyperlink ref="C2274" r:id="rId2275" xr:uid="{00000000-0004-0000-0000-0000E2080000}"/>
    <hyperlink ref="C2275" r:id="rId2276" xr:uid="{00000000-0004-0000-0000-0000E3080000}"/>
    <hyperlink ref="C2276" r:id="rId2277" xr:uid="{00000000-0004-0000-0000-0000E4080000}"/>
    <hyperlink ref="C2277" r:id="rId2278" xr:uid="{00000000-0004-0000-0000-0000E5080000}"/>
    <hyperlink ref="C2278" r:id="rId2279" xr:uid="{00000000-0004-0000-0000-0000E6080000}"/>
    <hyperlink ref="C2279" r:id="rId2280" xr:uid="{00000000-0004-0000-0000-0000E7080000}"/>
    <hyperlink ref="C2280" r:id="rId2281" xr:uid="{00000000-0004-0000-0000-0000E8080000}"/>
    <hyperlink ref="C2281" r:id="rId2282" xr:uid="{00000000-0004-0000-0000-0000E9080000}"/>
    <hyperlink ref="C2282" r:id="rId2283" xr:uid="{00000000-0004-0000-0000-0000EA080000}"/>
    <hyperlink ref="C2283" r:id="rId2284" xr:uid="{00000000-0004-0000-0000-0000EB080000}"/>
    <hyperlink ref="C2284" r:id="rId2285" xr:uid="{00000000-0004-0000-0000-0000EC080000}"/>
    <hyperlink ref="C2285" r:id="rId2286" xr:uid="{00000000-0004-0000-0000-0000ED080000}"/>
    <hyperlink ref="C2286" r:id="rId2287" xr:uid="{00000000-0004-0000-0000-0000EE080000}"/>
    <hyperlink ref="C2287" r:id="rId2288" xr:uid="{00000000-0004-0000-0000-0000EF080000}"/>
    <hyperlink ref="C2288" r:id="rId2289" xr:uid="{00000000-0004-0000-0000-0000F0080000}"/>
    <hyperlink ref="C2289" r:id="rId2290" xr:uid="{00000000-0004-0000-0000-0000F1080000}"/>
    <hyperlink ref="C2290" r:id="rId2291" xr:uid="{00000000-0004-0000-0000-0000F2080000}"/>
    <hyperlink ref="C2291" r:id="rId2292" xr:uid="{00000000-0004-0000-0000-0000F3080000}"/>
    <hyperlink ref="C2292" r:id="rId2293" xr:uid="{00000000-0004-0000-0000-0000F4080000}"/>
    <hyperlink ref="C2293" r:id="rId2294" xr:uid="{00000000-0004-0000-0000-0000F5080000}"/>
    <hyperlink ref="C2294" r:id="rId2295" xr:uid="{00000000-0004-0000-0000-0000F6080000}"/>
    <hyperlink ref="C2295" r:id="rId2296" xr:uid="{00000000-0004-0000-0000-0000F7080000}"/>
    <hyperlink ref="C2296" r:id="rId2297" xr:uid="{00000000-0004-0000-0000-0000F8080000}"/>
    <hyperlink ref="C2297" r:id="rId2298" xr:uid="{00000000-0004-0000-0000-0000F9080000}"/>
    <hyperlink ref="C2298" r:id="rId2299" xr:uid="{00000000-0004-0000-0000-0000FA080000}"/>
    <hyperlink ref="C2299" r:id="rId2300" xr:uid="{00000000-0004-0000-0000-0000FB080000}"/>
    <hyperlink ref="C2300" r:id="rId2301" xr:uid="{00000000-0004-0000-0000-0000FC080000}"/>
    <hyperlink ref="C2301" r:id="rId2302" xr:uid="{00000000-0004-0000-0000-0000FD080000}"/>
    <hyperlink ref="C2302" r:id="rId2303" xr:uid="{00000000-0004-0000-0000-0000FE080000}"/>
    <hyperlink ref="C2303" r:id="rId2304" xr:uid="{00000000-0004-0000-0000-0000FF080000}"/>
    <hyperlink ref="C2304" r:id="rId2305" xr:uid="{00000000-0004-0000-0000-000000090000}"/>
    <hyperlink ref="C2305" r:id="rId2306" xr:uid="{00000000-0004-0000-0000-000001090000}"/>
    <hyperlink ref="C2306" r:id="rId2307" xr:uid="{00000000-0004-0000-0000-000002090000}"/>
    <hyperlink ref="C2307" r:id="rId2308" xr:uid="{00000000-0004-0000-0000-000003090000}"/>
    <hyperlink ref="C2308" r:id="rId2309" xr:uid="{00000000-0004-0000-0000-000004090000}"/>
    <hyperlink ref="C2309" r:id="rId2310" xr:uid="{00000000-0004-0000-0000-000005090000}"/>
    <hyperlink ref="C2310" r:id="rId2311" xr:uid="{00000000-0004-0000-0000-000006090000}"/>
    <hyperlink ref="C2311" r:id="rId2312" xr:uid="{00000000-0004-0000-0000-000007090000}"/>
    <hyperlink ref="C2312" r:id="rId2313" xr:uid="{00000000-0004-0000-0000-000008090000}"/>
    <hyperlink ref="C2313" r:id="rId2314" xr:uid="{00000000-0004-0000-0000-000009090000}"/>
    <hyperlink ref="C2314" r:id="rId2315" xr:uid="{00000000-0004-0000-0000-00000A090000}"/>
    <hyperlink ref="C2315" r:id="rId2316" xr:uid="{00000000-0004-0000-0000-00000B090000}"/>
    <hyperlink ref="C2316" r:id="rId2317" xr:uid="{00000000-0004-0000-0000-00000C090000}"/>
    <hyperlink ref="C2317" r:id="rId2318" xr:uid="{00000000-0004-0000-0000-00000D090000}"/>
    <hyperlink ref="C2318" r:id="rId2319" xr:uid="{00000000-0004-0000-0000-00000E090000}"/>
    <hyperlink ref="C2319" r:id="rId2320" xr:uid="{00000000-0004-0000-0000-00000F090000}"/>
    <hyperlink ref="C2320" r:id="rId2321" xr:uid="{00000000-0004-0000-0000-000010090000}"/>
    <hyperlink ref="C2321" r:id="rId2322" xr:uid="{00000000-0004-0000-0000-000011090000}"/>
    <hyperlink ref="C2322" r:id="rId2323" xr:uid="{00000000-0004-0000-0000-000012090000}"/>
    <hyperlink ref="C2323" r:id="rId2324" xr:uid="{00000000-0004-0000-0000-000013090000}"/>
    <hyperlink ref="C2324" r:id="rId2325" xr:uid="{00000000-0004-0000-0000-000014090000}"/>
    <hyperlink ref="C2325" r:id="rId2326" xr:uid="{00000000-0004-0000-0000-000015090000}"/>
    <hyperlink ref="C2326" r:id="rId2327" xr:uid="{00000000-0004-0000-0000-000016090000}"/>
    <hyperlink ref="C2327" r:id="rId2328" xr:uid="{00000000-0004-0000-0000-000017090000}"/>
    <hyperlink ref="C2328" r:id="rId2329" xr:uid="{00000000-0004-0000-0000-000018090000}"/>
    <hyperlink ref="C2329" r:id="rId2330" xr:uid="{00000000-0004-0000-0000-000019090000}"/>
    <hyperlink ref="C2330" r:id="rId2331" xr:uid="{00000000-0004-0000-0000-00001A090000}"/>
    <hyperlink ref="C2331" r:id="rId2332" xr:uid="{00000000-0004-0000-0000-00001B090000}"/>
    <hyperlink ref="C2332" r:id="rId2333" xr:uid="{00000000-0004-0000-0000-00001C090000}"/>
    <hyperlink ref="C2333" r:id="rId2334" xr:uid="{00000000-0004-0000-0000-00001D090000}"/>
    <hyperlink ref="C2334" r:id="rId2335" xr:uid="{00000000-0004-0000-0000-00001E090000}"/>
    <hyperlink ref="C2335" r:id="rId2336" xr:uid="{00000000-0004-0000-0000-00001F090000}"/>
    <hyperlink ref="C2336" r:id="rId2337" xr:uid="{00000000-0004-0000-0000-000020090000}"/>
    <hyperlink ref="C2337" r:id="rId2338" xr:uid="{00000000-0004-0000-0000-000021090000}"/>
    <hyperlink ref="C2338" r:id="rId2339" xr:uid="{00000000-0004-0000-0000-000022090000}"/>
    <hyperlink ref="C2339" r:id="rId2340" xr:uid="{00000000-0004-0000-0000-000023090000}"/>
    <hyperlink ref="C2340" r:id="rId2341" xr:uid="{00000000-0004-0000-0000-000024090000}"/>
    <hyperlink ref="C2341" r:id="rId2342" xr:uid="{00000000-0004-0000-0000-000025090000}"/>
    <hyperlink ref="C2342" r:id="rId2343" xr:uid="{00000000-0004-0000-0000-000026090000}"/>
    <hyperlink ref="C2343" r:id="rId2344" xr:uid="{00000000-0004-0000-0000-000027090000}"/>
    <hyperlink ref="C2344" r:id="rId2345" xr:uid="{00000000-0004-0000-0000-000028090000}"/>
    <hyperlink ref="C2345" r:id="rId2346" xr:uid="{00000000-0004-0000-0000-000029090000}"/>
    <hyperlink ref="C2346" r:id="rId2347" xr:uid="{00000000-0004-0000-0000-00002A090000}"/>
    <hyperlink ref="C2347" r:id="rId2348" xr:uid="{00000000-0004-0000-0000-00002B090000}"/>
    <hyperlink ref="C2348" r:id="rId2349" xr:uid="{00000000-0004-0000-0000-00002C090000}"/>
    <hyperlink ref="C2349" r:id="rId2350" xr:uid="{00000000-0004-0000-0000-00002D090000}"/>
    <hyperlink ref="C2350" r:id="rId2351" xr:uid="{00000000-0004-0000-0000-00002E090000}"/>
    <hyperlink ref="C2351" r:id="rId2352" xr:uid="{00000000-0004-0000-0000-00002F090000}"/>
    <hyperlink ref="C2352" r:id="rId2353" xr:uid="{00000000-0004-0000-0000-000030090000}"/>
    <hyperlink ref="C2353" r:id="rId2354" xr:uid="{00000000-0004-0000-0000-000031090000}"/>
    <hyperlink ref="C2354" r:id="rId2355" xr:uid="{00000000-0004-0000-0000-000032090000}"/>
    <hyperlink ref="C2355" r:id="rId2356" xr:uid="{00000000-0004-0000-0000-000033090000}"/>
    <hyperlink ref="C2356" r:id="rId2357" xr:uid="{00000000-0004-0000-0000-000034090000}"/>
    <hyperlink ref="C2357" r:id="rId2358" xr:uid="{00000000-0004-0000-0000-000035090000}"/>
    <hyperlink ref="C2358" r:id="rId2359" xr:uid="{00000000-0004-0000-0000-000036090000}"/>
    <hyperlink ref="C2359" r:id="rId2360" xr:uid="{00000000-0004-0000-0000-000037090000}"/>
    <hyperlink ref="C2360" r:id="rId2361" xr:uid="{00000000-0004-0000-0000-000038090000}"/>
    <hyperlink ref="C2361" r:id="rId2362" xr:uid="{00000000-0004-0000-0000-000039090000}"/>
    <hyperlink ref="C2362" r:id="rId2363" xr:uid="{00000000-0004-0000-0000-00003A090000}"/>
    <hyperlink ref="C2363" r:id="rId2364" xr:uid="{00000000-0004-0000-0000-00003B090000}"/>
    <hyperlink ref="C2364" r:id="rId2365" xr:uid="{00000000-0004-0000-0000-00003C090000}"/>
    <hyperlink ref="C2365" r:id="rId2366" xr:uid="{00000000-0004-0000-0000-00003D090000}"/>
    <hyperlink ref="C2366" r:id="rId2367" xr:uid="{00000000-0004-0000-0000-00003E090000}"/>
    <hyperlink ref="C2367" r:id="rId2368" xr:uid="{00000000-0004-0000-0000-00003F090000}"/>
    <hyperlink ref="C2368" r:id="rId2369" xr:uid="{00000000-0004-0000-0000-000040090000}"/>
    <hyperlink ref="C2369" r:id="rId2370" xr:uid="{00000000-0004-0000-0000-000041090000}"/>
    <hyperlink ref="C2370" r:id="rId2371" xr:uid="{00000000-0004-0000-0000-000042090000}"/>
    <hyperlink ref="C2371" r:id="rId2372" xr:uid="{00000000-0004-0000-0000-000043090000}"/>
    <hyperlink ref="C2372" r:id="rId2373" xr:uid="{00000000-0004-0000-0000-000044090000}"/>
    <hyperlink ref="C2373" r:id="rId2374" xr:uid="{00000000-0004-0000-0000-000045090000}"/>
    <hyperlink ref="C2374" r:id="rId2375" xr:uid="{00000000-0004-0000-0000-000046090000}"/>
    <hyperlink ref="C2375" r:id="rId2376" xr:uid="{00000000-0004-0000-0000-000047090000}"/>
    <hyperlink ref="C2376" r:id="rId2377" xr:uid="{00000000-0004-0000-0000-000048090000}"/>
    <hyperlink ref="C2377" r:id="rId2378" xr:uid="{00000000-0004-0000-0000-000049090000}"/>
    <hyperlink ref="C2378" r:id="rId2379" xr:uid="{00000000-0004-0000-0000-00004A090000}"/>
    <hyperlink ref="C2379" r:id="rId2380" xr:uid="{00000000-0004-0000-0000-00004B090000}"/>
    <hyperlink ref="C2380" r:id="rId2381" xr:uid="{00000000-0004-0000-0000-00004C090000}"/>
    <hyperlink ref="C2381" r:id="rId2382" xr:uid="{00000000-0004-0000-0000-00004D090000}"/>
    <hyperlink ref="C2382" r:id="rId2383" xr:uid="{00000000-0004-0000-0000-00004E090000}"/>
    <hyperlink ref="C2383" r:id="rId2384" xr:uid="{00000000-0004-0000-0000-00004F090000}"/>
    <hyperlink ref="C2384" r:id="rId2385" xr:uid="{00000000-0004-0000-0000-000050090000}"/>
    <hyperlink ref="C2385" r:id="rId2386" xr:uid="{00000000-0004-0000-0000-000051090000}"/>
    <hyperlink ref="C2386" r:id="rId2387" xr:uid="{00000000-0004-0000-0000-000052090000}"/>
    <hyperlink ref="C2387" r:id="rId2388" xr:uid="{00000000-0004-0000-0000-000053090000}"/>
    <hyperlink ref="C2388" r:id="rId2389" xr:uid="{00000000-0004-0000-0000-000054090000}"/>
    <hyperlink ref="C2389" r:id="rId2390" xr:uid="{00000000-0004-0000-0000-000055090000}"/>
    <hyperlink ref="C2390" r:id="rId2391" xr:uid="{00000000-0004-0000-0000-000056090000}"/>
    <hyperlink ref="C2391" r:id="rId2392" xr:uid="{00000000-0004-0000-0000-000057090000}"/>
    <hyperlink ref="C2392" r:id="rId2393" xr:uid="{00000000-0004-0000-0000-000058090000}"/>
    <hyperlink ref="C2393" r:id="rId2394" xr:uid="{00000000-0004-0000-0000-000059090000}"/>
    <hyperlink ref="C2394" r:id="rId2395" xr:uid="{00000000-0004-0000-0000-00005A090000}"/>
    <hyperlink ref="C2395" r:id="rId2396" xr:uid="{00000000-0004-0000-0000-00005B090000}"/>
    <hyperlink ref="C2396" r:id="rId2397" xr:uid="{00000000-0004-0000-0000-00005C090000}"/>
    <hyperlink ref="C2397" r:id="rId2398" xr:uid="{00000000-0004-0000-0000-00005D090000}"/>
    <hyperlink ref="C2398" r:id="rId2399" xr:uid="{00000000-0004-0000-0000-00005E090000}"/>
    <hyperlink ref="C2399" r:id="rId2400" xr:uid="{00000000-0004-0000-0000-00005F090000}"/>
    <hyperlink ref="C2400" r:id="rId2401" xr:uid="{00000000-0004-0000-0000-000060090000}"/>
    <hyperlink ref="C2401" r:id="rId2402" xr:uid="{00000000-0004-0000-0000-000061090000}"/>
    <hyperlink ref="C2402" r:id="rId2403" xr:uid="{00000000-0004-0000-0000-000062090000}"/>
    <hyperlink ref="C2403" r:id="rId2404" xr:uid="{00000000-0004-0000-0000-000063090000}"/>
    <hyperlink ref="C2404" r:id="rId2405" xr:uid="{00000000-0004-0000-0000-000064090000}"/>
    <hyperlink ref="C2405" r:id="rId2406" xr:uid="{00000000-0004-0000-0000-000065090000}"/>
    <hyperlink ref="C2406" r:id="rId2407" xr:uid="{00000000-0004-0000-0000-000066090000}"/>
    <hyperlink ref="C2407" r:id="rId2408" xr:uid="{00000000-0004-0000-0000-000067090000}"/>
    <hyperlink ref="C2408" r:id="rId2409" xr:uid="{00000000-0004-0000-0000-000068090000}"/>
    <hyperlink ref="C2409" r:id="rId2410" xr:uid="{00000000-0004-0000-0000-000069090000}"/>
    <hyperlink ref="C2410" r:id="rId2411" xr:uid="{00000000-0004-0000-0000-00006A090000}"/>
    <hyperlink ref="C2411" r:id="rId2412" xr:uid="{00000000-0004-0000-0000-00006B090000}"/>
    <hyperlink ref="C2412" r:id="rId2413" xr:uid="{00000000-0004-0000-0000-00006C090000}"/>
    <hyperlink ref="C2413" r:id="rId2414" xr:uid="{00000000-0004-0000-0000-00006D090000}"/>
    <hyperlink ref="C2414" r:id="rId2415" xr:uid="{00000000-0004-0000-0000-00006E090000}"/>
    <hyperlink ref="C2415" r:id="rId2416" xr:uid="{00000000-0004-0000-0000-00006F090000}"/>
    <hyperlink ref="C2416" r:id="rId2417" xr:uid="{00000000-0004-0000-0000-000070090000}"/>
    <hyperlink ref="C2417" r:id="rId2418" xr:uid="{00000000-0004-0000-0000-000071090000}"/>
    <hyperlink ref="C2418" r:id="rId2419" xr:uid="{00000000-0004-0000-0000-000072090000}"/>
    <hyperlink ref="C2419" r:id="rId2420" xr:uid="{00000000-0004-0000-0000-000073090000}"/>
    <hyperlink ref="C2420" r:id="rId2421" xr:uid="{00000000-0004-0000-0000-000074090000}"/>
    <hyperlink ref="C2421" r:id="rId2422" xr:uid="{00000000-0004-0000-0000-000075090000}"/>
    <hyperlink ref="C2422" r:id="rId2423" xr:uid="{00000000-0004-0000-0000-000076090000}"/>
    <hyperlink ref="C2423" r:id="rId2424" xr:uid="{00000000-0004-0000-0000-000077090000}"/>
    <hyperlink ref="C2424" r:id="rId2425" xr:uid="{00000000-0004-0000-0000-000078090000}"/>
    <hyperlink ref="C2425" r:id="rId2426" xr:uid="{00000000-0004-0000-0000-000079090000}"/>
    <hyperlink ref="C2426" r:id="rId2427" xr:uid="{00000000-0004-0000-0000-00007A090000}"/>
    <hyperlink ref="C2427" r:id="rId2428" xr:uid="{00000000-0004-0000-0000-00007B090000}"/>
    <hyperlink ref="C2428" r:id="rId2429" xr:uid="{00000000-0004-0000-0000-00007C090000}"/>
    <hyperlink ref="C2429" r:id="rId2430" xr:uid="{00000000-0004-0000-0000-00007D090000}"/>
    <hyperlink ref="C2430" r:id="rId2431" xr:uid="{00000000-0004-0000-0000-00007E090000}"/>
    <hyperlink ref="C2431" r:id="rId2432" xr:uid="{00000000-0004-0000-0000-00007F090000}"/>
    <hyperlink ref="C2432" r:id="rId2433" xr:uid="{00000000-0004-0000-0000-000080090000}"/>
    <hyperlink ref="C2433" r:id="rId2434" xr:uid="{00000000-0004-0000-0000-000081090000}"/>
    <hyperlink ref="C2434" r:id="rId2435" xr:uid="{00000000-0004-0000-0000-000082090000}"/>
    <hyperlink ref="C2435" r:id="rId2436" xr:uid="{00000000-0004-0000-0000-000083090000}"/>
    <hyperlink ref="C2436" r:id="rId2437" xr:uid="{00000000-0004-0000-0000-000084090000}"/>
    <hyperlink ref="C2437" r:id="rId2438" xr:uid="{00000000-0004-0000-0000-000085090000}"/>
    <hyperlink ref="C2438" r:id="rId2439" xr:uid="{00000000-0004-0000-0000-000086090000}"/>
    <hyperlink ref="C2439" r:id="rId2440" xr:uid="{00000000-0004-0000-0000-000087090000}"/>
    <hyperlink ref="C2440" r:id="rId2441" xr:uid="{00000000-0004-0000-0000-000088090000}"/>
    <hyperlink ref="C2441" r:id="rId2442" xr:uid="{00000000-0004-0000-0000-000089090000}"/>
    <hyperlink ref="C2442" r:id="rId2443" xr:uid="{00000000-0004-0000-0000-00008A090000}"/>
    <hyperlink ref="C2443" r:id="rId2444" xr:uid="{00000000-0004-0000-0000-00008B090000}"/>
    <hyperlink ref="C2444" r:id="rId2445" xr:uid="{00000000-0004-0000-0000-00008C090000}"/>
    <hyperlink ref="C2445" r:id="rId2446" xr:uid="{00000000-0004-0000-0000-00008D090000}"/>
    <hyperlink ref="C2446" r:id="rId2447" xr:uid="{00000000-0004-0000-0000-00008E090000}"/>
    <hyperlink ref="C2447" r:id="rId2448" xr:uid="{00000000-0004-0000-0000-00008F090000}"/>
    <hyperlink ref="C2448" r:id="rId2449" xr:uid="{00000000-0004-0000-0000-000090090000}"/>
    <hyperlink ref="C2449" r:id="rId2450" xr:uid="{00000000-0004-0000-0000-000091090000}"/>
    <hyperlink ref="C2450" r:id="rId2451" xr:uid="{00000000-0004-0000-0000-000092090000}"/>
    <hyperlink ref="C2451" r:id="rId2452" xr:uid="{00000000-0004-0000-0000-000093090000}"/>
    <hyperlink ref="C2452" r:id="rId2453" xr:uid="{00000000-0004-0000-0000-000094090000}"/>
    <hyperlink ref="C2453" r:id="rId2454" xr:uid="{00000000-0004-0000-0000-000095090000}"/>
    <hyperlink ref="C2454" r:id="rId2455" xr:uid="{00000000-0004-0000-0000-000096090000}"/>
    <hyperlink ref="C2455" r:id="rId2456" xr:uid="{00000000-0004-0000-0000-000097090000}"/>
    <hyperlink ref="C2456" r:id="rId2457" xr:uid="{00000000-0004-0000-0000-000098090000}"/>
    <hyperlink ref="C2457" r:id="rId2458" xr:uid="{00000000-0004-0000-0000-000099090000}"/>
    <hyperlink ref="C2458" r:id="rId2459" xr:uid="{00000000-0004-0000-0000-00009A090000}"/>
    <hyperlink ref="C2459" r:id="rId2460" xr:uid="{00000000-0004-0000-0000-00009B090000}"/>
    <hyperlink ref="C2460" r:id="rId2461" xr:uid="{00000000-0004-0000-0000-00009C090000}"/>
    <hyperlink ref="C2461" r:id="rId2462" xr:uid="{00000000-0004-0000-0000-00009D090000}"/>
    <hyperlink ref="C2462" r:id="rId2463" xr:uid="{00000000-0004-0000-0000-00009E090000}"/>
    <hyperlink ref="C2463" r:id="rId2464" xr:uid="{00000000-0004-0000-0000-00009F090000}"/>
    <hyperlink ref="C2464" r:id="rId2465" xr:uid="{00000000-0004-0000-0000-0000A0090000}"/>
    <hyperlink ref="C2465" r:id="rId2466" xr:uid="{00000000-0004-0000-0000-0000A1090000}"/>
    <hyperlink ref="C2466" r:id="rId2467" xr:uid="{00000000-0004-0000-0000-0000A2090000}"/>
    <hyperlink ref="C2467" r:id="rId2468" xr:uid="{00000000-0004-0000-0000-0000A3090000}"/>
    <hyperlink ref="C2468" r:id="rId2469" xr:uid="{00000000-0004-0000-0000-0000A4090000}"/>
    <hyperlink ref="C2469" r:id="rId2470" xr:uid="{00000000-0004-0000-0000-0000A5090000}"/>
    <hyperlink ref="C2470" r:id="rId2471" xr:uid="{00000000-0004-0000-0000-0000A6090000}"/>
    <hyperlink ref="C2471" r:id="rId2472" xr:uid="{00000000-0004-0000-0000-0000A7090000}"/>
    <hyperlink ref="C2472" r:id="rId2473" xr:uid="{00000000-0004-0000-0000-0000A8090000}"/>
    <hyperlink ref="C2473" r:id="rId2474" xr:uid="{00000000-0004-0000-0000-0000A9090000}"/>
    <hyperlink ref="C2474" r:id="rId2475" xr:uid="{00000000-0004-0000-0000-0000AA090000}"/>
    <hyperlink ref="C2475" r:id="rId2476" xr:uid="{00000000-0004-0000-0000-0000AB090000}"/>
    <hyperlink ref="C2476" r:id="rId2477" xr:uid="{00000000-0004-0000-0000-0000AC090000}"/>
    <hyperlink ref="C2477" r:id="rId2478" xr:uid="{00000000-0004-0000-0000-0000AD090000}"/>
    <hyperlink ref="C2478" r:id="rId2479" xr:uid="{00000000-0004-0000-0000-0000AE090000}"/>
    <hyperlink ref="C2479" r:id="rId2480" xr:uid="{00000000-0004-0000-0000-0000AF090000}"/>
    <hyperlink ref="C2480" r:id="rId2481" xr:uid="{00000000-0004-0000-0000-0000B0090000}"/>
    <hyperlink ref="C2481" r:id="rId2482" xr:uid="{00000000-0004-0000-0000-0000B1090000}"/>
    <hyperlink ref="C2482" r:id="rId2483" xr:uid="{00000000-0004-0000-0000-0000B2090000}"/>
    <hyperlink ref="C2483" r:id="rId2484" xr:uid="{00000000-0004-0000-0000-0000B3090000}"/>
    <hyperlink ref="C2484" r:id="rId2485" xr:uid="{00000000-0004-0000-0000-0000B4090000}"/>
    <hyperlink ref="C2485" r:id="rId2486" xr:uid="{00000000-0004-0000-0000-0000B5090000}"/>
    <hyperlink ref="C2486" r:id="rId2487" xr:uid="{00000000-0004-0000-0000-0000B6090000}"/>
    <hyperlink ref="C2487" r:id="rId2488" xr:uid="{00000000-0004-0000-0000-0000B7090000}"/>
    <hyperlink ref="C2488" r:id="rId2489" xr:uid="{00000000-0004-0000-0000-0000B8090000}"/>
    <hyperlink ref="C2489" r:id="rId2490" xr:uid="{00000000-0004-0000-0000-0000B9090000}"/>
    <hyperlink ref="C2490" r:id="rId2491" xr:uid="{00000000-0004-0000-0000-0000BA090000}"/>
    <hyperlink ref="C2491" r:id="rId2492" xr:uid="{00000000-0004-0000-0000-0000BB090000}"/>
    <hyperlink ref="C2492" r:id="rId2493" xr:uid="{00000000-0004-0000-0000-0000BC090000}"/>
    <hyperlink ref="C2493" r:id="rId2494" xr:uid="{00000000-0004-0000-0000-0000BD090000}"/>
    <hyperlink ref="C2494" r:id="rId2495" xr:uid="{00000000-0004-0000-0000-0000BE090000}"/>
    <hyperlink ref="C2495" r:id="rId2496" xr:uid="{00000000-0004-0000-0000-0000BF090000}"/>
    <hyperlink ref="C2496" r:id="rId2497" xr:uid="{00000000-0004-0000-0000-0000C0090000}"/>
    <hyperlink ref="C2497" r:id="rId2498" xr:uid="{00000000-0004-0000-0000-0000C1090000}"/>
    <hyperlink ref="C2498" r:id="rId2499" xr:uid="{00000000-0004-0000-0000-0000C2090000}"/>
    <hyperlink ref="C2499" r:id="rId2500" xr:uid="{00000000-0004-0000-0000-0000C3090000}"/>
    <hyperlink ref="C2500" r:id="rId2501" xr:uid="{00000000-0004-0000-0000-0000C4090000}"/>
    <hyperlink ref="C2501" r:id="rId2502" xr:uid="{00000000-0004-0000-0000-0000C5090000}"/>
    <hyperlink ref="C2502" r:id="rId2503" xr:uid="{00000000-0004-0000-0000-0000C6090000}"/>
    <hyperlink ref="C2503" r:id="rId2504" xr:uid="{00000000-0004-0000-0000-0000C7090000}"/>
    <hyperlink ref="C2504" r:id="rId2505" xr:uid="{00000000-0004-0000-0000-0000C8090000}"/>
    <hyperlink ref="C2505" r:id="rId2506" xr:uid="{00000000-0004-0000-0000-0000C9090000}"/>
    <hyperlink ref="C2506" r:id="rId2507" xr:uid="{00000000-0004-0000-0000-0000CA090000}"/>
    <hyperlink ref="C2507" r:id="rId2508" xr:uid="{00000000-0004-0000-0000-0000CB090000}"/>
    <hyperlink ref="C2508" r:id="rId2509" xr:uid="{00000000-0004-0000-0000-0000CC090000}"/>
    <hyperlink ref="C2509" r:id="rId2510" xr:uid="{00000000-0004-0000-0000-0000CD090000}"/>
    <hyperlink ref="C2510" r:id="rId2511" xr:uid="{00000000-0004-0000-0000-0000CE090000}"/>
    <hyperlink ref="C2511" r:id="rId2512" xr:uid="{00000000-0004-0000-0000-0000CF090000}"/>
    <hyperlink ref="C2512" r:id="rId2513" xr:uid="{00000000-0004-0000-0000-0000D0090000}"/>
    <hyperlink ref="C2513" r:id="rId2514" xr:uid="{00000000-0004-0000-0000-0000D1090000}"/>
    <hyperlink ref="C2514" r:id="rId2515" xr:uid="{00000000-0004-0000-0000-0000D2090000}"/>
    <hyperlink ref="C2515" r:id="rId2516" xr:uid="{00000000-0004-0000-0000-0000D3090000}"/>
    <hyperlink ref="C2516" r:id="rId2517" xr:uid="{00000000-0004-0000-0000-0000D4090000}"/>
    <hyperlink ref="C2517" r:id="rId2518" xr:uid="{00000000-0004-0000-0000-0000D5090000}"/>
    <hyperlink ref="C2518" r:id="rId2519" xr:uid="{00000000-0004-0000-0000-0000D6090000}"/>
    <hyperlink ref="C2519" r:id="rId2520" xr:uid="{00000000-0004-0000-0000-0000D7090000}"/>
    <hyperlink ref="C2520" r:id="rId2521" xr:uid="{00000000-0004-0000-0000-0000D8090000}"/>
    <hyperlink ref="C2521" r:id="rId2522" xr:uid="{00000000-0004-0000-0000-0000D9090000}"/>
    <hyperlink ref="C2522" r:id="rId2523" xr:uid="{00000000-0004-0000-0000-0000DA090000}"/>
    <hyperlink ref="C2523" r:id="rId2524" xr:uid="{00000000-0004-0000-0000-0000DB090000}"/>
    <hyperlink ref="C2524" r:id="rId2525" xr:uid="{00000000-0004-0000-0000-0000DC090000}"/>
    <hyperlink ref="C2525" r:id="rId2526" xr:uid="{00000000-0004-0000-0000-0000DD090000}"/>
    <hyperlink ref="C2526" r:id="rId2527" xr:uid="{00000000-0004-0000-0000-0000DE090000}"/>
    <hyperlink ref="C2527" r:id="rId2528" xr:uid="{00000000-0004-0000-0000-0000DF090000}"/>
    <hyperlink ref="C2528" r:id="rId2529" xr:uid="{00000000-0004-0000-0000-0000E0090000}"/>
    <hyperlink ref="C2529" r:id="rId2530" xr:uid="{00000000-0004-0000-0000-0000E1090000}"/>
    <hyperlink ref="C2530" r:id="rId2531" xr:uid="{00000000-0004-0000-0000-0000E2090000}"/>
    <hyperlink ref="C2531" r:id="rId2532" xr:uid="{00000000-0004-0000-0000-0000E3090000}"/>
    <hyperlink ref="C2532" r:id="rId2533" xr:uid="{00000000-0004-0000-0000-0000E4090000}"/>
    <hyperlink ref="C2533" r:id="rId2534" xr:uid="{00000000-0004-0000-0000-0000E5090000}"/>
    <hyperlink ref="C2534" r:id="rId2535" xr:uid="{00000000-0004-0000-0000-0000E6090000}"/>
    <hyperlink ref="C2535" r:id="rId2536" xr:uid="{00000000-0004-0000-0000-0000E7090000}"/>
    <hyperlink ref="C2536" r:id="rId2537" xr:uid="{00000000-0004-0000-0000-0000E8090000}"/>
    <hyperlink ref="C2537" r:id="rId2538" xr:uid="{00000000-0004-0000-0000-0000E9090000}"/>
    <hyperlink ref="C2538" r:id="rId2539" xr:uid="{00000000-0004-0000-0000-0000EA090000}"/>
    <hyperlink ref="C2539" r:id="rId2540" xr:uid="{00000000-0004-0000-0000-0000EB090000}"/>
    <hyperlink ref="C2540" r:id="rId2541" xr:uid="{00000000-0004-0000-0000-0000EC090000}"/>
    <hyperlink ref="C2541" r:id="rId2542" xr:uid="{00000000-0004-0000-0000-0000ED090000}"/>
    <hyperlink ref="C2542" r:id="rId2543" xr:uid="{00000000-0004-0000-0000-0000EE090000}"/>
    <hyperlink ref="C2543" r:id="rId2544" xr:uid="{00000000-0004-0000-0000-0000EF09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56854"/>
    <outlinePr summaryBelow="0" summaryRight="0"/>
    <pageSetUpPr fitToPage="1"/>
  </sheetPr>
  <dimension ref="A1:N2846"/>
  <sheetViews>
    <sheetView topLeftCell="D1" workbookViewId="0">
      <pane ySplit="1" topLeftCell="A2" activePane="bottomLeft" state="frozen"/>
      <selection pane="bottomLeft" activeCell="C19" sqref="C19"/>
    </sheetView>
  </sheetViews>
  <sheetFormatPr baseColWidth="10" defaultColWidth="12.6640625" defaultRowHeight="15.75" customHeight="1" x14ac:dyDescent="0.15"/>
  <cols>
    <col min="1" max="1" width="22.1640625" customWidth="1"/>
    <col min="2" max="2" width="29.6640625" customWidth="1"/>
    <col min="3" max="3" width="42.83203125" customWidth="1"/>
    <col min="4" max="4" width="50.83203125" customWidth="1"/>
    <col min="5" max="5" width="66.1640625" customWidth="1"/>
    <col min="6" max="6" width="7.83203125" customWidth="1"/>
    <col min="7" max="7" width="9.5" customWidth="1"/>
  </cols>
  <sheetData>
    <row r="1" spans="1:14" ht="22.5" customHeight="1" x14ac:dyDescent="0.15">
      <c r="A1" s="41" t="s">
        <v>3197</v>
      </c>
      <c r="B1" s="10" t="s">
        <v>3198</v>
      </c>
      <c r="C1" s="10" t="s">
        <v>3199</v>
      </c>
      <c r="D1" s="9" t="s">
        <v>3200</v>
      </c>
      <c r="E1" s="9" t="s">
        <v>3201</v>
      </c>
      <c r="F1" s="11" t="s">
        <v>3202</v>
      </c>
      <c r="G1" s="11" t="s">
        <v>3203</v>
      </c>
    </row>
    <row r="2" spans="1:14" ht="22.5" customHeight="1" x14ac:dyDescent="0.15">
      <c r="A2" s="39" t="s">
        <v>12</v>
      </c>
      <c r="B2" s="12" t="s">
        <v>3204</v>
      </c>
      <c r="C2" s="12" t="s">
        <v>3205</v>
      </c>
      <c r="D2" s="12" t="s">
        <v>3206</v>
      </c>
      <c r="E2" s="12" t="s">
        <v>58</v>
      </c>
      <c r="F2" s="13">
        <f>COUNTIF(Main!G:G,A2)</f>
        <v>198</v>
      </c>
      <c r="G2" s="14">
        <f>(F2/J14)</f>
        <v>7.7891424075531082E-2</v>
      </c>
      <c r="H2" s="35" t="s">
        <v>3207</v>
      </c>
      <c r="I2" s="36"/>
      <c r="J2" s="36"/>
      <c r="K2" s="36"/>
      <c r="L2" s="36"/>
      <c r="M2" s="36"/>
      <c r="N2" s="36"/>
    </row>
    <row r="3" spans="1:14" ht="22.5" customHeight="1" x14ac:dyDescent="0.15">
      <c r="A3" s="39" t="s">
        <v>18</v>
      </c>
      <c r="B3" s="12" t="s">
        <v>3208</v>
      </c>
      <c r="C3" s="12" t="s">
        <v>3209</v>
      </c>
      <c r="D3" s="12" t="s">
        <v>3210</v>
      </c>
      <c r="E3" s="12" t="s">
        <v>226</v>
      </c>
      <c r="F3" s="13">
        <f>COUNTIF(Main!G:G,A3)</f>
        <v>428</v>
      </c>
      <c r="G3" s="14">
        <f>(F3/J14)</f>
        <v>0.16837136113296616</v>
      </c>
      <c r="H3" s="37" t="s">
        <v>3211</v>
      </c>
      <c r="I3" s="36"/>
      <c r="J3" s="36"/>
      <c r="K3" s="36"/>
      <c r="L3" s="36"/>
      <c r="M3" s="36"/>
      <c r="N3" s="36"/>
    </row>
    <row r="4" spans="1:14" ht="22.5" customHeight="1" x14ac:dyDescent="0.15">
      <c r="A4" s="39" t="s">
        <v>23</v>
      </c>
      <c r="B4" s="12" t="s">
        <v>23</v>
      </c>
      <c r="C4" s="12" t="s">
        <v>3212</v>
      </c>
      <c r="D4" s="12" t="s">
        <v>3213</v>
      </c>
      <c r="E4" s="12" t="s">
        <v>22</v>
      </c>
      <c r="F4" s="13">
        <f>COUNTIF(Main!G:G,A4)</f>
        <v>159</v>
      </c>
      <c r="G4" s="14">
        <f>(F4/J14)</f>
        <v>6.2549173878835559E-2</v>
      </c>
      <c r="H4" s="36"/>
      <c r="I4" s="36"/>
      <c r="J4" s="36"/>
      <c r="K4" s="36"/>
      <c r="L4" s="36"/>
      <c r="M4" s="36"/>
      <c r="N4" s="36"/>
    </row>
    <row r="5" spans="1:14" ht="22.5" customHeight="1" x14ac:dyDescent="0.15">
      <c r="A5" s="39" t="s">
        <v>30</v>
      </c>
      <c r="B5" s="12" t="s">
        <v>30</v>
      </c>
      <c r="C5" s="12" t="s">
        <v>3214</v>
      </c>
      <c r="D5" s="12" t="s">
        <v>3215</v>
      </c>
      <c r="E5" s="12" t="s">
        <v>251</v>
      </c>
      <c r="F5" s="13">
        <f>COUNTIF(Main!G:G,A5)</f>
        <v>755</v>
      </c>
      <c r="G5" s="14">
        <f>(F5/J14)</f>
        <v>0.29701022816679779</v>
      </c>
      <c r="H5" s="36"/>
      <c r="I5" s="36"/>
      <c r="J5" s="36"/>
      <c r="K5" s="36"/>
      <c r="L5" s="36"/>
      <c r="M5" s="36"/>
      <c r="N5" s="36"/>
    </row>
    <row r="6" spans="1:14" ht="22.5" customHeight="1" x14ac:dyDescent="0.15">
      <c r="A6" s="39" t="s">
        <v>67</v>
      </c>
      <c r="B6" s="12" t="s">
        <v>3216</v>
      </c>
      <c r="C6" s="12" t="s">
        <v>3217</v>
      </c>
      <c r="D6" s="12" t="s">
        <v>3218</v>
      </c>
      <c r="E6" s="12" t="s">
        <v>66</v>
      </c>
      <c r="F6" s="13">
        <f>COUNTIF(Main!G:G,A6)</f>
        <v>21</v>
      </c>
      <c r="G6" s="14">
        <f>(F6/J14)</f>
        <v>8.2612116443745078E-3</v>
      </c>
      <c r="H6" s="36"/>
      <c r="I6" s="36"/>
      <c r="J6" s="36"/>
      <c r="K6" s="36"/>
      <c r="L6" s="36"/>
      <c r="M6" s="36"/>
      <c r="N6" s="36"/>
    </row>
    <row r="7" spans="1:14" ht="22.5" customHeight="1" x14ac:dyDescent="0.15">
      <c r="A7" s="39" t="s">
        <v>77</v>
      </c>
      <c r="B7" s="12" t="s">
        <v>3219</v>
      </c>
      <c r="C7" s="12" t="s">
        <v>3220</v>
      </c>
      <c r="D7" s="12" t="s">
        <v>3221</v>
      </c>
      <c r="E7" s="12" t="s">
        <v>199</v>
      </c>
      <c r="F7" s="13">
        <f>COUNTIF(Main!G:G,A7)</f>
        <v>88</v>
      </c>
      <c r="G7" s="14">
        <f>(F7/J14)</f>
        <v>3.4618410700236038E-2</v>
      </c>
    </row>
    <row r="8" spans="1:14" ht="22.5" customHeight="1" x14ac:dyDescent="0.15">
      <c r="A8" s="39" t="s">
        <v>83</v>
      </c>
      <c r="B8" s="12" t="s">
        <v>83</v>
      </c>
      <c r="C8" s="12" t="s">
        <v>3222</v>
      </c>
      <c r="D8" s="12" t="s">
        <v>3223</v>
      </c>
      <c r="E8" s="12" t="s">
        <v>158</v>
      </c>
      <c r="F8" s="13">
        <f>COUNTIF(Main!G:G,A8)</f>
        <v>171</v>
      </c>
      <c r="G8" s="14">
        <f>(F8/J14)</f>
        <v>6.7269866247049573E-2</v>
      </c>
    </row>
    <row r="9" spans="1:14" ht="22.5" customHeight="1" x14ac:dyDescent="0.15">
      <c r="A9" s="39" t="s">
        <v>88</v>
      </c>
      <c r="B9" s="12" t="s">
        <v>3224</v>
      </c>
      <c r="C9" s="12" t="s">
        <v>3225</v>
      </c>
      <c r="D9" s="12" t="s">
        <v>3226</v>
      </c>
      <c r="E9" s="12" t="s">
        <v>171</v>
      </c>
      <c r="F9" s="13">
        <f>COUNTIF(Main!G:G,A9)</f>
        <v>255</v>
      </c>
      <c r="G9" s="14">
        <f>(F9/J14)</f>
        <v>0.1003147128245476</v>
      </c>
    </row>
    <row r="10" spans="1:14" ht="22.5" customHeight="1" x14ac:dyDescent="0.15">
      <c r="A10" s="39" t="s">
        <v>115</v>
      </c>
      <c r="B10" s="12" t="s">
        <v>3227</v>
      </c>
      <c r="C10" s="12" t="s">
        <v>3228</v>
      </c>
      <c r="D10" s="12" t="s">
        <v>3229</v>
      </c>
      <c r="E10" s="12" t="s">
        <v>116</v>
      </c>
      <c r="F10" s="13">
        <f>COUNTIF(Main!G:G,A10)</f>
        <v>44</v>
      </c>
      <c r="G10" s="14">
        <f>(F10/J14)</f>
        <v>1.7309205350118019E-2</v>
      </c>
    </row>
    <row r="11" spans="1:14" ht="22.5" customHeight="1" x14ac:dyDescent="0.15">
      <c r="A11" s="39" t="s">
        <v>136</v>
      </c>
      <c r="B11" s="12" t="s">
        <v>3230</v>
      </c>
      <c r="C11" s="12" t="s">
        <v>3231</v>
      </c>
      <c r="D11" s="12" t="s">
        <v>3232</v>
      </c>
      <c r="E11" s="12" t="s">
        <v>137</v>
      </c>
      <c r="F11" s="13">
        <f>COUNTIF(Main!G:G,A11)</f>
        <v>249</v>
      </c>
      <c r="G11" s="14">
        <f>(F11/J14)</f>
        <v>9.7954366640440604E-2</v>
      </c>
    </row>
    <row r="12" spans="1:14" ht="22.5" customHeight="1" x14ac:dyDescent="0.15">
      <c r="A12" s="39" t="s">
        <v>219</v>
      </c>
      <c r="B12" s="12" t="s">
        <v>3233</v>
      </c>
      <c r="C12" s="12" t="s">
        <v>3234</v>
      </c>
      <c r="D12" s="12" t="s">
        <v>3235</v>
      </c>
      <c r="E12" s="12" t="s">
        <v>218</v>
      </c>
      <c r="F12" s="13">
        <f>COUNTIF(Main!G:G,A12)</f>
        <v>49</v>
      </c>
      <c r="G12" s="14">
        <f>(F12/J14)</f>
        <v>1.9276160503540519E-2</v>
      </c>
    </row>
    <row r="13" spans="1:14" ht="22.5" customHeight="1" x14ac:dyDescent="0.15">
      <c r="A13" s="39" t="s">
        <v>342</v>
      </c>
      <c r="B13" s="12" t="s">
        <v>3236</v>
      </c>
      <c r="C13" s="12" t="s">
        <v>3237</v>
      </c>
      <c r="D13" s="12" t="s">
        <v>3238</v>
      </c>
      <c r="E13" s="12" t="s">
        <v>341</v>
      </c>
      <c r="F13" s="13">
        <f>COUNTIF(Main!G:G,A13)</f>
        <v>80</v>
      </c>
      <c r="G13" s="14">
        <f>(F13/J14)</f>
        <v>3.1471282454760031E-2</v>
      </c>
    </row>
    <row r="14" spans="1:14" ht="22.5" customHeight="1" x14ac:dyDescent="0.15">
      <c r="A14" s="40" t="s">
        <v>3239</v>
      </c>
      <c r="B14" s="12"/>
      <c r="C14" s="12"/>
      <c r="D14" s="12"/>
      <c r="E14" s="12"/>
      <c r="F14" s="13">
        <f>COUNTIF(Main!G:G,A14)</f>
        <v>0</v>
      </c>
      <c r="G14" s="14">
        <f>(F14/J14)</f>
        <v>0</v>
      </c>
      <c r="I14" s="6" t="s">
        <v>3240</v>
      </c>
      <c r="J14" s="6">
        <f>COUNTA(Main!E2:E2846)</f>
        <v>2542</v>
      </c>
    </row>
    <row r="15" spans="1:14" ht="22.5" customHeight="1" x14ac:dyDescent="0.15">
      <c r="A15" s="40" t="s">
        <v>513</v>
      </c>
      <c r="B15" s="12"/>
      <c r="C15" s="12"/>
      <c r="D15" s="12" t="s">
        <v>3241</v>
      </c>
      <c r="E15" s="12" t="s">
        <v>512</v>
      </c>
      <c r="F15" s="13">
        <f>COUNTIF(Main!G:G,A15)</f>
        <v>45</v>
      </c>
      <c r="G15" s="14">
        <f>(F15/J14)</f>
        <v>1.7702596380802519E-2</v>
      </c>
    </row>
    <row r="16" spans="1:14" ht="22.5" customHeight="1" x14ac:dyDescent="0.15">
      <c r="A16" s="33"/>
      <c r="B16" s="12"/>
      <c r="C16" s="12"/>
      <c r="D16" s="12"/>
      <c r="E16" s="12"/>
      <c r="G16" s="14"/>
    </row>
    <row r="17" spans="1:7" ht="22.5" customHeight="1" x14ac:dyDescent="0.15">
      <c r="A17" s="33"/>
      <c r="B17" s="12"/>
      <c r="C17" s="12"/>
      <c r="D17" s="12"/>
      <c r="E17" s="12"/>
      <c r="F17" s="13">
        <f>SUM(F1:F15)</f>
        <v>2542</v>
      </c>
      <c r="G17" s="14">
        <f>SUM(G2:G15)</f>
        <v>1.0000000000000002</v>
      </c>
    </row>
    <row r="18" spans="1:7" ht="22.5" customHeight="1" x14ac:dyDescent="0.15">
      <c r="A18" s="33"/>
      <c r="B18" s="12"/>
      <c r="C18" s="12"/>
      <c r="D18" s="12"/>
      <c r="E18" s="12"/>
      <c r="G18" s="14"/>
    </row>
    <row r="19" spans="1:7" ht="22.5" customHeight="1" x14ac:dyDescent="0.15">
      <c r="A19" s="33"/>
      <c r="B19" s="12"/>
      <c r="C19" s="12"/>
      <c r="D19" s="12"/>
      <c r="E19" s="12"/>
      <c r="G19" s="14"/>
    </row>
    <row r="20" spans="1:7" ht="22.5" customHeight="1" x14ac:dyDescent="0.15">
      <c r="A20" s="33"/>
      <c r="B20" s="12"/>
      <c r="C20" s="12"/>
      <c r="D20" s="12"/>
      <c r="E20" s="12"/>
      <c r="G20" s="14"/>
    </row>
    <row r="21" spans="1:7" ht="22.5" customHeight="1" x14ac:dyDescent="0.15">
      <c r="A21" s="33"/>
      <c r="B21" s="12"/>
      <c r="C21" s="12"/>
      <c r="D21" s="12"/>
      <c r="E21" s="12"/>
      <c r="G21" s="14"/>
    </row>
    <row r="22" spans="1:7" ht="22.5" customHeight="1" x14ac:dyDescent="0.15">
      <c r="A22" s="33"/>
      <c r="B22" s="12"/>
      <c r="C22" s="12"/>
      <c r="D22" s="12"/>
      <c r="E22" s="12"/>
      <c r="G22" s="14"/>
    </row>
    <row r="23" spans="1:7" ht="22.5" customHeight="1" x14ac:dyDescent="0.15">
      <c r="A23" s="33"/>
      <c r="B23" s="12"/>
      <c r="C23" s="12"/>
      <c r="D23" s="12"/>
      <c r="E23" s="12"/>
      <c r="G23" s="14"/>
    </row>
    <row r="24" spans="1:7" ht="22.5" customHeight="1" x14ac:dyDescent="0.15">
      <c r="A24" s="33"/>
      <c r="B24" s="12"/>
      <c r="C24" s="12"/>
      <c r="D24" s="12"/>
      <c r="E24" s="12"/>
      <c r="G24" s="14"/>
    </row>
    <row r="25" spans="1:7" ht="22.5" customHeight="1" x14ac:dyDescent="0.15">
      <c r="A25" s="33"/>
      <c r="B25" s="12"/>
      <c r="C25" s="12"/>
      <c r="D25" s="12"/>
      <c r="E25" s="12"/>
      <c r="G25" s="14"/>
    </row>
    <row r="26" spans="1:7" ht="22.5" customHeight="1" x14ac:dyDescent="0.15">
      <c r="A26" s="33"/>
      <c r="B26" s="12"/>
      <c r="C26" s="12"/>
      <c r="D26" s="12"/>
      <c r="E26" s="12"/>
      <c r="G26" s="14"/>
    </row>
    <row r="27" spans="1:7" ht="22.5" customHeight="1" x14ac:dyDescent="0.15">
      <c r="A27" s="33"/>
      <c r="B27" s="12"/>
      <c r="C27" s="12"/>
      <c r="D27" s="12"/>
      <c r="E27" s="12"/>
      <c r="G27" s="14"/>
    </row>
    <row r="28" spans="1:7" ht="22.5" customHeight="1" x14ac:dyDescent="0.15">
      <c r="A28" s="33"/>
      <c r="B28" s="12"/>
      <c r="C28" s="12"/>
      <c r="D28" s="12"/>
      <c r="E28" s="12"/>
      <c r="G28" s="14"/>
    </row>
    <row r="29" spans="1:7" ht="22.5" customHeight="1" x14ac:dyDescent="0.15">
      <c r="A29" s="33"/>
      <c r="B29" s="12"/>
      <c r="C29" s="12"/>
      <c r="D29" s="12"/>
      <c r="E29" s="12"/>
      <c r="G29" s="14"/>
    </row>
    <row r="30" spans="1:7" ht="22.5" customHeight="1" x14ac:dyDescent="0.15">
      <c r="A30" s="33"/>
      <c r="B30" s="12"/>
      <c r="C30" s="12"/>
      <c r="D30" s="12"/>
      <c r="E30" s="12"/>
      <c r="G30" s="14"/>
    </row>
    <row r="31" spans="1:7" ht="22.5" customHeight="1" x14ac:dyDescent="0.15">
      <c r="A31" s="33"/>
      <c r="B31" s="12"/>
      <c r="C31" s="12"/>
      <c r="D31" s="12"/>
      <c r="E31" s="12"/>
      <c r="G31" s="14"/>
    </row>
    <row r="32" spans="1:7" ht="22.5" customHeight="1" x14ac:dyDescent="0.15">
      <c r="A32" s="33"/>
      <c r="B32" s="12"/>
      <c r="C32" s="12"/>
      <c r="D32" s="12"/>
      <c r="E32" s="12"/>
      <c r="G32" s="14"/>
    </row>
    <row r="33" spans="1:7" ht="22.5" customHeight="1" x14ac:dyDescent="0.15">
      <c r="A33" s="33"/>
      <c r="B33" s="12"/>
      <c r="C33" s="12"/>
      <c r="D33" s="12"/>
      <c r="E33" s="12"/>
      <c r="G33" s="14"/>
    </row>
    <row r="34" spans="1:7" ht="22.5" customHeight="1" x14ac:dyDescent="0.15">
      <c r="A34" s="33"/>
      <c r="B34" s="12"/>
      <c r="C34" s="12"/>
      <c r="D34" s="12"/>
      <c r="E34" s="12"/>
      <c r="G34" s="14"/>
    </row>
    <row r="35" spans="1:7" ht="22.5" customHeight="1" x14ac:dyDescent="0.15">
      <c r="A35" s="33"/>
      <c r="B35" s="12"/>
      <c r="C35" s="12"/>
      <c r="D35" s="12"/>
      <c r="E35" s="12"/>
      <c r="G35" s="14"/>
    </row>
    <row r="36" spans="1:7" ht="22.5" customHeight="1" x14ac:dyDescent="0.15">
      <c r="A36" s="33"/>
      <c r="B36" s="12"/>
      <c r="C36" s="12"/>
      <c r="D36" s="12"/>
      <c r="E36" s="12"/>
      <c r="G36" s="14"/>
    </row>
    <row r="37" spans="1:7" ht="22.5" customHeight="1" x14ac:dyDescent="0.15">
      <c r="A37" s="33"/>
      <c r="B37" s="12"/>
      <c r="C37" s="12"/>
      <c r="D37" s="12"/>
      <c r="E37" s="12"/>
      <c r="G37" s="14"/>
    </row>
    <row r="38" spans="1:7" ht="22.5" customHeight="1" x14ac:dyDescent="0.15">
      <c r="A38" s="33"/>
      <c r="B38" s="12"/>
      <c r="C38" s="12"/>
      <c r="D38" s="12"/>
      <c r="E38" s="12"/>
      <c r="G38" s="14"/>
    </row>
    <row r="39" spans="1:7" ht="22.5" customHeight="1" x14ac:dyDescent="0.15">
      <c r="A39" s="33"/>
      <c r="B39" s="12"/>
      <c r="C39" s="12"/>
      <c r="D39" s="12"/>
      <c r="E39" s="12"/>
      <c r="G39" s="14"/>
    </row>
    <row r="40" spans="1:7" ht="22.5" customHeight="1" x14ac:dyDescent="0.15">
      <c r="A40" s="33"/>
      <c r="B40" s="12"/>
      <c r="C40" s="12"/>
      <c r="D40" s="12"/>
      <c r="E40" s="12"/>
      <c r="G40" s="14"/>
    </row>
    <row r="41" spans="1:7" ht="22.5" customHeight="1" x14ac:dyDescent="0.15">
      <c r="A41" s="33"/>
      <c r="B41" s="12"/>
      <c r="C41" s="12"/>
      <c r="D41" s="12"/>
      <c r="E41" s="12"/>
      <c r="G41" s="14"/>
    </row>
    <row r="42" spans="1:7" ht="22.5" customHeight="1" x14ac:dyDescent="0.15">
      <c r="A42" s="33"/>
      <c r="B42" s="12"/>
      <c r="C42" s="12"/>
      <c r="D42" s="12"/>
      <c r="E42" s="12"/>
      <c r="G42" s="14"/>
    </row>
    <row r="43" spans="1:7" ht="22.5" customHeight="1" x14ac:dyDescent="0.15">
      <c r="A43" s="33"/>
      <c r="B43" s="12"/>
      <c r="C43" s="12"/>
      <c r="D43" s="12"/>
      <c r="E43" s="12"/>
      <c r="G43" s="14"/>
    </row>
    <row r="44" spans="1:7" ht="22.5" customHeight="1" x14ac:dyDescent="0.15">
      <c r="A44" s="33"/>
      <c r="B44" s="12"/>
      <c r="C44" s="12"/>
      <c r="D44" s="12"/>
      <c r="E44" s="12"/>
      <c r="G44" s="14"/>
    </row>
    <row r="45" spans="1:7" ht="22.5" customHeight="1" x14ac:dyDescent="0.15">
      <c r="A45" s="33"/>
      <c r="B45" s="12"/>
      <c r="C45" s="12"/>
      <c r="D45" s="12"/>
      <c r="E45" s="12"/>
      <c r="G45" s="14"/>
    </row>
    <row r="46" spans="1:7" ht="22.5" customHeight="1" x14ac:dyDescent="0.15">
      <c r="A46" s="33"/>
      <c r="B46" s="12"/>
      <c r="C46" s="12"/>
      <c r="D46" s="12"/>
      <c r="E46" s="12"/>
      <c r="G46" s="14"/>
    </row>
    <row r="47" spans="1:7" ht="22.5" customHeight="1" x14ac:dyDescent="0.15">
      <c r="A47" s="33"/>
      <c r="B47" s="12"/>
      <c r="C47" s="12"/>
      <c r="D47" s="12"/>
      <c r="E47" s="12"/>
      <c r="G47" s="14"/>
    </row>
    <row r="48" spans="1:7" ht="22.5" customHeight="1" x14ac:dyDescent="0.15">
      <c r="A48" s="33"/>
      <c r="B48" s="12"/>
      <c r="C48" s="12"/>
      <c r="D48" s="12"/>
      <c r="E48" s="12"/>
      <c r="G48" s="14"/>
    </row>
    <row r="49" spans="1:7" ht="22.5" customHeight="1" x14ac:dyDescent="0.15">
      <c r="A49" s="33"/>
      <c r="B49" s="12"/>
      <c r="C49" s="12"/>
      <c r="D49" s="12"/>
      <c r="E49" s="12"/>
      <c r="G49" s="14"/>
    </row>
    <row r="50" spans="1:7" ht="22.5" customHeight="1" x14ac:dyDescent="0.15">
      <c r="A50" s="33"/>
      <c r="B50" s="12"/>
      <c r="C50" s="12"/>
      <c r="D50" s="12"/>
      <c r="E50" s="12"/>
      <c r="G50" s="14"/>
    </row>
    <row r="51" spans="1:7" ht="22.5" customHeight="1" x14ac:dyDescent="0.15">
      <c r="A51" s="33"/>
      <c r="B51" s="12"/>
      <c r="C51" s="12"/>
      <c r="D51" s="12"/>
      <c r="E51" s="12"/>
      <c r="G51" s="14"/>
    </row>
    <row r="52" spans="1:7" ht="22.5" customHeight="1" x14ac:dyDescent="0.15">
      <c r="A52" s="33"/>
      <c r="B52" s="12"/>
      <c r="C52" s="12"/>
      <c r="D52" s="12"/>
      <c r="E52" s="12"/>
      <c r="G52" s="14"/>
    </row>
    <row r="53" spans="1:7" ht="22.5" customHeight="1" x14ac:dyDescent="0.15">
      <c r="A53" s="33"/>
      <c r="B53" s="12"/>
      <c r="C53" s="12"/>
      <c r="D53" s="12"/>
      <c r="E53" s="12"/>
      <c r="G53" s="14"/>
    </row>
    <row r="54" spans="1:7" ht="22.5" customHeight="1" x14ac:dyDescent="0.15">
      <c r="A54" s="33"/>
      <c r="B54" s="12"/>
      <c r="C54" s="12"/>
      <c r="D54" s="12"/>
      <c r="E54" s="12"/>
      <c r="G54" s="14"/>
    </row>
    <row r="55" spans="1:7" ht="22.5" customHeight="1" x14ac:dyDescent="0.15">
      <c r="A55" s="33"/>
      <c r="B55" s="12"/>
      <c r="C55" s="12"/>
      <c r="D55" s="12"/>
      <c r="E55" s="12"/>
      <c r="G55" s="14"/>
    </row>
    <row r="56" spans="1:7" ht="22.5" customHeight="1" x14ac:dyDescent="0.15">
      <c r="A56" s="33"/>
      <c r="B56" s="12"/>
      <c r="C56" s="12"/>
      <c r="D56" s="12"/>
      <c r="E56" s="12"/>
      <c r="G56" s="14"/>
    </row>
    <row r="57" spans="1:7" ht="22.5" customHeight="1" x14ac:dyDescent="0.15">
      <c r="A57" s="33"/>
      <c r="B57" s="12"/>
      <c r="C57" s="12"/>
      <c r="D57" s="12"/>
      <c r="E57" s="12"/>
      <c r="G57" s="14"/>
    </row>
    <row r="58" spans="1:7" ht="22.5" customHeight="1" x14ac:dyDescent="0.15">
      <c r="A58" s="33"/>
      <c r="B58" s="12"/>
      <c r="C58" s="12"/>
      <c r="D58" s="12"/>
      <c r="E58" s="12"/>
      <c r="G58" s="14"/>
    </row>
    <row r="59" spans="1:7" ht="22.5" customHeight="1" x14ac:dyDescent="0.15">
      <c r="A59" s="33"/>
      <c r="B59" s="12"/>
      <c r="C59" s="12"/>
      <c r="D59" s="12"/>
      <c r="E59" s="12"/>
      <c r="G59" s="14"/>
    </row>
    <row r="60" spans="1:7" ht="22.5" customHeight="1" x14ac:dyDescent="0.15">
      <c r="A60" s="33"/>
      <c r="B60" s="12"/>
      <c r="C60" s="12"/>
      <c r="D60" s="12"/>
      <c r="E60" s="12"/>
      <c r="G60" s="14"/>
    </row>
    <row r="61" spans="1:7" ht="22.5" customHeight="1" x14ac:dyDescent="0.15">
      <c r="A61" s="33"/>
      <c r="B61" s="12"/>
      <c r="C61" s="12"/>
      <c r="D61" s="12"/>
      <c r="E61" s="12"/>
      <c r="G61" s="14"/>
    </row>
    <row r="62" spans="1:7" ht="22.5" customHeight="1" x14ac:dyDescent="0.15">
      <c r="A62" s="33"/>
      <c r="B62" s="12"/>
      <c r="C62" s="12"/>
      <c r="D62" s="12"/>
      <c r="E62" s="12"/>
      <c r="G62" s="14"/>
    </row>
    <row r="63" spans="1:7" ht="22.5" customHeight="1" x14ac:dyDescent="0.15">
      <c r="A63" s="33"/>
      <c r="B63" s="12"/>
      <c r="C63" s="12"/>
      <c r="D63" s="12"/>
      <c r="E63" s="12"/>
      <c r="G63" s="14"/>
    </row>
    <row r="64" spans="1:7" ht="22.5" customHeight="1" x14ac:dyDescent="0.15">
      <c r="A64" s="33"/>
      <c r="B64" s="12"/>
      <c r="C64" s="12"/>
      <c r="D64" s="12"/>
      <c r="E64" s="12"/>
      <c r="G64" s="14"/>
    </row>
    <row r="65" spans="1:7" ht="22.5" customHeight="1" x14ac:dyDescent="0.15">
      <c r="A65" s="33"/>
      <c r="B65" s="12"/>
      <c r="C65" s="12"/>
      <c r="D65" s="12"/>
      <c r="E65" s="12"/>
      <c r="G65" s="14"/>
    </row>
    <row r="66" spans="1:7" ht="22.5" customHeight="1" x14ac:dyDescent="0.15">
      <c r="A66" s="33"/>
      <c r="B66" s="12"/>
      <c r="C66" s="12"/>
      <c r="D66" s="12"/>
      <c r="E66" s="12"/>
      <c r="G66" s="14"/>
    </row>
    <row r="67" spans="1:7" ht="22.5" customHeight="1" x14ac:dyDescent="0.15">
      <c r="A67" s="33"/>
      <c r="B67" s="12"/>
      <c r="C67" s="12"/>
      <c r="D67" s="12"/>
      <c r="E67" s="12"/>
      <c r="G67" s="14"/>
    </row>
    <row r="68" spans="1:7" ht="22.5" customHeight="1" x14ac:dyDescent="0.15">
      <c r="A68" s="33"/>
      <c r="B68" s="12"/>
      <c r="C68" s="12"/>
      <c r="D68" s="12"/>
      <c r="E68" s="12"/>
      <c r="G68" s="14"/>
    </row>
    <row r="69" spans="1:7" ht="22.5" customHeight="1" x14ac:dyDescent="0.15">
      <c r="A69" s="33"/>
      <c r="B69" s="12"/>
      <c r="C69" s="12"/>
      <c r="D69" s="12"/>
      <c r="E69" s="12"/>
      <c r="G69" s="14"/>
    </row>
    <row r="70" spans="1:7" ht="22.5" customHeight="1" x14ac:dyDescent="0.15">
      <c r="A70" s="33"/>
      <c r="B70" s="12"/>
      <c r="C70" s="12"/>
      <c r="D70" s="12"/>
      <c r="E70" s="12"/>
      <c r="G70" s="14"/>
    </row>
    <row r="71" spans="1:7" ht="22.5" customHeight="1" x14ac:dyDescent="0.15">
      <c r="A71" s="33"/>
      <c r="B71" s="12"/>
      <c r="C71" s="12"/>
      <c r="D71" s="12"/>
      <c r="E71" s="12"/>
      <c r="G71" s="14"/>
    </row>
    <row r="72" spans="1:7" ht="22.5" customHeight="1" x14ac:dyDescent="0.15">
      <c r="A72" s="33"/>
      <c r="B72" s="12"/>
      <c r="C72" s="12"/>
      <c r="D72" s="12"/>
      <c r="E72" s="12"/>
      <c r="G72" s="14"/>
    </row>
    <row r="73" spans="1:7" ht="22.5" customHeight="1" x14ac:dyDescent="0.15">
      <c r="A73" s="33"/>
      <c r="B73" s="12"/>
      <c r="C73" s="12"/>
      <c r="D73" s="12"/>
      <c r="E73" s="12"/>
      <c r="G73" s="14"/>
    </row>
    <row r="74" spans="1:7" ht="22.5" customHeight="1" x14ac:dyDescent="0.15">
      <c r="A74" s="33"/>
      <c r="B74" s="12"/>
      <c r="C74" s="12"/>
      <c r="D74" s="12"/>
      <c r="E74" s="12"/>
      <c r="G74" s="14"/>
    </row>
    <row r="75" spans="1:7" ht="22.5" customHeight="1" x14ac:dyDescent="0.15">
      <c r="A75" s="33"/>
      <c r="B75" s="12"/>
      <c r="C75" s="12"/>
      <c r="D75" s="12"/>
      <c r="E75" s="12"/>
      <c r="G75" s="14"/>
    </row>
    <row r="76" spans="1:7" ht="22.5" customHeight="1" x14ac:dyDescent="0.15">
      <c r="A76" s="33"/>
      <c r="B76" s="12"/>
      <c r="C76" s="12"/>
      <c r="D76" s="12"/>
      <c r="E76" s="12"/>
      <c r="G76" s="14"/>
    </row>
    <row r="77" spans="1:7" ht="22.5" customHeight="1" x14ac:dyDescent="0.15">
      <c r="A77" s="33"/>
      <c r="B77" s="12"/>
      <c r="C77" s="12"/>
      <c r="D77" s="12"/>
      <c r="E77" s="12"/>
      <c r="G77" s="14"/>
    </row>
    <row r="78" spans="1:7" ht="22.5" customHeight="1" x14ac:dyDescent="0.15">
      <c r="A78" s="33"/>
      <c r="B78" s="12"/>
      <c r="C78" s="12"/>
      <c r="D78" s="12"/>
      <c r="E78" s="12"/>
      <c r="G78" s="14"/>
    </row>
    <row r="79" spans="1:7" ht="22.5" customHeight="1" x14ac:dyDescent="0.15">
      <c r="A79" s="33"/>
      <c r="B79" s="12"/>
      <c r="C79" s="12"/>
      <c r="D79" s="12"/>
      <c r="E79" s="12"/>
      <c r="G79" s="14"/>
    </row>
    <row r="80" spans="1:7" ht="22.5" customHeight="1" x14ac:dyDescent="0.15">
      <c r="A80" s="33"/>
      <c r="B80" s="12"/>
      <c r="C80" s="12"/>
      <c r="D80" s="12"/>
      <c r="E80" s="12"/>
      <c r="G80" s="14"/>
    </row>
    <row r="81" spans="1:7" ht="22.5" customHeight="1" x14ac:dyDescent="0.15">
      <c r="A81" s="33"/>
      <c r="B81" s="12"/>
      <c r="C81" s="12"/>
      <c r="D81" s="12"/>
      <c r="E81" s="12"/>
      <c r="G81" s="14"/>
    </row>
    <row r="82" spans="1:7" ht="22.5" customHeight="1" x14ac:dyDescent="0.15">
      <c r="A82" s="33"/>
      <c r="B82" s="12"/>
      <c r="C82" s="12"/>
      <c r="D82" s="12"/>
      <c r="E82" s="12"/>
      <c r="G82" s="14"/>
    </row>
    <row r="83" spans="1:7" ht="22.5" customHeight="1" x14ac:dyDescent="0.15">
      <c r="A83" s="33"/>
      <c r="B83" s="12"/>
      <c r="C83" s="12"/>
      <c r="D83" s="12"/>
      <c r="E83" s="12"/>
      <c r="G83" s="14"/>
    </row>
    <row r="84" spans="1:7" ht="22.5" customHeight="1" x14ac:dyDescent="0.15">
      <c r="A84" s="33"/>
      <c r="B84" s="12"/>
      <c r="C84" s="12"/>
      <c r="D84" s="12"/>
      <c r="E84" s="12"/>
      <c r="G84" s="14"/>
    </row>
    <row r="85" spans="1:7" ht="22.5" customHeight="1" x14ac:dyDescent="0.15">
      <c r="A85" s="33"/>
      <c r="B85" s="12"/>
      <c r="C85" s="12"/>
      <c r="D85" s="12"/>
      <c r="E85" s="12"/>
      <c r="G85" s="14"/>
    </row>
    <row r="86" spans="1:7" ht="22.5" customHeight="1" x14ac:dyDescent="0.15">
      <c r="A86" s="33"/>
      <c r="B86" s="12"/>
      <c r="C86" s="12"/>
      <c r="D86" s="12"/>
      <c r="E86" s="12"/>
      <c r="G86" s="14"/>
    </row>
    <row r="87" spans="1:7" ht="22.5" customHeight="1" x14ac:dyDescent="0.15">
      <c r="A87" s="33"/>
      <c r="B87" s="12"/>
      <c r="C87" s="12"/>
      <c r="D87" s="12"/>
      <c r="E87" s="12"/>
      <c r="G87" s="14"/>
    </row>
    <row r="88" spans="1:7" ht="22.5" customHeight="1" x14ac:dyDescent="0.15">
      <c r="A88" s="33"/>
      <c r="B88" s="12"/>
      <c r="C88" s="12"/>
      <c r="D88" s="12"/>
      <c r="E88" s="12"/>
      <c r="G88" s="14"/>
    </row>
    <row r="89" spans="1:7" ht="22.5" customHeight="1" x14ac:dyDescent="0.15">
      <c r="A89" s="33"/>
      <c r="B89" s="12"/>
      <c r="C89" s="12"/>
      <c r="D89" s="12"/>
      <c r="E89" s="12"/>
      <c r="G89" s="14"/>
    </row>
    <row r="90" spans="1:7" ht="22.5" customHeight="1" x14ac:dyDescent="0.15">
      <c r="A90" s="33"/>
      <c r="B90" s="12"/>
      <c r="C90" s="12"/>
      <c r="D90" s="12"/>
      <c r="E90" s="12"/>
      <c r="G90" s="14"/>
    </row>
    <row r="91" spans="1:7" ht="22.5" customHeight="1" x14ac:dyDescent="0.15">
      <c r="A91" s="33"/>
      <c r="B91" s="12"/>
      <c r="C91" s="12"/>
      <c r="D91" s="12"/>
      <c r="E91" s="12"/>
      <c r="G91" s="14"/>
    </row>
    <row r="92" spans="1:7" ht="22.5" customHeight="1" x14ac:dyDescent="0.15">
      <c r="A92" s="33"/>
      <c r="B92" s="12"/>
      <c r="C92" s="12"/>
      <c r="D92" s="12"/>
      <c r="E92" s="12"/>
      <c r="G92" s="14"/>
    </row>
    <row r="93" spans="1:7" ht="22.5" customHeight="1" x14ac:dyDescent="0.15">
      <c r="A93" s="33"/>
      <c r="B93" s="12"/>
      <c r="C93" s="12"/>
      <c r="D93" s="12"/>
      <c r="E93" s="12"/>
      <c r="G93" s="14"/>
    </row>
    <row r="94" spans="1:7" ht="22.5" customHeight="1" x14ac:dyDescent="0.15">
      <c r="A94" s="33"/>
      <c r="B94" s="12"/>
      <c r="C94" s="12"/>
      <c r="D94" s="12"/>
      <c r="E94" s="12"/>
      <c r="G94" s="14"/>
    </row>
    <row r="95" spans="1:7" ht="22.5" customHeight="1" x14ac:dyDescent="0.15">
      <c r="A95" s="33"/>
      <c r="B95" s="12"/>
      <c r="C95" s="12"/>
      <c r="D95" s="12"/>
      <c r="E95" s="12"/>
      <c r="G95" s="14"/>
    </row>
    <row r="96" spans="1:7" ht="22.5" customHeight="1" x14ac:dyDescent="0.15">
      <c r="A96" s="33"/>
      <c r="B96" s="12"/>
      <c r="C96" s="12"/>
      <c r="D96" s="12"/>
      <c r="E96" s="12"/>
      <c r="G96" s="14"/>
    </row>
    <row r="97" spans="1:7" ht="22.5" customHeight="1" x14ac:dyDescent="0.15">
      <c r="A97" s="33"/>
      <c r="B97" s="12"/>
      <c r="C97" s="12"/>
      <c r="D97" s="12"/>
      <c r="E97" s="12"/>
      <c r="G97" s="14"/>
    </row>
    <row r="98" spans="1:7" ht="22.5" customHeight="1" x14ac:dyDescent="0.15">
      <c r="A98" s="33"/>
      <c r="B98" s="12"/>
      <c r="C98" s="12"/>
      <c r="D98" s="12"/>
      <c r="E98" s="12"/>
      <c r="G98" s="14"/>
    </row>
    <row r="99" spans="1:7" ht="22.5" customHeight="1" x14ac:dyDescent="0.15">
      <c r="A99" s="33"/>
      <c r="B99" s="12"/>
      <c r="C99" s="12"/>
      <c r="D99" s="12"/>
      <c r="E99" s="12"/>
      <c r="G99" s="14"/>
    </row>
    <row r="100" spans="1:7" ht="22.5" customHeight="1" x14ac:dyDescent="0.15">
      <c r="A100" s="33"/>
      <c r="B100" s="12"/>
      <c r="C100" s="12"/>
      <c r="D100" s="12"/>
      <c r="E100" s="12"/>
      <c r="G100" s="14"/>
    </row>
    <row r="101" spans="1:7" ht="22.5" customHeight="1" x14ac:dyDescent="0.15">
      <c r="A101" s="33"/>
      <c r="B101" s="12"/>
      <c r="C101" s="12"/>
      <c r="D101" s="12"/>
      <c r="E101" s="12"/>
      <c r="G101" s="14"/>
    </row>
    <row r="102" spans="1:7" ht="22.5" customHeight="1" x14ac:dyDescent="0.15">
      <c r="A102" s="33"/>
      <c r="B102" s="12"/>
      <c r="C102" s="12"/>
      <c r="D102" s="12"/>
      <c r="E102" s="12"/>
      <c r="G102" s="14"/>
    </row>
    <row r="103" spans="1:7" ht="22.5" customHeight="1" x14ac:dyDescent="0.15">
      <c r="A103" s="33"/>
      <c r="B103" s="12"/>
      <c r="C103" s="12"/>
      <c r="D103" s="12"/>
      <c r="E103" s="12"/>
      <c r="G103" s="14"/>
    </row>
    <row r="104" spans="1:7" ht="22.5" customHeight="1" x14ac:dyDescent="0.15">
      <c r="A104" s="33"/>
      <c r="B104" s="12"/>
      <c r="C104" s="12"/>
      <c r="D104" s="12"/>
      <c r="E104" s="12"/>
      <c r="G104" s="14"/>
    </row>
    <row r="105" spans="1:7" ht="22.5" customHeight="1" x14ac:dyDescent="0.15">
      <c r="A105" s="33"/>
      <c r="B105" s="12"/>
      <c r="C105" s="12"/>
      <c r="D105" s="12"/>
      <c r="E105" s="12"/>
      <c r="G105" s="14"/>
    </row>
    <row r="106" spans="1:7" ht="22.5" customHeight="1" x14ac:dyDescent="0.15">
      <c r="A106" s="33"/>
      <c r="B106" s="12"/>
      <c r="C106" s="12"/>
      <c r="D106" s="12"/>
      <c r="E106" s="12"/>
      <c r="G106" s="14"/>
    </row>
    <row r="107" spans="1:7" ht="22.5" customHeight="1" x14ac:dyDescent="0.15">
      <c r="A107" s="33"/>
      <c r="B107" s="12"/>
      <c r="C107" s="12"/>
      <c r="D107" s="12"/>
      <c r="E107" s="12"/>
      <c r="G107" s="14"/>
    </row>
    <row r="108" spans="1:7" ht="22.5" customHeight="1" x14ac:dyDescent="0.15">
      <c r="A108" s="33"/>
      <c r="B108" s="12"/>
      <c r="C108" s="12"/>
      <c r="D108" s="12"/>
      <c r="E108" s="12"/>
      <c r="G108" s="14"/>
    </row>
    <row r="109" spans="1:7" ht="22.5" customHeight="1" x14ac:dyDescent="0.15">
      <c r="A109" s="33"/>
      <c r="B109" s="12"/>
      <c r="C109" s="12"/>
      <c r="D109" s="12"/>
      <c r="E109" s="12"/>
      <c r="G109" s="14"/>
    </row>
    <row r="110" spans="1:7" ht="22.5" customHeight="1" x14ac:dyDescent="0.15">
      <c r="A110" s="33"/>
      <c r="B110" s="12"/>
      <c r="C110" s="12"/>
      <c r="D110" s="12"/>
      <c r="E110" s="12"/>
      <c r="G110" s="14"/>
    </row>
    <row r="111" spans="1:7" ht="22.5" customHeight="1" x14ac:dyDescent="0.15">
      <c r="A111" s="33"/>
      <c r="B111" s="12"/>
      <c r="C111" s="12"/>
      <c r="D111" s="12"/>
      <c r="E111" s="12"/>
      <c r="G111" s="14"/>
    </row>
    <row r="112" spans="1:7" ht="22.5" customHeight="1" x14ac:dyDescent="0.15">
      <c r="A112" s="33"/>
      <c r="B112" s="12"/>
      <c r="C112" s="12"/>
      <c r="D112" s="12"/>
      <c r="E112" s="12"/>
      <c r="G112" s="14"/>
    </row>
    <row r="113" spans="1:7" ht="22.5" customHeight="1" x14ac:dyDescent="0.15">
      <c r="A113" s="33"/>
      <c r="B113" s="12"/>
      <c r="C113" s="12"/>
      <c r="D113" s="12"/>
      <c r="E113" s="12"/>
      <c r="G113" s="14"/>
    </row>
    <row r="114" spans="1:7" ht="22.5" customHeight="1" x14ac:dyDescent="0.15">
      <c r="A114" s="33"/>
      <c r="B114" s="12"/>
      <c r="C114" s="12"/>
      <c r="D114" s="12"/>
      <c r="E114" s="12"/>
      <c r="G114" s="14"/>
    </row>
    <row r="115" spans="1:7" ht="22.5" customHeight="1" x14ac:dyDescent="0.15">
      <c r="A115" s="33"/>
      <c r="B115" s="12"/>
      <c r="C115" s="12"/>
      <c r="D115" s="12"/>
      <c r="E115" s="12"/>
      <c r="G115" s="14"/>
    </row>
    <row r="116" spans="1:7" ht="22.5" customHeight="1" x14ac:dyDescent="0.15">
      <c r="A116" s="33"/>
      <c r="B116" s="12"/>
      <c r="C116" s="12"/>
      <c r="D116" s="12"/>
      <c r="E116" s="12"/>
      <c r="G116" s="14"/>
    </row>
    <row r="117" spans="1:7" ht="22.5" customHeight="1" x14ac:dyDescent="0.15">
      <c r="A117" s="33"/>
      <c r="B117" s="12"/>
      <c r="C117" s="12"/>
      <c r="D117" s="12"/>
      <c r="E117" s="12"/>
      <c r="G117" s="14"/>
    </row>
    <row r="118" spans="1:7" ht="22.5" customHeight="1" x14ac:dyDescent="0.15">
      <c r="A118" s="33"/>
      <c r="B118" s="12"/>
      <c r="C118" s="12"/>
      <c r="D118" s="12"/>
      <c r="E118" s="12"/>
      <c r="G118" s="14"/>
    </row>
    <row r="119" spans="1:7" ht="22.5" customHeight="1" x14ac:dyDescent="0.15">
      <c r="A119" s="33"/>
      <c r="B119" s="12"/>
      <c r="C119" s="12"/>
      <c r="D119" s="12"/>
      <c r="E119" s="12"/>
      <c r="G119" s="14"/>
    </row>
    <row r="120" spans="1:7" ht="22.5" customHeight="1" x14ac:dyDescent="0.15">
      <c r="A120" s="33"/>
      <c r="B120" s="12"/>
      <c r="C120" s="12"/>
      <c r="D120" s="12"/>
      <c r="E120" s="12"/>
      <c r="G120" s="14"/>
    </row>
    <row r="121" spans="1:7" ht="22.5" customHeight="1" x14ac:dyDescent="0.15">
      <c r="A121" s="33"/>
      <c r="B121" s="12"/>
      <c r="C121" s="12"/>
      <c r="D121" s="12"/>
      <c r="E121" s="12"/>
      <c r="G121" s="14"/>
    </row>
    <row r="122" spans="1:7" ht="22.5" customHeight="1" x14ac:dyDescent="0.15">
      <c r="A122" s="33"/>
      <c r="B122" s="12"/>
      <c r="C122" s="12"/>
      <c r="D122" s="12"/>
      <c r="E122" s="12"/>
      <c r="G122" s="14"/>
    </row>
    <row r="123" spans="1:7" ht="22.5" customHeight="1" x14ac:dyDescent="0.15">
      <c r="A123" s="33"/>
      <c r="B123" s="12"/>
      <c r="C123" s="12"/>
      <c r="D123" s="12"/>
      <c r="E123" s="12"/>
      <c r="G123" s="14"/>
    </row>
    <row r="124" spans="1:7" ht="22.5" customHeight="1" x14ac:dyDescent="0.15">
      <c r="A124" s="33"/>
      <c r="B124" s="12"/>
      <c r="C124" s="12"/>
      <c r="D124" s="12"/>
      <c r="E124" s="12"/>
      <c r="G124" s="14"/>
    </row>
    <row r="125" spans="1:7" ht="22.5" customHeight="1" x14ac:dyDescent="0.15">
      <c r="A125" s="33"/>
      <c r="B125" s="12"/>
      <c r="C125" s="12"/>
      <c r="D125" s="12"/>
      <c r="E125" s="12"/>
      <c r="G125" s="14"/>
    </row>
    <row r="126" spans="1:7" ht="22.5" customHeight="1" x14ac:dyDescent="0.15">
      <c r="A126" s="33"/>
      <c r="B126" s="12"/>
      <c r="C126" s="12"/>
      <c r="D126" s="12"/>
      <c r="E126" s="12"/>
      <c r="G126" s="14"/>
    </row>
    <row r="127" spans="1:7" ht="22.5" customHeight="1" x14ac:dyDescent="0.15">
      <c r="A127" s="33"/>
      <c r="B127" s="12"/>
      <c r="C127" s="12"/>
      <c r="D127" s="12"/>
      <c r="E127" s="12"/>
      <c r="G127" s="14"/>
    </row>
    <row r="128" spans="1:7" ht="22.5" customHeight="1" x14ac:dyDescent="0.15">
      <c r="A128" s="33"/>
      <c r="B128" s="12"/>
      <c r="C128" s="12"/>
      <c r="D128" s="12"/>
      <c r="E128" s="12"/>
      <c r="G128" s="14"/>
    </row>
    <row r="129" spans="1:7" ht="22.5" customHeight="1" x14ac:dyDescent="0.15">
      <c r="A129" s="33"/>
      <c r="B129" s="12"/>
      <c r="C129" s="12"/>
      <c r="D129" s="12"/>
      <c r="E129" s="12"/>
      <c r="G129" s="14"/>
    </row>
    <row r="130" spans="1:7" ht="22.5" customHeight="1" x14ac:dyDescent="0.15">
      <c r="A130" s="33"/>
      <c r="B130" s="12"/>
      <c r="C130" s="12"/>
      <c r="D130" s="12"/>
      <c r="E130" s="12"/>
      <c r="G130" s="14"/>
    </row>
    <row r="131" spans="1:7" ht="22.5" customHeight="1" x14ac:dyDescent="0.15">
      <c r="A131" s="33"/>
      <c r="B131" s="12"/>
      <c r="C131" s="12"/>
      <c r="D131" s="12"/>
      <c r="E131" s="12"/>
      <c r="G131" s="14"/>
    </row>
    <row r="132" spans="1:7" ht="22.5" customHeight="1" x14ac:dyDescent="0.15">
      <c r="A132" s="33"/>
      <c r="B132" s="12"/>
      <c r="C132" s="12"/>
      <c r="D132" s="12"/>
      <c r="E132" s="12"/>
      <c r="G132" s="14"/>
    </row>
    <row r="133" spans="1:7" ht="22.5" customHeight="1" x14ac:dyDescent="0.15">
      <c r="A133" s="33"/>
      <c r="B133" s="12"/>
      <c r="C133" s="12"/>
      <c r="D133" s="12"/>
      <c r="E133" s="12"/>
      <c r="G133" s="14"/>
    </row>
    <row r="134" spans="1:7" ht="22.5" customHeight="1" x14ac:dyDescent="0.15">
      <c r="A134" s="33"/>
      <c r="B134" s="12"/>
      <c r="C134" s="12"/>
      <c r="D134" s="12"/>
      <c r="E134" s="12"/>
      <c r="G134" s="14"/>
    </row>
    <row r="135" spans="1:7" ht="22.5" customHeight="1" x14ac:dyDescent="0.15">
      <c r="A135" s="33"/>
      <c r="B135" s="12"/>
      <c r="C135" s="12"/>
      <c r="D135" s="12"/>
      <c r="E135" s="12"/>
      <c r="G135" s="14"/>
    </row>
    <row r="136" spans="1:7" ht="22.5" customHeight="1" x14ac:dyDescent="0.15">
      <c r="A136" s="33"/>
      <c r="B136" s="12"/>
      <c r="C136" s="12"/>
      <c r="D136" s="12"/>
      <c r="E136" s="12"/>
      <c r="G136" s="14"/>
    </row>
    <row r="137" spans="1:7" ht="22.5" customHeight="1" x14ac:dyDescent="0.15">
      <c r="A137" s="33"/>
      <c r="B137" s="12"/>
      <c r="C137" s="12"/>
      <c r="D137" s="12"/>
      <c r="E137" s="12"/>
      <c r="G137" s="14"/>
    </row>
    <row r="138" spans="1:7" ht="22.5" customHeight="1" x14ac:dyDescent="0.15">
      <c r="A138" s="33"/>
      <c r="B138" s="12"/>
      <c r="C138" s="12"/>
      <c r="D138" s="12"/>
      <c r="E138" s="12"/>
      <c r="G138" s="14"/>
    </row>
    <row r="139" spans="1:7" ht="22.5" customHeight="1" x14ac:dyDescent="0.15">
      <c r="A139" s="33"/>
      <c r="B139" s="12"/>
      <c r="C139" s="12"/>
      <c r="D139" s="12"/>
      <c r="E139" s="12"/>
      <c r="G139" s="14"/>
    </row>
    <row r="140" spans="1:7" ht="22.5" customHeight="1" x14ac:dyDescent="0.15">
      <c r="A140" s="33"/>
      <c r="B140" s="12"/>
      <c r="C140" s="12"/>
      <c r="D140" s="12"/>
      <c r="E140" s="12"/>
      <c r="G140" s="14"/>
    </row>
    <row r="141" spans="1:7" ht="22.5" customHeight="1" x14ac:dyDescent="0.15">
      <c r="A141" s="33"/>
      <c r="B141" s="12"/>
      <c r="C141" s="12"/>
      <c r="D141" s="12"/>
      <c r="E141" s="12"/>
      <c r="G141" s="14"/>
    </row>
    <row r="142" spans="1:7" ht="22.5" customHeight="1" x14ac:dyDescent="0.15">
      <c r="A142" s="33"/>
      <c r="B142" s="12"/>
      <c r="C142" s="12"/>
      <c r="D142" s="12"/>
      <c r="E142" s="12"/>
      <c r="G142" s="14"/>
    </row>
    <row r="143" spans="1:7" ht="22.5" customHeight="1" x14ac:dyDescent="0.15">
      <c r="A143" s="33"/>
      <c r="B143" s="12"/>
      <c r="C143" s="12"/>
      <c r="D143" s="12"/>
      <c r="E143" s="12"/>
      <c r="G143" s="14"/>
    </row>
    <row r="144" spans="1:7" ht="22.5" customHeight="1" x14ac:dyDescent="0.15">
      <c r="A144" s="33"/>
      <c r="B144" s="12"/>
      <c r="C144" s="12"/>
      <c r="D144" s="12"/>
      <c r="E144" s="12"/>
      <c r="G144" s="14"/>
    </row>
    <row r="145" spans="1:7" ht="22.5" customHeight="1" x14ac:dyDescent="0.15">
      <c r="A145" s="33"/>
      <c r="B145" s="12"/>
      <c r="C145" s="12"/>
      <c r="D145" s="12"/>
      <c r="E145" s="12"/>
      <c r="G145" s="14"/>
    </row>
    <row r="146" spans="1:7" ht="22.5" customHeight="1" x14ac:dyDescent="0.15">
      <c r="A146" s="33"/>
      <c r="B146" s="12"/>
      <c r="C146" s="12"/>
      <c r="D146" s="12"/>
      <c r="E146" s="12"/>
      <c r="G146" s="14"/>
    </row>
    <row r="147" spans="1:7" ht="22.5" customHeight="1" x14ac:dyDescent="0.15">
      <c r="A147" s="33"/>
      <c r="B147" s="12"/>
      <c r="C147" s="12"/>
      <c r="D147" s="12"/>
      <c r="E147" s="12"/>
      <c r="G147" s="14"/>
    </row>
    <row r="148" spans="1:7" ht="22.5" customHeight="1" x14ac:dyDescent="0.15">
      <c r="A148" s="33"/>
      <c r="B148" s="12"/>
      <c r="C148" s="12"/>
      <c r="D148" s="12"/>
      <c r="E148" s="12"/>
      <c r="G148" s="14"/>
    </row>
    <row r="149" spans="1:7" ht="22.5" customHeight="1" x14ac:dyDescent="0.15">
      <c r="A149" s="33"/>
      <c r="B149" s="12"/>
      <c r="C149" s="12"/>
      <c r="D149" s="12"/>
      <c r="E149" s="12"/>
      <c r="G149" s="14"/>
    </row>
    <row r="150" spans="1:7" ht="22.5" customHeight="1" x14ac:dyDescent="0.15">
      <c r="A150" s="33"/>
      <c r="B150" s="12"/>
      <c r="C150" s="12"/>
      <c r="D150" s="12"/>
      <c r="E150" s="12"/>
      <c r="G150" s="14"/>
    </row>
    <row r="151" spans="1:7" ht="22.5" customHeight="1" x14ac:dyDescent="0.15">
      <c r="A151" s="33"/>
      <c r="B151" s="12"/>
      <c r="C151" s="12"/>
      <c r="D151" s="12"/>
      <c r="E151" s="12"/>
      <c r="G151" s="14"/>
    </row>
    <row r="152" spans="1:7" ht="22.5" customHeight="1" x14ac:dyDescent="0.15">
      <c r="A152" s="33"/>
      <c r="B152" s="12"/>
      <c r="C152" s="12"/>
      <c r="D152" s="12"/>
      <c r="E152" s="12"/>
      <c r="G152" s="14"/>
    </row>
    <row r="153" spans="1:7" ht="22.5" customHeight="1" x14ac:dyDescent="0.15">
      <c r="A153" s="33"/>
      <c r="B153" s="12"/>
      <c r="C153" s="12"/>
      <c r="D153" s="12"/>
      <c r="E153" s="12"/>
      <c r="G153" s="14"/>
    </row>
    <row r="154" spans="1:7" ht="22.5" customHeight="1" x14ac:dyDescent="0.15">
      <c r="A154" s="33"/>
      <c r="B154" s="12"/>
      <c r="C154" s="12"/>
      <c r="D154" s="12"/>
      <c r="E154" s="12"/>
      <c r="G154" s="14"/>
    </row>
    <row r="155" spans="1:7" ht="22.5" customHeight="1" x14ac:dyDescent="0.15">
      <c r="A155" s="33"/>
      <c r="B155" s="12"/>
      <c r="C155" s="12"/>
      <c r="D155" s="12"/>
      <c r="E155" s="12"/>
      <c r="G155" s="14"/>
    </row>
    <row r="156" spans="1:7" ht="22.5" customHeight="1" x14ac:dyDescent="0.15">
      <c r="A156" s="33"/>
      <c r="B156" s="12"/>
      <c r="C156" s="12"/>
      <c r="D156" s="12"/>
      <c r="E156" s="12"/>
      <c r="G156" s="14"/>
    </row>
    <row r="157" spans="1:7" ht="22.5" customHeight="1" x14ac:dyDescent="0.15">
      <c r="A157" s="33"/>
      <c r="B157" s="12"/>
      <c r="C157" s="12"/>
      <c r="D157" s="12"/>
      <c r="E157" s="12"/>
      <c r="G157" s="14"/>
    </row>
    <row r="158" spans="1:7" ht="22.5" customHeight="1" x14ac:dyDescent="0.15">
      <c r="A158" s="33"/>
      <c r="B158" s="12"/>
      <c r="C158" s="12"/>
      <c r="D158" s="12"/>
      <c r="E158" s="12"/>
      <c r="G158" s="14"/>
    </row>
    <row r="159" spans="1:7" ht="22.5" customHeight="1" x14ac:dyDescent="0.15">
      <c r="A159" s="33"/>
      <c r="B159" s="12"/>
      <c r="C159" s="12"/>
      <c r="D159" s="12"/>
      <c r="E159" s="12"/>
      <c r="G159" s="14"/>
    </row>
    <row r="160" spans="1:7" ht="22.5" customHeight="1" x14ac:dyDescent="0.15">
      <c r="A160" s="33"/>
      <c r="B160" s="12"/>
      <c r="C160" s="12"/>
      <c r="D160" s="12"/>
      <c r="E160" s="12"/>
      <c r="G160" s="14"/>
    </row>
    <row r="161" spans="1:7" ht="22.5" customHeight="1" x14ac:dyDescent="0.15">
      <c r="A161" s="33"/>
      <c r="B161" s="12"/>
      <c r="C161" s="12"/>
      <c r="D161" s="12"/>
      <c r="E161" s="12"/>
      <c r="G161" s="14"/>
    </row>
    <row r="162" spans="1:7" ht="22.5" customHeight="1" x14ac:dyDescent="0.15">
      <c r="A162" s="33"/>
      <c r="B162" s="12"/>
      <c r="C162" s="12"/>
      <c r="D162" s="12"/>
      <c r="E162" s="12"/>
      <c r="G162" s="14"/>
    </row>
    <row r="163" spans="1:7" ht="22.5" customHeight="1" x14ac:dyDescent="0.15">
      <c r="A163" s="33"/>
      <c r="B163" s="12"/>
      <c r="C163" s="12"/>
      <c r="D163" s="12"/>
      <c r="E163" s="12"/>
      <c r="G163" s="14"/>
    </row>
    <row r="164" spans="1:7" ht="22.5" customHeight="1" x14ac:dyDescent="0.15">
      <c r="A164" s="33"/>
      <c r="B164" s="12"/>
      <c r="C164" s="12"/>
      <c r="D164" s="12"/>
      <c r="E164" s="12"/>
      <c r="G164" s="14"/>
    </row>
    <row r="165" spans="1:7" ht="22.5" customHeight="1" x14ac:dyDescent="0.15">
      <c r="A165" s="33"/>
      <c r="B165" s="12"/>
      <c r="C165" s="12"/>
      <c r="D165" s="12"/>
      <c r="E165" s="12"/>
      <c r="G165" s="14"/>
    </row>
    <row r="166" spans="1:7" ht="22.5" customHeight="1" x14ac:dyDescent="0.15">
      <c r="A166" s="33"/>
      <c r="B166" s="12"/>
      <c r="C166" s="12"/>
      <c r="D166" s="12"/>
      <c r="E166" s="12"/>
      <c r="G166" s="14"/>
    </row>
    <row r="167" spans="1:7" ht="22.5" customHeight="1" x14ac:dyDescent="0.15">
      <c r="A167" s="33"/>
      <c r="B167" s="12"/>
      <c r="C167" s="12"/>
      <c r="D167" s="12"/>
      <c r="E167" s="12"/>
      <c r="G167" s="14"/>
    </row>
    <row r="168" spans="1:7" ht="22.5" customHeight="1" x14ac:dyDescent="0.15">
      <c r="A168" s="33"/>
      <c r="B168" s="12"/>
      <c r="C168" s="12"/>
      <c r="D168" s="12"/>
      <c r="E168" s="12"/>
      <c r="G168" s="14"/>
    </row>
    <row r="169" spans="1:7" ht="22.5" customHeight="1" x14ac:dyDescent="0.15">
      <c r="A169" s="33"/>
      <c r="B169" s="12"/>
      <c r="C169" s="12"/>
      <c r="D169" s="12"/>
      <c r="E169" s="12"/>
      <c r="G169" s="14"/>
    </row>
    <row r="170" spans="1:7" ht="22.5" customHeight="1" x14ac:dyDescent="0.15">
      <c r="A170" s="33"/>
      <c r="B170" s="12"/>
      <c r="C170" s="12"/>
      <c r="D170" s="12"/>
      <c r="E170" s="12"/>
      <c r="G170" s="14"/>
    </row>
    <row r="171" spans="1:7" ht="22.5" customHeight="1" x14ac:dyDescent="0.15">
      <c r="A171" s="33"/>
      <c r="B171" s="12"/>
      <c r="C171" s="12"/>
      <c r="D171" s="12"/>
      <c r="E171" s="12"/>
      <c r="G171" s="14"/>
    </row>
    <row r="172" spans="1:7" ht="22.5" customHeight="1" x14ac:dyDescent="0.15">
      <c r="A172" s="33"/>
      <c r="B172" s="12"/>
      <c r="C172" s="12"/>
      <c r="D172" s="12"/>
      <c r="E172" s="12"/>
      <c r="G172" s="14"/>
    </row>
    <row r="173" spans="1:7" ht="22.5" customHeight="1" x14ac:dyDescent="0.15">
      <c r="A173" s="33"/>
      <c r="B173" s="12"/>
      <c r="C173" s="12"/>
      <c r="D173" s="12"/>
      <c r="E173" s="12"/>
      <c r="G173" s="14"/>
    </row>
    <row r="174" spans="1:7" ht="22.5" customHeight="1" x14ac:dyDescent="0.15">
      <c r="A174" s="33"/>
      <c r="B174" s="12"/>
      <c r="C174" s="12"/>
      <c r="D174" s="12"/>
      <c r="E174" s="12"/>
      <c r="G174" s="14"/>
    </row>
    <row r="175" spans="1:7" ht="22.5" customHeight="1" x14ac:dyDescent="0.15">
      <c r="A175" s="33"/>
      <c r="B175" s="12"/>
      <c r="C175" s="12"/>
      <c r="D175" s="12"/>
      <c r="E175" s="12"/>
      <c r="G175" s="14"/>
    </row>
    <row r="176" spans="1:7" ht="22.5" customHeight="1" x14ac:dyDescent="0.15">
      <c r="A176" s="33"/>
      <c r="B176" s="12"/>
      <c r="C176" s="12"/>
      <c r="D176" s="12"/>
      <c r="E176" s="12"/>
      <c r="G176" s="14"/>
    </row>
    <row r="177" spans="1:7" ht="22.5" customHeight="1" x14ac:dyDescent="0.15">
      <c r="A177" s="33"/>
      <c r="B177" s="12"/>
      <c r="C177" s="12"/>
      <c r="D177" s="12"/>
      <c r="E177" s="12"/>
      <c r="G177" s="14"/>
    </row>
    <row r="178" spans="1:7" ht="22.5" customHeight="1" x14ac:dyDescent="0.15">
      <c r="A178" s="33"/>
      <c r="B178" s="12"/>
      <c r="C178" s="12"/>
      <c r="D178" s="12"/>
      <c r="E178" s="12"/>
      <c r="G178" s="14"/>
    </row>
    <row r="179" spans="1:7" ht="22.5" customHeight="1" x14ac:dyDescent="0.15">
      <c r="A179" s="33"/>
      <c r="B179" s="12"/>
      <c r="C179" s="12"/>
      <c r="D179" s="12"/>
      <c r="E179" s="12"/>
      <c r="G179" s="14"/>
    </row>
    <row r="180" spans="1:7" ht="22.5" customHeight="1" x14ac:dyDescent="0.15">
      <c r="A180" s="33"/>
      <c r="B180" s="12"/>
      <c r="C180" s="12"/>
      <c r="D180" s="12"/>
      <c r="E180" s="12"/>
      <c r="G180" s="14"/>
    </row>
    <row r="181" spans="1:7" ht="22.5" customHeight="1" x14ac:dyDescent="0.15">
      <c r="A181" s="33"/>
      <c r="B181" s="12"/>
      <c r="C181" s="12"/>
      <c r="D181" s="12"/>
      <c r="E181" s="12"/>
      <c r="G181" s="14"/>
    </row>
    <row r="182" spans="1:7" ht="22.5" customHeight="1" x14ac:dyDescent="0.15">
      <c r="A182" s="33"/>
      <c r="B182" s="12"/>
      <c r="C182" s="12"/>
      <c r="D182" s="12"/>
      <c r="E182" s="12"/>
      <c r="G182" s="14"/>
    </row>
    <row r="183" spans="1:7" ht="22.5" customHeight="1" x14ac:dyDescent="0.15">
      <c r="A183" s="33"/>
      <c r="B183" s="12"/>
      <c r="C183" s="12"/>
      <c r="D183" s="12"/>
      <c r="E183" s="12"/>
      <c r="G183" s="14"/>
    </row>
    <row r="184" spans="1:7" ht="22.5" customHeight="1" x14ac:dyDescent="0.15">
      <c r="A184" s="33"/>
      <c r="B184" s="12"/>
      <c r="C184" s="12"/>
      <c r="D184" s="12"/>
      <c r="E184" s="12"/>
      <c r="G184" s="14"/>
    </row>
    <row r="185" spans="1:7" ht="22.5" customHeight="1" x14ac:dyDescent="0.15">
      <c r="A185" s="33"/>
      <c r="B185" s="12"/>
      <c r="C185" s="12"/>
      <c r="D185" s="12"/>
      <c r="E185" s="12"/>
      <c r="G185" s="14"/>
    </row>
    <row r="186" spans="1:7" ht="22.5" customHeight="1" x14ac:dyDescent="0.15">
      <c r="A186" s="33"/>
      <c r="B186" s="12"/>
      <c r="C186" s="12"/>
      <c r="D186" s="12"/>
      <c r="E186" s="12"/>
      <c r="G186" s="14"/>
    </row>
    <row r="187" spans="1:7" ht="22.5" customHeight="1" x14ac:dyDescent="0.15">
      <c r="A187" s="33"/>
      <c r="B187" s="12"/>
      <c r="C187" s="12"/>
      <c r="D187" s="12"/>
      <c r="E187" s="12"/>
      <c r="G187" s="14"/>
    </row>
    <row r="188" spans="1:7" ht="22.5" customHeight="1" x14ac:dyDescent="0.15">
      <c r="A188" s="33"/>
      <c r="B188" s="12"/>
      <c r="C188" s="12"/>
      <c r="D188" s="12"/>
      <c r="E188" s="12"/>
      <c r="G188" s="14"/>
    </row>
    <row r="189" spans="1:7" ht="22.5" customHeight="1" x14ac:dyDescent="0.15">
      <c r="A189" s="33"/>
      <c r="B189" s="12"/>
      <c r="C189" s="12"/>
      <c r="D189" s="12"/>
      <c r="E189" s="12"/>
      <c r="G189" s="14"/>
    </row>
    <row r="190" spans="1:7" ht="22.5" customHeight="1" x14ac:dyDescent="0.15">
      <c r="A190" s="33"/>
      <c r="B190" s="12"/>
      <c r="C190" s="12"/>
      <c r="D190" s="12"/>
      <c r="E190" s="12"/>
      <c r="G190" s="14"/>
    </row>
    <row r="191" spans="1:7" ht="22.5" customHeight="1" x14ac:dyDescent="0.15">
      <c r="A191" s="33"/>
      <c r="B191" s="12"/>
      <c r="C191" s="12"/>
      <c r="D191" s="12"/>
      <c r="E191" s="12"/>
      <c r="G191" s="14"/>
    </row>
    <row r="192" spans="1:7" ht="22.5" customHeight="1" x14ac:dyDescent="0.15">
      <c r="A192" s="33"/>
      <c r="B192" s="12"/>
      <c r="C192" s="12"/>
      <c r="D192" s="12"/>
      <c r="E192" s="12"/>
      <c r="G192" s="14"/>
    </row>
    <row r="193" spans="1:7" ht="22.5" customHeight="1" x14ac:dyDescent="0.15">
      <c r="A193" s="33"/>
      <c r="B193" s="12"/>
      <c r="C193" s="12"/>
      <c r="D193" s="12"/>
      <c r="E193" s="12"/>
      <c r="G193" s="14"/>
    </row>
    <row r="194" spans="1:7" ht="22.5" customHeight="1" x14ac:dyDescent="0.15">
      <c r="A194" s="33"/>
      <c r="B194" s="12"/>
      <c r="C194" s="12"/>
      <c r="D194" s="12"/>
      <c r="E194" s="12"/>
      <c r="G194" s="14"/>
    </row>
    <row r="195" spans="1:7" ht="22.5" customHeight="1" x14ac:dyDescent="0.15">
      <c r="A195" s="33"/>
      <c r="B195" s="12"/>
      <c r="C195" s="12"/>
      <c r="D195" s="12"/>
      <c r="E195" s="12"/>
      <c r="G195" s="14"/>
    </row>
    <row r="196" spans="1:7" ht="22.5" customHeight="1" x14ac:dyDescent="0.15">
      <c r="A196" s="33"/>
      <c r="B196" s="12"/>
      <c r="C196" s="12"/>
      <c r="D196" s="12"/>
      <c r="E196" s="12"/>
      <c r="G196" s="14"/>
    </row>
    <row r="197" spans="1:7" ht="22.5" customHeight="1" x14ac:dyDescent="0.15">
      <c r="A197" s="33"/>
      <c r="B197" s="12"/>
      <c r="C197" s="12"/>
      <c r="D197" s="12"/>
      <c r="E197" s="12"/>
      <c r="G197" s="14"/>
    </row>
    <row r="198" spans="1:7" ht="22.5" customHeight="1" x14ac:dyDescent="0.15">
      <c r="A198" s="33"/>
      <c r="B198" s="12"/>
      <c r="C198" s="12"/>
      <c r="D198" s="12"/>
      <c r="E198" s="12"/>
      <c r="G198" s="14"/>
    </row>
    <row r="199" spans="1:7" ht="22.5" customHeight="1" x14ac:dyDescent="0.15">
      <c r="A199" s="33"/>
      <c r="B199" s="12"/>
      <c r="C199" s="12"/>
      <c r="D199" s="12"/>
      <c r="E199" s="12"/>
      <c r="G199" s="14"/>
    </row>
    <row r="200" spans="1:7" ht="22.5" customHeight="1" x14ac:dyDescent="0.15">
      <c r="A200" s="33"/>
      <c r="B200" s="12"/>
      <c r="C200" s="12"/>
      <c r="D200" s="12"/>
      <c r="E200" s="12"/>
      <c r="G200" s="14"/>
    </row>
    <row r="201" spans="1:7" ht="22.5" customHeight="1" x14ac:dyDescent="0.15">
      <c r="A201" s="33"/>
      <c r="B201" s="12"/>
      <c r="C201" s="12"/>
      <c r="D201" s="12"/>
      <c r="E201" s="12"/>
      <c r="G201" s="14"/>
    </row>
    <row r="202" spans="1:7" ht="22.5" customHeight="1" x14ac:dyDescent="0.15">
      <c r="A202" s="33"/>
      <c r="B202" s="12"/>
      <c r="C202" s="12"/>
      <c r="D202" s="12"/>
      <c r="E202" s="12"/>
      <c r="G202" s="14"/>
    </row>
    <row r="203" spans="1:7" ht="22.5" customHeight="1" x14ac:dyDescent="0.15">
      <c r="A203" s="33"/>
      <c r="B203" s="12"/>
      <c r="C203" s="12"/>
      <c r="D203" s="12"/>
      <c r="E203" s="12"/>
      <c r="G203" s="14"/>
    </row>
    <row r="204" spans="1:7" ht="22.5" customHeight="1" x14ac:dyDescent="0.15">
      <c r="A204" s="33"/>
      <c r="B204" s="12"/>
      <c r="C204" s="12"/>
      <c r="D204" s="12"/>
      <c r="E204" s="12"/>
      <c r="G204" s="14"/>
    </row>
    <row r="205" spans="1:7" ht="22.5" customHeight="1" x14ac:dyDescent="0.15">
      <c r="A205" s="33"/>
      <c r="B205" s="12"/>
      <c r="C205" s="12"/>
      <c r="D205" s="12"/>
      <c r="E205" s="12"/>
      <c r="G205" s="14"/>
    </row>
    <row r="206" spans="1:7" ht="22.5" customHeight="1" x14ac:dyDescent="0.15">
      <c r="A206" s="33"/>
      <c r="B206" s="12"/>
      <c r="C206" s="12"/>
      <c r="D206" s="12"/>
      <c r="E206" s="12"/>
      <c r="G206" s="14"/>
    </row>
    <row r="207" spans="1:7" ht="22.5" customHeight="1" x14ac:dyDescent="0.15">
      <c r="A207" s="33"/>
      <c r="B207" s="12"/>
      <c r="C207" s="12"/>
      <c r="D207" s="12"/>
      <c r="E207" s="12"/>
      <c r="G207" s="14"/>
    </row>
    <row r="208" spans="1:7" ht="22.5" customHeight="1" x14ac:dyDescent="0.15">
      <c r="A208" s="33"/>
      <c r="B208" s="12"/>
      <c r="C208" s="12"/>
      <c r="D208" s="12"/>
      <c r="E208" s="12"/>
      <c r="G208" s="14"/>
    </row>
    <row r="209" spans="1:7" ht="22.5" customHeight="1" x14ac:dyDescent="0.15">
      <c r="A209" s="33"/>
      <c r="B209" s="12"/>
      <c r="C209" s="12"/>
      <c r="D209" s="12"/>
      <c r="E209" s="12"/>
      <c r="G209" s="14"/>
    </row>
    <row r="210" spans="1:7" ht="22.5" customHeight="1" x14ac:dyDescent="0.15">
      <c r="A210" s="33"/>
      <c r="B210" s="12"/>
      <c r="C210" s="12"/>
      <c r="D210" s="12"/>
      <c r="E210" s="12"/>
      <c r="G210" s="14"/>
    </row>
    <row r="211" spans="1:7" ht="22.5" customHeight="1" x14ac:dyDescent="0.15">
      <c r="A211" s="33"/>
      <c r="B211" s="12"/>
      <c r="C211" s="12"/>
      <c r="D211" s="12"/>
      <c r="E211" s="12"/>
      <c r="G211" s="14"/>
    </row>
    <row r="212" spans="1:7" ht="22.5" customHeight="1" x14ac:dyDescent="0.15">
      <c r="A212" s="33"/>
      <c r="B212" s="12"/>
      <c r="C212" s="12"/>
      <c r="D212" s="12"/>
      <c r="E212" s="12"/>
      <c r="G212" s="14"/>
    </row>
    <row r="213" spans="1:7" ht="22.5" customHeight="1" x14ac:dyDescent="0.15">
      <c r="A213" s="33"/>
      <c r="B213" s="12"/>
      <c r="C213" s="12"/>
      <c r="D213" s="12"/>
      <c r="E213" s="12"/>
      <c r="G213" s="14"/>
    </row>
    <row r="214" spans="1:7" ht="22.5" customHeight="1" x14ac:dyDescent="0.15">
      <c r="A214" s="33"/>
      <c r="B214" s="12"/>
      <c r="C214" s="12"/>
      <c r="D214" s="12"/>
      <c r="E214" s="12"/>
      <c r="G214" s="14"/>
    </row>
    <row r="215" spans="1:7" ht="22.5" customHeight="1" x14ac:dyDescent="0.15">
      <c r="A215" s="33"/>
      <c r="B215" s="12"/>
      <c r="C215" s="12"/>
      <c r="D215" s="12"/>
      <c r="E215" s="12"/>
      <c r="G215" s="14"/>
    </row>
    <row r="216" spans="1:7" ht="22.5" customHeight="1" x14ac:dyDescent="0.15">
      <c r="A216" s="33"/>
      <c r="B216" s="12"/>
      <c r="C216" s="12"/>
      <c r="D216" s="12"/>
      <c r="E216" s="12"/>
      <c r="G216" s="14"/>
    </row>
    <row r="217" spans="1:7" ht="22.5" customHeight="1" x14ac:dyDescent="0.15">
      <c r="A217" s="33"/>
      <c r="B217" s="12"/>
      <c r="C217" s="12"/>
      <c r="D217" s="12"/>
      <c r="E217" s="12"/>
      <c r="G217" s="14"/>
    </row>
    <row r="218" spans="1:7" ht="22.5" customHeight="1" x14ac:dyDescent="0.15">
      <c r="A218" s="33"/>
      <c r="B218" s="12"/>
      <c r="C218" s="12"/>
      <c r="D218" s="12"/>
      <c r="E218" s="12"/>
      <c r="G218" s="14"/>
    </row>
    <row r="219" spans="1:7" ht="22.5" customHeight="1" x14ac:dyDescent="0.15">
      <c r="A219" s="33"/>
      <c r="B219" s="12"/>
      <c r="C219" s="12"/>
      <c r="D219" s="12"/>
      <c r="E219" s="12"/>
      <c r="G219" s="14"/>
    </row>
    <row r="220" spans="1:7" ht="22.5" customHeight="1" x14ac:dyDescent="0.15">
      <c r="A220" s="33"/>
      <c r="B220" s="12"/>
      <c r="C220" s="12"/>
      <c r="D220" s="12"/>
      <c r="E220" s="12"/>
      <c r="G220" s="14"/>
    </row>
    <row r="221" spans="1:7" ht="22.5" customHeight="1" x14ac:dyDescent="0.15">
      <c r="A221" s="33"/>
      <c r="B221" s="12"/>
      <c r="C221" s="12"/>
      <c r="D221" s="12"/>
      <c r="E221" s="12"/>
      <c r="G221" s="14"/>
    </row>
    <row r="222" spans="1:7" ht="22.5" customHeight="1" x14ac:dyDescent="0.15">
      <c r="A222" s="33"/>
      <c r="B222" s="12"/>
      <c r="C222" s="12"/>
      <c r="D222" s="12"/>
      <c r="E222" s="12"/>
      <c r="G222" s="14"/>
    </row>
    <row r="223" spans="1:7" ht="22.5" customHeight="1" x14ac:dyDescent="0.15">
      <c r="A223" s="33"/>
      <c r="B223" s="12"/>
      <c r="C223" s="12"/>
      <c r="D223" s="12"/>
      <c r="E223" s="12"/>
      <c r="G223" s="14"/>
    </row>
    <row r="224" spans="1:7" ht="22.5" customHeight="1" x14ac:dyDescent="0.15">
      <c r="A224" s="33"/>
      <c r="B224" s="12"/>
      <c r="C224" s="12"/>
      <c r="D224" s="12"/>
      <c r="E224" s="12"/>
      <c r="G224" s="14"/>
    </row>
    <row r="225" spans="1:7" ht="22.5" customHeight="1" x14ac:dyDescent="0.15">
      <c r="A225" s="33"/>
      <c r="B225" s="12"/>
      <c r="C225" s="12"/>
      <c r="D225" s="12"/>
      <c r="E225" s="12"/>
      <c r="G225" s="14"/>
    </row>
    <row r="226" spans="1:7" ht="22.5" customHeight="1" x14ac:dyDescent="0.15">
      <c r="A226" s="33"/>
      <c r="B226" s="12"/>
      <c r="C226" s="12"/>
      <c r="D226" s="12"/>
      <c r="E226" s="12"/>
      <c r="G226" s="14"/>
    </row>
    <row r="227" spans="1:7" ht="22.5" customHeight="1" x14ac:dyDescent="0.15">
      <c r="A227" s="33"/>
      <c r="B227" s="12"/>
      <c r="C227" s="12"/>
      <c r="D227" s="12"/>
      <c r="E227" s="12"/>
      <c r="G227" s="14"/>
    </row>
    <row r="228" spans="1:7" ht="22.5" customHeight="1" x14ac:dyDescent="0.15">
      <c r="A228" s="33"/>
      <c r="B228" s="12"/>
      <c r="C228" s="12"/>
      <c r="D228" s="12"/>
      <c r="E228" s="12"/>
      <c r="G228" s="14"/>
    </row>
    <row r="229" spans="1:7" ht="22.5" customHeight="1" x14ac:dyDescent="0.15">
      <c r="A229" s="33"/>
      <c r="B229" s="12"/>
      <c r="C229" s="12"/>
      <c r="D229" s="12"/>
      <c r="E229" s="12"/>
      <c r="G229" s="14"/>
    </row>
    <row r="230" spans="1:7" ht="22.5" customHeight="1" x14ac:dyDescent="0.15">
      <c r="A230" s="33"/>
      <c r="B230" s="12"/>
      <c r="C230" s="12"/>
      <c r="D230" s="12"/>
      <c r="E230" s="12"/>
      <c r="G230" s="14"/>
    </row>
    <row r="231" spans="1:7" ht="22.5" customHeight="1" x14ac:dyDescent="0.15">
      <c r="A231" s="33"/>
      <c r="B231" s="12"/>
      <c r="C231" s="12"/>
      <c r="D231" s="12"/>
      <c r="E231" s="12"/>
      <c r="G231" s="14"/>
    </row>
    <row r="232" spans="1:7" ht="22.5" customHeight="1" x14ac:dyDescent="0.15">
      <c r="A232" s="33"/>
      <c r="B232" s="12"/>
      <c r="C232" s="12"/>
      <c r="D232" s="12"/>
      <c r="E232" s="12"/>
      <c r="G232" s="14"/>
    </row>
    <row r="233" spans="1:7" ht="22.5" customHeight="1" x14ac:dyDescent="0.15">
      <c r="A233" s="33"/>
      <c r="B233" s="12"/>
      <c r="C233" s="12"/>
      <c r="D233" s="12"/>
      <c r="E233" s="12"/>
      <c r="G233" s="14"/>
    </row>
    <row r="234" spans="1:7" ht="22.5" customHeight="1" x14ac:dyDescent="0.15">
      <c r="A234" s="33"/>
      <c r="B234" s="12"/>
      <c r="C234" s="12"/>
      <c r="D234" s="12"/>
      <c r="E234" s="12"/>
      <c r="G234" s="14"/>
    </row>
    <row r="235" spans="1:7" ht="22.5" customHeight="1" x14ac:dyDescent="0.15">
      <c r="A235" s="33"/>
      <c r="B235" s="12"/>
      <c r="C235" s="12"/>
      <c r="D235" s="12"/>
      <c r="E235" s="12"/>
      <c r="G235" s="14"/>
    </row>
    <row r="236" spans="1:7" ht="22.5" customHeight="1" x14ac:dyDescent="0.15">
      <c r="A236" s="33"/>
      <c r="B236" s="12"/>
      <c r="C236" s="12"/>
      <c r="D236" s="12"/>
      <c r="E236" s="12"/>
      <c r="G236" s="14"/>
    </row>
    <row r="237" spans="1:7" ht="22.5" customHeight="1" x14ac:dyDescent="0.15">
      <c r="A237" s="33"/>
      <c r="B237" s="12"/>
      <c r="C237" s="12"/>
      <c r="D237" s="12"/>
      <c r="E237" s="12"/>
      <c r="G237" s="14"/>
    </row>
    <row r="238" spans="1:7" ht="22.5" customHeight="1" x14ac:dyDescent="0.15">
      <c r="A238" s="33"/>
      <c r="B238" s="12"/>
      <c r="C238" s="12"/>
      <c r="D238" s="12"/>
      <c r="E238" s="12"/>
      <c r="G238" s="14"/>
    </row>
    <row r="239" spans="1:7" ht="22.5" customHeight="1" x14ac:dyDescent="0.15">
      <c r="A239" s="33"/>
      <c r="B239" s="12"/>
      <c r="C239" s="12"/>
      <c r="D239" s="12"/>
      <c r="E239" s="12"/>
      <c r="G239" s="14"/>
    </row>
    <row r="240" spans="1:7" ht="22.5" customHeight="1" x14ac:dyDescent="0.15">
      <c r="A240" s="33"/>
      <c r="B240" s="12"/>
      <c r="C240" s="12"/>
      <c r="D240" s="12"/>
      <c r="E240" s="12"/>
      <c r="G240" s="14"/>
    </row>
    <row r="241" spans="1:7" ht="22.5" customHeight="1" x14ac:dyDescent="0.15">
      <c r="A241" s="33"/>
      <c r="B241" s="12"/>
      <c r="C241" s="12"/>
      <c r="D241" s="12"/>
      <c r="E241" s="12"/>
      <c r="G241" s="14"/>
    </row>
    <row r="242" spans="1:7" ht="22.5" customHeight="1" x14ac:dyDescent="0.15">
      <c r="A242" s="33"/>
      <c r="B242" s="12"/>
      <c r="C242" s="12"/>
      <c r="D242" s="12"/>
      <c r="E242" s="12"/>
      <c r="G242" s="14"/>
    </row>
    <row r="243" spans="1:7" ht="22.5" customHeight="1" x14ac:dyDescent="0.15">
      <c r="A243" s="33"/>
      <c r="B243" s="12"/>
      <c r="C243" s="12"/>
      <c r="D243" s="12"/>
      <c r="E243" s="12"/>
      <c r="G243" s="14"/>
    </row>
    <row r="244" spans="1:7" ht="22.5" customHeight="1" x14ac:dyDescent="0.15">
      <c r="A244" s="33"/>
      <c r="B244" s="12"/>
      <c r="C244" s="12"/>
      <c r="D244" s="12"/>
      <c r="E244" s="12"/>
      <c r="G244" s="14"/>
    </row>
    <row r="245" spans="1:7" ht="22.5" customHeight="1" x14ac:dyDescent="0.15">
      <c r="A245" s="33"/>
      <c r="B245" s="12"/>
      <c r="C245" s="12"/>
      <c r="D245" s="12"/>
      <c r="E245" s="12"/>
      <c r="G245" s="14"/>
    </row>
    <row r="246" spans="1:7" ht="22.5" customHeight="1" x14ac:dyDescent="0.15">
      <c r="A246" s="33"/>
      <c r="B246" s="12"/>
      <c r="C246" s="12"/>
      <c r="D246" s="12"/>
      <c r="E246" s="12"/>
      <c r="G246" s="14"/>
    </row>
    <row r="247" spans="1:7" ht="22.5" customHeight="1" x14ac:dyDescent="0.15">
      <c r="A247" s="33"/>
      <c r="B247" s="12"/>
      <c r="C247" s="12"/>
      <c r="D247" s="12"/>
      <c r="E247" s="12"/>
      <c r="G247" s="14"/>
    </row>
    <row r="248" spans="1:7" ht="22.5" customHeight="1" x14ac:dyDescent="0.15">
      <c r="A248" s="33"/>
      <c r="B248" s="12"/>
      <c r="C248" s="12"/>
      <c r="D248" s="12"/>
      <c r="E248" s="12"/>
      <c r="G248" s="14"/>
    </row>
    <row r="249" spans="1:7" ht="22.5" customHeight="1" x14ac:dyDescent="0.15">
      <c r="A249" s="33"/>
      <c r="B249" s="12"/>
      <c r="C249" s="12"/>
      <c r="D249" s="12"/>
      <c r="E249" s="12"/>
      <c r="G249" s="14"/>
    </row>
    <row r="250" spans="1:7" ht="22.5" customHeight="1" x14ac:dyDescent="0.15">
      <c r="A250" s="33"/>
      <c r="B250" s="12"/>
      <c r="C250" s="12"/>
      <c r="D250" s="12"/>
      <c r="E250" s="12"/>
      <c r="G250" s="14"/>
    </row>
    <row r="251" spans="1:7" ht="22.5" customHeight="1" x14ac:dyDescent="0.15">
      <c r="A251" s="33"/>
      <c r="B251" s="12"/>
      <c r="C251" s="12"/>
      <c r="D251" s="12"/>
      <c r="E251" s="12"/>
      <c r="G251" s="14"/>
    </row>
    <row r="252" spans="1:7" ht="22.5" customHeight="1" x14ac:dyDescent="0.15">
      <c r="A252" s="33"/>
      <c r="B252" s="12"/>
      <c r="C252" s="12"/>
      <c r="D252" s="12"/>
      <c r="E252" s="12"/>
      <c r="G252" s="14"/>
    </row>
    <row r="253" spans="1:7" ht="22.5" customHeight="1" x14ac:dyDescent="0.15">
      <c r="A253" s="33"/>
      <c r="B253" s="12"/>
      <c r="C253" s="12"/>
      <c r="D253" s="12"/>
      <c r="E253" s="12"/>
      <c r="G253" s="14"/>
    </row>
    <row r="254" spans="1:7" ht="22.5" customHeight="1" x14ac:dyDescent="0.15">
      <c r="A254" s="33"/>
      <c r="B254" s="12"/>
      <c r="C254" s="12"/>
      <c r="D254" s="12"/>
      <c r="E254" s="12"/>
      <c r="G254" s="14"/>
    </row>
    <row r="255" spans="1:7" ht="22.5" customHeight="1" x14ac:dyDescent="0.15">
      <c r="A255" s="33"/>
      <c r="B255" s="12"/>
      <c r="C255" s="12"/>
      <c r="D255" s="12"/>
      <c r="E255" s="12"/>
      <c r="G255" s="14"/>
    </row>
    <row r="256" spans="1:7" ht="22.5" customHeight="1" x14ac:dyDescent="0.15">
      <c r="A256" s="33"/>
      <c r="B256" s="12"/>
      <c r="C256" s="12"/>
      <c r="D256" s="12"/>
      <c r="E256" s="12"/>
      <c r="G256" s="14"/>
    </row>
    <row r="257" spans="1:7" ht="22.5" customHeight="1" x14ac:dyDescent="0.15">
      <c r="A257" s="33"/>
      <c r="B257" s="12"/>
      <c r="C257" s="12"/>
      <c r="D257" s="12"/>
      <c r="E257" s="12"/>
      <c r="G257" s="14"/>
    </row>
    <row r="258" spans="1:7" ht="22.5" customHeight="1" x14ac:dyDescent="0.15">
      <c r="A258" s="33"/>
      <c r="B258" s="12"/>
      <c r="C258" s="12"/>
      <c r="D258" s="12"/>
      <c r="E258" s="12"/>
      <c r="G258" s="14"/>
    </row>
    <row r="259" spans="1:7" ht="22.5" customHeight="1" x14ac:dyDescent="0.15">
      <c r="A259" s="33"/>
      <c r="B259" s="12"/>
      <c r="C259" s="12"/>
      <c r="D259" s="12"/>
      <c r="E259" s="12"/>
      <c r="G259" s="14"/>
    </row>
    <row r="260" spans="1:7" ht="22.5" customHeight="1" x14ac:dyDescent="0.15">
      <c r="A260" s="33"/>
      <c r="B260" s="12"/>
      <c r="C260" s="12"/>
      <c r="D260" s="12"/>
      <c r="E260" s="12"/>
      <c r="G260" s="14"/>
    </row>
    <row r="261" spans="1:7" ht="22.5" customHeight="1" x14ac:dyDescent="0.15">
      <c r="A261" s="33"/>
      <c r="B261" s="12"/>
      <c r="C261" s="12"/>
      <c r="D261" s="12"/>
      <c r="E261" s="12"/>
      <c r="G261" s="14"/>
    </row>
    <row r="262" spans="1:7" ht="22.5" customHeight="1" x14ac:dyDescent="0.15">
      <c r="A262" s="33"/>
      <c r="B262" s="12"/>
      <c r="C262" s="12"/>
      <c r="D262" s="12"/>
      <c r="E262" s="12"/>
      <c r="G262" s="14"/>
    </row>
    <row r="263" spans="1:7" ht="22.5" customHeight="1" x14ac:dyDescent="0.15">
      <c r="A263" s="33"/>
      <c r="B263" s="12"/>
      <c r="C263" s="12"/>
      <c r="D263" s="12"/>
      <c r="E263" s="12"/>
      <c r="G263" s="14"/>
    </row>
    <row r="264" spans="1:7" ht="22.5" customHeight="1" x14ac:dyDescent="0.15">
      <c r="A264" s="33"/>
      <c r="B264" s="12"/>
      <c r="C264" s="12"/>
      <c r="D264" s="12"/>
      <c r="E264" s="12"/>
      <c r="G264" s="14"/>
    </row>
    <row r="265" spans="1:7" ht="22.5" customHeight="1" x14ac:dyDescent="0.15">
      <c r="A265" s="33"/>
      <c r="B265" s="12"/>
      <c r="C265" s="12"/>
      <c r="D265" s="12"/>
      <c r="E265" s="12"/>
      <c r="G265" s="14"/>
    </row>
    <row r="266" spans="1:7" ht="22.5" customHeight="1" x14ac:dyDescent="0.15">
      <c r="A266" s="33"/>
      <c r="B266" s="12"/>
      <c r="C266" s="12"/>
      <c r="D266" s="12"/>
      <c r="E266" s="12"/>
      <c r="G266" s="14"/>
    </row>
    <row r="267" spans="1:7" ht="22.5" customHeight="1" x14ac:dyDescent="0.15">
      <c r="A267" s="33"/>
      <c r="B267" s="12"/>
      <c r="C267" s="12"/>
      <c r="D267" s="12"/>
      <c r="E267" s="12"/>
      <c r="G267" s="14"/>
    </row>
    <row r="268" spans="1:7" ht="22.5" customHeight="1" x14ac:dyDescent="0.15">
      <c r="A268" s="33"/>
      <c r="B268" s="12"/>
      <c r="C268" s="12"/>
      <c r="D268" s="12"/>
      <c r="E268" s="12"/>
      <c r="G268" s="14"/>
    </row>
    <row r="269" spans="1:7" ht="22.5" customHeight="1" x14ac:dyDescent="0.15">
      <c r="A269" s="33"/>
      <c r="B269" s="12"/>
      <c r="C269" s="12"/>
      <c r="D269" s="12"/>
      <c r="E269" s="12"/>
      <c r="G269" s="14"/>
    </row>
    <row r="270" spans="1:7" ht="22.5" customHeight="1" x14ac:dyDescent="0.15">
      <c r="A270" s="33"/>
      <c r="B270" s="12"/>
      <c r="C270" s="12"/>
      <c r="D270" s="12"/>
      <c r="E270" s="12"/>
      <c r="G270" s="14"/>
    </row>
    <row r="271" spans="1:7" ht="22.5" customHeight="1" x14ac:dyDescent="0.15">
      <c r="A271" s="33"/>
      <c r="B271" s="12"/>
      <c r="C271" s="12"/>
      <c r="D271" s="12"/>
      <c r="E271" s="12"/>
      <c r="G271" s="14"/>
    </row>
    <row r="272" spans="1:7" ht="22.5" customHeight="1" x14ac:dyDescent="0.15">
      <c r="A272" s="33"/>
      <c r="B272" s="12"/>
      <c r="C272" s="12"/>
      <c r="D272" s="12"/>
      <c r="E272" s="12"/>
      <c r="G272" s="14"/>
    </row>
    <row r="273" spans="1:7" ht="22.5" customHeight="1" x14ac:dyDescent="0.15">
      <c r="A273" s="33"/>
      <c r="B273" s="12"/>
      <c r="C273" s="12"/>
      <c r="D273" s="12"/>
      <c r="E273" s="12"/>
      <c r="G273" s="14"/>
    </row>
    <row r="274" spans="1:7" ht="22.5" customHeight="1" x14ac:dyDescent="0.15">
      <c r="A274" s="33"/>
      <c r="B274" s="12"/>
      <c r="C274" s="12"/>
      <c r="D274" s="12"/>
      <c r="E274" s="12"/>
      <c r="G274" s="14"/>
    </row>
    <row r="275" spans="1:7" ht="22.5" customHeight="1" x14ac:dyDescent="0.15">
      <c r="A275" s="33"/>
      <c r="B275" s="12"/>
      <c r="C275" s="12"/>
      <c r="D275" s="12"/>
      <c r="E275" s="12"/>
      <c r="G275" s="14"/>
    </row>
    <row r="276" spans="1:7" ht="22.5" customHeight="1" x14ac:dyDescent="0.15">
      <c r="A276" s="33"/>
      <c r="B276" s="12"/>
      <c r="C276" s="12"/>
      <c r="D276" s="12"/>
      <c r="E276" s="12"/>
      <c r="G276" s="14"/>
    </row>
    <row r="277" spans="1:7" ht="22.5" customHeight="1" x14ac:dyDescent="0.15">
      <c r="A277" s="33"/>
      <c r="B277" s="12"/>
      <c r="C277" s="12"/>
      <c r="D277" s="12"/>
      <c r="E277" s="12"/>
      <c r="G277" s="14"/>
    </row>
    <row r="278" spans="1:7" ht="22.5" customHeight="1" x14ac:dyDescent="0.15">
      <c r="A278" s="33"/>
      <c r="B278" s="12"/>
      <c r="C278" s="12"/>
      <c r="D278" s="12"/>
      <c r="E278" s="12"/>
      <c r="G278" s="14"/>
    </row>
    <row r="279" spans="1:7" ht="22.5" customHeight="1" x14ac:dyDescent="0.15">
      <c r="A279" s="33"/>
      <c r="B279" s="12"/>
      <c r="C279" s="12"/>
      <c r="D279" s="12"/>
      <c r="E279" s="12"/>
      <c r="G279" s="14"/>
    </row>
    <row r="280" spans="1:7" ht="22.5" customHeight="1" x14ac:dyDescent="0.15">
      <c r="A280" s="33"/>
      <c r="B280" s="12"/>
      <c r="C280" s="12"/>
      <c r="D280" s="12"/>
      <c r="E280" s="12"/>
      <c r="G280" s="14"/>
    </row>
    <row r="281" spans="1:7" ht="22.5" customHeight="1" x14ac:dyDescent="0.15">
      <c r="A281" s="33"/>
      <c r="B281" s="12"/>
      <c r="C281" s="12"/>
      <c r="D281" s="12"/>
      <c r="E281" s="12"/>
      <c r="G281" s="14"/>
    </row>
    <row r="282" spans="1:7" ht="22.5" customHeight="1" x14ac:dyDescent="0.15">
      <c r="A282" s="33"/>
      <c r="B282" s="12"/>
      <c r="C282" s="12"/>
      <c r="D282" s="12"/>
      <c r="E282" s="12"/>
      <c r="G282" s="14"/>
    </row>
    <row r="283" spans="1:7" ht="22.5" customHeight="1" x14ac:dyDescent="0.15">
      <c r="A283" s="33"/>
      <c r="B283" s="12"/>
      <c r="C283" s="12"/>
      <c r="D283" s="12"/>
      <c r="E283" s="12"/>
      <c r="G283" s="14"/>
    </row>
    <row r="284" spans="1:7" ht="22.5" customHeight="1" x14ac:dyDescent="0.15">
      <c r="A284" s="33"/>
      <c r="B284" s="12"/>
      <c r="C284" s="12"/>
      <c r="D284" s="12"/>
      <c r="E284" s="12"/>
      <c r="G284" s="14"/>
    </row>
    <row r="285" spans="1:7" ht="22.5" customHeight="1" x14ac:dyDescent="0.15">
      <c r="A285" s="33"/>
      <c r="B285" s="12"/>
      <c r="C285" s="12"/>
      <c r="D285" s="12"/>
      <c r="E285" s="12"/>
      <c r="G285" s="14"/>
    </row>
    <row r="286" spans="1:7" ht="22.5" customHeight="1" x14ac:dyDescent="0.15">
      <c r="A286" s="33"/>
      <c r="B286" s="12"/>
      <c r="C286" s="12"/>
      <c r="D286" s="12"/>
      <c r="E286" s="12"/>
      <c r="G286" s="14"/>
    </row>
    <row r="287" spans="1:7" ht="22.5" customHeight="1" x14ac:dyDescent="0.15">
      <c r="A287" s="33"/>
      <c r="B287" s="12"/>
      <c r="C287" s="12"/>
      <c r="D287" s="12"/>
      <c r="E287" s="12"/>
      <c r="G287" s="14"/>
    </row>
    <row r="288" spans="1:7" ht="22.5" customHeight="1" x14ac:dyDescent="0.15">
      <c r="A288" s="33"/>
      <c r="B288" s="12"/>
      <c r="C288" s="12"/>
      <c r="D288" s="12"/>
      <c r="E288" s="12"/>
      <c r="G288" s="14"/>
    </row>
    <row r="289" spans="1:7" ht="22.5" customHeight="1" x14ac:dyDescent="0.15">
      <c r="A289" s="33"/>
      <c r="B289" s="12"/>
      <c r="C289" s="12"/>
      <c r="D289" s="12"/>
      <c r="E289" s="12"/>
      <c r="G289" s="14"/>
    </row>
    <row r="290" spans="1:7" ht="22.5" customHeight="1" x14ac:dyDescent="0.15">
      <c r="A290" s="33"/>
      <c r="B290" s="12"/>
      <c r="C290" s="12"/>
      <c r="D290" s="12"/>
      <c r="E290" s="12"/>
      <c r="G290" s="14"/>
    </row>
    <row r="291" spans="1:7" ht="22.5" customHeight="1" x14ac:dyDescent="0.15">
      <c r="A291" s="33"/>
      <c r="B291" s="12"/>
      <c r="C291" s="12"/>
      <c r="D291" s="12"/>
      <c r="E291" s="12"/>
      <c r="G291" s="14"/>
    </row>
    <row r="292" spans="1:7" ht="22.5" customHeight="1" x14ac:dyDescent="0.15">
      <c r="A292" s="33"/>
      <c r="B292" s="12"/>
      <c r="C292" s="12"/>
      <c r="D292" s="12"/>
      <c r="E292" s="12"/>
      <c r="G292" s="14"/>
    </row>
    <row r="293" spans="1:7" ht="22.5" customHeight="1" x14ac:dyDescent="0.15">
      <c r="A293" s="33"/>
      <c r="B293" s="12"/>
      <c r="C293" s="12"/>
      <c r="D293" s="12"/>
      <c r="E293" s="12"/>
      <c r="G293" s="14"/>
    </row>
    <row r="294" spans="1:7" ht="22.5" customHeight="1" x14ac:dyDescent="0.15">
      <c r="A294" s="33"/>
      <c r="B294" s="12"/>
      <c r="C294" s="12"/>
      <c r="D294" s="12"/>
      <c r="E294" s="12"/>
      <c r="G294" s="14"/>
    </row>
    <row r="295" spans="1:7" ht="22.5" customHeight="1" x14ac:dyDescent="0.15">
      <c r="A295" s="33"/>
      <c r="B295" s="12"/>
      <c r="C295" s="12"/>
      <c r="D295" s="12"/>
      <c r="E295" s="12"/>
      <c r="G295" s="14"/>
    </row>
    <row r="296" spans="1:7" ht="22.5" customHeight="1" x14ac:dyDescent="0.15">
      <c r="A296" s="33"/>
      <c r="B296" s="12"/>
      <c r="C296" s="12"/>
      <c r="D296" s="12"/>
      <c r="E296" s="12"/>
      <c r="G296" s="14"/>
    </row>
    <row r="297" spans="1:7" ht="22.5" customHeight="1" x14ac:dyDescent="0.15">
      <c r="A297" s="33"/>
      <c r="B297" s="12"/>
      <c r="C297" s="12"/>
      <c r="D297" s="12"/>
      <c r="E297" s="12"/>
      <c r="G297" s="14"/>
    </row>
    <row r="298" spans="1:7" ht="22.5" customHeight="1" x14ac:dyDescent="0.15">
      <c r="A298" s="33"/>
      <c r="B298" s="12"/>
      <c r="C298" s="12"/>
      <c r="D298" s="12"/>
      <c r="E298" s="12"/>
      <c r="G298" s="14"/>
    </row>
    <row r="299" spans="1:7" ht="22.5" customHeight="1" x14ac:dyDescent="0.15">
      <c r="A299" s="33"/>
      <c r="B299" s="12"/>
      <c r="C299" s="12"/>
      <c r="D299" s="12"/>
      <c r="E299" s="12"/>
      <c r="G299" s="14"/>
    </row>
    <row r="300" spans="1:7" ht="22.5" customHeight="1" x14ac:dyDescent="0.15">
      <c r="A300" s="33"/>
      <c r="B300" s="12"/>
      <c r="C300" s="12"/>
      <c r="D300" s="12"/>
      <c r="E300" s="12"/>
      <c r="G300" s="14"/>
    </row>
    <row r="301" spans="1:7" ht="22.5" customHeight="1" x14ac:dyDescent="0.15">
      <c r="A301" s="33"/>
      <c r="B301" s="12"/>
      <c r="C301" s="12"/>
      <c r="D301" s="12"/>
      <c r="E301" s="12"/>
      <c r="G301" s="14"/>
    </row>
    <row r="302" spans="1:7" ht="22.5" customHeight="1" x14ac:dyDescent="0.15">
      <c r="A302" s="33"/>
      <c r="B302" s="12"/>
      <c r="C302" s="12"/>
      <c r="D302" s="12"/>
      <c r="E302" s="12"/>
      <c r="G302" s="14"/>
    </row>
    <row r="303" spans="1:7" ht="22.5" customHeight="1" x14ac:dyDescent="0.15">
      <c r="A303" s="33"/>
      <c r="B303" s="12"/>
      <c r="C303" s="12"/>
      <c r="D303" s="12"/>
      <c r="E303" s="12"/>
      <c r="G303" s="14"/>
    </row>
    <row r="304" spans="1:7" ht="22.5" customHeight="1" x14ac:dyDescent="0.15">
      <c r="A304" s="33"/>
      <c r="B304" s="12"/>
      <c r="C304" s="12"/>
      <c r="D304" s="12"/>
      <c r="E304" s="12"/>
      <c r="G304" s="14"/>
    </row>
    <row r="305" spans="1:7" ht="22.5" customHeight="1" x14ac:dyDescent="0.15">
      <c r="A305" s="33"/>
      <c r="B305" s="12"/>
      <c r="C305" s="12"/>
      <c r="D305" s="12"/>
      <c r="E305" s="12"/>
      <c r="G305" s="14"/>
    </row>
    <row r="306" spans="1:7" ht="22.5" customHeight="1" x14ac:dyDescent="0.15">
      <c r="A306" s="33"/>
      <c r="B306" s="12"/>
      <c r="C306" s="12"/>
      <c r="D306" s="12"/>
      <c r="E306" s="12"/>
      <c r="G306" s="14"/>
    </row>
    <row r="307" spans="1:7" ht="22.5" customHeight="1" x14ac:dyDescent="0.15">
      <c r="A307" s="33"/>
      <c r="B307" s="12"/>
      <c r="C307" s="12"/>
      <c r="D307" s="12"/>
      <c r="E307" s="12"/>
      <c r="G307" s="14"/>
    </row>
    <row r="308" spans="1:7" ht="22.5" customHeight="1" x14ac:dyDescent="0.15">
      <c r="A308" s="33"/>
      <c r="B308" s="12"/>
      <c r="C308" s="12"/>
      <c r="D308" s="12"/>
      <c r="E308" s="12"/>
      <c r="G308" s="14"/>
    </row>
    <row r="309" spans="1:7" ht="22.5" customHeight="1" x14ac:dyDescent="0.15">
      <c r="A309" s="33"/>
      <c r="B309" s="12"/>
      <c r="C309" s="12"/>
      <c r="D309" s="12"/>
      <c r="E309" s="12"/>
      <c r="G309" s="14"/>
    </row>
    <row r="310" spans="1:7" ht="22.5" customHeight="1" x14ac:dyDescent="0.15">
      <c r="A310" s="33"/>
      <c r="B310" s="12"/>
      <c r="C310" s="12"/>
      <c r="D310" s="12"/>
      <c r="E310" s="12"/>
      <c r="G310" s="14"/>
    </row>
    <row r="311" spans="1:7" ht="22.5" customHeight="1" x14ac:dyDescent="0.15">
      <c r="A311" s="33"/>
      <c r="B311" s="12"/>
      <c r="C311" s="12"/>
      <c r="D311" s="12"/>
      <c r="E311" s="12"/>
      <c r="G311" s="14"/>
    </row>
    <row r="312" spans="1:7" ht="22.5" customHeight="1" x14ac:dyDescent="0.15">
      <c r="A312" s="33"/>
      <c r="B312" s="12"/>
      <c r="C312" s="12"/>
      <c r="D312" s="12"/>
      <c r="E312" s="12"/>
      <c r="G312" s="14"/>
    </row>
    <row r="313" spans="1:7" ht="22.5" customHeight="1" x14ac:dyDescent="0.15">
      <c r="A313" s="33"/>
      <c r="B313" s="12"/>
      <c r="C313" s="12"/>
      <c r="D313" s="12"/>
      <c r="E313" s="12"/>
      <c r="G313" s="14"/>
    </row>
    <row r="314" spans="1:7" ht="22.5" customHeight="1" x14ac:dyDescent="0.15">
      <c r="A314" s="33"/>
      <c r="B314" s="12"/>
      <c r="C314" s="12"/>
      <c r="D314" s="12"/>
      <c r="E314" s="12"/>
      <c r="G314" s="14"/>
    </row>
    <row r="315" spans="1:7" ht="22.5" customHeight="1" x14ac:dyDescent="0.15">
      <c r="A315" s="33"/>
      <c r="B315" s="12"/>
      <c r="C315" s="12"/>
      <c r="D315" s="12"/>
      <c r="E315" s="12"/>
      <c r="G315" s="14"/>
    </row>
    <row r="316" spans="1:7" ht="22.5" customHeight="1" x14ac:dyDescent="0.15">
      <c r="A316" s="33"/>
      <c r="B316" s="12"/>
      <c r="C316" s="12"/>
      <c r="D316" s="12"/>
      <c r="E316" s="12"/>
      <c r="G316" s="14"/>
    </row>
    <row r="317" spans="1:7" ht="22.5" customHeight="1" x14ac:dyDescent="0.15">
      <c r="A317" s="33"/>
      <c r="B317" s="12"/>
      <c r="C317" s="12"/>
      <c r="D317" s="12"/>
      <c r="E317" s="12"/>
      <c r="G317" s="14"/>
    </row>
    <row r="318" spans="1:7" ht="22.5" customHeight="1" x14ac:dyDescent="0.15">
      <c r="A318" s="33"/>
      <c r="B318" s="12"/>
      <c r="C318" s="12"/>
      <c r="D318" s="12"/>
      <c r="E318" s="12"/>
      <c r="G318" s="14"/>
    </row>
    <row r="319" spans="1:7" ht="22.5" customHeight="1" x14ac:dyDescent="0.15">
      <c r="A319" s="33"/>
      <c r="B319" s="12"/>
      <c r="C319" s="12"/>
      <c r="D319" s="12"/>
      <c r="E319" s="12"/>
      <c r="G319" s="14"/>
    </row>
    <row r="320" spans="1:7" ht="22.5" customHeight="1" x14ac:dyDescent="0.15">
      <c r="A320" s="33"/>
      <c r="B320" s="12"/>
      <c r="C320" s="12"/>
      <c r="D320" s="12"/>
      <c r="E320" s="12"/>
      <c r="G320" s="14"/>
    </row>
    <row r="321" spans="1:7" ht="22.5" customHeight="1" x14ac:dyDescent="0.15">
      <c r="A321" s="33"/>
      <c r="B321" s="12"/>
      <c r="C321" s="12"/>
      <c r="D321" s="12"/>
      <c r="E321" s="12"/>
      <c r="G321" s="14"/>
    </row>
    <row r="322" spans="1:7" ht="22.5" customHeight="1" x14ac:dyDescent="0.15">
      <c r="A322" s="33"/>
      <c r="B322" s="12"/>
      <c r="C322" s="12"/>
      <c r="D322" s="12"/>
      <c r="E322" s="12"/>
      <c r="G322" s="14"/>
    </row>
    <row r="323" spans="1:7" ht="22.5" customHeight="1" x14ac:dyDescent="0.15">
      <c r="A323" s="33"/>
      <c r="B323" s="12"/>
      <c r="C323" s="12"/>
      <c r="D323" s="12"/>
      <c r="E323" s="12"/>
      <c r="G323" s="14"/>
    </row>
    <row r="324" spans="1:7" ht="22.5" customHeight="1" x14ac:dyDescent="0.15">
      <c r="A324" s="33"/>
      <c r="B324" s="12"/>
      <c r="C324" s="12"/>
      <c r="D324" s="12"/>
      <c r="E324" s="12"/>
      <c r="G324" s="14"/>
    </row>
    <row r="325" spans="1:7" ht="22.5" customHeight="1" x14ac:dyDescent="0.15">
      <c r="A325" s="33"/>
      <c r="B325" s="12"/>
      <c r="C325" s="12"/>
      <c r="D325" s="12"/>
      <c r="E325" s="12"/>
      <c r="G325" s="14"/>
    </row>
    <row r="326" spans="1:7" ht="22.5" customHeight="1" x14ac:dyDescent="0.15">
      <c r="A326" s="33"/>
      <c r="B326" s="12"/>
      <c r="C326" s="12"/>
      <c r="D326" s="12"/>
      <c r="E326" s="12"/>
      <c r="G326" s="14"/>
    </row>
    <row r="327" spans="1:7" ht="22.5" customHeight="1" x14ac:dyDescent="0.15">
      <c r="A327" s="33"/>
      <c r="B327" s="12"/>
      <c r="C327" s="12"/>
      <c r="D327" s="12"/>
      <c r="E327" s="12"/>
      <c r="G327" s="14"/>
    </row>
    <row r="328" spans="1:7" ht="22.5" customHeight="1" x14ac:dyDescent="0.15">
      <c r="A328" s="33"/>
      <c r="B328" s="12"/>
      <c r="C328" s="12"/>
      <c r="D328" s="12"/>
      <c r="E328" s="12"/>
      <c r="G328" s="14"/>
    </row>
    <row r="329" spans="1:7" ht="22.5" customHeight="1" x14ac:dyDescent="0.15">
      <c r="A329" s="33"/>
      <c r="B329" s="12"/>
      <c r="C329" s="12"/>
      <c r="D329" s="12"/>
      <c r="E329" s="12"/>
      <c r="G329" s="14"/>
    </row>
    <row r="330" spans="1:7" ht="22.5" customHeight="1" x14ac:dyDescent="0.15">
      <c r="A330" s="33"/>
      <c r="B330" s="12"/>
      <c r="C330" s="12"/>
      <c r="D330" s="12"/>
      <c r="E330" s="12"/>
      <c r="G330" s="14"/>
    </row>
    <row r="331" spans="1:7" ht="22.5" customHeight="1" x14ac:dyDescent="0.15">
      <c r="A331" s="33"/>
      <c r="B331" s="12"/>
      <c r="C331" s="12"/>
      <c r="D331" s="12"/>
      <c r="E331" s="12"/>
      <c r="G331" s="14"/>
    </row>
    <row r="332" spans="1:7" ht="22.5" customHeight="1" x14ac:dyDescent="0.15">
      <c r="A332" s="33"/>
      <c r="B332" s="12"/>
      <c r="C332" s="12"/>
      <c r="D332" s="12"/>
      <c r="E332" s="12"/>
      <c r="G332" s="14"/>
    </row>
    <row r="333" spans="1:7" ht="22.5" customHeight="1" x14ac:dyDescent="0.15">
      <c r="A333" s="33"/>
      <c r="B333" s="12"/>
      <c r="C333" s="12"/>
      <c r="D333" s="12"/>
      <c r="E333" s="12"/>
      <c r="G333" s="14"/>
    </row>
    <row r="334" spans="1:7" ht="22.5" customHeight="1" x14ac:dyDescent="0.15">
      <c r="A334" s="33"/>
      <c r="B334" s="12"/>
      <c r="C334" s="12"/>
      <c r="D334" s="12"/>
      <c r="E334" s="12"/>
      <c r="G334" s="14"/>
    </row>
    <row r="335" spans="1:7" ht="22.5" customHeight="1" x14ac:dyDescent="0.15">
      <c r="A335" s="33"/>
      <c r="B335" s="12"/>
      <c r="C335" s="12"/>
      <c r="D335" s="12"/>
      <c r="E335" s="12"/>
      <c r="G335" s="14"/>
    </row>
    <row r="336" spans="1:7" ht="22.5" customHeight="1" x14ac:dyDescent="0.15">
      <c r="A336" s="33"/>
      <c r="B336" s="12"/>
      <c r="C336" s="12"/>
      <c r="D336" s="12"/>
      <c r="E336" s="12"/>
      <c r="G336" s="14"/>
    </row>
    <row r="337" spans="1:7" ht="22.5" customHeight="1" x14ac:dyDescent="0.15">
      <c r="A337" s="33"/>
      <c r="B337" s="12"/>
      <c r="C337" s="12"/>
      <c r="D337" s="12"/>
      <c r="E337" s="12"/>
      <c r="G337" s="14"/>
    </row>
    <row r="338" spans="1:7" ht="22.5" customHeight="1" x14ac:dyDescent="0.15">
      <c r="A338" s="33"/>
      <c r="B338" s="12"/>
      <c r="C338" s="12"/>
      <c r="D338" s="12"/>
      <c r="E338" s="12"/>
      <c r="G338" s="14"/>
    </row>
    <row r="339" spans="1:7" ht="22.5" customHeight="1" x14ac:dyDescent="0.15">
      <c r="A339" s="33"/>
      <c r="B339" s="12"/>
      <c r="C339" s="12"/>
      <c r="D339" s="12"/>
      <c r="E339" s="12"/>
      <c r="G339" s="14"/>
    </row>
    <row r="340" spans="1:7" ht="22.5" customHeight="1" x14ac:dyDescent="0.15">
      <c r="A340" s="33"/>
      <c r="B340" s="12"/>
      <c r="C340" s="12"/>
      <c r="D340" s="12"/>
      <c r="E340" s="12"/>
      <c r="G340" s="14"/>
    </row>
    <row r="341" spans="1:7" ht="22.5" customHeight="1" x14ac:dyDescent="0.15">
      <c r="A341" s="33"/>
      <c r="B341" s="12"/>
      <c r="C341" s="12"/>
      <c r="D341" s="12"/>
      <c r="E341" s="12"/>
      <c r="G341" s="14"/>
    </row>
    <row r="342" spans="1:7" ht="22.5" customHeight="1" x14ac:dyDescent="0.15">
      <c r="A342" s="33"/>
      <c r="B342" s="12"/>
      <c r="C342" s="12"/>
      <c r="D342" s="12"/>
      <c r="E342" s="12"/>
      <c r="G342" s="14"/>
    </row>
    <row r="343" spans="1:7" ht="22.5" customHeight="1" x14ac:dyDescent="0.15">
      <c r="A343" s="33"/>
      <c r="B343" s="12"/>
      <c r="C343" s="12"/>
      <c r="D343" s="12"/>
      <c r="E343" s="12"/>
      <c r="G343" s="14"/>
    </row>
    <row r="344" spans="1:7" ht="22.5" customHeight="1" x14ac:dyDescent="0.15">
      <c r="A344" s="33"/>
      <c r="B344" s="12"/>
      <c r="C344" s="12"/>
      <c r="D344" s="12"/>
      <c r="E344" s="12"/>
      <c r="G344" s="14"/>
    </row>
    <row r="345" spans="1:7" ht="22.5" customHeight="1" x14ac:dyDescent="0.15">
      <c r="A345" s="33"/>
      <c r="B345" s="12"/>
      <c r="C345" s="12"/>
      <c r="D345" s="12"/>
      <c r="E345" s="12"/>
      <c r="G345" s="14"/>
    </row>
    <row r="346" spans="1:7" ht="22.5" customHeight="1" x14ac:dyDescent="0.15">
      <c r="A346" s="33"/>
      <c r="B346" s="12"/>
      <c r="C346" s="12"/>
      <c r="D346" s="12"/>
      <c r="E346" s="12"/>
      <c r="G346" s="14"/>
    </row>
    <row r="347" spans="1:7" ht="22.5" customHeight="1" x14ac:dyDescent="0.15">
      <c r="A347" s="33"/>
      <c r="B347" s="12"/>
      <c r="C347" s="12"/>
      <c r="D347" s="12"/>
      <c r="E347" s="12"/>
      <c r="G347" s="14"/>
    </row>
    <row r="348" spans="1:7" ht="22.5" customHeight="1" x14ac:dyDescent="0.15">
      <c r="A348" s="33"/>
      <c r="B348" s="12"/>
      <c r="C348" s="12"/>
      <c r="D348" s="12"/>
      <c r="E348" s="12"/>
      <c r="G348" s="14"/>
    </row>
    <row r="349" spans="1:7" ht="22.5" customHeight="1" x14ac:dyDescent="0.15">
      <c r="A349" s="33"/>
      <c r="B349" s="12"/>
      <c r="C349" s="12"/>
      <c r="D349" s="12"/>
      <c r="E349" s="12"/>
      <c r="G349" s="14"/>
    </row>
    <row r="350" spans="1:7" ht="22.5" customHeight="1" x14ac:dyDescent="0.15">
      <c r="A350" s="33"/>
      <c r="B350" s="12"/>
      <c r="C350" s="12"/>
      <c r="D350" s="12"/>
      <c r="E350" s="12"/>
      <c r="G350" s="14"/>
    </row>
    <row r="351" spans="1:7" ht="22.5" customHeight="1" x14ac:dyDescent="0.15">
      <c r="A351" s="33"/>
      <c r="B351" s="12"/>
      <c r="C351" s="12"/>
      <c r="D351" s="12"/>
      <c r="E351" s="12"/>
      <c r="G351" s="14"/>
    </row>
    <row r="352" spans="1:7" ht="22.5" customHeight="1" x14ac:dyDescent="0.15">
      <c r="A352" s="33"/>
      <c r="B352" s="12"/>
      <c r="C352" s="12"/>
      <c r="D352" s="12"/>
      <c r="E352" s="12"/>
      <c r="G352" s="14"/>
    </row>
    <row r="353" spans="1:7" ht="22.5" customHeight="1" x14ac:dyDescent="0.15">
      <c r="A353" s="33"/>
      <c r="B353" s="12"/>
      <c r="C353" s="12"/>
      <c r="D353" s="12"/>
      <c r="E353" s="12"/>
      <c r="G353" s="14"/>
    </row>
    <row r="354" spans="1:7" ht="22.5" customHeight="1" x14ac:dyDescent="0.15">
      <c r="A354" s="33"/>
      <c r="B354" s="12"/>
      <c r="C354" s="12"/>
      <c r="D354" s="12"/>
      <c r="E354" s="12"/>
      <c r="G354" s="14"/>
    </row>
    <row r="355" spans="1:7" ht="22.5" customHeight="1" x14ac:dyDescent="0.15">
      <c r="A355" s="33"/>
      <c r="B355" s="12"/>
      <c r="C355" s="12"/>
      <c r="D355" s="12"/>
      <c r="E355" s="12"/>
      <c r="G355" s="14"/>
    </row>
    <row r="356" spans="1:7" ht="22.5" customHeight="1" x14ac:dyDescent="0.15">
      <c r="A356" s="33"/>
      <c r="B356" s="12"/>
      <c r="C356" s="12"/>
      <c r="D356" s="12"/>
      <c r="E356" s="12"/>
      <c r="G356" s="14"/>
    </row>
    <row r="357" spans="1:7" ht="22.5" customHeight="1" x14ac:dyDescent="0.15">
      <c r="A357" s="33"/>
      <c r="B357" s="12"/>
      <c r="C357" s="12"/>
      <c r="D357" s="12"/>
      <c r="E357" s="12"/>
      <c r="G357" s="14"/>
    </row>
    <row r="358" spans="1:7" ht="22.5" customHeight="1" x14ac:dyDescent="0.15">
      <c r="A358" s="33"/>
      <c r="B358" s="12"/>
      <c r="C358" s="12"/>
      <c r="D358" s="12"/>
      <c r="E358" s="12"/>
      <c r="G358" s="14"/>
    </row>
    <row r="359" spans="1:7" ht="22.5" customHeight="1" x14ac:dyDescent="0.15">
      <c r="A359" s="33"/>
      <c r="B359" s="12"/>
      <c r="C359" s="12"/>
      <c r="D359" s="12"/>
      <c r="E359" s="12"/>
      <c r="G359" s="14"/>
    </row>
    <row r="360" spans="1:7" ht="22.5" customHeight="1" x14ac:dyDescent="0.15">
      <c r="A360" s="33"/>
      <c r="B360" s="12"/>
      <c r="C360" s="12"/>
      <c r="D360" s="12"/>
      <c r="E360" s="12"/>
      <c r="G360" s="14"/>
    </row>
    <row r="361" spans="1:7" ht="22.5" customHeight="1" x14ac:dyDescent="0.15">
      <c r="A361" s="33"/>
      <c r="B361" s="12"/>
      <c r="C361" s="12"/>
      <c r="D361" s="12"/>
      <c r="E361" s="12"/>
      <c r="G361" s="14"/>
    </row>
    <row r="362" spans="1:7" ht="22.5" customHeight="1" x14ac:dyDescent="0.15">
      <c r="A362" s="33"/>
      <c r="B362" s="12"/>
      <c r="C362" s="12"/>
      <c r="D362" s="12"/>
      <c r="E362" s="12"/>
      <c r="G362" s="14"/>
    </row>
    <row r="363" spans="1:7" ht="22.5" customHeight="1" x14ac:dyDescent="0.15">
      <c r="A363" s="33"/>
      <c r="B363" s="12"/>
      <c r="C363" s="12"/>
      <c r="D363" s="12"/>
      <c r="E363" s="12"/>
      <c r="G363" s="14"/>
    </row>
    <row r="364" spans="1:7" ht="22.5" customHeight="1" x14ac:dyDescent="0.15">
      <c r="A364" s="33"/>
      <c r="B364" s="12"/>
      <c r="C364" s="12"/>
      <c r="D364" s="12"/>
      <c r="E364" s="12"/>
      <c r="G364" s="14"/>
    </row>
    <row r="365" spans="1:7" ht="22.5" customHeight="1" x14ac:dyDescent="0.15">
      <c r="A365" s="33"/>
      <c r="B365" s="12"/>
      <c r="C365" s="12"/>
      <c r="D365" s="12"/>
      <c r="E365" s="12"/>
      <c r="G365" s="14"/>
    </row>
    <row r="366" spans="1:7" ht="22.5" customHeight="1" x14ac:dyDescent="0.15">
      <c r="A366" s="33"/>
      <c r="B366" s="12"/>
      <c r="C366" s="12"/>
      <c r="D366" s="12"/>
      <c r="E366" s="12"/>
      <c r="G366" s="14"/>
    </row>
    <row r="367" spans="1:7" ht="22.5" customHeight="1" x14ac:dyDescent="0.15">
      <c r="A367" s="33"/>
      <c r="B367" s="12"/>
      <c r="C367" s="12"/>
      <c r="D367" s="12"/>
      <c r="E367" s="12"/>
      <c r="G367" s="14"/>
    </row>
    <row r="368" spans="1:7" ht="22.5" customHeight="1" x14ac:dyDescent="0.15">
      <c r="A368" s="33"/>
      <c r="B368" s="12"/>
      <c r="C368" s="12"/>
      <c r="D368" s="12"/>
      <c r="E368" s="12"/>
      <c r="G368" s="14"/>
    </row>
    <row r="369" spans="1:7" ht="22.5" customHeight="1" x14ac:dyDescent="0.15">
      <c r="A369" s="33"/>
      <c r="B369" s="12"/>
      <c r="C369" s="12"/>
      <c r="D369" s="12"/>
      <c r="E369" s="12"/>
      <c r="G369" s="14"/>
    </row>
    <row r="370" spans="1:7" ht="22.5" customHeight="1" x14ac:dyDescent="0.15">
      <c r="A370" s="33"/>
      <c r="B370" s="12"/>
      <c r="C370" s="12"/>
      <c r="D370" s="12"/>
      <c r="E370" s="12"/>
      <c r="G370" s="14"/>
    </row>
    <row r="371" spans="1:7" ht="22.5" customHeight="1" x14ac:dyDescent="0.15">
      <c r="A371" s="33"/>
      <c r="B371" s="12"/>
      <c r="C371" s="12"/>
      <c r="D371" s="12"/>
      <c r="E371" s="12"/>
      <c r="G371" s="14"/>
    </row>
    <row r="372" spans="1:7" ht="22.5" customHeight="1" x14ac:dyDescent="0.15">
      <c r="A372" s="33"/>
      <c r="B372" s="12"/>
      <c r="C372" s="12"/>
      <c r="D372" s="12"/>
      <c r="E372" s="12"/>
      <c r="G372" s="14"/>
    </row>
    <row r="373" spans="1:7" ht="22.5" customHeight="1" x14ac:dyDescent="0.15">
      <c r="A373" s="33"/>
      <c r="B373" s="12"/>
      <c r="C373" s="12"/>
      <c r="D373" s="12"/>
      <c r="E373" s="12"/>
      <c r="G373" s="14"/>
    </row>
    <row r="374" spans="1:7" ht="22.5" customHeight="1" x14ac:dyDescent="0.15">
      <c r="A374" s="33"/>
      <c r="B374" s="12"/>
      <c r="C374" s="12"/>
      <c r="D374" s="12"/>
      <c r="E374" s="12"/>
      <c r="G374" s="14"/>
    </row>
    <row r="375" spans="1:7" ht="22.5" customHeight="1" x14ac:dyDescent="0.15">
      <c r="A375" s="33"/>
      <c r="B375" s="12"/>
      <c r="C375" s="12"/>
      <c r="D375" s="12"/>
      <c r="E375" s="12"/>
      <c r="G375" s="14"/>
    </row>
    <row r="376" spans="1:7" ht="22.5" customHeight="1" x14ac:dyDescent="0.15">
      <c r="A376" s="33"/>
      <c r="B376" s="12"/>
      <c r="C376" s="12"/>
      <c r="D376" s="12"/>
      <c r="E376" s="12"/>
      <c r="G376" s="14"/>
    </row>
    <row r="377" spans="1:7" ht="22.5" customHeight="1" x14ac:dyDescent="0.15">
      <c r="A377" s="33"/>
      <c r="B377" s="12"/>
      <c r="C377" s="12"/>
      <c r="D377" s="12"/>
      <c r="E377" s="12"/>
      <c r="G377" s="14"/>
    </row>
    <row r="378" spans="1:7" ht="22.5" customHeight="1" x14ac:dyDescent="0.15">
      <c r="A378" s="33"/>
      <c r="B378" s="12"/>
      <c r="C378" s="12"/>
      <c r="D378" s="12"/>
      <c r="E378" s="12"/>
      <c r="G378" s="14"/>
    </row>
    <row r="379" spans="1:7" ht="22.5" customHeight="1" x14ac:dyDescent="0.15">
      <c r="A379" s="33"/>
      <c r="B379" s="12"/>
      <c r="C379" s="12"/>
      <c r="D379" s="12"/>
      <c r="E379" s="12"/>
      <c r="G379" s="14"/>
    </row>
    <row r="380" spans="1:7" ht="22.5" customHeight="1" x14ac:dyDescent="0.15">
      <c r="A380" s="33"/>
      <c r="B380" s="12"/>
      <c r="C380" s="12"/>
      <c r="D380" s="12"/>
      <c r="E380" s="12"/>
      <c r="G380" s="14"/>
    </row>
    <row r="381" spans="1:7" ht="22.5" customHeight="1" x14ac:dyDescent="0.15">
      <c r="A381" s="33"/>
      <c r="B381" s="12"/>
      <c r="C381" s="12"/>
      <c r="D381" s="12"/>
      <c r="E381" s="12"/>
      <c r="G381" s="14"/>
    </row>
    <row r="382" spans="1:7" ht="22.5" customHeight="1" x14ac:dyDescent="0.15">
      <c r="A382" s="33"/>
      <c r="B382" s="12"/>
      <c r="C382" s="12"/>
      <c r="D382" s="12"/>
      <c r="E382" s="12"/>
      <c r="G382" s="14"/>
    </row>
    <row r="383" spans="1:7" ht="22.5" customHeight="1" x14ac:dyDescent="0.15">
      <c r="A383" s="33"/>
      <c r="B383" s="12"/>
      <c r="C383" s="12"/>
      <c r="D383" s="12"/>
      <c r="E383" s="12"/>
      <c r="G383" s="14"/>
    </row>
    <row r="384" spans="1:7" ht="22.5" customHeight="1" x14ac:dyDescent="0.15">
      <c r="A384" s="33"/>
      <c r="B384" s="12"/>
      <c r="C384" s="12"/>
      <c r="D384" s="12"/>
      <c r="E384" s="12"/>
      <c r="G384" s="14"/>
    </row>
    <row r="385" spans="1:7" ht="22.5" customHeight="1" x14ac:dyDescent="0.15">
      <c r="A385" s="33"/>
      <c r="B385" s="12"/>
      <c r="C385" s="12"/>
      <c r="D385" s="12"/>
      <c r="E385" s="12"/>
      <c r="G385" s="14"/>
    </row>
    <row r="386" spans="1:7" ht="22.5" customHeight="1" x14ac:dyDescent="0.15">
      <c r="A386" s="33"/>
      <c r="B386" s="12"/>
      <c r="C386" s="12"/>
      <c r="D386" s="12"/>
      <c r="E386" s="12"/>
      <c r="G386" s="14"/>
    </row>
    <row r="387" spans="1:7" ht="22.5" customHeight="1" x14ac:dyDescent="0.15">
      <c r="A387" s="33"/>
      <c r="B387" s="12"/>
      <c r="C387" s="12"/>
      <c r="D387" s="12"/>
      <c r="E387" s="12"/>
      <c r="G387" s="14"/>
    </row>
    <row r="388" spans="1:7" ht="22.5" customHeight="1" x14ac:dyDescent="0.15">
      <c r="A388" s="33"/>
      <c r="B388" s="12"/>
      <c r="C388" s="12"/>
      <c r="D388" s="12"/>
      <c r="E388" s="12"/>
      <c r="G388" s="14"/>
    </row>
    <row r="389" spans="1:7" ht="22.5" customHeight="1" x14ac:dyDescent="0.15">
      <c r="A389" s="33"/>
      <c r="B389" s="12"/>
      <c r="C389" s="12"/>
      <c r="D389" s="12"/>
      <c r="E389" s="12"/>
      <c r="G389" s="14"/>
    </row>
    <row r="390" spans="1:7" ht="22.5" customHeight="1" x14ac:dyDescent="0.15">
      <c r="A390" s="33"/>
      <c r="B390" s="12"/>
      <c r="C390" s="12"/>
      <c r="D390" s="12"/>
      <c r="E390" s="12"/>
      <c r="G390" s="14"/>
    </row>
    <row r="391" spans="1:7" ht="22.5" customHeight="1" x14ac:dyDescent="0.15">
      <c r="A391" s="33"/>
      <c r="B391" s="12"/>
      <c r="C391" s="12"/>
      <c r="D391" s="12"/>
      <c r="E391" s="12"/>
      <c r="G391" s="14"/>
    </row>
    <row r="392" spans="1:7" ht="22.5" customHeight="1" x14ac:dyDescent="0.15">
      <c r="A392" s="33"/>
      <c r="B392" s="12"/>
      <c r="C392" s="12"/>
      <c r="D392" s="12"/>
      <c r="E392" s="12"/>
      <c r="G392" s="14"/>
    </row>
    <row r="393" spans="1:7" ht="22.5" customHeight="1" x14ac:dyDescent="0.15">
      <c r="A393" s="33"/>
      <c r="B393" s="12"/>
      <c r="C393" s="12"/>
      <c r="D393" s="12"/>
      <c r="E393" s="12"/>
      <c r="G393" s="14"/>
    </row>
    <row r="394" spans="1:7" ht="22.5" customHeight="1" x14ac:dyDescent="0.15">
      <c r="A394" s="33"/>
      <c r="B394" s="12"/>
      <c r="C394" s="12"/>
      <c r="D394" s="12"/>
      <c r="E394" s="12"/>
      <c r="G394" s="14"/>
    </row>
    <row r="395" spans="1:7" ht="22.5" customHeight="1" x14ac:dyDescent="0.15">
      <c r="A395" s="33"/>
      <c r="B395" s="12"/>
      <c r="C395" s="12"/>
      <c r="D395" s="12"/>
      <c r="E395" s="12"/>
      <c r="G395" s="14"/>
    </row>
    <row r="396" spans="1:7" ht="22.5" customHeight="1" x14ac:dyDescent="0.15">
      <c r="A396" s="33"/>
      <c r="B396" s="12"/>
      <c r="C396" s="12"/>
      <c r="D396" s="12"/>
      <c r="E396" s="12"/>
      <c r="G396" s="14"/>
    </row>
    <row r="397" spans="1:7" ht="22.5" customHeight="1" x14ac:dyDescent="0.15">
      <c r="A397" s="33"/>
      <c r="B397" s="12"/>
      <c r="C397" s="12"/>
      <c r="D397" s="12"/>
      <c r="E397" s="12"/>
      <c r="G397" s="14"/>
    </row>
    <row r="398" spans="1:7" ht="22.5" customHeight="1" x14ac:dyDescent="0.15">
      <c r="A398" s="33"/>
      <c r="B398" s="12"/>
      <c r="C398" s="12"/>
      <c r="D398" s="12"/>
      <c r="E398" s="12"/>
      <c r="G398" s="14"/>
    </row>
    <row r="399" spans="1:7" ht="22.5" customHeight="1" x14ac:dyDescent="0.15">
      <c r="A399" s="33"/>
      <c r="B399" s="12"/>
      <c r="C399" s="12"/>
      <c r="D399" s="12"/>
      <c r="E399" s="12"/>
      <c r="G399" s="14"/>
    </row>
    <row r="400" spans="1:7" ht="22.5" customHeight="1" x14ac:dyDescent="0.15">
      <c r="A400" s="33"/>
      <c r="B400" s="12"/>
      <c r="C400" s="12"/>
      <c r="D400" s="12"/>
      <c r="E400" s="12"/>
      <c r="G400" s="14"/>
    </row>
    <row r="401" spans="1:7" ht="22.5" customHeight="1" x14ac:dyDescent="0.15">
      <c r="A401" s="33"/>
      <c r="B401" s="12"/>
      <c r="C401" s="12"/>
      <c r="D401" s="12"/>
      <c r="E401" s="12"/>
      <c r="G401" s="14"/>
    </row>
    <row r="402" spans="1:7" ht="22.5" customHeight="1" x14ac:dyDescent="0.15">
      <c r="A402" s="33"/>
      <c r="B402" s="12"/>
      <c r="C402" s="12"/>
      <c r="D402" s="12"/>
      <c r="E402" s="12"/>
      <c r="G402" s="14"/>
    </row>
    <row r="403" spans="1:7" ht="22.5" customHeight="1" x14ac:dyDescent="0.15">
      <c r="A403" s="33"/>
      <c r="B403" s="12"/>
      <c r="C403" s="12"/>
      <c r="D403" s="12"/>
      <c r="E403" s="12"/>
      <c r="G403" s="14"/>
    </row>
    <row r="404" spans="1:7" ht="22.5" customHeight="1" x14ac:dyDescent="0.15">
      <c r="A404" s="33"/>
      <c r="B404" s="12"/>
      <c r="C404" s="12"/>
      <c r="D404" s="12"/>
      <c r="E404" s="12"/>
      <c r="G404" s="14"/>
    </row>
    <row r="405" spans="1:7" ht="22.5" customHeight="1" x14ac:dyDescent="0.15">
      <c r="A405" s="33"/>
      <c r="B405" s="12"/>
      <c r="C405" s="12"/>
      <c r="D405" s="12"/>
      <c r="E405" s="12"/>
      <c r="G405" s="14"/>
    </row>
    <row r="406" spans="1:7" ht="22.5" customHeight="1" x14ac:dyDescent="0.15">
      <c r="A406" s="33"/>
      <c r="B406" s="12"/>
      <c r="C406" s="12"/>
      <c r="D406" s="12"/>
      <c r="E406" s="12"/>
      <c r="G406" s="14"/>
    </row>
    <row r="407" spans="1:7" ht="22.5" customHeight="1" x14ac:dyDescent="0.15">
      <c r="A407" s="33"/>
      <c r="B407" s="12"/>
      <c r="C407" s="12"/>
      <c r="D407" s="12"/>
      <c r="E407" s="12"/>
      <c r="G407" s="14"/>
    </row>
    <row r="408" spans="1:7" ht="22.5" customHeight="1" x14ac:dyDescent="0.15">
      <c r="A408" s="33"/>
      <c r="B408" s="12"/>
      <c r="C408" s="12"/>
      <c r="D408" s="12"/>
      <c r="E408" s="12"/>
      <c r="G408" s="14"/>
    </row>
    <row r="409" spans="1:7" ht="22.5" customHeight="1" x14ac:dyDescent="0.15">
      <c r="A409" s="33"/>
      <c r="B409" s="12"/>
      <c r="C409" s="12"/>
      <c r="D409" s="12"/>
      <c r="E409" s="12"/>
      <c r="G409" s="14"/>
    </row>
    <row r="410" spans="1:7" ht="22.5" customHeight="1" x14ac:dyDescent="0.15">
      <c r="A410" s="33"/>
      <c r="B410" s="12"/>
      <c r="C410" s="12"/>
      <c r="D410" s="12"/>
      <c r="E410" s="12"/>
      <c r="G410" s="14"/>
    </row>
    <row r="411" spans="1:7" ht="22.5" customHeight="1" x14ac:dyDescent="0.15">
      <c r="A411" s="33"/>
      <c r="B411" s="12"/>
      <c r="C411" s="12"/>
      <c r="D411" s="12"/>
      <c r="E411" s="12"/>
      <c r="G411" s="14"/>
    </row>
    <row r="412" spans="1:7" ht="22.5" customHeight="1" x14ac:dyDescent="0.15">
      <c r="A412" s="33"/>
      <c r="B412" s="12"/>
      <c r="C412" s="12"/>
      <c r="D412" s="12"/>
      <c r="E412" s="12"/>
      <c r="G412" s="14"/>
    </row>
    <row r="413" spans="1:7" ht="22.5" customHeight="1" x14ac:dyDescent="0.15">
      <c r="A413" s="33"/>
      <c r="B413" s="12"/>
      <c r="C413" s="12"/>
      <c r="D413" s="12"/>
      <c r="E413" s="12"/>
      <c r="G413" s="14"/>
    </row>
    <row r="414" spans="1:7" ht="22.5" customHeight="1" x14ac:dyDescent="0.15">
      <c r="A414" s="33"/>
      <c r="B414" s="12"/>
      <c r="C414" s="12"/>
      <c r="D414" s="12"/>
      <c r="E414" s="12"/>
      <c r="G414" s="14"/>
    </row>
    <row r="415" spans="1:7" ht="22.5" customHeight="1" x14ac:dyDescent="0.15">
      <c r="A415" s="33"/>
      <c r="B415" s="12"/>
      <c r="C415" s="12"/>
      <c r="D415" s="12"/>
      <c r="E415" s="12"/>
      <c r="G415" s="14"/>
    </row>
    <row r="416" spans="1:7" ht="22.5" customHeight="1" x14ac:dyDescent="0.15">
      <c r="A416" s="33"/>
      <c r="B416" s="12"/>
      <c r="C416" s="12"/>
      <c r="D416" s="12"/>
      <c r="E416" s="12"/>
      <c r="G416" s="14"/>
    </row>
    <row r="417" spans="1:7" ht="22.5" customHeight="1" x14ac:dyDescent="0.15">
      <c r="A417" s="33"/>
      <c r="B417" s="12"/>
      <c r="C417" s="12"/>
      <c r="D417" s="12"/>
      <c r="E417" s="12"/>
      <c r="G417" s="14"/>
    </row>
    <row r="418" spans="1:7" ht="22.5" customHeight="1" x14ac:dyDescent="0.15">
      <c r="A418" s="33"/>
      <c r="B418" s="12"/>
      <c r="C418" s="12"/>
      <c r="D418" s="12"/>
      <c r="E418" s="12"/>
      <c r="G418" s="14"/>
    </row>
    <row r="419" spans="1:7" ht="22.5" customHeight="1" x14ac:dyDescent="0.15">
      <c r="A419" s="33"/>
      <c r="B419" s="12"/>
      <c r="C419" s="12"/>
      <c r="D419" s="12"/>
      <c r="E419" s="12"/>
      <c r="G419" s="14"/>
    </row>
    <row r="420" spans="1:7" ht="22.5" customHeight="1" x14ac:dyDescent="0.15">
      <c r="A420" s="33"/>
      <c r="B420" s="12"/>
      <c r="C420" s="12"/>
      <c r="D420" s="12"/>
      <c r="E420" s="12"/>
      <c r="G420" s="14"/>
    </row>
    <row r="421" spans="1:7" ht="22.5" customHeight="1" x14ac:dyDescent="0.15">
      <c r="A421" s="33"/>
      <c r="B421" s="12"/>
      <c r="C421" s="12"/>
      <c r="D421" s="12"/>
      <c r="E421" s="12"/>
      <c r="G421" s="14"/>
    </row>
    <row r="422" spans="1:7" ht="22.5" customHeight="1" x14ac:dyDescent="0.15">
      <c r="A422" s="33"/>
      <c r="B422" s="12"/>
      <c r="C422" s="12"/>
      <c r="D422" s="12"/>
      <c r="E422" s="12"/>
      <c r="G422" s="14"/>
    </row>
    <row r="423" spans="1:7" ht="22.5" customHeight="1" x14ac:dyDescent="0.15">
      <c r="A423" s="33"/>
      <c r="B423" s="12"/>
      <c r="C423" s="12"/>
      <c r="D423" s="12"/>
      <c r="E423" s="12"/>
      <c r="G423" s="14"/>
    </row>
    <row r="424" spans="1:7" ht="22.5" customHeight="1" x14ac:dyDescent="0.15">
      <c r="A424" s="33"/>
      <c r="B424" s="12"/>
      <c r="C424" s="12"/>
      <c r="D424" s="12"/>
      <c r="E424" s="12"/>
      <c r="G424" s="14"/>
    </row>
    <row r="425" spans="1:7" ht="22.5" customHeight="1" x14ac:dyDescent="0.15">
      <c r="A425" s="33"/>
      <c r="B425" s="12"/>
      <c r="C425" s="12"/>
      <c r="D425" s="12"/>
      <c r="E425" s="12"/>
      <c r="G425" s="14"/>
    </row>
    <row r="426" spans="1:7" ht="22.5" customHeight="1" x14ac:dyDescent="0.15">
      <c r="A426" s="33"/>
      <c r="B426" s="12"/>
      <c r="C426" s="12"/>
      <c r="D426" s="12"/>
      <c r="E426" s="12"/>
      <c r="G426" s="14"/>
    </row>
    <row r="427" spans="1:7" ht="22.5" customHeight="1" x14ac:dyDescent="0.15">
      <c r="A427" s="33"/>
      <c r="B427" s="12"/>
      <c r="C427" s="12"/>
      <c r="D427" s="12"/>
      <c r="E427" s="12"/>
      <c r="G427" s="14"/>
    </row>
    <row r="428" spans="1:7" ht="22.5" customHeight="1" x14ac:dyDescent="0.15">
      <c r="A428" s="33"/>
      <c r="B428" s="12"/>
      <c r="C428" s="12"/>
      <c r="D428" s="12"/>
      <c r="E428" s="12"/>
      <c r="G428" s="14"/>
    </row>
    <row r="429" spans="1:7" ht="22.5" customHeight="1" x14ac:dyDescent="0.15">
      <c r="A429" s="33"/>
      <c r="B429" s="12"/>
      <c r="C429" s="12"/>
      <c r="D429" s="12"/>
      <c r="E429" s="12"/>
      <c r="G429" s="14"/>
    </row>
    <row r="430" spans="1:7" ht="22.5" customHeight="1" x14ac:dyDescent="0.15">
      <c r="A430" s="33"/>
      <c r="B430" s="12"/>
      <c r="C430" s="12"/>
      <c r="D430" s="12"/>
      <c r="E430" s="12"/>
      <c r="G430" s="14"/>
    </row>
    <row r="431" spans="1:7" ht="22.5" customHeight="1" x14ac:dyDescent="0.15">
      <c r="A431" s="33"/>
      <c r="B431" s="12"/>
      <c r="C431" s="12"/>
      <c r="D431" s="12"/>
      <c r="E431" s="12"/>
      <c r="G431" s="14"/>
    </row>
    <row r="432" spans="1:7" ht="22.5" customHeight="1" x14ac:dyDescent="0.15">
      <c r="A432" s="33"/>
      <c r="B432" s="12"/>
      <c r="C432" s="12"/>
      <c r="D432" s="12"/>
      <c r="E432" s="12"/>
      <c r="G432" s="14"/>
    </row>
    <row r="433" spans="1:7" ht="22.5" customHeight="1" x14ac:dyDescent="0.15">
      <c r="A433" s="33"/>
      <c r="B433" s="12"/>
      <c r="C433" s="12"/>
      <c r="D433" s="12"/>
      <c r="E433" s="12"/>
      <c r="G433" s="14"/>
    </row>
    <row r="434" spans="1:7" ht="22.5" customHeight="1" x14ac:dyDescent="0.15">
      <c r="A434" s="33"/>
      <c r="B434" s="12"/>
      <c r="C434" s="12"/>
      <c r="D434" s="12"/>
      <c r="E434" s="12"/>
      <c r="G434" s="14"/>
    </row>
    <row r="435" spans="1:7" ht="22.5" customHeight="1" x14ac:dyDescent="0.15">
      <c r="A435" s="33"/>
      <c r="B435" s="12"/>
      <c r="C435" s="12"/>
      <c r="D435" s="12"/>
      <c r="E435" s="12"/>
      <c r="G435" s="14"/>
    </row>
    <row r="436" spans="1:7" ht="22.5" customHeight="1" x14ac:dyDescent="0.15">
      <c r="A436" s="33"/>
      <c r="B436" s="12"/>
      <c r="C436" s="12"/>
      <c r="D436" s="12"/>
      <c r="E436" s="12"/>
      <c r="G436" s="14"/>
    </row>
    <row r="437" spans="1:7" ht="22.5" customHeight="1" x14ac:dyDescent="0.15">
      <c r="A437" s="33"/>
      <c r="B437" s="12"/>
      <c r="C437" s="12"/>
      <c r="D437" s="12"/>
      <c r="E437" s="12"/>
      <c r="G437" s="14"/>
    </row>
    <row r="438" spans="1:7" ht="22.5" customHeight="1" x14ac:dyDescent="0.15">
      <c r="A438" s="33"/>
      <c r="B438" s="12"/>
      <c r="C438" s="12"/>
      <c r="D438" s="12"/>
      <c r="E438" s="12"/>
      <c r="G438" s="14"/>
    </row>
    <row r="439" spans="1:7" ht="22.5" customHeight="1" x14ac:dyDescent="0.15">
      <c r="A439" s="33"/>
      <c r="B439" s="12"/>
      <c r="C439" s="12"/>
      <c r="D439" s="12"/>
      <c r="E439" s="12"/>
      <c r="G439" s="14"/>
    </row>
    <row r="440" spans="1:7" ht="22.5" customHeight="1" x14ac:dyDescent="0.15">
      <c r="A440" s="33"/>
      <c r="B440" s="12"/>
      <c r="C440" s="12"/>
      <c r="D440" s="12"/>
      <c r="E440" s="12"/>
      <c r="G440" s="14"/>
    </row>
    <row r="441" spans="1:7" ht="22.5" customHeight="1" x14ac:dyDescent="0.15">
      <c r="A441" s="33"/>
      <c r="B441" s="12"/>
      <c r="C441" s="12"/>
      <c r="D441" s="12"/>
      <c r="E441" s="12"/>
      <c r="G441" s="14"/>
    </row>
    <row r="442" spans="1:7" ht="22.5" customHeight="1" x14ac:dyDescent="0.15">
      <c r="A442" s="33"/>
      <c r="B442" s="12"/>
      <c r="C442" s="12"/>
      <c r="D442" s="12"/>
      <c r="E442" s="12"/>
      <c r="G442" s="14"/>
    </row>
    <row r="443" spans="1:7" ht="22.5" customHeight="1" x14ac:dyDescent="0.15">
      <c r="A443" s="33"/>
      <c r="B443" s="12"/>
      <c r="C443" s="12"/>
      <c r="D443" s="12"/>
      <c r="E443" s="12"/>
      <c r="G443" s="14"/>
    </row>
    <row r="444" spans="1:7" ht="22.5" customHeight="1" x14ac:dyDescent="0.15">
      <c r="A444" s="33"/>
      <c r="B444" s="12"/>
      <c r="C444" s="12"/>
      <c r="D444" s="12"/>
      <c r="E444" s="12"/>
      <c r="G444" s="14"/>
    </row>
    <row r="445" spans="1:7" ht="22.5" customHeight="1" x14ac:dyDescent="0.15">
      <c r="A445" s="33"/>
      <c r="B445" s="12"/>
      <c r="C445" s="12"/>
      <c r="D445" s="12"/>
      <c r="E445" s="12"/>
      <c r="G445" s="14"/>
    </row>
    <row r="446" spans="1:7" ht="22.5" customHeight="1" x14ac:dyDescent="0.15">
      <c r="A446" s="33"/>
      <c r="B446" s="12"/>
      <c r="C446" s="12"/>
      <c r="D446" s="12"/>
      <c r="E446" s="12"/>
      <c r="G446" s="14"/>
    </row>
    <row r="447" spans="1:7" ht="22.5" customHeight="1" x14ac:dyDescent="0.15">
      <c r="A447" s="33"/>
      <c r="B447" s="12"/>
      <c r="C447" s="12"/>
      <c r="D447" s="12"/>
      <c r="E447" s="12"/>
      <c r="G447" s="14"/>
    </row>
    <row r="448" spans="1:7" ht="22.5" customHeight="1" x14ac:dyDescent="0.15">
      <c r="A448" s="33"/>
      <c r="B448" s="12"/>
      <c r="C448" s="12"/>
      <c r="D448" s="12"/>
      <c r="E448" s="12"/>
      <c r="G448" s="14"/>
    </row>
    <row r="449" spans="1:7" ht="22.5" customHeight="1" x14ac:dyDescent="0.15">
      <c r="A449" s="33"/>
      <c r="B449" s="12"/>
      <c r="C449" s="12"/>
      <c r="D449" s="12"/>
      <c r="E449" s="12"/>
      <c r="G449" s="14"/>
    </row>
    <row r="450" spans="1:7" ht="22.5" customHeight="1" x14ac:dyDescent="0.15">
      <c r="A450" s="33"/>
      <c r="B450" s="12"/>
      <c r="C450" s="12"/>
      <c r="D450" s="12"/>
      <c r="E450" s="12"/>
      <c r="G450" s="14"/>
    </row>
    <row r="451" spans="1:7" ht="22.5" customHeight="1" x14ac:dyDescent="0.15">
      <c r="A451" s="33"/>
      <c r="B451" s="12"/>
      <c r="C451" s="12"/>
      <c r="D451" s="12"/>
      <c r="E451" s="12"/>
      <c r="G451" s="14"/>
    </row>
    <row r="452" spans="1:7" ht="22.5" customHeight="1" x14ac:dyDescent="0.15">
      <c r="A452" s="33"/>
      <c r="B452" s="12"/>
      <c r="C452" s="12"/>
      <c r="D452" s="12"/>
      <c r="E452" s="12"/>
      <c r="G452" s="14"/>
    </row>
    <row r="453" spans="1:7" ht="22.5" customHeight="1" x14ac:dyDescent="0.15">
      <c r="A453" s="33"/>
      <c r="B453" s="12"/>
      <c r="C453" s="12"/>
      <c r="D453" s="12"/>
      <c r="E453" s="12"/>
      <c r="G453" s="14"/>
    </row>
    <row r="454" spans="1:7" ht="22.5" customHeight="1" x14ac:dyDescent="0.15">
      <c r="A454" s="33"/>
      <c r="B454" s="12"/>
      <c r="C454" s="12"/>
      <c r="D454" s="12"/>
      <c r="E454" s="12"/>
      <c r="G454" s="14"/>
    </row>
    <row r="455" spans="1:7" ht="22.5" customHeight="1" x14ac:dyDescent="0.15">
      <c r="A455" s="33"/>
      <c r="B455" s="12"/>
      <c r="C455" s="12"/>
      <c r="D455" s="12"/>
      <c r="E455" s="12"/>
      <c r="G455" s="14"/>
    </row>
    <row r="456" spans="1:7" ht="22.5" customHeight="1" x14ac:dyDescent="0.15">
      <c r="A456" s="33"/>
      <c r="B456" s="12"/>
      <c r="C456" s="12"/>
      <c r="D456" s="12"/>
      <c r="E456" s="12"/>
      <c r="G456" s="14"/>
    </row>
    <row r="457" spans="1:7" ht="22.5" customHeight="1" x14ac:dyDescent="0.15">
      <c r="A457" s="33"/>
      <c r="B457" s="12"/>
      <c r="C457" s="12"/>
      <c r="D457" s="12"/>
      <c r="E457" s="12"/>
      <c r="G457" s="14"/>
    </row>
    <row r="458" spans="1:7" ht="22.5" customHeight="1" x14ac:dyDescent="0.15">
      <c r="A458" s="33"/>
      <c r="B458" s="12"/>
      <c r="C458" s="12"/>
      <c r="D458" s="12"/>
      <c r="E458" s="12"/>
      <c r="G458" s="14"/>
    </row>
    <row r="459" spans="1:7" ht="22.5" customHeight="1" x14ac:dyDescent="0.15">
      <c r="A459" s="33"/>
      <c r="B459" s="12"/>
      <c r="C459" s="12"/>
      <c r="D459" s="12"/>
      <c r="E459" s="12"/>
      <c r="G459" s="14"/>
    </row>
    <row r="460" spans="1:7" ht="22.5" customHeight="1" x14ac:dyDescent="0.15">
      <c r="A460" s="33"/>
      <c r="B460" s="12"/>
      <c r="C460" s="12"/>
      <c r="D460" s="12"/>
      <c r="E460" s="12"/>
      <c r="G460" s="14"/>
    </row>
    <row r="461" spans="1:7" ht="22.5" customHeight="1" x14ac:dyDescent="0.15">
      <c r="A461" s="33"/>
      <c r="B461" s="12"/>
      <c r="C461" s="12"/>
      <c r="D461" s="12"/>
      <c r="E461" s="12"/>
      <c r="G461" s="14"/>
    </row>
    <row r="462" spans="1:7" ht="22.5" customHeight="1" x14ac:dyDescent="0.15">
      <c r="A462" s="33"/>
      <c r="B462" s="12"/>
      <c r="C462" s="12"/>
      <c r="D462" s="12"/>
      <c r="E462" s="12"/>
      <c r="G462" s="14"/>
    </row>
    <row r="463" spans="1:7" ht="22.5" customHeight="1" x14ac:dyDescent="0.15">
      <c r="A463" s="33"/>
      <c r="B463" s="12"/>
      <c r="C463" s="12"/>
      <c r="D463" s="12"/>
      <c r="E463" s="12"/>
      <c r="G463" s="14"/>
    </row>
    <row r="464" spans="1:7" ht="22.5" customHeight="1" x14ac:dyDescent="0.15">
      <c r="A464" s="33"/>
      <c r="B464" s="12"/>
      <c r="C464" s="12"/>
      <c r="D464" s="12"/>
      <c r="E464" s="12"/>
      <c r="G464" s="14"/>
    </row>
    <row r="465" spans="1:7" ht="22.5" customHeight="1" x14ac:dyDescent="0.15">
      <c r="A465" s="33"/>
      <c r="B465" s="12"/>
      <c r="C465" s="12"/>
      <c r="D465" s="12"/>
      <c r="E465" s="12"/>
      <c r="G465" s="14"/>
    </row>
    <row r="466" spans="1:7" ht="22.5" customHeight="1" x14ac:dyDescent="0.15">
      <c r="A466" s="33"/>
      <c r="B466" s="12"/>
      <c r="C466" s="12"/>
      <c r="D466" s="12"/>
      <c r="E466" s="12"/>
      <c r="G466" s="14"/>
    </row>
    <row r="467" spans="1:7" ht="22.5" customHeight="1" x14ac:dyDescent="0.15">
      <c r="A467" s="33"/>
      <c r="B467" s="12"/>
      <c r="C467" s="12"/>
      <c r="D467" s="12"/>
      <c r="E467" s="12"/>
      <c r="G467" s="14"/>
    </row>
    <row r="468" spans="1:7" ht="22.5" customHeight="1" x14ac:dyDescent="0.15">
      <c r="A468" s="33"/>
      <c r="B468" s="12"/>
      <c r="C468" s="12"/>
      <c r="D468" s="12"/>
      <c r="E468" s="12"/>
      <c r="G468" s="14"/>
    </row>
    <row r="469" spans="1:7" ht="22.5" customHeight="1" x14ac:dyDescent="0.15">
      <c r="A469" s="33"/>
      <c r="B469" s="12"/>
      <c r="C469" s="12"/>
      <c r="D469" s="12"/>
      <c r="E469" s="12"/>
      <c r="G469" s="14"/>
    </row>
    <row r="470" spans="1:7" ht="22.5" customHeight="1" x14ac:dyDescent="0.15">
      <c r="A470" s="33"/>
      <c r="B470" s="12"/>
      <c r="C470" s="12"/>
      <c r="D470" s="12"/>
      <c r="E470" s="12"/>
      <c r="G470" s="14"/>
    </row>
    <row r="471" spans="1:7" ht="22.5" customHeight="1" x14ac:dyDescent="0.15">
      <c r="A471" s="33"/>
      <c r="B471" s="12"/>
      <c r="C471" s="12"/>
      <c r="D471" s="12"/>
      <c r="E471" s="12"/>
      <c r="G471" s="14"/>
    </row>
    <row r="472" spans="1:7" ht="22.5" customHeight="1" x14ac:dyDescent="0.15">
      <c r="A472" s="33"/>
      <c r="B472" s="12"/>
      <c r="C472" s="12"/>
      <c r="D472" s="12"/>
      <c r="E472" s="12"/>
      <c r="G472" s="14"/>
    </row>
    <row r="473" spans="1:7" ht="22.5" customHeight="1" x14ac:dyDescent="0.15">
      <c r="A473" s="33"/>
      <c r="B473" s="12"/>
      <c r="C473" s="12"/>
      <c r="D473" s="12"/>
      <c r="E473" s="12"/>
      <c r="G473" s="14"/>
    </row>
    <row r="474" spans="1:7" ht="22.5" customHeight="1" x14ac:dyDescent="0.15">
      <c r="A474" s="33"/>
      <c r="B474" s="12"/>
      <c r="C474" s="12"/>
      <c r="D474" s="12"/>
      <c r="E474" s="12"/>
      <c r="G474" s="14"/>
    </row>
    <row r="475" spans="1:7" ht="22.5" customHeight="1" x14ac:dyDescent="0.15">
      <c r="A475" s="33"/>
      <c r="B475" s="12"/>
      <c r="C475" s="12"/>
      <c r="D475" s="12"/>
      <c r="E475" s="12"/>
      <c r="G475" s="14"/>
    </row>
    <row r="476" spans="1:7" ht="22.5" customHeight="1" x14ac:dyDescent="0.15">
      <c r="A476" s="33"/>
      <c r="B476" s="12"/>
      <c r="C476" s="12"/>
      <c r="D476" s="12"/>
      <c r="E476" s="12"/>
      <c r="G476" s="14"/>
    </row>
    <row r="477" spans="1:7" ht="22.5" customHeight="1" x14ac:dyDescent="0.15">
      <c r="A477" s="33"/>
      <c r="B477" s="12"/>
      <c r="C477" s="12"/>
      <c r="D477" s="12"/>
      <c r="E477" s="12"/>
      <c r="G477" s="14"/>
    </row>
    <row r="478" spans="1:7" ht="22.5" customHeight="1" x14ac:dyDescent="0.15">
      <c r="A478" s="33"/>
      <c r="B478" s="12"/>
      <c r="C478" s="12"/>
      <c r="D478" s="12"/>
      <c r="E478" s="12"/>
      <c r="G478" s="14"/>
    </row>
    <row r="479" spans="1:7" ht="22.5" customHeight="1" x14ac:dyDescent="0.15">
      <c r="A479" s="33"/>
      <c r="B479" s="12"/>
      <c r="C479" s="12"/>
      <c r="D479" s="12"/>
      <c r="E479" s="12"/>
      <c r="G479" s="14"/>
    </row>
    <row r="480" spans="1:7" ht="22.5" customHeight="1" x14ac:dyDescent="0.15">
      <c r="A480" s="33"/>
      <c r="B480" s="12"/>
      <c r="C480" s="12"/>
      <c r="D480" s="12"/>
      <c r="E480" s="12"/>
      <c r="G480" s="14"/>
    </row>
    <row r="481" spans="1:7" ht="22.5" customHeight="1" x14ac:dyDescent="0.15">
      <c r="A481" s="33"/>
      <c r="B481" s="12"/>
      <c r="C481" s="12"/>
      <c r="D481" s="12"/>
      <c r="E481" s="12"/>
      <c r="G481" s="14"/>
    </row>
    <row r="482" spans="1:7" ht="22.5" customHeight="1" x14ac:dyDescent="0.15">
      <c r="A482" s="33"/>
      <c r="B482" s="12"/>
      <c r="C482" s="12"/>
      <c r="D482" s="12"/>
      <c r="E482" s="12"/>
      <c r="G482" s="14"/>
    </row>
    <row r="483" spans="1:7" ht="22.5" customHeight="1" x14ac:dyDescent="0.15">
      <c r="A483" s="33"/>
      <c r="B483" s="12"/>
      <c r="C483" s="12"/>
      <c r="D483" s="12"/>
      <c r="E483" s="12"/>
      <c r="G483" s="14"/>
    </row>
    <row r="484" spans="1:7" ht="22.5" customHeight="1" x14ac:dyDescent="0.15">
      <c r="A484" s="33"/>
      <c r="B484" s="12"/>
      <c r="C484" s="12"/>
      <c r="D484" s="12"/>
      <c r="E484" s="12"/>
      <c r="G484" s="14"/>
    </row>
    <row r="485" spans="1:7" ht="22.5" customHeight="1" x14ac:dyDescent="0.15">
      <c r="A485" s="33"/>
      <c r="B485" s="12"/>
      <c r="C485" s="12"/>
      <c r="D485" s="12"/>
      <c r="E485" s="12"/>
      <c r="G485" s="14"/>
    </row>
    <row r="486" spans="1:7" ht="22.5" customHeight="1" x14ac:dyDescent="0.15">
      <c r="A486" s="33"/>
      <c r="B486" s="12"/>
      <c r="C486" s="12"/>
      <c r="D486" s="12"/>
      <c r="E486" s="12"/>
      <c r="G486" s="14"/>
    </row>
    <row r="487" spans="1:7" ht="22.5" customHeight="1" x14ac:dyDescent="0.15">
      <c r="A487" s="33"/>
      <c r="B487" s="12"/>
      <c r="C487" s="12"/>
      <c r="D487" s="12"/>
      <c r="E487" s="12"/>
      <c r="G487" s="14"/>
    </row>
    <row r="488" spans="1:7" ht="22.5" customHeight="1" x14ac:dyDescent="0.15">
      <c r="A488" s="33"/>
      <c r="B488" s="12"/>
      <c r="C488" s="12"/>
      <c r="D488" s="12"/>
      <c r="E488" s="12"/>
      <c r="G488" s="14"/>
    </row>
    <row r="489" spans="1:7" ht="22.5" customHeight="1" x14ac:dyDescent="0.15">
      <c r="A489" s="33"/>
      <c r="B489" s="12"/>
      <c r="C489" s="12"/>
      <c r="D489" s="12"/>
      <c r="E489" s="12"/>
      <c r="G489" s="14"/>
    </row>
    <row r="490" spans="1:7" ht="22.5" customHeight="1" x14ac:dyDescent="0.15">
      <c r="A490" s="33"/>
      <c r="B490" s="12"/>
      <c r="C490" s="12"/>
      <c r="D490" s="12"/>
      <c r="E490" s="12"/>
      <c r="G490" s="14"/>
    </row>
    <row r="491" spans="1:7" ht="22.5" customHeight="1" x14ac:dyDescent="0.15">
      <c r="A491" s="33"/>
      <c r="B491" s="12"/>
      <c r="C491" s="12"/>
      <c r="D491" s="12"/>
      <c r="E491" s="12"/>
      <c r="G491" s="14"/>
    </row>
    <row r="492" spans="1:7" ht="22.5" customHeight="1" x14ac:dyDescent="0.15">
      <c r="A492" s="33"/>
      <c r="B492" s="12"/>
      <c r="C492" s="12"/>
      <c r="D492" s="12"/>
      <c r="E492" s="12"/>
      <c r="G492" s="14"/>
    </row>
    <row r="493" spans="1:7" ht="22.5" customHeight="1" x14ac:dyDescent="0.15">
      <c r="A493" s="33"/>
      <c r="B493" s="12"/>
      <c r="C493" s="12"/>
      <c r="D493" s="12"/>
      <c r="E493" s="12"/>
      <c r="G493" s="14"/>
    </row>
    <row r="494" spans="1:7" ht="22.5" customHeight="1" x14ac:dyDescent="0.15">
      <c r="A494" s="33"/>
      <c r="B494" s="12"/>
      <c r="C494" s="12"/>
      <c r="D494" s="12"/>
      <c r="E494" s="12"/>
      <c r="G494" s="14"/>
    </row>
    <row r="495" spans="1:7" ht="22.5" customHeight="1" x14ac:dyDescent="0.15">
      <c r="A495" s="33"/>
      <c r="B495" s="12"/>
      <c r="C495" s="12"/>
      <c r="D495" s="12"/>
      <c r="E495" s="12"/>
      <c r="G495" s="14"/>
    </row>
    <row r="496" spans="1:7" ht="22.5" customHeight="1" x14ac:dyDescent="0.15">
      <c r="A496" s="33"/>
      <c r="B496" s="12"/>
      <c r="C496" s="12"/>
      <c r="D496" s="12"/>
      <c r="E496" s="12"/>
      <c r="G496" s="14"/>
    </row>
    <row r="497" spans="1:7" ht="22.5" customHeight="1" x14ac:dyDescent="0.15">
      <c r="A497" s="33"/>
      <c r="B497" s="12"/>
      <c r="C497" s="12"/>
      <c r="D497" s="12"/>
      <c r="E497" s="12"/>
      <c r="G497" s="14"/>
    </row>
    <row r="498" spans="1:7" ht="22.5" customHeight="1" x14ac:dyDescent="0.15">
      <c r="A498" s="33"/>
      <c r="B498" s="12"/>
      <c r="C498" s="12"/>
      <c r="D498" s="12"/>
      <c r="E498" s="12"/>
      <c r="G498" s="14"/>
    </row>
    <row r="499" spans="1:7" ht="22.5" customHeight="1" x14ac:dyDescent="0.15">
      <c r="A499" s="33"/>
      <c r="B499" s="12"/>
      <c r="C499" s="12"/>
      <c r="D499" s="12"/>
      <c r="E499" s="12"/>
      <c r="G499" s="14"/>
    </row>
    <row r="500" spans="1:7" ht="22.5" customHeight="1" x14ac:dyDescent="0.15">
      <c r="A500" s="33"/>
      <c r="B500" s="12"/>
      <c r="C500" s="12"/>
      <c r="D500" s="12"/>
      <c r="E500" s="12"/>
      <c r="G500" s="14"/>
    </row>
    <row r="501" spans="1:7" ht="22.5" customHeight="1" x14ac:dyDescent="0.15">
      <c r="A501" s="33"/>
      <c r="B501" s="12"/>
      <c r="C501" s="12"/>
      <c r="D501" s="12"/>
      <c r="E501" s="12"/>
      <c r="G501" s="14"/>
    </row>
    <row r="502" spans="1:7" ht="22.5" customHeight="1" x14ac:dyDescent="0.15">
      <c r="A502" s="33"/>
      <c r="B502" s="12"/>
      <c r="C502" s="12"/>
      <c r="D502" s="12"/>
      <c r="E502" s="12"/>
      <c r="G502" s="14"/>
    </row>
    <row r="503" spans="1:7" ht="22.5" customHeight="1" x14ac:dyDescent="0.15">
      <c r="A503" s="33"/>
      <c r="B503" s="12"/>
      <c r="C503" s="12"/>
      <c r="D503" s="12"/>
      <c r="E503" s="12"/>
      <c r="G503" s="14"/>
    </row>
    <row r="504" spans="1:7" ht="22.5" customHeight="1" x14ac:dyDescent="0.15">
      <c r="A504" s="33"/>
      <c r="B504" s="12"/>
      <c r="C504" s="12"/>
      <c r="D504" s="12"/>
      <c r="E504" s="12"/>
      <c r="G504" s="14"/>
    </row>
    <row r="505" spans="1:7" ht="22.5" customHeight="1" x14ac:dyDescent="0.15">
      <c r="A505" s="33"/>
      <c r="B505" s="12"/>
      <c r="C505" s="12"/>
      <c r="D505" s="12"/>
      <c r="E505" s="12"/>
      <c r="G505" s="14"/>
    </row>
    <row r="506" spans="1:7" ht="22.5" customHeight="1" x14ac:dyDescent="0.15">
      <c r="A506" s="33"/>
      <c r="B506" s="12"/>
      <c r="C506" s="12"/>
      <c r="D506" s="12"/>
      <c r="E506" s="12"/>
      <c r="G506" s="14"/>
    </row>
    <row r="507" spans="1:7" ht="22.5" customHeight="1" x14ac:dyDescent="0.15">
      <c r="A507" s="33"/>
      <c r="B507" s="12"/>
      <c r="C507" s="12"/>
      <c r="D507" s="12"/>
      <c r="E507" s="12"/>
      <c r="G507" s="14"/>
    </row>
    <row r="508" spans="1:7" ht="22.5" customHeight="1" x14ac:dyDescent="0.15">
      <c r="A508" s="33"/>
      <c r="B508" s="12"/>
      <c r="C508" s="12"/>
      <c r="D508" s="12"/>
      <c r="E508" s="12"/>
      <c r="G508" s="14"/>
    </row>
    <row r="509" spans="1:7" ht="22.5" customHeight="1" x14ac:dyDescent="0.15">
      <c r="A509" s="33"/>
      <c r="B509" s="12"/>
      <c r="C509" s="12"/>
      <c r="D509" s="12"/>
      <c r="E509" s="12"/>
      <c r="G509" s="14"/>
    </row>
    <row r="510" spans="1:7" ht="22.5" customHeight="1" x14ac:dyDescent="0.15">
      <c r="A510" s="33"/>
      <c r="B510" s="12"/>
      <c r="C510" s="12"/>
      <c r="D510" s="12"/>
      <c r="E510" s="12"/>
      <c r="G510" s="14"/>
    </row>
    <row r="511" spans="1:7" ht="22.5" customHeight="1" x14ac:dyDescent="0.15">
      <c r="A511" s="33"/>
      <c r="B511" s="12"/>
      <c r="C511" s="12"/>
      <c r="D511" s="12"/>
      <c r="E511" s="12"/>
      <c r="G511" s="14"/>
    </row>
    <row r="512" spans="1:7" ht="22.5" customHeight="1" x14ac:dyDescent="0.15">
      <c r="A512" s="33"/>
      <c r="B512" s="12"/>
      <c r="C512" s="12"/>
      <c r="D512" s="12"/>
      <c r="E512" s="12"/>
      <c r="G512" s="14"/>
    </row>
    <row r="513" spans="1:7" ht="22.5" customHeight="1" x14ac:dyDescent="0.15">
      <c r="A513" s="33"/>
      <c r="B513" s="12"/>
      <c r="C513" s="12"/>
      <c r="D513" s="12"/>
      <c r="E513" s="12"/>
      <c r="G513" s="14"/>
    </row>
    <row r="514" spans="1:7" ht="22.5" customHeight="1" x14ac:dyDescent="0.15">
      <c r="A514" s="33"/>
      <c r="B514" s="12"/>
      <c r="C514" s="12"/>
      <c r="D514" s="12"/>
      <c r="E514" s="12"/>
      <c r="G514" s="14"/>
    </row>
    <row r="515" spans="1:7" ht="22.5" customHeight="1" x14ac:dyDescent="0.15">
      <c r="A515" s="33"/>
      <c r="B515" s="12"/>
      <c r="C515" s="12"/>
      <c r="D515" s="12"/>
      <c r="E515" s="12"/>
      <c r="G515" s="14"/>
    </row>
    <row r="516" spans="1:7" ht="22.5" customHeight="1" x14ac:dyDescent="0.15">
      <c r="A516" s="33"/>
      <c r="B516" s="12"/>
      <c r="C516" s="12"/>
      <c r="D516" s="12"/>
      <c r="E516" s="12"/>
      <c r="G516" s="14"/>
    </row>
    <row r="517" spans="1:7" ht="22.5" customHeight="1" x14ac:dyDescent="0.15">
      <c r="A517" s="33"/>
      <c r="B517" s="12"/>
      <c r="C517" s="12"/>
      <c r="D517" s="12"/>
      <c r="E517" s="12"/>
      <c r="G517" s="14"/>
    </row>
    <row r="518" spans="1:7" ht="22.5" customHeight="1" x14ac:dyDescent="0.15">
      <c r="A518" s="33"/>
      <c r="B518" s="12"/>
      <c r="C518" s="12"/>
      <c r="D518" s="12"/>
      <c r="E518" s="12"/>
      <c r="G518" s="14"/>
    </row>
    <row r="519" spans="1:7" ht="22.5" customHeight="1" x14ac:dyDescent="0.15">
      <c r="A519" s="33"/>
      <c r="B519" s="12"/>
      <c r="C519" s="12"/>
      <c r="D519" s="12"/>
      <c r="E519" s="12"/>
      <c r="G519" s="14"/>
    </row>
    <row r="520" spans="1:7" ht="22.5" customHeight="1" x14ac:dyDescent="0.15">
      <c r="A520" s="33"/>
      <c r="B520" s="12"/>
      <c r="C520" s="12"/>
      <c r="D520" s="12"/>
      <c r="E520" s="12"/>
      <c r="G520" s="14"/>
    </row>
    <row r="521" spans="1:7" ht="22.5" customHeight="1" x14ac:dyDescent="0.15">
      <c r="A521" s="33"/>
      <c r="B521" s="12"/>
      <c r="C521" s="12"/>
      <c r="D521" s="12"/>
      <c r="E521" s="12"/>
      <c r="G521" s="14"/>
    </row>
    <row r="522" spans="1:7" ht="22.5" customHeight="1" x14ac:dyDescent="0.15">
      <c r="A522" s="33"/>
      <c r="B522" s="12"/>
      <c r="C522" s="12"/>
      <c r="D522" s="12"/>
      <c r="E522" s="12"/>
      <c r="G522" s="14"/>
    </row>
    <row r="523" spans="1:7" ht="22.5" customHeight="1" x14ac:dyDescent="0.15">
      <c r="A523" s="33"/>
      <c r="B523" s="12"/>
      <c r="C523" s="12"/>
      <c r="D523" s="12"/>
      <c r="E523" s="12"/>
      <c r="G523" s="14"/>
    </row>
    <row r="524" spans="1:7" ht="22.5" customHeight="1" x14ac:dyDescent="0.15">
      <c r="A524" s="33"/>
      <c r="B524" s="12"/>
      <c r="C524" s="12"/>
      <c r="D524" s="12"/>
      <c r="E524" s="12"/>
      <c r="G524" s="14"/>
    </row>
    <row r="525" spans="1:7" ht="22.5" customHeight="1" x14ac:dyDescent="0.15">
      <c r="A525" s="33"/>
      <c r="B525" s="12"/>
      <c r="C525" s="12"/>
      <c r="D525" s="12"/>
      <c r="E525" s="12"/>
      <c r="G525" s="14"/>
    </row>
    <row r="526" spans="1:7" ht="22.5" customHeight="1" x14ac:dyDescent="0.15">
      <c r="A526" s="33"/>
      <c r="B526" s="12"/>
      <c r="C526" s="12"/>
      <c r="D526" s="12"/>
      <c r="E526" s="12"/>
      <c r="G526" s="14"/>
    </row>
    <row r="527" spans="1:7" ht="22.5" customHeight="1" x14ac:dyDescent="0.15">
      <c r="A527" s="33"/>
      <c r="B527" s="12"/>
      <c r="C527" s="12"/>
      <c r="D527" s="12"/>
      <c r="E527" s="12"/>
      <c r="G527" s="14"/>
    </row>
    <row r="528" spans="1:7" ht="22.5" customHeight="1" x14ac:dyDescent="0.15">
      <c r="A528" s="33"/>
      <c r="B528" s="12"/>
      <c r="C528" s="12"/>
      <c r="D528" s="12"/>
      <c r="E528" s="12"/>
      <c r="G528" s="14"/>
    </row>
    <row r="529" spans="1:7" ht="22.5" customHeight="1" x14ac:dyDescent="0.15">
      <c r="A529" s="33"/>
      <c r="B529" s="12"/>
      <c r="C529" s="12"/>
      <c r="D529" s="12"/>
      <c r="E529" s="12"/>
      <c r="G529" s="14"/>
    </row>
    <row r="530" spans="1:7" ht="22.5" customHeight="1" x14ac:dyDescent="0.15">
      <c r="A530" s="33"/>
      <c r="B530" s="12"/>
      <c r="C530" s="12"/>
      <c r="D530" s="12"/>
      <c r="E530" s="12"/>
      <c r="G530" s="14"/>
    </row>
    <row r="531" spans="1:7" ht="22.5" customHeight="1" x14ac:dyDescent="0.15">
      <c r="A531" s="33"/>
      <c r="B531" s="12"/>
      <c r="C531" s="12"/>
      <c r="D531" s="12"/>
      <c r="E531" s="12"/>
      <c r="G531" s="14"/>
    </row>
    <row r="532" spans="1:7" ht="22.5" customHeight="1" x14ac:dyDescent="0.15">
      <c r="A532" s="33"/>
      <c r="B532" s="12"/>
      <c r="C532" s="12"/>
      <c r="D532" s="12"/>
      <c r="E532" s="12"/>
      <c r="G532" s="14"/>
    </row>
    <row r="533" spans="1:7" ht="22.5" customHeight="1" x14ac:dyDescent="0.15">
      <c r="A533" s="33"/>
      <c r="B533" s="12"/>
      <c r="C533" s="12"/>
      <c r="D533" s="12"/>
      <c r="E533" s="12"/>
      <c r="G533" s="14"/>
    </row>
    <row r="534" spans="1:7" ht="22.5" customHeight="1" x14ac:dyDescent="0.15">
      <c r="A534" s="33"/>
      <c r="B534" s="12"/>
      <c r="C534" s="12"/>
      <c r="D534" s="12"/>
      <c r="E534" s="12"/>
      <c r="G534" s="14"/>
    </row>
    <row r="535" spans="1:7" ht="22.5" customHeight="1" x14ac:dyDescent="0.15">
      <c r="A535" s="33"/>
      <c r="B535" s="12"/>
      <c r="C535" s="12"/>
      <c r="D535" s="12"/>
      <c r="E535" s="12"/>
      <c r="G535" s="14"/>
    </row>
    <row r="536" spans="1:7" ht="22.5" customHeight="1" x14ac:dyDescent="0.15">
      <c r="A536" s="33"/>
      <c r="B536" s="12"/>
      <c r="C536" s="12"/>
      <c r="D536" s="12"/>
      <c r="E536" s="12"/>
      <c r="G536" s="14"/>
    </row>
    <row r="537" spans="1:7" ht="22.5" customHeight="1" x14ac:dyDescent="0.15">
      <c r="A537" s="33"/>
      <c r="B537" s="12"/>
      <c r="C537" s="12"/>
      <c r="D537" s="12"/>
      <c r="E537" s="12"/>
      <c r="G537" s="14"/>
    </row>
    <row r="538" spans="1:7" ht="22.5" customHeight="1" x14ac:dyDescent="0.15">
      <c r="A538" s="33"/>
      <c r="B538" s="12"/>
      <c r="C538" s="12"/>
      <c r="D538" s="12"/>
      <c r="E538" s="12"/>
      <c r="G538" s="14"/>
    </row>
    <row r="539" spans="1:7" ht="22.5" customHeight="1" x14ac:dyDescent="0.15">
      <c r="A539" s="33"/>
      <c r="B539" s="12"/>
      <c r="C539" s="12"/>
      <c r="D539" s="12"/>
      <c r="E539" s="12"/>
      <c r="G539" s="14"/>
    </row>
    <row r="540" spans="1:7" ht="22.5" customHeight="1" x14ac:dyDescent="0.15">
      <c r="A540" s="33"/>
      <c r="B540" s="12"/>
      <c r="C540" s="12"/>
      <c r="D540" s="12"/>
      <c r="E540" s="12"/>
      <c r="G540" s="14"/>
    </row>
    <row r="541" spans="1:7" ht="22.5" customHeight="1" x14ac:dyDescent="0.15">
      <c r="A541" s="33"/>
      <c r="B541" s="12"/>
      <c r="C541" s="12"/>
      <c r="D541" s="12"/>
      <c r="E541" s="12"/>
      <c r="G541" s="14"/>
    </row>
    <row r="542" spans="1:7" ht="22.5" customHeight="1" x14ac:dyDescent="0.15">
      <c r="A542" s="33"/>
      <c r="B542" s="12"/>
      <c r="C542" s="12"/>
      <c r="D542" s="12"/>
      <c r="E542" s="12"/>
      <c r="G542" s="14"/>
    </row>
    <row r="543" spans="1:7" ht="22.5" customHeight="1" x14ac:dyDescent="0.15">
      <c r="A543" s="33"/>
      <c r="B543" s="12"/>
      <c r="C543" s="12"/>
      <c r="D543" s="12"/>
      <c r="E543" s="12"/>
      <c r="G543" s="14"/>
    </row>
    <row r="544" spans="1:7" ht="22.5" customHeight="1" x14ac:dyDescent="0.15">
      <c r="A544" s="33"/>
      <c r="B544" s="12"/>
      <c r="C544" s="12"/>
      <c r="D544" s="12"/>
      <c r="E544" s="12"/>
      <c r="G544" s="14"/>
    </row>
    <row r="545" spans="1:7" ht="22.5" customHeight="1" x14ac:dyDescent="0.15">
      <c r="A545" s="33"/>
      <c r="B545" s="12"/>
      <c r="C545" s="12"/>
      <c r="D545" s="12"/>
      <c r="E545" s="12"/>
      <c r="G545" s="14"/>
    </row>
    <row r="546" spans="1:7" ht="22.5" customHeight="1" x14ac:dyDescent="0.15">
      <c r="A546" s="33"/>
      <c r="B546" s="12"/>
      <c r="C546" s="12"/>
      <c r="D546" s="12"/>
      <c r="E546" s="12"/>
      <c r="G546" s="14"/>
    </row>
    <row r="547" spans="1:7" ht="22.5" customHeight="1" x14ac:dyDescent="0.15">
      <c r="A547" s="33"/>
      <c r="B547" s="12"/>
      <c r="C547" s="12"/>
      <c r="D547" s="12"/>
      <c r="E547" s="12"/>
      <c r="G547" s="14"/>
    </row>
    <row r="548" spans="1:7" ht="22.5" customHeight="1" x14ac:dyDescent="0.15">
      <c r="A548" s="33"/>
      <c r="B548" s="12"/>
      <c r="C548" s="12"/>
      <c r="D548" s="12"/>
      <c r="E548" s="12"/>
      <c r="G548" s="14"/>
    </row>
    <row r="549" spans="1:7" ht="22.5" customHeight="1" x14ac:dyDescent="0.15">
      <c r="A549" s="33"/>
      <c r="B549" s="12"/>
      <c r="C549" s="12"/>
      <c r="D549" s="12"/>
      <c r="E549" s="12"/>
      <c r="G549" s="14"/>
    </row>
    <row r="550" spans="1:7" ht="22.5" customHeight="1" x14ac:dyDescent="0.15">
      <c r="A550" s="33"/>
      <c r="B550" s="12"/>
      <c r="C550" s="12"/>
      <c r="D550" s="12"/>
      <c r="E550" s="12"/>
      <c r="G550" s="14"/>
    </row>
    <row r="551" spans="1:7" ht="22.5" customHeight="1" x14ac:dyDescent="0.15">
      <c r="A551" s="33"/>
      <c r="B551" s="12"/>
      <c r="C551" s="12"/>
      <c r="D551" s="12"/>
      <c r="E551" s="12"/>
      <c r="G551" s="14"/>
    </row>
    <row r="552" spans="1:7" ht="22.5" customHeight="1" x14ac:dyDescent="0.15">
      <c r="A552" s="33"/>
      <c r="B552" s="12"/>
      <c r="C552" s="12"/>
      <c r="D552" s="12"/>
      <c r="E552" s="12"/>
      <c r="G552" s="14"/>
    </row>
    <row r="553" spans="1:7" ht="22.5" customHeight="1" x14ac:dyDescent="0.15">
      <c r="A553" s="33"/>
      <c r="B553" s="12"/>
      <c r="C553" s="12"/>
      <c r="D553" s="12"/>
      <c r="E553" s="12"/>
      <c r="G553" s="14"/>
    </row>
    <row r="554" spans="1:7" ht="22.5" customHeight="1" x14ac:dyDescent="0.15">
      <c r="A554" s="33"/>
      <c r="B554" s="12"/>
      <c r="C554" s="12"/>
      <c r="D554" s="12"/>
      <c r="E554" s="12"/>
      <c r="G554" s="14"/>
    </row>
    <row r="555" spans="1:7" ht="22.5" customHeight="1" x14ac:dyDescent="0.15">
      <c r="A555" s="33"/>
      <c r="B555" s="12"/>
      <c r="C555" s="12"/>
      <c r="D555" s="12"/>
      <c r="E555" s="12"/>
      <c r="G555" s="14"/>
    </row>
    <row r="556" spans="1:7" ht="22.5" customHeight="1" x14ac:dyDescent="0.15">
      <c r="A556" s="33"/>
      <c r="B556" s="12"/>
      <c r="C556" s="12"/>
      <c r="D556" s="12"/>
      <c r="E556" s="12"/>
      <c r="G556" s="14"/>
    </row>
    <row r="557" spans="1:7" ht="22.5" customHeight="1" x14ac:dyDescent="0.15">
      <c r="A557" s="33"/>
      <c r="B557" s="12"/>
      <c r="C557" s="12"/>
      <c r="D557" s="12"/>
      <c r="E557" s="12"/>
      <c r="G557" s="14"/>
    </row>
    <row r="558" spans="1:7" ht="22.5" customHeight="1" x14ac:dyDescent="0.15">
      <c r="A558" s="33"/>
      <c r="B558" s="12"/>
      <c r="C558" s="12"/>
      <c r="D558" s="12"/>
      <c r="E558" s="12"/>
      <c r="G558" s="14"/>
    </row>
    <row r="559" spans="1:7" ht="22.5" customHeight="1" x14ac:dyDescent="0.15">
      <c r="A559" s="33"/>
      <c r="B559" s="12"/>
      <c r="C559" s="12"/>
      <c r="D559" s="12"/>
      <c r="E559" s="12"/>
      <c r="G559" s="14"/>
    </row>
    <row r="560" spans="1:7" ht="22.5" customHeight="1" x14ac:dyDescent="0.15">
      <c r="A560" s="33"/>
      <c r="B560" s="12"/>
      <c r="C560" s="12"/>
      <c r="D560" s="12"/>
      <c r="E560" s="12"/>
      <c r="G560" s="14"/>
    </row>
    <row r="561" spans="1:7" ht="22.5" customHeight="1" x14ac:dyDescent="0.15">
      <c r="A561" s="33"/>
      <c r="B561" s="12"/>
      <c r="C561" s="12"/>
      <c r="D561" s="12"/>
      <c r="E561" s="12"/>
      <c r="G561" s="14"/>
    </row>
    <row r="562" spans="1:7" ht="22.5" customHeight="1" x14ac:dyDescent="0.15">
      <c r="A562" s="33"/>
      <c r="B562" s="12"/>
      <c r="C562" s="12"/>
      <c r="D562" s="12"/>
      <c r="E562" s="12"/>
      <c r="G562" s="14"/>
    </row>
    <row r="563" spans="1:7" ht="22.5" customHeight="1" x14ac:dyDescent="0.15">
      <c r="A563" s="33"/>
      <c r="B563" s="12"/>
      <c r="C563" s="12"/>
      <c r="D563" s="12"/>
      <c r="E563" s="12"/>
      <c r="G563" s="14"/>
    </row>
    <row r="564" spans="1:7" ht="22.5" customHeight="1" x14ac:dyDescent="0.15">
      <c r="A564" s="33"/>
      <c r="B564" s="12"/>
      <c r="C564" s="12"/>
      <c r="D564" s="12"/>
      <c r="E564" s="12"/>
      <c r="G564" s="14"/>
    </row>
    <row r="565" spans="1:7" ht="22.5" customHeight="1" x14ac:dyDescent="0.15">
      <c r="A565" s="33"/>
      <c r="B565" s="12"/>
      <c r="C565" s="12"/>
      <c r="D565" s="12"/>
      <c r="E565" s="12"/>
      <c r="G565" s="14"/>
    </row>
    <row r="566" spans="1:7" ht="22.5" customHeight="1" x14ac:dyDescent="0.15">
      <c r="A566" s="33"/>
      <c r="B566" s="12"/>
      <c r="C566" s="12"/>
      <c r="D566" s="12"/>
      <c r="E566" s="12"/>
      <c r="G566" s="14"/>
    </row>
    <row r="567" spans="1:7" ht="22.5" customHeight="1" x14ac:dyDescent="0.15">
      <c r="A567" s="33"/>
      <c r="B567" s="12"/>
      <c r="C567" s="12"/>
      <c r="D567" s="12"/>
      <c r="E567" s="12"/>
      <c r="G567" s="14"/>
    </row>
    <row r="568" spans="1:7" ht="22.5" customHeight="1" x14ac:dyDescent="0.15">
      <c r="A568" s="33"/>
      <c r="B568" s="12"/>
      <c r="C568" s="12"/>
      <c r="D568" s="12"/>
      <c r="E568" s="12"/>
      <c r="G568" s="14"/>
    </row>
    <row r="569" spans="1:7" ht="22.5" customHeight="1" x14ac:dyDescent="0.15">
      <c r="A569" s="33"/>
      <c r="B569" s="12"/>
      <c r="C569" s="12"/>
      <c r="D569" s="12"/>
      <c r="E569" s="12"/>
      <c r="G569" s="14"/>
    </row>
    <row r="570" spans="1:7" ht="22.5" customHeight="1" x14ac:dyDescent="0.15">
      <c r="A570" s="33"/>
      <c r="B570" s="12"/>
      <c r="C570" s="12"/>
      <c r="D570" s="12"/>
      <c r="E570" s="12"/>
      <c r="G570" s="14"/>
    </row>
    <row r="571" spans="1:7" ht="22.5" customHeight="1" x14ac:dyDescent="0.15">
      <c r="A571" s="33"/>
      <c r="B571" s="12"/>
      <c r="C571" s="12"/>
      <c r="D571" s="12"/>
      <c r="E571" s="12"/>
      <c r="G571" s="14"/>
    </row>
    <row r="572" spans="1:7" ht="22.5" customHeight="1" x14ac:dyDescent="0.15">
      <c r="A572" s="33"/>
      <c r="B572" s="12"/>
      <c r="C572" s="12"/>
      <c r="D572" s="12"/>
      <c r="E572" s="12"/>
      <c r="G572" s="14"/>
    </row>
    <row r="573" spans="1:7" ht="22.5" customHeight="1" x14ac:dyDescent="0.15">
      <c r="A573" s="33"/>
      <c r="B573" s="12"/>
      <c r="C573" s="12"/>
      <c r="D573" s="12"/>
      <c r="E573" s="12"/>
      <c r="G573" s="14"/>
    </row>
    <row r="574" spans="1:7" ht="22.5" customHeight="1" x14ac:dyDescent="0.15">
      <c r="A574" s="33"/>
      <c r="B574" s="12"/>
      <c r="C574" s="12"/>
      <c r="D574" s="12"/>
      <c r="E574" s="12"/>
      <c r="G574" s="14"/>
    </row>
    <row r="575" spans="1:7" ht="22.5" customHeight="1" x14ac:dyDescent="0.15">
      <c r="A575" s="33"/>
      <c r="B575" s="12"/>
      <c r="C575" s="12"/>
      <c r="D575" s="12"/>
      <c r="E575" s="12"/>
      <c r="G575" s="14"/>
    </row>
    <row r="576" spans="1:7" ht="22.5" customHeight="1" x14ac:dyDescent="0.15">
      <c r="A576" s="33"/>
      <c r="B576" s="12"/>
      <c r="C576" s="12"/>
      <c r="D576" s="12"/>
      <c r="E576" s="12"/>
      <c r="G576" s="14"/>
    </row>
    <row r="577" spans="1:7" ht="22.5" customHeight="1" x14ac:dyDescent="0.15">
      <c r="A577" s="33"/>
      <c r="B577" s="12"/>
      <c r="C577" s="12"/>
      <c r="D577" s="12"/>
      <c r="E577" s="12"/>
      <c r="G577" s="14"/>
    </row>
    <row r="578" spans="1:7" ht="22.5" customHeight="1" x14ac:dyDescent="0.15">
      <c r="A578" s="33"/>
      <c r="B578" s="12"/>
      <c r="C578" s="12"/>
      <c r="D578" s="12"/>
      <c r="E578" s="12"/>
      <c r="G578" s="14"/>
    </row>
    <row r="579" spans="1:7" ht="22.5" customHeight="1" x14ac:dyDescent="0.15">
      <c r="A579" s="33"/>
      <c r="B579" s="12"/>
      <c r="C579" s="12"/>
      <c r="D579" s="12"/>
      <c r="E579" s="12"/>
      <c r="G579" s="14"/>
    </row>
    <row r="580" spans="1:7" ht="22.5" customHeight="1" x14ac:dyDescent="0.15">
      <c r="A580" s="33"/>
      <c r="B580" s="12"/>
      <c r="C580" s="12"/>
      <c r="D580" s="12"/>
      <c r="E580" s="12"/>
      <c r="G580" s="14"/>
    </row>
    <row r="581" spans="1:7" ht="22.5" customHeight="1" x14ac:dyDescent="0.15">
      <c r="A581" s="33"/>
      <c r="B581" s="12"/>
      <c r="C581" s="12"/>
      <c r="D581" s="12"/>
      <c r="E581" s="12"/>
      <c r="G581" s="14"/>
    </row>
    <row r="582" spans="1:7" ht="22.5" customHeight="1" x14ac:dyDescent="0.15">
      <c r="A582" s="33"/>
      <c r="B582" s="12"/>
      <c r="C582" s="12"/>
      <c r="D582" s="12"/>
      <c r="E582" s="12"/>
      <c r="G582" s="14"/>
    </row>
    <row r="583" spans="1:7" ht="22.5" customHeight="1" x14ac:dyDescent="0.15">
      <c r="A583" s="33"/>
      <c r="B583" s="12"/>
      <c r="C583" s="12"/>
      <c r="D583" s="12"/>
      <c r="E583" s="12"/>
      <c r="G583" s="14"/>
    </row>
    <row r="584" spans="1:7" ht="22.5" customHeight="1" x14ac:dyDescent="0.15">
      <c r="A584" s="33"/>
      <c r="B584" s="12"/>
      <c r="C584" s="12"/>
      <c r="D584" s="12"/>
      <c r="E584" s="12"/>
      <c r="G584" s="14"/>
    </row>
    <row r="585" spans="1:7" ht="22.5" customHeight="1" x14ac:dyDescent="0.15">
      <c r="A585" s="33"/>
      <c r="B585" s="12"/>
      <c r="C585" s="12"/>
      <c r="D585" s="12"/>
      <c r="E585" s="12"/>
      <c r="G585" s="14"/>
    </row>
    <row r="586" spans="1:7" ht="22.5" customHeight="1" x14ac:dyDescent="0.15">
      <c r="A586" s="33"/>
      <c r="B586" s="12"/>
      <c r="C586" s="12"/>
      <c r="D586" s="12"/>
      <c r="E586" s="12"/>
      <c r="G586" s="14"/>
    </row>
    <row r="587" spans="1:7" ht="22.5" customHeight="1" x14ac:dyDescent="0.15">
      <c r="A587" s="33"/>
      <c r="B587" s="12"/>
      <c r="C587" s="12"/>
      <c r="D587" s="12"/>
      <c r="E587" s="12"/>
      <c r="G587" s="14"/>
    </row>
    <row r="588" spans="1:7" ht="22.5" customHeight="1" x14ac:dyDescent="0.15">
      <c r="A588" s="33"/>
      <c r="B588" s="12"/>
      <c r="C588" s="12"/>
      <c r="D588" s="12"/>
      <c r="E588" s="12"/>
      <c r="G588" s="14"/>
    </row>
    <row r="589" spans="1:7" ht="22.5" customHeight="1" x14ac:dyDescent="0.15">
      <c r="A589" s="33"/>
      <c r="B589" s="12"/>
      <c r="C589" s="12"/>
      <c r="D589" s="12"/>
      <c r="E589" s="12"/>
      <c r="G589" s="14"/>
    </row>
    <row r="590" spans="1:7" ht="22.5" customHeight="1" x14ac:dyDescent="0.15">
      <c r="A590" s="33"/>
      <c r="B590" s="12"/>
      <c r="C590" s="12"/>
      <c r="D590" s="12"/>
      <c r="E590" s="12"/>
      <c r="G590" s="14"/>
    </row>
    <row r="591" spans="1:7" ht="22.5" customHeight="1" x14ac:dyDescent="0.15">
      <c r="A591" s="33"/>
      <c r="B591" s="12"/>
      <c r="C591" s="12"/>
      <c r="D591" s="12"/>
      <c r="E591" s="12"/>
      <c r="G591" s="14"/>
    </row>
    <row r="592" spans="1:7" ht="22.5" customHeight="1" x14ac:dyDescent="0.15">
      <c r="A592" s="33"/>
      <c r="B592" s="12"/>
      <c r="C592" s="12"/>
      <c r="D592" s="12"/>
      <c r="E592" s="12"/>
      <c r="G592" s="14"/>
    </row>
    <row r="593" spans="1:7" ht="22.5" customHeight="1" x14ac:dyDescent="0.15">
      <c r="A593" s="33"/>
      <c r="B593" s="12"/>
      <c r="C593" s="12"/>
      <c r="D593" s="12"/>
      <c r="E593" s="12"/>
      <c r="G593" s="14"/>
    </row>
    <row r="594" spans="1:7" ht="22.5" customHeight="1" x14ac:dyDescent="0.15">
      <c r="A594" s="33"/>
      <c r="B594" s="12"/>
      <c r="C594" s="12"/>
      <c r="D594" s="12"/>
      <c r="E594" s="12"/>
      <c r="G594" s="14"/>
    </row>
    <row r="595" spans="1:7" ht="22.5" customHeight="1" x14ac:dyDescent="0.15">
      <c r="A595" s="33"/>
      <c r="B595" s="12"/>
      <c r="C595" s="12"/>
      <c r="D595" s="12"/>
      <c r="E595" s="12"/>
      <c r="G595" s="14"/>
    </row>
    <row r="596" spans="1:7" ht="22.5" customHeight="1" x14ac:dyDescent="0.15">
      <c r="A596" s="33"/>
      <c r="B596" s="12"/>
      <c r="C596" s="12"/>
      <c r="D596" s="12"/>
      <c r="E596" s="12"/>
      <c r="G596" s="14"/>
    </row>
    <row r="597" spans="1:7" ht="22.5" customHeight="1" x14ac:dyDescent="0.15">
      <c r="A597" s="33"/>
      <c r="B597" s="12"/>
      <c r="C597" s="12"/>
      <c r="D597" s="12"/>
      <c r="E597" s="12"/>
      <c r="G597" s="14"/>
    </row>
    <row r="598" spans="1:7" ht="22.5" customHeight="1" x14ac:dyDescent="0.15">
      <c r="A598" s="33"/>
      <c r="B598" s="12"/>
      <c r="C598" s="12"/>
      <c r="D598" s="12"/>
      <c r="E598" s="12"/>
      <c r="G598" s="14"/>
    </row>
    <row r="599" spans="1:7" ht="22.5" customHeight="1" x14ac:dyDescent="0.15">
      <c r="A599" s="33"/>
      <c r="B599" s="12"/>
      <c r="C599" s="12"/>
      <c r="D599" s="12"/>
      <c r="E599" s="12"/>
      <c r="G599" s="14"/>
    </row>
    <row r="600" spans="1:7" ht="22.5" customHeight="1" x14ac:dyDescent="0.15">
      <c r="A600" s="33"/>
      <c r="B600" s="12"/>
      <c r="C600" s="12"/>
      <c r="D600" s="12"/>
      <c r="E600" s="12"/>
      <c r="G600" s="14"/>
    </row>
    <row r="601" spans="1:7" ht="22.5" customHeight="1" x14ac:dyDescent="0.15">
      <c r="A601" s="33"/>
      <c r="B601" s="12"/>
      <c r="C601" s="12"/>
      <c r="D601" s="12"/>
      <c r="E601" s="12"/>
      <c r="G601" s="14"/>
    </row>
    <row r="602" spans="1:7" ht="22.5" customHeight="1" x14ac:dyDescent="0.15">
      <c r="A602" s="33"/>
      <c r="B602" s="12"/>
      <c r="C602" s="12"/>
      <c r="D602" s="12"/>
      <c r="E602" s="12"/>
      <c r="G602" s="14"/>
    </row>
    <row r="603" spans="1:7" ht="22.5" customHeight="1" x14ac:dyDescent="0.15">
      <c r="A603" s="33"/>
      <c r="B603" s="12"/>
      <c r="C603" s="12"/>
      <c r="D603" s="12"/>
      <c r="E603" s="12"/>
      <c r="G603" s="14"/>
    </row>
    <row r="604" spans="1:7" ht="22.5" customHeight="1" x14ac:dyDescent="0.15">
      <c r="A604" s="33"/>
      <c r="B604" s="12"/>
      <c r="C604" s="12"/>
      <c r="D604" s="12"/>
      <c r="E604" s="12"/>
      <c r="G604" s="14"/>
    </row>
    <row r="605" spans="1:7" ht="22.5" customHeight="1" x14ac:dyDescent="0.15">
      <c r="A605" s="33"/>
      <c r="B605" s="12"/>
      <c r="C605" s="12"/>
      <c r="D605" s="12"/>
      <c r="E605" s="12"/>
      <c r="G605" s="14"/>
    </row>
    <row r="606" spans="1:7" ht="22.5" customHeight="1" x14ac:dyDescent="0.15">
      <c r="A606" s="33"/>
      <c r="B606" s="12"/>
      <c r="C606" s="12"/>
      <c r="D606" s="12"/>
      <c r="E606" s="12"/>
      <c r="G606" s="14"/>
    </row>
    <row r="607" spans="1:7" ht="22.5" customHeight="1" x14ac:dyDescent="0.15">
      <c r="A607" s="33"/>
      <c r="B607" s="12"/>
      <c r="C607" s="12"/>
      <c r="D607" s="12"/>
      <c r="E607" s="12"/>
      <c r="G607" s="14"/>
    </row>
    <row r="608" spans="1:7" ht="22.5" customHeight="1" x14ac:dyDescent="0.15">
      <c r="A608" s="33"/>
      <c r="B608" s="12"/>
      <c r="C608" s="12"/>
      <c r="D608" s="12"/>
      <c r="E608" s="12"/>
      <c r="G608" s="14"/>
    </row>
    <row r="609" spans="1:7" ht="22.5" customHeight="1" x14ac:dyDescent="0.15">
      <c r="A609" s="33"/>
      <c r="B609" s="12"/>
      <c r="C609" s="12"/>
      <c r="D609" s="12"/>
      <c r="E609" s="12"/>
      <c r="G609" s="14"/>
    </row>
    <row r="610" spans="1:7" ht="22.5" customHeight="1" x14ac:dyDescent="0.15">
      <c r="A610" s="33"/>
      <c r="B610" s="12"/>
      <c r="C610" s="12"/>
      <c r="D610" s="12"/>
      <c r="E610" s="12"/>
      <c r="G610" s="14"/>
    </row>
    <row r="611" spans="1:7" ht="22.5" customHeight="1" x14ac:dyDescent="0.15">
      <c r="A611" s="33"/>
      <c r="B611" s="12"/>
      <c r="C611" s="12"/>
      <c r="D611" s="12"/>
      <c r="E611" s="12"/>
      <c r="G611" s="14"/>
    </row>
    <row r="612" spans="1:7" ht="22.5" customHeight="1" x14ac:dyDescent="0.15">
      <c r="A612" s="33"/>
      <c r="B612" s="12"/>
      <c r="C612" s="12"/>
      <c r="D612" s="12"/>
      <c r="E612" s="12"/>
      <c r="G612" s="14"/>
    </row>
    <row r="613" spans="1:7" ht="22.5" customHeight="1" x14ac:dyDescent="0.15">
      <c r="A613" s="33"/>
      <c r="B613" s="12"/>
      <c r="C613" s="12"/>
      <c r="D613" s="12"/>
      <c r="E613" s="12"/>
      <c r="G613" s="14"/>
    </row>
    <row r="614" spans="1:7" ht="22.5" customHeight="1" x14ac:dyDescent="0.15">
      <c r="A614" s="33"/>
      <c r="B614" s="12"/>
      <c r="C614" s="12"/>
      <c r="D614" s="12"/>
      <c r="E614" s="12"/>
      <c r="G614" s="14"/>
    </row>
    <row r="615" spans="1:7" ht="22.5" customHeight="1" x14ac:dyDescent="0.15">
      <c r="A615" s="33"/>
      <c r="B615" s="12"/>
      <c r="C615" s="12"/>
      <c r="D615" s="12"/>
      <c r="E615" s="12"/>
      <c r="G615" s="14"/>
    </row>
    <row r="616" spans="1:7" ht="22.5" customHeight="1" x14ac:dyDescent="0.15">
      <c r="A616" s="33"/>
      <c r="B616" s="12"/>
      <c r="C616" s="12"/>
      <c r="D616" s="12"/>
      <c r="E616" s="12"/>
      <c r="G616" s="14"/>
    </row>
    <row r="617" spans="1:7" ht="22.5" customHeight="1" x14ac:dyDescent="0.15">
      <c r="A617" s="33"/>
      <c r="B617" s="12"/>
      <c r="C617" s="12"/>
      <c r="D617" s="12"/>
      <c r="E617" s="12"/>
      <c r="G617" s="14"/>
    </row>
    <row r="618" spans="1:7" ht="22.5" customHeight="1" x14ac:dyDescent="0.15">
      <c r="A618" s="33"/>
      <c r="B618" s="12"/>
      <c r="C618" s="12"/>
      <c r="D618" s="12"/>
      <c r="E618" s="12"/>
      <c r="G618" s="14"/>
    </row>
    <row r="619" spans="1:7" ht="22.5" customHeight="1" x14ac:dyDescent="0.15">
      <c r="A619" s="33"/>
      <c r="B619" s="12"/>
      <c r="C619" s="12"/>
      <c r="D619" s="12"/>
      <c r="E619" s="12"/>
      <c r="G619" s="14"/>
    </row>
    <row r="620" spans="1:7" ht="22.5" customHeight="1" x14ac:dyDescent="0.15">
      <c r="A620" s="33"/>
      <c r="B620" s="12"/>
      <c r="C620" s="12"/>
      <c r="D620" s="12"/>
      <c r="E620" s="12"/>
      <c r="G620" s="14"/>
    </row>
    <row r="621" spans="1:7" ht="22.5" customHeight="1" x14ac:dyDescent="0.15">
      <c r="A621" s="33"/>
      <c r="B621" s="12"/>
      <c r="C621" s="12"/>
      <c r="D621" s="12"/>
      <c r="E621" s="12"/>
      <c r="G621" s="14"/>
    </row>
    <row r="622" spans="1:7" ht="22.5" customHeight="1" x14ac:dyDescent="0.15">
      <c r="A622" s="33"/>
      <c r="B622" s="12"/>
      <c r="C622" s="12"/>
      <c r="D622" s="12"/>
      <c r="E622" s="12"/>
      <c r="G622" s="14"/>
    </row>
    <row r="623" spans="1:7" ht="22.5" customHeight="1" x14ac:dyDescent="0.15">
      <c r="A623" s="33"/>
      <c r="B623" s="12"/>
      <c r="C623" s="12"/>
      <c r="D623" s="12"/>
      <c r="E623" s="12"/>
      <c r="G623" s="14"/>
    </row>
    <row r="624" spans="1:7" ht="22.5" customHeight="1" x14ac:dyDescent="0.15">
      <c r="A624" s="33"/>
      <c r="B624" s="12"/>
      <c r="C624" s="12"/>
      <c r="D624" s="12"/>
      <c r="E624" s="12"/>
      <c r="G624" s="14"/>
    </row>
    <row r="625" spans="1:7" ht="22.5" customHeight="1" x14ac:dyDescent="0.15">
      <c r="A625" s="33"/>
      <c r="B625" s="12"/>
      <c r="C625" s="12"/>
      <c r="D625" s="12"/>
      <c r="E625" s="12"/>
      <c r="G625" s="14"/>
    </row>
    <row r="626" spans="1:7" ht="22.5" customHeight="1" x14ac:dyDescent="0.15">
      <c r="A626" s="33"/>
      <c r="B626" s="12"/>
      <c r="C626" s="12"/>
      <c r="D626" s="12"/>
      <c r="E626" s="12"/>
      <c r="G626" s="14"/>
    </row>
    <row r="627" spans="1:7" ht="22.5" customHeight="1" x14ac:dyDescent="0.15">
      <c r="A627" s="33"/>
      <c r="B627" s="12"/>
      <c r="C627" s="12"/>
      <c r="D627" s="12"/>
      <c r="E627" s="12"/>
      <c r="G627" s="14"/>
    </row>
    <row r="628" spans="1:7" ht="22.5" customHeight="1" x14ac:dyDescent="0.15">
      <c r="A628" s="33"/>
      <c r="B628" s="12"/>
      <c r="C628" s="12"/>
      <c r="D628" s="12"/>
      <c r="E628" s="12"/>
      <c r="G628" s="14"/>
    </row>
    <row r="629" spans="1:7" ht="22.5" customHeight="1" x14ac:dyDescent="0.15">
      <c r="A629" s="33"/>
      <c r="B629" s="12"/>
      <c r="C629" s="12"/>
      <c r="D629" s="12"/>
      <c r="E629" s="12"/>
      <c r="G629" s="14"/>
    </row>
    <row r="630" spans="1:7" ht="22.5" customHeight="1" x14ac:dyDescent="0.15">
      <c r="A630" s="33"/>
      <c r="B630" s="12"/>
      <c r="C630" s="12"/>
      <c r="D630" s="12"/>
      <c r="E630" s="12"/>
      <c r="G630" s="14"/>
    </row>
    <row r="631" spans="1:7" ht="22.5" customHeight="1" x14ac:dyDescent="0.15">
      <c r="A631" s="33"/>
      <c r="B631" s="12"/>
      <c r="C631" s="12"/>
      <c r="D631" s="12"/>
      <c r="E631" s="12"/>
      <c r="G631" s="14"/>
    </row>
    <row r="632" spans="1:7" ht="22.5" customHeight="1" x14ac:dyDescent="0.15">
      <c r="A632" s="33"/>
      <c r="B632" s="12"/>
      <c r="C632" s="12"/>
      <c r="D632" s="12"/>
      <c r="E632" s="12"/>
      <c r="G632" s="14"/>
    </row>
    <row r="633" spans="1:7" ht="22.5" customHeight="1" x14ac:dyDescent="0.15">
      <c r="A633" s="33"/>
      <c r="B633" s="12"/>
      <c r="C633" s="12"/>
      <c r="D633" s="12"/>
      <c r="E633" s="12"/>
      <c r="G633" s="14"/>
    </row>
    <row r="634" spans="1:7" ht="22.5" customHeight="1" x14ac:dyDescent="0.15">
      <c r="A634" s="33"/>
      <c r="B634" s="12"/>
      <c r="C634" s="12"/>
      <c r="D634" s="12"/>
      <c r="E634" s="12"/>
      <c r="G634" s="14"/>
    </row>
    <row r="635" spans="1:7" ht="22.5" customHeight="1" x14ac:dyDescent="0.15">
      <c r="A635" s="33"/>
      <c r="B635" s="12"/>
      <c r="C635" s="12"/>
      <c r="D635" s="12"/>
      <c r="E635" s="12"/>
      <c r="G635" s="14"/>
    </row>
    <row r="636" spans="1:7" ht="22.5" customHeight="1" x14ac:dyDescent="0.15">
      <c r="A636" s="33"/>
      <c r="B636" s="12"/>
      <c r="C636" s="12"/>
      <c r="D636" s="12"/>
      <c r="E636" s="12"/>
      <c r="G636" s="14"/>
    </row>
    <row r="637" spans="1:7" ht="22.5" customHeight="1" x14ac:dyDescent="0.15">
      <c r="A637" s="33"/>
      <c r="B637" s="12"/>
      <c r="C637" s="12"/>
      <c r="D637" s="12"/>
      <c r="E637" s="12"/>
      <c r="G637" s="14"/>
    </row>
    <row r="638" spans="1:7" ht="22.5" customHeight="1" x14ac:dyDescent="0.15">
      <c r="A638" s="33"/>
      <c r="B638" s="12"/>
      <c r="C638" s="12"/>
      <c r="D638" s="12"/>
      <c r="E638" s="12"/>
      <c r="G638" s="14"/>
    </row>
    <row r="639" spans="1:7" ht="22.5" customHeight="1" x14ac:dyDescent="0.15">
      <c r="A639" s="33"/>
      <c r="B639" s="12"/>
      <c r="C639" s="12"/>
      <c r="D639" s="12"/>
      <c r="E639" s="12"/>
      <c r="G639" s="14"/>
    </row>
    <row r="640" spans="1:7" ht="22.5" customHeight="1" x14ac:dyDescent="0.15">
      <c r="A640" s="33"/>
      <c r="B640" s="12"/>
      <c r="C640" s="12"/>
      <c r="D640" s="12"/>
      <c r="E640" s="12"/>
      <c r="G640" s="14"/>
    </row>
    <row r="641" spans="1:7" ht="22.5" customHeight="1" x14ac:dyDescent="0.15">
      <c r="A641" s="33"/>
      <c r="B641" s="12"/>
      <c r="C641" s="12"/>
      <c r="D641" s="12"/>
      <c r="E641" s="12"/>
      <c r="G641" s="14"/>
    </row>
    <row r="642" spans="1:7" ht="22.5" customHeight="1" x14ac:dyDescent="0.15">
      <c r="A642" s="33"/>
      <c r="B642" s="12"/>
      <c r="C642" s="12"/>
      <c r="D642" s="12"/>
      <c r="E642" s="12"/>
      <c r="G642" s="14"/>
    </row>
    <row r="643" spans="1:7" ht="22.5" customHeight="1" x14ac:dyDescent="0.15">
      <c r="A643" s="33"/>
      <c r="B643" s="12"/>
      <c r="C643" s="12"/>
      <c r="D643" s="12"/>
      <c r="E643" s="12"/>
      <c r="G643" s="14"/>
    </row>
    <row r="644" spans="1:7" ht="22.5" customHeight="1" x14ac:dyDescent="0.15">
      <c r="A644" s="33"/>
      <c r="B644" s="12"/>
      <c r="C644" s="12"/>
      <c r="D644" s="12"/>
      <c r="E644" s="12"/>
      <c r="G644" s="14"/>
    </row>
    <row r="645" spans="1:7" ht="22.5" customHeight="1" x14ac:dyDescent="0.15">
      <c r="A645" s="33"/>
      <c r="B645" s="12"/>
      <c r="C645" s="12"/>
      <c r="D645" s="12"/>
      <c r="E645" s="12"/>
      <c r="G645" s="14"/>
    </row>
    <row r="646" spans="1:7" ht="22.5" customHeight="1" x14ac:dyDescent="0.15">
      <c r="A646" s="33"/>
      <c r="B646" s="12"/>
      <c r="C646" s="12"/>
      <c r="D646" s="12"/>
      <c r="E646" s="12"/>
      <c r="G646" s="14"/>
    </row>
    <row r="647" spans="1:7" ht="22.5" customHeight="1" x14ac:dyDescent="0.15">
      <c r="A647" s="33"/>
      <c r="B647" s="12"/>
      <c r="C647" s="12"/>
      <c r="D647" s="12"/>
      <c r="E647" s="12"/>
      <c r="G647" s="14"/>
    </row>
    <row r="648" spans="1:7" ht="22.5" customHeight="1" x14ac:dyDescent="0.15">
      <c r="A648" s="33"/>
      <c r="B648" s="12"/>
      <c r="C648" s="12"/>
      <c r="D648" s="12"/>
      <c r="E648" s="12"/>
      <c r="G648" s="14"/>
    </row>
    <row r="649" spans="1:7" ht="22.5" customHeight="1" x14ac:dyDescent="0.15">
      <c r="A649" s="33"/>
      <c r="B649" s="12"/>
      <c r="C649" s="12"/>
      <c r="D649" s="12"/>
      <c r="E649" s="12"/>
      <c r="G649" s="14"/>
    </row>
    <row r="650" spans="1:7" ht="22.5" customHeight="1" x14ac:dyDescent="0.15">
      <c r="A650" s="33"/>
      <c r="B650" s="12"/>
      <c r="C650" s="12"/>
      <c r="D650" s="12"/>
      <c r="E650" s="12"/>
      <c r="G650" s="14"/>
    </row>
    <row r="651" spans="1:7" ht="22.5" customHeight="1" x14ac:dyDescent="0.15">
      <c r="A651" s="33"/>
      <c r="B651" s="12"/>
      <c r="C651" s="12"/>
      <c r="D651" s="12"/>
      <c r="E651" s="12"/>
      <c r="G651" s="14"/>
    </row>
    <row r="652" spans="1:7" ht="22.5" customHeight="1" x14ac:dyDescent="0.15">
      <c r="A652" s="33"/>
      <c r="B652" s="12"/>
      <c r="C652" s="12"/>
      <c r="D652" s="12"/>
      <c r="E652" s="12"/>
      <c r="G652" s="14"/>
    </row>
    <row r="653" spans="1:7" ht="22.5" customHeight="1" x14ac:dyDescent="0.15">
      <c r="A653" s="33"/>
      <c r="B653" s="12"/>
      <c r="C653" s="12"/>
      <c r="D653" s="12"/>
      <c r="E653" s="12"/>
      <c r="G653" s="14"/>
    </row>
    <row r="654" spans="1:7" ht="22.5" customHeight="1" x14ac:dyDescent="0.15">
      <c r="A654" s="33"/>
      <c r="B654" s="12"/>
      <c r="C654" s="12"/>
      <c r="D654" s="12"/>
      <c r="E654" s="12"/>
      <c r="G654" s="14"/>
    </row>
    <row r="655" spans="1:7" ht="22.5" customHeight="1" x14ac:dyDescent="0.15">
      <c r="A655" s="33"/>
      <c r="B655" s="12"/>
      <c r="C655" s="12"/>
      <c r="D655" s="12"/>
      <c r="E655" s="12"/>
      <c r="G655" s="14"/>
    </row>
    <row r="656" spans="1:7" ht="22.5" customHeight="1" x14ac:dyDescent="0.15">
      <c r="A656" s="33"/>
      <c r="B656" s="12"/>
      <c r="C656" s="12"/>
      <c r="D656" s="12"/>
      <c r="E656" s="12"/>
      <c r="G656" s="14"/>
    </row>
    <row r="657" spans="1:7" ht="22.5" customHeight="1" x14ac:dyDescent="0.15">
      <c r="A657" s="33"/>
      <c r="B657" s="12"/>
      <c r="C657" s="12"/>
      <c r="D657" s="12"/>
      <c r="E657" s="12"/>
      <c r="G657" s="14"/>
    </row>
    <row r="658" spans="1:7" ht="22.5" customHeight="1" x14ac:dyDescent="0.15">
      <c r="A658" s="33"/>
      <c r="B658" s="12"/>
      <c r="C658" s="12"/>
      <c r="D658" s="12"/>
      <c r="E658" s="12"/>
      <c r="G658" s="14"/>
    </row>
    <row r="659" spans="1:7" ht="22.5" customHeight="1" x14ac:dyDescent="0.15">
      <c r="A659" s="33"/>
      <c r="B659" s="12"/>
      <c r="C659" s="12"/>
      <c r="D659" s="12"/>
      <c r="E659" s="12"/>
      <c r="G659" s="14"/>
    </row>
    <row r="660" spans="1:7" ht="22.5" customHeight="1" x14ac:dyDescent="0.15">
      <c r="A660" s="33"/>
      <c r="B660" s="12"/>
      <c r="C660" s="12"/>
      <c r="D660" s="12"/>
      <c r="E660" s="12"/>
      <c r="G660" s="14"/>
    </row>
    <row r="661" spans="1:7" ht="22.5" customHeight="1" x14ac:dyDescent="0.15">
      <c r="A661" s="33"/>
      <c r="B661" s="12"/>
      <c r="C661" s="12"/>
      <c r="D661" s="12"/>
      <c r="E661" s="12"/>
      <c r="G661" s="14"/>
    </row>
    <row r="662" spans="1:7" ht="22.5" customHeight="1" x14ac:dyDescent="0.15">
      <c r="A662" s="33"/>
      <c r="B662" s="12"/>
      <c r="C662" s="12"/>
      <c r="D662" s="12"/>
      <c r="E662" s="12"/>
      <c r="G662" s="14"/>
    </row>
    <row r="663" spans="1:7" ht="22.5" customHeight="1" x14ac:dyDescent="0.15">
      <c r="A663" s="33"/>
      <c r="B663" s="12"/>
      <c r="C663" s="12"/>
      <c r="D663" s="12"/>
      <c r="E663" s="12"/>
      <c r="G663" s="14"/>
    </row>
    <row r="664" spans="1:7" ht="22.5" customHeight="1" x14ac:dyDescent="0.15">
      <c r="A664" s="33"/>
      <c r="B664" s="12"/>
      <c r="C664" s="12"/>
      <c r="D664" s="12"/>
      <c r="E664" s="12"/>
      <c r="G664" s="14"/>
    </row>
    <row r="665" spans="1:7" ht="22.5" customHeight="1" x14ac:dyDescent="0.15">
      <c r="A665" s="33"/>
      <c r="B665" s="12"/>
      <c r="C665" s="12"/>
      <c r="D665" s="12"/>
      <c r="E665" s="12"/>
      <c r="G665" s="14"/>
    </row>
    <row r="666" spans="1:7" ht="22.5" customHeight="1" x14ac:dyDescent="0.15">
      <c r="A666" s="33"/>
      <c r="B666" s="12"/>
      <c r="C666" s="12"/>
      <c r="D666" s="12"/>
      <c r="E666" s="12"/>
      <c r="G666" s="14"/>
    </row>
    <row r="667" spans="1:7" ht="22.5" customHeight="1" x14ac:dyDescent="0.15">
      <c r="A667" s="33"/>
      <c r="B667" s="12"/>
      <c r="C667" s="12"/>
      <c r="D667" s="12"/>
      <c r="E667" s="12"/>
      <c r="G667" s="14"/>
    </row>
    <row r="668" spans="1:7" ht="22.5" customHeight="1" x14ac:dyDescent="0.15">
      <c r="A668" s="33"/>
      <c r="B668" s="12"/>
      <c r="C668" s="12"/>
      <c r="D668" s="12"/>
      <c r="E668" s="12"/>
      <c r="G668" s="14"/>
    </row>
    <row r="669" spans="1:7" ht="22.5" customHeight="1" x14ac:dyDescent="0.15">
      <c r="A669" s="33"/>
      <c r="B669" s="12"/>
      <c r="C669" s="12"/>
      <c r="D669" s="12"/>
      <c r="E669" s="12"/>
      <c r="G669" s="14"/>
    </row>
    <row r="670" spans="1:7" ht="22.5" customHeight="1" x14ac:dyDescent="0.15">
      <c r="A670" s="33"/>
      <c r="B670" s="12"/>
      <c r="C670" s="12"/>
      <c r="D670" s="12"/>
      <c r="E670" s="12"/>
      <c r="G670" s="14"/>
    </row>
    <row r="671" spans="1:7" ht="22.5" customHeight="1" x14ac:dyDescent="0.15">
      <c r="A671" s="33"/>
      <c r="B671" s="12"/>
      <c r="C671" s="12"/>
      <c r="D671" s="12"/>
      <c r="E671" s="12"/>
      <c r="G671" s="14"/>
    </row>
    <row r="672" spans="1:7" ht="22.5" customHeight="1" x14ac:dyDescent="0.15">
      <c r="A672" s="33"/>
      <c r="B672" s="12"/>
      <c r="C672" s="12"/>
      <c r="D672" s="12"/>
      <c r="E672" s="12"/>
      <c r="G672" s="14"/>
    </row>
    <row r="673" spans="1:7" ht="22.5" customHeight="1" x14ac:dyDescent="0.15">
      <c r="A673" s="33"/>
      <c r="B673" s="12"/>
      <c r="C673" s="12"/>
      <c r="D673" s="12"/>
      <c r="E673" s="12"/>
      <c r="G673" s="14"/>
    </row>
    <row r="674" spans="1:7" ht="22.5" customHeight="1" x14ac:dyDescent="0.15">
      <c r="A674" s="33"/>
      <c r="B674" s="12"/>
      <c r="C674" s="12"/>
      <c r="D674" s="12"/>
      <c r="E674" s="12"/>
      <c r="G674" s="14"/>
    </row>
    <row r="675" spans="1:7" ht="22.5" customHeight="1" x14ac:dyDescent="0.15">
      <c r="A675" s="33"/>
      <c r="B675" s="12"/>
      <c r="C675" s="12"/>
      <c r="D675" s="12"/>
      <c r="E675" s="12"/>
      <c r="G675" s="14"/>
    </row>
    <row r="676" spans="1:7" ht="22.5" customHeight="1" x14ac:dyDescent="0.15">
      <c r="A676" s="33"/>
      <c r="B676" s="12"/>
      <c r="C676" s="12"/>
      <c r="D676" s="12"/>
      <c r="E676" s="12"/>
      <c r="G676" s="14"/>
    </row>
    <row r="677" spans="1:7" ht="22.5" customHeight="1" x14ac:dyDescent="0.15">
      <c r="A677" s="33"/>
      <c r="B677" s="12"/>
      <c r="C677" s="12"/>
      <c r="D677" s="12"/>
      <c r="E677" s="12"/>
      <c r="G677" s="14"/>
    </row>
    <row r="678" spans="1:7" ht="22.5" customHeight="1" x14ac:dyDescent="0.15">
      <c r="A678" s="33"/>
      <c r="B678" s="12"/>
      <c r="C678" s="12"/>
      <c r="D678" s="12"/>
      <c r="E678" s="12"/>
      <c r="G678" s="14"/>
    </row>
    <row r="679" spans="1:7" ht="22.5" customHeight="1" x14ac:dyDescent="0.15">
      <c r="A679" s="33"/>
      <c r="B679" s="12"/>
      <c r="C679" s="12"/>
      <c r="D679" s="12"/>
      <c r="E679" s="12"/>
      <c r="G679" s="14"/>
    </row>
    <row r="680" spans="1:7" ht="22.5" customHeight="1" x14ac:dyDescent="0.15">
      <c r="A680" s="33"/>
      <c r="B680" s="12"/>
      <c r="C680" s="12"/>
      <c r="D680" s="12"/>
      <c r="E680" s="12"/>
      <c r="G680" s="14"/>
    </row>
    <row r="681" spans="1:7" ht="22.5" customHeight="1" x14ac:dyDescent="0.15">
      <c r="A681" s="33"/>
      <c r="B681" s="12"/>
      <c r="C681" s="12"/>
      <c r="D681" s="12"/>
      <c r="E681" s="12"/>
      <c r="G681" s="14"/>
    </row>
    <row r="682" spans="1:7" ht="22.5" customHeight="1" x14ac:dyDescent="0.15">
      <c r="A682" s="33"/>
      <c r="B682" s="12"/>
      <c r="C682" s="12"/>
      <c r="D682" s="12"/>
      <c r="E682" s="12"/>
      <c r="G682" s="14"/>
    </row>
    <row r="683" spans="1:7" ht="22.5" customHeight="1" x14ac:dyDescent="0.15">
      <c r="A683" s="33"/>
      <c r="B683" s="12"/>
      <c r="C683" s="12"/>
      <c r="D683" s="12"/>
      <c r="E683" s="12"/>
      <c r="G683" s="14"/>
    </row>
    <row r="684" spans="1:7" ht="22.5" customHeight="1" x14ac:dyDescent="0.15">
      <c r="A684" s="33"/>
      <c r="B684" s="12"/>
      <c r="C684" s="12"/>
      <c r="D684" s="12"/>
      <c r="E684" s="12"/>
      <c r="G684" s="14"/>
    </row>
    <row r="685" spans="1:7" ht="22.5" customHeight="1" x14ac:dyDescent="0.15">
      <c r="A685" s="33"/>
      <c r="B685" s="12"/>
      <c r="C685" s="12"/>
      <c r="D685" s="12"/>
      <c r="E685" s="12"/>
      <c r="G685" s="14"/>
    </row>
    <row r="686" spans="1:7" ht="22.5" customHeight="1" x14ac:dyDescent="0.15">
      <c r="A686" s="33"/>
      <c r="B686" s="12"/>
      <c r="C686" s="12"/>
      <c r="D686" s="12"/>
      <c r="E686" s="12"/>
      <c r="G686" s="14"/>
    </row>
    <row r="687" spans="1:7" ht="22.5" customHeight="1" x14ac:dyDescent="0.15">
      <c r="A687" s="33"/>
      <c r="B687" s="12"/>
      <c r="C687" s="12"/>
      <c r="D687" s="12"/>
      <c r="E687" s="12"/>
      <c r="G687" s="14"/>
    </row>
    <row r="688" spans="1:7" ht="22.5" customHeight="1" x14ac:dyDescent="0.15">
      <c r="A688" s="33"/>
      <c r="B688" s="12"/>
      <c r="C688" s="12"/>
      <c r="D688" s="12"/>
      <c r="E688" s="12"/>
      <c r="G688" s="14"/>
    </row>
    <row r="689" spans="1:7" ht="22.5" customHeight="1" x14ac:dyDescent="0.15">
      <c r="A689" s="33"/>
      <c r="B689" s="12"/>
      <c r="C689" s="12"/>
      <c r="D689" s="12"/>
      <c r="E689" s="12"/>
      <c r="G689" s="14"/>
    </row>
    <row r="690" spans="1:7" ht="22.5" customHeight="1" x14ac:dyDescent="0.15">
      <c r="A690" s="33"/>
      <c r="B690" s="12"/>
      <c r="C690" s="12"/>
      <c r="D690" s="12"/>
      <c r="E690" s="12"/>
      <c r="G690" s="14"/>
    </row>
    <row r="691" spans="1:7" ht="22.5" customHeight="1" x14ac:dyDescent="0.15">
      <c r="A691" s="33"/>
      <c r="B691" s="12"/>
      <c r="C691" s="12"/>
      <c r="D691" s="12"/>
      <c r="E691" s="12"/>
      <c r="G691" s="14"/>
    </row>
    <row r="692" spans="1:7" ht="22.5" customHeight="1" x14ac:dyDescent="0.15">
      <c r="A692" s="33"/>
      <c r="B692" s="12"/>
      <c r="C692" s="12"/>
      <c r="D692" s="12"/>
      <c r="E692" s="12"/>
      <c r="G692" s="14"/>
    </row>
    <row r="693" spans="1:7" ht="22.5" customHeight="1" x14ac:dyDescent="0.15">
      <c r="A693" s="33"/>
      <c r="B693" s="12"/>
      <c r="C693" s="12"/>
      <c r="D693" s="12"/>
      <c r="E693" s="12"/>
      <c r="G693" s="14"/>
    </row>
    <row r="694" spans="1:7" ht="22.5" customHeight="1" x14ac:dyDescent="0.15">
      <c r="A694" s="33"/>
      <c r="B694" s="12"/>
      <c r="C694" s="12"/>
      <c r="D694" s="12"/>
      <c r="E694" s="12"/>
      <c r="G694" s="14"/>
    </row>
    <row r="695" spans="1:7" ht="22.5" customHeight="1" x14ac:dyDescent="0.15">
      <c r="A695" s="33"/>
      <c r="B695" s="12"/>
      <c r="C695" s="12"/>
      <c r="D695" s="12"/>
      <c r="E695" s="12"/>
      <c r="G695" s="14"/>
    </row>
    <row r="696" spans="1:7" ht="22.5" customHeight="1" x14ac:dyDescent="0.15">
      <c r="A696" s="33"/>
      <c r="B696" s="12"/>
      <c r="C696" s="12"/>
      <c r="D696" s="12"/>
      <c r="E696" s="12"/>
      <c r="G696" s="14"/>
    </row>
    <row r="697" spans="1:7" ht="22.5" customHeight="1" x14ac:dyDescent="0.15">
      <c r="A697" s="33"/>
      <c r="B697" s="12"/>
      <c r="C697" s="12"/>
      <c r="D697" s="12"/>
      <c r="E697" s="12"/>
      <c r="G697" s="14"/>
    </row>
    <row r="698" spans="1:7" ht="22.5" customHeight="1" x14ac:dyDescent="0.15">
      <c r="A698" s="33"/>
      <c r="B698" s="12"/>
      <c r="C698" s="12"/>
      <c r="D698" s="12"/>
      <c r="E698" s="12"/>
      <c r="G698" s="14"/>
    </row>
    <row r="699" spans="1:7" ht="22.5" customHeight="1" x14ac:dyDescent="0.15">
      <c r="A699" s="33"/>
      <c r="B699" s="12"/>
      <c r="C699" s="12"/>
      <c r="D699" s="12"/>
      <c r="E699" s="12"/>
      <c r="G699" s="14"/>
    </row>
    <row r="700" spans="1:7" ht="22.5" customHeight="1" x14ac:dyDescent="0.15">
      <c r="A700" s="33"/>
      <c r="B700" s="12"/>
      <c r="C700" s="12"/>
      <c r="D700" s="12"/>
      <c r="E700" s="12"/>
      <c r="G700" s="14"/>
    </row>
    <row r="701" spans="1:7" ht="22.5" customHeight="1" x14ac:dyDescent="0.15">
      <c r="A701" s="33"/>
      <c r="B701" s="12"/>
      <c r="C701" s="12"/>
      <c r="D701" s="12"/>
      <c r="E701" s="12"/>
      <c r="G701" s="14"/>
    </row>
    <row r="702" spans="1:7" ht="22.5" customHeight="1" x14ac:dyDescent="0.15">
      <c r="A702" s="33"/>
      <c r="B702" s="12"/>
      <c r="C702" s="12"/>
      <c r="D702" s="12"/>
      <c r="E702" s="12"/>
      <c r="G702" s="14"/>
    </row>
    <row r="703" spans="1:7" ht="22.5" customHeight="1" x14ac:dyDescent="0.15">
      <c r="A703" s="33"/>
      <c r="B703" s="12"/>
      <c r="C703" s="12"/>
      <c r="D703" s="12"/>
      <c r="E703" s="12"/>
      <c r="G703" s="14"/>
    </row>
    <row r="704" spans="1:7" ht="22.5" customHeight="1" x14ac:dyDescent="0.15">
      <c r="A704" s="33"/>
      <c r="B704" s="12"/>
      <c r="C704" s="12"/>
      <c r="D704" s="12"/>
      <c r="E704" s="12"/>
      <c r="G704" s="14"/>
    </row>
    <row r="705" spans="1:7" ht="22.5" customHeight="1" x14ac:dyDescent="0.15">
      <c r="A705" s="33"/>
      <c r="B705" s="12"/>
      <c r="C705" s="12"/>
      <c r="D705" s="12"/>
      <c r="E705" s="12"/>
      <c r="G705" s="14"/>
    </row>
    <row r="706" spans="1:7" ht="22.5" customHeight="1" x14ac:dyDescent="0.15">
      <c r="A706" s="33"/>
      <c r="B706" s="12"/>
      <c r="C706" s="12"/>
      <c r="D706" s="12"/>
      <c r="E706" s="12"/>
      <c r="G706" s="14"/>
    </row>
    <row r="707" spans="1:7" ht="22.5" customHeight="1" x14ac:dyDescent="0.15">
      <c r="A707" s="33"/>
      <c r="B707" s="12"/>
      <c r="C707" s="12"/>
      <c r="D707" s="12"/>
      <c r="E707" s="12"/>
      <c r="G707" s="14"/>
    </row>
    <row r="708" spans="1:7" ht="22.5" customHeight="1" x14ac:dyDescent="0.15">
      <c r="A708" s="33"/>
      <c r="B708" s="12"/>
      <c r="C708" s="12"/>
      <c r="D708" s="12"/>
      <c r="E708" s="12"/>
      <c r="G708" s="14"/>
    </row>
    <row r="709" spans="1:7" ht="22.5" customHeight="1" x14ac:dyDescent="0.15">
      <c r="A709" s="33"/>
      <c r="B709" s="12"/>
      <c r="C709" s="12"/>
      <c r="D709" s="12"/>
      <c r="E709" s="12"/>
      <c r="G709" s="14"/>
    </row>
    <row r="710" spans="1:7" ht="22.5" customHeight="1" x14ac:dyDescent="0.15">
      <c r="A710" s="33"/>
      <c r="B710" s="12"/>
      <c r="C710" s="12"/>
      <c r="D710" s="12"/>
      <c r="E710" s="12"/>
      <c r="G710" s="14"/>
    </row>
    <row r="711" spans="1:7" ht="22.5" customHeight="1" x14ac:dyDescent="0.15">
      <c r="A711" s="33"/>
      <c r="B711" s="12"/>
      <c r="C711" s="12"/>
      <c r="D711" s="12"/>
      <c r="E711" s="12"/>
      <c r="G711" s="14"/>
    </row>
    <row r="712" spans="1:7" ht="22.5" customHeight="1" x14ac:dyDescent="0.15">
      <c r="A712" s="33"/>
      <c r="B712" s="12"/>
      <c r="C712" s="12"/>
      <c r="D712" s="12"/>
      <c r="E712" s="12"/>
      <c r="G712" s="14"/>
    </row>
    <row r="713" spans="1:7" ht="22.5" customHeight="1" x14ac:dyDescent="0.15">
      <c r="A713" s="33"/>
      <c r="B713" s="12"/>
      <c r="C713" s="12"/>
      <c r="D713" s="12"/>
      <c r="E713" s="12"/>
      <c r="G713" s="14"/>
    </row>
    <row r="714" spans="1:7" ht="22.5" customHeight="1" x14ac:dyDescent="0.15">
      <c r="A714" s="33"/>
      <c r="B714" s="12"/>
      <c r="C714" s="12"/>
      <c r="D714" s="12"/>
      <c r="E714" s="12"/>
      <c r="G714" s="14"/>
    </row>
    <row r="715" spans="1:7" ht="22.5" customHeight="1" x14ac:dyDescent="0.15">
      <c r="A715" s="33"/>
      <c r="B715" s="12"/>
      <c r="C715" s="12"/>
      <c r="D715" s="12"/>
      <c r="E715" s="12"/>
      <c r="G715" s="14"/>
    </row>
    <row r="716" spans="1:7" ht="22.5" customHeight="1" x14ac:dyDescent="0.15">
      <c r="A716" s="33"/>
      <c r="B716" s="12"/>
      <c r="C716" s="12"/>
      <c r="D716" s="12"/>
      <c r="E716" s="12"/>
      <c r="G716" s="14"/>
    </row>
    <row r="717" spans="1:7" ht="22.5" customHeight="1" x14ac:dyDescent="0.15">
      <c r="A717" s="33"/>
      <c r="B717" s="12"/>
      <c r="C717" s="12"/>
      <c r="D717" s="12"/>
      <c r="E717" s="12"/>
      <c r="G717" s="14"/>
    </row>
    <row r="718" spans="1:7" ht="22.5" customHeight="1" x14ac:dyDescent="0.15">
      <c r="A718" s="33"/>
      <c r="B718" s="12"/>
      <c r="C718" s="12"/>
      <c r="D718" s="12"/>
      <c r="E718" s="12"/>
      <c r="G718" s="14"/>
    </row>
    <row r="719" spans="1:7" ht="22.5" customHeight="1" x14ac:dyDescent="0.15">
      <c r="A719" s="33"/>
      <c r="B719" s="12"/>
      <c r="C719" s="12"/>
      <c r="D719" s="12"/>
      <c r="E719" s="12"/>
      <c r="G719" s="14"/>
    </row>
    <row r="720" spans="1:7" ht="22.5" customHeight="1" x14ac:dyDescent="0.15">
      <c r="A720" s="33"/>
      <c r="B720" s="12"/>
      <c r="C720" s="12"/>
      <c r="D720" s="12"/>
      <c r="E720" s="12"/>
      <c r="G720" s="14"/>
    </row>
    <row r="721" spans="1:7" ht="22.5" customHeight="1" x14ac:dyDescent="0.15">
      <c r="A721" s="33"/>
      <c r="B721" s="12"/>
      <c r="C721" s="12"/>
      <c r="D721" s="12"/>
      <c r="E721" s="12"/>
      <c r="G721" s="14"/>
    </row>
    <row r="722" spans="1:7" ht="22.5" customHeight="1" x14ac:dyDescent="0.15">
      <c r="A722" s="33"/>
      <c r="B722" s="12"/>
      <c r="C722" s="12"/>
      <c r="D722" s="12"/>
      <c r="E722" s="12"/>
      <c r="G722" s="14"/>
    </row>
    <row r="723" spans="1:7" ht="22.5" customHeight="1" x14ac:dyDescent="0.15">
      <c r="A723" s="33"/>
      <c r="B723" s="12"/>
      <c r="C723" s="12"/>
      <c r="D723" s="12"/>
      <c r="E723" s="12"/>
      <c r="G723" s="14"/>
    </row>
    <row r="724" spans="1:7" ht="22.5" customHeight="1" x14ac:dyDescent="0.15">
      <c r="A724" s="33"/>
      <c r="B724" s="12"/>
      <c r="C724" s="12"/>
      <c r="D724" s="12"/>
      <c r="E724" s="12"/>
      <c r="G724" s="14"/>
    </row>
    <row r="725" spans="1:7" ht="22.5" customHeight="1" x14ac:dyDescent="0.15">
      <c r="A725" s="33"/>
      <c r="B725" s="12"/>
      <c r="C725" s="12"/>
      <c r="D725" s="12"/>
      <c r="E725" s="12"/>
      <c r="G725" s="14"/>
    </row>
    <row r="726" spans="1:7" ht="22.5" customHeight="1" x14ac:dyDescent="0.15">
      <c r="A726" s="33"/>
      <c r="B726" s="12"/>
      <c r="C726" s="12"/>
      <c r="D726" s="12"/>
      <c r="E726" s="12"/>
      <c r="G726" s="14"/>
    </row>
    <row r="727" spans="1:7" ht="22.5" customHeight="1" x14ac:dyDescent="0.15">
      <c r="A727" s="33"/>
      <c r="B727" s="12"/>
      <c r="C727" s="12"/>
      <c r="D727" s="12"/>
      <c r="E727" s="12"/>
      <c r="G727" s="14"/>
    </row>
    <row r="728" spans="1:7" ht="22.5" customHeight="1" x14ac:dyDescent="0.15">
      <c r="A728" s="33"/>
      <c r="B728" s="12"/>
      <c r="C728" s="12"/>
      <c r="D728" s="12"/>
      <c r="E728" s="12"/>
      <c r="G728" s="14"/>
    </row>
    <row r="729" spans="1:7" ht="22.5" customHeight="1" x14ac:dyDescent="0.15">
      <c r="A729" s="33"/>
      <c r="B729" s="12"/>
      <c r="C729" s="12"/>
      <c r="D729" s="12"/>
      <c r="E729" s="12"/>
      <c r="G729" s="14"/>
    </row>
    <row r="730" spans="1:7" ht="22.5" customHeight="1" x14ac:dyDescent="0.15">
      <c r="A730" s="33"/>
      <c r="B730" s="12"/>
      <c r="C730" s="12"/>
      <c r="D730" s="12"/>
      <c r="E730" s="12"/>
      <c r="G730" s="14"/>
    </row>
    <row r="731" spans="1:7" ht="22.5" customHeight="1" x14ac:dyDescent="0.15">
      <c r="A731" s="33"/>
      <c r="B731" s="12"/>
      <c r="C731" s="12"/>
      <c r="D731" s="12"/>
      <c r="E731" s="12"/>
      <c r="G731" s="14"/>
    </row>
    <row r="732" spans="1:7" ht="22.5" customHeight="1" x14ac:dyDescent="0.15">
      <c r="A732" s="33"/>
      <c r="B732" s="12"/>
      <c r="C732" s="12"/>
      <c r="D732" s="12"/>
      <c r="E732" s="12"/>
      <c r="G732" s="14"/>
    </row>
    <row r="733" spans="1:7" ht="22.5" customHeight="1" x14ac:dyDescent="0.15">
      <c r="A733" s="33"/>
      <c r="B733" s="12"/>
      <c r="C733" s="12"/>
      <c r="D733" s="12"/>
      <c r="E733" s="12"/>
      <c r="G733" s="14"/>
    </row>
    <row r="734" spans="1:7" ht="22.5" customHeight="1" x14ac:dyDescent="0.15">
      <c r="A734" s="33"/>
      <c r="B734" s="12"/>
      <c r="C734" s="12"/>
      <c r="D734" s="12"/>
      <c r="E734" s="12"/>
      <c r="G734" s="14"/>
    </row>
    <row r="735" spans="1:7" ht="22.5" customHeight="1" x14ac:dyDescent="0.15">
      <c r="A735" s="33"/>
      <c r="B735" s="12"/>
      <c r="C735" s="12"/>
      <c r="D735" s="12"/>
      <c r="E735" s="12"/>
      <c r="G735" s="14"/>
    </row>
    <row r="736" spans="1:7" ht="22.5" customHeight="1" x14ac:dyDescent="0.15">
      <c r="A736" s="33"/>
      <c r="B736" s="12"/>
      <c r="C736" s="12"/>
      <c r="D736" s="12"/>
      <c r="E736" s="12"/>
      <c r="G736" s="14"/>
    </row>
    <row r="737" spans="1:7" ht="22.5" customHeight="1" x14ac:dyDescent="0.15">
      <c r="A737" s="33"/>
      <c r="B737" s="12"/>
      <c r="C737" s="12"/>
      <c r="D737" s="12"/>
      <c r="E737" s="12"/>
      <c r="G737" s="14"/>
    </row>
    <row r="738" spans="1:7" ht="22.5" customHeight="1" x14ac:dyDescent="0.15">
      <c r="A738" s="33"/>
      <c r="B738" s="12"/>
      <c r="C738" s="12"/>
      <c r="D738" s="12"/>
      <c r="E738" s="12"/>
      <c r="G738" s="14"/>
    </row>
    <row r="739" spans="1:7" ht="22.5" customHeight="1" x14ac:dyDescent="0.15">
      <c r="A739" s="33"/>
      <c r="B739" s="12"/>
      <c r="C739" s="12"/>
      <c r="D739" s="12"/>
      <c r="E739" s="12"/>
      <c r="G739" s="14"/>
    </row>
    <row r="740" spans="1:7" ht="22.5" customHeight="1" x14ac:dyDescent="0.15">
      <c r="A740" s="33"/>
      <c r="B740" s="12"/>
      <c r="C740" s="12"/>
      <c r="D740" s="12"/>
      <c r="E740" s="12"/>
      <c r="G740" s="14"/>
    </row>
    <row r="741" spans="1:7" ht="22.5" customHeight="1" x14ac:dyDescent="0.15">
      <c r="A741" s="33"/>
      <c r="B741" s="12"/>
      <c r="C741" s="12"/>
      <c r="D741" s="12"/>
      <c r="E741" s="12"/>
      <c r="G741" s="14"/>
    </row>
    <row r="742" spans="1:7" ht="22.5" customHeight="1" x14ac:dyDescent="0.15">
      <c r="A742" s="33"/>
      <c r="B742" s="12"/>
      <c r="C742" s="12"/>
      <c r="D742" s="12"/>
      <c r="E742" s="12"/>
      <c r="G742" s="14"/>
    </row>
    <row r="743" spans="1:7" ht="22.5" customHeight="1" x14ac:dyDescent="0.15">
      <c r="A743" s="33"/>
      <c r="B743" s="12"/>
      <c r="C743" s="12"/>
      <c r="D743" s="12"/>
      <c r="E743" s="12"/>
      <c r="G743" s="14"/>
    </row>
    <row r="744" spans="1:7" ht="22.5" customHeight="1" x14ac:dyDescent="0.15">
      <c r="A744" s="33"/>
      <c r="B744" s="12"/>
      <c r="C744" s="12"/>
      <c r="D744" s="12"/>
      <c r="E744" s="12"/>
      <c r="G744" s="14"/>
    </row>
    <row r="745" spans="1:7" ht="22.5" customHeight="1" x14ac:dyDescent="0.15">
      <c r="A745" s="33"/>
      <c r="B745" s="12"/>
      <c r="C745" s="12"/>
      <c r="D745" s="12"/>
      <c r="E745" s="12"/>
      <c r="G745" s="14"/>
    </row>
    <row r="746" spans="1:7" ht="22.5" customHeight="1" x14ac:dyDescent="0.15">
      <c r="A746" s="33"/>
      <c r="B746" s="12"/>
      <c r="C746" s="12"/>
      <c r="D746" s="12"/>
      <c r="E746" s="12"/>
      <c r="G746" s="14"/>
    </row>
    <row r="747" spans="1:7" ht="22.5" customHeight="1" x14ac:dyDescent="0.15">
      <c r="A747" s="33"/>
      <c r="B747" s="12"/>
      <c r="C747" s="12"/>
      <c r="D747" s="12"/>
      <c r="E747" s="12"/>
      <c r="G747" s="14"/>
    </row>
    <row r="748" spans="1:7" ht="22.5" customHeight="1" x14ac:dyDescent="0.15">
      <c r="A748" s="33"/>
      <c r="B748" s="12"/>
      <c r="C748" s="12"/>
      <c r="D748" s="12"/>
      <c r="E748" s="12"/>
      <c r="G748" s="14"/>
    </row>
    <row r="749" spans="1:7" ht="22.5" customHeight="1" x14ac:dyDescent="0.15">
      <c r="A749" s="33"/>
      <c r="B749" s="12"/>
      <c r="C749" s="12"/>
      <c r="D749" s="12"/>
      <c r="E749" s="12"/>
      <c r="G749" s="14"/>
    </row>
    <row r="750" spans="1:7" ht="22.5" customHeight="1" x14ac:dyDescent="0.15">
      <c r="A750" s="33"/>
      <c r="B750" s="12"/>
      <c r="C750" s="12"/>
      <c r="D750" s="12"/>
      <c r="E750" s="12"/>
      <c r="G750" s="14"/>
    </row>
    <row r="751" spans="1:7" ht="22.5" customHeight="1" x14ac:dyDescent="0.15">
      <c r="A751" s="33"/>
      <c r="B751" s="12"/>
      <c r="C751" s="12"/>
      <c r="D751" s="12"/>
      <c r="E751" s="12"/>
      <c r="G751" s="14"/>
    </row>
    <row r="752" spans="1:7" ht="22.5" customHeight="1" x14ac:dyDescent="0.15">
      <c r="A752" s="33"/>
      <c r="B752" s="12"/>
      <c r="C752" s="12"/>
      <c r="D752" s="12"/>
      <c r="E752" s="12"/>
      <c r="G752" s="14"/>
    </row>
    <row r="753" spans="1:7" ht="22.5" customHeight="1" x14ac:dyDescent="0.15">
      <c r="A753" s="33"/>
      <c r="B753" s="12"/>
      <c r="C753" s="12"/>
      <c r="D753" s="12"/>
      <c r="E753" s="12"/>
      <c r="G753" s="14"/>
    </row>
    <row r="754" spans="1:7" ht="22.5" customHeight="1" x14ac:dyDescent="0.15">
      <c r="A754" s="33"/>
      <c r="B754" s="12"/>
      <c r="C754" s="12"/>
      <c r="D754" s="12"/>
      <c r="E754" s="12"/>
      <c r="G754" s="14"/>
    </row>
    <row r="755" spans="1:7" ht="22.5" customHeight="1" x14ac:dyDescent="0.15">
      <c r="A755" s="33"/>
      <c r="B755" s="12"/>
      <c r="C755" s="12"/>
      <c r="D755" s="12"/>
      <c r="E755" s="12"/>
      <c r="G755" s="14"/>
    </row>
    <row r="756" spans="1:7" ht="22.5" customHeight="1" x14ac:dyDescent="0.15">
      <c r="A756" s="33"/>
      <c r="B756" s="12"/>
      <c r="C756" s="12"/>
      <c r="D756" s="12"/>
      <c r="E756" s="12"/>
      <c r="G756" s="14"/>
    </row>
    <row r="757" spans="1:7" ht="22.5" customHeight="1" x14ac:dyDescent="0.15">
      <c r="A757" s="33"/>
      <c r="B757" s="12"/>
      <c r="C757" s="12"/>
      <c r="D757" s="12"/>
      <c r="E757" s="12"/>
      <c r="G757" s="14"/>
    </row>
    <row r="758" spans="1:7" ht="22.5" customHeight="1" x14ac:dyDescent="0.15">
      <c r="A758" s="33"/>
      <c r="B758" s="12"/>
      <c r="C758" s="12"/>
      <c r="D758" s="12"/>
      <c r="E758" s="12"/>
      <c r="G758" s="14"/>
    </row>
    <row r="759" spans="1:7" ht="22.5" customHeight="1" x14ac:dyDescent="0.15">
      <c r="A759" s="33"/>
      <c r="B759" s="12"/>
      <c r="C759" s="12"/>
      <c r="D759" s="12"/>
      <c r="E759" s="12"/>
      <c r="G759" s="14"/>
    </row>
    <row r="760" spans="1:7" ht="22.5" customHeight="1" x14ac:dyDescent="0.15">
      <c r="A760" s="33"/>
      <c r="B760" s="12"/>
      <c r="C760" s="12"/>
      <c r="D760" s="12"/>
      <c r="E760" s="12"/>
      <c r="G760" s="14"/>
    </row>
    <row r="761" spans="1:7" ht="22.5" customHeight="1" x14ac:dyDescent="0.15">
      <c r="A761" s="33"/>
      <c r="B761" s="12"/>
      <c r="C761" s="12"/>
      <c r="D761" s="12"/>
      <c r="E761" s="12"/>
      <c r="G761" s="14"/>
    </row>
    <row r="762" spans="1:7" ht="22.5" customHeight="1" x14ac:dyDescent="0.15">
      <c r="A762" s="33"/>
      <c r="B762" s="12"/>
      <c r="C762" s="12"/>
      <c r="D762" s="12"/>
      <c r="E762" s="12"/>
      <c r="G762" s="14"/>
    </row>
    <row r="763" spans="1:7" ht="22.5" customHeight="1" x14ac:dyDescent="0.15">
      <c r="A763" s="33"/>
      <c r="B763" s="12"/>
      <c r="C763" s="12"/>
      <c r="D763" s="12"/>
      <c r="E763" s="12"/>
      <c r="G763" s="14"/>
    </row>
    <row r="764" spans="1:7" ht="22.5" customHeight="1" x14ac:dyDescent="0.15">
      <c r="A764" s="33"/>
      <c r="B764" s="12"/>
      <c r="C764" s="12"/>
      <c r="D764" s="12"/>
      <c r="E764" s="12"/>
      <c r="G764" s="14"/>
    </row>
    <row r="765" spans="1:7" ht="22.5" customHeight="1" x14ac:dyDescent="0.15">
      <c r="A765" s="33"/>
      <c r="B765" s="12"/>
      <c r="C765" s="12"/>
      <c r="D765" s="12"/>
      <c r="E765" s="12"/>
      <c r="G765" s="14"/>
    </row>
    <row r="766" spans="1:7" ht="22.5" customHeight="1" x14ac:dyDescent="0.15">
      <c r="A766" s="33"/>
      <c r="B766" s="12"/>
      <c r="C766" s="12"/>
      <c r="D766" s="12"/>
      <c r="E766" s="12"/>
      <c r="G766" s="14"/>
    </row>
    <row r="767" spans="1:7" ht="22.5" customHeight="1" x14ac:dyDescent="0.15">
      <c r="A767" s="33"/>
      <c r="B767" s="12"/>
      <c r="C767" s="12"/>
      <c r="D767" s="12"/>
      <c r="E767" s="12"/>
      <c r="G767" s="14"/>
    </row>
    <row r="768" spans="1:7" ht="22.5" customHeight="1" x14ac:dyDescent="0.15">
      <c r="A768" s="33"/>
      <c r="B768" s="12"/>
      <c r="C768" s="12"/>
      <c r="D768" s="12"/>
      <c r="E768" s="12"/>
      <c r="G768" s="14"/>
    </row>
    <row r="769" spans="1:7" ht="22.5" customHeight="1" x14ac:dyDescent="0.15">
      <c r="A769" s="33"/>
      <c r="B769" s="12"/>
      <c r="C769" s="12"/>
      <c r="D769" s="12"/>
      <c r="E769" s="12"/>
      <c r="G769" s="14"/>
    </row>
    <row r="770" spans="1:7" ht="22.5" customHeight="1" x14ac:dyDescent="0.15">
      <c r="A770" s="33"/>
      <c r="B770" s="12"/>
      <c r="C770" s="12"/>
      <c r="D770" s="12"/>
      <c r="E770" s="12"/>
      <c r="G770" s="14"/>
    </row>
    <row r="771" spans="1:7" ht="22.5" customHeight="1" x14ac:dyDescent="0.15">
      <c r="A771" s="33"/>
      <c r="B771" s="12"/>
      <c r="C771" s="12"/>
      <c r="D771" s="12"/>
      <c r="E771" s="12"/>
      <c r="G771" s="14"/>
    </row>
    <row r="772" spans="1:7" ht="22.5" customHeight="1" x14ac:dyDescent="0.15">
      <c r="A772" s="33"/>
      <c r="B772" s="12"/>
      <c r="C772" s="12"/>
      <c r="D772" s="12"/>
      <c r="E772" s="12"/>
      <c r="G772" s="14"/>
    </row>
    <row r="773" spans="1:7" ht="22.5" customHeight="1" x14ac:dyDescent="0.15">
      <c r="A773" s="33"/>
      <c r="B773" s="12"/>
      <c r="C773" s="12"/>
      <c r="D773" s="12"/>
      <c r="E773" s="12"/>
      <c r="G773" s="14"/>
    </row>
    <row r="774" spans="1:7" ht="22.5" customHeight="1" x14ac:dyDescent="0.15">
      <c r="A774" s="33"/>
      <c r="B774" s="12"/>
      <c r="C774" s="12"/>
      <c r="D774" s="12"/>
      <c r="E774" s="12"/>
      <c r="G774" s="14"/>
    </row>
    <row r="775" spans="1:7" ht="22.5" customHeight="1" x14ac:dyDescent="0.15">
      <c r="A775" s="33"/>
      <c r="B775" s="12"/>
      <c r="C775" s="12"/>
      <c r="D775" s="12"/>
      <c r="E775" s="12"/>
      <c r="G775" s="14"/>
    </row>
    <row r="776" spans="1:7" ht="22.5" customHeight="1" x14ac:dyDescent="0.15">
      <c r="A776" s="33"/>
      <c r="B776" s="12"/>
      <c r="C776" s="12"/>
      <c r="D776" s="12"/>
      <c r="E776" s="12"/>
      <c r="G776" s="14"/>
    </row>
    <row r="777" spans="1:7" ht="22.5" customHeight="1" x14ac:dyDescent="0.15">
      <c r="A777" s="33"/>
      <c r="B777" s="12"/>
      <c r="C777" s="12"/>
      <c r="D777" s="12"/>
      <c r="E777" s="12"/>
      <c r="G777" s="14"/>
    </row>
    <row r="778" spans="1:7" ht="22.5" customHeight="1" x14ac:dyDescent="0.15">
      <c r="A778" s="33"/>
      <c r="B778" s="12"/>
      <c r="C778" s="12"/>
      <c r="D778" s="12"/>
      <c r="E778" s="12"/>
      <c r="G778" s="14"/>
    </row>
    <row r="779" spans="1:7" ht="22.5" customHeight="1" x14ac:dyDescent="0.15">
      <c r="A779" s="33"/>
      <c r="B779" s="12"/>
      <c r="C779" s="12"/>
      <c r="D779" s="12"/>
      <c r="E779" s="12"/>
      <c r="G779" s="14"/>
    </row>
    <row r="780" spans="1:7" ht="22.5" customHeight="1" x14ac:dyDescent="0.15">
      <c r="A780" s="33"/>
      <c r="B780" s="12"/>
      <c r="C780" s="12"/>
      <c r="D780" s="12"/>
      <c r="E780" s="12"/>
      <c r="G780" s="14"/>
    </row>
    <row r="781" spans="1:7" ht="22.5" customHeight="1" x14ac:dyDescent="0.15">
      <c r="A781" s="33"/>
      <c r="B781" s="12"/>
      <c r="C781" s="12"/>
      <c r="D781" s="12"/>
      <c r="E781" s="12"/>
      <c r="G781" s="14"/>
    </row>
    <row r="782" spans="1:7" ht="22.5" customHeight="1" x14ac:dyDescent="0.15">
      <c r="A782" s="33"/>
      <c r="B782" s="12"/>
      <c r="C782" s="12"/>
      <c r="D782" s="12"/>
      <c r="E782" s="12"/>
      <c r="G782" s="14"/>
    </row>
    <row r="783" spans="1:7" ht="22.5" customHeight="1" x14ac:dyDescent="0.15">
      <c r="A783" s="33"/>
      <c r="B783" s="12"/>
      <c r="C783" s="12"/>
      <c r="D783" s="12"/>
      <c r="E783" s="12"/>
      <c r="G783" s="14"/>
    </row>
    <row r="784" spans="1:7" ht="22.5" customHeight="1" x14ac:dyDescent="0.15">
      <c r="A784" s="33"/>
      <c r="B784" s="12"/>
      <c r="C784" s="12"/>
      <c r="D784" s="12"/>
      <c r="E784" s="12"/>
      <c r="G784" s="14"/>
    </row>
    <row r="785" spans="1:7" ht="22.5" customHeight="1" x14ac:dyDescent="0.15">
      <c r="A785" s="33"/>
      <c r="B785" s="12"/>
      <c r="C785" s="12"/>
      <c r="D785" s="12"/>
      <c r="E785" s="12"/>
      <c r="G785" s="14"/>
    </row>
    <row r="786" spans="1:7" ht="22.5" customHeight="1" x14ac:dyDescent="0.15">
      <c r="A786" s="33"/>
      <c r="B786" s="12"/>
      <c r="C786" s="12"/>
      <c r="D786" s="12"/>
      <c r="E786" s="12"/>
      <c r="G786" s="14"/>
    </row>
    <row r="787" spans="1:7" ht="22.5" customHeight="1" x14ac:dyDescent="0.15">
      <c r="A787" s="33"/>
      <c r="B787" s="12"/>
      <c r="C787" s="12"/>
      <c r="D787" s="12"/>
      <c r="E787" s="12"/>
      <c r="G787" s="14"/>
    </row>
    <row r="788" spans="1:7" ht="22.5" customHeight="1" x14ac:dyDescent="0.15">
      <c r="A788" s="33"/>
      <c r="B788" s="12"/>
      <c r="C788" s="12"/>
      <c r="D788" s="12"/>
      <c r="E788" s="12"/>
      <c r="G788" s="14"/>
    </row>
    <row r="789" spans="1:7" ht="22.5" customHeight="1" x14ac:dyDescent="0.15">
      <c r="A789" s="33"/>
      <c r="B789" s="12"/>
      <c r="C789" s="12"/>
      <c r="D789" s="12"/>
      <c r="E789" s="12"/>
      <c r="G789" s="14"/>
    </row>
    <row r="790" spans="1:7" ht="22.5" customHeight="1" x14ac:dyDescent="0.15">
      <c r="A790" s="33"/>
      <c r="B790" s="12"/>
      <c r="C790" s="12"/>
      <c r="D790" s="12"/>
      <c r="E790" s="12"/>
      <c r="G790" s="14"/>
    </row>
    <row r="791" spans="1:7" ht="22.5" customHeight="1" x14ac:dyDescent="0.15">
      <c r="A791" s="33"/>
      <c r="B791" s="12"/>
      <c r="C791" s="12"/>
      <c r="D791" s="12"/>
      <c r="E791" s="12"/>
      <c r="G791" s="14"/>
    </row>
    <row r="792" spans="1:7" ht="22.5" customHeight="1" x14ac:dyDescent="0.15">
      <c r="A792" s="33"/>
      <c r="B792" s="12"/>
      <c r="C792" s="12"/>
      <c r="D792" s="12"/>
      <c r="E792" s="12"/>
      <c r="G792" s="14"/>
    </row>
    <row r="793" spans="1:7" ht="22.5" customHeight="1" x14ac:dyDescent="0.15">
      <c r="A793" s="33"/>
      <c r="B793" s="12"/>
      <c r="C793" s="12"/>
      <c r="D793" s="12"/>
      <c r="E793" s="12"/>
      <c r="G793" s="14"/>
    </row>
    <row r="794" spans="1:7" ht="22.5" customHeight="1" x14ac:dyDescent="0.15">
      <c r="A794" s="33"/>
      <c r="B794" s="12"/>
      <c r="C794" s="12"/>
      <c r="D794" s="12"/>
      <c r="E794" s="12"/>
      <c r="G794" s="14"/>
    </row>
    <row r="795" spans="1:7" ht="22.5" customHeight="1" x14ac:dyDescent="0.15">
      <c r="A795" s="33"/>
      <c r="B795" s="12"/>
      <c r="C795" s="12"/>
      <c r="D795" s="12"/>
      <c r="E795" s="12"/>
      <c r="G795" s="14"/>
    </row>
    <row r="796" spans="1:7" ht="22.5" customHeight="1" x14ac:dyDescent="0.15">
      <c r="A796" s="33"/>
      <c r="B796" s="12"/>
      <c r="C796" s="12"/>
      <c r="D796" s="12"/>
      <c r="E796" s="12"/>
      <c r="G796" s="14"/>
    </row>
    <row r="797" spans="1:7" ht="22.5" customHeight="1" x14ac:dyDescent="0.15">
      <c r="A797" s="33"/>
      <c r="B797" s="12"/>
      <c r="C797" s="12"/>
      <c r="D797" s="12"/>
      <c r="E797" s="12"/>
      <c r="G797" s="14"/>
    </row>
    <row r="798" spans="1:7" ht="22.5" customHeight="1" x14ac:dyDescent="0.15">
      <c r="A798" s="33"/>
      <c r="B798" s="12"/>
      <c r="C798" s="12"/>
      <c r="D798" s="12"/>
      <c r="E798" s="12"/>
      <c r="G798" s="14"/>
    </row>
    <row r="799" spans="1:7" ht="22.5" customHeight="1" x14ac:dyDescent="0.15">
      <c r="A799" s="33"/>
      <c r="B799" s="12"/>
      <c r="C799" s="12"/>
      <c r="D799" s="12"/>
      <c r="E799" s="12"/>
      <c r="G799" s="14"/>
    </row>
    <row r="800" spans="1:7" ht="22.5" customHeight="1" x14ac:dyDescent="0.15">
      <c r="A800" s="33"/>
      <c r="B800" s="12"/>
      <c r="C800" s="12"/>
      <c r="D800" s="12"/>
      <c r="E800" s="12"/>
      <c r="G800" s="14"/>
    </row>
    <row r="801" spans="1:7" ht="22.5" customHeight="1" x14ac:dyDescent="0.15">
      <c r="A801" s="33"/>
      <c r="B801" s="12"/>
      <c r="C801" s="12"/>
      <c r="D801" s="12"/>
      <c r="E801" s="12"/>
      <c r="G801" s="14"/>
    </row>
    <row r="802" spans="1:7" ht="22.5" customHeight="1" x14ac:dyDescent="0.15">
      <c r="A802" s="33"/>
      <c r="B802" s="12"/>
      <c r="C802" s="12"/>
      <c r="D802" s="12"/>
      <c r="E802" s="12"/>
      <c r="G802" s="14"/>
    </row>
    <row r="803" spans="1:7" ht="22.5" customHeight="1" x14ac:dyDescent="0.15">
      <c r="A803" s="33"/>
      <c r="B803" s="12"/>
      <c r="C803" s="12"/>
      <c r="D803" s="12"/>
      <c r="E803" s="12"/>
      <c r="G803" s="14"/>
    </row>
    <row r="804" spans="1:7" ht="22.5" customHeight="1" x14ac:dyDescent="0.15">
      <c r="A804" s="33"/>
      <c r="B804" s="12"/>
      <c r="C804" s="12"/>
      <c r="D804" s="12"/>
      <c r="E804" s="12"/>
      <c r="G804" s="14"/>
    </row>
    <row r="805" spans="1:7" ht="22.5" customHeight="1" x14ac:dyDescent="0.15">
      <c r="A805" s="33"/>
      <c r="B805" s="12"/>
      <c r="C805" s="12"/>
      <c r="D805" s="12"/>
      <c r="E805" s="12"/>
      <c r="G805" s="14"/>
    </row>
    <row r="806" spans="1:7" ht="22.5" customHeight="1" x14ac:dyDescent="0.15">
      <c r="A806" s="33"/>
      <c r="B806" s="12"/>
      <c r="C806" s="12"/>
      <c r="D806" s="12"/>
      <c r="E806" s="12"/>
      <c r="G806" s="14"/>
    </row>
    <row r="807" spans="1:7" ht="22.5" customHeight="1" x14ac:dyDescent="0.15">
      <c r="A807" s="33"/>
      <c r="B807" s="12"/>
      <c r="C807" s="12"/>
      <c r="D807" s="12"/>
      <c r="E807" s="12"/>
      <c r="G807" s="14"/>
    </row>
    <row r="808" spans="1:7" ht="22.5" customHeight="1" x14ac:dyDescent="0.15">
      <c r="A808" s="33"/>
      <c r="B808" s="12"/>
      <c r="C808" s="12"/>
      <c r="D808" s="12"/>
      <c r="E808" s="12"/>
      <c r="G808" s="14"/>
    </row>
    <row r="809" spans="1:7" ht="22.5" customHeight="1" x14ac:dyDescent="0.15">
      <c r="A809" s="33"/>
      <c r="B809" s="12"/>
      <c r="C809" s="12"/>
      <c r="D809" s="12"/>
      <c r="E809" s="12"/>
      <c r="G809" s="14"/>
    </row>
    <row r="810" spans="1:7" ht="22.5" customHeight="1" x14ac:dyDescent="0.15">
      <c r="A810" s="33"/>
      <c r="B810" s="12"/>
      <c r="C810" s="12"/>
      <c r="D810" s="12"/>
      <c r="E810" s="12"/>
      <c r="G810" s="14"/>
    </row>
    <row r="811" spans="1:7" ht="22.5" customHeight="1" x14ac:dyDescent="0.15">
      <c r="A811" s="33"/>
      <c r="B811" s="12"/>
      <c r="C811" s="12"/>
      <c r="D811" s="12"/>
      <c r="E811" s="12"/>
      <c r="G811" s="14"/>
    </row>
    <row r="812" spans="1:7" ht="22.5" customHeight="1" x14ac:dyDescent="0.15">
      <c r="A812" s="33"/>
      <c r="B812" s="12"/>
      <c r="C812" s="12"/>
      <c r="D812" s="12"/>
      <c r="E812" s="12"/>
      <c r="G812" s="14"/>
    </row>
    <row r="813" spans="1:7" ht="22.5" customHeight="1" x14ac:dyDescent="0.15">
      <c r="A813" s="33"/>
      <c r="B813" s="12"/>
      <c r="C813" s="12"/>
      <c r="D813" s="12"/>
      <c r="E813" s="12"/>
      <c r="G813" s="14"/>
    </row>
    <row r="814" spans="1:7" ht="22.5" customHeight="1" x14ac:dyDescent="0.15">
      <c r="A814" s="33"/>
      <c r="B814" s="12"/>
      <c r="C814" s="12"/>
      <c r="D814" s="12"/>
      <c r="E814" s="12"/>
      <c r="G814" s="14"/>
    </row>
    <row r="815" spans="1:7" ht="22.5" customHeight="1" x14ac:dyDescent="0.15">
      <c r="A815" s="33"/>
      <c r="B815" s="12"/>
      <c r="C815" s="12"/>
      <c r="D815" s="12"/>
      <c r="E815" s="12"/>
      <c r="G815" s="14"/>
    </row>
    <row r="816" spans="1:7" ht="22.5" customHeight="1" x14ac:dyDescent="0.15">
      <c r="A816" s="33"/>
      <c r="B816" s="12"/>
      <c r="C816" s="12"/>
      <c r="D816" s="12"/>
      <c r="E816" s="12"/>
      <c r="G816" s="14"/>
    </row>
    <row r="817" spans="1:7" ht="22.5" customHeight="1" x14ac:dyDescent="0.15">
      <c r="A817" s="33"/>
      <c r="B817" s="12"/>
      <c r="C817" s="12"/>
      <c r="D817" s="12"/>
      <c r="E817" s="12"/>
      <c r="G817" s="14"/>
    </row>
    <row r="818" spans="1:7" ht="22.5" customHeight="1" x14ac:dyDescent="0.15">
      <c r="A818" s="33"/>
      <c r="B818" s="12"/>
      <c r="C818" s="12"/>
      <c r="D818" s="12"/>
      <c r="E818" s="12"/>
      <c r="G818" s="14"/>
    </row>
    <row r="819" spans="1:7" ht="22.5" customHeight="1" x14ac:dyDescent="0.15">
      <c r="A819" s="33"/>
      <c r="B819" s="12"/>
      <c r="C819" s="12"/>
      <c r="D819" s="12"/>
      <c r="E819" s="12"/>
      <c r="G819" s="14"/>
    </row>
    <row r="820" spans="1:7" ht="22.5" customHeight="1" x14ac:dyDescent="0.15">
      <c r="A820" s="33"/>
      <c r="B820" s="12"/>
      <c r="C820" s="12"/>
      <c r="D820" s="12"/>
      <c r="E820" s="12"/>
      <c r="G820" s="14"/>
    </row>
    <row r="821" spans="1:7" ht="22.5" customHeight="1" x14ac:dyDescent="0.15">
      <c r="A821" s="33"/>
      <c r="B821" s="12"/>
      <c r="C821" s="12"/>
      <c r="D821" s="12"/>
      <c r="E821" s="12"/>
      <c r="G821" s="14"/>
    </row>
    <row r="822" spans="1:7" ht="22.5" customHeight="1" x14ac:dyDescent="0.15">
      <c r="A822" s="33"/>
      <c r="B822" s="12"/>
      <c r="C822" s="12"/>
      <c r="D822" s="12"/>
      <c r="E822" s="12"/>
      <c r="G822" s="14"/>
    </row>
    <row r="823" spans="1:7" ht="22.5" customHeight="1" x14ac:dyDescent="0.15">
      <c r="A823" s="33"/>
      <c r="B823" s="12"/>
      <c r="C823" s="12"/>
      <c r="D823" s="12"/>
      <c r="E823" s="12"/>
      <c r="G823" s="14"/>
    </row>
    <row r="824" spans="1:7" ht="22.5" customHeight="1" x14ac:dyDescent="0.15">
      <c r="A824" s="33"/>
      <c r="B824" s="12"/>
      <c r="C824" s="12"/>
      <c r="D824" s="12"/>
      <c r="E824" s="12"/>
      <c r="G824" s="14"/>
    </row>
    <row r="825" spans="1:7" ht="22.5" customHeight="1" x14ac:dyDescent="0.15">
      <c r="A825" s="33"/>
      <c r="B825" s="12"/>
      <c r="C825" s="12"/>
      <c r="D825" s="12"/>
      <c r="E825" s="12"/>
      <c r="G825" s="14"/>
    </row>
    <row r="826" spans="1:7" ht="22.5" customHeight="1" x14ac:dyDescent="0.15">
      <c r="A826" s="33"/>
      <c r="B826" s="12"/>
      <c r="C826" s="12"/>
      <c r="D826" s="12"/>
      <c r="E826" s="12"/>
      <c r="G826" s="14"/>
    </row>
    <row r="827" spans="1:7" ht="22.5" customHeight="1" x14ac:dyDescent="0.15">
      <c r="A827" s="33"/>
      <c r="B827" s="12"/>
      <c r="C827" s="12"/>
      <c r="D827" s="12"/>
      <c r="E827" s="12"/>
      <c r="G827" s="14"/>
    </row>
    <row r="828" spans="1:7" ht="22.5" customHeight="1" x14ac:dyDescent="0.15">
      <c r="A828" s="33"/>
      <c r="B828" s="12"/>
      <c r="C828" s="12"/>
      <c r="D828" s="12"/>
      <c r="E828" s="12"/>
      <c r="G828" s="14"/>
    </row>
    <row r="829" spans="1:7" ht="22.5" customHeight="1" x14ac:dyDescent="0.15">
      <c r="A829" s="33"/>
      <c r="B829" s="12"/>
      <c r="C829" s="12"/>
      <c r="D829" s="12"/>
      <c r="E829" s="12"/>
      <c r="G829" s="14"/>
    </row>
    <row r="830" spans="1:7" ht="22.5" customHeight="1" x14ac:dyDescent="0.15">
      <c r="A830" s="33"/>
      <c r="B830" s="12"/>
      <c r="C830" s="12"/>
      <c r="D830" s="12"/>
      <c r="E830" s="12"/>
      <c r="G830" s="14"/>
    </row>
    <row r="831" spans="1:7" ht="22.5" customHeight="1" x14ac:dyDescent="0.15">
      <c r="A831" s="33"/>
      <c r="B831" s="12"/>
      <c r="C831" s="12"/>
      <c r="D831" s="12"/>
      <c r="E831" s="12"/>
      <c r="G831" s="14"/>
    </row>
    <row r="832" spans="1:7" ht="22.5" customHeight="1" x14ac:dyDescent="0.15">
      <c r="A832" s="33"/>
      <c r="B832" s="12"/>
      <c r="C832" s="12"/>
      <c r="D832" s="12"/>
      <c r="E832" s="12"/>
      <c r="G832" s="14"/>
    </row>
    <row r="833" spans="1:7" ht="22.5" customHeight="1" x14ac:dyDescent="0.15">
      <c r="A833" s="33"/>
      <c r="B833" s="12"/>
      <c r="C833" s="12"/>
      <c r="D833" s="12"/>
      <c r="E833" s="12"/>
      <c r="G833" s="14"/>
    </row>
    <row r="834" spans="1:7" ht="22.5" customHeight="1" x14ac:dyDescent="0.15">
      <c r="A834" s="33"/>
      <c r="B834" s="12"/>
      <c r="C834" s="12"/>
      <c r="D834" s="12"/>
      <c r="E834" s="12"/>
      <c r="G834" s="14"/>
    </row>
    <row r="835" spans="1:7" ht="22.5" customHeight="1" x14ac:dyDescent="0.15">
      <c r="A835" s="33"/>
      <c r="B835" s="12"/>
      <c r="C835" s="12"/>
      <c r="D835" s="12"/>
      <c r="E835" s="12"/>
      <c r="G835" s="14"/>
    </row>
    <row r="836" spans="1:7" ht="22.5" customHeight="1" x14ac:dyDescent="0.15">
      <c r="A836" s="33"/>
      <c r="B836" s="12"/>
      <c r="C836" s="12"/>
      <c r="D836" s="12"/>
      <c r="E836" s="12"/>
      <c r="G836" s="14"/>
    </row>
    <row r="837" spans="1:7" ht="22.5" customHeight="1" x14ac:dyDescent="0.15">
      <c r="A837" s="33"/>
      <c r="B837" s="12"/>
      <c r="C837" s="12"/>
      <c r="D837" s="12"/>
      <c r="E837" s="12"/>
      <c r="G837" s="14"/>
    </row>
    <row r="838" spans="1:7" ht="22.5" customHeight="1" x14ac:dyDescent="0.15">
      <c r="A838" s="33"/>
      <c r="B838" s="12"/>
      <c r="C838" s="12"/>
      <c r="D838" s="12"/>
      <c r="E838" s="12"/>
      <c r="G838" s="14"/>
    </row>
    <row r="839" spans="1:7" ht="22.5" customHeight="1" x14ac:dyDescent="0.15">
      <c r="A839" s="33"/>
      <c r="B839" s="12"/>
      <c r="C839" s="12"/>
      <c r="D839" s="12"/>
      <c r="E839" s="12"/>
      <c r="G839" s="14"/>
    </row>
    <row r="840" spans="1:7" ht="22.5" customHeight="1" x14ac:dyDescent="0.15">
      <c r="A840" s="33"/>
      <c r="B840" s="12"/>
      <c r="C840" s="12"/>
      <c r="D840" s="12"/>
      <c r="E840" s="12"/>
      <c r="G840" s="14"/>
    </row>
    <row r="841" spans="1:7" ht="22.5" customHeight="1" x14ac:dyDescent="0.15">
      <c r="A841" s="33"/>
      <c r="B841" s="12"/>
      <c r="C841" s="12"/>
      <c r="D841" s="12"/>
      <c r="E841" s="12"/>
      <c r="G841" s="14"/>
    </row>
    <row r="842" spans="1:7" ht="22.5" customHeight="1" x14ac:dyDescent="0.15">
      <c r="A842" s="33"/>
      <c r="B842" s="12"/>
      <c r="C842" s="12"/>
      <c r="D842" s="12"/>
      <c r="E842" s="12"/>
      <c r="G842" s="14"/>
    </row>
    <row r="843" spans="1:7" ht="22.5" customHeight="1" x14ac:dyDescent="0.15">
      <c r="A843" s="33"/>
      <c r="B843" s="12"/>
      <c r="C843" s="12"/>
      <c r="D843" s="12"/>
      <c r="E843" s="12"/>
      <c r="G843" s="14"/>
    </row>
    <row r="844" spans="1:7" ht="22.5" customHeight="1" x14ac:dyDescent="0.15">
      <c r="A844" s="33"/>
      <c r="B844" s="12"/>
      <c r="C844" s="12"/>
      <c r="D844" s="12"/>
      <c r="E844" s="12"/>
      <c r="G844" s="14"/>
    </row>
    <row r="845" spans="1:7" ht="22.5" customHeight="1" x14ac:dyDescent="0.15">
      <c r="A845" s="33"/>
      <c r="B845" s="12"/>
      <c r="C845" s="12"/>
      <c r="D845" s="12"/>
      <c r="E845" s="12"/>
      <c r="G845" s="14"/>
    </row>
    <row r="846" spans="1:7" ht="22.5" customHeight="1" x14ac:dyDescent="0.15">
      <c r="A846" s="33"/>
      <c r="B846" s="12"/>
      <c r="C846" s="12"/>
      <c r="D846" s="12"/>
      <c r="E846" s="12"/>
      <c r="G846" s="14"/>
    </row>
    <row r="847" spans="1:7" ht="22.5" customHeight="1" x14ac:dyDescent="0.15">
      <c r="A847" s="33"/>
      <c r="B847" s="12"/>
      <c r="C847" s="12"/>
      <c r="D847" s="12"/>
      <c r="E847" s="12"/>
      <c r="G847" s="14"/>
    </row>
    <row r="848" spans="1:7" ht="22.5" customHeight="1" x14ac:dyDescent="0.15">
      <c r="A848" s="33"/>
      <c r="B848" s="12"/>
      <c r="C848" s="12"/>
      <c r="D848" s="12"/>
      <c r="E848" s="12"/>
      <c r="G848" s="14"/>
    </row>
    <row r="849" spans="1:7" ht="22.5" customHeight="1" x14ac:dyDescent="0.15">
      <c r="A849" s="33"/>
      <c r="B849" s="12"/>
      <c r="C849" s="12"/>
      <c r="D849" s="12"/>
      <c r="E849" s="12"/>
      <c r="G849" s="14"/>
    </row>
    <row r="850" spans="1:7" ht="22.5" customHeight="1" x14ac:dyDescent="0.15">
      <c r="A850" s="33"/>
      <c r="B850" s="12"/>
      <c r="C850" s="12"/>
      <c r="D850" s="12"/>
      <c r="E850" s="12"/>
      <c r="G850" s="14"/>
    </row>
    <row r="851" spans="1:7" ht="22.5" customHeight="1" x14ac:dyDescent="0.15">
      <c r="A851" s="33"/>
      <c r="B851" s="12"/>
      <c r="C851" s="12"/>
      <c r="D851" s="12"/>
      <c r="E851" s="12"/>
      <c r="G851" s="14"/>
    </row>
    <row r="852" spans="1:7" ht="22.5" customHeight="1" x14ac:dyDescent="0.15">
      <c r="A852" s="33"/>
      <c r="B852" s="12"/>
      <c r="C852" s="12"/>
      <c r="D852" s="12"/>
      <c r="E852" s="12"/>
      <c r="G852" s="14"/>
    </row>
    <row r="853" spans="1:7" ht="22.5" customHeight="1" x14ac:dyDescent="0.15">
      <c r="A853" s="33"/>
      <c r="B853" s="12"/>
      <c r="C853" s="12"/>
      <c r="D853" s="12"/>
      <c r="E853" s="12"/>
      <c r="G853" s="14"/>
    </row>
    <row r="854" spans="1:7" ht="22.5" customHeight="1" x14ac:dyDescent="0.15">
      <c r="A854" s="33"/>
      <c r="B854" s="12"/>
      <c r="C854" s="12"/>
      <c r="D854" s="12"/>
      <c r="E854" s="12"/>
      <c r="G854" s="14"/>
    </row>
    <row r="855" spans="1:7" ht="22.5" customHeight="1" x14ac:dyDescent="0.15">
      <c r="A855" s="33"/>
      <c r="B855" s="12"/>
      <c r="C855" s="12"/>
      <c r="D855" s="12"/>
      <c r="E855" s="12"/>
      <c r="G855" s="14"/>
    </row>
    <row r="856" spans="1:7" ht="22.5" customHeight="1" x14ac:dyDescent="0.15">
      <c r="A856" s="33"/>
      <c r="B856" s="12"/>
      <c r="C856" s="12"/>
      <c r="D856" s="12"/>
      <c r="E856" s="12"/>
      <c r="G856" s="14"/>
    </row>
    <row r="857" spans="1:7" ht="22.5" customHeight="1" x14ac:dyDescent="0.15">
      <c r="A857" s="33"/>
      <c r="B857" s="12"/>
      <c r="C857" s="12"/>
      <c r="D857" s="12"/>
      <c r="E857" s="12"/>
      <c r="G857" s="14"/>
    </row>
    <row r="858" spans="1:7" ht="22.5" customHeight="1" x14ac:dyDescent="0.15">
      <c r="A858" s="33"/>
      <c r="B858" s="12"/>
      <c r="C858" s="12"/>
      <c r="D858" s="12"/>
      <c r="E858" s="12"/>
      <c r="G858" s="14"/>
    </row>
    <row r="859" spans="1:7" ht="22.5" customHeight="1" x14ac:dyDescent="0.15">
      <c r="A859" s="33"/>
      <c r="B859" s="12"/>
      <c r="C859" s="12"/>
      <c r="D859" s="12"/>
      <c r="E859" s="12"/>
      <c r="G859" s="14"/>
    </row>
    <row r="860" spans="1:7" ht="22.5" customHeight="1" x14ac:dyDescent="0.15">
      <c r="A860" s="33"/>
      <c r="B860" s="12"/>
      <c r="C860" s="12"/>
      <c r="D860" s="12"/>
      <c r="E860" s="12"/>
      <c r="G860" s="14"/>
    </row>
    <row r="861" spans="1:7" ht="22.5" customHeight="1" x14ac:dyDescent="0.15">
      <c r="A861" s="33"/>
      <c r="B861" s="12"/>
      <c r="C861" s="12"/>
      <c r="D861" s="12"/>
      <c r="E861" s="12"/>
      <c r="G861" s="14"/>
    </row>
    <row r="862" spans="1:7" ht="22.5" customHeight="1" x14ac:dyDescent="0.15">
      <c r="A862" s="33"/>
      <c r="B862" s="12"/>
      <c r="C862" s="12"/>
      <c r="D862" s="12"/>
      <c r="E862" s="12"/>
      <c r="G862" s="14"/>
    </row>
    <row r="863" spans="1:7" ht="22.5" customHeight="1" x14ac:dyDescent="0.15">
      <c r="A863" s="33"/>
      <c r="B863" s="12"/>
      <c r="C863" s="12"/>
      <c r="D863" s="12"/>
      <c r="E863" s="12"/>
      <c r="G863" s="14"/>
    </row>
    <row r="864" spans="1:7" ht="22.5" customHeight="1" x14ac:dyDescent="0.15">
      <c r="A864" s="33"/>
      <c r="B864" s="12"/>
      <c r="C864" s="12"/>
      <c r="D864" s="12"/>
      <c r="E864" s="12"/>
      <c r="G864" s="14"/>
    </row>
    <row r="865" spans="1:7" ht="22.5" customHeight="1" x14ac:dyDescent="0.15">
      <c r="A865" s="33"/>
      <c r="B865" s="12"/>
      <c r="C865" s="12"/>
      <c r="D865" s="12"/>
      <c r="E865" s="12"/>
      <c r="G865" s="14"/>
    </row>
    <row r="866" spans="1:7" ht="22.5" customHeight="1" x14ac:dyDescent="0.15">
      <c r="A866" s="33"/>
      <c r="B866" s="12"/>
      <c r="C866" s="12"/>
      <c r="D866" s="12"/>
      <c r="E866" s="12"/>
      <c r="G866" s="14"/>
    </row>
    <row r="867" spans="1:7" ht="22.5" customHeight="1" x14ac:dyDescent="0.15">
      <c r="A867" s="33"/>
      <c r="B867" s="12"/>
      <c r="C867" s="12"/>
      <c r="D867" s="12"/>
      <c r="E867" s="12"/>
      <c r="G867" s="14"/>
    </row>
    <row r="868" spans="1:7" ht="22.5" customHeight="1" x14ac:dyDescent="0.15">
      <c r="A868" s="33"/>
      <c r="B868" s="12"/>
      <c r="C868" s="12"/>
      <c r="D868" s="12"/>
      <c r="E868" s="12"/>
      <c r="G868" s="14"/>
    </row>
    <row r="869" spans="1:7" ht="22.5" customHeight="1" x14ac:dyDescent="0.15">
      <c r="A869" s="33"/>
      <c r="B869" s="12"/>
      <c r="C869" s="12"/>
      <c r="D869" s="12"/>
      <c r="E869" s="12"/>
      <c r="G869" s="14"/>
    </row>
    <row r="870" spans="1:7" ht="22.5" customHeight="1" x14ac:dyDescent="0.15">
      <c r="A870" s="33"/>
      <c r="B870" s="12"/>
      <c r="C870" s="12"/>
      <c r="D870" s="12"/>
      <c r="E870" s="12"/>
      <c r="G870" s="14"/>
    </row>
    <row r="871" spans="1:7" ht="22.5" customHeight="1" x14ac:dyDescent="0.15">
      <c r="A871" s="33"/>
      <c r="B871" s="12"/>
      <c r="C871" s="12"/>
      <c r="D871" s="12"/>
      <c r="E871" s="12"/>
      <c r="G871" s="14"/>
    </row>
    <row r="872" spans="1:7" ht="22.5" customHeight="1" x14ac:dyDescent="0.15">
      <c r="A872" s="33"/>
      <c r="B872" s="12"/>
      <c r="C872" s="12"/>
      <c r="D872" s="12"/>
      <c r="E872" s="12"/>
      <c r="G872" s="14"/>
    </row>
    <row r="873" spans="1:7" ht="22.5" customHeight="1" x14ac:dyDescent="0.15">
      <c r="A873" s="33"/>
      <c r="B873" s="12"/>
      <c r="C873" s="12"/>
      <c r="D873" s="12"/>
      <c r="E873" s="12"/>
      <c r="G873" s="14"/>
    </row>
    <row r="874" spans="1:7" ht="22.5" customHeight="1" x14ac:dyDescent="0.15">
      <c r="A874" s="33"/>
      <c r="B874" s="12"/>
      <c r="C874" s="12"/>
      <c r="D874" s="12"/>
      <c r="E874" s="12"/>
      <c r="G874" s="14"/>
    </row>
    <row r="875" spans="1:7" ht="22.5" customHeight="1" x14ac:dyDescent="0.15">
      <c r="A875" s="33"/>
      <c r="B875" s="12"/>
      <c r="C875" s="12"/>
      <c r="D875" s="12"/>
      <c r="E875" s="12"/>
      <c r="G875" s="14"/>
    </row>
    <row r="876" spans="1:7" ht="22.5" customHeight="1" x14ac:dyDescent="0.15">
      <c r="A876" s="33"/>
      <c r="B876" s="12"/>
      <c r="C876" s="12"/>
      <c r="D876" s="12"/>
      <c r="E876" s="12"/>
      <c r="G876" s="14"/>
    </row>
    <row r="877" spans="1:7" ht="22.5" customHeight="1" x14ac:dyDescent="0.15">
      <c r="A877" s="33"/>
      <c r="B877" s="12"/>
      <c r="C877" s="12"/>
      <c r="D877" s="12"/>
      <c r="E877" s="12"/>
      <c r="G877" s="14"/>
    </row>
    <row r="878" spans="1:7" ht="22.5" customHeight="1" x14ac:dyDescent="0.15">
      <c r="A878" s="33"/>
      <c r="B878" s="12"/>
      <c r="C878" s="12"/>
      <c r="D878" s="12"/>
      <c r="E878" s="12"/>
      <c r="G878" s="14"/>
    </row>
    <row r="879" spans="1:7" ht="22.5" customHeight="1" x14ac:dyDescent="0.15">
      <c r="A879" s="33"/>
      <c r="B879" s="12"/>
      <c r="C879" s="12"/>
      <c r="D879" s="12"/>
      <c r="E879" s="12"/>
      <c r="G879" s="14"/>
    </row>
    <row r="880" spans="1:7" ht="22.5" customHeight="1" x14ac:dyDescent="0.15">
      <c r="A880" s="33"/>
      <c r="B880" s="12"/>
      <c r="C880" s="12"/>
      <c r="D880" s="12"/>
      <c r="E880" s="12"/>
      <c r="G880" s="14"/>
    </row>
    <row r="881" spans="1:7" ht="22.5" customHeight="1" x14ac:dyDescent="0.15">
      <c r="A881" s="33"/>
      <c r="B881" s="12"/>
      <c r="C881" s="12"/>
      <c r="D881" s="12"/>
      <c r="E881" s="12"/>
      <c r="G881" s="14"/>
    </row>
    <row r="882" spans="1:7" ht="22.5" customHeight="1" x14ac:dyDescent="0.15">
      <c r="A882" s="33"/>
      <c r="B882" s="12"/>
      <c r="C882" s="12"/>
      <c r="D882" s="12"/>
      <c r="E882" s="12"/>
      <c r="G882" s="14"/>
    </row>
    <row r="883" spans="1:7" ht="22.5" customHeight="1" x14ac:dyDescent="0.15">
      <c r="A883" s="33"/>
      <c r="B883" s="12"/>
      <c r="C883" s="12"/>
      <c r="D883" s="12"/>
      <c r="E883" s="12"/>
      <c r="G883" s="14"/>
    </row>
    <row r="884" spans="1:7" ht="22.5" customHeight="1" x14ac:dyDescent="0.15">
      <c r="A884" s="33"/>
      <c r="B884" s="12"/>
      <c r="C884" s="12"/>
      <c r="D884" s="12"/>
      <c r="E884" s="12"/>
      <c r="G884" s="14"/>
    </row>
    <row r="885" spans="1:7" ht="22.5" customHeight="1" x14ac:dyDescent="0.15">
      <c r="A885" s="33"/>
      <c r="B885" s="12"/>
      <c r="C885" s="12"/>
      <c r="D885" s="12"/>
      <c r="E885" s="12"/>
      <c r="G885" s="14"/>
    </row>
    <row r="886" spans="1:7" ht="22.5" customHeight="1" x14ac:dyDescent="0.15">
      <c r="A886" s="33"/>
      <c r="B886" s="12"/>
      <c r="C886" s="12"/>
      <c r="D886" s="12"/>
      <c r="E886" s="12"/>
      <c r="G886" s="14"/>
    </row>
    <row r="887" spans="1:7" ht="22.5" customHeight="1" x14ac:dyDescent="0.15">
      <c r="A887" s="33"/>
      <c r="B887" s="12"/>
      <c r="C887" s="12"/>
      <c r="D887" s="12"/>
      <c r="E887" s="12"/>
      <c r="G887" s="14"/>
    </row>
    <row r="888" spans="1:7" ht="22.5" customHeight="1" x14ac:dyDescent="0.15">
      <c r="A888" s="33"/>
      <c r="B888" s="12"/>
      <c r="C888" s="12"/>
      <c r="D888" s="12"/>
      <c r="E888" s="12"/>
      <c r="G888" s="14"/>
    </row>
    <row r="889" spans="1:7" ht="22.5" customHeight="1" x14ac:dyDescent="0.15">
      <c r="A889" s="33"/>
      <c r="B889" s="12"/>
      <c r="C889" s="12"/>
      <c r="D889" s="12"/>
      <c r="E889" s="12"/>
      <c r="G889" s="14"/>
    </row>
    <row r="890" spans="1:7" ht="22.5" customHeight="1" x14ac:dyDescent="0.15">
      <c r="A890" s="33"/>
      <c r="B890" s="12"/>
      <c r="C890" s="12"/>
      <c r="D890" s="12"/>
      <c r="E890" s="12"/>
      <c r="G890" s="14"/>
    </row>
    <row r="891" spans="1:7" ht="22.5" customHeight="1" x14ac:dyDescent="0.15">
      <c r="A891" s="33"/>
      <c r="B891" s="12"/>
      <c r="C891" s="12"/>
      <c r="D891" s="12"/>
      <c r="E891" s="12"/>
      <c r="G891" s="14"/>
    </row>
    <row r="892" spans="1:7" ht="22.5" customHeight="1" x14ac:dyDescent="0.15">
      <c r="A892" s="33"/>
      <c r="B892" s="12"/>
      <c r="C892" s="12"/>
      <c r="D892" s="12"/>
      <c r="E892" s="12"/>
      <c r="G892" s="14"/>
    </row>
    <row r="893" spans="1:7" ht="22.5" customHeight="1" x14ac:dyDescent="0.15">
      <c r="A893" s="33"/>
      <c r="B893" s="12"/>
      <c r="C893" s="12"/>
      <c r="D893" s="12"/>
      <c r="E893" s="12"/>
      <c r="G893" s="14"/>
    </row>
    <row r="894" spans="1:7" ht="22.5" customHeight="1" x14ac:dyDescent="0.15">
      <c r="A894" s="33"/>
      <c r="B894" s="12"/>
      <c r="C894" s="12"/>
      <c r="D894" s="12"/>
      <c r="E894" s="12"/>
      <c r="G894" s="14"/>
    </row>
    <row r="895" spans="1:7" ht="22.5" customHeight="1" x14ac:dyDescent="0.15">
      <c r="A895" s="33"/>
      <c r="B895" s="12"/>
      <c r="C895" s="12"/>
      <c r="D895" s="12"/>
      <c r="E895" s="12"/>
      <c r="G895" s="14"/>
    </row>
    <row r="896" spans="1:7" ht="22.5" customHeight="1" x14ac:dyDescent="0.15">
      <c r="A896" s="33"/>
      <c r="B896" s="12"/>
      <c r="C896" s="12"/>
      <c r="D896" s="12"/>
      <c r="E896" s="12"/>
      <c r="G896" s="14"/>
    </row>
    <row r="897" spans="1:7" ht="22.5" customHeight="1" x14ac:dyDescent="0.15">
      <c r="A897" s="33"/>
      <c r="B897" s="12"/>
      <c r="C897" s="12"/>
      <c r="D897" s="12"/>
      <c r="E897" s="12"/>
      <c r="G897" s="14"/>
    </row>
    <row r="898" spans="1:7" ht="22.5" customHeight="1" x14ac:dyDescent="0.15">
      <c r="A898" s="33"/>
      <c r="B898" s="12"/>
      <c r="C898" s="12"/>
      <c r="D898" s="12"/>
      <c r="E898" s="12"/>
      <c r="G898" s="14"/>
    </row>
    <row r="899" spans="1:7" ht="22.5" customHeight="1" x14ac:dyDescent="0.15">
      <c r="A899" s="33"/>
      <c r="B899" s="12"/>
      <c r="C899" s="12"/>
      <c r="D899" s="12"/>
      <c r="E899" s="12"/>
      <c r="G899" s="14"/>
    </row>
    <row r="900" spans="1:7" ht="22.5" customHeight="1" x14ac:dyDescent="0.15">
      <c r="A900" s="33"/>
      <c r="B900" s="12"/>
      <c r="C900" s="12"/>
      <c r="D900" s="12"/>
      <c r="E900" s="12"/>
      <c r="G900" s="14"/>
    </row>
    <row r="901" spans="1:7" ht="22.5" customHeight="1" x14ac:dyDescent="0.15">
      <c r="A901" s="33"/>
      <c r="B901" s="12"/>
      <c r="C901" s="12"/>
      <c r="D901" s="12"/>
      <c r="E901" s="12"/>
      <c r="G901" s="14"/>
    </row>
    <row r="902" spans="1:7" ht="22.5" customHeight="1" x14ac:dyDescent="0.15">
      <c r="A902" s="33"/>
      <c r="B902" s="12"/>
      <c r="C902" s="12"/>
      <c r="D902" s="12"/>
      <c r="E902" s="12"/>
      <c r="G902" s="14"/>
    </row>
    <row r="903" spans="1:7" ht="22.5" customHeight="1" x14ac:dyDescent="0.15">
      <c r="A903" s="33"/>
      <c r="B903" s="12"/>
      <c r="C903" s="12"/>
      <c r="D903" s="12"/>
      <c r="E903" s="12"/>
      <c r="G903" s="14"/>
    </row>
    <row r="904" spans="1:7" ht="22.5" customHeight="1" x14ac:dyDescent="0.15">
      <c r="A904" s="33"/>
      <c r="B904" s="12"/>
      <c r="C904" s="12"/>
      <c r="D904" s="12"/>
      <c r="E904" s="12"/>
      <c r="G904" s="14"/>
    </row>
    <row r="905" spans="1:7" ht="22.5" customHeight="1" x14ac:dyDescent="0.15">
      <c r="A905" s="33"/>
      <c r="B905" s="12"/>
      <c r="C905" s="12"/>
      <c r="D905" s="12"/>
      <c r="E905" s="12"/>
      <c r="G905" s="14"/>
    </row>
    <row r="906" spans="1:7" ht="22.5" customHeight="1" x14ac:dyDescent="0.15">
      <c r="A906" s="33"/>
      <c r="B906" s="12"/>
      <c r="C906" s="12"/>
      <c r="D906" s="12"/>
      <c r="E906" s="12"/>
      <c r="G906" s="14"/>
    </row>
    <row r="907" spans="1:7" ht="22.5" customHeight="1" x14ac:dyDescent="0.15">
      <c r="A907" s="33"/>
      <c r="B907" s="12"/>
      <c r="C907" s="12"/>
      <c r="D907" s="12"/>
      <c r="E907" s="12"/>
      <c r="G907" s="14"/>
    </row>
    <row r="908" spans="1:7" ht="22.5" customHeight="1" x14ac:dyDescent="0.15">
      <c r="A908" s="33"/>
      <c r="B908" s="12"/>
      <c r="C908" s="12"/>
      <c r="D908" s="12"/>
      <c r="E908" s="12"/>
      <c r="G908" s="14"/>
    </row>
    <row r="909" spans="1:7" ht="22.5" customHeight="1" x14ac:dyDescent="0.15">
      <c r="A909" s="33"/>
      <c r="B909" s="12"/>
      <c r="C909" s="12"/>
      <c r="D909" s="12"/>
      <c r="E909" s="12"/>
      <c r="G909" s="14"/>
    </row>
    <row r="910" spans="1:7" ht="22.5" customHeight="1" x14ac:dyDescent="0.15">
      <c r="A910" s="33"/>
      <c r="B910" s="12"/>
      <c r="C910" s="12"/>
      <c r="D910" s="12"/>
      <c r="E910" s="12"/>
      <c r="G910" s="14"/>
    </row>
    <row r="911" spans="1:7" ht="22.5" customHeight="1" x14ac:dyDescent="0.15">
      <c r="A911" s="33"/>
      <c r="B911" s="12"/>
      <c r="C911" s="12"/>
      <c r="D911" s="12"/>
      <c r="E911" s="12"/>
      <c r="G911" s="14"/>
    </row>
    <row r="912" spans="1:7" ht="22.5" customHeight="1" x14ac:dyDescent="0.15">
      <c r="A912" s="33"/>
      <c r="B912" s="12"/>
      <c r="C912" s="12"/>
      <c r="D912" s="12"/>
      <c r="E912" s="12"/>
      <c r="G912" s="14"/>
    </row>
    <row r="913" spans="1:7" ht="22.5" customHeight="1" x14ac:dyDescent="0.15">
      <c r="A913" s="33"/>
      <c r="B913" s="12"/>
      <c r="C913" s="12"/>
      <c r="D913" s="12"/>
      <c r="E913" s="12"/>
      <c r="G913" s="14"/>
    </row>
    <row r="914" spans="1:7" ht="22.5" customHeight="1" x14ac:dyDescent="0.15">
      <c r="A914" s="33"/>
      <c r="B914" s="12"/>
      <c r="C914" s="12"/>
      <c r="D914" s="12"/>
      <c r="E914" s="12"/>
      <c r="G914" s="14"/>
    </row>
    <row r="915" spans="1:7" ht="22.5" customHeight="1" x14ac:dyDescent="0.15">
      <c r="A915" s="33"/>
      <c r="B915" s="12"/>
      <c r="C915" s="12"/>
      <c r="D915" s="12"/>
      <c r="E915" s="12"/>
      <c r="G915" s="14"/>
    </row>
    <row r="916" spans="1:7" ht="22.5" customHeight="1" x14ac:dyDescent="0.15">
      <c r="A916" s="33"/>
      <c r="B916" s="12"/>
      <c r="C916" s="12"/>
      <c r="D916" s="12"/>
      <c r="E916" s="12"/>
      <c r="G916" s="14"/>
    </row>
    <row r="917" spans="1:7" ht="22.5" customHeight="1" x14ac:dyDescent="0.15">
      <c r="A917" s="33"/>
      <c r="B917" s="12"/>
      <c r="C917" s="12"/>
      <c r="D917" s="12"/>
      <c r="E917" s="12"/>
      <c r="G917" s="14"/>
    </row>
    <row r="918" spans="1:7" ht="22.5" customHeight="1" x14ac:dyDescent="0.15">
      <c r="A918" s="33"/>
      <c r="B918" s="12"/>
      <c r="C918" s="12"/>
      <c r="D918" s="12"/>
      <c r="E918" s="12"/>
      <c r="G918" s="14"/>
    </row>
    <row r="919" spans="1:7" ht="22.5" customHeight="1" x14ac:dyDescent="0.15">
      <c r="A919" s="33"/>
      <c r="B919" s="12"/>
      <c r="C919" s="12"/>
      <c r="D919" s="12"/>
      <c r="E919" s="12"/>
      <c r="G919" s="14"/>
    </row>
    <row r="920" spans="1:7" ht="22.5" customHeight="1" x14ac:dyDescent="0.15">
      <c r="A920" s="33"/>
      <c r="B920" s="12"/>
      <c r="C920" s="12"/>
      <c r="D920" s="12"/>
      <c r="E920" s="12"/>
      <c r="G920" s="14"/>
    </row>
    <row r="921" spans="1:7" ht="22.5" customHeight="1" x14ac:dyDescent="0.15">
      <c r="A921" s="33"/>
      <c r="B921" s="12"/>
      <c r="C921" s="12"/>
      <c r="D921" s="12"/>
      <c r="E921" s="12"/>
      <c r="G921" s="14"/>
    </row>
    <row r="922" spans="1:7" ht="22.5" customHeight="1" x14ac:dyDescent="0.15">
      <c r="A922" s="33"/>
      <c r="B922" s="12"/>
      <c r="C922" s="12"/>
      <c r="D922" s="12"/>
      <c r="E922" s="12"/>
      <c r="G922" s="14"/>
    </row>
    <row r="923" spans="1:7" ht="22.5" customHeight="1" x14ac:dyDescent="0.15">
      <c r="A923" s="33"/>
      <c r="B923" s="12"/>
      <c r="C923" s="12"/>
      <c r="D923" s="12"/>
      <c r="E923" s="12"/>
      <c r="G923" s="14"/>
    </row>
    <row r="924" spans="1:7" ht="22.5" customHeight="1" x14ac:dyDescent="0.15">
      <c r="A924" s="33"/>
      <c r="B924" s="12"/>
      <c r="C924" s="12"/>
      <c r="D924" s="12"/>
      <c r="E924" s="12"/>
      <c r="G924" s="14"/>
    </row>
    <row r="925" spans="1:7" ht="22.5" customHeight="1" x14ac:dyDescent="0.15">
      <c r="A925" s="33"/>
      <c r="B925" s="12"/>
      <c r="C925" s="12"/>
      <c r="D925" s="12"/>
      <c r="E925" s="12"/>
      <c r="G925" s="14"/>
    </row>
    <row r="926" spans="1:7" ht="22.5" customHeight="1" x14ac:dyDescent="0.15">
      <c r="A926" s="33"/>
      <c r="B926" s="12"/>
      <c r="C926" s="12"/>
      <c r="D926" s="12"/>
      <c r="E926" s="12"/>
      <c r="G926" s="14"/>
    </row>
    <row r="927" spans="1:7" ht="22.5" customHeight="1" x14ac:dyDescent="0.15">
      <c r="A927" s="33"/>
      <c r="B927" s="12"/>
      <c r="C927" s="12"/>
      <c r="D927" s="12"/>
      <c r="E927" s="12"/>
      <c r="G927" s="14"/>
    </row>
    <row r="928" spans="1:7" ht="22.5" customHeight="1" x14ac:dyDescent="0.15">
      <c r="A928" s="33"/>
      <c r="B928" s="12"/>
      <c r="C928" s="12"/>
      <c r="D928" s="12"/>
      <c r="E928" s="12"/>
      <c r="G928" s="14"/>
    </row>
    <row r="929" spans="1:7" ht="22.5" customHeight="1" x14ac:dyDescent="0.15">
      <c r="A929" s="33"/>
      <c r="B929" s="12"/>
      <c r="C929" s="12"/>
      <c r="D929" s="12"/>
      <c r="E929" s="12"/>
      <c r="G929" s="14"/>
    </row>
    <row r="930" spans="1:7" ht="22.5" customHeight="1" x14ac:dyDescent="0.15">
      <c r="A930" s="33"/>
      <c r="B930" s="12"/>
      <c r="C930" s="12"/>
      <c r="D930" s="12"/>
      <c r="E930" s="12"/>
      <c r="G930" s="14"/>
    </row>
    <row r="931" spans="1:7" ht="22.5" customHeight="1" x14ac:dyDescent="0.15">
      <c r="A931" s="33"/>
      <c r="B931" s="12"/>
      <c r="C931" s="12"/>
      <c r="D931" s="12"/>
      <c r="E931" s="12"/>
      <c r="G931" s="14"/>
    </row>
    <row r="932" spans="1:7" ht="22.5" customHeight="1" x14ac:dyDescent="0.15">
      <c r="A932" s="33"/>
      <c r="B932" s="12"/>
      <c r="C932" s="12"/>
      <c r="D932" s="12"/>
      <c r="E932" s="12"/>
      <c r="G932" s="14"/>
    </row>
    <row r="933" spans="1:7" ht="22.5" customHeight="1" x14ac:dyDescent="0.15">
      <c r="A933" s="33"/>
      <c r="B933" s="12"/>
      <c r="C933" s="12"/>
      <c r="D933" s="12"/>
      <c r="E933" s="12"/>
      <c r="G933" s="14"/>
    </row>
    <row r="934" spans="1:7" ht="22.5" customHeight="1" x14ac:dyDescent="0.15">
      <c r="A934" s="33"/>
      <c r="B934" s="12"/>
      <c r="C934" s="12"/>
      <c r="D934" s="12"/>
      <c r="E934" s="12"/>
      <c r="G934" s="14"/>
    </row>
    <row r="935" spans="1:7" ht="22.5" customHeight="1" x14ac:dyDescent="0.15">
      <c r="A935" s="33"/>
      <c r="B935" s="12"/>
      <c r="C935" s="12"/>
      <c r="D935" s="12"/>
      <c r="E935" s="12"/>
      <c r="G935" s="14"/>
    </row>
    <row r="936" spans="1:7" ht="22.5" customHeight="1" x14ac:dyDescent="0.15">
      <c r="A936" s="33"/>
      <c r="B936" s="12"/>
      <c r="C936" s="12"/>
      <c r="D936" s="12"/>
      <c r="E936" s="12"/>
      <c r="G936" s="14"/>
    </row>
    <row r="937" spans="1:7" ht="22.5" customHeight="1" x14ac:dyDescent="0.15">
      <c r="A937" s="33"/>
      <c r="B937" s="12"/>
      <c r="C937" s="12"/>
      <c r="D937" s="12"/>
      <c r="E937" s="12"/>
      <c r="G937" s="14"/>
    </row>
    <row r="938" spans="1:7" ht="22.5" customHeight="1" x14ac:dyDescent="0.15">
      <c r="A938" s="33"/>
      <c r="B938" s="12"/>
      <c r="C938" s="12"/>
      <c r="D938" s="12"/>
      <c r="E938" s="12"/>
      <c r="G938" s="14"/>
    </row>
    <row r="939" spans="1:7" ht="22.5" customHeight="1" x14ac:dyDescent="0.15">
      <c r="A939" s="33"/>
      <c r="B939" s="12"/>
      <c r="C939" s="12"/>
      <c r="D939" s="12"/>
      <c r="E939" s="12"/>
      <c r="G939" s="14"/>
    </row>
    <row r="940" spans="1:7" ht="22.5" customHeight="1" x14ac:dyDescent="0.15">
      <c r="A940" s="33"/>
      <c r="B940" s="12"/>
      <c r="C940" s="12"/>
      <c r="D940" s="12"/>
      <c r="E940" s="12"/>
      <c r="G940" s="14"/>
    </row>
    <row r="941" spans="1:7" ht="22.5" customHeight="1" x14ac:dyDescent="0.15">
      <c r="A941" s="33"/>
      <c r="B941" s="12"/>
      <c r="C941" s="12"/>
      <c r="D941" s="12"/>
      <c r="E941" s="12"/>
      <c r="G941" s="14"/>
    </row>
    <row r="942" spans="1:7" ht="22.5" customHeight="1" x14ac:dyDescent="0.15">
      <c r="A942" s="33"/>
      <c r="B942" s="12"/>
      <c r="C942" s="12"/>
      <c r="D942" s="12"/>
      <c r="E942" s="12"/>
      <c r="G942" s="14"/>
    </row>
    <row r="943" spans="1:7" ht="22.5" customHeight="1" x14ac:dyDescent="0.15">
      <c r="A943" s="33"/>
      <c r="B943" s="12"/>
      <c r="C943" s="12"/>
      <c r="D943" s="12"/>
      <c r="E943" s="12"/>
      <c r="G943" s="14"/>
    </row>
    <row r="944" spans="1:7" ht="22.5" customHeight="1" x14ac:dyDescent="0.15">
      <c r="A944" s="33"/>
      <c r="B944" s="12"/>
      <c r="C944" s="12"/>
      <c r="D944" s="12"/>
      <c r="E944" s="12"/>
      <c r="G944" s="14"/>
    </row>
    <row r="945" spans="1:7" ht="22.5" customHeight="1" x14ac:dyDescent="0.15">
      <c r="A945" s="33"/>
      <c r="B945" s="12"/>
      <c r="C945" s="12"/>
      <c r="D945" s="12"/>
      <c r="E945" s="12"/>
      <c r="G945" s="14"/>
    </row>
    <row r="946" spans="1:7" ht="22.5" customHeight="1" x14ac:dyDescent="0.15">
      <c r="A946" s="33"/>
      <c r="B946" s="12"/>
      <c r="C946" s="12"/>
      <c r="D946" s="12"/>
      <c r="E946" s="12"/>
      <c r="G946" s="14"/>
    </row>
    <row r="947" spans="1:7" ht="22.5" customHeight="1" x14ac:dyDescent="0.15">
      <c r="A947" s="33"/>
      <c r="B947" s="12"/>
      <c r="C947" s="12"/>
      <c r="D947" s="12"/>
      <c r="E947" s="12"/>
      <c r="G947" s="14"/>
    </row>
    <row r="948" spans="1:7" ht="22.5" customHeight="1" x14ac:dyDescent="0.15">
      <c r="A948" s="33"/>
      <c r="B948" s="12"/>
      <c r="C948" s="12"/>
      <c r="D948" s="12"/>
      <c r="E948" s="12"/>
      <c r="G948" s="14"/>
    </row>
    <row r="949" spans="1:7" ht="22.5" customHeight="1" x14ac:dyDescent="0.15">
      <c r="A949" s="33"/>
      <c r="B949" s="12"/>
      <c r="C949" s="12"/>
      <c r="D949" s="12"/>
      <c r="E949" s="12"/>
      <c r="G949" s="14"/>
    </row>
    <row r="950" spans="1:7" ht="22.5" customHeight="1" x14ac:dyDescent="0.15">
      <c r="A950" s="33"/>
      <c r="B950" s="12"/>
      <c r="C950" s="12"/>
      <c r="D950" s="12"/>
      <c r="E950" s="12"/>
      <c r="G950" s="14"/>
    </row>
    <row r="951" spans="1:7" ht="22.5" customHeight="1" x14ac:dyDescent="0.15">
      <c r="A951" s="33"/>
      <c r="B951" s="12"/>
      <c r="C951" s="12"/>
      <c r="D951" s="12"/>
      <c r="E951" s="12"/>
      <c r="G951" s="14"/>
    </row>
    <row r="952" spans="1:7" ht="22.5" customHeight="1" x14ac:dyDescent="0.15">
      <c r="A952" s="33"/>
      <c r="B952" s="12"/>
      <c r="C952" s="12"/>
      <c r="D952" s="12"/>
      <c r="E952" s="12"/>
      <c r="G952" s="14"/>
    </row>
    <row r="953" spans="1:7" ht="22.5" customHeight="1" x14ac:dyDescent="0.15">
      <c r="A953" s="33"/>
      <c r="B953" s="12"/>
      <c r="C953" s="12"/>
      <c r="D953" s="12"/>
      <c r="E953" s="12"/>
      <c r="G953" s="14"/>
    </row>
    <row r="954" spans="1:7" ht="22.5" customHeight="1" x14ac:dyDescent="0.15">
      <c r="A954" s="33"/>
      <c r="B954" s="12"/>
      <c r="C954" s="12"/>
      <c r="D954" s="12"/>
      <c r="E954" s="12"/>
      <c r="G954" s="14"/>
    </row>
    <row r="955" spans="1:7" ht="22.5" customHeight="1" x14ac:dyDescent="0.15">
      <c r="A955" s="33"/>
      <c r="B955" s="12"/>
      <c r="C955" s="12"/>
      <c r="D955" s="12"/>
      <c r="E955" s="12"/>
      <c r="G955" s="14"/>
    </row>
    <row r="956" spans="1:7" ht="22.5" customHeight="1" x14ac:dyDescent="0.15">
      <c r="A956" s="33"/>
      <c r="B956" s="12"/>
      <c r="C956" s="12"/>
      <c r="D956" s="12"/>
      <c r="E956" s="12"/>
      <c r="G956" s="14"/>
    </row>
    <row r="957" spans="1:7" ht="22.5" customHeight="1" x14ac:dyDescent="0.15">
      <c r="A957" s="33"/>
      <c r="B957" s="12"/>
      <c r="C957" s="12"/>
      <c r="D957" s="12"/>
      <c r="E957" s="12"/>
      <c r="G957" s="14"/>
    </row>
    <row r="958" spans="1:7" ht="22.5" customHeight="1" x14ac:dyDescent="0.15">
      <c r="A958" s="33"/>
      <c r="B958" s="12"/>
      <c r="C958" s="12"/>
      <c r="D958" s="12"/>
      <c r="E958" s="12"/>
      <c r="G958" s="14"/>
    </row>
    <row r="959" spans="1:7" ht="22.5" customHeight="1" x14ac:dyDescent="0.15">
      <c r="A959" s="33"/>
      <c r="B959" s="12"/>
      <c r="C959" s="12"/>
      <c r="D959" s="12"/>
      <c r="E959" s="12"/>
      <c r="G959" s="14"/>
    </row>
    <row r="960" spans="1:7" ht="22.5" customHeight="1" x14ac:dyDescent="0.15">
      <c r="A960" s="33"/>
      <c r="B960" s="12"/>
      <c r="C960" s="12"/>
      <c r="D960" s="12"/>
      <c r="E960" s="12"/>
      <c r="G960" s="14"/>
    </row>
    <row r="961" spans="1:7" ht="22.5" customHeight="1" x14ac:dyDescent="0.15">
      <c r="A961" s="33"/>
      <c r="B961" s="12"/>
      <c r="C961" s="12"/>
      <c r="D961" s="12"/>
      <c r="E961" s="12"/>
      <c r="G961" s="14"/>
    </row>
    <row r="962" spans="1:7" ht="22.5" customHeight="1" x14ac:dyDescent="0.15">
      <c r="A962" s="33"/>
      <c r="B962" s="12"/>
      <c r="C962" s="12"/>
      <c r="D962" s="12"/>
      <c r="E962" s="12"/>
      <c r="G962" s="14"/>
    </row>
    <row r="963" spans="1:7" ht="22.5" customHeight="1" x14ac:dyDescent="0.15">
      <c r="A963" s="33"/>
      <c r="B963" s="12"/>
      <c r="C963" s="12"/>
      <c r="D963" s="12"/>
      <c r="E963" s="12"/>
      <c r="G963" s="14"/>
    </row>
    <row r="964" spans="1:7" ht="22.5" customHeight="1" x14ac:dyDescent="0.15">
      <c r="A964" s="33"/>
      <c r="B964" s="12"/>
      <c r="C964" s="12"/>
      <c r="D964" s="12"/>
      <c r="E964" s="12"/>
      <c r="G964" s="14"/>
    </row>
    <row r="965" spans="1:7" ht="22.5" customHeight="1" x14ac:dyDescent="0.15">
      <c r="A965" s="33"/>
      <c r="B965" s="12"/>
      <c r="C965" s="12"/>
      <c r="D965" s="12"/>
      <c r="E965" s="12"/>
      <c r="G965" s="14"/>
    </row>
    <row r="966" spans="1:7" ht="22.5" customHeight="1" x14ac:dyDescent="0.15">
      <c r="A966" s="33"/>
      <c r="B966" s="12"/>
      <c r="C966" s="12"/>
      <c r="D966" s="12"/>
      <c r="E966" s="12"/>
      <c r="G966" s="14"/>
    </row>
    <row r="967" spans="1:7" ht="22.5" customHeight="1" x14ac:dyDescent="0.15">
      <c r="A967" s="33"/>
      <c r="B967" s="12"/>
      <c r="C967" s="12"/>
      <c r="D967" s="12"/>
      <c r="E967" s="12"/>
      <c r="G967" s="14"/>
    </row>
    <row r="968" spans="1:7" ht="22.5" customHeight="1" x14ac:dyDescent="0.15">
      <c r="A968" s="33"/>
      <c r="B968" s="12"/>
      <c r="C968" s="12"/>
      <c r="D968" s="12"/>
      <c r="E968" s="12"/>
      <c r="G968" s="14"/>
    </row>
    <row r="969" spans="1:7" ht="22.5" customHeight="1" x14ac:dyDescent="0.15">
      <c r="A969" s="33"/>
      <c r="B969" s="12"/>
      <c r="C969" s="12"/>
      <c r="D969" s="12"/>
      <c r="E969" s="12"/>
      <c r="G969" s="14"/>
    </row>
    <row r="970" spans="1:7" ht="22.5" customHeight="1" x14ac:dyDescent="0.15">
      <c r="A970" s="33"/>
      <c r="B970" s="12"/>
      <c r="C970" s="12"/>
      <c r="D970" s="12"/>
      <c r="E970" s="12"/>
      <c r="G970" s="14"/>
    </row>
    <row r="971" spans="1:7" ht="22.5" customHeight="1" x14ac:dyDescent="0.15">
      <c r="A971" s="33"/>
      <c r="B971" s="12"/>
      <c r="C971" s="12"/>
      <c r="D971" s="12"/>
      <c r="E971" s="12"/>
      <c r="G971" s="14"/>
    </row>
    <row r="972" spans="1:7" ht="22.5" customHeight="1" x14ac:dyDescent="0.15">
      <c r="A972" s="33"/>
      <c r="B972" s="12"/>
      <c r="C972" s="12"/>
      <c r="D972" s="12"/>
      <c r="E972" s="12"/>
      <c r="G972" s="14"/>
    </row>
    <row r="973" spans="1:7" ht="22.5" customHeight="1" x14ac:dyDescent="0.15">
      <c r="A973" s="33"/>
      <c r="B973" s="12"/>
      <c r="C973" s="12"/>
      <c r="D973" s="12"/>
      <c r="E973" s="12"/>
      <c r="G973" s="14"/>
    </row>
    <row r="974" spans="1:7" ht="22.5" customHeight="1" x14ac:dyDescent="0.15">
      <c r="A974" s="33"/>
      <c r="B974" s="12"/>
      <c r="C974" s="12"/>
      <c r="D974" s="12"/>
      <c r="E974" s="12"/>
      <c r="G974" s="14"/>
    </row>
    <row r="975" spans="1:7" ht="22.5" customHeight="1" x14ac:dyDescent="0.15">
      <c r="A975" s="33"/>
      <c r="B975" s="12"/>
      <c r="C975" s="12"/>
      <c r="D975" s="12"/>
      <c r="E975" s="12"/>
      <c r="G975" s="14"/>
    </row>
    <row r="976" spans="1:7" ht="22.5" customHeight="1" x14ac:dyDescent="0.15">
      <c r="A976" s="33"/>
      <c r="B976" s="12"/>
      <c r="C976" s="12"/>
      <c r="D976" s="12"/>
      <c r="E976" s="12"/>
      <c r="G976" s="14"/>
    </row>
    <row r="977" spans="1:7" ht="22.5" customHeight="1" x14ac:dyDescent="0.15">
      <c r="A977" s="33"/>
      <c r="B977" s="12"/>
      <c r="C977" s="12"/>
      <c r="D977" s="12"/>
      <c r="E977" s="12"/>
      <c r="G977" s="14"/>
    </row>
    <row r="978" spans="1:7" ht="22.5" customHeight="1" x14ac:dyDescent="0.15">
      <c r="A978" s="33"/>
      <c r="B978" s="12"/>
      <c r="C978" s="12"/>
      <c r="D978" s="12"/>
      <c r="E978" s="12"/>
      <c r="G978" s="14"/>
    </row>
    <row r="979" spans="1:7" ht="22.5" customHeight="1" x14ac:dyDescent="0.15">
      <c r="A979" s="33"/>
      <c r="B979" s="12"/>
      <c r="C979" s="12"/>
      <c r="D979" s="12"/>
      <c r="E979" s="12"/>
      <c r="G979" s="14"/>
    </row>
    <row r="980" spans="1:7" ht="22.5" customHeight="1" x14ac:dyDescent="0.15">
      <c r="A980" s="33"/>
      <c r="B980" s="12"/>
      <c r="C980" s="12"/>
      <c r="D980" s="12"/>
      <c r="E980" s="12"/>
      <c r="G980" s="14"/>
    </row>
    <row r="981" spans="1:7" ht="22.5" customHeight="1" x14ac:dyDescent="0.15">
      <c r="A981" s="33"/>
      <c r="B981" s="12"/>
      <c r="C981" s="12"/>
      <c r="D981" s="12"/>
      <c r="E981" s="12"/>
      <c r="G981" s="14"/>
    </row>
    <row r="982" spans="1:7" ht="22.5" customHeight="1" x14ac:dyDescent="0.15">
      <c r="A982" s="33"/>
      <c r="B982" s="12"/>
      <c r="C982" s="12"/>
      <c r="D982" s="12"/>
      <c r="E982" s="12"/>
      <c r="G982" s="14"/>
    </row>
    <row r="983" spans="1:7" ht="22.5" customHeight="1" x14ac:dyDescent="0.15">
      <c r="A983" s="33"/>
      <c r="B983" s="12"/>
      <c r="C983" s="12"/>
      <c r="D983" s="12"/>
      <c r="E983" s="12"/>
      <c r="G983" s="14"/>
    </row>
    <row r="984" spans="1:7" ht="22.5" customHeight="1" x14ac:dyDescent="0.15">
      <c r="A984" s="33"/>
      <c r="B984" s="12"/>
      <c r="C984" s="12"/>
      <c r="D984" s="12"/>
      <c r="E984" s="12"/>
      <c r="G984" s="14"/>
    </row>
    <row r="985" spans="1:7" ht="22.5" customHeight="1" x14ac:dyDescent="0.15">
      <c r="A985" s="33"/>
      <c r="B985" s="12"/>
      <c r="C985" s="12"/>
      <c r="D985" s="12"/>
      <c r="E985" s="12"/>
      <c r="G985" s="14"/>
    </row>
    <row r="986" spans="1:7" ht="22.5" customHeight="1" x14ac:dyDescent="0.15">
      <c r="A986" s="33"/>
      <c r="B986" s="12"/>
      <c r="C986" s="12"/>
      <c r="D986" s="12"/>
      <c r="E986" s="12"/>
      <c r="G986" s="14"/>
    </row>
    <row r="987" spans="1:7" ht="22.5" customHeight="1" x14ac:dyDescent="0.15">
      <c r="A987" s="33"/>
      <c r="B987" s="12"/>
      <c r="C987" s="12"/>
      <c r="D987" s="12"/>
      <c r="E987" s="12"/>
      <c r="G987" s="14"/>
    </row>
    <row r="988" spans="1:7" ht="22.5" customHeight="1" x14ac:dyDescent="0.15">
      <c r="A988" s="33"/>
      <c r="B988" s="12"/>
      <c r="C988" s="12"/>
      <c r="D988" s="12"/>
      <c r="E988" s="12"/>
      <c r="G988" s="14"/>
    </row>
    <row r="989" spans="1:7" ht="22.5" customHeight="1" x14ac:dyDescent="0.15">
      <c r="A989" s="33"/>
      <c r="B989" s="12"/>
      <c r="C989" s="12"/>
      <c r="D989" s="12"/>
      <c r="E989" s="12"/>
      <c r="G989" s="14"/>
    </row>
    <row r="990" spans="1:7" ht="22.5" customHeight="1" x14ac:dyDescent="0.15">
      <c r="A990" s="33"/>
      <c r="B990" s="12"/>
      <c r="C990" s="12"/>
      <c r="D990" s="12"/>
      <c r="E990" s="12"/>
      <c r="G990" s="14"/>
    </row>
    <row r="991" spans="1:7" ht="22.5" customHeight="1" x14ac:dyDescent="0.15">
      <c r="A991" s="33"/>
      <c r="B991" s="12"/>
      <c r="C991" s="12"/>
      <c r="D991" s="12"/>
      <c r="E991" s="12"/>
      <c r="G991" s="14"/>
    </row>
    <row r="992" spans="1:7" ht="22.5" customHeight="1" x14ac:dyDescent="0.15">
      <c r="A992" s="33"/>
      <c r="B992" s="12"/>
      <c r="C992" s="12"/>
      <c r="D992" s="12"/>
      <c r="E992" s="12"/>
      <c r="G992" s="14"/>
    </row>
    <row r="993" spans="1:7" ht="22.5" customHeight="1" x14ac:dyDescent="0.15">
      <c r="A993" s="33"/>
      <c r="B993" s="12"/>
      <c r="C993" s="12"/>
      <c r="D993" s="12"/>
      <c r="E993" s="12"/>
      <c r="G993" s="14"/>
    </row>
    <row r="994" spans="1:7" ht="22.5" customHeight="1" x14ac:dyDescent="0.15">
      <c r="A994" s="33"/>
      <c r="B994" s="12"/>
      <c r="C994" s="12"/>
      <c r="D994" s="12"/>
      <c r="E994" s="12"/>
      <c r="G994" s="14"/>
    </row>
    <row r="995" spans="1:7" ht="22.5" customHeight="1" x14ac:dyDescent="0.15">
      <c r="A995" s="33"/>
      <c r="B995" s="12"/>
      <c r="C995" s="12"/>
      <c r="D995" s="12"/>
      <c r="E995" s="12"/>
      <c r="G995" s="14"/>
    </row>
    <row r="996" spans="1:7" ht="22.5" customHeight="1" x14ac:dyDescent="0.15">
      <c r="A996" s="33"/>
      <c r="B996" s="12"/>
      <c r="C996" s="12"/>
      <c r="D996" s="12"/>
      <c r="E996" s="12"/>
      <c r="G996" s="14"/>
    </row>
    <row r="997" spans="1:7" ht="22.5" customHeight="1" x14ac:dyDescent="0.15">
      <c r="A997" s="33"/>
      <c r="B997" s="12"/>
      <c r="C997" s="12"/>
      <c r="D997" s="12"/>
      <c r="E997" s="12"/>
      <c r="G997" s="14"/>
    </row>
    <row r="998" spans="1:7" ht="22.5" customHeight="1" x14ac:dyDescent="0.15">
      <c r="A998" s="33"/>
      <c r="B998" s="12"/>
      <c r="C998" s="12"/>
      <c r="D998" s="12"/>
      <c r="E998" s="12"/>
      <c r="G998" s="14"/>
    </row>
    <row r="999" spans="1:7" ht="22.5" customHeight="1" x14ac:dyDescent="0.15">
      <c r="A999" s="33"/>
      <c r="B999" s="12"/>
      <c r="C999" s="12"/>
      <c r="D999" s="12"/>
      <c r="E999" s="12"/>
      <c r="G999" s="14"/>
    </row>
    <row r="1000" spans="1:7" ht="22.5" customHeight="1" x14ac:dyDescent="0.15">
      <c r="A1000" s="33"/>
      <c r="B1000" s="12"/>
      <c r="C1000" s="12"/>
      <c r="D1000" s="12"/>
      <c r="E1000" s="12"/>
      <c r="G1000" s="14"/>
    </row>
    <row r="1001" spans="1:7" ht="22.5" customHeight="1" x14ac:dyDescent="0.15">
      <c r="A1001" s="33"/>
      <c r="B1001" s="12"/>
      <c r="C1001" s="12"/>
      <c r="D1001" s="12"/>
      <c r="E1001" s="12"/>
      <c r="G1001" s="14"/>
    </row>
    <row r="1002" spans="1:7" ht="22.5" customHeight="1" x14ac:dyDescent="0.15">
      <c r="A1002" s="33"/>
      <c r="B1002" s="12"/>
      <c r="C1002" s="12"/>
      <c r="D1002" s="12"/>
      <c r="E1002" s="12"/>
      <c r="G1002" s="14"/>
    </row>
    <row r="1003" spans="1:7" ht="22.5" customHeight="1" x14ac:dyDescent="0.15">
      <c r="A1003" s="33"/>
      <c r="B1003" s="12"/>
      <c r="C1003" s="12"/>
      <c r="D1003" s="12"/>
      <c r="E1003" s="12"/>
      <c r="G1003" s="14"/>
    </row>
    <row r="1004" spans="1:7" ht="22.5" customHeight="1" x14ac:dyDescent="0.15">
      <c r="A1004" s="33"/>
      <c r="B1004" s="12"/>
      <c r="C1004" s="12"/>
      <c r="D1004" s="12"/>
      <c r="E1004" s="12"/>
      <c r="G1004" s="14"/>
    </row>
    <row r="1005" spans="1:7" ht="22.5" customHeight="1" x14ac:dyDescent="0.15">
      <c r="A1005" s="33"/>
      <c r="B1005" s="12"/>
      <c r="C1005" s="12"/>
      <c r="D1005" s="12"/>
      <c r="E1005" s="12"/>
      <c r="G1005" s="14"/>
    </row>
    <row r="1006" spans="1:7" ht="22.5" customHeight="1" x14ac:dyDescent="0.15">
      <c r="A1006" s="33"/>
      <c r="B1006" s="12"/>
      <c r="C1006" s="12"/>
      <c r="D1006" s="12"/>
      <c r="E1006" s="12"/>
      <c r="G1006" s="14"/>
    </row>
    <row r="1007" spans="1:7" ht="22.5" customHeight="1" x14ac:dyDescent="0.15">
      <c r="A1007" s="33"/>
      <c r="B1007" s="12"/>
      <c r="C1007" s="12"/>
      <c r="D1007" s="12"/>
      <c r="E1007" s="12"/>
      <c r="G1007" s="14"/>
    </row>
    <row r="1008" spans="1:7" ht="22.5" customHeight="1" x14ac:dyDescent="0.15">
      <c r="A1008" s="33"/>
      <c r="B1008" s="12"/>
      <c r="C1008" s="12"/>
      <c r="D1008" s="12"/>
      <c r="E1008" s="12"/>
      <c r="G1008" s="14"/>
    </row>
    <row r="1009" spans="1:7" ht="22.5" customHeight="1" x14ac:dyDescent="0.15">
      <c r="A1009" s="33"/>
      <c r="B1009" s="12"/>
      <c r="C1009" s="12"/>
      <c r="D1009" s="12"/>
      <c r="E1009" s="12"/>
      <c r="G1009" s="14"/>
    </row>
    <row r="1010" spans="1:7" ht="22.5" customHeight="1" x14ac:dyDescent="0.15">
      <c r="A1010" s="33"/>
      <c r="B1010" s="12"/>
      <c r="C1010" s="12"/>
      <c r="D1010" s="12"/>
      <c r="E1010" s="12"/>
      <c r="G1010" s="14"/>
    </row>
    <row r="1011" spans="1:7" ht="22.5" customHeight="1" x14ac:dyDescent="0.15">
      <c r="A1011" s="33"/>
      <c r="B1011" s="12"/>
      <c r="C1011" s="12"/>
      <c r="D1011" s="12"/>
      <c r="E1011" s="12"/>
      <c r="G1011" s="14"/>
    </row>
    <row r="1012" spans="1:7" ht="22.5" customHeight="1" x14ac:dyDescent="0.15">
      <c r="A1012" s="33"/>
      <c r="B1012" s="12"/>
      <c r="C1012" s="12"/>
      <c r="D1012" s="12"/>
      <c r="E1012" s="12"/>
      <c r="G1012" s="14"/>
    </row>
    <row r="1013" spans="1:7" ht="22.5" customHeight="1" x14ac:dyDescent="0.15">
      <c r="A1013" s="33"/>
      <c r="B1013" s="12"/>
      <c r="C1013" s="12"/>
      <c r="D1013" s="12"/>
      <c r="E1013" s="12"/>
      <c r="G1013" s="14"/>
    </row>
    <row r="1014" spans="1:7" ht="22.5" customHeight="1" x14ac:dyDescent="0.15">
      <c r="A1014" s="33"/>
      <c r="B1014" s="12"/>
      <c r="C1014" s="12"/>
      <c r="D1014" s="12"/>
      <c r="E1014" s="12"/>
      <c r="G1014" s="14"/>
    </row>
    <row r="1015" spans="1:7" ht="22.5" customHeight="1" x14ac:dyDescent="0.15">
      <c r="A1015" s="33"/>
      <c r="B1015" s="12"/>
      <c r="C1015" s="12"/>
      <c r="D1015" s="12"/>
      <c r="E1015" s="12"/>
      <c r="G1015" s="14"/>
    </row>
    <row r="1016" spans="1:7" ht="22.5" customHeight="1" x14ac:dyDescent="0.15">
      <c r="A1016" s="33"/>
      <c r="B1016" s="12"/>
      <c r="C1016" s="12"/>
      <c r="D1016" s="12"/>
      <c r="E1016" s="12"/>
      <c r="G1016" s="14"/>
    </row>
    <row r="1017" spans="1:7" ht="22.5" customHeight="1" x14ac:dyDescent="0.15">
      <c r="A1017" s="33"/>
      <c r="B1017" s="12"/>
      <c r="C1017" s="12"/>
      <c r="D1017" s="12"/>
      <c r="E1017" s="12"/>
      <c r="G1017" s="14"/>
    </row>
    <row r="1018" spans="1:7" ht="22.5" customHeight="1" x14ac:dyDescent="0.15">
      <c r="A1018" s="33"/>
      <c r="B1018" s="12"/>
      <c r="C1018" s="12"/>
      <c r="D1018" s="12"/>
      <c r="E1018" s="12"/>
      <c r="G1018" s="14"/>
    </row>
    <row r="1019" spans="1:7" ht="22.5" customHeight="1" x14ac:dyDescent="0.15">
      <c r="A1019" s="33"/>
      <c r="B1019" s="12"/>
      <c r="C1019" s="12"/>
      <c r="D1019" s="12"/>
      <c r="E1019" s="12"/>
      <c r="G1019" s="14"/>
    </row>
    <row r="1020" spans="1:7" ht="22.5" customHeight="1" x14ac:dyDescent="0.15">
      <c r="A1020" s="33"/>
      <c r="B1020" s="12"/>
      <c r="C1020" s="12"/>
      <c r="D1020" s="12"/>
      <c r="E1020" s="12"/>
      <c r="G1020" s="14"/>
    </row>
    <row r="1021" spans="1:7" ht="22.5" customHeight="1" x14ac:dyDescent="0.15">
      <c r="A1021" s="33"/>
      <c r="B1021" s="12"/>
      <c r="C1021" s="12"/>
      <c r="D1021" s="12"/>
      <c r="E1021" s="12"/>
      <c r="G1021" s="14"/>
    </row>
    <row r="1022" spans="1:7" ht="22.5" customHeight="1" x14ac:dyDescent="0.15">
      <c r="A1022" s="33"/>
      <c r="B1022" s="12"/>
      <c r="C1022" s="12"/>
      <c r="D1022" s="12"/>
      <c r="E1022" s="12"/>
      <c r="G1022" s="14"/>
    </row>
    <row r="1023" spans="1:7" ht="22.5" customHeight="1" x14ac:dyDescent="0.15">
      <c r="A1023" s="33"/>
      <c r="B1023" s="12"/>
      <c r="C1023" s="12"/>
      <c r="D1023" s="12"/>
      <c r="E1023" s="12"/>
      <c r="G1023" s="14"/>
    </row>
    <row r="1024" spans="1:7" ht="22.5" customHeight="1" x14ac:dyDescent="0.15">
      <c r="A1024" s="33"/>
      <c r="B1024" s="12"/>
      <c r="C1024" s="12"/>
      <c r="D1024" s="12"/>
      <c r="E1024" s="12"/>
      <c r="G1024" s="14"/>
    </row>
    <row r="1025" spans="1:7" ht="22.5" customHeight="1" x14ac:dyDescent="0.15">
      <c r="A1025" s="33"/>
      <c r="B1025" s="12"/>
      <c r="C1025" s="12"/>
      <c r="D1025" s="12"/>
      <c r="E1025" s="12"/>
      <c r="G1025" s="14"/>
    </row>
    <row r="1026" spans="1:7" ht="22.5" customHeight="1" x14ac:dyDescent="0.15">
      <c r="A1026" s="33"/>
      <c r="B1026" s="12"/>
      <c r="C1026" s="12"/>
      <c r="D1026" s="12"/>
      <c r="E1026" s="12"/>
      <c r="G1026" s="14"/>
    </row>
    <row r="1027" spans="1:7" ht="22.5" customHeight="1" x14ac:dyDescent="0.15">
      <c r="A1027" s="33"/>
      <c r="B1027" s="12"/>
      <c r="C1027" s="12"/>
      <c r="D1027" s="12"/>
      <c r="E1027" s="12"/>
      <c r="G1027" s="14"/>
    </row>
    <row r="1028" spans="1:7" ht="22.5" customHeight="1" x14ac:dyDescent="0.15">
      <c r="A1028" s="33"/>
      <c r="B1028" s="12"/>
      <c r="C1028" s="12"/>
      <c r="D1028" s="12"/>
      <c r="E1028" s="12"/>
      <c r="G1028" s="14"/>
    </row>
    <row r="1029" spans="1:7" ht="22.5" customHeight="1" x14ac:dyDescent="0.15">
      <c r="A1029" s="33"/>
      <c r="B1029" s="12"/>
      <c r="C1029" s="12"/>
      <c r="D1029" s="12"/>
      <c r="E1029" s="12"/>
      <c r="G1029" s="14"/>
    </row>
    <row r="1030" spans="1:7" ht="22.5" customHeight="1" x14ac:dyDescent="0.15">
      <c r="A1030" s="33"/>
      <c r="B1030" s="12"/>
      <c r="C1030" s="12"/>
      <c r="D1030" s="12"/>
      <c r="E1030" s="12"/>
      <c r="G1030" s="14"/>
    </row>
    <row r="1031" spans="1:7" ht="22.5" customHeight="1" x14ac:dyDescent="0.15">
      <c r="A1031" s="33"/>
      <c r="B1031" s="12"/>
      <c r="C1031" s="12"/>
      <c r="D1031" s="12"/>
      <c r="E1031" s="12"/>
      <c r="G1031" s="14"/>
    </row>
    <row r="1032" spans="1:7" ht="22.5" customHeight="1" x14ac:dyDescent="0.15">
      <c r="A1032" s="33"/>
      <c r="B1032" s="12"/>
      <c r="C1032" s="12"/>
      <c r="D1032" s="12"/>
      <c r="E1032" s="12"/>
      <c r="G1032" s="14"/>
    </row>
    <row r="1033" spans="1:7" ht="22.5" customHeight="1" x14ac:dyDescent="0.15">
      <c r="A1033" s="33"/>
      <c r="B1033" s="12"/>
      <c r="C1033" s="12"/>
      <c r="D1033" s="12"/>
      <c r="E1033" s="12"/>
      <c r="G1033" s="14"/>
    </row>
    <row r="1034" spans="1:7" ht="22.5" customHeight="1" x14ac:dyDescent="0.15">
      <c r="A1034" s="33"/>
      <c r="B1034" s="12"/>
      <c r="C1034" s="12"/>
      <c r="D1034" s="12"/>
      <c r="E1034" s="12"/>
      <c r="G1034" s="14"/>
    </row>
    <row r="1035" spans="1:7" ht="22.5" customHeight="1" x14ac:dyDescent="0.15">
      <c r="A1035" s="33"/>
      <c r="B1035" s="12"/>
      <c r="C1035" s="12"/>
      <c r="D1035" s="12"/>
      <c r="E1035" s="12"/>
      <c r="G1035" s="14"/>
    </row>
    <row r="1036" spans="1:7" ht="22.5" customHeight="1" x14ac:dyDescent="0.15">
      <c r="A1036" s="33"/>
      <c r="B1036" s="12"/>
      <c r="C1036" s="12"/>
      <c r="D1036" s="12"/>
      <c r="E1036" s="12"/>
      <c r="G1036" s="14"/>
    </row>
    <row r="1037" spans="1:7" ht="22.5" customHeight="1" x14ac:dyDescent="0.15">
      <c r="A1037" s="33"/>
      <c r="B1037" s="12"/>
      <c r="C1037" s="12"/>
      <c r="D1037" s="12"/>
      <c r="E1037" s="12"/>
      <c r="G1037" s="14"/>
    </row>
    <row r="1038" spans="1:7" ht="22.5" customHeight="1" x14ac:dyDescent="0.15">
      <c r="A1038" s="33"/>
      <c r="B1038" s="12"/>
      <c r="C1038" s="12"/>
      <c r="D1038" s="12"/>
      <c r="E1038" s="12"/>
      <c r="G1038" s="14"/>
    </row>
    <row r="1039" spans="1:7" ht="22.5" customHeight="1" x14ac:dyDescent="0.15">
      <c r="A1039" s="33"/>
      <c r="B1039" s="12"/>
      <c r="C1039" s="12"/>
      <c r="D1039" s="12"/>
      <c r="E1039" s="12"/>
      <c r="G1039" s="14"/>
    </row>
    <row r="1040" spans="1:7" ht="22.5" customHeight="1" x14ac:dyDescent="0.15">
      <c r="A1040" s="33"/>
      <c r="B1040" s="12"/>
      <c r="C1040" s="12"/>
      <c r="D1040" s="12"/>
      <c r="E1040" s="12"/>
      <c r="G1040" s="14"/>
    </row>
    <row r="1041" spans="1:7" ht="22.5" customHeight="1" x14ac:dyDescent="0.15">
      <c r="A1041" s="33"/>
      <c r="B1041" s="12"/>
      <c r="C1041" s="12"/>
      <c r="D1041" s="12"/>
      <c r="E1041" s="12"/>
      <c r="G1041" s="14"/>
    </row>
    <row r="1042" spans="1:7" ht="22.5" customHeight="1" x14ac:dyDescent="0.15">
      <c r="A1042" s="33"/>
      <c r="B1042" s="12"/>
      <c r="C1042" s="12"/>
      <c r="D1042" s="12"/>
      <c r="E1042" s="12"/>
      <c r="G1042" s="14"/>
    </row>
    <row r="1043" spans="1:7" ht="22.5" customHeight="1" x14ac:dyDescent="0.15">
      <c r="A1043" s="33"/>
      <c r="B1043" s="12"/>
      <c r="C1043" s="12"/>
      <c r="D1043" s="12"/>
      <c r="E1043" s="12"/>
      <c r="G1043" s="14"/>
    </row>
    <row r="1044" spans="1:7" ht="22.5" customHeight="1" x14ac:dyDescent="0.15">
      <c r="A1044" s="33"/>
      <c r="B1044" s="12"/>
      <c r="C1044" s="12"/>
      <c r="D1044" s="12"/>
      <c r="E1044" s="12"/>
      <c r="G1044" s="14"/>
    </row>
    <row r="1045" spans="1:7" ht="22.5" customHeight="1" x14ac:dyDescent="0.15">
      <c r="A1045" s="33"/>
      <c r="B1045" s="12"/>
      <c r="C1045" s="12"/>
      <c r="D1045" s="12"/>
      <c r="E1045" s="12"/>
      <c r="G1045" s="14"/>
    </row>
    <row r="1046" spans="1:7" ht="22.5" customHeight="1" x14ac:dyDescent="0.15">
      <c r="A1046" s="33"/>
      <c r="B1046" s="12"/>
      <c r="C1046" s="12"/>
      <c r="D1046" s="12"/>
      <c r="E1046" s="12"/>
      <c r="G1046" s="14"/>
    </row>
    <row r="1047" spans="1:7" ht="22.5" customHeight="1" x14ac:dyDescent="0.15">
      <c r="A1047" s="33"/>
      <c r="B1047" s="12"/>
      <c r="C1047" s="12"/>
      <c r="D1047" s="12"/>
      <c r="E1047" s="12"/>
      <c r="G1047" s="14"/>
    </row>
    <row r="1048" spans="1:7" ht="22.5" customHeight="1" x14ac:dyDescent="0.15">
      <c r="A1048" s="33"/>
      <c r="B1048" s="12"/>
      <c r="C1048" s="12"/>
      <c r="D1048" s="12"/>
      <c r="E1048" s="12"/>
      <c r="G1048" s="14"/>
    </row>
    <row r="1049" spans="1:7" ht="22.5" customHeight="1" x14ac:dyDescent="0.15">
      <c r="A1049" s="33"/>
      <c r="B1049" s="12"/>
      <c r="C1049" s="12"/>
      <c r="D1049" s="12"/>
      <c r="E1049" s="12"/>
      <c r="G1049" s="14"/>
    </row>
    <row r="1050" spans="1:7" ht="22.5" customHeight="1" x14ac:dyDescent="0.15">
      <c r="A1050" s="33"/>
      <c r="B1050" s="12"/>
      <c r="C1050" s="12"/>
      <c r="D1050" s="12"/>
      <c r="E1050" s="12"/>
      <c r="G1050" s="14"/>
    </row>
    <row r="1051" spans="1:7" ht="22.5" customHeight="1" x14ac:dyDescent="0.15">
      <c r="A1051" s="33"/>
      <c r="B1051" s="12"/>
      <c r="C1051" s="12"/>
      <c r="D1051" s="12"/>
      <c r="E1051" s="12"/>
      <c r="G1051" s="14"/>
    </row>
    <row r="1052" spans="1:7" ht="22.5" customHeight="1" x14ac:dyDescent="0.15">
      <c r="A1052" s="33"/>
      <c r="B1052" s="12"/>
      <c r="C1052" s="12"/>
      <c r="D1052" s="12"/>
      <c r="E1052" s="12"/>
      <c r="G1052" s="14"/>
    </row>
    <row r="1053" spans="1:7" ht="22.5" customHeight="1" x14ac:dyDescent="0.15">
      <c r="A1053" s="33"/>
      <c r="B1053" s="12"/>
      <c r="C1053" s="12"/>
      <c r="D1053" s="12"/>
      <c r="E1053" s="12"/>
      <c r="G1053" s="14"/>
    </row>
    <row r="1054" spans="1:7" ht="22.5" customHeight="1" x14ac:dyDescent="0.15">
      <c r="A1054" s="33"/>
      <c r="B1054" s="12"/>
      <c r="C1054" s="12"/>
      <c r="D1054" s="12"/>
      <c r="E1054" s="12"/>
      <c r="G1054" s="14"/>
    </row>
    <row r="1055" spans="1:7" ht="22.5" customHeight="1" x14ac:dyDescent="0.15">
      <c r="A1055" s="33"/>
      <c r="B1055" s="12"/>
      <c r="C1055" s="12"/>
      <c r="D1055" s="12"/>
      <c r="E1055" s="12"/>
      <c r="G1055" s="14"/>
    </row>
    <row r="1056" spans="1:7" ht="22.5" customHeight="1" x14ac:dyDescent="0.15">
      <c r="A1056" s="33"/>
      <c r="B1056" s="12"/>
      <c r="C1056" s="12"/>
      <c r="D1056" s="12"/>
      <c r="E1056" s="12"/>
      <c r="G1056" s="14"/>
    </row>
    <row r="1057" spans="1:7" ht="22.5" customHeight="1" x14ac:dyDescent="0.15">
      <c r="A1057" s="33"/>
      <c r="B1057" s="12"/>
      <c r="C1057" s="12"/>
      <c r="D1057" s="12"/>
      <c r="E1057" s="12"/>
      <c r="G1057" s="14"/>
    </row>
    <row r="1058" spans="1:7" ht="22.5" customHeight="1" x14ac:dyDescent="0.15">
      <c r="A1058" s="33"/>
      <c r="B1058" s="12"/>
      <c r="C1058" s="12"/>
      <c r="D1058" s="12"/>
      <c r="E1058" s="12"/>
      <c r="G1058" s="14"/>
    </row>
    <row r="1059" spans="1:7" ht="22.5" customHeight="1" x14ac:dyDescent="0.15">
      <c r="A1059" s="33"/>
      <c r="B1059" s="12"/>
      <c r="C1059" s="12"/>
      <c r="D1059" s="12"/>
      <c r="E1059" s="12"/>
      <c r="G1059" s="14"/>
    </row>
    <row r="1060" spans="1:7" ht="22.5" customHeight="1" x14ac:dyDescent="0.15">
      <c r="A1060" s="33"/>
      <c r="B1060" s="12"/>
      <c r="C1060" s="12"/>
      <c r="D1060" s="12"/>
      <c r="E1060" s="12"/>
      <c r="G1060" s="14"/>
    </row>
    <row r="1061" spans="1:7" ht="22.5" customHeight="1" x14ac:dyDescent="0.15">
      <c r="A1061" s="33"/>
      <c r="B1061" s="12"/>
      <c r="C1061" s="12"/>
      <c r="D1061" s="12"/>
      <c r="E1061" s="12"/>
      <c r="G1061" s="14"/>
    </row>
    <row r="1062" spans="1:7" ht="22.5" customHeight="1" x14ac:dyDescent="0.15">
      <c r="A1062" s="33"/>
      <c r="B1062" s="12"/>
      <c r="C1062" s="12"/>
      <c r="D1062" s="12"/>
      <c r="E1062" s="12"/>
      <c r="G1062" s="14"/>
    </row>
    <row r="1063" spans="1:7" ht="22.5" customHeight="1" x14ac:dyDescent="0.15">
      <c r="A1063" s="33"/>
      <c r="B1063" s="12"/>
      <c r="C1063" s="12"/>
      <c r="D1063" s="12"/>
      <c r="E1063" s="12"/>
      <c r="G1063" s="14"/>
    </row>
    <row r="1064" spans="1:7" ht="22.5" customHeight="1" x14ac:dyDescent="0.15">
      <c r="A1064" s="33"/>
      <c r="B1064" s="12"/>
      <c r="C1064" s="12"/>
      <c r="D1064" s="12"/>
      <c r="E1064" s="12"/>
      <c r="G1064" s="14"/>
    </row>
    <row r="1065" spans="1:7" ht="22.5" customHeight="1" x14ac:dyDescent="0.15">
      <c r="A1065" s="33"/>
      <c r="B1065" s="12"/>
      <c r="C1065" s="12"/>
      <c r="D1065" s="12"/>
      <c r="E1065" s="12"/>
      <c r="G1065" s="14"/>
    </row>
    <row r="1066" spans="1:7" ht="22.5" customHeight="1" x14ac:dyDescent="0.15">
      <c r="A1066" s="33"/>
      <c r="B1066" s="12"/>
      <c r="C1066" s="12"/>
      <c r="D1066" s="12"/>
      <c r="E1066" s="12"/>
      <c r="G1066" s="14"/>
    </row>
    <row r="1067" spans="1:7" ht="22.5" customHeight="1" x14ac:dyDescent="0.15">
      <c r="A1067" s="33"/>
      <c r="B1067" s="12"/>
      <c r="C1067" s="12"/>
      <c r="D1067" s="12"/>
      <c r="E1067" s="12"/>
      <c r="G1067" s="14"/>
    </row>
    <row r="1068" spans="1:7" ht="22.5" customHeight="1" x14ac:dyDescent="0.15">
      <c r="A1068" s="33"/>
      <c r="B1068" s="12"/>
      <c r="C1068" s="12"/>
      <c r="D1068" s="12"/>
      <c r="E1068" s="12"/>
      <c r="G1068" s="14"/>
    </row>
    <row r="1069" spans="1:7" ht="22.5" customHeight="1" x14ac:dyDescent="0.15">
      <c r="A1069" s="33"/>
      <c r="B1069" s="12"/>
      <c r="C1069" s="12"/>
      <c r="D1069" s="12"/>
      <c r="E1069" s="12"/>
      <c r="G1069" s="14"/>
    </row>
    <row r="1070" spans="1:7" ht="22.5" customHeight="1" x14ac:dyDescent="0.15">
      <c r="A1070" s="33"/>
      <c r="B1070" s="12"/>
      <c r="C1070" s="12"/>
      <c r="D1070" s="12"/>
      <c r="E1070" s="12"/>
      <c r="G1070" s="14"/>
    </row>
    <row r="1071" spans="1:7" ht="22.5" customHeight="1" x14ac:dyDescent="0.15">
      <c r="A1071" s="33"/>
      <c r="B1071" s="12"/>
      <c r="C1071" s="12"/>
      <c r="D1071" s="12"/>
      <c r="E1071" s="12"/>
      <c r="G1071" s="14"/>
    </row>
    <row r="1072" spans="1:7" ht="22.5" customHeight="1" x14ac:dyDescent="0.15">
      <c r="A1072" s="33"/>
      <c r="B1072" s="12"/>
      <c r="C1072" s="12"/>
      <c r="D1072" s="12"/>
      <c r="E1072" s="12"/>
      <c r="G1072" s="14"/>
    </row>
    <row r="1073" spans="1:7" ht="22.5" customHeight="1" x14ac:dyDescent="0.15">
      <c r="A1073" s="33"/>
      <c r="B1073" s="12"/>
      <c r="C1073" s="12"/>
      <c r="D1073" s="12"/>
      <c r="E1073" s="12"/>
      <c r="G1073" s="14"/>
    </row>
    <row r="1074" spans="1:7" ht="22.5" customHeight="1" x14ac:dyDescent="0.15">
      <c r="A1074" s="33"/>
      <c r="B1074" s="12"/>
      <c r="C1074" s="12"/>
      <c r="D1074" s="12"/>
      <c r="E1074" s="12"/>
      <c r="G1074" s="14"/>
    </row>
    <row r="1075" spans="1:7" ht="22.5" customHeight="1" x14ac:dyDescent="0.15">
      <c r="A1075" s="33"/>
      <c r="B1075" s="12"/>
      <c r="C1075" s="12"/>
      <c r="D1075" s="12"/>
      <c r="E1075" s="12"/>
      <c r="G1075" s="14"/>
    </row>
    <row r="1076" spans="1:7" ht="22.5" customHeight="1" x14ac:dyDescent="0.15">
      <c r="A1076" s="33"/>
      <c r="B1076" s="12"/>
      <c r="C1076" s="12"/>
      <c r="D1076" s="12"/>
      <c r="E1076" s="12"/>
      <c r="G1076" s="14"/>
    </row>
    <row r="1077" spans="1:7" ht="22.5" customHeight="1" x14ac:dyDescent="0.15">
      <c r="A1077" s="33"/>
      <c r="B1077" s="12"/>
      <c r="C1077" s="12"/>
      <c r="D1077" s="12"/>
      <c r="E1077" s="12"/>
      <c r="G1077" s="14"/>
    </row>
    <row r="1078" spans="1:7" ht="22.5" customHeight="1" x14ac:dyDescent="0.15">
      <c r="A1078" s="33"/>
      <c r="B1078" s="12"/>
      <c r="C1078" s="12"/>
      <c r="D1078" s="12"/>
      <c r="E1078" s="12"/>
      <c r="G1078" s="14"/>
    </row>
    <row r="1079" spans="1:7" ht="22.5" customHeight="1" x14ac:dyDescent="0.15">
      <c r="A1079" s="33"/>
      <c r="B1079" s="12"/>
      <c r="C1079" s="12"/>
      <c r="D1079" s="12"/>
      <c r="E1079" s="12"/>
      <c r="G1079" s="14"/>
    </row>
    <row r="1080" spans="1:7" ht="22.5" customHeight="1" x14ac:dyDescent="0.15">
      <c r="A1080" s="33"/>
      <c r="B1080" s="12"/>
      <c r="C1080" s="12"/>
      <c r="D1080" s="12"/>
      <c r="E1080" s="12"/>
      <c r="G1080" s="14"/>
    </row>
    <row r="1081" spans="1:7" ht="22.5" customHeight="1" x14ac:dyDescent="0.15">
      <c r="A1081" s="33"/>
      <c r="B1081" s="12"/>
      <c r="C1081" s="12"/>
      <c r="D1081" s="12"/>
      <c r="E1081" s="12"/>
      <c r="G1081" s="14"/>
    </row>
    <row r="1082" spans="1:7" ht="22.5" customHeight="1" x14ac:dyDescent="0.15">
      <c r="A1082" s="33"/>
      <c r="B1082" s="12"/>
      <c r="C1082" s="12"/>
      <c r="D1082" s="12"/>
      <c r="E1082" s="12"/>
      <c r="G1082" s="14"/>
    </row>
    <row r="1083" spans="1:7" ht="22.5" customHeight="1" x14ac:dyDescent="0.15">
      <c r="A1083" s="33"/>
      <c r="B1083" s="12"/>
      <c r="C1083" s="12"/>
      <c r="D1083" s="12"/>
      <c r="E1083" s="12"/>
      <c r="G1083" s="14"/>
    </row>
    <row r="1084" spans="1:7" ht="22.5" customHeight="1" x14ac:dyDescent="0.15">
      <c r="A1084" s="33"/>
      <c r="B1084" s="12"/>
      <c r="C1084" s="12"/>
      <c r="D1084" s="12"/>
      <c r="E1084" s="12"/>
      <c r="G1084" s="14"/>
    </row>
    <row r="1085" spans="1:7" ht="22.5" customHeight="1" x14ac:dyDescent="0.15">
      <c r="A1085" s="33"/>
      <c r="B1085" s="12"/>
      <c r="C1085" s="12"/>
      <c r="D1085" s="12"/>
      <c r="E1085" s="12"/>
      <c r="G1085" s="14"/>
    </row>
    <row r="1086" spans="1:7" ht="22.5" customHeight="1" x14ac:dyDescent="0.15">
      <c r="A1086" s="33"/>
      <c r="B1086" s="12"/>
      <c r="C1086" s="12"/>
      <c r="D1086" s="12"/>
      <c r="E1086" s="12"/>
      <c r="G1086" s="14"/>
    </row>
    <row r="1087" spans="1:7" ht="22.5" customHeight="1" x14ac:dyDescent="0.15">
      <c r="A1087" s="33"/>
      <c r="B1087" s="12"/>
      <c r="C1087" s="12"/>
      <c r="D1087" s="12"/>
      <c r="E1087" s="12"/>
      <c r="G1087" s="14"/>
    </row>
    <row r="1088" spans="1:7" ht="22.5" customHeight="1" x14ac:dyDescent="0.15">
      <c r="A1088" s="33"/>
      <c r="B1088" s="12"/>
      <c r="C1088" s="12"/>
      <c r="D1088" s="12"/>
      <c r="E1088" s="12"/>
      <c r="G1088" s="14"/>
    </row>
    <row r="1089" spans="1:7" ht="22.5" customHeight="1" x14ac:dyDescent="0.15">
      <c r="A1089" s="33"/>
      <c r="B1089" s="12"/>
      <c r="C1089" s="12"/>
      <c r="D1089" s="12"/>
      <c r="E1089" s="12"/>
      <c r="G1089" s="14"/>
    </row>
    <row r="1090" spans="1:7" ht="22.5" customHeight="1" x14ac:dyDescent="0.15">
      <c r="A1090" s="33"/>
      <c r="B1090" s="12"/>
      <c r="C1090" s="12"/>
      <c r="D1090" s="12"/>
      <c r="E1090" s="12"/>
      <c r="G1090" s="14"/>
    </row>
    <row r="1091" spans="1:7" ht="22.5" customHeight="1" x14ac:dyDescent="0.15">
      <c r="A1091" s="33"/>
      <c r="B1091" s="12"/>
      <c r="C1091" s="12"/>
      <c r="D1091" s="12"/>
      <c r="E1091" s="12"/>
      <c r="G1091" s="14"/>
    </row>
    <row r="1092" spans="1:7" ht="22.5" customHeight="1" x14ac:dyDescent="0.15">
      <c r="A1092" s="33"/>
      <c r="B1092" s="12"/>
      <c r="C1092" s="12"/>
      <c r="D1092" s="12"/>
      <c r="E1092" s="12"/>
      <c r="G1092" s="14"/>
    </row>
    <row r="1093" spans="1:7" ht="22.5" customHeight="1" x14ac:dyDescent="0.15">
      <c r="A1093" s="33"/>
      <c r="B1093" s="12"/>
      <c r="C1093" s="12"/>
      <c r="D1093" s="12"/>
      <c r="E1093" s="12"/>
      <c r="G1093" s="14"/>
    </row>
    <row r="1094" spans="1:7" ht="22.5" customHeight="1" x14ac:dyDescent="0.15">
      <c r="A1094" s="33"/>
      <c r="B1094" s="12"/>
      <c r="C1094" s="12"/>
      <c r="D1094" s="12"/>
      <c r="E1094" s="12"/>
      <c r="G1094" s="14"/>
    </row>
    <row r="1095" spans="1:7" ht="22.5" customHeight="1" x14ac:dyDescent="0.15">
      <c r="A1095" s="33"/>
      <c r="B1095" s="12"/>
      <c r="C1095" s="12"/>
      <c r="D1095" s="12"/>
      <c r="E1095" s="12"/>
      <c r="G1095" s="14"/>
    </row>
    <row r="1096" spans="1:7" ht="22.5" customHeight="1" x14ac:dyDescent="0.15">
      <c r="A1096" s="33"/>
      <c r="B1096" s="12"/>
      <c r="C1096" s="12"/>
      <c r="D1096" s="12"/>
      <c r="E1096" s="12"/>
      <c r="G1096" s="14"/>
    </row>
    <row r="1097" spans="1:7" ht="22.5" customHeight="1" x14ac:dyDescent="0.15">
      <c r="A1097" s="33"/>
      <c r="B1097" s="12"/>
      <c r="C1097" s="12"/>
      <c r="D1097" s="12"/>
      <c r="E1097" s="12"/>
      <c r="G1097" s="14"/>
    </row>
    <row r="1098" spans="1:7" ht="22.5" customHeight="1" x14ac:dyDescent="0.15">
      <c r="A1098" s="33"/>
      <c r="B1098" s="12"/>
      <c r="C1098" s="12"/>
      <c r="D1098" s="12"/>
      <c r="E1098" s="12"/>
      <c r="G1098" s="14"/>
    </row>
    <row r="1099" spans="1:7" ht="22.5" customHeight="1" x14ac:dyDescent="0.15">
      <c r="A1099" s="33"/>
      <c r="B1099" s="12"/>
      <c r="C1099" s="12"/>
      <c r="D1099" s="12"/>
      <c r="E1099" s="12"/>
      <c r="G1099" s="14"/>
    </row>
    <row r="1100" spans="1:7" ht="22.5" customHeight="1" x14ac:dyDescent="0.15">
      <c r="A1100" s="33"/>
      <c r="B1100" s="12"/>
      <c r="C1100" s="12"/>
      <c r="D1100" s="12"/>
      <c r="E1100" s="12"/>
      <c r="G1100" s="14"/>
    </row>
    <row r="1101" spans="1:7" ht="22.5" customHeight="1" x14ac:dyDescent="0.15">
      <c r="A1101" s="33"/>
      <c r="B1101" s="12"/>
      <c r="C1101" s="12"/>
      <c r="D1101" s="12"/>
      <c r="E1101" s="12"/>
      <c r="G1101" s="14"/>
    </row>
    <row r="1102" spans="1:7" ht="22.5" customHeight="1" x14ac:dyDescent="0.15">
      <c r="A1102" s="33"/>
      <c r="B1102" s="12"/>
      <c r="C1102" s="12"/>
      <c r="D1102" s="12"/>
      <c r="E1102" s="12"/>
      <c r="G1102" s="14"/>
    </row>
    <row r="1103" spans="1:7" ht="22.5" customHeight="1" x14ac:dyDescent="0.15">
      <c r="A1103" s="33"/>
      <c r="B1103" s="12"/>
      <c r="C1103" s="12"/>
      <c r="D1103" s="12"/>
      <c r="E1103" s="12"/>
      <c r="G1103" s="14"/>
    </row>
    <row r="1104" spans="1:7" ht="22.5" customHeight="1" x14ac:dyDescent="0.15">
      <c r="A1104" s="33"/>
      <c r="B1104" s="12"/>
      <c r="C1104" s="12"/>
      <c r="D1104" s="12"/>
      <c r="E1104" s="12"/>
      <c r="G1104" s="14"/>
    </row>
    <row r="1105" spans="1:7" ht="22.5" customHeight="1" x14ac:dyDescent="0.15">
      <c r="A1105" s="33"/>
      <c r="B1105" s="12"/>
      <c r="C1105" s="12"/>
      <c r="D1105" s="12"/>
      <c r="E1105" s="12"/>
      <c r="G1105" s="14"/>
    </row>
    <row r="1106" spans="1:7" ht="22.5" customHeight="1" x14ac:dyDescent="0.15">
      <c r="A1106" s="33"/>
      <c r="B1106" s="12"/>
      <c r="C1106" s="12"/>
      <c r="D1106" s="12"/>
      <c r="E1106" s="12"/>
      <c r="G1106" s="14"/>
    </row>
    <row r="1107" spans="1:7" ht="22.5" customHeight="1" x14ac:dyDescent="0.15">
      <c r="A1107" s="33"/>
      <c r="B1107" s="12"/>
      <c r="C1107" s="12"/>
      <c r="D1107" s="12"/>
      <c r="E1107" s="12"/>
      <c r="G1107" s="14"/>
    </row>
    <row r="1108" spans="1:7" ht="22.5" customHeight="1" x14ac:dyDescent="0.15">
      <c r="A1108" s="33"/>
      <c r="B1108" s="12"/>
      <c r="C1108" s="12"/>
      <c r="D1108" s="12"/>
      <c r="E1108" s="12"/>
      <c r="G1108" s="14"/>
    </row>
    <row r="1109" spans="1:7" ht="22.5" customHeight="1" x14ac:dyDescent="0.15">
      <c r="A1109" s="33"/>
      <c r="B1109" s="12"/>
      <c r="C1109" s="12"/>
      <c r="D1109" s="12"/>
      <c r="E1109" s="12"/>
      <c r="G1109" s="14"/>
    </row>
    <row r="1110" spans="1:7" ht="22.5" customHeight="1" x14ac:dyDescent="0.15">
      <c r="A1110" s="33"/>
      <c r="B1110" s="12"/>
      <c r="C1110" s="12"/>
      <c r="D1110" s="12"/>
      <c r="E1110" s="12"/>
      <c r="G1110" s="14"/>
    </row>
    <row r="1111" spans="1:7" ht="22.5" customHeight="1" x14ac:dyDescent="0.15">
      <c r="A1111" s="33"/>
      <c r="B1111" s="12"/>
      <c r="C1111" s="12"/>
      <c r="D1111" s="12"/>
      <c r="E1111" s="12"/>
      <c r="G1111" s="14"/>
    </row>
    <row r="1112" spans="1:7" ht="22.5" customHeight="1" x14ac:dyDescent="0.15">
      <c r="A1112" s="33"/>
      <c r="B1112" s="12"/>
      <c r="C1112" s="12"/>
      <c r="D1112" s="12"/>
      <c r="E1112" s="12"/>
      <c r="G1112" s="14"/>
    </row>
    <row r="1113" spans="1:7" ht="22.5" customHeight="1" x14ac:dyDescent="0.15">
      <c r="A1113" s="33"/>
      <c r="B1113" s="12"/>
      <c r="C1113" s="12"/>
      <c r="D1113" s="12"/>
      <c r="E1113" s="12"/>
      <c r="G1113" s="14"/>
    </row>
    <row r="1114" spans="1:7" ht="22.5" customHeight="1" x14ac:dyDescent="0.15">
      <c r="A1114" s="33"/>
      <c r="B1114" s="12"/>
      <c r="C1114" s="12"/>
      <c r="D1114" s="12"/>
      <c r="E1114" s="12"/>
      <c r="G1114" s="14"/>
    </row>
    <row r="1115" spans="1:7" ht="22.5" customHeight="1" x14ac:dyDescent="0.15">
      <c r="A1115" s="33"/>
      <c r="B1115" s="12"/>
      <c r="C1115" s="12"/>
      <c r="D1115" s="12"/>
      <c r="E1115" s="12"/>
      <c r="G1115" s="14"/>
    </row>
    <row r="1116" spans="1:7" ht="22.5" customHeight="1" x14ac:dyDescent="0.15">
      <c r="A1116" s="33"/>
      <c r="B1116" s="12"/>
      <c r="C1116" s="12"/>
      <c r="D1116" s="12"/>
      <c r="E1116" s="12"/>
      <c r="G1116" s="14"/>
    </row>
    <row r="1117" spans="1:7" ht="22.5" customHeight="1" x14ac:dyDescent="0.15">
      <c r="A1117" s="33"/>
      <c r="B1117" s="12"/>
      <c r="C1117" s="12"/>
      <c r="D1117" s="12"/>
      <c r="E1117" s="12"/>
      <c r="G1117" s="14"/>
    </row>
    <row r="1118" spans="1:7" ht="22.5" customHeight="1" x14ac:dyDescent="0.15">
      <c r="A1118" s="33"/>
      <c r="B1118" s="12"/>
      <c r="C1118" s="12"/>
      <c r="D1118" s="12"/>
      <c r="E1118" s="12"/>
      <c r="G1118" s="14"/>
    </row>
    <row r="1119" spans="1:7" ht="22.5" customHeight="1" x14ac:dyDescent="0.15">
      <c r="A1119" s="33"/>
      <c r="B1119" s="12"/>
      <c r="C1119" s="12"/>
      <c r="D1119" s="12"/>
      <c r="E1119" s="12"/>
      <c r="G1119" s="14"/>
    </row>
    <row r="1120" spans="1:7" ht="22.5" customHeight="1" x14ac:dyDescent="0.15">
      <c r="A1120" s="33"/>
      <c r="B1120" s="12"/>
      <c r="C1120" s="12"/>
      <c r="D1120" s="12"/>
      <c r="E1120" s="12"/>
      <c r="G1120" s="14"/>
    </row>
    <row r="1121" spans="1:7" ht="22.5" customHeight="1" x14ac:dyDescent="0.15">
      <c r="A1121" s="33"/>
      <c r="B1121" s="12"/>
      <c r="C1121" s="12"/>
      <c r="D1121" s="12"/>
      <c r="E1121" s="12"/>
      <c r="G1121" s="14"/>
    </row>
    <row r="1122" spans="1:7" ht="22.5" customHeight="1" x14ac:dyDescent="0.15">
      <c r="A1122" s="33"/>
      <c r="B1122" s="12"/>
      <c r="C1122" s="12"/>
      <c r="D1122" s="12"/>
      <c r="E1122" s="12"/>
      <c r="G1122" s="14"/>
    </row>
    <row r="1123" spans="1:7" ht="22.5" customHeight="1" x14ac:dyDescent="0.15">
      <c r="A1123" s="33"/>
      <c r="B1123" s="12"/>
      <c r="C1123" s="12"/>
      <c r="D1123" s="12"/>
      <c r="E1123" s="12"/>
      <c r="G1123" s="14"/>
    </row>
    <row r="1124" spans="1:7" ht="22.5" customHeight="1" x14ac:dyDescent="0.15">
      <c r="A1124" s="33"/>
      <c r="B1124" s="12"/>
      <c r="C1124" s="12"/>
      <c r="D1124" s="12"/>
      <c r="E1124" s="12"/>
      <c r="G1124" s="14"/>
    </row>
    <row r="1125" spans="1:7" ht="22.5" customHeight="1" x14ac:dyDescent="0.15">
      <c r="A1125" s="33"/>
      <c r="B1125" s="12"/>
      <c r="C1125" s="12"/>
      <c r="D1125" s="12"/>
      <c r="E1125" s="12"/>
      <c r="G1125" s="14"/>
    </row>
    <row r="1126" spans="1:7" ht="22.5" customHeight="1" x14ac:dyDescent="0.15">
      <c r="A1126" s="33"/>
      <c r="B1126" s="12"/>
      <c r="C1126" s="12"/>
      <c r="D1126" s="12"/>
      <c r="E1126" s="12"/>
      <c r="G1126" s="14"/>
    </row>
    <row r="1127" spans="1:7" ht="22.5" customHeight="1" x14ac:dyDescent="0.15">
      <c r="A1127" s="33"/>
      <c r="B1127" s="12"/>
      <c r="C1127" s="12"/>
      <c r="D1127" s="12"/>
      <c r="E1127" s="12"/>
      <c r="G1127" s="14"/>
    </row>
    <row r="1128" spans="1:7" ht="22.5" customHeight="1" x14ac:dyDescent="0.15">
      <c r="A1128" s="33"/>
      <c r="B1128" s="12"/>
      <c r="C1128" s="12"/>
      <c r="D1128" s="12"/>
      <c r="E1128" s="12"/>
      <c r="G1128" s="14"/>
    </row>
    <row r="1129" spans="1:7" ht="22.5" customHeight="1" x14ac:dyDescent="0.15">
      <c r="A1129" s="33"/>
      <c r="B1129" s="12"/>
      <c r="C1129" s="12"/>
      <c r="D1129" s="12"/>
      <c r="E1129" s="12"/>
      <c r="G1129" s="14"/>
    </row>
    <row r="1130" spans="1:7" ht="22.5" customHeight="1" x14ac:dyDescent="0.15">
      <c r="A1130" s="33"/>
      <c r="B1130" s="12"/>
      <c r="C1130" s="12"/>
      <c r="D1130" s="12"/>
      <c r="E1130" s="12"/>
      <c r="G1130" s="14"/>
    </row>
    <row r="1131" spans="1:7" ht="22.5" customHeight="1" x14ac:dyDescent="0.15">
      <c r="A1131" s="33"/>
      <c r="B1131" s="12"/>
      <c r="C1131" s="12"/>
      <c r="D1131" s="12"/>
      <c r="E1131" s="12"/>
      <c r="G1131" s="14"/>
    </row>
    <row r="1132" spans="1:7" ht="22.5" customHeight="1" x14ac:dyDescent="0.15">
      <c r="A1132" s="33"/>
      <c r="B1132" s="12"/>
      <c r="C1132" s="12"/>
      <c r="D1132" s="12"/>
      <c r="E1132" s="12"/>
      <c r="G1132" s="14"/>
    </row>
    <row r="1133" spans="1:7" ht="22.5" customHeight="1" x14ac:dyDescent="0.15">
      <c r="A1133" s="33"/>
      <c r="B1133" s="12"/>
      <c r="C1133" s="12"/>
      <c r="D1133" s="12"/>
      <c r="E1133" s="12"/>
      <c r="G1133" s="14"/>
    </row>
    <row r="1134" spans="1:7" ht="22.5" customHeight="1" x14ac:dyDescent="0.15">
      <c r="A1134" s="33"/>
      <c r="B1134" s="12"/>
      <c r="C1134" s="12"/>
      <c r="D1134" s="12"/>
      <c r="E1134" s="12"/>
      <c r="G1134" s="14"/>
    </row>
    <row r="1135" spans="1:7" ht="22.5" customHeight="1" x14ac:dyDescent="0.15">
      <c r="A1135" s="33"/>
      <c r="B1135" s="12"/>
      <c r="C1135" s="12"/>
      <c r="D1135" s="12"/>
      <c r="E1135" s="12"/>
      <c r="G1135" s="14"/>
    </row>
    <row r="1136" spans="1:7" ht="22.5" customHeight="1" x14ac:dyDescent="0.15">
      <c r="A1136" s="33"/>
      <c r="B1136" s="12"/>
      <c r="C1136" s="12"/>
      <c r="D1136" s="12"/>
      <c r="E1136" s="12"/>
      <c r="G1136" s="14"/>
    </row>
    <row r="1137" spans="1:7" ht="22.5" customHeight="1" x14ac:dyDescent="0.15">
      <c r="A1137" s="33"/>
      <c r="B1137" s="12"/>
      <c r="C1137" s="12"/>
      <c r="D1137" s="12"/>
      <c r="E1137" s="12"/>
      <c r="G1137" s="14"/>
    </row>
    <row r="1138" spans="1:7" ht="22.5" customHeight="1" x14ac:dyDescent="0.15">
      <c r="A1138" s="33"/>
      <c r="B1138" s="12"/>
      <c r="C1138" s="12"/>
      <c r="D1138" s="12"/>
      <c r="E1138" s="12"/>
      <c r="G1138" s="14"/>
    </row>
    <row r="1139" spans="1:7" ht="22.5" customHeight="1" x14ac:dyDescent="0.15">
      <c r="A1139" s="33"/>
      <c r="B1139" s="12"/>
      <c r="C1139" s="12"/>
      <c r="D1139" s="12"/>
      <c r="E1139" s="12"/>
      <c r="G1139" s="14"/>
    </row>
    <row r="1140" spans="1:7" ht="22.5" customHeight="1" x14ac:dyDescent="0.15">
      <c r="A1140" s="33"/>
      <c r="B1140" s="12"/>
      <c r="C1140" s="12"/>
      <c r="D1140" s="12"/>
      <c r="E1140" s="12"/>
      <c r="G1140" s="14"/>
    </row>
    <row r="1141" spans="1:7" ht="22.5" customHeight="1" x14ac:dyDescent="0.15">
      <c r="A1141" s="33"/>
      <c r="B1141" s="12"/>
      <c r="C1141" s="12"/>
      <c r="D1141" s="12"/>
      <c r="E1141" s="12"/>
      <c r="G1141" s="14"/>
    </row>
    <row r="1142" spans="1:7" ht="22.5" customHeight="1" x14ac:dyDescent="0.15">
      <c r="A1142" s="33"/>
      <c r="B1142" s="12"/>
      <c r="C1142" s="12"/>
      <c r="D1142" s="12"/>
      <c r="E1142" s="12"/>
      <c r="G1142" s="14"/>
    </row>
    <row r="1143" spans="1:7" ht="22.5" customHeight="1" x14ac:dyDescent="0.15">
      <c r="A1143" s="33"/>
      <c r="B1143" s="12"/>
      <c r="C1143" s="12"/>
      <c r="D1143" s="12"/>
      <c r="E1143" s="12"/>
      <c r="G1143" s="14"/>
    </row>
    <row r="1144" spans="1:7" ht="22.5" customHeight="1" x14ac:dyDescent="0.15">
      <c r="A1144" s="33"/>
      <c r="B1144" s="12"/>
      <c r="C1144" s="12"/>
      <c r="D1144" s="12"/>
      <c r="E1144" s="12"/>
      <c r="G1144" s="14"/>
    </row>
    <row r="1145" spans="1:7" ht="22.5" customHeight="1" x14ac:dyDescent="0.15">
      <c r="A1145" s="33"/>
      <c r="B1145" s="12"/>
      <c r="C1145" s="12"/>
      <c r="D1145" s="12"/>
      <c r="E1145" s="12"/>
      <c r="G1145" s="14"/>
    </row>
    <row r="1146" spans="1:7" ht="22.5" customHeight="1" x14ac:dyDescent="0.15">
      <c r="A1146" s="33"/>
      <c r="B1146" s="12"/>
      <c r="C1146" s="12"/>
      <c r="D1146" s="12"/>
      <c r="E1146" s="12"/>
      <c r="G1146" s="14"/>
    </row>
    <row r="1147" spans="1:7" ht="22.5" customHeight="1" x14ac:dyDescent="0.15">
      <c r="A1147" s="33"/>
      <c r="B1147" s="12"/>
      <c r="C1147" s="12"/>
      <c r="D1147" s="12"/>
      <c r="E1147" s="12"/>
      <c r="G1147" s="14"/>
    </row>
    <row r="1148" spans="1:7" ht="22.5" customHeight="1" x14ac:dyDescent="0.15">
      <c r="A1148" s="33"/>
      <c r="B1148" s="12"/>
      <c r="C1148" s="12"/>
      <c r="D1148" s="12"/>
      <c r="E1148" s="12"/>
      <c r="G1148" s="14"/>
    </row>
    <row r="1149" spans="1:7" ht="22.5" customHeight="1" x14ac:dyDescent="0.15">
      <c r="A1149" s="33"/>
      <c r="B1149" s="12"/>
      <c r="C1149" s="12"/>
      <c r="D1149" s="12"/>
      <c r="E1149" s="12"/>
      <c r="G1149" s="14"/>
    </row>
    <row r="1150" spans="1:7" ht="22.5" customHeight="1" x14ac:dyDescent="0.15">
      <c r="A1150" s="33"/>
      <c r="B1150" s="12"/>
      <c r="C1150" s="12"/>
      <c r="D1150" s="12"/>
      <c r="E1150" s="12"/>
      <c r="G1150" s="14"/>
    </row>
    <row r="1151" spans="1:7" ht="22.5" customHeight="1" x14ac:dyDescent="0.15">
      <c r="A1151" s="33"/>
      <c r="B1151" s="12"/>
      <c r="C1151" s="12"/>
      <c r="D1151" s="12"/>
      <c r="E1151" s="12"/>
      <c r="G1151" s="14"/>
    </row>
    <row r="1152" spans="1:7" ht="22.5" customHeight="1" x14ac:dyDescent="0.15">
      <c r="A1152" s="33"/>
      <c r="B1152" s="12"/>
      <c r="C1152" s="12"/>
      <c r="D1152" s="12"/>
      <c r="E1152" s="12"/>
      <c r="G1152" s="14"/>
    </row>
    <row r="1153" spans="1:7" ht="22.5" customHeight="1" x14ac:dyDescent="0.15">
      <c r="A1153" s="33"/>
      <c r="B1153" s="12"/>
      <c r="C1153" s="12"/>
      <c r="D1153" s="12"/>
      <c r="E1153" s="12"/>
      <c r="G1153" s="14"/>
    </row>
    <row r="1154" spans="1:7" ht="22.5" customHeight="1" x14ac:dyDescent="0.15">
      <c r="A1154" s="33"/>
      <c r="B1154" s="12"/>
      <c r="C1154" s="12"/>
      <c r="D1154" s="12"/>
      <c r="E1154" s="12"/>
      <c r="G1154" s="14"/>
    </row>
    <row r="1155" spans="1:7" ht="22.5" customHeight="1" x14ac:dyDescent="0.15">
      <c r="A1155" s="33"/>
      <c r="B1155" s="12"/>
      <c r="C1155" s="12"/>
      <c r="D1155" s="12"/>
      <c r="E1155" s="12"/>
      <c r="G1155" s="14"/>
    </row>
    <row r="1156" spans="1:7" ht="22.5" customHeight="1" x14ac:dyDescent="0.15">
      <c r="A1156" s="33"/>
      <c r="B1156" s="12"/>
      <c r="C1156" s="12"/>
      <c r="D1156" s="12"/>
      <c r="E1156" s="12"/>
      <c r="G1156" s="14"/>
    </row>
    <row r="1157" spans="1:7" ht="22.5" customHeight="1" x14ac:dyDescent="0.15">
      <c r="A1157" s="33"/>
      <c r="B1157" s="12"/>
      <c r="C1157" s="12"/>
      <c r="D1157" s="12"/>
      <c r="E1157" s="12"/>
      <c r="G1157" s="14"/>
    </row>
    <row r="1158" spans="1:7" ht="22.5" customHeight="1" x14ac:dyDescent="0.15">
      <c r="A1158" s="33"/>
      <c r="B1158" s="12"/>
      <c r="C1158" s="12"/>
      <c r="D1158" s="12"/>
      <c r="E1158" s="12"/>
      <c r="G1158" s="14"/>
    </row>
    <row r="1159" spans="1:7" ht="22.5" customHeight="1" x14ac:dyDescent="0.15">
      <c r="A1159" s="33"/>
      <c r="B1159" s="12"/>
      <c r="C1159" s="12"/>
      <c r="D1159" s="12"/>
      <c r="E1159" s="12"/>
      <c r="G1159" s="14"/>
    </row>
    <row r="1160" spans="1:7" ht="22.5" customHeight="1" x14ac:dyDescent="0.15">
      <c r="A1160" s="33"/>
      <c r="B1160" s="12"/>
      <c r="C1160" s="12"/>
      <c r="D1160" s="12"/>
      <c r="E1160" s="12"/>
      <c r="G1160" s="14"/>
    </row>
    <row r="1161" spans="1:7" ht="22.5" customHeight="1" x14ac:dyDescent="0.15">
      <c r="A1161" s="33"/>
      <c r="B1161" s="12"/>
      <c r="C1161" s="12"/>
      <c r="D1161" s="12"/>
      <c r="E1161" s="12"/>
      <c r="G1161" s="14"/>
    </row>
    <row r="1162" spans="1:7" ht="22.5" customHeight="1" x14ac:dyDescent="0.15">
      <c r="A1162" s="33"/>
      <c r="B1162" s="12"/>
      <c r="C1162" s="12"/>
      <c r="D1162" s="12"/>
      <c r="E1162" s="12"/>
      <c r="G1162" s="14"/>
    </row>
    <row r="1163" spans="1:7" ht="22.5" customHeight="1" x14ac:dyDescent="0.15">
      <c r="A1163" s="33"/>
      <c r="B1163" s="12"/>
      <c r="C1163" s="12"/>
      <c r="D1163" s="12"/>
      <c r="E1163" s="12"/>
      <c r="G1163" s="14"/>
    </row>
    <row r="1164" spans="1:7" ht="22.5" customHeight="1" x14ac:dyDescent="0.15">
      <c r="A1164" s="33"/>
      <c r="B1164" s="12"/>
      <c r="C1164" s="12"/>
      <c r="D1164" s="12"/>
      <c r="E1164" s="12"/>
      <c r="G1164" s="14"/>
    </row>
    <row r="1165" spans="1:7" ht="22.5" customHeight="1" x14ac:dyDescent="0.15">
      <c r="A1165" s="33"/>
      <c r="B1165" s="12"/>
      <c r="C1165" s="12"/>
      <c r="D1165" s="12"/>
      <c r="E1165" s="12"/>
      <c r="G1165" s="14"/>
    </row>
    <row r="1166" spans="1:7" ht="22.5" customHeight="1" x14ac:dyDescent="0.15">
      <c r="A1166" s="33"/>
      <c r="B1166" s="12"/>
      <c r="C1166" s="12"/>
      <c r="D1166" s="12"/>
      <c r="E1166" s="12"/>
      <c r="G1166" s="14"/>
    </row>
    <row r="1167" spans="1:7" ht="22.5" customHeight="1" x14ac:dyDescent="0.15">
      <c r="A1167" s="33"/>
      <c r="B1167" s="12"/>
      <c r="C1167" s="12"/>
      <c r="D1167" s="12"/>
      <c r="E1167" s="12"/>
      <c r="G1167" s="14"/>
    </row>
    <row r="1168" spans="1:7" ht="22.5" customHeight="1" x14ac:dyDescent="0.15">
      <c r="A1168" s="33"/>
      <c r="B1168" s="12"/>
      <c r="C1168" s="12"/>
      <c r="D1168" s="12"/>
      <c r="E1168" s="12"/>
      <c r="G1168" s="14"/>
    </row>
    <row r="1169" spans="1:7" ht="22.5" customHeight="1" x14ac:dyDescent="0.15">
      <c r="A1169" s="33"/>
      <c r="B1169" s="12"/>
      <c r="C1169" s="12"/>
      <c r="D1169" s="12"/>
      <c r="E1169" s="12"/>
      <c r="G1169" s="14"/>
    </row>
    <row r="1170" spans="1:7" ht="22.5" customHeight="1" x14ac:dyDescent="0.15">
      <c r="A1170" s="33"/>
      <c r="B1170" s="12"/>
      <c r="C1170" s="12"/>
      <c r="D1170" s="12"/>
      <c r="E1170" s="12"/>
      <c r="G1170" s="14"/>
    </row>
    <row r="1171" spans="1:7" ht="22.5" customHeight="1" x14ac:dyDescent="0.15">
      <c r="A1171" s="33"/>
      <c r="B1171" s="12"/>
      <c r="C1171" s="12"/>
      <c r="D1171" s="12"/>
      <c r="E1171" s="12"/>
      <c r="G1171" s="14"/>
    </row>
    <row r="1172" spans="1:7" ht="22.5" customHeight="1" x14ac:dyDescent="0.15">
      <c r="A1172" s="33"/>
      <c r="B1172" s="12"/>
      <c r="C1172" s="12"/>
      <c r="D1172" s="12"/>
      <c r="E1172" s="12"/>
      <c r="G1172" s="14"/>
    </row>
    <row r="1173" spans="1:7" ht="22.5" customHeight="1" x14ac:dyDescent="0.15">
      <c r="A1173" s="33"/>
      <c r="B1173" s="12"/>
      <c r="C1173" s="12"/>
      <c r="D1173" s="12"/>
      <c r="E1173" s="12"/>
      <c r="G1173" s="14"/>
    </row>
    <row r="1174" spans="1:7" ht="22.5" customHeight="1" x14ac:dyDescent="0.15">
      <c r="A1174" s="33"/>
      <c r="B1174" s="12"/>
      <c r="C1174" s="12"/>
      <c r="D1174" s="12"/>
      <c r="E1174" s="12"/>
      <c r="G1174" s="14"/>
    </row>
    <row r="1175" spans="1:7" ht="22.5" customHeight="1" x14ac:dyDescent="0.15">
      <c r="A1175" s="33"/>
      <c r="B1175" s="12"/>
      <c r="C1175" s="12"/>
      <c r="D1175" s="12"/>
      <c r="E1175" s="12"/>
      <c r="G1175" s="14"/>
    </row>
    <row r="1176" spans="1:7" ht="22.5" customHeight="1" x14ac:dyDescent="0.15">
      <c r="A1176" s="33"/>
      <c r="B1176" s="12"/>
      <c r="C1176" s="12"/>
      <c r="D1176" s="12"/>
      <c r="E1176" s="12"/>
      <c r="G1176" s="14"/>
    </row>
    <row r="1177" spans="1:7" ht="22.5" customHeight="1" x14ac:dyDescent="0.15">
      <c r="A1177" s="33"/>
      <c r="B1177" s="12"/>
      <c r="C1177" s="12"/>
      <c r="D1177" s="12"/>
      <c r="E1177" s="12"/>
      <c r="G1177" s="14"/>
    </row>
    <row r="1178" spans="1:7" ht="22.5" customHeight="1" x14ac:dyDescent="0.15">
      <c r="A1178" s="33"/>
      <c r="B1178" s="12"/>
      <c r="C1178" s="12"/>
      <c r="D1178" s="12"/>
      <c r="E1178" s="12"/>
      <c r="G1178" s="14"/>
    </row>
    <row r="1179" spans="1:7" ht="22.5" customHeight="1" x14ac:dyDescent="0.15">
      <c r="A1179" s="33"/>
      <c r="B1179" s="12"/>
      <c r="C1179" s="12"/>
      <c r="D1179" s="12"/>
      <c r="E1179" s="12"/>
      <c r="G1179" s="14"/>
    </row>
    <row r="1180" spans="1:7" ht="22.5" customHeight="1" x14ac:dyDescent="0.15">
      <c r="A1180" s="33"/>
      <c r="B1180" s="12"/>
      <c r="C1180" s="12"/>
      <c r="D1180" s="12"/>
      <c r="E1180" s="12"/>
      <c r="G1180" s="14"/>
    </row>
    <row r="1181" spans="1:7" ht="22.5" customHeight="1" x14ac:dyDescent="0.15">
      <c r="A1181" s="33"/>
      <c r="B1181" s="12"/>
      <c r="C1181" s="12"/>
      <c r="D1181" s="12"/>
      <c r="E1181" s="12"/>
      <c r="G1181" s="14"/>
    </row>
    <row r="1182" spans="1:7" ht="22.5" customHeight="1" x14ac:dyDescent="0.15">
      <c r="A1182" s="33"/>
      <c r="B1182" s="12"/>
      <c r="C1182" s="12"/>
      <c r="D1182" s="12"/>
      <c r="E1182" s="12"/>
      <c r="G1182" s="14"/>
    </row>
    <row r="1183" spans="1:7" ht="22.5" customHeight="1" x14ac:dyDescent="0.15">
      <c r="A1183" s="33"/>
      <c r="B1183" s="12"/>
      <c r="C1183" s="12"/>
      <c r="D1183" s="12"/>
      <c r="E1183" s="12"/>
      <c r="G1183" s="14"/>
    </row>
    <row r="1184" spans="1:7" ht="22.5" customHeight="1" x14ac:dyDescent="0.15">
      <c r="A1184" s="33"/>
      <c r="B1184" s="12"/>
      <c r="C1184" s="12"/>
      <c r="D1184" s="12"/>
      <c r="E1184" s="12"/>
      <c r="G1184" s="14"/>
    </row>
    <row r="1185" spans="1:7" ht="22.5" customHeight="1" x14ac:dyDescent="0.15">
      <c r="A1185" s="33"/>
      <c r="B1185" s="12"/>
      <c r="C1185" s="12"/>
      <c r="D1185" s="12"/>
      <c r="E1185" s="12"/>
      <c r="G1185" s="14"/>
    </row>
    <row r="1186" spans="1:7" ht="22.5" customHeight="1" x14ac:dyDescent="0.15">
      <c r="A1186" s="33"/>
      <c r="B1186" s="12"/>
      <c r="C1186" s="12"/>
      <c r="D1186" s="12"/>
      <c r="E1186" s="12"/>
      <c r="G1186" s="14"/>
    </row>
    <row r="1187" spans="1:7" ht="22.5" customHeight="1" x14ac:dyDescent="0.15">
      <c r="A1187" s="33"/>
      <c r="B1187" s="12"/>
      <c r="C1187" s="12"/>
      <c r="D1187" s="12"/>
      <c r="E1187" s="12"/>
      <c r="G1187" s="14"/>
    </row>
    <row r="1188" spans="1:7" ht="22.5" customHeight="1" x14ac:dyDescent="0.15">
      <c r="A1188" s="33"/>
      <c r="B1188" s="12"/>
      <c r="C1188" s="12"/>
      <c r="D1188" s="12"/>
      <c r="E1188" s="12"/>
      <c r="G1188" s="14"/>
    </row>
    <row r="1189" spans="1:7" ht="22.5" customHeight="1" x14ac:dyDescent="0.15">
      <c r="A1189" s="33"/>
      <c r="B1189" s="12"/>
      <c r="C1189" s="12"/>
      <c r="D1189" s="12"/>
      <c r="E1189" s="12"/>
      <c r="G1189" s="14"/>
    </row>
    <row r="1190" spans="1:7" ht="22.5" customHeight="1" x14ac:dyDescent="0.15">
      <c r="A1190" s="33"/>
      <c r="B1190" s="12"/>
      <c r="C1190" s="12"/>
      <c r="D1190" s="12"/>
      <c r="E1190" s="12"/>
      <c r="G1190" s="14"/>
    </row>
    <row r="1191" spans="1:7" ht="22.5" customHeight="1" x14ac:dyDescent="0.15">
      <c r="A1191" s="33"/>
      <c r="B1191" s="12"/>
      <c r="C1191" s="12"/>
      <c r="D1191" s="12"/>
      <c r="E1191" s="12"/>
      <c r="G1191" s="14"/>
    </row>
    <row r="1192" spans="1:7" ht="22.5" customHeight="1" x14ac:dyDescent="0.15">
      <c r="A1192" s="33"/>
      <c r="B1192" s="12"/>
      <c r="C1192" s="12"/>
      <c r="D1192" s="12"/>
      <c r="E1192" s="12"/>
      <c r="G1192" s="14"/>
    </row>
    <row r="1193" spans="1:7" ht="22.5" customHeight="1" x14ac:dyDescent="0.15">
      <c r="A1193" s="33"/>
      <c r="B1193" s="12"/>
      <c r="C1193" s="12"/>
      <c r="D1193" s="12"/>
      <c r="E1193" s="12"/>
      <c r="G1193" s="14"/>
    </row>
    <row r="1194" spans="1:7" ht="22.5" customHeight="1" x14ac:dyDescent="0.15">
      <c r="A1194" s="33"/>
      <c r="B1194" s="12"/>
      <c r="C1194" s="12"/>
      <c r="D1194" s="12"/>
      <c r="E1194" s="12"/>
      <c r="G1194" s="14"/>
    </row>
    <row r="1195" spans="1:7" ht="22.5" customHeight="1" x14ac:dyDescent="0.15">
      <c r="A1195" s="33"/>
      <c r="B1195" s="12"/>
      <c r="C1195" s="12"/>
      <c r="D1195" s="12"/>
      <c r="E1195" s="12"/>
      <c r="G1195" s="14"/>
    </row>
    <row r="1196" spans="1:7" ht="22.5" customHeight="1" x14ac:dyDescent="0.15">
      <c r="A1196" s="33"/>
      <c r="B1196" s="12"/>
      <c r="C1196" s="12"/>
      <c r="D1196" s="12"/>
      <c r="E1196" s="12"/>
      <c r="G1196" s="14"/>
    </row>
    <row r="1197" spans="1:7" ht="22.5" customHeight="1" x14ac:dyDescent="0.15">
      <c r="A1197" s="33"/>
      <c r="B1197" s="12"/>
      <c r="C1197" s="12"/>
      <c r="D1197" s="12"/>
      <c r="E1197" s="12"/>
      <c r="G1197" s="14"/>
    </row>
    <row r="1198" spans="1:7" ht="22.5" customHeight="1" x14ac:dyDescent="0.15">
      <c r="A1198" s="33"/>
      <c r="B1198" s="12"/>
      <c r="C1198" s="12"/>
      <c r="D1198" s="12"/>
      <c r="E1198" s="12"/>
      <c r="G1198" s="14"/>
    </row>
    <row r="1199" spans="1:7" ht="22.5" customHeight="1" x14ac:dyDescent="0.15">
      <c r="A1199" s="33"/>
      <c r="B1199" s="12"/>
      <c r="C1199" s="12"/>
      <c r="D1199" s="12"/>
      <c r="E1199" s="12"/>
      <c r="G1199" s="14"/>
    </row>
    <row r="1200" spans="1:7" ht="22.5" customHeight="1" x14ac:dyDescent="0.15">
      <c r="A1200" s="33"/>
      <c r="B1200" s="12"/>
      <c r="C1200" s="12"/>
      <c r="D1200" s="12"/>
      <c r="E1200" s="12"/>
      <c r="G1200" s="14"/>
    </row>
    <row r="1201" spans="1:7" ht="22.5" customHeight="1" x14ac:dyDescent="0.15">
      <c r="A1201" s="33"/>
      <c r="B1201" s="12"/>
      <c r="C1201" s="12"/>
      <c r="D1201" s="12"/>
      <c r="E1201" s="12"/>
      <c r="G1201" s="14"/>
    </row>
    <row r="1202" spans="1:7" ht="22.5" customHeight="1" x14ac:dyDescent="0.15">
      <c r="A1202" s="33"/>
      <c r="B1202" s="12"/>
      <c r="C1202" s="12"/>
      <c r="D1202" s="12"/>
      <c r="E1202" s="12"/>
      <c r="G1202" s="14"/>
    </row>
    <row r="1203" spans="1:7" ht="22.5" customHeight="1" x14ac:dyDescent="0.15">
      <c r="A1203" s="33"/>
      <c r="B1203" s="12"/>
      <c r="C1203" s="12"/>
      <c r="D1203" s="12"/>
      <c r="E1203" s="12"/>
      <c r="G1203" s="14"/>
    </row>
    <row r="1204" spans="1:7" ht="22.5" customHeight="1" x14ac:dyDescent="0.15">
      <c r="A1204" s="33"/>
      <c r="B1204" s="12"/>
      <c r="C1204" s="12"/>
      <c r="D1204" s="12"/>
      <c r="E1204" s="12"/>
      <c r="G1204" s="14"/>
    </row>
    <row r="1205" spans="1:7" ht="22.5" customHeight="1" x14ac:dyDescent="0.15">
      <c r="A1205" s="33"/>
      <c r="B1205" s="12"/>
      <c r="C1205" s="12"/>
      <c r="D1205" s="12"/>
      <c r="E1205" s="12"/>
      <c r="G1205" s="14"/>
    </row>
    <row r="1206" spans="1:7" ht="22.5" customHeight="1" x14ac:dyDescent="0.15">
      <c r="A1206" s="33"/>
      <c r="B1206" s="12"/>
      <c r="C1206" s="12"/>
      <c r="D1206" s="12"/>
      <c r="E1206" s="12"/>
      <c r="G1206" s="14"/>
    </row>
    <row r="1207" spans="1:7" ht="22.5" customHeight="1" x14ac:dyDescent="0.15">
      <c r="A1207" s="33"/>
      <c r="B1207" s="12"/>
      <c r="C1207" s="12"/>
      <c r="D1207" s="12"/>
      <c r="E1207" s="12"/>
      <c r="G1207" s="14"/>
    </row>
    <row r="1208" spans="1:7" ht="22.5" customHeight="1" x14ac:dyDescent="0.15">
      <c r="A1208" s="33"/>
      <c r="B1208" s="12"/>
      <c r="C1208" s="12"/>
      <c r="D1208" s="12"/>
      <c r="E1208" s="12"/>
      <c r="G1208" s="14"/>
    </row>
    <row r="1209" spans="1:7" ht="22.5" customHeight="1" x14ac:dyDescent="0.15">
      <c r="A1209" s="33"/>
      <c r="B1209" s="12"/>
      <c r="C1209" s="12"/>
      <c r="D1209" s="12"/>
      <c r="E1209" s="12"/>
      <c r="G1209" s="14"/>
    </row>
    <row r="1210" spans="1:7" ht="22.5" customHeight="1" x14ac:dyDescent="0.15">
      <c r="A1210" s="33"/>
      <c r="B1210" s="12"/>
      <c r="C1210" s="12"/>
      <c r="D1210" s="12"/>
      <c r="E1210" s="12"/>
      <c r="G1210" s="14"/>
    </row>
    <row r="1211" spans="1:7" ht="22.5" customHeight="1" x14ac:dyDescent="0.15">
      <c r="A1211" s="33"/>
      <c r="B1211" s="12"/>
      <c r="C1211" s="12"/>
      <c r="D1211" s="12"/>
      <c r="E1211" s="12"/>
      <c r="G1211" s="14"/>
    </row>
    <row r="1212" spans="1:7" ht="22.5" customHeight="1" x14ac:dyDescent="0.15">
      <c r="A1212" s="33"/>
      <c r="B1212" s="12"/>
      <c r="C1212" s="12"/>
      <c r="D1212" s="12"/>
      <c r="E1212" s="12"/>
      <c r="G1212" s="14"/>
    </row>
    <row r="1213" spans="1:7" ht="22.5" customHeight="1" x14ac:dyDescent="0.15">
      <c r="A1213" s="33"/>
      <c r="B1213" s="12"/>
      <c r="C1213" s="12"/>
      <c r="D1213" s="12"/>
      <c r="E1213" s="12"/>
      <c r="G1213" s="14"/>
    </row>
    <row r="1214" spans="1:7" ht="22.5" customHeight="1" x14ac:dyDescent="0.15">
      <c r="A1214" s="33"/>
      <c r="B1214" s="12"/>
      <c r="C1214" s="12"/>
      <c r="D1214" s="12"/>
      <c r="E1214" s="12"/>
      <c r="G1214" s="14"/>
    </row>
    <row r="1215" spans="1:7" ht="22.5" customHeight="1" x14ac:dyDescent="0.15">
      <c r="A1215" s="33"/>
      <c r="B1215" s="12"/>
      <c r="C1215" s="12"/>
      <c r="D1215" s="12"/>
      <c r="E1215" s="12"/>
      <c r="G1215" s="14"/>
    </row>
    <row r="1216" spans="1:7" ht="22.5" customHeight="1" x14ac:dyDescent="0.15">
      <c r="A1216" s="33"/>
      <c r="B1216" s="12"/>
      <c r="C1216" s="12"/>
      <c r="D1216" s="12"/>
      <c r="E1216" s="12"/>
      <c r="G1216" s="14"/>
    </row>
    <row r="1217" spans="1:7" ht="22.5" customHeight="1" x14ac:dyDescent="0.15">
      <c r="A1217" s="33"/>
      <c r="B1217" s="12"/>
      <c r="C1217" s="12"/>
      <c r="D1217" s="12"/>
      <c r="E1217" s="12"/>
      <c r="G1217" s="14"/>
    </row>
    <row r="1218" spans="1:7" ht="22.5" customHeight="1" x14ac:dyDescent="0.15">
      <c r="A1218" s="33"/>
      <c r="B1218" s="12"/>
      <c r="C1218" s="12"/>
      <c r="D1218" s="12"/>
      <c r="E1218" s="12"/>
      <c r="G1218" s="14"/>
    </row>
    <row r="1219" spans="1:7" ht="22.5" customHeight="1" x14ac:dyDescent="0.15">
      <c r="A1219" s="33"/>
      <c r="B1219" s="12"/>
      <c r="C1219" s="12"/>
      <c r="D1219" s="12"/>
      <c r="E1219" s="12"/>
      <c r="G1219" s="14"/>
    </row>
    <row r="1220" spans="1:7" ht="22.5" customHeight="1" x14ac:dyDescent="0.15">
      <c r="A1220" s="33"/>
      <c r="B1220" s="12"/>
      <c r="C1220" s="12"/>
      <c r="D1220" s="12"/>
      <c r="E1220" s="12"/>
      <c r="G1220" s="14"/>
    </row>
    <row r="1221" spans="1:7" ht="22.5" customHeight="1" x14ac:dyDescent="0.15">
      <c r="A1221" s="33"/>
      <c r="B1221" s="12"/>
      <c r="C1221" s="12"/>
      <c r="D1221" s="12"/>
      <c r="E1221" s="12"/>
      <c r="G1221" s="14"/>
    </row>
    <row r="1222" spans="1:7" ht="22.5" customHeight="1" x14ac:dyDescent="0.15">
      <c r="A1222" s="33"/>
      <c r="B1222" s="12"/>
      <c r="C1222" s="12"/>
      <c r="D1222" s="12"/>
      <c r="E1222" s="12"/>
      <c r="G1222" s="14"/>
    </row>
    <row r="1223" spans="1:7" ht="22.5" customHeight="1" x14ac:dyDescent="0.15">
      <c r="A1223" s="33"/>
      <c r="B1223" s="12"/>
      <c r="C1223" s="12"/>
      <c r="D1223" s="12"/>
      <c r="E1223" s="12"/>
      <c r="G1223" s="14"/>
    </row>
    <row r="1224" spans="1:7" ht="22.5" customHeight="1" x14ac:dyDescent="0.15">
      <c r="A1224" s="33"/>
      <c r="B1224" s="12"/>
      <c r="C1224" s="12"/>
      <c r="D1224" s="12"/>
      <c r="E1224" s="12"/>
      <c r="G1224" s="14"/>
    </row>
    <row r="1225" spans="1:7" ht="22.5" customHeight="1" x14ac:dyDescent="0.15">
      <c r="A1225" s="33"/>
      <c r="B1225" s="12"/>
      <c r="C1225" s="12"/>
      <c r="D1225" s="12"/>
      <c r="E1225" s="12"/>
      <c r="G1225" s="14"/>
    </row>
    <row r="1226" spans="1:7" ht="22.5" customHeight="1" x14ac:dyDescent="0.15">
      <c r="A1226" s="33"/>
      <c r="B1226" s="12"/>
      <c r="C1226" s="12"/>
      <c r="D1226" s="12"/>
      <c r="E1226" s="12"/>
      <c r="G1226" s="14"/>
    </row>
    <row r="1227" spans="1:7" ht="22.5" customHeight="1" x14ac:dyDescent="0.15">
      <c r="A1227" s="33"/>
      <c r="B1227" s="12"/>
      <c r="C1227" s="12"/>
      <c r="D1227" s="12"/>
      <c r="E1227" s="12"/>
      <c r="G1227" s="14"/>
    </row>
    <row r="1228" spans="1:7" ht="22.5" customHeight="1" x14ac:dyDescent="0.15">
      <c r="A1228" s="33"/>
      <c r="B1228" s="12"/>
      <c r="C1228" s="12"/>
      <c r="D1228" s="12"/>
      <c r="E1228" s="12"/>
      <c r="G1228" s="14"/>
    </row>
    <row r="1229" spans="1:7" ht="22.5" customHeight="1" x14ac:dyDescent="0.15">
      <c r="A1229" s="33"/>
      <c r="B1229" s="12"/>
      <c r="C1229" s="12"/>
      <c r="D1229" s="12"/>
      <c r="E1229" s="12"/>
      <c r="G1229" s="14"/>
    </row>
    <row r="1230" spans="1:7" ht="22.5" customHeight="1" x14ac:dyDescent="0.15">
      <c r="A1230" s="33"/>
      <c r="B1230" s="12"/>
      <c r="C1230" s="12"/>
      <c r="D1230" s="12"/>
      <c r="E1230" s="12"/>
      <c r="G1230" s="14"/>
    </row>
    <row r="1231" spans="1:7" ht="22.5" customHeight="1" x14ac:dyDescent="0.15">
      <c r="A1231" s="33"/>
      <c r="B1231" s="12"/>
      <c r="C1231" s="12"/>
      <c r="D1231" s="12"/>
      <c r="E1231" s="12"/>
      <c r="G1231" s="14"/>
    </row>
    <row r="1232" spans="1:7" ht="22.5" customHeight="1" x14ac:dyDescent="0.15">
      <c r="A1232" s="33"/>
      <c r="B1232" s="12"/>
      <c r="C1232" s="12"/>
      <c r="D1232" s="12"/>
      <c r="E1232" s="12"/>
      <c r="G1232" s="14"/>
    </row>
    <row r="1233" spans="1:7" ht="22.5" customHeight="1" x14ac:dyDescent="0.15">
      <c r="A1233" s="33"/>
      <c r="B1233" s="12"/>
      <c r="C1233" s="12"/>
      <c r="D1233" s="12"/>
      <c r="E1233" s="12"/>
      <c r="G1233" s="14"/>
    </row>
    <row r="1234" spans="1:7" ht="22.5" customHeight="1" x14ac:dyDescent="0.15">
      <c r="A1234" s="33"/>
      <c r="B1234" s="12"/>
      <c r="C1234" s="12"/>
      <c r="D1234" s="12"/>
      <c r="E1234" s="12"/>
      <c r="G1234" s="14"/>
    </row>
    <row r="1235" spans="1:7" ht="22.5" customHeight="1" x14ac:dyDescent="0.15">
      <c r="A1235" s="33"/>
      <c r="B1235" s="12"/>
      <c r="C1235" s="12"/>
      <c r="D1235" s="12"/>
      <c r="E1235" s="12"/>
      <c r="G1235" s="14"/>
    </row>
    <row r="1236" spans="1:7" ht="22.5" customHeight="1" x14ac:dyDescent="0.15">
      <c r="A1236" s="33"/>
      <c r="B1236" s="12"/>
      <c r="C1236" s="12"/>
      <c r="D1236" s="12"/>
      <c r="E1236" s="12"/>
      <c r="G1236" s="14"/>
    </row>
    <row r="1237" spans="1:7" ht="22.5" customHeight="1" x14ac:dyDescent="0.15">
      <c r="A1237" s="33"/>
      <c r="B1237" s="12"/>
      <c r="C1237" s="12"/>
      <c r="D1237" s="12"/>
      <c r="E1237" s="12"/>
      <c r="G1237" s="14"/>
    </row>
    <row r="1238" spans="1:7" ht="22.5" customHeight="1" x14ac:dyDescent="0.15">
      <c r="A1238" s="33"/>
      <c r="B1238" s="12"/>
      <c r="C1238" s="12"/>
      <c r="D1238" s="12"/>
      <c r="E1238" s="12"/>
      <c r="G1238" s="14"/>
    </row>
    <row r="1239" spans="1:7" ht="22.5" customHeight="1" x14ac:dyDescent="0.15">
      <c r="A1239" s="33"/>
      <c r="B1239" s="12"/>
      <c r="C1239" s="12"/>
      <c r="D1239" s="12"/>
      <c r="E1239" s="12"/>
      <c r="G1239" s="14"/>
    </row>
    <row r="1240" spans="1:7" ht="22.5" customHeight="1" x14ac:dyDescent="0.15">
      <c r="A1240" s="33"/>
      <c r="B1240" s="12"/>
      <c r="C1240" s="12"/>
      <c r="D1240" s="12"/>
      <c r="E1240" s="12"/>
      <c r="G1240" s="14"/>
    </row>
    <row r="1241" spans="1:7" ht="22.5" customHeight="1" x14ac:dyDescent="0.15">
      <c r="A1241" s="33"/>
      <c r="B1241" s="12"/>
      <c r="C1241" s="12"/>
      <c r="D1241" s="12"/>
      <c r="E1241" s="12"/>
      <c r="G1241" s="14"/>
    </row>
    <row r="1242" spans="1:7" ht="22.5" customHeight="1" x14ac:dyDescent="0.15">
      <c r="A1242" s="33"/>
      <c r="B1242" s="12"/>
      <c r="C1242" s="12"/>
      <c r="D1242" s="12"/>
      <c r="E1242" s="12"/>
      <c r="G1242" s="14"/>
    </row>
    <row r="1243" spans="1:7" ht="22.5" customHeight="1" x14ac:dyDescent="0.15">
      <c r="A1243" s="33"/>
      <c r="B1243" s="12"/>
      <c r="C1243" s="12"/>
      <c r="D1243" s="12"/>
      <c r="E1243" s="12"/>
      <c r="G1243" s="14"/>
    </row>
    <row r="1244" spans="1:7" ht="22.5" customHeight="1" x14ac:dyDescent="0.15">
      <c r="A1244" s="33"/>
      <c r="B1244" s="12"/>
      <c r="C1244" s="12"/>
      <c r="D1244" s="12"/>
      <c r="E1244" s="12"/>
      <c r="G1244" s="14"/>
    </row>
    <row r="1245" spans="1:7" ht="22.5" customHeight="1" x14ac:dyDescent="0.15">
      <c r="A1245" s="33"/>
      <c r="B1245" s="12"/>
      <c r="C1245" s="12"/>
      <c r="D1245" s="12"/>
      <c r="E1245" s="12"/>
      <c r="G1245" s="14"/>
    </row>
    <row r="1246" spans="1:7" ht="22.5" customHeight="1" x14ac:dyDescent="0.15">
      <c r="A1246" s="33"/>
      <c r="B1246" s="12"/>
      <c r="C1246" s="12"/>
      <c r="D1246" s="12"/>
      <c r="E1246" s="12"/>
      <c r="G1246" s="14"/>
    </row>
    <row r="1247" spans="1:7" ht="22.5" customHeight="1" x14ac:dyDescent="0.15">
      <c r="A1247" s="33"/>
      <c r="B1247" s="12"/>
      <c r="C1247" s="12"/>
      <c r="D1247" s="12"/>
      <c r="E1247" s="12"/>
      <c r="G1247" s="14"/>
    </row>
    <row r="1248" spans="1:7" ht="22.5" customHeight="1" x14ac:dyDescent="0.15">
      <c r="A1248" s="33"/>
      <c r="B1248" s="12"/>
      <c r="C1248" s="12"/>
      <c r="D1248" s="12"/>
      <c r="E1248" s="12"/>
      <c r="G1248" s="14"/>
    </row>
    <row r="1249" spans="1:7" ht="22.5" customHeight="1" x14ac:dyDescent="0.15">
      <c r="A1249" s="33"/>
      <c r="B1249" s="12"/>
      <c r="C1249" s="12"/>
      <c r="D1249" s="12"/>
      <c r="E1249" s="12"/>
      <c r="G1249" s="14"/>
    </row>
    <row r="1250" spans="1:7" ht="22.5" customHeight="1" x14ac:dyDescent="0.15">
      <c r="A1250" s="33"/>
      <c r="B1250" s="12"/>
      <c r="C1250" s="12"/>
      <c r="D1250" s="12"/>
      <c r="E1250" s="12"/>
      <c r="G1250" s="14"/>
    </row>
    <row r="1251" spans="1:7" ht="22.5" customHeight="1" x14ac:dyDescent="0.15">
      <c r="A1251" s="33"/>
      <c r="B1251" s="12"/>
      <c r="C1251" s="12"/>
      <c r="D1251" s="12"/>
      <c r="E1251" s="12"/>
      <c r="G1251" s="14"/>
    </row>
    <row r="1252" spans="1:7" ht="22.5" customHeight="1" x14ac:dyDescent="0.15">
      <c r="A1252" s="33"/>
      <c r="B1252" s="12"/>
      <c r="C1252" s="12"/>
      <c r="D1252" s="12"/>
      <c r="E1252" s="12"/>
      <c r="G1252" s="14"/>
    </row>
    <row r="1253" spans="1:7" ht="22.5" customHeight="1" x14ac:dyDescent="0.15">
      <c r="A1253" s="33"/>
      <c r="B1253" s="12"/>
      <c r="C1253" s="12"/>
      <c r="D1253" s="12"/>
      <c r="E1253" s="12"/>
      <c r="G1253" s="14"/>
    </row>
    <row r="1254" spans="1:7" ht="22.5" customHeight="1" x14ac:dyDescent="0.15">
      <c r="A1254" s="33"/>
      <c r="B1254" s="12"/>
      <c r="C1254" s="12"/>
      <c r="D1254" s="12"/>
      <c r="E1254" s="12"/>
      <c r="G1254" s="14"/>
    </row>
    <row r="1255" spans="1:7" ht="22.5" customHeight="1" x14ac:dyDescent="0.15">
      <c r="A1255" s="33"/>
      <c r="B1255" s="12"/>
      <c r="C1255" s="12"/>
      <c r="D1255" s="12"/>
      <c r="E1255" s="12"/>
      <c r="G1255" s="14"/>
    </row>
    <row r="1256" spans="1:7" ht="22.5" customHeight="1" x14ac:dyDescent="0.15">
      <c r="A1256" s="33"/>
      <c r="B1256" s="12"/>
      <c r="C1256" s="12"/>
      <c r="D1256" s="12"/>
      <c r="E1256" s="12"/>
      <c r="G1256" s="14"/>
    </row>
    <row r="1257" spans="1:7" ht="22.5" customHeight="1" x14ac:dyDescent="0.15">
      <c r="A1257" s="33"/>
      <c r="B1257" s="12"/>
      <c r="C1257" s="12"/>
      <c r="D1257" s="12"/>
      <c r="E1257" s="12"/>
      <c r="G1257" s="14"/>
    </row>
    <row r="1258" spans="1:7" ht="22.5" customHeight="1" x14ac:dyDescent="0.15">
      <c r="A1258" s="33"/>
      <c r="B1258" s="12"/>
      <c r="C1258" s="12"/>
      <c r="D1258" s="12"/>
      <c r="E1258" s="12"/>
      <c r="G1258" s="14"/>
    </row>
    <row r="1259" spans="1:7" ht="22.5" customHeight="1" x14ac:dyDescent="0.15">
      <c r="A1259" s="33"/>
      <c r="B1259" s="12"/>
      <c r="C1259" s="12"/>
      <c r="D1259" s="12"/>
      <c r="E1259" s="12"/>
      <c r="G1259" s="14"/>
    </row>
    <row r="1260" spans="1:7" ht="22.5" customHeight="1" x14ac:dyDescent="0.15">
      <c r="A1260" s="33"/>
      <c r="B1260" s="12"/>
      <c r="C1260" s="12"/>
      <c r="D1260" s="12"/>
      <c r="E1260" s="12"/>
      <c r="G1260" s="14"/>
    </row>
    <row r="1261" spans="1:7" ht="22.5" customHeight="1" x14ac:dyDescent="0.15">
      <c r="A1261" s="33"/>
      <c r="B1261" s="12"/>
      <c r="C1261" s="12"/>
      <c r="D1261" s="12"/>
      <c r="E1261" s="12"/>
      <c r="G1261" s="14"/>
    </row>
    <row r="1262" spans="1:7" ht="22.5" customHeight="1" x14ac:dyDescent="0.15">
      <c r="A1262" s="33"/>
      <c r="B1262" s="12"/>
      <c r="C1262" s="12"/>
      <c r="D1262" s="12"/>
      <c r="E1262" s="12"/>
      <c r="G1262" s="14"/>
    </row>
    <row r="1263" spans="1:7" ht="22.5" customHeight="1" x14ac:dyDescent="0.15">
      <c r="A1263" s="33"/>
      <c r="B1263" s="12"/>
      <c r="C1263" s="12"/>
      <c r="D1263" s="12"/>
      <c r="E1263" s="12"/>
      <c r="G1263" s="14"/>
    </row>
    <row r="1264" spans="1:7" ht="22.5" customHeight="1" x14ac:dyDescent="0.15">
      <c r="A1264" s="33"/>
      <c r="B1264" s="12"/>
      <c r="C1264" s="12"/>
      <c r="D1264" s="12"/>
      <c r="E1264" s="12"/>
      <c r="G1264" s="14"/>
    </row>
    <row r="1265" spans="1:7" ht="22.5" customHeight="1" x14ac:dyDescent="0.15">
      <c r="A1265" s="33"/>
      <c r="B1265" s="12"/>
      <c r="C1265" s="12"/>
      <c r="D1265" s="12"/>
      <c r="E1265" s="12"/>
      <c r="G1265" s="14"/>
    </row>
    <row r="1266" spans="1:7" ht="22.5" customHeight="1" x14ac:dyDescent="0.15">
      <c r="A1266" s="33"/>
      <c r="B1266" s="12"/>
      <c r="C1266" s="12"/>
      <c r="D1266" s="12"/>
      <c r="E1266" s="12"/>
      <c r="G1266" s="14"/>
    </row>
    <row r="1267" spans="1:7" ht="22.5" customHeight="1" x14ac:dyDescent="0.15">
      <c r="A1267" s="33"/>
      <c r="B1267" s="12"/>
      <c r="C1267" s="12"/>
      <c r="D1267" s="12"/>
      <c r="E1267" s="12"/>
      <c r="G1267" s="14"/>
    </row>
    <row r="1268" spans="1:7" ht="22.5" customHeight="1" x14ac:dyDescent="0.15">
      <c r="A1268" s="33"/>
      <c r="B1268" s="12"/>
      <c r="C1268" s="12"/>
      <c r="D1268" s="12"/>
      <c r="E1268" s="12"/>
      <c r="G1268" s="14"/>
    </row>
    <row r="1269" spans="1:7" ht="22.5" customHeight="1" x14ac:dyDescent="0.15">
      <c r="A1269" s="33"/>
      <c r="B1269" s="12"/>
      <c r="C1269" s="12"/>
      <c r="D1269" s="12"/>
      <c r="E1269" s="12"/>
      <c r="G1269" s="14"/>
    </row>
    <row r="1270" spans="1:7" ht="22.5" customHeight="1" x14ac:dyDescent="0.15">
      <c r="A1270" s="33"/>
      <c r="B1270" s="12"/>
      <c r="C1270" s="12"/>
      <c r="D1270" s="12"/>
      <c r="E1270" s="12"/>
      <c r="G1270" s="14"/>
    </row>
    <row r="1271" spans="1:7" ht="22.5" customHeight="1" x14ac:dyDescent="0.15">
      <c r="A1271" s="33"/>
      <c r="B1271" s="12"/>
      <c r="C1271" s="12"/>
      <c r="D1271" s="12"/>
      <c r="E1271" s="12"/>
      <c r="G1271" s="14"/>
    </row>
    <row r="1272" spans="1:7" ht="22.5" customHeight="1" x14ac:dyDescent="0.15">
      <c r="A1272" s="33"/>
      <c r="B1272" s="12"/>
      <c r="C1272" s="12"/>
      <c r="D1272" s="12"/>
      <c r="E1272" s="12"/>
      <c r="G1272" s="14"/>
    </row>
    <row r="1273" spans="1:7" ht="22.5" customHeight="1" x14ac:dyDescent="0.15">
      <c r="A1273" s="33"/>
      <c r="B1273" s="12"/>
      <c r="C1273" s="12"/>
      <c r="D1273" s="12"/>
      <c r="E1273" s="12"/>
      <c r="G1273" s="14"/>
    </row>
    <row r="1274" spans="1:7" ht="22.5" customHeight="1" x14ac:dyDescent="0.15">
      <c r="A1274" s="33"/>
      <c r="B1274" s="12"/>
      <c r="C1274" s="12"/>
      <c r="D1274" s="12"/>
      <c r="E1274" s="12"/>
      <c r="G1274" s="14"/>
    </row>
    <row r="1275" spans="1:7" ht="22.5" customHeight="1" x14ac:dyDescent="0.15">
      <c r="A1275" s="33"/>
      <c r="B1275" s="12"/>
      <c r="C1275" s="12"/>
      <c r="D1275" s="12"/>
      <c r="E1275" s="12"/>
      <c r="G1275" s="14"/>
    </row>
    <row r="1276" spans="1:7" ht="22.5" customHeight="1" x14ac:dyDescent="0.15">
      <c r="A1276" s="33"/>
      <c r="B1276" s="12"/>
      <c r="C1276" s="12"/>
      <c r="D1276" s="12"/>
      <c r="E1276" s="12"/>
      <c r="G1276" s="14"/>
    </row>
    <row r="1277" spans="1:7" ht="22.5" customHeight="1" x14ac:dyDescent="0.15">
      <c r="A1277" s="33"/>
      <c r="B1277" s="12"/>
      <c r="C1277" s="12"/>
      <c r="D1277" s="12"/>
      <c r="E1277" s="12"/>
      <c r="G1277" s="14"/>
    </row>
    <row r="1278" spans="1:7" ht="22.5" customHeight="1" x14ac:dyDescent="0.15">
      <c r="A1278" s="33"/>
      <c r="B1278" s="12"/>
      <c r="C1278" s="12"/>
      <c r="D1278" s="12"/>
      <c r="E1278" s="12"/>
      <c r="G1278" s="14"/>
    </row>
    <row r="1279" spans="1:7" ht="22.5" customHeight="1" x14ac:dyDescent="0.15">
      <c r="A1279" s="33"/>
      <c r="B1279" s="12"/>
      <c r="C1279" s="12"/>
      <c r="D1279" s="12"/>
      <c r="E1279" s="12"/>
      <c r="G1279" s="14"/>
    </row>
    <row r="1280" spans="1:7" ht="22.5" customHeight="1" x14ac:dyDescent="0.15">
      <c r="A1280" s="33"/>
      <c r="B1280" s="12"/>
      <c r="C1280" s="12"/>
      <c r="D1280" s="12"/>
      <c r="E1280" s="12"/>
      <c r="G1280" s="14"/>
    </row>
    <row r="1281" spans="1:7" ht="22.5" customHeight="1" x14ac:dyDescent="0.15">
      <c r="A1281" s="33"/>
      <c r="B1281" s="12"/>
      <c r="C1281" s="12"/>
      <c r="D1281" s="12"/>
      <c r="E1281" s="12"/>
      <c r="G1281" s="14"/>
    </row>
    <row r="1282" spans="1:7" ht="22.5" customHeight="1" x14ac:dyDescent="0.15">
      <c r="A1282" s="33"/>
      <c r="B1282" s="12"/>
      <c r="C1282" s="12"/>
      <c r="D1282" s="12"/>
      <c r="E1282" s="12"/>
      <c r="G1282" s="14"/>
    </row>
    <row r="1283" spans="1:7" ht="22.5" customHeight="1" x14ac:dyDescent="0.15">
      <c r="A1283" s="33"/>
      <c r="B1283" s="12"/>
      <c r="C1283" s="12"/>
      <c r="D1283" s="12"/>
      <c r="E1283" s="12"/>
      <c r="G1283" s="14"/>
    </row>
    <row r="1284" spans="1:7" ht="22.5" customHeight="1" x14ac:dyDescent="0.15">
      <c r="A1284" s="33"/>
      <c r="B1284" s="12"/>
      <c r="C1284" s="12"/>
      <c r="D1284" s="12"/>
      <c r="E1284" s="12"/>
      <c r="G1284" s="14"/>
    </row>
    <row r="1285" spans="1:7" ht="22.5" customHeight="1" x14ac:dyDescent="0.15">
      <c r="A1285" s="33"/>
      <c r="B1285" s="12"/>
      <c r="C1285" s="12"/>
      <c r="D1285" s="12"/>
      <c r="E1285" s="12"/>
      <c r="G1285" s="14"/>
    </row>
    <row r="1286" spans="1:7" ht="22.5" customHeight="1" x14ac:dyDescent="0.15">
      <c r="A1286" s="33"/>
      <c r="B1286" s="12"/>
      <c r="C1286" s="12"/>
      <c r="D1286" s="12"/>
      <c r="E1286" s="12"/>
      <c r="G1286" s="14"/>
    </row>
    <row r="1287" spans="1:7" ht="22.5" customHeight="1" x14ac:dyDescent="0.15">
      <c r="A1287" s="33"/>
      <c r="B1287" s="12"/>
      <c r="C1287" s="12"/>
      <c r="D1287" s="12"/>
      <c r="E1287" s="12"/>
      <c r="G1287" s="14"/>
    </row>
    <row r="1288" spans="1:7" ht="22.5" customHeight="1" x14ac:dyDescent="0.15">
      <c r="A1288" s="33"/>
      <c r="B1288" s="12"/>
      <c r="C1288" s="12"/>
      <c r="D1288" s="12"/>
      <c r="E1288" s="12"/>
      <c r="G1288" s="14"/>
    </row>
    <row r="1289" spans="1:7" ht="22.5" customHeight="1" x14ac:dyDescent="0.15">
      <c r="A1289" s="33"/>
      <c r="B1289" s="12"/>
      <c r="C1289" s="12"/>
      <c r="D1289" s="12"/>
      <c r="E1289" s="12"/>
      <c r="G1289" s="14"/>
    </row>
    <row r="1290" spans="1:7" ht="22.5" customHeight="1" x14ac:dyDescent="0.15">
      <c r="A1290" s="33"/>
      <c r="B1290" s="12"/>
      <c r="C1290" s="12"/>
      <c r="D1290" s="12"/>
      <c r="E1290" s="12"/>
      <c r="G1290" s="14"/>
    </row>
    <row r="1291" spans="1:7" ht="22.5" customHeight="1" x14ac:dyDescent="0.15">
      <c r="A1291" s="33"/>
      <c r="B1291" s="12"/>
      <c r="C1291" s="12"/>
      <c r="D1291" s="12"/>
      <c r="E1291" s="12"/>
      <c r="G1291" s="14"/>
    </row>
    <row r="1292" spans="1:7" ht="22.5" customHeight="1" x14ac:dyDescent="0.15">
      <c r="A1292" s="33"/>
      <c r="B1292" s="12"/>
      <c r="C1292" s="12"/>
      <c r="D1292" s="12"/>
      <c r="E1292" s="12"/>
      <c r="G1292" s="14"/>
    </row>
    <row r="1293" spans="1:7" ht="22.5" customHeight="1" x14ac:dyDescent="0.15">
      <c r="A1293" s="33"/>
      <c r="B1293" s="12"/>
      <c r="C1293" s="12"/>
      <c r="D1293" s="12"/>
      <c r="E1293" s="12"/>
      <c r="G1293" s="14"/>
    </row>
    <row r="1294" spans="1:7" ht="22.5" customHeight="1" x14ac:dyDescent="0.15">
      <c r="A1294" s="33"/>
      <c r="B1294" s="12"/>
      <c r="C1294" s="12"/>
      <c r="D1294" s="12"/>
      <c r="E1294" s="12"/>
      <c r="G1294" s="14"/>
    </row>
    <row r="1295" spans="1:7" ht="22.5" customHeight="1" x14ac:dyDescent="0.15">
      <c r="A1295" s="33"/>
      <c r="B1295" s="12"/>
      <c r="C1295" s="12"/>
      <c r="D1295" s="12"/>
      <c r="E1295" s="12"/>
      <c r="G1295" s="14"/>
    </row>
    <row r="1296" spans="1:7" ht="22.5" customHeight="1" x14ac:dyDescent="0.15">
      <c r="A1296" s="33"/>
      <c r="B1296" s="12"/>
      <c r="C1296" s="12"/>
      <c r="D1296" s="12"/>
      <c r="E1296" s="12"/>
      <c r="G1296" s="14"/>
    </row>
    <row r="1297" spans="1:7" ht="22.5" customHeight="1" x14ac:dyDescent="0.15">
      <c r="A1297" s="33"/>
      <c r="B1297" s="12"/>
      <c r="C1297" s="12"/>
      <c r="D1297" s="12"/>
      <c r="E1297" s="12"/>
      <c r="G1297" s="14"/>
    </row>
    <row r="1298" spans="1:7" ht="22.5" customHeight="1" x14ac:dyDescent="0.15">
      <c r="A1298" s="33"/>
      <c r="B1298" s="12"/>
      <c r="C1298" s="12"/>
      <c r="D1298" s="12"/>
      <c r="E1298" s="12"/>
      <c r="G1298" s="14"/>
    </row>
    <row r="1299" spans="1:7" ht="22.5" customHeight="1" x14ac:dyDescent="0.15">
      <c r="A1299" s="33"/>
      <c r="B1299" s="12"/>
      <c r="C1299" s="12"/>
      <c r="D1299" s="12"/>
      <c r="E1299" s="12"/>
      <c r="G1299" s="14"/>
    </row>
    <row r="1300" spans="1:7" ht="22.5" customHeight="1" x14ac:dyDescent="0.15">
      <c r="A1300" s="33"/>
      <c r="B1300" s="12"/>
      <c r="C1300" s="12"/>
      <c r="D1300" s="12"/>
      <c r="E1300" s="12"/>
      <c r="G1300" s="14"/>
    </row>
    <row r="1301" spans="1:7" ht="22.5" customHeight="1" x14ac:dyDescent="0.15">
      <c r="A1301" s="33"/>
      <c r="B1301" s="12"/>
      <c r="C1301" s="12"/>
      <c r="D1301" s="12"/>
      <c r="E1301" s="12"/>
      <c r="G1301" s="14"/>
    </row>
    <row r="1302" spans="1:7" ht="22.5" customHeight="1" x14ac:dyDescent="0.15">
      <c r="A1302" s="33"/>
      <c r="B1302" s="12"/>
      <c r="C1302" s="12"/>
      <c r="D1302" s="12"/>
      <c r="E1302" s="12"/>
      <c r="G1302" s="14"/>
    </row>
    <row r="1303" spans="1:7" ht="22.5" customHeight="1" x14ac:dyDescent="0.15">
      <c r="A1303" s="33"/>
      <c r="B1303" s="12"/>
      <c r="C1303" s="12"/>
      <c r="D1303" s="12"/>
      <c r="E1303" s="12"/>
      <c r="G1303" s="14"/>
    </row>
    <row r="1304" spans="1:7" ht="22.5" customHeight="1" x14ac:dyDescent="0.15">
      <c r="A1304" s="33"/>
      <c r="B1304" s="12"/>
      <c r="C1304" s="12"/>
      <c r="D1304" s="12"/>
      <c r="E1304" s="12"/>
      <c r="G1304" s="14"/>
    </row>
    <row r="1305" spans="1:7" ht="22.5" customHeight="1" x14ac:dyDescent="0.15">
      <c r="A1305" s="33"/>
      <c r="B1305" s="12"/>
      <c r="C1305" s="12"/>
      <c r="D1305" s="12"/>
      <c r="E1305" s="12"/>
      <c r="G1305" s="14"/>
    </row>
    <row r="1306" spans="1:7" ht="22.5" customHeight="1" x14ac:dyDescent="0.15">
      <c r="A1306" s="33"/>
      <c r="B1306" s="12"/>
      <c r="C1306" s="12"/>
      <c r="D1306" s="12"/>
      <c r="E1306" s="12"/>
      <c r="G1306" s="14"/>
    </row>
    <row r="1307" spans="1:7" ht="22.5" customHeight="1" x14ac:dyDescent="0.15">
      <c r="A1307" s="33"/>
      <c r="B1307" s="12"/>
      <c r="C1307" s="12"/>
      <c r="D1307" s="12"/>
      <c r="E1307" s="12"/>
      <c r="G1307" s="14"/>
    </row>
    <row r="1308" spans="1:7" ht="22.5" customHeight="1" x14ac:dyDescent="0.15">
      <c r="A1308" s="33"/>
      <c r="B1308" s="12"/>
      <c r="C1308" s="12"/>
      <c r="D1308" s="12"/>
      <c r="E1308" s="12"/>
      <c r="G1308" s="14"/>
    </row>
    <row r="1309" spans="1:7" ht="22.5" customHeight="1" x14ac:dyDescent="0.15">
      <c r="A1309" s="33"/>
      <c r="B1309" s="12"/>
      <c r="C1309" s="12"/>
      <c r="D1309" s="12"/>
      <c r="E1309" s="12"/>
      <c r="G1309" s="14"/>
    </row>
    <row r="1310" spans="1:7" ht="22.5" customHeight="1" x14ac:dyDescent="0.15">
      <c r="A1310" s="33"/>
      <c r="B1310" s="12"/>
      <c r="C1310" s="12"/>
      <c r="D1310" s="12"/>
      <c r="E1310" s="12"/>
      <c r="G1310" s="14"/>
    </row>
    <row r="1311" spans="1:7" ht="22.5" customHeight="1" x14ac:dyDescent="0.15">
      <c r="A1311" s="33"/>
      <c r="B1311" s="12"/>
      <c r="C1311" s="12"/>
      <c r="D1311" s="12"/>
      <c r="E1311" s="12"/>
      <c r="G1311" s="14"/>
    </row>
    <row r="1312" spans="1:7" ht="22.5" customHeight="1" x14ac:dyDescent="0.15">
      <c r="A1312" s="33"/>
      <c r="B1312" s="12"/>
      <c r="C1312" s="12"/>
      <c r="D1312" s="12"/>
      <c r="E1312" s="12"/>
      <c r="G1312" s="14"/>
    </row>
    <row r="1313" spans="1:7" ht="22.5" customHeight="1" x14ac:dyDescent="0.15">
      <c r="A1313" s="33"/>
      <c r="B1313" s="12"/>
      <c r="C1313" s="12"/>
      <c r="D1313" s="12"/>
      <c r="E1313" s="12"/>
      <c r="G1313" s="14"/>
    </row>
    <row r="1314" spans="1:7" ht="22.5" customHeight="1" x14ac:dyDescent="0.15">
      <c r="A1314" s="33"/>
      <c r="B1314" s="12"/>
      <c r="C1314" s="12"/>
      <c r="D1314" s="12"/>
      <c r="E1314" s="12"/>
      <c r="G1314" s="14"/>
    </row>
    <row r="1315" spans="1:7" ht="22.5" customHeight="1" x14ac:dyDescent="0.15">
      <c r="A1315" s="33"/>
      <c r="B1315" s="12"/>
      <c r="C1315" s="12"/>
      <c r="D1315" s="12"/>
      <c r="E1315" s="12"/>
      <c r="G1315" s="14"/>
    </row>
    <row r="1316" spans="1:7" ht="22.5" customHeight="1" x14ac:dyDescent="0.15">
      <c r="A1316" s="33"/>
      <c r="B1316" s="12"/>
      <c r="C1316" s="12"/>
      <c r="D1316" s="12"/>
      <c r="E1316" s="12"/>
      <c r="G1316" s="14"/>
    </row>
    <row r="1317" spans="1:7" ht="22.5" customHeight="1" x14ac:dyDescent="0.15">
      <c r="A1317" s="33"/>
      <c r="B1317" s="12"/>
      <c r="C1317" s="12"/>
      <c r="D1317" s="12"/>
      <c r="E1317" s="12"/>
      <c r="G1317" s="14"/>
    </row>
    <row r="1318" spans="1:7" ht="22.5" customHeight="1" x14ac:dyDescent="0.15">
      <c r="A1318" s="33"/>
      <c r="B1318" s="12"/>
      <c r="C1318" s="12"/>
      <c r="D1318" s="12"/>
      <c r="E1318" s="12"/>
      <c r="G1318" s="14"/>
    </row>
    <row r="1319" spans="1:7" ht="22.5" customHeight="1" x14ac:dyDescent="0.15">
      <c r="A1319" s="33"/>
      <c r="B1319" s="12"/>
      <c r="C1319" s="12"/>
      <c r="D1319" s="12"/>
      <c r="E1319" s="12"/>
      <c r="G1319" s="14"/>
    </row>
    <row r="1320" spans="1:7" ht="22.5" customHeight="1" x14ac:dyDescent="0.15">
      <c r="A1320" s="33"/>
      <c r="B1320" s="12"/>
      <c r="C1320" s="12"/>
      <c r="D1320" s="12"/>
      <c r="E1320" s="12"/>
      <c r="G1320" s="14"/>
    </row>
    <row r="1321" spans="1:7" ht="22.5" customHeight="1" x14ac:dyDescent="0.15">
      <c r="A1321" s="33"/>
      <c r="B1321" s="12"/>
      <c r="C1321" s="12"/>
      <c r="D1321" s="12"/>
      <c r="E1321" s="12"/>
      <c r="G1321" s="14"/>
    </row>
    <row r="1322" spans="1:7" ht="22.5" customHeight="1" x14ac:dyDescent="0.15">
      <c r="A1322" s="33"/>
      <c r="B1322" s="12"/>
      <c r="C1322" s="12"/>
      <c r="D1322" s="12"/>
      <c r="E1322" s="12"/>
      <c r="G1322" s="14"/>
    </row>
    <row r="1323" spans="1:7" ht="22.5" customHeight="1" x14ac:dyDescent="0.15">
      <c r="A1323" s="33"/>
      <c r="B1323" s="12"/>
      <c r="C1323" s="12"/>
      <c r="D1323" s="12"/>
      <c r="E1323" s="12"/>
      <c r="G1323" s="14"/>
    </row>
    <row r="1324" spans="1:7" ht="22.5" customHeight="1" x14ac:dyDescent="0.15">
      <c r="A1324" s="33"/>
      <c r="B1324" s="12"/>
      <c r="C1324" s="12"/>
      <c r="D1324" s="12"/>
      <c r="E1324" s="12"/>
      <c r="G1324" s="14"/>
    </row>
    <row r="1325" spans="1:7" ht="22.5" customHeight="1" x14ac:dyDescent="0.15">
      <c r="A1325" s="33"/>
      <c r="B1325" s="12"/>
      <c r="C1325" s="12"/>
      <c r="D1325" s="12"/>
      <c r="E1325" s="12"/>
      <c r="G1325" s="14"/>
    </row>
    <row r="1326" spans="1:7" ht="22.5" customHeight="1" x14ac:dyDescent="0.15">
      <c r="A1326" s="33"/>
      <c r="B1326" s="12"/>
      <c r="C1326" s="12"/>
      <c r="D1326" s="12"/>
      <c r="E1326" s="12"/>
      <c r="G1326" s="14"/>
    </row>
    <row r="1327" spans="1:7" ht="22.5" customHeight="1" x14ac:dyDescent="0.15">
      <c r="A1327" s="33"/>
      <c r="B1327" s="12"/>
      <c r="C1327" s="12"/>
      <c r="D1327" s="12"/>
      <c r="E1327" s="12"/>
      <c r="G1327" s="14"/>
    </row>
    <row r="1328" spans="1:7" ht="22.5" customHeight="1" x14ac:dyDescent="0.15">
      <c r="A1328" s="33"/>
      <c r="B1328" s="12"/>
      <c r="C1328" s="12"/>
      <c r="D1328" s="12"/>
      <c r="E1328" s="12"/>
      <c r="G1328" s="14"/>
    </row>
    <row r="1329" spans="1:7" ht="22.5" customHeight="1" x14ac:dyDescent="0.15">
      <c r="A1329" s="33"/>
      <c r="B1329" s="12"/>
      <c r="C1329" s="12"/>
      <c r="D1329" s="12"/>
      <c r="E1329" s="12"/>
      <c r="G1329" s="14"/>
    </row>
    <row r="1330" spans="1:7" ht="22.5" customHeight="1" x14ac:dyDescent="0.15">
      <c r="A1330" s="33"/>
      <c r="B1330" s="12"/>
      <c r="C1330" s="12"/>
      <c r="D1330" s="12"/>
      <c r="E1330" s="12"/>
      <c r="G1330" s="14"/>
    </row>
    <row r="1331" spans="1:7" ht="22.5" customHeight="1" x14ac:dyDescent="0.15">
      <c r="A1331" s="33"/>
      <c r="B1331" s="12"/>
      <c r="C1331" s="12"/>
      <c r="D1331" s="12"/>
      <c r="E1331" s="12"/>
      <c r="G1331" s="14"/>
    </row>
    <row r="1332" spans="1:7" ht="22.5" customHeight="1" x14ac:dyDescent="0.15">
      <c r="A1332" s="33"/>
      <c r="B1332" s="12"/>
      <c r="C1332" s="12"/>
      <c r="D1332" s="12"/>
      <c r="E1332" s="12"/>
      <c r="G1332" s="14"/>
    </row>
    <row r="1333" spans="1:7" ht="22.5" customHeight="1" x14ac:dyDescent="0.15">
      <c r="A1333" s="33"/>
      <c r="B1333" s="12"/>
      <c r="C1333" s="12"/>
      <c r="D1333" s="12"/>
      <c r="E1333" s="12"/>
      <c r="G1333" s="14"/>
    </row>
    <row r="1334" spans="1:7" ht="22.5" customHeight="1" x14ac:dyDescent="0.15">
      <c r="A1334" s="33"/>
      <c r="B1334" s="12"/>
      <c r="C1334" s="12"/>
      <c r="D1334" s="12"/>
      <c r="E1334" s="12"/>
      <c r="G1334" s="14"/>
    </row>
    <row r="1335" spans="1:7" ht="22.5" customHeight="1" x14ac:dyDescent="0.15">
      <c r="A1335" s="33"/>
      <c r="B1335" s="12"/>
      <c r="C1335" s="12"/>
      <c r="D1335" s="12"/>
      <c r="E1335" s="12"/>
      <c r="G1335" s="14"/>
    </row>
    <row r="1336" spans="1:7" ht="22.5" customHeight="1" x14ac:dyDescent="0.15">
      <c r="A1336" s="33"/>
      <c r="B1336" s="12"/>
      <c r="C1336" s="12"/>
      <c r="D1336" s="12"/>
      <c r="E1336" s="12"/>
      <c r="G1336" s="14"/>
    </row>
    <row r="1337" spans="1:7" ht="22.5" customHeight="1" x14ac:dyDescent="0.15">
      <c r="A1337" s="33"/>
      <c r="B1337" s="12"/>
      <c r="C1337" s="12"/>
      <c r="D1337" s="12"/>
      <c r="E1337" s="12"/>
      <c r="G1337" s="14"/>
    </row>
    <row r="1338" spans="1:7" ht="22.5" customHeight="1" x14ac:dyDescent="0.15">
      <c r="A1338" s="33"/>
      <c r="B1338" s="12"/>
      <c r="C1338" s="12"/>
      <c r="D1338" s="12"/>
      <c r="E1338" s="12"/>
      <c r="G1338" s="14"/>
    </row>
    <row r="1339" spans="1:7" ht="22.5" customHeight="1" x14ac:dyDescent="0.15">
      <c r="A1339" s="33"/>
      <c r="B1339" s="12"/>
      <c r="C1339" s="12"/>
      <c r="D1339" s="12"/>
      <c r="E1339" s="12"/>
      <c r="G1339" s="14"/>
    </row>
    <row r="1340" spans="1:7" ht="22.5" customHeight="1" x14ac:dyDescent="0.15">
      <c r="A1340" s="33"/>
      <c r="B1340" s="12"/>
      <c r="C1340" s="12"/>
      <c r="D1340" s="12"/>
      <c r="E1340" s="12"/>
      <c r="G1340" s="14"/>
    </row>
    <row r="1341" spans="1:7" ht="22.5" customHeight="1" x14ac:dyDescent="0.15">
      <c r="A1341" s="33"/>
      <c r="B1341" s="12"/>
      <c r="C1341" s="12"/>
      <c r="D1341" s="12"/>
      <c r="E1341" s="12"/>
      <c r="G1341" s="14"/>
    </row>
    <row r="1342" spans="1:7" ht="22.5" customHeight="1" x14ac:dyDescent="0.15">
      <c r="A1342" s="33"/>
      <c r="B1342" s="12"/>
      <c r="C1342" s="12"/>
      <c r="D1342" s="12"/>
      <c r="E1342" s="12"/>
      <c r="G1342" s="14"/>
    </row>
    <row r="1343" spans="1:7" ht="22.5" customHeight="1" x14ac:dyDescent="0.15">
      <c r="A1343" s="33"/>
      <c r="B1343" s="12"/>
      <c r="C1343" s="12"/>
      <c r="D1343" s="12"/>
      <c r="E1343" s="12"/>
      <c r="G1343" s="14"/>
    </row>
    <row r="1344" spans="1:7" ht="22.5" customHeight="1" x14ac:dyDescent="0.15">
      <c r="A1344" s="33"/>
      <c r="B1344" s="12"/>
      <c r="C1344" s="12"/>
      <c r="D1344" s="12"/>
      <c r="E1344" s="12"/>
      <c r="G1344" s="14"/>
    </row>
    <row r="1345" spans="1:7" ht="22.5" customHeight="1" x14ac:dyDescent="0.15">
      <c r="A1345" s="33"/>
      <c r="B1345" s="12"/>
      <c r="C1345" s="12"/>
      <c r="D1345" s="12"/>
      <c r="E1345" s="12"/>
      <c r="G1345" s="14"/>
    </row>
    <row r="1346" spans="1:7" ht="22.5" customHeight="1" x14ac:dyDescent="0.15">
      <c r="A1346" s="33"/>
      <c r="B1346" s="12"/>
      <c r="C1346" s="12"/>
      <c r="D1346" s="12"/>
      <c r="E1346" s="12"/>
      <c r="G1346" s="14"/>
    </row>
    <row r="1347" spans="1:7" ht="22.5" customHeight="1" x14ac:dyDescent="0.15">
      <c r="A1347" s="33"/>
      <c r="B1347" s="12"/>
      <c r="C1347" s="12"/>
      <c r="D1347" s="12"/>
      <c r="E1347" s="12"/>
      <c r="G1347" s="14"/>
    </row>
    <row r="1348" spans="1:7" ht="22.5" customHeight="1" x14ac:dyDescent="0.15">
      <c r="A1348" s="33"/>
      <c r="B1348" s="12"/>
      <c r="C1348" s="12"/>
      <c r="D1348" s="12"/>
      <c r="E1348" s="12"/>
      <c r="G1348" s="14"/>
    </row>
    <row r="1349" spans="1:7" ht="22.5" customHeight="1" x14ac:dyDescent="0.15">
      <c r="A1349" s="33"/>
      <c r="B1349" s="12"/>
      <c r="C1349" s="12"/>
      <c r="D1349" s="12"/>
      <c r="E1349" s="12"/>
      <c r="G1349" s="14"/>
    </row>
    <row r="1350" spans="1:7" ht="22.5" customHeight="1" x14ac:dyDescent="0.15">
      <c r="A1350" s="33"/>
      <c r="B1350" s="12"/>
      <c r="C1350" s="12"/>
      <c r="D1350" s="12"/>
      <c r="E1350" s="12"/>
      <c r="G1350" s="14"/>
    </row>
    <row r="1351" spans="1:7" ht="22.5" customHeight="1" x14ac:dyDescent="0.15">
      <c r="A1351" s="33"/>
      <c r="B1351" s="12"/>
      <c r="C1351" s="12"/>
      <c r="D1351" s="12"/>
      <c r="E1351" s="12"/>
      <c r="G1351" s="14"/>
    </row>
    <row r="1352" spans="1:7" ht="22.5" customHeight="1" x14ac:dyDescent="0.15">
      <c r="A1352" s="33"/>
      <c r="B1352" s="12"/>
      <c r="C1352" s="12"/>
      <c r="D1352" s="12"/>
      <c r="E1352" s="12"/>
      <c r="G1352" s="14"/>
    </row>
    <row r="1353" spans="1:7" ht="22.5" customHeight="1" x14ac:dyDescent="0.15">
      <c r="A1353" s="33"/>
      <c r="B1353" s="12"/>
      <c r="C1353" s="12"/>
      <c r="D1353" s="12"/>
      <c r="E1353" s="12"/>
      <c r="G1353" s="14"/>
    </row>
    <row r="1354" spans="1:7" ht="22.5" customHeight="1" x14ac:dyDescent="0.15">
      <c r="A1354" s="33"/>
      <c r="B1354" s="12"/>
      <c r="C1354" s="12"/>
      <c r="D1354" s="12"/>
      <c r="E1354" s="12"/>
      <c r="G1354" s="14"/>
    </row>
    <row r="1355" spans="1:7" ht="22.5" customHeight="1" x14ac:dyDescent="0.15">
      <c r="A1355" s="33"/>
      <c r="B1355" s="12"/>
      <c r="C1355" s="12"/>
      <c r="D1355" s="12"/>
      <c r="E1355" s="12"/>
      <c r="G1355" s="14"/>
    </row>
    <row r="1356" spans="1:7" ht="22.5" customHeight="1" x14ac:dyDescent="0.15">
      <c r="A1356" s="33"/>
      <c r="B1356" s="12"/>
      <c r="C1356" s="12"/>
      <c r="D1356" s="12"/>
      <c r="E1356" s="12"/>
      <c r="G1356" s="14"/>
    </row>
    <row r="1357" spans="1:7" ht="22.5" customHeight="1" x14ac:dyDescent="0.15">
      <c r="A1357" s="33"/>
      <c r="B1357" s="12"/>
      <c r="C1357" s="12"/>
      <c r="D1357" s="12"/>
      <c r="E1357" s="12"/>
      <c r="G1357" s="14"/>
    </row>
    <row r="1358" spans="1:7" ht="22.5" customHeight="1" x14ac:dyDescent="0.15">
      <c r="A1358" s="33"/>
      <c r="B1358" s="12"/>
      <c r="C1358" s="12"/>
      <c r="D1358" s="12"/>
      <c r="E1358" s="12"/>
      <c r="G1358" s="14"/>
    </row>
    <row r="1359" spans="1:7" ht="22.5" customHeight="1" x14ac:dyDescent="0.15">
      <c r="A1359" s="33"/>
      <c r="B1359" s="12"/>
      <c r="C1359" s="12"/>
      <c r="D1359" s="12"/>
      <c r="E1359" s="12"/>
      <c r="G1359" s="14"/>
    </row>
    <row r="1360" spans="1:7" ht="22.5" customHeight="1" x14ac:dyDescent="0.15">
      <c r="A1360" s="33"/>
      <c r="B1360" s="12"/>
      <c r="C1360" s="12"/>
      <c r="D1360" s="12"/>
      <c r="E1360" s="12"/>
      <c r="G1360" s="14"/>
    </row>
    <row r="1361" spans="1:7" ht="22.5" customHeight="1" x14ac:dyDescent="0.15">
      <c r="A1361" s="33"/>
      <c r="B1361" s="12"/>
      <c r="C1361" s="12"/>
      <c r="D1361" s="12"/>
      <c r="E1361" s="12"/>
      <c r="G1361" s="14"/>
    </row>
    <row r="1362" spans="1:7" ht="22.5" customHeight="1" x14ac:dyDescent="0.15">
      <c r="A1362" s="33"/>
      <c r="B1362" s="12"/>
      <c r="C1362" s="12"/>
      <c r="D1362" s="12"/>
      <c r="E1362" s="12"/>
      <c r="G1362" s="14"/>
    </row>
    <row r="1363" spans="1:7" ht="22.5" customHeight="1" x14ac:dyDescent="0.15">
      <c r="A1363" s="33"/>
      <c r="B1363" s="12"/>
      <c r="C1363" s="12"/>
      <c r="D1363" s="12"/>
      <c r="E1363" s="12"/>
      <c r="G1363" s="14"/>
    </row>
    <row r="1364" spans="1:7" ht="22.5" customHeight="1" x14ac:dyDescent="0.15">
      <c r="A1364" s="33"/>
      <c r="B1364" s="12"/>
      <c r="C1364" s="12"/>
      <c r="D1364" s="12"/>
      <c r="E1364" s="12"/>
      <c r="G1364" s="14"/>
    </row>
    <row r="1365" spans="1:7" ht="22.5" customHeight="1" x14ac:dyDescent="0.15">
      <c r="A1365" s="33"/>
      <c r="B1365" s="12"/>
      <c r="C1365" s="12"/>
      <c r="D1365" s="12"/>
      <c r="E1365" s="12"/>
      <c r="G1365" s="14"/>
    </row>
    <row r="1366" spans="1:7" ht="22.5" customHeight="1" x14ac:dyDescent="0.15">
      <c r="A1366" s="33"/>
      <c r="B1366" s="12"/>
      <c r="C1366" s="12"/>
      <c r="D1366" s="12"/>
      <c r="E1366" s="12"/>
      <c r="G1366" s="14"/>
    </row>
    <row r="1367" spans="1:7" ht="22.5" customHeight="1" x14ac:dyDescent="0.15">
      <c r="A1367" s="33"/>
      <c r="B1367" s="12"/>
      <c r="C1367" s="12"/>
      <c r="D1367" s="12"/>
      <c r="E1367" s="12"/>
      <c r="G1367" s="14"/>
    </row>
    <row r="1368" spans="1:7" ht="22.5" customHeight="1" x14ac:dyDescent="0.15">
      <c r="A1368" s="33"/>
      <c r="B1368" s="12"/>
      <c r="C1368" s="12"/>
      <c r="D1368" s="12"/>
      <c r="E1368" s="12"/>
      <c r="G1368" s="14"/>
    </row>
    <row r="1369" spans="1:7" ht="22.5" customHeight="1" x14ac:dyDescent="0.15">
      <c r="A1369" s="33"/>
      <c r="B1369" s="12"/>
      <c r="C1369" s="12"/>
      <c r="D1369" s="12"/>
      <c r="E1369" s="12"/>
      <c r="G1369" s="14"/>
    </row>
    <row r="1370" spans="1:7" ht="22.5" customHeight="1" x14ac:dyDescent="0.15">
      <c r="A1370" s="33"/>
      <c r="B1370" s="12"/>
      <c r="C1370" s="12"/>
      <c r="D1370" s="12"/>
      <c r="E1370" s="12"/>
      <c r="G1370" s="14"/>
    </row>
    <row r="1371" spans="1:7" ht="22.5" customHeight="1" x14ac:dyDescent="0.15">
      <c r="A1371" s="33"/>
      <c r="B1371" s="12"/>
      <c r="C1371" s="12"/>
      <c r="D1371" s="12"/>
      <c r="E1371" s="12"/>
      <c r="G1371" s="14"/>
    </row>
    <row r="1372" spans="1:7" ht="22.5" customHeight="1" x14ac:dyDescent="0.15">
      <c r="A1372" s="33"/>
      <c r="B1372" s="12"/>
      <c r="C1372" s="12"/>
      <c r="D1372" s="12"/>
      <c r="E1372" s="12"/>
      <c r="G1372" s="14"/>
    </row>
    <row r="1373" spans="1:7" ht="22.5" customHeight="1" x14ac:dyDescent="0.15">
      <c r="A1373" s="33"/>
      <c r="B1373" s="12"/>
      <c r="C1373" s="12"/>
      <c r="D1373" s="12"/>
      <c r="E1373" s="12"/>
      <c r="G1373" s="14"/>
    </row>
    <row r="1374" spans="1:7" ht="22.5" customHeight="1" x14ac:dyDescent="0.15">
      <c r="A1374" s="33"/>
      <c r="B1374" s="12"/>
      <c r="C1374" s="12"/>
      <c r="D1374" s="12"/>
      <c r="E1374" s="12"/>
      <c r="G1374" s="14"/>
    </row>
    <row r="1375" spans="1:7" ht="22.5" customHeight="1" x14ac:dyDescent="0.15">
      <c r="A1375" s="33"/>
      <c r="B1375" s="12"/>
      <c r="C1375" s="12"/>
      <c r="D1375" s="12"/>
      <c r="E1375" s="12"/>
      <c r="G1375" s="14"/>
    </row>
    <row r="1376" spans="1:7" ht="22.5" customHeight="1" x14ac:dyDescent="0.15">
      <c r="A1376" s="33"/>
      <c r="B1376" s="12"/>
      <c r="C1376" s="12"/>
      <c r="D1376" s="12"/>
      <c r="E1376" s="12"/>
      <c r="G1376" s="14"/>
    </row>
    <row r="1377" spans="1:7" ht="22.5" customHeight="1" x14ac:dyDescent="0.15">
      <c r="A1377" s="33"/>
      <c r="B1377" s="12"/>
      <c r="C1377" s="12"/>
      <c r="D1377" s="12"/>
      <c r="E1377" s="12"/>
      <c r="G1377" s="14"/>
    </row>
    <row r="1378" spans="1:7" ht="22.5" customHeight="1" x14ac:dyDescent="0.15">
      <c r="A1378" s="33"/>
      <c r="B1378" s="12"/>
      <c r="C1378" s="12"/>
      <c r="D1378" s="12"/>
      <c r="E1378" s="12"/>
      <c r="G1378" s="14"/>
    </row>
    <row r="1379" spans="1:7" ht="22.5" customHeight="1" x14ac:dyDescent="0.15">
      <c r="A1379" s="33"/>
      <c r="B1379" s="12"/>
      <c r="C1379" s="12"/>
      <c r="D1379" s="12"/>
      <c r="E1379" s="12"/>
      <c r="G1379" s="14"/>
    </row>
    <row r="1380" spans="1:7" ht="22.5" customHeight="1" x14ac:dyDescent="0.15">
      <c r="A1380" s="33"/>
      <c r="B1380" s="12"/>
      <c r="C1380" s="12"/>
      <c r="D1380" s="12"/>
      <c r="E1380" s="12"/>
      <c r="G1380" s="14"/>
    </row>
    <row r="1381" spans="1:7" ht="22.5" customHeight="1" x14ac:dyDescent="0.15">
      <c r="A1381" s="33"/>
      <c r="B1381" s="12"/>
      <c r="C1381" s="12"/>
      <c r="D1381" s="12"/>
      <c r="E1381" s="12"/>
      <c r="G1381" s="14"/>
    </row>
    <row r="1382" spans="1:7" ht="22.5" customHeight="1" x14ac:dyDescent="0.15">
      <c r="A1382" s="33"/>
      <c r="B1382" s="12"/>
      <c r="C1382" s="12"/>
      <c r="D1382" s="12"/>
      <c r="E1382" s="12"/>
      <c r="G1382" s="14"/>
    </row>
    <row r="1383" spans="1:7" ht="22.5" customHeight="1" x14ac:dyDescent="0.15">
      <c r="A1383" s="33"/>
      <c r="B1383" s="12"/>
      <c r="C1383" s="12"/>
      <c r="D1383" s="12"/>
      <c r="E1383" s="12"/>
      <c r="G1383" s="14"/>
    </row>
    <row r="1384" spans="1:7" ht="22.5" customHeight="1" x14ac:dyDescent="0.15">
      <c r="A1384" s="33"/>
      <c r="B1384" s="12"/>
      <c r="C1384" s="12"/>
      <c r="D1384" s="12"/>
      <c r="E1384" s="12"/>
      <c r="G1384" s="14"/>
    </row>
    <row r="1385" spans="1:7" ht="22.5" customHeight="1" x14ac:dyDescent="0.15">
      <c r="A1385" s="33"/>
      <c r="B1385" s="12"/>
      <c r="C1385" s="12"/>
      <c r="D1385" s="12"/>
      <c r="E1385" s="12"/>
      <c r="G1385" s="14"/>
    </row>
    <row r="1386" spans="1:7" ht="22.5" customHeight="1" x14ac:dyDescent="0.15">
      <c r="A1386" s="33"/>
      <c r="B1386" s="12"/>
      <c r="C1386" s="12"/>
      <c r="D1386" s="12"/>
      <c r="E1386" s="12"/>
      <c r="G1386" s="14"/>
    </row>
    <row r="1387" spans="1:7" ht="22.5" customHeight="1" x14ac:dyDescent="0.15">
      <c r="A1387" s="33"/>
      <c r="B1387" s="12"/>
      <c r="C1387" s="12"/>
      <c r="D1387" s="12"/>
      <c r="E1387" s="12"/>
      <c r="G1387" s="14"/>
    </row>
    <row r="1388" spans="1:7" ht="22.5" customHeight="1" x14ac:dyDescent="0.15">
      <c r="A1388" s="33"/>
      <c r="B1388" s="12"/>
      <c r="C1388" s="12"/>
      <c r="D1388" s="12"/>
      <c r="E1388" s="12"/>
      <c r="G1388" s="14"/>
    </row>
    <row r="1389" spans="1:7" ht="22.5" customHeight="1" x14ac:dyDescent="0.15">
      <c r="A1389" s="33"/>
      <c r="B1389" s="12"/>
      <c r="C1389" s="12"/>
      <c r="D1389" s="12"/>
      <c r="E1389" s="12"/>
      <c r="G1389" s="14"/>
    </row>
    <row r="1390" spans="1:7" ht="22.5" customHeight="1" x14ac:dyDescent="0.15">
      <c r="A1390" s="33"/>
      <c r="B1390" s="12"/>
      <c r="C1390" s="12"/>
      <c r="D1390" s="12"/>
      <c r="E1390" s="12"/>
      <c r="G1390" s="14"/>
    </row>
    <row r="1391" spans="1:7" ht="22.5" customHeight="1" x14ac:dyDescent="0.15">
      <c r="A1391" s="33"/>
      <c r="B1391" s="12"/>
      <c r="C1391" s="12"/>
      <c r="D1391" s="12"/>
      <c r="E1391" s="12"/>
      <c r="G1391" s="14"/>
    </row>
    <row r="1392" spans="1:7" ht="22.5" customHeight="1" x14ac:dyDescent="0.15">
      <c r="A1392" s="33"/>
      <c r="B1392" s="12"/>
      <c r="C1392" s="12"/>
      <c r="D1392" s="12"/>
      <c r="E1392" s="12"/>
      <c r="G1392" s="14"/>
    </row>
    <row r="1393" spans="1:7" ht="22.5" customHeight="1" x14ac:dyDescent="0.15">
      <c r="A1393" s="33"/>
      <c r="B1393" s="12"/>
      <c r="C1393" s="12"/>
      <c r="D1393" s="12"/>
      <c r="E1393" s="12"/>
      <c r="G1393" s="14"/>
    </row>
    <row r="1394" spans="1:7" ht="22.5" customHeight="1" x14ac:dyDescent="0.15">
      <c r="A1394" s="33"/>
      <c r="B1394" s="12"/>
      <c r="C1394" s="12"/>
      <c r="D1394" s="12"/>
      <c r="E1394" s="12"/>
      <c r="G1394" s="14"/>
    </row>
    <row r="1395" spans="1:7" ht="22.5" customHeight="1" x14ac:dyDescent="0.15">
      <c r="A1395" s="33"/>
      <c r="B1395" s="12"/>
      <c r="C1395" s="12"/>
      <c r="D1395" s="12"/>
      <c r="E1395" s="12"/>
      <c r="G1395" s="14"/>
    </row>
    <row r="1396" spans="1:7" ht="22.5" customHeight="1" x14ac:dyDescent="0.15">
      <c r="A1396" s="33"/>
      <c r="B1396" s="12"/>
      <c r="C1396" s="12"/>
      <c r="D1396" s="12"/>
      <c r="E1396" s="12"/>
      <c r="G1396" s="14"/>
    </row>
    <row r="1397" spans="1:7" ht="22.5" customHeight="1" x14ac:dyDescent="0.15">
      <c r="A1397" s="33"/>
      <c r="B1397" s="12"/>
      <c r="C1397" s="12"/>
      <c r="D1397" s="12"/>
      <c r="E1397" s="12"/>
      <c r="G1397" s="14"/>
    </row>
    <row r="1398" spans="1:7" ht="22.5" customHeight="1" x14ac:dyDescent="0.15">
      <c r="A1398" s="33"/>
      <c r="B1398" s="12"/>
      <c r="C1398" s="12"/>
      <c r="D1398" s="12"/>
      <c r="E1398" s="12"/>
      <c r="G1398" s="14"/>
    </row>
    <row r="1399" spans="1:7" ht="22.5" customHeight="1" x14ac:dyDescent="0.15">
      <c r="A1399" s="33"/>
      <c r="B1399" s="12"/>
      <c r="C1399" s="12"/>
      <c r="D1399" s="12"/>
      <c r="E1399" s="12"/>
      <c r="G1399" s="14"/>
    </row>
    <row r="1400" spans="1:7" ht="22.5" customHeight="1" x14ac:dyDescent="0.15">
      <c r="A1400" s="33"/>
      <c r="B1400" s="12"/>
      <c r="C1400" s="12"/>
      <c r="D1400" s="12"/>
      <c r="E1400" s="12"/>
      <c r="G1400" s="14"/>
    </row>
    <row r="1401" spans="1:7" ht="22.5" customHeight="1" x14ac:dyDescent="0.15">
      <c r="A1401" s="33"/>
      <c r="B1401" s="12"/>
      <c r="C1401" s="12"/>
      <c r="D1401" s="12"/>
      <c r="E1401" s="12"/>
      <c r="G1401" s="14"/>
    </row>
    <row r="1402" spans="1:7" ht="22.5" customHeight="1" x14ac:dyDescent="0.15">
      <c r="A1402" s="33"/>
      <c r="B1402" s="12"/>
      <c r="C1402" s="12"/>
      <c r="D1402" s="12"/>
      <c r="E1402" s="12"/>
      <c r="G1402" s="14"/>
    </row>
    <row r="1403" spans="1:7" ht="22.5" customHeight="1" x14ac:dyDescent="0.15">
      <c r="A1403" s="33"/>
      <c r="B1403" s="12"/>
      <c r="C1403" s="12"/>
      <c r="D1403" s="12"/>
      <c r="E1403" s="12"/>
      <c r="G1403" s="14"/>
    </row>
    <row r="1404" spans="1:7" ht="22.5" customHeight="1" x14ac:dyDescent="0.15">
      <c r="A1404" s="33"/>
      <c r="B1404" s="12"/>
      <c r="C1404" s="12"/>
      <c r="D1404" s="12"/>
      <c r="E1404" s="12"/>
      <c r="G1404" s="14"/>
    </row>
    <row r="1405" spans="1:7" ht="22.5" customHeight="1" x14ac:dyDescent="0.15">
      <c r="A1405" s="33"/>
      <c r="B1405" s="12"/>
      <c r="C1405" s="12"/>
      <c r="D1405" s="12"/>
      <c r="E1405" s="12"/>
      <c r="G1405" s="14"/>
    </row>
    <row r="1406" spans="1:7" ht="22.5" customHeight="1" x14ac:dyDescent="0.15">
      <c r="A1406" s="33"/>
      <c r="B1406" s="12"/>
      <c r="C1406" s="12"/>
      <c r="D1406" s="12"/>
      <c r="E1406" s="12"/>
      <c r="G1406" s="14"/>
    </row>
    <row r="1407" spans="1:7" ht="22.5" customHeight="1" x14ac:dyDescent="0.15">
      <c r="A1407" s="33"/>
      <c r="B1407" s="12"/>
      <c r="C1407" s="12"/>
      <c r="D1407" s="12"/>
      <c r="E1407" s="12"/>
      <c r="G1407" s="14"/>
    </row>
    <row r="1408" spans="1:7" ht="22.5" customHeight="1" x14ac:dyDescent="0.15">
      <c r="A1408" s="33"/>
      <c r="B1408" s="12"/>
      <c r="C1408" s="12"/>
      <c r="D1408" s="12"/>
      <c r="E1408" s="12"/>
      <c r="G1408" s="14"/>
    </row>
    <row r="1409" spans="1:7" ht="22.5" customHeight="1" x14ac:dyDescent="0.15">
      <c r="A1409" s="33"/>
      <c r="B1409" s="12"/>
      <c r="C1409" s="12"/>
      <c r="D1409" s="12"/>
      <c r="E1409" s="12"/>
      <c r="G1409" s="14"/>
    </row>
    <row r="1410" spans="1:7" ht="22.5" customHeight="1" x14ac:dyDescent="0.15">
      <c r="A1410" s="33"/>
      <c r="B1410" s="12"/>
      <c r="C1410" s="12"/>
      <c r="D1410" s="12"/>
      <c r="E1410" s="12"/>
      <c r="G1410" s="14"/>
    </row>
    <row r="1411" spans="1:7" ht="22.5" customHeight="1" x14ac:dyDescent="0.15">
      <c r="A1411" s="33"/>
      <c r="B1411" s="12"/>
      <c r="C1411" s="12"/>
      <c r="D1411" s="12"/>
      <c r="E1411" s="12"/>
      <c r="G1411" s="14"/>
    </row>
    <row r="1412" spans="1:7" ht="22.5" customHeight="1" x14ac:dyDescent="0.15">
      <c r="A1412" s="33"/>
      <c r="B1412" s="12"/>
      <c r="C1412" s="12"/>
      <c r="D1412" s="12"/>
      <c r="E1412" s="12"/>
      <c r="G1412" s="14"/>
    </row>
    <row r="1413" spans="1:7" ht="22.5" customHeight="1" x14ac:dyDescent="0.15">
      <c r="A1413" s="33"/>
      <c r="B1413" s="12"/>
      <c r="C1413" s="12"/>
      <c r="D1413" s="12"/>
      <c r="E1413" s="12"/>
      <c r="G1413" s="14"/>
    </row>
    <row r="1414" spans="1:7" ht="22.5" customHeight="1" x14ac:dyDescent="0.15">
      <c r="A1414" s="33"/>
      <c r="B1414" s="12"/>
      <c r="C1414" s="12"/>
      <c r="D1414" s="12"/>
      <c r="E1414" s="12"/>
      <c r="G1414" s="14"/>
    </row>
    <row r="1415" spans="1:7" ht="22.5" customHeight="1" x14ac:dyDescent="0.15">
      <c r="A1415" s="33"/>
      <c r="B1415" s="12"/>
      <c r="C1415" s="12"/>
      <c r="D1415" s="12"/>
      <c r="E1415" s="12"/>
      <c r="G1415" s="14"/>
    </row>
    <row r="1416" spans="1:7" ht="22.5" customHeight="1" x14ac:dyDescent="0.15">
      <c r="A1416" s="33"/>
      <c r="B1416" s="12"/>
      <c r="C1416" s="12"/>
      <c r="D1416" s="12"/>
      <c r="E1416" s="12"/>
      <c r="G1416" s="14"/>
    </row>
    <row r="1417" spans="1:7" ht="22.5" customHeight="1" x14ac:dyDescent="0.15">
      <c r="A1417" s="33"/>
      <c r="B1417" s="12"/>
      <c r="C1417" s="12"/>
      <c r="D1417" s="12"/>
      <c r="E1417" s="12"/>
      <c r="G1417" s="14"/>
    </row>
    <row r="1418" spans="1:7" ht="22.5" customHeight="1" x14ac:dyDescent="0.15">
      <c r="A1418" s="33"/>
      <c r="B1418" s="12"/>
      <c r="C1418" s="12"/>
      <c r="D1418" s="12"/>
      <c r="E1418" s="12"/>
      <c r="G1418" s="14"/>
    </row>
    <row r="1419" spans="1:7" ht="22.5" customHeight="1" x14ac:dyDescent="0.15">
      <c r="A1419" s="33"/>
      <c r="B1419" s="12"/>
      <c r="C1419" s="12"/>
      <c r="D1419" s="12"/>
      <c r="E1419" s="12"/>
      <c r="G1419" s="14"/>
    </row>
    <row r="1420" spans="1:7" ht="22.5" customHeight="1" x14ac:dyDescent="0.15">
      <c r="A1420" s="33"/>
      <c r="B1420" s="12"/>
      <c r="C1420" s="12"/>
      <c r="D1420" s="12"/>
      <c r="E1420" s="12"/>
      <c r="G1420" s="14"/>
    </row>
    <row r="1421" spans="1:7" ht="22.5" customHeight="1" x14ac:dyDescent="0.15">
      <c r="A1421" s="33"/>
      <c r="B1421" s="12"/>
      <c r="C1421" s="12"/>
      <c r="D1421" s="12"/>
      <c r="E1421" s="12"/>
      <c r="G1421" s="14"/>
    </row>
    <row r="1422" spans="1:7" ht="22.5" customHeight="1" x14ac:dyDescent="0.15">
      <c r="A1422" s="33"/>
      <c r="B1422" s="12"/>
      <c r="C1422" s="12"/>
      <c r="D1422" s="12"/>
      <c r="E1422" s="12"/>
      <c r="G1422" s="14"/>
    </row>
    <row r="1423" spans="1:7" ht="22.5" customHeight="1" x14ac:dyDescent="0.15">
      <c r="A1423" s="33"/>
      <c r="B1423" s="12"/>
      <c r="C1423" s="12"/>
      <c r="D1423" s="12"/>
      <c r="E1423" s="12"/>
      <c r="G1423" s="14"/>
    </row>
    <row r="1424" spans="1:7" ht="22.5" customHeight="1" x14ac:dyDescent="0.15">
      <c r="A1424" s="33"/>
      <c r="B1424" s="12"/>
      <c r="C1424" s="12"/>
      <c r="D1424" s="12"/>
      <c r="E1424" s="12"/>
      <c r="G1424" s="14"/>
    </row>
    <row r="1425" spans="1:7" ht="22.5" customHeight="1" x14ac:dyDescent="0.15">
      <c r="A1425" s="33"/>
      <c r="B1425" s="12"/>
      <c r="C1425" s="12"/>
      <c r="D1425" s="12"/>
      <c r="E1425" s="12"/>
      <c r="G1425" s="14"/>
    </row>
    <row r="1426" spans="1:7" ht="22.5" customHeight="1" x14ac:dyDescent="0.15">
      <c r="A1426" s="33"/>
      <c r="B1426" s="12"/>
      <c r="C1426" s="12"/>
      <c r="D1426" s="12"/>
      <c r="E1426" s="12"/>
      <c r="G1426" s="14"/>
    </row>
    <row r="1427" spans="1:7" ht="22.5" customHeight="1" x14ac:dyDescent="0.15">
      <c r="A1427" s="33"/>
      <c r="B1427" s="12"/>
      <c r="C1427" s="12"/>
      <c r="D1427" s="12"/>
      <c r="E1427" s="12"/>
      <c r="G1427" s="14"/>
    </row>
    <row r="1428" spans="1:7" ht="22.5" customHeight="1" x14ac:dyDescent="0.15">
      <c r="A1428" s="33"/>
      <c r="B1428" s="12"/>
      <c r="C1428" s="12"/>
      <c r="D1428" s="12"/>
      <c r="E1428" s="12"/>
      <c r="G1428" s="14"/>
    </row>
    <row r="1429" spans="1:7" ht="22.5" customHeight="1" x14ac:dyDescent="0.15">
      <c r="A1429" s="33"/>
      <c r="B1429" s="12"/>
      <c r="C1429" s="12"/>
      <c r="D1429" s="12"/>
      <c r="E1429" s="12"/>
      <c r="G1429" s="14"/>
    </row>
    <row r="1430" spans="1:7" ht="22.5" customHeight="1" x14ac:dyDescent="0.15">
      <c r="A1430" s="33"/>
      <c r="B1430" s="12"/>
      <c r="C1430" s="12"/>
      <c r="D1430" s="12"/>
      <c r="E1430" s="12"/>
      <c r="G1430" s="14"/>
    </row>
    <row r="1431" spans="1:7" ht="22.5" customHeight="1" x14ac:dyDescent="0.15">
      <c r="A1431" s="33"/>
      <c r="B1431" s="12"/>
      <c r="C1431" s="12"/>
      <c r="D1431" s="12"/>
      <c r="E1431" s="12"/>
      <c r="G1431" s="14"/>
    </row>
    <row r="1432" spans="1:7" ht="22.5" customHeight="1" x14ac:dyDescent="0.15">
      <c r="A1432" s="33"/>
      <c r="B1432" s="12"/>
      <c r="C1432" s="12"/>
      <c r="D1432" s="12"/>
      <c r="E1432" s="12"/>
      <c r="G1432" s="14"/>
    </row>
    <row r="1433" spans="1:7" ht="22.5" customHeight="1" x14ac:dyDescent="0.15">
      <c r="A1433" s="33"/>
      <c r="B1433" s="12"/>
      <c r="C1433" s="12"/>
      <c r="D1433" s="12"/>
      <c r="E1433" s="12"/>
      <c r="G1433" s="14"/>
    </row>
    <row r="1434" spans="1:7" ht="22.5" customHeight="1" x14ac:dyDescent="0.15">
      <c r="A1434" s="33"/>
      <c r="B1434" s="12"/>
      <c r="C1434" s="12"/>
      <c r="D1434" s="12"/>
      <c r="E1434" s="12"/>
      <c r="G1434" s="14"/>
    </row>
    <row r="1435" spans="1:7" ht="22.5" customHeight="1" x14ac:dyDescent="0.15">
      <c r="A1435" s="33"/>
      <c r="B1435" s="12"/>
      <c r="C1435" s="12"/>
      <c r="D1435" s="12"/>
      <c r="E1435" s="12"/>
      <c r="G1435" s="14"/>
    </row>
    <row r="1436" spans="1:7" ht="22.5" customHeight="1" x14ac:dyDescent="0.15">
      <c r="A1436" s="33"/>
      <c r="B1436" s="12"/>
      <c r="C1436" s="12"/>
      <c r="D1436" s="12"/>
      <c r="E1436" s="12"/>
      <c r="G1436" s="14"/>
    </row>
    <row r="1437" spans="1:7" ht="22.5" customHeight="1" x14ac:dyDescent="0.15">
      <c r="A1437" s="33"/>
      <c r="B1437" s="12"/>
      <c r="C1437" s="12"/>
      <c r="D1437" s="12"/>
      <c r="E1437" s="12"/>
      <c r="G1437" s="14"/>
    </row>
    <row r="1438" spans="1:7" ht="22.5" customHeight="1" x14ac:dyDescent="0.15">
      <c r="A1438" s="33"/>
      <c r="B1438" s="12"/>
      <c r="C1438" s="12"/>
      <c r="D1438" s="12"/>
      <c r="E1438" s="12"/>
      <c r="G1438" s="14"/>
    </row>
    <row r="1439" spans="1:7" ht="22.5" customHeight="1" x14ac:dyDescent="0.15">
      <c r="A1439" s="33"/>
      <c r="B1439" s="12"/>
      <c r="C1439" s="12"/>
      <c r="D1439" s="12"/>
      <c r="E1439" s="12"/>
      <c r="G1439" s="14"/>
    </row>
    <row r="1440" spans="1:7" ht="22.5" customHeight="1" x14ac:dyDescent="0.15">
      <c r="A1440" s="33"/>
      <c r="B1440" s="12"/>
      <c r="C1440" s="12"/>
      <c r="D1440" s="12"/>
      <c r="E1440" s="12"/>
      <c r="G1440" s="14"/>
    </row>
    <row r="1441" spans="1:7" ht="22.5" customHeight="1" x14ac:dyDescent="0.15">
      <c r="A1441" s="33"/>
      <c r="B1441" s="12"/>
      <c r="C1441" s="12"/>
      <c r="D1441" s="12"/>
      <c r="E1441" s="12"/>
      <c r="G1441" s="14"/>
    </row>
    <row r="1442" spans="1:7" ht="22.5" customHeight="1" x14ac:dyDescent="0.15">
      <c r="A1442" s="33"/>
      <c r="B1442" s="12"/>
      <c r="C1442" s="12"/>
      <c r="D1442" s="12"/>
      <c r="E1442" s="12"/>
      <c r="G1442" s="14"/>
    </row>
    <row r="1443" spans="1:7" ht="22.5" customHeight="1" x14ac:dyDescent="0.15">
      <c r="A1443" s="33"/>
      <c r="B1443" s="12"/>
      <c r="C1443" s="12"/>
      <c r="D1443" s="12"/>
      <c r="E1443" s="12"/>
      <c r="G1443" s="14"/>
    </row>
    <row r="1444" spans="1:7" ht="22.5" customHeight="1" x14ac:dyDescent="0.15">
      <c r="A1444" s="33"/>
      <c r="B1444" s="12"/>
      <c r="C1444" s="12"/>
      <c r="D1444" s="12"/>
      <c r="E1444" s="12"/>
      <c r="G1444" s="14"/>
    </row>
    <row r="1445" spans="1:7" ht="22.5" customHeight="1" x14ac:dyDescent="0.15">
      <c r="A1445" s="33"/>
      <c r="B1445" s="12"/>
      <c r="C1445" s="12"/>
      <c r="D1445" s="12"/>
      <c r="E1445" s="12"/>
      <c r="G1445" s="14"/>
    </row>
    <row r="1446" spans="1:7" ht="22.5" customHeight="1" x14ac:dyDescent="0.15">
      <c r="A1446" s="33"/>
      <c r="B1446" s="12"/>
      <c r="C1446" s="12"/>
      <c r="D1446" s="12"/>
      <c r="E1446" s="12"/>
      <c r="G1446" s="14"/>
    </row>
    <row r="1447" spans="1:7" ht="22.5" customHeight="1" x14ac:dyDescent="0.15">
      <c r="A1447" s="33"/>
      <c r="B1447" s="12"/>
      <c r="C1447" s="12"/>
      <c r="D1447" s="12"/>
      <c r="E1447" s="12"/>
      <c r="G1447" s="14"/>
    </row>
    <row r="1448" spans="1:7" ht="22.5" customHeight="1" x14ac:dyDescent="0.15">
      <c r="A1448" s="33"/>
      <c r="B1448" s="12"/>
      <c r="C1448" s="12"/>
      <c r="D1448" s="12"/>
      <c r="E1448" s="12"/>
      <c r="G1448" s="14"/>
    </row>
    <row r="1449" spans="1:7" ht="22.5" customHeight="1" x14ac:dyDescent="0.15">
      <c r="A1449" s="33"/>
      <c r="B1449" s="12"/>
      <c r="C1449" s="12"/>
      <c r="D1449" s="12"/>
      <c r="E1449" s="12"/>
      <c r="G1449" s="14"/>
    </row>
    <row r="1450" spans="1:7" ht="22.5" customHeight="1" x14ac:dyDescent="0.15">
      <c r="A1450" s="33"/>
      <c r="B1450" s="12"/>
      <c r="C1450" s="12"/>
      <c r="D1450" s="12"/>
      <c r="E1450" s="12"/>
      <c r="G1450" s="14"/>
    </row>
    <row r="1451" spans="1:7" ht="22.5" customHeight="1" x14ac:dyDescent="0.15">
      <c r="A1451" s="33"/>
      <c r="B1451" s="12"/>
      <c r="C1451" s="12"/>
      <c r="D1451" s="12"/>
      <c r="E1451" s="12"/>
      <c r="G1451" s="14"/>
    </row>
    <row r="1452" spans="1:7" ht="22.5" customHeight="1" x14ac:dyDescent="0.15">
      <c r="A1452" s="33"/>
      <c r="B1452" s="12"/>
      <c r="C1452" s="12"/>
      <c r="D1452" s="12"/>
      <c r="E1452" s="12"/>
      <c r="G1452" s="14"/>
    </row>
    <row r="1453" spans="1:7" ht="22.5" customHeight="1" x14ac:dyDescent="0.15">
      <c r="A1453" s="33"/>
      <c r="B1453" s="12"/>
      <c r="C1453" s="12"/>
      <c r="D1453" s="12"/>
      <c r="E1453" s="12"/>
      <c r="G1453" s="14"/>
    </row>
    <row r="1454" spans="1:7" ht="22.5" customHeight="1" x14ac:dyDescent="0.15">
      <c r="A1454" s="33"/>
      <c r="B1454" s="12"/>
      <c r="C1454" s="12"/>
      <c r="D1454" s="12"/>
      <c r="E1454" s="12"/>
      <c r="G1454" s="14"/>
    </row>
    <row r="1455" spans="1:7" ht="22.5" customHeight="1" x14ac:dyDescent="0.15">
      <c r="A1455" s="33"/>
      <c r="B1455" s="12"/>
      <c r="C1455" s="12"/>
      <c r="D1455" s="12"/>
      <c r="E1455" s="12"/>
      <c r="G1455" s="14"/>
    </row>
    <row r="1456" spans="1:7" ht="22.5" customHeight="1" x14ac:dyDescent="0.15">
      <c r="A1456" s="33"/>
      <c r="B1456" s="12"/>
      <c r="C1456" s="12"/>
      <c r="D1456" s="12"/>
      <c r="E1456" s="12"/>
      <c r="G1456" s="14"/>
    </row>
    <row r="1457" spans="1:7" ht="22.5" customHeight="1" x14ac:dyDescent="0.15">
      <c r="A1457" s="33"/>
      <c r="B1457" s="12"/>
      <c r="C1457" s="12"/>
      <c r="D1457" s="12"/>
      <c r="E1457" s="12"/>
      <c r="G1457" s="14"/>
    </row>
    <row r="1458" spans="1:7" ht="22.5" customHeight="1" x14ac:dyDescent="0.15">
      <c r="A1458" s="33"/>
      <c r="B1458" s="12"/>
      <c r="C1458" s="12"/>
      <c r="D1458" s="12"/>
      <c r="E1458" s="12"/>
      <c r="G1458" s="14"/>
    </row>
    <row r="1459" spans="1:7" ht="22.5" customHeight="1" x14ac:dyDescent="0.15">
      <c r="A1459" s="33"/>
      <c r="B1459" s="12"/>
      <c r="C1459" s="12"/>
      <c r="D1459" s="12"/>
      <c r="E1459" s="12"/>
      <c r="G1459" s="14"/>
    </row>
    <row r="1460" spans="1:7" ht="22.5" customHeight="1" x14ac:dyDescent="0.15">
      <c r="A1460" s="33"/>
      <c r="B1460" s="12"/>
      <c r="C1460" s="12"/>
      <c r="D1460" s="12"/>
      <c r="E1460" s="12"/>
      <c r="G1460" s="14"/>
    </row>
    <row r="1461" spans="1:7" ht="22.5" customHeight="1" x14ac:dyDescent="0.15">
      <c r="A1461" s="33"/>
      <c r="B1461" s="12"/>
      <c r="C1461" s="12"/>
      <c r="D1461" s="12"/>
      <c r="E1461" s="12"/>
      <c r="G1461" s="14"/>
    </row>
    <row r="1462" spans="1:7" ht="22.5" customHeight="1" x14ac:dyDescent="0.15">
      <c r="A1462" s="33"/>
      <c r="B1462" s="12"/>
      <c r="C1462" s="12"/>
      <c r="D1462" s="12"/>
      <c r="E1462" s="12"/>
      <c r="G1462" s="14"/>
    </row>
    <row r="1463" spans="1:7" ht="22.5" customHeight="1" x14ac:dyDescent="0.15">
      <c r="A1463" s="33"/>
      <c r="B1463" s="12"/>
      <c r="C1463" s="12"/>
      <c r="D1463" s="12"/>
      <c r="E1463" s="12"/>
      <c r="G1463" s="14"/>
    </row>
    <row r="1464" spans="1:7" ht="22.5" customHeight="1" x14ac:dyDescent="0.15">
      <c r="A1464" s="33"/>
      <c r="B1464" s="12"/>
      <c r="C1464" s="12"/>
      <c r="D1464" s="12"/>
      <c r="E1464" s="12"/>
      <c r="G1464" s="14"/>
    </row>
    <row r="1465" spans="1:7" ht="22.5" customHeight="1" x14ac:dyDescent="0.15">
      <c r="A1465" s="33"/>
      <c r="B1465" s="12"/>
      <c r="C1465" s="12"/>
      <c r="D1465" s="12"/>
      <c r="E1465" s="12"/>
      <c r="G1465" s="14"/>
    </row>
    <row r="1466" spans="1:7" ht="22.5" customHeight="1" x14ac:dyDescent="0.15">
      <c r="A1466" s="33"/>
      <c r="B1466" s="12"/>
      <c r="C1466" s="12"/>
      <c r="D1466" s="12"/>
      <c r="E1466" s="12"/>
      <c r="G1466" s="14"/>
    </row>
    <row r="1467" spans="1:7" ht="22.5" customHeight="1" x14ac:dyDescent="0.15">
      <c r="A1467" s="33"/>
      <c r="B1467" s="12"/>
      <c r="C1467" s="12"/>
      <c r="D1467" s="12"/>
      <c r="E1467" s="12"/>
      <c r="G1467" s="14"/>
    </row>
    <row r="1468" spans="1:7" ht="22.5" customHeight="1" x14ac:dyDescent="0.15">
      <c r="A1468" s="33"/>
      <c r="B1468" s="12"/>
      <c r="C1468" s="12"/>
      <c r="D1468" s="12"/>
      <c r="E1468" s="12"/>
      <c r="G1468" s="14"/>
    </row>
    <row r="1469" spans="1:7" ht="22.5" customHeight="1" x14ac:dyDescent="0.15">
      <c r="A1469" s="33"/>
      <c r="B1469" s="12"/>
      <c r="C1469" s="12"/>
      <c r="D1469" s="12"/>
      <c r="E1469" s="12"/>
      <c r="G1469" s="14"/>
    </row>
    <row r="1470" spans="1:7" ht="22.5" customHeight="1" x14ac:dyDescent="0.15">
      <c r="A1470" s="33"/>
      <c r="B1470" s="12"/>
      <c r="C1470" s="12"/>
      <c r="D1470" s="12"/>
      <c r="E1470" s="12"/>
      <c r="G1470" s="14"/>
    </row>
    <row r="1471" spans="1:7" ht="22.5" customHeight="1" x14ac:dyDescent="0.15">
      <c r="A1471" s="33"/>
      <c r="B1471" s="12"/>
      <c r="C1471" s="12"/>
      <c r="D1471" s="12"/>
      <c r="E1471" s="12"/>
      <c r="G1471" s="14"/>
    </row>
    <row r="1472" spans="1:7" ht="22.5" customHeight="1" x14ac:dyDescent="0.15">
      <c r="A1472" s="33"/>
      <c r="B1472" s="12"/>
      <c r="C1472" s="12"/>
      <c r="D1472" s="12"/>
      <c r="E1472" s="12"/>
      <c r="G1472" s="14"/>
    </row>
    <row r="1473" spans="1:7" ht="22.5" customHeight="1" x14ac:dyDescent="0.15">
      <c r="A1473" s="33"/>
      <c r="B1473" s="12"/>
      <c r="C1473" s="12"/>
      <c r="D1473" s="12"/>
      <c r="E1473" s="12"/>
      <c r="G1473" s="14"/>
    </row>
    <row r="1474" spans="1:7" ht="22.5" customHeight="1" x14ac:dyDescent="0.15">
      <c r="A1474" s="33"/>
      <c r="B1474" s="12"/>
      <c r="C1474" s="12"/>
      <c r="D1474" s="12"/>
      <c r="E1474" s="12"/>
      <c r="G1474" s="14"/>
    </row>
    <row r="1475" spans="1:7" ht="22.5" customHeight="1" x14ac:dyDescent="0.15">
      <c r="A1475" s="33"/>
      <c r="B1475" s="12"/>
      <c r="C1475" s="12"/>
      <c r="D1475" s="12"/>
      <c r="E1475" s="12"/>
      <c r="G1475" s="14"/>
    </row>
    <row r="1476" spans="1:7" ht="22.5" customHeight="1" x14ac:dyDescent="0.15">
      <c r="A1476" s="33"/>
      <c r="B1476" s="12"/>
      <c r="C1476" s="12"/>
      <c r="D1476" s="12"/>
      <c r="E1476" s="12"/>
      <c r="G1476" s="14"/>
    </row>
    <row r="1477" spans="1:7" ht="22.5" customHeight="1" x14ac:dyDescent="0.15">
      <c r="A1477" s="33"/>
      <c r="B1477" s="12"/>
      <c r="C1477" s="12"/>
      <c r="D1477" s="12"/>
      <c r="E1477" s="12"/>
      <c r="G1477" s="14"/>
    </row>
    <row r="1478" spans="1:7" ht="22.5" customHeight="1" x14ac:dyDescent="0.15">
      <c r="A1478" s="33"/>
      <c r="B1478" s="12"/>
      <c r="C1478" s="12"/>
      <c r="D1478" s="12"/>
      <c r="E1478" s="12"/>
      <c r="G1478" s="14"/>
    </row>
    <row r="1479" spans="1:7" ht="22.5" customHeight="1" x14ac:dyDescent="0.15">
      <c r="A1479" s="33"/>
      <c r="B1479" s="12"/>
      <c r="C1479" s="12"/>
      <c r="D1479" s="12"/>
      <c r="E1479" s="12"/>
      <c r="G1479" s="14"/>
    </row>
    <row r="1480" spans="1:7" ht="22.5" customHeight="1" x14ac:dyDescent="0.15">
      <c r="A1480" s="33"/>
      <c r="B1480" s="12"/>
      <c r="C1480" s="12"/>
      <c r="D1480" s="12"/>
      <c r="E1480" s="12"/>
      <c r="G1480" s="14"/>
    </row>
    <row r="1481" spans="1:7" ht="22.5" customHeight="1" x14ac:dyDescent="0.15">
      <c r="A1481" s="33"/>
      <c r="B1481" s="12"/>
      <c r="C1481" s="12"/>
      <c r="D1481" s="12"/>
      <c r="E1481" s="12"/>
      <c r="G1481" s="14"/>
    </row>
    <row r="1482" spans="1:7" ht="22.5" customHeight="1" x14ac:dyDescent="0.15">
      <c r="A1482" s="33"/>
      <c r="B1482" s="12"/>
      <c r="C1482" s="12"/>
      <c r="D1482" s="12"/>
      <c r="E1482" s="12"/>
      <c r="G1482" s="14"/>
    </row>
    <row r="1483" spans="1:7" ht="22.5" customHeight="1" x14ac:dyDescent="0.15">
      <c r="A1483" s="33"/>
      <c r="B1483" s="12"/>
      <c r="C1483" s="12"/>
      <c r="D1483" s="12"/>
      <c r="E1483" s="12"/>
      <c r="G1483" s="14"/>
    </row>
    <row r="1484" spans="1:7" ht="22.5" customHeight="1" x14ac:dyDescent="0.15">
      <c r="A1484" s="33"/>
      <c r="B1484" s="12"/>
      <c r="C1484" s="12"/>
      <c r="D1484" s="12"/>
      <c r="E1484" s="12"/>
      <c r="G1484" s="14"/>
    </row>
    <row r="1485" spans="1:7" ht="22.5" customHeight="1" x14ac:dyDescent="0.15">
      <c r="A1485" s="33"/>
      <c r="B1485" s="12"/>
      <c r="C1485" s="12"/>
      <c r="D1485" s="12"/>
      <c r="E1485" s="12"/>
      <c r="G1485" s="14"/>
    </row>
    <row r="1486" spans="1:7" ht="22.5" customHeight="1" x14ac:dyDescent="0.15">
      <c r="A1486" s="33"/>
      <c r="B1486" s="12"/>
      <c r="C1486" s="12"/>
      <c r="D1486" s="12"/>
      <c r="E1486" s="12"/>
      <c r="G1486" s="14"/>
    </row>
    <row r="1487" spans="1:7" ht="22.5" customHeight="1" x14ac:dyDescent="0.15">
      <c r="A1487" s="33"/>
      <c r="B1487" s="12"/>
      <c r="C1487" s="12"/>
      <c r="D1487" s="12"/>
      <c r="E1487" s="12"/>
      <c r="G1487" s="14"/>
    </row>
    <row r="1488" spans="1:7" ht="22.5" customHeight="1" x14ac:dyDescent="0.15">
      <c r="A1488" s="33"/>
      <c r="B1488" s="12"/>
      <c r="C1488" s="12"/>
      <c r="D1488" s="12"/>
      <c r="E1488" s="12"/>
      <c r="G1488" s="14"/>
    </row>
    <row r="1489" spans="1:7" ht="22.5" customHeight="1" x14ac:dyDescent="0.15">
      <c r="A1489" s="33"/>
      <c r="B1489" s="12"/>
      <c r="C1489" s="12"/>
      <c r="D1489" s="12"/>
      <c r="E1489" s="12"/>
      <c r="G1489" s="14"/>
    </row>
    <row r="1490" spans="1:7" ht="22.5" customHeight="1" x14ac:dyDescent="0.15">
      <c r="A1490" s="33"/>
      <c r="B1490" s="12"/>
      <c r="C1490" s="12"/>
      <c r="D1490" s="12"/>
      <c r="E1490" s="12"/>
      <c r="G1490" s="14"/>
    </row>
    <row r="1491" spans="1:7" ht="22.5" customHeight="1" x14ac:dyDescent="0.15">
      <c r="A1491" s="33"/>
      <c r="B1491" s="12"/>
      <c r="C1491" s="12"/>
      <c r="D1491" s="12"/>
      <c r="E1491" s="12"/>
      <c r="G1491" s="14"/>
    </row>
    <row r="1492" spans="1:7" ht="22.5" customHeight="1" x14ac:dyDescent="0.15">
      <c r="A1492" s="33"/>
      <c r="B1492" s="12"/>
      <c r="C1492" s="12"/>
      <c r="D1492" s="12"/>
      <c r="E1492" s="12"/>
      <c r="G1492" s="14"/>
    </row>
    <row r="1493" spans="1:7" ht="22.5" customHeight="1" x14ac:dyDescent="0.15">
      <c r="A1493" s="33"/>
      <c r="B1493" s="12"/>
      <c r="C1493" s="12"/>
      <c r="D1493" s="12"/>
      <c r="E1493" s="12"/>
      <c r="G1493" s="14"/>
    </row>
    <row r="1494" spans="1:7" ht="22.5" customHeight="1" x14ac:dyDescent="0.15">
      <c r="A1494" s="33"/>
      <c r="B1494" s="12"/>
      <c r="C1494" s="12"/>
      <c r="D1494" s="12"/>
      <c r="E1494" s="12"/>
      <c r="G1494" s="14"/>
    </row>
    <row r="1495" spans="1:7" ht="22.5" customHeight="1" x14ac:dyDescent="0.15">
      <c r="A1495" s="33"/>
      <c r="B1495" s="12"/>
      <c r="C1495" s="12"/>
      <c r="D1495" s="12"/>
      <c r="E1495" s="12"/>
      <c r="G1495" s="14"/>
    </row>
    <row r="1496" spans="1:7" ht="22.5" customHeight="1" x14ac:dyDescent="0.15">
      <c r="A1496" s="33"/>
      <c r="B1496" s="12"/>
      <c r="C1496" s="12"/>
      <c r="D1496" s="12"/>
      <c r="E1496" s="12"/>
      <c r="G1496" s="14"/>
    </row>
    <row r="1497" spans="1:7" ht="22.5" customHeight="1" x14ac:dyDescent="0.15">
      <c r="A1497" s="33"/>
      <c r="B1497" s="12"/>
      <c r="C1497" s="12"/>
      <c r="D1497" s="12"/>
      <c r="E1497" s="12"/>
      <c r="G1497" s="14"/>
    </row>
    <row r="1498" spans="1:7" ht="22.5" customHeight="1" x14ac:dyDescent="0.15">
      <c r="A1498" s="33"/>
      <c r="B1498" s="12"/>
      <c r="C1498" s="12"/>
      <c r="D1498" s="12"/>
      <c r="E1498" s="12"/>
      <c r="G1498" s="14"/>
    </row>
    <row r="1499" spans="1:7" ht="22.5" customHeight="1" x14ac:dyDescent="0.15">
      <c r="A1499" s="33"/>
      <c r="B1499" s="12"/>
      <c r="C1499" s="12"/>
      <c r="D1499" s="12"/>
      <c r="E1499" s="12"/>
      <c r="G1499" s="14"/>
    </row>
    <row r="1500" spans="1:7" ht="22.5" customHeight="1" x14ac:dyDescent="0.15">
      <c r="A1500" s="33"/>
      <c r="B1500" s="12"/>
      <c r="C1500" s="12"/>
      <c r="D1500" s="12"/>
      <c r="E1500" s="12"/>
      <c r="G1500" s="14"/>
    </row>
    <row r="1501" spans="1:7" ht="22.5" customHeight="1" x14ac:dyDescent="0.15">
      <c r="A1501" s="33"/>
      <c r="B1501" s="12"/>
      <c r="C1501" s="12"/>
      <c r="D1501" s="12"/>
      <c r="E1501" s="12"/>
      <c r="G1501" s="14"/>
    </row>
    <row r="1502" spans="1:7" ht="22.5" customHeight="1" x14ac:dyDescent="0.15">
      <c r="A1502" s="33"/>
      <c r="B1502" s="12"/>
      <c r="C1502" s="12"/>
      <c r="D1502" s="12"/>
      <c r="E1502" s="12"/>
      <c r="G1502" s="14"/>
    </row>
    <row r="1503" spans="1:7" ht="22.5" customHeight="1" x14ac:dyDescent="0.15">
      <c r="A1503" s="33"/>
      <c r="B1503" s="12"/>
      <c r="C1503" s="12"/>
      <c r="D1503" s="12"/>
      <c r="E1503" s="12"/>
      <c r="G1503" s="14"/>
    </row>
    <row r="1504" spans="1:7" ht="22.5" customHeight="1" x14ac:dyDescent="0.15">
      <c r="A1504" s="33"/>
      <c r="B1504" s="12"/>
      <c r="C1504" s="12"/>
      <c r="D1504" s="12"/>
      <c r="E1504" s="12"/>
      <c r="G1504" s="14"/>
    </row>
    <row r="1505" spans="1:7" ht="22.5" customHeight="1" x14ac:dyDescent="0.15">
      <c r="A1505" s="33"/>
      <c r="B1505" s="12"/>
      <c r="C1505" s="12"/>
      <c r="D1505" s="12"/>
      <c r="E1505" s="12"/>
      <c r="G1505" s="14"/>
    </row>
    <row r="1506" spans="1:7" ht="22.5" customHeight="1" x14ac:dyDescent="0.15">
      <c r="A1506" s="33"/>
      <c r="B1506" s="12"/>
      <c r="C1506" s="12"/>
      <c r="D1506" s="12"/>
      <c r="E1506" s="12"/>
      <c r="G1506" s="14"/>
    </row>
    <row r="1507" spans="1:7" ht="22.5" customHeight="1" x14ac:dyDescent="0.15">
      <c r="A1507" s="33"/>
      <c r="B1507" s="12"/>
      <c r="C1507" s="12"/>
      <c r="D1507" s="12"/>
      <c r="E1507" s="12"/>
      <c r="G1507" s="14"/>
    </row>
    <row r="1508" spans="1:7" ht="22.5" customHeight="1" x14ac:dyDescent="0.15">
      <c r="A1508" s="33"/>
      <c r="B1508" s="12"/>
      <c r="C1508" s="12"/>
      <c r="D1508" s="12"/>
      <c r="E1508" s="12"/>
      <c r="G1508" s="14"/>
    </row>
    <row r="1509" spans="1:7" ht="22.5" customHeight="1" x14ac:dyDescent="0.15">
      <c r="A1509" s="33"/>
      <c r="B1509" s="12"/>
      <c r="C1509" s="12"/>
      <c r="D1509" s="12"/>
      <c r="E1509" s="12"/>
      <c r="G1509" s="14"/>
    </row>
    <row r="1510" spans="1:7" ht="22.5" customHeight="1" x14ac:dyDescent="0.15">
      <c r="A1510" s="33"/>
      <c r="B1510" s="12"/>
      <c r="C1510" s="12"/>
      <c r="D1510" s="12"/>
      <c r="E1510" s="12"/>
      <c r="G1510" s="14"/>
    </row>
    <row r="1511" spans="1:7" ht="22.5" customHeight="1" x14ac:dyDescent="0.15">
      <c r="A1511" s="33"/>
      <c r="B1511" s="12"/>
      <c r="C1511" s="12"/>
      <c r="D1511" s="12"/>
      <c r="E1511" s="12"/>
      <c r="G1511" s="14"/>
    </row>
    <row r="1512" spans="1:7" ht="22.5" customHeight="1" x14ac:dyDescent="0.15">
      <c r="A1512" s="33"/>
      <c r="B1512" s="12"/>
      <c r="C1512" s="12"/>
      <c r="D1512" s="12"/>
      <c r="E1512" s="12"/>
      <c r="G1512" s="14"/>
    </row>
    <row r="1513" spans="1:7" ht="22.5" customHeight="1" x14ac:dyDescent="0.15">
      <c r="A1513" s="33"/>
      <c r="B1513" s="12"/>
      <c r="C1513" s="12"/>
      <c r="D1513" s="12"/>
      <c r="E1513" s="12"/>
      <c r="G1513" s="14"/>
    </row>
    <row r="1514" spans="1:7" ht="22.5" customHeight="1" x14ac:dyDescent="0.15">
      <c r="A1514" s="33"/>
      <c r="B1514" s="12"/>
      <c r="C1514" s="12"/>
      <c r="D1514" s="12"/>
      <c r="E1514" s="12"/>
      <c r="G1514" s="14"/>
    </row>
    <row r="1515" spans="1:7" ht="22.5" customHeight="1" x14ac:dyDescent="0.15">
      <c r="A1515" s="33"/>
      <c r="B1515" s="12"/>
      <c r="C1515" s="12"/>
      <c r="D1515" s="12"/>
      <c r="E1515" s="12"/>
      <c r="G1515" s="14"/>
    </row>
    <row r="1516" spans="1:7" ht="22.5" customHeight="1" x14ac:dyDescent="0.15">
      <c r="A1516" s="33"/>
      <c r="B1516" s="12"/>
      <c r="C1516" s="12"/>
      <c r="D1516" s="12"/>
      <c r="E1516" s="12"/>
      <c r="G1516" s="14"/>
    </row>
    <row r="1517" spans="1:7" ht="22.5" customHeight="1" x14ac:dyDescent="0.15">
      <c r="A1517" s="33"/>
      <c r="B1517" s="12"/>
      <c r="C1517" s="12"/>
      <c r="D1517" s="12"/>
      <c r="E1517" s="12"/>
      <c r="G1517" s="14"/>
    </row>
    <row r="1518" spans="1:7" ht="22.5" customHeight="1" x14ac:dyDescent="0.15">
      <c r="A1518" s="33"/>
      <c r="B1518" s="12"/>
      <c r="C1518" s="12"/>
      <c r="D1518" s="12"/>
      <c r="E1518" s="12"/>
      <c r="G1518" s="14"/>
    </row>
    <row r="1519" spans="1:7" ht="22.5" customHeight="1" x14ac:dyDescent="0.15">
      <c r="A1519" s="33"/>
      <c r="B1519" s="12"/>
      <c r="C1519" s="12"/>
      <c r="D1519" s="12"/>
      <c r="E1519" s="12"/>
      <c r="G1519" s="14"/>
    </row>
    <row r="1520" spans="1:7" ht="22.5" customHeight="1" x14ac:dyDescent="0.15">
      <c r="A1520" s="33"/>
      <c r="B1520" s="12"/>
      <c r="C1520" s="12"/>
      <c r="D1520" s="12"/>
      <c r="E1520" s="12"/>
      <c r="G1520" s="14"/>
    </row>
    <row r="1521" spans="1:7" ht="22.5" customHeight="1" x14ac:dyDescent="0.15">
      <c r="A1521" s="33"/>
      <c r="B1521" s="12"/>
      <c r="C1521" s="12"/>
      <c r="D1521" s="12"/>
      <c r="E1521" s="12"/>
      <c r="G1521" s="14"/>
    </row>
    <row r="1522" spans="1:7" ht="22.5" customHeight="1" x14ac:dyDescent="0.15">
      <c r="A1522" s="33"/>
      <c r="B1522" s="12"/>
      <c r="C1522" s="12"/>
      <c r="D1522" s="12"/>
      <c r="E1522" s="12"/>
      <c r="G1522" s="14"/>
    </row>
    <row r="1523" spans="1:7" ht="22.5" customHeight="1" x14ac:dyDescent="0.15">
      <c r="A1523" s="33"/>
      <c r="B1523" s="12"/>
      <c r="C1523" s="12"/>
      <c r="D1523" s="12"/>
      <c r="E1523" s="12"/>
      <c r="G1523" s="14"/>
    </row>
    <row r="1524" spans="1:7" ht="22.5" customHeight="1" x14ac:dyDescent="0.15">
      <c r="A1524" s="33"/>
      <c r="B1524" s="12"/>
      <c r="C1524" s="12"/>
      <c r="D1524" s="12"/>
      <c r="E1524" s="12"/>
      <c r="G1524" s="14"/>
    </row>
    <row r="1525" spans="1:7" ht="22.5" customHeight="1" x14ac:dyDescent="0.15">
      <c r="A1525" s="33"/>
      <c r="B1525" s="12"/>
      <c r="C1525" s="12"/>
      <c r="D1525" s="12"/>
      <c r="E1525" s="12"/>
      <c r="G1525" s="14"/>
    </row>
    <row r="1526" spans="1:7" ht="22.5" customHeight="1" x14ac:dyDescent="0.15">
      <c r="A1526" s="33"/>
      <c r="B1526" s="12"/>
      <c r="C1526" s="12"/>
      <c r="D1526" s="12"/>
      <c r="E1526" s="12"/>
      <c r="G1526" s="14"/>
    </row>
    <row r="1527" spans="1:7" ht="22.5" customHeight="1" x14ac:dyDescent="0.15">
      <c r="A1527" s="33"/>
      <c r="B1527" s="12"/>
      <c r="C1527" s="12"/>
      <c r="D1527" s="12"/>
      <c r="E1527" s="12"/>
      <c r="G1527" s="14"/>
    </row>
    <row r="1528" spans="1:7" ht="22.5" customHeight="1" x14ac:dyDescent="0.15">
      <c r="A1528" s="33"/>
      <c r="B1528" s="12"/>
      <c r="C1528" s="12"/>
      <c r="D1528" s="12"/>
      <c r="E1528" s="12"/>
      <c r="G1528" s="14"/>
    </row>
    <row r="1529" spans="1:7" ht="22.5" customHeight="1" x14ac:dyDescent="0.15">
      <c r="A1529" s="33"/>
      <c r="B1529" s="12"/>
      <c r="C1529" s="12"/>
      <c r="D1529" s="12"/>
      <c r="E1529" s="12"/>
      <c r="G1529" s="14"/>
    </row>
    <row r="1530" spans="1:7" ht="22.5" customHeight="1" x14ac:dyDescent="0.15">
      <c r="A1530" s="33"/>
      <c r="B1530" s="12"/>
      <c r="C1530" s="12"/>
      <c r="D1530" s="12"/>
      <c r="E1530" s="12"/>
      <c r="G1530" s="14"/>
    </row>
    <row r="1531" spans="1:7" ht="22.5" customHeight="1" x14ac:dyDescent="0.15">
      <c r="A1531" s="33"/>
      <c r="B1531" s="12"/>
      <c r="C1531" s="12"/>
      <c r="D1531" s="12"/>
      <c r="E1531" s="12"/>
      <c r="G1531" s="14"/>
    </row>
    <row r="1532" spans="1:7" ht="22.5" customHeight="1" x14ac:dyDescent="0.15">
      <c r="A1532" s="33"/>
      <c r="B1532" s="12"/>
      <c r="C1532" s="12"/>
      <c r="D1532" s="12"/>
      <c r="E1532" s="12"/>
      <c r="G1532" s="14"/>
    </row>
    <row r="1533" spans="1:7" ht="22.5" customHeight="1" x14ac:dyDescent="0.15">
      <c r="A1533" s="33"/>
      <c r="B1533" s="12"/>
      <c r="C1533" s="12"/>
      <c r="D1533" s="12"/>
      <c r="E1533" s="12"/>
      <c r="G1533" s="14"/>
    </row>
    <row r="1534" spans="1:7" ht="22.5" customHeight="1" x14ac:dyDescent="0.15">
      <c r="A1534" s="33"/>
      <c r="B1534" s="12"/>
      <c r="C1534" s="12"/>
      <c r="D1534" s="12"/>
      <c r="E1534" s="12"/>
      <c r="G1534" s="14"/>
    </row>
    <row r="1535" spans="1:7" ht="22.5" customHeight="1" x14ac:dyDescent="0.15">
      <c r="A1535" s="33"/>
      <c r="B1535" s="12"/>
      <c r="C1535" s="12"/>
      <c r="D1535" s="12"/>
      <c r="E1535" s="12"/>
      <c r="G1535" s="14"/>
    </row>
    <row r="1536" spans="1:7" ht="22.5" customHeight="1" x14ac:dyDescent="0.15">
      <c r="A1536" s="33"/>
      <c r="B1536" s="12"/>
      <c r="C1536" s="12"/>
      <c r="D1536" s="12"/>
      <c r="E1536" s="12"/>
      <c r="G1536" s="14"/>
    </row>
    <row r="1537" spans="1:7" ht="22.5" customHeight="1" x14ac:dyDescent="0.15">
      <c r="A1537" s="33"/>
      <c r="B1537" s="12"/>
      <c r="C1537" s="12"/>
      <c r="D1537" s="12"/>
      <c r="E1537" s="12"/>
      <c r="G1537" s="14"/>
    </row>
    <row r="1538" spans="1:7" ht="22.5" customHeight="1" x14ac:dyDescent="0.15">
      <c r="A1538" s="33"/>
      <c r="B1538" s="12"/>
      <c r="C1538" s="12"/>
      <c r="D1538" s="12"/>
      <c r="E1538" s="12"/>
      <c r="G1538" s="14"/>
    </row>
    <row r="1539" spans="1:7" ht="22.5" customHeight="1" x14ac:dyDescent="0.15">
      <c r="A1539" s="33"/>
      <c r="B1539" s="12"/>
      <c r="C1539" s="12"/>
      <c r="D1539" s="12"/>
      <c r="E1539" s="12"/>
      <c r="G1539" s="14"/>
    </row>
    <row r="1540" spans="1:7" ht="22.5" customHeight="1" x14ac:dyDescent="0.15">
      <c r="A1540" s="33"/>
      <c r="B1540" s="12"/>
      <c r="C1540" s="12"/>
      <c r="D1540" s="12"/>
      <c r="E1540" s="12"/>
      <c r="G1540" s="14"/>
    </row>
    <row r="1541" spans="1:7" ht="22.5" customHeight="1" x14ac:dyDescent="0.15">
      <c r="A1541" s="33"/>
      <c r="B1541" s="12"/>
      <c r="C1541" s="12"/>
      <c r="D1541" s="12"/>
      <c r="E1541" s="12"/>
      <c r="G1541" s="14"/>
    </row>
    <row r="1542" spans="1:7" ht="22.5" customHeight="1" x14ac:dyDescent="0.15">
      <c r="A1542" s="33"/>
      <c r="B1542" s="12"/>
      <c r="C1542" s="12"/>
      <c r="D1542" s="12"/>
      <c r="E1542" s="12"/>
      <c r="G1542" s="14"/>
    </row>
    <row r="1543" spans="1:7" ht="22.5" customHeight="1" x14ac:dyDescent="0.15">
      <c r="A1543" s="33"/>
      <c r="B1543" s="12"/>
      <c r="C1543" s="12"/>
      <c r="D1543" s="12"/>
      <c r="E1543" s="12"/>
      <c r="G1543" s="14"/>
    </row>
    <row r="1544" spans="1:7" ht="22.5" customHeight="1" x14ac:dyDescent="0.15">
      <c r="A1544" s="33"/>
      <c r="B1544" s="12"/>
      <c r="C1544" s="12"/>
      <c r="D1544" s="12"/>
      <c r="E1544" s="12"/>
      <c r="G1544" s="14"/>
    </row>
    <row r="1545" spans="1:7" ht="22.5" customHeight="1" x14ac:dyDescent="0.15">
      <c r="A1545" s="33"/>
      <c r="B1545" s="12"/>
      <c r="C1545" s="12"/>
      <c r="D1545" s="12"/>
      <c r="E1545" s="12"/>
      <c r="G1545" s="14"/>
    </row>
    <row r="1546" spans="1:7" ht="22.5" customHeight="1" x14ac:dyDescent="0.15">
      <c r="A1546" s="33"/>
      <c r="B1546" s="12"/>
      <c r="C1546" s="12"/>
      <c r="D1546" s="12"/>
      <c r="E1546" s="12"/>
      <c r="G1546" s="14"/>
    </row>
    <row r="1547" spans="1:7" ht="22.5" customHeight="1" x14ac:dyDescent="0.15">
      <c r="A1547" s="33"/>
      <c r="B1547" s="12"/>
      <c r="C1547" s="12"/>
      <c r="D1547" s="12"/>
      <c r="E1547" s="12"/>
      <c r="G1547" s="14"/>
    </row>
    <row r="1548" spans="1:7" ht="22.5" customHeight="1" x14ac:dyDescent="0.15">
      <c r="A1548" s="33"/>
      <c r="B1548" s="12"/>
      <c r="C1548" s="12"/>
      <c r="D1548" s="12"/>
      <c r="E1548" s="12"/>
      <c r="G1548" s="14"/>
    </row>
    <row r="1549" spans="1:7" ht="22.5" customHeight="1" x14ac:dyDescent="0.15">
      <c r="A1549" s="33"/>
      <c r="B1549" s="12"/>
      <c r="C1549" s="12"/>
      <c r="D1549" s="12"/>
      <c r="E1549" s="12"/>
      <c r="G1549" s="14"/>
    </row>
    <row r="1550" spans="1:7" ht="22.5" customHeight="1" x14ac:dyDescent="0.15">
      <c r="A1550" s="33"/>
      <c r="B1550" s="12"/>
      <c r="C1550" s="12"/>
      <c r="D1550" s="12"/>
      <c r="E1550" s="12"/>
      <c r="G1550" s="14"/>
    </row>
    <row r="1551" spans="1:7" ht="22.5" customHeight="1" x14ac:dyDescent="0.15">
      <c r="A1551" s="33"/>
      <c r="B1551" s="12"/>
      <c r="C1551" s="12"/>
      <c r="D1551" s="12"/>
      <c r="E1551" s="12"/>
      <c r="G1551" s="14"/>
    </row>
    <row r="1552" spans="1:7" ht="22.5" customHeight="1" x14ac:dyDescent="0.15">
      <c r="A1552" s="33"/>
      <c r="B1552" s="12"/>
      <c r="C1552" s="12"/>
      <c r="D1552" s="12"/>
      <c r="E1552" s="12"/>
      <c r="G1552" s="14"/>
    </row>
    <row r="1553" spans="1:7" ht="22.5" customHeight="1" x14ac:dyDescent="0.15">
      <c r="A1553" s="33"/>
      <c r="B1553" s="12"/>
      <c r="C1553" s="12"/>
      <c r="D1553" s="12"/>
      <c r="E1553" s="12"/>
      <c r="G1553" s="14"/>
    </row>
    <row r="1554" spans="1:7" ht="22.5" customHeight="1" x14ac:dyDescent="0.15">
      <c r="A1554" s="33"/>
      <c r="B1554" s="12"/>
      <c r="C1554" s="12"/>
      <c r="D1554" s="12"/>
      <c r="E1554" s="12"/>
      <c r="G1554" s="14"/>
    </row>
    <row r="1555" spans="1:7" ht="22.5" customHeight="1" x14ac:dyDescent="0.15">
      <c r="A1555" s="33"/>
      <c r="B1555" s="12"/>
      <c r="C1555" s="12"/>
      <c r="D1555" s="12"/>
      <c r="E1555" s="12"/>
      <c r="G1555" s="14"/>
    </row>
    <row r="1556" spans="1:7" ht="22.5" customHeight="1" x14ac:dyDescent="0.15">
      <c r="A1556" s="33"/>
      <c r="B1556" s="12"/>
      <c r="C1556" s="12"/>
      <c r="D1556" s="12"/>
      <c r="E1556" s="12"/>
      <c r="G1556" s="14"/>
    </row>
    <row r="1557" spans="1:7" ht="22.5" customHeight="1" x14ac:dyDescent="0.15">
      <c r="A1557" s="33"/>
      <c r="B1557" s="12"/>
      <c r="C1557" s="12"/>
      <c r="D1557" s="12"/>
      <c r="E1557" s="12"/>
      <c r="G1557" s="14"/>
    </row>
    <row r="1558" spans="1:7" ht="22.5" customHeight="1" x14ac:dyDescent="0.15">
      <c r="A1558" s="33"/>
      <c r="B1558" s="12"/>
      <c r="C1558" s="12"/>
      <c r="D1558" s="12"/>
      <c r="E1558" s="12"/>
      <c r="G1558" s="14"/>
    </row>
    <row r="1559" spans="1:7" ht="22.5" customHeight="1" x14ac:dyDescent="0.15">
      <c r="A1559" s="33"/>
      <c r="B1559" s="12"/>
      <c r="C1559" s="12"/>
      <c r="D1559" s="12"/>
      <c r="E1559" s="12"/>
      <c r="G1559" s="14"/>
    </row>
    <row r="1560" spans="1:7" ht="22.5" customHeight="1" x14ac:dyDescent="0.15">
      <c r="A1560" s="33"/>
      <c r="B1560" s="12"/>
      <c r="C1560" s="12"/>
      <c r="D1560" s="12"/>
      <c r="E1560" s="12"/>
      <c r="G1560" s="14"/>
    </row>
    <row r="1561" spans="1:7" ht="22.5" customHeight="1" x14ac:dyDescent="0.15">
      <c r="A1561" s="33"/>
      <c r="B1561" s="12"/>
      <c r="C1561" s="12"/>
      <c r="D1561" s="12"/>
      <c r="E1561" s="12"/>
      <c r="G1561" s="14"/>
    </row>
    <row r="1562" spans="1:7" ht="22.5" customHeight="1" x14ac:dyDescent="0.15">
      <c r="A1562" s="33"/>
      <c r="B1562" s="12"/>
      <c r="C1562" s="12"/>
      <c r="D1562" s="12"/>
      <c r="E1562" s="12"/>
      <c r="G1562" s="14"/>
    </row>
    <row r="1563" spans="1:7" ht="22.5" customHeight="1" x14ac:dyDescent="0.15">
      <c r="A1563" s="33"/>
      <c r="B1563" s="12"/>
      <c r="C1563" s="12"/>
      <c r="D1563" s="12"/>
      <c r="E1563" s="12"/>
      <c r="G1563" s="14"/>
    </row>
    <row r="1564" spans="1:7" ht="22.5" customHeight="1" x14ac:dyDescent="0.15">
      <c r="A1564" s="33"/>
      <c r="B1564" s="12"/>
      <c r="C1564" s="12"/>
      <c r="D1564" s="12"/>
      <c r="E1564" s="12"/>
      <c r="G1564" s="14"/>
    </row>
    <row r="1565" spans="1:7" ht="22.5" customHeight="1" x14ac:dyDescent="0.15">
      <c r="A1565" s="33"/>
      <c r="B1565" s="12"/>
      <c r="C1565" s="12"/>
      <c r="D1565" s="12"/>
      <c r="E1565" s="12"/>
      <c r="G1565" s="14"/>
    </row>
    <row r="1566" spans="1:7" ht="22.5" customHeight="1" x14ac:dyDescent="0.15">
      <c r="A1566" s="33"/>
      <c r="B1566" s="12"/>
      <c r="C1566" s="12"/>
      <c r="D1566" s="12"/>
      <c r="E1566" s="12"/>
      <c r="G1566" s="14"/>
    </row>
    <row r="1567" spans="1:7" ht="22.5" customHeight="1" x14ac:dyDescent="0.15">
      <c r="A1567" s="33"/>
      <c r="B1567" s="12"/>
      <c r="C1567" s="12"/>
      <c r="D1567" s="12"/>
      <c r="E1567" s="12"/>
      <c r="G1567" s="14"/>
    </row>
    <row r="1568" spans="1:7" ht="22.5" customHeight="1" x14ac:dyDescent="0.15">
      <c r="A1568" s="33"/>
      <c r="B1568" s="12"/>
      <c r="C1568" s="12"/>
      <c r="D1568" s="12"/>
      <c r="E1568" s="12"/>
      <c r="G1568" s="14"/>
    </row>
    <row r="1569" spans="1:7" ht="22.5" customHeight="1" x14ac:dyDescent="0.15">
      <c r="A1569" s="33"/>
      <c r="B1569" s="12"/>
      <c r="C1569" s="12"/>
      <c r="D1569" s="12"/>
      <c r="E1569" s="12"/>
      <c r="G1569" s="14"/>
    </row>
    <row r="1570" spans="1:7" ht="22.5" customHeight="1" x14ac:dyDescent="0.15">
      <c r="A1570" s="33"/>
      <c r="B1570" s="12"/>
      <c r="C1570" s="12"/>
      <c r="D1570" s="12"/>
      <c r="E1570" s="12"/>
      <c r="G1570" s="14"/>
    </row>
    <row r="1571" spans="1:7" ht="22.5" customHeight="1" x14ac:dyDescent="0.15">
      <c r="A1571" s="33"/>
      <c r="B1571" s="12"/>
      <c r="C1571" s="12"/>
      <c r="D1571" s="12"/>
      <c r="E1571" s="12"/>
      <c r="G1571" s="14"/>
    </row>
    <row r="1572" spans="1:7" ht="22.5" customHeight="1" x14ac:dyDescent="0.15">
      <c r="A1572" s="33"/>
      <c r="B1572" s="12"/>
      <c r="C1572" s="12"/>
      <c r="D1572" s="12"/>
      <c r="E1572" s="12"/>
      <c r="G1572" s="14"/>
    </row>
    <row r="1573" spans="1:7" ht="22.5" customHeight="1" x14ac:dyDescent="0.15">
      <c r="A1573" s="33"/>
      <c r="B1573" s="12"/>
      <c r="C1573" s="12"/>
      <c r="D1573" s="12"/>
      <c r="E1573" s="12"/>
      <c r="G1573" s="14"/>
    </row>
    <row r="1574" spans="1:7" ht="22.5" customHeight="1" x14ac:dyDescent="0.15">
      <c r="A1574" s="33"/>
      <c r="B1574" s="12"/>
      <c r="C1574" s="12"/>
      <c r="D1574" s="12"/>
      <c r="E1574" s="12"/>
      <c r="G1574" s="14"/>
    </row>
    <row r="1575" spans="1:7" ht="22.5" customHeight="1" x14ac:dyDescent="0.15">
      <c r="A1575" s="33"/>
      <c r="B1575" s="12"/>
      <c r="C1575" s="12"/>
      <c r="D1575" s="12"/>
      <c r="E1575" s="12"/>
      <c r="G1575" s="14"/>
    </row>
    <row r="1576" spans="1:7" ht="22.5" customHeight="1" x14ac:dyDescent="0.15">
      <c r="A1576" s="33"/>
      <c r="B1576" s="12"/>
      <c r="C1576" s="12"/>
      <c r="D1576" s="12"/>
      <c r="E1576" s="12"/>
      <c r="G1576" s="14"/>
    </row>
    <row r="1577" spans="1:7" ht="22.5" customHeight="1" x14ac:dyDescent="0.15">
      <c r="A1577" s="33"/>
      <c r="B1577" s="12"/>
      <c r="C1577" s="12"/>
      <c r="D1577" s="12"/>
      <c r="E1577" s="12"/>
      <c r="G1577" s="14"/>
    </row>
    <row r="1578" spans="1:7" ht="22.5" customHeight="1" x14ac:dyDescent="0.15">
      <c r="A1578" s="33"/>
      <c r="B1578" s="12"/>
      <c r="C1578" s="12"/>
      <c r="D1578" s="12"/>
      <c r="E1578" s="12"/>
      <c r="G1578" s="14"/>
    </row>
    <row r="1579" spans="1:7" ht="22.5" customHeight="1" x14ac:dyDescent="0.15">
      <c r="A1579" s="33"/>
      <c r="B1579" s="12"/>
      <c r="C1579" s="12"/>
      <c r="D1579" s="12"/>
      <c r="E1579" s="12"/>
      <c r="G1579" s="14"/>
    </row>
    <row r="1580" spans="1:7" ht="22.5" customHeight="1" x14ac:dyDescent="0.15">
      <c r="A1580" s="33"/>
      <c r="B1580" s="12"/>
      <c r="C1580" s="12"/>
      <c r="D1580" s="12"/>
      <c r="E1580" s="12"/>
      <c r="G1580" s="14"/>
    </row>
    <row r="1581" spans="1:7" ht="22.5" customHeight="1" x14ac:dyDescent="0.15">
      <c r="A1581" s="33"/>
      <c r="B1581" s="12"/>
      <c r="C1581" s="12"/>
      <c r="D1581" s="12"/>
      <c r="E1581" s="12"/>
      <c r="G1581" s="14"/>
    </row>
    <row r="1582" spans="1:7" ht="22.5" customHeight="1" x14ac:dyDescent="0.15">
      <c r="A1582" s="33"/>
      <c r="B1582" s="12"/>
      <c r="C1582" s="12"/>
      <c r="D1582" s="12"/>
      <c r="E1582" s="12"/>
      <c r="G1582" s="14"/>
    </row>
    <row r="1583" spans="1:7" ht="22.5" customHeight="1" x14ac:dyDescent="0.15">
      <c r="A1583" s="33"/>
      <c r="B1583" s="12"/>
      <c r="C1583" s="12"/>
      <c r="D1583" s="12"/>
      <c r="E1583" s="12"/>
      <c r="G1583" s="14"/>
    </row>
    <row r="1584" spans="1:7" ht="22.5" customHeight="1" x14ac:dyDescent="0.15">
      <c r="A1584" s="33"/>
      <c r="B1584" s="12"/>
      <c r="C1584" s="12"/>
      <c r="D1584" s="12"/>
      <c r="E1584" s="12"/>
      <c r="G1584" s="14"/>
    </row>
    <row r="1585" spans="1:7" ht="22.5" customHeight="1" x14ac:dyDescent="0.15">
      <c r="A1585" s="33"/>
      <c r="B1585" s="12"/>
      <c r="C1585" s="12"/>
      <c r="D1585" s="12"/>
      <c r="E1585" s="12"/>
      <c r="G1585" s="14"/>
    </row>
    <row r="1586" spans="1:7" ht="22.5" customHeight="1" x14ac:dyDescent="0.15">
      <c r="A1586" s="33"/>
      <c r="B1586" s="12"/>
      <c r="C1586" s="12"/>
      <c r="D1586" s="12"/>
      <c r="E1586" s="12"/>
      <c r="G1586" s="14"/>
    </row>
    <row r="1587" spans="1:7" ht="22.5" customHeight="1" x14ac:dyDescent="0.15">
      <c r="A1587" s="33"/>
      <c r="B1587" s="12"/>
      <c r="C1587" s="12"/>
      <c r="D1587" s="12"/>
      <c r="E1587" s="12"/>
      <c r="G1587" s="14"/>
    </row>
    <row r="1588" spans="1:7" ht="22.5" customHeight="1" x14ac:dyDescent="0.15">
      <c r="A1588" s="33"/>
      <c r="B1588" s="12"/>
      <c r="C1588" s="12"/>
      <c r="D1588" s="12"/>
      <c r="E1588" s="12"/>
      <c r="G1588" s="14"/>
    </row>
    <row r="1589" spans="1:7" ht="22.5" customHeight="1" x14ac:dyDescent="0.15">
      <c r="A1589" s="33"/>
      <c r="B1589" s="12"/>
      <c r="C1589" s="12"/>
      <c r="D1589" s="12"/>
      <c r="E1589" s="12"/>
      <c r="G1589" s="14"/>
    </row>
    <row r="1590" spans="1:7" ht="22.5" customHeight="1" x14ac:dyDescent="0.15">
      <c r="A1590" s="33"/>
      <c r="B1590" s="12"/>
      <c r="C1590" s="12"/>
      <c r="D1590" s="12"/>
      <c r="E1590" s="12"/>
      <c r="G1590" s="14"/>
    </row>
    <row r="1591" spans="1:7" ht="22.5" customHeight="1" x14ac:dyDescent="0.15">
      <c r="A1591" s="33"/>
      <c r="B1591" s="12"/>
      <c r="C1591" s="12"/>
      <c r="D1591" s="12"/>
      <c r="E1591" s="12"/>
      <c r="G1591" s="14"/>
    </row>
    <row r="1592" spans="1:7" ht="22.5" customHeight="1" x14ac:dyDescent="0.15">
      <c r="A1592" s="33"/>
      <c r="B1592" s="12"/>
      <c r="C1592" s="12"/>
      <c r="D1592" s="12"/>
      <c r="E1592" s="12"/>
      <c r="G1592" s="14"/>
    </row>
    <row r="1593" spans="1:7" ht="22.5" customHeight="1" x14ac:dyDescent="0.15">
      <c r="A1593" s="33"/>
      <c r="B1593" s="12"/>
      <c r="C1593" s="12"/>
      <c r="D1593" s="12"/>
      <c r="E1593" s="12"/>
      <c r="G1593" s="14"/>
    </row>
    <row r="1594" spans="1:7" ht="22.5" customHeight="1" x14ac:dyDescent="0.15">
      <c r="A1594" s="33"/>
      <c r="B1594" s="12"/>
      <c r="C1594" s="12"/>
      <c r="D1594" s="12"/>
      <c r="E1594" s="12"/>
      <c r="G1594" s="14"/>
    </row>
    <row r="1595" spans="1:7" ht="22.5" customHeight="1" x14ac:dyDescent="0.15">
      <c r="A1595" s="33"/>
      <c r="B1595" s="12"/>
      <c r="C1595" s="12"/>
      <c r="D1595" s="12"/>
      <c r="E1595" s="12"/>
      <c r="G1595" s="14"/>
    </row>
    <row r="1596" spans="1:7" ht="22.5" customHeight="1" x14ac:dyDescent="0.15">
      <c r="A1596" s="33"/>
      <c r="B1596" s="12"/>
      <c r="C1596" s="12"/>
      <c r="D1596" s="12"/>
      <c r="E1596" s="12"/>
      <c r="G1596" s="14"/>
    </row>
    <row r="1597" spans="1:7" ht="22.5" customHeight="1" x14ac:dyDescent="0.15">
      <c r="A1597" s="33"/>
      <c r="B1597" s="12"/>
      <c r="C1597" s="12"/>
      <c r="D1597" s="12"/>
      <c r="E1597" s="12"/>
      <c r="G1597" s="14"/>
    </row>
    <row r="1598" spans="1:7" ht="22.5" customHeight="1" x14ac:dyDescent="0.15">
      <c r="A1598" s="33"/>
      <c r="B1598" s="12"/>
      <c r="C1598" s="12"/>
      <c r="D1598" s="12"/>
      <c r="E1598" s="12"/>
      <c r="G1598" s="14"/>
    </row>
    <row r="1599" spans="1:7" ht="22.5" customHeight="1" x14ac:dyDescent="0.15">
      <c r="A1599" s="33"/>
      <c r="B1599" s="12"/>
      <c r="C1599" s="12"/>
      <c r="D1599" s="12"/>
      <c r="E1599" s="12"/>
      <c r="G1599" s="14"/>
    </row>
    <row r="1600" spans="1:7" ht="22.5" customHeight="1" x14ac:dyDescent="0.15">
      <c r="A1600" s="33"/>
      <c r="B1600" s="12"/>
      <c r="C1600" s="12"/>
      <c r="D1600" s="12"/>
      <c r="E1600" s="12"/>
      <c r="G1600" s="14"/>
    </row>
    <row r="1601" spans="1:7" ht="22.5" customHeight="1" x14ac:dyDescent="0.15">
      <c r="A1601" s="33"/>
      <c r="B1601" s="12"/>
      <c r="C1601" s="12"/>
      <c r="D1601" s="12"/>
      <c r="E1601" s="12"/>
      <c r="G1601" s="14"/>
    </row>
    <row r="1602" spans="1:7" ht="22.5" customHeight="1" x14ac:dyDescent="0.15">
      <c r="A1602" s="33"/>
      <c r="B1602" s="12"/>
      <c r="C1602" s="12"/>
      <c r="D1602" s="12"/>
      <c r="E1602" s="12"/>
      <c r="G1602" s="14"/>
    </row>
    <row r="1603" spans="1:7" ht="22.5" customHeight="1" x14ac:dyDescent="0.15">
      <c r="A1603" s="33"/>
      <c r="B1603" s="12"/>
      <c r="C1603" s="12"/>
      <c r="D1603" s="12"/>
      <c r="E1603" s="12"/>
      <c r="G1603" s="14"/>
    </row>
    <row r="1604" spans="1:7" ht="22.5" customHeight="1" x14ac:dyDescent="0.15">
      <c r="A1604" s="33"/>
      <c r="B1604" s="12"/>
      <c r="C1604" s="12"/>
      <c r="D1604" s="12"/>
      <c r="E1604" s="12"/>
      <c r="G1604" s="14"/>
    </row>
    <row r="1605" spans="1:7" ht="22.5" customHeight="1" x14ac:dyDescent="0.15">
      <c r="A1605" s="33"/>
      <c r="B1605" s="12"/>
      <c r="C1605" s="12"/>
      <c r="D1605" s="12"/>
      <c r="E1605" s="12"/>
      <c r="G1605" s="14"/>
    </row>
    <row r="1606" spans="1:7" ht="22.5" customHeight="1" x14ac:dyDescent="0.15">
      <c r="A1606" s="33"/>
      <c r="B1606" s="12"/>
      <c r="C1606" s="12"/>
      <c r="D1606" s="12"/>
      <c r="E1606" s="12"/>
      <c r="G1606" s="14"/>
    </row>
    <row r="1607" spans="1:7" ht="22.5" customHeight="1" x14ac:dyDescent="0.15">
      <c r="A1607" s="33"/>
      <c r="B1607" s="12"/>
      <c r="C1607" s="12"/>
      <c r="D1607" s="12"/>
      <c r="E1607" s="12"/>
      <c r="G1607" s="14"/>
    </row>
    <row r="1608" spans="1:7" ht="22.5" customHeight="1" x14ac:dyDescent="0.15">
      <c r="A1608" s="33"/>
      <c r="B1608" s="12"/>
      <c r="C1608" s="12"/>
      <c r="D1608" s="12"/>
      <c r="E1608" s="12"/>
      <c r="G1608" s="14"/>
    </row>
    <row r="1609" spans="1:7" ht="22.5" customHeight="1" x14ac:dyDescent="0.15">
      <c r="A1609" s="33"/>
      <c r="B1609" s="12"/>
      <c r="C1609" s="12"/>
      <c r="D1609" s="12"/>
      <c r="E1609" s="12"/>
      <c r="G1609" s="14"/>
    </row>
    <row r="1610" spans="1:7" ht="22.5" customHeight="1" x14ac:dyDescent="0.15">
      <c r="A1610" s="33"/>
      <c r="B1610" s="12"/>
      <c r="C1610" s="12"/>
      <c r="D1610" s="12"/>
      <c r="E1610" s="12"/>
      <c r="G1610" s="14"/>
    </row>
    <row r="1611" spans="1:7" ht="22.5" customHeight="1" x14ac:dyDescent="0.15">
      <c r="A1611" s="33"/>
      <c r="B1611" s="12"/>
      <c r="C1611" s="12"/>
      <c r="D1611" s="12"/>
      <c r="E1611" s="12"/>
      <c r="G1611" s="14"/>
    </row>
    <row r="1612" spans="1:7" ht="22.5" customHeight="1" x14ac:dyDescent="0.15">
      <c r="A1612" s="33"/>
      <c r="B1612" s="12"/>
      <c r="C1612" s="12"/>
      <c r="D1612" s="12"/>
      <c r="E1612" s="12"/>
      <c r="G1612" s="14"/>
    </row>
    <row r="1613" spans="1:7" ht="22.5" customHeight="1" x14ac:dyDescent="0.15">
      <c r="A1613" s="33"/>
      <c r="B1613" s="12"/>
      <c r="C1613" s="12"/>
      <c r="D1613" s="12"/>
      <c r="E1613" s="12"/>
      <c r="G1613" s="14"/>
    </row>
    <row r="1614" spans="1:7" ht="22.5" customHeight="1" x14ac:dyDescent="0.15">
      <c r="A1614" s="33"/>
      <c r="B1614" s="12"/>
      <c r="C1614" s="12"/>
      <c r="D1614" s="12"/>
      <c r="E1614" s="12"/>
      <c r="G1614" s="14"/>
    </row>
    <row r="1615" spans="1:7" ht="22.5" customHeight="1" x14ac:dyDescent="0.15">
      <c r="A1615" s="33"/>
      <c r="B1615" s="12"/>
      <c r="C1615" s="12"/>
      <c r="D1615" s="12"/>
      <c r="E1615" s="12"/>
      <c r="G1615" s="14"/>
    </row>
    <row r="1616" spans="1:7" ht="22.5" customHeight="1" x14ac:dyDescent="0.15">
      <c r="A1616" s="33"/>
      <c r="B1616" s="12"/>
      <c r="C1616" s="12"/>
      <c r="D1616" s="12"/>
      <c r="E1616" s="12"/>
      <c r="G1616" s="14"/>
    </row>
    <row r="1617" spans="1:7" ht="22.5" customHeight="1" x14ac:dyDescent="0.15">
      <c r="A1617" s="33"/>
      <c r="B1617" s="12"/>
      <c r="C1617" s="12"/>
      <c r="D1617" s="12"/>
      <c r="E1617" s="12"/>
      <c r="G1617" s="14"/>
    </row>
    <row r="1618" spans="1:7" ht="22.5" customHeight="1" x14ac:dyDescent="0.15">
      <c r="A1618" s="33"/>
      <c r="B1618" s="12"/>
      <c r="C1618" s="12"/>
      <c r="D1618" s="12"/>
      <c r="E1618" s="12"/>
      <c r="G1618" s="14"/>
    </row>
    <row r="1619" spans="1:7" ht="22.5" customHeight="1" x14ac:dyDescent="0.15">
      <c r="A1619" s="33"/>
      <c r="B1619" s="12"/>
      <c r="C1619" s="12"/>
      <c r="D1619" s="12"/>
      <c r="E1619" s="12"/>
      <c r="G1619" s="14"/>
    </row>
    <row r="1620" spans="1:7" ht="22.5" customHeight="1" x14ac:dyDescent="0.15">
      <c r="A1620" s="33"/>
      <c r="B1620" s="12"/>
      <c r="C1620" s="12"/>
      <c r="D1620" s="12"/>
      <c r="E1620" s="12"/>
      <c r="G1620" s="14"/>
    </row>
    <row r="1621" spans="1:7" ht="22.5" customHeight="1" x14ac:dyDescent="0.15">
      <c r="A1621" s="33"/>
      <c r="B1621" s="12"/>
      <c r="C1621" s="12"/>
      <c r="D1621" s="12"/>
      <c r="E1621" s="12"/>
      <c r="G1621" s="14"/>
    </row>
    <row r="1622" spans="1:7" ht="22.5" customHeight="1" x14ac:dyDescent="0.15">
      <c r="A1622" s="33"/>
      <c r="B1622" s="12"/>
      <c r="C1622" s="12"/>
      <c r="D1622" s="12"/>
      <c r="E1622" s="12"/>
      <c r="G1622" s="14"/>
    </row>
    <row r="1623" spans="1:7" ht="22.5" customHeight="1" x14ac:dyDescent="0.15">
      <c r="A1623" s="33"/>
      <c r="B1623" s="12"/>
      <c r="C1623" s="12"/>
      <c r="D1623" s="12"/>
      <c r="E1623" s="12"/>
      <c r="G1623" s="14"/>
    </row>
    <row r="1624" spans="1:7" ht="22.5" customHeight="1" x14ac:dyDescent="0.15">
      <c r="A1624" s="33"/>
      <c r="B1624" s="12"/>
      <c r="C1624" s="12"/>
      <c r="D1624" s="12"/>
      <c r="E1624" s="12"/>
      <c r="G1624" s="14"/>
    </row>
    <row r="1625" spans="1:7" ht="22.5" customHeight="1" x14ac:dyDescent="0.15">
      <c r="A1625" s="33"/>
      <c r="B1625" s="12"/>
      <c r="C1625" s="12"/>
      <c r="D1625" s="12"/>
      <c r="E1625" s="12"/>
      <c r="G1625" s="14"/>
    </row>
    <row r="1626" spans="1:7" ht="22.5" customHeight="1" x14ac:dyDescent="0.15">
      <c r="A1626" s="33"/>
      <c r="B1626" s="12"/>
      <c r="C1626" s="12"/>
      <c r="D1626" s="12"/>
      <c r="E1626" s="12"/>
      <c r="G1626" s="14"/>
    </row>
    <row r="1627" spans="1:7" ht="22.5" customHeight="1" x14ac:dyDescent="0.15">
      <c r="A1627" s="33"/>
      <c r="B1627" s="12"/>
      <c r="C1627" s="12"/>
      <c r="D1627" s="12"/>
      <c r="E1627" s="12"/>
      <c r="G1627" s="14"/>
    </row>
    <row r="1628" spans="1:7" ht="22.5" customHeight="1" x14ac:dyDescent="0.15">
      <c r="A1628" s="33"/>
      <c r="B1628" s="12"/>
      <c r="C1628" s="12"/>
      <c r="D1628" s="12"/>
      <c r="E1628" s="12"/>
      <c r="G1628" s="14"/>
    </row>
    <row r="1629" spans="1:7" ht="22.5" customHeight="1" x14ac:dyDescent="0.15">
      <c r="A1629" s="33"/>
      <c r="B1629" s="12"/>
      <c r="C1629" s="12"/>
      <c r="D1629" s="12"/>
      <c r="E1629" s="12"/>
      <c r="G1629" s="14"/>
    </row>
    <row r="1630" spans="1:7" ht="22.5" customHeight="1" x14ac:dyDescent="0.15">
      <c r="A1630" s="33"/>
      <c r="B1630" s="12"/>
      <c r="C1630" s="12"/>
      <c r="D1630" s="12"/>
      <c r="E1630" s="12"/>
      <c r="G1630" s="14"/>
    </row>
    <row r="1631" spans="1:7" ht="22.5" customHeight="1" x14ac:dyDescent="0.15">
      <c r="A1631" s="33"/>
      <c r="B1631" s="12"/>
      <c r="C1631" s="12"/>
      <c r="D1631" s="12"/>
      <c r="E1631" s="12"/>
      <c r="G1631" s="14"/>
    </row>
    <row r="1632" spans="1:7" ht="22.5" customHeight="1" x14ac:dyDescent="0.15">
      <c r="A1632" s="33"/>
      <c r="B1632" s="12"/>
      <c r="C1632" s="12"/>
      <c r="D1632" s="12"/>
      <c r="E1632" s="12"/>
      <c r="G1632" s="14"/>
    </row>
    <row r="1633" spans="1:7" ht="22.5" customHeight="1" x14ac:dyDescent="0.15">
      <c r="A1633" s="33"/>
      <c r="B1633" s="12"/>
      <c r="C1633" s="12"/>
      <c r="D1633" s="12"/>
      <c r="E1633" s="12"/>
      <c r="G1633" s="14"/>
    </row>
    <row r="1634" spans="1:7" ht="22.5" customHeight="1" x14ac:dyDescent="0.15">
      <c r="A1634" s="33"/>
      <c r="B1634" s="12"/>
      <c r="C1634" s="12"/>
      <c r="D1634" s="12"/>
      <c r="E1634" s="12"/>
      <c r="G1634" s="14"/>
    </row>
    <row r="1635" spans="1:7" ht="22.5" customHeight="1" x14ac:dyDescent="0.15">
      <c r="A1635" s="33"/>
      <c r="B1635" s="12"/>
      <c r="C1635" s="12"/>
      <c r="D1635" s="12"/>
      <c r="E1635" s="12"/>
      <c r="G1635" s="14"/>
    </row>
    <row r="1636" spans="1:7" ht="22.5" customHeight="1" x14ac:dyDescent="0.15">
      <c r="A1636" s="33"/>
      <c r="B1636" s="12"/>
      <c r="C1636" s="12"/>
      <c r="D1636" s="12"/>
      <c r="E1636" s="12"/>
      <c r="G1636" s="14"/>
    </row>
    <row r="1637" spans="1:7" ht="22.5" customHeight="1" x14ac:dyDescent="0.15">
      <c r="A1637" s="33"/>
      <c r="B1637" s="12"/>
      <c r="C1637" s="12"/>
      <c r="D1637" s="12"/>
      <c r="E1637" s="12"/>
      <c r="G1637" s="14"/>
    </row>
    <row r="1638" spans="1:7" ht="22.5" customHeight="1" x14ac:dyDescent="0.15">
      <c r="A1638" s="33"/>
      <c r="B1638" s="12"/>
      <c r="C1638" s="12"/>
      <c r="D1638" s="12"/>
      <c r="E1638" s="12"/>
      <c r="G1638" s="14"/>
    </row>
    <row r="1639" spans="1:7" ht="22.5" customHeight="1" x14ac:dyDescent="0.15">
      <c r="A1639" s="33"/>
      <c r="B1639" s="12"/>
      <c r="C1639" s="12"/>
      <c r="D1639" s="12"/>
      <c r="E1639" s="12"/>
      <c r="G1639" s="14"/>
    </row>
    <row r="1640" spans="1:7" ht="22.5" customHeight="1" x14ac:dyDescent="0.15">
      <c r="A1640" s="33"/>
      <c r="B1640" s="12"/>
      <c r="C1640" s="12"/>
      <c r="D1640" s="12"/>
      <c r="E1640" s="12"/>
      <c r="G1640" s="14"/>
    </row>
    <row r="1641" spans="1:7" ht="22.5" customHeight="1" x14ac:dyDescent="0.15">
      <c r="A1641" s="33"/>
      <c r="B1641" s="12"/>
      <c r="C1641" s="12"/>
      <c r="D1641" s="12"/>
      <c r="E1641" s="12"/>
      <c r="G1641" s="14"/>
    </row>
    <row r="1642" spans="1:7" ht="22.5" customHeight="1" x14ac:dyDescent="0.15">
      <c r="A1642" s="33"/>
      <c r="B1642" s="12"/>
      <c r="C1642" s="12"/>
      <c r="D1642" s="12"/>
      <c r="E1642" s="12"/>
      <c r="G1642" s="14"/>
    </row>
    <row r="1643" spans="1:7" ht="22.5" customHeight="1" x14ac:dyDescent="0.15">
      <c r="A1643" s="33"/>
      <c r="B1643" s="12"/>
      <c r="C1643" s="12"/>
      <c r="D1643" s="12"/>
      <c r="E1643" s="12"/>
      <c r="G1643" s="14"/>
    </row>
    <row r="1644" spans="1:7" ht="22.5" customHeight="1" x14ac:dyDescent="0.15">
      <c r="A1644" s="33"/>
      <c r="B1644" s="12"/>
      <c r="C1644" s="12"/>
      <c r="D1644" s="12"/>
      <c r="E1644" s="12"/>
      <c r="G1644" s="14"/>
    </row>
    <row r="1645" spans="1:7" ht="22.5" customHeight="1" x14ac:dyDescent="0.15">
      <c r="A1645" s="33"/>
      <c r="B1645" s="12"/>
      <c r="C1645" s="12"/>
      <c r="D1645" s="12"/>
      <c r="E1645" s="12"/>
      <c r="G1645" s="14"/>
    </row>
    <row r="1646" spans="1:7" ht="22.5" customHeight="1" x14ac:dyDescent="0.15">
      <c r="A1646" s="33"/>
      <c r="B1646" s="12"/>
      <c r="C1646" s="12"/>
      <c r="D1646" s="12"/>
      <c r="E1646" s="12"/>
      <c r="G1646" s="14"/>
    </row>
    <row r="1647" spans="1:7" ht="22.5" customHeight="1" x14ac:dyDescent="0.15">
      <c r="A1647" s="33"/>
      <c r="B1647" s="12"/>
      <c r="C1647" s="12"/>
      <c r="D1647" s="12"/>
      <c r="E1647" s="12"/>
      <c r="G1647" s="14"/>
    </row>
    <row r="1648" spans="1:7" ht="22.5" customHeight="1" x14ac:dyDescent="0.15">
      <c r="A1648" s="33"/>
      <c r="B1648" s="12"/>
      <c r="C1648" s="12"/>
      <c r="D1648" s="12"/>
      <c r="E1648" s="12"/>
      <c r="G1648" s="14"/>
    </row>
    <row r="1649" spans="1:7" ht="22.5" customHeight="1" x14ac:dyDescent="0.15">
      <c r="A1649" s="33"/>
      <c r="B1649" s="12"/>
      <c r="C1649" s="12"/>
      <c r="D1649" s="12"/>
      <c r="E1649" s="12"/>
      <c r="G1649" s="14"/>
    </row>
    <row r="1650" spans="1:7" ht="22.5" customHeight="1" x14ac:dyDescent="0.15">
      <c r="A1650" s="33"/>
      <c r="B1650" s="12"/>
      <c r="C1650" s="12"/>
      <c r="D1650" s="12"/>
      <c r="E1650" s="12"/>
      <c r="G1650" s="14"/>
    </row>
    <row r="1651" spans="1:7" ht="22.5" customHeight="1" x14ac:dyDescent="0.15">
      <c r="A1651" s="33"/>
      <c r="B1651" s="12"/>
      <c r="C1651" s="12"/>
      <c r="D1651" s="12"/>
      <c r="E1651" s="12"/>
      <c r="G1651" s="14"/>
    </row>
    <row r="1652" spans="1:7" ht="22.5" customHeight="1" x14ac:dyDescent="0.15">
      <c r="A1652" s="33"/>
      <c r="B1652" s="12"/>
      <c r="C1652" s="12"/>
      <c r="D1652" s="12"/>
      <c r="E1652" s="12"/>
      <c r="G1652" s="14"/>
    </row>
    <row r="1653" spans="1:7" ht="22.5" customHeight="1" x14ac:dyDescent="0.15">
      <c r="A1653" s="33"/>
      <c r="B1653" s="12"/>
      <c r="C1653" s="12"/>
      <c r="D1653" s="12"/>
      <c r="E1653" s="12"/>
      <c r="G1653" s="14"/>
    </row>
    <row r="1654" spans="1:7" ht="22.5" customHeight="1" x14ac:dyDescent="0.15">
      <c r="A1654" s="33"/>
      <c r="B1654" s="12"/>
      <c r="C1654" s="12"/>
      <c r="D1654" s="12"/>
      <c r="E1654" s="12"/>
      <c r="G1654" s="14"/>
    </row>
    <row r="1655" spans="1:7" ht="22.5" customHeight="1" x14ac:dyDescent="0.15">
      <c r="A1655" s="33"/>
      <c r="B1655" s="12"/>
      <c r="C1655" s="12"/>
      <c r="D1655" s="12"/>
      <c r="E1655" s="12"/>
      <c r="G1655" s="14"/>
    </row>
    <row r="1656" spans="1:7" ht="22.5" customHeight="1" x14ac:dyDescent="0.15">
      <c r="A1656" s="33"/>
      <c r="B1656" s="12"/>
      <c r="C1656" s="12"/>
      <c r="D1656" s="12"/>
      <c r="E1656" s="12"/>
      <c r="G1656" s="14"/>
    </row>
    <row r="1657" spans="1:7" ht="22.5" customHeight="1" x14ac:dyDescent="0.15">
      <c r="A1657" s="33"/>
      <c r="B1657" s="12"/>
      <c r="C1657" s="12"/>
      <c r="D1657" s="12"/>
      <c r="E1657" s="12"/>
      <c r="G1657" s="14"/>
    </row>
    <row r="1658" spans="1:7" ht="22.5" customHeight="1" x14ac:dyDescent="0.15">
      <c r="A1658" s="33"/>
      <c r="B1658" s="12"/>
      <c r="C1658" s="12"/>
      <c r="D1658" s="12"/>
      <c r="E1658" s="12"/>
      <c r="G1658" s="14"/>
    </row>
    <row r="1659" spans="1:7" ht="22.5" customHeight="1" x14ac:dyDescent="0.15">
      <c r="A1659" s="33"/>
      <c r="B1659" s="12"/>
      <c r="C1659" s="12"/>
      <c r="D1659" s="12"/>
      <c r="E1659" s="12"/>
      <c r="G1659" s="14"/>
    </row>
    <row r="1660" spans="1:7" ht="22.5" customHeight="1" x14ac:dyDescent="0.15">
      <c r="A1660" s="33"/>
      <c r="B1660" s="12"/>
      <c r="C1660" s="12"/>
      <c r="D1660" s="12"/>
      <c r="E1660" s="12"/>
      <c r="G1660" s="14"/>
    </row>
    <row r="1661" spans="1:7" ht="22.5" customHeight="1" x14ac:dyDescent="0.15">
      <c r="A1661" s="33"/>
      <c r="B1661" s="12"/>
      <c r="C1661" s="12"/>
      <c r="D1661" s="12"/>
      <c r="E1661" s="12"/>
      <c r="G1661" s="14"/>
    </row>
    <row r="1662" spans="1:7" ht="22.5" customHeight="1" x14ac:dyDescent="0.15">
      <c r="A1662" s="33"/>
      <c r="B1662" s="12"/>
      <c r="C1662" s="12"/>
      <c r="D1662" s="12"/>
      <c r="E1662" s="12"/>
      <c r="G1662" s="14"/>
    </row>
    <row r="1663" spans="1:7" ht="22.5" customHeight="1" x14ac:dyDescent="0.15">
      <c r="A1663" s="33"/>
      <c r="B1663" s="12"/>
      <c r="C1663" s="12"/>
      <c r="D1663" s="12"/>
      <c r="E1663" s="12"/>
      <c r="G1663" s="14"/>
    </row>
    <row r="1664" spans="1:7" ht="22.5" customHeight="1" x14ac:dyDescent="0.15">
      <c r="A1664" s="33"/>
      <c r="B1664" s="12"/>
      <c r="C1664" s="12"/>
      <c r="D1664" s="12"/>
      <c r="E1664" s="12"/>
      <c r="G1664" s="14"/>
    </row>
    <row r="1665" spans="1:7" ht="22.5" customHeight="1" x14ac:dyDescent="0.15">
      <c r="A1665" s="33"/>
      <c r="B1665" s="12"/>
      <c r="C1665" s="12"/>
      <c r="D1665" s="12"/>
      <c r="E1665" s="12"/>
      <c r="G1665" s="14"/>
    </row>
    <row r="1666" spans="1:7" ht="22.5" customHeight="1" x14ac:dyDescent="0.15">
      <c r="A1666" s="33"/>
      <c r="B1666" s="12"/>
      <c r="C1666" s="12"/>
      <c r="D1666" s="12"/>
      <c r="E1666" s="12"/>
      <c r="G1666" s="14"/>
    </row>
    <row r="1667" spans="1:7" ht="22.5" customHeight="1" x14ac:dyDescent="0.15">
      <c r="A1667" s="33"/>
      <c r="B1667" s="12"/>
      <c r="C1667" s="12"/>
      <c r="D1667" s="12"/>
      <c r="E1667" s="12"/>
      <c r="G1667" s="14"/>
    </row>
    <row r="1668" spans="1:7" ht="22.5" customHeight="1" x14ac:dyDescent="0.15">
      <c r="A1668" s="33"/>
      <c r="B1668" s="12"/>
      <c r="C1668" s="12"/>
      <c r="D1668" s="12"/>
      <c r="E1668" s="12"/>
      <c r="G1668" s="14"/>
    </row>
    <row r="1669" spans="1:7" ht="22.5" customHeight="1" x14ac:dyDescent="0.15">
      <c r="A1669" s="33"/>
      <c r="B1669" s="12"/>
      <c r="C1669" s="12"/>
      <c r="D1669" s="12"/>
      <c r="E1669" s="12"/>
      <c r="G1669" s="14"/>
    </row>
    <row r="1670" spans="1:7" ht="22.5" customHeight="1" x14ac:dyDescent="0.15">
      <c r="A1670" s="33"/>
      <c r="B1670" s="12"/>
      <c r="C1670" s="12"/>
      <c r="D1670" s="12"/>
      <c r="E1670" s="12"/>
      <c r="G1670" s="14"/>
    </row>
    <row r="1671" spans="1:7" ht="22.5" customHeight="1" x14ac:dyDescent="0.15">
      <c r="A1671" s="33"/>
      <c r="B1671" s="12"/>
      <c r="C1671" s="12"/>
      <c r="D1671" s="12"/>
      <c r="E1671" s="12"/>
      <c r="G1671" s="14"/>
    </row>
    <row r="1672" spans="1:7" ht="22.5" customHeight="1" x14ac:dyDescent="0.15">
      <c r="A1672" s="33"/>
      <c r="B1672" s="12"/>
      <c r="C1672" s="12"/>
      <c r="D1672" s="12"/>
      <c r="E1672" s="12"/>
      <c r="G1672" s="14"/>
    </row>
    <row r="1673" spans="1:7" ht="22.5" customHeight="1" x14ac:dyDescent="0.15">
      <c r="A1673" s="33"/>
      <c r="B1673" s="12"/>
      <c r="C1673" s="12"/>
      <c r="D1673" s="12"/>
      <c r="E1673" s="12"/>
      <c r="G1673" s="14"/>
    </row>
    <row r="1674" spans="1:7" ht="22.5" customHeight="1" x14ac:dyDescent="0.15">
      <c r="A1674" s="33"/>
      <c r="B1674" s="12"/>
      <c r="C1674" s="12"/>
      <c r="D1674" s="12"/>
      <c r="E1674" s="12"/>
      <c r="G1674" s="14"/>
    </row>
    <row r="1675" spans="1:7" ht="22.5" customHeight="1" x14ac:dyDescent="0.15">
      <c r="A1675" s="33"/>
      <c r="B1675" s="12"/>
      <c r="C1675" s="12"/>
      <c r="D1675" s="12"/>
      <c r="E1675" s="12"/>
      <c r="G1675" s="14"/>
    </row>
    <row r="1676" spans="1:7" ht="22.5" customHeight="1" x14ac:dyDescent="0.15">
      <c r="A1676" s="33"/>
      <c r="B1676" s="12"/>
      <c r="C1676" s="12"/>
      <c r="D1676" s="12"/>
      <c r="E1676" s="12"/>
      <c r="G1676" s="14"/>
    </row>
    <row r="1677" spans="1:7" ht="22.5" customHeight="1" x14ac:dyDescent="0.15">
      <c r="A1677" s="33"/>
      <c r="B1677" s="12"/>
      <c r="C1677" s="12"/>
      <c r="D1677" s="12"/>
      <c r="E1677" s="12"/>
      <c r="G1677" s="14"/>
    </row>
    <row r="1678" spans="1:7" ht="22.5" customHeight="1" x14ac:dyDescent="0.15">
      <c r="A1678" s="33"/>
      <c r="B1678" s="12"/>
      <c r="C1678" s="12"/>
      <c r="D1678" s="12"/>
      <c r="E1678" s="12"/>
      <c r="G1678" s="14"/>
    </row>
    <row r="1679" spans="1:7" ht="22.5" customHeight="1" x14ac:dyDescent="0.15">
      <c r="A1679" s="33"/>
      <c r="B1679" s="12"/>
      <c r="C1679" s="12"/>
      <c r="D1679" s="12"/>
      <c r="E1679" s="12"/>
      <c r="G1679" s="14"/>
    </row>
    <row r="1680" spans="1:7" ht="22.5" customHeight="1" x14ac:dyDescent="0.15">
      <c r="A1680" s="33"/>
      <c r="B1680" s="12"/>
      <c r="C1680" s="12"/>
      <c r="D1680" s="12"/>
      <c r="E1680" s="12"/>
      <c r="G1680" s="14"/>
    </row>
    <row r="1681" spans="1:7" ht="22.5" customHeight="1" x14ac:dyDescent="0.15">
      <c r="A1681" s="33"/>
      <c r="B1681" s="12"/>
      <c r="C1681" s="12"/>
      <c r="D1681" s="12"/>
      <c r="E1681" s="12"/>
      <c r="G1681" s="14"/>
    </row>
    <row r="1682" spans="1:7" ht="22.5" customHeight="1" x14ac:dyDescent="0.15">
      <c r="A1682" s="33"/>
      <c r="B1682" s="12"/>
      <c r="C1682" s="12"/>
      <c r="D1682" s="12"/>
      <c r="E1682" s="12"/>
      <c r="G1682" s="14"/>
    </row>
    <row r="1683" spans="1:7" ht="22.5" customHeight="1" x14ac:dyDescent="0.15">
      <c r="A1683" s="33"/>
      <c r="B1683" s="12"/>
      <c r="C1683" s="12"/>
      <c r="D1683" s="12"/>
      <c r="E1683" s="12"/>
      <c r="G1683" s="14"/>
    </row>
    <row r="1684" spans="1:7" ht="22.5" customHeight="1" x14ac:dyDescent="0.15">
      <c r="A1684" s="33"/>
      <c r="B1684" s="12"/>
      <c r="C1684" s="12"/>
      <c r="D1684" s="12"/>
      <c r="E1684" s="12"/>
      <c r="G1684" s="14"/>
    </row>
    <row r="1685" spans="1:7" ht="22.5" customHeight="1" x14ac:dyDescent="0.15">
      <c r="A1685" s="33"/>
      <c r="B1685" s="12"/>
      <c r="C1685" s="12"/>
      <c r="D1685" s="12"/>
      <c r="E1685" s="12"/>
      <c r="G1685" s="14"/>
    </row>
    <row r="1686" spans="1:7" ht="22.5" customHeight="1" x14ac:dyDescent="0.15">
      <c r="A1686" s="33"/>
      <c r="B1686" s="12"/>
      <c r="C1686" s="12"/>
      <c r="D1686" s="12"/>
      <c r="E1686" s="12"/>
      <c r="G1686" s="14"/>
    </row>
    <row r="1687" spans="1:7" ht="22.5" customHeight="1" x14ac:dyDescent="0.15">
      <c r="A1687" s="33"/>
      <c r="B1687" s="12"/>
      <c r="C1687" s="12"/>
      <c r="D1687" s="12"/>
      <c r="E1687" s="12"/>
      <c r="G1687" s="14"/>
    </row>
    <row r="1688" spans="1:7" ht="22.5" customHeight="1" x14ac:dyDescent="0.15">
      <c r="A1688" s="33"/>
      <c r="B1688" s="12"/>
      <c r="C1688" s="12"/>
      <c r="D1688" s="12"/>
      <c r="E1688" s="12"/>
      <c r="G1688" s="14"/>
    </row>
    <row r="1689" spans="1:7" ht="22.5" customHeight="1" x14ac:dyDescent="0.15">
      <c r="A1689" s="33"/>
      <c r="B1689" s="12"/>
      <c r="C1689" s="12"/>
      <c r="D1689" s="12"/>
      <c r="E1689" s="12"/>
      <c r="G1689" s="14"/>
    </row>
    <row r="1690" spans="1:7" ht="22.5" customHeight="1" x14ac:dyDescent="0.15">
      <c r="A1690" s="33"/>
      <c r="B1690" s="12"/>
      <c r="C1690" s="12"/>
      <c r="D1690" s="12"/>
      <c r="E1690" s="12"/>
      <c r="G1690" s="14"/>
    </row>
    <row r="1691" spans="1:7" ht="22.5" customHeight="1" x14ac:dyDescent="0.15">
      <c r="A1691" s="33"/>
      <c r="B1691" s="12"/>
      <c r="C1691" s="12"/>
      <c r="D1691" s="12"/>
      <c r="E1691" s="12"/>
      <c r="G1691" s="14"/>
    </row>
    <row r="1692" spans="1:7" ht="22.5" customHeight="1" x14ac:dyDescent="0.15">
      <c r="A1692" s="33"/>
      <c r="B1692" s="12"/>
      <c r="C1692" s="12"/>
      <c r="D1692" s="12"/>
      <c r="E1692" s="12"/>
      <c r="G1692" s="14"/>
    </row>
    <row r="1693" spans="1:7" ht="22.5" customHeight="1" x14ac:dyDescent="0.15">
      <c r="A1693" s="33"/>
      <c r="B1693" s="12"/>
      <c r="C1693" s="12"/>
      <c r="D1693" s="12"/>
      <c r="E1693" s="12"/>
      <c r="G1693" s="14"/>
    </row>
    <row r="1694" spans="1:7" ht="22.5" customHeight="1" x14ac:dyDescent="0.15">
      <c r="A1694" s="33"/>
      <c r="B1694" s="12"/>
      <c r="C1694" s="12"/>
      <c r="D1694" s="12"/>
      <c r="E1694" s="12"/>
      <c r="G1694" s="14"/>
    </row>
    <row r="1695" spans="1:7" ht="22.5" customHeight="1" x14ac:dyDescent="0.15">
      <c r="A1695" s="33"/>
      <c r="B1695" s="12"/>
      <c r="C1695" s="12"/>
      <c r="D1695" s="12"/>
      <c r="E1695" s="12"/>
      <c r="G1695" s="14"/>
    </row>
    <row r="1696" spans="1:7" ht="22.5" customHeight="1" x14ac:dyDescent="0.15">
      <c r="A1696" s="33"/>
      <c r="B1696" s="12"/>
      <c r="C1696" s="12"/>
      <c r="D1696" s="12"/>
      <c r="E1696" s="12"/>
      <c r="G1696" s="14"/>
    </row>
    <row r="1697" spans="1:7" ht="22.5" customHeight="1" x14ac:dyDescent="0.15">
      <c r="A1697" s="33"/>
      <c r="B1697" s="12"/>
      <c r="C1697" s="12"/>
      <c r="D1697" s="12"/>
      <c r="E1697" s="12"/>
      <c r="G1697" s="14"/>
    </row>
    <row r="1698" spans="1:7" ht="22.5" customHeight="1" x14ac:dyDescent="0.15">
      <c r="A1698" s="33"/>
      <c r="B1698" s="12"/>
      <c r="C1698" s="12"/>
      <c r="D1698" s="12"/>
      <c r="E1698" s="12"/>
      <c r="G1698" s="14"/>
    </row>
    <row r="1699" spans="1:7" ht="22.5" customHeight="1" x14ac:dyDescent="0.15">
      <c r="A1699" s="33"/>
      <c r="B1699" s="12"/>
      <c r="C1699" s="12"/>
      <c r="D1699" s="12"/>
      <c r="E1699" s="12"/>
      <c r="G1699" s="14"/>
    </row>
    <row r="1700" spans="1:7" ht="22.5" customHeight="1" x14ac:dyDescent="0.15">
      <c r="A1700" s="33"/>
      <c r="B1700" s="12"/>
      <c r="C1700" s="12"/>
      <c r="D1700" s="12"/>
      <c r="E1700" s="12"/>
      <c r="G1700" s="14"/>
    </row>
    <row r="1701" spans="1:7" ht="22.5" customHeight="1" x14ac:dyDescent="0.15">
      <c r="A1701" s="33"/>
      <c r="B1701" s="12"/>
      <c r="C1701" s="12"/>
      <c r="D1701" s="12"/>
      <c r="E1701" s="12"/>
      <c r="G1701" s="14"/>
    </row>
    <row r="1702" spans="1:7" ht="22.5" customHeight="1" x14ac:dyDescent="0.15">
      <c r="A1702" s="33"/>
      <c r="B1702" s="12"/>
      <c r="C1702" s="12"/>
      <c r="D1702" s="12"/>
      <c r="E1702" s="12"/>
      <c r="G1702" s="14"/>
    </row>
    <row r="1703" spans="1:7" ht="22.5" customHeight="1" x14ac:dyDescent="0.15">
      <c r="A1703" s="33"/>
      <c r="B1703" s="12"/>
      <c r="C1703" s="12"/>
      <c r="D1703" s="12"/>
      <c r="E1703" s="12"/>
      <c r="G1703" s="14"/>
    </row>
    <row r="1704" spans="1:7" ht="22.5" customHeight="1" x14ac:dyDescent="0.15">
      <c r="A1704" s="33"/>
      <c r="B1704" s="12"/>
      <c r="C1704" s="12"/>
      <c r="D1704" s="12"/>
      <c r="E1704" s="12"/>
      <c r="G1704" s="14"/>
    </row>
    <row r="1705" spans="1:7" ht="22.5" customHeight="1" x14ac:dyDescent="0.15">
      <c r="A1705" s="33"/>
      <c r="B1705" s="12"/>
      <c r="C1705" s="12"/>
      <c r="D1705" s="12"/>
      <c r="E1705" s="12"/>
      <c r="G1705" s="14"/>
    </row>
    <row r="1706" spans="1:7" ht="22.5" customHeight="1" x14ac:dyDescent="0.15">
      <c r="A1706" s="33"/>
      <c r="B1706" s="12"/>
      <c r="C1706" s="12"/>
      <c r="D1706" s="12"/>
      <c r="E1706" s="12"/>
      <c r="G1706" s="14"/>
    </row>
    <row r="1707" spans="1:7" ht="22.5" customHeight="1" x14ac:dyDescent="0.15">
      <c r="A1707" s="33"/>
      <c r="B1707" s="12"/>
      <c r="C1707" s="12"/>
      <c r="D1707" s="12"/>
      <c r="E1707" s="12"/>
      <c r="G1707" s="14"/>
    </row>
    <row r="1708" spans="1:7" ht="22.5" customHeight="1" x14ac:dyDescent="0.15">
      <c r="A1708" s="33"/>
      <c r="B1708" s="12"/>
      <c r="C1708" s="12"/>
      <c r="D1708" s="12"/>
      <c r="E1708" s="12"/>
      <c r="G1708" s="14"/>
    </row>
    <row r="1709" spans="1:7" ht="22.5" customHeight="1" x14ac:dyDescent="0.15">
      <c r="A1709" s="33"/>
      <c r="B1709" s="12"/>
      <c r="C1709" s="12"/>
      <c r="D1709" s="12"/>
      <c r="E1709" s="12"/>
      <c r="G1709" s="14"/>
    </row>
    <row r="1710" spans="1:7" ht="22.5" customHeight="1" x14ac:dyDescent="0.15">
      <c r="A1710" s="33"/>
      <c r="B1710" s="12"/>
      <c r="C1710" s="12"/>
      <c r="D1710" s="12"/>
      <c r="E1710" s="12"/>
      <c r="G1710" s="14"/>
    </row>
    <row r="1711" spans="1:7" ht="22.5" customHeight="1" x14ac:dyDescent="0.15">
      <c r="A1711" s="33"/>
      <c r="B1711" s="12"/>
      <c r="C1711" s="12"/>
      <c r="D1711" s="12"/>
      <c r="E1711" s="12"/>
      <c r="G1711" s="14"/>
    </row>
    <row r="1712" spans="1:7" ht="22.5" customHeight="1" x14ac:dyDescent="0.15">
      <c r="A1712" s="33"/>
      <c r="B1712" s="12"/>
      <c r="C1712" s="12"/>
      <c r="D1712" s="12"/>
      <c r="E1712" s="12"/>
      <c r="G1712" s="14"/>
    </row>
    <row r="1713" spans="1:7" ht="22.5" customHeight="1" x14ac:dyDescent="0.15">
      <c r="A1713" s="33"/>
      <c r="B1713" s="12"/>
      <c r="C1713" s="12"/>
      <c r="D1713" s="12"/>
      <c r="E1713" s="12"/>
      <c r="G1713" s="14"/>
    </row>
    <row r="1714" spans="1:7" ht="22.5" customHeight="1" x14ac:dyDescent="0.15">
      <c r="A1714" s="33"/>
      <c r="B1714" s="12"/>
      <c r="C1714" s="12"/>
      <c r="D1714" s="12"/>
      <c r="E1714" s="12"/>
      <c r="G1714" s="14"/>
    </row>
    <row r="1715" spans="1:7" ht="22.5" customHeight="1" x14ac:dyDescent="0.15">
      <c r="A1715" s="33"/>
      <c r="B1715" s="12"/>
      <c r="C1715" s="12"/>
      <c r="D1715" s="12"/>
      <c r="E1715" s="12"/>
      <c r="G1715" s="14"/>
    </row>
    <row r="1716" spans="1:7" ht="22.5" customHeight="1" x14ac:dyDescent="0.15">
      <c r="A1716" s="33"/>
      <c r="B1716" s="12"/>
      <c r="C1716" s="12"/>
      <c r="D1716" s="12"/>
      <c r="E1716" s="12"/>
      <c r="G1716" s="14"/>
    </row>
    <row r="1717" spans="1:7" ht="22.5" customHeight="1" x14ac:dyDescent="0.15">
      <c r="A1717" s="33"/>
      <c r="B1717" s="12"/>
      <c r="C1717" s="12"/>
      <c r="D1717" s="12"/>
      <c r="E1717" s="12"/>
      <c r="G1717" s="14"/>
    </row>
    <row r="1718" spans="1:7" ht="22.5" customHeight="1" x14ac:dyDescent="0.15">
      <c r="A1718" s="33"/>
      <c r="B1718" s="12"/>
      <c r="C1718" s="12"/>
      <c r="D1718" s="12"/>
      <c r="E1718" s="12"/>
      <c r="G1718" s="14"/>
    </row>
    <row r="1719" spans="1:7" ht="22.5" customHeight="1" x14ac:dyDescent="0.15">
      <c r="A1719" s="33"/>
      <c r="B1719" s="12"/>
      <c r="C1719" s="12"/>
      <c r="D1719" s="12"/>
      <c r="E1719" s="12"/>
      <c r="G1719" s="14"/>
    </row>
    <row r="1720" spans="1:7" ht="22.5" customHeight="1" x14ac:dyDescent="0.15">
      <c r="A1720" s="33"/>
      <c r="B1720" s="12"/>
      <c r="C1720" s="12"/>
      <c r="D1720" s="12"/>
      <c r="E1720" s="12"/>
      <c r="G1720" s="14"/>
    </row>
    <row r="1721" spans="1:7" ht="22.5" customHeight="1" x14ac:dyDescent="0.15">
      <c r="A1721" s="33"/>
      <c r="B1721" s="12"/>
      <c r="C1721" s="12"/>
      <c r="D1721" s="12"/>
      <c r="E1721" s="12"/>
      <c r="G1721" s="14"/>
    </row>
    <row r="1722" spans="1:7" ht="22.5" customHeight="1" x14ac:dyDescent="0.15">
      <c r="A1722" s="33"/>
      <c r="B1722" s="12"/>
      <c r="C1722" s="12"/>
      <c r="D1722" s="12"/>
      <c r="E1722" s="12"/>
      <c r="G1722" s="14"/>
    </row>
    <row r="1723" spans="1:7" ht="22.5" customHeight="1" x14ac:dyDescent="0.15">
      <c r="A1723" s="33"/>
      <c r="B1723" s="12"/>
      <c r="C1723" s="12"/>
      <c r="D1723" s="12"/>
      <c r="E1723" s="12"/>
      <c r="G1723" s="14"/>
    </row>
    <row r="1724" spans="1:7" ht="22.5" customHeight="1" x14ac:dyDescent="0.15">
      <c r="A1724" s="33"/>
      <c r="B1724" s="12"/>
      <c r="C1724" s="12"/>
      <c r="D1724" s="12"/>
      <c r="E1724" s="12"/>
      <c r="G1724" s="14"/>
    </row>
    <row r="1725" spans="1:7" ht="22.5" customHeight="1" x14ac:dyDescent="0.15">
      <c r="A1725" s="33"/>
      <c r="B1725" s="12"/>
      <c r="C1725" s="12"/>
      <c r="D1725" s="12"/>
      <c r="E1725" s="12"/>
      <c r="G1725" s="14"/>
    </row>
    <row r="1726" spans="1:7" ht="22.5" customHeight="1" x14ac:dyDescent="0.15">
      <c r="A1726" s="33"/>
      <c r="B1726" s="12"/>
      <c r="C1726" s="12"/>
      <c r="D1726" s="12"/>
      <c r="E1726" s="12"/>
      <c r="G1726" s="14"/>
    </row>
    <row r="1727" spans="1:7" ht="22.5" customHeight="1" x14ac:dyDescent="0.15">
      <c r="A1727" s="33"/>
      <c r="B1727" s="12"/>
      <c r="C1727" s="12"/>
      <c r="D1727" s="12"/>
      <c r="E1727" s="12"/>
      <c r="G1727" s="14"/>
    </row>
    <row r="1728" spans="1:7" ht="22.5" customHeight="1" x14ac:dyDescent="0.15">
      <c r="A1728" s="33"/>
      <c r="B1728" s="12"/>
      <c r="C1728" s="12"/>
      <c r="D1728" s="12"/>
      <c r="E1728" s="12"/>
      <c r="G1728" s="14"/>
    </row>
    <row r="1729" spans="1:7" ht="22.5" customHeight="1" x14ac:dyDescent="0.15">
      <c r="A1729" s="33"/>
      <c r="B1729" s="12"/>
      <c r="C1729" s="12"/>
      <c r="D1729" s="12"/>
      <c r="E1729" s="12"/>
      <c r="G1729" s="14"/>
    </row>
    <row r="1730" spans="1:7" ht="22.5" customHeight="1" x14ac:dyDescent="0.15">
      <c r="A1730" s="33"/>
      <c r="B1730" s="12"/>
      <c r="C1730" s="12"/>
      <c r="D1730" s="12"/>
      <c r="E1730" s="12"/>
      <c r="G1730" s="14"/>
    </row>
    <row r="1731" spans="1:7" ht="22.5" customHeight="1" x14ac:dyDescent="0.15">
      <c r="A1731" s="33"/>
      <c r="B1731" s="12"/>
      <c r="C1731" s="12"/>
      <c r="D1731" s="12"/>
      <c r="E1731" s="12"/>
      <c r="G1731" s="14"/>
    </row>
    <row r="1732" spans="1:7" ht="22.5" customHeight="1" x14ac:dyDescent="0.15">
      <c r="A1732" s="33"/>
      <c r="B1732" s="12"/>
      <c r="C1732" s="12"/>
      <c r="D1732" s="12"/>
      <c r="E1732" s="12"/>
      <c r="G1732" s="14"/>
    </row>
    <row r="1733" spans="1:7" ht="22.5" customHeight="1" x14ac:dyDescent="0.15">
      <c r="A1733" s="33"/>
      <c r="B1733" s="12"/>
      <c r="C1733" s="12"/>
      <c r="D1733" s="12"/>
      <c r="E1733" s="12"/>
      <c r="G1733" s="14"/>
    </row>
    <row r="1734" spans="1:7" ht="22.5" customHeight="1" x14ac:dyDescent="0.15">
      <c r="A1734" s="33"/>
      <c r="B1734" s="12"/>
      <c r="C1734" s="12"/>
      <c r="D1734" s="12"/>
      <c r="E1734" s="12"/>
      <c r="G1734" s="14"/>
    </row>
    <row r="1735" spans="1:7" ht="22.5" customHeight="1" x14ac:dyDescent="0.15">
      <c r="A1735" s="33"/>
      <c r="B1735" s="12"/>
      <c r="C1735" s="12"/>
      <c r="D1735" s="12"/>
      <c r="E1735" s="12"/>
      <c r="G1735" s="14"/>
    </row>
    <row r="1736" spans="1:7" ht="22.5" customHeight="1" x14ac:dyDescent="0.15">
      <c r="A1736" s="33"/>
      <c r="B1736" s="12"/>
      <c r="C1736" s="12"/>
      <c r="D1736" s="12"/>
      <c r="E1736" s="12"/>
      <c r="G1736" s="14"/>
    </row>
    <row r="1737" spans="1:7" ht="22.5" customHeight="1" x14ac:dyDescent="0.15">
      <c r="A1737" s="33"/>
      <c r="B1737" s="12"/>
      <c r="C1737" s="12"/>
      <c r="D1737" s="12"/>
      <c r="E1737" s="12"/>
      <c r="G1737" s="14"/>
    </row>
    <row r="1738" spans="1:7" ht="22.5" customHeight="1" x14ac:dyDescent="0.15">
      <c r="A1738" s="33"/>
      <c r="B1738" s="12"/>
      <c r="C1738" s="12"/>
      <c r="D1738" s="12"/>
      <c r="E1738" s="12"/>
      <c r="G1738" s="14"/>
    </row>
    <row r="1739" spans="1:7" ht="22.5" customHeight="1" x14ac:dyDescent="0.15">
      <c r="A1739" s="33"/>
      <c r="B1739" s="12"/>
      <c r="C1739" s="12"/>
      <c r="D1739" s="12"/>
      <c r="E1739" s="12"/>
      <c r="G1739" s="14"/>
    </row>
    <row r="1740" spans="1:7" ht="22.5" customHeight="1" x14ac:dyDescent="0.15">
      <c r="A1740" s="33"/>
      <c r="B1740" s="12"/>
      <c r="C1740" s="12"/>
      <c r="D1740" s="12"/>
      <c r="E1740" s="12"/>
      <c r="G1740" s="14"/>
    </row>
    <row r="1741" spans="1:7" ht="22.5" customHeight="1" x14ac:dyDescent="0.15">
      <c r="A1741" s="33"/>
      <c r="B1741" s="12"/>
      <c r="C1741" s="12"/>
      <c r="D1741" s="12"/>
      <c r="E1741" s="12"/>
      <c r="G1741" s="14"/>
    </row>
    <row r="1742" spans="1:7" ht="22.5" customHeight="1" x14ac:dyDescent="0.15">
      <c r="A1742" s="33"/>
      <c r="B1742" s="12"/>
      <c r="C1742" s="12"/>
      <c r="D1742" s="12"/>
      <c r="E1742" s="12"/>
      <c r="G1742" s="14"/>
    </row>
    <row r="1743" spans="1:7" ht="22.5" customHeight="1" x14ac:dyDescent="0.15">
      <c r="A1743" s="33"/>
      <c r="B1743" s="12"/>
      <c r="C1743" s="12"/>
      <c r="D1743" s="12"/>
      <c r="E1743" s="12"/>
      <c r="G1743" s="14"/>
    </row>
    <row r="1744" spans="1:7" ht="22.5" customHeight="1" x14ac:dyDescent="0.15">
      <c r="A1744" s="33"/>
      <c r="B1744" s="12"/>
      <c r="C1744" s="12"/>
      <c r="D1744" s="12"/>
      <c r="E1744" s="12"/>
      <c r="G1744" s="14"/>
    </row>
    <row r="1745" spans="1:7" ht="22.5" customHeight="1" x14ac:dyDescent="0.15">
      <c r="A1745" s="33"/>
      <c r="B1745" s="12"/>
      <c r="C1745" s="12"/>
      <c r="D1745" s="12"/>
      <c r="E1745" s="12"/>
      <c r="G1745" s="14"/>
    </row>
    <row r="1746" spans="1:7" ht="22.5" customHeight="1" x14ac:dyDescent="0.15">
      <c r="A1746" s="33"/>
      <c r="B1746" s="12"/>
      <c r="C1746" s="12"/>
      <c r="D1746" s="12"/>
      <c r="E1746" s="12"/>
      <c r="G1746" s="14"/>
    </row>
    <row r="1747" spans="1:7" ht="22.5" customHeight="1" x14ac:dyDescent="0.15">
      <c r="A1747" s="33"/>
      <c r="B1747" s="12"/>
      <c r="C1747" s="12"/>
      <c r="D1747" s="12"/>
      <c r="E1747" s="12"/>
      <c r="G1747" s="14"/>
    </row>
    <row r="1748" spans="1:7" ht="22.5" customHeight="1" x14ac:dyDescent="0.15">
      <c r="A1748" s="33"/>
      <c r="B1748" s="12"/>
      <c r="C1748" s="12"/>
      <c r="D1748" s="12"/>
      <c r="E1748" s="12"/>
      <c r="G1748" s="14"/>
    </row>
    <row r="1749" spans="1:7" ht="22.5" customHeight="1" x14ac:dyDescent="0.15">
      <c r="A1749" s="33"/>
      <c r="B1749" s="12"/>
      <c r="C1749" s="12"/>
      <c r="D1749" s="12"/>
      <c r="E1749" s="12"/>
      <c r="G1749" s="14"/>
    </row>
    <row r="1750" spans="1:7" ht="22.5" customHeight="1" x14ac:dyDescent="0.15">
      <c r="A1750" s="33"/>
      <c r="B1750" s="12"/>
      <c r="C1750" s="12"/>
      <c r="D1750" s="12"/>
      <c r="E1750" s="12"/>
      <c r="G1750" s="14"/>
    </row>
    <row r="1751" spans="1:7" ht="22.5" customHeight="1" x14ac:dyDescent="0.15">
      <c r="A1751" s="33"/>
      <c r="B1751" s="12"/>
      <c r="C1751" s="12"/>
      <c r="D1751" s="12"/>
      <c r="E1751" s="12"/>
      <c r="G1751" s="14"/>
    </row>
    <row r="1752" spans="1:7" ht="22.5" customHeight="1" x14ac:dyDescent="0.15">
      <c r="A1752" s="33"/>
      <c r="B1752" s="12"/>
      <c r="C1752" s="12"/>
      <c r="D1752" s="12"/>
      <c r="E1752" s="12"/>
      <c r="G1752" s="14"/>
    </row>
    <row r="1753" spans="1:7" ht="22.5" customHeight="1" x14ac:dyDescent="0.15">
      <c r="A1753" s="33"/>
      <c r="B1753" s="12"/>
      <c r="C1753" s="12"/>
      <c r="D1753" s="12"/>
      <c r="E1753" s="12"/>
      <c r="G1753" s="14"/>
    </row>
    <row r="1754" spans="1:7" ht="22.5" customHeight="1" x14ac:dyDescent="0.15">
      <c r="A1754" s="33"/>
      <c r="B1754" s="12"/>
      <c r="C1754" s="12"/>
      <c r="D1754" s="12"/>
      <c r="E1754" s="12"/>
      <c r="G1754" s="14"/>
    </row>
    <row r="1755" spans="1:7" ht="22.5" customHeight="1" x14ac:dyDescent="0.15">
      <c r="A1755" s="33"/>
      <c r="B1755" s="12"/>
      <c r="C1755" s="12"/>
      <c r="D1755" s="12"/>
      <c r="E1755" s="12"/>
      <c r="G1755" s="14"/>
    </row>
    <row r="1756" spans="1:7" ht="22.5" customHeight="1" x14ac:dyDescent="0.15">
      <c r="A1756" s="33"/>
      <c r="B1756" s="12"/>
      <c r="C1756" s="12"/>
      <c r="D1756" s="12"/>
      <c r="E1756" s="12"/>
      <c r="G1756" s="14"/>
    </row>
    <row r="1757" spans="1:7" ht="22.5" customHeight="1" x14ac:dyDescent="0.15">
      <c r="A1757" s="33"/>
      <c r="B1757" s="12"/>
      <c r="C1757" s="12"/>
      <c r="D1757" s="12"/>
      <c r="E1757" s="12"/>
      <c r="G1757" s="14"/>
    </row>
    <row r="1758" spans="1:7" ht="22.5" customHeight="1" x14ac:dyDescent="0.15">
      <c r="A1758" s="33"/>
      <c r="B1758" s="12"/>
      <c r="C1758" s="12"/>
      <c r="D1758" s="12"/>
      <c r="E1758" s="12"/>
      <c r="G1758" s="14"/>
    </row>
    <row r="1759" spans="1:7" ht="22.5" customHeight="1" x14ac:dyDescent="0.15">
      <c r="A1759" s="33"/>
      <c r="B1759" s="12"/>
      <c r="C1759" s="12"/>
      <c r="D1759" s="12"/>
      <c r="E1759" s="12"/>
      <c r="G1759" s="14"/>
    </row>
    <row r="1760" spans="1:7" ht="22.5" customHeight="1" x14ac:dyDescent="0.15">
      <c r="A1760" s="33"/>
      <c r="B1760" s="12"/>
      <c r="C1760" s="12"/>
      <c r="D1760" s="12"/>
      <c r="E1760" s="12"/>
      <c r="G1760" s="14"/>
    </row>
    <row r="1761" spans="1:7" ht="22.5" customHeight="1" x14ac:dyDescent="0.15">
      <c r="A1761" s="33"/>
      <c r="B1761" s="12"/>
      <c r="C1761" s="12"/>
      <c r="D1761" s="12"/>
      <c r="E1761" s="12"/>
      <c r="G1761" s="14"/>
    </row>
    <row r="1762" spans="1:7" ht="22.5" customHeight="1" x14ac:dyDescent="0.15">
      <c r="A1762" s="33"/>
      <c r="B1762" s="12"/>
      <c r="C1762" s="12"/>
      <c r="D1762" s="12"/>
      <c r="E1762" s="12"/>
      <c r="G1762" s="14"/>
    </row>
    <row r="1763" spans="1:7" ht="22.5" customHeight="1" x14ac:dyDescent="0.15">
      <c r="A1763" s="33"/>
      <c r="B1763" s="12"/>
      <c r="C1763" s="12"/>
      <c r="D1763" s="12"/>
      <c r="E1763" s="12"/>
      <c r="G1763" s="14"/>
    </row>
    <row r="1764" spans="1:7" ht="22.5" customHeight="1" x14ac:dyDescent="0.15">
      <c r="A1764" s="33"/>
      <c r="B1764" s="12"/>
      <c r="C1764" s="12"/>
      <c r="D1764" s="12"/>
      <c r="E1764" s="12"/>
      <c r="G1764" s="14"/>
    </row>
    <row r="1765" spans="1:7" ht="22.5" customHeight="1" x14ac:dyDescent="0.15">
      <c r="A1765" s="33"/>
      <c r="B1765" s="12"/>
      <c r="C1765" s="12"/>
      <c r="D1765" s="12"/>
      <c r="E1765" s="12"/>
      <c r="G1765" s="14"/>
    </row>
    <row r="1766" spans="1:7" ht="22.5" customHeight="1" x14ac:dyDescent="0.15">
      <c r="A1766" s="33"/>
      <c r="B1766" s="12"/>
      <c r="C1766" s="12"/>
      <c r="D1766" s="12"/>
      <c r="E1766" s="12"/>
      <c r="G1766" s="14"/>
    </row>
    <row r="1767" spans="1:7" ht="22.5" customHeight="1" x14ac:dyDescent="0.15">
      <c r="A1767" s="33"/>
      <c r="B1767" s="12"/>
      <c r="C1767" s="12"/>
      <c r="D1767" s="12"/>
      <c r="E1767" s="12"/>
      <c r="G1767" s="14"/>
    </row>
    <row r="1768" spans="1:7" ht="22.5" customHeight="1" x14ac:dyDescent="0.15">
      <c r="A1768" s="33"/>
      <c r="B1768" s="12"/>
      <c r="C1768" s="12"/>
      <c r="D1768" s="12"/>
      <c r="E1768" s="12"/>
      <c r="G1768" s="14"/>
    </row>
    <row r="1769" spans="1:7" ht="22.5" customHeight="1" x14ac:dyDescent="0.15">
      <c r="A1769" s="33"/>
      <c r="B1769" s="12"/>
      <c r="C1769" s="12"/>
      <c r="D1769" s="12"/>
      <c r="E1769" s="12"/>
      <c r="G1769" s="14"/>
    </row>
    <row r="1770" spans="1:7" ht="22.5" customHeight="1" x14ac:dyDescent="0.15">
      <c r="A1770" s="33"/>
      <c r="B1770" s="12"/>
      <c r="C1770" s="12"/>
      <c r="D1770" s="12"/>
      <c r="E1770" s="12"/>
      <c r="G1770" s="14"/>
    </row>
    <row r="1771" spans="1:7" ht="22.5" customHeight="1" x14ac:dyDescent="0.15">
      <c r="A1771" s="33"/>
      <c r="B1771" s="12"/>
      <c r="C1771" s="12"/>
      <c r="D1771" s="12"/>
      <c r="E1771" s="12"/>
      <c r="G1771" s="14"/>
    </row>
    <row r="1772" spans="1:7" ht="22.5" customHeight="1" x14ac:dyDescent="0.15">
      <c r="A1772" s="33"/>
      <c r="B1772" s="12"/>
      <c r="C1772" s="12"/>
      <c r="D1772" s="12"/>
      <c r="E1772" s="12"/>
      <c r="G1772" s="14"/>
    </row>
    <row r="1773" spans="1:7" ht="22.5" customHeight="1" x14ac:dyDescent="0.15">
      <c r="A1773" s="33"/>
      <c r="B1773" s="12"/>
      <c r="C1773" s="12"/>
      <c r="D1773" s="12"/>
      <c r="E1773" s="12"/>
      <c r="G1773" s="14"/>
    </row>
    <row r="1774" spans="1:7" ht="22.5" customHeight="1" x14ac:dyDescent="0.15">
      <c r="A1774" s="33"/>
      <c r="B1774" s="12"/>
      <c r="C1774" s="12"/>
      <c r="D1774" s="12"/>
      <c r="E1774" s="12"/>
      <c r="G1774" s="14"/>
    </row>
    <row r="1775" spans="1:7" ht="22.5" customHeight="1" x14ac:dyDescent="0.15">
      <c r="A1775" s="33"/>
      <c r="B1775" s="12"/>
      <c r="C1775" s="12"/>
      <c r="D1775" s="12"/>
      <c r="E1775" s="12"/>
      <c r="G1775" s="14"/>
    </row>
    <row r="1776" spans="1:7" ht="22.5" customHeight="1" x14ac:dyDescent="0.15">
      <c r="A1776" s="33"/>
      <c r="B1776" s="12"/>
      <c r="C1776" s="12"/>
      <c r="D1776" s="12"/>
      <c r="E1776" s="12"/>
      <c r="G1776" s="14"/>
    </row>
    <row r="1777" spans="1:7" ht="22.5" customHeight="1" x14ac:dyDescent="0.15">
      <c r="A1777" s="33"/>
      <c r="B1777" s="12"/>
      <c r="C1777" s="12"/>
      <c r="D1777" s="12"/>
      <c r="E1777" s="12"/>
      <c r="G1777" s="14"/>
    </row>
    <row r="1778" spans="1:7" ht="22.5" customHeight="1" x14ac:dyDescent="0.15">
      <c r="A1778" s="33"/>
      <c r="B1778" s="12"/>
      <c r="C1778" s="12"/>
      <c r="D1778" s="12"/>
      <c r="E1778" s="12"/>
      <c r="G1778" s="14"/>
    </row>
    <row r="1779" spans="1:7" ht="22.5" customHeight="1" x14ac:dyDescent="0.15">
      <c r="A1779" s="33"/>
      <c r="B1779" s="12"/>
      <c r="C1779" s="12"/>
      <c r="D1779" s="12"/>
      <c r="E1779" s="12"/>
      <c r="G1779" s="14"/>
    </row>
    <row r="1780" spans="1:7" ht="22.5" customHeight="1" x14ac:dyDescent="0.15">
      <c r="A1780" s="33"/>
      <c r="B1780" s="12"/>
      <c r="C1780" s="12"/>
      <c r="D1780" s="12"/>
      <c r="E1780" s="12"/>
      <c r="G1780" s="14"/>
    </row>
    <row r="1781" spans="1:7" ht="22.5" customHeight="1" x14ac:dyDescent="0.15">
      <c r="A1781" s="33"/>
      <c r="B1781" s="12"/>
      <c r="C1781" s="12"/>
      <c r="D1781" s="12"/>
      <c r="E1781" s="12"/>
      <c r="G1781" s="14"/>
    </row>
    <row r="1782" spans="1:7" ht="22.5" customHeight="1" x14ac:dyDescent="0.15">
      <c r="A1782" s="33"/>
      <c r="B1782" s="12"/>
      <c r="C1782" s="12"/>
      <c r="D1782" s="12"/>
      <c r="E1782" s="12"/>
      <c r="G1782" s="14"/>
    </row>
    <row r="1783" spans="1:7" ht="22.5" customHeight="1" x14ac:dyDescent="0.15">
      <c r="A1783" s="33"/>
      <c r="B1783" s="12"/>
      <c r="C1783" s="12"/>
      <c r="D1783" s="12"/>
      <c r="E1783" s="12"/>
      <c r="G1783" s="14"/>
    </row>
    <row r="1784" spans="1:7" ht="22.5" customHeight="1" x14ac:dyDescent="0.15">
      <c r="A1784" s="33"/>
      <c r="B1784" s="12"/>
      <c r="C1784" s="12"/>
      <c r="D1784" s="12"/>
      <c r="E1784" s="12"/>
      <c r="G1784" s="14"/>
    </row>
    <row r="1785" spans="1:7" ht="22.5" customHeight="1" x14ac:dyDescent="0.15">
      <c r="A1785" s="33"/>
      <c r="B1785" s="12"/>
      <c r="C1785" s="12"/>
      <c r="D1785" s="12"/>
      <c r="E1785" s="12"/>
      <c r="G1785" s="14"/>
    </row>
    <row r="1786" spans="1:7" ht="22.5" customHeight="1" x14ac:dyDescent="0.15">
      <c r="A1786" s="33"/>
      <c r="B1786" s="12"/>
      <c r="C1786" s="12"/>
      <c r="D1786" s="12"/>
      <c r="E1786" s="12"/>
      <c r="G1786" s="14"/>
    </row>
    <row r="1787" spans="1:7" ht="22.5" customHeight="1" x14ac:dyDescent="0.15">
      <c r="A1787" s="33"/>
      <c r="B1787" s="12"/>
      <c r="C1787" s="12"/>
      <c r="D1787" s="12"/>
      <c r="E1787" s="12"/>
      <c r="G1787" s="14"/>
    </row>
    <row r="1788" spans="1:7" ht="22.5" customHeight="1" x14ac:dyDescent="0.15">
      <c r="A1788" s="33"/>
      <c r="B1788" s="12"/>
      <c r="C1788" s="12"/>
      <c r="D1788" s="12"/>
      <c r="E1788" s="12"/>
      <c r="G1788" s="14"/>
    </row>
    <row r="1789" spans="1:7" ht="22.5" customHeight="1" x14ac:dyDescent="0.15">
      <c r="A1789" s="33"/>
      <c r="B1789" s="12"/>
      <c r="C1789" s="12"/>
      <c r="D1789" s="12"/>
      <c r="E1789" s="12"/>
      <c r="G1789" s="14"/>
    </row>
    <row r="1790" spans="1:7" ht="22.5" customHeight="1" x14ac:dyDescent="0.15">
      <c r="A1790" s="33"/>
      <c r="B1790" s="12"/>
      <c r="C1790" s="12"/>
      <c r="D1790" s="12"/>
      <c r="E1790" s="12"/>
      <c r="G1790" s="14"/>
    </row>
    <row r="1791" spans="1:7" ht="22.5" customHeight="1" x14ac:dyDescent="0.15">
      <c r="A1791" s="33"/>
      <c r="B1791" s="12"/>
      <c r="C1791" s="12"/>
      <c r="D1791" s="12"/>
      <c r="E1791" s="12"/>
      <c r="G1791" s="14"/>
    </row>
    <row r="1792" spans="1:7" ht="22.5" customHeight="1" x14ac:dyDescent="0.15">
      <c r="A1792" s="33"/>
      <c r="B1792" s="12"/>
      <c r="C1792" s="12"/>
      <c r="D1792" s="12"/>
      <c r="E1792" s="12"/>
      <c r="G1792" s="14"/>
    </row>
    <row r="1793" spans="1:7" ht="22.5" customHeight="1" x14ac:dyDescent="0.15">
      <c r="A1793" s="33"/>
      <c r="B1793" s="12"/>
      <c r="C1793" s="12"/>
      <c r="D1793" s="12"/>
      <c r="E1793" s="12"/>
      <c r="G1793" s="14"/>
    </row>
    <row r="1794" spans="1:7" ht="22.5" customHeight="1" x14ac:dyDescent="0.15">
      <c r="A1794" s="33"/>
      <c r="B1794" s="12"/>
      <c r="C1794" s="12"/>
      <c r="D1794" s="12"/>
      <c r="E1794" s="12"/>
      <c r="G1794" s="14"/>
    </row>
    <row r="1795" spans="1:7" ht="22.5" customHeight="1" x14ac:dyDescent="0.15">
      <c r="A1795" s="33"/>
      <c r="B1795" s="12"/>
      <c r="C1795" s="12"/>
      <c r="D1795" s="12"/>
      <c r="E1795" s="12"/>
      <c r="G1795" s="14"/>
    </row>
    <row r="1796" spans="1:7" ht="22.5" customHeight="1" x14ac:dyDescent="0.15">
      <c r="A1796" s="33"/>
      <c r="B1796" s="12"/>
      <c r="C1796" s="12"/>
      <c r="D1796" s="12"/>
      <c r="E1796" s="12"/>
      <c r="G1796" s="14"/>
    </row>
    <row r="1797" spans="1:7" ht="22.5" customHeight="1" x14ac:dyDescent="0.15">
      <c r="A1797" s="33"/>
      <c r="B1797" s="12"/>
      <c r="C1797" s="12"/>
      <c r="D1797" s="12"/>
      <c r="E1797" s="12"/>
      <c r="G1797" s="14"/>
    </row>
    <row r="1798" spans="1:7" ht="22.5" customHeight="1" x14ac:dyDescent="0.15">
      <c r="A1798" s="33"/>
      <c r="B1798" s="12"/>
      <c r="C1798" s="12"/>
      <c r="D1798" s="12"/>
      <c r="E1798" s="12"/>
      <c r="G1798" s="14"/>
    </row>
    <row r="1799" spans="1:7" ht="22.5" customHeight="1" x14ac:dyDescent="0.15">
      <c r="A1799" s="33"/>
      <c r="B1799" s="12"/>
      <c r="C1799" s="12"/>
      <c r="D1799" s="12"/>
      <c r="E1799" s="12"/>
      <c r="G1799" s="14"/>
    </row>
    <row r="1800" spans="1:7" ht="22.5" customHeight="1" x14ac:dyDescent="0.15">
      <c r="A1800" s="33"/>
      <c r="B1800" s="12"/>
      <c r="C1800" s="12"/>
      <c r="D1800" s="12"/>
      <c r="E1800" s="12"/>
      <c r="G1800" s="14"/>
    </row>
    <row r="1801" spans="1:7" ht="22.5" customHeight="1" x14ac:dyDescent="0.15">
      <c r="A1801" s="33"/>
      <c r="B1801" s="12"/>
      <c r="C1801" s="12"/>
      <c r="D1801" s="12"/>
      <c r="E1801" s="12"/>
      <c r="G1801" s="14"/>
    </row>
    <row r="1802" spans="1:7" ht="22.5" customHeight="1" x14ac:dyDescent="0.15">
      <c r="A1802" s="33"/>
      <c r="B1802" s="12"/>
      <c r="C1802" s="12"/>
      <c r="D1802" s="12"/>
      <c r="E1802" s="12"/>
      <c r="G1802" s="14"/>
    </row>
    <row r="1803" spans="1:7" ht="22.5" customHeight="1" x14ac:dyDescent="0.15">
      <c r="A1803" s="33"/>
      <c r="B1803" s="12"/>
      <c r="C1803" s="12"/>
      <c r="D1803" s="12"/>
      <c r="E1803" s="12"/>
      <c r="G1803" s="14"/>
    </row>
    <row r="1804" spans="1:7" ht="22.5" customHeight="1" x14ac:dyDescent="0.15">
      <c r="A1804" s="33"/>
      <c r="B1804" s="12"/>
      <c r="C1804" s="12"/>
      <c r="D1804" s="12"/>
      <c r="E1804" s="12"/>
      <c r="G1804" s="14"/>
    </row>
    <row r="1805" spans="1:7" ht="22.5" customHeight="1" x14ac:dyDescent="0.15">
      <c r="A1805" s="33"/>
      <c r="B1805" s="12"/>
      <c r="C1805" s="12"/>
      <c r="D1805" s="12"/>
      <c r="E1805" s="12"/>
      <c r="G1805" s="14"/>
    </row>
    <row r="1806" spans="1:7" ht="22.5" customHeight="1" x14ac:dyDescent="0.15">
      <c r="A1806" s="33"/>
      <c r="B1806" s="12"/>
      <c r="C1806" s="12"/>
      <c r="D1806" s="12"/>
      <c r="E1806" s="12"/>
      <c r="G1806" s="14"/>
    </row>
    <row r="1807" spans="1:7" ht="22.5" customHeight="1" x14ac:dyDescent="0.15">
      <c r="A1807" s="33"/>
      <c r="B1807" s="12"/>
      <c r="C1807" s="12"/>
      <c r="D1807" s="12"/>
      <c r="E1807" s="12"/>
      <c r="G1807" s="14"/>
    </row>
    <row r="1808" spans="1:7" ht="22.5" customHeight="1" x14ac:dyDescent="0.15">
      <c r="A1808" s="33"/>
      <c r="B1808" s="12"/>
      <c r="C1808" s="12"/>
      <c r="D1808" s="12"/>
      <c r="E1808" s="12"/>
      <c r="G1808" s="14"/>
    </row>
    <row r="1809" spans="1:7" ht="22.5" customHeight="1" x14ac:dyDescent="0.15">
      <c r="A1809" s="33"/>
      <c r="B1809" s="12"/>
      <c r="C1809" s="12"/>
      <c r="D1809" s="12"/>
      <c r="E1809" s="12"/>
      <c r="G1809" s="14"/>
    </row>
    <row r="1810" spans="1:7" ht="22.5" customHeight="1" x14ac:dyDescent="0.15">
      <c r="A1810" s="33"/>
      <c r="B1810" s="12"/>
      <c r="C1810" s="12"/>
      <c r="D1810" s="12"/>
      <c r="E1810" s="12"/>
      <c r="G1810" s="14"/>
    </row>
    <row r="1811" spans="1:7" ht="22.5" customHeight="1" x14ac:dyDescent="0.15">
      <c r="A1811" s="33"/>
      <c r="B1811" s="12"/>
      <c r="C1811" s="12"/>
      <c r="D1811" s="12"/>
      <c r="E1811" s="12"/>
      <c r="G1811" s="14"/>
    </row>
    <row r="1812" spans="1:7" ht="22.5" customHeight="1" x14ac:dyDescent="0.15">
      <c r="A1812" s="33"/>
      <c r="B1812" s="12"/>
      <c r="C1812" s="12"/>
      <c r="D1812" s="12"/>
      <c r="E1812" s="12"/>
      <c r="G1812" s="14"/>
    </row>
    <row r="1813" spans="1:7" ht="22.5" customHeight="1" x14ac:dyDescent="0.15">
      <c r="A1813" s="33"/>
      <c r="B1813" s="12"/>
      <c r="C1813" s="12"/>
      <c r="D1813" s="12"/>
      <c r="E1813" s="12"/>
      <c r="G1813" s="14"/>
    </row>
    <row r="1814" spans="1:7" ht="22.5" customHeight="1" x14ac:dyDescent="0.15">
      <c r="A1814" s="33"/>
      <c r="B1814" s="12"/>
      <c r="C1814" s="12"/>
      <c r="D1814" s="12"/>
      <c r="E1814" s="12"/>
      <c r="G1814" s="14"/>
    </row>
    <row r="1815" spans="1:7" ht="22.5" customHeight="1" x14ac:dyDescent="0.15">
      <c r="A1815" s="33"/>
      <c r="B1815" s="12"/>
      <c r="C1815" s="12"/>
      <c r="D1815" s="12"/>
      <c r="E1815" s="12"/>
      <c r="G1815" s="14"/>
    </row>
    <row r="1816" spans="1:7" ht="22.5" customHeight="1" x14ac:dyDescent="0.15">
      <c r="A1816" s="33"/>
      <c r="B1816" s="12"/>
      <c r="C1816" s="12"/>
      <c r="D1816" s="12"/>
      <c r="E1816" s="12"/>
      <c r="G1816" s="14"/>
    </row>
    <row r="1817" spans="1:7" ht="22.5" customHeight="1" x14ac:dyDescent="0.15">
      <c r="A1817" s="33"/>
      <c r="B1817" s="12"/>
      <c r="C1817" s="12"/>
      <c r="D1817" s="12"/>
      <c r="E1817" s="12"/>
      <c r="G1817" s="14"/>
    </row>
    <row r="1818" spans="1:7" ht="22.5" customHeight="1" x14ac:dyDescent="0.15">
      <c r="A1818" s="33"/>
      <c r="B1818" s="12"/>
      <c r="C1818" s="12"/>
      <c r="D1818" s="12"/>
      <c r="E1818" s="12"/>
      <c r="G1818" s="14"/>
    </row>
    <row r="1819" spans="1:7" ht="22.5" customHeight="1" x14ac:dyDescent="0.15">
      <c r="A1819" s="33"/>
      <c r="B1819" s="12"/>
      <c r="C1819" s="12"/>
      <c r="D1819" s="12"/>
      <c r="E1819" s="12"/>
      <c r="G1819" s="14"/>
    </row>
    <row r="1820" spans="1:7" ht="22.5" customHeight="1" x14ac:dyDescent="0.15">
      <c r="A1820" s="33"/>
      <c r="B1820" s="12"/>
      <c r="C1820" s="12"/>
      <c r="D1820" s="12"/>
      <c r="E1820" s="12"/>
      <c r="G1820" s="14"/>
    </row>
    <row r="1821" spans="1:7" ht="22.5" customHeight="1" x14ac:dyDescent="0.15">
      <c r="A1821" s="33"/>
      <c r="B1821" s="12"/>
      <c r="C1821" s="12"/>
      <c r="D1821" s="12"/>
      <c r="E1821" s="12"/>
      <c r="G1821" s="14"/>
    </row>
    <row r="1822" spans="1:7" ht="22.5" customHeight="1" x14ac:dyDescent="0.15">
      <c r="A1822" s="33"/>
      <c r="B1822" s="12"/>
      <c r="C1822" s="12"/>
      <c r="D1822" s="12"/>
      <c r="E1822" s="12"/>
      <c r="G1822" s="14"/>
    </row>
    <row r="1823" spans="1:7" ht="22.5" customHeight="1" x14ac:dyDescent="0.15">
      <c r="A1823" s="33"/>
      <c r="B1823" s="12"/>
      <c r="C1823" s="12"/>
      <c r="D1823" s="12"/>
      <c r="E1823" s="12"/>
      <c r="G1823" s="14"/>
    </row>
    <row r="1824" spans="1:7" ht="22.5" customHeight="1" x14ac:dyDescent="0.15">
      <c r="A1824" s="33"/>
      <c r="B1824" s="12"/>
      <c r="C1824" s="12"/>
      <c r="D1824" s="12"/>
      <c r="E1824" s="12"/>
      <c r="G1824" s="14"/>
    </row>
    <row r="1825" spans="1:7" ht="22.5" customHeight="1" x14ac:dyDescent="0.15">
      <c r="A1825" s="33"/>
      <c r="B1825" s="12"/>
      <c r="C1825" s="12"/>
      <c r="D1825" s="12"/>
      <c r="E1825" s="12"/>
      <c r="G1825" s="14"/>
    </row>
    <row r="1826" spans="1:7" ht="22.5" customHeight="1" x14ac:dyDescent="0.15">
      <c r="A1826" s="33"/>
      <c r="B1826" s="12"/>
      <c r="C1826" s="12"/>
      <c r="D1826" s="12"/>
      <c r="E1826" s="12"/>
      <c r="G1826" s="14"/>
    </row>
    <row r="1827" spans="1:7" ht="22.5" customHeight="1" x14ac:dyDescent="0.15">
      <c r="A1827" s="33"/>
      <c r="B1827" s="12"/>
      <c r="C1827" s="12"/>
      <c r="D1827" s="12"/>
      <c r="E1827" s="12"/>
      <c r="G1827" s="14"/>
    </row>
    <row r="1828" spans="1:7" ht="22.5" customHeight="1" x14ac:dyDescent="0.15">
      <c r="A1828" s="33"/>
      <c r="B1828" s="12"/>
      <c r="C1828" s="12"/>
      <c r="D1828" s="12"/>
      <c r="E1828" s="12"/>
      <c r="G1828" s="14"/>
    </row>
    <row r="1829" spans="1:7" ht="22.5" customHeight="1" x14ac:dyDescent="0.15">
      <c r="A1829" s="33"/>
      <c r="B1829" s="12"/>
      <c r="C1829" s="12"/>
      <c r="D1829" s="12"/>
      <c r="E1829" s="12"/>
      <c r="G1829" s="14"/>
    </row>
    <row r="1830" spans="1:7" ht="22.5" customHeight="1" x14ac:dyDescent="0.15">
      <c r="A1830" s="33"/>
      <c r="B1830" s="12"/>
      <c r="C1830" s="12"/>
      <c r="D1830" s="12"/>
      <c r="E1830" s="12"/>
      <c r="G1830" s="14"/>
    </row>
    <row r="1831" spans="1:7" ht="22.5" customHeight="1" x14ac:dyDescent="0.15">
      <c r="A1831" s="33"/>
      <c r="B1831" s="12"/>
      <c r="C1831" s="12"/>
      <c r="D1831" s="12"/>
      <c r="E1831" s="12"/>
      <c r="G1831" s="14"/>
    </row>
    <row r="1832" spans="1:7" ht="22.5" customHeight="1" x14ac:dyDescent="0.15">
      <c r="A1832" s="33"/>
      <c r="B1832" s="12"/>
      <c r="C1832" s="12"/>
      <c r="D1832" s="12"/>
      <c r="E1832" s="12"/>
      <c r="G1832" s="14"/>
    </row>
    <row r="1833" spans="1:7" ht="22.5" customHeight="1" x14ac:dyDescent="0.15">
      <c r="A1833" s="33"/>
      <c r="B1833" s="12"/>
      <c r="C1833" s="12"/>
      <c r="D1833" s="12"/>
      <c r="E1833" s="12"/>
      <c r="G1833" s="14"/>
    </row>
    <row r="1834" spans="1:7" ht="22.5" customHeight="1" x14ac:dyDescent="0.15">
      <c r="A1834" s="33"/>
      <c r="B1834" s="12"/>
      <c r="C1834" s="12"/>
      <c r="D1834" s="12"/>
      <c r="E1834" s="12"/>
      <c r="G1834" s="14"/>
    </row>
    <row r="1835" spans="1:7" ht="22.5" customHeight="1" x14ac:dyDescent="0.15">
      <c r="A1835" s="33"/>
      <c r="B1835" s="12"/>
      <c r="C1835" s="12"/>
      <c r="D1835" s="12"/>
      <c r="E1835" s="12"/>
      <c r="G1835" s="14"/>
    </row>
    <row r="1836" spans="1:7" ht="22.5" customHeight="1" x14ac:dyDescent="0.15">
      <c r="A1836" s="33"/>
      <c r="B1836" s="12"/>
      <c r="C1836" s="12"/>
      <c r="D1836" s="12"/>
      <c r="E1836" s="12"/>
      <c r="G1836" s="14"/>
    </row>
    <row r="1837" spans="1:7" ht="22.5" customHeight="1" x14ac:dyDescent="0.15">
      <c r="A1837" s="33"/>
      <c r="B1837" s="12"/>
      <c r="C1837" s="12"/>
      <c r="D1837" s="12"/>
      <c r="E1837" s="12"/>
      <c r="G1837" s="14"/>
    </row>
    <row r="1838" spans="1:7" ht="22.5" customHeight="1" x14ac:dyDescent="0.15">
      <c r="A1838" s="33"/>
      <c r="B1838" s="12"/>
      <c r="C1838" s="12"/>
      <c r="D1838" s="12"/>
      <c r="E1838" s="12"/>
      <c r="G1838" s="14"/>
    </row>
    <row r="1839" spans="1:7" ht="22.5" customHeight="1" x14ac:dyDescent="0.15">
      <c r="A1839" s="33"/>
      <c r="B1839" s="12"/>
      <c r="C1839" s="12"/>
      <c r="D1839" s="12"/>
      <c r="E1839" s="12"/>
      <c r="G1839" s="14"/>
    </row>
    <row r="1840" spans="1:7" ht="22.5" customHeight="1" x14ac:dyDescent="0.15">
      <c r="A1840" s="33"/>
      <c r="B1840" s="12"/>
      <c r="C1840" s="12"/>
      <c r="D1840" s="12"/>
      <c r="E1840" s="12"/>
      <c r="G1840" s="14"/>
    </row>
    <row r="1841" spans="1:7" ht="22.5" customHeight="1" x14ac:dyDescent="0.15">
      <c r="A1841" s="33"/>
      <c r="B1841" s="12"/>
      <c r="C1841" s="12"/>
      <c r="D1841" s="12"/>
      <c r="E1841" s="12"/>
      <c r="G1841" s="14"/>
    </row>
    <row r="1842" spans="1:7" ht="22.5" customHeight="1" x14ac:dyDescent="0.15">
      <c r="A1842" s="33"/>
      <c r="B1842" s="12"/>
      <c r="C1842" s="12"/>
      <c r="D1842" s="12"/>
      <c r="E1842" s="12"/>
      <c r="G1842" s="14"/>
    </row>
    <row r="1843" spans="1:7" ht="22.5" customHeight="1" x14ac:dyDescent="0.15">
      <c r="A1843" s="33"/>
      <c r="B1843" s="12"/>
      <c r="C1843" s="12"/>
      <c r="D1843" s="12"/>
      <c r="E1843" s="12"/>
      <c r="G1843" s="14"/>
    </row>
    <row r="1844" spans="1:7" ht="22.5" customHeight="1" x14ac:dyDescent="0.15">
      <c r="A1844" s="33"/>
      <c r="B1844" s="12"/>
      <c r="C1844" s="12"/>
      <c r="D1844" s="12"/>
      <c r="E1844" s="12"/>
      <c r="G1844" s="14"/>
    </row>
    <row r="1845" spans="1:7" ht="22.5" customHeight="1" x14ac:dyDescent="0.15">
      <c r="A1845" s="33"/>
      <c r="B1845" s="12"/>
      <c r="C1845" s="12"/>
      <c r="D1845" s="12"/>
      <c r="E1845" s="12"/>
      <c r="G1845" s="14"/>
    </row>
    <row r="1846" spans="1:7" ht="22.5" customHeight="1" x14ac:dyDescent="0.15">
      <c r="A1846" s="33"/>
      <c r="B1846" s="12"/>
      <c r="C1846" s="12"/>
      <c r="D1846" s="12"/>
      <c r="E1846" s="12"/>
      <c r="G1846" s="14"/>
    </row>
    <row r="1847" spans="1:7" ht="22.5" customHeight="1" x14ac:dyDescent="0.15">
      <c r="A1847" s="33"/>
      <c r="B1847" s="12"/>
      <c r="C1847" s="12"/>
      <c r="D1847" s="12"/>
      <c r="E1847" s="12"/>
      <c r="G1847" s="14"/>
    </row>
    <row r="1848" spans="1:7" ht="22.5" customHeight="1" x14ac:dyDescent="0.15">
      <c r="A1848" s="33"/>
      <c r="B1848" s="12"/>
      <c r="C1848" s="12"/>
      <c r="D1848" s="12"/>
      <c r="E1848" s="12"/>
      <c r="G1848" s="14"/>
    </row>
    <row r="1849" spans="1:7" ht="22.5" customHeight="1" x14ac:dyDescent="0.15">
      <c r="A1849" s="33"/>
      <c r="B1849" s="12"/>
      <c r="C1849" s="12"/>
      <c r="D1849" s="12"/>
      <c r="E1849" s="12"/>
      <c r="G1849" s="14"/>
    </row>
    <row r="1850" spans="1:7" ht="22.5" customHeight="1" x14ac:dyDescent="0.15">
      <c r="A1850" s="33"/>
      <c r="B1850" s="12"/>
      <c r="C1850" s="12"/>
      <c r="D1850" s="12"/>
      <c r="E1850" s="12"/>
      <c r="G1850" s="14"/>
    </row>
    <row r="1851" spans="1:7" ht="22.5" customHeight="1" x14ac:dyDescent="0.15">
      <c r="A1851" s="33"/>
      <c r="B1851" s="12"/>
      <c r="C1851" s="12"/>
      <c r="D1851" s="12"/>
      <c r="E1851" s="12"/>
      <c r="G1851" s="14"/>
    </row>
    <row r="1852" spans="1:7" ht="22.5" customHeight="1" x14ac:dyDescent="0.15">
      <c r="A1852" s="33"/>
      <c r="B1852" s="12"/>
      <c r="C1852" s="12"/>
      <c r="D1852" s="12"/>
      <c r="E1852" s="12"/>
      <c r="G1852" s="14"/>
    </row>
    <row r="1853" spans="1:7" ht="22.5" customHeight="1" x14ac:dyDescent="0.15">
      <c r="A1853" s="33"/>
      <c r="B1853" s="12"/>
      <c r="C1853" s="12"/>
      <c r="D1853" s="12"/>
      <c r="E1853" s="12"/>
      <c r="G1853" s="14"/>
    </row>
    <row r="1854" spans="1:7" ht="22.5" customHeight="1" x14ac:dyDescent="0.15">
      <c r="A1854" s="33"/>
      <c r="B1854" s="12"/>
      <c r="C1854" s="12"/>
      <c r="D1854" s="12"/>
      <c r="E1854" s="12"/>
      <c r="G1854" s="14"/>
    </row>
    <row r="1855" spans="1:7" ht="22.5" customHeight="1" x14ac:dyDescent="0.15">
      <c r="A1855" s="33"/>
      <c r="B1855" s="12"/>
      <c r="C1855" s="12"/>
      <c r="D1855" s="12"/>
      <c r="E1855" s="12"/>
      <c r="G1855" s="14"/>
    </row>
    <row r="1856" spans="1:7" ht="22.5" customHeight="1" x14ac:dyDescent="0.15">
      <c r="A1856" s="33"/>
      <c r="B1856" s="12"/>
      <c r="C1856" s="12"/>
      <c r="D1856" s="12"/>
      <c r="E1856" s="12"/>
      <c r="G1856" s="14"/>
    </row>
    <row r="1857" spans="1:7" ht="22.5" customHeight="1" x14ac:dyDescent="0.15">
      <c r="A1857" s="33"/>
      <c r="B1857" s="12"/>
      <c r="C1857" s="12"/>
      <c r="D1857" s="12"/>
      <c r="E1857" s="12"/>
      <c r="G1857" s="14"/>
    </row>
    <row r="1858" spans="1:7" ht="22.5" customHeight="1" x14ac:dyDescent="0.15">
      <c r="A1858" s="33"/>
      <c r="B1858" s="12"/>
      <c r="C1858" s="12"/>
      <c r="D1858" s="12"/>
      <c r="E1858" s="12"/>
      <c r="G1858" s="14"/>
    </row>
    <row r="1859" spans="1:7" ht="22.5" customHeight="1" x14ac:dyDescent="0.15">
      <c r="A1859" s="33"/>
      <c r="B1859" s="12"/>
      <c r="C1859" s="12"/>
      <c r="D1859" s="12"/>
      <c r="E1859" s="12"/>
      <c r="G1859" s="14"/>
    </row>
    <row r="1860" spans="1:7" ht="22.5" customHeight="1" x14ac:dyDescent="0.15">
      <c r="A1860" s="33"/>
      <c r="B1860" s="12"/>
      <c r="C1860" s="12"/>
      <c r="D1860" s="12"/>
      <c r="E1860" s="12"/>
      <c r="G1860" s="14"/>
    </row>
    <row r="1861" spans="1:7" ht="22.5" customHeight="1" x14ac:dyDescent="0.15">
      <c r="A1861" s="33"/>
      <c r="B1861" s="12"/>
      <c r="C1861" s="12"/>
      <c r="D1861" s="12"/>
      <c r="E1861" s="12"/>
      <c r="G1861" s="14"/>
    </row>
    <row r="1862" spans="1:7" ht="22.5" customHeight="1" x14ac:dyDescent="0.15">
      <c r="A1862" s="33"/>
      <c r="B1862" s="12"/>
      <c r="C1862" s="12"/>
      <c r="D1862" s="12"/>
      <c r="E1862" s="12"/>
      <c r="G1862" s="14"/>
    </row>
    <row r="1863" spans="1:7" ht="22.5" customHeight="1" x14ac:dyDescent="0.15">
      <c r="A1863" s="33"/>
      <c r="B1863" s="12"/>
      <c r="C1863" s="12"/>
      <c r="D1863" s="12"/>
      <c r="E1863" s="12"/>
      <c r="G1863" s="14"/>
    </row>
    <row r="1864" spans="1:7" ht="22.5" customHeight="1" x14ac:dyDescent="0.15">
      <c r="A1864" s="33"/>
      <c r="B1864" s="12"/>
      <c r="C1864" s="12"/>
      <c r="D1864" s="12"/>
      <c r="E1864" s="12"/>
      <c r="G1864" s="14"/>
    </row>
    <row r="1865" spans="1:7" ht="22.5" customHeight="1" x14ac:dyDescent="0.15">
      <c r="A1865" s="33"/>
      <c r="B1865" s="12"/>
      <c r="C1865" s="12"/>
      <c r="D1865" s="12"/>
      <c r="E1865" s="12"/>
      <c r="G1865" s="14"/>
    </row>
    <row r="1866" spans="1:7" ht="22.5" customHeight="1" x14ac:dyDescent="0.15">
      <c r="A1866" s="33"/>
      <c r="B1866" s="12"/>
      <c r="C1866" s="12"/>
      <c r="D1866" s="12"/>
      <c r="E1866" s="12"/>
      <c r="G1866" s="14"/>
    </row>
    <row r="1867" spans="1:7" ht="22.5" customHeight="1" x14ac:dyDescent="0.15">
      <c r="A1867" s="33"/>
      <c r="B1867" s="12"/>
      <c r="C1867" s="12"/>
      <c r="D1867" s="12"/>
      <c r="E1867" s="12"/>
      <c r="G1867" s="14"/>
    </row>
    <row r="1868" spans="1:7" ht="22.5" customHeight="1" x14ac:dyDescent="0.15">
      <c r="A1868" s="33"/>
      <c r="B1868" s="12"/>
      <c r="C1868" s="12"/>
      <c r="D1868" s="12"/>
      <c r="E1868" s="12"/>
      <c r="G1868" s="14"/>
    </row>
    <row r="1869" spans="1:7" ht="22.5" customHeight="1" x14ac:dyDescent="0.15">
      <c r="A1869" s="33"/>
      <c r="B1869" s="12"/>
      <c r="C1869" s="12"/>
      <c r="D1869" s="12"/>
      <c r="E1869" s="12"/>
      <c r="G1869" s="14"/>
    </row>
    <row r="1870" spans="1:7" ht="22.5" customHeight="1" x14ac:dyDescent="0.15">
      <c r="A1870" s="33"/>
      <c r="B1870" s="12"/>
      <c r="C1870" s="12"/>
      <c r="D1870" s="12"/>
      <c r="E1870" s="12"/>
      <c r="G1870" s="14"/>
    </row>
    <row r="1871" spans="1:7" ht="22.5" customHeight="1" x14ac:dyDescent="0.15">
      <c r="A1871" s="33"/>
      <c r="B1871" s="12"/>
      <c r="C1871" s="12"/>
      <c r="D1871" s="12"/>
      <c r="E1871" s="12"/>
      <c r="G1871" s="14"/>
    </row>
    <row r="1872" spans="1:7" ht="22.5" customHeight="1" x14ac:dyDescent="0.15">
      <c r="A1872" s="33"/>
      <c r="B1872" s="12"/>
      <c r="C1872" s="12"/>
      <c r="D1872" s="12"/>
      <c r="E1872" s="12"/>
      <c r="G1872" s="14"/>
    </row>
    <row r="1873" spans="1:7" ht="22.5" customHeight="1" x14ac:dyDescent="0.15">
      <c r="A1873" s="33"/>
      <c r="B1873" s="12"/>
      <c r="C1873" s="12"/>
      <c r="D1873" s="12"/>
      <c r="E1873" s="12"/>
      <c r="G1873" s="14"/>
    </row>
    <row r="1874" spans="1:7" ht="22.5" customHeight="1" x14ac:dyDescent="0.15">
      <c r="A1874" s="33"/>
      <c r="B1874" s="12"/>
      <c r="C1874" s="12"/>
      <c r="D1874" s="12"/>
      <c r="E1874" s="12"/>
      <c r="G1874" s="14"/>
    </row>
    <row r="1875" spans="1:7" ht="22.5" customHeight="1" x14ac:dyDescent="0.15">
      <c r="A1875" s="33"/>
      <c r="B1875" s="12"/>
      <c r="C1875" s="12"/>
      <c r="D1875" s="12"/>
      <c r="E1875" s="12"/>
      <c r="G1875" s="14"/>
    </row>
    <row r="1876" spans="1:7" ht="22.5" customHeight="1" x14ac:dyDescent="0.15">
      <c r="A1876" s="33"/>
      <c r="B1876" s="12"/>
      <c r="C1876" s="12"/>
      <c r="D1876" s="12"/>
      <c r="E1876" s="12"/>
      <c r="G1876" s="14"/>
    </row>
    <row r="1877" spans="1:7" ht="22.5" customHeight="1" x14ac:dyDescent="0.15">
      <c r="A1877" s="33"/>
      <c r="B1877" s="12"/>
      <c r="C1877" s="12"/>
      <c r="D1877" s="12"/>
      <c r="E1877" s="12"/>
      <c r="G1877" s="14"/>
    </row>
    <row r="1878" spans="1:7" ht="22.5" customHeight="1" x14ac:dyDescent="0.15">
      <c r="A1878" s="33"/>
      <c r="B1878" s="12"/>
      <c r="C1878" s="12"/>
      <c r="D1878" s="12"/>
      <c r="E1878" s="12"/>
      <c r="G1878" s="14"/>
    </row>
    <row r="1879" spans="1:7" ht="22.5" customHeight="1" x14ac:dyDescent="0.15">
      <c r="A1879" s="33"/>
      <c r="B1879" s="12"/>
      <c r="C1879" s="12"/>
      <c r="D1879" s="12"/>
      <c r="E1879" s="12"/>
      <c r="G1879" s="14"/>
    </row>
    <row r="1880" spans="1:7" ht="22.5" customHeight="1" x14ac:dyDescent="0.15">
      <c r="A1880" s="33"/>
      <c r="B1880" s="12"/>
      <c r="C1880" s="12"/>
      <c r="D1880" s="12"/>
      <c r="E1880" s="12"/>
      <c r="G1880" s="14"/>
    </row>
    <row r="1881" spans="1:7" ht="22.5" customHeight="1" x14ac:dyDescent="0.15">
      <c r="A1881" s="33"/>
      <c r="B1881" s="12"/>
      <c r="C1881" s="12"/>
      <c r="D1881" s="12"/>
      <c r="E1881" s="12"/>
      <c r="G1881" s="14"/>
    </row>
    <row r="1882" spans="1:7" ht="22.5" customHeight="1" x14ac:dyDescent="0.15">
      <c r="A1882" s="33"/>
      <c r="B1882" s="12"/>
      <c r="C1882" s="12"/>
      <c r="D1882" s="12"/>
      <c r="E1882" s="12"/>
      <c r="G1882" s="14"/>
    </row>
    <row r="1883" spans="1:7" ht="22.5" customHeight="1" x14ac:dyDescent="0.15">
      <c r="A1883" s="33"/>
      <c r="B1883" s="12"/>
      <c r="C1883" s="12"/>
      <c r="D1883" s="12"/>
      <c r="E1883" s="12"/>
      <c r="G1883" s="14"/>
    </row>
    <row r="1884" spans="1:7" ht="22.5" customHeight="1" x14ac:dyDescent="0.15">
      <c r="A1884" s="33"/>
      <c r="B1884" s="12"/>
      <c r="C1884" s="12"/>
      <c r="D1884" s="12"/>
      <c r="E1884" s="12"/>
      <c r="G1884" s="14"/>
    </row>
    <row r="1885" spans="1:7" ht="22.5" customHeight="1" x14ac:dyDescent="0.15">
      <c r="A1885" s="33"/>
      <c r="B1885" s="12"/>
      <c r="C1885" s="12"/>
      <c r="D1885" s="12"/>
      <c r="E1885" s="12"/>
      <c r="G1885" s="14"/>
    </row>
    <row r="1886" spans="1:7" ht="22.5" customHeight="1" x14ac:dyDescent="0.15">
      <c r="A1886" s="33"/>
      <c r="B1886" s="12"/>
      <c r="C1886" s="12"/>
      <c r="D1886" s="12"/>
      <c r="E1886" s="12"/>
      <c r="G1886" s="14"/>
    </row>
    <row r="1887" spans="1:7" ht="22.5" customHeight="1" x14ac:dyDescent="0.15">
      <c r="A1887" s="33"/>
      <c r="B1887" s="12"/>
      <c r="C1887" s="12"/>
      <c r="D1887" s="12"/>
      <c r="E1887" s="12"/>
      <c r="G1887" s="14"/>
    </row>
    <row r="1888" spans="1:7" ht="22.5" customHeight="1" x14ac:dyDescent="0.15">
      <c r="A1888" s="33"/>
      <c r="B1888" s="12"/>
      <c r="C1888" s="12"/>
      <c r="D1888" s="12"/>
      <c r="E1888" s="12"/>
      <c r="G1888" s="14"/>
    </row>
    <row r="1889" spans="1:7" ht="22.5" customHeight="1" x14ac:dyDescent="0.15">
      <c r="A1889" s="33"/>
      <c r="B1889" s="12"/>
      <c r="C1889" s="12"/>
      <c r="D1889" s="12"/>
      <c r="E1889" s="12"/>
      <c r="G1889" s="14"/>
    </row>
    <row r="1890" spans="1:7" ht="22.5" customHeight="1" x14ac:dyDescent="0.15">
      <c r="A1890" s="33"/>
      <c r="B1890" s="12"/>
      <c r="C1890" s="12"/>
      <c r="D1890" s="12"/>
      <c r="E1890" s="12"/>
      <c r="G1890" s="14"/>
    </row>
    <row r="1891" spans="1:7" ht="22.5" customHeight="1" x14ac:dyDescent="0.15">
      <c r="A1891" s="33"/>
      <c r="B1891" s="12"/>
      <c r="C1891" s="12"/>
      <c r="D1891" s="12"/>
      <c r="E1891" s="12"/>
      <c r="G1891" s="14"/>
    </row>
    <row r="1892" spans="1:7" ht="22.5" customHeight="1" x14ac:dyDescent="0.15">
      <c r="A1892" s="33"/>
      <c r="B1892" s="12"/>
      <c r="C1892" s="12"/>
      <c r="D1892" s="12"/>
      <c r="E1892" s="12"/>
      <c r="G1892" s="14"/>
    </row>
    <row r="1893" spans="1:7" ht="22.5" customHeight="1" x14ac:dyDescent="0.15">
      <c r="A1893" s="33"/>
      <c r="B1893" s="12"/>
      <c r="C1893" s="12"/>
      <c r="D1893" s="12"/>
      <c r="E1893" s="12"/>
      <c r="G1893" s="14"/>
    </row>
    <row r="1894" spans="1:7" ht="22.5" customHeight="1" x14ac:dyDescent="0.15">
      <c r="A1894" s="33"/>
      <c r="B1894" s="12"/>
      <c r="C1894" s="12"/>
      <c r="D1894" s="12"/>
      <c r="E1894" s="12"/>
      <c r="G1894" s="14"/>
    </row>
    <row r="1895" spans="1:7" ht="22.5" customHeight="1" x14ac:dyDescent="0.15">
      <c r="A1895" s="33"/>
      <c r="B1895" s="12"/>
      <c r="C1895" s="12"/>
      <c r="D1895" s="12"/>
      <c r="E1895" s="12"/>
      <c r="G1895" s="14"/>
    </row>
    <row r="1896" spans="1:7" ht="22.5" customHeight="1" x14ac:dyDescent="0.15">
      <c r="A1896" s="33"/>
      <c r="B1896" s="12"/>
      <c r="C1896" s="12"/>
      <c r="D1896" s="12"/>
      <c r="E1896" s="12"/>
      <c r="G1896" s="14"/>
    </row>
    <row r="1897" spans="1:7" ht="22.5" customHeight="1" x14ac:dyDescent="0.15">
      <c r="A1897" s="33"/>
      <c r="B1897" s="12"/>
      <c r="C1897" s="12"/>
      <c r="D1897" s="12"/>
      <c r="E1897" s="12"/>
      <c r="G1897" s="14"/>
    </row>
    <row r="1898" spans="1:7" ht="22.5" customHeight="1" x14ac:dyDescent="0.15">
      <c r="A1898" s="33"/>
      <c r="B1898" s="12"/>
      <c r="C1898" s="12"/>
      <c r="D1898" s="12"/>
      <c r="E1898" s="12"/>
      <c r="G1898" s="14"/>
    </row>
    <row r="1899" spans="1:7" ht="22.5" customHeight="1" x14ac:dyDescent="0.15">
      <c r="A1899" s="33"/>
      <c r="B1899" s="12"/>
      <c r="C1899" s="12"/>
      <c r="D1899" s="12"/>
      <c r="E1899" s="12"/>
      <c r="G1899" s="14"/>
    </row>
    <row r="1900" spans="1:7" ht="22.5" customHeight="1" x14ac:dyDescent="0.15">
      <c r="A1900" s="33"/>
      <c r="B1900" s="12"/>
      <c r="C1900" s="12"/>
      <c r="D1900" s="12"/>
      <c r="E1900" s="12"/>
      <c r="G1900" s="14"/>
    </row>
    <row r="1901" spans="1:7" ht="22.5" customHeight="1" x14ac:dyDescent="0.15">
      <c r="A1901" s="33"/>
      <c r="B1901" s="12"/>
      <c r="C1901" s="12"/>
      <c r="D1901" s="12"/>
      <c r="E1901" s="12"/>
      <c r="G1901" s="14"/>
    </row>
    <row r="1902" spans="1:7" ht="22.5" customHeight="1" x14ac:dyDescent="0.15">
      <c r="A1902" s="33"/>
      <c r="B1902" s="12"/>
      <c r="C1902" s="12"/>
      <c r="D1902" s="12"/>
      <c r="E1902" s="12"/>
      <c r="G1902" s="14"/>
    </row>
    <row r="1903" spans="1:7" ht="22.5" customHeight="1" x14ac:dyDescent="0.15">
      <c r="A1903" s="33"/>
      <c r="B1903" s="12"/>
      <c r="C1903" s="12"/>
      <c r="D1903" s="12"/>
      <c r="E1903" s="12"/>
      <c r="G1903" s="14"/>
    </row>
    <row r="1904" spans="1:7" ht="22.5" customHeight="1" x14ac:dyDescent="0.15">
      <c r="A1904" s="33"/>
      <c r="B1904" s="12"/>
      <c r="C1904" s="12"/>
      <c r="D1904" s="12"/>
      <c r="E1904" s="12"/>
      <c r="G1904" s="14"/>
    </row>
    <row r="1905" spans="1:7" ht="22.5" customHeight="1" x14ac:dyDescent="0.15">
      <c r="A1905" s="33"/>
      <c r="B1905" s="12"/>
      <c r="C1905" s="12"/>
      <c r="D1905" s="12"/>
      <c r="E1905" s="12"/>
      <c r="G1905" s="14"/>
    </row>
    <row r="1906" spans="1:7" ht="22.5" customHeight="1" x14ac:dyDescent="0.15">
      <c r="A1906" s="33"/>
      <c r="B1906" s="12"/>
      <c r="C1906" s="12"/>
      <c r="D1906" s="12"/>
      <c r="E1906" s="12"/>
      <c r="G1906" s="14"/>
    </row>
    <row r="1907" spans="1:7" ht="22.5" customHeight="1" x14ac:dyDescent="0.15">
      <c r="A1907" s="33"/>
      <c r="B1907" s="12"/>
      <c r="C1907" s="12"/>
      <c r="D1907" s="12"/>
      <c r="E1907" s="12"/>
      <c r="G1907" s="14"/>
    </row>
    <row r="1908" spans="1:7" ht="22.5" customHeight="1" x14ac:dyDescent="0.15">
      <c r="A1908" s="33"/>
      <c r="B1908" s="12"/>
      <c r="C1908" s="12"/>
      <c r="D1908" s="12"/>
      <c r="E1908" s="12"/>
      <c r="G1908" s="14"/>
    </row>
    <row r="1909" spans="1:7" ht="22.5" customHeight="1" x14ac:dyDescent="0.15">
      <c r="A1909" s="33"/>
      <c r="B1909" s="12"/>
      <c r="C1909" s="12"/>
      <c r="D1909" s="12"/>
      <c r="E1909" s="12"/>
      <c r="G1909" s="14"/>
    </row>
    <row r="1910" spans="1:7" ht="22.5" customHeight="1" x14ac:dyDescent="0.15">
      <c r="A1910" s="33"/>
      <c r="B1910" s="12"/>
      <c r="C1910" s="12"/>
      <c r="D1910" s="12"/>
      <c r="E1910" s="12"/>
      <c r="G1910" s="14"/>
    </row>
    <row r="1911" spans="1:7" ht="22.5" customHeight="1" x14ac:dyDescent="0.15">
      <c r="A1911" s="33"/>
      <c r="B1911" s="12"/>
      <c r="C1911" s="12"/>
      <c r="D1911" s="12"/>
      <c r="E1911" s="12"/>
      <c r="G1911" s="14"/>
    </row>
    <row r="1912" spans="1:7" ht="22.5" customHeight="1" x14ac:dyDescent="0.15">
      <c r="A1912" s="33"/>
      <c r="B1912" s="12"/>
      <c r="C1912" s="12"/>
      <c r="D1912" s="12"/>
      <c r="E1912" s="12"/>
      <c r="G1912" s="14"/>
    </row>
    <row r="1913" spans="1:7" ht="22.5" customHeight="1" x14ac:dyDescent="0.15">
      <c r="A1913" s="33"/>
      <c r="B1913" s="12"/>
      <c r="C1913" s="12"/>
      <c r="D1913" s="12"/>
      <c r="E1913" s="12"/>
      <c r="G1913" s="14"/>
    </row>
    <row r="1914" spans="1:7" ht="22.5" customHeight="1" x14ac:dyDescent="0.15">
      <c r="A1914" s="33"/>
      <c r="B1914" s="12"/>
      <c r="C1914" s="12"/>
      <c r="D1914" s="12"/>
      <c r="E1914" s="12"/>
      <c r="G1914" s="14"/>
    </row>
    <row r="1915" spans="1:7" ht="22.5" customHeight="1" x14ac:dyDescent="0.15">
      <c r="A1915" s="33"/>
      <c r="B1915" s="12"/>
      <c r="C1915" s="12"/>
      <c r="D1915" s="12"/>
      <c r="E1915" s="12"/>
      <c r="G1915" s="14"/>
    </row>
    <row r="1916" spans="1:7" ht="22.5" customHeight="1" x14ac:dyDescent="0.15">
      <c r="A1916" s="33"/>
      <c r="B1916" s="12"/>
      <c r="C1916" s="12"/>
      <c r="D1916" s="12"/>
      <c r="E1916" s="12"/>
      <c r="G1916" s="14"/>
    </row>
    <row r="1917" spans="1:7" ht="22.5" customHeight="1" x14ac:dyDescent="0.15">
      <c r="A1917" s="33"/>
      <c r="B1917" s="12"/>
      <c r="C1917" s="12"/>
      <c r="D1917" s="12"/>
      <c r="E1917" s="12"/>
      <c r="G1917" s="14"/>
    </row>
    <row r="1918" spans="1:7" ht="22.5" customHeight="1" x14ac:dyDescent="0.15">
      <c r="A1918" s="33"/>
      <c r="B1918" s="12"/>
      <c r="C1918" s="12"/>
      <c r="D1918" s="12"/>
      <c r="E1918" s="12"/>
      <c r="G1918" s="14"/>
    </row>
    <row r="1919" spans="1:7" ht="22.5" customHeight="1" x14ac:dyDescent="0.15">
      <c r="A1919" s="33"/>
      <c r="B1919" s="12"/>
      <c r="C1919" s="12"/>
      <c r="D1919" s="12"/>
      <c r="E1919" s="12"/>
      <c r="G1919" s="14"/>
    </row>
    <row r="1920" spans="1:7" ht="22.5" customHeight="1" x14ac:dyDescent="0.15">
      <c r="A1920" s="33"/>
      <c r="B1920" s="12"/>
      <c r="C1920" s="12"/>
      <c r="D1920" s="12"/>
      <c r="E1920" s="12"/>
      <c r="G1920" s="14"/>
    </row>
    <row r="1921" spans="1:7" ht="22.5" customHeight="1" x14ac:dyDescent="0.15">
      <c r="A1921" s="33"/>
      <c r="B1921" s="12"/>
      <c r="C1921" s="12"/>
      <c r="D1921" s="12"/>
      <c r="E1921" s="12"/>
      <c r="G1921" s="14"/>
    </row>
    <row r="1922" spans="1:7" ht="22.5" customHeight="1" x14ac:dyDescent="0.15">
      <c r="A1922" s="33"/>
      <c r="B1922" s="12"/>
      <c r="C1922" s="12"/>
      <c r="D1922" s="12"/>
      <c r="E1922" s="12"/>
      <c r="G1922" s="14"/>
    </row>
    <row r="1923" spans="1:7" ht="22.5" customHeight="1" x14ac:dyDescent="0.15">
      <c r="A1923" s="33"/>
      <c r="B1923" s="12"/>
      <c r="C1923" s="12"/>
      <c r="D1923" s="12"/>
      <c r="E1923" s="12"/>
      <c r="G1923" s="14"/>
    </row>
    <row r="1924" spans="1:7" ht="22.5" customHeight="1" x14ac:dyDescent="0.15">
      <c r="A1924" s="33"/>
      <c r="B1924" s="12"/>
      <c r="C1924" s="12"/>
      <c r="D1924" s="12"/>
      <c r="E1924" s="12"/>
      <c r="G1924" s="14"/>
    </row>
    <row r="1925" spans="1:7" ht="22.5" customHeight="1" x14ac:dyDescent="0.15">
      <c r="A1925" s="33"/>
      <c r="B1925" s="12"/>
      <c r="C1925" s="12"/>
      <c r="D1925" s="12"/>
      <c r="E1925" s="12"/>
      <c r="G1925" s="14"/>
    </row>
    <row r="1926" spans="1:7" ht="22.5" customHeight="1" x14ac:dyDescent="0.15">
      <c r="A1926" s="33"/>
      <c r="B1926" s="12"/>
      <c r="C1926" s="12"/>
      <c r="D1926" s="12"/>
      <c r="E1926" s="12"/>
      <c r="G1926" s="14"/>
    </row>
    <row r="1927" spans="1:7" ht="22.5" customHeight="1" x14ac:dyDescent="0.15">
      <c r="A1927" s="33"/>
      <c r="B1927" s="12"/>
      <c r="C1927" s="12"/>
      <c r="D1927" s="12"/>
      <c r="E1927" s="12"/>
      <c r="G1927" s="14"/>
    </row>
    <row r="1928" spans="1:7" ht="22.5" customHeight="1" x14ac:dyDescent="0.15">
      <c r="A1928" s="33"/>
      <c r="B1928" s="12"/>
      <c r="C1928" s="12"/>
      <c r="D1928" s="12"/>
      <c r="E1928" s="12"/>
      <c r="G1928" s="14"/>
    </row>
    <row r="1929" spans="1:7" ht="22.5" customHeight="1" x14ac:dyDescent="0.15">
      <c r="A1929" s="33"/>
      <c r="B1929" s="12"/>
      <c r="C1929" s="12"/>
      <c r="D1929" s="12"/>
      <c r="E1929" s="12"/>
      <c r="G1929" s="14"/>
    </row>
    <row r="1930" spans="1:7" ht="22.5" customHeight="1" x14ac:dyDescent="0.15">
      <c r="A1930" s="33"/>
      <c r="B1930" s="12"/>
      <c r="C1930" s="12"/>
      <c r="D1930" s="12"/>
      <c r="E1930" s="12"/>
      <c r="G1930" s="14"/>
    </row>
    <row r="1931" spans="1:7" ht="22.5" customHeight="1" x14ac:dyDescent="0.15">
      <c r="A1931" s="33"/>
      <c r="B1931" s="12"/>
      <c r="C1931" s="12"/>
      <c r="D1931" s="12"/>
      <c r="E1931" s="12"/>
      <c r="G1931" s="14"/>
    </row>
    <row r="1932" spans="1:7" ht="22.5" customHeight="1" x14ac:dyDescent="0.15">
      <c r="A1932" s="33"/>
      <c r="B1932" s="12"/>
      <c r="C1932" s="12"/>
      <c r="D1932" s="12"/>
      <c r="E1932" s="12"/>
      <c r="G1932" s="14"/>
    </row>
    <row r="1933" spans="1:7" ht="22.5" customHeight="1" x14ac:dyDescent="0.15">
      <c r="A1933" s="33"/>
      <c r="B1933" s="12"/>
      <c r="C1933" s="12"/>
      <c r="D1933" s="12"/>
      <c r="E1933" s="12"/>
      <c r="G1933" s="14"/>
    </row>
    <row r="1934" spans="1:7" ht="22.5" customHeight="1" x14ac:dyDescent="0.15">
      <c r="A1934" s="33"/>
      <c r="B1934" s="12"/>
      <c r="C1934" s="12"/>
      <c r="D1934" s="12"/>
      <c r="E1934" s="12"/>
      <c r="G1934" s="14"/>
    </row>
    <row r="1935" spans="1:7" ht="22.5" customHeight="1" x14ac:dyDescent="0.15">
      <c r="A1935" s="33"/>
      <c r="B1935" s="12"/>
      <c r="C1935" s="12"/>
      <c r="D1935" s="12"/>
      <c r="E1935" s="12"/>
      <c r="G1935" s="14"/>
    </row>
    <row r="1936" spans="1:7" ht="22.5" customHeight="1" x14ac:dyDescent="0.15">
      <c r="A1936" s="33"/>
      <c r="B1936" s="12"/>
      <c r="C1936" s="12"/>
      <c r="D1936" s="12"/>
      <c r="E1936" s="12"/>
      <c r="G1936" s="14"/>
    </row>
    <row r="1937" spans="1:7" ht="22.5" customHeight="1" x14ac:dyDescent="0.15">
      <c r="A1937" s="33"/>
      <c r="B1937" s="12"/>
      <c r="C1937" s="12"/>
      <c r="D1937" s="12"/>
      <c r="E1937" s="12"/>
      <c r="G1937" s="14"/>
    </row>
    <row r="1938" spans="1:7" ht="22.5" customHeight="1" x14ac:dyDescent="0.15">
      <c r="A1938" s="33"/>
      <c r="B1938" s="12"/>
      <c r="C1938" s="12"/>
      <c r="D1938" s="12"/>
      <c r="E1938" s="12"/>
      <c r="G1938" s="14"/>
    </row>
    <row r="1939" spans="1:7" ht="22.5" customHeight="1" x14ac:dyDescent="0.15">
      <c r="A1939" s="33"/>
      <c r="B1939" s="12"/>
      <c r="C1939" s="12"/>
      <c r="D1939" s="12"/>
      <c r="E1939" s="12"/>
      <c r="G1939" s="14"/>
    </row>
    <row r="1940" spans="1:7" ht="22.5" customHeight="1" x14ac:dyDescent="0.15">
      <c r="A1940" s="33"/>
      <c r="B1940" s="12"/>
      <c r="C1940" s="12"/>
      <c r="D1940" s="12"/>
      <c r="E1940" s="12"/>
      <c r="G1940" s="14"/>
    </row>
    <row r="1941" spans="1:7" ht="22.5" customHeight="1" x14ac:dyDescent="0.15">
      <c r="A1941" s="33"/>
      <c r="B1941" s="12"/>
      <c r="C1941" s="12"/>
      <c r="D1941" s="12"/>
      <c r="E1941" s="12"/>
      <c r="G1941" s="14"/>
    </row>
    <row r="1942" spans="1:7" ht="22.5" customHeight="1" x14ac:dyDescent="0.15">
      <c r="A1942" s="33"/>
      <c r="B1942" s="12"/>
      <c r="C1942" s="12"/>
      <c r="D1942" s="12"/>
      <c r="E1942" s="12"/>
      <c r="G1942" s="14"/>
    </row>
    <row r="1943" spans="1:7" ht="22.5" customHeight="1" x14ac:dyDescent="0.15">
      <c r="A1943" s="33"/>
      <c r="B1943" s="12"/>
      <c r="C1943" s="12"/>
      <c r="D1943" s="12"/>
      <c r="E1943" s="12"/>
      <c r="G1943" s="14"/>
    </row>
    <row r="1944" spans="1:7" ht="22.5" customHeight="1" x14ac:dyDescent="0.15">
      <c r="A1944" s="33"/>
      <c r="B1944" s="12"/>
      <c r="C1944" s="12"/>
      <c r="D1944" s="12"/>
      <c r="E1944" s="12"/>
      <c r="G1944" s="14"/>
    </row>
    <row r="1945" spans="1:7" ht="22.5" customHeight="1" x14ac:dyDescent="0.15">
      <c r="A1945" s="33"/>
      <c r="B1945" s="12"/>
      <c r="C1945" s="12"/>
      <c r="D1945" s="12"/>
      <c r="E1945" s="12"/>
      <c r="G1945" s="14"/>
    </row>
    <row r="1946" spans="1:7" ht="22.5" customHeight="1" x14ac:dyDescent="0.15">
      <c r="A1946" s="33"/>
      <c r="B1946" s="12"/>
      <c r="C1946" s="12"/>
      <c r="D1946" s="12"/>
      <c r="E1946" s="12"/>
      <c r="G1946" s="14"/>
    </row>
    <row r="1947" spans="1:7" ht="22.5" customHeight="1" x14ac:dyDescent="0.15">
      <c r="A1947" s="33"/>
      <c r="B1947" s="12"/>
      <c r="C1947" s="12"/>
      <c r="D1947" s="12"/>
      <c r="E1947" s="12"/>
      <c r="G1947" s="14"/>
    </row>
    <row r="1948" spans="1:7" ht="22.5" customHeight="1" x14ac:dyDescent="0.15">
      <c r="A1948" s="33"/>
      <c r="B1948" s="12"/>
      <c r="C1948" s="12"/>
      <c r="D1948" s="12"/>
      <c r="E1948" s="12"/>
      <c r="G1948" s="14"/>
    </row>
    <row r="1949" spans="1:7" ht="22.5" customHeight="1" x14ac:dyDescent="0.15">
      <c r="A1949" s="33"/>
      <c r="B1949" s="12"/>
      <c r="C1949" s="12"/>
      <c r="D1949" s="12"/>
      <c r="E1949" s="12"/>
      <c r="G1949" s="14"/>
    </row>
    <row r="1950" spans="1:7" ht="22.5" customHeight="1" x14ac:dyDescent="0.15">
      <c r="A1950" s="33"/>
      <c r="B1950" s="12"/>
      <c r="C1950" s="12"/>
      <c r="D1950" s="12"/>
      <c r="E1950" s="12"/>
      <c r="G1950" s="14"/>
    </row>
    <row r="1951" spans="1:7" ht="22.5" customHeight="1" x14ac:dyDescent="0.15">
      <c r="A1951" s="33"/>
      <c r="B1951" s="12"/>
      <c r="C1951" s="12"/>
      <c r="D1951" s="12"/>
      <c r="E1951" s="12"/>
      <c r="G1951" s="14"/>
    </row>
    <row r="1952" spans="1:7" ht="22.5" customHeight="1" x14ac:dyDescent="0.15">
      <c r="A1952" s="33"/>
      <c r="B1952" s="12"/>
      <c r="C1952" s="12"/>
      <c r="D1952" s="12"/>
      <c r="E1952" s="12"/>
      <c r="G1952" s="14"/>
    </row>
    <row r="1953" spans="1:7" ht="22.5" customHeight="1" x14ac:dyDescent="0.15">
      <c r="A1953" s="33"/>
      <c r="B1953" s="12"/>
      <c r="C1953" s="12"/>
      <c r="D1953" s="12"/>
      <c r="E1953" s="12"/>
      <c r="G1953" s="14"/>
    </row>
    <row r="1954" spans="1:7" ht="22.5" customHeight="1" x14ac:dyDescent="0.15">
      <c r="A1954" s="33"/>
      <c r="B1954" s="12"/>
      <c r="C1954" s="12"/>
      <c r="D1954" s="12"/>
      <c r="E1954" s="12"/>
      <c r="G1954" s="14"/>
    </row>
    <row r="1955" spans="1:7" ht="22.5" customHeight="1" x14ac:dyDescent="0.15">
      <c r="A1955" s="33"/>
      <c r="B1955" s="12"/>
      <c r="C1955" s="12"/>
      <c r="D1955" s="12"/>
      <c r="E1955" s="12"/>
      <c r="G1955" s="14"/>
    </row>
    <row r="1956" spans="1:7" ht="22.5" customHeight="1" x14ac:dyDescent="0.15">
      <c r="A1956" s="33"/>
      <c r="B1956" s="12"/>
      <c r="C1956" s="12"/>
      <c r="D1956" s="12"/>
      <c r="E1956" s="12"/>
      <c r="G1956" s="14"/>
    </row>
    <row r="1957" spans="1:7" ht="22.5" customHeight="1" x14ac:dyDescent="0.15">
      <c r="A1957" s="33"/>
      <c r="B1957" s="12"/>
      <c r="C1957" s="12"/>
      <c r="D1957" s="12"/>
      <c r="E1957" s="12"/>
      <c r="G1957" s="14"/>
    </row>
    <row r="1958" spans="1:7" ht="22.5" customHeight="1" x14ac:dyDescent="0.15">
      <c r="A1958" s="33"/>
      <c r="B1958" s="12"/>
      <c r="C1958" s="12"/>
      <c r="D1958" s="12"/>
      <c r="E1958" s="12"/>
      <c r="G1958" s="14"/>
    </row>
    <row r="1959" spans="1:7" ht="22.5" customHeight="1" x14ac:dyDescent="0.15">
      <c r="A1959" s="33"/>
      <c r="B1959" s="12"/>
      <c r="C1959" s="12"/>
      <c r="D1959" s="12"/>
      <c r="E1959" s="12"/>
      <c r="G1959" s="14"/>
    </row>
    <row r="1960" spans="1:7" ht="22.5" customHeight="1" x14ac:dyDescent="0.15">
      <c r="A1960" s="33"/>
      <c r="B1960" s="12"/>
      <c r="C1960" s="12"/>
      <c r="D1960" s="12"/>
      <c r="E1960" s="12"/>
      <c r="G1960" s="14"/>
    </row>
    <row r="1961" spans="1:7" ht="22.5" customHeight="1" x14ac:dyDescent="0.15">
      <c r="A1961" s="33"/>
      <c r="B1961" s="12"/>
      <c r="C1961" s="12"/>
      <c r="D1961" s="12"/>
      <c r="E1961" s="12"/>
      <c r="G1961" s="14"/>
    </row>
    <row r="1962" spans="1:7" ht="22.5" customHeight="1" x14ac:dyDescent="0.15">
      <c r="A1962" s="33"/>
      <c r="B1962" s="12"/>
      <c r="C1962" s="12"/>
      <c r="D1962" s="12"/>
      <c r="E1962" s="12"/>
      <c r="G1962" s="14"/>
    </row>
    <row r="1963" spans="1:7" ht="22.5" customHeight="1" x14ac:dyDescent="0.15">
      <c r="A1963" s="33"/>
      <c r="B1963" s="12"/>
      <c r="C1963" s="12"/>
      <c r="D1963" s="12"/>
      <c r="E1963" s="12"/>
      <c r="G1963" s="14"/>
    </row>
    <row r="1964" spans="1:7" ht="22.5" customHeight="1" x14ac:dyDescent="0.15">
      <c r="A1964" s="33"/>
      <c r="B1964" s="12"/>
      <c r="C1964" s="12"/>
      <c r="D1964" s="12"/>
      <c r="E1964" s="12"/>
      <c r="G1964" s="14"/>
    </row>
    <row r="1965" spans="1:7" ht="22.5" customHeight="1" x14ac:dyDescent="0.15">
      <c r="A1965" s="33"/>
      <c r="B1965" s="12"/>
      <c r="C1965" s="12"/>
      <c r="D1965" s="12"/>
      <c r="E1965" s="12"/>
      <c r="G1965" s="14"/>
    </row>
    <row r="1966" spans="1:7" ht="22.5" customHeight="1" x14ac:dyDescent="0.15">
      <c r="A1966" s="33"/>
      <c r="B1966" s="12"/>
      <c r="C1966" s="12"/>
      <c r="D1966" s="12"/>
      <c r="E1966" s="12"/>
      <c r="G1966" s="14"/>
    </row>
    <row r="1967" spans="1:7" ht="22.5" customHeight="1" x14ac:dyDescent="0.15">
      <c r="A1967" s="33"/>
      <c r="B1967" s="12"/>
      <c r="C1967" s="12"/>
      <c r="D1967" s="12"/>
      <c r="E1967" s="12"/>
      <c r="G1967" s="14"/>
    </row>
    <row r="1968" spans="1:7" ht="22.5" customHeight="1" x14ac:dyDescent="0.15">
      <c r="A1968" s="33"/>
      <c r="B1968" s="12"/>
      <c r="C1968" s="12"/>
      <c r="D1968" s="12"/>
      <c r="E1968" s="12"/>
      <c r="G1968" s="14"/>
    </row>
    <row r="1969" spans="1:7" ht="22.5" customHeight="1" x14ac:dyDescent="0.15">
      <c r="A1969" s="33"/>
      <c r="B1969" s="12"/>
      <c r="C1969" s="12"/>
      <c r="D1969" s="12"/>
      <c r="E1969" s="12"/>
      <c r="G1969" s="14"/>
    </row>
    <row r="1970" spans="1:7" ht="22.5" customHeight="1" x14ac:dyDescent="0.15">
      <c r="A1970" s="33"/>
      <c r="B1970" s="12"/>
      <c r="C1970" s="12"/>
      <c r="D1970" s="12"/>
      <c r="E1970" s="12"/>
      <c r="G1970" s="14"/>
    </row>
    <row r="1971" spans="1:7" ht="22.5" customHeight="1" x14ac:dyDescent="0.15">
      <c r="A1971" s="33"/>
      <c r="B1971" s="12"/>
      <c r="C1971" s="12"/>
      <c r="D1971" s="12"/>
      <c r="E1971" s="12"/>
      <c r="G1971" s="14"/>
    </row>
    <row r="1972" spans="1:7" ht="22.5" customHeight="1" x14ac:dyDescent="0.15">
      <c r="A1972" s="33"/>
      <c r="B1972" s="12"/>
      <c r="C1972" s="12"/>
      <c r="D1972" s="12"/>
      <c r="E1972" s="12"/>
      <c r="G1972" s="14"/>
    </row>
    <row r="1973" spans="1:7" ht="22.5" customHeight="1" x14ac:dyDescent="0.15">
      <c r="A1973" s="33"/>
      <c r="B1973" s="12"/>
      <c r="C1973" s="12"/>
      <c r="D1973" s="12"/>
      <c r="E1973" s="12"/>
      <c r="G1973" s="14"/>
    </row>
    <row r="1974" spans="1:7" ht="22.5" customHeight="1" x14ac:dyDescent="0.15">
      <c r="A1974" s="33"/>
      <c r="B1974" s="12"/>
      <c r="C1974" s="12"/>
      <c r="D1974" s="12"/>
      <c r="E1974" s="12"/>
      <c r="G1974" s="14"/>
    </row>
    <row r="1975" spans="1:7" ht="22.5" customHeight="1" x14ac:dyDescent="0.15">
      <c r="A1975" s="33"/>
      <c r="B1975" s="12"/>
      <c r="C1975" s="12"/>
      <c r="D1975" s="12"/>
      <c r="E1975" s="12"/>
      <c r="G1975" s="14"/>
    </row>
    <row r="1976" spans="1:7" ht="22.5" customHeight="1" x14ac:dyDescent="0.15">
      <c r="A1976" s="33"/>
      <c r="B1976" s="12"/>
      <c r="C1976" s="12"/>
      <c r="D1976" s="12"/>
      <c r="E1976" s="12"/>
      <c r="G1976" s="14"/>
    </row>
    <row r="1977" spans="1:7" ht="22.5" customHeight="1" x14ac:dyDescent="0.15">
      <c r="A1977" s="33"/>
      <c r="B1977" s="12"/>
      <c r="C1977" s="12"/>
      <c r="D1977" s="12"/>
      <c r="E1977" s="12"/>
      <c r="G1977" s="14"/>
    </row>
    <row r="1978" spans="1:7" ht="22.5" customHeight="1" x14ac:dyDescent="0.15">
      <c r="A1978" s="33"/>
      <c r="B1978" s="12"/>
      <c r="C1978" s="12"/>
      <c r="D1978" s="12"/>
      <c r="E1978" s="12"/>
      <c r="G1978" s="14"/>
    </row>
    <row r="1979" spans="1:7" ht="22.5" customHeight="1" x14ac:dyDescent="0.15">
      <c r="A1979" s="33"/>
      <c r="B1979" s="12"/>
      <c r="C1979" s="12"/>
      <c r="D1979" s="12"/>
      <c r="E1979" s="12"/>
      <c r="G1979" s="14"/>
    </row>
    <row r="1980" spans="1:7" ht="22.5" customHeight="1" x14ac:dyDescent="0.15">
      <c r="A1980" s="33"/>
      <c r="B1980" s="12"/>
      <c r="C1980" s="12"/>
      <c r="D1980" s="12"/>
      <c r="E1980" s="12"/>
      <c r="G1980" s="14"/>
    </row>
    <row r="1981" spans="1:7" ht="22.5" customHeight="1" x14ac:dyDescent="0.15">
      <c r="A1981" s="33"/>
      <c r="B1981" s="12"/>
      <c r="C1981" s="12"/>
      <c r="D1981" s="12"/>
      <c r="E1981" s="12"/>
      <c r="G1981" s="14"/>
    </row>
    <row r="1982" spans="1:7" ht="22.5" customHeight="1" x14ac:dyDescent="0.15">
      <c r="A1982" s="33"/>
      <c r="B1982" s="12"/>
      <c r="C1982" s="12"/>
      <c r="D1982" s="12"/>
      <c r="E1982" s="12"/>
      <c r="G1982" s="14"/>
    </row>
    <row r="1983" spans="1:7" ht="22.5" customHeight="1" x14ac:dyDescent="0.15">
      <c r="A1983" s="33"/>
      <c r="B1983" s="12"/>
      <c r="C1983" s="12"/>
      <c r="D1983" s="12"/>
      <c r="E1983" s="12"/>
      <c r="G1983" s="14"/>
    </row>
    <row r="1984" spans="1:7" ht="22.5" customHeight="1" x14ac:dyDescent="0.15">
      <c r="A1984" s="33"/>
      <c r="B1984" s="12"/>
      <c r="C1984" s="12"/>
      <c r="D1984" s="12"/>
      <c r="E1984" s="12"/>
      <c r="G1984" s="14"/>
    </row>
    <row r="1985" spans="1:7" ht="22.5" customHeight="1" x14ac:dyDescent="0.15">
      <c r="A1985" s="33"/>
      <c r="B1985" s="12"/>
      <c r="C1985" s="12"/>
      <c r="D1985" s="12"/>
      <c r="E1985" s="12"/>
      <c r="G1985" s="14"/>
    </row>
    <row r="1986" spans="1:7" ht="22.5" customHeight="1" x14ac:dyDescent="0.15">
      <c r="A1986" s="33"/>
      <c r="B1986" s="12"/>
      <c r="C1986" s="12"/>
      <c r="D1986" s="12"/>
      <c r="E1986" s="12"/>
      <c r="G1986" s="14"/>
    </row>
    <row r="1987" spans="1:7" ht="22.5" customHeight="1" x14ac:dyDescent="0.15">
      <c r="A1987" s="33"/>
      <c r="B1987" s="12"/>
      <c r="C1987" s="12"/>
      <c r="D1987" s="12"/>
      <c r="E1987" s="12"/>
      <c r="G1987" s="14"/>
    </row>
    <row r="1988" spans="1:7" ht="22.5" customHeight="1" x14ac:dyDescent="0.15">
      <c r="A1988" s="33"/>
      <c r="B1988" s="12"/>
      <c r="C1988" s="12"/>
      <c r="D1988" s="12"/>
      <c r="E1988" s="12"/>
      <c r="G1988" s="14"/>
    </row>
    <row r="1989" spans="1:7" ht="22.5" customHeight="1" x14ac:dyDescent="0.15">
      <c r="A1989" s="33"/>
      <c r="B1989" s="12"/>
      <c r="C1989" s="12"/>
      <c r="D1989" s="12"/>
      <c r="E1989" s="12"/>
      <c r="G1989" s="14"/>
    </row>
    <row r="1990" spans="1:7" ht="22.5" customHeight="1" x14ac:dyDescent="0.15">
      <c r="A1990" s="33"/>
      <c r="B1990" s="12"/>
      <c r="C1990" s="12"/>
      <c r="D1990" s="12"/>
      <c r="E1990" s="12"/>
      <c r="G1990" s="14"/>
    </row>
    <row r="1991" spans="1:7" ht="22.5" customHeight="1" x14ac:dyDescent="0.15">
      <c r="A1991" s="33"/>
      <c r="B1991" s="12"/>
      <c r="C1991" s="12"/>
      <c r="D1991" s="12"/>
      <c r="E1991" s="12"/>
      <c r="G1991" s="14"/>
    </row>
    <row r="1992" spans="1:7" ht="22.5" customHeight="1" x14ac:dyDescent="0.15">
      <c r="A1992" s="33"/>
      <c r="B1992" s="12"/>
      <c r="C1992" s="12"/>
      <c r="D1992" s="12"/>
      <c r="E1992" s="12"/>
      <c r="G1992" s="14"/>
    </row>
    <row r="1993" spans="1:7" ht="22.5" customHeight="1" x14ac:dyDescent="0.15">
      <c r="A1993" s="33"/>
      <c r="B1993" s="12"/>
      <c r="C1993" s="12"/>
      <c r="D1993" s="12"/>
      <c r="E1993" s="12"/>
      <c r="G1993" s="14"/>
    </row>
    <row r="1994" spans="1:7" ht="22.5" customHeight="1" x14ac:dyDescent="0.15">
      <c r="A1994" s="33"/>
      <c r="B1994" s="12"/>
      <c r="C1994" s="12"/>
      <c r="D1994" s="12"/>
      <c r="E1994" s="12"/>
      <c r="G1994" s="14"/>
    </row>
    <row r="1995" spans="1:7" ht="22.5" customHeight="1" x14ac:dyDescent="0.15">
      <c r="A1995" s="33"/>
      <c r="B1995" s="12"/>
      <c r="C1995" s="12"/>
      <c r="D1995" s="12"/>
      <c r="E1995" s="12"/>
      <c r="G1995" s="14"/>
    </row>
    <row r="1996" spans="1:7" ht="22.5" customHeight="1" x14ac:dyDescent="0.15">
      <c r="A1996" s="33"/>
      <c r="B1996" s="12"/>
      <c r="C1996" s="12"/>
      <c r="D1996" s="12"/>
      <c r="E1996" s="12"/>
      <c r="G1996" s="14"/>
    </row>
    <row r="1997" spans="1:7" ht="22.5" customHeight="1" x14ac:dyDescent="0.15">
      <c r="A1997" s="33"/>
      <c r="B1997" s="12"/>
      <c r="C1997" s="12"/>
      <c r="D1997" s="12"/>
      <c r="E1997" s="12"/>
      <c r="G1997" s="14"/>
    </row>
    <row r="1998" spans="1:7" ht="22.5" customHeight="1" x14ac:dyDescent="0.15">
      <c r="A1998" s="33"/>
      <c r="B1998" s="12"/>
      <c r="C1998" s="12"/>
      <c r="D1998" s="12"/>
      <c r="E1998" s="12"/>
      <c r="G1998" s="14"/>
    </row>
    <row r="1999" spans="1:7" ht="22.5" customHeight="1" x14ac:dyDescent="0.15">
      <c r="A1999" s="33"/>
      <c r="B1999" s="12"/>
      <c r="C1999" s="12"/>
      <c r="D1999" s="12"/>
      <c r="E1999" s="12"/>
      <c r="G1999" s="14"/>
    </row>
    <row r="2000" spans="1:7" ht="22.5" customHeight="1" x14ac:dyDescent="0.15">
      <c r="A2000" s="33"/>
      <c r="B2000" s="12"/>
      <c r="C2000" s="12"/>
      <c r="D2000" s="12"/>
      <c r="E2000" s="12"/>
      <c r="G2000" s="14"/>
    </row>
    <row r="2001" spans="1:7" ht="22.5" customHeight="1" x14ac:dyDescent="0.15">
      <c r="A2001" s="33"/>
      <c r="B2001" s="12"/>
      <c r="C2001" s="12"/>
      <c r="D2001" s="12"/>
      <c r="E2001" s="12"/>
      <c r="G2001" s="14"/>
    </row>
    <row r="2002" spans="1:7" ht="22.5" customHeight="1" x14ac:dyDescent="0.15">
      <c r="A2002" s="33"/>
      <c r="B2002" s="12"/>
      <c r="C2002" s="12"/>
      <c r="D2002" s="12"/>
      <c r="E2002" s="12"/>
      <c r="G2002" s="14"/>
    </row>
    <row r="2003" spans="1:7" ht="22.5" customHeight="1" x14ac:dyDescent="0.15">
      <c r="A2003" s="33"/>
      <c r="B2003" s="12"/>
      <c r="C2003" s="12"/>
      <c r="D2003" s="12"/>
      <c r="E2003" s="12"/>
      <c r="G2003" s="14"/>
    </row>
    <row r="2004" spans="1:7" ht="22.5" customHeight="1" x14ac:dyDescent="0.15">
      <c r="A2004" s="33"/>
      <c r="B2004" s="12"/>
      <c r="C2004" s="12"/>
      <c r="D2004" s="12"/>
      <c r="E2004" s="12"/>
      <c r="G2004" s="14"/>
    </row>
    <row r="2005" spans="1:7" ht="22.5" customHeight="1" x14ac:dyDescent="0.15">
      <c r="A2005" s="33"/>
      <c r="B2005" s="12"/>
      <c r="C2005" s="12"/>
      <c r="D2005" s="12"/>
      <c r="E2005" s="12"/>
      <c r="G2005" s="14"/>
    </row>
    <row r="2006" spans="1:7" ht="22.5" customHeight="1" x14ac:dyDescent="0.15">
      <c r="A2006" s="33"/>
      <c r="B2006" s="12"/>
      <c r="C2006" s="12"/>
      <c r="D2006" s="12"/>
      <c r="E2006" s="12"/>
      <c r="G2006" s="14"/>
    </row>
    <row r="2007" spans="1:7" ht="22.5" customHeight="1" x14ac:dyDescent="0.15">
      <c r="A2007" s="33"/>
      <c r="B2007" s="12"/>
      <c r="C2007" s="12"/>
      <c r="D2007" s="12"/>
      <c r="E2007" s="12"/>
      <c r="G2007" s="14"/>
    </row>
    <row r="2008" spans="1:7" ht="22.5" customHeight="1" x14ac:dyDescent="0.15">
      <c r="A2008" s="33"/>
      <c r="B2008" s="12"/>
      <c r="C2008" s="12"/>
      <c r="D2008" s="12"/>
      <c r="E2008" s="12"/>
      <c r="G2008" s="14"/>
    </row>
    <row r="2009" spans="1:7" ht="22.5" customHeight="1" x14ac:dyDescent="0.15">
      <c r="A2009" s="33"/>
      <c r="B2009" s="12"/>
      <c r="C2009" s="12"/>
      <c r="D2009" s="12"/>
      <c r="E2009" s="12"/>
      <c r="G2009" s="14"/>
    </row>
    <row r="2010" spans="1:7" ht="22.5" customHeight="1" x14ac:dyDescent="0.15">
      <c r="A2010" s="33"/>
      <c r="B2010" s="12"/>
      <c r="C2010" s="12"/>
      <c r="D2010" s="12"/>
      <c r="E2010" s="12"/>
      <c r="G2010" s="14"/>
    </row>
    <row r="2011" spans="1:7" ht="22.5" customHeight="1" x14ac:dyDescent="0.15">
      <c r="A2011" s="33"/>
      <c r="B2011" s="12"/>
      <c r="C2011" s="12"/>
      <c r="D2011" s="12"/>
      <c r="E2011" s="12"/>
      <c r="G2011" s="14"/>
    </row>
    <row r="2012" spans="1:7" ht="22.5" customHeight="1" x14ac:dyDescent="0.15">
      <c r="A2012" s="33"/>
      <c r="B2012" s="12"/>
      <c r="C2012" s="12"/>
      <c r="D2012" s="12"/>
      <c r="E2012" s="12"/>
      <c r="G2012" s="14"/>
    </row>
    <row r="2013" spans="1:7" ht="22.5" customHeight="1" x14ac:dyDescent="0.15">
      <c r="A2013" s="33"/>
      <c r="B2013" s="12"/>
      <c r="C2013" s="12"/>
      <c r="D2013" s="12"/>
      <c r="E2013" s="12"/>
      <c r="G2013" s="14"/>
    </row>
    <row r="2014" spans="1:7" ht="22.5" customHeight="1" x14ac:dyDescent="0.15">
      <c r="A2014" s="33"/>
      <c r="B2014" s="12"/>
      <c r="C2014" s="12"/>
      <c r="D2014" s="12"/>
      <c r="E2014" s="12"/>
      <c r="G2014" s="14"/>
    </row>
    <row r="2015" spans="1:7" ht="22.5" customHeight="1" x14ac:dyDescent="0.15">
      <c r="A2015" s="33"/>
      <c r="B2015" s="12"/>
      <c r="C2015" s="12"/>
      <c r="D2015" s="12"/>
      <c r="E2015" s="12"/>
      <c r="G2015" s="14"/>
    </row>
    <row r="2016" spans="1:7" ht="22.5" customHeight="1" x14ac:dyDescent="0.15">
      <c r="A2016" s="33"/>
      <c r="B2016" s="12"/>
      <c r="C2016" s="12"/>
      <c r="D2016" s="12"/>
      <c r="E2016" s="12"/>
      <c r="G2016" s="14"/>
    </row>
    <row r="2017" spans="1:7" ht="22.5" customHeight="1" x14ac:dyDescent="0.15">
      <c r="A2017" s="33"/>
      <c r="B2017" s="12"/>
      <c r="C2017" s="12"/>
      <c r="D2017" s="12"/>
      <c r="E2017" s="12"/>
      <c r="G2017" s="14"/>
    </row>
    <row r="2018" spans="1:7" ht="22.5" customHeight="1" x14ac:dyDescent="0.15">
      <c r="A2018" s="33"/>
      <c r="B2018" s="12"/>
      <c r="C2018" s="12"/>
      <c r="D2018" s="12"/>
      <c r="E2018" s="12"/>
      <c r="G2018" s="14"/>
    </row>
    <row r="2019" spans="1:7" ht="22.5" customHeight="1" x14ac:dyDescent="0.15">
      <c r="A2019" s="33"/>
      <c r="B2019" s="12"/>
      <c r="C2019" s="12"/>
      <c r="D2019" s="12"/>
      <c r="E2019" s="12"/>
      <c r="G2019" s="14"/>
    </row>
    <row r="2020" spans="1:7" ht="22.5" customHeight="1" x14ac:dyDescent="0.15">
      <c r="A2020" s="33"/>
      <c r="B2020" s="12"/>
      <c r="C2020" s="12"/>
      <c r="D2020" s="12"/>
      <c r="E2020" s="12"/>
      <c r="G2020" s="14"/>
    </row>
    <row r="2021" spans="1:7" ht="22.5" customHeight="1" x14ac:dyDescent="0.15">
      <c r="A2021" s="33"/>
      <c r="B2021" s="12"/>
      <c r="C2021" s="12"/>
      <c r="D2021" s="12"/>
      <c r="E2021" s="12"/>
      <c r="G2021" s="14"/>
    </row>
    <row r="2022" spans="1:7" ht="22.5" customHeight="1" x14ac:dyDescent="0.15">
      <c r="A2022" s="33"/>
      <c r="B2022" s="12"/>
      <c r="C2022" s="12"/>
      <c r="D2022" s="12"/>
      <c r="E2022" s="12"/>
      <c r="G2022" s="14"/>
    </row>
    <row r="2023" spans="1:7" ht="22.5" customHeight="1" x14ac:dyDescent="0.15">
      <c r="A2023" s="33"/>
      <c r="B2023" s="12"/>
      <c r="C2023" s="12"/>
      <c r="D2023" s="12"/>
      <c r="E2023" s="12"/>
      <c r="G2023" s="14"/>
    </row>
    <row r="2024" spans="1:7" ht="22.5" customHeight="1" x14ac:dyDescent="0.15">
      <c r="A2024" s="33"/>
      <c r="B2024" s="12"/>
      <c r="C2024" s="12"/>
      <c r="D2024" s="12"/>
      <c r="E2024" s="12"/>
      <c r="G2024" s="14"/>
    </row>
    <row r="2025" spans="1:7" ht="22.5" customHeight="1" x14ac:dyDescent="0.15">
      <c r="A2025" s="33"/>
      <c r="B2025" s="12"/>
      <c r="C2025" s="12"/>
      <c r="D2025" s="12"/>
      <c r="E2025" s="12"/>
      <c r="G2025" s="14"/>
    </row>
    <row r="2026" spans="1:7" ht="22.5" customHeight="1" x14ac:dyDescent="0.15">
      <c r="A2026" s="33"/>
      <c r="B2026" s="12"/>
      <c r="C2026" s="12"/>
      <c r="D2026" s="12"/>
      <c r="E2026" s="12"/>
      <c r="G2026" s="14"/>
    </row>
    <row r="2027" spans="1:7" ht="22.5" customHeight="1" x14ac:dyDescent="0.15">
      <c r="A2027" s="33"/>
      <c r="B2027" s="12"/>
      <c r="C2027" s="12"/>
      <c r="D2027" s="12"/>
      <c r="E2027" s="12"/>
      <c r="G2027" s="14"/>
    </row>
    <row r="2028" spans="1:7" ht="22.5" customHeight="1" x14ac:dyDescent="0.15">
      <c r="A2028" s="33"/>
      <c r="B2028" s="12"/>
      <c r="C2028" s="12"/>
      <c r="D2028" s="12"/>
      <c r="E2028" s="12"/>
      <c r="G2028" s="14"/>
    </row>
    <row r="2029" spans="1:7" ht="22.5" customHeight="1" x14ac:dyDescent="0.15">
      <c r="A2029" s="33"/>
      <c r="B2029" s="12"/>
      <c r="C2029" s="12"/>
      <c r="D2029" s="12"/>
      <c r="E2029" s="12"/>
      <c r="G2029" s="14"/>
    </row>
    <row r="2030" spans="1:7" ht="22.5" customHeight="1" x14ac:dyDescent="0.15">
      <c r="A2030" s="33"/>
      <c r="B2030" s="12"/>
      <c r="C2030" s="12"/>
      <c r="D2030" s="12"/>
      <c r="E2030" s="12"/>
      <c r="G2030" s="14"/>
    </row>
    <row r="2031" spans="1:7" ht="22.5" customHeight="1" x14ac:dyDescent="0.15">
      <c r="A2031" s="33"/>
      <c r="B2031" s="12"/>
      <c r="C2031" s="12"/>
      <c r="D2031" s="12"/>
      <c r="E2031" s="12"/>
      <c r="G2031" s="14"/>
    </row>
    <row r="2032" spans="1:7" ht="22.5" customHeight="1" x14ac:dyDescent="0.15">
      <c r="A2032" s="33"/>
      <c r="B2032" s="12"/>
      <c r="C2032" s="12"/>
      <c r="D2032" s="12"/>
      <c r="E2032" s="12"/>
      <c r="G2032" s="14"/>
    </row>
    <row r="2033" spans="1:7" ht="22.5" customHeight="1" x14ac:dyDescent="0.15">
      <c r="A2033" s="33"/>
      <c r="B2033" s="12"/>
      <c r="C2033" s="12"/>
      <c r="D2033" s="12"/>
      <c r="E2033" s="12"/>
      <c r="G2033" s="14"/>
    </row>
    <row r="2034" spans="1:7" ht="22.5" customHeight="1" x14ac:dyDescent="0.15">
      <c r="A2034" s="33"/>
      <c r="B2034" s="12"/>
      <c r="C2034" s="12"/>
      <c r="D2034" s="12"/>
      <c r="E2034" s="12"/>
      <c r="G2034" s="14"/>
    </row>
    <row r="2035" spans="1:7" ht="22.5" customHeight="1" x14ac:dyDescent="0.15">
      <c r="A2035" s="33"/>
      <c r="B2035" s="12"/>
      <c r="C2035" s="12"/>
      <c r="D2035" s="12"/>
      <c r="E2035" s="12"/>
      <c r="G2035" s="14"/>
    </row>
    <row r="2036" spans="1:7" ht="22.5" customHeight="1" x14ac:dyDescent="0.15">
      <c r="A2036" s="33"/>
      <c r="B2036" s="12"/>
      <c r="C2036" s="12"/>
      <c r="D2036" s="12"/>
      <c r="E2036" s="12"/>
      <c r="G2036" s="14"/>
    </row>
    <row r="2037" spans="1:7" ht="22.5" customHeight="1" x14ac:dyDescent="0.15">
      <c r="A2037" s="33"/>
      <c r="B2037" s="12"/>
      <c r="C2037" s="12"/>
      <c r="D2037" s="12"/>
      <c r="E2037" s="12"/>
      <c r="G2037" s="14"/>
    </row>
    <row r="2038" spans="1:7" ht="22.5" customHeight="1" x14ac:dyDescent="0.15">
      <c r="A2038" s="33"/>
      <c r="B2038" s="12"/>
      <c r="C2038" s="12"/>
      <c r="D2038" s="12"/>
      <c r="E2038" s="12"/>
      <c r="G2038" s="14"/>
    </row>
    <row r="2039" spans="1:7" ht="22.5" customHeight="1" x14ac:dyDescent="0.15">
      <c r="A2039" s="33"/>
      <c r="B2039" s="12"/>
      <c r="C2039" s="12"/>
      <c r="D2039" s="12"/>
      <c r="E2039" s="12"/>
      <c r="G2039" s="14"/>
    </row>
    <row r="2040" spans="1:7" ht="22.5" customHeight="1" x14ac:dyDescent="0.15">
      <c r="A2040" s="33"/>
      <c r="B2040" s="12"/>
      <c r="C2040" s="12"/>
      <c r="D2040" s="12"/>
      <c r="E2040" s="12"/>
      <c r="G2040" s="14"/>
    </row>
    <row r="2041" spans="1:7" ht="22.5" customHeight="1" x14ac:dyDescent="0.15">
      <c r="A2041" s="33"/>
      <c r="B2041" s="12"/>
      <c r="C2041" s="12"/>
      <c r="D2041" s="12"/>
      <c r="E2041" s="12"/>
      <c r="G2041" s="14"/>
    </row>
    <row r="2042" spans="1:7" ht="22.5" customHeight="1" x14ac:dyDescent="0.15">
      <c r="A2042" s="33"/>
      <c r="B2042" s="12"/>
      <c r="C2042" s="12"/>
      <c r="D2042" s="12"/>
      <c r="E2042" s="12"/>
      <c r="G2042" s="14"/>
    </row>
    <row r="2043" spans="1:7" ht="22.5" customHeight="1" x14ac:dyDescent="0.15">
      <c r="A2043" s="33"/>
      <c r="B2043" s="12"/>
      <c r="C2043" s="12"/>
      <c r="D2043" s="12"/>
      <c r="E2043" s="12"/>
      <c r="G2043" s="14"/>
    </row>
    <row r="2044" spans="1:7" ht="22.5" customHeight="1" x14ac:dyDescent="0.15">
      <c r="A2044" s="33"/>
      <c r="B2044" s="12"/>
      <c r="C2044" s="12"/>
      <c r="D2044" s="12"/>
      <c r="E2044" s="12"/>
      <c r="G2044" s="14"/>
    </row>
    <row r="2045" spans="1:7" ht="22.5" customHeight="1" x14ac:dyDescent="0.15">
      <c r="A2045" s="33"/>
      <c r="B2045" s="12"/>
      <c r="C2045" s="12"/>
      <c r="D2045" s="12"/>
      <c r="E2045" s="12"/>
      <c r="G2045" s="14"/>
    </row>
    <row r="2046" spans="1:7" ht="22.5" customHeight="1" x14ac:dyDescent="0.15">
      <c r="A2046" s="33"/>
      <c r="B2046" s="12"/>
      <c r="C2046" s="12"/>
      <c r="D2046" s="12"/>
      <c r="E2046" s="12"/>
      <c r="G2046" s="14"/>
    </row>
    <row r="2047" spans="1:7" ht="22.5" customHeight="1" x14ac:dyDescent="0.15">
      <c r="A2047" s="33"/>
      <c r="B2047" s="12"/>
      <c r="C2047" s="12"/>
      <c r="D2047" s="12"/>
      <c r="E2047" s="12"/>
      <c r="G2047" s="14"/>
    </row>
    <row r="2048" spans="1:7" ht="22.5" customHeight="1" x14ac:dyDescent="0.15">
      <c r="A2048" s="33"/>
      <c r="B2048" s="12"/>
      <c r="C2048" s="12"/>
      <c r="D2048" s="12"/>
      <c r="E2048" s="12"/>
      <c r="G2048" s="14"/>
    </row>
    <row r="2049" spans="1:7" ht="22.5" customHeight="1" x14ac:dyDescent="0.15">
      <c r="A2049" s="33"/>
      <c r="B2049" s="12"/>
      <c r="C2049" s="12"/>
      <c r="D2049" s="12"/>
      <c r="E2049" s="12"/>
      <c r="G2049" s="14"/>
    </row>
    <row r="2050" spans="1:7" ht="22.5" customHeight="1" x14ac:dyDescent="0.15">
      <c r="A2050" s="33"/>
      <c r="B2050" s="12"/>
      <c r="C2050" s="12"/>
      <c r="D2050" s="12"/>
      <c r="E2050" s="12"/>
      <c r="G2050" s="14"/>
    </row>
    <row r="2051" spans="1:7" ht="22.5" customHeight="1" x14ac:dyDescent="0.15">
      <c r="A2051" s="33"/>
      <c r="B2051" s="12"/>
      <c r="C2051" s="12"/>
      <c r="D2051" s="12"/>
      <c r="E2051" s="12"/>
      <c r="G2051" s="14"/>
    </row>
    <row r="2052" spans="1:7" ht="22.5" customHeight="1" x14ac:dyDescent="0.15">
      <c r="A2052" s="33"/>
      <c r="B2052" s="12"/>
      <c r="C2052" s="12"/>
      <c r="D2052" s="12"/>
      <c r="E2052" s="12"/>
      <c r="G2052" s="14"/>
    </row>
    <row r="2053" spans="1:7" ht="22.5" customHeight="1" x14ac:dyDescent="0.15">
      <c r="A2053" s="33"/>
      <c r="B2053" s="12"/>
      <c r="C2053" s="12"/>
      <c r="D2053" s="12"/>
      <c r="E2053" s="12"/>
      <c r="G2053" s="14"/>
    </row>
    <row r="2054" spans="1:7" ht="22.5" customHeight="1" x14ac:dyDescent="0.15">
      <c r="A2054" s="33"/>
      <c r="B2054" s="12"/>
      <c r="C2054" s="12"/>
      <c r="D2054" s="12"/>
      <c r="E2054" s="12"/>
      <c r="G2054" s="14"/>
    </row>
    <row r="2055" spans="1:7" ht="22.5" customHeight="1" x14ac:dyDescent="0.15">
      <c r="A2055" s="33"/>
      <c r="B2055" s="12"/>
      <c r="C2055" s="12"/>
      <c r="D2055" s="12"/>
      <c r="E2055" s="12"/>
      <c r="G2055" s="14"/>
    </row>
    <row r="2056" spans="1:7" ht="22.5" customHeight="1" x14ac:dyDescent="0.15">
      <c r="A2056" s="33"/>
      <c r="B2056" s="12"/>
      <c r="C2056" s="12"/>
      <c r="D2056" s="12"/>
      <c r="E2056" s="12"/>
      <c r="G2056" s="14"/>
    </row>
    <row r="2057" spans="1:7" ht="22.5" customHeight="1" x14ac:dyDescent="0.15">
      <c r="A2057" s="33"/>
      <c r="B2057" s="12"/>
      <c r="C2057" s="12"/>
      <c r="D2057" s="12"/>
      <c r="E2057" s="12"/>
      <c r="G2057" s="14"/>
    </row>
    <row r="2058" spans="1:7" ht="22.5" customHeight="1" x14ac:dyDescent="0.15">
      <c r="A2058" s="33"/>
      <c r="B2058" s="12"/>
      <c r="C2058" s="12"/>
      <c r="D2058" s="12"/>
      <c r="E2058" s="12"/>
      <c r="G2058" s="14"/>
    </row>
    <row r="2059" spans="1:7" ht="22.5" customHeight="1" x14ac:dyDescent="0.15">
      <c r="A2059" s="33"/>
      <c r="B2059" s="12"/>
      <c r="C2059" s="12"/>
      <c r="D2059" s="12"/>
      <c r="E2059" s="12"/>
      <c r="G2059" s="14"/>
    </row>
    <row r="2060" spans="1:7" ht="22.5" customHeight="1" x14ac:dyDescent="0.15">
      <c r="A2060" s="33"/>
      <c r="B2060" s="12"/>
      <c r="C2060" s="12"/>
      <c r="D2060" s="12"/>
      <c r="E2060" s="12"/>
      <c r="G2060" s="14"/>
    </row>
    <row r="2061" spans="1:7" ht="22.5" customHeight="1" x14ac:dyDescent="0.15">
      <c r="A2061" s="33"/>
      <c r="B2061" s="12"/>
      <c r="C2061" s="12"/>
      <c r="D2061" s="12"/>
      <c r="E2061" s="12"/>
      <c r="G2061" s="14"/>
    </row>
    <row r="2062" spans="1:7" ht="22.5" customHeight="1" x14ac:dyDescent="0.15">
      <c r="A2062" s="33"/>
      <c r="B2062" s="12"/>
      <c r="C2062" s="12"/>
      <c r="D2062" s="12"/>
      <c r="E2062" s="12"/>
      <c r="G2062" s="14"/>
    </row>
    <row r="2063" spans="1:7" ht="22.5" customHeight="1" x14ac:dyDescent="0.15">
      <c r="A2063" s="33"/>
      <c r="B2063" s="12"/>
      <c r="C2063" s="12"/>
      <c r="D2063" s="12"/>
      <c r="E2063" s="12"/>
      <c r="G2063" s="14"/>
    </row>
    <row r="2064" spans="1:7" ht="22.5" customHeight="1" x14ac:dyDescent="0.15">
      <c r="A2064" s="33"/>
      <c r="B2064" s="12"/>
      <c r="C2064" s="12"/>
      <c r="D2064" s="12"/>
      <c r="E2064" s="12"/>
      <c r="G2064" s="14"/>
    </row>
    <row r="2065" spans="1:7" ht="22.5" customHeight="1" x14ac:dyDescent="0.15">
      <c r="A2065" s="33"/>
      <c r="B2065" s="12"/>
      <c r="C2065" s="12"/>
      <c r="D2065" s="12"/>
      <c r="E2065" s="12"/>
      <c r="G2065" s="14"/>
    </row>
    <row r="2066" spans="1:7" ht="22.5" customHeight="1" x14ac:dyDescent="0.15">
      <c r="A2066" s="33"/>
      <c r="B2066" s="12"/>
      <c r="C2066" s="12"/>
      <c r="D2066" s="12"/>
      <c r="E2066" s="12"/>
      <c r="G2066" s="14"/>
    </row>
    <row r="2067" spans="1:7" ht="22.5" customHeight="1" x14ac:dyDescent="0.15">
      <c r="A2067" s="33"/>
      <c r="B2067" s="12"/>
      <c r="C2067" s="12"/>
      <c r="D2067" s="12"/>
      <c r="E2067" s="12"/>
      <c r="G2067" s="14"/>
    </row>
    <row r="2068" spans="1:7" ht="22.5" customHeight="1" x14ac:dyDescent="0.15">
      <c r="A2068" s="33"/>
      <c r="B2068" s="12"/>
      <c r="C2068" s="12"/>
      <c r="D2068" s="12"/>
      <c r="E2068" s="12"/>
      <c r="G2068" s="14"/>
    </row>
    <row r="2069" spans="1:7" ht="22.5" customHeight="1" x14ac:dyDescent="0.15">
      <c r="A2069" s="33"/>
      <c r="B2069" s="12"/>
      <c r="C2069" s="12"/>
      <c r="D2069" s="12"/>
      <c r="E2069" s="12"/>
      <c r="G2069" s="14"/>
    </row>
    <row r="2070" spans="1:7" ht="22.5" customHeight="1" x14ac:dyDescent="0.15">
      <c r="A2070" s="33"/>
      <c r="B2070" s="12"/>
      <c r="C2070" s="12"/>
      <c r="D2070" s="12"/>
      <c r="E2070" s="12"/>
      <c r="G2070" s="14"/>
    </row>
    <row r="2071" spans="1:7" ht="22.5" customHeight="1" x14ac:dyDescent="0.15">
      <c r="A2071" s="33"/>
      <c r="B2071" s="12"/>
      <c r="C2071" s="12"/>
      <c r="D2071" s="12"/>
      <c r="E2071" s="12"/>
      <c r="G2071" s="14"/>
    </row>
    <row r="2072" spans="1:7" ht="22.5" customHeight="1" x14ac:dyDescent="0.15">
      <c r="A2072" s="33"/>
      <c r="B2072" s="12"/>
      <c r="C2072" s="12"/>
      <c r="D2072" s="12"/>
      <c r="E2072" s="12"/>
      <c r="G2072" s="14"/>
    </row>
    <row r="2073" spans="1:7" ht="22.5" customHeight="1" x14ac:dyDescent="0.15">
      <c r="A2073" s="33"/>
      <c r="B2073" s="12"/>
      <c r="C2073" s="12"/>
      <c r="D2073" s="12"/>
      <c r="E2073" s="12"/>
      <c r="G2073" s="14"/>
    </row>
    <row r="2074" spans="1:7" ht="22.5" customHeight="1" x14ac:dyDescent="0.15">
      <c r="A2074" s="33"/>
      <c r="B2074" s="12"/>
      <c r="C2074" s="12"/>
      <c r="D2074" s="12"/>
      <c r="E2074" s="12"/>
      <c r="G2074" s="14"/>
    </row>
    <row r="2075" spans="1:7" ht="22.5" customHeight="1" x14ac:dyDescent="0.15">
      <c r="A2075" s="33"/>
      <c r="B2075" s="12"/>
      <c r="C2075" s="12"/>
      <c r="D2075" s="12"/>
      <c r="E2075" s="12"/>
      <c r="G2075" s="14"/>
    </row>
    <row r="2076" spans="1:7" ht="22.5" customHeight="1" x14ac:dyDescent="0.15">
      <c r="A2076" s="33"/>
      <c r="B2076" s="12"/>
      <c r="C2076" s="12"/>
      <c r="D2076" s="12"/>
      <c r="E2076" s="12"/>
      <c r="G2076" s="14"/>
    </row>
    <row r="2077" spans="1:7" ht="22.5" customHeight="1" x14ac:dyDescent="0.15">
      <c r="A2077" s="33"/>
      <c r="B2077" s="12"/>
      <c r="C2077" s="12"/>
      <c r="D2077" s="12"/>
      <c r="E2077" s="12"/>
      <c r="G2077" s="14"/>
    </row>
    <row r="2078" spans="1:7" ht="22.5" customHeight="1" x14ac:dyDescent="0.15">
      <c r="A2078" s="33"/>
      <c r="B2078" s="12"/>
      <c r="C2078" s="12"/>
      <c r="D2078" s="12"/>
      <c r="E2078" s="12"/>
      <c r="G2078" s="14"/>
    </row>
    <row r="2079" spans="1:7" ht="22.5" customHeight="1" x14ac:dyDescent="0.15">
      <c r="A2079" s="33"/>
      <c r="B2079" s="12"/>
      <c r="C2079" s="12"/>
      <c r="D2079" s="12"/>
      <c r="E2079" s="12"/>
      <c r="G2079" s="14"/>
    </row>
    <row r="2080" spans="1:7" ht="22.5" customHeight="1" x14ac:dyDescent="0.15">
      <c r="A2080" s="33"/>
      <c r="B2080" s="12"/>
      <c r="C2080" s="12"/>
      <c r="D2080" s="12"/>
      <c r="E2080" s="12"/>
      <c r="G2080" s="14"/>
    </row>
    <row r="2081" spans="1:7" ht="22.5" customHeight="1" x14ac:dyDescent="0.15">
      <c r="A2081" s="33"/>
      <c r="B2081" s="12"/>
      <c r="C2081" s="12"/>
      <c r="D2081" s="12"/>
      <c r="E2081" s="12"/>
      <c r="G2081" s="14"/>
    </row>
    <row r="2082" spans="1:7" ht="22.5" customHeight="1" x14ac:dyDescent="0.15">
      <c r="A2082" s="33"/>
      <c r="B2082" s="12"/>
      <c r="C2082" s="12"/>
      <c r="D2082" s="12"/>
      <c r="E2082" s="12"/>
      <c r="G2082" s="14"/>
    </row>
    <row r="2083" spans="1:7" ht="22.5" customHeight="1" x14ac:dyDescent="0.15">
      <c r="A2083" s="33"/>
      <c r="B2083" s="12"/>
      <c r="C2083" s="12"/>
      <c r="D2083" s="12"/>
      <c r="E2083" s="12"/>
      <c r="G2083" s="14"/>
    </row>
    <row r="2084" spans="1:7" ht="22.5" customHeight="1" x14ac:dyDescent="0.15">
      <c r="A2084" s="33"/>
      <c r="B2084" s="12"/>
      <c r="C2084" s="12"/>
      <c r="D2084" s="12"/>
      <c r="E2084" s="12"/>
      <c r="G2084" s="14"/>
    </row>
    <row r="2085" spans="1:7" ht="22.5" customHeight="1" x14ac:dyDescent="0.15">
      <c r="A2085" s="33"/>
      <c r="B2085" s="12"/>
      <c r="C2085" s="12"/>
      <c r="D2085" s="12"/>
      <c r="E2085" s="12"/>
      <c r="G2085" s="14"/>
    </row>
    <row r="2086" spans="1:7" ht="22.5" customHeight="1" x14ac:dyDescent="0.15">
      <c r="A2086" s="33"/>
      <c r="B2086" s="12"/>
      <c r="C2086" s="12"/>
      <c r="D2086" s="12"/>
      <c r="E2086" s="12"/>
      <c r="G2086" s="14"/>
    </row>
    <row r="2087" spans="1:7" ht="22.5" customHeight="1" x14ac:dyDescent="0.15">
      <c r="A2087" s="33"/>
      <c r="B2087" s="12"/>
      <c r="C2087" s="12"/>
      <c r="D2087" s="12"/>
      <c r="E2087" s="12"/>
      <c r="G2087" s="14"/>
    </row>
    <row r="2088" spans="1:7" ht="22.5" customHeight="1" x14ac:dyDescent="0.15">
      <c r="A2088" s="33"/>
      <c r="B2088" s="12"/>
      <c r="C2088" s="12"/>
      <c r="D2088" s="12"/>
      <c r="E2088" s="12"/>
      <c r="G2088" s="14"/>
    </row>
    <row r="2089" spans="1:7" ht="22.5" customHeight="1" x14ac:dyDescent="0.15">
      <c r="A2089" s="33"/>
      <c r="B2089" s="12"/>
      <c r="C2089" s="12"/>
      <c r="D2089" s="12"/>
      <c r="E2089" s="12"/>
      <c r="G2089" s="14"/>
    </row>
    <row r="2090" spans="1:7" ht="22.5" customHeight="1" x14ac:dyDescent="0.15">
      <c r="A2090" s="33"/>
      <c r="B2090" s="12"/>
      <c r="C2090" s="12"/>
      <c r="D2090" s="12"/>
      <c r="E2090" s="12"/>
      <c r="G2090" s="14"/>
    </row>
    <row r="2091" spans="1:7" ht="22.5" customHeight="1" x14ac:dyDescent="0.15">
      <c r="A2091" s="33"/>
      <c r="B2091" s="12"/>
      <c r="C2091" s="12"/>
      <c r="D2091" s="12"/>
      <c r="E2091" s="12"/>
      <c r="G2091" s="14"/>
    </row>
    <row r="2092" spans="1:7" ht="22.5" customHeight="1" x14ac:dyDescent="0.15">
      <c r="A2092" s="33"/>
      <c r="B2092" s="12"/>
      <c r="C2092" s="12"/>
      <c r="D2092" s="12"/>
      <c r="E2092" s="12"/>
      <c r="G2092" s="14"/>
    </row>
    <row r="2093" spans="1:7" ht="22.5" customHeight="1" x14ac:dyDescent="0.15">
      <c r="A2093" s="33"/>
      <c r="B2093" s="12"/>
      <c r="C2093" s="12"/>
      <c r="D2093" s="12"/>
      <c r="E2093" s="12"/>
      <c r="G2093" s="14"/>
    </row>
    <row r="2094" spans="1:7" ht="22.5" customHeight="1" x14ac:dyDescent="0.15">
      <c r="A2094" s="33"/>
      <c r="B2094" s="12"/>
      <c r="C2094" s="12"/>
      <c r="D2094" s="12"/>
      <c r="E2094" s="12"/>
      <c r="G2094" s="14"/>
    </row>
    <row r="2095" spans="1:7" ht="22.5" customHeight="1" x14ac:dyDescent="0.15">
      <c r="A2095" s="33"/>
      <c r="B2095" s="12"/>
      <c r="C2095" s="12"/>
      <c r="D2095" s="12"/>
      <c r="E2095" s="12"/>
      <c r="G2095" s="14"/>
    </row>
    <row r="2096" spans="1:7" ht="22.5" customHeight="1" x14ac:dyDescent="0.15">
      <c r="A2096" s="33"/>
      <c r="B2096" s="12"/>
      <c r="C2096" s="12"/>
      <c r="D2096" s="12"/>
      <c r="E2096" s="12"/>
      <c r="G2096" s="14"/>
    </row>
    <row r="2097" spans="1:7" ht="22.5" customHeight="1" x14ac:dyDescent="0.15">
      <c r="A2097" s="33"/>
      <c r="B2097" s="12"/>
      <c r="C2097" s="12"/>
      <c r="D2097" s="12"/>
      <c r="E2097" s="12"/>
      <c r="G2097" s="14"/>
    </row>
    <row r="2098" spans="1:7" ht="22.5" customHeight="1" x14ac:dyDescent="0.15">
      <c r="A2098" s="33"/>
      <c r="B2098" s="12"/>
      <c r="C2098" s="12"/>
      <c r="D2098" s="12"/>
      <c r="E2098" s="12"/>
      <c r="G2098" s="14"/>
    </row>
    <row r="2099" spans="1:7" ht="22.5" customHeight="1" x14ac:dyDescent="0.15">
      <c r="A2099" s="33"/>
      <c r="B2099" s="12"/>
      <c r="C2099" s="12"/>
      <c r="D2099" s="12"/>
      <c r="E2099" s="12"/>
      <c r="G2099" s="14"/>
    </row>
    <row r="2100" spans="1:7" ht="22.5" customHeight="1" x14ac:dyDescent="0.15">
      <c r="A2100" s="33"/>
      <c r="B2100" s="12"/>
      <c r="C2100" s="12"/>
      <c r="D2100" s="12"/>
      <c r="E2100" s="12"/>
      <c r="G2100" s="14"/>
    </row>
    <row r="2101" spans="1:7" ht="22.5" customHeight="1" x14ac:dyDescent="0.15">
      <c r="A2101" s="33"/>
      <c r="B2101" s="12"/>
      <c r="C2101" s="12"/>
      <c r="D2101" s="12"/>
      <c r="E2101" s="12"/>
      <c r="G2101" s="14"/>
    </row>
    <row r="2102" spans="1:7" ht="22.5" customHeight="1" x14ac:dyDescent="0.15">
      <c r="A2102" s="33"/>
      <c r="B2102" s="12"/>
      <c r="C2102" s="12"/>
      <c r="D2102" s="12"/>
      <c r="E2102" s="12"/>
      <c r="G2102" s="14"/>
    </row>
    <row r="2103" spans="1:7" ht="22.5" customHeight="1" x14ac:dyDescent="0.15">
      <c r="A2103" s="33"/>
      <c r="B2103" s="12"/>
      <c r="C2103" s="12"/>
      <c r="D2103" s="12"/>
      <c r="E2103" s="12"/>
      <c r="G2103" s="14"/>
    </row>
    <row r="2104" spans="1:7" ht="22.5" customHeight="1" x14ac:dyDescent="0.15">
      <c r="A2104" s="33"/>
      <c r="B2104" s="12"/>
      <c r="C2104" s="12"/>
      <c r="D2104" s="12"/>
      <c r="E2104" s="12"/>
      <c r="G2104" s="14"/>
    </row>
    <row r="2105" spans="1:7" ht="22.5" customHeight="1" x14ac:dyDescent="0.15">
      <c r="A2105" s="33"/>
      <c r="B2105" s="12"/>
      <c r="C2105" s="12"/>
      <c r="D2105" s="12"/>
      <c r="E2105" s="12"/>
      <c r="G2105" s="14"/>
    </row>
    <row r="2106" spans="1:7" ht="22.5" customHeight="1" x14ac:dyDescent="0.15">
      <c r="A2106" s="33"/>
      <c r="B2106" s="12"/>
      <c r="C2106" s="12"/>
      <c r="D2106" s="12"/>
      <c r="E2106" s="12"/>
      <c r="G2106" s="14"/>
    </row>
    <row r="2107" spans="1:7" ht="22.5" customHeight="1" x14ac:dyDescent="0.15">
      <c r="A2107" s="33"/>
      <c r="B2107" s="12"/>
      <c r="C2107" s="12"/>
      <c r="D2107" s="12"/>
      <c r="E2107" s="12"/>
      <c r="G2107" s="14"/>
    </row>
    <row r="2108" spans="1:7" ht="22.5" customHeight="1" x14ac:dyDescent="0.15">
      <c r="A2108" s="33"/>
      <c r="B2108" s="12"/>
      <c r="C2108" s="12"/>
      <c r="D2108" s="12"/>
      <c r="E2108" s="12"/>
      <c r="G2108" s="14"/>
    </row>
    <row r="2109" spans="1:7" ht="22.5" customHeight="1" x14ac:dyDescent="0.15">
      <c r="A2109" s="33"/>
      <c r="B2109" s="12"/>
      <c r="C2109" s="12"/>
      <c r="D2109" s="12"/>
      <c r="E2109" s="12"/>
      <c r="G2109" s="14"/>
    </row>
    <row r="2110" spans="1:7" ht="22.5" customHeight="1" x14ac:dyDescent="0.15">
      <c r="A2110" s="33"/>
      <c r="B2110" s="12"/>
      <c r="C2110" s="12"/>
      <c r="D2110" s="12"/>
      <c r="E2110" s="12"/>
      <c r="G2110" s="14"/>
    </row>
    <row r="2111" spans="1:7" ht="22.5" customHeight="1" x14ac:dyDescent="0.15">
      <c r="A2111" s="33"/>
      <c r="B2111" s="12"/>
      <c r="C2111" s="12"/>
      <c r="D2111" s="12"/>
      <c r="E2111" s="12"/>
      <c r="G2111" s="14"/>
    </row>
    <row r="2112" spans="1:7" ht="22.5" customHeight="1" x14ac:dyDescent="0.15">
      <c r="A2112" s="33"/>
      <c r="B2112" s="12"/>
      <c r="C2112" s="12"/>
      <c r="D2112" s="12"/>
      <c r="E2112" s="12"/>
      <c r="G2112" s="14"/>
    </row>
    <row r="2113" spans="1:7" ht="22.5" customHeight="1" x14ac:dyDescent="0.15">
      <c r="A2113" s="33"/>
      <c r="B2113" s="12"/>
      <c r="C2113" s="12"/>
      <c r="D2113" s="12"/>
      <c r="E2113" s="12"/>
      <c r="G2113" s="14"/>
    </row>
    <row r="2114" spans="1:7" ht="22.5" customHeight="1" x14ac:dyDescent="0.15">
      <c r="A2114" s="33"/>
      <c r="B2114" s="12"/>
      <c r="C2114" s="12"/>
      <c r="D2114" s="12"/>
      <c r="E2114" s="12"/>
      <c r="G2114" s="14"/>
    </row>
    <row r="2115" spans="1:7" ht="22.5" customHeight="1" x14ac:dyDescent="0.15">
      <c r="A2115" s="33"/>
      <c r="B2115" s="12"/>
      <c r="C2115" s="12"/>
      <c r="D2115" s="12"/>
      <c r="E2115" s="12"/>
      <c r="G2115" s="14"/>
    </row>
    <row r="2116" spans="1:7" ht="22.5" customHeight="1" x14ac:dyDescent="0.15">
      <c r="A2116" s="33"/>
      <c r="B2116" s="12"/>
      <c r="C2116" s="12"/>
      <c r="D2116" s="12"/>
      <c r="E2116" s="12"/>
      <c r="G2116" s="14"/>
    </row>
    <row r="2117" spans="1:7" ht="22.5" customHeight="1" x14ac:dyDescent="0.15">
      <c r="A2117" s="33"/>
      <c r="B2117" s="12"/>
      <c r="C2117" s="12"/>
      <c r="D2117" s="12"/>
      <c r="E2117" s="12"/>
      <c r="G2117" s="14"/>
    </row>
    <row r="2118" spans="1:7" ht="22.5" customHeight="1" x14ac:dyDescent="0.15">
      <c r="A2118" s="33"/>
      <c r="B2118" s="12"/>
      <c r="C2118" s="12"/>
      <c r="D2118" s="12"/>
      <c r="E2118" s="12"/>
      <c r="G2118" s="14"/>
    </row>
    <row r="2119" spans="1:7" ht="22.5" customHeight="1" x14ac:dyDescent="0.15">
      <c r="A2119" s="33"/>
      <c r="B2119" s="12"/>
      <c r="C2119" s="12"/>
      <c r="D2119" s="12"/>
      <c r="E2119" s="12"/>
      <c r="G2119" s="14"/>
    </row>
    <row r="2120" spans="1:7" ht="22.5" customHeight="1" x14ac:dyDescent="0.15">
      <c r="A2120" s="33"/>
      <c r="B2120" s="12"/>
      <c r="C2120" s="12"/>
      <c r="D2120" s="12"/>
      <c r="E2120" s="12"/>
      <c r="G2120" s="14"/>
    </row>
    <row r="2121" spans="1:7" ht="22.5" customHeight="1" x14ac:dyDescent="0.15">
      <c r="A2121" s="33"/>
      <c r="B2121" s="12"/>
      <c r="C2121" s="12"/>
      <c r="D2121" s="12"/>
      <c r="E2121" s="12"/>
      <c r="G2121" s="14"/>
    </row>
    <row r="2122" spans="1:7" ht="22.5" customHeight="1" x14ac:dyDescent="0.15">
      <c r="A2122" s="33"/>
      <c r="B2122" s="12"/>
      <c r="C2122" s="12"/>
      <c r="D2122" s="12"/>
      <c r="E2122" s="12"/>
      <c r="G2122" s="14"/>
    </row>
    <row r="2123" spans="1:7" ht="22.5" customHeight="1" x14ac:dyDescent="0.15">
      <c r="A2123" s="33"/>
      <c r="B2123" s="12"/>
      <c r="C2123" s="12"/>
      <c r="D2123" s="12"/>
      <c r="E2123" s="12"/>
      <c r="G2123" s="14"/>
    </row>
    <row r="2124" spans="1:7" ht="22.5" customHeight="1" x14ac:dyDescent="0.15">
      <c r="A2124" s="33"/>
      <c r="B2124" s="12"/>
      <c r="C2124" s="12"/>
      <c r="D2124" s="12"/>
      <c r="E2124" s="12"/>
      <c r="G2124" s="14"/>
    </row>
    <row r="2125" spans="1:7" ht="22.5" customHeight="1" x14ac:dyDescent="0.15">
      <c r="A2125" s="33"/>
      <c r="B2125" s="12"/>
      <c r="C2125" s="12"/>
      <c r="D2125" s="12"/>
      <c r="E2125" s="12"/>
      <c r="G2125" s="14"/>
    </row>
    <row r="2126" spans="1:7" ht="22.5" customHeight="1" x14ac:dyDescent="0.15">
      <c r="A2126" s="33"/>
      <c r="B2126" s="12"/>
      <c r="C2126" s="12"/>
      <c r="D2126" s="12"/>
      <c r="E2126" s="12"/>
      <c r="G2126" s="14"/>
    </row>
    <row r="2127" spans="1:7" ht="22.5" customHeight="1" x14ac:dyDescent="0.15">
      <c r="A2127" s="33"/>
      <c r="B2127" s="12"/>
      <c r="C2127" s="12"/>
      <c r="D2127" s="12"/>
      <c r="E2127" s="12"/>
      <c r="G2127" s="14"/>
    </row>
    <row r="2128" spans="1:7" ht="22.5" customHeight="1" x14ac:dyDescent="0.15">
      <c r="A2128" s="33"/>
      <c r="B2128" s="12"/>
      <c r="C2128" s="12"/>
      <c r="D2128" s="12"/>
      <c r="E2128" s="12"/>
      <c r="G2128" s="14"/>
    </row>
    <row r="2129" spans="1:7" ht="22.5" customHeight="1" x14ac:dyDescent="0.15">
      <c r="A2129" s="33"/>
      <c r="B2129" s="12"/>
      <c r="C2129" s="12"/>
      <c r="D2129" s="12"/>
      <c r="E2129" s="12"/>
      <c r="G2129" s="14"/>
    </row>
    <row r="2130" spans="1:7" ht="22.5" customHeight="1" x14ac:dyDescent="0.15">
      <c r="A2130" s="33"/>
      <c r="B2130" s="12"/>
      <c r="C2130" s="12"/>
      <c r="D2130" s="12"/>
      <c r="E2130" s="12"/>
      <c r="G2130" s="14"/>
    </row>
    <row r="2131" spans="1:7" ht="22.5" customHeight="1" x14ac:dyDescent="0.15">
      <c r="A2131" s="33"/>
      <c r="B2131" s="12"/>
      <c r="C2131" s="12"/>
      <c r="D2131" s="12"/>
      <c r="E2131" s="12"/>
      <c r="G2131" s="14"/>
    </row>
    <row r="2132" spans="1:7" ht="22.5" customHeight="1" x14ac:dyDescent="0.15">
      <c r="A2132" s="33"/>
      <c r="B2132" s="12"/>
      <c r="C2132" s="12"/>
      <c r="D2132" s="12"/>
      <c r="E2132" s="12"/>
      <c r="G2132" s="14"/>
    </row>
    <row r="2133" spans="1:7" ht="22.5" customHeight="1" x14ac:dyDescent="0.15">
      <c r="A2133" s="33"/>
      <c r="B2133" s="12"/>
      <c r="C2133" s="12"/>
      <c r="D2133" s="12"/>
      <c r="E2133" s="12"/>
      <c r="G2133" s="14"/>
    </row>
    <row r="2134" spans="1:7" ht="22.5" customHeight="1" x14ac:dyDescent="0.15">
      <c r="A2134" s="33"/>
      <c r="B2134" s="12"/>
      <c r="C2134" s="12"/>
      <c r="D2134" s="12"/>
      <c r="E2134" s="12"/>
      <c r="G2134" s="14"/>
    </row>
    <row r="2135" spans="1:7" ht="22.5" customHeight="1" x14ac:dyDescent="0.15">
      <c r="A2135" s="33"/>
      <c r="B2135" s="12"/>
      <c r="C2135" s="12"/>
      <c r="D2135" s="12"/>
      <c r="E2135" s="12"/>
      <c r="G2135" s="14"/>
    </row>
    <row r="2136" spans="1:7" ht="22.5" customHeight="1" x14ac:dyDescent="0.15">
      <c r="A2136" s="33"/>
      <c r="B2136" s="12"/>
      <c r="C2136" s="12"/>
      <c r="D2136" s="12"/>
      <c r="E2136" s="12"/>
      <c r="G2136" s="14"/>
    </row>
    <row r="2137" spans="1:7" ht="22.5" customHeight="1" x14ac:dyDescent="0.15">
      <c r="A2137" s="33"/>
      <c r="B2137" s="12"/>
      <c r="C2137" s="12"/>
      <c r="D2137" s="12"/>
      <c r="E2137" s="12"/>
      <c r="G2137" s="14"/>
    </row>
    <row r="2138" spans="1:7" ht="22.5" customHeight="1" x14ac:dyDescent="0.15">
      <c r="A2138" s="33"/>
      <c r="B2138" s="12"/>
      <c r="C2138" s="12"/>
      <c r="D2138" s="12"/>
      <c r="E2138" s="12"/>
      <c r="G2138" s="14"/>
    </row>
    <row r="2139" spans="1:7" ht="22.5" customHeight="1" x14ac:dyDescent="0.15">
      <c r="A2139" s="33"/>
      <c r="B2139" s="12"/>
      <c r="C2139" s="12"/>
      <c r="D2139" s="12"/>
      <c r="E2139" s="12"/>
      <c r="G2139" s="14"/>
    </row>
    <row r="2140" spans="1:7" ht="22.5" customHeight="1" x14ac:dyDescent="0.15">
      <c r="A2140" s="33"/>
      <c r="B2140" s="12"/>
      <c r="C2140" s="12"/>
      <c r="D2140" s="12"/>
      <c r="E2140" s="12"/>
      <c r="G2140" s="14"/>
    </row>
    <row r="2141" spans="1:7" ht="22.5" customHeight="1" x14ac:dyDescent="0.15">
      <c r="A2141" s="33"/>
      <c r="B2141" s="12"/>
      <c r="C2141" s="12"/>
      <c r="D2141" s="12"/>
      <c r="E2141" s="12"/>
      <c r="G2141" s="14"/>
    </row>
    <row r="2142" spans="1:7" ht="22.5" customHeight="1" x14ac:dyDescent="0.15">
      <c r="A2142" s="33"/>
      <c r="B2142" s="12"/>
      <c r="C2142" s="12"/>
      <c r="D2142" s="12"/>
      <c r="E2142" s="12"/>
      <c r="G2142" s="14"/>
    </row>
    <row r="2143" spans="1:7" ht="22.5" customHeight="1" x14ac:dyDescent="0.15">
      <c r="A2143" s="33"/>
      <c r="B2143" s="12"/>
      <c r="C2143" s="12"/>
      <c r="D2143" s="12"/>
      <c r="E2143" s="12"/>
      <c r="G2143" s="14"/>
    </row>
    <row r="2144" spans="1:7" ht="22.5" customHeight="1" x14ac:dyDescent="0.15">
      <c r="A2144" s="33"/>
      <c r="B2144" s="12"/>
      <c r="C2144" s="12"/>
      <c r="D2144" s="12"/>
      <c r="E2144" s="12"/>
      <c r="G2144" s="14"/>
    </row>
    <row r="2145" spans="1:7" ht="22.5" customHeight="1" x14ac:dyDescent="0.15">
      <c r="A2145" s="33"/>
      <c r="B2145" s="12"/>
      <c r="C2145" s="12"/>
      <c r="D2145" s="12"/>
      <c r="E2145" s="12"/>
      <c r="G2145" s="14"/>
    </row>
    <row r="2146" spans="1:7" ht="22.5" customHeight="1" x14ac:dyDescent="0.15">
      <c r="A2146" s="33"/>
      <c r="B2146" s="12"/>
      <c r="C2146" s="12"/>
      <c r="D2146" s="12"/>
      <c r="E2146" s="12"/>
      <c r="G2146" s="14"/>
    </row>
    <row r="2147" spans="1:7" ht="22.5" customHeight="1" x14ac:dyDescent="0.15">
      <c r="A2147" s="33"/>
      <c r="B2147" s="12"/>
      <c r="C2147" s="12"/>
      <c r="D2147" s="12"/>
      <c r="E2147" s="12"/>
      <c r="G2147" s="14"/>
    </row>
    <row r="2148" spans="1:7" ht="22.5" customHeight="1" x14ac:dyDescent="0.15">
      <c r="A2148" s="33"/>
      <c r="B2148" s="12"/>
      <c r="C2148" s="12"/>
      <c r="D2148" s="12"/>
      <c r="E2148" s="12"/>
      <c r="G2148" s="14"/>
    </row>
    <row r="2149" spans="1:7" ht="22.5" customHeight="1" x14ac:dyDescent="0.15">
      <c r="A2149" s="33"/>
      <c r="B2149" s="12"/>
      <c r="C2149" s="12"/>
      <c r="D2149" s="12"/>
      <c r="E2149" s="12"/>
      <c r="G2149" s="14"/>
    </row>
    <row r="2150" spans="1:7" ht="22.5" customHeight="1" x14ac:dyDescent="0.15">
      <c r="A2150" s="33"/>
      <c r="B2150" s="12"/>
      <c r="C2150" s="12"/>
      <c r="D2150" s="12"/>
      <c r="E2150" s="12"/>
      <c r="G2150" s="14"/>
    </row>
    <row r="2151" spans="1:7" ht="22.5" customHeight="1" x14ac:dyDescent="0.15">
      <c r="A2151" s="33"/>
      <c r="B2151" s="12"/>
      <c r="C2151" s="12"/>
      <c r="D2151" s="12"/>
      <c r="E2151" s="12"/>
      <c r="G2151" s="14"/>
    </row>
    <row r="2152" spans="1:7" ht="22.5" customHeight="1" x14ac:dyDescent="0.15">
      <c r="A2152" s="33"/>
      <c r="B2152" s="12"/>
      <c r="C2152" s="12"/>
      <c r="D2152" s="12"/>
      <c r="E2152" s="12"/>
      <c r="G2152" s="14"/>
    </row>
    <row r="2153" spans="1:7" ht="22.5" customHeight="1" x14ac:dyDescent="0.15">
      <c r="A2153" s="33"/>
      <c r="B2153" s="12"/>
      <c r="C2153" s="12"/>
      <c r="D2153" s="12"/>
      <c r="E2153" s="12"/>
      <c r="G2153" s="14"/>
    </row>
    <row r="2154" spans="1:7" ht="22.5" customHeight="1" x14ac:dyDescent="0.15">
      <c r="A2154" s="33"/>
      <c r="B2154" s="12"/>
      <c r="C2154" s="12"/>
      <c r="D2154" s="12"/>
      <c r="E2154" s="12"/>
      <c r="G2154" s="14"/>
    </row>
    <row r="2155" spans="1:7" ht="22.5" customHeight="1" x14ac:dyDescent="0.15">
      <c r="A2155" s="33"/>
      <c r="B2155" s="12"/>
      <c r="C2155" s="12"/>
      <c r="D2155" s="12"/>
      <c r="E2155" s="12"/>
      <c r="G2155" s="14"/>
    </row>
    <row r="2156" spans="1:7" ht="22.5" customHeight="1" x14ac:dyDescent="0.15">
      <c r="A2156" s="33"/>
      <c r="B2156" s="12"/>
      <c r="C2156" s="12"/>
      <c r="D2156" s="12"/>
      <c r="E2156" s="12"/>
      <c r="G2156" s="14"/>
    </row>
    <row r="2157" spans="1:7" ht="22.5" customHeight="1" x14ac:dyDescent="0.15">
      <c r="A2157" s="33"/>
      <c r="B2157" s="12"/>
      <c r="C2157" s="12"/>
      <c r="D2157" s="12"/>
      <c r="E2157" s="12"/>
      <c r="G2157" s="14"/>
    </row>
    <row r="2158" spans="1:7" ht="22.5" customHeight="1" x14ac:dyDescent="0.15">
      <c r="A2158" s="33"/>
      <c r="B2158" s="12"/>
      <c r="C2158" s="12"/>
      <c r="D2158" s="12"/>
      <c r="E2158" s="12"/>
      <c r="G2158" s="14"/>
    </row>
    <row r="2159" spans="1:7" ht="22.5" customHeight="1" x14ac:dyDescent="0.15">
      <c r="A2159" s="33"/>
      <c r="B2159" s="12"/>
      <c r="C2159" s="12"/>
      <c r="D2159" s="12"/>
      <c r="E2159" s="12"/>
      <c r="G2159" s="14"/>
    </row>
    <row r="2160" spans="1:7" ht="22.5" customHeight="1" x14ac:dyDescent="0.15">
      <c r="A2160" s="33"/>
      <c r="B2160" s="12"/>
      <c r="C2160" s="12"/>
      <c r="D2160" s="12"/>
      <c r="E2160" s="12"/>
      <c r="G2160" s="14"/>
    </row>
    <row r="2161" spans="1:7" ht="22.5" customHeight="1" x14ac:dyDescent="0.15">
      <c r="A2161" s="33"/>
      <c r="B2161" s="12"/>
      <c r="C2161" s="12"/>
      <c r="D2161" s="12"/>
      <c r="E2161" s="12"/>
      <c r="G2161" s="14"/>
    </row>
    <row r="2162" spans="1:7" ht="22.5" customHeight="1" x14ac:dyDescent="0.15">
      <c r="A2162" s="33"/>
      <c r="B2162" s="12"/>
      <c r="C2162" s="12"/>
      <c r="D2162" s="12"/>
      <c r="E2162" s="12"/>
      <c r="G2162" s="14"/>
    </row>
    <row r="2163" spans="1:7" ht="22.5" customHeight="1" x14ac:dyDescent="0.15">
      <c r="A2163" s="33"/>
      <c r="B2163" s="12"/>
      <c r="C2163" s="12"/>
      <c r="D2163" s="12"/>
      <c r="E2163" s="12"/>
      <c r="G2163" s="14"/>
    </row>
    <row r="2164" spans="1:7" ht="22.5" customHeight="1" x14ac:dyDescent="0.15">
      <c r="A2164" s="33"/>
      <c r="B2164" s="12"/>
      <c r="C2164" s="12"/>
      <c r="D2164" s="12"/>
      <c r="E2164" s="12"/>
      <c r="G2164" s="14"/>
    </row>
    <row r="2165" spans="1:7" ht="22.5" customHeight="1" x14ac:dyDescent="0.15">
      <c r="A2165" s="33"/>
      <c r="B2165" s="12"/>
      <c r="C2165" s="12"/>
      <c r="D2165" s="12"/>
      <c r="E2165" s="12"/>
      <c r="G2165" s="14"/>
    </row>
    <row r="2166" spans="1:7" ht="22.5" customHeight="1" x14ac:dyDescent="0.15">
      <c r="A2166" s="33"/>
      <c r="B2166" s="12"/>
      <c r="C2166" s="12"/>
      <c r="D2166" s="12"/>
      <c r="E2166" s="12"/>
      <c r="G2166" s="14"/>
    </row>
    <row r="2167" spans="1:7" ht="22.5" customHeight="1" x14ac:dyDescent="0.15">
      <c r="A2167" s="33"/>
      <c r="B2167" s="12"/>
      <c r="C2167" s="12"/>
      <c r="D2167" s="12"/>
      <c r="E2167" s="12"/>
      <c r="G2167" s="14"/>
    </row>
    <row r="2168" spans="1:7" ht="22.5" customHeight="1" x14ac:dyDescent="0.15">
      <c r="A2168" s="33"/>
      <c r="B2168" s="12"/>
      <c r="C2168" s="12"/>
      <c r="D2168" s="12"/>
      <c r="E2168" s="12"/>
      <c r="G2168" s="14"/>
    </row>
    <row r="2169" spans="1:7" ht="22.5" customHeight="1" x14ac:dyDescent="0.15">
      <c r="A2169" s="33"/>
      <c r="B2169" s="12"/>
      <c r="C2169" s="12"/>
      <c r="D2169" s="12"/>
      <c r="E2169" s="12"/>
      <c r="G2169" s="14"/>
    </row>
    <row r="2170" spans="1:7" ht="22.5" customHeight="1" x14ac:dyDescent="0.15">
      <c r="A2170" s="33"/>
      <c r="B2170" s="12"/>
      <c r="C2170" s="12"/>
      <c r="D2170" s="12"/>
      <c r="E2170" s="12"/>
      <c r="G2170" s="14"/>
    </row>
    <row r="2171" spans="1:7" ht="22.5" customHeight="1" x14ac:dyDescent="0.15">
      <c r="A2171" s="33"/>
      <c r="B2171" s="12"/>
      <c r="C2171" s="12"/>
      <c r="D2171" s="12"/>
      <c r="E2171" s="12"/>
      <c r="G2171" s="14"/>
    </row>
    <row r="2172" spans="1:7" ht="22.5" customHeight="1" x14ac:dyDescent="0.15">
      <c r="A2172" s="33"/>
      <c r="B2172" s="12"/>
      <c r="C2172" s="12"/>
      <c r="D2172" s="12"/>
      <c r="E2172" s="12"/>
      <c r="G2172" s="14"/>
    </row>
    <row r="2173" spans="1:7" ht="22.5" customHeight="1" x14ac:dyDescent="0.15">
      <c r="A2173" s="33"/>
      <c r="B2173" s="12"/>
      <c r="C2173" s="12"/>
      <c r="D2173" s="12"/>
      <c r="E2173" s="12"/>
      <c r="G2173" s="14"/>
    </row>
    <row r="2174" spans="1:7" ht="22.5" customHeight="1" x14ac:dyDescent="0.15">
      <c r="A2174" s="33"/>
      <c r="B2174" s="12"/>
      <c r="C2174" s="12"/>
      <c r="D2174" s="12"/>
      <c r="E2174" s="12"/>
      <c r="G2174" s="14"/>
    </row>
    <row r="2175" spans="1:7" ht="22.5" customHeight="1" x14ac:dyDescent="0.15">
      <c r="A2175" s="33"/>
      <c r="B2175" s="12"/>
      <c r="C2175" s="12"/>
      <c r="D2175" s="12"/>
      <c r="E2175" s="12"/>
      <c r="G2175" s="14"/>
    </row>
    <row r="2176" spans="1:7" ht="22.5" customHeight="1" x14ac:dyDescent="0.15">
      <c r="A2176" s="33"/>
      <c r="B2176" s="12"/>
      <c r="C2176" s="12"/>
      <c r="D2176" s="12"/>
      <c r="E2176" s="12"/>
      <c r="G2176" s="14"/>
    </row>
    <row r="2177" spans="1:7" ht="22.5" customHeight="1" x14ac:dyDescent="0.15">
      <c r="A2177" s="33"/>
      <c r="B2177" s="12"/>
      <c r="C2177" s="12"/>
      <c r="D2177" s="12"/>
      <c r="E2177" s="12"/>
      <c r="G2177" s="14"/>
    </row>
    <row r="2178" spans="1:7" ht="22.5" customHeight="1" x14ac:dyDescent="0.15">
      <c r="A2178" s="33"/>
      <c r="B2178" s="12"/>
      <c r="C2178" s="12"/>
      <c r="D2178" s="12"/>
      <c r="E2178" s="12"/>
      <c r="G2178" s="14"/>
    </row>
    <row r="2179" spans="1:7" ht="22.5" customHeight="1" x14ac:dyDescent="0.15">
      <c r="A2179" s="33"/>
      <c r="B2179" s="12"/>
      <c r="C2179" s="12"/>
      <c r="D2179" s="12"/>
      <c r="E2179" s="12"/>
      <c r="G2179" s="14"/>
    </row>
    <row r="2180" spans="1:7" ht="22.5" customHeight="1" x14ac:dyDescent="0.15">
      <c r="A2180" s="33"/>
      <c r="B2180" s="12"/>
      <c r="C2180" s="12"/>
      <c r="D2180" s="12"/>
      <c r="E2180" s="12"/>
      <c r="G2180" s="14"/>
    </row>
    <row r="2181" spans="1:7" ht="22.5" customHeight="1" x14ac:dyDescent="0.15">
      <c r="A2181" s="33"/>
      <c r="B2181" s="12"/>
      <c r="C2181" s="12"/>
      <c r="D2181" s="12"/>
      <c r="E2181" s="12"/>
      <c r="G2181" s="14"/>
    </row>
    <row r="2182" spans="1:7" ht="22.5" customHeight="1" x14ac:dyDescent="0.15">
      <c r="A2182" s="33"/>
      <c r="B2182" s="12"/>
      <c r="C2182" s="12"/>
      <c r="D2182" s="12"/>
      <c r="E2182" s="12"/>
      <c r="G2182" s="14"/>
    </row>
    <row r="2183" spans="1:7" ht="22.5" customHeight="1" x14ac:dyDescent="0.15">
      <c r="A2183" s="33"/>
      <c r="B2183" s="12"/>
      <c r="C2183" s="12"/>
      <c r="D2183" s="12"/>
      <c r="E2183" s="12"/>
      <c r="G2183" s="14"/>
    </row>
    <row r="2184" spans="1:7" ht="22.5" customHeight="1" x14ac:dyDescent="0.15">
      <c r="A2184" s="33"/>
      <c r="B2184" s="12"/>
      <c r="C2184" s="12"/>
      <c r="D2184" s="12"/>
      <c r="E2184" s="12"/>
      <c r="G2184" s="14"/>
    </row>
    <row r="2185" spans="1:7" ht="22.5" customHeight="1" x14ac:dyDescent="0.15">
      <c r="A2185" s="33"/>
      <c r="B2185" s="12"/>
      <c r="C2185" s="12"/>
      <c r="D2185" s="12"/>
      <c r="E2185" s="12"/>
      <c r="G2185" s="14"/>
    </row>
    <row r="2186" spans="1:7" ht="22.5" customHeight="1" x14ac:dyDescent="0.15">
      <c r="A2186" s="33"/>
      <c r="B2186" s="12"/>
      <c r="C2186" s="12"/>
      <c r="D2186" s="12"/>
      <c r="E2186" s="12"/>
      <c r="G2186" s="14"/>
    </row>
    <row r="2187" spans="1:7" ht="22.5" customHeight="1" x14ac:dyDescent="0.15">
      <c r="A2187" s="33"/>
      <c r="B2187" s="12"/>
      <c r="C2187" s="12"/>
      <c r="D2187" s="12"/>
      <c r="E2187" s="12"/>
      <c r="G2187" s="14"/>
    </row>
    <row r="2188" spans="1:7" ht="22.5" customHeight="1" x14ac:dyDescent="0.15">
      <c r="A2188" s="33"/>
      <c r="B2188" s="12"/>
      <c r="C2188" s="12"/>
      <c r="D2188" s="12"/>
      <c r="E2188" s="12"/>
      <c r="G2188" s="14"/>
    </row>
    <row r="2189" spans="1:7" ht="22.5" customHeight="1" x14ac:dyDescent="0.15">
      <c r="A2189" s="33"/>
      <c r="B2189" s="12"/>
      <c r="C2189" s="12"/>
      <c r="D2189" s="12"/>
      <c r="E2189" s="12"/>
      <c r="G2189" s="14"/>
    </row>
    <row r="2190" spans="1:7" ht="22.5" customHeight="1" x14ac:dyDescent="0.15">
      <c r="A2190" s="33"/>
      <c r="B2190" s="12"/>
      <c r="C2190" s="12"/>
      <c r="D2190" s="12"/>
      <c r="E2190" s="12"/>
      <c r="G2190" s="14"/>
    </row>
    <row r="2191" spans="1:7" ht="22.5" customHeight="1" x14ac:dyDescent="0.15">
      <c r="A2191" s="33"/>
      <c r="B2191" s="12"/>
      <c r="C2191" s="12"/>
      <c r="D2191" s="12"/>
      <c r="E2191" s="12"/>
      <c r="G2191" s="14"/>
    </row>
    <row r="2192" spans="1:7" ht="22.5" customHeight="1" x14ac:dyDescent="0.15">
      <c r="A2192" s="33"/>
      <c r="B2192" s="12"/>
      <c r="C2192" s="12"/>
      <c r="D2192" s="12"/>
      <c r="E2192" s="12"/>
      <c r="G2192" s="14"/>
    </row>
    <row r="2193" spans="1:7" ht="22.5" customHeight="1" x14ac:dyDescent="0.15">
      <c r="A2193" s="33"/>
      <c r="B2193" s="12"/>
      <c r="C2193" s="12"/>
      <c r="D2193" s="12"/>
      <c r="E2193" s="12"/>
      <c r="G2193" s="14"/>
    </row>
    <row r="2194" spans="1:7" ht="22.5" customHeight="1" x14ac:dyDescent="0.15">
      <c r="A2194" s="33"/>
      <c r="B2194" s="12"/>
      <c r="C2194" s="12"/>
      <c r="D2194" s="12"/>
      <c r="E2194" s="12"/>
      <c r="G2194" s="14"/>
    </row>
    <row r="2195" spans="1:7" ht="22.5" customHeight="1" x14ac:dyDescent="0.15">
      <c r="A2195" s="33"/>
      <c r="B2195" s="12"/>
      <c r="C2195" s="12"/>
      <c r="D2195" s="12"/>
      <c r="E2195" s="12"/>
      <c r="G2195" s="14"/>
    </row>
    <row r="2196" spans="1:7" ht="22.5" customHeight="1" x14ac:dyDescent="0.15">
      <c r="A2196" s="33"/>
      <c r="B2196" s="12"/>
      <c r="C2196" s="12"/>
      <c r="D2196" s="12"/>
      <c r="E2196" s="12"/>
      <c r="G2196" s="14"/>
    </row>
    <row r="2197" spans="1:7" ht="22.5" customHeight="1" x14ac:dyDescent="0.15">
      <c r="A2197" s="33"/>
      <c r="B2197" s="12"/>
      <c r="C2197" s="12"/>
      <c r="D2197" s="12"/>
      <c r="E2197" s="12"/>
      <c r="G2197" s="14"/>
    </row>
    <row r="2198" spans="1:7" ht="22.5" customHeight="1" x14ac:dyDescent="0.15">
      <c r="A2198" s="33"/>
      <c r="B2198" s="12"/>
      <c r="C2198" s="12"/>
      <c r="D2198" s="12"/>
      <c r="E2198" s="12"/>
      <c r="G2198" s="14"/>
    </row>
    <row r="2199" spans="1:7" ht="22.5" customHeight="1" x14ac:dyDescent="0.15">
      <c r="A2199" s="33"/>
      <c r="B2199" s="12"/>
      <c r="C2199" s="12"/>
      <c r="D2199" s="12"/>
      <c r="E2199" s="12"/>
      <c r="G2199" s="14"/>
    </row>
    <row r="2200" spans="1:7" ht="22.5" customHeight="1" x14ac:dyDescent="0.15">
      <c r="A2200" s="33"/>
      <c r="B2200" s="12"/>
      <c r="C2200" s="12"/>
      <c r="D2200" s="12"/>
      <c r="E2200" s="12"/>
      <c r="G2200" s="14"/>
    </row>
    <row r="2201" spans="1:7" ht="22.5" customHeight="1" x14ac:dyDescent="0.15">
      <c r="A2201" s="33"/>
      <c r="B2201" s="12"/>
      <c r="C2201" s="12"/>
      <c r="D2201" s="12"/>
      <c r="E2201" s="12"/>
      <c r="G2201" s="14"/>
    </row>
    <row r="2202" spans="1:7" ht="22.5" customHeight="1" x14ac:dyDescent="0.15">
      <c r="A2202" s="33"/>
      <c r="B2202" s="12"/>
      <c r="C2202" s="12"/>
      <c r="D2202" s="12"/>
      <c r="E2202" s="12"/>
      <c r="G2202" s="14"/>
    </row>
    <row r="2203" spans="1:7" ht="22.5" customHeight="1" x14ac:dyDescent="0.15">
      <c r="A2203" s="33"/>
      <c r="B2203" s="12"/>
      <c r="C2203" s="12"/>
      <c r="D2203" s="12"/>
      <c r="E2203" s="12"/>
      <c r="G2203" s="14"/>
    </row>
    <row r="2204" spans="1:7" ht="22.5" customHeight="1" x14ac:dyDescent="0.15">
      <c r="A2204" s="33"/>
      <c r="B2204" s="12"/>
      <c r="C2204" s="12"/>
      <c r="D2204" s="12"/>
      <c r="E2204" s="12"/>
      <c r="G2204" s="14"/>
    </row>
    <row r="2205" spans="1:7" ht="22.5" customHeight="1" x14ac:dyDescent="0.15">
      <c r="A2205" s="33"/>
      <c r="B2205" s="12"/>
      <c r="C2205" s="12"/>
      <c r="D2205" s="12"/>
      <c r="E2205" s="12"/>
      <c r="G2205" s="14"/>
    </row>
    <row r="2206" spans="1:7" ht="22.5" customHeight="1" x14ac:dyDescent="0.15">
      <c r="A2206" s="33"/>
      <c r="B2206" s="12"/>
      <c r="C2206" s="12"/>
      <c r="D2206" s="12"/>
      <c r="E2206" s="12"/>
      <c r="G2206" s="14"/>
    </row>
    <row r="2207" spans="1:7" ht="22.5" customHeight="1" x14ac:dyDescent="0.15">
      <c r="A2207" s="33"/>
      <c r="B2207" s="12"/>
      <c r="C2207" s="12"/>
      <c r="D2207" s="12"/>
      <c r="E2207" s="12"/>
      <c r="G2207" s="14"/>
    </row>
    <row r="2208" spans="1:7" ht="22.5" customHeight="1" x14ac:dyDescent="0.15">
      <c r="A2208" s="33"/>
      <c r="B2208" s="12"/>
      <c r="C2208" s="12"/>
      <c r="D2208" s="12"/>
      <c r="E2208" s="12"/>
      <c r="G2208" s="14"/>
    </row>
    <row r="2209" spans="1:7" ht="22.5" customHeight="1" x14ac:dyDescent="0.15">
      <c r="A2209" s="33"/>
      <c r="B2209" s="12"/>
      <c r="C2209" s="12"/>
      <c r="D2209" s="12"/>
      <c r="E2209" s="12"/>
      <c r="G2209" s="14"/>
    </row>
    <row r="2210" spans="1:7" ht="22.5" customHeight="1" x14ac:dyDescent="0.15">
      <c r="A2210" s="33"/>
      <c r="B2210" s="12"/>
      <c r="C2210" s="12"/>
      <c r="D2210" s="12"/>
      <c r="E2210" s="12"/>
      <c r="G2210" s="14"/>
    </row>
    <row r="2211" spans="1:7" ht="22.5" customHeight="1" x14ac:dyDescent="0.15">
      <c r="A2211" s="33"/>
      <c r="B2211" s="12"/>
      <c r="C2211" s="12"/>
      <c r="D2211" s="12"/>
      <c r="E2211" s="12"/>
      <c r="G2211" s="14"/>
    </row>
    <row r="2212" spans="1:7" ht="22.5" customHeight="1" x14ac:dyDescent="0.15">
      <c r="A2212" s="33"/>
      <c r="B2212" s="12"/>
      <c r="C2212" s="12"/>
      <c r="D2212" s="12"/>
      <c r="E2212" s="12"/>
      <c r="G2212" s="14"/>
    </row>
    <row r="2213" spans="1:7" ht="22.5" customHeight="1" x14ac:dyDescent="0.15">
      <c r="A2213" s="33"/>
      <c r="B2213" s="12"/>
      <c r="C2213" s="12"/>
      <c r="D2213" s="12"/>
      <c r="E2213" s="12"/>
      <c r="G2213" s="14"/>
    </row>
    <row r="2214" spans="1:7" ht="22.5" customHeight="1" x14ac:dyDescent="0.15">
      <c r="A2214" s="33"/>
      <c r="B2214" s="12"/>
      <c r="C2214" s="12"/>
      <c r="D2214" s="12"/>
      <c r="E2214" s="12"/>
      <c r="G2214" s="14"/>
    </row>
    <row r="2215" spans="1:7" ht="22.5" customHeight="1" x14ac:dyDescent="0.15">
      <c r="A2215" s="33"/>
      <c r="B2215" s="12"/>
      <c r="C2215" s="12"/>
      <c r="D2215" s="12"/>
      <c r="E2215" s="12"/>
      <c r="G2215" s="14"/>
    </row>
    <row r="2216" spans="1:7" ht="22.5" customHeight="1" x14ac:dyDescent="0.15">
      <c r="A2216" s="33"/>
      <c r="B2216" s="12"/>
      <c r="C2216" s="12"/>
      <c r="D2216" s="12"/>
      <c r="E2216" s="12"/>
      <c r="G2216" s="14"/>
    </row>
    <row r="2217" spans="1:7" ht="22.5" customHeight="1" x14ac:dyDescent="0.15">
      <c r="A2217" s="33"/>
      <c r="B2217" s="12"/>
      <c r="C2217" s="12"/>
      <c r="D2217" s="12"/>
      <c r="E2217" s="12"/>
      <c r="G2217" s="14"/>
    </row>
    <row r="2218" spans="1:7" ht="22.5" customHeight="1" x14ac:dyDescent="0.15">
      <c r="A2218" s="33"/>
      <c r="B2218" s="12"/>
      <c r="C2218" s="12"/>
      <c r="D2218" s="12"/>
      <c r="E2218" s="12"/>
      <c r="G2218" s="14"/>
    </row>
    <row r="2219" spans="1:7" ht="22.5" customHeight="1" x14ac:dyDescent="0.15">
      <c r="A2219" s="33"/>
      <c r="B2219" s="12"/>
      <c r="C2219" s="12"/>
      <c r="D2219" s="12"/>
      <c r="E2219" s="12"/>
      <c r="G2219" s="14"/>
    </row>
    <row r="2220" spans="1:7" ht="22.5" customHeight="1" x14ac:dyDescent="0.15">
      <c r="A2220" s="33"/>
      <c r="B2220" s="12"/>
      <c r="C2220" s="12"/>
      <c r="D2220" s="12"/>
      <c r="E2220" s="12"/>
      <c r="G2220" s="14"/>
    </row>
    <row r="2221" spans="1:7" ht="22.5" customHeight="1" x14ac:dyDescent="0.15">
      <c r="A2221" s="33"/>
      <c r="B2221" s="12"/>
      <c r="C2221" s="12"/>
      <c r="D2221" s="12"/>
      <c r="E2221" s="12"/>
      <c r="G2221" s="14"/>
    </row>
    <row r="2222" spans="1:7" ht="22.5" customHeight="1" x14ac:dyDescent="0.15">
      <c r="A2222" s="33"/>
      <c r="B2222" s="12"/>
      <c r="C2222" s="12"/>
      <c r="D2222" s="12"/>
      <c r="E2222" s="12"/>
      <c r="G2222" s="14"/>
    </row>
    <row r="2223" spans="1:7" ht="22.5" customHeight="1" x14ac:dyDescent="0.15">
      <c r="A2223" s="33"/>
      <c r="B2223" s="12"/>
      <c r="C2223" s="12"/>
      <c r="D2223" s="12"/>
      <c r="E2223" s="12"/>
      <c r="G2223" s="14"/>
    </row>
    <row r="2224" spans="1:7" ht="22.5" customHeight="1" x14ac:dyDescent="0.15">
      <c r="A2224" s="33"/>
      <c r="B2224" s="12"/>
      <c r="C2224" s="12"/>
      <c r="D2224" s="12"/>
      <c r="E2224" s="12"/>
      <c r="G2224" s="14"/>
    </row>
    <row r="2225" spans="1:7" ht="22.5" customHeight="1" x14ac:dyDescent="0.15">
      <c r="A2225" s="33"/>
      <c r="B2225" s="12"/>
      <c r="C2225" s="12"/>
      <c r="D2225" s="12"/>
      <c r="E2225" s="12"/>
      <c r="G2225" s="14"/>
    </row>
    <row r="2226" spans="1:7" ht="22.5" customHeight="1" x14ac:dyDescent="0.15">
      <c r="A2226" s="33"/>
      <c r="B2226" s="12"/>
      <c r="C2226" s="12"/>
      <c r="D2226" s="12"/>
      <c r="E2226" s="12"/>
      <c r="G2226" s="14"/>
    </row>
    <row r="2227" spans="1:7" ht="22.5" customHeight="1" x14ac:dyDescent="0.15">
      <c r="A2227" s="33"/>
      <c r="B2227" s="12"/>
      <c r="C2227" s="12"/>
      <c r="D2227" s="12"/>
      <c r="E2227" s="12"/>
      <c r="G2227" s="14"/>
    </row>
    <row r="2228" spans="1:7" ht="22.5" customHeight="1" x14ac:dyDescent="0.15">
      <c r="A2228" s="33"/>
      <c r="B2228" s="12"/>
      <c r="C2228" s="12"/>
      <c r="D2228" s="12"/>
      <c r="E2228" s="12"/>
      <c r="G2228" s="14"/>
    </row>
    <row r="2229" spans="1:7" ht="22.5" customHeight="1" x14ac:dyDescent="0.15">
      <c r="A2229" s="33"/>
      <c r="B2229" s="12"/>
      <c r="C2229" s="12"/>
      <c r="D2229" s="12"/>
      <c r="E2229" s="12"/>
      <c r="G2229" s="14"/>
    </row>
    <row r="2230" spans="1:7" ht="22.5" customHeight="1" x14ac:dyDescent="0.15">
      <c r="A2230" s="33"/>
      <c r="B2230" s="12"/>
      <c r="C2230" s="12"/>
      <c r="D2230" s="12"/>
      <c r="E2230" s="12"/>
      <c r="G2230" s="14"/>
    </row>
    <row r="2231" spans="1:7" ht="22.5" customHeight="1" x14ac:dyDescent="0.15">
      <c r="A2231" s="33"/>
      <c r="B2231" s="12"/>
      <c r="C2231" s="12"/>
      <c r="D2231" s="12"/>
      <c r="E2231" s="12"/>
      <c r="G2231" s="14"/>
    </row>
    <row r="2232" spans="1:7" ht="22.5" customHeight="1" x14ac:dyDescent="0.15">
      <c r="A2232" s="33"/>
      <c r="B2232" s="12"/>
      <c r="C2232" s="12"/>
      <c r="D2232" s="12"/>
      <c r="E2232" s="12"/>
      <c r="G2232" s="14"/>
    </row>
    <row r="2233" spans="1:7" ht="22.5" customHeight="1" x14ac:dyDescent="0.15">
      <c r="A2233" s="33"/>
      <c r="B2233" s="12"/>
      <c r="C2233" s="12"/>
      <c r="D2233" s="12"/>
      <c r="E2233" s="12"/>
      <c r="G2233" s="14"/>
    </row>
    <row r="2234" spans="1:7" ht="22.5" customHeight="1" x14ac:dyDescent="0.15">
      <c r="A2234" s="33"/>
      <c r="B2234" s="12"/>
      <c r="C2234" s="12"/>
      <c r="D2234" s="12"/>
      <c r="E2234" s="12"/>
      <c r="G2234" s="14"/>
    </row>
    <row r="2235" spans="1:7" ht="22.5" customHeight="1" x14ac:dyDescent="0.15">
      <c r="A2235" s="33"/>
      <c r="B2235" s="12"/>
      <c r="C2235" s="12"/>
      <c r="D2235" s="12"/>
      <c r="E2235" s="12"/>
      <c r="G2235" s="14"/>
    </row>
    <row r="2236" spans="1:7" ht="22.5" customHeight="1" x14ac:dyDescent="0.15">
      <c r="A2236" s="33"/>
      <c r="B2236" s="12"/>
      <c r="C2236" s="12"/>
      <c r="D2236" s="12"/>
      <c r="E2236" s="12"/>
      <c r="G2236" s="14"/>
    </row>
    <row r="2237" spans="1:7" ht="22.5" customHeight="1" x14ac:dyDescent="0.15">
      <c r="A2237" s="33"/>
      <c r="B2237" s="12"/>
      <c r="C2237" s="12"/>
      <c r="D2237" s="12"/>
      <c r="E2237" s="12"/>
      <c r="G2237" s="14"/>
    </row>
    <row r="2238" spans="1:7" ht="22.5" customHeight="1" x14ac:dyDescent="0.15">
      <c r="A2238" s="33"/>
      <c r="B2238" s="12"/>
      <c r="C2238" s="12"/>
      <c r="D2238" s="12"/>
      <c r="E2238" s="12"/>
      <c r="G2238" s="14"/>
    </row>
    <row r="2239" spans="1:7" ht="22.5" customHeight="1" x14ac:dyDescent="0.15">
      <c r="A2239" s="33"/>
      <c r="B2239" s="12"/>
      <c r="C2239" s="12"/>
      <c r="D2239" s="12"/>
      <c r="E2239" s="12"/>
      <c r="G2239" s="14"/>
    </row>
    <row r="2240" spans="1:7" ht="22.5" customHeight="1" x14ac:dyDescent="0.15">
      <c r="A2240" s="33"/>
      <c r="B2240" s="12"/>
      <c r="C2240" s="12"/>
      <c r="D2240" s="12"/>
      <c r="E2240" s="12"/>
      <c r="G2240" s="14"/>
    </row>
    <row r="2241" spans="1:7" ht="22.5" customHeight="1" x14ac:dyDescent="0.15">
      <c r="A2241" s="33"/>
      <c r="B2241" s="12"/>
      <c r="C2241" s="12"/>
      <c r="D2241" s="12"/>
      <c r="E2241" s="12"/>
      <c r="G2241" s="14"/>
    </row>
    <row r="2242" spans="1:7" ht="22.5" customHeight="1" x14ac:dyDescent="0.15">
      <c r="A2242" s="33"/>
      <c r="B2242" s="12"/>
      <c r="C2242" s="12"/>
      <c r="D2242" s="12"/>
      <c r="E2242" s="12"/>
      <c r="G2242" s="14"/>
    </row>
    <row r="2243" spans="1:7" ht="22.5" customHeight="1" x14ac:dyDescent="0.15">
      <c r="A2243" s="33"/>
      <c r="B2243" s="12"/>
      <c r="C2243" s="12"/>
      <c r="D2243" s="12"/>
      <c r="E2243" s="12"/>
      <c r="G2243" s="14"/>
    </row>
    <row r="2244" spans="1:7" ht="22.5" customHeight="1" x14ac:dyDescent="0.15">
      <c r="A2244" s="33"/>
      <c r="B2244" s="12"/>
      <c r="C2244" s="12"/>
      <c r="D2244" s="12"/>
      <c r="E2244" s="12"/>
      <c r="G2244" s="14"/>
    </row>
    <row r="2245" spans="1:7" ht="22.5" customHeight="1" x14ac:dyDescent="0.15">
      <c r="A2245" s="33"/>
      <c r="B2245" s="12"/>
      <c r="C2245" s="12"/>
      <c r="D2245" s="12"/>
      <c r="E2245" s="12"/>
      <c r="G2245" s="14"/>
    </row>
    <row r="2246" spans="1:7" ht="22.5" customHeight="1" x14ac:dyDescent="0.15">
      <c r="A2246" s="33"/>
      <c r="B2246" s="12"/>
      <c r="C2246" s="12"/>
      <c r="D2246" s="12"/>
      <c r="E2246" s="12"/>
      <c r="G2246" s="14"/>
    </row>
    <row r="2247" spans="1:7" ht="22.5" customHeight="1" x14ac:dyDescent="0.15">
      <c r="A2247" s="33"/>
      <c r="B2247" s="12"/>
      <c r="C2247" s="12"/>
      <c r="D2247" s="12"/>
      <c r="E2247" s="12"/>
      <c r="G2247" s="14"/>
    </row>
    <row r="2248" spans="1:7" ht="22.5" customHeight="1" x14ac:dyDescent="0.15">
      <c r="A2248" s="33"/>
      <c r="B2248" s="12"/>
      <c r="C2248" s="12"/>
      <c r="D2248" s="12"/>
      <c r="E2248" s="12"/>
      <c r="G2248" s="14"/>
    </row>
    <row r="2249" spans="1:7" ht="22.5" customHeight="1" x14ac:dyDescent="0.15">
      <c r="A2249" s="33"/>
      <c r="B2249" s="12"/>
      <c r="C2249" s="12"/>
      <c r="D2249" s="12"/>
      <c r="E2249" s="12"/>
      <c r="G2249" s="14"/>
    </row>
    <row r="2250" spans="1:7" ht="22.5" customHeight="1" x14ac:dyDescent="0.15">
      <c r="A2250" s="33"/>
      <c r="B2250" s="12"/>
      <c r="C2250" s="12"/>
      <c r="D2250" s="12"/>
      <c r="E2250" s="12"/>
      <c r="G2250" s="14"/>
    </row>
    <row r="2251" spans="1:7" ht="22.5" customHeight="1" x14ac:dyDescent="0.15">
      <c r="A2251" s="33"/>
      <c r="B2251" s="12"/>
      <c r="C2251" s="12"/>
      <c r="D2251" s="12"/>
      <c r="E2251" s="12"/>
      <c r="G2251" s="14"/>
    </row>
    <row r="2252" spans="1:7" ht="22.5" customHeight="1" x14ac:dyDescent="0.15">
      <c r="A2252" s="33"/>
      <c r="B2252" s="12"/>
      <c r="C2252" s="12"/>
      <c r="D2252" s="12"/>
      <c r="E2252" s="12"/>
      <c r="G2252" s="14"/>
    </row>
    <row r="2253" spans="1:7" ht="22.5" customHeight="1" x14ac:dyDescent="0.15">
      <c r="A2253" s="33"/>
      <c r="B2253" s="12"/>
      <c r="C2253" s="12"/>
      <c r="D2253" s="12"/>
      <c r="E2253" s="12"/>
      <c r="G2253" s="14"/>
    </row>
    <row r="2254" spans="1:7" ht="22.5" customHeight="1" x14ac:dyDescent="0.15">
      <c r="A2254" s="33"/>
      <c r="B2254" s="12"/>
      <c r="C2254" s="12"/>
      <c r="D2254" s="12"/>
      <c r="E2254" s="12"/>
      <c r="G2254" s="14"/>
    </row>
    <row r="2255" spans="1:7" ht="22.5" customHeight="1" x14ac:dyDescent="0.15">
      <c r="A2255" s="33"/>
      <c r="B2255" s="12"/>
      <c r="C2255" s="12"/>
      <c r="D2255" s="12"/>
      <c r="E2255" s="12"/>
      <c r="G2255" s="14"/>
    </row>
    <row r="2256" spans="1:7" ht="22.5" customHeight="1" x14ac:dyDescent="0.15">
      <c r="A2256" s="33"/>
      <c r="B2256" s="12"/>
      <c r="C2256" s="12"/>
      <c r="D2256" s="12"/>
      <c r="E2256" s="12"/>
      <c r="G2256" s="14"/>
    </row>
    <row r="2257" spans="1:7" ht="22.5" customHeight="1" x14ac:dyDescent="0.15">
      <c r="A2257" s="33"/>
      <c r="B2257" s="12"/>
      <c r="C2257" s="12"/>
      <c r="D2257" s="12"/>
      <c r="E2257" s="12"/>
      <c r="G2257" s="14"/>
    </row>
    <row r="2258" spans="1:7" ht="22.5" customHeight="1" x14ac:dyDescent="0.15">
      <c r="A2258" s="33"/>
      <c r="B2258" s="12"/>
      <c r="C2258" s="12"/>
      <c r="D2258" s="12"/>
      <c r="E2258" s="12"/>
      <c r="G2258" s="14"/>
    </row>
    <row r="2259" spans="1:7" ht="22.5" customHeight="1" x14ac:dyDescent="0.15">
      <c r="A2259" s="33"/>
      <c r="B2259" s="12"/>
      <c r="C2259" s="12"/>
      <c r="D2259" s="12"/>
      <c r="E2259" s="12"/>
      <c r="G2259" s="14"/>
    </row>
    <row r="2260" spans="1:7" ht="22.5" customHeight="1" x14ac:dyDescent="0.15">
      <c r="A2260" s="33"/>
      <c r="B2260" s="12"/>
      <c r="C2260" s="12"/>
      <c r="D2260" s="12"/>
      <c r="E2260" s="12"/>
      <c r="G2260" s="14"/>
    </row>
    <row r="2261" spans="1:7" ht="22.5" customHeight="1" x14ac:dyDescent="0.15">
      <c r="A2261" s="33"/>
      <c r="B2261" s="12"/>
      <c r="C2261" s="12"/>
      <c r="D2261" s="12"/>
      <c r="E2261" s="12"/>
      <c r="G2261" s="14"/>
    </row>
    <row r="2262" spans="1:7" ht="22.5" customHeight="1" x14ac:dyDescent="0.15">
      <c r="A2262" s="33"/>
      <c r="B2262" s="12"/>
      <c r="C2262" s="12"/>
      <c r="D2262" s="12"/>
      <c r="E2262" s="12"/>
      <c r="G2262" s="14"/>
    </row>
    <row r="2263" spans="1:7" ht="22.5" customHeight="1" x14ac:dyDescent="0.15">
      <c r="A2263" s="33"/>
      <c r="B2263" s="12"/>
      <c r="C2263" s="12"/>
      <c r="D2263" s="12"/>
      <c r="E2263" s="12"/>
      <c r="G2263" s="14"/>
    </row>
    <row r="2264" spans="1:7" ht="22.5" customHeight="1" x14ac:dyDescent="0.15">
      <c r="A2264" s="33"/>
      <c r="B2264" s="12"/>
      <c r="C2264" s="12"/>
      <c r="D2264" s="12"/>
      <c r="E2264" s="12"/>
      <c r="G2264" s="14"/>
    </row>
    <row r="2265" spans="1:7" ht="22.5" customHeight="1" x14ac:dyDescent="0.15">
      <c r="A2265" s="33"/>
      <c r="B2265" s="12"/>
      <c r="C2265" s="12"/>
      <c r="D2265" s="12"/>
      <c r="E2265" s="12"/>
      <c r="G2265" s="14"/>
    </row>
    <row r="2266" spans="1:7" ht="22.5" customHeight="1" x14ac:dyDescent="0.15">
      <c r="A2266" s="33"/>
      <c r="B2266" s="12"/>
      <c r="C2266" s="12"/>
      <c r="D2266" s="12"/>
      <c r="E2266" s="12"/>
      <c r="G2266" s="14"/>
    </row>
    <row r="2267" spans="1:7" ht="22.5" customHeight="1" x14ac:dyDescent="0.15">
      <c r="A2267" s="33"/>
      <c r="B2267" s="12"/>
      <c r="C2267" s="12"/>
      <c r="D2267" s="12"/>
      <c r="E2267" s="12"/>
      <c r="G2267" s="14"/>
    </row>
    <row r="2268" spans="1:7" ht="22.5" customHeight="1" x14ac:dyDescent="0.15">
      <c r="A2268" s="33"/>
      <c r="B2268" s="12"/>
      <c r="C2268" s="12"/>
      <c r="D2268" s="12"/>
      <c r="E2268" s="12"/>
      <c r="G2268" s="14"/>
    </row>
    <row r="2269" spans="1:7" ht="22.5" customHeight="1" x14ac:dyDescent="0.15">
      <c r="A2269" s="33"/>
      <c r="B2269" s="12"/>
      <c r="C2269" s="12"/>
      <c r="D2269" s="12"/>
      <c r="E2269" s="12"/>
      <c r="G2269" s="14"/>
    </row>
    <row r="2270" spans="1:7" ht="22.5" customHeight="1" x14ac:dyDescent="0.15">
      <c r="A2270" s="33"/>
      <c r="B2270" s="12"/>
      <c r="C2270" s="12"/>
      <c r="D2270" s="12"/>
      <c r="E2270" s="12"/>
      <c r="G2270" s="14"/>
    </row>
    <row r="2271" spans="1:7" ht="22.5" customHeight="1" x14ac:dyDescent="0.15">
      <c r="A2271" s="33"/>
      <c r="B2271" s="12"/>
      <c r="C2271" s="12"/>
      <c r="D2271" s="12"/>
      <c r="E2271" s="12"/>
      <c r="G2271" s="14"/>
    </row>
    <row r="2272" spans="1:7" ht="22.5" customHeight="1" x14ac:dyDescent="0.15">
      <c r="A2272" s="33"/>
      <c r="B2272" s="12"/>
      <c r="C2272" s="12"/>
      <c r="D2272" s="12"/>
      <c r="E2272" s="12"/>
      <c r="G2272" s="14"/>
    </row>
    <row r="2273" spans="1:7" ht="22.5" customHeight="1" x14ac:dyDescent="0.15">
      <c r="A2273" s="33"/>
      <c r="B2273" s="12"/>
      <c r="C2273" s="12"/>
      <c r="D2273" s="12"/>
      <c r="E2273" s="12"/>
      <c r="G2273" s="14"/>
    </row>
    <row r="2274" spans="1:7" ht="22.5" customHeight="1" x14ac:dyDescent="0.15">
      <c r="A2274" s="33"/>
      <c r="B2274" s="12"/>
      <c r="C2274" s="12"/>
      <c r="D2274" s="12"/>
      <c r="E2274" s="12"/>
      <c r="G2274" s="14"/>
    </row>
    <row r="2275" spans="1:7" ht="22.5" customHeight="1" x14ac:dyDescent="0.15">
      <c r="A2275" s="33"/>
      <c r="B2275" s="12"/>
      <c r="C2275" s="12"/>
      <c r="D2275" s="12"/>
      <c r="E2275" s="12"/>
      <c r="G2275" s="14"/>
    </row>
    <row r="2276" spans="1:7" ht="22.5" customHeight="1" x14ac:dyDescent="0.15">
      <c r="A2276" s="33"/>
      <c r="B2276" s="12"/>
      <c r="C2276" s="12"/>
      <c r="D2276" s="12"/>
      <c r="E2276" s="12"/>
      <c r="G2276" s="14"/>
    </row>
    <row r="2277" spans="1:7" ht="22.5" customHeight="1" x14ac:dyDescent="0.15">
      <c r="A2277" s="33"/>
      <c r="B2277" s="12"/>
      <c r="C2277" s="12"/>
      <c r="D2277" s="12"/>
      <c r="E2277" s="12"/>
      <c r="G2277" s="14"/>
    </row>
    <row r="2278" spans="1:7" ht="22.5" customHeight="1" x14ac:dyDescent="0.15">
      <c r="A2278" s="33"/>
      <c r="B2278" s="12"/>
      <c r="C2278" s="12"/>
      <c r="D2278" s="12"/>
      <c r="E2278" s="12"/>
      <c r="G2278" s="14"/>
    </row>
    <row r="2279" spans="1:7" ht="22.5" customHeight="1" x14ac:dyDescent="0.15">
      <c r="A2279" s="33"/>
      <c r="B2279" s="12"/>
      <c r="C2279" s="12"/>
      <c r="D2279" s="12"/>
      <c r="E2279" s="12"/>
      <c r="G2279" s="14"/>
    </row>
    <row r="2280" spans="1:7" ht="22.5" customHeight="1" x14ac:dyDescent="0.15">
      <c r="A2280" s="33"/>
      <c r="B2280" s="12"/>
      <c r="C2280" s="12"/>
      <c r="D2280" s="12"/>
      <c r="E2280" s="12"/>
      <c r="G2280" s="14"/>
    </row>
    <row r="2281" spans="1:7" ht="22.5" customHeight="1" x14ac:dyDescent="0.15">
      <c r="A2281" s="33"/>
      <c r="B2281" s="12"/>
      <c r="C2281" s="12"/>
      <c r="D2281" s="12"/>
      <c r="E2281" s="12"/>
      <c r="G2281" s="14"/>
    </row>
    <row r="2282" spans="1:7" ht="22.5" customHeight="1" x14ac:dyDescent="0.15">
      <c r="A2282" s="33"/>
      <c r="B2282" s="12"/>
      <c r="C2282" s="12"/>
      <c r="D2282" s="12"/>
      <c r="E2282" s="12"/>
      <c r="G2282" s="14"/>
    </row>
    <row r="2283" spans="1:7" ht="22.5" customHeight="1" x14ac:dyDescent="0.15">
      <c r="A2283" s="33"/>
      <c r="B2283" s="12"/>
      <c r="C2283" s="12"/>
      <c r="D2283" s="12"/>
      <c r="E2283" s="12"/>
      <c r="G2283" s="14"/>
    </row>
    <row r="2284" spans="1:7" ht="22.5" customHeight="1" x14ac:dyDescent="0.15">
      <c r="A2284" s="33"/>
      <c r="B2284" s="12"/>
      <c r="C2284" s="12"/>
      <c r="D2284" s="12"/>
      <c r="E2284" s="12"/>
      <c r="G2284" s="14"/>
    </row>
    <row r="2285" spans="1:7" ht="22.5" customHeight="1" x14ac:dyDescent="0.15">
      <c r="A2285" s="33"/>
      <c r="B2285" s="12"/>
      <c r="C2285" s="12"/>
      <c r="D2285" s="12"/>
      <c r="E2285" s="12"/>
      <c r="G2285" s="14"/>
    </row>
    <row r="2286" spans="1:7" ht="22.5" customHeight="1" x14ac:dyDescent="0.15">
      <c r="A2286" s="33"/>
      <c r="B2286" s="12"/>
      <c r="C2286" s="12"/>
      <c r="D2286" s="12"/>
      <c r="E2286" s="12"/>
      <c r="G2286" s="14"/>
    </row>
    <row r="2287" spans="1:7" ht="22.5" customHeight="1" x14ac:dyDescent="0.15">
      <c r="A2287" s="33"/>
      <c r="B2287" s="12"/>
      <c r="C2287" s="12"/>
      <c r="D2287" s="12"/>
      <c r="E2287" s="12"/>
      <c r="G2287" s="14"/>
    </row>
    <row r="2288" spans="1:7" ht="22.5" customHeight="1" x14ac:dyDescent="0.15">
      <c r="A2288" s="33"/>
      <c r="B2288" s="12"/>
      <c r="C2288" s="12"/>
      <c r="D2288" s="12"/>
      <c r="E2288" s="12"/>
      <c r="G2288" s="14"/>
    </row>
    <row r="2289" spans="1:7" ht="22.5" customHeight="1" x14ac:dyDescent="0.15">
      <c r="A2289" s="33"/>
      <c r="B2289" s="12"/>
      <c r="C2289" s="12"/>
      <c r="D2289" s="12"/>
      <c r="E2289" s="12"/>
      <c r="G2289" s="14"/>
    </row>
    <row r="2290" spans="1:7" ht="22.5" customHeight="1" x14ac:dyDescent="0.15">
      <c r="A2290" s="33"/>
      <c r="B2290" s="12"/>
      <c r="C2290" s="12"/>
      <c r="D2290" s="12"/>
      <c r="E2290" s="12"/>
      <c r="G2290" s="14"/>
    </row>
    <row r="2291" spans="1:7" ht="22.5" customHeight="1" x14ac:dyDescent="0.15">
      <c r="A2291" s="33"/>
      <c r="B2291" s="12"/>
      <c r="C2291" s="12"/>
      <c r="D2291" s="12"/>
      <c r="E2291" s="12"/>
      <c r="G2291" s="14"/>
    </row>
    <row r="2292" spans="1:7" ht="22.5" customHeight="1" x14ac:dyDescent="0.15">
      <c r="A2292" s="33"/>
      <c r="B2292" s="12"/>
      <c r="C2292" s="12"/>
      <c r="D2292" s="12"/>
      <c r="E2292" s="12"/>
      <c r="G2292" s="14"/>
    </row>
    <row r="2293" spans="1:7" ht="22.5" customHeight="1" x14ac:dyDescent="0.15">
      <c r="A2293" s="33"/>
      <c r="B2293" s="12"/>
      <c r="C2293" s="12"/>
      <c r="D2293" s="12"/>
      <c r="E2293" s="12"/>
      <c r="G2293" s="14"/>
    </row>
    <row r="2294" spans="1:7" ht="22.5" customHeight="1" x14ac:dyDescent="0.15">
      <c r="A2294" s="33"/>
      <c r="B2294" s="12"/>
      <c r="C2294" s="12"/>
      <c r="D2294" s="12"/>
      <c r="E2294" s="12"/>
      <c r="G2294" s="14"/>
    </row>
    <row r="2295" spans="1:7" ht="22.5" customHeight="1" x14ac:dyDescent="0.15">
      <c r="A2295" s="33"/>
      <c r="B2295" s="12"/>
      <c r="C2295" s="12"/>
      <c r="D2295" s="12"/>
      <c r="E2295" s="12"/>
      <c r="G2295" s="14"/>
    </row>
    <row r="2296" spans="1:7" ht="22.5" customHeight="1" x14ac:dyDescent="0.15">
      <c r="A2296" s="33"/>
      <c r="B2296" s="12"/>
      <c r="C2296" s="12"/>
      <c r="D2296" s="12"/>
      <c r="E2296" s="12"/>
      <c r="G2296" s="14"/>
    </row>
    <row r="2297" spans="1:7" ht="22.5" customHeight="1" x14ac:dyDescent="0.15">
      <c r="A2297" s="33"/>
      <c r="B2297" s="12"/>
      <c r="C2297" s="12"/>
      <c r="D2297" s="12"/>
      <c r="E2297" s="12"/>
      <c r="G2297" s="14"/>
    </row>
    <row r="2298" spans="1:7" ht="22.5" customHeight="1" x14ac:dyDescent="0.15">
      <c r="A2298" s="33"/>
      <c r="B2298" s="12"/>
      <c r="C2298" s="12"/>
      <c r="D2298" s="12"/>
      <c r="E2298" s="12"/>
      <c r="G2298" s="14"/>
    </row>
    <row r="2299" spans="1:7" ht="22.5" customHeight="1" x14ac:dyDescent="0.15">
      <c r="A2299" s="33"/>
      <c r="B2299" s="12"/>
      <c r="C2299" s="12"/>
      <c r="D2299" s="12"/>
      <c r="E2299" s="12"/>
      <c r="G2299" s="14"/>
    </row>
    <row r="2300" spans="1:7" ht="22.5" customHeight="1" x14ac:dyDescent="0.15">
      <c r="A2300" s="33"/>
      <c r="B2300" s="12"/>
      <c r="C2300" s="12"/>
      <c r="D2300" s="12"/>
      <c r="E2300" s="12"/>
      <c r="G2300" s="14"/>
    </row>
    <row r="2301" spans="1:7" ht="22.5" customHeight="1" x14ac:dyDescent="0.15">
      <c r="A2301" s="33"/>
      <c r="B2301" s="12"/>
      <c r="C2301" s="12"/>
      <c r="D2301" s="12"/>
      <c r="E2301" s="12"/>
      <c r="G2301" s="14"/>
    </row>
    <row r="2302" spans="1:7" ht="22.5" customHeight="1" x14ac:dyDescent="0.15">
      <c r="A2302" s="33"/>
      <c r="B2302" s="12"/>
      <c r="C2302" s="12"/>
      <c r="D2302" s="12"/>
      <c r="E2302" s="12"/>
      <c r="G2302" s="14"/>
    </row>
    <row r="2303" spans="1:7" ht="22.5" customHeight="1" x14ac:dyDescent="0.15">
      <c r="A2303" s="33"/>
      <c r="B2303" s="12"/>
      <c r="C2303" s="12"/>
      <c r="D2303" s="12"/>
      <c r="E2303" s="12"/>
      <c r="G2303" s="14"/>
    </row>
    <row r="2304" spans="1:7" ht="22.5" customHeight="1" x14ac:dyDescent="0.15">
      <c r="A2304" s="33"/>
      <c r="B2304" s="12"/>
      <c r="C2304" s="12"/>
      <c r="D2304" s="12"/>
      <c r="E2304" s="12"/>
      <c r="G2304" s="14"/>
    </row>
    <row r="2305" spans="1:7" ht="22.5" customHeight="1" x14ac:dyDescent="0.15">
      <c r="A2305" s="33"/>
      <c r="B2305" s="12"/>
      <c r="C2305" s="12"/>
      <c r="D2305" s="12"/>
      <c r="E2305" s="12"/>
      <c r="G2305" s="14"/>
    </row>
    <row r="2306" spans="1:7" ht="22.5" customHeight="1" x14ac:dyDescent="0.15">
      <c r="A2306" s="33"/>
      <c r="B2306" s="12"/>
      <c r="C2306" s="12"/>
      <c r="D2306" s="12"/>
      <c r="E2306" s="12"/>
      <c r="G2306" s="14"/>
    </row>
    <row r="2307" spans="1:7" ht="22.5" customHeight="1" x14ac:dyDescent="0.15">
      <c r="A2307" s="33"/>
      <c r="B2307" s="12"/>
      <c r="C2307" s="12"/>
      <c r="D2307" s="12"/>
      <c r="E2307" s="12"/>
      <c r="G2307" s="14"/>
    </row>
    <row r="2308" spans="1:7" ht="22.5" customHeight="1" x14ac:dyDescent="0.15">
      <c r="A2308" s="33"/>
      <c r="B2308" s="12"/>
      <c r="C2308" s="12"/>
      <c r="D2308" s="12"/>
      <c r="E2308" s="12"/>
      <c r="G2308" s="14"/>
    </row>
    <row r="2309" spans="1:7" ht="22.5" customHeight="1" x14ac:dyDescent="0.15">
      <c r="A2309" s="33"/>
      <c r="B2309" s="12"/>
      <c r="C2309" s="12"/>
      <c r="D2309" s="12"/>
      <c r="E2309" s="12"/>
      <c r="G2309" s="14"/>
    </row>
    <row r="2310" spans="1:7" ht="22.5" customHeight="1" x14ac:dyDescent="0.15">
      <c r="A2310" s="33"/>
      <c r="B2310" s="12"/>
      <c r="C2310" s="12"/>
      <c r="D2310" s="12"/>
      <c r="E2310" s="12"/>
      <c r="G2310" s="14"/>
    </row>
    <row r="2311" spans="1:7" ht="22.5" customHeight="1" x14ac:dyDescent="0.15">
      <c r="A2311" s="33"/>
      <c r="B2311" s="12"/>
      <c r="C2311" s="12"/>
      <c r="D2311" s="12"/>
      <c r="E2311" s="12"/>
      <c r="G2311" s="14"/>
    </row>
    <row r="2312" spans="1:7" ht="22.5" customHeight="1" x14ac:dyDescent="0.15">
      <c r="A2312" s="33"/>
      <c r="B2312" s="12"/>
      <c r="C2312" s="12"/>
      <c r="D2312" s="12"/>
      <c r="E2312" s="12"/>
      <c r="G2312" s="14"/>
    </row>
    <row r="2313" spans="1:7" ht="22.5" customHeight="1" x14ac:dyDescent="0.15">
      <c r="A2313" s="33"/>
      <c r="B2313" s="12"/>
      <c r="C2313" s="12"/>
      <c r="D2313" s="12"/>
      <c r="E2313" s="12"/>
      <c r="G2313" s="14"/>
    </row>
    <row r="2314" spans="1:7" ht="22.5" customHeight="1" x14ac:dyDescent="0.15">
      <c r="A2314" s="33"/>
      <c r="B2314" s="12"/>
      <c r="C2314" s="12"/>
      <c r="D2314" s="12"/>
      <c r="E2314" s="12"/>
      <c r="G2314" s="14"/>
    </row>
    <row r="2315" spans="1:7" ht="22.5" customHeight="1" x14ac:dyDescent="0.15">
      <c r="A2315" s="33"/>
      <c r="B2315" s="12"/>
      <c r="C2315" s="12"/>
      <c r="D2315" s="12"/>
      <c r="E2315" s="12"/>
      <c r="G2315" s="14"/>
    </row>
    <row r="2316" spans="1:7" ht="22.5" customHeight="1" x14ac:dyDescent="0.15">
      <c r="A2316" s="33"/>
      <c r="B2316" s="12"/>
      <c r="C2316" s="12"/>
      <c r="D2316" s="12"/>
      <c r="E2316" s="12"/>
      <c r="G2316" s="14"/>
    </row>
    <row r="2317" spans="1:7" ht="22.5" customHeight="1" x14ac:dyDescent="0.15">
      <c r="A2317" s="33"/>
      <c r="B2317" s="12"/>
      <c r="C2317" s="12"/>
      <c r="D2317" s="12"/>
      <c r="E2317" s="12"/>
      <c r="G2317" s="14"/>
    </row>
    <row r="2318" spans="1:7" ht="22.5" customHeight="1" x14ac:dyDescent="0.15">
      <c r="A2318" s="33"/>
      <c r="B2318" s="12"/>
      <c r="C2318" s="12"/>
      <c r="D2318" s="12"/>
      <c r="E2318" s="12"/>
      <c r="G2318" s="14"/>
    </row>
    <row r="2319" spans="1:7" ht="22.5" customHeight="1" x14ac:dyDescent="0.15">
      <c r="A2319" s="33"/>
      <c r="B2319" s="12"/>
      <c r="C2319" s="12"/>
      <c r="D2319" s="12"/>
      <c r="E2319" s="12"/>
      <c r="G2319" s="14"/>
    </row>
    <row r="2320" spans="1:7" ht="22.5" customHeight="1" x14ac:dyDescent="0.15">
      <c r="A2320" s="33"/>
      <c r="B2320" s="12"/>
      <c r="C2320" s="12"/>
      <c r="D2320" s="12"/>
      <c r="E2320" s="12"/>
      <c r="G2320" s="14"/>
    </row>
    <row r="2321" spans="1:7" ht="22.5" customHeight="1" x14ac:dyDescent="0.15">
      <c r="A2321" s="33"/>
      <c r="B2321" s="12"/>
      <c r="C2321" s="12"/>
      <c r="D2321" s="12"/>
      <c r="E2321" s="12"/>
      <c r="G2321" s="14"/>
    </row>
    <row r="2322" spans="1:7" ht="22.5" customHeight="1" x14ac:dyDescent="0.15">
      <c r="A2322" s="33"/>
      <c r="B2322" s="12"/>
      <c r="C2322" s="12"/>
      <c r="D2322" s="12"/>
      <c r="E2322" s="12"/>
      <c r="G2322" s="14"/>
    </row>
    <row r="2323" spans="1:7" ht="22.5" customHeight="1" x14ac:dyDescent="0.15">
      <c r="A2323" s="33"/>
      <c r="B2323" s="12"/>
      <c r="C2323" s="12"/>
      <c r="D2323" s="12"/>
      <c r="E2323" s="12"/>
      <c r="G2323" s="14"/>
    </row>
    <row r="2324" spans="1:7" ht="22.5" customHeight="1" x14ac:dyDescent="0.15">
      <c r="A2324" s="33"/>
      <c r="B2324" s="12"/>
      <c r="C2324" s="12"/>
      <c r="D2324" s="12"/>
      <c r="E2324" s="12"/>
      <c r="G2324" s="14"/>
    </row>
    <row r="2325" spans="1:7" ht="22.5" customHeight="1" x14ac:dyDescent="0.15">
      <c r="A2325" s="33"/>
      <c r="B2325" s="12"/>
      <c r="C2325" s="12"/>
      <c r="D2325" s="12"/>
      <c r="E2325" s="12"/>
      <c r="G2325" s="14"/>
    </row>
    <row r="2326" spans="1:7" ht="22.5" customHeight="1" x14ac:dyDescent="0.15">
      <c r="A2326" s="33"/>
      <c r="B2326" s="12"/>
      <c r="C2326" s="12"/>
      <c r="D2326" s="12"/>
      <c r="E2326" s="12"/>
      <c r="G2326" s="14"/>
    </row>
    <row r="2327" spans="1:7" ht="22.5" customHeight="1" x14ac:dyDescent="0.15">
      <c r="A2327" s="33"/>
      <c r="B2327" s="12"/>
      <c r="C2327" s="12"/>
      <c r="D2327" s="12"/>
      <c r="E2327" s="12"/>
      <c r="G2327" s="14"/>
    </row>
    <row r="2328" spans="1:7" ht="22.5" customHeight="1" x14ac:dyDescent="0.15">
      <c r="A2328" s="33"/>
      <c r="B2328" s="12"/>
      <c r="C2328" s="12"/>
      <c r="D2328" s="12"/>
      <c r="E2328" s="12"/>
      <c r="G2328" s="14"/>
    </row>
    <row r="2329" spans="1:7" ht="22.5" customHeight="1" x14ac:dyDescent="0.15">
      <c r="A2329" s="33"/>
      <c r="B2329" s="12"/>
      <c r="C2329" s="12"/>
      <c r="D2329" s="12"/>
      <c r="E2329" s="12"/>
      <c r="G2329" s="14"/>
    </row>
    <row r="2330" spans="1:7" ht="22.5" customHeight="1" x14ac:dyDescent="0.15">
      <c r="A2330" s="33"/>
      <c r="B2330" s="12"/>
      <c r="C2330" s="12"/>
      <c r="D2330" s="12"/>
      <c r="E2330" s="12"/>
      <c r="G2330" s="14"/>
    </row>
    <row r="2331" spans="1:7" ht="22.5" customHeight="1" x14ac:dyDescent="0.15">
      <c r="A2331" s="33"/>
      <c r="B2331" s="12"/>
      <c r="C2331" s="12"/>
      <c r="D2331" s="12"/>
      <c r="E2331" s="12"/>
      <c r="G2331" s="14"/>
    </row>
    <row r="2332" spans="1:7" ht="22.5" customHeight="1" x14ac:dyDescent="0.15">
      <c r="A2332" s="33"/>
      <c r="B2332" s="12"/>
      <c r="C2332" s="12"/>
      <c r="D2332" s="12"/>
      <c r="E2332" s="12"/>
      <c r="G2332" s="14"/>
    </row>
    <row r="2333" spans="1:7" ht="22.5" customHeight="1" x14ac:dyDescent="0.15">
      <c r="A2333" s="33"/>
      <c r="B2333" s="12"/>
      <c r="C2333" s="12"/>
      <c r="D2333" s="12"/>
      <c r="E2333" s="12"/>
      <c r="G2333" s="14"/>
    </row>
    <row r="2334" spans="1:7" ht="22.5" customHeight="1" x14ac:dyDescent="0.15">
      <c r="A2334" s="33"/>
      <c r="B2334" s="12"/>
      <c r="C2334" s="12"/>
      <c r="D2334" s="12"/>
      <c r="E2334" s="12"/>
      <c r="G2334" s="14"/>
    </row>
    <row r="2335" spans="1:7" ht="22.5" customHeight="1" x14ac:dyDescent="0.15">
      <c r="A2335" s="33"/>
      <c r="B2335" s="12"/>
      <c r="C2335" s="12"/>
      <c r="D2335" s="12"/>
      <c r="E2335" s="12"/>
      <c r="G2335" s="14"/>
    </row>
    <row r="2336" spans="1:7" ht="22.5" customHeight="1" x14ac:dyDescent="0.15">
      <c r="A2336" s="33"/>
      <c r="B2336" s="12"/>
      <c r="C2336" s="12"/>
      <c r="D2336" s="12"/>
      <c r="E2336" s="12"/>
      <c r="G2336" s="14"/>
    </row>
    <row r="2337" spans="1:7" ht="22.5" customHeight="1" x14ac:dyDescent="0.15">
      <c r="A2337" s="33"/>
      <c r="B2337" s="12"/>
      <c r="C2337" s="12"/>
      <c r="D2337" s="12"/>
      <c r="E2337" s="12"/>
      <c r="G2337" s="14"/>
    </row>
    <row r="2338" spans="1:7" ht="22.5" customHeight="1" x14ac:dyDescent="0.15">
      <c r="A2338" s="33"/>
      <c r="B2338" s="12"/>
      <c r="C2338" s="12"/>
      <c r="D2338" s="12"/>
      <c r="E2338" s="12"/>
      <c r="G2338" s="14"/>
    </row>
    <row r="2339" spans="1:7" ht="22.5" customHeight="1" x14ac:dyDescent="0.15">
      <c r="A2339" s="33"/>
      <c r="B2339" s="12"/>
      <c r="C2339" s="12"/>
      <c r="D2339" s="12"/>
      <c r="E2339" s="12"/>
      <c r="G2339" s="14"/>
    </row>
    <row r="2340" spans="1:7" ht="22.5" customHeight="1" x14ac:dyDescent="0.15">
      <c r="A2340" s="33"/>
      <c r="B2340" s="12"/>
      <c r="C2340" s="12"/>
      <c r="D2340" s="12"/>
      <c r="E2340" s="12"/>
      <c r="G2340" s="14"/>
    </row>
    <row r="2341" spans="1:7" ht="22.5" customHeight="1" x14ac:dyDescent="0.15">
      <c r="A2341" s="33"/>
      <c r="B2341" s="12"/>
      <c r="C2341" s="12"/>
      <c r="D2341" s="12"/>
      <c r="E2341" s="12"/>
      <c r="G2341" s="14"/>
    </row>
    <row r="2342" spans="1:7" ht="22.5" customHeight="1" x14ac:dyDescent="0.15">
      <c r="A2342" s="33"/>
      <c r="B2342" s="12"/>
      <c r="C2342" s="12"/>
      <c r="D2342" s="12"/>
      <c r="E2342" s="12"/>
      <c r="G2342" s="14"/>
    </row>
    <row r="2343" spans="1:7" ht="22.5" customHeight="1" x14ac:dyDescent="0.15">
      <c r="A2343" s="33"/>
      <c r="B2343" s="12"/>
      <c r="C2343" s="12"/>
      <c r="D2343" s="12"/>
      <c r="E2343" s="12"/>
      <c r="G2343" s="14"/>
    </row>
    <row r="2344" spans="1:7" ht="22.5" customHeight="1" x14ac:dyDescent="0.15">
      <c r="A2344" s="33"/>
      <c r="B2344" s="12"/>
      <c r="C2344" s="12"/>
      <c r="D2344" s="12"/>
      <c r="E2344" s="12"/>
      <c r="G2344" s="14"/>
    </row>
    <row r="2345" spans="1:7" ht="22.5" customHeight="1" x14ac:dyDescent="0.15">
      <c r="A2345" s="33"/>
      <c r="B2345" s="12"/>
      <c r="C2345" s="12"/>
      <c r="D2345" s="12"/>
      <c r="E2345" s="12"/>
      <c r="G2345" s="14"/>
    </row>
    <row r="2346" spans="1:7" ht="22.5" customHeight="1" x14ac:dyDescent="0.15">
      <c r="A2346" s="33"/>
      <c r="B2346" s="12"/>
      <c r="C2346" s="12"/>
      <c r="D2346" s="12"/>
      <c r="E2346" s="12"/>
      <c r="G2346" s="14"/>
    </row>
    <row r="2347" spans="1:7" ht="22.5" customHeight="1" x14ac:dyDescent="0.15">
      <c r="A2347" s="33"/>
      <c r="B2347" s="12"/>
      <c r="C2347" s="12"/>
      <c r="D2347" s="12"/>
      <c r="E2347" s="12"/>
      <c r="G2347" s="14"/>
    </row>
    <row r="2348" spans="1:7" ht="22.5" customHeight="1" x14ac:dyDescent="0.15">
      <c r="A2348" s="33"/>
      <c r="B2348" s="12"/>
      <c r="C2348" s="12"/>
      <c r="D2348" s="12"/>
      <c r="E2348" s="12"/>
      <c r="G2348" s="14"/>
    </row>
    <row r="2349" spans="1:7" ht="22.5" customHeight="1" x14ac:dyDescent="0.15">
      <c r="A2349" s="33"/>
      <c r="B2349" s="12"/>
      <c r="C2349" s="12"/>
      <c r="D2349" s="12"/>
      <c r="E2349" s="12"/>
      <c r="G2349" s="14"/>
    </row>
    <row r="2350" spans="1:7" ht="22.5" customHeight="1" x14ac:dyDescent="0.15">
      <c r="A2350" s="33"/>
      <c r="B2350" s="12"/>
      <c r="C2350" s="12"/>
      <c r="D2350" s="12"/>
      <c r="E2350" s="12"/>
      <c r="G2350" s="14"/>
    </row>
    <row r="2351" spans="1:7" ht="22.5" customHeight="1" x14ac:dyDescent="0.15">
      <c r="A2351" s="33"/>
      <c r="B2351" s="12"/>
      <c r="C2351" s="12"/>
      <c r="D2351" s="12"/>
      <c r="E2351" s="12"/>
      <c r="G2351" s="14"/>
    </row>
    <row r="2352" spans="1:7" ht="22.5" customHeight="1" x14ac:dyDescent="0.15">
      <c r="A2352" s="33"/>
      <c r="B2352" s="12"/>
      <c r="C2352" s="12"/>
      <c r="D2352" s="12"/>
      <c r="E2352" s="12"/>
      <c r="G2352" s="14"/>
    </row>
    <row r="2353" spans="1:7" ht="22.5" customHeight="1" x14ac:dyDescent="0.15">
      <c r="A2353" s="33"/>
      <c r="B2353" s="12"/>
      <c r="C2353" s="12"/>
      <c r="D2353" s="12"/>
      <c r="E2353" s="12"/>
      <c r="G2353" s="14"/>
    </row>
    <row r="2354" spans="1:7" ht="22.5" customHeight="1" x14ac:dyDescent="0.15">
      <c r="A2354" s="33"/>
      <c r="B2354" s="12"/>
      <c r="C2354" s="12"/>
      <c r="D2354" s="12"/>
      <c r="E2354" s="12"/>
      <c r="G2354" s="14"/>
    </row>
    <row r="2355" spans="1:7" ht="22.5" customHeight="1" x14ac:dyDescent="0.15">
      <c r="A2355" s="33"/>
      <c r="B2355" s="12"/>
      <c r="C2355" s="12"/>
      <c r="D2355" s="12"/>
      <c r="E2355" s="12"/>
      <c r="G2355" s="14"/>
    </row>
    <row r="2356" spans="1:7" ht="22.5" customHeight="1" x14ac:dyDescent="0.15">
      <c r="A2356" s="33"/>
      <c r="B2356" s="12"/>
      <c r="C2356" s="12"/>
      <c r="D2356" s="12"/>
      <c r="E2356" s="12"/>
      <c r="G2356" s="14"/>
    </row>
    <row r="2357" spans="1:7" ht="22.5" customHeight="1" x14ac:dyDescent="0.15">
      <c r="A2357" s="33"/>
      <c r="B2357" s="12"/>
      <c r="C2357" s="12"/>
      <c r="D2357" s="12"/>
      <c r="E2357" s="12"/>
      <c r="G2357" s="14"/>
    </row>
    <row r="2358" spans="1:7" ht="22.5" customHeight="1" x14ac:dyDescent="0.15">
      <c r="A2358" s="33"/>
      <c r="B2358" s="12"/>
      <c r="C2358" s="12"/>
      <c r="D2358" s="12"/>
      <c r="E2358" s="12"/>
      <c r="G2358" s="14"/>
    </row>
    <row r="2359" spans="1:7" ht="22.5" customHeight="1" x14ac:dyDescent="0.15">
      <c r="A2359" s="33"/>
      <c r="B2359" s="12"/>
      <c r="C2359" s="12"/>
      <c r="D2359" s="12"/>
      <c r="E2359" s="12"/>
      <c r="G2359" s="14"/>
    </row>
    <row r="2360" spans="1:7" ht="22.5" customHeight="1" x14ac:dyDescent="0.15">
      <c r="A2360" s="33"/>
      <c r="B2360" s="12"/>
      <c r="C2360" s="12"/>
      <c r="D2360" s="12"/>
      <c r="E2360" s="12"/>
      <c r="G2360" s="14"/>
    </row>
    <row r="2361" spans="1:7" ht="22.5" customHeight="1" x14ac:dyDescent="0.15">
      <c r="A2361" s="33"/>
      <c r="B2361" s="12"/>
      <c r="C2361" s="12"/>
      <c r="D2361" s="12"/>
      <c r="E2361" s="12"/>
      <c r="G2361" s="14"/>
    </row>
    <row r="2362" spans="1:7" ht="22.5" customHeight="1" x14ac:dyDescent="0.15">
      <c r="A2362" s="33"/>
      <c r="B2362" s="12"/>
      <c r="C2362" s="12"/>
      <c r="D2362" s="12"/>
      <c r="E2362" s="12"/>
      <c r="G2362" s="14"/>
    </row>
    <row r="2363" spans="1:7" ht="22.5" customHeight="1" x14ac:dyDescent="0.15">
      <c r="A2363" s="33"/>
      <c r="B2363" s="12"/>
      <c r="C2363" s="12"/>
      <c r="D2363" s="12"/>
      <c r="E2363" s="12"/>
      <c r="G2363" s="14"/>
    </row>
    <row r="2364" spans="1:7" ht="22.5" customHeight="1" x14ac:dyDescent="0.15">
      <c r="A2364" s="33"/>
      <c r="B2364" s="12"/>
      <c r="C2364" s="12"/>
      <c r="D2364" s="12"/>
      <c r="E2364" s="12"/>
      <c r="G2364" s="14"/>
    </row>
    <row r="2365" spans="1:7" ht="22.5" customHeight="1" x14ac:dyDescent="0.15">
      <c r="A2365" s="33"/>
      <c r="B2365" s="12"/>
      <c r="C2365" s="12"/>
      <c r="D2365" s="12"/>
      <c r="E2365" s="12"/>
      <c r="G2365" s="14"/>
    </row>
    <row r="2366" spans="1:7" ht="22.5" customHeight="1" x14ac:dyDescent="0.15">
      <c r="A2366" s="33"/>
      <c r="B2366" s="12"/>
      <c r="C2366" s="12"/>
      <c r="D2366" s="12"/>
      <c r="E2366" s="12"/>
      <c r="G2366" s="14"/>
    </row>
    <row r="2367" spans="1:7" ht="22.5" customHeight="1" x14ac:dyDescent="0.15">
      <c r="A2367" s="33"/>
      <c r="B2367" s="12"/>
      <c r="C2367" s="12"/>
      <c r="D2367" s="12"/>
      <c r="E2367" s="12"/>
      <c r="G2367" s="14"/>
    </row>
    <row r="2368" spans="1:7" ht="22.5" customHeight="1" x14ac:dyDescent="0.15">
      <c r="A2368" s="33"/>
      <c r="B2368" s="12"/>
      <c r="C2368" s="12"/>
      <c r="D2368" s="12"/>
      <c r="E2368" s="12"/>
      <c r="G2368" s="14"/>
    </row>
    <row r="2369" spans="1:7" ht="22.5" customHeight="1" x14ac:dyDescent="0.15">
      <c r="A2369" s="33"/>
      <c r="B2369" s="12"/>
      <c r="C2369" s="12"/>
      <c r="D2369" s="12"/>
      <c r="E2369" s="12"/>
      <c r="G2369" s="14"/>
    </row>
    <row r="2370" spans="1:7" ht="22.5" customHeight="1" x14ac:dyDescent="0.15">
      <c r="A2370" s="33"/>
      <c r="B2370" s="12"/>
      <c r="C2370" s="12"/>
      <c r="D2370" s="12"/>
      <c r="E2370" s="12"/>
      <c r="G2370" s="14"/>
    </row>
    <row r="2371" spans="1:7" ht="22.5" customHeight="1" x14ac:dyDescent="0.15">
      <c r="A2371" s="33"/>
      <c r="B2371" s="12"/>
      <c r="C2371" s="12"/>
      <c r="D2371" s="12"/>
      <c r="E2371" s="12"/>
      <c r="G2371" s="14"/>
    </row>
    <row r="2372" spans="1:7" ht="22.5" customHeight="1" x14ac:dyDescent="0.15">
      <c r="A2372" s="33"/>
      <c r="B2372" s="12"/>
      <c r="C2372" s="12"/>
      <c r="D2372" s="12"/>
      <c r="E2372" s="12"/>
      <c r="G2372" s="14"/>
    </row>
    <row r="2373" spans="1:7" ht="22.5" customHeight="1" x14ac:dyDescent="0.15">
      <c r="A2373" s="33"/>
      <c r="B2373" s="12"/>
      <c r="C2373" s="12"/>
      <c r="D2373" s="12"/>
      <c r="E2373" s="12"/>
      <c r="G2373" s="14"/>
    </row>
    <row r="2374" spans="1:7" ht="22.5" customHeight="1" x14ac:dyDescent="0.15">
      <c r="A2374" s="33"/>
      <c r="B2374" s="12"/>
      <c r="C2374" s="12"/>
      <c r="D2374" s="12"/>
      <c r="E2374" s="12"/>
      <c r="G2374" s="14"/>
    </row>
    <row r="2375" spans="1:7" ht="22.5" customHeight="1" x14ac:dyDescent="0.15">
      <c r="A2375" s="33"/>
      <c r="B2375" s="12"/>
      <c r="C2375" s="12"/>
      <c r="D2375" s="12"/>
      <c r="E2375" s="12"/>
      <c r="G2375" s="14"/>
    </row>
    <row r="2376" spans="1:7" ht="22.5" customHeight="1" x14ac:dyDescent="0.15">
      <c r="A2376" s="33"/>
      <c r="B2376" s="12"/>
      <c r="C2376" s="12"/>
      <c r="D2376" s="12"/>
      <c r="E2376" s="12"/>
      <c r="G2376" s="14"/>
    </row>
    <row r="2377" spans="1:7" ht="22.5" customHeight="1" x14ac:dyDescent="0.15">
      <c r="A2377" s="33"/>
      <c r="B2377" s="12"/>
      <c r="C2377" s="12"/>
      <c r="D2377" s="12"/>
      <c r="E2377" s="12"/>
      <c r="G2377" s="14"/>
    </row>
    <row r="2378" spans="1:7" ht="22.5" customHeight="1" x14ac:dyDescent="0.15">
      <c r="A2378" s="33"/>
      <c r="B2378" s="12"/>
      <c r="C2378" s="12"/>
      <c r="D2378" s="12"/>
      <c r="E2378" s="12"/>
      <c r="G2378" s="14"/>
    </row>
    <row r="2379" spans="1:7" ht="22.5" customHeight="1" x14ac:dyDescent="0.15">
      <c r="A2379" s="33"/>
      <c r="B2379" s="12"/>
      <c r="C2379" s="12"/>
      <c r="D2379" s="12"/>
      <c r="E2379" s="12"/>
      <c r="G2379" s="14"/>
    </row>
    <row r="2380" spans="1:7" ht="22.5" customHeight="1" x14ac:dyDescent="0.15">
      <c r="A2380" s="33"/>
      <c r="B2380" s="12"/>
      <c r="C2380" s="12"/>
      <c r="D2380" s="12"/>
      <c r="E2380" s="12"/>
      <c r="G2380" s="14"/>
    </row>
    <row r="2381" spans="1:7" ht="22.5" customHeight="1" x14ac:dyDescent="0.15">
      <c r="A2381" s="33"/>
      <c r="B2381" s="12"/>
      <c r="C2381" s="12"/>
      <c r="D2381" s="12"/>
      <c r="E2381" s="12"/>
      <c r="G2381" s="14"/>
    </row>
    <row r="2382" spans="1:7" ht="22.5" customHeight="1" x14ac:dyDescent="0.15">
      <c r="A2382" s="33"/>
      <c r="B2382" s="12"/>
      <c r="C2382" s="12"/>
      <c r="D2382" s="12"/>
      <c r="E2382" s="12"/>
      <c r="G2382" s="14"/>
    </row>
    <row r="2383" spans="1:7" ht="22.5" customHeight="1" x14ac:dyDescent="0.15">
      <c r="A2383" s="33"/>
      <c r="B2383" s="12"/>
      <c r="C2383" s="12"/>
      <c r="D2383" s="12"/>
      <c r="E2383" s="12"/>
      <c r="G2383" s="14"/>
    </row>
    <row r="2384" spans="1:7" ht="22.5" customHeight="1" x14ac:dyDescent="0.15">
      <c r="A2384" s="33"/>
      <c r="B2384" s="12"/>
      <c r="C2384" s="12"/>
      <c r="D2384" s="12"/>
      <c r="E2384" s="12"/>
      <c r="G2384" s="14"/>
    </row>
    <row r="2385" spans="1:7" ht="22.5" customHeight="1" x14ac:dyDescent="0.15">
      <c r="A2385" s="33"/>
      <c r="B2385" s="12"/>
      <c r="C2385" s="12"/>
      <c r="D2385" s="12"/>
      <c r="E2385" s="12"/>
      <c r="G2385" s="14"/>
    </row>
    <row r="2386" spans="1:7" ht="22.5" customHeight="1" x14ac:dyDescent="0.15">
      <c r="A2386" s="33"/>
      <c r="B2386" s="12"/>
      <c r="C2386" s="12"/>
      <c r="D2386" s="12"/>
      <c r="E2386" s="12"/>
      <c r="G2386" s="14"/>
    </row>
    <row r="2387" spans="1:7" ht="22.5" customHeight="1" x14ac:dyDescent="0.15">
      <c r="A2387" s="33"/>
      <c r="B2387" s="12"/>
      <c r="C2387" s="12"/>
      <c r="D2387" s="12"/>
      <c r="E2387" s="12"/>
      <c r="G2387" s="14"/>
    </row>
    <row r="2388" spans="1:7" ht="22.5" customHeight="1" x14ac:dyDescent="0.15">
      <c r="A2388" s="33"/>
      <c r="B2388" s="12"/>
      <c r="C2388" s="12"/>
      <c r="D2388" s="12"/>
      <c r="E2388" s="12"/>
      <c r="G2388" s="14"/>
    </row>
    <row r="2389" spans="1:7" ht="22.5" customHeight="1" x14ac:dyDescent="0.15">
      <c r="A2389" s="33"/>
      <c r="B2389" s="12"/>
      <c r="C2389" s="12"/>
      <c r="D2389" s="12"/>
      <c r="E2389" s="12"/>
      <c r="G2389" s="14"/>
    </row>
    <row r="2390" spans="1:7" ht="22.5" customHeight="1" x14ac:dyDescent="0.15">
      <c r="A2390" s="33"/>
      <c r="B2390" s="12"/>
      <c r="C2390" s="12"/>
      <c r="D2390" s="12"/>
      <c r="E2390" s="12"/>
      <c r="G2390" s="14"/>
    </row>
    <row r="2391" spans="1:7" ht="22.5" customHeight="1" x14ac:dyDescent="0.15">
      <c r="A2391" s="33"/>
      <c r="B2391" s="12"/>
      <c r="C2391" s="12"/>
      <c r="D2391" s="12"/>
      <c r="E2391" s="12"/>
      <c r="G2391" s="14"/>
    </row>
    <row r="2392" spans="1:7" ht="22.5" customHeight="1" x14ac:dyDescent="0.15">
      <c r="A2392" s="33"/>
      <c r="B2392" s="12"/>
      <c r="C2392" s="12"/>
      <c r="D2392" s="12"/>
      <c r="E2392" s="12"/>
      <c r="G2392" s="14"/>
    </row>
    <row r="2393" spans="1:7" ht="22.5" customHeight="1" x14ac:dyDescent="0.15">
      <c r="A2393" s="33"/>
      <c r="B2393" s="12"/>
      <c r="C2393" s="12"/>
      <c r="D2393" s="12"/>
      <c r="E2393" s="12"/>
      <c r="G2393" s="14"/>
    </row>
    <row r="2394" spans="1:7" ht="22.5" customHeight="1" x14ac:dyDescent="0.15">
      <c r="A2394" s="33"/>
      <c r="B2394" s="12"/>
      <c r="C2394" s="12"/>
      <c r="D2394" s="12"/>
      <c r="E2394" s="12"/>
      <c r="G2394" s="14"/>
    </row>
    <row r="2395" spans="1:7" ht="22.5" customHeight="1" x14ac:dyDescent="0.15">
      <c r="A2395" s="33"/>
      <c r="B2395" s="12"/>
      <c r="C2395" s="12"/>
      <c r="D2395" s="12"/>
      <c r="E2395" s="12"/>
      <c r="G2395" s="14"/>
    </row>
    <row r="2396" spans="1:7" ht="22.5" customHeight="1" x14ac:dyDescent="0.15">
      <c r="A2396" s="33"/>
      <c r="B2396" s="12"/>
      <c r="C2396" s="12"/>
      <c r="D2396" s="12"/>
      <c r="E2396" s="12"/>
      <c r="G2396" s="14"/>
    </row>
    <row r="2397" spans="1:7" ht="22.5" customHeight="1" x14ac:dyDescent="0.15">
      <c r="A2397" s="33"/>
      <c r="B2397" s="12"/>
      <c r="C2397" s="12"/>
      <c r="D2397" s="12"/>
      <c r="E2397" s="12"/>
      <c r="G2397" s="14"/>
    </row>
    <row r="2398" spans="1:7" ht="22.5" customHeight="1" x14ac:dyDescent="0.15">
      <c r="A2398" s="33"/>
      <c r="B2398" s="12"/>
      <c r="C2398" s="12"/>
      <c r="D2398" s="12"/>
      <c r="E2398" s="12"/>
      <c r="G2398" s="14"/>
    </row>
    <row r="2399" spans="1:7" ht="22.5" customHeight="1" x14ac:dyDescent="0.15">
      <c r="A2399" s="33"/>
      <c r="B2399" s="12"/>
      <c r="C2399" s="12"/>
      <c r="D2399" s="12"/>
      <c r="E2399" s="12"/>
      <c r="G2399" s="14"/>
    </row>
    <row r="2400" spans="1:7" ht="22.5" customHeight="1" x14ac:dyDescent="0.15">
      <c r="A2400" s="33"/>
      <c r="B2400" s="12"/>
      <c r="C2400" s="12"/>
      <c r="D2400" s="12"/>
      <c r="E2400" s="12"/>
      <c r="G2400" s="14"/>
    </row>
    <row r="2401" spans="1:7" ht="22.5" customHeight="1" x14ac:dyDescent="0.15">
      <c r="A2401" s="33"/>
      <c r="B2401" s="12"/>
      <c r="C2401" s="12"/>
      <c r="D2401" s="12"/>
      <c r="E2401" s="12"/>
      <c r="G2401" s="14"/>
    </row>
    <row r="2402" spans="1:7" ht="22.5" customHeight="1" x14ac:dyDescent="0.15">
      <c r="A2402" s="33"/>
      <c r="B2402" s="12"/>
      <c r="C2402" s="12"/>
      <c r="D2402" s="12"/>
      <c r="E2402" s="12"/>
      <c r="G2402" s="14"/>
    </row>
    <row r="2403" spans="1:7" ht="22.5" customHeight="1" x14ac:dyDescent="0.15">
      <c r="A2403" s="33"/>
      <c r="B2403" s="12"/>
      <c r="C2403" s="12"/>
      <c r="D2403" s="12"/>
      <c r="E2403" s="12"/>
      <c r="G2403" s="14"/>
    </row>
    <row r="2404" spans="1:7" ht="22.5" customHeight="1" x14ac:dyDescent="0.15">
      <c r="A2404" s="33"/>
      <c r="B2404" s="12"/>
      <c r="C2404" s="12"/>
      <c r="D2404" s="12"/>
      <c r="E2404" s="12"/>
      <c r="G2404" s="14"/>
    </row>
    <row r="2405" spans="1:7" ht="22.5" customHeight="1" x14ac:dyDescent="0.15">
      <c r="A2405" s="33"/>
      <c r="B2405" s="12"/>
      <c r="C2405" s="12"/>
      <c r="D2405" s="12"/>
      <c r="E2405" s="12"/>
      <c r="G2405" s="14"/>
    </row>
    <row r="2406" spans="1:7" ht="22.5" customHeight="1" x14ac:dyDescent="0.15">
      <c r="A2406" s="33"/>
      <c r="B2406" s="12"/>
      <c r="C2406" s="12"/>
      <c r="D2406" s="12"/>
      <c r="E2406" s="12"/>
      <c r="G2406" s="14"/>
    </row>
    <row r="2407" spans="1:7" ht="22.5" customHeight="1" x14ac:dyDescent="0.15">
      <c r="A2407" s="33"/>
      <c r="B2407" s="12"/>
      <c r="C2407" s="12"/>
      <c r="D2407" s="12"/>
      <c r="E2407" s="12"/>
      <c r="G2407" s="14"/>
    </row>
    <row r="2408" spans="1:7" ht="22.5" customHeight="1" x14ac:dyDescent="0.15">
      <c r="A2408" s="33"/>
      <c r="B2408" s="12"/>
      <c r="C2408" s="12"/>
      <c r="D2408" s="12"/>
      <c r="E2408" s="12"/>
      <c r="G2408" s="14"/>
    </row>
    <row r="2409" spans="1:7" ht="22.5" customHeight="1" x14ac:dyDescent="0.15">
      <c r="A2409" s="33"/>
      <c r="B2409" s="12"/>
      <c r="C2409" s="12"/>
      <c r="D2409" s="12"/>
      <c r="E2409" s="12"/>
      <c r="G2409" s="14"/>
    </row>
    <row r="2410" spans="1:7" ht="22.5" customHeight="1" x14ac:dyDescent="0.15">
      <c r="A2410" s="33"/>
      <c r="B2410" s="12"/>
      <c r="C2410" s="12"/>
      <c r="D2410" s="12"/>
      <c r="E2410" s="12"/>
      <c r="G2410" s="14"/>
    </row>
    <row r="2411" spans="1:7" ht="22.5" customHeight="1" x14ac:dyDescent="0.15">
      <c r="A2411" s="33"/>
      <c r="B2411" s="12"/>
      <c r="C2411" s="12"/>
      <c r="D2411" s="12"/>
      <c r="E2411" s="12"/>
      <c r="G2411" s="14"/>
    </row>
    <row r="2412" spans="1:7" ht="22.5" customHeight="1" x14ac:dyDescent="0.15">
      <c r="A2412" s="33"/>
      <c r="B2412" s="12"/>
      <c r="C2412" s="12"/>
      <c r="D2412" s="12"/>
      <c r="E2412" s="12"/>
      <c r="G2412" s="14"/>
    </row>
    <row r="2413" spans="1:7" ht="22.5" customHeight="1" x14ac:dyDescent="0.15">
      <c r="A2413" s="33"/>
      <c r="B2413" s="12"/>
      <c r="C2413" s="12"/>
      <c r="D2413" s="12"/>
      <c r="E2413" s="12"/>
      <c r="G2413" s="14"/>
    </row>
    <row r="2414" spans="1:7" ht="22.5" customHeight="1" x14ac:dyDescent="0.15">
      <c r="A2414" s="33"/>
      <c r="B2414" s="12"/>
      <c r="C2414" s="12"/>
      <c r="D2414" s="12"/>
      <c r="E2414" s="12"/>
      <c r="G2414" s="14"/>
    </row>
    <row r="2415" spans="1:7" ht="22.5" customHeight="1" x14ac:dyDescent="0.15">
      <c r="A2415" s="33"/>
      <c r="B2415" s="12"/>
      <c r="C2415" s="12"/>
      <c r="D2415" s="12"/>
      <c r="E2415" s="12"/>
      <c r="G2415" s="14"/>
    </row>
    <row r="2416" spans="1:7" ht="22.5" customHeight="1" x14ac:dyDescent="0.15">
      <c r="A2416" s="33"/>
      <c r="B2416" s="12"/>
      <c r="C2416" s="12"/>
      <c r="D2416" s="12"/>
      <c r="E2416" s="12"/>
      <c r="G2416" s="14"/>
    </row>
    <row r="2417" spans="1:7" ht="22.5" customHeight="1" x14ac:dyDescent="0.15">
      <c r="A2417" s="33"/>
      <c r="B2417" s="12"/>
      <c r="C2417" s="12"/>
      <c r="D2417" s="12"/>
      <c r="E2417" s="12"/>
      <c r="G2417" s="14"/>
    </row>
    <row r="2418" spans="1:7" ht="22.5" customHeight="1" x14ac:dyDescent="0.15">
      <c r="A2418" s="33"/>
      <c r="B2418" s="12"/>
      <c r="C2418" s="12"/>
      <c r="D2418" s="12"/>
      <c r="E2418" s="12"/>
      <c r="G2418" s="14"/>
    </row>
    <row r="2419" spans="1:7" ht="22.5" customHeight="1" x14ac:dyDescent="0.15">
      <c r="A2419" s="33"/>
      <c r="B2419" s="12"/>
      <c r="C2419" s="12"/>
      <c r="D2419" s="12"/>
      <c r="E2419" s="12"/>
      <c r="G2419" s="14"/>
    </row>
    <row r="2420" spans="1:7" ht="22.5" customHeight="1" x14ac:dyDescent="0.15">
      <c r="A2420" s="33"/>
      <c r="B2420" s="12"/>
      <c r="C2420" s="12"/>
      <c r="D2420" s="12"/>
      <c r="E2420" s="12"/>
      <c r="G2420" s="14"/>
    </row>
    <row r="2421" spans="1:7" ht="22.5" customHeight="1" x14ac:dyDescent="0.15">
      <c r="A2421" s="33"/>
      <c r="B2421" s="12"/>
      <c r="C2421" s="12"/>
      <c r="D2421" s="12"/>
      <c r="E2421" s="12"/>
      <c r="G2421" s="14"/>
    </row>
    <row r="2422" spans="1:7" ht="22.5" customHeight="1" x14ac:dyDescent="0.15">
      <c r="A2422" s="33"/>
      <c r="B2422" s="12"/>
      <c r="C2422" s="12"/>
      <c r="D2422" s="12"/>
      <c r="E2422" s="12"/>
      <c r="G2422" s="14"/>
    </row>
    <row r="2423" spans="1:7" ht="22.5" customHeight="1" x14ac:dyDescent="0.15">
      <c r="A2423" s="33"/>
      <c r="B2423" s="12"/>
      <c r="C2423" s="12"/>
      <c r="D2423" s="12"/>
      <c r="E2423" s="12"/>
      <c r="G2423" s="14"/>
    </row>
    <row r="2424" spans="1:7" ht="22.5" customHeight="1" x14ac:dyDescent="0.15">
      <c r="A2424" s="33"/>
      <c r="B2424" s="12"/>
      <c r="C2424" s="12"/>
      <c r="D2424" s="12"/>
      <c r="E2424" s="12"/>
      <c r="G2424" s="14"/>
    </row>
    <row r="2425" spans="1:7" ht="22.5" customHeight="1" x14ac:dyDescent="0.15">
      <c r="A2425" s="33"/>
      <c r="B2425" s="12"/>
      <c r="C2425" s="12"/>
      <c r="D2425" s="12"/>
      <c r="E2425" s="12"/>
      <c r="G2425" s="14"/>
    </row>
    <row r="2426" spans="1:7" ht="22.5" customHeight="1" x14ac:dyDescent="0.15">
      <c r="A2426" s="33"/>
      <c r="B2426" s="12"/>
      <c r="C2426" s="12"/>
      <c r="D2426" s="12"/>
      <c r="E2426" s="12"/>
      <c r="G2426" s="14"/>
    </row>
    <row r="2427" spans="1:7" ht="22.5" customHeight="1" x14ac:dyDescent="0.15">
      <c r="A2427" s="33"/>
      <c r="B2427" s="12"/>
      <c r="C2427" s="12"/>
      <c r="D2427" s="12"/>
      <c r="E2427" s="12"/>
      <c r="G2427" s="14"/>
    </row>
    <row r="2428" spans="1:7" ht="22.5" customHeight="1" x14ac:dyDescent="0.15">
      <c r="A2428" s="33"/>
      <c r="B2428" s="12"/>
      <c r="C2428" s="12"/>
      <c r="D2428" s="12"/>
      <c r="E2428" s="12"/>
      <c r="G2428" s="14"/>
    </row>
    <row r="2429" spans="1:7" ht="22.5" customHeight="1" x14ac:dyDescent="0.15">
      <c r="A2429" s="33"/>
      <c r="B2429" s="12"/>
      <c r="C2429" s="12"/>
      <c r="D2429" s="12"/>
      <c r="E2429" s="12"/>
      <c r="G2429" s="14"/>
    </row>
    <row r="2430" spans="1:7" ht="22.5" customHeight="1" x14ac:dyDescent="0.15">
      <c r="A2430" s="33"/>
      <c r="B2430" s="12"/>
      <c r="C2430" s="12"/>
      <c r="D2430" s="12"/>
      <c r="E2430" s="12"/>
      <c r="G2430" s="14"/>
    </row>
    <row r="2431" spans="1:7" ht="22.5" customHeight="1" x14ac:dyDescent="0.15">
      <c r="A2431" s="33"/>
      <c r="B2431" s="12"/>
      <c r="C2431" s="12"/>
      <c r="D2431" s="12"/>
      <c r="E2431" s="12"/>
      <c r="G2431" s="14"/>
    </row>
    <row r="2432" spans="1:7" ht="22.5" customHeight="1" x14ac:dyDescent="0.15">
      <c r="A2432" s="33"/>
      <c r="B2432" s="12"/>
      <c r="C2432" s="12"/>
      <c r="D2432" s="12"/>
      <c r="E2432" s="12"/>
      <c r="G2432" s="14"/>
    </row>
    <row r="2433" spans="1:7" ht="22.5" customHeight="1" x14ac:dyDescent="0.15">
      <c r="A2433" s="33"/>
      <c r="B2433" s="12"/>
      <c r="C2433" s="12"/>
      <c r="D2433" s="12"/>
      <c r="E2433" s="12"/>
      <c r="G2433" s="14"/>
    </row>
    <row r="2434" spans="1:7" ht="22.5" customHeight="1" x14ac:dyDescent="0.15">
      <c r="A2434" s="33"/>
      <c r="B2434" s="12"/>
      <c r="C2434" s="12"/>
      <c r="D2434" s="12"/>
      <c r="E2434" s="12"/>
      <c r="G2434" s="14"/>
    </row>
    <row r="2435" spans="1:7" ht="22.5" customHeight="1" x14ac:dyDescent="0.15">
      <c r="A2435" s="33"/>
      <c r="B2435" s="12"/>
      <c r="C2435" s="12"/>
      <c r="D2435" s="12"/>
      <c r="E2435" s="12"/>
      <c r="G2435" s="14"/>
    </row>
    <row r="2436" spans="1:7" ht="22.5" customHeight="1" x14ac:dyDescent="0.15">
      <c r="A2436" s="33"/>
      <c r="B2436" s="12"/>
      <c r="C2436" s="12"/>
      <c r="D2436" s="12"/>
      <c r="E2436" s="12"/>
      <c r="G2436" s="14"/>
    </row>
    <row r="2437" spans="1:7" ht="22.5" customHeight="1" x14ac:dyDescent="0.15">
      <c r="A2437" s="33"/>
      <c r="B2437" s="12"/>
      <c r="C2437" s="12"/>
      <c r="D2437" s="12"/>
      <c r="E2437" s="12"/>
      <c r="G2437" s="14"/>
    </row>
    <row r="2438" spans="1:7" ht="22.5" customHeight="1" x14ac:dyDescent="0.15">
      <c r="A2438" s="33"/>
      <c r="B2438" s="12"/>
      <c r="C2438" s="12"/>
      <c r="D2438" s="12"/>
      <c r="E2438" s="12"/>
      <c r="G2438" s="14"/>
    </row>
    <row r="2439" spans="1:7" ht="22.5" customHeight="1" x14ac:dyDescent="0.15">
      <c r="A2439" s="33"/>
      <c r="B2439" s="12"/>
      <c r="C2439" s="12"/>
      <c r="D2439" s="12"/>
      <c r="E2439" s="12"/>
      <c r="G2439" s="14"/>
    </row>
    <row r="2440" spans="1:7" ht="22.5" customHeight="1" x14ac:dyDescent="0.15">
      <c r="A2440" s="33"/>
      <c r="B2440" s="12"/>
      <c r="C2440" s="12"/>
      <c r="D2440" s="12"/>
      <c r="E2440" s="12"/>
      <c r="G2440" s="14"/>
    </row>
    <row r="2441" spans="1:7" ht="22.5" customHeight="1" x14ac:dyDescent="0.15">
      <c r="A2441" s="33"/>
      <c r="B2441" s="12"/>
      <c r="C2441" s="12"/>
      <c r="D2441" s="12"/>
      <c r="E2441" s="12"/>
      <c r="G2441" s="14"/>
    </row>
    <row r="2442" spans="1:7" ht="22.5" customHeight="1" x14ac:dyDescent="0.15">
      <c r="A2442" s="33"/>
      <c r="B2442" s="12"/>
      <c r="C2442" s="12"/>
      <c r="D2442" s="12"/>
      <c r="E2442" s="12"/>
      <c r="G2442" s="14"/>
    </row>
    <row r="2443" spans="1:7" ht="22.5" customHeight="1" x14ac:dyDescent="0.15">
      <c r="A2443" s="33"/>
      <c r="B2443" s="12"/>
      <c r="C2443" s="12"/>
      <c r="D2443" s="12"/>
      <c r="E2443" s="12"/>
      <c r="G2443" s="14"/>
    </row>
    <row r="2444" spans="1:7" ht="22.5" customHeight="1" x14ac:dyDescent="0.15">
      <c r="A2444" s="33"/>
      <c r="B2444" s="12"/>
      <c r="C2444" s="12"/>
      <c r="D2444" s="12"/>
      <c r="E2444" s="12"/>
      <c r="G2444" s="14"/>
    </row>
    <row r="2445" spans="1:7" ht="22.5" customHeight="1" x14ac:dyDescent="0.15">
      <c r="A2445" s="33"/>
      <c r="B2445" s="12"/>
      <c r="C2445" s="12"/>
      <c r="D2445" s="12"/>
      <c r="E2445" s="12"/>
      <c r="G2445" s="14"/>
    </row>
    <row r="2446" spans="1:7" ht="22.5" customHeight="1" x14ac:dyDescent="0.15">
      <c r="A2446" s="33"/>
      <c r="B2446" s="12"/>
      <c r="C2446" s="12"/>
      <c r="D2446" s="12"/>
      <c r="E2446" s="12"/>
      <c r="G2446" s="14"/>
    </row>
    <row r="2447" spans="1:7" ht="22.5" customHeight="1" x14ac:dyDescent="0.15">
      <c r="A2447" s="33"/>
      <c r="B2447" s="12"/>
      <c r="C2447" s="12"/>
      <c r="D2447" s="12"/>
      <c r="E2447" s="12"/>
      <c r="G2447" s="14"/>
    </row>
    <row r="2448" spans="1:7" ht="22.5" customHeight="1" x14ac:dyDescent="0.15">
      <c r="A2448" s="33"/>
      <c r="B2448" s="12"/>
      <c r="C2448" s="12"/>
      <c r="D2448" s="12"/>
      <c r="E2448" s="12"/>
      <c r="G2448" s="14"/>
    </row>
    <row r="2449" spans="1:7" ht="22.5" customHeight="1" x14ac:dyDescent="0.15">
      <c r="A2449" s="33"/>
      <c r="B2449" s="12"/>
      <c r="C2449" s="12"/>
      <c r="D2449" s="12"/>
      <c r="E2449" s="12"/>
      <c r="G2449" s="14"/>
    </row>
    <row r="2450" spans="1:7" ht="22.5" customHeight="1" x14ac:dyDescent="0.15">
      <c r="A2450" s="33"/>
      <c r="B2450" s="12"/>
      <c r="C2450" s="12"/>
      <c r="D2450" s="12"/>
      <c r="E2450" s="12"/>
      <c r="G2450" s="14"/>
    </row>
    <row r="2451" spans="1:7" ht="22.5" customHeight="1" x14ac:dyDescent="0.15">
      <c r="A2451" s="33"/>
      <c r="B2451" s="12"/>
      <c r="C2451" s="12"/>
      <c r="D2451" s="12"/>
      <c r="E2451" s="12"/>
      <c r="G2451" s="14"/>
    </row>
    <row r="2452" spans="1:7" ht="22.5" customHeight="1" x14ac:dyDescent="0.15">
      <c r="A2452" s="33"/>
      <c r="B2452" s="12"/>
      <c r="C2452" s="12"/>
      <c r="D2452" s="12"/>
      <c r="E2452" s="12"/>
      <c r="G2452" s="14"/>
    </row>
    <row r="2453" spans="1:7" ht="22.5" customHeight="1" x14ac:dyDescent="0.15">
      <c r="A2453" s="33"/>
      <c r="B2453" s="12"/>
      <c r="C2453" s="12"/>
      <c r="D2453" s="12"/>
      <c r="E2453" s="12"/>
      <c r="G2453" s="14"/>
    </row>
    <row r="2454" spans="1:7" ht="22.5" customHeight="1" x14ac:dyDescent="0.15">
      <c r="A2454" s="33"/>
      <c r="B2454" s="12"/>
      <c r="C2454" s="12"/>
      <c r="D2454" s="12"/>
      <c r="E2454" s="12"/>
      <c r="G2454" s="14"/>
    </row>
    <row r="2455" spans="1:7" ht="22.5" customHeight="1" x14ac:dyDescent="0.15">
      <c r="A2455" s="33"/>
      <c r="B2455" s="12"/>
      <c r="C2455" s="12"/>
      <c r="D2455" s="12"/>
      <c r="E2455" s="12"/>
      <c r="G2455" s="14"/>
    </row>
    <row r="2456" spans="1:7" ht="22.5" customHeight="1" x14ac:dyDescent="0.15">
      <c r="A2456" s="33"/>
      <c r="B2456" s="12"/>
      <c r="C2456" s="12"/>
      <c r="D2456" s="12"/>
      <c r="E2456" s="12"/>
      <c r="G2456" s="14"/>
    </row>
    <row r="2457" spans="1:7" ht="22.5" customHeight="1" x14ac:dyDescent="0.15">
      <c r="A2457" s="33"/>
      <c r="B2457" s="12"/>
      <c r="C2457" s="12"/>
      <c r="D2457" s="12"/>
      <c r="E2457" s="12"/>
      <c r="G2457" s="14"/>
    </row>
    <row r="2458" spans="1:7" ht="22.5" customHeight="1" x14ac:dyDescent="0.15">
      <c r="A2458" s="33"/>
      <c r="B2458" s="12"/>
      <c r="C2458" s="12"/>
      <c r="D2458" s="12"/>
      <c r="E2458" s="12"/>
      <c r="G2458" s="14"/>
    </row>
    <row r="2459" spans="1:7" ht="22.5" customHeight="1" x14ac:dyDescent="0.15">
      <c r="A2459" s="33"/>
      <c r="B2459" s="12"/>
      <c r="C2459" s="12"/>
      <c r="D2459" s="12"/>
      <c r="E2459" s="12"/>
      <c r="G2459" s="14"/>
    </row>
    <row r="2460" spans="1:7" ht="22.5" customHeight="1" x14ac:dyDescent="0.15">
      <c r="A2460" s="33"/>
      <c r="B2460" s="12"/>
      <c r="C2460" s="12"/>
      <c r="D2460" s="12"/>
      <c r="E2460" s="12"/>
      <c r="G2460" s="14"/>
    </row>
    <row r="2461" spans="1:7" ht="22.5" customHeight="1" x14ac:dyDescent="0.15">
      <c r="A2461" s="33"/>
      <c r="B2461" s="12"/>
      <c r="C2461" s="12"/>
      <c r="D2461" s="12"/>
      <c r="E2461" s="12"/>
      <c r="G2461" s="14"/>
    </row>
    <row r="2462" spans="1:7" ht="22.5" customHeight="1" x14ac:dyDescent="0.15">
      <c r="A2462" s="33"/>
      <c r="B2462" s="12"/>
      <c r="C2462" s="12"/>
      <c r="D2462" s="12"/>
      <c r="E2462" s="12"/>
      <c r="G2462" s="14"/>
    </row>
    <row r="2463" spans="1:7" ht="22.5" customHeight="1" x14ac:dyDescent="0.15">
      <c r="A2463" s="33"/>
      <c r="B2463" s="12"/>
      <c r="C2463" s="12"/>
      <c r="D2463" s="12"/>
      <c r="E2463" s="12"/>
      <c r="G2463" s="14"/>
    </row>
    <row r="2464" spans="1:7" ht="22.5" customHeight="1" x14ac:dyDescent="0.15">
      <c r="A2464" s="33"/>
      <c r="B2464" s="12"/>
      <c r="C2464" s="12"/>
      <c r="D2464" s="12"/>
      <c r="E2464" s="12"/>
      <c r="G2464" s="14"/>
    </row>
    <row r="2465" spans="1:7" ht="22.5" customHeight="1" x14ac:dyDescent="0.15">
      <c r="A2465" s="33"/>
      <c r="B2465" s="12"/>
      <c r="C2465" s="12"/>
      <c r="D2465" s="12"/>
      <c r="E2465" s="12"/>
      <c r="G2465" s="14"/>
    </row>
    <row r="2466" spans="1:7" ht="22.5" customHeight="1" x14ac:dyDescent="0.15">
      <c r="A2466" s="33"/>
      <c r="B2466" s="12"/>
      <c r="C2466" s="12"/>
      <c r="D2466" s="12"/>
      <c r="E2466" s="12"/>
      <c r="G2466" s="14"/>
    </row>
    <row r="2467" spans="1:7" ht="22.5" customHeight="1" x14ac:dyDescent="0.15">
      <c r="A2467" s="33"/>
      <c r="B2467" s="12"/>
      <c r="C2467" s="12"/>
      <c r="D2467" s="12"/>
      <c r="E2467" s="12"/>
      <c r="G2467" s="14"/>
    </row>
    <row r="2468" spans="1:7" ht="22.5" customHeight="1" x14ac:dyDescent="0.15">
      <c r="A2468" s="33"/>
      <c r="B2468" s="12"/>
      <c r="C2468" s="12"/>
      <c r="D2468" s="12"/>
      <c r="E2468" s="12"/>
      <c r="G2468" s="14"/>
    </row>
    <row r="2469" spans="1:7" ht="22.5" customHeight="1" x14ac:dyDescent="0.15">
      <c r="A2469" s="33"/>
      <c r="B2469" s="12"/>
      <c r="C2469" s="12"/>
      <c r="D2469" s="12"/>
      <c r="E2469" s="12"/>
      <c r="G2469" s="14"/>
    </row>
    <row r="2470" spans="1:7" ht="22.5" customHeight="1" x14ac:dyDescent="0.15">
      <c r="A2470" s="33"/>
      <c r="B2470" s="12"/>
      <c r="C2470" s="12"/>
      <c r="D2470" s="12"/>
      <c r="E2470" s="12"/>
      <c r="G2470" s="14"/>
    </row>
    <row r="2471" spans="1:7" ht="22.5" customHeight="1" x14ac:dyDescent="0.15">
      <c r="A2471" s="33"/>
      <c r="B2471" s="12"/>
      <c r="C2471" s="12"/>
      <c r="D2471" s="12"/>
      <c r="E2471" s="12"/>
      <c r="G2471" s="14"/>
    </row>
    <row r="2472" spans="1:7" ht="22.5" customHeight="1" x14ac:dyDescent="0.15">
      <c r="A2472" s="33"/>
      <c r="B2472" s="12"/>
      <c r="C2472" s="12"/>
      <c r="D2472" s="12"/>
      <c r="E2472" s="12"/>
      <c r="G2472" s="14"/>
    </row>
    <row r="2473" spans="1:7" ht="22.5" customHeight="1" x14ac:dyDescent="0.15">
      <c r="A2473" s="33"/>
      <c r="B2473" s="12"/>
      <c r="C2473" s="12"/>
      <c r="D2473" s="12"/>
      <c r="E2473" s="12"/>
      <c r="G2473" s="14"/>
    </row>
    <row r="2474" spans="1:7" ht="22.5" customHeight="1" x14ac:dyDescent="0.15">
      <c r="A2474" s="33"/>
      <c r="B2474" s="12"/>
      <c r="C2474" s="12"/>
      <c r="D2474" s="12"/>
      <c r="E2474" s="12"/>
      <c r="G2474" s="14"/>
    </row>
    <row r="2475" spans="1:7" ht="22.5" customHeight="1" x14ac:dyDescent="0.15">
      <c r="A2475" s="33"/>
      <c r="B2475" s="12"/>
      <c r="C2475" s="12"/>
      <c r="D2475" s="12"/>
      <c r="E2475" s="12"/>
      <c r="G2475" s="14"/>
    </row>
    <row r="2476" spans="1:7" ht="22.5" customHeight="1" x14ac:dyDescent="0.15">
      <c r="A2476" s="33"/>
      <c r="B2476" s="12"/>
      <c r="C2476" s="12"/>
      <c r="D2476" s="12"/>
      <c r="E2476" s="12"/>
      <c r="G2476" s="14"/>
    </row>
    <row r="2477" spans="1:7" ht="22.5" customHeight="1" x14ac:dyDescent="0.15">
      <c r="A2477" s="33"/>
      <c r="B2477" s="12"/>
      <c r="C2477" s="12"/>
      <c r="D2477" s="12"/>
      <c r="E2477" s="12"/>
      <c r="G2477" s="14"/>
    </row>
    <row r="2478" spans="1:7" ht="22.5" customHeight="1" x14ac:dyDescent="0.15">
      <c r="A2478" s="33"/>
      <c r="B2478" s="12"/>
      <c r="C2478" s="12"/>
      <c r="D2478" s="12"/>
      <c r="E2478" s="12"/>
      <c r="G2478" s="14"/>
    </row>
    <row r="2479" spans="1:7" ht="22.5" customHeight="1" x14ac:dyDescent="0.15">
      <c r="A2479" s="33"/>
      <c r="B2479" s="12"/>
      <c r="C2479" s="12"/>
      <c r="D2479" s="12"/>
      <c r="E2479" s="12"/>
      <c r="G2479" s="14"/>
    </row>
    <row r="2480" spans="1:7" ht="22.5" customHeight="1" x14ac:dyDescent="0.15">
      <c r="A2480" s="33"/>
      <c r="B2480" s="12"/>
      <c r="C2480" s="12"/>
      <c r="D2480" s="12"/>
      <c r="E2480" s="12"/>
      <c r="G2480" s="14"/>
    </row>
    <row r="2481" spans="1:7" ht="22.5" customHeight="1" x14ac:dyDescent="0.15">
      <c r="A2481" s="33"/>
      <c r="B2481" s="12"/>
      <c r="C2481" s="12"/>
      <c r="D2481" s="12"/>
      <c r="E2481" s="12"/>
      <c r="G2481" s="14"/>
    </row>
    <row r="2482" spans="1:7" ht="22.5" customHeight="1" x14ac:dyDescent="0.15">
      <c r="A2482" s="33"/>
      <c r="B2482" s="12"/>
      <c r="C2482" s="12"/>
      <c r="D2482" s="12"/>
      <c r="E2482" s="12"/>
      <c r="G2482" s="14"/>
    </row>
    <row r="2483" spans="1:7" ht="22.5" customHeight="1" x14ac:dyDescent="0.15">
      <c r="A2483" s="33"/>
      <c r="B2483" s="12"/>
      <c r="C2483" s="12"/>
      <c r="D2483" s="12"/>
      <c r="E2483" s="12"/>
      <c r="G2483" s="14"/>
    </row>
    <row r="2484" spans="1:7" ht="22.5" customHeight="1" x14ac:dyDescent="0.15">
      <c r="A2484" s="33"/>
      <c r="B2484" s="12"/>
      <c r="C2484" s="12"/>
      <c r="D2484" s="12"/>
      <c r="E2484" s="12"/>
      <c r="G2484" s="14"/>
    </row>
    <row r="2485" spans="1:7" ht="22.5" customHeight="1" x14ac:dyDescent="0.15">
      <c r="A2485" s="33"/>
      <c r="B2485" s="12"/>
      <c r="C2485" s="12"/>
      <c r="D2485" s="12"/>
      <c r="E2485" s="12"/>
      <c r="G2485" s="14"/>
    </row>
    <row r="2486" spans="1:7" ht="22.5" customHeight="1" x14ac:dyDescent="0.15">
      <c r="A2486" s="33"/>
      <c r="B2486" s="12"/>
      <c r="C2486" s="12"/>
      <c r="D2486" s="12"/>
      <c r="E2486" s="12"/>
      <c r="G2486" s="14"/>
    </row>
    <row r="2487" spans="1:7" ht="22.5" customHeight="1" x14ac:dyDescent="0.15">
      <c r="A2487" s="33"/>
      <c r="B2487" s="12"/>
      <c r="C2487" s="12"/>
      <c r="D2487" s="12"/>
      <c r="E2487" s="12"/>
      <c r="G2487" s="14"/>
    </row>
    <row r="2488" spans="1:7" ht="22.5" customHeight="1" x14ac:dyDescent="0.15">
      <c r="A2488" s="33"/>
      <c r="B2488" s="12"/>
      <c r="C2488" s="12"/>
      <c r="D2488" s="12"/>
      <c r="E2488" s="12"/>
      <c r="G2488" s="14"/>
    </row>
    <row r="2489" spans="1:7" ht="22.5" customHeight="1" x14ac:dyDescent="0.15">
      <c r="A2489" s="33"/>
      <c r="B2489" s="12"/>
      <c r="C2489" s="12"/>
      <c r="D2489" s="12"/>
      <c r="E2489" s="12"/>
      <c r="G2489" s="14"/>
    </row>
    <row r="2490" spans="1:7" ht="22.5" customHeight="1" x14ac:dyDescent="0.15">
      <c r="A2490" s="33"/>
      <c r="B2490" s="12"/>
      <c r="C2490" s="12"/>
      <c r="D2490" s="12"/>
      <c r="E2490" s="12"/>
      <c r="G2490" s="14"/>
    </row>
    <row r="2491" spans="1:7" ht="22.5" customHeight="1" x14ac:dyDescent="0.15">
      <c r="A2491" s="33"/>
      <c r="B2491" s="12"/>
      <c r="C2491" s="12"/>
      <c r="D2491" s="12"/>
      <c r="E2491" s="12"/>
      <c r="G2491" s="14"/>
    </row>
    <row r="2492" spans="1:7" ht="22.5" customHeight="1" x14ac:dyDescent="0.15">
      <c r="A2492" s="33"/>
      <c r="B2492" s="12"/>
      <c r="C2492" s="12"/>
      <c r="D2492" s="12"/>
      <c r="E2492" s="12"/>
      <c r="G2492" s="14"/>
    </row>
    <row r="2493" spans="1:7" ht="22.5" customHeight="1" x14ac:dyDescent="0.15">
      <c r="A2493" s="33"/>
      <c r="B2493" s="12"/>
      <c r="C2493" s="12"/>
      <c r="D2493" s="12"/>
      <c r="E2493" s="12"/>
      <c r="G2493" s="14"/>
    </row>
    <row r="2494" spans="1:7" ht="22.5" customHeight="1" x14ac:dyDescent="0.15">
      <c r="A2494" s="33"/>
      <c r="B2494" s="12"/>
      <c r="C2494" s="12"/>
      <c r="D2494" s="12"/>
      <c r="E2494" s="12"/>
      <c r="G2494" s="14"/>
    </row>
    <row r="2495" spans="1:7" ht="22.5" customHeight="1" x14ac:dyDescent="0.15">
      <c r="A2495" s="33"/>
      <c r="B2495" s="12"/>
      <c r="C2495" s="12"/>
      <c r="D2495" s="12"/>
      <c r="E2495" s="12"/>
      <c r="G2495" s="14"/>
    </row>
    <row r="2496" spans="1:7" ht="22.5" customHeight="1" x14ac:dyDescent="0.15">
      <c r="A2496" s="33"/>
      <c r="B2496" s="12"/>
      <c r="C2496" s="12"/>
      <c r="D2496" s="12"/>
      <c r="E2496" s="12"/>
      <c r="G2496" s="14"/>
    </row>
    <row r="2497" spans="1:7" ht="22.5" customHeight="1" x14ac:dyDescent="0.15">
      <c r="A2497" s="33"/>
      <c r="B2497" s="12"/>
      <c r="C2497" s="12"/>
      <c r="D2497" s="12"/>
      <c r="E2497" s="12"/>
      <c r="G2497" s="14"/>
    </row>
    <row r="2498" spans="1:7" ht="22.5" customHeight="1" x14ac:dyDescent="0.15">
      <c r="A2498" s="33"/>
      <c r="B2498" s="12"/>
      <c r="C2498" s="12"/>
      <c r="D2498" s="12"/>
      <c r="E2498" s="12"/>
      <c r="G2498" s="14"/>
    </row>
    <row r="2499" spans="1:7" ht="22.5" customHeight="1" x14ac:dyDescent="0.15">
      <c r="A2499" s="33"/>
      <c r="B2499" s="12"/>
      <c r="C2499" s="12"/>
      <c r="D2499" s="12"/>
      <c r="E2499" s="12"/>
      <c r="G2499" s="14"/>
    </row>
    <row r="2500" spans="1:7" ht="22.5" customHeight="1" x14ac:dyDescent="0.15">
      <c r="A2500" s="33"/>
      <c r="B2500" s="12"/>
      <c r="C2500" s="12"/>
      <c r="D2500" s="12"/>
      <c r="E2500" s="12"/>
      <c r="G2500" s="14"/>
    </row>
    <row r="2501" spans="1:7" ht="22.5" customHeight="1" x14ac:dyDescent="0.15">
      <c r="A2501" s="33"/>
      <c r="B2501" s="12"/>
      <c r="C2501" s="12"/>
      <c r="D2501" s="12"/>
      <c r="E2501" s="12"/>
      <c r="G2501" s="14"/>
    </row>
    <row r="2502" spans="1:7" ht="22.5" customHeight="1" x14ac:dyDescent="0.15">
      <c r="A2502" s="33"/>
      <c r="B2502" s="12"/>
      <c r="C2502" s="12"/>
      <c r="D2502" s="12"/>
      <c r="E2502" s="12"/>
      <c r="G2502" s="14"/>
    </row>
    <row r="2503" spans="1:7" ht="22.5" customHeight="1" x14ac:dyDescent="0.15">
      <c r="A2503" s="33"/>
      <c r="B2503" s="12"/>
      <c r="C2503" s="12"/>
      <c r="D2503" s="12"/>
      <c r="E2503" s="12"/>
      <c r="G2503" s="14"/>
    </row>
    <row r="2504" spans="1:7" ht="22.5" customHeight="1" x14ac:dyDescent="0.15">
      <c r="A2504" s="33"/>
      <c r="B2504" s="12"/>
      <c r="C2504" s="12"/>
      <c r="D2504" s="12"/>
      <c r="E2504" s="12"/>
      <c r="G2504" s="14"/>
    </row>
    <row r="2505" spans="1:7" ht="22.5" customHeight="1" x14ac:dyDescent="0.15">
      <c r="A2505" s="33"/>
      <c r="B2505" s="12"/>
      <c r="C2505" s="12"/>
      <c r="D2505" s="12"/>
      <c r="E2505" s="12"/>
      <c r="G2505" s="14"/>
    </row>
    <row r="2506" spans="1:7" ht="22.5" customHeight="1" x14ac:dyDescent="0.15">
      <c r="A2506" s="33"/>
      <c r="B2506" s="12"/>
      <c r="C2506" s="12"/>
      <c r="D2506" s="12"/>
      <c r="E2506" s="12"/>
      <c r="G2506" s="14"/>
    </row>
    <row r="2507" spans="1:7" ht="22.5" customHeight="1" x14ac:dyDescent="0.15">
      <c r="A2507" s="33"/>
      <c r="B2507" s="12"/>
      <c r="C2507" s="12"/>
      <c r="D2507" s="12"/>
      <c r="E2507" s="12"/>
      <c r="G2507" s="14"/>
    </row>
    <row r="2508" spans="1:7" ht="22.5" customHeight="1" x14ac:dyDescent="0.15">
      <c r="A2508" s="33"/>
      <c r="B2508" s="12"/>
      <c r="C2508" s="12"/>
      <c r="D2508" s="12"/>
      <c r="E2508" s="12"/>
      <c r="G2508" s="14"/>
    </row>
    <row r="2509" spans="1:7" ht="22.5" customHeight="1" x14ac:dyDescent="0.15">
      <c r="A2509" s="33"/>
      <c r="B2509" s="12"/>
      <c r="C2509" s="12"/>
      <c r="D2509" s="12"/>
      <c r="E2509" s="12"/>
      <c r="G2509" s="14"/>
    </row>
    <row r="2510" spans="1:7" ht="22.5" customHeight="1" x14ac:dyDescent="0.15">
      <c r="A2510" s="33"/>
      <c r="B2510" s="12"/>
      <c r="C2510" s="12"/>
      <c r="D2510" s="12"/>
      <c r="E2510" s="12"/>
      <c r="G2510" s="14"/>
    </row>
    <row r="2511" spans="1:7" ht="22.5" customHeight="1" x14ac:dyDescent="0.15">
      <c r="A2511" s="33"/>
      <c r="B2511" s="12"/>
      <c r="C2511" s="12"/>
      <c r="D2511" s="12"/>
      <c r="E2511" s="12"/>
      <c r="G2511" s="14"/>
    </row>
    <row r="2512" spans="1:7" ht="22.5" customHeight="1" x14ac:dyDescent="0.15">
      <c r="A2512" s="33"/>
      <c r="B2512" s="12"/>
      <c r="C2512" s="12"/>
      <c r="D2512" s="12"/>
      <c r="E2512" s="12"/>
      <c r="G2512" s="14"/>
    </row>
    <row r="2513" spans="1:7" ht="22.5" customHeight="1" x14ac:dyDescent="0.15">
      <c r="A2513" s="33"/>
      <c r="B2513" s="12"/>
      <c r="C2513" s="12"/>
      <c r="D2513" s="12"/>
      <c r="E2513" s="12"/>
      <c r="G2513" s="14"/>
    </row>
    <row r="2514" spans="1:7" ht="22.5" customHeight="1" x14ac:dyDescent="0.15">
      <c r="A2514" s="33"/>
      <c r="B2514" s="12"/>
      <c r="C2514" s="12"/>
      <c r="D2514" s="12"/>
      <c r="E2514" s="12"/>
      <c r="G2514" s="14"/>
    </row>
    <row r="2515" spans="1:7" ht="22.5" customHeight="1" x14ac:dyDescent="0.15">
      <c r="A2515" s="33"/>
      <c r="B2515" s="12"/>
      <c r="C2515" s="12"/>
      <c r="D2515" s="12"/>
      <c r="E2515" s="12"/>
      <c r="G2515" s="14"/>
    </row>
    <row r="2516" spans="1:7" ht="22.5" customHeight="1" x14ac:dyDescent="0.15">
      <c r="A2516" s="33"/>
      <c r="B2516" s="12"/>
      <c r="C2516" s="12"/>
      <c r="D2516" s="12"/>
      <c r="E2516" s="12"/>
      <c r="G2516" s="14"/>
    </row>
    <row r="2517" spans="1:7" ht="22.5" customHeight="1" x14ac:dyDescent="0.15">
      <c r="A2517" s="33"/>
      <c r="B2517" s="12"/>
      <c r="C2517" s="12"/>
      <c r="D2517" s="12"/>
      <c r="E2517" s="12"/>
      <c r="G2517" s="14"/>
    </row>
    <row r="2518" spans="1:7" ht="22.5" customHeight="1" x14ac:dyDescent="0.15">
      <c r="A2518" s="33"/>
      <c r="B2518" s="12"/>
      <c r="C2518" s="12"/>
      <c r="D2518" s="12"/>
      <c r="E2518" s="12"/>
      <c r="G2518" s="14"/>
    </row>
    <row r="2519" spans="1:7" ht="22.5" customHeight="1" x14ac:dyDescent="0.15">
      <c r="A2519" s="33"/>
      <c r="B2519" s="12"/>
      <c r="C2519" s="12"/>
      <c r="D2519" s="12"/>
      <c r="E2519" s="12"/>
      <c r="G2519" s="14"/>
    </row>
    <row r="2520" spans="1:7" ht="22.5" customHeight="1" x14ac:dyDescent="0.15">
      <c r="A2520" s="33"/>
      <c r="B2520" s="12"/>
      <c r="C2520" s="12"/>
      <c r="D2520" s="12"/>
      <c r="E2520" s="12"/>
      <c r="G2520" s="14"/>
    </row>
    <row r="2521" spans="1:7" ht="22.5" customHeight="1" x14ac:dyDescent="0.15">
      <c r="A2521" s="33"/>
      <c r="B2521" s="12"/>
      <c r="C2521" s="12"/>
      <c r="D2521" s="12"/>
      <c r="E2521" s="12"/>
      <c r="G2521" s="14"/>
    </row>
    <row r="2522" spans="1:7" ht="22.5" customHeight="1" x14ac:dyDescent="0.15">
      <c r="A2522" s="33"/>
      <c r="B2522" s="12"/>
      <c r="C2522" s="12"/>
      <c r="D2522" s="12"/>
      <c r="E2522" s="12"/>
      <c r="G2522" s="14"/>
    </row>
    <row r="2523" spans="1:7" ht="22.5" customHeight="1" x14ac:dyDescent="0.15">
      <c r="A2523" s="33"/>
      <c r="B2523" s="12"/>
      <c r="C2523" s="12"/>
      <c r="D2523" s="12"/>
      <c r="E2523" s="12"/>
      <c r="G2523" s="14"/>
    </row>
    <row r="2524" spans="1:7" ht="22.5" customHeight="1" x14ac:dyDescent="0.15">
      <c r="A2524" s="33"/>
      <c r="B2524" s="12"/>
      <c r="C2524" s="12"/>
      <c r="D2524" s="12"/>
      <c r="E2524" s="12"/>
      <c r="G2524" s="14"/>
    </row>
    <row r="2525" spans="1:7" ht="22.5" customHeight="1" x14ac:dyDescent="0.15">
      <c r="A2525" s="33"/>
      <c r="B2525" s="12"/>
      <c r="C2525" s="12"/>
      <c r="D2525" s="12"/>
      <c r="E2525" s="12"/>
      <c r="G2525" s="14"/>
    </row>
    <row r="2526" spans="1:7" ht="22.5" customHeight="1" x14ac:dyDescent="0.15">
      <c r="A2526" s="33"/>
      <c r="B2526" s="12"/>
      <c r="C2526" s="12"/>
      <c r="D2526" s="12"/>
      <c r="E2526" s="12"/>
      <c r="G2526" s="14"/>
    </row>
    <row r="2527" spans="1:7" ht="22.5" customHeight="1" x14ac:dyDescent="0.15">
      <c r="A2527" s="33"/>
      <c r="B2527" s="12"/>
      <c r="C2527" s="12"/>
      <c r="D2527" s="12"/>
      <c r="E2527" s="12"/>
      <c r="G2527" s="14"/>
    </row>
    <row r="2528" spans="1:7" ht="22.5" customHeight="1" x14ac:dyDescent="0.15">
      <c r="A2528" s="33"/>
      <c r="B2528" s="12"/>
      <c r="C2528" s="12"/>
      <c r="D2528" s="12"/>
      <c r="E2528" s="12"/>
      <c r="G2528" s="14"/>
    </row>
    <row r="2529" spans="1:7" ht="22.5" customHeight="1" x14ac:dyDescent="0.15">
      <c r="A2529" s="33"/>
      <c r="B2529" s="12"/>
      <c r="C2529" s="12"/>
      <c r="D2529" s="12"/>
      <c r="E2529" s="12"/>
      <c r="G2529" s="14"/>
    </row>
    <row r="2530" spans="1:7" ht="22.5" customHeight="1" x14ac:dyDescent="0.15">
      <c r="A2530" s="33"/>
      <c r="B2530" s="12"/>
      <c r="C2530" s="12"/>
      <c r="D2530" s="12"/>
      <c r="E2530" s="12"/>
      <c r="G2530" s="14"/>
    </row>
    <row r="2531" spans="1:7" ht="22.5" customHeight="1" x14ac:dyDescent="0.15">
      <c r="A2531" s="33"/>
      <c r="B2531" s="12"/>
      <c r="C2531" s="12"/>
      <c r="D2531" s="12"/>
      <c r="E2531" s="12"/>
      <c r="G2531" s="14"/>
    </row>
    <row r="2532" spans="1:7" ht="22.5" customHeight="1" x14ac:dyDescent="0.15">
      <c r="A2532" s="33"/>
      <c r="B2532" s="12"/>
      <c r="C2532" s="12"/>
      <c r="D2532" s="12"/>
      <c r="E2532" s="12"/>
      <c r="G2532" s="14"/>
    </row>
    <row r="2533" spans="1:7" ht="22.5" customHeight="1" x14ac:dyDescent="0.15">
      <c r="A2533" s="33"/>
      <c r="B2533" s="12"/>
      <c r="C2533" s="12"/>
      <c r="D2533" s="12"/>
      <c r="E2533" s="12"/>
      <c r="G2533" s="14"/>
    </row>
    <row r="2534" spans="1:7" ht="22.5" customHeight="1" x14ac:dyDescent="0.15">
      <c r="A2534" s="33"/>
      <c r="B2534" s="12"/>
      <c r="C2534" s="12"/>
      <c r="D2534" s="12"/>
      <c r="E2534" s="12"/>
      <c r="G2534" s="14"/>
    </row>
    <row r="2535" spans="1:7" ht="22.5" customHeight="1" x14ac:dyDescent="0.15">
      <c r="A2535" s="33"/>
      <c r="B2535" s="12"/>
      <c r="C2535" s="12"/>
      <c r="D2535" s="12"/>
      <c r="E2535" s="12"/>
      <c r="G2535" s="14"/>
    </row>
    <row r="2536" spans="1:7" ht="22.5" customHeight="1" x14ac:dyDescent="0.15">
      <c r="A2536" s="33"/>
      <c r="B2536" s="12"/>
      <c r="C2536" s="12"/>
      <c r="D2536" s="12"/>
      <c r="E2536" s="12"/>
      <c r="G2536" s="14"/>
    </row>
    <row r="2537" spans="1:7" ht="22.5" customHeight="1" x14ac:dyDescent="0.15">
      <c r="A2537" s="33"/>
      <c r="B2537" s="12"/>
      <c r="C2537" s="12"/>
      <c r="D2537" s="12"/>
      <c r="E2537" s="12"/>
      <c r="G2537" s="14"/>
    </row>
    <row r="2538" spans="1:7" ht="22.5" customHeight="1" x14ac:dyDescent="0.15">
      <c r="A2538" s="33"/>
      <c r="B2538" s="12"/>
      <c r="C2538" s="12"/>
      <c r="D2538" s="12"/>
      <c r="E2538" s="12"/>
      <c r="G2538" s="14"/>
    </row>
    <row r="2539" spans="1:7" ht="22.5" customHeight="1" x14ac:dyDescent="0.15">
      <c r="A2539" s="33"/>
      <c r="B2539" s="12"/>
      <c r="C2539" s="12"/>
      <c r="D2539" s="12"/>
      <c r="E2539" s="12"/>
      <c r="G2539" s="14"/>
    </row>
    <row r="2540" spans="1:7" ht="22.5" customHeight="1" x14ac:dyDescent="0.15">
      <c r="A2540" s="33"/>
      <c r="B2540" s="12"/>
      <c r="C2540" s="12"/>
      <c r="D2540" s="12"/>
      <c r="E2540" s="12"/>
      <c r="G2540" s="14"/>
    </row>
    <row r="2541" spans="1:7" ht="22.5" customHeight="1" x14ac:dyDescent="0.15">
      <c r="A2541" s="33"/>
      <c r="B2541" s="12"/>
      <c r="C2541" s="12"/>
      <c r="D2541" s="12"/>
      <c r="E2541" s="12"/>
      <c r="G2541" s="14"/>
    </row>
    <row r="2542" spans="1:7" ht="22.5" customHeight="1" x14ac:dyDescent="0.15">
      <c r="A2542" s="33"/>
      <c r="B2542" s="12"/>
      <c r="C2542" s="12"/>
      <c r="D2542" s="12"/>
      <c r="E2542" s="12"/>
      <c r="G2542" s="14"/>
    </row>
    <row r="2543" spans="1:7" ht="22.5" customHeight="1" x14ac:dyDescent="0.15">
      <c r="A2543" s="33"/>
      <c r="B2543" s="12"/>
      <c r="C2543" s="12"/>
      <c r="D2543" s="12"/>
      <c r="E2543" s="12"/>
      <c r="G2543" s="14"/>
    </row>
    <row r="2544" spans="1:7" ht="22.5" customHeight="1" x14ac:dyDescent="0.15">
      <c r="A2544" s="33"/>
      <c r="B2544" s="12"/>
      <c r="C2544" s="12"/>
      <c r="D2544" s="12"/>
      <c r="E2544" s="12"/>
      <c r="G2544" s="14"/>
    </row>
    <row r="2545" spans="1:7" ht="22.5" customHeight="1" x14ac:dyDescent="0.15">
      <c r="A2545" s="33"/>
      <c r="B2545" s="12"/>
      <c r="C2545" s="12"/>
      <c r="D2545" s="12"/>
      <c r="E2545" s="12"/>
      <c r="G2545" s="14"/>
    </row>
    <row r="2546" spans="1:7" ht="22.5" customHeight="1" x14ac:dyDescent="0.15">
      <c r="A2546" s="33"/>
      <c r="B2546" s="12"/>
      <c r="C2546" s="12"/>
      <c r="D2546" s="12"/>
      <c r="E2546" s="12"/>
      <c r="G2546" s="14"/>
    </row>
    <row r="2547" spans="1:7" ht="22.5" customHeight="1" x14ac:dyDescent="0.15">
      <c r="A2547" s="33"/>
      <c r="B2547" s="12"/>
      <c r="C2547" s="12"/>
      <c r="D2547" s="12"/>
      <c r="E2547" s="12"/>
      <c r="G2547" s="14"/>
    </row>
    <row r="2548" spans="1:7" ht="22.5" customHeight="1" x14ac:dyDescent="0.15">
      <c r="A2548" s="33"/>
      <c r="B2548" s="12"/>
      <c r="C2548" s="12"/>
      <c r="D2548" s="12"/>
      <c r="E2548" s="12"/>
      <c r="G2548" s="14"/>
    </row>
    <row r="2549" spans="1:7" ht="22.5" customHeight="1" x14ac:dyDescent="0.15">
      <c r="A2549" s="33"/>
      <c r="B2549" s="12"/>
      <c r="C2549" s="12"/>
      <c r="D2549" s="12"/>
      <c r="E2549" s="12"/>
      <c r="G2549" s="14"/>
    </row>
    <row r="2550" spans="1:7" ht="22.5" customHeight="1" x14ac:dyDescent="0.15">
      <c r="A2550" s="33"/>
      <c r="B2550" s="12"/>
      <c r="C2550" s="12"/>
      <c r="D2550" s="12"/>
      <c r="E2550" s="12"/>
      <c r="G2550" s="14"/>
    </row>
    <row r="2551" spans="1:7" ht="22.5" customHeight="1" x14ac:dyDescent="0.15">
      <c r="A2551" s="33"/>
      <c r="B2551" s="12"/>
      <c r="C2551" s="12"/>
      <c r="D2551" s="12"/>
      <c r="E2551" s="12"/>
      <c r="G2551" s="14"/>
    </row>
    <row r="2552" spans="1:7" ht="22.5" customHeight="1" x14ac:dyDescent="0.15">
      <c r="A2552" s="33"/>
      <c r="B2552" s="12"/>
      <c r="C2552" s="12"/>
      <c r="D2552" s="12"/>
      <c r="E2552" s="12"/>
      <c r="G2552" s="14"/>
    </row>
    <row r="2553" spans="1:7" ht="22.5" customHeight="1" x14ac:dyDescent="0.15">
      <c r="A2553" s="33"/>
      <c r="B2553" s="12"/>
      <c r="C2553" s="12"/>
      <c r="D2553" s="12"/>
      <c r="E2553" s="12"/>
      <c r="G2553" s="14"/>
    </row>
    <row r="2554" spans="1:7" ht="22.5" customHeight="1" x14ac:dyDescent="0.15">
      <c r="A2554" s="33"/>
      <c r="B2554" s="12"/>
      <c r="C2554" s="12"/>
      <c r="D2554" s="12"/>
      <c r="E2554" s="12"/>
      <c r="G2554" s="14"/>
    </row>
    <row r="2555" spans="1:7" ht="22.5" customHeight="1" x14ac:dyDescent="0.15">
      <c r="A2555" s="33"/>
      <c r="B2555" s="12"/>
      <c r="C2555" s="12"/>
      <c r="D2555" s="12"/>
      <c r="E2555" s="12"/>
      <c r="G2555" s="14"/>
    </row>
    <row r="2556" spans="1:7" ht="22.5" customHeight="1" x14ac:dyDescent="0.15">
      <c r="A2556" s="33"/>
      <c r="B2556" s="12"/>
      <c r="C2556" s="12"/>
      <c r="D2556" s="12"/>
      <c r="E2556" s="12"/>
      <c r="G2556" s="14"/>
    </row>
    <row r="2557" spans="1:7" ht="22.5" customHeight="1" x14ac:dyDescent="0.15">
      <c r="A2557" s="33"/>
      <c r="B2557" s="12"/>
      <c r="C2557" s="12"/>
      <c r="D2557" s="12"/>
      <c r="E2557" s="12"/>
      <c r="G2557" s="14"/>
    </row>
    <row r="2558" spans="1:7" ht="22.5" customHeight="1" x14ac:dyDescent="0.15">
      <c r="A2558" s="33"/>
      <c r="B2558" s="12"/>
      <c r="C2558" s="12"/>
      <c r="D2558" s="12"/>
      <c r="E2558" s="12"/>
      <c r="G2558" s="14"/>
    </row>
    <row r="2559" spans="1:7" ht="22.5" customHeight="1" x14ac:dyDescent="0.15">
      <c r="A2559" s="33"/>
      <c r="B2559" s="12"/>
      <c r="C2559" s="12"/>
      <c r="D2559" s="12"/>
      <c r="E2559" s="12"/>
      <c r="G2559" s="14"/>
    </row>
    <row r="2560" spans="1:7" ht="22.5" customHeight="1" x14ac:dyDescent="0.15">
      <c r="A2560" s="33"/>
      <c r="B2560" s="12"/>
      <c r="C2560" s="12"/>
      <c r="D2560" s="12"/>
      <c r="E2560" s="12"/>
      <c r="G2560" s="14"/>
    </row>
    <row r="2561" spans="1:7" ht="22.5" customHeight="1" x14ac:dyDescent="0.15">
      <c r="A2561" s="33"/>
      <c r="B2561" s="12"/>
      <c r="C2561" s="12"/>
      <c r="D2561" s="12"/>
      <c r="E2561" s="12"/>
      <c r="G2561" s="14"/>
    </row>
    <row r="2562" spans="1:7" ht="22.5" customHeight="1" x14ac:dyDescent="0.15">
      <c r="A2562" s="33"/>
      <c r="B2562" s="12"/>
      <c r="C2562" s="12"/>
      <c r="D2562" s="12"/>
      <c r="E2562" s="12"/>
      <c r="G2562" s="14"/>
    </row>
    <row r="2563" spans="1:7" ht="22.5" customHeight="1" x14ac:dyDescent="0.15">
      <c r="A2563" s="33"/>
      <c r="B2563" s="12"/>
      <c r="C2563" s="12"/>
      <c r="D2563" s="12"/>
      <c r="E2563" s="12"/>
      <c r="G2563" s="14"/>
    </row>
    <row r="2564" spans="1:7" ht="22.5" customHeight="1" x14ac:dyDescent="0.15">
      <c r="A2564" s="33"/>
      <c r="B2564" s="12"/>
      <c r="C2564" s="12"/>
      <c r="D2564" s="12"/>
      <c r="E2564" s="12"/>
      <c r="G2564" s="14"/>
    </row>
    <row r="2565" spans="1:7" ht="22.5" customHeight="1" x14ac:dyDescent="0.15">
      <c r="A2565" s="33"/>
      <c r="B2565" s="12"/>
      <c r="C2565" s="12"/>
      <c r="D2565" s="12"/>
      <c r="E2565" s="12"/>
      <c r="G2565" s="14"/>
    </row>
    <row r="2566" spans="1:7" ht="22.5" customHeight="1" x14ac:dyDescent="0.15">
      <c r="A2566" s="33"/>
      <c r="B2566" s="12"/>
      <c r="C2566" s="12"/>
      <c r="D2566" s="12"/>
      <c r="E2566" s="12"/>
      <c r="G2566" s="14"/>
    </row>
    <row r="2567" spans="1:7" ht="22.5" customHeight="1" x14ac:dyDescent="0.15">
      <c r="A2567" s="33"/>
      <c r="B2567" s="12"/>
      <c r="C2567" s="12"/>
      <c r="D2567" s="12"/>
      <c r="E2567" s="12"/>
      <c r="G2567" s="14"/>
    </row>
    <row r="2568" spans="1:7" ht="22.5" customHeight="1" x14ac:dyDescent="0.15">
      <c r="A2568" s="33"/>
      <c r="B2568" s="12"/>
      <c r="C2568" s="12"/>
      <c r="D2568" s="12"/>
      <c r="E2568" s="12"/>
      <c r="G2568" s="14"/>
    </row>
    <row r="2569" spans="1:7" ht="22.5" customHeight="1" x14ac:dyDescent="0.15">
      <c r="A2569" s="33"/>
      <c r="B2569" s="12"/>
      <c r="C2569" s="12"/>
      <c r="D2569" s="12"/>
      <c r="E2569" s="12"/>
      <c r="G2569" s="14"/>
    </row>
    <row r="2570" spans="1:7" ht="22.5" customHeight="1" x14ac:dyDescent="0.15">
      <c r="A2570" s="33"/>
      <c r="B2570" s="12"/>
      <c r="C2570" s="12"/>
      <c r="D2570" s="12"/>
      <c r="E2570" s="12"/>
      <c r="G2570" s="14"/>
    </row>
    <row r="2571" spans="1:7" ht="22.5" customHeight="1" x14ac:dyDescent="0.15">
      <c r="A2571" s="33"/>
      <c r="B2571" s="12"/>
      <c r="C2571" s="12"/>
      <c r="D2571" s="12"/>
      <c r="E2571" s="12"/>
      <c r="G2571" s="14"/>
    </row>
    <row r="2572" spans="1:7" ht="22.5" customHeight="1" x14ac:dyDescent="0.15">
      <c r="A2572" s="33"/>
      <c r="B2572" s="12"/>
      <c r="C2572" s="12"/>
      <c r="D2572" s="12"/>
      <c r="E2572" s="12"/>
      <c r="G2572" s="14"/>
    </row>
    <row r="2573" spans="1:7" ht="22.5" customHeight="1" x14ac:dyDescent="0.15">
      <c r="A2573" s="33"/>
      <c r="B2573" s="12"/>
      <c r="C2573" s="12"/>
      <c r="D2573" s="12"/>
      <c r="E2573" s="12"/>
      <c r="G2573" s="14"/>
    </row>
    <row r="2574" spans="1:7" ht="22.5" customHeight="1" x14ac:dyDescent="0.15">
      <c r="A2574" s="33"/>
      <c r="B2574" s="12"/>
      <c r="C2574" s="12"/>
      <c r="D2574" s="12"/>
      <c r="E2574" s="12"/>
      <c r="G2574" s="14"/>
    </row>
    <row r="2575" spans="1:7" ht="22.5" customHeight="1" x14ac:dyDescent="0.15">
      <c r="A2575" s="33"/>
      <c r="B2575" s="12"/>
      <c r="C2575" s="12"/>
      <c r="D2575" s="12"/>
      <c r="E2575" s="12"/>
      <c r="G2575" s="14"/>
    </row>
    <row r="2576" spans="1:7" ht="22.5" customHeight="1" x14ac:dyDescent="0.15">
      <c r="A2576" s="33"/>
      <c r="B2576" s="12"/>
      <c r="C2576" s="12"/>
      <c r="D2576" s="12"/>
      <c r="E2576" s="12"/>
      <c r="G2576" s="14"/>
    </row>
    <row r="2577" spans="1:7" ht="22.5" customHeight="1" x14ac:dyDescent="0.15">
      <c r="A2577" s="33"/>
      <c r="B2577" s="12"/>
      <c r="C2577" s="12"/>
      <c r="D2577" s="12"/>
      <c r="E2577" s="12"/>
      <c r="G2577" s="14"/>
    </row>
    <row r="2578" spans="1:7" ht="22.5" customHeight="1" x14ac:dyDescent="0.15">
      <c r="A2578" s="33"/>
      <c r="B2578" s="12"/>
      <c r="C2578" s="12"/>
      <c r="D2578" s="12"/>
      <c r="E2578" s="12"/>
      <c r="G2578" s="14"/>
    </row>
    <row r="2579" spans="1:7" ht="22.5" customHeight="1" x14ac:dyDescent="0.15">
      <c r="A2579" s="33"/>
      <c r="B2579" s="12"/>
      <c r="C2579" s="12"/>
      <c r="D2579" s="12"/>
      <c r="E2579" s="12"/>
      <c r="G2579" s="14"/>
    </row>
    <row r="2580" spans="1:7" ht="22.5" customHeight="1" x14ac:dyDescent="0.15">
      <c r="A2580" s="33"/>
      <c r="B2580" s="12"/>
      <c r="C2580" s="12"/>
      <c r="D2580" s="12"/>
      <c r="E2580" s="12"/>
      <c r="G2580" s="14"/>
    </row>
    <row r="2581" spans="1:7" ht="22.5" customHeight="1" x14ac:dyDescent="0.15">
      <c r="A2581" s="33"/>
      <c r="B2581" s="12"/>
      <c r="C2581" s="12"/>
      <c r="D2581" s="12"/>
      <c r="E2581" s="12"/>
      <c r="G2581" s="14"/>
    </row>
    <row r="2582" spans="1:7" ht="22.5" customHeight="1" x14ac:dyDescent="0.15">
      <c r="A2582" s="33"/>
      <c r="B2582" s="12"/>
      <c r="C2582" s="12"/>
      <c r="D2582" s="12"/>
      <c r="E2582" s="12"/>
      <c r="G2582" s="14"/>
    </row>
    <row r="2583" spans="1:7" ht="22.5" customHeight="1" x14ac:dyDescent="0.15">
      <c r="A2583" s="33"/>
      <c r="B2583" s="12"/>
      <c r="C2583" s="12"/>
      <c r="D2583" s="12"/>
      <c r="E2583" s="12"/>
      <c r="G2583" s="14"/>
    </row>
    <row r="2584" spans="1:7" ht="22.5" customHeight="1" x14ac:dyDescent="0.15">
      <c r="A2584" s="33"/>
      <c r="B2584" s="12"/>
      <c r="C2584" s="12"/>
      <c r="D2584" s="12"/>
      <c r="E2584" s="12"/>
      <c r="G2584" s="14"/>
    </row>
    <row r="2585" spans="1:7" ht="22.5" customHeight="1" x14ac:dyDescent="0.15">
      <c r="A2585" s="33"/>
      <c r="B2585" s="12"/>
      <c r="C2585" s="12"/>
      <c r="D2585" s="12"/>
      <c r="E2585" s="12"/>
      <c r="G2585" s="14"/>
    </row>
    <row r="2586" spans="1:7" ht="22.5" customHeight="1" x14ac:dyDescent="0.15">
      <c r="A2586" s="33"/>
      <c r="B2586" s="12"/>
      <c r="C2586" s="12"/>
      <c r="D2586" s="12"/>
      <c r="E2586" s="12"/>
      <c r="G2586" s="14"/>
    </row>
    <row r="2587" spans="1:7" ht="22.5" customHeight="1" x14ac:dyDescent="0.15">
      <c r="A2587" s="33"/>
      <c r="B2587" s="12"/>
      <c r="C2587" s="12"/>
      <c r="D2587" s="12"/>
      <c r="E2587" s="12"/>
      <c r="G2587" s="14"/>
    </row>
    <row r="2588" spans="1:7" ht="22.5" customHeight="1" x14ac:dyDescent="0.15">
      <c r="A2588" s="33"/>
      <c r="B2588" s="12"/>
      <c r="C2588" s="12"/>
      <c r="D2588" s="12"/>
      <c r="E2588" s="12"/>
      <c r="G2588" s="14"/>
    </row>
    <row r="2589" spans="1:7" ht="22.5" customHeight="1" x14ac:dyDescent="0.15">
      <c r="A2589" s="33"/>
      <c r="B2589" s="12"/>
      <c r="C2589" s="12"/>
      <c r="D2589" s="12"/>
      <c r="E2589" s="12"/>
      <c r="G2589" s="14"/>
    </row>
    <row r="2590" spans="1:7" ht="22.5" customHeight="1" x14ac:dyDescent="0.15">
      <c r="A2590" s="33"/>
      <c r="B2590" s="12"/>
      <c r="C2590" s="12"/>
      <c r="D2590" s="12"/>
      <c r="E2590" s="12"/>
      <c r="G2590" s="14"/>
    </row>
    <row r="2591" spans="1:7" ht="22.5" customHeight="1" x14ac:dyDescent="0.15">
      <c r="A2591" s="33"/>
      <c r="B2591" s="12"/>
      <c r="C2591" s="12"/>
      <c r="D2591" s="12"/>
      <c r="E2591" s="12"/>
      <c r="G2591" s="14"/>
    </row>
    <row r="2592" spans="1:7" ht="22.5" customHeight="1" x14ac:dyDescent="0.15">
      <c r="A2592" s="33"/>
      <c r="B2592" s="12"/>
      <c r="C2592" s="12"/>
      <c r="D2592" s="12"/>
      <c r="E2592" s="12"/>
      <c r="G2592" s="14"/>
    </row>
    <row r="2593" spans="1:7" ht="22.5" customHeight="1" x14ac:dyDescent="0.15">
      <c r="A2593" s="33"/>
      <c r="B2593" s="12"/>
      <c r="C2593" s="12"/>
      <c r="D2593" s="12"/>
      <c r="E2593" s="12"/>
      <c r="G2593" s="14"/>
    </row>
    <row r="2594" spans="1:7" ht="22.5" customHeight="1" x14ac:dyDescent="0.15">
      <c r="A2594" s="33"/>
      <c r="B2594" s="12"/>
      <c r="C2594" s="12"/>
      <c r="D2594" s="12"/>
      <c r="E2594" s="12"/>
      <c r="G2594" s="14"/>
    </row>
    <row r="2595" spans="1:7" ht="22.5" customHeight="1" x14ac:dyDescent="0.15">
      <c r="A2595" s="33"/>
      <c r="B2595" s="12"/>
      <c r="C2595" s="12"/>
      <c r="D2595" s="12"/>
      <c r="E2595" s="12"/>
      <c r="G2595" s="14"/>
    </row>
    <row r="2596" spans="1:7" ht="22.5" customHeight="1" x14ac:dyDescent="0.15">
      <c r="A2596" s="33"/>
      <c r="B2596" s="12"/>
      <c r="C2596" s="12"/>
      <c r="D2596" s="12"/>
      <c r="E2596" s="12"/>
      <c r="G2596" s="14"/>
    </row>
    <row r="2597" spans="1:7" ht="22.5" customHeight="1" x14ac:dyDescent="0.15">
      <c r="A2597" s="33"/>
      <c r="B2597" s="12"/>
      <c r="C2597" s="12"/>
      <c r="D2597" s="12"/>
      <c r="E2597" s="12"/>
      <c r="G2597" s="14"/>
    </row>
    <row r="2598" spans="1:7" ht="22.5" customHeight="1" x14ac:dyDescent="0.15">
      <c r="A2598" s="33"/>
      <c r="B2598" s="12"/>
      <c r="C2598" s="12"/>
      <c r="D2598" s="12"/>
      <c r="E2598" s="12"/>
      <c r="G2598" s="14"/>
    </row>
    <row r="2599" spans="1:7" ht="22.5" customHeight="1" x14ac:dyDescent="0.15">
      <c r="A2599" s="33"/>
      <c r="B2599" s="12"/>
      <c r="C2599" s="12"/>
      <c r="D2599" s="12"/>
      <c r="E2599" s="12"/>
      <c r="G2599" s="14"/>
    </row>
    <row r="2600" spans="1:7" ht="22.5" customHeight="1" x14ac:dyDescent="0.15">
      <c r="A2600" s="33"/>
      <c r="B2600" s="12"/>
      <c r="C2600" s="12"/>
      <c r="D2600" s="12"/>
      <c r="E2600" s="12"/>
      <c r="G2600" s="14"/>
    </row>
    <row r="2601" spans="1:7" ht="22.5" customHeight="1" x14ac:dyDescent="0.15">
      <c r="A2601" s="33"/>
      <c r="B2601" s="12"/>
      <c r="C2601" s="12"/>
      <c r="D2601" s="12"/>
      <c r="E2601" s="12"/>
      <c r="G2601" s="14"/>
    </row>
    <row r="2602" spans="1:7" ht="22.5" customHeight="1" x14ac:dyDescent="0.15">
      <c r="A2602" s="33"/>
      <c r="B2602" s="12"/>
      <c r="C2602" s="12"/>
      <c r="D2602" s="12"/>
      <c r="E2602" s="12"/>
      <c r="G2602" s="14"/>
    </row>
    <row r="2603" spans="1:7" ht="22.5" customHeight="1" x14ac:dyDescent="0.15">
      <c r="A2603" s="33"/>
      <c r="B2603" s="12"/>
      <c r="C2603" s="12"/>
      <c r="D2603" s="12"/>
      <c r="E2603" s="12"/>
      <c r="G2603" s="14"/>
    </row>
    <row r="2604" spans="1:7" ht="22.5" customHeight="1" x14ac:dyDescent="0.15">
      <c r="A2604" s="33"/>
      <c r="B2604" s="12"/>
      <c r="C2604" s="12"/>
      <c r="D2604" s="12"/>
      <c r="E2604" s="12"/>
      <c r="G2604" s="14"/>
    </row>
    <row r="2605" spans="1:7" ht="22.5" customHeight="1" x14ac:dyDescent="0.15">
      <c r="A2605" s="33"/>
      <c r="B2605" s="12"/>
      <c r="C2605" s="12"/>
      <c r="D2605" s="12"/>
      <c r="E2605" s="12"/>
      <c r="G2605" s="14"/>
    </row>
    <row r="2606" spans="1:7" ht="22.5" customHeight="1" x14ac:dyDescent="0.15">
      <c r="A2606" s="33"/>
      <c r="B2606" s="12"/>
      <c r="C2606" s="12"/>
      <c r="D2606" s="12"/>
      <c r="E2606" s="12"/>
      <c r="G2606" s="14"/>
    </row>
    <row r="2607" spans="1:7" ht="22.5" customHeight="1" x14ac:dyDescent="0.15">
      <c r="A2607" s="33"/>
      <c r="B2607" s="12"/>
      <c r="C2607" s="12"/>
      <c r="D2607" s="12"/>
      <c r="E2607" s="12"/>
      <c r="G2607" s="14"/>
    </row>
    <row r="2608" spans="1:7" ht="22.5" customHeight="1" x14ac:dyDescent="0.15">
      <c r="A2608" s="33"/>
      <c r="B2608" s="12"/>
      <c r="C2608" s="12"/>
      <c r="D2608" s="12"/>
      <c r="E2608" s="12"/>
      <c r="G2608" s="14"/>
    </row>
    <row r="2609" spans="1:7" ht="22.5" customHeight="1" x14ac:dyDescent="0.15">
      <c r="A2609" s="33"/>
      <c r="B2609" s="12"/>
      <c r="C2609" s="12"/>
      <c r="D2609" s="12"/>
      <c r="E2609" s="12"/>
      <c r="G2609" s="14"/>
    </row>
    <row r="2610" spans="1:7" ht="22.5" customHeight="1" x14ac:dyDescent="0.15">
      <c r="A2610" s="33"/>
      <c r="B2610" s="12"/>
      <c r="C2610" s="12"/>
      <c r="D2610" s="12"/>
      <c r="E2610" s="12"/>
      <c r="G2610" s="14"/>
    </row>
    <row r="2611" spans="1:7" ht="22.5" customHeight="1" x14ac:dyDescent="0.15">
      <c r="A2611" s="33"/>
      <c r="B2611" s="12"/>
      <c r="C2611" s="12"/>
      <c r="D2611" s="12"/>
      <c r="E2611" s="12"/>
      <c r="G2611" s="14"/>
    </row>
    <row r="2612" spans="1:7" ht="22.5" customHeight="1" x14ac:dyDescent="0.15">
      <c r="A2612" s="33"/>
      <c r="B2612" s="12"/>
      <c r="C2612" s="12"/>
      <c r="D2612" s="12"/>
      <c r="E2612" s="12"/>
      <c r="G2612" s="14"/>
    </row>
    <row r="2613" spans="1:7" ht="22.5" customHeight="1" x14ac:dyDescent="0.15">
      <c r="A2613" s="33"/>
      <c r="B2613" s="12"/>
      <c r="C2613" s="12"/>
      <c r="D2613" s="12"/>
      <c r="E2613" s="12"/>
      <c r="G2613" s="14"/>
    </row>
    <row r="2614" spans="1:7" ht="22.5" customHeight="1" x14ac:dyDescent="0.15">
      <c r="A2614" s="33"/>
      <c r="B2614" s="12"/>
      <c r="C2614" s="12"/>
      <c r="D2614" s="12"/>
      <c r="E2614" s="12"/>
      <c r="G2614" s="14"/>
    </row>
    <row r="2615" spans="1:7" ht="22.5" customHeight="1" x14ac:dyDescent="0.15">
      <c r="A2615" s="33"/>
      <c r="B2615" s="12"/>
      <c r="C2615" s="12"/>
      <c r="D2615" s="12"/>
      <c r="E2615" s="12"/>
      <c r="G2615" s="14"/>
    </row>
    <row r="2616" spans="1:7" ht="22.5" customHeight="1" x14ac:dyDescent="0.15">
      <c r="A2616" s="33"/>
      <c r="B2616" s="12"/>
      <c r="C2616" s="12"/>
      <c r="D2616" s="12"/>
      <c r="E2616" s="12"/>
      <c r="G2616" s="14"/>
    </row>
    <row r="2617" spans="1:7" ht="22.5" customHeight="1" x14ac:dyDescent="0.15">
      <c r="A2617" s="33"/>
      <c r="B2617" s="12"/>
      <c r="C2617" s="12"/>
      <c r="D2617" s="12"/>
      <c r="E2617" s="12"/>
      <c r="G2617" s="14"/>
    </row>
    <row r="2618" spans="1:7" ht="22.5" customHeight="1" x14ac:dyDescent="0.15">
      <c r="A2618" s="33"/>
      <c r="B2618" s="12"/>
      <c r="C2618" s="12"/>
      <c r="D2618" s="12"/>
      <c r="E2618" s="12"/>
      <c r="G2618" s="14"/>
    </row>
    <row r="2619" spans="1:7" ht="22.5" customHeight="1" x14ac:dyDescent="0.15">
      <c r="A2619" s="33"/>
      <c r="B2619" s="12"/>
      <c r="C2619" s="12"/>
      <c r="D2619" s="12"/>
      <c r="E2619" s="12"/>
      <c r="G2619" s="14"/>
    </row>
    <row r="2620" spans="1:7" ht="22.5" customHeight="1" x14ac:dyDescent="0.15">
      <c r="A2620" s="33"/>
      <c r="B2620" s="12"/>
      <c r="C2620" s="12"/>
      <c r="D2620" s="12"/>
      <c r="E2620" s="12"/>
      <c r="G2620" s="14"/>
    </row>
    <row r="2621" spans="1:7" ht="22.5" customHeight="1" x14ac:dyDescent="0.15">
      <c r="A2621" s="33"/>
      <c r="B2621" s="12"/>
      <c r="C2621" s="12"/>
      <c r="D2621" s="12"/>
      <c r="E2621" s="12"/>
      <c r="G2621" s="14"/>
    </row>
    <row r="2622" spans="1:7" ht="22.5" customHeight="1" x14ac:dyDescent="0.15">
      <c r="A2622" s="33"/>
      <c r="B2622" s="12"/>
      <c r="C2622" s="12"/>
      <c r="D2622" s="12"/>
      <c r="E2622" s="12"/>
      <c r="G2622" s="14"/>
    </row>
    <row r="2623" spans="1:7" ht="22.5" customHeight="1" x14ac:dyDescent="0.15">
      <c r="A2623" s="33"/>
      <c r="B2623" s="12"/>
      <c r="C2623" s="12"/>
      <c r="D2623" s="12"/>
      <c r="E2623" s="12"/>
      <c r="G2623" s="14"/>
    </row>
    <row r="2624" spans="1:7" ht="22.5" customHeight="1" x14ac:dyDescent="0.15">
      <c r="A2624" s="33"/>
      <c r="B2624" s="12"/>
      <c r="C2624" s="12"/>
      <c r="D2624" s="12"/>
      <c r="E2624" s="12"/>
      <c r="G2624" s="14"/>
    </row>
    <row r="2625" spans="1:7" ht="22.5" customHeight="1" x14ac:dyDescent="0.15">
      <c r="A2625" s="33"/>
      <c r="B2625" s="12"/>
      <c r="C2625" s="12"/>
      <c r="D2625" s="12"/>
      <c r="E2625" s="12"/>
      <c r="G2625" s="14"/>
    </row>
    <row r="2626" spans="1:7" ht="22.5" customHeight="1" x14ac:dyDescent="0.15">
      <c r="A2626" s="33"/>
      <c r="B2626" s="12"/>
      <c r="C2626" s="12"/>
      <c r="D2626" s="12"/>
      <c r="E2626" s="12"/>
      <c r="G2626" s="14"/>
    </row>
    <row r="2627" spans="1:7" ht="22.5" customHeight="1" x14ac:dyDescent="0.15">
      <c r="A2627" s="33"/>
      <c r="B2627" s="12"/>
      <c r="C2627" s="12"/>
      <c r="D2627" s="12"/>
      <c r="E2627" s="12"/>
      <c r="G2627" s="14"/>
    </row>
    <row r="2628" spans="1:7" ht="22.5" customHeight="1" x14ac:dyDescent="0.15">
      <c r="A2628" s="33"/>
      <c r="B2628" s="12"/>
      <c r="C2628" s="12"/>
      <c r="D2628" s="12"/>
      <c r="E2628" s="12"/>
      <c r="G2628" s="14"/>
    </row>
    <row r="2629" spans="1:7" ht="22.5" customHeight="1" x14ac:dyDescent="0.15">
      <c r="A2629" s="33"/>
      <c r="B2629" s="12"/>
      <c r="C2629" s="12"/>
      <c r="D2629" s="12"/>
      <c r="E2629" s="12"/>
      <c r="G2629" s="14"/>
    </row>
    <row r="2630" spans="1:7" ht="22.5" customHeight="1" x14ac:dyDescent="0.15">
      <c r="A2630" s="33"/>
      <c r="B2630" s="12"/>
      <c r="C2630" s="12"/>
      <c r="D2630" s="12"/>
      <c r="E2630" s="12"/>
      <c r="G2630" s="14"/>
    </row>
    <row r="2631" spans="1:7" ht="22.5" customHeight="1" x14ac:dyDescent="0.15">
      <c r="A2631" s="33"/>
      <c r="B2631" s="12"/>
      <c r="C2631" s="12"/>
      <c r="D2631" s="12"/>
      <c r="E2631" s="12"/>
      <c r="G2631" s="14"/>
    </row>
    <row r="2632" spans="1:7" ht="22.5" customHeight="1" x14ac:dyDescent="0.15">
      <c r="A2632" s="33"/>
      <c r="B2632" s="12"/>
      <c r="C2632" s="12"/>
      <c r="D2632" s="12"/>
      <c r="E2632" s="12"/>
      <c r="G2632" s="14"/>
    </row>
    <row r="2633" spans="1:7" ht="22.5" customHeight="1" x14ac:dyDescent="0.15">
      <c r="A2633" s="33"/>
      <c r="B2633" s="12"/>
      <c r="C2633" s="12"/>
      <c r="D2633" s="12"/>
      <c r="E2633" s="12"/>
      <c r="G2633" s="14"/>
    </row>
    <row r="2634" spans="1:7" ht="22.5" customHeight="1" x14ac:dyDescent="0.15">
      <c r="A2634" s="33"/>
      <c r="B2634" s="12"/>
      <c r="C2634" s="12"/>
      <c r="D2634" s="12"/>
      <c r="E2634" s="12"/>
      <c r="G2634" s="14"/>
    </row>
    <row r="2635" spans="1:7" ht="22.5" customHeight="1" x14ac:dyDescent="0.15">
      <c r="A2635" s="33"/>
      <c r="B2635" s="12"/>
      <c r="C2635" s="12"/>
      <c r="D2635" s="12"/>
      <c r="E2635" s="12"/>
      <c r="G2635" s="14"/>
    </row>
    <row r="2636" spans="1:7" ht="22.5" customHeight="1" x14ac:dyDescent="0.15">
      <c r="A2636" s="33"/>
      <c r="B2636" s="12"/>
      <c r="C2636" s="12"/>
      <c r="D2636" s="12"/>
      <c r="E2636" s="12"/>
      <c r="G2636" s="14"/>
    </row>
    <row r="2637" spans="1:7" ht="22.5" customHeight="1" x14ac:dyDescent="0.15">
      <c r="A2637" s="33"/>
      <c r="B2637" s="12"/>
      <c r="C2637" s="12"/>
      <c r="D2637" s="12"/>
      <c r="E2637" s="12"/>
      <c r="G2637" s="14"/>
    </row>
    <row r="2638" spans="1:7" ht="22.5" customHeight="1" x14ac:dyDescent="0.15">
      <c r="A2638" s="33"/>
      <c r="B2638" s="12"/>
      <c r="C2638" s="12"/>
      <c r="D2638" s="12"/>
      <c r="E2638" s="12"/>
      <c r="G2638" s="14"/>
    </row>
    <row r="2639" spans="1:7" ht="22.5" customHeight="1" x14ac:dyDescent="0.15">
      <c r="A2639" s="33"/>
      <c r="B2639" s="12"/>
      <c r="C2639" s="12"/>
      <c r="D2639" s="12"/>
      <c r="E2639" s="12"/>
      <c r="G2639" s="14"/>
    </row>
    <row r="2640" spans="1:7" ht="22.5" customHeight="1" x14ac:dyDescent="0.15">
      <c r="A2640" s="33"/>
      <c r="B2640" s="12"/>
      <c r="C2640" s="12"/>
      <c r="D2640" s="12"/>
      <c r="E2640" s="12"/>
      <c r="G2640" s="14"/>
    </row>
    <row r="2641" spans="1:7" ht="22.5" customHeight="1" x14ac:dyDescent="0.15">
      <c r="A2641" s="33"/>
      <c r="B2641" s="12"/>
      <c r="C2641" s="12"/>
      <c r="D2641" s="12"/>
      <c r="E2641" s="12"/>
      <c r="G2641" s="14"/>
    </row>
    <row r="2642" spans="1:7" ht="22.5" customHeight="1" x14ac:dyDescent="0.15">
      <c r="A2642" s="33"/>
      <c r="B2642" s="12"/>
      <c r="C2642" s="12"/>
      <c r="D2642" s="12"/>
      <c r="E2642" s="12"/>
      <c r="G2642" s="14"/>
    </row>
    <row r="2643" spans="1:7" ht="22.5" customHeight="1" x14ac:dyDescent="0.15">
      <c r="A2643" s="33"/>
      <c r="B2643" s="12"/>
      <c r="C2643" s="12"/>
      <c r="D2643" s="12"/>
      <c r="E2643" s="12"/>
      <c r="G2643" s="14"/>
    </row>
    <row r="2644" spans="1:7" ht="22.5" customHeight="1" x14ac:dyDescent="0.15">
      <c r="A2644" s="33"/>
      <c r="B2644" s="12"/>
      <c r="C2644" s="12"/>
      <c r="D2644" s="12"/>
      <c r="E2644" s="12"/>
      <c r="G2644" s="14"/>
    </row>
    <row r="2645" spans="1:7" ht="22.5" customHeight="1" x14ac:dyDescent="0.15">
      <c r="A2645" s="33"/>
      <c r="B2645" s="12"/>
      <c r="C2645" s="12"/>
      <c r="D2645" s="12"/>
      <c r="E2645" s="12"/>
      <c r="G2645" s="14"/>
    </row>
    <row r="2646" spans="1:7" ht="22.5" customHeight="1" x14ac:dyDescent="0.15">
      <c r="A2646" s="33"/>
      <c r="B2646" s="12"/>
      <c r="C2646" s="12"/>
      <c r="D2646" s="12"/>
      <c r="E2646" s="12"/>
      <c r="G2646" s="14"/>
    </row>
    <row r="2647" spans="1:7" ht="22.5" customHeight="1" x14ac:dyDescent="0.15">
      <c r="A2647" s="33"/>
      <c r="B2647" s="12"/>
      <c r="C2647" s="12"/>
      <c r="D2647" s="12"/>
      <c r="E2647" s="12"/>
      <c r="G2647" s="14"/>
    </row>
    <row r="2648" spans="1:7" ht="22.5" customHeight="1" x14ac:dyDescent="0.15">
      <c r="A2648" s="33"/>
      <c r="B2648" s="12"/>
      <c r="C2648" s="12"/>
      <c r="D2648" s="12"/>
      <c r="E2648" s="12"/>
      <c r="G2648" s="14"/>
    </row>
    <row r="2649" spans="1:7" ht="22.5" customHeight="1" x14ac:dyDescent="0.15">
      <c r="A2649" s="33"/>
      <c r="B2649" s="12"/>
      <c r="C2649" s="12"/>
      <c r="D2649" s="12"/>
      <c r="E2649" s="12"/>
      <c r="G2649" s="14"/>
    </row>
    <row r="2650" spans="1:7" ht="22.5" customHeight="1" x14ac:dyDescent="0.15">
      <c r="A2650" s="33"/>
      <c r="B2650" s="12"/>
      <c r="C2650" s="12"/>
      <c r="D2650" s="12"/>
      <c r="E2650" s="12"/>
      <c r="G2650" s="14"/>
    </row>
    <row r="2651" spans="1:7" ht="22.5" customHeight="1" x14ac:dyDescent="0.15">
      <c r="A2651" s="33"/>
      <c r="B2651" s="12"/>
      <c r="C2651" s="12"/>
      <c r="D2651" s="12"/>
      <c r="E2651" s="12"/>
      <c r="G2651" s="14"/>
    </row>
    <row r="2652" spans="1:7" ht="22.5" customHeight="1" x14ac:dyDescent="0.15">
      <c r="A2652" s="33"/>
      <c r="B2652" s="12"/>
      <c r="C2652" s="12"/>
      <c r="D2652" s="12"/>
      <c r="E2652" s="12"/>
      <c r="G2652" s="14"/>
    </row>
    <row r="2653" spans="1:7" ht="22.5" customHeight="1" x14ac:dyDescent="0.15">
      <c r="A2653" s="33"/>
      <c r="B2653" s="12"/>
      <c r="C2653" s="12"/>
      <c r="D2653" s="12"/>
      <c r="E2653" s="12"/>
      <c r="G2653" s="14"/>
    </row>
    <row r="2654" spans="1:7" ht="22.5" customHeight="1" x14ac:dyDescent="0.15">
      <c r="A2654" s="33"/>
      <c r="B2654" s="12"/>
      <c r="C2654" s="12"/>
      <c r="D2654" s="12"/>
      <c r="E2654" s="12"/>
      <c r="G2654" s="14"/>
    </row>
    <row r="2655" spans="1:7" ht="22.5" customHeight="1" x14ac:dyDescent="0.15">
      <c r="A2655" s="33"/>
      <c r="B2655" s="12"/>
      <c r="C2655" s="12"/>
      <c r="D2655" s="12"/>
      <c r="E2655" s="12"/>
      <c r="G2655" s="14"/>
    </row>
    <row r="2656" spans="1:7" ht="22.5" customHeight="1" x14ac:dyDescent="0.15">
      <c r="A2656" s="33"/>
      <c r="B2656" s="12"/>
      <c r="C2656" s="12"/>
      <c r="D2656" s="12"/>
      <c r="E2656" s="12"/>
      <c r="G2656" s="14"/>
    </row>
    <row r="2657" spans="1:7" ht="22.5" customHeight="1" x14ac:dyDescent="0.15">
      <c r="A2657" s="33"/>
      <c r="B2657" s="12"/>
      <c r="C2657" s="12"/>
      <c r="D2657" s="12"/>
      <c r="E2657" s="12"/>
      <c r="G2657" s="14"/>
    </row>
    <row r="2658" spans="1:7" ht="22.5" customHeight="1" x14ac:dyDescent="0.15">
      <c r="A2658" s="33"/>
      <c r="B2658" s="12"/>
      <c r="C2658" s="12"/>
      <c r="D2658" s="12"/>
      <c r="E2658" s="12"/>
      <c r="G2658" s="14"/>
    </row>
    <row r="2659" spans="1:7" ht="22.5" customHeight="1" x14ac:dyDescent="0.15">
      <c r="A2659" s="33"/>
      <c r="B2659" s="12"/>
      <c r="C2659" s="12"/>
      <c r="D2659" s="12"/>
      <c r="E2659" s="12"/>
      <c r="G2659" s="14"/>
    </row>
    <row r="2660" spans="1:7" ht="22.5" customHeight="1" x14ac:dyDescent="0.15">
      <c r="A2660" s="33"/>
      <c r="B2660" s="12"/>
      <c r="C2660" s="12"/>
      <c r="D2660" s="12"/>
      <c r="E2660" s="12"/>
      <c r="G2660" s="14"/>
    </row>
    <row r="2661" spans="1:7" ht="22.5" customHeight="1" x14ac:dyDescent="0.15">
      <c r="A2661" s="33"/>
      <c r="B2661" s="12"/>
      <c r="C2661" s="12"/>
      <c r="D2661" s="12"/>
      <c r="E2661" s="12"/>
      <c r="G2661" s="14"/>
    </row>
    <row r="2662" spans="1:7" ht="22.5" customHeight="1" x14ac:dyDescent="0.15">
      <c r="A2662" s="33"/>
      <c r="B2662" s="12"/>
      <c r="C2662" s="12"/>
      <c r="D2662" s="12"/>
      <c r="E2662" s="12"/>
      <c r="G2662" s="14"/>
    </row>
    <row r="2663" spans="1:7" ht="22.5" customHeight="1" x14ac:dyDescent="0.15">
      <c r="A2663" s="33"/>
      <c r="B2663" s="12"/>
      <c r="C2663" s="12"/>
      <c r="D2663" s="12"/>
      <c r="E2663" s="12"/>
      <c r="G2663" s="14"/>
    </row>
    <row r="2664" spans="1:7" ht="22.5" customHeight="1" x14ac:dyDescent="0.15">
      <c r="A2664" s="33"/>
      <c r="B2664" s="12"/>
      <c r="C2664" s="12"/>
      <c r="D2664" s="12"/>
      <c r="E2664" s="12"/>
      <c r="G2664" s="14"/>
    </row>
    <row r="2665" spans="1:7" ht="22.5" customHeight="1" x14ac:dyDescent="0.15">
      <c r="A2665" s="33"/>
      <c r="B2665" s="12"/>
      <c r="C2665" s="12"/>
      <c r="D2665" s="12"/>
      <c r="E2665" s="12"/>
      <c r="G2665" s="14"/>
    </row>
    <row r="2666" spans="1:7" ht="22.5" customHeight="1" x14ac:dyDescent="0.15">
      <c r="A2666" s="33"/>
      <c r="B2666" s="12"/>
      <c r="C2666" s="12"/>
      <c r="D2666" s="12"/>
      <c r="E2666" s="12"/>
      <c r="G2666" s="14"/>
    </row>
    <row r="2667" spans="1:7" ht="22.5" customHeight="1" x14ac:dyDescent="0.15">
      <c r="A2667" s="33"/>
      <c r="B2667" s="12"/>
      <c r="C2667" s="12"/>
      <c r="D2667" s="12"/>
      <c r="E2667" s="12"/>
      <c r="G2667" s="14"/>
    </row>
    <row r="2668" spans="1:7" ht="22.5" customHeight="1" x14ac:dyDescent="0.15">
      <c r="A2668" s="33"/>
      <c r="B2668" s="12"/>
      <c r="C2668" s="12"/>
      <c r="D2668" s="12"/>
      <c r="E2668" s="12"/>
      <c r="G2668" s="14"/>
    </row>
    <row r="2669" spans="1:7" ht="22.5" customHeight="1" x14ac:dyDescent="0.15">
      <c r="A2669" s="33"/>
      <c r="B2669" s="12"/>
      <c r="C2669" s="12"/>
      <c r="D2669" s="12"/>
      <c r="E2669" s="12"/>
      <c r="G2669" s="14"/>
    </row>
    <row r="2670" spans="1:7" ht="22.5" customHeight="1" x14ac:dyDescent="0.15">
      <c r="A2670" s="33"/>
      <c r="B2670" s="12"/>
      <c r="C2670" s="12"/>
      <c r="D2670" s="12"/>
      <c r="E2670" s="12"/>
      <c r="G2670" s="14"/>
    </row>
    <row r="2671" spans="1:7" ht="22.5" customHeight="1" x14ac:dyDescent="0.15">
      <c r="A2671" s="33"/>
      <c r="B2671" s="12"/>
      <c r="C2671" s="12"/>
      <c r="D2671" s="12"/>
      <c r="E2671" s="12"/>
      <c r="G2671" s="14"/>
    </row>
    <row r="2672" spans="1:7" ht="22.5" customHeight="1" x14ac:dyDescent="0.15">
      <c r="A2672" s="33"/>
      <c r="B2672" s="12"/>
      <c r="C2672" s="12"/>
      <c r="D2672" s="12"/>
      <c r="E2672" s="12"/>
      <c r="G2672" s="14"/>
    </row>
    <row r="2673" spans="1:7" ht="22.5" customHeight="1" x14ac:dyDescent="0.15">
      <c r="A2673" s="33"/>
      <c r="B2673" s="12"/>
      <c r="C2673" s="12"/>
      <c r="D2673" s="12"/>
      <c r="E2673" s="12"/>
      <c r="G2673" s="14"/>
    </row>
    <row r="2674" spans="1:7" ht="22.5" customHeight="1" x14ac:dyDescent="0.15">
      <c r="A2674" s="33"/>
      <c r="B2674" s="12"/>
      <c r="C2674" s="12"/>
      <c r="D2674" s="12"/>
      <c r="E2674" s="12"/>
      <c r="G2674" s="14"/>
    </row>
    <row r="2675" spans="1:7" ht="22.5" customHeight="1" x14ac:dyDescent="0.15">
      <c r="A2675" s="33"/>
      <c r="B2675" s="12"/>
      <c r="C2675" s="12"/>
      <c r="D2675" s="12"/>
      <c r="E2675" s="12"/>
      <c r="G2675" s="14"/>
    </row>
    <row r="2676" spans="1:7" ht="22.5" customHeight="1" x14ac:dyDescent="0.15">
      <c r="A2676" s="33"/>
      <c r="B2676" s="12"/>
      <c r="C2676" s="12"/>
      <c r="D2676" s="12"/>
      <c r="E2676" s="12"/>
      <c r="G2676" s="14"/>
    </row>
    <row r="2677" spans="1:7" ht="22.5" customHeight="1" x14ac:dyDescent="0.15">
      <c r="A2677" s="33"/>
      <c r="B2677" s="12"/>
      <c r="C2677" s="12"/>
      <c r="D2677" s="12"/>
      <c r="E2677" s="12"/>
      <c r="G2677" s="14"/>
    </row>
    <row r="2678" spans="1:7" ht="22.5" customHeight="1" x14ac:dyDescent="0.15">
      <c r="A2678" s="33"/>
      <c r="B2678" s="12"/>
      <c r="C2678" s="12"/>
      <c r="D2678" s="12"/>
      <c r="E2678" s="12"/>
      <c r="G2678" s="14"/>
    </row>
    <row r="2679" spans="1:7" ht="22.5" customHeight="1" x14ac:dyDescent="0.15">
      <c r="A2679" s="33"/>
      <c r="B2679" s="12"/>
      <c r="C2679" s="12"/>
      <c r="D2679" s="12"/>
      <c r="E2679" s="12"/>
      <c r="G2679" s="14"/>
    </row>
    <row r="2680" spans="1:7" ht="22.5" customHeight="1" x14ac:dyDescent="0.15">
      <c r="A2680" s="33"/>
      <c r="B2680" s="12"/>
      <c r="C2680" s="12"/>
      <c r="D2680" s="12"/>
      <c r="E2680" s="12"/>
      <c r="G2680" s="14"/>
    </row>
    <row r="2681" spans="1:7" ht="22.5" customHeight="1" x14ac:dyDescent="0.15">
      <c r="A2681" s="33"/>
      <c r="B2681" s="12"/>
      <c r="C2681" s="12"/>
      <c r="D2681" s="12"/>
      <c r="E2681" s="12"/>
      <c r="G2681" s="14"/>
    </row>
    <row r="2682" spans="1:7" ht="22.5" customHeight="1" x14ac:dyDescent="0.15">
      <c r="A2682" s="33"/>
      <c r="B2682" s="12"/>
      <c r="C2682" s="12"/>
      <c r="D2682" s="12"/>
      <c r="E2682" s="12"/>
      <c r="G2682" s="14"/>
    </row>
    <row r="2683" spans="1:7" ht="22.5" customHeight="1" x14ac:dyDescent="0.15">
      <c r="A2683" s="33"/>
      <c r="B2683" s="12"/>
      <c r="C2683" s="12"/>
      <c r="D2683" s="12"/>
      <c r="E2683" s="12"/>
      <c r="G2683" s="14"/>
    </row>
    <row r="2684" spans="1:7" ht="22.5" customHeight="1" x14ac:dyDescent="0.15">
      <c r="A2684" s="33"/>
      <c r="B2684" s="12"/>
      <c r="C2684" s="12"/>
      <c r="D2684" s="12"/>
      <c r="E2684" s="12"/>
      <c r="G2684" s="14"/>
    </row>
    <row r="2685" spans="1:7" ht="22.5" customHeight="1" x14ac:dyDescent="0.15">
      <c r="A2685" s="33"/>
      <c r="B2685" s="12"/>
      <c r="C2685" s="12"/>
      <c r="D2685" s="12"/>
      <c r="E2685" s="12"/>
      <c r="G2685" s="14"/>
    </row>
    <row r="2686" spans="1:7" ht="22.5" customHeight="1" x14ac:dyDescent="0.15">
      <c r="A2686" s="33"/>
      <c r="B2686" s="12"/>
      <c r="C2686" s="12"/>
      <c r="D2686" s="12"/>
      <c r="E2686" s="12"/>
      <c r="G2686" s="14"/>
    </row>
    <row r="2687" spans="1:7" ht="22.5" customHeight="1" x14ac:dyDescent="0.15">
      <c r="A2687" s="33"/>
      <c r="B2687" s="12"/>
      <c r="C2687" s="12"/>
      <c r="D2687" s="12"/>
      <c r="E2687" s="12"/>
      <c r="G2687" s="14"/>
    </row>
    <row r="2688" spans="1:7" ht="22.5" customHeight="1" x14ac:dyDescent="0.15">
      <c r="A2688" s="33"/>
      <c r="B2688" s="12"/>
      <c r="C2688" s="12"/>
      <c r="D2688" s="12"/>
      <c r="E2688" s="12"/>
      <c r="G2688" s="14"/>
    </row>
    <row r="2689" spans="1:7" ht="22.5" customHeight="1" x14ac:dyDescent="0.15">
      <c r="A2689" s="33"/>
      <c r="B2689" s="12"/>
      <c r="C2689" s="12"/>
      <c r="D2689" s="12"/>
      <c r="E2689" s="12"/>
      <c r="G2689" s="14"/>
    </row>
    <row r="2690" spans="1:7" ht="22.5" customHeight="1" x14ac:dyDescent="0.15">
      <c r="A2690" s="33"/>
      <c r="B2690" s="12"/>
      <c r="C2690" s="12"/>
      <c r="D2690" s="12"/>
      <c r="E2690" s="12"/>
      <c r="G2690" s="14"/>
    </row>
    <row r="2691" spans="1:7" ht="22.5" customHeight="1" x14ac:dyDescent="0.15">
      <c r="A2691" s="33"/>
      <c r="B2691" s="12"/>
      <c r="C2691" s="12"/>
      <c r="D2691" s="12"/>
      <c r="E2691" s="12"/>
      <c r="G2691" s="14"/>
    </row>
    <row r="2692" spans="1:7" ht="22.5" customHeight="1" x14ac:dyDescent="0.15">
      <c r="A2692" s="33"/>
      <c r="B2692" s="12"/>
      <c r="C2692" s="12"/>
      <c r="D2692" s="12"/>
      <c r="E2692" s="12"/>
      <c r="G2692" s="14"/>
    </row>
    <row r="2693" spans="1:7" ht="22.5" customHeight="1" x14ac:dyDescent="0.15">
      <c r="A2693" s="33"/>
      <c r="B2693" s="12"/>
      <c r="C2693" s="12"/>
      <c r="D2693" s="12"/>
      <c r="E2693" s="12"/>
      <c r="G2693" s="14"/>
    </row>
    <row r="2694" spans="1:7" ht="22.5" customHeight="1" x14ac:dyDescent="0.15">
      <c r="A2694" s="33"/>
      <c r="B2694" s="12"/>
      <c r="C2694" s="12"/>
      <c r="D2694" s="12"/>
      <c r="E2694" s="12"/>
      <c r="G2694" s="14"/>
    </row>
    <row r="2695" spans="1:7" ht="22.5" customHeight="1" x14ac:dyDescent="0.15">
      <c r="A2695" s="33"/>
      <c r="B2695" s="12"/>
      <c r="C2695" s="12"/>
      <c r="D2695" s="12"/>
      <c r="E2695" s="12"/>
      <c r="G2695" s="14"/>
    </row>
    <row r="2696" spans="1:7" ht="22.5" customHeight="1" x14ac:dyDescent="0.15">
      <c r="A2696" s="33"/>
      <c r="B2696" s="12"/>
      <c r="C2696" s="12"/>
      <c r="D2696" s="12"/>
      <c r="E2696" s="12"/>
      <c r="G2696" s="14"/>
    </row>
    <row r="2697" spans="1:7" ht="22.5" customHeight="1" x14ac:dyDescent="0.15">
      <c r="A2697" s="33"/>
      <c r="B2697" s="12"/>
      <c r="C2697" s="12"/>
      <c r="D2697" s="12"/>
      <c r="E2697" s="12"/>
      <c r="G2697" s="14"/>
    </row>
    <row r="2698" spans="1:7" ht="22.5" customHeight="1" x14ac:dyDescent="0.15">
      <c r="A2698" s="33"/>
      <c r="B2698" s="12"/>
      <c r="C2698" s="12"/>
      <c r="D2698" s="12"/>
      <c r="E2698" s="12"/>
      <c r="G2698" s="14"/>
    </row>
    <row r="2699" spans="1:7" ht="22.5" customHeight="1" x14ac:dyDescent="0.15">
      <c r="A2699" s="33"/>
      <c r="B2699" s="12"/>
      <c r="C2699" s="12"/>
      <c r="D2699" s="12"/>
      <c r="E2699" s="12"/>
      <c r="G2699" s="14"/>
    </row>
    <row r="2700" spans="1:7" ht="22.5" customHeight="1" x14ac:dyDescent="0.15">
      <c r="A2700" s="33"/>
      <c r="B2700" s="12"/>
      <c r="C2700" s="12"/>
      <c r="D2700" s="12"/>
      <c r="E2700" s="12"/>
      <c r="G2700" s="14"/>
    </row>
    <row r="2701" spans="1:7" ht="22.5" customHeight="1" x14ac:dyDescent="0.15">
      <c r="A2701" s="33"/>
      <c r="B2701" s="12"/>
      <c r="C2701" s="12"/>
      <c r="D2701" s="12"/>
      <c r="E2701" s="12"/>
      <c r="G2701" s="14"/>
    </row>
    <row r="2702" spans="1:7" ht="22.5" customHeight="1" x14ac:dyDescent="0.15">
      <c r="A2702" s="33"/>
      <c r="B2702" s="12"/>
      <c r="C2702" s="12"/>
      <c r="D2702" s="12"/>
      <c r="E2702" s="12"/>
      <c r="G2702" s="14"/>
    </row>
    <row r="2703" spans="1:7" ht="22.5" customHeight="1" x14ac:dyDescent="0.15">
      <c r="A2703" s="33"/>
      <c r="B2703" s="12"/>
      <c r="C2703" s="12"/>
      <c r="D2703" s="12"/>
      <c r="E2703" s="12"/>
      <c r="G2703" s="14"/>
    </row>
    <row r="2704" spans="1:7" ht="22.5" customHeight="1" x14ac:dyDescent="0.15">
      <c r="A2704" s="33"/>
      <c r="B2704" s="12"/>
      <c r="C2704" s="12"/>
      <c r="D2704" s="12"/>
      <c r="E2704" s="12"/>
      <c r="G2704" s="14"/>
    </row>
    <row r="2705" spans="1:7" ht="22.5" customHeight="1" x14ac:dyDescent="0.15">
      <c r="A2705" s="33"/>
      <c r="B2705" s="12"/>
      <c r="C2705" s="12"/>
      <c r="D2705" s="12"/>
      <c r="E2705" s="12"/>
      <c r="G2705" s="14"/>
    </row>
    <row r="2706" spans="1:7" ht="22.5" customHeight="1" x14ac:dyDescent="0.15">
      <c r="A2706" s="33"/>
      <c r="B2706" s="12"/>
      <c r="C2706" s="12"/>
      <c r="D2706" s="12"/>
      <c r="E2706" s="12"/>
      <c r="G2706" s="14"/>
    </row>
    <row r="2707" spans="1:7" ht="22.5" customHeight="1" x14ac:dyDescent="0.15">
      <c r="A2707" s="33"/>
      <c r="B2707" s="12"/>
      <c r="C2707" s="12"/>
      <c r="D2707" s="12"/>
      <c r="E2707" s="12"/>
      <c r="G2707" s="14"/>
    </row>
    <row r="2708" spans="1:7" ht="22.5" customHeight="1" x14ac:dyDescent="0.15">
      <c r="A2708" s="33"/>
      <c r="B2708" s="12"/>
      <c r="C2708" s="12"/>
      <c r="D2708" s="12"/>
      <c r="E2708" s="12"/>
      <c r="G2708" s="14"/>
    </row>
    <row r="2709" spans="1:7" ht="22.5" customHeight="1" x14ac:dyDescent="0.15">
      <c r="A2709" s="33"/>
      <c r="B2709" s="12"/>
      <c r="C2709" s="12"/>
      <c r="D2709" s="12"/>
      <c r="E2709" s="12"/>
      <c r="G2709" s="14"/>
    </row>
    <row r="2710" spans="1:7" ht="22.5" customHeight="1" x14ac:dyDescent="0.15">
      <c r="A2710" s="33"/>
      <c r="B2710" s="12"/>
      <c r="C2710" s="12"/>
      <c r="D2710" s="12"/>
      <c r="E2710" s="12"/>
      <c r="G2710" s="14"/>
    </row>
    <row r="2711" spans="1:7" ht="22.5" customHeight="1" x14ac:dyDescent="0.15">
      <c r="A2711" s="33"/>
      <c r="B2711" s="12"/>
      <c r="C2711" s="12"/>
      <c r="D2711" s="12"/>
      <c r="E2711" s="12"/>
      <c r="G2711" s="14"/>
    </row>
    <row r="2712" spans="1:7" ht="22.5" customHeight="1" x14ac:dyDescent="0.15">
      <c r="A2712" s="33"/>
      <c r="B2712" s="12"/>
      <c r="C2712" s="12"/>
      <c r="D2712" s="12"/>
      <c r="E2712" s="12"/>
      <c r="G2712" s="14"/>
    </row>
    <row r="2713" spans="1:7" ht="22.5" customHeight="1" x14ac:dyDescent="0.15">
      <c r="A2713" s="33"/>
      <c r="B2713" s="12"/>
      <c r="C2713" s="12"/>
      <c r="D2713" s="12"/>
      <c r="E2713" s="12"/>
      <c r="G2713" s="14"/>
    </row>
    <row r="2714" spans="1:7" ht="22.5" customHeight="1" x14ac:dyDescent="0.15">
      <c r="A2714" s="33"/>
      <c r="B2714" s="12"/>
      <c r="C2714" s="12"/>
      <c r="D2714" s="12"/>
      <c r="E2714" s="12"/>
      <c r="G2714" s="14"/>
    </row>
    <row r="2715" spans="1:7" ht="22.5" customHeight="1" x14ac:dyDescent="0.15">
      <c r="A2715" s="33"/>
      <c r="B2715" s="12"/>
      <c r="C2715" s="12"/>
      <c r="D2715" s="12"/>
      <c r="E2715" s="12"/>
      <c r="G2715" s="14"/>
    </row>
    <row r="2716" spans="1:7" ht="22.5" customHeight="1" x14ac:dyDescent="0.15">
      <c r="A2716" s="33"/>
      <c r="B2716" s="12"/>
      <c r="C2716" s="12"/>
      <c r="D2716" s="12"/>
      <c r="E2716" s="12"/>
      <c r="G2716" s="14"/>
    </row>
    <row r="2717" spans="1:7" ht="22.5" customHeight="1" x14ac:dyDescent="0.15">
      <c r="A2717" s="33"/>
      <c r="B2717" s="12"/>
      <c r="C2717" s="12"/>
      <c r="D2717" s="12"/>
      <c r="E2717" s="12"/>
      <c r="G2717" s="14"/>
    </row>
    <row r="2718" spans="1:7" ht="22.5" customHeight="1" x14ac:dyDescent="0.15">
      <c r="A2718" s="33"/>
      <c r="B2718" s="12"/>
      <c r="C2718" s="12"/>
      <c r="D2718" s="12"/>
      <c r="E2718" s="12"/>
      <c r="G2718" s="14"/>
    </row>
    <row r="2719" spans="1:7" ht="22.5" customHeight="1" x14ac:dyDescent="0.15">
      <c r="A2719" s="33"/>
      <c r="B2719" s="12"/>
      <c r="C2719" s="12"/>
      <c r="D2719" s="12"/>
      <c r="E2719" s="12"/>
      <c r="G2719" s="14"/>
    </row>
    <row r="2720" spans="1:7" ht="22.5" customHeight="1" x14ac:dyDescent="0.15">
      <c r="A2720" s="33"/>
      <c r="B2720" s="12"/>
      <c r="C2720" s="12"/>
      <c r="D2720" s="12"/>
      <c r="E2720" s="12"/>
      <c r="G2720" s="14"/>
    </row>
    <row r="2721" spans="1:7" ht="22.5" customHeight="1" x14ac:dyDescent="0.15">
      <c r="A2721" s="33"/>
      <c r="B2721" s="12"/>
      <c r="C2721" s="12"/>
      <c r="D2721" s="12"/>
      <c r="E2721" s="12"/>
      <c r="G2721" s="14"/>
    </row>
    <row r="2722" spans="1:7" ht="22.5" customHeight="1" x14ac:dyDescent="0.15">
      <c r="A2722" s="33"/>
      <c r="B2722" s="12"/>
      <c r="C2722" s="12"/>
      <c r="D2722" s="12"/>
      <c r="E2722" s="12"/>
      <c r="G2722" s="14"/>
    </row>
    <row r="2723" spans="1:7" ht="22.5" customHeight="1" x14ac:dyDescent="0.15">
      <c r="A2723" s="33"/>
      <c r="B2723" s="12"/>
      <c r="C2723" s="12"/>
      <c r="D2723" s="12"/>
      <c r="E2723" s="12"/>
      <c r="G2723" s="14"/>
    </row>
    <row r="2724" spans="1:7" ht="22.5" customHeight="1" x14ac:dyDescent="0.15">
      <c r="A2724" s="33"/>
      <c r="B2724" s="12"/>
      <c r="C2724" s="12"/>
      <c r="D2724" s="12"/>
      <c r="E2724" s="12"/>
      <c r="G2724" s="14"/>
    </row>
    <row r="2725" spans="1:7" ht="22.5" customHeight="1" x14ac:dyDescent="0.15">
      <c r="A2725" s="33"/>
      <c r="B2725" s="12"/>
      <c r="C2725" s="12"/>
      <c r="D2725" s="12"/>
      <c r="E2725" s="12"/>
      <c r="G2725" s="14"/>
    </row>
    <row r="2726" spans="1:7" ht="22.5" customHeight="1" x14ac:dyDescent="0.15">
      <c r="A2726" s="33"/>
      <c r="B2726" s="12"/>
      <c r="C2726" s="12"/>
      <c r="D2726" s="12"/>
      <c r="E2726" s="12"/>
      <c r="G2726" s="14"/>
    </row>
    <row r="2727" spans="1:7" ht="22.5" customHeight="1" x14ac:dyDescent="0.15">
      <c r="A2727" s="33"/>
      <c r="B2727" s="12"/>
      <c r="C2727" s="12"/>
      <c r="D2727" s="12"/>
      <c r="E2727" s="12"/>
      <c r="G2727" s="14"/>
    </row>
    <row r="2728" spans="1:7" ht="22.5" customHeight="1" x14ac:dyDescent="0.15">
      <c r="A2728" s="33"/>
      <c r="B2728" s="12"/>
      <c r="C2728" s="12"/>
      <c r="D2728" s="12"/>
      <c r="E2728" s="12"/>
      <c r="G2728" s="14"/>
    </row>
    <row r="2729" spans="1:7" ht="22.5" customHeight="1" x14ac:dyDescent="0.15">
      <c r="A2729" s="33"/>
      <c r="B2729" s="12"/>
      <c r="C2729" s="12"/>
      <c r="D2729" s="12"/>
      <c r="E2729" s="12"/>
      <c r="G2729" s="14"/>
    </row>
    <row r="2730" spans="1:7" ht="22.5" customHeight="1" x14ac:dyDescent="0.15">
      <c r="A2730" s="33"/>
      <c r="B2730" s="12"/>
      <c r="C2730" s="12"/>
      <c r="D2730" s="12"/>
      <c r="E2730" s="12"/>
      <c r="G2730" s="14"/>
    </row>
    <row r="2731" spans="1:7" ht="22.5" customHeight="1" x14ac:dyDescent="0.15">
      <c r="A2731" s="33"/>
      <c r="B2731" s="12"/>
      <c r="C2731" s="12"/>
      <c r="D2731" s="12"/>
      <c r="E2731" s="12"/>
      <c r="G2731" s="14"/>
    </row>
    <row r="2732" spans="1:7" ht="22.5" customHeight="1" x14ac:dyDescent="0.15">
      <c r="A2732" s="33"/>
      <c r="B2732" s="12"/>
      <c r="C2732" s="12"/>
      <c r="D2732" s="12"/>
      <c r="E2732" s="12"/>
      <c r="G2732" s="14"/>
    </row>
    <row r="2733" spans="1:7" ht="22.5" customHeight="1" x14ac:dyDescent="0.15">
      <c r="A2733" s="33"/>
      <c r="B2733" s="12"/>
      <c r="C2733" s="12"/>
      <c r="D2733" s="12"/>
      <c r="E2733" s="12"/>
      <c r="G2733" s="14"/>
    </row>
    <row r="2734" spans="1:7" ht="22.5" customHeight="1" x14ac:dyDescent="0.15">
      <c r="A2734" s="33"/>
      <c r="B2734" s="12"/>
      <c r="C2734" s="12"/>
      <c r="D2734" s="12"/>
      <c r="E2734" s="12"/>
      <c r="G2734" s="14"/>
    </row>
    <row r="2735" spans="1:7" ht="22.5" customHeight="1" x14ac:dyDescent="0.15">
      <c r="A2735" s="33"/>
      <c r="B2735" s="12"/>
      <c r="C2735" s="12"/>
      <c r="D2735" s="12"/>
      <c r="E2735" s="12"/>
      <c r="G2735" s="14"/>
    </row>
    <row r="2736" spans="1:7" ht="22.5" customHeight="1" x14ac:dyDescent="0.15">
      <c r="A2736" s="33"/>
      <c r="B2736" s="12"/>
      <c r="C2736" s="12"/>
      <c r="D2736" s="12"/>
      <c r="E2736" s="12"/>
      <c r="G2736" s="14"/>
    </row>
    <row r="2737" spans="1:7" ht="22.5" customHeight="1" x14ac:dyDescent="0.15">
      <c r="A2737" s="33"/>
      <c r="B2737" s="12"/>
      <c r="C2737" s="12"/>
      <c r="D2737" s="12"/>
      <c r="E2737" s="12"/>
      <c r="G2737" s="14"/>
    </row>
    <row r="2738" spans="1:7" ht="22.5" customHeight="1" x14ac:dyDescent="0.15">
      <c r="A2738" s="33"/>
      <c r="B2738" s="12"/>
      <c r="C2738" s="12"/>
      <c r="D2738" s="12"/>
      <c r="E2738" s="12"/>
      <c r="G2738" s="14"/>
    </row>
    <row r="2739" spans="1:7" ht="22.5" customHeight="1" x14ac:dyDescent="0.15">
      <c r="A2739" s="33"/>
      <c r="B2739" s="12"/>
      <c r="C2739" s="12"/>
      <c r="D2739" s="12"/>
      <c r="E2739" s="12"/>
      <c r="G2739" s="14"/>
    </row>
    <row r="2740" spans="1:7" ht="22.5" customHeight="1" x14ac:dyDescent="0.15">
      <c r="A2740" s="33"/>
      <c r="B2740" s="12"/>
      <c r="C2740" s="12"/>
      <c r="D2740" s="12"/>
      <c r="E2740" s="12"/>
      <c r="G2740" s="14"/>
    </row>
    <row r="2741" spans="1:7" ht="22.5" customHeight="1" x14ac:dyDescent="0.15">
      <c r="A2741" s="33"/>
      <c r="B2741" s="12"/>
      <c r="C2741" s="12"/>
      <c r="D2741" s="12"/>
      <c r="E2741" s="12"/>
      <c r="G2741" s="14"/>
    </row>
    <row r="2742" spans="1:7" ht="22.5" customHeight="1" x14ac:dyDescent="0.15">
      <c r="A2742" s="33"/>
      <c r="B2742" s="12"/>
      <c r="C2742" s="12"/>
      <c r="D2742" s="12"/>
      <c r="E2742" s="12"/>
      <c r="G2742" s="14"/>
    </row>
    <row r="2743" spans="1:7" ht="22.5" customHeight="1" x14ac:dyDescent="0.15">
      <c r="A2743" s="33"/>
      <c r="B2743" s="12"/>
      <c r="C2743" s="12"/>
      <c r="D2743" s="12"/>
      <c r="E2743" s="12"/>
      <c r="G2743" s="14"/>
    </row>
    <row r="2744" spans="1:7" ht="22.5" customHeight="1" x14ac:dyDescent="0.15">
      <c r="A2744" s="33"/>
      <c r="B2744" s="12"/>
      <c r="C2744" s="12"/>
      <c r="D2744" s="12"/>
      <c r="E2744" s="12"/>
      <c r="G2744" s="14"/>
    </row>
    <row r="2745" spans="1:7" ht="22.5" customHeight="1" x14ac:dyDescent="0.15">
      <c r="A2745" s="33"/>
      <c r="B2745" s="12"/>
      <c r="C2745" s="12"/>
      <c r="D2745" s="12"/>
      <c r="E2745" s="12"/>
      <c r="G2745" s="14"/>
    </row>
    <row r="2746" spans="1:7" ht="22.5" customHeight="1" x14ac:dyDescent="0.15">
      <c r="A2746" s="33"/>
      <c r="B2746" s="12"/>
      <c r="C2746" s="12"/>
      <c r="D2746" s="12"/>
      <c r="E2746" s="12"/>
      <c r="G2746" s="14"/>
    </row>
    <row r="2747" spans="1:7" ht="22.5" customHeight="1" x14ac:dyDescent="0.15">
      <c r="A2747" s="33"/>
      <c r="B2747" s="12"/>
      <c r="C2747" s="12"/>
      <c r="D2747" s="12"/>
      <c r="E2747" s="12"/>
      <c r="G2747" s="14"/>
    </row>
    <row r="2748" spans="1:7" ht="22.5" customHeight="1" x14ac:dyDescent="0.15">
      <c r="A2748" s="33"/>
      <c r="B2748" s="12"/>
      <c r="C2748" s="12"/>
      <c r="D2748" s="12"/>
      <c r="E2748" s="12"/>
      <c r="G2748" s="14"/>
    </row>
    <row r="2749" spans="1:7" ht="22.5" customHeight="1" x14ac:dyDescent="0.15">
      <c r="A2749" s="33"/>
      <c r="B2749" s="12"/>
      <c r="C2749" s="12"/>
      <c r="D2749" s="12"/>
      <c r="E2749" s="12"/>
      <c r="G2749" s="14"/>
    </row>
    <row r="2750" spans="1:7" ht="22.5" customHeight="1" x14ac:dyDescent="0.15">
      <c r="A2750" s="33"/>
      <c r="B2750" s="12"/>
      <c r="C2750" s="12"/>
      <c r="D2750" s="12"/>
      <c r="E2750" s="12"/>
      <c r="G2750" s="14"/>
    </row>
    <row r="2751" spans="1:7" ht="22.5" customHeight="1" x14ac:dyDescent="0.15">
      <c r="A2751" s="33"/>
      <c r="B2751" s="12"/>
      <c r="C2751" s="12"/>
      <c r="D2751" s="12"/>
      <c r="E2751" s="12"/>
      <c r="G2751" s="14"/>
    </row>
    <row r="2752" spans="1:7" ht="22.5" customHeight="1" x14ac:dyDescent="0.15">
      <c r="A2752" s="33"/>
      <c r="B2752" s="12"/>
      <c r="C2752" s="12"/>
      <c r="D2752" s="12"/>
      <c r="E2752" s="12"/>
      <c r="G2752" s="14"/>
    </row>
    <row r="2753" spans="1:7" ht="22.5" customHeight="1" x14ac:dyDescent="0.15">
      <c r="A2753" s="33"/>
      <c r="B2753" s="12"/>
      <c r="C2753" s="12"/>
      <c r="D2753" s="12"/>
      <c r="E2753" s="12"/>
      <c r="G2753" s="14"/>
    </row>
    <row r="2754" spans="1:7" ht="22.5" customHeight="1" x14ac:dyDescent="0.15">
      <c r="A2754" s="33"/>
      <c r="B2754" s="12"/>
      <c r="C2754" s="12"/>
      <c r="D2754" s="12"/>
      <c r="E2754" s="12"/>
      <c r="G2754" s="14"/>
    </row>
    <row r="2755" spans="1:7" ht="22.5" customHeight="1" x14ac:dyDescent="0.15">
      <c r="A2755" s="33"/>
      <c r="B2755" s="12"/>
      <c r="C2755" s="12"/>
      <c r="D2755" s="12"/>
      <c r="E2755" s="12"/>
      <c r="G2755" s="14"/>
    </row>
    <row r="2756" spans="1:7" ht="22.5" customHeight="1" x14ac:dyDescent="0.15">
      <c r="A2756" s="33"/>
      <c r="B2756" s="12"/>
      <c r="C2756" s="12"/>
      <c r="D2756" s="12"/>
      <c r="E2756" s="12"/>
      <c r="G2756" s="14"/>
    </row>
    <row r="2757" spans="1:7" ht="22.5" customHeight="1" x14ac:dyDescent="0.15">
      <c r="A2757" s="33"/>
      <c r="B2757" s="12"/>
      <c r="C2757" s="12"/>
      <c r="D2757" s="12"/>
      <c r="E2757" s="12"/>
      <c r="G2757" s="14"/>
    </row>
    <row r="2758" spans="1:7" ht="22.5" customHeight="1" x14ac:dyDescent="0.15">
      <c r="A2758" s="33"/>
      <c r="B2758" s="12"/>
      <c r="C2758" s="12"/>
      <c r="D2758" s="12"/>
      <c r="E2758" s="12"/>
      <c r="G2758" s="14"/>
    </row>
    <row r="2759" spans="1:7" ht="22.5" customHeight="1" x14ac:dyDescent="0.15">
      <c r="A2759" s="33"/>
      <c r="B2759" s="12"/>
      <c r="C2759" s="12"/>
      <c r="D2759" s="12"/>
      <c r="E2759" s="12"/>
      <c r="G2759" s="14"/>
    </row>
    <row r="2760" spans="1:7" ht="22.5" customHeight="1" x14ac:dyDescent="0.15">
      <c r="A2760" s="33"/>
      <c r="B2760" s="12"/>
      <c r="C2760" s="12"/>
      <c r="D2760" s="12"/>
      <c r="E2760" s="12"/>
      <c r="G2760" s="14"/>
    </row>
    <row r="2761" spans="1:7" ht="22.5" customHeight="1" x14ac:dyDescent="0.15">
      <c r="A2761" s="33"/>
      <c r="B2761" s="12"/>
      <c r="C2761" s="12"/>
      <c r="D2761" s="12"/>
      <c r="E2761" s="12"/>
      <c r="G2761" s="14"/>
    </row>
    <row r="2762" spans="1:7" ht="22.5" customHeight="1" x14ac:dyDescent="0.15">
      <c r="A2762" s="33"/>
      <c r="B2762" s="12"/>
      <c r="C2762" s="12"/>
      <c r="D2762" s="12"/>
      <c r="E2762" s="12"/>
      <c r="G2762" s="14"/>
    </row>
    <row r="2763" spans="1:7" ht="22.5" customHeight="1" x14ac:dyDescent="0.15">
      <c r="A2763" s="33"/>
      <c r="B2763" s="12"/>
      <c r="C2763" s="12"/>
      <c r="D2763" s="12"/>
      <c r="E2763" s="12"/>
      <c r="G2763" s="14"/>
    </row>
    <row r="2764" spans="1:7" ht="22.5" customHeight="1" x14ac:dyDescent="0.15">
      <c r="A2764" s="33"/>
      <c r="B2764" s="12"/>
      <c r="C2764" s="12"/>
      <c r="D2764" s="12"/>
      <c r="E2764" s="12"/>
      <c r="G2764" s="14"/>
    </row>
    <row r="2765" spans="1:7" ht="22.5" customHeight="1" x14ac:dyDescent="0.15">
      <c r="A2765" s="33"/>
      <c r="B2765" s="12"/>
      <c r="C2765" s="12"/>
      <c r="D2765" s="12"/>
      <c r="E2765" s="12"/>
      <c r="G2765" s="14"/>
    </row>
    <row r="2766" spans="1:7" ht="22.5" customHeight="1" x14ac:dyDescent="0.15">
      <c r="A2766" s="33"/>
      <c r="B2766" s="12"/>
      <c r="C2766" s="12"/>
      <c r="D2766" s="12"/>
      <c r="E2766" s="12"/>
      <c r="G2766" s="14"/>
    </row>
    <row r="2767" spans="1:7" ht="22.5" customHeight="1" x14ac:dyDescent="0.15">
      <c r="A2767" s="33"/>
      <c r="B2767" s="12"/>
      <c r="C2767" s="12"/>
      <c r="D2767" s="12"/>
      <c r="E2767" s="12"/>
      <c r="G2767" s="14"/>
    </row>
    <row r="2768" spans="1:7" ht="22.5" customHeight="1" x14ac:dyDescent="0.15">
      <c r="A2768" s="33"/>
      <c r="B2768" s="12"/>
      <c r="C2768" s="12"/>
      <c r="D2768" s="12"/>
      <c r="E2768" s="12"/>
      <c r="G2768" s="14"/>
    </row>
    <row r="2769" spans="1:7" ht="22.5" customHeight="1" x14ac:dyDescent="0.15">
      <c r="A2769" s="33"/>
      <c r="B2769" s="12"/>
      <c r="C2769" s="12"/>
      <c r="D2769" s="12"/>
      <c r="E2769" s="12"/>
      <c r="G2769" s="14"/>
    </row>
    <row r="2770" spans="1:7" ht="22.5" customHeight="1" x14ac:dyDescent="0.15">
      <c r="A2770" s="33"/>
      <c r="B2770" s="12"/>
      <c r="C2770" s="12"/>
      <c r="D2770" s="12"/>
      <c r="E2770" s="12"/>
      <c r="G2770" s="14"/>
    </row>
    <row r="2771" spans="1:7" ht="22.5" customHeight="1" x14ac:dyDescent="0.15">
      <c r="A2771" s="33"/>
      <c r="B2771" s="12"/>
      <c r="C2771" s="12"/>
      <c r="D2771" s="12"/>
      <c r="E2771" s="12"/>
      <c r="G2771" s="14"/>
    </row>
    <row r="2772" spans="1:7" ht="22.5" customHeight="1" x14ac:dyDescent="0.15">
      <c r="A2772" s="33"/>
      <c r="B2772" s="12"/>
      <c r="C2772" s="12"/>
      <c r="D2772" s="12"/>
      <c r="E2772" s="12"/>
      <c r="G2772" s="14"/>
    </row>
    <row r="2773" spans="1:7" ht="22.5" customHeight="1" x14ac:dyDescent="0.15">
      <c r="A2773" s="33"/>
      <c r="B2773" s="12"/>
      <c r="C2773" s="12"/>
      <c r="D2773" s="12"/>
      <c r="E2773" s="12"/>
      <c r="G2773" s="14"/>
    </row>
    <row r="2774" spans="1:7" ht="22.5" customHeight="1" x14ac:dyDescent="0.15">
      <c r="A2774" s="33"/>
      <c r="B2774" s="12"/>
      <c r="C2774" s="12"/>
      <c r="D2774" s="12"/>
      <c r="E2774" s="12"/>
      <c r="G2774" s="14"/>
    </row>
    <row r="2775" spans="1:7" ht="22.5" customHeight="1" x14ac:dyDescent="0.15">
      <c r="A2775" s="33"/>
      <c r="B2775" s="12"/>
      <c r="C2775" s="12"/>
      <c r="D2775" s="12"/>
      <c r="E2775" s="12"/>
      <c r="G2775" s="14"/>
    </row>
    <row r="2776" spans="1:7" ht="22.5" customHeight="1" x14ac:dyDescent="0.15">
      <c r="A2776" s="33"/>
      <c r="B2776" s="12"/>
      <c r="C2776" s="12"/>
      <c r="D2776" s="12"/>
      <c r="E2776" s="12"/>
      <c r="G2776" s="14"/>
    </row>
    <row r="2777" spans="1:7" ht="22.5" customHeight="1" x14ac:dyDescent="0.15">
      <c r="A2777" s="33"/>
      <c r="B2777" s="12"/>
      <c r="C2777" s="12"/>
      <c r="D2777" s="12"/>
      <c r="E2777" s="12"/>
      <c r="G2777" s="14"/>
    </row>
    <row r="2778" spans="1:7" ht="22.5" customHeight="1" x14ac:dyDescent="0.15">
      <c r="A2778" s="33"/>
      <c r="B2778" s="12"/>
      <c r="C2778" s="12"/>
      <c r="D2778" s="12"/>
      <c r="E2778" s="12"/>
      <c r="G2778" s="14"/>
    </row>
    <row r="2779" spans="1:7" ht="22.5" customHeight="1" x14ac:dyDescent="0.15">
      <c r="A2779" s="33"/>
      <c r="B2779" s="12"/>
      <c r="C2779" s="12"/>
      <c r="D2779" s="12"/>
      <c r="E2779" s="12"/>
      <c r="G2779" s="14"/>
    </row>
    <row r="2780" spans="1:7" ht="22.5" customHeight="1" x14ac:dyDescent="0.15">
      <c r="A2780" s="33"/>
      <c r="B2780" s="12"/>
      <c r="C2780" s="12"/>
      <c r="D2780" s="12"/>
      <c r="E2780" s="12"/>
      <c r="G2780" s="14"/>
    </row>
    <row r="2781" spans="1:7" ht="22.5" customHeight="1" x14ac:dyDescent="0.15">
      <c r="A2781" s="33"/>
      <c r="B2781" s="12"/>
      <c r="C2781" s="12"/>
      <c r="D2781" s="12"/>
      <c r="E2781" s="12"/>
      <c r="G2781" s="14"/>
    </row>
    <row r="2782" spans="1:7" ht="22.5" customHeight="1" x14ac:dyDescent="0.15">
      <c r="A2782" s="33"/>
      <c r="B2782" s="12"/>
      <c r="C2782" s="12"/>
      <c r="D2782" s="12"/>
      <c r="E2782" s="12"/>
      <c r="G2782" s="14"/>
    </row>
    <row r="2783" spans="1:7" ht="22.5" customHeight="1" x14ac:dyDescent="0.15">
      <c r="A2783" s="33"/>
      <c r="B2783" s="12"/>
      <c r="C2783" s="12"/>
      <c r="D2783" s="12"/>
      <c r="E2783" s="12"/>
      <c r="G2783" s="14"/>
    </row>
    <row r="2784" spans="1:7" ht="22.5" customHeight="1" x14ac:dyDescent="0.15">
      <c r="A2784" s="33"/>
      <c r="B2784" s="12"/>
      <c r="C2784" s="12"/>
      <c r="D2784" s="12"/>
      <c r="E2784" s="12"/>
      <c r="G2784" s="14"/>
    </row>
    <row r="2785" spans="1:7" ht="22.5" customHeight="1" x14ac:dyDescent="0.15">
      <c r="A2785" s="33"/>
      <c r="B2785" s="12"/>
      <c r="C2785" s="12"/>
      <c r="D2785" s="12"/>
      <c r="E2785" s="12"/>
      <c r="G2785" s="14"/>
    </row>
    <row r="2786" spans="1:7" ht="22.5" customHeight="1" x14ac:dyDescent="0.15">
      <c r="A2786" s="33"/>
      <c r="B2786" s="12"/>
      <c r="C2786" s="12"/>
      <c r="D2786" s="12"/>
      <c r="E2786" s="12"/>
      <c r="G2786" s="14"/>
    </row>
    <row r="2787" spans="1:7" ht="22.5" customHeight="1" x14ac:dyDescent="0.15">
      <c r="A2787" s="33"/>
      <c r="B2787" s="12"/>
      <c r="C2787" s="12"/>
      <c r="D2787" s="12"/>
      <c r="E2787" s="12"/>
      <c r="G2787" s="14"/>
    </row>
    <row r="2788" spans="1:7" ht="22.5" customHeight="1" x14ac:dyDescent="0.15">
      <c r="A2788" s="33"/>
      <c r="B2788" s="12"/>
      <c r="C2788" s="12"/>
      <c r="D2788" s="12"/>
      <c r="E2788" s="12"/>
      <c r="G2788" s="14"/>
    </row>
    <row r="2789" spans="1:7" ht="22.5" customHeight="1" x14ac:dyDescent="0.15">
      <c r="A2789" s="33"/>
      <c r="B2789" s="12"/>
      <c r="C2789" s="12"/>
      <c r="D2789" s="12"/>
      <c r="E2789" s="12"/>
      <c r="G2789" s="14"/>
    </row>
    <row r="2790" spans="1:7" ht="22.5" customHeight="1" x14ac:dyDescent="0.15">
      <c r="A2790" s="33"/>
      <c r="B2790" s="12"/>
      <c r="C2790" s="12"/>
      <c r="D2790" s="12"/>
      <c r="E2790" s="12"/>
      <c r="G2790" s="14"/>
    </row>
    <row r="2791" spans="1:7" ht="22.5" customHeight="1" x14ac:dyDescent="0.15">
      <c r="A2791" s="33"/>
      <c r="B2791" s="12"/>
      <c r="C2791" s="12"/>
      <c r="D2791" s="12"/>
      <c r="E2791" s="12"/>
      <c r="G2791" s="14"/>
    </row>
    <row r="2792" spans="1:7" ht="22.5" customHeight="1" x14ac:dyDescent="0.15">
      <c r="A2792" s="33"/>
      <c r="B2792" s="12"/>
      <c r="C2792" s="12"/>
      <c r="D2792" s="12"/>
      <c r="E2792" s="12"/>
      <c r="G2792" s="14"/>
    </row>
    <row r="2793" spans="1:7" ht="22.5" customHeight="1" x14ac:dyDescent="0.15">
      <c r="A2793" s="33"/>
      <c r="B2793" s="12"/>
      <c r="C2793" s="12"/>
      <c r="D2793" s="12"/>
      <c r="E2793" s="12"/>
      <c r="G2793" s="14"/>
    </row>
    <row r="2794" spans="1:7" ht="22.5" customHeight="1" x14ac:dyDescent="0.15">
      <c r="A2794" s="33"/>
      <c r="B2794" s="12"/>
      <c r="C2794" s="12"/>
      <c r="D2794" s="12"/>
      <c r="E2794" s="12"/>
      <c r="G2794" s="14"/>
    </row>
    <row r="2795" spans="1:7" ht="22.5" customHeight="1" x14ac:dyDescent="0.15">
      <c r="A2795" s="33"/>
      <c r="B2795" s="12"/>
      <c r="C2795" s="12"/>
      <c r="D2795" s="12"/>
      <c r="E2795" s="12"/>
      <c r="G2795" s="14"/>
    </row>
    <row r="2796" spans="1:7" ht="22.5" customHeight="1" x14ac:dyDescent="0.15">
      <c r="A2796" s="33"/>
      <c r="B2796" s="12"/>
      <c r="C2796" s="12"/>
      <c r="D2796" s="12"/>
      <c r="E2796" s="12"/>
      <c r="G2796" s="14"/>
    </row>
    <row r="2797" spans="1:7" ht="22.5" customHeight="1" x14ac:dyDescent="0.15">
      <c r="A2797" s="33"/>
      <c r="B2797" s="12"/>
      <c r="C2797" s="12"/>
      <c r="D2797" s="12"/>
      <c r="E2797" s="12"/>
      <c r="G2797" s="14"/>
    </row>
    <row r="2798" spans="1:7" ht="22.5" customHeight="1" x14ac:dyDescent="0.15">
      <c r="A2798" s="33"/>
      <c r="B2798" s="12"/>
      <c r="C2798" s="12"/>
      <c r="D2798" s="12"/>
      <c r="E2798" s="12"/>
      <c r="G2798" s="14"/>
    </row>
    <row r="2799" spans="1:7" ht="22.5" customHeight="1" x14ac:dyDescent="0.15">
      <c r="A2799" s="33"/>
      <c r="B2799" s="12"/>
      <c r="C2799" s="12"/>
      <c r="D2799" s="12"/>
      <c r="E2799" s="12"/>
      <c r="G2799" s="14"/>
    </row>
    <row r="2800" spans="1:7" ht="22.5" customHeight="1" x14ac:dyDescent="0.15">
      <c r="A2800" s="33"/>
      <c r="B2800" s="12"/>
      <c r="C2800" s="12"/>
      <c r="D2800" s="12"/>
      <c r="E2800" s="12"/>
      <c r="G2800" s="14"/>
    </row>
    <row r="2801" spans="1:7" ht="22.5" customHeight="1" x14ac:dyDescent="0.15">
      <c r="A2801" s="33"/>
      <c r="B2801" s="12"/>
      <c r="C2801" s="12"/>
      <c r="D2801" s="12"/>
      <c r="E2801" s="12"/>
      <c r="G2801" s="14"/>
    </row>
    <row r="2802" spans="1:7" ht="22.5" customHeight="1" x14ac:dyDescent="0.15">
      <c r="A2802" s="33"/>
      <c r="B2802" s="12"/>
      <c r="C2802" s="12"/>
      <c r="D2802" s="12"/>
      <c r="E2802" s="12"/>
      <c r="G2802" s="14"/>
    </row>
    <row r="2803" spans="1:7" ht="22.5" customHeight="1" x14ac:dyDescent="0.15">
      <c r="A2803" s="33"/>
      <c r="B2803" s="12"/>
      <c r="C2803" s="12"/>
      <c r="D2803" s="12"/>
      <c r="E2803" s="12"/>
      <c r="G2803" s="14"/>
    </row>
    <row r="2804" spans="1:7" ht="22.5" customHeight="1" x14ac:dyDescent="0.15">
      <c r="A2804" s="33"/>
      <c r="B2804" s="12"/>
      <c r="C2804" s="12"/>
      <c r="D2804" s="12"/>
      <c r="E2804" s="12"/>
      <c r="G2804" s="14"/>
    </row>
    <row r="2805" spans="1:7" ht="22.5" customHeight="1" x14ac:dyDescent="0.15">
      <c r="A2805" s="33"/>
      <c r="B2805" s="12"/>
      <c r="C2805" s="12"/>
      <c r="D2805" s="12"/>
      <c r="E2805" s="12"/>
      <c r="G2805" s="14"/>
    </row>
    <row r="2806" spans="1:7" ht="22.5" customHeight="1" x14ac:dyDescent="0.15">
      <c r="A2806" s="33"/>
      <c r="B2806" s="12"/>
      <c r="C2806" s="12"/>
      <c r="D2806" s="12"/>
      <c r="E2806" s="12"/>
      <c r="G2806" s="14"/>
    </row>
    <row r="2807" spans="1:7" ht="22.5" customHeight="1" x14ac:dyDescent="0.15">
      <c r="A2807" s="33"/>
      <c r="B2807" s="12"/>
      <c r="C2807" s="12"/>
      <c r="D2807" s="12"/>
      <c r="E2807" s="12"/>
      <c r="G2807" s="14"/>
    </row>
    <row r="2808" spans="1:7" ht="22.5" customHeight="1" x14ac:dyDescent="0.15">
      <c r="A2808" s="33"/>
      <c r="B2808" s="12"/>
      <c r="C2808" s="12"/>
      <c r="D2808" s="12"/>
      <c r="E2808" s="12"/>
      <c r="G2808" s="14"/>
    </row>
    <row r="2809" spans="1:7" ht="22.5" customHeight="1" x14ac:dyDescent="0.15">
      <c r="A2809" s="33"/>
      <c r="B2809" s="12"/>
      <c r="C2809" s="12"/>
      <c r="D2809" s="12"/>
      <c r="E2809" s="12"/>
      <c r="G2809" s="14"/>
    </row>
    <row r="2810" spans="1:7" ht="22.5" customHeight="1" x14ac:dyDescent="0.15">
      <c r="A2810" s="33"/>
      <c r="B2810" s="12"/>
      <c r="C2810" s="12"/>
      <c r="D2810" s="12"/>
      <c r="E2810" s="12"/>
      <c r="G2810" s="14"/>
    </row>
    <row r="2811" spans="1:7" ht="22.5" customHeight="1" x14ac:dyDescent="0.15">
      <c r="A2811" s="33"/>
      <c r="B2811" s="12"/>
      <c r="C2811" s="12"/>
      <c r="D2811" s="12"/>
      <c r="E2811" s="12"/>
      <c r="G2811" s="14"/>
    </row>
    <row r="2812" spans="1:7" ht="22.5" customHeight="1" x14ac:dyDescent="0.15">
      <c r="A2812" s="33"/>
      <c r="B2812" s="12"/>
      <c r="C2812" s="12"/>
      <c r="D2812" s="12"/>
      <c r="E2812" s="12"/>
      <c r="G2812" s="14"/>
    </row>
    <row r="2813" spans="1:7" ht="22.5" customHeight="1" x14ac:dyDescent="0.15">
      <c r="A2813" s="33"/>
      <c r="B2813" s="12"/>
      <c r="C2813" s="12"/>
      <c r="D2813" s="12"/>
      <c r="E2813" s="12"/>
      <c r="G2813" s="14"/>
    </row>
    <row r="2814" spans="1:7" ht="22.5" customHeight="1" x14ac:dyDescent="0.15">
      <c r="A2814" s="33"/>
      <c r="B2814" s="12"/>
      <c r="C2814" s="12"/>
      <c r="D2814" s="12"/>
      <c r="E2814" s="12"/>
      <c r="G2814" s="14"/>
    </row>
    <row r="2815" spans="1:7" ht="22.5" customHeight="1" x14ac:dyDescent="0.15">
      <c r="A2815" s="33"/>
      <c r="B2815" s="12"/>
      <c r="C2815" s="12"/>
      <c r="D2815" s="12"/>
      <c r="E2815" s="12"/>
      <c r="G2815" s="14"/>
    </row>
    <row r="2816" spans="1:7" ht="22.5" customHeight="1" x14ac:dyDescent="0.15">
      <c r="A2816" s="33"/>
      <c r="B2816" s="12"/>
      <c r="C2816" s="12"/>
      <c r="D2816" s="12"/>
      <c r="E2816" s="12"/>
      <c r="G2816" s="14"/>
    </row>
    <row r="2817" spans="1:7" ht="22.5" customHeight="1" x14ac:dyDescent="0.15">
      <c r="A2817" s="33"/>
      <c r="B2817" s="12"/>
      <c r="C2817" s="12"/>
      <c r="D2817" s="12"/>
      <c r="E2817" s="12"/>
      <c r="G2817" s="14"/>
    </row>
    <row r="2818" spans="1:7" ht="22.5" customHeight="1" x14ac:dyDescent="0.15">
      <c r="A2818" s="33"/>
      <c r="B2818" s="12"/>
      <c r="C2818" s="12"/>
      <c r="D2818" s="12"/>
      <c r="E2818" s="12"/>
      <c r="G2818" s="14"/>
    </row>
    <row r="2819" spans="1:7" ht="22.5" customHeight="1" x14ac:dyDescent="0.15">
      <c r="A2819" s="33"/>
      <c r="B2819" s="12"/>
      <c r="C2819" s="12"/>
      <c r="D2819" s="12"/>
      <c r="E2819" s="12"/>
      <c r="G2819" s="14"/>
    </row>
    <row r="2820" spans="1:7" ht="22.5" customHeight="1" x14ac:dyDescent="0.15">
      <c r="A2820" s="33"/>
      <c r="B2820" s="12"/>
      <c r="C2820" s="12"/>
      <c r="D2820" s="12"/>
      <c r="E2820" s="12"/>
      <c r="G2820" s="14"/>
    </row>
    <row r="2821" spans="1:7" ht="22.5" customHeight="1" x14ac:dyDescent="0.15">
      <c r="A2821" s="33"/>
      <c r="B2821" s="12"/>
      <c r="C2821" s="12"/>
      <c r="D2821" s="12"/>
      <c r="E2821" s="12"/>
      <c r="G2821" s="14"/>
    </row>
    <row r="2822" spans="1:7" ht="22.5" customHeight="1" x14ac:dyDescent="0.15">
      <c r="A2822" s="33"/>
      <c r="B2822" s="12"/>
      <c r="C2822" s="12"/>
      <c r="D2822" s="12"/>
      <c r="E2822" s="12"/>
      <c r="G2822" s="14"/>
    </row>
    <row r="2823" spans="1:7" ht="22.5" customHeight="1" x14ac:dyDescent="0.15">
      <c r="A2823" s="33"/>
      <c r="B2823" s="12"/>
      <c r="C2823" s="12"/>
      <c r="D2823" s="12"/>
      <c r="E2823" s="12"/>
      <c r="G2823" s="14"/>
    </row>
    <row r="2824" spans="1:7" ht="22.5" customHeight="1" x14ac:dyDescent="0.15">
      <c r="A2824" s="33"/>
      <c r="B2824" s="12"/>
      <c r="C2824" s="12"/>
      <c r="D2824" s="12"/>
      <c r="E2824" s="12"/>
      <c r="G2824" s="14"/>
    </row>
    <row r="2825" spans="1:7" ht="22.5" customHeight="1" x14ac:dyDescent="0.15">
      <c r="A2825" s="33"/>
      <c r="B2825" s="12"/>
      <c r="C2825" s="12"/>
      <c r="D2825" s="12"/>
      <c r="E2825" s="12"/>
      <c r="G2825" s="14"/>
    </row>
    <row r="2826" spans="1:7" ht="22.5" customHeight="1" x14ac:dyDescent="0.15">
      <c r="A2826" s="33"/>
      <c r="B2826" s="12"/>
      <c r="C2826" s="12"/>
      <c r="D2826" s="12"/>
      <c r="E2826" s="12"/>
      <c r="G2826" s="14"/>
    </row>
    <row r="2827" spans="1:7" ht="22.5" customHeight="1" x14ac:dyDescent="0.15">
      <c r="A2827" s="33"/>
      <c r="B2827" s="12"/>
      <c r="C2827" s="12"/>
      <c r="D2827" s="12"/>
      <c r="E2827" s="12"/>
      <c r="G2827" s="14"/>
    </row>
    <row r="2828" spans="1:7" ht="22.5" customHeight="1" x14ac:dyDescent="0.15">
      <c r="A2828" s="33"/>
      <c r="B2828" s="12"/>
      <c r="C2828" s="12"/>
      <c r="D2828" s="12"/>
      <c r="E2828" s="12"/>
      <c r="G2828" s="14"/>
    </row>
    <row r="2829" spans="1:7" ht="22.5" customHeight="1" x14ac:dyDescent="0.15">
      <c r="A2829" s="33"/>
      <c r="B2829" s="12"/>
      <c r="C2829" s="12"/>
      <c r="D2829" s="12"/>
      <c r="E2829" s="12"/>
      <c r="G2829" s="14"/>
    </row>
    <row r="2830" spans="1:7" ht="22.5" customHeight="1" x14ac:dyDescent="0.15">
      <c r="A2830" s="33"/>
      <c r="B2830" s="12"/>
      <c r="C2830" s="12"/>
      <c r="D2830" s="12"/>
      <c r="E2830" s="12"/>
      <c r="G2830" s="14"/>
    </row>
    <row r="2831" spans="1:7" ht="22.5" customHeight="1" x14ac:dyDescent="0.15">
      <c r="A2831" s="33"/>
      <c r="B2831" s="12"/>
      <c r="C2831" s="12"/>
      <c r="D2831" s="12"/>
      <c r="E2831" s="12"/>
      <c r="G2831" s="14"/>
    </row>
    <row r="2832" spans="1:7" ht="22.5" customHeight="1" x14ac:dyDescent="0.15">
      <c r="A2832" s="33"/>
      <c r="B2832" s="12"/>
      <c r="C2832" s="12"/>
      <c r="D2832" s="12"/>
      <c r="E2832" s="12"/>
      <c r="G2832" s="14"/>
    </row>
    <row r="2833" spans="1:7" ht="22.5" customHeight="1" x14ac:dyDescent="0.15">
      <c r="A2833" s="33"/>
      <c r="B2833" s="12"/>
      <c r="C2833" s="12"/>
      <c r="D2833" s="12"/>
      <c r="E2833" s="12"/>
      <c r="G2833" s="14"/>
    </row>
    <row r="2834" spans="1:7" ht="22.5" customHeight="1" x14ac:dyDescent="0.15">
      <c r="A2834" s="33"/>
      <c r="B2834" s="12"/>
      <c r="C2834" s="12"/>
      <c r="D2834" s="12"/>
      <c r="E2834" s="12"/>
      <c r="G2834" s="14"/>
    </row>
    <row r="2835" spans="1:7" ht="22.5" customHeight="1" x14ac:dyDescent="0.15">
      <c r="A2835" s="33"/>
      <c r="B2835" s="12"/>
      <c r="C2835" s="12"/>
      <c r="D2835" s="12"/>
      <c r="E2835" s="12"/>
      <c r="G2835" s="14"/>
    </row>
    <row r="2836" spans="1:7" ht="22.5" customHeight="1" x14ac:dyDescent="0.15">
      <c r="A2836" s="33"/>
      <c r="B2836" s="12"/>
      <c r="C2836" s="12"/>
      <c r="D2836" s="12"/>
      <c r="E2836" s="12"/>
      <c r="G2836" s="14"/>
    </row>
    <row r="2837" spans="1:7" ht="22.5" customHeight="1" x14ac:dyDescent="0.15">
      <c r="A2837" s="33"/>
      <c r="B2837" s="12"/>
      <c r="C2837" s="12"/>
      <c r="D2837" s="12"/>
      <c r="E2837" s="12"/>
      <c r="G2837" s="14"/>
    </row>
    <row r="2838" spans="1:7" ht="22.5" customHeight="1" x14ac:dyDescent="0.15">
      <c r="A2838" s="33"/>
      <c r="B2838" s="12"/>
      <c r="C2838" s="12"/>
      <c r="D2838" s="12"/>
      <c r="E2838" s="12"/>
      <c r="G2838" s="14"/>
    </row>
    <row r="2839" spans="1:7" ht="22.5" customHeight="1" x14ac:dyDescent="0.15">
      <c r="A2839" s="33"/>
      <c r="B2839" s="12"/>
      <c r="C2839" s="12"/>
      <c r="D2839" s="12"/>
      <c r="E2839" s="12"/>
      <c r="G2839" s="14"/>
    </row>
    <row r="2840" spans="1:7" ht="22.5" customHeight="1" x14ac:dyDescent="0.15">
      <c r="A2840" s="33"/>
      <c r="B2840" s="12"/>
      <c r="C2840" s="12"/>
      <c r="D2840" s="12"/>
      <c r="E2840" s="12"/>
      <c r="G2840" s="14"/>
    </row>
    <row r="2841" spans="1:7" ht="22.5" customHeight="1" x14ac:dyDescent="0.15">
      <c r="A2841" s="33"/>
      <c r="B2841" s="12"/>
      <c r="C2841" s="12"/>
      <c r="D2841" s="12"/>
      <c r="E2841" s="12"/>
      <c r="G2841" s="14"/>
    </row>
    <row r="2842" spans="1:7" ht="22.5" customHeight="1" x14ac:dyDescent="0.15">
      <c r="A2842" s="33"/>
      <c r="B2842" s="12"/>
      <c r="C2842" s="12"/>
      <c r="D2842" s="12"/>
      <c r="E2842" s="12"/>
      <c r="G2842" s="14"/>
    </row>
    <row r="2843" spans="1:7" ht="22.5" customHeight="1" x14ac:dyDescent="0.15">
      <c r="A2843" s="33"/>
      <c r="B2843" s="12"/>
      <c r="C2843" s="12"/>
      <c r="D2843" s="12"/>
      <c r="E2843" s="12"/>
      <c r="G2843" s="14"/>
    </row>
    <row r="2844" spans="1:7" ht="22.5" customHeight="1" x14ac:dyDescent="0.15">
      <c r="A2844" s="33"/>
      <c r="B2844" s="12"/>
      <c r="C2844" s="12"/>
      <c r="D2844" s="12"/>
      <c r="E2844" s="12"/>
      <c r="G2844" s="14"/>
    </row>
    <row r="2845" spans="1:7" ht="22.5" customHeight="1" x14ac:dyDescent="0.15">
      <c r="A2845" s="33"/>
      <c r="B2845" s="12"/>
      <c r="C2845" s="12"/>
      <c r="D2845" s="12"/>
      <c r="E2845" s="12"/>
      <c r="G2845" s="14"/>
    </row>
    <row r="2846" spans="1:7" ht="22.5" customHeight="1" x14ac:dyDescent="0.15">
      <c r="A2846" s="33"/>
      <c r="B2846" s="12"/>
      <c r="C2846" s="12"/>
      <c r="D2846" s="12"/>
      <c r="E2846" s="12"/>
      <c r="G2846" s="14"/>
    </row>
  </sheetData>
  <mergeCells count="2">
    <mergeCell ref="H2:N2"/>
    <mergeCell ref="H3:N6"/>
  </mergeCells>
  <dataValidations count="1">
    <dataValidation type="custom" allowBlank="1" showDropDown="1" sqref="G2:G2846" xr:uid="{00000000-0002-0000-0100-000000000000}">
      <formula1>AND(ISNUMBER(G2),(NOT(OR(NOT(ISERROR(DATEVALUE(G2))), AND(ISNUMBER(G2), LEFT(CELL("format", G2))="D")))))</formula1>
    </dataValidation>
  </dataValidations>
  <printOptions horizontalCentered="1" gridLines="1"/>
  <pageMargins left="0.7" right="0.7" top="0.75" bottom="0.75" header="0" footer="0"/>
  <pageSetup paperSize="14"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pane ySplit="1" topLeftCell="A2" activePane="bottomLeft" state="frozen"/>
      <selection pane="bottomLeft" activeCell="C5" sqref="C5"/>
    </sheetView>
  </sheetViews>
  <sheetFormatPr baseColWidth="10" defaultColWidth="12.6640625" defaultRowHeight="15.75" customHeight="1" x14ac:dyDescent="0.15"/>
  <cols>
    <col min="1" max="1" width="45.6640625" customWidth="1"/>
    <col min="2" max="2" width="60.5" customWidth="1"/>
    <col min="3" max="3" width="51.1640625" customWidth="1"/>
    <col min="4" max="4" width="82.6640625" customWidth="1"/>
  </cols>
  <sheetData>
    <row r="1" spans="1:4" ht="22.5" customHeight="1" x14ac:dyDescent="0.15">
      <c r="A1" s="11" t="s">
        <v>3242</v>
      </c>
      <c r="B1" s="11" t="s">
        <v>3243</v>
      </c>
      <c r="C1" s="38" t="s">
        <v>3244</v>
      </c>
      <c r="D1" s="11" t="s">
        <v>3245</v>
      </c>
    </row>
    <row r="2" spans="1:4" ht="22.5" customHeight="1" x14ac:dyDescent="0.15">
      <c r="A2" s="15" t="s">
        <v>9</v>
      </c>
      <c r="B2" s="12" t="s">
        <v>10</v>
      </c>
      <c r="C2" s="40" t="s">
        <v>12</v>
      </c>
      <c r="D2" s="13" t="s">
        <v>3246</v>
      </c>
    </row>
    <row r="3" spans="1:4" ht="22.5" customHeight="1" x14ac:dyDescent="0.15">
      <c r="A3" s="16" t="s">
        <v>15</v>
      </c>
      <c r="B3" s="12" t="s">
        <v>16</v>
      </c>
      <c r="C3" s="40" t="s">
        <v>18</v>
      </c>
      <c r="D3" s="13" t="s">
        <v>3247</v>
      </c>
    </row>
    <row r="4" spans="1:4" ht="22.5" customHeight="1" x14ac:dyDescent="0.15">
      <c r="A4" s="16" t="s">
        <v>15</v>
      </c>
      <c r="B4" s="12" t="s">
        <v>19</v>
      </c>
      <c r="C4" s="40" t="s">
        <v>18</v>
      </c>
      <c r="D4" s="13" t="s">
        <v>3248</v>
      </c>
    </row>
    <row r="5" spans="1:4" ht="22.5" customHeight="1" x14ac:dyDescent="0.15">
      <c r="A5" s="16" t="s">
        <v>15</v>
      </c>
      <c r="B5" s="12" t="s">
        <v>20</v>
      </c>
      <c r="C5" s="40" t="s">
        <v>18</v>
      </c>
      <c r="D5" s="13" t="s">
        <v>3249</v>
      </c>
    </row>
    <row r="6" spans="1:4" ht="22.5" customHeight="1" x14ac:dyDescent="0.15">
      <c r="A6" s="16" t="s">
        <v>15</v>
      </c>
      <c r="B6" s="12" t="s">
        <v>21</v>
      </c>
      <c r="C6" s="40" t="s">
        <v>18</v>
      </c>
      <c r="D6" s="13" t="s">
        <v>3250</v>
      </c>
    </row>
    <row r="7" spans="1:4" ht="22.5" customHeight="1" x14ac:dyDescent="0.15">
      <c r="A7" s="16" t="s">
        <v>15</v>
      </c>
      <c r="B7" s="12" t="s">
        <v>22</v>
      </c>
      <c r="C7" s="40" t="s">
        <v>23</v>
      </c>
      <c r="D7" s="13" t="s">
        <v>3251</v>
      </c>
    </row>
    <row r="8" spans="1:4" ht="22.5" customHeight="1" x14ac:dyDescent="0.15">
      <c r="A8" s="16" t="s">
        <v>15</v>
      </c>
      <c r="B8" s="12" t="s">
        <v>24</v>
      </c>
      <c r="C8" s="40" t="s">
        <v>18</v>
      </c>
      <c r="D8" s="13" t="s">
        <v>3252</v>
      </c>
    </row>
    <row r="9" spans="1:4" ht="22.5" customHeight="1" x14ac:dyDescent="0.15">
      <c r="A9" s="16" t="s">
        <v>27</v>
      </c>
      <c r="B9" s="12" t="s">
        <v>28</v>
      </c>
      <c r="C9" s="40" t="s">
        <v>30</v>
      </c>
      <c r="D9" s="13" t="s">
        <v>3253</v>
      </c>
    </row>
    <row r="10" spans="1:4" ht="22.5" customHeight="1" x14ac:dyDescent="0.15">
      <c r="A10" s="16" t="s">
        <v>32</v>
      </c>
      <c r="B10" s="12" t="s">
        <v>33</v>
      </c>
      <c r="C10" s="40" t="s">
        <v>30</v>
      </c>
      <c r="D10" s="13" t="s">
        <v>3254</v>
      </c>
    </row>
    <row r="11" spans="1:4" ht="22.5" customHeight="1" x14ac:dyDescent="0.15">
      <c r="A11" s="16" t="s">
        <v>37</v>
      </c>
      <c r="B11" s="12" t="s">
        <v>38</v>
      </c>
      <c r="C11" s="40" t="s">
        <v>23</v>
      </c>
    </row>
    <row r="12" spans="1:4" ht="22.5" customHeight="1" x14ac:dyDescent="0.15">
      <c r="A12" s="16" t="s">
        <v>41</v>
      </c>
      <c r="B12" s="12" t="s">
        <v>42</v>
      </c>
      <c r="C12" s="40" t="s">
        <v>30</v>
      </c>
      <c r="D12" s="17" t="s">
        <v>3255</v>
      </c>
    </row>
    <row r="13" spans="1:4" ht="22.5" customHeight="1" x14ac:dyDescent="0.15">
      <c r="A13" s="16" t="s">
        <v>45</v>
      </c>
      <c r="B13" s="12" t="s">
        <v>46</v>
      </c>
      <c r="C13" s="40" t="s">
        <v>30</v>
      </c>
    </row>
    <row r="14" spans="1:4" ht="22.5" customHeight="1" x14ac:dyDescent="0.15">
      <c r="A14" s="16" t="s">
        <v>49</v>
      </c>
      <c r="B14" s="12" t="s">
        <v>50</v>
      </c>
      <c r="C14" s="40" t="s">
        <v>30</v>
      </c>
    </row>
    <row r="15" spans="1:4" ht="22.5" customHeight="1" x14ac:dyDescent="0.15">
      <c r="A15" s="16" t="s">
        <v>53</v>
      </c>
      <c r="B15" s="12" t="s">
        <v>54</v>
      </c>
      <c r="C15" s="40" t="s">
        <v>30</v>
      </c>
      <c r="D15" s="13" t="s">
        <v>3256</v>
      </c>
    </row>
    <row r="16" spans="1:4" ht="22.5" customHeight="1" x14ac:dyDescent="0.15">
      <c r="A16" s="16" t="s">
        <v>53</v>
      </c>
      <c r="B16" s="12" t="s">
        <v>55</v>
      </c>
      <c r="C16" s="40" t="s">
        <v>30</v>
      </c>
      <c r="D16" s="13" t="s">
        <v>3257</v>
      </c>
    </row>
    <row r="17" spans="1:4" ht="22.5" customHeight="1" x14ac:dyDescent="0.15">
      <c r="A17" s="16" t="s">
        <v>57</v>
      </c>
      <c r="B17" s="12" t="s">
        <v>58</v>
      </c>
      <c r="C17" s="40" t="s">
        <v>12</v>
      </c>
      <c r="D17" s="13" t="s">
        <v>3258</v>
      </c>
    </row>
    <row r="18" spans="1:4" ht="22.5" customHeight="1" x14ac:dyDescent="0.15">
      <c r="A18" s="16" t="s">
        <v>62</v>
      </c>
      <c r="B18" s="12" t="s">
        <v>50</v>
      </c>
      <c r="C18" s="40" t="s">
        <v>30</v>
      </c>
      <c r="D18" s="13" t="s">
        <v>3259</v>
      </c>
    </row>
    <row r="19" spans="1:4" ht="22.5" customHeight="1" x14ac:dyDescent="0.15">
      <c r="A19" s="16" t="s">
        <v>65</v>
      </c>
      <c r="B19" s="12" t="s">
        <v>66</v>
      </c>
      <c r="C19" s="40" t="s">
        <v>67</v>
      </c>
    </row>
    <row r="20" spans="1:4" ht="22.5" customHeight="1" x14ac:dyDescent="0.15">
      <c r="A20" s="16" t="s">
        <v>70</v>
      </c>
      <c r="B20" s="12" t="s">
        <v>71</v>
      </c>
      <c r="C20" s="40" t="s">
        <v>30</v>
      </c>
    </row>
    <row r="21" spans="1:4" ht="22.5" customHeight="1" x14ac:dyDescent="0.15">
      <c r="A21" s="16" t="s">
        <v>75</v>
      </c>
      <c r="B21" s="12" t="s">
        <v>76</v>
      </c>
      <c r="C21" s="40" t="s">
        <v>77</v>
      </c>
    </row>
    <row r="22" spans="1:4" ht="22.5" customHeight="1" x14ac:dyDescent="0.15">
      <c r="A22" s="16" t="s">
        <v>75</v>
      </c>
      <c r="B22" s="12" t="s">
        <v>78</v>
      </c>
      <c r="C22" s="40" t="s">
        <v>77</v>
      </c>
    </row>
    <row r="23" spans="1:4" ht="22.5" customHeight="1" x14ac:dyDescent="0.15">
      <c r="A23" s="16" t="s">
        <v>81</v>
      </c>
      <c r="B23" s="12" t="s">
        <v>82</v>
      </c>
      <c r="C23" s="40" t="s">
        <v>83</v>
      </c>
    </row>
    <row r="24" spans="1:4" ht="22.5" customHeight="1" x14ac:dyDescent="0.15">
      <c r="A24" s="16" t="s">
        <v>86</v>
      </c>
      <c r="B24" s="12" t="s">
        <v>87</v>
      </c>
      <c r="C24" s="40" t="s">
        <v>88</v>
      </c>
    </row>
    <row r="25" spans="1:4" ht="22.5" customHeight="1" x14ac:dyDescent="0.15">
      <c r="A25" s="16" t="s">
        <v>86</v>
      </c>
      <c r="B25" s="12" t="s">
        <v>89</v>
      </c>
      <c r="C25" s="40" t="s">
        <v>23</v>
      </c>
      <c r="D25" s="13" t="s">
        <v>3260</v>
      </c>
    </row>
    <row r="26" spans="1:4" ht="22.5" customHeight="1" x14ac:dyDescent="0.15">
      <c r="A26" s="16" t="s">
        <v>86</v>
      </c>
      <c r="B26" s="12" t="s">
        <v>90</v>
      </c>
      <c r="C26" s="40" t="s">
        <v>83</v>
      </c>
      <c r="D26" s="13" t="s">
        <v>3261</v>
      </c>
    </row>
    <row r="27" spans="1:4" ht="22.5" customHeight="1" x14ac:dyDescent="0.15">
      <c r="A27" s="16" t="s">
        <v>86</v>
      </c>
      <c r="B27" s="12" t="s">
        <v>91</v>
      </c>
      <c r="C27" s="40" t="s">
        <v>18</v>
      </c>
    </row>
    <row r="28" spans="1:4" ht="22.5" customHeight="1" x14ac:dyDescent="0.15">
      <c r="A28" s="16" t="s">
        <v>94</v>
      </c>
      <c r="B28" s="12" t="s">
        <v>95</v>
      </c>
      <c r="C28" s="40" t="s">
        <v>30</v>
      </c>
      <c r="D28" s="13" t="s">
        <v>3262</v>
      </c>
    </row>
    <row r="29" spans="1:4" ht="22.5" customHeight="1" x14ac:dyDescent="0.15">
      <c r="A29" s="16" t="s">
        <v>97</v>
      </c>
      <c r="B29" s="12" t="s">
        <v>98</v>
      </c>
      <c r="C29" s="40" t="s">
        <v>23</v>
      </c>
      <c r="D29" s="13" t="s">
        <v>3263</v>
      </c>
    </row>
    <row r="30" spans="1:4" ht="22.5" customHeight="1" x14ac:dyDescent="0.15">
      <c r="A30" s="16" t="s">
        <v>97</v>
      </c>
      <c r="B30" s="12" t="s">
        <v>99</v>
      </c>
      <c r="C30" s="40" t="s">
        <v>23</v>
      </c>
      <c r="D30" s="13" t="s">
        <v>3263</v>
      </c>
    </row>
    <row r="31" spans="1:4" ht="22.5" customHeight="1" x14ac:dyDescent="0.15">
      <c r="A31" s="16" t="s">
        <v>97</v>
      </c>
      <c r="B31" s="12" t="s">
        <v>100</v>
      </c>
      <c r="C31" s="40" t="s">
        <v>23</v>
      </c>
      <c r="D31" s="13" t="s">
        <v>3263</v>
      </c>
    </row>
    <row r="32" spans="1:4" ht="22.5" customHeight="1" x14ac:dyDescent="0.15">
      <c r="A32" s="16" t="s">
        <v>103</v>
      </c>
      <c r="B32" s="12" t="s">
        <v>104</v>
      </c>
      <c r="C32" s="40" t="s">
        <v>12</v>
      </c>
    </row>
    <row r="33" spans="1:4" ht="22.5" customHeight="1" x14ac:dyDescent="0.15">
      <c r="A33" s="16" t="s">
        <v>107</v>
      </c>
      <c r="B33" s="12" t="s">
        <v>108</v>
      </c>
      <c r="C33" s="40" t="s">
        <v>30</v>
      </c>
      <c r="D33" s="13" t="s">
        <v>3264</v>
      </c>
    </row>
    <row r="34" spans="1:4" ht="22.5" customHeight="1" x14ac:dyDescent="0.15">
      <c r="A34" s="16" t="s">
        <v>107</v>
      </c>
      <c r="B34" s="12" t="s">
        <v>110</v>
      </c>
      <c r="C34" s="40" t="s">
        <v>30</v>
      </c>
      <c r="D34" s="13" t="s">
        <v>3264</v>
      </c>
    </row>
    <row r="35" spans="1:4" ht="22.5" customHeight="1" x14ac:dyDescent="0.15">
      <c r="A35" s="16" t="s">
        <v>57</v>
      </c>
      <c r="B35" s="12" t="s">
        <v>111</v>
      </c>
      <c r="C35" s="40" t="s">
        <v>30</v>
      </c>
      <c r="D35" s="13" t="s">
        <v>3264</v>
      </c>
    </row>
    <row r="36" spans="1:4" ht="22.5" customHeight="1" x14ac:dyDescent="0.15">
      <c r="A36" s="16" t="s">
        <v>112</v>
      </c>
      <c r="B36" s="12" t="s">
        <v>108</v>
      </c>
      <c r="C36" s="40" t="s">
        <v>30</v>
      </c>
      <c r="D36" s="13" t="s">
        <v>3264</v>
      </c>
    </row>
    <row r="37" spans="1:4" ht="22.5" customHeight="1" x14ac:dyDescent="0.15">
      <c r="A37" s="16" t="s">
        <v>112</v>
      </c>
      <c r="B37" s="12" t="s">
        <v>110</v>
      </c>
      <c r="C37" s="40" t="s">
        <v>30</v>
      </c>
      <c r="D37" s="13" t="s">
        <v>3264</v>
      </c>
    </row>
    <row r="38" spans="1:4" ht="22.5" customHeight="1" x14ac:dyDescent="0.15">
      <c r="A38" s="16" t="s">
        <v>70</v>
      </c>
      <c r="B38" s="12" t="s">
        <v>113</v>
      </c>
      <c r="C38" s="40" t="s">
        <v>115</v>
      </c>
      <c r="D38" s="13" t="s">
        <v>3265</v>
      </c>
    </row>
    <row r="39" spans="1:4" ht="22.5" customHeight="1" x14ac:dyDescent="0.15">
      <c r="A39" s="16" t="s">
        <v>70</v>
      </c>
      <c r="B39" s="12" t="s">
        <v>116</v>
      </c>
      <c r="C39" s="40" t="s">
        <v>115</v>
      </c>
      <c r="D39" s="13" t="s">
        <v>3266</v>
      </c>
    </row>
    <row r="40" spans="1:4" ht="22.5" customHeight="1" x14ac:dyDescent="0.15">
      <c r="A40" s="16" t="s">
        <v>70</v>
      </c>
      <c r="B40" s="12" t="s">
        <v>117</v>
      </c>
      <c r="C40" s="40" t="s">
        <v>83</v>
      </c>
      <c r="D40" s="13" t="s">
        <v>3267</v>
      </c>
    </row>
    <row r="41" spans="1:4" ht="22.5" customHeight="1" x14ac:dyDescent="0.15">
      <c r="A41" s="16" t="s">
        <v>120</v>
      </c>
      <c r="B41" s="12" t="s">
        <v>121</v>
      </c>
      <c r="C41" s="40" t="s">
        <v>30</v>
      </c>
    </row>
    <row r="42" spans="1:4" ht="22.5" customHeight="1" x14ac:dyDescent="0.15">
      <c r="A42" s="16" t="s">
        <v>120</v>
      </c>
      <c r="B42" s="12" t="s">
        <v>122</v>
      </c>
      <c r="C42" s="40" t="s">
        <v>30</v>
      </c>
    </row>
    <row r="43" spans="1:4" ht="22.5" customHeight="1" x14ac:dyDescent="0.15">
      <c r="A43" s="16" t="s">
        <v>125</v>
      </c>
      <c r="B43" s="12" t="s">
        <v>126</v>
      </c>
      <c r="C43" s="40" t="s">
        <v>30</v>
      </c>
    </row>
    <row r="44" spans="1:4" ht="22.5" customHeight="1" x14ac:dyDescent="0.15">
      <c r="A44" s="16" t="s">
        <v>129</v>
      </c>
      <c r="B44" s="12" t="s">
        <v>130</v>
      </c>
      <c r="C44" s="40" t="s">
        <v>30</v>
      </c>
      <c r="D44" s="13" t="s">
        <v>3268</v>
      </c>
    </row>
    <row r="45" spans="1:4" ht="22.5" customHeight="1" x14ac:dyDescent="0.15">
      <c r="A45" s="16" t="s">
        <v>133</v>
      </c>
      <c r="B45" s="12" t="s">
        <v>134</v>
      </c>
      <c r="C45" s="40" t="s">
        <v>30</v>
      </c>
    </row>
    <row r="46" spans="1:4" ht="22.5" customHeight="1" x14ac:dyDescent="0.15">
      <c r="A46" s="16" t="s">
        <v>133</v>
      </c>
      <c r="B46" s="12" t="s">
        <v>135</v>
      </c>
      <c r="C46" s="40" t="s">
        <v>136</v>
      </c>
    </row>
    <row r="47" spans="1:4" ht="22.5" customHeight="1" x14ac:dyDescent="0.15">
      <c r="A47" s="16" t="s">
        <v>133</v>
      </c>
      <c r="B47" s="12" t="s">
        <v>137</v>
      </c>
      <c r="C47" s="40" t="s">
        <v>136</v>
      </c>
    </row>
    <row r="48" spans="1:4" ht="22.5" customHeight="1" x14ac:dyDescent="0.15">
      <c r="A48" s="16" t="s">
        <v>133</v>
      </c>
      <c r="B48" s="12" t="s">
        <v>138</v>
      </c>
      <c r="C48" s="40" t="s">
        <v>30</v>
      </c>
      <c r="D48" s="13" t="s">
        <v>3269</v>
      </c>
    </row>
    <row r="49" spans="1:4" ht="22.5" customHeight="1" x14ac:dyDescent="0.15">
      <c r="A49" s="16" t="s">
        <v>133</v>
      </c>
      <c r="B49" s="12" t="s">
        <v>139</v>
      </c>
      <c r="C49" s="40" t="s">
        <v>30</v>
      </c>
      <c r="D49" s="13" t="s">
        <v>3270</v>
      </c>
    </row>
    <row r="50" spans="1:4" ht="22.5" customHeight="1" x14ac:dyDescent="0.15">
      <c r="A50" s="16" t="s">
        <v>142</v>
      </c>
      <c r="B50" s="12" t="s">
        <v>143</v>
      </c>
      <c r="C50" s="40" t="s">
        <v>88</v>
      </c>
    </row>
    <row r="51" spans="1:4" ht="22.5" customHeight="1" x14ac:dyDescent="0.15">
      <c r="A51" s="16" t="s">
        <v>142</v>
      </c>
      <c r="B51" s="12" t="s">
        <v>144</v>
      </c>
      <c r="C51" s="40" t="s">
        <v>88</v>
      </c>
    </row>
    <row r="52" spans="1:4" ht="22.5" customHeight="1" x14ac:dyDescent="0.15">
      <c r="A52" s="16" t="s">
        <v>147</v>
      </c>
      <c r="B52" s="12" t="s">
        <v>148</v>
      </c>
      <c r="C52" s="40" t="s">
        <v>30</v>
      </c>
    </row>
    <row r="53" spans="1:4" ht="22.5" customHeight="1" x14ac:dyDescent="0.15">
      <c r="A53" s="16" t="s">
        <v>151</v>
      </c>
      <c r="B53" s="12" t="s">
        <v>152</v>
      </c>
      <c r="C53" s="40" t="s">
        <v>136</v>
      </c>
      <c r="D53" s="13" t="s">
        <v>3271</v>
      </c>
    </row>
    <row r="54" spans="1:4" ht="22.5" customHeight="1" x14ac:dyDescent="0.15">
      <c r="A54" s="16" t="s">
        <v>154</v>
      </c>
      <c r="B54" s="12" t="s">
        <v>155</v>
      </c>
      <c r="C54" s="40" t="s">
        <v>83</v>
      </c>
    </row>
    <row r="55" spans="1:4" ht="22.5" customHeight="1" x14ac:dyDescent="0.15">
      <c r="A55" s="16" t="s">
        <v>157</v>
      </c>
      <c r="B55" s="12" t="s">
        <v>158</v>
      </c>
      <c r="C55" s="40" t="s">
        <v>83</v>
      </c>
    </row>
    <row r="56" spans="1:4" ht="22.5" customHeight="1" x14ac:dyDescent="0.15">
      <c r="A56" s="16" t="s">
        <v>160</v>
      </c>
      <c r="B56" s="12" t="s">
        <v>161</v>
      </c>
      <c r="C56" s="40" t="s">
        <v>12</v>
      </c>
    </row>
    <row r="57" spans="1:4" ht="22.5" customHeight="1" x14ac:dyDescent="0.15">
      <c r="A57" s="16" t="s">
        <v>160</v>
      </c>
      <c r="B57" s="12" t="s">
        <v>162</v>
      </c>
      <c r="C57" s="40" t="s">
        <v>12</v>
      </c>
    </row>
    <row r="58" spans="1:4" ht="22.5" customHeight="1" x14ac:dyDescent="0.15">
      <c r="A58" s="16" t="s">
        <v>160</v>
      </c>
      <c r="B58" s="12" t="s">
        <v>163</v>
      </c>
      <c r="C58" s="40" t="s">
        <v>12</v>
      </c>
    </row>
    <row r="59" spans="1:4" ht="22.5" customHeight="1" x14ac:dyDescent="0.15">
      <c r="A59" s="16" t="s">
        <v>166</v>
      </c>
      <c r="B59" s="12" t="s">
        <v>167</v>
      </c>
      <c r="C59" s="40" t="s">
        <v>67</v>
      </c>
    </row>
    <row r="60" spans="1:4" ht="22.5" customHeight="1" x14ac:dyDescent="0.15">
      <c r="A60" s="16" t="s">
        <v>166</v>
      </c>
      <c r="B60" s="12" t="s">
        <v>168</v>
      </c>
      <c r="C60" s="40" t="s">
        <v>67</v>
      </c>
    </row>
    <row r="61" spans="1:4" ht="22.5" customHeight="1" x14ac:dyDescent="0.15">
      <c r="A61" s="16" t="s">
        <v>170</v>
      </c>
      <c r="B61" s="12" t="s">
        <v>171</v>
      </c>
      <c r="C61" s="40" t="s">
        <v>88</v>
      </c>
      <c r="D61" s="13" t="s">
        <v>3272</v>
      </c>
    </row>
    <row r="62" spans="1:4" ht="22.5" customHeight="1" x14ac:dyDescent="0.15">
      <c r="A62" s="16" t="s">
        <v>170</v>
      </c>
      <c r="B62" s="12" t="s">
        <v>172</v>
      </c>
      <c r="C62" s="40" t="s">
        <v>115</v>
      </c>
    </row>
    <row r="63" spans="1:4" ht="22.5" customHeight="1" x14ac:dyDescent="0.15">
      <c r="A63" s="16" t="s">
        <v>175</v>
      </c>
      <c r="B63" s="12" t="s">
        <v>176</v>
      </c>
      <c r="C63" s="40" t="s">
        <v>83</v>
      </c>
    </row>
    <row r="64" spans="1:4" ht="22.5" customHeight="1" x14ac:dyDescent="0.15">
      <c r="A64" s="16" t="s">
        <v>179</v>
      </c>
      <c r="B64" s="12" t="s">
        <v>180</v>
      </c>
      <c r="C64" s="40" t="s">
        <v>30</v>
      </c>
    </row>
    <row r="65" spans="1:4" ht="22.5" customHeight="1" x14ac:dyDescent="0.15">
      <c r="A65" s="16" t="s">
        <v>183</v>
      </c>
      <c r="B65" s="12" t="s">
        <v>184</v>
      </c>
      <c r="C65" s="40" t="s">
        <v>30</v>
      </c>
    </row>
    <row r="66" spans="1:4" ht="22.5" customHeight="1" x14ac:dyDescent="0.15">
      <c r="A66" s="16" t="s">
        <v>187</v>
      </c>
      <c r="B66" s="12" t="s">
        <v>188</v>
      </c>
      <c r="C66" s="40" t="s">
        <v>18</v>
      </c>
    </row>
    <row r="67" spans="1:4" ht="22.5" customHeight="1" x14ac:dyDescent="0.15">
      <c r="A67" s="16" t="s">
        <v>190</v>
      </c>
      <c r="B67" s="12" t="s">
        <v>191</v>
      </c>
      <c r="C67" s="40" t="s">
        <v>18</v>
      </c>
    </row>
    <row r="68" spans="1:4" ht="22.5" customHeight="1" x14ac:dyDescent="0.15">
      <c r="A68" s="16" t="s">
        <v>193</v>
      </c>
      <c r="B68" s="12" t="s">
        <v>194</v>
      </c>
      <c r="C68" s="40" t="s">
        <v>18</v>
      </c>
    </row>
    <row r="69" spans="1:4" ht="22.5" customHeight="1" x14ac:dyDescent="0.15">
      <c r="A69" s="16" t="s">
        <v>193</v>
      </c>
      <c r="B69" s="12" t="s">
        <v>195</v>
      </c>
      <c r="C69" s="40" t="s">
        <v>88</v>
      </c>
      <c r="D69" s="13" t="s">
        <v>3273</v>
      </c>
    </row>
    <row r="70" spans="1:4" ht="22.5" customHeight="1" x14ac:dyDescent="0.15">
      <c r="A70" s="16" t="s">
        <v>75</v>
      </c>
      <c r="B70" s="12" t="s">
        <v>196</v>
      </c>
      <c r="C70" s="40" t="s">
        <v>30</v>
      </c>
    </row>
    <row r="71" spans="1:4" ht="22.5" customHeight="1" x14ac:dyDescent="0.15">
      <c r="A71" s="16" t="s">
        <v>75</v>
      </c>
      <c r="B71" s="12" t="s">
        <v>197</v>
      </c>
      <c r="C71" s="40" t="s">
        <v>77</v>
      </c>
      <c r="D71" s="13" t="s">
        <v>3274</v>
      </c>
    </row>
    <row r="72" spans="1:4" ht="22.5" customHeight="1" x14ac:dyDescent="0.15">
      <c r="A72" s="16" t="s">
        <v>75</v>
      </c>
      <c r="B72" s="12" t="s">
        <v>198</v>
      </c>
      <c r="C72" s="40" t="s">
        <v>77</v>
      </c>
      <c r="D72" s="13" t="s">
        <v>3275</v>
      </c>
    </row>
    <row r="73" spans="1:4" ht="22.5" customHeight="1" x14ac:dyDescent="0.15">
      <c r="A73" s="16" t="s">
        <v>75</v>
      </c>
      <c r="B73" s="12" t="s">
        <v>199</v>
      </c>
      <c r="C73" s="40" t="s">
        <v>77</v>
      </c>
      <c r="D73" s="13" t="s">
        <v>3276</v>
      </c>
    </row>
    <row r="74" spans="1:4" ht="22.5" customHeight="1" x14ac:dyDescent="0.15">
      <c r="A74" s="16" t="s">
        <v>75</v>
      </c>
      <c r="B74" s="12" t="s">
        <v>200</v>
      </c>
      <c r="C74" s="40" t="s">
        <v>77</v>
      </c>
      <c r="D74" s="13" t="s">
        <v>3277</v>
      </c>
    </row>
    <row r="75" spans="1:4" ht="22.5" customHeight="1" x14ac:dyDescent="0.15">
      <c r="A75" s="17" t="s">
        <v>3278</v>
      </c>
      <c r="B75" s="12" t="s">
        <v>204</v>
      </c>
      <c r="C75" s="40" t="s">
        <v>30</v>
      </c>
    </row>
    <row r="76" spans="1:4" ht="22.5" customHeight="1" x14ac:dyDescent="0.15">
      <c r="A76" s="16" t="s">
        <v>207</v>
      </c>
      <c r="B76" s="12" t="s">
        <v>208</v>
      </c>
      <c r="C76" s="40" t="s">
        <v>136</v>
      </c>
    </row>
    <row r="77" spans="1:4" ht="22.5" customHeight="1" x14ac:dyDescent="0.15">
      <c r="A77" s="16" t="s">
        <v>207</v>
      </c>
      <c r="B77" s="12" t="s">
        <v>209</v>
      </c>
      <c r="C77" s="40" t="s">
        <v>77</v>
      </c>
    </row>
    <row r="78" spans="1:4" ht="22.5" customHeight="1" x14ac:dyDescent="0.15">
      <c r="A78" s="16" t="s">
        <v>212</v>
      </c>
      <c r="B78" s="12" t="s">
        <v>213</v>
      </c>
      <c r="C78" s="40" t="s">
        <v>77</v>
      </c>
      <c r="D78" s="13" t="s">
        <v>3279</v>
      </c>
    </row>
    <row r="79" spans="1:4" ht="22.5" customHeight="1" x14ac:dyDescent="0.15">
      <c r="A79" s="16" t="s">
        <v>212</v>
      </c>
      <c r="B79" s="12" t="s">
        <v>214</v>
      </c>
      <c r="C79" s="40" t="s">
        <v>77</v>
      </c>
    </row>
    <row r="80" spans="1:4" ht="22.5" customHeight="1" x14ac:dyDescent="0.15">
      <c r="A80" s="16" t="s">
        <v>217</v>
      </c>
      <c r="B80" s="12" t="s">
        <v>218</v>
      </c>
      <c r="C80" s="40" t="s">
        <v>219</v>
      </c>
    </row>
    <row r="81" spans="1:4" ht="22.5" customHeight="1" x14ac:dyDescent="0.15">
      <c r="A81" s="16" t="s">
        <v>9</v>
      </c>
      <c r="B81" s="12" t="s">
        <v>220</v>
      </c>
      <c r="C81" s="40" t="s">
        <v>12</v>
      </c>
      <c r="D81" s="18" t="s">
        <v>3280</v>
      </c>
    </row>
    <row r="82" spans="1:4" ht="22.5" customHeight="1" x14ac:dyDescent="0.15">
      <c r="A82" s="16" t="s">
        <v>223</v>
      </c>
      <c r="B82" s="12" t="s">
        <v>224</v>
      </c>
      <c r="C82" s="40" t="s">
        <v>136</v>
      </c>
      <c r="D82" s="13" t="s">
        <v>3281</v>
      </c>
    </row>
    <row r="83" spans="1:4" ht="22.5" customHeight="1" x14ac:dyDescent="0.15">
      <c r="A83" s="16" t="s">
        <v>15</v>
      </c>
      <c r="B83" s="12" t="s">
        <v>225</v>
      </c>
      <c r="C83" s="40" t="s">
        <v>18</v>
      </c>
      <c r="D83" s="13" t="s">
        <v>3282</v>
      </c>
    </row>
    <row r="84" spans="1:4" ht="22.5" customHeight="1" x14ac:dyDescent="0.15">
      <c r="A84" s="16" t="s">
        <v>15</v>
      </c>
      <c r="B84" s="12" t="s">
        <v>226</v>
      </c>
      <c r="C84" s="40" t="s">
        <v>18</v>
      </c>
    </row>
    <row r="85" spans="1:4" ht="22.5" customHeight="1" x14ac:dyDescent="0.15">
      <c r="A85" s="16" t="s">
        <v>15</v>
      </c>
      <c r="B85" s="12" t="s">
        <v>227</v>
      </c>
      <c r="C85" s="40" t="s">
        <v>18</v>
      </c>
      <c r="D85" s="13" t="s">
        <v>3283</v>
      </c>
    </row>
    <row r="86" spans="1:4" ht="22.5" customHeight="1" x14ac:dyDescent="0.15">
      <c r="A86" s="16" t="s">
        <v>230</v>
      </c>
      <c r="B86" s="12" t="s">
        <v>231</v>
      </c>
      <c r="C86" s="40" t="s">
        <v>136</v>
      </c>
    </row>
    <row r="87" spans="1:4" ht="22.5" customHeight="1" x14ac:dyDescent="0.15">
      <c r="A87" s="16" t="s">
        <v>234</v>
      </c>
      <c r="B87" s="12" t="s">
        <v>235</v>
      </c>
      <c r="C87" s="40" t="s">
        <v>30</v>
      </c>
      <c r="D87" s="13" t="s">
        <v>3284</v>
      </c>
    </row>
    <row r="88" spans="1:4" ht="22.5" customHeight="1" x14ac:dyDescent="0.15">
      <c r="A88" s="16" t="s">
        <v>234</v>
      </c>
      <c r="B88" s="12" t="s">
        <v>236</v>
      </c>
      <c r="C88" s="40" t="s">
        <v>83</v>
      </c>
    </row>
    <row r="89" spans="1:4" ht="22.5" customHeight="1" x14ac:dyDescent="0.15">
      <c r="A89" s="16" t="s">
        <v>234</v>
      </c>
      <c r="B89" s="12" t="s">
        <v>237</v>
      </c>
      <c r="C89" s="40" t="s">
        <v>30</v>
      </c>
    </row>
    <row r="90" spans="1:4" ht="22.5" customHeight="1" x14ac:dyDescent="0.15">
      <c r="A90" s="17" t="s">
        <v>3285</v>
      </c>
      <c r="B90" s="12" t="s">
        <v>240</v>
      </c>
      <c r="C90" s="40" t="s">
        <v>219</v>
      </c>
      <c r="D90" s="13" t="s">
        <v>3286</v>
      </c>
    </row>
    <row r="91" spans="1:4" ht="22.5" customHeight="1" x14ac:dyDescent="0.15">
      <c r="A91" s="16" t="s">
        <v>27</v>
      </c>
      <c r="B91" s="12" t="s">
        <v>241</v>
      </c>
      <c r="C91" s="40" t="s">
        <v>30</v>
      </c>
      <c r="D91" s="13" t="s">
        <v>3284</v>
      </c>
    </row>
    <row r="92" spans="1:4" ht="22.5" customHeight="1" x14ac:dyDescent="0.15">
      <c r="A92" s="16" t="s">
        <v>81</v>
      </c>
      <c r="B92" s="12" t="s">
        <v>242</v>
      </c>
      <c r="C92" s="40" t="s">
        <v>219</v>
      </c>
      <c r="D92" s="13" t="s">
        <v>3287</v>
      </c>
    </row>
    <row r="93" spans="1:4" ht="22.5" customHeight="1" x14ac:dyDescent="0.15">
      <c r="A93" s="16" t="s">
        <v>81</v>
      </c>
      <c r="B93" s="12" t="s">
        <v>243</v>
      </c>
      <c r="C93" s="40" t="s">
        <v>12</v>
      </c>
    </row>
    <row r="94" spans="1:4" ht="22.5" customHeight="1" x14ac:dyDescent="0.15">
      <c r="A94" s="16" t="s">
        <v>245</v>
      </c>
      <c r="B94" s="12" t="s">
        <v>246</v>
      </c>
      <c r="C94" s="40" t="s">
        <v>30</v>
      </c>
    </row>
    <row r="95" spans="1:4" ht="22.5" customHeight="1" x14ac:dyDescent="0.15">
      <c r="A95" s="16" t="s">
        <v>249</v>
      </c>
      <c r="B95" s="12" t="s">
        <v>250</v>
      </c>
      <c r="C95" s="40" t="s">
        <v>136</v>
      </c>
    </row>
    <row r="96" spans="1:4" ht="22.5" customHeight="1" x14ac:dyDescent="0.15">
      <c r="A96" s="16" t="s">
        <v>249</v>
      </c>
      <c r="B96" s="12" t="s">
        <v>251</v>
      </c>
      <c r="C96" s="40" t="s">
        <v>30</v>
      </c>
    </row>
    <row r="97" spans="1:4" ht="22.5" customHeight="1" x14ac:dyDescent="0.15">
      <c r="A97" s="16" t="s">
        <v>249</v>
      </c>
      <c r="B97" s="12" t="s">
        <v>252</v>
      </c>
      <c r="C97" s="40" t="s">
        <v>30</v>
      </c>
    </row>
    <row r="98" spans="1:4" ht="22.5" customHeight="1" x14ac:dyDescent="0.15">
      <c r="A98" s="16" t="s">
        <v>249</v>
      </c>
      <c r="B98" s="12" t="s">
        <v>253</v>
      </c>
      <c r="C98" s="40" t="s">
        <v>30</v>
      </c>
    </row>
    <row r="99" spans="1:4" ht="22.5" customHeight="1" x14ac:dyDescent="0.15">
      <c r="A99" s="16" t="s">
        <v>256</v>
      </c>
      <c r="B99" s="12" t="s">
        <v>257</v>
      </c>
      <c r="C99" s="40" t="s">
        <v>30</v>
      </c>
    </row>
    <row r="100" spans="1:4" ht="22.5" customHeight="1" x14ac:dyDescent="0.15">
      <c r="A100" s="16" t="s">
        <v>256</v>
      </c>
      <c r="B100" s="12" t="s">
        <v>258</v>
      </c>
      <c r="C100" s="40" t="s">
        <v>23</v>
      </c>
    </row>
    <row r="101" spans="1:4" ht="22.5" customHeight="1" x14ac:dyDescent="0.15">
      <c r="A101" s="16" t="s">
        <v>261</v>
      </c>
      <c r="B101" s="12" t="s">
        <v>262</v>
      </c>
      <c r="C101" s="40" t="s">
        <v>30</v>
      </c>
      <c r="D101" s="13" t="s">
        <v>3288</v>
      </c>
    </row>
    <row r="102" spans="1:4" ht="22.5" customHeight="1" x14ac:dyDescent="0.15">
      <c r="C102" s="33"/>
    </row>
    <row r="103" spans="1:4" ht="22.5" customHeight="1" x14ac:dyDescent="0.15">
      <c r="C103" s="33"/>
    </row>
    <row r="104" spans="1:4" ht="22.5" customHeight="1" x14ac:dyDescent="0.15">
      <c r="C104" s="33"/>
    </row>
    <row r="105" spans="1:4" ht="22.5" customHeight="1" x14ac:dyDescent="0.15">
      <c r="C105" s="33"/>
    </row>
    <row r="106" spans="1:4" ht="22.5" customHeight="1" x14ac:dyDescent="0.15">
      <c r="C106" s="33"/>
    </row>
    <row r="107" spans="1:4" ht="22.5" customHeight="1" x14ac:dyDescent="0.15">
      <c r="C107" s="33"/>
    </row>
    <row r="108" spans="1:4" ht="22.5" customHeight="1" x14ac:dyDescent="0.15">
      <c r="C108" s="33"/>
    </row>
    <row r="109" spans="1:4" ht="22.5" customHeight="1" x14ac:dyDescent="0.15">
      <c r="C109" s="33"/>
    </row>
    <row r="110" spans="1:4" ht="22.5" customHeight="1" x14ac:dyDescent="0.15">
      <c r="C110" s="33"/>
    </row>
    <row r="111" spans="1:4" ht="22.5" customHeight="1" x14ac:dyDescent="0.15">
      <c r="C111" s="33"/>
    </row>
    <row r="112" spans="1:4" ht="22.5" customHeight="1" x14ac:dyDescent="0.15">
      <c r="C112" s="33"/>
    </row>
    <row r="113" spans="3:3" ht="22.5" customHeight="1" x14ac:dyDescent="0.15">
      <c r="C113" s="33"/>
    </row>
    <row r="114" spans="3:3" ht="22.5" customHeight="1" x14ac:dyDescent="0.15">
      <c r="C114" s="33"/>
    </row>
    <row r="115" spans="3:3" ht="22.5" customHeight="1" x14ac:dyDescent="0.15">
      <c r="C115" s="33"/>
    </row>
    <row r="116" spans="3:3" ht="22.5" customHeight="1" x14ac:dyDescent="0.15">
      <c r="C116" s="33"/>
    </row>
    <row r="117" spans="3:3" ht="22.5" customHeight="1" x14ac:dyDescent="0.15">
      <c r="C117" s="33"/>
    </row>
    <row r="118" spans="3:3" ht="22.5" customHeight="1" x14ac:dyDescent="0.15">
      <c r="C118" s="33"/>
    </row>
    <row r="119" spans="3:3" ht="22.5" customHeight="1" x14ac:dyDescent="0.15">
      <c r="C119" s="33"/>
    </row>
    <row r="120" spans="3:3" ht="22.5" customHeight="1" x14ac:dyDescent="0.15">
      <c r="C120" s="33"/>
    </row>
    <row r="121" spans="3:3" ht="22.5" customHeight="1" x14ac:dyDescent="0.15">
      <c r="C121" s="33"/>
    </row>
    <row r="122" spans="3:3" ht="22.5" customHeight="1" x14ac:dyDescent="0.15">
      <c r="C122" s="33"/>
    </row>
    <row r="123" spans="3:3" ht="22.5" customHeight="1" x14ac:dyDescent="0.15">
      <c r="C123" s="33"/>
    </row>
    <row r="124" spans="3:3" ht="22.5" customHeight="1" x14ac:dyDescent="0.15">
      <c r="C124" s="33"/>
    </row>
    <row r="125" spans="3:3" ht="22.5" customHeight="1" x14ac:dyDescent="0.15">
      <c r="C125" s="33"/>
    </row>
    <row r="126" spans="3:3" ht="22.5" customHeight="1" x14ac:dyDescent="0.15">
      <c r="C126" s="33"/>
    </row>
    <row r="127" spans="3:3" ht="22.5" customHeight="1" x14ac:dyDescent="0.15">
      <c r="C127" s="33"/>
    </row>
    <row r="128" spans="3:3" ht="22.5" customHeight="1" x14ac:dyDescent="0.15">
      <c r="C128" s="33"/>
    </row>
    <row r="129" spans="3:3" ht="22.5" customHeight="1" x14ac:dyDescent="0.15">
      <c r="C129" s="33"/>
    </row>
    <row r="130" spans="3:3" ht="22.5" customHeight="1" x14ac:dyDescent="0.15">
      <c r="C130" s="33"/>
    </row>
    <row r="131" spans="3:3" ht="22.5" customHeight="1" x14ac:dyDescent="0.15">
      <c r="C131" s="33"/>
    </row>
    <row r="132" spans="3:3" ht="22.5" customHeight="1" x14ac:dyDescent="0.15">
      <c r="C132" s="33"/>
    </row>
    <row r="133" spans="3:3" ht="22.5" customHeight="1" x14ac:dyDescent="0.15">
      <c r="C133" s="33"/>
    </row>
    <row r="134" spans="3:3" ht="22.5" customHeight="1" x14ac:dyDescent="0.15">
      <c r="C134" s="33"/>
    </row>
    <row r="135" spans="3:3" ht="22.5" customHeight="1" x14ac:dyDescent="0.15">
      <c r="C135" s="33"/>
    </row>
    <row r="136" spans="3:3" ht="22.5" customHeight="1" x14ac:dyDescent="0.15">
      <c r="C136" s="33"/>
    </row>
    <row r="137" spans="3:3" ht="22.5" customHeight="1" x14ac:dyDescent="0.15">
      <c r="C137" s="33"/>
    </row>
    <row r="138" spans="3:3" ht="22.5" customHeight="1" x14ac:dyDescent="0.15">
      <c r="C138" s="33"/>
    </row>
    <row r="139" spans="3:3" ht="22.5" customHeight="1" x14ac:dyDescent="0.15">
      <c r="C139" s="33"/>
    </row>
    <row r="140" spans="3:3" ht="22.5" customHeight="1" x14ac:dyDescent="0.15">
      <c r="C140" s="33"/>
    </row>
    <row r="141" spans="3:3" ht="22.5" customHeight="1" x14ac:dyDescent="0.15">
      <c r="C141" s="33"/>
    </row>
    <row r="142" spans="3:3" ht="22.5" customHeight="1" x14ac:dyDescent="0.15">
      <c r="C142" s="33"/>
    </row>
    <row r="143" spans="3:3" ht="22.5" customHeight="1" x14ac:dyDescent="0.15">
      <c r="C143" s="33"/>
    </row>
    <row r="144" spans="3:3" ht="22.5" customHeight="1" x14ac:dyDescent="0.15">
      <c r="C144" s="33"/>
    </row>
    <row r="145" spans="3:3" ht="22.5" customHeight="1" x14ac:dyDescent="0.15">
      <c r="C145" s="33"/>
    </row>
    <row r="146" spans="3:3" ht="22.5" customHeight="1" x14ac:dyDescent="0.15">
      <c r="C146" s="33"/>
    </row>
    <row r="147" spans="3:3" ht="22.5" customHeight="1" x14ac:dyDescent="0.15">
      <c r="C147" s="33"/>
    </row>
    <row r="148" spans="3:3" ht="22.5" customHeight="1" x14ac:dyDescent="0.15">
      <c r="C148" s="33"/>
    </row>
    <row r="149" spans="3:3" ht="22.5" customHeight="1" x14ac:dyDescent="0.15">
      <c r="C149" s="33"/>
    </row>
    <row r="150" spans="3:3" ht="22.5" customHeight="1" x14ac:dyDescent="0.15">
      <c r="C150" s="33"/>
    </row>
    <row r="151" spans="3:3" ht="22.5" customHeight="1" x14ac:dyDescent="0.15">
      <c r="C151" s="33"/>
    </row>
    <row r="152" spans="3:3" ht="22.5" customHeight="1" x14ac:dyDescent="0.15">
      <c r="C152" s="33"/>
    </row>
    <row r="153" spans="3:3" ht="22.5" customHeight="1" x14ac:dyDescent="0.15">
      <c r="C153" s="33"/>
    </row>
    <row r="154" spans="3:3" ht="22.5" customHeight="1" x14ac:dyDescent="0.15">
      <c r="C154" s="33"/>
    </row>
    <row r="155" spans="3:3" ht="22.5" customHeight="1" x14ac:dyDescent="0.15">
      <c r="C155" s="33"/>
    </row>
    <row r="156" spans="3:3" ht="22.5" customHeight="1" x14ac:dyDescent="0.15">
      <c r="C156" s="33"/>
    </row>
    <row r="157" spans="3:3" ht="22.5" customHeight="1" x14ac:dyDescent="0.15">
      <c r="C157" s="33"/>
    </row>
    <row r="158" spans="3:3" ht="22.5" customHeight="1" x14ac:dyDescent="0.15">
      <c r="C158" s="33"/>
    </row>
    <row r="159" spans="3:3" ht="22.5" customHeight="1" x14ac:dyDescent="0.15">
      <c r="C159" s="33"/>
    </row>
    <row r="160" spans="3:3" ht="22.5" customHeight="1" x14ac:dyDescent="0.15">
      <c r="C160" s="33"/>
    </row>
    <row r="161" spans="3:3" ht="22.5" customHeight="1" x14ac:dyDescent="0.15">
      <c r="C161" s="33"/>
    </row>
    <row r="162" spans="3:3" ht="22.5" customHeight="1" x14ac:dyDescent="0.15">
      <c r="C162" s="33"/>
    </row>
    <row r="163" spans="3:3" ht="22.5" customHeight="1" x14ac:dyDescent="0.15">
      <c r="C163" s="33"/>
    </row>
    <row r="164" spans="3:3" ht="22.5" customHeight="1" x14ac:dyDescent="0.15">
      <c r="C164" s="33"/>
    </row>
    <row r="165" spans="3:3" ht="22.5" customHeight="1" x14ac:dyDescent="0.15">
      <c r="C165" s="33"/>
    </row>
    <row r="166" spans="3:3" ht="22.5" customHeight="1" x14ac:dyDescent="0.15">
      <c r="C166" s="33"/>
    </row>
    <row r="167" spans="3:3" ht="22.5" customHeight="1" x14ac:dyDescent="0.15">
      <c r="C167" s="33"/>
    </row>
    <row r="168" spans="3:3" ht="22.5" customHeight="1" x14ac:dyDescent="0.15">
      <c r="C168" s="33"/>
    </row>
    <row r="169" spans="3:3" ht="22.5" customHeight="1" x14ac:dyDescent="0.15">
      <c r="C169" s="33"/>
    </row>
    <row r="170" spans="3:3" ht="22.5" customHeight="1" x14ac:dyDescent="0.15">
      <c r="C170" s="33"/>
    </row>
    <row r="171" spans="3:3" ht="22.5" customHeight="1" x14ac:dyDescent="0.15">
      <c r="C171" s="33"/>
    </row>
    <row r="172" spans="3:3" ht="22.5" customHeight="1" x14ac:dyDescent="0.15">
      <c r="C172" s="33"/>
    </row>
    <row r="173" spans="3:3" ht="22.5" customHeight="1" x14ac:dyDescent="0.15">
      <c r="C173" s="33"/>
    </row>
    <row r="174" spans="3:3" ht="22.5" customHeight="1" x14ac:dyDescent="0.15">
      <c r="C174" s="33"/>
    </row>
    <row r="175" spans="3:3" ht="22.5" customHeight="1" x14ac:dyDescent="0.15">
      <c r="C175" s="33"/>
    </row>
    <row r="176" spans="3:3" ht="22.5" customHeight="1" x14ac:dyDescent="0.15">
      <c r="C176" s="33"/>
    </row>
    <row r="177" spans="3:3" ht="22.5" customHeight="1" x14ac:dyDescent="0.15">
      <c r="C177" s="33"/>
    </row>
    <row r="178" spans="3:3" ht="22.5" customHeight="1" x14ac:dyDescent="0.15">
      <c r="C178" s="33"/>
    </row>
    <row r="179" spans="3:3" ht="22.5" customHeight="1" x14ac:dyDescent="0.15">
      <c r="C179" s="33"/>
    </row>
    <row r="180" spans="3:3" ht="22.5" customHeight="1" x14ac:dyDescent="0.15">
      <c r="C180" s="33"/>
    </row>
    <row r="181" spans="3:3" ht="22.5" customHeight="1" x14ac:dyDescent="0.15">
      <c r="C181" s="33"/>
    </row>
    <row r="182" spans="3:3" ht="22.5" customHeight="1" x14ac:dyDescent="0.15">
      <c r="C182" s="33"/>
    </row>
    <row r="183" spans="3:3" ht="22.5" customHeight="1" x14ac:dyDescent="0.15">
      <c r="C183" s="33"/>
    </row>
    <row r="184" spans="3:3" ht="22.5" customHeight="1" x14ac:dyDescent="0.15">
      <c r="C184" s="33"/>
    </row>
    <row r="185" spans="3:3" ht="22.5" customHeight="1" x14ac:dyDescent="0.15">
      <c r="C185" s="33"/>
    </row>
    <row r="186" spans="3:3" ht="22.5" customHeight="1" x14ac:dyDescent="0.15">
      <c r="C186" s="33"/>
    </row>
    <row r="187" spans="3:3" ht="22.5" customHeight="1" x14ac:dyDescent="0.15">
      <c r="C187" s="33"/>
    </row>
    <row r="188" spans="3:3" ht="22.5" customHeight="1" x14ac:dyDescent="0.15">
      <c r="C188" s="33"/>
    </row>
    <row r="189" spans="3:3" ht="22.5" customHeight="1" x14ac:dyDescent="0.15">
      <c r="C189" s="33"/>
    </row>
    <row r="190" spans="3:3" ht="22.5" customHeight="1" x14ac:dyDescent="0.15">
      <c r="C190" s="33"/>
    </row>
    <row r="191" spans="3:3" ht="22.5" customHeight="1" x14ac:dyDescent="0.15">
      <c r="C191" s="33"/>
    </row>
    <row r="192" spans="3:3" ht="22.5" customHeight="1" x14ac:dyDescent="0.15">
      <c r="C192" s="33"/>
    </row>
    <row r="193" spans="3:3" ht="22.5" customHeight="1" x14ac:dyDescent="0.15">
      <c r="C193" s="33"/>
    </row>
    <row r="194" spans="3:3" ht="22.5" customHeight="1" x14ac:dyDescent="0.15">
      <c r="C194" s="33"/>
    </row>
    <row r="195" spans="3:3" ht="22.5" customHeight="1" x14ac:dyDescent="0.15">
      <c r="C195" s="33"/>
    </row>
    <row r="196" spans="3:3" ht="22.5" customHeight="1" x14ac:dyDescent="0.15">
      <c r="C196" s="33"/>
    </row>
    <row r="197" spans="3:3" ht="22.5" customHeight="1" x14ac:dyDescent="0.15">
      <c r="C197" s="33"/>
    </row>
    <row r="198" spans="3:3" ht="22.5" customHeight="1" x14ac:dyDescent="0.15">
      <c r="C198" s="33"/>
    </row>
    <row r="199" spans="3:3" ht="22.5" customHeight="1" x14ac:dyDescent="0.15">
      <c r="C199" s="33"/>
    </row>
    <row r="200" spans="3:3" ht="22.5" customHeight="1" x14ac:dyDescent="0.15">
      <c r="C200" s="33"/>
    </row>
    <row r="201" spans="3:3" ht="22.5" customHeight="1" x14ac:dyDescent="0.15">
      <c r="C201" s="33"/>
    </row>
    <row r="202" spans="3:3" ht="22.5" customHeight="1" x14ac:dyDescent="0.15">
      <c r="C202" s="33"/>
    </row>
    <row r="203" spans="3:3" ht="22.5" customHeight="1" x14ac:dyDescent="0.15">
      <c r="C203" s="33"/>
    </row>
    <row r="204" spans="3:3" ht="22.5" customHeight="1" x14ac:dyDescent="0.15">
      <c r="C204" s="33"/>
    </row>
    <row r="205" spans="3:3" ht="22.5" customHeight="1" x14ac:dyDescent="0.15">
      <c r="C205" s="33"/>
    </row>
    <row r="206" spans="3:3" ht="22.5" customHeight="1" x14ac:dyDescent="0.15">
      <c r="C206" s="33"/>
    </row>
    <row r="207" spans="3:3" ht="22.5" customHeight="1" x14ac:dyDescent="0.15">
      <c r="C207" s="33"/>
    </row>
    <row r="208" spans="3:3" ht="22.5" customHeight="1" x14ac:dyDescent="0.15">
      <c r="C208" s="33"/>
    </row>
    <row r="209" spans="3:3" ht="22.5" customHeight="1" x14ac:dyDescent="0.15">
      <c r="C209" s="33"/>
    </row>
    <row r="210" spans="3:3" ht="22.5" customHeight="1" x14ac:dyDescent="0.15">
      <c r="C210" s="33"/>
    </row>
    <row r="211" spans="3:3" ht="22.5" customHeight="1" x14ac:dyDescent="0.15">
      <c r="C211" s="33"/>
    </row>
    <row r="212" spans="3:3" ht="22.5" customHeight="1" x14ac:dyDescent="0.15">
      <c r="C212" s="33"/>
    </row>
    <row r="213" spans="3:3" ht="22.5" customHeight="1" x14ac:dyDescent="0.15">
      <c r="C213" s="33"/>
    </row>
    <row r="214" spans="3:3" ht="22.5" customHeight="1" x14ac:dyDescent="0.15">
      <c r="C214" s="33"/>
    </row>
    <row r="215" spans="3:3" ht="22.5" customHeight="1" x14ac:dyDescent="0.15">
      <c r="C215" s="33"/>
    </row>
    <row r="216" spans="3:3" ht="22.5" customHeight="1" x14ac:dyDescent="0.15">
      <c r="C216" s="33"/>
    </row>
    <row r="217" spans="3:3" ht="22.5" customHeight="1" x14ac:dyDescent="0.15">
      <c r="C217" s="33"/>
    </row>
    <row r="218" spans="3:3" ht="22.5" customHeight="1" x14ac:dyDescent="0.15">
      <c r="C218" s="33"/>
    </row>
    <row r="219" spans="3:3" ht="22.5" customHeight="1" x14ac:dyDescent="0.15">
      <c r="C219" s="33"/>
    </row>
    <row r="220" spans="3:3" ht="22.5" customHeight="1" x14ac:dyDescent="0.15">
      <c r="C220" s="33"/>
    </row>
    <row r="221" spans="3:3" ht="22.5" customHeight="1" x14ac:dyDescent="0.15">
      <c r="C221" s="33"/>
    </row>
    <row r="222" spans="3:3" ht="22.5" customHeight="1" x14ac:dyDescent="0.15">
      <c r="C222" s="33"/>
    </row>
    <row r="223" spans="3:3" ht="22.5" customHeight="1" x14ac:dyDescent="0.15">
      <c r="C223" s="33"/>
    </row>
    <row r="224" spans="3:3" ht="22.5" customHeight="1" x14ac:dyDescent="0.15">
      <c r="C224" s="33"/>
    </row>
    <row r="225" spans="3:3" ht="22.5" customHeight="1" x14ac:dyDescent="0.15">
      <c r="C225" s="33"/>
    </row>
    <row r="226" spans="3:3" ht="22.5" customHeight="1" x14ac:dyDescent="0.15">
      <c r="C226" s="33"/>
    </row>
    <row r="227" spans="3:3" ht="22.5" customHeight="1" x14ac:dyDescent="0.15">
      <c r="C227" s="33"/>
    </row>
    <row r="228" spans="3:3" ht="22.5" customHeight="1" x14ac:dyDescent="0.15">
      <c r="C228" s="33"/>
    </row>
    <row r="229" spans="3:3" ht="22.5" customHeight="1" x14ac:dyDescent="0.15">
      <c r="C229" s="33"/>
    </row>
    <row r="230" spans="3:3" ht="22.5" customHeight="1" x14ac:dyDescent="0.15">
      <c r="C230" s="33"/>
    </row>
    <row r="231" spans="3:3" ht="22.5" customHeight="1" x14ac:dyDescent="0.15">
      <c r="C231" s="33"/>
    </row>
    <row r="232" spans="3:3" ht="22.5" customHeight="1" x14ac:dyDescent="0.15">
      <c r="C232" s="33"/>
    </row>
    <row r="233" spans="3:3" ht="22.5" customHeight="1" x14ac:dyDescent="0.15">
      <c r="C233" s="33"/>
    </row>
    <row r="234" spans="3:3" ht="22.5" customHeight="1" x14ac:dyDescent="0.15">
      <c r="C234" s="33"/>
    </row>
    <row r="235" spans="3:3" ht="22.5" customHeight="1" x14ac:dyDescent="0.15">
      <c r="C235" s="33"/>
    </row>
    <row r="236" spans="3:3" ht="22.5" customHeight="1" x14ac:dyDescent="0.15">
      <c r="C236" s="33"/>
    </row>
    <row r="237" spans="3:3" ht="22.5" customHeight="1" x14ac:dyDescent="0.15">
      <c r="C237" s="33"/>
    </row>
    <row r="238" spans="3:3" ht="22.5" customHeight="1" x14ac:dyDescent="0.15">
      <c r="C238" s="33"/>
    </row>
    <row r="239" spans="3:3" ht="22.5" customHeight="1" x14ac:dyDescent="0.15">
      <c r="C239" s="33"/>
    </row>
    <row r="240" spans="3:3" ht="22.5" customHeight="1" x14ac:dyDescent="0.15">
      <c r="C240" s="33"/>
    </row>
    <row r="241" spans="3:3" ht="22.5" customHeight="1" x14ac:dyDescent="0.15">
      <c r="C241" s="33"/>
    </row>
    <row r="242" spans="3:3" ht="22.5" customHeight="1" x14ac:dyDescent="0.15">
      <c r="C242" s="33"/>
    </row>
    <row r="243" spans="3:3" ht="22.5" customHeight="1" x14ac:dyDescent="0.15">
      <c r="C243" s="33"/>
    </row>
    <row r="244" spans="3:3" ht="22.5" customHeight="1" x14ac:dyDescent="0.15">
      <c r="C244" s="33"/>
    </row>
    <row r="245" spans="3:3" ht="22.5" customHeight="1" x14ac:dyDescent="0.15">
      <c r="C245" s="33"/>
    </row>
    <row r="246" spans="3:3" ht="22.5" customHeight="1" x14ac:dyDescent="0.15">
      <c r="C246" s="33"/>
    </row>
    <row r="247" spans="3:3" ht="22.5" customHeight="1" x14ac:dyDescent="0.15">
      <c r="C247" s="33"/>
    </row>
    <row r="248" spans="3:3" ht="22.5" customHeight="1" x14ac:dyDescent="0.15">
      <c r="C248" s="33"/>
    </row>
    <row r="249" spans="3:3" ht="22.5" customHeight="1" x14ac:dyDescent="0.15">
      <c r="C249" s="33"/>
    </row>
    <row r="250" spans="3:3" ht="22.5" customHeight="1" x14ac:dyDescent="0.15">
      <c r="C250" s="33"/>
    </row>
    <row r="251" spans="3:3" ht="22.5" customHeight="1" x14ac:dyDescent="0.15">
      <c r="C251" s="33"/>
    </row>
    <row r="252" spans="3:3" ht="22.5" customHeight="1" x14ac:dyDescent="0.15">
      <c r="C252" s="33"/>
    </row>
    <row r="253" spans="3:3" ht="22.5" customHeight="1" x14ac:dyDescent="0.15">
      <c r="C253" s="33"/>
    </row>
    <row r="254" spans="3:3" ht="22.5" customHeight="1" x14ac:dyDescent="0.15">
      <c r="C254" s="33"/>
    </row>
    <row r="255" spans="3:3" ht="22.5" customHeight="1" x14ac:dyDescent="0.15">
      <c r="C255" s="33"/>
    </row>
    <row r="256" spans="3:3" ht="22.5" customHeight="1" x14ac:dyDescent="0.15">
      <c r="C256" s="33"/>
    </row>
    <row r="257" spans="3:3" ht="22.5" customHeight="1" x14ac:dyDescent="0.15">
      <c r="C257" s="33"/>
    </row>
    <row r="258" spans="3:3" ht="22.5" customHeight="1" x14ac:dyDescent="0.15">
      <c r="C258" s="33"/>
    </row>
    <row r="259" spans="3:3" ht="22.5" customHeight="1" x14ac:dyDescent="0.15">
      <c r="C259" s="33"/>
    </row>
    <row r="260" spans="3:3" ht="22.5" customHeight="1" x14ac:dyDescent="0.15">
      <c r="C260" s="33"/>
    </row>
    <row r="261" spans="3:3" ht="22.5" customHeight="1" x14ac:dyDescent="0.15">
      <c r="C261" s="33"/>
    </row>
    <row r="262" spans="3:3" ht="22.5" customHeight="1" x14ac:dyDescent="0.15">
      <c r="C262" s="33"/>
    </row>
    <row r="263" spans="3:3" ht="22.5" customHeight="1" x14ac:dyDescent="0.15">
      <c r="C263" s="33"/>
    </row>
    <row r="264" spans="3:3" ht="22.5" customHeight="1" x14ac:dyDescent="0.15">
      <c r="C264" s="33"/>
    </row>
    <row r="265" spans="3:3" ht="22.5" customHeight="1" x14ac:dyDescent="0.15">
      <c r="C265" s="33"/>
    </row>
    <row r="266" spans="3:3" ht="22.5" customHeight="1" x14ac:dyDescent="0.15">
      <c r="C266" s="33"/>
    </row>
    <row r="267" spans="3:3" ht="22.5" customHeight="1" x14ac:dyDescent="0.15">
      <c r="C267" s="33"/>
    </row>
    <row r="268" spans="3:3" ht="22.5" customHeight="1" x14ac:dyDescent="0.15">
      <c r="C268" s="33"/>
    </row>
    <row r="269" spans="3:3" ht="22.5" customHeight="1" x14ac:dyDescent="0.15">
      <c r="C269" s="33"/>
    </row>
    <row r="270" spans="3:3" ht="22.5" customHeight="1" x14ac:dyDescent="0.15">
      <c r="C270" s="33"/>
    </row>
    <row r="271" spans="3:3" ht="22.5" customHeight="1" x14ac:dyDescent="0.15">
      <c r="C271" s="33"/>
    </row>
    <row r="272" spans="3:3" ht="22.5" customHeight="1" x14ac:dyDescent="0.15">
      <c r="C272" s="33"/>
    </row>
    <row r="273" spans="3:3" ht="22.5" customHeight="1" x14ac:dyDescent="0.15">
      <c r="C273" s="33"/>
    </row>
    <row r="274" spans="3:3" ht="22.5" customHeight="1" x14ac:dyDescent="0.15">
      <c r="C274" s="33"/>
    </row>
    <row r="275" spans="3:3" ht="22.5" customHeight="1" x14ac:dyDescent="0.15">
      <c r="C275" s="33"/>
    </row>
    <row r="276" spans="3:3" ht="22.5" customHeight="1" x14ac:dyDescent="0.15">
      <c r="C276" s="33"/>
    </row>
    <row r="277" spans="3:3" ht="22.5" customHeight="1" x14ac:dyDescent="0.15">
      <c r="C277" s="33"/>
    </row>
    <row r="278" spans="3:3" ht="22.5" customHeight="1" x14ac:dyDescent="0.15">
      <c r="C278" s="33"/>
    </row>
    <row r="279" spans="3:3" ht="22.5" customHeight="1" x14ac:dyDescent="0.15">
      <c r="C279" s="33"/>
    </row>
    <row r="280" spans="3:3" ht="22.5" customHeight="1" x14ac:dyDescent="0.15">
      <c r="C280" s="33"/>
    </row>
    <row r="281" spans="3:3" ht="22.5" customHeight="1" x14ac:dyDescent="0.15">
      <c r="C281" s="33"/>
    </row>
    <row r="282" spans="3:3" ht="22.5" customHeight="1" x14ac:dyDescent="0.15">
      <c r="C282" s="33"/>
    </row>
    <row r="283" spans="3:3" ht="22.5" customHeight="1" x14ac:dyDescent="0.15">
      <c r="C283" s="33"/>
    </row>
    <row r="284" spans="3:3" ht="22.5" customHeight="1" x14ac:dyDescent="0.15">
      <c r="C284" s="33"/>
    </row>
    <row r="285" spans="3:3" ht="22.5" customHeight="1" x14ac:dyDescent="0.15">
      <c r="C285" s="33"/>
    </row>
    <row r="286" spans="3:3" ht="22.5" customHeight="1" x14ac:dyDescent="0.15">
      <c r="C286" s="33"/>
    </row>
    <row r="287" spans="3:3" ht="22.5" customHeight="1" x14ac:dyDescent="0.15">
      <c r="C287" s="33"/>
    </row>
    <row r="288" spans="3:3" ht="22.5" customHeight="1" x14ac:dyDescent="0.15">
      <c r="C288" s="33"/>
    </row>
    <row r="289" spans="3:3" ht="22.5" customHeight="1" x14ac:dyDescent="0.15">
      <c r="C289" s="33"/>
    </row>
    <row r="290" spans="3:3" ht="22.5" customHeight="1" x14ac:dyDescent="0.15">
      <c r="C290" s="33"/>
    </row>
    <row r="291" spans="3:3" ht="22.5" customHeight="1" x14ac:dyDescent="0.15">
      <c r="C291" s="33"/>
    </row>
    <row r="292" spans="3:3" ht="22.5" customHeight="1" x14ac:dyDescent="0.15">
      <c r="C292" s="33"/>
    </row>
    <row r="293" spans="3:3" ht="22.5" customHeight="1" x14ac:dyDescent="0.15">
      <c r="C293" s="33"/>
    </row>
    <row r="294" spans="3:3" ht="22.5" customHeight="1" x14ac:dyDescent="0.15">
      <c r="C294" s="33"/>
    </row>
    <row r="295" spans="3:3" ht="22.5" customHeight="1" x14ac:dyDescent="0.15">
      <c r="C295" s="33"/>
    </row>
    <row r="296" spans="3:3" ht="22.5" customHeight="1" x14ac:dyDescent="0.15">
      <c r="C296" s="33"/>
    </row>
    <row r="297" spans="3:3" ht="22.5" customHeight="1" x14ac:dyDescent="0.15">
      <c r="C297" s="33"/>
    </row>
    <row r="298" spans="3:3" ht="22.5" customHeight="1" x14ac:dyDescent="0.15">
      <c r="C298" s="33"/>
    </row>
    <row r="299" spans="3:3" ht="22.5" customHeight="1" x14ac:dyDescent="0.15">
      <c r="C299" s="33"/>
    </row>
    <row r="300" spans="3:3" ht="22.5" customHeight="1" x14ac:dyDescent="0.15">
      <c r="C300" s="33"/>
    </row>
    <row r="301" spans="3:3" ht="22.5" customHeight="1" x14ac:dyDescent="0.15">
      <c r="C301" s="33"/>
    </row>
    <row r="302" spans="3:3" ht="22.5" customHeight="1" x14ac:dyDescent="0.15">
      <c r="C302" s="33"/>
    </row>
    <row r="303" spans="3:3" ht="22.5" customHeight="1" x14ac:dyDescent="0.15">
      <c r="C303" s="33"/>
    </row>
    <row r="304" spans="3:3" ht="22.5" customHeight="1" x14ac:dyDescent="0.15">
      <c r="C304" s="33"/>
    </row>
    <row r="305" spans="3:3" ht="22.5" customHeight="1" x14ac:dyDescent="0.15">
      <c r="C305" s="33"/>
    </row>
    <row r="306" spans="3:3" ht="22.5" customHeight="1" x14ac:dyDescent="0.15">
      <c r="C306" s="33"/>
    </row>
    <row r="307" spans="3:3" ht="22.5" customHeight="1" x14ac:dyDescent="0.15">
      <c r="C307" s="33"/>
    </row>
    <row r="308" spans="3:3" ht="22.5" customHeight="1" x14ac:dyDescent="0.15">
      <c r="C308" s="33"/>
    </row>
    <row r="309" spans="3:3" ht="22.5" customHeight="1" x14ac:dyDescent="0.15">
      <c r="C309" s="33"/>
    </row>
    <row r="310" spans="3:3" ht="22.5" customHeight="1" x14ac:dyDescent="0.15">
      <c r="C310" s="33"/>
    </row>
    <row r="311" spans="3:3" ht="22.5" customHeight="1" x14ac:dyDescent="0.15">
      <c r="C311" s="33"/>
    </row>
    <row r="312" spans="3:3" ht="22.5" customHeight="1" x14ac:dyDescent="0.15">
      <c r="C312" s="33"/>
    </row>
    <row r="313" spans="3:3" ht="22.5" customHeight="1" x14ac:dyDescent="0.15">
      <c r="C313" s="33"/>
    </row>
    <row r="314" spans="3:3" ht="22.5" customHeight="1" x14ac:dyDescent="0.15">
      <c r="C314" s="33"/>
    </row>
    <row r="315" spans="3:3" ht="22.5" customHeight="1" x14ac:dyDescent="0.15">
      <c r="C315" s="33"/>
    </row>
    <row r="316" spans="3:3" ht="22.5" customHeight="1" x14ac:dyDescent="0.15">
      <c r="C316" s="33"/>
    </row>
    <row r="317" spans="3:3" ht="22.5" customHeight="1" x14ac:dyDescent="0.15">
      <c r="C317" s="33"/>
    </row>
    <row r="318" spans="3:3" ht="22.5" customHeight="1" x14ac:dyDescent="0.15">
      <c r="C318" s="33"/>
    </row>
    <row r="319" spans="3:3" ht="22.5" customHeight="1" x14ac:dyDescent="0.15">
      <c r="C319" s="33"/>
    </row>
    <row r="320" spans="3:3" ht="22.5" customHeight="1" x14ac:dyDescent="0.15">
      <c r="C320" s="33"/>
    </row>
    <row r="321" spans="3:3" ht="22.5" customHeight="1" x14ac:dyDescent="0.15">
      <c r="C321" s="33"/>
    </row>
    <row r="322" spans="3:3" ht="22.5" customHeight="1" x14ac:dyDescent="0.15">
      <c r="C322" s="33"/>
    </row>
    <row r="323" spans="3:3" ht="22.5" customHeight="1" x14ac:dyDescent="0.15">
      <c r="C323" s="33"/>
    </row>
    <row r="324" spans="3:3" ht="22.5" customHeight="1" x14ac:dyDescent="0.15">
      <c r="C324" s="33"/>
    </row>
    <row r="325" spans="3:3" ht="22.5" customHeight="1" x14ac:dyDescent="0.15">
      <c r="C325" s="33"/>
    </row>
    <row r="326" spans="3:3" ht="22.5" customHeight="1" x14ac:dyDescent="0.15">
      <c r="C326" s="33"/>
    </row>
    <row r="327" spans="3:3" ht="22.5" customHeight="1" x14ac:dyDescent="0.15">
      <c r="C327" s="33"/>
    </row>
    <row r="328" spans="3:3" ht="22.5" customHeight="1" x14ac:dyDescent="0.15">
      <c r="C328" s="33"/>
    </row>
    <row r="329" spans="3:3" ht="22.5" customHeight="1" x14ac:dyDescent="0.15">
      <c r="C329" s="33"/>
    </row>
    <row r="330" spans="3:3" ht="22.5" customHeight="1" x14ac:dyDescent="0.15">
      <c r="C330" s="33"/>
    </row>
    <row r="331" spans="3:3" ht="22.5" customHeight="1" x14ac:dyDescent="0.15">
      <c r="C331" s="33"/>
    </row>
    <row r="332" spans="3:3" ht="22.5" customHeight="1" x14ac:dyDescent="0.15">
      <c r="C332" s="33"/>
    </row>
    <row r="333" spans="3:3" ht="22.5" customHeight="1" x14ac:dyDescent="0.15">
      <c r="C333" s="33"/>
    </row>
    <row r="334" spans="3:3" ht="22.5" customHeight="1" x14ac:dyDescent="0.15">
      <c r="C334" s="33"/>
    </row>
    <row r="335" spans="3:3" ht="22.5" customHeight="1" x14ac:dyDescent="0.15">
      <c r="C335" s="33"/>
    </row>
    <row r="336" spans="3:3" ht="22.5" customHeight="1" x14ac:dyDescent="0.15">
      <c r="C336" s="33"/>
    </row>
    <row r="337" spans="3:3" ht="22.5" customHeight="1" x14ac:dyDescent="0.15">
      <c r="C337" s="33"/>
    </row>
    <row r="338" spans="3:3" ht="22.5" customHeight="1" x14ac:dyDescent="0.15">
      <c r="C338" s="33"/>
    </row>
    <row r="339" spans="3:3" ht="22.5" customHeight="1" x14ac:dyDescent="0.15">
      <c r="C339" s="33"/>
    </row>
    <row r="340" spans="3:3" ht="22.5" customHeight="1" x14ac:dyDescent="0.15">
      <c r="C340" s="33"/>
    </row>
    <row r="341" spans="3:3" ht="22.5" customHeight="1" x14ac:dyDescent="0.15">
      <c r="C341" s="33"/>
    </row>
    <row r="342" spans="3:3" ht="22.5" customHeight="1" x14ac:dyDescent="0.15">
      <c r="C342" s="33"/>
    </row>
    <row r="343" spans="3:3" ht="22.5" customHeight="1" x14ac:dyDescent="0.15">
      <c r="C343" s="33"/>
    </row>
    <row r="344" spans="3:3" ht="22.5" customHeight="1" x14ac:dyDescent="0.15">
      <c r="C344" s="33"/>
    </row>
    <row r="345" spans="3:3" ht="22.5" customHeight="1" x14ac:dyDescent="0.15">
      <c r="C345" s="33"/>
    </row>
    <row r="346" spans="3:3" ht="22.5" customHeight="1" x14ac:dyDescent="0.15">
      <c r="C346" s="33"/>
    </row>
    <row r="347" spans="3:3" ht="22.5" customHeight="1" x14ac:dyDescent="0.15">
      <c r="C347" s="33"/>
    </row>
    <row r="348" spans="3:3" ht="22.5" customHeight="1" x14ac:dyDescent="0.15">
      <c r="C348" s="33"/>
    </row>
    <row r="349" spans="3:3" ht="22.5" customHeight="1" x14ac:dyDescent="0.15">
      <c r="C349" s="33"/>
    </row>
    <row r="350" spans="3:3" ht="22.5" customHeight="1" x14ac:dyDescent="0.15">
      <c r="C350" s="33"/>
    </row>
    <row r="351" spans="3:3" ht="22.5" customHeight="1" x14ac:dyDescent="0.15">
      <c r="C351" s="33"/>
    </row>
    <row r="352" spans="3:3" ht="22.5" customHeight="1" x14ac:dyDescent="0.15">
      <c r="C352" s="33"/>
    </row>
    <row r="353" spans="3:3" ht="22.5" customHeight="1" x14ac:dyDescent="0.15">
      <c r="C353" s="33"/>
    </row>
    <row r="354" spans="3:3" ht="22.5" customHeight="1" x14ac:dyDescent="0.15">
      <c r="C354" s="33"/>
    </row>
    <row r="355" spans="3:3" ht="22.5" customHeight="1" x14ac:dyDescent="0.15">
      <c r="C355" s="33"/>
    </row>
    <row r="356" spans="3:3" ht="22.5" customHeight="1" x14ac:dyDescent="0.15">
      <c r="C356" s="33"/>
    </row>
    <row r="357" spans="3:3" ht="22.5" customHeight="1" x14ac:dyDescent="0.15">
      <c r="C357" s="33"/>
    </row>
    <row r="358" spans="3:3" ht="22.5" customHeight="1" x14ac:dyDescent="0.15">
      <c r="C358" s="33"/>
    </row>
    <row r="359" spans="3:3" ht="22.5" customHeight="1" x14ac:dyDescent="0.15">
      <c r="C359" s="33"/>
    </row>
    <row r="360" spans="3:3" ht="22.5" customHeight="1" x14ac:dyDescent="0.15">
      <c r="C360" s="33"/>
    </row>
    <row r="361" spans="3:3" ht="22.5" customHeight="1" x14ac:dyDescent="0.15">
      <c r="C361" s="33"/>
    </row>
    <row r="362" spans="3:3" ht="22.5" customHeight="1" x14ac:dyDescent="0.15">
      <c r="C362" s="33"/>
    </row>
    <row r="363" spans="3:3" ht="22.5" customHeight="1" x14ac:dyDescent="0.15">
      <c r="C363" s="33"/>
    </row>
    <row r="364" spans="3:3" ht="22.5" customHeight="1" x14ac:dyDescent="0.15">
      <c r="C364" s="33"/>
    </row>
    <row r="365" spans="3:3" ht="22.5" customHeight="1" x14ac:dyDescent="0.15">
      <c r="C365" s="33"/>
    </row>
    <row r="366" spans="3:3" ht="22.5" customHeight="1" x14ac:dyDescent="0.15">
      <c r="C366" s="33"/>
    </row>
    <row r="367" spans="3:3" ht="22.5" customHeight="1" x14ac:dyDescent="0.15">
      <c r="C367" s="33"/>
    </row>
    <row r="368" spans="3:3" ht="22.5" customHeight="1" x14ac:dyDescent="0.15">
      <c r="C368" s="33"/>
    </row>
    <row r="369" spans="3:3" ht="22.5" customHeight="1" x14ac:dyDescent="0.15">
      <c r="C369" s="33"/>
    </row>
    <row r="370" spans="3:3" ht="22.5" customHeight="1" x14ac:dyDescent="0.15">
      <c r="C370" s="33"/>
    </row>
    <row r="371" spans="3:3" ht="22.5" customHeight="1" x14ac:dyDescent="0.15">
      <c r="C371" s="33"/>
    </row>
    <row r="372" spans="3:3" ht="22.5" customHeight="1" x14ac:dyDescent="0.15">
      <c r="C372" s="33"/>
    </row>
    <row r="373" spans="3:3" ht="22.5" customHeight="1" x14ac:dyDescent="0.15">
      <c r="C373" s="33"/>
    </row>
    <row r="374" spans="3:3" ht="22.5" customHeight="1" x14ac:dyDescent="0.15">
      <c r="C374" s="33"/>
    </row>
    <row r="375" spans="3:3" ht="22.5" customHeight="1" x14ac:dyDescent="0.15">
      <c r="C375" s="33"/>
    </row>
    <row r="376" spans="3:3" ht="22.5" customHeight="1" x14ac:dyDescent="0.15">
      <c r="C376" s="33"/>
    </row>
    <row r="377" spans="3:3" ht="22.5" customHeight="1" x14ac:dyDescent="0.15">
      <c r="C377" s="33"/>
    </row>
    <row r="378" spans="3:3" ht="22.5" customHeight="1" x14ac:dyDescent="0.15">
      <c r="C378" s="33"/>
    </row>
    <row r="379" spans="3:3" ht="22.5" customHeight="1" x14ac:dyDescent="0.15">
      <c r="C379" s="33"/>
    </row>
    <row r="380" spans="3:3" ht="22.5" customHeight="1" x14ac:dyDescent="0.15">
      <c r="C380" s="33"/>
    </row>
    <row r="381" spans="3:3" ht="22.5" customHeight="1" x14ac:dyDescent="0.15">
      <c r="C381" s="33"/>
    </row>
    <row r="382" spans="3:3" ht="22.5" customHeight="1" x14ac:dyDescent="0.15">
      <c r="C382" s="33"/>
    </row>
    <row r="383" spans="3:3" ht="22.5" customHeight="1" x14ac:dyDescent="0.15">
      <c r="C383" s="33"/>
    </row>
    <row r="384" spans="3:3" ht="22.5" customHeight="1" x14ac:dyDescent="0.15">
      <c r="C384" s="33"/>
    </row>
    <row r="385" spans="3:3" ht="22.5" customHeight="1" x14ac:dyDescent="0.15">
      <c r="C385" s="33"/>
    </row>
    <row r="386" spans="3:3" ht="22.5" customHeight="1" x14ac:dyDescent="0.15">
      <c r="C386" s="33"/>
    </row>
    <row r="387" spans="3:3" ht="22.5" customHeight="1" x14ac:dyDescent="0.15">
      <c r="C387" s="33"/>
    </row>
    <row r="388" spans="3:3" ht="22.5" customHeight="1" x14ac:dyDescent="0.15">
      <c r="C388" s="33"/>
    </row>
    <row r="389" spans="3:3" ht="22.5" customHeight="1" x14ac:dyDescent="0.15">
      <c r="C389" s="33"/>
    </row>
    <row r="390" spans="3:3" ht="22.5" customHeight="1" x14ac:dyDescent="0.15">
      <c r="C390" s="33"/>
    </row>
    <row r="391" spans="3:3" ht="22.5" customHeight="1" x14ac:dyDescent="0.15">
      <c r="C391" s="33"/>
    </row>
    <row r="392" spans="3:3" ht="22.5" customHeight="1" x14ac:dyDescent="0.15">
      <c r="C392" s="33"/>
    </row>
    <row r="393" spans="3:3" ht="22.5" customHeight="1" x14ac:dyDescent="0.15">
      <c r="C393" s="33"/>
    </row>
    <row r="394" spans="3:3" ht="22.5" customHeight="1" x14ac:dyDescent="0.15">
      <c r="C394" s="33"/>
    </row>
    <row r="395" spans="3:3" ht="22.5" customHeight="1" x14ac:dyDescent="0.15">
      <c r="C395" s="33"/>
    </row>
    <row r="396" spans="3:3" ht="22.5" customHeight="1" x14ac:dyDescent="0.15">
      <c r="C396" s="33"/>
    </row>
    <row r="397" spans="3:3" ht="22.5" customHeight="1" x14ac:dyDescent="0.15">
      <c r="C397" s="33"/>
    </row>
    <row r="398" spans="3:3" ht="22.5" customHeight="1" x14ac:dyDescent="0.15">
      <c r="C398" s="33"/>
    </row>
    <row r="399" spans="3:3" ht="22.5" customHeight="1" x14ac:dyDescent="0.15">
      <c r="C399" s="33"/>
    </row>
    <row r="400" spans="3:3" ht="22.5" customHeight="1" x14ac:dyDescent="0.15">
      <c r="C400" s="33"/>
    </row>
    <row r="401" spans="3:3" ht="22.5" customHeight="1" x14ac:dyDescent="0.15">
      <c r="C401" s="33"/>
    </row>
    <row r="402" spans="3:3" ht="22.5" customHeight="1" x14ac:dyDescent="0.15">
      <c r="C402" s="33"/>
    </row>
    <row r="403" spans="3:3" ht="22.5" customHeight="1" x14ac:dyDescent="0.15">
      <c r="C403" s="33"/>
    </row>
    <row r="404" spans="3:3" ht="22.5" customHeight="1" x14ac:dyDescent="0.15">
      <c r="C404" s="33"/>
    </row>
    <row r="405" spans="3:3" ht="22.5" customHeight="1" x14ac:dyDescent="0.15">
      <c r="C405" s="33"/>
    </row>
    <row r="406" spans="3:3" ht="22.5" customHeight="1" x14ac:dyDescent="0.15">
      <c r="C406" s="33"/>
    </row>
    <row r="407" spans="3:3" ht="22.5" customHeight="1" x14ac:dyDescent="0.15">
      <c r="C407" s="33"/>
    </row>
    <row r="408" spans="3:3" ht="22.5" customHeight="1" x14ac:dyDescent="0.15">
      <c r="C408" s="33"/>
    </row>
    <row r="409" spans="3:3" ht="22.5" customHeight="1" x14ac:dyDescent="0.15">
      <c r="C409" s="33"/>
    </row>
    <row r="410" spans="3:3" ht="22.5" customHeight="1" x14ac:dyDescent="0.15">
      <c r="C410" s="33"/>
    </row>
    <row r="411" spans="3:3" ht="22.5" customHeight="1" x14ac:dyDescent="0.15">
      <c r="C411" s="33"/>
    </row>
    <row r="412" spans="3:3" ht="22.5" customHeight="1" x14ac:dyDescent="0.15">
      <c r="C412" s="33"/>
    </row>
    <row r="413" spans="3:3" ht="22.5" customHeight="1" x14ac:dyDescent="0.15">
      <c r="C413" s="33"/>
    </row>
    <row r="414" spans="3:3" ht="22.5" customHeight="1" x14ac:dyDescent="0.15">
      <c r="C414" s="33"/>
    </row>
    <row r="415" spans="3:3" ht="22.5" customHeight="1" x14ac:dyDescent="0.15">
      <c r="C415" s="33"/>
    </row>
    <row r="416" spans="3:3" ht="22.5" customHeight="1" x14ac:dyDescent="0.15">
      <c r="C416" s="33"/>
    </row>
    <row r="417" spans="3:3" ht="22.5" customHeight="1" x14ac:dyDescent="0.15">
      <c r="C417" s="33"/>
    </row>
    <row r="418" spans="3:3" ht="22.5" customHeight="1" x14ac:dyDescent="0.15">
      <c r="C418" s="33"/>
    </row>
    <row r="419" spans="3:3" ht="22.5" customHeight="1" x14ac:dyDescent="0.15">
      <c r="C419" s="33"/>
    </row>
    <row r="420" spans="3:3" ht="22.5" customHeight="1" x14ac:dyDescent="0.15">
      <c r="C420" s="33"/>
    </row>
    <row r="421" spans="3:3" ht="22.5" customHeight="1" x14ac:dyDescent="0.15">
      <c r="C421" s="33"/>
    </row>
    <row r="422" spans="3:3" ht="22.5" customHeight="1" x14ac:dyDescent="0.15">
      <c r="C422" s="33"/>
    </row>
    <row r="423" spans="3:3" ht="22.5" customHeight="1" x14ac:dyDescent="0.15">
      <c r="C423" s="33"/>
    </row>
    <row r="424" spans="3:3" ht="22.5" customHeight="1" x14ac:dyDescent="0.15">
      <c r="C424" s="33"/>
    </row>
    <row r="425" spans="3:3" ht="22.5" customHeight="1" x14ac:dyDescent="0.15">
      <c r="C425" s="33"/>
    </row>
    <row r="426" spans="3:3" ht="22.5" customHeight="1" x14ac:dyDescent="0.15">
      <c r="C426" s="33"/>
    </row>
    <row r="427" spans="3:3" ht="22.5" customHeight="1" x14ac:dyDescent="0.15">
      <c r="C427" s="33"/>
    </row>
    <row r="428" spans="3:3" ht="22.5" customHeight="1" x14ac:dyDescent="0.15">
      <c r="C428" s="33"/>
    </row>
    <row r="429" spans="3:3" ht="22.5" customHeight="1" x14ac:dyDescent="0.15">
      <c r="C429" s="33"/>
    </row>
    <row r="430" spans="3:3" ht="22.5" customHeight="1" x14ac:dyDescent="0.15">
      <c r="C430" s="33"/>
    </row>
    <row r="431" spans="3:3" ht="22.5" customHeight="1" x14ac:dyDescent="0.15">
      <c r="C431" s="33"/>
    </row>
    <row r="432" spans="3:3" ht="22.5" customHeight="1" x14ac:dyDescent="0.15">
      <c r="C432" s="33"/>
    </row>
    <row r="433" spans="3:3" ht="22.5" customHeight="1" x14ac:dyDescent="0.15">
      <c r="C433" s="33"/>
    </row>
    <row r="434" spans="3:3" ht="22.5" customHeight="1" x14ac:dyDescent="0.15">
      <c r="C434" s="33"/>
    </row>
    <row r="435" spans="3:3" ht="22.5" customHeight="1" x14ac:dyDescent="0.15">
      <c r="C435" s="33"/>
    </row>
    <row r="436" spans="3:3" ht="22.5" customHeight="1" x14ac:dyDescent="0.15">
      <c r="C436" s="33"/>
    </row>
    <row r="437" spans="3:3" ht="22.5" customHeight="1" x14ac:dyDescent="0.15">
      <c r="C437" s="33"/>
    </row>
    <row r="438" spans="3:3" ht="22.5" customHeight="1" x14ac:dyDescent="0.15">
      <c r="C438" s="33"/>
    </row>
    <row r="439" spans="3:3" ht="22.5" customHeight="1" x14ac:dyDescent="0.15">
      <c r="C439" s="33"/>
    </row>
    <row r="440" spans="3:3" ht="22.5" customHeight="1" x14ac:dyDescent="0.15">
      <c r="C440" s="33"/>
    </row>
    <row r="441" spans="3:3" ht="22.5" customHeight="1" x14ac:dyDescent="0.15">
      <c r="C441" s="33"/>
    </row>
    <row r="442" spans="3:3" ht="22.5" customHeight="1" x14ac:dyDescent="0.15">
      <c r="C442" s="33"/>
    </row>
    <row r="443" spans="3:3" ht="22.5" customHeight="1" x14ac:dyDescent="0.15">
      <c r="C443" s="33"/>
    </row>
    <row r="444" spans="3:3" ht="22.5" customHeight="1" x14ac:dyDescent="0.15">
      <c r="C444" s="33"/>
    </row>
    <row r="445" spans="3:3" ht="22.5" customHeight="1" x14ac:dyDescent="0.15">
      <c r="C445" s="33"/>
    </row>
    <row r="446" spans="3:3" ht="22.5" customHeight="1" x14ac:dyDescent="0.15">
      <c r="C446" s="33"/>
    </row>
    <row r="447" spans="3:3" ht="22.5" customHeight="1" x14ac:dyDescent="0.15">
      <c r="C447" s="33"/>
    </row>
    <row r="448" spans="3:3" ht="22.5" customHeight="1" x14ac:dyDescent="0.15">
      <c r="C448" s="33"/>
    </row>
    <row r="449" spans="3:3" ht="22.5" customHeight="1" x14ac:dyDescent="0.15">
      <c r="C449" s="33"/>
    </row>
    <row r="450" spans="3:3" ht="22.5" customHeight="1" x14ac:dyDescent="0.15">
      <c r="C450" s="33"/>
    </row>
    <row r="451" spans="3:3" ht="22.5" customHeight="1" x14ac:dyDescent="0.15">
      <c r="C451" s="33"/>
    </row>
    <row r="452" spans="3:3" ht="22.5" customHeight="1" x14ac:dyDescent="0.15">
      <c r="C452" s="33"/>
    </row>
    <row r="453" spans="3:3" ht="22.5" customHeight="1" x14ac:dyDescent="0.15">
      <c r="C453" s="33"/>
    </row>
    <row r="454" spans="3:3" ht="22.5" customHeight="1" x14ac:dyDescent="0.15">
      <c r="C454" s="33"/>
    </row>
    <row r="455" spans="3:3" ht="22.5" customHeight="1" x14ac:dyDescent="0.15">
      <c r="C455" s="33"/>
    </row>
    <row r="456" spans="3:3" ht="22.5" customHeight="1" x14ac:dyDescent="0.15">
      <c r="C456" s="33"/>
    </row>
    <row r="457" spans="3:3" ht="22.5" customHeight="1" x14ac:dyDescent="0.15">
      <c r="C457" s="33"/>
    </row>
    <row r="458" spans="3:3" ht="22.5" customHeight="1" x14ac:dyDescent="0.15">
      <c r="C458" s="33"/>
    </row>
    <row r="459" spans="3:3" ht="22.5" customHeight="1" x14ac:dyDescent="0.15">
      <c r="C459" s="33"/>
    </row>
    <row r="460" spans="3:3" ht="22.5" customHeight="1" x14ac:dyDescent="0.15">
      <c r="C460" s="33"/>
    </row>
    <row r="461" spans="3:3" ht="22.5" customHeight="1" x14ac:dyDescent="0.15">
      <c r="C461" s="33"/>
    </row>
    <row r="462" spans="3:3" ht="22.5" customHeight="1" x14ac:dyDescent="0.15">
      <c r="C462" s="33"/>
    </row>
    <row r="463" spans="3:3" ht="22.5" customHeight="1" x14ac:dyDescent="0.15">
      <c r="C463" s="33"/>
    </row>
    <row r="464" spans="3:3" ht="22.5" customHeight="1" x14ac:dyDescent="0.15">
      <c r="C464" s="33"/>
    </row>
    <row r="465" spans="3:3" ht="22.5" customHeight="1" x14ac:dyDescent="0.15">
      <c r="C465" s="33"/>
    </row>
    <row r="466" spans="3:3" ht="22.5" customHeight="1" x14ac:dyDescent="0.15">
      <c r="C466" s="33"/>
    </row>
    <row r="467" spans="3:3" ht="22.5" customHeight="1" x14ac:dyDescent="0.15">
      <c r="C467" s="33"/>
    </row>
    <row r="468" spans="3:3" ht="22.5" customHeight="1" x14ac:dyDescent="0.15">
      <c r="C468" s="33"/>
    </row>
    <row r="469" spans="3:3" ht="22.5" customHeight="1" x14ac:dyDescent="0.15">
      <c r="C469" s="33"/>
    </row>
    <row r="470" spans="3:3" ht="22.5" customHeight="1" x14ac:dyDescent="0.15">
      <c r="C470" s="33"/>
    </row>
    <row r="471" spans="3:3" ht="22.5" customHeight="1" x14ac:dyDescent="0.15">
      <c r="C471" s="33"/>
    </row>
    <row r="472" spans="3:3" ht="22.5" customHeight="1" x14ac:dyDescent="0.15">
      <c r="C472" s="33"/>
    </row>
    <row r="473" spans="3:3" ht="22.5" customHeight="1" x14ac:dyDescent="0.15">
      <c r="C473" s="33"/>
    </row>
    <row r="474" spans="3:3" ht="22.5" customHeight="1" x14ac:dyDescent="0.15">
      <c r="C474" s="33"/>
    </row>
    <row r="475" spans="3:3" ht="22.5" customHeight="1" x14ac:dyDescent="0.15">
      <c r="C475" s="33"/>
    </row>
    <row r="476" spans="3:3" ht="22.5" customHeight="1" x14ac:dyDescent="0.15">
      <c r="C476" s="33"/>
    </row>
    <row r="477" spans="3:3" ht="22.5" customHeight="1" x14ac:dyDescent="0.15">
      <c r="C477" s="33"/>
    </row>
    <row r="478" spans="3:3" ht="22.5" customHeight="1" x14ac:dyDescent="0.15">
      <c r="C478" s="33"/>
    </row>
    <row r="479" spans="3:3" ht="22.5" customHeight="1" x14ac:dyDescent="0.15">
      <c r="C479" s="33"/>
    </row>
    <row r="480" spans="3:3" ht="22.5" customHeight="1" x14ac:dyDescent="0.15">
      <c r="C480" s="33"/>
    </row>
    <row r="481" spans="3:3" ht="22.5" customHeight="1" x14ac:dyDescent="0.15">
      <c r="C481" s="33"/>
    </row>
    <row r="482" spans="3:3" ht="22.5" customHeight="1" x14ac:dyDescent="0.15">
      <c r="C482" s="33"/>
    </row>
    <row r="483" spans="3:3" ht="22.5" customHeight="1" x14ac:dyDescent="0.15">
      <c r="C483" s="33"/>
    </row>
    <row r="484" spans="3:3" ht="22.5" customHeight="1" x14ac:dyDescent="0.15">
      <c r="C484" s="33"/>
    </row>
    <row r="485" spans="3:3" ht="22.5" customHeight="1" x14ac:dyDescent="0.15">
      <c r="C485" s="33"/>
    </row>
    <row r="486" spans="3:3" ht="22.5" customHeight="1" x14ac:dyDescent="0.15">
      <c r="C486" s="33"/>
    </row>
    <row r="487" spans="3:3" ht="22.5" customHeight="1" x14ac:dyDescent="0.15">
      <c r="C487" s="33"/>
    </row>
    <row r="488" spans="3:3" ht="22.5" customHeight="1" x14ac:dyDescent="0.15">
      <c r="C488" s="33"/>
    </row>
    <row r="489" spans="3:3" ht="22.5" customHeight="1" x14ac:dyDescent="0.15">
      <c r="C489" s="33"/>
    </row>
    <row r="490" spans="3:3" ht="22.5" customHeight="1" x14ac:dyDescent="0.15">
      <c r="C490" s="33"/>
    </row>
    <row r="491" spans="3:3" ht="22.5" customHeight="1" x14ac:dyDescent="0.15">
      <c r="C491" s="33"/>
    </row>
    <row r="492" spans="3:3" ht="22.5" customHeight="1" x14ac:dyDescent="0.15">
      <c r="C492" s="33"/>
    </row>
    <row r="493" spans="3:3" ht="22.5" customHeight="1" x14ac:dyDescent="0.15">
      <c r="C493" s="33"/>
    </row>
    <row r="494" spans="3:3" ht="22.5" customHeight="1" x14ac:dyDescent="0.15">
      <c r="C494" s="33"/>
    </row>
    <row r="495" spans="3:3" ht="22.5" customHeight="1" x14ac:dyDescent="0.15">
      <c r="C495" s="33"/>
    </row>
    <row r="496" spans="3:3" ht="22.5" customHeight="1" x14ac:dyDescent="0.15">
      <c r="C496" s="33"/>
    </row>
    <row r="497" spans="3:3" ht="22.5" customHeight="1" x14ac:dyDescent="0.15">
      <c r="C497" s="33"/>
    </row>
    <row r="498" spans="3:3" ht="22.5" customHeight="1" x14ac:dyDescent="0.15">
      <c r="C498" s="33"/>
    </row>
    <row r="499" spans="3:3" ht="22.5" customHeight="1" x14ac:dyDescent="0.15">
      <c r="C499" s="33"/>
    </row>
    <row r="500" spans="3:3" ht="22.5" customHeight="1" x14ac:dyDescent="0.15">
      <c r="C500" s="33"/>
    </row>
    <row r="501" spans="3:3" ht="22.5" customHeight="1" x14ac:dyDescent="0.15">
      <c r="C501" s="33"/>
    </row>
    <row r="502" spans="3:3" ht="22.5" customHeight="1" x14ac:dyDescent="0.15">
      <c r="C502" s="33"/>
    </row>
    <row r="503" spans="3:3" ht="22.5" customHeight="1" x14ac:dyDescent="0.15">
      <c r="C503" s="33"/>
    </row>
    <row r="504" spans="3:3" ht="22.5" customHeight="1" x14ac:dyDescent="0.15">
      <c r="C504" s="33"/>
    </row>
    <row r="505" spans="3:3" ht="22.5" customHeight="1" x14ac:dyDescent="0.15">
      <c r="C505" s="33"/>
    </row>
    <row r="506" spans="3:3" ht="22.5" customHeight="1" x14ac:dyDescent="0.15">
      <c r="C506" s="33"/>
    </row>
    <row r="507" spans="3:3" ht="22.5" customHeight="1" x14ac:dyDescent="0.15">
      <c r="C507" s="33"/>
    </row>
    <row r="508" spans="3:3" ht="22.5" customHeight="1" x14ac:dyDescent="0.15">
      <c r="C508" s="33"/>
    </row>
    <row r="509" spans="3:3" ht="22.5" customHeight="1" x14ac:dyDescent="0.15">
      <c r="C509" s="33"/>
    </row>
    <row r="510" spans="3:3" ht="22.5" customHeight="1" x14ac:dyDescent="0.15">
      <c r="C510" s="33"/>
    </row>
    <row r="511" spans="3:3" ht="22.5" customHeight="1" x14ac:dyDescent="0.15">
      <c r="C511" s="33"/>
    </row>
    <row r="512" spans="3:3" ht="22.5" customHeight="1" x14ac:dyDescent="0.15">
      <c r="C512" s="33"/>
    </row>
    <row r="513" spans="3:3" ht="22.5" customHeight="1" x14ac:dyDescent="0.15">
      <c r="C513" s="33"/>
    </row>
    <row r="514" spans="3:3" ht="22.5" customHeight="1" x14ac:dyDescent="0.15">
      <c r="C514" s="33"/>
    </row>
    <row r="515" spans="3:3" ht="22.5" customHeight="1" x14ac:dyDescent="0.15">
      <c r="C515" s="33"/>
    </row>
    <row r="516" spans="3:3" ht="22.5" customHeight="1" x14ac:dyDescent="0.15">
      <c r="C516" s="33"/>
    </row>
    <row r="517" spans="3:3" ht="22.5" customHeight="1" x14ac:dyDescent="0.15">
      <c r="C517" s="33"/>
    </row>
    <row r="518" spans="3:3" ht="22.5" customHeight="1" x14ac:dyDescent="0.15">
      <c r="C518" s="33"/>
    </row>
    <row r="519" spans="3:3" ht="22.5" customHeight="1" x14ac:dyDescent="0.15">
      <c r="C519" s="33"/>
    </row>
    <row r="520" spans="3:3" ht="22.5" customHeight="1" x14ac:dyDescent="0.15">
      <c r="C520" s="33"/>
    </row>
    <row r="521" spans="3:3" ht="22.5" customHeight="1" x14ac:dyDescent="0.15">
      <c r="C521" s="33"/>
    </row>
    <row r="522" spans="3:3" ht="22.5" customHeight="1" x14ac:dyDescent="0.15">
      <c r="C522" s="33"/>
    </row>
    <row r="523" spans="3:3" ht="22.5" customHeight="1" x14ac:dyDescent="0.15">
      <c r="C523" s="33"/>
    </row>
    <row r="524" spans="3:3" ht="22.5" customHeight="1" x14ac:dyDescent="0.15">
      <c r="C524" s="33"/>
    </row>
    <row r="525" spans="3:3" ht="22.5" customHeight="1" x14ac:dyDescent="0.15">
      <c r="C525" s="33"/>
    </row>
    <row r="526" spans="3:3" ht="22.5" customHeight="1" x14ac:dyDescent="0.15">
      <c r="C526" s="33"/>
    </row>
    <row r="527" spans="3:3" ht="22.5" customHeight="1" x14ac:dyDescent="0.15">
      <c r="C527" s="33"/>
    </row>
    <row r="528" spans="3:3" ht="22.5" customHeight="1" x14ac:dyDescent="0.15">
      <c r="C528" s="33"/>
    </row>
    <row r="529" spans="3:3" ht="22.5" customHeight="1" x14ac:dyDescent="0.15">
      <c r="C529" s="33"/>
    </row>
    <row r="530" spans="3:3" ht="22.5" customHeight="1" x14ac:dyDescent="0.15">
      <c r="C530" s="33"/>
    </row>
    <row r="531" spans="3:3" ht="22.5" customHeight="1" x14ac:dyDescent="0.15">
      <c r="C531" s="33"/>
    </row>
    <row r="532" spans="3:3" ht="22.5" customHeight="1" x14ac:dyDescent="0.15">
      <c r="C532" s="33"/>
    </row>
    <row r="533" spans="3:3" ht="22.5" customHeight="1" x14ac:dyDescent="0.15">
      <c r="C533" s="33"/>
    </row>
    <row r="534" spans="3:3" ht="22.5" customHeight="1" x14ac:dyDescent="0.15">
      <c r="C534" s="33"/>
    </row>
    <row r="535" spans="3:3" ht="22.5" customHeight="1" x14ac:dyDescent="0.15">
      <c r="C535" s="33"/>
    </row>
    <row r="536" spans="3:3" ht="22.5" customHeight="1" x14ac:dyDescent="0.15">
      <c r="C536" s="33"/>
    </row>
    <row r="537" spans="3:3" ht="22.5" customHeight="1" x14ac:dyDescent="0.15">
      <c r="C537" s="33"/>
    </row>
    <row r="538" spans="3:3" ht="22.5" customHeight="1" x14ac:dyDescent="0.15">
      <c r="C538" s="33"/>
    </row>
    <row r="539" spans="3:3" ht="22.5" customHeight="1" x14ac:dyDescent="0.15">
      <c r="C539" s="33"/>
    </row>
    <row r="540" spans="3:3" ht="22.5" customHeight="1" x14ac:dyDescent="0.15">
      <c r="C540" s="33"/>
    </row>
    <row r="541" spans="3:3" ht="22.5" customHeight="1" x14ac:dyDescent="0.15">
      <c r="C541" s="33"/>
    </row>
    <row r="542" spans="3:3" ht="22.5" customHeight="1" x14ac:dyDescent="0.15">
      <c r="C542" s="33"/>
    </row>
    <row r="543" spans="3:3" ht="22.5" customHeight="1" x14ac:dyDescent="0.15">
      <c r="C543" s="33"/>
    </row>
    <row r="544" spans="3:3" ht="22.5" customHeight="1" x14ac:dyDescent="0.15">
      <c r="C544" s="33"/>
    </row>
    <row r="545" spans="3:3" ht="22.5" customHeight="1" x14ac:dyDescent="0.15">
      <c r="C545" s="33"/>
    </row>
    <row r="546" spans="3:3" ht="22.5" customHeight="1" x14ac:dyDescent="0.15">
      <c r="C546" s="33"/>
    </row>
    <row r="547" spans="3:3" ht="22.5" customHeight="1" x14ac:dyDescent="0.15">
      <c r="C547" s="33"/>
    </row>
    <row r="548" spans="3:3" ht="22.5" customHeight="1" x14ac:dyDescent="0.15">
      <c r="C548" s="33"/>
    </row>
    <row r="549" spans="3:3" ht="22.5" customHeight="1" x14ac:dyDescent="0.15">
      <c r="C549" s="33"/>
    </row>
    <row r="550" spans="3:3" ht="22.5" customHeight="1" x14ac:dyDescent="0.15">
      <c r="C550" s="33"/>
    </row>
    <row r="551" spans="3:3" ht="22.5" customHeight="1" x14ac:dyDescent="0.15">
      <c r="C551" s="33"/>
    </row>
    <row r="552" spans="3:3" ht="22.5" customHeight="1" x14ac:dyDescent="0.15">
      <c r="C552" s="33"/>
    </row>
    <row r="553" spans="3:3" ht="22.5" customHeight="1" x14ac:dyDescent="0.15">
      <c r="C553" s="33"/>
    </row>
    <row r="554" spans="3:3" ht="22.5" customHeight="1" x14ac:dyDescent="0.15">
      <c r="C554" s="33"/>
    </row>
    <row r="555" spans="3:3" ht="22.5" customHeight="1" x14ac:dyDescent="0.15">
      <c r="C555" s="33"/>
    </row>
    <row r="556" spans="3:3" ht="22.5" customHeight="1" x14ac:dyDescent="0.15">
      <c r="C556" s="33"/>
    </row>
    <row r="557" spans="3:3" ht="22.5" customHeight="1" x14ac:dyDescent="0.15">
      <c r="C557" s="33"/>
    </row>
    <row r="558" spans="3:3" ht="22.5" customHeight="1" x14ac:dyDescent="0.15">
      <c r="C558" s="33"/>
    </row>
    <row r="559" spans="3:3" ht="22.5" customHeight="1" x14ac:dyDescent="0.15">
      <c r="C559" s="33"/>
    </row>
    <row r="560" spans="3:3" ht="22.5" customHeight="1" x14ac:dyDescent="0.15">
      <c r="C560" s="33"/>
    </row>
    <row r="561" spans="3:3" ht="22.5" customHeight="1" x14ac:dyDescent="0.15">
      <c r="C561" s="33"/>
    </row>
    <row r="562" spans="3:3" ht="22.5" customHeight="1" x14ac:dyDescent="0.15">
      <c r="C562" s="33"/>
    </row>
    <row r="563" spans="3:3" ht="22.5" customHeight="1" x14ac:dyDescent="0.15">
      <c r="C563" s="33"/>
    </row>
    <row r="564" spans="3:3" ht="22.5" customHeight="1" x14ac:dyDescent="0.15">
      <c r="C564" s="33"/>
    </row>
    <row r="565" spans="3:3" ht="22.5" customHeight="1" x14ac:dyDescent="0.15">
      <c r="C565" s="33"/>
    </row>
    <row r="566" spans="3:3" ht="22.5" customHeight="1" x14ac:dyDescent="0.15">
      <c r="C566" s="33"/>
    </row>
    <row r="567" spans="3:3" ht="22.5" customHeight="1" x14ac:dyDescent="0.15">
      <c r="C567" s="33"/>
    </row>
    <row r="568" spans="3:3" ht="22.5" customHeight="1" x14ac:dyDescent="0.15">
      <c r="C568" s="33"/>
    </row>
    <row r="569" spans="3:3" ht="22.5" customHeight="1" x14ac:dyDescent="0.15">
      <c r="C569" s="33"/>
    </row>
    <row r="570" spans="3:3" ht="22.5" customHeight="1" x14ac:dyDescent="0.15">
      <c r="C570" s="33"/>
    </row>
    <row r="571" spans="3:3" ht="22.5" customHeight="1" x14ac:dyDescent="0.15">
      <c r="C571" s="33"/>
    </row>
    <row r="572" spans="3:3" ht="22.5" customHeight="1" x14ac:dyDescent="0.15">
      <c r="C572" s="33"/>
    </row>
    <row r="573" spans="3:3" ht="22.5" customHeight="1" x14ac:dyDescent="0.15">
      <c r="C573" s="33"/>
    </row>
    <row r="574" spans="3:3" ht="22.5" customHeight="1" x14ac:dyDescent="0.15">
      <c r="C574" s="33"/>
    </row>
    <row r="575" spans="3:3" ht="22.5" customHeight="1" x14ac:dyDescent="0.15">
      <c r="C575" s="33"/>
    </row>
    <row r="576" spans="3:3" ht="22.5" customHeight="1" x14ac:dyDescent="0.15">
      <c r="C576" s="33"/>
    </row>
    <row r="577" spans="3:3" ht="22.5" customHeight="1" x14ac:dyDescent="0.15">
      <c r="C577" s="33"/>
    </row>
    <row r="578" spans="3:3" ht="22.5" customHeight="1" x14ac:dyDescent="0.15">
      <c r="C578" s="33"/>
    </row>
    <row r="579" spans="3:3" ht="22.5" customHeight="1" x14ac:dyDescent="0.15">
      <c r="C579" s="33"/>
    </row>
    <row r="580" spans="3:3" ht="22.5" customHeight="1" x14ac:dyDescent="0.15">
      <c r="C580" s="33"/>
    </row>
    <row r="581" spans="3:3" ht="22.5" customHeight="1" x14ac:dyDescent="0.15">
      <c r="C581" s="33"/>
    </row>
    <row r="582" spans="3:3" ht="22.5" customHeight="1" x14ac:dyDescent="0.15">
      <c r="C582" s="33"/>
    </row>
    <row r="583" spans="3:3" ht="22.5" customHeight="1" x14ac:dyDescent="0.15">
      <c r="C583" s="33"/>
    </row>
    <row r="584" spans="3:3" ht="22.5" customHeight="1" x14ac:dyDescent="0.15">
      <c r="C584" s="33"/>
    </row>
    <row r="585" spans="3:3" ht="22.5" customHeight="1" x14ac:dyDescent="0.15">
      <c r="C585" s="33"/>
    </row>
    <row r="586" spans="3:3" ht="22.5" customHeight="1" x14ac:dyDescent="0.15">
      <c r="C586" s="33"/>
    </row>
    <row r="587" spans="3:3" ht="22.5" customHeight="1" x14ac:dyDescent="0.15">
      <c r="C587" s="33"/>
    </row>
    <row r="588" spans="3:3" ht="22.5" customHeight="1" x14ac:dyDescent="0.15">
      <c r="C588" s="33"/>
    </row>
    <row r="589" spans="3:3" ht="22.5" customHeight="1" x14ac:dyDescent="0.15">
      <c r="C589" s="33"/>
    </row>
    <row r="590" spans="3:3" ht="22.5" customHeight="1" x14ac:dyDescent="0.15">
      <c r="C590" s="33"/>
    </row>
    <row r="591" spans="3:3" ht="22.5" customHeight="1" x14ac:dyDescent="0.15">
      <c r="C591" s="33"/>
    </row>
    <row r="592" spans="3:3" ht="22.5" customHeight="1" x14ac:dyDescent="0.15">
      <c r="C592" s="33"/>
    </row>
    <row r="593" spans="3:3" ht="22.5" customHeight="1" x14ac:dyDescent="0.15">
      <c r="C593" s="33"/>
    </row>
    <row r="594" spans="3:3" ht="22.5" customHeight="1" x14ac:dyDescent="0.15">
      <c r="C594" s="33"/>
    </row>
    <row r="595" spans="3:3" ht="22.5" customHeight="1" x14ac:dyDescent="0.15">
      <c r="C595" s="33"/>
    </row>
    <row r="596" spans="3:3" ht="22.5" customHeight="1" x14ac:dyDescent="0.15">
      <c r="C596" s="33"/>
    </row>
    <row r="597" spans="3:3" ht="22.5" customHeight="1" x14ac:dyDescent="0.15">
      <c r="C597" s="33"/>
    </row>
    <row r="598" spans="3:3" ht="22.5" customHeight="1" x14ac:dyDescent="0.15">
      <c r="C598" s="33"/>
    </row>
    <row r="599" spans="3:3" ht="22.5" customHeight="1" x14ac:dyDescent="0.15">
      <c r="C599" s="33"/>
    </row>
    <row r="600" spans="3:3" ht="22.5" customHeight="1" x14ac:dyDescent="0.15">
      <c r="C600" s="33"/>
    </row>
    <row r="601" spans="3:3" ht="22.5" customHeight="1" x14ac:dyDescent="0.15">
      <c r="C601" s="33"/>
    </row>
    <row r="602" spans="3:3" ht="22.5" customHeight="1" x14ac:dyDescent="0.15">
      <c r="C602" s="33"/>
    </row>
    <row r="603" spans="3:3" ht="22.5" customHeight="1" x14ac:dyDescent="0.15">
      <c r="C603" s="33"/>
    </row>
    <row r="604" spans="3:3" ht="22.5" customHeight="1" x14ac:dyDescent="0.15">
      <c r="C604" s="33"/>
    </row>
    <row r="605" spans="3:3" ht="22.5" customHeight="1" x14ac:dyDescent="0.15">
      <c r="C605" s="33"/>
    </row>
    <row r="606" spans="3:3" ht="22.5" customHeight="1" x14ac:dyDescent="0.15">
      <c r="C606" s="33"/>
    </row>
    <row r="607" spans="3:3" ht="22.5" customHeight="1" x14ac:dyDescent="0.15">
      <c r="C607" s="33"/>
    </row>
    <row r="608" spans="3:3" ht="22.5" customHeight="1" x14ac:dyDescent="0.15">
      <c r="C608" s="33"/>
    </row>
    <row r="609" spans="3:3" ht="22.5" customHeight="1" x14ac:dyDescent="0.15">
      <c r="C609" s="33"/>
    </row>
    <row r="610" spans="3:3" ht="22.5" customHeight="1" x14ac:dyDescent="0.15">
      <c r="C610" s="33"/>
    </row>
    <row r="611" spans="3:3" ht="22.5" customHeight="1" x14ac:dyDescent="0.15">
      <c r="C611" s="33"/>
    </row>
    <row r="612" spans="3:3" ht="22.5" customHeight="1" x14ac:dyDescent="0.15">
      <c r="C612" s="33"/>
    </row>
    <row r="613" spans="3:3" ht="22.5" customHeight="1" x14ac:dyDescent="0.15">
      <c r="C613" s="33"/>
    </row>
    <row r="614" spans="3:3" ht="22.5" customHeight="1" x14ac:dyDescent="0.15">
      <c r="C614" s="33"/>
    </row>
    <row r="615" spans="3:3" ht="22.5" customHeight="1" x14ac:dyDescent="0.15">
      <c r="C615" s="33"/>
    </row>
    <row r="616" spans="3:3" ht="22.5" customHeight="1" x14ac:dyDescent="0.15">
      <c r="C616" s="33"/>
    </row>
    <row r="617" spans="3:3" ht="22.5" customHeight="1" x14ac:dyDescent="0.15">
      <c r="C617" s="33"/>
    </row>
    <row r="618" spans="3:3" ht="22.5" customHeight="1" x14ac:dyDescent="0.15">
      <c r="C618" s="33"/>
    </row>
    <row r="619" spans="3:3" ht="22.5" customHeight="1" x14ac:dyDescent="0.15">
      <c r="C619" s="33"/>
    </row>
    <row r="620" spans="3:3" ht="22.5" customHeight="1" x14ac:dyDescent="0.15">
      <c r="C620" s="33"/>
    </row>
    <row r="621" spans="3:3" ht="22.5" customHeight="1" x14ac:dyDescent="0.15">
      <c r="C621" s="33"/>
    </row>
    <row r="622" spans="3:3" ht="22.5" customHeight="1" x14ac:dyDescent="0.15">
      <c r="C622" s="33"/>
    </row>
    <row r="623" spans="3:3" ht="22.5" customHeight="1" x14ac:dyDescent="0.15">
      <c r="C623" s="33"/>
    </row>
    <row r="624" spans="3:3" ht="22.5" customHeight="1" x14ac:dyDescent="0.15">
      <c r="C624" s="33"/>
    </row>
    <row r="625" spans="3:3" ht="22.5" customHeight="1" x14ac:dyDescent="0.15">
      <c r="C625" s="33"/>
    </row>
    <row r="626" spans="3:3" ht="22.5" customHeight="1" x14ac:dyDescent="0.15">
      <c r="C626" s="33"/>
    </row>
    <row r="627" spans="3:3" ht="22.5" customHeight="1" x14ac:dyDescent="0.15">
      <c r="C627" s="33"/>
    </row>
    <row r="628" spans="3:3" ht="22.5" customHeight="1" x14ac:dyDescent="0.15">
      <c r="C628" s="33"/>
    </row>
    <row r="629" spans="3:3" ht="22.5" customHeight="1" x14ac:dyDescent="0.15">
      <c r="C629" s="33"/>
    </row>
    <row r="630" spans="3:3" ht="22.5" customHeight="1" x14ac:dyDescent="0.15">
      <c r="C630" s="33"/>
    </row>
    <row r="631" spans="3:3" ht="22.5" customHeight="1" x14ac:dyDescent="0.15">
      <c r="C631" s="33"/>
    </row>
    <row r="632" spans="3:3" ht="22.5" customHeight="1" x14ac:dyDescent="0.15">
      <c r="C632" s="33"/>
    </row>
    <row r="633" spans="3:3" ht="22.5" customHeight="1" x14ac:dyDescent="0.15">
      <c r="C633" s="33"/>
    </row>
    <row r="634" spans="3:3" ht="22.5" customHeight="1" x14ac:dyDescent="0.15">
      <c r="C634" s="33"/>
    </row>
    <row r="635" spans="3:3" ht="22.5" customHeight="1" x14ac:dyDescent="0.15">
      <c r="C635" s="33"/>
    </row>
    <row r="636" spans="3:3" ht="22.5" customHeight="1" x14ac:dyDescent="0.15">
      <c r="C636" s="33"/>
    </row>
    <row r="637" spans="3:3" ht="22.5" customHeight="1" x14ac:dyDescent="0.15">
      <c r="C637" s="33"/>
    </row>
    <row r="638" spans="3:3" ht="22.5" customHeight="1" x14ac:dyDescent="0.15">
      <c r="C638" s="33"/>
    </row>
    <row r="639" spans="3:3" ht="22.5" customHeight="1" x14ac:dyDescent="0.15">
      <c r="C639" s="33"/>
    </row>
    <row r="640" spans="3:3" ht="22.5" customHeight="1" x14ac:dyDescent="0.15">
      <c r="C640" s="33"/>
    </row>
    <row r="641" spans="3:3" ht="22.5" customHeight="1" x14ac:dyDescent="0.15">
      <c r="C641" s="33"/>
    </row>
    <row r="642" spans="3:3" ht="22.5" customHeight="1" x14ac:dyDescent="0.15">
      <c r="C642" s="33"/>
    </row>
    <row r="643" spans="3:3" ht="22.5" customHeight="1" x14ac:dyDescent="0.15">
      <c r="C643" s="33"/>
    </row>
    <row r="644" spans="3:3" ht="22.5" customHeight="1" x14ac:dyDescent="0.15">
      <c r="C644" s="33"/>
    </row>
    <row r="645" spans="3:3" ht="22.5" customHeight="1" x14ac:dyDescent="0.15">
      <c r="C645" s="33"/>
    </row>
    <row r="646" spans="3:3" ht="22.5" customHeight="1" x14ac:dyDescent="0.15">
      <c r="C646" s="33"/>
    </row>
    <row r="647" spans="3:3" ht="22.5" customHeight="1" x14ac:dyDescent="0.15">
      <c r="C647" s="33"/>
    </row>
    <row r="648" spans="3:3" ht="22.5" customHeight="1" x14ac:dyDescent="0.15">
      <c r="C648" s="33"/>
    </row>
    <row r="649" spans="3:3" ht="22.5" customHeight="1" x14ac:dyDescent="0.15">
      <c r="C649" s="33"/>
    </row>
    <row r="650" spans="3:3" ht="22.5" customHeight="1" x14ac:dyDescent="0.15">
      <c r="C650" s="33"/>
    </row>
    <row r="651" spans="3:3" ht="22.5" customHeight="1" x14ac:dyDescent="0.15">
      <c r="C651" s="33"/>
    </row>
    <row r="652" spans="3:3" ht="22.5" customHeight="1" x14ac:dyDescent="0.15">
      <c r="C652" s="33"/>
    </row>
    <row r="653" spans="3:3" ht="22.5" customHeight="1" x14ac:dyDescent="0.15">
      <c r="C653" s="33"/>
    </row>
    <row r="654" spans="3:3" ht="22.5" customHeight="1" x14ac:dyDescent="0.15">
      <c r="C654" s="33"/>
    </row>
    <row r="655" spans="3:3" ht="22.5" customHeight="1" x14ac:dyDescent="0.15">
      <c r="C655" s="33"/>
    </row>
    <row r="656" spans="3:3" ht="22.5" customHeight="1" x14ac:dyDescent="0.15">
      <c r="C656" s="33"/>
    </row>
    <row r="657" spans="3:3" ht="22.5" customHeight="1" x14ac:dyDescent="0.15">
      <c r="C657" s="33"/>
    </row>
    <row r="658" spans="3:3" ht="22.5" customHeight="1" x14ac:dyDescent="0.15">
      <c r="C658" s="33"/>
    </row>
    <row r="659" spans="3:3" ht="22.5" customHeight="1" x14ac:dyDescent="0.15">
      <c r="C659" s="33"/>
    </row>
    <row r="660" spans="3:3" ht="22.5" customHeight="1" x14ac:dyDescent="0.15">
      <c r="C660" s="33"/>
    </row>
    <row r="661" spans="3:3" ht="22.5" customHeight="1" x14ac:dyDescent="0.15">
      <c r="C661" s="33"/>
    </row>
    <row r="662" spans="3:3" ht="22.5" customHeight="1" x14ac:dyDescent="0.15">
      <c r="C662" s="33"/>
    </row>
    <row r="663" spans="3:3" ht="22.5" customHeight="1" x14ac:dyDescent="0.15">
      <c r="C663" s="33"/>
    </row>
    <row r="664" spans="3:3" ht="22.5" customHeight="1" x14ac:dyDescent="0.15">
      <c r="C664" s="33"/>
    </row>
    <row r="665" spans="3:3" ht="22.5" customHeight="1" x14ac:dyDescent="0.15">
      <c r="C665" s="33"/>
    </row>
    <row r="666" spans="3:3" ht="22.5" customHeight="1" x14ac:dyDescent="0.15">
      <c r="C666" s="33"/>
    </row>
    <row r="667" spans="3:3" ht="22.5" customHeight="1" x14ac:dyDescent="0.15">
      <c r="C667" s="33"/>
    </row>
    <row r="668" spans="3:3" ht="22.5" customHeight="1" x14ac:dyDescent="0.15">
      <c r="C668" s="33"/>
    </row>
    <row r="669" spans="3:3" ht="22.5" customHeight="1" x14ac:dyDescent="0.15">
      <c r="C669" s="33"/>
    </row>
    <row r="670" spans="3:3" ht="22.5" customHeight="1" x14ac:dyDescent="0.15">
      <c r="C670" s="33"/>
    </row>
    <row r="671" spans="3:3" ht="22.5" customHeight="1" x14ac:dyDescent="0.15">
      <c r="C671" s="33"/>
    </row>
    <row r="672" spans="3:3" ht="22.5" customHeight="1" x14ac:dyDescent="0.15">
      <c r="C672" s="33"/>
    </row>
    <row r="673" spans="3:3" ht="22.5" customHeight="1" x14ac:dyDescent="0.15">
      <c r="C673" s="33"/>
    </row>
    <row r="674" spans="3:3" ht="22.5" customHeight="1" x14ac:dyDescent="0.15">
      <c r="C674" s="33"/>
    </row>
    <row r="675" spans="3:3" ht="22.5" customHeight="1" x14ac:dyDescent="0.15">
      <c r="C675" s="33"/>
    </row>
    <row r="676" spans="3:3" ht="22.5" customHeight="1" x14ac:dyDescent="0.15">
      <c r="C676" s="33"/>
    </row>
    <row r="677" spans="3:3" ht="22.5" customHeight="1" x14ac:dyDescent="0.15">
      <c r="C677" s="33"/>
    </row>
    <row r="678" spans="3:3" ht="22.5" customHeight="1" x14ac:dyDescent="0.15">
      <c r="C678" s="33"/>
    </row>
    <row r="679" spans="3:3" ht="22.5" customHeight="1" x14ac:dyDescent="0.15">
      <c r="C679" s="33"/>
    </row>
    <row r="680" spans="3:3" ht="22.5" customHeight="1" x14ac:dyDescent="0.15">
      <c r="C680" s="33"/>
    </row>
    <row r="681" spans="3:3" ht="22.5" customHeight="1" x14ac:dyDescent="0.15">
      <c r="C681" s="33"/>
    </row>
    <row r="682" spans="3:3" ht="22.5" customHeight="1" x14ac:dyDescent="0.15">
      <c r="C682" s="33"/>
    </row>
    <row r="683" spans="3:3" ht="22.5" customHeight="1" x14ac:dyDescent="0.15">
      <c r="C683" s="33"/>
    </row>
    <row r="684" spans="3:3" ht="22.5" customHeight="1" x14ac:dyDescent="0.15">
      <c r="C684" s="33"/>
    </row>
    <row r="685" spans="3:3" ht="22.5" customHeight="1" x14ac:dyDescent="0.15">
      <c r="C685" s="33"/>
    </row>
    <row r="686" spans="3:3" ht="22.5" customHeight="1" x14ac:dyDescent="0.15">
      <c r="C686" s="33"/>
    </row>
    <row r="687" spans="3:3" ht="22.5" customHeight="1" x14ac:dyDescent="0.15">
      <c r="C687" s="33"/>
    </row>
    <row r="688" spans="3:3" ht="22.5" customHeight="1" x14ac:dyDescent="0.15">
      <c r="C688" s="33"/>
    </row>
    <row r="689" spans="3:3" ht="22.5" customHeight="1" x14ac:dyDescent="0.15">
      <c r="C689" s="33"/>
    </row>
    <row r="690" spans="3:3" ht="22.5" customHeight="1" x14ac:dyDescent="0.15">
      <c r="C690" s="33"/>
    </row>
    <row r="691" spans="3:3" ht="22.5" customHeight="1" x14ac:dyDescent="0.15">
      <c r="C691" s="33"/>
    </row>
    <row r="692" spans="3:3" ht="22.5" customHeight="1" x14ac:dyDescent="0.15">
      <c r="C692" s="33"/>
    </row>
    <row r="693" spans="3:3" ht="22.5" customHeight="1" x14ac:dyDescent="0.15">
      <c r="C693" s="33"/>
    </row>
    <row r="694" spans="3:3" ht="22.5" customHeight="1" x14ac:dyDescent="0.15">
      <c r="C694" s="33"/>
    </row>
    <row r="695" spans="3:3" ht="22.5" customHeight="1" x14ac:dyDescent="0.15">
      <c r="C695" s="33"/>
    </row>
    <row r="696" spans="3:3" ht="22.5" customHeight="1" x14ac:dyDescent="0.15">
      <c r="C696" s="33"/>
    </row>
    <row r="697" spans="3:3" ht="22.5" customHeight="1" x14ac:dyDescent="0.15">
      <c r="C697" s="33"/>
    </row>
    <row r="698" spans="3:3" ht="22.5" customHeight="1" x14ac:dyDescent="0.15">
      <c r="C698" s="33"/>
    </row>
    <row r="699" spans="3:3" ht="22.5" customHeight="1" x14ac:dyDescent="0.15">
      <c r="C699" s="33"/>
    </row>
    <row r="700" spans="3:3" ht="22.5" customHeight="1" x14ac:dyDescent="0.15">
      <c r="C700" s="33"/>
    </row>
    <row r="701" spans="3:3" ht="22.5" customHeight="1" x14ac:dyDescent="0.15">
      <c r="C701" s="33"/>
    </row>
    <row r="702" spans="3:3" ht="22.5" customHeight="1" x14ac:dyDescent="0.15">
      <c r="C702" s="33"/>
    </row>
    <row r="703" spans="3:3" ht="22.5" customHeight="1" x14ac:dyDescent="0.15">
      <c r="C703" s="33"/>
    </row>
    <row r="704" spans="3:3" ht="22.5" customHeight="1" x14ac:dyDescent="0.15">
      <c r="C704" s="33"/>
    </row>
    <row r="705" spans="3:3" ht="22.5" customHeight="1" x14ac:dyDescent="0.15">
      <c r="C705" s="33"/>
    </row>
    <row r="706" spans="3:3" ht="22.5" customHeight="1" x14ac:dyDescent="0.15">
      <c r="C706" s="33"/>
    </row>
    <row r="707" spans="3:3" ht="22.5" customHeight="1" x14ac:dyDescent="0.15">
      <c r="C707" s="33"/>
    </row>
    <row r="708" spans="3:3" ht="22.5" customHeight="1" x14ac:dyDescent="0.15">
      <c r="C708" s="33"/>
    </row>
    <row r="709" spans="3:3" ht="22.5" customHeight="1" x14ac:dyDescent="0.15">
      <c r="C709" s="33"/>
    </row>
    <row r="710" spans="3:3" ht="22.5" customHeight="1" x14ac:dyDescent="0.15">
      <c r="C710" s="33"/>
    </row>
    <row r="711" spans="3:3" ht="22.5" customHeight="1" x14ac:dyDescent="0.15">
      <c r="C711" s="33"/>
    </row>
    <row r="712" spans="3:3" ht="22.5" customHeight="1" x14ac:dyDescent="0.15">
      <c r="C712" s="33"/>
    </row>
    <row r="713" spans="3:3" ht="22.5" customHeight="1" x14ac:dyDescent="0.15">
      <c r="C713" s="33"/>
    </row>
    <row r="714" spans="3:3" ht="22.5" customHeight="1" x14ac:dyDescent="0.15">
      <c r="C714" s="33"/>
    </row>
    <row r="715" spans="3:3" ht="22.5" customHeight="1" x14ac:dyDescent="0.15">
      <c r="C715" s="33"/>
    </row>
    <row r="716" spans="3:3" ht="22.5" customHeight="1" x14ac:dyDescent="0.15">
      <c r="C716" s="33"/>
    </row>
    <row r="717" spans="3:3" ht="22.5" customHeight="1" x14ac:dyDescent="0.15">
      <c r="C717" s="33"/>
    </row>
    <row r="718" spans="3:3" ht="22.5" customHeight="1" x14ac:dyDescent="0.15">
      <c r="C718" s="33"/>
    </row>
    <row r="719" spans="3:3" ht="22.5" customHeight="1" x14ac:dyDescent="0.15">
      <c r="C719" s="33"/>
    </row>
    <row r="720" spans="3:3" ht="22.5" customHeight="1" x14ac:dyDescent="0.15">
      <c r="C720" s="33"/>
    </row>
    <row r="721" spans="3:3" ht="22.5" customHeight="1" x14ac:dyDescent="0.15">
      <c r="C721" s="33"/>
    </row>
    <row r="722" spans="3:3" ht="22.5" customHeight="1" x14ac:dyDescent="0.15">
      <c r="C722" s="33"/>
    </row>
    <row r="723" spans="3:3" ht="22.5" customHeight="1" x14ac:dyDescent="0.15">
      <c r="C723" s="33"/>
    </row>
    <row r="724" spans="3:3" ht="22.5" customHeight="1" x14ac:dyDescent="0.15">
      <c r="C724" s="33"/>
    </row>
    <row r="725" spans="3:3" ht="22.5" customHeight="1" x14ac:dyDescent="0.15">
      <c r="C725" s="33"/>
    </row>
    <row r="726" spans="3:3" ht="22.5" customHeight="1" x14ac:dyDescent="0.15">
      <c r="C726" s="33"/>
    </row>
    <row r="727" spans="3:3" ht="22.5" customHeight="1" x14ac:dyDescent="0.15">
      <c r="C727" s="33"/>
    </row>
    <row r="728" spans="3:3" ht="22.5" customHeight="1" x14ac:dyDescent="0.15">
      <c r="C728" s="33"/>
    </row>
    <row r="729" spans="3:3" ht="22.5" customHeight="1" x14ac:dyDescent="0.15">
      <c r="C729" s="33"/>
    </row>
    <row r="730" spans="3:3" ht="22.5" customHeight="1" x14ac:dyDescent="0.15">
      <c r="C730" s="33"/>
    </row>
    <row r="731" spans="3:3" ht="22.5" customHeight="1" x14ac:dyDescent="0.15">
      <c r="C731" s="33"/>
    </row>
    <row r="732" spans="3:3" ht="22.5" customHeight="1" x14ac:dyDescent="0.15">
      <c r="C732" s="33"/>
    </row>
    <row r="733" spans="3:3" ht="22.5" customHeight="1" x14ac:dyDescent="0.15">
      <c r="C733" s="33"/>
    </row>
    <row r="734" spans="3:3" ht="22.5" customHeight="1" x14ac:dyDescent="0.15">
      <c r="C734" s="33"/>
    </row>
    <row r="735" spans="3:3" ht="22.5" customHeight="1" x14ac:dyDescent="0.15">
      <c r="C735" s="33"/>
    </row>
    <row r="736" spans="3:3" ht="22.5" customHeight="1" x14ac:dyDescent="0.15">
      <c r="C736" s="33"/>
    </row>
    <row r="737" spans="3:3" ht="22.5" customHeight="1" x14ac:dyDescent="0.15">
      <c r="C737" s="33"/>
    </row>
    <row r="738" spans="3:3" ht="22.5" customHeight="1" x14ac:dyDescent="0.15">
      <c r="C738" s="33"/>
    </row>
    <row r="739" spans="3:3" ht="22.5" customHeight="1" x14ac:dyDescent="0.15">
      <c r="C739" s="33"/>
    </row>
    <row r="740" spans="3:3" ht="22.5" customHeight="1" x14ac:dyDescent="0.15">
      <c r="C740" s="33"/>
    </row>
    <row r="741" spans="3:3" ht="22.5" customHeight="1" x14ac:dyDescent="0.15">
      <c r="C741" s="33"/>
    </row>
    <row r="742" spans="3:3" ht="22.5" customHeight="1" x14ac:dyDescent="0.15">
      <c r="C742" s="33"/>
    </row>
    <row r="743" spans="3:3" ht="22.5" customHeight="1" x14ac:dyDescent="0.15">
      <c r="C743" s="33"/>
    </row>
    <row r="744" spans="3:3" ht="22.5" customHeight="1" x14ac:dyDescent="0.15">
      <c r="C744" s="33"/>
    </row>
    <row r="745" spans="3:3" ht="22.5" customHeight="1" x14ac:dyDescent="0.15">
      <c r="C745" s="33"/>
    </row>
    <row r="746" spans="3:3" ht="22.5" customHeight="1" x14ac:dyDescent="0.15">
      <c r="C746" s="33"/>
    </row>
    <row r="747" spans="3:3" ht="22.5" customHeight="1" x14ac:dyDescent="0.15">
      <c r="C747" s="33"/>
    </row>
    <row r="748" spans="3:3" ht="22.5" customHeight="1" x14ac:dyDescent="0.15">
      <c r="C748" s="33"/>
    </row>
    <row r="749" spans="3:3" ht="22.5" customHeight="1" x14ac:dyDescent="0.15">
      <c r="C749" s="33"/>
    </row>
    <row r="750" spans="3:3" ht="22.5" customHeight="1" x14ac:dyDescent="0.15">
      <c r="C750" s="33"/>
    </row>
    <row r="751" spans="3:3" ht="22.5" customHeight="1" x14ac:dyDescent="0.15">
      <c r="C751" s="33"/>
    </row>
    <row r="752" spans="3:3" ht="22.5" customHeight="1" x14ac:dyDescent="0.15">
      <c r="C752" s="33"/>
    </row>
    <row r="753" spans="3:3" ht="22.5" customHeight="1" x14ac:dyDescent="0.15">
      <c r="C753" s="33"/>
    </row>
    <row r="754" spans="3:3" ht="22.5" customHeight="1" x14ac:dyDescent="0.15">
      <c r="C754" s="33"/>
    </row>
    <row r="755" spans="3:3" ht="22.5" customHeight="1" x14ac:dyDescent="0.15">
      <c r="C755" s="33"/>
    </row>
    <row r="756" spans="3:3" ht="22.5" customHeight="1" x14ac:dyDescent="0.15">
      <c r="C756" s="33"/>
    </row>
    <row r="757" spans="3:3" ht="22.5" customHeight="1" x14ac:dyDescent="0.15">
      <c r="C757" s="33"/>
    </row>
    <row r="758" spans="3:3" ht="22.5" customHeight="1" x14ac:dyDescent="0.15">
      <c r="C758" s="33"/>
    </row>
    <row r="759" spans="3:3" ht="22.5" customHeight="1" x14ac:dyDescent="0.15">
      <c r="C759" s="33"/>
    </row>
    <row r="760" spans="3:3" ht="22.5" customHeight="1" x14ac:dyDescent="0.15">
      <c r="C760" s="33"/>
    </row>
    <row r="761" spans="3:3" ht="22.5" customHeight="1" x14ac:dyDescent="0.15">
      <c r="C761" s="33"/>
    </row>
    <row r="762" spans="3:3" ht="22.5" customHeight="1" x14ac:dyDescent="0.15">
      <c r="C762" s="33"/>
    </row>
    <row r="763" spans="3:3" ht="22.5" customHeight="1" x14ac:dyDescent="0.15">
      <c r="C763" s="33"/>
    </row>
    <row r="764" spans="3:3" ht="22.5" customHeight="1" x14ac:dyDescent="0.15">
      <c r="C764" s="33"/>
    </row>
    <row r="765" spans="3:3" ht="22.5" customHeight="1" x14ac:dyDescent="0.15">
      <c r="C765" s="33"/>
    </row>
    <row r="766" spans="3:3" ht="22.5" customHeight="1" x14ac:dyDescent="0.15">
      <c r="C766" s="33"/>
    </row>
    <row r="767" spans="3:3" ht="22.5" customHeight="1" x14ac:dyDescent="0.15">
      <c r="C767" s="33"/>
    </row>
    <row r="768" spans="3:3" ht="22.5" customHeight="1" x14ac:dyDescent="0.15">
      <c r="C768" s="33"/>
    </row>
    <row r="769" spans="3:3" ht="22.5" customHeight="1" x14ac:dyDescent="0.15">
      <c r="C769" s="33"/>
    </row>
    <row r="770" spans="3:3" ht="22.5" customHeight="1" x14ac:dyDescent="0.15">
      <c r="C770" s="33"/>
    </row>
    <row r="771" spans="3:3" ht="22.5" customHeight="1" x14ac:dyDescent="0.15">
      <c r="C771" s="33"/>
    </row>
    <row r="772" spans="3:3" ht="22.5" customHeight="1" x14ac:dyDescent="0.15">
      <c r="C772" s="33"/>
    </row>
    <row r="773" spans="3:3" ht="22.5" customHeight="1" x14ac:dyDescent="0.15">
      <c r="C773" s="33"/>
    </row>
    <row r="774" spans="3:3" ht="22.5" customHeight="1" x14ac:dyDescent="0.15">
      <c r="C774" s="33"/>
    </row>
    <row r="775" spans="3:3" ht="22.5" customHeight="1" x14ac:dyDescent="0.15">
      <c r="C775" s="33"/>
    </row>
    <row r="776" spans="3:3" ht="22.5" customHeight="1" x14ac:dyDescent="0.15">
      <c r="C776" s="33"/>
    </row>
    <row r="777" spans="3:3" ht="22.5" customHeight="1" x14ac:dyDescent="0.15">
      <c r="C777" s="33"/>
    </row>
    <row r="778" spans="3:3" ht="22.5" customHeight="1" x14ac:dyDescent="0.15">
      <c r="C778" s="33"/>
    </row>
    <row r="779" spans="3:3" ht="22.5" customHeight="1" x14ac:dyDescent="0.15">
      <c r="C779" s="33"/>
    </row>
    <row r="780" spans="3:3" ht="22.5" customHeight="1" x14ac:dyDescent="0.15">
      <c r="C780" s="33"/>
    </row>
    <row r="781" spans="3:3" ht="22.5" customHeight="1" x14ac:dyDescent="0.15">
      <c r="C781" s="33"/>
    </row>
    <row r="782" spans="3:3" ht="22.5" customHeight="1" x14ac:dyDescent="0.15">
      <c r="C782" s="33"/>
    </row>
    <row r="783" spans="3:3" ht="22.5" customHeight="1" x14ac:dyDescent="0.15">
      <c r="C783" s="33"/>
    </row>
    <row r="784" spans="3:3" ht="22.5" customHeight="1" x14ac:dyDescent="0.15">
      <c r="C784" s="33"/>
    </row>
    <row r="785" spans="3:3" ht="22.5" customHeight="1" x14ac:dyDescent="0.15">
      <c r="C785" s="33"/>
    </row>
    <row r="786" spans="3:3" ht="22.5" customHeight="1" x14ac:dyDescent="0.15">
      <c r="C786" s="33"/>
    </row>
    <row r="787" spans="3:3" ht="22.5" customHeight="1" x14ac:dyDescent="0.15">
      <c r="C787" s="33"/>
    </row>
    <row r="788" spans="3:3" ht="22.5" customHeight="1" x14ac:dyDescent="0.15">
      <c r="C788" s="33"/>
    </row>
    <row r="789" spans="3:3" ht="22.5" customHeight="1" x14ac:dyDescent="0.15">
      <c r="C789" s="33"/>
    </row>
    <row r="790" spans="3:3" ht="22.5" customHeight="1" x14ac:dyDescent="0.15">
      <c r="C790" s="33"/>
    </row>
    <row r="791" spans="3:3" ht="22.5" customHeight="1" x14ac:dyDescent="0.15">
      <c r="C791" s="33"/>
    </row>
    <row r="792" spans="3:3" ht="22.5" customHeight="1" x14ac:dyDescent="0.15">
      <c r="C792" s="33"/>
    </row>
    <row r="793" spans="3:3" ht="22.5" customHeight="1" x14ac:dyDescent="0.15">
      <c r="C793" s="33"/>
    </row>
    <row r="794" spans="3:3" ht="22.5" customHeight="1" x14ac:dyDescent="0.15">
      <c r="C794" s="33"/>
    </row>
    <row r="795" spans="3:3" ht="22.5" customHeight="1" x14ac:dyDescent="0.15">
      <c r="C795" s="33"/>
    </row>
    <row r="796" spans="3:3" ht="22.5" customHeight="1" x14ac:dyDescent="0.15">
      <c r="C796" s="33"/>
    </row>
    <row r="797" spans="3:3" ht="22.5" customHeight="1" x14ac:dyDescent="0.15">
      <c r="C797" s="33"/>
    </row>
    <row r="798" spans="3:3" ht="22.5" customHeight="1" x14ac:dyDescent="0.15">
      <c r="C798" s="33"/>
    </row>
    <row r="799" spans="3:3" ht="22.5" customHeight="1" x14ac:dyDescent="0.15">
      <c r="C799" s="33"/>
    </row>
    <row r="800" spans="3:3" ht="22.5" customHeight="1" x14ac:dyDescent="0.15">
      <c r="C800" s="33"/>
    </row>
    <row r="801" spans="3:3" ht="22.5" customHeight="1" x14ac:dyDescent="0.15">
      <c r="C801" s="33"/>
    </row>
    <row r="802" spans="3:3" ht="22.5" customHeight="1" x14ac:dyDescent="0.15">
      <c r="C802" s="33"/>
    </row>
    <row r="803" spans="3:3" ht="22.5" customHeight="1" x14ac:dyDescent="0.15">
      <c r="C803" s="33"/>
    </row>
    <row r="804" spans="3:3" ht="22.5" customHeight="1" x14ac:dyDescent="0.15">
      <c r="C804" s="33"/>
    </row>
    <row r="805" spans="3:3" ht="22.5" customHeight="1" x14ac:dyDescent="0.15">
      <c r="C805" s="33"/>
    </row>
    <row r="806" spans="3:3" ht="22.5" customHeight="1" x14ac:dyDescent="0.15">
      <c r="C806" s="33"/>
    </row>
    <row r="807" spans="3:3" ht="22.5" customHeight="1" x14ac:dyDescent="0.15">
      <c r="C807" s="33"/>
    </row>
    <row r="808" spans="3:3" ht="22.5" customHeight="1" x14ac:dyDescent="0.15">
      <c r="C808" s="33"/>
    </row>
    <row r="809" spans="3:3" ht="22.5" customHeight="1" x14ac:dyDescent="0.15">
      <c r="C809" s="33"/>
    </row>
    <row r="810" spans="3:3" ht="22.5" customHeight="1" x14ac:dyDescent="0.15">
      <c r="C810" s="33"/>
    </row>
    <row r="811" spans="3:3" ht="22.5" customHeight="1" x14ac:dyDescent="0.15">
      <c r="C811" s="33"/>
    </row>
    <row r="812" spans="3:3" ht="22.5" customHeight="1" x14ac:dyDescent="0.15">
      <c r="C812" s="33"/>
    </row>
    <row r="813" spans="3:3" ht="22.5" customHeight="1" x14ac:dyDescent="0.15">
      <c r="C813" s="33"/>
    </row>
    <row r="814" spans="3:3" ht="22.5" customHeight="1" x14ac:dyDescent="0.15">
      <c r="C814" s="33"/>
    </row>
    <row r="815" spans="3:3" ht="22.5" customHeight="1" x14ac:dyDescent="0.15">
      <c r="C815" s="33"/>
    </row>
    <row r="816" spans="3:3" ht="22.5" customHeight="1" x14ac:dyDescent="0.15">
      <c r="C816" s="33"/>
    </row>
    <row r="817" spans="3:3" ht="22.5" customHeight="1" x14ac:dyDescent="0.15">
      <c r="C817" s="33"/>
    </row>
    <row r="818" spans="3:3" ht="22.5" customHeight="1" x14ac:dyDescent="0.15">
      <c r="C818" s="33"/>
    </row>
    <row r="819" spans="3:3" ht="22.5" customHeight="1" x14ac:dyDescent="0.15">
      <c r="C819" s="33"/>
    </row>
    <row r="820" spans="3:3" ht="22.5" customHeight="1" x14ac:dyDescent="0.15">
      <c r="C820" s="33"/>
    </row>
    <row r="821" spans="3:3" ht="22.5" customHeight="1" x14ac:dyDescent="0.15">
      <c r="C821" s="33"/>
    </row>
    <row r="822" spans="3:3" ht="22.5" customHeight="1" x14ac:dyDescent="0.15">
      <c r="C822" s="33"/>
    </row>
    <row r="823" spans="3:3" ht="22.5" customHeight="1" x14ac:dyDescent="0.15">
      <c r="C823" s="33"/>
    </row>
    <row r="824" spans="3:3" ht="22.5" customHeight="1" x14ac:dyDescent="0.15">
      <c r="C824" s="33"/>
    </row>
    <row r="825" spans="3:3" ht="22.5" customHeight="1" x14ac:dyDescent="0.15">
      <c r="C825" s="33"/>
    </row>
    <row r="826" spans="3:3" ht="22.5" customHeight="1" x14ac:dyDescent="0.15">
      <c r="C826" s="33"/>
    </row>
    <row r="827" spans="3:3" ht="22.5" customHeight="1" x14ac:dyDescent="0.15">
      <c r="C827" s="33"/>
    </row>
    <row r="828" spans="3:3" ht="22.5" customHeight="1" x14ac:dyDescent="0.15">
      <c r="C828" s="33"/>
    </row>
    <row r="829" spans="3:3" ht="22.5" customHeight="1" x14ac:dyDescent="0.15">
      <c r="C829" s="33"/>
    </row>
    <row r="830" spans="3:3" ht="22.5" customHeight="1" x14ac:dyDescent="0.15">
      <c r="C830" s="33"/>
    </row>
    <row r="831" spans="3:3" ht="22.5" customHeight="1" x14ac:dyDescent="0.15">
      <c r="C831" s="33"/>
    </row>
    <row r="832" spans="3:3" ht="22.5" customHeight="1" x14ac:dyDescent="0.15">
      <c r="C832" s="33"/>
    </row>
    <row r="833" spans="3:3" ht="22.5" customHeight="1" x14ac:dyDescent="0.15">
      <c r="C833" s="33"/>
    </row>
    <row r="834" spans="3:3" ht="22.5" customHeight="1" x14ac:dyDescent="0.15">
      <c r="C834" s="33"/>
    </row>
    <row r="835" spans="3:3" ht="22.5" customHeight="1" x14ac:dyDescent="0.15">
      <c r="C835" s="33"/>
    </row>
    <row r="836" spans="3:3" ht="22.5" customHeight="1" x14ac:dyDescent="0.15">
      <c r="C836" s="33"/>
    </row>
    <row r="837" spans="3:3" ht="22.5" customHeight="1" x14ac:dyDescent="0.15">
      <c r="C837" s="33"/>
    </row>
    <row r="838" spans="3:3" ht="22.5" customHeight="1" x14ac:dyDescent="0.15">
      <c r="C838" s="33"/>
    </row>
    <row r="839" spans="3:3" ht="22.5" customHeight="1" x14ac:dyDescent="0.15">
      <c r="C839" s="33"/>
    </row>
    <row r="840" spans="3:3" ht="22.5" customHeight="1" x14ac:dyDescent="0.15">
      <c r="C840" s="33"/>
    </row>
    <row r="841" spans="3:3" ht="22.5" customHeight="1" x14ac:dyDescent="0.15">
      <c r="C841" s="33"/>
    </row>
    <row r="842" spans="3:3" ht="22.5" customHeight="1" x14ac:dyDescent="0.15">
      <c r="C842" s="33"/>
    </row>
    <row r="843" spans="3:3" ht="22.5" customHeight="1" x14ac:dyDescent="0.15">
      <c r="C843" s="33"/>
    </row>
    <row r="844" spans="3:3" ht="22.5" customHeight="1" x14ac:dyDescent="0.15">
      <c r="C844" s="33"/>
    </row>
    <row r="845" spans="3:3" ht="22.5" customHeight="1" x14ac:dyDescent="0.15">
      <c r="C845" s="33"/>
    </row>
    <row r="846" spans="3:3" ht="22.5" customHeight="1" x14ac:dyDescent="0.15">
      <c r="C846" s="33"/>
    </row>
    <row r="847" spans="3:3" ht="22.5" customHeight="1" x14ac:dyDescent="0.15">
      <c r="C847" s="33"/>
    </row>
    <row r="848" spans="3:3" ht="22.5" customHeight="1" x14ac:dyDescent="0.15">
      <c r="C848" s="33"/>
    </row>
    <row r="849" spans="3:3" ht="22.5" customHeight="1" x14ac:dyDescent="0.15">
      <c r="C849" s="33"/>
    </row>
    <row r="850" spans="3:3" ht="22.5" customHeight="1" x14ac:dyDescent="0.15">
      <c r="C850" s="33"/>
    </row>
    <row r="851" spans="3:3" ht="22.5" customHeight="1" x14ac:dyDescent="0.15">
      <c r="C851" s="33"/>
    </row>
    <row r="852" spans="3:3" ht="22.5" customHeight="1" x14ac:dyDescent="0.15">
      <c r="C852" s="33"/>
    </row>
    <row r="853" spans="3:3" ht="22.5" customHeight="1" x14ac:dyDescent="0.15">
      <c r="C853" s="33"/>
    </row>
    <row r="854" spans="3:3" ht="22.5" customHeight="1" x14ac:dyDescent="0.15">
      <c r="C854" s="33"/>
    </row>
    <row r="855" spans="3:3" ht="22.5" customHeight="1" x14ac:dyDescent="0.15">
      <c r="C855" s="33"/>
    </row>
    <row r="856" spans="3:3" ht="22.5" customHeight="1" x14ac:dyDescent="0.15">
      <c r="C856" s="33"/>
    </row>
    <row r="857" spans="3:3" ht="22.5" customHeight="1" x14ac:dyDescent="0.15">
      <c r="C857" s="33"/>
    </row>
    <row r="858" spans="3:3" ht="22.5" customHeight="1" x14ac:dyDescent="0.15">
      <c r="C858" s="33"/>
    </row>
    <row r="859" spans="3:3" ht="22.5" customHeight="1" x14ac:dyDescent="0.15">
      <c r="C859" s="33"/>
    </row>
    <row r="860" spans="3:3" ht="22.5" customHeight="1" x14ac:dyDescent="0.15">
      <c r="C860" s="33"/>
    </row>
    <row r="861" spans="3:3" ht="22.5" customHeight="1" x14ac:dyDescent="0.15">
      <c r="C861" s="33"/>
    </row>
    <row r="862" spans="3:3" ht="22.5" customHeight="1" x14ac:dyDescent="0.15">
      <c r="C862" s="33"/>
    </row>
    <row r="863" spans="3:3" ht="22.5" customHeight="1" x14ac:dyDescent="0.15">
      <c r="C863" s="33"/>
    </row>
    <row r="864" spans="3:3" ht="22.5" customHeight="1" x14ac:dyDescent="0.15">
      <c r="C864" s="33"/>
    </row>
    <row r="865" spans="3:3" ht="22.5" customHeight="1" x14ac:dyDescent="0.15">
      <c r="C865" s="33"/>
    </row>
    <row r="866" spans="3:3" ht="22.5" customHeight="1" x14ac:dyDescent="0.15">
      <c r="C866" s="33"/>
    </row>
    <row r="867" spans="3:3" ht="22.5" customHeight="1" x14ac:dyDescent="0.15">
      <c r="C867" s="33"/>
    </row>
    <row r="868" spans="3:3" ht="22.5" customHeight="1" x14ac:dyDescent="0.15">
      <c r="C868" s="33"/>
    </row>
    <row r="869" spans="3:3" ht="22.5" customHeight="1" x14ac:dyDescent="0.15">
      <c r="C869" s="33"/>
    </row>
    <row r="870" spans="3:3" ht="22.5" customHeight="1" x14ac:dyDescent="0.15">
      <c r="C870" s="33"/>
    </row>
    <row r="871" spans="3:3" ht="22.5" customHeight="1" x14ac:dyDescent="0.15">
      <c r="C871" s="33"/>
    </row>
    <row r="872" spans="3:3" ht="22.5" customHeight="1" x14ac:dyDescent="0.15">
      <c r="C872" s="33"/>
    </row>
    <row r="873" spans="3:3" ht="22.5" customHeight="1" x14ac:dyDescent="0.15">
      <c r="C873" s="33"/>
    </row>
    <row r="874" spans="3:3" ht="22.5" customHeight="1" x14ac:dyDescent="0.15">
      <c r="C874" s="33"/>
    </row>
    <row r="875" spans="3:3" ht="22.5" customHeight="1" x14ac:dyDescent="0.15">
      <c r="C875" s="33"/>
    </row>
    <row r="876" spans="3:3" ht="22.5" customHeight="1" x14ac:dyDescent="0.15">
      <c r="C876" s="33"/>
    </row>
    <row r="877" spans="3:3" ht="22.5" customHeight="1" x14ac:dyDescent="0.15">
      <c r="C877" s="33"/>
    </row>
    <row r="878" spans="3:3" ht="22.5" customHeight="1" x14ac:dyDescent="0.15">
      <c r="C878" s="33"/>
    </row>
    <row r="879" spans="3:3" ht="22.5" customHeight="1" x14ac:dyDescent="0.15">
      <c r="C879" s="33"/>
    </row>
    <row r="880" spans="3:3" ht="22.5" customHeight="1" x14ac:dyDescent="0.15">
      <c r="C880" s="33"/>
    </row>
    <row r="881" spans="3:3" ht="22.5" customHeight="1" x14ac:dyDescent="0.15">
      <c r="C881" s="33"/>
    </row>
    <row r="882" spans="3:3" ht="22.5" customHeight="1" x14ac:dyDescent="0.15">
      <c r="C882" s="33"/>
    </row>
    <row r="883" spans="3:3" ht="22.5" customHeight="1" x14ac:dyDescent="0.15">
      <c r="C883" s="33"/>
    </row>
    <row r="884" spans="3:3" ht="22.5" customHeight="1" x14ac:dyDescent="0.15">
      <c r="C884" s="33"/>
    </row>
    <row r="885" spans="3:3" ht="22.5" customHeight="1" x14ac:dyDescent="0.15">
      <c r="C885" s="33"/>
    </row>
    <row r="886" spans="3:3" ht="22.5" customHeight="1" x14ac:dyDescent="0.15">
      <c r="C886" s="33"/>
    </row>
    <row r="887" spans="3:3" ht="22.5" customHeight="1" x14ac:dyDescent="0.15">
      <c r="C887" s="33"/>
    </row>
    <row r="888" spans="3:3" ht="22.5" customHeight="1" x14ac:dyDescent="0.15">
      <c r="C888" s="33"/>
    </row>
    <row r="889" spans="3:3" ht="22.5" customHeight="1" x14ac:dyDescent="0.15">
      <c r="C889" s="33"/>
    </row>
    <row r="890" spans="3:3" ht="22.5" customHeight="1" x14ac:dyDescent="0.15">
      <c r="C890" s="33"/>
    </row>
    <row r="891" spans="3:3" ht="22.5" customHeight="1" x14ac:dyDescent="0.15">
      <c r="C891" s="33"/>
    </row>
    <row r="892" spans="3:3" ht="22.5" customHeight="1" x14ac:dyDescent="0.15">
      <c r="C892" s="33"/>
    </row>
    <row r="893" spans="3:3" ht="22.5" customHeight="1" x14ac:dyDescent="0.15">
      <c r="C893" s="33"/>
    </row>
    <row r="894" spans="3:3" ht="22.5" customHeight="1" x14ac:dyDescent="0.15">
      <c r="C894" s="33"/>
    </row>
    <row r="895" spans="3:3" ht="22.5" customHeight="1" x14ac:dyDescent="0.15">
      <c r="C895" s="33"/>
    </row>
    <row r="896" spans="3:3" ht="22.5" customHeight="1" x14ac:dyDescent="0.15">
      <c r="C896" s="33"/>
    </row>
    <row r="897" spans="3:3" ht="22.5" customHeight="1" x14ac:dyDescent="0.15">
      <c r="C897" s="33"/>
    </row>
    <row r="898" spans="3:3" ht="22.5" customHeight="1" x14ac:dyDescent="0.15">
      <c r="C898" s="33"/>
    </row>
    <row r="899" spans="3:3" ht="22.5" customHeight="1" x14ac:dyDescent="0.15">
      <c r="C899" s="33"/>
    </row>
    <row r="900" spans="3:3" ht="22.5" customHeight="1" x14ac:dyDescent="0.15">
      <c r="C900" s="33"/>
    </row>
    <row r="901" spans="3:3" ht="22.5" customHeight="1" x14ac:dyDescent="0.15">
      <c r="C901" s="33"/>
    </row>
    <row r="902" spans="3:3" ht="22.5" customHeight="1" x14ac:dyDescent="0.15">
      <c r="C902" s="33"/>
    </row>
    <row r="903" spans="3:3" ht="22.5" customHeight="1" x14ac:dyDescent="0.15">
      <c r="C903" s="33"/>
    </row>
    <row r="904" spans="3:3" ht="22.5" customHeight="1" x14ac:dyDescent="0.15">
      <c r="C904" s="33"/>
    </row>
    <row r="905" spans="3:3" ht="22.5" customHeight="1" x14ac:dyDescent="0.15">
      <c r="C905" s="33"/>
    </row>
    <row r="906" spans="3:3" ht="22.5" customHeight="1" x14ac:dyDescent="0.15">
      <c r="C906" s="33"/>
    </row>
    <row r="907" spans="3:3" ht="22.5" customHeight="1" x14ac:dyDescent="0.15">
      <c r="C907" s="33"/>
    </row>
    <row r="908" spans="3:3" ht="22.5" customHeight="1" x14ac:dyDescent="0.15">
      <c r="C908" s="33"/>
    </row>
    <row r="909" spans="3:3" ht="22.5" customHeight="1" x14ac:dyDescent="0.15">
      <c r="C909" s="33"/>
    </row>
    <row r="910" spans="3:3" ht="22.5" customHeight="1" x14ac:dyDescent="0.15">
      <c r="C910" s="33"/>
    </row>
    <row r="911" spans="3:3" ht="22.5" customHeight="1" x14ac:dyDescent="0.15">
      <c r="C911" s="33"/>
    </row>
    <row r="912" spans="3:3" ht="22.5" customHeight="1" x14ac:dyDescent="0.15">
      <c r="C912" s="33"/>
    </row>
    <row r="913" spans="3:3" ht="22.5" customHeight="1" x14ac:dyDescent="0.15">
      <c r="C913" s="33"/>
    </row>
    <row r="914" spans="3:3" ht="22.5" customHeight="1" x14ac:dyDescent="0.15">
      <c r="C914" s="33"/>
    </row>
    <row r="915" spans="3:3" ht="22.5" customHeight="1" x14ac:dyDescent="0.15">
      <c r="C915" s="33"/>
    </row>
    <row r="916" spans="3:3" ht="22.5" customHeight="1" x14ac:dyDescent="0.15">
      <c r="C916" s="33"/>
    </row>
    <row r="917" spans="3:3" ht="22.5" customHeight="1" x14ac:dyDescent="0.15">
      <c r="C917" s="33"/>
    </row>
    <row r="918" spans="3:3" ht="22.5" customHeight="1" x14ac:dyDescent="0.15">
      <c r="C918" s="33"/>
    </row>
    <row r="919" spans="3:3" ht="22.5" customHeight="1" x14ac:dyDescent="0.15">
      <c r="C919" s="33"/>
    </row>
    <row r="920" spans="3:3" ht="22.5" customHeight="1" x14ac:dyDescent="0.15">
      <c r="C920" s="33"/>
    </row>
    <row r="921" spans="3:3" ht="22.5" customHeight="1" x14ac:dyDescent="0.15">
      <c r="C921" s="33"/>
    </row>
    <row r="922" spans="3:3" ht="22.5" customHeight="1" x14ac:dyDescent="0.15">
      <c r="C922" s="33"/>
    </row>
    <row r="923" spans="3:3" ht="22.5" customHeight="1" x14ac:dyDescent="0.15">
      <c r="C923" s="33"/>
    </row>
    <row r="924" spans="3:3" ht="22.5" customHeight="1" x14ac:dyDescent="0.15">
      <c r="C924" s="33"/>
    </row>
    <row r="925" spans="3:3" ht="22.5" customHeight="1" x14ac:dyDescent="0.15">
      <c r="C925" s="33"/>
    </row>
    <row r="926" spans="3:3" ht="22.5" customHeight="1" x14ac:dyDescent="0.15">
      <c r="C926" s="33"/>
    </row>
    <row r="927" spans="3:3" ht="22.5" customHeight="1" x14ac:dyDescent="0.15">
      <c r="C927" s="33"/>
    </row>
    <row r="928" spans="3:3" ht="22.5" customHeight="1" x14ac:dyDescent="0.15">
      <c r="C928" s="33"/>
    </row>
    <row r="929" spans="3:3" ht="22.5" customHeight="1" x14ac:dyDescent="0.15">
      <c r="C929" s="33"/>
    </row>
    <row r="930" spans="3:3" ht="22.5" customHeight="1" x14ac:dyDescent="0.15">
      <c r="C930" s="33"/>
    </row>
    <row r="931" spans="3:3" ht="22.5" customHeight="1" x14ac:dyDescent="0.15">
      <c r="C931" s="33"/>
    </row>
    <row r="932" spans="3:3" ht="22.5" customHeight="1" x14ac:dyDescent="0.15">
      <c r="C932" s="33"/>
    </row>
    <row r="933" spans="3:3" ht="22.5" customHeight="1" x14ac:dyDescent="0.15">
      <c r="C933" s="33"/>
    </row>
    <row r="934" spans="3:3" ht="22.5" customHeight="1" x14ac:dyDescent="0.15">
      <c r="C934" s="33"/>
    </row>
    <row r="935" spans="3:3" ht="22.5" customHeight="1" x14ac:dyDescent="0.15">
      <c r="C935" s="33"/>
    </row>
    <row r="936" spans="3:3" ht="22.5" customHeight="1" x14ac:dyDescent="0.15">
      <c r="C936" s="33"/>
    </row>
    <row r="937" spans="3:3" ht="22.5" customHeight="1" x14ac:dyDescent="0.15">
      <c r="C937" s="33"/>
    </row>
    <row r="938" spans="3:3" ht="22.5" customHeight="1" x14ac:dyDescent="0.15">
      <c r="C938" s="33"/>
    </row>
    <row r="939" spans="3:3" ht="22.5" customHeight="1" x14ac:dyDescent="0.15">
      <c r="C939" s="33"/>
    </row>
    <row r="940" spans="3:3" ht="22.5" customHeight="1" x14ac:dyDescent="0.15">
      <c r="C940" s="33"/>
    </row>
    <row r="941" spans="3:3" ht="22.5" customHeight="1" x14ac:dyDescent="0.15">
      <c r="C941" s="33"/>
    </row>
    <row r="942" spans="3:3" ht="22.5" customHeight="1" x14ac:dyDescent="0.15">
      <c r="C942" s="33"/>
    </row>
    <row r="943" spans="3:3" ht="22.5" customHeight="1" x14ac:dyDescent="0.15">
      <c r="C943" s="33"/>
    </row>
    <row r="944" spans="3:3" ht="22.5" customHeight="1" x14ac:dyDescent="0.15">
      <c r="C944" s="33"/>
    </row>
    <row r="945" spans="3:3" ht="22.5" customHeight="1" x14ac:dyDescent="0.15">
      <c r="C945" s="33"/>
    </row>
    <row r="946" spans="3:3" ht="22.5" customHeight="1" x14ac:dyDescent="0.15">
      <c r="C946" s="33"/>
    </row>
    <row r="947" spans="3:3" ht="22.5" customHeight="1" x14ac:dyDescent="0.15">
      <c r="C947" s="33"/>
    </row>
    <row r="948" spans="3:3" ht="22.5" customHeight="1" x14ac:dyDescent="0.15">
      <c r="C948" s="33"/>
    </row>
    <row r="949" spans="3:3" ht="22.5" customHeight="1" x14ac:dyDescent="0.15">
      <c r="C949" s="33"/>
    </row>
    <row r="950" spans="3:3" ht="22.5" customHeight="1" x14ac:dyDescent="0.15">
      <c r="C950" s="33"/>
    </row>
    <row r="951" spans="3:3" ht="22.5" customHeight="1" x14ac:dyDescent="0.15">
      <c r="C951" s="33"/>
    </row>
    <row r="952" spans="3:3" ht="22.5" customHeight="1" x14ac:dyDescent="0.15">
      <c r="C952" s="33"/>
    </row>
    <row r="953" spans="3:3" ht="22.5" customHeight="1" x14ac:dyDescent="0.15">
      <c r="C953" s="33"/>
    </row>
    <row r="954" spans="3:3" ht="22.5" customHeight="1" x14ac:dyDescent="0.15">
      <c r="C954" s="33"/>
    </row>
    <row r="955" spans="3:3" ht="22.5" customHeight="1" x14ac:dyDescent="0.15">
      <c r="C955" s="33"/>
    </row>
    <row r="956" spans="3:3" ht="22.5" customHeight="1" x14ac:dyDescent="0.15">
      <c r="C956" s="33"/>
    </row>
    <row r="957" spans="3:3" ht="22.5" customHeight="1" x14ac:dyDescent="0.15">
      <c r="C957" s="33"/>
    </row>
    <row r="958" spans="3:3" ht="22.5" customHeight="1" x14ac:dyDescent="0.15">
      <c r="C958" s="33"/>
    </row>
    <row r="959" spans="3:3" ht="22.5" customHeight="1" x14ac:dyDescent="0.15">
      <c r="C959" s="33"/>
    </row>
    <row r="960" spans="3:3" ht="22.5" customHeight="1" x14ac:dyDescent="0.15">
      <c r="C960" s="33"/>
    </row>
    <row r="961" spans="3:3" ht="22.5" customHeight="1" x14ac:dyDescent="0.15">
      <c r="C961" s="33"/>
    </row>
    <row r="962" spans="3:3" ht="22.5" customHeight="1" x14ac:dyDescent="0.15">
      <c r="C962" s="33"/>
    </row>
    <row r="963" spans="3:3" ht="22.5" customHeight="1" x14ac:dyDescent="0.15">
      <c r="C963" s="33"/>
    </row>
    <row r="964" spans="3:3" ht="22.5" customHeight="1" x14ac:dyDescent="0.15">
      <c r="C964" s="33"/>
    </row>
    <row r="965" spans="3:3" ht="22.5" customHeight="1" x14ac:dyDescent="0.15">
      <c r="C965" s="33"/>
    </row>
    <row r="966" spans="3:3" ht="22.5" customHeight="1" x14ac:dyDescent="0.15">
      <c r="C966" s="33"/>
    </row>
    <row r="967" spans="3:3" ht="22.5" customHeight="1" x14ac:dyDescent="0.15">
      <c r="C967" s="33"/>
    </row>
    <row r="968" spans="3:3" ht="22.5" customHeight="1" x14ac:dyDescent="0.15">
      <c r="C968" s="33"/>
    </row>
    <row r="969" spans="3:3" ht="22.5" customHeight="1" x14ac:dyDescent="0.15">
      <c r="C969" s="33"/>
    </row>
    <row r="970" spans="3:3" ht="22.5" customHeight="1" x14ac:dyDescent="0.15">
      <c r="C970" s="33"/>
    </row>
    <row r="971" spans="3:3" ht="22.5" customHeight="1" x14ac:dyDescent="0.15">
      <c r="C971" s="33"/>
    </row>
    <row r="972" spans="3:3" ht="22.5" customHeight="1" x14ac:dyDescent="0.15">
      <c r="C972" s="33"/>
    </row>
    <row r="973" spans="3:3" ht="22.5" customHeight="1" x14ac:dyDescent="0.15">
      <c r="C973" s="33"/>
    </row>
    <row r="974" spans="3:3" ht="22.5" customHeight="1" x14ac:dyDescent="0.15">
      <c r="C974" s="33"/>
    </row>
    <row r="975" spans="3:3" ht="22.5" customHeight="1" x14ac:dyDescent="0.15">
      <c r="C975" s="33"/>
    </row>
    <row r="976" spans="3:3" ht="22.5" customHeight="1" x14ac:dyDescent="0.15">
      <c r="C976" s="33"/>
    </row>
    <row r="977" spans="3:3" ht="22.5" customHeight="1" x14ac:dyDescent="0.15">
      <c r="C977" s="33"/>
    </row>
    <row r="978" spans="3:3" ht="22.5" customHeight="1" x14ac:dyDescent="0.15">
      <c r="C978" s="33"/>
    </row>
    <row r="979" spans="3:3" ht="22.5" customHeight="1" x14ac:dyDescent="0.15">
      <c r="C979" s="33"/>
    </row>
    <row r="980" spans="3:3" ht="22.5" customHeight="1" x14ac:dyDescent="0.15">
      <c r="C980" s="33"/>
    </row>
    <row r="981" spans="3:3" ht="22.5" customHeight="1" x14ac:dyDescent="0.15">
      <c r="C981" s="33"/>
    </row>
    <row r="982" spans="3:3" ht="22.5" customHeight="1" x14ac:dyDescent="0.15">
      <c r="C982" s="33"/>
    </row>
    <row r="983" spans="3:3" ht="22.5" customHeight="1" x14ac:dyDescent="0.15">
      <c r="C983" s="33"/>
    </row>
    <row r="984" spans="3:3" ht="22.5" customHeight="1" x14ac:dyDescent="0.15">
      <c r="C984" s="33"/>
    </row>
    <row r="985" spans="3:3" ht="22.5" customHeight="1" x14ac:dyDescent="0.15">
      <c r="C985" s="33"/>
    </row>
    <row r="986" spans="3:3" ht="22.5" customHeight="1" x14ac:dyDescent="0.15">
      <c r="C986" s="33"/>
    </row>
    <row r="987" spans="3:3" ht="22.5" customHeight="1" x14ac:dyDescent="0.15">
      <c r="C987" s="33"/>
    </row>
    <row r="988" spans="3:3" ht="22.5" customHeight="1" x14ac:dyDescent="0.15">
      <c r="C988" s="33"/>
    </row>
    <row r="989" spans="3:3" ht="22.5" customHeight="1" x14ac:dyDescent="0.15">
      <c r="C989" s="33"/>
    </row>
    <row r="990" spans="3:3" ht="22.5" customHeight="1" x14ac:dyDescent="0.15">
      <c r="C990" s="33"/>
    </row>
    <row r="991" spans="3:3" ht="22.5" customHeight="1" x14ac:dyDescent="0.15">
      <c r="C991" s="33"/>
    </row>
    <row r="992" spans="3:3" ht="22.5" customHeight="1" x14ac:dyDescent="0.15">
      <c r="C992" s="33"/>
    </row>
    <row r="993" spans="3:3" ht="22.5" customHeight="1" x14ac:dyDescent="0.15">
      <c r="C993" s="33"/>
    </row>
    <row r="994" spans="3:3" ht="22.5" customHeight="1" x14ac:dyDescent="0.15">
      <c r="C994" s="33"/>
    </row>
    <row r="995" spans="3:3" ht="22.5" customHeight="1" x14ac:dyDescent="0.15">
      <c r="C995" s="33"/>
    </row>
    <row r="996" spans="3:3" ht="22.5" customHeight="1" x14ac:dyDescent="0.15">
      <c r="C996" s="33"/>
    </row>
    <row r="997" spans="3:3" ht="22.5" customHeight="1" x14ac:dyDescent="0.15">
      <c r="C997" s="33"/>
    </row>
    <row r="998" spans="3:3" ht="22.5" customHeight="1" x14ac:dyDescent="0.15">
      <c r="C998" s="33"/>
    </row>
    <row r="999" spans="3:3" ht="22.5" customHeight="1" x14ac:dyDescent="0.15">
      <c r="C999" s="33"/>
    </row>
    <row r="1000" spans="3:3" ht="22.5" customHeight="1" x14ac:dyDescent="0.15">
      <c r="C1000" s="33"/>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D12" r:id="rId12" xr:uid="{00000000-0004-0000-0200-00000B000000}"/>
    <hyperlink ref="A13" r:id="rId13" xr:uid="{00000000-0004-0000-0200-00000C000000}"/>
    <hyperlink ref="A14" r:id="rId14" xr:uid="{00000000-0004-0000-0200-00000D000000}"/>
    <hyperlink ref="A15" r:id="rId15" xr:uid="{00000000-0004-0000-0200-00000E000000}"/>
    <hyperlink ref="A16" r:id="rId16" xr:uid="{00000000-0004-0000-0200-00000F000000}"/>
    <hyperlink ref="A17" r:id="rId17" xr:uid="{00000000-0004-0000-0200-000010000000}"/>
    <hyperlink ref="A18" r:id="rId18" xr:uid="{00000000-0004-0000-0200-000011000000}"/>
    <hyperlink ref="A19" r:id="rId19" xr:uid="{00000000-0004-0000-0200-000012000000}"/>
    <hyperlink ref="A20" r:id="rId20" xr:uid="{00000000-0004-0000-0200-000013000000}"/>
    <hyperlink ref="A21" r:id="rId21" xr:uid="{00000000-0004-0000-0200-000014000000}"/>
    <hyperlink ref="A22" r:id="rId22" xr:uid="{00000000-0004-0000-0200-000015000000}"/>
    <hyperlink ref="A23" r:id="rId23" xr:uid="{00000000-0004-0000-0200-000016000000}"/>
    <hyperlink ref="A24" r:id="rId24" xr:uid="{00000000-0004-0000-0200-000017000000}"/>
    <hyperlink ref="A25" r:id="rId25" xr:uid="{00000000-0004-0000-0200-000018000000}"/>
    <hyperlink ref="A26" r:id="rId26" xr:uid="{00000000-0004-0000-0200-000019000000}"/>
    <hyperlink ref="A27" r:id="rId27" xr:uid="{00000000-0004-0000-0200-00001A000000}"/>
    <hyperlink ref="A28" r:id="rId28" xr:uid="{00000000-0004-0000-0200-00001B000000}"/>
    <hyperlink ref="A29" r:id="rId29" xr:uid="{00000000-0004-0000-0200-00001C000000}"/>
    <hyperlink ref="A30" r:id="rId30" xr:uid="{00000000-0004-0000-0200-00001D000000}"/>
    <hyperlink ref="A31" r:id="rId31" xr:uid="{00000000-0004-0000-0200-00001E000000}"/>
    <hyperlink ref="A32" r:id="rId32" xr:uid="{00000000-0004-0000-0200-00001F000000}"/>
    <hyperlink ref="A33" r:id="rId33" xr:uid="{00000000-0004-0000-0200-000020000000}"/>
    <hyperlink ref="A34" r:id="rId34" xr:uid="{00000000-0004-0000-0200-000021000000}"/>
    <hyperlink ref="A35" r:id="rId35" xr:uid="{00000000-0004-0000-0200-000022000000}"/>
    <hyperlink ref="A36" r:id="rId36" xr:uid="{00000000-0004-0000-0200-000023000000}"/>
    <hyperlink ref="A37" r:id="rId37" xr:uid="{00000000-0004-0000-0200-000024000000}"/>
    <hyperlink ref="A38" r:id="rId38" xr:uid="{00000000-0004-0000-0200-000025000000}"/>
    <hyperlink ref="A39" r:id="rId39" xr:uid="{00000000-0004-0000-0200-000026000000}"/>
    <hyperlink ref="A40" r:id="rId40" xr:uid="{00000000-0004-0000-0200-000027000000}"/>
    <hyperlink ref="A41" r:id="rId41" xr:uid="{00000000-0004-0000-0200-000028000000}"/>
    <hyperlink ref="A42" r:id="rId42" xr:uid="{00000000-0004-0000-0200-000029000000}"/>
    <hyperlink ref="A43" r:id="rId43" xr:uid="{00000000-0004-0000-0200-00002A000000}"/>
    <hyperlink ref="A44" r:id="rId44" xr:uid="{00000000-0004-0000-0200-00002B000000}"/>
    <hyperlink ref="A45" r:id="rId45" xr:uid="{00000000-0004-0000-0200-00002C000000}"/>
    <hyperlink ref="A46" r:id="rId46" xr:uid="{00000000-0004-0000-0200-00002D000000}"/>
    <hyperlink ref="A47" r:id="rId47" xr:uid="{00000000-0004-0000-0200-00002E000000}"/>
    <hyperlink ref="A48" r:id="rId48" xr:uid="{00000000-0004-0000-0200-00002F000000}"/>
    <hyperlink ref="A49" r:id="rId49" xr:uid="{00000000-0004-0000-0200-000030000000}"/>
    <hyperlink ref="A50" r:id="rId50" xr:uid="{00000000-0004-0000-0200-000031000000}"/>
    <hyperlink ref="A51" r:id="rId51" xr:uid="{00000000-0004-0000-0200-000032000000}"/>
    <hyperlink ref="A52" r:id="rId52" xr:uid="{00000000-0004-0000-0200-000033000000}"/>
    <hyperlink ref="A53" r:id="rId53" xr:uid="{00000000-0004-0000-0200-000034000000}"/>
    <hyperlink ref="A54" r:id="rId54" xr:uid="{00000000-0004-0000-0200-000035000000}"/>
    <hyperlink ref="A55" r:id="rId55" xr:uid="{00000000-0004-0000-0200-000036000000}"/>
    <hyperlink ref="A56" r:id="rId56" xr:uid="{00000000-0004-0000-0200-000037000000}"/>
    <hyperlink ref="A57" r:id="rId57" xr:uid="{00000000-0004-0000-0200-000038000000}"/>
    <hyperlink ref="A58" r:id="rId58" xr:uid="{00000000-0004-0000-0200-000039000000}"/>
    <hyperlink ref="A59" r:id="rId59" xr:uid="{00000000-0004-0000-0200-00003A000000}"/>
    <hyperlink ref="A60" r:id="rId60" xr:uid="{00000000-0004-0000-0200-00003B000000}"/>
    <hyperlink ref="A61" r:id="rId61" xr:uid="{00000000-0004-0000-0200-00003C000000}"/>
    <hyperlink ref="A62" r:id="rId62" xr:uid="{00000000-0004-0000-0200-00003D000000}"/>
    <hyperlink ref="A63" r:id="rId63" xr:uid="{00000000-0004-0000-0200-00003E000000}"/>
    <hyperlink ref="A64" r:id="rId64" xr:uid="{00000000-0004-0000-0200-00003F000000}"/>
    <hyperlink ref="A65" r:id="rId65" xr:uid="{00000000-0004-0000-0200-000040000000}"/>
    <hyperlink ref="A66" r:id="rId66" xr:uid="{00000000-0004-0000-0200-000041000000}"/>
    <hyperlink ref="A67" r:id="rId67" xr:uid="{00000000-0004-0000-0200-000042000000}"/>
    <hyperlink ref="A68" r:id="rId68" xr:uid="{00000000-0004-0000-0200-000043000000}"/>
    <hyperlink ref="A69" r:id="rId69" xr:uid="{00000000-0004-0000-0200-000044000000}"/>
    <hyperlink ref="A70" r:id="rId70" xr:uid="{00000000-0004-0000-0200-000045000000}"/>
    <hyperlink ref="A71" r:id="rId71" xr:uid="{00000000-0004-0000-0200-000046000000}"/>
    <hyperlink ref="A72" r:id="rId72" xr:uid="{00000000-0004-0000-0200-000047000000}"/>
    <hyperlink ref="A73" r:id="rId73" xr:uid="{00000000-0004-0000-0200-000048000000}"/>
    <hyperlink ref="A74" r:id="rId74" xr:uid="{00000000-0004-0000-0200-000049000000}"/>
    <hyperlink ref="A75" r:id="rId75" xr:uid="{00000000-0004-0000-0200-00004A000000}"/>
    <hyperlink ref="A76" r:id="rId76" xr:uid="{00000000-0004-0000-0200-00004B000000}"/>
    <hyperlink ref="A77" r:id="rId77" xr:uid="{00000000-0004-0000-0200-00004C000000}"/>
    <hyperlink ref="A78" r:id="rId78" xr:uid="{00000000-0004-0000-0200-00004D000000}"/>
    <hyperlink ref="A79" r:id="rId79" xr:uid="{00000000-0004-0000-0200-00004E000000}"/>
    <hyperlink ref="A80" r:id="rId80" xr:uid="{00000000-0004-0000-0200-00004F000000}"/>
    <hyperlink ref="A81" r:id="rId81" xr:uid="{00000000-0004-0000-0200-000050000000}"/>
    <hyperlink ref="A82" r:id="rId82" xr:uid="{00000000-0004-0000-0200-000051000000}"/>
    <hyperlink ref="A83" r:id="rId83" xr:uid="{00000000-0004-0000-0200-000052000000}"/>
    <hyperlink ref="A84" r:id="rId84" xr:uid="{00000000-0004-0000-0200-000053000000}"/>
    <hyperlink ref="A85" r:id="rId85" xr:uid="{00000000-0004-0000-0200-000054000000}"/>
    <hyperlink ref="A86" r:id="rId86" xr:uid="{00000000-0004-0000-0200-000055000000}"/>
    <hyperlink ref="A87" r:id="rId87" xr:uid="{00000000-0004-0000-0200-000056000000}"/>
    <hyperlink ref="A88" r:id="rId88" xr:uid="{00000000-0004-0000-0200-000057000000}"/>
    <hyperlink ref="A89" r:id="rId89" xr:uid="{00000000-0004-0000-0200-000058000000}"/>
    <hyperlink ref="A90" r:id="rId90" xr:uid="{00000000-0004-0000-0200-000059000000}"/>
    <hyperlink ref="A91" r:id="rId91" xr:uid="{00000000-0004-0000-0200-00005A000000}"/>
    <hyperlink ref="A92" r:id="rId92" xr:uid="{00000000-0004-0000-0200-00005B000000}"/>
    <hyperlink ref="A93" r:id="rId93" xr:uid="{00000000-0004-0000-0200-00005C000000}"/>
    <hyperlink ref="A94" r:id="rId94" xr:uid="{00000000-0004-0000-0200-00005D000000}"/>
    <hyperlink ref="A95" r:id="rId95" xr:uid="{00000000-0004-0000-0200-00005E000000}"/>
    <hyperlink ref="A96" r:id="rId96" xr:uid="{00000000-0004-0000-0200-00005F000000}"/>
    <hyperlink ref="A97" r:id="rId97" xr:uid="{00000000-0004-0000-0200-000060000000}"/>
    <hyperlink ref="A98" r:id="rId98" xr:uid="{00000000-0004-0000-0200-000061000000}"/>
    <hyperlink ref="A99" r:id="rId99" xr:uid="{00000000-0004-0000-0200-000062000000}"/>
    <hyperlink ref="A100" r:id="rId100" xr:uid="{00000000-0004-0000-0200-000063000000}"/>
    <hyperlink ref="A101" r:id="rId101" xr:uid="{00000000-0004-0000-0200-000064000000}"/>
  </hyperlinks>
  <pageMargins left="0.7" right="0.7" top="0.75" bottom="0.75" header="0.3" footer="0.3"/>
  <tableParts count="1">
    <tablePart r:id="rId10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97"/>
  <sheetViews>
    <sheetView workbookViewId="0">
      <pane ySplit="1" topLeftCell="A2" activePane="bottomLeft" state="frozen"/>
      <selection pane="bottomLeft" activeCell="C1" sqref="C1:C997"/>
    </sheetView>
  </sheetViews>
  <sheetFormatPr baseColWidth="10" defaultColWidth="12.6640625" defaultRowHeight="15.75" customHeight="1" x14ac:dyDescent="0.15"/>
  <cols>
    <col min="1" max="1" width="60.1640625" customWidth="1"/>
    <col min="2" max="2" width="62.1640625" customWidth="1"/>
    <col min="3" max="3" width="37" customWidth="1"/>
  </cols>
  <sheetData>
    <row r="1" spans="1:7" ht="22.5" customHeight="1" x14ac:dyDescent="0.15">
      <c r="A1" s="11" t="s">
        <v>3289</v>
      </c>
      <c r="B1" s="11" t="s">
        <v>3243</v>
      </c>
      <c r="C1" s="38" t="s">
        <v>3244</v>
      </c>
    </row>
    <row r="2" spans="1:7" ht="22.5" customHeight="1" x14ac:dyDescent="0.15">
      <c r="A2" s="16" t="s">
        <v>32</v>
      </c>
      <c r="B2" s="12" t="s">
        <v>263</v>
      </c>
      <c r="C2" s="40" t="s">
        <v>88</v>
      </c>
      <c r="F2" s="6" t="s">
        <v>88</v>
      </c>
      <c r="G2" s="6"/>
    </row>
    <row r="3" spans="1:7" ht="22.5" customHeight="1" x14ac:dyDescent="0.15">
      <c r="A3" s="16" t="s">
        <v>32</v>
      </c>
      <c r="B3" s="12" t="s">
        <v>264</v>
      </c>
      <c r="C3" s="40" t="s">
        <v>18</v>
      </c>
      <c r="F3" s="6" t="s">
        <v>18</v>
      </c>
    </row>
    <row r="4" spans="1:7" ht="22.5" customHeight="1" x14ac:dyDescent="0.15">
      <c r="A4" s="16" t="s">
        <v>267</v>
      </c>
      <c r="B4" s="12" t="s">
        <v>268</v>
      </c>
      <c r="C4" s="40" t="s">
        <v>23</v>
      </c>
      <c r="F4" s="6" t="s">
        <v>23</v>
      </c>
    </row>
    <row r="5" spans="1:7" ht="22.5" customHeight="1" x14ac:dyDescent="0.15">
      <c r="A5" s="16" t="s">
        <v>271</v>
      </c>
      <c r="B5" s="12" t="s">
        <v>272</v>
      </c>
      <c r="C5" s="40" t="s">
        <v>83</v>
      </c>
      <c r="F5" s="6" t="s">
        <v>83</v>
      </c>
    </row>
    <row r="6" spans="1:7" ht="22.5" customHeight="1" x14ac:dyDescent="0.15">
      <c r="A6" s="16" t="s">
        <v>271</v>
      </c>
      <c r="B6" s="12" t="s">
        <v>273</v>
      </c>
      <c r="C6" s="40" t="s">
        <v>12</v>
      </c>
      <c r="F6" s="6" t="s">
        <v>12</v>
      </c>
    </row>
    <row r="7" spans="1:7" ht="22.5" customHeight="1" x14ac:dyDescent="0.15">
      <c r="A7" s="16" t="s">
        <v>271</v>
      </c>
      <c r="B7" s="12" t="s">
        <v>274</v>
      </c>
      <c r="C7" s="40" t="s">
        <v>136</v>
      </c>
      <c r="F7" s="6" t="s">
        <v>136</v>
      </c>
    </row>
    <row r="8" spans="1:7" ht="22.5" customHeight="1" x14ac:dyDescent="0.15">
      <c r="A8" s="16" t="s">
        <v>277</v>
      </c>
      <c r="B8" s="12" t="s">
        <v>278</v>
      </c>
      <c r="C8" s="40" t="s">
        <v>83</v>
      </c>
      <c r="F8" s="6" t="s">
        <v>115</v>
      </c>
    </row>
    <row r="9" spans="1:7" ht="22.5" customHeight="1" x14ac:dyDescent="0.15">
      <c r="A9" s="16" t="s">
        <v>281</v>
      </c>
      <c r="B9" s="12" t="s">
        <v>282</v>
      </c>
      <c r="C9" s="40" t="s">
        <v>12</v>
      </c>
      <c r="F9" s="6" t="s">
        <v>30</v>
      </c>
    </row>
    <row r="10" spans="1:7" ht="22.5" customHeight="1" x14ac:dyDescent="0.15">
      <c r="A10" s="15" t="s">
        <v>281</v>
      </c>
      <c r="B10" s="12" t="s">
        <v>283</v>
      </c>
      <c r="C10" s="40" t="s">
        <v>83</v>
      </c>
      <c r="F10" s="6" t="s">
        <v>77</v>
      </c>
    </row>
    <row r="11" spans="1:7" ht="22.5" customHeight="1" x14ac:dyDescent="0.15">
      <c r="A11" s="16" t="s">
        <v>281</v>
      </c>
      <c r="B11" s="12" t="s">
        <v>284</v>
      </c>
      <c r="C11" s="40" t="s">
        <v>83</v>
      </c>
      <c r="F11" s="6" t="s">
        <v>342</v>
      </c>
    </row>
    <row r="12" spans="1:7" ht="22.5" customHeight="1" x14ac:dyDescent="0.15">
      <c r="A12" s="16" t="s">
        <v>281</v>
      </c>
      <c r="B12" s="12" t="s">
        <v>285</v>
      </c>
      <c r="C12" s="40" t="s">
        <v>88</v>
      </c>
      <c r="F12" s="6" t="s">
        <v>219</v>
      </c>
    </row>
    <row r="13" spans="1:7" ht="22.5" customHeight="1" x14ac:dyDescent="0.15">
      <c r="A13" s="16" t="s">
        <v>281</v>
      </c>
      <c r="B13" s="12" t="s">
        <v>286</v>
      </c>
      <c r="C13" s="40" t="s">
        <v>83</v>
      </c>
      <c r="F13" s="6" t="s">
        <v>67</v>
      </c>
    </row>
    <row r="14" spans="1:7" ht="22.5" customHeight="1" x14ac:dyDescent="0.15">
      <c r="A14" s="16" t="s">
        <v>289</v>
      </c>
      <c r="B14" s="12" t="s">
        <v>290</v>
      </c>
      <c r="C14" s="40" t="s">
        <v>12</v>
      </c>
      <c r="F14" s="6"/>
    </row>
    <row r="15" spans="1:7" ht="22.5" customHeight="1" x14ac:dyDescent="0.15">
      <c r="A15" s="16" t="s">
        <v>293</v>
      </c>
      <c r="B15" s="12" t="s">
        <v>294</v>
      </c>
      <c r="C15" s="40" t="s">
        <v>83</v>
      </c>
    </row>
    <row r="16" spans="1:7" ht="22.5" customHeight="1" x14ac:dyDescent="0.15">
      <c r="A16" s="16" t="s">
        <v>293</v>
      </c>
      <c r="B16" s="12" t="s">
        <v>295</v>
      </c>
      <c r="C16" s="40" t="s">
        <v>83</v>
      </c>
    </row>
    <row r="17" spans="1:3" ht="22.5" customHeight="1" x14ac:dyDescent="0.15">
      <c r="A17" s="16" t="s">
        <v>298</v>
      </c>
      <c r="B17" s="12" t="s">
        <v>299</v>
      </c>
      <c r="C17" s="40" t="s">
        <v>115</v>
      </c>
    </row>
    <row r="18" spans="1:3" ht="22.5" customHeight="1" x14ac:dyDescent="0.15">
      <c r="A18" s="16" t="s">
        <v>298</v>
      </c>
      <c r="B18" s="12" t="s">
        <v>300</v>
      </c>
      <c r="C18" s="40" t="s">
        <v>88</v>
      </c>
    </row>
    <row r="19" spans="1:3" ht="22.5" customHeight="1" x14ac:dyDescent="0.15">
      <c r="A19" s="16" t="s">
        <v>303</v>
      </c>
      <c r="B19" s="12" t="s">
        <v>304</v>
      </c>
      <c r="C19" s="40" t="s">
        <v>83</v>
      </c>
    </row>
    <row r="20" spans="1:3" ht="22.5" customHeight="1" x14ac:dyDescent="0.15">
      <c r="A20" s="16" t="s">
        <v>303</v>
      </c>
      <c r="B20" s="12" t="s">
        <v>305</v>
      </c>
      <c r="C20" s="40" t="s">
        <v>115</v>
      </c>
    </row>
    <row r="21" spans="1:3" ht="22.5" customHeight="1" x14ac:dyDescent="0.15">
      <c r="A21" s="16" t="s">
        <v>306</v>
      </c>
      <c r="B21" s="12" t="s">
        <v>307</v>
      </c>
      <c r="C21" s="40" t="s">
        <v>115</v>
      </c>
    </row>
    <row r="22" spans="1:3" ht="22.5" customHeight="1" x14ac:dyDescent="0.15">
      <c r="A22" s="16" t="s">
        <v>306</v>
      </c>
      <c r="B22" s="12" t="s">
        <v>308</v>
      </c>
      <c r="C22" s="40" t="s">
        <v>88</v>
      </c>
    </row>
    <row r="23" spans="1:3" ht="22.5" customHeight="1" x14ac:dyDescent="0.15">
      <c r="A23" s="16" t="s">
        <v>306</v>
      </c>
      <c r="B23" s="12" t="s">
        <v>309</v>
      </c>
      <c r="C23" s="40" t="s">
        <v>83</v>
      </c>
    </row>
    <row r="24" spans="1:3" ht="22.5" customHeight="1" x14ac:dyDescent="0.15">
      <c r="A24" s="16" t="s">
        <v>306</v>
      </c>
      <c r="B24" s="12" t="s">
        <v>310</v>
      </c>
      <c r="C24" s="40" t="s">
        <v>30</v>
      </c>
    </row>
    <row r="25" spans="1:3" ht="22.5" customHeight="1" x14ac:dyDescent="0.15">
      <c r="A25" s="16" t="s">
        <v>306</v>
      </c>
      <c r="B25" s="12" t="s">
        <v>311</v>
      </c>
      <c r="C25" s="40" t="s">
        <v>30</v>
      </c>
    </row>
    <row r="26" spans="1:3" ht="22.5" customHeight="1" x14ac:dyDescent="0.15">
      <c r="A26" s="16" t="s">
        <v>314</v>
      </c>
      <c r="B26" s="12" t="s">
        <v>315</v>
      </c>
      <c r="C26" s="40" t="s">
        <v>30</v>
      </c>
    </row>
    <row r="27" spans="1:3" ht="22.5" customHeight="1" x14ac:dyDescent="0.15">
      <c r="A27" s="15" t="s">
        <v>37</v>
      </c>
      <c r="B27" s="12" t="s">
        <v>316</v>
      </c>
      <c r="C27" s="40" t="s">
        <v>30</v>
      </c>
    </row>
    <row r="28" spans="1:3" ht="22.5" customHeight="1" x14ac:dyDescent="0.15">
      <c r="A28" s="15" t="s">
        <v>37</v>
      </c>
      <c r="B28" s="12" t="s">
        <v>317</v>
      </c>
      <c r="C28" s="40" t="s">
        <v>30</v>
      </c>
    </row>
    <row r="29" spans="1:3" ht="22.5" customHeight="1" x14ac:dyDescent="0.15">
      <c r="A29" s="16" t="s">
        <v>37</v>
      </c>
      <c r="B29" s="12" t="s">
        <v>318</v>
      </c>
      <c r="C29" s="40" t="s">
        <v>30</v>
      </c>
    </row>
    <row r="30" spans="1:3" ht="22.5" customHeight="1" x14ac:dyDescent="0.15">
      <c r="A30" s="16" t="s">
        <v>37</v>
      </c>
      <c r="B30" s="12" t="s">
        <v>319</v>
      </c>
      <c r="C30" s="40" t="s">
        <v>30</v>
      </c>
    </row>
    <row r="31" spans="1:3" ht="22.5" customHeight="1" x14ac:dyDescent="0.15">
      <c r="A31" s="16" t="s">
        <v>37</v>
      </c>
      <c r="B31" s="12" t="s">
        <v>320</v>
      </c>
      <c r="C31" s="40" t="s">
        <v>136</v>
      </c>
    </row>
    <row r="32" spans="1:3" ht="22.5" customHeight="1" x14ac:dyDescent="0.15">
      <c r="A32" s="16" t="s">
        <v>37</v>
      </c>
      <c r="B32" s="12" t="s">
        <v>321</v>
      </c>
      <c r="C32" s="40" t="s">
        <v>136</v>
      </c>
    </row>
    <row r="33" spans="1:3" ht="22.5" customHeight="1" x14ac:dyDescent="0.15">
      <c r="A33" s="16" t="s">
        <v>37</v>
      </c>
      <c r="B33" s="12" t="s">
        <v>322</v>
      </c>
      <c r="C33" s="40" t="s">
        <v>12</v>
      </c>
    </row>
    <row r="34" spans="1:3" ht="22.5" customHeight="1" x14ac:dyDescent="0.15">
      <c r="A34" s="16" t="s">
        <v>37</v>
      </c>
      <c r="B34" s="12" t="s">
        <v>323</v>
      </c>
      <c r="C34" s="40" t="s">
        <v>12</v>
      </c>
    </row>
    <row r="35" spans="1:3" ht="22.5" customHeight="1" x14ac:dyDescent="0.15">
      <c r="A35" s="16" t="s">
        <v>37</v>
      </c>
      <c r="B35" s="12" t="s">
        <v>324</v>
      </c>
      <c r="C35" s="40" t="s">
        <v>23</v>
      </c>
    </row>
    <row r="36" spans="1:3" ht="22.5" customHeight="1" x14ac:dyDescent="0.15">
      <c r="A36" s="16" t="s">
        <v>327</v>
      </c>
      <c r="B36" s="12" t="s">
        <v>328</v>
      </c>
      <c r="C36" s="40" t="s">
        <v>23</v>
      </c>
    </row>
    <row r="37" spans="1:3" ht="22.5" customHeight="1" x14ac:dyDescent="0.15">
      <c r="A37" s="16" t="s">
        <v>327</v>
      </c>
      <c r="B37" s="12" t="s">
        <v>329</v>
      </c>
      <c r="C37" s="40" t="s">
        <v>23</v>
      </c>
    </row>
    <row r="38" spans="1:3" ht="22.5" customHeight="1" x14ac:dyDescent="0.15">
      <c r="A38" s="16" t="s">
        <v>327</v>
      </c>
      <c r="B38" s="12" t="s">
        <v>330</v>
      </c>
      <c r="C38" s="40" t="s">
        <v>136</v>
      </c>
    </row>
    <row r="39" spans="1:3" ht="22.5" customHeight="1" x14ac:dyDescent="0.15">
      <c r="A39" s="16" t="s">
        <v>327</v>
      </c>
      <c r="B39" s="12" t="s">
        <v>331</v>
      </c>
      <c r="C39" s="40" t="s">
        <v>77</v>
      </c>
    </row>
    <row r="40" spans="1:3" ht="22.5" customHeight="1" x14ac:dyDescent="0.15">
      <c r="A40" s="16" t="s">
        <v>327</v>
      </c>
      <c r="B40" s="12" t="s">
        <v>332</v>
      </c>
      <c r="C40" s="40" t="s">
        <v>77</v>
      </c>
    </row>
    <row r="41" spans="1:3" ht="22.5" customHeight="1" x14ac:dyDescent="0.15">
      <c r="A41" s="16" t="s">
        <v>335</v>
      </c>
      <c r="B41" s="12" t="s">
        <v>336</v>
      </c>
      <c r="C41" s="40" t="s">
        <v>88</v>
      </c>
    </row>
    <row r="42" spans="1:3" ht="22.5" customHeight="1" x14ac:dyDescent="0.15">
      <c r="A42" s="16" t="s">
        <v>339</v>
      </c>
      <c r="B42" s="12" t="s">
        <v>340</v>
      </c>
      <c r="C42" s="40" t="s">
        <v>30</v>
      </c>
    </row>
    <row r="43" spans="1:3" ht="22.5" customHeight="1" x14ac:dyDescent="0.15">
      <c r="A43" s="16" t="s">
        <v>339</v>
      </c>
      <c r="B43" s="12" t="s">
        <v>341</v>
      </c>
      <c r="C43" s="40" t="s">
        <v>342</v>
      </c>
    </row>
    <row r="44" spans="1:3" ht="22.5" customHeight="1" x14ac:dyDescent="0.15">
      <c r="A44" s="15" t="s">
        <v>345</v>
      </c>
      <c r="B44" s="12" t="s">
        <v>346</v>
      </c>
      <c r="C44" s="40" t="s">
        <v>30</v>
      </c>
    </row>
    <row r="45" spans="1:3" ht="22.5" customHeight="1" x14ac:dyDescent="0.15">
      <c r="A45" s="16" t="s">
        <v>347</v>
      </c>
      <c r="B45" s="12" t="s">
        <v>134</v>
      </c>
      <c r="C45" s="40" t="s">
        <v>30</v>
      </c>
    </row>
    <row r="46" spans="1:3" ht="22.5" customHeight="1" x14ac:dyDescent="0.15">
      <c r="A46" s="16" t="s">
        <v>347</v>
      </c>
      <c r="B46" s="12" t="s">
        <v>348</v>
      </c>
      <c r="C46" s="40" t="s">
        <v>136</v>
      </c>
    </row>
    <row r="47" spans="1:3" ht="22.5" customHeight="1" x14ac:dyDescent="0.15">
      <c r="A47" s="15" t="s">
        <v>351</v>
      </c>
      <c r="B47" s="12" t="s">
        <v>352</v>
      </c>
      <c r="C47" s="40" t="s">
        <v>30</v>
      </c>
    </row>
    <row r="48" spans="1:3" ht="22.5" customHeight="1" x14ac:dyDescent="0.15">
      <c r="A48" s="16" t="s">
        <v>355</v>
      </c>
      <c r="B48" s="12" t="s">
        <v>356</v>
      </c>
      <c r="C48" s="40" t="s">
        <v>77</v>
      </c>
    </row>
    <row r="49" spans="1:3" ht="22.5" customHeight="1" x14ac:dyDescent="0.15">
      <c r="A49" s="15" t="s">
        <v>359</v>
      </c>
      <c r="B49" s="12" t="s">
        <v>360</v>
      </c>
      <c r="C49" s="40" t="s">
        <v>136</v>
      </c>
    </row>
    <row r="50" spans="1:3" ht="22.5" customHeight="1" x14ac:dyDescent="0.15">
      <c r="A50" s="16" t="s">
        <v>359</v>
      </c>
      <c r="B50" s="12" t="s">
        <v>361</v>
      </c>
      <c r="C50" s="40" t="s">
        <v>88</v>
      </c>
    </row>
    <row r="51" spans="1:3" ht="22.5" customHeight="1" x14ac:dyDescent="0.15">
      <c r="A51" s="16" t="s">
        <v>364</v>
      </c>
      <c r="B51" s="12" t="s">
        <v>365</v>
      </c>
      <c r="C51" s="40" t="s">
        <v>83</v>
      </c>
    </row>
    <row r="52" spans="1:3" ht="22.5" customHeight="1" x14ac:dyDescent="0.15">
      <c r="A52" s="16" t="s">
        <v>368</v>
      </c>
      <c r="B52" s="12" t="s">
        <v>369</v>
      </c>
      <c r="C52" s="40" t="s">
        <v>88</v>
      </c>
    </row>
    <row r="53" spans="1:3" ht="22.5" customHeight="1" x14ac:dyDescent="0.15">
      <c r="A53" s="16" t="s">
        <v>368</v>
      </c>
      <c r="B53" s="12" t="s">
        <v>370</v>
      </c>
      <c r="C53" s="40" t="s">
        <v>88</v>
      </c>
    </row>
    <row r="54" spans="1:3" ht="22.5" customHeight="1" x14ac:dyDescent="0.15">
      <c r="A54" s="16" t="s">
        <v>368</v>
      </c>
      <c r="B54" s="12" t="s">
        <v>371</v>
      </c>
      <c r="C54" s="40" t="s">
        <v>88</v>
      </c>
    </row>
    <row r="55" spans="1:3" ht="22.5" customHeight="1" x14ac:dyDescent="0.15">
      <c r="A55" s="16" t="s">
        <v>374</v>
      </c>
      <c r="B55" s="12" t="s">
        <v>375</v>
      </c>
      <c r="C55" s="40" t="s">
        <v>342</v>
      </c>
    </row>
    <row r="56" spans="1:3" ht="22.5" customHeight="1" x14ac:dyDescent="0.15">
      <c r="A56" s="15" t="s">
        <v>41</v>
      </c>
      <c r="B56" s="12" t="s">
        <v>376</v>
      </c>
      <c r="C56" s="40" t="s">
        <v>88</v>
      </c>
    </row>
    <row r="57" spans="1:3" ht="22.5" customHeight="1" x14ac:dyDescent="0.15">
      <c r="A57" s="16" t="s">
        <v>379</v>
      </c>
      <c r="B57" s="12" t="s">
        <v>380</v>
      </c>
      <c r="C57" s="40" t="s">
        <v>30</v>
      </c>
    </row>
    <row r="58" spans="1:3" ht="22.5" customHeight="1" x14ac:dyDescent="0.15">
      <c r="A58" s="16" t="s">
        <v>379</v>
      </c>
      <c r="B58" s="12" t="s">
        <v>381</v>
      </c>
      <c r="C58" s="40" t="s">
        <v>30</v>
      </c>
    </row>
    <row r="59" spans="1:3" ht="22.5" customHeight="1" x14ac:dyDescent="0.15">
      <c r="A59" s="16" t="s">
        <v>384</v>
      </c>
      <c r="B59" s="12" t="s">
        <v>385</v>
      </c>
      <c r="C59" s="40" t="s">
        <v>30</v>
      </c>
    </row>
    <row r="60" spans="1:3" ht="22.5" customHeight="1" x14ac:dyDescent="0.15">
      <c r="A60" s="16" t="s">
        <v>388</v>
      </c>
      <c r="B60" s="12" t="s">
        <v>389</v>
      </c>
      <c r="C60" s="40" t="s">
        <v>342</v>
      </c>
    </row>
    <row r="61" spans="1:3" ht="22.5" customHeight="1" x14ac:dyDescent="0.15">
      <c r="A61" s="16" t="s">
        <v>391</v>
      </c>
      <c r="B61" s="12" t="s">
        <v>392</v>
      </c>
      <c r="C61" s="40" t="s">
        <v>136</v>
      </c>
    </row>
    <row r="62" spans="1:3" ht="22.5" customHeight="1" x14ac:dyDescent="0.15">
      <c r="A62" s="16" t="s">
        <v>395</v>
      </c>
      <c r="B62" s="12" t="s">
        <v>396</v>
      </c>
      <c r="C62" s="40" t="s">
        <v>30</v>
      </c>
    </row>
    <row r="63" spans="1:3" ht="22.5" customHeight="1" x14ac:dyDescent="0.15">
      <c r="A63" s="16" t="s">
        <v>395</v>
      </c>
      <c r="B63" s="12" t="s">
        <v>397</v>
      </c>
      <c r="C63" s="40" t="s">
        <v>18</v>
      </c>
    </row>
    <row r="64" spans="1:3" ht="22.5" customHeight="1" x14ac:dyDescent="0.15">
      <c r="A64" s="16" t="s">
        <v>395</v>
      </c>
      <c r="B64" s="12" t="s">
        <v>398</v>
      </c>
      <c r="C64" s="40" t="s">
        <v>30</v>
      </c>
    </row>
    <row r="65" spans="1:3" ht="22.5" customHeight="1" x14ac:dyDescent="0.15">
      <c r="A65" s="16" t="s">
        <v>399</v>
      </c>
      <c r="B65" s="12" t="s">
        <v>250</v>
      </c>
      <c r="C65" s="40" t="s">
        <v>30</v>
      </c>
    </row>
    <row r="66" spans="1:3" ht="22.5" customHeight="1" x14ac:dyDescent="0.15">
      <c r="A66" s="16" t="s">
        <v>399</v>
      </c>
      <c r="B66" s="12" t="s">
        <v>251</v>
      </c>
      <c r="C66" s="40" t="s">
        <v>83</v>
      </c>
    </row>
    <row r="67" spans="1:3" ht="22.5" customHeight="1" x14ac:dyDescent="0.15">
      <c r="A67" s="16" t="s">
        <v>399</v>
      </c>
      <c r="B67" s="12" t="s">
        <v>252</v>
      </c>
      <c r="C67" s="40" t="s">
        <v>30</v>
      </c>
    </row>
    <row r="68" spans="1:3" ht="22.5" customHeight="1" x14ac:dyDescent="0.15">
      <c r="A68" s="16" t="s">
        <v>401</v>
      </c>
      <c r="B68" s="12" t="s">
        <v>402</v>
      </c>
      <c r="C68" s="40" t="s">
        <v>88</v>
      </c>
    </row>
    <row r="69" spans="1:3" ht="22.5" customHeight="1" x14ac:dyDescent="0.15">
      <c r="A69" s="15" t="s">
        <v>401</v>
      </c>
      <c r="B69" s="12" t="s">
        <v>403</v>
      </c>
      <c r="C69" s="40" t="s">
        <v>30</v>
      </c>
    </row>
    <row r="70" spans="1:3" ht="22.5" customHeight="1" x14ac:dyDescent="0.15">
      <c r="A70" s="15" t="s">
        <v>406</v>
      </c>
      <c r="B70" s="12" t="s">
        <v>407</v>
      </c>
      <c r="C70" s="40" t="s">
        <v>136</v>
      </c>
    </row>
    <row r="71" spans="1:3" ht="22.5" customHeight="1" x14ac:dyDescent="0.15">
      <c r="A71" s="16" t="s">
        <v>410</v>
      </c>
      <c r="B71" s="12" t="s">
        <v>411</v>
      </c>
      <c r="C71" s="40" t="s">
        <v>30</v>
      </c>
    </row>
    <row r="72" spans="1:3" ht="22.5" customHeight="1" x14ac:dyDescent="0.15">
      <c r="A72" s="16" t="s">
        <v>410</v>
      </c>
      <c r="B72" s="12" t="s">
        <v>412</v>
      </c>
      <c r="C72" s="40" t="s">
        <v>30</v>
      </c>
    </row>
    <row r="73" spans="1:3" ht="22.5" customHeight="1" x14ac:dyDescent="0.15">
      <c r="A73" s="16" t="s">
        <v>410</v>
      </c>
      <c r="B73" s="12" t="s">
        <v>413</v>
      </c>
      <c r="C73" s="40" t="s">
        <v>30</v>
      </c>
    </row>
    <row r="74" spans="1:3" ht="22.5" customHeight="1" x14ac:dyDescent="0.15">
      <c r="A74" s="15" t="s">
        <v>410</v>
      </c>
      <c r="B74" s="12" t="s">
        <v>414</v>
      </c>
      <c r="C74" s="40" t="s">
        <v>77</v>
      </c>
    </row>
    <row r="75" spans="1:3" ht="22.5" customHeight="1" x14ac:dyDescent="0.15">
      <c r="A75" s="16" t="s">
        <v>410</v>
      </c>
      <c r="B75" s="12" t="s">
        <v>415</v>
      </c>
      <c r="C75" s="40" t="s">
        <v>136</v>
      </c>
    </row>
    <row r="76" spans="1:3" ht="22.5" customHeight="1" x14ac:dyDescent="0.15">
      <c r="A76" s="16" t="s">
        <v>417</v>
      </c>
      <c r="B76" s="12" t="s">
        <v>418</v>
      </c>
      <c r="C76" s="40" t="s">
        <v>18</v>
      </c>
    </row>
    <row r="77" spans="1:3" ht="22.5" customHeight="1" x14ac:dyDescent="0.15">
      <c r="A77" s="16" t="s">
        <v>417</v>
      </c>
      <c r="B77" s="12" t="s">
        <v>419</v>
      </c>
      <c r="C77" s="40" t="s">
        <v>23</v>
      </c>
    </row>
    <row r="78" spans="1:3" ht="22.5" customHeight="1" x14ac:dyDescent="0.15">
      <c r="A78" s="15" t="s">
        <v>417</v>
      </c>
      <c r="B78" s="12" t="s">
        <v>420</v>
      </c>
      <c r="C78" s="40" t="s">
        <v>30</v>
      </c>
    </row>
    <row r="79" spans="1:3" ht="22.5" customHeight="1" x14ac:dyDescent="0.15">
      <c r="A79" s="15" t="s">
        <v>417</v>
      </c>
      <c r="B79" s="12" t="s">
        <v>421</v>
      </c>
      <c r="C79" s="40" t="s">
        <v>77</v>
      </c>
    </row>
    <row r="80" spans="1:3" ht="22.5" customHeight="1" x14ac:dyDescent="0.15">
      <c r="A80" s="16" t="s">
        <v>417</v>
      </c>
      <c r="B80" s="12" t="s">
        <v>422</v>
      </c>
      <c r="C80" s="40" t="s">
        <v>30</v>
      </c>
    </row>
    <row r="81" spans="1:3" ht="22.5" customHeight="1" x14ac:dyDescent="0.15">
      <c r="A81" s="15" t="s">
        <v>425</v>
      </c>
      <c r="B81" s="12" t="s">
        <v>426</v>
      </c>
      <c r="C81" s="40" t="s">
        <v>88</v>
      </c>
    </row>
    <row r="82" spans="1:3" ht="22.5" customHeight="1" x14ac:dyDescent="0.15">
      <c r="A82" s="16" t="s">
        <v>425</v>
      </c>
      <c r="B82" s="12" t="s">
        <v>427</v>
      </c>
      <c r="C82" s="40" t="s">
        <v>88</v>
      </c>
    </row>
    <row r="83" spans="1:3" ht="22.5" customHeight="1" x14ac:dyDescent="0.15">
      <c r="A83" s="16" t="s">
        <v>429</v>
      </c>
      <c r="B83" s="12" t="s">
        <v>430</v>
      </c>
      <c r="C83" s="40" t="s">
        <v>30</v>
      </c>
    </row>
    <row r="84" spans="1:3" ht="22.5" customHeight="1" x14ac:dyDescent="0.15">
      <c r="A84" s="16" t="s">
        <v>429</v>
      </c>
      <c r="B84" s="12" t="s">
        <v>431</v>
      </c>
      <c r="C84" s="40" t="s">
        <v>30</v>
      </c>
    </row>
    <row r="85" spans="1:3" ht="22.5" customHeight="1" x14ac:dyDescent="0.15">
      <c r="A85" s="16" t="s">
        <v>434</v>
      </c>
      <c r="B85" s="12" t="s">
        <v>435</v>
      </c>
      <c r="C85" s="40" t="s">
        <v>136</v>
      </c>
    </row>
    <row r="86" spans="1:3" ht="22.5" customHeight="1" x14ac:dyDescent="0.15">
      <c r="A86" s="15" t="s">
        <v>45</v>
      </c>
      <c r="B86" s="12" t="s">
        <v>436</v>
      </c>
      <c r="C86" s="40" t="s">
        <v>136</v>
      </c>
    </row>
    <row r="87" spans="1:3" ht="22.5" customHeight="1" x14ac:dyDescent="0.15">
      <c r="A87" s="16" t="s">
        <v>439</v>
      </c>
      <c r="B87" s="12" t="s">
        <v>440</v>
      </c>
      <c r="C87" s="40" t="s">
        <v>136</v>
      </c>
    </row>
    <row r="88" spans="1:3" ht="22.5" customHeight="1" x14ac:dyDescent="0.15">
      <c r="A88" s="17" t="s">
        <v>443</v>
      </c>
      <c r="B88" s="12" t="s">
        <v>444</v>
      </c>
      <c r="C88" s="40" t="s">
        <v>30</v>
      </c>
    </row>
    <row r="89" spans="1:3" ht="22.5" customHeight="1" x14ac:dyDescent="0.15">
      <c r="A89" s="16" t="s">
        <v>447</v>
      </c>
      <c r="B89" s="12" t="s">
        <v>448</v>
      </c>
      <c r="C89" s="40" t="s">
        <v>30</v>
      </c>
    </row>
    <row r="90" spans="1:3" ht="22.5" customHeight="1" x14ac:dyDescent="0.15">
      <c r="A90" s="16" t="s">
        <v>447</v>
      </c>
      <c r="B90" s="12" t="s">
        <v>449</v>
      </c>
      <c r="C90" s="40" t="s">
        <v>30</v>
      </c>
    </row>
    <row r="91" spans="1:3" ht="22.5" customHeight="1" x14ac:dyDescent="0.15">
      <c r="A91" s="16" t="s">
        <v>447</v>
      </c>
      <c r="B91" s="12" t="s">
        <v>450</v>
      </c>
      <c r="C91" s="40" t="s">
        <v>77</v>
      </c>
    </row>
    <row r="92" spans="1:3" ht="22.5" customHeight="1" x14ac:dyDescent="0.15">
      <c r="A92" s="16" t="s">
        <v>447</v>
      </c>
      <c r="B92" s="12" t="s">
        <v>451</v>
      </c>
      <c r="C92" s="40" t="s">
        <v>219</v>
      </c>
    </row>
    <row r="93" spans="1:3" ht="22.5" customHeight="1" x14ac:dyDescent="0.15">
      <c r="A93" s="16" t="s">
        <v>447</v>
      </c>
      <c r="B93" s="12" t="s">
        <v>452</v>
      </c>
      <c r="C93" s="40" t="s">
        <v>219</v>
      </c>
    </row>
    <row r="94" spans="1:3" ht="22.5" customHeight="1" x14ac:dyDescent="0.15">
      <c r="A94" s="16" t="s">
        <v>447</v>
      </c>
      <c r="B94" s="12" t="s">
        <v>453</v>
      </c>
      <c r="C94" s="40" t="s">
        <v>30</v>
      </c>
    </row>
    <row r="95" spans="1:3" ht="22.5" customHeight="1" x14ac:dyDescent="0.15">
      <c r="A95" s="16" t="s">
        <v>447</v>
      </c>
      <c r="B95" s="12" t="s">
        <v>454</v>
      </c>
      <c r="C95" s="40" t="s">
        <v>30</v>
      </c>
    </row>
    <row r="96" spans="1:3" ht="22.5" customHeight="1" x14ac:dyDescent="0.15">
      <c r="A96" s="16" t="s">
        <v>456</v>
      </c>
      <c r="B96" s="12" t="s">
        <v>448</v>
      </c>
      <c r="C96" s="40" t="s">
        <v>30</v>
      </c>
    </row>
    <row r="97" spans="1:3" ht="22.5" customHeight="1" x14ac:dyDescent="0.15">
      <c r="A97" s="16" t="s">
        <v>456</v>
      </c>
      <c r="B97" s="12" t="s">
        <v>449</v>
      </c>
      <c r="C97" s="40" t="s">
        <v>30</v>
      </c>
    </row>
    <row r="98" spans="1:3" ht="22.5" customHeight="1" x14ac:dyDescent="0.15">
      <c r="A98" s="16" t="s">
        <v>456</v>
      </c>
      <c r="B98" s="12" t="s">
        <v>450</v>
      </c>
      <c r="C98" s="40" t="s">
        <v>77</v>
      </c>
    </row>
    <row r="99" spans="1:3" ht="22.5" customHeight="1" x14ac:dyDescent="0.15">
      <c r="A99" s="16" t="s">
        <v>456</v>
      </c>
      <c r="B99" s="12" t="s">
        <v>457</v>
      </c>
      <c r="C99" s="40" t="s">
        <v>30</v>
      </c>
    </row>
    <row r="100" spans="1:3" ht="22.5" customHeight="1" x14ac:dyDescent="0.15">
      <c r="A100" s="16" t="s">
        <v>456</v>
      </c>
      <c r="B100" s="12" t="s">
        <v>451</v>
      </c>
      <c r="C100" s="40" t="s">
        <v>219</v>
      </c>
    </row>
    <row r="101" spans="1:3" ht="22.5" customHeight="1" x14ac:dyDescent="0.15">
      <c r="A101" s="16" t="s">
        <v>456</v>
      </c>
      <c r="B101" s="12" t="s">
        <v>452</v>
      </c>
      <c r="C101" s="40" t="s">
        <v>219</v>
      </c>
    </row>
    <row r="102" spans="1:3" ht="22.5" customHeight="1" x14ac:dyDescent="0.15">
      <c r="A102" s="16" t="s">
        <v>456</v>
      </c>
      <c r="B102" s="12" t="s">
        <v>453</v>
      </c>
      <c r="C102" s="40" t="s">
        <v>30</v>
      </c>
    </row>
    <row r="103" spans="1:3" ht="22.5" customHeight="1" x14ac:dyDescent="0.15">
      <c r="A103" s="16" t="s">
        <v>456</v>
      </c>
      <c r="B103" s="12" t="s">
        <v>454</v>
      </c>
      <c r="C103" s="40" t="s">
        <v>30</v>
      </c>
    </row>
    <row r="104" spans="1:3" ht="22.5" customHeight="1" x14ac:dyDescent="0.15">
      <c r="A104" s="16" t="s">
        <v>460</v>
      </c>
      <c r="B104" s="12" t="s">
        <v>461</v>
      </c>
      <c r="C104" s="40" t="s">
        <v>30</v>
      </c>
    </row>
    <row r="105" spans="1:3" ht="22.5" customHeight="1" x14ac:dyDescent="0.15">
      <c r="A105" s="16" t="s">
        <v>460</v>
      </c>
      <c r="B105" s="12" t="s">
        <v>462</v>
      </c>
      <c r="C105" s="40" t="s">
        <v>136</v>
      </c>
    </row>
    <row r="106" spans="1:3" ht="22.5" customHeight="1" x14ac:dyDescent="0.15">
      <c r="A106" s="16" t="s">
        <v>463</v>
      </c>
      <c r="B106" s="12" t="s">
        <v>328</v>
      </c>
      <c r="C106" s="40" t="s">
        <v>23</v>
      </c>
    </row>
    <row r="107" spans="1:3" ht="22.5" customHeight="1" x14ac:dyDescent="0.15">
      <c r="A107" s="16" t="s">
        <v>463</v>
      </c>
      <c r="B107" s="12" t="s">
        <v>464</v>
      </c>
      <c r="C107" s="40" t="s">
        <v>23</v>
      </c>
    </row>
    <row r="108" spans="1:3" ht="22.5" customHeight="1" x14ac:dyDescent="0.15">
      <c r="A108" s="16" t="s">
        <v>463</v>
      </c>
      <c r="B108" s="12" t="s">
        <v>330</v>
      </c>
      <c r="C108" s="40" t="s">
        <v>136</v>
      </c>
    </row>
    <row r="109" spans="1:3" ht="22.5" customHeight="1" x14ac:dyDescent="0.15">
      <c r="A109" s="16" t="s">
        <v>463</v>
      </c>
      <c r="B109" s="12" t="s">
        <v>465</v>
      </c>
      <c r="C109" s="40" t="s">
        <v>30</v>
      </c>
    </row>
    <row r="110" spans="1:3" ht="22.5" customHeight="1" x14ac:dyDescent="0.15">
      <c r="A110" s="16" t="s">
        <v>463</v>
      </c>
      <c r="B110" s="12" t="s">
        <v>332</v>
      </c>
      <c r="C110" s="40" t="s">
        <v>77</v>
      </c>
    </row>
    <row r="111" spans="1:3" ht="22.5" customHeight="1" x14ac:dyDescent="0.15">
      <c r="A111" s="16" t="s">
        <v>468</v>
      </c>
      <c r="B111" s="12" t="s">
        <v>469</v>
      </c>
      <c r="C111" s="40" t="s">
        <v>77</v>
      </c>
    </row>
    <row r="112" spans="1:3" ht="22.5" customHeight="1" x14ac:dyDescent="0.15">
      <c r="A112" s="16" t="s">
        <v>468</v>
      </c>
      <c r="B112" s="12" t="s">
        <v>470</v>
      </c>
      <c r="C112" s="40" t="s">
        <v>12</v>
      </c>
    </row>
    <row r="113" spans="1:3" ht="22.5" customHeight="1" x14ac:dyDescent="0.15">
      <c r="A113" s="15" t="s">
        <v>473</v>
      </c>
      <c r="B113" s="12" t="s">
        <v>474</v>
      </c>
      <c r="C113" s="40" t="s">
        <v>30</v>
      </c>
    </row>
    <row r="114" spans="1:3" ht="22.5" customHeight="1" x14ac:dyDescent="0.15">
      <c r="A114" s="16" t="s">
        <v>476</v>
      </c>
      <c r="B114" s="12" t="s">
        <v>477</v>
      </c>
      <c r="C114" s="40" t="s">
        <v>88</v>
      </c>
    </row>
    <row r="115" spans="1:3" ht="22.5" customHeight="1" x14ac:dyDescent="0.15">
      <c r="A115" s="16" t="s">
        <v>476</v>
      </c>
      <c r="B115" s="12" t="s">
        <v>478</v>
      </c>
      <c r="C115" s="40" t="s">
        <v>219</v>
      </c>
    </row>
    <row r="116" spans="1:3" ht="22.5" customHeight="1" x14ac:dyDescent="0.15">
      <c r="A116" s="16" t="s">
        <v>476</v>
      </c>
      <c r="B116" s="12" t="s">
        <v>479</v>
      </c>
      <c r="C116" s="40" t="s">
        <v>219</v>
      </c>
    </row>
    <row r="117" spans="1:3" ht="22.5" customHeight="1" x14ac:dyDescent="0.15">
      <c r="A117" s="16" t="s">
        <v>476</v>
      </c>
      <c r="B117" s="12" t="s">
        <v>480</v>
      </c>
      <c r="C117" s="40" t="s">
        <v>30</v>
      </c>
    </row>
    <row r="118" spans="1:3" ht="22.5" customHeight="1" x14ac:dyDescent="0.15">
      <c r="A118" s="16" t="s">
        <v>476</v>
      </c>
      <c r="B118" s="12" t="s">
        <v>481</v>
      </c>
      <c r="C118" s="40" t="s">
        <v>30</v>
      </c>
    </row>
    <row r="119" spans="1:3" ht="22.5" customHeight="1" x14ac:dyDescent="0.15">
      <c r="A119" s="16" t="s">
        <v>476</v>
      </c>
      <c r="B119" s="12" t="s">
        <v>482</v>
      </c>
      <c r="C119" s="40" t="s">
        <v>77</v>
      </c>
    </row>
    <row r="120" spans="1:3" ht="22.5" customHeight="1" x14ac:dyDescent="0.15">
      <c r="A120" s="15" t="s">
        <v>476</v>
      </c>
      <c r="B120" s="12" t="s">
        <v>483</v>
      </c>
      <c r="C120" s="40" t="s">
        <v>12</v>
      </c>
    </row>
    <row r="121" spans="1:3" ht="22.5" customHeight="1" x14ac:dyDescent="0.15">
      <c r="A121" s="16" t="s">
        <v>485</v>
      </c>
      <c r="B121" s="12" t="s">
        <v>486</v>
      </c>
      <c r="C121" s="40" t="s">
        <v>30</v>
      </c>
    </row>
    <row r="122" spans="1:3" ht="22.5" customHeight="1" x14ac:dyDescent="0.15">
      <c r="A122" s="16" t="s">
        <v>489</v>
      </c>
      <c r="B122" s="12" t="s">
        <v>490</v>
      </c>
      <c r="C122" s="40" t="s">
        <v>30</v>
      </c>
    </row>
    <row r="123" spans="1:3" ht="22.5" customHeight="1" x14ac:dyDescent="0.15">
      <c r="A123" s="16" t="s">
        <v>489</v>
      </c>
      <c r="B123" s="12" t="s">
        <v>491</v>
      </c>
      <c r="C123" s="40" t="s">
        <v>30</v>
      </c>
    </row>
    <row r="124" spans="1:3" ht="22.5" customHeight="1" x14ac:dyDescent="0.15">
      <c r="A124" s="16" t="s">
        <v>493</v>
      </c>
      <c r="B124" s="12" t="s">
        <v>494</v>
      </c>
      <c r="C124" s="40" t="s">
        <v>77</v>
      </c>
    </row>
    <row r="125" spans="1:3" ht="22.5" customHeight="1" x14ac:dyDescent="0.15">
      <c r="A125" s="16" t="s">
        <v>493</v>
      </c>
      <c r="B125" s="12" t="s">
        <v>495</v>
      </c>
      <c r="C125" s="40" t="s">
        <v>77</v>
      </c>
    </row>
    <row r="126" spans="1:3" ht="22.5" customHeight="1" x14ac:dyDescent="0.15">
      <c r="A126" s="16" t="s">
        <v>497</v>
      </c>
      <c r="B126" s="12" t="s">
        <v>498</v>
      </c>
      <c r="C126" s="40" t="s">
        <v>88</v>
      </c>
    </row>
    <row r="127" spans="1:3" ht="22.5" customHeight="1" x14ac:dyDescent="0.15">
      <c r="A127" s="16" t="s">
        <v>500</v>
      </c>
      <c r="B127" s="12" t="s">
        <v>501</v>
      </c>
      <c r="C127" s="40" t="s">
        <v>136</v>
      </c>
    </row>
    <row r="128" spans="1:3" ht="22.5" customHeight="1" x14ac:dyDescent="0.15">
      <c r="A128" s="16" t="s">
        <v>503</v>
      </c>
      <c r="B128" s="12" t="s">
        <v>504</v>
      </c>
      <c r="C128" s="40" t="s">
        <v>30</v>
      </c>
    </row>
    <row r="129" spans="1:3" ht="22.5" customHeight="1" x14ac:dyDescent="0.15">
      <c r="A129" s="16" t="s">
        <v>503</v>
      </c>
      <c r="B129" s="12" t="s">
        <v>505</v>
      </c>
      <c r="C129" s="40" t="s">
        <v>219</v>
      </c>
    </row>
    <row r="130" spans="1:3" ht="22.5" customHeight="1" x14ac:dyDescent="0.15">
      <c r="A130" s="16" t="s">
        <v>503</v>
      </c>
      <c r="B130" s="12" t="s">
        <v>506</v>
      </c>
      <c r="C130" s="40" t="s">
        <v>219</v>
      </c>
    </row>
    <row r="131" spans="1:3" ht="22.5" customHeight="1" x14ac:dyDescent="0.15">
      <c r="A131" s="16" t="s">
        <v>503</v>
      </c>
      <c r="B131" s="12" t="s">
        <v>507</v>
      </c>
      <c r="C131" s="40" t="s">
        <v>219</v>
      </c>
    </row>
    <row r="132" spans="1:3" ht="22.5" customHeight="1" x14ac:dyDescent="0.15">
      <c r="A132" s="16" t="s">
        <v>503</v>
      </c>
      <c r="B132" s="12" t="s">
        <v>508</v>
      </c>
      <c r="C132" s="40" t="s">
        <v>30</v>
      </c>
    </row>
    <row r="133" spans="1:3" ht="22.5" customHeight="1" x14ac:dyDescent="0.15">
      <c r="A133" s="16" t="s">
        <v>511</v>
      </c>
      <c r="B133" s="12" t="s">
        <v>512</v>
      </c>
      <c r="C133" s="40" t="s">
        <v>342</v>
      </c>
    </row>
    <row r="134" spans="1:3" ht="22.5" customHeight="1" x14ac:dyDescent="0.15">
      <c r="A134" s="16" t="s">
        <v>516</v>
      </c>
      <c r="B134" s="12" t="s">
        <v>517</v>
      </c>
      <c r="C134" s="40" t="s">
        <v>115</v>
      </c>
    </row>
    <row r="135" spans="1:3" ht="22.5" customHeight="1" x14ac:dyDescent="0.15">
      <c r="A135" s="16" t="s">
        <v>519</v>
      </c>
      <c r="B135" s="12" t="s">
        <v>520</v>
      </c>
      <c r="C135" s="40" t="s">
        <v>219</v>
      </c>
    </row>
    <row r="136" spans="1:3" ht="22.5" customHeight="1" x14ac:dyDescent="0.15">
      <c r="A136" s="16" t="s">
        <v>523</v>
      </c>
      <c r="B136" s="12" t="s">
        <v>524</v>
      </c>
      <c r="C136" s="40" t="s">
        <v>219</v>
      </c>
    </row>
    <row r="137" spans="1:3" ht="22.5" customHeight="1" x14ac:dyDescent="0.15">
      <c r="A137" s="16" t="s">
        <v>523</v>
      </c>
      <c r="B137" s="12" t="s">
        <v>525</v>
      </c>
      <c r="C137" s="40" t="s">
        <v>219</v>
      </c>
    </row>
    <row r="138" spans="1:3" ht="22.5" customHeight="1" x14ac:dyDescent="0.15">
      <c r="A138" s="16" t="s">
        <v>523</v>
      </c>
      <c r="B138" s="12" t="s">
        <v>526</v>
      </c>
      <c r="C138" s="40" t="s">
        <v>136</v>
      </c>
    </row>
    <row r="139" spans="1:3" ht="22.5" customHeight="1" x14ac:dyDescent="0.15">
      <c r="A139" s="16" t="s">
        <v>523</v>
      </c>
      <c r="B139" s="12" t="s">
        <v>527</v>
      </c>
      <c r="C139" s="40" t="s">
        <v>219</v>
      </c>
    </row>
    <row r="140" spans="1:3" ht="22.5" customHeight="1" x14ac:dyDescent="0.15">
      <c r="A140" s="16" t="s">
        <v>523</v>
      </c>
      <c r="B140" s="12" t="s">
        <v>528</v>
      </c>
      <c r="C140" s="40" t="s">
        <v>219</v>
      </c>
    </row>
    <row r="141" spans="1:3" ht="22.5" customHeight="1" x14ac:dyDescent="0.15">
      <c r="A141" s="16" t="s">
        <v>523</v>
      </c>
      <c r="B141" s="12" t="s">
        <v>529</v>
      </c>
      <c r="C141" s="40" t="s">
        <v>219</v>
      </c>
    </row>
    <row r="142" spans="1:3" ht="22.5" customHeight="1" x14ac:dyDescent="0.15">
      <c r="A142" s="16" t="s">
        <v>523</v>
      </c>
      <c r="B142" s="12" t="s">
        <v>530</v>
      </c>
      <c r="C142" s="40" t="s">
        <v>30</v>
      </c>
    </row>
    <row r="143" spans="1:3" ht="22.5" customHeight="1" x14ac:dyDescent="0.15">
      <c r="A143" s="16" t="s">
        <v>523</v>
      </c>
      <c r="B143" s="12" t="s">
        <v>531</v>
      </c>
      <c r="C143" s="40" t="s">
        <v>30</v>
      </c>
    </row>
    <row r="144" spans="1:3" ht="22.5" customHeight="1" x14ac:dyDescent="0.15">
      <c r="A144" s="16" t="s">
        <v>523</v>
      </c>
      <c r="B144" s="12" t="s">
        <v>532</v>
      </c>
      <c r="C144" s="40" t="s">
        <v>219</v>
      </c>
    </row>
    <row r="145" spans="1:3" ht="22.5" customHeight="1" x14ac:dyDescent="0.15">
      <c r="A145" s="16" t="s">
        <v>534</v>
      </c>
      <c r="B145" s="12" t="s">
        <v>535</v>
      </c>
      <c r="C145" s="40" t="s">
        <v>219</v>
      </c>
    </row>
    <row r="146" spans="1:3" ht="22.5" customHeight="1" x14ac:dyDescent="0.15">
      <c r="A146" s="16" t="s">
        <v>537</v>
      </c>
      <c r="B146" s="12" t="s">
        <v>538</v>
      </c>
      <c r="C146" s="40" t="s">
        <v>219</v>
      </c>
    </row>
    <row r="147" spans="1:3" ht="22.5" customHeight="1" x14ac:dyDescent="0.15">
      <c r="A147" s="16" t="s">
        <v>540</v>
      </c>
      <c r="B147" s="12" t="s">
        <v>541</v>
      </c>
      <c r="C147" s="40" t="s">
        <v>219</v>
      </c>
    </row>
    <row r="148" spans="1:3" ht="22.5" customHeight="1" x14ac:dyDescent="0.15">
      <c r="A148" s="16" t="s">
        <v>543</v>
      </c>
      <c r="B148" s="12" t="s">
        <v>544</v>
      </c>
      <c r="C148" s="40" t="s">
        <v>88</v>
      </c>
    </row>
    <row r="149" spans="1:3" ht="22.5" customHeight="1" x14ac:dyDescent="0.15">
      <c r="A149" s="16" t="s">
        <v>546</v>
      </c>
      <c r="B149" s="12" t="s">
        <v>547</v>
      </c>
      <c r="C149" s="40" t="s">
        <v>115</v>
      </c>
    </row>
    <row r="150" spans="1:3" ht="22.5" customHeight="1" x14ac:dyDescent="0.15">
      <c r="A150" s="16" t="s">
        <v>549</v>
      </c>
      <c r="B150" s="12" t="s">
        <v>550</v>
      </c>
      <c r="C150" s="40" t="s">
        <v>30</v>
      </c>
    </row>
    <row r="151" spans="1:3" ht="22.5" customHeight="1" x14ac:dyDescent="0.15">
      <c r="A151" s="16" t="s">
        <v>553</v>
      </c>
      <c r="B151" s="12" t="s">
        <v>294</v>
      </c>
      <c r="C151" s="40" t="s">
        <v>30</v>
      </c>
    </row>
    <row r="152" spans="1:3" ht="22.5" customHeight="1" x14ac:dyDescent="0.15">
      <c r="A152" s="16" t="s">
        <v>553</v>
      </c>
      <c r="B152" s="12" t="s">
        <v>554</v>
      </c>
      <c r="C152" s="40" t="s">
        <v>77</v>
      </c>
    </row>
    <row r="153" spans="1:3" ht="22.5" customHeight="1" x14ac:dyDescent="0.15">
      <c r="A153" s="16" t="s">
        <v>557</v>
      </c>
      <c r="B153" s="12" t="s">
        <v>558</v>
      </c>
      <c r="C153" s="40" t="s">
        <v>342</v>
      </c>
    </row>
    <row r="154" spans="1:3" ht="22.5" customHeight="1" x14ac:dyDescent="0.15">
      <c r="A154" s="16" t="s">
        <v>560</v>
      </c>
      <c r="B154" s="12" t="s">
        <v>561</v>
      </c>
      <c r="C154" s="40" t="s">
        <v>30</v>
      </c>
    </row>
    <row r="155" spans="1:3" ht="22.5" customHeight="1" x14ac:dyDescent="0.15">
      <c r="A155" s="16" t="s">
        <v>560</v>
      </c>
      <c r="B155" s="12" t="s">
        <v>562</v>
      </c>
      <c r="C155" s="40" t="s">
        <v>30</v>
      </c>
    </row>
    <row r="156" spans="1:3" ht="22.5" customHeight="1" x14ac:dyDescent="0.15">
      <c r="A156" s="16" t="s">
        <v>563</v>
      </c>
      <c r="B156" s="12" t="s">
        <v>241</v>
      </c>
      <c r="C156" s="40" t="s">
        <v>30</v>
      </c>
    </row>
    <row r="157" spans="1:3" ht="22.5" customHeight="1" x14ac:dyDescent="0.15">
      <c r="A157" s="16" t="s">
        <v>103</v>
      </c>
      <c r="B157" s="12" t="s">
        <v>564</v>
      </c>
      <c r="C157" s="40" t="s">
        <v>77</v>
      </c>
    </row>
    <row r="158" spans="1:3" ht="22.5" customHeight="1" x14ac:dyDescent="0.15">
      <c r="A158" s="16" t="s">
        <v>103</v>
      </c>
      <c r="B158" s="12" t="s">
        <v>565</v>
      </c>
      <c r="C158" s="40" t="s">
        <v>77</v>
      </c>
    </row>
    <row r="159" spans="1:3" ht="22.5" customHeight="1" x14ac:dyDescent="0.15">
      <c r="A159" s="16" t="s">
        <v>568</v>
      </c>
      <c r="B159" s="12" t="s">
        <v>569</v>
      </c>
      <c r="C159" s="40" t="s">
        <v>83</v>
      </c>
    </row>
    <row r="160" spans="1:3" ht="22.5" customHeight="1" x14ac:dyDescent="0.15">
      <c r="A160" s="16" t="s">
        <v>572</v>
      </c>
      <c r="B160" s="12" t="s">
        <v>573</v>
      </c>
      <c r="C160" s="40" t="s">
        <v>30</v>
      </c>
    </row>
    <row r="161" spans="1:3" ht="22.5" customHeight="1" x14ac:dyDescent="0.15">
      <c r="A161" s="15" t="s">
        <v>572</v>
      </c>
      <c r="B161" s="12" t="s">
        <v>574</v>
      </c>
      <c r="C161" s="40" t="s">
        <v>30</v>
      </c>
    </row>
    <row r="162" spans="1:3" ht="22.5" customHeight="1" x14ac:dyDescent="0.15">
      <c r="A162" s="16" t="s">
        <v>577</v>
      </c>
      <c r="B162" s="12" t="s">
        <v>578</v>
      </c>
      <c r="C162" s="40" t="s">
        <v>77</v>
      </c>
    </row>
    <row r="163" spans="1:3" ht="22.5" customHeight="1" x14ac:dyDescent="0.15">
      <c r="A163" s="16" t="s">
        <v>577</v>
      </c>
      <c r="B163" s="12" t="s">
        <v>579</v>
      </c>
      <c r="C163" s="40" t="s">
        <v>23</v>
      </c>
    </row>
    <row r="164" spans="1:3" ht="22.5" customHeight="1" x14ac:dyDescent="0.15">
      <c r="A164" s="16" t="s">
        <v>582</v>
      </c>
      <c r="B164" s="12" t="s">
        <v>583</v>
      </c>
      <c r="C164" s="40" t="s">
        <v>30</v>
      </c>
    </row>
    <row r="165" spans="1:3" ht="22.5" customHeight="1" x14ac:dyDescent="0.15">
      <c r="A165" s="16" t="s">
        <v>582</v>
      </c>
      <c r="B165" s="12" t="s">
        <v>584</v>
      </c>
      <c r="C165" s="40" t="s">
        <v>30</v>
      </c>
    </row>
    <row r="166" spans="1:3" ht="22.5" customHeight="1" x14ac:dyDescent="0.15">
      <c r="A166" s="16" t="s">
        <v>582</v>
      </c>
      <c r="B166" s="12" t="s">
        <v>585</v>
      </c>
      <c r="C166" s="40" t="s">
        <v>115</v>
      </c>
    </row>
    <row r="167" spans="1:3" ht="22.5" customHeight="1" x14ac:dyDescent="0.15">
      <c r="A167" s="16" t="s">
        <v>588</v>
      </c>
      <c r="B167" s="12" t="s">
        <v>589</v>
      </c>
      <c r="C167" s="40" t="s">
        <v>30</v>
      </c>
    </row>
    <row r="168" spans="1:3" ht="22.5" customHeight="1" x14ac:dyDescent="0.15">
      <c r="A168" s="16" t="s">
        <v>590</v>
      </c>
      <c r="B168" s="12" t="s">
        <v>591</v>
      </c>
      <c r="C168" s="40" t="s">
        <v>115</v>
      </c>
    </row>
    <row r="169" spans="1:3" ht="22.5" customHeight="1" x14ac:dyDescent="0.15">
      <c r="A169" s="16" t="s">
        <v>590</v>
      </c>
      <c r="B169" s="12" t="s">
        <v>592</v>
      </c>
      <c r="C169" s="40" t="s">
        <v>115</v>
      </c>
    </row>
    <row r="170" spans="1:3" ht="22.5" customHeight="1" x14ac:dyDescent="0.15">
      <c r="A170" s="16" t="s">
        <v>594</v>
      </c>
      <c r="B170" s="12" t="s">
        <v>595</v>
      </c>
      <c r="C170" s="40" t="s">
        <v>83</v>
      </c>
    </row>
    <row r="171" spans="1:3" ht="22.5" customHeight="1" x14ac:dyDescent="0.15">
      <c r="A171" s="16" t="s">
        <v>597</v>
      </c>
      <c r="B171" s="12" t="s">
        <v>598</v>
      </c>
      <c r="C171" s="40" t="s">
        <v>115</v>
      </c>
    </row>
    <row r="172" spans="1:3" ht="22.5" customHeight="1" x14ac:dyDescent="0.15">
      <c r="A172" s="16" t="s">
        <v>600</v>
      </c>
      <c r="B172" s="12" t="s">
        <v>601</v>
      </c>
      <c r="C172" s="40" t="s">
        <v>83</v>
      </c>
    </row>
    <row r="173" spans="1:3" ht="22.5" customHeight="1" x14ac:dyDescent="0.15">
      <c r="A173" s="16" t="s">
        <v>600</v>
      </c>
      <c r="B173" s="12" t="s">
        <v>603</v>
      </c>
      <c r="C173" s="40" t="s">
        <v>83</v>
      </c>
    </row>
    <row r="174" spans="1:3" ht="22.5" customHeight="1" x14ac:dyDescent="0.15">
      <c r="A174" s="16" t="s">
        <v>600</v>
      </c>
      <c r="B174" s="12" t="s">
        <v>604</v>
      </c>
      <c r="C174" s="40" t="s">
        <v>30</v>
      </c>
    </row>
    <row r="175" spans="1:3" ht="22.5" customHeight="1" x14ac:dyDescent="0.15">
      <c r="A175" s="16" t="s">
        <v>147</v>
      </c>
      <c r="B175" s="12" t="s">
        <v>605</v>
      </c>
      <c r="C175" s="40" t="s">
        <v>30</v>
      </c>
    </row>
    <row r="176" spans="1:3" ht="22.5" customHeight="1" x14ac:dyDescent="0.15">
      <c r="A176" s="16" t="s">
        <v>175</v>
      </c>
      <c r="B176" s="12" t="s">
        <v>607</v>
      </c>
      <c r="C176" s="40" t="s">
        <v>30</v>
      </c>
    </row>
    <row r="177" spans="1:3" ht="22.5" customHeight="1" x14ac:dyDescent="0.15">
      <c r="A177" s="16" t="s">
        <v>15</v>
      </c>
      <c r="B177" s="12" t="s">
        <v>609</v>
      </c>
      <c r="C177" s="40" t="s">
        <v>219</v>
      </c>
    </row>
    <row r="178" spans="1:3" ht="22.5" customHeight="1" x14ac:dyDescent="0.15">
      <c r="A178" s="16" t="s">
        <v>523</v>
      </c>
      <c r="B178" s="12" t="s">
        <v>610</v>
      </c>
      <c r="C178" s="40" t="s">
        <v>219</v>
      </c>
    </row>
    <row r="179" spans="1:3" ht="22.5" customHeight="1" x14ac:dyDescent="0.15">
      <c r="A179" s="16" t="s">
        <v>560</v>
      </c>
      <c r="B179" s="12" t="s">
        <v>611</v>
      </c>
      <c r="C179" s="40" t="s">
        <v>219</v>
      </c>
    </row>
    <row r="180" spans="1:3" ht="22.5" customHeight="1" x14ac:dyDescent="0.15">
      <c r="A180" s="16" t="s">
        <v>476</v>
      </c>
      <c r="B180" s="12" t="s">
        <v>612</v>
      </c>
      <c r="C180" s="40" t="s">
        <v>136</v>
      </c>
    </row>
    <row r="181" spans="1:3" ht="22.5" customHeight="1" x14ac:dyDescent="0.15">
      <c r="A181" s="16" t="s">
        <v>503</v>
      </c>
      <c r="B181" s="12" t="s">
        <v>613</v>
      </c>
      <c r="C181" s="40" t="s">
        <v>30</v>
      </c>
    </row>
    <row r="182" spans="1:3" ht="22.5" customHeight="1" x14ac:dyDescent="0.15">
      <c r="A182" s="16" t="s">
        <v>617</v>
      </c>
      <c r="B182" s="12" t="s">
        <v>618</v>
      </c>
      <c r="C182" s="40" t="s">
        <v>30</v>
      </c>
    </row>
    <row r="183" spans="1:3" ht="22.5" customHeight="1" x14ac:dyDescent="0.15">
      <c r="A183" s="16" t="s">
        <v>621</v>
      </c>
      <c r="B183" s="12" t="s">
        <v>622</v>
      </c>
      <c r="C183" s="40" t="s">
        <v>136</v>
      </c>
    </row>
    <row r="184" spans="1:3" ht="22.5" customHeight="1" x14ac:dyDescent="0.15">
      <c r="A184" s="16" t="s">
        <v>234</v>
      </c>
      <c r="B184" s="12" t="s">
        <v>624</v>
      </c>
      <c r="C184" s="40" t="s">
        <v>30</v>
      </c>
    </row>
    <row r="185" spans="1:3" ht="22.5" customHeight="1" x14ac:dyDescent="0.15">
      <c r="A185" s="16" t="s">
        <v>327</v>
      </c>
      <c r="B185" s="12" t="s">
        <v>625</v>
      </c>
      <c r="C185" s="40" t="s">
        <v>23</v>
      </c>
    </row>
    <row r="186" spans="1:3" ht="22.5" customHeight="1" x14ac:dyDescent="0.15">
      <c r="A186" s="16" t="s">
        <v>463</v>
      </c>
      <c r="B186" s="12" t="s">
        <v>625</v>
      </c>
      <c r="C186" s="40" t="s">
        <v>23</v>
      </c>
    </row>
    <row r="187" spans="1:3" ht="22.5" customHeight="1" x14ac:dyDescent="0.15">
      <c r="A187" s="16" t="s">
        <v>628</v>
      </c>
      <c r="B187" s="12" t="s">
        <v>629</v>
      </c>
      <c r="C187" s="40" t="s">
        <v>67</v>
      </c>
    </row>
    <row r="188" spans="1:3" ht="22.5" customHeight="1" x14ac:dyDescent="0.15">
      <c r="A188" s="16" t="s">
        <v>9</v>
      </c>
      <c r="B188" s="12" t="s">
        <v>630</v>
      </c>
      <c r="C188" s="40" t="s">
        <v>136</v>
      </c>
    </row>
    <row r="189" spans="1:3" ht="22.5" customHeight="1" x14ac:dyDescent="0.15">
      <c r="A189" s="16" t="s">
        <v>388</v>
      </c>
      <c r="B189" s="12" t="s">
        <v>632</v>
      </c>
      <c r="C189" s="40" t="s">
        <v>30</v>
      </c>
    </row>
    <row r="190" spans="1:3" ht="22.5" customHeight="1" x14ac:dyDescent="0.15">
      <c r="A190" s="16" t="s">
        <v>298</v>
      </c>
      <c r="B190" s="12" t="s">
        <v>633</v>
      </c>
      <c r="C190" s="40" t="s">
        <v>23</v>
      </c>
    </row>
    <row r="191" spans="1:3" ht="22.5" customHeight="1" x14ac:dyDescent="0.15">
      <c r="A191" s="16" t="s">
        <v>335</v>
      </c>
      <c r="B191" s="12" t="s">
        <v>634</v>
      </c>
      <c r="C191" s="40" t="s">
        <v>136</v>
      </c>
    </row>
    <row r="192" spans="1:3" ht="22.5" customHeight="1" x14ac:dyDescent="0.15">
      <c r="A192" s="16" t="s">
        <v>636</v>
      </c>
      <c r="B192" s="12" t="s">
        <v>637</v>
      </c>
      <c r="C192" s="40" t="s">
        <v>30</v>
      </c>
    </row>
    <row r="193" spans="1:3" ht="22.5" customHeight="1" x14ac:dyDescent="0.15">
      <c r="A193" s="16" t="s">
        <v>37</v>
      </c>
      <c r="B193" s="12" t="s">
        <v>639</v>
      </c>
      <c r="C193" s="40" t="s">
        <v>88</v>
      </c>
    </row>
    <row r="194" spans="1:3" ht="22.5" customHeight="1" x14ac:dyDescent="0.15">
      <c r="A194" s="16" t="s">
        <v>37</v>
      </c>
      <c r="B194" s="12" t="s">
        <v>640</v>
      </c>
      <c r="C194" s="40" t="s">
        <v>77</v>
      </c>
    </row>
    <row r="195" spans="1:3" ht="22.5" customHeight="1" x14ac:dyDescent="0.15">
      <c r="A195" s="16" t="s">
        <v>439</v>
      </c>
      <c r="B195" s="12" t="s">
        <v>642</v>
      </c>
      <c r="C195" s="40" t="s">
        <v>219</v>
      </c>
    </row>
    <row r="196" spans="1:3" ht="22.5" customHeight="1" x14ac:dyDescent="0.15">
      <c r="A196" s="16" t="s">
        <v>497</v>
      </c>
      <c r="B196" s="12" t="s">
        <v>644</v>
      </c>
      <c r="C196" s="40" t="s">
        <v>136</v>
      </c>
    </row>
    <row r="197" spans="1:3" ht="22.5" customHeight="1" x14ac:dyDescent="0.15">
      <c r="A197" s="16" t="s">
        <v>166</v>
      </c>
      <c r="B197" s="12" t="s">
        <v>645</v>
      </c>
      <c r="C197" s="40" t="s">
        <v>67</v>
      </c>
    </row>
    <row r="198" spans="1:3" ht="22.5" customHeight="1" x14ac:dyDescent="0.15">
      <c r="A198" s="16" t="s">
        <v>129</v>
      </c>
      <c r="B198" s="12" t="s">
        <v>646</v>
      </c>
      <c r="C198" s="40" t="s">
        <v>30</v>
      </c>
    </row>
    <row r="199" spans="1:3" ht="22.5" customHeight="1" x14ac:dyDescent="0.15">
      <c r="A199" s="16" t="s">
        <v>133</v>
      </c>
      <c r="B199" s="12" t="s">
        <v>647</v>
      </c>
      <c r="C199" s="40" t="s">
        <v>115</v>
      </c>
    </row>
    <row r="200" spans="1:3" ht="22.5" customHeight="1" x14ac:dyDescent="0.15">
      <c r="A200" s="16" t="s">
        <v>175</v>
      </c>
      <c r="B200" s="12" t="s">
        <v>648</v>
      </c>
      <c r="C200" s="40" t="s">
        <v>88</v>
      </c>
    </row>
    <row r="201" spans="1:3" ht="22.5" customHeight="1" x14ac:dyDescent="0.15">
      <c r="A201" s="16" t="s">
        <v>239</v>
      </c>
      <c r="B201" s="12" t="s">
        <v>649</v>
      </c>
      <c r="C201" s="40" t="s">
        <v>136</v>
      </c>
    </row>
    <row r="202" spans="1:3" ht="22.5" customHeight="1" x14ac:dyDescent="0.15">
      <c r="A202" s="16" t="s">
        <v>27</v>
      </c>
      <c r="B202" s="12" t="s">
        <v>650</v>
      </c>
      <c r="C202" s="40" t="s">
        <v>83</v>
      </c>
    </row>
    <row r="203" spans="1:3" ht="22.5" customHeight="1" x14ac:dyDescent="0.15">
      <c r="A203" s="16" t="s">
        <v>281</v>
      </c>
      <c r="B203" s="12" t="s">
        <v>651</v>
      </c>
      <c r="C203" s="40" t="s">
        <v>23</v>
      </c>
    </row>
    <row r="204" spans="1:3" ht="22.5" customHeight="1" x14ac:dyDescent="0.15">
      <c r="A204" s="16" t="s">
        <v>654</v>
      </c>
      <c r="B204" s="12" t="s">
        <v>655</v>
      </c>
      <c r="C204" s="40" t="s">
        <v>115</v>
      </c>
    </row>
    <row r="205" spans="1:3" ht="22.5" customHeight="1" x14ac:dyDescent="0.15">
      <c r="A205" s="16" t="s">
        <v>658</v>
      </c>
      <c r="B205" s="12" t="s">
        <v>659</v>
      </c>
      <c r="C205" s="40" t="s">
        <v>30</v>
      </c>
    </row>
    <row r="206" spans="1:3" ht="22.5" customHeight="1" x14ac:dyDescent="0.15">
      <c r="A206" s="16" t="s">
        <v>476</v>
      </c>
      <c r="B206" s="12" t="s">
        <v>660</v>
      </c>
      <c r="C206" s="40" t="s">
        <v>67</v>
      </c>
    </row>
    <row r="207" spans="1:3" ht="22.5" customHeight="1" x14ac:dyDescent="0.15">
      <c r="A207" s="16" t="s">
        <v>663</v>
      </c>
      <c r="B207" s="12" t="s">
        <v>664</v>
      </c>
      <c r="C207" s="40" t="s">
        <v>88</v>
      </c>
    </row>
    <row r="208" spans="1:3" ht="22.5" customHeight="1" x14ac:dyDescent="0.15">
      <c r="A208" s="16" t="s">
        <v>563</v>
      </c>
      <c r="B208" s="12" t="s">
        <v>650</v>
      </c>
      <c r="C208" s="40" t="s">
        <v>30</v>
      </c>
    </row>
    <row r="209" spans="1:3" ht="22.5" customHeight="1" x14ac:dyDescent="0.15">
      <c r="A209" s="16" t="s">
        <v>368</v>
      </c>
      <c r="B209" s="12" t="s">
        <v>665</v>
      </c>
      <c r="C209" s="40" t="s">
        <v>88</v>
      </c>
    </row>
    <row r="210" spans="1:3" ht="22.5" customHeight="1" x14ac:dyDescent="0.15">
      <c r="A210" s="16" t="s">
        <v>668</v>
      </c>
      <c r="B210" s="12" t="s">
        <v>669</v>
      </c>
      <c r="C210" s="40" t="s">
        <v>88</v>
      </c>
    </row>
    <row r="211" spans="1:3" ht="22.5" customHeight="1" x14ac:dyDescent="0.15">
      <c r="A211" s="16" t="s">
        <v>672</v>
      </c>
      <c r="B211" s="12" t="s">
        <v>673</v>
      </c>
      <c r="C211" s="40" t="s">
        <v>77</v>
      </c>
    </row>
    <row r="212" spans="1:3" ht="22.5" customHeight="1" x14ac:dyDescent="0.15">
      <c r="A212" s="16" t="s">
        <v>351</v>
      </c>
      <c r="B212" s="12" t="s">
        <v>674</v>
      </c>
      <c r="C212" s="40" t="s">
        <v>136</v>
      </c>
    </row>
    <row r="213" spans="1:3" ht="22.5" customHeight="1" x14ac:dyDescent="0.15">
      <c r="A213" s="16" t="s">
        <v>557</v>
      </c>
      <c r="B213" s="12" t="s">
        <v>675</v>
      </c>
      <c r="C213" s="40" t="s">
        <v>30</v>
      </c>
    </row>
    <row r="214" spans="1:3" ht="22.5" customHeight="1" x14ac:dyDescent="0.15">
      <c r="A214" s="16" t="s">
        <v>94</v>
      </c>
      <c r="B214" s="12" t="s">
        <v>676</v>
      </c>
      <c r="C214" s="40" t="s">
        <v>83</v>
      </c>
    </row>
    <row r="215" spans="1:3" ht="22.5" customHeight="1" x14ac:dyDescent="0.15">
      <c r="A215" s="16" t="s">
        <v>590</v>
      </c>
      <c r="B215" s="12" t="s">
        <v>678</v>
      </c>
      <c r="C215" s="40" t="s">
        <v>30</v>
      </c>
    </row>
    <row r="216" spans="1:3" ht="22.5" customHeight="1" x14ac:dyDescent="0.15">
      <c r="A216" s="16" t="s">
        <v>590</v>
      </c>
      <c r="B216" s="12" t="s">
        <v>680</v>
      </c>
      <c r="C216" s="40" t="s">
        <v>115</v>
      </c>
    </row>
    <row r="217" spans="1:3" ht="22.5" customHeight="1" x14ac:dyDescent="0.15">
      <c r="A217" s="16" t="s">
        <v>683</v>
      </c>
      <c r="B217" s="12" t="s">
        <v>684</v>
      </c>
      <c r="C217" s="40" t="s">
        <v>136</v>
      </c>
    </row>
    <row r="218" spans="1:3" ht="22.5" customHeight="1" x14ac:dyDescent="0.15">
      <c r="A218" s="16" t="s">
        <v>256</v>
      </c>
      <c r="B218" s="12" t="s">
        <v>686</v>
      </c>
      <c r="C218" s="40" t="s">
        <v>30</v>
      </c>
    </row>
    <row r="219" spans="1:3" ht="22.5" customHeight="1" x14ac:dyDescent="0.15">
      <c r="A219" s="16" t="s">
        <v>45</v>
      </c>
      <c r="B219" s="12" t="s">
        <v>688</v>
      </c>
      <c r="C219" s="40" t="s">
        <v>18</v>
      </c>
    </row>
    <row r="220" spans="1:3" ht="22.5" customHeight="1" x14ac:dyDescent="0.15">
      <c r="A220" s="16" t="s">
        <v>97</v>
      </c>
      <c r="B220" s="12" t="s">
        <v>689</v>
      </c>
      <c r="C220" s="40" t="s">
        <v>30</v>
      </c>
    </row>
    <row r="221" spans="1:3" ht="22.5" customHeight="1" x14ac:dyDescent="0.15">
      <c r="A221" s="16" t="s">
        <v>142</v>
      </c>
      <c r="B221" s="12" t="s">
        <v>690</v>
      </c>
      <c r="C221" s="40" t="s">
        <v>30</v>
      </c>
    </row>
    <row r="222" spans="1:3" ht="22.5" customHeight="1" x14ac:dyDescent="0.15">
      <c r="A222" s="16" t="s">
        <v>166</v>
      </c>
      <c r="B222" s="12" t="s">
        <v>692</v>
      </c>
      <c r="C222" s="40" t="s">
        <v>30</v>
      </c>
    </row>
    <row r="223" spans="1:3" ht="22.5" customHeight="1" x14ac:dyDescent="0.15">
      <c r="A223" s="16" t="s">
        <v>187</v>
      </c>
      <c r="B223" s="12" t="s">
        <v>693</v>
      </c>
      <c r="C223" s="40" t="s">
        <v>18</v>
      </c>
    </row>
    <row r="224" spans="1:3" ht="22.5" customHeight="1" x14ac:dyDescent="0.15">
      <c r="A224" s="16" t="s">
        <v>94</v>
      </c>
      <c r="B224" s="12" t="s">
        <v>694</v>
      </c>
      <c r="C224" s="40" t="s">
        <v>30</v>
      </c>
    </row>
    <row r="225" spans="1:3" ht="22.5" customHeight="1" x14ac:dyDescent="0.15">
      <c r="A225" s="16" t="s">
        <v>696</v>
      </c>
      <c r="B225" s="12" t="s">
        <v>697</v>
      </c>
      <c r="C225" s="40" t="s">
        <v>12</v>
      </c>
    </row>
    <row r="226" spans="1:3" ht="22.5" customHeight="1" x14ac:dyDescent="0.15">
      <c r="A226" s="16" t="s">
        <v>572</v>
      </c>
      <c r="B226" s="12" t="s">
        <v>698</v>
      </c>
      <c r="C226" s="40" t="s">
        <v>30</v>
      </c>
    </row>
    <row r="227" spans="1:3" ht="22.5" customHeight="1" x14ac:dyDescent="0.15">
      <c r="A227" s="16" t="s">
        <v>256</v>
      </c>
      <c r="B227" s="12" t="s">
        <v>700</v>
      </c>
      <c r="C227" s="40" t="s">
        <v>136</v>
      </c>
    </row>
    <row r="228" spans="1:3" ht="22.5" customHeight="1" x14ac:dyDescent="0.15">
      <c r="A228" s="16" t="s">
        <v>703</v>
      </c>
      <c r="B228" s="12" t="s">
        <v>704</v>
      </c>
      <c r="C228" s="40" t="s">
        <v>18</v>
      </c>
    </row>
    <row r="229" spans="1:3" ht="22.5" customHeight="1" x14ac:dyDescent="0.15">
      <c r="A229" s="16" t="s">
        <v>621</v>
      </c>
      <c r="B229" s="12" t="s">
        <v>705</v>
      </c>
      <c r="C229" s="40" t="s">
        <v>67</v>
      </c>
    </row>
    <row r="230" spans="1:3" ht="22.5" customHeight="1" x14ac:dyDescent="0.15">
      <c r="A230" s="16" t="s">
        <v>277</v>
      </c>
      <c r="B230" s="12" t="s">
        <v>707</v>
      </c>
      <c r="C230" s="40" t="s">
        <v>12</v>
      </c>
    </row>
    <row r="231" spans="1:3" ht="22.5" customHeight="1" x14ac:dyDescent="0.15">
      <c r="A231" s="16" t="s">
        <v>710</v>
      </c>
      <c r="B231" s="12" t="s">
        <v>711</v>
      </c>
      <c r="C231" s="40" t="s">
        <v>18</v>
      </c>
    </row>
    <row r="232" spans="1:3" ht="22.5" customHeight="1" x14ac:dyDescent="0.15">
      <c r="A232" s="16" t="s">
        <v>395</v>
      </c>
      <c r="B232" s="12" t="s">
        <v>712</v>
      </c>
      <c r="C232" s="40" t="s">
        <v>136</v>
      </c>
    </row>
    <row r="233" spans="1:3" ht="22.5" customHeight="1" x14ac:dyDescent="0.15">
      <c r="A233" s="16" t="s">
        <v>714</v>
      </c>
      <c r="B233" s="12" t="s">
        <v>715</v>
      </c>
      <c r="C233" s="40" t="s">
        <v>12</v>
      </c>
    </row>
    <row r="234" spans="1:3" ht="22.5" customHeight="1" x14ac:dyDescent="0.15">
      <c r="A234" s="16" t="s">
        <v>543</v>
      </c>
      <c r="B234" s="12" t="s">
        <v>716</v>
      </c>
      <c r="C234" s="40" t="s">
        <v>88</v>
      </c>
    </row>
    <row r="235" spans="1:3" ht="22.5" customHeight="1" x14ac:dyDescent="0.15">
      <c r="A235" s="16" t="s">
        <v>70</v>
      </c>
      <c r="B235" s="12" t="s">
        <v>717</v>
      </c>
      <c r="C235" s="40" t="s">
        <v>12</v>
      </c>
    </row>
    <row r="236" spans="1:3" ht="22.5" customHeight="1" x14ac:dyDescent="0.15">
      <c r="A236" s="16" t="s">
        <v>120</v>
      </c>
      <c r="B236" s="12" t="s">
        <v>719</v>
      </c>
      <c r="C236" s="40" t="s">
        <v>18</v>
      </c>
    </row>
    <row r="237" spans="1:3" ht="22.5" customHeight="1" x14ac:dyDescent="0.15">
      <c r="A237" s="16" t="s">
        <v>120</v>
      </c>
      <c r="B237" s="12" t="s">
        <v>720</v>
      </c>
      <c r="C237" s="40" t="s">
        <v>18</v>
      </c>
    </row>
    <row r="238" spans="1:3" ht="22.5" customHeight="1" x14ac:dyDescent="0.15">
      <c r="A238" s="16" t="s">
        <v>120</v>
      </c>
      <c r="B238" s="12" t="s">
        <v>721</v>
      </c>
      <c r="C238" s="40" t="s">
        <v>30</v>
      </c>
    </row>
    <row r="239" spans="1:3" ht="22.5" customHeight="1" x14ac:dyDescent="0.15">
      <c r="A239" s="16" t="s">
        <v>120</v>
      </c>
      <c r="B239" s="12" t="s">
        <v>722</v>
      </c>
      <c r="C239" s="40" t="s">
        <v>18</v>
      </c>
    </row>
    <row r="240" spans="1:3" ht="22.5" customHeight="1" x14ac:dyDescent="0.15">
      <c r="A240" s="16" t="s">
        <v>120</v>
      </c>
      <c r="B240" s="12" t="s">
        <v>723</v>
      </c>
      <c r="C240" s="40" t="s">
        <v>136</v>
      </c>
    </row>
    <row r="241" spans="1:3" ht="22.5" customHeight="1" x14ac:dyDescent="0.15">
      <c r="A241" s="16" t="s">
        <v>725</v>
      </c>
      <c r="B241" s="12" t="s">
        <v>726</v>
      </c>
      <c r="C241" s="40" t="s">
        <v>23</v>
      </c>
    </row>
    <row r="242" spans="1:3" ht="22.5" customHeight="1" x14ac:dyDescent="0.15">
      <c r="A242" s="16" t="s">
        <v>621</v>
      </c>
      <c r="B242" s="12" t="s">
        <v>727</v>
      </c>
      <c r="C242" s="40" t="s">
        <v>67</v>
      </c>
    </row>
    <row r="243" spans="1:3" ht="22.5" customHeight="1" x14ac:dyDescent="0.15">
      <c r="A243" s="16" t="s">
        <v>621</v>
      </c>
      <c r="B243" s="12" t="s">
        <v>728</v>
      </c>
      <c r="C243" s="40" t="s">
        <v>23</v>
      </c>
    </row>
    <row r="244" spans="1:3" ht="22.5" customHeight="1" x14ac:dyDescent="0.15">
      <c r="A244" s="16" t="s">
        <v>621</v>
      </c>
      <c r="B244" s="12" t="s">
        <v>729</v>
      </c>
      <c r="C244" s="40" t="s">
        <v>30</v>
      </c>
    </row>
    <row r="245" spans="1:3" ht="22.5" customHeight="1" x14ac:dyDescent="0.15">
      <c r="A245" s="16" t="s">
        <v>636</v>
      </c>
      <c r="B245" s="12" t="s">
        <v>730</v>
      </c>
      <c r="C245" s="40" t="s">
        <v>23</v>
      </c>
    </row>
    <row r="246" spans="1:3" ht="22.5" customHeight="1" x14ac:dyDescent="0.15">
      <c r="A246" s="16" t="s">
        <v>636</v>
      </c>
      <c r="B246" s="12" t="s">
        <v>731</v>
      </c>
      <c r="C246" s="40" t="s">
        <v>30</v>
      </c>
    </row>
    <row r="247" spans="1:3" ht="22.5" customHeight="1" x14ac:dyDescent="0.15">
      <c r="A247" s="16" t="s">
        <v>129</v>
      </c>
      <c r="B247" s="12" t="s">
        <v>732</v>
      </c>
      <c r="C247" s="40" t="s">
        <v>23</v>
      </c>
    </row>
    <row r="248" spans="1:3" ht="22.5" customHeight="1" x14ac:dyDescent="0.15">
      <c r="A248" s="16" t="s">
        <v>129</v>
      </c>
      <c r="B248" s="12" t="s">
        <v>733</v>
      </c>
      <c r="C248" s="40" t="s">
        <v>30</v>
      </c>
    </row>
    <row r="249" spans="1:3" ht="22.5" customHeight="1" x14ac:dyDescent="0.15">
      <c r="A249" s="16" t="s">
        <v>129</v>
      </c>
      <c r="B249" s="12" t="s">
        <v>734</v>
      </c>
      <c r="C249" s="40" t="s">
        <v>30</v>
      </c>
    </row>
    <row r="250" spans="1:3" ht="22.5" customHeight="1" x14ac:dyDescent="0.15">
      <c r="A250" s="16" t="s">
        <v>129</v>
      </c>
      <c r="B250" s="12" t="s">
        <v>735</v>
      </c>
      <c r="C250" s="40" t="s">
        <v>30</v>
      </c>
    </row>
    <row r="251" spans="1:3" ht="22.5" customHeight="1" x14ac:dyDescent="0.15">
      <c r="A251" s="16" t="s">
        <v>133</v>
      </c>
      <c r="B251" s="12" t="s">
        <v>736</v>
      </c>
      <c r="C251" s="40" t="s">
        <v>77</v>
      </c>
    </row>
    <row r="252" spans="1:3" ht="22.5" customHeight="1" x14ac:dyDescent="0.15">
      <c r="A252" s="16" t="s">
        <v>133</v>
      </c>
      <c r="B252" s="12" t="s">
        <v>737</v>
      </c>
      <c r="C252" s="40" t="s">
        <v>23</v>
      </c>
    </row>
    <row r="253" spans="1:3" ht="22.5" customHeight="1" x14ac:dyDescent="0.15">
      <c r="A253" s="16" t="s">
        <v>133</v>
      </c>
      <c r="B253" s="12" t="s">
        <v>738</v>
      </c>
      <c r="C253" s="40" t="s">
        <v>23</v>
      </c>
    </row>
    <row r="254" spans="1:3" ht="22.5" customHeight="1" x14ac:dyDescent="0.15">
      <c r="A254" s="16" t="s">
        <v>133</v>
      </c>
      <c r="B254" s="12" t="s">
        <v>739</v>
      </c>
      <c r="C254" s="40" t="s">
        <v>136</v>
      </c>
    </row>
    <row r="255" spans="1:3" ht="22.5" customHeight="1" x14ac:dyDescent="0.15">
      <c r="A255" s="16" t="s">
        <v>133</v>
      </c>
      <c r="B255" s="12" t="s">
        <v>740</v>
      </c>
      <c r="C255" s="40" t="s">
        <v>30</v>
      </c>
    </row>
    <row r="256" spans="1:3" ht="22.5" customHeight="1" x14ac:dyDescent="0.15">
      <c r="A256" s="16" t="s">
        <v>133</v>
      </c>
      <c r="B256" s="12" t="s">
        <v>741</v>
      </c>
      <c r="C256" s="40" t="s">
        <v>23</v>
      </c>
    </row>
    <row r="257" spans="1:3" ht="22.5" customHeight="1" x14ac:dyDescent="0.15">
      <c r="A257" s="16" t="s">
        <v>744</v>
      </c>
      <c r="B257" s="12" t="s">
        <v>745</v>
      </c>
      <c r="C257" s="40" t="s">
        <v>115</v>
      </c>
    </row>
    <row r="258" spans="1:3" ht="22.5" customHeight="1" x14ac:dyDescent="0.15">
      <c r="A258" s="16" t="s">
        <v>744</v>
      </c>
      <c r="B258" s="12" t="s">
        <v>746</v>
      </c>
      <c r="C258" s="40" t="s">
        <v>115</v>
      </c>
    </row>
    <row r="259" spans="1:3" ht="22.5" customHeight="1" x14ac:dyDescent="0.15">
      <c r="A259" s="16" t="s">
        <v>744</v>
      </c>
      <c r="B259" s="12" t="s">
        <v>747</v>
      </c>
      <c r="C259" s="40" t="s">
        <v>83</v>
      </c>
    </row>
    <row r="260" spans="1:3" ht="22.5" customHeight="1" x14ac:dyDescent="0.15">
      <c r="A260" s="16" t="s">
        <v>744</v>
      </c>
      <c r="B260" s="12" t="s">
        <v>748</v>
      </c>
      <c r="C260" s="40" t="s">
        <v>115</v>
      </c>
    </row>
    <row r="261" spans="1:3" ht="22.5" customHeight="1" x14ac:dyDescent="0.15">
      <c r="A261" s="16" t="s">
        <v>142</v>
      </c>
      <c r="B261" s="12" t="s">
        <v>749</v>
      </c>
      <c r="C261" s="40" t="s">
        <v>30</v>
      </c>
    </row>
    <row r="262" spans="1:3" ht="22.5" customHeight="1" x14ac:dyDescent="0.15">
      <c r="A262" s="16" t="s">
        <v>142</v>
      </c>
      <c r="B262" s="12" t="s">
        <v>750</v>
      </c>
      <c r="C262" s="40" t="s">
        <v>30</v>
      </c>
    </row>
    <row r="263" spans="1:3" ht="22.5" customHeight="1" x14ac:dyDescent="0.15">
      <c r="A263" s="16" t="s">
        <v>151</v>
      </c>
      <c r="B263" s="12" t="s">
        <v>751</v>
      </c>
      <c r="C263" s="40" t="s">
        <v>30</v>
      </c>
    </row>
    <row r="264" spans="1:3" ht="22.5" customHeight="1" x14ac:dyDescent="0.15">
      <c r="A264" s="16" t="s">
        <v>151</v>
      </c>
      <c r="B264" s="12" t="s">
        <v>752</v>
      </c>
      <c r="C264" s="40" t="s">
        <v>67</v>
      </c>
    </row>
    <row r="265" spans="1:3" ht="22.5" customHeight="1" x14ac:dyDescent="0.15">
      <c r="A265" s="16" t="s">
        <v>151</v>
      </c>
      <c r="B265" s="12" t="s">
        <v>753</v>
      </c>
      <c r="C265" s="40" t="s">
        <v>12</v>
      </c>
    </row>
    <row r="266" spans="1:3" ht="22.5" customHeight="1" x14ac:dyDescent="0.15">
      <c r="A266" s="16" t="s">
        <v>154</v>
      </c>
      <c r="B266" s="12" t="s">
        <v>754</v>
      </c>
      <c r="C266" s="40" t="s">
        <v>18</v>
      </c>
    </row>
    <row r="267" spans="1:3" ht="22.5" customHeight="1" x14ac:dyDescent="0.15">
      <c r="A267" s="16" t="s">
        <v>154</v>
      </c>
      <c r="B267" s="12" t="s">
        <v>755</v>
      </c>
      <c r="C267" s="40" t="s">
        <v>23</v>
      </c>
    </row>
    <row r="268" spans="1:3" ht="22.5" customHeight="1" x14ac:dyDescent="0.15">
      <c r="A268" s="16" t="s">
        <v>154</v>
      </c>
      <c r="B268" s="12" t="s">
        <v>756</v>
      </c>
      <c r="C268" s="40" t="s">
        <v>30</v>
      </c>
    </row>
    <row r="269" spans="1:3" ht="22.5" customHeight="1" x14ac:dyDescent="0.15">
      <c r="A269" s="16" t="s">
        <v>154</v>
      </c>
      <c r="B269" s="12" t="s">
        <v>757</v>
      </c>
      <c r="C269" s="40" t="s">
        <v>18</v>
      </c>
    </row>
    <row r="270" spans="1:3" ht="22.5" customHeight="1" x14ac:dyDescent="0.15">
      <c r="A270" s="16" t="s">
        <v>154</v>
      </c>
      <c r="B270" s="12" t="s">
        <v>758</v>
      </c>
      <c r="C270" s="40" t="s">
        <v>18</v>
      </c>
    </row>
    <row r="271" spans="1:3" ht="22.5" customHeight="1" x14ac:dyDescent="0.15">
      <c r="A271" s="16" t="s">
        <v>154</v>
      </c>
      <c r="B271" s="12" t="s">
        <v>759</v>
      </c>
      <c r="C271" s="40" t="s">
        <v>18</v>
      </c>
    </row>
    <row r="272" spans="1:3" ht="22.5" customHeight="1" x14ac:dyDescent="0.15">
      <c r="A272" s="16" t="s">
        <v>154</v>
      </c>
      <c r="B272" s="12" t="s">
        <v>760</v>
      </c>
      <c r="C272" s="40" t="s">
        <v>77</v>
      </c>
    </row>
    <row r="273" spans="1:3" ht="22.5" customHeight="1" x14ac:dyDescent="0.15">
      <c r="A273" s="16" t="s">
        <v>154</v>
      </c>
      <c r="B273" s="12" t="s">
        <v>761</v>
      </c>
      <c r="C273" s="40" t="s">
        <v>77</v>
      </c>
    </row>
    <row r="274" spans="1:3" ht="22.5" customHeight="1" x14ac:dyDescent="0.15">
      <c r="A274" s="16" t="s">
        <v>668</v>
      </c>
      <c r="B274" s="12" t="s">
        <v>762</v>
      </c>
      <c r="C274" s="40" t="s">
        <v>12</v>
      </c>
    </row>
    <row r="275" spans="1:3" ht="22.5" customHeight="1" x14ac:dyDescent="0.15">
      <c r="A275" s="16" t="s">
        <v>668</v>
      </c>
      <c r="B275" s="12" t="s">
        <v>763</v>
      </c>
      <c r="C275" s="40" t="s">
        <v>77</v>
      </c>
    </row>
    <row r="276" spans="1:3" ht="22.5" customHeight="1" x14ac:dyDescent="0.15">
      <c r="A276" s="16" t="s">
        <v>668</v>
      </c>
      <c r="B276" s="12" t="s">
        <v>764</v>
      </c>
      <c r="C276" s="40" t="s">
        <v>18</v>
      </c>
    </row>
    <row r="277" spans="1:3" ht="22.5" customHeight="1" x14ac:dyDescent="0.15">
      <c r="A277" s="16" t="s">
        <v>672</v>
      </c>
      <c r="B277" s="12" t="s">
        <v>765</v>
      </c>
      <c r="C277" s="40" t="s">
        <v>18</v>
      </c>
    </row>
    <row r="278" spans="1:3" ht="22.5" customHeight="1" x14ac:dyDescent="0.15">
      <c r="A278" s="16" t="s">
        <v>672</v>
      </c>
      <c r="B278" s="12" t="s">
        <v>766</v>
      </c>
      <c r="C278" s="40" t="s">
        <v>18</v>
      </c>
    </row>
    <row r="279" spans="1:3" ht="22.5" customHeight="1" x14ac:dyDescent="0.15">
      <c r="A279" s="16" t="s">
        <v>160</v>
      </c>
      <c r="B279" s="12" t="s">
        <v>767</v>
      </c>
      <c r="C279" s="40" t="s">
        <v>12</v>
      </c>
    </row>
    <row r="280" spans="1:3" ht="22.5" customHeight="1" x14ac:dyDescent="0.15">
      <c r="A280" s="16" t="s">
        <v>166</v>
      </c>
      <c r="B280" s="12" t="s">
        <v>768</v>
      </c>
      <c r="C280" s="40" t="s">
        <v>30</v>
      </c>
    </row>
    <row r="281" spans="1:3" ht="22.5" customHeight="1" x14ac:dyDescent="0.15">
      <c r="A281" s="16" t="s">
        <v>166</v>
      </c>
      <c r="B281" s="12" t="s">
        <v>769</v>
      </c>
      <c r="C281" s="40" t="s">
        <v>136</v>
      </c>
    </row>
    <row r="282" spans="1:3" ht="22.5" customHeight="1" x14ac:dyDescent="0.15">
      <c r="A282" s="16" t="s">
        <v>166</v>
      </c>
      <c r="B282" s="12" t="s">
        <v>770</v>
      </c>
      <c r="C282" s="40" t="s">
        <v>30</v>
      </c>
    </row>
    <row r="283" spans="1:3" ht="22.5" customHeight="1" x14ac:dyDescent="0.15">
      <c r="A283" s="16" t="s">
        <v>166</v>
      </c>
      <c r="B283" s="12" t="s">
        <v>771</v>
      </c>
      <c r="C283" s="40" t="s">
        <v>30</v>
      </c>
    </row>
    <row r="284" spans="1:3" ht="22.5" customHeight="1" x14ac:dyDescent="0.15">
      <c r="A284" s="16" t="s">
        <v>166</v>
      </c>
      <c r="B284" s="12" t="s">
        <v>772</v>
      </c>
      <c r="C284" s="40" t="s">
        <v>30</v>
      </c>
    </row>
    <row r="285" spans="1:3" ht="22.5" customHeight="1" x14ac:dyDescent="0.15">
      <c r="A285" s="16" t="s">
        <v>166</v>
      </c>
      <c r="B285" s="12" t="s">
        <v>773</v>
      </c>
      <c r="C285" s="40" t="s">
        <v>30</v>
      </c>
    </row>
    <row r="286" spans="1:3" ht="22.5" customHeight="1" x14ac:dyDescent="0.15">
      <c r="A286" s="16" t="s">
        <v>166</v>
      </c>
      <c r="B286" s="12" t="s">
        <v>774</v>
      </c>
      <c r="C286" s="40" t="s">
        <v>30</v>
      </c>
    </row>
    <row r="287" spans="1:3" ht="22.5" customHeight="1" x14ac:dyDescent="0.15">
      <c r="A287" s="16" t="s">
        <v>166</v>
      </c>
      <c r="B287" s="12" t="s">
        <v>775</v>
      </c>
      <c r="C287" s="40" t="s">
        <v>115</v>
      </c>
    </row>
    <row r="288" spans="1:3" ht="22.5" customHeight="1" x14ac:dyDescent="0.15">
      <c r="A288" s="16" t="s">
        <v>166</v>
      </c>
      <c r="B288" s="12" t="s">
        <v>776</v>
      </c>
      <c r="C288" s="40" t="s">
        <v>30</v>
      </c>
    </row>
    <row r="289" spans="1:3" ht="22.5" customHeight="1" x14ac:dyDescent="0.15">
      <c r="A289" s="16" t="s">
        <v>166</v>
      </c>
      <c r="B289" s="12" t="s">
        <v>777</v>
      </c>
      <c r="C289" s="40" t="s">
        <v>30</v>
      </c>
    </row>
    <row r="290" spans="1:3" ht="22.5" customHeight="1" x14ac:dyDescent="0.15">
      <c r="A290" s="16" t="s">
        <v>166</v>
      </c>
      <c r="B290" s="12" t="s">
        <v>778</v>
      </c>
      <c r="C290" s="40" t="s">
        <v>219</v>
      </c>
    </row>
    <row r="291" spans="1:3" ht="22.5" customHeight="1" x14ac:dyDescent="0.15">
      <c r="A291" s="16" t="s">
        <v>781</v>
      </c>
      <c r="B291" s="12" t="s">
        <v>782</v>
      </c>
      <c r="C291" s="40" t="s">
        <v>23</v>
      </c>
    </row>
    <row r="292" spans="1:3" ht="22.5" customHeight="1" x14ac:dyDescent="0.15">
      <c r="A292" s="16" t="s">
        <v>107</v>
      </c>
      <c r="B292" s="12" t="s">
        <v>783</v>
      </c>
      <c r="C292" s="40" t="s">
        <v>115</v>
      </c>
    </row>
    <row r="293" spans="1:3" ht="22.5" customHeight="1" x14ac:dyDescent="0.15">
      <c r="A293" s="16" t="s">
        <v>187</v>
      </c>
      <c r="B293" s="12" t="s">
        <v>784</v>
      </c>
      <c r="C293" s="40" t="s">
        <v>23</v>
      </c>
    </row>
    <row r="294" spans="1:3" ht="22.5" customHeight="1" x14ac:dyDescent="0.15">
      <c r="A294" s="16" t="s">
        <v>187</v>
      </c>
      <c r="B294" s="12" t="s">
        <v>785</v>
      </c>
      <c r="C294" s="40" t="s">
        <v>136</v>
      </c>
    </row>
    <row r="295" spans="1:3" ht="22.5" customHeight="1" x14ac:dyDescent="0.15">
      <c r="A295" s="16" t="s">
        <v>190</v>
      </c>
      <c r="B295" s="12" t="s">
        <v>786</v>
      </c>
      <c r="C295" s="40" t="s">
        <v>136</v>
      </c>
    </row>
    <row r="296" spans="1:3" ht="22.5" customHeight="1" x14ac:dyDescent="0.15">
      <c r="A296" s="16" t="s">
        <v>788</v>
      </c>
      <c r="B296" s="12" t="s">
        <v>789</v>
      </c>
      <c r="C296" s="40" t="s">
        <v>23</v>
      </c>
    </row>
    <row r="297" spans="1:3" ht="22.5" customHeight="1" x14ac:dyDescent="0.15">
      <c r="A297" s="16" t="s">
        <v>193</v>
      </c>
      <c r="B297" s="12" t="s">
        <v>790</v>
      </c>
      <c r="C297" s="40" t="s">
        <v>30</v>
      </c>
    </row>
    <row r="298" spans="1:3" ht="22.5" customHeight="1" x14ac:dyDescent="0.15">
      <c r="A298" s="16" t="s">
        <v>793</v>
      </c>
      <c r="B298" s="12" t="s">
        <v>794</v>
      </c>
      <c r="C298" s="40" t="s">
        <v>219</v>
      </c>
    </row>
    <row r="299" spans="1:3" ht="22.5" customHeight="1" x14ac:dyDescent="0.15">
      <c r="A299" s="16" t="s">
        <v>75</v>
      </c>
      <c r="B299" s="12" t="s">
        <v>795</v>
      </c>
      <c r="C299" s="40" t="s">
        <v>30</v>
      </c>
    </row>
    <row r="300" spans="1:3" ht="22.5" customHeight="1" x14ac:dyDescent="0.15">
      <c r="A300" s="16" t="s">
        <v>75</v>
      </c>
      <c r="B300" s="12" t="s">
        <v>796</v>
      </c>
      <c r="C300" s="40" t="s">
        <v>23</v>
      </c>
    </row>
    <row r="301" spans="1:3" ht="22.5" customHeight="1" x14ac:dyDescent="0.15">
      <c r="A301" s="16" t="s">
        <v>75</v>
      </c>
      <c r="B301" s="12" t="s">
        <v>797</v>
      </c>
      <c r="C301" s="40" t="s">
        <v>18</v>
      </c>
    </row>
    <row r="302" spans="1:3" ht="22.5" customHeight="1" x14ac:dyDescent="0.15">
      <c r="A302" s="16" t="s">
        <v>203</v>
      </c>
      <c r="B302" s="12" t="s">
        <v>798</v>
      </c>
      <c r="C302" s="40" t="s">
        <v>30</v>
      </c>
    </row>
    <row r="303" spans="1:3" ht="22.5" customHeight="1" x14ac:dyDescent="0.15">
      <c r="A303" s="16" t="s">
        <v>203</v>
      </c>
      <c r="B303" s="12" t="s">
        <v>799</v>
      </c>
      <c r="C303" s="40" t="s">
        <v>30</v>
      </c>
    </row>
    <row r="304" spans="1:3" ht="22.5" customHeight="1" x14ac:dyDescent="0.15">
      <c r="A304" s="16" t="s">
        <v>203</v>
      </c>
      <c r="B304" s="12" t="s">
        <v>800</v>
      </c>
      <c r="C304" s="40" t="s">
        <v>115</v>
      </c>
    </row>
    <row r="305" spans="1:3" ht="22.5" customHeight="1" x14ac:dyDescent="0.15">
      <c r="A305" s="16" t="s">
        <v>9</v>
      </c>
      <c r="B305" s="12" t="s">
        <v>801</v>
      </c>
      <c r="C305" s="40" t="s">
        <v>77</v>
      </c>
    </row>
    <row r="306" spans="1:3" ht="22.5" customHeight="1" x14ac:dyDescent="0.15">
      <c r="A306" s="16" t="s">
        <v>9</v>
      </c>
      <c r="B306" s="12" t="s">
        <v>802</v>
      </c>
      <c r="C306" s="40" t="s">
        <v>12</v>
      </c>
    </row>
    <row r="307" spans="1:3" ht="22.5" customHeight="1" x14ac:dyDescent="0.15">
      <c r="A307" s="16" t="s">
        <v>9</v>
      </c>
      <c r="B307" s="12" t="s">
        <v>803</v>
      </c>
      <c r="C307" s="40" t="s">
        <v>115</v>
      </c>
    </row>
    <row r="308" spans="1:3" ht="22.5" customHeight="1" x14ac:dyDescent="0.15">
      <c r="A308" s="16" t="s">
        <v>9</v>
      </c>
      <c r="B308" s="12" t="s">
        <v>804</v>
      </c>
      <c r="C308" s="40" t="s">
        <v>23</v>
      </c>
    </row>
    <row r="309" spans="1:3" ht="22.5" customHeight="1" x14ac:dyDescent="0.15">
      <c r="A309" s="16" t="s">
        <v>9</v>
      </c>
      <c r="B309" s="12" t="s">
        <v>805</v>
      </c>
      <c r="C309" s="40" t="s">
        <v>23</v>
      </c>
    </row>
    <row r="310" spans="1:3" ht="22.5" customHeight="1" x14ac:dyDescent="0.15">
      <c r="A310" s="16" t="s">
        <v>9</v>
      </c>
      <c r="B310" s="12" t="s">
        <v>806</v>
      </c>
      <c r="C310" s="40" t="s">
        <v>18</v>
      </c>
    </row>
    <row r="311" spans="1:3" ht="22.5" customHeight="1" x14ac:dyDescent="0.15">
      <c r="A311" s="16" t="s">
        <v>223</v>
      </c>
      <c r="B311" s="12" t="s">
        <v>807</v>
      </c>
      <c r="C311" s="40" t="s">
        <v>342</v>
      </c>
    </row>
    <row r="312" spans="1:3" ht="22.5" customHeight="1" x14ac:dyDescent="0.15">
      <c r="A312" s="16" t="s">
        <v>810</v>
      </c>
      <c r="B312" s="12" t="s">
        <v>811</v>
      </c>
      <c r="C312" s="40" t="s">
        <v>136</v>
      </c>
    </row>
    <row r="313" spans="1:3" ht="22.5" customHeight="1" x14ac:dyDescent="0.15">
      <c r="A313" s="16" t="s">
        <v>813</v>
      </c>
      <c r="B313" s="12" t="s">
        <v>814</v>
      </c>
      <c r="C313" s="40" t="s">
        <v>136</v>
      </c>
    </row>
    <row r="314" spans="1:3" ht="22.5" customHeight="1" x14ac:dyDescent="0.15">
      <c r="A314" s="16" t="s">
        <v>600</v>
      </c>
      <c r="B314" s="12" t="s">
        <v>815</v>
      </c>
      <c r="C314" s="40" t="s">
        <v>30</v>
      </c>
    </row>
    <row r="315" spans="1:3" ht="22.5" customHeight="1" x14ac:dyDescent="0.15">
      <c r="A315" s="16" t="s">
        <v>818</v>
      </c>
      <c r="B315" s="12" t="s">
        <v>819</v>
      </c>
      <c r="C315" s="40" t="s">
        <v>23</v>
      </c>
    </row>
    <row r="316" spans="1:3" ht="22.5" customHeight="1" x14ac:dyDescent="0.15">
      <c r="A316" s="16" t="s">
        <v>822</v>
      </c>
      <c r="B316" s="12" t="s">
        <v>823</v>
      </c>
      <c r="C316" s="40" t="s">
        <v>136</v>
      </c>
    </row>
    <row r="317" spans="1:3" ht="22.5" customHeight="1" x14ac:dyDescent="0.15">
      <c r="A317" s="16" t="s">
        <v>822</v>
      </c>
      <c r="B317" s="12" t="s">
        <v>824</v>
      </c>
      <c r="C317" s="40" t="s">
        <v>136</v>
      </c>
    </row>
    <row r="318" spans="1:3" ht="22.5" customHeight="1" x14ac:dyDescent="0.15">
      <c r="A318" s="16" t="s">
        <v>827</v>
      </c>
      <c r="B318" s="12" t="s">
        <v>828</v>
      </c>
      <c r="C318" s="40" t="s">
        <v>12</v>
      </c>
    </row>
    <row r="319" spans="1:3" ht="22.5" customHeight="1" x14ac:dyDescent="0.15">
      <c r="A319" s="16" t="s">
        <v>827</v>
      </c>
      <c r="B319" s="12" t="s">
        <v>829</v>
      </c>
      <c r="C319" s="40" t="s">
        <v>30</v>
      </c>
    </row>
    <row r="320" spans="1:3" ht="22.5" customHeight="1" x14ac:dyDescent="0.15">
      <c r="A320" s="16" t="s">
        <v>827</v>
      </c>
      <c r="B320" s="12" t="s">
        <v>830</v>
      </c>
      <c r="C320" s="40" t="s">
        <v>23</v>
      </c>
    </row>
    <row r="321" spans="1:3" ht="22.5" customHeight="1" x14ac:dyDescent="0.15">
      <c r="A321" s="16" t="s">
        <v>832</v>
      </c>
      <c r="B321" s="12" t="s">
        <v>833</v>
      </c>
      <c r="C321" s="40" t="s">
        <v>115</v>
      </c>
    </row>
    <row r="322" spans="1:3" ht="22.5" customHeight="1" x14ac:dyDescent="0.15">
      <c r="A322" s="16" t="s">
        <v>832</v>
      </c>
      <c r="B322" s="12" t="s">
        <v>834</v>
      </c>
      <c r="C322" s="40" t="s">
        <v>12</v>
      </c>
    </row>
    <row r="323" spans="1:3" ht="22.5" customHeight="1" x14ac:dyDescent="0.15">
      <c r="A323" s="16" t="s">
        <v>832</v>
      </c>
      <c r="B323" s="12" t="s">
        <v>835</v>
      </c>
      <c r="C323" s="40" t="s">
        <v>12</v>
      </c>
    </row>
    <row r="324" spans="1:3" ht="22.5" customHeight="1" x14ac:dyDescent="0.15">
      <c r="A324" s="16" t="s">
        <v>832</v>
      </c>
      <c r="B324" s="12" t="s">
        <v>836</v>
      </c>
      <c r="C324" s="40" t="s">
        <v>18</v>
      </c>
    </row>
    <row r="325" spans="1:3" ht="22.5" customHeight="1" x14ac:dyDescent="0.15">
      <c r="A325" s="16" t="s">
        <v>832</v>
      </c>
      <c r="B325" s="12" t="s">
        <v>837</v>
      </c>
      <c r="C325" s="40" t="s">
        <v>30</v>
      </c>
    </row>
    <row r="326" spans="1:3" ht="22.5" customHeight="1" x14ac:dyDescent="0.15">
      <c r="A326" s="16" t="s">
        <v>832</v>
      </c>
      <c r="B326" s="12" t="s">
        <v>838</v>
      </c>
      <c r="C326" s="40" t="s">
        <v>18</v>
      </c>
    </row>
    <row r="327" spans="1:3" ht="22.5" customHeight="1" x14ac:dyDescent="0.15">
      <c r="A327" s="16" t="s">
        <v>832</v>
      </c>
      <c r="B327" s="12" t="s">
        <v>839</v>
      </c>
      <c r="C327" s="40" t="s">
        <v>18</v>
      </c>
    </row>
    <row r="328" spans="1:3" ht="22.5" customHeight="1" x14ac:dyDescent="0.15">
      <c r="A328" s="16" t="s">
        <v>230</v>
      </c>
      <c r="B328" s="12" t="s">
        <v>840</v>
      </c>
      <c r="C328" s="40" t="s">
        <v>12</v>
      </c>
    </row>
    <row r="329" spans="1:3" ht="22.5" customHeight="1" x14ac:dyDescent="0.15">
      <c r="A329" s="16" t="s">
        <v>230</v>
      </c>
      <c r="B329" s="12" t="s">
        <v>841</v>
      </c>
      <c r="C329" s="40" t="s">
        <v>23</v>
      </c>
    </row>
    <row r="330" spans="1:3" ht="22.5" customHeight="1" x14ac:dyDescent="0.15">
      <c r="A330" s="16" t="s">
        <v>844</v>
      </c>
      <c r="B330" s="12" t="s">
        <v>845</v>
      </c>
      <c r="C330" s="40" t="s">
        <v>18</v>
      </c>
    </row>
    <row r="331" spans="1:3" ht="22.5" customHeight="1" x14ac:dyDescent="0.15">
      <c r="A331" s="16" t="s">
        <v>844</v>
      </c>
      <c r="B331" s="12" t="s">
        <v>783</v>
      </c>
      <c r="C331" s="40" t="s">
        <v>115</v>
      </c>
    </row>
    <row r="332" spans="1:3" ht="22.5" customHeight="1" x14ac:dyDescent="0.15">
      <c r="A332" s="16" t="s">
        <v>848</v>
      </c>
      <c r="B332" s="12" t="s">
        <v>849</v>
      </c>
      <c r="C332" s="40" t="s">
        <v>30</v>
      </c>
    </row>
    <row r="333" spans="1:3" ht="22.5" customHeight="1" x14ac:dyDescent="0.15">
      <c r="A333" s="16" t="s">
        <v>848</v>
      </c>
      <c r="B333" s="12" t="s">
        <v>850</v>
      </c>
      <c r="C333" s="40" t="s">
        <v>115</v>
      </c>
    </row>
    <row r="334" spans="1:3" ht="22.5" customHeight="1" x14ac:dyDescent="0.15">
      <c r="A334" s="16" t="s">
        <v>853</v>
      </c>
      <c r="B334" s="12" t="s">
        <v>854</v>
      </c>
      <c r="C334" s="40" t="s">
        <v>115</v>
      </c>
    </row>
    <row r="335" spans="1:3" ht="22.5" customHeight="1" x14ac:dyDescent="0.15">
      <c r="A335" s="16" t="s">
        <v>853</v>
      </c>
      <c r="B335" s="12" t="s">
        <v>855</v>
      </c>
      <c r="C335" s="40" t="s">
        <v>12</v>
      </c>
    </row>
    <row r="336" spans="1:3" ht="22.5" customHeight="1" x14ac:dyDescent="0.15">
      <c r="A336" s="16" t="s">
        <v>853</v>
      </c>
      <c r="B336" s="12" t="s">
        <v>856</v>
      </c>
      <c r="C336" s="40" t="s">
        <v>18</v>
      </c>
    </row>
    <row r="337" spans="1:3" ht="22.5" customHeight="1" x14ac:dyDescent="0.15">
      <c r="A337" s="16" t="s">
        <v>853</v>
      </c>
      <c r="B337" s="12" t="s">
        <v>857</v>
      </c>
      <c r="C337" s="40" t="s">
        <v>18</v>
      </c>
    </row>
    <row r="338" spans="1:3" ht="22.5" customHeight="1" x14ac:dyDescent="0.15">
      <c r="A338" s="16" t="s">
        <v>853</v>
      </c>
      <c r="B338" s="12" t="s">
        <v>858</v>
      </c>
      <c r="C338" s="40" t="s">
        <v>18</v>
      </c>
    </row>
    <row r="339" spans="1:3" ht="22.5" customHeight="1" x14ac:dyDescent="0.15">
      <c r="A339" s="16" t="s">
        <v>234</v>
      </c>
      <c r="B339" s="12" t="s">
        <v>859</v>
      </c>
      <c r="C339" s="40" t="s">
        <v>30</v>
      </c>
    </row>
    <row r="340" spans="1:3" ht="22.5" customHeight="1" x14ac:dyDescent="0.15">
      <c r="A340" s="16" t="s">
        <v>234</v>
      </c>
      <c r="B340" s="12" t="s">
        <v>860</v>
      </c>
      <c r="C340" s="40" t="s">
        <v>30</v>
      </c>
    </row>
    <row r="341" spans="1:3" ht="22.5" customHeight="1" x14ac:dyDescent="0.15">
      <c r="A341" s="16" t="s">
        <v>234</v>
      </c>
      <c r="B341" s="12" t="s">
        <v>861</v>
      </c>
      <c r="C341" s="40" t="s">
        <v>30</v>
      </c>
    </row>
    <row r="342" spans="1:3" ht="22.5" customHeight="1" x14ac:dyDescent="0.15">
      <c r="A342" s="16" t="s">
        <v>234</v>
      </c>
      <c r="B342" s="12" t="s">
        <v>862</v>
      </c>
      <c r="C342" s="40" t="s">
        <v>83</v>
      </c>
    </row>
    <row r="343" spans="1:3" ht="22.5" customHeight="1" x14ac:dyDescent="0.15">
      <c r="A343" s="16" t="s">
        <v>234</v>
      </c>
      <c r="B343" s="12" t="s">
        <v>863</v>
      </c>
      <c r="C343" s="40" t="s">
        <v>83</v>
      </c>
    </row>
    <row r="344" spans="1:3" ht="22.5" customHeight="1" x14ac:dyDescent="0.15">
      <c r="A344" s="16" t="s">
        <v>234</v>
      </c>
      <c r="B344" s="12" t="s">
        <v>864</v>
      </c>
      <c r="C344" s="40" t="s">
        <v>23</v>
      </c>
    </row>
    <row r="345" spans="1:3" ht="22.5" customHeight="1" x14ac:dyDescent="0.15">
      <c r="A345" s="16" t="s">
        <v>234</v>
      </c>
      <c r="B345" s="12" t="s">
        <v>865</v>
      </c>
      <c r="C345" s="40" t="s">
        <v>83</v>
      </c>
    </row>
    <row r="346" spans="1:3" ht="22.5" customHeight="1" x14ac:dyDescent="0.15">
      <c r="A346" s="16" t="s">
        <v>234</v>
      </c>
      <c r="B346" s="12" t="s">
        <v>866</v>
      </c>
      <c r="C346" s="40" t="s">
        <v>83</v>
      </c>
    </row>
    <row r="347" spans="1:3" ht="22.5" customHeight="1" x14ac:dyDescent="0.15">
      <c r="A347" s="16" t="s">
        <v>869</v>
      </c>
      <c r="B347" s="12" t="s">
        <v>870</v>
      </c>
      <c r="C347" s="40" t="s">
        <v>18</v>
      </c>
    </row>
    <row r="348" spans="1:3" ht="22.5" customHeight="1" x14ac:dyDescent="0.15">
      <c r="A348" s="16" t="s">
        <v>869</v>
      </c>
      <c r="B348" s="12" t="s">
        <v>871</v>
      </c>
      <c r="C348" s="40" t="s">
        <v>30</v>
      </c>
    </row>
    <row r="349" spans="1:3" ht="22.5" customHeight="1" x14ac:dyDescent="0.15">
      <c r="A349" s="16" t="s">
        <v>869</v>
      </c>
      <c r="B349" s="12" t="s">
        <v>872</v>
      </c>
      <c r="C349" s="40" t="s">
        <v>30</v>
      </c>
    </row>
    <row r="350" spans="1:3" ht="22.5" customHeight="1" x14ac:dyDescent="0.15">
      <c r="A350" s="16" t="s">
        <v>869</v>
      </c>
      <c r="B350" s="12" t="s">
        <v>873</v>
      </c>
      <c r="C350" s="40" t="s">
        <v>23</v>
      </c>
    </row>
    <row r="351" spans="1:3" ht="22.5" customHeight="1" x14ac:dyDescent="0.15">
      <c r="A351" s="16" t="s">
        <v>27</v>
      </c>
      <c r="B351" s="12" t="s">
        <v>874</v>
      </c>
      <c r="C351" s="40" t="s">
        <v>83</v>
      </c>
    </row>
    <row r="352" spans="1:3" ht="22.5" customHeight="1" x14ac:dyDescent="0.15">
      <c r="A352" s="16" t="s">
        <v>81</v>
      </c>
      <c r="B352" s="12" t="s">
        <v>875</v>
      </c>
      <c r="C352" s="40" t="s">
        <v>136</v>
      </c>
    </row>
    <row r="353" spans="1:3" ht="22.5" customHeight="1" x14ac:dyDescent="0.15">
      <c r="A353" s="16" t="s">
        <v>249</v>
      </c>
      <c r="B353" s="12" t="s">
        <v>876</v>
      </c>
      <c r="C353" s="40" t="s">
        <v>88</v>
      </c>
    </row>
    <row r="354" spans="1:3" ht="22.5" customHeight="1" x14ac:dyDescent="0.15">
      <c r="A354" s="16" t="s">
        <v>249</v>
      </c>
      <c r="B354" s="12" t="s">
        <v>876</v>
      </c>
      <c r="C354" s="40" t="s">
        <v>88</v>
      </c>
    </row>
    <row r="355" spans="1:3" ht="22.5" customHeight="1" x14ac:dyDescent="0.15">
      <c r="A355" s="16" t="s">
        <v>249</v>
      </c>
      <c r="B355" s="12" t="s">
        <v>876</v>
      </c>
      <c r="C355" s="40" t="s">
        <v>88</v>
      </c>
    </row>
    <row r="356" spans="1:3" ht="22.5" customHeight="1" x14ac:dyDescent="0.15">
      <c r="A356" s="16" t="s">
        <v>249</v>
      </c>
      <c r="B356" s="12" t="s">
        <v>877</v>
      </c>
      <c r="C356" s="40" t="s">
        <v>83</v>
      </c>
    </row>
    <row r="357" spans="1:3" ht="22.5" customHeight="1" x14ac:dyDescent="0.15">
      <c r="A357" s="16" t="s">
        <v>249</v>
      </c>
      <c r="B357" s="12" t="s">
        <v>878</v>
      </c>
      <c r="C357" s="40" t="s">
        <v>30</v>
      </c>
    </row>
    <row r="358" spans="1:3" ht="22.5" customHeight="1" x14ac:dyDescent="0.15">
      <c r="A358" s="16" t="s">
        <v>249</v>
      </c>
      <c r="B358" s="12" t="s">
        <v>879</v>
      </c>
      <c r="C358" s="40" t="s">
        <v>83</v>
      </c>
    </row>
    <row r="359" spans="1:3" ht="22.5" customHeight="1" x14ac:dyDescent="0.15">
      <c r="A359" s="16" t="s">
        <v>249</v>
      </c>
      <c r="B359" s="12" t="s">
        <v>880</v>
      </c>
      <c r="C359" s="40" t="s">
        <v>83</v>
      </c>
    </row>
    <row r="360" spans="1:3" ht="22.5" customHeight="1" x14ac:dyDescent="0.15">
      <c r="A360" s="16" t="s">
        <v>249</v>
      </c>
      <c r="B360" s="12" t="s">
        <v>881</v>
      </c>
      <c r="C360" s="40" t="s">
        <v>30</v>
      </c>
    </row>
    <row r="361" spans="1:3" ht="22.5" customHeight="1" x14ac:dyDescent="0.15">
      <c r="A361" s="16" t="s">
        <v>249</v>
      </c>
      <c r="B361" s="12" t="s">
        <v>882</v>
      </c>
      <c r="C361" s="40" t="s">
        <v>83</v>
      </c>
    </row>
    <row r="362" spans="1:3" ht="22.5" customHeight="1" x14ac:dyDescent="0.15">
      <c r="A362" s="16" t="s">
        <v>249</v>
      </c>
      <c r="B362" s="12" t="s">
        <v>883</v>
      </c>
      <c r="C362" s="40" t="s">
        <v>83</v>
      </c>
    </row>
    <row r="363" spans="1:3" ht="22.5" customHeight="1" x14ac:dyDescent="0.15">
      <c r="A363" s="16" t="s">
        <v>249</v>
      </c>
      <c r="B363" s="12" t="s">
        <v>884</v>
      </c>
      <c r="C363" s="40" t="s">
        <v>88</v>
      </c>
    </row>
    <row r="364" spans="1:3" ht="22.5" customHeight="1" x14ac:dyDescent="0.15">
      <c r="A364" s="16" t="s">
        <v>887</v>
      </c>
      <c r="B364" s="12" t="s">
        <v>888</v>
      </c>
      <c r="C364" s="40" t="s">
        <v>115</v>
      </c>
    </row>
    <row r="365" spans="1:3" ht="22.5" customHeight="1" x14ac:dyDescent="0.15">
      <c r="A365" s="16" t="s">
        <v>887</v>
      </c>
      <c r="B365" s="12" t="s">
        <v>889</v>
      </c>
      <c r="C365" s="40" t="s">
        <v>115</v>
      </c>
    </row>
    <row r="366" spans="1:3" ht="22.5" customHeight="1" x14ac:dyDescent="0.15">
      <c r="A366" s="16" t="s">
        <v>887</v>
      </c>
      <c r="B366" s="12" t="s">
        <v>890</v>
      </c>
      <c r="C366" s="40" t="s">
        <v>115</v>
      </c>
    </row>
    <row r="367" spans="1:3" ht="22.5" customHeight="1" x14ac:dyDescent="0.15">
      <c r="A367" s="16" t="s">
        <v>893</v>
      </c>
      <c r="B367" s="12" t="s">
        <v>894</v>
      </c>
      <c r="C367" s="40" t="s">
        <v>23</v>
      </c>
    </row>
    <row r="368" spans="1:3" ht="22.5" customHeight="1" x14ac:dyDescent="0.15">
      <c r="A368" s="16" t="s">
        <v>893</v>
      </c>
      <c r="B368" s="12" t="s">
        <v>895</v>
      </c>
      <c r="C368" s="40" t="s">
        <v>23</v>
      </c>
    </row>
    <row r="369" spans="1:3" ht="22.5" customHeight="1" x14ac:dyDescent="0.15">
      <c r="A369" s="16" t="s">
        <v>893</v>
      </c>
      <c r="B369" s="12" t="s">
        <v>896</v>
      </c>
      <c r="C369" s="40" t="s">
        <v>23</v>
      </c>
    </row>
    <row r="370" spans="1:3" ht="22.5" customHeight="1" x14ac:dyDescent="0.15">
      <c r="A370" s="16" t="s">
        <v>893</v>
      </c>
      <c r="B370" s="12" t="s">
        <v>897</v>
      </c>
      <c r="C370" s="40" t="s">
        <v>88</v>
      </c>
    </row>
    <row r="371" spans="1:3" ht="22.5" customHeight="1" x14ac:dyDescent="0.15">
      <c r="A371" s="16" t="s">
        <v>893</v>
      </c>
      <c r="B371" s="12" t="s">
        <v>898</v>
      </c>
      <c r="C371" s="40" t="s">
        <v>88</v>
      </c>
    </row>
    <row r="372" spans="1:3" ht="22.5" customHeight="1" x14ac:dyDescent="0.15">
      <c r="A372" s="16" t="s">
        <v>901</v>
      </c>
      <c r="B372" s="12" t="s">
        <v>902</v>
      </c>
      <c r="C372" s="40" t="s">
        <v>23</v>
      </c>
    </row>
    <row r="373" spans="1:3" ht="22.5" customHeight="1" x14ac:dyDescent="0.15">
      <c r="A373" s="16" t="s">
        <v>256</v>
      </c>
      <c r="B373" s="12" t="s">
        <v>903</v>
      </c>
      <c r="C373" s="40" t="s">
        <v>18</v>
      </c>
    </row>
    <row r="374" spans="1:3" ht="22.5" customHeight="1" x14ac:dyDescent="0.15">
      <c r="A374" s="16" t="s">
        <v>256</v>
      </c>
      <c r="B374" s="12" t="s">
        <v>904</v>
      </c>
      <c r="C374" s="40" t="s">
        <v>18</v>
      </c>
    </row>
    <row r="375" spans="1:3" ht="22.5" customHeight="1" x14ac:dyDescent="0.15">
      <c r="A375" s="16" t="s">
        <v>256</v>
      </c>
      <c r="B375" s="12" t="s">
        <v>906</v>
      </c>
      <c r="C375" s="40" t="s">
        <v>18</v>
      </c>
    </row>
    <row r="376" spans="1:3" ht="22.5" customHeight="1" x14ac:dyDescent="0.15">
      <c r="A376" s="16" t="s">
        <v>256</v>
      </c>
      <c r="B376" s="12" t="s">
        <v>907</v>
      </c>
      <c r="C376" s="40" t="s">
        <v>18</v>
      </c>
    </row>
    <row r="377" spans="1:3" ht="22.5" customHeight="1" x14ac:dyDescent="0.15">
      <c r="A377" s="16" t="s">
        <v>256</v>
      </c>
      <c r="B377" s="12" t="s">
        <v>908</v>
      </c>
      <c r="C377" s="40" t="s">
        <v>18</v>
      </c>
    </row>
    <row r="378" spans="1:3" ht="22.5" customHeight="1" x14ac:dyDescent="0.15">
      <c r="A378" s="16" t="s">
        <v>256</v>
      </c>
      <c r="B378" s="12" t="s">
        <v>909</v>
      </c>
      <c r="C378" s="40" t="s">
        <v>18</v>
      </c>
    </row>
    <row r="379" spans="1:3" ht="22.5" customHeight="1" x14ac:dyDescent="0.15">
      <c r="A379" s="16" t="s">
        <v>256</v>
      </c>
      <c r="B379" s="12" t="s">
        <v>910</v>
      </c>
      <c r="C379" s="40" t="s">
        <v>18</v>
      </c>
    </row>
    <row r="380" spans="1:3" ht="22.5" customHeight="1" x14ac:dyDescent="0.15">
      <c r="A380" s="16" t="s">
        <v>256</v>
      </c>
      <c r="B380" s="12" t="s">
        <v>911</v>
      </c>
      <c r="C380" s="40" t="s">
        <v>18</v>
      </c>
    </row>
    <row r="381" spans="1:3" ht="22.5" customHeight="1" x14ac:dyDescent="0.15">
      <c r="A381" s="16" t="s">
        <v>256</v>
      </c>
      <c r="B381" s="12" t="s">
        <v>912</v>
      </c>
      <c r="C381" s="40" t="s">
        <v>18</v>
      </c>
    </row>
    <row r="382" spans="1:3" ht="22.5" customHeight="1" x14ac:dyDescent="0.15">
      <c r="A382" s="16" t="s">
        <v>256</v>
      </c>
      <c r="B382" s="12" t="s">
        <v>913</v>
      </c>
      <c r="C382" s="40" t="s">
        <v>18</v>
      </c>
    </row>
    <row r="383" spans="1:3" ht="22.5" customHeight="1" x14ac:dyDescent="0.15">
      <c r="A383" s="16" t="s">
        <v>256</v>
      </c>
      <c r="B383" s="12" t="s">
        <v>914</v>
      </c>
      <c r="C383" s="40" t="s">
        <v>18</v>
      </c>
    </row>
    <row r="384" spans="1:3" ht="22.5" customHeight="1" x14ac:dyDescent="0.15">
      <c r="A384" s="19" t="s">
        <v>256</v>
      </c>
      <c r="B384" s="12" t="s">
        <v>915</v>
      </c>
      <c r="C384" s="40" t="s">
        <v>30</v>
      </c>
    </row>
    <row r="385" spans="1:3" ht="22.5" customHeight="1" x14ac:dyDescent="0.15">
      <c r="A385" s="16" t="s">
        <v>916</v>
      </c>
      <c r="B385" s="12" t="s">
        <v>917</v>
      </c>
      <c r="C385" s="40" t="s">
        <v>12</v>
      </c>
    </row>
    <row r="386" spans="1:3" ht="22.5" customHeight="1" x14ac:dyDescent="0.15">
      <c r="A386" s="16" t="s">
        <v>32</v>
      </c>
      <c r="B386" s="12" t="s">
        <v>918</v>
      </c>
      <c r="C386" s="40" t="s">
        <v>88</v>
      </c>
    </row>
    <row r="387" spans="1:3" ht="22.5" customHeight="1" x14ac:dyDescent="0.15">
      <c r="A387" s="16" t="s">
        <v>32</v>
      </c>
      <c r="B387" s="12" t="s">
        <v>919</v>
      </c>
      <c r="C387" s="40" t="s">
        <v>88</v>
      </c>
    </row>
    <row r="388" spans="1:3" ht="22.5" customHeight="1" x14ac:dyDescent="0.15">
      <c r="A388" s="16" t="s">
        <v>32</v>
      </c>
      <c r="B388" s="12" t="s">
        <v>920</v>
      </c>
      <c r="C388" s="40" t="s">
        <v>88</v>
      </c>
    </row>
    <row r="389" spans="1:3" ht="22.5" customHeight="1" x14ac:dyDescent="0.15">
      <c r="A389" s="16" t="s">
        <v>32</v>
      </c>
      <c r="B389" s="12" t="s">
        <v>921</v>
      </c>
      <c r="C389" s="40" t="s">
        <v>88</v>
      </c>
    </row>
    <row r="390" spans="1:3" ht="22.5" customHeight="1" x14ac:dyDescent="0.15">
      <c r="A390" s="16" t="s">
        <v>924</v>
      </c>
      <c r="B390" s="12" t="s">
        <v>925</v>
      </c>
      <c r="C390" s="40" t="s">
        <v>18</v>
      </c>
    </row>
    <row r="391" spans="1:3" ht="22.5" customHeight="1" x14ac:dyDescent="0.15">
      <c r="A391" s="16" t="s">
        <v>928</v>
      </c>
      <c r="B391" s="12" t="s">
        <v>929</v>
      </c>
      <c r="C391" s="40" t="s">
        <v>23</v>
      </c>
    </row>
    <row r="392" spans="1:3" ht="22.5" customHeight="1" x14ac:dyDescent="0.15">
      <c r="A392" s="16" t="s">
        <v>928</v>
      </c>
      <c r="B392" s="12" t="s">
        <v>930</v>
      </c>
      <c r="C392" s="40" t="s">
        <v>23</v>
      </c>
    </row>
    <row r="393" spans="1:3" ht="22.5" customHeight="1" x14ac:dyDescent="0.15">
      <c r="A393" s="16" t="s">
        <v>267</v>
      </c>
      <c r="B393" s="12" t="s">
        <v>931</v>
      </c>
      <c r="C393" s="40" t="s">
        <v>88</v>
      </c>
    </row>
    <row r="394" spans="1:3" ht="22.5" customHeight="1" x14ac:dyDescent="0.15">
      <c r="A394" s="16" t="s">
        <v>934</v>
      </c>
      <c r="B394" s="12" t="s">
        <v>935</v>
      </c>
      <c r="C394" s="40" t="s">
        <v>88</v>
      </c>
    </row>
    <row r="395" spans="1:3" ht="22.5" customHeight="1" x14ac:dyDescent="0.15">
      <c r="A395" s="16" t="s">
        <v>934</v>
      </c>
      <c r="B395" s="12" t="s">
        <v>936</v>
      </c>
      <c r="C395" s="40" t="s">
        <v>18</v>
      </c>
    </row>
    <row r="396" spans="1:3" ht="22.5" customHeight="1" x14ac:dyDescent="0.15">
      <c r="A396" s="16" t="s">
        <v>934</v>
      </c>
      <c r="B396" s="12" t="s">
        <v>937</v>
      </c>
      <c r="C396" s="40" t="s">
        <v>30</v>
      </c>
    </row>
    <row r="397" spans="1:3" ht="22.5" customHeight="1" x14ac:dyDescent="0.15">
      <c r="A397" s="16" t="s">
        <v>934</v>
      </c>
      <c r="B397" s="12" t="s">
        <v>938</v>
      </c>
      <c r="C397" s="40" t="s">
        <v>12</v>
      </c>
    </row>
    <row r="398" spans="1:3" ht="22.5" customHeight="1" x14ac:dyDescent="0.15">
      <c r="A398" s="16" t="s">
        <v>934</v>
      </c>
      <c r="B398" s="12" t="s">
        <v>939</v>
      </c>
      <c r="C398" s="40" t="s">
        <v>30</v>
      </c>
    </row>
    <row r="399" spans="1:3" ht="22.5" customHeight="1" x14ac:dyDescent="0.15">
      <c r="A399" s="16" t="s">
        <v>934</v>
      </c>
      <c r="B399" s="12" t="s">
        <v>940</v>
      </c>
      <c r="C399" s="40" t="s">
        <v>30</v>
      </c>
    </row>
    <row r="400" spans="1:3" ht="22.5" customHeight="1" x14ac:dyDescent="0.15">
      <c r="A400" s="16" t="s">
        <v>281</v>
      </c>
      <c r="B400" s="12" t="s">
        <v>941</v>
      </c>
      <c r="C400" s="40" t="s">
        <v>12</v>
      </c>
    </row>
    <row r="401" spans="1:3" ht="22.5" customHeight="1" x14ac:dyDescent="0.15">
      <c r="A401" s="16" t="s">
        <v>293</v>
      </c>
      <c r="B401" s="12" t="s">
        <v>942</v>
      </c>
      <c r="C401" s="40" t="s">
        <v>88</v>
      </c>
    </row>
    <row r="402" spans="1:3" ht="22.5" customHeight="1" x14ac:dyDescent="0.15">
      <c r="A402" s="16" t="s">
        <v>293</v>
      </c>
      <c r="B402" s="12" t="s">
        <v>943</v>
      </c>
      <c r="C402" s="40" t="s">
        <v>88</v>
      </c>
    </row>
    <row r="403" spans="1:3" ht="22.5" customHeight="1" x14ac:dyDescent="0.15">
      <c r="A403" s="16" t="s">
        <v>946</v>
      </c>
      <c r="B403" s="12" t="s">
        <v>947</v>
      </c>
      <c r="C403" s="40" t="s">
        <v>23</v>
      </c>
    </row>
    <row r="404" spans="1:3" ht="22.5" customHeight="1" x14ac:dyDescent="0.15">
      <c r="A404" s="16" t="s">
        <v>950</v>
      </c>
      <c r="B404" s="12" t="s">
        <v>951</v>
      </c>
      <c r="C404" s="40" t="s">
        <v>18</v>
      </c>
    </row>
    <row r="405" spans="1:3" ht="22.5" customHeight="1" x14ac:dyDescent="0.15">
      <c r="A405" s="16" t="s">
        <v>298</v>
      </c>
      <c r="B405" s="12" t="s">
        <v>952</v>
      </c>
      <c r="C405" s="40" t="s">
        <v>12</v>
      </c>
    </row>
    <row r="406" spans="1:3" ht="22.5" customHeight="1" x14ac:dyDescent="0.15">
      <c r="A406" s="16" t="s">
        <v>955</v>
      </c>
      <c r="B406" s="12" t="s">
        <v>956</v>
      </c>
      <c r="C406" s="40" t="s">
        <v>88</v>
      </c>
    </row>
    <row r="407" spans="1:3" ht="22.5" customHeight="1" x14ac:dyDescent="0.15">
      <c r="A407" s="16" t="s">
        <v>37</v>
      </c>
      <c r="B407" s="12" t="s">
        <v>957</v>
      </c>
      <c r="C407" s="40" t="s">
        <v>23</v>
      </c>
    </row>
    <row r="408" spans="1:3" ht="22.5" customHeight="1" x14ac:dyDescent="0.15">
      <c r="A408" s="16" t="s">
        <v>327</v>
      </c>
      <c r="B408" s="12" t="s">
        <v>958</v>
      </c>
      <c r="C408" s="40" t="s">
        <v>23</v>
      </c>
    </row>
    <row r="409" spans="1:3" ht="22.5" customHeight="1" x14ac:dyDescent="0.15">
      <c r="A409" s="16" t="s">
        <v>327</v>
      </c>
      <c r="B409" s="12" t="s">
        <v>959</v>
      </c>
      <c r="C409" s="40" t="s">
        <v>88</v>
      </c>
    </row>
    <row r="410" spans="1:3" ht="22.5" customHeight="1" x14ac:dyDescent="0.15">
      <c r="A410" s="16" t="s">
        <v>654</v>
      </c>
      <c r="B410" s="12" t="s">
        <v>960</v>
      </c>
      <c r="C410" s="40" t="s">
        <v>115</v>
      </c>
    </row>
    <row r="411" spans="1:3" ht="22.5" customHeight="1" x14ac:dyDescent="0.15">
      <c r="A411" s="16" t="s">
        <v>654</v>
      </c>
      <c r="B411" s="12" t="s">
        <v>961</v>
      </c>
      <c r="C411" s="40" t="s">
        <v>115</v>
      </c>
    </row>
    <row r="412" spans="1:3" ht="22.5" customHeight="1" x14ac:dyDescent="0.15">
      <c r="A412" s="16" t="s">
        <v>654</v>
      </c>
      <c r="B412" s="12" t="s">
        <v>962</v>
      </c>
      <c r="C412" s="40" t="s">
        <v>115</v>
      </c>
    </row>
    <row r="413" spans="1:3" ht="22.5" customHeight="1" x14ac:dyDescent="0.15">
      <c r="A413" s="16" t="s">
        <v>335</v>
      </c>
      <c r="B413" s="12" t="s">
        <v>963</v>
      </c>
      <c r="C413" s="40" t="s">
        <v>342</v>
      </c>
    </row>
    <row r="414" spans="1:3" ht="22.5" customHeight="1" x14ac:dyDescent="0.15">
      <c r="A414" s="16" t="s">
        <v>966</v>
      </c>
      <c r="B414" s="12" t="s">
        <v>967</v>
      </c>
      <c r="C414" s="40" t="s">
        <v>18</v>
      </c>
    </row>
    <row r="415" spans="1:3" ht="22.5" customHeight="1" x14ac:dyDescent="0.15">
      <c r="A415" s="16" t="s">
        <v>966</v>
      </c>
      <c r="B415" s="12" t="s">
        <v>968</v>
      </c>
      <c r="C415" s="40" t="s">
        <v>18</v>
      </c>
    </row>
    <row r="416" spans="1:3" ht="22.5" customHeight="1" x14ac:dyDescent="0.15">
      <c r="A416" s="16" t="s">
        <v>966</v>
      </c>
      <c r="B416" s="12" t="s">
        <v>969</v>
      </c>
      <c r="C416" s="40" t="s">
        <v>18</v>
      </c>
    </row>
    <row r="417" spans="1:3" ht="22.5" customHeight="1" x14ac:dyDescent="0.15">
      <c r="A417" s="16" t="s">
        <v>971</v>
      </c>
      <c r="B417" s="12" t="s">
        <v>972</v>
      </c>
      <c r="C417" s="40" t="s">
        <v>83</v>
      </c>
    </row>
    <row r="418" spans="1:3" ht="22.5" customHeight="1" x14ac:dyDescent="0.15">
      <c r="A418" s="16" t="s">
        <v>975</v>
      </c>
      <c r="B418" s="12" t="s">
        <v>976</v>
      </c>
      <c r="C418" s="40" t="s">
        <v>30</v>
      </c>
    </row>
    <row r="419" spans="1:3" ht="22.5" customHeight="1" x14ac:dyDescent="0.15">
      <c r="A419" s="16" t="s">
        <v>975</v>
      </c>
      <c r="B419" s="12" t="s">
        <v>977</v>
      </c>
      <c r="C419" s="40" t="s">
        <v>18</v>
      </c>
    </row>
    <row r="420" spans="1:3" ht="22.5" customHeight="1" x14ac:dyDescent="0.15">
      <c r="A420" s="16" t="s">
        <v>975</v>
      </c>
      <c r="B420" s="12" t="s">
        <v>978</v>
      </c>
      <c r="C420" s="40" t="s">
        <v>12</v>
      </c>
    </row>
    <row r="421" spans="1:3" ht="22.5" customHeight="1" x14ac:dyDescent="0.15">
      <c r="A421" s="16" t="s">
        <v>975</v>
      </c>
      <c r="B421" s="12" t="s">
        <v>979</v>
      </c>
      <c r="C421" s="40" t="s">
        <v>12</v>
      </c>
    </row>
    <row r="422" spans="1:3" ht="22.5" customHeight="1" x14ac:dyDescent="0.15">
      <c r="A422" s="16" t="s">
        <v>975</v>
      </c>
      <c r="B422" s="12" t="s">
        <v>980</v>
      </c>
      <c r="C422" s="40" t="s">
        <v>12</v>
      </c>
    </row>
    <row r="423" spans="1:3" ht="22.5" customHeight="1" x14ac:dyDescent="0.15">
      <c r="A423" s="16" t="s">
        <v>345</v>
      </c>
      <c r="B423" s="12" t="s">
        <v>981</v>
      </c>
      <c r="C423" s="40" t="s">
        <v>18</v>
      </c>
    </row>
    <row r="424" spans="1:3" ht="22.5" customHeight="1" x14ac:dyDescent="0.15">
      <c r="A424" s="16" t="s">
        <v>347</v>
      </c>
      <c r="B424" s="12" t="s">
        <v>982</v>
      </c>
      <c r="C424" s="40" t="s">
        <v>30</v>
      </c>
    </row>
    <row r="425" spans="1:3" ht="22.5" customHeight="1" x14ac:dyDescent="0.15">
      <c r="A425" s="16" t="s">
        <v>347</v>
      </c>
      <c r="B425" s="12" t="s">
        <v>983</v>
      </c>
      <c r="C425" s="40" t="s">
        <v>83</v>
      </c>
    </row>
    <row r="426" spans="1:3" ht="22.5" customHeight="1" x14ac:dyDescent="0.15">
      <c r="A426" s="16" t="s">
        <v>347</v>
      </c>
      <c r="B426" s="12" t="s">
        <v>984</v>
      </c>
      <c r="C426" s="40" t="s">
        <v>83</v>
      </c>
    </row>
    <row r="427" spans="1:3" ht="22.5" customHeight="1" x14ac:dyDescent="0.15">
      <c r="A427" s="16" t="s">
        <v>347</v>
      </c>
      <c r="B427" s="12" t="s">
        <v>985</v>
      </c>
      <c r="C427" s="40" t="s">
        <v>83</v>
      </c>
    </row>
    <row r="428" spans="1:3" ht="22.5" customHeight="1" x14ac:dyDescent="0.15">
      <c r="A428" s="16" t="s">
        <v>347</v>
      </c>
      <c r="B428" s="12" t="s">
        <v>986</v>
      </c>
      <c r="C428" s="40" t="s">
        <v>136</v>
      </c>
    </row>
    <row r="429" spans="1:3" ht="22.5" customHeight="1" x14ac:dyDescent="0.15">
      <c r="A429" s="16" t="s">
        <v>351</v>
      </c>
      <c r="B429" s="12" t="s">
        <v>987</v>
      </c>
      <c r="C429" s="40" t="s">
        <v>12</v>
      </c>
    </row>
    <row r="430" spans="1:3" ht="22.5" customHeight="1" x14ac:dyDescent="0.15">
      <c r="A430" s="16" t="s">
        <v>351</v>
      </c>
      <c r="B430" s="12" t="s">
        <v>988</v>
      </c>
      <c r="C430" s="40" t="s">
        <v>30</v>
      </c>
    </row>
    <row r="431" spans="1:3" ht="22.5" customHeight="1" x14ac:dyDescent="0.15">
      <c r="A431" s="16" t="s">
        <v>351</v>
      </c>
      <c r="B431" s="12" t="s">
        <v>989</v>
      </c>
      <c r="C431" s="40" t="s">
        <v>30</v>
      </c>
    </row>
    <row r="432" spans="1:3" ht="22.5" customHeight="1" x14ac:dyDescent="0.15">
      <c r="A432" s="16" t="s">
        <v>359</v>
      </c>
      <c r="B432" s="12" t="s">
        <v>990</v>
      </c>
      <c r="C432" s="40" t="s">
        <v>30</v>
      </c>
    </row>
    <row r="433" spans="1:3" ht="22.5" customHeight="1" x14ac:dyDescent="0.15">
      <c r="A433" s="16" t="s">
        <v>359</v>
      </c>
      <c r="B433" s="12" t="s">
        <v>991</v>
      </c>
      <c r="C433" s="40" t="s">
        <v>30</v>
      </c>
    </row>
    <row r="434" spans="1:3" ht="22.5" customHeight="1" x14ac:dyDescent="0.15">
      <c r="A434" s="16" t="s">
        <v>359</v>
      </c>
      <c r="B434" s="12" t="s">
        <v>992</v>
      </c>
      <c r="C434" s="40" t="s">
        <v>30</v>
      </c>
    </row>
    <row r="435" spans="1:3" ht="22.5" customHeight="1" x14ac:dyDescent="0.15">
      <c r="A435" s="16" t="s">
        <v>359</v>
      </c>
      <c r="B435" s="12" t="s">
        <v>993</v>
      </c>
      <c r="C435" s="40" t="s">
        <v>23</v>
      </c>
    </row>
    <row r="436" spans="1:3" ht="22.5" customHeight="1" x14ac:dyDescent="0.15">
      <c r="A436" s="16" t="s">
        <v>359</v>
      </c>
      <c r="B436" s="12" t="s">
        <v>994</v>
      </c>
      <c r="C436" s="40" t="s">
        <v>23</v>
      </c>
    </row>
    <row r="437" spans="1:3" ht="22.5" customHeight="1" x14ac:dyDescent="0.15">
      <c r="A437" s="16" t="s">
        <v>359</v>
      </c>
      <c r="B437" s="12" t="s">
        <v>995</v>
      </c>
      <c r="C437" s="40" t="s">
        <v>23</v>
      </c>
    </row>
    <row r="438" spans="1:3" ht="22.5" customHeight="1" x14ac:dyDescent="0.15">
      <c r="A438" s="16" t="s">
        <v>998</v>
      </c>
      <c r="B438" s="12" t="s">
        <v>999</v>
      </c>
      <c r="C438" s="40" t="s">
        <v>342</v>
      </c>
    </row>
    <row r="439" spans="1:3" ht="22.5" customHeight="1" x14ac:dyDescent="0.15">
      <c r="A439" s="16" t="s">
        <v>364</v>
      </c>
      <c r="B439" s="12" t="s">
        <v>1000</v>
      </c>
      <c r="C439" s="40" t="s">
        <v>30</v>
      </c>
    </row>
    <row r="440" spans="1:3" ht="22.5" customHeight="1" x14ac:dyDescent="0.15">
      <c r="A440" s="16" t="s">
        <v>1003</v>
      </c>
      <c r="B440" s="12" t="s">
        <v>1004</v>
      </c>
      <c r="C440" s="40" t="s">
        <v>136</v>
      </c>
    </row>
    <row r="441" spans="1:3" ht="22.5" customHeight="1" x14ac:dyDescent="0.15">
      <c r="A441" s="16" t="s">
        <v>658</v>
      </c>
      <c r="B441" s="12" t="s">
        <v>1005</v>
      </c>
      <c r="C441" s="40" t="s">
        <v>30</v>
      </c>
    </row>
    <row r="442" spans="1:3" ht="22.5" customHeight="1" x14ac:dyDescent="0.15">
      <c r="A442" s="16" t="s">
        <v>374</v>
      </c>
      <c r="B442" s="12" t="s">
        <v>1006</v>
      </c>
      <c r="C442" s="40" t="s">
        <v>342</v>
      </c>
    </row>
    <row r="443" spans="1:3" ht="22.5" customHeight="1" x14ac:dyDescent="0.15">
      <c r="A443" s="16" t="s">
        <v>1009</v>
      </c>
      <c r="B443" s="12" t="s">
        <v>1010</v>
      </c>
      <c r="C443" s="40" t="s">
        <v>88</v>
      </c>
    </row>
    <row r="444" spans="1:3" ht="22.5" customHeight="1" x14ac:dyDescent="0.15">
      <c r="A444" s="16" t="s">
        <v>1013</v>
      </c>
      <c r="B444" s="12" t="s">
        <v>1014</v>
      </c>
      <c r="C444" s="40" t="s">
        <v>30</v>
      </c>
    </row>
    <row r="445" spans="1:3" ht="22.5" customHeight="1" x14ac:dyDescent="0.15">
      <c r="A445" s="16" t="s">
        <v>1013</v>
      </c>
      <c r="B445" s="12" t="s">
        <v>1015</v>
      </c>
      <c r="C445" s="40" t="s">
        <v>30</v>
      </c>
    </row>
    <row r="446" spans="1:3" ht="22.5" customHeight="1" x14ac:dyDescent="0.15">
      <c r="A446" s="16" t="s">
        <v>1013</v>
      </c>
      <c r="B446" s="12" t="s">
        <v>1016</v>
      </c>
      <c r="C446" s="40" t="s">
        <v>30</v>
      </c>
    </row>
    <row r="447" spans="1:3" ht="22.5" customHeight="1" x14ac:dyDescent="0.15">
      <c r="A447" s="16" t="s">
        <v>1013</v>
      </c>
      <c r="B447" s="12" t="s">
        <v>1017</v>
      </c>
      <c r="C447" s="40" t="s">
        <v>30</v>
      </c>
    </row>
    <row r="448" spans="1:3" ht="22.5" customHeight="1" x14ac:dyDescent="0.15">
      <c r="A448" s="16" t="s">
        <v>379</v>
      </c>
      <c r="B448" s="12" t="s">
        <v>1018</v>
      </c>
      <c r="C448" s="40" t="s">
        <v>30</v>
      </c>
    </row>
    <row r="449" spans="1:3" ht="22.5" customHeight="1" x14ac:dyDescent="0.15">
      <c r="A449" s="16" t="s">
        <v>1021</v>
      </c>
      <c r="B449" s="12" t="s">
        <v>1022</v>
      </c>
      <c r="C449" s="40" t="s">
        <v>12</v>
      </c>
    </row>
    <row r="450" spans="1:3" ht="22.5" customHeight="1" x14ac:dyDescent="0.15">
      <c r="A450" s="16" t="s">
        <v>1025</v>
      </c>
      <c r="B450" s="12" t="s">
        <v>1026</v>
      </c>
      <c r="C450" s="40" t="s">
        <v>30</v>
      </c>
    </row>
    <row r="451" spans="1:3" ht="22.5" customHeight="1" x14ac:dyDescent="0.15">
      <c r="A451" s="16" t="s">
        <v>1025</v>
      </c>
      <c r="B451" s="12" t="s">
        <v>1027</v>
      </c>
      <c r="C451" s="40" t="s">
        <v>30</v>
      </c>
    </row>
    <row r="452" spans="1:3" ht="22.5" customHeight="1" x14ac:dyDescent="0.15">
      <c r="A452" s="16" t="s">
        <v>1025</v>
      </c>
      <c r="B452" s="12" t="s">
        <v>1028</v>
      </c>
      <c r="C452" s="40" t="s">
        <v>30</v>
      </c>
    </row>
    <row r="453" spans="1:3" ht="22.5" customHeight="1" x14ac:dyDescent="0.15">
      <c r="A453" s="16" t="s">
        <v>384</v>
      </c>
      <c r="B453" s="12" t="s">
        <v>1029</v>
      </c>
      <c r="C453" s="40" t="s">
        <v>30</v>
      </c>
    </row>
    <row r="454" spans="1:3" ht="22.5" customHeight="1" x14ac:dyDescent="0.15">
      <c r="A454" s="16" t="s">
        <v>1032</v>
      </c>
      <c r="B454" s="12" t="s">
        <v>1033</v>
      </c>
      <c r="C454" s="40" t="s">
        <v>342</v>
      </c>
    </row>
    <row r="455" spans="1:3" ht="22.5" customHeight="1" x14ac:dyDescent="0.15">
      <c r="A455" s="16" t="s">
        <v>86</v>
      </c>
      <c r="B455" s="12" t="s">
        <v>1034</v>
      </c>
      <c r="C455" s="40" t="s">
        <v>136</v>
      </c>
    </row>
    <row r="456" spans="1:3" ht="22.5" customHeight="1" x14ac:dyDescent="0.15">
      <c r="A456" s="16" t="s">
        <v>86</v>
      </c>
      <c r="B456" s="12" t="s">
        <v>1035</v>
      </c>
      <c r="C456" s="40" t="s">
        <v>88</v>
      </c>
    </row>
    <row r="457" spans="1:3" ht="22.5" customHeight="1" x14ac:dyDescent="0.15">
      <c r="A457" s="16" t="s">
        <v>1038</v>
      </c>
      <c r="B457" s="12" t="s">
        <v>1039</v>
      </c>
      <c r="C457" s="40" t="s">
        <v>88</v>
      </c>
    </row>
    <row r="458" spans="1:3" ht="22.5" customHeight="1" x14ac:dyDescent="0.15">
      <c r="A458" s="16" t="s">
        <v>1038</v>
      </c>
      <c r="B458" s="12" t="s">
        <v>1040</v>
      </c>
      <c r="C458" s="40" t="s">
        <v>88</v>
      </c>
    </row>
    <row r="459" spans="1:3" ht="22.5" customHeight="1" x14ac:dyDescent="0.15">
      <c r="A459" s="16" t="s">
        <v>1038</v>
      </c>
      <c r="B459" s="12" t="s">
        <v>1041</v>
      </c>
      <c r="C459" s="40" t="s">
        <v>88</v>
      </c>
    </row>
    <row r="460" spans="1:3" ht="22.5" customHeight="1" x14ac:dyDescent="0.15">
      <c r="A460" s="16" t="s">
        <v>1038</v>
      </c>
      <c r="B460" s="12" t="s">
        <v>1042</v>
      </c>
      <c r="C460" s="40" t="s">
        <v>18</v>
      </c>
    </row>
    <row r="461" spans="1:3" ht="22.5" customHeight="1" x14ac:dyDescent="0.15">
      <c r="A461" s="16" t="s">
        <v>1038</v>
      </c>
      <c r="B461" s="12" t="s">
        <v>1043</v>
      </c>
      <c r="C461" s="40" t="s">
        <v>30</v>
      </c>
    </row>
    <row r="462" spans="1:3" ht="22.5" customHeight="1" x14ac:dyDescent="0.15">
      <c r="A462" s="16" t="s">
        <v>1038</v>
      </c>
      <c r="B462" s="12" t="s">
        <v>1044</v>
      </c>
      <c r="C462" s="40" t="s">
        <v>30</v>
      </c>
    </row>
    <row r="463" spans="1:3" ht="22.5" customHeight="1" x14ac:dyDescent="0.15">
      <c r="A463" s="16" t="s">
        <v>1038</v>
      </c>
      <c r="B463" s="12" t="s">
        <v>1045</v>
      </c>
      <c r="C463" s="40" t="s">
        <v>83</v>
      </c>
    </row>
    <row r="464" spans="1:3" ht="22.5" customHeight="1" x14ac:dyDescent="0.15">
      <c r="A464" s="16" t="s">
        <v>1038</v>
      </c>
      <c r="B464" s="12" t="s">
        <v>1046</v>
      </c>
      <c r="C464" s="40" t="s">
        <v>12</v>
      </c>
    </row>
    <row r="465" spans="1:3" ht="22.5" customHeight="1" x14ac:dyDescent="0.15">
      <c r="A465" s="16" t="s">
        <v>1038</v>
      </c>
      <c r="B465" s="12" t="s">
        <v>1047</v>
      </c>
      <c r="C465" s="40" t="s">
        <v>12</v>
      </c>
    </row>
    <row r="466" spans="1:3" ht="22.5" customHeight="1" x14ac:dyDescent="0.15">
      <c r="A466" s="16" t="s">
        <v>1038</v>
      </c>
      <c r="B466" s="12" t="s">
        <v>1048</v>
      </c>
      <c r="C466" s="40" t="s">
        <v>12</v>
      </c>
    </row>
    <row r="467" spans="1:3" ht="22.5" customHeight="1" x14ac:dyDescent="0.15">
      <c r="A467" s="16" t="s">
        <v>1051</v>
      </c>
      <c r="B467" s="12" t="s">
        <v>1052</v>
      </c>
      <c r="C467" s="40" t="s">
        <v>12</v>
      </c>
    </row>
    <row r="468" spans="1:3" ht="22.5" customHeight="1" x14ac:dyDescent="0.15">
      <c r="A468" s="16" t="s">
        <v>1055</v>
      </c>
      <c r="B468" s="12" t="s">
        <v>1056</v>
      </c>
      <c r="C468" s="40" t="s">
        <v>136</v>
      </c>
    </row>
    <row r="469" spans="1:3" ht="22.5" customHeight="1" x14ac:dyDescent="0.15">
      <c r="A469" s="16" t="s">
        <v>1057</v>
      </c>
      <c r="B469" s="12" t="s">
        <v>801</v>
      </c>
      <c r="C469" s="40" t="s">
        <v>12</v>
      </c>
    </row>
    <row r="470" spans="1:3" ht="22.5" customHeight="1" x14ac:dyDescent="0.15">
      <c r="A470" s="16" t="s">
        <v>1057</v>
      </c>
      <c r="B470" s="12" t="s">
        <v>802</v>
      </c>
      <c r="C470" s="40" t="s">
        <v>12</v>
      </c>
    </row>
    <row r="471" spans="1:3" ht="22.5" customHeight="1" x14ac:dyDescent="0.15">
      <c r="A471" s="16" t="s">
        <v>1057</v>
      </c>
      <c r="B471" s="12" t="s">
        <v>803</v>
      </c>
      <c r="C471" s="40" t="s">
        <v>30</v>
      </c>
    </row>
    <row r="472" spans="1:3" ht="22.5" customHeight="1" x14ac:dyDescent="0.15">
      <c r="A472" s="16" t="s">
        <v>1057</v>
      </c>
      <c r="B472" s="12" t="s">
        <v>804</v>
      </c>
      <c r="C472" s="40" t="s">
        <v>23</v>
      </c>
    </row>
    <row r="473" spans="1:3" ht="22.5" customHeight="1" x14ac:dyDescent="0.15">
      <c r="A473" s="16" t="s">
        <v>1057</v>
      </c>
      <c r="B473" s="12" t="s">
        <v>805</v>
      </c>
      <c r="C473" s="40" t="s">
        <v>23</v>
      </c>
    </row>
    <row r="474" spans="1:3" ht="22.5" customHeight="1" x14ac:dyDescent="0.15">
      <c r="A474" s="16" t="s">
        <v>1057</v>
      </c>
      <c r="B474" s="12" t="s">
        <v>806</v>
      </c>
      <c r="C474" s="40" t="s">
        <v>23</v>
      </c>
    </row>
    <row r="475" spans="1:3" ht="22.5" customHeight="1" x14ac:dyDescent="0.15">
      <c r="A475" s="16" t="s">
        <v>391</v>
      </c>
      <c r="B475" s="12" t="s">
        <v>1058</v>
      </c>
      <c r="C475" s="40" t="s">
        <v>136</v>
      </c>
    </row>
    <row r="476" spans="1:3" ht="22.5" customHeight="1" x14ac:dyDescent="0.15">
      <c r="A476" s="16" t="s">
        <v>391</v>
      </c>
      <c r="B476" s="12" t="s">
        <v>1059</v>
      </c>
      <c r="C476" s="40" t="s">
        <v>136</v>
      </c>
    </row>
    <row r="477" spans="1:3" ht="22.5" customHeight="1" x14ac:dyDescent="0.15">
      <c r="A477" s="16" t="s">
        <v>391</v>
      </c>
      <c r="B477" s="12" t="s">
        <v>1060</v>
      </c>
      <c r="C477" s="40" t="s">
        <v>12</v>
      </c>
    </row>
    <row r="478" spans="1:3" ht="22.5" customHeight="1" x14ac:dyDescent="0.15">
      <c r="A478" s="16" t="s">
        <v>391</v>
      </c>
      <c r="B478" s="12" t="s">
        <v>1061</v>
      </c>
      <c r="C478" s="40" t="s">
        <v>12</v>
      </c>
    </row>
    <row r="479" spans="1:3" ht="22.5" customHeight="1" x14ac:dyDescent="0.15">
      <c r="A479" s="16" t="s">
        <v>391</v>
      </c>
      <c r="B479" s="12" t="s">
        <v>1062</v>
      </c>
      <c r="C479" s="40" t="s">
        <v>12</v>
      </c>
    </row>
    <row r="480" spans="1:3" ht="22.5" customHeight="1" x14ac:dyDescent="0.15">
      <c r="A480" s="16" t="s">
        <v>1065</v>
      </c>
      <c r="B480" s="12" t="s">
        <v>1006</v>
      </c>
      <c r="C480" s="40" t="s">
        <v>342</v>
      </c>
    </row>
    <row r="481" spans="1:3" ht="22.5" customHeight="1" x14ac:dyDescent="0.15">
      <c r="A481" s="16" t="s">
        <v>395</v>
      </c>
      <c r="B481" s="12" t="s">
        <v>1066</v>
      </c>
      <c r="C481" s="40" t="s">
        <v>23</v>
      </c>
    </row>
    <row r="482" spans="1:3" ht="22.5" customHeight="1" x14ac:dyDescent="0.15">
      <c r="A482" s="16" t="s">
        <v>395</v>
      </c>
      <c r="B482" s="12" t="s">
        <v>1067</v>
      </c>
      <c r="C482" s="40" t="s">
        <v>23</v>
      </c>
    </row>
    <row r="483" spans="1:3" ht="22.5" customHeight="1" x14ac:dyDescent="0.15">
      <c r="A483" s="16" t="s">
        <v>395</v>
      </c>
      <c r="B483" s="12" t="s">
        <v>1068</v>
      </c>
      <c r="C483" s="40" t="s">
        <v>12</v>
      </c>
    </row>
    <row r="484" spans="1:3" ht="22.5" customHeight="1" x14ac:dyDescent="0.15">
      <c r="A484" s="16" t="s">
        <v>395</v>
      </c>
      <c r="B484" s="12" t="s">
        <v>1069</v>
      </c>
      <c r="C484" s="40" t="s">
        <v>12</v>
      </c>
    </row>
    <row r="485" spans="1:3" ht="22.5" customHeight="1" x14ac:dyDescent="0.15">
      <c r="A485" s="16" t="s">
        <v>395</v>
      </c>
      <c r="B485" s="12" t="s">
        <v>1070</v>
      </c>
      <c r="C485" s="40" t="s">
        <v>12</v>
      </c>
    </row>
    <row r="486" spans="1:3" ht="22.5" customHeight="1" x14ac:dyDescent="0.15">
      <c r="A486" s="16" t="s">
        <v>395</v>
      </c>
      <c r="B486" s="12" t="s">
        <v>1071</v>
      </c>
      <c r="C486" s="40" t="s">
        <v>30</v>
      </c>
    </row>
    <row r="487" spans="1:3" ht="22.5" customHeight="1" x14ac:dyDescent="0.15">
      <c r="A487" s="16" t="s">
        <v>395</v>
      </c>
      <c r="B487" s="12" t="s">
        <v>1072</v>
      </c>
      <c r="C487" s="40" t="s">
        <v>30</v>
      </c>
    </row>
    <row r="488" spans="1:3" ht="22.5" customHeight="1" x14ac:dyDescent="0.15">
      <c r="A488" s="16" t="s">
        <v>395</v>
      </c>
      <c r="B488" s="12" t="s">
        <v>1073</v>
      </c>
      <c r="C488" s="40" t="s">
        <v>30</v>
      </c>
    </row>
    <row r="489" spans="1:3" ht="22.5" customHeight="1" x14ac:dyDescent="0.15">
      <c r="A489" s="16" t="s">
        <v>395</v>
      </c>
      <c r="B489" s="12" t="s">
        <v>1074</v>
      </c>
      <c r="C489" s="40" t="s">
        <v>30</v>
      </c>
    </row>
    <row r="490" spans="1:3" ht="22.5" customHeight="1" x14ac:dyDescent="0.15">
      <c r="A490" s="16" t="s">
        <v>395</v>
      </c>
      <c r="B490" s="12" t="s">
        <v>1075</v>
      </c>
      <c r="C490" s="40" t="s">
        <v>30</v>
      </c>
    </row>
    <row r="491" spans="1:3" ht="22.5" customHeight="1" x14ac:dyDescent="0.15">
      <c r="A491" s="16" t="s">
        <v>395</v>
      </c>
      <c r="B491" s="12" t="s">
        <v>1076</v>
      </c>
      <c r="C491" s="40" t="s">
        <v>30</v>
      </c>
    </row>
    <row r="492" spans="1:3" ht="22.5" customHeight="1" x14ac:dyDescent="0.15">
      <c r="A492" s="16" t="s">
        <v>395</v>
      </c>
      <c r="B492" s="12" t="s">
        <v>1077</v>
      </c>
      <c r="C492" s="40" t="s">
        <v>18</v>
      </c>
    </row>
    <row r="493" spans="1:3" ht="22.5" customHeight="1" x14ac:dyDescent="0.15">
      <c r="A493" s="16" t="s">
        <v>395</v>
      </c>
      <c r="B493" s="12" t="s">
        <v>1078</v>
      </c>
      <c r="C493" s="40" t="s">
        <v>18</v>
      </c>
    </row>
    <row r="494" spans="1:3" ht="22.5" customHeight="1" x14ac:dyDescent="0.15">
      <c r="A494" s="16" t="s">
        <v>395</v>
      </c>
      <c r="B494" s="12" t="s">
        <v>1079</v>
      </c>
      <c r="C494" s="40" t="s">
        <v>88</v>
      </c>
    </row>
    <row r="495" spans="1:3" ht="22.5" customHeight="1" x14ac:dyDescent="0.15">
      <c r="A495" s="16" t="s">
        <v>395</v>
      </c>
      <c r="B495" s="12" t="s">
        <v>1080</v>
      </c>
      <c r="C495" s="40" t="s">
        <v>88</v>
      </c>
    </row>
    <row r="496" spans="1:3" ht="22.5" customHeight="1" x14ac:dyDescent="0.15">
      <c r="A496" s="16" t="s">
        <v>395</v>
      </c>
      <c r="B496" s="12" t="s">
        <v>1081</v>
      </c>
      <c r="C496" s="40" t="s">
        <v>88</v>
      </c>
    </row>
    <row r="497" spans="1:3" ht="22.5" customHeight="1" x14ac:dyDescent="0.15">
      <c r="A497" s="16" t="s">
        <v>395</v>
      </c>
      <c r="B497" s="12" t="s">
        <v>1082</v>
      </c>
      <c r="C497" s="40" t="s">
        <v>18</v>
      </c>
    </row>
    <row r="498" spans="1:3" ht="22.5" customHeight="1" x14ac:dyDescent="0.15">
      <c r="A498" s="16" t="s">
        <v>395</v>
      </c>
      <c r="B498" s="12" t="s">
        <v>1083</v>
      </c>
      <c r="C498" s="40" t="s">
        <v>18</v>
      </c>
    </row>
    <row r="499" spans="1:3" ht="22.5" customHeight="1" x14ac:dyDescent="0.15">
      <c r="A499" s="16" t="s">
        <v>395</v>
      </c>
      <c r="B499" s="12" t="s">
        <v>1084</v>
      </c>
      <c r="C499" s="40" t="s">
        <v>12</v>
      </c>
    </row>
    <row r="500" spans="1:3" ht="22.5" customHeight="1" x14ac:dyDescent="0.15">
      <c r="A500" s="16" t="s">
        <v>395</v>
      </c>
      <c r="B500" s="12" t="s">
        <v>1085</v>
      </c>
      <c r="C500" s="40" t="s">
        <v>12</v>
      </c>
    </row>
    <row r="501" spans="1:3" ht="22.5" customHeight="1" x14ac:dyDescent="0.15">
      <c r="A501" s="16" t="s">
        <v>1088</v>
      </c>
      <c r="B501" s="12" t="s">
        <v>1089</v>
      </c>
      <c r="C501" s="40" t="s">
        <v>18</v>
      </c>
    </row>
    <row r="502" spans="1:3" ht="22.5" customHeight="1" x14ac:dyDescent="0.15">
      <c r="C502" s="33"/>
    </row>
    <row r="503" spans="1:3" ht="22.5" customHeight="1" x14ac:dyDescent="0.15">
      <c r="C503" s="33"/>
    </row>
    <row r="504" spans="1:3" ht="22.5" customHeight="1" x14ac:dyDescent="0.15">
      <c r="C504" s="33"/>
    </row>
    <row r="505" spans="1:3" ht="22.5" customHeight="1" x14ac:dyDescent="0.15">
      <c r="C505" s="33"/>
    </row>
    <row r="506" spans="1:3" ht="22.5" customHeight="1" x14ac:dyDescent="0.15">
      <c r="C506" s="33"/>
    </row>
    <row r="507" spans="1:3" ht="22.5" customHeight="1" x14ac:dyDescent="0.15">
      <c r="C507" s="33"/>
    </row>
    <row r="508" spans="1:3" ht="22.5" customHeight="1" x14ac:dyDescent="0.15">
      <c r="C508" s="33"/>
    </row>
    <row r="509" spans="1:3" ht="22.5" customHeight="1" x14ac:dyDescent="0.15">
      <c r="C509" s="33"/>
    </row>
    <row r="510" spans="1:3" ht="22.5" customHeight="1" x14ac:dyDescent="0.15">
      <c r="C510" s="33"/>
    </row>
    <row r="511" spans="1:3" ht="22.5" customHeight="1" x14ac:dyDescent="0.15">
      <c r="C511" s="33"/>
    </row>
    <row r="512" spans="1:3" ht="22.5" customHeight="1" x14ac:dyDescent="0.15">
      <c r="C512" s="33"/>
    </row>
    <row r="513" spans="3:3" ht="22.5" customHeight="1" x14ac:dyDescent="0.15">
      <c r="C513" s="33"/>
    </row>
    <row r="514" spans="3:3" ht="22.5" customHeight="1" x14ac:dyDescent="0.15">
      <c r="C514" s="33"/>
    </row>
    <row r="515" spans="3:3" ht="22.5" customHeight="1" x14ac:dyDescent="0.15">
      <c r="C515" s="33"/>
    </row>
    <row r="516" spans="3:3" ht="22.5" customHeight="1" x14ac:dyDescent="0.15">
      <c r="C516" s="33"/>
    </row>
    <row r="517" spans="3:3" ht="22.5" customHeight="1" x14ac:dyDescent="0.15">
      <c r="C517" s="33"/>
    </row>
    <row r="518" spans="3:3" ht="22.5" customHeight="1" x14ac:dyDescent="0.15">
      <c r="C518" s="33"/>
    </row>
    <row r="519" spans="3:3" ht="22.5" customHeight="1" x14ac:dyDescent="0.15">
      <c r="C519" s="33"/>
    </row>
    <row r="520" spans="3:3" ht="22.5" customHeight="1" x14ac:dyDescent="0.15">
      <c r="C520" s="33"/>
    </row>
    <row r="521" spans="3:3" ht="22.5" customHeight="1" x14ac:dyDescent="0.15">
      <c r="C521" s="33"/>
    </row>
    <row r="522" spans="3:3" ht="22.5" customHeight="1" x14ac:dyDescent="0.15">
      <c r="C522" s="33"/>
    </row>
    <row r="523" spans="3:3" ht="22.5" customHeight="1" x14ac:dyDescent="0.15">
      <c r="C523" s="33"/>
    </row>
    <row r="524" spans="3:3" ht="22.5" customHeight="1" x14ac:dyDescent="0.15">
      <c r="C524" s="33"/>
    </row>
    <row r="525" spans="3:3" ht="22.5" customHeight="1" x14ac:dyDescent="0.15">
      <c r="C525" s="33"/>
    </row>
    <row r="526" spans="3:3" ht="22.5" customHeight="1" x14ac:dyDescent="0.15">
      <c r="C526" s="33"/>
    </row>
    <row r="527" spans="3:3" ht="22.5" customHeight="1" x14ac:dyDescent="0.15">
      <c r="C527" s="33"/>
    </row>
    <row r="528" spans="3:3" ht="22.5" customHeight="1" x14ac:dyDescent="0.15">
      <c r="C528" s="33"/>
    </row>
    <row r="529" spans="3:3" ht="22.5" customHeight="1" x14ac:dyDescent="0.15">
      <c r="C529" s="33"/>
    </row>
    <row r="530" spans="3:3" ht="22.5" customHeight="1" x14ac:dyDescent="0.15">
      <c r="C530" s="33"/>
    </row>
    <row r="531" spans="3:3" ht="22.5" customHeight="1" x14ac:dyDescent="0.15">
      <c r="C531" s="33"/>
    </row>
    <row r="532" spans="3:3" ht="22.5" customHeight="1" x14ac:dyDescent="0.15">
      <c r="C532" s="33"/>
    </row>
    <row r="533" spans="3:3" ht="22.5" customHeight="1" x14ac:dyDescent="0.15">
      <c r="C533" s="33"/>
    </row>
    <row r="534" spans="3:3" ht="22.5" customHeight="1" x14ac:dyDescent="0.15">
      <c r="C534" s="33"/>
    </row>
    <row r="535" spans="3:3" ht="22.5" customHeight="1" x14ac:dyDescent="0.15">
      <c r="C535" s="33"/>
    </row>
    <row r="536" spans="3:3" ht="22.5" customHeight="1" x14ac:dyDescent="0.15">
      <c r="C536" s="33"/>
    </row>
    <row r="537" spans="3:3" ht="22.5" customHeight="1" x14ac:dyDescent="0.15">
      <c r="C537" s="33"/>
    </row>
    <row r="538" spans="3:3" ht="22.5" customHeight="1" x14ac:dyDescent="0.15">
      <c r="C538" s="33"/>
    </row>
    <row r="539" spans="3:3" ht="22.5" customHeight="1" x14ac:dyDescent="0.15">
      <c r="C539" s="33"/>
    </row>
    <row r="540" spans="3:3" ht="22.5" customHeight="1" x14ac:dyDescent="0.15">
      <c r="C540" s="33"/>
    </row>
    <row r="541" spans="3:3" ht="22.5" customHeight="1" x14ac:dyDescent="0.15">
      <c r="C541" s="33"/>
    </row>
    <row r="542" spans="3:3" ht="22.5" customHeight="1" x14ac:dyDescent="0.15">
      <c r="C542" s="33"/>
    </row>
    <row r="543" spans="3:3" ht="22.5" customHeight="1" x14ac:dyDescent="0.15">
      <c r="C543" s="33"/>
    </row>
    <row r="544" spans="3:3" ht="22.5" customHeight="1" x14ac:dyDescent="0.15">
      <c r="C544" s="33"/>
    </row>
    <row r="545" spans="3:3" ht="22.5" customHeight="1" x14ac:dyDescent="0.15">
      <c r="C545" s="33"/>
    </row>
    <row r="546" spans="3:3" ht="22.5" customHeight="1" x14ac:dyDescent="0.15">
      <c r="C546" s="33"/>
    </row>
    <row r="547" spans="3:3" ht="22.5" customHeight="1" x14ac:dyDescent="0.15">
      <c r="C547" s="33"/>
    </row>
    <row r="548" spans="3:3" ht="22.5" customHeight="1" x14ac:dyDescent="0.15">
      <c r="C548" s="33"/>
    </row>
    <row r="549" spans="3:3" ht="22.5" customHeight="1" x14ac:dyDescent="0.15">
      <c r="C549" s="33"/>
    </row>
    <row r="550" spans="3:3" ht="22.5" customHeight="1" x14ac:dyDescent="0.15">
      <c r="C550" s="33"/>
    </row>
    <row r="551" spans="3:3" ht="22.5" customHeight="1" x14ac:dyDescent="0.15">
      <c r="C551" s="33"/>
    </row>
    <row r="552" spans="3:3" ht="22.5" customHeight="1" x14ac:dyDescent="0.15">
      <c r="C552" s="33"/>
    </row>
    <row r="553" spans="3:3" ht="22.5" customHeight="1" x14ac:dyDescent="0.15">
      <c r="C553" s="33"/>
    </row>
    <row r="554" spans="3:3" ht="22.5" customHeight="1" x14ac:dyDescent="0.15">
      <c r="C554" s="33"/>
    </row>
    <row r="555" spans="3:3" ht="22.5" customHeight="1" x14ac:dyDescent="0.15">
      <c r="C555" s="33"/>
    </row>
    <row r="556" spans="3:3" ht="22.5" customHeight="1" x14ac:dyDescent="0.15">
      <c r="C556" s="33"/>
    </row>
    <row r="557" spans="3:3" ht="22.5" customHeight="1" x14ac:dyDescent="0.15">
      <c r="C557" s="33"/>
    </row>
    <row r="558" spans="3:3" ht="22.5" customHeight="1" x14ac:dyDescent="0.15">
      <c r="C558" s="33"/>
    </row>
    <row r="559" spans="3:3" ht="22.5" customHeight="1" x14ac:dyDescent="0.15">
      <c r="C559" s="33"/>
    </row>
    <row r="560" spans="3:3" ht="22.5" customHeight="1" x14ac:dyDescent="0.15">
      <c r="C560" s="33"/>
    </row>
    <row r="561" spans="3:3" ht="22.5" customHeight="1" x14ac:dyDescent="0.15">
      <c r="C561" s="33"/>
    </row>
    <row r="562" spans="3:3" ht="22.5" customHeight="1" x14ac:dyDescent="0.15">
      <c r="C562" s="33"/>
    </row>
    <row r="563" spans="3:3" ht="22.5" customHeight="1" x14ac:dyDescent="0.15">
      <c r="C563" s="33"/>
    </row>
    <row r="564" spans="3:3" ht="22.5" customHeight="1" x14ac:dyDescent="0.15">
      <c r="C564" s="33"/>
    </row>
    <row r="565" spans="3:3" ht="22.5" customHeight="1" x14ac:dyDescent="0.15">
      <c r="C565" s="33"/>
    </row>
    <row r="566" spans="3:3" ht="22.5" customHeight="1" x14ac:dyDescent="0.15">
      <c r="C566" s="33"/>
    </row>
    <row r="567" spans="3:3" ht="22.5" customHeight="1" x14ac:dyDescent="0.15">
      <c r="C567" s="33"/>
    </row>
    <row r="568" spans="3:3" ht="22.5" customHeight="1" x14ac:dyDescent="0.15">
      <c r="C568" s="33"/>
    </row>
    <row r="569" spans="3:3" ht="22.5" customHeight="1" x14ac:dyDescent="0.15">
      <c r="C569" s="33"/>
    </row>
    <row r="570" spans="3:3" ht="22.5" customHeight="1" x14ac:dyDescent="0.15">
      <c r="C570" s="33"/>
    </row>
    <row r="571" spans="3:3" ht="22.5" customHeight="1" x14ac:dyDescent="0.15">
      <c r="C571" s="33"/>
    </row>
    <row r="572" spans="3:3" ht="22.5" customHeight="1" x14ac:dyDescent="0.15">
      <c r="C572" s="33"/>
    </row>
    <row r="573" spans="3:3" ht="22.5" customHeight="1" x14ac:dyDescent="0.15">
      <c r="C573" s="33"/>
    </row>
    <row r="574" spans="3:3" ht="22.5" customHeight="1" x14ac:dyDescent="0.15">
      <c r="C574" s="33"/>
    </row>
    <row r="575" spans="3:3" ht="22.5" customHeight="1" x14ac:dyDescent="0.15">
      <c r="C575" s="33"/>
    </row>
    <row r="576" spans="3:3" ht="22.5" customHeight="1" x14ac:dyDescent="0.15">
      <c r="C576" s="33"/>
    </row>
    <row r="577" spans="3:3" ht="22.5" customHeight="1" x14ac:dyDescent="0.15">
      <c r="C577" s="33"/>
    </row>
    <row r="578" spans="3:3" ht="22.5" customHeight="1" x14ac:dyDescent="0.15">
      <c r="C578" s="33"/>
    </row>
    <row r="579" spans="3:3" ht="22.5" customHeight="1" x14ac:dyDescent="0.15">
      <c r="C579" s="33"/>
    </row>
    <row r="580" spans="3:3" ht="22.5" customHeight="1" x14ac:dyDescent="0.15">
      <c r="C580" s="33"/>
    </row>
    <row r="581" spans="3:3" ht="22.5" customHeight="1" x14ac:dyDescent="0.15">
      <c r="C581" s="33"/>
    </row>
    <row r="582" spans="3:3" ht="22.5" customHeight="1" x14ac:dyDescent="0.15">
      <c r="C582" s="33"/>
    </row>
    <row r="583" spans="3:3" ht="22.5" customHeight="1" x14ac:dyDescent="0.15">
      <c r="C583" s="33"/>
    </row>
    <row r="584" spans="3:3" ht="22.5" customHeight="1" x14ac:dyDescent="0.15">
      <c r="C584" s="33"/>
    </row>
    <row r="585" spans="3:3" ht="22.5" customHeight="1" x14ac:dyDescent="0.15">
      <c r="C585" s="33"/>
    </row>
    <row r="586" spans="3:3" ht="22.5" customHeight="1" x14ac:dyDescent="0.15">
      <c r="C586" s="33"/>
    </row>
    <row r="587" spans="3:3" ht="22.5" customHeight="1" x14ac:dyDescent="0.15">
      <c r="C587" s="33"/>
    </row>
    <row r="588" spans="3:3" ht="22.5" customHeight="1" x14ac:dyDescent="0.15">
      <c r="C588" s="33"/>
    </row>
    <row r="589" spans="3:3" ht="22.5" customHeight="1" x14ac:dyDescent="0.15">
      <c r="C589" s="33"/>
    </row>
    <row r="590" spans="3:3" ht="22.5" customHeight="1" x14ac:dyDescent="0.15">
      <c r="C590" s="33"/>
    </row>
    <row r="591" spans="3:3" ht="22.5" customHeight="1" x14ac:dyDescent="0.15">
      <c r="C591" s="33"/>
    </row>
    <row r="592" spans="3:3" ht="22.5" customHeight="1" x14ac:dyDescent="0.15">
      <c r="C592" s="33"/>
    </row>
    <row r="593" spans="3:3" ht="22.5" customHeight="1" x14ac:dyDescent="0.15">
      <c r="C593" s="33"/>
    </row>
    <row r="594" spans="3:3" ht="22.5" customHeight="1" x14ac:dyDescent="0.15">
      <c r="C594" s="33"/>
    </row>
    <row r="595" spans="3:3" ht="22.5" customHeight="1" x14ac:dyDescent="0.15">
      <c r="C595" s="33"/>
    </row>
    <row r="596" spans="3:3" ht="22.5" customHeight="1" x14ac:dyDescent="0.15">
      <c r="C596" s="33"/>
    </row>
    <row r="597" spans="3:3" ht="22.5" customHeight="1" x14ac:dyDescent="0.15">
      <c r="C597" s="33"/>
    </row>
    <row r="598" spans="3:3" ht="22.5" customHeight="1" x14ac:dyDescent="0.15">
      <c r="C598" s="33"/>
    </row>
    <row r="599" spans="3:3" ht="22.5" customHeight="1" x14ac:dyDescent="0.15">
      <c r="C599" s="33"/>
    </row>
    <row r="600" spans="3:3" ht="22.5" customHeight="1" x14ac:dyDescent="0.15">
      <c r="C600" s="33"/>
    </row>
    <row r="601" spans="3:3" ht="22.5" customHeight="1" x14ac:dyDescent="0.15">
      <c r="C601" s="33"/>
    </row>
    <row r="602" spans="3:3" ht="22.5" customHeight="1" x14ac:dyDescent="0.15">
      <c r="C602" s="33"/>
    </row>
    <row r="603" spans="3:3" ht="22.5" customHeight="1" x14ac:dyDescent="0.15">
      <c r="C603" s="33"/>
    </row>
    <row r="604" spans="3:3" ht="22.5" customHeight="1" x14ac:dyDescent="0.15">
      <c r="C604" s="33"/>
    </row>
    <row r="605" spans="3:3" ht="22.5" customHeight="1" x14ac:dyDescent="0.15">
      <c r="C605" s="33"/>
    </row>
    <row r="606" spans="3:3" ht="22.5" customHeight="1" x14ac:dyDescent="0.15">
      <c r="C606" s="33"/>
    </row>
    <row r="607" spans="3:3" ht="22.5" customHeight="1" x14ac:dyDescent="0.15">
      <c r="C607" s="33"/>
    </row>
    <row r="608" spans="3:3" ht="22.5" customHeight="1" x14ac:dyDescent="0.15">
      <c r="C608" s="33"/>
    </row>
    <row r="609" spans="3:3" ht="22.5" customHeight="1" x14ac:dyDescent="0.15">
      <c r="C609" s="33"/>
    </row>
    <row r="610" spans="3:3" ht="22.5" customHeight="1" x14ac:dyDescent="0.15">
      <c r="C610" s="33"/>
    </row>
    <row r="611" spans="3:3" ht="22.5" customHeight="1" x14ac:dyDescent="0.15">
      <c r="C611" s="33"/>
    </row>
    <row r="612" spans="3:3" ht="22.5" customHeight="1" x14ac:dyDescent="0.15">
      <c r="C612" s="33"/>
    </row>
    <row r="613" spans="3:3" ht="22.5" customHeight="1" x14ac:dyDescent="0.15">
      <c r="C613" s="33"/>
    </row>
    <row r="614" spans="3:3" ht="22.5" customHeight="1" x14ac:dyDescent="0.15">
      <c r="C614" s="33"/>
    </row>
    <row r="615" spans="3:3" ht="22.5" customHeight="1" x14ac:dyDescent="0.15">
      <c r="C615" s="33"/>
    </row>
    <row r="616" spans="3:3" ht="22.5" customHeight="1" x14ac:dyDescent="0.15">
      <c r="C616" s="33"/>
    </row>
    <row r="617" spans="3:3" ht="22.5" customHeight="1" x14ac:dyDescent="0.15">
      <c r="C617" s="33"/>
    </row>
    <row r="618" spans="3:3" ht="22.5" customHeight="1" x14ac:dyDescent="0.15">
      <c r="C618" s="33"/>
    </row>
    <row r="619" spans="3:3" ht="22.5" customHeight="1" x14ac:dyDescent="0.15">
      <c r="C619" s="33"/>
    </row>
    <row r="620" spans="3:3" ht="22.5" customHeight="1" x14ac:dyDescent="0.15">
      <c r="C620" s="33"/>
    </row>
    <row r="621" spans="3:3" ht="22.5" customHeight="1" x14ac:dyDescent="0.15">
      <c r="C621" s="33"/>
    </row>
    <row r="622" spans="3:3" ht="22.5" customHeight="1" x14ac:dyDescent="0.15">
      <c r="C622" s="33"/>
    </row>
    <row r="623" spans="3:3" ht="22.5" customHeight="1" x14ac:dyDescent="0.15">
      <c r="C623" s="33"/>
    </row>
    <row r="624" spans="3:3" ht="22.5" customHeight="1" x14ac:dyDescent="0.15">
      <c r="C624" s="33"/>
    </row>
    <row r="625" spans="3:3" ht="22.5" customHeight="1" x14ac:dyDescent="0.15">
      <c r="C625" s="33"/>
    </row>
    <row r="626" spans="3:3" ht="22.5" customHeight="1" x14ac:dyDescent="0.15">
      <c r="C626" s="33"/>
    </row>
    <row r="627" spans="3:3" ht="22.5" customHeight="1" x14ac:dyDescent="0.15">
      <c r="C627" s="33"/>
    </row>
    <row r="628" spans="3:3" ht="22.5" customHeight="1" x14ac:dyDescent="0.15">
      <c r="C628" s="33"/>
    </row>
    <row r="629" spans="3:3" ht="22.5" customHeight="1" x14ac:dyDescent="0.15">
      <c r="C629" s="33"/>
    </row>
    <row r="630" spans="3:3" ht="22.5" customHeight="1" x14ac:dyDescent="0.15">
      <c r="C630" s="33"/>
    </row>
    <row r="631" spans="3:3" ht="22.5" customHeight="1" x14ac:dyDescent="0.15">
      <c r="C631" s="33"/>
    </row>
    <row r="632" spans="3:3" ht="22.5" customHeight="1" x14ac:dyDescent="0.15">
      <c r="C632" s="33"/>
    </row>
    <row r="633" spans="3:3" ht="22.5" customHeight="1" x14ac:dyDescent="0.15">
      <c r="C633" s="33"/>
    </row>
    <row r="634" spans="3:3" ht="22.5" customHeight="1" x14ac:dyDescent="0.15">
      <c r="C634" s="33"/>
    </row>
    <row r="635" spans="3:3" ht="22.5" customHeight="1" x14ac:dyDescent="0.15">
      <c r="C635" s="33"/>
    </row>
    <row r="636" spans="3:3" ht="22.5" customHeight="1" x14ac:dyDescent="0.15">
      <c r="C636" s="33"/>
    </row>
    <row r="637" spans="3:3" ht="22.5" customHeight="1" x14ac:dyDescent="0.15">
      <c r="C637" s="33"/>
    </row>
    <row r="638" spans="3:3" ht="22.5" customHeight="1" x14ac:dyDescent="0.15">
      <c r="C638" s="33"/>
    </row>
    <row r="639" spans="3:3" ht="22.5" customHeight="1" x14ac:dyDescent="0.15">
      <c r="C639" s="33"/>
    </row>
    <row r="640" spans="3:3" ht="22.5" customHeight="1" x14ac:dyDescent="0.15">
      <c r="C640" s="33"/>
    </row>
    <row r="641" spans="3:3" ht="22.5" customHeight="1" x14ac:dyDescent="0.15">
      <c r="C641" s="33"/>
    </row>
    <row r="642" spans="3:3" ht="22.5" customHeight="1" x14ac:dyDescent="0.15">
      <c r="C642" s="33"/>
    </row>
    <row r="643" spans="3:3" ht="22.5" customHeight="1" x14ac:dyDescent="0.15">
      <c r="C643" s="33"/>
    </row>
    <row r="644" spans="3:3" ht="22.5" customHeight="1" x14ac:dyDescent="0.15">
      <c r="C644" s="33"/>
    </row>
    <row r="645" spans="3:3" ht="22.5" customHeight="1" x14ac:dyDescent="0.15">
      <c r="C645" s="33"/>
    </row>
    <row r="646" spans="3:3" ht="22.5" customHeight="1" x14ac:dyDescent="0.15">
      <c r="C646" s="33"/>
    </row>
    <row r="647" spans="3:3" ht="22.5" customHeight="1" x14ac:dyDescent="0.15">
      <c r="C647" s="33"/>
    </row>
    <row r="648" spans="3:3" ht="22.5" customHeight="1" x14ac:dyDescent="0.15">
      <c r="C648" s="33"/>
    </row>
    <row r="649" spans="3:3" ht="22.5" customHeight="1" x14ac:dyDescent="0.15">
      <c r="C649" s="33"/>
    </row>
    <row r="650" spans="3:3" ht="22.5" customHeight="1" x14ac:dyDescent="0.15">
      <c r="C650" s="33"/>
    </row>
    <row r="651" spans="3:3" ht="22.5" customHeight="1" x14ac:dyDescent="0.15">
      <c r="C651" s="33"/>
    </row>
    <row r="652" spans="3:3" ht="22.5" customHeight="1" x14ac:dyDescent="0.15">
      <c r="C652" s="33"/>
    </row>
    <row r="653" spans="3:3" ht="22.5" customHeight="1" x14ac:dyDescent="0.15">
      <c r="C653" s="33"/>
    </row>
    <row r="654" spans="3:3" ht="22.5" customHeight="1" x14ac:dyDescent="0.15">
      <c r="C654" s="33"/>
    </row>
    <row r="655" spans="3:3" ht="22.5" customHeight="1" x14ac:dyDescent="0.15">
      <c r="C655" s="33"/>
    </row>
    <row r="656" spans="3:3" ht="22.5" customHeight="1" x14ac:dyDescent="0.15">
      <c r="C656" s="33"/>
    </row>
    <row r="657" spans="3:3" ht="22.5" customHeight="1" x14ac:dyDescent="0.15">
      <c r="C657" s="33"/>
    </row>
    <row r="658" spans="3:3" ht="22.5" customHeight="1" x14ac:dyDescent="0.15">
      <c r="C658" s="33"/>
    </row>
    <row r="659" spans="3:3" ht="22.5" customHeight="1" x14ac:dyDescent="0.15">
      <c r="C659" s="33"/>
    </row>
    <row r="660" spans="3:3" ht="22.5" customHeight="1" x14ac:dyDescent="0.15">
      <c r="C660" s="33"/>
    </row>
    <row r="661" spans="3:3" ht="22.5" customHeight="1" x14ac:dyDescent="0.15">
      <c r="C661" s="33"/>
    </row>
    <row r="662" spans="3:3" ht="22.5" customHeight="1" x14ac:dyDescent="0.15">
      <c r="C662" s="33"/>
    </row>
    <row r="663" spans="3:3" ht="22.5" customHeight="1" x14ac:dyDescent="0.15">
      <c r="C663" s="33"/>
    </row>
    <row r="664" spans="3:3" ht="22.5" customHeight="1" x14ac:dyDescent="0.15">
      <c r="C664" s="33"/>
    </row>
    <row r="665" spans="3:3" ht="22.5" customHeight="1" x14ac:dyDescent="0.15">
      <c r="C665" s="33"/>
    </row>
    <row r="666" spans="3:3" ht="22.5" customHeight="1" x14ac:dyDescent="0.15">
      <c r="C666" s="33"/>
    </row>
    <row r="667" spans="3:3" ht="22.5" customHeight="1" x14ac:dyDescent="0.15">
      <c r="C667" s="33"/>
    </row>
    <row r="668" spans="3:3" ht="22.5" customHeight="1" x14ac:dyDescent="0.15">
      <c r="C668" s="33"/>
    </row>
    <row r="669" spans="3:3" ht="22.5" customHeight="1" x14ac:dyDescent="0.15">
      <c r="C669" s="33"/>
    </row>
    <row r="670" spans="3:3" ht="22.5" customHeight="1" x14ac:dyDescent="0.15">
      <c r="C670" s="33"/>
    </row>
    <row r="671" spans="3:3" ht="22.5" customHeight="1" x14ac:dyDescent="0.15">
      <c r="C671" s="33"/>
    </row>
    <row r="672" spans="3:3" ht="22.5" customHeight="1" x14ac:dyDescent="0.15">
      <c r="C672" s="33"/>
    </row>
    <row r="673" spans="3:3" ht="22.5" customHeight="1" x14ac:dyDescent="0.15">
      <c r="C673" s="33"/>
    </row>
    <row r="674" spans="3:3" ht="22.5" customHeight="1" x14ac:dyDescent="0.15">
      <c r="C674" s="33"/>
    </row>
    <row r="675" spans="3:3" ht="22.5" customHeight="1" x14ac:dyDescent="0.15">
      <c r="C675" s="33"/>
    </row>
    <row r="676" spans="3:3" ht="22.5" customHeight="1" x14ac:dyDescent="0.15">
      <c r="C676" s="33"/>
    </row>
    <row r="677" spans="3:3" ht="22.5" customHeight="1" x14ac:dyDescent="0.15">
      <c r="C677" s="33"/>
    </row>
    <row r="678" spans="3:3" ht="22.5" customHeight="1" x14ac:dyDescent="0.15">
      <c r="C678" s="33"/>
    </row>
    <row r="679" spans="3:3" ht="22.5" customHeight="1" x14ac:dyDescent="0.15">
      <c r="C679" s="33"/>
    </row>
    <row r="680" spans="3:3" ht="22.5" customHeight="1" x14ac:dyDescent="0.15">
      <c r="C680" s="33"/>
    </row>
    <row r="681" spans="3:3" ht="22.5" customHeight="1" x14ac:dyDescent="0.15">
      <c r="C681" s="33"/>
    </row>
    <row r="682" spans="3:3" ht="22.5" customHeight="1" x14ac:dyDescent="0.15">
      <c r="C682" s="33"/>
    </row>
    <row r="683" spans="3:3" ht="22.5" customHeight="1" x14ac:dyDescent="0.15">
      <c r="C683" s="33"/>
    </row>
    <row r="684" spans="3:3" ht="22.5" customHeight="1" x14ac:dyDescent="0.15">
      <c r="C684" s="33"/>
    </row>
    <row r="685" spans="3:3" ht="22.5" customHeight="1" x14ac:dyDescent="0.15">
      <c r="C685" s="33"/>
    </row>
    <row r="686" spans="3:3" ht="22.5" customHeight="1" x14ac:dyDescent="0.15">
      <c r="C686" s="33"/>
    </row>
    <row r="687" spans="3:3" ht="22.5" customHeight="1" x14ac:dyDescent="0.15">
      <c r="C687" s="33"/>
    </row>
    <row r="688" spans="3:3" ht="22.5" customHeight="1" x14ac:dyDescent="0.15">
      <c r="C688" s="33"/>
    </row>
    <row r="689" spans="3:3" ht="22.5" customHeight="1" x14ac:dyDescent="0.15">
      <c r="C689" s="33"/>
    </row>
    <row r="690" spans="3:3" ht="22.5" customHeight="1" x14ac:dyDescent="0.15">
      <c r="C690" s="33"/>
    </row>
    <row r="691" spans="3:3" ht="22.5" customHeight="1" x14ac:dyDescent="0.15">
      <c r="C691" s="33"/>
    </row>
    <row r="692" spans="3:3" ht="22.5" customHeight="1" x14ac:dyDescent="0.15">
      <c r="C692" s="33"/>
    </row>
    <row r="693" spans="3:3" ht="22.5" customHeight="1" x14ac:dyDescent="0.15">
      <c r="C693" s="33"/>
    </row>
    <row r="694" spans="3:3" ht="22.5" customHeight="1" x14ac:dyDescent="0.15">
      <c r="C694" s="33"/>
    </row>
    <row r="695" spans="3:3" ht="22.5" customHeight="1" x14ac:dyDescent="0.15">
      <c r="C695" s="33"/>
    </row>
    <row r="696" spans="3:3" ht="22.5" customHeight="1" x14ac:dyDescent="0.15">
      <c r="C696" s="33"/>
    </row>
    <row r="697" spans="3:3" ht="22.5" customHeight="1" x14ac:dyDescent="0.15">
      <c r="C697" s="33"/>
    </row>
    <row r="698" spans="3:3" ht="22.5" customHeight="1" x14ac:dyDescent="0.15">
      <c r="C698" s="33"/>
    </row>
    <row r="699" spans="3:3" ht="22.5" customHeight="1" x14ac:dyDescent="0.15">
      <c r="C699" s="33"/>
    </row>
    <row r="700" spans="3:3" ht="22.5" customHeight="1" x14ac:dyDescent="0.15">
      <c r="C700" s="33"/>
    </row>
    <row r="701" spans="3:3" ht="22.5" customHeight="1" x14ac:dyDescent="0.15">
      <c r="C701" s="33"/>
    </row>
    <row r="702" spans="3:3" ht="22.5" customHeight="1" x14ac:dyDescent="0.15">
      <c r="C702" s="33"/>
    </row>
    <row r="703" spans="3:3" ht="22.5" customHeight="1" x14ac:dyDescent="0.15">
      <c r="C703" s="33"/>
    </row>
    <row r="704" spans="3:3" ht="22.5" customHeight="1" x14ac:dyDescent="0.15">
      <c r="C704" s="33"/>
    </row>
    <row r="705" spans="3:3" ht="22.5" customHeight="1" x14ac:dyDescent="0.15">
      <c r="C705" s="33"/>
    </row>
    <row r="706" spans="3:3" ht="22.5" customHeight="1" x14ac:dyDescent="0.15">
      <c r="C706" s="33"/>
    </row>
    <row r="707" spans="3:3" ht="22.5" customHeight="1" x14ac:dyDescent="0.15">
      <c r="C707" s="33"/>
    </row>
    <row r="708" spans="3:3" ht="22.5" customHeight="1" x14ac:dyDescent="0.15">
      <c r="C708" s="33"/>
    </row>
    <row r="709" spans="3:3" ht="22.5" customHeight="1" x14ac:dyDescent="0.15">
      <c r="C709" s="33"/>
    </row>
    <row r="710" spans="3:3" ht="22.5" customHeight="1" x14ac:dyDescent="0.15">
      <c r="C710" s="33"/>
    </row>
    <row r="711" spans="3:3" ht="22.5" customHeight="1" x14ac:dyDescent="0.15">
      <c r="C711" s="33"/>
    </row>
    <row r="712" spans="3:3" ht="22.5" customHeight="1" x14ac:dyDescent="0.15">
      <c r="C712" s="33"/>
    </row>
    <row r="713" spans="3:3" ht="22.5" customHeight="1" x14ac:dyDescent="0.15">
      <c r="C713" s="33"/>
    </row>
    <row r="714" spans="3:3" ht="22.5" customHeight="1" x14ac:dyDescent="0.15">
      <c r="C714" s="33"/>
    </row>
    <row r="715" spans="3:3" ht="22.5" customHeight="1" x14ac:dyDescent="0.15">
      <c r="C715" s="33"/>
    </row>
    <row r="716" spans="3:3" ht="22.5" customHeight="1" x14ac:dyDescent="0.15">
      <c r="C716" s="33"/>
    </row>
    <row r="717" spans="3:3" ht="22.5" customHeight="1" x14ac:dyDescent="0.15">
      <c r="C717" s="33"/>
    </row>
    <row r="718" spans="3:3" ht="22.5" customHeight="1" x14ac:dyDescent="0.15">
      <c r="C718" s="33"/>
    </row>
    <row r="719" spans="3:3" ht="22.5" customHeight="1" x14ac:dyDescent="0.15">
      <c r="C719" s="33"/>
    </row>
    <row r="720" spans="3:3" ht="22.5" customHeight="1" x14ac:dyDescent="0.15">
      <c r="C720" s="33"/>
    </row>
    <row r="721" spans="3:3" ht="22.5" customHeight="1" x14ac:dyDescent="0.15">
      <c r="C721" s="33"/>
    </row>
    <row r="722" spans="3:3" ht="22.5" customHeight="1" x14ac:dyDescent="0.15">
      <c r="C722" s="33"/>
    </row>
    <row r="723" spans="3:3" ht="22.5" customHeight="1" x14ac:dyDescent="0.15">
      <c r="C723" s="33"/>
    </row>
    <row r="724" spans="3:3" ht="22.5" customHeight="1" x14ac:dyDescent="0.15">
      <c r="C724" s="33"/>
    </row>
    <row r="725" spans="3:3" ht="22.5" customHeight="1" x14ac:dyDescent="0.15">
      <c r="C725" s="33"/>
    </row>
    <row r="726" spans="3:3" ht="22.5" customHeight="1" x14ac:dyDescent="0.15">
      <c r="C726" s="33"/>
    </row>
    <row r="727" spans="3:3" ht="22.5" customHeight="1" x14ac:dyDescent="0.15">
      <c r="C727" s="33"/>
    </row>
    <row r="728" spans="3:3" ht="22.5" customHeight="1" x14ac:dyDescent="0.15">
      <c r="C728" s="33"/>
    </row>
    <row r="729" spans="3:3" ht="22.5" customHeight="1" x14ac:dyDescent="0.15">
      <c r="C729" s="33"/>
    </row>
    <row r="730" spans="3:3" ht="22.5" customHeight="1" x14ac:dyDescent="0.15">
      <c r="C730" s="33"/>
    </row>
    <row r="731" spans="3:3" ht="22.5" customHeight="1" x14ac:dyDescent="0.15">
      <c r="C731" s="33"/>
    </row>
    <row r="732" spans="3:3" ht="22.5" customHeight="1" x14ac:dyDescent="0.15">
      <c r="C732" s="33"/>
    </row>
    <row r="733" spans="3:3" ht="22.5" customHeight="1" x14ac:dyDescent="0.15">
      <c r="C733" s="33"/>
    </row>
    <row r="734" spans="3:3" ht="22.5" customHeight="1" x14ac:dyDescent="0.15">
      <c r="C734" s="33"/>
    </row>
    <row r="735" spans="3:3" ht="22.5" customHeight="1" x14ac:dyDescent="0.15">
      <c r="C735" s="33"/>
    </row>
    <row r="736" spans="3:3" ht="22.5" customHeight="1" x14ac:dyDescent="0.15">
      <c r="C736" s="33"/>
    </row>
    <row r="737" spans="3:3" ht="22.5" customHeight="1" x14ac:dyDescent="0.15">
      <c r="C737" s="33"/>
    </row>
    <row r="738" spans="3:3" ht="22.5" customHeight="1" x14ac:dyDescent="0.15">
      <c r="C738" s="33"/>
    </row>
    <row r="739" spans="3:3" ht="22.5" customHeight="1" x14ac:dyDescent="0.15">
      <c r="C739" s="33"/>
    </row>
    <row r="740" spans="3:3" ht="22.5" customHeight="1" x14ac:dyDescent="0.15">
      <c r="C740" s="33"/>
    </row>
    <row r="741" spans="3:3" ht="22.5" customHeight="1" x14ac:dyDescent="0.15">
      <c r="C741" s="33"/>
    </row>
    <row r="742" spans="3:3" ht="22.5" customHeight="1" x14ac:dyDescent="0.15">
      <c r="C742" s="33"/>
    </row>
    <row r="743" spans="3:3" ht="22.5" customHeight="1" x14ac:dyDescent="0.15">
      <c r="C743" s="33"/>
    </row>
    <row r="744" spans="3:3" ht="22.5" customHeight="1" x14ac:dyDescent="0.15">
      <c r="C744" s="33"/>
    </row>
    <row r="745" spans="3:3" ht="22.5" customHeight="1" x14ac:dyDescent="0.15">
      <c r="C745" s="33"/>
    </row>
    <row r="746" spans="3:3" ht="22.5" customHeight="1" x14ac:dyDescent="0.15">
      <c r="C746" s="33"/>
    </row>
    <row r="747" spans="3:3" ht="22.5" customHeight="1" x14ac:dyDescent="0.15">
      <c r="C747" s="33"/>
    </row>
    <row r="748" spans="3:3" ht="22.5" customHeight="1" x14ac:dyDescent="0.15">
      <c r="C748" s="33"/>
    </row>
    <row r="749" spans="3:3" ht="22.5" customHeight="1" x14ac:dyDescent="0.15">
      <c r="C749" s="33"/>
    </row>
    <row r="750" spans="3:3" ht="22.5" customHeight="1" x14ac:dyDescent="0.15">
      <c r="C750" s="33"/>
    </row>
    <row r="751" spans="3:3" ht="22.5" customHeight="1" x14ac:dyDescent="0.15">
      <c r="C751" s="33"/>
    </row>
    <row r="752" spans="3:3" ht="22.5" customHeight="1" x14ac:dyDescent="0.15">
      <c r="C752" s="33"/>
    </row>
    <row r="753" spans="3:3" ht="22.5" customHeight="1" x14ac:dyDescent="0.15">
      <c r="C753" s="33"/>
    </row>
    <row r="754" spans="3:3" ht="22.5" customHeight="1" x14ac:dyDescent="0.15">
      <c r="C754" s="33"/>
    </row>
    <row r="755" spans="3:3" ht="22.5" customHeight="1" x14ac:dyDescent="0.15">
      <c r="C755" s="33"/>
    </row>
    <row r="756" spans="3:3" ht="22.5" customHeight="1" x14ac:dyDescent="0.15">
      <c r="C756" s="33"/>
    </row>
    <row r="757" spans="3:3" ht="22.5" customHeight="1" x14ac:dyDescent="0.15">
      <c r="C757" s="33"/>
    </row>
    <row r="758" spans="3:3" ht="22.5" customHeight="1" x14ac:dyDescent="0.15">
      <c r="C758" s="33"/>
    </row>
    <row r="759" spans="3:3" ht="22.5" customHeight="1" x14ac:dyDescent="0.15">
      <c r="C759" s="33"/>
    </row>
    <row r="760" spans="3:3" ht="22.5" customHeight="1" x14ac:dyDescent="0.15">
      <c r="C760" s="33"/>
    </row>
    <row r="761" spans="3:3" ht="22.5" customHeight="1" x14ac:dyDescent="0.15">
      <c r="C761" s="33"/>
    </row>
    <row r="762" spans="3:3" ht="22.5" customHeight="1" x14ac:dyDescent="0.15">
      <c r="C762" s="33"/>
    </row>
    <row r="763" spans="3:3" ht="22.5" customHeight="1" x14ac:dyDescent="0.15">
      <c r="C763" s="33"/>
    </row>
    <row r="764" spans="3:3" ht="22.5" customHeight="1" x14ac:dyDescent="0.15">
      <c r="C764" s="33"/>
    </row>
    <row r="765" spans="3:3" ht="22.5" customHeight="1" x14ac:dyDescent="0.15">
      <c r="C765" s="33"/>
    </row>
    <row r="766" spans="3:3" ht="22.5" customHeight="1" x14ac:dyDescent="0.15">
      <c r="C766" s="33"/>
    </row>
    <row r="767" spans="3:3" ht="22.5" customHeight="1" x14ac:dyDescent="0.15">
      <c r="C767" s="33"/>
    </row>
    <row r="768" spans="3:3" ht="22.5" customHeight="1" x14ac:dyDescent="0.15">
      <c r="C768" s="33"/>
    </row>
    <row r="769" spans="3:3" ht="22.5" customHeight="1" x14ac:dyDescent="0.15">
      <c r="C769" s="33"/>
    </row>
    <row r="770" spans="3:3" ht="22.5" customHeight="1" x14ac:dyDescent="0.15">
      <c r="C770" s="33"/>
    </row>
    <row r="771" spans="3:3" ht="22.5" customHeight="1" x14ac:dyDescent="0.15">
      <c r="C771" s="33"/>
    </row>
    <row r="772" spans="3:3" ht="22.5" customHeight="1" x14ac:dyDescent="0.15">
      <c r="C772" s="33"/>
    </row>
    <row r="773" spans="3:3" ht="22.5" customHeight="1" x14ac:dyDescent="0.15">
      <c r="C773" s="33"/>
    </row>
    <row r="774" spans="3:3" ht="22.5" customHeight="1" x14ac:dyDescent="0.15">
      <c r="C774" s="33"/>
    </row>
    <row r="775" spans="3:3" ht="22.5" customHeight="1" x14ac:dyDescent="0.15">
      <c r="C775" s="33"/>
    </row>
    <row r="776" spans="3:3" ht="22.5" customHeight="1" x14ac:dyDescent="0.15">
      <c r="C776" s="33"/>
    </row>
    <row r="777" spans="3:3" ht="22.5" customHeight="1" x14ac:dyDescent="0.15">
      <c r="C777" s="33"/>
    </row>
    <row r="778" spans="3:3" ht="22.5" customHeight="1" x14ac:dyDescent="0.15">
      <c r="C778" s="33"/>
    </row>
    <row r="779" spans="3:3" ht="22.5" customHeight="1" x14ac:dyDescent="0.15">
      <c r="C779" s="33"/>
    </row>
    <row r="780" spans="3:3" ht="22.5" customHeight="1" x14ac:dyDescent="0.15">
      <c r="C780" s="33"/>
    </row>
    <row r="781" spans="3:3" ht="22.5" customHeight="1" x14ac:dyDescent="0.15">
      <c r="C781" s="33"/>
    </row>
    <row r="782" spans="3:3" ht="22.5" customHeight="1" x14ac:dyDescent="0.15">
      <c r="C782" s="33"/>
    </row>
    <row r="783" spans="3:3" ht="22.5" customHeight="1" x14ac:dyDescent="0.15">
      <c r="C783" s="33"/>
    </row>
    <row r="784" spans="3:3" ht="22.5" customHeight="1" x14ac:dyDescent="0.15">
      <c r="C784" s="33"/>
    </row>
    <row r="785" spans="3:3" ht="22.5" customHeight="1" x14ac:dyDescent="0.15">
      <c r="C785" s="33"/>
    </row>
    <row r="786" spans="3:3" ht="22.5" customHeight="1" x14ac:dyDescent="0.15">
      <c r="C786" s="33"/>
    </row>
    <row r="787" spans="3:3" ht="22.5" customHeight="1" x14ac:dyDescent="0.15">
      <c r="C787" s="33"/>
    </row>
    <row r="788" spans="3:3" ht="22.5" customHeight="1" x14ac:dyDescent="0.15">
      <c r="C788" s="33"/>
    </row>
    <row r="789" spans="3:3" ht="22.5" customHeight="1" x14ac:dyDescent="0.15">
      <c r="C789" s="33"/>
    </row>
    <row r="790" spans="3:3" ht="22.5" customHeight="1" x14ac:dyDescent="0.15">
      <c r="C790" s="33"/>
    </row>
    <row r="791" spans="3:3" ht="22.5" customHeight="1" x14ac:dyDescent="0.15">
      <c r="C791" s="33"/>
    </row>
    <row r="792" spans="3:3" ht="22.5" customHeight="1" x14ac:dyDescent="0.15">
      <c r="C792" s="33"/>
    </row>
    <row r="793" spans="3:3" ht="22.5" customHeight="1" x14ac:dyDescent="0.15">
      <c r="C793" s="33"/>
    </row>
    <row r="794" spans="3:3" ht="22.5" customHeight="1" x14ac:dyDescent="0.15">
      <c r="C794" s="33"/>
    </row>
    <row r="795" spans="3:3" ht="22.5" customHeight="1" x14ac:dyDescent="0.15">
      <c r="C795" s="33"/>
    </row>
    <row r="796" spans="3:3" ht="22.5" customHeight="1" x14ac:dyDescent="0.15">
      <c r="C796" s="33"/>
    </row>
    <row r="797" spans="3:3" ht="22.5" customHeight="1" x14ac:dyDescent="0.15">
      <c r="C797" s="33"/>
    </row>
    <row r="798" spans="3:3" ht="22.5" customHeight="1" x14ac:dyDescent="0.15">
      <c r="C798" s="33"/>
    </row>
    <row r="799" spans="3:3" ht="22.5" customHeight="1" x14ac:dyDescent="0.15">
      <c r="C799" s="33"/>
    </row>
    <row r="800" spans="3:3" ht="22.5" customHeight="1" x14ac:dyDescent="0.15">
      <c r="C800" s="33"/>
    </row>
    <row r="801" spans="3:3" ht="22.5" customHeight="1" x14ac:dyDescent="0.15">
      <c r="C801" s="33"/>
    </row>
    <row r="802" spans="3:3" ht="22.5" customHeight="1" x14ac:dyDescent="0.15">
      <c r="C802" s="33"/>
    </row>
    <row r="803" spans="3:3" ht="22.5" customHeight="1" x14ac:dyDescent="0.15">
      <c r="C803" s="33"/>
    </row>
    <row r="804" spans="3:3" ht="22.5" customHeight="1" x14ac:dyDescent="0.15">
      <c r="C804" s="33"/>
    </row>
    <row r="805" spans="3:3" ht="22.5" customHeight="1" x14ac:dyDescent="0.15">
      <c r="C805" s="33"/>
    </row>
    <row r="806" spans="3:3" ht="22.5" customHeight="1" x14ac:dyDescent="0.15">
      <c r="C806" s="33"/>
    </row>
    <row r="807" spans="3:3" ht="22.5" customHeight="1" x14ac:dyDescent="0.15">
      <c r="C807" s="33"/>
    </row>
    <row r="808" spans="3:3" ht="22.5" customHeight="1" x14ac:dyDescent="0.15">
      <c r="C808" s="33"/>
    </row>
    <row r="809" spans="3:3" ht="22.5" customHeight="1" x14ac:dyDescent="0.15">
      <c r="C809" s="33"/>
    </row>
    <row r="810" spans="3:3" ht="22.5" customHeight="1" x14ac:dyDescent="0.15">
      <c r="C810" s="33"/>
    </row>
    <row r="811" spans="3:3" ht="22.5" customHeight="1" x14ac:dyDescent="0.15">
      <c r="C811" s="33"/>
    </row>
    <row r="812" spans="3:3" ht="22.5" customHeight="1" x14ac:dyDescent="0.15">
      <c r="C812" s="33"/>
    </row>
    <row r="813" spans="3:3" ht="22.5" customHeight="1" x14ac:dyDescent="0.15">
      <c r="C813" s="33"/>
    </row>
    <row r="814" spans="3:3" ht="22.5" customHeight="1" x14ac:dyDescent="0.15">
      <c r="C814" s="33"/>
    </row>
    <row r="815" spans="3:3" ht="22.5" customHeight="1" x14ac:dyDescent="0.15">
      <c r="C815" s="33"/>
    </row>
    <row r="816" spans="3:3" ht="22.5" customHeight="1" x14ac:dyDescent="0.15">
      <c r="C816" s="33"/>
    </row>
    <row r="817" spans="3:3" ht="22.5" customHeight="1" x14ac:dyDescent="0.15">
      <c r="C817" s="33"/>
    </row>
    <row r="818" spans="3:3" ht="22.5" customHeight="1" x14ac:dyDescent="0.15">
      <c r="C818" s="33"/>
    </row>
    <row r="819" spans="3:3" ht="22.5" customHeight="1" x14ac:dyDescent="0.15">
      <c r="C819" s="33"/>
    </row>
    <row r="820" spans="3:3" ht="22.5" customHeight="1" x14ac:dyDescent="0.15">
      <c r="C820" s="33"/>
    </row>
    <row r="821" spans="3:3" ht="22.5" customHeight="1" x14ac:dyDescent="0.15">
      <c r="C821" s="33"/>
    </row>
    <row r="822" spans="3:3" ht="22.5" customHeight="1" x14ac:dyDescent="0.15">
      <c r="C822" s="33"/>
    </row>
    <row r="823" spans="3:3" ht="22.5" customHeight="1" x14ac:dyDescent="0.15">
      <c r="C823" s="33"/>
    </row>
    <row r="824" spans="3:3" ht="22.5" customHeight="1" x14ac:dyDescent="0.15">
      <c r="C824" s="33"/>
    </row>
    <row r="825" spans="3:3" ht="22.5" customHeight="1" x14ac:dyDescent="0.15">
      <c r="C825" s="33"/>
    </row>
    <row r="826" spans="3:3" ht="22.5" customHeight="1" x14ac:dyDescent="0.15">
      <c r="C826" s="33"/>
    </row>
    <row r="827" spans="3:3" ht="22.5" customHeight="1" x14ac:dyDescent="0.15">
      <c r="C827" s="33"/>
    </row>
    <row r="828" spans="3:3" ht="22.5" customHeight="1" x14ac:dyDescent="0.15">
      <c r="C828" s="33"/>
    </row>
    <row r="829" spans="3:3" ht="22.5" customHeight="1" x14ac:dyDescent="0.15">
      <c r="C829" s="33"/>
    </row>
    <row r="830" spans="3:3" ht="22.5" customHeight="1" x14ac:dyDescent="0.15">
      <c r="C830" s="33"/>
    </row>
    <row r="831" spans="3:3" ht="22.5" customHeight="1" x14ac:dyDescent="0.15">
      <c r="C831" s="33"/>
    </row>
    <row r="832" spans="3:3" ht="22.5" customHeight="1" x14ac:dyDescent="0.15">
      <c r="C832" s="33"/>
    </row>
    <row r="833" spans="3:3" ht="22.5" customHeight="1" x14ac:dyDescent="0.15">
      <c r="C833" s="33"/>
    </row>
    <row r="834" spans="3:3" ht="22.5" customHeight="1" x14ac:dyDescent="0.15">
      <c r="C834" s="33"/>
    </row>
    <row r="835" spans="3:3" ht="22.5" customHeight="1" x14ac:dyDescent="0.15">
      <c r="C835" s="33"/>
    </row>
    <row r="836" spans="3:3" ht="22.5" customHeight="1" x14ac:dyDescent="0.15">
      <c r="C836" s="33"/>
    </row>
    <row r="837" spans="3:3" ht="22.5" customHeight="1" x14ac:dyDescent="0.15">
      <c r="C837" s="33"/>
    </row>
    <row r="838" spans="3:3" ht="22.5" customHeight="1" x14ac:dyDescent="0.15">
      <c r="C838" s="33"/>
    </row>
    <row r="839" spans="3:3" ht="22.5" customHeight="1" x14ac:dyDescent="0.15">
      <c r="C839" s="33"/>
    </row>
    <row r="840" spans="3:3" ht="22.5" customHeight="1" x14ac:dyDescent="0.15">
      <c r="C840" s="33"/>
    </row>
    <row r="841" spans="3:3" ht="22.5" customHeight="1" x14ac:dyDescent="0.15">
      <c r="C841" s="33"/>
    </row>
    <row r="842" spans="3:3" ht="22.5" customHeight="1" x14ac:dyDescent="0.15">
      <c r="C842" s="33"/>
    </row>
    <row r="843" spans="3:3" ht="22.5" customHeight="1" x14ac:dyDescent="0.15">
      <c r="C843" s="33"/>
    </row>
    <row r="844" spans="3:3" ht="22.5" customHeight="1" x14ac:dyDescent="0.15">
      <c r="C844" s="33"/>
    </row>
    <row r="845" spans="3:3" ht="22.5" customHeight="1" x14ac:dyDescent="0.15">
      <c r="C845" s="33"/>
    </row>
    <row r="846" spans="3:3" ht="22.5" customHeight="1" x14ac:dyDescent="0.15">
      <c r="C846" s="33"/>
    </row>
    <row r="847" spans="3:3" ht="22.5" customHeight="1" x14ac:dyDescent="0.15">
      <c r="C847" s="33"/>
    </row>
    <row r="848" spans="3:3" ht="22.5" customHeight="1" x14ac:dyDescent="0.15">
      <c r="C848" s="33"/>
    </row>
    <row r="849" spans="3:3" ht="22.5" customHeight="1" x14ac:dyDescent="0.15">
      <c r="C849" s="33"/>
    </row>
    <row r="850" spans="3:3" ht="22.5" customHeight="1" x14ac:dyDescent="0.15">
      <c r="C850" s="33"/>
    </row>
    <row r="851" spans="3:3" ht="22.5" customHeight="1" x14ac:dyDescent="0.15">
      <c r="C851" s="33"/>
    </row>
    <row r="852" spans="3:3" ht="22.5" customHeight="1" x14ac:dyDescent="0.15">
      <c r="C852" s="33"/>
    </row>
    <row r="853" spans="3:3" ht="22.5" customHeight="1" x14ac:dyDescent="0.15">
      <c r="C853" s="33"/>
    </row>
    <row r="854" spans="3:3" ht="22.5" customHeight="1" x14ac:dyDescent="0.15">
      <c r="C854" s="33"/>
    </row>
    <row r="855" spans="3:3" ht="22.5" customHeight="1" x14ac:dyDescent="0.15">
      <c r="C855" s="33"/>
    </row>
    <row r="856" spans="3:3" ht="22.5" customHeight="1" x14ac:dyDescent="0.15">
      <c r="C856" s="33"/>
    </row>
    <row r="857" spans="3:3" ht="22.5" customHeight="1" x14ac:dyDescent="0.15">
      <c r="C857" s="33"/>
    </row>
    <row r="858" spans="3:3" ht="22.5" customHeight="1" x14ac:dyDescent="0.15">
      <c r="C858" s="33"/>
    </row>
    <row r="859" spans="3:3" ht="22.5" customHeight="1" x14ac:dyDescent="0.15">
      <c r="C859" s="33"/>
    </row>
    <row r="860" spans="3:3" ht="22.5" customHeight="1" x14ac:dyDescent="0.15">
      <c r="C860" s="33"/>
    </row>
    <row r="861" spans="3:3" ht="22.5" customHeight="1" x14ac:dyDescent="0.15">
      <c r="C861" s="33"/>
    </row>
    <row r="862" spans="3:3" ht="22.5" customHeight="1" x14ac:dyDescent="0.15">
      <c r="C862" s="33"/>
    </row>
    <row r="863" spans="3:3" ht="22.5" customHeight="1" x14ac:dyDescent="0.15">
      <c r="C863" s="33"/>
    </row>
    <row r="864" spans="3:3" ht="22.5" customHeight="1" x14ac:dyDescent="0.15">
      <c r="C864" s="33"/>
    </row>
    <row r="865" spans="3:3" ht="22.5" customHeight="1" x14ac:dyDescent="0.15">
      <c r="C865" s="33"/>
    </row>
    <row r="866" spans="3:3" ht="22.5" customHeight="1" x14ac:dyDescent="0.15">
      <c r="C866" s="33"/>
    </row>
    <row r="867" spans="3:3" ht="22.5" customHeight="1" x14ac:dyDescent="0.15">
      <c r="C867" s="33"/>
    </row>
    <row r="868" spans="3:3" ht="22.5" customHeight="1" x14ac:dyDescent="0.15">
      <c r="C868" s="33"/>
    </row>
    <row r="869" spans="3:3" ht="22.5" customHeight="1" x14ac:dyDescent="0.15">
      <c r="C869" s="33"/>
    </row>
    <row r="870" spans="3:3" ht="22.5" customHeight="1" x14ac:dyDescent="0.15">
      <c r="C870" s="33"/>
    </row>
    <row r="871" spans="3:3" ht="22.5" customHeight="1" x14ac:dyDescent="0.15">
      <c r="C871" s="33"/>
    </row>
    <row r="872" spans="3:3" ht="22.5" customHeight="1" x14ac:dyDescent="0.15">
      <c r="C872" s="33"/>
    </row>
    <row r="873" spans="3:3" ht="22.5" customHeight="1" x14ac:dyDescent="0.15">
      <c r="C873" s="33"/>
    </row>
    <row r="874" spans="3:3" ht="22.5" customHeight="1" x14ac:dyDescent="0.15">
      <c r="C874" s="33"/>
    </row>
    <row r="875" spans="3:3" ht="22.5" customHeight="1" x14ac:dyDescent="0.15">
      <c r="C875" s="33"/>
    </row>
    <row r="876" spans="3:3" ht="22.5" customHeight="1" x14ac:dyDescent="0.15">
      <c r="C876" s="33"/>
    </row>
    <row r="877" spans="3:3" ht="22.5" customHeight="1" x14ac:dyDescent="0.15">
      <c r="C877" s="33"/>
    </row>
    <row r="878" spans="3:3" ht="22.5" customHeight="1" x14ac:dyDescent="0.15">
      <c r="C878" s="33"/>
    </row>
    <row r="879" spans="3:3" ht="22.5" customHeight="1" x14ac:dyDescent="0.15">
      <c r="C879" s="33"/>
    </row>
    <row r="880" spans="3:3" ht="22.5" customHeight="1" x14ac:dyDescent="0.15">
      <c r="C880" s="33"/>
    </row>
    <row r="881" spans="3:3" ht="22.5" customHeight="1" x14ac:dyDescent="0.15">
      <c r="C881" s="33"/>
    </row>
    <row r="882" spans="3:3" ht="22.5" customHeight="1" x14ac:dyDescent="0.15">
      <c r="C882" s="33"/>
    </row>
    <row r="883" spans="3:3" ht="22.5" customHeight="1" x14ac:dyDescent="0.15">
      <c r="C883" s="33"/>
    </row>
    <row r="884" spans="3:3" ht="22.5" customHeight="1" x14ac:dyDescent="0.15">
      <c r="C884" s="33"/>
    </row>
    <row r="885" spans="3:3" ht="22.5" customHeight="1" x14ac:dyDescent="0.15">
      <c r="C885" s="33"/>
    </row>
    <row r="886" spans="3:3" ht="22.5" customHeight="1" x14ac:dyDescent="0.15">
      <c r="C886" s="33"/>
    </row>
    <row r="887" spans="3:3" ht="22.5" customHeight="1" x14ac:dyDescent="0.15">
      <c r="C887" s="33"/>
    </row>
    <row r="888" spans="3:3" ht="22.5" customHeight="1" x14ac:dyDescent="0.15">
      <c r="C888" s="33"/>
    </row>
    <row r="889" spans="3:3" ht="22.5" customHeight="1" x14ac:dyDescent="0.15">
      <c r="C889" s="33"/>
    </row>
    <row r="890" spans="3:3" ht="22.5" customHeight="1" x14ac:dyDescent="0.15">
      <c r="C890" s="33"/>
    </row>
    <row r="891" spans="3:3" ht="22.5" customHeight="1" x14ac:dyDescent="0.15">
      <c r="C891" s="33"/>
    </row>
    <row r="892" spans="3:3" ht="22.5" customHeight="1" x14ac:dyDescent="0.15">
      <c r="C892" s="33"/>
    </row>
    <row r="893" spans="3:3" ht="22.5" customHeight="1" x14ac:dyDescent="0.15">
      <c r="C893" s="33"/>
    </row>
    <row r="894" spans="3:3" ht="22.5" customHeight="1" x14ac:dyDescent="0.15">
      <c r="C894" s="33"/>
    </row>
    <row r="895" spans="3:3" ht="22.5" customHeight="1" x14ac:dyDescent="0.15">
      <c r="C895" s="33"/>
    </row>
    <row r="896" spans="3:3" ht="22.5" customHeight="1" x14ac:dyDescent="0.15">
      <c r="C896" s="33"/>
    </row>
    <row r="897" spans="3:3" ht="22.5" customHeight="1" x14ac:dyDescent="0.15">
      <c r="C897" s="33"/>
    </row>
    <row r="898" spans="3:3" ht="22.5" customHeight="1" x14ac:dyDescent="0.15">
      <c r="C898" s="33"/>
    </row>
    <row r="899" spans="3:3" ht="22.5" customHeight="1" x14ac:dyDescent="0.15">
      <c r="C899" s="33"/>
    </row>
    <row r="900" spans="3:3" ht="22.5" customHeight="1" x14ac:dyDescent="0.15">
      <c r="C900" s="33"/>
    </row>
    <row r="901" spans="3:3" ht="22.5" customHeight="1" x14ac:dyDescent="0.15">
      <c r="C901" s="33"/>
    </row>
    <row r="902" spans="3:3" ht="22.5" customHeight="1" x14ac:dyDescent="0.15">
      <c r="C902" s="33"/>
    </row>
    <row r="903" spans="3:3" ht="22.5" customHeight="1" x14ac:dyDescent="0.15">
      <c r="C903" s="33"/>
    </row>
    <row r="904" spans="3:3" ht="22.5" customHeight="1" x14ac:dyDescent="0.15">
      <c r="C904" s="33"/>
    </row>
    <row r="905" spans="3:3" ht="22.5" customHeight="1" x14ac:dyDescent="0.15">
      <c r="C905" s="33"/>
    </row>
    <row r="906" spans="3:3" ht="22.5" customHeight="1" x14ac:dyDescent="0.15">
      <c r="C906" s="33"/>
    </row>
    <row r="907" spans="3:3" ht="22.5" customHeight="1" x14ac:dyDescent="0.15">
      <c r="C907" s="33"/>
    </row>
    <row r="908" spans="3:3" ht="22.5" customHeight="1" x14ac:dyDescent="0.15">
      <c r="C908" s="33"/>
    </row>
    <row r="909" spans="3:3" ht="22.5" customHeight="1" x14ac:dyDescent="0.15">
      <c r="C909" s="33"/>
    </row>
    <row r="910" spans="3:3" ht="22.5" customHeight="1" x14ac:dyDescent="0.15">
      <c r="C910" s="33"/>
    </row>
    <row r="911" spans="3:3" ht="22.5" customHeight="1" x14ac:dyDescent="0.15">
      <c r="C911" s="33"/>
    </row>
    <row r="912" spans="3:3" ht="22.5" customHeight="1" x14ac:dyDescent="0.15">
      <c r="C912" s="33"/>
    </row>
    <row r="913" spans="3:3" ht="22.5" customHeight="1" x14ac:dyDescent="0.15">
      <c r="C913" s="33"/>
    </row>
    <row r="914" spans="3:3" ht="22.5" customHeight="1" x14ac:dyDescent="0.15">
      <c r="C914" s="33"/>
    </row>
    <row r="915" spans="3:3" ht="22.5" customHeight="1" x14ac:dyDescent="0.15">
      <c r="C915" s="33"/>
    </row>
    <row r="916" spans="3:3" ht="22.5" customHeight="1" x14ac:dyDescent="0.15">
      <c r="C916" s="33"/>
    </row>
    <row r="917" spans="3:3" ht="22.5" customHeight="1" x14ac:dyDescent="0.15">
      <c r="C917" s="33"/>
    </row>
    <row r="918" spans="3:3" ht="22.5" customHeight="1" x14ac:dyDescent="0.15">
      <c r="C918" s="33"/>
    </row>
    <row r="919" spans="3:3" ht="22.5" customHeight="1" x14ac:dyDescent="0.15">
      <c r="C919" s="33"/>
    </row>
    <row r="920" spans="3:3" ht="22.5" customHeight="1" x14ac:dyDescent="0.15">
      <c r="C920" s="33"/>
    </row>
    <row r="921" spans="3:3" ht="22.5" customHeight="1" x14ac:dyDescent="0.15">
      <c r="C921" s="33"/>
    </row>
    <row r="922" spans="3:3" ht="22.5" customHeight="1" x14ac:dyDescent="0.15">
      <c r="C922" s="33"/>
    </row>
    <row r="923" spans="3:3" ht="22.5" customHeight="1" x14ac:dyDescent="0.15">
      <c r="C923" s="33"/>
    </row>
    <row r="924" spans="3:3" ht="22.5" customHeight="1" x14ac:dyDescent="0.15">
      <c r="C924" s="33"/>
    </row>
    <row r="925" spans="3:3" ht="22.5" customHeight="1" x14ac:dyDescent="0.15">
      <c r="C925" s="33"/>
    </row>
    <row r="926" spans="3:3" ht="22.5" customHeight="1" x14ac:dyDescent="0.15">
      <c r="C926" s="33"/>
    </row>
    <row r="927" spans="3:3" ht="22.5" customHeight="1" x14ac:dyDescent="0.15">
      <c r="C927" s="33"/>
    </row>
    <row r="928" spans="3:3" ht="22.5" customHeight="1" x14ac:dyDescent="0.15">
      <c r="C928" s="33"/>
    </row>
    <row r="929" spans="3:3" ht="22.5" customHeight="1" x14ac:dyDescent="0.15">
      <c r="C929" s="33"/>
    </row>
    <row r="930" spans="3:3" ht="22.5" customHeight="1" x14ac:dyDescent="0.15">
      <c r="C930" s="33"/>
    </row>
    <row r="931" spans="3:3" ht="22.5" customHeight="1" x14ac:dyDescent="0.15">
      <c r="C931" s="33"/>
    </row>
    <row r="932" spans="3:3" ht="22.5" customHeight="1" x14ac:dyDescent="0.15">
      <c r="C932" s="33"/>
    </row>
    <row r="933" spans="3:3" ht="22.5" customHeight="1" x14ac:dyDescent="0.15">
      <c r="C933" s="33"/>
    </row>
    <row r="934" spans="3:3" ht="22.5" customHeight="1" x14ac:dyDescent="0.15">
      <c r="C934" s="33"/>
    </row>
    <row r="935" spans="3:3" ht="22.5" customHeight="1" x14ac:dyDescent="0.15">
      <c r="C935" s="33"/>
    </row>
    <row r="936" spans="3:3" ht="22.5" customHeight="1" x14ac:dyDescent="0.15">
      <c r="C936" s="33"/>
    </row>
    <row r="937" spans="3:3" ht="22.5" customHeight="1" x14ac:dyDescent="0.15">
      <c r="C937" s="33"/>
    </row>
    <row r="938" spans="3:3" ht="22.5" customHeight="1" x14ac:dyDescent="0.15">
      <c r="C938" s="33"/>
    </row>
    <row r="939" spans="3:3" ht="22.5" customHeight="1" x14ac:dyDescent="0.15">
      <c r="C939" s="33"/>
    </row>
    <row r="940" spans="3:3" ht="22.5" customHeight="1" x14ac:dyDescent="0.15">
      <c r="C940" s="33"/>
    </row>
    <row r="941" spans="3:3" ht="22.5" customHeight="1" x14ac:dyDescent="0.15">
      <c r="C941" s="33"/>
    </row>
    <row r="942" spans="3:3" ht="22.5" customHeight="1" x14ac:dyDescent="0.15">
      <c r="C942" s="33"/>
    </row>
    <row r="943" spans="3:3" ht="22.5" customHeight="1" x14ac:dyDescent="0.15">
      <c r="C943" s="33"/>
    </row>
    <row r="944" spans="3:3" ht="22.5" customHeight="1" x14ac:dyDescent="0.15">
      <c r="C944" s="33"/>
    </row>
    <row r="945" spans="3:3" ht="22.5" customHeight="1" x14ac:dyDescent="0.15">
      <c r="C945" s="33"/>
    </row>
    <row r="946" spans="3:3" ht="22.5" customHeight="1" x14ac:dyDescent="0.15">
      <c r="C946" s="33"/>
    </row>
    <row r="947" spans="3:3" ht="22.5" customHeight="1" x14ac:dyDescent="0.15">
      <c r="C947" s="33"/>
    </row>
    <row r="948" spans="3:3" ht="22.5" customHeight="1" x14ac:dyDescent="0.15">
      <c r="C948" s="33"/>
    </row>
    <row r="949" spans="3:3" ht="22.5" customHeight="1" x14ac:dyDescent="0.15">
      <c r="C949" s="33"/>
    </row>
    <row r="950" spans="3:3" ht="22.5" customHeight="1" x14ac:dyDescent="0.15">
      <c r="C950" s="33"/>
    </row>
    <row r="951" spans="3:3" ht="22.5" customHeight="1" x14ac:dyDescent="0.15">
      <c r="C951" s="33"/>
    </row>
    <row r="952" spans="3:3" ht="22.5" customHeight="1" x14ac:dyDescent="0.15">
      <c r="C952" s="33"/>
    </row>
    <row r="953" spans="3:3" ht="22.5" customHeight="1" x14ac:dyDescent="0.15">
      <c r="C953" s="33"/>
    </row>
    <row r="954" spans="3:3" ht="22.5" customHeight="1" x14ac:dyDescent="0.15">
      <c r="C954" s="33"/>
    </row>
    <row r="955" spans="3:3" ht="22.5" customHeight="1" x14ac:dyDescent="0.15">
      <c r="C955" s="33"/>
    </row>
    <row r="956" spans="3:3" ht="22.5" customHeight="1" x14ac:dyDescent="0.15">
      <c r="C956" s="33"/>
    </row>
    <row r="957" spans="3:3" ht="22.5" customHeight="1" x14ac:dyDescent="0.15">
      <c r="C957" s="33"/>
    </row>
    <row r="958" spans="3:3" ht="22.5" customHeight="1" x14ac:dyDescent="0.15">
      <c r="C958" s="33"/>
    </row>
    <row r="959" spans="3:3" ht="22.5" customHeight="1" x14ac:dyDescent="0.15">
      <c r="C959" s="33"/>
    </row>
    <row r="960" spans="3:3" ht="22.5" customHeight="1" x14ac:dyDescent="0.15">
      <c r="C960" s="33"/>
    </row>
    <row r="961" spans="3:3" ht="22.5" customHeight="1" x14ac:dyDescent="0.15">
      <c r="C961" s="33"/>
    </row>
    <row r="962" spans="3:3" ht="22.5" customHeight="1" x14ac:dyDescent="0.15">
      <c r="C962" s="33"/>
    </row>
    <row r="963" spans="3:3" ht="22.5" customHeight="1" x14ac:dyDescent="0.15">
      <c r="C963" s="33"/>
    </row>
    <row r="964" spans="3:3" ht="22.5" customHeight="1" x14ac:dyDescent="0.15">
      <c r="C964" s="33"/>
    </row>
    <row r="965" spans="3:3" ht="22.5" customHeight="1" x14ac:dyDescent="0.15">
      <c r="C965" s="33"/>
    </row>
    <row r="966" spans="3:3" ht="22.5" customHeight="1" x14ac:dyDescent="0.15">
      <c r="C966" s="33"/>
    </row>
    <row r="967" spans="3:3" ht="22.5" customHeight="1" x14ac:dyDescent="0.15">
      <c r="C967" s="33"/>
    </row>
    <row r="968" spans="3:3" ht="22.5" customHeight="1" x14ac:dyDescent="0.15">
      <c r="C968" s="33"/>
    </row>
    <row r="969" spans="3:3" ht="22.5" customHeight="1" x14ac:dyDescent="0.15">
      <c r="C969" s="33"/>
    </row>
    <row r="970" spans="3:3" ht="22.5" customHeight="1" x14ac:dyDescent="0.15">
      <c r="C970" s="33"/>
    </row>
    <row r="971" spans="3:3" ht="22.5" customHeight="1" x14ac:dyDescent="0.15">
      <c r="C971" s="33"/>
    </row>
    <row r="972" spans="3:3" ht="22.5" customHeight="1" x14ac:dyDescent="0.15">
      <c r="C972" s="33"/>
    </row>
    <row r="973" spans="3:3" ht="22.5" customHeight="1" x14ac:dyDescent="0.15">
      <c r="C973" s="33"/>
    </row>
    <row r="974" spans="3:3" ht="22.5" customHeight="1" x14ac:dyDescent="0.15">
      <c r="C974" s="33"/>
    </row>
    <row r="975" spans="3:3" ht="22.5" customHeight="1" x14ac:dyDescent="0.15">
      <c r="C975" s="33"/>
    </row>
    <row r="976" spans="3:3" ht="22.5" customHeight="1" x14ac:dyDescent="0.15">
      <c r="C976" s="33"/>
    </row>
    <row r="977" spans="3:3" ht="22.5" customHeight="1" x14ac:dyDescent="0.15">
      <c r="C977" s="33"/>
    </row>
    <row r="978" spans="3:3" ht="22.5" customHeight="1" x14ac:dyDescent="0.15">
      <c r="C978" s="33"/>
    </row>
    <row r="979" spans="3:3" ht="22.5" customHeight="1" x14ac:dyDescent="0.15">
      <c r="C979" s="33"/>
    </row>
    <row r="980" spans="3:3" ht="22.5" customHeight="1" x14ac:dyDescent="0.15">
      <c r="C980" s="33"/>
    </row>
    <row r="981" spans="3:3" ht="22.5" customHeight="1" x14ac:dyDescent="0.15">
      <c r="C981" s="33"/>
    </row>
    <row r="982" spans="3:3" ht="22.5" customHeight="1" x14ac:dyDescent="0.15">
      <c r="C982" s="33"/>
    </row>
    <row r="983" spans="3:3" ht="22.5" customHeight="1" x14ac:dyDescent="0.15">
      <c r="C983" s="33"/>
    </row>
    <row r="984" spans="3:3" ht="22.5" customHeight="1" x14ac:dyDescent="0.15">
      <c r="C984" s="33"/>
    </row>
    <row r="985" spans="3:3" ht="22.5" customHeight="1" x14ac:dyDescent="0.15">
      <c r="C985" s="33"/>
    </row>
    <row r="986" spans="3:3" ht="22.5" customHeight="1" x14ac:dyDescent="0.15">
      <c r="C986" s="33"/>
    </row>
    <row r="987" spans="3:3" ht="22.5" customHeight="1" x14ac:dyDescent="0.15">
      <c r="C987" s="33"/>
    </row>
    <row r="988" spans="3:3" ht="22.5" customHeight="1" x14ac:dyDescent="0.15">
      <c r="C988" s="33"/>
    </row>
    <row r="989" spans="3:3" ht="22.5" customHeight="1" x14ac:dyDescent="0.15">
      <c r="C989" s="33"/>
    </row>
    <row r="990" spans="3:3" ht="22.5" customHeight="1" x14ac:dyDescent="0.15">
      <c r="C990" s="33"/>
    </row>
    <row r="991" spans="3:3" ht="22.5" customHeight="1" x14ac:dyDescent="0.15">
      <c r="C991" s="33"/>
    </row>
    <row r="992" spans="3:3" ht="22.5" customHeight="1" x14ac:dyDescent="0.15">
      <c r="C992" s="33"/>
    </row>
    <row r="993" spans="3:3" ht="22.5" customHeight="1" x14ac:dyDescent="0.15">
      <c r="C993" s="33"/>
    </row>
    <row r="994" spans="3:3" ht="22.5" customHeight="1" x14ac:dyDescent="0.15">
      <c r="C994" s="33"/>
    </row>
    <row r="995" spans="3:3" ht="22.5" customHeight="1" x14ac:dyDescent="0.15">
      <c r="C995" s="33"/>
    </row>
    <row r="996" spans="3:3" ht="22.5" customHeight="1" x14ac:dyDescent="0.15">
      <c r="C996" s="33"/>
    </row>
    <row r="997" spans="3:3" ht="22.5" customHeight="1" x14ac:dyDescent="0.15">
      <c r="C997" s="33"/>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xr:uid="{00000000-0004-0000-0300-000014000000}"/>
    <hyperlink ref="A23" r:id="rId22" xr:uid="{00000000-0004-0000-0300-000015000000}"/>
    <hyperlink ref="A24" r:id="rId23"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 ref="A62" r:id="rId61" xr:uid="{00000000-0004-0000-0300-00003C000000}"/>
    <hyperlink ref="A63" r:id="rId62" xr:uid="{00000000-0004-0000-0300-00003D000000}"/>
    <hyperlink ref="A64" r:id="rId63" xr:uid="{00000000-0004-0000-0300-00003E000000}"/>
    <hyperlink ref="A65" r:id="rId64" xr:uid="{00000000-0004-0000-0300-00003F000000}"/>
    <hyperlink ref="A66" r:id="rId65" xr:uid="{00000000-0004-0000-0300-000040000000}"/>
    <hyperlink ref="A67" r:id="rId66" xr:uid="{00000000-0004-0000-0300-000041000000}"/>
    <hyperlink ref="A68" r:id="rId67" xr:uid="{00000000-0004-0000-0300-000042000000}"/>
    <hyperlink ref="A69" r:id="rId68" xr:uid="{00000000-0004-0000-0300-000043000000}"/>
    <hyperlink ref="A70" r:id="rId69" xr:uid="{00000000-0004-0000-0300-000044000000}"/>
    <hyperlink ref="A71" r:id="rId70" xr:uid="{00000000-0004-0000-0300-000045000000}"/>
    <hyperlink ref="A72" r:id="rId71" xr:uid="{00000000-0004-0000-0300-000046000000}"/>
    <hyperlink ref="A73" r:id="rId72" xr:uid="{00000000-0004-0000-0300-000047000000}"/>
    <hyperlink ref="A74" r:id="rId73" xr:uid="{00000000-0004-0000-0300-000048000000}"/>
    <hyperlink ref="A75" r:id="rId74" xr:uid="{00000000-0004-0000-0300-000049000000}"/>
    <hyperlink ref="A76" r:id="rId75" xr:uid="{00000000-0004-0000-0300-00004A000000}"/>
    <hyperlink ref="A77" r:id="rId76" xr:uid="{00000000-0004-0000-0300-00004B000000}"/>
    <hyperlink ref="A78" r:id="rId77" xr:uid="{00000000-0004-0000-0300-00004C000000}"/>
    <hyperlink ref="A79" r:id="rId78" xr:uid="{00000000-0004-0000-0300-00004D000000}"/>
    <hyperlink ref="A80" r:id="rId79" xr:uid="{00000000-0004-0000-0300-00004E000000}"/>
    <hyperlink ref="A81" r:id="rId80" xr:uid="{00000000-0004-0000-0300-00004F000000}"/>
    <hyperlink ref="A82" r:id="rId81" xr:uid="{00000000-0004-0000-0300-000050000000}"/>
    <hyperlink ref="A83" r:id="rId82" xr:uid="{00000000-0004-0000-0300-000051000000}"/>
    <hyperlink ref="A84" r:id="rId83" xr:uid="{00000000-0004-0000-0300-000052000000}"/>
    <hyperlink ref="A85" r:id="rId84" xr:uid="{00000000-0004-0000-0300-000053000000}"/>
    <hyperlink ref="A86" r:id="rId85" xr:uid="{00000000-0004-0000-0300-000054000000}"/>
    <hyperlink ref="A87" r:id="rId86" xr:uid="{00000000-0004-0000-0300-000055000000}"/>
    <hyperlink ref="A88" r:id="rId87" xr:uid="{00000000-0004-0000-0300-000056000000}"/>
    <hyperlink ref="A89" r:id="rId88" xr:uid="{00000000-0004-0000-0300-000057000000}"/>
    <hyperlink ref="A90" r:id="rId89" xr:uid="{00000000-0004-0000-0300-000058000000}"/>
    <hyperlink ref="A91" r:id="rId90" xr:uid="{00000000-0004-0000-0300-000059000000}"/>
    <hyperlink ref="A92" r:id="rId91" xr:uid="{00000000-0004-0000-0300-00005A000000}"/>
    <hyperlink ref="A93" r:id="rId92" xr:uid="{00000000-0004-0000-0300-00005B000000}"/>
    <hyperlink ref="A94" r:id="rId93" xr:uid="{00000000-0004-0000-0300-00005C000000}"/>
    <hyperlink ref="A95" r:id="rId94" xr:uid="{00000000-0004-0000-0300-00005D000000}"/>
    <hyperlink ref="A96" r:id="rId95" xr:uid="{00000000-0004-0000-0300-00005E000000}"/>
    <hyperlink ref="A97" r:id="rId96" xr:uid="{00000000-0004-0000-0300-00005F000000}"/>
    <hyperlink ref="A98" r:id="rId97" xr:uid="{00000000-0004-0000-0300-000060000000}"/>
    <hyperlink ref="A99" r:id="rId98" xr:uid="{00000000-0004-0000-0300-000061000000}"/>
    <hyperlink ref="A100" r:id="rId99" xr:uid="{00000000-0004-0000-0300-000062000000}"/>
    <hyperlink ref="A101" r:id="rId100" xr:uid="{00000000-0004-0000-0300-000063000000}"/>
    <hyperlink ref="A102" r:id="rId101" xr:uid="{00000000-0004-0000-0300-000064000000}"/>
    <hyperlink ref="A103" r:id="rId102" xr:uid="{00000000-0004-0000-0300-000065000000}"/>
    <hyperlink ref="A104" r:id="rId103" xr:uid="{00000000-0004-0000-0300-000066000000}"/>
    <hyperlink ref="A105" r:id="rId104" xr:uid="{00000000-0004-0000-0300-000067000000}"/>
    <hyperlink ref="A106" r:id="rId105" xr:uid="{00000000-0004-0000-0300-000068000000}"/>
    <hyperlink ref="A107" r:id="rId106" xr:uid="{00000000-0004-0000-0300-000069000000}"/>
    <hyperlink ref="A108" r:id="rId107" xr:uid="{00000000-0004-0000-0300-00006A000000}"/>
    <hyperlink ref="A109" r:id="rId108" xr:uid="{00000000-0004-0000-0300-00006B000000}"/>
    <hyperlink ref="A110" r:id="rId109" xr:uid="{00000000-0004-0000-0300-00006C000000}"/>
    <hyperlink ref="A111" r:id="rId110" xr:uid="{00000000-0004-0000-0300-00006D000000}"/>
    <hyperlink ref="A112" r:id="rId111" xr:uid="{00000000-0004-0000-0300-00006E000000}"/>
    <hyperlink ref="A113" r:id="rId112" xr:uid="{00000000-0004-0000-0300-00006F000000}"/>
    <hyperlink ref="A114" r:id="rId113" xr:uid="{00000000-0004-0000-0300-000070000000}"/>
    <hyperlink ref="A115" r:id="rId114" xr:uid="{00000000-0004-0000-0300-000071000000}"/>
    <hyperlink ref="A116" r:id="rId115" xr:uid="{00000000-0004-0000-0300-000072000000}"/>
    <hyperlink ref="A117" r:id="rId116" xr:uid="{00000000-0004-0000-0300-000073000000}"/>
    <hyperlink ref="A118" r:id="rId117" xr:uid="{00000000-0004-0000-0300-000074000000}"/>
    <hyperlink ref="A119" r:id="rId118" xr:uid="{00000000-0004-0000-0300-000075000000}"/>
    <hyperlink ref="A120" r:id="rId119" xr:uid="{00000000-0004-0000-0300-000076000000}"/>
    <hyperlink ref="A121" r:id="rId120" xr:uid="{00000000-0004-0000-0300-000077000000}"/>
    <hyperlink ref="A122" r:id="rId121" xr:uid="{00000000-0004-0000-0300-000078000000}"/>
    <hyperlink ref="A123" r:id="rId122" xr:uid="{00000000-0004-0000-0300-000079000000}"/>
    <hyperlink ref="A124" r:id="rId123" xr:uid="{00000000-0004-0000-0300-00007A000000}"/>
    <hyperlink ref="A125" r:id="rId124" xr:uid="{00000000-0004-0000-0300-00007B000000}"/>
    <hyperlink ref="A126" r:id="rId125" xr:uid="{00000000-0004-0000-0300-00007C000000}"/>
    <hyperlink ref="A127" r:id="rId126" xr:uid="{00000000-0004-0000-0300-00007D000000}"/>
    <hyperlink ref="A128" r:id="rId127" xr:uid="{00000000-0004-0000-0300-00007E000000}"/>
    <hyperlink ref="A129" r:id="rId128" xr:uid="{00000000-0004-0000-0300-00007F000000}"/>
    <hyperlink ref="A130" r:id="rId129" xr:uid="{00000000-0004-0000-0300-000080000000}"/>
    <hyperlink ref="A131" r:id="rId130" xr:uid="{00000000-0004-0000-0300-000081000000}"/>
    <hyperlink ref="A132" r:id="rId131" xr:uid="{00000000-0004-0000-0300-000082000000}"/>
    <hyperlink ref="A133" r:id="rId132" xr:uid="{00000000-0004-0000-0300-000083000000}"/>
    <hyperlink ref="A134" r:id="rId133" xr:uid="{00000000-0004-0000-0300-000084000000}"/>
    <hyperlink ref="A135" r:id="rId134" xr:uid="{00000000-0004-0000-0300-000085000000}"/>
    <hyperlink ref="A136" r:id="rId135" xr:uid="{00000000-0004-0000-0300-000086000000}"/>
    <hyperlink ref="A137" r:id="rId136" xr:uid="{00000000-0004-0000-0300-000087000000}"/>
    <hyperlink ref="A138" r:id="rId137" xr:uid="{00000000-0004-0000-0300-000088000000}"/>
    <hyperlink ref="A139" r:id="rId138" xr:uid="{00000000-0004-0000-0300-000089000000}"/>
    <hyperlink ref="A140" r:id="rId139" xr:uid="{00000000-0004-0000-0300-00008A000000}"/>
    <hyperlink ref="A141" r:id="rId140" xr:uid="{00000000-0004-0000-0300-00008B000000}"/>
    <hyperlink ref="A142" r:id="rId141" xr:uid="{00000000-0004-0000-0300-00008C000000}"/>
    <hyperlink ref="A143" r:id="rId142" xr:uid="{00000000-0004-0000-0300-00008D000000}"/>
    <hyperlink ref="A144" r:id="rId143" xr:uid="{00000000-0004-0000-0300-00008E000000}"/>
    <hyperlink ref="A145" r:id="rId144" xr:uid="{00000000-0004-0000-0300-00008F000000}"/>
    <hyperlink ref="A146" r:id="rId145" xr:uid="{00000000-0004-0000-0300-000090000000}"/>
    <hyperlink ref="A147" r:id="rId146" xr:uid="{00000000-0004-0000-0300-000091000000}"/>
    <hyperlink ref="A148" r:id="rId147" xr:uid="{00000000-0004-0000-0300-000092000000}"/>
    <hyperlink ref="A149" r:id="rId148" xr:uid="{00000000-0004-0000-0300-000093000000}"/>
    <hyperlink ref="A150" r:id="rId149" xr:uid="{00000000-0004-0000-0300-000094000000}"/>
    <hyperlink ref="A151" r:id="rId150" xr:uid="{00000000-0004-0000-0300-000095000000}"/>
    <hyperlink ref="A152" r:id="rId151" xr:uid="{00000000-0004-0000-0300-000096000000}"/>
    <hyperlink ref="A153" r:id="rId152" xr:uid="{00000000-0004-0000-0300-000097000000}"/>
    <hyperlink ref="A154" r:id="rId153" xr:uid="{00000000-0004-0000-0300-000098000000}"/>
    <hyperlink ref="A155" r:id="rId154" xr:uid="{00000000-0004-0000-0300-000099000000}"/>
    <hyperlink ref="A156" r:id="rId155" xr:uid="{00000000-0004-0000-0300-00009A000000}"/>
    <hyperlink ref="A157" r:id="rId156" xr:uid="{00000000-0004-0000-0300-00009B000000}"/>
    <hyperlink ref="A158" r:id="rId157" xr:uid="{00000000-0004-0000-0300-00009C000000}"/>
    <hyperlink ref="A159" r:id="rId158" xr:uid="{00000000-0004-0000-0300-00009D000000}"/>
    <hyperlink ref="A160" r:id="rId159" xr:uid="{00000000-0004-0000-0300-00009E000000}"/>
    <hyperlink ref="A161" r:id="rId160" xr:uid="{00000000-0004-0000-0300-00009F000000}"/>
    <hyperlink ref="A162" r:id="rId161" xr:uid="{00000000-0004-0000-0300-0000A0000000}"/>
    <hyperlink ref="A163" r:id="rId162" xr:uid="{00000000-0004-0000-0300-0000A1000000}"/>
    <hyperlink ref="A164" r:id="rId163" xr:uid="{00000000-0004-0000-0300-0000A2000000}"/>
    <hyperlink ref="A165" r:id="rId164" xr:uid="{00000000-0004-0000-0300-0000A3000000}"/>
    <hyperlink ref="A166" r:id="rId165" xr:uid="{00000000-0004-0000-0300-0000A4000000}"/>
    <hyperlink ref="A167" r:id="rId166" xr:uid="{00000000-0004-0000-0300-0000A5000000}"/>
    <hyperlink ref="A168" r:id="rId167" xr:uid="{00000000-0004-0000-0300-0000A6000000}"/>
    <hyperlink ref="A169" r:id="rId168" xr:uid="{00000000-0004-0000-0300-0000A7000000}"/>
    <hyperlink ref="A170" r:id="rId169" xr:uid="{00000000-0004-0000-0300-0000A8000000}"/>
    <hyperlink ref="A171" r:id="rId170" xr:uid="{00000000-0004-0000-0300-0000A9000000}"/>
    <hyperlink ref="A172" r:id="rId171" xr:uid="{00000000-0004-0000-0300-0000AA000000}"/>
    <hyperlink ref="A173" r:id="rId172" xr:uid="{00000000-0004-0000-0300-0000AB000000}"/>
    <hyperlink ref="A174" r:id="rId173" xr:uid="{00000000-0004-0000-0300-0000AC000000}"/>
    <hyperlink ref="A175" r:id="rId174" xr:uid="{00000000-0004-0000-0300-0000AD000000}"/>
    <hyperlink ref="A176" r:id="rId175" xr:uid="{00000000-0004-0000-0300-0000AE000000}"/>
    <hyperlink ref="A177" r:id="rId176" xr:uid="{00000000-0004-0000-0300-0000AF000000}"/>
    <hyperlink ref="A178" r:id="rId177" xr:uid="{00000000-0004-0000-0300-0000B0000000}"/>
    <hyperlink ref="A179" r:id="rId178" xr:uid="{00000000-0004-0000-0300-0000B1000000}"/>
    <hyperlink ref="A180" r:id="rId179" xr:uid="{00000000-0004-0000-0300-0000B2000000}"/>
    <hyperlink ref="A181" r:id="rId180" xr:uid="{00000000-0004-0000-0300-0000B3000000}"/>
    <hyperlink ref="A182" r:id="rId181" xr:uid="{00000000-0004-0000-0300-0000B4000000}"/>
    <hyperlink ref="A183" r:id="rId182" xr:uid="{00000000-0004-0000-0300-0000B5000000}"/>
    <hyperlink ref="A184" r:id="rId183" xr:uid="{00000000-0004-0000-0300-0000B6000000}"/>
    <hyperlink ref="A185" r:id="rId184" xr:uid="{00000000-0004-0000-0300-0000B7000000}"/>
    <hyperlink ref="A186" r:id="rId185" xr:uid="{00000000-0004-0000-0300-0000B8000000}"/>
    <hyperlink ref="A187" r:id="rId186" xr:uid="{00000000-0004-0000-0300-0000B9000000}"/>
    <hyperlink ref="A188" r:id="rId187" xr:uid="{00000000-0004-0000-0300-0000BA000000}"/>
    <hyperlink ref="A189" r:id="rId188" xr:uid="{00000000-0004-0000-0300-0000BB000000}"/>
    <hyperlink ref="A190" r:id="rId189" xr:uid="{00000000-0004-0000-0300-0000BC000000}"/>
    <hyperlink ref="A191" r:id="rId190" xr:uid="{00000000-0004-0000-0300-0000BD000000}"/>
    <hyperlink ref="A192" r:id="rId191" xr:uid="{00000000-0004-0000-0300-0000BE000000}"/>
    <hyperlink ref="A193" r:id="rId192" xr:uid="{00000000-0004-0000-0300-0000BF000000}"/>
    <hyperlink ref="A194" r:id="rId193" xr:uid="{00000000-0004-0000-0300-0000C0000000}"/>
    <hyperlink ref="A195" r:id="rId194" xr:uid="{00000000-0004-0000-0300-0000C1000000}"/>
    <hyperlink ref="A196" r:id="rId195" xr:uid="{00000000-0004-0000-0300-0000C2000000}"/>
    <hyperlink ref="A197" r:id="rId196" xr:uid="{00000000-0004-0000-0300-0000C3000000}"/>
    <hyperlink ref="A198" r:id="rId197" xr:uid="{00000000-0004-0000-0300-0000C4000000}"/>
    <hyperlink ref="A199" r:id="rId198" xr:uid="{00000000-0004-0000-0300-0000C5000000}"/>
    <hyperlink ref="A200" r:id="rId199" xr:uid="{00000000-0004-0000-0300-0000C6000000}"/>
    <hyperlink ref="A201" r:id="rId200" xr:uid="{00000000-0004-0000-0300-0000C7000000}"/>
    <hyperlink ref="A202" r:id="rId201" xr:uid="{00000000-0004-0000-0300-0000C8000000}"/>
    <hyperlink ref="A203" r:id="rId202" xr:uid="{00000000-0004-0000-0300-0000C9000000}"/>
    <hyperlink ref="A204" r:id="rId203" xr:uid="{00000000-0004-0000-0300-0000CA000000}"/>
    <hyperlink ref="A205" r:id="rId204" xr:uid="{00000000-0004-0000-0300-0000CB000000}"/>
    <hyperlink ref="A206" r:id="rId205" xr:uid="{00000000-0004-0000-0300-0000CC000000}"/>
    <hyperlink ref="A207" r:id="rId206" xr:uid="{00000000-0004-0000-0300-0000CD000000}"/>
    <hyperlink ref="A208" r:id="rId207" xr:uid="{00000000-0004-0000-0300-0000CE000000}"/>
    <hyperlink ref="A209" r:id="rId208" xr:uid="{00000000-0004-0000-0300-0000CF000000}"/>
    <hyperlink ref="A210" r:id="rId209" xr:uid="{00000000-0004-0000-0300-0000D0000000}"/>
    <hyperlink ref="A211" r:id="rId210" xr:uid="{00000000-0004-0000-0300-0000D1000000}"/>
    <hyperlink ref="A212" r:id="rId211" xr:uid="{00000000-0004-0000-0300-0000D2000000}"/>
    <hyperlink ref="A213" r:id="rId212" xr:uid="{00000000-0004-0000-0300-0000D3000000}"/>
    <hyperlink ref="A214" r:id="rId213" xr:uid="{00000000-0004-0000-0300-0000D4000000}"/>
    <hyperlink ref="A215" r:id="rId214" xr:uid="{00000000-0004-0000-0300-0000D5000000}"/>
    <hyperlink ref="A216" r:id="rId215" xr:uid="{00000000-0004-0000-0300-0000D6000000}"/>
    <hyperlink ref="A217" r:id="rId216" xr:uid="{00000000-0004-0000-0300-0000D7000000}"/>
    <hyperlink ref="A218" r:id="rId217" xr:uid="{00000000-0004-0000-0300-0000D8000000}"/>
    <hyperlink ref="A219" r:id="rId218" xr:uid="{00000000-0004-0000-0300-0000D9000000}"/>
    <hyperlink ref="A220" r:id="rId219" xr:uid="{00000000-0004-0000-0300-0000DA000000}"/>
    <hyperlink ref="A221" r:id="rId220" xr:uid="{00000000-0004-0000-0300-0000DB000000}"/>
    <hyperlink ref="A222" r:id="rId221" xr:uid="{00000000-0004-0000-0300-0000DC000000}"/>
    <hyperlink ref="A223" r:id="rId222" xr:uid="{00000000-0004-0000-0300-0000DD000000}"/>
    <hyperlink ref="A224" r:id="rId223" xr:uid="{00000000-0004-0000-0300-0000DE000000}"/>
    <hyperlink ref="A225" r:id="rId224" xr:uid="{00000000-0004-0000-0300-0000DF000000}"/>
    <hyperlink ref="A226" r:id="rId225" xr:uid="{00000000-0004-0000-0300-0000E0000000}"/>
    <hyperlink ref="A227" r:id="rId226" xr:uid="{00000000-0004-0000-0300-0000E1000000}"/>
    <hyperlink ref="A228" r:id="rId227" xr:uid="{00000000-0004-0000-0300-0000E2000000}"/>
    <hyperlink ref="A229" r:id="rId228" xr:uid="{00000000-0004-0000-0300-0000E3000000}"/>
    <hyperlink ref="A230" r:id="rId229" xr:uid="{00000000-0004-0000-0300-0000E4000000}"/>
    <hyperlink ref="A231" r:id="rId230" xr:uid="{00000000-0004-0000-0300-0000E5000000}"/>
    <hyperlink ref="A232" r:id="rId231" xr:uid="{00000000-0004-0000-0300-0000E6000000}"/>
    <hyperlink ref="A233" r:id="rId232" xr:uid="{00000000-0004-0000-0300-0000E7000000}"/>
    <hyperlink ref="A234" r:id="rId233" xr:uid="{00000000-0004-0000-0300-0000E8000000}"/>
    <hyperlink ref="A235" r:id="rId234" xr:uid="{00000000-0004-0000-0300-0000E9000000}"/>
    <hyperlink ref="A236" r:id="rId235" xr:uid="{00000000-0004-0000-0300-0000EA000000}"/>
    <hyperlink ref="A237" r:id="rId236" xr:uid="{00000000-0004-0000-0300-0000EB000000}"/>
    <hyperlink ref="A238" r:id="rId237" xr:uid="{00000000-0004-0000-0300-0000EC000000}"/>
    <hyperlink ref="A239" r:id="rId238" xr:uid="{00000000-0004-0000-0300-0000ED000000}"/>
    <hyperlink ref="A240" r:id="rId239" xr:uid="{00000000-0004-0000-0300-0000EE000000}"/>
    <hyperlink ref="A241" r:id="rId240" xr:uid="{00000000-0004-0000-0300-0000EF000000}"/>
    <hyperlink ref="A242" r:id="rId241" xr:uid="{00000000-0004-0000-0300-0000F0000000}"/>
    <hyperlink ref="A243" r:id="rId242" xr:uid="{00000000-0004-0000-0300-0000F1000000}"/>
    <hyperlink ref="A244" r:id="rId243" xr:uid="{00000000-0004-0000-0300-0000F2000000}"/>
    <hyperlink ref="A245" r:id="rId244" xr:uid="{00000000-0004-0000-0300-0000F3000000}"/>
    <hyperlink ref="A246" r:id="rId245" xr:uid="{00000000-0004-0000-0300-0000F4000000}"/>
    <hyperlink ref="A247" r:id="rId246" xr:uid="{00000000-0004-0000-0300-0000F5000000}"/>
    <hyperlink ref="A248" r:id="rId247" xr:uid="{00000000-0004-0000-0300-0000F6000000}"/>
    <hyperlink ref="A249" r:id="rId248" xr:uid="{00000000-0004-0000-0300-0000F7000000}"/>
    <hyperlink ref="A250" r:id="rId249" xr:uid="{00000000-0004-0000-0300-0000F8000000}"/>
    <hyperlink ref="A251" r:id="rId250" xr:uid="{00000000-0004-0000-0300-0000F9000000}"/>
    <hyperlink ref="A252" r:id="rId251" xr:uid="{00000000-0004-0000-0300-0000FA000000}"/>
    <hyperlink ref="A253" r:id="rId252" xr:uid="{00000000-0004-0000-0300-0000FB000000}"/>
    <hyperlink ref="A254" r:id="rId253" xr:uid="{00000000-0004-0000-0300-0000FC000000}"/>
    <hyperlink ref="A255" r:id="rId254" xr:uid="{00000000-0004-0000-0300-0000FD000000}"/>
    <hyperlink ref="A256" r:id="rId255" xr:uid="{00000000-0004-0000-0300-0000FE000000}"/>
    <hyperlink ref="A257" r:id="rId256" xr:uid="{00000000-0004-0000-0300-0000FF000000}"/>
    <hyperlink ref="A258" r:id="rId257" xr:uid="{00000000-0004-0000-0300-000000010000}"/>
    <hyperlink ref="A259" r:id="rId258" xr:uid="{00000000-0004-0000-0300-000001010000}"/>
    <hyperlink ref="A260" r:id="rId259" xr:uid="{00000000-0004-0000-0300-000002010000}"/>
    <hyperlink ref="A261" r:id="rId260" xr:uid="{00000000-0004-0000-0300-000003010000}"/>
    <hyperlink ref="A262" r:id="rId261" xr:uid="{00000000-0004-0000-0300-000004010000}"/>
    <hyperlink ref="A263" r:id="rId262" xr:uid="{00000000-0004-0000-0300-000005010000}"/>
    <hyperlink ref="A264" r:id="rId263" xr:uid="{00000000-0004-0000-0300-000006010000}"/>
    <hyperlink ref="A265" r:id="rId264" xr:uid="{00000000-0004-0000-0300-000007010000}"/>
    <hyperlink ref="A266" r:id="rId265" xr:uid="{00000000-0004-0000-0300-000008010000}"/>
    <hyperlink ref="A267" r:id="rId266" xr:uid="{00000000-0004-0000-0300-000009010000}"/>
    <hyperlink ref="A268" r:id="rId267" xr:uid="{00000000-0004-0000-0300-00000A010000}"/>
    <hyperlink ref="A269" r:id="rId268" xr:uid="{00000000-0004-0000-0300-00000B010000}"/>
    <hyperlink ref="A270" r:id="rId269" xr:uid="{00000000-0004-0000-0300-00000C010000}"/>
    <hyperlink ref="A271" r:id="rId270" xr:uid="{00000000-0004-0000-0300-00000D010000}"/>
    <hyperlink ref="A272" r:id="rId271" xr:uid="{00000000-0004-0000-0300-00000E010000}"/>
    <hyperlink ref="A273" r:id="rId272" xr:uid="{00000000-0004-0000-0300-00000F010000}"/>
    <hyperlink ref="A274" r:id="rId273" xr:uid="{00000000-0004-0000-0300-000010010000}"/>
    <hyperlink ref="A275" r:id="rId274" xr:uid="{00000000-0004-0000-0300-000011010000}"/>
    <hyperlink ref="A276" r:id="rId275" xr:uid="{00000000-0004-0000-0300-000012010000}"/>
    <hyperlink ref="A277" r:id="rId276" xr:uid="{00000000-0004-0000-0300-000013010000}"/>
    <hyperlink ref="A278" r:id="rId277" xr:uid="{00000000-0004-0000-0300-000014010000}"/>
    <hyperlink ref="A279" r:id="rId278" xr:uid="{00000000-0004-0000-0300-000015010000}"/>
    <hyperlink ref="A280" r:id="rId279" xr:uid="{00000000-0004-0000-0300-000016010000}"/>
    <hyperlink ref="A281" r:id="rId280" xr:uid="{00000000-0004-0000-0300-000017010000}"/>
    <hyperlink ref="A282" r:id="rId281" xr:uid="{00000000-0004-0000-0300-000018010000}"/>
    <hyperlink ref="A283" r:id="rId282" xr:uid="{00000000-0004-0000-0300-000019010000}"/>
    <hyperlink ref="A284" r:id="rId283" xr:uid="{00000000-0004-0000-0300-00001A010000}"/>
    <hyperlink ref="A285" r:id="rId284" xr:uid="{00000000-0004-0000-0300-00001B010000}"/>
    <hyperlink ref="A286" r:id="rId285" xr:uid="{00000000-0004-0000-0300-00001C010000}"/>
    <hyperlink ref="A287" r:id="rId286" xr:uid="{00000000-0004-0000-0300-00001D010000}"/>
    <hyperlink ref="A288" r:id="rId287" xr:uid="{00000000-0004-0000-0300-00001E010000}"/>
    <hyperlink ref="A289" r:id="rId288" xr:uid="{00000000-0004-0000-0300-00001F010000}"/>
    <hyperlink ref="A290" r:id="rId289" xr:uid="{00000000-0004-0000-0300-000020010000}"/>
    <hyperlink ref="A291" r:id="rId290" xr:uid="{00000000-0004-0000-0300-000021010000}"/>
    <hyperlink ref="A292" r:id="rId291" xr:uid="{00000000-0004-0000-0300-000022010000}"/>
    <hyperlink ref="A293" r:id="rId292" xr:uid="{00000000-0004-0000-0300-000023010000}"/>
    <hyperlink ref="A294" r:id="rId293" xr:uid="{00000000-0004-0000-0300-000024010000}"/>
    <hyperlink ref="A295" r:id="rId294" xr:uid="{00000000-0004-0000-0300-000025010000}"/>
    <hyperlink ref="A296" r:id="rId295" xr:uid="{00000000-0004-0000-0300-000026010000}"/>
    <hyperlink ref="A297" r:id="rId296" xr:uid="{00000000-0004-0000-0300-000027010000}"/>
    <hyperlink ref="A298" r:id="rId297" xr:uid="{00000000-0004-0000-0300-000028010000}"/>
    <hyperlink ref="A299" r:id="rId298" xr:uid="{00000000-0004-0000-0300-000029010000}"/>
    <hyperlink ref="A300" r:id="rId299" xr:uid="{00000000-0004-0000-0300-00002A010000}"/>
    <hyperlink ref="A301" r:id="rId300" xr:uid="{00000000-0004-0000-0300-00002B010000}"/>
    <hyperlink ref="A302" r:id="rId301" xr:uid="{00000000-0004-0000-0300-00002C010000}"/>
    <hyperlink ref="A303" r:id="rId302" xr:uid="{00000000-0004-0000-0300-00002D010000}"/>
    <hyperlink ref="A304" r:id="rId303" xr:uid="{00000000-0004-0000-0300-00002E010000}"/>
    <hyperlink ref="A305" r:id="rId304" xr:uid="{00000000-0004-0000-0300-00002F010000}"/>
    <hyperlink ref="A306" r:id="rId305" xr:uid="{00000000-0004-0000-0300-000030010000}"/>
    <hyperlink ref="A307" r:id="rId306" xr:uid="{00000000-0004-0000-0300-000031010000}"/>
    <hyperlink ref="A308" r:id="rId307" xr:uid="{00000000-0004-0000-0300-000032010000}"/>
    <hyperlink ref="A309" r:id="rId308" xr:uid="{00000000-0004-0000-0300-000033010000}"/>
    <hyperlink ref="A310" r:id="rId309" xr:uid="{00000000-0004-0000-0300-000034010000}"/>
    <hyperlink ref="A311" r:id="rId310" xr:uid="{00000000-0004-0000-0300-000035010000}"/>
    <hyperlink ref="A312" r:id="rId311" xr:uid="{00000000-0004-0000-0300-000036010000}"/>
    <hyperlink ref="A313" r:id="rId312" xr:uid="{00000000-0004-0000-0300-000037010000}"/>
    <hyperlink ref="A314" r:id="rId313" xr:uid="{00000000-0004-0000-0300-000038010000}"/>
    <hyperlink ref="A315" r:id="rId314" xr:uid="{00000000-0004-0000-0300-000039010000}"/>
    <hyperlink ref="A316" r:id="rId315" xr:uid="{00000000-0004-0000-0300-00003A010000}"/>
    <hyperlink ref="A317" r:id="rId316" xr:uid="{00000000-0004-0000-0300-00003B010000}"/>
    <hyperlink ref="A318" r:id="rId317" xr:uid="{00000000-0004-0000-0300-00003C010000}"/>
    <hyperlink ref="A319" r:id="rId318" xr:uid="{00000000-0004-0000-0300-00003D010000}"/>
    <hyperlink ref="A320" r:id="rId319" xr:uid="{00000000-0004-0000-0300-00003E010000}"/>
    <hyperlink ref="A321" r:id="rId320" xr:uid="{00000000-0004-0000-0300-00003F010000}"/>
    <hyperlink ref="A322" r:id="rId321" xr:uid="{00000000-0004-0000-0300-000040010000}"/>
    <hyperlink ref="A323" r:id="rId322" xr:uid="{00000000-0004-0000-0300-000041010000}"/>
    <hyperlink ref="A324" r:id="rId323" xr:uid="{00000000-0004-0000-0300-000042010000}"/>
    <hyperlink ref="A325" r:id="rId324" xr:uid="{00000000-0004-0000-0300-000043010000}"/>
    <hyperlink ref="A326" r:id="rId325" xr:uid="{00000000-0004-0000-0300-000044010000}"/>
    <hyperlink ref="A327" r:id="rId326" xr:uid="{00000000-0004-0000-0300-000045010000}"/>
    <hyperlink ref="A328" r:id="rId327" xr:uid="{00000000-0004-0000-0300-000046010000}"/>
    <hyperlink ref="A329" r:id="rId328" xr:uid="{00000000-0004-0000-0300-000047010000}"/>
    <hyperlink ref="A330" r:id="rId329" xr:uid="{00000000-0004-0000-0300-000048010000}"/>
    <hyperlink ref="A331" r:id="rId330" xr:uid="{00000000-0004-0000-0300-000049010000}"/>
    <hyperlink ref="A332" r:id="rId331" xr:uid="{00000000-0004-0000-0300-00004A010000}"/>
    <hyperlink ref="A333" r:id="rId332" xr:uid="{00000000-0004-0000-0300-00004B010000}"/>
    <hyperlink ref="A334" r:id="rId333" xr:uid="{00000000-0004-0000-0300-00004C010000}"/>
    <hyperlink ref="A335" r:id="rId334" xr:uid="{00000000-0004-0000-0300-00004D010000}"/>
    <hyperlink ref="A336" r:id="rId335" xr:uid="{00000000-0004-0000-0300-00004E010000}"/>
    <hyperlink ref="A337" r:id="rId336" xr:uid="{00000000-0004-0000-0300-00004F010000}"/>
    <hyperlink ref="A338" r:id="rId337" xr:uid="{00000000-0004-0000-0300-000050010000}"/>
    <hyperlink ref="A339" r:id="rId338" xr:uid="{00000000-0004-0000-0300-000051010000}"/>
    <hyperlink ref="A340" r:id="rId339" xr:uid="{00000000-0004-0000-0300-000052010000}"/>
    <hyperlink ref="A341" r:id="rId340" xr:uid="{00000000-0004-0000-0300-000053010000}"/>
    <hyperlink ref="A342" r:id="rId341" xr:uid="{00000000-0004-0000-0300-000054010000}"/>
    <hyperlink ref="A343" r:id="rId342" xr:uid="{00000000-0004-0000-0300-000055010000}"/>
    <hyperlink ref="A344" r:id="rId343" xr:uid="{00000000-0004-0000-0300-000056010000}"/>
    <hyperlink ref="A345" r:id="rId344" xr:uid="{00000000-0004-0000-0300-000057010000}"/>
    <hyperlink ref="A346" r:id="rId345" xr:uid="{00000000-0004-0000-0300-000058010000}"/>
    <hyperlink ref="A347" r:id="rId346" xr:uid="{00000000-0004-0000-0300-000059010000}"/>
    <hyperlink ref="A348" r:id="rId347" xr:uid="{00000000-0004-0000-0300-00005A010000}"/>
    <hyperlink ref="A349" r:id="rId348" xr:uid="{00000000-0004-0000-0300-00005B010000}"/>
    <hyperlink ref="A350" r:id="rId349" xr:uid="{00000000-0004-0000-0300-00005C010000}"/>
    <hyperlink ref="A351" r:id="rId350" xr:uid="{00000000-0004-0000-0300-00005D010000}"/>
    <hyperlink ref="A352" r:id="rId351" xr:uid="{00000000-0004-0000-0300-00005E010000}"/>
    <hyperlink ref="A353" r:id="rId352" xr:uid="{00000000-0004-0000-0300-00005F010000}"/>
    <hyperlink ref="A354" r:id="rId353" xr:uid="{00000000-0004-0000-0300-000060010000}"/>
    <hyperlink ref="A355" r:id="rId354" xr:uid="{00000000-0004-0000-0300-000061010000}"/>
    <hyperlink ref="A356" r:id="rId355" xr:uid="{00000000-0004-0000-0300-000062010000}"/>
    <hyperlink ref="A357" r:id="rId356" xr:uid="{00000000-0004-0000-0300-000063010000}"/>
    <hyperlink ref="A358" r:id="rId357" xr:uid="{00000000-0004-0000-0300-000064010000}"/>
    <hyperlink ref="A359" r:id="rId358" xr:uid="{00000000-0004-0000-0300-000065010000}"/>
    <hyperlink ref="A360" r:id="rId359" xr:uid="{00000000-0004-0000-0300-000066010000}"/>
    <hyperlink ref="A361" r:id="rId360" xr:uid="{00000000-0004-0000-0300-000067010000}"/>
    <hyperlink ref="A362" r:id="rId361" xr:uid="{00000000-0004-0000-0300-000068010000}"/>
    <hyperlink ref="A363" r:id="rId362" xr:uid="{00000000-0004-0000-0300-000069010000}"/>
    <hyperlink ref="A364" r:id="rId363" xr:uid="{00000000-0004-0000-0300-00006A010000}"/>
    <hyperlink ref="A365" r:id="rId364" xr:uid="{00000000-0004-0000-0300-00006B010000}"/>
    <hyperlink ref="A366" r:id="rId365" xr:uid="{00000000-0004-0000-0300-00006C010000}"/>
    <hyperlink ref="A367" r:id="rId366" xr:uid="{00000000-0004-0000-0300-00006D010000}"/>
    <hyperlink ref="A368" r:id="rId367" xr:uid="{00000000-0004-0000-0300-00006E010000}"/>
    <hyperlink ref="A369" r:id="rId368" xr:uid="{00000000-0004-0000-0300-00006F010000}"/>
    <hyperlink ref="A370" r:id="rId369" xr:uid="{00000000-0004-0000-0300-000070010000}"/>
    <hyperlink ref="A371" r:id="rId370" xr:uid="{00000000-0004-0000-0300-000071010000}"/>
    <hyperlink ref="A372" r:id="rId371" xr:uid="{00000000-0004-0000-0300-000072010000}"/>
    <hyperlink ref="A373" r:id="rId372" xr:uid="{00000000-0004-0000-0300-000073010000}"/>
    <hyperlink ref="A374" r:id="rId373" xr:uid="{00000000-0004-0000-0300-000074010000}"/>
    <hyperlink ref="A375" r:id="rId374" xr:uid="{00000000-0004-0000-0300-000075010000}"/>
    <hyperlink ref="A376" r:id="rId375" xr:uid="{00000000-0004-0000-0300-000076010000}"/>
    <hyperlink ref="A377" r:id="rId376" xr:uid="{00000000-0004-0000-0300-000077010000}"/>
    <hyperlink ref="A378" r:id="rId377" xr:uid="{00000000-0004-0000-0300-000078010000}"/>
    <hyperlink ref="A379" r:id="rId378" xr:uid="{00000000-0004-0000-0300-000079010000}"/>
    <hyperlink ref="A380" r:id="rId379" xr:uid="{00000000-0004-0000-0300-00007A010000}"/>
    <hyperlink ref="A381" r:id="rId380" xr:uid="{00000000-0004-0000-0300-00007B010000}"/>
    <hyperlink ref="A382" r:id="rId381" xr:uid="{00000000-0004-0000-0300-00007C010000}"/>
    <hyperlink ref="A383" r:id="rId382" xr:uid="{00000000-0004-0000-0300-00007D010000}"/>
    <hyperlink ref="A384" r:id="rId383" xr:uid="{00000000-0004-0000-0300-00007E010000}"/>
    <hyperlink ref="A385" r:id="rId384" xr:uid="{00000000-0004-0000-0300-00007F010000}"/>
    <hyperlink ref="A386" r:id="rId385" xr:uid="{00000000-0004-0000-0300-000080010000}"/>
    <hyperlink ref="A387" r:id="rId386" xr:uid="{00000000-0004-0000-0300-000081010000}"/>
    <hyperlink ref="A388" r:id="rId387" xr:uid="{00000000-0004-0000-0300-000082010000}"/>
    <hyperlink ref="A389" r:id="rId388" xr:uid="{00000000-0004-0000-0300-000083010000}"/>
    <hyperlink ref="A390" r:id="rId389" xr:uid="{00000000-0004-0000-0300-000084010000}"/>
    <hyperlink ref="A391" r:id="rId390" xr:uid="{00000000-0004-0000-0300-000085010000}"/>
    <hyperlink ref="A392" r:id="rId391" xr:uid="{00000000-0004-0000-0300-000086010000}"/>
    <hyperlink ref="A393" r:id="rId392" xr:uid="{00000000-0004-0000-0300-000087010000}"/>
    <hyperlink ref="A394" r:id="rId393" xr:uid="{00000000-0004-0000-0300-000088010000}"/>
    <hyperlink ref="A395" r:id="rId394" xr:uid="{00000000-0004-0000-0300-000089010000}"/>
    <hyperlink ref="A396" r:id="rId395" xr:uid="{00000000-0004-0000-0300-00008A010000}"/>
    <hyperlink ref="A397" r:id="rId396" xr:uid="{00000000-0004-0000-0300-00008B010000}"/>
    <hyperlink ref="A398" r:id="rId397" xr:uid="{00000000-0004-0000-0300-00008C010000}"/>
    <hyperlink ref="A399" r:id="rId398" xr:uid="{00000000-0004-0000-0300-00008D010000}"/>
    <hyperlink ref="A400" r:id="rId399" xr:uid="{00000000-0004-0000-0300-00008E010000}"/>
    <hyperlink ref="A401" r:id="rId400" xr:uid="{00000000-0004-0000-0300-00008F010000}"/>
    <hyperlink ref="A402" r:id="rId401" xr:uid="{00000000-0004-0000-0300-000090010000}"/>
    <hyperlink ref="A403" r:id="rId402" xr:uid="{00000000-0004-0000-0300-000091010000}"/>
    <hyperlink ref="A404" r:id="rId403" xr:uid="{00000000-0004-0000-0300-000092010000}"/>
    <hyperlink ref="A405" r:id="rId404" xr:uid="{00000000-0004-0000-0300-000093010000}"/>
    <hyperlink ref="A406" r:id="rId405" xr:uid="{00000000-0004-0000-0300-000094010000}"/>
    <hyperlink ref="A407" r:id="rId406" xr:uid="{00000000-0004-0000-0300-000095010000}"/>
    <hyperlink ref="A408" r:id="rId407" xr:uid="{00000000-0004-0000-0300-000096010000}"/>
    <hyperlink ref="A409" r:id="rId408" xr:uid="{00000000-0004-0000-0300-000097010000}"/>
    <hyperlink ref="A410" r:id="rId409" xr:uid="{00000000-0004-0000-0300-000098010000}"/>
    <hyperlink ref="A411" r:id="rId410" xr:uid="{00000000-0004-0000-0300-000099010000}"/>
    <hyperlink ref="A412" r:id="rId411" xr:uid="{00000000-0004-0000-0300-00009A010000}"/>
    <hyperlink ref="A413" r:id="rId412" xr:uid="{00000000-0004-0000-0300-00009B010000}"/>
    <hyperlink ref="A414" r:id="rId413" xr:uid="{00000000-0004-0000-0300-00009C010000}"/>
    <hyperlink ref="A415" r:id="rId414" xr:uid="{00000000-0004-0000-0300-00009D010000}"/>
    <hyperlink ref="A416" r:id="rId415" xr:uid="{00000000-0004-0000-0300-00009E010000}"/>
    <hyperlink ref="A417" r:id="rId416" xr:uid="{00000000-0004-0000-0300-00009F010000}"/>
    <hyperlink ref="A418" r:id="rId417" xr:uid="{00000000-0004-0000-0300-0000A0010000}"/>
    <hyperlink ref="A419" r:id="rId418" xr:uid="{00000000-0004-0000-0300-0000A1010000}"/>
    <hyperlink ref="A420" r:id="rId419" xr:uid="{00000000-0004-0000-0300-0000A2010000}"/>
    <hyperlink ref="A421" r:id="rId420" xr:uid="{00000000-0004-0000-0300-0000A3010000}"/>
    <hyperlink ref="A422" r:id="rId421" xr:uid="{00000000-0004-0000-0300-0000A4010000}"/>
    <hyperlink ref="A423" r:id="rId422" xr:uid="{00000000-0004-0000-0300-0000A5010000}"/>
    <hyperlink ref="A424" r:id="rId423" xr:uid="{00000000-0004-0000-0300-0000A6010000}"/>
    <hyperlink ref="A425" r:id="rId424" xr:uid="{00000000-0004-0000-0300-0000A7010000}"/>
    <hyperlink ref="A426" r:id="rId425" xr:uid="{00000000-0004-0000-0300-0000A8010000}"/>
    <hyperlink ref="A427" r:id="rId426" xr:uid="{00000000-0004-0000-0300-0000A9010000}"/>
    <hyperlink ref="A428" r:id="rId427" xr:uid="{00000000-0004-0000-0300-0000AA010000}"/>
    <hyperlink ref="A429" r:id="rId428" xr:uid="{00000000-0004-0000-0300-0000AB010000}"/>
    <hyperlink ref="A430" r:id="rId429" xr:uid="{00000000-0004-0000-0300-0000AC010000}"/>
    <hyperlink ref="A431" r:id="rId430" xr:uid="{00000000-0004-0000-0300-0000AD010000}"/>
    <hyperlink ref="A432" r:id="rId431" xr:uid="{00000000-0004-0000-0300-0000AE010000}"/>
    <hyperlink ref="A433" r:id="rId432" xr:uid="{00000000-0004-0000-0300-0000AF010000}"/>
    <hyperlink ref="A434" r:id="rId433" xr:uid="{00000000-0004-0000-0300-0000B0010000}"/>
    <hyperlink ref="A435" r:id="rId434" xr:uid="{00000000-0004-0000-0300-0000B1010000}"/>
    <hyperlink ref="A436" r:id="rId435" xr:uid="{00000000-0004-0000-0300-0000B2010000}"/>
    <hyperlink ref="A437" r:id="rId436" xr:uid="{00000000-0004-0000-0300-0000B3010000}"/>
    <hyperlink ref="A438" r:id="rId437" xr:uid="{00000000-0004-0000-0300-0000B4010000}"/>
    <hyperlink ref="A439" r:id="rId438" xr:uid="{00000000-0004-0000-0300-0000B5010000}"/>
    <hyperlink ref="A440" r:id="rId439" xr:uid="{00000000-0004-0000-0300-0000B6010000}"/>
    <hyperlink ref="A441" r:id="rId440" xr:uid="{00000000-0004-0000-0300-0000B7010000}"/>
    <hyperlink ref="A442" r:id="rId441" xr:uid="{00000000-0004-0000-0300-0000B8010000}"/>
    <hyperlink ref="A443" r:id="rId442" xr:uid="{00000000-0004-0000-0300-0000B9010000}"/>
    <hyperlink ref="A444" r:id="rId443" xr:uid="{00000000-0004-0000-0300-0000BA010000}"/>
    <hyperlink ref="A445" r:id="rId444" xr:uid="{00000000-0004-0000-0300-0000BB010000}"/>
    <hyperlink ref="A446" r:id="rId445" xr:uid="{00000000-0004-0000-0300-0000BC010000}"/>
    <hyperlink ref="A447" r:id="rId446" xr:uid="{00000000-0004-0000-0300-0000BD010000}"/>
    <hyperlink ref="A448" r:id="rId447" xr:uid="{00000000-0004-0000-0300-0000BE010000}"/>
    <hyperlink ref="A449" r:id="rId448" xr:uid="{00000000-0004-0000-0300-0000BF010000}"/>
    <hyperlink ref="A450" r:id="rId449" xr:uid="{00000000-0004-0000-0300-0000C0010000}"/>
    <hyperlink ref="A451" r:id="rId450" xr:uid="{00000000-0004-0000-0300-0000C1010000}"/>
    <hyperlink ref="A452" r:id="rId451" xr:uid="{00000000-0004-0000-0300-0000C2010000}"/>
    <hyperlink ref="A453" r:id="rId452" xr:uid="{00000000-0004-0000-0300-0000C3010000}"/>
    <hyperlink ref="A454" r:id="rId453" xr:uid="{00000000-0004-0000-0300-0000C4010000}"/>
    <hyperlink ref="A455" r:id="rId454" xr:uid="{00000000-0004-0000-0300-0000C5010000}"/>
    <hyperlink ref="A456" r:id="rId455" xr:uid="{00000000-0004-0000-0300-0000C6010000}"/>
    <hyperlink ref="A457" r:id="rId456" xr:uid="{00000000-0004-0000-0300-0000C7010000}"/>
    <hyperlink ref="A458" r:id="rId457" xr:uid="{00000000-0004-0000-0300-0000C8010000}"/>
    <hyperlink ref="A459" r:id="rId458" xr:uid="{00000000-0004-0000-0300-0000C9010000}"/>
    <hyperlink ref="A460" r:id="rId459" xr:uid="{00000000-0004-0000-0300-0000CA010000}"/>
    <hyperlink ref="A461" r:id="rId460" xr:uid="{00000000-0004-0000-0300-0000CB010000}"/>
    <hyperlink ref="A462" r:id="rId461" xr:uid="{00000000-0004-0000-0300-0000CC010000}"/>
    <hyperlink ref="A463" r:id="rId462" xr:uid="{00000000-0004-0000-0300-0000CD010000}"/>
    <hyperlink ref="A464" r:id="rId463" xr:uid="{00000000-0004-0000-0300-0000CE010000}"/>
    <hyperlink ref="A465" r:id="rId464" xr:uid="{00000000-0004-0000-0300-0000CF010000}"/>
    <hyperlink ref="A466" r:id="rId465" xr:uid="{00000000-0004-0000-0300-0000D0010000}"/>
    <hyperlink ref="A467" r:id="rId466" xr:uid="{00000000-0004-0000-0300-0000D1010000}"/>
    <hyperlink ref="A468" r:id="rId467" xr:uid="{00000000-0004-0000-0300-0000D2010000}"/>
    <hyperlink ref="A469" r:id="rId468" xr:uid="{00000000-0004-0000-0300-0000D3010000}"/>
    <hyperlink ref="A470" r:id="rId469" xr:uid="{00000000-0004-0000-0300-0000D4010000}"/>
    <hyperlink ref="A471" r:id="rId470" xr:uid="{00000000-0004-0000-0300-0000D5010000}"/>
    <hyperlink ref="A472" r:id="rId471" xr:uid="{00000000-0004-0000-0300-0000D6010000}"/>
    <hyperlink ref="A473" r:id="rId472" xr:uid="{00000000-0004-0000-0300-0000D7010000}"/>
    <hyperlink ref="A474" r:id="rId473" xr:uid="{00000000-0004-0000-0300-0000D8010000}"/>
    <hyperlink ref="A475" r:id="rId474" xr:uid="{00000000-0004-0000-0300-0000D9010000}"/>
    <hyperlink ref="A476" r:id="rId475" xr:uid="{00000000-0004-0000-0300-0000DA010000}"/>
    <hyperlink ref="A477" r:id="rId476" xr:uid="{00000000-0004-0000-0300-0000DB010000}"/>
    <hyperlink ref="A478" r:id="rId477" xr:uid="{00000000-0004-0000-0300-0000DC010000}"/>
    <hyperlink ref="A479" r:id="rId478" xr:uid="{00000000-0004-0000-0300-0000DD010000}"/>
    <hyperlink ref="A480" r:id="rId479" xr:uid="{00000000-0004-0000-0300-0000DE010000}"/>
    <hyperlink ref="A481" r:id="rId480" xr:uid="{00000000-0004-0000-0300-0000DF010000}"/>
    <hyperlink ref="A482" r:id="rId481" xr:uid="{00000000-0004-0000-0300-0000E0010000}"/>
    <hyperlink ref="A483" r:id="rId482" xr:uid="{00000000-0004-0000-0300-0000E1010000}"/>
    <hyperlink ref="A484" r:id="rId483" xr:uid="{00000000-0004-0000-0300-0000E2010000}"/>
    <hyperlink ref="A485" r:id="rId484" xr:uid="{00000000-0004-0000-0300-0000E3010000}"/>
    <hyperlink ref="A486" r:id="rId485" xr:uid="{00000000-0004-0000-0300-0000E4010000}"/>
    <hyperlink ref="A487" r:id="rId486" xr:uid="{00000000-0004-0000-0300-0000E5010000}"/>
    <hyperlink ref="A488" r:id="rId487" xr:uid="{00000000-0004-0000-0300-0000E6010000}"/>
    <hyperlink ref="A489" r:id="rId488" xr:uid="{00000000-0004-0000-0300-0000E7010000}"/>
    <hyperlink ref="A490" r:id="rId489" xr:uid="{00000000-0004-0000-0300-0000E8010000}"/>
    <hyperlink ref="A491" r:id="rId490" xr:uid="{00000000-0004-0000-0300-0000E9010000}"/>
    <hyperlink ref="A492" r:id="rId491" xr:uid="{00000000-0004-0000-0300-0000EA010000}"/>
    <hyperlink ref="A493" r:id="rId492" xr:uid="{00000000-0004-0000-0300-0000EB010000}"/>
    <hyperlink ref="A494" r:id="rId493" xr:uid="{00000000-0004-0000-0300-0000EC010000}"/>
    <hyperlink ref="A495" r:id="rId494" xr:uid="{00000000-0004-0000-0300-0000ED010000}"/>
    <hyperlink ref="A496" r:id="rId495" xr:uid="{00000000-0004-0000-0300-0000EE010000}"/>
    <hyperlink ref="A497" r:id="rId496" xr:uid="{00000000-0004-0000-0300-0000EF010000}"/>
    <hyperlink ref="A498" r:id="rId497" xr:uid="{00000000-0004-0000-0300-0000F0010000}"/>
    <hyperlink ref="A499" r:id="rId498" xr:uid="{00000000-0004-0000-0300-0000F1010000}"/>
    <hyperlink ref="A500" r:id="rId499" xr:uid="{00000000-0004-0000-0300-0000F2010000}"/>
    <hyperlink ref="A501" r:id="rId500" xr:uid="{00000000-0004-0000-0300-0000F3010000}"/>
  </hyperlinks>
  <pageMargins left="0.7" right="0.7" top="0.75" bottom="0.75" header="0.3" footer="0.3"/>
  <tableParts count="1">
    <tablePart r:id="rId50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7"/>
  <sheetViews>
    <sheetView workbookViewId="0">
      <pane ySplit="1" topLeftCell="A2" activePane="bottomLeft" state="frozen"/>
      <selection pane="bottomLeft" activeCell="C14" sqref="C14"/>
    </sheetView>
  </sheetViews>
  <sheetFormatPr baseColWidth="10" defaultColWidth="12.6640625" defaultRowHeight="15.75" customHeight="1" x14ac:dyDescent="0.15"/>
  <cols>
    <col min="1" max="2" width="62.1640625" customWidth="1"/>
    <col min="3" max="3" width="37" customWidth="1"/>
  </cols>
  <sheetData>
    <row r="1" spans="1:7" ht="22.5" customHeight="1" x14ac:dyDescent="0.15">
      <c r="A1" s="11" t="s">
        <v>3289</v>
      </c>
      <c r="B1" s="11" t="s">
        <v>3243</v>
      </c>
      <c r="C1" s="38" t="s">
        <v>3244</v>
      </c>
      <c r="F1" s="33"/>
    </row>
    <row r="2" spans="1:7" ht="22.5" customHeight="1" x14ac:dyDescent="0.15">
      <c r="A2" s="16" t="s">
        <v>32</v>
      </c>
      <c r="B2" s="12" t="s">
        <v>263</v>
      </c>
      <c r="C2" s="40" t="s">
        <v>88</v>
      </c>
      <c r="F2" s="33" t="s">
        <v>88</v>
      </c>
    </row>
    <row r="3" spans="1:7" ht="22.5" customHeight="1" x14ac:dyDescent="0.15">
      <c r="A3" s="16" t="s">
        <v>32</v>
      </c>
      <c r="B3" s="12" t="s">
        <v>264</v>
      </c>
      <c r="C3" s="40" t="s">
        <v>30</v>
      </c>
      <c r="F3" s="33" t="s">
        <v>30</v>
      </c>
    </row>
    <row r="4" spans="1:7" ht="22.5" customHeight="1" x14ac:dyDescent="0.15">
      <c r="A4" s="16" t="s">
        <v>267</v>
      </c>
      <c r="B4" s="12" t="s">
        <v>268</v>
      </c>
      <c r="C4" s="40" t="s">
        <v>23</v>
      </c>
      <c r="F4" s="33" t="s">
        <v>23</v>
      </c>
    </row>
    <row r="5" spans="1:7" ht="22.5" customHeight="1" x14ac:dyDescent="0.15">
      <c r="A5" s="16" t="s">
        <v>271</v>
      </c>
      <c r="B5" s="12" t="s">
        <v>272</v>
      </c>
      <c r="C5" s="40" t="s">
        <v>30</v>
      </c>
      <c r="F5" s="33" t="s">
        <v>12</v>
      </c>
    </row>
    <row r="6" spans="1:7" ht="22.5" customHeight="1" x14ac:dyDescent="0.15">
      <c r="A6" s="16" t="s">
        <v>271</v>
      </c>
      <c r="B6" s="12" t="s">
        <v>273</v>
      </c>
      <c r="C6" s="40" t="s">
        <v>12</v>
      </c>
      <c r="F6" s="33" t="s">
        <v>83</v>
      </c>
    </row>
    <row r="7" spans="1:7" ht="22.5" customHeight="1" x14ac:dyDescent="0.15">
      <c r="A7" s="16" t="s">
        <v>271</v>
      </c>
      <c r="B7" s="12" t="s">
        <v>274</v>
      </c>
      <c r="C7" s="40" t="s">
        <v>23</v>
      </c>
      <c r="F7" s="33" t="s">
        <v>18</v>
      </c>
    </row>
    <row r="8" spans="1:7" ht="22.5" customHeight="1" x14ac:dyDescent="0.15">
      <c r="A8" s="16" t="s">
        <v>277</v>
      </c>
      <c r="B8" s="12" t="s">
        <v>278</v>
      </c>
      <c r="C8" s="40" t="s">
        <v>30</v>
      </c>
      <c r="F8" s="33" t="s">
        <v>77</v>
      </c>
    </row>
    <row r="9" spans="1:7" ht="22.5" customHeight="1" x14ac:dyDescent="0.15">
      <c r="A9" s="16" t="s">
        <v>281</v>
      </c>
      <c r="B9" s="12" t="s">
        <v>282</v>
      </c>
      <c r="C9" s="40" t="s">
        <v>12</v>
      </c>
      <c r="F9" s="33" t="s">
        <v>342</v>
      </c>
    </row>
    <row r="10" spans="1:7" ht="22.5" customHeight="1" x14ac:dyDescent="0.15">
      <c r="A10" s="16" t="s">
        <v>281</v>
      </c>
      <c r="B10" s="12" t="s">
        <v>283</v>
      </c>
      <c r="C10" s="40" t="s">
        <v>83</v>
      </c>
      <c r="F10" s="33" t="s">
        <v>136</v>
      </c>
    </row>
    <row r="11" spans="1:7" ht="22.5" customHeight="1" x14ac:dyDescent="0.15">
      <c r="A11" s="16" t="s">
        <v>281</v>
      </c>
      <c r="B11" s="12" t="s">
        <v>284</v>
      </c>
      <c r="C11" s="40" t="s">
        <v>30</v>
      </c>
      <c r="F11" s="33" t="s">
        <v>115</v>
      </c>
    </row>
    <row r="12" spans="1:7" ht="22.5" customHeight="1" x14ac:dyDescent="0.15">
      <c r="A12" s="16" t="s">
        <v>281</v>
      </c>
      <c r="B12" s="12" t="s">
        <v>285</v>
      </c>
      <c r="C12" s="40" t="s">
        <v>88</v>
      </c>
      <c r="F12" s="33" t="s">
        <v>219</v>
      </c>
    </row>
    <row r="13" spans="1:7" ht="22.5" customHeight="1" x14ac:dyDescent="0.15">
      <c r="A13" s="16" t="s">
        <v>281</v>
      </c>
      <c r="B13" s="12" t="s">
        <v>286</v>
      </c>
      <c r="C13" s="40" t="s">
        <v>30</v>
      </c>
      <c r="F13" s="33" t="s">
        <v>67</v>
      </c>
    </row>
    <row r="14" spans="1:7" ht="22.5" customHeight="1" x14ac:dyDescent="0.15">
      <c r="A14" s="16" t="s">
        <v>289</v>
      </c>
      <c r="B14" s="12" t="s">
        <v>290</v>
      </c>
      <c r="C14" s="40" t="s">
        <v>12</v>
      </c>
      <c r="F14" s="33" t="s">
        <v>3239</v>
      </c>
    </row>
    <row r="15" spans="1:7" ht="22.5" customHeight="1" x14ac:dyDescent="0.15">
      <c r="A15" s="16" t="s">
        <v>293</v>
      </c>
      <c r="B15" s="12" t="s">
        <v>294</v>
      </c>
      <c r="C15" s="40" t="s">
        <v>30</v>
      </c>
      <c r="F15" s="33"/>
    </row>
    <row r="16" spans="1:7" ht="22.5" customHeight="1" x14ac:dyDescent="0.15">
      <c r="A16" s="16" t="s">
        <v>293</v>
      </c>
      <c r="B16" s="12" t="s">
        <v>295</v>
      </c>
      <c r="C16" s="40" t="s">
        <v>30</v>
      </c>
      <c r="F16" s="33"/>
      <c r="G16" s="20"/>
    </row>
    <row r="17" spans="1:6" ht="22.5" customHeight="1" x14ac:dyDescent="0.15">
      <c r="A17" s="16" t="s">
        <v>298</v>
      </c>
      <c r="B17" s="12" t="s">
        <v>299</v>
      </c>
      <c r="C17" s="40" t="s">
        <v>30</v>
      </c>
      <c r="F17" s="33"/>
    </row>
    <row r="18" spans="1:6" ht="22.5" customHeight="1" x14ac:dyDescent="0.15">
      <c r="A18" s="16" t="s">
        <v>298</v>
      </c>
      <c r="B18" s="12" t="s">
        <v>300</v>
      </c>
      <c r="C18" s="40" t="s">
        <v>88</v>
      </c>
      <c r="F18" s="33"/>
    </row>
    <row r="19" spans="1:6" ht="22.5" customHeight="1" x14ac:dyDescent="0.15">
      <c r="A19" s="16" t="s">
        <v>303</v>
      </c>
      <c r="B19" s="12" t="s">
        <v>304</v>
      </c>
      <c r="C19" s="40" t="s">
        <v>30</v>
      </c>
      <c r="F19" s="33"/>
    </row>
    <row r="20" spans="1:6" ht="22.5" customHeight="1" x14ac:dyDescent="0.15">
      <c r="A20" s="16" t="s">
        <v>303</v>
      </c>
      <c r="B20" s="12" t="s">
        <v>305</v>
      </c>
      <c r="C20" s="40" t="s">
        <v>88</v>
      </c>
      <c r="F20" s="33"/>
    </row>
    <row r="21" spans="1:6" ht="22.5" customHeight="1" x14ac:dyDescent="0.15">
      <c r="A21" s="16" t="s">
        <v>306</v>
      </c>
      <c r="B21" s="12" t="s">
        <v>307</v>
      </c>
      <c r="C21" s="40" t="s">
        <v>88</v>
      </c>
      <c r="F21" s="33"/>
    </row>
    <row r="22" spans="1:6" ht="22.5" customHeight="1" x14ac:dyDescent="0.15">
      <c r="A22" s="16" t="s">
        <v>306</v>
      </c>
      <c r="B22" s="12" t="s">
        <v>308</v>
      </c>
      <c r="C22" s="40" t="s">
        <v>83</v>
      </c>
      <c r="F22" s="33"/>
    </row>
    <row r="23" spans="1:6" ht="22.5" customHeight="1" x14ac:dyDescent="0.15">
      <c r="A23" s="16" t="s">
        <v>306</v>
      </c>
      <c r="B23" s="12" t="s">
        <v>309</v>
      </c>
      <c r="C23" s="40" t="s">
        <v>30</v>
      </c>
      <c r="F23" s="33"/>
    </row>
    <row r="24" spans="1:6" ht="22.5" customHeight="1" x14ac:dyDescent="0.15">
      <c r="A24" s="16" t="s">
        <v>306</v>
      </c>
      <c r="B24" s="12" t="s">
        <v>310</v>
      </c>
      <c r="C24" s="40" t="s">
        <v>30</v>
      </c>
      <c r="F24" s="33"/>
    </row>
    <row r="25" spans="1:6" ht="22.5" customHeight="1" x14ac:dyDescent="0.15">
      <c r="A25" s="16" t="s">
        <v>306</v>
      </c>
      <c r="B25" s="12" t="s">
        <v>311</v>
      </c>
      <c r="C25" s="40" t="s">
        <v>12</v>
      </c>
      <c r="F25" s="33"/>
    </row>
    <row r="26" spans="1:6" ht="22.5" customHeight="1" x14ac:dyDescent="0.15">
      <c r="A26" s="16" t="s">
        <v>314</v>
      </c>
      <c r="B26" s="12" t="s">
        <v>315</v>
      </c>
      <c r="C26" s="40" t="s">
        <v>30</v>
      </c>
      <c r="F26" s="33"/>
    </row>
    <row r="27" spans="1:6" ht="22.5" customHeight="1" x14ac:dyDescent="0.15">
      <c r="A27" s="16" t="s">
        <v>37</v>
      </c>
      <c r="B27" s="12" t="s">
        <v>316</v>
      </c>
      <c r="C27" s="40" t="s">
        <v>18</v>
      </c>
      <c r="F27" s="33"/>
    </row>
    <row r="28" spans="1:6" ht="22.5" customHeight="1" x14ac:dyDescent="0.15">
      <c r="A28" s="16" t="s">
        <v>37</v>
      </c>
      <c r="B28" s="12" t="s">
        <v>317</v>
      </c>
      <c r="C28" s="40" t="s">
        <v>30</v>
      </c>
      <c r="F28" s="33"/>
    </row>
    <row r="29" spans="1:6" ht="22.5" customHeight="1" x14ac:dyDescent="0.15">
      <c r="A29" s="16" t="s">
        <v>37</v>
      </c>
      <c r="B29" s="12" t="s">
        <v>318</v>
      </c>
      <c r="C29" s="40" t="s">
        <v>83</v>
      </c>
      <c r="F29" s="33"/>
    </row>
    <row r="30" spans="1:6" ht="22.5" customHeight="1" x14ac:dyDescent="0.15">
      <c r="A30" s="16" t="s">
        <v>37</v>
      </c>
      <c r="B30" s="12" t="s">
        <v>319</v>
      </c>
      <c r="C30" s="40" t="s">
        <v>18</v>
      </c>
      <c r="F30" s="33"/>
    </row>
    <row r="31" spans="1:6" ht="22.5" customHeight="1" x14ac:dyDescent="0.15">
      <c r="A31" s="16" t="s">
        <v>37</v>
      </c>
      <c r="B31" s="12" t="s">
        <v>320</v>
      </c>
      <c r="C31" s="40" t="s">
        <v>18</v>
      </c>
      <c r="F31" s="33"/>
    </row>
    <row r="32" spans="1:6" ht="22.5" customHeight="1" x14ac:dyDescent="0.15">
      <c r="A32" s="16" t="s">
        <v>37</v>
      </c>
      <c r="B32" s="12" t="s">
        <v>321</v>
      </c>
      <c r="C32" s="40" t="s">
        <v>30</v>
      </c>
      <c r="F32" s="33"/>
    </row>
    <row r="33" spans="1:6" ht="22.5" customHeight="1" x14ac:dyDescent="0.15">
      <c r="A33" s="16" t="s">
        <v>37</v>
      </c>
      <c r="B33" s="12" t="s">
        <v>322</v>
      </c>
      <c r="C33" s="40" t="s">
        <v>12</v>
      </c>
      <c r="F33" s="33"/>
    </row>
    <row r="34" spans="1:6" ht="22.5" customHeight="1" x14ac:dyDescent="0.15">
      <c r="A34" s="16" t="s">
        <v>37</v>
      </c>
      <c r="B34" s="12" t="s">
        <v>323</v>
      </c>
      <c r="C34" s="40" t="s">
        <v>12</v>
      </c>
      <c r="F34" s="33"/>
    </row>
    <row r="35" spans="1:6" ht="22.5" customHeight="1" x14ac:dyDescent="0.15">
      <c r="A35" s="16" t="s">
        <v>37</v>
      </c>
      <c r="B35" s="12" t="s">
        <v>324</v>
      </c>
      <c r="C35" s="40" t="s">
        <v>18</v>
      </c>
      <c r="F35" s="33"/>
    </row>
    <row r="36" spans="1:6" ht="22.5" customHeight="1" x14ac:dyDescent="0.15">
      <c r="A36" s="16" t="s">
        <v>327</v>
      </c>
      <c r="B36" s="12" t="s">
        <v>328</v>
      </c>
      <c r="C36" s="40" t="s">
        <v>23</v>
      </c>
      <c r="F36" s="33"/>
    </row>
    <row r="37" spans="1:6" ht="22.5" customHeight="1" x14ac:dyDescent="0.15">
      <c r="A37" s="16" t="s">
        <v>327</v>
      </c>
      <c r="B37" s="12" t="s">
        <v>329</v>
      </c>
      <c r="C37" s="40" t="s">
        <v>23</v>
      </c>
      <c r="F37" s="33"/>
    </row>
    <row r="38" spans="1:6" ht="22.5" customHeight="1" x14ac:dyDescent="0.15">
      <c r="A38" s="16" t="s">
        <v>327</v>
      </c>
      <c r="B38" s="12" t="s">
        <v>330</v>
      </c>
      <c r="C38" s="40" t="s">
        <v>30</v>
      </c>
      <c r="F38" s="33"/>
    </row>
    <row r="39" spans="1:6" ht="22.5" customHeight="1" x14ac:dyDescent="0.15">
      <c r="A39" s="16" t="s">
        <v>327</v>
      </c>
      <c r="B39" s="12" t="s">
        <v>331</v>
      </c>
      <c r="C39" s="40" t="s">
        <v>77</v>
      </c>
      <c r="F39" s="33"/>
    </row>
    <row r="40" spans="1:6" ht="22.5" customHeight="1" x14ac:dyDescent="0.15">
      <c r="A40" s="16" t="s">
        <v>327</v>
      </c>
      <c r="B40" s="12" t="s">
        <v>332</v>
      </c>
      <c r="C40" s="40" t="s">
        <v>77</v>
      </c>
      <c r="F40" s="33"/>
    </row>
    <row r="41" spans="1:6" ht="22.5" customHeight="1" x14ac:dyDescent="0.15">
      <c r="A41" s="16" t="s">
        <v>335</v>
      </c>
      <c r="B41" s="12" t="s">
        <v>336</v>
      </c>
      <c r="C41" s="40" t="s">
        <v>88</v>
      </c>
      <c r="F41" s="33"/>
    </row>
    <row r="42" spans="1:6" ht="22.5" customHeight="1" x14ac:dyDescent="0.15">
      <c r="A42" s="16" t="s">
        <v>339</v>
      </c>
      <c r="B42" s="12" t="s">
        <v>340</v>
      </c>
      <c r="C42" s="40" t="s">
        <v>30</v>
      </c>
      <c r="F42" s="33"/>
    </row>
    <row r="43" spans="1:6" ht="22.5" customHeight="1" x14ac:dyDescent="0.15">
      <c r="A43" s="16" t="s">
        <v>339</v>
      </c>
      <c r="B43" s="12" t="s">
        <v>341</v>
      </c>
      <c r="C43" s="40" t="s">
        <v>342</v>
      </c>
      <c r="F43" s="33"/>
    </row>
    <row r="44" spans="1:6" ht="22.5" customHeight="1" x14ac:dyDescent="0.15">
      <c r="A44" s="16" t="s">
        <v>345</v>
      </c>
      <c r="B44" s="12" t="s">
        <v>346</v>
      </c>
      <c r="C44" s="40" t="s">
        <v>136</v>
      </c>
      <c r="F44" s="33"/>
    </row>
    <row r="45" spans="1:6" ht="22.5" customHeight="1" x14ac:dyDescent="0.15">
      <c r="A45" s="16" t="s">
        <v>347</v>
      </c>
      <c r="B45" s="12" t="s">
        <v>134</v>
      </c>
      <c r="C45" s="40" t="s">
        <v>30</v>
      </c>
      <c r="F45" s="33"/>
    </row>
    <row r="46" spans="1:6" ht="22.5" customHeight="1" x14ac:dyDescent="0.15">
      <c r="A46" s="16" t="s">
        <v>347</v>
      </c>
      <c r="B46" s="12" t="s">
        <v>348</v>
      </c>
      <c r="C46" s="40" t="s">
        <v>30</v>
      </c>
      <c r="F46" s="33"/>
    </row>
    <row r="47" spans="1:6" ht="22.5" customHeight="1" x14ac:dyDescent="0.15">
      <c r="A47" s="16" t="s">
        <v>351</v>
      </c>
      <c r="B47" s="12" t="s">
        <v>352</v>
      </c>
      <c r="C47" s="40" t="s">
        <v>30</v>
      </c>
      <c r="F47" s="33"/>
    </row>
    <row r="48" spans="1:6" ht="22.5" customHeight="1" x14ac:dyDescent="0.15">
      <c r="A48" s="16" t="s">
        <v>355</v>
      </c>
      <c r="B48" s="12" t="s">
        <v>356</v>
      </c>
      <c r="C48" s="40" t="s">
        <v>30</v>
      </c>
      <c r="F48" s="33"/>
    </row>
    <row r="49" spans="1:6" ht="22.5" customHeight="1" x14ac:dyDescent="0.15">
      <c r="A49" s="16" t="s">
        <v>359</v>
      </c>
      <c r="B49" s="12" t="s">
        <v>360</v>
      </c>
      <c r="C49" s="40" t="s">
        <v>136</v>
      </c>
      <c r="F49" s="33"/>
    </row>
    <row r="50" spans="1:6" ht="22.5" customHeight="1" x14ac:dyDescent="0.15">
      <c r="A50" s="16" t="s">
        <v>359</v>
      </c>
      <c r="B50" s="12" t="s">
        <v>361</v>
      </c>
      <c r="C50" s="40" t="s">
        <v>30</v>
      </c>
      <c r="F50" s="33"/>
    </row>
    <row r="51" spans="1:6" ht="22.5" customHeight="1" x14ac:dyDescent="0.15">
      <c r="A51" s="16" t="s">
        <v>364</v>
      </c>
      <c r="B51" s="12" t="s">
        <v>365</v>
      </c>
      <c r="C51" s="40" t="s">
        <v>83</v>
      </c>
      <c r="F51" s="33"/>
    </row>
    <row r="52" spans="1:6" ht="22.5" customHeight="1" x14ac:dyDescent="0.15">
      <c r="A52" s="16" t="s">
        <v>368</v>
      </c>
      <c r="B52" s="12" t="s">
        <v>369</v>
      </c>
      <c r="C52" s="40" t="s">
        <v>30</v>
      </c>
      <c r="F52" s="33"/>
    </row>
    <row r="53" spans="1:6" ht="22.5" customHeight="1" x14ac:dyDescent="0.15">
      <c r="A53" s="16" t="s">
        <v>368</v>
      </c>
      <c r="B53" s="12" t="s">
        <v>370</v>
      </c>
      <c r="C53" s="40" t="s">
        <v>88</v>
      </c>
      <c r="F53" s="33"/>
    </row>
    <row r="54" spans="1:6" ht="22.5" customHeight="1" x14ac:dyDescent="0.15">
      <c r="A54" s="16" t="s">
        <v>368</v>
      </c>
      <c r="B54" s="12" t="s">
        <v>371</v>
      </c>
      <c r="C54" s="40" t="s">
        <v>88</v>
      </c>
      <c r="F54" s="33"/>
    </row>
    <row r="55" spans="1:6" ht="22.5" customHeight="1" x14ac:dyDescent="0.15">
      <c r="A55" s="16" t="s">
        <v>374</v>
      </c>
      <c r="B55" s="12" t="s">
        <v>375</v>
      </c>
      <c r="C55" s="40" t="s">
        <v>18</v>
      </c>
      <c r="F55" s="33"/>
    </row>
    <row r="56" spans="1:6" ht="22.5" customHeight="1" x14ac:dyDescent="0.15">
      <c r="A56" s="16" t="s">
        <v>41</v>
      </c>
      <c r="B56" s="12" t="s">
        <v>376</v>
      </c>
      <c r="C56" s="40" t="s">
        <v>88</v>
      </c>
      <c r="F56" s="33"/>
    </row>
    <row r="57" spans="1:6" ht="22.5" customHeight="1" x14ac:dyDescent="0.15">
      <c r="A57" s="16" t="s">
        <v>379</v>
      </c>
      <c r="B57" s="12" t="s">
        <v>380</v>
      </c>
      <c r="C57" s="40" t="s">
        <v>136</v>
      </c>
      <c r="F57" s="33"/>
    </row>
    <row r="58" spans="1:6" ht="22.5" customHeight="1" x14ac:dyDescent="0.15">
      <c r="A58" s="16" t="s">
        <v>379</v>
      </c>
      <c r="B58" s="12" t="s">
        <v>381</v>
      </c>
      <c r="C58" s="40" t="s">
        <v>30</v>
      </c>
      <c r="F58" s="33"/>
    </row>
    <row r="59" spans="1:6" ht="22.5" customHeight="1" x14ac:dyDescent="0.15">
      <c r="A59" s="16" t="s">
        <v>384</v>
      </c>
      <c r="B59" s="12" t="s">
        <v>385</v>
      </c>
      <c r="C59" s="40" t="s">
        <v>30</v>
      </c>
      <c r="F59" s="33"/>
    </row>
    <row r="60" spans="1:6" ht="22.5" customHeight="1" x14ac:dyDescent="0.15">
      <c r="A60" s="16" t="s">
        <v>388</v>
      </c>
      <c r="B60" s="12" t="s">
        <v>389</v>
      </c>
      <c r="C60" s="40" t="s">
        <v>342</v>
      </c>
      <c r="F60" s="33"/>
    </row>
    <row r="61" spans="1:6" ht="22.5" customHeight="1" x14ac:dyDescent="0.15">
      <c r="A61" s="16" t="s">
        <v>391</v>
      </c>
      <c r="B61" s="12" t="s">
        <v>392</v>
      </c>
      <c r="C61" s="40" t="s">
        <v>83</v>
      </c>
      <c r="F61" s="33"/>
    </row>
    <row r="62" spans="1:6" ht="22.5" customHeight="1" x14ac:dyDescent="0.15">
      <c r="A62" s="16" t="s">
        <v>395</v>
      </c>
      <c r="B62" s="12" t="s">
        <v>396</v>
      </c>
      <c r="C62" s="40" t="s">
        <v>115</v>
      </c>
      <c r="F62" s="33"/>
    </row>
    <row r="63" spans="1:6" ht="22.5" customHeight="1" x14ac:dyDescent="0.15">
      <c r="A63" s="16" t="s">
        <v>395</v>
      </c>
      <c r="B63" s="12" t="s">
        <v>397</v>
      </c>
      <c r="C63" s="40" t="s">
        <v>136</v>
      </c>
      <c r="F63" s="33"/>
    </row>
    <row r="64" spans="1:6" ht="22.5" customHeight="1" x14ac:dyDescent="0.15">
      <c r="A64" s="16" t="s">
        <v>395</v>
      </c>
      <c r="B64" s="12" t="s">
        <v>398</v>
      </c>
      <c r="C64" s="40" t="s">
        <v>30</v>
      </c>
      <c r="F64" s="33"/>
    </row>
    <row r="65" spans="1:6" ht="22.5" customHeight="1" x14ac:dyDescent="0.15">
      <c r="A65" s="16" t="s">
        <v>399</v>
      </c>
      <c r="B65" s="12" t="s">
        <v>250</v>
      </c>
      <c r="C65" s="40" t="s">
        <v>30</v>
      </c>
      <c r="F65" s="33"/>
    </row>
    <row r="66" spans="1:6" ht="22.5" customHeight="1" x14ac:dyDescent="0.15">
      <c r="A66" s="16" t="s">
        <v>399</v>
      </c>
      <c r="B66" s="12" t="s">
        <v>251</v>
      </c>
      <c r="C66" s="40" t="s">
        <v>30</v>
      </c>
      <c r="F66" s="33"/>
    </row>
    <row r="67" spans="1:6" ht="22.5" customHeight="1" x14ac:dyDescent="0.15">
      <c r="A67" s="16" t="s">
        <v>399</v>
      </c>
      <c r="B67" s="12" t="s">
        <v>252</v>
      </c>
      <c r="C67" s="40" t="s">
        <v>30</v>
      </c>
      <c r="F67" s="33"/>
    </row>
    <row r="68" spans="1:6" ht="22.5" customHeight="1" x14ac:dyDescent="0.15">
      <c r="A68" s="16" t="s">
        <v>401</v>
      </c>
      <c r="B68" s="12" t="s">
        <v>402</v>
      </c>
      <c r="C68" s="40" t="s">
        <v>88</v>
      </c>
      <c r="F68" s="33"/>
    </row>
    <row r="69" spans="1:6" ht="22.5" customHeight="1" x14ac:dyDescent="0.15">
      <c r="A69" s="16" t="s">
        <v>401</v>
      </c>
      <c r="B69" s="12" t="s">
        <v>403</v>
      </c>
      <c r="C69" s="40" t="s">
        <v>30</v>
      </c>
      <c r="F69" s="33"/>
    </row>
    <row r="70" spans="1:6" ht="22.5" customHeight="1" x14ac:dyDescent="0.15">
      <c r="A70" s="16" t="s">
        <v>406</v>
      </c>
      <c r="B70" s="12" t="s">
        <v>407</v>
      </c>
      <c r="C70" s="40" t="s">
        <v>30</v>
      </c>
      <c r="F70" s="33"/>
    </row>
    <row r="71" spans="1:6" ht="22.5" customHeight="1" x14ac:dyDescent="0.15">
      <c r="A71" s="16" t="s">
        <v>410</v>
      </c>
      <c r="B71" s="12" t="s">
        <v>411</v>
      </c>
      <c r="C71" s="40" t="s">
        <v>30</v>
      </c>
      <c r="F71" s="33"/>
    </row>
    <row r="72" spans="1:6" ht="22.5" customHeight="1" x14ac:dyDescent="0.15">
      <c r="A72" s="16" t="s">
        <v>410</v>
      </c>
      <c r="B72" s="12" t="s">
        <v>412</v>
      </c>
      <c r="C72" s="40" t="s">
        <v>83</v>
      </c>
      <c r="F72" s="33"/>
    </row>
    <row r="73" spans="1:6" ht="22.5" customHeight="1" x14ac:dyDescent="0.15">
      <c r="A73" s="16" t="s">
        <v>410</v>
      </c>
      <c r="B73" s="12" t="s">
        <v>413</v>
      </c>
      <c r="C73" s="40" t="s">
        <v>30</v>
      </c>
      <c r="F73" s="33"/>
    </row>
    <row r="74" spans="1:6" ht="22.5" customHeight="1" x14ac:dyDescent="0.15">
      <c r="A74" s="16" t="s">
        <v>410</v>
      </c>
      <c r="B74" s="12" t="s">
        <v>414</v>
      </c>
      <c r="C74" s="40" t="s">
        <v>83</v>
      </c>
      <c r="F74" s="33"/>
    </row>
    <row r="75" spans="1:6" ht="22.5" customHeight="1" x14ac:dyDescent="0.15">
      <c r="A75" s="16" t="s">
        <v>410</v>
      </c>
      <c r="B75" s="12" t="s">
        <v>415</v>
      </c>
      <c r="C75" s="40" t="s">
        <v>83</v>
      </c>
      <c r="F75" s="33"/>
    </row>
    <row r="76" spans="1:6" ht="22.5" customHeight="1" x14ac:dyDescent="0.15">
      <c r="A76" s="16" t="s">
        <v>417</v>
      </c>
      <c r="B76" s="12" t="s">
        <v>418</v>
      </c>
      <c r="C76" s="40" t="s">
        <v>18</v>
      </c>
      <c r="F76" s="33"/>
    </row>
    <row r="77" spans="1:6" ht="22.5" customHeight="1" x14ac:dyDescent="0.15">
      <c r="A77" s="16" t="s">
        <v>417</v>
      </c>
      <c r="B77" s="12" t="s">
        <v>419</v>
      </c>
      <c r="C77" s="40" t="s">
        <v>77</v>
      </c>
      <c r="F77" s="33"/>
    </row>
    <row r="78" spans="1:6" ht="22.5" customHeight="1" x14ac:dyDescent="0.15">
      <c r="A78" s="16" t="s">
        <v>417</v>
      </c>
      <c r="B78" s="12" t="s">
        <v>420</v>
      </c>
      <c r="C78" s="40" t="s">
        <v>83</v>
      </c>
      <c r="F78" s="33"/>
    </row>
    <row r="79" spans="1:6" ht="22.5" customHeight="1" x14ac:dyDescent="0.15">
      <c r="A79" s="16" t="s">
        <v>417</v>
      </c>
      <c r="B79" s="12" t="s">
        <v>421</v>
      </c>
      <c r="C79" s="40" t="s">
        <v>30</v>
      </c>
      <c r="F79" s="33"/>
    </row>
    <row r="80" spans="1:6" ht="22.5" customHeight="1" x14ac:dyDescent="0.15">
      <c r="A80" s="16" t="s">
        <v>417</v>
      </c>
      <c r="B80" s="12" t="s">
        <v>422</v>
      </c>
      <c r="C80" s="40" t="s">
        <v>18</v>
      </c>
      <c r="F80" s="33"/>
    </row>
    <row r="81" spans="1:6" ht="22.5" customHeight="1" x14ac:dyDescent="0.15">
      <c r="A81" s="16" t="s">
        <v>425</v>
      </c>
      <c r="B81" s="12" t="s">
        <v>426</v>
      </c>
      <c r="C81" s="40" t="s">
        <v>88</v>
      </c>
      <c r="F81" s="33"/>
    </row>
    <row r="82" spans="1:6" ht="22.5" customHeight="1" x14ac:dyDescent="0.15">
      <c r="A82" s="16" t="s">
        <v>425</v>
      </c>
      <c r="B82" s="12" t="s">
        <v>427</v>
      </c>
      <c r="C82" s="40" t="s">
        <v>88</v>
      </c>
      <c r="F82" s="33"/>
    </row>
    <row r="83" spans="1:6" ht="22.5" customHeight="1" x14ac:dyDescent="0.15">
      <c r="A83" s="16" t="s">
        <v>429</v>
      </c>
      <c r="B83" s="12" t="s">
        <v>430</v>
      </c>
      <c r="C83" s="40" t="s">
        <v>30</v>
      </c>
      <c r="F83" s="33"/>
    </row>
    <row r="84" spans="1:6" ht="22.5" customHeight="1" x14ac:dyDescent="0.15">
      <c r="A84" s="16" t="s">
        <v>429</v>
      </c>
      <c r="B84" s="12" t="s">
        <v>431</v>
      </c>
      <c r="C84" s="40" t="s">
        <v>30</v>
      </c>
      <c r="F84" s="33"/>
    </row>
    <row r="85" spans="1:6" ht="22.5" customHeight="1" x14ac:dyDescent="0.15">
      <c r="A85" s="16" t="s">
        <v>434</v>
      </c>
      <c r="B85" s="12" t="s">
        <v>435</v>
      </c>
      <c r="C85" s="40" t="s">
        <v>30</v>
      </c>
      <c r="F85" s="33"/>
    </row>
    <row r="86" spans="1:6" ht="22.5" customHeight="1" x14ac:dyDescent="0.15">
      <c r="A86" s="16" t="s">
        <v>45</v>
      </c>
      <c r="B86" s="12" t="s">
        <v>436</v>
      </c>
      <c r="C86" s="40" t="s">
        <v>219</v>
      </c>
      <c r="F86" s="33"/>
    </row>
    <row r="87" spans="1:6" ht="22.5" customHeight="1" x14ac:dyDescent="0.15">
      <c r="A87" s="16" t="s">
        <v>439</v>
      </c>
      <c r="B87" s="12" t="s">
        <v>440</v>
      </c>
      <c r="C87" s="40" t="s">
        <v>83</v>
      </c>
      <c r="F87" s="33"/>
    </row>
    <row r="88" spans="1:6" ht="22.5" customHeight="1" x14ac:dyDescent="0.15">
      <c r="A88" s="16" t="s">
        <v>443</v>
      </c>
      <c r="B88" s="12" t="s">
        <v>444</v>
      </c>
      <c r="C88" s="40" t="s">
        <v>30</v>
      </c>
      <c r="F88" s="33"/>
    </row>
    <row r="89" spans="1:6" ht="22.5" customHeight="1" x14ac:dyDescent="0.15">
      <c r="A89" s="16" t="s">
        <v>447</v>
      </c>
      <c r="B89" s="12" t="s">
        <v>448</v>
      </c>
      <c r="C89" s="40" t="s">
        <v>18</v>
      </c>
      <c r="F89" s="33"/>
    </row>
    <row r="90" spans="1:6" ht="22.5" customHeight="1" x14ac:dyDescent="0.15">
      <c r="A90" s="16" t="s">
        <v>447</v>
      </c>
      <c r="B90" s="12" t="s">
        <v>449</v>
      </c>
      <c r="C90" s="40" t="s">
        <v>30</v>
      </c>
      <c r="F90" s="33"/>
    </row>
    <row r="91" spans="1:6" ht="22.5" customHeight="1" x14ac:dyDescent="0.15">
      <c r="A91" s="16" t="s">
        <v>447</v>
      </c>
      <c r="B91" s="12" t="s">
        <v>450</v>
      </c>
      <c r="C91" s="40" t="s">
        <v>18</v>
      </c>
      <c r="F91" s="33"/>
    </row>
    <row r="92" spans="1:6" ht="22.5" customHeight="1" x14ac:dyDescent="0.15">
      <c r="A92" s="16" t="s">
        <v>447</v>
      </c>
      <c r="B92" s="12" t="s">
        <v>451</v>
      </c>
      <c r="C92" s="40" t="s">
        <v>30</v>
      </c>
      <c r="F92" s="33"/>
    </row>
    <row r="93" spans="1:6" ht="22.5" customHeight="1" x14ac:dyDescent="0.15">
      <c r="A93" s="16" t="s">
        <v>447</v>
      </c>
      <c r="B93" s="12" t="s">
        <v>452</v>
      </c>
      <c r="C93" s="40" t="s">
        <v>219</v>
      </c>
      <c r="F93" s="33"/>
    </row>
    <row r="94" spans="1:6" ht="22.5" customHeight="1" x14ac:dyDescent="0.15">
      <c r="A94" s="16" t="s">
        <v>447</v>
      </c>
      <c r="B94" s="12" t="s">
        <v>453</v>
      </c>
      <c r="C94" s="40" t="s">
        <v>30</v>
      </c>
      <c r="F94" s="33"/>
    </row>
    <row r="95" spans="1:6" ht="22.5" customHeight="1" x14ac:dyDescent="0.15">
      <c r="A95" s="16" t="s">
        <v>447</v>
      </c>
      <c r="B95" s="12" t="s">
        <v>454</v>
      </c>
      <c r="C95" s="40" t="s">
        <v>30</v>
      </c>
      <c r="F95" s="33"/>
    </row>
    <row r="96" spans="1:6" ht="22.5" customHeight="1" x14ac:dyDescent="0.15">
      <c r="A96" s="16" t="s">
        <v>456</v>
      </c>
      <c r="B96" s="12" t="s">
        <v>448</v>
      </c>
      <c r="C96" s="40" t="s">
        <v>18</v>
      </c>
      <c r="F96" s="33"/>
    </row>
    <row r="97" spans="1:6" ht="22.5" customHeight="1" x14ac:dyDescent="0.15">
      <c r="A97" s="16" t="s">
        <v>456</v>
      </c>
      <c r="B97" s="12" t="s">
        <v>449</v>
      </c>
      <c r="C97" s="40" t="s">
        <v>30</v>
      </c>
      <c r="F97" s="33"/>
    </row>
    <row r="98" spans="1:6" ht="22.5" customHeight="1" x14ac:dyDescent="0.15">
      <c r="A98" s="16" t="s">
        <v>456</v>
      </c>
      <c r="B98" s="12" t="s">
        <v>450</v>
      </c>
      <c r="C98" s="40" t="s">
        <v>30</v>
      </c>
      <c r="F98" s="33"/>
    </row>
    <row r="99" spans="1:6" ht="22.5" customHeight="1" x14ac:dyDescent="0.15">
      <c r="A99" s="16" t="s">
        <v>456</v>
      </c>
      <c r="B99" s="12" t="s">
        <v>457</v>
      </c>
      <c r="C99" s="40" t="s">
        <v>219</v>
      </c>
      <c r="F99" s="33"/>
    </row>
    <row r="100" spans="1:6" ht="22.5" customHeight="1" x14ac:dyDescent="0.15">
      <c r="A100" s="16" t="s">
        <v>456</v>
      </c>
      <c r="B100" s="12" t="s">
        <v>451</v>
      </c>
      <c r="C100" s="40" t="s">
        <v>30</v>
      </c>
      <c r="F100" s="33"/>
    </row>
    <row r="101" spans="1:6" ht="22.5" customHeight="1" x14ac:dyDescent="0.15">
      <c r="A101" s="16" t="s">
        <v>456</v>
      </c>
      <c r="B101" s="12" t="s">
        <v>452</v>
      </c>
      <c r="C101" s="40" t="s">
        <v>219</v>
      </c>
      <c r="F101" s="33"/>
    </row>
    <row r="102" spans="1:6" ht="22.5" customHeight="1" x14ac:dyDescent="0.15">
      <c r="A102" s="16" t="s">
        <v>456</v>
      </c>
      <c r="B102" s="12" t="s">
        <v>453</v>
      </c>
      <c r="C102" s="40" t="s">
        <v>30</v>
      </c>
      <c r="F102" s="33"/>
    </row>
    <row r="103" spans="1:6" ht="22.5" customHeight="1" x14ac:dyDescent="0.15">
      <c r="A103" s="16" t="s">
        <v>456</v>
      </c>
      <c r="B103" s="12" t="s">
        <v>454</v>
      </c>
      <c r="C103" s="40" t="s">
        <v>30</v>
      </c>
      <c r="F103" s="33"/>
    </row>
    <row r="104" spans="1:6" ht="22.5" customHeight="1" x14ac:dyDescent="0.15">
      <c r="A104" s="16" t="s">
        <v>460</v>
      </c>
      <c r="B104" s="12" t="s">
        <v>461</v>
      </c>
      <c r="C104" s="40" t="s">
        <v>30</v>
      </c>
      <c r="F104" s="33"/>
    </row>
    <row r="105" spans="1:6" ht="22.5" customHeight="1" x14ac:dyDescent="0.15">
      <c r="A105" s="16" t="s">
        <v>460</v>
      </c>
      <c r="B105" s="12" t="s">
        <v>462</v>
      </c>
      <c r="C105" s="40" t="s">
        <v>136</v>
      </c>
      <c r="F105" s="33"/>
    </row>
    <row r="106" spans="1:6" ht="22.5" customHeight="1" x14ac:dyDescent="0.15">
      <c r="A106" s="16" t="s">
        <v>463</v>
      </c>
      <c r="B106" s="12" t="s">
        <v>328</v>
      </c>
      <c r="C106" s="40" t="s">
        <v>23</v>
      </c>
      <c r="F106" s="33"/>
    </row>
    <row r="107" spans="1:6" ht="22.5" customHeight="1" x14ac:dyDescent="0.15">
      <c r="A107" s="16" t="s">
        <v>463</v>
      </c>
      <c r="B107" s="12" t="s">
        <v>464</v>
      </c>
      <c r="C107" s="40" t="s">
        <v>23</v>
      </c>
      <c r="F107" s="33"/>
    </row>
    <row r="108" spans="1:6" ht="22.5" customHeight="1" x14ac:dyDescent="0.15">
      <c r="A108" s="16" t="s">
        <v>463</v>
      </c>
      <c r="B108" s="12" t="s">
        <v>330</v>
      </c>
      <c r="C108" s="40" t="s">
        <v>30</v>
      </c>
      <c r="F108" s="33"/>
    </row>
    <row r="109" spans="1:6" ht="22.5" customHeight="1" x14ac:dyDescent="0.15">
      <c r="A109" s="16" t="s">
        <v>463</v>
      </c>
      <c r="B109" s="12" t="s">
        <v>465</v>
      </c>
      <c r="C109" s="40" t="s">
        <v>30</v>
      </c>
      <c r="F109" s="33"/>
    </row>
    <row r="110" spans="1:6" ht="22.5" customHeight="1" x14ac:dyDescent="0.15">
      <c r="A110" s="16" t="s">
        <v>463</v>
      </c>
      <c r="B110" s="12" t="s">
        <v>332</v>
      </c>
      <c r="C110" s="40" t="s">
        <v>23</v>
      </c>
      <c r="F110" s="33"/>
    </row>
    <row r="111" spans="1:6" ht="22.5" customHeight="1" x14ac:dyDescent="0.15">
      <c r="A111" s="16" t="s">
        <v>468</v>
      </c>
      <c r="B111" s="12" t="s">
        <v>469</v>
      </c>
      <c r="C111" s="40" t="s">
        <v>83</v>
      </c>
      <c r="F111" s="33"/>
    </row>
    <row r="112" spans="1:6" ht="22.5" customHeight="1" x14ac:dyDescent="0.15">
      <c r="A112" s="16" t="s">
        <v>468</v>
      </c>
      <c r="B112" s="12" t="s">
        <v>470</v>
      </c>
      <c r="C112" s="40" t="s">
        <v>12</v>
      </c>
      <c r="F112" s="33"/>
    </row>
    <row r="113" spans="1:6" ht="22.5" customHeight="1" x14ac:dyDescent="0.15">
      <c r="A113" s="16" t="s">
        <v>473</v>
      </c>
      <c r="B113" s="12" t="s">
        <v>474</v>
      </c>
      <c r="C113" s="40" t="s">
        <v>12</v>
      </c>
      <c r="F113" s="33"/>
    </row>
    <row r="114" spans="1:6" ht="22.5" customHeight="1" x14ac:dyDescent="0.15">
      <c r="A114" s="16" t="s">
        <v>476</v>
      </c>
      <c r="B114" s="12" t="s">
        <v>477</v>
      </c>
      <c r="C114" s="40" t="s">
        <v>30</v>
      </c>
      <c r="F114" s="33"/>
    </row>
    <row r="115" spans="1:6" ht="22.5" customHeight="1" x14ac:dyDescent="0.15">
      <c r="A115" s="16" t="s">
        <v>476</v>
      </c>
      <c r="B115" s="12" t="s">
        <v>478</v>
      </c>
      <c r="C115" s="40" t="s">
        <v>30</v>
      </c>
      <c r="F115" s="33"/>
    </row>
    <row r="116" spans="1:6" ht="22.5" customHeight="1" x14ac:dyDescent="0.15">
      <c r="A116" s="16" t="s">
        <v>476</v>
      </c>
      <c r="B116" s="12" t="s">
        <v>479</v>
      </c>
      <c r="C116" s="40" t="s">
        <v>30</v>
      </c>
      <c r="F116" s="33"/>
    </row>
    <row r="117" spans="1:6" ht="22.5" customHeight="1" x14ac:dyDescent="0.15">
      <c r="A117" s="16" t="s">
        <v>476</v>
      </c>
      <c r="B117" s="12" t="s">
        <v>480</v>
      </c>
      <c r="C117" s="40" t="s">
        <v>30</v>
      </c>
      <c r="F117" s="33"/>
    </row>
    <row r="118" spans="1:6" ht="22.5" customHeight="1" x14ac:dyDescent="0.15">
      <c r="A118" s="16" t="s">
        <v>476</v>
      </c>
      <c r="B118" s="12" t="s">
        <v>481</v>
      </c>
      <c r="C118" s="40" t="s">
        <v>67</v>
      </c>
      <c r="F118" s="33"/>
    </row>
    <row r="119" spans="1:6" ht="22.5" customHeight="1" x14ac:dyDescent="0.15">
      <c r="A119" s="16" t="s">
        <v>476</v>
      </c>
      <c r="B119" s="12" t="s">
        <v>482</v>
      </c>
      <c r="C119" s="40" t="s">
        <v>67</v>
      </c>
      <c r="F119" s="33"/>
    </row>
    <row r="120" spans="1:6" ht="22.5" customHeight="1" x14ac:dyDescent="0.15">
      <c r="A120" s="16" t="s">
        <v>476</v>
      </c>
      <c r="B120" s="12" t="s">
        <v>483</v>
      </c>
      <c r="C120" s="40" t="s">
        <v>67</v>
      </c>
      <c r="F120" s="33"/>
    </row>
    <row r="121" spans="1:6" ht="22.5" customHeight="1" x14ac:dyDescent="0.15">
      <c r="A121" s="16" t="s">
        <v>485</v>
      </c>
      <c r="B121" s="12" t="s">
        <v>486</v>
      </c>
      <c r="C121" s="40" t="s">
        <v>30</v>
      </c>
      <c r="F121" s="33"/>
    </row>
    <row r="122" spans="1:6" ht="22.5" customHeight="1" x14ac:dyDescent="0.15">
      <c r="A122" s="16" t="s">
        <v>489</v>
      </c>
      <c r="B122" s="12" t="s">
        <v>490</v>
      </c>
      <c r="C122" s="40" t="s">
        <v>23</v>
      </c>
      <c r="F122" s="33"/>
    </row>
    <row r="123" spans="1:6" ht="22.5" customHeight="1" x14ac:dyDescent="0.15">
      <c r="A123" s="16" t="s">
        <v>489</v>
      </c>
      <c r="B123" s="12" t="s">
        <v>491</v>
      </c>
      <c r="C123" s="40" t="s">
        <v>30</v>
      </c>
      <c r="F123" s="33"/>
    </row>
    <row r="124" spans="1:6" ht="22.5" customHeight="1" x14ac:dyDescent="0.15">
      <c r="A124" s="16" t="s">
        <v>493</v>
      </c>
      <c r="B124" s="12" t="s">
        <v>494</v>
      </c>
      <c r="C124" s="40" t="s">
        <v>77</v>
      </c>
      <c r="F124" s="33"/>
    </row>
    <row r="125" spans="1:6" ht="22.5" customHeight="1" x14ac:dyDescent="0.15">
      <c r="A125" s="16" t="s">
        <v>493</v>
      </c>
      <c r="B125" s="12" t="s">
        <v>495</v>
      </c>
      <c r="C125" s="40" t="s">
        <v>77</v>
      </c>
      <c r="F125" s="33"/>
    </row>
    <row r="126" spans="1:6" ht="22.5" customHeight="1" x14ac:dyDescent="0.15">
      <c r="A126" s="16" t="s">
        <v>497</v>
      </c>
      <c r="B126" s="12" t="s">
        <v>498</v>
      </c>
      <c r="C126" s="40" t="s">
        <v>88</v>
      </c>
      <c r="F126" s="33"/>
    </row>
    <row r="127" spans="1:6" ht="22.5" customHeight="1" x14ac:dyDescent="0.15">
      <c r="A127" s="16" t="s">
        <v>500</v>
      </c>
      <c r="B127" s="12" t="s">
        <v>501</v>
      </c>
      <c r="C127" s="40" t="s">
        <v>18</v>
      </c>
      <c r="F127" s="33"/>
    </row>
    <row r="128" spans="1:6" ht="22.5" customHeight="1" x14ac:dyDescent="0.15">
      <c r="A128" s="16" t="s">
        <v>503</v>
      </c>
      <c r="B128" s="12" t="s">
        <v>504</v>
      </c>
      <c r="C128" s="40" t="s">
        <v>30</v>
      </c>
      <c r="F128" s="33"/>
    </row>
    <row r="129" spans="1:6" ht="22.5" customHeight="1" x14ac:dyDescent="0.15">
      <c r="A129" s="16" t="s">
        <v>503</v>
      </c>
      <c r="B129" s="12" t="s">
        <v>505</v>
      </c>
      <c r="C129" s="40" t="s">
        <v>30</v>
      </c>
      <c r="F129" s="33"/>
    </row>
    <row r="130" spans="1:6" ht="22.5" customHeight="1" x14ac:dyDescent="0.15">
      <c r="A130" s="16" t="s">
        <v>503</v>
      </c>
      <c r="B130" s="12" t="s">
        <v>506</v>
      </c>
      <c r="C130" s="40" t="s">
        <v>30</v>
      </c>
      <c r="F130" s="33"/>
    </row>
    <row r="131" spans="1:6" ht="22.5" customHeight="1" x14ac:dyDescent="0.15">
      <c r="A131" s="16" t="s">
        <v>503</v>
      </c>
      <c r="B131" s="12" t="s">
        <v>507</v>
      </c>
      <c r="C131" s="40" t="s">
        <v>30</v>
      </c>
      <c r="F131" s="33"/>
    </row>
    <row r="132" spans="1:6" ht="22.5" customHeight="1" x14ac:dyDescent="0.15">
      <c r="A132" s="16" t="s">
        <v>503</v>
      </c>
      <c r="B132" s="12" t="s">
        <v>508</v>
      </c>
      <c r="C132" s="40" t="s">
        <v>30</v>
      </c>
      <c r="F132" s="33"/>
    </row>
    <row r="133" spans="1:6" ht="22.5" customHeight="1" x14ac:dyDescent="0.15">
      <c r="A133" s="16" t="s">
        <v>511</v>
      </c>
      <c r="B133" s="12" t="s">
        <v>512</v>
      </c>
      <c r="C133" s="40" t="s">
        <v>30</v>
      </c>
      <c r="F133" s="33"/>
    </row>
    <row r="134" spans="1:6" ht="22.5" customHeight="1" x14ac:dyDescent="0.15">
      <c r="A134" s="16" t="s">
        <v>516</v>
      </c>
      <c r="B134" s="12" t="s">
        <v>517</v>
      </c>
      <c r="C134" s="40" t="s">
        <v>30</v>
      </c>
      <c r="F134" s="33"/>
    </row>
    <row r="135" spans="1:6" ht="22.5" customHeight="1" x14ac:dyDescent="0.15">
      <c r="A135" s="16" t="s">
        <v>519</v>
      </c>
      <c r="B135" s="12" t="s">
        <v>520</v>
      </c>
      <c r="C135" s="40" t="s">
        <v>30</v>
      </c>
      <c r="F135" s="33"/>
    </row>
    <row r="136" spans="1:6" ht="22.5" customHeight="1" x14ac:dyDescent="0.15">
      <c r="A136" s="16" t="s">
        <v>523</v>
      </c>
      <c r="B136" s="12" t="s">
        <v>524</v>
      </c>
      <c r="C136" s="40" t="s">
        <v>219</v>
      </c>
      <c r="F136" s="33"/>
    </row>
    <row r="137" spans="1:6" ht="22.5" customHeight="1" x14ac:dyDescent="0.15">
      <c r="A137" s="16" t="s">
        <v>523</v>
      </c>
      <c r="B137" s="12" t="s">
        <v>525</v>
      </c>
      <c r="C137" s="40" t="s">
        <v>30</v>
      </c>
      <c r="F137" s="33"/>
    </row>
    <row r="138" spans="1:6" ht="22.5" customHeight="1" x14ac:dyDescent="0.15">
      <c r="A138" s="16" t="s">
        <v>523</v>
      </c>
      <c r="B138" s="12" t="s">
        <v>526</v>
      </c>
      <c r="C138" s="40" t="s">
        <v>30</v>
      </c>
      <c r="F138" s="33"/>
    </row>
    <row r="139" spans="1:6" ht="22.5" customHeight="1" x14ac:dyDescent="0.15">
      <c r="A139" s="16" t="s">
        <v>523</v>
      </c>
      <c r="B139" s="12" t="s">
        <v>527</v>
      </c>
      <c r="C139" s="40" t="s">
        <v>219</v>
      </c>
      <c r="F139" s="33"/>
    </row>
    <row r="140" spans="1:6" ht="22.5" customHeight="1" x14ac:dyDescent="0.15">
      <c r="A140" s="16" t="s">
        <v>523</v>
      </c>
      <c r="B140" s="12" t="s">
        <v>528</v>
      </c>
      <c r="C140" s="40" t="s">
        <v>219</v>
      </c>
      <c r="F140" s="33"/>
    </row>
    <row r="141" spans="1:6" ht="22.5" customHeight="1" x14ac:dyDescent="0.15">
      <c r="A141" s="16" t="s">
        <v>523</v>
      </c>
      <c r="B141" s="12" t="s">
        <v>529</v>
      </c>
      <c r="C141" s="40" t="s">
        <v>136</v>
      </c>
      <c r="F141" s="33"/>
    </row>
    <row r="142" spans="1:6" ht="22.5" customHeight="1" x14ac:dyDescent="0.15">
      <c r="A142" s="16" t="s">
        <v>523</v>
      </c>
      <c r="B142" s="12" t="s">
        <v>530</v>
      </c>
      <c r="C142" s="40" t="s">
        <v>30</v>
      </c>
      <c r="F142" s="33"/>
    </row>
    <row r="143" spans="1:6" ht="22.5" customHeight="1" x14ac:dyDescent="0.15">
      <c r="A143" s="16" t="s">
        <v>523</v>
      </c>
      <c r="B143" s="12" t="s">
        <v>531</v>
      </c>
      <c r="C143" s="40" t="s">
        <v>30</v>
      </c>
      <c r="F143" s="33"/>
    </row>
    <row r="144" spans="1:6" ht="22.5" customHeight="1" x14ac:dyDescent="0.15">
      <c r="A144" s="16" t="s">
        <v>523</v>
      </c>
      <c r="B144" s="12" t="s">
        <v>532</v>
      </c>
      <c r="C144" s="40" t="s">
        <v>219</v>
      </c>
      <c r="F144" s="33"/>
    </row>
    <row r="145" spans="1:6" ht="22.5" customHeight="1" x14ac:dyDescent="0.15">
      <c r="A145" s="16" t="s">
        <v>534</v>
      </c>
      <c r="B145" s="12" t="s">
        <v>535</v>
      </c>
      <c r="C145" s="40" t="s">
        <v>30</v>
      </c>
      <c r="F145" s="33"/>
    </row>
    <row r="146" spans="1:6" ht="22.5" customHeight="1" x14ac:dyDescent="0.15">
      <c r="A146" s="16" t="s">
        <v>537</v>
      </c>
      <c r="B146" s="12" t="s">
        <v>538</v>
      </c>
      <c r="C146" s="40" t="s">
        <v>136</v>
      </c>
      <c r="F146" s="33"/>
    </row>
    <row r="147" spans="1:6" ht="22.5" customHeight="1" x14ac:dyDescent="0.15">
      <c r="A147" s="16" t="s">
        <v>540</v>
      </c>
      <c r="B147" s="12" t="s">
        <v>541</v>
      </c>
      <c r="C147" s="40" t="s">
        <v>30</v>
      </c>
      <c r="F147" s="33"/>
    </row>
    <row r="148" spans="1:6" ht="22.5" customHeight="1" x14ac:dyDescent="0.15">
      <c r="A148" s="16" t="s">
        <v>543</v>
      </c>
      <c r="B148" s="12" t="s">
        <v>544</v>
      </c>
      <c r="C148" s="40" t="s">
        <v>88</v>
      </c>
      <c r="F148" s="33"/>
    </row>
    <row r="149" spans="1:6" ht="22.5" customHeight="1" x14ac:dyDescent="0.15">
      <c r="A149" s="15" t="s">
        <v>546</v>
      </c>
      <c r="B149" s="12" t="s">
        <v>547</v>
      </c>
      <c r="C149" s="40" t="s">
        <v>30</v>
      </c>
      <c r="F149" s="33"/>
    </row>
    <row r="150" spans="1:6" ht="22.5" customHeight="1" x14ac:dyDescent="0.15">
      <c r="A150" s="16" t="s">
        <v>549</v>
      </c>
      <c r="B150" s="12" t="s">
        <v>550</v>
      </c>
      <c r="C150" s="40" t="s">
        <v>30</v>
      </c>
      <c r="F150" s="33"/>
    </row>
    <row r="151" spans="1:6" ht="22.5" customHeight="1" x14ac:dyDescent="0.15">
      <c r="A151" s="16" t="s">
        <v>553</v>
      </c>
      <c r="B151" s="12" t="s">
        <v>294</v>
      </c>
      <c r="C151" s="40" t="s">
        <v>30</v>
      </c>
      <c r="F151" s="33"/>
    </row>
    <row r="152" spans="1:6" ht="22.5" customHeight="1" x14ac:dyDescent="0.15">
      <c r="A152" s="16" t="s">
        <v>553</v>
      </c>
      <c r="B152" s="12" t="s">
        <v>554</v>
      </c>
      <c r="C152" s="40" t="s">
        <v>30</v>
      </c>
      <c r="F152" s="33"/>
    </row>
    <row r="153" spans="1:6" ht="22.5" customHeight="1" x14ac:dyDescent="0.15">
      <c r="A153" s="15" t="s">
        <v>557</v>
      </c>
      <c r="B153" s="12" t="s">
        <v>558</v>
      </c>
      <c r="C153" s="40" t="s">
        <v>342</v>
      </c>
      <c r="F153" s="33"/>
    </row>
    <row r="154" spans="1:6" ht="22.5" customHeight="1" x14ac:dyDescent="0.15">
      <c r="A154" s="16" t="s">
        <v>560</v>
      </c>
      <c r="B154" s="12" t="s">
        <v>561</v>
      </c>
      <c r="C154" s="40" t="s">
        <v>30</v>
      </c>
      <c r="F154" s="33"/>
    </row>
    <row r="155" spans="1:6" ht="22.5" customHeight="1" x14ac:dyDescent="0.15">
      <c r="A155" s="16" t="s">
        <v>560</v>
      </c>
      <c r="B155" s="12" t="s">
        <v>562</v>
      </c>
      <c r="C155" s="40" t="s">
        <v>83</v>
      </c>
      <c r="F155" s="33"/>
    </row>
    <row r="156" spans="1:6" ht="22.5" customHeight="1" x14ac:dyDescent="0.15">
      <c r="A156" s="16" t="s">
        <v>563</v>
      </c>
      <c r="B156" s="12" t="s">
        <v>241</v>
      </c>
      <c r="C156" s="40" t="s">
        <v>30</v>
      </c>
      <c r="F156" s="33"/>
    </row>
    <row r="157" spans="1:6" ht="22.5" customHeight="1" x14ac:dyDescent="0.15">
      <c r="A157" s="16" t="s">
        <v>103</v>
      </c>
      <c r="B157" s="12" t="s">
        <v>564</v>
      </c>
      <c r="C157" s="40" t="s">
        <v>30</v>
      </c>
      <c r="F157" s="33"/>
    </row>
    <row r="158" spans="1:6" ht="22.5" customHeight="1" x14ac:dyDescent="0.15">
      <c r="A158" s="16" t="s">
        <v>103</v>
      </c>
      <c r="B158" s="12" t="s">
        <v>565</v>
      </c>
      <c r="C158" s="40" t="s">
        <v>18</v>
      </c>
      <c r="F158" s="33"/>
    </row>
    <row r="159" spans="1:6" ht="22.5" customHeight="1" x14ac:dyDescent="0.15">
      <c r="A159" s="16" t="s">
        <v>568</v>
      </c>
      <c r="B159" s="12" t="s">
        <v>569</v>
      </c>
      <c r="C159" s="40" t="s">
        <v>30</v>
      </c>
      <c r="F159" s="33"/>
    </row>
    <row r="160" spans="1:6" ht="22.5" customHeight="1" x14ac:dyDescent="0.15">
      <c r="A160" s="16" t="s">
        <v>572</v>
      </c>
      <c r="B160" s="12" t="s">
        <v>573</v>
      </c>
      <c r="C160" s="40" t="s">
        <v>30</v>
      </c>
      <c r="F160" s="33"/>
    </row>
    <row r="161" spans="1:6" ht="22.5" customHeight="1" x14ac:dyDescent="0.15">
      <c r="A161" s="16" t="s">
        <v>572</v>
      </c>
      <c r="B161" s="12" t="s">
        <v>574</v>
      </c>
      <c r="C161" s="40" t="s">
        <v>30</v>
      </c>
      <c r="F161" s="33"/>
    </row>
    <row r="162" spans="1:6" ht="22.5" customHeight="1" x14ac:dyDescent="0.15">
      <c r="A162" s="16" t="s">
        <v>577</v>
      </c>
      <c r="B162" s="12" t="s">
        <v>578</v>
      </c>
      <c r="C162" s="40" t="s">
        <v>18</v>
      </c>
      <c r="F162" s="33"/>
    </row>
    <row r="163" spans="1:6" ht="22.5" customHeight="1" x14ac:dyDescent="0.15">
      <c r="A163" s="16" t="s">
        <v>577</v>
      </c>
      <c r="B163" s="12" t="s">
        <v>579</v>
      </c>
      <c r="C163" s="40" t="s">
        <v>77</v>
      </c>
      <c r="F163" s="33"/>
    </row>
    <row r="164" spans="1:6" ht="22.5" customHeight="1" x14ac:dyDescent="0.15">
      <c r="A164" s="16" t="s">
        <v>582</v>
      </c>
      <c r="B164" s="12" t="s">
        <v>583</v>
      </c>
      <c r="C164" s="40" t="s">
        <v>30</v>
      </c>
      <c r="F164" s="33"/>
    </row>
    <row r="165" spans="1:6" ht="22.5" customHeight="1" x14ac:dyDescent="0.15">
      <c r="A165" s="16" t="s">
        <v>582</v>
      </c>
      <c r="B165" s="12" t="s">
        <v>584</v>
      </c>
      <c r="C165" s="40" t="s">
        <v>30</v>
      </c>
      <c r="F165" s="33"/>
    </row>
    <row r="166" spans="1:6" ht="22.5" customHeight="1" x14ac:dyDescent="0.15">
      <c r="A166" s="16" t="s">
        <v>582</v>
      </c>
      <c r="B166" s="12" t="s">
        <v>585</v>
      </c>
      <c r="C166" s="40" t="s">
        <v>18</v>
      </c>
      <c r="F166" s="33"/>
    </row>
    <row r="167" spans="1:6" ht="22.5" customHeight="1" x14ac:dyDescent="0.15">
      <c r="A167" s="16" t="s">
        <v>588</v>
      </c>
      <c r="B167" s="12" t="s">
        <v>589</v>
      </c>
      <c r="C167" s="40" t="s">
        <v>30</v>
      </c>
      <c r="F167" s="33"/>
    </row>
    <row r="168" spans="1:6" ht="22.5" customHeight="1" x14ac:dyDescent="0.15">
      <c r="A168" s="16" t="s">
        <v>590</v>
      </c>
      <c r="B168" s="12" t="s">
        <v>591</v>
      </c>
      <c r="C168" s="40" t="s">
        <v>30</v>
      </c>
      <c r="F168" s="33"/>
    </row>
    <row r="169" spans="1:6" ht="22.5" customHeight="1" x14ac:dyDescent="0.15">
      <c r="A169" s="16" t="s">
        <v>590</v>
      </c>
      <c r="B169" s="12" t="s">
        <v>592</v>
      </c>
      <c r="C169" s="40" t="s">
        <v>88</v>
      </c>
      <c r="F169" s="33"/>
    </row>
    <row r="170" spans="1:6" ht="22.5" customHeight="1" x14ac:dyDescent="0.15">
      <c r="A170" s="16" t="s">
        <v>594</v>
      </c>
      <c r="B170" s="12" t="s">
        <v>595</v>
      </c>
      <c r="C170" s="40" t="s">
        <v>23</v>
      </c>
      <c r="F170" s="33"/>
    </row>
    <row r="171" spans="1:6" ht="22.5" customHeight="1" x14ac:dyDescent="0.15">
      <c r="A171" s="16" t="s">
        <v>597</v>
      </c>
      <c r="B171" s="12" t="s">
        <v>598</v>
      </c>
      <c r="C171" s="40" t="s">
        <v>115</v>
      </c>
      <c r="F171" s="33"/>
    </row>
    <row r="172" spans="1:6" ht="22.5" customHeight="1" x14ac:dyDescent="0.15">
      <c r="A172" s="16" t="s">
        <v>600</v>
      </c>
      <c r="B172" s="12" t="s">
        <v>601</v>
      </c>
      <c r="C172" s="40" t="s">
        <v>83</v>
      </c>
      <c r="F172" s="33"/>
    </row>
    <row r="173" spans="1:6" ht="22.5" customHeight="1" x14ac:dyDescent="0.15">
      <c r="A173" s="16" t="s">
        <v>600</v>
      </c>
      <c r="B173" s="12" t="s">
        <v>603</v>
      </c>
      <c r="C173" s="40" t="s">
        <v>83</v>
      </c>
      <c r="F173" s="33"/>
    </row>
    <row r="174" spans="1:6" ht="22.5" customHeight="1" x14ac:dyDescent="0.15">
      <c r="A174" s="16" t="s">
        <v>600</v>
      </c>
      <c r="B174" s="12" t="s">
        <v>604</v>
      </c>
      <c r="C174" s="40" t="s">
        <v>30</v>
      </c>
      <c r="F174" s="33"/>
    </row>
    <row r="175" spans="1:6" ht="22.5" customHeight="1" x14ac:dyDescent="0.15">
      <c r="A175" s="16" t="s">
        <v>147</v>
      </c>
      <c r="B175" s="12" t="s">
        <v>605</v>
      </c>
      <c r="C175" s="40" t="s">
        <v>83</v>
      </c>
      <c r="F175" s="33"/>
    </row>
    <row r="176" spans="1:6" ht="22.5" customHeight="1" x14ac:dyDescent="0.15">
      <c r="A176" s="16" t="s">
        <v>175</v>
      </c>
      <c r="B176" s="12" t="s">
        <v>607</v>
      </c>
      <c r="C176" s="40" t="s">
        <v>30</v>
      </c>
      <c r="F176" s="33"/>
    </row>
    <row r="177" spans="1:6" ht="22.5" customHeight="1" x14ac:dyDescent="0.15">
      <c r="A177" s="16" t="s">
        <v>15</v>
      </c>
      <c r="B177" s="12" t="s">
        <v>609</v>
      </c>
      <c r="C177" s="40" t="s">
        <v>30</v>
      </c>
      <c r="F177" s="33"/>
    </row>
    <row r="178" spans="1:6" ht="22.5" customHeight="1" x14ac:dyDescent="0.15">
      <c r="A178" s="16" t="s">
        <v>523</v>
      </c>
      <c r="B178" s="12" t="s">
        <v>610</v>
      </c>
      <c r="C178" s="40" t="s">
        <v>30</v>
      </c>
      <c r="F178" s="33"/>
    </row>
    <row r="179" spans="1:6" ht="22.5" customHeight="1" x14ac:dyDescent="0.15">
      <c r="A179" s="16" t="s">
        <v>560</v>
      </c>
      <c r="B179" s="12" t="s">
        <v>611</v>
      </c>
      <c r="C179" s="40" t="s">
        <v>30</v>
      </c>
      <c r="F179" s="33"/>
    </row>
    <row r="180" spans="1:6" ht="22.5" customHeight="1" x14ac:dyDescent="0.15">
      <c r="A180" s="16" t="s">
        <v>476</v>
      </c>
      <c r="B180" s="12" t="s">
        <v>612</v>
      </c>
      <c r="C180" s="40" t="s">
        <v>136</v>
      </c>
      <c r="F180" s="33"/>
    </row>
    <row r="181" spans="1:6" ht="22.5" customHeight="1" x14ac:dyDescent="0.15">
      <c r="A181" s="16" t="s">
        <v>503</v>
      </c>
      <c r="B181" s="12" t="s">
        <v>613</v>
      </c>
      <c r="C181" s="40" t="s">
        <v>30</v>
      </c>
      <c r="F181" s="33"/>
    </row>
    <row r="182" spans="1:6" ht="22.5" customHeight="1" x14ac:dyDescent="0.15">
      <c r="A182" s="16" t="s">
        <v>617</v>
      </c>
      <c r="B182" s="12" t="s">
        <v>618</v>
      </c>
      <c r="C182" s="40" t="s">
        <v>30</v>
      </c>
      <c r="F182" s="33"/>
    </row>
    <row r="183" spans="1:6" ht="22.5" customHeight="1" x14ac:dyDescent="0.15">
      <c r="A183" s="16" t="s">
        <v>621</v>
      </c>
      <c r="B183" s="12" t="s">
        <v>622</v>
      </c>
      <c r="C183" s="40" t="s">
        <v>30</v>
      </c>
      <c r="F183" s="33"/>
    </row>
    <row r="184" spans="1:6" ht="22.5" customHeight="1" x14ac:dyDescent="0.15">
      <c r="A184" s="16" t="s">
        <v>234</v>
      </c>
      <c r="B184" s="12" t="s">
        <v>624</v>
      </c>
      <c r="C184" s="40" t="s">
        <v>30</v>
      </c>
      <c r="F184" s="33"/>
    </row>
    <row r="185" spans="1:6" ht="22.5" customHeight="1" x14ac:dyDescent="0.15">
      <c r="A185" s="17" t="s">
        <v>327</v>
      </c>
      <c r="B185" s="12" t="s">
        <v>625</v>
      </c>
      <c r="C185" s="40" t="s">
        <v>12</v>
      </c>
      <c r="F185" s="33"/>
    </row>
    <row r="186" spans="1:6" ht="22.5" customHeight="1" x14ac:dyDescent="0.15">
      <c r="A186" s="16" t="s">
        <v>463</v>
      </c>
      <c r="B186" s="12" t="s">
        <v>625</v>
      </c>
      <c r="C186" s="40" t="s">
        <v>12</v>
      </c>
      <c r="F186" s="33"/>
    </row>
    <row r="187" spans="1:6" ht="22.5" customHeight="1" x14ac:dyDescent="0.15">
      <c r="A187" s="16" t="s">
        <v>628</v>
      </c>
      <c r="B187" s="12" t="s">
        <v>629</v>
      </c>
      <c r="C187" s="40" t="s">
        <v>18</v>
      </c>
      <c r="F187" s="33"/>
    </row>
    <row r="188" spans="1:6" ht="22.5" customHeight="1" x14ac:dyDescent="0.15">
      <c r="A188" s="16" t="s">
        <v>9</v>
      </c>
      <c r="B188" s="12" t="s">
        <v>630</v>
      </c>
      <c r="C188" s="40" t="s">
        <v>30</v>
      </c>
      <c r="F188" s="33"/>
    </row>
    <row r="189" spans="1:6" ht="22.5" customHeight="1" x14ac:dyDescent="0.15">
      <c r="A189" s="16" t="s">
        <v>388</v>
      </c>
      <c r="B189" s="12" t="s">
        <v>632</v>
      </c>
      <c r="C189" s="40" t="s">
        <v>83</v>
      </c>
      <c r="F189" s="33"/>
    </row>
    <row r="190" spans="1:6" ht="22.5" customHeight="1" x14ac:dyDescent="0.15">
      <c r="A190" s="16" t="s">
        <v>298</v>
      </c>
      <c r="B190" s="12" t="s">
        <v>633</v>
      </c>
      <c r="C190" s="40" t="s">
        <v>23</v>
      </c>
      <c r="F190" s="33"/>
    </row>
    <row r="191" spans="1:6" ht="22.5" customHeight="1" x14ac:dyDescent="0.15">
      <c r="A191" s="16" t="s">
        <v>335</v>
      </c>
      <c r="B191" s="12" t="s">
        <v>634</v>
      </c>
      <c r="C191" s="40" t="s">
        <v>83</v>
      </c>
      <c r="F191" s="33"/>
    </row>
    <row r="192" spans="1:6" ht="22.5" customHeight="1" x14ac:dyDescent="0.15">
      <c r="A192" s="16" t="s">
        <v>636</v>
      </c>
      <c r="B192" s="12" t="s">
        <v>637</v>
      </c>
      <c r="C192" s="40" t="s">
        <v>30</v>
      </c>
      <c r="F192" s="33"/>
    </row>
    <row r="193" spans="1:6" ht="22.5" customHeight="1" x14ac:dyDescent="0.15">
      <c r="A193" s="16" t="s">
        <v>37</v>
      </c>
      <c r="B193" s="12" t="s">
        <v>639</v>
      </c>
      <c r="C193" s="40" t="s">
        <v>88</v>
      </c>
      <c r="F193" s="33"/>
    </row>
    <row r="194" spans="1:6" ht="22.5" customHeight="1" x14ac:dyDescent="0.15">
      <c r="A194" s="16" t="s">
        <v>37</v>
      </c>
      <c r="B194" s="12" t="s">
        <v>640</v>
      </c>
      <c r="C194" s="40" t="s">
        <v>23</v>
      </c>
      <c r="F194" s="33"/>
    </row>
    <row r="195" spans="1:6" ht="22.5" customHeight="1" x14ac:dyDescent="0.15">
      <c r="A195" s="16" t="s">
        <v>439</v>
      </c>
      <c r="B195" s="12" t="s">
        <v>642</v>
      </c>
      <c r="C195" s="40" t="s">
        <v>30</v>
      </c>
      <c r="F195" s="33"/>
    </row>
    <row r="196" spans="1:6" ht="22.5" customHeight="1" x14ac:dyDescent="0.15">
      <c r="A196" s="16" t="s">
        <v>497</v>
      </c>
      <c r="B196" s="12" t="s">
        <v>644</v>
      </c>
      <c r="C196" s="40" t="s">
        <v>136</v>
      </c>
      <c r="F196" s="33"/>
    </row>
    <row r="197" spans="1:6" ht="22.5" customHeight="1" x14ac:dyDescent="0.15">
      <c r="A197" s="16" t="s">
        <v>166</v>
      </c>
      <c r="B197" s="12" t="s">
        <v>645</v>
      </c>
      <c r="C197" s="40" t="s">
        <v>115</v>
      </c>
      <c r="F197" s="33"/>
    </row>
    <row r="198" spans="1:6" ht="22.5" customHeight="1" x14ac:dyDescent="0.15">
      <c r="A198" s="16" t="s">
        <v>129</v>
      </c>
      <c r="B198" s="12" t="s">
        <v>646</v>
      </c>
      <c r="C198" s="40" t="s">
        <v>30</v>
      </c>
      <c r="F198" s="33"/>
    </row>
    <row r="199" spans="1:6" ht="22.5" customHeight="1" x14ac:dyDescent="0.15">
      <c r="A199" s="16" t="s">
        <v>133</v>
      </c>
      <c r="B199" s="12" t="s">
        <v>647</v>
      </c>
      <c r="C199" s="40" t="s">
        <v>30</v>
      </c>
      <c r="F199" s="33"/>
    </row>
    <row r="200" spans="1:6" ht="22.5" customHeight="1" x14ac:dyDescent="0.15">
      <c r="A200" s="16" t="s">
        <v>175</v>
      </c>
      <c r="B200" s="12" t="s">
        <v>648</v>
      </c>
      <c r="C200" s="40" t="s">
        <v>88</v>
      </c>
      <c r="F200" s="33"/>
    </row>
    <row r="201" spans="1:6" ht="22.5" customHeight="1" x14ac:dyDescent="0.15">
      <c r="A201" s="16" t="s">
        <v>239</v>
      </c>
      <c r="B201" s="12" t="s">
        <v>649</v>
      </c>
      <c r="C201" s="40" t="s">
        <v>136</v>
      </c>
      <c r="F201" s="33"/>
    </row>
    <row r="202" spans="1:6" ht="22.5" customHeight="1" x14ac:dyDescent="0.15">
      <c r="A202" s="16" t="s">
        <v>27</v>
      </c>
      <c r="B202" s="12" t="s">
        <v>650</v>
      </c>
      <c r="C202" s="40" t="s">
        <v>30</v>
      </c>
      <c r="F202" s="33"/>
    </row>
    <row r="203" spans="1:6" ht="22.5" customHeight="1" x14ac:dyDescent="0.15">
      <c r="A203" s="16" t="s">
        <v>281</v>
      </c>
      <c r="B203" s="12" t="s">
        <v>651</v>
      </c>
      <c r="C203" s="40" t="s">
        <v>23</v>
      </c>
      <c r="F203" s="33"/>
    </row>
    <row r="204" spans="1:6" ht="22.5" customHeight="1" x14ac:dyDescent="0.15">
      <c r="A204" s="16" t="s">
        <v>654</v>
      </c>
      <c r="B204" s="12" t="s">
        <v>655</v>
      </c>
      <c r="C204" s="40" t="s">
        <v>115</v>
      </c>
      <c r="F204" s="33"/>
    </row>
    <row r="205" spans="1:6" ht="22.5" customHeight="1" x14ac:dyDescent="0.15">
      <c r="A205" s="16" t="s">
        <v>658</v>
      </c>
      <c r="B205" s="12" t="s">
        <v>659</v>
      </c>
      <c r="C205" s="40" t="s">
        <v>30</v>
      </c>
      <c r="F205" s="33"/>
    </row>
    <row r="206" spans="1:6" ht="22.5" customHeight="1" x14ac:dyDescent="0.15">
      <c r="A206" s="16" t="s">
        <v>476</v>
      </c>
      <c r="B206" s="12" t="s">
        <v>660</v>
      </c>
      <c r="C206" s="40" t="s">
        <v>23</v>
      </c>
      <c r="F206" s="33"/>
    </row>
    <row r="207" spans="1:6" ht="22.5" customHeight="1" x14ac:dyDescent="0.15">
      <c r="A207" s="16" t="s">
        <v>663</v>
      </c>
      <c r="B207" s="12" t="s">
        <v>664</v>
      </c>
      <c r="C207" s="40" t="s">
        <v>88</v>
      </c>
      <c r="F207" s="33"/>
    </row>
    <row r="208" spans="1:6" ht="22.5" customHeight="1" x14ac:dyDescent="0.15">
      <c r="A208" s="16" t="s">
        <v>563</v>
      </c>
      <c r="B208" s="12" t="s">
        <v>650</v>
      </c>
      <c r="C208" s="40" t="s">
        <v>30</v>
      </c>
      <c r="F208" s="33"/>
    </row>
    <row r="209" spans="1:6" ht="22.5" customHeight="1" x14ac:dyDescent="0.15">
      <c r="A209" s="16" t="s">
        <v>368</v>
      </c>
      <c r="B209" s="12" t="s">
        <v>665</v>
      </c>
      <c r="C209" s="40" t="s">
        <v>30</v>
      </c>
      <c r="F209" s="33"/>
    </row>
    <row r="210" spans="1:6" ht="22.5" customHeight="1" x14ac:dyDescent="0.15">
      <c r="A210" s="16" t="s">
        <v>668</v>
      </c>
      <c r="B210" s="12" t="s">
        <v>669</v>
      </c>
      <c r="C210" s="40" t="s">
        <v>88</v>
      </c>
      <c r="F210" s="33"/>
    </row>
    <row r="211" spans="1:6" ht="22.5" customHeight="1" x14ac:dyDescent="0.15">
      <c r="A211" s="16" t="s">
        <v>672</v>
      </c>
      <c r="B211" s="12" t="s">
        <v>673</v>
      </c>
      <c r="C211" s="40" t="s">
        <v>77</v>
      </c>
      <c r="F211" s="33"/>
    </row>
    <row r="212" spans="1:6" ht="22.5" customHeight="1" x14ac:dyDescent="0.15">
      <c r="A212" s="16" t="s">
        <v>351</v>
      </c>
      <c r="B212" s="12" t="s">
        <v>674</v>
      </c>
      <c r="C212" s="40" t="s">
        <v>30</v>
      </c>
      <c r="F212" s="33"/>
    </row>
    <row r="213" spans="1:6" ht="22.5" customHeight="1" x14ac:dyDescent="0.15">
      <c r="A213" s="16" t="s">
        <v>557</v>
      </c>
      <c r="B213" s="12" t="s">
        <v>675</v>
      </c>
      <c r="C213" s="40" t="s">
        <v>30</v>
      </c>
      <c r="F213" s="33"/>
    </row>
    <row r="214" spans="1:6" ht="22.5" customHeight="1" x14ac:dyDescent="0.15">
      <c r="A214" s="16" t="s">
        <v>94</v>
      </c>
      <c r="B214" s="12" t="s">
        <v>676</v>
      </c>
      <c r="C214" s="40" t="s">
        <v>83</v>
      </c>
      <c r="F214" s="33"/>
    </row>
    <row r="215" spans="1:6" ht="22.5" customHeight="1" x14ac:dyDescent="0.15">
      <c r="A215" s="16" t="s">
        <v>590</v>
      </c>
      <c r="B215" s="12" t="s">
        <v>678</v>
      </c>
      <c r="C215" s="40" t="s">
        <v>30</v>
      </c>
      <c r="F215" s="33"/>
    </row>
    <row r="216" spans="1:6" ht="22.5" customHeight="1" x14ac:dyDescent="0.15">
      <c r="A216" s="16" t="s">
        <v>590</v>
      </c>
      <c r="B216" s="12" t="s">
        <v>680</v>
      </c>
      <c r="C216" s="40" t="s">
        <v>30</v>
      </c>
      <c r="F216" s="33"/>
    </row>
    <row r="217" spans="1:6" ht="22.5" customHeight="1" x14ac:dyDescent="0.15">
      <c r="A217" s="16" t="s">
        <v>683</v>
      </c>
      <c r="B217" s="12" t="s">
        <v>684</v>
      </c>
      <c r="C217" s="40" t="s">
        <v>136</v>
      </c>
      <c r="F217" s="33"/>
    </row>
    <row r="218" spans="1:6" ht="22.5" customHeight="1" x14ac:dyDescent="0.15">
      <c r="A218" s="16" t="s">
        <v>256</v>
      </c>
      <c r="B218" s="12" t="s">
        <v>686</v>
      </c>
      <c r="C218" s="40" t="s">
        <v>30</v>
      </c>
      <c r="F218" s="33"/>
    </row>
    <row r="219" spans="1:6" ht="22.5" customHeight="1" x14ac:dyDescent="0.15">
      <c r="A219" s="16" t="s">
        <v>45</v>
      </c>
      <c r="B219" s="12" t="s">
        <v>688</v>
      </c>
      <c r="C219" s="40" t="s">
        <v>3239</v>
      </c>
      <c r="F219" s="33"/>
    </row>
    <row r="220" spans="1:6" ht="22.5" customHeight="1" x14ac:dyDescent="0.15">
      <c r="A220" s="16" t="s">
        <v>97</v>
      </c>
      <c r="B220" s="12" t="s">
        <v>689</v>
      </c>
      <c r="C220" s="40" t="s">
        <v>30</v>
      </c>
      <c r="F220" s="33"/>
    </row>
    <row r="221" spans="1:6" ht="22.5" customHeight="1" x14ac:dyDescent="0.15">
      <c r="A221" s="16" t="s">
        <v>142</v>
      </c>
      <c r="B221" s="12" t="s">
        <v>690</v>
      </c>
      <c r="C221" s="40" t="s">
        <v>30</v>
      </c>
      <c r="F221" s="33"/>
    </row>
    <row r="222" spans="1:6" ht="22.5" customHeight="1" x14ac:dyDescent="0.15">
      <c r="A222" s="16" t="s">
        <v>166</v>
      </c>
      <c r="B222" s="12" t="s">
        <v>692</v>
      </c>
      <c r="C222" s="40" t="s">
        <v>67</v>
      </c>
      <c r="F222" s="33"/>
    </row>
    <row r="223" spans="1:6" ht="22.5" customHeight="1" x14ac:dyDescent="0.15">
      <c r="A223" s="16" t="s">
        <v>187</v>
      </c>
      <c r="B223" s="12" t="s">
        <v>693</v>
      </c>
      <c r="C223" s="40" t="s">
        <v>18</v>
      </c>
      <c r="F223" s="33"/>
    </row>
    <row r="224" spans="1:6" ht="22.5" customHeight="1" x14ac:dyDescent="0.15">
      <c r="A224" s="16" t="s">
        <v>94</v>
      </c>
      <c r="B224" s="12" t="s">
        <v>694</v>
      </c>
      <c r="C224" s="40" t="s">
        <v>30</v>
      </c>
      <c r="F224" s="33"/>
    </row>
    <row r="225" spans="1:6" ht="22.5" customHeight="1" x14ac:dyDescent="0.15">
      <c r="A225" s="16" t="s">
        <v>696</v>
      </c>
      <c r="B225" s="12" t="s">
        <v>697</v>
      </c>
      <c r="C225" s="40" t="s">
        <v>12</v>
      </c>
      <c r="F225" s="33"/>
    </row>
    <row r="226" spans="1:6" ht="22.5" customHeight="1" x14ac:dyDescent="0.15">
      <c r="A226" s="16" t="s">
        <v>572</v>
      </c>
      <c r="B226" s="12" t="s">
        <v>698</v>
      </c>
      <c r="C226" s="40" t="s">
        <v>30</v>
      </c>
      <c r="F226" s="33"/>
    </row>
    <row r="227" spans="1:6" ht="22.5" customHeight="1" x14ac:dyDescent="0.15">
      <c r="A227" s="16" t="s">
        <v>256</v>
      </c>
      <c r="B227" s="12" t="s">
        <v>700</v>
      </c>
      <c r="C227" s="40" t="s">
        <v>136</v>
      </c>
      <c r="F227" s="33"/>
    </row>
    <row r="228" spans="1:6" ht="22.5" customHeight="1" x14ac:dyDescent="0.15">
      <c r="A228" s="16" t="s">
        <v>703</v>
      </c>
      <c r="B228" s="12" t="s">
        <v>704</v>
      </c>
      <c r="C228" s="40" t="s">
        <v>88</v>
      </c>
      <c r="F228" s="33"/>
    </row>
    <row r="229" spans="1:6" ht="22.5" customHeight="1" x14ac:dyDescent="0.15">
      <c r="A229" s="16" t="s">
        <v>621</v>
      </c>
      <c r="B229" s="12" t="s">
        <v>705</v>
      </c>
      <c r="C229" s="40" t="s">
        <v>18</v>
      </c>
      <c r="F229" s="33"/>
    </row>
    <row r="230" spans="1:6" ht="22.5" customHeight="1" x14ac:dyDescent="0.15">
      <c r="A230" s="16" t="s">
        <v>277</v>
      </c>
      <c r="B230" s="12" t="s">
        <v>707</v>
      </c>
      <c r="C230" s="40" t="s">
        <v>12</v>
      </c>
      <c r="F230" s="33"/>
    </row>
    <row r="231" spans="1:6" ht="22.5" customHeight="1" x14ac:dyDescent="0.15">
      <c r="A231" s="16" t="s">
        <v>710</v>
      </c>
      <c r="B231" s="12" t="s">
        <v>711</v>
      </c>
      <c r="C231" s="40" t="s">
        <v>18</v>
      </c>
      <c r="F231" s="33"/>
    </row>
    <row r="232" spans="1:6" ht="22.5" customHeight="1" x14ac:dyDescent="0.15">
      <c r="A232" s="16" t="s">
        <v>395</v>
      </c>
      <c r="B232" s="12" t="s">
        <v>712</v>
      </c>
      <c r="C232" s="40" t="s">
        <v>18</v>
      </c>
      <c r="F232" s="33"/>
    </row>
    <row r="233" spans="1:6" ht="22.5" customHeight="1" x14ac:dyDescent="0.15">
      <c r="A233" s="16" t="s">
        <v>714</v>
      </c>
      <c r="B233" s="12" t="s">
        <v>715</v>
      </c>
      <c r="C233" s="40" t="s">
        <v>12</v>
      </c>
      <c r="F233" s="33"/>
    </row>
    <row r="234" spans="1:6" ht="22.5" customHeight="1" x14ac:dyDescent="0.15">
      <c r="A234" s="16" t="s">
        <v>543</v>
      </c>
      <c r="B234" s="12" t="s">
        <v>716</v>
      </c>
      <c r="C234" s="40" t="s">
        <v>88</v>
      </c>
      <c r="F234" s="33"/>
    </row>
    <row r="235" spans="1:6" ht="22.5" customHeight="1" x14ac:dyDescent="0.15">
      <c r="A235" s="16" t="s">
        <v>70</v>
      </c>
      <c r="B235" s="12" t="s">
        <v>717</v>
      </c>
      <c r="C235" s="40" t="s">
        <v>12</v>
      </c>
      <c r="F235" s="33"/>
    </row>
    <row r="236" spans="1:6" ht="22.5" customHeight="1" x14ac:dyDescent="0.15">
      <c r="A236" s="16" t="s">
        <v>120</v>
      </c>
      <c r="B236" s="12" t="s">
        <v>719</v>
      </c>
      <c r="C236" s="40" t="s">
        <v>18</v>
      </c>
      <c r="F236" s="33"/>
    </row>
    <row r="237" spans="1:6" ht="22.5" customHeight="1" x14ac:dyDescent="0.15">
      <c r="A237" s="16" t="s">
        <v>120</v>
      </c>
      <c r="B237" s="12" t="s">
        <v>720</v>
      </c>
      <c r="C237" s="40" t="s">
        <v>18</v>
      </c>
      <c r="F237" s="33"/>
    </row>
    <row r="238" spans="1:6" ht="22.5" customHeight="1" x14ac:dyDescent="0.15">
      <c r="A238" s="16" t="s">
        <v>120</v>
      </c>
      <c r="B238" s="12" t="s">
        <v>721</v>
      </c>
      <c r="C238" s="40" t="s">
        <v>30</v>
      </c>
      <c r="F238" s="33"/>
    </row>
    <row r="239" spans="1:6" ht="22.5" customHeight="1" x14ac:dyDescent="0.15">
      <c r="A239" s="16" t="s">
        <v>120</v>
      </c>
      <c r="B239" s="12" t="s">
        <v>722</v>
      </c>
      <c r="C239" s="40" t="s">
        <v>18</v>
      </c>
      <c r="F239" s="33"/>
    </row>
    <row r="240" spans="1:6" ht="22.5" customHeight="1" x14ac:dyDescent="0.15">
      <c r="A240" s="16" t="s">
        <v>120</v>
      </c>
      <c r="B240" s="12" t="s">
        <v>723</v>
      </c>
      <c r="C240" s="40" t="s">
        <v>18</v>
      </c>
      <c r="F240" s="33"/>
    </row>
    <row r="241" spans="1:6" ht="22.5" customHeight="1" x14ac:dyDescent="0.15">
      <c r="A241" s="16" t="s">
        <v>725</v>
      </c>
      <c r="B241" s="12" t="s">
        <v>726</v>
      </c>
      <c r="C241" s="40" t="s">
        <v>18</v>
      </c>
      <c r="F241" s="33"/>
    </row>
    <row r="242" spans="1:6" ht="22.5" customHeight="1" x14ac:dyDescent="0.15">
      <c r="A242" s="16" t="s">
        <v>621</v>
      </c>
      <c r="B242" s="12" t="s">
        <v>727</v>
      </c>
      <c r="C242" s="40" t="s">
        <v>18</v>
      </c>
      <c r="F242" s="33"/>
    </row>
    <row r="243" spans="1:6" ht="22.5" customHeight="1" x14ac:dyDescent="0.15">
      <c r="A243" s="16" t="s">
        <v>621</v>
      </c>
      <c r="B243" s="12" t="s">
        <v>728</v>
      </c>
      <c r="C243" s="40" t="s">
        <v>18</v>
      </c>
      <c r="F243" s="33"/>
    </row>
    <row r="244" spans="1:6" ht="22.5" customHeight="1" x14ac:dyDescent="0.15">
      <c r="A244" s="16" t="s">
        <v>621</v>
      </c>
      <c r="B244" s="12" t="s">
        <v>729</v>
      </c>
      <c r="C244" s="40" t="s">
        <v>18</v>
      </c>
      <c r="F244" s="33"/>
    </row>
    <row r="245" spans="1:6" ht="22.5" customHeight="1" x14ac:dyDescent="0.15">
      <c r="A245" s="16" t="s">
        <v>636</v>
      </c>
      <c r="B245" s="12" t="s">
        <v>730</v>
      </c>
      <c r="C245" s="40" t="s">
        <v>18</v>
      </c>
      <c r="F245" s="33"/>
    </row>
    <row r="246" spans="1:6" ht="22.5" customHeight="1" x14ac:dyDescent="0.15">
      <c r="A246" s="16" t="s">
        <v>636</v>
      </c>
      <c r="B246" s="12" t="s">
        <v>731</v>
      </c>
      <c r="C246" s="40" t="s">
        <v>18</v>
      </c>
      <c r="F246" s="33"/>
    </row>
    <row r="247" spans="1:6" ht="22.5" customHeight="1" x14ac:dyDescent="0.15">
      <c r="A247" s="16" t="s">
        <v>129</v>
      </c>
      <c r="B247" s="12" t="s">
        <v>732</v>
      </c>
      <c r="C247" s="40" t="s">
        <v>23</v>
      </c>
      <c r="F247" s="33"/>
    </row>
    <row r="248" spans="1:6" ht="22.5" customHeight="1" x14ac:dyDescent="0.15">
      <c r="A248" s="16" t="s">
        <v>129</v>
      </c>
      <c r="B248" s="12" t="s">
        <v>733</v>
      </c>
      <c r="C248" s="40" t="s">
        <v>30</v>
      </c>
      <c r="F248" s="33"/>
    </row>
    <row r="249" spans="1:6" ht="22.5" customHeight="1" x14ac:dyDescent="0.15">
      <c r="A249" s="16" t="s">
        <v>129</v>
      </c>
      <c r="B249" s="12" t="s">
        <v>734</v>
      </c>
      <c r="C249" s="40" t="s">
        <v>30</v>
      </c>
      <c r="F249" s="33"/>
    </row>
    <row r="250" spans="1:6" ht="22.5" customHeight="1" x14ac:dyDescent="0.15">
      <c r="A250" s="16" t="s">
        <v>129</v>
      </c>
      <c r="B250" s="12" t="s">
        <v>735</v>
      </c>
      <c r="C250" s="40" t="s">
        <v>18</v>
      </c>
      <c r="F250" s="33"/>
    </row>
    <row r="251" spans="1:6" ht="22.5" customHeight="1" x14ac:dyDescent="0.15">
      <c r="A251" s="16" t="s">
        <v>133</v>
      </c>
      <c r="B251" s="12" t="s">
        <v>736</v>
      </c>
      <c r="C251" s="40" t="s">
        <v>30</v>
      </c>
      <c r="F251" s="33"/>
    </row>
    <row r="252" spans="1:6" ht="22.5" customHeight="1" x14ac:dyDescent="0.15">
      <c r="A252" s="16" t="s">
        <v>133</v>
      </c>
      <c r="B252" s="12" t="s">
        <v>737</v>
      </c>
      <c r="C252" s="40" t="s">
        <v>18</v>
      </c>
      <c r="F252" s="33"/>
    </row>
    <row r="253" spans="1:6" ht="22.5" customHeight="1" x14ac:dyDescent="0.15">
      <c r="A253" s="16" t="s">
        <v>133</v>
      </c>
      <c r="B253" s="12" t="s">
        <v>738</v>
      </c>
      <c r="C253" s="40" t="s">
        <v>18</v>
      </c>
      <c r="F253" s="33"/>
    </row>
    <row r="254" spans="1:6" ht="22.5" customHeight="1" x14ac:dyDescent="0.15">
      <c r="A254" s="16" t="s">
        <v>133</v>
      </c>
      <c r="B254" s="12" t="s">
        <v>739</v>
      </c>
      <c r="C254" s="40" t="s">
        <v>136</v>
      </c>
      <c r="F254" s="33"/>
    </row>
    <row r="255" spans="1:6" ht="22.5" customHeight="1" x14ac:dyDescent="0.15">
      <c r="A255" s="16" t="s">
        <v>133</v>
      </c>
      <c r="B255" s="12" t="s">
        <v>740</v>
      </c>
      <c r="C255" s="40" t="s">
        <v>30</v>
      </c>
      <c r="F255" s="33"/>
    </row>
    <row r="256" spans="1:6" ht="22.5" customHeight="1" x14ac:dyDescent="0.15">
      <c r="A256" s="16" t="s">
        <v>133</v>
      </c>
      <c r="B256" s="12" t="s">
        <v>741</v>
      </c>
      <c r="C256" s="40" t="s">
        <v>30</v>
      </c>
      <c r="F256" s="33"/>
    </row>
    <row r="257" spans="1:6" ht="22.5" customHeight="1" x14ac:dyDescent="0.15">
      <c r="A257" s="16" t="s">
        <v>744</v>
      </c>
      <c r="B257" s="12" t="s">
        <v>745</v>
      </c>
      <c r="C257" s="40" t="s">
        <v>30</v>
      </c>
      <c r="F257" s="33"/>
    </row>
    <row r="258" spans="1:6" ht="22.5" customHeight="1" x14ac:dyDescent="0.15">
      <c r="A258" s="16" t="s">
        <v>744</v>
      </c>
      <c r="B258" s="12" t="s">
        <v>746</v>
      </c>
      <c r="C258" s="40" t="s">
        <v>30</v>
      </c>
      <c r="F258" s="33"/>
    </row>
    <row r="259" spans="1:6" ht="22.5" customHeight="1" x14ac:dyDescent="0.15">
      <c r="A259" s="16" t="s">
        <v>744</v>
      </c>
      <c r="B259" s="12" t="s">
        <v>747</v>
      </c>
      <c r="C259" s="40" t="s">
        <v>83</v>
      </c>
      <c r="F259" s="33"/>
    </row>
    <row r="260" spans="1:6" ht="22.5" customHeight="1" x14ac:dyDescent="0.15">
      <c r="A260" s="16" t="s">
        <v>744</v>
      </c>
      <c r="B260" s="12" t="s">
        <v>748</v>
      </c>
      <c r="C260" s="40" t="s">
        <v>30</v>
      </c>
      <c r="F260" s="33"/>
    </row>
    <row r="261" spans="1:6" ht="22.5" customHeight="1" x14ac:dyDescent="0.15">
      <c r="A261" s="16" t="s">
        <v>142</v>
      </c>
      <c r="B261" s="12" t="s">
        <v>749</v>
      </c>
      <c r="C261" s="40" t="s">
        <v>18</v>
      </c>
      <c r="F261" s="33"/>
    </row>
    <row r="262" spans="1:6" ht="22.5" customHeight="1" x14ac:dyDescent="0.15">
      <c r="A262" s="16" t="s">
        <v>142</v>
      </c>
      <c r="B262" s="12" t="s">
        <v>750</v>
      </c>
      <c r="C262" s="40" t="s">
        <v>219</v>
      </c>
      <c r="F262" s="33"/>
    </row>
    <row r="263" spans="1:6" ht="22.5" customHeight="1" x14ac:dyDescent="0.15">
      <c r="A263" s="16" t="s">
        <v>151</v>
      </c>
      <c r="B263" s="12" t="s">
        <v>751</v>
      </c>
      <c r="C263" s="40" t="s">
        <v>136</v>
      </c>
      <c r="F263" s="33"/>
    </row>
    <row r="264" spans="1:6" ht="22.5" customHeight="1" x14ac:dyDescent="0.15">
      <c r="A264" s="16" t="s">
        <v>151</v>
      </c>
      <c r="B264" s="12" t="s">
        <v>752</v>
      </c>
      <c r="C264" s="40" t="s">
        <v>77</v>
      </c>
      <c r="F264" s="33"/>
    </row>
    <row r="265" spans="1:6" ht="22.5" customHeight="1" x14ac:dyDescent="0.15">
      <c r="A265" s="16" t="s">
        <v>151</v>
      </c>
      <c r="B265" s="12" t="s">
        <v>753</v>
      </c>
      <c r="C265" s="40" t="s">
        <v>88</v>
      </c>
      <c r="F265" s="33"/>
    </row>
    <row r="266" spans="1:6" ht="22.5" customHeight="1" x14ac:dyDescent="0.15">
      <c r="A266" s="16" t="s">
        <v>154</v>
      </c>
      <c r="B266" s="12" t="s">
        <v>754</v>
      </c>
      <c r="C266" s="40" t="s">
        <v>18</v>
      </c>
      <c r="F266" s="33"/>
    </row>
    <row r="267" spans="1:6" ht="22.5" customHeight="1" x14ac:dyDescent="0.15">
      <c r="A267" s="16" t="s">
        <v>154</v>
      </c>
      <c r="B267" s="12" t="s">
        <v>755</v>
      </c>
      <c r="C267" s="40" t="s">
        <v>23</v>
      </c>
      <c r="F267" s="33"/>
    </row>
    <row r="268" spans="1:6" ht="22.5" customHeight="1" x14ac:dyDescent="0.15">
      <c r="A268" s="16" t="s">
        <v>154</v>
      </c>
      <c r="B268" s="12" t="s">
        <v>756</v>
      </c>
      <c r="C268" s="40" t="s">
        <v>30</v>
      </c>
      <c r="F268" s="33"/>
    </row>
    <row r="269" spans="1:6" ht="22.5" customHeight="1" x14ac:dyDescent="0.15">
      <c r="A269" s="16" t="s">
        <v>154</v>
      </c>
      <c r="B269" s="12" t="s">
        <v>757</v>
      </c>
      <c r="C269" s="40" t="s">
        <v>18</v>
      </c>
      <c r="F269" s="33"/>
    </row>
    <row r="270" spans="1:6" ht="22.5" customHeight="1" x14ac:dyDescent="0.15">
      <c r="A270" s="16" t="s">
        <v>154</v>
      </c>
      <c r="B270" s="12" t="s">
        <v>758</v>
      </c>
      <c r="C270" s="40" t="s">
        <v>3239</v>
      </c>
      <c r="F270" s="33"/>
    </row>
    <row r="271" spans="1:6" ht="22.5" customHeight="1" x14ac:dyDescent="0.15">
      <c r="A271" s="16" t="s">
        <v>154</v>
      </c>
      <c r="B271" s="12" t="s">
        <v>759</v>
      </c>
      <c r="C271" s="40" t="s">
        <v>88</v>
      </c>
      <c r="F271" s="33"/>
    </row>
    <row r="272" spans="1:6" ht="22.5" customHeight="1" x14ac:dyDescent="0.15">
      <c r="A272" s="16" t="s">
        <v>154</v>
      </c>
      <c r="B272" s="12" t="s">
        <v>760</v>
      </c>
      <c r="C272" s="40" t="s">
        <v>77</v>
      </c>
      <c r="F272" s="33"/>
    </row>
    <row r="273" spans="1:6" ht="22.5" customHeight="1" x14ac:dyDescent="0.15">
      <c r="A273" s="16" t="s">
        <v>154</v>
      </c>
      <c r="B273" s="12" t="s">
        <v>761</v>
      </c>
      <c r="C273" s="40" t="s">
        <v>77</v>
      </c>
      <c r="F273" s="33"/>
    </row>
    <row r="274" spans="1:6" ht="22.5" customHeight="1" x14ac:dyDescent="0.15">
      <c r="A274" s="16" t="s">
        <v>668</v>
      </c>
      <c r="B274" s="12" t="s">
        <v>762</v>
      </c>
      <c r="C274" s="40" t="s">
        <v>12</v>
      </c>
      <c r="F274" s="33"/>
    </row>
    <row r="275" spans="1:6" ht="22.5" customHeight="1" x14ac:dyDescent="0.15">
      <c r="A275" s="16" t="s">
        <v>668</v>
      </c>
      <c r="B275" s="12" t="s">
        <v>763</v>
      </c>
      <c r="C275" s="40" t="s">
        <v>77</v>
      </c>
      <c r="F275" s="33"/>
    </row>
    <row r="276" spans="1:6" ht="22.5" customHeight="1" x14ac:dyDescent="0.15">
      <c r="A276" s="16" t="s">
        <v>668</v>
      </c>
      <c r="B276" s="12" t="s">
        <v>764</v>
      </c>
      <c r="C276" s="40" t="s">
        <v>23</v>
      </c>
      <c r="F276" s="33"/>
    </row>
    <row r="277" spans="1:6" ht="22.5" customHeight="1" x14ac:dyDescent="0.15">
      <c r="A277" s="16" t="s">
        <v>672</v>
      </c>
      <c r="B277" s="12" t="s">
        <v>765</v>
      </c>
      <c r="C277" s="40" t="s">
        <v>30</v>
      </c>
      <c r="F277" s="33"/>
    </row>
    <row r="278" spans="1:6" ht="22.5" customHeight="1" x14ac:dyDescent="0.15">
      <c r="A278" s="16" t="s">
        <v>672</v>
      </c>
      <c r="B278" s="12" t="s">
        <v>766</v>
      </c>
      <c r="C278" s="40" t="s">
        <v>18</v>
      </c>
      <c r="F278" s="33"/>
    </row>
    <row r="279" spans="1:6" ht="22.5" customHeight="1" x14ac:dyDescent="0.15">
      <c r="A279" s="16" t="s">
        <v>160</v>
      </c>
      <c r="B279" s="12" t="s">
        <v>767</v>
      </c>
      <c r="C279" s="40" t="s">
        <v>12</v>
      </c>
      <c r="F279" s="33"/>
    </row>
    <row r="280" spans="1:6" ht="22.5" customHeight="1" x14ac:dyDescent="0.15">
      <c r="A280" s="16" t="s">
        <v>166</v>
      </c>
      <c r="B280" s="12" t="s">
        <v>768</v>
      </c>
      <c r="C280" s="40" t="s">
        <v>83</v>
      </c>
      <c r="F280" s="33"/>
    </row>
    <row r="281" spans="1:6" ht="22.5" customHeight="1" x14ac:dyDescent="0.15">
      <c r="A281" s="16" t="s">
        <v>166</v>
      </c>
      <c r="B281" s="12" t="s">
        <v>769</v>
      </c>
      <c r="C281" s="40" t="s">
        <v>136</v>
      </c>
      <c r="F281" s="33"/>
    </row>
    <row r="282" spans="1:6" ht="22.5" customHeight="1" x14ac:dyDescent="0.15">
      <c r="A282" s="16" t="s">
        <v>166</v>
      </c>
      <c r="B282" s="12" t="s">
        <v>770</v>
      </c>
      <c r="C282" s="40" t="s">
        <v>30</v>
      </c>
      <c r="F282" s="33"/>
    </row>
    <row r="283" spans="1:6" ht="22.5" customHeight="1" x14ac:dyDescent="0.15">
      <c r="A283" s="16" t="s">
        <v>166</v>
      </c>
      <c r="B283" s="12" t="s">
        <v>771</v>
      </c>
      <c r="C283" s="40" t="s">
        <v>136</v>
      </c>
      <c r="F283" s="33"/>
    </row>
    <row r="284" spans="1:6" ht="22.5" customHeight="1" x14ac:dyDescent="0.15">
      <c r="A284" s="16" t="s">
        <v>166</v>
      </c>
      <c r="B284" s="12" t="s">
        <v>772</v>
      </c>
      <c r="C284" s="40" t="s">
        <v>30</v>
      </c>
      <c r="F284" s="33"/>
    </row>
    <row r="285" spans="1:6" ht="22.5" customHeight="1" x14ac:dyDescent="0.15">
      <c r="A285" s="16" t="s">
        <v>166</v>
      </c>
      <c r="B285" s="12" t="s">
        <v>773</v>
      </c>
      <c r="C285" s="40" t="s">
        <v>30</v>
      </c>
      <c r="F285" s="33"/>
    </row>
    <row r="286" spans="1:6" ht="22.5" customHeight="1" x14ac:dyDescent="0.15">
      <c r="A286" s="16" t="s">
        <v>166</v>
      </c>
      <c r="B286" s="12" t="s">
        <v>774</v>
      </c>
      <c r="C286" s="40" t="s">
        <v>30</v>
      </c>
      <c r="F286" s="33"/>
    </row>
    <row r="287" spans="1:6" ht="22.5" customHeight="1" x14ac:dyDescent="0.15">
      <c r="A287" s="16" t="s">
        <v>166</v>
      </c>
      <c r="B287" s="12" t="s">
        <v>775</v>
      </c>
      <c r="C287" s="40" t="s">
        <v>115</v>
      </c>
      <c r="F287" s="33"/>
    </row>
    <row r="288" spans="1:6" ht="22.5" customHeight="1" x14ac:dyDescent="0.15">
      <c r="A288" s="16" t="s">
        <v>166</v>
      </c>
      <c r="B288" s="12" t="s">
        <v>776</v>
      </c>
      <c r="C288" s="40" t="s">
        <v>23</v>
      </c>
      <c r="F288" s="33"/>
    </row>
    <row r="289" spans="1:6" ht="22.5" customHeight="1" x14ac:dyDescent="0.15">
      <c r="A289" s="16" t="s">
        <v>166</v>
      </c>
      <c r="B289" s="12" t="s">
        <v>777</v>
      </c>
      <c r="C289" s="40" t="s">
        <v>30</v>
      </c>
      <c r="F289" s="33"/>
    </row>
    <row r="290" spans="1:6" ht="22.5" customHeight="1" x14ac:dyDescent="0.15">
      <c r="A290" s="16" t="s">
        <v>166</v>
      </c>
      <c r="B290" s="12" t="s">
        <v>778</v>
      </c>
      <c r="C290" s="40" t="s">
        <v>30</v>
      </c>
      <c r="F290" s="33"/>
    </row>
    <row r="291" spans="1:6" ht="22.5" customHeight="1" x14ac:dyDescent="0.15">
      <c r="A291" s="16" t="s">
        <v>781</v>
      </c>
      <c r="B291" s="12" t="s">
        <v>782</v>
      </c>
      <c r="C291" s="40" t="s">
        <v>23</v>
      </c>
      <c r="F291" s="33"/>
    </row>
    <row r="292" spans="1:6" ht="22.5" customHeight="1" x14ac:dyDescent="0.15">
      <c r="A292" s="16" t="s">
        <v>107</v>
      </c>
      <c r="B292" s="12" t="s">
        <v>783</v>
      </c>
      <c r="C292" s="40" t="s">
        <v>18</v>
      </c>
      <c r="F292" s="33"/>
    </row>
    <row r="293" spans="1:6" ht="22.5" customHeight="1" x14ac:dyDescent="0.15">
      <c r="A293" s="16" t="s">
        <v>187</v>
      </c>
      <c r="B293" s="12" t="s">
        <v>784</v>
      </c>
      <c r="C293" s="40" t="s">
        <v>136</v>
      </c>
      <c r="F293" s="33"/>
    </row>
    <row r="294" spans="1:6" ht="22.5" customHeight="1" x14ac:dyDescent="0.15">
      <c r="A294" s="16" t="s">
        <v>187</v>
      </c>
      <c r="B294" s="12" t="s">
        <v>785</v>
      </c>
      <c r="C294" s="40" t="s">
        <v>30</v>
      </c>
      <c r="F294" s="33"/>
    </row>
    <row r="295" spans="1:6" ht="22.5" customHeight="1" x14ac:dyDescent="0.15">
      <c r="A295" s="16" t="s">
        <v>190</v>
      </c>
      <c r="B295" s="12" t="s">
        <v>786</v>
      </c>
      <c r="C295" s="40" t="s">
        <v>23</v>
      </c>
      <c r="F295" s="33"/>
    </row>
    <row r="296" spans="1:6" ht="22.5" customHeight="1" x14ac:dyDescent="0.15">
      <c r="A296" s="16" t="s">
        <v>788</v>
      </c>
      <c r="B296" s="12" t="s">
        <v>789</v>
      </c>
      <c r="C296" s="40" t="s">
        <v>23</v>
      </c>
      <c r="F296" s="33"/>
    </row>
    <row r="297" spans="1:6" ht="22.5" customHeight="1" x14ac:dyDescent="0.15">
      <c r="A297" s="16" t="s">
        <v>193</v>
      </c>
      <c r="B297" s="12" t="s">
        <v>790</v>
      </c>
      <c r="C297" s="40" t="s">
        <v>30</v>
      </c>
      <c r="F297" s="33"/>
    </row>
    <row r="298" spans="1:6" ht="22.5" customHeight="1" x14ac:dyDescent="0.15">
      <c r="A298" s="16" t="s">
        <v>793</v>
      </c>
      <c r="B298" s="12" t="s">
        <v>794</v>
      </c>
      <c r="C298" s="40" t="s">
        <v>30</v>
      </c>
      <c r="F298" s="33"/>
    </row>
    <row r="299" spans="1:6" ht="22.5" customHeight="1" x14ac:dyDescent="0.15">
      <c r="A299" s="16" t="s">
        <v>75</v>
      </c>
      <c r="B299" s="12" t="s">
        <v>795</v>
      </c>
      <c r="C299" s="40" t="s">
        <v>30</v>
      </c>
      <c r="F299" s="33"/>
    </row>
    <row r="300" spans="1:6" ht="22.5" customHeight="1" x14ac:dyDescent="0.15">
      <c r="A300" s="16" t="s">
        <v>75</v>
      </c>
      <c r="B300" s="12" t="s">
        <v>796</v>
      </c>
      <c r="C300" s="40" t="s">
        <v>23</v>
      </c>
      <c r="F300" s="33"/>
    </row>
    <row r="301" spans="1:6" ht="22.5" customHeight="1" x14ac:dyDescent="0.15">
      <c r="A301" s="16" t="s">
        <v>75</v>
      </c>
      <c r="B301" s="12" t="s">
        <v>797</v>
      </c>
      <c r="C301" s="40" t="s">
        <v>67</v>
      </c>
      <c r="F301" s="33"/>
    </row>
    <row r="302" spans="1:6" ht="22.5" customHeight="1" x14ac:dyDescent="0.15">
      <c r="A302" s="16" t="s">
        <v>203</v>
      </c>
      <c r="B302" s="12" t="s">
        <v>798</v>
      </c>
      <c r="C302" s="40" t="s">
        <v>342</v>
      </c>
      <c r="F302" s="33"/>
    </row>
    <row r="303" spans="1:6" ht="22.5" customHeight="1" x14ac:dyDescent="0.15">
      <c r="A303" s="16" t="s">
        <v>203</v>
      </c>
      <c r="B303" s="12" t="s">
        <v>799</v>
      </c>
      <c r="C303" s="40" t="s">
        <v>18</v>
      </c>
      <c r="F303" s="33"/>
    </row>
    <row r="304" spans="1:6" ht="22.5" customHeight="1" x14ac:dyDescent="0.15">
      <c r="A304" s="16" t="s">
        <v>203</v>
      </c>
      <c r="B304" s="12" t="s">
        <v>800</v>
      </c>
      <c r="C304" s="40" t="s">
        <v>18</v>
      </c>
      <c r="F304" s="33"/>
    </row>
    <row r="305" spans="1:6" ht="22.5" customHeight="1" x14ac:dyDescent="0.15">
      <c r="A305" s="16" t="s">
        <v>9</v>
      </c>
      <c r="B305" s="12" t="s">
        <v>801</v>
      </c>
      <c r="C305" s="40" t="s">
        <v>23</v>
      </c>
      <c r="F305" s="33"/>
    </row>
    <row r="306" spans="1:6" ht="22.5" customHeight="1" x14ac:dyDescent="0.15">
      <c r="A306" s="16" t="s">
        <v>9</v>
      </c>
      <c r="B306" s="12" t="s">
        <v>802</v>
      </c>
      <c r="C306" s="40" t="s">
        <v>77</v>
      </c>
      <c r="F306" s="33"/>
    </row>
    <row r="307" spans="1:6" ht="22.5" customHeight="1" x14ac:dyDescent="0.15">
      <c r="A307" s="16" t="s">
        <v>9</v>
      </c>
      <c r="B307" s="12" t="s">
        <v>803</v>
      </c>
      <c r="C307" s="40" t="s">
        <v>18</v>
      </c>
      <c r="F307" s="33"/>
    </row>
    <row r="308" spans="1:6" ht="22.5" customHeight="1" x14ac:dyDescent="0.15">
      <c r="A308" s="16" t="s">
        <v>9</v>
      </c>
      <c r="B308" s="12" t="s">
        <v>804</v>
      </c>
      <c r="C308" s="40" t="s">
        <v>23</v>
      </c>
      <c r="F308" s="33"/>
    </row>
    <row r="309" spans="1:6" ht="22.5" customHeight="1" x14ac:dyDescent="0.15">
      <c r="A309" s="16" t="s">
        <v>9</v>
      </c>
      <c r="B309" s="12" t="s">
        <v>805</v>
      </c>
      <c r="C309" s="40" t="s">
        <v>83</v>
      </c>
      <c r="F309" s="33"/>
    </row>
    <row r="310" spans="1:6" ht="22.5" customHeight="1" x14ac:dyDescent="0.15">
      <c r="A310" s="16" t="s">
        <v>9</v>
      </c>
      <c r="B310" s="12" t="s">
        <v>806</v>
      </c>
      <c r="C310" s="40" t="s">
        <v>18</v>
      </c>
      <c r="F310" s="33"/>
    </row>
    <row r="311" spans="1:6" ht="22.5" customHeight="1" x14ac:dyDescent="0.15">
      <c r="A311" s="16" t="s">
        <v>223</v>
      </c>
      <c r="B311" s="12" t="s">
        <v>807</v>
      </c>
      <c r="C311" s="40" t="s">
        <v>342</v>
      </c>
      <c r="F311" s="33"/>
    </row>
    <row r="312" spans="1:6" ht="22.5" customHeight="1" x14ac:dyDescent="0.15">
      <c r="A312" s="16" t="s">
        <v>810</v>
      </c>
      <c r="B312" s="12" t="s">
        <v>811</v>
      </c>
      <c r="C312" s="40" t="s">
        <v>23</v>
      </c>
      <c r="F312" s="33"/>
    </row>
    <row r="313" spans="1:6" ht="22.5" customHeight="1" x14ac:dyDescent="0.15">
      <c r="A313" s="16" t="s">
        <v>813</v>
      </c>
      <c r="B313" s="12" t="s">
        <v>814</v>
      </c>
      <c r="C313" s="40" t="s">
        <v>23</v>
      </c>
      <c r="F313" s="33"/>
    </row>
    <row r="314" spans="1:6" ht="22.5" customHeight="1" x14ac:dyDescent="0.15">
      <c r="A314" s="16" t="s">
        <v>600</v>
      </c>
      <c r="B314" s="12" t="s">
        <v>815</v>
      </c>
      <c r="C314" s="40" t="s">
        <v>342</v>
      </c>
      <c r="F314" s="33"/>
    </row>
    <row r="315" spans="1:6" ht="22.5" customHeight="1" x14ac:dyDescent="0.15">
      <c r="A315" s="16" t="s">
        <v>818</v>
      </c>
      <c r="B315" s="12" t="s">
        <v>819</v>
      </c>
      <c r="C315" s="40" t="s">
        <v>23</v>
      </c>
      <c r="F315" s="33"/>
    </row>
    <row r="316" spans="1:6" ht="22.5" customHeight="1" x14ac:dyDescent="0.15">
      <c r="A316" s="16" t="s">
        <v>822</v>
      </c>
      <c r="B316" s="12" t="s">
        <v>823</v>
      </c>
      <c r="C316" s="40" t="s">
        <v>136</v>
      </c>
      <c r="F316" s="33"/>
    </row>
    <row r="317" spans="1:6" ht="22.5" customHeight="1" x14ac:dyDescent="0.15">
      <c r="A317" s="16" t="s">
        <v>822</v>
      </c>
      <c r="B317" s="12" t="s">
        <v>824</v>
      </c>
      <c r="C317" s="40" t="s">
        <v>136</v>
      </c>
      <c r="F317" s="33"/>
    </row>
    <row r="318" spans="1:6" ht="22.5" customHeight="1" x14ac:dyDescent="0.15">
      <c r="A318" s="16" t="s">
        <v>827</v>
      </c>
      <c r="B318" s="12" t="s">
        <v>828</v>
      </c>
      <c r="C318" s="40" t="s">
        <v>12</v>
      </c>
      <c r="F318" s="33"/>
    </row>
    <row r="319" spans="1:6" ht="22.5" customHeight="1" x14ac:dyDescent="0.15">
      <c r="A319" s="16" t="s">
        <v>827</v>
      </c>
      <c r="B319" s="12" t="s">
        <v>829</v>
      </c>
      <c r="C319" s="40" t="s">
        <v>23</v>
      </c>
      <c r="F319" s="33"/>
    </row>
    <row r="320" spans="1:6" ht="22.5" customHeight="1" x14ac:dyDescent="0.15">
      <c r="A320" s="16" t="s">
        <v>827</v>
      </c>
      <c r="B320" s="12" t="s">
        <v>830</v>
      </c>
      <c r="C320" s="40" t="s">
        <v>23</v>
      </c>
      <c r="F320" s="33"/>
    </row>
    <row r="321" spans="1:6" ht="22.5" customHeight="1" x14ac:dyDescent="0.15">
      <c r="A321" s="16" t="s">
        <v>832</v>
      </c>
      <c r="B321" s="12" t="s">
        <v>833</v>
      </c>
      <c r="C321" s="40" t="s">
        <v>115</v>
      </c>
      <c r="F321" s="33"/>
    </row>
    <row r="322" spans="1:6" ht="22.5" customHeight="1" x14ac:dyDescent="0.15">
      <c r="A322" s="16" t="s">
        <v>832</v>
      </c>
      <c r="B322" s="12" t="s">
        <v>834</v>
      </c>
      <c r="C322" s="40" t="s">
        <v>12</v>
      </c>
      <c r="F322" s="33"/>
    </row>
    <row r="323" spans="1:6" ht="22.5" customHeight="1" x14ac:dyDescent="0.15">
      <c r="A323" s="16" t="s">
        <v>832</v>
      </c>
      <c r="B323" s="12" t="s">
        <v>835</v>
      </c>
      <c r="C323" s="40" t="s">
        <v>18</v>
      </c>
      <c r="F323" s="33"/>
    </row>
    <row r="324" spans="1:6" ht="22.5" customHeight="1" x14ac:dyDescent="0.15">
      <c r="A324" s="16" t="s">
        <v>832</v>
      </c>
      <c r="B324" s="12" t="s">
        <v>836</v>
      </c>
      <c r="C324" s="40" t="s">
        <v>30</v>
      </c>
      <c r="F324" s="33"/>
    </row>
    <row r="325" spans="1:6" ht="22.5" customHeight="1" x14ac:dyDescent="0.15">
      <c r="A325" s="16" t="s">
        <v>832</v>
      </c>
      <c r="B325" s="12" t="s">
        <v>837</v>
      </c>
      <c r="C325" s="40" t="s">
        <v>30</v>
      </c>
      <c r="F325" s="33"/>
    </row>
    <row r="326" spans="1:6" ht="22.5" customHeight="1" x14ac:dyDescent="0.15">
      <c r="A326" s="16" t="s">
        <v>832</v>
      </c>
      <c r="B326" s="12" t="s">
        <v>838</v>
      </c>
      <c r="C326" s="40" t="s">
        <v>67</v>
      </c>
      <c r="F326" s="33"/>
    </row>
    <row r="327" spans="1:6" ht="22.5" customHeight="1" x14ac:dyDescent="0.15">
      <c r="A327" s="16" t="s">
        <v>832</v>
      </c>
      <c r="B327" s="12" t="s">
        <v>839</v>
      </c>
      <c r="C327" s="40" t="s">
        <v>18</v>
      </c>
      <c r="F327" s="33"/>
    </row>
    <row r="328" spans="1:6" ht="22.5" customHeight="1" x14ac:dyDescent="0.15">
      <c r="A328" s="16" t="s">
        <v>230</v>
      </c>
      <c r="B328" s="12" t="s">
        <v>840</v>
      </c>
      <c r="C328" s="40" t="s">
        <v>12</v>
      </c>
      <c r="F328" s="33"/>
    </row>
    <row r="329" spans="1:6" ht="22.5" customHeight="1" x14ac:dyDescent="0.15">
      <c r="A329" s="16" t="s">
        <v>230</v>
      </c>
      <c r="B329" s="12" t="s">
        <v>841</v>
      </c>
      <c r="C329" s="40" t="s">
        <v>23</v>
      </c>
      <c r="F329" s="33"/>
    </row>
    <row r="330" spans="1:6" ht="22.5" customHeight="1" x14ac:dyDescent="0.15">
      <c r="A330" s="16" t="s">
        <v>844</v>
      </c>
      <c r="B330" s="12" t="s">
        <v>845</v>
      </c>
      <c r="C330" s="40" t="s">
        <v>18</v>
      </c>
      <c r="F330" s="33"/>
    </row>
    <row r="331" spans="1:6" ht="22.5" customHeight="1" x14ac:dyDescent="0.15">
      <c r="A331" s="16" t="s">
        <v>844</v>
      </c>
      <c r="B331" s="12" t="s">
        <v>783</v>
      </c>
      <c r="C331" s="40" t="s">
        <v>18</v>
      </c>
      <c r="F331" s="33"/>
    </row>
    <row r="332" spans="1:6" ht="22.5" customHeight="1" x14ac:dyDescent="0.15">
      <c r="A332" s="16" t="s">
        <v>848</v>
      </c>
      <c r="B332" s="12" t="s">
        <v>849</v>
      </c>
      <c r="C332" s="40" t="s">
        <v>30</v>
      </c>
      <c r="F332" s="33"/>
    </row>
    <row r="333" spans="1:6" ht="22.5" customHeight="1" x14ac:dyDescent="0.15">
      <c r="A333" s="16" t="s">
        <v>848</v>
      </c>
      <c r="B333" s="12" t="s">
        <v>850</v>
      </c>
      <c r="C333" s="40" t="s">
        <v>115</v>
      </c>
      <c r="F333" s="33"/>
    </row>
    <row r="334" spans="1:6" ht="22.5" customHeight="1" x14ac:dyDescent="0.15">
      <c r="A334" s="16" t="s">
        <v>853</v>
      </c>
      <c r="B334" s="12" t="s">
        <v>854</v>
      </c>
      <c r="C334" s="40" t="s">
        <v>18</v>
      </c>
      <c r="F334" s="33"/>
    </row>
    <row r="335" spans="1:6" ht="22.5" customHeight="1" x14ac:dyDescent="0.15">
      <c r="A335" s="16" t="s">
        <v>853</v>
      </c>
      <c r="B335" s="12" t="s">
        <v>855</v>
      </c>
      <c r="C335" s="40" t="s">
        <v>12</v>
      </c>
      <c r="F335" s="33"/>
    </row>
    <row r="336" spans="1:6" ht="22.5" customHeight="1" x14ac:dyDescent="0.15">
      <c r="A336" s="16" t="s">
        <v>853</v>
      </c>
      <c r="B336" s="12" t="s">
        <v>856</v>
      </c>
      <c r="C336" s="40" t="s">
        <v>18</v>
      </c>
      <c r="F336" s="33"/>
    </row>
    <row r="337" spans="1:6" ht="22.5" customHeight="1" x14ac:dyDescent="0.15">
      <c r="A337" s="16" t="s">
        <v>853</v>
      </c>
      <c r="B337" s="12" t="s">
        <v>857</v>
      </c>
      <c r="C337" s="40" t="s">
        <v>18</v>
      </c>
      <c r="F337" s="33"/>
    </row>
    <row r="338" spans="1:6" ht="22.5" customHeight="1" x14ac:dyDescent="0.15">
      <c r="A338" s="16" t="s">
        <v>853</v>
      </c>
      <c r="B338" s="12" t="s">
        <v>858</v>
      </c>
      <c r="C338" s="40" t="s">
        <v>18</v>
      </c>
      <c r="F338" s="33"/>
    </row>
    <row r="339" spans="1:6" ht="22.5" customHeight="1" x14ac:dyDescent="0.15">
      <c r="A339" s="16" t="s">
        <v>234</v>
      </c>
      <c r="B339" s="12" t="s">
        <v>859</v>
      </c>
      <c r="C339" s="40" t="s">
        <v>30</v>
      </c>
      <c r="F339" s="33"/>
    </row>
    <row r="340" spans="1:6" ht="22.5" customHeight="1" x14ac:dyDescent="0.15">
      <c r="A340" s="16" t="s">
        <v>234</v>
      </c>
      <c r="B340" s="12" t="s">
        <v>860</v>
      </c>
      <c r="C340" s="40" t="s">
        <v>30</v>
      </c>
      <c r="F340" s="33"/>
    </row>
    <row r="341" spans="1:6" ht="22.5" customHeight="1" x14ac:dyDescent="0.15">
      <c r="A341" s="16" t="s">
        <v>234</v>
      </c>
      <c r="B341" s="12" t="s">
        <v>861</v>
      </c>
      <c r="C341" s="40" t="s">
        <v>30</v>
      </c>
      <c r="F341" s="33"/>
    </row>
    <row r="342" spans="1:6" ht="22.5" customHeight="1" x14ac:dyDescent="0.15">
      <c r="A342" s="16" t="s">
        <v>234</v>
      </c>
      <c r="B342" s="12" t="s">
        <v>862</v>
      </c>
      <c r="C342" s="40" t="s">
        <v>83</v>
      </c>
      <c r="F342" s="33"/>
    </row>
    <row r="343" spans="1:6" ht="22.5" customHeight="1" x14ac:dyDescent="0.15">
      <c r="A343" s="16" t="s">
        <v>234</v>
      </c>
      <c r="B343" s="12" t="s">
        <v>863</v>
      </c>
      <c r="C343" s="40" t="s">
        <v>30</v>
      </c>
      <c r="F343" s="33"/>
    </row>
    <row r="344" spans="1:6" ht="22.5" customHeight="1" x14ac:dyDescent="0.15">
      <c r="A344" s="16" t="s">
        <v>234</v>
      </c>
      <c r="B344" s="12" t="s">
        <v>864</v>
      </c>
      <c r="C344" s="40" t="s">
        <v>23</v>
      </c>
      <c r="F344" s="33"/>
    </row>
    <row r="345" spans="1:6" ht="22.5" customHeight="1" x14ac:dyDescent="0.15">
      <c r="A345" s="16" t="s">
        <v>234</v>
      </c>
      <c r="B345" s="12" t="s">
        <v>865</v>
      </c>
      <c r="C345" s="40" t="s">
        <v>30</v>
      </c>
      <c r="F345" s="33"/>
    </row>
    <row r="346" spans="1:6" ht="22.5" customHeight="1" x14ac:dyDescent="0.15">
      <c r="A346" s="16" t="s">
        <v>234</v>
      </c>
      <c r="B346" s="12" t="s">
        <v>866</v>
      </c>
      <c r="C346" s="40" t="s">
        <v>30</v>
      </c>
      <c r="F346" s="33"/>
    </row>
    <row r="347" spans="1:6" ht="22.5" customHeight="1" x14ac:dyDescent="0.15">
      <c r="A347" s="16" t="s">
        <v>869</v>
      </c>
      <c r="B347" s="12" t="s">
        <v>870</v>
      </c>
      <c r="C347" s="40" t="s">
        <v>18</v>
      </c>
      <c r="F347" s="33"/>
    </row>
    <row r="348" spans="1:6" ht="22.5" customHeight="1" x14ac:dyDescent="0.15">
      <c r="A348" s="16" t="s">
        <v>869</v>
      </c>
      <c r="B348" s="12" t="s">
        <v>871</v>
      </c>
      <c r="C348" s="40" t="s">
        <v>30</v>
      </c>
      <c r="F348" s="33"/>
    </row>
    <row r="349" spans="1:6" ht="22.5" customHeight="1" x14ac:dyDescent="0.15">
      <c r="A349" s="16" t="s">
        <v>869</v>
      </c>
      <c r="B349" s="12" t="s">
        <v>872</v>
      </c>
      <c r="C349" s="40" t="s">
        <v>30</v>
      </c>
      <c r="F349" s="33"/>
    </row>
    <row r="350" spans="1:6" ht="22.5" customHeight="1" x14ac:dyDescent="0.15">
      <c r="A350" s="16" t="s">
        <v>869</v>
      </c>
      <c r="B350" s="12" t="s">
        <v>873</v>
      </c>
      <c r="C350" s="40" t="s">
        <v>23</v>
      </c>
      <c r="F350" s="33"/>
    </row>
    <row r="351" spans="1:6" ht="22.5" customHeight="1" x14ac:dyDescent="0.15">
      <c r="A351" s="16" t="s">
        <v>27</v>
      </c>
      <c r="B351" s="12" t="s">
        <v>874</v>
      </c>
      <c r="C351" s="40" t="s">
        <v>30</v>
      </c>
      <c r="F351" s="33"/>
    </row>
    <row r="352" spans="1:6" ht="22.5" customHeight="1" x14ac:dyDescent="0.15">
      <c r="A352" s="16" t="s">
        <v>81</v>
      </c>
      <c r="B352" s="12" t="s">
        <v>875</v>
      </c>
      <c r="C352" s="40" t="s">
        <v>18</v>
      </c>
      <c r="F352" s="33"/>
    </row>
    <row r="353" spans="1:6" ht="22.5" customHeight="1" x14ac:dyDescent="0.15">
      <c r="A353" s="16" t="s">
        <v>249</v>
      </c>
      <c r="B353" s="12" t="s">
        <v>876</v>
      </c>
      <c r="C353" s="40" t="s">
        <v>88</v>
      </c>
      <c r="F353" s="33"/>
    </row>
    <row r="354" spans="1:6" ht="22.5" customHeight="1" x14ac:dyDescent="0.15">
      <c r="A354" s="16" t="s">
        <v>249</v>
      </c>
      <c r="B354" s="12" t="s">
        <v>876</v>
      </c>
      <c r="C354" s="40" t="s">
        <v>88</v>
      </c>
      <c r="F354" s="33"/>
    </row>
    <row r="355" spans="1:6" ht="22.5" customHeight="1" x14ac:dyDescent="0.15">
      <c r="A355" s="16" t="s">
        <v>249</v>
      </c>
      <c r="B355" s="12" t="s">
        <v>876</v>
      </c>
      <c r="C355" s="40" t="s">
        <v>88</v>
      </c>
      <c r="F355" s="33"/>
    </row>
    <row r="356" spans="1:6" ht="22.5" customHeight="1" x14ac:dyDescent="0.15">
      <c r="A356" s="16" t="s">
        <v>249</v>
      </c>
      <c r="B356" s="12" t="s">
        <v>877</v>
      </c>
      <c r="C356" s="40" t="s">
        <v>30</v>
      </c>
      <c r="F356" s="33"/>
    </row>
    <row r="357" spans="1:6" ht="22.5" customHeight="1" x14ac:dyDescent="0.15">
      <c r="A357" s="16" t="s">
        <v>249</v>
      </c>
      <c r="B357" s="12" t="s">
        <v>878</v>
      </c>
      <c r="C357" s="40" t="s">
        <v>30</v>
      </c>
      <c r="F357" s="33"/>
    </row>
    <row r="358" spans="1:6" ht="22.5" customHeight="1" x14ac:dyDescent="0.15">
      <c r="A358" s="16" t="s">
        <v>249</v>
      </c>
      <c r="B358" s="12" t="s">
        <v>879</v>
      </c>
      <c r="C358" s="40" t="s">
        <v>30</v>
      </c>
      <c r="F358" s="33"/>
    </row>
    <row r="359" spans="1:6" ht="22.5" customHeight="1" x14ac:dyDescent="0.15">
      <c r="A359" s="16" t="s">
        <v>249</v>
      </c>
      <c r="B359" s="12" t="s">
        <v>880</v>
      </c>
      <c r="C359" s="40" t="s">
        <v>30</v>
      </c>
      <c r="F359" s="33"/>
    </row>
    <row r="360" spans="1:6" ht="22.5" customHeight="1" x14ac:dyDescent="0.15">
      <c r="A360" s="16" t="s">
        <v>249</v>
      </c>
      <c r="B360" s="12" t="s">
        <v>881</v>
      </c>
      <c r="C360" s="40" t="s">
        <v>30</v>
      </c>
      <c r="F360" s="33"/>
    </row>
    <row r="361" spans="1:6" ht="22.5" customHeight="1" x14ac:dyDescent="0.15">
      <c r="A361" s="16" t="s">
        <v>249</v>
      </c>
      <c r="B361" s="12" t="s">
        <v>882</v>
      </c>
      <c r="C361" s="40" t="s">
        <v>30</v>
      </c>
      <c r="F361" s="33"/>
    </row>
    <row r="362" spans="1:6" ht="22.5" customHeight="1" x14ac:dyDescent="0.15">
      <c r="A362" s="16" t="s">
        <v>249</v>
      </c>
      <c r="B362" s="12" t="s">
        <v>883</v>
      </c>
      <c r="C362" s="40" t="s">
        <v>30</v>
      </c>
      <c r="F362" s="33"/>
    </row>
    <row r="363" spans="1:6" ht="22.5" customHeight="1" x14ac:dyDescent="0.15">
      <c r="A363" s="16" t="s">
        <v>249</v>
      </c>
      <c r="B363" s="12" t="s">
        <v>884</v>
      </c>
      <c r="C363" s="40" t="s">
        <v>88</v>
      </c>
      <c r="F363" s="33"/>
    </row>
    <row r="364" spans="1:6" ht="22.5" customHeight="1" x14ac:dyDescent="0.15">
      <c r="A364" s="16" t="s">
        <v>887</v>
      </c>
      <c r="B364" s="12" t="s">
        <v>888</v>
      </c>
      <c r="C364" s="40" t="s">
        <v>23</v>
      </c>
      <c r="F364" s="33"/>
    </row>
    <row r="365" spans="1:6" ht="22.5" customHeight="1" x14ac:dyDescent="0.15">
      <c r="A365" s="16" t="s">
        <v>887</v>
      </c>
      <c r="B365" s="12" t="s">
        <v>889</v>
      </c>
      <c r="C365" s="40" t="s">
        <v>18</v>
      </c>
      <c r="F365" s="33"/>
    </row>
    <row r="366" spans="1:6" ht="22.5" customHeight="1" x14ac:dyDescent="0.15">
      <c r="A366" s="16" t="s">
        <v>887</v>
      </c>
      <c r="B366" s="12" t="s">
        <v>890</v>
      </c>
      <c r="C366" s="40" t="s">
        <v>18</v>
      </c>
      <c r="F366" s="33"/>
    </row>
    <row r="367" spans="1:6" ht="22.5" customHeight="1" x14ac:dyDescent="0.15">
      <c r="A367" s="16" t="s">
        <v>893</v>
      </c>
      <c r="B367" s="12" t="s">
        <v>894</v>
      </c>
      <c r="C367" s="40" t="s">
        <v>23</v>
      </c>
      <c r="F367" s="33"/>
    </row>
    <row r="368" spans="1:6" ht="22.5" customHeight="1" x14ac:dyDescent="0.15">
      <c r="A368" s="16" t="s">
        <v>893</v>
      </c>
      <c r="B368" s="12" t="s">
        <v>895</v>
      </c>
      <c r="C368" s="40" t="s">
        <v>23</v>
      </c>
      <c r="F368" s="33"/>
    </row>
    <row r="369" spans="1:6" ht="22.5" customHeight="1" x14ac:dyDescent="0.15">
      <c r="A369" s="16" t="s">
        <v>893</v>
      </c>
      <c r="B369" s="12" t="s">
        <v>896</v>
      </c>
      <c r="C369" s="40" t="s">
        <v>88</v>
      </c>
      <c r="F369" s="33"/>
    </row>
    <row r="370" spans="1:6" ht="22.5" customHeight="1" x14ac:dyDescent="0.15">
      <c r="A370" s="16" t="s">
        <v>893</v>
      </c>
      <c r="B370" s="12" t="s">
        <v>897</v>
      </c>
      <c r="C370" s="40" t="s">
        <v>88</v>
      </c>
      <c r="F370" s="33"/>
    </row>
    <row r="371" spans="1:6" ht="22.5" customHeight="1" x14ac:dyDescent="0.15">
      <c r="A371" s="16" t="s">
        <v>893</v>
      </c>
      <c r="B371" s="12" t="s">
        <v>898</v>
      </c>
      <c r="C371" s="40" t="s">
        <v>88</v>
      </c>
      <c r="F371" s="33"/>
    </row>
    <row r="372" spans="1:6" ht="22.5" customHeight="1" x14ac:dyDescent="0.15">
      <c r="A372" s="16" t="s">
        <v>901</v>
      </c>
      <c r="B372" s="12" t="s">
        <v>902</v>
      </c>
      <c r="C372" s="40" t="s">
        <v>23</v>
      </c>
      <c r="F372" s="33"/>
    </row>
    <row r="373" spans="1:6" ht="22.5" customHeight="1" x14ac:dyDescent="0.15">
      <c r="A373" s="16" t="s">
        <v>256</v>
      </c>
      <c r="B373" s="12" t="s">
        <v>903</v>
      </c>
      <c r="C373" s="40" t="s">
        <v>136</v>
      </c>
      <c r="F373" s="33"/>
    </row>
    <row r="374" spans="1:6" ht="22.5" customHeight="1" x14ac:dyDescent="0.15">
      <c r="A374" s="16" t="s">
        <v>256</v>
      </c>
      <c r="B374" s="12" t="s">
        <v>904</v>
      </c>
      <c r="C374" s="40" t="s">
        <v>136</v>
      </c>
      <c r="F374" s="33"/>
    </row>
    <row r="375" spans="1:6" ht="22.5" customHeight="1" x14ac:dyDescent="0.15">
      <c r="A375" s="16" t="s">
        <v>256</v>
      </c>
      <c r="B375" s="12" t="s">
        <v>906</v>
      </c>
      <c r="C375" s="40" t="s">
        <v>136</v>
      </c>
      <c r="F375" s="33"/>
    </row>
    <row r="376" spans="1:6" ht="22.5" customHeight="1" x14ac:dyDescent="0.15">
      <c r="A376" s="16" t="s">
        <v>256</v>
      </c>
      <c r="B376" s="12" t="s">
        <v>907</v>
      </c>
      <c r="C376" s="40" t="s">
        <v>136</v>
      </c>
      <c r="F376" s="33"/>
    </row>
    <row r="377" spans="1:6" ht="22.5" customHeight="1" x14ac:dyDescent="0.15">
      <c r="A377" s="16" t="s">
        <v>256</v>
      </c>
      <c r="B377" s="12" t="s">
        <v>908</v>
      </c>
      <c r="C377" s="40" t="s">
        <v>136</v>
      </c>
      <c r="F377" s="33"/>
    </row>
    <row r="378" spans="1:6" ht="22.5" customHeight="1" x14ac:dyDescent="0.15">
      <c r="A378" s="16" t="s">
        <v>256</v>
      </c>
      <c r="B378" s="12" t="s">
        <v>909</v>
      </c>
      <c r="C378" s="40" t="s">
        <v>136</v>
      </c>
      <c r="F378" s="33"/>
    </row>
    <row r="379" spans="1:6" ht="22.5" customHeight="1" x14ac:dyDescent="0.15">
      <c r="A379" s="16" t="s">
        <v>256</v>
      </c>
      <c r="B379" s="12" t="s">
        <v>910</v>
      </c>
      <c r="C379" s="40" t="s">
        <v>136</v>
      </c>
      <c r="F379" s="33"/>
    </row>
    <row r="380" spans="1:6" ht="22.5" customHeight="1" x14ac:dyDescent="0.15">
      <c r="A380" s="16" t="s">
        <v>256</v>
      </c>
      <c r="B380" s="12" t="s">
        <v>911</v>
      </c>
      <c r="C380" s="40" t="s">
        <v>136</v>
      </c>
      <c r="F380" s="33"/>
    </row>
    <row r="381" spans="1:6" ht="22.5" customHeight="1" x14ac:dyDescent="0.15">
      <c r="A381" s="16" t="s">
        <v>256</v>
      </c>
      <c r="B381" s="12" t="s">
        <v>912</v>
      </c>
      <c r="C381" s="40" t="s">
        <v>136</v>
      </c>
      <c r="F381" s="33"/>
    </row>
    <row r="382" spans="1:6" ht="22.5" customHeight="1" x14ac:dyDescent="0.15">
      <c r="A382" s="16" t="s">
        <v>256</v>
      </c>
      <c r="B382" s="12" t="s">
        <v>913</v>
      </c>
      <c r="C382" s="40" t="s">
        <v>136</v>
      </c>
      <c r="F382" s="33"/>
    </row>
    <row r="383" spans="1:6" ht="22.5" customHeight="1" x14ac:dyDescent="0.15">
      <c r="A383" s="16" t="s">
        <v>256</v>
      </c>
      <c r="B383" s="12" t="s">
        <v>914</v>
      </c>
      <c r="C383" s="40" t="s">
        <v>23</v>
      </c>
      <c r="F383" s="33"/>
    </row>
    <row r="384" spans="1:6" ht="22.5" customHeight="1" x14ac:dyDescent="0.15">
      <c r="A384" s="16" t="s">
        <v>256</v>
      </c>
      <c r="B384" s="12" t="s">
        <v>915</v>
      </c>
      <c r="C384" s="40" t="s">
        <v>18</v>
      </c>
      <c r="F384" s="33"/>
    </row>
    <row r="385" spans="1:6" ht="22.5" customHeight="1" x14ac:dyDescent="0.15">
      <c r="A385" s="16" t="s">
        <v>916</v>
      </c>
      <c r="B385" s="12" t="s">
        <v>917</v>
      </c>
      <c r="C385" s="40" t="s">
        <v>18</v>
      </c>
      <c r="F385" s="33"/>
    </row>
    <row r="386" spans="1:6" ht="22.5" customHeight="1" x14ac:dyDescent="0.15">
      <c r="A386" s="16" t="s">
        <v>32</v>
      </c>
      <c r="B386" s="12" t="s">
        <v>918</v>
      </c>
      <c r="C386" s="40" t="s">
        <v>88</v>
      </c>
      <c r="F386" s="33"/>
    </row>
    <row r="387" spans="1:6" ht="22.5" customHeight="1" x14ac:dyDescent="0.15">
      <c r="A387" s="16" t="s">
        <v>32</v>
      </c>
      <c r="B387" s="12" t="s">
        <v>919</v>
      </c>
      <c r="C387" s="40" t="s">
        <v>88</v>
      </c>
      <c r="F387" s="33"/>
    </row>
    <row r="388" spans="1:6" ht="22.5" customHeight="1" x14ac:dyDescent="0.15">
      <c r="A388" s="16" t="s">
        <v>32</v>
      </c>
      <c r="B388" s="12" t="s">
        <v>920</v>
      </c>
      <c r="C388" s="40" t="s">
        <v>88</v>
      </c>
      <c r="F388" s="33"/>
    </row>
    <row r="389" spans="1:6" ht="22.5" customHeight="1" x14ac:dyDescent="0.15">
      <c r="A389" s="16" t="s">
        <v>32</v>
      </c>
      <c r="B389" s="12" t="s">
        <v>921</v>
      </c>
      <c r="C389" s="40" t="s">
        <v>88</v>
      </c>
      <c r="F389" s="33"/>
    </row>
    <row r="390" spans="1:6" ht="22.5" customHeight="1" x14ac:dyDescent="0.15">
      <c r="A390" s="16" t="s">
        <v>924</v>
      </c>
      <c r="B390" s="12" t="s">
        <v>925</v>
      </c>
      <c r="C390" s="40" t="s">
        <v>18</v>
      </c>
      <c r="F390" s="33"/>
    </row>
    <row r="391" spans="1:6" ht="22.5" customHeight="1" x14ac:dyDescent="0.15">
      <c r="A391" s="16" t="s">
        <v>928</v>
      </c>
      <c r="B391" s="12" t="s">
        <v>929</v>
      </c>
      <c r="C391" s="40" t="s">
        <v>23</v>
      </c>
      <c r="F391" s="33"/>
    </row>
    <row r="392" spans="1:6" ht="22.5" customHeight="1" x14ac:dyDescent="0.15">
      <c r="A392" s="16" t="s">
        <v>928</v>
      </c>
      <c r="B392" s="12" t="s">
        <v>930</v>
      </c>
      <c r="C392" s="40" t="s">
        <v>23</v>
      </c>
      <c r="F392" s="33"/>
    </row>
    <row r="393" spans="1:6" ht="22.5" customHeight="1" x14ac:dyDescent="0.15">
      <c r="A393" s="16" t="s">
        <v>267</v>
      </c>
      <c r="B393" s="12" t="s">
        <v>931</v>
      </c>
      <c r="C393" s="40" t="s">
        <v>88</v>
      </c>
      <c r="F393" s="33"/>
    </row>
    <row r="394" spans="1:6" ht="22.5" customHeight="1" x14ac:dyDescent="0.15">
      <c r="A394" s="16" t="s">
        <v>934</v>
      </c>
      <c r="B394" s="12" t="s">
        <v>935</v>
      </c>
      <c r="C394" s="40" t="s">
        <v>88</v>
      </c>
      <c r="F394" s="33"/>
    </row>
    <row r="395" spans="1:6" ht="22.5" customHeight="1" x14ac:dyDescent="0.15">
      <c r="A395" s="16" t="s">
        <v>934</v>
      </c>
      <c r="B395" s="12" t="s">
        <v>936</v>
      </c>
      <c r="C395" s="40" t="s">
        <v>30</v>
      </c>
      <c r="F395" s="33"/>
    </row>
    <row r="396" spans="1:6" ht="22.5" customHeight="1" x14ac:dyDescent="0.15">
      <c r="A396" s="16" t="s">
        <v>934</v>
      </c>
      <c r="B396" s="12" t="s">
        <v>937</v>
      </c>
      <c r="C396" s="40" t="s">
        <v>30</v>
      </c>
      <c r="F396" s="33"/>
    </row>
    <row r="397" spans="1:6" ht="22.5" customHeight="1" x14ac:dyDescent="0.15">
      <c r="A397" s="16" t="s">
        <v>934</v>
      </c>
      <c r="B397" s="12" t="s">
        <v>938</v>
      </c>
      <c r="C397" s="40" t="s">
        <v>12</v>
      </c>
      <c r="F397" s="33"/>
    </row>
    <row r="398" spans="1:6" ht="22.5" customHeight="1" x14ac:dyDescent="0.15">
      <c r="A398" s="16" t="s">
        <v>934</v>
      </c>
      <c r="B398" s="12" t="s">
        <v>939</v>
      </c>
      <c r="C398" s="40" t="s">
        <v>30</v>
      </c>
      <c r="F398" s="33"/>
    </row>
    <row r="399" spans="1:6" ht="22.5" customHeight="1" x14ac:dyDescent="0.15">
      <c r="A399" s="16" t="s">
        <v>934</v>
      </c>
      <c r="B399" s="12" t="s">
        <v>940</v>
      </c>
      <c r="C399" s="40" t="s">
        <v>30</v>
      </c>
      <c r="F399" s="33"/>
    </row>
    <row r="400" spans="1:6" ht="22.5" customHeight="1" x14ac:dyDescent="0.15">
      <c r="A400" s="16" t="s">
        <v>281</v>
      </c>
      <c r="B400" s="12" t="s">
        <v>941</v>
      </c>
      <c r="C400" s="40" t="s">
        <v>12</v>
      </c>
      <c r="F400" s="33"/>
    </row>
    <row r="401" spans="1:6" ht="22.5" customHeight="1" x14ac:dyDescent="0.15">
      <c r="A401" s="16" t="s">
        <v>293</v>
      </c>
      <c r="B401" s="12" t="s">
        <v>942</v>
      </c>
      <c r="C401" s="40" t="s">
        <v>88</v>
      </c>
      <c r="F401" s="33"/>
    </row>
    <row r="402" spans="1:6" ht="22.5" customHeight="1" x14ac:dyDescent="0.15">
      <c r="A402" s="16" t="s">
        <v>293</v>
      </c>
      <c r="B402" s="12" t="s">
        <v>943</v>
      </c>
      <c r="C402" s="40" t="s">
        <v>88</v>
      </c>
      <c r="F402" s="33"/>
    </row>
    <row r="403" spans="1:6" ht="22.5" customHeight="1" x14ac:dyDescent="0.15">
      <c r="A403" s="16" t="s">
        <v>946</v>
      </c>
      <c r="B403" s="12" t="s">
        <v>947</v>
      </c>
      <c r="C403" s="40" t="s">
        <v>23</v>
      </c>
      <c r="F403" s="33"/>
    </row>
    <row r="404" spans="1:6" ht="22.5" customHeight="1" x14ac:dyDescent="0.15">
      <c r="A404" s="16" t="s">
        <v>950</v>
      </c>
      <c r="B404" s="12" t="s">
        <v>951</v>
      </c>
      <c r="C404" s="40" t="s">
        <v>18</v>
      </c>
      <c r="F404" s="33"/>
    </row>
    <row r="405" spans="1:6" ht="22.5" customHeight="1" x14ac:dyDescent="0.15">
      <c r="A405" s="16" t="s">
        <v>298</v>
      </c>
      <c r="B405" s="12" t="s">
        <v>952</v>
      </c>
      <c r="C405" s="40" t="s">
        <v>12</v>
      </c>
      <c r="F405" s="33"/>
    </row>
    <row r="406" spans="1:6" ht="22.5" customHeight="1" x14ac:dyDescent="0.15">
      <c r="A406" s="16" t="s">
        <v>955</v>
      </c>
      <c r="B406" s="12" t="s">
        <v>956</v>
      </c>
      <c r="C406" s="40" t="s">
        <v>88</v>
      </c>
      <c r="F406" s="33"/>
    </row>
    <row r="407" spans="1:6" ht="22.5" customHeight="1" x14ac:dyDescent="0.15">
      <c r="A407" s="16" t="s">
        <v>37</v>
      </c>
      <c r="B407" s="12" t="s">
        <v>957</v>
      </c>
      <c r="C407" s="40" t="s">
        <v>23</v>
      </c>
      <c r="F407" s="33"/>
    </row>
    <row r="408" spans="1:6" ht="22.5" customHeight="1" x14ac:dyDescent="0.15">
      <c r="A408" s="16" t="s">
        <v>327</v>
      </c>
      <c r="B408" s="12" t="s">
        <v>958</v>
      </c>
      <c r="C408" s="40" t="s">
        <v>23</v>
      </c>
      <c r="F408" s="33"/>
    </row>
    <row r="409" spans="1:6" ht="22.5" customHeight="1" x14ac:dyDescent="0.15">
      <c r="A409" s="16" t="s">
        <v>327</v>
      </c>
      <c r="B409" s="12" t="s">
        <v>959</v>
      </c>
      <c r="C409" s="40" t="s">
        <v>88</v>
      </c>
      <c r="F409" s="33"/>
    </row>
    <row r="410" spans="1:6" ht="22.5" customHeight="1" x14ac:dyDescent="0.15">
      <c r="A410" s="16" t="s">
        <v>654</v>
      </c>
      <c r="B410" s="12" t="s">
        <v>960</v>
      </c>
      <c r="C410" s="40" t="s">
        <v>115</v>
      </c>
      <c r="F410" s="33"/>
    </row>
    <row r="411" spans="1:6" ht="22.5" customHeight="1" x14ac:dyDescent="0.15">
      <c r="A411" s="16" t="s">
        <v>654</v>
      </c>
      <c r="B411" s="12" t="s">
        <v>961</v>
      </c>
      <c r="C411" s="40" t="s">
        <v>115</v>
      </c>
      <c r="F411" s="33"/>
    </row>
    <row r="412" spans="1:6" ht="22.5" customHeight="1" x14ac:dyDescent="0.15">
      <c r="A412" s="16" t="s">
        <v>654</v>
      </c>
      <c r="B412" s="12" t="s">
        <v>962</v>
      </c>
      <c r="C412" s="40" t="s">
        <v>115</v>
      </c>
      <c r="F412" s="33"/>
    </row>
    <row r="413" spans="1:6" ht="22.5" customHeight="1" x14ac:dyDescent="0.15">
      <c r="A413" s="16" t="s">
        <v>335</v>
      </c>
      <c r="B413" s="12" t="s">
        <v>963</v>
      </c>
      <c r="C413" s="40" t="s">
        <v>342</v>
      </c>
      <c r="F413" s="33"/>
    </row>
    <row r="414" spans="1:6" ht="22.5" customHeight="1" x14ac:dyDescent="0.15">
      <c r="A414" s="16" t="s">
        <v>966</v>
      </c>
      <c r="B414" s="12" t="s">
        <v>967</v>
      </c>
      <c r="C414" s="40" t="s">
        <v>18</v>
      </c>
      <c r="F414" s="33"/>
    </row>
    <row r="415" spans="1:6" ht="22.5" customHeight="1" x14ac:dyDescent="0.15">
      <c r="A415" s="16" t="s">
        <v>966</v>
      </c>
      <c r="B415" s="12" t="s">
        <v>968</v>
      </c>
      <c r="C415" s="40" t="s">
        <v>18</v>
      </c>
      <c r="F415" s="33"/>
    </row>
    <row r="416" spans="1:6" ht="22.5" customHeight="1" x14ac:dyDescent="0.15">
      <c r="A416" s="16" t="s">
        <v>966</v>
      </c>
      <c r="B416" s="12" t="s">
        <v>969</v>
      </c>
      <c r="C416" s="40" t="s">
        <v>18</v>
      </c>
      <c r="F416" s="33"/>
    </row>
    <row r="417" spans="1:6" ht="22.5" customHeight="1" x14ac:dyDescent="0.15">
      <c r="A417" s="16" t="s">
        <v>971</v>
      </c>
      <c r="B417" s="12" t="s">
        <v>972</v>
      </c>
      <c r="C417" s="40" t="s">
        <v>30</v>
      </c>
      <c r="F417" s="33"/>
    </row>
    <row r="418" spans="1:6" ht="22.5" customHeight="1" x14ac:dyDescent="0.15">
      <c r="A418" s="16" t="s">
        <v>975</v>
      </c>
      <c r="B418" s="12" t="s">
        <v>976</v>
      </c>
      <c r="C418" s="40" t="s">
        <v>83</v>
      </c>
      <c r="F418" s="33"/>
    </row>
    <row r="419" spans="1:6" ht="22.5" customHeight="1" x14ac:dyDescent="0.15">
      <c r="A419" s="16" t="s">
        <v>975</v>
      </c>
      <c r="B419" s="12" t="s">
        <v>977</v>
      </c>
      <c r="C419" s="40" t="s">
        <v>83</v>
      </c>
      <c r="F419" s="33"/>
    </row>
    <row r="420" spans="1:6" ht="22.5" customHeight="1" x14ac:dyDescent="0.15">
      <c r="A420" s="16" t="s">
        <v>975</v>
      </c>
      <c r="B420" s="12" t="s">
        <v>978</v>
      </c>
      <c r="C420" s="40" t="s">
        <v>136</v>
      </c>
      <c r="F420" s="33"/>
    </row>
    <row r="421" spans="1:6" ht="22.5" customHeight="1" x14ac:dyDescent="0.15">
      <c r="A421" s="16" t="s">
        <v>975</v>
      </c>
      <c r="B421" s="12" t="s">
        <v>979</v>
      </c>
      <c r="C421" s="40" t="s">
        <v>136</v>
      </c>
      <c r="F421" s="33"/>
    </row>
    <row r="422" spans="1:6" ht="22.5" customHeight="1" x14ac:dyDescent="0.15">
      <c r="A422" s="16" t="s">
        <v>975</v>
      </c>
      <c r="B422" s="12" t="s">
        <v>980</v>
      </c>
      <c r="C422" s="40" t="s">
        <v>136</v>
      </c>
      <c r="F422" s="33"/>
    </row>
    <row r="423" spans="1:6" ht="22.5" customHeight="1" x14ac:dyDescent="0.15">
      <c r="A423" s="16" t="s">
        <v>345</v>
      </c>
      <c r="B423" s="12" t="s">
        <v>981</v>
      </c>
      <c r="C423" s="40" t="s">
        <v>136</v>
      </c>
      <c r="F423" s="33"/>
    </row>
    <row r="424" spans="1:6" ht="22.5" customHeight="1" x14ac:dyDescent="0.15">
      <c r="A424" s="16" t="s">
        <v>347</v>
      </c>
      <c r="B424" s="12" t="s">
        <v>982</v>
      </c>
      <c r="C424" s="40" t="s">
        <v>83</v>
      </c>
      <c r="F424" s="33"/>
    </row>
    <row r="425" spans="1:6" ht="22.5" customHeight="1" x14ac:dyDescent="0.15">
      <c r="A425" s="16" t="s">
        <v>347</v>
      </c>
      <c r="B425" s="12" t="s">
        <v>983</v>
      </c>
      <c r="C425" s="40" t="s">
        <v>83</v>
      </c>
      <c r="F425" s="33"/>
    </row>
    <row r="426" spans="1:6" ht="22.5" customHeight="1" x14ac:dyDescent="0.15">
      <c r="A426" s="16" t="s">
        <v>347</v>
      </c>
      <c r="B426" s="12" t="s">
        <v>984</v>
      </c>
      <c r="C426" s="40" t="s">
        <v>83</v>
      </c>
      <c r="F426" s="33"/>
    </row>
    <row r="427" spans="1:6" ht="22.5" customHeight="1" x14ac:dyDescent="0.15">
      <c r="A427" s="16" t="s">
        <v>347</v>
      </c>
      <c r="B427" s="12" t="s">
        <v>985</v>
      </c>
      <c r="C427" s="40" t="s">
        <v>83</v>
      </c>
      <c r="F427" s="33"/>
    </row>
    <row r="428" spans="1:6" ht="22.5" customHeight="1" x14ac:dyDescent="0.15">
      <c r="A428" s="16" t="s">
        <v>347</v>
      </c>
      <c r="B428" s="12" t="s">
        <v>986</v>
      </c>
      <c r="C428" s="40" t="s">
        <v>136</v>
      </c>
      <c r="F428" s="33"/>
    </row>
    <row r="429" spans="1:6" ht="22.5" customHeight="1" x14ac:dyDescent="0.15">
      <c r="A429" s="16" t="s">
        <v>351</v>
      </c>
      <c r="B429" s="12" t="s">
        <v>987</v>
      </c>
      <c r="C429" s="40" t="s">
        <v>12</v>
      </c>
      <c r="F429" s="33"/>
    </row>
    <row r="430" spans="1:6" ht="22.5" customHeight="1" x14ac:dyDescent="0.15">
      <c r="A430" s="16" t="s">
        <v>351</v>
      </c>
      <c r="B430" s="12" t="s">
        <v>988</v>
      </c>
      <c r="C430" s="40" t="s">
        <v>30</v>
      </c>
      <c r="F430" s="33"/>
    </row>
    <row r="431" spans="1:6" ht="22.5" customHeight="1" x14ac:dyDescent="0.15">
      <c r="A431" s="16" t="s">
        <v>351</v>
      </c>
      <c r="B431" s="12" t="s">
        <v>989</v>
      </c>
      <c r="C431" s="40" t="s">
        <v>30</v>
      </c>
      <c r="F431" s="33"/>
    </row>
    <row r="432" spans="1:6" ht="22.5" customHeight="1" x14ac:dyDescent="0.15">
      <c r="A432" s="16" t="s">
        <v>359</v>
      </c>
      <c r="B432" s="12" t="s">
        <v>990</v>
      </c>
      <c r="C432" s="40" t="s">
        <v>30</v>
      </c>
      <c r="F432" s="33"/>
    </row>
    <row r="433" spans="1:6" ht="22.5" customHeight="1" x14ac:dyDescent="0.15">
      <c r="A433" s="16" t="s">
        <v>359</v>
      </c>
      <c r="B433" s="12" t="s">
        <v>991</v>
      </c>
      <c r="C433" s="40" t="s">
        <v>30</v>
      </c>
      <c r="F433" s="33"/>
    </row>
    <row r="434" spans="1:6" ht="22.5" customHeight="1" x14ac:dyDescent="0.15">
      <c r="A434" s="16" t="s">
        <v>359</v>
      </c>
      <c r="B434" s="12" t="s">
        <v>992</v>
      </c>
      <c r="C434" s="40" t="s">
        <v>30</v>
      </c>
      <c r="F434" s="33"/>
    </row>
    <row r="435" spans="1:6" ht="22.5" customHeight="1" x14ac:dyDescent="0.15">
      <c r="A435" s="16" t="s">
        <v>359</v>
      </c>
      <c r="B435" s="12" t="s">
        <v>993</v>
      </c>
      <c r="C435" s="40" t="s">
        <v>23</v>
      </c>
      <c r="F435" s="33"/>
    </row>
    <row r="436" spans="1:6" ht="22.5" customHeight="1" x14ac:dyDescent="0.15">
      <c r="A436" s="16" t="s">
        <v>359</v>
      </c>
      <c r="B436" s="12" t="s">
        <v>994</v>
      </c>
      <c r="C436" s="40" t="s">
        <v>23</v>
      </c>
      <c r="F436" s="33"/>
    </row>
    <row r="437" spans="1:6" ht="22.5" customHeight="1" x14ac:dyDescent="0.15">
      <c r="A437" s="16" t="s">
        <v>359</v>
      </c>
      <c r="B437" s="12" t="s">
        <v>995</v>
      </c>
      <c r="C437" s="40" t="s">
        <v>23</v>
      </c>
      <c r="F437" s="33"/>
    </row>
    <row r="438" spans="1:6" ht="22.5" customHeight="1" x14ac:dyDescent="0.15">
      <c r="A438" s="16" t="s">
        <v>998</v>
      </c>
      <c r="B438" s="12" t="s">
        <v>999</v>
      </c>
      <c r="C438" s="40" t="s">
        <v>12</v>
      </c>
      <c r="F438" s="33"/>
    </row>
    <row r="439" spans="1:6" ht="22.5" customHeight="1" x14ac:dyDescent="0.15">
      <c r="A439" s="16" t="s">
        <v>364</v>
      </c>
      <c r="B439" s="12" t="s">
        <v>1000</v>
      </c>
      <c r="C439" s="40" t="s">
        <v>18</v>
      </c>
      <c r="F439" s="33"/>
    </row>
    <row r="440" spans="1:6" ht="22.5" customHeight="1" x14ac:dyDescent="0.15">
      <c r="A440" s="16" t="s">
        <v>1003</v>
      </c>
      <c r="B440" s="12" t="s">
        <v>1004</v>
      </c>
      <c r="C440" s="40" t="s">
        <v>136</v>
      </c>
      <c r="F440" s="33"/>
    </row>
    <row r="441" spans="1:6" ht="22.5" customHeight="1" x14ac:dyDescent="0.15">
      <c r="A441" s="16" t="s">
        <v>658</v>
      </c>
      <c r="B441" s="12" t="s">
        <v>1005</v>
      </c>
      <c r="C441" s="40" t="s">
        <v>30</v>
      </c>
      <c r="F441" s="33"/>
    </row>
    <row r="442" spans="1:6" ht="22.5" customHeight="1" x14ac:dyDescent="0.15">
      <c r="A442" s="16" t="s">
        <v>374</v>
      </c>
      <c r="B442" s="12" t="s">
        <v>1006</v>
      </c>
      <c r="C442" s="40" t="s">
        <v>342</v>
      </c>
      <c r="F442" s="33"/>
    </row>
    <row r="443" spans="1:6" ht="22.5" customHeight="1" x14ac:dyDescent="0.15">
      <c r="A443" s="16" t="s">
        <v>1009</v>
      </c>
      <c r="B443" s="12" t="s">
        <v>1010</v>
      </c>
      <c r="C443" s="40" t="s">
        <v>88</v>
      </c>
      <c r="F443" s="33"/>
    </row>
    <row r="444" spans="1:6" ht="22.5" customHeight="1" x14ac:dyDescent="0.15">
      <c r="A444" s="16" t="s">
        <v>1013</v>
      </c>
      <c r="B444" s="12" t="s">
        <v>1014</v>
      </c>
      <c r="C444" s="40" t="s">
        <v>18</v>
      </c>
      <c r="F444" s="33"/>
    </row>
    <row r="445" spans="1:6" ht="22.5" customHeight="1" x14ac:dyDescent="0.15">
      <c r="A445" s="16" t="s">
        <v>1013</v>
      </c>
      <c r="B445" s="12" t="s">
        <v>1015</v>
      </c>
      <c r="C445" s="40" t="s">
        <v>18</v>
      </c>
      <c r="F445" s="33"/>
    </row>
    <row r="446" spans="1:6" ht="22.5" customHeight="1" x14ac:dyDescent="0.15">
      <c r="A446" s="16" t="s">
        <v>1013</v>
      </c>
      <c r="B446" s="12" t="s">
        <v>1016</v>
      </c>
      <c r="C446" s="40" t="s">
        <v>18</v>
      </c>
      <c r="F446" s="33"/>
    </row>
    <row r="447" spans="1:6" ht="22.5" customHeight="1" x14ac:dyDescent="0.15">
      <c r="A447" s="16" t="s">
        <v>1013</v>
      </c>
      <c r="B447" s="12" t="s">
        <v>1017</v>
      </c>
      <c r="C447" s="40" t="s">
        <v>18</v>
      </c>
      <c r="F447" s="33"/>
    </row>
    <row r="448" spans="1:6" ht="22.5" customHeight="1" x14ac:dyDescent="0.15">
      <c r="A448" s="16" t="s">
        <v>379</v>
      </c>
      <c r="B448" s="12" t="s">
        <v>1018</v>
      </c>
      <c r="C448" s="40" t="s">
        <v>30</v>
      </c>
      <c r="F448" s="33"/>
    </row>
    <row r="449" spans="1:6" ht="22.5" customHeight="1" x14ac:dyDescent="0.15">
      <c r="A449" s="16" t="s">
        <v>1021</v>
      </c>
      <c r="B449" s="12" t="s">
        <v>1022</v>
      </c>
      <c r="C449" s="40" t="s">
        <v>12</v>
      </c>
      <c r="F449" s="33"/>
    </row>
    <row r="450" spans="1:6" ht="22.5" customHeight="1" x14ac:dyDescent="0.15">
      <c r="A450" s="16" t="s">
        <v>1025</v>
      </c>
      <c r="B450" s="12" t="s">
        <v>1026</v>
      </c>
      <c r="C450" s="40" t="s">
        <v>30</v>
      </c>
      <c r="F450" s="33"/>
    </row>
    <row r="451" spans="1:6" ht="22.5" customHeight="1" x14ac:dyDescent="0.15">
      <c r="A451" s="16" t="s">
        <v>1025</v>
      </c>
      <c r="B451" s="12" t="s">
        <v>1027</v>
      </c>
      <c r="C451" s="40" t="s">
        <v>30</v>
      </c>
      <c r="F451" s="33"/>
    </row>
    <row r="452" spans="1:6" ht="22.5" customHeight="1" x14ac:dyDescent="0.15">
      <c r="A452" s="16" t="s">
        <v>1025</v>
      </c>
      <c r="B452" s="12" t="s">
        <v>1028</v>
      </c>
      <c r="C452" s="40" t="s">
        <v>30</v>
      </c>
      <c r="F452" s="33"/>
    </row>
    <row r="453" spans="1:6" ht="22.5" customHeight="1" x14ac:dyDescent="0.15">
      <c r="A453" s="16" t="s">
        <v>384</v>
      </c>
      <c r="B453" s="12" t="s">
        <v>1029</v>
      </c>
      <c r="C453" s="40" t="s">
        <v>30</v>
      </c>
      <c r="F453" s="33"/>
    </row>
    <row r="454" spans="1:6" ht="22.5" customHeight="1" x14ac:dyDescent="0.15">
      <c r="A454" s="16" t="s">
        <v>1032</v>
      </c>
      <c r="B454" s="12" t="s">
        <v>1033</v>
      </c>
      <c r="C454" s="40" t="s">
        <v>342</v>
      </c>
      <c r="F454" s="33"/>
    </row>
    <row r="455" spans="1:6" ht="22.5" customHeight="1" x14ac:dyDescent="0.15">
      <c r="A455" s="16" t="s">
        <v>86</v>
      </c>
      <c r="B455" s="12" t="s">
        <v>1034</v>
      </c>
      <c r="C455" s="40" t="s">
        <v>18</v>
      </c>
      <c r="F455" s="33"/>
    </row>
    <row r="456" spans="1:6" ht="22.5" customHeight="1" x14ac:dyDescent="0.15">
      <c r="A456" s="16" t="s">
        <v>86</v>
      </c>
      <c r="B456" s="12" t="s">
        <v>1035</v>
      </c>
      <c r="C456" s="40" t="s">
        <v>88</v>
      </c>
      <c r="F456" s="33"/>
    </row>
    <row r="457" spans="1:6" ht="22.5" customHeight="1" x14ac:dyDescent="0.15">
      <c r="A457" s="16" t="s">
        <v>1038</v>
      </c>
      <c r="B457" s="12" t="s">
        <v>1039</v>
      </c>
      <c r="C457" s="40" t="s">
        <v>88</v>
      </c>
      <c r="F457" s="33"/>
    </row>
    <row r="458" spans="1:6" ht="22.5" customHeight="1" x14ac:dyDescent="0.15">
      <c r="A458" s="16" t="s">
        <v>1038</v>
      </c>
      <c r="B458" s="12" t="s">
        <v>1040</v>
      </c>
      <c r="C458" s="40" t="s">
        <v>88</v>
      </c>
      <c r="F458" s="33"/>
    </row>
    <row r="459" spans="1:6" ht="22.5" customHeight="1" x14ac:dyDescent="0.15">
      <c r="A459" s="16" t="s">
        <v>1038</v>
      </c>
      <c r="B459" s="12" t="s">
        <v>1041</v>
      </c>
      <c r="C459" s="40" t="s">
        <v>88</v>
      </c>
      <c r="F459" s="33"/>
    </row>
    <row r="460" spans="1:6" ht="22.5" customHeight="1" x14ac:dyDescent="0.15">
      <c r="A460" s="16" t="s">
        <v>1038</v>
      </c>
      <c r="B460" s="12" t="s">
        <v>1042</v>
      </c>
      <c r="C460" s="40" t="s">
        <v>88</v>
      </c>
      <c r="F460" s="33"/>
    </row>
    <row r="461" spans="1:6" ht="22.5" customHeight="1" x14ac:dyDescent="0.15">
      <c r="A461" s="16" t="s">
        <v>1038</v>
      </c>
      <c r="B461" s="12" t="s">
        <v>1043</v>
      </c>
      <c r="C461" s="40" t="s">
        <v>30</v>
      </c>
      <c r="F461" s="33"/>
    </row>
    <row r="462" spans="1:6" ht="22.5" customHeight="1" x14ac:dyDescent="0.15">
      <c r="A462" s="16" t="s">
        <v>1038</v>
      </c>
      <c r="B462" s="12" t="s">
        <v>1044</v>
      </c>
      <c r="C462" s="40" t="s">
        <v>83</v>
      </c>
      <c r="F462" s="33"/>
    </row>
    <row r="463" spans="1:6" ht="22.5" customHeight="1" x14ac:dyDescent="0.15">
      <c r="A463" s="16" t="s">
        <v>1038</v>
      </c>
      <c r="B463" s="12" t="s">
        <v>1045</v>
      </c>
      <c r="C463" s="40" t="s">
        <v>83</v>
      </c>
      <c r="F463" s="33"/>
    </row>
    <row r="464" spans="1:6" ht="22.5" customHeight="1" x14ac:dyDescent="0.15">
      <c r="A464" s="16" t="s">
        <v>1038</v>
      </c>
      <c r="B464" s="12" t="s">
        <v>1046</v>
      </c>
      <c r="C464" s="40" t="s">
        <v>12</v>
      </c>
      <c r="F464" s="33"/>
    </row>
    <row r="465" spans="1:6" ht="22.5" customHeight="1" x14ac:dyDescent="0.15">
      <c r="A465" s="16" t="s">
        <v>1038</v>
      </c>
      <c r="B465" s="12" t="s">
        <v>1047</v>
      </c>
      <c r="C465" s="40" t="s">
        <v>12</v>
      </c>
      <c r="F465" s="33"/>
    </row>
    <row r="466" spans="1:6" ht="22.5" customHeight="1" x14ac:dyDescent="0.15">
      <c r="A466" s="16" t="s">
        <v>1038</v>
      </c>
      <c r="B466" s="12" t="s">
        <v>1048</v>
      </c>
      <c r="C466" s="40" t="s">
        <v>12</v>
      </c>
      <c r="F466" s="33"/>
    </row>
    <row r="467" spans="1:6" ht="22.5" customHeight="1" x14ac:dyDescent="0.15">
      <c r="A467" s="16" t="s">
        <v>1051</v>
      </c>
      <c r="B467" s="12" t="s">
        <v>1052</v>
      </c>
      <c r="C467" s="40" t="s">
        <v>12</v>
      </c>
      <c r="F467" s="33"/>
    </row>
    <row r="468" spans="1:6" ht="22.5" customHeight="1" x14ac:dyDescent="0.15">
      <c r="A468" s="16" t="s">
        <v>1055</v>
      </c>
      <c r="B468" s="12" t="s">
        <v>1056</v>
      </c>
      <c r="C468" s="40" t="s">
        <v>18</v>
      </c>
      <c r="F468" s="33"/>
    </row>
    <row r="469" spans="1:6" ht="22.5" customHeight="1" x14ac:dyDescent="0.15">
      <c r="A469" s="16" t="s">
        <v>1057</v>
      </c>
      <c r="B469" s="12" t="s">
        <v>801</v>
      </c>
      <c r="C469" s="40" t="s">
        <v>12</v>
      </c>
      <c r="F469" s="33"/>
    </row>
    <row r="470" spans="1:6" ht="22.5" customHeight="1" x14ac:dyDescent="0.15">
      <c r="A470" s="16" t="s">
        <v>1057</v>
      </c>
      <c r="B470" s="12" t="s">
        <v>802</v>
      </c>
      <c r="C470" s="40" t="s">
        <v>12</v>
      </c>
      <c r="F470" s="33"/>
    </row>
    <row r="471" spans="1:6" ht="22.5" customHeight="1" x14ac:dyDescent="0.15">
      <c r="A471" s="16" t="s">
        <v>1057</v>
      </c>
      <c r="B471" s="12" t="s">
        <v>803</v>
      </c>
      <c r="C471" s="40" t="s">
        <v>115</v>
      </c>
      <c r="F471" s="33"/>
    </row>
    <row r="472" spans="1:6" ht="22.5" customHeight="1" x14ac:dyDescent="0.15">
      <c r="A472" s="16" t="s">
        <v>1057</v>
      </c>
      <c r="B472" s="12" t="s">
        <v>804</v>
      </c>
      <c r="C472" s="40" t="s">
        <v>23</v>
      </c>
      <c r="F472" s="33"/>
    </row>
    <row r="473" spans="1:6" ht="22.5" customHeight="1" x14ac:dyDescent="0.15">
      <c r="A473" s="16" t="s">
        <v>1057</v>
      </c>
      <c r="B473" s="12" t="s">
        <v>805</v>
      </c>
      <c r="C473" s="40" t="s">
        <v>23</v>
      </c>
      <c r="F473" s="33"/>
    </row>
    <row r="474" spans="1:6" ht="22.5" customHeight="1" x14ac:dyDescent="0.15">
      <c r="A474" s="16" t="s">
        <v>1057</v>
      </c>
      <c r="B474" s="12" t="s">
        <v>806</v>
      </c>
      <c r="C474" s="40" t="s">
        <v>18</v>
      </c>
      <c r="F474" s="33"/>
    </row>
    <row r="475" spans="1:6" ht="22.5" customHeight="1" x14ac:dyDescent="0.15">
      <c r="A475" s="16" t="s">
        <v>391</v>
      </c>
      <c r="B475" s="12" t="s">
        <v>1058</v>
      </c>
      <c r="C475" s="40" t="s">
        <v>18</v>
      </c>
      <c r="F475" s="33"/>
    </row>
    <row r="476" spans="1:6" ht="22.5" customHeight="1" x14ac:dyDescent="0.15">
      <c r="A476" s="16" t="s">
        <v>391</v>
      </c>
      <c r="B476" s="12" t="s">
        <v>1059</v>
      </c>
      <c r="C476" s="40" t="s">
        <v>136</v>
      </c>
      <c r="F476" s="33"/>
    </row>
    <row r="477" spans="1:6" ht="22.5" customHeight="1" x14ac:dyDescent="0.15">
      <c r="A477" s="16" t="s">
        <v>391</v>
      </c>
      <c r="B477" s="12" t="s">
        <v>1060</v>
      </c>
      <c r="C477" s="40" t="s">
        <v>12</v>
      </c>
      <c r="F477" s="33"/>
    </row>
    <row r="478" spans="1:6" ht="22.5" customHeight="1" x14ac:dyDescent="0.15">
      <c r="A478" s="16" t="s">
        <v>391</v>
      </c>
      <c r="B478" s="12" t="s">
        <v>1061</v>
      </c>
      <c r="C478" s="40" t="s">
        <v>12</v>
      </c>
      <c r="F478" s="33"/>
    </row>
    <row r="479" spans="1:6" ht="22.5" customHeight="1" x14ac:dyDescent="0.15">
      <c r="A479" s="16" t="s">
        <v>391</v>
      </c>
      <c r="B479" s="12" t="s">
        <v>1062</v>
      </c>
      <c r="C479" s="40" t="s">
        <v>12</v>
      </c>
      <c r="F479" s="33"/>
    </row>
    <row r="480" spans="1:6" ht="22.5" customHeight="1" x14ac:dyDescent="0.15">
      <c r="A480" s="16" t="s">
        <v>1065</v>
      </c>
      <c r="B480" s="12" t="s">
        <v>1006</v>
      </c>
      <c r="C480" s="40" t="s">
        <v>342</v>
      </c>
      <c r="F480" s="33"/>
    </row>
    <row r="481" spans="1:6" ht="22.5" customHeight="1" x14ac:dyDescent="0.15">
      <c r="A481" s="16" t="s">
        <v>395</v>
      </c>
      <c r="B481" s="12" t="s">
        <v>1066</v>
      </c>
      <c r="C481" s="40" t="s">
        <v>18</v>
      </c>
      <c r="F481" s="33"/>
    </row>
    <row r="482" spans="1:6" ht="22.5" customHeight="1" x14ac:dyDescent="0.15">
      <c r="A482" s="16" t="s">
        <v>395</v>
      </c>
      <c r="B482" s="12" t="s">
        <v>1067</v>
      </c>
      <c r="C482" s="40" t="s">
        <v>77</v>
      </c>
      <c r="F482" s="33"/>
    </row>
    <row r="483" spans="1:6" ht="22.5" customHeight="1" x14ac:dyDescent="0.15">
      <c r="A483" s="16" t="s">
        <v>395</v>
      </c>
      <c r="B483" s="12" t="s">
        <v>1068</v>
      </c>
      <c r="C483" s="40" t="s">
        <v>18</v>
      </c>
      <c r="F483" s="33"/>
    </row>
    <row r="484" spans="1:6" ht="22.5" customHeight="1" x14ac:dyDescent="0.15">
      <c r="A484" s="16" t="s">
        <v>395</v>
      </c>
      <c r="B484" s="12" t="s">
        <v>1069</v>
      </c>
      <c r="C484" s="40" t="s">
        <v>12</v>
      </c>
      <c r="F484" s="33"/>
    </row>
    <row r="485" spans="1:6" ht="22.5" customHeight="1" x14ac:dyDescent="0.15">
      <c r="A485" s="16" t="s">
        <v>395</v>
      </c>
      <c r="B485" s="12" t="s">
        <v>1070</v>
      </c>
      <c r="C485" s="40" t="s">
        <v>18</v>
      </c>
      <c r="F485" s="33"/>
    </row>
    <row r="486" spans="1:6" ht="22.5" customHeight="1" x14ac:dyDescent="0.15">
      <c r="A486" s="16" t="s">
        <v>395</v>
      </c>
      <c r="B486" s="12" t="s">
        <v>1071</v>
      </c>
      <c r="C486" s="40" t="s">
        <v>18</v>
      </c>
      <c r="F486" s="33"/>
    </row>
    <row r="487" spans="1:6" ht="22.5" customHeight="1" x14ac:dyDescent="0.15">
      <c r="A487" s="16" t="s">
        <v>395</v>
      </c>
      <c r="B487" s="12" t="s">
        <v>1072</v>
      </c>
      <c r="C487" s="40" t="s">
        <v>18</v>
      </c>
      <c r="F487" s="33"/>
    </row>
    <row r="488" spans="1:6" ht="22.5" customHeight="1" x14ac:dyDescent="0.15">
      <c r="A488" s="16" t="s">
        <v>395</v>
      </c>
      <c r="B488" s="12" t="s">
        <v>1073</v>
      </c>
      <c r="C488" s="40" t="s">
        <v>18</v>
      </c>
      <c r="F488" s="33"/>
    </row>
    <row r="489" spans="1:6" ht="22.5" customHeight="1" x14ac:dyDescent="0.15">
      <c r="A489" s="16" t="s">
        <v>395</v>
      </c>
      <c r="B489" s="12" t="s">
        <v>1074</v>
      </c>
      <c r="C489" s="40" t="s">
        <v>18</v>
      </c>
      <c r="F489" s="33"/>
    </row>
    <row r="490" spans="1:6" ht="22.5" customHeight="1" x14ac:dyDescent="0.15">
      <c r="A490" s="16" t="s">
        <v>395</v>
      </c>
      <c r="B490" s="12" t="s">
        <v>1075</v>
      </c>
      <c r="C490" s="40" t="s">
        <v>18</v>
      </c>
      <c r="F490" s="33"/>
    </row>
    <row r="491" spans="1:6" ht="22.5" customHeight="1" x14ac:dyDescent="0.15">
      <c r="A491" s="16" t="s">
        <v>395</v>
      </c>
      <c r="B491" s="12" t="s">
        <v>1076</v>
      </c>
      <c r="C491" s="40" t="s">
        <v>18</v>
      </c>
      <c r="F491" s="33"/>
    </row>
    <row r="492" spans="1:6" ht="22.5" customHeight="1" x14ac:dyDescent="0.15">
      <c r="A492" s="16" t="s">
        <v>395</v>
      </c>
      <c r="B492" s="12" t="s">
        <v>1077</v>
      </c>
      <c r="C492" s="40" t="s">
        <v>12</v>
      </c>
      <c r="F492" s="33"/>
    </row>
    <row r="493" spans="1:6" ht="22.5" customHeight="1" x14ac:dyDescent="0.15">
      <c r="A493" s="16" t="s">
        <v>395</v>
      </c>
      <c r="B493" s="12" t="s">
        <v>1078</v>
      </c>
      <c r="C493" s="40" t="s">
        <v>18</v>
      </c>
      <c r="F493" s="33"/>
    </row>
    <row r="494" spans="1:6" ht="22.5" customHeight="1" x14ac:dyDescent="0.15">
      <c r="A494" s="16" t="s">
        <v>395</v>
      </c>
      <c r="B494" s="12" t="s">
        <v>1079</v>
      </c>
      <c r="C494" s="40" t="s">
        <v>88</v>
      </c>
      <c r="F494" s="33"/>
    </row>
    <row r="495" spans="1:6" ht="22.5" customHeight="1" x14ac:dyDescent="0.15">
      <c r="A495" s="16" t="s">
        <v>395</v>
      </c>
      <c r="B495" s="12" t="s">
        <v>1080</v>
      </c>
      <c r="C495" s="40" t="s">
        <v>88</v>
      </c>
      <c r="F495" s="33"/>
    </row>
    <row r="496" spans="1:6" ht="22.5" customHeight="1" x14ac:dyDescent="0.15">
      <c r="A496" s="16" t="s">
        <v>395</v>
      </c>
      <c r="B496" s="12" t="s">
        <v>1081</v>
      </c>
      <c r="C496" s="40" t="s">
        <v>88</v>
      </c>
      <c r="F496" s="33"/>
    </row>
    <row r="497" spans="1:6" ht="22.5" customHeight="1" x14ac:dyDescent="0.15">
      <c r="A497" s="16" t="s">
        <v>395</v>
      </c>
      <c r="B497" s="12" t="s">
        <v>1082</v>
      </c>
      <c r="C497" s="40" t="s">
        <v>23</v>
      </c>
      <c r="F497" s="33"/>
    </row>
    <row r="498" spans="1:6" ht="22.5" customHeight="1" x14ac:dyDescent="0.15">
      <c r="A498" s="16" t="s">
        <v>395</v>
      </c>
      <c r="B498" s="12" t="s">
        <v>1083</v>
      </c>
      <c r="C498" s="40" t="s">
        <v>23</v>
      </c>
      <c r="F498" s="33"/>
    </row>
    <row r="499" spans="1:6" ht="22.5" customHeight="1" x14ac:dyDescent="0.15">
      <c r="A499" s="16" t="s">
        <v>395</v>
      </c>
      <c r="B499" s="12" t="s">
        <v>1084</v>
      </c>
      <c r="C499" s="40" t="s">
        <v>12</v>
      </c>
      <c r="F499" s="33"/>
    </row>
    <row r="500" spans="1:6" ht="22.5" customHeight="1" x14ac:dyDescent="0.15">
      <c r="A500" s="16" t="s">
        <v>395</v>
      </c>
      <c r="B500" s="12" t="s">
        <v>1085</v>
      </c>
      <c r="C500" s="40" t="s">
        <v>12</v>
      </c>
      <c r="F500" s="33"/>
    </row>
    <row r="501" spans="1:6" ht="22.5" customHeight="1" x14ac:dyDescent="0.15">
      <c r="A501" s="16" t="s">
        <v>1088</v>
      </c>
      <c r="B501" s="12" t="s">
        <v>1089</v>
      </c>
      <c r="C501" s="40" t="s">
        <v>18</v>
      </c>
      <c r="F501" s="33"/>
    </row>
    <row r="502" spans="1:6" ht="22.5" customHeight="1" x14ac:dyDescent="0.15">
      <c r="C502" s="33"/>
      <c r="F502" s="33"/>
    </row>
    <row r="503" spans="1:6" ht="22.5" customHeight="1" x14ac:dyDescent="0.15">
      <c r="C503" s="33"/>
      <c r="F503" s="33"/>
    </row>
    <row r="504" spans="1:6" ht="22.5" customHeight="1" x14ac:dyDescent="0.15">
      <c r="C504" s="33"/>
      <c r="F504" s="33"/>
    </row>
    <row r="505" spans="1:6" ht="22.5" customHeight="1" x14ac:dyDescent="0.15">
      <c r="C505" s="33"/>
      <c r="F505" s="33"/>
    </row>
    <row r="506" spans="1:6" ht="22.5" customHeight="1" x14ac:dyDescent="0.15">
      <c r="C506" s="33"/>
      <c r="F506" s="33"/>
    </row>
    <row r="507" spans="1:6" ht="22.5" customHeight="1" x14ac:dyDescent="0.15">
      <c r="C507" s="33"/>
      <c r="F507" s="33"/>
    </row>
    <row r="508" spans="1:6" ht="22.5" customHeight="1" x14ac:dyDescent="0.15">
      <c r="C508" s="33"/>
      <c r="F508" s="33"/>
    </row>
    <row r="509" spans="1:6" ht="22.5" customHeight="1" x14ac:dyDescent="0.15">
      <c r="C509" s="33"/>
      <c r="F509" s="33"/>
    </row>
    <row r="510" spans="1:6" ht="22.5" customHeight="1" x14ac:dyDescent="0.15">
      <c r="C510" s="33"/>
      <c r="F510" s="33"/>
    </row>
    <row r="511" spans="1:6" ht="22.5" customHeight="1" x14ac:dyDescent="0.15">
      <c r="C511" s="33"/>
      <c r="F511" s="33"/>
    </row>
    <row r="512" spans="1:6" ht="22.5" customHeight="1" x14ac:dyDescent="0.15">
      <c r="C512" s="33"/>
      <c r="F512" s="33"/>
    </row>
    <row r="513" spans="3:6" ht="22.5" customHeight="1" x14ac:dyDescent="0.15">
      <c r="C513" s="33"/>
      <c r="F513" s="33"/>
    </row>
    <row r="514" spans="3:6" ht="22.5" customHeight="1" x14ac:dyDescent="0.15">
      <c r="C514" s="33"/>
      <c r="F514" s="33"/>
    </row>
    <row r="515" spans="3:6" ht="22.5" customHeight="1" x14ac:dyDescent="0.15">
      <c r="C515" s="33"/>
      <c r="F515" s="33"/>
    </row>
    <row r="516" spans="3:6" ht="22.5" customHeight="1" x14ac:dyDescent="0.15">
      <c r="C516" s="33"/>
      <c r="F516" s="33"/>
    </row>
    <row r="517" spans="3:6" ht="22.5" customHeight="1" x14ac:dyDescent="0.15">
      <c r="C517" s="33"/>
      <c r="F517" s="33"/>
    </row>
    <row r="518" spans="3:6" ht="22.5" customHeight="1" x14ac:dyDescent="0.15">
      <c r="C518" s="33"/>
      <c r="F518" s="33"/>
    </row>
    <row r="519" spans="3:6" ht="22.5" customHeight="1" x14ac:dyDescent="0.15">
      <c r="C519" s="33"/>
      <c r="F519" s="33"/>
    </row>
    <row r="520" spans="3:6" ht="22.5" customHeight="1" x14ac:dyDescent="0.15">
      <c r="C520" s="33"/>
      <c r="F520" s="33"/>
    </row>
    <row r="521" spans="3:6" ht="22.5" customHeight="1" x14ac:dyDescent="0.15">
      <c r="C521" s="33"/>
      <c r="F521" s="33"/>
    </row>
    <row r="522" spans="3:6" ht="22.5" customHeight="1" x14ac:dyDescent="0.15">
      <c r="C522" s="33"/>
      <c r="F522" s="33"/>
    </row>
    <row r="523" spans="3:6" ht="22.5" customHeight="1" x14ac:dyDescent="0.15">
      <c r="C523" s="33"/>
      <c r="F523" s="33"/>
    </row>
    <row r="524" spans="3:6" ht="22.5" customHeight="1" x14ac:dyDescent="0.15">
      <c r="C524" s="33"/>
      <c r="F524" s="33"/>
    </row>
    <row r="525" spans="3:6" ht="22.5" customHeight="1" x14ac:dyDescent="0.15">
      <c r="C525" s="33"/>
      <c r="F525" s="33"/>
    </row>
    <row r="526" spans="3:6" ht="22.5" customHeight="1" x14ac:dyDescent="0.15">
      <c r="C526" s="33"/>
      <c r="F526" s="33"/>
    </row>
    <row r="527" spans="3:6" ht="22.5" customHeight="1" x14ac:dyDescent="0.15">
      <c r="C527" s="33"/>
      <c r="F527" s="33"/>
    </row>
    <row r="528" spans="3:6" ht="22.5" customHeight="1" x14ac:dyDescent="0.15">
      <c r="C528" s="33"/>
      <c r="F528" s="33"/>
    </row>
    <row r="529" spans="3:6" ht="22.5" customHeight="1" x14ac:dyDescent="0.15">
      <c r="C529" s="33"/>
      <c r="F529" s="33"/>
    </row>
    <row r="530" spans="3:6" ht="22.5" customHeight="1" x14ac:dyDescent="0.15">
      <c r="C530" s="33"/>
      <c r="F530" s="33"/>
    </row>
    <row r="531" spans="3:6" ht="22.5" customHeight="1" x14ac:dyDescent="0.15">
      <c r="C531" s="33"/>
      <c r="F531" s="33"/>
    </row>
    <row r="532" spans="3:6" ht="22.5" customHeight="1" x14ac:dyDescent="0.15">
      <c r="C532" s="33"/>
      <c r="F532" s="33"/>
    </row>
    <row r="533" spans="3:6" ht="22.5" customHeight="1" x14ac:dyDescent="0.15">
      <c r="C533" s="33"/>
      <c r="F533" s="33"/>
    </row>
    <row r="534" spans="3:6" ht="22.5" customHeight="1" x14ac:dyDescent="0.15">
      <c r="C534" s="33"/>
      <c r="F534" s="33"/>
    </row>
    <row r="535" spans="3:6" ht="22.5" customHeight="1" x14ac:dyDescent="0.15">
      <c r="C535" s="33"/>
      <c r="F535" s="33"/>
    </row>
    <row r="536" spans="3:6" ht="22.5" customHeight="1" x14ac:dyDescent="0.15">
      <c r="C536" s="33"/>
      <c r="F536" s="33"/>
    </row>
    <row r="537" spans="3:6" ht="22.5" customHeight="1" x14ac:dyDescent="0.15">
      <c r="C537" s="33"/>
      <c r="F537" s="33"/>
    </row>
    <row r="538" spans="3:6" ht="22.5" customHeight="1" x14ac:dyDescent="0.15">
      <c r="C538" s="33"/>
      <c r="F538" s="33"/>
    </row>
    <row r="539" spans="3:6" ht="22.5" customHeight="1" x14ac:dyDescent="0.15">
      <c r="C539" s="33"/>
      <c r="F539" s="33"/>
    </row>
    <row r="540" spans="3:6" ht="22.5" customHeight="1" x14ac:dyDescent="0.15">
      <c r="C540" s="33"/>
      <c r="F540" s="33"/>
    </row>
    <row r="541" spans="3:6" ht="22.5" customHeight="1" x14ac:dyDescent="0.15">
      <c r="C541" s="33"/>
      <c r="F541" s="33"/>
    </row>
    <row r="542" spans="3:6" ht="22.5" customHeight="1" x14ac:dyDescent="0.15">
      <c r="C542" s="33"/>
      <c r="F542" s="33"/>
    </row>
    <row r="543" spans="3:6" ht="22.5" customHeight="1" x14ac:dyDescent="0.15">
      <c r="C543" s="33"/>
      <c r="F543" s="33"/>
    </row>
    <row r="544" spans="3:6" ht="22.5" customHeight="1" x14ac:dyDescent="0.15">
      <c r="C544" s="33"/>
      <c r="F544" s="33"/>
    </row>
    <row r="545" spans="3:6" ht="22.5" customHeight="1" x14ac:dyDescent="0.15">
      <c r="C545" s="33"/>
      <c r="F545" s="33"/>
    </row>
    <row r="546" spans="3:6" ht="22.5" customHeight="1" x14ac:dyDescent="0.15">
      <c r="C546" s="33"/>
      <c r="F546" s="33"/>
    </row>
    <row r="547" spans="3:6" ht="22.5" customHeight="1" x14ac:dyDescent="0.15">
      <c r="C547" s="33"/>
      <c r="F547" s="33"/>
    </row>
    <row r="548" spans="3:6" ht="22.5" customHeight="1" x14ac:dyDescent="0.15">
      <c r="C548" s="33"/>
      <c r="F548" s="33"/>
    </row>
    <row r="549" spans="3:6" ht="22.5" customHeight="1" x14ac:dyDescent="0.15">
      <c r="C549" s="33"/>
      <c r="F549" s="33"/>
    </row>
    <row r="550" spans="3:6" ht="22.5" customHeight="1" x14ac:dyDescent="0.15">
      <c r="C550" s="33"/>
      <c r="F550" s="33"/>
    </row>
    <row r="551" spans="3:6" ht="22.5" customHeight="1" x14ac:dyDescent="0.15">
      <c r="C551" s="33"/>
      <c r="F551" s="33"/>
    </row>
    <row r="552" spans="3:6" ht="22.5" customHeight="1" x14ac:dyDescent="0.15">
      <c r="C552" s="33"/>
      <c r="F552" s="33"/>
    </row>
    <row r="553" spans="3:6" ht="22.5" customHeight="1" x14ac:dyDescent="0.15">
      <c r="C553" s="33"/>
      <c r="F553" s="33"/>
    </row>
    <row r="554" spans="3:6" ht="22.5" customHeight="1" x14ac:dyDescent="0.15">
      <c r="C554" s="33"/>
      <c r="F554" s="33"/>
    </row>
    <row r="555" spans="3:6" ht="22.5" customHeight="1" x14ac:dyDescent="0.15">
      <c r="C555" s="33"/>
      <c r="F555" s="33"/>
    </row>
    <row r="556" spans="3:6" ht="22.5" customHeight="1" x14ac:dyDescent="0.15">
      <c r="C556" s="33"/>
      <c r="F556" s="33"/>
    </row>
    <row r="557" spans="3:6" ht="22.5" customHeight="1" x14ac:dyDescent="0.15">
      <c r="C557" s="33"/>
      <c r="F557" s="33"/>
    </row>
    <row r="558" spans="3:6" ht="22.5" customHeight="1" x14ac:dyDescent="0.15">
      <c r="C558" s="33"/>
      <c r="F558" s="33"/>
    </row>
    <row r="559" spans="3:6" ht="22.5" customHeight="1" x14ac:dyDescent="0.15">
      <c r="C559" s="33"/>
      <c r="F559" s="33"/>
    </row>
    <row r="560" spans="3:6" ht="22.5" customHeight="1" x14ac:dyDescent="0.15">
      <c r="C560" s="33"/>
      <c r="F560" s="33"/>
    </row>
    <row r="561" spans="3:6" ht="22.5" customHeight="1" x14ac:dyDescent="0.15">
      <c r="C561" s="33"/>
      <c r="F561" s="33"/>
    </row>
    <row r="562" spans="3:6" ht="22.5" customHeight="1" x14ac:dyDescent="0.15">
      <c r="C562" s="33"/>
      <c r="F562" s="33"/>
    </row>
    <row r="563" spans="3:6" ht="22.5" customHeight="1" x14ac:dyDescent="0.15">
      <c r="C563" s="33"/>
      <c r="F563" s="33"/>
    </row>
    <row r="564" spans="3:6" ht="22.5" customHeight="1" x14ac:dyDescent="0.15">
      <c r="C564" s="33"/>
      <c r="F564" s="33"/>
    </row>
    <row r="565" spans="3:6" ht="22.5" customHeight="1" x14ac:dyDescent="0.15">
      <c r="C565" s="33"/>
      <c r="F565" s="33"/>
    </row>
    <row r="566" spans="3:6" ht="22.5" customHeight="1" x14ac:dyDescent="0.15">
      <c r="C566" s="33"/>
      <c r="F566" s="33"/>
    </row>
    <row r="567" spans="3:6" ht="22.5" customHeight="1" x14ac:dyDescent="0.15">
      <c r="C567" s="33"/>
      <c r="F567" s="33"/>
    </row>
    <row r="568" spans="3:6" ht="22.5" customHeight="1" x14ac:dyDescent="0.15">
      <c r="C568" s="33"/>
      <c r="F568" s="33"/>
    </row>
    <row r="569" spans="3:6" ht="22.5" customHeight="1" x14ac:dyDescent="0.15">
      <c r="C569" s="33"/>
      <c r="F569" s="33"/>
    </row>
    <row r="570" spans="3:6" ht="22.5" customHeight="1" x14ac:dyDescent="0.15">
      <c r="C570" s="33"/>
      <c r="F570" s="33"/>
    </row>
    <row r="571" spans="3:6" ht="22.5" customHeight="1" x14ac:dyDescent="0.15">
      <c r="C571" s="33"/>
      <c r="F571" s="33"/>
    </row>
    <row r="572" spans="3:6" ht="22.5" customHeight="1" x14ac:dyDescent="0.15">
      <c r="C572" s="33"/>
      <c r="F572" s="33"/>
    </row>
    <row r="573" spans="3:6" ht="22.5" customHeight="1" x14ac:dyDescent="0.15">
      <c r="C573" s="33"/>
      <c r="F573" s="33"/>
    </row>
    <row r="574" spans="3:6" ht="22.5" customHeight="1" x14ac:dyDescent="0.15">
      <c r="C574" s="33"/>
      <c r="F574" s="33"/>
    </row>
    <row r="575" spans="3:6" ht="22.5" customHeight="1" x14ac:dyDescent="0.15">
      <c r="C575" s="33"/>
      <c r="F575" s="33"/>
    </row>
    <row r="576" spans="3:6" ht="22.5" customHeight="1" x14ac:dyDescent="0.15">
      <c r="C576" s="33"/>
      <c r="F576" s="33"/>
    </row>
    <row r="577" spans="3:6" ht="22.5" customHeight="1" x14ac:dyDescent="0.15">
      <c r="C577" s="33"/>
      <c r="F577" s="33"/>
    </row>
    <row r="578" spans="3:6" ht="22.5" customHeight="1" x14ac:dyDescent="0.15">
      <c r="C578" s="33"/>
      <c r="F578" s="33"/>
    </row>
    <row r="579" spans="3:6" ht="22.5" customHeight="1" x14ac:dyDescent="0.15">
      <c r="C579" s="33"/>
      <c r="F579" s="33"/>
    </row>
    <row r="580" spans="3:6" ht="22.5" customHeight="1" x14ac:dyDescent="0.15">
      <c r="C580" s="33"/>
      <c r="F580" s="33"/>
    </row>
    <row r="581" spans="3:6" ht="22.5" customHeight="1" x14ac:dyDescent="0.15">
      <c r="C581" s="33"/>
      <c r="F581" s="33"/>
    </row>
    <row r="582" spans="3:6" ht="22.5" customHeight="1" x14ac:dyDescent="0.15">
      <c r="C582" s="33"/>
      <c r="F582" s="33"/>
    </row>
    <row r="583" spans="3:6" ht="22.5" customHeight="1" x14ac:dyDescent="0.15">
      <c r="C583" s="33"/>
      <c r="F583" s="33"/>
    </row>
    <row r="584" spans="3:6" ht="22.5" customHeight="1" x14ac:dyDescent="0.15">
      <c r="C584" s="33"/>
      <c r="F584" s="33"/>
    </row>
    <row r="585" spans="3:6" ht="22.5" customHeight="1" x14ac:dyDescent="0.15">
      <c r="C585" s="33"/>
      <c r="F585" s="33"/>
    </row>
    <row r="586" spans="3:6" ht="22.5" customHeight="1" x14ac:dyDescent="0.15">
      <c r="C586" s="33"/>
      <c r="F586" s="33"/>
    </row>
    <row r="587" spans="3:6" ht="22.5" customHeight="1" x14ac:dyDescent="0.15">
      <c r="C587" s="33"/>
      <c r="F587" s="33"/>
    </row>
    <row r="588" spans="3:6" ht="22.5" customHeight="1" x14ac:dyDescent="0.15">
      <c r="C588" s="33"/>
      <c r="F588" s="33"/>
    </row>
    <row r="589" spans="3:6" ht="22.5" customHeight="1" x14ac:dyDescent="0.15">
      <c r="C589" s="33"/>
      <c r="F589" s="33"/>
    </row>
    <row r="590" spans="3:6" ht="22.5" customHeight="1" x14ac:dyDescent="0.15">
      <c r="C590" s="33"/>
      <c r="F590" s="33"/>
    </row>
    <row r="591" spans="3:6" ht="22.5" customHeight="1" x14ac:dyDescent="0.15">
      <c r="C591" s="33"/>
      <c r="F591" s="33"/>
    </row>
    <row r="592" spans="3:6" ht="22.5" customHeight="1" x14ac:dyDescent="0.15">
      <c r="C592" s="33"/>
      <c r="F592" s="33"/>
    </row>
    <row r="593" spans="3:6" ht="22.5" customHeight="1" x14ac:dyDescent="0.15">
      <c r="C593" s="33"/>
      <c r="F593" s="33"/>
    </row>
    <row r="594" spans="3:6" ht="22.5" customHeight="1" x14ac:dyDescent="0.15">
      <c r="C594" s="33"/>
      <c r="F594" s="33"/>
    </row>
    <row r="595" spans="3:6" ht="22.5" customHeight="1" x14ac:dyDescent="0.15">
      <c r="C595" s="33"/>
      <c r="F595" s="33"/>
    </row>
    <row r="596" spans="3:6" ht="22.5" customHeight="1" x14ac:dyDescent="0.15">
      <c r="C596" s="33"/>
      <c r="F596" s="33"/>
    </row>
    <row r="597" spans="3:6" ht="22.5" customHeight="1" x14ac:dyDescent="0.15">
      <c r="C597" s="33"/>
      <c r="F597" s="33"/>
    </row>
    <row r="598" spans="3:6" ht="22.5" customHeight="1" x14ac:dyDescent="0.15">
      <c r="C598" s="33"/>
      <c r="F598" s="33"/>
    </row>
    <row r="599" spans="3:6" ht="22.5" customHeight="1" x14ac:dyDescent="0.15">
      <c r="C599" s="33"/>
      <c r="F599" s="33"/>
    </row>
    <row r="600" spans="3:6" ht="22.5" customHeight="1" x14ac:dyDescent="0.15">
      <c r="C600" s="33"/>
      <c r="F600" s="33"/>
    </row>
    <row r="601" spans="3:6" ht="22.5" customHeight="1" x14ac:dyDescent="0.15">
      <c r="C601" s="33"/>
      <c r="F601" s="33"/>
    </row>
    <row r="602" spans="3:6" ht="22.5" customHeight="1" x14ac:dyDescent="0.15">
      <c r="C602" s="33"/>
      <c r="F602" s="33"/>
    </row>
    <row r="603" spans="3:6" ht="22.5" customHeight="1" x14ac:dyDescent="0.15">
      <c r="C603" s="33"/>
      <c r="F603" s="33"/>
    </row>
    <row r="604" spans="3:6" ht="22.5" customHeight="1" x14ac:dyDescent="0.15">
      <c r="C604" s="33"/>
      <c r="F604" s="33"/>
    </row>
    <row r="605" spans="3:6" ht="22.5" customHeight="1" x14ac:dyDescent="0.15">
      <c r="C605" s="33"/>
      <c r="F605" s="33"/>
    </row>
    <row r="606" spans="3:6" ht="22.5" customHeight="1" x14ac:dyDescent="0.15">
      <c r="C606" s="33"/>
      <c r="F606" s="33"/>
    </row>
    <row r="607" spans="3:6" ht="22.5" customHeight="1" x14ac:dyDescent="0.15">
      <c r="C607" s="33"/>
      <c r="F607" s="33"/>
    </row>
    <row r="608" spans="3:6" ht="22.5" customHeight="1" x14ac:dyDescent="0.15">
      <c r="C608" s="33"/>
      <c r="F608" s="33"/>
    </row>
    <row r="609" spans="3:6" ht="22.5" customHeight="1" x14ac:dyDescent="0.15">
      <c r="C609" s="33"/>
      <c r="F609" s="33"/>
    </row>
    <row r="610" spans="3:6" ht="22.5" customHeight="1" x14ac:dyDescent="0.15">
      <c r="C610" s="33"/>
      <c r="F610" s="33"/>
    </row>
    <row r="611" spans="3:6" ht="22.5" customHeight="1" x14ac:dyDescent="0.15">
      <c r="C611" s="33"/>
      <c r="F611" s="33"/>
    </row>
    <row r="612" spans="3:6" ht="22.5" customHeight="1" x14ac:dyDescent="0.15">
      <c r="C612" s="33"/>
      <c r="F612" s="33"/>
    </row>
    <row r="613" spans="3:6" ht="22.5" customHeight="1" x14ac:dyDescent="0.15">
      <c r="C613" s="33"/>
      <c r="F613" s="33"/>
    </row>
    <row r="614" spans="3:6" ht="22.5" customHeight="1" x14ac:dyDescent="0.15">
      <c r="C614" s="33"/>
      <c r="F614" s="33"/>
    </row>
    <row r="615" spans="3:6" ht="22.5" customHeight="1" x14ac:dyDescent="0.15">
      <c r="C615" s="33"/>
      <c r="F615" s="33"/>
    </row>
    <row r="616" spans="3:6" ht="22.5" customHeight="1" x14ac:dyDescent="0.15">
      <c r="C616" s="33"/>
      <c r="F616" s="33"/>
    </row>
    <row r="617" spans="3:6" ht="22.5" customHeight="1" x14ac:dyDescent="0.15">
      <c r="C617" s="33"/>
      <c r="F617" s="33"/>
    </row>
    <row r="618" spans="3:6" ht="22.5" customHeight="1" x14ac:dyDescent="0.15">
      <c r="C618" s="33"/>
      <c r="F618" s="33"/>
    </row>
    <row r="619" spans="3:6" ht="22.5" customHeight="1" x14ac:dyDescent="0.15">
      <c r="C619" s="33"/>
      <c r="F619" s="33"/>
    </row>
    <row r="620" spans="3:6" ht="22.5" customHeight="1" x14ac:dyDescent="0.15">
      <c r="C620" s="33"/>
      <c r="F620" s="33"/>
    </row>
    <row r="621" spans="3:6" ht="22.5" customHeight="1" x14ac:dyDescent="0.15">
      <c r="C621" s="33"/>
      <c r="F621" s="33"/>
    </row>
    <row r="622" spans="3:6" ht="22.5" customHeight="1" x14ac:dyDescent="0.15">
      <c r="C622" s="33"/>
      <c r="F622" s="33"/>
    </row>
    <row r="623" spans="3:6" ht="22.5" customHeight="1" x14ac:dyDescent="0.15">
      <c r="C623" s="33"/>
      <c r="F623" s="33"/>
    </row>
    <row r="624" spans="3:6" ht="22.5" customHeight="1" x14ac:dyDescent="0.15">
      <c r="C624" s="33"/>
      <c r="F624" s="33"/>
    </row>
    <row r="625" spans="3:6" ht="22.5" customHeight="1" x14ac:dyDescent="0.15">
      <c r="C625" s="33"/>
      <c r="F625" s="33"/>
    </row>
    <row r="626" spans="3:6" ht="22.5" customHeight="1" x14ac:dyDescent="0.15">
      <c r="C626" s="33"/>
      <c r="F626" s="33"/>
    </row>
    <row r="627" spans="3:6" ht="22.5" customHeight="1" x14ac:dyDescent="0.15">
      <c r="C627" s="33"/>
      <c r="F627" s="33"/>
    </row>
    <row r="628" spans="3:6" ht="22.5" customHeight="1" x14ac:dyDescent="0.15">
      <c r="C628" s="33"/>
      <c r="F628" s="33"/>
    </row>
    <row r="629" spans="3:6" ht="22.5" customHeight="1" x14ac:dyDescent="0.15">
      <c r="C629" s="33"/>
      <c r="F629" s="33"/>
    </row>
    <row r="630" spans="3:6" ht="22.5" customHeight="1" x14ac:dyDescent="0.15">
      <c r="C630" s="33"/>
      <c r="F630" s="33"/>
    </row>
    <row r="631" spans="3:6" ht="22.5" customHeight="1" x14ac:dyDescent="0.15">
      <c r="C631" s="33"/>
      <c r="F631" s="33"/>
    </row>
    <row r="632" spans="3:6" ht="22.5" customHeight="1" x14ac:dyDescent="0.15">
      <c r="C632" s="33"/>
      <c r="F632" s="33"/>
    </row>
    <row r="633" spans="3:6" ht="22.5" customHeight="1" x14ac:dyDescent="0.15">
      <c r="C633" s="33"/>
      <c r="F633" s="33"/>
    </row>
    <row r="634" spans="3:6" ht="22.5" customHeight="1" x14ac:dyDescent="0.15">
      <c r="C634" s="33"/>
      <c r="F634" s="33"/>
    </row>
    <row r="635" spans="3:6" ht="22.5" customHeight="1" x14ac:dyDescent="0.15">
      <c r="C635" s="33"/>
      <c r="F635" s="33"/>
    </row>
    <row r="636" spans="3:6" ht="22.5" customHeight="1" x14ac:dyDescent="0.15">
      <c r="C636" s="33"/>
      <c r="F636" s="33"/>
    </row>
    <row r="637" spans="3:6" ht="22.5" customHeight="1" x14ac:dyDescent="0.15">
      <c r="C637" s="33"/>
      <c r="F637" s="33"/>
    </row>
    <row r="638" spans="3:6" ht="22.5" customHeight="1" x14ac:dyDescent="0.15">
      <c r="C638" s="33"/>
      <c r="F638" s="33"/>
    </row>
    <row r="639" spans="3:6" ht="22.5" customHeight="1" x14ac:dyDescent="0.15">
      <c r="C639" s="33"/>
      <c r="F639" s="33"/>
    </row>
    <row r="640" spans="3:6" ht="22.5" customHeight="1" x14ac:dyDescent="0.15">
      <c r="C640" s="33"/>
      <c r="F640" s="33"/>
    </row>
    <row r="641" spans="3:6" ht="22.5" customHeight="1" x14ac:dyDescent="0.15">
      <c r="C641" s="33"/>
      <c r="F641" s="33"/>
    </row>
    <row r="642" spans="3:6" ht="22.5" customHeight="1" x14ac:dyDescent="0.15">
      <c r="C642" s="33"/>
      <c r="F642" s="33"/>
    </row>
    <row r="643" spans="3:6" ht="22.5" customHeight="1" x14ac:dyDescent="0.15">
      <c r="C643" s="33"/>
      <c r="F643" s="33"/>
    </row>
    <row r="644" spans="3:6" ht="22.5" customHeight="1" x14ac:dyDescent="0.15">
      <c r="C644" s="33"/>
      <c r="F644" s="33"/>
    </row>
    <row r="645" spans="3:6" ht="22.5" customHeight="1" x14ac:dyDescent="0.15">
      <c r="C645" s="33"/>
      <c r="F645" s="33"/>
    </row>
    <row r="646" spans="3:6" ht="22.5" customHeight="1" x14ac:dyDescent="0.15">
      <c r="C646" s="33"/>
      <c r="F646" s="33"/>
    </row>
    <row r="647" spans="3:6" ht="22.5" customHeight="1" x14ac:dyDescent="0.15">
      <c r="C647" s="33"/>
      <c r="F647" s="33"/>
    </row>
    <row r="648" spans="3:6" ht="22.5" customHeight="1" x14ac:dyDescent="0.15">
      <c r="C648" s="33"/>
      <c r="F648" s="33"/>
    </row>
    <row r="649" spans="3:6" ht="22.5" customHeight="1" x14ac:dyDescent="0.15">
      <c r="C649" s="33"/>
      <c r="F649" s="33"/>
    </row>
    <row r="650" spans="3:6" ht="22.5" customHeight="1" x14ac:dyDescent="0.15">
      <c r="C650" s="33"/>
      <c r="F650" s="33"/>
    </row>
    <row r="651" spans="3:6" ht="22.5" customHeight="1" x14ac:dyDescent="0.15">
      <c r="C651" s="33"/>
      <c r="F651" s="33"/>
    </row>
    <row r="652" spans="3:6" ht="22.5" customHeight="1" x14ac:dyDescent="0.15">
      <c r="C652" s="33"/>
      <c r="F652" s="33"/>
    </row>
    <row r="653" spans="3:6" ht="22.5" customHeight="1" x14ac:dyDescent="0.15">
      <c r="C653" s="33"/>
      <c r="F653" s="33"/>
    </row>
    <row r="654" spans="3:6" ht="22.5" customHeight="1" x14ac:dyDescent="0.15">
      <c r="C654" s="33"/>
      <c r="F654" s="33"/>
    </row>
    <row r="655" spans="3:6" ht="22.5" customHeight="1" x14ac:dyDescent="0.15">
      <c r="C655" s="33"/>
      <c r="F655" s="33"/>
    </row>
    <row r="656" spans="3:6" ht="22.5" customHeight="1" x14ac:dyDescent="0.15">
      <c r="C656" s="33"/>
      <c r="F656" s="33"/>
    </row>
    <row r="657" spans="3:6" ht="22.5" customHeight="1" x14ac:dyDescent="0.15">
      <c r="C657" s="33"/>
      <c r="F657" s="33"/>
    </row>
    <row r="658" spans="3:6" ht="22.5" customHeight="1" x14ac:dyDescent="0.15">
      <c r="C658" s="33"/>
      <c r="F658" s="33"/>
    </row>
    <row r="659" spans="3:6" ht="22.5" customHeight="1" x14ac:dyDescent="0.15">
      <c r="C659" s="33"/>
      <c r="F659" s="33"/>
    </row>
    <row r="660" spans="3:6" ht="22.5" customHeight="1" x14ac:dyDescent="0.15">
      <c r="C660" s="33"/>
      <c r="F660" s="33"/>
    </row>
    <row r="661" spans="3:6" ht="22.5" customHeight="1" x14ac:dyDescent="0.15">
      <c r="C661" s="33"/>
      <c r="F661" s="33"/>
    </row>
    <row r="662" spans="3:6" ht="22.5" customHeight="1" x14ac:dyDescent="0.15">
      <c r="C662" s="33"/>
      <c r="F662" s="33"/>
    </row>
    <row r="663" spans="3:6" ht="22.5" customHeight="1" x14ac:dyDescent="0.15">
      <c r="C663" s="33"/>
      <c r="F663" s="33"/>
    </row>
    <row r="664" spans="3:6" ht="22.5" customHeight="1" x14ac:dyDescent="0.15">
      <c r="C664" s="33"/>
      <c r="F664" s="33"/>
    </row>
    <row r="665" spans="3:6" ht="22.5" customHeight="1" x14ac:dyDescent="0.15">
      <c r="C665" s="33"/>
      <c r="F665" s="33"/>
    </row>
    <row r="666" spans="3:6" ht="22.5" customHeight="1" x14ac:dyDescent="0.15">
      <c r="C666" s="33"/>
      <c r="F666" s="33"/>
    </row>
    <row r="667" spans="3:6" ht="22.5" customHeight="1" x14ac:dyDescent="0.15">
      <c r="C667" s="33"/>
      <c r="F667" s="33"/>
    </row>
    <row r="668" spans="3:6" ht="22.5" customHeight="1" x14ac:dyDescent="0.15">
      <c r="C668" s="33"/>
      <c r="F668" s="33"/>
    </row>
    <row r="669" spans="3:6" ht="22.5" customHeight="1" x14ac:dyDescent="0.15">
      <c r="C669" s="33"/>
      <c r="F669" s="33"/>
    </row>
    <row r="670" spans="3:6" ht="22.5" customHeight="1" x14ac:dyDescent="0.15">
      <c r="C670" s="33"/>
      <c r="F670" s="33"/>
    </row>
    <row r="671" spans="3:6" ht="22.5" customHeight="1" x14ac:dyDescent="0.15">
      <c r="C671" s="33"/>
      <c r="F671" s="33"/>
    </row>
    <row r="672" spans="3:6" ht="22.5" customHeight="1" x14ac:dyDescent="0.15">
      <c r="C672" s="33"/>
      <c r="F672" s="33"/>
    </row>
    <row r="673" spans="3:6" ht="22.5" customHeight="1" x14ac:dyDescent="0.15">
      <c r="C673" s="33"/>
      <c r="F673" s="33"/>
    </row>
    <row r="674" spans="3:6" ht="22.5" customHeight="1" x14ac:dyDescent="0.15">
      <c r="C674" s="33"/>
      <c r="F674" s="33"/>
    </row>
    <row r="675" spans="3:6" ht="22.5" customHeight="1" x14ac:dyDescent="0.15">
      <c r="C675" s="33"/>
      <c r="F675" s="33"/>
    </row>
    <row r="676" spans="3:6" ht="22.5" customHeight="1" x14ac:dyDescent="0.15">
      <c r="C676" s="33"/>
      <c r="F676" s="33"/>
    </row>
    <row r="677" spans="3:6" ht="22.5" customHeight="1" x14ac:dyDescent="0.15">
      <c r="C677" s="33"/>
      <c r="F677" s="33"/>
    </row>
    <row r="678" spans="3:6" ht="22.5" customHeight="1" x14ac:dyDescent="0.15">
      <c r="C678" s="33"/>
      <c r="F678" s="33"/>
    </row>
    <row r="679" spans="3:6" ht="22.5" customHeight="1" x14ac:dyDescent="0.15">
      <c r="C679" s="33"/>
      <c r="F679" s="33"/>
    </row>
    <row r="680" spans="3:6" ht="22.5" customHeight="1" x14ac:dyDescent="0.15">
      <c r="C680" s="33"/>
      <c r="F680" s="33"/>
    </row>
    <row r="681" spans="3:6" ht="22.5" customHeight="1" x14ac:dyDescent="0.15">
      <c r="C681" s="33"/>
      <c r="F681" s="33"/>
    </row>
    <row r="682" spans="3:6" ht="22.5" customHeight="1" x14ac:dyDescent="0.15">
      <c r="C682" s="33"/>
      <c r="F682" s="33"/>
    </row>
    <row r="683" spans="3:6" ht="22.5" customHeight="1" x14ac:dyDescent="0.15">
      <c r="C683" s="33"/>
      <c r="F683" s="33"/>
    </row>
    <row r="684" spans="3:6" ht="22.5" customHeight="1" x14ac:dyDescent="0.15">
      <c r="C684" s="33"/>
      <c r="F684" s="33"/>
    </row>
    <row r="685" spans="3:6" ht="22.5" customHeight="1" x14ac:dyDescent="0.15">
      <c r="C685" s="33"/>
      <c r="F685" s="33"/>
    </row>
    <row r="686" spans="3:6" ht="22.5" customHeight="1" x14ac:dyDescent="0.15">
      <c r="C686" s="33"/>
      <c r="F686" s="33"/>
    </row>
    <row r="687" spans="3:6" ht="22.5" customHeight="1" x14ac:dyDescent="0.15">
      <c r="C687" s="33"/>
      <c r="F687" s="33"/>
    </row>
    <row r="688" spans="3:6" ht="22.5" customHeight="1" x14ac:dyDescent="0.15">
      <c r="C688" s="33"/>
      <c r="F688" s="33"/>
    </row>
    <row r="689" spans="3:6" ht="22.5" customHeight="1" x14ac:dyDescent="0.15">
      <c r="C689" s="33"/>
      <c r="F689" s="33"/>
    </row>
    <row r="690" spans="3:6" ht="22.5" customHeight="1" x14ac:dyDescent="0.15">
      <c r="C690" s="33"/>
      <c r="F690" s="33"/>
    </row>
    <row r="691" spans="3:6" ht="22.5" customHeight="1" x14ac:dyDescent="0.15">
      <c r="C691" s="33"/>
      <c r="F691" s="33"/>
    </row>
    <row r="692" spans="3:6" ht="22.5" customHeight="1" x14ac:dyDescent="0.15">
      <c r="C692" s="33"/>
      <c r="F692" s="33"/>
    </row>
    <row r="693" spans="3:6" ht="22.5" customHeight="1" x14ac:dyDescent="0.15">
      <c r="C693" s="33"/>
      <c r="F693" s="33"/>
    </row>
    <row r="694" spans="3:6" ht="22.5" customHeight="1" x14ac:dyDescent="0.15">
      <c r="C694" s="33"/>
      <c r="F694" s="33"/>
    </row>
    <row r="695" spans="3:6" ht="22.5" customHeight="1" x14ac:dyDescent="0.15">
      <c r="C695" s="33"/>
      <c r="F695" s="33"/>
    </row>
    <row r="696" spans="3:6" ht="22.5" customHeight="1" x14ac:dyDescent="0.15">
      <c r="C696" s="33"/>
      <c r="F696" s="33"/>
    </row>
    <row r="697" spans="3:6" ht="22.5" customHeight="1" x14ac:dyDescent="0.15">
      <c r="C697" s="33"/>
      <c r="F697" s="33"/>
    </row>
    <row r="698" spans="3:6" ht="22.5" customHeight="1" x14ac:dyDescent="0.15">
      <c r="C698" s="33"/>
      <c r="F698" s="33"/>
    </row>
    <row r="699" spans="3:6" ht="22.5" customHeight="1" x14ac:dyDescent="0.15">
      <c r="C699" s="33"/>
      <c r="F699" s="33"/>
    </row>
    <row r="700" spans="3:6" ht="22.5" customHeight="1" x14ac:dyDescent="0.15">
      <c r="C700" s="33"/>
      <c r="F700" s="33"/>
    </row>
    <row r="701" spans="3:6" ht="22.5" customHeight="1" x14ac:dyDescent="0.15">
      <c r="C701" s="33"/>
      <c r="F701" s="33"/>
    </row>
    <row r="702" spans="3:6" ht="22.5" customHeight="1" x14ac:dyDescent="0.15">
      <c r="C702" s="33"/>
      <c r="F702" s="33"/>
    </row>
    <row r="703" spans="3:6" ht="22.5" customHeight="1" x14ac:dyDescent="0.15">
      <c r="C703" s="33"/>
      <c r="F703" s="33"/>
    </row>
    <row r="704" spans="3:6" ht="22.5" customHeight="1" x14ac:dyDescent="0.15">
      <c r="C704" s="33"/>
      <c r="F704" s="33"/>
    </row>
    <row r="705" spans="3:6" ht="22.5" customHeight="1" x14ac:dyDescent="0.15">
      <c r="C705" s="33"/>
      <c r="F705" s="33"/>
    </row>
    <row r="706" spans="3:6" ht="22.5" customHeight="1" x14ac:dyDescent="0.15">
      <c r="C706" s="33"/>
      <c r="F706" s="33"/>
    </row>
    <row r="707" spans="3:6" ht="22.5" customHeight="1" x14ac:dyDescent="0.15">
      <c r="C707" s="33"/>
      <c r="F707" s="33"/>
    </row>
    <row r="708" spans="3:6" ht="22.5" customHeight="1" x14ac:dyDescent="0.15">
      <c r="C708" s="33"/>
      <c r="F708" s="33"/>
    </row>
    <row r="709" spans="3:6" ht="22.5" customHeight="1" x14ac:dyDescent="0.15">
      <c r="C709" s="33"/>
      <c r="F709" s="33"/>
    </row>
    <row r="710" spans="3:6" ht="22.5" customHeight="1" x14ac:dyDescent="0.15">
      <c r="C710" s="33"/>
      <c r="F710" s="33"/>
    </row>
    <row r="711" spans="3:6" ht="22.5" customHeight="1" x14ac:dyDescent="0.15">
      <c r="C711" s="33"/>
      <c r="F711" s="33"/>
    </row>
    <row r="712" spans="3:6" ht="22.5" customHeight="1" x14ac:dyDescent="0.15">
      <c r="C712" s="33"/>
      <c r="F712" s="33"/>
    </row>
    <row r="713" spans="3:6" ht="22.5" customHeight="1" x14ac:dyDescent="0.15">
      <c r="C713" s="33"/>
      <c r="F713" s="33"/>
    </row>
    <row r="714" spans="3:6" ht="22.5" customHeight="1" x14ac:dyDescent="0.15">
      <c r="C714" s="33"/>
      <c r="F714" s="33"/>
    </row>
    <row r="715" spans="3:6" ht="22.5" customHeight="1" x14ac:dyDescent="0.15">
      <c r="C715" s="33"/>
      <c r="F715" s="33"/>
    </row>
    <row r="716" spans="3:6" ht="22.5" customHeight="1" x14ac:dyDescent="0.15">
      <c r="C716" s="33"/>
      <c r="F716" s="33"/>
    </row>
    <row r="717" spans="3:6" ht="22.5" customHeight="1" x14ac:dyDescent="0.15">
      <c r="C717" s="33"/>
      <c r="F717" s="33"/>
    </row>
    <row r="718" spans="3:6" ht="22.5" customHeight="1" x14ac:dyDescent="0.15">
      <c r="C718" s="33"/>
      <c r="F718" s="33"/>
    </row>
    <row r="719" spans="3:6" ht="22.5" customHeight="1" x14ac:dyDescent="0.15">
      <c r="C719" s="33"/>
      <c r="F719" s="33"/>
    </row>
    <row r="720" spans="3:6" ht="22.5" customHeight="1" x14ac:dyDescent="0.15">
      <c r="C720" s="33"/>
      <c r="F720" s="33"/>
    </row>
    <row r="721" spans="3:6" ht="22.5" customHeight="1" x14ac:dyDescent="0.15">
      <c r="C721" s="33"/>
      <c r="F721" s="33"/>
    </row>
    <row r="722" spans="3:6" ht="22.5" customHeight="1" x14ac:dyDescent="0.15">
      <c r="C722" s="33"/>
      <c r="F722" s="33"/>
    </row>
    <row r="723" spans="3:6" ht="22.5" customHeight="1" x14ac:dyDescent="0.15">
      <c r="C723" s="33"/>
      <c r="F723" s="33"/>
    </row>
    <row r="724" spans="3:6" ht="22.5" customHeight="1" x14ac:dyDescent="0.15">
      <c r="C724" s="33"/>
      <c r="F724" s="33"/>
    </row>
    <row r="725" spans="3:6" ht="22.5" customHeight="1" x14ac:dyDescent="0.15">
      <c r="C725" s="33"/>
      <c r="F725" s="33"/>
    </row>
    <row r="726" spans="3:6" ht="22.5" customHeight="1" x14ac:dyDescent="0.15">
      <c r="C726" s="33"/>
      <c r="F726" s="33"/>
    </row>
    <row r="727" spans="3:6" ht="22.5" customHeight="1" x14ac:dyDescent="0.15">
      <c r="C727" s="33"/>
      <c r="F727" s="33"/>
    </row>
    <row r="728" spans="3:6" ht="22.5" customHeight="1" x14ac:dyDescent="0.15">
      <c r="C728" s="33"/>
      <c r="F728" s="33"/>
    </row>
    <row r="729" spans="3:6" ht="22.5" customHeight="1" x14ac:dyDescent="0.15">
      <c r="C729" s="33"/>
      <c r="F729" s="33"/>
    </row>
    <row r="730" spans="3:6" ht="22.5" customHeight="1" x14ac:dyDescent="0.15">
      <c r="C730" s="33"/>
      <c r="F730" s="33"/>
    </row>
    <row r="731" spans="3:6" ht="22.5" customHeight="1" x14ac:dyDescent="0.15">
      <c r="C731" s="33"/>
      <c r="F731" s="33"/>
    </row>
    <row r="732" spans="3:6" ht="22.5" customHeight="1" x14ac:dyDescent="0.15">
      <c r="C732" s="33"/>
      <c r="F732" s="33"/>
    </row>
    <row r="733" spans="3:6" ht="22.5" customHeight="1" x14ac:dyDescent="0.15">
      <c r="C733" s="33"/>
      <c r="F733" s="33"/>
    </row>
    <row r="734" spans="3:6" ht="22.5" customHeight="1" x14ac:dyDescent="0.15">
      <c r="C734" s="33"/>
      <c r="F734" s="33"/>
    </row>
    <row r="735" spans="3:6" ht="22.5" customHeight="1" x14ac:dyDescent="0.15">
      <c r="C735" s="33"/>
      <c r="F735" s="33"/>
    </row>
    <row r="736" spans="3:6" ht="22.5" customHeight="1" x14ac:dyDescent="0.15">
      <c r="C736" s="33"/>
      <c r="F736" s="33"/>
    </row>
    <row r="737" spans="3:6" ht="22.5" customHeight="1" x14ac:dyDescent="0.15">
      <c r="C737" s="33"/>
      <c r="F737" s="33"/>
    </row>
    <row r="738" spans="3:6" ht="22.5" customHeight="1" x14ac:dyDescent="0.15">
      <c r="C738" s="33"/>
      <c r="F738" s="33"/>
    </row>
    <row r="739" spans="3:6" ht="22.5" customHeight="1" x14ac:dyDescent="0.15">
      <c r="C739" s="33"/>
      <c r="F739" s="33"/>
    </row>
    <row r="740" spans="3:6" ht="22.5" customHeight="1" x14ac:dyDescent="0.15">
      <c r="C740" s="33"/>
      <c r="F740" s="33"/>
    </row>
    <row r="741" spans="3:6" ht="22.5" customHeight="1" x14ac:dyDescent="0.15">
      <c r="C741" s="33"/>
      <c r="F741" s="33"/>
    </row>
    <row r="742" spans="3:6" ht="22.5" customHeight="1" x14ac:dyDescent="0.15">
      <c r="C742" s="33"/>
      <c r="F742" s="33"/>
    </row>
    <row r="743" spans="3:6" ht="22.5" customHeight="1" x14ac:dyDescent="0.15">
      <c r="C743" s="33"/>
      <c r="F743" s="33"/>
    </row>
    <row r="744" spans="3:6" ht="22.5" customHeight="1" x14ac:dyDescent="0.15">
      <c r="C744" s="33"/>
      <c r="F744" s="33"/>
    </row>
    <row r="745" spans="3:6" ht="22.5" customHeight="1" x14ac:dyDescent="0.15">
      <c r="C745" s="33"/>
      <c r="F745" s="33"/>
    </row>
    <row r="746" spans="3:6" ht="22.5" customHeight="1" x14ac:dyDescent="0.15">
      <c r="C746" s="33"/>
      <c r="F746" s="33"/>
    </row>
    <row r="747" spans="3:6" ht="22.5" customHeight="1" x14ac:dyDescent="0.15">
      <c r="C747" s="33"/>
      <c r="F747" s="33"/>
    </row>
    <row r="748" spans="3:6" ht="22.5" customHeight="1" x14ac:dyDescent="0.15">
      <c r="C748" s="33"/>
      <c r="F748" s="33"/>
    </row>
    <row r="749" spans="3:6" ht="22.5" customHeight="1" x14ac:dyDescent="0.15">
      <c r="C749" s="33"/>
      <c r="F749" s="33"/>
    </row>
    <row r="750" spans="3:6" ht="22.5" customHeight="1" x14ac:dyDescent="0.15">
      <c r="C750" s="33"/>
      <c r="F750" s="33"/>
    </row>
    <row r="751" spans="3:6" ht="22.5" customHeight="1" x14ac:dyDescent="0.15">
      <c r="C751" s="33"/>
      <c r="F751" s="33"/>
    </row>
    <row r="752" spans="3:6" ht="22.5" customHeight="1" x14ac:dyDescent="0.15">
      <c r="C752" s="33"/>
      <c r="F752" s="33"/>
    </row>
    <row r="753" spans="3:6" ht="22.5" customHeight="1" x14ac:dyDescent="0.15">
      <c r="C753" s="33"/>
      <c r="F753" s="33"/>
    </row>
    <row r="754" spans="3:6" ht="22.5" customHeight="1" x14ac:dyDescent="0.15">
      <c r="C754" s="33"/>
      <c r="F754" s="33"/>
    </row>
    <row r="755" spans="3:6" ht="22.5" customHeight="1" x14ac:dyDescent="0.15">
      <c r="C755" s="33"/>
      <c r="F755" s="33"/>
    </row>
    <row r="756" spans="3:6" ht="22.5" customHeight="1" x14ac:dyDescent="0.15">
      <c r="C756" s="33"/>
      <c r="F756" s="33"/>
    </row>
    <row r="757" spans="3:6" ht="22.5" customHeight="1" x14ac:dyDescent="0.15">
      <c r="C757" s="33"/>
      <c r="F757" s="33"/>
    </row>
    <row r="758" spans="3:6" ht="22.5" customHeight="1" x14ac:dyDescent="0.15">
      <c r="C758" s="33"/>
      <c r="F758" s="33"/>
    </row>
    <row r="759" spans="3:6" ht="22.5" customHeight="1" x14ac:dyDescent="0.15">
      <c r="C759" s="33"/>
      <c r="F759" s="33"/>
    </row>
    <row r="760" spans="3:6" ht="22.5" customHeight="1" x14ac:dyDescent="0.15">
      <c r="C760" s="33"/>
      <c r="F760" s="33"/>
    </row>
    <row r="761" spans="3:6" ht="22.5" customHeight="1" x14ac:dyDescent="0.15">
      <c r="C761" s="33"/>
      <c r="F761" s="33"/>
    </row>
    <row r="762" spans="3:6" ht="22.5" customHeight="1" x14ac:dyDescent="0.15">
      <c r="C762" s="33"/>
      <c r="F762" s="33"/>
    </row>
    <row r="763" spans="3:6" ht="22.5" customHeight="1" x14ac:dyDescent="0.15">
      <c r="C763" s="33"/>
      <c r="F763" s="33"/>
    </row>
    <row r="764" spans="3:6" ht="22.5" customHeight="1" x14ac:dyDescent="0.15">
      <c r="C764" s="33"/>
      <c r="F764" s="33"/>
    </row>
    <row r="765" spans="3:6" ht="22.5" customHeight="1" x14ac:dyDescent="0.15">
      <c r="C765" s="33"/>
      <c r="F765" s="33"/>
    </row>
    <row r="766" spans="3:6" ht="22.5" customHeight="1" x14ac:dyDescent="0.15">
      <c r="C766" s="33"/>
      <c r="F766" s="33"/>
    </row>
    <row r="767" spans="3:6" ht="22.5" customHeight="1" x14ac:dyDescent="0.15">
      <c r="C767" s="33"/>
      <c r="F767" s="33"/>
    </row>
    <row r="768" spans="3:6" ht="22.5" customHeight="1" x14ac:dyDescent="0.15">
      <c r="C768" s="33"/>
      <c r="F768" s="33"/>
    </row>
    <row r="769" spans="3:6" ht="22.5" customHeight="1" x14ac:dyDescent="0.15">
      <c r="C769" s="33"/>
      <c r="F769" s="33"/>
    </row>
    <row r="770" spans="3:6" ht="22.5" customHeight="1" x14ac:dyDescent="0.15">
      <c r="C770" s="33"/>
      <c r="F770" s="33"/>
    </row>
    <row r="771" spans="3:6" ht="22.5" customHeight="1" x14ac:dyDescent="0.15">
      <c r="C771" s="33"/>
      <c r="F771" s="33"/>
    </row>
    <row r="772" spans="3:6" ht="22.5" customHeight="1" x14ac:dyDescent="0.15">
      <c r="C772" s="33"/>
      <c r="F772" s="33"/>
    </row>
    <row r="773" spans="3:6" ht="22.5" customHeight="1" x14ac:dyDescent="0.15">
      <c r="C773" s="33"/>
      <c r="F773" s="33"/>
    </row>
    <row r="774" spans="3:6" ht="22.5" customHeight="1" x14ac:dyDescent="0.15">
      <c r="C774" s="33"/>
      <c r="F774" s="33"/>
    </row>
    <row r="775" spans="3:6" ht="22.5" customHeight="1" x14ac:dyDescent="0.15">
      <c r="C775" s="33"/>
      <c r="F775" s="33"/>
    </row>
    <row r="776" spans="3:6" ht="22.5" customHeight="1" x14ac:dyDescent="0.15">
      <c r="C776" s="33"/>
      <c r="F776" s="33"/>
    </row>
    <row r="777" spans="3:6" ht="22.5" customHeight="1" x14ac:dyDescent="0.15">
      <c r="C777" s="33"/>
      <c r="F777" s="33"/>
    </row>
    <row r="778" spans="3:6" ht="22.5" customHeight="1" x14ac:dyDescent="0.15">
      <c r="C778" s="33"/>
      <c r="F778" s="33"/>
    </row>
    <row r="779" spans="3:6" ht="22.5" customHeight="1" x14ac:dyDescent="0.15">
      <c r="C779" s="33"/>
      <c r="F779" s="33"/>
    </row>
    <row r="780" spans="3:6" ht="22.5" customHeight="1" x14ac:dyDescent="0.15">
      <c r="C780" s="33"/>
      <c r="F780" s="33"/>
    </row>
    <row r="781" spans="3:6" ht="22.5" customHeight="1" x14ac:dyDescent="0.15">
      <c r="C781" s="33"/>
      <c r="F781" s="33"/>
    </row>
    <row r="782" spans="3:6" ht="22.5" customHeight="1" x14ac:dyDescent="0.15">
      <c r="C782" s="33"/>
      <c r="F782" s="33"/>
    </row>
    <row r="783" spans="3:6" ht="22.5" customHeight="1" x14ac:dyDescent="0.15">
      <c r="C783" s="33"/>
      <c r="F783" s="33"/>
    </row>
    <row r="784" spans="3:6" ht="22.5" customHeight="1" x14ac:dyDescent="0.15">
      <c r="C784" s="33"/>
      <c r="F784" s="33"/>
    </row>
    <row r="785" spans="3:6" ht="22.5" customHeight="1" x14ac:dyDescent="0.15">
      <c r="C785" s="33"/>
      <c r="F785" s="33"/>
    </row>
    <row r="786" spans="3:6" ht="22.5" customHeight="1" x14ac:dyDescent="0.15">
      <c r="C786" s="33"/>
      <c r="F786" s="33"/>
    </row>
    <row r="787" spans="3:6" ht="22.5" customHeight="1" x14ac:dyDescent="0.15">
      <c r="C787" s="33"/>
      <c r="F787" s="33"/>
    </row>
    <row r="788" spans="3:6" ht="22.5" customHeight="1" x14ac:dyDescent="0.15">
      <c r="C788" s="33"/>
      <c r="F788" s="33"/>
    </row>
    <row r="789" spans="3:6" ht="22.5" customHeight="1" x14ac:dyDescent="0.15">
      <c r="C789" s="33"/>
      <c r="F789" s="33"/>
    </row>
    <row r="790" spans="3:6" ht="22.5" customHeight="1" x14ac:dyDescent="0.15">
      <c r="C790" s="33"/>
      <c r="F790" s="33"/>
    </row>
    <row r="791" spans="3:6" ht="22.5" customHeight="1" x14ac:dyDescent="0.15">
      <c r="C791" s="33"/>
      <c r="F791" s="33"/>
    </row>
    <row r="792" spans="3:6" ht="22.5" customHeight="1" x14ac:dyDescent="0.15">
      <c r="C792" s="33"/>
      <c r="F792" s="33"/>
    </row>
    <row r="793" spans="3:6" ht="22.5" customHeight="1" x14ac:dyDescent="0.15">
      <c r="C793" s="33"/>
      <c r="F793" s="33"/>
    </row>
    <row r="794" spans="3:6" ht="22.5" customHeight="1" x14ac:dyDescent="0.15">
      <c r="C794" s="33"/>
      <c r="F794" s="33"/>
    </row>
    <row r="795" spans="3:6" ht="22.5" customHeight="1" x14ac:dyDescent="0.15">
      <c r="C795" s="33"/>
      <c r="F795" s="33"/>
    </row>
    <row r="796" spans="3:6" ht="22.5" customHeight="1" x14ac:dyDescent="0.15">
      <c r="C796" s="33"/>
      <c r="F796" s="33"/>
    </row>
    <row r="797" spans="3:6" ht="22.5" customHeight="1" x14ac:dyDescent="0.15">
      <c r="C797" s="33"/>
      <c r="F797" s="33"/>
    </row>
    <row r="798" spans="3:6" ht="22.5" customHeight="1" x14ac:dyDescent="0.15">
      <c r="C798" s="33"/>
      <c r="F798" s="33"/>
    </row>
    <row r="799" spans="3:6" ht="22.5" customHeight="1" x14ac:dyDescent="0.15">
      <c r="C799" s="33"/>
      <c r="F799" s="33"/>
    </row>
    <row r="800" spans="3:6" ht="22.5" customHeight="1" x14ac:dyDescent="0.15">
      <c r="C800" s="33"/>
      <c r="F800" s="33"/>
    </row>
    <row r="801" spans="3:6" ht="22.5" customHeight="1" x14ac:dyDescent="0.15">
      <c r="C801" s="33"/>
      <c r="F801" s="33"/>
    </row>
    <row r="802" spans="3:6" ht="22.5" customHeight="1" x14ac:dyDescent="0.15">
      <c r="C802" s="33"/>
      <c r="F802" s="33"/>
    </row>
    <row r="803" spans="3:6" ht="22.5" customHeight="1" x14ac:dyDescent="0.15">
      <c r="C803" s="33"/>
      <c r="F803" s="33"/>
    </row>
    <row r="804" spans="3:6" ht="22.5" customHeight="1" x14ac:dyDescent="0.15">
      <c r="C804" s="33"/>
      <c r="F804" s="33"/>
    </row>
    <row r="805" spans="3:6" ht="22.5" customHeight="1" x14ac:dyDescent="0.15">
      <c r="C805" s="33"/>
      <c r="F805" s="33"/>
    </row>
    <row r="806" spans="3:6" ht="22.5" customHeight="1" x14ac:dyDescent="0.15">
      <c r="C806" s="33"/>
      <c r="F806" s="33"/>
    </row>
    <row r="807" spans="3:6" ht="22.5" customHeight="1" x14ac:dyDescent="0.15">
      <c r="C807" s="33"/>
      <c r="F807" s="33"/>
    </row>
    <row r="808" spans="3:6" ht="22.5" customHeight="1" x14ac:dyDescent="0.15">
      <c r="C808" s="33"/>
      <c r="F808" s="33"/>
    </row>
    <row r="809" spans="3:6" ht="22.5" customHeight="1" x14ac:dyDescent="0.15">
      <c r="C809" s="33"/>
      <c r="F809" s="33"/>
    </row>
    <row r="810" spans="3:6" ht="22.5" customHeight="1" x14ac:dyDescent="0.15">
      <c r="C810" s="33"/>
      <c r="F810" s="33"/>
    </row>
    <row r="811" spans="3:6" ht="22.5" customHeight="1" x14ac:dyDescent="0.15">
      <c r="C811" s="33"/>
      <c r="F811" s="33"/>
    </row>
    <row r="812" spans="3:6" ht="22.5" customHeight="1" x14ac:dyDescent="0.15">
      <c r="C812" s="33"/>
      <c r="F812" s="33"/>
    </row>
    <row r="813" spans="3:6" ht="22.5" customHeight="1" x14ac:dyDescent="0.15">
      <c r="C813" s="33"/>
      <c r="F813" s="33"/>
    </row>
    <row r="814" spans="3:6" ht="22.5" customHeight="1" x14ac:dyDescent="0.15">
      <c r="C814" s="33"/>
      <c r="F814" s="33"/>
    </row>
    <row r="815" spans="3:6" ht="22.5" customHeight="1" x14ac:dyDescent="0.15">
      <c r="C815" s="33"/>
      <c r="F815" s="33"/>
    </row>
    <row r="816" spans="3:6" ht="22.5" customHeight="1" x14ac:dyDescent="0.15">
      <c r="C816" s="33"/>
      <c r="F816" s="33"/>
    </row>
    <row r="817" spans="3:6" ht="22.5" customHeight="1" x14ac:dyDescent="0.15">
      <c r="C817" s="33"/>
      <c r="F817" s="33"/>
    </row>
    <row r="818" spans="3:6" ht="22.5" customHeight="1" x14ac:dyDescent="0.15">
      <c r="C818" s="33"/>
      <c r="F818" s="33"/>
    </row>
    <row r="819" spans="3:6" ht="22.5" customHeight="1" x14ac:dyDescent="0.15">
      <c r="C819" s="33"/>
      <c r="F819" s="33"/>
    </row>
    <row r="820" spans="3:6" ht="22.5" customHeight="1" x14ac:dyDescent="0.15">
      <c r="C820" s="33"/>
      <c r="F820" s="33"/>
    </row>
    <row r="821" spans="3:6" ht="22.5" customHeight="1" x14ac:dyDescent="0.15">
      <c r="C821" s="33"/>
      <c r="F821" s="33"/>
    </row>
    <row r="822" spans="3:6" ht="22.5" customHeight="1" x14ac:dyDescent="0.15">
      <c r="C822" s="33"/>
      <c r="F822" s="33"/>
    </row>
    <row r="823" spans="3:6" ht="22.5" customHeight="1" x14ac:dyDescent="0.15">
      <c r="C823" s="33"/>
      <c r="F823" s="33"/>
    </row>
    <row r="824" spans="3:6" ht="22.5" customHeight="1" x14ac:dyDescent="0.15">
      <c r="C824" s="33"/>
      <c r="F824" s="33"/>
    </row>
    <row r="825" spans="3:6" ht="22.5" customHeight="1" x14ac:dyDescent="0.15">
      <c r="C825" s="33"/>
      <c r="F825" s="33"/>
    </row>
    <row r="826" spans="3:6" ht="22.5" customHeight="1" x14ac:dyDescent="0.15">
      <c r="C826" s="33"/>
      <c r="F826" s="33"/>
    </row>
    <row r="827" spans="3:6" ht="22.5" customHeight="1" x14ac:dyDescent="0.15">
      <c r="C827" s="33"/>
      <c r="F827" s="33"/>
    </row>
    <row r="828" spans="3:6" ht="22.5" customHeight="1" x14ac:dyDescent="0.15">
      <c r="C828" s="33"/>
      <c r="F828" s="33"/>
    </row>
    <row r="829" spans="3:6" ht="22.5" customHeight="1" x14ac:dyDescent="0.15">
      <c r="C829" s="33"/>
      <c r="F829" s="33"/>
    </row>
    <row r="830" spans="3:6" ht="22.5" customHeight="1" x14ac:dyDescent="0.15">
      <c r="C830" s="33"/>
      <c r="F830" s="33"/>
    </row>
    <row r="831" spans="3:6" ht="22.5" customHeight="1" x14ac:dyDescent="0.15">
      <c r="C831" s="33"/>
      <c r="F831" s="33"/>
    </row>
    <row r="832" spans="3:6" ht="22.5" customHeight="1" x14ac:dyDescent="0.15">
      <c r="C832" s="33"/>
      <c r="F832" s="33"/>
    </row>
    <row r="833" spans="3:6" ht="22.5" customHeight="1" x14ac:dyDescent="0.15">
      <c r="C833" s="33"/>
      <c r="F833" s="33"/>
    </row>
    <row r="834" spans="3:6" ht="22.5" customHeight="1" x14ac:dyDescent="0.15">
      <c r="C834" s="33"/>
      <c r="F834" s="33"/>
    </row>
    <row r="835" spans="3:6" ht="22.5" customHeight="1" x14ac:dyDescent="0.15">
      <c r="C835" s="33"/>
      <c r="F835" s="33"/>
    </row>
    <row r="836" spans="3:6" ht="22.5" customHeight="1" x14ac:dyDescent="0.15">
      <c r="C836" s="33"/>
      <c r="F836" s="33"/>
    </row>
    <row r="837" spans="3:6" ht="22.5" customHeight="1" x14ac:dyDescent="0.15">
      <c r="C837" s="33"/>
      <c r="F837" s="33"/>
    </row>
    <row r="838" spans="3:6" ht="22.5" customHeight="1" x14ac:dyDescent="0.15">
      <c r="C838" s="33"/>
      <c r="F838" s="33"/>
    </row>
    <row r="839" spans="3:6" ht="22.5" customHeight="1" x14ac:dyDescent="0.15">
      <c r="C839" s="33"/>
      <c r="F839" s="33"/>
    </row>
    <row r="840" spans="3:6" ht="22.5" customHeight="1" x14ac:dyDescent="0.15">
      <c r="C840" s="33"/>
      <c r="F840" s="33"/>
    </row>
    <row r="841" spans="3:6" ht="22.5" customHeight="1" x14ac:dyDescent="0.15">
      <c r="C841" s="33"/>
      <c r="F841" s="33"/>
    </row>
    <row r="842" spans="3:6" ht="22.5" customHeight="1" x14ac:dyDescent="0.15">
      <c r="C842" s="33"/>
      <c r="F842" s="33"/>
    </row>
    <row r="843" spans="3:6" ht="22.5" customHeight="1" x14ac:dyDescent="0.15">
      <c r="C843" s="33"/>
      <c r="F843" s="33"/>
    </row>
    <row r="844" spans="3:6" ht="22.5" customHeight="1" x14ac:dyDescent="0.15">
      <c r="C844" s="33"/>
      <c r="F844" s="33"/>
    </row>
    <row r="845" spans="3:6" ht="22.5" customHeight="1" x14ac:dyDescent="0.15">
      <c r="C845" s="33"/>
      <c r="F845" s="33"/>
    </row>
    <row r="846" spans="3:6" ht="22.5" customHeight="1" x14ac:dyDescent="0.15">
      <c r="C846" s="33"/>
      <c r="F846" s="33"/>
    </row>
    <row r="847" spans="3:6" ht="22.5" customHeight="1" x14ac:dyDescent="0.15">
      <c r="C847" s="33"/>
      <c r="F847" s="33"/>
    </row>
    <row r="848" spans="3:6" ht="22.5" customHeight="1" x14ac:dyDescent="0.15">
      <c r="C848" s="33"/>
      <c r="F848" s="33"/>
    </row>
    <row r="849" spans="3:6" ht="22.5" customHeight="1" x14ac:dyDescent="0.15">
      <c r="C849" s="33"/>
      <c r="F849" s="33"/>
    </row>
    <row r="850" spans="3:6" ht="22.5" customHeight="1" x14ac:dyDescent="0.15">
      <c r="C850" s="33"/>
      <c r="F850" s="33"/>
    </row>
    <row r="851" spans="3:6" ht="22.5" customHeight="1" x14ac:dyDescent="0.15">
      <c r="C851" s="33"/>
      <c r="F851" s="33"/>
    </row>
    <row r="852" spans="3:6" ht="22.5" customHeight="1" x14ac:dyDescent="0.15">
      <c r="C852" s="33"/>
      <c r="F852" s="33"/>
    </row>
    <row r="853" spans="3:6" ht="22.5" customHeight="1" x14ac:dyDescent="0.15">
      <c r="C853" s="33"/>
      <c r="F853" s="33"/>
    </row>
    <row r="854" spans="3:6" ht="22.5" customHeight="1" x14ac:dyDescent="0.15">
      <c r="C854" s="33"/>
      <c r="F854" s="33"/>
    </row>
    <row r="855" spans="3:6" ht="22.5" customHeight="1" x14ac:dyDescent="0.15">
      <c r="C855" s="33"/>
      <c r="F855" s="33"/>
    </row>
    <row r="856" spans="3:6" ht="22.5" customHeight="1" x14ac:dyDescent="0.15">
      <c r="C856" s="33"/>
      <c r="F856" s="33"/>
    </row>
    <row r="857" spans="3:6" ht="22.5" customHeight="1" x14ac:dyDescent="0.15">
      <c r="C857" s="33"/>
      <c r="F857" s="33"/>
    </row>
    <row r="858" spans="3:6" ht="22.5" customHeight="1" x14ac:dyDescent="0.15">
      <c r="C858" s="33"/>
      <c r="F858" s="33"/>
    </row>
    <row r="859" spans="3:6" ht="22.5" customHeight="1" x14ac:dyDescent="0.15">
      <c r="C859" s="33"/>
      <c r="F859" s="33"/>
    </row>
    <row r="860" spans="3:6" ht="22.5" customHeight="1" x14ac:dyDescent="0.15">
      <c r="C860" s="33"/>
      <c r="F860" s="33"/>
    </row>
    <row r="861" spans="3:6" ht="22.5" customHeight="1" x14ac:dyDescent="0.15">
      <c r="C861" s="33"/>
      <c r="F861" s="33"/>
    </row>
    <row r="862" spans="3:6" ht="22.5" customHeight="1" x14ac:dyDescent="0.15">
      <c r="C862" s="33"/>
      <c r="F862" s="33"/>
    </row>
    <row r="863" spans="3:6" ht="22.5" customHeight="1" x14ac:dyDescent="0.15">
      <c r="C863" s="33"/>
      <c r="F863" s="33"/>
    </row>
    <row r="864" spans="3:6" ht="22.5" customHeight="1" x14ac:dyDescent="0.15">
      <c r="C864" s="33"/>
      <c r="F864" s="33"/>
    </row>
    <row r="865" spans="3:6" ht="22.5" customHeight="1" x14ac:dyDescent="0.15">
      <c r="C865" s="33"/>
      <c r="F865" s="33"/>
    </row>
    <row r="866" spans="3:6" ht="22.5" customHeight="1" x14ac:dyDescent="0.15">
      <c r="C866" s="33"/>
      <c r="F866" s="33"/>
    </row>
    <row r="867" spans="3:6" ht="22.5" customHeight="1" x14ac:dyDescent="0.15">
      <c r="C867" s="33"/>
      <c r="F867" s="33"/>
    </row>
    <row r="868" spans="3:6" ht="22.5" customHeight="1" x14ac:dyDescent="0.15">
      <c r="C868" s="33"/>
      <c r="F868" s="33"/>
    </row>
    <row r="869" spans="3:6" ht="22.5" customHeight="1" x14ac:dyDescent="0.15">
      <c r="C869" s="33"/>
      <c r="F869" s="33"/>
    </row>
    <row r="870" spans="3:6" ht="22.5" customHeight="1" x14ac:dyDescent="0.15">
      <c r="C870" s="33"/>
      <c r="F870" s="33"/>
    </row>
    <row r="871" spans="3:6" ht="22.5" customHeight="1" x14ac:dyDescent="0.15">
      <c r="C871" s="33"/>
      <c r="F871" s="33"/>
    </row>
    <row r="872" spans="3:6" ht="22.5" customHeight="1" x14ac:dyDescent="0.15">
      <c r="C872" s="33"/>
      <c r="F872" s="33"/>
    </row>
    <row r="873" spans="3:6" ht="22.5" customHeight="1" x14ac:dyDescent="0.15">
      <c r="C873" s="33"/>
      <c r="F873" s="33"/>
    </row>
    <row r="874" spans="3:6" ht="22.5" customHeight="1" x14ac:dyDescent="0.15">
      <c r="C874" s="33"/>
      <c r="F874" s="33"/>
    </row>
    <row r="875" spans="3:6" ht="22.5" customHeight="1" x14ac:dyDescent="0.15">
      <c r="C875" s="33"/>
      <c r="F875" s="33"/>
    </row>
    <row r="876" spans="3:6" ht="22.5" customHeight="1" x14ac:dyDescent="0.15">
      <c r="C876" s="33"/>
      <c r="F876" s="33"/>
    </row>
    <row r="877" spans="3:6" ht="22.5" customHeight="1" x14ac:dyDescent="0.15">
      <c r="C877" s="33"/>
      <c r="F877" s="33"/>
    </row>
    <row r="878" spans="3:6" ht="22.5" customHeight="1" x14ac:dyDescent="0.15">
      <c r="C878" s="33"/>
      <c r="F878" s="33"/>
    </row>
    <row r="879" spans="3:6" ht="22.5" customHeight="1" x14ac:dyDescent="0.15">
      <c r="C879" s="33"/>
      <c r="F879" s="33"/>
    </row>
    <row r="880" spans="3:6" ht="22.5" customHeight="1" x14ac:dyDescent="0.15">
      <c r="C880" s="33"/>
      <c r="F880" s="33"/>
    </row>
    <row r="881" spans="3:6" ht="22.5" customHeight="1" x14ac:dyDescent="0.15">
      <c r="C881" s="33"/>
      <c r="F881" s="33"/>
    </row>
    <row r="882" spans="3:6" ht="22.5" customHeight="1" x14ac:dyDescent="0.15">
      <c r="C882" s="33"/>
      <c r="F882" s="33"/>
    </row>
    <row r="883" spans="3:6" ht="22.5" customHeight="1" x14ac:dyDescent="0.15">
      <c r="C883" s="33"/>
      <c r="F883" s="33"/>
    </row>
    <row r="884" spans="3:6" ht="22.5" customHeight="1" x14ac:dyDescent="0.15">
      <c r="C884" s="33"/>
      <c r="F884" s="33"/>
    </row>
    <row r="885" spans="3:6" ht="22.5" customHeight="1" x14ac:dyDescent="0.15">
      <c r="C885" s="33"/>
      <c r="F885" s="33"/>
    </row>
    <row r="886" spans="3:6" ht="22.5" customHeight="1" x14ac:dyDescent="0.15">
      <c r="C886" s="33"/>
      <c r="F886" s="33"/>
    </row>
    <row r="887" spans="3:6" ht="22.5" customHeight="1" x14ac:dyDescent="0.15">
      <c r="C887" s="33"/>
      <c r="F887" s="33"/>
    </row>
    <row r="888" spans="3:6" ht="22.5" customHeight="1" x14ac:dyDescent="0.15">
      <c r="C888" s="33"/>
      <c r="F888" s="33"/>
    </row>
    <row r="889" spans="3:6" ht="22.5" customHeight="1" x14ac:dyDescent="0.15">
      <c r="C889" s="33"/>
      <c r="F889" s="33"/>
    </row>
    <row r="890" spans="3:6" ht="22.5" customHeight="1" x14ac:dyDescent="0.15">
      <c r="C890" s="33"/>
      <c r="F890" s="33"/>
    </row>
    <row r="891" spans="3:6" ht="22.5" customHeight="1" x14ac:dyDescent="0.15">
      <c r="C891" s="33"/>
      <c r="F891" s="33"/>
    </row>
    <row r="892" spans="3:6" ht="22.5" customHeight="1" x14ac:dyDescent="0.15">
      <c r="C892" s="33"/>
      <c r="F892" s="33"/>
    </row>
    <row r="893" spans="3:6" ht="22.5" customHeight="1" x14ac:dyDescent="0.15">
      <c r="C893" s="33"/>
      <c r="F893" s="33"/>
    </row>
    <row r="894" spans="3:6" ht="22.5" customHeight="1" x14ac:dyDescent="0.15">
      <c r="C894" s="33"/>
      <c r="F894" s="33"/>
    </row>
    <row r="895" spans="3:6" ht="22.5" customHeight="1" x14ac:dyDescent="0.15">
      <c r="C895" s="33"/>
      <c r="F895" s="33"/>
    </row>
    <row r="896" spans="3:6" ht="22.5" customHeight="1" x14ac:dyDescent="0.15">
      <c r="C896" s="33"/>
      <c r="F896" s="33"/>
    </row>
    <row r="897" spans="3:6" ht="22.5" customHeight="1" x14ac:dyDescent="0.15">
      <c r="C897" s="33"/>
      <c r="F897" s="33"/>
    </row>
    <row r="898" spans="3:6" ht="22.5" customHeight="1" x14ac:dyDescent="0.15">
      <c r="C898" s="33"/>
      <c r="F898" s="33"/>
    </row>
    <row r="899" spans="3:6" ht="22.5" customHeight="1" x14ac:dyDescent="0.15">
      <c r="C899" s="33"/>
      <c r="F899" s="33"/>
    </row>
    <row r="900" spans="3:6" ht="22.5" customHeight="1" x14ac:dyDescent="0.15">
      <c r="C900" s="33"/>
      <c r="F900" s="33"/>
    </row>
    <row r="901" spans="3:6" ht="22.5" customHeight="1" x14ac:dyDescent="0.15">
      <c r="C901" s="33"/>
      <c r="F901" s="33"/>
    </row>
    <row r="902" spans="3:6" ht="22.5" customHeight="1" x14ac:dyDescent="0.15">
      <c r="C902" s="33"/>
      <c r="F902" s="33"/>
    </row>
    <row r="903" spans="3:6" ht="22.5" customHeight="1" x14ac:dyDescent="0.15">
      <c r="C903" s="33"/>
      <c r="F903" s="33"/>
    </row>
    <row r="904" spans="3:6" ht="22.5" customHeight="1" x14ac:dyDescent="0.15">
      <c r="C904" s="33"/>
      <c r="F904" s="33"/>
    </row>
    <row r="905" spans="3:6" ht="22.5" customHeight="1" x14ac:dyDescent="0.15">
      <c r="C905" s="33"/>
      <c r="F905" s="33"/>
    </row>
    <row r="906" spans="3:6" ht="22.5" customHeight="1" x14ac:dyDescent="0.15">
      <c r="C906" s="33"/>
      <c r="F906" s="33"/>
    </row>
    <row r="907" spans="3:6" ht="22.5" customHeight="1" x14ac:dyDescent="0.15">
      <c r="C907" s="33"/>
      <c r="F907" s="33"/>
    </row>
    <row r="908" spans="3:6" ht="22.5" customHeight="1" x14ac:dyDescent="0.15">
      <c r="C908" s="33"/>
      <c r="F908" s="33"/>
    </row>
    <row r="909" spans="3:6" ht="22.5" customHeight="1" x14ac:dyDescent="0.15">
      <c r="C909" s="33"/>
      <c r="F909" s="33"/>
    </row>
    <row r="910" spans="3:6" ht="22.5" customHeight="1" x14ac:dyDescent="0.15">
      <c r="C910" s="33"/>
      <c r="F910" s="33"/>
    </row>
    <row r="911" spans="3:6" ht="22.5" customHeight="1" x14ac:dyDescent="0.15">
      <c r="C911" s="33"/>
      <c r="F911" s="33"/>
    </row>
    <row r="912" spans="3:6" ht="22.5" customHeight="1" x14ac:dyDescent="0.15">
      <c r="C912" s="33"/>
      <c r="F912" s="33"/>
    </row>
    <row r="913" spans="3:6" ht="22.5" customHeight="1" x14ac:dyDescent="0.15">
      <c r="C913" s="33"/>
      <c r="F913" s="33"/>
    </row>
    <row r="914" spans="3:6" ht="22.5" customHeight="1" x14ac:dyDescent="0.15">
      <c r="C914" s="33"/>
      <c r="F914" s="33"/>
    </row>
    <row r="915" spans="3:6" ht="22.5" customHeight="1" x14ac:dyDescent="0.15">
      <c r="C915" s="33"/>
      <c r="F915" s="33"/>
    </row>
    <row r="916" spans="3:6" ht="22.5" customHeight="1" x14ac:dyDescent="0.15">
      <c r="C916" s="33"/>
      <c r="F916" s="33"/>
    </row>
    <row r="917" spans="3:6" ht="22.5" customHeight="1" x14ac:dyDescent="0.15">
      <c r="C917" s="33"/>
      <c r="F917" s="33"/>
    </row>
    <row r="918" spans="3:6" ht="22.5" customHeight="1" x14ac:dyDescent="0.15">
      <c r="C918" s="33"/>
      <c r="F918" s="33"/>
    </row>
    <row r="919" spans="3:6" ht="22.5" customHeight="1" x14ac:dyDescent="0.15">
      <c r="C919" s="33"/>
      <c r="F919" s="33"/>
    </row>
    <row r="920" spans="3:6" ht="22.5" customHeight="1" x14ac:dyDescent="0.15">
      <c r="C920" s="33"/>
      <c r="F920" s="33"/>
    </row>
    <row r="921" spans="3:6" ht="22.5" customHeight="1" x14ac:dyDescent="0.15">
      <c r="C921" s="33"/>
      <c r="F921" s="33"/>
    </row>
    <row r="922" spans="3:6" ht="22.5" customHeight="1" x14ac:dyDescent="0.15">
      <c r="C922" s="33"/>
      <c r="F922" s="33"/>
    </row>
    <row r="923" spans="3:6" ht="22.5" customHeight="1" x14ac:dyDescent="0.15">
      <c r="C923" s="33"/>
      <c r="F923" s="33"/>
    </row>
    <row r="924" spans="3:6" ht="22.5" customHeight="1" x14ac:dyDescent="0.15">
      <c r="C924" s="33"/>
      <c r="F924" s="33"/>
    </row>
    <row r="925" spans="3:6" ht="22.5" customHeight="1" x14ac:dyDescent="0.15">
      <c r="C925" s="33"/>
      <c r="F925" s="33"/>
    </row>
    <row r="926" spans="3:6" ht="22.5" customHeight="1" x14ac:dyDescent="0.15">
      <c r="C926" s="33"/>
      <c r="F926" s="33"/>
    </row>
    <row r="927" spans="3:6" ht="22.5" customHeight="1" x14ac:dyDescent="0.15">
      <c r="C927" s="33"/>
      <c r="F927" s="33"/>
    </row>
    <row r="928" spans="3:6" ht="22.5" customHeight="1" x14ac:dyDescent="0.15">
      <c r="C928" s="33"/>
      <c r="F928" s="33"/>
    </row>
    <row r="929" spans="3:6" ht="22.5" customHeight="1" x14ac:dyDescent="0.15">
      <c r="C929" s="33"/>
      <c r="F929" s="33"/>
    </row>
    <row r="930" spans="3:6" ht="22.5" customHeight="1" x14ac:dyDescent="0.15">
      <c r="C930" s="33"/>
      <c r="F930" s="33"/>
    </row>
    <row r="931" spans="3:6" ht="22.5" customHeight="1" x14ac:dyDescent="0.15">
      <c r="C931" s="33"/>
      <c r="F931" s="33"/>
    </row>
    <row r="932" spans="3:6" ht="22.5" customHeight="1" x14ac:dyDescent="0.15">
      <c r="C932" s="33"/>
      <c r="F932" s="33"/>
    </row>
    <row r="933" spans="3:6" ht="22.5" customHeight="1" x14ac:dyDescent="0.15">
      <c r="C933" s="33"/>
      <c r="F933" s="33"/>
    </row>
    <row r="934" spans="3:6" ht="22.5" customHeight="1" x14ac:dyDescent="0.15">
      <c r="C934" s="33"/>
      <c r="F934" s="33"/>
    </row>
    <row r="935" spans="3:6" ht="22.5" customHeight="1" x14ac:dyDescent="0.15">
      <c r="C935" s="33"/>
      <c r="F935" s="33"/>
    </row>
    <row r="936" spans="3:6" ht="22.5" customHeight="1" x14ac:dyDescent="0.15">
      <c r="C936" s="33"/>
      <c r="F936" s="33"/>
    </row>
    <row r="937" spans="3:6" ht="22.5" customHeight="1" x14ac:dyDescent="0.15">
      <c r="C937" s="33"/>
      <c r="F937" s="33"/>
    </row>
    <row r="938" spans="3:6" ht="22.5" customHeight="1" x14ac:dyDescent="0.15">
      <c r="C938" s="33"/>
      <c r="F938" s="33"/>
    </row>
    <row r="939" spans="3:6" ht="22.5" customHeight="1" x14ac:dyDescent="0.15">
      <c r="C939" s="33"/>
      <c r="F939" s="33"/>
    </row>
    <row r="940" spans="3:6" ht="22.5" customHeight="1" x14ac:dyDescent="0.15">
      <c r="C940" s="33"/>
      <c r="F940" s="33"/>
    </row>
    <row r="941" spans="3:6" ht="22.5" customHeight="1" x14ac:dyDescent="0.15">
      <c r="C941" s="33"/>
      <c r="F941" s="33"/>
    </row>
    <row r="942" spans="3:6" ht="22.5" customHeight="1" x14ac:dyDescent="0.15">
      <c r="C942" s="33"/>
      <c r="F942" s="33"/>
    </row>
    <row r="943" spans="3:6" ht="22.5" customHeight="1" x14ac:dyDescent="0.15">
      <c r="C943" s="33"/>
      <c r="F943" s="33"/>
    </row>
    <row r="944" spans="3:6" ht="22.5" customHeight="1" x14ac:dyDescent="0.15">
      <c r="C944" s="33"/>
      <c r="F944" s="33"/>
    </row>
    <row r="945" spans="3:6" ht="22.5" customHeight="1" x14ac:dyDescent="0.15">
      <c r="C945" s="33"/>
      <c r="F945" s="33"/>
    </row>
    <row r="946" spans="3:6" ht="22.5" customHeight="1" x14ac:dyDescent="0.15">
      <c r="C946" s="33"/>
      <c r="F946" s="33"/>
    </row>
    <row r="947" spans="3:6" ht="22.5" customHeight="1" x14ac:dyDescent="0.15">
      <c r="C947" s="33"/>
      <c r="F947" s="33"/>
    </row>
    <row r="948" spans="3:6" ht="22.5" customHeight="1" x14ac:dyDescent="0.15">
      <c r="C948" s="33"/>
      <c r="F948" s="33"/>
    </row>
    <row r="949" spans="3:6" ht="22.5" customHeight="1" x14ac:dyDescent="0.15">
      <c r="C949" s="33"/>
      <c r="F949" s="33"/>
    </row>
    <row r="950" spans="3:6" ht="22.5" customHeight="1" x14ac:dyDescent="0.15">
      <c r="C950" s="33"/>
      <c r="F950" s="33"/>
    </row>
    <row r="951" spans="3:6" ht="22.5" customHeight="1" x14ac:dyDescent="0.15">
      <c r="C951" s="33"/>
      <c r="F951" s="33"/>
    </row>
    <row r="952" spans="3:6" ht="22.5" customHeight="1" x14ac:dyDescent="0.15">
      <c r="C952" s="33"/>
      <c r="F952" s="33"/>
    </row>
    <row r="953" spans="3:6" ht="22.5" customHeight="1" x14ac:dyDescent="0.15">
      <c r="C953" s="33"/>
      <c r="F953" s="33"/>
    </row>
    <row r="954" spans="3:6" ht="22.5" customHeight="1" x14ac:dyDescent="0.15">
      <c r="C954" s="33"/>
      <c r="F954" s="33"/>
    </row>
    <row r="955" spans="3:6" ht="22.5" customHeight="1" x14ac:dyDescent="0.15">
      <c r="C955" s="33"/>
      <c r="F955" s="33"/>
    </row>
    <row r="956" spans="3:6" ht="22.5" customHeight="1" x14ac:dyDescent="0.15">
      <c r="C956" s="33"/>
      <c r="F956" s="33"/>
    </row>
    <row r="957" spans="3:6" ht="22.5" customHeight="1" x14ac:dyDescent="0.15">
      <c r="C957" s="33"/>
      <c r="F957" s="33"/>
    </row>
    <row r="958" spans="3:6" ht="22.5" customHeight="1" x14ac:dyDescent="0.15">
      <c r="C958" s="33"/>
      <c r="F958" s="33"/>
    </row>
    <row r="959" spans="3:6" ht="22.5" customHeight="1" x14ac:dyDescent="0.15">
      <c r="C959" s="33"/>
      <c r="F959" s="33"/>
    </row>
    <row r="960" spans="3:6" ht="22.5" customHeight="1" x14ac:dyDescent="0.15">
      <c r="C960" s="33"/>
      <c r="F960" s="33"/>
    </row>
    <row r="961" spans="3:6" ht="22.5" customHeight="1" x14ac:dyDescent="0.15">
      <c r="C961" s="33"/>
      <c r="F961" s="33"/>
    </row>
    <row r="962" spans="3:6" ht="22.5" customHeight="1" x14ac:dyDescent="0.15">
      <c r="C962" s="33"/>
      <c r="F962" s="33"/>
    </row>
    <row r="963" spans="3:6" ht="22.5" customHeight="1" x14ac:dyDescent="0.15">
      <c r="C963" s="33"/>
      <c r="F963" s="33"/>
    </row>
    <row r="964" spans="3:6" ht="22.5" customHeight="1" x14ac:dyDescent="0.15">
      <c r="C964" s="33"/>
      <c r="F964" s="33"/>
    </row>
    <row r="965" spans="3:6" ht="22.5" customHeight="1" x14ac:dyDescent="0.15">
      <c r="C965" s="33"/>
      <c r="F965" s="33"/>
    </row>
    <row r="966" spans="3:6" ht="22.5" customHeight="1" x14ac:dyDescent="0.15">
      <c r="C966" s="33"/>
      <c r="F966" s="33"/>
    </row>
    <row r="967" spans="3:6" ht="22.5" customHeight="1" x14ac:dyDescent="0.15">
      <c r="C967" s="33"/>
      <c r="F967" s="33"/>
    </row>
    <row r="968" spans="3:6" ht="22.5" customHeight="1" x14ac:dyDescent="0.15">
      <c r="C968" s="33"/>
      <c r="F968" s="33"/>
    </row>
    <row r="969" spans="3:6" ht="22.5" customHeight="1" x14ac:dyDescent="0.15">
      <c r="C969" s="33"/>
      <c r="F969" s="33"/>
    </row>
    <row r="970" spans="3:6" ht="22.5" customHeight="1" x14ac:dyDescent="0.15">
      <c r="C970" s="33"/>
      <c r="F970" s="33"/>
    </row>
    <row r="971" spans="3:6" ht="22.5" customHeight="1" x14ac:dyDescent="0.15">
      <c r="C971" s="33"/>
      <c r="F971" s="33"/>
    </row>
    <row r="972" spans="3:6" ht="22.5" customHeight="1" x14ac:dyDescent="0.15">
      <c r="C972" s="33"/>
      <c r="F972" s="33"/>
    </row>
    <row r="973" spans="3:6" ht="22.5" customHeight="1" x14ac:dyDescent="0.15">
      <c r="C973" s="33"/>
      <c r="F973" s="33"/>
    </row>
    <row r="974" spans="3:6" ht="22.5" customHeight="1" x14ac:dyDescent="0.15">
      <c r="C974" s="33"/>
      <c r="F974" s="33"/>
    </row>
    <row r="975" spans="3:6" ht="22.5" customHeight="1" x14ac:dyDescent="0.15">
      <c r="C975" s="33"/>
      <c r="F975" s="33"/>
    </row>
    <row r="976" spans="3:6" ht="22.5" customHeight="1" x14ac:dyDescent="0.15">
      <c r="C976" s="33"/>
      <c r="F976" s="33"/>
    </row>
    <row r="977" spans="3:6" ht="22.5" customHeight="1" x14ac:dyDescent="0.15">
      <c r="C977" s="33"/>
      <c r="F977" s="33"/>
    </row>
    <row r="978" spans="3:6" ht="22.5" customHeight="1" x14ac:dyDescent="0.15">
      <c r="C978" s="33"/>
      <c r="F978" s="33"/>
    </row>
    <row r="979" spans="3:6" ht="22.5" customHeight="1" x14ac:dyDescent="0.15">
      <c r="C979" s="33"/>
      <c r="F979" s="33"/>
    </row>
    <row r="980" spans="3:6" ht="22.5" customHeight="1" x14ac:dyDescent="0.15">
      <c r="C980" s="33"/>
      <c r="F980" s="33"/>
    </row>
    <row r="981" spans="3:6" ht="22.5" customHeight="1" x14ac:dyDescent="0.15">
      <c r="C981" s="33"/>
      <c r="F981" s="33"/>
    </row>
    <row r="982" spans="3:6" ht="22.5" customHeight="1" x14ac:dyDescent="0.15">
      <c r="C982" s="33"/>
      <c r="F982" s="33"/>
    </row>
    <row r="983" spans="3:6" ht="22.5" customHeight="1" x14ac:dyDescent="0.15">
      <c r="C983" s="33"/>
      <c r="F983" s="33"/>
    </row>
    <row r="984" spans="3:6" ht="22.5" customHeight="1" x14ac:dyDescent="0.15">
      <c r="C984" s="33"/>
      <c r="F984" s="33"/>
    </row>
    <row r="985" spans="3:6" ht="22.5" customHeight="1" x14ac:dyDescent="0.15">
      <c r="C985" s="33"/>
      <c r="F985" s="33"/>
    </row>
    <row r="986" spans="3:6" ht="22.5" customHeight="1" x14ac:dyDescent="0.15">
      <c r="C986" s="33"/>
      <c r="F986" s="33"/>
    </row>
    <row r="987" spans="3:6" ht="22.5" customHeight="1" x14ac:dyDescent="0.15">
      <c r="C987" s="33"/>
      <c r="F987" s="33"/>
    </row>
    <row r="988" spans="3:6" ht="22.5" customHeight="1" x14ac:dyDescent="0.15">
      <c r="C988" s="33"/>
      <c r="F988" s="33"/>
    </row>
    <row r="989" spans="3:6" ht="22.5" customHeight="1" x14ac:dyDescent="0.15">
      <c r="C989" s="33"/>
      <c r="F989" s="33"/>
    </row>
    <row r="990" spans="3:6" ht="22.5" customHeight="1" x14ac:dyDescent="0.15">
      <c r="C990" s="33"/>
      <c r="F990" s="33"/>
    </row>
    <row r="991" spans="3:6" ht="22.5" customHeight="1" x14ac:dyDescent="0.15">
      <c r="C991" s="33"/>
      <c r="F991" s="33"/>
    </row>
    <row r="992" spans="3:6" ht="22.5" customHeight="1" x14ac:dyDescent="0.15">
      <c r="C992" s="33"/>
      <c r="F992" s="33"/>
    </row>
    <row r="993" spans="3:6" ht="22.5" customHeight="1" x14ac:dyDescent="0.15">
      <c r="C993" s="33"/>
      <c r="F993" s="33"/>
    </row>
    <row r="994" spans="3:6" ht="22.5" customHeight="1" x14ac:dyDescent="0.15">
      <c r="C994" s="33"/>
      <c r="F994" s="33"/>
    </row>
    <row r="995" spans="3:6" ht="22.5" customHeight="1" x14ac:dyDescent="0.15">
      <c r="C995" s="33"/>
      <c r="F995" s="33"/>
    </row>
    <row r="996" spans="3:6" ht="22.5" customHeight="1" x14ac:dyDescent="0.15">
      <c r="C996" s="33"/>
      <c r="F996" s="33"/>
    </row>
    <row r="997" spans="3:6" ht="22.5" customHeight="1" x14ac:dyDescent="0.15">
      <c r="C997" s="33"/>
      <c r="F997" s="33"/>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 ref="A84" r:id="rId83" xr:uid="{00000000-0004-0000-0400-000052000000}"/>
    <hyperlink ref="A85" r:id="rId84" xr:uid="{00000000-0004-0000-0400-000053000000}"/>
    <hyperlink ref="A86" r:id="rId85" xr:uid="{00000000-0004-0000-0400-000054000000}"/>
    <hyperlink ref="A87" r:id="rId86" xr:uid="{00000000-0004-0000-0400-000055000000}"/>
    <hyperlink ref="A88" r:id="rId87" xr:uid="{00000000-0004-0000-0400-000056000000}"/>
    <hyperlink ref="A89" r:id="rId88" xr:uid="{00000000-0004-0000-0400-000057000000}"/>
    <hyperlink ref="A90" r:id="rId89" xr:uid="{00000000-0004-0000-0400-000058000000}"/>
    <hyperlink ref="A91" r:id="rId90" xr:uid="{00000000-0004-0000-0400-000059000000}"/>
    <hyperlink ref="A92" r:id="rId91" xr:uid="{00000000-0004-0000-0400-00005A000000}"/>
    <hyperlink ref="A93" r:id="rId92" xr:uid="{00000000-0004-0000-0400-00005B000000}"/>
    <hyperlink ref="A94" r:id="rId93" xr:uid="{00000000-0004-0000-0400-00005C000000}"/>
    <hyperlink ref="A95" r:id="rId94" xr:uid="{00000000-0004-0000-0400-00005D000000}"/>
    <hyperlink ref="A96" r:id="rId95" xr:uid="{00000000-0004-0000-0400-00005E000000}"/>
    <hyperlink ref="A97" r:id="rId96" xr:uid="{00000000-0004-0000-0400-00005F000000}"/>
    <hyperlink ref="A98" r:id="rId97" xr:uid="{00000000-0004-0000-0400-000060000000}"/>
    <hyperlink ref="A99" r:id="rId98" xr:uid="{00000000-0004-0000-0400-000061000000}"/>
    <hyperlink ref="A100" r:id="rId99" xr:uid="{00000000-0004-0000-0400-000062000000}"/>
    <hyperlink ref="A101" r:id="rId100" xr:uid="{00000000-0004-0000-0400-000063000000}"/>
    <hyperlink ref="A102" r:id="rId101" xr:uid="{00000000-0004-0000-0400-000064000000}"/>
    <hyperlink ref="A103" r:id="rId102" xr:uid="{00000000-0004-0000-0400-000065000000}"/>
    <hyperlink ref="A104" r:id="rId103" xr:uid="{00000000-0004-0000-0400-000066000000}"/>
    <hyperlink ref="A105" r:id="rId104" xr:uid="{00000000-0004-0000-0400-000067000000}"/>
    <hyperlink ref="A106" r:id="rId105" xr:uid="{00000000-0004-0000-0400-000068000000}"/>
    <hyperlink ref="A107" r:id="rId106" xr:uid="{00000000-0004-0000-0400-000069000000}"/>
    <hyperlink ref="A108" r:id="rId107" xr:uid="{00000000-0004-0000-0400-00006A000000}"/>
    <hyperlink ref="A109" r:id="rId108" xr:uid="{00000000-0004-0000-0400-00006B000000}"/>
    <hyperlink ref="A110" r:id="rId109" xr:uid="{00000000-0004-0000-0400-00006C000000}"/>
    <hyperlink ref="A111" r:id="rId110" xr:uid="{00000000-0004-0000-0400-00006D000000}"/>
    <hyperlink ref="A112" r:id="rId111" xr:uid="{00000000-0004-0000-0400-00006E000000}"/>
    <hyperlink ref="A113" r:id="rId112" xr:uid="{00000000-0004-0000-0400-00006F000000}"/>
    <hyperlink ref="A114" r:id="rId113" xr:uid="{00000000-0004-0000-0400-000070000000}"/>
    <hyperlink ref="A115" r:id="rId114" xr:uid="{00000000-0004-0000-0400-000071000000}"/>
    <hyperlink ref="A116" r:id="rId115" xr:uid="{00000000-0004-0000-0400-000072000000}"/>
    <hyperlink ref="A117" r:id="rId116" xr:uid="{00000000-0004-0000-0400-000073000000}"/>
    <hyperlink ref="A118" r:id="rId117" xr:uid="{00000000-0004-0000-0400-000074000000}"/>
    <hyperlink ref="A119" r:id="rId118" xr:uid="{00000000-0004-0000-0400-000075000000}"/>
    <hyperlink ref="A120" r:id="rId119" xr:uid="{00000000-0004-0000-0400-000076000000}"/>
    <hyperlink ref="A121" r:id="rId120" xr:uid="{00000000-0004-0000-0400-000077000000}"/>
    <hyperlink ref="A122" r:id="rId121" xr:uid="{00000000-0004-0000-0400-000078000000}"/>
    <hyperlink ref="A123" r:id="rId122" xr:uid="{00000000-0004-0000-0400-000079000000}"/>
    <hyperlink ref="A124" r:id="rId123" xr:uid="{00000000-0004-0000-0400-00007A000000}"/>
    <hyperlink ref="A125" r:id="rId124" xr:uid="{00000000-0004-0000-0400-00007B000000}"/>
    <hyperlink ref="A126" r:id="rId125" xr:uid="{00000000-0004-0000-0400-00007C000000}"/>
    <hyperlink ref="A127" r:id="rId126" xr:uid="{00000000-0004-0000-0400-00007D000000}"/>
    <hyperlink ref="A128" r:id="rId127" xr:uid="{00000000-0004-0000-0400-00007E000000}"/>
    <hyperlink ref="A129" r:id="rId128" xr:uid="{00000000-0004-0000-0400-00007F000000}"/>
    <hyperlink ref="A130" r:id="rId129" xr:uid="{00000000-0004-0000-0400-000080000000}"/>
    <hyperlink ref="A131" r:id="rId130" xr:uid="{00000000-0004-0000-0400-000081000000}"/>
    <hyperlink ref="A132" r:id="rId131" xr:uid="{00000000-0004-0000-0400-000082000000}"/>
    <hyperlink ref="A133" r:id="rId132" xr:uid="{00000000-0004-0000-0400-000083000000}"/>
    <hyperlink ref="A134" r:id="rId133" xr:uid="{00000000-0004-0000-0400-000084000000}"/>
    <hyperlink ref="A135" r:id="rId134" xr:uid="{00000000-0004-0000-0400-000085000000}"/>
    <hyperlink ref="A136" r:id="rId135" xr:uid="{00000000-0004-0000-0400-000086000000}"/>
    <hyperlink ref="A137" r:id="rId136" xr:uid="{00000000-0004-0000-0400-000087000000}"/>
    <hyperlink ref="A138" r:id="rId137" xr:uid="{00000000-0004-0000-0400-000088000000}"/>
    <hyperlink ref="A139" r:id="rId138" xr:uid="{00000000-0004-0000-0400-000089000000}"/>
    <hyperlink ref="A140" r:id="rId139" xr:uid="{00000000-0004-0000-0400-00008A000000}"/>
    <hyperlink ref="A141" r:id="rId140" xr:uid="{00000000-0004-0000-0400-00008B000000}"/>
    <hyperlink ref="A142" r:id="rId141" xr:uid="{00000000-0004-0000-0400-00008C000000}"/>
    <hyperlink ref="A143" r:id="rId142" xr:uid="{00000000-0004-0000-0400-00008D000000}"/>
    <hyperlink ref="A144" r:id="rId143" xr:uid="{00000000-0004-0000-0400-00008E000000}"/>
    <hyperlink ref="A145" r:id="rId144" xr:uid="{00000000-0004-0000-0400-00008F000000}"/>
    <hyperlink ref="A146" r:id="rId145" xr:uid="{00000000-0004-0000-0400-000090000000}"/>
    <hyperlink ref="A147" r:id="rId146" xr:uid="{00000000-0004-0000-0400-000091000000}"/>
    <hyperlink ref="A148" r:id="rId147" xr:uid="{00000000-0004-0000-0400-000092000000}"/>
    <hyperlink ref="A149" r:id="rId148" xr:uid="{00000000-0004-0000-0400-000093000000}"/>
    <hyperlink ref="A150" r:id="rId149" xr:uid="{00000000-0004-0000-0400-000094000000}"/>
    <hyperlink ref="A151" r:id="rId150" xr:uid="{00000000-0004-0000-0400-000095000000}"/>
    <hyperlink ref="A152" r:id="rId151" xr:uid="{00000000-0004-0000-0400-000096000000}"/>
    <hyperlink ref="A153" r:id="rId152" xr:uid="{00000000-0004-0000-0400-000097000000}"/>
    <hyperlink ref="A154" r:id="rId153" xr:uid="{00000000-0004-0000-0400-000098000000}"/>
    <hyperlink ref="A155" r:id="rId154" xr:uid="{00000000-0004-0000-0400-000099000000}"/>
    <hyperlink ref="A156" r:id="rId155" xr:uid="{00000000-0004-0000-0400-00009A000000}"/>
    <hyperlink ref="A157" r:id="rId156" xr:uid="{00000000-0004-0000-0400-00009B000000}"/>
    <hyperlink ref="A158" r:id="rId157" xr:uid="{00000000-0004-0000-0400-00009C000000}"/>
    <hyperlink ref="A159" r:id="rId158" xr:uid="{00000000-0004-0000-0400-00009D000000}"/>
    <hyperlink ref="A160" r:id="rId159" xr:uid="{00000000-0004-0000-0400-00009E000000}"/>
    <hyperlink ref="A161" r:id="rId160" xr:uid="{00000000-0004-0000-0400-00009F000000}"/>
    <hyperlink ref="A162" r:id="rId161" xr:uid="{00000000-0004-0000-0400-0000A0000000}"/>
    <hyperlink ref="A163" r:id="rId162" xr:uid="{00000000-0004-0000-0400-0000A1000000}"/>
    <hyperlink ref="A164" r:id="rId163" xr:uid="{00000000-0004-0000-0400-0000A2000000}"/>
    <hyperlink ref="A165" r:id="rId164" xr:uid="{00000000-0004-0000-0400-0000A3000000}"/>
    <hyperlink ref="A166" r:id="rId165" xr:uid="{00000000-0004-0000-0400-0000A4000000}"/>
    <hyperlink ref="A167" r:id="rId166" xr:uid="{00000000-0004-0000-0400-0000A5000000}"/>
    <hyperlink ref="A168" r:id="rId167" xr:uid="{00000000-0004-0000-0400-0000A6000000}"/>
    <hyperlink ref="A169" r:id="rId168" xr:uid="{00000000-0004-0000-0400-0000A7000000}"/>
    <hyperlink ref="A170" r:id="rId169" xr:uid="{00000000-0004-0000-0400-0000A8000000}"/>
    <hyperlink ref="A171" r:id="rId170" xr:uid="{00000000-0004-0000-0400-0000A9000000}"/>
    <hyperlink ref="A172" r:id="rId171" xr:uid="{00000000-0004-0000-0400-0000AA000000}"/>
    <hyperlink ref="A173" r:id="rId172" xr:uid="{00000000-0004-0000-0400-0000AB000000}"/>
    <hyperlink ref="A174" r:id="rId173" xr:uid="{00000000-0004-0000-0400-0000AC000000}"/>
    <hyperlink ref="A175" r:id="rId174" xr:uid="{00000000-0004-0000-0400-0000AD000000}"/>
    <hyperlink ref="A176" r:id="rId175" xr:uid="{00000000-0004-0000-0400-0000AE000000}"/>
    <hyperlink ref="A177" r:id="rId176" xr:uid="{00000000-0004-0000-0400-0000AF000000}"/>
    <hyperlink ref="A178" r:id="rId177" xr:uid="{00000000-0004-0000-0400-0000B0000000}"/>
    <hyperlink ref="A179" r:id="rId178" xr:uid="{00000000-0004-0000-0400-0000B1000000}"/>
    <hyperlink ref="A180" r:id="rId179" xr:uid="{00000000-0004-0000-0400-0000B2000000}"/>
    <hyperlink ref="A181" r:id="rId180" xr:uid="{00000000-0004-0000-0400-0000B3000000}"/>
    <hyperlink ref="A182" r:id="rId181" xr:uid="{00000000-0004-0000-0400-0000B4000000}"/>
    <hyperlink ref="A183" r:id="rId182" xr:uid="{00000000-0004-0000-0400-0000B5000000}"/>
    <hyperlink ref="A184" r:id="rId183" xr:uid="{00000000-0004-0000-0400-0000B6000000}"/>
    <hyperlink ref="A185" r:id="rId184" xr:uid="{00000000-0004-0000-0400-0000B7000000}"/>
    <hyperlink ref="A186" r:id="rId185" xr:uid="{00000000-0004-0000-0400-0000B8000000}"/>
    <hyperlink ref="A187" r:id="rId186" xr:uid="{00000000-0004-0000-0400-0000B9000000}"/>
    <hyperlink ref="A188" r:id="rId187" xr:uid="{00000000-0004-0000-0400-0000BA000000}"/>
    <hyperlink ref="A189" r:id="rId188" xr:uid="{00000000-0004-0000-0400-0000BB000000}"/>
    <hyperlink ref="A190" r:id="rId189" xr:uid="{00000000-0004-0000-0400-0000BC000000}"/>
    <hyperlink ref="A191" r:id="rId190" xr:uid="{00000000-0004-0000-0400-0000BD000000}"/>
    <hyperlink ref="A192" r:id="rId191" xr:uid="{00000000-0004-0000-0400-0000BE000000}"/>
    <hyperlink ref="A193" r:id="rId192" xr:uid="{00000000-0004-0000-0400-0000BF000000}"/>
    <hyperlink ref="A194" r:id="rId193" xr:uid="{00000000-0004-0000-0400-0000C0000000}"/>
    <hyperlink ref="A195" r:id="rId194" xr:uid="{00000000-0004-0000-0400-0000C1000000}"/>
    <hyperlink ref="A196" r:id="rId195" xr:uid="{00000000-0004-0000-0400-0000C2000000}"/>
    <hyperlink ref="A197" r:id="rId196" xr:uid="{00000000-0004-0000-0400-0000C3000000}"/>
    <hyperlink ref="A198" r:id="rId197" xr:uid="{00000000-0004-0000-0400-0000C4000000}"/>
    <hyperlink ref="A199" r:id="rId198" xr:uid="{00000000-0004-0000-0400-0000C5000000}"/>
    <hyperlink ref="A200" r:id="rId199" xr:uid="{00000000-0004-0000-0400-0000C6000000}"/>
    <hyperlink ref="A201" r:id="rId200" xr:uid="{00000000-0004-0000-0400-0000C7000000}"/>
    <hyperlink ref="A202" r:id="rId201" xr:uid="{00000000-0004-0000-0400-0000C8000000}"/>
    <hyperlink ref="A203" r:id="rId202" xr:uid="{00000000-0004-0000-0400-0000C9000000}"/>
    <hyperlink ref="A204" r:id="rId203" xr:uid="{00000000-0004-0000-0400-0000CA000000}"/>
    <hyperlink ref="A205" r:id="rId204" xr:uid="{00000000-0004-0000-0400-0000CB000000}"/>
    <hyperlink ref="A206" r:id="rId205" xr:uid="{00000000-0004-0000-0400-0000CC000000}"/>
    <hyperlink ref="A207" r:id="rId206" xr:uid="{00000000-0004-0000-0400-0000CD000000}"/>
    <hyperlink ref="A208" r:id="rId207" xr:uid="{00000000-0004-0000-0400-0000CE000000}"/>
    <hyperlink ref="A209" r:id="rId208" xr:uid="{00000000-0004-0000-0400-0000CF000000}"/>
    <hyperlink ref="A210" r:id="rId209" xr:uid="{00000000-0004-0000-0400-0000D0000000}"/>
    <hyperlink ref="A211" r:id="rId210" xr:uid="{00000000-0004-0000-0400-0000D1000000}"/>
    <hyperlink ref="A212" r:id="rId211" xr:uid="{00000000-0004-0000-0400-0000D2000000}"/>
    <hyperlink ref="A213" r:id="rId212" xr:uid="{00000000-0004-0000-0400-0000D3000000}"/>
    <hyperlink ref="A214" r:id="rId213" xr:uid="{00000000-0004-0000-0400-0000D4000000}"/>
    <hyperlink ref="A215" r:id="rId214" xr:uid="{00000000-0004-0000-0400-0000D5000000}"/>
    <hyperlink ref="A216" r:id="rId215" xr:uid="{00000000-0004-0000-0400-0000D6000000}"/>
    <hyperlink ref="A217" r:id="rId216" xr:uid="{00000000-0004-0000-0400-0000D7000000}"/>
    <hyperlink ref="A218" r:id="rId217" xr:uid="{00000000-0004-0000-0400-0000D8000000}"/>
    <hyperlink ref="A219" r:id="rId218" xr:uid="{00000000-0004-0000-0400-0000D9000000}"/>
    <hyperlink ref="A220" r:id="rId219" xr:uid="{00000000-0004-0000-0400-0000DA000000}"/>
    <hyperlink ref="A221" r:id="rId220" xr:uid="{00000000-0004-0000-0400-0000DB000000}"/>
    <hyperlink ref="A222" r:id="rId221" xr:uid="{00000000-0004-0000-0400-0000DC000000}"/>
    <hyperlink ref="A223" r:id="rId222" xr:uid="{00000000-0004-0000-0400-0000DD000000}"/>
    <hyperlink ref="A224" r:id="rId223" xr:uid="{00000000-0004-0000-0400-0000DE000000}"/>
    <hyperlink ref="A225" r:id="rId224" xr:uid="{00000000-0004-0000-0400-0000DF000000}"/>
    <hyperlink ref="A226" r:id="rId225" xr:uid="{00000000-0004-0000-0400-0000E0000000}"/>
    <hyperlink ref="A227" r:id="rId226" xr:uid="{00000000-0004-0000-0400-0000E1000000}"/>
    <hyperlink ref="A228" r:id="rId227" xr:uid="{00000000-0004-0000-0400-0000E2000000}"/>
    <hyperlink ref="A229" r:id="rId228" xr:uid="{00000000-0004-0000-0400-0000E3000000}"/>
    <hyperlink ref="A230" r:id="rId229" xr:uid="{00000000-0004-0000-0400-0000E4000000}"/>
    <hyperlink ref="A231" r:id="rId230" xr:uid="{00000000-0004-0000-0400-0000E5000000}"/>
    <hyperlink ref="A232" r:id="rId231" xr:uid="{00000000-0004-0000-0400-0000E6000000}"/>
    <hyperlink ref="A233" r:id="rId232" xr:uid="{00000000-0004-0000-0400-0000E7000000}"/>
    <hyperlink ref="A234" r:id="rId233" xr:uid="{00000000-0004-0000-0400-0000E8000000}"/>
    <hyperlink ref="A235" r:id="rId234" xr:uid="{00000000-0004-0000-0400-0000E9000000}"/>
    <hyperlink ref="A236" r:id="rId235" xr:uid="{00000000-0004-0000-0400-0000EA000000}"/>
    <hyperlink ref="A237" r:id="rId236" xr:uid="{00000000-0004-0000-0400-0000EB000000}"/>
    <hyperlink ref="A238" r:id="rId237" xr:uid="{00000000-0004-0000-0400-0000EC000000}"/>
    <hyperlink ref="A239" r:id="rId238" xr:uid="{00000000-0004-0000-0400-0000ED000000}"/>
    <hyperlink ref="A240" r:id="rId239" xr:uid="{00000000-0004-0000-0400-0000EE000000}"/>
    <hyperlink ref="A241" r:id="rId240" xr:uid="{00000000-0004-0000-0400-0000EF000000}"/>
    <hyperlink ref="A242" r:id="rId241" xr:uid="{00000000-0004-0000-0400-0000F0000000}"/>
    <hyperlink ref="A243" r:id="rId242" xr:uid="{00000000-0004-0000-0400-0000F1000000}"/>
    <hyperlink ref="A244" r:id="rId243" xr:uid="{00000000-0004-0000-0400-0000F2000000}"/>
    <hyperlink ref="A245" r:id="rId244" xr:uid="{00000000-0004-0000-0400-0000F3000000}"/>
    <hyperlink ref="A246" r:id="rId245" xr:uid="{00000000-0004-0000-0400-0000F4000000}"/>
    <hyperlink ref="A247" r:id="rId246" xr:uid="{00000000-0004-0000-0400-0000F5000000}"/>
    <hyperlink ref="A248" r:id="rId247" xr:uid="{00000000-0004-0000-0400-0000F6000000}"/>
    <hyperlink ref="A249" r:id="rId248" xr:uid="{00000000-0004-0000-0400-0000F7000000}"/>
    <hyperlink ref="A250" r:id="rId249" xr:uid="{00000000-0004-0000-0400-0000F8000000}"/>
    <hyperlink ref="A251" r:id="rId250" xr:uid="{00000000-0004-0000-0400-0000F9000000}"/>
    <hyperlink ref="A252" r:id="rId251" xr:uid="{00000000-0004-0000-0400-0000FA000000}"/>
    <hyperlink ref="A253" r:id="rId252" xr:uid="{00000000-0004-0000-0400-0000FB000000}"/>
    <hyperlink ref="A254" r:id="rId253" xr:uid="{00000000-0004-0000-0400-0000FC000000}"/>
    <hyperlink ref="A255" r:id="rId254" xr:uid="{00000000-0004-0000-0400-0000FD000000}"/>
    <hyperlink ref="A256" r:id="rId255" xr:uid="{00000000-0004-0000-0400-0000FE000000}"/>
    <hyperlink ref="A257" r:id="rId256" xr:uid="{00000000-0004-0000-0400-0000FF000000}"/>
    <hyperlink ref="A258" r:id="rId257" xr:uid="{00000000-0004-0000-0400-000000010000}"/>
    <hyperlink ref="A259" r:id="rId258" xr:uid="{00000000-0004-0000-0400-000001010000}"/>
    <hyperlink ref="A260" r:id="rId259" xr:uid="{00000000-0004-0000-0400-000002010000}"/>
    <hyperlink ref="A261" r:id="rId260" xr:uid="{00000000-0004-0000-0400-000003010000}"/>
    <hyperlink ref="A262" r:id="rId261" xr:uid="{00000000-0004-0000-0400-000004010000}"/>
    <hyperlink ref="A263" r:id="rId262" xr:uid="{00000000-0004-0000-0400-000005010000}"/>
    <hyperlink ref="A264" r:id="rId263" xr:uid="{00000000-0004-0000-0400-000006010000}"/>
    <hyperlink ref="A265" r:id="rId264" xr:uid="{00000000-0004-0000-0400-000007010000}"/>
    <hyperlink ref="A266" r:id="rId265" xr:uid="{00000000-0004-0000-0400-000008010000}"/>
    <hyperlink ref="A267" r:id="rId266" xr:uid="{00000000-0004-0000-0400-000009010000}"/>
    <hyperlink ref="A268" r:id="rId267" xr:uid="{00000000-0004-0000-0400-00000A010000}"/>
    <hyperlink ref="A269" r:id="rId268" xr:uid="{00000000-0004-0000-0400-00000B010000}"/>
    <hyperlink ref="A270" r:id="rId269" xr:uid="{00000000-0004-0000-0400-00000C010000}"/>
    <hyperlink ref="A271" r:id="rId270" xr:uid="{00000000-0004-0000-0400-00000D010000}"/>
    <hyperlink ref="A272" r:id="rId271" xr:uid="{00000000-0004-0000-0400-00000E010000}"/>
    <hyperlink ref="A273" r:id="rId272" xr:uid="{00000000-0004-0000-0400-00000F010000}"/>
    <hyperlink ref="A274" r:id="rId273" xr:uid="{00000000-0004-0000-0400-000010010000}"/>
    <hyperlink ref="A275" r:id="rId274" xr:uid="{00000000-0004-0000-0400-000011010000}"/>
    <hyperlink ref="A276" r:id="rId275" xr:uid="{00000000-0004-0000-0400-000012010000}"/>
    <hyperlink ref="A277" r:id="rId276" xr:uid="{00000000-0004-0000-0400-000013010000}"/>
    <hyperlink ref="A278" r:id="rId277" xr:uid="{00000000-0004-0000-0400-000014010000}"/>
    <hyperlink ref="A279" r:id="rId278" xr:uid="{00000000-0004-0000-0400-000015010000}"/>
    <hyperlink ref="A280" r:id="rId279" xr:uid="{00000000-0004-0000-0400-000016010000}"/>
    <hyperlink ref="A281" r:id="rId280" xr:uid="{00000000-0004-0000-0400-000017010000}"/>
    <hyperlink ref="A282" r:id="rId281" xr:uid="{00000000-0004-0000-0400-000018010000}"/>
    <hyperlink ref="A283" r:id="rId282" xr:uid="{00000000-0004-0000-0400-000019010000}"/>
    <hyperlink ref="A284" r:id="rId283" xr:uid="{00000000-0004-0000-0400-00001A010000}"/>
    <hyperlink ref="A285" r:id="rId284" xr:uid="{00000000-0004-0000-0400-00001B010000}"/>
    <hyperlink ref="A286" r:id="rId285" xr:uid="{00000000-0004-0000-0400-00001C010000}"/>
    <hyperlink ref="A287" r:id="rId286" xr:uid="{00000000-0004-0000-0400-00001D010000}"/>
    <hyperlink ref="A288" r:id="rId287" xr:uid="{00000000-0004-0000-0400-00001E010000}"/>
    <hyperlink ref="A289" r:id="rId288" xr:uid="{00000000-0004-0000-0400-00001F010000}"/>
    <hyperlink ref="A290" r:id="rId289" xr:uid="{00000000-0004-0000-0400-000020010000}"/>
    <hyperlink ref="A291" r:id="rId290" xr:uid="{00000000-0004-0000-0400-000021010000}"/>
    <hyperlink ref="A292" r:id="rId291" xr:uid="{00000000-0004-0000-0400-000022010000}"/>
    <hyperlink ref="A293" r:id="rId292" xr:uid="{00000000-0004-0000-0400-000023010000}"/>
    <hyperlink ref="A294" r:id="rId293" xr:uid="{00000000-0004-0000-0400-000024010000}"/>
    <hyperlink ref="A295" r:id="rId294" xr:uid="{00000000-0004-0000-0400-000025010000}"/>
    <hyperlink ref="A296" r:id="rId295" xr:uid="{00000000-0004-0000-0400-000026010000}"/>
    <hyperlink ref="A297" r:id="rId296" xr:uid="{00000000-0004-0000-0400-000027010000}"/>
    <hyperlink ref="A298" r:id="rId297" xr:uid="{00000000-0004-0000-0400-000028010000}"/>
    <hyperlink ref="A299" r:id="rId298" xr:uid="{00000000-0004-0000-0400-000029010000}"/>
    <hyperlink ref="A300" r:id="rId299" xr:uid="{00000000-0004-0000-0400-00002A010000}"/>
    <hyperlink ref="A301" r:id="rId300" xr:uid="{00000000-0004-0000-0400-00002B010000}"/>
    <hyperlink ref="A302" r:id="rId301" xr:uid="{00000000-0004-0000-0400-00002C010000}"/>
    <hyperlink ref="A303" r:id="rId302" xr:uid="{00000000-0004-0000-0400-00002D010000}"/>
    <hyperlink ref="A304" r:id="rId303" xr:uid="{00000000-0004-0000-0400-00002E010000}"/>
    <hyperlink ref="A305" r:id="rId304" xr:uid="{00000000-0004-0000-0400-00002F010000}"/>
    <hyperlink ref="A306" r:id="rId305" xr:uid="{00000000-0004-0000-0400-000030010000}"/>
    <hyperlink ref="A307" r:id="rId306" xr:uid="{00000000-0004-0000-0400-000031010000}"/>
    <hyperlink ref="A308" r:id="rId307" xr:uid="{00000000-0004-0000-0400-000032010000}"/>
    <hyperlink ref="A309" r:id="rId308" xr:uid="{00000000-0004-0000-0400-000033010000}"/>
    <hyperlink ref="A310" r:id="rId309" xr:uid="{00000000-0004-0000-0400-000034010000}"/>
    <hyperlink ref="A311" r:id="rId310" xr:uid="{00000000-0004-0000-0400-000035010000}"/>
    <hyperlink ref="A312" r:id="rId311" xr:uid="{00000000-0004-0000-0400-000036010000}"/>
    <hyperlink ref="A313" r:id="rId312" xr:uid="{00000000-0004-0000-0400-000037010000}"/>
    <hyperlink ref="A314" r:id="rId313" xr:uid="{00000000-0004-0000-0400-000038010000}"/>
    <hyperlink ref="A315" r:id="rId314" xr:uid="{00000000-0004-0000-0400-000039010000}"/>
    <hyperlink ref="A316" r:id="rId315" xr:uid="{00000000-0004-0000-0400-00003A010000}"/>
    <hyperlink ref="A317" r:id="rId316" xr:uid="{00000000-0004-0000-0400-00003B010000}"/>
    <hyperlink ref="A318" r:id="rId317" xr:uid="{00000000-0004-0000-0400-00003C010000}"/>
    <hyperlink ref="A319" r:id="rId318" xr:uid="{00000000-0004-0000-0400-00003D010000}"/>
    <hyperlink ref="A320" r:id="rId319" xr:uid="{00000000-0004-0000-0400-00003E010000}"/>
    <hyperlink ref="A321" r:id="rId320" xr:uid="{00000000-0004-0000-0400-00003F010000}"/>
    <hyperlink ref="A322" r:id="rId321" xr:uid="{00000000-0004-0000-0400-000040010000}"/>
    <hyperlink ref="A323" r:id="rId322" xr:uid="{00000000-0004-0000-0400-000041010000}"/>
    <hyperlink ref="A324" r:id="rId323" xr:uid="{00000000-0004-0000-0400-000042010000}"/>
    <hyperlink ref="A325" r:id="rId324" xr:uid="{00000000-0004-0000-0400-000043010000}"/>
    <hyperlink ref="A326" r:id="rId325" xr:uid="{00000000-0004-0000-0400-000044010000}"/>
    <hyperlink ref="A327" r:id="rId326" xr:uid="{00000000-0004-0000-0400-000045010000}"/>
    <hyperlink ref="A328" r:id="rId327" xr:uid="{00000000-0004-0000-0400-000046010000}"/>
    <hyperlink ref="A329" r:id="rId328" xr:uid="{00000000-0004-0000-0400-000047010000}"/>
    <hyperlink ref="A330" r:id="rId329" xr:uid="{00000000-0004-0000-0400-000048010000}"/>
    <hyperlink ref="A331" r:id="rId330" xr:uid="{00000000-0004-0000-0400-000049010000}"/>
    <hyperlink ref="A332" r:id="rId331" xr:uid="{00000000-0004-0000-0400-00004A010000}"/>
    <hyperlink ref="A333" r:id="rId332" xr:uid="{00000000-0004-0000-0400-00004B010000}"/>
    <hyperlink ref="A334" r:id="rId333" xr:uid="{00000000-0004-0000-0400-00004C010000}"/>
    <hyperlink ref="A335" r:id="rId334" xr:uid="{00000000-0004-0000-0400-00004D010000}"/>
    <hyperlink ref="A336" r:id="rId335" xr:uid="{00000000-0004-0000-0400-00004E010000}"/>
    <hyperlink ref="A337" r:id="rId336" xr:uid="{00000000-0004-0000-0400-00004F010000}"/>
    <hyperlink ref="A338" r:id="rId337" xr:uid="{00000000-0004-0000-0400-000050010000}"/>
    <hyperlink ref="A339" r:id="rId338" xr:uid="{00000000-0004-0000-0400-000051010000}"/>
    <hyperlink ref="A340" r:id="rId339" xr:uid="{00000000-0004-0000-0400-000052010000}"/>
    <hyperlink ref="A341" r:id="rId340" xr:uid="{00000000-0004-0000-0400-000053010000}"/>
    <hyperlink ref="A342" r:id="rId341" xr:uid="{00000000-0004-0000-0400-000054010000}"/>
    <hyperlink ref="A343" r:id="rId342" xr:uid="{00000000-0004-0000-0400-000055010000}"/>
    <hyperlink ref="A344" r:id="rId343" xr:uid="{00000000-0004-0000-0400-000056010000}"/>
    <hyperlink ref="A345" r:id="rId344" xr:uid="{00000000-0004-0000-0400-000057010000}"/>
    <hyperlink ref="A346" r:id="rId345" xr:uid="{00000000-0004-0000-0400-000058010000}"/>
    <hyperlink ref="A347" r:id="rId346" xr:uid="{00000000-0004-0000-0400-000059010000}"/>
    <hyperlink ref="A348" r:id="rId347" xr:uid="{00000000-0004-0000-0400-00005A010000}"/>
    <hyperlink ref="A349" r:id="rId348" xr:uid="{00000000-0004-0000-0400-00005B010000}"/>
    <hyperlink ref="A350" r:id="rId349" xr:uid="{00000000-0004-0000-0400-00005C010000}"/>
    <hyperlink ref="A351" r:id="rId350" xr:uid="{00000000-0004-0000-0400-00005D010000}"/>
    <hyperlink ref="A352" r:id="rId351" xr:uid="{00000000-0004-0000-0400-00005E010000}"/>
    <hyperlink ref="A353" r:id="rId352" xr:uid="{00000000-0004-0000-0400-00005F010000}"/>
    <hyperlink ref="A354" r:id="rId353" xr:uid="{00000000-0004-0000-0400-000060010000}"/>
    <hyperlink ref="A355" r:id="rId354" xr:uid="{00000000-0004-0000-0400-000061010000}"/>
    <hyperlink ref="A356" r:id="rId355" xr:uid="{00000000-0004-0000-0400-000062010000}"/>
    <hyperlink ref="A357" r:id="rId356" xr:uid="{00000000-0004-0000-0400-000063010000}"/>
    <hyperlink ref="A358" r:id="rId357" xr:uid="{00000000-0004-0000-0400-000064010000}"/>
    <hyperlink ref="A359" r:id="rId358" xr:uid="{00000000-0004-0000-0400-000065010000}"/>
    <hyperlink ref="A360" r:id="rId359" xr:uid="{00000000-0004-0000-0400-000066010000}"/>
    <hyperlink ref="A361" r:id="rId360" xr:uid="{00000000-0004-0000-0400-000067010000}"/>
    <hyperlink ref="A362" r:id="rId361" xr:uid="{00000000-0004-0000-0400-000068010000}"/>
    <hyperlink ref="A363" r:id="rId362" xr:uid="{00000000-0004-0000-0400-000069010000}"/>
    <hyperlink ref="A364" r:id="rId363" xr:uid="{00000000-0004-0000-0400-00006A010000}"/>
    <hyperlink ref="A365" r:id="rId364" xr:uid="{00000000-0004-0000-0400-00006B010000}"/>
    <hyperlink ref="A366" r:id="rId365" xr:uid="{00000000-0004-0000-0400-00006C010000}"/>
    <hyperlink ref="A367" r:id="rId366" xr:uid="{00000000-0004-0000-0400-00006D010000}"/>
    <hyperlink ref="A368" r:id="rId367" xr:uid="{00000000-0004-0000-0400-00006E010000}"/>
    <hyperlink ref="A369" r:id="rId368" xr:uid="{00000000-0004-0000-0400-00006F010000}"/>
    <hyperlink ref="A370" r:id="rId369" xr:uid="{00000000-0004-0000-0400-000070010000}"/>
    <hyperlink ref="A371" r:id="rId370" xr:uid="{00000000-0004-0000-0400-000071010000}"/>
    <hyperlink ref="A372" r:id="rId371" xr:uid="{00000000-0004-0000-0400-000072010000}"/>
    <hyperlink ref="A373" r:id="rId372" xr:uid="{00000000-0004-0000-0400-000073010000}"/>
    <hyperlink ref="A374" r:id="rId373" xr:uid="{00000000-0004-0000-0400-000074010000}"/>
    <hyperlink ref="A375" r:id="rId374" xr:uid="{00000000-0004-0000-0400-000075010000}"/>
    <hyperlink ref="A376" r:id="rId375" xr:uid="{00000000-0004-0000-0400-000076010000}"/>
    <hyperlink ref="A377" r:id="rId376" xr:uid="{00000000-0004-0000-0400-000077010000}"/>
    <hyperlink ref="A378" r:id="rId377" xr:uid="{00000000-0004-0000-0400-000078010000}"/>
    <hyperlink ref="A379" r:id="rId378" xr:uid="{00000000-0004-0000-0400-000079010000}"/>
    <hyperlink ref="A380" r:id="rId379" xr:uid="{00000000-0004-0000-0400-00007A010000}"/>
    <hyperlink ref="A381" r:id="rId380" xr:uid="{00000000-0004-0000-0400-00007B010000}"/>
    <hyperlink ref="A382" r:id="rId381" xr:uid="{00000000-0004-0000-0400-00007C010000}"/>
    <hyperlink ref="A383" r:id="rId382" xr:uid="{00000000-0004-0000-0400-00007D010000}"/>
    <hyperlink ref="A384" r:id="rId383" xr:uid="{00000000-0004-0000-0400-00007E010000}"/>
    <hyperlink ref="A385" r:id="rId384" xr:uid="{00000000-0004-0000-0400-00007F010000}"/>
    <hyperlink ref="A386" r:id="rId385" xr:uid="{00000000-0004-0000-0400-000080010000}"/>
    <hyperlink ref="A387" r:id="rId386" xr:uid="{00000000-0004-0000-0400-000081010000}"/>
    <hyperlink ref="A388" r:id="rId387" xr:uid="{00000000-0004-0000-0400-000082010000}"/>
    <hyperlink ref="A389" r:id="rId388" xr:uid="{00000000-0004-0000-0400-000083010000}"/>
    <hyperlink ref="A390" r:id="rId389" xr:uid="{00000000-0004-0000-0400-000084010000}"/>
    <hyperlink ref="A391" r:id="rId390" xr:uid="{00000000-0004-0000-0400-000085010000}"/>
    <hyperlink ref="A392" r:id="rId391" xr:uid="{00000000-0004-0000-0400-000086010000}"/>
    <hyperlink ref="A393" r:id="rId392" xr:uid="{00000000-0004-0000-0400-000087010000}"/>
    <hyperlink ref="A394" r:id="rId393" xr:uid="{00000000-0004-0000-0400-000088010000}"/>
    <hyperlink ref="A395" r:id="rId394" xr:uid="{00000000-0004-0000-0400-000089010000}"/>
    <hyperlink ref="A396" r:id="rId395" xr:uid="{00000000-0004-0000-0400-00008A010000}"/>
    <hyperlink ref="A397" r:id="rId396" xr:uid="{00000000-0004-0000-0400-00008B010000}"/>
    <hyperlink ref="A398" r:id="rId397" xr:uid="{00000000-0004-0000-0400-00008C010000}"/>
    <hyperlink ref="A399" r:id="rId398" xr:uid="{00000000-0004-0000-0400-00008D010000}"/>
    <hyperlink ref="A400" r:id="rId399" xr:uid="{00000000-0004-0000-0400-00008E010000}"/>
    <hyperlink ref="A401" r:id="rId400" xr:uid="{00000000-0004-0000-0400-00008F010000}"/>
    <hyperlink ref="A402" r:id="rId401" xr:uid="{00000000-0004-0000-0400-000090010000}"/>
    <hyperlink ref="A403" r:id="rId402" xr:uid="{00000000-0004-0000-0400-000091010000}"/>
    <hyperlink ref="A404" r:id="rId403" xr:uid="{00000000-0004-0000-0400-000092010000}"/>
    <hyperlink ref="A405" r:id="rId404" xr:uid="{00000000-0004-0000-0400-000093010000}"/>
    <hyperlink ref="A406" r:id="rId405" xr:uid="{00000000-0004-0000-0400-000094010000}"/>
    <hyperlink ref="A407" r:id="rId406" xr:uid="{00000000-0004-0000-0400-000095010000}"/>
    <hyperlink ref="A408" r:id="rId407" xr:uid="{00000000-0004-0000-0400-000096010000}"/>
    <hyperlink ref="A409" r:id="rId408" xr:uid="{00000000-0004-0000-0400-000097010000}"/>
    <hyperlink ref="A410" r:id="rId409" xr:uid="{00000000-0004-0000-0400-000098010000}"/>
    <hyperlink ref="A411" r:id="rId410" xr:uid="{00000000-0004-0000-0400-000099010000}"/>
    <hyperlink ref="A412" r:id="rId411" xr:uid="{00000000-0004-0000-0400-00009A010000}"/>
    <hyperlink ref="A413" r:id="rId412" xr:uid="{00000000-0004-0000-0400-00009B010000}"/>
    <hyperlink ref="A414" r:id="rId413" xr:uid="{00000000-0004-0000-0400-00009C010000}"/>
    <hyperlink ref="A415" r:id="rId414" xr:uid="{00000000-0004-0000-0400-00009D010000}"/>
    <hyperlink ref="A416" r:id="rId415" xr:uid="{00000000-0004-0000-0400-00009E010000}"/>
    <hyperlink ref="A417" r:id="rId416" xr:uid="{00000000-0004-0000-0400-00009F010000}"/>
    <hyperlink ref="A418" r:id="rId417" xr:uid="{00000000-0004-0000-0400-0000A0010000}"/>
    <hyperlink ref="A419" r:id="rId418" xr:uid="{00000000-0004-0000-0400-0000A1010000}"/>
    <hyperlink ref="A420" r:id="rId419" xr:uid="{00000000-0004-0000-0400-0000A2010000}"/>
    <hyperlink ref="A421" r:id="rId420" xr:uid="{00000000-0004-0000-0400-0000A3010000}"/>
    <hyperlink ref="A422" r:id="rId421" xr:uid="{00000000-0004-0000-0400-0000A4010000}"/>
    <hyperlink ref="A423" r:id="rId422" xr:uid="{00000000-0004-0000-0400-0000A5010000}"/>
    <hyperlink ref="A424" r:id="rId423" xr:uid="{00000000-0004-0000-0400-0000A6010000}"/>
    <hyperlink ref="A425" r:id="rId424" xr:uid="{00000000-0004-0000-0400-0000A7010000}"/>
    <hyperlink ref="A426" r:id="rId425" xr:uid="{00000000-0004-0000-0400-0000A8010000}"/>
    <hyperlink ref="A427" r:id="rId426" xr:uid="{00000000-0004-0000-0400-0000A9010000}"/>
    <hyperlink ref="A428" r:id="rId427" xr:uid="{00000000-0004-0000-0400-0000AA010000}"/>
    <hyperlink ref="A429" r:id="rId428" xr:uid="{00000000-0004-0000-0400-0000AB010000}"/>
    <hyperlink ref="A430" r:id="rId429" xr:uid="{00000000-0004-0000-0400-0000AC010000}"/>
    <hyperlink ref="A431" r:id="rId430" xr:uid="{00000000-0004-0000-0400-0000AD010000}"/>
    <hyperlink ref="A432" r:id="rId431" xr:uid="{00000000-0004-0000-0400-0000AE010000}"/>
    <hyperlink ref="A433" r:id="rId432" xr:uid="{00000000-0004-0000-0400-0000AF010000}"/>
    <hyperlink ref="A434" r:id="rId433" xr:uid="{00000000-0004-0000-0400-0000B0010000}"/>
    <hyperlink ref="A435" r:id="rId434" xr:uid="{00000000-0004-0000-0400-0000B1010000}"/>
    <hyperlink ref="A436" r:id="rId435" xr:uid="{00000000-0004-0000-0400-0000B2010000}"/>
    <hyperlink ref="A437" r:id="rId436" xr:uid="{00000000-0004-0000-0400-0000B3010000}"/>
    <hyperlink ref="A438" r:id="rId437" xr:uid="{00000000-0004-0000-0400-0000B4010000}"/>
    <hyperlink ref="A439" r:id="rId438" xr:uid="{00000000-0004-0000-0400-0000B5010000}"/>
    <hyperlink ref="A440" r:id="rId439" xr:uid="{00000000-0004-0000-0400-0000B6010000}"/>
    <hyperlink ref="A441" r:id="rId440" xr:uid="{00000000-0004-0000-0400-0000B7010000}"/>
    <hyperlink ref="A442" r:id="rId441" xr:uid="{00000000-0004-0000-0400-0000B8010000}"/>
    <hyperlink ref="A443" r:id="rId442" xr:uid="{00000000-0004-0000-0400-0000B9010000}"/>
    <hyperlink ref="A444" r:id="rId443" xr:uid="{00000000-0004-0000-0400-0000BA010000}"/>
    <hyperlink ref="A445" r:id="rId444" xr:uid="{00000000-0004-0000-0400-0000BB010000}"/>
    <hyperlink ref="A446" r:id="rId445" xr:uid="{00000000-0004-0000-0400-0000BC010000}"/>
    <hyperlink ref="A447" r:id="rId446" xr:uid="{00000000-0004-0000-0400-0000BD010000}"/>
    <hyperlink ref="A448" r:id="rId447" xr:uid="{00000000-0004-0000-0400-0000BE010000}"/>
    <hyperlink ref="A449" r:id="rId448" xr:uid="{00000000-0004-0000-0400-0000BF010000}"/>
    <hyperlink ref="A450" r:id="rId449" xr:uid="{00000000-0004-0000-0400-0000C0010000}"/>
    <hyperlink ref="A451" r:id="rId450" xr:uid="{00000000-0004-0000-0400-0000C1010000}"/>
    <hyperlink ref="A452" r:id="rId451" xr:uid="{00000000-0004-0000-0400-0000C2010000}"/>
    <hyperlink ref="A453" r:id="rId452" xr:uid="{00000000-0004-0000-0400-0000C3010000}"/>
    <hyperlink ref="A454" r:id="rId453" xr:uid="{00000000-0004-0000-0400-0000C4010000}"/>
    <hyperlink ref="A455" r:id="rId454" xr:uid="{00000000-0004-0000-0400-0000C5010000}"/>
    <hyperlink ref="A456" r:id="rId455" xr:uid="{00000000-0004-0000-0400-0000C6010000}"/>
    <hyperlink ref="A457" r:id="rId456" xr:uid="{00000000-0004-0000-0400-0000C7010000}"/>
    <hyperlink ref="A458" r:id="rId457" xr:uid="{00000000-0004-0000-0400-0000C8010000}"/>
    <hyperlink ref="A459" r:id="rId458" xr:uid="{00000000-0004-0000-0400-0000C9010000}"/>
    <hyperlink ref="A460" r:id="rId459" xr:uid="{00000000-0004-0000-0400-0000CA010000}"/>
    <hyperlink ref="A461" r:id="rId460" xr:uid="{00000000-0004-0000-0400-0000CB010000}"/>
    <hyperlink ref="A462" r:id="rId461" xr:uid="{00000000-0004-0000-0400-0000CC010000}"/>
    <hyperlink ref="A463" r:id="rId462" xr:uid="{00000000-0004-0000-0400-0000CD010000}"/>
    <hyperlink ref="A464" r:id="rId463" xr:uid="{00000000-0004-0000-0400-0000CE010000}"/>
    <hyperlink ref="A465" r:id="rId464" xr:uid="{00000000-0004-0000-0400-0000CF010000}"/>
    <hyperlink ref="A466" r:id="rId465" xr:uid="{00000000-0004-0000-0400-0000D0010000}"/>
    <hyperlink ref="A467" r:id="rId466" xr:uid="{00000000-0004-0000-0400-0000D1010000}"/>
    <hyperlink ref="A468" r:id="rId467" xr:uid="{00000000-0004-0000-0400-0000D2010000}"/>
    <hyperlink ref="A469" r:id="rId468" xr:uid="{00000000-0004-0000-0400-0000D3010000}"/>
    <hyperlink ref="A470" r:id="rId469" xr:uid="{00000000-0004-0000-0400-0000D4010000}"/>
    <hyperlink ref="A471" r:id="rId470" xr:uid="{00000000-0004-0000-0400-0000D5010000}"/>
    <hyperlink ref="A472" r:id="rId471" xr:uid="{00000000-0004-0000-0400-0000D6010000}"/>
    <hyperlink ref="A473" r:id="rId472" xr:uid="{00000000-0004-0000-0400-0000D7010000}"/>
    <hyperlink ref="A474" r:id="rId473" xr:uid="{00000000-0004-0000-0400-0000D8010000}"/>
    <hyperlink ref="A475" r:id="rId474" xr:uid="{00000000-0004-0000-0400-0000D9010000}"/>
    <hyperlink ref="A476" r:id="rId475" xr:uid="{00000000-0004-0000-0400-0000DA010000}"/>
    <hyperlink ref="A477" r:id="rId476" xr:uid="{00000000-0004-0000-0400-0000DB010000}"/>
    <hyperlink ref="A478" r:id="rId477" xr:uid="{00000000-0004-0000-0400-0000DC010000}"/>
    <hyperlink ref="A479" r:id="rId478" xr:uid="{00000000-0004-0000-0400-0000DD010000}"/>
    <hyperlink ref="A480" r:id="rId479" xr:uid="{00000000-0004-0000-0400-0000DE010000}"/>
    <hyperlink ref="A481" r:id="rId480" xr:uid="{00000000-0004-0000-0400-0000DF010000}"/>
    <hyperlink ref="A482" r:id="rId481" xr:uid="{00000000-0004-0000-0400-0000E0010000}"/>
    <hyperlink ref="A483" r:id="rId482" xr:uid="{00000000-0004-0000-0400-0000E1010000}"/>
    <hyperlink ref="A484" r:id="rId483" xr:uid="{00000000-0004-0000-0400-0000E2010000}"/>
    <hyperlink ref="A485" r:id="rId484" xr:uid="{00000000-0004-0000-0400-0000E3010000}"/>
    <hyperlink ref="A486" r:id="rId485" xr:uid="{00000000-0004-0000-0400-0000E4010000}"/>
    <hyperlink ref="A487" r:id="rId486" xr:uid="{00000000-0004-0000-0400-0000E5010000}"/>
    <hyperlink ref="A488" r:id="rId487" xr:uid="{00000000-0004-0000-0400-0000E6010000}"/>
    <hyperlink ref="A489" r:id="rId488" xr:uid="{00000000-0004-0000-0400-0000E7010000}"/>
    <hyperlink ref="A490" r:id="rId489" xr:uid="{00000000-0004-0000-0400-0000E8010000}"/>
    <hyperlink ref="A491" r:id="rId490" xr:uid="{00000000-0004-0000-0400-0000E9010000}"/>
    <hyperlink ref="A492" r:id="rId491" xr:uid="{00000000-0004-0000-0400-0000EA010000}"/>
    <hyperlink ref="A493" r:id="rId492" xr:uid="{00000000-0004-0000-0400-0000EB010000}"/>
    <hyperlink ref="A494" r:id="rId493" xr:uid="{00000000-0004-0000-0400-0000EC010000}"/>
    <hyperlink ref="A495" r:id="rId494" xr:uid="{00000000-0004-0000-0400-0000ED010000}"/>
    <hyperlink ref="A496" r:id="rId495" xr:uid="{00000000-0004-0000-0400-0000EE010000}"/>
    <hyperlink ref="A497" r:id="rId496" xr:uid="{00000000-0004-0000-0400-0000EF010000}"/>
    <hyperlink ref="A498" r:id="rId497" xr:uid="{00000000-0004-0000-0400-0000F0010000}"/>
    <hyperlink ref="A499" r:id="rId498" xr:uid="{00000000-0004-0000-0400-0000F1010000}"/>
    <hyperlink ref="A500" r:id="rId499" xr:uid="{00000000-0004-0000-0400-0000F2010000}"/>
    <hyperlink ref="A501" r:id="rId500" xr:uid="{00000000-0004-0000-0400-0000F3010000}"/>
  </hyperlinks>
  <pageMargins left="0.7" right="0.7" top="0.75" bottom="0.75" header="0.3" footer="0.3"/>
  <tableParts count="1">
    <tablePart r:id="rId50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8"/>
  <sheetViews>
    <sheetView workbookViewId="0"/>
  </sheetViews>
  <sheetFormatPr baseColWidth="10" defaultColWidth="12.6640625" defaultRowHeight="15.75" customHeight="1" x14ac:dyDescent="0.15"/>
  <cols>
    <col min="1" max="1" width="63.33203125" customWidth="1"/>
    <col min="2" max="2" width="71.5" customWidth="1"/>
    <col min="3" max="3" width="13.6640625" customWidth="1"/>
    <col min="4" max="4" width="16.1640625" customWidth="1"/>
    <col min="6" max="6" width="26.5" customWidth="1"/>
  </cols>
  <sheetData>
    <row r="1" spans="1:7" ht="15.75" customHeight="1" x14ac:dyDescent="0.15">
      <c r="A1" s="6" t="s">
        <v>3290</v>
      </c>
      <c r="B1" s="8" t="s">
        <v>3243</v>
      </c>
      <c r="C1" s="6" t="s">
        <v>3291</v>
      </c>
      <c r="D1" s="6" t="s">
        <v>3292</v>
      </c>
      <c r="F1" s="6"/>
    </row>
    <row r="2" spans="1:7" ht="15.75" customHeight="1" x14ac:dyDescent="0.15">
      <c r="A2" s="21" t="str">
        <f>'Ann1 - Step 2'!A2</f>
        <v>https://github.com/saleor/saleor/blob/main/CLAUDE.md</v>
      </c>
      <c r="B2" s="6" t="str">
        <f>'Ann1 - Step 2'!B2</f>
        <v>- Avoid assertion to plain values, if you already have references to existing value.</v>
      </c>
      <c r="C2" s="6" t="str">
        <f>'Ann1 - Step 2'!C2</f>
        <v>Testing</v>
      </c>
      <c r="D2" s="6" t="str">
        <f>'Ann2 - Step 2'!C2</f>
        <v>Testing</v>
      </c>
      <c r="E2" s="6" t="b">
        <f t="shared" ref="E2:E256" si="0">IF(C2=D2, FALSE, TRUE)</f>
        <v>0</v>
      </c>
      <c r="F2" s="6"/>
      <c r="G2" s="6" t="str">
        <f t="shared" ref="G2:G256" si="1">IF(E2=TRUE,F2,D2)</f>
        <v>Testing</v>
      </c>
    </row>
    <row r="3" spans="1:7" ht="15.75" customHeight="1" x14ac:dyDescent="0.15">
      <c r="A3" s="21" t="str">
        <f>'Ann1 - Step 2'!A3</f>
        <v>https://github.com/saleor/saleor/blob/main/CLAUDE.md</v>
      </c>
      <c r="B3" s="8" t="str">
        <f>'Ann1 - Step 2'!B3</f>
        <v>1000 rows) to avoid long-running transactions</v>
      </c>
      <c r="C3" s="6" t="str">
        <f>'Ann1 - Step 2'!C3</f>
        <v>Task Execution</v>
      </c>
      <c r="D3" s="6" t="str">
        <f>'Ann2 - Step 2'!C3</f>
        <v>Coding Pattern</v>
      </c>
      <c r="E3" s="6" t="b">
        <f t="shared" si="0"/>
        <v>1</v>
      </c>
      <c r="F3" s="6" t="s">
        <v>18</v>
      </c>
      <c r="G3" s="6" t="str">
        <f t="shared" si="1"/>
        <v>Task Execution</v>
      </c>
    </row>
    <row r="4" spans="1:7" ht="15.75" customHeight="1" x14ac:dyDescent="0.15">
      <c r="A4" s="21" t="str">
        <f>'Ann1 - Step 2'!A4</f>
        <v>https://github.com/spylang/spy/blob/main/CLAUDE.md</v>
      </c>
      <c r="B4" s="6" t="str">
        <f>'Ann1 - Step 2'!B4</f>
        <v>Avoid writing useless comments: if you need to write a comment, explain WHY the code</v>
      </c>
      <c r="C4" s="6" t="str">
        <f>'Ann1 - Step 2'!C4</f>
        <v>Documentation</v>
      </c>
      <c r="D4" s="6" t="str">
        <f>'Ann2 - Step 2'!C4</f>
        <v>Documentation</v>
      </c>
      <c r="E4" s="6" t="b">
        <f t="shared" si="0"/>
        <v>0</v>
      </c>
      <c r="F4" s="6"/>
      <c r="G4" s="6" t="str">
        <f t="shared" si="1"/>
        <v>Documentation</v>
      </c>
    </row>
    <row r="5" spans="1:7" ht="15.75" customHeight="1" x14ac:dyDescent="0.15">
      <c r="A5" s="21" t="str">
        <f>'Ann1 - Step 2'!A5</f>
        <v>https://github.com/steipete/Peekaboo/blob/main/CLAUDE.md</v>
      </c>
      <c r="B5" s="8" t="str">
        <f>'Ann1 - Step 2'!B5</f>
        <v>- SwiftLint config lives in `.swiftlint.yml`; keep new code typed (avoid `Any`), prefer small scoped extensions over large files.</v>
      </c>
      <c r="C5" s="6" t="str">
        <f>'Ann1 - Step 2'!C5</f>
        <v>Coding Style</v>
      </c>
      <c r="D5" s="6" t="str">
        <f>'Ann2 - Step 2'!C5</f>
        <v>Coding Pattern</v>
      </c>
      <c r="E5" s="6" t="b">
        <f t="shared" si="0"/>
        <v>1</v>
      </c>
      <c r="F5" s="6" t="s">
        <v>30</v>
      </c>
      <c r="G5" s="6" t="str">
        <f t="shared" si="1"/>
        <v>Coding Pattern</v>
      </c>
    </row>
    <row r="6" spans="1:7" ht="15.75" customHeight="1" x14ac:dyDescent="0.15">
      <c r="A6" s="21" t="str">
        <f>'Ann1 - Step 2'!A6</f>
        <v>https://github.com/steipete/Peekaboo/blob/main/CLAUDE.md</v>
      </c>
      <c r="B6" s="6" t="str">
        <f>'Ann1 - Step 2'!B6</f>
        <v>- Use `./scripts/committer "type(scope): summary" &lt;paths…&gt;` to stage and create commits; avoid raw `git add`.</v>
      </c>
      <c r="C6" s="6" t="str">
        <f>'Ann1 - Step 2'!C6</f>
        <v>Commit&amp;PR rule</v>
      </c>
      <c r="D6" s="6" t="str">
        <f>'Ann2 - Step 2'!C6</f>
        <v>Commit&amp;PR rule</v>
      </c>
      <c r="E6" s="6" t="b">
        <f t="shared" si="0"/>
        <v>0</v>
      </c>
      <c r="F6" s="6"/>
      <c r="G6" s="6" t="str">
        <f t="shared" si="1"/>
        <v>Commit&amp;PR rule</v>
      </c>
    </row>
    <row r="7" spans="1:7" ht="15.75" customHeight="1" x14ac:dyDescent="0.15">
      <c r="A7" s="21" t="str">
        <f>'Ann1 - Step 2'!A7</f>
        <v>https://github.com/steipete/Peekaboo/blob/main/CLAUDE.md</v>
      </c>
      <c r="B7" s="8" t="str">
        <f>'Ann1 - Step 2'!B7</f>
        <v>- Respect permissions flows documented in `docs/permissions.md`; avoid editing derived artifacts—regenerate via the provided scripts instead.</v>
      </c>
      <c r="C7" s="6" t="str">
        <f>'Ann1 - Step 2'!C7</f>
        <v>Build &amp; Operation</v>
      </c>
      <c r="D7" s="6" t="str">
        <f>'Ann2 - Step 2'!C7</f>
        <v>Documentation</v>
      </c>
      <c r="E7" s="6" t="b">
        <f t="shared" si="0"/>
        <v>1</v>
      </c>
      <c r="F7" s="6" t="s">
        <v>136</v>
      </c>
      <c r="G7" s="6" t="str">
        <f t="shared" si="1"/>
        <v>Build &amp; Operation</v>
      </c>
    </row>
    <row r="8" spans="1:7" ht="15.75" customHeight="1" x14ac:dyDescent="0.15">
      <c r="A8" s="21" t="str">
        <f>'Ann1 - Step 2'!A8</f>
        <v>https://github.com/stepfunc/dnp3/blob/main/CLAUDE.md</v>
      </c>
      <c r="B8" s="8" t="str">
        <f>'Ann1 - Step 2'!B8</f>
        <v>- **API Design**: Avoid unreachable public items (`unreachable_pub = "deny"`)</v>
      </c>
      <c r="C8" s="6" t="str">
        <f>'Ann1 - Step 2'!C8</f>
        <v>Coding Style</v>
      </c>
      <c r="D8" s="6" t="str">
        <f>'Ann2 - Step 2'!C8</f>
        <v>Coding Pattern</v>
      </c>
      <c r="E8" s="6" t="b">
        <f t="shared" si="0"/>
        <v>1</v>
      </c>
      <c r="F8" s="6" t="s">
        <v>30</v>
      </c>
      <c r="G8" s="6" t="str">
        <f t="shared" si="1"/>
        <v>Coding Pattern</v>
      </c>
    </row>
    <row r="9" spans="1:7" ht="15.75" customHeight="1" x14ac:dyDescent="0.15">
      <c r="A9" s="21" t="str">
        <f>'Ann1 - Step 2'!A9</f>
        <v>https://github.com/thirdweb-dev/js/blob/main/CLAUDE.md</v>
      </c>
      <c r="B9" s="6" t="str">
        <f>'Ann1 - Step 2'!B9</f>
        <v>Avoid personal names</v>
      </c>
      <c r="C9" s="6" t="str">
        <f>'Ann1 - Step 2'!C9</f>
        <v>Commit&amp;PR rule</v>
      </c>
      <c r="D9" s="6" t="str">
        <f>'Ann2 - Step 2'!C9</f>
        <v>Commit&amp;PR rule</v>
      </c>
      <c r="E9" s="6" t="b">
        <f t="shared" si="0"/>
        <v>0</v>
      </c>
      <c r="F9" s="6"/>
      <c r="G9" s="6" t="str">
        <f t="shared" si="1"/>
        <v>Commit&amp;PR rule</v>
      </c>
    </row>
    <row r="10" spans="1:7" ht="15.75" customHeight="1" x14ac:dyDescent="0.15">
      <c r="A10" s="21" t="str">
        <f>'Ann1 - Step 2'!A10</f>
        <v>https://github.com/thirdweb-dev/js/blob/main/CLAUDE.md</v>
      </c>
      <c r="B10" s="6" t="str">
        <f>'Ann1 - Step 2'!B10</f>
        <v>- Avoid editor-specific configs; rely on shared settings</v>
      </c>
      <c r="C10" s="6" t="str">
        <f>'Ann1 - Step 2'!C10</f>
        <v>Coding Style</v>
      </c>
      <c r="D10" s="6" t="str">
        <f>'Ann2 - Step 2'!C10</f>
        <v>Coding Style</v>
      </c>
      <c r="E10" s="6" t="b">
        <f t="shared" si="0"/>
        <v>0</v>
      </c>
      <c r="F10" s="6"/>
      <c r="G10" s="6" t="str">
        <f t="shared" si="1"/>
        <v>Coding Style</v>
      </c>
    </row>
    <row r="11" spans="1:7" ht="15.75" customHeight="1" x14ac:dyDescent="0.15">
      <c r="A11" s="21" t="str">
        <f>'Ann1 - Step 2'!A11</f>
        <v>https://github.com/thirdweb-dev/js/blob/main/CLAUDE.md</v>
      </c>
      <c r="B11" s="8" t="str">
        <f>'Ann1 - Step 2'!B11</f>
        <v>- **Type safety**: Avoid `any` and `unknown` unless unavoidable; narrow generics when possible</v>
      </c>
      <c r="C11" s="6" t="str">
        <f>'Ann1 - Step 2'!C11</f>
        <v>Coding Style</v>
      </c>
      <c r="D11" s="6" t="str">
        <f>'Ann2 - Step 2'!C11</f>
        <v>Coding Pattern</v>
      </c>
      <c r="E11" s="6" t="b">
        <f t="shared" si="0"/>
        <v>1</v>
      </c>
      <c r="F11" s="6" t="s">
        <v>30</v>
      </c>
      <c r="G11" s="6" t="str">
        <f t="shared" si="1"/>
        <v>Coding Pattern</v>
      </c>
    </row>
    <row r="12" spans="1:7" ht="15.75" customHeight="1" x14ac:dyDescent="0.15">
      <c r="A12" s="21" t="str">
        <f>'Ann1 - Step 2'!A12</f>
        <v>https://github.com/thirdweb-dev/js/blob/main/CLAUDE.md</v>
      </c>
      <c r="B12" s="6" t="str">
        <f>'Ann1 - Step 2'!B12</f>
        <v>- **Test approach**: Use real function invocations with stub data; avoid brittle mocks</v>
      </c>
      <c r="C12" s="6" t="str">
        <f>'Ann1 - Step 2'!C12</f>
        <v>Testing</v>
      </c>
      <c r="D12" s="6" t="str">
        <f>'Ann2 - Step 2'!C12</f>
        <v>Testing</v>
      </c>
      <c r="E12" s="6" t="b">
        <f t="shared" si="0"/>
        <v>0</v>
      </c>
      <c r="F12" s="6"/>
      <c r="G12" s="6" t="str">
        <f t="shared" si="1"/>
        <v>Testing</v>
      </c>
    </row>
    <row r="13" spans="1:7" ht="15.75" customHeight="1" x14ac:dyDescent="0.15">
      <c r="A13" s="21" t="str">
        <f>'Ann1 - Step 2'!A13</f>
        <v>https://github.com/thirdweb-dev/js/blob/main/CLAUDE.md</v>
      </c>
      <c r="B13" s="8" t="str">
        <f>'Ann1 - Step 2'!B13</f>
        <v>- Return typed results (`Project[]`, `User[]`) – avoid `any`</v>
      </c>
      <c r="C13" s="6" t="str">
        <f>'Ann1 - Step 2'!C13</f>
        <v>Coding Style</v>
      </c>
      <c r="D13" s="6" t="str">
        <f>'Ann2 - Step 2'!C13</f>
        <v>Coding Pattern</v>
      </c>
      <c r="E13" s="6" t="b">
        <f t="shared" si="0"/>
        <v>1</v>
      </c>
      <c r="F13" s="6" t="s">
        <v>30</v>
      </c>
      <c r="G13" s="6" t="str">
        <f t="shared" si="1"/>
        <v>Coding Pattern</v>
      </c>
    </row>
    <row r="14" spans="1:7" ht="15.75" customHeight="1" x14ac:dyDescent="0.15">
      <c r="A14" s="21" t="str">
        <f>'Ann1 - Step 2'!A14</f>
        <v>https://github.com/tphakala/birdnet-go/blob/main/CLAUDE.md</v>
      </c>
      <c r="B14" s="6" t="str">
        <f>'Ann1 - Step 2'!B14</f>
        <v>Check open PRs to avoid conflicts</v>
      </c>
      <c r="C14" s="6" t="str">
        <f>'Ann1 - Step 2'!C14</f>
        <v>Commit&amp;PR rule</v>
      </c>
      <c r="D14" s="6" t="str">
        <f>'Ann2 - Step 2'!C14</f>
        <v>Commit&amp;PR rule</v>
      </c>
      <c r="E14" s="6" t="b">
        <f t="shared" si="0"/>
        <v>0</v>
      </c>
      <c r="F14" s="6"/>
      <c r="G14" s="6" t="str">
        <f t="shared" si="1"/>
        <v>Commit&amp;PR rule</v>
      </c>
    </row>
    <row r="15" spans="1:7" ht="15.75" customHeight="1" x14ac:dyDescent="0.15">
      <c r="A15" s="21" t="str">
        <f>'Ann1 - Step 2'!A15</f>
        <v>https://github.com/truenas/webui/blob/master/CLAUDE.md</v>
      </c>
      <c r="B15" s="8" t="str">
        <f>'Ann1 - Step 2'!B15</f>
        <v>- Avoid the `any` type; use `unknown` when type is uncertain</v>
      </c>
      <c r="C15" s="6" t="str">
        <f>'Ann1 - Step 2'!C15</f>
        <v>Coding Style</v>
      </c>
      <c r="D15" s="6" t="str">
        <f>'Ann2 - Step 2'!C15</f>
        <v>Coding Pattern</v>
      </c>
      <c r="E15" s="6" t="b">
        <f t="shared" si="0"/>
        <v>1</v>
      </c>
      <c r="F15" s="6" t="s">
        <v>30</v>
      </c>
      <c r="G15" s="6" t="str">
        <f t="shared" si="1"/>
        <v>Coding Pattern</v>
      </c>
    </row>
    <row r="16" spans="1:7" ht="15.75" customHeight="1" x14ac:dyDescent="0.15">
      <c r="A16" s="21" t="str">
        <f>'Ann1 - Step 2'!A16</f>
        <v>https://github.com/truenas/webui/blob/master/CLAUDE.md</v>
      </c>
      <c r="B16" s="8" t="str">
        <f>'Ann1 - Step 2'!B16</f>
        <v>**Avoid** (constructor injection):</v>
      </c>
      <c r="C16" s="6" t="str">
        <f>'Ann1 - Step 2'!C16</f>
        <v>Coding Style</v>
      </c>
      <c r="D16" s="6" t="str">
        <f>'Ann2 - Step 2'!C16</f>
        <v>Coding Pattern</v>
      </c>
      <c r="E16" s="6" t="b">
        <f t="shared" si="0"/>
        <v>1</v>
      </c>
      <c r="F16" s="6" t="s">
        <v>30</v>
      </c>
      <c r="G16" s="6" t="str">
        <f t="shared" si="1"/>
        <v>Coding Pattern</v>
      </c>
    </row>
    <row r="17" spans="1:7" ht="15.75" customHeight="1" x14ac:dyDescent="0.15">
      <c r="A17" s="21" t="str">
        <f>'Ann1 - Step 2'!A17</f>
        <v>https://github.com/wolfi-dev/os/blob/main/CLAUDE.md</v>
      </c>
      <c r="B17" s="8" t="str">
        <f>'Ann1 - Step 2'!B17</f>
        <v>- Avoid using obsolete package versions</v>
      </c>
      <c r="C17" s="6" t="str">
        <f>'Ann1 - Step 2'!C17</f>
        <v>Maintainability</v>
      </c>
      <c r="D17" s="6" t="str">
        <f>'Ann2 - Step 2'!C17</f>
        <v>Coding Pattern</v>
      </c>
      <c r="E17" s="6" t="b">
        <f t="shared" si="0"/>
        <v>1</v>
      </c>
      <c r="F17" s="6" t="s">
        <v>136</v>
      </c>
      <c r="G17" s="6" t="str">
        <f t="shared" si="1"/>
        <v>Build &amp; Operation</v>
      </c>
    </row>
    <row r="18" spans="1:7" ht="15.75" customHeight="1" x14ac:dyDescent="0.15">
      <c r="A18" s="21" t="str">
        <f>'Ann1 - Step 2'!A18</f>
        <v>https://github.com/wolfi-dev/os/blob/main/CLAUDE.md</v>
      </c>
      <c r="B18" s="6" t="str">
        <f>'Ann1 - Step 2'!B18</f>
        <v>- When adding tests, always review existing tests and avoid creating redundant tests.</v>
      </c>
      <c r="C18" s="6" t="str">
        <f>'Ann1 - Step 2'!C18</f>
        <v>Testing</v>
      </c>
      <c r="D18" s="6" t="str">
        <f>'Ann2 - Step 2'!C18</f>
        <v>Testing</v>
      </c>
      <c r="E18" s="6" t="b">
        <f t="shared" si="0"/>
        <v>0</v>
      </c>
      <c r="F18" s="6"/>
      <c r="G18" s="6" t="str">
        <f t="shared" si="1"/>
        <v>Testing</v>
      </c>
    </row>
    <row r="19" spans="1:7" ht="15.75" customHeight="1" x14ac:dyDescent="0.15">
      <c r="A19" s="21" t="str">
        <f>'Ann1 - Step 2'!A19</f>
        <v>https://github.com/wvlet/airframe/blob/main/CLAUDE.md</v>
      </c>
      <c r="B19" s="8" t="str">
        <f>'Ann1 - Step 2'!B19</f>
        <v>- Avoid `Try[A]` return types - use plain exceptions or domain-specific errors</v>
      </c>
      <c r="C19" s="6" t="str">
        <f>'Ann1 - Step 2'!C19</f>
        <v>Coding Style</v>
      </c>
      <c r="D19" s="6" t="str">
        <f>'Ann2 - Step 2'!C19</f>
        <v>Coding Pattern</v>
      </c>
      <c r="E19" s="6" t="b">
        <f t="shared" si="0"/>
        <v>1</v>
      </c>
      <c r="F19" s="6" t="s">
        <v>30</v>
      </c>
      <c r="G19" s="6" t="str">
        <f t="shared" si="1"/>
        <v>Coding Pattern</v>
      </c>
    </row>
    <row r="20" spans="1:7" ht="15.75" customHeight="1" x14ac:dyDescent="0.15">
      <c r="A20" s="21" t="str">
        <f>'Ann1 - Step 2'!A20</f>
        <v>https://github.com/wvlet/airframe/blob/main/CLAUDE.md</v>
      </c>
      <c r="B20" s="8" t="str">
        <f>'Ann1 - Step 2'!B20</f>
        <v>- Avoid mocks to reduce maintenance cost</v>
      </c>
      <c r="C20" s="6" t="str">
        <f>'Ann1 - Step 2'!C20</f>
        <v>Maintainability</v>
      </c>
      <c r="D20" s="6" t="str">
        <f>'Ann2 - Step 2'!C20</f>
        <v>Testing</v>
      </c>
      <c r="E20" s="6" t="b">
        <f t="shared" si="0"/>
        <v>1</v>
      </c>
      <c r="F20" s="6" t="s">
        <v>88</v>
      </c>
      <c r="G20" s="6" t="str">
        <f t="shared" si="1"/>
        <v>Testing</v>
      </c>
    </row>
    <row r="21" spans="1:7" ht="15.75" customHeight="1" x14ac:dyDescent="0.15">
      <c r="A21" s="21" t="str">
        <f>'Ann1 - Step 2'!A21</f>
        <v>https://github.com/wvlet/wvlet/blob/main/CLAUDE.md</v>
      </c>
      <c r="B21" s="8" t="str">
        <f>'Ann1 - Step 2'!B21</f>
        <v>- Avoid using mock as it increases maintenance cost and creates brittle tests that break when internal implementation changes</v>
      </c>
      <c r="C21" s="6" t="str">
        <f>'Ann1 - Step 2'!C21</f>
        <v>Maintainability</v>
      </c>
      <c r="D21" s="6" t="str">
        <f>'Ann2 - Step 2'!C21</f>
        <v>Testing</v>
      </c>
      <c r="E21" s="6" t="b">
        <f t="shared" si="0"/>
        <v>1</v>
      </c>
      <c r="F21" s="6" t="s">
        <v>88</v>
      </c>
      <c r="G21" s="6" t="str">
        <f t="shared" si="1"/>
        <v>Testing</v>
      </c>
    </row>
    <row r="22" spans="1:7" ht="15.75" customHeight="1" x14ac:dyDescent="0.15">
      <c r="A22" s="21" t="str">
        <f>'Ann1 - Step 2'!A22</f>
        <v>https://github.com/wvlet/wvlet/blob/main/CLAUDE.md</v>
      </c>
      <c r="B22" s="8" t="str">
        <f>'Ann1 - Step 2'!B22</f>
        <v>- Avoid: `"testParseJSON"`, `"test1"`, `"shouldWork"`</v>
      </c>
      <c r="C22" s="6" t="str">
        <f>'Ann1 - Step 2'!C22</f>
        <v>Testing</v>
      </c>
      <c r="D22" s="6" t="str">
        <f>'Ann2 - Step 2'!C22</f>
        <v>Coding Style</v>
      </c>
      <c r="E22" s="6" t="b">
        <f t="shared" si="0"/>
        <v>1</v>
      </c>
      <c r="F22" s="6" t="s">
        <v>88</v>
      </c>
      <c r="G22" s="6" t="str">
        <f t="shared" si="1"/>
        <v>Testing</v>
      </c>
    </row>
    <row r="23" spans="1:7" ht="15.75" customHeight="1" x14ac:dyDescent="0.15">
      <c r="A23" s="21" t="str">
        <f>'Ann1 - Step 2'!A23</f>
        <v>https://github.com/wvlet/wvlet/blob/main/CLAUDE.md</v>
      </c>
      <c r="B23" s="8" t="str">
        <f>'Ann1 - Step 2'!B23</f>
        <v>- Avoid returning Try[A] as it forces monadic-style usage</v>
      </c>
      <c r="C23" s="6" t="str">
        <f>'Ann1 - Step 2'!C23</f>
        <v>Coding Style</v>
      </c>
      <c r="D23" s="6" t="str">
        <f>'Ann2 - Step 2'!C23</f>
        <v>Coding Pattern</v>
      </c>
      <c r="E23" s="6" t="b">
        <f t="shared" si="0"/>
        <v>1</v>
      </c>
      <c r="F23" s="6" t="s">
        <v>30</v>
      </c>
      <c r="G23" s="6" t="str">
        <f t="shared" si="1"/>
        <v>Coding Pattern</v>
      </c>
    </row>
    <row r="24" spans="1:7" ht="15.75" customHeight="1" x14ac:dyDescent="0.15">
      <c r="A24" s="21" t="str">
        <f>'Ann1 - Step 2'!A24</f>
        <v>https://github.com/wvlet/wvlet/blob/main/CLAUDE.md</v>
      </c>
      <c r="B24" s="6" t="str">
        <f>'Ann1 - Step 2'!B24</f>
        <v>- **In Scala.js code, avoid using Java-specific libraries**</v>
      </c>
      <c r="C24" s="6" t="str">
        <f>'Ann1 - Step 2'!C24</f>
        <v>Coding Pattern</v>
      </c>
      <c r="D24" s="6" t="str">
        <f>'Ann2 - Step 2'!C24</f>
        <v>Coding Pattern</v>
      </c>
      <c r="E24" s="6" t="b">
        <f t="shared" si="0"/>
        <v>0</v>
      </c>
      <c r="F24" s="6"/>
      <c r="G24" s="6" t="str">
        <f t="shared" si="1"/>
        <v>Coding Pattern</v>
      </c>
    </row>
    <row r="25" spans="1:7" ht="15.75" customHeight="1" x14ac:dyDescent="0.15">
      <c r="A25" s="21" t="str">
        <f>'Ann1 - Step 2'!A25</f>
        <v>https://github.com/wvlet/wvlet/blob/main/CLAUDE.md</v>
      </c>
      <c r="B25" s="8" t="str">
        <f>'Ann1 - Step 2'!B25</f>
        <v>- Avoid: `feature: Add XXX class`</v>
      </c>
      <c r="C25" s="6" t="str">
        <f>'Ann1 - Step 2'!C25</f>
        <v>Coding Pattern</v>
      </c>
      <c r="D25" s="6" t="str">
        <f>'Ann2 - Step 2'!C25</f>
        <v>Commit&amp;PR rule</v>
      </c>
      <c r="E25" s="6" t="b">
        <f t="shared" si="0"/>
        <v>1</v>
      </c>
      <c r="F25" s="6" t="s">
        <v>12</v>
      </c>
      <c r="G25" s="6" t="str">
        <f t="shared" si="1"/>
        <v>Commit&amp;PR rule</v>
      </c>
    </row>
    <row r="26" spans="1:7" ht="15.75" customHeight="1" x14ac:dyDescent="0.15">
      <c r="A26" s="21" t="str">
        <f>'Ann1 - Step 2'!A26</f>
        <v>https://github.com/yamadashy/repomix/blob/main/CLAUDE.md</v>
      </c>
      <c r="B26" s="6" t="str">
        <f>'Ann1 - Step 2'!B26</f>
        <v>- Maintain feature-based directory structure and avoid dependencies between features</v>
      </c>
      <c r="C26" s="6" t="str">
        <f>'Ann1 - Step 2'!C26</f>
        <v>Coding Pattern</v>
      </c>
      <c r="D26" s="6" t="str">
        <f>'Ann2 - Step 2'!C26</f>
        <v>Coding Pattern</v>
      </c>
      <c r="E26" s="6" t="b">
        <f t="shared" si="0"/>
        <v>0</v>
      </c>
      <c r="F26" s="6"/>
      <c r="G26" s="6" t="str">
        <f t="shared" si="1"/>
        <v>Coding Pattern</v>
      </c>
    </row>
    <row r="27" spans="1:7" ht="15.75" customHeight="1" x14ac:dyDescent="0.15">
      <c r="A27" s="21" t="str">
        <f>'Ann1 - Step 2'!A27</f>
        <v>https://github.com/zed-industries/zed/blob/main/CLAUDE.md</v>
      </c>
      <c r="B27" s="8" t="str">
        <f>'Ann1 - Step 2'!B27</f>
        <v>Avoid creating many small files.</v>
      </c>
      <c r="C27" s="6" t="str">
        <f>'Ann1 - Step 2'!C27</f>
        <v>Coding Pattern</v>
      </c>
      <c r="D27" s="6" t="str">
        <f>'Ann2 - Step 2'!C27</f>
        <v>Task Execution</v>
      </c>
      <c r="E27" s="6" t="b">
        <f t="shared" si="0"/>
        <v>1</v>
      </c>
      <c r="F27" s="6" t="s">
        <v>18</v>
      </c>
      <c r="G27" s="6" t="str">
        <f t="shared" si="1"/>
        <v>Task Execution</v>
      </c>
    </row>
    <row r="28" spans="1:7" ht="15.75" customHeight="1" x14ac:dyDescent="0.15">
      <c r="A28" s="21" t="str">
        <f>'Ann1 - Step 2'!A28</f>
        <v>https://github.com/zed-industries/zed/blob/main/CLAUDE.md</v>
      </c>
      <c r="B28" s="6" t="str">
        <f>'Ann1 - Step 2'!B28</f>
        <v>* Avoid using functions that panic like `unwrap()`, instead use mechanisms like `?` to propagate errors.</v>
      </c>
      <c r="C28" s="6" t="str">
        <f>'Ann1 - Step 2'!C28</f>
        <v>Coding Pattern</v>
      </c>
      <c r="D28" s="6" t="str">
        <f>'Ann2 - Step 2'!C28</f>
        <v>Coding Pattern</v>
      </c>
      <c r="E28" s="6" t="b">
        <f t="shared" si="0"/>
        <v>0</v>
      </c>
      <c r="F28" s="6"/>
      <c r="G28" s="6" t="str">
        <f t="shared" si="1"/>
        <v>Coding Pattern</v>
      </c>
    </row>
    <row r="29" spans="1:7" ht="15.75" customHeight="1" x14ac:dyDescent="0.15">
      <c r="A29" s="21" t="str">
        <f>'Ann1 - Step 2'!A29</f>
        <v>https://github.com/zed-industries/zed/blob/main/CLAUDE.md</v>
      </c>
      <c r="B29" s="8" t="str">
        <f>'Ann1 - Step 2'!B29</f>
        <v>- Example: avoid `let _ = client.request(...).await?;` - use `client.request(...).await?;` instead</v>
      </c>
      <c r="C29" s="6" t="str">
        <f>'Ann1 - Step 2'!C29</f>
        <v>Coding Pattern</v>
      </c>
      <c r="D29" s="6" t="str">
        <f>'Ann2 - Step 2'!C29</f>
        <v>Coding Style</v>
      </c>
      <c r="E29" s="6" t="b">
        <f t="shared" si="0"/>
        <v>1</v>
      </c>
      <c r="F29" s="6" t="s">
        <v>83</v>
      </c>
      <c r="G29" s="6" t="str">
        <f t="shared" si="1"/>
        <v>Coding Style</v>
      </c>
    </row>
    <row r="30" spans="1:7" ht="15.75" customHeight="1" x14ac:dyDescent="0.15">
      <c r="A30" s="21" t="str">
        <f>'Ann1 - Step 2'!A30</f>
        <v>https://github.com/zed-industries/zed/blob/main/CLAUDE.md</v>
      </c>
      <c r="B30" s="8" t="str">
        <f>'Ann1 - Step 2'!B30</f>
        <v>* Avoid creative additions unless explicitly requested</v>
      </c>
      <c r="C30" s="6" t="str">
        <f>'Ann1 - Step 2'!C30</f>
        <v>Coding Pattern</v>
      </c>
      <c r="D30" s="6" t="str">
        <f>'Ann2 - Step 2'!C30</f>
        <v>Task Execution</v>
      </c>
      <c r="E30" s="6" t="b">
        <f t="shared" si="0"/>
        <v>1</v>
      </c>
      <c r="F30" s="6" t="s">
        <v>18</v>
      </c>
      <c r="G30" s="6" t="str">
        <f t="shared" si="1"/>
        <v>Task Execution</v>
      </c>
    </row>
    <row r="31" spans="1:7" ht="15.75" customHeight="1" x14ac:dyDescent="0.15">
      <c r="A31" s="21" t="str">
        <f>'Ann1 - Step 2'!A31</f>
        <v>https://github.com/zed-industries/zed/blob/main/CLAUDE.md</v>
      </c>
      <c r="B31" s="8" t="str">
        <f>'Ann1 - Step 2'!B31</f>
        <v>Trying to update an entity while it's already being updated must be avoided as this will cause a panic.</v>
      </c>
      <c r="C31" s="6" t="str">
        <f>'Ann1 - Step 2'!C31</f>
        <v>Build &amp; Operation</v>
      </c>
      <c r="D31" s="6" t="str">
        <f>'Ann2 - Step 2'!C31</f>
        <v>Task Execution</v>
      </c>
      <c r="E31" s="6" t="b">
        <f t="shared" si="0"/>
        <v>1</v>
      </c>
      <c r="F31" s="6" t="s">
        <v>30</v>
      </c>
      <c r="G31" s="6" t="str">
        <f t="shared" si="1"/>
        <v>Coding Pattern</v>
      </c>
    </row>
    <row r="32" spans="1:7" ht="15.75" customHeight="1" x14ac:dyDescent="0.15">
      <c r="A32" s="21" t="str">
        <f>'Ann1 - Step 2'!A32</f>
        <v>https://github.com/zed-industries/zed/blob/main/CLAUDE.md</v>
      </c>
      <c r="B32" s="8" t="str">
        <f>'Ann1 - Step 2'!B32</f>
        <v>`SharedString` is used to avoid copying strings, and is either an `&amp;'static str` or `Arc&lt;str&gt;`.</v>
      </c>
      <c r="C32" s="6" t="str">
        <f>'Ann1 - Step 2'!C32</f>
        <v>Build &amp; Operation</v>
      </c>
      <c r="D32" s="6" t="str">
        <f>'Ann2 - Step 2'!C32</f>
        <v>Coding Pattern</v>
      </c>
      <c r="E32" s="6" t="b">
        <f t="shared" si="0"/>
        <v>1</v>
      </c>
      <c r="F32" s="6" t="s">
        <v>30</v>
      </c>
      <c r="G32" s="6" t="str">
        <f t="shared" si="1"/>
        <v>Coding Pattern</v>
      </c>
    </row>
    <row r="33" spans="1:7" ht="15.75" customHeight="1" x14ac:dyDescent="0.15">
      <c r="A33" s="21" t="str">
        <f>'Ann1 - Step 2'!A33</f>
        <v>https://github.com/zed-industries/zed/blob/main/CLAUDE.md</v>
      </c>
      <c r="B33" s="6" t="str">
        <f>'Ann1 - Step 2'!B33</f>
        <v>- Avoid conventional commit prefixes in PR titles (`fix:`, `feat:`, `docs:`, etc.).</v>
      </c>
      <c r="C33" s="6" t="str">
        <f>'Ann1 - Step 2'!C33</f>
        <v>Commit&amp;PR rule</v>
      </c>
      <c r="D33" s="6" t="str">
        <f>'Ann2 - Step 2'!C33</f>
        <v>Commit&amp;PR rule</v>
      </c>
      <c r="E33" s="6" t="b">
        <f t="shared" si="0"/>
        <v>0</v>
      </c>
      <c r="F33" s="6"/>
      <c r="G33" s="6" t="str">
        <f t="shared" si="1"/>
        <v>Commit&amp;PR rule</v>
      </c>
    </row>
    <row r="34" spans="1:7" ht="15.75" customHeight="1" x14ac:dyDescent="0.15">
      <c r="A34" s="21" t="str">
        <f>'Ann1 - Step 2'!A34</f>
        <v>https://github.com/zed-industries/zed/blob/main/CLAUDE.md</v>
      </c>
      <c r="B34" s="6" t="str">
        <f>'Ann1 - Step 2'!B34</f>
        <v>- Avoid trailing punctuation in PR titles.</v>
      </c>
      <c r="C34" s="6" t="str">
        <f>'Ann1 - Step 2'!C34</f>
        <v>Commit&amp;PR rule</v>
      </c>
      <c r="D34" s="6" t="str">
        <f>'Ann2 - Step 2'!C34</f>
        <v>Commit&amp;PR rule</v>
      </c>
      <c r="E34" s="6" t="b">
        <f t="shared" si="0"/>
        <v>0</v>
      </c>
      <c r="F34" s="6"/>
      <c r="G34" s="6" t="str">
        <f t="shared" si="1"/>
        <v>Commit&amp;PR rule</v>
      </c>
    </row>
    <row r="35" spans="1:7" ht="15.75" customHeight="1" x14ac:dyDescent="0.15">
      <c r="A35" s="21" t="str">
        <f>'Ann1 - Step 2'!A35</f>
        <v>https://github.com/zed-industries/zed/blob/main/CLAUDE.md</v>
      </c>
      <c r="B35" s="8" t="str">
        <f>'Ann1 - Step 2'!B35</f>
        <v>Avoid architectural descriptions of a crate (module layout, data flow, key types).</v>
      </c>
      <c r="C35" s="6" t="str">
        <f>'Ann1 - Step 2'!C35</f>
        <v>Documentation</v>
      </c>
      <c r="D35" s="6" t="str">
        <f>'Ann2 - Step 2'!C35</f>
        <v>Task Execution</v>
      </c>
      <c r="E35" s="6" t="b">
        <f t="shared" si="0"/>
        <v>1</v>
      </c>
      <c r="F35" s="6" t="s">
        <v>23</v>
      </c>
      <c r="G35" s="6" t="str">
        <f t="shared" si="1"/>
        <v>Documentation</v>
      </c>
    </row>
    <row r="36" spans="1:7" ht="15.75" customHeight="1" x14ac:dyDescent="0.15">
      <c r="A36" s="21" t="str">
        <f>'Ann1 - Step 2'!A36</f>
        <v>https://github.com/zenml-io/zenml/blob/main/CLAUDE.md</v>
      </c>
      <c r="B36" s="6" t="str">
        <f>'Ann1 - Step 2'!B36</f>
        <v>- Avoid simple explanatory comments, where it is already clear from the code itself.</v>
      </c>
      <c r="C36" s="6" t="str">
        <f>'Ann1 - Step 2'!C36</f>
        <v>Documentation</v>
      </c>
      <c r="D36" s="6" t="str">
        <f>'Ann2 - Step 2'!C36</f>
        <v>Documentation</v>
      </c>
      <c r="E36" s="6" t="b">
        <f t="shared" si="0"/>
        <v>0</v>
      </c>
      <c r="F36" s="6"/>
      <c r="G36" s="6" t="str">
        <f t="shared" si="1"/>
        <v>Documentation</v>
      </c>
    </row>
    <row r="37" spans="1:7" ht="15.75" customHeight="1" x14ac:dyDescent="0.15">
      <c r="A37" s="21" t="str">
        <f>'Ann1 - Step 2'!A37</f>
        <v>https://github.com/zenml-io/zenml/blob/main/CLAUDE.md</v>
      </c>
      <c r="B37" s="6" t="str">
        <f>'Ann1 - Step 2'!B37</f>
        <v>- Avoid useless one-line comments interleaved with code that merely narrate the implementation.</v>
      </c>
      <c r="C37" s="6" t="str">
        <f>'Ann1 - Step 2'!C37</f>
        <v>Documentation</v>
      </c>
      <c r="D37" s="6" t="str">
        <f>'Ann2 - Step 2'!C37</f>
        <v>Documentation</v>
      </c>
      <c r="E37" s="6" t="b">
        <f t="shared" si="0"/>
        <v>0</v>
      </c>
      <c r="F37" s="6"/>
      <c r="G37" s="6" t="str">
        <f t="shared" si="1"/>
        <v>Documentation</v>
      </c>
    </row>
    <row r="38" spans="1:7" ht="15.75" customHeight="1" x14ac:dyDescent="0.15">
      <c r="A38" s="21" t="str">
        <f>'Ann1 - Step 2'!A38</f>
        <v>https://github.com/zenml-io/zenml/blob/main/CLAUDE.md</v>
      </c>
      <c r="B38" s="8" t="str">
        <f>'Ann1 - Step 2'!B38</f>
        <v>&gt; ⚠️ **Integrations should avoid using ZenML private methods**</v>
      </c>
      <c r="C38" s="6" t="str">
        <f>'Ann1 - Step 2'!C38</f>
        <v>Build &amp; Operation</v>
      </c>
      <c r="D38" s="6" t="str">
        <f>'Ann2 - Step 2'!C38</f>
        <v>Coding Pattern</v>
      </c>
      <c r="E38" s="6" t="b">
        <f t="shared" si="0"/>
        <v>1</v>
      </c>
      <c r="F38" s="6" t="s">
        <v>30</v>
      </c>
      <c r="G38" s="6" t="str">
        <f t="shared" si="1"/>
        <v>Coding Pattern</v>
      </c>
    </row>
    <row r="39" spans="1:7" ht="15.75" customHeight="1" x14ac:dyDescent="0.15">
      <c r="A39" s="21" t="str">
        <f>'Ann1 - Step 2'!A39</f>
        <v>https://github.com/zenml-io/zenml/blob/main/CLAUDE.md</v>
      </c>
      <c r="B39" s="6" t="str">
        <f>'Ann1 - Step 2'!B39</f>
        <v>- Avoid vague language ("thing", "stuff", "value", "setting")</v>
      </c>
      <c r="C39" s="6" t="str">
        <f>'Ann1 - Step 2'!C39</f>
        <v>Writing Style Preference</v>
      </c>
      <c r="D39" s="6" t="str">
        <f>'Ann2 - Step 2'!C39</f>
        <v>Writing Style Preference</v>
      </c>
      <c r="E39" s="6" t="b">
        <f t="shared" si="0"/>
        <v>0</v>
      </c>
      <c r="F39" s="6"/>
      <c r="G39" s="6" t="str">
        <f t="shared" si="1"/>
        <v>Writing Style Preference</v>
      </c>
    </row>
    <row r="40" spans="1:7" ht="15.75" customHeight="1" x14ac:dyDescent="0.15">
      <c r="A40" s="21" t="str">
        <f>'Ann1 - Step 2'!A40</f>
        <v>https://github.com/zenml-io/zenml/blob/main/CLAUDE.md</v>
      </c>
      <c r="B40" s="6" t="str">
        <f>'Ann1 - Step 2'!B40</f>
        <v>- Avoid overusing bullet points or other formatting elements</v>
      </c>
      <c r="C40" s="6" t="str">
        <f>'Ann1 - Step 2'!C40</f>
        <v>Writing Style Preference</v>
      </c>
      <c r="D40" s="6" t="str">
        <f>'Ann2 - Step 2'!C40</f>
        <v>Writing Style Preference</v>
      </c>
      <c r="E40" s="6" t="b">
        <f t="shared" si="0"/>
        <v>0</v>
      </c>
      <c r="F40" s="6"/>
      <c r="G40" s="6" t="str">
        <f t="shared" si="1"/>
        <v>Writing Style Preference</v>
      </c>
    </row>
    <row r="41" spans="1:7" ht="15.75" customHeight="1" x14ac:dyDescent="0.15">
      <c r="A41" s="21" t="str">
        <f>'Ann1 - Step 2'!A41</f>
        <v>https://github.com/ArcInstitute/SRAgent/blob/main/AGENTS.md</v>
      </c>
      <c r="B41" s="6" t="str">
        <f>'Ann1 - Step 2'!B41</f>
        <v>- Add tests for new features and edge cases; avoid network‑dependent tests unless mocked.</v>
      </c>
      <c r="C41" s="6" t="str">
        <f>'Ann1 - Step 2'!C41</f>
        <v>Testing</v>
      </c>
      <c r="D41" s="6" t="str">
        <f>'Ann2 - Step 2'!C41</f>
        <v>Testing</v>
      </c>
      <c r="E41" s="6" t="b">
        <f t="shared" si="0"/>
        <v>0</v>
      </c>
      <c r="F41" s="6"/>
      <c r="G41" s="6" t="str">
        <f t="shared" si="1"/>
        <v>Testing</v>
      </c>
    </row>
    <row r="42" spans="1:7" ht="15.75" customHeight="1" x14ac:dyDescent="0.15">
      <c r="A42" s="21" t="str">
        <f>'Ann1 - Step 2'!A42</f>
        <v>https://github.com/Azure-Samples/serverless-chat-langchainjs/blob/main/AGENTS.md</v>
      </c>
      <c r="B42" s="6" t="str">
        <f>'Ann1 - Step 2'!B42</f>
        <v>- Maintain simplicity; avoid premature abstractions or heavy frameworks</v>
      </c>
      <c r="C42" s="6" t="str">
        <f>'Ann1 - Step 2'!C42</f>
        <v>Coding Pattern</v>
      </c>
      <c r="D42" s="6" t="str">
        <f>'Ann2 - Step 2'!C42</f>
        <v>Coding Pattern</v>
      </c>
      <c r="E42" s="6" t="b">
        <f t="shared" si="0"/>
        <v>0</v>
      </c>
      <c r="F42" s="6"/>
      <c r="G42" s="6" t="str">
        <f t="shared" si="1"/>
        <v>Coding Pattern</v>
      </c>
    </row>
    <row r="43" spans="1:7" ht="15.75" customHeight="1" x14ac:dyDescent="0.15">
      <c r="A43" s="21" t="str">
        <f>'Ann1 - Step 2'!A43</f>
        <v>https://github.com/Azure-Samples/serverless-chat-langchainjs/blob/main/AGENTS.md</v>
      </c>
      <c r="B43" s="6" t="str">
        <f>'Ann1 - Step 2'!B43</f>
        <v>- Secrets managed via Azure (Function App / Static Web App settings) – Avoid committing secrets</v>
      </c>
      <c r="C43" s="6" t="str">
        <f>'Ann1 - Step 2'!C43</f>
        <v>Security</v>
      </c>
      <c r="D43" s="6" t="str">
        <f>'Ann2 - Step 2'!C43</f>
        <v>Security</v>
      </c>
      <c r="E43" s="6" t="b">
        <f t="shared" si="0"/>
        <v>0</v>
      </c>
      <c r="F43" s="6"/>
      <c r="G43" s="6" t="str">
        <f t="shared" si="1"/>
        <v>Security</v>
      </c>
    </row>
    <row r="44" spans="1:7" ht="15.75" customHeight="1" x14ac:dyDescent="0.15">
      <c r="A44" s="21" t="str">
        <f>'Ann1 - Step 2'!A44</f>
        <v>https://github.com/bruin-data/bruin/blob/main/AGENTS.md</v>
      </c>
      <c r="B44" s="22" t="str">
        <f>'Ann1 - Step 2'!B44</f>
        <v>**Avoid lock-in**: Open-source Apache-licensed, runs anywhere</v>
      </c>
      <c r="C44" s="6" t="str">
        <f>'Ann1 - Step 2'!C44</f>
        <v>Coding Pattern</v>
      </c>
      <c r="D44" s="6" t="str">
        <f>'Ann2 - Step 2'!C44</f>
        <v>Build &amp; Operation</v>
      </c>
      <c r="E44" s="6" t="b">
        <f t="shared" si="0"/>
        <v>1</v>
      </c>
      <c r="F44" s="6" t="s">
        <v>136</v>
      </c>
      <c r="G44" s="6" t="str">
        <f t="shared" si="1"/>
        <v>Build &amp; Operation</v>
      </c>
    </row>
    <row r="45" spans="1:7" ht="15.75" customHeight="1" x14ac:dyDescent="0.15">
      <c r="A45" s="21" t="str">
        <f>'Ann1 - Step 2'!A45</f>
        <v>https://github.com/CapSoftware/Cap/blob/main/AGENTS.md</v>
      </c>
      <c r="B45" s="6" t="str">
        <f>'Ann1 - Step 2'!B45</f>
        <v>- Avoid `any`.</v>
      </c>
      <c r="C45" s="6" t="str">
        <f>'Ann1 - Step 2'!C45</f>
        <v>Coding Pattern</v>
      </c>
      <c r="D45" s="6" t="str">
        <f>'Ann2 - Step 2'!C45</f>
        <v>Coding Pattern</v>
      </c>
      <c r="E45" s="6" t="b">
        <f t="shared" si="0"/>
        <v>0</v>
      </c>
      <c r="F45" s="6"/>
      <c r="G45" s="6" t="str">
        <f t="shared" si="1"/>
        <v>Coding Pattern</v>
      </c>
    </row>
    <row r="46" spans="1:7" ht="15.75" customHeight="1" x14ac:dyDescent="0.15">
      <c r="A46" s="21" t="str">
        <f>'Ann1 - Step 2'!A46</f>
        <v>https://github.com/CapSoftware/Cap/blob/main/AGENTS.md</v>
      </c>
      <c r="B46" s="8" t="str">
        <f>'Ann1 - Step 2'!B46</f>
        <v>- Convert the effectful API to a Next.js handler with `apiToHandler(ApiLive)` from `@/lib/server` and export the returned `handler`—avoid calling `runPromise` inside route files.</v>
      </c>
      <c r="C46" s="6" t="str">
        <f>'Ann1 - Step 2'!C46</f>
        <v>Build &amp; Operation</v>
      </c>
      <c r="D46" s="6" t="str">
        <f>'Ann2 - Step 2'!C46</f>
        <v>Coding Pattern</v>
      </c>
      <c r="E46" s="6" t="b">
        <f t="shared" si="0"/>
        <v>1</v>
      </c>
      <c r="F46" s="6" t="s">
        <v>30</v>
      </c>
      <c r="G46" s="6" t="str">
        <f t="shared" si="1"/>
        <v>Coding Pattern</v>
      </c>
    </row>
    <row r="47" spans="1:7" ht="15.75" customHeight="1" x14ac:dyDescent="0.15">
      <c r="A47" s="21" t="str">
        <f>'Ann1 - Step 2'!A47</f>
        <v>https://github.com/carverauto/serviceradar/blob/main/AGENTS.md</v>
      </c>
      <c r="B47" s="6" t="str">
        <f>'Ann1 - Step 2'!B47</f>
        <v>In migrations, set `prefix: "platform"` for new tables/indexes/constraints and avoid `prefix: "public"` in references.</v>
      </c>
      <c r="C47" s="6" t="str">
        <f>'Ann1 - Step 2'!C47</f>
        <v>Coding Pattern</v>
      </c>
      <c r="D47" s="6" t="str">
        <f>'Ann2 - Step 2'!C47</f>
        <v>Coding Pattern</v>
      </c>
      <c r="E47" s="6" t="b">
        <f t="shared" si="0"/>
        <v>0</v>
      </c>
      <c r="F47" s="6"/>
      <c r="G47" s="6" t="str">
        <f t="shared" si="1"/>
        <v>Coding Pattern</v>
      </c>
    </row>
    <row r="48" spans="1:7" ht="15.75" customHeight="1" x14ac:dyDescent="0.15">
      <c r="A48" s="21" t="str">
        <f>'Ann1 - Step 2'!A48</f>
        <v>https://github.com/catatsuy/private-isu/blob/master/AGENTS.md</v>
      </c>
      <c r="B48" s="8" t="str">
        <f>'Ann1 - Step 2'!B48</f>
        <v>- Ruby/Python/PHP: follow existing idioms (Ruby 2-space indent, Python PEP 8, PHP PSR-12); avoid mixing tabs and spaces.</v>
      </c>
      <c r="C48" s="6" t="str">
        <f>'Ann1 - Step 2'!C48</f>
        <v>Writing Style Preference</v>
      </c>
      <c r="D48" s="6" t="str">
        <f>'Ann2 - Step 2'!C48</f>
        <v>Coding Pattern</v>
      </c>
      <c r="E48" s="6" t="b">
        <f t="shared" si="0"/>
        <v>1</v>
      </c>
      <c r="F48" s="6" t="s">
        <v>83</v>
      </c>
      <c r="G48" s="6" t="str">
        <f t="shared" si="1"/>
        <v>Coding Style</v>
      </c>
    </row>
    <row r="49" spans="1:7" ht="15.75" customHeight="1" x14ac:dyDescent="0.15">
      <c r="A49" s="21" t="str">
        <f>'Ann1 - Step 2'!A49</f>
        <v>https://github.com/commonwarexyz/monorepo/blob/main/AGENTS.md</v>
      </c>
      <c r="B49" s="6" t="str">
        <f>'Ann1 - Step 2'!B49</f>
        <v>_Avoid building or testing the entire workspace unless absolutely necessary.</v>
      </c>
      <c r="C49" s="6" t="str">
        <f>'Ann1 - Step 2'!C49</f>
        <v>Build &amp; Operation</v>
      </c>
      <c r="D49" s="6" t="str">
        <f>'Ann2 - Step 2'!C49</f>
        <v>Build &amp; Operation</v>
      </c>
      <c r="E49" s="6" t="b">
        <f t="shared" si="0"/>
        <v>0</v>
      </c>
      <c r="F49" s="6"/>
      <c r="G49" s="6" t="str">
        <f t="shared" si="1"/>
        <v>Build &amp; Operation</v>
      </c>
    </row>
    <row r="50" spans="1:7" ht="15.75" customHeight="1" x14ac:dyDescent="0.15">
      <c r="A50" s="21" t="str">
        <f>'Ann1 - Step 2'!A50</f>
        <v>https://github.com/commonwarexyz/monorepo/blob/main/AGENTS.md</v>
      </c>
      <c r="B50" s="8" t="str">
        <f>'Ann1 - Step 2'!B50</f>
        <v>Avoid `OsRng`, `StdRng::from_entropy()`, or raw `StdRng::seed_from_u64()`.</v>
      </c>
      <c r="C50" s="6" t="str">
        <f>'Ann1 - Step 2'!C50</f>
        <v>Testing</v>
      </c>
      <c r="D50" s="6" t="str">
        <f>'Ann2 - Step 2'!C50</f>
        <v>Coding Pattern</v>
      </c>
      <c r="E50" s="6" t="b">
        <f t="shared" si="0"/>
        <v>1</v>
      </c>
      <c r="F50" s="6" t="s">
        <v>30</v>
      </c>
      <c r="G50" s="6" t="str">
        <f t="shared" si="1"/>
        <v>Coding Pattern</v>
      </c>
    </row>
    <row r="51" spans="1:7" ht="15.75" customHeight="1" x14ac:dyDescent="0.15">
      <c r="A51" s="21" t="str">
        <f>'Ann1 - Step 2'!A51</f>
        <v>https://github.com/DannyMac180/meta-agent/blob/main/AGENTS.md</v>
      </c>
      <c r="B51" s="6" t="str">
        <f>'Ann1 - Step 2'!B51</f>
        <v>- Coding Style (TS planned): strict TypeScript, ESLint+Prettier, avoid default exports, prefer functional modules, async/await.</v>
      </c>
      <c r="C51" s="6" t="str">
        <f>'Ann1 - Step 2'!C51</f>
        <v>Coding Style</v>
      </c>
      <c r="D51" s="6" t="str">
        <f>'Ann2 - Step 2'!C51</f>
        <v>Coding Style</v>
      </c>
      <c r="E51" s="6" t="b">
        <f t="shared" si="0"/>
        <v>0</v>
      </c>
      <c r="F51" s="6"/>
      <c r="G51" s="6" t="str">
        <f t="shared" si="1"/>
        <v>Coding Style</v>
      </c>
    </row>
    <row r="52" spans="1:7" ht="14" x14ac:dyDescent="0.15">
      <c r="A52" s="21" t="str">
        <f>'Ann1 - Step 2'!A52</f>
        <v>https://github.com/epicweb-dev/epicshop/blob/main/AGENTS.md</v>
      </c>
      <c r="B52" s="8" t="str">
        <f>'Ann1 - Step 2'!B52</f>
        <v>- Avoid `@testing-library/react` in browser mode.</v>
      </c>
      <c r="C52" s="6" t="str">
        <f>'Ann1 - Step 2'!C52</f>
        <v>Testing</v>
      </c>
      <c r="D52" s="6" t="str">
        <f>'Ann2 - Step 2'!C52</f>
        <v>Coding Pattern</v>
      </c>
      <c r="E52" s="6" t="b">
        <f t="shared" si="0"/>
        <v>1</v>
      </c>
      <c r="F52" s="6" t="s">
        <v>88</v>
      </c>
      <c r="G52" s="6" t="str">
        <f t="shared" si="1"/>
        <v>Testing</v>
      </c>
    </row>
    <row r="53" spans="1:7" ht="13" x14ac:dyDescent="0.15">
      <c r="A53" s="21" t="str">
        <f>'Ann1 - Step 2'!A53</f>
        <v>https://github.com/epicweb-dev/epicshop/blob/main/AGENTS.md</v>
      </c>
      <c r="B53" s="6" t="str">
        <f>'Ann1 - Step 2'!B53</f>
        <v>lifecycle and avoids leaking state across tests.</v>
      </c>
      <c r="C53" s="6" t="str">
        <f>'Ann1 - Step 2'!C53</f>
        <v>Testing</v>
      </c>
      <c r="D53" s="6" t="str">
        <f>'Ann2 - Step 2'!C53</f>
        <v>Testing</v>
      </c>
      <c r="E53" s="6" t="b">
        <f t="shared" si="0"/>
        <v>0</v>
      </c>
      <c r="F53" s="6"/>
      <c r="G53" s="6" t="str">
        <f t="shared" si="1"/>
        <v>Testing</v>
      </c>
    </row>
    <row r="54" spans="1:7" ht="13" x14ac:dyDescent="0.15">
      <c r="A54" s="21" t="str">
        <f>'Ann1 - Step 2'!A54</f>
        <v>https://github.com/epicweb-dev/epicshop/blob/main/AGENTS.md</v>
      </c>
      <c r="B54" s="6" t="str">
        <f>'Ann1 - Step 2'!B54</f>
        <v>- Prefer flat tests with explicit setup to keep intent clear and avoid cascading</v>
      </c>
      <c r="C54" s="6" t="str">
        <f>'Ann1 - Step 2'!C54</f>
        <v>Testing</v>
      </c>
      <c r="D54" s="6" t="str">
        <f>'Ann2 - Step 2'!C54</f>
        <v>Testing</v>
      </c>
      <c r="E54" s="6" t="b">
        <f t="shared" si="0"/>
        <v>0</v>
      </c>
      <c r="F54" s="6"/>
      <c r="G54" s="6" t="str">
        <f t="shared" si="1"/>
        <v>Testing</v>
      </c>
    </row>
    <row r="55" spans="1:7" ht="14" x14ac:dyDescent="0.15">
      <c r="A55" s="21" t="str">
        <f>'Ann1 - Step 2'!A55</f>
        <v>https://github.com/ESPresense/ESPresense-companion/blob/main/AGENTS.md</v>
      </c>
      <c r="B55" s="8" t="str">
        <f>'Ann1 - Step 2'!B55</f>
        <v>- For local tweaks use `appsettings.json`; avoid hardcoding credentials.</v>
      </c>
      <c r="C55" s="6" t="str">
        <f>'Ann1 - Step 2'!C55</f>
        <v>Security</v>
      </c>
      <c r="D55" s="6" t="str">
        <f>'Ann2 - Step 2'!C55</f>
        <v>Task Execution</v>
      </c>
      <c r="E55" s="6" t="b">
        <f t="shared" si="0"/>
        <v>1</v>
      </c>
      <c r="F55" s="6" t="s">
        <v>342</v>
      </c>
      <c r="G55" s="6" t="str">
        <f t="shared" si="1"/>
        <v>Security</v>
      </c>
    </row>
    <row r="56" spans="1:7" ht="13" x14ac:dyDescent="0.15">
      <c r="A56" s="21" t="str">
        <f>'Ann1 - Step 2'!A56</f>
        <v>https://github.com/gluesql/glues/blob/main/AGENTS.md</v>
      </c>
      <c r="B56" s="6" t="str">
        <f>'Ann1 - Step 2'!B56</f>
        <v>- Default to driving scenarios through real input; avoid mutating internal context (`App::context_mut`) from tests unless absolutely necessary.</v>
      </c>
      <c r="C56" s="6" t="str">
        <f>'Ann1 - Step 2'!C56</f>
        <v>Testing</v>
      </c>
      <c r="D56" s="6" t="str">
        <f>'Ann2 - Step 2'!C56</f>
        <v>Testing</v>
      </c>
      <c r="E56" s="6" t="b">
        <f t="shared" si="0"/>
        <v>0</v>
      </c>
      <c r="F56" s="6"/>
      <c r="G56" s="6" t="str">
        <f t="shared" si="1"/>
        <v>Testing</v>
      </c>
    </row>
    <row r="57" spans="1:7" ht="28" x14ac:dyDescent="0.15">
      <c r="A57" s="21" t="str">
        <f>'Ann1 - Step 2'!A57</f>
        <v>https://github.com/hahwul/dalfox/blob/main/AGENTS.md</v>
      </c>
      <c r="B57" s="8" t="str">
        <f>'Ann1 - Step 2'!B57</f>
        <v>- MCP is stdio/JSON-RPC; avoid stdout noise in MCP mode (banner/log behavior matters).</v>
      </c>
      <c r="C57" s="6" t="str">
        <f>'Ann1 - Step 2'!C57</f>
        <v>Coding Pattern</v>
      </c>
      <c r="D57" s="6" t="str">
        <f>'Ann2 - Step 2'!C57</f>
        <v>Build &amp; Operation</v>
      </c>
      <c r="E57" s="6" t="b">
        <f t="shared" si="0"/>
        <v>1</v>
      </c>
      <c r="F57" s="6" t="s">
        <v>30</v>
      </c>
      <c r="G57" s="6" t="str">
        <f t="shared" si="1"/>
        <v>Coding Pattern</v>
      </c>
    </row>
    <row r="58" spans="1:7" ht="13" x14ac:dyDescent="0.15">
      <c r="A58" s="21" t="str">
        <f>'Ann1 - Step 2'!A58</f>
        <v>https://github.com/hahwul/dalfox/blob/main/AGENTS.md</v>
      </c>
      <c r="B58" s="6" t="str">
        <f>'Ann1 - Step 2'!B58</f>
        <v>- Avoid `unwrap()` in runtime paths where user input or network I/O is involved.</v>
      </c>
      <c r="C58" s="6" t="str">
        <f>'Ann1 - Step 2'!C58</f>
        <v>Coding Pattern</v>
      </c>
      <c r="D58" s="6" t="str">
        <f>'Ann2 - Step 2'!C58</f>
        <v>Coding Pattern</v>
      </c>
      <c r="E58" s="6" t="b">
        <f t="shared" si="0"/>
        <v>0</v>
      </c>
      <c r="F58" s="6"/>
      <c r="G58" s="6" t="str">
        <f t="shared" si="1"/>
        <v>Coding Pattern</v>
      </c>
    </row>
    <row r="59" spans="1:7" ht="13" x14ac:dyDescent="0.15">
      <c r="A59" s="21" t="str">
        <f>'Ann1 - Step 2'!A59</f>
        <v>https://github.com/janbjorge/pgqueuer/blob/main/AGENTS.md</v>
      </c>
      <c r="B59" s="6" t="str">
        <f>'Ann1 - Step 2'!B59</f>
        <v>- **Avoid `Any`** at nearly all cost.</v>
      </c>
      <c r="C59" s="6" t="str">
        <f>'Ann1 - Step 2'!C59</f>
        <v>Coding Pattern</v>
      </c>
      <c r="D59" s="6" t="str">
        <f>'Ann2 - Step 2'!C59</f>
        <v>Coding Pattern</v>
      </c>
      <c r="E59" s="6" t="b">
        <f t="shared" si="0"/>
        <v>0</v>
      </c>
      <c r="F59" s="6"/>
      <c r="G59" s="6" t="str">
        <f t="shared" si="1"/>
        <v>Coding Pattern</v>
      </c>
    </row>
    <row r="60" spans="1:7" ht="13" x14ac:dyDescent="0.15">
      <c r="A60" s="21" t="str">
        <f>'Ann1 - Step 2'!A60</f>
        <v>https://github.com/johnlindquist/kit/blob/main/AGENTS.md</v>
      </c>
      <c r="B60" s="6" t="str">
        <f>'Ann1 - Step 2'!B60</f>
        <v>- Env: `.env` supported via `dotenv`/`dotenv-flow`; avoid committing secrets.</v>
      </c>
      <c r="C60" s="6" t="str">
        <f>'Ann1 - Step 2'!C60</f>
        <v>Security</v>
      </c>
      <c r="D60" s="6" t="str">
        <f>'Ann2 - Step 2'!C60</f>
        <v>Security</v>
      </c>
      <c r="E60" s="6" t="b">
        <f t="shared" si="0"/>
        <v>0</v>
      </c>
      <c r="F60" s="6"/>
      <c r="G60" s="6" t="str">
        <f t="shared" si="1"/>
        <v>Security</v>
      </c>
    </row>
    <row r="61" spans="1:7" ht="14" x14ac:dyDescent="0.15">
      <c r="A61" s="21" t="str">
        <f>'Ann1 - Step 2'!A61</f>
        <v>https://github.com/langfuse/langfuse/blob/main/AGENTS.md</v>
      </c>
      <c r="B61" s="8" t="str">
        <f>'Ann1 - Step 2'!B61</f>
        <v>- Keep changes scoped; avoid unrelated refactors.</v>
      </c>
      <c r="C61" s="6" t="str">
        <f>'Ann1 - Step 2'!C61</f>
        <v>Build &amp; Operation</v>
      </c>
      <c r="D61" s="6" t="str">
        <f>'Ann2 - Step 2'!C61</f>
        <v>Coding Style</v>
      </c>
      <c r="E61" s="6" t="b">
        <f t="shared" si="0"/>
        <v>1</v>
      </c>
      <c r="F61" s="6" t="s">
        <v>18</v>
      </c>
      <c r="G61" s="6" t="str">
        <f t="shared" si="1"/>
        <v>Task Execution</v>
      </c>
    </row>
    <row r="62" spans="1:7" ht="28" x14ac:dyDescent="0.15">
      <c r="A62" s="21" t="str">
        <f>'Ann1 - Step 2'!A62</f>
        <v>https://github.com/luccahuguet/yazelix/blob/main/AGENTS.md</v>
      </c>
      <c r="B62" s="8" t="str">
        <f>'Ann1 - Step 2'!B62</f>
        <v>**Avoid redundant code** - Focus on elegant, concise code when possible; eliminate duplication and unnecessary complexity</v>
      </c>
      <c r="C62" s="6" t="str">
        <f>'Ann1 - Step 2'!C62</f>
        <v>Coding Pattern</v>
      </c>
      <c r="D62" s="6" t="str">
        <f>'Ann2 - Step 2'!C62</f>
        <v>Maintainability</v>
      </c>
      <c r="E62" s="6" t="b">
        <f t="shared" si="0"/>
        <v>1</v>
      </c>
      <c r="F62" s="6" t="s">
        <v>115</v>
      </c>
      <c r="G62" s="6" t="str">
        <f t="shared" si="1"/>
        <v>Maintainability</v>
      </c>
    </row>
    <row r="63" spans="1:7" ht="28" x14ac:dyDescent="0.15">
      <c r="A63" s="21" t="str">
        <f>'Ann1 - Step 2'!A63</f>
        <v>https://github.com/luccahuguet/yazelix/blob/main/AGENTS.md</v>
      </c>
      <c r="B63" s="8" t="str">
        <f>'Ann1 - Step 2'!B63</f>
        <v>These commands require `cargo` and `rustc` on `PATH` and intentionally avoid re-entering `nix develop`.</v>
      </c>
      <c r="C63" s="6" t="str">
        <f>'Ann1 - Step 2'!C63</f>
        <v>Task Execution</v>
      </c>
      <c r="D63" s="6" t="str">
        <f>'Ann2 - Step 2'!C63</f>
        <v>Build &amp; Operation</v>
      </c>
      <c r="E63" s="6" t="b">
        <f t="shared" si="0"/>
        <v>1</v>
      </c>
      <c r="F63" s="6" t="s">
        <v>136</v>
      </c>
      <c r="G63" s="6" t="str">
        <f t="shared" si="1"/>
        <v>Build &amp; Operation</v>
      </c>
    </row>
    <row r="64" spans="1:7" ht="13" x14ac:dyDescent="0.15">
      <c r="A64" s="21" t="str">
        <f>'Ann1 - Step 2'!A64</f>
        <v>https://github.com/luccahuguet/yazelix/blob/main/AGENTS.md</v>
      </c>
      <c r="B64" s="6" t="str">
        <f>'Ann1 - Step 2'!B64</f>
        <v>- In particular, avoid patterns like arrays of shell lines joined with `str join "\n"` or interpolated multi-line shell snippets whose dynamic values are baked directly into the script text.</v>
      </c>
      <c r="C64" s="6" t="str">
        <f>'Ann1 - Step 2'!C64</f>
        <v>Coding Pattern</v>
      </c>
      <c r="D64" s="6" t="str">
        <f>'Ann2 - Step 2'!C64</f>
        <v>Coding Pattern</v>
      </c>
      <c r="E64" s="6" t="b">
        <f t="shared" si="0"/>
        <v>0</v>
      </c>
      <c r="F64" s="6"/>
      <c r="G64" s="6" t="str">
        <f t="shared" si="1"/>
        <v>Coding Pattern</v>
      </c>
    </row>
    <row r="65" spans="1:7" ht="13" x14ac:dyDescent="0.15">
      <c r="A65" s="21" t="str">
        <f>'Ann1 - Step 2'!A65</f>
        <v>https://github.com/Pipelex/pipelex/blob/main/AGENTS.md</v>
      </c>
      <c r="B65" s="6" t="str">
        <f>'Ann1 - Step 2'!B65</f>
        <v>Avoid unless using the `exceptiongroup` backport.</v>
      </c>
      <c r="C65" s="6" t="str">
        <f>'Ann1 - Step 2'!C65</f>
        <v>Coding Pattern</v>
      </c>
      <c r="D65" s="6" t="str">
        <f>'Ann2 - Step 2'!C65</f>
        <v>Coding Pattern</v>
      </c>
      <c r="E65" s="6" t="b">
        <f t="shared" si="0"/>
        <v>0</v>
      </c>
      <c r="F65" s="6"/>
      <c r="G65" s="6" t="str">
        <f t="shared" si="1"/>
        <v>Coding Pattern</v>
      </c>
    </row>
    <row r="66" spans="1:7" ht="14" x14ac:dyDescent="0.15">
      <c r="A66" s="21" t="str">
        <f>'Ann1 - Step 2'!A66</f>
        <v>https://github.com/Pipelex/pipelex/blob/main/AGENTS.md</v>
      </c>
      <c r="B66" s="8" t="str">
        <f>'Ann1 - Step 2'!B66</f>
        <v>- Avoid inline for loops, unless it's ultra-simple and holds on oneline.</v>
      </c>
      <c r="C66" s="6" t="str">
        <f>'Ann1 - Step 2'!C66</f>
        <v>Coding Style</v>
      </c>
      <c r="D66" s="6" t="str">
        <f>'Ann2 - Step 2'!C66</f>
        <v>Coding Pattern</v>
      </c>
      <c r="E66" s="6" t="b">
        <f t="shared" si="0"/>
        <v>1</v>
      </c>
      <c r="F66" s="6" t="s">
        <v>30</v>
      </c>
      <c r="G66" s="6" t="str">
        <f t="shared" si="1"/>
        <v>Coding Pattern</v>
      </c>
    </row>
    <row r="67" spans="1:7" ht="13" x14ac:dyDescent="0.15">
      <c r="A67" s="21" t="str">
        <f>'Ann1 - Step 2'!A67</f>
        <v>https://github.com/Pipelex/pipelex/blob/main/AGENTS.md</v>
      </c>
      <c r="B67" s="6" t="str">
        <f>'Ann1 - Step 2'!B67</f>
        <v>- Avoid as much as possible import statements outside of a module's top-level scope.</v>
      </c>
      <c r="C67" s="6" t="str">
        <f>'Ann1 - Step 2'!C67</f>
        <v>Coding Pattern</v>
      </c>
      <c r="D67" s="6" t="str">
        <f>'Ann2 - Step 2'!C67</f>
        <v>Coding Pattern</v>
      </c>
      <c r="E67" s="6" t="b">
        <f t="shared" si="0"/>
        <v>0</v>
      </c>
      <c r="F67" s="6"/>
      <c r="G67" s="6" t="str">
        <f t="shared" si="1"/>
        <v>Coding Pattern</v>
      </c>
    </row>
    <row r="68" spans="1:7" ht="13" x14ac:dyDescent="0.15">
      <c r="A68" s="21" t="str">
        <f>'Ann1 - Step 2'!A68</f>
        <v>https://github.com/PrairieLearn/PrairieLearn/blob/master/AGENTS.md</v>
      </c>
      <c r="B68" s="6" t="str">
        <f>'Ann1 - Step 2'!B68</f>
        <v>Avoid running the entire test suite unless necessary, as it can be time-consuming.</v>
      </c>
      <c r="C68" s="6" t="str">
        <f>'Ann1 - Step 2'!C68</f>
        <v>Testing</v>
      </c>
      <c r="D68" s="6" t="str">
        <f>'Ann2 - Step 2'!C68</f>
        <v>Testing</v>
      </c>
      <c r="E68" s="6" t="b">
        <f t="shared" si="0"/>
        <v>0</v>
      </c>
      <c r="F68" s="6"/>
      <c r="G68" s="6" t="str">
        <f t="shared" si="1"/>
        <v>Testing</v>
      </c>
    </row>
    <row r="69" spans="1:7" ht="13" x14ac:dyDescent="0.15">
      <c r="A69" s="21" t="str">
        <f>'Ann1 - Step 2'!A69</f>
        <v>https://github.com/PrairieLearn/PrairieLearn/blob/master/AGENTS.md</v>
      </c>
      <c r="B69" s="6" t="str">
        <f>'Ann1 - Step 2'!B69</f>
        <v>- Avoid unnecessary `useEffect` when using `react-hook-form`.</v>
      </c>
      <c r="C69" s="6" t="str">
        <f>'Ann1 - Step 2'!C69</f>
        <v>Coding Pattern</v>
      </c>
      <c r="D69" s="6" t="str">
        <f>'Ann2 - Step 2'!C69</f>
        <v>Coding Pattern</v>
      </c>
      <c r="E69" s="6" t="b">
        <f t="shared" si="0"/>
        <v>0</v>
      </c>
      <c r="F69" s="6"/>
      <c r="G69" s="6" t="str">
        <f t="shared" si="1"/>
        <v>Coding Pattern</v>
      </c>
    </row>
    <row r="70" spans="1:7" ht="28" x14ac:dyDescent="0.15">
      <c r="A70" s="21" t="str">
        <f>'Ann1 - Step 2'!A70</f>
        <v>https://github.com/rocketship-ai/rocketship/blob/main/AGENTS.md</v>
      </c>
      <c r="B70" s="8" t="str">
        <f>'Ann1 - Step 2'!B70</f>
        <v>Always include a unique `X-Test-Session` header when calling shared services like `https://tryme.rocketship.sh` to avoid cross-test contamination.</v>
      </c>
      <c r="C70" s="6" t="str">
        <f>'Ann1 - Step 2'!C70</f>
        <v>Build &amp; Operation</v>
      </c>
      <c r="D70" s="6" t="str">
        <f>'Ann2 - Step 2'!C70</f>
        <v>Coding Pattern</v>
      </c>
      <c r="E70" s="6" t="b">
        <f t="shared" si="0"/>
        <v>1</v>
      </c>
      <c r="F70" s="6" t="s">
        <v>88</v>
      </c>
      <c r="G70" s="6" t="str">
        <f t="shared" si="1"/>
        <v>Testing</v>
      </c>
    </row>
    <row r="71" spans="1:7" ht="13" x14ac:dyDescent="0.15">
      <c r="A71" s="21" t="str">
        <f>'Ann1 - Step 2'!A71</f>
        <v>https://github.com/RSSNext/Folo/blob/main/AGENTS.md</v>
      </c>
      <c r="B71" s="6" t="str">
        <f>'Ann1 - Step 2'!B71</f>
        <v>- TypeScript strict; avoid `any` (use precise types).</v>
      </c>
      <c r="C71" s="6" t="str">
        <f>'Ann1 - Step 2'!C71</f>
        <v>Coding Pattern</v>
      </c>
      <c r="D71" s="6" t="str">
        <f>'Ann2 - Step 2'!C71</f>
        <v>Coding Pattern</v>
      </c>
      <c r="E71" s="6" t="b">
        <f t="shared" si="0"/>
        <v>0</v>
      </c>
      <c r="F71" s="6"/>
      <c r="G71" s="6" t="str">
        <f t="shared" si="1"/>
        <v>Coding Pattern</v>
      </c>
    </row>
    <row r="72" spans="1:7" ht="14" x14ac:dyDescent="0.15">
      <c r="A72" s="21" t="str">
        <f>'Ann1 - Step 2'!A72</f>
        <v>https://github.com/RSSNext/Folo/blob/main/AGENTS.md</v>
      </c>
      <c r="B72" s="8" t="str">
        <f>'Ann1 - Step 2'!B72</f>
        <v>- **Style extraction**: Avoid inline styles in JSX.</v>
      </c>
      <c r="C72" s="6" t="str">
        <f>'Ann1 - Step 2'!C72</f>
        <v>Coding Pattern</v>
      </c>
      <c r="D72" s="6" t="str">
        <f>'Ann2 - Step 2'!C72</f>
        <v>Coding Style</v>
      </c>
      <c r="E72" s="6" t="b">
        <f t="shared" si="0"/>
        <v>1</v>
      </c>
      <c r="F72" s="6" t="s">
        <v>83</v>
      </c>
      <c r="G72" s="6" t="str">
        <f t="shared" si="1"/>
        <v>Coding Style</v>
      </c>
    </row>
    <row r="73" spans="1:7" ht="13" x14ac:dyDescent="0.15">
      <c r="A73" s="21" t="str">
        <f>'Ann1 - Step 2'!A73</f>
        <v>https://github.com/RSSNext/Folo/blob/main/AGENTS.md</v>
      </c>
      <c r="B73" s="6" t="str">
        <f>'Ann1 - Step 2'!B73</f>
        <v>- Avoid using the `any` type in TypeScript.</v>
      </c>
      <c r="C73" s="6" t="str">
        <f>'Ann1 - Step 2'!C73</f>
        <v>Coding Pattern</v>
      </c>
      <c r="D73" s="6" t="str">
        <f>'Ann2 - Step 2'!C73</f>
        <v>Coding Pattern</v>
      </c>
      <c r="E73" s="6" t="b">
        <f t="shared" si="0"/>
        <v>0</v>
      </c>
      <c r="F73" s="6"/>
      <c r="G73" s="6" t="str">
        <f t="shared" si="1"/>
        <v>Coding Pattern</v>
      </c>
    </row>
    <row r="74" spans="1:7" ht="14" x14ac:dyDescent="0.15">
      <c r="A74" s="21" t="str">
        <f>'Ann1 - Step 2'!A74</f>
        <v>https://github.com/RSSNext/Folo/blob/main/AGENTS.md</v>
      </c>
      <c r="B74" s="8" t="str">
        <f>'Ann1 - Step 2'!B74</f>
        <v>Avoid conflicting dotted keys.</v>
      </c>
      <c r="C74" s="6" t="str">
        <f>'Ann1 - Step 2'!C74</f>
        <v>Writing Style Preference</v>
      </c>
      <c r="D74" s="6" t="str">
        <f>'Ann2 - Step 2'!C74</f>
        <v>Coding Style</v>
      </c>
      <c r="E74" s="6" t="b">
        <f t="shared" si="0"/>
        <v>1</v>
      </c>
      <c r="F74" s="6" t="s">
        <v>30</v>
      </c>
      <c r="G74" s="6" t="str">
        <f t="shared" si="1"/>
        <v>Coding Pattern</v>
      </c>
    </row>
    <row r="75" spans="1:7" ht="28" x14ac:dyDescent="0.15">
      <c r="A75" s="21" t="str">
        <f>'Ann1 - Step 2'!A75</f>
        <v>https://github.com/RSSNext/Folo/blob/main/AGENTS.md</v>
      </c>
      <c r="B75" s="8" t="str">
        <f>'Ann1 - Step 2'!B75</f>
        <v>- Avoid multi-line speculative edits; keep edits minimal and targeted; preserve existing indentation.</v>
      </c>
      <c r="C75" s="6" t="str">
        <f>'Ann1 - Step 2'!C75</f>
        <v>Build &amp; Operation</v>
      </c>
      <c r="D75" s="6" t="str">
        <f>'Ann2 - Step 2'!C75</f>
        <v>Coding Style</v>
      </c>
      <c r="E75" s="6" t="b">
        <f t="shared" si="0"/>
        <v>1</v>
      </c>
      <c r="F75" s="6" t="s">
        <v>18</v>
      </c>
      <c r="G75" s="6" t="str">
        <f t="shared" si="1"/>
        <v>Task Execution</v>
      </c>
    </row>
    <row r="76" spans="1:7" ht="13" x14ac:dyDescent="0.15">
      <c r="A76" s="21" t="str">
        <f>'Ann1 - Step 2'!A76</f>
        <v>https://github.com/rustfs/rustfs/blob/main/AGENTS.md</v>
      </c>
      <c r="B76" s="6" t="str">
        <f>'Ann1 - Step 2'!B76</f>
        <v>- Avoid redundant file reads, repeated commands, and unnecessary exploratory work once enough context is available.</v>
      </c>
      <c r="C76" s="6" t="str">
        <f>'Ann1 - Step 2'!C76</f>
        <v>Task Execution</v>
      </c>
      <c r="D76" s="6" t="str">
        <f>'Ann2 - Step 2'!C76</f>
        <v>Task Execution</v>
      </c>
      <c r="E76" s="6" t="b">
        <f t="shared" si="0"/>
        <v>0</v>
      </c>
      <c r="F76" s="6"/>
      <c r="G76" s="6" t="str">
        <f t="shared" si="1"/>
        <v>Task Execution</v>
      </c>
    </row>
    <row r="77" spans="1:7" ht="14" x14ac:dyDescent="0.15">
      <c r="A77" s="21" t="str">
        <f>'Ann1 - Step 2'!A77</f>
        <v>https://github.com/rustfs/rustfs/blob/main/AGENTS.md</v>
      </c>
      <c r="B77" s="8" t="str">
        <f>'Ann1 - Step 2'!B77</f>
        <v>Avoid sycophantic openers, closing fluff, and verbose status reporting.</v>
      </c>
      <c r="C77" s="6" t="str">
        <f>'Ann1 - Step 2'!C77</f>
        <v>Documentation</v>
      </c>
      <c r="D77" s="6" t="str">
        <f>'Ann2 - Step 2'!C77</f>
        <v>Writing Style Preference</v>
      </c>
      <c r="E77" s="6" t="b">
        <f t="shared" si="0"/>
        <v>1</v>
      </c>
      <c r="F77" s="6" t="s">
        <v>77</v>
      </c>
      <c r="G77" s="6" t="str">
        <f t="shared" si="1"/>
        <v>Writing Style Preference</v>
      </c>
    </row>
    <row r="78" spans="1:7" ht="28" x14ac:dyDescent="0.15">
      <c r="A78" s="21" t="str">
        <f>'Ann1 - Step 2'!A78</f>
        <v>https://github.com/rustfs/rustfs/blob/main/AGENTS.md</v>
      </c>
      <c r="B78" s="8" t="str">
        <f>'Ann1 - Step 2'!B78</f>
        <v>- Keep fixes narrowly aligned with the requested behavior; avoid semantic-adjacent rewrites while touching sensitive paths.</v>
      </c>
      <c r="C78" s="6" t="str">
        <f>'Ann1 - Step 2'!C78</f>
        <v>Coding Pattern</v>
      </c>
      <c r="D78" s="6" t="str">
        <f>'Ann2 - Step 2'!C78</f>
        <v>Coding Style</v>
      </c>
      <c r="E78" s="6" t="b">
        <f t="shared" si="0"/>
        <v>1</v>
      </c>
      <c r="F78" s="6" t="s">
        <v>18</v>
      </c>
      <c r="G78" s="6" t="str">
        <f t="shared" si="1"/>
        <v>Task Execution</v>
      </c>
    </row>
    <row r="79" spans="1:7" ht="28" x14ac:dyDescent="0.15">
      <c r="A79" s="21" t="str">
        <f>'Ann1 - Step 2'!A79</f>
        <v>https://github.com/rustfs/rustfs/blob/main/AGENTS.md</v>
      </c>
      <c r="B79" s="8" t="str">
        <f>'Ann1 - Step 2'!B79</f>
        <v>- If a new string is truly unique, define a local constant near related logic and avoid scattering the literal across multiple sites.</v>
      </c>
      <c r="C79" s="6" t="str">
        <f>'Ann1 - Step 2'!C79</f>
        <v>Writing Style Preference</v>
      </c>
      <c r="D79" s="6" t="str">
        <f>'Ann2 - Step 2'!C79</f>
        <v>Coding Pattern</v>
      </c>
      <c r="E79" s="6" t="b">
        <f t="shared" si="0"/>
        <v>1</v>
      </c>
      <c r="F79" s="6" t="s">
        <v>30</v>
      </c>
      <c r="G79" s="6" t="str">
        <f t="shared" si="1"/>
        <v>Coding Pattern</v>
      </c>
    </row>
    <row r="80" spans="1:7" ht="14" x14ac:dyDescent="0.15">
      <c r="A80" s="21" t="str">
        <f>'Ann1 - Step 2'!A80</f>
        <v>https://github.com/rustfs/rustfs/blob/main/AGENTS.md</v>
      </c>
      <c r="B80" s="8" t="str">
        <f>'Ann1 - Step 2'!B80</f>
        <v>Avoid duplicating long crate lists or command matrices in instruction files.</v>
      </c>
      <c r="C80" s="6" t="str">
        <f>'Ann1 - Step 2'!C80</f>
        <v>Coding Pattern</v>
      </c>
      <c r="D80" s="6" t="str">
        <f>'Ann2 - Step 2'!C80</f>
        <v>Task Execution</v>
      </c>
      <c r="E80" s="6" t="b">
        <f t="shared" si="0"/>
        <v>1</v>
      </c>
      <c r="F80" s="6" t="s">
        <v>23</v>
      </c>
      <c r="G80" s="6" t="str">
        <f t="shared" si="1"/>
        <v>Documentation</v>
      </c>
    </row>
    <row r="81" spans="1:7" ht="13" x14ac:dyDescent="0.15">
      <c r="A81" s="21" t="str">
        <f>'Ann1 - Step 2'!A81</f>
        <v>https://github.com/seasonedcc/remix-forms/blob/main/AGENTS.md</v>
      </c>
      <c r="B81" s="6" t="str">
        <f>'Ann1 - Step 2'!B81</f>
        <v>Avoid checking Tailwind classes, CSS, or which specific HTML tag is rendered.</v>
      </c>
      <c r="C81" s="6" t="str">
        <f>'Ann1 - Step 2'!C81</f>
        <v>Testing</v>
      </c>
      <c r="D81" s="6" t="str">
        <f>'Ann2 - Step 2'!C81</f>
        <v>Testing</v>
      </c>
      <c r="E81" s="6" t="b">
        <f t="shared" si="0"/>
        <v>0</v>
      </c>
      <c r="F81" s="6"/>
      <c r="G81" s="6" t="str">
        <f t="shared" si="1"/>
        <v>Testing</v>
      </c>
    </row>
    <row r="82" spans="1:7" ht="13" x14ac:dyDescent="0.15">
      <c r="A82" s="21" t="str">
        <f>'Ann1 - Step 2'!A82</f>
        <v>https://github.com/seasonedcc/remix-forms/blob/main/AGENTS.md</v>
      </c>
      <c r="B82" s="6" t="str">
        <f>'Ann1 - Step 2'!B82</f>
        <v>Avoid catch‑all labels like "additional tests".</v>
      </c>
      <c r="C82" s="6" t="str">
        <f>'Ann1 - Step 2'!C82</f>
        <v>Testing</v>
      </c>
      <c r="D82" s="6" t="str">
        <f>'Ann2 - Step 2'!C82</f>
        <v>Testing</v>
      </c>
      <c r="E82" s="6" t="b">
        <f t="shared" si="0"/>
        <v>0</v>
      </c>
      <c r="F82" s="6"/>
      <c r="G82" s="6" t="str">
        <f t="shared" si="1"/>
        <v>Testing</v>
      </c>
    </row>
    <row r="83" spans="1:7" ht="13" x14ac:dyDescent="0.15">
      <c r="A83" s="21" t="str">
        <f>'Ann1 - Step 2'!A83</f>
        <v>https://github.com/stack-auth/stack-auth/blob/main/AGENTS.md</v>
      </c>
      <c r="B83" s="6" t="str">
        <f>'Ann1 - Step 2'!B83</f>
        <v>- Try to avoid the `any` type.</v>
      </c>
      <c r="C83" s="6" t="str">
        <f>'Ann1 - Step 2'!C83</f>
        <v>Coding Pattern</v>
      </c>
      <c r="D83" s="6" t="str">
        <f>'Ann2 - Step 2'!C83</f>
        <v>Coding Pattern</v>
      </c>
      <c r="E83" s="6" t="b">
        <f t="shared" si="0"/>
        <v>0</v>
      </c>
      <c r="F83" s="6"/>
      <c r="G83" s="6" t="str">
        <f t="shared" si="1"/>
        <v>Coding Pattern</v>
      </c>
    </row>
    <row r="84" spans="1:7" ht="13" x14ac:dyDescent="0.15">
      <c r="A84" s="21" t="str">
        <f>'Ann1 - Step 2'!A84</f>
        <v>https://github.com/stack-auth/stack-auth/blob/main/AGENTS.md</v>
      </c>
      <c r="B84" s="6" t="str">
        <f>'Ann1 - Step 2'!B84</f>
        <v>Avoid wherever possible.</v>
      </c>
      <c r="C84" s="6" t="str">
        <f>'Ann1 - Step 2'!C84</f>
        <v>Coding Pattern</v>
      </c>
      <c r="D84" s="6" t="str">
        <f>'Ann2 - Step 2'!C84</f>
        <v>Coding Pattern</v>
      </c>
      <c r="E84" s="6" t="b">
        <f t="shared" si="0"/>
        <v>0</v>
      </c>
      <c r="F84" s="6"/>
      <c r="G84" s="6" t="str">
        <f t="shared" si="1"/>
        <v>Coding Pattern</v>
      </c>
    </row>
    <row r="85" spans="1:7" ht="14" x14ac:dyDescent="0.15">
      <c r="A85" s="21" t="str">
        <f>'Ann1 - Step 2'!A85</f>
        <v>https://github.com/swarmauri/swarmauri-sdk/blob/main/AGENTS.md</v>
      </c>
      <c r="B85" s="8" t="str">
        <f>'Ann1 - Step 2'!B85</f>
        <v>avoid using the ``PluginManager`` unless explicitly directed otherwise.</v>
      </c>
      <c r="C85" s="6" t="str">
        <f>'Ann1 - Step 2'!C85</f>
        <v>Build &amp; Operation</v>
      </c>
      <c r="D85" s="6" t="str">
        <f>'Ann2 - Step 2'!C85</f>
        <v>Coding Pattern</v>
      </c>
      <c r="E85" s="6" t="b">
        <f t="shared" si="0"/>
        <v>1</v>
      </c>
      <c r="F85" s="6" t="s">
        <v>30</v>
      </c>
      <c r="G85" s="6" t="str">
        <f t="shared" si="1"/>
        <v>Coding Pattern</v>
      </c>
    </row>
    <row r="86" spans="1:7" ht="28" x14ac:dyDescent="0.15">
      <c r="A86" s="21" t="str">
        <f>'Ann1 - Step 2'!A86</f>
        <v>https://github.com/useautumn/autumn/blob/main/AGENTS.md</v>
      </c>
      <c r="B86" s="8" t="str">
        <f>'Ann1 - Step 2'!B86</f>
        <v>- Any new or refactored runtime balance/reset/cache patch code should continue following this policy and avoid adding new cache-version bumps by default.</v>
      </c>
      <c r="C86" s="6" t="str">
        <f>'Ann1 - Step 2'!C86</f>
        <v>Build &amp; Operation</v>
      </c>
      <c r="D86" s="6" t="str">
        <f>'Ann2 - Step 2'!C86</f>
        <v>Performance</v>
      </c>
      <c r="E86" s="6" t="b">
        <f t="shared" si="0"/>
        <v>1</v>
      </c>
      <c r="F86" s="6" t="s">
        <v>30</v>
      </c>
      <c r="G86" s="6" t="str">
        <f t="shared" si="1"/>
        <v>Coding Pattern</v>
      </c>
    </row>
    <row r="87" spans="1:7" ht="42" x14ac:dyDescent="0.15">
      <c r="A87" s="21" t="str">
        <f>'Ann1 - Step 2'!A87</f>
        <v>https://github.com/web-infra-dev/rspack/blob/main/AGENTS.md</v>
      </c>
      <c r="B87" s="8" t="str">
        <f>'Ann1 - Step 2'!B87</f>
        <v>- **Rust**: Core in `crates/rspack_core/`, plugins in `crates/rspack_plugin_*/`, rebuild with `pnpm run build:binding:dev`, test with `pnpm run test:rs`, avoid linting and formatting for fast local development</v>
      </c>
      <c r="C87" s="6" t="str">
        <f>'Ann1 - Step 2'!C87</f>
        <v>Build &amp; Operation</v>
      </c>
      <c r="D87" s="6" t="str">
        <f>'Ann2 - Step 2'!C87</f>
        <v>Coding Style</v>
      </c>
      <c r="E87" s="6" t="b">
        <f t="shared" si="0"/>
        <v>1</v>
      </c>
      <c r="F87" s="6" t="s">
        <v>136</v>
      </c>
      <c r="G87" s="6" t="str">
        <f t="shared" si="1"/>
        <v>Build &amp; Operation</v>
      </c>
    </row>
    <row r="88" spans="1:7" ht="13" x14ac:dyDescent="0.15">
      <c r="A88" s="21" t="str">
        <f>'Ann1 - Step 2'!A88</f>
        <v>https://github.com/webgptorg/promptbook/blob/main/AGENTS.md</v>
      </c>
      <c r="B88" s="6" t="str">
        <f>'Ann1 - Step 2'!B88</f>
        <v>-   Keep small responsibilities of functions and classes, avoid creating big functions or classes that do many things.</v>
      </c>
      <c r="C88" s="6" t="str">
        <f>'Ann1 - Step 2'!C88</f>
        <v>Coding Pattern</v>
      </c>
      <c r="D88" s="6" t="str">
        <f>'Ann2 - Step 2'!C88</f>
        <v>Coding Pattern</v>
      </c>
      <c r="E88" s="6" t="b">
        <f t="shared" si="0"/>
        <v>0</v>
      </c>
      <c r="F88" s="6"/>
      <c r="G88" s="6" t="str">
        <f t="shared" si="1"/>
        <v>Coding Pattern</v>
      </c>
    </row>
    <row r="89" spans="1:7" ht="14" x14ac:dyDescent="0.15">
      <c r="A89" s="21" t="str">
        <f>'Ann1 - Step 2'!A89</f>
        <v>https://github.com/wieslawsoltes/Dock/blob/master/AGENTS.md</v>
      </c>
      <c r="B89" s="8" t="str">
        <f>'Ann1 - Step 2'!B89</f>
        <v>- Open/Closed: extend behavior via composition and interfaces; avoid modifying</v>
      </c>
      <c r="C89" s="6" t="str">
        <f>'Ann1 - Step 2'!C89</f>
        <v>Coding Pattern</v>
      </c>
      <c r="D89" s="6" t="str">
        <f>'Ann2 - Step 2'!C89</f>
        <v>Task Execution</v>
      </c>
      <c r="E89" s="6" t="b">
        <f t="shared" si="0"/>
        <v>1</v>
      </c>
      <c r="F89" s="6" t="s">
        <v>30</v>
      </c>
      <c r="G89" s="6" t="str">
        <f t="shared" si="1"/>
        <v>Coding Pattern</v>
      </c>
    </row>
    <row r="90" spans="1:7" ht="13" x14ac:dyDescent="0.15">
      <c r="A90" s="21" t="str">
        <f>'Ann1 - Step 2'!A90</f>
        <v>https://github.com/wieslawsoltes/Dock/blob/master/AGENTS.md</v>
      </c>
      <c r="B90" s="6" t="str">
        <f>'Ann1 - Step 2'!B90</f>
        <v>- Interface Segregation: prefer small, focused interfaces; avoid "god" interfaces.</v>
      </c>
      <c r="C90" s="6" t="str">
        <f>'Ann1 - Step 2'!C90</f>
        <v>Coding Pattern</v>
      </c>
      <c r="D90" s="6" t="str">
        <f>'Ann2 - Step 2'!C90</f>
        <v>Coding Pattern</v>
      </c>
      <c r="E90" s="6" t="b">
        <f t="shared" si="0"/>
        <v>0</v>
      </c>
      <c r="F90" s="6"/>
      <c r="G90" s="6" t="str">
        <f t="shared" si="1"/>
        <v>Coding Pattern</v>
      </c>
    </row>
    <row r="91" spans="1:7" ht="14" x14ac:dyDescent="0.15">
      <c r="A91" s="21" t="str">
        <f>'Ann1 - Step 2'!A91</f>
        <v>https://github.com/wieslawsoltes/Dock/blob/master/AGENTS.md</v>
      </c>
      <c r="B91" s="8" t="str">
        <f>'Ann1 - Step 2'!B91</f>
        <v>- Use XAML for layout and visuals; avoid creating controls in code.</v>
      </c>
      <c r="C91" s="6" t="str">
        <f>'Ann1 - Step 2'!C91</f>
        <v>Writing Style Preference</v>
      </c>
      <c r="D91" s="6" t="str">
        <f>'Ann2 - Step 2'!C91</f>
        <v>Task Execution</v>
      </c>
      <c r="E91" s="6" t="b">
        <f t="shared" si="0"/>
        <v>1</v>
      </c>
      <c r="F91" s="6" t="s">
        <v>30</v>
      </c>
      <c r="G91" s="6" t="str">
        <f t="shared" si="1"/>
        <v>Coding Pattern</v>
      </c>
    </row>
    <row r="92" spans="1:7" ht="14" x14ac:dyDescent="0.15">
      <c r="A92" s="21" t="str">
        <f>'Ann1 - Step 2'!A92</f>
        <v>https://github.com/wieslawsoltes/Dock/blob/master/AGENTS.md</v>
      </c>
      <c r="B92" s="8" t="str">
        <f>'Ann1 - Step 2'!B92</f>
        <v>- Avoid LINQ in hot paths; use loops and pre-sized collections.</v>
      </c>
      <c r="C92" s="6" t="str">
        <f>'Ann1 - Step 2'!C92</f>
        <v>Performance</v>
      </c>
      <c r="D92" s="6" t="str">
        <f>'Ann2 - Step 2'!C92</f>
        <v>Coding Pattern</v>
      </c>
      <c r="E92" s="6" t="b">
        <f t="shared" si="0"/>
        <v>1</v>
      </c>
      <c r="F92" s="6" t="s">
        <v>219</v>
      </c>
      <c r="G92" s="6" t="str">
        <f t="shared" si="1"/>
        <v>Performance</v>
      </c>
    </row>
    <row r="93" spans="1:7" ht="13" x14ac:dyDescent="0.15">
      <c r="A93" s="21" t="str">
        <f>'Ann1 - Step 2'!A93</f>
        <v>https://github.com/wieslawsoltes/Dock/blob/master/AGENTS.md</v>
      </c>
      <c r="B93" s="6" t="str">
        <f>'Ann1 - Step 2'!B93</f>
        <v>- Minimize boxing, virtual dispatch in tight loops, and avoid unnecessary</v>
      </c>
      <c r="C93" s="6" t="str">
        <f>'Ann1 - Step 2'!C93</f>
        <v>Performance</v>
      </c>
      <c r="D93" s="6" t="str">
        <f>'Ann2 - Step 2'!C93</f>
        <v>Performance</v>
      </c>
      <c r="E93" s="6" t="b">
        <f t="shared" si="0"/>
        <v>0</v>
      </c>
      <c r="F93" s="6"/>
      <c r="G93" s="6" t="str">
        <f t="shared" si="1"/>
        <v>Performance</v>
      </c>
    </row>
    <row r="94" spans="1:7" ht="13" x14ac:dyDescent="0.15">
      <c r="A94" s="21" t="str">
        <f>'Ann1 - Step 2'!A94</f>
        <v>https://github.com/wieslawsoltes/Dock/blob/master/AGENTS.md</v>
      </c>
      <c r="B94" s="6" t="str">
        <f>'Ann1 - Step 2'!B94</f>
        <v>- Avoid static state (except truly immutable constants).</v>
      </c>
      <c r="C94" s="6" t="str">
        <f>'Ann1 - Step 2'!C94</f>
        <v>Coding Pattern</v>
      </c>
      <c r="D94" s="6" t="str">
        <f>'Ann2 - Step 2'!C94</f>
        <v>Coding Pattern</v>
      </c>
      <c r="E94" s="6" t="b">
        <f t="shared" si="0"/>
        <v>0</v>
      </c>
      <c r="F94" s="6"/>
      <c r="G94" s="6" t="str">
        <f t="shared" si="1"/>
        <v>Coding Pattern</v>
      </c>
    </row>
    <row r="95" spans="1:7" ht="13" x14ac:dyDescent="0.15">
      <c r="A95" s="21" t="str">
        <f>'Ann1 - Step 2'!A95</f>
        <v>https://github.com/wieslawsoltes/Dock/blob/master/AGENTS.md</v>
      </c>
      <c r="B95" s="6" t="str">
        <f>'Ann1 - Step 2'!B95</f>
        <v>- Prefer explicit types where clarity is improved; avoid `var` in public APIs.</v>
      </c>
      <c r="C95" s="6" t="str">
        <f>'Ann1 - Step 2'!C95</f>
        <v>Coding Pattern</v>
      </c>
      <c r="D95" s="6" t="str">
        <f>'Ann2 - Step 2'!C95</f>
        <v>Coding Pattern</v>
      </c>
      <c r="E95" s="6" t="b">
        <f t="shared" si="0"/>
        <v>0</v>
      </c>
      <c r="F95" s="6"/>
      <c r="G95" s="6" t="str">
        <f t="shared" si="1"/>
        <v>Coding Pattern</v>
      </c>
    </row>
    <row r="96" spans="1:7" ht="14" x14ac:dyDescent="0.15">
      <c r="A96" s="21" t="str">
        <f>'Ann1 - Step 2'!A96</f>
        <v>https://github.com/wieslawsoltes/Xaml.Behaviors/blob/master/AGENTS.md</v>
      </c>
      <c r="B96" s="8" t="str">
        <f>'Ann1 - Step 2'!B96</f>
        <v>- Open/Closed: extend behavior via composition and interfaces; avoid modifying</v>
      </c>
      <c r="C96" s="6" t="str">
        <f>'Ann1 - Step 2'!C96</f>
        <v>Coding Pattern</v>
      </c>
      <c r="D96" s="6" t="str">
        <f>'Ann2 - Step 2'!C96</f>
        <v>Task Execution</v>
      </c>
      <c r="E96" s="6" t="b">
        <f t="shared" si="0"/>
        <v>1</v>
      </c>
      <c r="F96" s="6" t="s">
        <v>30</v>
      </c>
      <c r="G96" s="6" t="str">
        <f t="shared" si="1"/>
        <v>Coding Pattern</v>
      </c>
    </row>
    <row r="97" spans="1:7" ht="13" x14ac:dyDescent="0.15">
      <c r="A97" s="21" t="str">
        <f>'Ann1 - Step 2'!A97</f>
        <v>https://github.com/wieslawsoltes/Xaml.Behaviors/blob/master/AGENTS.md</v>
      </c>
      <c r="B97" s="6" t="str">
        <f>'Ann1 - Step 2'!B97</f>
        <v>- Interface Segregation: prefer small, focused interfaces; avoid "god" interfaces.</v>
      </c>
      <c r="C97" s="6" t="str">
        <f>'Ann1 - Step 2'!C97</f>
        <v>Coding Pattern</v>
      </c>
      <c r="D97" s="6" t="str">
        <f>'Ann2 - Step 2'!C97</f>
        <v>Coding Pattern</v>
      </c>
      <c r="E97" s="6" t="b">
        <f t="shared" si="0"/>
        <v>0</v>
      </c>
      <c r="F97" s="6"/>
      <c r="G97" s="6" t="str">
        <f t="shared" si="1"/>
        <v>Coding Pattern</v>
      </c>
    </row>
    <row r="98" spans="1:7" ht="14" x14ac:dyDescent="0.15">
      <c r="A98" s="21" t="str">
        <f>'Ann1 - Step 2'!A98</f>
        <v>https://github.com/wieslawsoltes/Xaml.Behaviors/blob/master/AGENTS.md</v>
      </c>
      <c r="B98" s="8" t="str">
        <f>'Ann1 - Step 2'!B98</f>
        <v>- Use XAML for layout and visuals; avoid creating controls in code.</v>
      </c>
      <c r="C98" s="6" t="str">
        <f>'Ann1 - Step 2'!C98</f>
        <v>Writing Style Preference</v>
      </c>
      <c r="D98" s="6" t="str">
        <f>'Ann2 - Step 2'!C98</f>
        <v>Coding Pattern</v>
      </c>
      <c r="E98" s="6" t="b">
        <f t="shared" si="0"/>
        <v>1</v>
      </c>
      <c r="F98" s="6" t="s">
        <v>30</v>
      </c>
      <c r="G98" s="6" t="str">
        <f t="shared" si="1"/>
        <v>Coding Pattern</v>
      </c>
    </row>
    <row r="99" spans="1:7" ht="14" x14ac:dyDescent="0.15">
      <c r="A99" s="21" t="str">
        <f>'Ann1 - Step 2'!A99</f>
        <v>https://github.com/wieslawsoltes/Xaml.Behaviors/blob/master/AGENTS.md</v>
      </c>
      <c r="B99" s="8" t="str">
        <f>'Ann1 - Step 2'!B99</f>
        <v>- Prefer `DirectProperty` for non-styled properties to avoid extra overhead.</v>
      </c>
      <c r="C99" s="6" t="str">
        <f>'Ann1 - Step 2'!C99</f>
        <v>Coding Pattern</v>
      </c>
      <c r="D99" s="6" t="str">
        <f>'Ann2 - Step 2'!C99</f>
        <v>Performance</v>
      </c>
      <c r="E99" s="6" t="b">
        <f t="shared" si="0"/>
        <v>1</v>
      </c>
      <c r="F99" s="6" t="s">
        <v>219</v>
      </c>
      <c r="G99" s="6" t="str">
        <f t="shared" si="1"/>
        <v>Performance</v>
      </c>
    </row>
    <row r="100" spans="1:7" ht="14" x14ac:dyDescent="0.15">
      <c r="A100" s="21" t="str">
        <f>'Ann1 - Step 2'!A100</f>
        <v>https://github.com/wieslawsoltes/Xaml.Behaviors/blob/master/AGENTS.md</v>
      </c>
      <c r="B100" s="8" t="str">
        <f>'Ann1 - Step 2'!B100</f>
        <v>- Avoid LINQ in hot paths; use loops and pre-sized collections.</v>
      </c>
      <c r="C100" s="6" t="str">
        <f>'Ann1 - Step 2'!C100</f>
        <v>Performance</v>
      </c>
      <c r="D100" s="6" t="str">
        <f>'Ann2 - Step 2'!C100</f>
        <v>Coding Pattern</v>
      </c>
      <c r="E100" s="6" t="b">
        <f t="shared" si="0"/>
        <v>1</v>
      </c>
      <c r="F100" s="6" t="s">
        <v>219</v>
      </c>
      <c r="G100" s="6" t="str">
        <f t="shared" si="1"/>
        <v>Performance</v>
      </c>
    </row>
    <row r="101" spans="1:7" ht="13" x14ac:dyDescent="0.15">
      <c r="A101" s="21" t="str">
        <f>'Ann1 - Step 2'!A101</f>
        <v>https://github.com/wieslawsoltes/Xaml.Behaviors/blob/master/AGENTS.md</v>
      </c>
      <c r="B101" s="6" t="str">
        <f>'Ann1 - Step 2'!B101</f>
        <v>- Minimize boxing, virtual dispatch in tight loops, and avoid unnecessary</v>
      </c>
      <c r="C101" s="6" t="str">
        <f>'Ann1 - Step 2'!C101</f>
        <v>Performance</v>
      </c>
      <c r="D101" s="6" t="str">
        <f>'Ann2 - Step 2'!C101</f>
        <v>Performance</v>
      </c>
      <c r="E101" s="6" t="b">
        <f t="shared" si="0"/>
        <v>0</v>
      </c>
      <c r="F101" s="6"/>
      <c r="G101" s="6" t="str">
        <f t="shared" si="1"/>
        <v>Performance</v>
      </c>
    </row>
    <row r="102" spans="1:7" ht="13" x14ac:dyDescent="0.15">
      <c r="A102" s="21" t="str">
        <f>'Ann1 - Step 2'!A102</f>
        <v>https://github.com/wieslawsoltes/Xaml.Behaviors/blob/master/AGENTS.md</v>
      </c>
      <c r="B102" s="6" t="str">
        <f>'Ann1 - Step 2'!B102</f>
        <v>- Avoid static state (except truly immutable constants).</v>
      </c>
      <c r="C102" s="6" t="str">
        <f>'Ann1 - Step 2'!C102</f>
        <v>Coding Pattern</v>
      </c>
      <c r="D102" s="6" t="str">
        <f>'Ann2 - Step 2'!C102</f>
        <v>Coding Pattern</v>
      </c>
      <c r="E102" s="6" t="b">
        <f t="shared" si="0"/>
        <v>0</v>
      </c>
      <c r="F102" s="6"/>
      <c r="G102" s="6" t="str">
        <f t="shared" si="1"/>
        <v>Coding Pattern</v>
      </c>
    </row>
    <row r="103" spans="1:7" ht="13" x14ac:dyDescent="0.15">
      <c r="A103" s="21" t="str">
        <f>'Ann1 - Step 2'!A103</f>
        <v>https://github.com/wieslawsoltes/Xaml.Behaviors/blob/master/AGENTS.md</v>
      </c>
      <c r="B103" s="6" t="str">
        <f>'Ann1 - Step 2'!B103</f>
        <v>- Prefer explicit types where clarity is improved; avoid `var` in public APIs.</v>
      </c>
      <c r="C103" s="6" t="str">
        <f>'Ann1 - Step 2'!C103</f>
        <v>Coding Pattern</v>
      </c>
      <c r="D103" s="6" t="str">
        <f>'Ann2 - Step 2'!C103</f>
        <v>Coding Pattern</v>
      </c>
      <c r="E103" s="6" t="b">
        <f t="shared" si="0"/>
        <v>0</v>
      </c>
      <c r="F103" s="6"/>
      <c r="G103" s="6" t="str">
        <f t="shared" si="1"/>
        <v>Coding Pattern</v>
      </c>
    </row>
    <row r="104" spans="1:7" ht="13" x14ac:dyDescent="0.15">
      <c r="A104" s="21" t="str">
        <f>'Ann1 - Step 2'!A104</f>
        <v>https://github.com/yoshiko-pg/difit/blob/main/AGENTS.md</v>
      </c>
      <c r="B104" s="6" t="str">
        <f>'Ann1 - Step 2'!B104</f>
        <v>The codebase uses strict TypeScript (`tsconfig.strictest`) and 2-space indentation; avoid `any` and prefer explicit types.</v>
      </c>
      <c r="C104" s="6" t="str">
        <f>'Ann1 - Step 2'!C104</f>
        <v>Coding Pattern</v>
      </c>
      <c r="D104" s="6" t="str">
        <f>'Ann2 - Step 2'!C104</f>
        <v>Coding Pattern</v>
      </c>
      <c r="E104" s="6" t="b">
        <f t="shared" si="0"/>
        <v>0</v>
      </c>
      <c r="F104" s="6"/>
      <c r="G104" s="6" t="str">
        <f t="shared" si="1"/>
        <v>Coding Pattern</v>
      </c>
    </row>
    <row r="105" spans="1:7" ht="13" x14ac:dyDescent="0.15">
      <c r="A105" s="21" t="str">
        <f>'Ann1 - Step 2'!A105</f>
        <v>https://github.com/yoshiko-pg/difit/blob/main/AGENTS.md</v>
      </c>
      <c r="B105" s="6" t="str">
        <f>'Ann1 - Step 2'!B105</f>
        <v>Use `pnpm` for dependency management (avoid mixing with `npm` or `yarn`) and rely on the `mise.toml` pinned versions for local reproducibility.</v>
      </c>
      <c r="C105" s="6" t="str">
        <f>'Ann1 - Step 2'!C105</f>
        <v>Build &amp; Operation</v>
      </c>
      <c r="D105" s="6" t="str">
        <f>'Ann2 - Step 2'!C105</f>
        <v>Build &amp; Operation</v>
      </c>
      <c r="E105" s="6" t="b">
        <f t="shared" si="0"/>
        <v>0</v>
      </c>
      <c r="F105" s="6"/>
      <c r="G105" s="6" t="str">
        <f t="shared" si="1"/>
        <v>Build &amp; Operation</v>
      </c>
    </row>
    <row r="106" spans="1:7" ht="13" x14ac:dyDescent="0.15">
      <c r="A106" s="21" t="str">
        <f>'Ann1 - Step 2'!A106</f>
        <v>https://github.com/zenml-io/zenml/blob/main/AGENTS.md</v>
      </c>
      <c r="B106" s="6" t="str">
        <f>'Ann1 - Step 2'!B106</f>
        <v>- Avoid simple explanatory comments, where it is already clear from the code itself.</v>
      </c>
      <c r="C106" s="6" t="str">
        <f>'Ann1 - Step 2'!C106</f>
        <v>Documentation</v>
      </c>
      <c r="D106" s="6" t="str">
        <f>'Ann2 - Step 2'!C106</f>
        <v>Documentation</v>
      </c>
      <c r="E106" s="6" t="b">
        <f t="shared" si="0"/>
        <v>0</v>
      </c>
      <c r="F106" s="6"/>
      <c r="G106" s="6" t="str">
        <f t="shared" si="1"/>
        <v>Documentation</v>
      </c>
    </row>
    <row r="107" spans="1:7" ht="13" x14ac:dyDescent="0.15">
      <c r="A107" s="21" t="str">
        <f>'Ann1 - Step 2'!A107</f>
        <v>https://github.com/zenml-io/zenml/blob/main/AGENTS.md</v>
      </c>
      <c r="B107" s="6" t="str">
        <f>'Ann1 - Step 2'!B107</f>
        <v>- Avoid useless one-line comments interleaved with code that restate the obvious.</v>
      </c>
      <c r="C107" s="6" t="str">
        <f>'Ann1 - Step 2'!C107</f>
        <v>Documentation</v>
      </c>
      <c r="D107" s="6" t="str">
        <f>'Ann2 - Step 2'!C107</f>
        <v>Documentation</v>
      </c>
      <c r="E107" s="6" t="b">
        <f t="shared" si="0"/>
        <v>0</v>
      </c>
      <c r="F107" s="6"/>
      <c r="G107" s="6" t="str">
        <f t="shared" si="1"/>
        <v>Documentation</v>
      </c>
    </row>
    <row r="108" spans="1:7" ht="14" x14ac:dyDescent="0.15">
      <c r="A108" s="21" t="str">
        <f>'Ann1 - Step 2'!A108</f>
        <v>https://github.com/zenml-io/zenml/blob/main/AGENTS.md</v>
      </c>
      <c r="B108" s="8" t="str">
        <f>'Ann1 - Step 2'!B108</f>
        <v>&gt; ⚠️ **Integrations should avoid using ZenML private methods**</v>
      </c>
      <c r="C108" s="6" t="str">
        <f>'Ann1 - Step 2'!C108</f>
        <v>Build &amp; Operation</v>
      </c>
      <c r="D108" s="6" t="str">
        <f>'Ann2 - Step 2'!C108</f>
        <v>Coding Pattern</v>
      </c>
      <c r="E108" s="6" t="b">
        <f t="shared" si="0"/>
        <v>1</v>
      </c>
      <c r="F108" s="6" t="s">
        <v>30</v>
      </c>
      <c r="G108" s="6" t="str">
        <f t="shared" si="1"/>
        <v>Coding Pattern</v>
      </c>
    </row>
    <row r="109" spans="1:7" ht="13" x14ac:dyDescent="0.15">
      <c r="A109" s="21" t="str">
        <f>'Ann1 - Step 2'!A109</f>
        <v>https://github.com/zenml-io/zenml/blob/main/AGENTS.md</v>
      </c>
      <c r="B109" s="6" t="str">
        <f>'Ann1 - Step 2'!B109</f>
        <v>- Avoid redundant `else` blocks after a return; handle error cases up front with clear log messages and user-safe responses.</v>
      </c>
      <c r="C109" s="6" t="str">
        <f>'Ann1 - Step 2'!C109</f>
        <v>Coding Pattern</v>
      </c>
      <c r="D109" s="6" t="str">
        <f>'Ann2 - Step 2'!C109</f>
        <v>Coding Pattern</v>
      </c>
      <c r="E109" s="6" t="b">
        <f t="shared" si="0"/>
        <v>0</v>
      </c>
      <c r="F109" s="6"/>
      <c r="G109" s="6" t="str">
        <f t="shared" si="1"/>
        <v>Coding Pattern</v>
      </c>
    </row>
    <row r="110" spans="1:7" ht="14" x14ac:dyDescent="0.15">
      <c r="A110" s="21" t="str">
        <f>'Ann1 - Step 2'!A110</f>
        <v>https://github.com/zenml-io/zenml/blob/main/AGENTS.md</v>
      </c>
      <c r="B110" s="8" t="str">
        <f>'Ann1 - Step 2'!B110</f>
        <v>- Avoid overusing bullet points or other formatting elements</v>
      </c>
      <c r="C110" s="6" t="str">
        <f>'Ann1 - Step 2'!C110</f>
        <v>Writing Style Preference</v>
      </c>
      <c r="D110" s="6" t="str">
        <f>'Ann2 - Step 2'!C110</f>
        <v>Documentation</v>
      </c>
      <c r="E110" s="6" t="b">
        <f t="shared" si="0"/>
        <v>1</v>
      </c>
      <c r="F110" s="6" t="s">
        <v>77</v>
      </c>
      <c r="G110" s="6" t="str">
        <f t="shared" si="1"/>
        <v>Writing Style Preference</v>
      </c>
    </row>
    <row r="111" spans="1:7" ht="14" x14ac:dyDescent="0.15">
      <c r="A111" s="21" t="str">
        <f>'Ann1 - Step 2'!A111</f>
        <v>https://github.com/Agoric/agoric-sdk/blob/master/.github/copilot-instructions.md</v>
      </c>
      <c r="B111" s="8" t="str">
        <f>'Ann1 - Step 2'!B111</f>
        <v>- Avoid deprecated terminology (see eslint.config.mjs)</v>
      </c>
      <c r="C111" s="6" t="str">
        <f>'Ann1 - Step 2'!C111</f>
        <v>Writing Style Preference</v>
      </c>
      <c r="D111" s="6" t="str">
        <f>'Ann2 - Step 2'!C111</f>
        <v>Coding Style</v>
      </c>
      <c r="E111" s="6" t="b">
        <f t="shared" si="0"/>
        <v>1</v>
      </c>
      <c r="F111" s="6" t="s">
        <v>83</v>
      </c>
      <c r="G111" s="6" t="str">
        <f t="shared" si="1"/>
        <v>Coding Style</v>
      </c>
    </row>
    <row r="112" spans="1:7" ht="13" x14ac:dyDescent="0.15">
      <c r="A112" s="21" t="str">
        <f>'Ann1 - Step 2'!A112</f>
        <v>https://github.com/Agoric/agoric-sdk/blob/master/.github/copilot-instructions.md</v>
      </c>
      <c r="B112" s="6" t="str">
        <f>'Ann1 - Step 2'!B112</f>
        <v>- Keep the history tidy - avoid overlapping branches</v>
      </c>
      <c r="C112" s="6" t="str">
        <f>'Ann1 - Step 2'!C112</f>
        <v>Commit&amp;PR rule</v>
      </c>
      <c r="D112" s="6" t="str">
        <f>'Ann2 - Step 2'!C112</f>
        <v>Commit&amp;PR rule</v>
      </c>
      <c r="E112" s="6" t="b">
        <f t="shared" si="0"/>
        <v>0</v>
      </c>
      <c r="F112" s="6"/>
      <c r="G112" s="6" t="str">
        <f t="shared" si="1"/>
        <v>Commit&amp;PR rule</v>
      </c>
    </row>
    <row r="113" spans="1:7" ht="14" x14ac:dyDescent="0.15">
      <c r="A113" s="21" t="str">
        <f>'Ann1 - Step 2'!A113</f>
        <v>https://github.com/Aiko-IT-Systems/DisCatSharp/blob/main/.github/copilot-instructions.md</v>
      </c>
      <c r="B113" s="8" t="str">
        <f>'Ann1 - Step 2'!B113</f>
        <v>- Avoid breaking changes; use `[Deprecated]` attribute for deprecations.</v>
      </c>
      <c r="C113" s="6" t="str">
        <f>'Ann1 - Step 2'!C113</f>
        <v>Coding Pattern</v>
      </c>
      <c r="D113" s="6" t="str">
        <f>'Ann2 - Step 2'!C113</f>
        <v>Commit&amp;PR rule</v>
      </c>
      <c r="E113" s="6" t="b">
        <f t="shared" si="0"/>
        <v>1</v>
      </c>
      <c r="F113" s="6" t="s">
        <v>30</v>
      </c>
      <c r="G113" s="6" t="str">
        <f t="shared" si="1"/>
        <v>Coding Pattern</v>
      </c>
    </row>
    <row r="114" spans="1:7" ht="28" x14ac:dyDescent="0.15">
      <c r="A114" s="21" t="str">
        <f>'Ann1 - Step 2'!A114</f>
        <v>https://github.com/Azure/AgentBaker/blob/main/.github/copilot-instructions.md</v>
      </c>
      <c r="B114" s="8" t="str">
        <f>'Ann1 - Step 2'!B114</f>
        <v>- avoid functional regression when introducing new features (component updates, new drivers, new binaries), ensure that all supported OS / versions are tested</v>
      </c>
      <c r="C114" s="6" t="str">
        <f>'Ann1 - Step 2'!C114</f>
        <v>Testing</v>
      </c>
      <c r="D114" s="6" t="str">
        <f>'Ann2 - Step 2'!C114</f>
        <v>Coding Pattern</v>
      </c>
      <c r="E114" s="6" t="b">
        <f t="shared" si="0"/>
        <v>1</v>
      </c>
      <c r="F114" s="6" t="s">
        <v>88</v>
      </c>
      <c r="G114" s="6" t="str">
        <f t="shared" si="1"/>
        <v>Testing</v>
      </c>
    </row>
    <row r="115" spans="1:7" ht="14" x14ac:dyDescent="0.15">
      <c r="A115" s="21" t="str">
        <f>'Ann1 - Step 2'!A115</f>
        <v>https://github.com/Azure/AgentBaker/blob/main/.github/copilot-instructions.md</v>
      </c>
      <c r="B115" s="8" t="str">
        <f>'Ann1 - Step 2'!B115</f>
        <v>- avoid VHD build performance regressions when making any changes</v>
      </c>
      <c r="C115" s="6" t="str">
        <f>'Ann1 - Step 2'!C115</f>
        <v>Performance</v>
      </c>
      <c r="D115" s="6" t="str">
        <f>'Ann2 - Step 2'!C115</f>
        <v>Coding Pattern</v>
      </c>
      <c r="E115" s="6" t="b">
        <f t="shared" si="0"/>
        <v>1</v>
      </c>
      <c r="F115" s="6" t="s">
        <v>219</v>
      </c>
      <c r="G115" s="6" t="str">
        <f t="shared" si="1"/>
        <v>Performance</v>
      </c>
    </row>
    <row r="116" spans="1:7" ht="14" x14ac:dyDescent="0.15">
      <c r="A116" s="21" t="str">
        <f>'Ann1 - Step 2'!A116</f>
        <v>https://github.com/Azure/AgentBaker/blob/main/.github/copilot-instructions.md</v>
      </c>
      <c r="B116" s="8" t="str">
        <f>'Ann1 - Step 2'!B116</f>
        <v>- avoid node provisioning performance regression when making any changes</v>
      </c>
      <c r="C116" s="6" t="str">
        <f>'Ann1 - Step 2'!C116</f>
        <v>Performance</v>
      </c>
      <c r="D116" s="6" t="str">
        <f>'Ann2 - Step 2'!C116</f>
        <v>Coding Pattern</v>
      </c>
      <c r="E116" s="6" t="b">
        <f t="shared" si="0"/>
        <v>1</v>
      </c>
      <c r="F116" s="6" t="s">
        <v>219</v>
      </c>
      <c r="G116" s="6" t="str">
        <f t="shared" si="1"/>
        <v>Performance</v>
      </c>
    </row>
    <row r="117" spans="1:7" ht="13" x14ac:dyDescent="0.15">
      <c r="A117" s="21" t="str">
        <f>'Ann1 - Step 2'!A117</f>
        <v>https://github.com/Azure/AgentBaker/blob/main/.github/copilot-instructions.md</v>
      </c>
      <c r="B117" s="6" t="str">
        <f>'Ann1 - Step 2'!B117</f>
        <v>- avoid using variables declared inside another function, even they are visible.</v>
      </c>
      <c r="C117" s="6" t="str">
        <f>'Ann1 - Step 2'!C117</f>
        <v>Coding Pattern</v>
      </c>
      <c r="D117" s="6" t="str">
        <f>'Ann2 - Step 2'!C117</f>
        <v>Coding Pattern</v>
      </c>
      <c r="E117" s="6" t="b">
        <f t="shared" si="0"/>
        <v>0</v>
      </c>
      <c r="F117" s="6"/>
      <c r="G117" s="6" t="str">
        <f t="shared" si="1"/>
        <v>Coding Pattern</v>
      </c>
    </row>
    <row r="118" spans="1:7" ht="28" x14ac:dyDescent="0.15">
      <c r="A118" s="21" t="str">
        <f>'Ann1 - Step 2'!A118</f>
        <v>https://github.com/Azure/AgentBaker/blob/main/.github/copilot-instructions.md</v>
      </c>
      <c r="B118" s="8" t="str">
        <f>'Ann1 - Step 2'!B118</f>
        <v>When editing arrays like `assignees`, `reviewers`, `matchPackageNames`, and `matchUpdateTypes`, preserve comma placement and avoid duplicate entries.</v>
      </c>
      <c r="C118" s="6" t="str">
        <f>'Ann1 - Step 2'!C118</f>
        <v>Coding Pattern</v>
      </c>
      <c r="D118" s="6" t="str">
        <f>'Ann2 - Step 2'!C118</f>
        <v>Code Review</v>
      </c>
      <c r="E118" s="6" t="b">
        <f t="shared" si="0"/>
        <v>1</v>
      </c>
      <c r="F118" s="6" t="s">
        <v>30</v>
      </c>
      <c r="G118" s="6" t="str">
        <f t="shared" si="1"/>
        <v>Coding Pattern</v>
      </c>
    </row>
    <row r="119" spans="1:7" ht="28" x14ac:dyDescent="0.15">
      <c r="A119" s="21" t="str">
        <f>'Ann1 - Step 2'!A119</f>
        <v>https://github.com/Azure/AgentBaker/blob/main/.github/copilot-instructions.md</v>
      </c>
      <c r="B119" s="8" t="str">
        <f>'Ann1 - Step 2'!B119</f>
        <v>For custom manager templates, keep Renovate template tokens intact (`{{{newValue}}}`, `{{#if ...}}`, `{{/if}}`) and avoid converting them to normal JSON interpolation.</v>
      </c>
      <c r="C119" s="6" t="str">
        <f>'Ann1 - Step 2'!C119</f>
        <v>Writing Style Preference</v>
      </c>
      <c r="D119" s="6" t="str">
        <f>'Ann2 - Step 2'!C119</f>
        <v>Code Review</v>
      </c>
      <c r="E119" s="6" t="b">
        <f t="shared" si="0"/>
        <v>1</v>
      </c>
      <c r="F119" s="6" t="s">
        <v>30</v>
      </c>
      <c r="G119" s="6" t="str">
        <f t="shared" si="1"/>
        <v>Coding Pattern</v>
      </c>
    </row>
    <row r="120" spans="1:7" ht="28" x14ac:dyDescent="0.15">
      <c r="A120" s="21" t="str">
        <f>'Ann1 - Step 2'!A120</f>
        <v>https://github.com/Azure/AgentBaker/blob/main/.github/copilot-instructions.md</v>
      </c>
      <c r="B120" s="8" t="str">
        <f>'Ann1 - Step 2'!B120</f>
        <v>If modifying identity lists in `assignees` or `reviewers`, update all related grouped rules consistently to avoid ownership drift.</v>
      </c>
      <c r="C120" s="6" t="str">
        <f>'Ann1 - Step 2'!C120</f>
        <v>Commit&amp;PR rule</v>
      </c>
      <c r="D120" s="6" t="str">
        <f>'Ann2 - Step 2'!C120</f>
        <v>Code Review</v>
      </c>
      <c r="E120" s="6" t="b">
        <f t="shared" si="0"/>
        <v>1</v>
      </c>
      <c r="F120" s="6" t="s">
        <v>12</v>
      </c>
      <c r="G120" s="6" t="str">
        <f t="shared" si="1"/>
        <v>Commit&amp;PR rule</v>
      </c>
    </row>
    <row r="121" spans="1:7" ht="13" x14ac:dyDescent="0.15">
      <c r="A121" s="21" t="str">
        <f>'Ann1 - Step 2'!A121</f>
        <v>https://github.com/Azure/azure-sdk-tools/blob/main/.github/copilot-instructions.md</v>
      </c>
      <c r="B121" s="6" t="str">
        <f>'Ann1 - Step 2'!B121</f>
        <v>- Use full CmdLet names (avoid aliases in scripts)</v>
      </c>
      <c r="C121" s="6" t="str">
        <f>'Ann1 - Step 2'!C121</f>
        <v>Coding Pattern</v>
      </c>
      <c r="D121" s="6" t="str">
        <f>'Ann2 - Step 2'!C121</f>
        <v>Coding Pattern</v>
      </c>
      <c r="E121" s="6" t="b">
        <f t="shared" si="0"/>
        <v>0</v>
      </c>
      <c r="F121" s="6"/>
      <c r="G121" s="6" t="str">
        <f t="shared" si="1"/>
        <v>Coding Pattern</v>
      </c>
    </row>
    <row r="122" spans="1:7" ht="28" x14ac:dyDescent="0.15">
      <c r="A122" s="21" t="str">
        <f>'Ann1 - Step 2'!A122</f>
        <v>https://github.com/bbc/simorgh/blob/master/.github/copilot-instructions.md</v>
      </c>
      <c r="B122" s="8" t="str">
        <f>'Ann1 - Step 2'!B122</f>
        <v>Try to avoid comments by using descriptive variable / function names, split functionality into smaller functions.</v>
      </c>
      <c r="C122" s="6" t="str">
        <f>'Ann1 - Step 2'!C122</f>
        <v>Coding Pattern</v>
      </c>
      <c r="D122" s="6" t="str">
        <f>'Ann2 - Step 2'!C122</f>
        <v>Documentation</v>
      </c>
      <c r="E122" s="6" t="b">
        <f t="shared" si="0"/>
        <v>1</v>
      </c>
      <c r="F122" s="6" t="s">
        <v>83</v>
      </c>
      <c r="G122" s="6" t="str">
        <f t="shared" si="1"/>
        <v>Coding Style</v>
      </c>
    </row>
    <row r="123" spans="1:7" ht="13" x14ac:dyDescent="0.15">
      <c r="A123" s="21" t="str">
        <f>'Ann1 - Step 2'!A123</f>
        <v>https://github.com/bbc/simorgh/blob/master/.github/copilot-instructions.md</v>
      </c>
      <c r="B123" s="6" t="str">
        <f>'Ann1 - Step 2'!B123</f>
        <v>* Prefer clean immutable code, avoid reassignment of variables.</v>
      </c>
      <c r="C123" s="6" t="str">
        <f>'Ann1 - Step 2'!C123</f>
        <v>Coding Pattern</v>
      </c>
      <c r="D123" s="6" t="str">
        <f>'Ann2 - Step 2'!C123</f>
        <v>Coding Pattern</v>
      </c>
      <c r="E123" s="6" t="b">
        <f t="shared" si="0"/>
        <v>0</v>
      </c>
      <c r="F123" s="6"/>
      <c r="G123" s="6" t="str">
        <f t="shared" si="1"/>
        <v>Coding Pattern</v>
      </c>
    </row>
    <row r="124" spans="1:7" ht="13" x14ac:dyDescent="0.15">
      <c r="A124" s="21" t="str">
        <f>'Ann1 - Step 2'!A124</f>
        <v>https://github.com/dotnet/docs-aspire/blob/main/.github/copilot-instructions.md</v>
      </c>
      <c r="B124" s="6" t="str">
        <f>'Ann1 - Step 2'!B124</f>
        <v>- Avoid "we"/"our" referring to documentation authors</v>
      </c>
      <c r="C124" s="6" t="str">
        <f>'Ann1 - Step 2'!C124</f>
        <v>Writing Style Preference</v>
      </c>
      <c r="D124" s="6" t="str">
        <f>'Ann2 - Step 2'!C124</f>
        <v>Writing Style Preference</v>
      </c>
      <c r="E124" s="6" t="b">
        <f t="shared" si="0"/>
        <v>0</v>
      </c>
      <c r="F124" s="6"/>
      <c r="G124" s="6" t="str">
        <f t="shared" si="1"/>
        <v>Writing Style Preference</v>
      </c>
    </row>
    <row r="125" spans="1:7" ht="13" x14ac:dyDescent="0.15">
      <c r="A125" s="21" t="str">
        <f>'Ann1 - Step 2'!A125</f>
        <v>https://github.com/dotnet/docs-aspire/blob/main/.github/copilot-instructions.md</v>
      </c>
      <c r="B125" s="6" t="str">
        <f>'Ann1 - Step 2'!B125</f>
        <v>- Avoid "etc." or "and so on" - provide complete lists or use "for example"</v>
      </c>
      <c r="C125" s="6" t="str">
        <f>'Ann1 - Step 2'!C125</f>
        <v>Writing Style Preference</v>
      </c>
      <c r="D125" s="6" t="str">
        <f>'Ann2 - Step 2'!C125</f>
        <v>Writing Style Preference</v>
      </c>
      <c r="E125" s="6" t="b">
        <f t="shared" si="0"/>
        <v>0</v>
      </c>
      <c r="F125" s="6"/>
      <c r="G125" s="6" t="str">
        <f t="shared" si="1"/>
        <v>Writing Style Preference</v>
      </c>
    </row>
    <row r="126" spans="1:7" ht="13" x14ac:dyDescent="0.15">
      <c r="A126" s="21" t="str">
        <f>'Ann1 - Step 2'!A126</f>
        <v>https://github.com/dotnet/runtime/blob/main/.github/copilot-instructions.md</v>
      </c>
      <c r="B126" s="6" t="str">
        <f>'Ann1 - Step 2'!B126</f>
        <v>- When adding new unit tests, avoid adding a regression comment citing a GitHub issue or PR number unless explicitly asked to include such information.</v>
      </c>
      <c r="C126" s="6" t="str">
        <f>'Ann1 - Step 2'!C126</f>
        <v>Testing</v>
      </c>
      <c r="D126" s="6" t="str">
        <f>'Ann2 - Step 2'!C126</f>
        <v>Testing</v>
      </c>
      <c r="E126" s="6" t="b">
        <f t="shared" si="0"/>
        <v>0</v>
      </c>
      <c r="F126" s="6"/>
      <c r="G126" s="6" t="str">
        <f t="shared" si="1"/>
        <v>Testing</v>
      </c>
    </row>
    <row r="127" spans="1:7" ht="28" x14ac:dyDescent="0.15">
      <c r="A127" s="21" t="str">
        <f>'Ann1 - Step 2'!A127</f>
        <v>https://github.com/dotnet/sdk/blob/main/.github/copilot-instructions.md</v>
      </c>
      <c r="B127" s="8" t="str">
        <f>'Ann1 - Step 2'!B127</f>
        <v>- Avoid modifying .xlf files and instead prompt the user to update them using the `/t:UpdateXlf` target on MSBuild.</v>
      </c>
      <c r="C127" s="6" t="str">
        <f>'Ann1 - Step 2'!C127</f>
        <v>Build &amp; Operation</v>
      </c>
      <c r="D127" s="6" t="str">
        <f>'Ann2 - Step 2'!C127</f>
        <v>Task Execution</v>
      </c>
      <c r="E127" s="6" t="b">
        <f t="shared" si="0"/>
        <v>1</v>
      </c>
      <c r="F127" s="6" t="s">
        <v>136</v>
      </c>
      <c r="G127" s="6" t="str">
        <f t="shared" si="1"/>
        <v>Build &amp; Operation</v>
      </c>
    </row>
    <row r="128" spans="1:7" ht="13" x14ac:dyDescent="0.15">
      <c r="A128" s="21" t="str">
        <f>'Ann1 - Step 2'!A128</f>
        <v>https://github.com/esphome/esphome/blob/main/.github/copilot-instructions.md</v>
      </c>
      <c r="B128" s="6" t="str">
        <f>'Ann1 - Step 2'!B128</f>
        <v>**For byte buffers:** Avoid `std::vector&lt;uint8_t&gt;` unless the buffer needs to grow.</v>
      </c>
      <c r="C128" s="6" t="str">
        <f>'Ann1 - Step 2'!C128</f>
        <v>Coding Pattern</v>
      </c>
      <c r="D128" s="6" t="str">
        <f>'Ann2 - Step 2'!C128</f>
        <v>Coding Pattern</v>
      </c>
      <c r="E128" s="6" t="b">
        <f t="shared" si="0"/>
        <v>0</v>
      </c>
      <c r="F128" s="6"/>
      <c r="G128" s="6" t="str">
        <f t="shared" si="1"/>
        <v>Coding Pattern</v>
      </c>
    </row>
    <row r="129" spans="1:7" ht="42" x14ac:dyDescent="0.15">
      <c r="A129" s="21" t="str">
        <f>'Ann1 - Step 2'!A129</f>
        <v>https://github.com/esphome/esphome/blob/main/.github/copilot-instructions.md</v>
      </c>
      <c r="B129" s="8" t="str">
        <f>'Ann1 - Step 2'!B129</f>
        <v>`std::vector` with simple structs is usually fine—it's the heavy containers (`map`, `set`, `unordered_map`) that should be avoided for small datasets unless profiling shows otherwise.</v>
      </c>
      <c r="C129" s="6" t="str">
        <f>'Ann1 - Step 2'!C129</f>
        <v>Performance</v>
      </c>
      <c r="D129" s="6" t="str">
        <f>'Ann2 - Step 2'!C129</f>
        <v>Coding Pattern</v>
      </c>
      <c r="E129" s="6" t="b">
        <f t="shared" si="0"/>
        <v>1</v>
      </c>
      <c r="F129" s="6" t="s">
        <v>219</v>
      </c>
      <c r="G129" s="6" t="str">
        <f t="shared" si="1"/>
        <v>Performance</v>
      </c>
    </row>
    <row r="130" spans="1:7" ht="28" x14ac:dyDescent="0.15">
      <c r="A130" s="21" t="str">
        <f>'Ann1 - Step 2'!A130</f>
        <v>https://github.com/esphome/esphome/blob/main/.github/copilot-instructions.md</v>
      </c>
      <c r="B130" s="8" t="str">
        <f>'Ann1 - Step 2'!B130</f>
        <v>**Avoid `std::deque`:** It allocates in 512-byte blocks regardless of element size, guaranteeing at least 512 bytes of RAM usage immediately.</v>
      </c>
      <c r="C130" s="6" t="str">
        <f>'Ann1 - Step 2'!C130</f>
        <v>Performance</v>
      </c>
      <c r="D130" s="6" t="str">
        <f>'Ann2 - Step 2'!C130</f>
        <v>Coding Pattern</v>
      </c>
      <c r="E130" s="6" t="b">
        <f t="shared" si="0"/>
        <v>1</v>
      </c>
      <c r="F130" s="6" t="s">
        <v>219</v>
      </c>
      <c r="G130" s="6" t="str">
        <f t="shared" si="1"/>
        <v>Performance</v>
      </c>
    </row>
    <row r="131" spans="1:7" ht="28" x14ac:dyDescent="0.15">
      <c r="A131" s="21" t="str">
        <f>'Ann1 - Step 2'!A131</f>
        <v>https://github.com/esphome/esphome/blob/main/.github/copilot-instructions.md</v>
      </c>
      <c r="B131" s="8" t="str">
        <f>'Ann1 - Step 2'!B131</f>
        <v>Note: Avoiding heap allocation after `setup()` is always required regardless of component type.</v>
      </c>
      <c r="C131" s="6" t="str">
        <f>'Ann1 - Step 2'!C131</f>
        <v>Performance</v>
      </c>
      <c r="D131" s="6" t="str">
        <f>'Ann2 - Step 2'!C131</f>
        <v>Coding Pattern</v>
      </c>
      <c r="E131" s="6" t="b">
        <f t="shared" si="0"/>
        <v>1</v>
      </c>
      <c r="F131" s="6" t="s">
        <v>219</v>
      </c>
      <c r="G131" s="6" t="str">
        <f t="shared" si="1"/>
        <v>Performance</v>
      </c>
    </row>
    <row r="132" spans="1:7" ht="13" x14ac:dyDescent="0.15">
      <c r="A132" s="21" t="str">
        <f>'Ann1 - Step 2'!A132</f>
        <v>https://github.com/esphome/esphome/blob/main/.github/copilot-instructions.md</v>
      </c>
      <c r="B132" s="6" t="str">
        <f>'Ann1 - Step 2'!B132</f>
        <v>Avoid module-level mutable globals.</v>
      </c>
      <c r="C132" s="6" t="str">
        <f>'Ann1 - Step 2'!C132</f>
        <v>Coding Pattern</v>
      </c>
      <c r="D132" s="6" t="str">
        <f>'Ann2 - Step 2'!C132</f>
        <v>Coding Pattern</v>
      </c>
      <c r="E132" s="6" t="b">
        <f t="shared" si="0"/>
        <v>0</v>
      </c>
      <c r="F132" s="6"/>
      <c r="G132" s="6" t="str">
        <f t="shared" si="1"/>
        <v>Coding Pattern</v>
      </c>
    </row>
    <row r="133" spans="1:7" ht="14" x14ac:dyDescent="0.15">
      <c r="A133" s="21" t="str">
        <f>'Ann1 - Step 2'!A133</f>
        <v>https://github.com/friendsofhyperf/components/blob/main/.github/copilot-instructions.md</v>
      </c>
      <c r="B133" s="8" t="str">
        <f>'Ann1 - Step 2'!B133</f>
        <v>Avoid:</v>
      </c>
      <c r="C133" s="6" t="str">
        <f>'Ann1 - Step 2'!C133</f>
        <v>Security</v>
      </c>
      <c r="D133" s="6" t="str">
        <f>'Ann2 - Step 2'!C133</f>
        <v>Coding Pattern</v>
      </c>
      <c r="E133" s="6" t="b">
        <f t="shared" si="0"/>
        <v>1</v>
      </c>
      <c r="F133" s="6" t="s">
        <v>513</v>
      </c>
      <c r="G133" s="6" t="str">
        <f t="shared" si="1"/>
        <v>NOT_ENOUGH_CONTEXT</v>
      </c>
    </row>
    <row r="134" spans="1:7" ht="28" x14ac:dyDescent="0.15">
      <c r="A134" s="21" t="str">
        <f>'Ann1 - Step 2'!A134</f>
        <v>https://github.com/github/branch-deploy/blob/main/.github/copilot-instructions.md</v>
      </c>
      <c r="B134" s="8" t="str">
        <f>'Ann1 - Step 2'!B134</f>
        <v>Avoid unnecessary complexity and always consider the long-term maintainability of the code.</v>
      </c>
      <c r="C134" s="6" t="str">
        <f>'Ann1 - Step 2'!C134</f>
        <v>Maintainability</v>
      </c>
      <c r="D134" s="6" t="str">
        <f>'Ann2 - Step 2'!C134</f>
        <v>Coding Pattern</v>
      </c>
      <c r="E134" s="6" t="b">
        <f t="shared" si="0"/>
        <v>1</v>
      </c>
      <c r="F134" s="6" t="s">
        <v>115</v>
      </c>
      <c r="G134" s="6" t="str">
        <f t="shared" si="1"/>
        <v>Maintainability</v>
      </c>
    </row>
    <row r="135" spans="1:7" ht="14" x14ac:dyDescent="0.15">
      <c r="A135" s="21" t="str">
        <f>'Ann1 - Step 2'!A135</f>
        <v>https://github.com/istio/istio/blob/master/.github/copilot-instructions.md</v>
      </c>
      <c r="B135" s="8" t="str">
        <f>'Ann1 - Step 2'!B135</f>
        <v>- Avoid creating goroutines in the main request path; pre-create and reuse them.</v>
      </c>
      <c r="C135" s="6" t="str">
        <f>'Ann1 - Step 2'!C135</f>
        <v>Performance</v>
      </c>
      <c r="D135" s="6" t="str">
        <f>'Ann2 - Step 2'!C135</f>
        <v>Coding Pattern</v>
      </c>
      <c r="E135" s="6" t="b">
        <f t="shared" si="0"/>
        <v>1</v>
      </c>
      <c r="F135" s="6" t="s">
        <v>219</v>
      </c>
      <c r="G135" s="6" t="str">
        <f t="shared" si="1"/>
        <v>Performance</v>
      </c>
    </row>
    <row r="136" spans="1:7" ht="13" x14ac:dyDescent="0.15">
      <c r="A136" s="21" t="str">
        <f>'Ann1 - Step 2'!A136</f>
        <v>https://github.com/microsoft/ApplicationInsights-JS/blob/main/.github/copilot-instructions.md</v>
      </c>
      <c r="B136" s="6" t="str">
        <f>'Ann1 - Step 2'!B136</f>
        <v>- Avoid synchronous operations that could block the browser</v>
      </c>
      <c r="C136" s="6" t="str">
        <f>'Ann1 - Step 2'!C136</f>
        <v>Performance</v>
      </c>
      <c r="D136" s="6" t="str">
        <f>'Ann2 - Step 2'!C136</f>
        <v>Performance</v>
      </c>
      <c r="E136" s="6" t="b">
        <f t="shared" si="0"/>
        <v>0</v>
      </c>
      <c r="F136" s="6"/>
      <c r="G136" s="6" t="str">
        <f t="shared" si="1"/>
        <v>Performance</v>
      </c>
    </row>
    <row r="137" spans="1:7" ht="14" x14ac:dyDescent="0.15">
      <c r="A137" s="21" t="str">
        <f>'Ann1 - Step 2'!A137</f>
        <v>https://github.com/microsoft/ApplicationInsights-JS/blob/main/.github/copilot-instructions.md</v>
      </c>
      <c r="B137" s="8" t="str">
        <f>'Ann1 - Step 2'!B137</f>
        <v>- Minimize the size of generated JavaScript by avoiding certain TypeScript features:</v>
      </c>
      <c r="C137" s="6" t="str">
        <f>'Ann1 - Step 2'!C137</f>
        <v>Performance</v>
      </c>
      <c r="D137" s="6" t="str">
        <f>'Ann2 - Step 2'!C137</f>
        <v>Coding Pattern</v>
      </c>
      <c r="E137" s="6" t="b">
        <f t="shared" si="0"/>
        <v>1</v>
      </c>
      <c r="F137" s="6" t="s">
        <v>219</v>
      </c>
      <c r="G137" s="6" t="str">
        <f t="shared" si="1"/>
        <v>Performance</v>
      </c>
    </row>
    <row r="138" spans="1:7" ht="28" x14ac:dyDescent="0.15">
      <c r="A138" s="21" t="str">
        <f>'Ann1 - Step 2'!A138</f>
        <v>https://github.com/microsoft/ApplicationInsights-JS/blob/main/.github/copilot-instructions.md</v>
      </c>
      <c r="B138" s="8" t="str">
        <f>'Ann1 - Step 2'!B138</f>
        <v>- **Import Resolution**: Use proper module imports and avoid direct file path dependencies</v>
      </c>
      <c r="C138" s="6" t="str">
        <f>'Ann1 - Step 2'!C138</f>
        <v>Build &amp; Operation</v>
      </c>
      <c r="D138" s="6" t="str">
        <f>'Ann2 - Step 2'!C138</f>
        <v>Coding Pattern</v>
      </c>
      <c r="E138" s="6" t="b">
        <f t="shared" si="0"/>
        <v>1</v>
      </c>
      <c r="F138" s="6" t="s">
        <v>30</v>
      </c>
      <c r="G138" s="6" t="str">
        <f t="shared" si="1"/>
        <v>Coding Pattern</v>
      </c>
    </row>
    <row r="139" spans="1:7" ht="13" x14ac:dyDescent="0.15">
      <c r="A139" s="21" t="str">
        <f>'Ann1 - Step 2'!A139</f>
        <v>https://github.com/microsoft/ApplicationInsights-JS/blob/main/.github/copilot-instructions.md</v>
      </c>
      <c r="B139" s="6" t="str">
        <f>'Ann1 - Step 2'!B139</f>
        <v>- Avoid memory leaks in long-running applications</v>
      </c>
      <c r="C139" s="6" t="str">
        <f>'Ann1 - Step 2'!C139</f>
        <v>Performance</v>
      </c>
      <c r="D139" s="6" t="str">
        <f>'Ann2 - Step 2'!C139</f>
        <v>Performance</v>
      </c>
      <c r="E139" s="6" t="b">
        <f t="shared" si="0"/>
        <v>0</v>
      </c>
      <c r="F139" s="6"/>
      <c r="G139" s="6" t="str">
        <f t="shared" si="1"/>
        <v>Performance</v>
      </c>
    </row>
    <row r="140" spans="1:7" ht="13" x14ac:dyDescent="0.15">
      <c r="A140" s="21" t="str">
        <f>'Ann1 - Step 2'!A140</f>
        <v>https://github.com/microsoft/ApplicationInsights-JS/blob/main/.github/copilot-instructions.md</v>
      </c>
      <c r="B140" s="6" t="str">
        <f>'Ann1 - Step 2'!B140</f>
        <v>- All code should be tree-shakable - avoid global side effects</v>
      </c>
      <c r="C140" s="6" t="str">
        <f>'Ann1 - Step 2'!C140</f>
        <v>Performance</v>
      </c>
      <c r="D140" s="6" t="str">
        <f>'Ann2 - Step 2'!C140</f>
        <v>Performance</v>
      </c>
      <c r="E140" s="6" t="b">
        <f t="shared" si="0"/>
        <v>0</v>
      </c>
      <c r="F140" s="6"/>
      <c r="G140" s="6" t="str">
        <f t="shared" si="1"/>
        <v>Performance</v>
      </c>
    </row>
    <row r="141" spans="1:7" ht="14" x14ac:dyDescent="0.15">
      <c r="A141" s="21" t="str">
        <f>'Ann1 - Step 2'!A141</f>
        <v>https://github.com/microsoft/ApplicationInsights-JS/blob/main/.github/copilot-instructions.md</v>
      </c>
      <c r="B141" s="8" t="str">
        <f>'Ann1 - Step 2'!B141</f>
        <v>- Avoid executing code at module load time</v>
      </c>
      <c r="C141" s="6" t="str">
        <f>'Ann1 - Step 2'!C141</f>
        <v>Performance</v>
      </c>
      <c r="D141" s="6" t="str">
        <f>'Ann2 - Step 2'!C141</f>
        <v>Build &amp; Operation</v>
      </c>
      <c r="E141" s="6" t="b">
        <f t="shared" si="0"/>
        <v>1</v>
      </c>
      <c r="F141" s="6" t="s">
        <v>30</v>
      </c>
      <c r="G141" s="6" t="str">
        <f t="shared" si="1"/>
        <v>Coding Pattern</v>
      </c>
    </row>
    <row r="142" spans="1:7" ht="13" x14ac:dyDescent="0.15">
      <c r="A142" s="21" t="str">
        <f>'Ann1 - Step 2'!A142</f>
        <v>https://github.com/microsoft/ApplicationInsights-JS/blob/main/.github/copilot-instructions.md</v>
      </c>
      <c r="B142" s="6" t="str">
        <f>'Ann1 - Step 2'!B142</f>
        <v>- Avoid throwing unhandled exceptions</v>
      </c>
      <c r="C142" s="6" t="str">
        <f>'Ann1 - Step 2'!C142</f>
        <v>Coding Pattern</v>
      </c>
      <c r="D142" s="6" t="str">
        <f>'Ann2 - Step 2'!C142</f>
        <v>Coding Pattern</v>
      </c>
      <c r="E142" s="6" t="b">
        <f t="shared" si="0"/>
        <v>0</v>
      </c>
      <c r="F142" s="6"/>
      <c r="G142" s="6" t="str">
        <f t="shared" si="1"/>
        <v>Coding Pattern</v>
      </c>
    </row>
    <row r="143" spans="1:7" ht="13" x14ac:dyDescent="0.15">
      <c r="A143" s="21" t="str">
        <f>'Ann1 - Step 2'!A143</f>
        <v>https://github.com/microsoft/ApplicationInsights-JS/blob/main/.github/copilot-instructions.md</v>
      </c>
      <c r="B143" s="6" t="str">
        <f>'Ann1 - Step 2'!B143</f>
        <v>- Avoid tight coupling between components</v>
      </c>
      <c r="C143" s="6" t="str">
        <f>'Ann1 - Step 2'!C143</f>
        <v>Coding Pattern</v>
      </c>
      <c r="D143" s="6" t="str">
        <f>'Ann2 - Step 2'!C143</f>
        <v>Coding Pattern</v>
      </c>
      <c r="E143" s="6" t="b">
        <f t="shared" si="0"/>
        <v>0</v>
      </c>
      <c r="F143" s="6"/>
      <c r="G143" s="6" t="str">
        <f t="shared" si="1"/>
        <v>Coding Pattern</v>
      </c>
    </row>
    <row r="144" spans="1:7" ht="13" x14ac:dyDescent="0.15">
      <c r="A144" s="21" t="str">
        <f>'Ann1 - Step 2'!A144</f>
        <v>https://github.com/microsoft/ApplicationInsights-JS/blob/main/.github/copilot-instructions.md</v>
      </c>
      <c r="B144" s="6" t="str">
        <f>'Ann1 - Step 2'!B144</f>
        <v>- Avoid memory leaks in event handlers</v>
      </c>
      <c r="C144" s="6" t="str">
        <f>'Ann1 - Step 2'!C144</f>
        <v>Performance</v>
      </c>
      <c r="D144" s="6" t="str">
        <f>'Ann2 - Step 2'!C144</f>
        <v>Performance</v>
      </c>
      <c r="E144" s="6" t="b">
        <f t="shared" si="0"/>
        <v>0</v>
      </c>
      <c r="F144" s="6"/>
      <c r="G144" s="6" t="str">
        <f t="shared" si="1"/>
        <v>Performance</v>
      </c>
    </row>
    <row r="145" spans="1:7" ht="14" x14ac:dyDescent="0.15">
      <c r="A145" s="21" t="str">
        <f>'Ann1 - Step 2'!A145</f>
        <v>https://github.com/microsoft/GSL/blob/main/.github/copilot-instructions.md</v>
      </c>
      <c r="B145" s="8" t="str">
        <f>'Ann1 - Step 2'!B145</f>
        <v>- Avoid hidden allocations</v>
      </c>
      <c r="C145" s="6" t="str">
        <f>'Ann1 - Step 2'!C145</f>
        <v>Performance</v>
      </c>
      <c r="D145" s="6" t="str">
        <f>'Ann2 - Step 2'!C145</f>
        <v>Coding Pattern</v>
      </c>
      <c r="E145" s="6" t="b">
        <f t="shared" si="0"/>
        <v>1</v>
      </c>
      <c r="F145" s="6" t="s">
        <v>219</v>
      </c>
      <c r="G145" s="6" t="str">
        <f t="shared" si="1"/>
        <v>Performance</v>
      </c>
    </row>
    <row r="146" spans="1:7" ht="14" x14ac:dyDescent="0.15">
      <c r="A146" s="21" t="str">
        <f>'Ann1 - Step 2'!A146</f>
        <v>https://github.com/microsoft/python-environment-tools/blob/main/.github/copilot-instructions.md</v>
      </c>
      <c r="B146" s="8" t="str">
        <f>'Ann1 - Step 2'!B146</f>
        <v>**Avoid spawning processes** - Extract info from files/filesystem when possible</v>
      </c>
      <c r="C146" s="6" t="str">
        <f>'Ann1 - Step 2'!C146</f>
        <v>Performance</v>
      </c>
      <c r="D146" s="6" t="str">
        <f>'Ann2 - Step 2'!C146</f>
        <v>Build &amp; Operation</v>
      </c>
      <c r="E146" s="6" t="b">
        <f t="shared" si="0"/>
        <v>1</v>
      </c>
      <c r="F146" s="6" t="s">
        <v>18</v>
      </c>
      <c r="G146" s="6" t="str">
        <f t="shared" si="1"/>
        <v>Task Execution</v>
      </c>
    </row>
    <row r="147" spans="1:7" ht="14" x14ac:dyDescent="0.15">
      <c r="A147" s="21" t="str">
        <f>'Ann1 - Step 2'!A147</f>
        <v>https://github.com/microsoft/react-native-windows/blob/main/.github/copilot-instructions.md</v>
      </c>
      <c r="B147" s="8" t="str">
        <f>'Ann1 - Step 2'!B147</f>
        <v>- Avoid circular references between C++ and JavaScript</v>
      </c>
      <c r="C147" s="6" t="str">
        <f>'Ann1 - Step 2'!C147</f>
        <v>Performance</v>
      </c>
      <c r="D147" s="6" t="str">
        <f>'Ann2 - Step 2'!C147</f>
        <v>Coding Pattern</v>
      </c>
      <c r="E147" s="6" t="b">
        <f t="shared" si="0"/>
        <v>1</v>
      </c>
      <c r="F147" s="6" t="s">
        <v>30</v>
      </c>
      <c r="G147" s="6" t="str">
        <f t="shared" si="1"/>
        <v>Coding Pattern</v>
      </c>
    </row>
    <row r="148" spans="1:7" ht="13" x14ac:dyDescent="0.15">
      <c r="A148" s="21" t="str">
        <f>'Ann1 - Step 2'!A148</f>
        <v>https://github.com/microsoft/TypeScript/blob/main/.github/copilot-instructions.md</v>
      </c>
      <c r="B148" s="6" t="str">
        <f>'Ann1 - Step 2'!B148</f>
        <v>**Make tests deterministic** - Avoid random or environment-dependent behavior</v>
      </c>
      <c r="C148" s="6" t="str">
        <f>'Ann1 - Step 2'!C148</f>
        <v>Testing</v>
      </c>
      <c r="D148" s="6" t="str">
        <f>'Ann2 - Step 2'!C148</f>
        <v>Testing</v>
      </c>
      <c r="E148" s="6" t="b">
        <f t="shared" si="0"/>
        <v>0</v>
      </c>
      <c r="F148" s="6"/>
      <c r="G148" s="6" t="str">
        <f t="shared" si="1"/>
        <v>Testing</v>
      </c>
    </row>
    <row r="149" spans="1:7" ht="28" x14ac:dyDescent="0.15">
      <c r="A149" s="21" t="str">
        <f>'Ann1 - Step 2'!A149</f>
        <v>https://github.com/microsoft/vs-threading/blob/main/.github/copilot-instructions.md</v>
      </c>
      <c r="B149" s="8" t="str">
        <f>'Ann1 - Step 2'!B149</f>
        <v>* Avoid introducing binary breaking changes in public APIs of projects under `src` unless their project files have `IsPackable` set to `false`.</v>
      </c>
      <c r="C149" s="6" t="str">
        <f>'Ann1 - Step 2'!C149</f>
        <v>Maintainability</v>
      </c>
      <c r="D149" s="6" t="str">
        <f>'Ann2 - Step 2'!C149</f>
        <v>Coding Pattern</v>
      </c>
      <c r="E149" s="6" t="b">
        <f t="shared" si="0"/>
        <v>1</v>
      </c>
      <c r="F149" s="6" t="s">
        <v>30</v>
      </c>
      <c r="G149" s="6" t="str">
        <f t="shared" si="1"/>
        <v>Coding Pattern</v>
      </c>
    </row>
    <row r="150" spans="1:7" ht="13" x14ac:dyDescent="0.15">
      <c r="A150" s="21" t="str">
        <f>'Ann1 - Step 2'!A150</f>
        <v>https://github.com/microsoft/vscode-jupyter/blob/main/.github/copilot-instructions.md</v>
      </c>
      <c r="B150" s="6" t="str">
        <f>'Ann1 - Step 2'!B150</f>
        <v>- Avoid circular dependencies</v>
      </c>
      <c r="C150" s="6" t="str">
        <f>'Ann1 - Step 2'!C150</f>
        <v>Coding Pattern</v>
      </c>
      <c r="D150" s="6" t="str">
        <f>'Ann2 - Step 2'!C150</f>
        <v>Coding Pattern</v>
      </c>
      <c r="E150" s="6" t="b">
        <f t="shared" si="0"/>
        <v>0</v>
      </c>
      <c r="F150" s="6"/>
      <c r="G150" s="6" t="str">
        <f t="shared" si="1"/>
        <v>Coding Pattern</v>
      </c>
    </row>
    <row r="151" spans="1:7" ht="13" x14ac:dyDescent="0.15">
      <c r="A151" s="21" t="str">
        <f>'Ann1 - Step 2'!A151</f>
        <v>https://github.com/NG-ZORRO/ng-zorro-antd/blob/master/.github/copilot-instructions.md</v>
      </c>
      <c r="B151" s="6" t="str">
        <f>'Ann1 - Step 2'!B151</f>
        <v>- Avoid the `any` type; use `unknown` when type is uncertain</v>
      </c>
      <c r="C151" s="6" t="str">
        <f>'Ann1 - Step 2'!C151</f>
        <v>Coding Pattern</v>
      </c>
      <c r="D151" s="6" t="str">
        <f>'Ann2 - Step 2'!C151</f>
        <v>Coding Pattern</v>
      </c>
      <c r="E151" s="6" t="b">
        <f t="shared" si="0"/>
        <v>0</v>
      </c>
      <c r="F151" s="6"/>
      <c r="G151" s="6" t="str">
        <f t="shared" si="1"/>
        <v>Coding Pattern</v>
      </c>
    </row>
    <row r="152" spans="1:7" ht="14" x14ac:dyDescent="0.15">
      <c r="A152" s="21" t="str">
        <f>'Ann1 - Step 2'!A152</f>
        <v>https://github.com/NG-ZORRO/ng-zorro-antd/blob/master/.github/copilot-instructions.md</v>
      </c>
      <c r="B152" s="8" t="str">
        <f>'Ann1 - Step 2'!B152</f>
        <v>- Keep templates simple and avoid complex logic</v>
      </c>
      <c r="C152" s="6" t="str">
        <f>'Ann1 - Step 2'!C152</f>
        <v>Writing Style Preference</v>
      </c>
      <c r="D152" s="6" t="str">
        <f>'Ann2 - Step 2'!C152</f>
        <v>Coding Pattern</v>
      </c>
      <c r="E152" s="6" t="b">
        <f t="shared" si="0"/>
        <v>1</v>
      </c>
      <c r="F152" s="6" t="s">
        <v>115</v>
      </c>
      <c r="G152" s="6" t="str">
        <f t="shared" si="1"/>
        <v>Maintainability</v>
      </c>
    </row>
    <row r="153" spans="1:7" ht="13" x14ac:dyDescent="0.15">
      <c r="A153" s="21" t="str">
        <f>'Ann1 - Step 2'!A153</f>
        <v>https://github.com/NuGet/NuGetGallery/blob/main/.github/copilot-instructions.md</v>
      </c>
      <c r="B153" s="6" t="str">
        <f>'Ann1 - Step 2'!B153</f>
        <v>* Avoid logging sensitive information.</v>
      </c>
      <c r="C153" s="6" t="str">
        <f>'Ann1 - Step 2'!C153</f>
        <v>Security</v>
      </c>
      <c r="D153" s="6" t="str">
        <f>'Ann2 - Step 2'!C153</f>
        <v>Security</v>
      </c>
      <c r="E153" s="6" t="b">
        <f t="shared" si="0"/>
        <v>0</v>
      </c>
      <c r="F153" s="6"/>
      <c r="G153" s="6" t="str">
        <f t="shared" si="1"/>
        <v>Security</v>
      </c>
    </row>
    <row r="154" spans="1:7" ht="13" x14ac:dyDescent="0.15">
      <c r="A154" s="21" t="str">
        <f>'Ann1 - Step 2'!A154</f>
        <v>https://github.com/Open-LLM-VTuber/Open-LLM-VTuber/blob/main/.github/copilot-instructions.md</v>
      </c>
      <c r="B154" s="6" t="str">
        <f>'Ann1 - Step 2'!B154</f>
        <v>Avoid unnecessary complexity or premature optimization.</v>
      </c>
      <c r="C154" s="6" t="str">
        <f>'Ann1 - Step 2'!C154</f>
        <v>Coding Pattern</v>
      </c>
      <c r="D154" s="6" t="str">
        <f>'Ann2 - Step 2'!C154</f>
        <v>Coding Pattern</v>
      </c>
      <c r="E154" s="6" t="b">
        <f t="shared" si="0"/>
        <v>0</v>
      </c>
      <c r="F154" s="6"/>
      <c r="G154" s="6" t="str">
        <f t="shared" si="1"/>
        <v>Coding Pattern</v>
      </c>
    </row>
    <row r="155" spans="1:7" ht="14" x14ac:dyDescent="0.15">
      <c r="A155" s="21" t="str">
        <f>'Ann1 - Step 2'!A155</f>
        <v>https://github.com/Open-LLM-VTuber/Open-LLM-VTuber/blob/main/.github/copilot-instructions.md</v>
      </c>
      <c r="B155" s="8" t="str">
        <f>'Ann1 - Step 2'!B155</f>
        <v>Avoid single-letter names except for loop counters or well-known initialisms.</v>
      </c>
      <c r="C155" s="6" t="str">
        <f>'Ann1 - Step 2'!C155</f>
        <v>Coding Pattern</v>
      </c>
      <c r="D155" s="6" t="str">
        <f>'Ann2 - Step 2'!C155</f>
        <v>Coding Style</v>
      </c>
      <c r="E155" s="6" t="b">
        <f t="shared" si="0"/>
        <v>1</v>
      </c>
      <c r="F155" s="6" t="s">
        <v>83</v>
      </c>
      <c r="G155" s="6" t="str">
        <f t="shared" si="1"/>
        <v>Coding Style</v>
      </c>
    </row>
    <row r="156" spans="1:7" ht="13" x14ac:dyDescent="0.15">
      <c r="A156" s="21" t="str">
        <f>'Ann1 - Step 2'!A156</f>
        <v>https://github.com/owid/owid-grapher/blob/master/.github/copilot-instructions.md</v>
      </c>
      <c r="B156" s="6" t="str">
        <f>'Ann1 - Step 2'!B156</f>
        <v>- Avoid the use of the `any` type.</v>
      </c>
      <c r="C156" s="6" t="str">
        <f>'Ann1 - Step 2'!C156</f>
        <v>Coding Pattern</v>
      </c>
      <c r="D156" s="6" t="str">
        <f>'Ann2 - Step 2'!C156</f>
        <v>Coding Pattern</v>
      </c>
      <c r="E156" s="6" t="b">
        <f t="shared" si="0"/>
        <v>0</v>
      </c>
      <c r="F156" s="6"/>
      <c r="G156" s="6" t="str">
        <f t="shared" si="1"/>
        <v>Coding Pattern</v>
      </c>
    </row>
    <row r="157" spans="1:7" ht="14" x14ac:dyDescent="0.15">
      <c r="A157" s="21" t="str">
        <f>'Ann1 - Step 2'!A157</f>
        <v>https://github.com/raycast/extensions/blob/main/.github/copilot-instructions.md</v>
      </c>
      <c r="B157" s="8" t="str">
        <f>'Ann1 - Step 2'!B157</f>
        <v>- Avoid introducing custom localization methods</v>
      </c>
      <c r="C157" s="6" t="str">
        <f>'Ann1 - Step 2'!C157</f>
        <v>Writing Style Preference</v>
      </c>
      <c r="D157" s="6" t="str">
        <f>'Ann2 - Step 2'!C157</f>
        <v>Coding Pattern</v>
      </c>
      <c r="E157" s="6" t="b">
        <f t="shared" si="0"/>
        <v>1</v>
      </c>
      <c r="F157" s="6" t="s">
        <v>30</v>
      </c>
      <c r="G157" s="6" t="str">
        <f t="shared" si="1"/>
        <v>Coding Pattern</v>
      </c>
    </row>
    <row r="158" spans="1:7" ht="14" x14ac:dyDescent="0.15">
      <c r="A158" s="21" t="str">
        <f>'Ann1 - Step 2'!A158</f>
        <v>https://github.com/raycast/extensions/blob/main/.github/copilot-instructions.md</v>
      </c>
      <c r="B158" s="8" t="str">
        <f>'Ann1 - Step 2'!B158</f>
        <v>- **Avoid general advice** - instead provide exact code changes needed</v>
      </c>
      <c r="C158" s="6" t="str">
        <f>'Ann1 - Step 2'!C158</f>
        <v>Writing Style Preference</v>
      </c>
      <c r="D158" s="6" t="str">
        <f>'Ann2 - Step 2'!C158</f>
        <v>Task Execution</v>
      </c>
      <c r="E158" s="6" t="b">
        <f t="shared" si="0"/>
        <v>1</v>
      </c>
      <c r="F158" s="6" t="s">
        <v>18</v>
      </c>
      <c r="G158" s="6" t="str">
        <f t="shared" si="1"/>
        <v>Task Execution</v>
      </c>
    </row>
    <row r="159" spans="1:7" ht="14" x14ac:dyDescent="0.15">
      <c r="A159" s="21" t="str">
        <f>'Ann1 - Step 2'!A159</f>
        <v>https://github.com/Skyscanner/backpack-ios/blob/main/.github/copilot-instructions.md</v>
      </c>
      <c r="B159" s="8" t="str">
        <f>'Ann1 - Step 2'!B159</f>
        <v>- Avoid hardcoded strings in components</v>
      </c>
      <c r="C159" s="6" t="str">
        <f>'Ann1 - Step 2'!C159</f>
        <v>Coding Style</v>
      </c>
      <c r="D159" s="6" t="str">
        <f>'Ann2 - Step 2'!C159</f>
        <v>Coding Pattern</v>
      </c>
      <c r="E159" s="6" t="b">
        <f t="shared" si="0"/>
        <v>1</v>
      </c>
      <c r="F159" s="6" t="s">
        <v>30</v>
      </c>
      <c r="G159" s="6" t="str">
        <f t="shared" si="1"/>
        <v>Coding Pattern</v>
      </c>
    </row>
    <row r="160" spans="1:7" ht="13" x14ac:dyDescent="0.15">
      <c r="A160" s="21" t="str">
        <f>'Ann1 - Step 2'!A160</f>
        <v>https://github.com/SparkDevNetwork/Rock/blob/master/.github/copilot-instructions.md</v>
      </c>
      <c r="B160" s="6" t="str">
        <f>'Ann1 - Step 2'!B160</f>
        <v>Avoid situations where the number of elements causes the SQL query to become too complex.</v>
      </c>
      <c r="C160" s="6" t="str">
        <f>'Ann1 - Step 2'!C160</f>
        <v>Coding Pattern</v>
      </c>
      <c r="D160" s="6" t="str">
        <f>'Ann2 - Step 2'!C160</f>
        <v>Coding Pattern</v>
      </c>
      <c r="E160" s="6" t="b">
        <f t="shared" si="0"/>
        <v>0</v>
      </c>
      <c r="F160" s="6"/>
      <c r="G160" s="6" t="str">
        <f t="shared" si="1"/>
        <v>Coding Pattern</v>
      </c>
    </row>
    <row r="161" spans="1:7" ht="13" x14ac:dyDescent="0.15">
      <c r="A161" s="21" t="str">
        <f>'Ann1 - Step 2'!A161</f>
        <v>https://github.com/SparkDevNetwork/Rock/blob/master/.github/copilot-instructions.md</v>
      </c>
      <c r="B161" s="6" t="str">
        <f>'Ann1 - Step 2'!B161</f>
        <v>- Avoid using a `Guid` in a LINQ `.Where()` (e.g., `g.GroupType.Guid == someguid`, which has to do a `JOIN`) when you can use the `Id` (namely if it's a cached item) as in `g.GroupTypeId == theThingsId`.</v>
      </c>
      <c r="C161" s="6" t="str">
        <f>'Ann1 - Step 2'!C161</f>
        <v>Coding Pattern</v>
      </c>
      <c r="D161" s="6" t="str">
        <f>'Ann2 - Step 2'!C161</f>
        <v>Coding Pattern</v>
      </c>
      <c r="E161" s="6" t="b">
        <f t="shared" si="0"/>
        <v>0</v>
      </c>
      <c r="F161" s="6"/>
      <c r="G161" s="6" t="str">
        <f t="shared" si="1"/>
        <v>Coding Pattern</v>
      </c>
    </row>
    <row r="162" spans="1:7" ht="14" x14ac:dyDescent="0.15">
      <c r="A162" s="21" t="str">
        <f>'Ann1 - Step 2'!A162</f>
        <v>https://github.com/sybrew/the-seo-framework/blob/master/.github/copilot-instructions.md</v>
      </c>
      <c r="B162" s="8" t="str">
        <f>'Ann1 - Step 2'!B162</f>
        <v>Avoid creating new abstractions if an existing one fits.</v>
      </c>
      <c r="C162" s="6" t="str">
        <f>'Ann1 - Step 2'!C162</f>
        <v>Writing Style Preference</v>
      </c>
      <c r="D162" s="6" t="str">
        <f>'Ann2 - Step 2'!C162</f>
        <v>Task Execution</v>
      </c>
      <c r="E162" s="6" t="b">
        <f t="shared" si="0"/>
        <v>1</v>
      </c>
      <c r="F162" s="6" t="s">
        <v>18</v>
      </c>
      <c r="G162" s="6" t="str">
        <f t="shared" si="1"/>
        <v>Task Execution</v>
      </c>
    </row>
    <row r="163" spans="1:7" ht="14" x14ac:dyDescent="0.15">
      <c r="A163" s="21" t="str">
        <f>'Ann1 - Step 2'!A163</f>
        <v>https://github.com/sybrew/the-seo-framework/blob/master/.github/copilot-instructions.md</v>
      </c>
      <c r="B163" s="8" t="str">
        <f>'Ann1 - Step 2'!B163</f>
        <v>- Avoid walls of text.</v>
      </c>
      <c r="C163" s="6" t="str">
        <f>'Ann1 - Step 2'!C163</f>
        <v>Documentation</v>
      </c>
      <c r="D163" s="6" t="str">
        <f>'Ann2 - Step 2'!C163</f>
        <v>Writing Style Preference</v>
      </c>
      <c r="E163" s="6" t="b">
        <f t="shared" si="0"/>
        <v>1</v>
      </c>
      <c r="F163" s="6" t="s">
        <v>77</v>
      </c>
      <c r="G163" s="6" t="str">
        <f t="shared" si="1"/>
        <v>Writing Style Preference</v>
      </c>
    </row>
    <row r="164" spans="1:7" ht="13" x14ac:dyDescent="0.15">
      <c r="A164" s="21" t="str">
        <f>'Ann1 - Step 2'!A164</f>
        <v>https://github.com/syntaxfm/website/blob/main/.github/copilot-instructions.md</v>
      </c>
      <c r="B164" s="6" t="str">
        <f>'Ann1 - Step 2'!B164</f>
        <v>- Use functional and declarative programming patterns; avoid unnecessary classes except for state machines.</v>
      </c>
      <c r="C164" s="6" t="str">
        <f>'Ann1 - Step 2'!C164</f>
        <v>Coding Pattern</v>
      </c>
      <c r="D164" s="6" t="str">
        <f>'Ann2 - Step 2'!C164</f>
        <v>Coding Pattern</v>
      </c>
      <c r="E164" s="6" t="b">
        <f t="shared" si="0"/>
        <v>0</v>
      </c>
      <c r="F164" s="6"/>
      <c r="G164" s="6" t="str">
        <f t="shared" si="1"/>
        <v>Coding Pattern</v>
      </c>
    </row>
    <row r="165" spans="1:7" ht="13" x14ac:dyDescent="0.15">
      <c r="A165" s="21" t="str">
        <f>'Ann1 - Step 2'!A165</f>
        <v>https://github.com/syntaxfm/website/blob/main/.github/copilot-instructions.md</v>
      </c>
      <c r="B165" s="6" t="str">
        <f>'Ann1 - Step 2'!B165</f>
        <v>- Avoid enums; use string literals instead and const objects if needed.</v>
      </c>
      <c r="C165" s="6" t="str">
        <f>'Ann1 - Step 2'!C165</f>
        <v>Coding Pattern</v>
      </c>
      <c r="D165" s="6" t="str">
        <f>'Ann2 - Step 2'!C165</f>
        <v>Coding Pattern</v>
      </c>
      <c r="E165" s="6" t="b">
        <f t="shared" si="0"/>
        <v>0</v>
      </c>
      <c r="F165" s="6"/>
      <c r="G165" s="6" t="str">
        <f t="shared" si="1"/>
        <v>Coding Pattern</v>
      </c>
    </row>
    <row r="166" spans="1:7" ht="14" x14ac:dyDescent="0.15">
      <c r="A166" s="21" t="str">
        <f>'Ann1 - Step 2'!A166</f>
        <v>https://github.com/syntaxfm/website/blob/main/.github/copilot-instructions.md</v>
      </c>
      <c r="B166" s="8" t="str">
        <f>'Ann1 - Step 2'!B166</f>
        <v>Embrace Svelte's simplicity and avoid over-engineering solutions.</v>
      </c>
      <c r="C166" s="6" t="str">
        <f>'Ann1 - Step 2'!C166</f>
        <v>Maintainability</v>
      </c>
      <c r="D166" s="6" t="str">
        <f>'Ann2 - Step 2'!C166</f>
        <v>Task Execution</v>
      </c>
      <c r="E166" s="6" t="b">
        <f t="shared" si="0"/>
        <v>1</v>
      </c>
      <c r="F166" s="6" t="s">
        <v>115</v>
      </c>
      <c r="G166" s="6" t="str">
        <f t="shared" si="1"/>
        <v>Maintainability</v>
      </c>
    </row>
    <row r="167" spans="1:7" ht="13" x14ac:dyDescent="0.15">
      <c r="A167" s="21" t="str">
        <f>'Ann1 - Step 2'!A167</f>
        <v>https://github.com/triggerdotdev/trigger.dev/blob/main/.github/copilot-instructions.md</v>
      </c>
      <c r="B167" s="6" t="str">
        <f>'Ann1 - Step 2'!B167</f>
        <v>Avoid enums.</v>
      </c>
      <c r="C167" s="6" t="str">
        <f>'Ann1 - Step 2'!C167</f>
        <v>Coding Pattern</v>
      </c>
      <c r="D167" s="6" t="str">
        <f>'Ann2 - Step 2'!C167</f>
        <v>Coding Pattern</v>
      </c>
      <c r="E167" s="6" t="b">
        <f t="shared" si="0"/>
        <v>0</v>
      </c>
      <c r="F167" s="6"/>
      <c r="G167" s="6" t="str">
        <f t="shared" si="1"/>
        <v>Coding Pattern</v>
      </c>
    </row>
    <row r="168" spans="1:7" ht="14" x14ac:dyDescent="0.15">
      <c r="A168" s="21" t="str">
        <f>'Ann1 - Step 2'!A168</f>
        <v>https://github.com/wvlet/airframe/blob/main/.github/copilot-instructions.md</v>
      </c>
      <c r="B168" s="8" t="str">
        <f>'Ann1 - Step 2'!B168</f>
        <v>Avoid adding new library dependencies to `airframe-core` unless absolutely necessary.</v>
      </c>
      <c r="C168" s="6" t="str">
        <f>'Ann1 - Step 2'!C168</f>
        <v>Maintainability</v>
      </c>
      <c r="D168" s="6" t="str">
        <f>'Ann2 - Step 2'!C168</f>
        <v>Coding Pattern</v>
      </c>
      <c r="E168" s="6" t="b">
        <f t="shared" si="0"/>
        <v>1</v>
      </c>
      <c r="F168" s="6" t="s">
        <v>136</v>
      </c>
      <c r="G168" s="6" t="str">
        <f t="shared" si="1"/>
        <v>Build &amp; Operation</v>
      </c>
    </row>
    <row r="169" spans="1:7" ht="14" x14ac:dyDescent="0.15">
      <c r="A169" s="21" t="str">
        <f>'Ann1 - Step 2'!A169</f>
        <v>https://github.com/wvlet/airframe/blob/main/.github/copilot-instructions.md</v>
      </c>
      <c r="B169" s="8" t="str">
        <f>'Ann1 - Step 2'!B169</f>
        <v>- Avoid using mock as it increases the maintenance cost.</v>
      </c>
      <c r="C169" s="6" t="str">
        <f>'Ann1 - Step 2'!C169</f>
        <v>Maintainability</v>
      </c>
      <c r="D169" s="6" t="str">
        <f>'Ann2 - Step 2'!C169</f>
        <v>Testing</v>
      </c>
      <c r="E169" s="6" t="b">
        <f t="shared" si="0"/>
        <v>1</v>
      </c>
      <c r="F169" s="6" t="s">
        <v>88</v>
      </c>
      <c r="G169" s="6" t="str">
        <f t="shared" si="1"/>
        <v>Testing</v>
      </c>
    </row>
    <row r="170" spans="1:7" ht="14" x14ac:dyDescent="0.15">
      <c r="A170" s="21" t="str">
        <f>'Ann1 - Step 2'!A170</f>
        <v>https://github.com/zwave-js/zwave-js/blob/master/.github/copilot-instructions.md</v>
      </c>
      <c r="B170" s="8" t="str">
        <f>'Ann1 - Step 2'!B170</f>
        <v>**Avoid comments like:**</v>
      </c>
      <c r="C170" s="6" t="str">
        <f>'Ann1 - Step 2'!C170</f>
        <v>Coding Style</v>
      </c>
      <c r="D170" s="6" t="str">
        <f>'Ann2 - Step 2'!C170</f>
        <v>Documentation</v>
      </c>
      <c r="E170" s="6" t="b">
        <f t="shared" si="0"/>
        <v>1</v>
      </c>
      <c r="F170" s="6" t="s">
        <v>83</v>
      </c>
      <c r="G170" s="6" t="str">
        <f t="shared" si="1"/>
        <v>Coding Style</v>
      </c>
    </row>
    <row r="171" spans="1:7" ht="13" x14ac:dyDescent="0.15">
      <c r="A171" s="21" t="str">
        <f>'Ann1 - Step 2'!A171</f>
        <v>https://github.com/zwave-js/zwave-js-ui/blob/master/.github/copilot-instructions.md</v>
      </c>
      <c r="B171" s="6" t="str">
        <f>'Ann1 - Step 2'!B171</f>
        <v>- Avoid unnecessary complexity</v>
      </c>
      <c r="C171" s="6" t="str">
        <f>'Ann1 - Step 2'!C171</f>
        <v>Maintainability</v>
      </c>
      <c r="D171" s="6" t="str">
        <f>'Ann2 - Step 2'!C171</f>
        <v>Maintainability</v>
      </c>
      <c r="E171" s="6" t="b">
        <f t="shared" si="0"/>
        <v>0</v>
      </c>
      <c r="F171" s="6"/>
      <c r="G171" s="6" t="str">
        <f t="shared" si="1"/>
        <v>Maintainability</v>
      </c>
    </row>
    <row r="172" spans="1:7" ht="13" x14ac:dyDescent="0.15">
      <c r="A172" s="21" t="str">
        <f>'Ann1 - Step 2'!A172</f>
        <v>https://github.com/lightdash/lightdash/blob/main/CLAUDE.md</v>
      </c>
      <c r="B172" s="6" t="str">
        <f>'Ann1 - Step 2'!B172</f>
        <v>-   ❌ Avoid: `{ charts?: Chart[] }` - unclear if missing or empty</v>
      </c>
      <c r="C172" s="6" t="str">
        <f>'Ann1 - Step 2'!C172</f>
        <v>Coding Style</v>
      </c>
      <c r="D172" s="6" t="str">
        <f>'Ann2 - Step 2'!C172</f>
        <v>Coding Style</v>
      </c>
      <c r="E172" s="6" t="b">
        <f t="shared" si="0"/>
        <v>0</v>
      </c>
      <c r="F172" s="6"/>
      <c r="G172" s="6" t="str">
        <f t="shared" si="1"/>
        <v>Coding Style</v>
      </c>
    </row>
    <row r="173" spans="1:7" ht="13" x14ac:dyDescent="0.15">
      <c r="A173" s="21" t="str">
        <f>'Ann1 - Step 2'!A173</f>
        <v>https://github.com/lightdash/lightdash/blob/main/CLAUDE.md</v>
      </c>
      <c r="B173" s="6" t="str">
        <f>'Ann1 - Step 2'!B173</f>
        <v>-   ❌ Avoid: `{ createdBy?: User }` - ambiguous presence</v>
      </c>
      <c r="C173" s="6" t="str">
        <f>'Ann1 - Step 2'!C173</f>
        <v>Coding Style</v>
      </c>
      <c r="D173" s="6" t="str">
        <f>'Ann2 - Step 2'!C173</f>
        <v>Coding Style</v>
      </c>
      <c r="E173" s="6" t="b">
        <f t="shared" si="0"/>
        <v>0</v>
      </c>
      <c r="F173" s="6"/>
      <c r="G173" s="6" t="str">
        <f t="shared" si="1"/>
        <v>Coding Style</v>
      </c>
    </row>
    <row r="174" spans="1:7" ht="13" x14ac:dyDescent="0.15">
      <c r="A174" s="21" t="str">
        <f>'Ann1 - Step 2'!A174</f>
        <v>https://github.com/lightdash/lightdash/blob/main/CLAUDE.md</v>
      </c>
      <c r="B174" s="6" t="str">
        <f>'Ann1 - Step 2'!B174</f>
        <v>-   ❌ Avoid: `default: throw new Error('Unknown status');`</v>
      </c>
      <c r="C174" s="6" t="str">
        <f>'Ann1 - Step 2'!C174</f>
        <v>Coding Pattern</v>
      </c>
      <c r="D174" s="6" t="str">
        <f>'Ann2 - Step 2'!C174</f>
        <v>Coding Pattern</v>
      </c>
      <c r="E174" s="6" t="b">
        <f t="shared" si="0"/>
        <v>0</v>
      </c>
      <c r="F174" s="6"/>
      <c r="G174" s="6" t="str">
        <f t="shared" si="1"/>
        <v>Coding Pattern</v>
      </c>
    </row>
    <row r="175" spans="1:7" ht="14" x14ac:dyDescent="0.15">
      <c r="A175" s="21" t="str">
        <f>'Ann1 - Step 2'!A175</f>
        <v>https://github.com/cloudwalk/stratus/blob/main/CLAUDE.md</v>
      </c>
      <c r="B175" s="8" t="str">
        <f>'Ann1 - Step 2'!B175</f>
        <v>- `disallowed_names = "warn"` - Avoid variable names like "lock"</v>
      </c>
      <c r="C175" s="6" t="str">
        <f>'Ann1 - Step 2'!C175</f>
        <v>Coding Pattern</v>
      </c>
      <c r="D175" s="6" t="str">
        <f>'Ann2 - Step 2'!C175</f>
        <v>Coding Style</v>
      </c>
      <c r="E175" s="6" t="b">
        <f t="shared" si="0"/>
        <v>1</v>
      </c>
      <c r="F175" s="6" t="s">
        <v>83</v>
      </c>
      <c r="G175" s="6" t="str">
        <f t="shared" si="1"/>
        <v>Coding Style</v>
      </c>
    </row>
    <row r="176" spans="1:7" ht="13" x14ac:dyDescent="0.15">
      <c r="A176" s="21" t="str">
        <f>'Ann1 - Step 2'!A176</f>
        <v>https://github.com/Freika/dawarich/blob/master/CLAUDE.md</v>
      </c>
      <c r="B176" s="6" t="str">
        <f>'Ann1 - Step 2'!B176</f>
        <v>**Anti-patterns to AVOID:**</v>
      </c>
      <c r="C176" s="6" t="str">
        <f>'Ann1 - Step 2'!C176</f>
        <v>Coding Pattern</v>
      </c>
      <c r="D176" s="6" t="str">
        <f>'Ann2 - Step 2'!C176</f>
        <v>Coding Pattern</v>
      </c>
      <c r="E176" s="6" t="b">
        <f t="shared" si="0"/>
        <v>0</v>
      </c>
      <c r="F176" s="6"/>
      <c r="G176" s="6" t="str">
        <f t="shared" si="1"/>
        <v>Coding Pattern</v>
      </c>
    </row>
    <row r="177" spans="1:7" ht="14" x14ac:dyDescent="0.15">
      <c r="A177" s="21" t="str">
        <f>'Ann1 - Step 2'!A177</f>
        <v>https://github.com/module-federation/core/blob/main/CLAUDE.md</v>
      </c>
      <c r="B177" s="8" t="str">
        <f>'Ann1 - Step 2'!B177</f>
        <v>- **Async Operations**: Properly handle promises and avoid blocking</v>
      </c>
      <c r="C177" s="6" t="str">
        <f>'Ann1 - Step 2'!C177</f>
        <v>Performance</v>
      </c>
      <c r="D177" s="6" t="str">
        <f>'Ann2 - Step 2'!C177</f>
        <v>Coding Pattern</v>
      </c>
      <c r="E177" s="6" t="b">
        <f t="shared" si="0"/>
        <v>1</v>
      </c>
      <c r="F177" s="6" t="s">
        <v>219</v>
      </c>
      <c r="G177" s="6" t="str">
        <f t="shared" si="1"/>
        <v>Performance</v>
      </c>
    </row>
    <row r="178" spans="1:7" ht="14" x14ac:dyDescent="0.15">
      <c r="A178" s="21" t="str">
        <f>'Ann1 - Step 2'!A178</f>
        <v>https://github.com/microsoft/ApplicationInsights-JS/blob/main/.github/copilot-instructions.md</v>
      </c>
      <c r="B178" s="8" t="str">
        <f>'Ann1 - Step 2'!B178</f>
        <v>- Avoid blocking the main thread</v>
      </c>
      <c r="C178" s="6" t="str">
        <f>'Ann1 - Step 2'!C178</f>
        <v>Performance</v>
      </c>
      <c r="D178" s="6" t="str">
        <f>'Ann2 - Step 2'!C178</f>
        <v>Coding Pattern</v>
      </c>
      <c r="E178" s="6" t="b">
        <f t="shared" si="0"/>
        <v>1</v>
      </c>
      <c r="F178" s="6" t="s">
        <v>219</v>
      </c>
      <c r="G178" s="6" t="str">
        <f t="shared" si="1"/>
        <v>Performance</v>
      </c>
    </row>
    <row r="179" spans="1:7" ht="14" x14ac:dyDescent="0.15">
      <c r="A179" s="21" t="str">
        <f>'Ann1 - Step 2'!A179</f>
        <v>https://github.com/Open-LLM-VTuber/Open-LLM-VTuber/blob/main/.github/copilot-instructions.md</v>
      </c>
      <c r="B179" s="8" t="str">
        <f>'Ann1 - Step 2'!B179</f>
        <v>Avoid blocking operations in async contexts.</v>
      </c>
      <c r="C179" s="6" t="str">
        <f>'Ann1 - Step 2'!C179</f>
        <v>Performance</v>
      </c>
      <c r="D179" s="6" t="str">
        <f>'Ann2 - Step 2'!C179</f>
        <v>Coding Pattern</v>
      </c>
      <c r="E179" s="6" t="b">
        <f t="shared" si="0"/>
        <v>1</v>
      </c>
      <c r="F179" s="6" t="s">
        <v>219</v>
      </c>
      <c r="G179" s="6" t="str">
        <f t="shared" si="1"/>
        <v>Performance</v>
      </c>
    </row>
    <row r="180" spans="1:7" ht="13" x14ac:dyDescent="0.15">
      <c r="A180" s="21" t="str">
        <f>'Ann1 - Step 2'!A180</f>
        <v>https://github.com/Azure/AgentBaker/blob/main/.github/copilot-instructions.md</v>
      </c>
      <c r="B180" s="6" t="str">
        <f>'Ann1 - Step 2'!B180</f>
        <v>Keep `minor` updates disabled by default; only allow minor updates through explicit, narrow `packageRules` (avoid broad datasource/wildcard exceptions).</v>
      </c>
      <c r="C180" s="6" t="str">
        <f>'Ann1 - Step 2'!C180</f>
        <v>Build &amp; Operation</v>
      </c>
      <c r="D180" s="6" t="str">
        <f>'Ann2 - Step 2'!C180</f>
        <v>Build &amp; Operation</v>
      </c>
      <c r="E180" s="6" t="b">
        <f t="shared" si="0"/>
        <v>0</v>
      </c>
      <c r="F180" s="6"/>
      <c r="G180" s="6" t="str">
        <f t="shared" si="1"/>
        <v>Build &amp; Operation</v>
      </c>
    </row>
    <row r="181" spans="1:7" ht="13" x14ac:dyDescent="0.15">
      <c r="A181" s="21" t="str">
        <f>'Ann1 - Step 2'!A181</f>
        <v>https://github.com/esphome/esphome/blob/main/.github/copilot-instructions.md</v>
      </c>
      <c r="B181" s="6" t="str">
        <f>'Ann1 - Step 2'!B181</f>
        <v>*   **Avoid `#define` for constants:** Using `#define` for constants is discouraged and should be replaced with `const` variables or enums.</v>
      </c>
      <c r="C181" s="6" t="str">
        <f>'Ann1 - Step 2'!C181</f>
        <v>Coding Pattern</v>
      </c>
      <c r="D181" s="6" t="str">
        <f>'Ann2 - Step 2'!C181</f>
        <v>Coding Pattern</v>
      </c>
      <c r="E181" s="6" t="b">
        <f t="shared" si="0"/>
        <v>0</v>
      </c>
      <c r="F181" s="6"/>
      <c r="G181" s="6" t="str">
        <f t="shared" si="1"/>
        <v>Coding Pattern</v>
      </c>
    </row>
    <row r="182" spans="1:7" ht="13" x14ac:dyDescent="0.15">
      <c r="A182" s="21" t="str">
        <f>'Ann1 - Step 2'!A182</f>
        <v>https://github.com/humanwhocodes/crosspost/blob/main/.github/copilot-instructions.md</v>
      </c>
      <c r="B182" s="6" t="str">
        <f>'Ann1 - Step 2'!B182</f>
        <v>- Avoid `forEach` with async functions as it doesn't handle promises correctly</v>
      </c>
      <c r="C182" s="6" t="str">
        <f>'Ann1 - Step 2'!C182</f>
        <v>Coding Pattern</v>
      </c>
      <c r="D182" s="6" t="str">
        <f>'Ann2 - Step 2'!C182</f>
        <v>Coding Pattern</v>
      </c>
      <c r="E182" s="6" t="b">
        <f t="shared" si="0"/>
        <v>0</v>
      </c>
      <c r="F182" s="6"/>
      <c r="G182" s="6" t="str">
        <f t="shared" si="1"/>
        <v>Coding Pattern</v>
      </c>
    </row>
    <row r="183" spans="1:7" ht="28" x14ac:dyDescent="0.15">
      <c r="A183" s="21" t="str">
        <f>'Ann1 - Step 2'!A183</f>
        <v>https://github.com/anyproto/anytype-ts/blob/main/CLAUDE.md</v>
      </c>
      <c r="B183" s="8" t="str">
        <f>'Ann1 - Step 2'!B183</f>
        <v>**Important:** Use `$(printenv LINEAR_API_KEY)` instead of `$LINEAR_API_KEY` directly in curl commands to avoid shell expansion issues.</v>
      </c>
      <c r="C183" s="6" t="str">
        <f>'Ann1 - Step 2'!C183</f>
        <v>Build &amp; Operation</v>
      </c>
      <c r="D183" s="6" t="str">
        <f>'Ann2 - Step 2'!C183</f>
        <v>Coding Pattern</v>
      </c>
      <c r="E183" s="6" t="b">
        <f t="shared" si="0"/>
        <v>1</v>
      </c>
      <c r="F183" s="6" t="s">
        <v>342</v>
      </c>
      <c r="G183" s="6" t="str">
        <f t="shared" si="1"/>
        <v>Security</v>
      </c>
    </row>
    <row r="184" spans="1:7" ht="13" x14ac:dyDescent="0.15">
      <c r="A184" s="21" t="str">
        <f>'Ann1 - Step 2'!A184</f>
        <v>https://github.com/open-metadata/OpenMetadata/blob/main/CLAUDE.md</v>
      </c>
      <c r="B184" s="6" t="str">
        <f>'Ann1 - Step 2'!B184</f>
        <v>- In Java, avoid wildcards imports (e.g., use `import java.util.List;` instead of `import java.util.*;`)</v>
      </c>
      <c r="C184" s="6" t="str">
        <f>'Ann1 - Step 2'!C184</f>
        <v>Coding Pattern</v>
      </c>
      <c r="D184" s="6" t="str">
        <f>'Ann2 - Step 2'!C184</f>
        <v>Coding Pattern</v>
      </c>
      <c r="E184" s="6" t="b">
        <f t="shared" si="0"/>
        <v>0</v>
      </c>
      <c r="F184" s="6"/>
      <c r="G184" s="6" t="str">
        <f t="shared" si="1"/>
        <v>Coding Pattern</v>
      </c>
    </row>
    <row r="185" spans="1:7" ht="28" x14ac:dyDescent="0.15">
      <c r="A185" s="21" t="str">
        <f>'Ann1 - Step 2'!A185</f>
        <v>https://github.com/zenml-io/zenml/blob/main/CLAUDE.md</v>
      </c>
      <c r="B185" s="8" t="str">
        <f>'Ann1 - Step 2'!B185</f>
        <v>- Avoid: change‑tracking comments ("Updated from previous version", "New implementation", "Changed to use X instead of Y", "Refactored this section").</v>
      </c>
      <c r="C185" s="6" t="str">
        <f>'Ann1 - Step 2'!C185</f>
        <v>Documentation</v>
      </c>
      <c r="D185" s="6" t="str">
        <f>'Ann2 - Step 2'!C185</f>
        <v>Commit&amp;PR rule</v>
      </c>
      <c r="E185" s="6" t="b">
        <f t="shared" si="0"/>
        <v>1</v>
      </c>
      <c r="F185" s="6" t="s">
        <v>12</v>
      </c>
      <c r="G185" s="6" t="str">
        <f t="shared" si="1"/>
        <v>Commit&amp;PR rule</v>
      </c>
    </row>
    <row r="186" spans="1:7" ht="28" x14ac:dyDescent="0.15">
      <c r="A186" s="21" t="str">
        <f>'Ann1 - Step 2'!A186</f>
        <v>https://github.com/zenml-io/zenml/blob/main/AGENTS.md</v>
      </c>
      <c r="B186" s="8" t="str">
        <f>'Ann1 - Step 2'!B186</f>
        <v>- Avoid: change‑tracking comments ("Updated from previous version", "New implementation", "Changed to use X instead of Y", "Refactored this section").</v>
      </c>
      <c r="C186" s="6" t="str">
        <f>'Ann1 - Step 2'!C186</f>
        <v>Documentation</v>
      </c>
      <c r="D186" s="6" t="str">
        <f>'Ann2 - Step 2'!C186</f>
        <v>Commit&amp;PR rule</v>
      </c>
      <c r="E186" s="6" t="b">
        <f t="shared" si="0"/>
        <v>1</v>
      </c>
      <c r="F186" s="6" t="s">
        <v>12</v>
      </c>
      <c r="G186" s="6" t="str">
        <f t="shared" si="1"/>
        <v>Commit&amp;PR rule</v>
      </c>
    </row>
    <row r="187" spans="1:7" ht="28" x14ac:dyDescent="0.15">
      <c r="A187" s="21" t="str">
        <f>'Ann1 - Step 2'!A187</f>
        <v>https://github.com/Zaki-1052/GPTPortal/blob/main/AGENTS.md</v>
      </c>
      <c r="B187" s="8" t="str">
        <f>'Ann1 - Step 2'!B187</f>
        <v>- Uploads: files are saved under `public/uploads/`; validate inputs and avoid large files beyond configured limits.</v>
      </c>
      <c r="C187" s="6" t="str">
        <f>'Ann1 - Step 2'!C187</f>
        <v>Code Review</v>
      </c>
      <c r="D187" s="6" t="str">
        <f>'Ann2 - Step 2'!C187</f>
        <v>Task Execution</v>
      </c>
      <c r="E187" s="6" t="b">
        <f t="shared" si="0"/>
        <v>1</v>
      </c>
      <c r="F187" s="6" t="s">
        <v>18</v>
      </c>
      <c r="G187" s="6" t="str">
        <f t="shared" si="1"/>
        <v>Task Execution</v>
      </c>
    </row>
    <row r="188" spans="1:7" ht="14" x14ac:dyDescent="0.15">
      <c r="A188" s="21" t="str">
        <f>'Ann1 - Step 2'!A188</f>
        <v>https://github.com/langchain-ai/langchain/blob/master/CLAUDE.md</v>
      </c>
      <c r="B188" s="8" t="str">
        <f>'Ann1 - Step 2'!B188</f>
        <v>Avoid preview or beta identifiers unless the model has no GA equivalent.</v>
      </c>
      <c r="C188" s="6" t="str">
        <f>'Ann1 - Step 2'!C188</f>
        <v>Build &amp; Operation</v>
      </c>
      <c r="D188" s="6" t="str">
        <f>'Ann2 - Step 2'!C188</f>
        <v>Coding Pattern</v>
      </c>
      <c r="E188" s="6" t="b">
        <f t="shared" si="0"/>
        <v>1</v>
      </c>
      <c r="F188" s="6" t="s">
        <v>136</v>
      </c>
      <c r="G188" s="6" t="str">
        <f t="shared" si="1"/>
        <v>Build &amp; Operation</v>
      </c>
    </row>
    <row r="189" spans="1:7" ht="14" x14ac:dyDescent="0.15">
      <c r="A189" s="21" t="str">
        <f>'Ann1 - Step 2'!A189</f>
        <v>https://github.com/johnlindquist/kit/blob/main/AGENTS.md</v>
      </c>
      <c r="B189" s="8" t="str">
        <f>'Ann1 - Step 2'!B189</f>
        <v>- Formatting: `.prettierrc.json` (no semicolons, printWidth 60, arrowParens avoid).</v>
      </c>
      <c r="C189" s="6" t="str">
        <f>'Ann1 - Step 2'!C189</f>
        <v>Coding Pattern</v>
      </c>
      <c r="D189" s="6" t="str">
        <f>'Ann2 - Step 2'!C189</f>
        <v>Coding Style</v>
      </c>
      <c r="E189" s="6" t="b">
        <f t="shared" si="0"/>
        <v>1</v>
      </c>
      <c r="F189" s="6" t="s">
        <v>83</v>
      </c>
      <c r="G189" s="6" t="str">
        <f t="shared" si="1"/>
        <v>Coding Style</v>
      </c>
    </row>
    <row r="190" spans="1:7" ht="13" x14ac:dyDescent="0.15">
      <c r="A190" s="21" t="str">
        <f>'Ann1 - Step 2'!A190</f>
        <v>https://github.com/wolfi-dev/os/blob/main/CLAUDE.md</v>
      </c>
      <c r="B190" s="6" t="str">
        <f>'Ann1 - Step 2'!B190</f>
        <v>- Avoid removing comments unless they are no longer accurate.</v>
      </c>
      <c r="C190" s="6" t="str">
        <f>'Ann1 - Step 2'!C190</f>
        <v>Documentation</v>
      </c>
      <c r="D190" s="6" t="str">
        <f>'Ann2 - Step 2'!C190</f>
        <v>Documentation</v>
      </c>
      <c r="E190" s="6" t="b">
        <f t="shared" si="0"/>
        <v>0</v>
      </c>
      <c r="F190" s="6"/>
      <c r="G190" s="6" t="str">
        <f t="shared" si="1"/>
        <v>Documentation</v>
      </c>
    </row>
    <row r="191" spans="1:7" ht="28" x14ac:dyDescent="0.15">
      <c r="A191" s="21" t="str">
        <f>'Ann1 - Step 2'!A191</f>
        <v>https://github.com/ArcInstitute/SRAgent/blob/main/AGENTS.md</v>
      </c>
      <c r="B191" s="8" t="str">
        <f>'Ann1 - Step 2'!B191</f>
        <v>- No repo‑enforced linter; keep style consistent with nearby code and avoid introducing new tooling/config without discussion.</v>
      </c>
      <c r="C191" s="6" t="str">
        <f>'Ann1 - Step 2'!C191</f>
        <v>Build &amp; Operation</v>
      </c>
      <c r="D191" s="6" t="str">
        <f>'Ann2 - Step 2'!C191</f>
        <v>Coding Style</v>
      </c>
      <c r="E191" s="6" t="b">
        <f t="shared" si="0"/>
        <v>1</v>
      </c>
      <c r="F191" s="6" t="s">
        <v>83</v>
      </c>
      <c r="G191" s="6" t="str">
        <f t="shared" si="1"/>
        <v>Coding Style</v>
      </c>
    </row>
    <row r="192" spans="1:7" ht="13" x14ac:dyDescent="0.15">
      <c r="A192" s="21" t="str">
        <f>'Ann1 - Step 2'!A192</f>
        <v>https://github.com/Azure/LogicAppsUX/blob/main/CLAUDE.md</v>
      </c>
      <c r="B192" s="6" t="str">
        <f>'Ann1 - Step 2'!B192</f>
        <v>- Avoid unnecessary `catch` bindings — use `catch {` not `catch (e) {` when `e` is unused</v>
      </c>
      <c r="C192" s="6" t="str">
        <f>'Ann1 - Step 2'!C192</f>
        <v>Coding Pattern</v>
      </c>
      <c r="D192" s="6" t="str">
        <f>'Ann2 - Step 2'!C192</f>
        <v>Coding Pattern</v>
      </c>
      <c r="E192" s="6" t="b">
        <f t="shared" si="0"/>
        <v>0</v>
      </c>
      <c r="F192" s="6"/>
      <c r="G192" s="6" t="str">
        <f t="shared" si="1"/>
        <v>Coding Pattern</v>
      </c>
    </row>
    <row r="193" spans="1:7" ht="13" x14ac:dyDescent="0.15">
      <c r="A193" s="21" t="str">
        <f>'Ann1 - Step 2'!A193</f>
        <v>https://github.com/zed-industries/zed/blob/main/CLAUDE.md</v>
      </c>
      <c r="B193" s="6" t="str">
        <f>'Ann1 - Step 2'!B193</f>
        <v>- Avoid `smol::Timer::after(...)` for test timeouts when you rely on `run_until_parked()`, because it may not be tracked by GPUI's scheduler and can lead to "nothing left to run" when pumping.</v>
      </c>
      <c r="C193" s="6" t="str">
        <f>'Ann1 - Step 2'!C193</f>
        <v>Testing</v>
      </c>
      <c r="D193" s="6" t="str">
        <f>'Ann2 - Step 2'!C193</f>
        <v>Testing</v>
      </c>
      <c r="E193" s="6" t="b">
        <f t="shared" si="0"/>
        <v>0</v>
      </c>
      <c r="F193" s="6"/>
      <c r="G193" s="6" t="str">
        <f t="shared" si="1"/>
        <v>Testing</v>
      </c>
    </row>
    <row r="194" spans="1:7" ht="14" x14ac:dyDescent="0.15">
      <c r="A194" s="21" t="str">
        <f>'Ann1 - Step 2'!A194</f>
        <v>https://github.com/zed-industries/zed/blob/main/CLAUDE.md</v>
      </c>
      <c r="B194" s="8" t="str">
        <f>'Ann1 - Step 2'!B194</f>
        <v>Rules should be **traps to avoid**, not **maps to follow**.</v>
      </c>
      <c r="C194" s="6" t="str">
        <f>'Ann1 - Step 2'!C194</f>
        <v>Writing Style Preference</v>
      </c>
      <c r="D194" s="6" t="str">
        <f>'Ann2 - Step 2'!C194</f>
        <v>Documentation</v>
      </c>
      <c r="E194" s="6" t="b">
        <f t="shared" si="0"/>
        <v>1</v>
      </c>
      <c r="F194" s="6" t="s">
        <v>23</v>
      </c>
      <c r="G194" s="6" t="str">
        <f t="shared" si="1"/>
        <v>Documentation</v>
      </c>
    </row>
    <row r="195" spans="1:7" ht="28" x14ac:dyDescent="0.15">
      <c r="A195" s="21" t="str">
        <f>'Ann1 - Step 2'!A195</f>
        <v>https://github.com/web-infra-dev/rspack/blob/main/AGENTS.md</v>
      </c>
      <c r="B195" s="8" t="str">
        <f>'Ann1 - Step 2'!B195</f>
        <v>- **Thread pool boundaries**: Avoid mixing `rayon` and `tokio` thread pools for the same workflow unless there is a clear boundary that cannot be avoided</v>
      </c>
      <c r="C195" s="6" t="str">
        <f>'Ann1 - Step 2'!C195</f>
        <v>Performance</v>
      </c>
      <c r="D195" s="6" t="str">
        <f>'Ann2 - Step 2'!C195</f>
        <v>Coding Pattern</v>
      </c>
      <c r="E195" s="6" t="b">
        <f t="shared" si="0"/>
        <v>1</v>
      </c>
      <c r="F195" s="6" t="s">
        <v>30</v>
      </c>
      <c r="G195" s="6" t="str">
        <f t="shared" si="1"/>
        <v>Coding Pattern</v>
      </c>
    </row>
    <row r="196" spans="1:7" ht="13" x14ac:dyDescent="0.15">
      <c r="A196" s="21" t="str">
        <f>'Ann1 - Step 2'!A196</f>
        <v>https://github.com/dotnet/runtime/blob/main/.github/copilot-instructions.md</v>
      </c>
      <c r="B196" s="6" t="str">
        <f>'Ann1 - Step 2'!B196</f>
        <v>| "Target does not exist" | Avoid specifying a target framework; the build will auto-select `$(NetCoreAppCurrent)` |</v>
      </c>
      <c r="C196" s="6" t="str">
        <f>'Ann1 - Step 2'!C196</f>
        <v>Build &amp; Operation</v>
      </c>
      <c r="D196" s="6" t="str">
        <f>'Ann2 - Step 2'!C196</f>
        <v>Build &amp; Operation</v>
      </c>
      <c r="E196" s="6" t="b">
        <f t="shared" si="0"/>
        <v>0</v>
      </c>
      <c r="F196" s="6"/>
      <c r="G196" s="6" t="str">
        <f t="shared" si="1"/>
        <v>Build &amp; Operation</v>
      </c>
    </row>
    <row r="197" spans="1:7" ht="42" x14ac:dyDescent="0.15">
      <c r="A197" s="21" t="str">
        <f>'Ann1 - Step 2'!A197</f>
        <v>https://github.com/dailydotdev/apps/blob/main/CLAUDE.md</v>
      </c>
      <c r="B197" s="8" t="str">
        <f>'Ann1 - Step 2'!B197</f>
        <v>- **Prefer component-level token swaps for one-off contrast fixes** - For isolated UI readability issues, use existing semantic color utilities in the impacted components first; avoid changing global tokens in `base.css` unless explicitly requested.</v>
      </c>
      <c r="C197" s="6" t="str">
        <f>'Ann1 - Step 2'!C197</f>
        <v>Code Review</v>
      </c>
      <c r="D197" s="6" t="str">
        <f>'Ann2 - Step 2'!C197</f>
        <v>Maintainability</v>
      </c>
      <c r="E197" s="6" t="b">
        <f t="shared" si="0"/>
        <v>1</v>
      </c>
      <c r="F197" s="6" t="s">
        <v>30</v>
      </c>
      <c r="G197" s="6" t="str">
        <f t="shared" si="1"/>
        <v>Coding Pattern</v>
      </c>
    </row>
    <row r="198" spans="1:7" ht="13" x14ac:dyDescent="0.15">
      <c r="A198" s="21" t="str">
        <f>'Ann1 - Step 2'!A198</f>
        <v>https://github.com/BerriAI/litellm/blob/main/CLAUDE.md</v>
      </c>
      <c r="B198" s="6" t="str">
        <f>'Ann1 - Step 2'!B198</f>
        <v>Use `antd` equivalents: `Tag` for labels, `Typography.Text` / `Typography.Title` / `Typography.Paragraph` for textual content (avoid plain text-only `&lt;span&gt;`, `&lt;p&gt;`, `&lt;h*&gt;` when Typography fits), and `Card` from `antd`.</v>
      </c>
      <c r="C198" s="6" t="str">
        <f>'Ann1 - Step 2'!C198</f>
        <v>Coding Pattern</v>
      </c>
      <c r="D198" s="6" t="str">
        <f>'Ann2 - Step 2'!C198</f>
        <v>Coding Pattern</v>
      </c>
      <c r="E198" s="6" t="b">
        <f t="shared" si="0"/>
        <v>0</v>
      </c>
      <c r="F198" s="6"/>
      <c r="G198" s="6" t="str">
        <f t="shared" si="1"/>
        <v>Coding Pattern</v>
      </c>
    </row>
    <row r="199" spans="1:7" ht="14" x14ac:dyDescent="0.15">
      <c r="A199" s="21" t="str">
        <f>'Ann1 - Step 2'!A199</f>
        <v>https://github.com/CapSoftware/Cap/blob/main/CLAUDE.md</v>
      </c>
      <c r="B199" s="8" t="str">
        <f>'Ann1 - Step 2'!B199</f>
        <v>Keeping only one copy avoids the two lists drifting apart.</v>
      </c>
      <c r="C199" s="6" t="str">
        <f>'Ann1 - Step 2'!C199</f>
        <v>Maintainability</v>
      </c>
      <c r="D199" s="6" t="str">
        <f>'Ann2 - Step 2'!C199</f>
        <v>Coding Pattern</v>
      </c>
      <c r="E199" s="6" t="b">
        <f t="shared" si="0"/>
        <v>1</v>
      </c>
      <c r="F199" s="6" t="s">
        <v>115</v>
      </c>
      <c r="G199" s="6" t="str">
        <f t="shared" si="1"/>
        <v>Maintainability</v>
      </c>
    </row>
    <row r="200" spans="1:7" ht="13" x14ac:dyDescent="0.15">
      <c r="A200" s="21" t="str">
        <f>'Ann1 - Step 2'!A200</f>
        <v>https://github.com/Freika/dawarich/blob/master/CLAUDE.md</v>
      </c>
      <c r="B200" s="6" t="str">
        <f>'Ann1 - Step 2'!B200</f>
        <v>**Avoid over-stubbing** — if every collaborator is mocked, the test proves nothing; mock only at external boundaries (HTTP, geocoder, external APIs)</v>
      </c>
      <c r="C200" s="6" t="str">
        <f>'Ann1 - Step 2'!C200</f>
        <v>Testing</v>
      </c>
      <c r="D200" s="6" t="str">
        <f>'Ann2 - Step 2'!C200</f>
        <v>Testing</v>
      </c>
      <c r="E200" s="6" t="b">
        <f t="shared" si="0"/>
        <v>0</v>
      </c>
      <c r="F200" s="6"/>
      <c r="G200" s="6" t="str">
        <f t="shared" si="1"/>
        <v>Testing</v>
      </c>
    </row>
    <row r="201" spans="1:7" ht="13" x14ac:dyDescent="0.15">
      <c r="A201" s="21" t="str">
        <f>'Ann1 - Step 2'!A201</f>
        <v>https://github.com/owid/etl/blob/master/CLAUDE.md</v>
      </c>
      <c r="B201" s="6" t="str">
        <f>'Ann1 - Step 2'!B201</f>
        <v>- **Avoid `--force`** — `etlr` has built-in change detection and only re-runs steps whose code or data changed.</v>
      </c>
      <c r="C201" s="6" t="str">
        <f>'Ann1 - Step 2'!C201</f>
        <v>Build &amp; Operation</v>
      </c>
      <c r="D201" s="6" t="str">
        <f>'Ann2 - Step 2'!C201</f>
        <v>Build &amp; Operation</v>
      </c>
      <c r="E201" s="6" t="b">
        <f t="shared" si="0"/>
        <v>0</v>
      </c>
      <c r="F201" s="6"/>
      <c r="G201" s="6" t="str">
        <f t="shared" si="1"/>
        <v>Build &amp; Operation</v>
      </c>
    </row>
    <row r="202" spans="1:7" ht="28" x14ac:dyDescent="0.15">
      <c r="A202" s="21" t="str">
        <f>'Ann1 - Step 2'!A202</f>
        <v>https://github.com/owid/owid-grapher/blob/master/CLAUDE.md</v>
      </c>
      <c r="B202" s="8" t="str">
        <f>'Ann1 - Step 2'!B202</f>
        <v>We usually avoid inline styles - only use those if the component you are working on already makes use of them for a similar use case.</v>
      </c>
      <c r="C202" s="6" t="str">
        <f>'Ann1 - Step 2'!C202</f>
        <v>Coding Style</v>
      </c>
      <c r="D202" s="6" t="str">
        <f>'Ann2 - Step 2'!C202</f>
        <v>Coding Pattern</v>
      </c>
      <c r="E202" s="6" t="b">
        <f t="shared" si="0"/>
        <v>1</v>
      </c>
      <c r="F202" s="6" t="s">
        <v>30</v>
      </c>
      <c r="G202" s="6" t="str">
        <f t="shared" si="1"/>
        <v>Coding Pattern</v>
      </c>
    </row>
    <row r="203" spans="1:7" ht="13" x14ac:dyDescent="0.15">
      <c r="A203" s="21" t="str">
        <f>'Ann1 - Step 2'!A203</f>
        <v>https://github.com/thirdweb-dev/js/blob/main/CLAUDE.md</v>
      </c>
      <c r="B203" s="6" t="str">
        <f>'Ann1 - Step 2'!B203</f>
        <v>- **Comments**: Comment only ambiguous logic; avoid restating TypeScript in prose</v>
      </c>
      <c r="C203" s="6" t="str">
        <f>'Ann1 - Step 2'!C203</f>
        <v>Documentation</v>
      </c>
      <c r="D203" s="6" t="str">
        <f>'Ann2 - Step 2'!C203</f>
        <v>Documentation</v>
      </c>
      <c r="E203" s="6" t="b">
        <f t="shared" si="0"/>
        <v>0</v>
      </c>
      <c r="F203" s="6"/>
      <c r="G203" s="6" t="str">
        <f t="shared" si="1"/>
        <v>Documentation</v>
      </c>
    </row>
    <row r="204" spans="1:7" ht="13" x14ac:dyDescent="0.15">
      <c r="A204" s="21" t="str">
        <f>'Ann1 - Step 2'!A204</f>
        <v>https://github.com/alchemiststudiosDOTai/tunacode/blob/master/AGENTS.md</v>
      </c>
      <c r="B204" s="6" t="str">
        <f>'Ann1 - Step 2'!B204</f>
        <v>- Avoid adding empty directories or `__init__.py`-only directories.</v>
      </c>
      <c r="C204" s="6" t="str">
        <f>'Ann1 - Step 2'!C204</f>
        <v>Maintainability</v>
      </c>
      <c r="D204" s="6" t="str">
        <f>'Ann2 - Step 2'!C204</f>
        <v>Maintainability</v>
      </c>
      <c r="E204" s="6" t="b">
        <f t="shared" si="0"/>
        <v>0</v>
      </c>
      <c r="F204" s="6"/>
      <c r="G204" s="6" t="str">
        <f t="shared" si="1"/>
        <v>Maintainability</v>
      </c>
    </row>
    <row r="205" spans="1:7" ht="13" x14ac:dyDescent="0.15">
      <c r="A205" s="21" t="str">
        <f>'Ann1 - Step 2'!A205</f>
        <v>https://github.com/elamperti/OpenWebScrobbler/blob/main/AGENTS.md</v>
      </c>
      <c r="B205" s="6" t="str">
        <f>'Ann1 - Step 2'!B205</f>
        <v>- Avoid using color as the only means of conveying information.</v>
      </c>
      <c r="C205" s="6" t="str">
        <f>'Ann1 - Step 2'!C205</f>
        <v>Coding Pattern</v>
      </c>
      <c r="D205" s="6" t="str">
        <f>'Ann2 - Step 2'!C205</f>
        <v>Coding Pattern</v>
      </c>
      <c r="E205" s="6" t="b">
        <f t="shared" si="0"/>
        <v>0</v>
      </c>
      <c r="F205" s="6"/>
      <c r="G205" s="6" t="str">
        <f t="shared" si="1"/>
        <v>Coding Pattern</v>
      </c>
    </row>
    <row r="206" spans="1:7" ht="28" x14ac:dyDescent="0.15">
      <c r="A206" s="21" t="str">
        <f>'Ann1 - Step 2'!A206</f>
        <v>https://github.com/Azure/AgentBaker/blob/main/.github/copilot-instructions.md</v>
      </c>
      <c r="B206" s="8" t="str">
        <f>'Ann1 - Step 2'!B206</f>
        <v>**Only comment when you have substantive findings** - avoid noise on trivial or obviously safe changes.</v>
      </c>
      <c r="C206" s="6" t="str">
        <f>'Ann1 - Step 2'!C206</f>
        <v>Code Review</v>
      </c>
      <c r="D206" s="6" t="str">
        <f>'Ann2 - Step 2'!C206</f>
        <v>Documentation</v>
      </c>
      <c r="E206" s="6" t="b">
        <f t="shared" si="0"/>
        <v>1</v>
      </c>
      <c r="F206" s="6" t="s">
        <v>67</v>
      </c>
      <c r="G206" s="6" t="str">
        <f t="shared" si="1"/>
        <v>Code Review</v>
      </c>
    </row>
    <row r="207" spans="1:7" ht="13" x14ac:dyDescent="0.15">
      <c r="A207" s="21" t="str">
        <f>'Ann1 - Step 2'!A207</f>
        <v>https://github.com/octgn/OCTGN/blob/master/.github/copilot-instructions.md</v>
      </c>
      <c r="B207" s="6" t="str">
        <f>'Ann1 - Step 2'!B207</f>
        <v>Write unit tests for new functionality using NUnit - focus on logical methods only, avoid testing WPF behavior</v>
      </c>
      <c r="C207" s="6" t="str">
        <f>'Ann1 - Step 2'!C207</f>
        <v>Testing</v>
      </c>
      <c r="D207" s="6" t="str">
        <f>'Ann2 - Step 2'!C207</f>
        <v>Testing</v>
      </c>
      <c r="E207" s="6" t="b">
        <f t="shared" si="0"/>
        <v>0</v>
      </c>
      <c r="F207" s="6"/>
      <c r="G207" s="6" t="str">
        <f t="shared" si="1"/>
        <v>Testing</v>
      </c>
    </row>
    <row r="208" spans="1:7" ht="13" x14ac:dyDescent="0.15">
      <c r="A208" s="21" t="str">
        <f>'Ann1 - Step 2'!A208</f>
        <v>https://github.com/owid/owid-grapher/blob/master/.github/copilot-instructions.md</v>
      </c>
      <c r="B208" s="6" t="str">
        <f>'Ann1 - Step 2'!B208</f>
        <v>We usually avoid inline styles - only use those if the component you are working on already makes use of them for a similar use case.</v>
      </c>
      <c r="C208" s="6" t="str">
        <f>'Ann1 - Step 2'!C208</f>
        <v>Coding Pattern</v>
      </c>
      <c r="D208" s="6" t="str">
        <f>'Ann2 - Step 2'!C208</f>
        <v>Coding Pattern</v>
      </c>
      <c r="E208" s="6" t="b">
        <f t="shared" si="0"/>
        <v>0</v>
      </c>
      <c r="F208" s="6"/>
      <c r="G208" s="6" t="str">
        <f t="shared" si="1"/>
        <v>Coding Pattern</v>
      </c>
    </row>
    <row r="209" spans="1:7" ht="14" x14ac:dyDescent="0.15">
      <c r="A209" s="21" t="str">
        <f>'Ann1 - Step 2'!A209</f>
        <v>https://github.com/epicweb-dev/epicshop/blob/main/AGENTS.md</v>
      </c>
      <c r="B209" s="8" t="str">
        <f>'Ann1 - Step 2'!B209</f>
        <v>- Avoid `expect(await promise)` because a rejection throws before the matcher</v>
      </c>
      <c r="C209" s="6" t="str">
        <f>'Ann1 - Step 2'!C209</f>
        <v>Testing</v>
      </c>
      <c r="D209" s="6" t="str">
        <f>'Ann2 - Step 2'!C209</f>
        <v>Coding Pattern</v>
      </c>
      <c r="E209" s="6" t="b">
        <f t="shared" si="0"/>
        <v>1</v>
      </c>
      <c r="F209" s="6" t="s">
        <v>88</v>
      </c>
      <c r="G209" s="6" t="str">
        <f t="shared" si="1"/>
        <v>Testing</v>
      </c>
    </row>
    <row r="210" spans="1:7" ht="13" x14ac:dyDescent="0.15">
      <c r="A210" s="21" t="str">
        <f>'Ann1 - Step 2'!A210</f>
        <v>https://github.com/colinhacks/zod/blob/main/CLAUDE.md</v>
      </c>
      <c r="B210" s="6" t="str">
        <f>'Ann1 - Step 2'!B210</f>
        <v>- Keep added tests as minimal and dense as possible without sacrificing comprehensiveness; avoid redundant assertions or broad fixtures when a focused case proves the behavior.</v>
      </c>
      <c r="C210" s="6" t="str">
        <f>'Ann1 - Step 2'!C210</f>
        <v>Testing</v>
      </c>
      <c r="D210" s="6" t="str">
        <f>'Ann2 - Step 2'!C210</f>
        <v>Testing</v>
      </c>
      <c r="E210" s="6" t="b">
        <f t="shared" si="0"/>
        <v>0</v>
      </c>
      <c r="F210" s="6"/>
      <c r="G210" s="6" t="str">
        <f t="shared" si="1"/>
        <v>Testing</v>
      </c>
    </row>
    <row r="211" spans="1:7" ht="13" x14ac:dyDescent="0.15">
      <c r="A211" s="21" t="str">
        <f>'Ann1 - Step 2'!A211</f>
        <v>https://github.com/Comfy-Org/comfy-claude-prompt-library/blob/master/CLAUDE.md</v>
      </c>
      <c r="B211" s="6" t="str">
        <f>'Ann1 - Step 2'!B211</f>
        <v>AVOID these vague terms without evidence:</v>
      </c>
      <c r="C211" s="6" t="str">
        <f>'Ann1 - Step 2'!C211</f>
        <v>Writing Style Preference</v>
      </c>
      <c r="D211" s="6" t="str">
        <f>'Ann2 - Step 2'!C211</f>
        <v>Writing Style Preference</v>
      </c>
      <c r="E211" s="6" t="b">
        <f t="shared" si="0"/>
        <v>0</v>
      </c>
      <c r="F211" s="6"/>
      <c r="G211" s="6" t="str">
        <f t="shared" si="1"/>
        <v>Writing Style Preference</v>
      </c>
    </row>
    <row r="212" spans="1:7" ht="28" x14ac:dyDescent="0.15">
      <c r="A212" s="21" t="str">
        <f>'Ann1 - Step 2'!A212</f>
        <v>https://github.com/carverauto/serviceradar/blob/main/AGENTS.md</v>
      </c>
      <c r="B212" s="8" t="str">
        <f>'Ann1 - Step 2'!B212</f>
        <v>Avoid introducing new dependencies without updating `go.mod` and Bazel `MODULE.bazel`/`MODULE.bazel.lock` if required.</v>
      </c>
      <c r="C212" s="6" t="str">
        <f>'Ann1 - Step 2'!C212</f>
        <v>Build &amp; Operation</v>
      </c>
      <c r="D212" s="6" t="str">
        <f>'Ann2 - Step 2'!C212</f>
        <v>Coding Pattern</v>
      </c>
      <c r="E212" s="6" t="b">
        <f t="shared" si="0"/>
        <v>1</v>
      </c>
      <c r="F212" s="6" t="s">
        <v>136</v>
      </c>
      <c r="G212" s="6" t="str">
        <f t="shared" si="1"/>
        <v>Build &amp; Operation</v>
      </c>
    </row>
    <row r="213" spans="1:7" ht="13" x14ac:dyDescent="0.15">
      <c r="A213" s="21" t="str">
        <f>'Ann1 - Step 2'!A213</f>
        <v>https://github.com/NuGet/NuGetGallery/blob/main/.github/copilot-instructions.md</v>
      </c>
      <c r="B213" s="6" t="str">
        <f>'Ann1 - Step 2'!B213</f>
        <v>* Avoid swallowing exceptions without proper logging.</v>
      </c>
      <c r="C213" s="6" t="str">
        <f>'Ann1 - Step 2'!C213</f>
        <v>Coding Pattern</v>
      </c>
      <c r="D213" s="6" t="str">
        <f>'Ann2 - Step 2'!C213</f>
        <v>Coding Pattern</v>
      </c>
      <c r="E213" s="6" t="b">
        <f t="shared" si="0"/>
        <v>0</v>
      </c>
      <c r="F213" s="6"/>
      <c r="G213" s="6" t="str">
        <f t="shared" si="1"/>
        <v>Coding Pattern</v>
      </c>
    </row>
    <row r="214" spans="1:7" ht="13" x14ac:dyDescent="0.15">
      <c r="A214" s="21" t="str">
        <f>'Ann1 - Step 2'!A214</f>
        <v>https://github.com/public-ui/kolibri/blob/master/AGENTS.md</v>
      </c>
      <c r="B214" s="6" t="str">
        <f>'Ann1 - Step 2'!B214</f>
        <v>Lint rules should **not** be disabled via inline comments.</v>
      </c>
      <c r="C214" s="6" t="str">
        <f>'Ann1 - Step 2'!C214</f>
        <v>Coding Style</v>
      </c>
      <c r="D214" s="6" t="str">
        <f>'Ann2 - Step 2'!C214</f>
        <v>Coding Style</v>
      </c>
      <c r="E214" s="6" t="b">
        <f t="shared" si="0"/>
        <v>0</v>
      </c>
      <c r="F214" s="6"/>
      <c r="G214" s="6" t="str">
        <f t="shared" si="1"/>
        <v>Coding Style</v>
      </c>
    </row>
    <row r="215" spans="1:7" ht="13" x14ac:dyDescent="0.15">
      <c r="A215" s="21" t="str">
        <f>'Ann1 - Step 2'!A215</f>
        <v>https://github.com/wvlet/airframe/blob/main/.github/copilot-instructions.md</v>
      </c>
      <c r="B215" s="6" t="str">
        <f>'Ann1 - Step 2'!B215</f>
        <v>- Returning `Try[A]` is generally discouraged as it forces a monadic style on the caller.</v>
      </c>
      <c r="C215" s="6" t="str">
        <f>'Ann1 - Step 2'!C215</f>
        <v>Coding Pattern</v>
      </c>
      <c r="D215" s="6" t="str">
        <f>'Ann2 - Step 2'!C215</f>
        <v>Coding Pattern</v>
      </c>
      <c r="E215" s="6" t="b">
        <f t="shared" si="0"/>
        <v>0</v>
      </c>
      <c r="F215" s="6"/>
      <c r="G215" s="6" t="str">
        <f t="shared" si="1"/>
        <v>Coding Pattern</v>
      </c>
    </row>
    <row r="216" spans="1:7" ht="14" x14ac:dyDescent="0.15">
      <c r="A216" s="21" t="str">
        <f>'Ann1 - Step 2'!A216</f>
        <v>https://github.com/wvlet/airframe/blob/main/.github/copilot-instructions.md</v>
      </c>
      <c r="B216" s="8" t="str">
        <f>'Ann1 - Step 2'!B216</f>
        <v>- For `airframe-core`, new dependencies are highly discouraged.</v>
      </c>
      <c r="C216" s="6" t="str">
        <f>'Ann1 - Step 2'!C216</f>
        <v>Maintainability</v>
      </c>
      <c r="D216" s="6" t="str">
        <f>'Ann2 - Step 2'!C216</f>
        <v>Coding Pattern</v>
      </c>
      <c r="E216" s="6" t="b">
        <f t="shared" si="0"/>
        <v>1</v>
      </c>
      <c r="F216" s="6" t="s">
        <v>30</v>
      </c>
      <c r="G216" s="6" t="str">
        <f t="shared" si="1"/>
        <v>Coding Pattern</v>
      </c>
    </row>
    <row r="217" spans="1:7" ht="13" x14ac:dyDescent="0.15">
      <c r="A217" s="21" t="str">
        <f>'Ann1 - Step 2'!A217</f>
        <v>https://github.com/evmts/tevm-monorepo/blob/main/CLAUDE.md</v>
      </c>
      <c r="B217" s="6" t="str">
        <f>'Ann1 - Step 2'!B217</f>
        <v>`nx migrate`, running `nx repair` should do nothing.</v>
      </c>
      <c r="C217" s="6" t="str">
        <f>'Ann1 - Step 2'!C217</f>
        <v>Build &amp; Operation</v>
      </c>
      <c r="D217" s="6" t="str">
        <f>'Ann2 - Step 2'!C217</f>
        <v>Build &amp; Operation</v>
      </c>
      <c r="E217" s="6" t="b">
        <f t="shared" si="0"/>
        <v>0</v>
      </c>
      <c r="F217" s="6"/>
      <c r="G217" s="6" t="str">
        <f t="shared" si="1"/>
        <v>Build &amp; Operation</v>
      </c>
    </row>
    <row r="218" spans="1:7" ht="13" x14ac:dyDescent="0.15">
      <c r="A218" s="21" t="str">
        <f>'Ann1 - Step 2'!A218</f>
        <v>https://github.com/RchGrav/claudebox/blob/main/CLAUDE.md</v>
      </c>
      <c r="B218" s="6" t="str">
        <f>'Ann1 - Step 2'!B218</f>
        <v>* Always return numeric status codes; **do not** rely on strings.</v>
      </c>
      <c r="C218" s="6" t="str">
        <f>'Ann1 - Step 2'!C218</f>
        <v>Coding Pattern</v>
      </c>
      <c r="D218" s="6" t="str">
        <f>'Ann2 - Step 2'!C218</f>
        <v>Coding Pattern</v>
      </c>
      <c r="E218" s="6" t="b">
        <f t="shared" si="0"/>
        <v>0</v>
      </c>
      <c r="F218" s="6"/>
      <c r="G218" s="6" t="str">
        <f t="shared" si="1"/>
        <v>Coding Pattern</v>
      </c>
    </row>
    <row r="219" spans="1:7" ht="14" x14ac:dyDescent="0.15">
      <c r="A219" s="21" t="str">
        <f>'Ann1 - Step 2'!A219</f>
        <v>https://github.com/useautumn/autumn/blob/main/AGENTS.md</v>
      </c>
      <c r="B219" s="8" t="str">
        <f>'Ann1 - Step 2'!B219</f>
        <v>Do not:</v>
      </c>
      <c r="C219" s="6" t="str">
        <f>'Ann1 - Step 2'!C219</f>
        <v>Task Execution</v>
      </c>
      <c r="D219" s="6" t="str">
        <f>'Ann2 - Step 2'!C219</f>
        <v>Other</v>
      </c>
      <c r="E219" s="6" t="b">
        <f t="shared" si="0"/>
        <v>1</v>
      </c>
      <c r="F219" s="6" t="s">
        <v>513</v>
      </c>
      <c r="G219" s="6" t="str">
        <f t="shared" si="1"/>
        <v>NOT_ENOUGH_CONTEXT</v>
      </c>
    </row>
    <row r="220" spans="1:7" ht="13" x14ac:dyDescent="0.15">
      <c r="A220" s="21" t="str">
        <f>'Ann1 - Step 2'!A220</f>
        <v>https://github.com/dotnet/docs-desktop/blob/main/.github/copilot-instructions.md</v>
      </c>
      <c r="B220" s="6" t="str">
        <f>'Ann1 - Step 2'!B220</f>
        <v>**DO NOT** encode `*` or \` (backtick) characters as `%2A` or `%60` respectively.</v>
      </c>
      <c r="C220" s="6" t="str">
        <f>'Ann1 - Step 2'!C220</f>
        <v>Coding Pattern</v>
      </c>
      <c r="D220" s="6" t="str">
        <f>'Ann2 - Step 2'!C220</f>
        <v>Coding Pattern</v>
      </c>
      <c r="E220" s="6" t="b">
        <f t="shared" si="0"/>
        <v>0</v>
      </c>
      <c r="F220" s="6"/>
      <c r="G220" s="6" t="str">
        <f t="shared" si="1"/>
        <v>Coding Pattern</v>
      </c>
    </row>
    <row r="221" spans="1:7" ht="13" x14ac:dyDescent="0.15">
      <c r="A221" s="21" t="str">
        <f>'Ann1 - Step 2'!A221</f>
        <v>https://github.com/cloudposse/atmos/blob/main/CLAUDE.md</v>
      </c>
      <c r="B221" s="6" t="str">
        <f>'Ann1 - Step 2'!B221</f>
        <v>**DO NOT use context for:** Passing configuration (use Options pattern), passing dependencies (use struct fields or DI), or avoiding proper function parameters.</v>
      </c>
      <c r="C221" s="6" t="str">
        <f>'Ann1 - Step 2'!C221</f>
        <v>Coding Pattern</v>
      </c>
      <c r="D221" s="6" t="str">
        <f>'Ann2 - Step 2'!C221</f>
        <v>Coding Pattern</v>
      </c>
      <c r="E221" s="6" t="b">
        <f t="shared" si="0"/>
        <v>0</v>
      </c>
      <c r="F221" s="6"/>
      <c r="G221" s="6" t="str">
        <f t="shared" si="1"/>
        <v>Coding Pattern</v>
      </c>
    </row>
    <row r="222" spans="1:7" ht="42" x14ac:dyDescent="0.15">
      <c r="A222" s="21" t="str">
        <f>'Ann1 - Step 2'!A222</f>
        <v>https://github.com/dailydotdev/apps/blob/main/CLAUDE.md</v>
      </c>
      <c r="B222" s="8" t="str">
        <f>'Ann1 - Step 2'!B222</f>
        <v>- **Do not hide accessible data using presentation heuristics** - In UI lists, avoid masking content based on flags like `source.public`; rely on backend access controls and render the data returned by the query.</v>
      </c>
      <c r="C222" s="6" t="str">
        <f>'Ann1 - Step 2'!C222</f>
        <v>Coding Pattern</v>
      </c>
      <c r="D222" s="6" t="str">
        <f>'Ann2 - Step 2'!C222</f>
        <v>Code Review</v>
      </c>
      <c r="E222" s="6" t="b">
        <f t="shared" si="0"/>
        <v>1</v>
      </c>
      <c r="F222" s="6" t="s">
        <v>342</v>
      </c>
      <c r="G222" s="6" t="str">
        <f t="shared" si="1"/>
        <v>Security</v>
      </c>
    </row>
    <row r="223" spans="1:7" ht="13" x14ac:dyDescent="0.15">
      <c r="A223" s="21" t="str">
        <f>'Ann1 - Step 2'!A223</f>
        <v>https://github.com/getsentry/sentry-cocoa/blob/main/CLAUDE.md</v>
      </c>
      <c r="B223" s="6" t="str">
        <f>'Ann1 - Step 2'!B223</f>
        <v>- **Avoid redundant `cd`** — do not prefix every command with `cd &lt;path&gt; &amp;&amp;`.</v>
      </c>
      <c r="C223" s="6" t="str">
        <f>'Ann1 - Step 2'!C223</f>
        <v>Task Execution</v>
      </c>
      <c r="D223" s="6" t="str">
        <f>'Ann2 - Step 2'!C223</f>
        <v>Task Execution</v>
      </c>
      <c r="E223" s="6" t="b">
        <f t="shared" si="0"/>
        <v>0</v>
      </c>
      <c r="F223" s="6"/>
      <c r="G223" s="6" t="str">
        <f t="shared" si="1"/>
        <v>Task Execution</v>
      </c>
    </row>
    <row r="224" spans="1:7" ht="13" x14ac:dyDescent="0.15">
      <c r="A224" s="21" t="str">
        <f>'Ann1 - Step 2'!A224</f>
        <v>https://github.com/public-ui/kolibri/blob/master/AGENTS.md</v>
      </c>
      <c r="B224" s="6" t="str">
        <f>'Ann1 - Step 2'!B224</f>
        <v>- Do not use `overflow: hidden` in styling or theming, as it often causes issues for reuse and should be avoided.</v>
      </c>
      <c r="C224" s="6" t="str">
        <f>'Ann1 - Step 2'!C224</f>
        <v>Coding Pattern</v>
      </c>
      <c r="D224" s="6" t="str">
        <f>'Ann2 - Step 2'!C224</f>
        <v>Coding Pattern</v>
      </c>
      <c r="E224" s="6" t="b">
        <f t="shared" si="0"/>
        <v>0</v>
      </c>
      <c r="F224" s="6"/>
      <c r="G224" s="6" t="str">
        <f t="shared" si="1"/>
        <v>Coding Pattern</v>
      </c>
    </row>
    <row r="225" spans="1:7" ht="13" x14ac:dyDescent="0.15">
      <c r="A225" s="21" t="str">
        <f>'Ann1 - Step 2'!A225</f>
        <v>https://github.com/microsoft/typespec/blob/main/.github/copilot-instructions.md</v>
      </c>
      <c r="B225" s="6" t="str">
        <f>'Ann1 - Step 2'!B225</f>
        <v>Avoid generic area prefixes like `core -` and do not add any area tag for single-area packages.</v>
      </c>
      <c r="C225" s="6" t="str">
        <f>'Ann1 - Step 2'!C225</f>
        <v>Commit&amp;PR rule</v>
      </c>
      <c r="D225" s="6" t="str">
        <f>'Ann2 - Step 2'!C225</f>
        <v>Commit&amp;PR rule</v>
      </c>
      <c r="E225" s="6" t="b">
        <f t="shared" si="0"/>
        <v>0</v>
      </c>
      <c r="F225" s="6"/>
      <c r="G225" s="6" t="str">
        <f t="shared" si="1"/>
        <v>Commit&amp;PR rule</v>
      </c>
    </row>
    <row r="226" spans="1:7" ht="13" x14ac:dyDescent="0.15">
      <c r="A226" s="21" t="str">
        <f>'Ann1 - Step 2'!A226</f>
        <v>https://github.com/SparkDevNetwork/Rock/blob/master/.github/copilot-instructions.md</v>
      </c>
      <c r="B226" s="6" t="str">
        <f>'Ann1 - Step 2'!B226</f>
        <v>There are a lot of things that need to be `public` (RockWeb needs it, another DLL needs it, or a plugin developer would need it), but if possible, DO NOT make it `public`, allowing us to avoid the worry of breaking changes.</v>
      </c>
      <c r="C226" s="6" t="str">
        <f>'Ann1 - Step 2'!C226</f>
        <v>Coding Pattern</v>
      </c>
      <c r="D226" s="6" t="str">
        <f>'Ann2 - Step 2'!C226</f>
        <v>Coding Pattern</v>
      </c>
      <c r="E226" s="6" t="b">
        <f t="shared" si="0"/>
        <v>0</v>
      </c>
      <c r="F226" s="6"/>
      <c r="G226" s="6" t="str">
        <f t="shared" si="1"/>
        <v>Coding Pattern</v>
      </c>
    </row>
    <row r="227" spans="1:7" ht="13" x14ac:dyDescent="0.15">
      <c r="A227" s="21" t="str">
        <f>'Ann1 - Step 2'!A227</f>
        <v>https://github.com/RchGrav/claudebox/blob/main/CLAUDE.md</v>
      </c>
      <c r="B227" s="6" t="str">
        <f>'Ann1 - Step 2'!B227</f>
        <v>- **DO NOT try to delete containers on start** - They don't exist (--rm removed them)</v>
      </c>
      <c r="C227" s="6" t="str">
        <f>'Ann1 - Step 2'!C227</f>
        <v>Build &amp; Operation</v>
      </c>
      <c r="D227" s="6" t="str">
        <f>'Ann2 - Step 2'!C227</f>
        <v>Build &amp; Operation</v>
      </c>
      <c r="E227" s="6" t="b">
        <f t="shared" si="0"/>
        <v>0</v>
      </c>
      <c r="F227" s="6"/>
      <c r="G227" s="6" t="str">
        <f t="shared" si="1"/>
        <v>Build &amp; Operation</v>
      </c>
    </row>
    <row r="228" spans="1:7" ht="42" x14ac:dyDescent="0.15">
      <c r="A228" s="21" t="str">
        <f>'Ann1 - Step 2'!A228</f>
        <v>https://github.com/Azure/autorest.typescript/blob/main/.github/copilot-instructions.md</v>
      </c>
      <c r="B228" s="8" t="str">
        <f>'Ann1 - Step 2'!B228</f>
        <v>- Do not write a summery if all 4 integration testings or smoke testing are still in progress and don't write final progress update if integration testing are still in progress and please monitor the job to be done not just running successfully</v>
      </c>
      <c r="C228" s="6" t="str">
        <f>'Ann1 - Step 2'!C228</f>
        <v>Task Execution</v>
      </c>
      <c r="D228" s="6" t="str">
        <f>'Ann2 - Step 2'!C228</f>
        <v>Testing</v>
      </c>
      <c r="E228" s="6" t="b">
        <f t="shared" si="0"/>
        <v>1</v>
      </c>
      <c r="F228" s="6" t="s">
        <v>18</v>
      </c>
      <c r="G228" s="6" t="str">
        <f t="shared" si="1"/>
        <v>Task Execution</v>
      </c>
    </row>
    <row r="229" spans="1:7" ht="42" x14ac:dyDescent="0.15">
      <c r="A229" s="21" t="str">
        <f>'Ann1 - Step 2'!A229</f>
        <v>https://github.com/anyproto/anytype-ts/blob/main/CLAUDE.md</v>
      </c>
      <c r="B229" s="8" t="str">
        <f>'Ann1 - Step 2'!B229</f>
        <v>- **Do not change any style or design properties (colors, spacing, sizes, etc.) unless explicitly asked.** Design decisions are intentional — never "fix" or "improve" visual values on your own</v>
      </c>
      <c r="C229" s="6" t="str">
        <f>'Ann1 - Step 2'!C229</f>
        <v>Code Review</v>
      </c>
      <c r="D229" s="6" t="str">
        <f>'Ann2 - Step 2'!C229</f>
        <v>Task Execution</v>
      </c>
      <c r="E229" s="6" t="b">
        <f t="shared" si="0"/>
        <v>1</v>
      </c>
      <c r="F229" s="6" t="s">
        <v>18</v>
      </c>
      <c r="G229" s="6" t="str">
        <f t="shared" si="1"/>
        <v>Task Execution</v>
      </c>
    </row>
    <row r="230" spans="1:7" ht="13" x14ac:dyDescent="0.15">
      <c r="A230" s="21" t="str">
        <f>'Ann1 - Step 2'!A230</f>
        <v>https://github.com/stepfunc/dnp3/blob/main/CLAUDE.md</v>
      </c>
      <c r="B230" s="6" t="str">
        <f>'Ann1 - Step 2'!B230</f>
        <v>- **Never take credit**: Do not add "Generated with Claude Code" or "Co-Authored-By: Claude" to commit messages</v>
      </c>
      <c r="C230" s="6" t="str">
        <f>'Ann1 - Step 2'!C230</f>
        <v>Commit&amp;PR rule</v>
      </c>
      <c r="D230" s="6" t="str">
        <f>'Ann2 - Step 2'!C230</f>
        <v>Commit&amp;PR rule</v>
      </c>
      <c r="E230" s="6" t="b">
        <f t="shared" si="0"/>
        <v>0</v>
      </c>
      <c r="F230" s="6"/>
      <c r="G230" s="6" t="str">
        <f t="shared" si="1"/>
        <v>Commit&amp;PR rule</v>
      </c>
    </row>
    <row r="231" spans="1:7" ht="13" x14ac:dyDescent="0.15">
      <c r="A231" s="21" t="str">
        <f>'Ann1 - Step 2'!A231</f>
        <v>https://github.com/logancyang/obsidian-copilot/blob/master/AGENTS.md</v>
      </c>
      <c r="B231" s="6" t="str">
        <f>'Ann1 - Step 2'!B231</f>
        <v>- **NEVER MODIFY AI PROMPT CONTENT**: Do not update, edit, or change any AI prompts, system prompts, or model adapter prompts unless explicitly asked to do so by the user</v>
      </c>
      <c r="C231" s="6" t="str">
        <f>'Ann1 - Step 2'!C231</f>
        <v>Task Execution</v>
      </c>
      <c r="D231" s="6" t="str">
        <f>'Ann2 - Step 2'!C231</f>
        <v>Task Execution</v>
      </c>
      <c r="E231" s="6" t="b">
        <f t="shared" si="0"/>
        <v>0</v>
      </c>
      <c r="F231" s="6"/>
      <c r="G231" s="6" t="str">
        <f t="shared" si="1"/>
        <v>Task Execution</v>
      </c>
    </row>
    <row r="232" spans="1:7" ht="42" x14ac:dyDescent="0.15">
      <c r="A232" s="21" t="str">
        <f>'Ann1 - Step 2'!A232</f>
        <v>https://github.com/luccahuguet/yazelix/blob/main/AGENTS.md</v>
      </c>
      <c r="B232" s="8" t="str">
        <f>'Ann1 - Step 2'!B232</f>
        <v>**Never automatically move, delete, or take ownership of user-managed config files outside Yazelix-owned paths** - In particular, do not automatically relocate files like `~/.config/zellij/config.kdl` into Yazelix-managed paths.</v>
      </c>
      <c r="C232" s="6" t="str">
        <f>'Ann1 - Step 2'!C232</f>
        <v>Build &amp; Operation</v>
      </c>
      <c r="D232" s="6" t="str">
        <f>'Ann2 - Step 2'!C232</f>
        <v>Task Execution</v>
      </c>
      <c r="E232" s="6" t="b">
        <f t="shared" si="0"/>
        <v>1</v>
      </c>
      <c r="F232" s="6" t="s">
        <v>18</v>
      </c>
      <c r="G232" s="6" t="str">
        <f t="shared" si="1"/>
        <v>Task Execution</v>
      </c>
    </row>
    <row r="233" spans="1:7" ht="13" x14ac:dyDescent="0.15">
      <c r="A233" s="21" t="str">
        <f>'Ann1 - Step 2'!A233</f>
        <v>https://github.com/pytorch/pytorch/blob/main/AGENTS.md</v>
      </c>
      <c r="B233" s="6" t="str">
        <f>'Ann1 - Step 2'!B233</f>
        <v>- **Never push directly.** Do not `git push` to branches, and never directly</v>
      </c>
      <c r="C233" s="6" t="str">
        <f>'Ann1 - Step 2'!C233</f>
        <v>Commit&amp;PR rule</v>
      </c>
      <c r="D233" s="6" t="str">
        <f>'Ann2 - Step 2'!C233</f>
        <v>Commit&amp;PR rule</v>
      </c>
      <c r="E233" s="6" t="b">
        <f t="shared" si="0"/>
        <v>0</v>
      </c>
      <c r="F233" s="6"/>
      <c r="G233" s="6" t="str">
        <f t="shared" si="1"/>
        <v>Commit&amp;PR rule</v>
      </c>
    </row>
    <row r="234" spans="1:7" ht="13" x14ac:dyDescent="0.15">
      <c r="A234" s="21" t="str">
        <f>'Ann1 - Step 2'!A234</f>
        <v>https://github.com/microsoft/TypeScript/blob/main/.github/copilot-instructions.md</v>
      </c>
      <c r="B234" s="6" t="str">
        <f>'Ann1 - Step 2'!B234</f>
        <v>- Do not write direct unit tests as they are almost never the correct test format for our repo</v>
      </c>
      <c r="C234" s="6" t="str">
        <f>'Ann1 - Step 2'!C234</f>
        <v>Testing</v>
      </c>
      <c r="D234" s="6" t="str">
        <f>'Ann2 - Step 2'!C234</f>
        <v>Testing</v>
      </c>
      <c r="E234" s="6" t="b">
        <f t="shared" si="0"/>
        <v>0</v>
      </c>
      <c r="F234" s="6"/>
      <c r="G234" s="6" t="str">
        <f t="shared" si="1"/>
        <v>Testing</v>
      </c>
    </row>
    <row r="235" spans="1:7" ht="13" x14ac:dyDescent="0.15">
      <c r="A235" s="21" t="str">
        <f>'Ann1 - Step 2'!A235</f>
        <v>https://github.com/abh/ntppool/blob/main/CLAUDE.md</v>
      </c>
      <c r="B235" s="6" t="str">
        <f>'Ann1 - Step 2'!B235</f>
        <v>- DO NOT push to the remote repository unless the user explicitly asks you to do so</v>
      </c>
      <c r="C235" s="6" t="str">
        <f>'Ann1 - Step 2'!C235</f>
        <v>Commit&amp;PR rule</v>
      </c>
      <c r="D235" s="6" t="str">
        <f>'Ann2 - Step 2'!C235</f>
        <v>Commit&amp;PR rule</v>
      </c>
      <c r="E235" s="6" t="b">
        <f t="shared" si="0"/>
        <v>0</v>
      </c>
      <c r="F235" s="6"/>
      <c r="G235" s="6" t="str">
        <f t="shared" si="1"/>
        <v>Commit&amp;PR rule</v>
      </c>
    </row>
    <row r="236" spans="1:7" ht="13" x14ac:dyDescent="0.15">
      <c r="A236" s="21" t="str">
        <f>'Ann1 - Step 2'!A236</f>
        <v>https://github.com/ajanraj/OpenChat/blob/main/CLAUDE.md</v>
      </c>
      <c r="B236" s="6" t="str">
        <f>'Ann1 - Step 2'!B236</f>
        <v>- If you are not sure about file content or codebase structure pertaining to the user's request, use search subagent where appropriate to gather the relevant information: do NOT guess or make up an answer.</v>
      </c>
      <c r="C236" s="6" t="str">
        <f>'Ann1 - Step 2'!C236</f>
        <v>Task Execution</v>
      </c>
      <c r="D236" s="6" t="str">
        <f>'Ann2 - Step 2'!C236</f>
        <v>Task Execution</v>
      </c>
      <c r="E236" s="6" t="b">
        <f t="shared" si="0"/>
        <v>0</v>
      </c>
      <c r="F236" s="6"/>
      <c r="G236" s="6" t="str">
        <f t="shared" si="1"/>
        <v>Task Execution</v>
      </c>
    </row>
    <row r="237" spans="1:7" ht="13" x14ac:dyDescent="0.15">
      <c r="A237" s="21" t="str">
        <f>'Ann1 - Step 2'!A237</f>
        <v>https://github.com/ajanraj/OpenChat/blob/main/CLAUDE.md</v>
      </c>
      <c r="B237" s="6" t="str">
        <f>'Ann1 - Step 2'!B237</f>
        <v>- Do not assume anything.</v>
      </c>
      <c r="C237" s="6" t="str">
        <f>'Ann1 - Step 2'!C237</f>
        <v>Task Execution</v>
      </c>
      <c r="D237" s="6" t="str">
        <f>'Ann2 - Step 2'!C237</f>
        <v>Task Execution</v>
      </c>
      <c r="E237" s="6" t="b">
        <f t="shared" si="0"/>
        <v>0</v>
      </c>
      <c r="F237" s="6"/>
      <c r="G237" s="6" t="str">
        <f t="shared" si="1"/>
        <v>Task Execution</v>
      </c>
    </row>
    <row r="238" spans="1:7" ht="13" x14ac:dyDescent="0.15">
      <c r="A238" s="21" t="str">
        <f>'Ann1 - Step 2'!A238</f>
        <v>https://github.com/ajanraj/OpenChat/blob/main/CLAUDE.md</v>
      </c>
      <c r="B238" s="6" t="str">
        <f>'Ann1 - Step 2'!B238</f>
        <v>Do not use default exports for components or functions.</v>
      </c>
      <c r="C238" s="6" t="str">
        <f>'Ann1 - Step 2'!C238</f>
        <v>Coding Pattern</v>
      </c>
      <c r="D238" s="6" t="str">
        <f>'Ann2 - Step 2'!C238</f>
        <v>Coding Pattern</v>
      </c>
      <c r="E238" s="6" t="b">
        <f t="shared" si="0"/>
        <v>0</v>
      </c>
      <c r="F238" s="6"/>
      <c r="G238" s="6" t="str">
        <f t="shared" si="1"/>
        <v>Coding Pattern</v>
      </c>
    </row>
    <row r="239" spans="1:7" ht="13" x14ac:dyDescent="0.15">
      <c r="A239" s="21" t="str">
        <f>'Ann1 - Step 2'!A239</f>
        <v>https://github.com/ajanraj/OpenChat/blob/main/CLAUDE.md</v>
      </c>
      <c r="B239" s="6" t="str">
        <f>'Ann1 - Step 2'!B239</f>
        <v>Do not modify library code directly.</v>
      </c>
      <c r="C239" s="6" t="str">
        <f>'Ann1 - Step 2'!C239</f>
        <v>Task Execution</v>
      </c>
      <c r="D239" s="6" t="str">
        <f>'Ann2 - Step 2'!C239</f>
        <v>Task Execution</v>
      </c>
      <c r="E239" s="6" t="b">
        <f t="shared" si="0"/>
        <v>0</v>
      </c>
      <c r="F239" s="6"/>
      <c r="G239" s="6" t="str">
        <f t="shared" si="1"/>
        <v>Task Execution</v>
      </c>
    </row>
    <row r="240" spans="1:7" ht="14" x14ac:dyDescent="0.15">
      <c r="A240" s="21" t="str">
        <f>'Ann1 - Step 2'!A240</f>
        <v>https://github.com/ajanraj/OpenChat/blob/main/CLAUDE.md</v>
      </c>
      <c r="B240" s="8" t="str">
        <f>'Ann1 - Step 2'!B240</f>
        <v>Do not use other linters or formatters (like ESLint or Prettier).</v>
      </c>
      <c r="C240" s="6" t="str">
        <f>'Ann1 - Step 2'!C240</f>
        <v>Build &amp; Operation</v>
      </c>
      <c r="D240" s="6" t="str">
        <f>'Ann2 - Step 2'!C240</f>
        <v>Task Execution</v>
      </c>
      <c r="E240" s="6" t="b">
        <f t="shared" si="0"/>
        <v>1</v>
      </c>
      <c r="F240" s="6" t="s">
        <v>136</v>
      </c>
      <c r="G240" s="6" t="str">
        <f t="shared" si="1"/>
        <v>Build &amp; Operation</v>
      </c>
    </row>
    <row r="241" spans="1:7" ht="14" x14ac:dyDescent="0.15">
      <c r="A241" s="21" t="str">
        <f>'Ann1 - Step 2'!A241</f>
        <v>https://github.com/angular-eslint/angular-eslint/blob/main/CLAUDE.md</v>
      </c>
      <c r="B241" s="23" t="str">
        <f>'Ann1 - Step 2'!B241</f>
        <v>NOTE: THESE ARE AUTO-GENERATED, DO NOT EDIT THEM MANUALLY.</v>
      </c>
      <c r="C241" s="6" t="str">
        <f>'Ann1 - Step 2'!C241</f>
        <v>Documentation</v>
      </c>
      <c r="D241" s="6" t="str">
        <f>'Ann2 - Step 2'!C241</f>
        <v>Task Execution</v>
      </c>
      <c r="E241" s="6" t="b">
        <f t="shared" si="0"/>
        <v>1</v>
      </c>
      <c r="F241" s="6" t="s">
        <v>18</v>
      </c>
      <c r="G241" s="6" t="str">
        <f t="shared" si="1"/>
        <v>Task Execution</v>
      </c>
    </row>
    <row r="242" spans="1:7" ht="14" x14ac:dyDescent="0.15">
      <c r="A242" s="21" t="str">
        <f>'Ann1 - Step 2'!A242</f>
        <v>https://github.com/anyproto/anytype-ts/blob/main/CLAUDE.md</v>
      </c>
      <c r="B242" s="8" t="str">
        <f>'Ann1 - Step 2'!B242</f>
        <v>Do not guess or approximate visual values</v>
      </c>
      <c r="C242" s="6" t="str">
        <f>'Ann1 - Step 2'!C242</f>
        <v>Code Review</v>
      </c>
      <c r="D242" s="6" t="str">
        <f>'Ann2 - Step 2'!C242</f>
        <v>Task Execution</v>
      </c>
      <c r="E242" s="6" t="b">
        <f t="shared" si="0"/>
        <v>1</v>
      </c>
      <c r="F242" s="6" t="s">
        <v>18</v>
      </c>
      <c r="G242" s="6" t="str">
        <f t="shared" si="1"/>
        <v>Task Execution</v>
      </c>
    </row>
    <row r="243" spans="1:7" ht="14" x14ac:dyDescent="0.15">
      <c r="A243" s="21" t="str">
        <f>'Ann1 - Step 2'!A243</f>
        <v>https://github.com/anyproto/anytype-ts/blob/main/CLAUDE.md</v>
      </c>
      <c r="B243" s="23" t="str">
        <f>'Ann1 - Step 2'!B243</f>
        <v>Files in `dist/lib/json/lang/` are generated — do not edit them directly</v>
      </c>
      <c r="C243" s="6" t="str">
        <f>'Ann1 - Step 2'!C243</f>
        <v>Documentation</v>
      </c>
      <c r="D243" s="6" t="str">
        <f>'Ann2 - Step 2'!C243</f>
        <v>Task Execution</v>
      </c>
      <c r="E243" s="6" t="b">
        <f t="shared" si="0"/>
        <v>1</v>
      </c>
      <c r="F243" s="6" t="s">
        <v>18</v>
      </c>
      <c r="G243" s="6" t="str">
        <f t="shared" si="1"/>
        <v>Task Execution</v>
      </c>
    </row>
    <row r="244" spans="1:7" ht="28" x14ac:dyDescent="0.15">
      <c r="A244" s="21" t="str">
        <f>'Ann1 - Step 2'!A244</f>
        <v>https://github.com/anyproto/anytype-ts/blob/main/CLAUDE.md</v>
      </c>
      <c r="B244" s="8" t="str">
        <f>'Ann1 - Step 2'!B244</f>
        <v>- All icons and images must be stored locally in `src/img/` - do NOT use remote Figma asset URLs</v>
      </c>
      <c r="C244" s="6" t="str">
        <f>'Ann1 - Step 2'!C244</f>
        <v>Coding Pattern</v>
      </c>
      <c r="D244" s="6" t="str">
        <f>'Ann2 - Step 2'!C244</f>
        <v>Task Execution</v>
      </c>
      <c r="E244" s="6" t="b">
        <f t="shared" si="0"/>
        <v>1</v>
      </c>
      <c r="F244" s="6" t="s">
        <v>30</v>
      </c>
      <c r="G244" s="6" t="str">
        <f t="shared" si="1"/>
        <v>Coding Pattern</v>
      </c>
    </row>
    <row r="245" spans="1:7" ht="14" x14ac:dyDescent="0.15">
      <c r="A245" s="21" t="str">
        <f>'Ann1 - Step 2'!A245</f>
        <v>https://github.com/Azure/LogicAppsUX/blob/main/CLAUDE.md</v>
      </c>
      <c r="B245" s="8" t="str">
        <f>'Ann1 - Step 2'!B245</f>
        <v>DO NOT EDIT directly.</v>
      </c>
      <c r="C245" s="6" t="str">
        <f>'Ann1 - Step 2'!C245</f>
        <v>Documentation</v>
      </c>
      <c r="D245" s="6" t="str">
        <f>'Ann2 - Step 2'!C245</f>
        <v>Task Execution</v>
      </c>
      <c r="E245" s="6" t="b">
        <f t="shared" si="0"/>
        <v>1</v>
      </c>
      <c r="F245" s="6" t="s">
        <v>513</v>
      </c>
      <c r="G245" s="6" t="str">
        <f t="shared" si="1"/>
        <v>NOT_ENOUGH_CONTEXT</v>
      </c>
    </row>
    <row r="246" spans="1:7" ht="14" x14ac:dyDescent="0.15">
      <c r="A246" s="21" t="str">
        <f>'Ann1 - Step 2'!A246</f>
        <v>https://github.com/Azure/LogicAppsUX/blob/main/CLAUDE.md</v>
      </c>
      <c r="B246" s="8" t="str">
        <f>'Ann1 - Step 2'!B246</f>
        <v>Do NOT use the `--unsafe` flag — fix unsafe lint errors manually.</v>
      </c>
      <c r="C246" s="6" t="str">
        <f>'Ann1 - Step 2'!C246</f>
        <v>Coding Pattern</v>
      </c>
      <c r="D246" s="6" t="str">
        <f>'Ann2 - Step 2'!C246</f>
        <v>Task Execution</v>
      </c>
      <c r="E246" s="6" t="b">
        <f t="shared" si="0"/>
        <v>1</v>
      </c>
      <c r="F246" s="6" t="s">
        <v>18</v>
      </c>
      <c r="G246" s="6" t="str">
        <f t="shared" si="1"/>
        <v>Task Execution</v>
      </c>
    </row>
    <row r="247" spans="1:7" ht="13" x14ac:dyDescent="0.15">
      <c r="A247" s="21" t="str">
        <f>'Ann1 - Step 2'!A247</f>
        <v>https://github.com/BerriAI/litellm/blob/main/CLAUDE.md</v>
      </c>
      <c r="B247" s="6" t="str">
        <f>'Ann1 - Step 2'!B247</f>
        <v>Do not create or edit documentation files in this repository — open doc PRs against `BerriAI/litellm-docs` instead.</v>
      </c>
      <c r="C247" s="6" t="str">
        <f>'Ann1 - Step 2'!C247</f>
        <v>Documentation</v>
      </c>
      <c r="D247" s="6" t="str">
        <f>'Ann2 - Step 2'!C247</f>
        <v>Documentation</v>
      </c>
      <c r="E247" s="6" t="b">
        <f t="shared" si="0"/>
        <v>0</v>
      </c>
      <c r="F247" s="6"/>
      <c r="G247" s="6" t="str">
        <f t="shared" si="1"/>
        <v>Documentation</v>
      </c>
    </row>
    <row r="248" spans="1:7" ht="13" x14ac:dyDescent="0.15">
      <c r="A248" s="21" t="str">
        <f>'Ann1 - Step 2'!A248</f>
        <v>https://github.com/BerriAI/litellm/blob/main/CLAUDE.md</v>
      </c>
      <c r="B248" s="6" t="str">
        <f>'Ann1 - Step 2'!B248</f>
        <v>Do not introduce new `Badge`, `Text`, `Card`, `Grid`, `Title`, or other imports from `@tremor/react` in any new or modified file.</v>
      </c>
      <c r="C248" s="6" t="str">
        <f>'Ann1 - Step 2'!C248</f>
        <v>Coding Pattern</v>
      </c>
      <c r="D248" s="6" t="str">
        <f>'Ann2 - Step 2'!C248</f>
        <v>Coding Pattern</v>
      </c>
      <c r="E248" s="6" t="b">
        <f t="shared" si="0"/>
        <v>0</v>
      </c>
      <c r="F248" s="6"/>
      <c r="G248" s="6" t="str">
        <f t="shared" si="1"/>
        <v>Coding Pattern</v>
      </c>
    </row>
    <row r="249" spans="1:7" ht="13" x14ac:dyDescent="0.15">
      <c r="A249" s="21" t="str">
        <f>'Ann1 - Step 2'!A249</f>
        <v>https://github.com/BerriAI/litellm/blob/main/CLAUDE.md</v>
      </c>
      <c r="B249" s="6" t="str">
        <f>'Ann1 - Step 2'!B249</f>
        <v>- **Do not write raw SQL** for proxy DB operations.</v>
      </c>
      <c r="C249" s="6" t="str">
        <f>'Ann1 - Step 2'!C249</f>
        <v>Coding Pattern</v>
      </c>
      <c r="D249" s="6" t="str">
        <f>'Ann2 - Step 2'!C249</f>
        <v>Coding Pattern</v>
      </c>
      <c r="E249" s="6" t="b">
        <f t="shared" si="0"/>
        <v>0</v>
      </c>
      <c r="F249" s="6"/>
      <c r="G249" s="6" t="str">
        <f t="shared" si="1"/>
        <v>Coding Pattern</v>
      </c>
    </row>
    <row r="250" spans="1:7" ht="28" x14ac:dyDescent="0.15">
      <c r="A250" s="21" t="str">
        <f>'Ann1 - Step 2'!A250</f>
        <v>https://github.com/BerriAI/litellm/blob/main/CLAUDE.md</v>
      </c>
      <c r="B250" s="8" t="str">
        <f>'Ann1 - Step 2'!B250</f>
        <v>- Do not hardcode provider env-key names or model lists that already exist in the codebase.</v>
      </c>
      <c r="C250" s="6" t="str">
        <f>'Ann1 - Step 2'!C250</f>
        <v>Coding Pattern</v>
      </c>
      <c r="D250" s="6" t="str">
        <f>'Ann2 - Step 2'!C250</f>
        <v>Task Execution</v>
      </c>
      <c r="E250" s="6" t="b">
        <f t="shared" si="0"/>
        <v>1</v>
      </c>
      <c r="F250" s="6" t="s">
        <v>30</v>
      </c>
      <c r="G250" s="6" t="str">
        <f t="shared" si="1"/>
        <v>Coding Pattern</v>
      </c>
    </row>
    <row r="251" spans="1:7" ht="14" x14ac:dyDescent="0.15">
      <c r="A251" s="21" t="str">
        <f>'Ann1 - Step 2'!A251</f>
        <v>https://github.com/CapSoftware/Cap/blob/main/CLAUDE.md</v>
      </c>
      <c r="B251" s="8" t="str">
        <f>'Ann1 - Step 2'!B251</f>
        <v>Do not emit the left column; emit the right column.</v>
      </c>
      <c r="C251" s="6" t="str">
        <f>'Ann1 - Step 2'!C251</f>
        <v>Writing Style Preference</v>
      </c>
      <c r="D251" s="6" t="str">
        <f>'Ann2 - Step 2'!C251</f>
        <v>Coding Pattern</v>
      </c>
      <c r="E251" s="6" t="b">
        <f t="shared" si="0"/>
        <v>1</v>
      </c>
      <c r="F251" s="6" t="s">
        <v>18</v>
      </c>
      <c r="G251" s="6" t="str">
        <f t="shared" si="1"/>
        <v>Task Execution</v>
      </c>
    </row>
    <row r="252" spans="1:7" ht="14" x14ac:dyDescent="0.15">
      <c r="A252" s="21" t="str">
        <f>'Ann1 - Step 2'!A252</f>
        <v>https://github.com/CapSoftware/Cap/blob/main/CLAUDE.md</v>
      </c>
      <c r="B252" s="23" t="str">
        <f>'Ann1 - Step 2'!B252</f>
        <v>- `**/tauri.ts` — Auto-generated IPC bindings (DO NOT EDIT)</v>
      </c>
      <c r="C252" s="6" t="str">
        <f>'Ann1 - Step 2'!C252</f>
        <v>Documentation</v>
      </c>
      <c r="D252" s="6" t="str">
        <f>'Ann2 - Step 2'!C252</f>
        <v>Task Execution</v>
      </c>
      <c r="E252" s="6" t="b">
        <f t="shared" si="0"/>
        <v>1</v>
      </c>
      <c r="F252" s="6" t="s">
        <v>18</v>
      </c>
      <c r="G252" s="6" t="str">
        <f t="shared" si="1"/>
        <v>Task Execution</v>
      </c>
    </row>
    <row r="253" spans="1:7" ht="14" x14ac:dyDescent="0.15">
      <c r="A253" s="21" t="str">
        <f>'Ann1 - Step 2'!A253</f>
        <v>https://github.com/CapSoftware/Cap/blob/main/CLAUDE.md</v>
      </c>
      <c r="B253" s="23" t="str">
        <f>'Ann1 - Step 2'!B253</f>
        <v>- `**/queries.ts` — Auto-generated query bindings (DO NOT EDIT)</v>
      </c>
      <c r="C253" s="6" t="str">
        <f>'Ann1 - Step 2'!C253</f>
        <v>Documentation</v>
      </c>
      <c r="D253" s="6" t="str">
        <f>'Ann2 - Step 2'!C253</f>
        <v>Task Execution</v>
      </c>
      <c r="E253" s="6" t="b">
        <f t="shared" si="0"/>
        <v>1</v>
      </c>
      <c r="F253" s="6" t="s">
        <v>18</v>
      </c>
      <c r="G253" s="6" t="str">
        <f t="shared" si="1"/>
        <v>Task Execution</v>
      </c>
    </row>
    <row r="254" spans="1:7" ht="13" x14ac:dyDescent="0.15">
      <c r="A254" s="21" t="str">
        <f>'Ann1 - Step 2'!A254</f>
        <v>https://github.com/CapSoftware/Cap/blob/main/CLAUDE.md</v>
      </c>
      <c r="B254" s="6" t="str">
        <f>'Ann1 - Step 2'!B254</f>
        <v>- Do not start additional development servers or localhost services unless explicitly asked.</v>
      </c>
      <c r="C254" s="6" t="str">
        <f>'Ann1 - Step 2'!C254</f>
        <v>Build &amp; Operation</v>
      </c>
      <c r="D254" s="6" t="str">
        <f>'Ann2 - Step 2'!C254</f>
        <v>Build &amp; Operation</v>
      </c>
      <c r="E254" s="6" t="b">
        <f t="shared" si="0"/>
        <v>0</v>
      </c>
      <c r="F254" s="6"/>
      <c r="G254" s="6" t="str">
        <f t="shared" si="1"/>
        <v>Build &amp; Operation</v>
      </c>
    </row>
    <row r="255" spans="1:7" ht="13" x14ac:dyDescent="0.15">
      <c r="A255" s="21" t="str">
        <f>'Ann1 - Step 2'!A255</f>
        <v>https://github.com/CapSoftware/Cap/blob/main/CLAUDE.md</v>
      </c>
      <c r="B255" s="6" t="str">
        <f>'Ann1 - Step 2'!B255</f>
        <v>- **Icons**: Auto-imported in desktop app; do not import manually</v>
      </c>
      <c r="C255" s="6" t="str">
        <f>'Ann1 - Step 2'!C255</f>
        <v>Coding Pattern</v>
      </c>
      <c r="D255" s="6" t="str">
        <f>'Ann2 - Step 2'!C255</f>
        <v>Coding Pattern</v>
      </c>
      <c r="E255" s="6" t="b">
        <f t="shared" si="0"/>
        <v>0</v>
      </c>
      <c r="F255" s="6"/>
      <c r="G255" s="6" t="str">
        <f t="shared" si="1"/>
        <v>Coding Pattern</v>
      </c>
    </row>
    <row r="256" spans="1:7" ht="28" x14ac:dyDescent="0.15">
      <c r="A256" s="21" t="str">
        <f>'Ann1 - Step 2'!A256</f>
        <v>https://github.com/CapSoftware/Cap/blob/main/CLAUDE.md</v>
      </c>
      <c r="B256" s="8" t="str">
        <f>'Ann1 - Step 2'!B256</f>
        <v>**Desktop IPC**: Use `tauri_specta` for strongly typed commands/events; do not modify generated bindings.</v>
      </c>
      <c r="C256" s="6" t="str">
        <f>'Ann1 - Step 2'!C256</f>
        <v>Documentation</v>
      </c>
      <c r="D256" s="6" t="str">
        <f>'Ann2 - Step 2'!C256</f>
        <v>Coding Pattern</v>
      </c>
      <c r="E256" s="6" t="b">
        <f t="shared" si="0"/>
        <v>1</v>
      </c>
      <c r="F256" s="6" t="s">
        <v>30</v>
      </c>
      <c r="G256" s="6" t="str">
        <f t="shared" si="1"/>
        <v>Coding Pattern</v>
      </c>
    </row>
    <row r="257" spans="1:7" ht="14" x14ac:dyDescent="0.15">
      <c r="A257" s="21" t="str">
        <f>'Ann1 - Step 2'!A257</f>
        <v>https://github.com/clidey/dory/blob/main/CLAUDE.md</v>
      </c>
      <c r="B257" s="24" t="str">
        <f>'Ann1 - Step 2'!B257</f>
        <v>Do not overengineer.</v>
      </c>
      <c r="C257" s="6" t="str">
        <f>'Ann1 - Step 2'!C257</f>
        <v>Maintainability</v>
      </c>
      <c r="D257" s="6" t="str">
        <f>'Ann2 - Step 2'!C257</f>
        <v>Coding Pattern</v>
      </c>
      <c r="E257" s="6" t="b">
        <f t="shared" ref="E257:E501" si="2">IF(C257=D257, FALSE, TRUE)</f>
        <v>1</v>
      </c>
      <c r="F257" s="6" t="s">
        <v>18</v>
      </c>
      <c r="G257" s="6" t="str">
        <f t="shared" ref="G257:G501" si="3">IF(E257=TRUE,F257,D257)</f>
        <v>Task Execution</v>
      </c>
    </row>
    <row r="258" spans="1:7" ht="14" x14ac:dyDescent="0.15">
      <c r="A258" s="21" t="str">
        <f>'Ann1 - Step 2'!A258</f>
        <v>https://github.com/clidey/dory/blob/main/CLAUDE.md</v>
      </c>
      <c r="B258" s="8" t="str">
        <f>'Ann1 - Step 2'!B258</f>
        <v>Do not remove or modify existing functionality unless justified.</v>
      </c>
      <c r="C258" s="6" t="str">
        <f>'Ann1 - Step 2'!C258</f>
        <v>Maintainability</v>
      </c>
      <c r="D258" s="6" t="str">
        <f>'Ann2 - Step 2'!C258</f>
        <v>Coding Pattern</v>
      </c>
      <c r="E258" s="6" t="b">
        <f t="shared" si="2"/>
        <v>1</v>
      </c>
      <c r="F258" s="6" t="s">
        <v>30</v>
      </c>
      <c r="G258" s="6" t="str">
        <f t="shared" si="3"/>
        <v>Coding Pattern</v>
      </c>
    </row>
    <row r="259" spans="1:7" ht="14" x14ac:dyDescent="0.15">
      <c r="A259" s="21" t="str">
        <f>'Ann1 - Step 2'!A259</f>
        <v>https://github.com/clidey/dory/blob/main/CLAUDE.md</v>
      </c>
      <c r="B259" s="8" t="str">
        <f>'Ann1 - Step 2'!B259</f>
        <v>Do not change existing variable names unless absolutely necessary.</v>
      </c>
      <c r="C259" s="6" t="str">
        <f>'Ann1 - Step 2'!C259</f>
        <v>Coding Style</v>
      </c>
      <c r="D259" s="6" t="str">
        <f>'Ann2 - Step 2'!C259</f>
        <v>Coding Style</v>
      </c>
      <c r="E259" s="6" t="b">
        <f t="shared" si="2"/>
        <v>0</v>
      </c>
      <c r="F259" s="6"/>
      <c r="G259" s="6" t="str">
        <f t="shared" si="3"/>
        <v>Coding Style</v>
      </c>
    </row>
    <row r="260" spans="1:7" ht="14" x14ac:dyDescent="0.15">
      <c r="A260" s="21" t="str">
        <f>'Ann1 - Step 2'!A260</f>
        <v>https://github.com/clidey/dory/blob/main/CLAUDE.md</v>
      </c>
      <c r="B260" s="8" t="str">
        <f>'Ann1 - Step 2'!B260</f>
        <v>Do not leave unused code lying around.</v>
      </c>
      <c r="C260" s="6" t="str">
        <f>'Ann1 - Step 2'!C260</f>
        <v>Maintainability</v>
      </c>
      <c r="D260" s="6" t="str">
        <f>'Ann2 - Step 2'!C260</f>
        <v>Coding Pattern</v>
      </c>
      <c r="E260" s="6" t="b">
        <f t="shared" si="2"/>
        <v>1</v>
      </c>
      <c r="F260" s="6" t="s">
        <v>30</v>
      </c>
      <c r="G260" s="6" t="str">
        <f t="shared" si="3"/>
        <v>Coding Pattern</v>
      </c>
    </row>
    <row r="261" spans="1:7" ht="28" x14ac:dyDescent="0.15">
      <c r="A261" s="21" t="str">
        <f>'Ann1 - Step 2'!A261</f>
        <v>https://github.com/cloudposse/atmos/blob/main/CLAUDE.md</v>
      </c>
      <c r="B261" s="8" t="str">
        <f>'Ann1 - Step 2'!B261</f>
        <v>- **Use relative paths or paths under the current working directory** - Do not hardcode `/Users/*/atmos/` paths</v>
      </c>
      <c r="C261" s="6" t="str">
        <f>'Ann1 - Step 2'!C261</f>
        <v>Coding Pattern</v>
      </c>
      <c r="D261" s="6" t="str">
        <f>'Ann2 - Step 2'!C261</f>
        <v>Task Execution</v>
      </c>
      <c r="E261" s="6" t="b">
        <f t="shared" si="2"/>
        <v>1</v>
      </c>
      <c r="F261" s="6" t="s">
        <v>30</v>
      </c>
      <c r="G261" s="6" t="str">
        <f t="shared" si="3"/>
        <v>Coding Pattern</v>
      </c>
    </row>
    <row r="262" spans="1:7" ht="14" x14ac:dyDescent="0.15">
      <c r="A262" s="21" t="str">
        <f>'Ann1 - Step 2'!A262</f>
        <v>https://github.com/cloudposse/atmos/blob/main/CLAUDE.md</v>
      </c>
      <c r="B262" s="8" t="str">
        <f>'Ann1 - Step 2'!B262</f>
        <v>**Exceptions (do NOT add perf.Track):**</v>
      </c>
      <c r="C262" s="6" t="str">
        <f>'Ann1 - Step 2'!C262</f>
        <v>Coding Pattern</v>
      </c>
      <c r="D262" s="6" t="str">
        <f>'Ann2 - Step 2'!C262</f>
        <v>Performance</v>
      </c>
      <c r="E262" s="6" t="b">
        <f t="shared" si="2"/>
        <v>1</v>
      </c>
      <c r="F262" s="6" t="s">
        <v>513</v>
      </c>
      <c r="G262" s="6" t="str">
        <f t="shared" si="3"/>
        <v>NOT_ENOUGH_CONTEXT</v>
      </c>
    </row>
    <row r="263" spans="1:7" ht="14" x14ac:dyDescent="0.15">
      <c r="A263" s="21" t="str">
        <f>'Ann1 - Step 2'!A263</f>
        <v>https://github.com/cockroachdb/cockroach/blob/master/CLAUDE.md</v>
      </c>
      <c r="B263" s="8" t="str">
        <f>'Ann1 - Step 2'!B263</f>
        <v>automatically generate their dependencies, but do not lift them into the</v>
      </c>
      <c r="C263" s="6" t="str">
        <f>'Ann1 - Step 2'!C263</f>
        <v>Coding Pattern</v>
      </c>
      <c r="D263" s="6" t="str">
        <f>'Ann2 - Step 2'!C263</f>
        <v>Build &amp; Operation</v>
      </c>
      <c r="E263" s="6" t="b">
        <f t="shared" si="2"/>
        <v>1</v>
      </c>
      <c r="F263" s="6" t="s">
        <v>136</v>
      </c>
      <c r="G263" s="6" t="str">
        <f t="shared" si="3"/>
        <v>Build &amp; Operation</v>
      </c>
    </row>
    <row r="264" spans="1:7" ht="14" x14ac:dyDescent="0.15">
      <c r="A264" s="21" t="str">
        <f>'Ann1 - Step 2'!A264</f>
        <v>https://github.com/cockroachdb/cockroach/blob/master/CLAUDE.md</v>
      </c>
      <c r="B264" s="8" t="str">
        <f>'Ann1 - Step 2'!B264</f>
        <v>Do not over-emphasize on grammar and comment typos, prefix with</v>
      </c>
      <c r="C264" s="6" t="str">
        <f>'Ann1 - Step 2'!C264</f>
        <v>Code Review</v>
      </c>
      <c r="D264" s="6" t="str">
        <f>'Ann2 - Step 2'!C264</f>
        <v>Writing Style Preference</v>
      </c>
      <c r="E264" s="6" t="b">
        <f t="shared" si="2"/>
        <v>1</v>
      </c>
      <c r="F264" s="6" t="s">
        <v>67</v>
      </c>
      <c r="G264" s="6" t="str">
        <f t="shared" si="3"/>
        <v>Code Review</v>
      </c>
    </row>
    <row r="265" spans="1:7" ht="14" x14ac:dyDescent="0.15">
      <c r="A265" s="21" t="str">
        <f>'Ann1 - Step 2'!A265</f>
        <v>https://github.com/cockroachdb/cockroach/blob/master/CLAUDE.md</v>
      </c>
      <c r="B265" s="8" t="str">
        <f>'Ann1 - Step 2'!B265</f>
        <v>- Do not include a test plan unless explicitly asked by the user.</v>
      </c>
      <c r="C265" s="6" t="str">
        <f>'Ann1 - Step 2'!C265</f>
        <v>Commit&amp;PR rule</v>
      </c>
      <c r="D265" s="6" t="str">
        <f>'Ann2 - Step 2'!C265</f>
        <v>Testing</v>
      </c>
      <c r="E265" s="6" t="b">
        <f t="shared" si="2"/>
        <v>1</v>
      </c>
      <c r="F265" s="6" t="s">
        <v>18</v>
      </c>
      <c r="G265" s="6" t="str">
        <f t="shared" si="3"/>
        <v>Task Execution</v>
      </c>
    </row>
    <row r="266" spans="1:7" ht="13" x14ac:dyDescent="0.15">
      <c r="A266" s="21" t="str">
        <f>'Ann1 - Step 2'!A266</f>
        <v>https://github.com/coder/coder/blob/main/CLAUDE.md</v>
      </c>
      <c r="B266" s="6" t="str">
        <f>'Ann1 - Step 2'!B266</f>
        <v>Do not agree with me unless you can justify it with evidence or reasoning.</v>
      </c>
      <c r="C266" s="6" t="str">
        <f>'Ann1 - Step 2'!C266</f>
        <v>Task Execution</v>
      </c>
      <c r="D266" s="6" t="str">
        <f>'Ann2 - Step 2'!C266</f>
        <v>Task Execution</v>
      </c>
      <c r="E266" s="6" t="b">
        <f t="shared" si="2"/>
        <v>0</v>
      </c>
      <c r="F266" s="6"/>
      <c r="G266" s="6" t="str">
        <f t="shared" si="3"/>
        <v>Task Execution</v>
      </c>
    </row>
    <row r="267" spans="1:7" ht="14" x14ac:dyDescent="0.15">
      <c r="A267" s="21" t="str">
        <f>'Ann1 - Step 2'!A267</f>
        <v>https://github.com/coder/coder/blob/main/CLAUDE.md</v>
      </c>
      <c r="B267" s="8" t="str">
        <f>'Ann1 - Step 2'!B267</f>
        <v>the same change as the handler so the docs do not get missed before</v>
      </c>
      <c r="C267" s="6" t="str">
        <f>'Ann1 - Step 2'!C267</f>
        <v>Documentation</v>
      </c>
      <c r="D267" s="6" t="str">
        <f>'Ann2 - Step 2'!C267</f>
        <v>Documentation</v>
      </c>
      <c r="E267" s="6" t="b">
        <f t="shared" si="2"/>
        <v>0</v>
      </c>
      <c r="F267" s="6"/>
      <c r="G267" s="6" t="str">
        <f t="shared" si="3"/>
        <v>Documentation</v>
      </c>
    </row>
    <row r="268" spans="1:7" ht="13" x14ac:dyDescent="0.15">
      <c r="A268" s="21" t="str">
        <f>'Ann1 - Step 2'!A268</f>
        <v>https://github.com/coder/coder/blob/main/CLAUDE.md</v>
      </c>
      <c r="B268" s="6" t="str">
        <f>'Ann1 - Step 2'!B268</f>
        <v>- Inside `db.InTx(...)` closures, do not use the outer store (`api.Database`,</v>
      </c>
      <c r="C268" s="6" t="str">
        <f>'Ann1 - Step 2'!C268</f>
        <v>Coding Pattern</v>
      </c>
      <c r="D268" s="6" t="str">
        <f>'Ann2 - Step 2'!C268</f>
        <v>Coding Pattern</v>
      </c>
      <c r="E268" s="6" t="b">
        <f t="shared" si="2"/>
        <v>0</v>
      </c>
      <c r="F268" s="6"/>
      <c r="G268" s="6" t="str">
        <f t="shared" si="3"/>
        <v>Coding Pattern</v>
      </c>
    </row>
    <row r="269" spans="1:7" ht="14" x14ac:dyDescent="0.15">
      <c r="A269" s="21" t="str">
        <f>'Ann1 - Step 2'!A269</f>
        <v>https://github.com/coder/coder/blob/main/CLAUDE.md</v>
      </c>
      <c r="B269" s="8" t="str">
        <f>'Ann1 - Step 2'!B269</f>
        <v>Do not interrupt, retry, or reduce the timeout.</v>
      </c>
      <c r="C269" s="6" t="str">
        <f>'Ann1 - Step 2'!C269</f>
        <v>Task Execution</v>
      </c>
      <c r="D269" s="6" t="str">
        <f>'Ann2 - Step 2'!C269</f>
        <v>Task Execution</v>
      </c>
      <c r="E269" s="6" t="b">
        <f t="shared" si="2"/>
        <v>0</v>
      </c>
      <c r="F269" s="6"/>
      <c r="G269" s="6" t="str">
        <f t="shared" si="3"/>
        <v>Task Execution</v>
      </c>
    </row>
    <row r="270" spans="1:7" ht="14" x14ac:dyDescent="0.15">
      <c r="A270" s="21" t="str">
        <f>'Ann1 - Step 2'!A270</f>
        <v>https://github.com/coder/coder/blob/main/CLAUDE.md</v>
      </c>
      <c r="B270" s="8" t="str">
        <f>'Ann1 - Step 2'!B270</f>
        <v>Do not work around the</v>
      </c>
      <c r="C270" s="6" t="str">
        <f>'Ann1 - Step 2'!C270</f>
        <v>Task Execution</v>
      </c>
      <c r="D270" s="6" t="str">
        <f>'Ann2 - Step 2'!C270</f>
        <v>Other</v>
      </c>
      <c r="E270" s="6" t="b">
        <f t="shared" si="2"/>
        <v>1</v>
      </c>
      <c r="F270" s="6" t="s">
        <v>513</v>
      </c>
      <c r="G270" s="6" t="str">
        <f t="shared" si="3"/>
        <v>NOT_ENOUGH_CONTEXT</v>
      </c>
    </row>
    <row r="271" spans="1:7" ht="14" x14ac:dyDescent="0.15">
      <c r="A271" s="21" t="str">
        <f>'Ann1 - Step 2'!A271</f>
        <v>https://github.com/coder/coder/blob/main/CLAUDE.md</v>
      </c>
      <c r="B271" s="8" t="str">
        <f>'Ann1 - Step 2'!B271</f>
        <v>Do not create standalone</v>
      </c>
      <c r="C271" s="6" t="str">
        <f>'Ann1 - Step 2'!C271</f>
        <v>Task Execution</v>
      </c>
      <c r="D271" s="6" t="str">
        <f>'Ann2 - Step 2'!C271</f>
        <v>Testing</v>
      </c>
      <c r="E271" s="6" t="b">
        <f t="shared" si="2"/>
        <v>1</v>
      </c>
      <c r="F271" s="6" t="s">
        <v>88</v>
      </c>
      <c r="G271" s="6" t="str">
        <f t="shared" si="3"/>
        <v>Testing</v>
      </c>
    </row>
    <row r="272" spans="1:7" ht="14" x14ac:dyDescent="0.15">
      <c r="A272" s="21" t="str">
        <f>'Ann1 - Step 2'!A272</f>
        <v>https://github.com/coder/coder/blob/main/CLAUDE.md</v>
      </c>
      <c r="B272" s="8" t="str">
        <f>'Ann1 - Step 2'!B272</f>
        <v>Do not use emdash (U+2014), endash (U+2013), or ` -- ` as punctuation</v>
      </c>
      <c r="C272" s="6" t="str">
        <f>'Ann1 - Step 2'!C272</f>
        <v>Writing Style Preference</v>
      </c>
      <c r="D272" s="6" t="str">
        <f>'Ann2 - Step 2'!C272</f>
        <v>Writing Style Preference</v>
      </c>
      <c r="E272" s="6" t="b">
        <f t="shared" si="2"/>
        <v>0</v>
      </c>
      <c r="F272" s="6"/>
      <c r="G272" s="6" t="str">
        <f t="shared" si="3"/>
        <v>Writing Style Preference</v>
      </c>
    </row>
    <row r="273" spans="1:7" ht="14" x14ac:dyDescent="0.15">
      <c r="A273" s="21" t="str">
        <f>'Ann1 - Step 2'!A273</f>
        <v>https://github.com/coder/coder/blob/main/CLAUDE.md</v>
      </c>
      <c r="B273" s="8" t="str">
        <f>'Ann1 - Step 2'!B273</f>
        <v>Do not replace an emdash with ` -- `.</v>
      </c>
      <c r="C273" s="6" t="str">
        <f>'Ann1 - Step 2'!C273</f>
        <v>Writing Style Preference</v>
      </c>
      <c r="D273" s="6" t="str">
        <f>'Ann2 - Step 2'!C273</f>
        <v>Writing Style Preference</v>
      </c>
      <c r="E273" s="6" t="b">
        <f t="shared" si="2"/>
        <v>0</v>
      </c>
      <c r="F273" s="6"/>
      <c r="G273" s="6" t="str">
        <f t="shared" si="3"/>
        <v>Writing Style Preference</v>
      </c>
    </row>
    <row r="274" spans="1:7" ht="14" x14ac:dyDescent="0.15">
      <c r="A274" s="21" t="str">
        <f>'Ann1 - Step 2'!A274</f>
        <v>https://github.com/colinhacks/zod/blob/main/CLAUDE.md</v>
      </c>
      <c r="B274" s="8" t="str">
        <f>'Ann1 - Step 2'!B274</f>
        <v>- When creating a PR, do not include a separate test plan section in the body.</v>
      </c>
      <c r="C274" s="6" t="str">
        <f>'Ann1 - Step 2'!C274</f>
        <v>Commit&amp;PR rule</v>
      </c>
      <c r="D274" s="6" t="str">
        <f>'Ann2 - Step 2'!C274</f>
        <v>Commit&amp;PR rule</v>
      </c>
      <c r="E274" s="6" t="b">
        <f t="shared" si="2"/>
        <v>0</v>
      </c>
      <c r="F274" s="6"/>
      <c r="G274" s="6" t="str">
        <f t="shared" si="3"/>
        <v>Commit&amp;PR rule</v>
      </c>
    </row>
    <row r="275" spans="1:7" ht="14" x14ac:dyDescent="0.15">
      <c r="A275" s="21" t="str">
        <f>'Ann1 - Step 2'!A275</f>
        <v>https://github.com/colinhacks/zod/blob/main/CLAUDE.md</v>
      </c>
      <c r="B275" s="8" t="str">
        <f>'Ann1 - Step 2'!B275</f>
        <v>Do not "improve" their phrasing to match this style guide — their direct instruction wins.</v>
      </c>
      <c r="C275" s="6" t="str">
        <f>'Ann1 - Step 2'!C275</f>
        <v>Writing Style Preference</v>
      </c>
      <c r="D275" s="6" t="str">
        <f>'Ann2 - Step 2'!C275</f>
        <v>Writing Style Preference</v>
      </c>
      <c r="E275" s="6" t="b">
        <f t="shared" si="2"/>
        <v>0</v>
      </c>
      <c r="F275" s="6"/>
      <c r="G275" s="6" t="str">
        <f t="shared" si="3"/>
        <v>Writing Style Preference</v>
      </c>
    </row>
    <row r="276" spans="1:7" ht="28" x14ac:dyDescent="0.15">
      <c r="A276" s="21" t="str">
        <f>'Ann1 - Step 2'!A276</f>
        <v>https://github.com/colinhacks/zod/blob/main/CLAUDE.md</v>
      </c>
      <c r="B276" s="8" t="str">
        <f>'Ann1 - Step 2'!B276</f>
        <v>- When posting comments with code samples via `gh`, do NOT pass the body inline through a heredoc that requires escaping backticks.</v>
      </c>
      <c r="C276" s="6" t="str">
        <f>'Ann1 - Step 2'!C276</f>
        <v>Task Execution</v>
      </c>
      <c r="D276" s="6" t="str">
        <f>'Ann2 - Step 2'!C276</f>
        <v>Documentation</v>
      </c>
      <c r="E276" s="6" t="b">
        <f t="shared" si="2"/>
        <v>1</v>
      </c>
      <c r="F276" s="6" t="s">
        <v>67</v>
      </c>
      <c r="G276" s="6" t="str">
        <f t="shared" si="3"/>
        <v>Code Review</v>
      </c>
    </row>
    <row r="277" spans="1:7" ht="14" x14ac:dyDescent="0.15">
      <c r="A277" s="21" t="str">
        <f>'Ann1 - Step 2'!A277</f>
        <v>https://github.com/Comfy-Org/comfy-claude-prompt-library/blob/master/CLAUDE.md</v>
      </c>
      <c r="B277" s="8" t="str">
        <f>'Ann1 - Step 2'!B277</f>
        <v>- DO NOT use stdin redirection (&lt; file.txt) - always use -p flag for the prompt</v>
      </c>
      <c r="C277" s="6" t="str">
        <f>'Ann1 - Step 2'!C277</f>
        <v>Task Execution</v>
      </c>
      <c r="D277" s="6" t="str">
        <f>'Ann2 - Step 2'!C277</f>
        <v>Coding Pattern</v>
      </c>
      <c r="E277" s="6" t="b">
        <f t="shared" si="2"/>
        <v>1</v>
      </c>
      <c r="F277" s="6" t="s">
        <v>30</v>
      </c>
      <c r="G277" s="6" t="str">
        <f t="shared" si="3"/>
        <v>Coding Pattern</v>
      </c>
    </row>
    <row r="278" spans="1:7" ht="14" x14ac:dyDescent="0.15">
      <c r="A278" s="21" t="str">
        <f>'Ann1 - Step 2'!A278</f>
        <v>https://github.com/Comfy-Org/comfy-claude-prompt-library/blob/master/CLAUDE.md</v>
      </c>
      <c r="B278" s="8" t="str">
        <f>'Ann1 - Step 2'!B278</f>
        <v>- This is FIRE-AND-FORGET: Start gemini and do not monitor or check on it</v>
      </c>
      <c r="C278" s="6" t="str">
        <f>'Ann1 - Step 2'!C278</f>
        <v>Task Execution</v>
      </c>
      <c r="D278" s="6" t="str">
        <f>'Ann2 - Step 2'!C278</f>
        <v>Task Execution</v>
      </c>
      <c r="E278" s="6" t="b">
        <f t="shared" si="2"/>
        <v>0</v>
      </c>
      <c r="F278" s="6"/>
      <c r="G278" s="6" t="str">
        <f t="shared" si="3"/>
        <v>Task Execution</v>
      </c>
    </row>
    <row r="279" spans="1:7" ht="13" x14ac:dyDescent="0.15">
      <c r="A279" s="21" t="str">
        <f>'Ann1 - Step 2'!A279</f>
        <v>https://github.com/compiler-explorer/infra/blob/main/CLAUDE.md</v>
      </c>
      <c r="B279" s="6" t="str">
        <f>'Ann1 - Step 2'!B279</f>
        <v>- Do not use `git push --force` or `git commit --amend` unless explicitly asked</v>
      </c>
      <c r="C279" s="6" t="str">
        <f>'Ann1 - Step 2'!C279</f>
        <v>Commit&amp;PR rule</v>
      </c>
      <c r="D279" s="6" t="str">
        <f>'Ann2 - Step 2'!C279</f>
        <v>Commit&amp;PR rule</v>
      </c>
      <c r="E279" s="6" t="b">
        <f t="shared" si="2"/>
        <v>0</v>
      </c>
      <c r="F279" s="6"/>
      <c r="G279" s="6" t="str">
        <f t="shared" si="3"/>
        <v>Commit&amp;PR rule</v>
      </c>
    </row>
    <row r="280" spans="1:7" ht="28" x14ac:dyDescent="0.15">
      <c r="A280" s="21" t="str">
        <f>'Ann1 - Step 2'!A280</f>
        <v>https://github.com/dailydotdev/apps/blob/main/CLAUDE.md</v>
      </c>
      <c r="B280" s="8" t="str">
        <f>'Ann1 - Step 2'!B280</f>
        <v>- Do not render owner-visible empty drag containers or empty categories unless the product requirement explicitly asks for visible empty drop targets</v>
      </c>
      <c r="C280" s="6" t="str">
        <f>'Ann1 - Step 2'!C280</f>
        <v>Coding Pattern</v>
      </c>
      <c r="D280" s="6" t="str">
        <f>'Ann2 - Step 2'!C280</f>
        <v>Coding Style</v>
      </c>
      <c r="E280" s="6" t="b">
        <f t="shared" si="2"/>
        <v>1</v>
      </c>
      <c r="F280" s="6" t="s">
        <v>30</v>
      </c>
      <c r="G280" s="6" t="str">
        <f t="shared" si="3"/>
        <v>Coding Pattern</v>
      </c>
    </row>
    <row r="281" spans="1:7" ht="13" x14ac:dyDescent="0.15">
      <c r="A281" s="21" t="str">
        <f>'Ann1 - Step 2'!A281</f>
        <v>https://github.com/dailydotdev/apps/blob/main/CLAUDE.md</v>
      </c>
      <c r="B281" s="6" t="str">
        <f>'Ann1 - Step 2'!B281</f>
        <v>**IMPORTANT**: Do NOT run `build` commands while the dev server is running - it will break hot reload.</v>
      </c>
      <c r="C281" s="6" t="str">
        <f>'Ann1 - Step 2'!C281</f>
        <v>Build &amp; Operation</v>
      </c>
      <c r="D281" s="6" t="str">
        <f>'Ann2 - Step 2'!C281</f>
        <v>Build &amp; Operation</v>
      </c>
      <c r="E281" s="6" t="b">
        <f t="shared" si="2"/>
        <v>0</v>
      </c>
      <c r="F281" s="6"/>
      <c r="G281" s="6" t="str">
        <f t="shared" si="3"/>
        <v>Build &amp; Operation</v>
      </c>
    </row>
    <row r="282" spans="1:7" ht="13" x14ac:dyDescent="0.15">
      <c r="A282" s="21" t="str">
        <f>'Ann1 - Step 2'!A282</f>
        <v>https://github.com/dailydotdev/apps/blob/main/CLAUDE.md</v>
      </c>
      <c r="B282" s="6" t="str">
        <f>'Ann1 - Step 2'!B282</f>
        <v>Do not add context-specific props to shared primitives when the behavior can be scoped in the parent list/container.</v>
      </c>
      <c r="C282" s="6" t="str">
        <f>'Ann1 - Step 2'!C282</f>
        <v>Coding Pattern</v>
      </c>
      <c r="D282" s="6" t="str">
        <f>'Ann2 - Step 2'!C282</f>
        <v>Coding Pattern</v>
      </c>
      <c r="E282" s="6" t="b">
        <f t="shared" si="2"/>
        <v>0</v>
      </c>
      <c r="F282" s="6"/>
      <c r="G282" s="6" t="str">
        <f t="shared" si="3"/>
        <v>Coding Pattern</v>
      </c>
    </row>
    <row r="283" spans="1:7" ht="14" x14ac:dyDescent="0.15">
      <c r="A283" s="21" t="str">
        <f>'Ann1 - Step 2'!A283</f>
        <v>https://github.com/dailydotdev/apps/blob/main/CLAUDE.md</v>
      </c>
      <c r="B283" s="23" t="str">
        <f>'Ann1 - Step 2'!B283</f>
        <v>Do not rely on `truncate` on the whole row.</v>
      </c>
      <c r="C283" s="6" t="str">
        <f>'Ann1 - Step 2'!C283</f>
        <v>Coding Pattern</v>
      </c>
      <c r="D283" s="6" t="str">
        <f>'Ann2 - Step 2'!C283</f>
        <v>Build &amp; Operation</v>
      </c>
      <c r="E283" s="6" t="b">
        <f t="shared" si="2"/>
        <v>1</v>
      </c>
      <c r="F283" s="6" t="s">
        <v>30</v>
      </c>
      <c r="G283" s="6" t="str">
        <f t="shared" si="3"/>
        <v>Coding Pattern</v>
      </c>
    </row>
    <row r="284" spans="1:7" ht="13" x14ac:dyDescent="0.15">
      <c r="A284" s="21" t="str">
        <f>'Ann1 - Step 2'!A284</f>
        <v>https://github.com/dailydotdev/apps/blob/main/CLAUDE.md</v>
      </c>
      <c r="B284" s="6" t="str">
        <f>'Ann1 - Step 2'!B284</f>
        <v>- For dismissible banners/cards, default to the shared `CloseButton` icon pattern used elsewhere; do not introduce a separate full-width `Dismiss` button unless the request explicitly calls for text dismiss UI.</v>
      </c>
      <c r="C284" s="6" t="str">
        <f>'Ann1 - Step 2'!C284</f>
        <v>Coding Pattern</v>
      </c>
      <c r="D284" s="6" t="str">
        <f>'Ann2 - Step 2'!C284</f>
        <v>Coding Pattern</v>
      </c>
      <c r="E284" s="6" t="b">
        <f t="shared" si="2"/>
        <v>0</v>
      </c>
      <c r="F284" s="6"/>
      <c r="G284" s="6" t="str">
        <f t="shared" si="3"/>
        <v>Coding Pattern</v>
      </c>
    </row>
    <row r="285" spans="1:7" ht="13" x14ac:dyDescent="0.15">
      <c r="A285" s="21" t="str">
        <f>'Ann1 - Step 2'!A285</f>
        <v>https://github.com/dailydotdev/apps/blob/main/CLAUDE.md</v>
      </c>
      <c r="B285" s="6" t="str">
        <f>'Ann1 - Step 2'!B285</f>
        <v>Do not treat a native `title` fallback as a substitute for the requested tooltip behavior unless the user explicitly asks for that fallback.</v>
      </c>
      <c r="C285" s="6" t="str">
        <f>'Ann1 - Step 2'!C285</f>
        <v>Coding Pattern</v>
      </c>
      <c r="D285" s="6" t="str">
        <f>'Ann2 - Step 2'!C285</f>
        <v>Coding Pattern</v>
      </c>
      <c r="E285" s="6" t="b">
        <f t="shared" si="2"/>
        <v>0</v>
      </c>
      <c r="F285" s="6"/>
      <c r="G285" s="6" t="str">
        <f t="shared" si="3"/>
        <v>Coding Pattern</v>
      </c>
    </row>
    <row r="286" spans="1:7" ht="13" x14ac:dyDescent="0.15">
      <c r="A286" s="21" t="str">
        <f>'Ann1 - Step 2'!A286</f>
        <v>https://github.com/dailydotdev/apps/blob/main/CLAUDE.md</v>
      </c>
      <c r="B286" s="6" t="str">
        <f>'Ann1 - Step 2'!B286</f>
        <v>When removing a feature flag, do not assume the gated UI should become always-on.</v>
      </c>
      <c r="C286" s="6" t="str">
        <f>'Ann1 - Step 2'!C286</f>
        <v>Coding Pattern</v>
      </c>
      <c r="D286" s="6" t="str">
        <f>'Ann2 - Step 2'!C286</f>
        <v>Coding Pattern</v>
      </c>
      <c r="E286" s="6" t="b">
        <f t="shared" si="2"/>
        <v>0</v>
      </c>
      <c r="F286" s="6"/>
      <c r="G286" s="6" t="str">
        <f t="shared" si="3"/>
        <v>Coding Pattern</v>
      </c>
    </row>
    <row r="287" spans="1:7" ht="13" x14ac:dyDescent="0.15">
      <c r="A287" s="21" t="str">
        <f>'Ann1 - Step 2'!A287</f>
        <v>https://github.com/dailydotdev/apps/blob/main/CLAUDE.md</v>
      </c>
      <c r="B287" s="6" t="str">
        <f>'Ann1 - Step 2'!B287</f>
        <v>Do not define the same function locally in each file that needs it.</v>
      </c>
      <c r="C287" s="6" t="str">
        <f>'Ann1 - Step 2'!C287</f>
        <v>Maintainability</v>
      </c>
      <c r="D287" s="6" t="str">
        <f>'Ann2 - Step 2'!C287</f>
        <v>Maintainability</v>
      </c>
      <c r="E287" s="6" t="b">
        <f t="shared" si="2"/>
        <v>0</v>
      </c>
      <c r="F287" s="6"/>
      <c r="G287" s="6" t="str">
        <f t="shared" si="3"/>
        <v>Maintainability</v>
      </c>
    </row>
    <row r="288" spans="1:7" ht="28" x14ac:dyDescent="0.15">
      <c r="A288" s="21" t="str">
        <f>'Ann1 - Step 2'!A288</f>
        <v>https://github.com/dailydotdev/apps/blob/main/CLAUDE.md</v>
      </c>
      <c r="B288" s="8" t="str">
        <f>'Ann1 - Step 2'!B288</f>
        <v>Do not attach it to sticky nav with absolute positioning unless the requirement explicitly asks for overlay behavior.</v>
      </c>
      <c r="C288" s="6" t="str">
        <f>'Ann1 - Step 2'!C288</f>
        <v>Coding Pattern</v>
      </c>
      <c r="D288" s="6" t="str">
        <f>'Ann2 - Step 2'!C288</f>
        <v>Documentation</v>
      </c>
      <c r="E288" s="6" t="b">
        <f t="shared" si="2"/>
        <v>1</v>
      </c>
      <c r="F288" s="6" t="s">
        <v>30</v>
      </c>
      <c r="G288" s="6" t="str">
        <f t="shared" si="3"/>
        <v>Coding Pattern</v>
      </c>
    </row>
    <row r="289" spans="1:7" ht="13" x14ac:dyDescent="0.15">
      <c r="A289" s="21" t="str">
        <f>'Ann1 - Step 2'!A289</f>
        <v>https://github.com/dailydotdev/apps/blob/main/CLAUDE.md</v>
      </c>
      <c r="B289" s="6" t="str">
        <f>'Ann1 - Step 2'!B289</f>
        <v>Do NOT render them as page children — they will appear below all posts.</v>
      </c>
      <c r="C289" s="6" t="str">
        <f>'Ann1 - Step 2'!C289</f>
        <v>Coding Pattern</v>
      </c>
      <c r="D289" s="6" t="str">
        <f>'Ann2 - Step 2'!C289</f>
        <v>Coding Pattern</v>
      </c>
      <c r="E289" s="6" t="b">
        <f t="shared" si="2"/>
        <v>0</v>
      </c>
      <c r="F289" s="6"/>
      <c r="G289" s="6" t="str">
        <f t="shared" si="3"/>
        <v>Coding Pattern</v>
      </c>
    </row>
    <row r="290" spans="1:7" ht="14" x14ac:dyDescent="0.15">
      <c r="A290" s="21" t="str">
        <f>'Ann1 - Step 2'!A290</f>
        <v>https://github.com/dailydotdev/apps/blob/main/CLAUDE.md</v>
      </c>
      <c r="B290" s="8" t="str">
        <f>'Ann1 - Step 2'!B290</f>
        <v>Do not auto-fetch pages in a loop to find the selected item.</v>
      </c>
      <c r="C290" s="6" t="str">
        <f>'Ann1 - Step 2'!C290</f>
        <v>Performance</v>
      </c>
      <c r="D290" s="6" t="str">
        <f>'Ann2 - Step 2'!C290</f>
        <v>Coding Pattern</v>
      </c>
      <c r="E290" s="6" t="b">
        <f t="shared" si="2"/>
        <v>1</v>
      </c>
      <c r="F290" s="6" t="s">
        <v>30</v>
      </c>
      <c r="G290" s="6" t="str">
        <f t="shared" si="3"/>
        <v>Coding Pattern</v>
      </c>
    </row>
    <row r="291" spans="1:7" ht="13" x14ac:dyDescent="0.15">
      <c r="A291" s="21" t="str">
        <f>'Ann1 - Step 2'!A291</f>
        <v>https://github.com/dropseed/plain/blob/main/CLAUDE.md</v>
      </c>
      <c r="B291" s="6" t="str">
        <f>'Ann1 - Step 2'!B291</f>
        <v>Generated by `plain agent install` — do not edit directly.</v>
      </c>
      <c r="C291" s="6" t="str">
        <f>'Ann1 - Step 2'!C291</f>
        <v>Documentation</v>
      </c>
      <c r="D291" s="6" t="str">
        <f>'Ann2 - Step 2'!C291</f>
        <v>Documentation</v>
      </c>
      <c r="E291" s="6" t="b">
        <f t="shared" si="2"/>
        <v>0</v>
      </c>
      <c r="F291" s="6"/>
      <c r="G291" s="6" t="str">
        <f t="shared" si="3"/>
        <v>Documentation</v>
      </c>
    </row>
    <row r="292" spans="1:7" ht="14" x14ac:dyDescent="0.15">
      <c r="A292" s="21" t="str">
        <f>'Ann1 - Step 2'!A292</f>
        <v>https://github.com/geneontology/go-ontology/blob/master/CLAUDE.md</v>
      </c>
      <c r="B292" s="8" t="str">
        <f>'Ann1 - Step 2'!B292</f>
        <v>- IMPORTANT: Do not edit the edit file directly, it's large</v>
      </c>
      <c r="C292" s="6" t="str">
        <f>'Ann1 - Step 2'!C292</f>
        <v>Maintainability</v>
      </c>
      <c r="D292" s="6" t="str">
        <f>'Ann2 - Step 2'!C292</f>
        <v>Task Execution</v>
      </c>
      <c r="E292" s="6" t="b">
        <f t="shared" si="2"/>
        <v>1</v>
      </c>
      <c r="F292" s="6" t="s">
        <v>18</v>
      </c>
      <c r="G292" s="6" t="str">
        <f t="shared" si="3"/>
        <v>Task Execution</v>
      </c>
    </row>
    <row r="293" spans="1:7" ht="28" x14ac:dyDescent="0.15">
      <c r="A293" s="21" t="str">
        <f>'Ann1 - Step 2'!A293</f>
        <v>https://github.com/getsentry/sentry-cocoa/blob/main/CLAUDE.md</v>
      </c>
      <c r="B293" s="23" t="str">
        <f>'Ann1 - Step 2'!B293</f>
        <v>Do not edit these JSON files manually — run `npx @sentry/dotagents install` after cloning.</v>
      </c>
      <c r="C293" s="6" t="str">
        <f>'Ann1 - Step 2'!C293</f>
        <v>Documentation</v>
      </c>
      <c r="D293" s="6" t="str">
        <f>'Ann2 - Step 2'!C293</f>
        <v>Build &amp; Operation</v>
      </c>
      <c r="E293" s="6" t="b">
        <f t="shared" si="2"/>
        <v>1</v>
      </c>
      <c r="F293" s="6" t="s">
        <v>136</v>
      </c>
      <c r="G293" s="6" t="str">
        <f t="shared" si="3"/>
        <v>Build &amp; Operation</v>
      </c>
    </row>
    <row r="294" spans="1:7" ht="28" x14ac:dyDescent="0.15">
      <c r="A294" s="21" t="str">
        <f>'Ann1 - Step 2'!A294</f>
        <v>https://github.com/getsentry/sentry-cocoa/blob/main/CLAUDE.md</v>
      </c>
      <c r="B294" s="23" t="str">
        <f>'Ann1 - Step 2'!B294</f>
        <v>- **JSON processing** — always use `jq`; do not shell out to `node` or `python` for JSON parsing</v>
      </c>
      <c r="C294" s="6" t="str">
        <f>'Ann1 - Step 2'!C294</f>
        <v>Build &amp; Operation</v>
      </c>
      <c r="D294" s="6" t="str">
        <f>'Ann2 - Step 2'!C294</f>
        <v>Coding Pattern</v>
      </c>
      <c r="E294" s="6" t="b">
        <f t="shared" si="2"/>
        <v>1</v>
      </c>
      <c r="F294" s="6" t="s">
        <v>136</v>
      </c>
      <c r="G294" s="6" t="str">
        <f t="shared" si="3"/>
        <v>Build &amp; Operation</v>
      </c>
    </row>
    <row r="295" spans="1:7" ht="14" x14ac:dyDescent="0.15">
      <c r="A295" s="21" t="str">
        <f>'Ann1 - Step 2'!A295</f>
        <v>https://github.com/getsentry/sentry-javascript/blob/master/CLAUDE.md</v>
      </c>
      <c r="B295" s="8" t="str">
        <f>'Ann1 - Step 2'!B295</f>
        <v>- Do not create, modify, or suggest `.eslintrc`, `eslint.config.*`, or `.prettierrc` files</v>
      </c>
      <c r="C295" s="6" t="str">
        <f>'Ann1 - Step 2'!C295</f>
        <v>Build &amp; Operation</v>
      </c>
      <c r="D295" s="6" t="str">
        <f>'Ann2 - Step 2'!C295</f>
        <v>Documentation</v>
      </c>
      <c r="E295" s="6" t="b">
        <f t="shared" si="2"/>
        <v>1</v>
      </c>
      <c r="F295" s="6" t="s">
        <v>136</v>
      </c>
      <c r="G295" s="6" t="str">
        <f t="shared" si="3"/>
        <v>Build &amp; Operation</v>
      </c>
    </row>
    <row r="296" spans="1:7" ht="13" x14ac:dyDescent="0.15">
      <c r="A296" s="21" t="str">
        <f>'Ann1 - Step 2'!A296</f>
        <v>https://github.com/getsentry/vitest-evals/blob/main/CLAUDE.md</v>
      </c>
      <c r="B296" s="6" t="str">
        <f>'Ann1 - Step 2'!B296</f>
        <v>Do not reintroduce scorer-first guidance into root APIs, examples, or docs.</v>
      </c>
      <c r="C296" s="6" t="str">
        <f>'Ann1 - Step 2'!C296</f>
        <v>Documentation</v>
      </c>
      <c r="D296" s="6" t="str">
        <f>'Ann2 - Step 2'!C296</f>
        <v>Documentation</v>
      </c>
      <c r="E296" s="6" t="b">
        <f t="shared" si="2"/>
        <v>0</v>
      </c>
      <c r="F296" s="6"/>
      <c r="G296" s="6" t="str">
        <f t="shared" si="3"/>
        <v>Documentation</v>
      </c>
    </row>
    <row r="297" spans="1:7" ht="13" x14ac:dyDescent="0.15">
      <c r="A297" s="21" t="str">
        <f>'Ann1 - Step 2'!A297</f>
        <v>https://github.com/grafbase/grafbase/blob/main/CLAUDE.md</v>
      </c>
      <c r="B297" s="6" t="str">
        <f>'Ann1 - Step 2'!B297</f>
        <v>Do not abuse of the `info` level with logging such as `tracing::info!`, use `debug` instead.</v>
      </c>
      <c r="C297" s="6" t="str">
        <f>'Ann1 - Step 2'!C297</f>
        <v>Coding Pattern</v>
      </c>
      <c r="D297" s="6" t="str">
        <f>'Ann2 - Step 2'!C297</f>
        <v>Coding Pattern</v>
      </c>
      <c r="E297" s="6" t="b">
        <f t="shared" si="2"/>
        <v>0</v>
      </c>
      <c r="F297" s="6"/>
      <c r="G297" s="6" t="str">
        <f t="shared" si="3"/>
        <v>Coding Pattern</v>
      </c>
    </row>
    <row r="298" spans="1:7" ht="14" x14ac:dyDescent="0.15">
      <c r="A298" s="21" t="str">
        <f>'Ann1 - Step 2'!A298</f>
        <v>https://github.com/hashintel/hash/blob/main/CLAUDE.md</v>
      </c>
      <c r="B298" s="8" t="str">
        <f>'Ann1 - Step 2'!B298</f>
        <v>- Do NOT preemptively load all references - use lazy loading based on actual need</v>
      </c>
      <c r="C298" s="6" t="str">
        <f>'Ann1 - Step 2'!C298</f>
        <v>Performance</v>
      </c>
      <c r="D298" s="6" t="str">
        <f>'Ann2 - Step 2'!C298</f>
        <v>Coding Pattern</v>
      </c>
      <c r="E298" s="6" t="b">
        <f t="shared" si="2"/>
        <v>1</v>
      </c>
      <c r="F298" s="6" t="s">
        <v>18</v>
      </c>
      <c r="G298" s="6" t="str">
        <f t="shared" si="3"/>
        <v>Task Execution</v>
      </c>
    </row>
    <row r="299" spans="1:7" ht="13" x14ac:dyDescent="0.15">
      <c r="A299" s="21" t="str">
        <f>'Ann1 - Step 2'!A299</f>
        <v>https://github.com/home-assistant/frontend/blob/master/CLAUDE.md</v>
      </c>
      <c r="B299" s="6" t="str">
        <f>'Ann1 - Step 2'!B299</f>
        <v>- **Shadow DOM incompatibility**: View transitions operate at document level and do not work within Shadow DOM due to style isolation ([spec discussion](https://github.com/w3c/csswg-drafts/issues/10303)).</v>
      </c>
      <c r="C299" s="6" t="str">
        <f>'Ann1 - Step 2'!C299</f>
        <v>Coding Pattern</v>
      </c>
      <c r="D299" s="6" t="str">
        <f>'Ann2 - Step 2'!C299</f>
        <v>Coding Pattern</v>
      </c>
      <c r="E299" s="6" t="b">
        <f t="shared" si="2"/>
        <v>0</v>
      </c>
      <c r="F299" s="6"/>
      <c r="G299" s="6" t="str">
        <f t="shared" si="3"/>
        <v>Coding Pattern</v>
      </c>
    </row>
    <row r="300" spans="1:7" ht="13" x14ac:dyDescent="0.15">
      <c r="A300" s="21" t="str">
        <f>'Ann1 - Step 2'!A300</f>
        <v>https://github.com/home-assistant/frontend/blob/master/CLAUDE.md</v>
      </c>
      <c r="B300" s="6" t="str">
        <f>'Ann1 - Step 2'!B300</f>
        <v>- Do not omit, reorder, or rewrite the template sections</v>
      </c>
      <c r="C300" s="6" t="str">
        <f>'Ann1 - Step 2'!C300</f>
        <v>Documentation</v>
      </c>
      <c r="D300" s="6" t="str">
        <f>'Ann2 - Step 2'!C300</f>
        <v>Documentation</v>
      </c>
      <c r="E300" s="6" t="b">
        <f t="shared" si="2"/>
        <v>0</v>
      </c>
      <c r="F300" s="6"/>
      <c r="G300" s="6" t="str">
        <f t="shared" si="3"/>
        <v>Documentation</v>
      </c>
    </row>
    <row r="301" spans="1:7" ht="28" x14ac:dyDescent="0.15">
      <c r="A301" s="21" t="str">
        <f>'Ann1 - Step 2'!A301</f>
        <v>https://github.com/home-assistant/frontend/blob/master/CLAUDE.md</v>
      </c>
      <c r="B301" s="8" t="str">
        <f>'Ann1 - Step 2'!B301</f>
        <v>- Do not check the checklist items on behalf of the user — those are the user's responsibility to review and check</v>
      </c>
      <c r="C301" s="6" t="str">
        <f>'Ann1 - Step 2'!C301</f>
        <v>Task Execution</v>
      </c>
      <c r="D301" s="6" t="str">
        <f>'Ann2 - Step 2'!C301</f>
        <v>Code Review</v>
      </c>
      <c r="E301" s="6" t="b">
        <f t="shared" si="2"/>
        <v>1</v>
      </c>
      <c r="F301" s="6" t="s">
        <v>67</v>
      </c>
      <c r="G301" s="6" t="str">
        <f t="shared" si="3"/>
        <v>Code Review</v>
      </c>
    </row>
    <row r="302" spans="1:7" ht="14" x14ac:dyDescent="0.15">
      <c r="A302" s="21" t="str">
        <f>'Ann1 - Step 2'!A302</f>
        <v>https://github.com/J-Tech-Japan/Sekiban/blob/main/CLAUDE.md</v>
      </c>
      <c r="B302" s="23" t="str">
        <f>'Ann1 - Step 2'!B302</f>
        <v>- DO NOT create in-memory workarounds</v>
      </c>
      <c r="C302" s="6" t="str">
        <f>'Ann1 - Step 2'!C302</f>
        <v>Coding Pattern</v>
      </c>
      <c r="D302" s="6" t="str">
        <f>'Ann2 - Step 2'!C302</f>
        <v>Security</v>
      </c>
      <c r="E302" s="6" t="b">
        <f t="shared" si="2"/>
        <v>1</v>
      </c>
      <c r="F302" s="6" t="s">
        <v>18</v>
      </c>
      <c r="G302" s="6" t="str">
        <f t="shared" si="3"/>
        <v>Task Execution</v>
      </c>
    </row>
    <row r="303" spans="1:7" ht="14" x14ac:dyDescent="0.15">
      <c r="A303" s="21" t="str">
        <f>'Ann1 - Step 2'!A303</f>
        <v>https://github.com/J-Tech-Japan/Sekiban/blob/main/CLAUDE.md</v>
      </c>
      <c r="B303" s="23" t="str">
        <f>'Ann1 - Step 2'!B303</f>
        <v>- DO NOT bypass the actor system</v>
      </c>
      <c r="C303" s="6" t="str">
        <f>'Ann1 - Step 2'!C303</f>
        <v>Coding Pattern</v>
      </c>
      <c r="D303" s="6" t="str">
        <f>'Ann2 - Step 2'!C303</f>
        <v>Task Execution</v>
      </c>
      <c r="E303" s="6" t="b">
        <f t="shared" si="2"/>
        <v>1</v>
      </c>
      <c r="F303" s="6" t="s">
        <v>18</v>
      </c>
      <c r="G303" s="6" t="str">
        <f t="shared" si="3"/>
        <v>Task Execution</v>
      </c>
    </row>
    <row r="304" spans="1:7" ht="14" x14ac:dyDescent="0.15">
      <c r="A304" s="21" t="str">
        <f>'Ann1 - Step 2'!A304</f>
        <v>https://github.com/J-Tech-Japan/Sekiban/blob/main/CLAUDE.md</v>
      </c>
      <c r="B304" s="8" t="str">
        <f>'Ann1 - Step 2'!B304</f>
        <v>- DO NOT create "temporary" solutions</v>
      </c>
      <c r="C304" s="6" t="str">
        <f>'Ann1 - Step 2'!C304</f>
        <v>Maintainability</v>
      </c>
      <c r="D304" s="6" t="str">
        <f>'Ann2 - Step 2'!C304</f>
        <v>Task Execution</v>
      </c>
      <c r="E304" s="6" t="b">
        <f t="shared" si="2"/>
        <v>1</v>
      </c>
      <c r="F304" s="6" t="s">
        <v>115</v>
      </c>
      <c r="G304" s="6" t="str">
        <f t="shared" si="3"/>
        <v>Maintainability</v>
      </c>
    </row>
    <row r="305" spans="1:7" ht="14" x14ac:dyDescent="0.15">
      <c r="A305" s="21" t="str">
        <f>'Ann1 - Step 2'!A305</f>
        <v>https://github.com/langchain-ai/langchain/blob/master/CLAUDE.md</v>
      </c>
      <c r="B305" s="8" t="str">
        <f>'Ann1 - Step 2'!B305</f>
        <v>The description *is* the summary — do not add a `# Summary` header.</v>
      </c>
      <c r="C305" s="6" t="str">
        <f>'Ann1 - Step 2'!C305</f>
        <v>Writing Style Preference</v>
      </c>
      <c r="D305" s="6" t="str">
        <f>'Ann2 - Step 2'!C305</f>
        <v>Documentation</v>
      </c>
      <c r="E305" s="6" t="b">
        <f t="shared" si="2"/>
        <v>1</v>
      </c>
      <c r="F305" s="6" t="s">
        <v>12</v>
      </c>
      <c r="G305" s="6" t="str">
        <f t="shared" si="3"/>
        <v>Commit&amp;PR rule</v>
      </c>
    </row>
    <row r="306" spans="1:7" ht="14" x14ac:dyDescent="0.15">
      <c r="A306" s="21" t="str">
        <f>'Ann1 - Step 2'!A306</f>
        <v>https://github.com/langchain-ai/langchain/blob/master/CLAUDE.md</v>
      </c>
      <c r="B306" s="8" t="str">
        <f>'Ann1 - Step 2'!B306</f>
        <v>`Related:` or similar labels are informational and do not close anything.</v>
      </c>
      <c r="C306" s="6" t="str">
        <f>'Ann1 - Step 2'!C306</f>
        <v>Commit&amp;PR rule</v>
      </c>
      <c r="D306" s="6" t="str">
        <f>'Ann2 - Step 2'!C306</f>
        <v>Writing Style Preference</v>
      </c>
      <c r="E306" s="6" t="b">
        <f t="shared" si="2"/>
        <v>1</v>
      </c>
      <c r="F306" s="6" t="s">
        <v>12</v>
      </c>
      <c r="G306" s="6" t="str">
        <f t="shared" si="3"/>
        <v>Commit&amp;PR rule</v>
      </c>
    </row>
    <row r="307" spans="1:7" ht="14" x14ac:dyDescent="0.15">
      <c r="A307" s="21" t="str">
        <f>'Ann1 - Step 2'!A307</f>
        <v>https://github.com/langchain-ai/langchain/blob/master/CLAUDE.md</v>
      </c>
      <c r="B307" s="23" t="str">
        <f>'Ann1 - Step 2'!B307</f>
        <v>Do not make breaking changes.</v>
      </c>
      <c r="C307" s="6" t="str">
        <f>'Ann1 - Step 2'!C307</f>
        <v>Maintainability</v>
      </c>
      <c r="D307" s="6" t="str">
        <f>'Ann2 - Step 2'!C307</f>
        <v>Task Execution</v>
      </c>
      <c r="E307" s="6" t="b">
        <f t="shared" si="2"/>
        <v>1</v>
      </c>
      <c r="F307" s="6" t="s">
        <v>18</v>
      </c>
      <c r="G307" s="6" t="str">
        <f t="shared" si="3"/>
        <v>Task Execution</v>
      </c>
    </row>
    <row r="308" spans="1:7" ht="13" x14ac:dyDescent="0.15">
      <c r="A308" s="21" t="str">
        <f>'Ann1 - Step 2'!A308</f>
        <v>https://github.com/langchain-ai/langchain/blob/master/CLAUDE.md</v>
      </c>
      <c r="B308" s="6" t="str">
        <f>'Ann1 - Step 2'!B308</f>
        <v>- If a default is present, DO NOT repeat it in the docstring unless there is post-processing or it is set conditionally.</v>
      </c>
      <c r="C308" s="6" t="str">
        <f>'Ann1 - Step 2'!C308</f>
        <v>Documentation</v>
      </c>
      <c r="D308" s="6" t="str">
        <f>'Ann2 - Step 2'!C308</f>
        <v>Documentation</v>
      </c>
      <c r="E308" s="6" t="b">
        <f t="shared" si="2"/>
        <v>0</v>
      </c>
      <c r="F308" s="6"/>
      <c r="G308" s="6" t="str">
        <f t="shared" si="3"/>
        <v>Documentation</v>
      </c>
    </row>
    <row r="309" spans="1:7" ht="14" x14ac:dyDescent="0.15">
      <c r="A309" s="21" t="str">
        <f>'Ann1 - Step 2'!A309</f>
        <v>https://github.com/langchain-ai/langchain/blob/master/CLAUDE.md</v>
      </c>
      <c r="B309" s="23" t="str">
        <f>'Ann1 - Step 2'!B309</f>
        <v>- Do NOT use Sphinx-style double backtick formatting (` ``code`` `).</v>
      </c>
      <c r="C309" s="6" t="str">
        <f>'Ann1 - Step 2'!C309</f>
        <v>Documentation</v>
      </c>
      <c r="D309" s="6" t="str">
        <f>'Ann2 - Step 2'!C309</f>
        <v>Coding Style</v>
      </c>
      <c r="E309" s="6" t="b">
        <f t="shared" si="2"/>
        <v>1</v>
      </c>
      <c r="F309" s="6" t="s">
        <v>83</v>
      </c>
      <c r="G309" s="6" t="str">
        <f t="shared" si="3"/>
        <v>Coding Style</v>
      </c>
    </row>
    <row r="310" spans="1:7" ht="13" x14ac:dyDescent="0.15">
      <c r="A310" s="21" t="str">
        <f>'Ann1 - Step 2'!A310</f>
        <v>https://github.com/langchain-ai/langchain/blob/master/CLAUDE.md</v>
      </c>
      <c r="B310" s="6" t="str">
        <f>'Ann1 - Step 2'!B310</f>
        <v>Do not rely on memorized or cached model names — they go stale quickly.</v>
      </c>
      <c r="C310" s="6" t="str">
        <f>'Ann1 - Step 2'!C310</f>
        <v>Task Execution</v>
      </c>
      <c r="D310" s="6" t="str">
        <f>'Ann2 - Step 2'!C310</f>
        <v>Task Execution</v>
      </c>
      <c r="E310" s="6" t="b">
        <f t="shared" si="2"/>
        <v>0</v>
      </c>
      <c r="F310" s="6"/>
      <c r="G310" s="6" t="str">
        <f t="shared" si="3"/>
        <v>Task Execution</v>
      </c>
    </row>
    <row r="311" spans="1:7" ht="13" x14ac:dyDescent="0.15">
      <c r="A311" s="21" t="str">
        <f>'Ann1 - Step 2'!A311</f>
        <v>https://github.com/lfnovo/esperanto/blob/main/CLAUDE.md</v>
      </c>
      <c r="B311" s="6" t="str">
        <f>'Ann1 - Step 2'!B311</f>
        <v>- Do not commit `.env`, `google-credentials.json`, or any other credential file.</v>
      </c>
      <c r="C311" s="6" t="str">
        <f>'Ann1 - Step 2'!C311</f>
        <v>Security</v>
      </c>
      <c r="D311" s="6" t="str">
        <f>'Ann2 - Step 2'!C311</f>
        <v>Security</v>
      </c>
      <c r="E311" s="6" t="b">
        <f t="shared" si="2"/>
        <v>0</v>
      </c>
      <c r="F311" s="6"/>
      <c r="G311" s="6" t="str">
        <f t="shared" si="3"/>
        <v>Security</v>
      </c>
    </row>
    <row r="312" spans="1:7" ht="14" x14ac:dyDescent="0.15">
      <c r="A312" s="21" t="str">
        <f>'Ann1 - Step 2'!A312</f>
        <v>https://github.com/lgallard/terraform-aws-backup/blob/master/CLAUDE.md</v>
      </c>
      <c r="B312" s="8" t="str">
        <f>'Ann1 - Step 2'!B312</f>
        <v>- **DO NOT manually update CHANGELOG.md** - use release-please</v>
      </c>
      <c r="C312" s="6" t="str">
        <f>'Ann1 - Step 2'!C312</f>
        <v>Build &amp; Operation</v>
      </c>
      <c r="D312" s="6" t="str">
        <f>'Ann2 - Step 2'!C312</f>
        <v>Documentation</v>
      </c>
      <c r="E312" s="6" t="b">
        <f t="shared" si="2"/>
        <v>1</v>
      </c>
      <c r="F312" s="6" t="s">
        <v>136</v>
      </c>
      <c r="G312" s="6" t="str">
        <f t="shared" si="3"/>
        <v>Build &amp; Operation</v>
      </c>
    </row>
    <row r="313" spans="1:7" ht="28" x14ac:dyDescent="0.15">
      <c r="A313" s="21" t="str">
        <f>'Ann1 - Step 2'!A313</f>
        <v>https://github.com/lgallard/terraform-aws-cognito-user-pool/blob/master/CLAUDE.md</v>
      </c>
      <c r="B313" s="8" t="str">
        <f>'Ann1 - Step 2'!B313</f>
        <v>- **DO NOT manually update CHANGELOG.md** - we use release-please for automated changelog generation</v>
      </c>
      <c r="C313" s="6" t="str">
        <f>'Ann1 - Step 2'!C313</f>
        <v>Build &amp; Operation</v>
      </c>
      <c r="D313" s="6" t="str">
        <f>'Ann2 - Step 2'!C313</f>
        <v>Documentation</v>
      </c>
      <c r="E313" s="6" t="b">
        <f t="shared" si="2"/>
        <v>1</v>
      </c>
      <c r="F313" s="6" t="s">
        <v>136</v>
      </c>
      <c r="G313" s="6" t="str">
        <f t="shared" si="3"/>
        <v>Build &amp; Operation</v>
      </c>
    </row>
    <row r="314" spans="1:7" ht="28" x14ac:dyDescent="0.15">
      <c r="A314" s="21" t="str">
        <f>'Ann1 - Step 2'!A314</f>
        <v>https://github.com/lightdash/lightdash/blob/main/CLAUDE.md</v>
      </c>
      <c r="B314" s="23" t="str">
        <f>'Ann1 - Step 2'!B314</f>
        <v>**WARNING: Slugs are NOT guaranteed to be unique.** Do not treat them as reliable identifiers for lookups, deduplication, or foreign key relationships.</v>
      </c>
      <c r="C314" s="6" t="str">
        <f>'Ann1 - Step 2'!C314</f>
        <v>Coding Pattern</v>
      </c>
      <c r="D314" s="6" t="str">
        <f>'Ann2 - Step 2'!C314</f>
        <v>Security</v>
      </c>
      <c r="E314" s="6" t="b">
        <f t="shared" si="2"/>
        <v>1</v>
      </c>
      <c r="F314" s="6" t="s">
        <v>30</v>
      </c>
      <c r="G314" s="6" t="str">
        <f t="shared" si="3"/>
        <v>Coding Pattern</v>
      </c>
    </row>
    <row r="315" spans="1:7" ht="13" x14ac:dyDescent="0.15">
      <c r="A315" s="21" t="str">
        <f>'Ann1 - Step 2'!A315</f>
        <v>https://github.com/LLFourn/secp256kfun/blob/master/CLAUDE.md</v>
      </c>
      <c r="B315" s="6" t="str">
        <f>'Ann1 - Step 2'!B315</f>
        <v>- Do not make code comments that explain *what* is happening.</v>
      </c>
      <c r="C315" s="6" t="str">
        <f>'Ann1 - Step 2'!C315</f>
        <v>Documentation</v>
      </c>
      <c r="D315" s="6" t="str">
        <f>'Ann2 - Step 2'!C315</f>
        <v>Documentation</v>
      </c>
      <c r="E315" s="6" t="b">
        <f t="shared" si="2"/>
        <v>0</v>
      </c>
      <c r="F315" s="6"/>
      <c r="G315" s="6" t="str">
        <f t="shared" si="3"/>
        <v>Documentation</v>
      </c>
    </row>
    <row r="316" spans="1:7" ht="13" x14ac:dyDescent="0.15">
      <c r="A316" s="21" t="str">
        <f>'Ann1 - Step 2'!A316</f>
        <v>https://github.com/lollipopkit/flutter_server_box/blob/main/CLAUDE.md</v>
      </c>
      <c r="B316" s="6" t="str">
        <f>'Ann1 - Step 2'!B316</f>
        <v>- Do not use debug-signing fallback for formal release artifacts.</v>
      </c>
      <c r="C316" s="6" t="str">
        <f>'Ann1 - Step 2'!C316</f>
        <v>Build &amp; Operation</v>
      </c>
      <c r="D316" s="6" t="str">
        <f>'Ann2 - Step 2'!C316</f>
        <v>Build &amp; Operation</v>
      </c>
      <c r="E316" s="6" t="b">
        <f t="shared" si="2"/>
        <v>0</v>
      </c>
      <c r="F316" s="6"/>
      <c r="G316" s="6" t="str">
        <f t="shared" si="3"/>
        <v>Build &amp; Operation</v>
      </c>
    </row>
    <row r="317" spans="1:7" ht="13" x14ac:dyDescent="0.15">
      <c r="A317" s="21" t="str">
        <f>'Ann1 - Step 2'!A317</f>
        <v>https://github.com/lollipopkit/flutter_server_box/blob/main/CLAUDE.md</v>
      </c>
      <c r="B317" s="6" t="str">
        <f>'Ann1 - Step 2'!B317</f>
        <v>- Do not judge release size from a local `flutter build apk --release` fat APK.</v>
      </c>
      <c r="C317" s="6" t="str">
        <f>'Ann1 - Step 2'!C317</f>
        <v>Build &amp; Operation</v>
      </c>
      <c r="D317" s="6" t="str">
        <f>'Ann2 - Step 2'!C317</f>
        <v>Build &amp; Operation</v>
      </c>
      <c r="E317" s="6" t="b">
        <f t="shared" si="2"/>
        <v>0</v>
      </c>
      <c r="F317" s="6"/>
      <c r="G317" s="6" t="str">
        <f t="shared" si="3"/>
        <v>Build &amp; Operation</v>
      </c>
    </row>
    <row r="318" spans="1:7" ht="13" x14ac:dyDescent="0.15">
      <c r="A318" s="21" t="str">
        <f>'Ann1 - Step 2'!A318</f>
        <v>https://github.com/lostleaf/binance_datatool/blob/main/CLAUDE.md</v>
      </c>
      <c r="B318" s="6" t="str">
        <f>'Ann1 - Step 2'!B318</f>
        <v>- Unless explicitly requested otherwise, do not mix code changes and documentation updates in the</v>
      </c>
      <c r="C318" s="6" t="str">
        <f>'Ann1 - Step 2'!C318</f>
        <v>Commit&amp;PR rule</v>
      </c>
      <c r="D318" s="6" t="str">
        <f>'Ann2 - Step 2'!C318</f>
        <v>Commit&amp;PR rule</v>
      </c>
      <c r="E318" s="6" t="b">
        <f t="shared" si="2"/>
        <v>0</v>
      </c>
      <c r="F318" s="6"/>
      <c r="G318" s="6" t="str">
        <f t="shared" si="3"/>
        <v>Commit&amp;PR rule</v>
      </c>
    </row>
    <row r="319" spans="1:7" ht="14" x14ac:dyDescent="0.15">
      <c r="A319" s="21" t="str">
        <f>'Ann1 - Step 2'!A319</f>
        <v>https://github.com/lostleaf/binance_datatool/blob/main/CLAUDE.md</v>
      </c>
      <c r="B319" s="23" t="str">
        <f>'Ann1 - Step 2'!B319</f>
        <v>Do not add casual fallback logic, silent recovery, or defensive</v>
      </c>
      <c r="C319" s="6" t="str">
        <f>'Ann1 - Step 2'!C319</f>
        <v>Coding Pattern</v>
      </c>
      <c r="D319" s="6" t="str">
        <f>'Ann2 - Step 2'!C319</f>
        <v>Documentation</v>
      </c>
      <c r="E319" s="6" t="b">
        <f t="shared" si="2"/>
        <v>1</v>
      </c>
      <c r="F319" s="6" t="s">
        <v>30</v>
      </c>
      <c r="G319" s="6" t="str">
        <f t="shared" si="3"/>
        <v>Coding Pattern</v>
      </c>
    </row>
    <row r="320" spans="1:7" ht="13" x14ac:dyDescent="0.15">
      <c r="A320" s="21" t="str">
        <f>'Ann1 - Step 2'!A320</f>
        <v>https://github.com/lostleaf/binance_datatool/blob/main/CLAUDE.md</v>
      </c>
      <c r="B320" s="6" t="str">
        <f>'Ann1 - Step 2'!B320</f>
        <v>- Do not treat `temp/` as part of the public package surface or public project documentation.</v>
      </c>
      <c r="C320" s="6" t="str">
        <f>'Ann1 - Step 2'!C320</f>
        <v>Documentation</v>
      </c>
      <c r="D320" s="6" t="str">
        <f>'Ann2 - Step 2'!C320</f>
        <v>Documentation</v>
      </c>
      <c r="E320" s="6" t="b">
        <f t="shared" si="2"/>
        <v>0</v>
      </c>
      <c r="F320" s="6"/>
      <c r="G320" s="6" t="str">
        <f t="shared" si="3"/>
        <v>Documentation</v>
      </c>
    </row>
    <row r="321" spans="1:7" ht="13" x14ac:dyDescent="0.15">
      <c r="A321" s="21" t="str">
        <f>'Ann1 - Step 2'!A321</f>
        <v>https://github.com/netdata/netdata/blob/master/CLAUDE.md</v>
      </c>
      <c r="B321" s="6" t="str">
        <f>'Ann1 - Step 2'!B321</f>
        <v>We do not duplicate code.</v>
      </c>
      <c r="C321" s="6" t="str">
        <f>'Ann1 - Step 2'!C321</f>
        <v>Maintainability</v>
      </c>
      <c r="D321" s="6" t="str">
        <f>'Ann2 - Step 2'!C321</f>
        <v>Maintainability</v>
      </c>
      <c r="E321" s="6" t="b">
        <f t="shared" si="2"/>
        <v>0</v>
      </c>
      <c r="F321" s="6"/>
      <c r="G321" s="6" t="str">
        <f t="shared" si="3"/>
        <v>Maintainability</v>
      </c>
    </row>
    <row r="322" spans="1:7" ht="13" x14ac:dyDescent="0.15">
      <c r="A322" s="21" t="str">
        <f>'Ann1 - Step 2'!A322</f>
        <v>https://github.com/netdata/netdata/blob/master/CLAUDE.md</v>
      </c>
      <c r="B322" s="6" t="str">
        <f>'Ann1 - Step 2'!B322</f>
        <v>Do not create a separate commit just to mark or move the SOW.</v>
      </c>
      <c r="C322" s="6" t="str">
        <f>'Ann1 - Step 2'!C322</f>
        <v>Commit&amp;PR rule</v>
      </c>
      <c r="D322" s="6" t="str">
        <f>'Ann2 - Step 2'!C322</f>
        <v>Commit&amp;PR rule</v>
      </c>
      <c r="E322" s="6" t="b">
        <f t="shared" si="2"/>
        <v>0</v>
      </c>
      <c r="F322" s="6"/>
      <c r="G322" s="6" t="str">
        <f t="shared" si="3"/>
        <v>Commit&amp;PR rule</v>
      </c>
    </row>
    <row r="323" spans="1:7" ht="28" x14ac:dyDescent="0.15">
      <c r="A323" s="21" t="str">
        <f>'Ann1 - Step 2'!A323</f>
        <v>https://github.com/netdata/netdata/blob/master/CLAUDE.md</v>
      </c>
      <c r="B323" s="8" t="str">
        <f>'Ann1 - Step 2'!B323</f>
        <v>Do not claim a SOW is completed while the implementation and the SOW lifecycle change live in separate uncommitted or separately committed states.</v>
      </c>
      <c r="C323" s="6" t="str">
        <f>'Ann1 - Step 2'!C323</f>
        <v>Commit&amp;PR rule</v>
      </c>
      <c r="D323" s="6" t="str">
        <f>'Ann2 - Step 2'!C323</f>
        <v>Task Execution</v>
      </c>
      <c r="E323" s="6" t="b">
        <f t="shared" si="2"/>
        <v>1</v>
      </c>
      <c r="F323" s="6" t="s">
        <v>12</v>
      </c>
      <c r="G323" s="6" t="str">
        <f t="shared" si="3"/>
        <v>Commit&amp;PR rule</v>
      </c>
    </row>
    <row r="324" spans="1:7" ht="14" x14ac:dyDescent="0.15">
      <c r="A324" s="21" t="str">
        <f>'Ann1 - Step 2'!A324</f>
        <v>https://github.com/netdata/netdata/blob/master/CLAUDE.md</v>
      </c>
      <c r="B324" s="8" t="str">
        <f>'Ann1 - Step 2'!B324</f>
        <v>Do not create a new SOW for a true regression.</v>
      </c>
      <c r="C324" s="6" t="str">
        <f>'Ann1 - Step 2'!C324</f>
        <v>Task Execution</v>
      </c>
      <c r="D324" s="6" t="str">
        <f>'Ann2 - Step 2'!C324</f>
        <v>Coding Pattern</v>
      </c>
      <c r="E324" s="6" t="b">
        <f t="shared" si="2"/>
        <v>1</v>
      </c>
      <c r="F324" s="6" t="s">
        <v>18</v>
      </c>
      <c r="G324" s="6" t="str">
        <f t="shared" si="3"/>
        <v>Task Execution</v>
      </c>
    </row>
    <row r="325" spans="1:7" ht="13" x14ac:dyDescent="0.15">
      <c r="A325" s="21" t="str">
        <f>'Ann1 - Step 2'!A325</f>
        <v>https://github.com/netdata/netdata/blob/master/CLAUDE.md</v>
      </c>
      <c r="B325" s="6" t="str">
        <f>'Ann1 - Step 2'!B325</f>
        <v>Do not rename them or add wrappers during this bootstrap pass.</v>
      </c>
      <c r="C325" s="6" t="str">
        <f>'Ann1 - Step 2'!C325</f>
        <v>Coding Pattern</v>
      </c>
      <c r="D325" s="6" t="str">
        <f>'Ann2 - Step 2'!C325</f>
        <v>Coding Pattern</v>
      </c>
      <c r="E325" s="6" t="b">
        <f t="shared" si="2"/>
        <v>0</v>
      </c>
      <c r="F325" s="6"/>
      <c r="G325" s="6" t="str">
        <f t="shared" si="3"/>
        <v>Coding Pattern</v>
      </c>
    </row>
    <row r="326" spans="1:7" ht="14" x14ac:dyDescent="0.15">
      <c r="A326" s="21" t="str">
        <f>'Ann1 - Step 2'!A326</f>
        <v>https://github.com/netdata/netdata/blob/master/CLAUDE.md</v>
      </c>
      <c r="B326" s="8" t="str">
        <f>'Ann1 - Step 2'!B326</f>
        <v>- Do not claim full-project validation from a narrow subsystem command.</v>
      </c>
      <c r="C326" s="6" t="str">
        <f>'Ann1 - Step 2'!C326</f>
        <v>Task Execution</v>
      </c>
      <c r="D326" s="6" t="str">
        <f>'Ann2 - Step 2'!C326</f>
        <v>Code Review</v>
      </c>
      <c r="E326" s="6" t="b">
        <f t="shared" si="2"/>
        <v>1</v>
      </c>
      <c r="F326" s="6" t="s">
        <v>18</v>
      </c>
      <c r="G326" s="6" t="str">
        <f t="shared" si="3"/>
        <v>Task Execution</v>
      </c>
    </row>
    <row r="327" spans="1:7" ht="13" x14ac:dyDescent="0.15">
      <c r="A327" s="21" t="str">
        <f>'Ann1 - Step 2'!A327</f>
        <v>https://github.com/netdata/netdata/blob/master/CLAUDE.md</v>
      </c>
      <c r="B327" s="6" t="str">
        <f>'Ann1 - Step 2'!B327</f>
        <v>- Existing local helper scripts such as `install.sh` may exist in this working copy; inspect before use and do not assume they are tracked project interfaces.</v>
      </c>
      <c r="C327" s="6" t="str">
        <f>'Ann1 - Step 2'!C327</f>
        <v>Task Execution</v>
      </c>
      <c r="D327" s="6" t="str">
        <f>'Ann2 - Step 2'!C327</f>
        <v>Task Execution</v>
      </c>
      <c r="E327" s="6" t="b">
        <f t="shared" si="2"/>
        <v>0</v>
      </c>
      <c r="F327" s="6"/>
      <c r="G327" s="6" t="str">
        <f t="shared" si="3"/>
        <v>Task Execution</v>
      </c>
    </row>
    <row r="328" spans="1:7" ht="13" x14ac:dyDescent="0.15">
      <c r="A328" s="21" t="str">
        <f>'Ann1 - Step 2'!A328</f>
        <v>https://github.com/nrwl/nx/blob/master/CLAUDE.md</v>
      </c>
      <c r="B328" s="6" t="str">
        <f>'Ann1 - Step 2'!B328</f>
        <v>DO NOT make a new commit to fix these issues.</v>
      </c>
      <c r="C328" s="6" t="str">
        <f>'Ann1 - Step 2'!C328</f>
        <v>Commit&amp;PR rule</v>
      </c>
      <c r="D328" s="6" t="str">
        <f>'Ann2 - Step 2'!C328</f>
        <v>Commit&amp;PR rule</v>
      </c>
      <c r="E328" s="6" t="b">
        <f t="shared" si="2"/>
        <v>0</v>
      </c>
      <c r="F328" s="6"/>
      <c r="G328" s="6" t="str">
        <f t="shared" si="3"/>
        <v>Commit&amp;PR rule</v>
      </c>
    </row>
    <row r="329" spans="1:7" ht="13" x14ac:dyDescent="0.15">
      <c r="A329" s="21" t="str">
        <f>'Ann1 - Step 2'!A329</f>
        <v>https://github.com/nrwl/nx/blob/master/CLAUDE.md</v>
      </c>
      <c r="B329" s="6" t="str">
        <f>'Ann1 - Step 2'!B329</f>
        <v>Do not leave the template sections empty.</v>
      </c>
      <c r="C329" s="6" t="str">
        <f>'Ann1 - Step 2'!C329</f>
        <v>Documentation</v>
      </c>
      <c r="D329" s="6" t="str">
        <f>'Ann2 - Step 2'!C329</f>
        <v>Documentation</v>
      </c>
      <c r="E329" s="6" t="b">
        <f t="shared" si="2"/>
        <v>0</v>
      </c>
      <c r="F329" s="6"/>
      <c r="G329" s="6" t="str">
        <f t="shared" si="3"/>
        <v>Documentation</v>
      </c>
    </row>
    <row r="330" spans="1:7" ht="13" x14ac:dyDescent="0.15">
      <c r="A330" s="21" t="str">
        <f>'Ann1 - Step 2'!A330</f>
        <v>https://github.com/obophenotype/uberon/blob/master/CLAUDE.md</v>
      </c>
      <c r="B330" s="6" t="str">
        <f>'Ann1 - Step 2'!B330</f>
        <v>- DO NOT bother doing your own greps over the file, or looking for other files, unless otherwise asked, you will just waste time.</v>
      </c>
      <c r="C330" s="6" t="str">
        <f>'Ann1 - Step 2'!C330</f>
        <v>Task Execution</v>
      </c>
      <c r="D330" s="6" t="str">
        <f>'Ann2 - Step 2'!C330</f>
        <v>Task Execution</v>
      </c>
      <c r="E330" s="6" t="b">
        <f t="shared" si="2"/>
        <v>0</v>
      </c>
      <c r="F330" s="6"/>
      <c r="G330" s="6" t="str">
        <f t="shared" si="3"/>
        <v>Task Execution</v>
      </c>
    </row>
    <row r="331" spans="1:7" ht="14" x14ac:dyDescent="0.15">
      <c r="A331" s="21" t="str">
        <f>'Ann1 - Step 2'!A331</f>
        <v>https://github.com/obophenotype/uberon/blob/master/CLAUDE.md</v>
      </c>
      <c r="B331" s="8" t="str">
        <f>'Ann1 - Step 2'!B331</f>
        <v>- IMPORTANT: Do not edit the edit file directly, it's large</v>
      </c>
      <c r="C331" s="6" t="str">
        <f>'Ann1 - Step 2'!C331</f>
        <v>Maintainability</v>
      </c>
      <c r="D331" s="6" t="str">
        <f>'Ann2 - Step 2'!C331</f>
        <v>Task Execution</v>
      </c>
      <c r="E331" s="6" t="b">
        <f t="shared" si="2"/>
        <v>1</v>
      </c>
      <c r="F331" s="6" t="s">
        <v>18</v>
      </c>
      <c r="G331" s="6" t="str">
        <f t="shared" si="3"/>
        <v>Task Execution</v>
      </c>
    </row>
    <row r="332" spans="1:7" ht="13" x14ac:dyDescent="0.15">
      <c r="A332" s="21" t="str">
        <f>'Ann1 - Step 2'!A332</f>
        <v>https://github.com/OlympiaAI/raix/blob/main/CLAUDE.md</v>
      </c>
      <c r="B332" s="6" t="str">
        <f>'Ann1 - Step 2'!B332</f>
        <v>- **Do not use require_relative**</v>
      </c>
      <c r="C332" s="6" t="str">
        <f>'Ann1 - Step 2'!C332</f>
        <v>Coding Pattern</v>
      </c>
      <c r="D332" s="6" t="str">
        <f>'Ann2 - Step 2'!C332</f>
        <v>Coding Pattern</v>
      </c>
      <c r="E332" s="6" t="b">
        <f t="shared" si="2"/>
        <v>0</v>
      </c>
      <c r="F332" s="6"/>
      <c r="G332" s="6" t="str">
        <f t="shared" si="3"/>
        <v>Coding Pattern</v>
      </c>
    </row>
    <row r="333" spans="1:7" ht="13" x14ac:dyDescent="0.15">
      <c r="A333" s="21" t="str">
        <f>'Ann1 - Step 2'!A333</f>
        <v>https://github.com/OlympiaAI/raix/blob/main/CLAUDE.md</v>
      </c>
      <c r="B333" s="6" t="str">
        <f>'Ann1 - Step 2'!B333</f>
        <v>- Do not decide unilaterally to leave code for the sake of "backwards compatibility"...</v>
      </c>
      <c r="C333" s="6" t="str">
        <f>'Ann1 - Step 2'!C333</f>
        <v>Maintainability</v>
      </c>
      <c r="D333" s="6" t="str">
        <f>'Ann2 - Step 2'!C333</f>
        <v>Maintainability</v>
      </c>
      <c r="E333" s="6" t="b">
        <f t="shared" si="2"/>
        <v>0</v>
      </c>
      <c r="F333" s="6"/>
      <c r="G333" s="6" t="str">
        <f t="shared" si="3"/>
        <v>Maintainability</v>
      </c>
    </row>
    <row r="334" spans="1:7" ht="28" x14ac:dyDescent="0.15">
      <c r="A334" s="21" t="str">
        <f>'Ann1 - Step 2'!A334</f>
        <v>https://github.com/OneKeyHQ/app-monorepo/blob/master/CLAUDE.md</v>
      </c>
      <c r="B334" s="8" t="str">
        <f>'Ann1 - Step 2'!B334</f>
        <v>When fixing bugs, do NOT remove existing code/components that weren't part of the request.</v>
      </c>
      <c r="C334" s="6" t="str">
        <f>'Ann1 - Step 2'!C334</f>
        <v>Maintainability</v>
      </c>
      <c r="D334" s="6" t="str">
        <f>'Ann2 - Step 2'!C334</f>
        <v>Task Execution</v>
      </c>
      <c r="E334" s="6" t="b">
        <f t="shared" si="2"/>
        <v>1</v>
      </c>
      <c r="F334" s="6" t="s">
        <v>18</v>
      </c>
      <c r="G334" s="6" t="str">
        <f t="shared" si="3"/>
        <v>Task Execution</v>
      </c>
    </row>
    <row r="335" spans="1:7" ht="13" x14ac:dyDescent="0.15">
      <c r="A335" s="21" t="str">
        <f>'Ann1 - Step 2'!A335</f>
        <v>https://github.com/OneKeyHQ/app-monorepo/blob/master/CLAUDE.md</v>
      </c>
      <c r="B335" s="6" t="str">
        <f>'Ann1 - Step 2'!B335</f>
        <v>- Do NOT include "Generated with" or "via" tool attribution lines in commit messages</v>
      </c>
      <c r="C335" s="6" t="str">
        <f>'Ann1 - Step 2'!C335</f>
        <v>Commit&amp;PR rule</v>
      </c>
      <c r="D335" s="6" t="str">
        <f>'Ann2 - Step 2'!C335</f>
        <v>Commit&amp;PR rule</v>
      </c>
      <c r="E335" s="6" t="b">
        <f t="shared" si="2"/>
        <v>0</v>
      </c>
      <c r="F335" s="6"/>
      <c r="G335" s="6" t="str">
        <f t="shared" si="3"/>
        <v>Commit&amp;PR rule</v>
      </c>
    </row>
    <row r="336" spans="1:7" ht="13" x14ac:dyDescent="0.15">
      <c r="A336" s="21" t="str">
        <f>'Ann1 - Step 2'!A336</f>
        <v>https://github.com/OneKeyHQ/app-monorepo/blob/master/CLAUDE.md</v>
      </c>
      <c r="B336" s="6" t="str">
        <f>'Ann1 - Step 2'!B336</f>
        <v>- After making a fix attempt that the user reports as not working, do NOT retry the same approach with minor tweaks.</v>
      </c>
      <c r="C336" s="6" t="str">
        <f>'Ann1 - Step 2'!C336</f>
        <v>Task Execution</v>
      </c>
      <c r="D336" s="6" t="str">
        <f>'Ann2 - Step 2'!C336</f>
        <v>Task Execution</v>
      </c>
      <c r="E336" s="6" t="b">
        <f t="shared" si="2"/>
        <v>0</v>
      </c>
      <c r="F336" s="6"/>
      <c r="G336" s="6" t="str">
        <f t="shared" si="3"/>
        <v>Task Execution</v>
      </c>
    </row>
    <row r="337" spans="1:7" ht="13" x14ac:dyDescent="0.15">
      <c r="A337" s="21" t="str">
        <f>'Ann1 - Step 2'!A337</f>
        <v>https://github.com/OneKeyHQ/app-monorepo/blob/master/CLAUDE.md</v>
      </c>
      <c r="B337" s="6" t="str">
        <f>'Ann1 - Step 2'!B337</f>
        <v>Do not assume the root cause — misdiagnosis wastes rounds.</v>
      </c>
      <c r="C337" s="6" t="str">
        <f>'Ann1 - Step 2'!C337</f>
        <v>Task Execution</v>
      </c>
      <c r="D337" s="6" t="str">
        <f>'Ann2 - Step 2'!C337</f>
        <v>Task Execution</v>
      </c>
      <c r="E337" s="6" t="b">
        <f t="shared" si="2"/>
        <v>0</v>
      </c>
      <c r="F337" s="6"/>
      <c r="G337" s="6" t="str">
        <f t="shared" si="3"/>
        <v>Task Execution</v>
      </c>
    </row>
    <row r="338" spans="1:7" ht="13" x14ac:dyDescent="0.15">
      <c r="A338" s="21" t="str">
        <f>'Ann1 - Step 2'!A338</f>
        <v>https://github.com/OneKeyHQ/app-monorepo/blob/master/CLAUDE.md</v>
      </c>
      <c r="B338" s="6" t="str">
        <f>'Ann1 - Step 2'!B338</f>
        <v>`/plugin install onekey-wallet-skills`; do not re-add them to this monorepo.</v>
      </c>
      <c r="C338" s="6" t="str">
        <f>'Ann1 - Step 2'!C338</f>
        <v>Task Execution</v>
      </c>
      <c r="D338" s="6" t="str">
        <f>'Ann2 - Step 2'!C338</f>
        <v>Task Execution</v>
      </c>
      <c r="E338" s="6" t="b">
        <f t="shared" si="2"/>
        <v>0</v>
      </c>
      <c r="F338" s="6"/>
      <c r="G338" s="6" t="str">
        <f t="shared" si="3"/>
        <v>Task Execution</v>
      </c>
    </row>
    <row r="339" spans="1:7" ht="13" x14ac:dyDescent="0.15">
      <c r="A339" s="21" t="str">
        <f>'Ann1 - Step 2'!A339</f>
        <v>https://github.com/open-metadata/OpenMetadata/blob/main/CLAUDE.md</v>
      </c>
      <c r="B339" s="6" t="str">
        <f>'Ann1 - Step 2'!B339</f>
        <v>This is the canonical component library — do not use MUI or introduce new MUI dependencies.</v>
      </c>
      <c r="C339" s="6" t="str">
        <f>'Ann1 - Step 2'!C339</f>
        <v>Coding Pattern</v>
      </c>
      <c r="D339" s="6" t="str">
        <f>'Ann2 - Step 2'!C339</f>
        <v>Coding Pattern</v>
      </c>
      <c r="E339" s="6" t="b">
        <f t="shared" si="2"/>
        <v>0</v>
      </c>
      <c r="F339" s="6"/>
      <c r="G339" s="6" t="str">
        <f t="shared" si="3"/>
        <v>Coding Pattern</v>
      </c>
    </row>
    <row r="340" spans="1:7" ht="13" x14ac:dyDescent="0.15">
      <c r="A340" s="21" t="str">
        <f>'Ann1 - Step 2'!A340</f>
        <v>https://github.com/open-metadata/OpenMetadata/blob/main/CLAUDE.md</v>
      </c>
      <c r="B340" s="6" t="str">
        <f>'Ann1 - Step 2'!B340</f>
        <v>- **MUI**: Do not use MUI — we are actively removing MUI from the codebase.</v>
      </c>
      <c r="C340" s="6" t="str">
        <f>'Ann1 - Step 2'!C340</f>
        <v>Coding Pattern</v>
      </c>
      <c r="D340" s="6" t="str">
        <f>'Ann2 - Step 2'!C340</f>
        <v>Coding Pattern</v>
      </c>
      <c r="E340" s="6" t="b">
        <f t="shared" si="2"/>
        <v>0</v>
      </c>
      <c r="F340" s="6"/>
      <c r="G340" s="6" t="str">
        <f t="shared" si="3"/>
        <v>Coding Pattern</v>
      </c>
    </row>
    <row r="341" spans="1:7" ht="13" x14ac:dyDescent="0.15">
      <c r="A341" s="21" t="str">
        <f>'Ann1 - Step 2'!A341</f>
        <v>https://github.com/open-metadata/OpenMetadata/blob/main/CLAUDE.md</v>
      </c>
      <c r="B341" s="6" t="str">
        <f>'Ann1 - Step 2'!B341</f>
        <v>Do not import from `@mui/*` or `@emotion/*`</v>
      </c>
      <c r="C341" s="6" t="str">
        <f>'Ann1 - Step 2'!C341</f>
        <v>Coding Pattern</v>
      </c>
      <c r="D341" s="6" t="str">
        <f>'Ann2 - Step 2'!C341</f>
        <v>Coding Pattern</v>
      </c>
      <c r="E341" s="6" t="b">
        <f t="shared" si="2"/>
        <v>0</v>
      </c>
      <c r="F341" s="6"/>
      <c r="G341" s="6" t="str">
        <f t="shared" si="3"/>
        <v>Coding Pattern</v>
      </c>
    </row>
    <row r="342" spans="1:7" ht="13" x14ac:dyDescent="0.15">
      <c r="A342" s="21" t="str">
        <f>'Ann1 - Step 2'!A342</f>
        <v>https://github.com/open-metadata/OpenMetadata/blob/main/CLAUDE.md</v>
      </c>
      <c r="B342" s="6" t="str">
        <f>'Ann1 - Step 2'!B342</f>
        <v>- Do not add unnecessary spacing between logs and code.</v>
      </c>
      <c r="C342" s="6" t="str">
        <f>'Ann1 - Step 2'!C342</f>
        <v>Coding Style</v>
      </c>
      <c r="D342" s="6" t="str">
        <f>'Ann2 - Step 2'!C342</f>
        <v>Coding Style</v>
      </c>
      <c r="E342" s="6" t="b">
        <f t="shared" si="2"/>
        <v>0</v>
      </c>
      <c r="F342" s="6"/>
      <c r="G342" s="6" t="str">
        <f t="shared" si="3"/>
        <v>Coding Style</v>
      </c>
    </row>
    <row r="343" spans="1:7" ht="14" x14ac:dyDescent="0.15">
      <c r="A343" s="21" t="str">
        <f>'Ann1 - Step 2'!A343</f>
        <v>https://github.com/open-metadata/OpenMetadata/blob/main/CLAUDE.md</v>
      </c>
      <c r="B343" s="8" t="str">
        <f>'Ann1 - Step 2'!B343</f>
        <v>- Do not use string literals at any place.</v>
      </c>
      <c r="C343" s="6" t="str">
        <f>'Ann1 - Step 2'!C343</f>
        <v>Coding Style</v>
      </c>
      <c r="D343" s="6" t="str">
        <f>'Ann2 - Step 2'!C343</f>
        <v>Coding Pattern</v>
      </c>
      <c r="E343" s="6" t="b">
        <f t="shared" si="2"/>
        <v>1</v>
      </c>
      <c r="F343" s="6" t="s">
        <v>30</v>
      </c>
      <c r="G343" s="6" t="str">
        <f t="shared" si="3"/>
        <v>Coding Pattern</v>
      </c>
    </row>
    <row r="344" spans="1:7" ht="13" x14ac:dyDescent="0.15">
      <c r="A344" s="21" t="str">
        <f>'Ann1 - Step 2'!A344</f>
        <v>https://github.com/open-metadata/OpenMetadata/blob/main/CLAUDE.md</v>
      </c>
      <c r="B344" s="6" t="str">
        <f>'Ann1 - Step 2'!B344</f>
        <v>- **Do NOT add unnecessary comments** - write self-documenting code</v>
      </c>
      <c r="C344" s="6" t="str">
        <f>'Ann1 - Step 2'!C344</f>
        <v>Documentation</v>
      </c>
      <c r="D344" s="6" t="str">
        <f>'Ann2 - Step 2'!C344</f>
        <v>Documentation</v>
      </c>
      <c r="E344" s="6" t="b">
        <f t="shared" si="2"/>
        <v>0</v>
      </c>
      <c r="F344" s="6"/>
      <c r="G344" s="6" t="str">
        <f t="shared" si="3"/>
        <v>Documentation</v>
      </c>
    </row>
    <row r="345" spans="1:7" ht="28" x14ac:dyDescent="0.15">
      <c r="A345" s="21" t="str">
        <f>'Ann1 - Step 2'!A345</f>
        <v>https://github.com/open-metadata/OpenMetadata/blob/main/CLAUDE.md</v>
      </c>
      <c r="B345" s="8" t="str">
        <f>'Ann1 - Step 2'!B345</f>
        <v>- Do not use Fully Qualified Names in code (e.g., `org.openmetadata.schema.type.Status`) — import the class instead</v>
      </c>
      <c r="C345" s="6" t="str">
        <f>'Ann1 - Step 2'!C345</f>
        <v>Coding Style</v>
      </c>
      <c r="D345" s="6" t="str">
        <f>'Ann2 - Step 2'!C345</f>
        <v>Coding Pattern</v>
      </c>
      <c r="E345" s="6" t="b">
        <f t="shared" si="2"/>
        <v>1</v>
      </c>
      <c r="F345" s="6" t="s">
        <v>30</v>
      </c>
      <c r="G345" s="6" t="str">
        <f t="shared" si="3"/>
        <v>Coding Pattern</v>
      </c>
    </row>
    <row r="346" spans="1:7" ht="14" x14ac:dyDescent="0.15">
      <c r="A346" s="21" t="str">
        <f>'Ann1 - Step 2'!A346</f>
        <v>https://github.com/open-metadata/OpenMetadata/blob/main/CLAUDE.md</v>
      </c>
      <c r="B346" s="8" t="str">
        <f>'Ann1 - Step 2'!B346</f>
        <v>- Do not import wildcard packages — import exactly the required classes</v>
      </c>
      <c r="C346" s="6" t="str">
        <f>'Ann1 - Step 2'!C346</f>
        <v>Coding Style</v>
      </c>
      <c r="D346" s="6" t="str">
        <f>'Ann2 - Step 2'!C346</f>
        <v>Coding Pattern</v>
      </c>
      <c r="E346" s="6" t="b">
        <f t="shared" si="2"/>
        <v>1</v>
      </c>
      <c r="F346" s="6" t="s">
        <v>30</v>
      </c>
      <c r="G346" s="6" t="str">
        <f t="shared" si="3"/>
        <v>Coding Pattern</v>
      </c>
    </row>
    <row r="347" spans="1:7" ht="13" x14ac:dyDescent="0.15">
      <c r="A347" s="21" t="str">
        <f>'Ann1 - Step 2'!A347</f>
        <v>https://github.com/openai/openai-agents-python/blob/main/CLAUDE.md</v>
      </c>
      <c r="B347" s="6" t="str">
        <f>'Ann1 - Step 2'!B347</f>
        <v>Do not treat branch-local interface churn or unreleased post-tag changes on `main` as breaking by default; prefer direct replacement over compatibility layers in those cases, and renumber or squash unreleased persisted schemas before release when the intermediate snapshots are intentionally unsupported.</v>
      </c>
      <c r="C347" s="6" t="str">
        <f>'Ann1 - Step 2'!C347</f>
        <v>Task Execution</v>
      </c>
      <c r="D347" s="6" t="str">
        <f>'Ann2 - Step 2'!C347</f>
        <v>Task Execution</v>
      </c>
      <c r="E347" s="6" t="b">
        <f t="shared" si="2"/>
        <v>0</v>
      </c>
      <c r="F347" s="6"/>
      <c r="G347" s="6" t="str">
        <f t="shared" si="3"/>
        <v>Task Execution</v>
      </c>
    </row>
    <row r="348" spans="1:7" ht="13" x14ac:dyDescent="0.15">
      <c r="A348" s="21" t="str">
        <f>'Ann1 - Step 2'!A348</f>
        <v>https://github.com/openai/openai-agents-python/blob/main/CLAUDE.md</v>
      </c>
      <c r="B348" s="6" t="str">
        <f>'Ann1 - Step 2'!B348</f>
        <v>Do not insert new constructor parameters or dataclass fields in the middle of existing public order.</v>
      </c>
      <c r="C348" s="6" t="str">
        <f>'Ann1 - Step 2'!C348</f>
        <v>Coding Pattern</v>
      </c>
      <c r="D348" s="6" t="str">
        <f>'Ann2 - Step 2'!C348</f>
        <v>Coding Pattern</v>
      </c>
      <c r="E348" s="6" t="b">
        <f t="shared" si="2"/>
        <v>0</v>
      </c>
      <c r="F348" s="6"/>
      <c r="G348" s="6" t="str">
        <f t="shared" si="3"/>
        <v>Coding Pattern</v>
      </c>
    </row>
    <row r="349" spans="1:7" ht="13" x14ac:dyDescent="0.15">
      <c r="A349" s="21" t="str">
        <f>'Ann1 - Step 2'!A349</f>
        <v>https://github.com/openai/openai-agents-python/blob/main/CLAUDE.md</v>
      </c>
      <c r="B349" s="6" t="str">
        <f>'Ann1 - Step 2'!B349</f>
        <v>- Prefer keyword arguments at call sites to reduce accidental breakage, but do not rely on this to justify breaking positional compatibility for public APIs.</v>
      </c>
      <c r="C349" s="6" t="str">
        <f>'Ann1 - Step 2'!C349</f>
        <v>Coding Pattern</v>
      </c>
      <c r="D349" s="6" t="str">
        <f>'Ann2 - Step 2'!C349</f>
        <v>Coding Pattern</v>
      </c>
      <c r="E349" s="6" t="b">
        <f t="shared" si="2"/>
        <v>0</v>
      </c>
      <c r="F349" s="6"/>
      <c r="G349" s="6" t="str">
        <f t="shared" si="3"/>
        <v>Coding Pattern</v>
      </c>
    </row>
    <row r="350" spans="1:7" ht="13" x14ac:dyDescent="0.15">
      <c r="A350" s="21" t="str">
        <f>'Ann1 - Step 2'!A350</f>
        <v>https://github.com/openai/openai-agents-python/blob/main/CLAUDE.md</v>
      </c>
      <c r="B350" s="6" t="str">
        <f>'Ann1 - Step 2'!B350</f>
        <v>- `docs/`: MkDocs documentation source; do not edit translated docs under `docs/ja`, `docs/ko`, or `docs/zh` (they are generated).</v>
      </c>
      <c r="C350" s="6" t="str">
        <f>'Ann1 - Step 2'!C350</f>
        <v>Documentation</v>
      </c>
      <c r="D350" s="6" t="str">
        <f>'Ann2 - Step 2'!C350</f>
        <v>Documentation</v>
      </c>
      <c r="E350" s="6" t="b">
        <f t="shared" si="2"/>
        <v>0</v>
      </c>
      <c r="F350" s="6"/>
      <c r="G350" s="6" t="str">
        <f t="shared" si="3"/>
        <v>Documentation</v>
      </c>
    </row>
    <row r="351" spans="1:7" ht="14" x14ac:dyDescent="0.15">
      <c r="A351" s="21" t="str">
        <f>'Ann1 - Step 2'!A351</f>
        <v>https://github.com/owid/owid-grapher/blob/master/CLAUDE.md</v>
      </c>
      <c r="B351" s="8" t="str">
        <f>'Ann1 - Step 2'!B351</f>
        <v>- In SCSS files, do NOT use parent selector nesting (`&amp;__element`, `&amp;--modifier`).</v>
      </c>
      <c r="C351" s="6" t="str">
        <f>'Ann1 - Step 2'!C351</f>
        <v>Coding Style</v>
      </c>
      <c r="D351" s="6" t="str">
        <f>'Ann2 - Step 2'!C351</f>
        <v>Coding Pattern</v>
      </c>
      <c r="E351" s="6" t="b">
        <f t="shared" si="2"/>
        <v>1</v>
      </c>
      <c r="F351" s="6" t="s">
        <v>83</v>
      </c>
      <c r="G351" s="6" t="str">
        <f t="shared" si="3"/>
        <v>Coding Style</v>
      </c>
    </row>
    <row r="352" spans="1:7" ht="28" x14ac:dyDescent="0.15">
      <c r="A352" s="21" t="str">
        <f>'Ann1 - Step 2'!A352</f>
        <v>https://github.com/paradigmxyz/reth/blob/main/CLAUDE.md</v>
      </c>
      <c r="B352" s="23" t="str">
        <f>'Ann1 - Step 2'!B352</f>
        <v>**Do not edit these files manually** — any hand edits will be overwritten and CI will fail regardless.</v>
      </c>
      <c r="C352" s="6" t="str">
        <f>'Ann1 - Step 2'!C352</f>
        <v>Build &amp; Operation</v>
      </c>
      <c r="D352" s="6" t="str">
        <f>'Ann2 - Step 2'!C352</f>
        <v>Task Execution</v>
      </c>
      <c r="E352" s="6" t="b">
        <f t="shared" si="2"/>
        <v>1</v>
      </c>
      <c r="F352" s="6" t="s">
        <v>136</v>
      </c>
      <c r="G352" s="6" t="str">
        <f t="shared" si="3"/>
        <v>Build &amp; Operation</v>
      </c>
    </row>
    <row r="353" spans="1:7" ht="13" x14ac:dyDescent="0.15">
      <c r="A353" s="21" t="str">
        <f>'Ann1 - Step 2'!A353</f>
        <v>https://github.com/Pipelex/pipelex/blob/main/CLAUDE.md</v>
      </c>
      <c r="B353" s="6" t="str">
        <f>'Ann1 - Step 2'!B353</f>
        <v>If you are an AI agent (Claude Code, Cursor, Codex, or any other agent running in the cloud or in a sandboxed environment), **do NOT use these commands**.</v>
      </c>
      <c r="C353" s="6" t="str">
        <f>'Ann1 - Step 2'!C353</f>
        <v>Testing</v>
      </c>
      <c r="D353" s="6" t="str">
        <f>'Ann2 - Step 2'!C353</f>
        <v>Testing</v>
      </c>
      <c r="E353" s="6" t="b">
        <f t="shared" si="2"/>
        <v>0</v>
      </c>
      <c r="F353" s="6"/>
      <c r="G353" s="6" t="str">
        <f t="shared" si="3"/>
        <v>Testing</v>
      </c>
    </row>
    <row r="354" spans="1:7" ht="13" x14ac:dyDescent="0.15">
      <c r="A354" s="21" t="str">
        <f>'Ann1 - Step 2'!A354</f>
        <v>https://github.com/Pipelex/pipelex/blob/main/CLAUDE.md</v>
      </c>
      <c r="B354" s="6" t="str">
        <f>'Ann1 - Step 2'!B354</f>
        <v>If you are an AI agent (Claude Code, Cursor, Codex, or any other agent running in the cloud or in a sandboxed environment), **do NOT use these commands**.</v>
      </c>
      <c r="C354" s="6" t="str">
        <f>'Ann1 - Step 2'!C354</f>
        <v>Testing</v>
      </c>
      <c r="D354" s="6" t="str">
        <f>'Ann2 - Step 2'!C354</f>
        <v>Testing</v>
      </c>
      <c r="E354" s="6" t="b">
        <f t="shared" si="2"/>
        <v>0</v>
      </c>
      <c r="F354" s="6"/>
      <c r="G354" s="6" t="str">
        <f t="shared" si="3"/>
        <v>Testing</v>
      </c>
    </row>
    <row r="355" spans="1:7" ht="13" x14ac:dyDescent="0.15">
      <c r="A355" s="21" t="str">
        <f>'Ann1 - Step 2'!A355</f>
        <v>https://github.com/Pipelex/pipelex/blob/main/CLAUDE.md</v>
      </c>
      <c r="B355" s="6" t="str">
        <f>'Ann1 - Step 2'!B355</f>
        <v>If you are an AI agent (Claude Code, Cursor, Codex, or any other agent running in the cloud or in a sandboxed environment), **do NOT use these commands**.</v>
      </c>
      <c r="C355" s="6" t="str">
        <f>'Ann1 - Step 2'!C355</f>
        <v>Testing</v>
      </c>
      <c r="D355" s="6" t="str">
        <f>'Ann2 - Step 2'!C355</f>
        <v>Testing</v>
      </c>
      <c r="E355" s="6" t="b">
        <f t="shared" si="2"/>
        <v>0</v>
      </c>
      <c r="F355" s="6"/>
      <c r="G355" s="6" t="str">
        <f t="shared" si="3"/>
        <v>Testing</v>
      </c>
    </row>
    <row r="356" spans="1:7" ht="28" x14ac:dyDescent="0.15">
      <c r="A356" s="21" t="str">
        <f>'Ann1 - Step 2'!A356</f>
        <v>https://github.com/Pipelex/pipelex/blob/main/CLAUDE.md</v>
      </c>
      <c r="B356" s="8" t="str">
        <f>'Ann1 - Step 2'!B356</f>
        <v>`pipe_code: str` but DO NOT give it a default value like `pipe_code: str = ""` unless it's really justified.</v>
      </c>
      <c r="C356" s="6" t="str">
        <f>'Ann1 - Step 2'!C356</f>
        <v>Coding Style</v>
      </c>
      <c r="D356" s="6" t="str">
        <f>'Ann2 - Step 2'!C356</f>
        <v>Coding Pattern</v>
      </c>
      <c r="E356" s="6" t="b">
        <f t="shared" si="2"/>
        <v>1</v>
      </c>
      <c r="F356" s="6" t="s">
        <v>83</v>
      </c>
      <c r="G356" s="6" t="str">
        <f t="shared" si="3"/>
        <v>Coding Style</v>
      </c>
    </row>
    <row r="357" spans="1:7" ht="13" x14ac:dyDescent="0.15">
      <c r="A357" s="21" t="str">
        <f>'Ann1 - Step 2'!A357</f>
        <v>https://github.com/Pipelex/pipelex/blob/main/CLAUDE.md</v>
      </c>
      <c r="B357" s="6" t="str">
        <f>'Ann1 - Step 2'!B357</f>
        <v>- Do not import libraries in functions or classes unless in very specific cases, to be discussed with the user, as they would required a `# noqa: ...` comment to pass linting</v>
      </c>
      <c r="C357" s="6" t="str">
        <f>'Ann1 - Step 2'!C357</f>
        <v>Coding Pattern</v>
      </c>
      <c r="D357" s="6" t="str">
        <f>'Ann2 - Step 2'!C357</f>
        <v>Coding Pattern</v>
      </c>
      <c r="E357" s="6" t="b">
        <f t="shared" si="2"/>
        <v>0</v>
      </c>
      <c r="F357" s="6"/>
      <c r="G357" s="6" t="str">
        <f t="shared" si="3"/>
        <v>Coding Pattern</v>
      </c>
    </row>
    <row r="358" spans="1:7" ht="28" x14ac:dyDescent="0.15">
      <c r="A358" s="21" t="str">
        <f>'Ann1 - Step 2'!A358</f>
        <v>https://github.com/Pipelex/pipelex/blob/main/CLAUDE.md</v>
      </c>
      <c r="B358" s="23" t="str">
        <f>'Ann1 - Step 2'!B358</f>
        <v>- Do not bother with ordering the imports or removing unused imports, our Ruff linter will handle it for us.</v>
      </c>
      <c r="C358" s="6" t="str">
        <f>'Ann1 - Step 2'!C358</f>
        <v>Coding Style</v>
      </c>
      <c r="D358" s="6" t="str">
        <f>'Ann2 - Step 2'!C358</f>
        <v>Coding Pattern</v>
      </c>
      <c r="E358" s="6" t="b">
        <f t="shared" si="2"/>
        <v>1</v>
      </c>
      <c r="F358" s="6" t="s">
        <v>30</v>
      </c>
      <c r="G358" s="6" t="str">
        <f t="shared" si="3"/>
        <v>Coding Pattern</v>
      </c>
    </row>
    <row r="359" spans="1:7" ht="14" x14ac:dyDescent="0.15">
      <c r="A359" s="21" t="str">
        <f>'Ann1 - Step 2'!A359</f>
        <v>https://github.com/Pipelex/pipelex/blob/main/CLAUDE.md</v>
      </c>
      <c r="B359" s="8" t="str">
        <f>'Ann1 - Step 2'!B359</f>
        <v>- Do NOT fill `__init__.py` files with re-exports.</v>
      </c>
      <c r="C359" s="6" t="str">
        <f>'Ann1 - Step 2'!C359</f>
        <v>Coding Style</v>
      </c>
      <c r="D359" s="6" t="str">
        <f>'Ann2 - Step 2'!C359</f>
        <v>Coding Pattern</v>
      </c>
      <c r="E359" s="6" t="b">
        <f t="shared" si="2"/>
        <v>1</v>
      </c>
      <c r="F359" s="6" t="s">
        <v>30</v>
      </c>
      <c r="G359" s="6" t="str">
        <f t="shared" si="3"/>
        <v>Coding Pattern</v>
      </c>
    </row>
    <row r="360" spans="1:7" ht="13" x14ac:dyDescent="0.15">
      <c r="A360" s="21" t="str">
        <f>'Ann1 - Step 2'!A360</f>
        <v>https://github.com/Pipelex/pipelex/blob/main/CLAUDE.md</v>
      </c>
      <c r="B360" s="6" t="str">
        <f>'Ann1 - Step 2'!B360</f>
        <v>If you need to call a method that lives on a concrete implementation, **extend the `Protocol`** — do not work around it with `isinstance(...)` checks, `cast(...)`, or inline imports of the concrete class.</v>
      </c>
      <c r="C360" s="6" t="str">
        <f>'Ann1 - Step 2'!C360</f>
        <v>Coding Pattern</v>
      </c>
      <c r="D360" s="6" t="str">
        <f>'Ann2 - Step 2'!C360</f>
        <v>Coding Pattern</v>
      </c>
      <c r="E360" s="6" t="b">
        <f t="shared" si="2"/>
        <v>0</v>
      </c>
      <c r="F360" s="6"/>
      <c r="G360" s="6" t="str">
        <f t="shared" si="3"/>
        <v>Coding Pattern</v>
      </c>
    </row>
    <row r="361" spans="1:7" ht="14" x14ac:dyDescent="0.15">
      <c r="A361" s="21" t="str">
        <f>'Ann1 - Step 2'!A361</f>
        <v>https://github.com/Pipelex/pipelex/blob/main/CLAUDE.md</v>
      </c>
      <c r="B361" s="8" t="str">
        <f>'Ann1 - Step 2'!B361</f>
        <v>Do not invent an `except Exception` just to attach cleanup; use `finally` instead.</v>
      </c>
      <c r="C361" s="6" t="str">
        <f>'Ann1 - Step 2'!C361</f>
        <v>Coding Style</v>
      </c>
      <c r="D361" s="6" t="str">
        <f>'Ann2 - Step 2'!C361</f>
        <v>Coding Pattern</v>
      </c>
      <c r="E361" s="6" t="b">
        <f t="shared" si="2"/>
        <v>1</v>
      </c>
      <c r="F361" s="6" t="s">
        <v>30</v>
      </c>
      <c r="G361" s="6" t="str">
        <f t="shared" si="3"/>
        <v>Coding Pattern</v>
      </c>
    </row>
    <row r="362" spans="1:7" ht="28" x14ac:dyDescent="0.15">
      <c r="A362" s="21" t="str">
        <f>'Ann1 - Step 2'!A362</f>
        <v>https://github.com/Pipelex/pipelex/blob/main/CLAUDE.md</v>
      </c>
      <c r="B362" s="8" t="str">
        <f>'Ann1 - Step 2'!B362</f>
        <v>Conversely, do not move cleanup into the success path "to keep things simple" — if it must run on errors too, it belongs in `finally`.</v>
      </c>
      <c r="C362" s="6" t="str">
        <f>'Ann1 - Step 2'!C362</f>
        <v>Coding Style</v>
      </c>
      <c r="D362" s="6" t="str">
        <f>'Ann2 - Step 2'!C362</f>
        <v>Coding Pattern</v>
      </c>
      <c r="E362" s="6" t="b">
        <f t="shared" si="2"/>
        <v>1</v>
      </c>
      <c r="F362" s="6" t="s">
        <v>30</v>
      </c>
      <c r="G362" s="6" t="str">
        <f t="shared" si="3"/>
        <v>Coding Pattern</v>
      </c>
    </row>
    <row r="363" spans="1:7" ht="13" x14ac:dyDescent="0.15">
      <c r="A363" s="21" t="str">
        <f>'Ann1 - Step 2'!A363</f>
        <v>https://github.com/Pipelex/pipelex/blob/main/CLAUDE.md</v>
      </c>
      <c r="B363" s="6" t="str">
        <f>'Ann1 - Step 2'!B363</f>
        <v>- Do NOT add `__init__.py` files to test directories.</v>
      </c>
      <c r="C363" s="6" t="str">
        <f>'Ann1 - Step 2'!C363</f>
        <v>Testing</v>
      </c>
      <c r="D363" s="6" t="str">
        <f>'Ann2 - Step 2'!C363</f>
        <v>Testing</v>
      </c>
      <c r="E363" s="6" t="b">
        <f t="shared" si="2"/>
        <v>0</v>
      </c>
      <c r="F363" s="6"/>
      <c r="G363" s="6" t="str">
        <f t="shared" si="3"/>
        <v>Testing</v>
      </c>
    </row>
    <row r="364" spans="1:7" ht="14" x14ac:dyDescent="0.15">
      <c r="A364" s="21" t="str">
        <f>'Ann1 - Step 2'!A364</f>
        <v>https://github.com/princeton-pli/hal-harness/blob/main/CLAUDE.md</v>
      </c>
      <c r="B364" s="23" t="str">
        <f>'Ann1 - Step 2'!B364</f>
        <v>&lt;!-- claude-reliability:binary-instructions managed section - DO NOT EDIT --&gt;</v>
      </c>
      <c r="C364" s="6" t="str">
        <f>'Ann1 - Step 2'!C364</f>
        <v>Maintainability</v>
      </c>
      <c r="D364" s="6" t="str">
        <f>'Ann2 - Step 2'!C364</f>
        <v>Documentation</v>
      </c>
      <c r="E364" s="6" t="b">
        <f t="shared" si="2"/>
        <v>1</v>
      </c>
      <c r="F364" s="6" t="s">
        <v>18</v>
      </c>
      <c r="G364" s="6" t="str">
        <f t="shared" si="3"/>
        <v>Task Execution</v>
      </c>
    </row>
    <row r="365" spans="1:7" ht="14" x14ac:dyDescent="0.15">
      <c r="A365" s="21" t="str">
        <f>'Ann1 - Step 2'!A365</f>
        <v>https://github.com/princeton-pli/hal-harness/blob/main/CLAUDE.md</v>
      </c>
      <c r="B365" s="23" t="str">
        <f>'Ann1 - Step 2'!B365</f>
        <v>Do NOT use bare `claude-reliability`,</v>
      </c>
      <c r="C365" s="6" t="str">
        <f>'Ann1 - Step 2'!C365</f>
        <v>Maintainability</v>
      </c>
      <c r="D365" s="6" t="str">
        <f>'Ann2 - Step 2'!C365</f>
        <v>Task Execution</v>
      </c>
      <c r="E365" s="6" t="b">
        <f t="shared" si="2"/>
        <v>1</v>
      </c>
      <c r="F365" s="6" t="s">
        <v>18</v>
      </c>
      <c r="G365" s="6" t="str">
        <f t="shared" si="3"/>
        <v>Task Execution</v>
      </c>
    </row>
    <row r="366" spans="1:7" ht="28" x14ac:dyDescent="0.15">
      <c r="A366" s="21" t="str">
        <f>'Ann1 - Step 2'!A366</f>
        <v>https://github.com/princeton-pli/hal-harness/blob/main/CLAUDE.md</v>
      </c>
      <c r="B366" s="23" t="str">
        <f>'Ann1 - Step 2'!B366</f>
        <v>do NOT use paths containing `~/.claude-reliability/`, and do NOT use `$PLUGIN_ROOT_DIR`</v>
      </c>
      <c r="C366" s="6" t="str">
        <f>'Ann1 - Step 2'!C366</f>
        <v>Maintainability</v>
      </c>
      <c r="D366" s="6" t="str">
        <f>'Ann2 - Step 2'!C366</f>
        <v>Task Execution</v>
      </c>
      <c r="E366" s="6" t="b">
        <f t="shared" si="2"/>
        <v>1</v>
      </c>
      <c r="F366" s="6" t="s">
        <v>18</v>
      </c>
      <c r="G366" s="6" t="str">
        <f t="shared" si="3"/>
        <v>Task Execution</v>
      </c>
    </row>
    <row r="367" spans="1:7" ht="13" x14ac:dyDescent="0.15">
      <c r="A367" s="21" t="str">
        <f>'Ann1 - Step 2'!A367</f>
        <v>https://github.com/qltysh/qlty/blob/main/CLAUDE.md</v>
      </c>
      <c r="B367" s="6" t="str">
        <f>'Ann1 - Step 2'!B367</f>
        <v>- Do not add low value comments, let the code speak for itself unless there is something non-obvious</v>
      </c>
      <c r="C367" s="6" t="str">
        <f>'Ann1 - Step 2'!C367</f>
        <v>Documentation</v>
      </c>
      <c r="D367" s="6" t="str">
        <f>'Ann2 - Step 2'!C367</f>
        <v>Documentation</v>
      </c>
      <c r="E367" s="6" t="b">
        <f t="shared" si="2"/>
        <v>0</v>
      </c>
      <c r="F367" s="6"/>
      <c r="G367" s="6" t="str">
        <f t="shared" si="3"/>
        <v>Documentation</v>
      </c>
    </row>
    <row r="368" spans="1:7" ht="13" x14ac:dyDescent="0.15">
      <c r="A368" s="21" t="str">
        <f>'Ann1 - Step 2'!A368</f>
        <v>https://github.com/qltysh/qlty/blob/main/CLAUDE.md</v>
      </c>
      <c r="B368" s="6" t="str">
        <f>'Ann1 - Step 2'!B368</f>
        <v>- Do not remove or modify existing comments unless explicitly asked to</v>
      </c>
      <c r="C368" s="6" t="str">
        <f>'Ann1 - Step 2'!C368</f>
        <v>Documentation</v>
      </c>
      <c r="D368" s="6" t="str">
        <f>'Ann2 - Step 2'!C368</f>
        <v>Documentation</v>
      </c>
      <c r="E368" s="6" t="b">
        <f t="shared" si="2"/>
        <v>0</v>
      </c>
      <c r="F368" s="6"/>
      <c r="G368" s="6" t="str">
        <f t="shared" si="3"/>
        <v>Documentation</v>
      </c>
    </row>
    <row r="369" spans="1:7" ht="14" x14ac:dyDescent="0.15">
      <c r="A369" s="21" t="str">
        <f>'Ann1 - Step 2'!A369</f>
        <v>https://github.com/qltysh/qlty/blob/main/CLAUDE.md</v>
      </c>
      <c r="B369" s="8" t="str">
        <f>'Ann1 - Step 2'!B369</f>
        <v>- Do not add comments to tests</v>
      </c>
      <c r="C369" s="6" t="str">
        <f>'Ann1 - Step 2'!C369</f>
        <v>Documentation</v>
      </c>
      <c r="D369" s="6" t="str">
        <f>'Ann2 - Step 2'!C369</f>
        <v>Testing</v>
      </c>
      <c r="E369" s="6" t="b">
        <f t="shared" si="2"/>
        <v>1</v>
      </c>
      <c r="F369" s="6" t="s">
        <v>88</v>
      </c>
      <c r="G369" s="6" t="str">
        <f t="shared" si="3"/>
        <v>Testing</v>
      </c>
    </row>
    <row r="370" spans="1:7" ht="13" x14ac:dyDescent="0.15">
      <c r="A370" s="21" t="str">
        <f>'Ann1 - Step 2'!A370</f>
        <v>https://github.com/qltysh/qlty/blob/main/CLAUDE.md</v>
      </c>
      <c r="B370" s="6" t="str">
        <f>'Ann1 - Step 2'!B370</f>
        <v>- Do not use custom assertion messages</v>
      </c>
      <c r="C370" s="6" t="str">
        <f>'Ann1 - Step 2'!C370</f>
        <v>Testing</v>
      </c>
      <c r="D370" s="6" t="str">
        <f>'Ann2 - Step 2'!C370</f>
        <v>Testing</v>
      </c>
      <c r="E370" s="6" t="b">
        <f t="shared" si="2"/>
        <v>0</v>
      </c>
      <c r="F370" s="6"/>
      <c r="G370" s="6" t="str">
        <f t="shared" si="3"/>
        <v>Testing</v>
      </c>
    </row>
    <row r="371" spans="1:7" ht="13" x14ac:dyDescent="0.15">
      <c r="A371" s="21" t="str">
        <f>'Ann1 - Step 2'!A371</f>
        <v>https://github.com/qltysh/qlty/blob/main/CLAUDE.md</v>
      </c>
      <c r="B371" s="6" t="str">
        <f>'Ann1 - Step 2'!B371</f>
        <v>- Do not use control flow like if statements or loops in tests</v>
      </c>
      <c r="C371" s="6" t="str">
        <f>'Ann1 - Step 2'!C371</f>
        <v>Testing</v>
      </c>
      <c r="D371" s="6" t="str">
        <f>'Ann2 - Step 2'!C371</f>
        <v>Testing</v>
      </c>
      <c r="E371" s="6" t="b">
        <f t="shared" si="2"/>
        <v>0</v>
      </c>
      <c r="F371" s="6"/>
      <c r="G371" s="6" t="str">
        <f t="shared" si="3"/>
        <v>Testing</v>
      </c>
    </row>
    <row r="372" spans="1:7" ht="13" x14ac:dyDescent="0.15">
      <c r="A372" s="21" t="str">
        <f>'Ann1 - Step 2'!A372</f>
        <v>https://github.com/quarylabs/sqruff/blob/main/CLAUDE.md</v>
      </c>
      <c r="B372" s="6" t="str">
        <f>'Ann1 - Step 2'!B372</f>
        <v>Do not edit directly - regenerate with `cargo run --bin sqruff -F codegen-docs`:</v>
      </c>
      <c r="C372" s="6" t="str">
        <f>'Ann1 - Step 2'!C372</f>
        <v>Documentation</v>
      </c>
      <c r="D372" s="6" t="str">
        <f>'Ann2 - Step 2'!C372</f>
        <v>Documentation</v>
      </c>
      <c r="E372" s="6" t="b">
        <f t="shared" si="2"/>
        <v>0</v>
      </c>
      <c r="F372" s="6"/>
      <c r="G372" s="6" t="str">
        <f t="shared" si="3"/>
        <v>Documentation</v>
      </c>
    </row>
    <row r="373" spans="1:7" ht="14" x14ac:dyDescent="0.15">
      <c r="A373" s="21" t="str">
        <f>'Ann1 - Step 2'!A373</f>
        <v>https://github.com/RchGrav/claudebox/blob/main/CLAUDE.md</v>
      </c>
      <c r="B373" s="8" t="str">
        <f>'Ann1 - Step 2'!B373</f>
        <v>- **DO NOT remove --rm flag** - Containers must clean themselves up</v>
      </c>
      <c r="C373" s="6" t="str">
        <f>'Ann1 - Step 2'!C373</f>
        <v>Task Execution</v>
      </c>
      <c r="D373" s="6" t="str">
        <f>'Ann2 - Step 2'!C373</f>
        <v>Build &amp; Operation</v>
      </c>
      <c r="E373" s="6" t="b">
        <f t="shared" si="2"/>
        <v>1</v>
      </c>
      <c r="F373" s="6" t="s">
        <v>136</v>
      </c>
      <c r="G373" s="6" t="str">
        <f t="shared" si="3"/>
        <v>Build &amp; Operation</v>
      </c>
    </row>
    <row r="374" spans="1:7" ht="28" x14ac:dyDescent="0.15">
      <c r="A374" s="21" t="str">
        <f>'Ann1 - Step 2'!A374</f>
        <v>https://github.com/RchGrav/claudebox/blob/main/CLAUDE.md</v>
      </c>
      <c r="B374" s="8" t="str">
        <f>'Ann1 - Step 2'!B374</f>
        <v>- **DO NOT prevent named containers from using --rm** - This combination is valid and required</v>
      </c>
      <c r="C374" s="6" t="str">
        <f>'Ann1 - Step 2'!C374</f>
        <v>Task Execution</v>
      </c>
      <c r="D374" s="6" t="str">
        <f>'Ann2 - Step 2'!C374</f>
        <v>Build &amp; Operation</v>
      </c>
      <c r="E374" s="6" t="b">
        <f t="shared" si="2"/>
        <v>1</v>
      </c>
      <c r="F374" s="6" t="s">
        <v>136</v>
      </c>
      <c r="G374" s="6" t="str">
        <f t="shared" si="3"/>
        <v>Build &amp; Operation</v>
      </c>
    </row>
    <row r="375" spans="1:7" ht="14" x14ac:dyDescent="0.15">
      <c r="A375" s="21" t="str">
        <f>'Ann1 - Step 2'!A375</f>
        <v>https://github.com/RchGrav/claudebox/blob/main/CLAUDE.md</v>
      </c>
      <c r="B375" s="8" t="str">
        <f>'Ann1 - Step 2'!B375</f>
        <v>- **Layer caching is critical** - DO NOT force --no-cache unless explicitly requested</v>
      </c>
      <c r="C375" s="6" t="str">
        <f>'Ann1 - Step 2'!C375</f>
        <v>Task Execution</v>
      </c>
      <c r="D375" s="6" t="str">
        <f>'Ann2 - Step 2'!C375</f>
        <v>Build &amp; Operation</v>
      </c>
      <c r="E375" s="6" t="b">
        <f t="shared" si="2"/>
        <v>1</v>
      </c>
      <c r="F375" s="6" t="s">
        <v>136</v>
      </c>
      <c r="G375" s="6" t="str">
        <f t="shared" si="3"/>
        <v>Build &amp; Operation</v>
      </c>
    </row>
    <row r="376" spans="1:7" ht="14" x14ac:dyDescent="0.15">
      <c r="A376" s="21" t="str">
        <f>'Ann1 - Step 2'!A376</f>
        <v>https://github.com/RchGrav/claudebox/blob/main/CLAUDE.md</v>
      </c>
      <c r="B376" s="8" t="str">
        <f>'Ann1 - Step 2'!B376</f>
        <v>- **DO NOT delete images during rebuild** - Docker handles layer updates automatically</v>
      </c>
      <c r="C376" s="6" t="str">
        <f>'Ann1 - Step 2'!C376</f>
        <v>Task Execution</v>
      </c>
      <c r="D376" s="6" t="str">
        <f>'Ann2 - Step 2'!C376</f>
        <v>Build &amp; Operation</v>
      </c>
      <c r="E376" s="6" t="b">
        <f t="shared" si="2"/>
        <v>1</v>
      </c>
      <c r="F376" s="6" t="s">
        <v>136</v>
      </c>
      <c r="G376" s="6" t="str">
        <f t="shared" si="3"/>
        <v>Build &amp; Operation</v>
      </c>
    </row>
    <row r="377" spans="1:7" ht="14" x14ac:dyDescent="0.15">
      <c r="A377" s="21" t="str">
        <f>'Ann1 - Step 2'!A377</f>
        <v>https://github.com/RchGrav/claudebox/blob/main/CLAUDE.md</v>
      </c>
      <c r="B377" s="8" t="str">
        <f>'Ann1 - Step 2'!B377</f>
        <v>**DO NOT delete non-existent containers** - They're already gone from --rm</v>
      </c>
      <c r="C377" s="6" t="str">
        <f>'Ann1 - Step 2'!C377</f>
        <v>Task Execution</v>
      </c>
      <c r="D377" s="6" t="str">
        <f>'Ann2 - Step 2'!C377</f>
        <v>Build &amp; Operation</v>
      </c>
      <c r="E377" s="6" t="b">
        <f t="shared" si="2"/>
        <v>1</v>
      </c>
      <c r="F377" s="6" t="s">
        <v>136</v>
      </c>
      <c r="G377" s="6" t="str">
        <f t="shared" si="3"/>
        <v>Build &amp; Operation</v>
      </c>
    </row>
    <row r="378" spans="1:7" ht="14" x14ac:dyDescent="0.15">
      <c r="A378" s="21" t="str">
        <f>'Ann1 - Step 2'!A378</f>
        <v>https://github.com/RchGrav/claudebox/blob/main/CLAUDE.md</v>
      </c>
      <c r="B378" s="8" t="str">
        <f>'Ann1 - Step 2'!B378</f>
        <v>**DO NOT force --no-cache on rebuilds** - Layer caching is intentional</v>
      </c>
      <c r="C378" s="6" t="str">
        <f>'Ann1 - Step 2'!C378</f>
        <v>Task Execution</v>
      </c>
      <c r="D378" s="6" t="str">
        <f>'Ann2 - Step 2'!C378</f>
        <v>Build &amp; Operation</v>
      </c>
      <c r="E378" s="6" t="b">
        <f t="shared" si="2"/>
        <v>1</v>
      </c>
      <c r="F378" s="6" t="s">
        <v>136</v>
      </c>
      <c r="G378" s="6" t="str">
        <f t="shared" si="3"/>
        <v>Build &amp; Operation</v>
      </c>
    </row>
    <row r="379" spans="1:7" ht="28" x14ac:dyDescent="0.15">
      <c r="A379" s="21" t="str">
        <f>'Ann1 - Step 2'!A379</f>
        <v>https://github.com/RchGrav/claudebox/blob/main/CLAUDE.md</v>
      </c>
      <c r="B379" s="23" t="str">
        <f>'Ann1 - Step 2'!B379</f>
        <v>**DO NOT change the slot numbering system** - It's designed this way for hash uniqueness</v>
      </c>
      <c r="C379" s="6" t="str">
        <f>'Ann1 - Step 2'!C379</f>
        <v>Task Execution</v>
      </c>
      <c r="D379" s="6" t="str">
        <f>'Ann2 - Step 2'!C379</f>
        <v>Build &amp; Operation</v>
      </c>
      <c r="E379" s="6" t="b">
        <f t="shared" si="2"/>
        <v>1</v>
      </c>
      <c r="F379" s="6" t="s">
        <v>136</v>
      </c>
      <c r="G379" s="6" t="str">
        <f t="shared" si="3"/>
        <v>Build &amp; Operation</v>
      </c>
    </row>
    <row r="380" spans="1:7" ht="14" x14ac:dyDescent="0.15">
      <c r="A380" s="21" t="str">
        <f>'Ann1 - Step 2'!A380</f>
        <v>https://github.com/RchGrav/claudebox/blob/main/CLAUDE.md</v>
      </c>
      <c r="B380" s="8" t="str">
        <f>'Ann1 - Step 2'!B380</f>
        <v>**DO NOT add lock files** - Docker container names are the locks</v>
      </c>
      <c r="C380" s="6" t="str">
        <f>'Ann1 - Step 2'!C380</f>
        <v>Task Execution</v>
      </c>
      <c r="D380" s="6" t="str">
        <f>'Ann2 - Step 2'!C380</f>
        <v>Build &amp; Operation</v>
      </c>
      <c r="E380" s="6" t="b">
        <f t="shared" si="2"/>
        <v>1</v>
      </c>
      <c r="F380" s="6" t="s">
        <v>136</v>
      </c>
      <c r="G380" s="6" t="str">
        <f t="shared" si="3"/>
        <v>Build &amp; Operation</v>
      </c>
    </row>
    <row r="381" spans="1:7" ht="14" x14ac:dyDescent="0.15">
      <c r="A381" s="21" t="str">
        <f>'Ann1 - Step 2'!A381</f>
        <v>https://github.com/RchGrav/claudebox/blob/main/CLAUDE.md</v>
      </c>
      <c r="B381" s="24" t="str">
        <f>'Ann1 - Step 2'!B381</f>
        <v>**DO NOT redirect stderr to /dev/null** - Errors are needed for troubleshooting</v>
      </c>
      <c r="C381" s="6" t="str">
        <f>'Ann1 - Step 2'!C381</f>
        <v>Task Execution</v>
      </c>
      <c r="D381" s="6" t="str">
        <f>'Ann2 - Step 2'!C381</f>
        <v>Build &amp; Operation</v>
      </c>
      <c r="E381" s="6" t="b">
        <f t="shared" si="2"/>
        <v>1</v>
      </c>
      <c r="F381" s="6" t="s">
        <v>136</v>
      </c>
      <c r="G381" s="6" t="str">
        <f t="shared" si="3"/>
        <v>Build &amp; Operation</v>
      </c>
    </row>
    <row r="382" spans="1:7" ht="14" x14ac:dyDescent="0.15">
      <c r="A382" s="21" t="str">
        <f>'Ann1 - Step 2'!A382</f>
        <v>https://github.com/RchGrav/claudebox/blob/main/CLAUDE.md</v>
      </c>
      <c r="B382" s="8" t="str">
        <f>'Ann1 - Step 2'!B382</f>
        <v>**DO NOT assume typical Docker patterns** - This system has specific requirements</v>
      </c>
      <c r="C382" s="6" t="str">
        <f>'Ann1 - Step 2'!C382</f>
        <v>Task Execution</v>
      </c>
      <c r="D382" s="6" t="str">
        <f>'Ann2 - Step 2'!C382</f>
        <v>Build &amp; Operation</v>
      </c>
      <c r="E382" s="6" t="b">
        <f t="shared" si="2"/>
        <v>1</v>
      </c>
      <c r="F382" s="6" t="s">
        <v>136</v>
      </c>
      <c r="G382" s="6" t="str">
        <f t="shared" si="3"/>
        <v>Build &amp; Operation</v>
      </c>
    </row>
    <row r="383" spans="1:7" ht="14" x14ac:dyDescent="0.15">
      <c r="A383" s="21" t="str">
        <f>'Ann1 - Step 2'!A383</f>
        <v>https://github.com/RchGrav/claudebox/blob/main/CLAUDE.md</v>
      </c>
      <c r="B383" s="8" t="str">
        <f>'Ann1 - Step 2'!B383</f>
        <v>Do not add implementation details here.</v>
      </c>
      <c r="C383" s="6" t="str">
        <f>'Ann1 - Step 2'!C383</f>
        <v>Task Execution</v>
      </c>
      <c r="D383" s="6" t="str">
        <f>'Ann2 - Step 2'!C383</f>
        <v>Documentation</v>
      </c>
      <c r="E383" s="6" t="b">
        <f t="shared" si="2"/>
        <v>1</v>
      </c>
      <c r="F383" s="6" t="s">
        <v>23</v>
      </c>
      <c r="G383" s="6" t="str">
        <f t="shared" si="3"/>
        <v>Documentation</v>
      </c>
    </row>
    <row r="384" spans="1:7" ht="28" x14ac:dyDescent="0.15">
      <c r="A384" s="21" t="str">
        <f>'Ann1 - Step 2'!A384</f>
        <v>https://github.com/RchGrav/claudebox/blob/main/CLAUDE.md</v>
      </c>
      <c r="B384" s="8" t="str">
        <f>'Ann1 - Step 2'!B384</f>
        <v>**IMPORTANT**: Do not implement anything else that deviates from the **Acceptance Criteria**.</v>
      </c>
      <c r="C384" s="6" t="str">
        <f>'Ann1 - Step 2'!C384</f>
        <v>Coding Pattern</v>
      </c>
      <c r="D384" s="6" t="str">
        <f>'Ann2 - Step 2'!C384</f>
        <v>Task Execution</v>
      </c>
      <c r="E384" s="6" t="b">
        <f t="shared" si="2"/>
        <v>1</v>
      </c>
      <c r="F384" s="6" t="s">
        <v>18</v>
      </c>
      <c r="G384" s="6" t="str">
        <f t="shared" si="3"/>
        <v>Task Execution</v>
      </c>
    </row>
    <row r="385" spans="1:7" ht="14" x14ac:dyDescent="0.15">
      <c r="A385" s="21" t="str">
        <f>'Ann1 - Step 2'!A385</f>
        <v>https://github.com/saleor/apps/blob/main/CLAUDE.md</v>
      </c>
      <c r="B385" s="8" t="str">
        <f>'Ann1 - Step 2'!B385</f>
        <v>Do not attach it if code changes do not have visible impact to the user, like refactor.</v>
      </c>
      <c r="C385" s="6" t="str">
        <f>'Ann1 - Step 2'!C385</f>
        <v>Commit&amp;PR rule</v>
      </c>
      <c r="D385" s="6" t="str">
        <f>'Ann2 - Step 2'!C385</f>
        <v>Task Execution</v>
      </c>
      <c r="E385" s="6" t="b">
        <f t="shared" si="2"/>
        <v>1</v>
      </c>
      <c r="F385" s="6" t="s">
        <v>12</v>
      </c>
      <c r="G385" s="6" t="str">
        <f t="shared" si="3"/>
        <v>Commit&amp;PR rule</v>
      </c>
    </row>
    <row r="386" spans="1:7" ht="13" x14ac:dyDescent="0.15">
      <c r="A386" s="21" t="str">
        <f>'Ann1 - Step 2'!A386</f>
        <v>https://github.com/saleor/saleor/blob/main/CLAUDE.md</v>
      </c>
      <c r="B386" s="6" t="str">
        <f>'Ann1 - Step 2'!B386</f>
        <v>Do not wrapp in classes</v>
      </c>
      <c r="C386" s="6" t="str">
        <f>'Ann1 - Step 2'!C386</f>
        <v>Testing</v>
      </c>
      <c r="D386" s="6" t="str">
        <f>'Ann2 - Step 2'!C386</f>
        <v>Testing</v>
      </c>
      <c r="E386" s="6" t="b">
        <f t="shared" si="2"/>
        <v>0</v>
      </c>
      <c r="F386" s="6"/>
      <c r="G386" s="6" t="str">
        <f t="shared" si="3"/>
        <v>Testing</v>
      </c>
    </row>
    <row r="387" spans="1:7" ht="13" x14ac:dyDescent="0.15">
      <c r="A387" s="21" t="str">
        <f>'Ann1 - Step 2'!A387</f>
        <v>https://github.com/saleor/saleor/blob/main/CLAUDE.md</v>
      </c>
      <c r="B387" s="6" t="str">
        <f>'Ann1 - Step 2'!B387</f>
        <v>- Do not write unnecessary prefix to test names.</v>
      </c>
      <c r="C387" s="6" t="str">
        <f>'Ann1 - Step 2'!C387</f>
        <v>Testing</v>
      </c>
      <c r="D387" s="6" t="str">
        <f>'Ann2 - Step 2'!C387</f>
        <v>Testing</v>
      </c>
      <c r="E387" s="6" t="b">
        <f t="shared" si="2"/>
        <v>0</v>
      </c>
      <c r="F387" s="6"/>
      <c r="G387" s="6" t="str">
        <f t="shared" si="3"/>
        <v>Testing</v>
      </c>
    </row>
    <row r="388" spans="1:7" ht="13" x14ac:dyDescent="0.15">
      <c r="A388" s="21" t="str">
        <f>'Ann1 - Step 2'!A388</f>
        <v>https://github.com/saleor/saleor/blob/main/CLAUDE.md</v>
      </c>
      <c r="B388" s="6" t="str">
        <f>'Ann1 - Step 2'!B388</f>
        <v>If file name is `test_my_mutation.py`, do not write `test_my_mutation_with_x_y` but `test_with_x_y`</v>
      </c>
      <c r="C388" s="6" t="str">
        <f>'Ann1 - Step 2'!C388</f>
        <v>Testing</v>
      </c>
      <c r="D388" s="6" t="str">
        <f>'Ann2 - Step 2'!C388</f>
        <v>Testing</v>
      </c>
      <c r="E388" s="6" t="b">
        <f t="shared" si="2"/>
        <v>0</v>
      </c>
      <c r="F388" s="6"/>
      <c r="G388" s="6" t="str">
        <f t="shared" si="3"/>
        <v>Testing</v>
      </c>
    </row>
    <row r="389" spans="1:7" ht="13" x14ac:dyDescent="0.15">
      <c r="A389" s="21" t="str">
        <f>'Ann1 - Step 2'!A389</f>
        <v>https://github.com/saleor/saleor/blob/main/CLAUDE.md</v>
      </c>
      <c r="B389" s="6" t="str">
        <f>'Ann1 - Step 2'!B389</f>
        <v>Do not repeat literal values between setup and assertion — use the variable instead.</v>
      </c>
      <c r="C389" s="6" t="str">
        <f>'Ann1 - Step 2'!C389</f>
        <v>Testing</v>
      </c>
      <c r="D389" s="6" t="str">
        <f>'Ann2 - Step 2'!C389</f>
        <v>Testing</v>
      </c>
      <c r="E389" s="6" t="b">
        <f t="shared" si="2"/>
        <v>0</v>
      </c>
      <c r="F389" s="6"/>
      <c r="G389" s="6" t="str">
        <f t="shared" si="3"/>
        <v>Testing</v>
      </c>
    </row>
    <row r="390" spans="1:7" ht="13" x14ac:dyDescent="0.15">
      <c r="A390" s="21" t="str">
        <f>'Ann1 - Step 2'!A390</f>
        <v>https://github.com/Southclaws/storyden/blob/main/CLAUDE.md</v>
      </c>
      <c r="B390" s="6" t="str">
        <f>'Ann1 - Step 2'!B390</f>
        <v>**Note**: Panda CSS changes (design tokens, recipes, patterns) in `web/panda.config.ts` do NOT require running `task generate`.</v>
      </c>
      <c r="C390" s="6" t="str">
        <f>'Ann1 - Step 2'!C390</f>
        <v>Task Execution</v>
      </c>
      <c r="D390" s="6" t="str">
        <f>'Ann2 - Step 2'!C390</f>
        <v>Task Execution</v>
      </c>
      <c r="E390" s="6" t="b">
        <f t="shared" si="2"/>
        <v>0</v>
      </c>
      <c r="F390" s="6"/>
      <c r="G390" s="6" t="str">
        <f t="shared" si="3"/>
        <v>Task Execution</v>
      </c>
    </row>
    <row r="391" spans="1:7" ht="13" x14ac:dyDescent="0.15">
      <c r="A391" s="21" t="str">
        <f>'Ann1 - Step 2'!A391</f>
        <v>https://github.com/speaches-ai/speaches/blob/master/CLAUDE.md</v>
      </c>
      <c r="B391" s="6" t="str">
        <f>'Ann1 - Step 2'!B391</f>
        <v>- Do not use emojis or any special characters in code comments or log messages.</v>
      </c>
      <c r="C391" s="6" t="str">
        <f>'Ann1 - Step 2'!C391</f>
        <v>Documentation</v>
      </c>
      <c r="D391" s="6" t="str">
        <f>'Ann2 - Step 2'!C391</f>
        <v>Documentation</v>
      </c>
      <c r="E391" s="6" t="b">
        <f t="shared" si="2"/>
        <v>0</v>
      </c>
      <c r="F391" s="6"/>
      <c r="G391" s="6" t="str">
        <f t="shared" si="3"/>
        <v>Documentation</v>
      </c>
    </row>
    <row r="392" spans="1:7" ht="13" x14ac:dyDescent="0.15">
      <c r="A392" s="21" t="str">
        <f>'Ann1 - Step 2'!A392</f>
        <v>https://github.com/speaches-ai/speaches/blob/master/CLAUDE.md</v>
      </c>
      <c r="B392" s="6" t="str">
        <f>'Ann1 - Step 2'!B392</f>
        <v>- Do not write docsctrings</v>
      </c>
      <c r="C392" s="6" t="str">
        <f>'Ann1 - Step 2'!C392</f>
        <v>Documentation</v>
      </c>
      <c r="D392" s="6" t="str">
        <f>'Ann2 - Step 2'!C392</f>
        <v>Documentation</v>
      </c>
      <c r="E392" s="6" t="b">
        <f t="shared" si="2"/>
        <v>0</v>
      </c>
      <c r="F392" s="6"/>
      <c r="G392" s="6" t="str">
        <f t="shared" si="3"/>
        <v>Documentation</v>
      </c>
    </row>
    <row r="393" spans="1:7" ht="13" x14ac:dyDescent="0.15">
      <c r="A393" s="21" t="str">
        <f>'Ann1 - Step 2'!A393</f>
        <v>https://github.com/spylang/spy/blob/main/CLAUDE.md</v>
      </c>
      <c r="B393" s="6" t="str">
        <f>'Ann1 - Step 2'!B393</f>
        <v>- when writing tests, do NOT put a docstring to explain what the test does, especially</v>
      </c>
      <c r="C393" s="6" t="str">
        <f>'Ann1 - Step 2'!C393</f>
        <v>Testing</v>
      </c>
      <c r="D393" s="6" t="str">
        <f>'Ann2 - Step 2'!C393</f>
        <v>Testing</v>
      </c>
      <c r="E393" s="6" t="b">
        <f t="shared" si="2"/>
        <v>0</v>
      </c>
      <c r="F393" s="6"/>
      <c r="G393" s="6" t="str">
        <f t="shared" si="3"/>
        <v>Testing</v>
      </c>
    </row>
    <row r="394" spans="1:7" ht="13" x14ac:dyDescent="0.15">
      <c r="A394" s="21" t="str">
        <f>'Ann1 - Step 2'!A394</f>
        <v>https://github.com/theopenco/llmgateway/blob/main/CLAUDE.md</v>
      </c>
      <c r="B394" s="6" t="str">
        <f>'Ann1 - Step 2'!B394</f>
        <v>Do not run test files or suites in parallel unless the repository instructions for that exact suite explicitly require it.</v>
      </c>
      <c r="C394" s="6" t="str">
        <f>'Ann1 - Step 2'!C394</f>
        <v>Testing</v>
      </c>
      <c r="D394" s="6" t="str">
        <f>'Ann2 - Step 2'!C394</f>
        <v>Testing</v>
      </c>
      <c r="E394" s="6" t="b">
        <f t="shared" si="2"/>
        <v>0</v>
      </c>
      <c r="F394" s="6"/>
      <c r="G394" s="6" t="str">
        <f t="shared" si="3"/>
        <v>Testing</v>
      </c>
    </row>
    <row r="395" spans="1:7" ht="28" x14ac:dyDescent="0.15">
      <c r="A395" s="21" t="str">
        <f>'Ann1 - Step 2'!A395</f>
        <v>https://github.com/theopenco/llmgateway/blob/main/CLAUDE.md</v>
      </c>
      <c r="B395" s="23" t="str">
        <f>'Ann1 - Step 2'!B395</f>
        <v>Do NOT attempt to manually edit or resolve conflicts in any file under `packages/db/migrations/`</v>
      </c>
      <c r="C395" s="6" t="str">
        <f>'Ann1 - Step 2'!C395</f>
        <v>Task Execution</v>
      </c>
      <c r="D395" s="6" t="str">
        <f>'Ann2 - Step 2'!C395</f>
        <v>Coding Pattern</v>
      </c>
      <c r="E395" s="6" t="b">
        <f t="shared" si="2"/>
        <v>1</v>
      </c>
      <c r="F395" s="6" t="s">
        <v>136</v>
      </c>
      <c r="G395" s="6" t="str">
        <f t="shared" si="3"/>
        <v>Build &amp; Operation</v>
      </c>
    </row>
    <row r="396" spans="1:7" ht="13" x14ac:dyDescent="0.15">
      <c r="A396" s="21" t="str">
        <f>'Ann1 - Step 2'!A396</f>
        <v>https://github.com/theopenco/llmgateway/blob/main/CLAUDE.md</v>
      </c>
      <c r="B396" s="6" t="str">
        <f>'Ann1 - Step 2'!B396</f>
        <v>- Do not use useEffect for data fetching in the UI; instead, use TanStack Query for all data fetching and state management.</v>
      </c>
      <c r="C396" s="6" t="str">
        <f>'Ann1 - Step 2'!C396</f>
        <v>Coding Pattern</v>
      </c>
      <c r="D396" s="6" t="str">
        <f>'Ann2 - Step 2'!C396</f>
        <v>Coding Pattern</v>
      </c>
      <c r="E396" s="6" t="b">
        <f t="shared" si="2"/>
        <v>0</v>
      </c>
      <c r="F396" s="6"/>
      <c r="G396" s="6" t="str">
        <f t="shared" si="3"/>
        <v>Coding Pattern</v>
      </c>
    </row>
    <row r="397" spans="1:7" ht="13" x14ac:dyDescent="0.15">
      <c r="A397" s="21" t="str">
        <f>'Ann1 - Step 2'!A397</f>
        <v>https://github.com/theopenco/llmgateway/blob/main/CLAUDE.md</v>
      </c>
      <c r="B397" s="6" t="str">
        <f>'Ann1 - Step 2'!B397</f>
        <v>- Do not --amend commits after pushing to remote</v>
      </c>
      <c r="C397" s="6" t="str">
        <f>'Ann1 - Step 2'!C397</f>
        <v>Commit&amp;PR rule</v>
      </c>
      <c r="D397" s="6" t="str">
        <f>'Ann2 - Step 2'!C397</f>
        <v>Commit&amp;PR rule</v>
      </c>
      <c r="E397" s="6" t="b">
        <f t="shared" si="2"/>
        <v>0</v>
      </c>
      <c r="F397" s="6"/>
      <c r="G397" s="6" t="str">
        <f t="shared" si="3"/>
        <v>Commit&amp;PR rule</v>
      </c>
    </row>
    <row r="398" spans="1:7" ht="13" x14ac:dyDescent="0.15">
      <c r="A398" s="21" t="str">
        <f>'Ann1 - Step 2'!A398</f>
        <v>https://github.com/theopenco/llmgateway/blob/main/CLAUDE.md</v>
      </c>
      <c r="B398" s="6" t="str">
        <f>'Ann1 - Step 2'!B398</f>
        <v>- Do not add explicit caching or memoization around `process.env` reads or parsed env-var values unless there is a measured hot-path need</v>
      </c>
      <c r="C398" s="6" t="str">
        <f>'Ann1 - Step 2'!C398</f>
        <v>Coding Pattern</v>
      </c>
      <c r="D398" s="6" t="str">
        <f>'Ann2 - Step 2'!C398</f>
        <v>Coding Pattern</v>
      </c>
      <c r="E398" s="6" t="b">
        <f t="shared" si="2"/>
        <v>0</v>
      </c>
      <c r="F398" s="6"/>
      <c r="G398" s="6" t="str">
        <f t="shared" si="3"/>
        <v>Coding Pattern</v>
      </c>
    </row>
    <row r="399" spans="1:7" ht="13" x14ac:dyDescent="0.15">
      <c r="A399" s="21" t="str">
        <f>'Ann1 - Step 2'!A399</f>
        <v>https://github.com/theopenco/llmgateway/blob/main/CLAUDE.md</v>
      </c>
      <c r="B399" s="6" t="str">
        <f>'Ann1 - Step 2'!B399</f>
        <v>- Do not use broad try/catch in API handlers unless to check for specific errors; instead, let errors propagate and be handled by the global error handler</v>
      </c>
      <c r="C399" s="6" t="str">
        <f>'Ann1 - Step 2'!C399</f>
        <v>Coding Pattern</v>
      </c>
      <c r="D399" s="6" t="str">
        <f>'Ann2 - Step 2'!C399</f>
        <v>Coding Pattern</v>
      </c>
      <c r="E399" s="6" t="b">
        <f t="shared" si="2"/>
        <v>0</v>
      </c>
      <c r="F399" s="6"/>
      <c r="G399" s="6" t="str">
        <f t="shared" si="3"/>
        <v>Coding Pattern</v>
      </c>
    </row>
    <row r="400" spans="1:7" ht="13" x14ac:dyDescent="0.15">
      <c r="A400" s="21" t="str">
        <f>'Ann1 - Step 2'!A400</f>
        <v>https://github.com/thirdweb-dev/js/blob/main/CLAUDE.md</v>
      </c>
      <c r="B400" s="6" t="str">
        <f>'Ann1 - Step 2'!B400</f>
        <v>Do not self-merge unless sole package owner</v>
      </c>
      <c r="C400" s="6" t="str">
        <f>'Ann1 - Step 2'!C400</f>
        <v>Commit&amp;PR rule</v>
      </c>
      <c r="D400" s="6" t="str">
        <f>'Ann2 - Step 2'!C400</f>
        <v>Commit&amp;PR rule</v>
      </c>
      <c r="E400" s="6" t="b">
        <f t="shared" si="2"/>
        <v>0</v>
      </c>
      <c r="F400" s="6"/>
      <c r="G400" s="6" t="str">
        <f t="shared" si="3"/>
        <v>Commit&amp;PR rule</v>
      </c>
    </row>
    <row r="401" spans="1:7" ht="13" x14ac:dyDescent="0.15">
      <c r="A401" s="21" t="str">
        <f>'Ann1 - Step 2'!A401</f>
        <v>https://github.com/truenas/webui/blob/master/CLAUDE.md</v>
      </c>
      <c r="B401" s="6" t="str">
        <f>'Ann1 - Step 2'!B401</f>
        <v>Do NOT provide full objects.</v>
      </c>
      <c r="C401" s="6" t="str">
        <f>'Ann1 - Step 2'!C401</f>
        <v>Testing</v>
      </c>
      <c r="D401" s="6" t="str">
        <f>'Ann2 - Step 2'!C401</f>
        <v>Testing</v>
      </c>
      <c r="E401" s="6" t="b">
        <f t="shared" si="2"/>
        <v>0</v>
      </c>
      <c r="F401" s="6"/>
      <c r="G401" s="6" t="str">
        <f t="shared" si="3"/>
        <v>Testing</v>
      </c>
    </row>
    <row r="402" spans="1:7" ht="13" x14ac:dyDescent="0.15">
      <c r="A402" s="21" t="str">
        <f>'Ann1 - Step 2'!A402</f>
        <v>https://github.com/truenas/webui/blob/master/CLAUDE.md</v>
      </c>
      <c r="B402" s="6" t="str">
        <f>'Ann1 - Step 2'!B402</f>
        <v>- Do not use done callbacks - use async/await</v>
      </c>
      <c r="C402" s="6" t="str">
        <f>'Ann1 - Step 2'!C402</f>
        <v>Testing</v>
      </c>
      <c r="D402" s="6" t="str">
        <f>'Ann2 - Step 2'!C402</f>
        <v>Testing</v>
      </c>
      <c r="E402" s="6" t="b">
        <f t="shared" si="2"/>
        <v>0</v>
      </c>
      <c r="F402" s="6"/>
      <c r="G402" s="6" t="str">
        <f t="shared" si="3"/>
        <v>Testing</v>
      </c>
    </row>
    <row r="403" spans="1:7" ht="13" x14ac:dyDescent="0.15">
      <c r="A403" s="21" t="str">
        <f>'Ann1 - Step 2'!A403</f>
        <v>https://github.com/twentyhq/twenty/blob/main/CLAUDE.md</v>
      </c>
      <c r="B403" s="6" t="str">
        <f>'Ann1 - Step 2'!B403</f>
        <v>- Do not comment obvious code</v>
      </c>
      <c r="C403" s="6" t="str">
        <f>'Ann1 - Step 2'!C403</f>
        <v>Documentation</v>
      </c>
      <c r="D403" s="6" t="str">
        <f>'Ann2 - Step 2'!C403</f>
        <v>Documentation</v>
      </c>
      <c r="E403" s="6" t="b">
        <f t="shared" si="2"/>
        <v>0</v>
      </c>
      <c r="F403" s="6"/>
      <c r="G403" s="6" t="str">
        <f t="shared" si="3"/>
        <v>Documentation</v>
      </c>
    </row>
    <row r="404" spans="1:7" ht="13" x14ac:dyDescent="0.15">
      <c r="A404" s="21" t="str">
        <f>'Ann1 - Step 2'!A404</f>
        <v>https://github.com/vaadin/flow/blob/main/CLAUDE.md</v>
      </c>
      <c r="B404" s="6" t="str">
        <f>'Ann1 - Step 2'!B404</f>
        <v>Do not start rewriting code.**</v>
      </c>
      <c r="C404" s="6" t="str">
        <f>'Ann1 - Step 2'!C404</f>
        <v>Task Execution</v>
      </c>
      <c r="D404" s="6" t="str">
        <f>'Ann2 - Step 2'!C404</f>
        <v>Task Execution</v>
      </c>
      <c r="E404" s="6" t="b">
        <f t="shared" si="2"/>
        <v>0</v>
      </c>
      <c r="F404" s="6"/>
      <c r="G404" s="6" t="str">
        <f t="shared" si="3"/>
        <v>Task Execution</v>
      </c>
    </row>
    <row r="405" spans="1:7" ht="13" x14ac:dyDescent="0.15">
      <c r="A405" s="21" t="str">
        <f>'Ann1 - Step 2'!A405</f>
        <v>https://github.com/wolfi-dev/os/blob/main/CLAUDE.md</v>
      </c>
      <c r="B405" s="6" t="str">
        <f>'Ann1 - Step 2'!B405</f>
        <v>- Do not include "Co-Authored-By" lines unless specifically requested</v>
      </c>
      <c r="C405" s="6" t="str">
        <f>'Ann1 - Step 2'!C405</f>
        <v>Commit&amp;PR rule</v>
      </c>
      <c r="D405" s="6" t="str">
        <f>'Ann2 - Step 2'!C405</f>
        <v>Commit&amp;PR rule</v>
      </c>
      <c r="E405" s="6" t="b">
        <f t="shared" si="2"/>
        <v>0</v>
      </c>
      <c r="F405" s="6"/>
      <c r="G405" s="6" t="str">
        <f t="shared" si="3"/>
        <v>Commit&amp;PR rule</v>
      </c>
    </row>
    <row r="406" spans="1:7" ht="13" x14ac:dyDescent="0.15">
      <c r="A406" s="21" t="str">
        <f>'Ann1 - Step 2'!A406</f>
        <v>https://github.com/xlnfinance/xln/blob/main/CLAUDE.md</v>
      </c>
      <c r="B406" s="6" t="str">
        <f>'Ann1 - Step 2'!B406</f>
        <v>Do not create mocks/stubs unless asked.</v>
      </c>
      <c r="C406" s="6" t="str">
        <f>'Ann1 - Step 2'!C406</f>
        <v>Testing</v>
      </c>
      <c r="D406" s="6" t="str">
        <f>'Ann2 - Step 2'!C406</f>
        <v>Testing</v>
      </c>
      <c r="E406" s="6" t="b">
        <f t="shared" si="2"/>
        <v>0</v>
      </c>
      <c r="F406" s="6"/>
      <c r="G406" s="6" t="str">
        <f t="shared" si="3"/>
        <v>Testing</v>
      </c>
    </row>
    <row r="407" spans="1:7" ht="13" x14ac:dyDescent="0.15">
      <c r="A407" s="21" t="str">
        <f>'Ann1 - Step 2'!A407</f>
        <v>https://github.com/zed-industries/zed/blob/main/CLAUDE.md</v>
      </c>
      <c r="B407" s="6" t="str">
        <f>'Ann1 - Step 2'!B407</f>
        <v>* Do not write organizational or comments that summarize the code.</v>
      </c>
      <c r="C407" s="6" t="str">
        <f>'Ann1 - Step 2'!C407</f>
        <v>Documentation</v>
      </c>
      <c r="D407" s="6" t="str">
        <f>'Ann2 - Step 2'!C407</f>
        <v>Documentation</v>
      </c>
      <c r="E407" s="6" t="b">
        <f t="shared" si="2"/>
        <v>0</v>
      </c>
      <c r="F407" s="6"/>
      <c r="G407" s="6" t="str">
        <f t="shared" si="3"/>
        <v>Documentation</v>
      </c>
    </row>
    <row r="408" spans="1:7" ht="13" x14ac:dyDescent="0.15">
      <c r="A408" s="21" t="str">
        <f>'Ann1 - Step 2'!A408</f>
        <v>https://github.com/zenml-io/zenml/blob/main/CLAUDE.md</v>
      </c>
      <c r="B408" s="6" t="str">
        <f>'Ann1 - Step 2'!B408</f>
        <v>- Do not use multi-line banner comments to group classes/functions.</v>
      </c>
      <c r="C408" s="6" t="str">
        <f>'Ann1 - Step 2'!C408</f>
        <v>Documentation</v>
      </c>
      <c r="D408" s="6" t="str">
        <f>'Ann2 - Step 2'!C408</f>
        <v>Documentation</v>
      </c>
      <c r="E408" s="6" t="b">
        <f t="shared" si="2"/>
        <v>0</v>
      </c>
      <c r="F408" s="6"/>
      <c r="G408" s="6" t="str">
        <f t="shared" si="3"/>
        <v>Documentation</v>
      </c>
    </row>
    <row r="409" spans="1:7" ht="13" x14ac:dyDescent="0.15">
      <c r="A409" s="21" t="str">
        <f>'Ann1 - Step 2'!A409</f>
        <v>https://github.com/zenml-io/zenml/blob/main/CLAUDE.md</v>
      </c>
      <c r="B409" s="6" t="str">
        <f>'Ann1 - Step 2'!B409</f>
        <v>- Do NOT try to run the entire test suite locally - many tests require special environments</v>
      </c>
      <c r="C409" s="6" t="str">
        <f>'Ann1 - Step 2'!C409</f>
        <v>Testing</v>
      </c>
      <c r="D409" s="6" t="str">
        <f>'Ann2 - Step 2'!C409</f>
        <v>Testing</v>
      </c>
      <c r="E409" s="6" t="b">
        <f t="shared" si="2"/>
        <v>0</v>
      </c>
      <c r="F409" s="6"/>
      <c r="G409" s="6" t="str">
        <f t="shared" si="3"/>
        <v>Testing</v>
      </c>
    </row>
    <row r="410" spans="1:7" ht="13" x14ac:dyDescent="0.15">
      <c r="A410" s="21" t="str">
        <f>'Ann1 - Step 2'!A410</f>
        <v>https://github.com/alchemiststudiosDOTai/tunacode/blob/master/AGENTS.md</v>
      </c>
      <c r="B410" s="6" t="str">
        <f>'Ann1 - Step 2'!B410</f>
        <v>- Do not add TunaCode-owned message-contract wrappers around tinyagent message types; use tinyagent models directly in memory and keep dict payloads at real boundaries.</v>
      </c>
      <c r="C410" s="6" t="str">
        <f>'Ann1 - Step 2'!C410</f>
        <v>Maintainability</v>
      </c>
      <c r="D410" s="6" t="str">
        <f>'Ann2 - Step 2'!C410</f>
        <v>Maintainability</v>
      </c>
      <c r="E410" s="6" t="b">
        <f t="shared" si="2"/>
        <v>0</v>
      </c>
      <c r="F410" s="6"/>
      <c r="G410" s="6" t="str">
        <f t="shared" si="3"/>
        <v>Maintainability</v>
      </c>
    </row>
    <row r="411" spans="1:7" ht="13" x14ac:dyDescent="0.15">
      <c r="A411" s="21" t="str">
        <f>'Ann1 - Step 2'!A411</f>
        <v>https://github.com/alchemiststudiosDOTai/tunacode/blob/master/AGENTS.md</v>
      </c>
      <c r="B411" s="6" t="str">
        <f>'Ann1 - Step 2'!B411</f>
        <v>Do not add any new file-specific exemptions to the `&gt;600` line rule; fix the enforcement path or split the code instead.</v>
      </c>
      <c r="C411" s="6" t="str">
        <f>'Ann1 - Step 2'!C411</f>
        <v>Maintainability</v>
      </c>
      <c r="D411" s="6" t="str">
        <f>'Ann2 - Step 2'!C411</f>
        <v>Maintainability</v>
      </c>
      <c r="E411" s="6" t="b">
        <f t="shared" si="2"/>
        <v>0</v>
      </c>
      <c r="F411" s="6"/>
      <c r="G411" s="6" t="str">
        <f t="shared" si="3"/>
        <v>Maintainability</v>
      </c>
    </row>
    <row r="412" spans="1:7" ht="13" x14ac:dyDescent="0.15">
      <c r="A412" s="21" t="str">
        <f>'Ann1 - Step 2'!A412</f>
        <v>https://github.com/alchemiststudiosDOTai/tunacode/blob/master/AGENTS.md</v>
      </c>
      <c r="B412" s="6" t="str">
        <f>'Ann1 - Step 2'!B412</f>
        <v>- Do not edit unrelated local changes unless scoped to the task.</v>
      </c>
      <c r="C412" s="6" t="str">
        <f>'Ann1 - Step 2'!C412</f>
        <v>Maintainability</v>
      </c>
      <c r="D412" s="6" t="str">
        <f>'Ann2 - Step 2'!C412</f>
        <v>Maintainability</v>
      </c>
      <c r="E412" s="6" t="b">
        <f t="shared" si="2"/>
        <v>0</v>
      </c>
      <c r="F412" s="6"/>
      <c r="G412" s="6" t="str">
        <f t="shared" si="3"/>
        <v>Maintainability</v>
      </c>
    </row>
    <row r="413" spans="1:7" ht="13" x14ac:dyDescent="0.15">
      <c r="A413" s="21" t="str">
        <f>'Ann1 - Step 2'!A413</f>
        <v>https://github.com/ArcInstitute/SRAgent/blob/main/AGENTS.md</v>
      </c>
      <c r="B413" s="6" t="str">
        <f>'Ann1 - Step 2'!B413</f>
        <v>Do not commit real credentials; use GitHub secrets or local `.env`.</v>
      </c>
      <c r="C413" s="6" t="str">
        <f>'Ann1 - Step 2'!C413</f>
        <v>Security</v>
      </c>
      <c r="D413" s="6" t="str">
        <f>'Ann2 - Step 2'!C413</f>
        <v>Security</v>
      </c>
      <c r="E413" s="6" t="b">
        <f t="shared" si="2"/>
        <v>0</v>
      </c>
      <c r="F413" s="6"/>
      <c r="G413" s="6" t="str">
        <f t="shared" si="3"/>
        <v>Security</v>
      </c>
    </row>
    <row r="414" spans="1:7" ht="13" x14ac:dyDescent="0.15">
      <c r="A414" s="21" t="str">
        <f>'Ann1 - Step 2'!A414</f>
        <v>https://github.com/biolink/biolink-model/blob/master/AGENTS.md</v>
      </c>
      <c r="B414" s="6" t="str">
        <f>'Ann1 - Step 2'!B414</f>
        <v>* `project` - derived files (do not edit these directly, they are derived from the LinkML)</v>
      </c>
      <c r="C414" s="6" t="str">
        <f>'Ann1 - Step 2'!C414</f>
        <v>Task Execution</v>
      </c>
      <c r="D414" s="6" t="str">
        <f>'Ann2 - Step 2'!C414</f>
        <v>Task Execution</v>
      </c>
      <c r="E414" s="6" t="b">
        <f t="shared" si="2"/>
        <v>0</v>
      </c>
      <c r="F414" s="6"/>
      <c r="G414" s="6" t="str">
        <f t="shared" si="3"/>
        <v>Task Execution</v>
      </c>
    </row>
    <row r="415" spans="1:7" ht="13" x14ac:dyDescent="0.15">
      <c r="A415" s="21" t="str">
        <f>'Ann1 - Step 2'!A415</f>
        <v>https://github.com/biolink/biolink-model/blob/master/AGENTS.md</v>
      </c>
      <c r="B415" s="6" t="str">
        <f>'Ann1 - Step 2'!B415</f>
        <v>* `docs` - derived docs - do NOT edit these directly</v>
      </c>
      <c r="C415" s="6" t="str">
        <f>'Ann1 - Step 2'!C415</f>
        <v>Task Execution</v>
      </c>
      <c r="D415" s="6" t="str">
        <f>'Ann2 - Step 2'!C415</f>
        <v>Task Execution</v>
      </c>
      <c r="E415" s="6" t="b">
        <f t="shared" si="2"/>
        <v>0</v>
      </c>
      <c r="F415" s="6"/>
      <c r="G415" s="6" t="str">
        <f t="shared" si="3"/>
        <v>Task Execution</v>
      </c>
    </row>
    <row r="416" spans="1:7" ht="13" x14ac:dyDescent="0.15">
      <c r="A416" s="21" t="str">
        <f>'Ann1 - Step 2'!A416</f>
        <v>https://github.com/biolink/biolink-model/blob/master/AGENTS.md</v>
      </c>
      <c r="B416" s="6" t="str">
        <f>'Ann1 - Step 2'!B416</f>
        <v>Do not edit these directly</v>
      </c>
      <c r="C416" s="6" t="str">
        <f>'Ann1 - Step 2'!C416</f>
        <v>Task Execution</v>
      </c>
      <c r="D416" s="6" t="str">
        <f>'Ann2 - Step 2'!C416</f>
        <v>Task Execution</v>
      </c>
      <c r="E416" s="6" t="b">
        <f t="shared" si="2"/>
        <v>0</v>
      </c>
      <c r="F416" s="6"/>
      <c r="G416" s="6" t="str">
        <f t="shared" si="3"/>
        <v>Task Execution</v>
      </c>
    </row>
    <row r="417" spans="1:7" ht="14" x14ac:dyDescent="0.15">
      <c r="A417" s="21" t="str">
        <f>'Ann1 - Step 2'!A417</f>
        <v>https://github.com/bionic-gpt/bionic-gpt/blob/main/AGENTS.md</v>
      </c>
      <c r="B417" s="8" t="str">
        <f>'Ann1 - Step 2'!B417</f>
        <v>ADD VALUE`), do not use the new value in the same migration transaction.</v>
      </c>
      <c r="C417" s="6" t="str">
        <f>'Ann1 - Step 2'!C417</f>
        <v>Coding Style</v>
      </c>
      <c r="D417" s="6" t="str">
        <f>'Ann2 - Step 2'!C417</f>
        <v>Coding Pattern</v>
      </c>
      <c r="E417" s="6" t="b">
        <f t="shared" si="2"/>
        <v>1</v>
      </c>
      <c r="F417" s="6" t="s">
        <v>30</v>
      </c>
      <c r="G417" s="6" t="str">
        <f t="shared" si="3"/>
        <v>Coding Pattern</v>
      </c>
    </row>
    <row r="418" spans="1:7" ht="14" x14ac:dyDescent="0.15">
      <c r="A418" s="21" t="str">
        <f>'Ann1 - Step 2'!A418</f>
        <v>https://github.com/BoldGrid/w3-total-cache/blob/master/AGENTS.md</v>
      </c>
      <c r="B418" s="8" t="str">
        <f>'Ann1 - Step 2'!B418</f>
        <v>- Do not use spaces for indentation; use 4-space tabs instead.</v>
      </c>
      <c r="C418" s="6" t="str">
        <f>'Ann1 - Step 2'!C418</f>
        <v>Coding Pattern</v>
      </c>
      <c r="D418" s="6" t="str">
        <f>'Ann2 - Step 2'!C418</f>
        <v>Coding Style</v>
      </c>
      <c r="E418" s="6" t="b">
        <f t="shared" si="2"/>
        <v>1</v>
      </c>
      <c r="F418" s="6" t="s">
        <v>83</v>
      </c>
      <c r="G418" s="6" t="str">
        <f t="shared" si="3"/>
        <v>Coding Style</v>
      </c>
    </row>
    <row r="419" spans="1:7" ht="28" x14ac:dyDescent="0.15">
      <c r="A419" s="21" t="str">
        <f>'Ann1 - Step 2'!A419</f>
        <v>https://github.com/BoldGrid/w3-total-cache/blob/master/AGENTS.md</v>
      </c>
      <c r="B419" s="8" t="str">
        <f>'Ann1 - Step 2'!B419</f>
        <v>- Do not make coding standards changes in changed files unless it is directly related to the functionality being modified.</v>
      </c>
      <c r="C419" s="6" t="str">
        <f>'Ann1 - Step 2'!C419</f>
        <v>Task Execution</v>
      </c>
      <c r="D419" s="6" t="str">
        <f>'Ann2 - Step 2'!C419</f>
        <v>Coding Style</v>
      </c>
      <c r="E419" s="6" t="b">
        <f t="shared" si="2"/>
        <v>1</v>
      </c>
      <c r="F419" s="6" t="s">
        <v>18</v>
      </c>
      <c r="G419" s="6" t="str">
        <f t="shared" si="3"/>
        <v>Task Execution</v>
      </c>
    </row>
    <row r="420" spans="1:7" ht="14" x14ac:dyDescent="0.15">
      <c r="A420" s="21" t="str">
        <f>'Ann1 - Step 2'!A420</f>
        <v>https://github.com/BoldGrid/w3-total-cache/blob/master/AGENTS.md</v>
      </c>
      <c r="B420" s="8" t="str">
        <f>'Ann1 - Step 2'!B420</f>
        <v>- Do not update POT files -- it's done in our build process.</v>
      </c>
      <c r="C420" s="6" t="str">
        <f>'Ann1 - Step 2'!C420</f>
        <v>Commit&amp;PR rule</v>
      </c>
      <c r="D420" s="6" t="str">
        <f>'Ann2 - Step 2'!C420</f>
        <v>Build &amp; Operation</v>
      </c>
      <c r="E420" s="6" t="b">
        <f t="shared" si="2"/>
        <v>1</v>
      </c>
      <c r="F420" s="6" t="s">
        <v>136</v>
      </c>
      <c r="G420" s="6" t="str">
        <f t="shared" si="3"/>
        <v>Build &amp; Operation</v>
      </c>
    </row>
    <row r="421" spans="1:7" ht="14" x14ac:dyDescent="0.15">
      <c r="A421" s="21" t="str">
        <f>'Ann1 - Step 2'!A421</f>
        <v>https://github.com/BoldGrid/w3-total-cache/blob/master/AGENTS.md</v>
      </c>
      <c r="B421" s="25" t="str">
        <f>'Ann1 - Step 2'!B421</f>
        <v>- Do not change the `readme.txt` file -- it's done on release branches.</v>
      </c>
      <c r="C421" s="6" t="str">
        <f>'Ann1 - Step 2'!C421</f>
        <v>Commit&amp;PR rule</v>
      </c>
      <c r="D421" s="6" t="str">
        <f>'Ann2 - Step 2'!C421</f>
        <v>Build &amp; Operation</v>
      </c>
      <c r="E421" s="6" t="b">
        <f t="shared" si="2"/>
        <v>1</v>
      </c>
      <c r="F421" s="6" t="s">
        <v>18</v>
      </c>
      <c r="G421" s="6" t="str">
        <f t="shared" si="3"/>
        <v>Task Execution</v>
      </c>
    </row>
    <row r="422" spans="1:7" ht="14" x14ac:dyDescent="0.15">
      <c r="A422" s="21" t="str">
        <f>'Ann1 - Step 2'!A422</f>
        <v>https://github.com/BoldGrid/w3-total-cache/blob/master/AGENTS.md</v>
      </c>
      <c r="B422" s="25" t="str">
        <f>'Ann1 - Step 2'!B422</f>
        <v>- Do not increment the plugin version number -- it's done in our build process.</v>
      </c>
      <c r="C422" s="6" t="str">
        <f>'Ann1 - Step 2'!C422</f>
        <v>Commit&amp;PR rule</v>
      </c>
      <c r="D422" s="6" t="str">
        <f>'Ann2 - Step 2'!C422</f>
        <v>Build &amp; Operation</v>
      </c>
      <c r="E422" s="6" t="b">
        <f t="shared" si="2"/>
        <v>1</v>
      </c>
      <c r="F422" s="6" t="s">
        <v>18</v>
      </c>
      <c r="G422" s="6" t="str">
        <f t="shared" si="3"/>
        <v>Task Execution</v>
      </c>
    </row>
    <row r="423" spans="1:7" ht="14" x14ac:dyDescent="0.15">
      <c r="A423" s="21" t="str">
        <f>'Ann1 - Step 2'!A423</f>
        <v>https://github.com/bruin-data/bruin/blob/main/AGENTS.md</v>
      </c>
      <c r="B423" s="8" t="str">
        <f>'Ann1 - Step 2'!B423</f>
        <v>Do not consider your task complete until both checks pass.</v>
      </c>
      <c r="C423" s="6" t="str">
        <f>'Ann1 - Step 2'!C423</f>
        <v>Task Execution</v>
      </c>
      <c r="D423" s="6" t="str">
        <f>'Ann2 - Step 2'!C423</f>
        <v>Build &amp; Operation</v>
      </c>
      <c r="E423" s="6" t="b">
        <f t="shared" si="2"/>
        <v>1</v>
      </c>
      <c r="F423" s="6" t="s">
        <v>18</v>
      </c>
      <c r="G423" s="6" t="str">
        <f t="shared" si="3"/>
        <v>Task Execution</v>
      </c>
    </row>
    <row r="424" spans="1:7" ht="14" x14ac:dyDescent="0.15">
      <c r="A424" s="21" t="str">
        <f>'Ann1 - Step 2'!A424</f>
        <v>https://github.com/CapSoftware/Cap/blob/main/AGENTS.md</v>
      </c>
      <c r="B424" s="8" t="str">
        <f>'Ann1 - Step 2'!B424</f>
        <v>Do not emit the left column; always emit the right column.</v>
      </c>
      <c r="C424" s="6" t="str">
        <f>'Ann1 - Step 2'!C424</f>
        <v>Coding Pattern</v>
      </c>
      <c r="D424" s="6" t="str">
        <f>'Ann2 - Step 2'!C424</f>
        <v>Coding Style</v>
      </c>
      <c r="E424" s="6" t="b">
        <f t="shared" si="2"/>
        <v>1</v>
      </c>
      <c r="F424" s="6" t="s">
        <v>18</v>
      </c>
      <c r="G424" s="6" t="str">
        <f t="shared" si="3"/>
        <v>Task Execution</v>
      </c>
    </row>
    <row r="425" spans="1:7" ht="13" x14ac:dyDescent="0.15">
      <c r="A425" s="21" t="str">
        <f>'Ann1 - Step 2'!A425</f>
        <v>https://github.com/CapSoftware/Cap/blob/main/AGENTS.md</v>
      </c>
      <c r="B425" s="6" t="str">
        <f>'Ann1 - Step 2'!B425</f>
        <v>`biome.json` at repo root enforces (do not override locally):</v>
      </c>
      <c r="C425" s="6" t="str">
        <f>'Ann1 - Step 2'!C425</f>
        <v>Coding Style</v>
      </c>
      <c r="D425" s="6" t="str">
        <f>'Ann2 - Step 2'!C425</f>
        <v>Coding Style</v>
      </c>
      <c r="E425" s="6" t="b">
        <f t="shared" si="2"/>
        <v>0</v>
      </c>
      <c r="F425" s="6"/>
      <c r="G425" s="6" t="str">
        <f t="shared" si="3"/>
        <v>Coding Style</v>
      </c>
    </row>
    <row r="426" spans="1:7" ht="13" x14ac:dyDescent="0.15">
      <c r="A426" s="21" t="str">
        <f>'Ann1 - Step 2'!A426</f>
        <v>https://github.com/CapSoftware/Cap/blob/main/AGENTS.md</v>
      </c>
      <c r="B426" s="6" t="str">
        <f>'Ann1 - Step 2'!B426</f>
        <v>Do not configure per-file overrides.</v>
      </c>
      <c r="C426" s="6" t="str">
        <f>'Ann1 - Step 2'!C426</f>
        <v>Coding Style</v>
      </c>
      <c r="D426" s="6" t="str">
        <f>'Ann2 - Step 2'!C426</f>
        <v>Coding Style</v>
      </c>
      <c r="E426" s="6" t="b">
        <f t="shared" si="2"/>
        <v>0</v>
      </c>
      <c r="F426" s="6"/>
      <c r="G426" s="6" t="str">
        <f t="shared" si="3"/>
        <v>Coding Style</v>
      </c>
    </row>
    <row r="427" spans="1:7" ht="13" x14ac:dyDescent="0.15">
      <c r="A427" s="21" t="str">
        <f>'Ann1 - Step 2'!A427</f>
        <v>https://github.com/CapSoftware/Cap/blob/main/AGENTS.md</v>
      </c>
      <c r="B427" s="6" t="str">
        <f>'Ann1 - Step 2'!B427</f>
        <v>Those are the source of truth — do not duplicate or weaken them here.)</v>
      </c>
      <c r="C427" s="6" t="str">
        <f>'Ann1 - Step 2'!C427</f>
        <v>Coding Style</v>
      </c>
      <c r="D427" s="6" t="str">
        <f>'Ann2 - Step 2'!C427</f>
        <v>Coding Style</v>
      </c>
      <c r="E427" s="6" t="b">
        <f t="shared" si="2"/>
        <v>0</v>
      </c>
      <c r="F427" s="6"/>
      <c r="G427" s="6" t="str">
        <f t="shared" si="3"/>
        <v>Coding Style</v>
      </c>
    </row>
    <row r="428" spans="1:7" ht="13" x14ac:dyDescent="0.15">
      <c r="A428" s="21" t="str">
        <f>'Ann1 - Step 2'!A428</f>
        <v>https://github.com/CapSoftware/Cap/blob/main/AGENTS.md</v>
      </c>
      <c r="B428" s="6" t="str">
        <f>'Ann1 - Step 2'!B428</f>
        <v>- Do not start extra servers; use `pnpm dev:web` or `pnpm dev:desktop` as needed.</v>
      </c>
      <c r="C428" s="6" t="str">
        <f>'Ann1 - Step 2'!C428</f>
        <v>Build &amp; Operation</v>
      </c>
      <c r="D428" s="6" t="str">
        <f>'Ann2 - Step 2'!C428</f>
        <v>Build &amp; Operation</v>
      </c>
      <c r="E428" s="6" t="b">
        <f t="shared" si="2"/>
        <v>0</v>
      </c>
      <c r="F428" s="6"/>
      <c r="G428" s="6" t="str">
        <f t="shared" si="3"/>
        <v>Build &amp; Operation</v>
      </c>
    </row>
    <row r="429" spans="1:7" ht="13" x14ac:dyDescent="0.15">
      <c r="A429" s="21" t="str">
        <f>'Ann1 - Step 2'!A429</f>
        <v>https://github.com/carverauto/serviceradar/blob/main/AGENTS.md</v>
      </c>
      <c r="B429" s="6" t="str">
        <f>'Ann1 - Step 2'!B429</f>
        <v>Do not commit screenshot references unless explicitly requested.</v>
      </c>
      <c r="C429" s="6" t="str">
        <f>'Ann1 - Step 2'!C429</f>
        <v>Commit&amp;PR rule</v>
      </c>
      <c r="D429" s="6" t="str">
        <f>'Ann2 - Step 2'!C429</f>
        <v>Commit&amp;PR rule</v>
      </c>
      <c r="E429" s="6" t="b">
        <f t="shared" si="2"/>
        <v>0</v>
      </c>
      <c r="F429" s="6"/>
      <c r="G429" s="6" t="str">
        <f t="shared" si="3"/>
        <v>Commit&amp;PR rule</v>
      </c>
    </row>
    <row r="430" spans="1:7" ht="13" x14ac:dyDescent="0.15">
      <c r="A430" s="21" t="str">
        <f>'Ann1 - Step 2'!A430</f>
        <v>https://github.com/carverauto/serviceradar/blob/main/AGENTS.md</v>
      </c>
      <c r="B430" s="6" t="str">
        <f>'Ann1 - Step 2'!B430</f>
        <v>Do not use `require_atomic? false` to silence atomicity warnings.</v>
      </c>
      <c r="C430" s="6" t="str">
        <f>'Ann1 - Step 2'!C430</f>
        <v>Coding Pattern</v>
      </c>
      <c r="D430" s="6" t="str">
        <f>'Ann2 - Step 2'!C430</f>
        <v>Coding Pattern</v>
      </c>
      <c r="E430" s="6" t="b">
        <f t="shared" si="2"/>
        <v>0</v>
      </c>
      <c r="F430" s="6"/>
      <c r="G430" s="6" t="str">
        <f t="shared" si="3"/>
        <v>Coding Pattern</v>
      </c>
    </row>
    <row r="431" spans="1:7" ht="13" x14ac:dyDescent="0.15">
      <c r="A431" s="21" t="str">
        <f>'Ann1 - Step 2'!A431</f>
        <v>https://github.com/carverauto/serviceradar/blob/main/AGENTS.md</v>
      </c>
      <c r="B431" s="6" t="str">
        <f>'Ann1 - Step 2'!B431</f>
        <v>Do not create or reference objects in the `public` schema.</v>
      </c>
      <c r="C431" s="6" t="str">
        <f>'Ann1 - Step 2'!C431</f>
        <v>Coding Pattern</v>
      </c>
      <c r="D431" s="6" t="str">
        <f>'Ann2 - Step 2'!C431</f>
        <v>Coding Pattern</v>
      </c>
      <c r="E431" s="6" t="b">
        <f t="shared" si="2"/>
        <v>0</v>
      </c>
      <c r="F431" s="6"/>
      <c r="G431" s="6" t="str">
        <f t="shared" si="3"/>
        <v>Coding Pattern</v>
      </c>
    </row>
    <row r="432" spans="1:7" ht="13" x14ac:dyDescent="0.15">
      <c r="A432" s="21" t="str">
        <f>'Ann1 - Step 2'!A432</f>
        <v>https://github.com/commonwarexyz/monorepo/blob/main/AGENTS.md</v>
      </c>
      <c r="B432" s="6" t="str">
        <f>'Ann1 - Step 2'!B432</f>
        <v>Do not introduce direct `tokio` usage unless the crate already owns a runtime integration or command-line runtime path (for example `runtime`, `deployer`, runtime utilities, benches, or tests).</v>
      </c>
      <c r="C432" s="6" t="str">
        <f>'Ann1 - Step 2'!C432</f>
        <v>Coding Pattern</v>
      </c>
      <c r="D432" s="6" t="str">
        <f>'Ann2 - Step 2'!C432</f>
        <v>Coding Pattern</v>
      </c>
      <c r="E432" s="6" t="b">
        <f t="shared" si="2"/>
        <v>0</v>
      </c>
      <c r="F432" s="6"/>
      <c r="G432" s="6" t="str">
        <f t="shared" si="3"/>
        <v>Coding Pattern</v>
      </c>
    </row>
    <row r="433" spans="1:7" ht="13" x14ac:dyDescent="0.15">
      <c r="A433" s="21" t="str">
        <f>'Ann1 - Step 2'!A433</f>
        <v>https://github.com/commonwarexyz/monorepo/blob/main/AGENTS.md</v>
      </c>
      <c r="B433" s="6" t="str">
        <f>'Ann1 - Step 2'!B433</f>
        <v>Do not add backwards-compatibility shims or preserve old behavior.</v>
      </c>
      <c r="C433" s="6" t="str">
        <f>'Ann1 - Step 2'!C433</f>
        <v>Coding Pattern</v>
      </c>
      <c r="D433" s="6" t="str">
        <f>'Ann2 - Step 2'!C433</f>
        <v>Coding Pattern</v>
      </c>
      <c r="E433" s="6" t="b">
        <f t="shared" si="2"/>
        <v>0</v>
      </c>
      <c r="F433" s="6"/>
      <c r="G433" s="6" t="str">
        <f t="shared" si="3"/>
        <v>Coding Pattern</v>
      </c>
    </row>
    <row r="434" spans="1:7" ht="13" x14ac:dyDescent="0.15">
      <c r="A434" s="21" t="str">
        <f>'Ann1 - Step 2'!A434</f>
        <v>https://github.com/commonwarexyz/monorepo/blob/main/AGENTS.md</v>
      </c>
      <c r="B434" s="6" t="str">
        <f>'Ann1 - Step 2'!B434</f>
        <v>- Do not introduce direct `tokio` usage in protocol crates unless the module is explicitly runtime-specific, a benchmark, or a test.</v>
      </c>
      <c r="C434" s="6" t="str">
        <f>'Ann1 - Step 2'!C434</f>
        <v>Coding Pattern</v>
      </c>
      <c r="D434" s="6" t="str">
        <f>'Ann2 - Step 2'!C434</f>
        <v>Coding Pattern</v>
      </c>
      <c r="E434" s="6" t="b">
        <f t="shared" si="2"/>
        <v>0</v>
      </c>
      <c r="F434" s="6"/>
      <c r="G434" s="6" t="str">
        <f t="shared" si="3"/>
        <v>Coding Pattern</v>
      </c>
    </row>
    <row r="435" spans="1:7" ht="13" x14ac:dyDescent="0.15">
      <c r="A435" s="21" t="str">
        <f>'Ann1 - Step 2'!A435</f>
        <v>https://github.com/commonwarexyz/monorepo/blob/main/AGENTS.md</v>
      </c>
      <c r="B435" s="6" t="str">
        <f>'Ann1 - Step 2'!B435</f>
        <v>- Place explanatory comments above the logical code block they describe; do not split a single consecutive sequence with inline comments between adjacent lines.</v>
      </c>
      <c r="C435" s="6" t="str">
        <f>'Ann1 - Step 2'!C435</f>
        <v>Documentation</v>
      </c>
      <c r="D435" s="6" t="str">
        <f>'Ann2 - Step 2'!C435</f>
        <v>Documentation</v>
      </c>
      <c r="E435" s="6" t="b">
        <f t="shared" si="2"/>
        <v>0</v>
      </c>
      <c r="F435" s="6"/>
      <c r="G435" s="6" t="str">
        <f t="shared" si="3"/>
        <v>Documentation</v>
      </c>
    </row>
    <row r="436" spans="1:7" ht="13" x14ac:dyDescent="0.15">
      <c r="A436" s="21" t="str">
        <f>'Ann1 - Step 2'!A436</f>
        <v>https://github.com/commonwarexyz/monorepo/blob/main/AGENTS.md</v>
      </c>
      <c r="B436" s="6" t="str">
        <f>'Ann1 - Step 2'!B436</f>
        <v>- Do not describe trait implementations on the trait definition (e.g., "For production runtimes, this does X.</v>
      </c>
      <c r="C436" s="6" t="str">
        <f>'Ann1 - Step 2'!C436</f>
        <v>Documentation</v>
      </c>
      <c r="D436" s="6" t="str">
        <f>'Ann2 - Step 2'!C436</f>
        <v>Documentation</v>
      </c>
      <c r="E436" s="6" t="b">
        <f t="shared" si="2"/>
        <v>0</v>
      </c>
      <c r="F436" s="6"/>
      <c r="G436" s="6" t="str">
        <f t="shared" si="3"/>
        <v>Documentation</v>
      </c>
    </row>
    <row r="437" spans="1:7" ht="13" x14ac:dyDescent="0.15">
      <c r="A437" s="21" t="str">
        <f>'Ann1 - Step 2'!A437</f>
        <v>https://github.com/commonwarexyz/monorepo/blob/main/AGENTS.md</v>
      </c>
      <c r="B437" s="6" t="str">
        <f>'Ann1 - Step 2'!B437</f>
        <v>- Do not write comments that sound unnatural, out of place, or overly verbose outside the context of the changes being made.</v>
      </c>
      <c r="C437" s="6" t="str">
        <f>'Ann1 - Step 2'!C437</f>
        <v>Documentation</v>
      </c>
      <c r="D437" s="6" t="str">
        <f>'Ann2 - Step 2'!C437</f>
        <v>Documentation</v>
      </c>
      <c r="E437" s="6" t="b">
        <f t="shared" si="2"/>
        <v>0</v>
      </c>
      <c r="F437" s="6"/>
      <c r="G437" s="6" t="str">
        <f t="shared" si="3"/>
        <v>Documentation</v>
      </c>
    </row>
    <row r="438" spans="1:7" ht="14" x14ac:dyDescent="0.15">
      <c r="A438" s="21" t="str">
        <f>'Ann1 - Step 2'!A438</f>
        <v>https://github.com/cubicdaiya/nginx-build/blob/master/AGENTS.md</v>
      </c>
      <c r="B438" s="8" t="str">
        <f>'Ann1 - Step 2'!B438</f>
        <v>Do not commit credentials or generated binaries (`nginx-build`).</v>
      </c>
      <c r="C438" s="6" t="str">
        <f>'Ann1 - Step 2'!C438</f>
        <v>Security</v>
      </c>
      <c r="D438" s="6" t="str">
        <f>'Ann2 - Step 2'!C438</f>
        <v>Commit&amp;PR rule</v>
      </c>
      <c r="E438" s="6" t="b">
        <f t="shared" si="2"/>
        <v>1</v>
      </c>
      <c r="F438" s="6" t="s">
        <v>342</v>
      </c>
      <c r="G438" s="6" t="str">
        <f t="shared" si="3"/>
        <v>Security</v>
      </c>
    </row>
    <row r="439" spans="1:7" ht="28" x14ac:dyDescent="0.15">
      <c r="A439" s="21" t="str">
        <f>'Ann1 - Step 2'!A439</f>
        <v>https://github.com/DannyMac180/meta-agent/blob/main/AGENTS.md</v>
      </c>
      <c r="B439" s="23" t="str">
        <f>'Ann1 - Step 2'!B439</f>
        <v>- Ensure that your changes are compatible with the existing codebase and do not introduce breaking changes.</v>
      </c>
      <c r="C439" s="6" t="str">
        <f>'Ann1 - Step 2'!C439</f>
        <v>Coding Pattern</v>
      </c>
      <c r="D439" s="6" t="str">
        <f>'Ann2 - Step 2'!C439</f>
        <v>Task Execution</v>
      </c>
      <c r="E439" s="6" t="b">
        <f t="shared" si="2"/>
        <v>1</v>
      </c>
      <c r="F439" s="6" t="s">
        <v>18</v>
      </c>
      <c r="G439" s="6" t="str">
        <f t="shared" si="3"/>
        <v>Task Execution</v>
      </c>
    </row>
    <row r="440" spans="1:7" ht="13" x14ac:dyDescent="0.15">
      <c r="A440" s="21" t="str">
        <f>'Ann1 - Step 2'!A440</f>
        <v>https://github.com/DataDog/datadog-agent/blob/main/AGENTS.md</v>
      </c>
      <c r="B440" s="6" t="str">
        <f>'Ann1 - Step 2'!B440</f>
        <v>This also applies to indirect usage — do not shell out to `go build` or</v>
      </c>
      <c r="C440" s="6" t="str">
        <f>'Ann1 - Step 2'!C440</f>
        <v>Build &amp; Operation</v>
      </c>
      <c r="D440" s="6" t="str">
        <f>'Ann2 - Step 2'!C440</f>
        <v>Build &amp; Operation</v>
      </c>
      <c r="E440" s="6" t="b">
        <f t="shared" si="2"/>
        <v>0</v>
      </c>
      <c r="F440" s="6"/>
      <c r="G440" s="6" t="str">
        <f t="shared" si="3"/>
        <v>Build &amp; Operation</v>
      </c>
    </row>
    <row r="441" spans="1:7" ht="13" x14ac:dyDescent="0.15">
      <c r="A441" s="21" t="str">
        <f>'Ann1 - Step 2'!A441</f>
        <v>https://github.com/elamperti/OpenWebScrobbler/blob/main/AGENTS.md</v>
      </c>
      <c r="B441" s="6" t="str">
        <f>'Ann1 - Step 2'!B441</f>
        <v>- Do not hardcode strings in components; use translation keys.</v>
      </c>
      <c r="C441" s="6" t="str">
        <f>'Ann1 - Step 2'!C441</f>
        <v>Coding Pattern</v>
      </c>
      <c r="D441" s="6" t="str">
        <f>'Ann2 - Step 2'!C441</f>
        <v>Coding Pattern</v>
      </c>
      <c r="E441" s="6" t="b">
        <f t="shared" si="2"/>
        <v>0</v>
      </c>
      <c r="F441" s="6"/>
      <c r="G441" s="6" t="str">
        <f t="shared" si="3"/>
        <v>Coding Pattern</v>
      </c>
    </row>
    <row r="442" spans="1:7" ht="13" x14ac:dyDescent="0.15">
      <c r="A442" s="21" t="str">
        <f>'Ann1 - Step 2'!A442</f>
        <v>https://github.com/ESPresense/ESPresense-companion/blob/main/AGENTS.md</v>
      </c>
      <c r="B442" s="6" t="str">
        <f>'Ann1 - Step 2'!B442</f>
        <v>- Do not commit secrets.</v>
      </c>
      <c r="C442" s="6" t="str">
        <f>'Ann1 - Step 2'!C442</f>
        <v>Security</v>
      </c>
      <c r="D442" s="6" t="str">
        <f>'Ann2 - Step 2'!C442</f>
        <v>Security</v>
      </c>
      <c r="E442" s="6" t="b">
        <f t="shared" si="2"/>
        <v>0</v>
      </c>
      <c r="F442" s="6"/>
      <c r="G442" s="6" t="str">
        <f t="shared" si="3"/>
        <v>Security</v>
      </c>
    </row>
    <row r="443" spans="1:7" ht="13" x14ac:dyDescent="0.15">
      <c r="A443" s="21" t="str">
        <f>'Ann1 - Step 2'!A443</f>
        <v>https://github.com/fujiapple852/trippy/blob/master/AGENTS.md</v>
      </c>
      <c r="B443" s="6" t="str">
        <f>'Ann1 - Step 2'!B443</f>
        <v>Do not pass `--all-features`.</v>
      </c>
      <c r="C443" s="6" t="str">
        <f>'Ann1 - Step 2'!C443</f>
        <v>Testing</v>
      </c>
      <c r="D443" s="6" t="str">
        <f>'Ann2 - Step 2'!C443</f>
        <v>Testing</v>
      </c>
      <c r="E443" s="6" t="b">
        <f t="shared" si="2"/>
        <v>0</v>
      </c>
      <c r="F443" s="6"/>
      <c r="G443" s="6" t="str">
        <f t="shared" si="3"/>
        <v>Testing</v>
      </c>
    </row>
    <row r="444" spans="1:7" ht="14" x14ac:dyDescent="0.15">
      <c r="A444" s="21" t="str">
        <f>'Ann1 - Step 2'!A444</f>
        <v>https://github.com/gitkraken/vscode-gitlens/blob/main/AGENTS.md</v>
      </c>
      <c r="B444" s="8" t="str">
        <f>'Ann1 - Step 2'!B444</f>
        <v>Do not guess at method names, decorator behaviors, or class interfaces.</v>
      </c>
      <c r="C444" s="6" t="str">
        <f>'Ann1 - Step 2'!C444</f>
        <v>Coding Pattern</v>
      </c>
      <c r="D444" s="6" t="str">
        <f>'Ann2 - Step 2'!C444</f>
        <v>Task Execution</v>
      </c>
      <c r="E444" s="6" t="b">
        <f t="shared" si="2"/>
        <v>1</v>
      </c>
      <c r="F444" s="6" t="s">
        <v>18</v>
      </c>
      <c r="G444" s="6" t="str">
        <f t="shared" si="3"/>
        <v>Task Execution</v>
      </c>
    </row>
    <row r="445" spans="1:7" ht="28" x14ac:dyDescent="0.15">
      <c r="A445" s="21" t="str">
        <f>'Ann1 - Step 2'!A445</f>
        <v>https://github.com/gitkraken/vscode-gitlens/blob/main/AGENTS.md</v>
      </c>
      <c r="B445" s="8" t="str">
        <f>'Ann1 - Step 2'!B445</f>
        <v>Do not introduce new types, enums, marker interfaces, migration flags, or wrapper abstractions unless they serve multiple consumers.</v>
      </c>
      <c r="C445" s="6" t="str">
        <f>'Ann1 - Step 2'!C445</f>
        <v>Coding Pattern</v>
      </c>
      <c r="D445" s="6" t="str">
        <f>'Ann2 - Step 2'!C445</f>
        <v>Task Execution</v>
      </c>
      <c r="E445" s="6" t="b">
        <f t="shared" si="2"/>
        <v>1</v>
      </c>
      <c r="F445" s="6" t="s">
        <v>18</v>
      </c>
      <c r="G445" s="6" t="str">
        <f t="shared" si="3"/>
        <v>Task Execution</v>
      </c>
    </row>
    <row r="446" spans="1:7" ht="14" x14ac:dyDescent="0.15">
      <c r="A446" s="21" t="str">
        <f>'Ann1 - Step 2'!A446</f>
        <v>https://github.com/gitkraken/vscode-gitlens/blob/main/AGENTS.md</v>
      </c>
      <c r="B446" s="8" t="str">
        <f>'Ann1 - Step 2'!B446</f>
        <v>Do not make silent drive-by changes unrelated to the task at hand.</v>
      </c>
      <c r="C446" s="6" t="str">
        <f>'Ann1 - Step 2'!C446</f>
        <v>Coding Pattern</v>
      </c>
      <c r="D446" s="6" t="str">
        <f>'Ann2 - Step 2'!C446</f>
        <v>Task Execution</v>
      </c>
      <c r="E446" s="6" t="b">
        <f t="shared" si="2"/>
        <v>1</v>
      </c>
      <c r="F446" s="6" t="s">
        <v>18</v>
      </c>
      <c r="G446" s="6" t="str">
        <f t="shared" si="3"/>
        <v>Task Execution</v>
      </c>
    </row>
    <row r="447" spans="1:7" ht="14" x14ac:dyDescent="0.15">
      <c r="A447" s="21" t="str">
        <f>'Ann1 - Step 2'!A447</f>
        <v>https://github.com/gitkraken/vscode-gitlens/blob/main/AGENTS.md</v>
      </c>
      <c r="B447" s="8" t="str">
        <f>'Ann1 - Step 2'!B447</f>
        <v>Do NOT assume an issue is pre-existing — verify it.</v>
      </c>
      <c r="C447" s="6" t="str">
        <f>'Ann1 - Step 2'!C447</f>
        <v>Coding Pattern</v>
      </c>
      <c r="D447" s="6" t="str">
        <f>'Ann2 - Step 2'!C447</f>
        <v>Task Execution</v>
      </c>
      <c r="E447" s="6" t="b">
        <f t="shared" si="2"/>
        <v>1</v>
      </c>
      <c r="F447" s="6" t="s">
        <v>18</v>
      </c>
      <c r="G447" s="6" t="str">
        <f t="shared" si="3"/>
        <v>Task Execution</v>
      </c>
    </row>
    <row r="448" spans="1:7" ht="13" x14ac:dyDescent="0.15">
      <c r="A448" s="21" t="str">
        <f>'Ann1 - Step 2'!A448</f>
        <v>https://github.com/hahwul/dalfox/blob/main/AGENTS.md</v>
      </c>
      <c r="B448" s="6" t="str">
        <f>'Ann1 - Step 2'!B448</f>
        <v>- Do not introduce unbounded async fan-out.</v>
      </c>
      <c r="C448" s="6" t="str">
        <f>'Ann1 - Step 2'!C448</f>
        <v>Coding Pattern</v>
      </c>
      <c r="D448" s="6" t="str">
        <f>'Ann2 - Step 2'!C448</f>
        <v>Coding Pattern</v>
      </c>
      <c r="E448" s="6" t="b">
        <f t="shared" si="2"/>
        <v>0</v>
      </c>
      <c r="F448" s="6"/>
      <c r="G448" s="6" t="str">
        <f t="shared" si="3"/>
        <v>Coding Pattern</v>
      </c>
    </row>
    <row r="449" spans="1:7" ht="13" x14ac:dyDescent="0.15">
      <c r="A449" s="21" t="str">
        <f>'Ann1 - Step 2'!A449</f>
        <v>https://github.com/hathach/tinyusb/blob/master/AGENTS.md</v>
      </c>
      <c r="B449" s="6" t="str">
        <f>'Ann1 - Step 2'!B449</f>
        <v>**Do not commit automatically — leave changes for maintainer review.**</v>
      </c>
      <c r="C449" s="6" t="str">
        <f>'Ann1 - Step 2'!C449</f>
        <v>Commit&amp;PR rule</v>
      </c>
      <c r="D449" s="6" t="str">
        <f>'Ann2 - Step 2'!C449</f>
        <v>Commit&amp;PR rule</v>
      </c>
      <c r="E449" s="6" t="b">
        <f t="shared" si="2"/>
        <v>0</v>
      </c>
      <c r="F449" s="6"/>
      <c r="G449" s="6" t="str">
        <f t="shared" si="3"/>
        <v>Commit&amp;PR rule</v>
      </c>
    </row>
    <row r="450" spans="1:7" ht="13" x14ac:dyDescent="0.15">
      <c r="A450" s="21" t="str">
        <f>'Ann1 - Step 2'!A450</f>
        <v>https://github.com/herbie-fp/herbie/blob/main/AGENTS.md</v>
      </c>
      <c r="B450" s="6" t="str">
        <f>'Ann1 - Step 2'!B450</f>
        <v>do not import higher layers.</v>
      </c>
      <c r="C450" s="6" t="str">
        <f>'Ann1 - Step 2'!C450</f>
        <v>Coding Pattern</v>
      </c>
      <c r="D450" s="6" t="str">
        <f>'Ann2 - Step 2'!C450</f>
        <v>Coding Pattern</v>
      </c>
      <c r="E450" s="6" t="b">
        <f t="shared" si="2"/>
        <v>0</v>
      </c>
      <c r="F450" s="6"/>
      <c r="G450" s="6" t="str">
        <f t="shared" si="3"/>
        <v>Coding Pattern</v>
      </c>
    </row>
    <row r="451" spans="1:7" ht="13" x14ac:dyDescent="0.15">
      <c r="A451" s="21" t="str">
        <f>'Ann1 - Step 2'!A451</f>
        <v>https://github.com/herbie-fp/herbie/blob/main/AGENTS.md</v>
      </c>
      <c r="B451" s="6" t="str">
        <f>'Ann1 - Step 2'!B451</f>
        <v>- Do not code defensively.</v>
      </c>
      <c r="C451" s="6" t="str">
        <f>'Ann1 - Step 2'!C451</f>
        <v>Coding Pattern</v>
      </c>
      <c r="D451" s="6" t="str">
        <f>'Ann2 - Step 2'!C451</f>
        <v>Coding Pattern</v>
      </c>
      <c r="E451" s="6" t="b">
        <f t="shared" si="2"/>
        <v>0</v>
      </c>
      <c r="F451" s="6"/>
      <c r="G451" s="6" t="str">
        <f t="shared" si="3"/>
        <v>Coding Pattern</v>
      </c>
    </row>
    <row r="452" spans="1:7" ht="13" x14ac:dyDescent="0.15">
      <c r="A452" s="21" t="str">
        <f>'Ann1 - Step 2'!A452</f>
        <v>https://github.com/herbie-fp/herbie/blob/main/AGENTS.md</v>
      </c>
      <c r="B452" s="6" t="str">
        <f>'Ann1 - Step 2'!B452</f>
        <v>Do not do runtime type checks or fallback.</v>
      </c>
      <c r="C452" s="6" t="str">
        <f>'Ann1 - Step 2'!C452</f>
        <v>Coding Pattern</v>
      </c>
      <c r="D452" s="6" t="str">
        <f>'Ann2 - Step 2'!C452</f>
        <v>Coding Pattern</v>
      </c>
      <c r="E452" s="6" t="b">
        <f t="shared" si="2"/>
        <v>0</v>
      </c>
      <c r="F452" s="6"/>
      <c r="G452" s="6" t="str">
        <f t="shared" si="3"/>
        <v>Coding Pattern</v>
      </c>
    </row>
    <row r="453" spans="1:7" ht="13" x14ac:dyDescent="0.15">
      <c r="A453" s="21" t="str">
        <f>'Ann1 - Step 2'!A453</f>
        <v>https://github.com/janbjorge/pgqueuer/blob/main/AGENTS.md</v>
      </c>
      <c r="B453" s="6" t="str">
        <f>'Ann1 - Step 2'!B453</f>
        <v>Do not invent new patterns when an established one exists.</v>
      </c>
      <c r="C453" s="6" t="str">
        <f>'Ann1 - Step 2'!C453</f>
        <v>Coding Pattern</v>
      </c>
      <c r="D453" s="6" t="str">
        <f>'Ann2 - Step 2'!C453</f>
        <v>Coding Pattern</v>
      </c>
      <c r="E453" s="6" t="b">
        <f t="shared" si="2"/>
        <v>0</v>
      </c>
      <c r="F453" s="6"/>
      <c r="G453" s="6" t="str">
        <f t="shared" si="3"/>
        <v>Coding Pattern</v>
      </c>
    </row>
    <row r="454" spans="1:7" ht="13" x14ac:dyDescent="0.15">
      <c r="A454" s="21" t="str">
        <f>'Ann1 - Step 2'!A454</f>
        <v>https://github.com/jaredsburrows/android-gif-search/blob/master/AGENTS.md</v>
      </c>
      <c r="B454" s="6" t="str">
        <f>'Ann1 - Step 2'!B454</f>
        <v>- Do not commit secrets/signing keys; keep local paths in `local.properties`.</v>
      </c>
      <c r="C454" s="6" t="str">
        <f>'Ann1 - Step 2'!C454</f>
        <v>Security</v>
      </c>
      <c r="D454" s="6" t="str">
        <f>'Ann2 - Step 2'!C454</f>
        <v>Security</v>
      </c>
      <c r="E454" s="6" t="b">
        <f t="shared" si="2"/>
        <v>0</v>
      </c>
      <c r="F454" s="6"/>
      <c r="G454" s="6" t="str">
        <f t="shared" si="3"/>
        <v>Security</v>
      </c>
    </row>
    <row r="455" spans="1:7" ht="28" x14ac:dyDescent="0.15">
      <c r="A455" s="21" t="str">
        <f>'Ann1 - Step 2'!A455</f>
        <v>https://github.com/julep-ai/julep/blob/main/AGENTS.md</v>
      </c>
      <c r="B455" s="23" t="str">
        <f>'Ann1 - Step 2'!B455</f>
        <v>*   **Do NOT manually edit** generated files (e.g., in `autogen/` directories) as they will be overwritten.</v>
      </c>
      <c r="C455" s="6" t="str">
        <f>'Ann1 - Step 2'!C455</f>
        <v>Build &amp; Operation</v>
      </c>
      <c r="D455" s="6" t="str">
        <f>'Ann2 - Step 2'!C455</f>
        <v>Task Execution</v>
      </c>
      <c r="E455" s="6" t="b">
        <f t="shared" si="2"/>
        <v>1</v>
      </c>
      <c r="F455" s="6" t="s">
        <v>18</v>
      </c>
      <c r="G455" s="6" t="str">
        <f t="shared" si="3"/>
        <v>Task Execution</v>
      </c>
    </row>
    <row r="456" spans="1:7" ht="13" x14ac:dyDescent="0.15">
      <c r="A456" s="21" t="str">
        <f>'Ann1 - Step 2'!A456</f>
        <v>https://github.com/julep-ai/julep/blob/main/AGENTS.md</v>
      </c>
      <c r="B456" s="6" t="str">
        <f>'Ann1 - Step 2'!B456</f>
        <v>*   Filter tests: `poe test --search "pattern_to_match"` (do NOT use `-p`).</v>
      </c>
      <c r="C456" s="6" t="str">
        <f>'Ann1 - Step 2'!C456</f>
        <v>Testing</v>
      </c>
      <c r="D456" s="6" t="str">
        <f>'Ann2 - Step 2'!C456</f>
        <v>Testing</v>
      </c>
      <c r="E456" s="6" t="b">
        <f t="shared" si="2"/>
        <v>0</v>
      </c>
      <c r="F456" s="6"/>
      <c r="G456" s="6" t="str">
        <f t="shared" si="3"/>
        <v>Testing</v>
      </c>
    </row>
    <row r="457" spans="1:7" ht="13" x14ac:dyDescent="0.15">
      <c r="A457" s="21" t="str">
        <f>'Ann1 - Step 2'!A457</f>
        <v>https://github.com/JuliaLang/julia/blob/master/AGENTS.md</v>
      </c>
      <c r="B457" s="6" t="str">
        <f>'Ann1 - Step 2'!B457</f>
        <v>Do not pass any other options.</v>
      </c>
      <c r="C457" s="6" t="str">
        <f>'Ann1 - Step 2'!C457</f>
        <v>Testing</v>
      </c>
      <c r="D457" s="6" t="str">
        <f>'Ann2 - Step 2'!C457</f>
        <v>Testing</v>
      </c>
      <c r="E457" s="6" t="b">
        <f t="shared" si="2"/>
        <v>0</v>
      </c>
      <c r="F457" s="6"/>
      <c r="G457" s="6" t="str">
        <f t="shared" si="3"/>
        <v>Testing</v>
      </c>
    </row>
    <row r="458" spans="1:7" ht="13" x14ac:dyDescent="0.15">
      <c r="A458" s="21" t="str">
        <f>'Ann1 - Step 2'!A458</f>
        <v>https://github.com/JuliaLang/julia/blob/master/AGENTS.md</v>
      </c>
      <c r="B458" s="6" t="str">
        <f>'Ann1 - Step 2'!B458</f>
        <v>Do NOT terminate the doctests before completion.</v>
      </c>
      <c r="C458" s="6" t="str">
        <f>'Ann1 - Step 2'!C458</f>
        <v>Testing</v>
      </c>
      <c r="D458" s="6" t="str">
        <f>'Ann2 - Step 2'!C458</f>
        <v>Testing</v>
      </c>
      <c r="E458" s="6" t="b">
        <f t="shared" si="2"/>
        <v>0</v>
      </c>
      <c r="F458" s="6"/>
      <c r="G458" s="6" t="str">
        <f t="shared" si="3"/>
        <v>Testing</v>
      </c>
    </row>
    <row r="459" spans="1:7" ht="13" x14ac:dyDescent="0.15">
      <c r="A459" s="21" t="str">
        <f>'Ann1 - Step 2'!A459</f>
        <v>https://github.com/JuliaLang/julia/blob/master/AGENTS.md</v>
      </c>
      <c r="B459" s="6" t="str">
        <f>'Ann1 - Step 2'!B459</f>
        <v>Do NOT use a timeout for doctests.</v>
      </c>
      <c r="C459" s="6" t="str">
        <f>'Ann1 - Step 2'!C459</f>
        <v>Testing</v>
      </c>
      <c r="D459" s="6" t="str">
        <f>'Ann2 - Step 2'!C459</f>
        <v>Testing</v>
      </c>
      <c r="E459" s="6" t="b">
        <f t="shared" si="2"/>
        <v>0</v>
      </c>
      <c r="F459" s="6"/>
      <c r="G459" s="6" t="str">
        <f t="shared" si="3"/>
        <v>Testing</v>
      </c>
    </row>
    <row r="460" spans="1:7" ht="14" x14ac:dyDescent="0.15">
      <c r="A460" s="21" t="str">
        <f>'Ann1 - Step 2'!A460</f>
        <v>https://github.com/JuliaLang/julia/blob/master/AGENTS.md</v>
      </c>
      <c r="B460" s="8" t="str">
        <f>'Ann1 - Step 2'!B460</f>
        <v>Do not create a new test file unless explicitly instructed.</v>
      </c>
      <c r="C460" s="6" t="str">
        <f>'Ann1 - Step 2'!C460</f>
        <v>Task Execution</v>
      </c>
      <c r="D460" s="6" t="str">
        <f>'Ann2 - Step 2'!C460</f>
        <v>Testing</v>
      </c>
      <c r="E460" s="6" t="b">
        <f t="shared" si="2"/>
        <v>1</v>
      </c>
      <c r="F460" s="6" t="s">
        <v>88</v>
      </c>
      <c r="G460" s="6" t="str">
        <f t="shared" si="3"/>
        <v>Testing</v>
      </c>
    </row>
    <row r="461" spans="1:7" ht="13" x14ac:dyDescent="0.15">
      <c r="A461" s="21" t="str">
        <f>'Ann1 - Step 2'!A461</f>
        <v>https://github.com/JuliaLang/julia/blob/master/AGENTS.md</v>
      </c>
      <c r="B461" s="6" t="str">
        <f>'Ann1 - Step 2'!B461</f>
        <v>- Do not `ccall` runtime C functions directly if there are existing wrappers for the function.</v>
      </c>
      <c r="C461" s="6" t="str">
        <f>'Ann1 - Step 2'!C461</f>
        <v>Coding Pattern</v>
      </c>
      <c r="D461" s="6" t="str">
        <f>'Ann2 - Step 2'!C461</f>
        <v>Coding Pattern</v>
      </c>
      <c r="E461" s="6" t="b">
        <f t="shared" si="2"/>
        <v>0</v>
      </c>
      <c r="F461" s="6"/>
      <c r="G461" s="6" t="str">
        <f t="shared" si="3"/>
        <v>Coding Pattern</v>
      </c>
    </row>
    <row r="462" spans="1:7" ht="14" x14ac:dyDescent="0.15">
      <c r="A462" s="21" t="str">
        <f>'Ann1 - Step 2'!A462</f>
        <v>https://github.com/JuliaLang/julia/blob/master/AGENTS.md</v>
      </c>
      <c r="B462" s="23" t="str">
        <f>'Ann1 - Step 2'!B462</f>
        <v>- Do not explicitly add a module prefix if the code you're adding is in the same module.</v>
      </c>
      <c r="C462" s="6" t="str">
        <f>'Ann1 - Step 2'!C462</f>
        <v>Coding Pattern</v>
      </c>
      <c r="D462" s="6" t="str">
        <f>'Ann2 - Step 2'!C462</f>
        <v>Coding Style</v>
      </c>
      <c r="E462" s="6" t="b">
        <f t="shared" si="2"/>
        <v>1</v>
      </c>
      <c r="F462" s="6" t="s">
        <v>30</v>
      </c>
      <c r="G462" s="6" t="str">
        <f t="shared" si="3"/>
        <v>Coding Pattern</v>
      </c>
    </row>
    <row r="463" spans="1:7" ht="13" x14ac:dyDescent="0.15">
      <c r="A463" s="21" t="str">
        <f>'Ann1 - Step 2'!A463</f>
        <v>https://github.com/JuliaLang/julia/blob/master/AGENTS.md</v>
      </c>
      <c r="B463" s="6" t="str">
        <f>'Ann1 - Step 2'!B463</f>
        <v>do not use `Base.` for code in Base unless required.</v>
      </c>
      <c r="C463" s="6" t="str">
        <f>'Ann1 - Step 2'!C463</f>
        <v>Coding Style</v>
      </c>
      <c r="D463" s="6" t="str">
        <f>'Ann2 - Step 2'!C463</f>
        <v>Coding Style</v>
      </c>
      <c r="E463" s="6" t="b">
        <f t="shared" si="2"/>
        <v>0</v>
      </c>
      <c r="F463" s="6"/>
      <c r="G463" s="6" t="str">
        <f t="shared" si="3"/>
        <v>Coding Style</v>
      </c>
    </row>
    <row r="464" spans="1:7" ht="13" x14ac:dyDescent="0.15">
      <c r="A464" s="21" t="str">
        <f>'Ann1 - Step 2'!A464</f>
        <v>https://github.com/JuliaLang/julia/blob/master/AGENTS.md</v>
      </c>
      <c r="B464" s="6" t="str">
        <f>'Ann1 - Step 2'!B464</f>
        <v>Do not specifically mention added tests, comments,</v>
      </c>
      <c r="C464" s="6" t="str">
        <f>'Ann1 - Step 2'!C464</f>
        <v>Commit&amp;PR rule</v>
      </c>
      <c r="D464" s="6" t="str">
        <f>'Ann2 - Step 2'!C464</f>
        <v>Commit&amp;PR rule</v>
      </c>
      <c r="E464" s="6" t="b">
        <f t="shared" si="2"/>
        <v>0</v>
      </c>
      <c r="F464" s="6"/>
      <c r="G464" s="6" t="str">
        <f t="shared" si="3"/>
        <v>Commit&amp;PR rule</v>
      </c>
    </row>
    <row r="465" spans="1:7" ht="13" x14ac:dyDescent="0.15">
      <c r="A465" s="21" t="str">
        <f>'Ann1 - Step 2'!A465</f>
        <v>https://github.com/JuliaLang/julia/blob/master/AGENTS.md</v>
      </c>
      <c r="B465" s="6" t="str">
        <f>'Ann1 - Step 2'!B465</f>
        <v>Do not mention</v>
      </c>
      <c r="C465" s="6" t="str">
        <f>'Ann1 - Step 2'!C465</f>
        <v>Commit&amp;PR rule</v>
      </c>
      <c r="D465" s="6" t="str">
        <f>'Ann2 - Step 2'!C465</f>
        <v>Commit&amp;PR rule</v>
      </c>
      <c r="E465" s="6" t="b">
        <f t="shared" si="2"/>
        <v>0</v>
      </c>
      <c r="F465" s="6"/>
      <c r="G465" s="6" t="str">
        <f t="shared" si="3"/>
        <v>Commit&amp;PR rule</v>
      </c>
    </row>
    <row r="466" spans="1:7" ht="13" x14ac:dyDescent="0.15">
      <c r="A466" s="21" t="str">
        <f>'Ann1 - Step 2'!A466</f>
        <v>https://github.com/JuliaLang/julia/blob/master/AGENTS.md</v>
      </c>
      <c r="B466" s="6" t="str">
        <f>'Ann1 - Step 2'!B466</f>
        <v>If your change fixes one or more issues, use the syntax "Fixes #" at the end of the commit message, but do not include it in the title.</v>
      </c>
      <c r="C466" s="6" t="str">
        <f>'Ann1 - Step 2'!C466</f>
        <v>Commit&amp;PR rule</v>
      </c>
      <c r="D466" s="6" t="str">
        <f>'Ann2 - Step 2'!C466</f>
        <v>Commit&amp;PR rule</v>
      </c>
      <c r="E466" s="6" t="b">
        <f t="shared" si="2"/>
        <v>0</v>
      </c>
      <c r="F466" s="6"/>
      <c r="G466" s="6" t="str">
        <f t="shared" si="3"/>
        <v>Commit&amp;PR rule</v>
      </c>
    </row>
    <row r="467" spans="1:7" ht="13" x14ac:dyDescent="0.15">
      <c r="A467" s="21" t="str">
        <f>'Ann1 - Step 2'!A467</f>
        <v>https://github.com/katspaugh/wavesurfer.js/blob/main/AGENTS.md</v>
      </c>
      <c r="B467" s="6" t="str">
        <f>'Ann1 - Step 2'!B467</f>
        <v>- Do not commit files from `dist` or `node_modules`.</v>
      </c>
      <c r="C467" s="6" t="str">
        <f>'Ann1 - Step 2'!C467</f>
        <v>Commit&amp;PR rule</v>
      </c>
      <c r="D467" s="6" t="str">
        <f>'Ann2 - Step 2'!C467</f>
        <v>Commit&amp;PR rule</v>
      </c>
      <c r="E467" s="6" t="b">
        <f t="shared" si="2"/>
        <v>0</v>
      </c>
      <c r="F467" s="6"/>
      <c r="G467" s="6" t="str">
        <f t="shared" si="3"/>
        <v>Commit&amp;PR rule</v>
      </c>
    </row>
    <row r="468" spans="1:7" ht="28" x14ac:dyDescent="0.15">
      <c r="A468" s="21" t="str">
        <f>'Ann1 - Step 2'!A468</f>
        <v>https://github.com/kdroidFilter/Platform-Tools/blob/master/AGENTS.md</v>
      </c>
      <c r="B468" s="23" t="str">
        <f>'Ann1 - Step 2'!B468</f>
        <v>- `kotlin-js-store/wasm` stores generated JS/WASM artifacts required by the sample apps; do not hand-edit its contents.</v>
      </c>
      <c r="C468" s="6" t="str">
        <f>'Ann1 - Step 2'!C468</f>
        <v>Build &amp; Operation</v>
      </c>
      <c r="D468" s="6" t="str">
        <f>'Ann2 - Step 2'!C468</f>
        <v>Task Execution</v>
      </c>
      <c r="E468" s="6" t="b">
        <f t="shared" si="2"/>
        <v>1</v>
      </c>
      <c r="F468" s="6" t="s">
        <v>18</v>
      </c>
      <c r="G468" s="6" t="str">
        <f t="shared" si="3"/>
        <v>Task Execution</v>
      </c>
    </row>
    <row r="469" spans="1:7" ht="13" x14ac:dyDescent="0.15">
      <c r="A469" s="21" t="str">
        <f>'Ann1 - Step 2'!A469</f>
        <v>https://github.com/langchain-ai/langchain/blob/master/AGENTS.md</v>
      </c>
      <c r="B469" s="6" t="str">
        <f>'Ann1 - Step 2'!B469</f>
        <v>The description *is* the summary — do not add a `# Summary` header.</v>
      </c>
      <c r="C469" s="6" t="str">
        <f>'Ann1 - Step 2'!C469</f>
        <v>Commit&amp;PR rule</v>
      </c>
      <c r="D469" s="6" t="str">
        <f>'Ann2 - Step 2'!C469</f>
        <v>Commit&amp;PR rule</v>
      </c>
      <c r="E469" s="6" t="b">
        <f t="shared" si="2"/>
        <v>0</v>
      </c>
      <c r="F469" s="6"/>
      <c r="G469" s="6" t="str">
        <f t="shared" si="3"/>
        <v>Commit&amp;PR rule</v>
      </c>
    </row>
    <row r="470" spans="1:7" ht="13" x14ac:dyDescent="0.15">
      <c r="A470" s="21" t="str">
        <f>'Ann1 - Step 2'!A470</f>
        <v>https://github.com/langchain-ai/langchain/blob/master/AGENTS.md</v>
      </c>
      <c r="B470" s="6" t="str">
        <f>'Ann1 - Step 2'!B470</f>
        <v>`Related:` or similar labels are informational and do not close anything.</v>
      </c>
      <c r="C470" s="6" t="str">
        <f>'Ann1 - Step 2'!C470</f>
        <v>Commit&amp;PR rule</v>
      </c>
      <c r="D470" s="6" t="str">
        <f>'Ann2 - Step 2'!C470</f>
        <v>Commit&amp;PR rule</v>
      </c>
      <c r="E470" s="6" t="b">
        <f t="shared" si="2"/>
        <v>0</v>
      </c>
      <c r="F470" s="6"/>
      <c r="G470" s="6" t="str">
        <f t="shared" si="3"/>
        <v>Commit&amp;PR rule</v>
      </c>
    </row>
    <row r="471" spans="1:7" ht="14" x14ac:dyDescent="0.15">
      <c r="A471" s="21" t="str">
        <f>'Ann1 - Step 2'!A471</f>
        <v>https://github.com/langchain-ai/langchain/blob/master/AGENTS.md</v>
      </c>
      <c r="B471" s="23" t="str">
        <f>'Ann1 - Step 2'!B471</f>
        <v>Do not make breaking changes.</v>
      </c>
      <c r="C471" s="6" t="str">
        <f>'Ann1 - Step 2'!C471</f>
        <v>Coding Pattern</v>
      </c>
      <c r="D471" s="6" t="str">
        <f>'Ann2 - Step 2'!C471</f>
        <v>Maintainability</v>
      </c>
      <c r="E471" s="6" t="b">
        <f t="shared" si="2"/>
        <v>1</v>
      </c>
      <c r="F471" s="6" t="s">
        <v>18</v>
      </c>
      <c r="G471" s="6" t="str">
        <f t="shared" si="3"/>
        <v>Task Execution</v>
      </c>
    </row>
    <row r="472" spans="1:7" ht="13" x14ac:dyDescent="0.15">
      <c r="A472" s="21" t="str">
        <f>'Ann1 - Step 2'!A472</f>
        <v>https://github.com/langchain-ai/langchain/blob/master/AGENTS.md</v>
      </c>
      <c r="B472" s="6" t="str">
        <f>'Ann1 - Step 2'!B472</f>
        <v>- If a default is present, DO NOT repeat it in the docstring unless there is post-processing or it is set conditionally.</v>
      </c>
      <c r="C472" s="6" t="str">
        <f>'Ann1 - Step 2'!C472</f>
        <v>Documentation</v>
      </c>
      <c r="D472" s="6" t="str">
        <f>'Ann2 - Step 2'!C472</f>
        <v>Documentation</v>
      </c>
      <c r="E472" s="6" t="b">
        <f t="shared" si="2"/>
        <v>0</v>
      </c>
      <c r="F472" s="6"/>
      <c r="G472" s="6" t="str">
        <f t="shared" si="3"/>
        <v>Documentation</v>
      </c>
    </row>
    <row r="473" spans="1:7" ht="13" x14ac:dyDescent="0.15">
      <c r="A473" s="21" t="str">
        <f>'Ann1 - Step 2'!A473</f>
        <v>https://github.com/langchain-ai/langchain/blob/master/AGENTS.md</v>
      </c>
      <c r="B473" s="6" t="str">
        <f>'Ann1 - Step 2'!B473</f>
        <v>- Do NOT use Sphinx-style double backtick formatting (` ``code`` `).</v>
      </c>
      <c r="C473" s="6" t="str">
        <f>'Ann1 - Step 2'!C473</f>
        <v>Documentation</v>
      </c>
      <c r="D473" s="6" t="str">
        <f>'Ann2 - Step 2'!C473</f>
        <v>Documentation</v>
      </c>
      <c r="E473" s="6" t="b">
        <f t="shared" si="2"/>
        <v>0</v>
      </c>
      <c r="F473" s="6"/>
      <c r="G473" s="6" t="str">
        <f t="shared" si="3"/>
        <v>Documentation</v>
      </c>
    </row>
    <row r="474" spans="1:7" ht="14" x14ac:dyDescent="0.15">
      <c r="A474" s="21" t="str">
        <f>'Ann1 - Step 2'!A474</f>
        <v>https://github.com/langchain-ai/langchain/blob/master/AGENTS.md</v>
      </c>
      <c r="B474" s="8" t="str">
        <f>'Ann1 - Step 2'!B474</f>
        <v>Do not rely on memorized or cached model names — they go stale quickly.</v>
      </c>
      <c r="C474" s="6" t="str">
        <f>'Ann1 - Step 2'!C474</f>
        <v>Documentation</v>
      </c>
      <c r="D474" s="6" t="str">
        <f>'Ann2 - Step 2'!C474</f>
        <v>Task Execution</v>
      </c>
      <c r="E474" s="6" t="b">
        <f t="shared" si="2"/>
        <v>1</v>
      </c>
      <c r="F474" s="6" t="s">
        <v>18</v>
      </c>
      <c r="G474" s="6" t="str">
        <f t="shared" si="3"/>
        <v>Task Execution</v>
      </c>
    </row>
    <row r="475" spans="1:7" ht="14" x14ac:dyDescent="0.15">
      <c r="A475" s="21" t="str">
        <f>'Ann1 - Step 2'!A475</f>
        <v>https://github.com/langfuse/langfuse/blob/main/AGENTS.md</v>
      </c>
      <c r="B475" s="8" t="str">
        <f>'Ann1 - Step 2'!B475</f>
        <v>Do not edit this file for</v>
      </c>
      <c r="C475" s="6" t="str">
        <f>'Ann1 - Step 2'!C475</f>
        <v>Build &amp; Operation</v>
      </c>
      <c r="D475" s="6" t="str">
        <f>'Ann2 - Step 2'!C475</f>
        <v>Task Execution</v>
      </c>
      <c r="E475" s="6" t="b">
        <f t="shared" si="2"/>
        <v>1</v>
      </c>
      <c r="F475" s="6" t="s">
        <v>513</v>
      </c>
      <c r="G475" s="6" t="str">
        <f t="shared" si="3"/>
        <v>NOT_ENOUGH_CONTEXT</v>
      </c>
    </row>
    <row r="476" spans="1:7" ht="13" x14ac:dyDescent="0.15">
      <c r="A476" s="21" t="str">
        <f>'Ann1 - Step 2'!A476</f>
        <v>https://github.com/langfuse/langfuse/blob/main/AGENTS.md</v>
      </c>
      <c r="B476" s="6" t="str">
        <f>'Ann1 - Step 2'!B476</f>
        <v>- Do not hand-edit generated/build artifacts:</v>
      </c>
      <c r="C476" s="6" t="str">
        <f>'Ann1 - Step 2'!C476</f>
        <v>Build &amp; Operation</v>
      </c>
      <c r="D476" s="6" t="str">
        <f>'Ann2 - Step 2'!C476</f>
        <v>Build &amp; Operation</v>
      </c>
      <c r="E476" s="6" t="b">
        <f t="shared" si="2"/>
        <v>0</v>
      </c>
      <c r="F476" s="6"/>
      <c r="G476" s="6" t="str">
        <f t="shared" si="3"/>
        <v>Build &amp; Operation</v>
      </c>
    </row>
    <row r="477" spans="1:7" ht="13" x14ac:dyDescent="0.15">
      <c r="A477" s="21" t="str">
        <f>'Ann1 - Step 2'!A477</f>
        <v>https://github.com/langfuse/langfuse/blob/main/AGENTS.md</v>
      </c>
      <c r="B477" s="6" t="str">
        <f>'Ann1 - Step 2'!B477</f>
        <v>- Do not commit generated provider config or shim outputs under `.claude/`,</v>
      </c>
      <c r="C477" s="6" t="str">
        <f>'Ann1 - Step 2'!C477</f>
        <v>Commit&amp;PR rule</v>
      </c>
      <c r="D477" s="6" t="str">
        <f>'Ann2 - Step 2'!C477</f>
        <v>Commit&amp;PR rule</v>
      </c>
      <c r="E477" s="6" t="b">
        <f t="shared" si="2"/>
        <v>0</v>
      </c>
      <c r="F477" s="6"/>
      <c r="G477" s="6" t="str">
        <f t="shared" si="3"/>
        <v>Commit&amp;PR rule</v>
      </c>
    </row>
    <row r="478" spans="1:7" ht="13" x14ac:dyDescent="0.15">
      <c r="A478" s="21" t="str">
        <f>'Ann1 - Step 2'!A478</f>
        <v>https://github.com/langfuse/langfuse/blob/main/AGENTS.md</v>
      </c>
      <c r="B478" s="6" t="str">
        <f>'Ann1 - Step 2'!B478</f>
        <v>- Do not use destructive git commands such as `reset --hard` unless explicitly</v>
      </c>
      <c r="C478" s="6" t="str">
        <f>'Ann1 - Step 2'!C478</f>
        <v>Commit&amp;PR rule</v>
      </c>
      <c r="D478" s="6" t="str">
        <f>'Ann2 - Step 2'!C478</f>
        <v>Commit&amp;PR rule</v>
      </c>
      <c r="E478" s="6" t="b">
        <f t="shared" si="2"/>
        <v>0</v>
      </c>
      <c r="F478" s="6"/>
      <c r="G478" s="6" t="str">
        <f t="shared" si="3"/>
        <v>Commit&amp;PR rule</v>
      </c>
    </row>
    <row r="479" spans="1:7" ht="13" x14ac:dyDescent="0.15">
      <c r="A479" s="21" t="str">
        <f>'Ann1 - Step 2'!A479</f>
        <v>https://github.com/langfuse/langfuse/blob/main/AGENTS.md</v>
      </c>
      <c r="B479" s="6" t="str">
        <f>'Ann1 - Step 2'!B479</f>
        <v>- Do not revert unrelated working-tree changes.</v>
      </c>
      <c r="C479" s="6" t="str">
        <f>'Ann1 - Step 2'!C479</f>
        <v>Commit&amp;PR rule</v>
      </c>
      <c r="D479" s="6" t="str">
        <f>'Ann2 - Step 2'!C479</f>
        <v>Commit&amp;PR rule</v>
      </c>
      <c r="E479" s="6" t="b">
        <f t="shared" si="2"/>
        <v>0</v>
      </c>
      <c r="F479" s="6"/>
      <c r="G479" s="6" t="str">
        <f t="shared" si="3"/>
        <v>Commit&amp;PR rule</v>
      </c>
    </row>
    <row r="480" spans="1:7" ht="13" x14ac:dyDescent="0.15">
      <c r="A480" s="21" t="str">
        <f>'Ann1 - Step 2'!A480</f>
        <v>https://github.com/llama-farm/llamafarm/blob/main/AGENTS.md</v>
      </c>
      <c r="B480" s="6" t="str">
        <f>'Ann1 - Step 2'!B480</f>
        <v>- Do not commit secrets.</v>
      </c>
      <c r="C480" s="6" t="str">
        <f>'Ann1 - Step 2'!C480</f>
        <v>Security</v>
      </c>
      <c r="D480" s="6" t="str">
        <f>'Ann2 - Step 2'!C480</f>
        <v>Security</v>
      </c>
      <c r="E480" s="6" t="b">
        <f t="shared" si="2"/>
        <v>0</v>
      </c>
      <c r="F480" s="6"/>
      <c r="G480" s="6" t="str">
        <f t="shared" si="3"/>
        <v>Security</v>
      </c>
    </row>
    <row r="481" spans="1:7" ht="28" x14ac:dyDescent="0.15">
      <c r="A481" s="21" t="str">
        <f>'Ann1 - Step 2'!A481</f>
        <v>https://github.com/luccahuguet/yazelix/blob/main/AGENTS.md</v>
      </c>
      <c r="B481" s="8" t="str">
        <f>'Ann1 - Step 2'!B481</f>
        <v>Do not copy large issue graphs, long triage dumps, or project history into `AGENTS.md`; store dynamic state in Beads and regenerate it when needed.</v>
      </c>
      <c r="C481" s="6" t="str">
        <f>'Ann1 - Step 2'!C481</f>
        <v>Documentation</v>
      </c>
      <c r="D481" s="6" t="str">
        <f>'Ann2 - Step 2'!C481</f>
        <v>Task Execution</v>
      </c>
      <c r="E481" s="6" t="b">
        <f t="shared" si="2"/>
        <v>1</v>
      </c>
      <c r="F481" s="6" t="s">
        <v>23</v>
      </c>
      <c r="G481" s="6" t="str">
        <f t="shared" si="3"/>
        <v>Documentation</v>
      </c>
    </row>
    <row r="482" spans="1:7" ht="28" x14ac:dyDescent="0.15">
      <c r="A482" s="21" t="str">
        <f>'Ann1 - Step 2'!A482</f>
        <v>https://github.com/luccahuguet/yazelix/blob/main/AGENTS.md</v>
      </c>
      <c r="B482" s="8" t="str">
        <f>'Ann1 - Step 2'!B482</f>
        <v>- Do not end README prose lines or bullet items with periods unless the punctuation is semantically required, such as code, URLs, abbreviations, or quoted literal text</v>
      </c>
      <c r="C482" s="6" t="str">
        <f>'Ann1 - Step 2'!C482</f>
        <v>Documentation</v>
      </c>
      <c r="D482" s="6" t="str">
        <f>'Ann2 - Step 2'!C482</f>
        <v>Writing Style Preference</v>
      </c>
      <c r="E482" s="6" t="b">
        <f t="shared" si="2"/>
        <v>1</v>
      </c>
      <c r="F482" s="6" t="s">
        <v>23</v>
      </c>
      <c r="G482" s="6" t="str">
        <f t="shared" si="3"/>
        <v>Documentation</v>
      </c>
    </row>
    <row r="483" spans="1:7" ht="14" x14ac:dyDescent="0.15">
      <c r="A483" s="21" t="str">
        <f>'Ann1 - Step 2'!A483</f>
        <v>https://github.com/luccahuguet/yazelix/blob/main/AGENTS.md</v>
      </c>
      <c r="B483" s="8" t="str">
        <f>'Ann1 - Step 2'!B483</f>
        <v>- Do not mirror every bead to GitHub by default.</v>
      </c>
      <c r="C483" s="6" t="str">
        <f>'Ann1 - Step 2'!C483</f>
        <v>Commit&amp;PR rule</v>
      </c>
      <c r="D483" s="6" t="str">
        <f>'Ann2 - Step 2'!C483</f>
        <v>Task Execution</v>
      </c>
      <c r="E483" s="6" t="b">
        <f t="shared" si="2"/>
        <v>1</v>
      </c>
      <c r="F483" s="6" t="s">
        <v>18</v>
      </c>
      <c r="G483" s="6" t="str">
        <f t="shared" si="3"/>
        <v>Task Execution</v>
      </c>
    </row>
    <row r="484" spans="1:7" ht="13" x14ac:dyDescent="0.15">
      <c r="A484" s="21" t="str">
        <f>'Ann1 - Step 2'!A484</f>
        <v>https://github.com/luccahuguet/yazelix/blob/main/AGENTS.md</v>
      </c>
      <c r="B484" s="6" t="str">
        <f>'Ann1 - Step 2'!B484</f>
        <v>Do not let CI mutate or commit `.beads/issues.jsonl`.</v>
      </c>
      <c r="C484" s="6" t="str">
        <f>'Ann1 - Step 2'!C484</f>
        <v>Commit&amp;PR rule</v>
      </c>
      <c r="D484" s="6" t="str">
        <f>'Ann2 - Step 2'!C484</f>
        <v>Commit&amp;PR rule</v>
      </c>
      <c r="E484" s="6" t="b">
        <f t="shared" si="2"/>
        <v>0</v>
      </c>
      <c r="F484" s="6"/>
      <c r="G484" s="6" t="str">
        <f t="shared" si="3"/>
        <v>Commit&amp;PR rule</v>
      </c>
    </row>
    <row r="485" spans="1:7" ht="14" x14ac:dyDescent="0.15">
      <c r="A485" s="21" t="str">
        <f>'Ann1 - Step 2'!A485</f>
        <v>https://github.com/luccahuguet/yazelix/blob/main/AGENTS.md</v>
      </c>
      <c r="B485" s="8" t="str">
        <f>'Ann1 - Step 2'!B485</f>
        <v>- Do not block on `yzx dev sync_issues` when it is slow or hanging.</v>
      </c>
      <c r="C485" s="6" t="str">
        <f>'Ann1 - Step 2'!C485</f>
        <v>Commit&amp;PR rule</v>
      </c>
      <c r="D485" s="6" t="str">
        <f>'Ann2 - Step 2'!C485</f>
        <v>Task Execution</v>
      </c>
      <c r="E485" s="6" t="b">
        <f t="shared" si="2"/>
        <v>1</v>
      </c>
      <c r="F485" s="6" t="s">
        <v>513</v>
      </c>
      <c r="G485" s="6" t="str">
        <f t="shared" si="3"/>
        <v>NOT_ENOUGH_CONTEXT</v>
      </c>
    </row>
    <row r="486" spans="1:7" ht="28" x14ac:dyDescent="0.15">
      <c r="A486" s="21" t="str">
        <f>'Ann1 - Step 2'!A486</f>
        <v>https://github.com/luccahuguet/yazelix/blob/main/AGENTS.md</v>
      </c>
      <c r="B486" s="8" t="str">
        <f>'Ann1 - Step 2'!B486</f>
        <v>Do not create contracts for trivial edits, purely mechanical refactors, research notes, prototype outcomes, or implementation diaries.</v>
      </c>
      <c r="C486" s="6" t="str">
        <f>'Ann1 - Step 2'!C486</f>
        <v>Coding Pattern</v>
      </c>
      <c r="D486" s="6" t="str">
        <f>'Ann2 - Step 2'!C486</f>
        <v>Task Execution</v>
      </c>
      <c r="E486" s="6" t="b">
        <f t="shared" si="2"/>
        <v>1</v>
      </c>
      <c r="F486" s="6" t="s">
        <v>18</v>
      </c>
      <c r="G486" s="6" t="str">
        <f t="shared" si="3"/>
        <v>Task Execution</v>
      </c>
    </row>
    <row r="487" spans="1:7" ht="28" x14ac:dyDescent="0.15">
      <c r="A487" s="21" t="str">
        <f>'Ann1 - Step 2'!A487</f>
        <v>https://github.com/luccahuguet/yazelix/blob/main/AGENTS.md</v>
      </c>
      <c r="B487" s="26" t="str">
        <f>'Ann1 - Step 2'!B487</f>
        <v>Do not launch the interactive welcome screen or its animations unless the task is explicitly about validating that UX.</v>
      </c>
      <c r="C487" s="6" t="str">
        <f>'Ann1 - Step 2'!C487</f>
        <v>Coding Pattern</v>
      </c>
      <c r="D487" s="6" t="str">
        <f>'Ann2 - Step 2'!C487</f>
        <v>Task Execution</v>
      </c>
      <c r="E487" s="6" t="b">
        <f t="shared" si="2"/>
        <v>1</v>
      </c>
      <c r="F487" s="6" t="s">
        <v>18</v>
      </c>
      <c r="G487" s="6" t="str">
        <f t="shared" si="3"/>
        <v>Task Execution</v>
      </c>
    </row>
    <row r="488" spans="1:7" ht="28" x14ac:dyDescent="0.15">
      <c r="A488" s="21" t="str">
        <f>'Ann1 - Step 2'!A488</f>
        <v>https://github.com/luccahuguet/yazelix/blob/main/AGENTS.md</v>
      </c>
      <c r="B488" s="23" t="str">
        <f>'Ann1 - Step 2'!B488</f>
        <v>- Do not add new inline quoted shell-script bodies assembled inside Nushell just to pass them to `bash -lc`, `sh -c`, or similar entrypoints.</v>
      </c>
      <c r="C488" s="6" t="str">
        <f>'Ann1 - Step 2'!C488</f>
        <v>Coding Pattern</v>
      </c>
      <c r="D488" s="6" t="str">
        <f>'Ann2 - Step 2'!C488</f>
        <v>Task Execution</v>
      </c>
      <c r="E488" s="6" t="b">
        <f t="shared" si="2"/>
        <v>1</v>
      </c>
      <c r="F488" s="6" t="s">
        <v>30</v>
      </c>
      <c r="G488" s="6" t="str">
        <f t="shared" si="3"/>
        <v>Coding Pattern</v>
      </c>
    </row>
    <row r="489" spans="1:7" ht="28" x14ac:dyDescent="0.15">
      <c r="A489" s="21" t="str">
        <f>'Ann1 - Step 2'!A489</f>
        <v>https://github.com/luccahuguet/yazelix/blob/main/AGENTS.md</v>
      </c>
      <c r="B489" s="23" t="str">
        <f>'Ann1 - Step 2'!B489</f>
        <v>- When renaming or simplifying a user-facing command surface, do not keep legacy aliases by default.</v>
      </c>
      <c r="C489" s="6" t="str">
        <f>'Ann1 - Step 2'!C489</f>
        <v>Coding Pattern</v>
      </c>
      <c r="D489" s="6" t="str">
        <f>'Ann2 - Step 2'!C489</f>
        <v>Task Execution</v>
      </c>
      <c r="E489" s="6" t="b">
        <f t="shared" si="2"/>
        <v>1</v>
      </c>
      <c r="F489" s="6" t="s">
        <v>30</v>
      </c>
      <c r="G489" s="6" t="str">
        <f t="shared" si="3"/>
        <v>Coding Pattern</v>
      </c>
    </row>
    <row r="490" spans="1:7" ht="28" x14ac:dyDescent="0.15">
      <c r="A490" s="21" t="str">
        <f>'Ann1 - Step 2'!A490</f>
        <v>https://github.com/luccahuguet/yazelix/blob/main/AGENTS.md</v>
      </c>
      <c r="B490" s="8" t="str">
        <f>'Ann1 - Step 2'!B490</f>
        <v>- Do not add legacy support for command/config/API surfaces that have not been pushed yet.</v>
      </c>
      <c r="C490" s="6" t="str">
        <f>'Ann1 - Step 2'!C490</f>
        <v>Coding Pattern</v>
      </c>
      <c r="D490" s="6" t="str">
        <f>'Ann2 - Step 2'!C490</f>
        <v>Task Execution</v>
      </c>
      <c r="E490" s="6" t="b">
        <f t="shared" si="2"/>
        <v>1</v>
      </c>
      <c r="F490" s="6" t="s">
        <v>30</v>
      </c>
      <c r="G490" s="6" t="str">
        <f t="shared" si="3"/>
        <v>Coding Pattern</v>
      </c>
    </row>
    <row r="491" spans="1:7" ht="28" x14ac:dyDescent="0.15">
      <c r="A491" s="21" t="str">
        <f>'Ann1 - Step 2'!A491</f>
        <v>https://github.com/luccahuguet/yazelix/blob/main/AGENTS.md</v>
      </c>
      <c r="B491" s="23" t="str">
        <f>'Ann1 - Step 2'!B491</f>
        <v>- In Yazelix Zellij config, do not `unbind` a key that Yazelix then intends to `bind` for its own action in the same merged config.</v>
      </c>
      <c r="C491" s="6" t="str">
        <f>'Ann1 - Step 2'!C491</f>
        <v>Coding Pattern</v>
      </c>
      <c r="D491" s="6" t="str">
        <f>'Ann2 - Step 2'!C491</f>
        <v>Task Execution</v>
      </c>
      <c r="E491" s="6" t="b">
        <f t="shared" si="2"/>
        <v>1</v>
      </c>
      <c r="F491" s="6" t="s">
        <v>136</v>
      </c>
      <c r="G491" s="6" t="str">
        <f t="shared" si="3"/>
        <v>Build &amp; Operation</v>
      </c>
    </row>
    <row r="492" spans="1:7" ht="42" x14ac:dyDescent="0.15">
      <c r="A492" s="21" t="str">
        <f>'Ann1 - Step 2'!A492</f>
        <v>https://github.com/luccahuguet/yazelix/blob/main/AGENTS.md</v>
      </c>
      <c r="B492" s="8" t="str">
        <f>'Ann1 - Step 2'!B492</f>
        <v>**MANUAL TEST GATE BEFORE PUSH** - For non-trivial changes, do not push to remote before the user has manually tested the behavior and explicitly approved the push.</v>
      </c>
      <c r="C492" s="6" t="str">
        <f>'Ann1 - Step 2'!C492</f>
        <v>Task Execution</v>
      </c>
      <c r="D492" s="6" t="str">
        <f>'Ann2 - Step 2'!C492</f>
        <v>Commit&amp;PR rule</v>
      </c>
      <c r="E492" s="6" t="b">
        <f t="shared" si="2"/>
        <v>1</v>
      </c>
      <c r="F492" s="6" t="s">
        <v>12</v>
      </c>
      <c r="G492" s="6" t="str">
        <f t="shared" si="3"/>
        <v>Commit&amp;PR rule</v>
      </c>
    </row>
    <row r="493" spans="1:7" ht="13" x14ac:dyDescent="0.15">
      <c r="A493" s="21" t="str">
        <f>'Ann1 - Step 2'!A493</f>
        <v>https://github.com/luccahuguet/yazelix/blob/main/AGENTS.md</v>
      </c>
      <c r="B493" s="6" t="str">
        <f>'Ann1 - Step 2'!B493</f>
        <v>Do not treat those models as the default owner of investigation, architecture, or subtle runtime-behavior changes.</v>
      </c>
      <c r="C493" s="6" t="str">
        <f>'Ann1 - Step 2'!C493</f>
        <v>Task Execution</v>
      </c>
      <c r="D493" s="6" t="str">
        <f>'Ann2 - Step 2'!C493</f>
        <v>Task Execution</v>
      </c>
      <c r="E493" s="6" t="b">
        <f t="shared" si="2"/>
        <v>0</v>
      </c>
      <c r="F493" s="6"/>
      <c r="G493" s="6" t="str">
        <f t="shared" si="3"/>
        <v>Task Execution</v>
      </c>
    </row>
    <row r="494" spans="1:7" ht="13" x14ac:dyDescent="0.15">
      <c r="A494" s="21" t="str">
        <f>'Ann1 - Step 2'!A494</f>
        <v>https://github.com/luccahuguet/yazelix/blob/main/AGENTS.md</v>
      </c>
      <c r="B494" s="6" t="str">
        <f>'Ann1 - Step 2'!B494</f>
        <v>- **Do not create generic `_extended` test files as overflow.** If a nondefault lane needs more coverage, use a file or lane name that reflects its actual ownership.</v>
      </c>
      <c r="C494" s="6" t="str">
        <f>'Ann1 - Step 2'!C494</f>
        <v>Testing</v>
      </c>
      <c r="D494" s="6" t="str">
        <f>'Ann2 - Step 2'!C494</f>
        <v>Testing</v>
      </c>
      <c r="E494" s="6" t="b">
        <f t="shared" si="2"/>
        <v>0</v>
      </c>
      <c r="F494" s="6"/>
      <c r="G494" s="6" t="str">
        <f t="shared" si="3"/>
        <v>Testing</v>
      </c>
    </row>
    <row r="495" spans="1:7" ht="13" x14ac:dyDescent="0.15">
      <c r="A495" s="21" t="str">
        <f>'Ann1 - Step 2'!A495</f>
        <v>https://github.com/luccahuguet/yazelix/blob/main/AGENTS.md</v>
      </c>
      <c r="B495" s="6" t="str">
        <f>'Ann1 - Step 2'!B495</f>
        <v>- **Cosmetic or trivia assertions do not become strong tests just by scoring them as `8/10`.** Exact palette constants, help-output trivia, command-name discovery, and implementation-string checks are not enough unless they defend a documented product contract or regression.</v>
      </c>
      <c r="C495" s="6" t="str">
        <f>'Ann1 - Step 2'!C495</f>
        <v>Testing</v>
      </c>
      <c r="D495" s="6" t="str">
        <f>'Ann2 - Step 2'!C495</f>
        <v>Testing</v>
      </c>
      <c r="E495" s="6" t="b">
        <f t="shared" si="2"/>
        <v>0</v>
      </c>
      <c r="F495" s="6"/>
      <c r="G495" s="6" t="str">
        <f t="shared" si="3"/>
        <v>Testing</v>
      </c>
    </row>
    <row r="496" spans="1:7" ht="13" x14ac:dyDescent="0.15">
      <c r="A496" s="21" t="str">
        <f>'Ann1 - Step 2'!A496</f>
        <v>https://github.com/luccahuguet/yazelix/blob/main/AGENTS.md</v>
      </c>
      <c r="B496" s="6" t="str">
        <f>'Ann1 - Step 2'!B496</f>
        <v>- **Do not add packaging/config-sync tests by default** just because two files should match.</v>
      </c>
      <c r="C496" s="6" t="str">
        <f>'Ann1 - Step 2'!C496</f>
        <v>Testing</v>
      </c>
      <c r="D496" s="6" t="str">
        <f>'Ann2 - Step 2'!C496</f>
        <v>Testing</v>
      </c>
      <c r="E496" s="6" t="b">
        <f t="shared" si="2"/>
        <v>0</v>
      </c>
      <c r="F496" s="6"/>
      <c r="G496" s="6" t="str">
        <f t="shared" si="3"/>
        <v>Testing</v>
      </c>
    </row>
    <row r="497" spans="1:7" ht="28" x14ac:dyDescent="0.15">
      <c r="A497" s="21" t="str">
        <f>'Ann1 - Step 2'!A497</f>
        <v>https://github.com/luccahuguet/yazelix/blob/main/AGENTS.md</v>
      </c>
      <c r="B497" s="8" t="str">
        <f>'Ann1 - Step 2'!B497</f>
        <v>- Use `bd` for ALL task tracking — do NOT use TodoWrite, TaskCreate, or markdown TODO lists</v>
      </c>
      <c r="C497" s="6" t="str">
        <f>'Ann1 - Step 2'!C497</f>
        <v>Task Execution</v>
      </c>
      <c r="D497" s="6" t="str">
        <f>'Ann2 - Step 2'!C497</f>
        <v>Documentation</v>
      </c>
      <c r="E497" s="6" t="b">
        <f t="shared" si="2"/>
        <v>1</v>
      </c>
      <c r="F497" s="6" t="s">
        <v>18</v>
      </c>
      <c r="G497" s="6" t="str">
        <f t="shared" si="3"/>
        <v>Task Execution</v>
      </c>
    </row>
    <row r="498" spans="1:7" ht="14" x14ac:dyDescent="0.15">
      <c r="A498" s="21" t="str">
        <f>'Ann1 - Step 2'!A498</f>
        <v>https://github.com/luccahuguet/yazelix/blob/main/AGENTS.md</v>
      </c>
      <c r="B498" s="8" t="str">
        <f>'Ann1 - Step 2'!B498</f>
        <v>- Use `bd remember` for persistent knowledge — do NOT use MEMORY.md files</v>
      </c>
      <c r="C498" s="6" t="str">
        <f>'Ann1 - Step 2'!C498</f>
        <v>Task Execution</v>
      </c>
      <c r="D498" s="6" t="str">
        <f>'Ann2 - Step 2'!C498</f>
        <v>Documentation</v>
      </c>
      <c r="E498" s="6" t="b">
        <f t="shared" si="2"/>
        <v>1</v>
      </c>
      <c r="F498" s="6" t="s">
        <v>18</v>
      </c>
      <c r="G498" s="6" t="str">
        <f t="shared" si="3"/>
        <v>Task Execution</v>
      </c>
    </row>
    <row r="499" spans="1:7" ht="14" x14ac:dyDescent="0.15">
      <c r="A499" s="21" t="str">
        <f>'Ann1 - Step 2'!A499</f>
        <v>https://github.com/luccahuguet/yazelix/blob/main/AGENTS.md</v>
      </c>
      <c r="B499" s="8" t="str">
        <f>'Ann1 - Step 2'!B499</f>
        <v>- Do not push non-trivial changes before user manual testing and explicit approval</v>
      </c>
      <c r="C499" s="6" t="str">
        <f>'Ann1 - Step 2'!C499</f>
        <v>Commit&amp;PR rule</v>
      </c>
      <c r="D499" s="6" t="str">
        <f>'Ann2 - Step 2'!C499</f>
        <v>Commit&amp;PR rule</v>
      </c>
      <c r="E499" s="6" t="b">
        <f t="shared" si="2"/>
        <v>0</v>
      </c>
      <c r="F499" s="6" t="s">
        <v>18</v>
      </c>
      <c r="G499" s="6" t="str">
        <f t="shared" si="3"/>
        <v>Commit&amp;PR rule</v>
      </c>
    </row>
    <row r="500" spans="1:7" ht="14" x14ac:dyDescent="0.15">
      <c r="A500" s="21" t="str">
        <f>'Ann1 - Step 2'!A500</f>
        <v>https://github.com/luccahuguet/yazelix/blob/main/AGENTS.md</v>
      </c>
      <c r="B500" s="8" t="str">
        <f>'Ann1 - Step 2'!B500</f>
        <v>- Do not claim remote completion for unpushed work</v>
      </c>
      <c r="C500" s="6" t="str">
        <f>'Ann1 - Step 2'!C500</f>
        <v>Commit&amp;PR rule</v>
      </c>
      <c r="D500" s="6" t="str">
        <f>'Ann2 - Step 2'!C500</f>
        <v>Commit&amp;PR rule</v>
      </c>
      <c r="E500" s="6" t="b">
        <f t="shared" si="2"/>
        <v>0</v>
      </c>
      <c r="F500" s="6" t="s">
        <v>18</v>
      </c>
      <c r="G500" s="6" t="str">
        <f t="shared" si="3"/>
        <v>Commit&amp;PR rule</v>
      </c>
    </row>
    <row r="501" spans="1:7" ht="28" x14ac:dyDescent="0.15">
      <c r="A501" s="21" t="str">
        <f>'Ann1 - Step 2'!A501</f>
        <v>https://github.com/marin-community/marin/blob/main/AGENTS.md</v>
      </c>
      <c r="B501" s="8" t="str">
        <f>'Ann1 - Step 2'!B501</f>
        <v>- do not use storage transfer service to move files from one region to another unless the user says "I personally will write grants for Percy to pay for this"</v>
      </c>
      <c r="C501" s="6" t="str">
        <f>'Ann1 - Step 2'!C501</f>
        <v>Task Execution</v>
      </c>
      <c r="D501" s="6" t="str">
        <f>'Ann2 - Step 2'!C501</f>
        <v>Task Execution</v>
      </c>
      <c r="E501" s="6" t="b">
        <f t="shared" si="2"/>
        <v>0</v>
      </c>
      <c r="F501" s="6" t="s">
        <v>18</v>
      </c>
      <c r="G501" s="6" t="str">
        <f t="shared" si="3"/>
        <v>Task Execution</v>
      </c>
    </row>
    <row r="502" spans="1:7" ht="13" x14ac:dyDescent="0.15">
      <c r="B502" s="8"/>
      <c r="F502" s="6"/>
    </row>
    <row r="503" spans="1:7" ht="13" x14ac:dyDescent="0.15">
      <c r="B503" s="8"/>
      <c r="F503" s="6"/>
    </row>
    <row r="504" spans="1:7" ht="13" x14ac:dyDescent="0.15">
      <c r="B504" s="8"/>
      <c r="F504" s="6"/>
    </row>
    <row r="505" spans="1:7" ht="13" x14ac:dyDescent="0.15">
      <c r="B505" s="8"/>
      <c r="F505" s="6"/>
    </row>
    <row r="506" spans="1:7" ht="13" x14ac:dyDescent="0.15">
      <c r="B506" s="8"/>
      <c r="F506" s="6"/>
    </row>
    <row r="507" spans="1:7" ht="13" x14ac:dyDescent="0.15">
      <c r="B507" s="8"/>
      <c r="F507" s="6"/>
    </row>
    <row r="508" spans="1:7" ht="13" x14ac:dyDescent="0.15">
      <c r="B508" s="8"/>
      <c r="F508" s="6"/>
    </row>
    <row r="509" spans="1:7" ht="13" x14ac:dyDescent="0.15">
      <c r="B509" s="8"/>
      <c r="F509" s="6"/>
    </row>
    <row r="510" spans="1:7" ht="13" x14ac:dyDescent="0.15">
      <c r="B510" s="8"/>
      <c r="F510" s="6"/>
    </row>
    <row r="511" spans="1:7" ht="13" x14ac:dyDescent="0.15">
      <c r="B511" s="8"/>
      <c r="F511" s="6"/>
    </row>
    <row r="512" spans="1:7" ht="13" x14ac:dyDescent="0.15">
      <c r="B512" s="8"/>
      <c r="F512" s="6"/>
    </row>
    <row r="513" spans="2:6" ht="13" x14ac:dyDescent="0.15">
      <c r="B513" s="8"/>
      <c r="F513" s="6"/>
    </row>
    <row r="514" spans="2:6" ht="13" x14ac:dyDescent="0.15">
      <c r="B514" s="8"/>
      <c r="F514" s="6"/>
    </row>
    <row r="515" spans="2:6" ht="13" x14ac:dyDescent="0.15">
      <c r="B515" s="8"/>
      <c r="F515" s="6"/>
    </row>
    <row r="516" spans="2:6" ht="13" x14ac:dyDescent="0.15">
      <c r="B516" s="8"/>
      <c r="F516" s="6"/>
    </row>
    <row r="517" spans="2:6" ht="13" x14ac:dyDescent="0.15">
      <c r="B517" s="8"/>
      <c r="F517" s="6"/>
    </row>
    <row r="518" spans="2:6" ht="13" x14ac:dyDescent="0.15">
      <c r="B518" s="8"/>
      <c r="F518" s="6"/>
    </row>
    <row r="519" spans="2:6" ht="13" x14ac:dyDescent="0.15">
      <c r="B519" s="8"/>
      <c r="F519" s="6"/>
    </row>
    <row r="520" spans="2:6" ht="13" x14ac:dyDescent="0.15">
      <c r="B520" s="8"/>
      <c r="F520" s="6"/>
    </row>
    <row r="521" spans="2:6" ht="13" x14ac:dyDescent="0.15">
      <c r="B521" s="8"/>
      <c r="F521" s="6"/>
    </row>
    <row r="522" spans="2:6" ht="13" x14ac:dyDescent="0.15">
      <c r="B522" s="8"/>
      <c r="F522" s="6"/>
    </row>
    <row r="523" spans="2:6" ht="13" x14ac:dyDescent="0.15">
      <c r="B523" s="8"/>
      <c r="F523" s="6"/>
    </row>
    <row r="524" spans="2:6" ht="13" x14ac:dyDescent="0.15">
      <c r="B524" s="8"/>
      <c r="F524" s="6"/>
    </row>
    <row r="525" spans="2:6" ht="13" x14ac:dyDescent="0.15">
      <c r="B525" s="8"/>
      <c r="F525" s="6"/>
    </row>
    <row r="526" spans="2:6" ht="13" x14ac:dyDescent="0.15">
      <c r="B526" s="8"/>
      <c r="F526" s="6"/>
    </row>
    <row r="527" spans="2:6" ht="13" x14ac:dyDescent="0.15">
      <c r="B527" s="8"/>
      <c r="F527" s="6"/>
    </row>
    <row r="528" spans="2:6" ht="13" x14ac:dyDescent="0.15">
      <c r="B528" s="8"/>
      <c r="F528" s="6"/>
    </row>
    <row r="529" spans="2:6" ht="13" x14ac:dyDescent="0.15">
      <c r="B529" s="8"/>
      <c r="F529" s="6"/>
    </row>
    <row r="530" spans="2:6" ht="13" x14ac:dyDescent="0.15">
      <c r="B530" s="8"/>
      <c r="F530" s="6"/>
    </row>
    <row r="531" spans="2:6" ht="13" x14ac:dyDescent="0.15">
      <c r="B531" s="8"/>
      <c r="F531" s="6"/>
    </row>
    <row r="532" spans="2:6" ht="13" x14ac:dyDescent="0.15">
      <c r="B532" s="8"/>
      <c r="F532" s="6"/>
    </row>
    <row r="533" spans="2:6" ht="13" x14ac:dyDescent="0.15">
      <c r="B533" s="8"/>
      <c r="F533" s="6"/>
    </row>
    <row r="534" spans="2:6" ht="13" x14ac:dyDescent="0.15">
      <c r="B534" s="8"/>
      <c r="F534" s="6"/>
    </row>
    <row r="535" spans="2:6" ht="13" x14ac:dyDescent="0.15">
      <c r="B535" s="8"/>
      <c r="F535" s="6"/>
    </row>
    <row r="536" spans="2:6" ht="13" x14ac:dyDescent="0.15">
      <c r="B536" s="8"/>
      <c r="F536" s="6"/>
    </row>
    <row r="537" spans="2:6" ht="13" x14ac:dyDescent="0.15">
      <c r="B537" s="8"/>
      <c r="F537" s="6"/>
    </row>
    <row r="538" spans="2:6" ht="13" x14ac:dyDescent="0.15">
      <c r="B538" s="8"/>
      <c r="F538" s="6"/>
    </row>
    <row r="539" spans="2:6" ht="13" x14ac:dyDescent="0.15">
      <c r="B539" s="8"/>
      <c r="F539" s="6"/>
    </row>
    <row r="540" spans="2:6" ht="13" x14ac:dyDescent="0.15">
      <c r="B540" s="8"/>
      <c r="F540" s="6"/>
    </row>
    <row r="541" spans="2:6" ht="13" x14ac:dyDescent="0.15">
      <c r="B541" s="8"/>
      <c r="F541" s="6"/>
    </row>
    <row r="542" spans="2:6" ht="13" x14ac:dyDescent="0.15">
      <c r="B542" s="8"/>
      <c r="F542" s="6"/>
    </row>
    <row r="543" spans="2:6" ht="13" x14ac:dyDescent="0.15">
      <c r="B543" s="8"/>
      <c r="F543" s="6"/>
    </row>
    <row r="544" spans="2:6" ht="13" x14ac:dyDescent="0.15">
      <c r="B544" s="8"/>
      <c r="F544" s="6"/>
    </row>
    <row r="545" spans="2:6" ht="13" x14ac:dyDescent="0.15">
      <c r="B545" s="8"/>
      <c r="F545" s="6"/>
    </row>
    <row r="546" spans="2:6" ht="13" x14ac:dyDescent="0.15">
      <c r="B546" s="8"/>
      <c r="F546" s="6"/>
    </row>
    <row r="547" spans="2:6" ht="13" x14ac:dyDescent="0.15">
      <c r="B547" s="8"/>
      <c r="F547" s="6"/>
    </row>
    <row r="548" spans="2:6" ht="13" x14ac:dyDescent="0.15">
      <c r="B548" s="8"/>
      <c r="F548" s="6"/>
    </row>
    <row r="549" spans="2:6" ht="13" x14ac:dyDescent="0.15">
      <c r="B549" s="8"/>
      <c r="F549" s="6"/>
    </row>
    <row r="550" spans="2:6" ht="13" x14ac:dyDescent="0.15">
      <c r="B550" s="8"/>
      <c r="F550" s="6"/>
    </row>
    <row r="551" spans="2:6" ht="13" x14ac:dyDescent="0.15">
      <c r="B551" s="8"/>
      <c r="F551" s="6"/>
    </row>
    <row r="552" spans="2:6" ht="13" x14ac:dyDescent="0.15">
      <c r="B552" s="8"/>
      <c r="F552" s="6"/>
    </row>
    <row r="553" spans="2:6" ht="13" x14ac:dyDescent="0.15">
      <c r="B553" s="8"/>
      <c r="F553" s="6"/>
    </row>
    <row r="554" spans="2:6" ht="13" x14ac:dyDescent="0.15">
      <c r="B554" s="8"/>
      <c r="F554" s="6"/>
    </row>
    <row r="555" spans="2:6" ht="13" x14ac:dyDescent="0.15">
      <c r="B555" s="8"/>
      <c r="F555" s="6"/>
    </row>
    <row r="556" spans="2:6" ht="13" x14ac:dyDescent="0.15">
      <c r="B556" s="8"/>
      <c r="F556" s="6"/>
    </row>
    <row r="557" spans="2:6" ht="13" x14ac:dyDescent="0.15">
      <c r="B557" s="8"/>
      <c r="F557" s="6"/>
    </row>
    <row r="558" spans="2:6" ht="13" x14ac:dyDescent="0.15">
      <c r="B558" s="8"/>
      <c r="F558" s="6"/>
    </row>
    <row r="559" spans="2:6" ht="13" x14ac:dyDescent="0.15">
      <c r="B559" s="8"/>
      <c r="F559" s="6"/>
    </row>
    <row r="560" spans="2:6" ht="13" x14ac:dyDescent="0.15">
      <c r="B560" s="8"/>
      <c r="F560" s="6"/>
    </row>
    <row r="561" spans="2:6" ht="13" x14ac:dyDescent="0.15">
      <c r="B561" s="8"/>
      <c r="F561" s="6"/>
    </row>
    <row r="562" spans="2:6" ht="13" x14ac:dyDescent="0.15">
      <c r="B562" s="8"/>
      <c r="F562" s="6"/>
    </row>
    <row r="563" spans="2:6" ht="13" x14ac:dyDescent="0.15">
      <c r="B563" s="8"/>
      <c r="F563" s="6"/>
    </row>
    <row r="564" spans="2:6" ht="13" x14ac:dyDescent="0.15">
      <c r="B564" s="8"/>
      <c r="F564" s="6"/>
    </row>
    <row r="565" spans="2:6" ht="13" x14ac:dyDescent="0.15">
      <c r="B565" s="8"/>
      <c r="F565" s="6"/>
    </row>
    <row r="566" spans="2:6" ht="13" x14ac:dyDescent="0.15">
      <c r="B566" s="8"/>
      <c r="F566" s="6"/>
    </row>
    <row r="567" spans="2:6" ht="13" x14ac:dyDescent="0.15">
      <c r="B567" s="8"/>
      <c r="F567" s="6"/>
    </row>
    <row r="568" spans="2:6" ht="13" x14ac:dyDescent="0.15">
      <c r="B568" s="8"/>
      <c r="F568" s="6"/>
    </row>
    <row r="569" spans="2:6" ht="13" x14ac:dyDescent="0.15">
      <c r="B569" s="8"/>
      <c r="F569" s="6"/>
    </row>
    <row r="570" spans="2:6" ht="13" x14ac:dyDescent="0.15">
      <c r="B570" s="8"/>
      <c r="F570" s="6"/>
    </row>
    <row r="571" spans="2:6" ht="13" x14ac:dyDescent="0.15">
      <c r="B571" s="8"/>
      <c r="F571" s="6"/>
    </row>
    <row r="572" spans="2:6" ht="13" x14ac:dyDescent="0.15">
      <c r="B572" s="8"/>
      <c r="F572" s="6"/>
    </row>
    <row r="573" spans="2:6" ht="13" x14ac:dyDescent="0.15">
      <c r="B573" s="8"/>
      <c r="F573" s="6"/>
    </row>
    <row r="574" spans="2:6" ht="13" x14ac:dyDescent="0.15">
      <c r="B574" s="8"/>
      <c r="F574" s="6"/>
    </row>
    <row r="575" spans="2:6" ht="13" x14ac:dyDescent="0.15">
      <c r="B575" s="8"/>
      <c r="F575" s="6"/>
    </row>
    <row r="576" spans="2:6" ht="13" x14ac:dyDescent="0.15">
      <c r="B576" s="8"/>
      <c r="F576" s="6"/>
    </row>
    <row r="577" spans="2:6" ht="13" x14ac:dyDescent="0.15">
      <c r="B577" s="8"/>
      <c r="F577" s="6"/>
    </row>
    <row r="578" spans="2:6" ht="13" x14ac:dyDescent="0.15">
      <c r="B578" s="8"/>
      <c r="F578" s="6"/>
    </row>
    <row r="579" spans="2:6" ht="13" x14ac:dyDescent="0.15">
      <c r="B579" s="8"/>
      <c r="F579" s="6"/>
    </row>
    <row r="580" spans="2:6" ht="13" x14ac:dyDescent="0.15">
      <c r="B580" s="8"/>
      <c r="F580" s="6"/>
    </row>
    <row r="581" spans="2:6" ht="13" x14ac:dyDescent="0.15">
      <c r="B581" s="8"/>
      <c r="F581" s="6"/>
    </row>
    <row r="582" spans="2:6" ht="13" x14ac:dyDescent="0.15">
      <c r="B582" s="8"/>
      <c r="F582" s="6"/>
    </row>
    <row r="583" spans="2:6" ht="13" x14ac:dyDescent="0.15">
      <c r="B583" s="8"/>
      <c r="F583" s="6"/>
    </row>
    <row r="584" spans="2:6" ht="13" x14ac:dyDescent="0.15">
      <c r="B584" s="8"/>
      <c r="F584" s="6"/>
    </row>
    <row r="585" spans="2:6" ht="13" x14ac:dyDescent="0.15">
      <c r="B585" s="8"/>
      <c r="F585" s="6"/>
    </row>
    <row r="586" spans="2:6" ht="13" x14ac:dyDescent="0.15">
      <c r="B586" s="8"/>
      <c r="F586" s="6"/>
    </row>
    <row r="587" spans="2:6" ht="13" x14ac:dyDescent="0.15">
      <c r="B587" s="8"/>
      <c r="F587" s="6"/>
    </row>
    <row r="588" spans="2:6" ht="13" x14ac:dyDescent="0.15">
      <c r="B588" s="8"/>
      <c r="F588" s="6"/>
    </row>
    <row r="589" spans="2:6" ht="13" x14ac:dyDescent="0.15">
      <c r="B589" s="8"/>
      <c r="F589" s="6"/>
    </row>
    <row r="590" spans="2:6" ht="13" x14ac:dyDescent="0.15">
      <c r="B590" s="8"/>
      <c r="F590" s="6"/>
    </row>
    <row r="591" spans="2:6" ht="13" x14ac:dyDescent="0.15">
      <c r="B591" s="8"/>
      <c r="F591" s="6"/>
    </row>
    <row r="592" spans="2:6" ht="13" x14ac:dyDescent="0.15">
      <c r="B592" s="8"/>
      <c r="F592" s="6"/>
    </row>
    <row r="593" spans="2:6" ht="13" x14ac:dyDescent="0.15">
      <c r="B593" s="8"/>
      <c r="F593" s="6"/>
    </row>
    <row r="594" spans="2:6" ht="13" x14ac:dyDescent="0.15">
      <c r="B594" s="8"/>
      <c r="F594" s="6"/>
    </row>
    <row r="595" spans="2:6" ht="13" x14ac:dyDescent="0.15">
      <c r="B595" s="8"/>
      <c r="F595" s="6"/>
    </row>
    <row r="596" spans="2:6" ht="13" x14ac:dyDescent="0.15">
      <c r="B596" s="8"/>
      <c r="F596" s="6"/>
    </row>
    <row r="597" spans="2:6" ht="13" x14ac:dyDescent="0.15">
      <c r="B597" s="8"/>
      <c r="F597" s="6"/>
    </row>
    <row r="598" spans="2:6" ht="13" x14ac:dyDescent="0.15">
      <c r="B598" s="8"/>
      <c r="F598" s="6"/>
    </row>
    <row r="599" spans="2:6" ht="13" x14ac:dyDescent="0.15">
      <c r="B599" s="8"/>
      <c r="F599" s="6"/>
    </row>
    <row r="600" spans="2:6" ht="13" x14ac:dyDescent="0.15">
      <c r="B600" s="8"/>
      <c r="F600" s="6"/>
    </row>
    <row r="601" spans="2:6" ht="13" x14ac:dyDescent="0.15">
      <c r="B601" s="8"/>
      <c r="F601" s="6"/>
    </row>
    <row r="602" spans="2:6" ht="13" x14ac:dyDescent="0.15">
      <c r="B602" s="8"/>
      <c r="F602" s="6"/>
    </row>
    <row r="603" spans="2:6" ht="13" x14ac:dyDescent="0.15">
      <c r="B603" s="8"/>
      <c r="F603" s="6"/>
    </row>
    <row r="604" spans="2:6" ht="13" x14ac:dyDescent="0.15">
      <c r="B604" s="8"/>
      <c r="F604" s="6"/>
    </row>
    <row r="605" spans="2:6" ht="13" x14ac:dyDescent="0.15">
      <c r="B605" s="8"/>
      <c r="F605" s="6"/>
    </row>
    <row r="606" spans="2:6" ht="13" x14ac:dyDescent="0.15">
      <c r="B606" s="8"/>
      <c r="F606" s="6"/>
    </row>
    <row r="607" spans="2:6" ht="13" x14ac:dyDescent="0.15">
      <c r="B607" s="8"/>
      <c r="F607" s="6"/>
    </row>
    <row r="608" spans="2:6" ht="13" x14ac:dyDescent="0.15">
      <c r="B608" s="8"/>
      <c r="F608" s="6"/>
    </row>
    <row r="609" spans="2:6" ht="13" x14ac:dyDescent="0.15">
      <c r="B609" s="8"/>
      <c r="F609" s="6"/>
    </row>
    <row r="610" spans="2:6" ht="13" x14ac:dyDescent="0.15">
      <c r="B610" s="8"/>
      <c r="F610" s="6"/>
    </row>
    <row r="611" spans="2:6" ht="13" x14ac:dyDescent="0.15">
      <c r="B611" s="8"/>
      <c r="F611" s="6"/>
    </row>
    <row r="612" spans="2:6" ht="13" x14ac:dyDescent="0.15">
      <c r="B612" s="8"/>
      <c r="F612" s="6"/>
    </row>
    <row r="613" spans="2:6" ht="13" x14ac:dyDescent="0.15">
      <c r="B613" s="8"/>
      <c r="F613" s="6"/>
    </row>
    <row r="614" spans="2:6" ht="13" x14ac:dyDescent="0.15">
      <c r="B614" s="8"/>
      <c r="F614" s="6"/>
    </row>
    <row r="615" spans="2:6" ht="13" x14ac:dyDescent="0.15">
      <c r="B615" s="8"/>
      <c r="F615" s="6"/>
    </row>
    <row r="616" spans="2:6" ht="13" x14ac:dyDescent="0.15">
      <c r="B616" s="8"/>
      <c r="F616" s="6"/>
    </row>
    <row r="617" spans="2:6" ht="13" x14ac:dyDescent="0.15">
      <c r="B617" s="8"/>
      <c r="F617" s="6"/>
    </row>
    <row r="618" spans="2:6" ht="13" x14ac:dyDescent="0.15">
      <c r="B618" s="8"/>
      <c r="F618" s="6"/>
    </row>
    <row r="619" spans="2:6" ht="13" x14ac:dyDescent="0.15">
      <c r="B619" s="8"/>
      <c r="F619" s="6"/>
    </row>
    <row r="620" spans="2:6" ht="13" x14ac:dyDescent="0.15">
      <c r="B620" s="8"/>
      <c r="F620" s="6"/>
    </row>
    <row r="621" spans="2:6" ht="13" x14ac:dyDescent="0.15">
      <c r="B621" s="8"/>
      <c r="F621" s="6"/>
    </row>
    <row r="622" spans="2:6" ht="13" x14ac:dyDescent="0.15">
      <c r="B622" s="8"/>
      <c r="F622" s="6"/>
    </row>
    <row r="623" spans="2:6" ht="13" x14ac:dyDescent="0.15">
      <c r="B623" s="8"/>
      <c r="F623" s="6"/>
    </row>
    <row r="624" spans="2:6" ht="13" x14ac:dyDescent="0.15">
      <c r="B624" s="8"/>
      <c r="F624" s="6"/>
    </row>
    <row r="625" spans="2:6" ht="13" x14ac:dyDescent="0.15">
      <c r="B625" s="8"/>
      <c r="F625" s="6"/>
    </row>
    <row r="626" spans="2:6" ht="13" x14ac:dyDescent="0.15">
      <c r="B626" s="8"/>
      <c r="F626" s="6"/>
    </row>
    <row r="627" spans="2:6" ht="13" x14ac:dyDescent="0.15">
      <c r="B627" s="8"/>
      <c r="F627" s="6"/>
    </row>
    <row r="628" spans="2:6" ht="13" x14ac:dyDescent="0.15">
      <c r="B628" s="8"/>
      <c r="F628" s="6"/>
    </row>
    <row r="629" spans="2:6" ht="13" x14ac:dyDescent="0.15">
      <c r="B629" s="8"/>
      <c r="F629" s="6"/>
    </row>
    <row r="630" spans="2:6" ht="13" x14ac:dyDescent="0.15">
      <c r="B630" s="8"/>
      <c r="F630" s="6"/>
    </row>
    <row r="631" spans="2:6" ht="13" x14ac:dyDescent="0.15">
      <c r="B631" s="8"/>
      <c r="F631" s="6"/>
    </row>
    <row r="632" spans="2:6" ht="13" x14ac:dyDescent="0.15">
      <c r="B632" s="8"/>
      <c r="F632" s="6"/>
    </row>
    <row r="633" spans="2:6" ht="13" x14ac:dyDescent="0.15">
      <c r="B633" s="8"/>
      <c r="F633" s="6"/>
    </row>
    <row r="634" spans="2:6" ht="13" x14ac:dyDescent="0.15">
      <c r="B634" s="8"/>
      <c r="F634" s="6"/>
    </row>
    <row r="635" spans="2:6" ht="13" x14ac:dyDescent="0.15">
      <c r="B635" s="8"/>
      <c r="F635" s="6"/>
    </row>
    <row r="636" spans="2:6" ht="13" x14ac:dyDescent="0.15">
      <c r="B636" s="8"/>
      <c r="F636" s="6"/>
    </row>
    <row r="637" spans="2:6" ht="13" x14ac:dyDescent="0.15">
      <c r="B637" s="8"/>
      <c r="F637" s="6"/>
    </row>
    <row r="638" spans="2:6" ht="13" x14ac:dyDescent="0.15">
      <c r="B638" s="8"/>
      <c r="F638" s="6"/>
    </row>
    <row r="639" spans="2:6" ht="13" x14ac:dyDescent="0.15">
      <c r="B639" s="8"/>
      <c r="F639" s="6"/>
    </row>
    <row r="640" spans="2:6" ht="13" x14ac:dyDescent="0.15">
      <c r="B640" s="8"/>
      <c r="F640" s="6"/>
    </row>
    <row r="641" spans="2:6" ht="13" x14ac:dyDescent="0.15">
      <c r="B641" s="8"/>
      <c r="F641" s="6"/>
    </row>
    <row r="642" spans="2:6" ht="13" x14ac:dyDescent="0.15">
      <c r="B642" s="8"/>
      <c r="F642" s="6"/>
    </row>
    <row r="643" spans="2:6" ht="13" x14ac:dyDescent="0.15">
      <c r="B643" s="8"/>
      <c r="F643" s="6"/>
    </row>
    <row r="644" spans="2:6" ht="13" x14ac:dyDescent="0.15">
      <c r="B644" s="8"/>
      <c r="F644" s="6"/>
    </row>
    <row r="645" spans="2:6" ht="13" x14ac:dyDescent="0.15">
      <c r="B645" s="8"/>
      <c r="F645" s="6"/>
    </row>
    <row r="646" spans="2:6" ht="13" x14ac:dyDescent="0.15">
      <c r="B646" s="8"/>
      <c r="F646" s="6"/>
    </row>
    <row r="647" spans="2:6" ht="13" x14ac:dyDescent="0.15">
      <c r="B647" s="8"/>
      <c r="F647" s="6"/>
    </row>
    <row r="648" spans="2:6" ht="13" x14ac:dyDescent="0.15">
      <c r="B648" s="8"/>
      <c r="F648" s="6"/>
    </row>
    <row r="649" spans="2:6" ht="13" x14ac:dyDescent="0.15">
      <c r="B649" s="8"/>
      <c r="F649" s="6"/>
    </row>
    <row r="650" spans="2:6" ht="13" x14ac:dyDescent="0.15">
      <c r="B650" s="8"/>
      <c r="F650" s="6"/>
    </row>
    <row r="651" spans="2:6" ht="13" x14ac:dyDescent="0.15">
      <c r="B651" s="8"/>
      <c r="F651" s="6"/>
    </row>
    <row r="652" spans="2:6" ht="13" x14ac:dyDescent="0.15">
      <c r="B652" s="8"/>
      <c r="F652" s="6"/>
    </row>
    <row r="653" spans="2:6" ht="13" x14ac:dyDescent="0.15">
      <c r="B653" s="8"/>
      <c r="F653" s="6"/>
    </row>
    <row r="654" spans="2:6" ht="13" x14ac:dyDescent="0.15">
      <c r="B654" s="8"/>
      <c r="F654" s="6"/>
    </row>
    <row r="655" spans="2:6" ht="13" x14ac:dyDescent="0.15">
      <c r="B655" s="8"/>
      <c r="F655" s="6"/>
    </row>
    <row r="656" spans="2:6" ht="13" x14ac:dyDescent="0.15">
      <c r="B656" s="8"/>
      <c r="F656" s="6"/>
    </row>
    <row r="657" spans="2:6" ht="13" x14ac:dyDescent="0.15">
      <c r="B657" s="8"/>
      <c r="F657" s="6"/>
    </row>
    <row r="658" spans="2:6" ht="13" x14ac:dyDescent="0.15">
      <c r="B658" s="8"/>
      <c r="F658" s="6"/>
    </row>
    <row r="659" spans="2:6" ht="13" x14ac:dyDescent="0.15">
      <c r="B659" s="8"/>
      <c r="F659" s="6"/>
    </row>
    <row r="660" spans="2:6" ht="13" x14ac:dyDescent="0.15">
      <c r="B660" s="8"/>
      <c r="F660" s="6"/>
    </row>
    <row r="661" spans="2:6" ht="13" x14ac:dyDescent="0.15">
      <c r="B661" s="8"/>
      <c r="F661" s="6"/>
    </row>
    <row r="662" spans="2:6" ht="13" x14ac:dyDescent="0.15">
      <c r="B662" s="8"/>
      <c r="F662" s="6"/>
    </row>
    <row r="663" spans="2:6" ht="13" x14ac:dyDescent="0.15">
      <c r="B663" s="8"/>
      <c r="F663" s="6"/>
    </row>
    <row r="664" spans="2:6" ht="13" x14ac:dyDescent="0.15">
      <c r="B664" s="8"/>
      <c r="F664" s="6"/>
    </row>
    <row r="665" spans="2:6" ht="13" x14ac:dyDescent="0.15">
      <c r="B665" s="8"/>
      <c r="F665" s="6"/>
    </row>
    <row r="666" spans="2:6" ht="13" x14ac:dyDescent="0.15">
      <c r="B666" s="8"/>
      <c r="F666" s="6"/>
    </row>
    <row r="667" spans="2:6" ht="13" x14ac:dyDescent="0.15">
      <c r="B667" s="8"/>
      <c r="F667" s="6"/>
    </row>
    <row r="668" spans="2:6" ht="13" x14ac:dyDescent="0.15">
      <c r="B668" s="8"/>
      <c r="F668" s="6"/>
    </row>
    <row r="669" spans="2:6" ht="13" x14ac:dyDescent="0.15">
      <c r="B669" s="8"/>
      <c r="F669" s="6"/>
    </row>
    <row r="670" spans="2:6" ht="13" x14ac:dyDescent="0.15">
      <c r="B670" s="8"/>
      <c r="F670" s="6"/>
    </row>
    <row r="671" spans="2:6" ht="13" x14ac:dyDescent="0.15">
      <c r="B671" s="8"/>
      <c r="F671" s="6"/>
    </row>
    <row r="672" spans="2:6" ht="13" x14ac:dyDescent="0.15">
      <c r="B672" s="8"/>
      <c r="F672" s="6"/>
    </row>
    <row r="673" spans="2:6" ht="13" x14ac:dyDescent="0.15">
      <c r="B673" s="8"/>
      <c r="F673" s="6"/>
    </row>
    <row r="674" spans="2:6" ht="13" x14ac:dyDescent="0.15">
      <c r="B674" s="8"/>
      <c r="F674" s="6"/>
    </row>
    <row r="675" spans="2:6" ht="13" x14ac:dyDescent="0.15">
      <c r="B675" s="8"/>
      <c r="F675" s="6"/>
    </row>
    <row r="676" spans="2:6" ht="13" x14ac:dyDescent="0.15">
      <c r="B676" s="8"/>
      <c r="F676" s="6"/>
    </row>
    <row r="677" spans="2:6" ht="13" x14ac:dyDescent="0.15">
      <c r="B677" s="8"/>
      <c r="F677" s="6"/>
    </row>
    <row r="678" spans="2:6" ht="13" x14ac:dyDescent="0.15">
      <c r="B678" s="8"/>
      <c r="F678" s="6"/>
    </row>
    <row r="679" spans="2:6" ht="13" x14ac:dyDescent="0.15">
      <c r="B679" s="8"/>
      <c r="F679" s="6"/>
    </row>
    <row r="680" spans="2:6" ht="13" x14ac:dyDescent="0.15">
      <c r="B680" s="8"/>
      <c r="F680" s="6"/>
    </row>
    <row r="681" spans="2:6" ht="13" x14ac:dyDescent="0.15">
      <c r="B681" s="8"/>
      <c r="F681" s="6"/>
    </row>
    <row r="682" spans="2:6" ht="13" x14ac:dyDescent="0.15">
      <c r="B682" s="8"/>
      <c r="F682" s="6"/>
    </row>
    <row r="683" spans="2:6" ht="13" x14ac:dyDescent="0.15">
      <c r="B683" s="8"/>
      <c r="F683" s="6"/>
    </row>
    <row r="684" spans="2:6" ht="13" x14ac:dyDescent="0.15">
      <c r="B684" s="8"/>
      <c r="F684" s="6"/>
    </row>
    <row r="685" spans="2:6" ht="13" x14ac:dyDescent="0.15">
      <c r="B685" s="8"/>
      <c r="F685" s="6"/>
    </row>
    <row r="686" spans="2:6" ht="13" x14ac:dyDescent="0.15">
      <c r="B686" s="8"/>
      <c r="F686" s="6"/>
    </row>
    <row r="687" spans="2:6" ht="13" x14ac:dyDescent="0.15">
      <c r="B687" s="8"/>
      <c r="F687" s="6"/>
    </row>
    <row r="688" spans="2:6" ht="13" x14ac:dyDescent="0.15">
      <c r="B688" s="8"/>
      <c r="F688" s="6"/>
    </row>
    <row r="689" spans="2:6" ht="13" x14ac:dyDescent="0.15">
      <c r="B689" s="8"/>
      <c r="F689" s="6"/>
    </row>
    <row r="690" spans="2:6" ht="13" x14ac:dyDescent="0.15">
      <c r="B690" s="8"/>
      <c r="F690" s="6"/>
    </row>
    <row r="691" spans="2:6" ht="13" x14ac:dyDescent="0.15">
      <c r="B691" s="8"/>
      <c r="F691" s="6"/>
    </row>
    <row r="692" spans="2:6" ht="13" x14ac:dyDescent="0.15">
      <c r="B692" s="8"/>
      <c r="F692" s="6"/>
    </row>
    <row r="693" spans="2:6" ht="13" x14ac:dyDescent="0.15">
      <c r="B693" s="8"/>
      <c r="F693" s="6"/>
    </row>
    <row r="694" spans="2:6" ht="13" x14ac:dyDescent="0.15">
      <c r="B694" s="8"/>
      <c r="F694" s="6"/>
    </row>
    <row r="695" spans="2:6" ht="13" x14ac:dyDescent="0.15">
      <c r="B695" s="8"/>
      <c r="F695" s="6"/>
    </row>
    <row r="696" spans="2:6" ht="13" x14ac:dyDescent="0.15">
      <c r="B696" s="8"/>
      <c r="F696" s="6"/>
    </row>
    <row r="697" spans="2:6" ht="13" x14ac:dyDescent="0.15">
      <c r="B697" s="8"/>
      <c r="F697" s="6"/>
    </row>
    <row r="698" spans="2:6" ht="13" x14ac:dyDescent="0.15">
      <c r="B698" s="8"/>
      <c r="F698" s="6"/>
    </row>
    <row r="699" spans="2:6" ht="13" x14ac:dyDescent="0.15">
      <c r="B699" s="8"/>
      <c r="F699" s="6"/>
    </row>
    <row r="700" spans="2:6" ht="13" x14ac:dyDescent="0.15">
      <c r="B700" s="8"/>
      <c r="F700" s="6"/>
    </row>
    <row r="701" spans="2:6" ht="13" x14ac:dyDescent="0.15">
      <c r="B701" s="8"/>
      <c r="F701" s="6"/>
    </row>
    <row r="702" spans="2:6" ht="13" x14ac:dyDescent="0.15">
      <c r="B702" s="8"/>
      <c r="F702" s="6"/>
    </row>
    <row r="703" spans="2:6" ht="13" x14ac:dyDescent="0.15">
      <c r="B703" s="8"/>
      <c r="F703" s="6"/>
    </row>
    <row r="704" spans="2:6" ht="13" x14ac:dyDescent="0.15">
      <c r="B704" s="8"/>
      <c r="F704" s="6"/>
    </row>
    <row r="705" spans="2:6" ht="13" x14ac:dyDescent="0.15">
      <c r="B705" s="8"/>
      <c r="F705" s="6"/>
    </row>
    <row r="706" spans="2:6" ht="13" x14ac:dyDescent="0.15">
      <c r="B706" s="8"/>
      <c r="F706" s="6"/>
    </row>
    <row r="707" spans="2:6" ht="13" x14ac:dyDescent="0.15">
      <c r="B707" s="8"/>
      <c r="F707" s="6"/>
    </row>
    <row r="708" spans="2:6" ht="13" x14ac:dyDescent="0.15">
      <c r="B708" s="8"/>
      <c r="F708" s="6"/>
    </row>
    <row r="709" spans="2:6" ht="13" x14ac:dyDescent="0.15">
      <c r="B709" s="8"/>
      <c r="F709" s="6"/>
    </row>
    <row r="710" spans="2:6" ht="13" x14ac:dyDescent="0.15">
      <c r="B710" s="8"/>
      <c r="F710" s="6"/>
    </row>
    <row r="711" spans="2:6" ht="13" x14ac:dyDescent="0.15">
      <c r="B711" s="8"/>
      <c r="F711" s="6"/>
    </row>
    <row r="712" spans="2:6" ht="13" x14ac:dyDescent="0.15">
      <c r="B712" s="8"/>
      <c r="F712" s="6"/>
    </row>
    <row r="713" spans="2:6" ht="13" x14ac:dyDescent="0.15">
      <c r="B713" s="8"/>
      <c r="F713" s="6"/>
    </row>
    <row r="714" spans="2:6" ht="13" x14ac:dyDescent="0.15">
      <c r="B714" s="8"/>
      <c r="F714" s="6"/>
    </row>
    <row r="715" spans="2:6" ht="13" x14ac:dyDescent="0.15">
      <c r="B715" s="8"/>
      <c r="F715" s="6"/>
    </row>
    <row r="716" spans="2:6" ht="13" x14ac:dyDescent="0.15">
      <c r="B716" s="8"/>
      <c r="F716" s="6"/>
    </row>
    <row r="717" spans="2:6" ht="13" x14ac:dyDescent="0.15">
      <c r="B717" s="8"/>
      <c r="F717" s="6"/>
    </row>
    <row r="718" spans="2:6" ht="13" x14ac:dyDescent="0.15">
      <c r="B718" s="8"/>
      <c r="F718" s="6"/>
    </row>
    <row r="719" spans="2:6" ht="13" x14ac:dyDescent="0.15">
      <c r="B719" s="8"/>
      <c r="F719" s="6"/>
    </row>
    <row r="720" spans="2:6" ht="13" x14ac:dyDescent="0.15">
      <c r="B720" s="8"/>
      <c r="F720" s="6"/>
    </row>
    <row r="721" spans="2:6" ht="13" x14ac:dyDescent="0.15">
      <c r="B721" s="8"/>
      <c r="F721" s="6"/>
    </row>
    <row r="722" spans="2:6" ht="13" x14ac:dyDescent="0.15">
      <c r="B722" s="8"/>
      <c r="F722" s="6"/>
    </row>
    <row r="723" spans="2:6" ht="13" x14ac:dyDescent="0.15">
      <c r="B723" s="8"/>
      <c r="F723" s="6"/>
    </row>
    <row r="724" spans="2:6" ht="13" x14ac:dyDescent="0.15">
      <c r="B724" s="8"/>
      <c r="F724" s="6"/>
    </row>
    <row r="725" spans="2:6" ht="13" x14ac:dyDescent="0.15">
      <c r="B725" s="8"/>
      <c r="F725" s="6"/>
    </row>
    <row r="726" spans="2:6" ht="13" x14ac:dyDescent="0.15">
      <c r="B726" s="8"/>
      <c r="F726" s="6"/>
    </row>
    <row r="727" spans="2:6" ht="13" x14ac:dyDescent="0.15">
      <c r="B727" s="8"/>
      <c r="F727" s="6"/>
    </row>
    <row r="728" spans="2:6" ht="13" x14ac:dyDescent="0.15">
      <c r="B728" s="8"/>
      <c r="F728" s="6"/>
    </row>
    <row r="729" spans="2:6" ht="13" x14ac:dyDescent="0.15">
      <c r="B729" s="8"/>
      <c r="F729" s="6"/>
    </row>
    <row r="730" spans="2:6" ht="13" x14ac:dyDescent="0.15">
      <c r="B730" s="8"/>
      <c r="F730" s="6"/>
    </row>
    <row r="731" spans="2:6" ht="13" x14ac:dyDescent="0.15">
      <c r="B731" s="8"/>
      <c r="F731" s="6"/>
    </row>
    <row r="732" spans="2:6" ht="13" x14ac:dyDescent="0.15">
      <c r="B732" s="8"/>
      <c r="F732" s="6"/>
    </row>
    <row r="733" spans="2:6" ht="13" x14ac:dyDescent="0.15">
      <c r="B733" s="8"/>
      <c r="F733" s="6"/>
    </row>
    <row r="734" spans="2:6" ht="13" x14ac:dyDescent="0.15">
      <c r="B734" s="8"/>
      <c r="F734" s="6"/>
    </row>
    <row r="735" spans="2:6" ht="13" x14ac:dyDescent="0.15">
      <c r="B735" s="8"/>
      <c r="F735" s="6"/>
    </row>
    <row r="736" spans="2:6" ht="13" x14ac:dyDescent="0.15">
      <c r="B736" s="8"/>
      <c r="F736" s="6"/>
    </row>
    <row r="737" spans="2:6" ht="13" x14ac:dyDescent="0.15">
      <c r="B737" s="8"/>
      <c r="F737" s="6"/>
    </row>
    <row r="738" spans="2:6" ht="13" x14ac:dyDescent="0.15">
      <c r="B738" s="8"/>
      <c r="F738" s="6"/>
    </row>
    <row r="739" spans="2:6" ht="13" x14ac:dyDescent="0.15">
      <c r="B739" s="8"/>
      <c r="F739" s="6"/>
    </row>
    <row r="740" spans="2:6" ht="13" x14ac:dyDescent="0.15">
      <c r="B740" s="8"/>
      <c r="F740" s="6"/>
    </row>
    <row r="741" spans="2:6" ht="13" x14ac:dyDescent="0.15">
      <c r="B741" s="8"/>
      <c r="F741" s="6"/>
    </row>
    <row r="742" spans="2:6" ht="13" x14ac:dyDescent="0.15">
      <c r="B742" s="8"/>
      <c r="F742" s="6"/>
    </row>
    <row r="743" spans="2:6" ht="13" x14ac:dyDescent="0.15">
      <c r="B743" s="8"/>
      <c r="F743" s="6"/>
    </row>
    <row r="744" spans="2:6" ht="13" x14ac:dyDescent="0.15">
      <c r="B744" s="8"/>
      <c r="F744" s="6"/>
    </row>
    <row r="745" spans="2:6" ht="13" x14ac:dyDescent="0.15">
      <c r="B745" s="8"/>
      <c r="F745" s="6"/>
    </row>
    <row r="746" spans="2:6" ht="13" x14ac:dyDescent="0.15">
      <c r="B746" s="8"/>
      <c r="F746" s="6"/>
    </row>
    <row r="747" spans="2:6" ht="13" x14ac:dyDescent="0.15">
      <c r="B747" s="8"/>
      <c r="F747" s="6"/>
    </row>
    <row r="748" spans="2:6" ht="13" x14ac:dyDescent="0.15">
      <c r="B748" s="8"/>
      <c r="F748" s="6"/>
    </row>
    <row r="749" spans="2:6" ht="13" x14ac:dyDescent="0.15">
      <c r="B749" s="8"/>
      <c r="F749" s="6"/>
    </row>
    <row r="750" spans="2:6" ht="13" x14ac:dyDescent="0.15">
      <c r="B750" s="8"/>
      <c r="F750" s="6"/>
    </row>
    <row r="751" spans="2:6" ht="13" x14ac:dyDescent="0.15">
      <c r="B751" s="8"/>
      <c r="F751" s="6"/>
    </row>
    <row r="752" spans="2:6" ht="13" x14ac:dyDescent="0.15">
      <c r="B752" s="8"/>
      <c r="F752" s="6"/>
    </row>
    <row r="753" spans="2:6" ht="13" x14ac:dyDescent="0.15">
      <c r="B753" s="8"/>
      <c r="F753" s="6"/>
    </row>
    <row r="754" spans="2:6" ht="13" x14ac:dyDescent="0.15">
      <c r="B754" s="8"/>
      <c r="F754" s="6"/>
    </row>
    <row r="755" spans="2:6" ht="13" x14ac:dyDescent="0.15">
      <c r="B755" s="8"/>
      <c r="F755" s="6"/>
    </row>
    <row r="756" spans="2:6" ht="13" x14ac:dyDescent="0.15">
      <c r="B756" s="8"/>
      <c r="F756" s="6"/>
    </row>
    <row r="757" spans="2:6" ht="13" x14ac:dyDescent="0.15">
      <c r="B757" s="8"/>
      <c r="F757" s="6"/>
    </row>
    <row r="758" spans="2:6" ht="13" x14ac:dyDescent="0.15">
      <c r="B758" s="8"/>
      <c r="F758" s="6"/>
    </row>
    <row r="759" spans="2:6" ht="13" x14ac:dyDescent="0.15">
      <c r="B759" s="8"/>
      <c r="F759" s="6"/>
    </row>
    <row r="760" spans="2:6" ht="13" x14ac:dyDescent="0.15">
      <c r="B760" s="8"/>
      <c r="F760" s="6"/>
    </row>
    <row r="761" spans="2:6" ht="13" x14ac:dyDescent="0.15">
      <c r="B761" s="8"/>
      <c r="F761" s="6"/>
    </row>
    <row r="762" spans="2:6" ht="13" x14ac:dyDescent="0.15">
      <c r="B762" s="8"/>
      <c r="F762" s="6"/>
    </row>
    <row r="763" spans="2:6" ht="13" x14ac:dyDescent="0.15">
      <c r="B763" s="8"/>
      <c r="F763" s="6"/>
    </row>
    <row r="764" spans="2:6" ht="13" x14ac:dyDescent="0.15">
      <c r="B764" s="8"/>
      <c r="F764" s="6"/>
    </row>
    <row r="765" spans="2:6" ht="13" x14ac:dyDescent="0.15">
      <c r="B765" s="8"/>
      <c r="F765" s="6"/>
    </row>
    <row r="766" spans="2:6" ht="13" x14ac:dyDescent="0.15">
      <c r="B766" s="8"/>
      <c r="F766" s="6"/>
    </row>
    <row r="767" spans="2:6" ht="13" x14ac:dyDescent="0.15">
      <c r="B767" s="8"/>
      <c r="F767" s="6"/>
    </row>
    <row r="768" spans="2:6" ht="13" x14ac:dyDescent="0.15">
      <c r="B768" s="8"/>
      <c r="F768" s="6"/>
    </row>
    <row r="769" spans="2:6" ht="13" x14ac:dyDescent="0.15">
      <c r="B769" s="8"/>
      <c r="F769" s="6"/>
    </row>
    <row r="770" spans="2:6" ht="13" x14ac:dyDescent="0.15">
      <c r="B770" s="8"/>
      <c r="F770" s="6"/>
    </row>
    <row r="771" spans="2:6" ht="13" x14ac:dyDescent="0.15">
      <c r="B771" s="8"/>
      <c r="F771" s="6"/>
    </row>
    <row r="772" spans="2:6" ht="13" x14ac:dyDescent="0.15">
      <c r="B772" s="8"/>
      <c r="F772" s="6"/>
    </row>
    <row r="773" spans="2:6" ht="13" x14ac:dyDescent="0.15">
      <c r="B773" s="8"/>
      <c r="F773" s="6"/>
    </row>
    <row r="774" spans="2:6" ht="13" x14ac:dyDescent="0.15">
      <c r="B774" s="8"/>
      <c r="F774" s="6"/>
    </row>
    <row r="775" spans="2:6" ht="13" x14ac:dyDescent="0.15">
      <c r="B775" s="8"/>
      <c r="F775" s="6"/>
    </row>
    <row r="776" spans="2:6" ht="13" x14ac:dyDescent="0.15">
      <c r="B776" s="8"/>
      <c r="F776" s="6"/>
    </row>
    <row r="777" spans="2:6" ht="13" x14ac:dyDescent="0.15">
      <c r="B777" s="8"/>
      <c r="F777" s="6"/>
    </row>
    <row r="778" spans="2:6" ht="13" x14ac:dyDescent="0.15">
      <c r="B778" s="8"/>
      <c r="F778" s="6"/>
    </row>
    <row r="779" spans="2:6" ht="13" x14ac:dyDescent="0.15">
      <c r="B779" s="8"/>
      <c r="F779" s="6"/>
    </row>
    <row r="780" spans="2:6" ht="13" x14ac:dyDescent="0.15">
      <c r="B780" s="8"/>
      <c r="F780" s="6"/>
    </row>
    <row r="781" spans="2:6" ht="13" x14ac:dyDescent="0.15">
      <c r="B781" s="8"/>
      <c r="F781" s="6"/>
    </row>
    <row r="782" spans="2:6" ht="13" x14ac:dyDescent="0.15">
      <c r="B782" s="8"/>
      <c r="F782" s="6"/>
    </row>
    <row r="783" spans="2:6" ht="13" x14ac:dyDescent="0.15">
      <c r="B783" s="8"/>
      <c r="F783" s="6"/>
    </row>
    <row r="784" spans="2:6" ht="13" x14ac:dyDescent="0.15">
      <c r="B784" s="8"/>
      <c r="F784" s="6"/>
    </row>
    <row r="785" spans="2:6" ht="13" x14ac:dyDescent="0.15">
      <c r="B785" s="8"/>
      <c r="F785" s="6"/>
    </row>
    <row r="786" spans="2:6" ht="13" x14ac:dyDescent="0.15">
      <c r="B786" s="8"/>
      <c r="F786" s="6"/>
    </row>
    <row r="787" spans="2:6" ht="13" x14ac:dyDescent="0.15">
      <c r="B787" s="8"/>
      <c r="F787" s="6"/>
    </row>
    <row r="788" spans="2:6" ht="13" x14ac:dyDescent="0.15">
      <c r="B788" s="8"/>
      <c r="F788" s="6"/>
    </row>
    <row r="789" spans="2:6" ht="13" x14ac:dyDescent="0.15">
      <c r="B789" s="8"/>
      <c r="F789" s="6"/>
    </row>
    <row r="790" spans="2:6" ht="13" x14ac:dyDescent="0.15">
      <c r="B790" s="8"/>
      <c r="F790" s="6"/>
    </row>
    <row r="791" spans="2:6" ht="13" x14ac:dyDescent="0.15">
      <c r="B791" s="8"/>
      <c r="F791" s="6"/>
    </row>
    <row r="792" spans="2:6" ht="13" x14ac:dyDescent="0.15">
      <c r="B792" s="8"/>
      <c r="F792" s="6"/>
    </row>
    <row r="793" spans="2:6" ht="13" x14ac:dyDescent="0.15">
      <c r="B793" s="8"/>
      <c r="F793" s="6"/>
    </row>
    <row r="794" spans="2:6" ht="13" x14ac:dyDescent="0.15">
      <c r="B794" s="8"/>
      <c r="F794" s="6"/>
    </row>
    <row r="795" spans="2:6" ht="13" x14ac:dyDescent="0.15">
      <c r="B795" s="8"/>
      <c r="F795" s="6"/>
    </row>
    <row r="796" spans="2:6" ht="13" x14ac:dyDescent="0.15">
      <c r="B796" s="8"/>
      <c r="F796" s="6"/>
    </row>
    <row r="797" spans="2:6" ht="13" x14ac:dyDescent="0.15">
      <c r="B797" s="8"/>
      <c r="F797" s="6"/>
    </row>
    <row r="798" spans="2:6" ht="13" x14ac:dyDescent="0.15">
      <c r="B798" s="8"/>
      <c r="F798" s="6"/>
    </row>
    <row r="799" spans="2:6" ht="13" x14ac:dyDescent="0.15">
      <c r="B799" s="8"/>
      <c r="F799" s="6"/>
    </row>
    <row r="800" spans="2:6" ht="13" x14ac:dyDescent="0.15">
      <c r="B800" s="8"/>
      <c r="F800" s="6"/>
    </row>
    <row r="801" spans="2:6" ht="13" x14ac:dyDescent="0.15">
      <c r="B801" s="8"/>
      <c r="F801" s="6"/>
    </row>
    <row r="802" spans="2:6" ht="13" x14ac:dyDescent="0.15">
      <c r="B802" s="8"/>
      <c r="F802" s="6"/>
    </row>
    <row r="803" spans="2:6" ht="13" x14ac:dyDescent="0.15">
      <c r="B803" s="8"/>
      <c r="F803" s="6"/>
    </row>
    <row r="804" spans="2:6" ht="13" x14ac:dyDescent="0.15">
      <c r="B804" s="8"/>
      <c r="F804" s="6"/>
    </row>
    <row r="805" spans="2:6" ht="13" x14ac:dyDescent="0.15">
      <c r="B805" s="8"/>
      <c r="F805" s="6"/>
    </row>
    <row r="806" spans="2:6" ht="13" x14ac:dyDescent="0.15">
      <c r="B806" s="8"/>
      <c r="F806" s="6"/>
    </row>
    <row r="807" spans="2:6" ht="13" x14ac:dyDescent="0.15">
      <c r="B807" s="8"/>
      <c r="F807" s="6"/>
    </row>
    <row r="808" spans="2:6" ht="13" x14ac:dyDescent="0.15">
      <c r="B808" s="8"/>
      <c r="F808" s="6"/>
    </row>
    <row r="809" spans="2:6" ht="13" x14ac:dyDescent="0.15">
      <c r="B809" s="8"/>
      <c r="F809" s="6"/>
    </row>
    <row r="810" spans="2:6" ht="13" x14ac:dyDescent="0.15">
      <c r="B810" s="8"/>
      <c r="F810" s="6"/>
    </row>
    <row r="811" spans="2:6" ht="13" x14ac:dyDescent="0.15">
      <c r="B811" s="8"/>
      <c r="F811" s="6"/>
    </row>
    <row r="812" spans="2:6" ht="13" x14ac:dyDescent="0.15">
      <c r="B812" s="8"/>
      <c r="F812" s="6"/>
    </row>
    <row r="813" spans="2:6" ht="13" x14ac:dyDescent="0.15">
      <c r="B813" s="8"/>
      <c r="F813" s="6"/>
    </row>
    <row r="814" spans="2:6" ht="13" x14ac:dyDescent="0.15">
      <c r="B814" s="8"/>
      <c r="F814" s="6"/>
    </row>
    <row r="815" spans="2:6" ht="13" x14ac:dyDescent="0.15">
      <c r="B815" s="8"/>
      <c r="F815" s="6"/>
    </row>
    <row r="816" spans="2:6" ht="13" x14ac:dyDescent="0.15">
      <c r="B816" s="8"/>
      <c r="F816" s="6"/>
    </row>
    <row r="817" spans="2:6" ht="13" x14ac:dyDescent="0.15">
      <c r="B817" s="8"/>
      <c r="F817" s="6"/>
    </row>
    <row r="818" spans="2:6" ht="13" x14ac:dyDescent="0.15">
      <c r="B818" s="8"/>
      <c r="F818" s="6"/>
    </row>
    <row r="819" spans="2:6" ht="13" x14ac:dyDescent="0.15">
      <c r="B819" s="8"/>
      <c r="F819" s="6"/>
    </row>
    <row r="820" spans="2:6" ht="13" x14ac:dyDescent="0.15">
      <c r="B820" s="8"/>
      <c r="F820" s="6"/>
    </row>
    <row r="821" spans="2:6" ht="13" x14ac:dyDescent="0.15">
      <c r="B821" s="8"/>
      <c r="F821" s="6"/>
    </row>
    <row r="822" spans="2:6" ht="13" x14ac:dyDescent="0.15">
      <c r="B822" s="8"/>
      <c r="F822" s="6"/>
    </row>
    <row r="823" spans="2:6" ht="13" x14ac:dyDescent="0.15">
      <c r="B823" s="8"/>
      <c r="F823" s="6"/>
    </row>
    <row r="824" spans="2:6" ht="13" x14ac:dyDescent="0.15">
      <c r="B824" s="8"/>
      <c r="F824" s="6"/>
    </row>
    <row r="825" spans="2:6" ht="13" x14ac:dyDescent="0.15">
      <c r="B825" s="8"/>
      <c r="F825" s="6"/>
    </row>
    <row r="826" spans="2:6" ht="13" x14ac:dyDescent="0.15">
      <c r="B826" s="8"/>
      <c r="F826" s="6"/>
    </row>
    <row r="827" spans="2:6" ht="13" x14ac:dyDescent="0.15">
      <c r="B827" s="8"/>
      <c r="F827" s="6"/>
    </row>
    <row r="828" spans="2:6" ht="13" x14ac:dyDescent="0.15">
      <c r="B828" s="8"/>
      <c r="F828" s="6"/>
    </row>
    <row r="829" spans="2:6" ht="13" x14ac:dyDescent="0.15">
      <c r="B829" s="8"/>
      <c r="F829" s="6"/>
    </row>
    <row r="830" spans="2:6" ht="13" x14ac:dyDescent="0.15">
      <c r="B830" s="8"/>
      <c r="F830" s="6"/>
    </row>
    <row r="831" spans="2:6" ht="13" x14ac:dyDescent="0.15">
      <c r="B831" s="8"/>
      <c r="F831" s="6"/>
    </row>
    <row r="832" spans="2:6" ht="13" x14ac:dyDescent="0.15">
      <c r="B832" s="8"/>
      <c r="F832" s="6"/>
    </row>
    <row r="833" spans="2:6" ht="13" x14ac:dyDescent="0.15">
      <c r="B833" s="8"/>
      <c r="F833" s="6"/>
    </row>
    <row r="834" spans="2:6" ht="13" x14ac:dyDescent="0.15">
      <c r="B834" s="8"/>
      <c r="F834" s="6"/>
    </row>
    <row r="835" spans="2:6" ht="13" x14ac:dyDescent="0.15">
      <c r="B835" s="8"/>
      <c r="F835" s="6"/>
    </row>
    <row r="836" spans="2:6" ht="13" x14ac:dyDescent="0.15">
      <c r="B836" s="8"/>
      <c r="F836" s="6"/>
    </row>
    <row r="837" spans="2:6" ht="13" x14ac:dyDescent="0.15">
      <c r="B837" s="8"/>
      <c r="F837" s="6"/>
    </row>
    <row r="838" spans="2:6" ht="13" x14ac:dyDescent="0.15">
      <c r="B838" s="8"/>
      <c r="F838" s="6"/>
    </row>
    <row r="839" spans="2:6" ht="13" x14ac:dyDescent="0.15">
      <c r="B839" s="8"/>
      <c r="F839" s="6"/>
    </row>
    <row r="840" spans="2:6" ht="13" x14ac:dyDescent="0.15">
      <c r="B840" s="8"/>
      <c r="F840" s="6"/>
    </row>
    <row r="841" spans="2:6" ht="13" x14ac:dyDescent="0.15">
      <c r="B841" s="8"/>
      <c r="F841" s="6"/>
    </row>
    <row r="842" spans="2:6" ht="13" x14ac:dyDescent="0.15">
      <c r="B842" s="8"/>
      <c r="F842" s="6"/>
    </row>
    <row r="843" spans="2:6" ht="13" x14ac:dyDescent="0.15">
      <c r="B843" s="8"/>
      <c r="F843" s="6"/>
    </row>
    <row r="844" spans="2:6" ht="13" x14ac:dyDescent="0.15">
      <c r="B844" s="8"/>
      <c r="F844" s="6"/>
    </row>
    <row r="845" spans="2:6" ht="13" x14ac:dyDescent="0.15">
      <c r="B845" s="8"/>
      <c r="F845" s="6"/>
    </row>
    <row r="846" spans="2:6" ht="13" x14ac:dyDescent="0.15">
      <c r="B846" s="8"/>
      <c r="F846" s="6"/>
    </row>
    <row r="847" spans="2:6" ht="13" x14ac:dyDescent="0.15">
      <c r="B847" s="8"/>
      <c r="F847" s="6"/>
    </row>
    <row r="848" spans="2:6" ht="13" x14ac:dyDescent="0.15">
      <c r="B848" s="8"/>
      <c r="F848" s="6"/>
    </row>
    <row r="849" spans="2:6" ht="13" x14ac:dyDescent="0.15">
      <c r="B849" s="8"/>
      <c r="F849" s="6"/>
    </row>
    <row r="850" spans="2:6" ht="13" x14ac:dyDescent="0.15">
      <c r="B850" s="8"/>
      <c r="F850" s="6"/>
    </row>
    <row r="851" spans="2:6" ht="13" x14ac:dyDescent="0.15">
      <c r="B851" s="8"/>
      <c r="F851" s="6"/>
    </row>
    <row r="852" spans="2:6" ht="13" x14ac:dyDescent="0.15">
      <c r="B852" s="8"/>
      <c r="F852" s="6"/>
    </row>
    <row r="853" spans="2:6" ht="13" x14ac:dyDescent="0.15">
      <c r="B853" s="8"/>
      <c r="F853" s="6"/>
    </row>
    <row r="854" spans="2:6" ht="13" x14ac:dyDescent="0.15">
      <c r="B854" s="8"/>
      <c r="F854" s="6"/>
    </row>
    <row r="855" spans="2:6" ht="13" x14ac:dyDescent="0.15">
      <c r="B855" s="8"/>
      <c r="F855" s="6"/>
    </row>
    <row r="856" spans="2:6" ht="13" x14ac:dyDescent="0.15">
      <c r="B856" s="8"/>
      <c r="F856" s="6"/>
    </row>
    <row r="857" spans="2:6" ht="13" x14ac:dyDescent="0.15">
      <c r="B857" s="8"/>
      <c r="F857" s="6"/>
    </row>
    <row r="858" spans="2:6" ht="13" x14ac:dyDescent="0.15">
      <c r="B858" s="8"/>
      <c r="F858" s="6"/>
    </row>
    <row r="859" spans="2:6" ht="13" x14ac:dyDescent="0.15">
      <c r="B859" s="8"/>
      <c r="F859" s="6"/>
    </row>
    <row r="860" spans="2:6" ht="13" x14ac:dyDescent="0.15">
      <c r="B860" s="8"/>
      <c r="F860" s="6"/>
    </row>
    <row r="861" spans="2:6" ht="13" x14ac:dyDescent="0.15">
      <c r="B861" s="8"/>
      <c r="F861" s="6"/>
    </row>
    <row r="862" spans="2:6" ht="13" x14ac:dyDescent="0.15">
      <c r="B862" s="8"/>
      <c r="F862" s="6"/>
    </row>
    <row r="863" spans="2:6" ht="13" x14ac:dyDescent="0.15">
      <c r="B863" s="8"/>
      <c r="F863" s="6"/>
    </row>
    <row r="864" spans="2:6" ht="13" x14ac:dyDescent="0.15">
      <c r="B864" s="8"/>
      <c r="F864" s="6"/>
    </row>
    <row r="865" spans="2:6" ht="13" x14ac:dyDescent="0.15">
      <c r="B865" s="8"/>
      <c r="F865" s="6"/>
    </row>
    <row r="866" spans="2:6" ht="13" x14ac:dyDescent="0.15">
      <c r="B866" s="8"/>
      <c r="F866" s="6"/>
    </row>
    <row r="867" spans="2:6" ht="13" x14ac:dyDescent="0.15">
      <c r="B867" s="8"/>
      <c r="F867" s="6"/>
    </row>
    <row r="868" spans="2:6" ht="13" x14ac:dyDescent="0.15">
      <c r="B868" s="8"/>
      <c r="F868" s="6"/>
    </row>
    <row r="869" spans="2:6" ht="13" x14ac:dyDescent="0.15">
      <c r="B869" s="8"/>
      <c r="F869" s="6"/>
    </row>
    <row r="870" spans="2:6" ht="13" x14ac:dyDescent="0.15">
      <c r="B870" s="8"/>
      <c r="F870" s="6"/>
    </row>
    <row r="871" spans="2:6" ht="13" x14ac:dyDescent="0.15">
      <c r="B871" s="8"/>
      <c r="F871" s="6"/>
    </row>
    <row r="872" spans="2:6" ht="13" x14ac:dyDescent="0.15">
      <c r="B872" s="8"/>
      <c r="F872" s="6"/>
    </row>
    <row r="873" spans="2:6" ht="13" x14ac:dyDescent="0.15">
      <c r="B873" s="8"/>
      <c r="F873" s="6"/>
    </row>
    <row r="874" spans="2:6" ht="13" x14ac:dyDescent="0.15">
      <c r="B874" s="8"/>
      <c r="F874" s="6"/>
    </row>
    <row r="875" spans="2:6" ht="13" x14ac:dyDescent="0.15">
      <c r="B875" s="8"/>
      <c r="F875" s="6"/>
    </row>
    <row r="876" spans="2:6" ht="13" x14ac:dyDescent="0.15">
      <c r="B876" s="8"/>
      <c r="F876" s="6"/>
    </row>
    <row r="877" spans="2:6" ht="13" x14ac:dyDescent="0.15">
      <c r="B877" s="8"/>
      <c r="F877" s="6"/>
    </row>
    <row r="878" spans="2:6" ht="13" x14ac:dyDescent="0.15">
      <c r="B878" s="8"/>
      <c r="F878" s="6"/>
    </row>
    <row r="879" spans="2:6" ht="13" x14ac:dyDescent="0.15">
      <c r="B879" s="8"/>
      <c r="F879" s="6"/>
    </row>
    <row r="880" spans="2:6" ht="13" x14ac:dyDescent="0.15">
      <c r="B880" s="8"/>
      <c r="F880" s="6"/>
    </row>
    <row r="881" spans="2:6" ht="13" x14ac:dyDescent="0.15">
      <c r="B881" s="8"/>
      <c r="F881" s="6"/>
    </row>
    <row r="882" spans="2:6" ht="13" x14ac:dyDescent="0.15">
      <c r="B882" s="8"/>
      <c r="F882" s="6"/>
    </row>
    <row r="883" spans="2:6" ht="13" x14ac:dyDescent="0.15">
      <c r="B883" s="8"/>
      <c r="F883" s="6"/>
    </row>
    <row r="884" spans="2:6" ht="13" x14ac:dyDescent="0.15">
      <c r="B884" s="8"/>
      <c r="F884" s="6"/>
    </row>
    <row r="885" spans="2:6" ht="13" x14ac:dyDescent="0.15">
      <c r="B885" s="8"/>
      <c r="F885" s="6"/>
    </row>
    <row r="886" spans="2:6" ht="13" x14ac:dyDescent="0.15">
      <c r="B886" s="8"/>
      <c r="F886" s="6"/>
    </row>
    <row r="887" spans="2:6" ht="13" x14ac:dyDescent="0.15">
      <c r="B887" s="8"/>
      <c r="F887" s="6"/>
    </row>
    <row r="888" spans="2:6" ht="13" x14ac:dyDescent="0.15">
      <c r="B888" s="8"/>
      <c r="F888" s="6"/>
    </row>
    <row r="889" spans="2:6" ht="13" x14ac:dyDescent="0.15">
      <c r="B889" s="8"/>
      <c r="F889" s="6"/>
    </row>
    <row r="890" spans="2:6" ht="13" x14ac:dyDescent="0.15">
      <c r="B890" s="8"/>
      <c r="F890" s="6"/>
    </row>
    <row r="891" spans="2:6" ht="13" x14ac:dyDescent="0.15">
      <c r="B891" s="8"/>
      <c r="F891" s="6"/>
    </row>
    <row r="892" spans="2:6" ht="13" x14ac:dyDescent="0.15">
      <c r="B892" s="8"/>
      <c r="F892" s="6"/>
    </row>
    <row r="893" spans="2:6" ht="13" x14ac:dyDescent="0.15">
      <c r="B893" s="8"/>
      <c r="F893" s="6"/>
    </row>
    <row r="894" spans="2:6" ht="13" x14ac:dyDescent="0.15">
      <c r="B894" s="8"/>
      <c r="F894" s="6"/>
    </row>
    <row r="895" spans="2:6" ht="13" x14ac:dyDescent="0.15">
      <c r="B895" s="8"/>
      <c r="F895" s="6"/>
    </row>
    <row r="896" spans="2:6" ht="13" x14ac:dyDescent="0.15">
      <c r="B896" s="8"/>
      <c r="F896" s="6"/>
    </row>
    <row r="897" spans="2:6" ht="13" x14ac:dyDescent="0.15">
      <c r="B897" s="8"/>
      <c r="F897" s="6"/>
    </row>
    <row r="898" spans="2:6" ht="13" x14ac:dyDescent="0.15">
      <c r="B898" s="8"/>
      <c r="F898" s="6"/>
    </row>
    <row r="899" spans="2:6" ht="13" x14ac:dyDescent="0.15">
      <c r="B899" s="8"/>
      <c r="F899" s="6"/>
    </row>
    <row r="900" spans="2:6" ht="13" x14ac:dyDescent="0.15">
      <c r="B900" s="8"/>
      <c r="F900" s="6"/>
    </row>
    <row r="901" spans="2:6" ht="13" x14ac:dyDescent="0.15">
      <c r="B901" s="8"/>
      <c r="F901" s="6"/>
    </row>
    <row r="902" spans="2:6" ht="13" x14ac:dyDescent="0.15">
      <c r="B902" s="8"/>
      <c r="F902" s="6"/>
    </row>
    <row r="903" spans="2:6" ht="13" x14ac:dyDescent="0.15">
      <c r="B903" s="8"/>
      <c r="F903" s="6"/>
    </row>
    <row r="904" spans="2:6" ht="13" x14ac:dyDescent="0.15">
      <c r="B904" s="8"/>
      <c r="F904" s="6"/>
    </row>
    <row r="905" spans="2:6" ht="13" x14ac:dyDescent="0.15">
      <c r="B905" s="8"/>
      <c r="F905" s="6"/>
    </row>
    <row r="906" spans="2:6" ht="13" x14ac:dyDescent="0.15">
      <c r="B906" s="8"/>
      <c r="F906" s="6"/>
    </row>
    <row r="907" spans="2:6" ht="13" x14ac:dyDescent="0.15">
      <c r="B907" s="8"/>
      <c r="F907" s="6"/>
    </row>
    <row r="908" spans="2:6" ht="13" x14ac:dyDescent="0.15">
      <c r="B908" s="8"/>
      <c r="F908" s="6"/>
    </row>
    <row r="909" spans="2:6" ht="13" x14ac:dyDescent="0.15">
      <c r="B909" s="8"/>
      <c r="F909" s="6"/>
    </row>
    <row r="910" spans="2:6" ht="13" x14ac:dyDescent="0.15">
      <c r="B910" s="8"/>
      <c r="F910" s="6"/>
    </row>
    <row r="911" spans="2:6" ht="13" x14ac:dyDescent="0.15">
      <c r="B911" s="8"/>
      <c r="F911" s="6"/>
    </row>
    <row r="912" spans="2:6" ht="13" x14ac:dyDescent="0.15">
      <c r="B912" s="8"/>
      <c r="F912" s="6"/>
    </row>
    <row r="913" spans="2:6" ht="13" x14ac:dyDescent="0.15">
      <c r="B913" s="8"/>
      <c r="F913" s="6"/>
    </row>
    <row r="914" spans="2:6" ht="13" x14ac:dyDescent="0.15">
      <c r="B914" s="8"/>
      <c r="F914" s="6"/>
    </row>
    <row r="915" spans="2:6" ht="13" x14ac:dyDescent="0.15">
      <c r="B915" s="8"/>
      <c r="F915" s="6"/>
    </row>
    <row r="916" spans="2:6" ht="13" x14ac:dyDescent="0.15">
      <c r="B916" s="8"/>
      <c r="F916" s="6"/>
    </row>
    <row r="917" spans="2:6" ht="13" x14ac:dyDescent="0.15">
      <c r="B917" s="8"/>
      <c r="F917" s="6"/>
    </row>
    <row r="918" spans="2:6" ht="13" x14ac:dyDescent="0.15">
      <c r="B918" s="8"/>
      <c r="F918" s="6"/>
    </row>
    <row r="919" spans="2:6" ht="13" x14ac:dyDescent="0.15">
      <c r="B919" s="8"/>
      <c r="F919" s="6"/>
    </row>
    <row r="920" spans="2:6" ht="13" x14ac:dyDescent="0.15">
      <c r="B920" s="8"/>
      <c r="F920" s="6"/>
    </row>
    <row r="921" spans="2:6" ht="13" x14ac:dyDescent="0.15">
      <c r="B921" s="8"/>
      <c r="F921" s="6"/>
    </row>
    <row r="922" spans="2:6" ht="13" x14ac:dyDescent="0.15">
      <c r="B922" s="8"/>
      <c r="F922" s="6"/>
    </row>
    <row r="923" spans="2:6" ht="13" x14ac:dyDescent="0.15">
      <c r="B923" s="8"/>
      <c r="F923" s="6"/>
    </row>
    <row r="924" spans="2:6" ht="13" x14ac:dyDescent="0.15">
      <c r="B924" s="8"/>
      <c r="F924" s="6"/>
    </row>
    <row r="925" spans="2:6" ht="13" x14ac:dyDescent="0.15">
      <c r="B925" s="8"/>
      <c r="F925" s="6"/>
    </row>
    <row r="926" spans="2:6" ht="13" x14ac:dyDescent="0.15">
      <c r="B926" s="8"/>
      <c r="F926" s="6"/>
    </row>
    <row r="927" spans="2:6" ht="13" x14ac:dyDescent="0.15">
      <c r="B927" s="8"/>
      <c r="F927" s="6"/>
    </row>
    <row r="928" spans="2:6" ht="13" x14ac:dyDescent="0.15">
      <c r="B928" s="8"/>
      <c r="F928" s="6"/>
    </row>
    <row r="929" spans="2:6" ht="13" x14ac:dyDescent="0.15">
      <c r="B929" s="8"/>
      <c r="F929" s="6"/>
    </row>
    <row r="930" spans="2:6" ht="13" x14ac:dyDescent="0.15">
      <c r="B930" s="8"/>
      <c r="F930" s="6"/>
    </row>
    <row r="931" spans="2:6" ht="13" x14ac:dyDescent="0.15">
      <c r="B931" s="8"/>
      <c r="F931" s="6"/>
    </row>
    <row r="932" spans="2:6" ht="13" x14ac:dyDescent="0.15">
      <c r="B932" s="8"/>
      <c r="F932" s="6"/>
    </row>
    <row r="933" spans="2:6" ht="13" x14ac:dyDescent="0.15">
      <c r="B933" s="8"/>
      <c r="F933" s="6"/>
    </row>
    <row r="934" spans="2:6" ht="13" x14ac:dyDescent="0.15">
      <c r="B934" s="8"/>
      <c r="F934" s="6"/>
    </row>
    <row r="935" spans="2:6" ht="13" x14ac:dyDescent="0.15">
      <c r="B935" s="8"/>
      <c r="F935" s="6"/>
    </row>
    <row r="936" spans="2:6" ht="13" x14ac:dyDescent="0.15">
      <c r="B936" s="8"/>
      <c r="F936" s="6"/>
    </row>
    <row r="937" spans="2:6" ht="13" x14ac:dyDescent="0.15">
      <c r="B937" s="8"/>
      <c r="F937" s="6"/>
    </row>
    <row r="938" spans="2:6" ht="13" x14ac:dyDescent="0.15">
      <c r="B938" s="8"/>
      <c r="F938" s="6"/>
    </row>
    <row r="939" spans="2:6" ht="13" x14ac:dyDescent="0.15">
      <c r="B939" s="8"/>
      <c r="F939" s="6"/>
    </row>
    <row r="940" spans="2:6" ht="13" x14ac:dyDescent="0.15">
      <c r="B940" s="8"/>
      <c r="F940" s="6"/>
    </row>
    <row r="941" spans="2:6" ht="13" x14ac:dyDescent="0.15">
      <c r="B941" s="8"/>
      <c r="F941" s="6"/>
    </row>
    <row r="942" spans="2:6" ht="13" x14ac:dyDescent="0.15">
      <c r="B942" s="8"/>
      <c r="F942" s="6"/>
    </row>
    <row r="943" spans="2:6" ht="13" x14ac:dyDescent="0.15">
      <c r="B943" s="8"/>
      <c r="F943" s="6"/>
    </row>
    <row r="944" spans="2:6" ht="13" x14ac:dyDescent="0.15">
      <c r="B944" s="8"/>
      <c r="F944" s="6"/>
    </row>
    <row r="945" spans="2:6" ht="13" x14ac:dyDescent="0.15">
      <c r="B945" s="8"/>
      <c r="F945" s="6"/>
    </row>
    <row r="946" spans="2:6" ht="13" x14ac:dyDescent="0.15">
      <c r="B946" s="8"/>
      <c r="F946" s="6"/>
    </row>
    <row r="947" spans="2:6" ht="13" x14ac:dyDescent="0.15">
      <c r="B947" s="8"/>
      <c r="F947" s="6"/>
    </row>
    <row r="948" spans="2:6" ht="13" x14ac:dyDescent="0.15">
      <c r="B948" s="8"/>
      <c r="F948" s="6"/>
    </row>
    <row r="949" spans="2:6" ht="13" x14ac:dyDescent="0.15">
      <c r="B949" s="8"/>
      <c r="F949" s="6"/>
    </row>
    <row r="950" spans="2:6" ht="13" x14ac:dyDescent="0.15">
      <c r="B950" s="8"/>
      <c r="F950" s="6"/>
    </row>
    <row r="951" spans="2:6" ht="13" x14ac:dyDescent="0.15">
      <c r="B951" s="8"/>
      <c r="F951" s="6"/>
    </row>
    <row r="952" spans="2:6" ht="13" x14ac:dyDescent="0.15">
      <c r="B952" s="8"/>
      <c r="F952" s="6"/>
    </row>
    <row r="953" spans="2:6" ht="13" x14ac:dyDescent="0.15">
      <c r="B953" s="8"/>
      <c r="F953" s="6"/>
    </row>
    <row r="954" spans="2:6" ht="13" x14ac:dyDescent="0.15">
      <c r="B954" s="8"/>
      <c r="F954" s="6"/>
    </row>
    <row r="955" spans="2:6" ht="13" x14ac:dyDescent="0.15">
      <c r="B955" s="8"/>
      <c r="F955" s="6"/>
    </row>
    <row r="956" spans="2:6" ht="13" x14ac:dyDescent="0.15">
      <c r="B956" s="8"/>
      <c r="F956" s="6"/>
    </row>
    <row r="957" spans="2:6" ht="13" x14ac:dyDescent="0.15">
      <c r="B957" s="8"/>
      <c r="F957" s="6"/>
    </row>
    <row r="958" spans="2:6" ht="13" x14ac:dyDescent="0.15">
      <c r="B958" s="8"/>
      <c r="F958" s="6"/>
    </row>
    <row r="959" spans="2:6" ht="13" x14ac:dyDescent="0.15">
      <c r="B959" s="8"/>
      <c r="F959" s="6"/>
    </row>
    <row r="960" spans="2:6" ht="13" x14ac:dyDescent="0.15">
      <c r="B960" s="8"/>
      <c r="F960" s="6"/>
    </row>
    <row r="961" spans="2:6" ht="13" x14ac:dyDescent="0.15">
      <c r="B961" s="8"/>
      <c r="F961" s="6"/>
    </row>
    <row r="962" spans="2:6" ht="13" x14ac:dyDescent="0.15">
      <c r="B962" s="8"/>
      <c r="F962" s="6"/>
    </row>
    <row r="963" spans="2:6" ht="13" x14ac:dyDescent="0.15">
      <c r="B963" s="8"/>
      <c r="F963" s="6"/>
    </row>
    <row r="964" spans="2:6" ht="13" x14ac:dyDescent="0.15">
      <c r="B964" s="8"/>
      <c r="F964" s="6"/>
    </row>
    <row r="965" spans="2:6" ht="13" x14ac:dyDescent="0.15">
      <c r="B965" s="8"/>
      <c r="F965" s="6"/>
    </row>
    <row r="966" spans="2:6" ht="13" x14ac:dyDescent="0.15">
      <c r="B966" s="8"/>
      <c r="F966" s="6"/>
    </row>
    <row r="967" spans="2:6" ht="13" x14ac:dyDescent="0.15">
      <c r="B967" s="8"/>
      <c r="F967" s="6"/>
    </row>
    <row r="968" spans="2:6" ht="13" x14ac:dyDescent="0.15">
      <c r="B968" s="8"/>
      <c r="F968" s="6"/>
    </row>
    <row r="969" spans="2:6" ht="13" x14ac:dyDescent="0.15">
      <c r="B969" s="8"/>
      <c r="F969" s="6"/>
    </row>
    <row r="970" spans="2:6" ht="13" x14ac:dyDescent="0.15">
      <c r="B970" s="8"/>
      <c r="F970" s="6"/>
    </row>
    <row r="971" spans="2:6" ht="13" x14ac:dyDescent="0.15">
      <c r="B971" s="8"/>
      <c r="F971" s="6"/>
    </row>
    <row r="972" spans="2:6" ht="13" x14ac:dyDescent="0.15">
      <c r="B972" s="8"/>
      <c r="F972" s="6"/>
    </row>
    <row r="973" spans="2:6" ht="13" x14ac:dyDescent="0.15">
      <c r="B973" s="8"/>
      <c r="F973" s="6"/>
    </row>
    <row r="974" spans="2:6" ht="13" x14ac:dyDescent="0.15">
      <c r="B974" s="8"/>
      <c r="F974" s="6"/>
    </row>
    <row r="975" spans="2:6" ht="13" x14ac:dyDescent="0.15">
      <c r="B975" s="8"/>
      <c r="F975" s="6"/>
    </row>
    <row r="976" spans="2:6" ht="13" x14ac:dyDescent="0.15">
      <c r="B976" s="8"/>
      <c r="F976" s="6"/>
    </row>
    <row r="977" spans="2:6" ht="13" x14ac:dyDescent="0.15">
      <c r="B977" s="8"/>
      <c r="F977" s="6"/>
    </row>
    <row r="978" spans="2:6" ht="13" x14ac:dyDescent="0.15">
      <c r="B978" s="8"/>
      <c r="F978" s="6"/>
    </row>
    <row r="979" spans="2:6" ht="13" x14ac:dyDescent="0.15">
      <c r="B979" s="8"/>
      <c r="F979" s="6"/>
    </row>
    <row r="980" spans="2:6" ht="13" x14ac:dyDescent="0.15">
      <c r="B980" s="8"/>
      <c r="F980" s="6"/>
    </row>
    <row r="981" spans="2:6" ht="13" x14ac:dyDescent="0.15">
      <c r="B981" s="8"/>
      <c r="F981" s="6"/>
    </row>
    <row r="982" spans="2:6" ht="13" x14ac:dyDescent="0.15">
      <c r="B982" s="8"/>
      <c r="F982" s="6"/>
    </row>
    <row r="983" spans="2:6" ht="13" x14ac:dyDescent="0.15">
      <c r="B983" s="8"/>
      <c r="F983" s="6"/>
    </row>
    <row r="984" spans="2:6" ht="13" x14ac:dyDescent="0.15">
      <c r="B984" s="8"/>
      <c r="F984" s="6"/>
    </row>
    <row r="985" spans="2:6" ht="13" x14ac:dyDescent="0.15">
      <c r="B985" s="8"/>
      <c r="F985" s="6"/>
    </row>
    <row r="986" spans="2:6" ht="13" x14ac:dyDescent="0.15">
      <c r="B986" s="8"/>
      <c r="F986" s="6"/>
    </row>
    <row r="987" spans="2:6" ht="13" x14ac:dyDescent="0.15">
      <c r="B987" s="8"/>
      <c r="F987" s="6"/>
    </row>
    <row r="988" spans="2:6" ht="13" x14ac:dyDescent="0.15">
      <c r="B988" s="8"/>
      <c r="F988" s="6"/>
    </row>
    <row r="989" spans="2:6" ht="13" x14ac:dyDescent="0.15">
      <c r="B989" s="8"/>
      <c r="F989" s="6"/>
    </row>
    <row r="990" spans="2:6" ht="13" x14ac:dyDescent="0.15">
      <c r="B990" s="8"/>
      <c r="F990" s="6"/>
    </row>
    <row r="991" spans="2:6" ht="13" x14ac:dyDescent="0.15">
      <c r="B991" s="8"/>
      <c r="F991" s="6"/>
    </row>
    <row r="992" spans="2:6" ht="13" x14ac:dyDescent="0.15">
      <c r="B992" s="8"/>
      <c r="F992" s="6"/>
    </row>
    <row r="993" spans="2:6" ht="13" x14ac:dyDescent="0.15">
      <c r="B993" s="8"/>
      <c r="F993" s="6"/>
    </row>
    <row r="994" spans="2:6" ht="13" x14ac:dyDescent="0.15">
      <c r="B994" s="8"/>
      <c r="F994" s="6"/>
    </row>
    <row r="995" spans="2:6" ht="13" x14ac:dyDescent="0.15">
      <c r="B995" s="8"/>
      <c r="F995" s="6"/>
    </row>
    <row r="996" spans="2:6" ht="13" x14ac:dyDescent="0.15">
      <c r="B996" s="8"/>
      <c r="F996" s="6"/>
    </row>
    <row r="997" spans="2:6" ht="13" x14ac:dyDescent="0.15">
      <c r="B997" s="8"/>
      <c r="F997" s="6"/>
    </row>
    <row r="998" spans="2:6" ht="13" x14ac:dyDescent="0.15">
      <c r="B998" s="8"/>
      <c r="F998" s="6"/>
    </row>
  </sheetData>
  <autoFilter ref="A1:W498" xr:uid="{00000000-0009-0000-0000-000005000000}"/>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Results!$A$2:$A$20</xm:f>
          </x14:formula1>
          <xm:sqref>F1:F998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2462"/>
  <sheetViews>
    <sheetView workbookViewId="0">
      <selection activeCell="J1635" sqref="J1635"/>
    </sheetView>
  </sheetViews>
  <sheetFormatPr baseColWidth="10" defaultColWidth="12.6640625" defaultRowHeight="15.75" customHeight="1" x14ac:dyDescent="0.15"/>
  <cols>
    <col min="4" max="4" width="16.33203125" customWidth="1"/>
  </cols>
  <sheetData>
    <row r="1" spans="1:10" ht="15.75" customHeight="1" x14ac:dyDescent="0.15">
      <c r="A1" s="33" t="s">
        <v>3291</v>
      </c>
      <c r="B1" s="33" t="s">
        <v>3292</v>
      </c>
      <c r="D1" s="6" t="s">
        <v>3293</v>
      </c>
      <c r="E1" s="6">
        <f>COUNTA(A2:A2462)</f>
        <v>500</v>
      </c>
    </row>
    <row r="2" spans="1:10" ht="15.75" customHeight="1" x14ac:dyDescent="0.15">
      <c r="A2" s="33" t="s">
        <v>88</v>
      </c>
      <c r="B2" s="33" t="s">
        <v>88</v>
      </c>
      <c r="D2" s="6" t="s">
        <v>3294</v>
      </c>
      <c r="E2" s="6">
        <f>SUMPRODUCT((A2:A2462&lt;&gt;"")*(A2:A2462=B2:B2462))/E1</f>
        <v>0.55200000000000005</v>
      </c>
      <c r="G2" s="6" t="str">
        <f ca="1">IFERROR(__xludf.DUMMYFUNCTION("SORT(UNIQUE(FILTER({A2:A2462;B2:B2462},{A2:A2462;B2:B2462}&lt;&gt;"""")))"),"Build &amp; Operation")</f>
        <v>Build &amp; Operation</v>
      </c>
      <c r="H2" s="6">
        <f t="array" ref="H2:H2462" ca="1">IF(G2:G2462="",,COUNTIF($A$2:$A2462,G2:G2462)/$E$1)</f>
        <v>8.4000000000000005E-2</v>
      </c>
      <c r="I2" s="6">
        <f t="array" ref="I2:I2462" ca="1">IF(G2:G2462="",,COUNTIF($B$2:$B2462,G2:G2462)/$E$1)</f>
        <v>7.1999999999999995E-2</v>
      </c>
      <c r="J2" s="6">
        <f t="array" ref="J2:J2462" ca="1">IF(G2:G2462="",,H2:H2462*I2:I2462)</f>
        <v>6.0479999999999996E-3</v>
      </c>
    </row>
    <row r="3" spans="1:10" ht="15.75" customHeight="1" x14ac:dyDescent="0.15">
      <c r="A3" s="33" t="s">
        <v>18</v>
      </c>
      <c r="B3" s="33" t="s">
        <v>30</v>
      </c>
      <c r="D3" s="6" t="s">
        <v>3295</v>
      </c>
      <c r="E3" s="6">
        <f ca="1">SUM(J2:J2462)</f>
        <v>0.15040000000000001</v>
      </c>
      <c r="G3" s="6" t="str">
        <f ca="1">IFERROR(__xludf.DUMMYFUNCTION("""COMPUTED_VALUE"""),"Code Review")</f>
        <v>Code Review</v>
      </c>
      <c r="H3" s="6">
        <f ca="1"/>
        <v>1.2E-2</v>
      </c>
      <c r="I3" s="6">
        <f ca="1"/>
        <v>1.2E-2</v>
      </c>
      <c r="J3" s="6">
        <f ca="1"/>
        <v>1.44E-4</v>
      </c>
    </row>
    <row r="4" spans="1:10" ht="15.75" customHeight="1" x14ac:dyDescent="0.15">
      <c r="A4" s="33" t="s">
        <v>23</v>
      </c>
      <c r="B4" s="33" t="s">
        <v>23</v>
      </c>
      <c r="D4" s="6" t="s">
        <v>3296</v>
      </c>
      <c r="E4" s="6">
        <f ca="1">IF(1-E3=0,"Kappa undefined",(E2-E3)/(1-E3))</f>
        <v>0.47269303201506596</v>
      </c>
      <c r="G4" s="6" t="str">
        <f ca="1">IFERROR(__xludf.DUMMYFUNCTION("""COMPUTED_VALUE"""),"Coding Pattern")</f>
        <v>Coding Pattern</v>
      </c>
      <c r="H4" s="6">
        <f ca="1"/>
        <v>0.28399999999999997</v>
      </c>
      <c r="I4" s="6">
        <f ca="1"/>
        <v>0.33400000000000002</v>
      </c>
      <c r="J4" s="6">
        <f ca="1"/>
        <v>9.4855999999999996E-2</v>
      </c>
    </row>
    <row r="5" spans="1:10" ht="15.75" customHeight="1" x14ac:dyDescent="0.15">
      <c r="A5" s="33" t="s">
        <v>83</v>
      </c>
      <c r="B5" s="33" t="s">
        <v>30</v>
      </c>
      <c r="G5" s="6" t="str">
        <f ca="1">IFERROR(__xludf.DUMMYFUNCTION("""COMPUTED_VALUE"""),"Coding Style")</f>
        <v>Coding Style</v>
      </c>
      <c r="H5" s="6">
        <f ca="1"/>
        <v>6.6000000000000003E-2</v>
      </c>
      <c r="I5" s="6">
        <f ca="1"/>
        <v>0.06</v>
      </c>
      <c r="J5" s="6">
        <f ca="1"/>
        <v>3.96E-3</v>
      </c>
    </row>
    <row r="6" spans="1:10" ht="15.75" customHeight="1" x14ac:dyDescent="0.15">
      <c r="A6" s="33" t="s">
        <v>12</v>
      </c>
      <c r="B6" s="33" t="s">
        <v>12</v>
      </c>
      <c r="G6" s="6" t="str">
        <f ca="1">IFERROR(__xludf.DUMMYFUNCTION("""COMPUTED_VALUE"""),"Commit&amp;PR rule")</f>
        <v>Commit&amp;PR rule</v>
      </c>
      <c r="H6" s="6">
        <f ca="1"/>
        <v>8.5999999999999993E-2</v>
      </c>
      <c r="I6" s="6">
        <f ca="1"/>
        <v>7.8E-2</v>
      </c>
      <c r="J6" s="6">
        <f ca="1"/>
        <v>6.7079999999999996E-3</v>
      </c>
    </row>
    <row r="7" spans="1:10" ht="15.75" customHeight="1" x14ac:dyDescent="0.15">
      <c r="A7" s="33" t="s">
        <v>136</v>
      </c>
      <c r="B7" s="33" t="s">
        <v>23</v>
      </c>
      <c r="G7" s="6" t="str">
        <f ca="1">IFERROR(__xludf.DUMMYFUNCTION("""COMPUTED_VALUE"""),"Documentation")</f>
        <v>Documentation</v>
      </c>
      <c r="H7" s="6">
        <f ca="1"/>
        <v>9.6000000000000002E-2</v>
      </c>
      <c r="I7" s="6">
        <f ca="1"/>
        <v>9.6000000000000002E-2</v>
      </c>
      <c r="J7" s="6">
        <f ca="1"/>
        <v>9.2160000000000002E-3</v>
      </c>
    </row>
    <row r="8" spans="1:10" ht="15.75" customHeight="1" x14ac:dyDescent="0.15">
      <c r="A8" s="33" t="s">
        <v>83</v>
      </c>
      <c r="B8" s="33" t="s">
        <v>30</v>
      </c>
      <c r="G8" s="6" t="str">
        <f ca="1">IFERROR(__xludf.DUMMYFUNCTION("""COMPUTED_VALUE"""),"Maintainability")</f>
        <v>Maintainability</v>
      </c>
      <c r="H8" s="6">
        <f ca="1"/>
        <v>5.8000000000000003E-2</v>
      </c>
      <c r="I8" s="6">
        <f ca="1"/>
        <v>2.1999999999999999E-2</v>
      </c>
      <c r="J8" s="6">
        <f ca="1"/>
        <v>1.276E-3</v>
      </c>
    </row>
    <row r="9" spans="1:10" ht="15.75" customHeight="1" x14ac:dyDescent="0.15">
      <c r="A9" s="33" t="s">
        <v>12</v>
      </c>
      <c r="B9" s="33" t="s">
        <v>12</v>
      </c>
      <c r="G9" s="6" t="str">
        <f ca="1">IFERROR(__xludf.DUMMYFUNCTION("""COMPUTED_VALUE"""),"Other")</f>
        <v>Other</v>
      </c>
      <c r="H9" s="6">
        <f ca="1"/>
        <v>0</v>
      </c>
      <c r="I9" s="6">
        <f ca="1"/>
        <v>4.0000000000000001E-3</v>
      </c>
      <c r="J9" s="6">
        <f ca="1"/>
        <v>0</v>
      </c>
    </row>
    <row r="10" spans="1:10" ht="15.75" customHeight="1" x14ac:dyDescent="0.15">
      <c r="A10" s="33" t="s">
        <v>83</v>
      </c>
      <c r="B10" s="33" t="s">
        <v>83</v>
      </c>
      <c r="G10" s="6" t="str">
        <f ca="1">IFERROR(__xludf.DUMMYFUNCTION("""COMPUTED_VALUE"""),"Performance")</f>
        <v>Performance</v>
      </c>
      <c r="H10" s="6">
        <f ca="1"/>
        <v>0.05</v>
      </c>
      <c r="I10" s="6">
        <f ca="1"/>
        <v>1.7999999999999999E-2</v>
      </c>
      <c r="J10" s="6">
        <f ca="1"/>
        <v>8.9999999999999998E-4</v>
      </c>
    </row>
    <row r="11" spans="1:10" ht="15.75" customHeight="1" x14ac:dyDescent="0.15">
      <c r="A11" s="33" t="s">
        <v>83</v>
      </c>
      <c r="B11" s="33" t="s">
        <v>30</v>
      </c>
      <c r="G11" s="6" t="str">
        <f ca="1">IFERROR(__xludf.DUMMYFUNCTION("""COMPUTED_VALUE"""),"Security")</f>
        <v>Security</v>
      </c>
      <c r="H11" s="6">
        <f ca="1"/>
        <v>2.1999999999999999E-2</v>
      </c>
      <c r="I11" s="6">
        <f ca="1"/>
        <v>0.02</v>
      </c>
      <c r="J11" s="6">
        <f ca="1"/>
        <v>4.3999999999999996E-4</v>
      </c>
    </row>
    <row r="12" spans="1:10" ht="15.75" customHeight="1" x14ac:dyDescent="0.15">
      <c r="A12" s="33" t="s">
        <v>88</v>
      </c>
      <c r="B12" s="33" t="s">
        <v>88</v>
      </c>
      <c r="G12" s="6" t="str">
        <f ca="1">IFERROR(__xludf.DUMMYFUNCTION("""COMPUTED_VALUE"""),"Task Execution")</f>
        <v>Task Execution</v>
      </c>
      <c r="H12" s="6">
        <f ca="1"/>
        <v>0.104</v>
      </c>
      <c r="I12" s="6">
        <f ca="1"/>
        <v>0.16</v>
      </c>
      <c r="J12" s="6">
        <f ca="1"/>
        <v>1.6639999999999999E-2</v>
      </c>
    </row>
    <row r="13" spans="1:10" ht="15.75" customHeight="1" x14ac:dyDescent="0.15">
      <c r="A13" s="33" t="s">
        <v>83</v>
      </c>
      <c r="B13" s="33" t="s">
        <v>30</v>
      </c>
      <c r="G13" s="6" t="str">
        <f ca="1">IFERROR(__xludf.DUMMYFUNCTION("""COMPUTED_VALUE"""),"Testing")</f>
        <v>Testing</v>
      </c>
      <c r="H13" s="6">
        <f ca="1"/>
        <v>9.1999999999999998E-2</v>
      </c>
      <c r="I13" s="6">
        <f ca="1"/>
        <v>9.8000000000000004E-2</v>
      </c>
      <c r="J13" s="6">
        <f ca="1"/>
        <v>9.0159999999999997E-3</v>
      </c>
    </row>
    <row r="14" spans="1:10" ht="15.75" customHeight="1" x14ac:dyDescent="0.15">
      <c r="A14" s="33" t="s">
        <v>12</v>
      </c>
      <c r="B14" s="33" t="s">
        <v>12</v>
      </c>
      <c r="G14" s="6" t="str">
        <f ca="1">IFERROR(__xludf.DUMMYFUNCTION("""COMPUTED_VALUE"""),"Writing Style Preference")</f>
        <v>Writing Style Preference</v>
      </c>
      <c r="H14" s="6">
        <f ca="1"/>
        <v>4.5999999999999999E-2</v>
      </c>
      <c r="I14" s="6">
        <f ca="1"/>
        <v>2.5999999999999999E-2</v>
      </c>
      <c r="J14" s="6">
        <f ca="1"/>
        <v>1.196E-3</v>
      </c>
    </row>
    <row r="15" spans="1:10" ht="15.75" customHeight="1" x14ac:dyDescent="0.15">
      <c r="A15" s="33" t="s">
        <v>83</v>
      </c>
      <c r="B15" s="33" t="s">
        <v>30</v>
      </c>
      <c r="H15" s="6">
        <v>0</v>
      </c>
      <c r="I15" s="6">
        <v>0</v>
      </c>
      <c r="J15" s="6">
        <v>0</v>
      </c>
    </row>
    <row r="16" spans="1:10" ht="15.75" customHeight="1" x14ac:dyDescent="0.15">
      <c r="A16" s="33" t="s">
        <v>83</v>
      </c>
      <c r="B16" s="33" t="s">
        <v>30</v>
      </c>
      <c r="H16" s="6">
        <v>0</v>
      </c>
      <c r="I16" s="6">
        <v>0</v>
      </c>
      <c r="J16" s="6">
        <v>0</v>
      </c>
    </row>
    <row r="17" spans="1:10" ht="15.75" customHeight="1" x14ac:dyDescent="0.15">
      <c r="A17" s="33" t="s">
        <v>115</v>
      </c>
      <c r="B17" s="33" t="s">
        <v>30</v>
      </c>
      <c r="H17" s="6">
        <v>0</v>
      </c>
      <c r="I17" s="6">
        <v>0</v>
      </c>
      <c r="J17" s="6">
        <v>0</v>
      </c>
    </row>
    <row r="18" spans="1:10" ht="15.75" customHeight="1" x14ac:dyDescent="0.15">
      <c r="A18" s="33" t="s">
        <v>88</v>
      </c>
      <c r="B18" s="33" t="s">
        <v>88</v>
      </c>
      <c r="H18" s="6">
        <v>0</v>
      </c>
      <c r="I18" s="6">
        <v>0</v>
      </c>
      <c r="J18" s="6">
        <v>0</v>
      </c>
    </row>
    <row r="19" spans="1:10" ht="15.75" customHeight="1" x14ac:dyDescent="0.15">
      <c r="A19" s="33" t="s">
        <v>83</v>
      </c>
      <c r="B19" s="33" t="s">
        <v>30</v>
      </c>
      <c r="H19" s="6">
        <v>0</v>
      </c>
      <c r="I19" s="6">
        <v>0</v>
      </c>
      <c r="J19" s="6">
        <v>0</v>
      </c>
    </row>
    <row r="20" spans="1:10" ht="15.75" customHeight="1" x14ac:dyDescent="0.15">
      <c r="A20" s="33" t="s">
        <v>115</v>
      </c>
      <c r="B20" s="33" t="s">
        <v>88</v>
      </c>
      <c r="H20" s="6">
        <v>0</v>
      </c>
      <c r="I20" s="6">
        <v>0</v>
      </c>
      <c r="J20" s="6">
        <v>0</v>
      </c>
    </row>
    <row r="21" spans="1:10" ht="15.75" customHeight="1" x14ac:dyDescent="0.15">
      <c r="A21" s="33" t="s">
        <v>115</v>
      </c>
      <c r="B21" s="33" t="s">
        <v>88</v>
      </c>
      <c r="H21" s="6">
        <v>0</v>
      </c>
      <c r="I21" s="6">
        <v>0</v>
      </c>
      <c r="J21" s="6">
        <v>0</v>
      </c>
    </row>
    <row r="22" spans="1:10" ht="15.75" customHeight="1" x14ac:dyDescent="0.15">
      <c r="A22" s="33" t="s">
        <v>88</v>
      </c>
      <c r="B22" s="33" t="s">
        <v>83</v>
      </c>
      <c r="H22" s="6">
        <v>0</v>
      </c>
      <c r="I22" s="6">
        <v>0</v>
      </c>
      <c r="J22" s="6">
        <v>0</v>
      </c>
    </row>
    <row r="23" spans="1:10" ht="15.75" customHeight="1" x14ac:dyDescent="0.15">
      <c r="A23" s="33" t="s">
        <v>83</v>
      </c>
      <c r="B23" s="33" t="s">
        <v>30</v>
      </c>
      <c r="H23" s="6">
        <v>0</v>
      </c>
      <c r="I23" s="6">
        <v>0</v>
      </c>
      <c r="J23" s="6">
        <v>0</v>
      </c>
    </row>
    <row r="24" spans="1:10" ht="15.75" customHeight="1" x14ac:dyDescent="0.15">
      <c r="A24" s="33" t="s">
        <v>30</v>
      </c>
      <c r="B24" s="33" t="s">
        <v>30</v>
      </c>
      <c r="H24" s="6">
        <v>0</v>
      </c>
      <c r="I24" s="6">
        <v>0</v>
      </c>
      <c r="J24" s="6">
        <v>0</v>
      </c>
    </row>
    <row r="25" spans="1:10" ht="15.75" customHeight="1" x14ac:dyDescent="0.15">
      <c r="A25" s="33" t="s">
        <v>30</v>
      </c>
      <c r="B25" s="33" t="s">
        <v>12</v>
      </c>
      <c r="H25" s="6">
        <v>0</v>
      </c>
      <c r="I25" s="6">
        <v>0</v>
      </c>
      <c r="J25" s="6">
        <v>0</v>
      </c>
    </row>
    <row r="26" spans="1:10" ht="15.75" customHeight="1" x14ac:dyDescent="0.15">
      <c r="A26" s="33" t="s">
        <v>30</v>
      </c>
      <c r="B26" s="33" t="s">
        <v>30</v>
      </c>
      <c r="H26" s="6">
        <v>0</v>
      </c>
      <c r="I26" s="6">
        <v>0</v>
      </c>
      <c r="J26" s="6">
        <v>0</v>
      </c>
    </row>
    <row r="27" spans="1:10" ht="15.75" customHeight="1" x14ac:dyDescent="0.15">
      <c r="A27" s="33" t="s">
        <v>30</v>
      </c>
      <c r="B27" s="33" t="s">
        <v>18</v>
      </c>
      <c r="H27" s="6">
        <v>0</v>
      </c>
      <c r="I27" s="6">
        <v>0</v>
      </c>
      <c r="J27" s="6">
        <v>0</v>
      </c>
    </row>
    <row r="28" spans="1:10" ht="15.75" customHeight="1" x14ac:dyDescent="0.15">
      <c r="A28" s="33" t="s">
        <v>30</v>
      </c>
      <c r="B28" s="33" t="s">
        <v>30</v>
      </c>
      <c r="H28" s="6">
        <v>0</v>
      </c>
      <c r="I28" s="6">
        <v>0</v>
      </c>
      <c r="J28" s="6">
        <v>0</v>
      </c>
    </row>
    <row r="29" spans="1:10" ht="15.75" customHeight="1" x14ac:dyDescent="0.15">
      <c r="A29" s="33" t="s">
        <v>30</v>
      </c>
      <c r="B29" s="33" t="s">
        <v>83</v>
      </c>
      <c r="H29" s="6">
        <v>0</v>
      </c>
      <c r="I29" s="6">
        <v>0</v>
      </c>
      <c r="J29" s="6">
        <v>0</v>
      </c>
    </row>
    <row r="30" spans="1:10" ht="15.75" customHeight="1" x14ac:dyDescent="0.15">
      <c r="A30" s="33" t="s">
        <v>30</v>
      </c>
      <c r="B30" s="33" t="s">
        <v>18</v>
      </c>
      <c r="H30" s="6">
        <v>0</v>
      </c>
      <c r="I30" s="6">
        <v>0</v>
      </c>
      <c r="J30" s="6">
        <v>0</v>
      </c>
    </row>
    <row r="31" spans="1:10" ht="15.75" customHeight="1" x14ac:dyDescent="0.15">
      <c r="A31" s="33" t="s">
        <v>136</v>
      </c>
      <c r="B31" s="33" t="s">
        <v>18</v>
      </c>
      <c r="H31" s="6">
        <v>0</v>
      </c>
      <c r="I31" s="6">
        <v>0</v>
      </c>
      <c r="J31" s="6">
        <v>0</v>
      </c>
    </row>
    <row r="32" spans="1:10" ht="15.75" customHeight="1" x14ac:dyDescent="0.15">
      <c r="A32" s="33" t="s">
        <v>136</v>
      </c>
      <c r="B32" s="33" t="s">
        <v>30</v>
      </c>
      <c r="H32" s="6">
        <v>0</v>
      </c>
      <c r="I32" s="6">
        <v>0</v>
      </c>
      <c r="J32" s="6">
        <v>0</v>
      </c>
    </row>
    <row r="33" spans="1:10" ht="15.75" customHeight="1" x14ac:dyDescent="0.15">
      <c r="A33" s="33" t="s">
        <v>12</v>
      </c>
      <c r="B33" s="33" t="s">
        <v>12</v>
      </c>
      <c r="H33" s="6">
        <v>0</v>
      </c>
      <c r="I33" s="6">
        <v>0</v>
      </c>
      <c r="J33" s="6">
        <v>0</v>
      </c>
    </row>
    <row r="34" spans="1:10" ht="15.75" customHeight="1" x14ac:dyDescent="0.15">
      <c r="A34" s="33" t="s">
        <v>12</v>
      </c>
      <c r="B34" s="33" t="s">
        <v>12</v>
      </c>
      <c r="H34" s="6">
        <v>0</v>
      </c>
      <c r="I34" s="6">
        <v>0</v>
      </c>
      <c r="J34" s="6">
        <v>0</v>
      </c>
    </row>
    <row r="35" spans="1:10" ht="15.75" customHeight="1" x14ac:dyDescent="0.15">
      <c r="A35" s="33" t="s">
        <v>23</v>
      </c>
      <c r="B35" s="33" t="s">
        <v>18</v>
      </c>
      <c r="H35" s="6">
        <v>0</v>
      </c>
      <c r="I35" s="6">
        <v>0</v>
      </c>
      <c r="J35" s="6">
        <v>0</v>
      </c>
    </row>
    <row r="36" spans="1:10" ht="15.75" customHeight="1" x14ac:dyDescent="0.15">
      <c r="A36" s="33" t="s">
        <v>23</v>
      </c>
      <c r="B36" s="33" t="s">
        <v>23</v>
      </c>
      <c r="H36" s="6">
        <v>0</v>
      </c>
      <c r="I36" s="6">
        <v>0</v>
      </c>
      <c r="J36" s="6">
        <v>0</v>
      </c>
    </row>
    <row r="37" spans="1:10" ht="15.75" customHeight="1" x14ac:dyDescent="0.15">
      <c r="A37" s="33" t="s">
        <v>23</v>
      </c>
      <c r="B37" s="33" t="s">
        <v>23</v>
      </c>
      <c r="H37" s="6">
        <v>0</v>
      </c>
      <c r="I37" s="6">
        <v>0</v>
      </c>
      <c r="J37" s="6">
        <v>0</v>
      </c>
    </row>
    <row r="38" spans="1:10" ht="15.75" customHeight="1" x14ac:dyDescent="0.15">
      <c r="A38" s="33" t="s">
        <v>136</v>
      </c>
      <c r="B38" s="33" t="s">
        <v>30</v>
      </c>
      <c r="H38" s="6">
        <v>0</v>
      </c>
      <c r="I38" s="6">
        <v>0</v>
      </c>
      <c r="J38" s="6">
        <v>0</v>
      </c>
    </row>
    <row r="39" spans="1:10" ht="15.75" customHeight="1" x14ac:dyDescent="0.15">
      <c r="A39" s="33" t="s">
        <v>77</v>
      </c>
      <c r="B39" s="33" t="s">
        <v>77</v>
      </c>
      <c r="H39" s="6">
        <v>0</v>
      </c>
      <c r="I39" s="6">
        <v>0</v>
      </c>
      <c r="J39" s="6">
        <v>0</v>
      </c>
    </row>
    <row r="40" spans="1:10" ht="15.75" customHeight="1" x14ac:dyDescent="0.15">
      <c r="A40" s="33" t="s">
        <v>77</v>
      </c>
      <c r="B40" s="33" t="s">
        <v>77</v>
      </c>
      <c r="H40" s="6">
        <v>0</v>
      </c>
      <c r="I40" s="6">
        <v>0</v>
      </c>
      <c r="J40" s="6">
        <v>0</v>
      </c>
    </row>
    <row r="41" spans="1:10" ht="15.75" customHeight="1" x14ac:dyDescent="0.15">
      <c r="A41" s="33" t="s">
        <v>88</v>
      </c>
      <c r="B41" s="33" t="s">
        <v>88</v>
      </c>
      <c r="H41" s="6">
        <v>0</v>
      </c>
      <c r="I41" s="6">
        <v>0</v>
      </c>
      <c r="J41" s="6">
        <v>0</v>
      </c>
    </row>
    <row r="42" spans="1:10" ht="15.75" customHeight="1" x14ac:dyDescent="0.15">
      <c r="A42" s="33" t="s">
        <v>30</v>
      </c>
      <c r="B42" s="33" t="s">
        <v>30</v>
      </c>
      <c r="H42" s="6">
        <v>0</v>
      </c>
      <c r="I42" s="6">
        <v>0</v>
      </c>
      <c r="J42" s="6">
        <v>0</v>
      </c>
    </row>
    <row r="43" spans="1:10" ht="15.75" customHeight="1" x14ac:dyDescent="0.15">
      <c r="A43" s="33" t="s">
        <v>342</v>
      </c>
      <c r="B43" s="33" t="s">
        <v>342</v>
      </c>
      <c r="H43" s="6">
        <v>0</v>
      </c>
      <c r="I43" s="6">
        <v>0</v>
      </c>
      <c r="J43" s="6">
        <v>0</v>
      </c>
    </row>
    <row r="44" spans="1:10" ht="15.75" customHeight="1" x14ac:dyDescent="0.15">
      <c r="A44" s="33" t="s">
        <v>30</v>
      </c>
      <c r="B44" s="33" t="s">
        <v>136</v>
      </c>
      <c r="H44" s="6">
        <v>0</v>
      </c>
      <c r="I44" s="6">
        <v>0</v>
      </c>
      <c r="J44" s="6">
        <v>0</v>
      </c>
    </row>
    <row r="45" spans="1:10" ht="15.75" customHeight="1" x14ac:dyDescent="0.15">
      <c r="A45" s="33" t="s">
        <v>30</v>
      </c>
      <c r="B45" s="33" t="s">
        <v>30</v>
      </c>
      <c r="H45" s="6">
        <v>0</v>
      </c>
      <c r="I45" s="6">
        <v>0</v>
      </c>
      <c r="J45" s="6">
        <v>0</v>
      </c>
    </row>
    <row r="46" spans="1:10" ht="15.75" customHeight="1" x14ac:dyDescent="0.15">
      <c r="A46" s="33" t="s">
        <v>136</v>
      </c>
      <c r="B46" s="33" t="s">
        <v>30</v>
      </c>
      <c r="H46" s="6">
        <v>0</v>
      </c>
      <c r="I46" s="6">
        <v>0</v>
      </c>
      <c r="J46" s="6">
        <v>0</v>
      </c>
    </row>
    <row r="47" spans="1:10" ht="15.75" customHeight="1" x14ac:dyDescent="0.15">
      <c r="A47" s="33" t="s">
        <v>30</v>
      </c>
      <c r="B47" s="33" t="s">
        <v>30</v>
      </c>
      <c r="H47" s="6">
        <v>0</v>
      </c>
      <c r="I47" s="6">
        <v>0</v>
      </c>
      <c r="J47" s="6">
        <v>0</v>
      </c>
    </row>
    <row r="48" spans="1:10" ht="15.75" customHeight="1" x14ac:dyDescent="0.15">
      <c r="A48" s="33" t="s">
        <v>77</v>
      </c>
      <c r="B48" s="33" t="s">
        <v>30</v>
      </c>
      <c r="H48" s="6">
        <v>0</v>
      </c>
      <c r="I48" s="6">
        <v>0</v>
      </c>
      <c r="J48" s="6">
        <v>0</v>
      </c>
    </row>
    <row r="49" spans="1:10" ht="15.75" customHeight="1" x14ac:dyDescent="0.15">
      <c r="A49" s="33" t="s">
        <v>136</v>
      </c>
      <c r="B49" s="33" t="s">
        <v>136</v>
      </c>
      <c r="H49" s="6">
        <v>0</v>
      </c>
      <c r="I49" s="6">
        <v>0</v>
      </c>
      <c r="J49" s="6">
        <v>0</v>
      </c>
    </row>
    <row r="50" spans="1:10" ht="15.75" customHeight="1" x14ac:dyDescent="0.15">
      <c r="A50" s="33" t="s">
        <v>88</v>
      </c>
      <c r="B50" s="33" t="s">
        <v>30</v>
      </c>
      <c r="H50" s="6">
        <v>0</v>
      </c>
      <c r="I50" s="6">
        <v>0</v>
      </c>
      <c r="J50" s="6">
        <v>0</v>
      </c>
    </row>
    <row r="51" spans="1:10" ht="15.75" customHeight="1" x14ac:dyDescent="0.15">
      <c r="A51" s="33" t="s">
        <v>83</v>
      </c>
      <c r="B51" s="33" t="s">
        <v>83</v>
      </c>
      <c r="H51" s="6">
        <v>0</v>
      </c>
      <c r="I51" s="6">
        <v>0</v>
      </c>
      <c r="J51" s="6">
        <v>0</v>
      </c>
    </row>
    <row r="52" spans="1:10" ht="13" x14ac:dyDescent="0.15">
      <c r="A52" s="33" t="s">
        <v>88</v>
      </c>
      <c r="B52" s="33" t="s">
        <v>30</v>
      </c>
      <c r="H52" s="6">
        <v>0</v>
      </c>
      <c r="I52" s="6">
        <v>0</v>
      </c>
      <c r="J52" s="6">
        <v>0</v>
      </c>
    </row>
    <row r="53" spans="1:10" ht="13" x14ac:dyDescent="0.15">
      <c r="A53" s="33" t="s">
        <v>88</v>
      </c>
      <c r="B53" s="33" t="s">
        <v>88</v>
      </c>
      <c r="H53" s="6">
        <v>0</v>
      </c>
      <c r="I53" s="6">
        <v>0</v>
      </c>
      <c r="J53" s="6">
        <v>0</v>
      </c>
    </row>
    <row r="54" spans="1:10" ht="13" x14ac:dyDescent="0.15">
      <c r="A54" s="33" t="s">
        <v>88</v>
      </c>
      <c r="B54" s="33" t="s">
        <v>88</v>
      </c>
      <c r="H54" s="6">
        <v>0</v>
      </c>
      <c r="I54" s="6">
        <v>0</v>
      </c>
      <c r="J54" s="6">
        <v>0</v>
      </c>
    </row>
    <row r="55" spans="1:10" ht="13" x14ac:dyDescent="0.15">
      <c r="A55" s="33" t="s">
        <v>342</v>
      </c>
      <c r="B55" s="33" t="s">
        <v>18</v>
      </c>
      <c r="H55" s="6">
        <v>0</v>
      </c>
      <c r="I55" s="6">
        <v>0</v>
      </c>
      <c r="J55" s="6">
        <v>0</v>
      </c>
    </row>
    <row r="56" spans="1:10" ht="13" x14ac:dyDescent="0.15">
      <c r="A56" s="33" t="s">
        <v>88</v>
      </c>
      <c r="B56" s="33" t="s">
        <v>88</v>
      </c>
      <c r="H56" s="6">
        <v>0</v>
      </c>
      <c r="I56" s="6">
        <v>0</v>
      </c>
      <c r="J56" s="6">
        <v>0</v>
      </c>
    </row>
    <row r="57" spans="1:10" ht="13" x14ac:dyDescent="0.15">
      <c r="A57" s="33" t="s">
        <v>30</v>
      </c>
      <c r="B57" s="33" t="s">
        <v>136</v>
      </c>
      <c r="H57" s="6">
        <v>0</v>
      </c>
      <c r="I57" s="6">
        <v>0</v>
      </c>
      <c r="J57" s="6">
        <v>0</v>
      </c>
    </row>
    <row r="58" spans="1:10" ht="13" x14ac:dyDescent="0.15">
      <c r="A58" s="33" t="s">
        <v>30</v>
      </c>
      <c r="B58" s="33" t="s">
        <v>30</v>
      </c>
      <c r="H58" s="6">
        <v>0</v>
      </c>
      <c r="I58" s="6">
        <v>0</v>
      </c>
      <c r="J58" s="6">
        <v>0</v>
      </c>
    </row>
    <row r="59" spans="1:10" ht="13" x14ac:dyDescent="0.15">
      <c r="A59" s="33" t="s">
        <v>30</v>
      </c>
      <c r="B59" s="33" t="s">
        <v>30</v>
      </c>
      <c r="H59" s="6">
        <v>0</v>
      </c>
      <c r="I59" s="6">
        <v>0</v>
      </c>
      <c r="J59" s="6">
        <v>0</v>
      </c>
    </row>
    <row r="60" spans="1:10" ht="13" x14ac:dyDescent="0.15">
      <c r="A60" s="33" t="s">
        <v>342</v>
      </c>
      <c r="B60" s="33" t="s">
        <v>342</v>
      </c>
      <c r="H60" s="6">
        <v>0</v>
      </c>
      <c r="I60" s="6">
        <v>0</v>
      </c>
      <c r="J60" s="6">
        <v>0</v>
      </c>
    </row>
    <row r="61" spans="1:10" ht="13" x14ac:dyDescent="0.15">
      <c r="A61" s="33" t="s">
        <v>136</v>
      </c>
      <c r="B61" s="33" t="s">
        <v>83</v>
      </c>
      <c r="H61" s="6">
        <v>0</v>
      </c>
      <c r="I61" s="6">
        <v>0</v>
      </c>
      <c r="J61" s="6">
        <v>0</v>
      </c>
    </row>
    <row r="62" spans="1:10" ht="13" x14ac:dyDescent="0.15">
      <c r="A62" s="33" t="s">
        <v>30</v>
      </c>
      <c r="B62" s="33" t="s">
        <v>115</v>
      </c>
      <c r="H62" s="6">
        <v>0</v>
      </c>
      <c r="I62" s="6">
        <v>0</v>
      </c>
      <c r="J62" s="6">
        <v>0</v>
      </c>
    </row>
    <row r="63" spans="1:10" ht="13" x14ac:dyDescent="0.15">
      <c r="A63" s="33" t="s">
        <v>18</v>
      </c>
      <c r="B63" s="33" t="s">
        <v>136</v>
      </c>
      <c r="H63" s="6">
        <v>0</v>
      </c>
      <c r="I63" s="6">
        <v>0</v>
      </c>
      <c r="J63" s="6">
        <v>0</v>
      </c>
    </row>
    <row r="64" spans="1:10" ht="13" x14ac:dyDescent="0.15">
      <c r="A64" s="33" t="s">
        <v>30</v>
      </c>
      <c r="B64" s="33" t="s">
        <v>30</v>
      </c>
      <c r="H64" s="6">
        <v>0</v>
      </c>
      <c r="I64" s="6">
        <v>0</v>
      </c>
      <c r="J64" s="6">
        <v>0</v>
      </c>
    </row>
    <row r="65" spans="1:10" ht="13" x14ac:dyDescent="0.15">
      <c r="A65" s="33" t="s">
        <v>30</v>
      </c>
      <c r="B65" s="33" t="s">
        <v>30</v>
      </c>
      <c r="H65" s="6">
        <v>0</v>
      </c>
      <c r="I65" s="6">
        <v>0</v>
      </c>
      <c r="J65" s="6">
        <v>0</v>
      </c>
    </row>
    <row r="66" spans="1:10" ht="13" x14ac:dyDescent="0.15">
      <c r="A66" s="33" t="s">
        <v>83</v>
      </c>
      <c r="B66" s="33" t="s">
        <v>30</v>
      </c>
      <c r="H66" s="6">
        <v>0</v>
      </c>
      <c r="I66" s="6">
        <v>0</v>
      </c>
      <c r="J66" s="6">
        <v>0</v>
      </c>
    </row>
    <row r="67" spans="1:10" ht="13" x14ac:dyDescent="0.15">
      <c r="A67" s="33" t="s">
        <v>30</v>
      </c>
      <c r="B67" s="33" t="s">
        <v>30</v>
      </c>
      <c r="H67" s="6">
        <v>0</v>
      </c>
      <c r="I67" s="6">
        <v>0</v>
      </c>
      <c r="J67" s="6">
        <v>0</v>
      </c>
    </row>
    <row r="68" spans="1:10" ht="13" x14ac:dyDescent="0.15">
      <c r="A68" s="33" t="s">
        <v>88</v>
      </c>
      <c r="B68" s="33" t="s">
        <v>88</v>
      </c>
      <c r="H68" s="6">
        <v>0</v>
      </c>
      <c r="I68" s="6">
        <v>0</v>
      </c>
      <c r="J68" s="6">
        <v>0</v>
      </c>
    </row>
    <row r="69" spans="1:10" ht="13" x14ac:dyDescent="0.15">
      <c r="A69" s="33" t="s">
        <v>30</v>
      </c>
      <c r="B69" s="33" t="s">
        <v>30</v>
      </c>
      <c r="H69" s="6">
        <v>0</v>
      </c>
      <c r="I69" s="6">
        <v>0</v>
      </c>
      <c r="J69" s="6">
        <v>0</v>
      </c>
    </row>
    <row r="70" spans="1:10" ht="13" x14ac:dyDescent="0.15">
      <c r="A70" s="33" t="s">
        <v>136</v>
      </c>
      <c r="B70" s="33" t="s">
        <v>30</v>
      </c>
      <c r="H70" s="6">
        <v>0</v>
      </c>
      <c r="I70" s="6">
        <v>0</v>
      </c>
      <c r="J70" s="6">
        <v>0</v>
      </c>
    </row>
    <row r="71" spans="1:10" ht="13" x14ac:dyDescent="0.15">
      <c r="A71" s="33" t="s">
        <v>30</v>
      </c>
      <c r="B71" s="33" t="s">
        <v>30</v>
      </c>
      <c r="H71" s="6">
        <v>0</v>
      </c>
      <c r="I71" s="6">
        <v>0</v>
      </c>
      <c r="J71" s="6">
        <v>0</v>
      </c>
    </row>
    <row r="72" spans="1:10" ht="13" x14ac:dyDescent="0.15">
      <c r="A72" s="33" t="s">
        <v>30</v>
      </c>
      <c r="B72" s="33" t="s">
        <v>83</v>
      </c>
      <c r="H72" s="6">
        <v>0</v>
      </c>
      <c r="I72" s="6">
        <v>0</v>
      </c>
      <c r="J72" s="6">
        <v>0</v>
      </c>
    </row>
    <row r="73" spans="1:10" ht="13" x14ac:dyDescent="0.15">
      <c r="A73" s="33" t="s">
        <v>30</v>
      </c>
      <c r="B73" s="33" t="s">
        <v>30</v>
      </c>
      <c r="H73" s="6">
        <v>0</v>
      </c>
      <c r="I73" s="6">
        <v>0</v>
      </c>
      <c r="J73" s="6">
        <v>0</v>
      </c>
    </row>
    <row r="74" spans="1:10" ht="13" x14ac:dyDescent="0.15">
      <c r="A74" s="33" t="s">
        <v>77</v>
      </c>
      <c r="B74" s="33" t="s">
        <v>83</v>
      </c>
      <c r="H74" s="6">
        <v>0</v>
      </c>
      <c r="I74" s="6">
        <v>0</v>
      </c>
      <c r="J74" s="6">
        <v>0</v>
      </c>
    </row>
    <row r="75" spans="1:10" ht="13" x14ac:dyDescent="0.15">
      <c r="A75" s="33" t="s">
        <v>136</v>
      </c>
      <c r="B75" s="33" t="s">
        <v>83</v>
      </c>
      <c r="H75" s="6">
        <v>0</v>
      </c>
      <c r="I75" s="6">
        <v>0</v>
      </c>
      <c r="J75" s="6">
        <v>0</v>
      </c>
    </row>
    <row r="76" spans="1:10" ht="13" x14ac:dyDescent="0.15">
      <c r="A76" s="33" t="s">
        <v>18</v>
      </c>
      <c r="B76" s="33" t="s">
        <v>18</v>
      </c>
      <c r="H76" s="6">
        <v>0</v>
      </c>
      <c r="I76" s="6">
        <v>0</v>
      </c>
      <c r="J76" s="6">
        <v>0</v>
      </c>
    </row>
    <row r="77" spans="1:10" ht="13" x14ac:dyDescent="0.15">
      <c r="A77" s="33" t="s">
        <v>23</v>
      </c>
      <c r="B77" s="33" t="s">
        <v>77</v>
      </c>
      <c r="H77" s="6">
        <v>0</v>
      </c>
      <c r="I77" s="6">
        <v>0</v>
      </c>
      <c r="J77" s="6">
        <v>0</v>
      </c>
    </row>
    <row r="78" spans="1:10" ht="13" x14ac:dyDescent="0.15">
      <c r="A78" s="33" t="s">
        <v>30</v>
      </c>
      <c r="B78" s="33" t="s">
        <v>83</v>
      </c>
      <c r="H78" s="6">
        <v>0</v>
      </c>
      <c r="I78" s="6">
        <v>0</v>
      </c>
      <c r="J78" s="6">
        <v>0</v>
      </c>
    </row>
    <row r="79" spans="1:10" ht="13" x14ac:dyDescent="0.15">
      <c r="A79" s="33" t="s">
        <v>77</v>
      </c>
      <c r="B79" s="33" t="s">
        <v>30</v>
      </c>
      <c r="H79" s="6">
        <v>0</v>
      </c>
      <c r="I79" s="6">
        <v>0</v>
      </c>
      <c r="J79" s="6">
        <v>0</v>
      </c>
    </row>
    <row r="80" spans="1:10" ht="13" x14ac:dyDescent="0.15">
      <c r="A80" s="33" t="s">
        <v>30</v>
      </c>
      <c r="B80" s="33" t="s">
        <v>18</v>
      </c>
      <c r="H80" s="6">
        <v>0</v>
      </c>
      <c r="I80" s="6">
        <v>0</v>
      </c>
      <c r="J80" s="6">
        <v>0</v>
      </c>
    </row>
    <row r="81" spans="1:10" ht="13" x14ac:dyDescent="0.15">
      <c r="A81" s="33" t="s">
        <v>88</v>
      </c>
      <c r="B81" s="33" t="s">
        <v>88</v>
      </c>
      <c r="H81" s="6">
        <v>0</v>
      </c>
      <c r="I81" s="6">
        <v>0</v>
      </c>
      <c r="J81" s="6">
        <v>0</v>
      </c>
    </row>
    <row r="82" spans="1:10" ht="13" x14ac:dyDescent="0.15">
      <c r="A82" s="33" t="s">
        <v>88</v>
      </c>
      <c r="B82" s="33" t="s">
        <v>88</v>
      </c>
      <c r="H82" s="6">
        <v>0</v>
      </c>
      <c r="I82" s="6">
        <v>0</v>
      </c>
      <c r="J82" s="6">
        <v>0</v>
      </c>
    </row>
    <row r="83" spans="1:10" ht="13" x14ac:dyDescent="0.15">
      <c r="A83" s="33" t="s">
        <v>30</v>
      </c>
      <c r="B83" s="33" t="s">
        <v>30</v>
      </c>
      <c r="H83" s="6">
        <v>0</v>
      </c>
      <c r="I83" s="6">
        <v>0</v>
      </c>
      <c r="J83" s="6">
        <v>0</v>
      </c>
    </row>
    <row r="84" spans="1:10" ht="13" x14ac:dyDescent="0.15">
      <c r="A84" s="33" t="s">
        <v>30</v>
      </c>
      <c r="B84" s="33" t="s">
        <v>30</v>
      </c>
      <c r="H84" s="6">
        <v>0</v>
      </c>
      <c r="I84" s="6">
        <v>0</v>
      </c>
      <c r="J84" s="6">
        <v>0</v>
      </c>
    </row>
    <row r="85" spans="1:10" ht="13" x14ac:dyDescent="0.15">
      <c r="A85" s="33" t="s">
        <v>136</v>
      </c>
      <c r="B85" s="33" t="s">
        <v>30</v>
      </c>
      <c r="H85" s="6">
        <v>0</v>
      </c>
      <c r="I85" s="6">
        <v>0</v>
      </c>
      <c r="J85" s="6">
        <v>0</v>
      </c>
    </row>
    <row r="86" spans="1:10" ht="13" x14ac:dyDescent="0.15">
      <c r="A86" s="33" t="s">
        <v>136</v>
      </c>
      <c r="B86" s="33" t="s">
        <v>219</v>
      </c>
      <c r="H86" s="6">
        <v>0</v>
      </c>
      <c r="I86" s="6">
        <v>0</v>
      </c>
      <c r="J86" s="6">
        <v>0</v>
      </c>
    </row>
    <row r="87" spans="1:10" ht="13" x14ac:dyDescent="0.15">
      <c r="A87" s="33" t="s">
        <v>136</v>
      </c>
      <c r="B87" s="33" t="s">
        <v>83</v>
      </c>
      <c r="H87" s="6">
        <v>0</v>
      </c>
      <c r="I87" s="6">
        <v>0</v>
      </c>
      <c r="J87" s="6">
        <v>0</v>
      </c>
    </row>
    <row r="88" spans="1:10" ht="13" x14ac:dyDescent="0.15">
      <c r="A88" s="33" t="s">
        <v>30</v>
      </c>
      <c r="B88" s="33" t="s">
        <v>30</v>
      </c>
      <c r="H88" s="6">
        <v>0</v>
      </c>
      <c r="I88" s="6">
        <v>0</v>
      </c>
      <c r="J88" s="6">
        <v>0</v>
      </c>
    </row>
    <row r="89" spans="1:10" ht="13" x14ac:dyDescent="0.15">
      <c r="A89" s="33" t="s">
        <v>30</v>
      </c>
      <c r="B89" s="33" t="s">
        <v>18</v>
      </c>
      <c r="H89" s="6">
        <v>0</v>
      </c>
      <c r="I89" s="6">
        <v>0</v>
      </c>
      <c r="J89" s="6">
        <v>0</v>
      </c>
    </row>
    <row r="90" spans="1:10" ht="13" x14ac:dyDescent="0.15">
      <c r="A90" s="33" t="s">
        <v>30</v>
      </c>
      <c r="B90" s="33" t="s">
        <v>30</v>
      </c>
      <c r="H90" s="6">
        <v>0</v>
      </c>
      <c r="I90" s="6">
        <v>0</v>
      </c>
      <c r="J90" s="6">
        <v>0</v>
      </c>
    </row>
    <row r="91" spans="1:10" ht="13" x14ac:dyDescent="0.15">
      <c r="A91" s="33" t="s">
        <v>77</v>
      </c>
      <c r="B91" s="33" t="s">
        <v>18</v>
      </c>
      <c r="H91" s="6">
        <v>0</v>
      </c>
      <c r="I91" s="6">
        <v>0</v>
      </c>
      <c r="J91" s="6">
        <v>0</v>
      </c>
    </row>
    <row r="92" spans="1:10" ht="13" x14ac:dyDescent="0.15">
      <c r="A92" s="33" t="s">
        <v>219</v>
      </c>
      <c r="B92" s="33" t="s">
        <v>30</v>
      </c>
      <c r="H92" s="6">
        <v>0</v>
      </c>
      <c r="I92" s="6">
        <v>0</v>
      </c>
      <c r="J92" s="6">
        <v>0</v>
      </c>
    </row>
    <row r="93" spans="1:10" ht="13" x14ac:dyDescent="0.15">
      <c r="A93" s="33" t="s">
        <v>219</v>
      </c>
      <c r="B93" s="33" t="s">
        <v>219</v>
      </c>
      <c r="H93" s="6">
        <v>0</v>
      </c>
      <c r="I93" s="6">
        <v>0</v>
      </c>
      <c r="J93" s="6">
        <v>0</v>
      </c>
    </row>
    <row r="94" spans="1:10" ht="13" x14ac:dyDescent="0.15">
      <c r="A94" s="33" t="s">
        <v>30</v>
      </c>
      <c r="B94" s="33" t="s">
        <v>30</v>
      </c>
      <c r="H94" s="6">
        <v>0</v>
      </c>
      <c r="I94" s="6">
        <v>0</v>
      </c>
      <c r="J94" s="6">
        <v>0</v>
      </c>
    </row>
    <row r="95" spans="1:10" ht="13" x14ac:dyDescent="0.15">
      <c r="A95" s="33" t="s">
        <v>30</v>
      </c>
      <c r="B95" s="33" t="s">
        <v>30</v>
      </c>
      <c r="H95" s="6">
        <v>0</v>
      </c>
      <c r="I95" s="6">
        <v>0</v>
      </c>
      <c r="J95" s="6">
        <v>0</v>
      </c>
    </row>
    <row r="96" spans="1:10" ht="13" x14ac:dyDescent="0.15">
      <c r="A96" s="33" t="s">
        <v>30</v>
      </c>
      <c r="B96" s="33" t="s">
        <v>18</v>
      </c>
      <c r="H96" s="6">
        <v>0</v>
      </c>
      <c r="I96" s="6">
        <v>0</v>
      </c>
      <c r="J96" s="6">
        <v>0</v>
      </c>
    </row>
    <row r="97" spans="1:10" ht="13" x14ac:dyDescent="0.15">
      <c r="A97" s="33" t="s">
        <v>30</v>
      </c>
      <c r="B97" s="33" t="s">
        <v>30</v>
      </c>
      <c r="H97" s="6">
        <v>0</v>
      </c>
      <c r="I97" s="6">
        <v>0</v>
      </c>
      <c r="J97" s="6">
        <v>0</v>
      </c>
    </row>
    <row r="98" spans="1:10" ht="13" x14ac:dyDescent="0.15">
      <c r="A98" s="33" t="s">
        <v>77</v>
      </c>
      <c r="B98" s="33" t="s">
        <v>30</v>
      </c>
      <c r="H98" s="6">
        <v>0</v>
      </c>
      <c r="I98" s="6">
        <v>0</v>
      </c>
      <c r="J98" s="6">
        <v>0</v>
      </c>
    </row>
    <row r="99" spans="1:10" ht="13" x14ac:dyDescent="0.15">
      <c r="A99" s="33" t="s">
        <v>30</v>
      </c>
      <c r="B99" s="33" t="s">
        <v>219</v>
      </c>
      <c r="H99" s="6">
        <v>0</v>
      </c>
      <c r="I99" s="6">
        <v>0</v>
      </c>
      <c r="J99" s="6">
        <v>0</v>
      </c>
    </row>
    <row r="100" spans="1:10" ht="13" x14ac:dyDescent="0.15">
      <c r="A100" s="33" t="s">
        <v>219</v>
      </c>
      <c r="B100" s="33" t="s">
        <v>30</v>
      </c>
      <c r="H100" s="6">
        <v>0</v>
      </c>
      <c r="I100" s="6">
        <v>0</v>
      </c>
      <c r="J100" s="6">
        <v>0</v>
      </c>
    </row>
    <row r="101" spans="1:10" ht="13" x14ac:dyDescent="0.15">
      <c r="A101" s="33" t="s">
        <v>219</v>
      </c>
      <c r="B101" s="33" t="s">
        <v>219</v>
      </c>
      <c r="H101" s="6">
        <v>0</v>
      </c>
      <c r="I101" s="6">
        <v>0</v>
      </c>
      <c r="J101" s="6">
        <v>0</v>
      </c>
    </row>
    <row r="102" spans="1:10" ht="13" x14ac:dyDescent="0.15">
      <c r="A102" s="33" t="s">
        <v>30</v>
      </c>
      <c r="B102" s="33" t="s">
        <v>30</v>
      </c>
      <c r="H102" s="6">
        <v>0</v>
      </c>
      <c r="I102" s="6">
        <v>0</v>
      </c>
      <c r="J102" s="6">
        <v>0</v>
      </c>
    </row>
    <row r="103" spans="1:10" ht="13" x14ac:dyDescent="0.15">
      <c r="A103" s="33" t="s">
        <v>30</v>
      </c>
      <c r="B103" s="33" t="s">
        <v>30</v>
      </c>
      <c r="H103" s="6">
        <v>0</v>
      </c>
      <c r="I103" s="6">
        <v>0</v>
      </c>
      <c r="J103" s="6">
        <v>0</v>
      </c>
    </row>
    <row r="104" spans="1:10" ht="13" x14ac:dyDescent="0.15">
      <c r="A104" s="33" t="s">
        <v>30</v>
      </c>
      <c r="B104" s="33" t="s">
        <v>30</v>
      </c>
      <c r="H104" s="6">
        <v>0</v>
      </c>
      <c r="I104" s="6">
        <v>0</v>
      </c>
      <c r="J104" s="6">
        <v>0</v>
      </c>
    </row>
    <row r="105" spans="1:10" ht="13" x14ac:dyDescent="0.15">
      <c r="A105" s="33" t="s">
        <v>136</v>
      </c>
      <c r="B105" s="33" t="s">
        <v>136</v>
      </c>
      <c r="H105" s="6">
        <v>0</v>
      </c>
      <c r="I105" s="6">
        <v>0</v>
      </c>
      <c r="J105" s="6">
        <v>0</v>
      </c>
    </row>
    <row r="106" spans="1:10" ht="13" x14ac:dyDescent="0.15">
      <c r="A106" s="33" t="s">
        <v>23</v>
      </c>
      <c r="B106" s="33" t="s">
        <v>23</v>
      </c>
      <c r="H106" s="6">
        <v>0</v>
      </c>
      <c r="I106" s="6">
        <v>0</v>
      </c>
      <c r="J106" s="6">
        <v>0</v>
      </c>
    </row>
    <row r="107" spans="1:10" ht="13" x14ac:dyDescent="0.15">
      <c r="A107" s="33" t="s">
        <v>23</v>
      </c>
      <c r="B107" s="33" t="s">
        <v>23</v>
      </c>
      <c r="H107" s="6">
        <v>0</v>
      </c>
      <c r="I107" s="6">
        <v>0</v>
      </c>
      <c r="J107" s="6">
        <v>0</v>
      </c>
    </row>
    <row r="108" spans="1:10" ht="13" x14ac:dyDescent="0.15">
      <c r="A108" s="33" t="s">
        <v>136</v>
      </c>
      <c r="B108" s="33" t="s">
        <v>30</v>
      </c>
      <c r="H108" s="6">
        <v>0</v>
      </c>
      <c r="I108" s="6">
        <v>0</v>
      </c>
      <c r="J108" s="6">
        <v>0</v>
      </c>
    </row>
    <row r="109" spans="1:10" ht="13" x14ac:dyDescent="0.15">
      <c r="A109" s="33" t="s">
        <v>30</v>
      </c>
      <c r="B109" s="33" t="s">
        <v>30</v>
      </c>
      <c r="H109" s="6">
        <v>0</v>
      </c>
      <c r="I109" s="6">
        <v>0</v>
      </c>
      <c r="J109" s="6">
        <v>0</v>
      </c>
    </row>
    <row r="110" spans="1:10" ht="13" x14ac:dyDescent="0.15">
      <c r="A110" s="33" t="s">
        <v>77</v>
      </c>
      <c r="B110" s="33" t="s">
        <v>23</v>
      </c>
      <c r="H110" s="6">
        <v>0</v>
      </c>
      <c r="I110" s="6">
        <v>0</v>
      </c>
      <c r="J110" s="6">
        <v>0</v>
      </c>
    </row>
    <row r="111" spans="1:10" ht="13" x14ac:dyDescent="0.15">
      <c r="A111" s="33" t="s">
        <v>77</v>
      </c>
      <c r="B111" s="33" t="s">
        <v>83</v>
      </c>
      <c r="H111" s="6">
        <v>0</v>
      </c>
      <c r="I111" s="6">
        <v>0</v>
      </c>
      <c r="J111" s="6">
        <v>0</v>
      </c>
    </row>
    <row r="112" spans="1:10" ht="13" x14ac:dyDescent="0.15">
      <c r="A112" s="33" t="s">
        <v>12</v>
      </c>
      <c r="B112" s="33" t="s">
        <v>12</v>
      </c>
      <c r="H112" s="6">
        <v>0</v>
      </c>
      <c r="I112" s="6">
        <v>0</v>
      </c>
      <c r="J112" s="6">
        <v>0</v>
      </c>
    </row>
    <row r="113" spans="1:10" ht="13" x14ac:dyDescent="0.15">
      <c r="A113" s="33" t="s">
        <v>30</v>
      </c>
      <c r="B113" s="33" t="s">
        <v>12</v>
      </c>
      <c r="H113" s="6">
        <v>0</v>
      </c>
      <c r="I113" s="6">
        <v>0</v>
      </c>
      <c r="J113" s="6">
        <v>0</v>
      </c>
    </row>
    <row r="114" spans="1:10" ht="13" x14ac:dyDescent="0.15">
      <c r="A114" s="33" t="s">
        <v>88</v>
      </c>
      <c r="B114" s="33" t="s">
        <v>30</v>
      </c>
      <c r="H114" s="6">
        <v>0</v>
      </c>
      <c r="I114" s="6">
        <v>0</v>
      </c>
      <c r="J114" s="6">
        <v>0</v>
      </c>
    </row>
    <row r="115" spans="1:10" ht="13" x14ac:dyDescent="0.15">
      <c r="A115" s="33" t="s">
        <v>219</v>
      </c>
      <c r="B115" s="33" t="s">
        <v>30</v>
      </c>
      <c r="H115" s="6">
        <v>0</v>
      </c>
      <c r="I115" s="6">
        <v>0</v>
      </c>
      <c r="J115" s="6">
        <v>0</v>
      </c>
    </row>
    <row r="116" spans="1:10" ht="13" x14ac:dyDescent="0.15">
      <c r="A116" s="33" t="s">
        <v>219</v>
      </c>
      <c r="B116" s="33" t="s">
        <v>30</v>
      </c>
      <c r="H116" s="6">
        <v>0</v>
      </c>
      <c r="I116" s="6">
        <v>0</v>
      </c>
      <c r="J116" s="6">
        <v>0</v>
      </c>
    </row>
    <row r="117" spans="1:10" ht="13" x14ac:dyDescent="0.15">
      <c r="A117" s="33" t="s">
        <v>30</v>
      </c>
      <c r="B117" s="33" t="s">
        <v>30</v>
      </c>
      <c r="H117" s="6">
        <v>0</v>
      </c>
      <c r="I117" s="6">
        <v>0</v>
      </c>
      <c r="J117" s="6">
        <v>0</v>
      </c>
    </row>
    <row r="118" spans="1:10" ht="13" x14ac:dyDescent="0.15">
      <c r="A118" s="33" t="s">
        <v>30</v>
      </c>
      <c r="B118" s="33" t="s">
        <v>67</v>
      </c>
      <c r="H118" s="6">
        <v>0</v>
      </c>
      <c r="I118" s="6">
        <v>0</v>
      </c>
      <c r="J118" s="6">
        <v>0</v>
      </c>
    </row>
    <row r="119" spans="1:10" ht="13" x14ac:dyDescent="0.15">
      <c r="A119" s="33" t="s">
        <v>77</v>
      </c>
      <c r="B119" s="33" t="s">
        <v>67</v>
      </c>
      <c r="H119" s="6">
        <v>0</v>
      </c>
      <c r="I119" s="6">
        <v>0</v>
      </c>
      <c r="J119" s="6">
        <v>0</v>
      </c>
    </row>
    <row r="120" spans="1:10" ht="13" x14ac:dyDescent="0.15">
      <c r="A120" s="33" t="s">
        <v>12</v>
      </c>
      <c r="B120" s="33" t="s">
        <v>67</v>
      </c>
      <c r="H120" s="6">
        <v>0</v>
      </c>
      <c r="I120" s="6">
        <v>0</v>
      </c>
      <c r="J120" s="6">
        <v>0</v>
      </c>
    </row>
    <row r="121" spans="1:10" ht="13" x14ac:dyDescent="0.15">
      <c r="A121" s="33" t="s">
        <v>30</v>
      </c>
      <c r="B121" s="33" t="s">
        <v>30</v>
      </c>
      <c r="H121" s="6">
        <v>0</v>
      </c>
      <c r="I121" s="6">
        <v>0</v>
      </c>
      <c r="J121" s="6">
        <v>0</v>
      </c>
    </row>
    <row r="122" spans="1:10" ht="13" x14ac:dyDescent="0.15">
      <c r="A122" s="33" t="s">
        <v>30</v>
      </c>
      <c r="B122" s="33" t="s">
        <v>23</v>
      </c>
      <c r="H122" s="6">
        <v>0</v>
      </c>
      <c r="I122" s="6">
        <v>0</v>
      </c>
      <c r="J122" s="6">
        <v>0</v>
      </c>
    </row>
    <row r="123" spans="1:10" ht="13" x14ac:dyDescent="0.15">
      <c r="A123" s="33" t="s">
        <v>30</v>
      </c>
      <c r="B123" s="33" t="s">
        <v>30</v>
      </c>
      <c r="H123" s="6">
        <v>0</v>
      </c>
      <c r="I123" s="6">
        <v>0</v>
      </c>
      <c r="J123" s="6">
        <v>0</v>
      </c>
    </row>
    <row r="124" spans="1:10" ht="13" x14ac:dyDescent="0.15">
      <c r="A124" s="33" t="s">
        <v>77</v>
      </c>
      <c r="B124" s="33" t="s">
        <v>77</v>
      </c>
      <c r="H124" s="6">
        <v>0</v>
      </c>
      <c r="I124" s="6">
        <v>0</v>
      </c>
      <c r="J124" s="6">
        <v>0</v>
      </c>
    </row>
    <row r="125" spans="1:10" ht="13" x14ac:dyDescent="0.15">
      <c r="A125" s="33" t="s">
        <v>77</v>
      </c>
      <c r="B125" s="33" t="s">
        <v>77</v>
      </c>
      <c r="H125" s="6">
        <v>0</v>
      </c>
      <c r="I125" s="6">
        <v>0</v>
      </c>
      <c r="J125" s="6">
        <v>0</v>
      </c>
    </row>
    <row r="126" spans="1:10" ht="13" x14ac:dyDescent="0.15">
      <c r="A126" s="33" t="s">
        <v>88</v>
      </c>
      <c r="B126" s="33" t="s">
        <v>88</v>
      </c>
      <c r="H126" s="6">
        <v>0</v>
      </c>
      <c r="I126" s="6">
        <v>0</v>
      </c>
      <c r="J126" s="6">
        <v>0</v>
      </c>
    </row>
    <row r="127" spans="1:10" ht="13" x14ac:dyDescent="0.15">
      <c r="A127" s="33" t="s">
        <v>136</v>
      </c>
      <c r="B127" s="33" t="s">
        <v>18</v>
      </c>
      <c r="H127" s="6">
        <v>0</v>
      </c>
      <c r="I127" s="6">
        <v>0</v>
      </c>
      <c r="J127" s="6">
        <v>0</v>
      </c>
    </row>
    <row r="128" spans="1:10" ht="13" x14ac:dyDescent="0.15">
      <c r="A128" s="33" t="s">
        <v>30</v>
      </c>
      <c r="B128" s="33" t="s">
        <v>30</v>
      </c>
      <c r="H128" s="6">
        <v>0</v>
      </c>
      <c r="I128" s="6">
        <v>0</v>
      </c>
      <c r="J128" s="6">
        <v>0</v>
      </c>
    </row>
    <row r="129" spans="1:10" ht="13" x14ac:dyDescent="0.15">
      <c r="A129" s="33" t="s">
        <v>219</v>
      </c>
      <c r="B129" s="33" t="s">
        <v>30</v>
      </c>
      <c r="H129" s="6">
        <v>0</v>
      </c>
      <c r="I129" s="6">
        <v>0</v>
      </c>
      <c r="J129" s="6">
        <v>0</v>
      </c>
    </row>
    <row r="130" spans="1:10" ht="13" x14ac:dyDescent="0.15">
      <c r="A130" s="33" t="s">
        <v>219</v>
      </c>
      <c r="B130" s="33" t="s">
        <v>30</v>
      </c>
      <c r="H130" s="6">
        <v>0</v>
      </c>
      <c r="I130" s="6">
        <v>0</v>
      </c>
      <c r="J130" s="6">
        <v>0</v>
      </c>
    </row>
    <row r="131" spans="1:10" ht="13" x14ac:dyDescent="0.15">
      <c r="A131" s="33" t="s">
        <v>219</v>
      </c>
      <c r="B131" s="33" t="s">
        <v>30</v>
      </c>
      <c r="H131" s="6">
        <v>0</v>
      </c>
      <c r="I131" s="6">
        <v>0</v>
      </c>
      <c r="J131" s="6">
        <v>0</v>
      </c>
    </row>
    <row r="132" spans="1:10" ht="13" x14ac:dyDescent="0.15">
      <c r="A132" s="33" t="s">
        <v>30</v>
      </c>
      <c r="B132" s="33" t="s">
        <v>30</v>
      </c>
      <c r="H132" s="6">
        <v>0</v>
      </c>
      <c r="I132" s="6">
        <v>0</v>
      </c>
      <c r="J132" s="6">
        <v>0</v>
      </c>
    </row>
    <row r="133" spans="1:10" ht="13" x14ac:dyDescent="0.15">
      <c r="A133" s="33" t="s">
        <v>342</v>
      </c>
      <c r="B133" s="33" t="s">
        <v>30</v>
      </c>
      <c r="H133" s="6">
        <v>0</v>
      </c>
      <c r="I133" s="6">
        <v>0</v>
      </c>
      <c r="J133" s="6">
        <v>0</v>
      </c>
    </row>
    <row r="134" spans="1:10" ht="13" x14ac:dyDescent="0.15">
      <c r="A134" s="33" t="s">
        <v>115</v>
      </c>
      <c r="B134" s="33" t="s">
        <v>30</v>
      </c>
      <c r="H134" s="6">
        <v>0</v>
      </c>
      <c r="I134" s="6">
        <v>0</v>
      </c>
      <c r="J134" s="6">
        <v>0</v>
      </c>
    </row>
    <row r="135" spans="1:10" ht="13" x14ac:dyDescent="0.15">
      <c r="A135" s="33" t="s">
        <v>219</v>
      </c>
      <c r="B135" s="33" t="s">
        <v>30</v>
      </c>
      <c r="H135" s="6">
        <v>0</v>
      </c>
      <c r="I135" s="6">
        <v>0</v>
      </c>
      <c r="J135" s="6">
        <v>0</v>
      </c>
    </row>
    <row r="136" spans="1:10" ht="13" x14ac:dyDescent="0.15">
      <c r="A136" s="33" t="s">
        <v>219</v>
      </c>
      <c r="B136" s="33" t="s">
        <v>219</v>
      </c>
      <c r="H136" s="6">
        <v>0</v>
      </c>
      <c r="I136" s="6">
        <v>0</v>
      </c>
      <c r="J136" s="6">
        <v>0</v>
      </c>
    </row>
    <row r="137" spans="1:10" ht="13" x14ac:dyDescent="0.15">
      <c r="A137" s="33" t="s">
        <v>219</v>
      </c>
      <c r="B137" s="33" t="s">
        <v>30</v>
      </c>
      <c r="H137" s="6">
        <v>0</v>
      </c>
      <c r="I137" s="6">
        <v>0</v>
      </c>
      <c r="J137" s="6">
        <v>0</v>
      </c>
    </row>
    <row r="138" spans="1:10" ht="13" x14ac:dyDescent="0.15">
      <c r="A138" s="33" t="s">
        <v>136</v>
      </c>
      <c r="B138" s="33" t="s">
        <v>30</v>
      </c>
      <c r="H138" s="6">
        <v>0</v>
      </c>
      <c r="I138" s="6">
        <v>0</v>
      </c>
      <c r="J138" s="6">
        <v>0</v>
      </c>
    </row>
    <row r="139" spans="1:10" ht="13" x14ac:dyDescent="0.15">
      <c r="A139" s="33" t="s">
        <v>219</v>
      </c>
      <c r="B139" s="33" t="s">
        <v>219</v>
      </c>
      <c r="H139" s="6">
        <v>0</v>
      </c>
      <c r="I139" s="6">
        <v>0</v>
      </c>
      <c r="J139" s="6">
        <v>0</v>
      </c>
    </row>
    <row r="140" spans="1:10" ht="13" x14ac:dyDescent="0.15">
      <c r="A140" s="33" t="s">
        <v>219</v>
      </c>
      <c r="B140" s="33" t="s">
        <v>219</v>
      </c>
      <c r="H140" s="6">
        <v>0</v>
      </c>
      <c r="I140" s="6">
        <v>0</v>
      </c>
      <c r="J140" s="6">
        <v>0</v>
      </c>
    </row>
    <row r="141" spans="1:10" ht="13" x14ac:dyDescent="0.15">
      <c r="A141" s="33" t="s">
        <v>219</v>
      </c>
      <c r="B141" s="33" t="s">
        <v>136</v>
      </c>
      <c r="H141" s="6">
        <v>0</v>
      </c>
      <c r="I141" s="6">
        <v>0</v>
      </c>
      <c r="J141" s="6">
        <v>0</v>
      </c>
    </row>
    <row r="142" spans="1:10" ht="13" x14ac:dyDescent="0.15">
      <c r="A142" s="33" t="s">
        <v>30</v>
      </c>
      <c r="B142" s="33" t="s">
        <v>30</v>
      </c>
      <c r="H142" s="6">
        <v>0</v>
      </c>
      <c r="I142" s="6">
        <v>0</v>
      </c>
      <c r="J142" s="6">
        <v>0</v>
      </c>
    </row>
    <row r="143" spans="1:10" ht="13" x14ac:dyDescent="0.15">
      <c r="A143" s="33" t="s">
        <v>30</v>
      </c>
      <c r="B143" s="33" t="s">
        <v>30</v>
      </c>
      <c r="H143" s="6">
        <v>0</v>
      </c>
      <c r="I143" s="6">
        <v>0</v>
      </c>
      <c r="J143" s="6">
        <v>0</v>
      </c>
    </row>
    <row r="144" spans="1:10" ht="13" x14ac:dyDescent="0.15">
      <c r="A144" s="33" t="s">
        <v>219</v>
      </c>
      <c r="B144" s="33" t="s">
        <v>219</v>
      </c>
      <c r="H144" s="6">
        <v>0</v>
      </c>
      <c r="I144" s="6">
        <v>0</v>
      </c>
      <c r="J144" s="6">
        <v>0</v>
      </c>
    </row>
    <row r="145" spans="1:10" ht="13" x14ac:dyDescent="0.15">
      <c r="A145" s="33" t="s">
        <v>219</v>
      </c>
      <c r="B145" s="33" t="s">
        <v>30</v>
      </c>
      <c r="H145" s="6">
        <v>0</v>
      </c>
      <c r="I145" s="6">
        <v>0</v>
      </c>
      <c r="J145" s="6">
        <v>0</v>
      </c>
    </row>
    <row r="146" spans="1:10" ht="13" x14ac:dyDescent="0.15">
      <c r="A146" s="33" t="s">
        <v>219</v>
      </c>
      <c r="B146" s="33" t="s">
        <v>136</v>
      </c>
      <c r="H146" s="6">
        <v>0</v>
      </c>
      <c r="I146" s="6">
        <v>0</v>
      </c>
      <c r="J146" s="6">
        <v>0</v>
      </c>
    </row>
    <row r="147" spans="1:10" ht="13" x14ac:dyDescent="0.15">
      <c r="A147" s="33" t="s">
        <v>219</v>
      </c>
      <c r="B147" s="33" t="s">
        <v>30</v>
      </c>
      <c r="H147" s="6">
        <v>0</v>
      </c>
      <c r="I147" s="6">
        <v>0</v>
      </c>
      <c r="J147" s="6">
        <v>0</v>
      </c>
    </row>
    <row r="148" spans="1:10" ht="13" x14ac:dyDescent="0.15">
      <c r="A148" s="33" t="s">
        <v>88</v>
      </c>
      <c r="B148" s="33" t="s">
        <v>88</v>
      </c>
      <c r="H148" s="6">
        <v>0</v>
      </c>
      <c r="I148" s="6">
        <v>0</v>
      </c>
      <c r="J148" s="6">
        <v>0</v>
      </c>
    </row>
    <row r="149" spans="1:10" ht="13" x14ac:dyDescent="0.15">
      <c r="A149" s="33" t="s">
        <v>115</v>
      </c>
      <c r="B149" s="33" t="s">
        <v>30</v>
      </c>
      <c r="H149" s="6">
        <v>0</v>
      </c>
      <c r="I149" s="6">
        <v>0</v>
      </c>
      <c r="J149" s="6">
        <v>0</v>
      </c>
    </row>
    <row r="150" spans="1:10" ht="13" x14ac:dyDescent="0.15">
      <c r="A150" s="33" t="s">
        <v>30</v>
      </c>
      <c r="B150" s="33" t="s">
        <v>30</v>
      </c>
      <c r="H150" s="6">
        <v>0</v>
      </c>
      <c r="I150" s="6">
        <v>0</v>
      </c>
      <c r="J150" s="6">
        <v>0</v>
      </c>
    </row>
    <row r="151" spans="1:10" ht="13" x14ac:dyDescent="0.15">
      <c r="A151" s="33" t="s">
        <v>30</v>
      </c>
      <c r="B151" s="33" t="s">
        <v>30</v>
      </c>
      <c r="H151" s="6">
        <v>0</v>
      </c>
      <c r="I151" s="6">
        <v>0</v>
      </c>
      <c r="J151" s="6">
        <v>0</v>
      </c>
    </row>
    <row r="152" spans="1:10" ht="13" x14ac:dyDescent="0.15">
      <c r="A152" s="33" t="s">
        <v>77</v>
      </c>
      <c r="B152" s="33" t="s">
        <v>30</v>
      </c>
      <c r="H152" s="6">
        <v>0</v>
      </c>
      <c r="I152" s="6">
        <v>0</v>
      </c>
      <c r="J152" s="6">
        <v>0</v>
      </c>
    </row>
    <row r="153" spans="1:10" ht="13" x14ac:dyDescent="0.15">
      <c r="A153" s="33" t="s">
        <v>342</v>
      </c>
      <c r="B153" s="33" t="s">
        <v>342</v>
      </c>
      <c r="H153" s="6">
        <v>0</v>
      </c>
      <c r="I153" s="6">
        <v>0</v>
      </c>
      <c r="J153" s="6">
        <v>0</v>
      </c>
    </row>
    <row r="154" spans="1:10" ht="13" x14ac:dyDescent="0.15">
      <c r="A154" s="33" t="s">
        <v>30</v>
      </c>
      <c r="B154" s="33" t="s">
        <v>30</v>
      </c>
      <c r="H154" s="6">
        <v>0</v>
      </c>
      <c r="I154" s="6">
        <v>0</v>
      </c>
      <c r="J154" s="6">
        <v>0</v>
      </c>
    </row>
    <row r="155" spans="1:10" ht="13" x14ac:dyDescent="0.15">
      <c r="A155" s="33" t="s">
        <v>30</v>
      </c>
      <c r="B155" s="33" t="s">
        <v>83</v>
      </c>
      <c r="H155" s="6">
        <v>0</v>
      </c>
      <c r="I155" s="6">
        <v>0</v>
      </c>
      <c r="J155" s="6">
        <v>0</v>
      </c>
    </row>
    <row r="156" spans="1:10" ht="13" x14ac:dyDescent="0.15">
      <c r="A156" s="33" t="s">
        <v>30</v>
      </c>
      <c r="B156" s="33" t="s">
        <v>30</v>
      </c>
      <c r="H156" s="6">
        <v>0</v>
      </c>
      <c r="I156" s="6">
        <v>0</v>
      </c>
      <c r="J156" s="6">
        <v>0</v>
      </c>
    </row>
    <row r="157" spans="1:10" ht="13" x14ac:dyDescent="0.15">
      <c r="A157" s="33" t="s">
        <v>77</v>
      </c>
      <c r="B157" s="33" t="s">
        <v>30</v>
      </c>
      <c r="H157" s="6">
        <v>0</v>
      </c>
      <c r="I157" s="6">
        <v>0</v>
      </c>
      <c r="J157" s="6">
        <v>0</v>
      </c>
    </row>
    <row r="158" spans="1:10" ht="13" x14ac:dyDescent="0.15">
      <c r="A158" s="33" t="s">
        <v>77</v>
      </c>
      <c r="B158" s="33" t="s">
        <v>18</v>
      </c>
      <c r="H158" s="6">
        <v>0</v>
      </c>
      <c r="I158" s="6">
        <v>0</v>
      </c>
      <c r="J158" s="6">
        <v>0</v>
      </c>
    </row>
    <row r="159" spans="1:10" ht="13" x14ac:dyDescent="0.15">
      <c r="A159" s="33" t="s">
        <v>83</v>
      </c>
      <c r="B159" s="33" t="s">
        <v>30</v>
      </c>
      <c r="H159" s="6">
        <v>0</v>
      </c>
      <c r="I159" s="6">
        <v>0</v>
      </c>
      <c r="J159" s="6">
        <v>0</v>
      </c>
    </row>
    <row r="160" spans="1:10" ht="13" x14ac:dyDescent="0.15">
      <c r="A160" s="33" t="s">
        <v>30</v>
      </c>
      <c r="B160" s="33" t="s">
        <v>30</v>
      </c>
      <c r="H160" s="6">
        <v>0</v>
      </c>
      <c r="I160" s="6">
        <v>0</v>
      </c>
      <c r="J160" s="6">
        <v>0</v>
      </c>
    </row>
    <row r="161" spans="1:10" ht="13" x14ac:dyDescent="0.15">
      <c r="A161" s="33" t="s">
        <v>30</v>
      </c>
      <c r="B161" s="33" t="s">
        <v>30</v>
      </c>
      <c r="H161" s="6">
        <v>0</v>
      </c>
      <c r="I161" s="6">
        <v>0</v>
      </c>
      <c r="J161" s="6">
        <v>0</v>
      </c>
    </row>
    <row r="162" spans="1:10" ht="13" x14ac:dyDescent="0.15">
      <c r="A162" s="33" t="s">
        <v>77</v>
      </c>
      <c r="B162" s="33" t="s">
        <v>18</v>
      </c>
      <c r="H162" s="6">
        <v>0</v>
      </c>
      <c r="I162" s="6">
        <v>0</v>
      </c>
      <c r="J162" s="6">
        <v>0</v>
      </c>
    </row>
    <row r="163" spans="1:10" ht="13" x14ac:dyDescent="0.15">
      <c r="A163" s="33" t="s">
        <v>23</v>
      </c>
      <c r="B163" s="33" t="s">
        <v>77</v>
      </c>
      <c r="H163" s="6">
        <v>0</v>
      </c>
      <c r="I163" s="6">
        <v>0</v>
      </c>
      <c r="J163" s="6">
        <v>0</v>
      </c>
    </row>
    <row r="164" spans="1:10" ht="13" x14ac:dyDescent="0.15">
      <c r="A164" s="33" t="s">
        <v>30</v>
      </c>
      <c r="B164" s="33" t="s">
        <v>30</v>
      </c>
      <c r="H164" s="6">
        <v>0</v>
      </c>
      <c r="I164" s="6">
        <v>0</v>
      </c>
      <c r="J164" s="6">
        <v>0</v>
      </c>
    </row>
    <row r="165" spans="1:10" ht="13" x14ac:dyDescent="0.15">
      <c r="A165" s="33" t="s">
        <v>30</v>
      </c>
      <c r="B165" s="33" t="s">
        <v>30</v>
      </c>
      <c r="H165" s="6">
        <v>0</v>
      </c>
      <c r="I165" s="6">
        <v>0</v>
      </c>
      <c r="J165" s="6">
        <v>0</v>
      </c>
    </row>
    <row r="166" spans="1:10" ht="13" x14ac:dyDescent="0.15">
      <c r="A166" s="33" t="s">
        <v>115</v>
      </c>
      <c r="B166" s="33" t="s">
        <v>18</v>
      </c>
      <c r="H166" s="6">
        <v>0</v>
      </c>
      <c r="I166" s="6">
        <v>0</v>
      </c>
      <c r="J166" s="6">
        <v>0</v>
      </c>
    </row>
    <row r="167" spans="1:10" ht="13" x14ac:dyDescent="0.15">
      <c r="A167" s="33" t="s">
        <v>30</v>
      </c>
      <c r="B167" s="33" t="s">
        <v>30</v>
      </c>
      <c r="H167" s="6">
        <v>0</v>
      </c>
      <c r="I167" s="6">
        <v>0</v>
      </c>
      <c r="J167" s="6">
        <v>0</v>
      </c>
    </row>
    <row r="168" spans="1:10" ht="13" x14ac:dyDescent="0.15">
      <c r="A168" s="33" t="s">
        <v>115</v>
      </c>
      <c r="B168" s="33" t="s">
        <v>30</v>
      </c>
      <c r="H168" s="6">
        <v>0</v>
      </c>
      <c r="I168" s="6">
        <v>0</v>
      </c>
      <c r="J168" s="6">
        <v>0</v>
      </c>
    </row>
    <row r="169" spans="1:10" ht="13" x14ac:dyDescent="0.15">
      <c r="A169" s="33" t="s">
        <v>115</v>
      </c>
      <c r="B169" s="33" t="s">
        <v>88</v>
      </c>
      <c r="H169" s="6">
        <v>0</v>
      </c>
      <c r="I169" s="6">
        <v>0</v>
      </c>
      <c r="J169" s="6">
        <v>0</v>
      </c>
    </row>
    <row r="170" spans="1:10" ht="13" x14ac:dyDescent="0.15">
      <c r="A170" s="33" t="s">
        <v>83</v>
      </c>
      <c r="B170" s="33" t="s">
        <v>23</v>
      </c>
      <c r="H170" s="6">
        <v>0</v>
      </c>
      <c r="I170" s="6">
        <v>0</v>
      </c>
      <c r="J170" s="6">
        <v>0</v>
      </c>
    </row>
    <row r="171" spans="1:10" ht="13" x14ac:dyDescent="0.15">
      <c r="A171" s="33" t="s">
        <v>115</v>
      </c>
      <c r="B171" s="33" t="s">
        <v>115</v>
      </c>
      <c r="H171" s="6">
        <v>0</v>
      </c>
      <c r="I171" s="6">
        <v>0</v>
      </c>
      <c r="J171" s="6">
        <v>0</v>
      </c>
    </row>
    <row r="172" spans="1:10" ht="13" x14ac:dyDescent="0.15">
      <c r="A172" s="33" t="s">
        <v>83</v>
      </c>
      <c r="B172" s="33" t="s">
        <v>83</v>
      </c>
      <c r="H172" s="6">
        <v>0</v>
      </c>
      <c r="I172" s="6">
        <v>0</v>
      </c>
      <c r="J172" s="6">
        <v>0</v>
      </c>
    </row>
    <row r="173" spans="1:10" ht="13" x14ac:dyDescent="0.15">
      <c r="A173" s="33" t="s">
        <v>83</v>
      </c>
      <c r="B173" s="33" t="s">
        <v>83</v>
      </c>
      <c r="H173" s="6">
        <v>0</v>
      </c>
      <c r="I173" s="6">
        <v>0</v>
      </c>
      <c r="J173" s="6">
        <v>0</v>
      </c>
    </row>
    <row r="174" spans="1:10" ht="13" x14ac:dyDescent="0.15">
      <c r="A174" s="33" t="s">
        <v>30</v>
      </c>
      <c r="B174" s="33" t="s">
        <v>30</v>
      </c>
      <c r="H174" s="6">
        <v>0</v>
      </c>
      <c r="I174" s="6">
        <v>0</v>
      </c>
      <c r="J174" s="6">
        <v>0</v>
      </c>
    </row>
    <row r="175" spans="1:10" ht="13" x14ac:dyDescent="0.15">
      <c r="A175" s="33" t="s">
        <v>30</v>
      </c>
      <c r="B175" s="33" t="s">
        <v>83</v>
      </c>
      <c r="H175" s="6">
        <v>0</v>
      </c>
      <c r="I175" s="6">
        <v>0</v>
      </c>
      <c r="J175" s="6">
        <v>0</v>
      </c>
    </row>
    <row r="176" spans="1:10" ht="13" x14ac:dyDescent="0.15">
      <c r="A176" s="33" t="s">
        <v>30</v>
      </c>
      <c r="B176" s="33" t="s">
        <v>30</v>
      </c>
      <c r="H176" s="6">
        <v>0</v>
      </c>
      <c r="I176" s="6">
        <v>0</v>
      </c>
      <c r="J176" s="6">
        <v>0</v>
      </c>
    </row>
    <row r="177" spans="1:10" ht="13" x14ac:dyDescent="0.15">
      <c r="A177" s="33" t="s">
        <v>219</v>
      </c>
      <c r="B177" s="33" t="s">
        <v>30</v>
      </c>
      <c r="H177" s="6">
        <v>0</v>
      </c>
      <c r="I177" s="6">
        <v>0</v>
      </c>
      <c r="J177" s="6">
        <v>0</v>
      </c>
    </row>
    <row r="178" spans="1:10" ht="13" x14ac:dyDescent="0.15">
      <c r="A178" s="33" t="s">
        <v>219</v>
      </c>
      <c r="B178" s="33" t="s">
        <v>30</v>
      </c>
      <c r="H178" s="6">
        <v>0</v>
      </c>
      <c r="I178" s="6">
        <v>0</v>
      </c>
      <c r="J178" s="6">
        <v>0</v>
      </c>
    </row>
    <row r="179" spans="1:10" ht="13" x14ac:dyDescent="0.15">
      <c r="A179" s="33" t="s">
        <v>219</v>
      </c>
      <c r="B179" s="33" t="s">
        <v>30</v>
      </c>
      <c r="H179" s="6">
        <v>0</v>
      </c>
      <c r="I179" s="6">
        <v>0</v>
      </c>
      <c r="J179" s="6">
        <v>0</v>
      </c>
    </row>
    <row r="180" spans="1:10" ht="13" x14ac:dyDescent="0.15">
      <c r="A180" s="33" t="s">
        <v>136</v>
      </c>
      <c r="B180" s="33" t="s">
        <v>136</v>
      </c>
      <c r="H180" s="6">
        <v>0</v>
      </c>
      <c r="I180" s="6">
        <v>0</v>
      </c>
      <c r="J180" s="6">
        <v>0</v>
      </c>
    </row>
    <row r="181" spans="1:10" ht="13" x14ac:dyDescent="0.15">
      <c r="A181" s="33" t="s">
        <v>30</v>
      </c>
      <c r="B181" s="33" t="s">
        <v>30</v>
      </c>
      <c r="H181" s="6">
        <v>0</v>
      </c>
      <c r="I181" s="6">
        <v>0</v>
      </c>
      <c r="J181" s="6">
        <v>0</v>
      </c>
    </row>
    <row r="182" spans="1:10" ht="13" x14ac:dyDescent="0.15">
      <c r="A182" s="33" t="s">
        <v>30</v>
      </c>
      <c r="B182" s="33" t="s">
        <v>30</v>
      </c>
      <c r="H182" s="6">
        <v>0</v>
      </c>
      <c r="I182" s="6">
        <v>0</v>
      </c>
      <c r="J182" s="6">
        <v>0</v>
      </c>
    </row>
    <row r="183" spans="1:10" ht="13" x14ac:dyDescent="0.15">
      <c r="A183" s="33" t="s">
        <v>136</v>
      </c>
      <c r="B183" s="33" t="s">
        <v>30</v>
      </c>
      <c r="H183" s="6">
        <v>0</v>
      </c>
      <c r="I183" s="6">
        <v>0</v>
      </c>
      <c r="J183" s="6">
        <v>0</v>
      </c>
    </row>
    <row r="184" spans="1:10" ht="13" x14ac:dyDescent="0.15">
      <c r="A184" s="33" t="s">
        <v>30</v>
      </c>
      <c r="B184" s="33" t="s">
        <v>30</v>
      </c>
      <c r="H184" s="6">
        <v>0</v>
      </c>
      <c r="I184" s="6">
        <v>0</v>
      </c>
      <c r="J184" s="6">
        <v>0</v>
      </c>
    </row>
    <row r="185" spans="1:10" ht="13" x14ac:dyDescent="0.15">
      <c r="A185" s="33" t="s">
        <v>23</v>
      </c>
      <c r="B185" s="33" t="s">
        <v>12</v>
      </c>
      <c r="H185" s="6">
        <v>0</v>
      </c>
      <c r="I185" s="6">
        <v>0</v>
      </c>
      <c r="J185" s="6">
        <v>0</v>
      </c>
    </row>
    <row r="186" spans="1:10" ht="13" x14ac:dyDescent="0.15">
      <c r="A186" s="33" t="s">
        <v>23</v>
      </c>
      <c r="B186" s="33" t="s">
        <v>12</v>
      </c>
      <c r="H186" s="6">
        <v>0</v>
      </c>
      <c r="I186" s="6">
        <v>0</v>
      </c>
      <c r="J186" s="6">
        <v>0</v>
      </c>
    </row>
    <row r="187" spans="1:10" ht="13" x14ac:dyDescent="0.15">
      <c r="A187" s="33" t="s">
        <v>67</v>
      </c>
      <c r="B187" s="33" t="s">
        <v>18</v>
      </c>
      <c r="H187" s="6">
        <v>0</v>
      </c>
      <c r="I187" s="6">
        <v>0</v>
      </c>
      <c r="J187" s="6">
        <v>0</v>
      </c>
    </row>
    <row r="188" spans="1:10" ht="13" x14ac:dyDescent="0.15">
      <c r="A188" s="33" t="s">
        <v>136</v>
      </c>
      <c r="B188" s="33" t="s">
        <v>30</v>
      </c>
      <c r="H188" s="6">
        <v>0</v>
      </c>
      <c r="I188" s="6">
        <v>0</v>
      </c>
      <c r="J188" s="6">
        <v>0</v>
      </c>
    </row>
    <row r="189" spans="1:10" ht="13" x14ac:dyDescent="0.15">
      <c r="A189" s="33" t="s">
        <v>30</v>
      </c>
      <c r="B189" s="33" t="s">
        <v>83</v>
      </c>
      <c r="H189" s="6">
        <v>0</v>
      </c>
      <c r="I189" s="6">
        <v>0</v>
      </c>
      <c r="J189" s="6">
        <v>0</v>
      </c>
    </row>
    <row r="190" spans="1:10" ht="13" x14ac:dyDescent="0.15">
      <c r="A190" s="33" t="s">
        <v>23</v>
      </c>
      <c r="B190" s="33" t="s">
        <v>23</v>
      </c>
      <c r="H190" s="6">
        <v>0</v>
      </c>
      <c r="I190" s="6">
        <v>0</v>
      </c>
      <c r="J190" s="6">
        <v>0</v>
      </c>
    </row>
    <row r="191" spans="1:10" ht="13" x14ac:dyDescent="0.15">
      <c r="A191" s="33" t="s">
        <v>136</v>
      </c>
      <c r="B191" s="33" t="s">
        <v>83</v>
      </c>
      <c r="H191" s="6">
        <v>0</v>
      </c>
      <c r="I191" s="6">
        <v>0</v>
      </c>
      <c r="J191" s="6">
        <v>0</v>
      </c>
    </row>
    <row r="192" spans="1:10" ht="13" x14ac:dyDescent="0.15">
      <c r="A192" s="33" t="s">
        <v>30</v>
      </c>
      <c r="B192" s="33" t="s">
        <v>30</v>
      </c>
      <c r="H192" s="6">
        <v>0</v>
      </c>
      <c r="I192" s="6">
        <v>0</v>
      </c>
      <c r="J192" s="6">
        <v>0</v>
      </c>
    </row>
    <row r="193" spans="1:10" ht="13" x14ac:dyDescent="0.15">
      <c r="A193" s="33" t="s">
        <v>88</v>
      </c>
      <c r="B193" s="33" t="s">
        <v>88</v>
      </c>
      <c r="H193" s="6">
        <v>0</v>
      </c>
      <c r="I193" s="6">
        <v>0</v>
      </c>
      <c r="J193" s="6">
        <v>0</v>
      </c>
    </row>
    <row r="194" spans="1:10" ht="13" x14ac:dyDescent="0.15">
      <c r="A194" s="33" t="s">
        <v>77</v>
      </c>
      <c r="B194" s="33" t="s">
        <v>23</v>
      </c>
      <c r="H194" s="6">
        <v>0</v>
      </c>
      <c r="I194" s="6">
        <v>0</v>
      </c>
      <c r="J194" s="6">
        <v>0</v>
      </c>
    </row>
    <row r="195" spans="1:10" ht="13" x14ac:dyDescent="0.15">
      <c r="A195" s="33" t="s">
        <v>219</v>
      </c>
      <c r="B195" s="33" t="s">
        <v>30</v>
      </c>
      <c r="H195" s="6">
        <v>0</v>
      </c>
      <c r="I195" s="6">
        <v>0</v>
      </c>
      <c r="J195" s="6">
        <v>0</v>
      </c>
    </row>
    <row r="196" spans="1:10" ht="13" x14ac:dyDescent="0.15">
      <c r="A196" s="33" t="s">
        <v>136</v>
      </c>
      <c r="B196" s="33" t="s">
        <v>136</v>
      </c>
      <c r="H196" s="6">
        <v>0</v>
      </c>
      <c r="I196" s="6">
        <v>0</v>
      </c>
      <c r="J196" s="6">
        <v>0</v>
      </c>
    </row>
    <row r="197" spans="1:10" ht="13" x14ac:dyDescent="0.15">
      <c r="A197" s="33" t="s">
        <v>67</v>
      </c>
      <c r="B197" s="33" t="s">
        <v>115</v>
      </c>
      <c r="H197" s="6">
        <v>0</v>
      </c>
      <c r="I197" s="6">
        <v>0</v>
      </c>
      <c r="J197" s="6">
        <v>0</v>
      </c>
    </row>
    <row r="198" spans="1:10" ht="13" x14ac:dyDescent="0.15">
      <c r="A198" s="33" t="s">
        <v>30</v>
      </c>
      <c r="B198" s="33" t="s">
        <v>30</v>
      </c>
      <c r="H198" s="6">
        <v>0</v>
      </c>
      <c r="I198" s="6">
        <v>0</v>
      </c>
      <c r="J198" s="6">
        <v>0</v>
      </c>
    </row>
    <row r="199" spans="1:10" ht="13" x14ac:dyDescent="0.15">
      <c r="A199" s="33" t="s">
        <v>115</v>
      </c>
      <c r="B199" s="33" t="s">
        <v>30</v>
      </c>
      <c r="H199" s="6">
        <v>0</v>
      </c>
      <c r="I199" s="6">
        <v>0</v>
      </c>
      <c r="J199" s="6">
        <v>0</v>
      </c>
    </row>
    <row r="200" spans="1:10" ht="13" x14ac:dyDescent="0.15">
      <c r="A200" s="33" t="s">
        <v>88</v>
      </c>
      <c r="B200" s="33" t="s">
        <v>88</v>
      </c>
      <c r="H200" s="6">
        <v>0</v>
      </c>
      <c r="I200" s="6">
        <v>0</v>
      </c>
      <c r="J200" s="6">
        <v>0</v>
      </c>
    </row>
    <row r="201" spans="1:10" ht="13" x14ac:dyDescent="0.15">
      <c r="A201" s="33" t="s">
        <v>136</v>
      </c>
      <c r="B201" s="33" t="s">
        <v>136</v>
      </c>
      <c r="H201" s="6">
        <v>0</v>
      </c>
      <c r="I201" s="6">
        <v>0</v>
      </c>
      <c r="J201" s="6">
        <v>0</v>
      </c>
    </row>
    <row r="202" spans="1:10" ht="13" x14ac:dyDescent="0.15">
      <c r="A202" s="33" t="s">
        <v>83</v>
      </c>
      <c r="B202" s="33" t="s">
        <v>30</v>
      </c>
      <c r="H202" s="6">
        <v>0</v>
      </c>
      <c r="I202" s="6">
        <v>0</v>
      </c>
      <c r="J202" s="6">
        <v>0</v>
      </c>
    </row>
    <row r="203" spans="1:10" ht="13" x14ac:dyDescent="0.15">
      <c r="A203" s="33" t="s">
        <v>23</v>
      </c>
      <c r="B203" s="33" t="s">
        <v>23</v>
      </c>
      <c r="H203" s="6">
        <v>0</v>
      </c>
      <c r="I203" s="6">
        <v>0</v>
      </c>
      <c r="J203" s="6">
        <v>0</v>
      </c>
    </row>
    <row r="204" spans="1:10" ht="13" x14ac:dyDescent="0.15">
      <c r="A204" s="33" t="s">
        <v>115</v>
      </c>
      <c r="B204" s="33" t="s">
        <v>115</v>
      </c>
      <c r="H204" s="6">
        <v>0</v>
      </c>
      <c r="I204" s="6">
        <v>0</v>
      </c>
      <c r="J204" s="6">
        <v>0</v>
      </c>
    </row>
    <row r="205" spans="1:10" ht="13" x14ac:dyDescent="0.15">
      <c r="A205" s="33" t="s">
        <v>30</v>
      </c>
      <c r="B205" s="33" t="s">
        <v>30</v>
      </c>
      <c r="H205" s="6">
        <v>0</v>
      </c>
      <c r="I205" s="6">
        <v>0</v>
      </c>
      <c r="J205" s="6">
        <v>0</v>
      </c>
    </row>
    <row r="206" spans="1:10" ht="13" x14ac:dyDescent="0.15">
      <c r="A206" s="33" t="s">
        <v>67</v>
      </c>
      <c r="B206" s="33" t="s">
        <v>23</v>
      </c>
      <c r="H206" s="6">
        <v>0</v>
      </c>
      <c r="I206" s="6">
        <v>0</v>
      </c>
      <c r="J206" s="6">
        <v>0</v>
      </c>
    </row>
    <row r="207" spans="1:10" ht="13" x14ac:dyDescent="0.15">
      <c r="A207" s="33" t="s">
        <v>88</v>
      </c>
      <c r="B207" s="33" t="s">
        <v>88</v>
      </c>
      <c r="H207" s="6">
        <v>0</v>
      </c>
      <c r="I207" s="6">
        <v>0</v>
      </c>
      <c r="J207" s="6">
        <v>0</v>
      </c>
    </row>
    <row r="208" spans="1:10" ht="13" x14ac:dyDescent="0.15">
      <c r="A208" s="33" t="s">
        <v>30</v>
      </c>
      <c r="B208" s="33" t="s">
        <v>30</v>
      </c>
      <c r="H208" s="6">
        <v>0</v>
      </c>
      <c r="I208" s="6">
        <v>0</v>
      </c>
      <c r="J208" s="6">
        <v>0</v>
      </c>
    </row>
    <row r="209" spans="1:10" ht="13" x14ac:dyDescent="0.15">
      <c r="A209" s="33" t="s">
        <v>88</v>
      </c>
      <c r="B209" s="33" t="s">
        <v>30</v>
      </c>
      <c r="H209" s="6">
        <v>0</v>
      </c>
      <c r="I209" s="6">
        <v>0</v>
      </c>
      <c r="J209" s="6">
        <v>0</v>
      </c>
    </row>
    <row r="210" spans="1:10" ht="13" x14ac:dyDescent="0.15">
      <c r="A210" s="33" t="s">
        <v>88</v>
      </c>
      <c r="B210" s="33" t="s">
        <v>88</v>
      </c>
      <c r="H210" s="6">
        <v>0</v>
      </c>
      <c r="I210" s="6">
        <v>0</v>
      </c>
      <c r="J210" s="6">
        <v>0</v>
      </c>
    </row>
    <row r="211" spans="1:10" ht="13" x14ac:dyDescent="0.15">
      <c r="A211" s="33" t="s">
        <v>77</v>
      </c>
      <c r="B211" s="33" t="s">
        <v>77</v>
      </c>
      <c r="H211" s="6">
        <v>0</v>
      </c>
      <c r="I211" s="6">
        <v>0</v>
      </c>
      <c r="J211" s="6">
        <v>0</v>
      </c>
    </row>
    <row r="212" spans="1:10" ht="13" x14ac:dyDescent="0.15">
      <c r="A212" s="33" t="s">
        <v>136</v>
      </c>
      <c r="B212" s="33" t="s">
        <v>30</v>
      </c>
      <c r="H212" s="6">
        <v>0</v>
      </c>
      <c r="I212" s="6">
        <v>0</v>
      </c>
      <c r="J212" s="6">
        <v>0</v>
      </c>
    </row>
    <row r="213" spans="1:10" ht="13" x14ac:dyDescent="0.15">
      <c r="A213" s="33" t="s">
        <v>30</v>
      </c>
      <c r="B213" s="33" t="s">
        <v>30</v>
      </c>
      <c r="H213" s="6">
        <v>0</v>
      </c>
      <c r="I213" s="6">
        <v>0</v>
      </c>
      <c r="J213" s="6">
        <v>0</v>
      </c>
    </row>
    <row r="214" spans="1:10" ht="13" x14ac:dyDescent="0.15">
      <c r="A214" s="33" t="s">
        <v>83</v>
      </c>
      <c r="B214" s="33" t="s">
        <v>83</v>
      </c>
      <c r="H214" s="6">
        <v>0</v>
      </c>
      <c r="I214" s="6">
        <v>0</v>
      </c>
      <c r="J214" s="6">
        <v>0</v>
      </c>
    </row>
    <row r="215" spans="1:10" ht="13" x14ac:dyDescent="0.15">
      <c r="A215" s="33" t="s">
        <v>30</v>
      </c>
      <c r="B215" s="33" t="s">
        <v>30</v>
      </c>
      <c r="H215" s="6">
        <v>0</v>
      </c>
      <c r="I215" s="6">
        <v>0</v>
      </c>
      <c r="J215" s="6">
        <v>0</v>
      </c>
    </row>
    <row r="216" spans="1:10" ht="13" x14ac:dyDescent="0.15">
      <c r="A216" s="33" t="s">
        <v>115</v>
      </c>
      <c r="B216" s="33" t="s">
        <v>30</v>
      </c>
      <c r="H216" s="6">
        <v>0</v>
      </c>
      <c r="I216" s="6">
        <v>0</v>
      </c>
      <c r="J216" s="6">
        <v>0</v>
      </c>
    </row>
    <row r="217" spans="1:10" ht="13" x14ac:dyDescent="0.15">
      <c r="A217" s="33" t="s">
        <v>136</v>
      </c>
      <c r="B217" s="33" t="s">
        <v>136</v>
      </c>
      <c r="H217" s="6">
        <v>0</v>
      </c>
      <c r="I217" s="6">
        <v>0</v>
      </c>
      <c r="J217" s="6">
        <v>0</v>
      </c>
    </row>
    <row r="218" spans="1:10" ht="13" x14ac:dyDescent="0.15">
      <c r="A218" s="33" t="s">
        <v>30</v>
      </c>
      <c r="B218" s="33" t="s">
        <v>30</v>
      </c>
      <c r="H218" s="6">
        <v>0</v>
      </c>
      <c r="I218" s="6">
        <v>0</v>
      </c>
      <c r="J218" s="6">
        <v>0</v>
      </c>
    </row>
    <row r="219" spans="1:10" ht="13" x14ac:dyDescent="0.15">
      <c r="A219" s="33" t="s">
        <v>18</v>
      </c>
      <c r="B219" s="33" t="s">
        <v>3239</v>
      </c>
      <c r="H219" s="6">
        <v>0</v>
      </c>
      <c r="I219" s="6">
        <v>0</v>
      </c>
      <c r="J219" s="6">
        <v>0</v>
      </c>
    </row>
    <row r="220" spans="1:10" ht="13" x14ac:dyDescent="0.15">
      <c r="A220" s="33" t="s">
        <v>30</v>
      </c>
      <c r="B220" s="33" t="s">
        <v>30</v>
      </c>
      <c r="H220" s="6">
        <v>0</v>
      </c>
      <c r="I220" s="6">
        <v>0</v>
      </c>
      <c r="J220" s="6">
        <v>0</v>
      </c>
    </row>
    <row r="221" spans="1:10" ht="13" x14ac:dyDescent="0.15">
      <c r="A221" s="33" t="s">
        <v>30</v>
      </c>
      <c r="B221" s="33" t="s">
        <v>30</v>
      </c>
      <c r="H221" s="6">
        <v>0</v>
      </c>
      <c r="I221" s="6">
        <v>0</v>
      </c>
      <c r="J221" s="6">
        <v>0</v>
      </c>
    </row>
    <row r="222" spans="1:10" ht="13" x14ac:dyDescent="0.15">
      <c r="A222" s="33" t="s">
        <v>30</v>
      </c>
      <c r="B222" s="33" t="s">
        <v>67</v>
      </c>
      <c r="H222" s="6">
        <v>0</v>
      </c>
      <c r="I222" s="6">
        <v>0</v>
      </c>
      <c r="J222" s="6">
        <v>0</v>
      </c>
    </row>
    <row r="223" spans="1:10" ht="13" x14ac:dyDescent="0.15">
      <c r="A223" s="33" t="s">
        <v>18</v>
      </c>
      <c r="B223" s="33" t="s">
        <v>18</v>
      </c>
      <c r="H223" s="6">
        <v>0</v>
      </c>
      <c r="I223" s="6">
        <v>0</v>
      </c>
      <c r="J223" s="6">
        <v>0</v>
      </c>
    </row>
    <row r="224" spans="1:10" ht="13" x14ac:dyDescent="0.15">
      <c r="A224" s="33" t="s">
        <v>30</v>
      </c>
      <c r="B224" s="33" t="s">
        <v>30</v>
      </c>
      <c r="H224" s="6">
        <v>0</v>
      </c>
      <c r="I224" s="6">
        <v>0</v>
      </c>
      <c r="J224" s="6">
        <v>0</v>
      </c>
    </row>
    <row r="225" spans="1:10" ht="13" x14ac:dyDescent="0.15">
      <c r="A225" s="33" t="s">
        <v>12</v>
      </c>
      <c r="B225" s="33" t="s">
        <v>12</v>
      </c>
      <c r="H225" s="6">
        <v>0</v>
      </c>
      <c r="I225" s="6">
        <v>0</v>
      </c>
      <c r="J225" s="6">
        <v>0</v>
      </c>
    </row>
    <row r="226" spans="1:10" ht="13" x14ac:dyDescent="0.15">
      <c r="A226" s="33" t="s">
        <v>30</v>
      </c>
      <c r="B226" s="33" t="s">
        <v>30</v>
      </c>
      <c r="H226" s="6">
        <v>0</v>
      </c>
      <c r="I226" s="6">
        <v>0</v>
      </c>
      <c r="J226" s="6">
        <v>0</v>
      </c>
    </row>
    <row r="227" spans="1:10" ht="13" x14ac:dyDescent="0.15">
      <c r="A227" s="33" t="s">
        <v>136</v>
      </c>
      <c r="B227" s="33" t="s">
        <v>136</v>
      </c>
      <c r="H227" s="6">
        <v>0</v>
      </c>
      <c r="I227" s="6">
        <v>0</v>
      </c>
      <c r="J227" s="6">
        <v>0</v>
      </c>
    </row>
    <row r="228" spans="1:10" ht="13" x14ac:dyDescent="0.15">
      <c r="A228" s="33" t="s">
        <v>18</v>
      </c>
      <c r="B228" s="33" t="s">
        <v>88</v>
      </c>
      <c r="H228" s="6">
        <v>0</v>
      </c>
      <c r="I228" s="6">
        <v>0</v>
      </c>
      <c r="J228" s="6">
        <v>0</v>
      </c>
    </row>
    <row r="229" spans="1:10" ht="13" x14ac:dyDescent="0.15">
      <c r="A229" s="33" t="s">
        <v>67</v>
      </c>
      <c r="B229" s="33" t="s">
        <v>18</v>
      </c>
      <c r="H229" s="6">
        <v>0</v>
      </c>
      <c r="I229" s="6">
        <v>0</v>
      </c>
      <c r="J229" s="6">
        <v>0</v>
      </c>
    </row>
    <row r="230" spans="1:10" ht="13" x14ac:dyDescent="0.15">
      <c r="A230" s="33" t="s">
        <v>12</v>
      </c>
      <c r="B230" s="33" t="s">
        <v>12</v>
      </c>
      <c r="H230" s="6">
        <v>0</v>
      </c>
      <c r="I230" s="6">
        <v>0</v>
      </c>
      <c r="J230" s="6">
        <v>0</v>
      </c>
    </row>
    <row r="231" spans="1:10" ht="13" x14ac:dyDescent="0.15">
      <c r="A231" s="33" t="s">
        <v>18</v>
      </c>
      <c r="B231" s="33" t="s">
        <v>18</v>
      </c>
      <c r="H231" s="6">
        <v>0</v>
      </c>
      <c r="I231" s="6">
        <v>0</v>
      </c>
      <c r="J231" s="6">
        <v>0</v>
      </c>
    </row>
    <row r="232" spans="1:10" ht="13" x14ac:dyDescent="0.15">
      <c r="A232" s="33" t="s">
        <v>136</v>
      </c>
      <c r="B232" s="33" t="s">
        <v>18</v>
      </c>
      <c r="H232" s="6">
        <v>0</v>
      </c>
      <c r="I232" s="6">
        <v>0</v>
      </c>
      <c r="J232" s="6">
        <v>0</v>
      </c>
    </row>
    <row r="233" spans="1:10" ht="13" x14ac:dyDescent="0.15">
      <c r="A233" s="33" t="s">
        <v>12</v>
      </c>
      <c r="B233" s="33" t="s">
        <v>12</v>
      </c>
      <c r="H233" s="6">
        <v>0</v>
      </c>
      <c r="I233" s="6">
        <v>0</v>
      </c>
      <c r="J233" s="6">
        <v>0</v>
      </c>
    </row>
    <row r="234" spans="1:10" ht="13" x14ac:dyDescent="0.15">
      <c r="A234" s="33" t="s">
        <v>88</v>
      </c>
      <c r="B234" s="33" t="s">
        <v>88</v>
      </c>
      <c r="H234" s="6">
        <v>0</v>
      </c>
      <c r="I234" s="6">
        <v>0</v>
      </c>
      <c r="J234" s="6">
        <v>0</v>
      </c>
    </row>
    <row r="235" spans="1:10" ht="13" x14ac:dyDescent="0.15">
      <c r="A235" s="33" t="s">
        <v>12</v>
      </c>
      <c r="B235" s="33" t="s">
        <v>12</v>
      </c>
      <c r="H235" s="6">
        <v>0</v>
      </c>
      <c r="I235" s="6">
        <v>0</v>
      </c>
      <c r="J235" s="6">
        <v>0</v>
      </c>
    </row>
    <row r="236" spans="1:10" ht="13" x14ac:dyDescent="0.15">
      <c r="A236" s="33" t="s">
        <v>18</v>
      </c>
      <c r="B236" s="33" t="s">
        <v>18</v>
      </c>
      <c r="H236" s="6">
        <v>0</v>
      </c>
      <c r="I236" s="6">
        <v>0</v>
      </c>
      <c r="J236" s="6">
        <v>0</v>
      </c>
    </row>
    <row r="237" spans="1:10" ht="13" x14ac:dyDescent="0.15">
      <c r="A237" s="33" t="s">
        <v>18</v>
      </c>
      <c r="B237" s="33" t="s">
        <v>18</v>
      </c>
      <c r="H237" s="6">
        <v>0</v>
      </c>
      <c r="I237" s="6">
        <v>0</v>
      </c>
      <c r="J237" s="6">
        <v>0</v>
      </c>
    </row>
    <row r="238" spans="1:10" ht="13" x14ac:dyDescent="0.15">
      <c r="A238" s="33" t="s">
        <v>30</v>
      </c>
      <c r="B238" s="33" t="s">
        <v>30</v>
      </c>
      <c r="H238" s="6">
        <v>0</v>
      </c>
      <c r="I238" s="6">
        <v>0</v>
      </c>
      <c r="J238" s="6">
        <v>0</v>
      </c>
    </row>
    <row r="239" spans="1:10" ht="13" x14ac:dyDescent="0.15">
      <c r="A239" s="33" t="s">
        <v>18</v>
      </c>
      <c r="B239" s="33" t="s">
        <v>18</v>
      </c>
      <c r="H239" s="6">
        <v>0</v>
      </c>
      <c r="I239" s="6">
        <v>0</v>
      </c>
      <c r="J239" s="6">
        <v>0</v>
      </c>
    </row>
    <row r="240" spans="1:10" ht="13" x14ac:dyDescent="0.15">
      <c r="A240" s="33" t="s">
        <v>136</v>
      </c>
      <c r="B240" s="33" t="s">
        <v>18</v>
      </c>
      <c r="H240" s="6">
        <v>0</v>
      </c>
      <c r="I240" s="6">
        <v>0</v>
      </c>
      <c r="J240" s="6">
        <v>0</v>
      </c>
    </row>
    <row r="241" spans="1:10" ht="13" x14ac:dyDescent="0.15">
      <c r="A241" s="33" t="s">
        <v>23</v>
      </c>
      <c r="B241" s="33" t="s">
        <v>18</v>
      </c>
      <c r="H241" s="6">
        <v>0</v>
      </c>
      <c r="I241" s="6">
        <v>0</v>
      </c>
      <c r="J241" s="6">
        <v>0</v>
      </c>
    </row>
    <row r="242" spans="1:10" ht="13" x14ac:dyDescent="0.15">
      <c r="A242" s="33" t="s">
        <v>67</v>
      </c>
      <c r="B242" s="33" t="s">
        <v>18</v>
      </c>
      <c r="H242" s="6">
        <v>0</v>
      </c>
      <c r="I242" s="6">
        <v>0</v>
      </c>
      <c r="J242" s="6">
        <v>0</v>
      </c>
    </row>
    <row r="243" spans="1:10" ht="13" x14ac:dyDescent="0.15">
      <c r="A243" s="33" t="s">
        <v>23</v>
      </c>
      <c r="B243" s="33" t="s">
        <v>18</v>
      </c>
      <c r="H243" s="6">
        <v>0</v>
      </c>
      <c r="I243" s="6">
        <v>0</v>
      </c>
      <c r="J243" s="6">
        <v>0</v>
      </c>
    </row>
    <row r="244" spans="1:10" ht="13" x14ac:dyDescent="0.15">
      <c r="A244" s="33" t="s">
        <v>30</v>
      </c>
      <c r="B244" s="33" t="s">
        <v>18</v>
      </c>
      <c r="H244" s="6">
        <v>0</v>
      </c>
      <c r="I244" s="6">
        <v>0</v>
      </c>
      <c r="J244" s="6">
        <v>0</v>
      </c>
    </row>
    <row r="245" spans="1:10" ht="13" x14ac:dyDescent="0.15">
      <c r="A245" s="33" t="s">
        <v>23</v>
      </c>
      <c r="B245" s="33" t="s">
        <v>18</v>
      </c>
      <c r="H245" s="6">
        <v>0</v>
      </c>
      <c r="I245" s="6">
        <v>0</v>
      </c>
      <c r="J245" s="6">
        <v>0</v>
      </c>
    </row>
    <row r="246" spans="1:10" ht="13" x14ac:dyDescent="0.15">
      <c r="A246" s="33" t="s">
        <v>30</v>
      </c>
      <c r="B246" s="33" t="s">
        <v>18</v>
      </c>
      <c r="H246" s="6">
        <v>0</v>
      </c>
      <c r="I246" s="6">
        <v>0</v>
      </c>
      <c r="J246" s="6">
        <v>0</v>
      </c>
    </row>
    <row r="247" spans="1:10" ht="13" x14ac:dyDescent="0.15">
      <c r="A247" s="33" t="s">
        <v>23</v>
      </c>
      <c r="B247" s="33" t="s">
        <v>23</v>
      </c>
      <c r="H247" s="6">
        <v>0</v>
      </c>
      <c r="I247" s="6">
        <v>0</v>
      </c>
      <c r="J247" s="6">
        <v>0</v>
      </c>
    </row>
    <row r="248" spans="1:10" ht="13" x14ac:dyDescent="0.15">
      <c r="A248" s="33" t="s">
        <v>30</v>
      </c>
      <c r="B248" s="33" t="s">
        <v>30</v>
      </c>
      <c r="H248" s="6">
        <v>0</v>
      </c>
      <c r="I248" s="6">
        <v>0</v>
      </c>
      <c r="J248" s="6">
        <v>0</v>
      </c>
    </row>
    <row r="249" spans="1:10" ht="13" x14ac:dyDescent="0.15">
      <c r="A249" s="33" t="s">
        <v>30</v>
      </c>
      <c r="B249" s="33" t="s">
        <v>30</v>
      </c>
      <c r="H249" s="6">
        <v>0</v>
      </c>
      <c r="I249" s="6">
        <v>0</v>
      </c>
      <c r="J249" s="6">
        <v>0</v>
      </c>
    </row>
    <row r="250" spans="1:10" ht="13" x14ac:dyDescent="0.15">
      <c r="A250" s="33" t="s">
        <v>30</v>
      </c>
      <c r="B250" s="33" t="s">
        <v>18</v>
      </c>
      <c r="H250" s="6">
        <v>0</v>
      </c>
      <c r="I250" s="6">
        <v>0</v>
      </c>
      <c r="J250" s="6">
        <v>0</v>
      </c>
    </row>
    <row r="251" spans="1:10" ht="13" x14ac:dyDescent="0.15">
      <c r="A251" s="33" t="s">
        <v>77</v>
      </c>
      <c r="B251" s="33" t="s">
        <v>30</v>
      </c>
      <c r="H251" s="6">
        <v>0</v>
      </c>
      <c r="I251" s="6">
        <v>0</v>
      </c>
      <c r="J251" s="6">
        <v>0</v>
      </c>
    </row>
    <row r="252" spans="1:10" ht="13" x14ac:dyDescent="0.15">
      <c r="A252" s="33" t="s">
        <v>23</v>
      </c>
      <c r="B252" s="33" t="s">
        <v>18</v>
      </c>
      <c r="H252" s="6">
        <v>0</v>
      </c>
      <c r="I252" s="6">
        <v>0</v>
      </c>
      <c r="J252" s="6">
        <v>0</v>
      </c>
    </row>
    <row r="253" spans="1:10" ht="13" x14ac:dyDescent="0.15">
      <c r="A253" s="33" t="s">
        <v>23</v>
      </c>
      <c r="B253" s="33" t="s">
        <v>18</v>
      </c>
      <c r="H253" s="6">
        <v>0</v>
      </c>
      <c r="I253" s="6">
        <v>0</v>
      </c>
      <c r="J253" s="6">
        <v>0</v>
      </c>
    </row>
    <row r="254" spans="1:10" ht="13" x14ac:dyDescent="0.15">
      <c r="A254" s="33" t="s">
        <v>136</v>
      </c>
      <c r="B254" s="33" t="s">
        <v>136</v>
      </c>
      <c r="H254" s="6">
        <v>0</v>
      </c>
      <c r="I254" s="6">
        <v>0</v>
      </c>
      <c r="J254" s="6">
        <v>0</v>
      </c>
    </row>
    <row r="255" spans="1:10" ht="13" x14ac:dyDescent="0.15">
      <c r="A255" s="33" t="s">
        <v>30</v>
      </c>
      <c r="B255" s="33" t="s">
        <v>30</v>
      </c>
      <c r="H255" s="6">
        <v>0</v>
      </c>
      <c r="I255" s="6">
        <v>0</v>
      </c>
      <c r="J255" s="6">
        <v>0</v>
      </c>
    </row>
    <row r="256" spans="1:10" ht="13" x14ac:dyDescent="0.15">
      <c r="A256" s="33" t="s">
        <v>23</v>
      </c>
      <c r="B256" s="33" t="s">
        <v>30</v>
      </c>
      <c r="H256" s="6">
        <v>0</v>
      </c>
      <c r="I256" s="6">
        <v>0</v>
      </c>
      <c r="J256" s="6">
        <v>0</v>
      </c>
    </row>
    <row r="257" spans="1:10" ht="13" x14ac:dyDescent="0.15">
      <c r="A257" s="33" t="s">
        <v>115</v>
      </c>
      <c r="B257" s="33" t="s">
        <v>30</v>
      </c>
      <c r="H257" s="6">
        <v>0</v>
      </c>
      <c r="I257" s="6">
        <v>0</v>
      </c>
      <c r="J257" s="6">
        <v>0</v>
      </c>
    </row>
    <row r="258" spans="1:10" ht="13" x14ac:dyDescent="0.15">
      <c r="A258" s="33" t="s">
        <v>115</v>
      </c>
      <c r="B258" s="33" t="s">
        <v>30</v>
      </c>
      <c r="H258" s="6">
        <v>0</v>
      </c>
      <c r="I258" s="6">
        <v>0</v>
      </c>
      <c r="J258" s="6">
        <v>0</v>
      </c>
    </row>
    <row r="259" spans="1:10" ht="13" x14ac:dyDescent="0.15">
      <c r="A259" s="33" t="s">
        <v>83</v>
      </c>
      <c r="B259" s="33" t="s">
        <v>83</v>
      </c>
      <c r="H259" s="6">
        <v>0</v>
      </c>
      <c r="I259" s="6">
        <v>0</v>
      </c>
      <c r="J259" s="6">
        <v>0</v>
      </c>
    </row>
    <row r="260" spans="1:10" ht="13" x14ac:dyDescent="0.15">
      <c r="A260" s="33" t="s">
        <v>115</v>
      </c>
      <c r="B260" s="33" t="s">
        <v>30</v>
      </c>
      <c r="H260" s="6">
        <v>0</v>
      </c>
      <c r="I260" s="6">
        <v>0</v>
      </c>
      <c r="J260" s="6">
        <v>0</v>
      </c>
    </row>
    <row r="261" spans="1:10" ht="13" x14ac:dyDescent="0.15">
      <c r="A261" s="33" t="s">
        <v>30</v>
      </c>
      <c r="B261" s="33" t="s">
        <v>18</v>
      </c>
      <c r="H261" s="6">
        <v>0</v>
      </c>
      <c r="I261" s="6">
        <v>0</v>
      </c>
      <c r="J261" s="6">
        <v>0</v>
      </c>
    </row>
    <row r="262" spans="1:10" ht="13" x14ac:dyDescent="0.15">
      <c r="A262" s="33" t="s">
        <v>30</v>
      </c>
      <c r="B262" s="33" t="s">
        <v>219</v>
      </c>
      <c r="H262" s="6">
        <v>0</v>
      </c>
      <c r="I262" s="6">
        <v>0</v>
      </c>
      <c r="J262" s="6">
        <v>0</v>
      </c>
    </row>
    <row r="263" spans="1:10" ht="13" x14ac:dyDescent="0.15">
      <c r="A263" s="33" t="s">
        <v>30</v>
      </c>
      <c r="B263" s="33" t="s">
        <v>136</v>
      </c>
      <c r="H263" s="6">
        <v>0</v>
      </c>
      <c r="I263" s="6">
        <v>0</v>
      </c>
      <c r="J263" s="6">
        <v>0</v>
      </c>
    </row>
    <row r="264" spans="1:10" ht="13" x14ac:dyDescent="0.15">
      <c r="A264" s="33" t="s">
        <v>67</v>
      </c>
      <c r="B264" s="33" t="s">
        <v>77</v>
      </c>
      <c r="H264" s="6">
        <v>0</v>
      </c>
      <c r="I264" s="6">
        <v>0</v>
      </c>
      <c r="J264" s="6">
        <v>0</v>
      </c>
    </row>
    <row r="265" spans="1:10" ht="13" x14ac:dyDescent="0.15">
      <c r="A265" s="33" t="s">
        <v>12</v>
      </c>
      <c r="B265" s="33" t="s">
        <v>88</v>
      </c>
      <c r="H265" s="6">
        <v>0</v>
      </c>
      <c r="I265" s="6">
        <v>0</v>
      </c>
      <c r="J265" s="6">
        <v>0</v>
      </c>
    </row>
    <row r="266" spans="1:10" ht="13" x14ac:dyDescent="0.15">
      <c r="A266" s="33" t="s">
        <v>18</v>
      </c>
      <c r="B266" s="33" t="s">
        <v>18</v>
      </c>
      <c r="H266" s="6">
        <v>0</v>
      </c>
      <c r="I266" s="6">
        <v>0</v>
      </c>
      <c r="J266" s="6">
        <v>0</v>
      </c>
    </row>
    <row r="267" spans="1:10" ht="13" x14ac:dyDescent="0.15">
      <c r="A267" s="33" t="s">
        <v>23</v>
      </c>
      <c r="B267" s="33" t="s">
        <v>23</v>
      </c>
      <c r="H267" s="6">
        <v>0</v>
      </c>
      <c r="I267" s="6">
        <v>0</v>
      </c>
      <c r="J267" s="6">
        <v>0</v>
      </c>
    </row>
    <row r="268" spans="1:10" ht="13" x14ac:dyDescent="0.15">
      <c r="A268" s="33" t="s">
        <v>30</v>
      </c>
      <c r="B268" s="33" t="s">
        <v>30</v>
      </c>
      <c r="H268" s="6">
        <v>0</v>
      </c>
      <c r="I268" s="6">
        <v>0</v>
      </c>
      <c r="J268" s="6">
        <v>0</v>
      </c>
    </row>
    <row r="269" spans="1:10" ht="13" x14ac:dyDescent="0.15">
      <c r="A269" s="33" t="s">
        <v>18</v>
      </c>
      <c r="B269" s="33" t="s">
        <v>18</v>
      </c>
      <c r="H269" s="6">
        <v>0</v>
      </c>
      <c r="I269" s="6">
        <v>0</v>
      </c>
      <c r="J269" s="6">
        <v>0</v>
      </c>
    </row>
    <row r="270" spans="1:10" ht="13" x14ac:dyDescent="0.15">
      <c r="A270" s="33" t="s">
        <v>18</v>
      </c>
      <c r="B270" s="33" t="s">
        <v>3239</v>
      </c>
      <c r="H270" s="6">
        <v>0</v>
      </c>
      <c r="I270" s="6">
        <v>0</v>
      </c>
      <c r="J270" s="6">
        <v>0</v>
      </c>
    </row>
    <row r="271" spans="1:10" ht="13" x14ac:dyDescent="0.15">
      <c r="A271" s="33" t="s">
        <v>18</v>
      </c>
      <c r="B271" s="33" t="s">
        <v>88</v>
      </c>
      <c r="H271" s="6">
        <v>0</v>
      </c>
      <c r="I271" s="6">
        <v>0</v>
      </c>
      <c r="J271" s="6">
        <v>0</v>
      </c>
    </row>
    <row r="272" spans="1:10" ht="13" x14ac:dyDescent="0.15">
      <c r="A272" s="33" t="s">
        <v>77</v>
      </c>
      <c r="B272" s="33" t="s">
        <v>77</v>
      </c>
      <c r="H272" s="6">
        <v>0</v>
      </c>
      <c r="I272" s="6">
        <v>0</v>
      </c>
      <c r="J272" s="6">
        <v>0</v>
      </c>
    </row>
    <row r="273" spans="1:10" ht="13" x14ac:dyDescent="0.15">
      <c r="A273" s="33" t="s">
        <v>77</v>
      </c>
      <c r="B273" s="33" t="s">
        <v>77</v>
      </c>
      <c r="H273" s="6">
        <v>0</v>
      </c>
      <c r="I273" s="6">
        <v>0</v>
      </c>
      <c r="J273" s="6">
        <v>0</v>
      </c>
    </row>
    <row r="274" spans="1:10" ht="13" x14ac:dyDescent="0.15">
      <c r="A274" s="33" t="s">
        <v>12</v>
      </c>
      <c r="B274" s="33" t="s">
        <v>12</v>
      </c>
      <c r="H274" s="6">
        <v>0</v>
      </c>
      <c r="I274" s="6">
        <v>0</v>
      </c>
      <c r="J274" s="6">
        <v>0</v>
      </c>
    </row>
    <row r="275" spans="1:10" ht="13" x14ac:dyDescent="0.15">
      <c r="A275" s="33" t="s">
        <v>77</v>
      </c>
      <c r="B275" s="33" t="s">
        <v>77</v>
      </c>
      <c r="H275" s="6">
        <v>0</v>
      </c>
      <c r="I275" s="6">
        <v>0</v>
      </c>
      <c r="J275" s="6">
        <v>0</v>
      </c>
    </row>
    <row r="276" spans="1:10" ht="13" x14ac:dyDescent="0.15">
      <c r="A276" s="33" t="s">
        <v>18</v>
      </c>
      <c r="B276" s="33" t="s">
        <v>23</v>
      </c>
      <c r="H276" s="6">
        <v>0</v>
      </c>
      <c r="I276" s="6">
        <v>0</v>
      </c>
      <c r="J276" s="6">
        <v>0</v>
      </c>
    </row>
    <row r="277" spans="1:10" ht="13" x14ac:dyDescent="0.15">
      <c r="A277" s="33" t="s">
        <v>18</v>
      </c>
      <c r="B277" s="33" t="s">
        <v>30</v>
      </c>
      <c r="H277" s="6">
        <v>0</v>
      </c>
      <c r="I277" s="6">
        <v>0</v>
      </c>
      <c r="J277" s="6">
        <v>0</v>
      </c>
    </row>
    <row r="278" spans="1:10" ht="13" x14ac:dyDescent="0.15">
      <c r="A278" s="33" t="s">
        <v>18</v>
      </c>
      <c r="B278" s="33" t="s">
        <v>18</v>
      </c>
      <c r="H278" s="6">
        <v>0</v>
      </c>
      <c r="I278" s="6">
        <v>0</v>
      </c>
      <c r="J278" s="6">
        <v>0</v>
      </c>
    </row>
    <row r="279" spans="1:10" ht="13" x14ac:dyDescent="0.15">
      <c r="A279" s="33" t="s">
        <v>12</v>
      </c>
      <c r="B279" s="33" t="s">
        <v>12</v>
      </c>
      <c r="H279" s="6">
        <v>0</v>
      </c>
      <c r="I279" s="6">
        <v>0</v>
      </c>
      <c r="J279" s="6">
        <v>0</v>
      </c>
    </row>
    <row r="280" spans="1:10" ht="13" x14ac:dyDescent="0.15">
      <c r="A280" s="33" t="s">
        <v>30</v>
      </c>
      <c r="B280" s="33" t="s">
        <v>83</v>
      </c>
      <c r="H280" s="6">
        <v>0</v>
      </c>
      <c r="I280" s="6">
        <v>0</v>
      </c>
      <c r="J280" s="6">
        <v>0</v>
      </c>
    </row>
    <row r="281" spans="1:10" ht="13" x14ac:dyDescent="0.15">
      <c r="A281" s="33" t="s">
        <v>136</v>
      </c>
      <c r="B281" s="33" t="s">
        <v>136</v>
      </c>
      <c r="H281" s="6">
        <v>0</v>
      </c>
      <c r="I281" s="6">
        <v>0</v>
      </c>
      <c r="J281" s="6">
        <v>0</v>
      </c>
    </row>
    <row r="282" spans="1:10" ht="13" x14ac:dyDescent="0.15">
      <c r="A282" s="33" t="s">
        <v>30</v>
      </c>
      <c r="B282" s="33" t="s">
        <v>30</v>
      </c>
      <c r="H282" s="6">
        <v>0</v>
      </c>
      <c r="I282" s="6">
        <v>0</v>
      </c>
      <c r="J282" s="6">
        <v>0</v>
      </c>
    </row>
    <row r="283" spans="1:10" ht="13" x14ac:dyDescent="0.15">
      <c r="A283" s="33" t="s">
        <v>30</v>
      </c>
      <c r="B283" s="33" t="s">
        <v>136</v>
      </c>
      <c r="H283" s="6">
        <v>0</v>
      </c>
      <c r="I283" s="6">
        <v>0</v>
      </c>
      <c r="J283" s="6">
        <v>0</v>
      </c>
    </row>
    <row r="284" spans="1:10" ht="13" x14ac:dyDescent="0.15">
      <c r="A284" s="33" t="s">
        <v>30</v>
      </c>
      <c r="B284" s="33" t="s">
        <v>30</v>
      </c>
      <c r="H284" s="6">
        <v>0</v>
      </c>
      <c r="I284" s="6">
        <v>0</v>
      </c>
      <c r="J284" s="6">
        <v>0</v>
      </c>
    </row>
    <row r="285" spans="1:10" ht="13" x14ac:dyDescent="0.15">
      <c r="A285" s="33" t="s">
        <v>30</v>
      </c>
      <c r="B285" s="33" t="s">
        <v>30</v>
      </c>
      <c r="H285" s="6">
        <v>0</v>
      </c>
      <c r="I285" s="6">
        <v>0</v>
      </c>
      <c r="J285" s="6">
        <v>0</v>
      </c>
    </row>
    <row r="286" spans="1:10" ht="13" x14ac:dyDescent="0.15">
      <c r="A286" s="33" t="s">
        <v>30</v>
      </c>
      <c r="B286" s="33" t="s">
        <v>30</v>
      </c>
      <c r="H286" s="6">
        <v>0</v>
      </c>
      <c r="I286" s="6">
        <v>0</v>
      </c>
      <c r="J286" s="6">
        <v>0</v>
      </c>
    </row>
    <row r="287" spans="1:10" ht="13" x14ac:dyDescent="0.15">
      <c r="A287" s="33" t="s">
        <v>115</v>
      </c>
      <c r="B287" s="33" t="s">
        <v>115</v>
      </c>
      <c r="H287" s="6">
        <v>0</v>
      </c>
      <c r="I287" s="6">
        <v>0</v>
      </c>
      <c r="J287" s="6">
        <v>0</v>
      </c>
    </row>
    <row r="288" spans="1:10" ht="13" x14ac:dyDescent="0.15">
      <c r="A288" s="33" t="s">
        <v>30</v>
      </c>
      <c r="B288" s="33" t="s">
        <v>23</v>
      </c>
      <c r="H288" s="6">
        <v>0</v>
      </c>
      <c r="I288" s="6">
        <v>0</v>
      </c>
      <c r="J288" s="6">
        <v>0</v>
      </c>
    </row>
    <row r="289" spans="1:10" ht="13" x14ac:dyDescent="0.15">
      <c r="A289" s="33" t="s">
        <v>30</v>
      </c>
      <c r="B289" s="33" t="s">
        <v>30</v>
      </c>
      <c r="H289" s="6">
        <v>0</v>
      </c>
      <c r="I289" s="6">
        <v>0</v>
      </c>
      <c r="J289" s="6">
        <v>0</v>
      </c>
    </row>
    <row r="290" spans="1:10" ht="13" x14ac:dyDescent="0.15">
      <c r="A290" s="33" t="s">
        <v>219</v>
      </c>
      <c r="B290" s="33" t="s">
        <v>30</v>
      </c>
      <c r="H290" s="6">
        <v>0</v>
      </c>
      <c r="I290" s="6">
        <v>0</v>
      </c>
      <c r="J290" s="6">
        <v>0</v>
      </c>
    </row>
    <row r="291" spans="1:10" ht="13" x14ac:dyDescent="0.15">
      <c r="A291" s="33" t="s">
        <v>23</v>
      </c>
      <c r="B291" s="33" t="s">
        <v>23</v>
      </c>
      <c r="H291" s="6">
        <v>0</v>
      </c>
      <c r="I291" s="6">
        <v>0</v>
      </c>
      <c r="J291" s="6">
        <v>0</v>
      </c>
    </row>
    <row r="292" spans="1:10" ht="13" x14ac:dyDescent="0.15">
      <c r="A292" s="33" t="s">
        <v>115</v>
      </c>
      <c r="B292" s="33" t="s">
        <v>18</v>
      </c>
      <c r="H292" s="6">
        <v>0</v>
      </c>
      <c r="I292" s="6">
        <v>0</v>
      </c>
      <c r="J292" s="6">
        <v>0</v>
      </c>
    </row>
    <row r="293" spans="1:10" ht="13" x14ac:dyDescent="0.15">
      <c r="A293" s="33" t="s">
        <v>23</v>
      </c>
      <c r="B293" s="33" t="s">
        <v>136</v>
      </c>
      <c r="H293" s="6">
        <v>0</v>
      </c>
      <c r="I293" s="6">
        <v>0</v>
      </c>
      <c r="J293" s="6">
        <v>0</v>
      </c>
    </row>
    <row r="294" spans="1:10" ht="13" x14ac:dyDescent="0.15">
      <c r="A294" s="33" t="s">
        <v>136</v>
      </c>
      <c r="B294" s="33" t="s">
        <v>30</v>
      </c>
      <c r="H294" s="6">
        <v>0</v>
      </c>
      <c r="I294" s="6">
        <v>0</v>
      </c>
      <c r="J294" s="6">
        <v>0</v>
      </c>
    </row>
    <row r="295" spans="1:10" ht="13" x14ac:dyDescent="0.15">
      <c r="A295" s="33" t="s">
        <v>136</v>
      </c>
      <c r="B295" s="33" t="s">
        <v>23</v>
      </c>
      <c r="H295" s="6">
        <v>0</v>
      </c>
      <c r="I295" s="6">
        <v>0</v>
      </c>
      <c r="J295" s="6">
        <v>0</v>
      </c>
    </row>
    <row r="296" spans="1:10" ht="13" x14ac:dyDescent="0.15">
      <c r="A296" s="33" t="s">
        <v>23</v>
      </c>
      <c r="B296" s="33" t="s">
        <v>23</v>
      </c>
      <c r="H296" s="6">
        <v>0</v>
      </c>
      <c r="I296" s="6">
        <v>0</v>
      </c>
      <c r="J296" s="6">
        <v>0</v>
      </c>
    </row>
    <row r="297" spans="1:10" ht="13" x14ac:dyDescent="0.15">
      <c r="A297" s="33" t="s">
        <v>30</v>
      </c>
      <c r="B297" s="33" t="s">
        <v>30</v>
      </c>
      <c r="H297" s="6">
        <v>0</v>
      </c>
      <c r="I297" s="6">
        <v>0</v>
      </c>
      <c r="J297" s="6">
        <v>0</v>
      </c>
    </row>
    <row r="298" spans="1:10" ht="13" x14ac:dyDescent="0.15">
      <c r="A298" s="33" t="s">
        <v>219</v>
      </c>
      <c r="B298" s="33" t="s">
        <v>30</v>
      </c>
      <c r="H298" s="6">
        <v>0</v>
      </c>
      <c r="I298" s="6">
        <v>0</v>
      </c>
      <c r="J298" s="6">
        <v>0</v>
      </c>
    </row>
    <row r="299" spans="1:10" ht="13" x14ac:dyDescent="0.15">
      <c r="A299" s="33" t="s">
        <v>30</v>
      </c>
      <c r="B299" s="33" t="s">
        <v>30</v>
      </c>
      <c r="H299" s="6">
        <v>0</v>
      </c>
      <c r="I299" s="6">
        <v>0</v>
      </c>
      <c r="J299" s="6">
        <v>0</v>
      </c>
    </row>
    <row r="300" spans="1:10" ht="13" x14ac:dyDescent="0.15">
      <c r="A300" s="33" t="s">
        <v>23</v>
      </c>
      <c r="B300" s="33" t="s">
        <v>23</v>
      </c>
      <c r="H300" s="6">
        <v>0</v>
      </c>
      <c r="I300" s="6">
        <v>0</v>
      </c>
      <c r="J300" s="6">
        <v>0</v>
      </c>
    </row>
    <row r="301" spans="1:10" ht="13" x14ac:dyDescent="0.15">
      <c r="A301" s="33" t="s">
        <v>18</v>
      </c>
      <c r="B301" s="33" t="s">
        <v>67</v>
      </c>
      <c r="H301" s="6">
        <v>0</v>
      </c>
      <c r="I301" s="6">
        <v>0</v>
      </c>
      <c r="J301" s="6">
        <v>0</v>
      </c>
    </row>
    <row r="302" spans="1:10" ht="13" x14ac:dyDescent="0.15">
      <c r="A302" s="33" t="s">
        <v>30</v>
      </c>
      <c r="B302" s="33" t="s">
        <v>342</v>
      </c>
      <c r="H302" s="6">
        <v>0</v>
      </c>
      <c r="I302" s="6">
        <v>0</v>
      </c>
      <c r="J302" s="6">
        <v>0</v>
      </c>
    </row>
    <row r="303" spans="1:10" ht="13" x14ac:dyDescent="0.15">
      <c r="A303" s="33" t="s">
        <v>30</v>
      </c>
      <c r="B303" s="33" t="s">
        <v>18</v>
      </c>
      <c r="H303" s="6">
        <v>0</v>
      </c>
      <c r="I303" s="6">
        <v>0</v>
      </c>
      <c r="J303" s="6">
        <v>0</v>
      </c>
    </row>
    <row r="304" spans="1:10" ht="13" x14ac:dyDescent="0.15">
      <c r="A304" s="33" t="s">
        <v>115</v>
      </c>
      <c r="B304" s="33" t="s">
        <v>18</v>
      </c>
      <c r="H304" s="6">
        <v>0</v>
      </c>
      <c r="I304" s="6">
        <v>0</v>
      </c>
      <c r="J304" s="6">
        <v>0</v>
      </c>
    </row>
    <row r="305" spans="1:10" ht="13" x14ac:dyDescent="0.15">
      <c r="A305" s="33" t="s">
        <v>77</v>
      </c>
      <c r="B305" s="33" t="s">
        <v>23</v>
      </c>
      <c r="H305" s="6">
        <v>0</v>
      </c>
      <c r="I305" s="6">
        <v>0</v>
      </c>
      <c r="J305" s="6">
        <v>0</v>
      </c>
    </row>
    <row r="306" spans="1:10" ht="13" x14ac:dyDescent="0.15">
      <c r="A306" s="33" t="s">
        <v>12</v>
      </c>
      <c r="B306" s="33" t="s">
        <v>77</v>
      </c>
      <c r="H306" s="6">
        <v>0</v>
      </c>
      <c r="I306" s="6">
        <v>0</v>
      </c>
      <c r="J306" s="6">
        <v>0</v>
      </c>
    </row>
    <row r="307" spans="1:10" ht="13" x14ac:dyDescent="0.15">
      <c r="A307" s="33" t="s">
        <v>115</v>
      </c>
      <c r="B307" s="33" t="s">
        <v>18</v>
      </c>
      <c r="H307" s="6">
        <v>0</v>
      </c>
      <c r="I307" s="6">
        <v>0</v>
      </c>
      <c r="J307" s="6">
        <v>0</v>
      </c>
    </row>
    <row r="308" spans="1:10" ht="13" x14ac:dyDescent="0.15">
      <c r="A308" s="33" t="s">
        <v>23</v>
      </c>
      <c r="B308" s="33" t="s">
        <v>23</v>
      </c>
      <c r="H308" s="6">
        <v>0</v>
      </c>
      <c r="I308" s="6">
        <v>0</v>
      </c>
      <c r="J308" s="6">
        <v>0</v>
      </c>
    </row>
    <row r="309" spans="1:10" ht="13" x14ac:dyDescent="0.15">
      <c r="A309" s="33" t="s">
        <v>23</v>
      </c>
      <c r="B309" s="33" t="s">
        <v>83</v>
      </c>
      <c r="H309" s="6">
        <v>0</v>
      </c>
      <c r="I309" s="6">
        <v>0</v>
      </c>
      <c r="J309" s="6">
        <v>0</v>
      </c>
    </row>
    <row r="310" spans="1:10" ht="13" x14ac:dyDescent="0.15">
      <c r="A310" s="33" t="s">
        <v>18</v>
      </c>
      <c r="B310" s="33" t="s">
        <v>18</v>
      </c>
      <c r="H310" s="6">
        <v>0</v>
      </c>
      <c r="I310" s="6">
        <v>0</v>
      </c>
      <c r="J310" s="6">
        <v>0</v>
      </c>
    </row>
    <row r="311" spans="1:10" ht="13" x14ac:dyDescent="0.15">
      <c r="A311" s="33" t="s">
        <v>342</v>
      </c>
      <c r="B311" s="33" t="s">
        <v>342</v>
      </c>
      <c r="H311" s="6">
        <v>0</v>
      </c>
      <c r="I311" s="6">
        <v>0</v>
      </c>
      <c r="J311" s="6">
        <v>0</v>
      </c>
    </row>
    <row r="312" spans="1:10" ht="13" x14ac:dyDescent="0.15">
      <c r="A312" s="33" t="s">
        <v>136</v>
      </c>
      <c r="B312" s="33" t="s">
        <v>23</v>
      </c>
      <c r="H312" s="6">
        <v>0</v>
      </c>
      <c r="I312" s="6">
        <v>0</v>
      </c>
      <c r="J312" s="6">
        <v>0</v>
      </c>
    </row>
    <row r="313" spans="1:10" ht="13" x14ac:dyDescent="0.15">
      <c r="A313" s="33" t="s">
        <v>136</v>
      </c>
      <c r="B313" s="33" t="s">
        <v>23</v>
      </c>
      <c r="H313" s="6">
        <v>0</v>
      </c>
      <c r="I313" s="6">
        <v>0</v>
      </c>
      <c r="J313" s="6">
        <v>0</v>
      </c>
    </row>
    <row r="314" spans="1:10" ht="13" x14ac:dyDescent="0.15">
      <c r="A314" s="33" t="s">
        <v>30</v>
      </c>
      <c r="B314" s="33" t="s">
        <v>342</v>
      </c>
      <c r="H314" s="6">
        <v>0</v>
      </c>
      <c r="I314" s="6">
        <v>0</v>
      </c>
      <c r="J314" s="6">
        <v>0</v>
      </c>
    </row>
    <row r="315" spans="1:10" ht="13" x14ac:dyDescent="0.15">
      <c r="A315" s="33" t="s">
        <v>23</v>
      </c>
      <c r="B315" s="33" t="s">
        <v>23</v>
      </c>
      <c r="H315" s="6">
        <v>0</v>
      </c>
      <c r="I315" s="6">
        <v>0</v>
      </c>
      <c r="J315" s="6">
        <v>0</v>
      </c>
    </row>
    <row r="316" spans="1:10" ht="13" x14ac:dyDescent="0.15">
      <c r="A316" s="33" t="s">
        <v>136</v>
      </c>
      <c r="B316" s="33" t="s">
        <v>136</v>
      </c>
      <c r="H316" s="6">
        <v>0</v>
      </c>
      <c r="I316" s="6">
        <v>0</v>
      </c>
      <c r="J316" s="6">
        <v>0</v>
      </c>
    </row>
    <row r="317" spans="1:10" ht="13" x14ac:dyDescent="0.15">
      <c r="A317" s="33" t="s">
        <v>136</v>
      </c>
      <c r="B317" s="33" t="s">
        <v>136</v>
      </c>
      <c r="H317" s="6">
        <v>0</v>
      </c>
      <c r="I317" s="6">
        <v>0</v>
      </c>
      <c r="J317" s="6">
        <v>0</v>
      </c>
    </row>
    <row r="318" spans="1:10" ht="13" x14ac:dyDescent="0.15">
      <c r="A318" s="33" t="s">
        <v>12</v>
      </c>
      <c r="B318" s="33" t="s">
        <v>12</v>
      </c>
      <c r="H318" s="6">
        <v>0</v>
      </c>
      <c r="I318" s="6">
        <v>0</v>
      </c>
      <c r="J318" s="6">
        <v>0</v>
      </c>
    </row>
    <row r="319" spans="1:10" ht="13" x14ac:dyDescent="0.15">
      <c r="A319" s="33" t="s">
        <v>30</v>
      </c>
      <c r="B319" s="33" t="s">
        <v>23</v>
      </c>
      <c r="H319" s="6">
        <v>0</v>
      </c>
      <c r="I319" s="6">
        <v>0</v>
      </c>
      <c r="J319" s="6">
        <v>0</v>
      </c>
    </row>
    <row r="320" spans="1:10" ht="13" x14ac:dyDescent="0.15">
      <c r="A320" s="33" t="s">
        <v>23</v>
      </c>
      <c r="B320" s="33" t="s">
        <v>23</v>
      </c>
      <c r="H320" s="6">
        <v>0</v>
      </c>
      <c r="I320" s="6">
        <v>0</v>
      </c>
      <c r="J320" s="6">
        <v>0</v>
      </c>
    </row>
    <row r="321" spans="1:10" ht="13" x14ac:dyDescent="0.15">
      <c r="A321" s="33" t="s">
        <v>115</v>
      </c>
      <c r="B321" s="33" t="s">
        <v>115</v>
      </c>
      <c r="H321" s="6">
        <v>0</v>
      </c>
      <c r="I321" s="6">
        <v>0</v>
      </c>
      <c r="J321" s="6">
        <v>0</v>
      </c>
    </row>
    <row r="322" spans="1:10" ht="13" x14ac:dyDescent="0.15">
      <c r="A322" s="33" t="s">
        <v>12</v>
      </c>
      <c r="B322" s="33" t="s">
        <v>12</v>
      </c>
      <c r="H322" s="6">
        <v>0</v>
      </c>
      <c r="I322" s="6">
        <v>0</v>
      </c>
      <c r="J322" s="6">
        <v>0</v>
      </c>
    </row>
    <row r="323" spans="1:10" ht="13" x14ac:dyDescent="0.15">
      <c r="A323" s="33" t="s">
        <v>12</v>
      </c>
      <c r="B323" s="33" t="s">
        <v>18</v>
      </c>
      <c r="H323" s="6">
        <v>0</v>
      </c>
      <c r="I323" s="6">
        <v>0</v>
      </c>
      <c r="J323" s="6">
        <v>0</v>
      </c>
    </row>
    <row r="324" spans="1:10" ht="13" x14ac:dyDescent="0.15">
      <c r="A324" s="33" t="s">
        <v>18</v>
      </c>
      <c r="B324" s="33" t="s">
        <v>30</v>
      </c>
      <c r="H324" s="6">
        <v>0</v>
      </c>
      <c r="I324" s="6">
        <v>0</v>
      </c>
      <c r="J324" s="6">
        <v>0</v>
      </c>
    </row>
    <row r="325" spans="1:10" ht="13" x14ac:dyDescent="0.15">
      <c r="A325" s="33" t="s">
        <v>30</v>
      </c>
      <c r="B325" s="33" t="s">
        <v>30</v>
      </c>
      <c r="H325" s="6">
        <v>0</v>
      </c>
      <c r="I325" s="6">
        <v>0</v>
      </c>
      <c r="J325" s="6">
        <v>0</v>
      </c>
    </row>
    <row r="326" spans="1:10" ht="13" x14ac:dyDescent="0.15">
      <c r="A326" s="33" t="s">
        <v>18</v>
      </c>
      <c r="B326" s="33" t="s">
        <v>67</v>
      </c>
      <c r="H326" s="6">
        <v>0</v>
      </c>
      <c r="I326" s="6">
        <v>0</v>
      </c>
      <c r="J326" s="6">
        <v>0</v>
      </c>
    </row>
    <row r="327" spans="1:10" ht="13" x14ac:dyDescent="0.15">
      <c r="A327" s="33" t="s">
        <v>18</v>
      </c>
      <c r="B327" s="33" t="s">
        <v>18</v>
      </c>
      <c r="H327" s="6">
        <v>0</v>
      </c>
      <c r="I327" s="6">
        <v>0</v>
      </c>
      <c r="J327" s="6">
        <v>0</v>
      </c>
    </row>
    <row r="328" spans="1:10" ht="13" x14ac:dyDescent="0.15">
      <c r="A328" s="33" t="s">
        <v>12</v>
      </c>
      <c r="B328" s="33" t="s">
        <v>12</v>
      </c>
      <c r="H328" s="6">
        <v>0</v>
      </c>
      <c r="I328" s="6">
        <v>0</v>
      </c>
      <c r="J328" s="6">
        <v>0</v>
      </c>
    </row>
    <row r="329" spans="1:10" ht="13" x14ac:dyDescent="0.15">
      <c r="A329" s="33" t="s">
        <v>23</v>
      </c>
      <c r="B329" s="33" t="s">
        <v>23</v>
      </c>
      <c r="H329" s="6">
        <v>0</v>
      </c>
      <c r="I329" s="6">
        <v>0</v>
      </c>
      <c r="J329" s="6">
        <v>0</v>
      </c>
    </row>
    <row r="330" spans="1:10" ht="13" x14ac:dyDescent="0.15">
      <c r="A330" s="33" t="s">
        <v>18</v>
      </c>
      <c r="B330" s="33" t="s">
        <v>18</v>
      </c>
      <c r="H330" s="6">
        <v>0</v>
      </c>
      <c r="I330" s="6">
        <v>0</v>
      </c>
      <c r="J330" s="6">
        <v>0</v>
      </c>
    </row>
    <row r="331" spans="1:10" ht="13" x14ac:dyDescent="0.15">
      <c r="A331" s="33" t="s">
        <v>115</v>
      </c>
      <c r="B331" s="33" t="s">
        <v>18</v>
      </c>
      <c r="H331" s="6">
        <v>0</v>
      </c>
      <c r="I331" s="6">
        <v>0</v>
      </c>
      <c r="J331" s="6">
        <v>0</v>
      </c>
    </row>
    <row r="332" spans="1:10" ht="13" x14ac:dyDescent="0.15">
      <c r="A332" s="33" t="s">
        <v>30</v>
      </c>
      <c r="B332" s="33" t="s">
        <v>30</v>
      </c>
      <c r="H332" s="6">
        <v>0</v>
      </c>
      <c r="I332" s="6">
        <v>0</v>
      </c>
      <c r="J332" s="6">
        <v>0</v>
      </c>
    </row>
    <row r="333" spans="1:10" ht="13" x14ac:dyDescent="0.15">
      <c r="A333" s="33" t="s">
        <v>115</v>
      </c>
      <c r="B333" s="33" t="s">
        <v>115</v>
      </c>
      <c r="H333" s="6">
        <v>0</v>
      </c>
      <c r="I333" s="6">
        <v>0</v>
      </c>
      <c r="J333" s="6">
        <v>0</v>
      </c>
    </row>
    <row r="334" spans="1:10" ht="13" x14ac:dyDescent="0.15">
      <c r="A334" s="33" t="s">
        <v>115</v>
      </c>
      <c r="B334" s="33" t="s">
        <v>18</v>
      </c>
      <c r="H334" s="6">
        <v>0</v>
      </c>
      <c r="I334" s="6">
        <v>0</v>
      </c>
      <c r="J334" s="6">
        <v>0</v>
      </c>
    </row>
    <row r="335" spans="1:10" ht="13" x14ac:dyDescent="0.15">
      <c r="A335" s="33" t="s">
        <v>12</v>
      </c>
      <c r="B335" s="33" t="s">
        <v>12</v>
      </c>
      <c r="H335" s="6">
        <v>0</v>
      </c>
      <c r="I335" s="6">
        <v>0</v>
      </c>
      <c r="J335" s="6">
        <v>0</v>
      </c>
    </row>
    <row r="336" spans="1:10" ht="13" x14ac:dyDescent="0.15">
      <c r="A336" s="33" t="s">
        <v>18</v>
      </c>
      <c r="B336" s="33" t="s">
        <v>18</v>
      </c>
      <c r="H336" s="6">
        <v>0</v>
      </c>
      <c r="I336" s="6">
        <v>0</v>
      </c>
      <c r="J336" s="6">
        <v>0</v>
      </c>
    </row>
    <row r="337" spans="1:10" ht="13" x14ac:dyDescent="0.15">
      <c r="A337" s="33" t="s">
        <v>18</v>
      </c>
      <c r="B337" s="33" t="s">
        <v>18</v>
      </c>
      <c r="H337" s="6">
        <v>0</v>
      </c>
      <c r="I337" s="6">
        <v>0</v>
      </c>
      <c r="J337" s="6">
        <v>0</v>
      </c>
    </row>
    <row r="338" spans="1:10" ht="13" x14ac:dyDescent="0.15">
      <c r="A338" s="33" t="s">
        <v>18</v>
      </c>
      <c r="B338" s="33" t="s">
        <v>18</v>
      </c>
      <c r="H338" s="6">
        <v>0</v>
      </c>
      <c r="I338" s="6">
        <v>0</v>
      </c>
      <c r="J338" s="6">
        <v>0</v>
      </c>
    </row>
    <row r="339" spans="1:10" ht="13" x14ac:dyDescent="0.15">
      <c r="A339" s="33" t="s">
        <v>30</v>
      </c>
      <c r="B339" s="33" t="s">
        <v>30</v>
      </c>
      <c r="H339" s="6">
        <v>0</v>
      </c>
      <c r="I339" s="6">
        <v>0</v>
      </c>
      <c r="J339" s="6">
        <v>0</v>
      </c>
    </row>
    <row r="340" spans="1:10" ht="13" x14ac:dyDescent="0.15">
      <c r="A340" s="33" t="s">
        <v>30</v>
      </c>
      <c r="B340" s="33" t="s">
        <v>30</v>
      </c>
      <c r="H340" s="6">
        <v>0</v>
      </c>
      <c r="I340" s="6">
        <v>0</v>
      </c>
      <c r="J340" s="6">
        <v>0</v>
      </c>
    </row>
    <row r="341" spans="1:10" ht="13" x14ac:dyDescent="0.15">
      <c r="A341" s="33" t="s">
        <v>30</v>
      </c>
      <c r="B341" s="33" t="s">
        <v>30</v>
      </c>
      <c r="H341" s="6">
        <v>0</v>
      </c>
      <c r="I341" s="6">
        <v>0</v>
      </c>
      <c r="J341" s="6">
        <v>0</v>
      </c>
    </row>
    <row r="342" spans="1:10" ht="13" x14ac:dyDescent="0.15">
      <c r="A342" s="33" t="s">
        <v>83</v>
      </c>
      <c r="B342" s="33" t="s">
        <v>83</v>
      </c>
      <c r="H342" s="6">
        <v>0</v>
      </c>
      <c r="I342" s="6">
        <v>0</v>
      </c>
      <c r="J342" s="6">
        <v>0</v>
      </c>
    </row>
    <row r="343" spans="1:10" ht="13" x14ac:dyDescent="0.15">
      <c r="A343" s="33" t="s">
        <v>83</v>
      </c>
      <c r="B343" s="33" t="s">
        <v>30</v>
      </c>
      <c r="H343" s="6">
        <v>0</v>
      </c>
      <c r="I343" s="6">
        <v>0</v>
      </c>
      <c r="J343" s="6">
        <v>0</v>
      </c>
    </row>
    <row r="344" spans="1:10" ht="13" x14ac:dyDescent="0.15">
      <c r="A344" s="33" t="s">
        <v>23</v>
      </c>
      <c r="B344" s="33" t="s">
        <v>23</v>
      </c>
      <c r="H344" s="6">
        <v>0</v>
      </c>
      <c r="I344" s="6">
        <v>0</v>
      </c>
      <c r="J344" s="6">
        <v>0</v>
      </c>
    </row>
    <row r="345" spans="1:10" ht="13" x14ac:dyDescent="0.15">
      <c r="A345" s="33" t="s">
        <v>83</v>
      </c>
      <c r="B345" s="33" t="s">
        <v>30</v>
      </c>
      <c r="H345" s="6">
        <v>0</v>
      </c>
      <c r="I345" s="6">
        <v>0</v>
      </c>
      <c r="J345" s="6">
        <v>0</v>
      </c>
    </row>
    <row r="346" spans="1:10" ht="13" x14ac:dyDescent="0.15">
      <c r="A346" s="33" t="s">
        <v>83</v>
      </c>
      <c r="B346" s="33" t="s">
        <v>30</v>
      </c>
      <c r="H346" s="6">
        <v>0</v>
      </c>
      <c r="I346" s="6">
        <v>0</v>
      </c>
      <c r="J346" s="6">
        <v>0</v>
      </c>
    </row>
    <row r="347" spans="1:10" ht="13" x14ac:dyDescent="0.15">
      <c r="A347" s="33" t="s">
        <v>18</v>
      </c>
      <c r="B347" s="33" t="s">
        <v>18</v>
      </c>
      <c r="H347" s="6">
        <v>0</v>
      </c>
      <c r="I347" s="6">
        <v>0</v>
      </c>
      <c r="J347" s="6">
        <v>0</v>
      </c>
    </row>
    <row r="348" spans="1:10" ht="13" x14ac:dyDescent="0.15">
      <c r="A348" s="33" t="s">
        <v>30</v>
      </c>
      <c r="B348" s="33" t="s">
        <v>30</v>
      </c>
      <c r="H348" s="6">
        <v>0</v>
      </c>
      <c r="I348" s="6">
        <v>0</v>
      </c>
      <c r="J348" s="6">
        <v>0</v>
      </c>
    </row>
    <row r="349" spans="1:10" ht="13" x14ac:dyDescent="0.15">
      <c r="A349" s="33" t="s">
        <v>30</v>
      </c>
      <c r="B349" s="33" t="s">
        <v>30</v>
      </c>
      <c r="H349" s="6">
        <v>0</v>
      </c>
      <c r="I349" s="6">
        <v>0</v>
      </c>
      <c r="J349" s="6">
        <v>0</v>
      </c>
    </row>
    <row r="350" spans="1:10" ht="13" x14ac:dyDescent="0.15">
      <c r="A350" s="33" t="s">
        <v>23</v>
      </c>
      <c r="B350" s="33" t="s">
        <v>23</v>
      </c>
      <c r="H350" s="6">
        <v>0</v>
      </c>
      <c r="I350" s="6">
        <v>0</v>
      </c>
      <c r="J350" s="6">
        <v>0</v>
      </c>
    </row>
    <row r="351" spans="1:10" ht="13" x14ac:dyDescent="0.15">
      <c r="A351" s="33" t="s">
        <v>83</v>
      </c>
      <c r="B351" s="33" t="s">
        <v>30</v>
      </c>
      <c r="H351" s="6">
        <v>0</v>
      </c>
      <c r="I351" s="6">
        <v>0</v>
      </c>
      <c r="J351" s="6">
        <v>0</v>
      </c>
    </row>
    <row r="352" spans="1:10" ht="13" x14ac:dyDescent="0.15">
      <c r="A352" s="33" t="s">
        <v>136</v>
      </c>
      <c r="B352" s="33" t="s">
        <v>18</v>
      </c>
      <c r="H352" s="6">
        <v>0</v>
      </c>
      <c r="I352" s="6">
        <v>0</v>
      </c>
      <c r="J352" s="6">
        <v>0</v>
      </c>
    </row>
    <row r="353" spans="1:10" ht="13" x14ac:dyDescent="0.15">
      <c r="A353" s="33" t="s">
        <v>88</v>
      </c>
      <c r="B353" s="33" t="s">
        <v>88</v>
      </c>
      <c r="H353" s="6">
        <v>0</v>
      </c>
      <c r="I353" s="6">
        <v>0</v>
      </c>
      <c r="J353" s="6">
        <v>0</v>
      </c>
    </row>
    <row r="354" spans="1:10" ht="13" x14ac:dyDescent="0.15">
      <c r="A354" s="33" t="s">
        <v>88</v>
      </c>
      <c r="B354" s="33" t="s">
        <v>88</v>
      </c>
      <c r="H354" s="6">
        <v>0</v>
      </c>
      <c r="I354" s="6">
        <v>0</v>
      </c>
      <c r="J354" s="6">
        <v>0</v>
      </c>
    </row>
    <row r="355" spans="1:10" ht="13" x14ac:dyDescent="0.15">
      <c r="A355" s="33" t="s">
        <v>88</v>
      </c>
      <c r="B355" s="33" t="s">
        <v>88</v>
      </c>
      <c r="H355" s="6">
        <v>0</v>
      </c>
      <c r="I355" s="6">
        <v>0</v>
      </c>
      <c r="J355" s="6">
        <v>0</v>
      </c>
    </row>
    <row r="356" spans="1:10" ht="13" x14ac:dyDescent="0.15">
      <c r="A356" s="33" t="s">
        <v>83</v>
      </c>
      <c r="B356" s="33" t="s">
        <v>30</v>
      </c>
      <c r="H356" s="6">
        <v>0</v>
      </c>
      <c r="I356" s="6">
        <v>0</v>
      </c>
      <c r="J356" s="6">
        <v>0</v>
      </c>
    </row>
    <row r="357" spans="1:10" ht="13" x14ac:dyDescent="0.15">
      <c r="A357" s="33" t="s">
        <v>30</v>
      </c>
      <c r="B357" s="33" t="s">
        <v>30</v>
      </c>
      <c r="H357" s="6">
        <v>0</v>
      </c>
      <c r="I357" s="6">
        <v>0</v>
      </c>
      <c r="J357" s="6">
        <v>0</v>
      </c>
    </row>
    <row r="358" spans="1:10" ht="13" x14ac:dyDescent="0.15">
      <c r="A358" s="33" t="s">
        <v>83</v>
      </c>
      <c r="B358" s="33" t="s">
        <v>30</v>
      </c>
      <c r="H358" s="6">
        <v>0</v>
      </c>
      <c r="I358" s="6">
        <v>0</v>
      </c>
      <c r="J358" s="6">
        <v>0</v>
      </c>
    </row>
    <row r="359" spans="1:10" ht="13" x14ac:dyDescent="0.15">
      <c r="A359" s="33" t="s">
        <v>83</v>
      </c>
      <c r="B359" s="33" t="s">
        <v>30</v>
      </c>
      <c r="H359" s="6">
        <v>0</v>
      </c>
      <c r="I359" s="6">
        <v>0</v>
      </c>
      <c r="J359" s="6">
        <v>0</v>
      </c>
    </row>
    <row r="360" spans="1:10" ht="13" x14ac:dyDescent="0.15">
      <c r="A360" s="33" t="s">
        <v>30</v>
      </c>
      <c r="B360" s="33" t="s">
        <v>30</v>
      </c>
      <c r="H360" s="6">
        <v>0</v>
      </c>
      <c r="I360" s="6">
        <v>0</v>
      </c>
      <c r="J360" s="6">
        <v>0</v>
      </c>
    </row>
    <row r="361" spans="1:10" ht="13" x14ac:dyDescent="0.15">
      <c r="A361" s="33" t="s">
        <v>83</v>
      </c>
      <c r="B361" s="33" t="s">
        <v>30</v>
      </c>
      <c r="H361" s="6">
        <v>0</v>
      </c>
      <c r="I361" s="6">
        <v>0</v>
      </c>
      <c r="J361" s="6">
        <v>0</v>
      </c>
    </row>
    <row r="362" spans="1:10" ht="13" x14ac:dyDescent="0.15">
      <c r="A362" s="33" t="s">
        <v>83</v>
      </c>
      <c r="B362" s="33" t="s">
        <v>30</v>
      </c>
      <c r="H362" s="6">
        <v>0</v>
      </c>
      <c r="I362" s="6">
        <v>0</v>
      </c>
      <c r="J362" s="6">
        <v>0</v>
      </c>
    </row>
    <row r="363" spans="1:10" ht="13" x14ac:dyDescent="0.15">
      <c r="A363" s="33" t="s">
        <v>88</v>
      </c>
      <c r="B363" s="33" t="s">
        <v>88</v>
      </c>
      <c r="H363" s="6">
        <v>0</v>
      </c>
      <c r="I363" s="6">
        <v>0</v>
      </c>
      <c r="J363" s="6">
        <v>0</v>
      </c>
    </row>
    <row r="364" spans="1:10" ht="13" x14ac:dyDescent="0.15">
      <c r="A364" s="33" t="s">
        <v>115</v>
      </c>
      <c r="B364" s="33" t="s">
        <v>23</v>
      </c>
      <c r="H364" s="6">
        <v>0</v>
      </c>
      <c r="I364" s="6">
        <v>0</v>
      </c>
      <c r="J364" s="6">
        <v>0</v>
      </c>
    </row>
    <row r="365" spans="1:10" ht="13" x14ac:dyDescent="0.15">
      <c r="A365" s="33" t="s">
        <v>115</v>
      </c>
      <c r="B365" s="33" t="s">
        <v>18</v>
      </c>
      <c r="H365" s="6">
        <v>0</v>
      </c>
      <c r="I365" s="6">
        <v>0</v>
      </c>
      <c r="J365" s="6">
        <v>0</v>
      </c>
    </row>
    <row r="366" spans="1:10" ht="13" x14ac:dyDescent="0.15">
      <c r="A366" s="33" t="s">
        <v>115</v>
      </c>
      <c r="B366" s="33" t="s">
        <v>18</v>
      </c>
      <c r="H366" s="6">
        <v>0</v>
      </c>
      <c r="I366" s="6">
        <v>0</v>
      </c>
      <c r="J366" s="6">
        <v>0</v>
      </c>
    </row>
    <row r="367" spans="1:10" ht="13" x14ac:dyDescent="0.15">
      <c r="A367" s="33" t="s">
        <v>23</v>
      </c>
      <c r="B367" s="33" t="s">
        <v>23</v>
      </c>
      <c r="H367" s="6">
        <v>0</v>
      </c>
      <c r="I367" s="6">
        <v>0</v>
      </c>
      <c r="J367" s="6">
        <v>0</v>
      </c>
    </row>
    <row r="368" spans="1:10" ht="13" x14ac:dyDescent="0.15">
      <c r="A368" s="33" t="s">
        <v>23</v>
      </c>
      <c r="B368" s="33" t="s">
        <v>23</v>
      </c>
      <c r="H368" s="6">
        <v>0</v>
      </c>
      <c r="I368" s="6">
        <v>0</v>
      </c>
      <c r="J368" s="6">
        <v>0</v>
      </c>
    </row>
    <row r="369" spans="1:10" ht="13" x14ac:dyDescent="0.15">
      <c r="A369" s="33" t="s">
        <v>23</v>
      </c>
      <c r="B369" s="33" t="s">
        <v>88</v>
      </c>
      <c r="H369" s="6">
        <v>0</v>
      </c>
      <c r="I369" s="6">
        <v>0</v>
      </c>
      <c r="J369" s="6">
        <v>0</v>
      </c>
    </row>
    <row r="370" spans="1:10" ht="13" x14ac:dyDescent="0.15">
      <c r="A370" s="33" t="s">
        <v>88</v>
      </c>
      <c r="B370" s="33" t="s">
        <v>88</v>
      </c>
      <c r="H370" s="6">
        <v>0</v>
      </c>
      <c r="I370" s="6">
        <v>0</v>
      </c>
      <c r="J370" s="6">
        <v>0</v>
      </c>
    </row>
    <row r="371" spans="1:10" ht="13" x14ac:dyDescent="0.15">
      <c r="A371" s="33" t="s">
        <v>88</v>
      </c>
      <c r="B371" s="33" t="s">
        <v>88</v>
      </c>
      <c r="H371" s="6">
        <v>0</v>
      </c>
      <c r="I371" s="6">
        <v>0</v>
      </c>
      <c r="J371" s="6">
        <v>0</v>
      </c>
    </row>
    <row r="372" spans="1:10" ht="13" x14ac:dyDescent="0.15">
      <c r="A372" s="33" t="s">
        <v>23</v>
      </c>
      <c r="B372" s="33" t="s">
        <v>23</v>
      </c>
      <c r="H372" s="6">
        <v>0</v>
      </c>
      <c r="I372" s="6">
        <v>0</v>
      </c>
      <c r="J372" s="6">
        <v>0</v>
      </c>
    </row>
    <row r="373" spans="1:10" ht="13" x14ac:dyDescent="0.15">
      <c r="A373" s="33" t="s">
        <v>18</v>
      </c>
      <c r="B373" s="33" t="s">
        <v>136</v>
      </c>
      <c r="H373" s="6">
        <v>0</v>
      </c>
      <c r="I373" s="6">
        <v>0</v>
      </c>
      <c r="J373" s="6">
        <v>0</v>
      </c>
    </row>
    <row r="374" spans="1:10" ht="13" x14ac:dyDescent="0.15">
      <c r="A374" s="33" t="s">
        <v>18</v>
      </c>
      <c r="B374" s="33" t="s">
        <v>136</v>
      </c>
      <c r="H374" s="6">
        <v>0</v>
      </c>
      <c r="I374" s="6">
        <v>0</v>
      </c>
      <c r="J374" s="6">
        <v>0</v>
      </c>
    </row>
    <row r="375" spans="1:10" ht="13" x14ac:dyDescent="0.15">
      <c r="A375" s="33" t="s">
        <v>18</v>
      </c>
      <c r="B375" s="33" t="s">
        <v>136</v>
      </c>
      <c r="H375" s="6">
        <v>0</v>
      </c>
      <c r="I375" s="6">
        <v>0</v>
      </c>
      <c r="J375" s="6">
        <v>0</v>
      </c>
    </row>
    <row r="376" spans="1:10" ht="13" x14ac:dyDescent="0.15">
      <c r="A376" s="33" t="s">
        <v>18</v>
      </c>
      <c r="B376" s="33" t="s">
        <v>136</v>
      </c>
      <c r="H376" s="6">
        <v>0</v>
      </c>
      <c r="I376" s="6">
        <v>0</v>
      </c>
      <c r="J376" s="6">
        <v>0</v>
      </c>
    </row>
    <row r="377" spans="1:10" ht="13" x14ac:dyDescent="0.15">
      <c r="A377" s="33" t="s">
        <v>18</v>
      </c>
      <c r="B377" s="33" t="s">
        <v>136</v>
      </c>
      <c r="H377" s="6">
        <v>0</v>
      </c>
      <c r="I377" s="6">
        <v>0</v>
      </c>
      <c r="J377" s="6">
        <v>0</v>
      </c>
    </row>
    <row r="378" spans="1:10" ht="13" x14ac:dyDescent="0.15">
      <c r="A378" s="33" t="s">
        <v>18</v>
      </c>
      <c r="B378" s="33" t="s">
        <v>136</v>
      </c>
      <c r="H378" s="6">
        <v>0</v>
      </c>
      <c r="I378" s="6">
        <v>0</v>
      </c>
      <c r="J378" s="6">
        <v>0</v>
      </c>
    </row>
    <row r="379" spans="1:10" ht="13" x14ac:dyDescent="0.15">
      <c r="A379" s="33" t="s">
        <v>18</v>
      </c>
      <c r="B379" s="33" t="s">
        <v>136</v>
      </c>
      <c r="H379" s="6">
        <v>0</v>
      </c>
      <c r="I379" s="6">
        <v>0</v>
      </c>
      <c r="J379" s="6">
        <v>0</v>
      </c>
    </row>
    <row r="380" spans="1:10" ht="13" x14ac:dyDescent="0.15">
      <c r="A380" s="33" t="s">
        <v>18</v>
      </c>
      <c r="B380" s="33" t="s">
        <v>136</v>
      </c>
      <c r="H380" s="6">
        <v>0</v>
      </c>
      <c r="I380" s="6">
        <v>0</v>
      </c>
      <c r="J380" s="6">
        <v>0</v>
      </c>
    </row>
    <row r="381" spans="1:10" ht="13" x14ac:dyDescent="0.15">
      <c r="A381" s="33" t="s">
        <v>18</v>
      </c>
      <c r="B381" s="33" t="s">
        <v>136</v>
      </c>
      <c r="H381" s="6">
        <v>0</v>
      </c>
      <c r="I381" s="6">
        <v>0</v>
      </c>
      <c r="J381" s="6">
        <v>0</v>
      </c>
    </row>
    <row r="382" spans="1:10" ht="13" x14ac:dyDescent="0.15">
      <c r="A382" s="33" t="s">
        <v>18</v>
      </c>
      <c r="B382" s="33" t="s">
        <v>136</v>
      </c>
      <c r="H382" s="6">
        <v>0</v>
      </c>
      <c r="I382" s="6">
        <v>0</v>
      </c>
      <c r="J382" s="6">
        <v>0</v>
      </c>
    </row>
    <row r="383" spans="1:10" ht="13" x14ac:dyDescent="0.15">
      <c r="A383" s="33" t="s">
        <v>18</v>
      </c>
      <c r="B383" s="33" t="s">
        <v>23</v>
      </c>
      <c r="H383" s="6">
        <v>0</v>
      </c>
      <c r="I383" s="6">
        <v>0</v>
      </c>
      <c r="J383" s="6">
        <v>0</v>
      </c>
    </row>
    <row r="384" spans="1:10" ht="13" x14ac:dyDescent="0.15">
      <c r="A384" s="33" t="s">
        <v>30</v>
      </c>
      <c r="B384" s="33" t="s">
        <v>18</v>
      </c>
      <c r="H384" s="6">
        <v>0</v>
      </c>
      <c r="I384" s="6">
        <v>0</v>
      </c>
      <c r="J384" s="6">
        <v>0</v>
      </c>
    </row>
    <row r="385" spans="1:10" ht="13" x14ac:dyDescent="0.15">
      <c r="A385" s="33" t="s">
        <v>12</v>
      </c>
      <c r="B385" s="33" t="s">
        <v>18</v>
      </c>
      <c r="H385" s="6">
        <v>0</v>
      </c>
      <c r="I385" s="6">
        <v>0</v>
      </c>
      <c r="J385" s="6">
        <v>0</v>
      </c>
    </row>
    <row r="386" spans="1:10" ht="13" x14ac:dyDescent="0.15">
      <c r="A386" s="33" t="s">
        <v>88</v>
      </c>
      <c r="B386" s="33" t="s">
        <v>88</v>
      </c>
      <c r="H386" s="6">
        <v>0</v>
      </c>
      <c r="I386" s="6">
        <v>0</v>
      </c>
      <c r="J386" s="6">
        <v>0</v>
      </c>
    </row>
    <row r="387" spans="1:10" ht="13" x14ac:dyDescent="0.15">
      <c r="A387" s="33" t="s">
        <v>88</v>
      </c>
      <c r="B387" s="33" t="s">
        <v>88</v>
      </c>
      <c r="H387" s="6">
        <v>0</v>
      </c>
      <c r="I387" s="6">
        <v>0</v>
      </c>
      <c r="J387" s="6">
        <v>0</v>
      </c>
    </row>
    <row r="388" spans="1:10" ht="13" x14ac:dyDescent="0.15">
      <c r="A388" s="33" t="s">
        <v>88</v>
      </c>
      <c r="B388" s="33" t="s">
        <v>88</v>
      </c>
      <c r="H388" s="6">
        <v>0</v>
      </c>
      <c r="I388" s="6">
        <v>0</v>
      </c>
      <c r="J388" s="6">
        <v>0</v>
      </c>
    </row>
    <row r="389" spans="1:10" ht="13" x14ac:dyDescent="0.15">
      <c r="A389" s="33" t="s">
        <v>88</v>
      </c>
      <c r="B389" s="33" t="s">
        <v>88</v>
      </c>
      <c r="H389" s="6">
        <v>0</v>
      </c>
      <c r="I389" s="6">
        <v>0</v>
      </c>
      <c r="J389" s="6">
        <v>0</v>
      </c>
    </row>
    <row r="390" spans="1:10" ht="13" x14ac:dyDescent="0.15">
      <c r="A390" s="33" t="s">
        <v>18</v>
      </c>
      <c r="B390" s="33" t="s">
        <v>18</v>
      </c>
      <c r="H390" s="6">
        <v>0</v>
      </c>
      <c r="I390" s="6">
        <v>0</v>
      </c>
      <c r="J390" s="6">
        <v>0</v>
      </c>
    </row>
    <row r="391" spans="1:10" ht="13" x14ac:dyDescent="0.15">
      <c r="A391" s="33" t="s">
        <v>23</v>
      </c>
      <c r="B391" s="33" t="s">
        <v>23</v>
      </c>
      <c r="H391" s="6">
        <v>0</v>
      </c>
      <c r="I391" s="6">
        <v>0</v>
      </c>
      <c r="J391" s="6">
        <v>0</v>
      </c>
    </row>
    <row r="392" spans="1:10" ht="13" x14ac:dyDescent="0.15">
      <c r="A392" s="33" t="s">
        <v>23</v>
      </c>
      <c r="B392" s="33" t="s">
        <v>23</v>
      </c>
      <c r="H392" s="6">
        <v>0</v>
      </c>
      <c r="I392" s="6">
        <v>0</v>
      </c>
      <c r="J392" s="6">
        <v>0</v>
      </c>
    </row>
    <row r="393" spans="1:10" ht="13" x14ac:dyDescent="0.15">
      <c r="A393" s="33" t="s">
        <v>88</v>
      </c>
      <c r="B393" s="33" t="s">
        <v>88</v>
      </c>
      <c r="H393" s="6">
        <v>0</v>
      </c>
      <c r="I393" s="6">
        <v>0</v>
      </c>
      <c r="J393" s="6">
        <v>0</v>
      </c>
    </row>
    <row r="394" spans="1:10" ht="13" x14ac:dyDescent="0.15">
      <c r="A394" s="33" t="s">
        <v>88</v>
      </c>
      <c r="B394" s="33" t="s">
        <v>88</v>
      </c>
      <c r="H394" s="6">
        <v>0</v>
      </c>
      <c r="I394" s="6">
        <v>0</v>
      </c>
      <c r="J394" s="6">
        <v>0</v>
      </c>
    </row>
    <row r="395" spans="1:10" ht="13" x14ac:dyDescent="0.15">
      <c r="A395" s="33" t="s">
        <v>18</v>
      </c>
      <c r="B395" s="33" t="s">
        <v>30</v>
      </c>
      <c r="H395" s="6">
        <v>0</v>
      </c>
      <c r="I395" s="6">
        <v>0</v>
      </c>
      <c r="J395" s="6">
        <v>0</v>
      </c>
    </row>
    <row r="396" spans="1:10" ht="13" x14ac:dyDescent="0.15">
      <c r="A396" s="33" t="s">
        <v>30</v>
      </c>
      <c r="B396" s="33" t="s">
        <v>30</v>
      </c>
      <c r="H396" s="6">
        <v>0</v>
      </c>
      <c r="I396" s="6">
        <v>0</v>
      </c>
      <c r="J396" s="6">
        <v>0</v>
      </c>
    </row>
    <row r="397" spans="1:10" ht="13" x14ac:dyDescent="0.15">
      <c r="A397" s="33" t="s">
        <v>12</v>
      </c>
      <c r="B397" s="33" t="s">
        <v>12</v>
      </c>
      <c r="H397" s="6">
        <v>0</v>
      </c>
      <c r="I397" s="6">
        <v>0</v>
      </c>
      <c r="J397" s="6">
        <v>0</v>
      </c>
    </row>
    <row r="398" spans="1:10" ht="13" x14ac:dyDescent="0.15">
      <c r="A398" s="33" t="s">
        <v>30</v>
      </c>
      <c r="B398" s="33" t="s">
        <v>30</v>
      </c>
      <c r="H398" s="6">
        <v>0</v>
      </c>
      <c r="I398" s="6">
        <v>0</v>
      </c>
      <c r="J398" s="6">
        <v>0</v>
      </c>
    </row>
    <row r="399" spans="1:10" ht="13" x14ac:dyDescent="0.15">
      <c r="A399" s="33" t="s">
        <v>30</v>
      </c>
      <c r="B399" s="33" t="s">
        <v>30</v>
      </c>
      <c r="H399" s="6">
        <v>0</v>
      </c>
      <c r="I399" s="6">
        <v>0</v>
      </c>
      <c r="J399" s="6">
        <v>0</v>
      </c>
    </row>
    <row r="400" spans="1:10" ht="13" x14ac:dyDescent="0.15">
      <c r="A400" s="33" t="s">
        <v>12</v>
      </c>
      <c r="B400" s="33" t="s">
        <v>12</v>
      </c>
      <c r="H400" s="6">
        <v>0</v>
      </c>
      <c r="I400" s="6">
        <v>0</v>
      </c>
      <c r="J400" s="6">
        <v>0</v>
      </c>
    </row>
    <row r="401" spans="1:10" ht="13" x14ac:dyDescent="0.15">
      <c r="A401" s="33" t="s">
        <v>88</v>
      </c>
      <c r="B401" s="33" t="s">
        <v>88</v>
      </c>
      <c r="H401" s="6">
        <v>0</v>
      </c>
      <c r="I401" s="6">
        <v>0</v>
      </c>
      <c r="J401" s="6">
        <v>0</v>
      </c>
    </row>
    <row r="402" spans="1:10" ht="13" x14ac:dyDescent="0.15">
      <c r="A402" s="33" t="s">
        <v>88</v>
      </c>
      <c r="B402" s="33" t="s">
        <v>88</v>
      </c>
      <c r="H402" s="6">
        <v>0</v>
      </c>
      <c r="I402" s="6">
        <v>0</v>
      </c>
      <c r="J402" s="6">
        <v>0</v>
      </c>
    </row>
    <row r="403" spans="1:10" ht="13" x14ac:dyDescent="0.15">
      <c r="A403" s="33" t="s">
        <v>23</v>
      </c>
      <c r="B403" s="33" t="s">
        <v>23</v>
      </c>
      <c r="H403" s="6">
        <v>0</v>
      </c>
      <c r="I403" s="6">
        <v>0</v>
      </c>
      <c r="J403" s="6">
        <v>0</v>
      </c>
    </row>
    <row r="404" spans="1:10" ht="13" x14ac:dyDescent="0.15">
      <c r="A404" s="33" t="s">
        <v>18</v>
      </c>
      <c r="B404" s="33" t="s">
        <v>18</v>
      </c>
      <c r="H404" s="6">
        <v>0</v>
      </c>
      <c r="I404" s="6">
        <v>0</v>
      </c>
      <c r="J404" s="6">
        <v>0</v>
      </c>
    </row>
    <row r="405" spans="1:10" ht="13" x14ac:dyDescent="0.15">
      <c r="A405" s="33" t="s">
        <v>12</v>
      </c>
      <c r="B405" s="33" t="s">
        <v>12</v>
      </c>
      <c r="H405" s="6">
        <v>0</v>
      </c>
      <c r="I405" s="6">
        <v>0</v>
      </c>
      <c r="J405" s="6">
        <v>0</v>
      </c>
    </row>
    <row r="406" spans="1:10" ht="13" x14ac:dyDescent="0.15">
      <c r="A406" s="33" t="s">
        <v>88</v>
      </c>
      <c r="B406" s="33" t="s">
        <v>88</v>
      </c>
      <c r="H406" s="6">
        <v>0</v>
      </c>
      <c r="I406" s="6">
        <v>0</v>
      </c>
      <c r="J406" s="6">
        <v>0</v>
      </c>
    </row>
    <row r="407" spans="1:10" ht="13" x14ac:dyDescent="0.15">
      <c r="A407" s="33" t="s">
        <v>23</v>
      </c>
      <c r="B407" s="33" t="s">
        <v>23</v>
      </c>
      <c r="H407" s="6">
        <v>0</v>
      </c>
      <c r="I407" s="6">
        <v>0</v>
      </c>
      <c r="J407" s="6">
        <v>0</v>
      </c>
    </row>
    <row r="408" spans="1:10" ht="13" x14ac:dyDescent="0.15">
      <c r="A408" s="33" t="s">
        <v>23</v>
      </c>
      <c r="B408" s="33" t="s">
        <v>23</v>
      </c>
      <c r="H408" s="6">
        <v>0</v>
      </c>
      <c r="I408" s="6">
        <v>0</v>
      </c>
      <c r="J408" s="6">
        <v>0</v>
      </c>
    </row>
    <row r="409" spans="1:10" ht="13" x14ac:dyDescent="0.15">
      <c r="A409" s="33" t="s">
        <v>88</v>
      </c>
      <c r="B409" s="33" t="s">
        <v>88</v>
      </c>
      <c r="H409" s="6">
        <v>0</v>
      </c>
      <c r="I409" s="6">
        <v>0</v>
      </c>
      <c r="J409" s="6">
        <v>0</v>
      </c>
    </row>
    <row r="410" spans="1:10" ht="13" x14ac:dyDescent="0.15">
      <c r="A410" s="33" t="s">
        <v>115</v>
      </c>
      <c r="B410" s="33" t="s">
        <v>115</v>
      </c>
      <c r="H410" s="6">
        <v>0</v>
      </c>
      <c r="I410" s="6">
        <v>0</v>
      </c>
      <c r="J410" s="6">
        <v>0</v>
      </c>
    </row>
    <row r="411" spans="1:10" ht="13" x14ac:dyDescent="0.15">
      <c r="A411" s="33" t="s">
        <v>115</v>
      </c>
      <c r="B411" s="33" t="s">
        <v>115</v>
      </c>
      <c r="H411" s="6">
        <v>0</v>
      </c>
      <c r="I411" s="6">
        <v>0</v>
      </c>
      <c r="J411" s="6">
        <v>0</v>
      </c>
    </row>
    <row r="412" spans="1:10" ht="13" x14ac:dyDescent="0.15">
      <c r="A412" s="33" t="s">
        <v>115</v>
      </c>
      <c r="B412" s="33" t="s">
        <v>115</v>
      </c>
      <c r="H412" s="6">
        <v>0</v>
      </c>
      <c r="I412" s="6">
        <v>0</v>
      </c>
      <c r="J412" s="6">
        <v>0</v>
      </c>
    </row>
    <row r="413" spans="1:10" ht="13" x14ac:dyDescent="0.15">
      <c r="A413" s="33" t="s">
        <v>342</v>
      </c>
      <c r="B413" s="33" t="s">
        <v>342</v>
      </c>
      <c r="H413" s="6">
        <v>0</v>
      </c>
      <c r="I413" s="6">
        <v>0</v>
      </c>
      <c r="J413" s="6">
        <v>0</v>
      </c>
    </row>
    <row r="414" spans="1:10" ht="13" x14ac:dyDescent="0.15">
      <c r="A414" s="33" t="s">
        <v>18</v>
      </c>
      <c r="B414" s="33" t="s">
        <v>18</v>
      </c>
      <c r="H414" s="6">
        <v>0</v>
      </c>
      <c r="I414" s="6">
        <v>0</v>
      </c>
      <c r="J414" s="6">
        <v>0</v>
      </c>
    </row>
    <row r="415" spans="1:10" ht="13" x14ac:dyDescent="0.15">
      <c r="A415" s="33" t="s">
        <v>18</v>
      </c>
      <c r="B415" s="33" t="s">
        <v>18</v>
      </c>
      <c r="H415" s="6">
        <v>0</v>
      </c>
      <c r="I415" s="6">
        <v>0</v>
      </c>
      <c r="J415" s="6">
        <v>0</v>
      </c>
    </row>
    <row r="416" spans="1:10" ht="13" x14ac:dyDescent="0.15">
      <c r="A416" s="33" t="s">
        <v>18</v>
      </c>
      <c r="B416" s="33" t="s">
        <v>18</v>
      </c>
      <c r="H416" s="6">
        <v>0</v>
      </c>
      <c r="I416" s="6">
        <v>0</v>
      </c>
      <c r="J416" s="6">
        <v>0</v>
      </c>
    </row>
    <row r="417" spans="1:10" ht="13" x14ac:dyDescent="0.15">
      <c r="A417" s="33" t="s">
        <v>83</v>
      </c>
      <c r="B417" s="33" t="s">
        <v>30</v>
      </c>
      <c r="H417" s="6">
        <v>0</v>
      </c>
      <c r="I417" s="6">
        <v>0</v>
      </c>
      <c r="J417" s="6">
        <v>0</v>
      </c>
    </row>
    <row r="418" spans="1:10" ht="13" x14ac:dyDescent="0.15">
      <c r="A418" s="33" t="s">
        <v>30</v>
      </c>
      <c r="B418" s="33" t="s">
        <v>83</v>
      </c>
      <c r="H418" s="6">
        <v>0</v>
      </c>
      <c r="I418" s="6">
        <v>0</v>
      </c>
      <c r="J418" s="6">
        <v>0</v>
      </c>
    </row>
    <row r="419" spans="1:10" ht="13" x14ac:dyDescent="0.15">
      <c r="A419" s="33" t="s">
        <v>18</v>
      </c>
      <c r="B419" s="33" t="s">
        <v>83</v>
      </c>
      <c r="H419" s="6">
        <v>0</v>
      </c>
      <c r="I419" s="6">
        <v>0</v>
      </c>
      <c r="J419" s="6">
        <v>0</v>
      </c>
    </row>
    <row r="420" spans="1:10" ht="13" x14ac:dyDescent="0.15">
      <c r="A420" s="33" t="s">
        <v>12</v>
      </c>
      <c r="B420" s="33" t="s">
        <v>136</v>
      </c>
      <c r="H420" s="6">
        <v>0</v>
      </c>
      <c r="I420" s="6">
        <v>0</v>
      </c>
      <c r="J420" s="6">
        <v>0</v>
      </c>
    </row>
    <row r="421" spans="1:10" ht="13" x14ac:dyDescent="0.15">
      <c r="A421" s="33" t="s">
        <v>12</v>
      </c>
      <c r="B421" s="33" t="s">
        <v>136</v>
      </c>
      <c r="H421" s="6">
        <v>0</v>
      </c>
      <c r="I421" s="6">
        <v>0</v>
      </c>
      <c r="J421" s="6">
        <v>0</v>
      </c>
    </row>
    <row r="422" spans="1:10" ht="13" x14ac:dyDescent="0.15">
      <c r="A422" s="33" t="s">
        <v>12</v>
      </c>
      <c r="B422" s="33" t="s">
        <v>136</v>
      </c>
      <c r="H422" s="6">
        <v>0</v>
      </c>
      <c r="I422" s="6">
        <v>0</v>
      </c>
      <c r="J422" s="6">
        <v>0</v>
      </c>
    </row>
    <row r="423" spans="1:10" ht="13" x14ac:dyDescent="0.15">
      <c r="A423" s="33" t="s">
        <v>18</v>
      </c>
      <c r="B423" s="33" t="s">
        <v>136</v>
      </c>
      <c r="H423" s="6">
        <v>0</v>
      </c>
      <c r="I423" s="6">
        <v>0</v>
      </c>
      <c r="J423" s="6">
        <v>0</v>
      </c>
    </row>
    <row r="424" spans="1:10" ht="13" x14ac:dyDescent="0.15">
      <c r="A424" s="33" t="s">
        <v>30</v>
      </c>
      <c r="B424" s="33" t="s">
        <v>83</v>
      </c>
      <c r="H424" s="6">
        <v>0</v>
      </c>
      <c r="I424" s="6">
        <v>0</v>
      </c>
      <c r="J424" s="6">
        <v>0</v>
      </c>
    </row>
    <row r="425" spans="1:10" ht="13" x14ac:dyDescent="0.15">
      <c r="A425" s="33" t="s">
        <v>83</v>
      </c>
      <c r="B425" s="33" t="s">
        <v>83</v>
      </c>
      <c r="H425" s="6">
        <v>0</v>
      </c>
      <c r="I425" s="6">
        <v>0</v>
      </c>
      <c r="J425" s="6">
        <v>0</v>
      </c>
    </row>
    <row r="426" spans="1:10" ht="13" x14ac:dyDescent="0.15">
      <c r="A426" s="33" t="s">
        <v>83</v>
      </c>
      <c r="B426" s="33" t="s">
        <v>83</v>
      </c>
      <c r="H426" s="6">
        <v>0</v>
      </c>
      <c r="I426" s="6">
        <v>0</v>
      </c>
      <c r="J426" s="6">
        <v>0</v>
      </c>
    </row>
    <row r="427" spans="1:10" ht="13" x14ac:dyDescent="0.15">
      <c r="A427" s="33" t="s">
        <v>83</v>
      </c>
      <c r="B427" s="33" t="s">
        <v>83</v>
      </c>
      <c r="H427" s="6">
        <v>0</v>
      </c>
      <c r="I427" s="6">
        <v>0</v>
      </c>
      <c r="J427" s="6">
        <v>0</v>
      </c>
    </row>
    <row r="428" spans="1:10" ht="13" x14ac:dyDescent="0.15">
      <c r="A428" s="33" t="s">
        <v>136</v>
      </c>
      <c r="B428" s="33" t="s">
        <v>136</v>
      </c>
      <c r="H428" s="6">
        <v>0</v>
      </c>
      <c r="I428" s="6">
        <v>0</v>
      </c>
      <c r="J428" s="6">
        <v>0</v>
      </c>
    </row>
    <row r="429" spans="1:10" ht="13" x14ac:dyDescent="0.15">
      <c r="A429" s="33" t="s">
        <v>12</v>
      </c>
      <c r="B429" s="33" t="s">
        <v>12</v>
      </c>
      <c r="H429" s="6">
        <v>0</v>
      </c>
      <c r="I429" s="6">
        <v>0</v>
      </c>
      <c r="J429" s="6">
        <v>0</v>
      </c>
    </row>
    <row r="430" spans="1:10" ht="13" x14ac:dyDescent="0.15">
      <c r="A430" s="33" t="s">
        <v>30</v>
      </c>
      <c r="B430" s="33" t="s">
        <v>30</v>
      </c>
      <c r="H430" s="6">
        <v>0</v>
      </c>
      <c r="I430" s="6">
        <v>0</v>
      </c>
      <c r="J430" s="6">
        <v>0</v>
      </c>
    </row>
    <row r="431" spans="1:10" ht="13" x14ac:dyDescent="0.15">
      <c r="A431" s="33" t="s">
        <v>30</v>
      </c>
      <c r="B431" s="33" t="s">
        <v>30</v>
      </c>
      <c r="H431" s="6">
        <v>0</v>
      </c>
      <c r="I431" s="6">
        <v>0</v>
      </c>
      <c r="J431" s="6">
        <v>0</v>
      </c>
    </row>
    <row r="432" spans="1:10" ht="13" x14ac:dyDescent="0.15">
      <c r="A432" s="33" t="s">
        <v>30</v>
      </c>
      <c r="B432" s="33" t="s">
        <v>30</v>
      </c>
      <c r="H432" s="6">
        <v>0</v>
      </c>
      <c r="I432" s="6">
        <v>0</v>
      </c>
      <c r="J432" s="6">
        <v>0</v>
      </c>
    </row>
    <row r="433" spans="1:10" ht="13" x14ac:dyDescent="0.15">
      <c r="A433" s="33" t="s">
        <v>30</v>
      </c>
      <c r="B433" s="33" t="s">
        <v>30</v>
      </c>
      <c r="H433" s="6">
        <v>0</v>
      </c>
      <c r="I433" s="6">
        <v>0</v>
      </c>
      <c r="J433" s="6">
        <v>0</v>
      </c>
    </row>
    <row r="434" spans="1:10" ht="13" x14ac:dyDescent="0.15">
      <c r="A434" s="33" t="s">
        <v>30</v>
      </c>
      <c r="B434" s="33" t="s">
        <v>30</v>
      </c>
      <c r="H434" s="6">
        <v>0</v>
      </c>
      <c r="I434" s="6">
        <v>0</v>
      </c>
      <c r="J434" s="6">
        <v>0</v>
      </c>
    </row>
    <row r="435" spans="1:10" ht="13" x14ac:dyDescent="0.15">
      <c r="A435" s="33" t="s">
        <v>23</v>
      </c>
      <c r="B435" s="33" t="s">
        <v>23</v>
      </c>
      <c r="H435" s="6">
        <v>0</v>
      </c>
      <c r="I435" s="6">
        <v>0</v>
      </c>
      <c r="J435" s="6">
        <v>0</v>
      </c>
    </row>
    <row r="436" spans="1:10" ht="13" x14ac:dyDescent="0.15">
      <c r="A436" s="33" t="s">
        <v>23</v>
      </c>
      <c r="B436" s="33" t="s">
        <v>23</v>
      </c>
      <c r="H436" s="6">
        <v>0</v>
      </c>
      <c r="I436" s="6">
        <v>0</v>
      </c>
      <c r="J436" s="6">
        <v>0</v>
      </c>
    </row>
    <row r="437" spans="1:10" ht="13" x14ac:dyDescent="0.15">
      <c r="A437" s="33" t="s">
        <v>23</v>
      </c>
      <c r="B437" s="33" t="s">
        <v>23</v>
      </c>
      <c r="H437" s="6">
        <v>0</v>
      </c>
      <c r="I437" s="6">
        <v>0</v>
      </c>
      <c r="J437" s="6">
        <v>0</v>
      </c>
    </row>
    <row r="438" spans="1:10" ht="13" x14ac:dyDescent="0.15">
      <c r="A438" s="33" t="s">
        <v>342</v>
      </c>
      <c r="B438" s="33" t="s">
        <v>12</v>
      </c>
      <c r="H438" s="6">
        <v>0</v>
      </c>
      <c r="I438" s="6">
        <v>0</v>
      </c>
      <c r="J438" s="6">
        <v>0</v>
      </c>
    </row>
    <row r="439" spans="1:10" ht="13" x14ac:dyDescent="0.15">
      <c r="A439" s="33" t="s">
        <v>30</v>
      </c>
      <c r="B439" s="33" t="s">
        <v>18</v>
      </c>
      <c r="H439" s="6">
        <v>0</v>
      </c>
      <c r="I439" s="6">
        <v>0</v>
      </c>
      <c r="J439" s="6">
        <v>0</v>
      </c>
    </row>
    <row r="440" spans="1:10" ht="13" x14ac:dyDescent="0.15">
      <c r="A440" s="33" t="s">
        <v>136</v>
      </c>
      <c r="B440" s="33" t="s">
        <v>136</v>
      </c>
      <c r="H440" s="6">
        <v>0</v>
      </c>
      <c r="I440" s="6">
        <v>0</v>
      </c>
      <c r="J440" s="6">
        <v>0</v>
      </c>
    </row>
    <row r="441" spans="1:10" ht="13" x14ac:dyDescent="0.15">
      <c r="A441" s="33" t="s">
        <v>30</v>
      </c>
      <c r="B441" s="33" t="s">
        <v>30</v>
      </c>
      <c r="H441" s="6">
        <v>0</v>
      </c>
      <c r="I441" s="6">
        <v>0</v>
      </c>
      <c r="J441" s="6">
        <v>0</v>
      </c>
    </row>
    <row r="442" spans="1:10" ht="13" x14ac:dyDescent="0.15">
      <c r="A442" s="33" t="s">
        <v>342</v>
      </c>
      <c r="B442" s="33" t="s">
        <v>342</v>
      </c>
      <c r="H442" s="6">
        <v>0</v>
      </c>
      <c r="I442" s="6">
        <v>0</v>
      </c>
      <c r="J442" s="6">
        <v>0</v>
      </c>
    </row>
    <row r="443" spans="1:10" ht="13" x14ac:dyDescent="0.15">
      <c r="A443" s="33" t="s">
        <v>88</v>
      </c>
      <c r="B443" s="33" t="s">
        <v>88</v>
      </c>
      <c r="H443" s="6">
        <v>0</v>
      </c>
      <c r="I443" s="6">
        <v>0</v>
      </c>
      <c r="J443" s="6">
        <v>0</v>
      </c>
    </row>
    <row r="444" spans="1:10" ht="13" x14ac:dyDescent="0.15">
      <c r="A444" s="33" t="s">
        <v>30</v>
      </c>
      <c r="B444" s="33" t="s">
        <v>18</v>
      </c>
      <c r="H444" s="6">
        <v>0</v>
      </c>
      <c r="I444" s="6">
        <v>0</v>
      </c>
      <c r="J444" s="6">
        <v>0</v>
      </c>
    </row>
    <row r="445" spans="1:10" ht="13" x14ac:dyDescent="0.15">
      <c r="A445" s="33" t="s">
        <v>30</v>
      </c>
      <c r="B445" s="33" t="s">
        <v>18</v>
      </c>
      <c r="H445" s="6">
        <v>0</v>
      </c>
      <c r="I445" s="6">
        <v>0</v>
      </c>
      <c r="J445" s="6">
        <v>0</v>
      </c>
    </row>
    <row r="446" spans="1:10" ht="13" x14ac:dyDescent="0.15">
      <c r="A446" s="33" t="s">
        <v>30</v>
      </c>
      <c r="B446" s="33" t="s">
        <v>18</v>
      </c>
      <c r="H446" s="6">
        <v>0</v>
      </c>
      <c r="I446" s="6">
        <v>0</v>
      </c>
      <c r="J446" s="6">
        <v>0</v>
      </c>
    </row>
    <row r="447" spans="1:10" ht="13" x14ac:dyDescent="0.15">
      <c r="A447" s="33" t="s">
        <v>30</v>
      </c>
      <c r="B447" s="33" t="s">
        <v>18</v>
      </c>
      <c r="H447" s="6">
        <v>0</v>
      </c>
      <c r="I447" s="6">
        <v>0</v>
      </c>
      <c r="J447" s="6">
        <v>0</v>
      </c>
    </row>
    <row r="448" spans="1:10" ht="13" x14ac:dyDescent="0.15">
      <c r="A448" s="33" t="s">
        <v>30</v>
      </c>
      <c r="B448" s="33" t="s">
        <v>30</v>
      </c>
      <c r="H448" s="6">
        <v>0</v>
      </c>
      <c r="I448" s="6">
        <v>0</v>
      </c>
      <c r="J448" s="6">
        <v>0</v>
      </c>
    </row>
    <row r="449" spans="1:10" ht="13" x14ac:dyDescent="0.15">
      <c r="A449" s="33" t="s">
        <v>12</v>
      </c>
      <c r="B449" s="33" t="s">
        <v>12</v>
      </c>
      <c r="H449" s="6">
        <v>0</v>
      </c>
      <c r="I449" s="6">
        <v>0</v>
      </c>
      <c r="J449" s="6">
        <v>0</v>
      </c>
    </row>
    <row r="450" spans="1:10" ht="13" x14ac:dyDescent="0.15">
      <c r="A450" s="33" t="s">
        <v>30</v>
      </c>
      <c r="B450" s="33" t="s">
        <v>30</v>
      </c>
      <c r="H450" s="6">
        <v>0</v>
      </c>
      <c r="I450" s="6">
        <v>0</v>
      </c>
      <c r="J450" s="6">
        <v>0</v>
      </c>
    </row>
    <row r="451" spans="1:10" ht="13" x14ac:dyDescent="0.15">
      <c r="A451" s="33" t="s">
        <v>30</v>
      </c>
      <c r="B451" s="33" t="s">
        <v>30</v>
      </c>
      <c r="H451" s="6">
        <v>0</v>
      </c>
      <c r="I451" s="6">
        <v>0</v>
      </c>
      <c r="J451" s="6">
        <v>0</v>
      </c>
    </row>
    <row r="452" spans="1:10" ht="13" x14ac:dyDescent="0.15">
      <c r="A452" s="33" t="s">
        <v>30</v>
      </c>
      <c r="B452" s="33" t="s">
        <v>30</v>
      </c>
      <c r="H452" s="6">
        <v>0</v>
      </c>
      <c r="I452" s="6">
        <v>0</v>
      </c>
      <c r="J452" s="6">
        <v>0</v>
      </c>
    </row>
    <row r="453" spans="1:10" ht="13" x14ac:dyDescent="0.15">
      <c r="A453" s="33" t="s">
        <v>30</v>
      </c>
      <c r="B453" s="33" t="s">
        <v>30</v>
      </c>
      <c r="H453" s="6">
        <v>0</v>
      </c>
      <c r="I453" s="6">
        <v>0</v>
      </c>
      <c r="J453" s="6">
        <v>0</v>
      </c>
    </row>
    <row r="454" spans="1:10" ht="13" x14ac:dyDescent="0.15">
      <c r="A454" s="33" t="s">
        <v>342</v>
      </c>
      <c r="B454" s="33" t="s">
        <v>342</v>
      </c>
      <c r="H454" s="6">
        <v>0</v>
      </c>
      <c r="I454" s="6">
        <v>0</v>
      </c>
      <c r="J454" s="6">
        <v>0</v>
      </c>
    </row>
    <row r="455" spans="1:10" ht="13" x14ac:dyDescent="0.15">
      <c r="A455" s="33" t="s">
        <v>136</v>
      </c>
      <c r="B455" s="33" t="s">
        <v>18</v>
      </c>
      <c r="H455" s="6">
        <v>0</v>
      </c>
      <c r="I455" s="6">
        <v>0</v>
      </c>
      <c r="J455" s="6">
        <v>0</v>
      </c>
    </row>
    <row r="456" spans="1:10" ht="13" x14ac:dyDescent="0.15">
      <c r="A456" s="33" t="s">
        <v>88</v>
      </c>
      <c r="B456" s="33" t="s">
        <v>88</v>
      </c>
      <c r="H456" s="6">
        <v>0</v>
      </c>
      <c r="I456" s="6">
        <v>0</v>
      </c>
      <c r="J456" s="6">
        <v>0</v>
      </c>
    </row>
    <row r="457" spans="1:10" ht="13" x14ac:dyDescent="0.15">
      <c r="A457" s="33" t="s">
        <v>88</v>
      </c>
      <c r="B457" s="33" t="s">
        <v>88</v>
      </c>
      <c r="H457" s="6">
        <v>0</v>
      </c>
      <c r="I457" s="6">
        <v>0</v>
      </c>
      <c r="J457" s="6">
        <v>0</v>
      </c>
    </row>
    <row r="458" spans="1:10" ht="13" x14ac:dyDescent="0.15">
      <c r="A458" s="33" t="s">
        <v>88</v>
      </c>
      <c r="B458" s="33" t="s">
        <v>88</v>
      </c>
      <c r="H458" s="6">
        <v>0</v>
      </c>
      <c r="I458" s="6">
        <v>0</v>
      </c>
      <c r="J458" s="6">
        <v>0</v>
      </c>
    </row>
    <row r="459" spans="1:10" ht="13" x14ac:dyDescent="0.15">
      <c r="A459" s="33" t="s">
        <v>88</v>
      </c>
      <c r="B459" s="33" t="s">
        <v>88</v>
      </c>
      <c r="H459" s="6">
        <v>0</v>
      </c>
      <c r="I459" s="6">
        <v>0</v>
      </c>
      <c r="J459" s="6">
        <v>0</v>
      </c>
    </row>
    <row r="460" spans="1:10" ht="13" x14ac:dyDescent="0.15">
      <c r="A460" s="33" t="s">
        <v>18</v>
      </c>
      <c r="B460" s="33" t="s">
        <v>88</v>
      </c>
      <c r="H460" s="6">
        <v>0</v>
      </c>
      <c r="I460" s="6">
        <v>0</v>
      </c>
      <c r="J460" s="6">
        <v>0</v>
      </c>
    </row>
    <row r="461" spans="1:10" ht="13" x14ac:dyDescent="0.15">
      <c r="A461" s="33" t="s">
        <v>30</v>
      </c>
      <c r="B461" s="33" t="s">
        <v>30</v>
      </c>
      <c r="H461" s="6">
        <v>0</v>
      </c>
      <c r="I461" s="6">
        <v>0</v>
      </c>
      <c r="J461" s="6">
        <v>0</v>
      </c>
    </row>
    <row r="462" spans="1:10" ht="13" x14ac:dyDescent="0.15">
      <c r="A462" s="33" t="s">
        <v>30</v>
      </c>
      <c r="B462" s="33" t="s">
        <v>83</v>
      </c>
      <c r="H462" s="6">
        <v>0</v>
      </c>
      <c r="I462" s="6">
        <v>0</v>
      </c>
      <c r="J462" s="6">
        <v>0</v>
      </c>
    </row>
    <row r="463" spans="1:10" ht="13" x14ac:dyDescent="0.15">
      <c r="A463" s="33" t="s">
        <v>83</v>
      </c>
      <c r="B463" s="33" t="s">
        <v>83</v>
      </c>
      <c r="H463" s="6">
        <v>0</v>
      </c>
      <c r="I463" s="6">
        <v>0</v>
      </c>
      <c r="J463" s="6">
        <v>0</v>
      </c>
    </row>
    <row r="464" spans="1:10" ht="13" x14ac:dyDescent="0.15">
      <c r="A464" s="33" t="s">
        <v>12</v>
      </c>
      <c r="B464" s="33" t="s">
        <v>12</v>
      </c>
      <c r="H464" s="6">
        <v>0</v>
      </c>
      <c r="I464" s="6">
        <v>0</v>
      </c>
      <c r="J464" s="6">
        <v>0</v>
      </c>
    </row>
    <row r="465" spans="1:10" ht="13" x14ac:dyDescent="0.15">
      <c r="A465" s="33" t="s">
        <v>12</v>
      </c>
      <c r="B465" s="33" t="s">
        <v>12</v>
      </c>
      <c r="H465" s="6">
        <v>0</v>
      </c>
      <c r="I465" s="6">
        <v>0</v>
      </c>
      <c r="J465" s="6">
        <v>0</v>
      </c>
    </row>
    <row r="466" spans="1:10" ht="13" x14ac:dyDescent="0.15">
      <c r="A466" s="33" t="s">
        <v>12</v>
      </c>
      <c r="B466" s="33" t="s">
        <v>12</v>
      </c>
      <c r="H466" s="6">
        <v>0</v>
      </c>
      <c r="I466" s="6">
        <v>0</v>
      </c>
      <c r="J466" s="6">
        <v>0</v>
      </c>
    </row>
    <row r="467" spans="1:10" ht="13" x14ac:dyDescent="0.15">
      <c r="A467" s="33" t="s">
        <v>12</v>
      </c>
      <c r="B467" s="33" t="s">
        <v>12</v>
      </c>
      <c r="H467" s="6">
        <v>0</v>
      </c>
      <c r="I467" s="6">
        <v>0</v>
      </c>
      <c r="J467" s="6">
        <v>0</v>
      </c>
    </row>
    <row r="468" spans="1:10" ht="13" x14ac:dyDescent="0.15">
      <c r="A468" s="33" t="s">
        <v>136</v>
      </c>
      <c r="B468" s="33" t="s">
        <v>18</v>
      </c>
      <c r="H468" s="6">
        <v>0</v>
      </c>
      <c r="I468" s="6">
        <v>0</v>
      </c>
      <c r="J468" s="6">
        <v>0</v>
      </c>
    </row>
    <row r="469" spans="1:10" ht="13" x14ac:dyDescent="0.15">
      <c r="A469" s="33" t="s">
        <v>12</v>
      </c>
      <c r="B469" s="33" t="s">
        <v>12</v>
      </c>
      <c r="H469" s="6">
        <v>0</v>
      </c>
      <c r="I469" s="6">
        <v>0</v>
      </c>
      <c r="J469" s="6">
        <v>0</v>
      </c>
    </row>
    <row r="470" spans="1:10" ht="13" x14ac:dyDescent="0.15">
      <c r="A470" s="33" t="s">
        <v>12</v>
      </c>
      <c r="B470" s="33" t="s">
        <v>12</v>
      </c>
      <c r="H470" s="6">
        <v>0</v>
      </c>
      <c r="I470" s="6">
        <v>0</v>
      </c>
      <c r="J470" s="6">
        <v>0</v>
      </c>
    </row>
    <row r="471" spans="1:10" ht="13" x14ac:dyDescent="0.15">
      <c r="A471" s="33" t="s">
        <v>30</v>
      </c>
      <c r="B471" s="33" t="s">
        <v>115</v>
      </c>
      <c r="H471" s="6">
        <v>0</v>
      </c>
      <c r="I471" s="6">
        <v>0</v>
      </c>
      <c r="J471" s="6">
        <v>0</v>
      </c>
    </row>
    <row r="472" spans="1:10" ht="13" x14ac:dyDescent="0.15">
      <c r="A472" s="33" t="s">
        <v>23</v>
      </c>
      <c r="B472" s="33" t="s">
        <v>23</v>
      </c>
      <c r="H472" s="6">
        <v>0</v>
      </c>
      <c r="I472" s="6">
        <v>0</v>
      </c>
      <c r="J472" s="6">
        <v>0</v>
      </c>
    </row>
    <row r="473" spans="1:10" ht="13" x14ac:dyDescent="0.15">
      <c r="A473" s="33" t="s">
        <v>23</v>
      </c>
      <c r="B473" s="33" t="s">
        <v>23</v>
      </c>
      <c r="H473" s="6">
        <v>0</v>
      </c>
      <c r="I473" s="6">
        <v>0</v>
      </c>
      <c r="J473" s="6">
        <v>0</v>
      </c>
    </row>
    <row r="474" spans="1:10" ht="13" x14ac:dyDescent="0.15">
      <c r="A474" s="33" t="s">
        <v>23</v>
      </c>
      <c r="B474" s="33" t="s">
        <v>18</v>
      </c>
      <c r="H474" s="6">
        <v>0</v>
      </c>
      <c r="I474" s="6">
        <v>0</v>
      </c>
      <c r="J474" s="6">
        <v>0</v>
      </c>
    </row>
    <row r="475" spans="1:10" ht="13" x14ac:dyDescent="0.15">
      <c r="A475" s="33" t="s">
        <v>136</v>
      </c>
      <c r="B475" s="33" t="s">
        <v>18</v>
      </c>
      <c r="H475" s="6">
        <v>0</v>
      </c>
      <c r="I475" s="6">
        <v>0</v>
      </c>
      <c r="J475" s="6">
        <v>0</v>
      </c>
    </row>
    <row r="476" spans="1:10" ht="13" x14ac:dyDescent="0.15">
      <c r="A476" s="33" t="s">
        <v>136</v>
      </c>
      <c r="B476" s="33" t="s">
        <v>136</v>
      </c>
      <c r="H476" s="6">
        <v>0</v>
      </c>
      <c r="I476" s="6">
        <v>0</v>
      </c>
      <c r="J476" s="6">
        <v>0</v>
      </c>
    </row>
    <row r="477" spans="1:10" ht="13" x14ac:dyDescent="0.15">
      <c r="A477" s="33" t="s">
        <v>12</v>
      </c>
      <c r="B477" s="33" t="s">
        <v>12</v>
      </c>
      <c r="H477" s="6">
        <v>0</v>
      </c>
      <c r="I477" s="6">
        <v>0</v>
      </c>
      <c r="J477" s="6">
        <v>0</v>
      </c>
    </row>
    <row r="478" spans="1:10" ht="13" x14ac:dyDescent="0.15">
      <c r="A478" s="33" t="s">
        <v>12</v>
      </c>
      <c r="B478" s="33" t="s">
        <v>12</v>
      </c>
      <c r="H478" s="6">
        <v>0</v>
      </c>
      <c r="I478" s="6">
        <v>0</v>
      </c>
      <c r="J478" s="6">
        <v>0</v>
      </c>
    </row>
    <row r="479" spans="1:10" ht="13" x14ac:dyDescent="0.15">
      <c r="A479" s="33" t="s">
        <v>12</v>
      </c>
      <c r="B479" s="33" t="s">
        <v>12</v>
      </c>
      <c r="H479" s="6">
        <v>0</v>
      </c>
      <c r="I479" s="6">
        <v>0</v>
      </c>
      <c r="J479" s="6">
        <v>0</v>
      </c>
    </row>
    <row r="480" spans="1:10" ht="13" x14ac:dyDescent="0.15">
      <c r="A480" s="33" t="s">
        <v>342</v>
      </c>
      <c r="B480" s="33" t="s">
        <v>342</v>
      </c>
      <c r="H480" s="6">
        <v>0</v>
      </c>
      <c r="I480" s="6">
        <v>0</v>
      </c>
      <c r="J480" s="6">
        <v>0</v>
      </c>
    </row>
    <row r="481" spans="1:10" ht="13" x14ac:dyDescent="0.15">
      <c r="A481" s="33" t="s">
        <v>23</v>
      </c>
      <c r="B481" s="33" t="s">
        <v>18</v>
      </c>
      <c r="H481" s="6">
        <v>0</v>
      </c>
      <c r="I481" s="6">
        <v>0</v>
      </c>
      <c r="J481" s="6">
        <v>0</v>
      </c>
    </row>
    <row r="482" spans="1:10" ht="13" x14ac:dyDescent="0.15">
      <c r="A482" s="33" t="s">
        <v>23</v>
      </c>
      <c r="B482" s="33" t="s">
        <v>77</v>
      </c>
      <c r="H482" s="6">
        <v>0</v>
      </c>
      <c r="I482" s="6">
        <v>0</v>
      </c>
      <c r="J482" s="6">
        <v>0</v>
      </c>
    </row>
    <row r="483" spans="1:10" ht="13" x14ac:dyDescent="0.15">
      <c r="A483" s="33" t="s">
        <v>12</v>
      </c>
      <c r="B483" s="33" t="s">
        <v>18</v>
      </c>
      <c r="H483" s="6">
        <v>0</v>
      </c>
      <c r="I483" s="6">
        <v>0</v>
      </c>
      <c r="J483" s="6">
        <v>0</v>
      </c>
    </row>
    <row r="484" spans="1:10" ht="13" x14ac:dyDescent="0.15">
      <c r="A484" s="33" t="s">
        <v>12</v>
      </c>
      <c r="B484" s="33" t="s">
        <v>12</v>
      </c>
      <c r="H484" s="6">
        <v>0</v>
      </c>
      <c r="I484" s="6">
        <v>0</v>
      </c>
      <c r="J484" s="6">
        <v>0</v>
      </c>
    </row>
    <row r="485" spans="1:10" ht="13" x14ac:dyDescent="0.15">
      <c r="A485" s="33" t="s">
        <v>12</v>
      </c>
      <c r="B485" s="33" t="s">
        <v>18</v>
      </c>
      <c r="H485" s="6">
        <v>0</v>
      </c>
      <c r="I485" s="6">
        <v>0</v>
      </c>
      <c r="J485" s="6">
        <v>0</v>
      </c>
    </row>
    <row r="486" spans="1:10" ht="13" x14ac:dyDescent="0.15">
      <c r="A486" s="33" t="s">
        <v>30</v>
      </c>
      <c r="B486" s="33" t="s">
        <v>18</v>
      </c>
      <c r="H486" s="6">
        <v>0</v>
      </c>
      <c r="I486" s="6">
        <v>0</v>
      </c>
      <c r="J486" s="6">
        <v>0</v>
      </c>
    </row>
    <row r="487" spans="1:10" ht="13" x14ac:dyDescent="0.15">
      <c r="A487" s="33" t="s">
        <v>30</v>
      </c>
      <c r="B487" s="33" t="s">
        <v>18</v>
      </c>
      <c r="H487" s="6">
        <v>0</v>
      </c>
      <c r="I487" s="6">
        <v>0</v>
      </c>
      <c r="J487" s="6">
        <v>0</v>
      </c>
    </row>
    <row r="488" spans="1:10" ht="13" x14ac:dyDescent="0.15">
      <c r="A488" s="33" t="s">
        <v>30</v>
      </c>
      <c r="B488" s="33" t="s">
        <v>18</v>
      </c>
      <c r="H488" s="6">
        <v>0</v>
      </c>
      <c r="I488" s="6">
        <v>0</v>
      </c>
      <c r="J488" s="6">
        <v>0</v>
      </c>
    </row>
    <row r="489" spans="1:10" ht="13" x14ac:dyDescent="0.15">
      <c r="A489" s="33" t="s">
        <v>30</v>
      </c>
      <c r="B489" s="33" t="s">
        <v>18</v>
      </c>
      <c r="H489" s="6">
        <v>0</v>
      </c>
      <c r="I489" s="6">
        <v>0</v>
      </c>
      <c r="J489" s="6">
        <v>0</v>
      </c>
    </row>
    <row r="490" spans="1:10" ht="13" x14ac:dyDescent="0.15">
      <c r="A490" s="33" t="s">
        <v>30</v>
      </c>
      <c r="B490" s="33" t="s">
        <v>18</v>
      </c>
      <c r="H490" s="6">
        <v>0</v>
      </c>
      <c r="I490" s="6">
        <v>0</v>
      </c>
      <c r="J490" s="6">
        <v>0</v>
      </c>
    </row>
    <row r="491" spans="1:10" ht="13" x14ac:dyDescent="0.15">
      <c r="A491" s="33" t="s">
        <v>30</v>
      </c>
      <c r="B491" s="33" t="s">
        <v>18</v>
      </c>
      <c r="H491" s="6">
        <v>0</v>
      </c>
      <c r="I491" s="6">
        <v>0</v>
      </c>
      <c r="J491" s="6">
        <v>0</v>
      </c>
    </row>
    <row r="492" spans="1:10" ht="13" x14ac:dyDescent="0.15">
      <c r="A492" s="33" t="s">
        <v>18</v>
      </c>
      <c r="B492" s="33" t="s">
        <v>12</v>
      </c>
      <c r="H492" s="6">
        <v>0</v>
      </c>
      <c r="I492" s="6">
        <v>0</v>
      </c>
      <c r="J492" s="6">
        <v>0</v>
      </c>
    </row>
    <row r="493" spans="1:10" ht="13" x14ac:dyDescent="0.15">
      <c r="A493" s="33" t="s">
        <v>18</v>
      </c>
      <c r="B493" s="33" t="s">
        <v>18</v>
      </c>
      <c r="H493" s="6">
        <v>0</v>
      </c>
      <c r="I493" s="6">
        <v>0</v>
      </c>
      <c r="J493" s="6">
        <v>0</v>
      </c>
    </row>
    <row r="494" spans="1:10" ht="13" x14ac:dyDescent="0.15">
      <c r="A494" s="33" t="s">
        <v>88</v>
      </c>
      <c r="B494" s="33" t="s">
        <v>88</v>
      </c>
      <c r="H494" s="6">
        <v>0</v>
      </c>
      <c r="I494" s="6">
        <v>0</v>
      </c>
      <c r="J494" s="6">
        <v>0</v>
      </c>
    </row>
    <row r="495" spans="1:10" ht="13" x14ac:dyDescent="0.15">
      <c r="A495" s="33" t="s">
        <v>88</v>
      </c>
      <c r="B495" s="33" t="s">
        <v>88</v>
      </c>
      <c r="H495" s="6">
        <v>0</v>
      </c>
      <c r="I495" s="6">
        <v>0</v>
      </c>
      <c r="J495" s="6">
        <v>0</v>
      </c>
    </row>
    <row r="496" spans="1:10" ht="13" x14ac:dyDescent="0.15">
      <c r="A496" s="33" t="s">
        <v>88</v>
      </c>
      <c r="B496" s="33" t="s">
        <v>88</v>
      </c>
      <c r="H496" s="6">
        <v>0</v>
      </c>
      <c r="I496" s="6">
        <v>0</v>
      </c>
      <c r="J496" s="6">
        <v>0</v>
      </c>
    </row>
    <row r="497" spans="1:10" ht="13" x14ac:dyDescent="0.15">
      <c r="A497" s="33" t="s">
        <v>18</v>
      </c>
      <c r="B497" s="33" t="s">
        <v>23</v>
      </c>
      <c r="H497" s="6">
        <v>0</v>
      </c>
      <c r="I497" s="6">
        <v>0</v>
      </c>
      <c r="J497" s="6">
        <v>0</v>
      </c>
    </row>
    <row r="498" spans="1:10" ht="13" x14ac:dyDescent="0.15">
      <c r="A498" s="33" t="s">
        <v>18</v>
      </c>
      <c r="B498" s="33" t="s">
        <v>23</v>
      </c>
      <c r="H498" s="6">
        <v>0</v>
      </c>
      <c r="I498" s="6">
        <v>0</v>
      </c>
      <c r="J498" s="6">
        <v>0</v>
      </c>
    </row>
    <row r="499" spans="1:10" ht="13" x14ac:dyDescent="0.15">
      <c r="A499" s="33" t="s">
        <v>12</v>
      </c>
      <c r="B499" s="33" t="s">
        <v>12</v>
      </c>
      <c r="H499" s="6">
        <v>0</v>
      </c>
      <c r="I499" s="6">
        <v>0</v>
      </c>
      <c r="J499" s="6">
        <v>0</v>
      </c>
    </row>
    <row r="500" spans="1:10" ht="13" x14ac:dyDescent="0.15">
      <c r="A500" s="33" t="s">
        <v>12</v>
      </c>
      <c r="B500" s="33" t="s">
        <v>12</v>
      </c>
      <c r="H500" s="6">
        <v>0</v>
      </c>
      <c r="I500" s="6">
        <v>0</v>
      </c>
      <c r="J500" s="6">
        <v>0</v>
      </c>
    </row>
    <row r="501" spans="1:10" ht="13" x14ac:dyDescent="0.15">
      <c r="A501" s="33" t="s">
        <v>18</v>
      </c>
      <c r="B501" s="33" t="s">
        <v>18</v>
      </c>
      <c r="H501" s="6">
        <v>0</v>
      </c>
      <c r="I501" s="6">
        <v>0</v>
      </c>
      <c r="J501" s="6">
        <v>0</v>
      </c>
    </row>
    <row r="502" spans="1:10" ht="13" x14ac:dyDescent="0.15">
      <c r="A502" s="33"/>
      <c r="B502" s="33"/>
      <c r="H502" s="6">
        <v>0</v>
      </c>
      <c r="I502" s="6">
        <v>0</v>
      </c>
      <c r="J502" s="6">
        <v>0</v>
      </c>
    </row>
    <row r="503" spans="1:10" ht="13" x14ac:dyDescent="0.15">
      <c r="A503" s="33"/>
      <c r="B503" s="33"/>
      <c r="H503" s="6">
        <v>0</v>
      </c>
      <c r="I503" s="6">
        <v>0</v>
      </c>
      <c r="J503" s="6">
        <v>0</v>
      </c>
    </row>
    <row r="504" spans="1:10" ht="13" x14ac:dyDescent="0.15">
      <c r="A504" s="33"/>
      <c r="B504" s="33"/>
      <c r="H504" s="6">
        <v>0</v>
      </c>
      <c r="I504" s="6">
        <v>0</v>
      </c>
      <c r="J504" s="6">
        <v>0</v>
      </c>
    </row>
    <row r="505" spans="1:10" ht="13" x14ac:dyDescent="0.15">
      <c r="A505" s="33"/>
      <c r="B505" s="33"/>
      <c r="H505" s="6">
        <v>0</v>
      </c>
      <c r="I505" s="6">
        <v>0</v>
      </c>
      <c r="J505" s="6">
        <v>0</v>
      </c>
    </row>
    <row r="506" spans="1:10" ht="13" x14ac:dyDescent="0.15">
      <c r="A506" s="33"/>
      <c r="B506" s="33"/>
      <c r="H506" s="6">
        <v>0</v>
      </c>
      <c r="I506" s="6">
        <v>0</v>
      </c>
      <c r="J506" s="6">
        <v>0</v>
      </c>
    </row>
    <row r="507" spans="1:10" ht="13" x14ac:dyDescent="0.15">
      <c r="A507" s="33"/>
      <c r="B507" s="33"/>
      <c r="H507" s="6">
        <v>0</v>
      </c>
      <c r="I507" s="6">
        <v>0</v>
      </c>
      <c r="J507" s="6">
        <v>0</v>
      </c>
    </row>
    <row r="508" spans="1:10" ht="13" x14ac:dyDescent="0.15">
      <c r="A508" s="33"/>
      <c r="B508" s="33"/>
      <c r="H508" s="6">
        <v>0</v>
      </c>
      <c r="I508" s="6">
        <v>0</v>
      </c>
      <c r="J508" s="6">
        <v>0</v>
      </c>
    </row>
    <row r="509" spans="1:10" ht="13" x14ac:dyDescent="0.15">
      <c r="A509" s="33"/>
      <c r="B509" s="33"/>
      <c r="H509" s="6">
        <v>0</v>
      </c>
      <c r="I509" s="6">
        <v>0</v>
      </c>
      <c r="J509" s="6">
        <v>0</v>
      </c>
    </row>
    <row r="510" spans="1:10" ht="13" x14ac:dyDescent="0.15">
      <c r="A510" s="33"/>
      <c r="B510" s="33"/>
      <c r="H510" s="6">
        <v>0</v>
      </c>
      <c r="I510" s="6">
        <v>0</v>
      </c>
      <c r="J510" s="6">
        <v>0</v>
      </c>
    </row>
    <row r="511" spans="1:10" ht="13" x14ac:dyDescent="0.15">
      <c r="A511" s="33"/>
      <c r="B511" s="33"/>
      <c r="H511" s="6">
        <v>0</v>
      </c>
      <c r="I511" s="6">
        <v>0</v>
      </c>
      <c r="J511" s="6">
        <v>0</v>
      </c>
    </row>
    <row r="512" spans="1:10" ht="13" x14ac:dyDescent="0.15">
      <c r="A512" s="33"/>
      <c r="B512" s="33"/>
      <c r="H512" s="6">
        <v>0</v>
      </c>
      <c r="I512" s="6">
        <v>0</v>
      </c>
      <c r="J512" s="6">
        <v>0</v>
      </c>
    </row>
    <row r="513" spans="1:10" ht="13" x14ac:dyDescent="0.15">
      <c r="A513" s="33"/>
      <c r="B513" s="33"/>
      <c r="H513" s="6">
        <v>0</v>
      </c>
      <c r="I513" s="6">
        <v>0</v>
      </c>
      <c r="J513" s="6">
        <v>0</v>
      </c>
    </row>
    <row r="514" spans="1:10" ht="13" x14ac:dyDescent="0.15">
      <c r="A514" s="33"/>
      <c r="B514" s="33"/>
      <c r="H514" s="6">
        <v>0</v>
      </c>
      <c r="I514" s="6">
        <v>0</v>
      </c>
      <c r="J514" s="6">
        <v>0</v>
      </c>
    </row>
    <row r="515" spans="1:10" ht="13" x14ac:dyDescent="0.15">
      <c r="A515" s="33"/>
      <c r="B515" s="33"/>
      <c r="H515" s="6">
        <v>0</v>
      </c>
      <c r="I515" s="6">
        <v>0</v>
      </c>
      <c r="J515" s="6">
        <v>0</v>
      </c>
    </row>
    <row r="516" spans="1:10" ht="13" x14ac:dyDescent="0.15">
      <c r="A516" s="33"/>
      <c r="B516" s="33"/>
      <c r="H516" s="6">
        <v>0</v>
      </c>
      <c r="I516" s="6">
        <v>0</v>
      </c>
      <c r="J516" s="6">
        <v>0</v>
      </c>
    </row>
    <row r="517" spans="1:10" ht="13" x14ac:dyDescent="0.15">
      <c r="A517" s="33"/>
      <c r="B517" s="33"/>
      <c r="H517" s="6">
        <v>0</v>
      </c>
      <c r="I517" s="6">
        <v>0</v>
      </c>
      <c r="J517" s="6">
        <v>0</v>
      </c>
    </row>
    <row r="518" spans="1:10" ht="13" x14ac:dyDescent="0.15">
      <c r="A518" s="33"/>
      <c r="B518" s="33"/>
      <c r="H518" s="6">
        <v>0</v>
      </c>
      <c r="I518" s="6">
        <v>0</v>
      </c>
      <c r="J518" s="6">
        <v>0</v>
      </c>
    </row>
    <row r="519" spans="1:10" ht="13" x14ac:dyDescent="0.15">
      <c r="A519" s="33"/>
      <c r="B519" s="33"/>
      <c r="H519" s="6">
        <v>0</v>
      </c>
      <c r="I519" s="6">
        <v>0</v>
      </c>
      <c r="J519" s="6">
        <v>0</v>
      </c>
    </row>
    <row r="520" spans="1:10" ht="13" x14ac:dyDescent="0.15">
      <c r="A520" s="33"/>
      <c r="B520" s="33"/>
      <c r="H520" s="6">
        <v>0</v>
      </c>
      <c r="I520" s="6">
        <v>0</v>
      </c>
      <c r="J520" s="6">
        <v>0</v>
      </c>
    </row>
    <row r="521" spans="1:10" ht="13" x14ac:dyDescent="0.15">
      <c r="A521" s="33"/>
      <c r="B521" s="33"/>
      <c r="H521" s="6">
        <v>0</v>
      </c>
      <c r="I521" s="6">
        <v>0</v>
      </c>
      <c r="J521" s="6">
        <v>0</v>
      </c>
    </row>
    <row r="522" spans="1:10" ht="13" x14ac:dyDescent="0.15">
      <c r="A522" s="33"/>
      <c r="B522" s="33"/>
      <c r="H522" s="6">
        <v>0</v>
      </c>
      <c r="I522" s="6">
        <v>0</v>
      </c>
      <c r="J522" s="6">
        <v>0</v>
      </c>
    </row>
    <row r="523" spans="1:10" ht="13" x14ac:dyDescent="0.15">
      <c r="A523" s="33"/>
      <c r="B523" s="33"/>
      <c r="H523" s="6">
        <v>0</v>
      </c>
      <c r="I523" s="6">
        <v>0</v>
      </c>
      <c r="J523" s="6">
        <v>0</v>
      </c>
    </row>
    <row r="524" spans="1:10" ht="13" x14ac:dyDescent="0.15">
      <c r="A524" s="33"/>
      <c r="B524" s="33"/>
      <c r="H524" s="6">
        <v>0</v>
      </c>
      <c r="I524" s="6">
        <v>0</v>
      </c>
      <c r="J524" s="6">
        <v>0</v>
      </c>
    </row>
    <row r="525" spans="1:10" ht="13" x14ac:dyDescent="0.15">
      <c r="A525" s="33"/>
      <c r="B525" s="33"/>
      <c r="H525" s="6">
        <v>0</v>
      </c>
      <c r="I525" s="6">
        <v>0</v>
      </c>
      <c r="J525" s="6">
        <v>0</v>
      </c>
    </row>
    <row r="526" spans="1:10" ht="13" x14ac:dyDescent="0.15">
      <c r="A526" s="33"/>
      <c r="B526" s="33"/>
      <c r="H526" s="6">
        <v>0</v>
      </c>
      <c r="I526" s="6">
        <v>0</v>
      </c>
      <c r="J526" s="6">
        <v>0</v>
      </c>
    </row>
    <row r="527" spans="1:10" ht="13" x14ac:dyDescent="0.15">
      <c r="A527" s="33"/>
      <c r="B527" s="33"/>
      <c r="H527" s="6">
        <v>0</v>
      </c>
      <c r="I527" s="6">
        <v>0</v>
      </c>
      <c r="J527" s="6">
        <v>0</v>
      </c>
    </row>
    <row r="528" spans="1:10" ht="13" x14ac:dyDescent="0.15">
      <c r="A528" s="33"/>
      <c r="B528" s="33"/>
      <c r="H528" s="6">
        <v>0</v>
      </c>
      <c r="I528" s="6">
        <v>0</v>
      </c>
      <c r="J528" s="6">
        <v>0</v>
      </c>
    </row>
    <row r="529" spans="1:10" ht="13" x14ac:dyDescent="0.15">
      <c r="A529" s="33"/>
      <c r="B529" s="33"/>
      <c r="H529" s="6">
        <v>0</v>
      </c>
      <c r="I529" s="6">
        <v>0</v>
      </c>
      <c r="J529" s="6">
        <v>0</v>
      </c>
    </row>
    <row r="530" spans="1:10" ht="13" x14ac:dyDescent="0.15">
      <c r="A530" s="33"/>
      <c r="B530" s="33"/>
      <c r="H530" s="6">
        <v>0</v>
      </c>
      <c r="I530" s="6">
        <v>0</v>
      </c>
      <c r="J530" s="6">
        <v>0</v>
      </c>
    </row>
    <row r="531" spans="1:10" ht="13" x14ac:dyDescent="0.15">
      <c r="A531" s="33"/>
      <c r="B531" s="33"/>
      <c r="H531" s="6">
        <v>0</v>
      </c>
      <c r="I531" s="6">
        <v>0</v>
      </c>
      <c r="J531" s="6">
        <v>0</v>
      </c>
    </row>
    <row r="532" spans="1:10" ht="13" x14ac:dyDescent="0.15">
      <c r="A532" s="33"/>
      <c r="B532" s="33"/>
      <c r="H532" s="6">
        <v>0</v>
      </c>
      <c r="I532" s="6">
        <v>0</v>
      </c>
      <c r="J532" s="6">
        <v>0</v>
      </c>
    </row>
    <row r="533" spans="1:10" ht="13" x14ac:dyDescent="0.15">
      <c r="A533" s="33"/>
      <c r="B533" s="33"/>
      <c r="H533" s="6">
        <v>0</v>
      </c>
      <c r="I533" s="6">
        <v>0</v>
      </c>
      <c r="J533" s="6">
        <v>0</v>
      </c>
    </row>
    <row r="534" spans="1:10" ht="13" x14ac:dyDescent="0.15">
      <c r="A534" s="33"/>
      <c r="B534" s="33"/>
      <c r="H534" s="6">
        <v>0</v>
      </c>
      <c r="I534" s="6">
        <v>0</v>
      </c>
      <c r="J534" s="6">
        <v>0</v>
      </c>
    </row>
    <row r="535" spans="1:10" ht="13" x14ac:dyDescent="0.15">
      <c r="A535" s="33"/>
      <c r="B535" s="33"/>
      <c r="H535" s="6">
        <v>0</v>
      </c>
      <c r="I535" s="6">
        <v>0</v>
      </c>
      <c r="J535" s="6">
        <v>0</v>
      </c>
    </row>
    <row r="536" spans="1:10" ht="13" x14ac:dyDescent="0.15">
      <c r="A536" s="33"/>
      <c r="B536" s="33"/>
      <c r="H536" s="6">
        <v>0</v>
      </c>
      <c r="I536" s="6">
        <v>0</v>
      </c>
      <c r="J536" s="6">
        <v>0</v>
      </c>
    </row>
    <row r="537" spans="1:10" ht="13" x14ac:dyDescent="0.15">
      <c r="A537" s="33"/>
      <c r="B537" s="33"/>
      <c r="H537" s="6">
        <v>0</v>
      </c>
      <c r="I537" s="6">
        <v>0</v>
      </c>
      <c r="J537" s="6">
        <v>0</v>
      </c>
    </row>
    <row r="538" spans="1:10" ht="13" x14ac:dyDescent="0.15">
      <c r="A538" s="33"/>
      <c r="B538" s="33"/>
      <c r="H538" s="6">
        <v>0</v>
      </c>
      <c r="I538" s="6">
        <v>0</v>
      </c>
      <c r="J538" s="6">
        <v>0</v>
      </c>
    </row>
    <row r="539" spans="1:10" ht="13" x14ac:dyDescent="0.15">
      <c r="A539" s="33"/>
      <c r="B539" s="33"/>
      <c r="H539" s="6">
        <v>0</v>
      </c>
      <c r="I539" s="6">
        <v>0</v>
      </c>
      <c r="J539" s="6">
        <v>0</v>
      </c>
    </row>
    <row r="540" spans="1:10" ht="13" x14ac:dyDescent="0.15">
      <c r="A540" s="33"/>
      <c r="B540" s="33"/>
      <c r="H540" s="6">
        <v>0</v>
      </c>
      <c r="I540" s="6">
        <v>0</v>
      </c>
      <c r="J540" s="6">
        <v>0</v>
      </c>
    </row>
    <row r="541" spans="1:10" ht="13" x14ac:dyDescent="0.15">
      <c r="A541" s="33"/>
      <c r="B541" s="33"/>
      <c r="H541" s="6">
        <v>0</v>
      </c>
      <c r="I541" s="6">
        <v>0</v>
      </c>
      <c r="J541" s="6">
        <v>0</v>
      </c>
    </row>
    <row r="542" spans="1:10" ht="13" x14ac:dyDescent="0.15">
      <c r="A542" s="33"/>
      <c r="B542" s="33"/>
      <c r="H542" s="6">
        <v>0</v>
      </c>
      <c r="I542" s="6">
        <v>0</v>
      </c>
      <c r="J542" s="6">
        <v>0</v>
      </c>
    </row>
    <row r="543" spans="1:10" ht="13" x14ac:dyDescent="0.15">
      <c r="A543" s="33"/>
      <c r="B543" s="33"/>
      <c r="H543" s="6">
        <v>0</v>
      </c>
      <c r="I543" s="6">
        <v>0</v>
      </c>
      <c r="J543" s="6">
        <v>0</v>
      </c>
    </row>
    <row r="544" spans="1:10" ht="13" x14ac:dyDescent="0.15">
      <c r="A544" s="33"/>
      <c r="B544" s="33"/>
      <c r="H544" s="6">
        <v>0</v>
      </c>
      <c r="I544" s="6">
        <v>0</v>
      </c>
      <c r="J544" s="6">
        <v>0</v>
      </c>
    </row>
    <row r="545" spans="1:10" ht="13" x14ac:dyDescent="0.15">
      <c r="A545" s="33"/>
      <c r="B545" s="33"/>
      <c r="H545" s="6">
        <v>0</v>
      </c>
      <c r="I545" s="6">
        <v>0</v>
      </c>
      <c r="J545" s="6">
        <v>0</v>
      </c>
    </row>
    <row r="546" spans="1:10" ht="13" x14ac:dyDescent="0.15">
      <c r="A546" s="33"/>
      <c r="B546" s="33"/>
      <c r="H546" s="6">
        <v>0</v>
      </c>
      <c r="I546" s="6">
        <v>0</v>
      </c>
      <c r="J546" s="6">
        <v>0</v>
      </c>
    </row>
    <row r="547" spans="1:10" ht="13" x14ac:dyDescent="0.15">
      <c r="A547" s="33"/>
      <c r="B547" s="33"/>
      <c r="H547" s="6">
        <v>0</v>
      </c>
      <c r="I547" s="6">
        <v>0</v>
      </c>
      <c r="J547" s="6">
        <v>0</v>
      </c>
    </row>
    <row r="548" spans="1:10" ht="13" x14ac:dyDescent="0.15">
      <c r="A548" s="33"/>
      <c r="B548" s="33"/>
      <c r="H548" s="6">
        <v>0</v>
      </c>
      <c r="I548" s="6">
        <v>0</v>
      </c>
      <c r="J548" s="6">
        <v>0</v>
      </c>
    </row>
    <row r="549" spans="1:10" ht="13" x14ac:dyDescent="0.15">
      <c r="A549" s="33"/>
      <c r="B549" s="33"/>
      <c r="H549" s="6">
        <v>0</v>
      </c>
      <c r="I549" s="6">
        <v>0</v>
      </c>
      <c r="J549" s="6">
        <v>0</v>
      </c>
    </row>
    <row r="550" spans="1:10" ht="13" x14ac:dyDescent="0.15">
      <c r="A550" s="33"/>
      <c r="B550" s="33"/>
      <c r="H550" s="6">
        <v>0</v>
      </c>
      <c r="I550" s="6">
        <v>0</v>
      </c>
      <c r="J550" s="6">
        <v>0</v>
      </c>
    </row>
    <row r="551" spans="1:10" ht="13" x14ac:dyDescent="0.15">
      <c r="A551" s="33"/>
      <c r="B551" s="33"/>
      <c r="H551" s="6">
        <v>0</v>
      </c>
      <c r="I551" s="6">
        <v>0</v>
      </c>
      <c r="J551" s="6">
        <v>0</v>
      </c>
    </row>
    <row r="552" spans="1:10" ht="13" x14ac:dyDescent="0.15">
      <c r="A552" s="33"/>
      <c r="B552" s="33"/>
      <c r="H552" s="6">
        <v>0</v>
      </c>
      <c r="I552" s="6">
        <v>0</v>
      </c>
      <c r="J552" s="6">
        <v>0</v>
      </c>
    </row>
    <row r="553" spans="1:10" ht="13" x14ac:dyDescent="0.15">
      <c r="A553" s="33"/>
      <c r="B553" s="33"/>
      <c r="H553" s="6">
        <v>0</v>
      </c>
      <c r="I553" s="6">
        <v>0</v>
      </c>
      <c r="J553" s="6">
        <v>0</v>
      </c>
    </row>
    <row r="554" spans="1:10" ht="13" x14ac:dyDescent="0.15">
      <c r="A554" s="33"/>
      <c r="B554" s="33"/>
      <c r="H554" s="6">
        <v>0</v>
      </c>
      <c r="I554" s="6">
        <v>0</v>
      </c>
      <c r="J554" s="6">
        <v>0</v>
      </c>
    </row>
    <row r="555" spans="1:10" ht="13" x14ac:dyDescent="0.15">
      <c r="A555" s="33"/>
      <c r="B555" s="33"/>
      <c r="H555" s="6">
        <v>0</v>
      </c>
      <c r="I555" s="6">
        <v>0</v>
      </c>
      <c r="J555" s="6">
        <v>0</v>
      </c>
    </row>
    <row r="556" spans="1:10" ht="13" x14ac:dyDescent="0.15">
      <c r="A556" s="33"/>
      <c r="B556" s="33"/>
      <c r="H556" s="6">
        <v>0</v>
      </c>
      <c r="I556" s="6">
        <v>0</v>
      </c>
      <c r="J556" s="6">
        <v>0</v>
      </c>
    </row>
    <row r="557" spans="1:10" ht="13" x14ac:dyDescent="0.15">
      <c r="A557" s="33"/>
      <c r="B557" s="33"/>
      <c r="H557" s="6">
        <v>0</v>
      </c>
      <c r="I557" s="6">
        <v>0</v>
      </c>
      <c r="J557" s="6">
        <v>0</v>
      </c>
    </row>
    <row r="558" spans="1:10" ht="13" x14ac:dyDescent="0.15">
      <c r="A558" s="33"/>
      <c r="B558" s="33"/>
      <c r="H558" s="6">
        <v>0</v>
      </c>
      <c r="I558" s="6">
        <v>0</v>
      </c>
      <c r="J558" s="6">
        <v>0</v>
      </c>
    </row>
    <row r="559" spans="1:10" ht="13" x14ac:dyDescent="0.15">
      <c r="A559" s="33"/>
      <c r="B559" s="33"/>
      <c r="H559" s="6">
        <v>0</v>
      </c>
      <c r="I559" s="6">
        <v>0</v>
      </c>
      <c r="J559" s="6">
        <v>0</v>
      </c>
    </row>
    <row r="560" spans="1:10" ht="13" x14ac:dyDescent="0.15">
      <c r="A560" s="33"/>
      <c r="B560" s="33"/>
      <c r="H560" s="6">
        <v>0</v>
      </c>
      <c r="I560" s="6">
        <v>0</v>
      </c>
      <c r="J560" s="6">
        <v>0</v>
      </c>
    </row>
    <row r="561" spans="1:10" ht="13" x14ac:dyDescent="0.15">
      <c r="A561" s="33"/>
      <c r="B561" s="33"/>
      <c r="H561" s="6">
        <v>0</v>
      </c>
      <c r="I561" s="6">
        <v>0</v>
      </c>
      <c r="J561" s="6">
        <v>0</v>
      </c>
    </row>
    <row r="562" spans="1:10" ht="13" x14ac:dyDescent="0.15">
      <c r="A562" s="33"/>
      <c r="B562" s="33"/>
      <c r="H562" s="6">
        <v>0</v>
      </c>
      <c r="I562" s="6">
        <v>0</v>
      </c>
      <c r="J562" s="6">
        <v>0</v>
      </c>
    </row>
    <row r="563" spans="1:10" ht="13" x14ac:dyDescent="0.15">
      <c r="A563" s="33"/>
      <c r="B563" s="33"/>
      <c r="H563" s="6">
        <v>0</v>
      </c>
      <c r="I563" s="6">
        <v>0</v>
      </c>
      <c r="J563" s="6">
        <v>0</v>
      </c>
    </row>
    <row r="564" spans="1:10" ht="13" x14ac:dyDescent="0.15">
      <c r="A564" s="33"/>
      <c r="B564" s="33"/>
      <c r="H564" s="6">
        <v>0</v>
      </c>
      <c r="I564" s="6">
        <v>0</v>
      </c>
      <c r="J564" s="6">
        <v>0</v>
      </c>
    </row>
    <row r="565" spans="1:10" ht="13" x14ac:dyDescent="0.15">
      <c r="A565" s="33"/>
      <c r="B565" s="33"/>
      <c r="H565" s="6">
        <v>0</v>
      </c>
      <c r="I565" s="6">
        <v>0</v>
      </c>
      <c r="J565" s="6">
        <v>0</v>
      </c>
    </row>
    <row r="566" spans="1:10" ht="13" x14ac:dyDescent="0.15">
      <c r="A566" s="33"/>
      <c r="B566" s="33"/>
      <c r="H566" s="6">
        <v>0</v>
      </c>
      <c r="I566" s="6">
        <v>0</v>
      </c>
      <c r="J566" s="6">
        <v>0</v>
      </c>
    </row>
    <row r="567" spans="1:10" ht="13" x14ac:dyDescent="0.15">
      <c r="A567" s="33"/>
      <c r="B567" s="33"/>
      <c r="H567" s="6">
        <v>0</v>
      </c>
      <c r="I567" s="6">
        <v>0</v>
      </c>
      <c r="J567" s="6">
        <v>0</v>
      </c>
    </row>
    <row r="568" spans="1:10" ht="13" x14ac:dyDescent="0.15">
      <c r="A568" s="33"/>
      <c r="B568" s="33"/>
      <c r="H568" s="6">
        <v>0</v>
      </c>
      <c r="I568" s="6">
        <v>0</v>
      </c>
      <c r="J568" s="6">
        <v>0</v>
      </c>
    </row>
    <row r="569" spans="1:10" ht="13" x14ac:dyDescent="0.15">
      <c r="A569" s="33"/>
      <c r="B569" s="33"/>
      <c r="H569" s="6">
        <v>0</v>
      </c>
      <c r="I569" s="6">
        <v>0</v>
      </c>
      <c r="J569" s="6">
        <v>0</v>
      </c>
    </row>
    <row r="570" spans="1:10" ht="13" x14ac:dyDescent="0.15">
      <c r="A570" s="33"/>
      <c r="B570" s="33"/>
      <c r="H570" s="6">
        <v>0</v>
      </c>
      <c r="I570" s="6">
        <v>0</v>
      </c>
      <c r="J570" s="6">
        <v>0</v>
      </c>
    </row>
    <row r="571" spans="1:10" ht="13" x14ac:dyDescent="0.15">
      <c r="A571" s="33"/>
      <c r="B571" s="33"/>
      <c r="H571" s="6">
        <v>0</v>
      </c>
      <c r="I571" s="6">
        <v>0</v>
      </c>
      <c r="J571" s="6">
        <v>0</v>
      </c>
    </row>
    <row r="572" spans="1:10" ht="13" x14ac:dyDescent="0.15">
      <c r="A572" s="33"/>
      <c r="B572" s="33"/>
      <c r="H572" s="6">
        <v>0</v>
      </c>
      <c r="I572" s="6">
        <v>0</v>
      </c>
      <c r="J572" s="6">
        <v>0</v>
      </c>
    </row>
    <row r="573" spans="1:10" ht="13" x14ac:dyDescent="0.15">
      <c r="A573" s="33"/>
      <c r="B573" s="33"/>
      <c r="H573" s="6">
        <v>0</v>
      </c>
      <c r="I573" s="6">
        <v>0</v>
      </c>
      <c r="J573" s="6">
        <v>0</v>
      </c>
    </row>
    <row r="574" spans="1:10" ht="13" x14ac:dyDescent="0.15">
      <c r="A574" s="33"/>
      <c r="B574" s="33"/>
      <c r="H574" s="6">
        <v>0</v>
      </c>
      <c r="I574" s="6">
        <v>0</v>
      </c>
      <c r="J574" s="6">
        <v>0</v>
      </c>
    </row>
    <row r="575" spans="1:10" ht="13" x14ac:dyDescent="0.15">
      <c r="A575" s="33"/>
      <c r="B575" s="33"/>
      <c r="H575" s="6">
        <v>0</v>
      </c>
      <c r="I575" s="6">
        <v>0</v>
      </c>
      <c r="J575" s="6">
        <v>0</v>
      </c>
    </row>
    <row r="576" spans="1:10" ht="13" x14ac:dyDescent="0.15">
      <c r="A576" s="33"/>
      <c r="B576" s="33"/>
      <c r="H576" s="6">
        <v>0</v>
      </c>
      <c r="I576" s="6">
        <v>0</v>
      </c>
      <c r="J576" s="6">
        <v>0</v>
      </c>
    </row>
    <row r="577" spans="1:10" ht="13" x14ac:dyDescent="0.15">
      <c r="A577" s="33"/>
      <c r="B577" s="33"/>
      <c r="H577" s="6">
        <v>0</v>
      </c>
      <c r="I577" s="6">
        <v>0</v>
      </c>
      <c r="J577" s="6">
        <v>0</v>
      </c>
    </row>
    <row r="578" spans="1:10" ht="13" x14ac:dyDescent="0.15">
      <c r="A578" s="33"/>
      <c r="B578" s="33"/>
      <c r="H578" s="6">
        <v>0</v>
      </c>
      <c r="I578" s="6">
        <v>0</v>
      </c>
      <c r="J578" s="6">
        <v>0</v>
      </c>
    </row>
    <row r="579" spans="1:10" ht="13" x14ac:dyDescent="0.15">
      <c r="A579" s="33"/>
      <c r="B579" s="33"/>
      <c r="H579" s="6">
        <v>0</v>
      </c>
      <c r="I579" s="6">
        <v>0</v>
      </c>
      <c r="J579" s="6">
        <v>0</v>
      </c>
    </row>
    <row r="580" spans="1:10" ht="13" x14ac:dyDescent="0.15">
      <c r="A580" s="33"/>
      <c r="B580" s="33"/>
      <c r="H580" s="6">
        <v>0</v>
      </c>
      <c r="I580" s="6">
        <v>0</v>
      </c>
      <c r="J580" s="6">
        <v>0</v>
      </c>
    </row>
    <row r="581" spans="1:10" ht="13" x14ac:dyDescent="0.15">
      <c r="A581" s="33"/>
      <c r="B581" s="33"/>
      <c r="H581" s="6">
        <v>0</v>
      </c>
      <c r="I581" s="6">
        <v>0</v>
      </c>
      <c r="J581" s="6">
        <v>0</v>
      </c>
    </row>
    <row r="582" spans="1:10" ht="13" x14ac:dyDescent="0.15">
      <c r="A582" s="33"/>
      <c r="B582" s="33"/>
      <c r="H582" s="6">
        <v>0</v>
      </c>
      <c r="I582" s="6">
        <v>0</v>
      </c>
      <c r="J582" s="6">
        <v>0</v>
      </c>
    </row>
    <row r="583" spans="1:10" ht="13" x14ac:dyDescent="0.15">
      <c r="A583" s="33"/>
      <c r="B583" s="33"/>
      <c r="H583" s="6">
        <v>0</v>
      </c>
      <c r="I583" s="6">
        <v>0</v>
      </c>
      <c r="J583" s="6">
        <v>0</v>
      </c>
    </row>
    <row r="584" spans="1:10" ht="13" x14ac:dyDescent="0.15">
      <c r="A584" s="33"/>
      <c r="B584" s="33"/>
      <c r="H584" s="6">
        <v>0</v>
      </c>
      <c r="I584" s="6">
        <v>0</v>
      </c>
      <c r="J584" s="6">
        <v>0</v>
      </c>
    </row>
    <row r="585" spans="1:10" ht="13" x14ac:dyDescent="0.15">
      <c r="A585" s="33"/>
      <c r="B585" s="33"/>
      <c r="H585" s="6">
        <v>0</v>
      </c>
      <c r="I585" s="6">
        <v>0</v>
      </c>
      <c r="J585" s="6">
        <v>0</v>
      </c>
    </row>
    <row r="586" spans="1:10" ht="13" x14ac:dyDescent="0.15">
      <c r="A586" s="33"/>
      <c r="B586" s="33"/>
      <c r="H586" s="6">
        <v>0</v>
      </c>
      <c r="I586" s="6">
        <v>0</v>
      </c>
      <c r="J586" s="6">
        <v>0</v>
      </c>
    </row>
    <row r="587" spans="1:10" ht="13" x14ac:dyDescent="0.15">
      <c r="A587" s="33"/>
      <c r="B587" s="33"/>
      <c r="H587" s="6">
        <v>0</v>
      </c>
      <c r="I587" s="6">
        <v>0</v>
      </c>
      <c r="J587" s="6">
        <v>0</v>
      </c>
    </row>
    <row r="588" spans="1:10" ht="13" x14ac:dyDescent="0.15">
      <c r="A588" s="33"/>
      <c r="B588" s="33"/>
      <c r="H588" s="6">
        <v>0</v>
      </c>
      <c r="I588" s="6">
        <v>0</v>
      </c>
      <c r="J588" s="6">
        <v>0</v>
      </c>
    </row>
    <row r="589" spans="1:10" ht="13" x14ac:dyDescent="0.15">
      <c r="A589" s="33"/>
      <c r="B589" s="33"/>
      <c r="H589" s="6">
        <v>0</v>
      </c>
      <c r="I589" s="6">
        <v>0</v>
      </c>
      <c r="J589" s="6">
        <v>0</v>
      </c>
    </row>
    <row r="590" spans="1:10" ht="13" x14ac:dyDescent="0.15">
      <c r="A590" s="33"/>
      <c r="B590" s="33"/>
      <c r="H590" s="6">
        <v>0</v>
      </c>
      <c r="I590" s="6">
        <v>0</v>
      </c>
      <c r="J590" s="6">
        <v>0</v>
      </c>
    </row>
    <row r="591" spans="1:10" ht="13" x14ac:dyDescent="0.15">
      <c r="A591" s="33"/>
      <c r="B591" s="33"/>
      <c r="H591" s="6">
        <v>0</v>
      </c>
      <c r="I591" s="6">
        <v>0</v>
      </c>
      <c r="J591" s="6">
        <v>0</v>
      </c>
    </row>
    <row r="592" spans="1:10" ht="13" x14ac:dyDescent="0.15">
      <c r="A592" s="33"/>
      <c r="B592" s="33"/>
      <c r="H592" s="6">
        <v>0</v>
      </c>
      <c r="I592" s="6">
        <v>0</v>
      </c>
      <c r="J592" s="6">
        <v>0</v>
      </c>
    </row>
    <row r="593" spans="1:10" ht="13" x14ac:dyDescent="0.15">
      <c r="A593" s="33"/>
      <c r="B593" s="33"/>
      <c r="H593" s="6">
        <v>0</v>
      </c>
      <c r="I593" s="6">
        <v>0</v>
      </c>
      <c r="J593" s="6">
        <v>0</v>
      </c>
    </row>
    <row r="594" spans="1:10" ht="13" x14ac:dyDescent="0.15">
      <c r="A594" s="33"/>
      <c r="B594" s="33"/>
      <c r="H594" s="6">
        <v>0</v>
      </c>
      <c r="I594" s="6">
        <v>0</v>
      </c>
      <c r="J594" s="6">
        <v>0</v>
      </c>
    </row>
    <row r="595" spans="1:10" ht="13" x14ac:dyDescent="0.15">
      <c r="A595" s="33"/>
      <c r="B595" s="33"/>
      <c r="H595" s="6">
        <v>0</v>
      </c>
      <c r="I595" s="6">
        <v>0</v>
      </c>
      <c r="J595" s="6">
        <v>0</v>
      </c>
    </row>
    <row r="596" spans="1:10" ht="13" x14ac:dyDescent="0.15">
      <c r="A596" s="33"/>
      <c r="B596" s="33"/>
      <c r="H596" s="6">
        <v>0</v>
      </c>
      <c r="I596" s="6">
        <v>0</v>
      </c>
      <c r="J596" s="6">
        <v>0</v>
      </c>
    </row>
    <row r="597" spans="1:10" ht="13" x14ac:dyDescent="0.15">
      <c r="A597" s="33"/>
      <c r="B597" s="33"/>
      <c r="H597" s="6">
        <v>0</v>
      </c>
      <c r="I597" s="6">
        <v>0</v>
      </c>
      <c r="J597" s="6">
        <v>0</v>
      </c>
    </row>
    <row r="598" spans="1:10" ht="13" x14ac:dyDescent="0.15">
      <c r="A598" s="33"/>
      <c r="B598" s="33"/>
      <c r="H598" s="6">
        <v>0</v>
      </c>
      <c r="I598" s="6">
        <v>0</v>
      </c>
      <c r="J598" s="6">
        <v>0</v>
      </c>
    </row>
    <row r="599" spans="1:10" ht="13" x14ac:dyDescent="0.15">
      <c r="A599" s="33"/>
      <c r="B599" s="33"/>
      <c r="H599" s="6">
        <v>0</v>
      </c>
      <c r="I599" s="6">
        <v>0</v>
      </c>
      <c r="J599" s="6">
        <v>0</v>
      </c>
    </row>
    <row r="600" spans="1:10" ht="13" x14ac:dyDescent="0.15">
      <c r="A600" s="33"/>
      <c r="B600" s="33"/>
      <c r="H600" s="6">
        <v>0</v>
      </c>
      <c r="I600" s="6">
        <v>0</v>
      </c>
      <c r="J600" s="6">
        <v>0</v>
      </c>
    </row>
    <row r="601" spans="1:10" ht="13" x14ac:dyDescent="0.15">
      <c r="A601" s="33"/>
      <c r="B601" s="33"/>
      <c r="H601" s="6">
        <v>0</v>
      </c>
      <c r="I601" s="6">
        <v>0</v>
      </c>
      <c r="J601" s="6">
        <v>0</v>
      </c>
    </row>
    <row r="602" spans="1:10" ht="13" x14ac:dyDescent="0.15">
      <c r="A602" s="33"/>
      <c r="B602" s="33"/>
      <c r="H602" s="6">
        <v>0</v>
      </c>
      <c r="I602" s="6">
        <v>0</v>
      </c>
      <c r="J602" s="6">
        <v>0</v>
      </c>
    </row>
    <row r="603" spans="1:10" ht="13" x14ac:dyDescent="0.15">
      <c r="A603" s="33"/>
      <c r="B603" s="33"/>
      <c r="H603" s="6">
        <v>0</v>
      </c>
      <c r="I603" s="6">
        <v>0</v>
      </c>
      <c r="J603" s="6">
        <v>0</v>
      </c>
    </row>
    <row r="604" spans="1:10" ht="13" x14ac:dyDescent="0.15">
      <c r="A604" s="33"/>
      <c r="B604" s="33"/>
      <c r="H604" s="6">
        <v>0</v>
      </c>
      <c r="I604" s="6">
        <v>0</v>
      </c>
      <c r="J604" s="6">
        <v>0</v>
      </c>
    </row>
    <row r="605" spans="1:10" ht="13" x14ac:dyDescent="0.15">
      <c r="A605" s="33"/>
      <c r="B605" s="33"/>
      <c r="H605" s="6">
        <v>0</v>
      </c>
      <c r="I605" s="6">
        <v>0</v>
      </c>
      <c r="J605" s="6">
        <v>0</v>
      </c>
    </row>
    <row r="606" spans="1:10" ht="13" x14ac:dyDescent="0.15">
      <c r="A606" s="33"/>
      <c r="B606" s="33"/>
      <c r="H606" s="6">
        <v>0</v>
      </c>
      <c r="I606" s="6">
        <v>0</v>
      </c>
      <c r="J606" s="6">
        <v>0</v>
      </c>
    </row>
    <row r="607" spans="1:10" ht="13" x14ac:dyDescent="0.15">
      <c r="A607" s="33"/>
      <c r="B607" s="33"/>
      <c r="H607" s="6">
        <v>0</v>
      </c>
      <c r="I607" s="6">
        <v>0</v>
      </c>
      <c r="J607" s="6">
        <v>0</v>
      </c>
    </row>
    <row r="608" spans="1:10" ht="13" x14ac:dyDescent="0.15">
      <c r="A608" s="33"/>
      <c r="B608" s="33"/>
      <c r="H608" s="6">
        <v>0</v>
      </c>
      <c r="I608" s="6">
        <v>0</v>
      </c>
      <c r="J608" s="6">
        <v>0</v>
      </c>
    </row>
    <row r="609" spans="1:10" ht="13" x14ac:dyDescent="0.15">
      <c r="A609" s="33"/>
      <c r="B609" s="33"/>
      <c r="H609" s="6">
        <v>0</v>
      </c>
      <c r="I609" s="6">
        <v>0</v>
      </c>
      <c r="J609" s="6">
        <v>0</v>
      </c>
    </row>
    <row r="610" spans="1:10" ht="13" x14ac:dyDescent="0.15">
      <c r="A610" s="33"/>
      <c r="B610" s="33"/>
      <c r="H610" s="6">
        <v>0</v>
      </c>
      <c r="I610" s="6">
        <v>0</v>
      </c>
      <c r="J610" s="6">
        <v>0</v>
      </c>
    </row>
    <row r="611" spans="1:10" ht="13" x14ac:dyDescent="0.15">
      <c r="A611" s="33"/>
      <c r="B611" s="33"/>
      <c r="H611" s="6">
        <v>0</v>
      </c>
      <c r="I611" s="6">
        <v>0</v>
      </c>
      <c r="J611" s="6">
        <v>0</v>
      </c>
    </row>
    <row r="612" spans="1:10" ht="13" x14ac:dyDescent="0.15">
      <c r="A612" s="33"/>
      <c r="B612" s="33"/>
      <c r="H612" s="6">
        <v>0</v>
      </c>
      <c r="I612" s="6">
        <v>0</v>
      </c>
      <c r="J612" s="6">
        <v>0</v>
      </c>
    </row>
    <row r="613" spans="1:10" ht="13" x14ac:dyDescent="0.15">
      <c r="A613" s="33"/>
      <c r="B613" s="33"/>
      <c r="H613" s="6">
        <v>0</v>
      </c>
      <c r="I613" s="6">
        <v>0</v>
      </c>
      <c r="J613" s="6">
        <v>0</v>
      </c>
    </row>
    <row r="614" spans="1:10" ht="13" x14ac:dyDescent="0.15">
      <c r="A614" s="33"/>
      <c r="B614" s="33"/>
      <c r="H614" s="6">
        <v>0</v>
      </c>
      <c r="I614" s="6">
        <v>0</v>
      </c>
      <c r="J614" s="6">
        <v>0</v>
      </c>
    </row>
    <row r="615" spans="1:10" ht="13" x14ac:dyDescent="0.15">
      <c r="A615" s="33"/>
      <c r="B615" s="33"/>
      <c r="H615" s="6">
        <v>0</v>
      </c>
      <c r="I615" s="6">
        <v>0</v>
      </c>
      <c r="J615" s="6">
        <v>0</v>
      </c>
    </row>
    <row r="616" spans="1:10" ht="13" x14ac:dyDescent="0.15">
      <c r="A616" s="33"/>
      <c r="B616" s="33"/>
      <c r="H616" s="6">
        <v>0</v>
      </c>
      <c r="I616" s="6">
        <v>0</v>
      </c>
      <c r="J616" s="6">
        <v>0</v>
      </c>
    </row>
    <row r="617" spans="1:10" ht="13" x14ac:dyDescent="0.15">
      <c r="A617" s="33"/>
      <c r="B617" s="33"/>
      <c r="H617" s="6">
        <v>0</v>
      </c>
      <c r="I617" s="6">
        <v>0</v>
      </c>
      <c r="J617" s="6">
        <v>0</v>
      </c>
    </row>
    <row r="618" spans="1:10" ht="13" x14ac:dyDescent="0.15">
      <c r="A618" s="33"/>
      <c r="B618" s="33"/>
      <c r="H618" s="6">
        <v>0</v>
      </c>
      <c r="I618" s="6">
        <v>0</v>
      </c>
      <c r="J618" s="6">
        <v>0</v>
      </c>
    </row>
    <row r="619" spans="1:10" ht="13" x14ac:dyDescent="0.15">
      <c r="A619" s="33"/>
      <c r="B619" s="33"/>
      <c r="H619" s="6">
        <v>0</v>
      </c>
      <c r="I619" s="6">
        <v>0</v>
      </c>
      <c r="J619" s="6">
        <v>0</v>
      </c>
    </row>
    <row r="620" spans="1:10" ht="13" x14ac:dyDescent="0.15">
      <c r="A620" s="33"/>
      <c r="B620" s="33"/>
      <c r="H620" s="6">
        <v>0</v>
      </c>
      <c r="I620" s="6">
        <v>0</v>
      </c>
      <c r="J620" s="6">
        <v>0</v>
      </c>
    </row>
    <row r="621" spans="1:10" ht="13" x14ac:dyDescent="0.15">
      <c r="A621" s="33"/>
      <c r="B621" s="33"/>
      <c r="H621" s="6">
        <v>0</v>
      </c>
      <c r="I621" s="6">
        <v>0</v>
      </c>
      <c r="J621" s="6">
        <v>0</v>
      </c>
    </row>
    <row r="622" spans="1:10" ht="13" x14ac:dyDescent="0.15">
      <c r="A622" s="33"/>
      <c r="B622" s="33"/>
      <c r="H622" s="6">
        <v>0</v>
      </c>
      <c r="I622" s="6">
        <v>0</v>
      </c>
      <c r="J622" s="6">
        <v>0</v>
      </c>
    </row>
    <row r="623" spans="1:10" ht="13" x14ac:dyDescent="0.15">
      <c r="A623" s="33"/>
      <c r="B623" s="33"/>
      <c r="H623" s="6">
        <v>0</v>
      </c>
      <c r="I623" s="6">
        <v>0</v>
      </c>
      <c r="J623" s="6">
        <v>0</v>
      </c>
    </row>
    <row r="624" spans="1:10" ht="13" x14ac:dyDescent="0.15">
      <c r="A624" s="33"/>
      <c r="B624" s="33"/>
      <c r="H624" s="6">
        <v>0</v>
      </c>
      <c r="I624" s="6">
        <v>0</v>
      </c>
      <c r="J624" s="6">
        <v>0</v>
      </c>
    </row>
    <row r="625" spans="1:10" ht="13" x14ac:dyDescent="0.15">
      <c r="A625" s="33"/>
      <c r="B625" s="33"/>
      <c r="H625" s="6">
        <v>0</v>
      </c>
      <c r="I625" s="6">
        <v>0</v>
      </c>
      <c r="J625" s="6">
        <v>0</v>
      </c>
    </row>
    <row r="626" spans="1:10" ht="13" x14ac:dyDescent="0.15">
      <c r="A626" s="33"/>
      <c r="B626" s="33"/>
      <c r="H626" s="6">
        <v>0</v>
      </c>
      <c r="I626" s="6">
        <v>0</v>
      </c>
      <c r="J626" s="6">
        <v>0</v>
      </c>
    </row>
    <row r="627" spans="1:10" ht="13" x14ac:dyDescent="0.15">
      <c r="A627" s="33"/>
      <c r="B627" s="33"/>
      <c r="H627" s="6">
        <v>0</v>
      </c>
      <c r="I627" s="6">
        <v>0</v>
      </c>
      <c r="J627" s="6">
        <v>0</v>
      </c>
    </row>
    <row r="628" spans="1:10" ht="13" x14ac:dyDescent="0.15">
      <c r="A628" s="33"/>
      <c r="B628" s="33"/>
      <c r="H628" s="6">
        <v>0</v>
      </c>
      <c r="I628" s="6">
        <v>0</v>
      </c>
      <c r="J628" s="6">
        <v>0</v>
      </c>
    </row>
    <row r="629" spans="1:10" ht="13" x14ac:dyDescent="0.15">
      <c r="A629" s="33"/>
      <c r="B629" s="33"/>
      <c r="H629" s="6">
        <v>0</v>
      </c>
      <c r="I629" s="6">
        <v>0</v>
      </c>
      <c r="J629" s="6">
        <v>0</v>
      </c>
    </row>
    <row r="630" spans="1:10" ht="13" x14ac:dyDescent="0.15">
      <c r="A630" s="33"/>
      <c r="B630" s="33"/>
      <c r="H630" s="6">
        <v>0</v>
      </c>
      <c r="I630" s="6">
        <v>0</v>
      </c>
      <c r="J630" s="6">
        <v>0</v>
      </c>
    </row>
    <row r="631" spans="1:10" ht="13" x14ac:dyDescent="0.15">
      <c r="A631" s="33"/>
      <c r="B631" s="33"/>
      <c r="H631" s="6">
        <v>0</v>
      </c>
      <c r="I631" s="6">
        <v>0</v>
      </c>
      <c r="J631" s="6">
        <v>0</v>
      </c>
    </row>
    <row r="632" spans="1:10" ht="13" x14ac:dyDescent="0.15">
      <c r="A632" s="33"/>
      <c r="B632" s="33"/>
      <c r="H632" s="6">
        <v>0</v>
      </c>
      <c r="I632" s="6">
        <v>0</v>
      </c>
      <c r="J632" s="6">
        <v>0</v>
      </c>
    </row>
    <row r="633" spans="1:10" ht="13" x14ac:dyDescent="0.15">
      <c r="A633" s="33"/>
      <c r="B633" s="33"/>
      <c r="H633" s="6">
        <v>0</v>
      </c>
      <c r="I633" s="6">
        <v>0</v>
      </c>
      <c r="J633" s="6">
        <v>0</v>
      </c>
    </row>
    <row r="634" spans="1:10" ht="13" x14ac:dyDescent="0.15">
      <c r="A634" s="33"/>
      <c r="B634" s="33"/>
      <c r="H634" s="6">
        <v>0</v>
      </c>
      <c r="I634" s="6">
        <v>0</v>
      </c>
      <c r="J634" s="6">
        <v>0</v>
      </c>
    </row>
    <row r="635" spans="1:10" ht="13" x14ac:dyDescent="0.15">
      <c r="A635" s="33"/>
      <c r="B635" s="33"/>
      <c r="H635" s="6">
        <v>0</v>
      </c>
      <c r="I635" s="6">
        <v>0</v>
      </c>
      <c r="J635" s="6">
        <v>0</v>
      </c>
    </row>
    <row r="636" spans="1:10" ht="13" x14ac:dyDescent="0.15">
      <c r="A636" s="33"/>
      <c r="B636" s="33"/>
      <c r="H636" s="6">
        <v>0</v>
      </c>
      <c r="I636" s="6">
        <v>0</v>
      </c>
      <c r="J636" s="6">
        <v>0</v>
      </c>
    </row>
    <row r="637" spans="1:10" ht="13" x14ac:dyDescent="0.15">
      <c r="A637" s="33"/>
      <c r="B637" s="33"/>
      <c r="H637" s="6">
        <v>0</v>
      </c>
      <c r="I637" s="6">
        <v>0</v>
      </c>
      <c r="J637" s="6">
        <v>0</v>
      </c>
    </row>
    <row r="638" spans="1:10" ht="13" x14ac:dyDescent="0.15">
      <c r="A638" s="33"/>
      <c r="B638" s="33"/>
      <c r="H638" s="6">
        <v>0</v>
      </c>
      <c r="I638" s="6">
        <v>0</v>
      </c>
      <c r="J638" s="6">
        <v>0</v>
      </c>
    </row>
    <row r="639" spans="1:10" ht="13" x14ac:dyDescent="0.15">
      <c r="A639" s="33"/>
      <c r="B639" s="33"/>
      <c r="H639" s="6">
        <v>0</v>
      </c>
      <c r="I639" s="6">
        <v>0</v>
      </c>
      <c r="J639" s="6">
        <v>0</v>
      </c>
    </row>
    <row r="640" spans="1:10" ht="13" x14ac:dyDescent="0.15">
      <c r="A640" s="33"/>
      <c r="B640" s="33"/>
      <c r="H640" s="6">
        <v>0</v>
      </c>
      <c r="I640" s="6">
        <v>0</v>
      </c>
      <c r="J640" s="6">
        <v>0</v>
      </c>
    </row>
    <row r="641" spans="1:10" ht="13" x14ac:dyDescent="0.15">
      <c r="A641" s="33"/>
      <c r="B641" s="33"/>
      <c r="H641" s="6">
        <v>0</v>
      </c>
      <c r="I641" s="6">
        <v>0</v>
      </c>
      <c r="J641" s="6">
        <v>0</v>
      </c>
    </row>
    <row r="642" spans="1:10" ht="13" x14ac:dyDescent="0.15">
      <c r="A642" s="33"/>
      <c r="B642" s="33"/>
      <c r="H642" s="6">
        <v>0</v>
      </c>
      <c r="I642" s="6">
        <v>0</v>
      </c>
      <c r="J642" s="6">
        <v>0</v>
      </c>
    </row>
    <row r="643" spans="1:10" ht="13" x14ac:dyDescent="0.15">
      <c r="A643" s="33"/>
      <c r="B643" s="33"/>
      <c r="H643" s="6">
        <v>0</v>
      </c>
      <c r="I643" s="6">
        <v>0</v>
      </c>
      <c r="J643" s="6">
        <v>0</v>
      </c>
    </row>
    <row r="644" spans="1:10" ht="13" x14ac:dyDescent="0.15">
      <c r="A644" s="33"/>
      <c r="B644" s="33"/>
      <c r="H644" s="6">
        <v>0</v>
      </c>
      <c r="I644" s="6">
        <v>0</v>
      </c>
      <c r="J644" s="6">
        <v>0</v>
      </c>
    </row>
    <row r="645" spans="1:10" ht="13" x14ac:dyDescent="0.15">
      <c r="A645" s="33"/>
      <c r="B645" s="33"/>
      <c r="H645" s="6">
        <v>0</v>
      </c>
      <c r="I645" s="6">
        <v>0</v>
      </c>
      <c r="J645" s="6">
        <v>0</v>
      </c>
    </row>
    <row r="646" spans="1:10" ht="13" x14ac:dyDescent="0.15">
      <c r="A646" s="33"/>
      <c r="B646" s="33"/>
      <c r="H646" s="6">
        <v>0</v>
      </c>
      <c r="I646" s="6">
        <v>0</v>
      </c>
      <c r="J646" s="6">
        <v>0</v>
      </c>
    </row>
    <row r="647" spans="1:10" ht="13" x14ac:dyDescent="0.15">
      <c r="A647" s="33"/>
      <c r="B647" s="33"/>
      <c r="H647" s="6">
        <v>0</v>
      </c>
      <c r="I647" s="6">
        <v>0</v>
      </c>
      <c r="J647" s="6">
        <v>0</v>
      </c>
    </row>
    <row r="648" spans="1:10" ht="13" x14ac:dyDescent="0.15">
      <c r="A648" s="33"/>
      <c r="B648" s="33"/>
      <c r="H648" s="6">
        <v>0</v>
      </c>
      <c r="I648" s="6">
        <v>0</v>
      </c>
      <c r="J648" s="6">
        <v>0</v>
      </c>
    </row>
    <row r="649" spans="1:10" ht="13" x14ac:dyDescent="0.15">
      <c r="A649" s="33"/>
      <c r="B649" s="33"/>
      <c r="H649" s="6">
        <v>0</v>
      </c>
      <c r="I649" s="6">
        <v>0</v>
      </c>
      <c r="J649" s="6">
        <v>0</v>
      </c>
    </row>
    <row r="650" spans="1:10" ht="13" x14ac:dyDescent="0.15">
      <c r="A650" s="33"/>
      <c r="B650" s="33"/>
      <c r="H650" s="6">
        <v>0</v>
      </c>
      <c r="I650" s="6">
        <v>0</v>
      </c>
      <c r="J650" s="6">
        <v>0</v>
      </c>
    </row>
    <row r="651" spans="1:10" ht="13" x14ac:dyDescent="0.15">
      <c r="A651" s="33"/>
      <c r="B651" s="33"/>
      <c r="H651" s="6">
        <v>0</v>
      </c>
      <c r="I651" s="6">
        <v>0</v>
      </c>
      <c r="J651" s="6">
        <v>0</v>
      </c>
    </row>
    <row r="652" spans="1:10" ht="13" x14ac:dyDescent="0.15">
      <c r="A652" s="33"/>
      <c r="B652" s="33"/>
      <c r="H652" s="6">
        <v>0</v>
      </c>
      <c r="I652" s="6">
        <v>0</v>
      </c>
      <c r="J652" s="6">
        <v>0</v>
      </c>
    </row>
    <row r="653" spans="1:10" ht="13" x14ac:dyDescent="0.15">
      <c r="A653" s="33"/>
      <c r="B653" s="33"/>
      <c r="H653" s="6">
        <v>0</v>
      </c>
      <c r="I653" s="6">
        <v>0</v>
      </c>
      <c r="J653" s="6">
        <v>0</v>
      </c>
    </row>
    <row r="654" spans="1:10" ht="13" x14ac:dyDescent="0.15">
      <c r="A654" s="33"/>
      <c r="B654" s="33"/>
      <c r="H654" s="6">
        <v>0</v>
      </c>
      <c r="I654" s="6">
        <v>0</v>
      </c>
      <c r="J654" s="6">
        <v>0</v>
      </c>
    </row>
    <row r="655" spans="1:10" ht="13" x14ac:dyDescent="0.15">
      <c r="A655" s="33"/>
      <c r="B655" s="33"/>
      <c r="H655" s="6">
        <v>0</v>
      </c>
      <c r="I655" s="6">
        <v>0</v>
      </c>
      <c r="J655" s="6">
        <v>0</v>
      </c>
    </row>
    <row r="656" spans="1:10" ht="13" x14ac:dyDescent="0.15">
      <c r="A656" s="33"/>
      <c r="B656" s="33"/>
      <c r="H656" s="6">
        <v>0</v>
      </c>
      <c r="I656" s="6">
        <v>0</v>
      </c>
      <c r="J656" s="6">
        <v>0</v>
      </c>
    </row>
    <row r="657" spans="1:10" ht="13" x14ac:dyDescent="0.15">
      <c r="A657" s="33"/>
      <c r="B657" s="33"/>
      <c r="H657" s="6">
        <v>0</v>
      </c>
      <c r="I657" s="6">
        <v>0</v>
      </c>
      <c r="J657" s="6">
        <v>0</v>
      </c>
    </row>
    <row r="658" spans="1:10" ht="13" x14ac:dyDescent="0.15">
      <c r="A658" s="33"/>
      <c r="B658" s="33"/>
      <c r="H658" s="6">
        <v>0</v>
      </c>
      <c r="I658" s="6">
        <v>0</v>
      </c>
      <c r="J658" s="6">
        <v>0</v>
      </c>
    </row>
    <row r="659" spans="1:10" ht="13" x14ac:dyDescent="0.15">
      <c r="A659" s="33"/>
      <c r="B659" s="33"/>
      <c r="H659" s="6">
        <v>0</v>
      </c>
      <c r="I659" s="6">
        <v>0</v>
      </c>
      <c r="J659" s="6">
        <v>0</v>
      </c>
    </row>
    <row r="660" spans="1:10" ht="13" x14ac:dyDescent="0.15">
      <c r="A660" s="33"/>
      <c r="B660" s="33"/>
      <c r="H660" s="6">
        <v>0</v>
      </c>
      <c r="I660" s="6">
        <v>0</v>
      </c>
      <c r="J660" s="6">
        <v>0</v>
      </c>
    </row>
    <row r="661" spans="1:10" ht="13" x14ac:dyDescent="0.15">
      <c r="A661" s="33"/>
      <c r="B661" s="33"/>
      <c r="H661" s="6">
        <v>0</v>
      </c>
      <c r="I661" s="6">
        <v>0</v>
      </c>
      <c r="J661" s="6">
        <v>0</v>
      </c>
    </row>
    <row r="662" spans="1:10" ht="13" x14ac:dyDescent="0.15">
      <c r="A662" s="33"/>
      <c r="B662" s="33"/>
      <c r="H662" s="6">
        <v>0</v>
      </c>
      <c r="I662" s="6">
        <v>0</v>
      </c>
      <c r="J662" s="6">
        <v>0</v>
      </c>
    </row>
    <row r="663" spans="1:10" ht="13" x14ac:dyDescent="0.15">
      <c r="A663" s="33"/>
      <c r="B663" s="33"/>
      <c r="H663" s="6">
        <v>0</v>
      </c>
      <c r="I663" s="6">
        <v>0</v>
      </c>
      <c r="J663" s="6">
        <v>0</v>
      </c>
    </row>
    <row r="664" spans="1:10" ht="13" x14ac:dyDescent="0.15">
      <c r="A664" s="33"/>
      <c r="B664" s="33"/>
      <c r="H664" s="6">
        <v>0</v>
      </c>
      <c r="I664" s="6">
        <v>0</v>
      </c>
      <c r="J664" s="6">
        <v>0</v>
      </c>
    </row>
    <row r="665" spans="1:10" ht="13" x14ac:dyDescent="0.15">
      <c r="A665" s="33"/>
      <c r="B665" s="33"/>
      <c r="H665" s="6">
        <v>0</v>
      </c>
      <c r="I665" s="6">
        <v>0</v>
      </c>
      <c r="J665" s="6">
        <v>0</v>
      </c>
    </row>
    <row r="666" spans="1:10" ht="13" x14ac:dyDescent="0.15">
      <c r="A666" s="33"/>
      <c r="B666" s="33"/>
      <c r="H666" s="6">
        <v>0</v>
      </c>
      <c r="I666" s="6">
        <v>0</v>
      </c>
      <c r="J666" s="6">
        <v>0</v>
      </c>
    </row>
    <row r="667" spans="1:10" ht="13" x14ac:dyDescent="0.15">
      <c r="A667" s="33"/>
      <c r="B667" s="33"/>
      <c r="H667" s="6">
        <v>0</v>
      </c>
      <c r="I667" s="6">
        <v>0</v>
      </c>
      <c r="J667" s="6">
        <v>0</v>
      </c>
    </row>
    <row r="668" spans="1:10" ht="13" x14ac:dyDescent="0.15">
      <c r="A668" s="33"/>
      <c r="B668" s="33"/>
      <c r="H668" s="6">
        <v>0</v>
      </c>
      <c r="I668" s="6">
        <v>0</v>
      </c>
      <c r="J668" s="6">
        <v>0</v>
      </c>
    </row>
    <row r="669" spans="1:10" ht="13" x14ac:dyDescent="0.15">
      <c r="A669" s="33"/>
      <c r="B669" s="33"/>
      <c r="H669" s="6">
        <v>0</v>
      </c>
      <c r="I669" s="6">
        <v>0</v>
      </c>
      <c r="J669" s="6">
        <v>0</v>
      </c>
    </row>
    <row r="670" spans="1:10" ht="13" x14ac:dyDescent="0.15">
      <c r="A670" s="33"/>
      <c r="B670" s="33"/>
      <c r="H670" s="6">
        <v>0</v>
      </c>
      <c r="I670" s="6">
        <v>0</v>
      </c>
      <c r="J670" s="6">
        <v>0</v>
      </c>
    </row>
    <row r="671" spans="1:10" ht="13" x14ac:dyDescent="0.15">
      <c r="A671" s="33"/>
      <c r="B671" s="33"/>
      <c r="H671" s="6">
        <v>0</v>
      </c>
      <c r="I671" s="6">
        <v>0</v>
      </c>
      <c r="J671" s="6">
        <v>0</v>
      </c>
    </row>
    <row r="672" spans="1:10" ht="13" x14ac:dyDescent="0.15">
      <c r="A672" s="33"/>
      <c r="B672" s="33"/>
      <c r="H672" s="6">
        <v>0</v>
      </c>
      <c r="I672" s="6">
        <v>0</v>
      </c>
      <c r="J672" s="6">
        <v>0</v>
      </c>
    </row>
    <row r="673" spans="1:10" ht="13" x14ac:dyDescent="0.15">
      <c r="A673" s="33"/>
      <c r="B673" s="33"/>
      <c r="H673" s="6">
        <v>0</v>
      </c>
      <c r="I673" s="6">
        <v>0</v>
      </c>
      <c r="J673" s="6">
        <v>0</v>
      </c>
    </row>
    <row r="674" spans="1:10" ht="13" x14ac:dyDescent="0.15">
      <c r="A674" s="33"/>
      <c r="B674" s="33"/>
      <c r="H674" s="6">
        <v>0</v>
      </c>
      <c r="I674" s="6">
        <v>0</v>
      </c>
      <c r="J674" s="6">
        <v>0</v>
      </c>
    </row>
    <row r="675" spans="1:10" ht="13" x14ac:dyDescent="0.15">
      <c r="A675" s="33"/>
      <c r="B675" s="33"/>
      <c r="H675" s="6">
        <v>0</v>
      </c>
      <c r="I675" s="6">
        <v>0</v>
      </c>
      <c r="J675" s="6">
        <v>0</v>
      </c>
    </row>
    <row r="676" spans="1:10" ht="13" x14ac:dyDescent="0.15">
      <c r="A676" s="33"/>
      <c r="B676" s="33"/>
      <c r="H676" s="6">
        <v>0</v>
      </c>
      <c r="I676" s="6">
        <v>0</v>
      </c>
      <c r="J676" s="6">
        <v>0</v>
      </c>
    </row>
    <row r="677" spans="1:10" ht="13" x14ac:dyDescent="0.15">
      <c r="A677" s="33"/>
      <c r="B677" s="33"/>
      <c r="H677" s="6">
        <v>0</v>
      </c>
      <c r="I677" s="6">
        <v>0</v>
      </c>
      <c r="J677" s="6">
        <v>0</v>
      </c>
    </row>
    <row r="678" spans="1:10" ht="13" x14ac:dyDescent="0.15">
      <c r="A678" s="33"/>
      <c r="B678" s="33"/>
      <c r="H678" s="6">
        <v>0</v>
      </c>
      <c r="I678" s="6">
        <v>0</v>
      </c>
      <c r="J678" s="6">
        <v>0</v>
      </c>
    </row>
    <row r="679" spans="1:10" ht="13" x14ac:dyDescent="0.15">
      <c r="A679" s="33"/>
      <c r="B679" s="33"/>
      <c r="H679" s="6">
        <v>0</v>
      </c>
      <c r="I679" s="6">
        <v>0</v>
      </c>
      <c r="J679" s="6">
        <v>0</v>
      </c>
    </row>
    <row r="680" spans="1:10" ht="13" x14ac:dyDescent="0.15">
      <c r="A680" s="33"/>
      <c r="B680" s="33"/>
      <c r="H680" s="6">
        <v>0</v>
      </c>
      <c r="I680" s="6">
        <v>0</v>
      </c>
      <c r="J680" s="6">
        <v>0</v>
      </c>
    </row>
    <row r="681" spans="1:10" ht="13" x14ac:dyDescent="0.15">
      <c r="A681" s="33"/>
      <c r="B681" s="33"/>
      <c r="H681" s="6">
        <v>0</v>
      </c>
      <c r="I681" s="6">
        <v>0</v>
      </c>
      <c r="J681" s="6">
        <v>0</v>
      </c>
    </row>
    <row r="682" spans="1:10" ht="13" x14ac:dyDescent="0.15">
      <c r="A682" s="33"/>
      <c r="B682" s="33"/>
      <c r="H682" s="6">
        <v>0</v>
      </c>
      <c r="I682" s="6">
        <v>0</v>
      </c>
      <c r="J682" s="6">
        <v>0</v>
      </c>
    </row>
    <row r="683" spans="1:10" ht="13" x14ac:dyDescent="0.15">
      <c r="A683" s="33"/>
      <c r="B683" s="33"/>
      <c r="H683" s="6">
        <v>0</v>
      </c>
      <c r="I683" s="6">
        <v>0</v>
      </c>
      <c r="J683" s="6">
        <v>0</v>
      </c>
    </row>
    <row r="684" spans="1:10" ht="13" x14ac:dyDescent="0.15">
      <c r="A684" s="33"/>
      <c r="B684" s="33"/>
      <c r="H684" s="6">
        <v>0</v>
      </c>
      <c r="I684" s="6">
        <v>0</v>
      </c>
      <c r="J684" s="6">
        <v>0</v>
      </c>
    </row>
    <row r="685" spans="1:10" ht="13" x14ac:dyDescent="0.15">
      <c r="A685" s="33"/>
      <c r="B685" s="33"/>
      <c r="H685" s="6">
        <v>0</v>
      </c>
      <c r="I685" s="6">
        <v>0</v>
      </c>
      <c r="J685" s="6">
        <v>0</v>
      </c>
    </row>
    <row r="686" spans="1:10" ht="13" x14ac:dyDescent="0.15">
      <c r="A686" s="33"/>
      <c r="B686" s="33"/>
      <c r="H686" s="6">
        <v>0</v>
      </c>
      <c r="I686" s="6">
        <v>0</v>
      </c>
      <c r="J686" s="6">
        <v>0</v>
      </c>
    </row>
    <row r="687" spans="1:10" ht="13" x14ac:dyDescent="0.15">
      <c r="A687" s="33"/>
      <c r="B687" s="33"/>
      <c r="H687" s="6">
        <v>0</v>
      </c>
      <c r="I687" s="6">
        <v>0</v>
      </c>
      <c r="J687" s="6">
        <v>0</v>
      </c>
    </row>
    <row r="688" spans="1:10" ht="13" x14ac:dyDescent="0.15">
      <c r="A688" s="33"/>
      <c r="B688" s="33"/>
      <c r="H688" s="6">
        <v>0</v>
      </c>
      <c r="I688" s="6">
        <v>0</v>
      </c>
      <c r="J688" s="6">
        <v>0</v>
      </c>
    </row>
    <row r="689" spans="1:10" ht="13" x14ac:dyDescent="0.15">
      <c r="A689" s="33"/>
      <c r="B689" s="33"/>
      <c r="H689" s="6">
        <v>0</v>
      </c>
      <c r="I689" s="6">
        <v>0</v>
      </c>
      <c r="J689" s="6">
        <v>0</v>
      </c>
    </row>
    <row r="690" spans="1:10" ht="13" x14ac:dyDescent="0.15">
      <c r="A690" s="33"/>
      <c r="B690" s="33"/>
      <c r="H690" s="6">
        <v>0</v>
      </c>
      <c r="I690" s="6">
        <v>0</v>
      </c>
      <c r="J690" s="6">
        <v>0</v>
      </c>
    </row>
    <row r="691" spans="1:10" ht="13" x14ac:dyDescent="0.15">
      <c r="A691" s="33"/>
      <c r="B691" s="33"/>
      <c r="H691" s="6">
        <v>0</v>
      </c>
      <c r="I691" s="6">
        <v>0</v>
      </c>
      <c r="J691" s="6">
        <v>0</v>
      </c>
    </row>
    <row r="692" spans="1:10" ht="13" x14ac:dyDescent="0.15">
      <c r="A692" s="33"/>
      <c r="B692" s="33"/>
      <c r="H692" s="6">
        <v>0</v>
      </c>
      <c r="I692" s="6">
        <v>0</v>
      </c>
      <c r="J692" s="6">
        <v>0</v>
      </c>
    </row>
    <row r="693" spans="1:10" ht="13" x14ac:dyDescent="0.15">
      <c r="A693" s="33"/>
      <c r="B693" s="33"/>
      <c r="H693" s="6">
        <v>0</v>
      </c>
      <c r="I693" s="6">
        <v>0</v>
      </c>
      <c r="J693" s="6">
        <v>0</v>
      </c>
    </row>
    <row r="694" spans="1:10" ht="13" x14ac:dyDescent="0.15">
      <c r="A694" s="33"/>
      <c r="B694" s="33"/>
      <c r="H694" s="6">
        <v>0</v>
      </c>
      <c r="I694" s="6">
        <v>0</v>
      </c>
      <c r="J694" s="6">
        <v>0</v>
      </c>
    </row>
    <row r="695" spans="1:10" ht="13" x14ac:dyDescent="0.15">
      <c r="A695" s="33"/>
      <c r="B695" s="33"/>
      <c r="H695" s="6">
        <v>0</v>
      </c>
      <c r="I695" s="6">
        <v>0</v>
      </c>
      <c r="J695" s="6">
        <v>0</v>
      </c>
    </row>
    <row r="696" spans="1:10" ht="13" x14ac:dyDescent="0.15">
      <c r="A696" s="33"/>
      <c r="B696" s="33"/>
      <c r="H696" s="6">
        <v>0</v>
      </c>
      <c r="I696" s="6">
        <v>0</v>
      </c>
      <c r="J696" s="6">
        <v>0</v>
      </c>
    </row>
    <row r="697" spans="1:10" ht="13" x14ac:dyDescent="0.15">
      <c r="A697" s="33"/>
      <c r="B697" s="33"/>
      <c r="H697" s="6">
        <v>0</v>
      </c>
      <c r="I697" s="6">
        <v>0</v>
      </c>
      <c r="J697" s="6">
        <v>0</v>
      </c>
    </row>
    <row r="698" spans="1:10" ht="13" x14ac:dyDescent="0.15">
      <c r="A698" s="33"/>
      <c r="B698" s="33"/>
      <c r="H698" s="6">
        <v>0</v>
      </c>
      <c r="I698" s="6">
        <v>0</v>
      </c>
      <c r="J698" s="6">
        <v>0</v>
      </c>
    </row>
    <row r="699" spans="1:10" ht="13" x14ac:dyDescent="0.15">
      <c r="A699" s="33"/>
      <c r="B699" s="33"/>
      <c r="H699" s="6">
        <v>0</v>
      </c>
      <c r="I699" s="6">
        <v>0</v>
      </c>
      <c r="J699" s="6">
        <v>0</v>
      </c>
    </row>
    <row r="700" spans="1:10" ht="13" x14ac:dyDescent="0.15">
      <c r="A700" s="33"/>
      <c r="B700" s="33"/>
      <c r="H700" s="6">
        <v>0</v>
      </c>
      <c r="I700" s="6">
        <v>0</v>
      </c>
      <c r="J700" s="6">
        <v>0</v>
      </c>
    </row>
    <row r="701" spans="1:10" ht="13" x14ac:dyDescent="0.15">
      <c r="A701" s="33"/>
      <c r="B701" s="33"/>
      <c r="H701" s="6">
        <v>0</v>
      </c>
      <c r="I701" s="6">
        <v>0</v>
      </c>
      <c r="J701" s="6">
        <v>0</v>
      </c>
    </row>
    <row r="702" spans="1:10" ht="13" x14ac:dyDescent="0.15">
      <c r="A702" s="33"/>
      <c r="B702" s="33"/>
      <c r="H702" s="6">
        <v>0</v>
      </c>
      <c r="I702" s="6">
        <v>0</v>
      </c>
      <c r="J702" s="6">
        <v>0</v>
      </c>
    </row>
    <row r="703" spans="1:10" ht="13" x14ac:dyDescent="0.15">
      <c r="A703" s="33"/>
      <c r="B703" s="33"/>
      <c r="H703" s="6">
        <v>0</v>
      </c>
      <c r="I703" s="6">
        <v>0</v>
      </c>
      <c r="J703" s="6">
        <v>0</v>
      </c>
    </row>
    <row r="704" spans="1:10" ht="13" x14ac:dyDescent="0.15">
      <c r="A704" s="33"/>
      <c r="B704" s="33"/>
      <c r="H704" s="6">
        <v>0</v>
      </c>
      <c r="I704" s="6">
        <v>0</v>
      </c>
      <c r="J704" s="6">
        <v>0</v>
      </c>
    </row>
    <row r="705" spans="1:10" ht="13" x14ac:dyDescent="0.15">
      <c r="A705" s="33"/>
      <c r="B705" s="33"/>
      <c r="H705" s="6">
        <v>0</v>
      </c>
      <c r="I705" s="6">
        <v>0</v>
      </c>
      <c r="J705" s="6">
        <v>0</v>
      </c>
    </row>
    <row r="706" spans="1:10" ht="13" x14ac:dyDescent="0.15">
      <c r="A706" s="33"/>
      <c r="B706" s="33"/>
      <c r="H706" s="6">
        <v>0</v>
      </c>
      <c r="I706" s="6">
        <v>0</v>
      </c>
      <c r="J706" s="6">
        <v>0</v>
      </c>
    </row>
    <row r="707" spans="1:10" ht="13" x14ac:dyDescent="0.15">
      <c r="A707" s="33"/>
      <c r="B707" s="33"/>
      <c r="H707" s="6">
        <v>0</v>
      </c>
      <c r="I707" s="6">
        <v>0</v>
      </c>
      <c r="J707" s="6">
        <v>0</v>
      </c>
    </row>
    <row r="708" spans="1:10" ht="13" x14ac:dyDescent="0.15">
      <c r="A708" s="33"/>
      <c r="B708" s="33"/>
      <c r="H708" s="6">
        <v>0</v>
      </c>
      <c r="I708" s="6">
        <v>0</v>
      </c>
      <c r="J708" s="6">
        <v>0</v>
      </c>
    </row>
    <row r="709" spans="1:10" ht="13" x14ac:dyDescent="0.15">
      <c r="A709" s="33"/>
      <c r="B709" s="33"/>
      <c r="H709" s="6">
        <v>0</v>
      </c>
      <c r="I709" s="6">
        <v>0</v>
      </c>
      <c r="J709" s="6">
        <v>0</v>
      </c>
    </row>
    <row r="710" spans="1:10" ht="13" x14ac:dyDescent="0.15">
      <c r="A710" s="33"/>
      <c r="B710" s="33"/>
      <c r="H710" s="6">
        <v>0</v>
      </c>
      <c r="I710" s="6">
        <v>0</v>
      </c>
      <c r="J710" s="6">
        <v>0</v>
      </c>
    </row>
    <row r="711" spans="1:10" ht="13" x14ac:dyDescent="0.15">
      <c r="A711" s="33"/>
      <c r="B711" s="33"/>
      <c r="H711" s="6">
        <v>0</v>
      </c>
      <c r="I711" s="6">
        <v>0</v>
      </c>
      <c r="J711" s="6">
        <v>0</v>
      </c>
    </row>
    <row r="712" spans="1:10" ht="13" x14ac:dyDescent="0.15">
      <c r="A712" s="33"/>
      <c r="B712" s="33"/>
      <c r="H712" s="6">
        <v>0</v>
      </c>
      <c r="I712" s="6">
        <v>0</v>
      </c>
      <c r="J712" s="6">
        <v>0</v>
      </c>
    </row>
    <row r="713" spans="1:10" ht="13" x14ac:dyDescent="0.15">
      <c r="A713" s="33"/>
      <c r="B713" s="33"/>
      <c r="H713" s="6">
        <v>0</v>
      </c>
      <c r="I713" s="6">
        <v>0</v>
      </c>
      <c r="J713" s="6">
        <v>0</v>
      </c>
    </row>
    <row r="714" spans="1:10" ht="13" x14ac:dyDescent="0.15">
      <c r="A714" s="33"/>
      <c r="B714" s="33"/>
      <c r="H714" s="6">
        <v>0</v>
      </c>
      <c r="I714" s="6">
        <v>0</v>
      </c>
      <c r="J714" s="6">
        <v>0</v>
      </c>
    </row>
    <row r="715" spans="1:10" ht="13" x14ac:dyDescent="0.15">
      <c r="A715" s="33"/>
      <c r="B715" s="33"/>
      <c r="H715" s="6">
        <v>0</v>
      </c>
      <c r="I715" s="6">
        <v>0</v>
      </c>
      <c r="J715" s="6">
        <v>0</v>
      </c>
    </row>
    <row r="716" spans="1:10" ht="13" x14ac:dyDescent="0.15">
      <c r="A716" s="33"/>
      <c r="B716" s="33"/>
      <c r="H716" s="6">
        <v>0</v>
      </c>
      <c r="I716" s="6">
        <v>0</v>
      </c>
      <c r="J716" s="6">
        <v>0</v>
      </c>
    </row>
    <row r="717" spans="1:10" ht="13" x14ac:dyDescent="0.15">
      <c r="A717" s="33"/>
      <c r="B717" s="33"/>
      <c r="H717" s="6">
        <v>0</v>
      </c>
      <c r="I717" s="6">
        <v>0</v>
      </c>
      <c r="J717" s="6">
        <v>0</v>
      </c>
    </row>
    <row r="718" spans="1:10" ht="13" x14ac:dyDescent="0.15">
      <c r="A718" s="33"/>
      <c r="B718" s="33"/>
      <c r="H718" s="6">
        <v>0</v>
      </c>
      <c r="I718" s="6">
        <v>0</v>
      </c>
      <c r="J718" s="6">
        <v>0</v>
      </c>
    </row>
    <row r="719" spans="1:10" ht="13" x14ac:dyDescent="0.15">
      <c r="A719" s="33"/>
      <c r="B719" s="33"/>
      <c r="H719" s="6">
        <v>0</v>
      </c>
      <c r="I719" s="6">
        <v>0</v>
      </c>
      <c r="J719" s="6">
        <v>0</v>
      </c>
    </row>
    <row r="720" spans="1:10" ht="13" x14ac:dyDescent="0.15">
      <c r="A720" s="33"/>
      <c r="B720" s="33"/>
      <c r="H720" s="6">
        <v>0</v>
      </c>
      <c r="I720" s="6">
        <v>0</v>
      </c>
      <c r="J720" s="6">
        <v>0</v>
      </c>
    </row>
    <row r="721" spans="1:10" ht="13" x14ac:dyDescent="0.15">
      <c r="A721" s="33"/>
      <c r="B721" s="33"/>
      <c r="H721" s="6">
        <v>0</v>
      </c>
      <c r="I721" s="6">
        <v>0</v>
      </c>
      <c r="J721" s="6">
        <v>0</v>
      </c>
    </row>
    <row r="722" spans="1:10" ht="13" x14ac:dyDescent="0.15">
      <c r="A722" s="33"/>
      <c r="B722" s="33"/>
      <c r="H722" s="6">
        <v>0</v>
      </c>
      <c r="I722" s="6">
        <v>0</v>
      </c>
      <c r="J722" s="6">
        <v>0</v>
      </c>
    </row>
    <row r="723" spans="1:10" ht="13" x14ac:dyDescent="0.15">
      <c r="A723" s="33"/>
      <c r="B723" s="33"/>
      <c r="H723" s="6">
        <v>0</v>
      </c>
      <c r="I723" s="6">
        <v>0</v>
      </c>
      <c r="J723" s="6">
        <v>0</v>
      </c>
    </row>
    <row r="724" spans="1:10" ht="13" x14ac:dyDescent="0.15">
      <c r="A724" s="33"/>
      <c r="B724" s="33"/>
      <c r="H724" s="6">
        <v>0</v>
      </c>
      <c r="I724" s="6">
        <v>0</v>
      </c>
      <c r="J724" s="6">
        <v>0</v>
      </c>
    </row>
    <row r="725" spans="1:10" ht="13" x14ac:dyDescent="0.15">
      <c r="A725" s="33"/>
      <c r="B725" s="33"/>
      <c r="H725" s="6">
        <v>0</v>
      </c>
      <c r="I725" s="6">
        <v>0</v>
      </c>
      <c r="J725" s="6">
        <v>0</v>
      </c>
    </row>
    <row r="726" spans="1:10" ht="13" x14ac:dyDescent="0.15">
      <c r="A726" s="33"/>
      <c r="B726" s="33"/>
      <c r="H726" s="6">
        <v>0</v>
      </c>
      <c r="I726" s="6">
        <v>0</v>
      </c>
      <c r="J726" s="6">
        <v>0</v>
      </c>
    </row>
    <row r="727" spans="1:10" ht="13" x14ac:dyDescent="0.15">
      <c r="A727" s="33"/>
      <c r="B727" s="33"/>
      <c r="H727" s="6">
        <v>0</v>
      </c>
      <c r="I727" s="6">
        <v>0</v>
      </c>
      <c r="J727" s="6">
        <v>0</v>
      </c>
    </row>
    <row r="728" spans="1:10" ht="13" x14ac:dyDescent="0.15">
      <c r="A728" s="33"/>
      <c r="B728" s="33"/>
      <c r="H728" s="6">
        <v>0</v>
      </c>
      <c r="I728" s="6">
        <v>0</v>
      </c>
      <c r="J728" s="6">
        <v>0</v>
      </c>
    </row>
    <row r="729" spans="1:10" ht="13" x14ac:dyDescent="0.15">
      <c r="A729" s="33"/>
      <c r="B729" s="33"/>
      <c r="H729" s="6">
        <v>0</v>
      </c>
      <c r="I729" s="6">
        <v>0</v>
      </c>
      <c r="J729" s="6">
        <v>0</v>
      </c>
    </row>
    <row r="730" spans="1:10" ht="13" x14ac:dyDescent="0.15">
      <c r="A730" s="33"/>
      <c r="B730" s="33"/>
      <c r="H730" s="6">
        <v>0</v>
      </c>
      <c r="I730" s="6">
        <v>0</v>
      </c>
      <c r="J730" s="6">
        <v>0</v>
      </c>
    </row>
    <row r="731" spans="1:10" ht="13" x14ac:dyDescent="0.15">
      <c r="A731" s="33"/>
      <c r="B731" s="33"/>
      <c r="H731" s="6">
        <v>0</v>
      </c>
      <c r="I731" s="6">
        <v>0</v>
      </c>
      <c r="J731" s="6">
        <v>0</v>
      </c>
    </row>
    <row r="732" spans="1:10" ht="13" x14ac:dyDescent="0.15">
      <c r="A732" s="33"/>
      <c r="B732" s="33"/>
      <c r="H732" s="6">
        <v>0</v>
      </c>
      <c r="I732" s="6">
        <v>0</v>
      </c>
      <c r="J732" s="6">
        <v>0</v>
      </c>
    </row>
    <row r="733" spans="1:10" ht="13" x14ac:dyDescent="0.15">
      <c r="A733" s="33"/>
      <c r="B733" s="33"/>
      <c r="H733" s="6">
        <v>0</v>
      </c>
      <c r="I733" s="6">
        <v>0</v>
      </c>
      <c r="J733" s="6">
        <v>0</v>
      </c>
    </row>
    <row r="734" spans="1:10" ht="13" x14ac:dyDescent="0.15">
      <c r="A734" s="33"/>
      <c r="B734" s="33"/>
      <c r="H734" s="6">
        <v>0</v>
      </c>
      <c r="I734" s="6">
        <v>0</v>
      </c>
      <c r="J734" s="6">
        <v>0</v>
      </c>
    </row>
    <row r="735" spans="1:10" ht="13" x14ac:dyDescent="0.15">
      <c r="A735" s="33"/>
      <c r="B735" s="33"/>
      <c r="H735" s="6">
        <v>0</v>
      </c>
      <c r="I735" s="6">
        <v>0</v>
      </c>
      <c r="J735" s="6">
        <v>0</v>
      </c>
    </row>
    <row r="736" spans="1:10" ht="13" x14ac:dyDescent="0.15">
      <c r="A736" s="33"/>
      <c r="B736" s="33"/>
      <c r="H736" s="6">
        <v>0</v>
      </c>
      <c r="I736" s="6">
        <v>0</v>
      </c>
      <c r="J736" s="6">
        <v>0</v>
      </c>
    </row>
    <row r="737" spans="1:10" ht="13" x14ac:dyDescent="0.15">
      <c r="A737" s="33"/>
      <c r="B737" s="33"/>
      <c r="H737" s="6">
        <v>0</v>
      </c>
      <c r="I737" s="6">
        <v>0</v>
      </c>
      <c r="J737" s="6">
        <v>0</v>
      </c>
    </row>
    <row r="738" spans="1:10" ht="13" x14ac:dyDescent="0.15">
      <c r="A738" s="33"/>
      <c r="B738" s="33"/>
      <c r="H738" s="6">
        <v>0</v>
      </c>
      <c r="I738" s="6">
        <v>0</v>
      </c>
      <c r="J738" s="6">
        <v>0</v>
      </c>
    </row>
    <row r="739" spans="1:10" ht="13" x14ac:dyDescent="0.15">
      <c r="A739" s="33"/>
      <c r="B739" s="33"/>
      <c r="H739" s="6">
        <v>0</v>
      </c>
      <c r="I739" s="6">
        <v>0</v>
      </c>
      <c r="J739" s="6">
        <v>0</v>
      </c>
    </row>
    <row r="740" spans="1:10" ht="13" x14ac:dyDescent="0.15">
      <c r="A740" s="33"/>
      <c r="B740" s="33"/>
      <c r="H740" s="6">
        <v>0</v>
      </c>
      <c r="I740" s="6">
        <v>0</v>
      </c>
      <c r="J740" s="6">
        <v>0</v>
      </c>
    </row>
    <row r="741" spans="1:10" ht="13" x14ac:dyDescent="0.15">
      <c r="A741" s="33"/>
      <c r="B741" s="33"/>
      <c r="H741" s="6">
        <v>0</v>
      </c>
      <c r="I741" s="6">
        <v>0</v>
      </c>
      <c r="J741" s="6">
        <v>0</v>
      </c>
    </row>
    <row r="742" spans="1:10" ht="13" x14ac:dyDescent="0.15">
      <c r="A742" s="33"/>
      <c r="B742" s="33"/>
      <c r="H742" s="6">
        <v>0</v>
      </c>
      <c r="I742" s="6">
        <v>0</v>
      </c>
      <c r="J742" s="6">
        <v>0</v>
      </c>
    </row>
    <row r="743" spans="1:10" ht="13" x14ac:dyDescent="0.15">
      <c r="A743" s="33"/>
      <c r="B743" s="33"/>
      <c r="H743" s="6">
        <v>0</v>
      </c>
      <c r="I743" s="6">
        <v>0</v>
      </c>
      <c r="J743" s="6">
        <v>0</v>
      </c>
    </row>
    <row r="744" spans="1:10" ht="13" x14ac:dyDescent="0.15">
      <c r="A744" s="33"/>
      <c r="B744" s="33"/>
      <c r="H744" s="6">
        <v>0</v>
      </c>
      <c r="I744" s="6">
        <v>0</v>
      </c>
      <c r="J744" s="6">
        <v>0</v>
      </c>
    </row>
    <row r="745" spans="1:10" ht="13" x14ac:dyDescent="0.15">
      <c r="A745" s="33"/>
      <c r="B745" s="33"/>
      <c r="H745" s="6">
        <v>0</v>
      </c>
      <c r="I745" s="6">
        <v>0</v>
      </c>
      <c r="J745" s="6">
        <v>0</v>
      </c>
    </row>
    <row r="746" spans="1:10" ht="13" x14ac:dyDescent="0.15">
      <c r="A746" s="33"/>
      <c r="B746" s="33"/>
      <c r="H746" s="6">
        <v>0</v>
      </c>
      <c r="I746" s="6">
        <v>0</v>
      </c>
      <c r="J746" s="6">
        <v>0</v>
      </c>
    </row>
    <row r="747" spans="1:10" ht="13" x14ac:dyDescent="0.15">
      <c r="A747" s="33"/>
      <c r="B747" s="33"/>
      <c r="H747" s="6">
        <v>0</v>
      </c>
      <c r="I747" s="6">
        <v>0</v>
      </c>
      <c r="J747" s="6">
        <v>0</v>
      </c>
    </row>
    <row r="748" spans="1:10" ht="13" x14ac:dyDescent="0.15">
      <c r="A748" s="33"/>
      <c r="B748" s="33"/>
      <c r="H748" s="6">
        <v>0</v>
      </c>
      <c r="I748" s="6">
        <v>0</v>
      </c>
      <c r="J748" s="6">
        <v>0</v>
      </c>
    </row>
    <row r="749" spans="1:10" ht="13" x14ac:dyDescent="0.15">
      <c r="A749" s="33"/>
      <c r="B749" s="33"/>
      <c r="H749" s="6">
        <v>0</v>
      </c>
      <c r="I749" s="6">
        <v>0</v>
      </c>
      <c r="J749" s="6">
        <v>0</v>
      </c>
    </row>
    <row r="750" spans="1:10" ht="13" x14ac:dyDescent="0.15">
      <c r="A750" s="33"/>
      <c r="B750" s="33"/>
      <c r="H750" s="6">
        <v>0</v>
      </c>
      <c r="I750" s="6">
        <v>0</v>
      </c>
      <c r="J750" s="6">
        <v>0</v>
      </c>
    </row>
    <row r="751" spans="1:10" ht="13" x14ac:dyDescent="0.15">
      <c r="A751" s="33"/>
      <c r="B751" s="33"/>
      <c r="H751" s="6">
        <v>0</v>
      </c>
      <c r="I751" s="6">
        <v>0</v>
      </c>
      <c r="J751" s="6">
        <v>0</v>
      </c>
    </row>
    <row r="752" spans="1:10" ht="13" x14ac:dyDescent="0.15">
      <c r="A752" s="33"/>
      <c r="B752" s="33"/>
      <c r="H752" s="6">
        <v>0</v>
      </c>
      <c r="I752" s="6">
        <v>0</v>
      </c>
      <c r="J752" s="6">
        <v>0</v>
      </c>
    </row>
    <row r="753" spans="1:10" ht="13" x14ac:dyDescent="0.15">
      <c r="A753" s="33"/>
      <c r="B753" s="33"/>
      <c r="H753" s="6">
        <v>0</v>
      </c>
      <c r="I753" s="6">
        <v>0</v>
      </c>
      <c r="J753" s="6">
        <v>0</v>
      </c>
    </row>
    <row r="754" spans="1:10" ht="13" x14ac:dyDescent="0.15">
      <c r="A754" s="33"/>
      <c r="B754" s="33"/>
      <c r="H754" s="6">
        <v>0</v>
      </c>
      <c r="I754" s="6">
        <v>0</v>
      </c>
      <c r="J754" s="6">
        <v>0</v>
      </c>
    </row>
    <row r="755" spans="1:10" ht="13" x14ac:dyDescent="0.15">
      <c r="A755" s="33"/>
      <c r="B755" s="33"/>
      <c r="H755" s="6">
        <v>0</v>
      </c>
      <c r="I755" s="6">
        <v>0</v>
      </c>
      <c r="J755" s="6">
        <v>0</v>
      </c>
    </row>
    <row r="756" spans="1:10" ht="13" x14ac:dyDescent="0.15">
      <c r="A756" s="33"/>
      <c r="B756" s="33"/>
      <c r="H756" s="6">
        <v>0</v>
      </c>
      <c r="I756" s="6">
        <v>0</v>
      </c>
      <c r="J756" s="6">
        <v>0</v>
      </c>
    </row>
    <row r="757" spans="1:10" ht="13" x14ac:dyDescent="0.15">
      <c r="A757" s="33"/>
      <c r="B757" s="33"/>
      <c r="H757" s="6">
        <v>0</v>
      </c>
      <c r="I757" s="6">
        <v>0</v>
      </c>
      <c r="J757" s="6">
        <v>0</v>
      </c>
    </row>
    <row r="758" spans="1:10" ht="13" x14ac:dyDescent="0.15">
      <c r="A758" s="33"/>
      <c r="B758" s="33"/>
      <c r="H758" s="6">
        <v>0</v>
      </c>
      <c r="I758" s="6">
        <v>0</v>
      </c>
      <c r="J758" s="6">
        <v>0</v>
      </c>
    </row>
    <row r="759" spans="1:10" ht="13" x14ac:dyDescent="0.15">
      <c r="A759" s="33"/>
      <c r="B759" s="33"/>
      <c r="H759" s="6">
        <v>0</v>
      </c>
      <c r="I759" s="6">
        <v>0</v>
      </c>
      <c r="J759" s="6">
        <v>0</v>
      </c>
    </row>
    <row r="760" spans="1:10" ht="13" x14ac:dyDescent="0.15">
      <c r="A760" s="33"/>
      <c r="B760" s="33"/>
      <c r="H760" s="6">
        <v>0</v>
      </c>
      <c r="I760" s="6">
        <v>0</v>
      </c>
      <c r="J760" s="6">
        <v>0</v>
      </c>
    </row>
    <row r="761" spans="1:10" ht="13" x14ac:dyDescent="0.15">
      <c r="A761" s="33"/>
      <c r="B761" s="33"/>
      <c r="H761" s="6">
        <v>0</v>
      </c>
      <c r="I761" s="6">
        <v>0</v>
      </c>
      <c r="J761" s="6">
        <v>0</v>
      </c>
    </row>
    <row r="762" spans="1:10" ht="13" x14ac:dyDescent="0.15">
      <c r="A762" s="33"/>
      <c r="B762" s="33"/>
      <c r="H762" s="6">
        <v>0</v>
      </c>
      <c r="I762" s="6">
        <v>0</v>
      </c>
      <c r="J762" s="6">
        <v>0</v>
      </c>
    </row>
    <row r="763" spans="1:10" ht="13" x14ac:dyDescent="0.15">
      <c r="A763" s="33"/>
      <c r="B763" s="33"/>
      <c r="H763" s="6">
        <v>0</v>
      </c>
      <c r="I763" s="6">
        <v>0</v>
      </c>
      <c r="J763" s="6">
        <v>0</v>
      </c>
    </row>
    <row r="764" spans="1:10" ht="13" x14ac:dyDescent="0.15">
      <c r="A764" s="33"/>
      <c r="B764" s="33"/>
      <c r="H764" s="6">
        <v>0</v>
      </c>
      <c r="I764" s="6">
        <v>0</v>
      </c>
      <c r="J764" s="6">
        <v>0</v>
      </c>
    </row>
    <row r="765" spans="1:10" ht="13" x14ac:dyDescent="0.15">
      <c r="A765" s="33"/>
      <c r="B765" s="33"/>
      <c r="H765" s="6">
        <v>0</v>
      </c>
      <c r="I765" s="6">
        <v>0</v>
      </c>
      <c r="J765" s="6">
        <v>0</v>
      </c>
    </row>
    <row r="766" spans="1:10" ht="13" x14ac:dyDescent="0.15">
      <c r="A766" s="33"/>
      <c r="B766" s="33"/>
      <c r="H766" s="6">
        <v>0</v>
      </c>
      <c r="I766" s="6">
        <v>0</v>
      </c>
      <c r="J766" s="6">
        <v>0</v>
      </c>
    </row>
    <row r="767" spans="1:10" ht="13" x14ac:dyDescent="0.15">
      <c r="A767" s="33"/>
      <c r="B767" s="33"/>
      <c r="H767" s="6">
        <v>0</v>
      </c>
      <c r="I767" s="6">
        <v>0</v>
      </c>
      <c r="J767" s="6">
        <v>0</v>
      </c>
    </row>
    <row r="768" spans="1:10" ht="13" x14ac:dyDescent="0.15">
      <c r="A768" s="33"/>
      <c r="B768" s="33"/>
      <c r="H768" s="6">
        <v>0</v>
      </c>
      <c r="I768" s="6">
        <v>0</v>
      </c>
      <c r="J768" s="6">
        <v>0</v>
      </c>
    </row>
    <row r="769" spans="1:10" ht="13" x14ac:dyDescent="0.15">
      <c r="A769" s="33"/>
      <c r="B769" s="33"/>
      <c r="H769" s="6">
        <v>0</v>
      </c>
      <c r="I769" s="6">
        <v>0</v>
      </c>
      <c r="J769" s="6">
        <v>0</v>
      </c>
    </row>
    <row r="770" spans="1:10" ht="13" x14ac:dyDescent="0.15">
      <c r="A770" s="33"/>
      <c r="B770" s="33"/>
      <c r="H770" s="6">
        <v>0</v>
      </c>
      <c r="I770" s="6">
        <v>0</v>
      </c>
      <c r="J770" s="6">
        <v>0</v>
      </c>
    </row>
    <row r="771" spans="1:10" ht="13" x14ac:dyDescent="0.15">
      <c r="A771" s="33"/>
      <c r="B771" s="33"/>
      <c r="H771" s="6">
        <v>0</v>
      </c>
      <c r="I771" s="6">
        <v>0</v>
      </c>
      <c r="J771" s="6">
        <v>0</v>
      </c>
    </row>
    <row r="772" spans="1:10" ht="13" x14ac:dyDescent="0.15">
      <c r="A772" s="33"/>
      <c r="B772" s="33"/>
      <c r="H772" s="6">
        <v>0</v>
      </c>
      <c r="I772" s="6">
        <v>0</v>
      </c>
      <c r="J772" s="6">
        <v>0</v>
      </c>
    </row>
    <row r="773" spans="1:10" ht="13" x14ac:dyDescent="0.15">
      <c r="A773" s="33"/>
      <c r="B773" s="33"/>
      <c r="H773" s="6">
        <v>0</v>
      </c>
      <c r="I773" s="6">
        <v>0</v>
      </c>
      <c r="J773" s="6">
        <v>0</v>
      </c>
    </row>
    <row r="774" spans="1:10" ht="13" x14ac:dyDescent="0.15">
      <c r="A774" s="33"/>
      <c r="B774" s="33"/>
      <c r="H774" s="6">
        <v>0</v>
      </c>
      <c r="I774" s="6">
        <v>0</v>
      </c>
      <c r="J774" s="6">
        <v>0</v>
      </c>
    </row>
    <row r="775" spans="1:10" ht="13" x14ac:dyDescent="0.15">
      <c r="A775" s="33"/>
      <c r="B775" s="33"/>
      <c r="H775" s="6">
        <v>0</v>
      </c>
      <c r="I775" s="6">
        <v>0</v>
      </c>
      <c r="J775" s="6">
        <v>0</v>
      </c>
    </row>
    <row r="776" spans="1:10" ht="13" x14ac:dyDescent="0.15">
      <c r="A776" s="33"/>
      <c r="B776" s="33"/>
      <c r="H776" s="6">
        <v>0</v>
      </c>
      <c r="I776" s="6">
        <v>0</v>
      </c>
      <c r="J776" s="6">
        <v>0</v>
      </c>
    </row>
    <row r="777" spans="1:10" ht="13" x14ac:dyDescent="0.15">
      <c r="A777" s="33"/>
      <c r="B777" s="33"/>
      <c r="H777" s="6">
        <v>0</v>
      </c>
      <c r="I777" s="6">
        <v>0</v>
      </c>
      <c r="J777" s="6">
        <v>0</v>
      </c>
    </row>
    <row r="778" spans="1:10" ht="13" x14ac:dyDescent="0.15">
      <c r="A778" s="33"/>
      <c r="B778" s="33"/>
      <c r="H778" s="6">
        <v>0</v>
      </c>
      <c r="I778" s="6">
        <v>0</v>
      </c>
      <c r="J778" s="6">
        <v>0</v>
      </c>
    </row>
    <row r="779" spans="1:10" ht="13" x14ac:dyDescent="0.15">
      <c r="A779" s="33"/>
      <c r="B779" s="33"/>
      <c r="H779" s="6">
        <v>0</v>
      </c>
      <c r="I779" s="6">
        <v>0</v>
      </c>
      <c r="J779" s="6">
        <v>0</v>
      </c>
    </row>
    <row r="780" spans="1:10" ht="13" x14ac:dyDescent="0.15">
      <c r="A780" s="33"/>
      <c r="B780" s="33"/>
      <c r="H780" s="6">
        <v>0</v>
      </c>
      <c r="I780" s="6">
        <v>0</v>
      </c>
      <c r="J780" s="6">
        <v>0</v>
      </c>
    </row>
    <row r="781" spans="1:10" ht="13" x14ac:dyDescent="0.15">
      <c r="A781" s="33"/>
      <c r="B781" s="33"/>
      <c r="H781" s="6">
        <v>0</v>
      </c>
      <c r="I781" s="6">
        <v>0</v>
      </c>
      <c r="J781" s="6">
        <v>0</v>
      </c>
    </row>
    <row r="782" spans="1:10" ht="13" x14ac:dyDescent="0.15">
      <c r="A782" s="33"/>
      <c r="B782" s="33"/>
      <c r="H782" s="6">
        <v>0</v>
      </c>
      <c r="I782" s="6">
        <v>0</v>
      </c>
      <c r="J782" s="6">
        <v>0</v>
      </c>
    </row>
    <row r="783" spans="1:10" ht="13" x14ac:dyDescent="0.15">
      <c r="A783" s="33"/>
      <c r="B783" s="33"/>
      <c r="H783" s="6">
        <v>0</v>
      </c>
      <c r="I783" s="6">
        <v>0</v>
      </c>
      <c r="J783" s="6">
        <v>0</v>
      </c>
    </row>
    <row r="784" spans="1:10" ht="13" x14ac:dyDescent="0.15">
      <c r="A784" s="33"/>
      <c r="B784" s="33"/>
      <c r="H784" s="6">
        <v>0</v>
      </c>
      <c r="I784" s="6">
        <v>0</v>
      </c>
      <c r="J784" s="6">
        <v>0</v>
      </c>
    </row>
    <row r="785" spans="1:10" ht="13" x14ac:dyDescent="0.15">
      <c r="A785" s="33"/>
      <c r="B785" s="33"/>
      <c r="H785" s="6">
        <v>0</v>
      </c>
      <c r="I785" s="6">
        <v>0</v>
      </c>
      <c r="J785" s="6">
        <v>0</v>
      </c>
    </row>
    <row r="786" spans="1:10" ht="13" x14ac:dyDescent="0.15">
      <c r="A786" s="33"/>
      <c r="B786" s="33"/>
      <c r="H786" s="6">
        <v>0</v>
      </c>
      <c r="I786" s="6">
        <v>0</v>
      </c>
      <c r="J786" s="6">
        <v>0</v>
      </c>
    </row>
    <row r="787" spans="1:10" ht="13" x14ac:dyDescent="0.15">
      <c r="A787" s="33"/>
      <c r="B787" s="33"/>
      <c r="H787" s="6">
        <v>0</v>
      </c>
      <c r="I787" s="6">
        <v>0</v>
      </c>
      <c r="J787" s="6">
        <v>0</v>
      </c>
    </row>
    <row r="788" spans="1:10" ht="13" x14ac:dyDescent="0.15">
      <c r="A788" s="33"/>
      <c r="B788" s="33"/>
      <c r="H788" s="6">
        <v>0</v>
      </c>
      <c r="I788" s="6">
        <v>0</v>
      </c>
      <c r="J788" s="6">
        <v>0</v>
      </c>
    </row>
    <row r="789" spans="1:10" ht="13" x14ac:dyDescent="0.15">
      <c r="A789" s="33"/>
      <c r="B789" s="33"/>
      <c r="H789" s="6">
        <v>0</v>
      </c>
      <c r="I789" s="6">
        <v>0</v>
      </c>
      <c r="J789" s="6">
        <v>0</v>
      </c>
    </row>
    <row r="790" spans="1:10" ht="13" x14ac:dyDescent="0.15">
      <c r="A790" s="33"/>
      <c r="B790" s="33"/>
      <c r="H790" s="6">
        <v>0</v>
      </c>
      <c r="I790" s="6">
        <v>0</v>
      </c>
      <c r="J790" s="6">
        <v>0</v>
      </c>
    </row>
    <row r="791" spans="1:10" ht="13" x14ac:dyDescent="0.15">
      <c r="A791" s="33"/>
      <c r="B791" s="33"/>
      <c r="H791" s="6">
        <v>0</v>
      </c>
      <c r="I791" s="6">
        <v>0</v>
      </c>
      <c r="J791" s="6">
        <v>0</v>
      </c>
    </row>
    <row r="792" spans="1:10" ht="13" x14ac:dyDescent="0.15">
      <c r="A792" s="33"/>
      <c r="B792" s="33"/>
      <c r="H792" s="6">
        <v>0</v>
      </c>
      <c r="I792" s="6">
        <v>0</v>
      </c>
      <c r="J792" s="6">
        <v>0</v>
      </c>
    </row>
    <row r="793" spans="1:10" ht="13" x14ac:dyDescent="0.15">
      <c r="A793" s="33"/>
      <c r="B793" s="33"/>
      <c r="H793" s="6">
        <v>0</v>
      </c>
      <c r="I793" s="6">
        <v>0</v>
      </c>
      <c r="J793" s="6">
        <v>0</v>
      </c>
    </row>
    <row r="794" spans="1:10" ht="13" x14ac:dyDescent="0.15">
      <c r="A794" s="33"/>
      <c r="B794" s="33"/>
      <c r="H794" s="6">
        <v>0</v>
      </c>
      <c r="I794" s="6">
        <v>0</v>
      </c>
      <c r="J794" s="6">
        <v>0</v>
      </c>
    </row>
    <row r="795" spans="1:10" ht="13" x14ac:dyDescent="0.15">
      <c r="A795" s="33"/>
      <c r="B795" s="33"/>
      <c r="H795" s="6">
        <v>0</v>
      </c>
      <c r="I795" s="6">
        <v>0</v>
      </c>
      <c r="J795" s="6">
        <v>0</v>
      </c>
    </row>
    <row r="796" spans="1:10" ht="13" x14ac:dyDescent="0.15">
      <c r="A796" s="33"/>
      <c r="B796" s="33"/>
      <c r="H796" s="6">
        <v>0</v>
      </c>
      <c r="I796" s="6">
        <v>0</v>
      </c>
      <c r="J796" s="6">
        <v>0</v>
      </c>
    </row>
    <row r="797" spans="1:10" ht="13" x14ac:dyDescent="0.15">
      <c r="A797" s="33"/>
      <c r="B797" s="33"/>
      <c r="H797" s="6">
        <v>0</v>
      </c>
      <c r="I797" s="6">
        <v>0</v>
      </c>
      <c r="J797" s="6">
        <v>0</v>
      </c>
    </row>
    <row r="798" spans="1:10" ht="13" x14ac:dyDescent="0.15">
      <c r="A798" s="33"/>
      <c r="B798" s="33"/>
      <c r="H798" s="6">
        <v>0</v>
      </c>
      <c r="I798" s="6">
        <v>0</v>
      </c>
      <c r="J798" s="6">
        <v>0</v>
      </c>
    </row>
    <row r="799" spans="1:10" ht="13" x14ac:dyDescent="0.15">
      <c r="A799" s="33"/>
      <c r="B799" s="33"/>
      <c r="H799" s="6">
        <v>0</v>
      </c>
      <c r="I799" s="6">
        <v>0</v>
      </c>
      <c r="J799" s="6">
        <v>0</v>
      </c>
    </row>
    <row r="800" spans="1:10" ht="13" x14ac:dyDescent="0.15">
      <c r="A800" s="33"/>
      <c r="B800" s="33"/>
      <c r="H800" s="6">
        <v>0</v>
      </c>
      <c r="I800" s="6">
        <v>0</v>
      </c>
      <c r="J800" s="6">
        <v>0</v>
      </c>
    </row>
    <row r="801" spans="1:10" ht="13" x14ac:dyDescent="0.15">
      <c r="A801" s="33"/>
      <c r="B801" s="33"/>
      <c r="H801" s="6">
        <v>0</v>
      </c>
      <c r="I801" s="6">
        <v>0</v>
      </c>
      <c r="J801" s="6">
        <v>0</v>
      </c>
    </row>
    <row r="802" spans="1:10" ht="13" x14ac:dyDescent="0.15">
      <c r="A802" s="33"/>
      <c r="B802" s="33"/>
      <c r="H802" s="6">
        <v>0</v>
      </c>
      <c r="I802" s="6">
        <v>0</v>
      </c>
      <c r="J802" s="6">
        <v>0</v>
      </c>
    </row>
    <row r="803" spans="1:10" ht="13" x14ac:dyDescent="0.15">
      <c r="A803" s="33"/>
      <c r="B803" s="33"/>
      <c r="H803" s="6">
        <v>0</v>
      </c>
      <c r="I803" s="6">
        <v>0</v>
      </c>
      <c r="J803" s="6">
        <v>0</v>
      </c>
    </row>
    <row r="804" spans="1:10" ht="13" x14ac:dyDescent="0.15">
      <c r="A804" s="33"/>
      <c r="B804" s="33"/>
      <c r="H804" s="6">
        <v>0</v>
      </c>
      <c r="I804" s="6">
        <v>0</v>
      </c>
      <c r="J804" s="6">
        <v>0</v>
      </c>
    </row>
    <row r="805" spans="1:10" ht="13" x14ac:dyDescent="0.15">
      <c r="A805" s="33"/>
      <c r="B805" s="33"/>
      <c r="H805" s="6">
        <v>0</v>
      </c>
      <c r="I805" s="6">
        <v>0</v>
      </c>
      <c r="J805" s="6">
        <v>0</v>
      </c>
    </row>
    <row r="806" spans="1:10" ht="13" x14ac:dyDescent="0.15">
      <c r="A806" s="33"/>
      <c r="B806" s="33"/>
      <c r="H806" s="6">
        <v>0</v>
      </c>
      <c r="I806" s="6">
        <v>0</v>
      </c>
      <c r="J806" s="6">
        <v>0</v>
      </c>
    </row>
    <row r="807" spans="1:10" ht="13" x14ac:dyDescent="0.15">
      <c r="A807" s="33"/>
      <c r="B807" s="33"/>
      <c r="H807" s="6">
        <v>0</v>
      </c>
      <c r="I807" s="6">
        <v>0</v>
      </c>
      <c r="J807" s="6">
        <v>0</v>
      </c>
    </row>
    <row r="808" spans="1:10" ht="13" x14ac:dyDescent="0.15">
      <c r="A808" s="33"/>
      <c r="B808" s="33"/>
      <c r="H808" s="6">
        <v>0</v>
      </c>
      <c r="I808" s="6">
        <v>0</v>
      </c>
      <c r="J808" s="6">
        <v>0</v>
      </c>
    </row>
    <row r="809" spans="1:10" ht="13" x14ac:dyDescent="0.15">
      <c r="A809" s="33"/>
      <c r="B809" s="33"/>
      <c r="H809" s="6">
        <v>0</v>
      </c>
      <c r="I809" s="6">
        <v>0</v>
      </c>
      <c r="J809" s="6">
        <v>0</v>
      </c>
    </row>
    <row r="810" spans="1:10" ht="13" x14ac:dyDescent="0.15">
      <c r="A810" s="33"/>
      <c r="B810" s="33"/>
      <c r="H810" s="6">
        <v>0</v>
      </c>
      <c r="I810" s="6">
        <v>0</v>
      </c>
      <c r="J810" s="6">
        <v>0</v>
      </c>
    </row>
    <row r="811" spans="1:10" ht="13" x14ac:dyDescent="0.15">
      <c r="A811" s="33"/>
      <c r="B811" s="33"/>
      <c r="H811" s="6">
        <v>0</v>
      </c>
      <c r="I811" s="6">
        <v>0</v>
      </c>
      <c r="J811" s="6">
        <v>0</v>
      </c>
    </row>
    <row r="812" spans="1:10" ht="13" x14ac:dyDescent="0.15">
      <c r="A812" s="33"/>
      <c r="B812" s="33"/>
      <c r="H812" s="6">
        <v>0</v>
      </c>
      <c r="I812" s="6">
        <v>0</v>
      </c>
      <c r="J812" s="6">
        <v>0</v>
      </c>
    </row>
    <row r="813" spans="1:10" ht="13" x14ac:dyDescent="0.15">
      <c r="A813" s="33"/>
      <c r="B813" s="33"/>
      <c r="H813" s="6">
        <v>0</v>
      </c>
      <c r="I813" s="6">
        <v>0</v>
      </c>
      <c r="J813" s="6">
        <v>0</v>
      </c>
    </row>
    <row r="814" spans="1:10" ht="13" x14ac:dyDescent="0.15">
      <c r="A814" s="33"/>
      <c r="B814" s="33"/>
      <c r="H814" s="6">
        <v>0</v>
      </c>
      <c r="I814" s="6">
        <v>0</v>
      </c>
      <c r="J814" s="6">
        <v>0</v>
      </c>
    </row>
    <row r="815" spans="1:10" ht="13" x14ac:dyDescent="0.15">
      <c r="A815" s="33"/>
      <c r="B815" s="33"/>
      <c r="H815" s="6">
        <v>0</v>
      </c>
      <c r="I815" s="6">
        <v>0</v>
      </c>
      <c r="J815" s="6">
        <v>0</v>
      </c>
    </row>
    <row r="816" spans="1:10" ht="13" x14ac:dyDescent="0.15">
      <c r="A816" s="33"/>
      <c r="B816" s="33"/>
      <c r="H816" s="6">
        <v>0</v>
      </c>
      <c r="I816" s="6">
        <v>0</v>
      </c>
      <c r="J816" s="6">
        <v>0</v>
      </c>
    </row>
    <row r="817" spans="1:10" ht="13" x14ac:dyDescent="0.15">
      <c r="A817" s="33"/>
      <c r="B817" s="33"/>
      <c r="H817" s="6">
        <v>0</v>
      </c>
      <c r="I817" s="6">
        <v>0</v>
      </c>
      <c r="J817" s="6">
        <v>0</v>
      </c>
    </row>
    <row r="818" spans="1:10" ht="13" x14ac:dyDescent="0.15">
      <c r="A818" s="33"/>
      <c r="B818" s="33"/>
      <c r="H818" s="6">
        <v>0</v>
      </c>
      <c r="I818" s="6">
        <v>0</v>
      </c>
      <c r="J818" s="6">
        <v>0</v>
      </c>
    </row>
    <row r="819" spans="1:10" ht="13" x14ac:dyDescent="0.15">
      <c r="A819" s="33"/>
      <c r="B819" s="33"/>
      <c r="H819" s="6">
        <v>0</v>
      </c>
      <c r="I819" s="6">
        <v>0</v>
      </c>
      <c r="J819" s="6">
        <v>0</v>
      </c>
    </row>
    <row r="820" spans="1:10" ht="13" x14ac:dyDescent="0.15">
      <c r="A820" s="33"/>
      <c r="B820" s="33"/>
      <c r="H820" s="6">
        <v>0</v>
      </c>
      <c r="I820" s="6">
        <v>0</v>
      </c>
      <c r="J820" s="6">
        <v>0</v>
      </c>
    </row>
    <row r="821" spans="1:10" ht="13" x14ac:dyDescent="0.15">
      <c r="A821" s="33"/>
      <c r="B821" s="33"/>
      <c r="H821" s="6">
        <v>0</v>
      </c>
      <c r="I821" s="6">
        <v>0</v>
      </c>
      <c r="J821" s="6">
        <v>0</v>
      </c>
    </row>
    <row r="822" spans="1:10" ht="13" x14ac:dyDescent="0.15">
      <c r="A822" s="33"/>
      <c r="B822" s="33"/>
      <c r="H822" s="6">
        <v>0</v>
      </c>
      <c r="I822" s="6">
        <v>0</v>
      </c>
      <c r="J822" s="6">
        <v>0</v>
      </c>
    </row>
    <row r="823" spans="1:10" ht="13" x14ac:dyDescent="0.15">
      <c r="A823" s="33"/>
      <c r="B823" s="33"/>
      <c r="H823" s="6">
        <v>0</v>
      </c>
      <c r="I823" s="6">
        <v>0</v>
      </c>
      <c r="J823" s="6">
        <v>0</v>
      </c>
    </row>
    <row r="824" spans="1:10" ht="13" x14ac:dyDescent="0.15">
      <c r="A824" s="33"/>
      <c r="B824" s="33"/>
      <c r="H824" s="6">
        <v>0</v>
      </c>
      <c r="I824" s="6">
        <v>0</v>
      </c>
      <c r="J824" s="6">
        <v>0</v>
      </c>
    </row>
    <row r="825" spans="1:10" ht="13" x14ac:dyDescent="0.15">
      <c r="A825" s="33"/>
      <c r="B825" s="33"/>
      <c r="H825" s="6">
        <v>0</v>
      </c>
      <c r="I825" s="6">
        <v>0</v>
      </c>
      <c r="J825" s="6">
        <v>0</v>
      </c>
    </row>
    <row r="826" spans="1:10" ht="13" x14ac:dyDescent="0.15">
      <c r="A826" s="33"/>
      <c r="B826" s="33"/>
      <c r="H826" s="6">
        <v>0</v>
      </c>
      <c r="I826" s="6">
        <v>0</v>
      </c>
      <c r="J826" s="6">
        <v>0</v>
      </c>
    </row>
    <row r="827" spans="1:10" ht="13" x14ac:dyDescent="0.15">
      <c r="A827" s="33"/>
      <c r="B827" s="33"/>
      <c r="H827" s="6">
        <v>0</v>
      </c>
      <c r="I827" s="6">
        <v>0</v>
      </c>
      <c r="J827" s="6">
        <v>0</v>
      </c>
    </row>
    <row r="828" spans="1:10" ht="13" x14ac:dyDescent="0.15">
      <c r="A828" s="33"/>
      <c r="B828" s="33"/>
      <c r="H828" s="6">
        <v>0</v>
      </c>
      <c r="I828" s="6">
        <v>0</v>
      </c>
      <c r="J828" s="6">
        <v>0</v>
      </c>
    </row>
    <row r="829" spans="1:10" ht="13" x14ac:dyDescent="0.15">
      <c r="A829" s="33"/>
      <c r="B829" s="33"/>
      <c r="H829" s="6">
        <v>0</v>
      </c>
      <c r="I829" s="6">
        <v>0</v>
      </c>
      <c r="J829" s="6">
        <v>0</v>
      </c>
    </row>
    <row r="830" spans="1:10" ht="13" x14ac:dyDescent="0.15">
      <c r="A830" s="33"/>
      <c r="B830" s="33"/>
      <c r="H830" s="6">
        <v>0</v>
      </c>
      <c r="I830" s="6">
        <v>0</v>
      </c>
      <c r="J830" s="6">
        <v>0</v>
      </c>
    </row>
    <row r="831" spans="1:10" ht="13" x14ac:dyDescent="0.15">
      <c r="A831" s="33"/>
      <c r="B831" s="33"/>
      <c r="H831" s="6">
        <v>0</v>
      </c>
      <c r="I831" s="6">
        <v>0</v>
      </c>
      <c r="J831" s="6">
        <v>0</v>
      </c>
    </row>
    <row r="832" spans="1:10" ht="13" x14ac:dyDescent="0.15">
      <c r="A832" s="33"/>
      <c r="B832" s="33"/>
      <c r="H832" s="6">
        <v>0</v>
      </c>
      <c r="I832" s="6">
        <v>0</v>
      </c>
      <c r="J832" s="6">
        <v>0</v>
      </c>
    </row>
    <row r="833" spans="1:10" ht="13" x14ac:dyDescent="0.15">
      <c r="A833" s="33"/>
      <c r="B833" s="33"/>
      <c r="H833" s="6">
        <v>0</v>
      </c>
      <c r="I833" s="6">
        <v>0</v>
      </c>
      <c r="J833" s="6">
        <v>0</v>
      </c>
    </row>
    <row r="834" spans="1:10" ht="13" x14ac:dyDescent="0.15">
      <c r="A834" s="33"/>
      <c r="B834" s="33"/>
      <c r="H834" s="6">
        <v>0</v>
      </c>
      <c r="I834" s="6">
        <v>0</v>
      </c>
      <c r="J834" s="6">
        <v>0</v>
      </c>
    </row>
    <row r="835" spans="1:10" ht="13" x14ac:dyDescent="0.15">
      <c r="A835" s="33"/>
      <c r="B835" s="33"/>
      <c r="H835" s="6">
        <v>0</v>
      </c>
      <c r="I835" s="6">
        <v>0</v>
      </c>
      <c r="J835" s="6">
        <v>0</v>
      </c>
    </row>
    <row r="836" spans="1:10" ht="13" x14ac:dyDescent="0.15">
      <c r="A836" s="33"/>
      <c r="B836" s="33"/>
      <c r="H836" s="6">
        <v>0</v>
      </c>
      <c r="I836" s="6">
        <v>0</v>
      </c>
      <c r="J836" s="6">
        <v>0</v>
      </c>
    </row>
    <row r="837" spans="1:10" ht="13" x14ac:dyDescent="0.15">
      <c r="A837" s="33"/>
      <c r="B837" s="33"/>
      <c r="H837" s="6">
        <v>0</v>
      </c>
      <c r="I837" s="6">
        <v>0</v>
      </c>
      <c r="J837" s="6">
        <v>0</v>
      </c>
    </row>
    <row r="838" spans="1:10" ht="13" x14ac:dyDescent="0.15">
      <c r="A838" s="33"/>
      <c r="B838" s="33"/>
      <c r="H838" s="6">
        <v>0</v>
      </c>
      <c r="I838" s="6">
        <v>0</v>
      </c>
      <c r="J838" s="6">
        <v>0</v>
      </c>
    </row>
    <row r="839" spans="1:10" ht="13" x14ac:dyDescent="0.15">
      <c r="A839" s="33"/>
      <c r="B839" s="33"/>
      <c r="H839" s="6">
        <v>0</v>
      </c>
      <c r="I839" s="6">
        <v>0</v>
      </c>
      <c r="J839" s="6">
        <v>0</v>
      </c>
    </row>
    <row r="840" spans="1:10" ht="13" x14ac:dyDescent="0.15">
      <c r="A840" s="33"/>
      <c r="B840" s="33"/>
      <c r="H840" s="6">
        <v>0</v>
      </c>
      <c r="I840" s="6">
        <v>0</v>
      </c>
      <c r="J840" s="6">
        <v>0</v>
      </c>
    </row>
    <row r="841" spans="1:10" ht="13" x14ac:dyDescent="0.15">
      <c r="A841" s="33"/>
      <c r="B841" s="33"/>
      <c r="H841" s="6">
        <v>0</v>
      </c>
      <c r="I841" s="6">
        <v>0</v>
      </c>
      <c r="J841" s="6">
        <v>0</v>
      </c>
    </row>
    <row r="842" spans="1:10" ht="13" x14ac:dyDescent="0.15">
      <c r="A842" s="33"/>
      <c r="B842" s="33"/>
      <c r="H842" s="6">
        <v>0</v>
      </c>
      <c r="I842" s="6">
        <v>0</v>
      </c>
      <c r="J842" s="6">
        <v>0</v>
      </c>
    </row>
    <row r="843" spans="1:10" ht="13" x14ac:dyDescent="0.15">
      <c r="A843" s="33"/>
      <c r="B843" s="33"/>
      <c r="H843" s="6">
        <v>0</v>
      </c>
      <c r="I843" s="6">
        <v>0</v>
      </c>
      <c r="J843" s="6">
        <v>0</v>
      </c>
    </row>
    <row r="844" spans="1:10" ht="13" x14ac:dyDescent="0.15">
      <c r="A844" s="33"/>
      <c r="B844" s="33"/>
      <c r="H844" s="6">
        <v>0</v>
      </c>
      <c r="I844" s="6">
        <v>0</v>
      </c>
      <c r="J844" s="6">
        <v>0</v>
      </c>
    </row>
    <row r="845" spans="1:10" ht="13" x14ac:dyDescent="0.15">
      <c r="A845" s="33"/>
      <c r="B845" s="33"/>
      <c r="H845" s="6">
        <v>0</v>
      </c>
      <c r="I845" s="6">
        <v>0</v>
      </c>
      <c r="J845" s="6">
        <v>0</v>
      </c>
    </row>
    <row r="846" spans="1:10" ht="13" x14ac:dyDescent="0.15">
      <c r="A846" s="33"/>
      <c r="B846" s="33"/>
      <c r="H846" s="6">
        <v>0</v>
      </c>
      <c r="I846" s="6">
        <v>0</v>
      </c>
      <c r="J846" s="6">
        <v>0</v>
      </c>
    </row>
    <row r="847" spans="1:10" ht="13" x14ac:dyDescent="0.15">
      <c r="A847" s="33"/>
      <c r="B847" s="33"/>
      <c r="H847" s="6">
        <v>0</v>
      </c>
      <c r="I847" s="6">
        <v>0</v>
      </c>
      <c r="J847" s="6">
        <v>0</v>
      </c>
    </row>
    <row r="848" spans="1:10" ht="13" x14ac:dyDescent="0.15">
      <c r="A848" s="33"/>
      <c r="B848" s="33"/>
      <c r="H848" s="6">
        <v>0</v>
      </c>
      <c r="I848" s="6">
        <v>0</v>
      </c>
      <c r="J848" s="6">
        <v>0</v>
      </c>
    </row>
    <row r="849" spans="1:10" ht="13" x14ac:dyDescent="0.15">
      <c r="A849" s="33"/>
      <c r="B849" s="33"/>
      <c r="H849" s="6">
        <v>0</v>
      </c>
      <c r="I849" s="6">
        <v>0</v>
      </c>
      <c r="J849" s="6">
        <v>0</v>
      </c>
    </row>
    <row r="850" spans="1:10" ht="13" x14ac:dyDescent="0.15">
      <c r="A850" s="33"/>
      <c r="B850" s="33"/>
      <c r="H850" s="6">
        <v>0</v>
      </c>
      <c r="I850" s="6">
        <v>0</v>
      </c>
      <c r="J850" s="6">
        <v>0</v>
      </c>
    </row>
    <row r="851" spans="1:10" ht="13" x14ac:dyDescent="0.15">
      <c r="A851" s="33"/>
      <c r="B851" s="33"/>
      <c r="H851" s="6">
        <v>0</v>
      </c>
      <c r="I851" s="6">
        <v>0</v>
      </c>
      <c r="J851" s="6">
        <v>0</v>
      </c>
    </row>
    <row r="852" spans="1:10" ht="13" x14ac:dyDescent="0.15">
      <c r="A852" s="33"/>
      <c r="B852" s="33"/>
      <c r="H852" s="6">
        <v>0</v>
      </c>
      <c r="I852" s="6">
        <v>0</v>
      </c>
      <c r="J852" s="6">
        <v>0</v>
      </c>
    </row>
    <row r="853" spans="1:10" ht="13" x14ac:dyDescent="0.15">
      <c r="A853" s="33"/>
      <c r="B853" s="33"/>
      <c r="H853" s="6">
        <v>0</v>
      </c>
      <c r="I853" s="6">
        <v>0</v>
      </c>
      <c r="J853" s="6">
        <v>0</v>
      </c>
    </row>
    <row r="854" spans="1:10" ht="13" x14ac:dyDescent="0.15">
      <c r="A854" s="33"/>
      <c r="B854" s="33"/>
      <c r="H854" s="6">
        <v>0</v>
      </c>
      <c r="I854" s="6">
        <v>0</v>
      </c>
      <c r="J854" s="6">
        <v>0</v>
      </c>
    </row>
    <row r="855" spans="1:10" ht="13" x14ac:dyDescent="0.15">
      <c r="A855" s="33"/>
      <c r="B855" s="33"/>
      <c r="H855" s="6">
        <v>0</v>
      </c>
      <c r="I855" s="6">
        <v>0</v>
      </c>
      <c r="J855" s="6">
        <v>0</v>
      </c>
    </row>
    <row r="856" spans="1:10" ht="13" x14ac:dyDescent="0.15">
      <c r="A856" s="33"/>
      <c r="B856" s="33"/>
      <c r="H856" s="6">
        <v>0</v>
      </c>
      <c r="I856" s="6">
        <v>0</v>
      </c>
      <c r="J856" s="6">
        <v>0</v>
      </c>
    </row>
    <row r="857" spans="1:10" ht="13" x14ac:dyDescent="0.15">
      <c r="A857" s="33"/>
      <c r="B857" s="33"/>
      <c r="H857" s="6">
        <v>0</v>
      </c>
      <c r="I857" s="6">
        <v>0</v>
      </c>
      <c r="J857" s="6">
        <v>0</v>
      </c>
    </row>
    <row r="858" spans="1:10" ht="13" x14ac:dyDescent="0.15">
      <c r="A858" s="33"/>
      <c r="B858" s="33"/>
      <c r="H858" s="6">
        <v>0</v>
      </c>
      <c r="I858" s="6">
        <v>0</v>
      </c>
      <c r="J858" s="6">
        <v>0</v>
      </c>
    </row>
    <row r="859" spans="1:10" ht="13" x14ac:dyDescent="0.15">
      <c r="A859" s="33"/>
      <c r="B859" s="33"/>
      <c r="H859" s="6">
        <v>0</v>
      </c>
      <c r="I859" s="6">
        <v>0</v>
      </c>
      <c r="J859" s="6">
        <v>0</v>
      </c>
    </row>
    <row r="860" spans="1:10" ht="13" x14ac:dyDescent="0.15">
      <c r="A860" s="33"/>
      <c r="B860" s="33"/>
      <c r="H860" s="6">
        <v>0</v>
      </c>
      <c r="I860" s="6">
        <v>0</v>
      </c>
      <c r="J860" s="6">
        <v>0</v>
      </c>
    </row>
    <row r="861" spans="1:10" ht="13" x14ac:dyDescent="0.15">
      <c r="A861" s="33"/>
      <c r="B861" s="33"/>
      <c r="H861" s="6">
        <v>0</v>
      </c>
      <c r="I861" s="6">
        <v>0</v>
      </c>
      <c r="J861" s="6">
        <v>0</v>
      </c>
    </row>
    <row r="862" spans="1:10" ht="13" x14ac:dyDescent="0.15">
      <c r="A862" s="33"/>
      <c r="B862" s="33"/>
      <c r="H862" s="6">
        <v>0</v>
      </c>
      <c r="I862" s="6">
        <v>0</v>
      </c>
      <c r="J862" s="6">
        <v>0</v>
      </c>
    </row>
    <row r="863" spans="1:10" ht="13" x14ac:dyDescent="0.15">
      <c r="A863" s="33"/>
      <c r="B863" s="33"/>
      <c r="H863" s="6">
        <v>0</v>
      </c>
      <c r="I863" s="6">
        <v>0</v>
      </c>
      <c r="J863" s="6">
        <v>0</v>
      </c>
    </row>
    <row r="864" spans="1:10" ht="13" x14ac:dyDescent="0.15">
      <c r="A864" s="33"/>
      <c r="B864" s="33"/>
      <c r="H864" s="6">
        <v>0</v>
      </c>
      <c r="I864" s="6">
        <v>0</v>
      </c>
      <c r="J864" s="6">
        <v>0</v>
      </c>
    </row>
    <row r="865" spans="1:10" ht="13" x14ac:dyDescent="0.15">
      <c r="A865" s="33"/>
      <c r="B865" s="33"/>
      <c r="H865" s="6">
        <v>0</v>
      </c>
      <c r="I865" s="6">
        <v>0</v>
      </c>
      <c r="J865" s="6">
        <v>0</v>
      </c>
    </row>
    <row r="866" spans="1:10" ht="13" x14ac:dyDescent="0.15">
      <c r="A866" s="33"/>
      <c r="B866" s="33"/>
      <c r="H866" s="6">
        <v>0</v>
      </c>
      <c r="I866" s="6">
        <v>0</v>
      </c>
      <c r="J866" s="6">
        <v>0</v>
      </c>
    </row>
    <row r="867" spans="1:10" ht="13" x14ac:dyDescent="0.15">
      <c r="A867" s="33"/>
      <c r="B867" s="33"/>
      <c r="H867" s="6">
        <v>0</v>
      </c>
      <c r="I867" s="6">
        <v>0</v>
      </c>
      <c r="J867" s="6">
        <v>0</v>
      </c>
    </row>
    <row r="868" spans="1:10" ht="13" x14ac:dyDescent="0.15">
      <c r="A868" s="33"/>
      <c r="B868" s="33"/>
      <c r="H868" s="6">
        <v>0</v>
      </c>
      <c r="I868" s="6">
        <v>0</v>
      </c>
      <c r="J868" s="6">
        <v>0</v>
      </c>
    </row>
    <row r="869" spans="1:10" ht="13" x14ac:dyDescent="0.15">
      <c r="A869" s="33"/>
      <c r="B869" s="33"/>
      <c r="H869" s="6">
        <v>0</v>
      </c>
      <c r="I869" s="6">
        <v>0</v>
      </c>
      <c r="J869" s="6">
        <v>0</v>
      </c>
    </row>
    <row r="870" spans="1:10" ht="13" x14ac:dyDescent="0.15">
      <c r="A870" s="33"/>
      <c r="B870" s="33"/>
      <c r="H870" s="6">
        <v>0</v>
      </c>
      <c r="I870" s="6">
        <v>0</v>
      </c>
      <c r="J870" s="6">
        <v>0</v>
      </c>
    </row>
    <row r="871" spans="1:10" ht="13" x14ac:dyDescent="0.15">
      <c r="A871" s="33"/>
      <c r="B871" s="33"/>
      <c r="H871" s="6">
        <v>0</v>
      </c>
      <c r="I871" s="6">
        <v>0</v>
      </c>
      <c r="J871" s="6">
        <v>0</v>
      </c>
    </row>
    <row r="872" spans="1:10" ht="13" x14ac:dyDescent="0.15">
      <c r="A872" s="33"/>
      <c r="B872" s="33"/>
      <c r="H872" s="6">
        <v>0</v>
      </c>
      <c r="I872" s="6">
        <v>0</v>
      </c>
      <c r="J872" s="6">
        <v>0</v>
      </c>
    </row>
    <row r="873" spans="1:10" ht="13" x14ac:dyDescent="0.15">
      <c r="A873" s="33"/>
      <c r="B873" s="33"/>
      <c r="H873" s="6">
        <v>0</v>
      </c>
      <c r="I873" s="6">
        <v>0</v>
      </c>
      <c r="J873" s="6">
        <v>0</v>
      </c>
    </row>
    <row r="874" spans="1:10" ht="13" x14ac:dyDescent="0.15">
      <c r="A874" s="33"/>
      <c r="B874" s="33"/>
      <c r="H874" s="6">
        <v>0</v>
      </c>
      <c r="I874" s="6">
        <v>0</v>
      </c>
      <c r="J874" s="6">
        <v>0</v>
      </c>
    </row>
    <row r="875" spans="1:10" ht="13" x14ac:dyDescent="0.15">
      <c r="A875" s="33"/>
      <c r="B875" s="33"/>
      <c r="H875" s="6">
        <v>0</v>
      </c>
      <c r="I875" s="6">
        <v>0</v>
      </c>
      <c r="J875" s="6">
        <v>0</v>
      </c>
    </row>
    <row r="876" spans="1:10" ht="13" x14ac:dyDescent="0.15">
      <c r="A876" s="33"/>
      <c r="B876" s="33"/>
      <c r="H876" s="6">
        <v>0</v>
      </c>
      <c r="I876" s="6">
        <v>0</v>
      </c>
      <c r="J876" s="6">
        <v>0</v>
      </c>
    </row>
    <row r="877" spans="1:10" ht="13" x14ac:dyDescent="0.15">
      <c r="A877" s="33"/>
      <c r="B877" s="33"/>
      <c r="H877" s="6">
        <v>0</v>
      </c>
      <c r="I877" s="6">
        <v>0</v>
      </c>
      <c r="J877" s="6">
        <v>0</v>
      </c>
    </row>
    <row r="878" spans="1:10" ht="13" x14ac:dyDescent="0.15">
      <c r="A878" s="33"/>
      <c r="B878" s="33"/>
      <c r="H878" s="6">
        <v>0</v>
      </c>
      <c r="I878" s="6">
        <v>0</v>
      </c>
      <c r="J878" s="6">
        <v>0</v>
      </c>
    </row>
    <row r="879" spans="1:10" ht="13" x14ac:dyDescent="0.15">
      <c r="A879" s="33"/>
      <c r="B879" s="33"/>
      <c r="H879" s="6">
        <v>0</v>
      </c>
      <c r="I879" s="6">
        <v>0</v>
      </c>
      <c r="J879" s="6">
        <v>0</v>
      </c>
    </row>
    <row r="880" spans="1:10" ht="13" x14ac:dyDescent="0.15">
      <c r="A880" s="33"/>
      <c r="B880" s="33"/>
      <c r="H880" s="6">
        <v>0</v>
      </c>
      <c r="I880" s="6">
        <v>0</v>
      </c>
      <c r="J880" s="6">
        <v>0</v>
      </c>
    </row>
    <row r="881" spans="1:10" ht="13" x14ac:dyDescent="0.15">
      <c r="A881" s="33"/>
      <c r="B881" s="33"/>
      <c r="H881" s="6">
        <v>0</v>
      </c>
      <c r="I881" s="6">
        <v>0</v>
      </c>
      <c r="J881" s="6">
        <v>0</v>
      </c>
    </row>
    <row r="882" spans="1:10" ht="13" x14ac:dyDescent="0.15">
      <c r="A882" s="33"/>
      <c r="B882" s="33"/>
      <c r="H882" s="6">
        <v>0</v>
      </c>
      <c r="I882" s="6">
        <v>0</v>
      </c>
      <c r="J882" s="6">
        <v>0</v>
      </c>
    </row>
    <row r="883" spans="1:10" ht="13" x14ac:dyDescent="0.15">
      <c r="A883" s="33"/>
      <c r="B883" s="33"/>
      <c r="H883" s="6">
        <v>0</v>
      </c>
      <c r="I883" s="6">
        <v>0</v>
      </c>
      <c r="J883" s="6">
        <v>0</v>
      </c>
    </row>
    <row r="884" spans="1:10" ht="13" x14ac:dyDescent="0.15">
      <c r="A884" s="33"/>
      <c r="B884" s="33"/>
      <c r="H884" s="6">
        <v>0</v>
      </c>
      <c r="I884" s="6">
        <v>0</v>
      </c>
      <c r="J884" s="6">
        <v>0</v>
      </c>
    </row>
    <row r="885" spans="1:10" ht="13" x14ac:dyDescent="0.15">
      <c r="A885" s="33"/>
      <c r="B885" s="33"/>
      <c r="H885" s="6">
        <v>0</v>
      </c>
      <c r="I885" s="6">
        <v>0</v>
      </c>
      <c r="J885" s="6">
        <v>0</v>
      </c>
    </row>
    <row r="886" spans="1:10" ht="13" x14ac:dyDescent="0.15">
      <c r="A886" s="33"/>
      <c r="B886" s="33"/>
      <c r="H886" s="6">
        <v>0</v>
      </c>
      <c r="I886" s="6">
        <v>0</v>
      </c>
      <c r="J886" s="6">
        <v>0</v>
      </c>
    </row>
    <row r="887" spans="1:10" ht="13" x14ac:dyDescent="0.15">
      <c r="A887" s="33"/>
      <c r="B887" s="33"/>
      <c r="H887" s="6">
        <v>0</v>
      </c>
      <c r="I887" s="6">
        <v>0</v>
      </c>
      <c r="J887" s="6">
        <v>0</v>
      </c>
    </row>
    <row r="888" spans="1:10" ht="13" x14ac:dyDescent="0.15">
      <c r="A888" s="33"/>
      <c r="B888" s="33"/>
      <c r="H888" s="6">
        <v>0</v>
      </c>
      <c r="I888" s="6">
        <v>0</v>
      </c>
      <c r="J888" s="6">
        <v>0</v>
      </c>
    </row>
    <row r="889" spans="1:10" ht="13" x14ac:dyDescent="0.15">
      <c r="A889" s="33"/>
      <c r="B889" s="33"/>
      <c r="H889" s="6">
        <v>0</v>
      </c>
      <c r="I889" s="6">
        <v>0</v>
      </c>
      <c r="J889" s="6">
        <v>0</v>
      </c>
    </row>
    <row r="890" spans="1:10" ht="13" x14ac:dyDescent="0.15">
      <c r="A890" s="33"/>
      <c r="B890" s="33"/>
      <c r="H890" s="6">
        <v>0</v>
      </c>
      <c r="I890" s="6">
        <v>0</v>
      </c>
      <c r="J890" s="6">
        <v>0</v>
      </c>
    </row>
    <row r="891" spans="1:10" ht="13" x14ac:dyDescent="0.15">
      <c r="A891" s="33"/>
      <c r="B891" s="33"/>
      <c r="H891" s="6">
        <v>0</v>
      </c>
      <c r="I891" s="6">
        <v>0</v>
      </c>
      <c r="J891" s="6">
        <v>0</v>
      </c>
    </row>
    <row r="892" spans="1:10" ht="13" x14ac:dyDescent="0.15">
      <c r="A892" s="33"/>
      <c r="B892" s="33"/>
      <c r="H892" s="6">
        <v>0</v>
      </c>
      <c r="I892" s="6">
        <v>0</v>
      </c>
      <c r="J892" s="6">
        <v>0</v>
      </c>
    </row>
    <row r="893" spans="1:10" ht="13" x14ac:dyDescent="0.15">
      <c r="A893" s="33"/>
      <c r="B893" s="33"/>
      <c r="H893" s="6">
        <v>0</v>
      </c>
      <c r="I893" s="6">
        <v>0</v>
      </c>
      <c r="J893" s="6">
        <v>0</v>
      </c>
    </row>
    <row r="894" spans="1:10" ht="13" x14ac:dyDescent="0.15">
      <c r="A894" s="33"/>
      <c r="B894" s="33"/>
      <c r="H894" s="6">
        <v>0</v>
      </c>
      <c r="I894" s="6">
        <v>0</v>
      </c>
      <c r="J894" s="6">
        <v>0</v>
      </c>
    </row>
    <row r="895" spans="1:10" ht="13" x14ac:dyDescent="0.15">
      <c r="A895" s="33"/>
      <c r="B895" s="33"/>
      <c r="H895" s="6">
        <v>0</v>
      </c>
      <c r="I895" s="6">
        <v>0</v>
      </c>
      <c r="J895" s="6">
        <v>0</v>
      </c>
    </row>
    <row r="896" spans="1:10" ht="13" x14ac:dyDescent="0.15">
      <c r="A896" s="33"/>
      <c r="B896" s="33"/>
      <c r="H896" s="6">
        <v>0</v>
      </c>
      <c r="I896" s="6">
        <v>0</v>
      </c>
      <c r="J896" s="6">
        <v>0</v>
      </c>
    </row>
    <row r="897" spans="1:10" ht="13" x14ac:dyDescent="0.15">
      <c r="A897" s="33"/>
      <c r="B897" s="33"/>
      <c r="H897" s="6">
        <v>0</v>
      </c>
      <c r="I897" s="6">
        <v>0</v>
      </c>
      <c r="J897" s="6">
        <v>0</v>
      </c>
    </row>
    <row r="898" spans="1:10" ht="13" x14ac:dyDescent="0.15">
      <c r="A898" s="33"/>
      <c r="B898" s="33"/>
      <c r="H898" s="6">
        <v>0</v>
      </c>
      <c r="I898" s="6">
        <v>0</v>
      </c>
      <c r="J898" s="6">
        <v>0</v>
      </c>
    </row>
    <row r="899" spans="1:10" ht="13" x14ac:dyDescent="0.15">
      <c r="A899" s="33"/>
      <c r="B899" s="33"/>
      <c r="H899" s="6">
        <v>0</v>
      </c>
      <c r="I899" s="6">
        <v>0</v>
      </c>
      <c r="J899" s="6">
        <v>0</v>
      </c>
    </row>
    <row r="900" spans="1:10" ht="13" x14ac:dyDescent="0.15">
      <c r="A900" s="33"/>
      <c r="B900" s="33"/>
      <c r="H900" s="6">
        <v>0</v>
      </c>
      <c r="I900" s="6">
        <v>0</v>
      </c>
      <c r="J900" s="6">
        <v>0</v>
      </c>
    </row>
    <row r="901" spans="1:10" ht="13" x14ac:dyDescent="0.15">
      <c r="A901" s="33"/>
      <c r="B901" s="33"/>
      <c r="H901" s="6">
        <v>0</v>
      </c>
      <c r="I901" s="6">
        <v>0</v>
      </c>
      <c r="J901" s="6">
        <v>0</v>
      </c>
    </row>
    <row r="902" spans="1:10" ht="13" x14ac:dyDescent="0.15">
      <c r="A902" s="33"/>
      <c r="B902" s="33"/>
      <c r="H902" s="6">
        <v>0</v>
      </c>
      <c r="I902" s="6">
        <v>0</v>
      </c>
      <c r="J902" s="6">
        <v>0</v>
      </c>
    </row>
    <row r="903" spans="1:10" ht="13" x14ac:dyDescent="0.15">
      <c r="A903" s="33"/>
      <c r="B903" s="33"/>
      <c r="H903" s="6">
        <v>0</v>
      </c>
      <c r="I903" s="6">
        <v>0</v>
      </c>
      <c r="J903" s="6">
        <v>0</v>
      </c>
    </row>
    <row r="904" spans="1:10" ht="13" x14ac:dyDescent="0.15">
      <c r="A904" s="33"/>
      <c r="B904" s="33"/>
      <c r="H904" s="6">
        <v>0</v>
      </c>
      <c r="I904" s="6">
        <v>0</v>
      </c>
      <c r="J904" s="6">
        <v>0</v>
      </c>
    </row>
    <row r="905" spans="1:10" ht="13" x14ac:dyDescent="0.15">
      <c r="A905" s="33"/>
      <c r="B905" s="33"/>
      <c r="H905" s="6">
        <v>0</v>
      </c>
      <c r="I905" s="6">
        <v>0</v>
      </c>
      <c r="J905" s="6">
        <v>0</v>
      </c>
    </row>
    <row r="906" spans="1:10" ht="13" x14ac:dyDescent="0.15">
      <c r="A906" s="33"/>
      <c r="B906" s="33"/>
      <c r="H906" s="6">
        <v>0</v>
      </c>
      <c r="I906" s="6">
        <v>0</v>
      </c>
      <c r="J906" s="6">
        <v>0</v>
      </c>
    </row>
    <row r="907" spans="1:10" ht="13" x14ac:dyDescent="0.15">
      <c r="A907" s="33"/>
      <c r="B907" s="33"/>
      <c r="H907" s="6">
        <v>0</v>
      </c>
      <c r="I907" s="6">
        <v>0</v>
      </c>
      <c r="J907" s="6">
        <v>0</v>
      </c>
    </row>
    <row r="908" spans="1:10" ht="13" x14ac:dyDescent="0.15">
      <c r="A908" s="33"/>
      <c r="B908" s="33"/>
      <c r="H908" s="6">
        <v>0</v>
      </c>
      <c r="I908" s="6">
        <v>0</v>
      </c>
      <c r="J908" s="6">
        <v>0</v>
      </c>
    </row>
    <row r="909" spans="1:10" ht="13" x14ac:dyDescent="0.15">
      <c r="A909" s="33"/>
      <c r="B909" s="33"/>
      <c r="H909" s="6">
        <v>0</v>
      </c>
      <c r="I909" s="6">
        <v>0</v>
      </c>
      <c r="J909" s="6">
        <v>0</v>
      </c>
    </row>
    <row r="910" spans="1:10" ht="13" x14ac:dyDescent="0.15">
      <c r="A910" s="33"/>
      <c r="B910" s="33"/>
      <c r="H910" s="6">
        <v>0</v>
      </c>
      <c r="I910" s="6">
        <v>0</v>
      </c>
      <c r="J910" s="6">
        <v>0</v>
      </c>
    </row>
    <row r="911" spans="1:10" ht="13" x14ac:dyDescent="0.15">
      <c r="A911" s="33"/>
      <c r="B911" s="33"/>
      <c r="H911" s="6">
        <v>0</v>
      </c>
      <c r="I911" s="6">
        <v>0</v>
      </c>
      <c r="J911" s="6">
        <v>0</v>
      </c>
    </row>
    <row r="912" spans="1:10" ht="13" x14ac:dyDescent="0.15">
      <c r="A912" s="33"/>
      <c r="B912" s="33"/>
      <c r="H912" s="6">
        <v>0</v>
      </c>
      <c r="I912" s="6">
        <v>0</v>
      </c>
      <c r="J912" s="6">
        <v>0</v>
      </c>
    </row>
    <row r="913" spans="1:10" ht="13" x14ac:dyDescent="0.15">
      <c r="A913" s="33"/>
      <c r="B913" s="33"/>
      <c r="H913" s="6">
        <v>0</v>
      </c>
      <c r="I913" s="6">
        <v>0</v>
      </c>
      <c r="J913" s="6">
        <v>0</v>
      </c>
    </row>
    <row r="914" spans="1:10" ht="13" x14ac:dyDescent="0.15">
      <c r="A914" s="33"/>
      <c r="B914" s="33"/>
      <c r="H914" s="6">
        <v>0</v>
      </c>
      <c r="I914" s="6">
        <v>0</v>
      </c>
      <c r="J914" s="6">
        <v>0</v>
      </c>
    </row>
    <row r="915" spans="1:10" ht="13" x14ac:dyDescent="0.15">
      <c r="A915" s="33"/>
      <c r="B915" s="33"/>
      <c r="H915" s="6">
        <v>0</v>
      </c>
      <c r="I915" s="6">
        <v>0</v>
      </c>
      <c r="J915" s="6">
        <v>0</v>
      </c>
    </row>
    <row r="916" spans="1:10" ht="13" x14ac:dyDescent="0.15">
      <c r="A916" s="33"/>
      <c r="B916" s="33"/>
      <c r="H916" s="6">
        <v>0</v>
      </c>
      <c r="I916" s="6">
        <v>0</v>
      </c>
      <c r="J916" s="6">
        <v>0</v>
      </c>
    </row>
    <row r="917" spans="1:10" ht="13" x14ac:dyDescent="0.15">
      <c r="A917" s="33"/>
      <c r="B917" s="33"/>
      <c r="H917" s="6">
        <v>0</v>
      </c>
      <c r="I917" s="6">
        <v>0</v>
      </c>
      <c r="J917" s="6">
        <v>0</v>
      </c>
    </row>
    <row r="918" spans="1:10" ht="13" x14ac:dyDescent="0.15">
      <c r="A918" s="33"/>
      <c r="B918" s="33"/>
      <c r="H918" s="6">
        <v>0</v>
      </c>
      <c r="I918" s="6">
        <v>0</v>
      </c>
      <c r="J918" s="6">
        <v>0</v>
      </c>
    </row>
    <row r="919" spans="1:10" ht="13" x14ac:dyDescent="0.15">
      <c r="A919" s="33"/>
      <c r="B919" s="33"/>
      <c r="H919" s="6">
        <v>0</v>
      </c>
      <c r="I919" s="6">
        <v>0</v>
      </c>
      <c r="J919" s="6">
        <v>0</v>
      </c>
    </row>
    <row r="920" spans="1:10" ht="13" x14ac:dyDescent="0.15">
      <c r="A920" s="33"/>
      <c r="B920" s="33"/>
      <c r="H920" s="6">
        <v>0</v>
      </c>
      <c r="I920" s="6">
        <v>0</v>
      </c>
      <c r="J920" s="6">
        <v>0</v>
      </c>
    </row>
    <row r="921" spans="1:10" ht="13" x14ac:dyDescent="0.15">
      <c r="A921" s="33"/>
      <c r="B921" s="33"/>
      <c r="H921" s="6">
        <v>0</v>
      </c>
      <c r="I921" s="6">
        <v>0</v>
      </c>
      <c r="J921" s="6">
        <v>0</v>
      </c>
    </row>
    <row r="922" spans="1:10" ht="13" x14ac:dyDescent="0.15">
      <c r="A922" s="33"/>
      <c r="B922" s="33"/>
      <c r="H922" s="6">
        <v>0</v>
      </c>
      <c r="I922" s="6">
        <v>0</v>
      </c>
      <c r="J922" s="6">
        <v>0</v>
      </c>
    </row>
    <row r="923" spans="1:10" ht="13" x14ac:dyDescent="0.15">
      <c r="A923" s="33"/>
      <c r="B923" s="33"/>
      <c r="H923" s="6">
        <v>0</v>
      </c>
      <c r="I923" s="6">
        <v>0</v>
      </c>
      <c r="J923" s="6">
        <v>0</v>
      </c>
    </row>
    <row r="924" spans="1:10" ht="13" x14ac:dyDescent="0.15">
      <c r="A924" s="33"/>
      <c r="B924" s="33"/>
      <c r="H924" s="6">
        <v>0</v>
      </c>
      <c r="I924" s="6">
        <v>0</v>
      </c>
      <c r="J924" s="6">
        <v>0</v>
      </c>
    </row>
    <row r="925" spans="1:10" ht="13" x14ac:dyDescent="0.15">
      <c r="A925" s="33"/>
      <c r="B925" s="33"/>
      <c r="H925" s="6">
        <v>0</v>
      </c>
      <c r="I925" s="6">
        <v>0</v>
      </c>
      <c r="J925" s="6">
        <v>0</v>
      </c>
    </row>
    <row r="926" spans="1:10" ht="13" x14ac:dyDescent="0.15">
      <c r="A926" s="33"/>
      <c r="B926" s="33"/>
      <c r="H926" s="6">
        <v>0</v>
      </c>
      <c r="I926" s="6">
        <v>0</v>
      </c>
      <c r="J926" s="6">
        <v>0</v>
      </c>
    </row>
    <row r="927" spans="1:10" ht="13" x14ac:dyDescent="0.15">
      <c r="A927" s="33"/>
      <c r="B927" s="33"/>
      <c r="H927" s="6">
        <v>0</v>
      </c>
      <c r="I927" s="6">
        <v>0</v>
      </c>
      <c r="J927" s="6">
        <v>0</v>
      </c>
    </row>
    <row r="928" spans="1:10" ht="13" x14ac:dyDescent="0.15">
      <c r="A928" s="33"/>
      <c r="B928" s="33"/>
      <c r="H928" s="6">
        <v>0</v>
      </c>
      <c r="I928" s="6">
        <v>0</v>
      </c>
      <c r="J928" s="6">
        <v>0</v>
      </c>
    </row>
    <row r="929" spans="1:10" ht="13" x14ac:dyDescent="0.15">
      <c r="A929" s="33"/>
      <c r="B929" s="33"/>
      <c r="H929" s="6">
        <v>0</v>
      </c>
      <c r="I929" s="6">
        <v>0</v>
      </c>
      <c r="J929" s="6">
        <v>0</v>
      </c>
    </row>
    <row r="930" spans="1:10" ht="13" x14ac:dyDescent="0.15">
      <c r="A930" s="33"/>
      <c r="B930" s="33"/>
      <c r="H930" s="6">
        <v>0</v>
      </c>
      <c r="I930" s="6">
        <v>0</v>
      </c>
      <c r="J930" s="6">
        <v>0</v>
      </c>
    </row>
    <row r="931" spans="1:10" ht="13" x14ac:dyDescent="0.15">
      <c r="A931" s="33"/>
      <c r="B931" s="33"/>
      <c r="H931" s="6">
        <v>0</v>
      </c>
      <c r="I931" s="6">
        <v>0</v>
      </c>
      <c r="J931" s="6">
        <v>0</v>
      </c>
    </row>
    <row r="932" spans="1:10" ht="13" x14ac:dyDescent="0.15">
      <c r="A932" s="33"/>
      <c r="B932" s="33"/>
      <c r="H932" s="6">
        <v>0</v>
      </c>
      <c r="I932" s="6">
        <v>0</v>
      </c>
      <c r="J932" s="6">
        <v>0</v>
      </c>
    </row>
    <row r="933" spans="1:10" ht="13" x14ac:dyDescent="0.15">
      <c r="A933" s="33"/>
      <c r="B933" s="33"/>
      <c r="H933" s="6">
        <v>0</v>
      </c>
      <c r="I933" s="6">
        <v>0</v>
      </c>
      <c r="J933" s="6">
        <v>0</v>
      </c>
    </row>
    <row r="934" spans="1:10" ht="13" x14ac:dyDescent="0.15">
      <c r="A934" s="33"/>
      <c r="B934" s="33"/>
      <c r="H934" s="6">
        <v>0</v>
      </c>
      <c r="I934" s="6">
        <v>0</v>
      </c>
      <c r="J934" s="6">
        <v>0</v>
      </c>
    </row>
    <row r="935" spans="1:10" ht="13" x14ac:dyDescent="0.15">
      <c r="A935" s="33"/>
      <c r="B935" s="33"/>
      <c r="H935" s="6">
        <v>0</v>
      </c>
      <c r="I935" s="6">
        <v>0</v>
      </c>
      <c r="J935" s="6">
        <v>0</v>
      </c>
    </row>
    <row r="936" spans="1:10" ht="13" x14ac:dyDescent="0.15">
      <c r="A936" s="33"/>
      <c r="B936" s="33"/>
      <c r="H936" s="6">
        <v>0</v>
      </c>
      <c r="I936" s="6">
        <v>0</v>
      </c>
      <c r="J936" s="6">
        <v>0</v>
      </c>
    </row>
    <row r="937" spans="1:10" ht="13" x14ac:dyDescent="0.15">
      <c r="A937" s="33"/>
      <c r="B937" s="33"/>
      <c r="H937" s="6">
        <v>0</v>
      </c>
      <c r="I937" s="6">
        <v>0</v>
      </c>
      <c r="J937" s="6">
        <v>0</v>
      </c>
    </row>
    <row r="938" spans="1:10" ht="13" x14ac:dyDescent="0.15">
      <c r="A938" s="33"/>
      <c r="B938" s="33"/>
      <c r="H938" s="6">
        <v>0</v>
      </c>
      <c r="I938" s="6">
        <v>0</v>
      </c>
      <c r="J938" s="6">
        <v>0</v>
      </c>
    </row>
    <row r="939" spans="1:10" ht="13" x14ac:dyDescent="0.15">
      <c r="A939" s="33"/>
      <c r="B939" s="33"/>
      <c r="H939" s="6">
        <v>0</v>
      </c>
      <c r="I939" s="6">
        <v>0</v>
      </c>
      <c r="J939" s="6">
        <v>0</v>
      </c>
    </row>
    <row r="940" spans="1:10" ht="13" x14ac:dyDescent="0.15">
      <c r="A940" s="33"/>
      <c r="B940" s="33"/>
      <c r="H940" s="6">
        <v>0</v>
      </c>
      <c r="I940" s="6">
        <v>0</v>
      </c>
      <c r="J940" s="6">
        <v>0</v>
      </c>
    </row>
    <row r="941" spans="1:10" ht="13" x14ac:dyDescent="0.15">
      <c r="A941" s="33"/>
      <c r="B941" s="33"/>
      <c r="H941" s="6">
        <v>0</v>
      </c>
      <c r="I941" s="6">
        <v>0</v>
      </c>
      <c r="J941" s="6">
        <v>0</v>
      </c>
    </row>
    <row r="942" spans="1:10" ht="13" x14ac:dyDescent="0.15">
      <c r="A942" s="33"/>
      <c r="B942" s="33"/>
      <c r="H942" s="6">
        <v>0</v>
      </c>
      <c r="I942" s="6">
        <v>0</v>
      </c>
      <c r="J942" s="6">
        <v>0</v>
      </c>
    </row>
    <row r="943" spans="1:10" ht="13" x14ac:dyDescent="0.15">
      <c r="A943" s="33"/>
      <c r="B943" s="33"/>
      <c r="H943" s="6">
        <v>0</v>
      </c>
      <c r="I943" s="6">
        <v>0</v>
      </c>
      <c r="J943" s="6">
        <v>0</v>
      </c>
    </row>
    <row r="944" spans="1:10" ht="13" x14ac:dyDescent="0.15">
      <c r="A944" s="33"/>
      <c r="B944" s="33"/>
      <c r="H944" s="6">
        <v>0</v>
      </c>
      <c r="I944" s="6">
        <v>0</v>
      </c>
      <c r="J944" s="6">
        <v>0</v>
      </c>
    </row>
    <row r="945" spans="1:10" ht="13" x14ac:dyDescent="0.15">
      <c r="A945" s="33"/>
      <c r="B945" s="33"/>
      <c r="H945" s="6">
        <v>0</v>
      </c>
      <c r="I945" s="6">
        <v>0</v>
      </c>
      <c r="J945" s="6">
        <v>0</v>
      </c>
    </row>
    <row r="946" spans="1:10" ht="13" x14ac:dyDescent="0.15">
      <c r="A946" s="33"/>
      <c r="B946" s="33"/>
      <c r="H946" s="6">
        <v>0</v>
      </c>
      <c r="I946" s="6">
        <v>0</v>
      </c>
      <c r="J946" s="6">
        <v>0</v>
      </c>
    </row>
    <row r="947" spans="1:10" ht="13" x14ac:dyDescent="0.15">
      <c r="A947" s="33"/>
      <c r="B947" s="33"/>
      <c r="H947" s="6">
        <v>0</v>
      </c>
      <c r="I947" s="6">
        <v>0</v>
      </c>
      <c r="J947" s="6">
        <v>0</v>
      </c>
    </row>
    <row r="948" spans="1:10" ht="13" x14ac:dyDescent="0.15">
      <c r="A948" s="33"/>
      <c r="B948" s="33"/>
      <c r="H948" s="6">
        <v>0</v>
      </c>
      <c r="I948" s="6">
        <v>0</v>
      </c>
      <c r="J948" s="6">
        <v>0</v>
      </c>
    </row>
    <row r="949" spans="1:10" ht="13" x14ac:dyDescent="0.15">
      <c r="A949" s="33"/>
      <c r="B949" s="33"/>
      <c r="H949" s="6">
        <v>0</v>
      </c>
      <c r="I949" s="6">
        <v>0</v>
      </c>
      <c r="J949" s="6">
        <v>0</v>
      </c>
    </row>
    <row r="950" spans="1:10" ht="13" x14ac:dyDescent="0.15">
      <c r="A950" s="33"/>
      <c r="B950" s="33"/>
      <c r="H950" s="6">
        <v>0</v>
      </c>
      <c r="I950" s="6">
        <v>0</v>
      </c>
      <c r="J950" s="6">
        <v>0</v>
      </c>
    </row>
    <row r="951" spans="1:10" ht="13" x14ac:dyDescent="0.15">
      <c r="A951" s="33"/>
      <c r="B951" s="33"/>
      <c r="H951" s="6">
        <v>0</v>
      </c>
      <c r="I951" s="6">
        <v>0</v>
      </c>
      <c r="J951" s="6">
        <v>0</v>
      </c>
    </row>
    <row r="952" spans="1:10" ht="13" x14ac:dyDescent="0.15">
      <c r="A952" s="33"/>
      <c r="B952" s="33"/>
      <c r="H952" s="6">
        <v>0</v>
      </c>
      <c r="I952" s="6">
        <v>0</v>
      </c>
      <c r="J952" s="6">
        <v>0</v>
      </c>
    </row>
    <row r="953" spans="1:10" ht="13" x14ac:dyDescent="0.15">
      <c r="A953" s="33"/>
      <c r="B953" s="33"/>
      <c r="H953" s="6">
        <v>0</v>
      </c>
      <c r="I953" s="6">
        <v>0</v>
      </c>
      <c r="J953" s="6">
        <v>0</v>
      </c>
    </row>
    <row r="954" spans="1:10" ht="13" x14ac:dyDescent="0.15">
      <c r="A954" s="33"/>
      <c r="B954" s="33"/>
      <c r="H954" s="6">
        <v>0</v>
      </c>
      <c r="I954" s="6">
        <v>0</v>
      </c>
      <c r="J954" s="6">
        <v>0</v>
      </c>
    </row>
    <row r="955" spans="1:10" ht="13" x14ac:dyDescent="0.15">
      <c r="A955" s="33"/>
      <c r="B955" s="33"/>
      <c r="H955" s="6">
        <v>0</v>
      </c>
      <c r="I955" s="6">
        <v>0</v>
      </c>
      <c r="J955" s="6">
        <v>0</v>
      </c>
    </row>
    <row r="956" spans="1:10" ht="13" x14ac:dyDescent="0.15">
      <c r="A956" s="33"/>
      <c r="B956" s="33"/>
      <c r="H956" s="6">
        <v>0</v>
      </c>
      <c r="I956" s="6">
        <v>0</v>
      </c>
      <c r="J956" s="6">
        <v>0</v>
      </c>
    </row>
    <row r="957" spans="1:10" ht="13" x14ac:dyDescent="0.15">
      <c r="A957" s="33"/>
      <c r="B957" s="33"/>
      <c r="H957" s="6">
        <v>0</v>
      </c>
      <c r="I957" s="6">
        <v>0</v>
      </c>
      <c r="J957" s="6">
        <v>0</v>
      </c>
    </row>
    <row r="958" spans="1:10" ht="13" x14ac:dyDescent="0.15">
      <c r="A958" s="33"/>
      <c r="B958" s="33"/>
      <c r="H958" s="6">
        <v>0</v>
      </c>
      <c r="I958" s="6">
        <v>0</v>
      </c>
      <c r="J958" s="6">
        <v>0</v>
      </c>
    </row>
    <row r="959" spans="1:10" ht="13" x14ac:dyDescent="0.15">
      <c r="A959" s="33"/>
      <c r="B959" s="33"/>
      <c r="H959" s="6">
        <v>0</v>
      </c>
      <c r="I959" s="6">
        <v>0</v>
      </c>
      <c r="J959" s="6">
        <v>0</v>
      </c>
    </row>
    <row r="960" spans="1:10" ht="13" x14ac:dyDescent="0.15">
      <c r="A960" s="33"/>
      <c r="B960" s="33"/>
      <c r="H960" s="6">
        <v>0</v>
      </c>
      <c r="I960" s="6">
        <v>0</v>
      </c>
      <c r="J960" s="6">
        <v>0</v>
      </c>
    </row>
    <row r="961" spans="1:10" ht="13" x14ac:dyDescent="0.15">
      <c r="A961" s="33"/>
      <c r="B961" s="33"/>
      <c r="H961" s="6">
        <v>0</v>
      </c>
      <c r="I961" s="6">
        <v>0</v>
      </c>
      <c r="J961" s="6">
        <v>0</v>
      </c>
    </row>
    <row r="962" spans="1:10" ht="13" x14ac:dyDescent="0.15">
      <c r="A962" s="33"/>
      <c r="B962" s="33"/>
      <c r="H962" s="6">
        <v>0</v>
      </c>
      <c r="I962" s="6">
        <v>0</v>
      </c>
      <c r="J962" s="6">
        <v>0</v>
      </c>
    </row>
    <row r="963" spans="1:10" ht="13" x14ac:dyDescent="0.15">
      <c r="A963" s="33"/>
      <c r="B963" s="33"/>
      <c r="H963" s="6">
        <v>0</v>
      </c>
      <c r="I963" s="6">
        <v>0</v>
      </c>
      <c r="J963" s="6">
        <v>0</v>
      </c>
    </row>
    <row r="964" spans="1:10" ht="13" x14ac:dyDescent="0.15">
      <c r="A964" s="33"/>
      <c r="B964" s="33"/>
      <c r="H964" s="6">
        <v>0</v>
      </c>
      <c r="I964" s="6">
        <v>0</v>
      </c>
      <c r="J964" s="6">
        <v>0</v>
      </c>
    </row>
    <row r="965" spans="1:10" ht="13" x14ac:dyDescent="0.15">
      <c r="A965" s="33"/>
      <c r="B965" s="33"/>
      <c r="H965" s="6">
        <v>0</v>
      </c>
      <c r="I965" s="6">
        <v>0</v>
      </c>
      <c r="J965" s="6">
        <v>0</v>
      </c>
    </row>
    <row r="966" spans="1:10" ht="13" x14ac:dyDescent="0.15">
      <c r="A966" s="33"/>
      <c r="B966" s="33"/>
      <c r="H966" s="6">
        <v>0</v>
      </c>
      <c r="I966" s="6">
        <v>0</v>
      </c>
      <c r="J966" s="6">
        <v>0</v>
      </c>
    </row>
    <row r="967" spans="1:10" ht="13" x14ac:dyDescent="0.15">
      <c r="A967" s="33"/>
      <c r="B967" s="33"/>
      <c r="H967" s="6">
        <v>0</v>
      </c>
      <c r="I967" s="6">
        <v>0</v>
      </c>
      <c r="J967" s="6">
        <v>0</v>
      </c>
    </row>
    <row r="968" spans="1:10" ht="13" x14ac:dyDescent="0.15">
      <c r="A968" s="33"/>
      <c r="B968" s="33"/>
      <c r="H968" s="6">
        <v>0</v>
      </c>
      <c r="I968" s="6">
        <v>0</v>
      </c>
      <c r="J968" s="6">
        <v>0</v>
      </c>
    </row>
    <row r="969" spans="1:10" ht="13" x14ac:dyDescent="0.15">
      <c r="A969" s="33"/>
      <c r="B969" s="33"/>
      <c r="H969" s="6">
        <v>0</v>
      </c>
      <c r="I969" s="6">
        <v>0</v>
      </c>
      <c r="J969" s="6">
        <v>0</v>
      </c>
    </row>
    <row r="970" spans="1:10" ht="13" x14ac:dyDescent="0.15">
      <c r="A970" s="33"/>
      <c r="B970" s="33"/>
      <c r="H970" s="6">
        <v>0</v>
      </c>
      <c r="I970" s="6">
        <v>0</v>
      </c>
      <c r="J970" s="6">
        <v>0</v>
      </c>
    </row>
    <row r="971" spans="1:10" ht="13" x14ac:dyDescent="0.15">
      <c r="A971" s="33"/>
      <c r="B971" s="33"/>
      <c r="H971" s="6">
        <v>0</v>
      </c>
      <c r="I971" s="6">
        <v>0</v>
      </c>
      <c r="J971" s="6">
        <v>0</v>
      </c>
    </row>
    <row r="972" spans="1:10" ht="13" x14ac:dyDescent="0.15">
      <c r="A972" s="33"/>
      <c r="B972" s="33"/>
      <c r="H972" s="6">
        <v>0</v>
      </c>
      <c r="I972" s="6">
        <v>0</v>
      </c>
      <c r="J972" s="6">
        <v>0</v>
      </c>
    </row>
    <row r="973" spans="1:10" ht="13" x14ac:dyDescent="0.15">
      <c r="A973" s="33"/>
      <c r="B973" s="33"/>
      <c r="H973" s="6">
        <v>0</v>
      </c>
      <c r="I973" s="6">
        <v>0</v>
      </c>
      <c r="J973" s="6">
        <v>0</v>
      </c>
    </row>
    <row r="974" spans="1:10" ht="13" x14ac:dyDescent="0.15">
      <c r="A974" s="33"/>
      <c r="B974" s="33"/>
      <c r="H974" s="6">
        <v>0</v>
      </c>
      <c r="I974" s="6">
        <v>0</v>
      </c>
      <c r="J974" s="6">
        <v>0</v>
      </c>
    </row>
    <row r="975" spans="1:10" ht="13" x14ac:dyDescent="0.15">
      <c r="A975" s="33"/>
      <c r="B975" s="33"/>
      <c r="H975" s="6">
        <v>0</v>
      </c>
      <c r="I975" s="6">
        <v>0</v>
      </c>
      <c r="J975" s="6">
        <v>0</v>
      </c>
    </row>
    <row r="976" spans="1:10" ht="13" x14ac:dyDescent="0.15">
      <c r="A976" s="33"/>
      <c r="B976" s="33"/>
      <c r="H976" s="6">
        <v>0</v>
      </c>
      <c r="I976" s="6">
        <v>0</v>
      </c>
      <c r="J976" s="6">
        <v>0</v>
      </c>
    </row>
    <row r="977" spans="1:10" ht="13" x14ac:dyDescent="0.15">
      <c r="A977" s="33"/>
      <c r="B977" s="33"/>
      <c r="H977" s="6">
        <v>0</v>
      </c>
      <c r="I977" s="6">
        <v>0</v>
      </c>
      <c r="J977" s="6">
        <v>0</v>
      </c>
    </row>
    <row r="978" spans="1:10" ht="13" x14ac:dyDescent="0.15">
      <c r="A978" s="33"/>
      <c r="B978" s="33"/>
      <c r="H978" s="6">
        <v>0</v>
      </c>
      <c r="I978" s="6">
        <v>0</v>
      </c>
      <c r="J978" s="6">
        <v>0</v>
      </c>
    </row>
    <row r="979" spans="1:10" ht="13" x14ac:dyDescent="0.15">
      <c r="A979" s="33"/>
      <c r="B979" s="33"/>
      <c r="H979" s="6">
        <v>0</v>
      </c>
      <c r="I979" s="6">
        <v>0</v>
      </c>
      <c r="J979" s="6">
        <v>0</v>
      </c>
    </row>
    <row r="980" spans="1:10" ht="13" x14ac:dyDescent="0.15">
      <c r="A980" s="33"/>
      <c r="B980" s="33"/>
      <c r="H980" s="6">
        <v>0</v>
      </c>
      <c r="I980" s="6">
        <v>0</v>
      </c>
      <c r="J980" s="6">
        <v>0</v>
      </c>
    </row>
    <row r="981" spans="1:10" ht="13" x14ac:dyDescent="0.15">
      <c r="A981" s="33"/>
      <c r="B981" s="33"/>
      <c r="H981" s="6">
        <v>0</v>
      </c>
      <c r="I981" s="6">
        <v>0</v>
      </c>
      <c r="J981" s="6">
        <v>0</v>
      </c>
    </row>
    <row r="982" spans="1:10" ht="13" x14ac:dyDescent="0.15">
      <c r="A982" s="33"/>
      <c r="B982" s="33"/>
      <c r="H982" s="6">
        <v>0</v>
      </c>
      <c r="I982" s="6">
        <v>0</v>
      </c>
      <c r="J982" s="6">
        <v>0</v>
      </c>
    </row>
    <row r="983" spans="1:10" ht="13" x14ac:dyDescent="0.15">
      <c r="A983" s="33"/>
      <c r="B983" s="33"/>
      <c r="H983" s="6">
        <v>0</v>
      </c>
      <c r="I983" s="6">
        <v>0</v>
      </c>
      <c r="J983" s="6">
        <v>0</v>
      </c>
    </row>
    <row r="984" spans="1:10" ht="13" x14ac:dyDescent="0.15">
      <c r="A984" s="33"/>
      <c r="B984" s="33"/>
      <c r="H984" s="6">
        <v>0</v>
      </c>
      <c r="I984" s="6">
        <v>0</v>
      </c>
      <c r="J984" s="6">
        <v>0</v>
      </c>
    </row>
    <row r="985" spans="1:10" ht="13" x14ac:dyDescent="0.15">
      <c r="A985" s="33"/>
      <c r="B985" s="33"/>
      <c r="H985" s="6">
        <v>0</v>
      </c>
      <c r="I985" s="6">
        <v>0</v>
      </c>
      <c r="J985" s="6">
        <v>0</v>
      </c>
    </row>
    <row r="986" spans="1:10" ht="13" x14ac:dyDescent="0.15">
      <c r="A986" s="33"/>
      <c r="B986" s="33"/>
      <c r="H986" s="6">
        <v>0</v>
      </c>
      <c r="I986" s="6">
        <v>0</v>
      </c>
      <c r="J986" s="6">
        <v>0</v>
      </c>
    </row>
    <row r="987" spans="1:10" ht="13" x14ac:dyDescent="0.15">
      <c r="A987" s="33"/>
      <c r="B987" s="33"/>
      <c r="H987" s="6">
        <v>0</v>
      </c>
      <c r="I987" s="6">
        <v>0</v>
      </c>
      <c r="J987" s="6">
        <v>0</v>
      </c>
    </row>
    <row r="988" spans="1:10" ht="13" x14ac:dyDescent="0.15">
      <c r="A988" s="33"/>
      <c r="B988" s="33"/>
      <c r="H988" s="6">
        <v>0</v>
      </c>
      <c r="I988" s="6">
        <v>0</v>
      </c>
      <c r="J988" s="6">
        <v>0</v>
      </c>
    </row>
    <row r="989" spans="1:10" ht="13" x14ac:dyDescent="0.15">
      <c r="A989" s="33"/>
      <c r="B989" s="33"/>
      <c r="H989" s="6">
        <v>0</v>
      </c>
      <c r="I989" s="6">
        <v>0</v>
      </c>
      <c r="J989" s="6">
        <v>0</v>
      </c>
    </row>
    <row r="990" spans="1:10" ht="13" x14ac:dyDescent="0.15">
      <c r="A990" s="33"/>
      <c r="B990" s="33"/>
      <c r="H990" s="6">
        <v>0</v>
      </c>
      <c r="I990" s="6">
        <v>0</v>
      </c>
      <c r="J990" s="6">
        <v>0</v>
      </c>
    </row>
    <row r="991" spans="1:10" ht="13" x14ac:dyDescent="0.15">
      <c r="A991" s="33"/>
      <c r="B991" s="33"/>
      <c r="H991" s="6">
        <v>0</v>
      </c>
      <c r="I991" s="6">
        <v>0</v>
      </c>
      <c r="J991" s="6">
        <v>0</v>
      </c>
    </row>
    <row r="992" spans="1:10" ht="13" x14ac:dyDescent="0.15">
      <c r="A992" s="33"/>
      <c r="B992" s="33"/>
      <c r="H992" s="6">
        <v>0</v>
      </c>
      <c r="I992" s="6">
        <v>0</v>
      </c>
      <c r="J992" s="6">
        <v>0</v>
      </c>
    </row>
    <row r="993" spans="1:10" ht="13" x14ac:dyDescent="0.15">
      <c r="A993" s="33"/>
      <c r="B993" s="33"/>
      <c r="H993" s="6">
        <v>0</v>
      </c>
      <c r="I993" s="6">
        <v>0</v>
      </c>
      <c r="J993" s="6">
        <v>0</v>
      </c>
    </row>
    <row r="994" spans="1:10" ht="13" x14ac:dyDescent="0.15">
      <c r="A994" s="33"/>
      <c r="B994" s="33"/>
      <c r="H994" s="6">
        <v>0</v>
      </c>
      <c r="I994" s="6">
        <v>0</v>
      </c>
      <c r="J994" s="6">
        <v>0</v>
      </c>
    </row>
    <row r="995" spans="1:10" ht="13" x14ac:dyDescent="0.15">
      <c r="A995" s="33"/>
      <c r="B995" s="33"/>
      <c r="H995" s="6">
        <v>0</v>
      </c>
      <c r="I995" s="6">
        <v>0</v>
      </c>
      <c r="J995" s="6">
        <v>0</v>
      </c>
    </row>
    <row r="996" spans="1:10" ht="13" x14ac:dyDescent="0.15">
      <c r="A996" s="33"/>
      <c r="B996" s="33"/>
      <c r="H996" s="6">
        <v>0</v>
      </c>
      <c r="I996" s="6">
        <v>0</v>
      </c>
      <c r="J996" s="6">
        <v>0</v>
      </c>
    </row>
    <row r="997" spans="1:10" ht="13" x14ac:dyDescent="0.15">
      <c r="A997" s="33"/>
      <c r="B997" s="33"/>
      <c r="H997" s="6">
        <v>0</v>
      </c>
      <c r="I997" s="6">
        <v>0</v>
      </c>
      <c r="J997" s="6">
        <v>0</v>
      </c>
    </row>
    <row r="998" spans="1:10" ht="13" x14ac:dyDescent="0.15">
      <c r="A998" s="33"/>
      <c r="B998" s="33"/>
      <c r="H998" s="6">
        <v>0</v>
      </c>
      <c r="I998" s="6">
        <v>0</v>
      </c>
      <c r="J998" s="6">
        <v>0</v>
      </c>
    </row>
    <row r="999" spans="1:10" ht="13" x14ac:dyDescent="0.15">
      <c r="A999" s="33"/>
      <c r="B999" s="33"/>
      <c r="H999" s="6">
        <v>0</v>
      </c>
      <c r="I999" s="6">
        <v>0</v>
      </c>
      <c r="J999" s="6">
        <v>0</v>
      </c>
    </row>
    <row r="1000" spans="1:10" ht="13" x14ac:dyDescent="0.15">
      <c r="A1000" s="33"/>
      <c r="B1000" s="33"/>
      <c r="H1000" s="6">
        <v>0</v>
      </c>
      <c r="I1000" s="6">
        <v>0</v>
      </c>
      <c r="J1000" s="6">
        <v>0</v>
      </c>
    </row>
    <row r="1001" spans="1:10" ht="13" x14ac:dyDescent="0.15">
      <c r="A1001" s="33"/>
      <c r="B1001" s="33"/>
      <c r="H1001" s="6">
        <v>0</v>
      </c>
      <c r="I1001" s="6">
        <v>0</v>
      </c>
      <c r="J1001" s="6">
        <v>0</v>
      </c>
    </row>
    <row r="1002" spans="1:10" ht="13" x14ac:dyDescent="0.15">
      <c r="A1002" s="33"/>
      <c r="B1002" s="33"/>
      <c r="H1002" s="6">
        <v>0</v>
      </c>
      <c r="I1002" s="6">
        <v>0</v>
      </c>
      <c r="J1002" s="6">
        <v>0</v>
      </c>
    </row>
    <row r="1003" spans="1:10" ht="13" x14ac:dyDescent="0.15">
      <c r="A1003" s="33"/>
      <c r="B1003" s="33"/>
      <c r="H1003" s="6">
        <v>0</v>
      </c>
      <c r="I1003" s="6">
        <v>0</v>
      </c>
      <c r="J1003" s="6">
        <v>0</v>
      </c>
    </row>
    <row r="1004" spans="1:10" ht="13" x14ac:dyDescent="0.15">
      <c r="A1004" s="33"/>
      <c r="B1004" s="33"/>
      <c r="H1004" s="6">
        <v>0</v>
      </c>
      <c r="I1004" s="6">
        <v>0</v>
      </c>
      <c r="J1004" s="6">
        <v>0</v>
      </c>
    </row>
    <row r="1005" spans="1:10" ht="13" x14ac:dyDescent="0.15">
      <c r="A1005" s="33"/>
      <c r="B1005" s="33"/>
      <c r="H1005" s="6">
        <v>0</v>
      </c>
      <c r="I1005" s="6">
        <v>0</v>
      </c>
      <c r="J1005" s="6">
        <v>0</v>
      </c>
    </row>
    <row r="1006" spans="1:10" ht="13" x14ac:dyDescent="0.15">
      <c r="A1006" s="33"/>
      <c r="B1006" s="33"/>
      <c r="H1006" s="6">
        <v>0</v>
      </c>
      <c r="I1006" s="6">
        <v>0</v>
      </c>
      <c r="J1006" s="6">
        <v>0</v>
      </c>
    </row>
    <row r="1007" spans="1:10" ht="13" x14ac:dyDescent="0.15">
      <c r="A1007" s="33"/>
      <c r="B1007" s="33"/>
      <c r="H1007" s="6">
        <v>0</v>
      </c>
      <c r="I1007" s="6">
        <v>0</v>
      </c>
      <c r="J1007" s="6">
        <v>0</v>
      </c>
    </row>
    <row r="1008" spans="1:10" ht="13" x14ac:dyDescent="0.15">
      <c r="A1008" s="33"/>
      <c r="B1008" s="33"/>
      <c r="H1008" s="6">
        <v>0</v>
      </c>
      <c r="I1008" s="6">
        <v>0</v>
      </c>
      <c r="J1008" s="6">
        <v>0</v>
      </c>
    </row>
    <row r="1009" spans="1:10" ht="13" x14ac:dyDescent="0.15">
      <c r="A1009" s="33"/>
      <c r="B1009" s="33"/>
      <c r="H1009" s="6">
        <v>0</v>
      </c>
      <c r="I1009" s="6">
        <v>0</v>
      </c>
      <c r="J1009" s="6">
        <v>0</v>
      </c>
    </row>
    <row r="1010" spans="1:10" ht="13" x14ac:dyDescent="0.15">
      <c r="A1010" s="33"/>
      <c r="B1010" s="33"/>
      <c r="H1010" s="6">
        <v>0</v>
      </c>
      <c r="I1010" s="6">
        <v>0</v>
      </c>
      <c r="J1010" s="6">
        <v>0</v>
      </c>
    </row>
    <row r="1011" spans="1:10" ht="13" x14ac:dyDescent="0.15">
      <c r="A1011" s="33"/>
      <c r="B1011" s="33"/>
      <c r="H1011" s="6">
        <v>0</v>
      </c>
      <c r="I1011" s="6">
        <v>0</v>
      </c>
      <c r="J1011" s="6">
        <v>0</v>
      </c>
    </row>
    <row r="1012" spans="1:10" ht="13" x14ac:dyDescent="0.15">
      <c r="A1012" s="33"/>
      <c r="B1012" s="33"/>
      <c r="H1012" s="6">
        <v>0</v>
      </c>
      <c r="I1012" s="6">
        <v>0</v>
      </c>
      <c r="J1012" s="6">
        <v>0</v>
      </c>
    </row>
    <row r="1013" spans="1:10" ht="13" x14ac:dyDescent="0.15">
      <c r="A1013" s="33"/>
      <c r="B1013" s="33"/>
      <c r="H1013" s="6">
        <v>0</v>
      </c>
      <c r="I1013" s="6">
        <v>0</v>
      </c>
      <c r="J1013" s="6">
        <v>0</v>
      </c>
    </row>
    <row r="1014" spans="1:10" ht="13" x14ac:dyDescent="0.15">
      <c r="A1014" s="33"/>
      <c r="B1014" s="33"/>
      <c r="H1014" s="6">
        <v>0</v>
      </c>
      <c r="I1014" s="6">
        <v>0</v>
      </c>
      <c r="J1014" s="6">
        <v>0</v>
      </c>
    </row>
    <row r="1015" spans="1:10" ht="13" x14ac:dyDescent="0.15">
      <c r="A1015" s="33"/>
      <c r="B1015" s="33"/>
      <c r="H1015" s="6">
        <v>0</v>
      </c>
      <c r="I1015" s="6">
        <v>0</v>
      </c>
      <c r="J1015" s="6">
        <v>0</v>
      </c>
    </row>
    <row r="1016" spans="1:10" ht="13" x14ac:dyDescent="0.15">
      <c r="A1016" s="33"/>
      <c r="B1016" s="33"/>
      <c r="H1016" s="6">
        <v>0</v>
      </c>
      <c r="I1016" s="6">
        <v>0</v>
      </c>
      <c r="J1016" s="6">
        <v>0</v>
      </c>
    </row>
    <row r="1017" spans="1:10" ht="13" x14ac:dyDescent="0.15">
      <c r="A1017" s="33"/>
      <c r="B1017" s="33"/>
      <c r="H1017" s="6">
        <v>0</v>
      </c>
      <c r="I1017" s="6">
        <v>0</v>
      </c>
      <c r="J1017" s="6">
        <v>0</v>
      </c>
    </row>
    <row r="1018" spans="1:10" ht="13" x14ac:dyDescent="0.15">
      <c r="A1018" s="33"/>
      <c r="B1018" s="33"/>
      <c r="H1018" s="6">
        <v>0</v>
      </c>
      <c r="I1018" s="6">
        <v>0</v>
      </c>
      <c r="J1018" s="6">
        <v>0</v>
      </c>
    </row>
    <row r="1019" spans="1:10" ht="13" x14ac:dyDescent="0.15">
      <c r="A1019" s="33"/>
      <c r="B1019" s="33"/>
      <c r="H1019" s="6">
        <v>0</v>
      </c>
      <c r="I1019" s="6">
        <v>0</v>
      </c>
      <c r="J1019" s="6">
        <v>0</v>
      </c>
    </row>
    <row r="1020" spans="1:10" ht="13" x14ac:dyDescent="0.15">
      <c r="A1020" s="33"/>
      <c r="B1020" s="33"/>
      <c r="H1020" s="6">
        <v>0</v>
      </c>
      <c r="I1020" s="6">
        <v>0</v>
      </c>
      <c r="J1020" s="6">
        <v>0</v>
      </c>
    </row>
    <row r="1021" spans="1:10" ht="13" x14ac:dyDescent="0.15">
      <c r="A1021" s="33"/>
      <c r="B1021" s="33"/>
      <c r="H1021" s="6">
        <v>0</v>
      </c>
      <c r="I1021" s="6">
        <v>0</v>
      </c>
      <c r="J1021" s="6">
        <v>0</v>
      </c>
    </row>
    <row r="1022" spans="1:10" ht="13" x14ac:dyDescent="0.15">
      <c r="A1022" s="33"/>
      <c r="B1022" s="33"/>
      <c r="H1022" s="6">
        <v>0</v>
      </c>
      <c r="I1022" s="6">
        <v>0</v>
      </c>
      <c r="J1022" s="6">
        <v>0</v>
      </c>
    </row>
    <row r="1023" spans="1:10" ht="13" x14ac:dyDescent="0.15">
      <c r="A1023" s="33"/>
      <c r="B1023" s="33"/>
      <c r="H1023" s="6">
        <v>0</v>
      </c>
      <c r="I1023" s="6">
        <v>0</v>
      </c>
      <c r="J1023" s="6">
        <v>0</v>
      </c>
    </row>
    <row r="1024" spans="1:10" ht="13" x14ac:dyDescent="0.15">
      <c r="A1024" s="33"/>
      <c r="B1024" s="33"/>
      <c r="H1024" s="6">
        <v>0</v>
      </c>
      <c r="I1024" s="6">
        <v>0</v>
      </c>
      <c r="J1024" s="6">
        <v>0</v>
      </c>
    </row>
    <row r="1025" spans="1:10" ht="13" x14ac:dyDescent="0.15">
      <c r="A1025" s="33"/>
      <c r="B1025" s="33"/>
      <c r="H1025" s="6">
        <v>0</v>
      </c>
      <c r="I1025" s="6">
        <v>0</v>
      </c>
      <c r="J1025" s="6">
        <v>0</v>
      </c>
    </row>
    <row r="1026" spans="1:10" ht="13" x14ac:dyDescent="0.15">
      <c r="A1026" s="33"/>
      <c r="B1026" s="33"/>
      <c r="H1026" s="6">
        <v>0</v>
      </c>
      <c r="I1026" s="6">
        <v>0</v>
      </c>
      <c r="J1026" s="6">
        <v>0</v>
      </c>
    </row>
    <row r="1027" spans="1:10" ht="13" x14ac:dyDescent="0.15">
      <c r="A1027" s="33"/>
      <c r="B1027" s="33"/>
      <c r="H1027" s="6">
        <v>0</v>
      </c>
      <c r="I1027" s="6">
        <v>0</v>
      </c>
      <c r="J1027" s="6">
        <v>0</v>
      </c>
    </row>
    <row r="1028" spans="1:10" ht="13" x14ac:dyDescent="0.15">
      <c r="A1028" s="33"/>
      <c r="B1028" s="33"/>
      <c r="H1028" s="6">
        <v>0</v>
      </c>
      <c r="I1028" s="6">
        <v>0</v>
      </c>
      <c r="J1028" s="6">
        <v>0</v>
      </c>
    </row>
    <row r="1029" spans="1:10" ht="13" x14ac:dyDescent="0.15">
      <c r="A1029" s="33"/>
      <c r="B1029" s="33"/>
      <c r="H1029" s="6">
        <v>0</v>
      </c>
      <c r="I1029" s="6">
        <v>0</v>
      </c>
      <c r="J1029" s="6">
        <v>0</v>
      </c>
    </row>
    <row r="1030" spans="1:10" ht="13" x14ac:dyDescent="0.15">
      <c r="A1030" s="33"/>
      <c r="B1030" s="33"/>
      <c r="H1030" s="6">
        <v>0</v>
      </c>
      <c r="I1030" s="6">
        <v>0</v>
      </c>
      <c r="J1030" s="6">
        <v>0</v>
      </c>
    </row>
    <row r="1031" spans="1:10" ht="13" x14ac:dyDescent="0.15">
      <c r="A1031" s="33"/>
      <c r="B1031" s="33"/>
      <c r="H1031" s="6">
        <v>0</v>
      </c>
      <c r="I1031" s="6">
        <v>0</v>
      </c>
      <c r="J1031" s="6">
        <v>0</v>
      </c>
    </row>
    <row r="1032" spans="1:10" ht="13" x14ac:dyDescent="0.15">
      <c r="A1032" s="33"/>
      <c r="B1032" s="33"/>
      <c r="H1032" s="6">
        <v>0</v>
      </c>
      <c r="I1032" s="6">
        <v>0</v>
      </c>
      <c r="J1032" s="6">
        <v>0</v>
      </c>
    </row>
    <row r="1033" spans="1:10" ht="13" x14ac:dyDescent="0.15">
      <c r="A1033" s="33"/>
      <c r="B1033" s="33"/>
      <c r="H1033" s="6">
        <v>0</v>
      </c>
      <c r="I1033" s="6">
        <v>0</v>
      </c>
      <c r="J1033" s="6">
        <v>0</v>
      </c>
    </row>
    <row r="1034" spans="1:10" ht="13" x14ac:dyDescent="0.15">
      <c r="A1034" s="33"/>
      <c r="B1034" s="33"/>
      <c r="H1034" s="6">
        <v>0</v>
      </c>
      <c r="I1034" s="6">
        <v>0</v>
      </c>
      <c r="J1034" s="6">
        <v>0</v>
      </c>
    </row>
    <row r="1035" spans="1:10" ht="13" x14ac:dyDescent="0.15">
      <c r="A1035" s="33"/>
      <c r="B1035" s="33"/>
      <c r="H1035" s="6">
        <v>0</v>
      </c>
      <c r="I1035" s="6">
        <v>0</v>
      </c>
      <c r="J1035" s="6">
        <v>0</v>
      </c>
    </row>
    <row r="1036" spans="1:10" ht="13" x14ac:dyDescent="0.15">
      <c r="A1036" s="33"/>
      <c r="B1036" s="33"/>
      <c r="H1036" s="6">
        <v>0</v>
      </c>
      <c r="I1036" s="6">
        <v>0</v>
      </c>
      <c r="J1036" s="6">
        <v>0</v>
      </c>
    </row>
    <row r="1037" spans="1:10" ht="13" x14ac:dyDescent="0.15">
      <c r="A1037" s="33"/>
      <c r="B1037" s="33"/>
      <c r="H1037" s="6">
        <v>0</v>
      </c>
      <c r="I1037" s="6">
        <v>0</v>
      </c>
      <c r="J1037" s="6">
        <v>0</v>
      </c>
    </row>
    <row r="1038" spans="1:10" ht="13" x14ac:dyDescent="0.15">
      <c r="A1038" s="33"/>
      <c r="B1038" s="33"/>
      <c r="H1038" s="6">
        <v>0</v>
      </c>
      <c r="I1038" s="6">
        <v>0</v>
      </c>
      <c r="J1038" s="6">
        <v>0</v>
      </c>
    </row>
    <row r="1039" spans="1:10" ht="13" x14ac:dyDescent="0.15">
      <c r="A1039" s="33"/>
      <c r="B1039" s="33"/>
      <c r="H1039" s="6">
        <v>0</v>
      </c>
      <c r="I1039" s="6">
        <v>0</v>
      </c>
      <c r="J1039" s="6">
        <v>0</v>
      </c>
    </row>
    <row r="1040" spans="1:10" ht="13" x14ac:dyDescent="0.15">
      <c r="A1040" s="33"/>
      <c r="B1040" s="33"/>
      <c r="H1040" s="6">
        <v>0</v>
      </c>
      <c r="I1040" s="6">
        <v>0</v>
      </c>
      <c r="J1040" s="6">
        <v>0</v>
      </c>
    </row>
    <row r="1041" spans="1:10" ht="13" x14ac:dyDescent="0.15">
      <c r="A1041" s="33"/>
      <c r="B1041" s="33"/>
      <c r="H1041" s="6">
        <v>0</v>
      </c>
      <c r="I1041" s="6">
        <v>0</v>
      </c>
      <c r="J1041" s="6">
        <v>0</v>
      </c>
    </row>
    <row r="1042" spans="1:10" ht="13" x14ac:dyDescent="0.15">
      <c r="A1042" s="33"/>
      <c r="B1042" s="33"/>
      <c r="H1042" s="6">
        <v>0</v>
      </c>
      <c r="I1042" s="6">
        <v>0</v>
      </c>
      <c r="J1042" s="6">
        <v>0</v>
      </c>
    </row>
    <row r="1043" spans="1:10" ht="13" x14ac:dyDescent="0.15">
      <c r="A1043" s="33"/>
      <c r="B1043" s="33"/>
      <c r="H1043" s="6">
        <v>0</v>
      </c>
      <c r="I1043" s="6">
        <v>0</v>
      </c>
      <c r="J1043" s="6">
        <v>0</v>
      </c>
    </row>
    <row r="1044" spans="1:10" ht="13" x14ac:dyDescent="0.15">
      <c r="A1044" s="33"/>
      <c r="B1044" s="33"/>
      <c r="H1044" s="6">
        <v>0</v>
      </c>
      <c r="I1044" s="6">
        <v>0</v>
      </c>
      <c r="J1044" s="6">
        <v>0</v>
      </c>
    </row>
    <row r="1045" spans="1:10" ht="13" x14ac:dyDescent="0.15">
      <c r="A1045" s="33"/>
      <c r="B1045" s="33"/>
      <c r="H1045" s="6">
        <v>0</v>
      </c>
      <c r="I1045" s="6">
        <v>0</v>
      </c>
      <c r="J1045" s="6">
        <v>0</v>
      </c>
    </row>
    <row r="1046" spans="1:10" ht="13" x14ac:dyDescent="0.15">
      <c r="A1046" s="33"/>
      <c r="B1046" s="33"/>
      <c r="H1046" s="6">
        <v>0</v>
      </c>
      <c r="I1046" s="6">
        <v>0</v>
      </c>
      <c r="J1046" s="6">
        <v>0</v>
      </c>
    </row>
    <row r="1047" spans="1:10" ht="13" x14ac:dyDescent="0.15">
      <c r="A1047" s="33"/>
      <c r="B1047" s="33"/>
      <c r="H1047" s="6">
        <v>0</v>
      </c>
      <c r="I1047" s="6">
        <v>0</v>
      </c>
      <c r="J1047" s="6">
        <v>0</v>
      </c>
    </row>
    <row r="1048" spans="1:10" ht="13" x14ac:dyDescent="0.15">
      <c r="A1048" s="33"/>
      <c r="B1048" s="33"/>
      <c r="H1048" s="6">
        <v>0</v>
      </c>
      <c r="I1048" s="6">
        <v>0</v>
      </c>
      <c r="J1048" s="6">
        <v>0</v>
      </c>
    </row>
    <row r="1049" spans="1:10" ht="13" x14ac:dyDescent="0.15">
      <c r="A1049" s="33"/>
      <c r="B1049" s="33"/>
      <c r="H1049" s="6">
        <v>0</v>
      </c>
      <c r="I1049" s="6">
        <v>0</v>
      </c>
      <c r="J1049" s="6">
        <v>0</v>
      </c>
    </row>
    <row r="1050" spans="1:10" ht="13" x14ac:dyDescent="0.15">
      <c r="A1050" s="33"/>
      <c r="B1050" s="33"/>
      <c r="H1050" s="6">
        <v>0</v>
      </c>
      <c r="I1050" s="6">
        <v>0</v>
      </c>
      <c r="J1050" s="6">
        <v>0</v>
      </c>
    </row>
    <row r="1051" spans="1:10" ht="13" x14ac:dyDescent="0.15">
      <c r="A1051" s="33"/>
      <c r="B1051" s="33"/>
      <c r="H1051" s="6">
        <v>0</v>
      </c>
      <c r="I1051" s="6">
        <v>0</v>
      </c>
      <c r="J1051" s="6">
        <v>0</v>
      </c>
    </row>
    <row r="1052" spans="1:10" ht="13" x14ac:dyDescent="0.15">
      <c r="A1052" s="33"/>
      <c r="B1052" s="33"/>
      <c r="H1052" s="6">
        <v>0</v>
      </c>
      <c r="I1052" s="6">
        <v>0</v>
      </c>
      <c r="J1052" s="6">
        <v>0</v>
      </c>
    </row>
    <row r="1053" spans="1:10" ht="13" x14ac:dyDescent="0.15">
      <c r="A1053" s="33"/>
      <c r="B1053" s="33"/>
      <c r="H1053" s="6">
        <v>0</v>
      </c>
      <c r="I1053" s="6">
        <v>0</v>
      </c>
      <c r="J1053" s="6">
        <v>0</v>
      </c>
    </row>
    <row r="1054" spans="1:10" ht="13" x14ac:dyDescent="0.15">
      <c r="A1054" s="33"/>
      <c r="B1054" s="33"/>
      <c r="H1054" s="6">
        <v>0</v>
      </c>
      <c r="I1054" s="6">
        <v>0</v>
      </c>
      <c r="J1054" s="6">
        <v>0</v>
      </c>
    </row>
    <row r="1055" spans="1:10" ht="13" x14ac:dyDescent="0.15">
      <c r="A1055" s="33"/>
      <c r="B1055" s="33"/>
      <c r="H1055" s="6">
        <v>0</v>
      </c>
      <c r="I1055" s="6">
        <v>0</v>
      </c>
      <c r="J1055" s="6">
        <v>0</v>
      </c>
    </row>
    <row r="1056" spans="1:10" ht="13" x14ac:dyDescent="0.15">
      <c r="A1056" s="33"/>
      <c r="B1056" s="33"/>
      <c r="H1056" s="6">
        <v>0</v>
      </c>
      <c r="I1056" s="6">
        <v>0</v>
      </c>
      <c r="J1056" s="6">
        <v>0</v>
      </c>
    </row>
    <row r="1057" spans="1:10" ht="13" x14ac:dyDescent="0.15">
      <c r="A1057" s="33"/>
      <c r="B1057" s="33"/>
      <c r="H1057" s="6">
        <v>0</v>
      </c>
      <c r="I1057" s="6">
        <v>0</v>
      </c>
      <c r="J1057" s="6">
        <v>0</v>
      </c>
    </row>
    <row r="1058" spans="1:10" ht="13" x14ac:dyDescent="0.15">
      <c r="A1058" s="33"/>
      <c r="B1058" s="33"/>
      <c r="H1058" s="6">
        <v>0</v>
      </c>
      <c r="I1058" s="6">
        <v>0</v>
      </c>
      <c r="J1058" s="6">
        <v>0</v>
      </c>
    </row>
    <row r="1059" spans="1:10" ht="13" x14ac:dyDescent="0.15">
      <c r="A1059" s="33"/>
      <c r="B1059" s="33"/>
      <c r="H1059" s="6">
        <v>0</v>
      </c>
      <c r="I1059" s="6">
        <v>0</v>
      </c>
      <c r="J1059" s="6">
        <v>0</v>
      </c>
    </row>
    <row r="1060" spans="1:10" ht="13" x14ac:dyDescent="0.15">
      <c r="A1060" s="33"/>
      <c r="B1060" s="33"/>
      <c r="H1060" s="6">
        <v>0</v>
      </c>
      <c r="I1060" s="6">
        <v>0</v>
      </c>
      <c r="J1060" s="6">
        <v>0</v>
      </c>
    </row>
    <row r="1061" spans="1:10" ht="13" x14ac:dyDescent="0.15">
      <c r="A1061" s="33"/>
      <c r="B1061" s="33"/>
      <c r="H1061" s="6">
        <v>0</v>
      </c>
      <c r="I1061" s="6">
        <v>0</v>
      </c>
      <c r="J1061" s="6">
        <v>0</v>
      </c>
    </row>
    <row r="1062" spans="1:10" ht="13" x14ac:dyDescent="0.15">
      <c r="A1062" s="33"/>
      <c r="B1062" s="33"/>
      <c r="H1062" s="6">
        <v>0</v>
      </c>
      <c r="I1062" s="6">
        <v>0</v>
      </c>
      <c r="J1062" s="6">
        <v>0</v>
      </c>
    </row>
    <row r="1063" spans="1:10" ht="13" x14ac:dyDescent="0.15">
      <c r="A1063" s="33"/>
      <c r="B1063" s="33"/>
      <c r="H1063" s="6">
        <v>0</v>
      </c>
      <c r="I1063" s="6">
        <v>0</v>
      </c>
      <c r="J1063" s="6">
        <v>0</v>
      </c>
    </row>
    <row r="1064" spans="1:10" ht="13" x14ac:dyDescent="0.15">
      <c r="A1064" s="33"/>
      <c r="B1064" s="33"/>
      <c r="H1064" s="6">
        <v>0</v>
      </c>
      <c r="I1064" s="6">
        <v>0</v>
      </c>
      <c r="J1064" s="6">
        <v>0</v>
      </c>
    </row>
    <row r="1065" spans="1:10" ht="13" x14ac:dyDescent="0.15">
      <c r="A1065" s="33"/>
      <c r="B1065" s="33"/>
      <c r="H1065" s="6">
        <v>0</v>
      </c>
      <c r="I1065" s="6">
        <v>0</v>
      </c>
      <c r="J1065" s="6">
        <v>0</v>
      </c>
    </row>
    <row r="1066" spans="1:10" ht="13" x14ac:dyDescent="0.15">
      <c r="A1066" s="33"/>
      <c r="B1066" s="33"/>
      <c r="H1066" s="6">
        <v>0</v>
      </c>
      <c r="I1066" s="6">
        <v>0</v>
      </c>
      <c r="J1066" s="6">
        <v>0</v>
      </c>
    </row>
    <row r="1067" spans="1:10" ht="13" x14ac:dyDescent="0.15">
      <c r="A1067" s="33"/>
      <c r="B1067" s="33"/>
      <c r="H1067" s="6">
        <v>0</v>
      </c>
      <c r="I1067" s="6">
        <v>0</v>
      </c>
      <c r="J1067" s="6">
        <v>0</v>
      </c>
    </row>
    <row r="1068" spans="1:10" ht="13" x14ac:dyDescent="0.15">
      <c r="A1068" s="33"/>
      <c r="B1068" s="33"/>
      <c r="H1068" s="6">
        <v>0</v>
      </c>
      <c r="I1068" s="6">
        <v>0</v>
      </c>
      <c r="J1068" s="6">
        <v>0</v>
      </c>
    </row>
    <row r="1069" spans="1:10" ht="13" x14ac:dyDescent="0.15">
      <c r="A1069" s="33"/>
      <c r="B1069" s="33"/>
      <c r="H1069" s="6">
        <v>0</v>
      </c>
      <c r="I1069" s="6">
        <v>0</v>
      </c>
      <c r="J1069" s="6">
        <v>0</v>
      </c>
    </row>
    <row r="1070" spans="1:10" ht="13" x14ac:dyDescent="0.15">
      <c r="A1070" s="33"/>
      <c r="B1070" s="33"/>
      <c r="H1070" s="6">
        <v>0</v>
      </c>
      <c r="I1070" s="6">
        <v>0</v>
      </c>
      <c r="J1070" s="6">
        <v>0</v>
      </c>
    </row>
    <row r="1071" spans="1:10" ht="13" x14ac:dyDescent="0.15">
      <c r="A1071" s="33"/>
      <c r="B1071" s="33"/>
      <c r="H1071" s="6">
        <v>0</v>
      </c>
      <c r="I1071" s="6">
        <v>0</v>
      </c>
      <c r="J1071" s="6">
        <v>0</v>
      </c>
    </row>
    <row r="1072" spans="1:10" ht="13" x14ac:dyDescent="0.15">
      <c r="A1072" s="33"/>
      <c r="B1072" s="33"/>
      <c r="H1072" s="6">
        <v>0</v>
      </c>
      <c r="I1072" s="6">
        <v>0</v>
      </c>
      <c r="J1072" s="6">
        <v>0</v>
      </c>
    </row>
    <row r="1073" spans="1:10" ht="13" x14ac:dyDescent="0.15">
      <c r="A1073" s="33"/>
      <c r="B1073" s="33"/>
      <c r="H1073" s="6">
        <v>0</v>
      </c>
      <c r="I1073" s="6">
        <v>0</v>
      </c>
      <c r="J1073" s="6">
        <v>0</v>
      </c>
    </row>
    <row r="1074" spans="1:10" ht="13" x14ac:dyDescent="0.15">
      <c r="A1074" s="33"/>
      <c r="B1074" s="33"/>
      <c r="H1074" s="6">
        <v>0</v>
      </c>
      <c r="I1074" s="6">
        <v>0</v>
      </c>
      <c r="J1074" s="6">
        <v>0</v>
      </c>
    </row>
    <row r="1075" spans="1:10" ht="13" x14ac:dyDescent="0.15">
      <c r="A1075" s="33"/>
      <c r="B1075" s="33"/>
      <c r="H1075" s="6">
        <v>0</v>
      </c>
      <c r="I1075" s="6">
        <v>0</v>
      </c>
      <c r="J1075" s="6">
        <v>0</v>
      </c>
    </row>
    <row r="1076" spans="1:10" ht="13" x14ac:dyDescent="0.15">
      <c r="A1076" s="33"/>
      <c r="B1076" s="33"/>
      <c r="H1076" s="6">
        <v>0</v>
      </c>
      <c r="I1076" s="6">
        <v>0</v>
      </c>
      <c r="J1076" s="6">
        <v>0</v>
      </c>
    </row>
    <row r="1077" spans="1:10" ht="13" x14ac:dyDescent="0.15">
      <c r="A1077" s="33"/>
      <c r="B1077" s="33"/>
      <c r="H1077" s="6">
        <v>0</v>
      </c>
      <c r="I1077" s="6">
        <v>0</v>
      </c>
      <c r="J1077" s="6">
        <v>0</v>
      </c>
    </row>
    <row r="1078" spans="1:10" ht="13" x14ac:dyDescent="0.15">
      <c r="A1078" s="33"/>
      <c r="B1078" s="33"/>
      <c r="H1078" s="6">
        <v>0</v>
      </c>
      <c r="I1078" s="6">
        <v>0</v>
      </c>
      <c r="J1078" s="6">
        <v>0</v>
      </c>
    </row>
    <row r="1079" spans="1:10" ht="13" x14ac:dyDescent="0.15">
      <c r="A1079" s="33"/>
      <c r="B1079" s="33"/>
      <c r="H1079" s="6">
        <v>0</v>
      </c>
      <c r="I1079" s="6">
        <v>0</v>
      </c>
      <c r="J1079" s="6">
        <v>0</v>
      </c>
    </row>
    <row r="1080" spans="1:10" ht="13" x14ac:dyDescent="0.15">
      <c r="A1080" s="33"/>
      <c r="B1080" s="33"/>
      <c r="H1080" s="6">
        <v>0</v>
      </c>
      <c r="I1080" s="6">
        <v>0</v>
      </c>
      <c r="J1080" s="6">
        <v>0</v>
      </c>
    </row>
    <row r="1081" spans="1:10" ht="13" x14ac:dyDescent="0.15">
      <c r="A1081" s="33"/>
      <c r="B1081" s="33"/>
      <c r="H1081" s="6">
        <v>0</v>
      </c>
      <c r="I1081" s="6">
        <v>0</v>
      </c>
      <c r="J1081" s="6">
        <v>0</v>
      </c>
    </row>
    <row r="1082" spans="1:10" ht="13" x14ac:dyDescent="0.15">
      <c r="A1082" s="33"/>
      <c r="B1082" s="33"/>
      <c r="H1082" s="6">
        <v>0</v>
      </c>
      <c r="I1082" s="6">
        <v>0</v>
      </c>
      <c r="J1082" s="6">
        <v>0</v>
      </c>
    </row>
    <row r="1083" spans="1:10" ht="13" x14ac:dyDescent="0.15">
      <c r="A1083" s="33"/>
      <c r="B1083" s="33"/>
      <c r="H1083" s="6">
        <v>0</v>
      </c>
      <c r="I1083" s="6">
        <v>0</v>
      </c>
      <c r="J1083" s="6">
        <v>0</v>
      </c>
    </row>
    <row r="1084" spans="1:10" ht="13" x14ac:dyDescent="0.15">
      <c r="A1084" s="33"/>
      <c r="B1084" s="33"/>
      <c r="H1084" s="6">
        <v>0</v>
      </c>
      <c r="I1084" s="6">
        <v>0</v>
      </c>
      <c r="J1084" s="6">
        <v>0</v>
      </c>
    </row>
    <row r="1085" spans="1:10" ht="13" x14ac:dyDescent="0.15">
      <c r="A1085" s="33"/>
      <c r="B1085" s="33"/>
      <c r="H1085" s="6">
        <v>0</v>
      </c>
      <c r="I1085" s="6">
        <v>0</v>
      </c>
      <c r="J1085" s="6">
        <v>0</v>
      </c>
    </row>
    <row r="1086" spans="1:10" ht="13" x14ac:dyDescent="0.15">
      <c r="A1086" s="33"/>
      <c r="B1086" s="33"/>
      <c r="H1086" s="6">
        <v>0</v>
      </c>
      <c r="I1086" s="6">
        <v>0</v>
      </c>
      <c r="J1086" s="6">
        <v>0</v>
      </c>
    </row>
    <row r="1087" spans="1:10" ht="13" x14ac:dyDescent="0.15">
      <c r="A1087" s="33"/>
      <c r="B1087" s="33"/>
      <c r="H1087" s="6">
        <v>0</v>
      </c>
      <c r="I1087" s="6">
        <v>0</v>
      </c>
      <c r="J1087" s="6">
        <v>0</v>
      </c>
    </row>
    <row r="1088" spans="1:10" ht="13" x14ac:dyDescent="0.15">
      <c r="A1088" s="33"/>
      <c r="B1088" s="33"/>
      <c r="H1088" s="6">
        <v>0</v>
      </c>
      <c r="I1088" s="6">
        <v>0</v>
      </c>
      <c r="J1088" s="6">
        <v>0</v>
      </c>
    </row>
    <row r="1089" spans="1:10" ht="13" x14ac:dyDescent="0.15">
      <c r="A1089" s="33"/>
      <c r="B1089" s="33"/>
      <c r="H1089" s="6">
        <v>0</v>
      </c>
      <c r="I1089" s="6">
        <v>0</v>
      </c>
      <c r="J1089" s="6">
        <v>0</v>
      </c>
    </row>
    <row r="1090" spans="1:10" ht="13" x14ac:dyDescent="0.15">
      <c r="A1090" s="33"/>
      <c r="B1090" s="33"/>
      <c r="H1090" s="6">
        <v>0</v>
      </c>
      <c r="I1090" s="6">
        <v>0</v>
      </c>
      <c r="J1090" s="6">
        <v>0</v>
      </c>
    </row>
    <row r="1091" spans="1:10" ht="13" x14ac:dyDescent="0.15">
      <c r="A1091" s="33"/>
      <c r="B1091" s="33"/>
      <c r="H1091" s="6">
        <v>0</v>
      </c>
      <c r="I1091" s="6">
        <v>0</v>
      </c>
      <c r="J1091" s="6">
        <v>0</v>
      </c>
    </row>
    <row r="1092" spans="1:10" ht="13" x14ac:dyDescent="0.15">
      <c r="A1092" s="33"/>
      <c r="B1092" s="33"/>
      <c r="H1092" s="6">
        <v>0</v>
      </c>
      <c r="I1092" s="6">
        <v>0</v>
      </c>
      <c r="J1092" s="6">
        <v>0</v>
      </c>
    </row>
    <row r="1093" spans="1:10" ht="13" x14ac:dyDescent="0.15">
      <c r="A1093" s="33"/>
      <c r="B1093" s="33"/>
      <c r="H1093" s="6">
        <v>0</v>
      </c>
      <c r="I1093" s="6">
        <v>0</v>
      </c>
      <c r="J1093" s="6">
        <v>0</v>
      </c>
    </row>
    <row r="1094" spans="1:10" ht="13" x14ac:dyDescent="0.15">
      <c r="A1094" s="33"/>
      <c r="B1094" s="33"/>
      <c r="H1094" s="6">
        <v>0</v>
      </c>
      <c r="I1094" s="6">
        <v>0</v>
      </c>
      <c r="J1094" s="6">
        <v>0</v>
      </c>
    </row>
    <row r="1095" spans="1:10" ht="13" x14ac:dyDescent="0.15">
      <c r="A1095" s="33"/>
      <c r="B1095" s="33"/>
      <c r="H1095" s="6">
        <v>0</v>
      </c>
      <c r="I1095" s="6">
        <v>0</v>
      </c>
      <c r="J1095" s="6">
        <v>0</v>
      </c>
    </row>
    <row r="1096" spans="1:10" ht="13" x14ac:dyDescent="0.15">
      <c r="A1096" s="33"/>
      <c r="B1096" s="33"/>
      <c r="H1096" s="6">
        <v>0</v>
      </c>
      <c r="I1096" s="6">
        <v>0</v>
      </c>
      <c r="J1096" s="6">
        <v>0</v>
      </c>
    </row>
    <row r="1097" spans="1:10" ht="13" x14ac:dyDescent="0.15">
      <c r="A1097" s="33"/>
      <c r="B1097" s="33"/>
      <c r="H1097" s="6">
        <v>0</v>
      </c>
      <c r="I1097" s="6">
        <v>0</v>
      </c>
      <c r="J1097" s="6">
        <v>0</v>
      </c>
    </row>
    <row r="1098" spans="1:10" ht="13" x14ac:dyDescent="0.15">
      <c r="A1098" s="33"/>
      <c r="B1098" s="33"/>
      <c r="H1098" s="6">
        <v>0</v>
      </c>
      <c r="I1098" s="6">
        <v>0</v>
      </c>
      <c r="J1098" s="6">
        <v>0</v>
      </c>
    </row>
    <row r="1099" spans="1:10" ht="13" x14ac:dyDescent="0.15">
      <c r="A1099" s="33"/>
      <c r="B1099" s="33"/>
      <c r="H1099" s="6">
        <v>0</v>
      </c>
      <c r="I1099" s="6">
        <v>0</v>
      </c>
      <c r="J1099" s="6">
        <v>0</v>
      </c>
    </row>
    <row r="1100" spans="1:10" ht="13" x14ac:dyDescent="0.15">
      <c r="A1100" s="33"/>
      <c r="B1100" s="33"/>
      <c r="H1100" s="6">
        <v>0</v>
      </c>
      <c r="I1100" s="6">
        <v>0</v>
      </c>
      <c r="J1100" s="6">
        <v>0</v>
      </c>
    </row>
    <row r="1101" spans="1:10" ht="13" x14ac:dyDescent="0.15">
      <c r="A1101" s="33"/>
      <c r="B1101" s="33"/>
      <c r="H1101" s="6">
        <v>0</v>
      </c>
      <c r="I1101" s="6">
        <v>0</v>
      </c>
      <c r="J1101" s="6">
        <v>0</v>
      </c>
    </row>
    <row r="1102" spans="1:10" ht="13" x14ac:dyDescent="0.15">
      <c r="A1102" s="33"/>
      <c r="B1102" s="33"/>
      <c r="H1102" s="6">
        <v>0</v>
      </c>
      <c r="I1102" s="6">
        <v>0</v>
      </c>
      <c r="J1102" s="6">
        <v>0</v>
      </c>
    </row>
    <row r="1103" spans="1:10" ht="13" x14ac:dyDescent="0.15">
      <c r="A1103" s="33"/>
      <c r="B1103" s="33"/>
      <c r="H1103" s="6">
        <v>0</v>
      </c>
      <c r="I1103" s="6">
        <v>0</v>
      </c>
      <c r="J1103" s="6">
        <v>0</v>
      </c>
    </row>
    <row r="1104" spans="1:10" ht="13" x14ac:dyDescent="0.15">
      <c r="A1104" s="33"/>
      <c r="B1104" s="33"/>
      <c r="H1104" s="6">
        <v>0</v>
      </c>
      <c r="I1104" s="6">
        <v>0</v>
      </c>
      <c r="J1104" s="6">
        <v>0</v>
      </c>
    </row>
    <row r="1105" spans="1:10" ht="13" x14ac:dyDescent="0.15">
      <c r="A1105" s="33"/>
      <c r="B1105" s="33"/>
      <c r="H1105" s="6">
        <v>0</v>
      </c>
      <c r="I1105" s="6">
        <v>0</v>
      </c>
      <c r="J1105" s="6">
        <v>0</v>
      </c>
    </row>
    <row r="1106" spans="1:10" ht="13" x14ac:dyDescent="0.15">
      <c r="A1106" s="33"/>
      <c r="B1106" s="33"/>
      <c r="H1106" s="6">
        <v>0</v>
      </c>
      <c r="I1106" s="6">
        <v>0</v>
      </c>
      <c r="J1106" s="6">
        <v>0</v>
      </c>
    </row>
    <row r="1107" spans="1:10" ht="13" x14ac:dyDescent="0.15">
      <c r="A1107" s="33"/>
      <c r="B1107" s="33"/>
      <c r="H1107" s="6">
        <v>0</v>
      </c>
      <c r="I1107" s="6">
        <v>0</v>
      </c>
      <c r="J1107" s="6">
        <v>0</v>
      </c>
    </row>
    <row r="1108" spans="1:10" ht="13" x14ac:dyDescent="0.15">
      <c r="A1108" s="33"/>
      <c r="B1108" s="33"/>
      <c r="H1108" s="6">
        <v>0</v>
      </c>
      <c r="I1108" s="6">
        <v>0</v>
      </c>
      <c r="J1108" s="6">
        <v>0</v>
      </c>
    </row>
    <row r="1109" spans="1:10" ht="13" x14ac:dyDescent="0.15">
      <c r="A1109" s="33"/>
      <c r="B1109" s="33"/>
      <c r="H1109" s="6">
        <v>0</v>
      </c>
      <c r="I1109" s="6">
        <v>0</v>
      </c>
      <c r="J1109" s="6">
        <v>0</v>
      </c>
    </row>
    <row r="1110" spans="1:10" ht="13" x14ac:dyDescent="0.15">
      <c r="A1110" s="33"/>
      <c r="B1110" s="33"/>
      <c r="H1110" s="6">
        <v>0</v>
      </c>
      <c r="I1110" s="6">
        <v>0</v>
      </c>
      <c r="J1110" s="6">
        <v>0</v>
      </c>
    </row>
    <row r="1111" spans="1:10" ht="13" x14ac:dyDescent="0.15">
      <c r="A1111" s="33"/>
      <c r="B1111" s="33"/>
      <c r="H1111" s="6">
        <v>0</v>
      </c>
      <c r="I1111" s="6">
        <v>0</v>
      </c>
      <c r="J1111" s="6">
        <v>0</v>
      </c>
    </row>
    <row r="1112" spans="1:10" ht="13" x14ac:dyDescent="0.15">
      <c r="A1112" s="33"/>
      <c r="B1112" s="33"/>
      <c r="H1112" s="6">
        <v>0</v>
      </c>
      <c r="I1112" s="6">
        <v>0</v>
      </c>
      <c r="J1112" s="6">
        <v>0</v>
      </c>
    </row>
    <row r="1113" spans="1:10" ht="13" x14ac:dyDescent="0.15">
      <c r="A1113" s="33"/>
      <c r="B1113" s="33"/>
      <c r="H1113" s="6">
        <v>0</v>
      </c>
      <c r="I1113" s="6">
        <v>0</v>
      </c>
      <c r="J1113" s="6">
        <v>0</v>
      </c>
    </row>
    <row r="1114" spans="1:10" ht="13" x14ac:dyDescent="0.15">
      <c r="A1114" s="33"/>
      <c r="B1114" s="33"/>
      <c r="H1114" s="6">
        <v>0</v>
      </c>
      <c r="I1114" s="6">
        <v>0</v>
      </c>
      <c r="J1114" s="6">
        <v>0</v>
      </c>
    </row>
    <row r="1115" spans="1:10" ht="13" x14ac:dyDescent="0.15">
      <c r="A1115" s="33"/>
      <c r="B1115" s="33"/>
      <c r="H1115" s="6">
        <v>0</v>
      </c>
      <c r="I1115" s="6">
        <v>0</v>
      </c>
      <c r="J1115" s="6">
        <v>0</v>
      </c>
    </row>
    <row r="1116" spans="1:10" ht="13" x14ac:dyDescent="0.15">
      <c r="A1116" s="33"/>
      <c r="B1116" s="33"/>
      <c r="H1116" s="6">
        <v>0</v>
      </c>
      <c r="I1116" s="6">
        <v>0</v>
      </c>
      <c r="J1116" s="6">
        <v>0</v>
      </c>
    </row>
    <row r="1117" spans="1:10" ht="13" x14ac:dyDescent="0.15">
      <c r="A1117" s="33"/>
      <c r="B1117" s="33"/>
      <c r="H1117" s="6">
        <v>0</v>
      </c>
      <c r="I1117" s="6">
        <v>0</v>
      </c>
      <c r="J1117" s="6">
        <v>0</v>
      </c>
    </row>
    <row r="1118" spans="1:10" ht="13" x14ac:dyDescent="0.15">
      <c r="A1118" s="33"/>
      <c r="B1118" s="33"/>
      <c r="H1118" s="6">
        <v>0</v>
      </c>
      <c r="I1118" s="6">
        <v>0</v>
      </c>
      <c r="J1118" s="6">
        <v>0</v>
      </c>
    </row>
    <row r="1119" spans="1:10" ht="13" x14ac:dyDescent="0.15">
      <c r="A1119" s="33"/>
      <c r="B1119" s="33"/>
      <c r="H1119" s="6">
        <v>0</v>
      </c>
      <c r="I1119" s="6">
        <v>0</v>
      </c>
      <c r="J1119" s="6">
        <v>0</v>
      </c>
    </row>
    <row r="1120" spans="1:10" ht="13" x14ac:dyDescent="0.15">
      <c r="A1120" s="33"/>
      <c r="B1120" s="33"/>
      <c r="H1120" s="6">
        <v>0</v>
      </c>
      <c r="I1120" s="6">
        <v>0</v>
      </c>
      <c r="J1120" s="6">
        <v>0</v>
      </c>
    </row>
    <row r="1121" spans="1:10" ht="13" x14ac:dyDescent="0.15">
      <c r="A1121" s="33"/>
      <c r="B1121" s="33"/>
      <c r="H1121" s="6">
        <v>0</v>
      </c>
      <c r="I1121" s="6">
        <v>0</v>
      </c>
      <c r="J1121" s="6">
        <v>0</v>
      </c>
    </row>
    <row r="1122" spans="1:10" ht="13" x14ac:dyDescent="0.15">
      <c r="A1122" s="33"/>
      <c r="B1122" s="33"/>
      <c r="H1122" s="6">
        <v>0</v>
      </c>
      <c r="I1122" s="6">
        <v>0</v>
      </c>
      <c r="J1122" s="6">
        <v>0</v>
      </c>
    </row>
    <row r="1123" spans="1:10" ht="13" x14ac:dyDescent="0.15">
      <c r="A1123" s="33"/>
      <c r="B1123" s="33"/>
      <c r="H1123" s="6">
        <v>0</v>
      </c>
      <c r="I1123" s="6">
        <v>0</v>
      </c>
      <c r="J1123" s="6">
        <v>0</v>
      </c>
    </row>
    <row r="1124" spans="1:10" ht="13" x14ac:dyDescent="0.15">
      <c r="A1124" s="33"/>
      <c r="B1124" s="33"/>
      <c r="H1124" s="6">
        <v>0</v>
      </c>
      <c r="I1124" s="6">
        <v>0</v>
      </c>
      <c r="J1124" s="6">
        <v>0</v>
      </c>
    </row>
    <row r="1125" spans="1:10" ht="13" x14ac:dyDescent="0.15">
      <c r="A1125" s="33"/>
      <c r="B1125" s="33"/>
      <c r="H1125" s="6">
        <v>0</v>
      </c>
      <c r="I1125" s="6">
        <v>0</v>
      </c>
      <c r="J1125" s="6">
        <v>0</v>
      </c>
    </row>
    <row r="1126" spans="1:10" ht="13" x14ac:dyDescent="0.15">
      <c r="A1126" s="33"/>
      <c r="B1126" s="33"/>
      <c r="H1126" s="6">
        <v>0</v>
      </c>
      <c r="I1126" s="6">
        <v>0</v>
      </c>
      <c r="J1126" s="6">
        <v>0</v>
      </c>
    </row>
    <row r="1127" spans="1:10" ht="13" x14ac:dyDescent="0.15">
      <c r="A1127" s="33"/>
      <c r="B1127" s="33"/>
      <c r="H1127" s="6">
        <v>0</v>
      </c>
      <c r="I1127" s="6">
        <v>0</v>
      </c>
      <c r="J1127" s="6">
        <v>0</v>
      </c>
    </row>
    <row r="1128" spans="1:10" ht="13" x14ac:dyDescent="0.15">
      <c r="A1128" s="33"/>
      <c r="B1128" s="33"/>
      <c r="H1128" s="6">
        <v>0</v>
      </c>
      <c r="I1128" s="6">
        <v>0</v>
      </c>
      <c r="J1128" s="6">
        <v>0</v>
      </c>
    </row>
    <row r="1129" spans="1:10" ht="13" x14ac:dyDescent="0.15">
      <c r="A1129" s="33"/>
      <c r="B1129" s="33"/>
      <c r="H1129" s="6">
        <v>0</v>
      </c>
      <c r="I1129" s="6">
        <v>0</v>
      </c>
      <c r="J1129" s="6">
        <v>0</v>
      </c>
    </row>
    <row r="1130" spans="1:10" ht="13" x14ac:dyDescent="0.15">
      <c r="A1130" s="33"/>
      <c r="B1130" s="33"/>
      <c r="H1130" s="6">
        <v>0</v>
      </c>
      <c r="I1130" s="6">
        <v>0</v>
      </c>
      <c r="J1130" s="6">
        <v>0</v>
      </c>
    </row>
    <row r="1131" spans="1:10" ht="13" x14ac:dyDescent="0.15">
      <c r="A1131" s="33"/>
      <c r="B1131" s="33"/>
      <c r="H1131" s="6">
        <v>0</v>
      </c>
      <c r="I1131" s="6">
        <v>0</v>
      </c>
      <c r="J1131" s="6">
        <v>0</v>
      </c>
    </row>
    <row r="1132" spans="1:10" ht="13" x14ac:dyDescent="0.15">
      <c r="A1132" s="33"/>
      <c r="B1132" s="33"/>
      <c r="H1132" s="6">
        <v>0</v>
      </c>
      <c r="I1132" s="6">
        <v>0</v>
      </c>
      <c r="J1132" s="6">
        <v>0</v>
      </c>
    </row>
    <row r="1133" spans="1:10" ht="13" x14ac:dyDescent="0.15">
      <c r="A1133" s="33"/>
      <c r="B1133" s="33"/>
      <c r="H1133" s="6">
        <v>0</v>
      </c>
      <c r="I1133" s="6">
        <v>0</v>
      </c>
      <c r="J1133" s="6">
        <v>0</v>
      </c>
    </row>
    <row r="1134" spans="1:10" ht="13" x14ac:dyDescent="0.15">
      <c r="A1134" s="33"/>
      <c r="B1134" s="33"/>
      <c r="H1134" s="6">
        <v>0</v>
      </c>
      <c r="I1134" s="6">
        <v>0</v>
      </c>
      <c r="J1134" s="6">
        <v>0</v>
      </c>
    </row>
    <row r="1135" spans="1:10" ht="13" x14ac:dyDescent="0.15">
      <c r="A1135" s="33"/>
      <c r="B1135" s="33"/>
      <c r="H1135" s="6">
        <v>0</v>
      </c>
      <c r="I1135" s="6">
        <v>0</v>
      </c>
      <c r="J1135" s="6">
        <v>0</v>
      </c>
    </row>
    <row r="1136" spans="1:10" ht="13" x14ac:dyDescent="0.15">
      <c r="A1136" s="33"/>
      <c r="B1136" s="33"/>
      <c r="H1136" s="6">
        <v>0</v>
      </c>
      <c r="I1136" s="6">
        <v>0</v>
      </c>
      <c r="J1136" s="6">
        <v>0</v>
      </c>
    </row>
    <row r="1137" spans="1:10" ht="13" x14ac:dyDescent="0.15">
      <c r="A1137" s="33"/>
      <c r="B1137" s="33"/>
      <c r="H1137" s="6">
        <v>0</v>
      </c>
      <c r="I1137" s="6">
        <v>0</v>
      </c>
      <c r="J1137" s="6">
        <v>0</v>
      </c>
    </row>
    <row r="1138" spans="1:10" ht="13" x14ac:dyDescent="0.15">
      <c r="A1138" s="33"/>
      <c r="B1138" s="33"/>
      <c r="H1138" s="6">
        <v>0</v>
      </c>
      <c r="I1138" s="6">
        <v>0</v>
      </c>
      <c r="J1138" s="6">
        <v>0</v>
      </c>
    </row>
    <row r="1139" spans="1:10" ht="13" x14ac:dyDescent="0.15">
      <c r="A1139" s="33"/>
      <c r="B1139" s="33"/>
      <c r="H1139" s="6">
        <v>0</v>
      </c>
      <c r="I1139" s="6">
        <v>0</v>
      </c>
      <c r="J1139" s="6">
        <v>0</v>
      </c>
    </row>
    <row r="1140" spans="1:10" ht="13" x14ac:dyDescent="0.15">
      <c r="A1140" s="33"/>
      <c r="B1140" s="33"/>
      <c r="H1140" s="6">
        <v>0</v>
      </c>
      <c r="I1140" s="6">
        <v>0</v>
      </c>
      <c r="J1140" s="6">
        <v>0</v>
      </c>
    </row>
    <row r="1141" spans="1:10" ht="13" x14ac:dyDescent="0.15">
      <c r="A1141" s="33"/>
      <c r="B1141" s="33"/>
      <c r="H1141" s="6">
        <v>0</v>
      </c>
      <c r="I1141" s="6">
        <v>0</v>
      </c>
      <c r="J1141" s="6">
        <v>0</v>
      </c>
    </row>
    <row r="1142" spans="1:10" ht="13" x14ac:dyDescent="0.15">
      <c r="A1142" s="33"/>
      <c r="B1142" s="33"/>
      <c r="H1142" s="6">
        <v>0</v>
      </c>
      <c r="I1142" s="6">
        <v>0</v>
      </c>
      <c r="J1142" s="6">
        <v>0</v>
      </c>
    </row>
    <row r="1143" spans="1:10" ht="13" x14ac:dyDescent="0.15">
      <c r="A1143" s="33"/>
      <c r="B1143" s="33"/>
      <c r="H1143" s="6">
        <v>0</v>
      </c>
      <c r="I1143" s="6">
        <v>0</v>
      </c>
      <c r="J1143" s="6">
        <v>0</v>
      </c>
    </row>
    <row r="1144" spans="1:10" ht="13" x14ac:dyDescent="0.15">
      <c r="A1144" s="33"/>
      <c r="B1144" s="33"/>
      <c r="H1144" s="6">
        <v>0</v>
      </c>
      <c r="I1144" s="6">
        <v>0</v>
      </c>
      <c r="J1144" s="6">
        <v>0</v>
      </c>
    </row>
    <row r="1145" spans="1:10" ht="13" x14ac:dyDescent="0.15">
      <c r="A1145" s="33"/>
      <c r="B1145" s="33"/>
      <c r="H1145" s="6">
        <v>0</v>
      </c>
      <c r="I1145" s="6">
        <v>0</v>
      </c>
      <c r="J1145" s="6">
        <v>0</v>
      </c>
    </row>
    <row r="1146" spans="1:10" ht="13" x14ac:dyDescent="0.15">
      <c r="A1146" s="33"/>
      <c r="B1146" s="33"/>
      <c r="H1146" s="6">
        <v>0</v>
      </c>
      <c r="I1146" s="6">
        <v>0</v>
      </c>
      <c r="J1146" s="6">
        <v>0</v>
      </c>
    </row>
    <row r="1147" spans="1:10" ht="13" x14ac:dyDescent="0.15">
      <c r="A1147" s="33"/>
      <c r="B1147" s="33"/>
      <c r="H1147" s="6">
        <v>0</v>
      </c>
      <c r="I1147" s="6">
        <v>0</v>
      </c>
      <c r="J1147" s="6">
        <v>0</v>
      </c>
    </row>
    <row r="1148" spans="1:10" ht="13" x14ac:dyDescent="0.15">
      <c r="A1148" s="33"/>
      <c r="B1148" s="33"/>
      <c r="H1148" s="6">
        <v>0</v>
      </c>
      <c r="I1148" s="6">
        <v>0</v>
      </c>
      <c r="J1148" s="6">
        <v>0</v>
      </c>
    </row>
    <row r="1149" spans="1:10" ht="13" x14ac:dyDescent="0.15">
      <c r="A1149" s="33"/>
      <c r="B1149" s="33"/>
      <c r="H1149" s="6">
        <v>0</v>
      </c>
      <c r="I1149" s="6">
        <v>0</v>
      </c>
      <c r="J1149" s="6">
        <v>0</v>
      </c>
    </row>
    <row r="1150" spans="1:10" ht="13" x14ac:dyDescent="0.15">
      <c r="A1150" s="33"/>
      <c r="B1150" s="33"/>
      <c r="H1150" s="6">
        <v>0</v>
      </c>
      <c r="I1150" s="6">
        <v>0</v>
      </c>
      <c r="J1150" s="6">
        <v>0</v>
      </c>
    </row>
    <row r="1151" spans="1:10" ht="13" x14ac:dyDescent="0.15">
      <c r="A1151" s="33"/>
      <c r="B1151" s="33"/>
      <c r="H1151" s="6">
        <v>0</v>
      </c>
      <c r="I1151" s="6">
        <v>0</v>
      </c>
      <c r="J1151" s="6">
        <v>0</v>
      </c>
    </row>
    <row r="1152" spans="1:10" ht="13" x14ac:dyDescent="0.15">
      <c r="A1152" s="33"/>
      <c r="B1152" s="33"/>
      <c r="H1152" s="6">
        <v>0</v>
      </c>
      <c r="I1152" s="6">
        <v>0</v>
      </c>
      <c r="J1152" s="6">
        <v>0</v>
      </c>
    </row>
    <row r="1153" spans="1:10" ht="13" x14ac:dyDescent="0.15">
      <c r="A1153" s="33"/>
      <c r="B1153" s="33"/>
      <c r="H1153" s="6">
        <v>0</v>
      </c>
      <c r="I1153" s="6">
        <v>0</v>
      </c>
      <c r="J1153" s="6">
        <v>0</v>
      </c>
    </row>
    <row r="1154" spans="1:10" ht="13" x14ac:dyDescent="0.15">
      <c r="A1154" s="33"/>
      <c r="B1154" s="33"/>
      <c r="H1154" s="6">
        <v>0</v>
      </c>
      <c r="I1154" s="6">
        <v>0</v>
      </c>
      <c r="J1154" s="6">
        <v>0</v>
      </c>
    </row>
    <row r="1155" spans="1:10" ht="13" x14ac:dyDescent="0.15">
      <c r="A1155" s="33"/>
      <c r="B1155" s="33"/>
      <c r="H1155" s="6">
        <v>0</v>
      </c>
      <c r="I1155" s="6">
        <v>0</v>
      </c>
      <c r="J1155" s="6">
        <v>0</v>
      </c>
    </row>
    <row r="1156" spans="1:10" ht="13" x14ac:dyDescent="0.15">
      <c r="A1156" s="33"/>
      <c r="B1156" s="33"/>
      <c r="H1156" s="6">
        <v>0</v>
      </c>
      <c r="I1156" s="6">
        <v>0</v>
      </c>
      <c r="J1156" s="6">
        <v>0</v>
      </c>
    </row>
    <row r="1157" spans="1:10" ht="13" x14ac:dyDescent="0.15">
      <c r="A1157" s="33"/>
      <c r="B1157" s="33"/>
      <c r="H1157" s="6">
        <v>0</v>
      </c>
      <c r="I1157" s="6">
        <v>0</v>
      </c>
      <c r="J1157" s="6">
        <v>0</v>
      </c>
    </row>
    <row r="1158" spans="1:10" ht="13" x14ac:dyDescent="0.15">
      <c r="A1158" s="33"/>
      <c r="B1158" s="33"/>
      <c r="H1158" s="6">
        <v>0</v>
      </c>
      <c r="I1158" s="6">
        <v>0</v>
      </c>
      <c r="J1158" s="6">
        <v>0</v>
      </c>
    </row>
    <row r="1159" spans="1:10" ht="13" x14ac:dyDescent="0.15">
      <c r="A1159" s="33"/>
      <c r="B1159" s="33"/>
      <c r="H1159" s="6">
        <v>0</v>
      </c>
      <c r="I1159" s="6">
        <v>0</v>
      </c>
      <c r="J1159" s="6">
        <v>0</v>
      </c>
    </row>
    <row r="1160" spans="1:10" ht="13" x14ac:dyDescent="0.15">
      <c r="A1160" s="33"/>
      <c r="B1160" s="33"/>
      <c r="H1160" s="6">
        <v>0</v>
      </c>
      <c r="I1160" s="6">
        <v>0</v>
      </c>
      <c r="J1160" s="6">
        <v>0</v>
      </c>
    </row>
    <row r="1161" spans="1:10" ht="13" x14ac:dyDescent="0.15">
      <c r="A1161" s="33"/>
      <c r="B1161" s="33"/>
      <c r="H1161" s="6">
        <v>0</v>
      </c>
      <c r="I1161" s="6">
        <v>0</v>
      </c>
      <c r="J1161" s="6">
        <v>0</v>
      </c>
    </row>
    <row r="1162" spans="1:10" ht="13" x14ac:dyDescent="0.15">
      <c r="A1162" s="33"/>
      <c r="B1162" s="33"/>
      <c r="H1162" s="6">
        <v>0</v>
      </c>
      <c r="I1162" s="6">
        <v>0</v>
      </c>
      <c r="J1162" s="6">
        <v>0</v>
      </c>
    </row>
    <row r="1163" spans="1:10" ht="13" x14ac:dyDescent="0.15">
      <c r="A1163" s="33"/>
      <c r="B1163" s="33"/>
      <c r="H1163" s="6">
        <v>0</v>
      </c>
      <c r="I1163" s="6">
        <v>0</v>
      </c>
      <c r="J1163" s="6">
        <v>0</v>
      </c>
    </row>
    <row r="1164" spans="1:10" ht="13" x14ac:dyDescent="0.15">
      <c r="A1164" s="33"/>
      <c r="B1164" s="33"/>
      <c r="H1164" s="6">
        <v>0</v>
      </c>
      <c r="I1164" s="6">
        <v>0</v>
      </c>
      <c r="J1164" s="6">
        <v>0</v>
      </c>
    </row>
    <row r="1165" spans="1:10" ht="13" x14ac:dyDescent="0.15">
      <c r="A1165" s="33"/>
      <c r="B1165" s="33"/>
      <c r="H1165" s="6">
        <v>0</v>
      </c>
      <c r="I1165" s="6">
        <v>0</v>
      </c>
      <c r="J1165" s="6">
        <v>0</v>
      </c>
    </row>
    <row r="1166" spans="1:10" ht="13" x14ac:dyDescent="0.15">
      <c r="A1166" s="33"/>
      <c r="B1166" s="33"/>
      <c r="H1166" s="6">
        <v>0</v>
      </c>
      <c r="I1166" s="6">
        <v>0</v>
      </c>
      <c r="J1166" s="6">
        <v>0</v>
      </c>
    </row>
    <row r="1167" spans="1:10" ht="13" x14ac:dyDescent="0.15">
      <c r="A1167" s="33"/>
      <c r="B1167" s="33"/>
      <c r="H1167" s="6">
        <v>0</v>
      </c>
      <c r="I1167" s="6">
        <v>0</v>
      </c>
      <c r="J1167" s="6">
        <v>0</v>
      </c>
    </row>
    <row r="1168" spans="1:10" ht="13" x14ac:dyDescent="0.15">
      <c r="A1168" s="33"/>
      <c r="B1168" s="33"/>
      <c r="H1168" s="6">
        <v>0</v>
      </c>
      <c r="I1168" s="6">
        <v>0</v>
      </c>
      <c r="J1168" s="6">
        <v>0</v>
      </c>
    </row>
    <row r="1169" spans="1:10" ht="13" x14ac:dyDescent="0.15">
      <c r="A1169" s="33"/>
      <c r="B1169" s="33"/>
      <c r="H1169" s="6">
        <v>0</v>
      </c>
      <c r="I1169" s="6">
        <v>0</v>
      </c>
      <c r="J1169" s="6">
        <v>0</v>
      </c>
    </row>
    <row r="1170" spans="1:10" ht="13" x14ac:dyDescent="0.15">
      <c r="A1170" s="33"/>
      <c r="B1170" s="33"/>
      <c r="H1170" s="6">
        <v>0</v>
      </c>
      <c r="I1170" s="6">
        <v>0</v>
      </c>
      <c r="J1170" s="6">
        <v>0</v>
      </c>
    </row>
    <row r="1171" spans="1:10" ht="13" x14ac:dyDescent="0.15">
      <c r="A1171" s="33"/>
      <c r="B1171" s="33"/>
      <c r="H1171" s="6">
        <v>0</v>
      </c>
      <c r="I1171" s="6">
        <v>0</v>
      </c>
      <c r="J1171" s="6">
        <v>0</v>
      </c>
    </row>
    <row r="1172" spans="1:10" ht="13" x14ac:dyDescent="0.15">
      <c r="A1172" s="33"/>
      <c r="B1172" s="33"/>
      <c r="H1172" s="6">
        <v>0</v>
      </c>
      <c r="I1172" s="6">
        <v>0</v>
      </c>
      <c r="J1172" s="6">
        <v>0</v>
      </c>
    </row>
    <row r="1173" spans="1:10" ht="13" x14ac:dyDescent="0.15">
      <c r="A1173" s="33"/>
      <c r="B1173" s="33"/>
      <c r="H1173" s="6">
        <v>0</v>
      </c>
      <c r="I1173" s="6">
        <v>0</v>
      </c>
      <c r="J1173" s="6">
        <v>0</v>
      </c>
    </row>
    <row r="1174" spans="1:10" ht="13" x14ac:dyDescent="0.15">
      <c r="A1174" s="33"/>
      <c r="B1174" s="33"/>
      <c r="H1174" s="6">
        <v>0</v>
      </c>
      <c r="I1174" s="6">
        <v>0</v>
      </c>
      <c r="J1174" s="6">
        <v>0</v>
      </c>
    </row>
    <row r="1175" spans="1:10" ht="13" x14ac:dyDescent="0.15">
      <c r="A1175" s="33"/>
      <c r="B1175" s="33"/>
      <c r="H1175" s="6">
        <v>0</v>
      </c>
      <c r="I1175" s="6">
        <v>0</v>
      </c>
      <c r="J1175" s="6">
        <v>0</v>
      </c>
    </row>
    <row r="1176" spans="1:10" ht="13" x14ac:dyDescent="0.15">
      <c r="A1176" s="33"/>
      <c r="B1176" s="33"/>
      <c r="H1176" s="6">
        <v>0</v>
      </c>
      <c r="I1176" s="6">
        <v>0</v>
      </c>
      <c r="J1176" s="6">
        <v>0</v>
      </c>
    </row>
    <row r="1177" spans="1:10" ht="13" x14ac:dyDescent="0.15">
      <c r="A1177" s="33"/>
      <c r="B1177" s="33"/>
      <c r="H1177" s="6">
        <v>0</v>
      </c>
      <c r="I1177" s="6">
        <v>0</v>
      </c>
      <c r="J1177" s="6">
        <v>0</v>
      </c>
    </row>
    <row r="1178" spans="1:10" ht="13" x14ac:dyDescent="0.15">
      <c r="A1178" s="33"/>
      <c r="B1178" s="33"/>
      <c r="H1178" s="6">
        <v>0</v>
      </c>
      <c r="I1178" s="6">
        <v>0</v>
      </c>
      <c r="J1178" s="6">
        <v>0</v>
      </c>
    </row>
    <row r="1179" spans="1:10" ht="13" x14ac:dyDescent="0.15">
      <c r="A1179" s="33"/>
      <c r="B1179" s="33"/>
      <c r="H1179" s="6">
        <v>0</v>
      </c>
      <c r="I1179" s="6">
        <v>0</v>
      </c>
      <c r="J1179" s="6">
        <v>0</v>
      </c>
    </row>
    <row r="1180" spans="1:10" ht="13" x14ac:dyDescent="0.15">
      <c r="A1180" s="33"/>
      <c r="B1180" s="33"/>
      <c r="H1180" s="6">
        <v>0</v>
      </c>
      <c r="I1180" s="6">
        <v>0</v>
      </c>
      <c r="J1180" s="6">
        <v>0</v>
      </c>
    </row>
    <row r="1181" spans="1:10" ht="13" x14ac:dyDescent="0.15">
      <c r="A1181" s="33"/>
      <c r="B1181" s="33"/>
      <c r="H1181" s="6">
        <v>0</v>
      </c>
      <c r="I1181" s="6">
        <v>0</v>
      </c>
      <c r="J1181" s="6">
        <v>0</v>
      </c>
    </row>
    <row r="1182" spans="1:10" ht="13" x14ac:dyDescent="0.15">
      <c r="A1182" s="33"/>
      <c r="B1182" s="33"/>
      <c r="H1182" s="6">
        <v>0</v>
      </c>
      <c r="I1182" s="6">
        <v>0</v>
      </c>
      <c r="J1182" s="6">
        <v>0</v>
      </c>
    </row>
    <row r="1183" spans="1:10" ht="13" x14ac:dyDescent="0.15">
      <c r="A1183" s="33"/>
      <c r="B1183" s="33"/>
      <c r="H1183" s="6">
        <v>0</v>
      </c>
      <c r="I1183" s="6">
        <v>0</v>
      </c>
      <c r="J1183" s="6">
        <v>0</v>
      </c>
    </row>
    <row r="1184" spans="1:10" ht="13" x14ac:dyDescent="0.15">
      <c r="A1184" s="33"/>
      <c r="B1184" s="33"/>
      <c r="H1184" s="6">
        <v>0</v>
      </c>
      <c r="I1184" s="6">
        <v>0</v>
      </c>
      <c r="J1184" s="6">
        <v>0</v>
      </c>
    </row>
    <row r="1185" spans="1:10" ht="13" x14ac:dyDescent="0.15">
      <c r="A1185" s="33"/>
      <c r="B1185" s="33"/>
      <c r="H1185" s="6">
        <v>0</v>
      </c>
      <c r="I1185" s="6">
        <v>0</v>
      </c>
      <c r="J1185" s="6">
        <v>0</v>
      </c>
    </row>
    <row r="1186" spans="1:10" ht="13" x14ac:dyDescent="0.15">
      <c r="A1186" s="33"/>
      <c r="B1186" s="33"/>
      <c r="H1186" s="6">
        <v>0</v>
      </c>
      <c r="I1186" s="6">
        <v>0</v>
      </c>
      <c r="J1186" s="6">
        <v>0</v>
      </c>
    </row>
    <row r="1187" spans="1:10" ht="13" x14ac:dyDescent="0.15">
      <c r="A1187" s="33"/>
      <c r="B1187" s="33"/>
      <c r="H1187" s="6">
        <v>0</v>
      </c>
      <c r="I1187" s="6">
        <v>0</v>
      </c>
      <c r="J1187" s="6">
        <v>0</v>
      </c>
    </row>
    <row r="1188" spans="1:10" ht="13" x14ac:dyDescent="0.15">
      <c r="A1188" s="33"/>
      <c r="B1188" s="33"/>
      <c r="H1188" s="6">
        <v>0</v>
      </c>
      <c r="I1188" s="6">
        <v>0</v>
      </c>
      <c r="J1188" s="6">
        <v>0</v>
      </c>
    </row>
    <row r="1189" spans="1:10" ht="13" x14ac:dyDescent="0.15">
      <c r="A1189" s="33"/>
      <c r="B1189" s="33"/>
      <c r="H1189" s="6">
        <v>0</v>
      </c>
      <c r="I1189" s="6">
        <v>0</v>
      </c>
      <c r="J1189" s="6">
        <v>0</v>
      </c>
    </row>
    <row r="1190" spans="1:10" ht="13" x14ac:dyDescent="0.15">
      <c r="A1190" s="33"/>
      <c r="B1190" s="33"/>
      <c r="H1190" s="6">
        <v>0</v>
      </c>
      <c r="I1190" s="6">
        <v>0</v>
      </c>
      <c r="J1190" s="6">
        <v>0</v>
      </c>
    </row>
    <row r="1191" spans="1:10" ht="13" x14ac:dyDescent="0.15">
      <c r="A1191" s="33"/>
      <c r="B1191" s="33"/>
      <c r="H1191" s="6">
        <v>0</v>
      </c>
      <c r="I1191" s="6">
        <v>0</v>
      </c>
      <c r="J1191" s="6">
        <v>0</v>
      </c>
    </row>
    <row r="1192" spans="1:10" ht="13" x14ac:dyDescent="0.15">
      <c r="A1192" s="33"/>
      <c r="B1192" s="33"/>
      <c r="H1192" s="6">
        <v>0</v>
      </c>
      <c r="I1192" s="6">
        <v>0</v>
      </c>
      <c r="J1192" s="6">
        <v>0</v>
      </c>
    </row>
    <row r="1193" spans="1:10" ht="13" x14ac:dyDescent="0.15">
      <c r="A1193" s="33"/>
      <c r="B1193" s="33"/>
      <c r="H1193" s="6">
        <v>0</v>
      </c>
      <c r="I1193" s="6">
        <v>0</v>
      </c>
      <c r="J1193" s="6">
        <v>0</v>
      </c>
    </row>
    <row r="1194" spans="1:10" ht="13" x14ac:dyDescent="0.15">
      <c r="A1194" s="33"/>
      <c r="B1194" s="33"/>
      <c r="H1194" s="6">
        <v>0</v>
      </c>
      <c r="I1194" s="6">
        <v>0</v>
      </c>
      <c r="J1194" s="6">
        <v>0</v>
      </c>
    </row>
    <row r="1195" spans="1:10" ht="13" x14ac:dyDescent="0.15">
      <c r="A1195" s="33"/>
      <c r="B1195" s="33"/>
      <c r="H1195" s="6">
        <v>0</v>
      </c>
      <c r="I1195" s="6">
        <v>0</v>
      </c>
      <c r="J1195" s="6">
        <v>0</v>
      </c>
    </row>
    <row r="1196" spans="1:10" ht="13" x14ac:dyDescent="0.15">
      <c r="A1196" s="33"/>
      <c r="B1196" s="33"/>
      <c r="H1196" s="6">
        <v>0</v>
      </c>
      <c r="I1196" s="6">
        <v>0</v>
      </c>
      <c r="J1196" s="6">
        <v>0</v>
      </c>
    </row>
    <row r="1197" spans="1:10" ht="13" x14ac:dyDescent="0.15">
      <c r="A1197" s="33"/>
      <c r="B1197" s="33"/>
      <c r="H1197" s="6">
        <v>0</v>
      </c>
      <c r="I1197" s="6">
        <v>0</v>
      </c>
      <c r="J1197" s="6">
        <v>0</v>
      </c>
    </row>
    <row r="1198" spans="1:10" ht="13" x14ac:dyDescent="0.15">
      <c r="A1198" s="33"/>
      <c r="B1198" s="33"/>
      <c r="H1198" s="6">
        <v>0</v>
      </c>
      <c r="I1198" s="6">
        <v>0</v>
      </c>
      <c r="J1198" s="6">
        <v>0</v>
      </c>
    </row>
    <row r="1199" spans="1:10" ht="13" x14ac:dyDescent="0.15">
      <c r="A1199" s="33"/>
      <c r="B1199" s="33"/>
      <c r="H1199" s="6">
        <v>0</v>
      </c>
      <c r="I1199" s="6">
        <v>0</v>
      </c>
      <c r="J1199" s="6">
        <v>0</v>
      </c>
    </row>
    <row r="1200" spans="1:10" ht="13" x14ac:dyDescent="0.15">
      <c r="A1200" s="33"/>
      <c r="B1200" s="33"/>
      <c r="H1200" s="6">
        <v>0</v>
      </c>
      <c r="I1200" s="6">
        <v>0</v>
      </c>
      <c r="J1200" s="6">
        <v>0</v>
      </c>
    </row>
    <row r="1201" spans="1:10" ht="13" x14ac:dyDescent="0.15">
      <c r="A1201" s="33"/>
      <c r="B1201" s="33"/>
      <c r="H1201" s="6">
        <v>0</v>
      </c>
      <c r="I1201" s="6">
        <v>0</v>
      </c>
      <c r="J1201" s="6">
        <v>0</v>
      </c>
    </row>
    <row r="1202" spans="1:10" ht="13" x14ac:dyDescent="0.15">
      <c r="A1202" s="33"/>
      <c r="B1202" s="33"/>
      <c r="H1202" s="6">
        <v>0</v>
      </c>
      <c r="I1202" s="6">
        <v>0</v>
      </c>
      <c r="J1202" s="6">
        <v>0</v>
      </c>
    </row>
    <row r="1203" spans="1:10" ht="13" x14ac:dyDescent="0.15">
      <c r="A1203" s="33"/>
      <c r="B1203" s="33"/>
      <c r="H1203" s="6">
        <v>0</v>
      </c>
      <c r="I1203" s="6">
        <v>0</v>
      </c>
      <c r="J1203" s="6">
        <v>0</v>
      </c>
    </row>
    <row r="1204" spans="1:10" ht="13" x14ac:dyDescent="0.15">
      <c r="A1204" s="33"/>
      <c r="B1204" s="33"/>
      <c r="H1204" s="6">
        <v>0</v>
      </c>
      <c r="I1204" s="6">
        <v>0</v>
      </c>
      <c r="J1204" s="6">
        <v>0</v>
      </c>
    </row>
    <row r="1205" spans="1:10" ht="13" x14ac:dyDescent="0.15">
      <c r="A1205" s="33"/>
      <c r="B1205" s="33"/>
      <c r="H1205" s="6">
        <v>0</v>
      </c>
      <c r="I1205" s="6">
        <v>0</v>
      </c>
      <c r="J1205" s="6">
        <v>0</v>
      </c>
    </row>
    <row r="1206" spans="1:10" ht="13" x14ac:dyDescent="0.15">
      <c r="A1206" s="33"/>
      <c r="B1206" s="33"/>
      <c r="H1206" s="6">
        <v>0</v>
      </c>
      <c r="I1206" s="6">
        <v>0</v>
      </c>
      <c r="J1206" s="6">
        <v>0</v>
      </c>
    </row>
    <row r="1207" spans="1:10" ht="13" x14ac:dyDescent="0.15">
      <c r="A1207" s="33"/>
      <c r="B1207" s="33"/>
      <c r="H1207" s="6">
        <v>0</v>
      </c>
      <c r="I1207" s="6">
        <v>0</v>
      </c>
      <c r="J1207" s="6">
        <v>0</v>
      </c>
    </row>
    <row r="1208" spans="1:10" ht="13" x14ac:dyDescent="0.15">
      <c r="A1208" s="33"/>
      <c r="B1208" s="33"/>
      <c r="H1208" s="6">
        <v>0</v>
      </c>
      <c r="I1208" s="6">
        <v>0</v>
      </c>
      <c r="J1208" s="6">
        <v>0</v>
      </c>
    </row>
    <row r="1209" spans="1:10" ht="13" x14ac:dyDescent="0.15">
      <c r="A1209" s="33"/>
      <c r="B1209" s="33"/>
      <c r="H1209" s="6">
        <v>0</v>
      </c>
      <c r="I1209" s="6">
        <v>0</v>
      </c>
      <c r="J1209" s="6">
        <v>0</v>
      </c>
    </row>
    <row r="1210" spans="1:10" ht="13" x14ac:dyDescent="0.15">
      <c r="A1210" s="33"/>
      <c r="B1210" s="33"/>
      <c r="H1210" s="6">
        <v>0</v>
      </c>
      <c r="I1210" s="6">
        <v>0</v>
      </c>
      <c r="J1210" s="6">
        <v>0</v>
      </c>
    </row>
    <row r="1211" spans="1:10" ht="13" x14ac:dyDescent="0.15">
      <c r="A1211" s="33"/>
      <c r="B1211" s="33"/>
      <c r="H1211" s="6">
        <v>0</v>
      </c>
      <c r="I1211" s="6">
        <v>0</v>
      </c>
      <c r="J1211" s="6">
        <v>0</v>
      </c>
    </row>
    <row r="1212" spans="1:10" ht="13" x14ac:dyDescent="0.15">
      <c r="A1212" s="33"/>
      <c r="B1212" s="33"/>
      <c r="H1212" s="6">
        <v>0</v>
      </c>
      <c r="I1212" s="6">
        <v>0</v>
      </c>
      <c r="J1212" s="6">
        <v>0</v>
      </c>
    </row>
    <row r="1213" spans="1:10" ht="13" x14ac:dyDescent="0.15">
      <c r="A1213" s="33"/>
      <c r="B1213" s="33"/>
      <c r="H1213" s="6">
        <v>0</v>
      </c>
      <c r="I1213" s="6">
        <v>0</v>
      </c>
      <c r="J1213" s="6">
        <v>0</v>
      </c>
    </row>
    <row r="1214" spans="1:10" ht="13" x14ac:dyDescent="0.15">
      <c r="A1214" s="33"/>
      <c r="B1214" s="33"/>
      <c r="H1214" s="6">
        <v>0</v>
      </c>
      <c r="I1214" s="6">
        <v>0</v>
      </c>
      <c r="J1214" s="6">
        <v>0</v>
      </c>
    </row>
    <row r="1215" spans="1:10" ht="13" x14ac:dyDescent="0.15">
      <c r="A1215" s="33"/>
      <c r="B1215" s="33"/>
      <c r="H1215" s="6">
        <v>0</v>
      </c>
      <c r="I1215" s="6">
        <v>0</v>
      </c>
      <c r="J1215" s="6">
        <v>0</v>
      </c>
    </row>
    <row r="1216" spans="1:10" ht="13" x14ac:dyDescent="0.15">
      <c r="A1216" s="33"/>
      <c r="B1216" s="33"/>
      <c r="H1216" s="6">
        <v>0</v>
      </c>
      <c r="I1216" s="6">
        <v>0</v>
      </c>
      <c r="J1216" s="6">
        <v>0</v>
      </c>
    </row>
    <row r="1217" spans="1:10" ht="13" x14ac:dyDescent="0.15">
      <c r="A1217" s="33"/>
      <c r="B1217" s="33"/>
      <c r="H1217" s="6">
        <v>0</v>
      </c>
      <c r="I1217" s="6">
        <v>0</v>
      </c>
      <c r="J1217" s="6">
        <v>0</v>
      </c>
    </row>
    <row r="1218" spans="1:10" ht="13" x14ac:dyDescent="0.15">
      <c r="A1218" s="33"/>
      <c r="B1218" s="33"/>
      <c r="H1218" s="6">
        <v>0</v>
      </c>
      <c r="I1218" s="6">
        <v>0</v>
      </c>
      <c r="J1218" s="6">
        <v>0</v>
      </c>
    </row>
    <row r="1219" spans="1:10" ht="13" x14ac:dyDescent="0.15">
      <c r="A1219" s="33"/>
      <c r="B1219" s="33"/>
      <c r="H1219" s="6">
        <v>0</v>
      </c>
      <c r="I1219" s="6">
        <v>0</v>
      </c>
      <c r="J1219" s="6">
        <v>0</v>
      </c>
    </row>
    <row r="1220" spans="1:10" ht="13" x14ac:dyDescent="0.15">
      <c r="A1220" s="33"/>
      <c r="B1220" s="33"/>
      <c r="H1220" s="6">
        <v>0</v>
      </c>
      <c r="I1220" s="6">
        <v>0</v>
      </c>
      <c r="J1220" s="6">
        <v>0</v>
      </c>
    </row>
    <row r="1221" spans="1:10" ht="13" x14ac:dyDescent="0.15">
      <c r="A1221" s="33"/>
      <c r="B1221" s="33"/>
      <c r="H1221" s="6">
        <v>0</v>
      </c>
      <c r="I1221" s="6">
        <v>0</v>
      </c>
      <c r="J1221" s="6">
        <v>0</v>
      </c>
    </row>
    <row r="1222" spans="1:10" ht="13" x14ac:dyDescent="0.15">
      <c r="A1222" s="33"/>
      <c r="B1222" s="33"/>
      <c r="H1222" s="6">
        <v>0</v>
      </c>
      <c r="I1222" s="6">
        <v>0</v>
      </c>
      <c r="J1222" s="6">
        <v>0</v>
      </c>
    </row>
    <row r="1223" spans="1:10" ht="13" x14ac:dyDescent="0.15">
      <c r="A1223" s="33"/>
      <c r="B1223" s="33"/>
      <c r="H1223" s="6">
        <v>0</v>
      </c>
      <c r="I1223" s="6">
        <v>0</v>
      </c>
      <c r="J1223" s="6">
        <v>0</v>
      </c>
    </row>
    <row r="1224" spans="1:10" ht="13" x14ac:dyDescent="0.15">
      <c r="A1224" s="33"/>
      <c r="B1224" s="33"/>
      <c r="H1224" s="6">
        <v>0</v>
      </c>
      <c r="I1224" s="6">
        <v>0</v>
      </c>
      <c r="J1224" s="6">
        <v>0</v>
      </c>
    </row>
    <row r="1225" spans="1:10" ht="13" x14ac:dyDescent="0.15">
      <c r="A1225" s="33"/>
      <c r="B1225" s="33"/>
      <c r="H1225" s="6">
        <v>0</v>
      </c>
      <c r="I1225" s="6">
        <v>0</v>
      </c>
      <c r="J1225" s="6">
        <v>0</v>
      </c>
    </row>
    <row r="1226" spans="1:10" ht="13" x14ac:dyDescent="0.15">
      <c r="A1226" s="33"/>
      <c r="B1226" s="33"/>
      <c r="H1226" s="6">
        <v>0</v>
      </c>
      <c r="I1226" s="6">
        <v>0</v>
      </c>
      <c r="J1226" s="6">
        <v>0</v>
      </c>
    </row>
    <row r="1227" spans="1:10" ht="13" x14ac:dyDescent="0.15">
      <c r="A1227" s="33"/>
      <c r="B1227" s="33"/>
      <c r="H1227" s="6">
        <v>0</v>
      </c>
      <c r="I1227" s="6">
        <v>0</v>
      </c>
      <c r="J1227" s="6">
        <v>0</v>
      </c>
    </row>
    <row r="1228" spans="1:10" ht="13" x14ac:dyDescent="0.15">
      <c r="A1228" s="33"/>
      <c r="B1228" s="33"/>
      <c r="H1228" s="6">
        <v>0</v>
      </c>
      <c r="I1228" s="6">
        <v>0</v>
      </c>
      <c r="J1228" s="6">
        <v>0</v>
      </c>
    </row>
    <row r="1229" spans="1:10" ht="13" x14ac:dyDescent="0.15">
      <c r="A1229" s="33"/>
      <c r="B1229" s="33"/>
      <c r="H1229" s="6">
        <v>0</v>
      </c>
      <c r="I1229" s="6">
        <v>0</v>
      </c>
      <c r="J1229" s="6">
        <v>0</v>
      </c>
    </row>
    <row r="1230" spans="1:10" ht="13" x14ac:dyDescent="0.15">
      <c r="A1230" s="33"/>
      <c r="B1230" s="33"/>
      <c r="H1230" s="6">
        <v>0</v>
      </c>
      <c r="I1230" s="6">
        <v>0</v>
      </c>
      <c r="J1230" s="6">
        <v>0</v>
      </c>
    </row>
    <row r="1231" spans="1:10" ht="13" x14ac:dyDescent="0.15">
      <c r="A1231" s="33"/>
      <c r="B1231" s="33"/>
      <c r="H1231" s="6">
        <v>0</v>
      </c>
      <c r="I1231" s="6">
        <v>0</v>
      </c>
      <c r="J1231" s="6">
        <v>0</v>
      </c>
    </row>
    <row r="1232" spans="1:10" ht="13" x14ac:dyDescent="0.15">
      <c r="A1232" s="33"/>
      <c r="B1232" s="33"/>
      <c r="H1232" s="6">
        <v>0</v>
      </c>
      <c r="I1232" s="6">
        <v>0</v>
      </c>
      <c r="J1232" s="6">
        <v>0</v>
      </c>
    </row>
    <row r="1233" spans="1:10" ht="13" x14ac:dyDescent="0.15">
      <c r="A1233" s="33"/>
      <c r="B1233" s="33"/>
      <c r="H1233" s="6">
        <v>0</v>
      </c>
      <c r="I1233" s="6">
        <v>0</v>
      </c>
      <c r="J1233" s="6">
        <v>0</v>
      </c>
    </row>
    <row r="1234" spans="1:10" ht="13" x14ac:dyDescent="0.15">
      <c r="A1234" s="33"/>
      <c r="B1234" s="33"/>
      <c r="H1234" s="6">
        <v>0</v>
      </c>
      <c r="I1234" s="6">
        <v>0</v>
      </c>
      <c r="J1234" s="6">
        <v>0</v>
      </c>
    </row>
    <row r="1235" spans="1:10" ht="13" x14ac:dyDescent="0.15">
      <c r="A1235" s="33"/>
      <c r="B1235" s="33"/>
      <c r="H1235" s="6">
        <v>0</v>
      </c>
      <c r="I1235" s="6">
        <v>0</v>
      </c>
      <c r="J1235" s="6">
        <v>0</v>
      </c>
    </row>
    <row r="1236" spans="1:10" ht="13" x14ac:dyDescent="0.15">
      <c r="A1236" s="33"/>
      <c r="B1236" s="33"/>
      <c r="H1236" s="6">
        <v>0</v>
      </c>
      <c r="I1236" s="6">
        <v>0</v>
      </c>
      <c r="J1236" s="6">
        <v>0</v>
      </c>
    </row>
    <row r="1237" spans="1:10" ht="13" x14ac:dyDescent="0.15">
      <c r="A1237" s="33"/>
      <c r="B1237" s="33"/>
      <c r="H1237" s="6">
        <v>0</v>
      </c>
      <c r="I1237" s="6">
        <v>0</v>
      </c>
      <c r="J1237" s="6">
        <v>0</v>
      </c>
    </row>
    <row r="1238" spans="1:10" ht="13" x14ac:dyDescent="0.15">
      <c r="A1238" s="33"/>
      <c r="B1238" s="33"/>
      <c r="H1238" s="6">
        <v>0</v>
      </c>
      <c r="I1238" s="6">
        <v>0</v>
      </c>
      <c r="J1238" s="6">
        <v>0</v>
      </c>
    </row>
    <row r="1239" spans="1:10" ht="13" x14ac:dyDescent="0.15">
      <c r="A1239" s="33"/>
      <c r="B1239" s="33"/>
      <c r="H1239" s="6">
        <v>0</v>
      </c>
      <c r="I1239" s="6">
        <v>0</v>
      </c>
      <c r="J1239" s="6">
        <v>0</v>
      </c>
    </row>
    <row r="1240" spans="1:10" ht="13" x14ac:dyDescent="0.15">
      <c r="A1240" s="33"/>
      <c r="B1240" s="33"/>
      <c r="H1240" s="6">
        <v>0</v>
      </c>
      <c r="I1240" s="6">
        <v>0</v>
      </c>
      <c r="J1240" s="6">
        <v>0</v>
      </c>
    </row>
    <row r="1241" spans="1:10" ht="13" x14ac:dyDescent="0.15">
      <c r="A1241" s="33"/>
      <c r="B1241" s="33"/>
      <c r="H1241" s="6">
        <v>0</v>
      </c>
      <c r="I1241" s="6">
        <v>0</v>
      </c>
      <c r="J1241" s="6">
        <v>0</v>
      </c>
    </row>
    <row r="1242" spans="1:10" ht="13" x14ac:dyDescent="0.15">
      <c r="A1242" s="33"/>
      <c r="B1242" s="33"/>
      <c r="H1242" s="6">
        <v>0</v>
      </c>
      <c r="I1242" s="6">
        <v>0</v>
      </c>
      <c r="J1242" s="6">
        <v>0</v>
      </c>
    </row>
    <row r="1243" spans="1:10" ht="13" x14ac:dyDescent="0.15">
      <c r="A1243" s="33"/>
      <c r="B1243" s="33"/>
      <c r="H1243" s="6">
        <v>0</v>
      </c>
      <c r="I1243" s="6">
        <v>0</v>
      </c>
      <c r="J1243" s="6">
        <v>0</v>
      </c>
    </row>
    <row r="1244" spans="1:10" ht="13" x14ac:dyDescent="0.15">
      <c r="A1244" s="33"/>
      <c r="B1244" s="33"/>
      <c r="H1244" s="6">
        <v>0</v>
      </c>
      <c r="I1244" s="6">
        <v>0</v>
      </c>
      <c r="J1244" s="6">
        <v>0</v>
      </c>
    </row>
    <row r="1245" spans="1:10" ht="13" x14ac:dyDescent="0.15">
      <c r="A1245" s="33"/>
      <c r="B1245" s="33"/>
      <c r="H1245" s="6">
        <v>0</v>
      </c>
      <c r="I1245" s="6">
        <v>0</v>
      </c>
      <c r="J1245" s="6">
        <v>0</v>
      </c>
    </row>
    <row r="1246" spans="1:10" ht="13" x14ac:dyDescent="0.15">
      <c r="A1246" s="33"/>
      <c r="B1246" s="33"/>
      <c r="H1246" s="6">
        <v>0</v>
      </c>
      <c r="I1246" s="6">
        <v>0</v>
      </c>
      <c r="J1246" s="6">
        <v>0</v>
      </c>
    </row>
    <row r="1247" spans="1:10" ht="13" x14ac:dyDescent="0.15">
      <c r="A1247" s="33"/>
      <c r="B1247" s="33"/>
      <c r="H1247" s="6">
        <v>0</v>
      </c>
      <c r="I1247" s="6">
        <v>0</v>
      </c>
      <c r="J1247" s="6">
        <v>0</v>
      </c>
    </row>
    <row r="1248" spans="1:10" ht="13" x14ac:dyDescent="0.15">
      <c r="A1248" s="33"/>
      <c r="B1248" s="33"/>
      <c r="H1248" s="6">
        <v>0</v>
      </c>
      <c r="I1248" s="6">
        <v>0</v>
      </c>
      <c r="J1248" s="6">
        <v>0</v>
      </c>
    </row>
    <row r="1249" spans="1:10" ht="13" x14ac:dyDescent="0.15">
      <c r="A1249" s="33"/>
      <c r="B1249" s="33"/>
      <c r="H1249" s="6">
        <v>0</v>
      </c>
      <c r="I1249" s="6">
        <v>0</v>
      </c>
      <c r="J1249" s="6">
        <v>0</v>
      </c>
    </row>
    <row r="1250" spans="1:10" ht="13" x14ac:dyDescent="0.15">
      <c r="A1250" s="33"/>
      <c r="B1250" s="33"/>
      <c r="H1250" s="6">
        <v>0</v>
      </c>
      <c r="I1250" s="6">
        <v>0</v>
      </c>
      <c r="J1250" s="6">
        <v>0</v>
      </c>
    </row>
    <row r="1251" spans="1:10" ht="13" x14ac:dyDescent="0.15">
      <c r="A1251" s="33"/>
      <c r="B1251" s="33"/>
      <c r="H1251" s="6">
        <v>0</v>
      </c>
      <c r="I1251" s="6">
        <v>0</v>
      </c>
      <c r="J1251" s="6">
        <v>0</v>
      </c>
    </row>
    <row r="1252" spans="1:10" ht="13" x14ac:dyDescent="0.15">
      <c r="A1252" s="33"/>
      <c r="B1252" s="33"/>
      <c r="H1252" s="6">
        <v>0</v>
      </c>
      <c r="I1252" s="6">
        <v>0</v>
      </c>
      <c r="J1252" s="6">
        <v>0</v>
      </c>
    </row>
    <row r="1253" spans="1:10" ht="13" x14ac:dyDescent="0.15">
      <c r="A1253" s="33"/>
      <c r="B1253" s="33"/>
      <c r="H1253" s="6">
        <v>0</v>
      </c>
      <c r="I1253" s="6">
        <v>0</v>
      </c>
      <c r="J1253" s="6">
        <v>0</v>
      </c>
    </row>
    <row r="1254" spans="1:10" ht="13" x14ac:dyDescent="0.15">
      <c r="A1254" s="33"/>
      <c r="B1254" s="33"/>
      <c r="H1254" s="6">
        <v>0</v>
      </c>
      <c r="I1254" s="6">
        <v>0</v>
      </c>
      <c r="J1254" s="6">
        <v>0</v>
      </c>
    </row>
    <row r="1255" spans="1:10" ht="13" x14ac:dyDescent="0.15">
      <c r="A1255" s="33"/>
      <c r="B1255" s="33"/>
      <c r="H1255" s="6">
        <v>0</v>
      </c>
      <c r="I1255" s="6">
        <v>0</v>
      </c>
      <c r="J1255" s="6">
        <v>0</v>
      </c>
    </row>
    <row r="1256" spans="1:10" ht="13" x14ac:dyDescent="0.15">
      <c r="A1256" s="33"/>
      <c r="B1256" s="33"/>
      <c r="H1256" s="6">
        <v>0</v>
      </c>
      <c r="I1256" s="6">
        <v>0</v>
      </c>
      <c r="J1256" s="6">
        <v>0</v>
      </c>
    </row>
    <row r="1257" spans="1:10" ht="13" x14ac:dyDescent="0.15">
      <c r="A1257" s="33"/>
      <c r="B1257" s="33"/>
      <c r="H1257" s="6">
        <v>0</v>
      </c>
      <c r="I1257" s="6">
        <v>0</v>
      </c>
      <c r="J1257" s="6">
        <v>0</v>
      </c>
    </row>
    <row r="1258" spans="1:10" ht="13" x14ac:dyDescent="0.15">
      <c r="A1258" s="33"/>
      <c r="B1258" s="33"/>
      <c r="H1258" s="6">
        <v>0</v>
      </c>
      <c r="I1258" s="6">
        <v>0</v>
      </c>
      <c r="J1258" s="6">
        <v>0</v>
      </c>
    </row>
    <row r="1259" spans="1:10" ht="13" x14ac:dyDescent="0.15">
      <c r="A1259" s="33"/>
      <c r="B1259" s="33"/>
      <c r="H1259" s="6">
        <v>0</v>
      </c>
      <c r="I1259" s="6">
        <v>0</v>
      </c>
      <c r="J1259" s="6">
        <v>0</v>
      </c>
    </row>
    <row r="1260" spans="1:10" ht="13" x14ac:dyDescent="0.15">
      <c r="A1260" s="33"/>
      <c r="B1260" s="33"/>
      <c r="H1260" s="6">
        <v>0</v>
      </c>
      <c r="I1260" s="6">
        <v>0</v>
      </c>
      <c r="J1260" s="6">
        <v>0</v>
      </c>
    </row>
    <row r="1261" spans="1:10" ht="13" x14ac:dyDescent="0.15">
      <c r="A1261" s="33"/>
      <c r="B1261" s="33"/>
      <c r="H1261" s="6">
        <v>0</v>
      </c>
      <c r="I1261" s="6">
        <v>0</v>
      </c>
      <c r="J1261" s="6">
        <v>0</v>
      </c>
    </row>
    <row r="1262" spans="1:10" ht="13" x14ac:dyDescent="0.15">
      <c r="A1262" s="33"/>
      <c r="B1262" s="33"/>
      <c r="H1262" s="6">
        <v>0</v>
      </c>
      <c r="I1262" s="6">
        <v>0</v>
      </c>
      <c r="J1262" s="6">
        <v>0</v>
      </c>
    </row>
    <row r="1263" spans="1:10" ht="13" x14ac:dyDescent="0.15">
      <c r="A1263" s="33"/>
      <c r="B1263" s="33"/>
      <c r="H1263" s="6">
        <v>0</v>
      </c>
      <c r="I1263" s="6">
        <v>0</v>
      </c>
      <c r="J1263" s="6">
        <v>0</v>
      </c>
    </row>
    <row r="1264" spans="1:10" ht="13" x14ac:dyDescent="0.15">
      <c r="A1264" s="33"/>
      <c r="B1264" s="33"/>
      <c r="H1264" s="6">
        <v>0</v>
      </c>
      <c r="I1264" s="6">
        <v>0</v>
      </c>
      <c r="J1264" s="6">
        <v>0</v>
      </c>
    </row>
    <row r="1265" spans="1:10" ht="13" x14ac:dyDescent="0.15">
      <c r="A1265" s="33"/>
      <c r="B1265" s="33"/>
      <c r="H1265" s="6">
        <v>0</v>
      </c>
      <c r="I1265" s="6">
        <v>0</v>
      </c>
      <c r="J1265" s="6">
        <v>0</v>
      </c>
    </row>
    <row r="1266" spans="1:10" ht="13" x14ac:dyDescent="0.15">
      <c r="A1266" s="33"/>
      <c r="B1266" s="33"/>
      <c r="H1266" s="6">
        <v>0</v>
      </c>
      <c r="I1266" s="6">
        <v>0</v>
      </c>
      <c r="J1266" s="6">
        <v>0</v>
      </c>
    </row>
    <row r="1267" spans="1:10" ht="13" x14ac:dyDescent="0.15">
      <c r="A1267" s="33"/>
      <c r="B1267" s="33"/>
      <c r="H1267" s="6">
        <v>0</v>
      </c>
      <c r="I1267" s="6">
        <v>0</v>
      </c>
      <c r="J1267" s="6">
        <v>0</v>
      </c>
    </row>
    <row r="1268" spans="1:10" ht="13" x14ac:dyDescent="0.15">
      <c r="A1268" s="33"/>
      <c r="B1268" s="33"/>
      <c r="H1268" s="6">
        <v>0</v>
      </c>
      <c r="I1268" s="6">
        <v>0</v>
      </c>
      <c r="J1268" s="6">
        <v>0</v>
      </c>
    </row>
    <row r="1269" spans="1:10" ht="13" x14ac:dyDescent="0.15">
      <c r="A1269" s="33"/>
      <c r="B1269" s="33"/>
      <c r="H1269" s="6">
        <v>0</v>
      </c>
      <c r="I1269" s="6">
        <v>0</v>
      </c>
      <c r="J1269" s="6">
        <v>0</v>
      </c>
    </row>
    <row r="1270" spans="1:10" ht="13" x14ac:dyDescent="0.15">
      <c r="A1270" s="33"/>
      <c r="B1270" s="33"/>
      <c r="H1270" s="6">
        <v>0</v>
      </c>
      <c r="I1270" s="6">
        <v>0</v>
      </c>
      <c r="J1270" s="6">
        <v>0</v>
      </c>
    </row>
    <row r="1271" spans="1:10" ht="13" x14ac:dyDescent="0.15">
      <c r="A1271" s="33"/>
      <c r="B1271" s="33"/>
      <c r="H1271" s="6">
        <v>0</v>
      </c>
      <c r="I1271" s="6">
        <v>0</v>
      </c>
      <c r="J1271" s="6">
        <v>0</v>
      </c>
    </row>
    <row r="1272" spans="1:10" ht="13" x14ac:dyDescent="0.15">
      <c r="A1272" s="33"/>
      <c r="B1272" s="33"/>
      <c r="H1272" s="6">
        <v>0</v>
      </c>
      <c r="I1272" s="6">
        <v>0</v>
      </c>
      <c r="J1272" s="6">
        <v>0</v>
      </c>
    </row>
    <row r="1273" spans="1:10" ht="13" x14ac:dyDescent="0.15">
      <c r="A1273" s="33"/>
      <c r="B1273" s="33"/>
      <c r="H1273" s="6">
        <v>0</v>
      </c>
      <c r="I1273" s="6">
        <v>0</v>
      </c>
      <c r="J1273" s="6">
        <v>0</v>
      </c>
    </row>
    <row r="1274" spans="1:10" ht="13" x14ac:dyDescent="0.15">
      <c r="A1274" s="33"/>
      <c r="B1274" s="33"/>
      <c r="H1274" s="6">
        <v>0</v>
      </c>
      <c r="I1274" s="6">
        <v>0</v>
      </c>
      <c r="J1274" s="6">
        <v>0</v>
      </c>
    </row>
    <row r="1275" spans="1:10" ht="13" x14ac:dyDescent="0.15">
      <c r="A1275" s="33"/>
      <c r="B1275" s="33"/>
      <c r="H1275" s="6">
        <v>0</v>
      </c>
      <c r="I1275" s="6">
        <v>0</v>
      </c>
      <c r="J1275" s="6">
        <v>0</v>
      </c>
    </row>
    <row r="1276" spans="1:10" ht="13" x14ac:dyDescent="0.15">
      <c r="A1276" s="33"/>
      <c r="B1276" s="33"/>
      <c r="H1276" s="6">
        <v>0</v>
      </c>
      <c r="I1276" s="6">
        <v>0</v>
      </c>
      <c r="J1276" s="6">
        <v>0</v>
      </c>
    </row>
    <row r="1277" spans="1:10" ht="13" x14ac:dyDescent="0.15">
      <c r="A1277" s="33"/>
      <c r="B1277" s="33"/>
      <c r="H1277" s="6">
        <v>0</v>
      </c>
      <c r="I1277" s="6">
        <v>0</v>
      </c>
      <c r="J1277" s="6">
        <v>0</v>
      </c>
    </row>
    <row r="1278" spans="1:10" ht="13" x14ac:dyDescent="0.15">
      <c r="A1278" s="33"/>
      <c r="B1278" s="33"/>
      <c r="H1278" s="6">
        <v>0</v>
      </c>
      <c r="I1278" s="6">
        <v>0</v>
      </c>
      <c r="J1278" s="6">
        <v>0</v>
      </c>
    </row>
    <row r="1279" spans="1:10" ht="13" x14ac:dyDescent="0.15">
      <c r="A1279" s="33"/>
      <c r="B1279" s="33"/>
      <c r="H1279" s="6">
        <v>0</v>
      </c>
      <c r="I1279" s="6">
        <v>0</v>
      </c>
      <c r="J1279" s="6">
        <v>0</v>
      </c>
    </row>
    <row r="1280" spans="1:10" ht="13" x14ac:dyDescent="0.15">
      <c r="A1280" s="33"/>
      <c r="B1280" s="33"/>
      <c r="H1280" s="6">
        <v>0</v>
      </c>
      <c r="I1280" s="6">
        <v>0</v>
      </c>
      <c r="J1280" s="6">
        <v>0</v>
      </c>
    </row>
    <row r="1281" spans="1:10" ht="13" x14ac:dyDescent="0.15">
      <c r="A1281" s="33"/>
      <c r="B1281" s="33"/>
      <c r="H1281" s="6">
        <v>0</v>
      </c>
      <c r="I1281" s="6">
        <v>0</v>
      </c>
      <c r="J1281" s="6">
        <v>0</v>
      </c>
    </row>
    <row r="1282" spans="1:10" ht="13" x14ac:dyDescent="0.15">
      <c r="A1282" s="33"/>
      <c r="B1282" s="33"/>
      <c r="H1282" s="6">
        <v>0</v>
      </c>
      <c r="I1282" s="6">
        <v>0</v>
      </c>
      <c r="J1282" s="6">
        <v>0</v>
      </c>
    </row>
    <row r="1283" spans="1:10" ht="13" x14ac:dyDescent="0.15">
      <c r="A1283" s="33"/>
      <c r="B1283" s="33"/>
      <c r="H1283" s="6">
        <v>0</v>
      </c>
      <c r="I1283" s="6">
        <v>0</v>
      </c>
      <c r="J1283" s="6">
        <v>0</v>
      </c>
    </row>
    <row r="1284" spans="1:10" ht="13" x14ac:dyDescent="0.15">
      <c r="A1284" s="33"/>
      <c r="B1284" s="33"/>
      <c r="H1284" s="6">
        <v>0</v>
      </c>
      <c r="I1284" s="6">
        <v>0</v>
      </c>
      <c r="J1284" s="6">
        <v>0</v>
      </c>
    </row>
    <row r="1285" spans="1:10" ht="13" x14ac:dyDescent="0.15">
      <c r="A1285" s="33"/>
      <c r="B1285" s="33"/>
      <c r="H1285" s="6">
        <v>0</v>
      </c>
      <c r="I1285" s="6">
        <v>0</v>
      </c>
      <c r="J1285" s="6">
        <v>0</v>
      </c>
    </row>
    <row r="1286" spans="1:10" ht="13" x14ac:dyDescent="0.15">
      <c r="A1286" s="33"/>
      <c r="B1286" s="33"/>
      <c r="H1286" s="6">
        <v>0</v>
      </c>
      <c r="I1286" s="6">
        <v>0</v>
      </c>
      <c r="J1286" s="6">
        <v>0</v>
      </c>
    </row>
    <row r="1287" spans="1:10" ht="13" x14ac:dyDescent="0.15">
      <c r="A1287" s="33"/>
      <c r="B1287" s="33"/>
      <c r="H1287" s="6">
        <v>0</v>
      </c>
      <c r="I1287" s="6">
        <v>0</v>
      </c>
      <c r="J1287" s="6">
        <v>0</v>
      </c>
    </row>
    <row r="1288" spans="1:10" ht="13" x14ac:dyDescent="0.15">
      <c r="A1288" s="33"/>
      <c r="B1288" s="33"/>
      <c r="H1288" s="6">
        <v>0</v>
      </c>
      <c r="I1288" s="6">
        <v>0</v>
      </c>
      <c r="J1288" s="6">
        <v>0</v>
      </c>
    </row>
    <row r="1289" spans="1:10" ht="13" x14ac:dyDescent="0.15">
      <c r="A1289" s="33"/>
      <c r="B1289" s="33"/>
      <c r="H1289" s="6">
        <v>0</v>
      </c>
      <c r="I1289" s="6">
        <v>0</v>
      </c>
      <c r="J1289" s="6">
        <v>0</v>
      </c>
    </row>
    <row r="1290" spans="1:10" ht="13" x14ac:dyDescent="0.15">
      <c r="A1290" s="33"/>
      <c r="B1290" s="33"/>
      <c r="H1290" s="6">
        <v>0</v>
      </c>
      <c r="I1290" s="6">
        <v>0</v>
      </c>
      <c r="J1290" s="6">
        <v>0</v>
      </c>
    </row>
    <row r="1291" spans="1:10" ht="13" x14ac:dyDescent="0.15">
      <c r="A1291" s="33"/>
      <c r="B1291" s="33"/>
      <c r="H1291" s="6">
        <v>0</v>
      </c>
      <c r="I1291" s="6">
        <v>0</v>
      </c>
      <c r="J1291" s="6">
        <v>0</v>
      </c>
    </row>
    <row r="1292" spans="1:10" ht="13" x14ac:dyDescent="0.15">
      <c r="A1292" s="33"/>
      <c r="B1292" s="33"/>
      <c r="H1292" s="6">
        <v>0</v>
      </c>
      <c r="I1292" s="6">
        <v>0</v>
      </c>
      <c r="J1292" s="6">
        <v>0</v>
      </c>
    </row>
    <row r="1293" spans="1:10" ht="13" x14ac:dyDescent="0.15">
      <c r="A1293" s="33"/>
      <c r="B1293" s="33"/>
      <c r="H1293" s="6">
        <v>0</v>
      </c>
      <c r="I1293" s="6">
        <v>0</v>
      </c>
      <c r="J1293" s="6">
        <v>0</v>
      </c>
    </row>
    <row r="1294" spans="1:10" ht="13" x14ac:dyDescent="0.15">
      <c r="A1294" s="33"/>
      <c r="B1294" s="33"/>
      <c r="H1294" s="6">
        <v>0</v>
      </c>
      <c r="I1294" s="6">
        <v>0</v>
      </c>
      <c r="J1294" s="6">
        <v>0</v>
      </c>
    </row>
    <row r="1295" spans="1:10" ht="13" x14ac:dyDescent="0.15">
      <c r="A1295" s="33"/>
      <c r="B1295" s="33"/>
      <c r="H1295" s="6">
        <v>0</v>
      </c>
      <c r="I1295" s="6">
        <v>0</v>
      </c>
      <c r="J1295" s="6">
        <v>0</v>
      </c>
    </row>
    <row r="1296" spans="1:10" ht="13" x14ac:dyDescent="0.15">
      <c r="A1296" s="33"/>
      <c r="B1296" s="33"/>
      <c r="H1296" s="6">
        <v>0</v>
      </c>
      <c r="I1296" s="6">
        <v>0</v>
      </c>
      <c r="J1296" s="6">
        <v>0</v>
      </c>
    </row>
    <row r="1297" spans="1:10" ht="13" x14ac:dyDescent="0.15">
      <c r="A1297" s="33"/>
      <c r="B1297" s="33"/>
      <c r="H1297" s="6">
        <v>0</v>
      </c>
      <c r="I1297" s="6">
        <v>0</v>
      </c>
      <c r="J1297" s="6">
        <v>0</v>
      </c>
    </row>
    <row r="1298" spans="1:10" ht="13" x14ac:dyDescent="0.15">
      <c r="A1298" s="33"/>
      <c r="B1298" s="33"/>
      <c r="H1298" s="6">
        <v>0</v>
      </c>
      <c r="I1298" s="6">
        <v>0</v>
      </c>
      <c r="J1298" s="6">
        <v>0</v>
      </c>
    </row>
    <row r="1299" spans="1:10" ht="13" x14ac:dyDescent="0.15">
      <c r="A1299" s="33"/>
      <c r="B1299" s="33"/>
      <c r="H1299" s="6">
        <v>0</v>
      </c>
      <c r="I1299" s="6">
        <v>0</v>
      </c>
      <c r="J1299" s="6">
        <v>0</v>
      </c>
    </row>
    <row r="1300" spans="1:10" ht="13" x14ac:dyDescent="0.15">
      <c r="A1300" s="33"/>
      <c r="B1300" s="33"/>
      <c r="H1300" s="6">
        <v>0</v>
      </c>
      <c r="I1300" s="6">
        <v>0</v>
      </c>
      <c r="J1300" s="6">
        <v>0</v>
      </c>
    </row>
    <row r="1301" spans="1:10" ht="13" x14ac:dyDescent="0.15">
      <c r="A1301" s="33"/>
      <c r="B1301" s="33"/>
      <c r="H1301" s="6">
        <v>0</v>
      </c>
      <c r="I1301" s="6">
        <v>0</v>
      </c>
      <c r="J1301" s="6">
        <v>0</v>
      </c>
    </row>
    <row r="1302" spans="1:10" ht="13" x14ac:dyDescent="0.15">
      <c r="A1302" s="33"/>
      <c r="B1302" s="33"/>
      <c r="H1302" s="6">
        <v>0</v>
      </c>
      <c r="I1302" s="6">
        <v>0</v>
      </c>
      <c r="J1302" s="6">
        <v>0</v>
      </c>
    </row>
    <row r="1303" spans="1:10" ht="13" x14ac:dyDescent="0.15">
      <c r="A1303" s="33"/>
      <c r="B1303" s="33"/>
      <c r="H1303" s="6">
        <v>0</v>
      </c>
      <c r="I1303" s="6">
        <v>0</v>
      </c>
      <c r="J1303" s="6">
        <v>0</v>
      </c>
    </row>
    <row r="1304" spans="1:10" ht="13" x14ac:dyDescent="0.15">
      <c r="A1304" s="33"/>
      <c r="B1304" s="33"/>
      <c r="H1304" s="6">
        <v>0</v>
      </c>
      <c r="I1304" s="6">
        <v>0</v>
      </c>
      <c r="J1304" s="6">
        <v>0</v>
      </c>
    </row>
    <row r="1305" spans="1:10" ht="13" x14ac:dyDescent="0.15">
      <c r="A1305" s="33"/>
      <c r="B1305" s="33"/>
      <c r="H1305" s="6">
        <v>0</v>
      </c>
      <c r="I1305" s="6">
        <v>0</v>
      </c>
      <c r="J1305" s="6">
        <v>0</v>
      </c>
    </row>
    <row r="1306" spans="1:10" ht="13" x14ac:dyDescent="0.15">
      <c r="A1306" s="33"/>
      <c r="B1306" s="33"/>
      <c r="H1306" s="6">
        <v>0</v>
      </c>
      <c r="I1306" s="6">
        <v>0</v>
      </c>
      <c r="J1306" s="6">
        <v>0</v>
      </c>
    </row>
    <row r="1307" spans="1:10" ht="13" x14ac:dyDescent="0.15">
      <c r="A1307" s="33"/>
      <c r="B1307" s="33"/>
      <c r="H1307" s="6">
        <v>0</v>
      </c>
      <c r="I1307" s="6">
        <v>0</v>
      </c>
      <c r="J1307" s="6">
        <v>0</v>
      </c>
    </row>
    <row r="1308" spans="1:10" ht="13" x14ac:dyDescent="0.15">
      <c r="A1308" s="33"/>
      <c r="B1308" s="33"/>
      <c r="H1308" s="6">
        <v>0</v>
      </c>
      <c r="I1308" s="6">
        <v>0</v>
      </c>
      <c r="J1308" s="6">
        <v>0</v>
      </c>
    </row>
    <row r="1309" spans="1:10" ht="13" x14ac:dyDescent="0.15">
      <c r="A1309" s="33"/>
      <c r="B1309" s="33"/>
      <c r="H1309" s="6">
        <v>0</v>
      </c>
      <c r="I1309" s="6">
        <v>0</v>
      </c>
      <c r="J1309" s="6">
        <v>0</v>
      </c>
    </row>
    <row r="1310" spans="1:10" ht="13" x14ac:dyDescent="0.15">
      <c r="A1310" s="33"/>
      <c r="B1310" s="33"/>
      <c r="H1310" s="6">
        <v>0</v>
      </c>
      <c r="I1310" s="6">
        <v>0</v>
      </c>
      <c r="J1310" s="6">
        <v>0</v>
      </c>
    </row>
    <row r="1311" spans="1:10" ht="13" x14ac:dyDescent="0.15">
      <c r="A1311" s="33"/>
      <c r="B1311" s="33"/>
      <c r="H1311" s="6">
        <v>0</v>
      </c>
      <c r="I1311" s="6">
        <v>0</v>
      </c>
      <c r="J1311" s="6">
        <v>0</v>
      </c>
    </row>
    <row r="1312" spans="1:10" ht="13" x14ac:dyDescent="0.15">
      <c r="A1312" s="33"/>
      <c r="B1312" s="33"/>
      <c r="H1312" s="6">
        <v>0</v>
      </c>
      <c r="I1312" s="6">
        <v>0</v>
      </c>
      <c r="J1312" s="6">
        <v>0</v>
      </c>
    </row>
    <row r="1313" spans="1:10" ht="13" x14ac:dyDescent="0.15">
      <c r="A1313" s="33"/>
      <c r="B1313" s="33"/>
      <c r="H1313" s="6">
        <v>0</v>
      </c>
      <c r="I1313" s="6">
        <v>0</v>
      </c>
      <c r="J1313" s="6">
        <v>0</v>
      </c>
    </row>
    <row r="1314" spans="1:10" ht="13" x14ac:dyDescent="0.15">
      <c r="A1314" s="33"/>
      <c r="B1314" s="33"/>
      <c r="H1314" s="6">
        <v>0</v>
      </c>
      <c r="I1314" s="6">
        <v>0</v>
      </c>
      <c r="J1314" s="6">
        <v>0</v>
      </c>
    </row>
    <row r="1315" spans="1:10" ht="13" x14ac:dyDescent="0.15">
      <c r="A1315" s="33"/>
      <c r="B1315" s="33"/>
      <c r="H1315" s="6">
        <v>0</v>
      </c>
      <c r="I1315" s="6">
        <v>0</v>
      </c>
      <c r="J1315" s="6">
        <v>0</v>
      </c>
    </row>
    <row r="1316" spans="1:10" ht="13" x14ac:dyDescent="0.15">
      <c r="A1316" s="33"/>
      <c r="B1316" s="33"/>
      <c r="H1316" s="6">
        <v>0</v>
      </c>
      <c r="I1316" s="6">
        <v>0</v>
      </c>
      <c r="J1316" s="6">
        <v>0</v>
      </c>
    </row>
    <row r="1317" spans="1:10" ht="13" x14ac:dyDescent="0.15">
      <c r="A1317" s="33"/>
      <c r="B1317" s="33"/>
      <c r="H1317" s="6">
        <v>0</v>
      </c>
      <c r="I1317" s="6">
        <v>0</v>
      </c>
      <c r="J1317" s="6">
        <v>0</v>
      </c>
    </row>
    <row r="1318" spans="1:10" ht="13" x14ac:dyDescent="0.15">
      <c r="A1318" s="33"/>
      <c r="B1318" s="33"/>
      <c r="H1318" s="6">
        <v>0</v>
      </c>
      <c r="I1318" s="6">
        <v>0</v>
      </c>
      <c r="J1318" s="6">
        <v>0</v>
      </c>
    </row>
    <row r="1319" spans="1:10" ht="13" x14ac:dyDescent="0.15">
      <c r="A1319" s="33"/>
      <c r="B1319" s="33"/>
      <c r="H1319" s="6">
        <v>0</v>
      </c>
      <c r="I1319" s="6">
        <v>0</v>
      </c>
      <c r="J1319" s="6">
        <v>0</v>
      </c>
    </row>
    <row r="1320" spans="1:10" ht="13" x14ac:dyDescent="0.15">
      <c r="A1320" s="33"/>
      <c r="B1320" s="33"/>
      <c r="H1320" s="6">
        <v>0</v>
      </c>
      <c r="I1320" s="6">
        <v>0</v>
      </c>
      <c r="J1320" s="6">
        <v>0</v>
      </c>
    </row>
    <row r="1321" spans="1:10" ht="13" x14ac:dyDescent="0.15">
      <c r="A1321" s="33"/>
      <c r="B1321" s="33"/>
      <c r="H1321" s="6">
        <v>0</v>
      </c>
      <c r="I1321" s="6">
        <v>0</v>
      </c>
      <c r="J1321" s="6">
        <v>0</v>
      </c>
    </row>
    <row r="1322" spans="1:10" ht="13" x14ac:dyDescent="0.15">
      <c r="A1322" s="33"/>
      <c r="B1322" s="33"/>
      <c r="H1322" s="6">
        <v>0</v>
      </c>
      <c r="I1322" s="6">
        <v>0</v>
      </c>
      <c r="J1322" s="6">
        <v>0</v>
      </c>
    </row>
    <row r="1323" spans="1:10" ht="13" x14ac:dyDescent="0.15">
      <c r="A1323" s="33"/>
      <c r="B1323" s="33"/>
      <c r="H1323" s="6">
        <v>0</v>
      </c>
      <c r="I1323" s="6">
        <v>0</v>
      </c>
      <c r="J1323" s="6">
        <v>0</v>
      </c>
    </row>
    <row r="1324" spans="1:10" ht="13" x14ac:dyDescent="0.15">
      <c r="A1324" s="33"/>
      <c r="B1324" s="33"/>
      <c r="H1324" s="6">
        <v>0</v>
      </c>
      <c r="I1324" s="6">
        <v>0</v>
      </c>
      <c r="J1324" s="6">
        <v>0</v>
      </c>
    </row>
    <row r="1325" spans="1:10" ht="13" x14ac:dyDescent="0.15">
      <c r="A1325" s="33"/>
      <c r="B1325" s="33"/>
      <c r="H1325" s="6">
        <v>0</v>
      </c>
      <c r="I1325" s="6">
        <v>0</v>
      </c>
      <c r="J1325" s="6">
        <v>0</v>
      </c>
    </row>
    <row r="1326" spans="1:10" ht="13" x14ac:dyDescent="0.15">
      <c r="A1326" s="33"/>
      <c r="B1326" s="33"/>
      <c r="H1326" s="6">
        <v>0</v>
      </c>
      <c r="I1326" s="6">
        <v>0</v>
      </c>
      <c r="J1326" s="6">
        <v>0</v>
      </c>
    </row>
    <row r="1327" spans="1:10" ht="13" x14ac:dyDescent="0.15">
      <c r="A1327" s="33"/>
      <c r="B1327" s="33"/>
      <c r="H1327" s="6">
        <v>0</v>
      </c>
      <c r="I1327" s="6">
        <v>0</v>
      </c>
      <c r="J1327" s="6">
        <v>0</v>
      </c>
    </row>
    <row r="1328" spans="1:10" ht="13" x14ac:dyDescent="0.15">
      <c r="A1328" s="33"/>
      <c r="B1328" s="33"/>
      <c r="H1328" s="6">
        <v>0</v>
      </c>
      <c r="I1328" s="6">
        <v>0</v>
      </c>
      <c r="J1328" s="6">
        <v>0</v>
      </c>
    </row>
    <row r="1329" spans="1:10" ht="13" x14ac:dyDescent="0.15">
      <c r="A1329" s="33"/>
      <c r="B1329" s="33"/>
      <c r="H1329" s="6">
        <v>0</v>
      </c>
      <c r="I1329" s="6">
        <v>0</v>
      </c>
      <c r="J1329" s="6">
        <v>0</v>
      </c>
    </row>
    <row r="1330" spans="1:10" ht="13" x14ac:dyDescent="0.15">
      <c r="A1330" s="33"/>
      <c r="B1330" s="33"/>
      <c r="H1330" s="6">
        <v>0</v>
      </c>
      <c r="I1330" s="6">
        <v>0</v>
      </c>
      <c r="J1330" s="6">
        <v>0</v>
      </c>
    </row>
    <row r="1331" spans="1:10" ht="13" x14ac:dyDescent="0.15">
      <c r="A1331" s="33"/>
      <c r="B1331" s="33"/>
      <c r="H1331" s="6">
        <v>0</v>
      </c>
      <c r="I1331" s="6">
        <v>0</v>
      </c>
      <c r="J1331" s="6">
        <v>0</v>
      </c>
    </row>
    <row r="1332" spans="1:10" ht="13" x14ac:dyDescent="0.15">
      <c r="A1332" s="33"/>
      <c r="B1332" s="33"/>
      <c r="H1332" s="6">
        <v>0</v>
      </c>
      <c r="I1332" s="6">
        <v>0</v>
      </c>
      <c r="J1332" s="6">
        <v>0</v>
      </c>
    </row>
    <row r="1333" spans="1:10" ht="13" x14ac:dyDescent="0.15">
      <c r="A1333" s="33"/>
      <c r="B1333" s="33"/>
      <c r="H1333" s="6">
        <v>0</v>
      </c>
      <c r="I1333" s="6">
        <v>0</v>
      </c>
      <c r="J1333" s="6">
        <v>0</v>
      </c>
    </row>
    <row r="1334" spans="1:10" ht="13" x14ac:dyDescent="0.15">
      <c r="A1334" s="33"/>
      <c r="B1334" s="33"/>
      <c r="H1334" s="6">
        <v>0</v>
      </c>
      <c r="I1334" s="6">
        <v>0</v>
      </c>
      <c r="J1334" s="6">
        <v>0</v>
      </c>
    </row>
    <row r="1335" spans="1:10" ht="13" x14ac:dyDescent="0.15">
      <c r="A1335" s="33"/>
      <c r="B1335" s="33"/>
      <c r="H1335" s="6">
        <v>0</v>
      </c>
      <c r="I1335" s="6">
        <v>0</v>
      </c>
      <c r="J1335" s="6">
        <v>0</v>
      </c>
    </row>
    <row r="1336" spans="1:10" ht="13" x14ac:dyDescent="0.15">
      <c r="A1336" s="33"/>
      <c r="B1336" s="33"/>
      <c r="H1336" s="6">
        <v>0</v>
      </c>
      <c r="I1336" s="6">
        <v>0</v>
      </c>
      <c r="J1336" s="6">
        <v>0</v>
      </c>
    </row>
    <row r="1337" spans="1:10" ht="13" x14ac:dyDescent="0.15">
      <c r="A1337" s="33"/>
      <c r="B1337" s="33"/>
      <c r="H1337" s="6">
        <v>0</v>
      </c>
      <c r="I1337" s="6">
        <v>0</v>
      </c>
      <c r="J1337" s="6">
        <v>0</v>
      </c>
    </row>
    <row r="1338" spans="1:10" ht="13" x14ac:dyDescent="0.15">
      <c r="A1338" s="33"/>
      <c r="B1338" s="33"/>
      <c r="H1338" s="6">
        <v>0</v>
      </c>
      <c r="I1338" s="6">
        <v>0</v>
      </c>
      <c r="J1338" s="6">
        <v>0</v>
      </c>
    </row>
    <row r="1339" spans="1:10" ht="13" x14ac:dyDescent="0.15">
      <c r="A1339" s="33"/>
      <c r="B1339" s="33"/>
      <c r="H1339" s="6">
        <v>0</v>
      </c>
      <c r="I1339" s="6">
        <v>0</v>
      </c>
      <c r="J1339" s="6">
        <v>0</v>
      </c>
    </row>
    <row r="1340" spans="1:10" ht="13" x14ac:dyDescent="0.15">
      <c r="A1340" s="33"/>
      <c r="B1340" s="33"/>
      <c r="H1340" s="6">
        <v>0</v>
      </c>
      <c r="I1340" s="6">
        <v>0</v>
      </c>
      <c r="J1340" s="6">
        <v>0</v>
      </c>
    </row>
    <row r="1341" spans="1:10" ht="13" x14ac:dyDescent="0.15">
      <c r="A1341" s="33"/>
      <c r="B1341" s="33"/>
      <c r="H1341" s="6">
        <v>0</v>
      </c>
      <c r="I1341" s="6">
        <v>0</v>
      </c>
      <c r="J1341" s="6">
        <v>0</v>
      </c>
    </row>
    <row r="1342" spans="1:10" ht="13" x14ac:dyDescent="0.15">
      <c r="A1342" s="33"/>
      <c r="B1342" s="33"/>
      <c r="H1342" s="6">
        <v>0</v>
      </c>
      <c r="I1342" s="6">
        <v>0</v>
      </c>
      <c r="J1342" s="6">
        <v>0</v>
      </c>
    </row>
    <row r="1343" spans="1:10" ht="13" x14ac:dyDescent="0.15">
      <c r="A1343" s="33"/>
      <c r="B1343" s="33"/>
      <c r="H1343" s="6">
        <v>0</v>
      </c>
      <c r="I1343" s="6">
        <v>0</v>
      </c>
      <c r="J1343" s="6">
        <v>0</v>
      </c>
    </row>
    <row r="1344" spans="1:10" ht="13" x14ac:dyDescent="0.15">
      <c r="A1344" s="33"/>
      <c r="B1344" s="33"/>
      <c r="H1344" s="6">
        <v>0</v>
      </c>
      <c r="I1344" s="6">
        <v>0</v>
      </c>
      <c r="J1344" s="6">
        <v>0</v>
      </c>
    </row>
    <row r="1345" spans="1:10" ht="13" x14ac:dyDescent="0.15">
      <c r="A1345" s="33"/>
      <c r="B1345" s="33"/>
      <c r="H1345" s="6">
        <v>0</v>
      </c>
      <c r="I1345" s="6">
        <v>0</v>
      </c>
      <c r="J1345" s="6">
        <v>0</v>
      </c>
    </row>
    <row r="1346" spans="1:10" ht="13" x14ac:dyDescent="0.15">
      <c r="A1346" s="33"/>
      <c r="B1346" s="33"/>
      <c r="H1346" s="6">
        <v>0</v>
      </c>
      <c r="I1346" s="6">
        <v>0</v>
      </c>
      <c r="J1346" s="6">
        <v>0</v>
      </c>
    </row>
    <row r="1347" spans="1:10" ht="13" x14ac:dyDescent="0.15">
      <c r="A1347" s="33"/>
      <c r="B1347" s="33"/>
      <c r="H1347" s="6">
        <v>0</v>
      </c>
      <c r="I1347" s="6">
        <v>0</v>
      </c>
      <c r="J1347" s="6">
        <v>0</v>
      </c>
    </row>
    <row r="1348" spans="1:10" ht="13" x14ac:dyDescent="0.15">
      <c r="A1348" s="33"/>
      <c r="B1348" s="33"/>
      <c r="H1348" s="6">
        <v>0</v>
      </c>
      <c r="I1348" s="6">
        <v>0</v>
      </c>
      <c r="J1348" s="6">
        <v>0</v>
      </c>
    </row>
    <row r="1349" spans="1:10" ht="13" x14ac:dyDescent="0.15">
      <c r="A1349" s="33"/>
      <c r="B1349" s="33"/>
      <c r="H1349" s="6">
        <v>0</v>
      </c>
      <c r="I1349" s="6">
        <v>0</v>
      </c>
      <c r="J1349" s="6">
        <v>0</v>
      </c>
    </row>
    <row r="1350" spans="1:10" ht="13" x14ac:dyDescent="0.15">
      <c r="A1350" s="33"/>
      <c r="B1350" s="33"/>
      <c r="H1350" s="6">
        <v>0</v>
      </c>
      <c r="I1350" s="6">
        <v>0</v>
      </c>
      <c r="J1350" s="6">
        <v>0</v>
      </c>
    </row>
    <row r="1351" spans="1:10" ht="13" x14ac:dyDescent="0.15">
      <c r="A1351" s="33"/>
      <c r="B1351" s="33"/>
      <c r="H1351" s="6">
        <v>0</v>
      </c>
      <c r="I1351" s="6">
        <v>0</v>
      </c>
      <c r="J1351" s="6">
        <v>0</v>
      </c>
    </row>
    <row r="1352" spans="1:10" ht="13" x14ac:dyDescent="0.15">
      <c r="A1352" s="33"/>
      <c r="B1352" s="33"/>
      <c r="H1352" s="6">
        <v>0</v>
      </c>
      <c r="I1352" s="6">
        <v>0</v>
      </c>
      <c r="J1352" s="6">
        <v>0</v>
      </c>
    </row>
    <row r="1353" spans="1:10" ht="13" x14ac:dyDescent="0.15">
      <c r="A1353" s="33"/>
      <c r="B1353" s="33"/>
      <c r="H1353" s="6">
        <v>0</v>
      </c>
      <c r="I1353" s="6">
        <v>0</v>
      </c>
      <c r="J1353" s="6">
        <v>0</v>
      </c>
    </row>
    <row r="1354" spans="1:10" ht="13" x14ac:dyDescent="0.15">
      <c r="A1354" s="33"/>
      <c r="B1354" s="33"/>
      <c r="H1354" s="6">
        <v>0</v>
      </c>
      <c r="I1354" s="6">
        <v>0</v>
      </c>
      <c r="J1354" s="6">
        <v>0</v>
      </c>
    </row>
    <row r="1355" spans="1:10" ht="13" x14ac:dyDescent="0.15">
      <c r="A1355" s="33"/>
      <c r="B1355" s="33"/>
      <c r="H1355" s="6">
        <v>0</v>
      </c>
      <c r="I1355" s="6">
        <v>0</v>
      </c>
      <c r="J1355" s="6">
        <v>0</v>
      </c>
    </row>
    <row r="1356" spans="1:10" ht="13" x14ac:dyDescent="0.15">
      <c r="A1356" s="33"/>
      <c r="B1356" s="33"/>
      <c r="H1356" s="6">
        <v>0</v>
      </c>
      <c r="I1356" s="6">
        <v>0</v>
      </c>
      <c r="J1356" s="6">
        <v>0</v>
      </c>
    </row>
    <row r="1357" spans="1:10" ht="13" x14ac:dyDescent="0.15">
      <c r="A1357" s="33"/>
      <c r="B1357" s="33"/>
      <c r="H1357" s="6">
        <v>0</v>
      </c>
      <c r="I1357" s="6">
        <v>0</v>
      </c>
      <c r="J1357" s="6">
        <v>0</v>
      </c>
    </row>
    <row r="1358" spans="1:10" ht="13" x14ac:dyDescent="0.15">
      <c r="A1358" s="33"/>
      <c r="B1358" s="33"/>
      <c r="H1358" s="6">
        <v>0</v>
      </c>
      <c r="I1358" s="6">
        <v>0</v>
      </c>
      <c r="J1358" s="6">
        <v>0</v>
      </c>
    </row>
    <row r="1359" spans="1:10" ht="13" x14ac:dyDescent="0.15">
      <c r="A1359" s="33"/>
      <c r="B1359" s="33"/>
      <c r="H1359" s="6">
        <v>0</v>
      </c>
      <c r="I1359" s="6">
        <v>0</v>
      </c>
      <c r="J1359" s="6">
        <v>0</v>
      </c>
    </row>
    <row r="1360" spans="1:10" ht="13" x14ac:dyDescent="0.15">
      <c r="A1360" s="33"/>
      <c r="B1360" s="33"/>
      <c r="H1360" s="6">
        <v>0</v>
      </c>
      <c r="I1360" s="6">
        <v>0</v>
      </c>
      <c r="J1360" s="6">
        <v>0</v>
      </c>
    </row>
    <row r="1361" spans="1:10" ht="13" x14ac:dyDescent="0.15">
      <c r="A1361" s="33"/>
      <c r="B1361" s="33"/>
      <c r="H1361" s="6">
        <v>0</v>
      </c>
      <c r="I1361" s="6">
        <v>0</v>
      </c>
      <c r="J1361" s="6">
        <v>0</v>
      </c>
    </row>
    <row r="1362" spans="1:10" ht="13" x14ac:dyDescent="0.15">
      <c r="A1362" s="33"/>
      <c r="B1362" s="33"/>
      <c r="H1362" s="6">
        <v>0</v>
      </c>
      <c r="I1362" s="6">
        <v>0</v>
      </c>
      <c r="J1362" s="6">
        <v>0</v>
      </c>
    </row>
    <row r="1363" spans="1:10" ht="13" x14ac:dyDescent="0.15">
      <c r="A1363" s="33"/>
      <c r="B1363" s="33"/>
      <c r="H1363" s="6">
        <v>0</v>
      </c>
      <c r="I1363" s="6">
        <v>0</v>
      </c>
      <c r="J1363" s="6">
        <v>0</v>
      </c>
    </row>
    <row r="1364" spans="1:10" ht="13" x14ac:dyDescent="0.15">
      <c r="A1364" s="33"/>
      <c r="B1364" s="33"/>
      <c r="H1364" s="6">
        <v>0</v>
      </c>
      <c r="I1364" s="6">
        <v>0</v>
      </c>
      <c r="J1364" s="6">
        <v>0</v>
      </c>
    </row>
    <row r="1365" spans="1:10" ht="13" x14ac:dyDescent="0.15">
      <c r="A1365" s="33"/>
      <c r="B1365" s="33"/>
      <c r="H1365" s="6">
        <v>0</v>
      </c>
      <c r="I1365" s="6">
        <v>0</v>
      </c>
      <c r="J1365" s="6">
        <v>0</v>
      </c>
    </row>
    <row r="1366" spans="1:10" ht="13" x14ac:dyDescent="0.15">
      <c r="A1366" s="33"/>
      <c r="B1366" s="33"/>
      <c r="H1366" s="6">
        <v>0</v>
      </c>
      <c r="I1366" s="6">
        <v>0</v>
      </c>
      <c r="J1366" s="6">
        <v>0</v>
      </c>
    </row>
    <row r="1367" spans="1:10" ht="13" x14ac:dyDescent="0.15">
      <c r="A1367" s="33"/>
      <c r="B1367" s="33"/>
      <c r="H1367" s="6">
        <v>0</v>
      </c>
      <c r="I1367" s="6">
        <v>0</v>
      </c>
      <c r="J1367" s="6">
        <v>0</v>
      </c>
    </row>
    <row r="1368" spans="1:10" ht="13" x14ac:dyDescent="0.15">
      <c r="A1368" s="33"/>
      <c r="B1368" s="33"/>
      <c r="H1368" s="6">
        <v>0</v>
      </c>
      <c r="I1368" s="6">
        <v>0</v>
      </c>
      <c r="J1368" s="6">
        <v>0</v>
      </c>
    </row>
    <row r="1369" spans="1:10" ht="13" x14ac:dyDescent="0.15">
      <c r="A1369" s="33"/>
      <c r="B1369" s="33"/>
      <c r="H1369" s="6">
        <v>0</v>
      </c>
      <c r="I1369" s="6">
        <v>0</v>
      </c>
      <c r="J1369" s="6">
        <v>0</v>
      </c>
    </row>
    <row r="1370" spans="1:10" ht="13" x14ac:dyDescent="0.15">
      <c r="A1370" s="33"/>
      <c r="B1370" s="33"/>
      <c r="H1370" s="6">
        <v>0</v>
      </c>
      <c r="I1370" s="6">
        <v>0</v>
      </c>
      <c r="J1370" s="6">
        <v>0</v>
      </c>
    </row>
    <row r="1371" spans="1:10" ht="13" x14ac:dyDescent="0.15">
      <c r="A1371" s="33"/>
      <c r="B1371" s="33"/>
      <c r="H1371" s="6">
        <v>0</v>
      </c>
      <c r="I1371" s="6">
        <v>0</v>
      </c>
      <c r="J1371" s="6">
        <v>0</v>
      </c>
    </row>
    <row r="1372" spans="1:10" ht="13" x14ac:dyDescent="0.15">
      <c r="A1372" s="33"/>
      <c r="B1372" s="33"/>
      <c r="H1372" s="6">
        <v>0</v>
      </c>
      <c r="I1372" s="6">
        <v>0</v>
      </c>
      <c r="J1372" s="6">
        <v>0</v>
      </c>
    </row>
    <row r="1373" spans="1:10" ht="13" x14ac:dyDescent="0.15">
      <c r="A1373" s="33"/>
      <c r="B1373" s="33"/>
      <c r="H1373" s="6">
        <v>0</v>
      </c>
      <c r="I1373" s="6">
        <v>0</v>
      </c>
      <c r="J1373" s="6">
        <v>0</v>
      </c>
    </row>
    <row r="1374" spans="1:10" ht="13" x14ac:dyDescent="0.15">
      <c r="A1374" s="33"/>
      <c r="B1374" s="33"/>
      <c r="H1374" s="6">
        <v>0</v>
      </c>
      <c r="I1374" s="6">
        <v>0</v>
      </c>
      <c r="J1374" s="6">
        <v>0</v>
      </c>
    </row>
    <row r="1375" spans="1:10" ht="13" x14ac:dyDescent="0.15">
      <c r="A1375" s="33"/>
      <c r="B1375" s="33"/>
      <c r="H1375" s="6">
        <v>0</v>
      </c>
      <c r="I1375" s="6">
        <v>0</v>
      </c>
      <c r="J1375" s="6">
        <v>0</v>
      </c>
    </row>
    <row r="1376" spans="1:10" ht="13" x14ac:dyDescent="0.15">
      <c r="A1376" s="33"/>
      <c r="B1376" s="33"/>
      <c r="H1376" s="6">
        <v>0</v>
      </c>
      <c r="I1376" s="6">
        <v>0</v>
      </c>
      <c r="J1376" s="6">
        <v>0</v>
      </c>
    </row>
    <row r="1377" spans="1:10" ht="13" x14ac:dyDescent="0.15">
      <c r="A1377" s="33"/>
      <c r="B1377" s="33"/>
      <c r="H1377" s="6">
        <v>0</v>
      </c>
      <c r="I1377" s="6">
        <v>0</v>
      </c>
      <c r="J1377" s="6">
        <v>0</v>
      </c>
    </row>
    <row r="1378" spans="1:10" ht="13" x14ac:dyDescent="0.15">
      <c r="A1378" s="33"/>
      <c r="B1378" s="33"/>
      <c r="H1378" s="6">
        <v>0</v>
      </c>
      <c r="I1378" s="6">
        <v>0</v>
      </c>
      <c r="J1378" s="6">
        <v>0</v>
      </c>
    </row>
    <row r="1379" spans="1:10" ht="13" x14ac:dyDescent="0.15">
      <c r="A1379" s="33"/>
      <c r="B1379" s="33"/>
      <c r="H1379" s="6">
        <v>0</v>
      </c>
      <c r="I1379" s="6">
        <v>0</v>
      </c>
      <c r="J1379" s="6">
        <v>0</v>
      </c>
    </row>
    <row r="1380" spans="1:10" ht="13" x14ac:dyDescent="0.15">
      <c r="A1380" s="33"/>
      <c r="B1380" s="33"/>
      <c r="H1380" s="6">
        <v>0</v>
      </c>
      <c r="I1380" s="6">
        <v>0</v>
      </c>
      <c r="J1380" s="6">
        <v>0</v>
      </c>
    </row>
    <row r="1381" spans="1:10" ht="13" x14ac:dyDescent="0.15">
      <c r="A1381" s="33"/>
      <c r="B1381" s="33"/>
      <c r="H1381" s="6">
        <v>0</v>
      </c>
      <c r="I1381" s="6">
        <v>0</v>
      </c>
      <c r="J1381" s="6">
        <v>0</v>
      </c>
    </row>
    <row r="1382" spans="1:10" ht="13" x14ac:dyDescent="0.15">
      <c r="A1382" s="33"/>
      <c r="B1382" s="33"/>
      <c r="H1382" s="6">
        <v>0</v>
      </c>
      <c r="I1382" s="6">
        <v>0</v>
      </c>
      <c r="J1382" s="6">
        <v>0</v>
      </c>
    </row>
    <row r="1383" spans="1:10" ht="13" x14ac:dyDescent="0.15">
      <c r="A1383" s="33"/>
      <c r="B1383" s="33"/>
      <c r="H1383" s="6">
        <v>0</v>
      </c>
      <c r="I1383" s="6">
        <v>0</v>
      </c>
      <c r="J1383" s="6">
        <v>0</v>
      </c>
    </row>
    <row r="1384" spans="1:10" ht="13" x14ac:dyDescent="0.15">
      <c r="A1384" s="33"/>
      <c r="B1384" s="33"/>
      <c r="H1384" s="6">
        <v>0</v>
      </c>
      <c r="I1384" s="6">
        <v>0</v>
      </c>
      <c r="J1384" s="6">
        <v>0</v>
      </c>
    </row>
    <row r="1385" spans="1:10" ht="13" x14ac:dyDescent="0.15">
      <c r="A1385" s="33"/>
      <c r="B1385" s="33"/>
      <c r="H1385" s="6">
        <v>0</v>
      </c>
      <c r="I1385" s="6">
        <v>0</v>
      </c>
      <c r="J1385" s="6">
        <v>0</v>
      </c>
    </row>
    <row r="1386" spans="1:10" ht="13" x14ac:dyDescent="0.15">
      <c r="A1386" s="33"/>
      <c r="B1386" s="33"/>
      <c r="H1386" s="6">
        <v>0</v>
      </c>
      <c r="I1386" s="6">
        <v>0</v>
      </c>
      <c r="J1386" s="6">
        <v>0</v>
      </c>
    </row>
    <row r="1387" spans="1:10" ht="13" x14ac:dyDescent="0.15">
      <c r="A1387" s="33"/>
      <c r="B1387" s="33"/>
      <c r="H1387" s="6">
        <v>0</v>
      </c>
      <c r="I1387" s="6">
        <v>0</v>
      </c>
      <c r="J1387" s="6">
        <v>0</v>
      </c>
    </row>
    <row r="1388" spans="1:10" ht="13" x14ac:dyDescent="0.15">
      <c r="A1388" s="33"/>
      <c r="B1388" s="33"/>
      <c r="H1388" s="6">
        <v>0</v>
      </c>
      <c r="I1388" s="6">
        <v>0</v>
      </c>
      <c r="J1388" s="6">
        <v>0</v>
      </c>
    </row>
    <row r="1389" spans="1:10" ht="13" x14ac:dyDescent="0.15">
      <c r="A1389" s="33"/>
      <c r="B1389" s="33"/>
      <c r="H1389" s="6">
        <v>0</v>
      </c>
      <c r="I1389" s="6">
        <v>0</v>
      </c>
      <c r="J1389" s="6">
        <v>0</v>
      </c>
    </row>
    <row r="1390" spans="1:10" ht="13" x14ac:dyDescent="0.15">
      <c r="A1390" s="33"/>
      <c r="B1390" s="33"/>
      <c r="H1390" s="6">
        <v>0</v>
      </c>
      <c r="I1390" s="6">
        <v>0</v>
      </c>
      <c r="J1390" s="6">
        <v>0</v>
      </c>
    </row>
    <row r="1391" spans="1:10" ht="13" x14ac:dyDescent="0.15">
      <c r="A1391" s="33"/>
      <c r="B1391" s="33"/>
      <c r="H1391" s="6">
        <v>0</v>
      </c>
      <c r="I1391" s="6">
        <v>0</v>
      </c>
      <c r="J1391" s="6">
        <v>0</v>
      </c>
    </row>
    <row r="1392" spans="1:10" ht="13" x14ac:dyDescent="0.15">
      <c r="A1392" s="33"/>
      <c r="B1392" s="33"/>
      <c r="H1392" s="6">
        <v>0</v>
      </c>
      <c r="I1392" s="6">
        <v>0</v>
      </c>
      <c r="J1392" s="6">
        <v>0</v>
      </c>
    </row>
    <row r="1393" spans="1:10" ht="13" x14ac:dyDescent="0.15">
      <c r="A1393" s="33"/>
      <c r="B1393" s="33"/>
      <c r="H1393" s="6">
        <v>0</v>
      </c>
      <c r="I1393" s="6">
        <v>0</v>
      </c>
      <c r="J1393" s="6">
        <v>0</v>
      </c>
    </row>
    <row r="1394" spans="1:10" ht="13" x14ac:dyDescent="0.15">
      <c r="A1394" s="33"/>
      <c r="B1394" s="33"/>
      <c r="H1394" s="6">
        <v>0</v>
      </c>
      <c r="I1394" s="6">
        <v>0</v>
      </c>
      <c r="J1394" s="6">
        <v>0</v>
      </c>
    </row>
    <row r="1395" spans="1:10" ht="13" x14ac:dyDescent="0.15">
      <c r="A1395" s="33"/>
      <c r="B1395" s="33"/>
      <c r="H1395" s="6">
        <v>0</v>
      </c>
      <c r="I1395" s="6">
        <v>0</v>
      </c>
      <c r="J1395" s="6">
        <v>0</v>
      </c>
    </row>
    <row r="1396" spans="1:10" ht="13" x14ac:dyDescent="0.15">
      <c r="A1396" s="33"/>
      <c r="B1396" s="33"/>
      <c r="H1396" s="6">
        <v>0</v>
      </c>
      <c r="I1396" s="6">
        <v>0</v>
      </c>
      <c r="J1396" s="6">
        <v>0</v>
      </c>
    </row>
    <row r="1397" spans="1:10" ht="13" x14ac:dyDescent="0.15">
      <c r="A1397" s="33"/>
      <c r="B1397" s="33"/>
      <c r="H1397" s="6">
        <v>0</v>
      </c>
      <c r="I1397" s="6">
        <v>0</v>
      </c>
      <c r="J1397" s="6">
        <v>0</v>
      </c>
    </row>
    <row r="1398" spans="1:10" ht="13" x14ac:dyDescent="0.15">
      <c r="A1398" s="33"/>
      <c r="B1398" s="33"/>
      <c r="H1398" s="6">
        <v>0</v>
      </c>
      <c r="I1398" s="6">
        <v>0</v>
      </c>
      <c r="J1398" s="6">
        <v>0</v>
      </c>
    </row>
    <row r="1399" spans="1:10" ht="13" x14ac:dyDescent="0.15">
      <c r="A1399" s="33"/>
      <c r="B1399" s="33"/>
      <c r="H1399" s="6">
        <v>0</v>
      </c>
      <c r="I1399" s="6">
        <v>0</v>
      </c>
      <c r="J1399" s="6">
        <v>0</v>
      </c>
    </row>
    <row r="1400" spans="1:10" ht="13" x14ac:dyDescent="0.15">
      <c r="A1400" s="33"/>
      <c r="B1400" s="33"/>
      <c r="H1400" s="6">
        <v>0</v>
      </c>
      <c r="I1400" s="6">
        <v>0</v>
      </c>
      <c r="J1400" s="6">
        <v>0</v>
      </c>
    </row>
    <row r="1401" spans="1:10" ht="13" x14ac:dyDescent="0.15">
      <c r="A1401" s="33"/>
      <c r="B1401" s="33"/>
      <c r="H1401" s="6">
        <v>0</v>
      </c>
      <c r="I1401" s="6">
        <v>0</v>
      </c>
      <c r="J1401" s="6">
        <v>0</v>
      </c>
    </row>
    <row r="1402" spans="1:10" ht="13" x14ac:dyDescent="0.15">
      <c r="A1402" s="33"/>
      <c r="B1402" s="33"/>
      <c r="H1402" s="6">
        <v>0</v>
      </c>
      <c r="I1402" s="6">
        <v>0</v>
      </c>
      <c r="J1402" s="6">
        <v>0</v>
      </c>
    </row>
    <row r="1403" spans="1:10" ht="13" x14ac:dyDescent="0.15">
      <c r="A1403" s="33"/>
      <c r="B1403" s="33"/>
      <c r="H1403" s="6">
        <v>0</v>
      </c>
      <c r="I1403" s="6">
        <v>0</v>
      </c>
      <c r="J1403" s="6">
        <v>0</v>
      </c>
    </row>
    <row r="1404" spans="1:10" ht="13" x14ac:dyDescent="0.15">
      <c r="A1404" s="33"/>
      <c r="B1404" s="33"/>
      <c r="H1404" s="6">
        <v>0</v>
      </c>
      <c r="I1404" s="6">
        <v>0</v>
      </c>
      <c r="J1404" s="6">
        <v>0</v>
      </c>
    </row>
    <row r="1405" spans="1:10" ht="13" x14ac:dyDescent="0.15">
      <c r="A1405" s="33"/>
      <c r="B1405" s="33"/>
      <c r="H1405" s="6">
        <v>0</v>
      </c>
      <c r="I1405" s="6">
        <v>0</v>
      </c>
      <c r="J1405" s="6">
        <v>0</v>
      </c>
    </row>
    <row r="1406" spans="1:10" ht="13" x14ac:dyDescent="0.15">
      <c r="A1406" s="33"/>
      <c r="B1406" s="33"/>
      <c r="H1406" s="6">
        <v>0</v>
      </c>
      <c r="I1406" s="6">
        <v>0</v>
      </c>
      <c r="J1406" s="6">
        <v>0</v>
      </c>
    </row>
    <row r="1407" spans="1:10" ht="13" x14ac:dyDescent="0.15">
      <c r="A1407" s="33"/>
      <c r="B1407" s="33"/>
      <c r="H1407" s="6">
        <v>0</v>
      </c>
      <c r="I1407" s="6">
        <v>0</v>
      </c>
      <c r="J1407" s="6">
        <v>0</v>
      </c>
    </row>
    <row r="1408" spans="1:10" ht="13" x14ac:dyDescent="0.15">
      <c r="A1408" s="33"/>
      <c r="B1408" s="33"/>
      <c r="H1408" s="6">
        <v>0</v>
      </c>
      <c r="I1408" s="6">
        <v>0</v>
      </c>
      <c r="J1408" s="6">
        <v>0</v>
      </c>
    </row>
    <row r="1409" spans="1:10" ht="13" x14ac:dyDescent="0.15">
      <c r="A1409" s="33"/>
      <c r="B1409" s="33"/>
      <c r="H1409" s="6">
        <v>0</v>
      </c>
      <c r="I1409" s="6">
        <v>0</v>
      </c>
      <c r="J1409" s="6">
        <v>0</v>
      </c>
    </row>
    <row r="1410" spans="1:10" ht="13" x14ac:dyDescent="0.15">
      <c r="A1410" s="33"/>
      <c r="B1410" s="33"/>
      <c r="H1410" s="6">
        <v>0</v>
      </c>
      <c r="I1410" s="6">
        <v>0</v>
      </c>
      <c r="J1410" s="6">
        <v>0</v>
      </c>
    </row>
    <row r="1411" spans="1:10" ht="13" x14ac:dyDescent="0.15">
      <c r="A1411" s="33"/>
      <c r="B1411" s="33"/>
      <c r="H1411" s="6">
        <v>0</v>
      </c>
      <c r="I1411" s="6">
        <v>0</v>
      </c>
      <c r="J1411" s="6">
        <v>0</v>
      </c>
    </row>
    <row r="1412" spans="1:10" ht="13" x14ac:dyDescent="0.15">
      <c r="A1412" s="33"/>
      <c r="B1412" s="33"/>
      <c r="H1412" s="6">
        <v>0</v>
      </c>
      <c r="I1412" s="6">
        <v>0</v>
      </c>
      <c r="J1412" s="6">
        <v>0</v>
      </c>
    </row>
    <row r="1413" spans="1:10" ht="13" x14ac:dyDescent="0.15">
      <c r="A1413" s="33"/>
      <c r="B1413" s="33"/>
      <c r="H1413" s="6">
        <v>0</v>
      </c>
      <c r="I1413" s="6">
        <v>0</v>
      </c>
      <c r="J1413" s="6">
        <v>0</v>
      </c>
    </row>
    <row r="1414" spans="1:10" ht="13" x14ac:dyDescent="0.15">
      <c r="A1414" s="33"/>
      <c r="B1414" s="33"/>
      <c r="H1414" s="6">
        <v>0</v>
      </c>
      <c r="I1414" s="6">
        <v>0</v>
      </c>
      <c r="J1414" s="6">
        <v>0</v>
      </c>
    </row>
    <row r="1415" spans="1:10" ht="13" x14ac:dyDescent="0.15">
      <c r="A1415" s="33"/>
      <c r="B1415" s="33"/>
      <c r="H1415" s="6">
        <v>0</v>
      </c>
      <c r="I1415" s="6">
        <v>0</v>
      </c>
      <c r="J1415" s="6">
        <v>0</v>
      </c>
    </row>
    <row r="1416" spans="1:10" ht="13" x14ac:dyDescent="0.15">
      <c r="A1416" s="33"/>
      <c r="B1416" s="33"/>
      <c r="H1416" s="6">
        <v>0</v>
      </c>
      <c r="I1416" s="6">
        <v>0</v>
      </c>
      <c r="J1416" s="6">
        <v>0</v>
      </c>
    </row>
    <row r="1417" spans="1:10" ht="13" x14ac:dyDescent="0.15">
      <c r="A1417" s="33"/>
      <c r="B1417" s="33"/>
      <c r="H1417" s="6">
        <v>0</v>
      </c>
      <c r="I1417" s="6">
        <v>0</v>
      </c>
      <c r="J1417" s="6">
        <v>0</v>
      </c>
    </row>
    <row r="1418" spans="1:10" ht="13" x14ac:dyDescent="0.15">
      <c r="A1418" s="33"/>
      <c r="B1418" s="33"/>
      <c r="H1418" s="6">
        <v>0</v>
      </c>
      <c r="I1418" s="6">
        <v>0</v>
      </c>
      <c r="J1418" s="6">
        <v>0</v>
      </c>
    </row>
    <row r="1419" spans="1:10" ht="13" x14ac:dyDescent="0.15">
      <c r="A1419" s="33"/>
      <c r="B1419" s="33"/>
      <c r="H1419" s="6">
        <v>0</v>
      </c>
      <c r="I1419" s="6">
        <v>0</v>
      </c>
      <c r="J1419" s="6">
        <v>0</v>
      </c>
    </row>
    <row r="1420" spans="1:10" ht="13" x14ac:dyDescent="0.15">
      <c r="A1420" s="33"/>
      <c r="B1420" s="33"/>
      <c r="H1420" s="6">
        <v>0</v>
      </c>
      <c r="I1420" s="6">
        <v>0</v>
      </c>
      <c r="J1420" s="6">
        <v>0</v>
      </c>
    </row>
    <row r="1421" spans="1:10" ht="13" x14ac:dyDescent="0.15">
      <c r="A1421" s="33"/>
      <c r="B1421" s="33"/>
      <c r="H1421" s="6">
        <v>0</v>
      </c>
      <c r="I1421" s="6">
        <v>0</v>
      </c>
      <c r="J1421" s="6">
        <v>0</v>
      </c>
    </row>
    <row r="1422" spans="1:10" ht="13" x14ac:dyDescent="0.15">
      <c r="A1422" s="33"/>
      <c r="B1422" s="33"/>
      <c r="H1422" s="6">
        <v>0</v>
      </c>
      <c r="I1422" s="6">
        <v>0</v>
      </c>
      <c r="J1422" s="6">
        <v>0</v>
      </c>
    </row>
    <row r="1423" spans="1:10" ht="13" x14ac:dyDescent="0.15">
      <c r="A1423" s="33"/>
      <c r="B1423" s="33"/>
      <c r="H1423" s="6">
        <v>0</v>
      </c>
      <c r="I1423" s="6">
        <v>0</v>
      </c>
      <c r="J1423" s="6">
        <v>0</v>
      </c>
    </row>
    <row r="1424" spans="1:10" ht="13" x14ac:dyDescent="0.15">
      <c r="A1424" s="33"/>
      <c r="B1424" s="33"/>
      <c r="H1424" s="6">
        <v>0</v>
      </c>
      <c r="I1424" s="6">
        <v>0</v>
      </c>
      <c r="J1424" s="6">
        <v>0</v>
      </c>
    </row>
    <row r="1425" spans="1:10" ht="13" x14ac:dyDescent="0.15">
      <c r="A1425" s="33"/>
      <c r="B1425" s="33"/>
      <c r="H1425" s="6">
        <v>0</v>
      </c>
      <c r="I1425" s="6">
        <v>0</v>
      </c>
      <c r="J1425" s="6">
        <v>0</v>
      </c>
    </row>
    <row r="1426" spans="1:10" ht="13" x14ac:dyDescent="0.15">
      <c r="A1426" s="33"/>
      <c r="B1426" s="33"/>
      <c r="H1426" s="6">
        <v>0</v>
      </c>
      <c r="I1426" s="6">
        <v>0</v>
      </c>
      <c r="J1426" s="6">
        <v>0</v>
      </c>
    </row>
    <row r="1427" spans="1:10" ht="13" x14ac:dyDescent="0.15">
      <c r="A1427" s="33"/>
      <c r="B1427" s="33"/>
      <c r="H1427" s="6">
        <v>0</v>
      </c>
      <c r="I1427" s="6">
        <v>0</v>
      </c>
      <c r="J1427" s="6">
        <v>0</v>
      </c>
    </row>
    <row r="1428" spans="1:10" ht="13" x14ac:dyDescent="0.15">
      <c r="A1428" s="33"/>
      <c r="B1428" s="33"/>
      <c r="H1428" s="6">
        <v>0</v>
      </c>
      <c r="I1428" s="6">
        <v>0</v>
      </c>
      <c r="J1428" s="6">
        <v>0</v>
      </c>
    </row>
    <row r="1429" spans="1:10" ht="13" x14ac:dyDescent="0.15">
      <c r="A1429" s="33"/>
      <c r="B1429" s="33"/>
      <c r="H1429" s="6">
        <v>0</v>
      </c>
      <c r="I1429" s="6">
        <v>0</v>
      </c>
      <c r="J1429" s="6">
        <v>0</v>
      </c>
    </row>
    <row r="1430" spans="1:10" ht="13" x14ac:dyDescent="0.15">
      <c r="A1430" s="33"/>
      <c r="B1430" s="33"/>
      <c r="H1430" s="6">
        <v>0</v>
      </c>
      <c r="I1430" s="6">
        <v>0</v>
      </c>
      <c r="J1430" s="6">
        <v>0</v>
      </c>
    </row>
    <row r="1431" spans="1:10" ht="13" x14ac:dyDescent="0.15">
      <c r="A1431" s="33"/>
      <c r="B1431" s="33"/>
      <c r="H1431" s="6">
        <v>0</v>
      </c>
      <c r="I1431" s="6">
        <v>0</v>
      </c>
      <c r="J1431" s="6">
        <v>0</v>
      </c>
    </row>
    <row r="1432" spans="1:10" ht="13" x14ac:dyDescent="0.15">
      <c r="A1432" s="33"/>
      <c r="B1432" s="33"/>
      <c r="H1432" s="6">
        <v>0</v>
      </c>
      <c r="I1432" s="6">
        <v>0</v>
      </c>
      <c r="J1432" s="6">
        <v>0</v>
      </c>
    </row>
    <row r="1433" spans="1:10" ht="13" x14ac:dyDescent="0.15">
      <c r="A1433" s="33"/>
      <c r="B1433" s="33"/>
      <c r="H1433" s="6">
        <v>0</v>
      </c>
      <c r="I1433" s="6">
        <v>0</v>
      </c>
      <c r="J1433" s="6">
        <v>0</v>
      </c>
    </row>
    <row r="1434" spans="1:10" ht="13" x14ac:dyDescent="0.15">
      <c r="A1434" s="33"/>
      <c r="B1434" s="33"/>
      <c r="H1434" s="6">
        <v>0</v>
      </c>
      <c r="I1434" s="6">
        <v>0</v>
      </c>
      <c r="J1434" s="6">
        <v>0</v>
      </c>
    </row>
    <row r="1435" spans="1:10" ht="13" x14ac:dyDescent="0.15">
      <c r="A1435" s="33"/>
      <c r="B1435" s="33"/>
      <c r="H1435" s="6">
        <v>0</v>
      </c>
      <c r="I1435" s="6">
        <v>0</v>
      </c>
      <c r="J1435" s="6">
        <v>0</v>
      </c>
    </row>
    <row r="1436" spans="1:10" ht="13" x14ac:dyDescent="0.15">
      <c r="A1436" s="33"/>
      <c r="B1436" s="33"/>
      <c r="H1436" s="6">
        <v>0</v>
      </c>
      <c r="I1436" s="6">
        <v>0</v>
      </c>
      <c r="J1436" s="6">
        <v>0</v>
      </c>
    </row>
    <row r="1437" spans="1:10" ht="13" x14ac:dyDescent="0.15">
      <c r="A1437" s="33"/>
      <c r="B1437" s="33"/>
      <c r="H1437" s="6">
        <v>0</v>
      </c>
      <c r="I1437" s="6">
        <v>0</v>
      </c>
      <c r="J1437" s="6">
        <v>0</v>
      </c>
    </row>
    <row r="1438" spans="1:10" ht="13" x14ac:dyDescent="0.15">
      <c r="A1438" s="33"/>
      <c r="B1438" s="33"/>
      <c r="H1438" s="6">
        <v>0</v>
      </c>
      <c r="I1438" s="6">
        <v>0</v>
      </c>
      <c r="J1438" s="6">
        <v>0</v>
      </c>
    </row>
    <row r="1439" spans="1:10" ht="13" x14ac:dyDescent="0.15">
      <c r="A1439" s="33"/>
      <c r="B1439" s="33"/>
      <c r="H1439" s="6">
        <v>0</v>
      </c>
      <c r="I1439" s="6">
        <v>0</v>
      </c>
      <c r="J1439" s="6">
        <v>0</v>
      </c>
    </row>
    <row r="1440" spans="1:10" ht="13" x14ac:dyDescent="0.15">
      <c r="A1440" s="33"/>
      <c r="B1440" s="33"/>
      <c r="H1440" s="6">
        <v>0</v>
      </c>
      <c r="I1440" s="6">
        <v>0</v>
      </c>
      <c r="J1440" s="6">
        <v>0</v>
      </c>
    </row>
    <row r="1441" spans="1:10" ht="13" x14ac:dyDescent="0.15">
      <c r="A1441" s="33"/>
      <c r="B1441" s="33"/>
      <c r="H1441" s="6">
        <v>0</v>
      </c>
      <c r="I1441" s="6">
        <v>0</v>
      </c>
      <c r="J1441" s="6">
        <v>0</v>
      </c>
    </row>
    <row r="1442" spans="1:10" ht="13" x14ac:dyDescent="0.15">
      <c r="A1442" s="33"/>
      <c r="B1442" s="33"/>
      <c r="H1442" s="6">
        <v>0</v>
      </c>
      <c r="I1442" s="6">
        <v>0</v>
      </c>
      <c r="J1442" s="6">
        <v>0</v>
      </c>
    </row>
    <row r="1443" spans="1:10" ht="13" x14ac:dyDescent="0.15">
      <c r="A1443" s="33"/>
      <c r="B1443" s="33"/>
      <c r="H1443" s="6">
        <v>0</v>
      </c>
      <c r="I1443" s="6">
        <v>0</v>
      </c>
      <c r="J1443" s="6">
        <v>0</v>
      </c>
    </row>
    <row r="1444" spans="1:10" ht="13" x14ac:dyDescent="0.15">
      <c r="A1444" s="33"/>
      <c r="B1444" s="33"/>
      <c r="H1444" s="6">
        <v>0</v>
      </c>
      <c r="I1444" s="6">
        <v>0</v>
      </c>
      <c r="J1444" s="6">
        <v>0</v>
      </c>
    </row>
    <row r="1445" spans="1:10" ht="13" x14ac:dyDescent="0.15">
      <c r="A1445" s="33"/>
      <c r="B1445" s="33"/>
      <c r="H1445" s="6">
        <v>0</v>
      </c>
      <c r="I1445" s="6">
        <v>0</v>
      </c>
      <c r="J1445" s="6">
        <v>0</v>
      </c>
    </row>
    <row r="1446" spans="1:10" ht="13" x14ac:dyDescent="0.15">
      <c r="A1446" s="33"/>
      <c r="B1446" s="33"/>
      <c r="H1446" s="6">
        <v>0</v>
      </c>
      <c r="I1446" s="6">
        <v>0</v>
      </c>
      <c r="J1446" s="6">
        <v>0</v>
      </c>
    </row>
    <row r="1447" spans="1:10" ht="13" x14ac:dyDescent="0.15">
      <c r="A1447" s="33"/>
      <c r="B1447" s="33"/>
      <c r="H1447" s="6">
        <v>0</v>
      </c>
      <c r="I1447" s="6">
        <v>0</v>
      </c>
      <c r="J1447" s="6">
        <v>0</v>
      </c>
    </row>
    <row r="1448" spans="1:10" ht="13" x14ac:dyDescent="0.15">
      <c r="A1448" s="33"/>
      <c r="B1448" s="33"/>
      <c r="H1448" s="6">
        <v>0</v>
      </c>
      <c r="I1448" s="6">
        <v>0</v>
      </c>
      <c r="J1448" s="6">
        <v>0</v>
      </c>
    </row>
    <row r="1449" spans="1:10" ht="13" x14ac:dyDescent="0.15">
      <c r="A1449" s="33"/>
      <c r="B1449" s="33"/>
      <c r="H1449" s="6">
        <v>0</v>
      </c>
      <c r="I1449" s="6">
        <v>0</v>
      </c>
      <c r="J1449" s="6">
        <v>0</v>
      </c>
    </row>
    <row r="1450" spans="1:10" ht="13" x14ac:dyDescent="0.15">
      <c r="A1450" s="33"/>
      <c r="B1450" s="33"/>
      <c r="H1450" s="6">
        <v>0</v>
      </c>
      <c r="I1450" s="6">
        <v>0</v>
      </c>
      <c r="J1450" s="6">
        <v>0</v>
      </c>
    </row>
    <row r="1451" spans="1:10" ht="13" x14ac:dyDescent="0.15">
      <c r="A1451" s="33"/>
      <c r="B1451" s="33"/>
      <c r="H1451" s="6">
        <v>0</v>
      </c>
      <c r="I1451" s="6">
        <v>0</v>
      </c>
      <c r="J1451" s="6">
        <v>0</v>
      </c>
    </row>
    <row r="1452" spans="1:10" ht="13" x14ac:dyDescent="0.15">
      <c r="A1452" s="33"/>
      <c r="B1452" s="33"/>
      <c r="H1452" s="6">
        <v>0</v>
      </c>
      <c r="I1452" s="6">
        <v>0</v>
      </c>
      <c r="J1452" s="6">
        <v>0</v>
      </c>
    </row>
    <row r="1453" spans="1:10" ht="13" x14ac:dyDescent="0.15">
      <c r="A1453" s="33"/>
      <c r="B1453" s="33"/>
      <c r="H1453" s="6">
        <v>0</v>
      </c>
      <c r="I1453" s="6">
        <v>0</v>
      </c>
      <c r="J1453" s="6">
        <v>0</v>
      </c>
    </row>
    <row r="1454" spans="1:10" ht="13" x14ac:dyDescent="0.15">
      <c r="A1454" s="33"/>
      <c r="B1454" s="33"/>
      <c r="H1454" s="6">
        <v>0</v>
      </c>
      <c r="I1454" s="6">
        <v>0</v>
      </c>
      <c r="J1454" s="6">
        <v>0</v>
      </c>
    </row>
    <row r="1455" spans="1:10" ht="13" x14ac:dyDescent="0.15">
      <c r="A1455" s="33"/>
      <c r="B1455" s="33"/>
      <c r="H1455" s="6">
        <v>0</v>
      </c>
      <c r="I1455" s="6">
        <v>0</v>
      </c>
      <c r="J1455" s="6">
        <v>0</v>
      </c>
    </row>
    <row r="1456" spans="1:10" ht="13" x14ac:dyDescent="0.15">
      <c r="A1456" s="33"/>
      <c r="B1456" s="33"/>
      <c r="H1456" s="6">
        <v>0</v>
      </c>
      <c r="I1456" s="6">
        <v>0</v>
      </c>
      <c r="J1456" s="6">
        <v>0</v>
      </c>
    </row>
    <row r="1457" spans="1:10" ht="13" x14ac:dyDescent="0.15">
      <c r="A1457" s="33"/>
      <c r="B1457" s="33"/>
      <c r="H1457" s="6">
        <v>0</v>
      </c>
      <c r="I1457" s="6">
        <v>0</v>
      </c>
      <c r="J1457" s="6">
        <v>0</v>
      </c>
    </row>
    <row r="1458" spans="1:10" ht="13" x14ac:dyDescent="0.15">
      <c r="A1458" s="33"/>
      <c r="B1458" s="33"/>
      <c r="H1458" s="6">
        <v>0</v>
      </c>
      <c r="I1458" s="6">
        <v>0</v>
      </c>
      <c r="J1458" s="6">
        <v>0</v>
      </c>
    </row>
    <row r="1459" spans="1:10" ht="13" x14ac:dyDescent="0.15">
      <c r="A1459" s="33"/>
      <c r="B1459" s="33"/>
      <c r="H1459" s="6">
        <v>0</v>
      </c>
      <c r="I1459" s="6">
        <v>0</v>
      </c>
      <c r="J1459" s="6">
        <v>0</v>
      </c>
    </row>
    <row r="1460" spans="1:10" ht="13" x14ac:dyDescent="0.15">
      <c r="A1460" s="33"/>
      <c r="B1460" s="33"/>
      <c r="H1460" s="6">
        <v>0</v>
      </c>
      <c r="I1460" s="6">
        <v>0</v>
      </c>
      <c r="J1460" s="6">
        <v>0</v>
      </c>
    </row>
    <row r="1461" spans="1:10" ht="13" x14ac:dyDescent="0.15">
      <c r="A1461" s="33"/>
      <c r="B1461" s="33"/>
      <c r="H1461" s="6">
        <v>0</v>
      </c>
      <c r="I1461" s="6">
        <v>0</v>
      </c>
      <c r="J1461" s="6">
        <v>0</v>
      </c>
    </row>
    <row r="1462" spans="1:10" ht="13" x14ac:dyDescent="0.15">
      <c r="A1462" s="33"/>
      <c r="B1462" s="33"/>
      <c r="H1462" s="6">
        <v>0</v>
      </c>
      <c r="I1462" s="6">
        <v>0</v>
      </c>
      <c r="J1462" s="6">
        <v>0</v>
      </c>
    </row>
    <row r="1463" spans="1:10" ht="13" x14ac:dyDescent="0.15">
      <c r="A1463" s="33"/>
      <c r="B1463" s="33"/>
      <c r="H1463" s="6">
        <v>0</v>
      </c>
      <c r="I1463" s="6">
        <v>0</v>
      </c>
      <c r="J1463" s="6">
        <v>0</v>
      </c>
    </row>
    <row r="1464" spans="1:10" ht="13" x14ac:dyDescent="0.15">
      <c r="A1464" s="33"/>
      <c r="B1464" s="33"/>
      <c r="H1464" s="6">
        <v>0</v>
      </c>
      <c r="I1464" s="6">
        <v>0</v>
      </c>
      <c r="J1464" s="6">
        <v>0</v>
      </c>
    </row>
    <row r="1465" spans="1:10" ht="13" x14ac:dyDescent="0.15">
      <c r="A1465" s="33"/>
      <c r="B1465" s="33"/>
      <c r="H1465" s="6">
        <v>0</v>
      </c>
      <c r="I1465" s="6">
        <v>0</v>
      </c>
      <c r="J1465" s="6">
        <v>0</v>
      </c>
    </row>
    <row r="1466" spans="1:10" ht="13" x14ac:dyDescent="0.15">
      <c r="A1466" s="33"/>
      <c r="B1466" s="33"/>
      <c r="H1466" s="6">
        <v>0</v>
      </c>
      <c r="I1466" s="6">
        <v>0</v>
      </c>
      <c r="J1466" s="6">
        <v>0</v>
      </c>
    </row>
    <row r="1467" spans="1:10" ht="13" x14ac:dyDescent="0.15">
      <c r="A1467" s="33"/>
      <c r="B1467" s="33"/>
      <c r="H1467" s="6">
        <v>0</v>
      </c>
      <c r="I1467" s="6">
        <v>0</v>
      </c>
      <c r="J1467" s="6">
        <v>0</v>
      </c>
    </row>
    <row r="1468" spans="1:10" ht="13" x14ac:dyDescent="0.15">
      <c r="A1468" s="33"/>
      <c r="B1468" s="33"/>
      <c r="H1468" s="6">
        <v>0</v>
      </c>
      <c r="I1468" s="6">
        <v>0</v>
      </c>
      <c r="J1468" s="6">
        <v>0</v>
      </c>
    </row>
    <row r="1469" spans="1:10" ht="13" x14ac:dyDescent="0.15">
      <c r="A1469" s="33"/>
      <c r="B1469" s="33"/>
      <c r="H1469" s="6">
        <v>0</v>
      </c>
      <c r="I1469" s="6">
        <v>0</v>
      </c>
      <c r="J1469" s="6">
        <v>0</v>
      </c>
    </row>
    <row r="1470" spans="1:10" ht="13" x14ac:dyDescent="0.15">
      <c r="A1470" s="33"/>
      <c r="B1470" s="33"/>
      <c r="H1470" s="6">
        <v>0</v>
      </c>
      <c r="I1470" s="6">
        <v>0</v>
      </c>
      <c r="J1470" s="6">
        <v>0</v>
      </c>
    </row>
    <row r="1471" spans="1:10" ht="13" x14ac:dyDescent="0.15">
      <c r="A1471" s="33"/>
      <c r="B1471" s="33"/>
      <c r="H1471" s="6">
        <v>0</v>
      </c>
      <c r="I1471" s="6">
        <v>0</v>
      </c>
      <c r="J1471" s="6">
        <v>0</v>
      </c>
    </row>
    <row r="1472" spans="1:10" ht="13" x14ac:dyDescent="0.15">
      <c r="A1472" s="33"/>
      <c r="B1472" s="33"/>
      <c r="H1472" s="6">
        <v>0</v>
      </c>
      <c r="I1472" s="6">
        <v>0</v>
      </c>
      <c r="J1472" s="6">
        <v>0</v>
      </c>
    </row>
    <row r="1473" spans="1:10" ht="13" x14ac:dyDescent="0.15">
      <c r="A1473" s="33"/>
      <c r="B1473" s="33"/>
      <c r="H1473" s="6">
        <v>0</v>
      </c>
      <c r="I1473" s="6">
        <v>0</v>
      </c>
      <c r="J1473" s="6">
        <v>0</v>
      </c>
    </row>
    <row r="1474" spans="1:10" ht="13" x14ac:dyDescent="0.15">
      <c r="A1474" s="33"/>
      <c r="B1474" s="33"/>
      <c r="H1474" s="6">
        <v>0</v>
      </c>
      <c r="I1474" s="6">
        <v>0</v>
      </c>
      <c r="J1474" s="6">
        <v>0</v>
      </c>
    </row>
    <row r="1475" spans="1:10" ht="13" x14ac:dyDescent="0.15">
      <c r="A1475" s="33"/>
      <c r="B1475" s="33"/>
      <c r="H1475" s="6">
        <v>0</v>
      </c>
      <c r="I1475" s="6">
        <v>0</v>
      </c>
      <c r="J1475" s="6">
        <v>0</v>
      </c>
    </row>
    <row r="1476" spans="1:10" ht="13" x14ac:dyDescent="0.15">
      <c r="A1476" s="33"/>
      <c r="B1476" s="33"/>
      <c r="H1476" s="6">
        <v>0</v>
      </c>
      <c r="I1476" s="6">
        <v>0</v>
      </c>
      <c r="J1476" s="6">
        <v>0</v>
      </c>
    </row>
    <row r="1477" spans="1:10" ht="13" x14ac:dyDescent="0.15">
      <c r="A1477" s="33"/>
      <c r="B1477" s="33"/>
      <c r="H1477" s="6">
        <v>0</v>
      </c>
      <c r="I1477" s="6">
        <v>0</v>
      </c>
      <c r="J1477" s="6">
        <v>0</v>
      </c>
    </row>
    <row r="1478" spans="1:10" ht="13" x14ac:dyDescent="0.15">
      <c r="A1478" s="33"/>
      <c r="B1478" s="33"/>
      <c r="H1478" s="6">
        <v>0</v>
      </c>
      <c r="I1478" s="6">
        <v>0</v>
      </c>
      <c r="J1478" s="6">
        <v>0</v>
      </c>
    </row>
    <row r="1479" spans="1:10" ht="13" x14ac:dyDescent="0.15">
      <c r="A1479" s="33"/>
      <c r="B1479" s="33"/>
      <c r="H1479" s="6">
        <v>0</v>
      </c>
      <c r="I1479" s="6">
        <v>0</v>
      </c>
      <c r="J1479" s="6">
        <v>0</v>
      </c>
    </row>
    <row r="1480" spans="1:10" ht="13" x14ac:dyDescent="0.15">
      <c r="A1480" s="33"/>
      <c r="B1480" s="33"/>
      <c r="H1480" s="6">
        <v>0</v>
      </c>
      <c r="I1480" s="6">
        <v>0</v>
      </c>
      <c r="J1480" s="6">
        <v>0</v>
      </c>
    </row>
    <row r="1481" spans="1:10" ht="13" x14ac:dyDescent="0.15">
      <c r="A1481" s="33"/>
      <c r="B1481" s="33"/>
      <c r="H1481" s="6">
        <v>0</v>
      </c>
      <c r="I1481" s="6">
        <v>0</v>
      </c>
      <c r="J1481" s="6">
        <v>0</v>
      </c>
    </row>
    <row r="1482" spans="1:10" ht="13" x14ac:dyDescent="0.15">
      <c r="A1482" s="33"/>
      <c r="B1482" s="33"/>
      <c r="H1482" s="6">
        <v>0</v>
      </c>
      <c r="I1482" s="6">
        <v>0</v>
      </c>
      <c r="J1482" s="6">
        <v>0</v>
      </c>
    </row>
    <row r="1483" spans="1:10" ht="13" x14ac:dyDescent="0.15">
      <c r="A1483" s="33"/>
      <c r="B1483" s="33"/>
      <c r="H1483" s="6">
        <v>0</v>
      </c>
      <c r="I1483" s="6">
        <v>0</v>
      </c>
      <c r="J1483" s="6">
        <v>0</v>
      </c>
    </row>
    <row r="1484" spans="1:10" ht="13" x14ac:dyDescent="0.15">
      <c r="A1484" s="33"/>
      <c r="B1484" s="33"/>
      <c r="H1484" s="6">
        <v>0</v>
      </c>
      <c r="I1484" s="6">
        <v>0</v>
      </c>
      <c r="J1484" s="6">
        <v>0</v>
      </c>
    </row>
    <row r="1485" spans="1:10" ht="13" x14ac:dyDescent="0.15">
      <c r="A1485" s="33"/>
      <c r="B1485" s="33"/>
      <c r="H1485" s="6">
        <v>0</v>
      </c>
      <c r="I1485" s="6">
        <v>0</v>
      </c>
      <c r="J1485" s="6">
        <v>0</v>
      </c>
    </row>
    <row r="1486" spans="1:10" ht="13" x14ac:dyDescent="0.15">
      <c r="A1486" s="33"/>
      <c r="B1486" s="33"/>
      <c r="H1486" s="6">
        <v>0</v>
      </c>
      <c r="I1486" s="6">
        <v>0</v>
      </c>
      <c r="J1486" s="6">
        <v>0</v>
      </c>
    </row>
    <row r="1487" spans="1:10" ht="13" x14ac:dyDescent="0.15">
      <c r="A1487" s="33"/>
      <c r="B1487" s="33"/>
      <c r="H1487" s="6">
        <v>0</v>
      </c>
      <c r="I1487" s="6">
        <v>0</v>
      </c>
      <c r="J1487" s="6">
        <v>0</v>
      </c>
    </row>
    <row r="1488" spans="1:10" ht="13" x14ac:dyDescent="0.15">
      <c r="A1488" s="33"/>
      <c r="B1488" s="33"/>
      <c r="H1488" s="6">
        <v>0</v>
      </c>
      <c r="I1488" s="6">
        <v>0</v>
      </c>
      <c r="J1488" s="6">
        <v>0</v>
      </c>
    </row>
    <row r="1489" spans="1:10" ht="13" x14ac:dyDescent="0.15">
      <c r="A1489" s="33"/>
      <c r="B1489" s="33"/>
      <c r="H1489" s="6">
        <v>0</v>
      </c>
      <c r="I1489" s="6">
        <v>0</v>
      </c>
      <c r="J1489" s="6">
        <v>0</v>
      </c>
    </row>
    <row r="1490" spans="1:10" ht="13" x14ac:dyDescent="0.15">
      <c r="A1490" s="33"/>
      <c r="B1490" s="33"/>
      <c r="H1490" s="6">
        <v>0</v>
      </c>
      <c r="I1490" s="6">
        <v>0</v>
      </c>
      <c r="J1490" s="6">
        <v>0</v>
      </c>
    </row>
    <row r="1491" spans="1:10" ht="13" x14ac:dyDescent="0.15">
      <c r="A1491" s="33"/>
      <c r="B1491" s="33"/>
      <c r="H1491" s="6">
        <v>0</v>
      </c>
      <c r="I1491" s="6">
        <v>0</v>
      </c>
      <c r="J1491" s="6">
        <v>0</v>
      </c>
    </row>
    <row r="1492" spans="1:10" ht="13" x14ac:dyDescent="0.15">
      <c r="A1492" s="33"/>
      <c r="B1492" s="33"/>
      <c r="H1492" s="6">
        <v>0</v>
      </c>
      <c r="I1492" s="6">
        <v>0</v>
      </c>
      <c r="J1492" s="6">
        <v>0</v>
      </c>
    </row>
    <row r="1493" spans="1:10" ht="13" x14ac:dyDescent="0.15">
      <c r="A1493" s="33"/>
      <c r="B1493" s="33"/>
      <c r="H1493" s="6">
        <v>0</v>
      </c>
      <c r="I1493" s="6">
        <v>0</v>
      </c>
      <c r="J1493" s="6">
        <v>0</v>
      </c>
    </row>
    <row r="1494" spans="1:10" ht="13" x14ac:dyDescent="0.15">
      <c r="A1494" s="33"/>
      <c r="B1494" s="33"/>
      <c r="H1494" s="6">
        <v>0</v>
      </c>
      <c r="I1494" s="6">
        <v>0</v>
      </c>
      <c r="J1494" s="6">
        <v>0</v>
      </c>
    </row>
    <row r="1495" spans="1:10" ht="13" x14ac:dyDescent="0.15">
      <c r="A1495" s="33"/>
      <c r="B1495" s="33"/>
      <c r="H1495" s="6">
        <v>0</v>
      </c>
      <c r="I1495" s="6">
        <v>0</v>
      </c>
      <c r="J1495" s="6">
        <v>0</v>
      </c>
    </row>
    <row r="1496" spans="1:10" ht="13" x14ac:dyDescent="0.15">
      <c r="A1496" s="33"/>
      <c r="B1496" s="33"/>
      <c r="H1496" s="6">
        <v>0</v>
      </c>
      <c r="I1496" s="6">
        <v>0</v>
      </c>
      <c r="J1496" s="6">
        <v>0</v>
      </c>
    </row>
    <row r="1497" spans="1:10" ht="13" x14ac:dyDescent="0.15">
      <c r="A1497" s="33"/>
      <c r="B1497" s="33"/>
      <c r="H1497" s="6">
        <v>0</v>
      </c>
      <c r="I1497" s="6">
        <v>0</v>
      </c>
      <c r="J1497" s="6">
        <v>0</v>
      </c>
    </row>
    <row r="1498" spans="1:10" ht="13" x14ac:dyDescent="0.15">
      <c r="A1498" s="33"/>
      <c r="B1498" s="33"/>
      <c r="H1498" s="6">
        <v>0</v>
      </c>
      <c r="I1498" s="6">
        <v>0</v>
      </c>
      <c r="J1498" s="6">
        <v>0</v>
      </c>
    </row>
    <row r="1499" spans="1:10" ht="13" x14ac:dyDescent="0.15">
      <c r="A1499" s="33"/>
      <c r="B1499" s="33"/>
      <c r="H1499" s="6">
        <v>0</v>
      </c>
      <c r="I1499" s="6">
        <v>0</v>
      </c>
      <c r="J1499" s="6">
        <v>0</v>
      </c>
    </row>
    <row r="1500" spans="1:10" ht="13" x14ac:dyDescent="0.15">
      <c r="A1500" s="33"/>
      <c r="B1500" s="33"/>
      <c r="H1500" s="6">
        <v>0</v>
      </c>
      <c r="I1500" s="6">
        <v>0</v>
      </c>
      <c r="J1500" s="6">
        <v>0</v>
      </c>
    </row>
    <row r="1501" spans="1:10" ht="13" x14ac:dyDescent="0.15">
      <c r="A1501" s="33"/>
      <c r="B1501" s="33"/>
      <c r="H1501" s="6">
        <v>0</v>
      </c>
      <c r="I1501" s="6">
        <v>0</v>
      </c>
      <c r="J1501" s="6">
        <v>0</v>
      </c>
    </row>
    <row r="1502" spans="1:10" ht="13" x14ac:dyDescent="0.15">
      <c r="A1502" s="33"/>
      <c r="B1502" s="33"/>
      <c r="H1502" s="6">
        <v>0</v>
      </c>
      <c r="I1502" s="6">
        <v>0</v>
      </c>
      <c r="J1502" s="6">
        <v>0</v>
      </c>
    </row>
    <row r="1503" spans="1:10" ht="13" x14ac:dyDescent="0.15">
      <c r="A1503" s="33"/>
      <c r="B1503" s="33"/>
      <c r="H1503" s="6">
        <v>0</v>
      </c>
      <c r="I1503" s="6">
        <v>0</v>
      </c>
      <c r="J1503" s="6">
        <v>0</v>
      </c>
    </row>
    <row r="1504" spans="1:10" ht="13" x14ac:dyDescent="0.15">
      <c r="A1504" s="33"/>
      <c r="B1504" s="33"/>
      <c r="H1504" s="6">
        <v>0</v>
      </c>
      <c r="I1504" s="6">
        <v>0</v>
      </c>
      <c r="J1504" s="6">
        <v>0</v>
      </c>
    </row>
    <row r="1505" spans="1:10" ht="13" x14ac:dyDescent="0.15">
      <c r="A1505" s="33"/>
      <c r="B1505" s="33"/>
      <c r="H1505" s="6">
        <v>0</v>
      </c>
      <c r="I1505" s="6">
        <v>0</v>
      </c>
      <c r="J1505" s="6">
        <v>0</v>
      </c>
    </row>
    <row r="1506" spans="1:10" ht="13" x14ac:dyDescent="0.15">
      <c r="A1506" s="33"/>
      <c r="B1506" s="33"/>
      <c r="H1506" s="6">
        <v>0</v>
      </c>
      <c r="I1506" s="6">
        <v>0</v>
      </c>
      <c r="J1506" s="6">
        <v>0</v>
      </c>
    </row>
    <row r="1507" spans="1:10" ht="13" x14ac:dyDescent="0.15">
      <c r="A1507" s="33"/>
      <c r="B1507" s="33"/>
      <c r="H1507" s="6">
        <v>0</v>
      </c>
      <c r="I1507" s="6">
        <v>0</v>
      </c>
      <c r="J1507" s="6">
        <v>0</v>
      </c>
    </row>
    <row r="1508" spans="1:10" ht="13" x14ac:dyDescent="0.15">
      <c r="A1508" s="33"/>
      <c r="B1508" s="33"/>
      <c r="H1508" s="6">
        <v>0</v>
      </c>
      <c r="I1508" s="6">
        <v>0</v>
      </c>
      <c r="J1508" s="6">
        <v>0</v>
      </c>
    </row>
    <row r="1509" spans="1:10" ht="13" x14ac:dyDescent="0.15">
      <c r="A1509" s="33"/>
      <c r="B1509" s="33"/>
      <c r="H1509" s="6">
        <v>0</v>
      </c>
      <c r="I1509" s="6">
        <v>0</v>
      </c>
      <c r="J1509" s="6">
        <v>0</v>
      </c>
    </row>
    <row r="1510" spans="1:10" ht="13" x14ac:dyDescent="0.15">
      <c r="A1510" s="33"/>
      <c r="B1510" s="33"/>
      <c r="H1510" s="6">
        <v>0</v>
      </c>
      <c r="I1510" s="6">
        <v>0</v>
      </c>
      <c r="J1510" s="6">
        <v>0</v>
      </c>
    </row>
    <row r="1511" spans="1:10" ht="13" x14ac:dyDescent="0.15">
      <c r="A1511" s="33"/>
      <c r="B1511" s="33"/>
      <c r="H1511" s="6">
        <v>0</v>
      </c>
      <c r="I1511" s="6">
        <v>0</v>
      </c>
      <c r="J1511" s="6">
        <v>0</v>
      </c>
    </row>
    <row r="1512" spans="1:10" ht="13" x14ac:dyDescent="0.15">
      <c r="A1512" s="33"/>
      <c r="B1512" s="33"/>
      <c r="H1512" s="6">
        <v>0</v>
      </c>
      <c r="I1512" s="6">
        <v>0</v>
      </c>
      <c r="J1512" s="6">
        <v>0</v>
      </c>
    </row>
    <row r="1513" spans="1:10" ht="13" x14ac:dyDescent="0.15">
      <c r="A1513" s="33"/>
      <c r="B1513" s="33"/>
      <c r="H1513" s="6">
        <v>0</v>
      </c>
      <c r="I1513" s="6">
        <v>0</v>
      </c>
      <c r="J1513" s="6">
        <v>0</v>
      </c>
    </row>
    <row r="1514" spans="1:10" ht="13" x14ac:dyDescent="0.15">
      <c r="A1514" s="33"/>
      <c r="B1514" s="33"/>
      <c r="H1514" s="6">
        <v>0</v>
      </c>
      <c r="I1514" s="6">
        <v>0</v>
      </c>
      <c r="J1514" s="6">
        <v>0</v>
      </c>
    </row>
    <row r="1515" spans="1:10" ht="13" x14ac:dyDescent="0.15">
      <c r="A1515" s="33"/>
      <c r="B1515" s="33"/>
      <c r="H1515" s="6">
        <v>0</v>
      </c>
      <c r="I1515" s="6">
        <v>0</v>
      </c>
      <c r="J1515" s="6">
        <v>0</v>
      </c>
    </row>
    <row r="1516" spans="1:10" ht="13" x14ac:dyDescent="0.15">
      <c r="A1516" s="33"/>
      <c r="B1516" s="33"/>
      <c r="H1516" s="6">
        <v>0</v>
      </c>
      <c r="I1516" s="6">
        <v>0</v>
      </c>
      <c r="J1516" s="6">
        <v>0</v>
      </c>
    </row>
    <row r="1517" spans="1:10" ht="13" x14ac:dyDescent="0.15">
      <c r="A1517" s="33"/>
      <c r="B1517" s="33"/>
      <c r="H1517" s="6">
        <v>0</v>
      </c>
      <c r="I1517" s="6">
        <v>0</v>
      </c>
      <c r="J1517" s="6">
        <v>0</v>
      </c>
    </row>
    <row r="1518" spans="1:10" ht="13" x14ac:dyDescent="0.15">
      <c r="A1518" s="33"/>
      <c r="B1518" s="33"/>
      <c r="H1518" s="6">
        <v>0</v>
      </c>
      <c r="I1518" s="6">
        <v>0</v>
      </c>
      <c r="J1518" s="6">
        <v>0</v>
      </c>
    </row>
    <row r="1519" spans="1:10" ht="13" x14ac:dyDescent="0.15">
      <c r="A1519" s="33"/>
      <c r="B1519" s="33"/>
      <c r="H1519" s="6">
        <v>0</v>
      </c>
      <c r="I1519" s="6">
        <v>0</v>
      </c>
      <c r="J1519" s="6">
        <v>0</v>
      </c>
    </row>
    <row r="1520" spans="1:10" ht="13" x14ac:dyDescent="0.15">
      <c r="A1520" s="33"/>
      <c r="B1520" s="33"/>
      <c r="H1520" s="6">
        <v>0</v>
      </c>
      <c r="I1520" s="6">
        <v>0</v>
      </c>
      <c r="J1520" s="6">
        <v>0</v>
      </c>
    </row>
    <row r="1521" spans="1:10" ht="13" x14ac:dyDescent="0.15">
      <c r="A1521" s="33"/>
      <c r="B1521" s="33"/>
      <c r="H1521" s="6">
        <v>0</v>
      </c>
      <c r="I1521" s="6">
        <v>0</v>
      </c>
      <c r="J1521" s="6">
        <v>0</v>
      </c>
    </row>
    <row r="1522" spans="1:10" ht="13" x14ac:dyDescent="0.15">
      <c r="A1522" s="33"/>
      <c r="B1522" s="33"/>
      <c r="H1522" s="6">
        <v>0</v>
      </c>
      <c r="I1522" s="6">
        <v>0</v>
      </c>
      <c r="J1522" s="6">
        <v>0</v>
      </c>
    </row>
    <row r="1523" spans="1:10" ht="13" x14ac:dyDescent="0.15">
      <c r="A1523" s="33"/>
      <c r="B1523" s="33"/>
      <c r="H1523" s="6">
        <v>0</v>
      </c>
      <c r="I1523" s="6">
        <v>0</v>
      </c>
      <c r="J1523" s="6">
        <v>0</v>
      </c>
    </row>
    <row r="1524" spans="1:10" ht="13" x14ac:dyDescent="0.15">
      <c r="A1524" s="33"/>
      <c r="B1524" s="33"/>
      <c r="H1524" s="6">
        <v>0</v>
      </c>
      <c r="I1524" s="6">
        <v>0</v>
      </c>
      <c r="J1524" s="6">
        <v>0</v>
      </c>
    </row>
    <row r="1525" spans="1:10" ht="13" x14ac:dyDescent="0.15">
      <c r="A1525" s="33"/>
      <c r="B1525" s="33"/>
      <c r="H1525" s="6">
        <v>0</v>
      </c>
      <c r="I1525" s="6">
        <v>0</v>
      </c>
      <c r="J1525" s="6">
        <v>0</v>
      </c>
    </row>
    <row r="1526" spans="1:10" ht="13" x14ac:dyDescent="0.15">
      <c r="A1526" s="33"/>
      <c r="B1526" s="33"/>
      <c r="H1526" s="6">
        <v>0</v>
      </c>
      <c r="I1526" s="6">
        <v>0</v>
      </c>
      <c r="J1526" s="6">
        <v>0</v>
      </c>
    </row>
    <row r="1527" spans="1:10" ht="13" x14ac:dyDescent="0.15">
      <c r="A1527" s="33"/>
      <c r="B1527" s="33"/>
      <c r="H1527" s="6">
        <v>0</v>
      </c>
      <c r="I1527" s="6">
        <v>0</v>
      </c>
      <c r="J1527" s="6">
        <v>0</v>
      </c>
    </row>
    <row r="1528" spans="1:10" ht="13" x14ac:dyDescent="0.15">
      <c r="A1528" s="33"/>
      <c r="B1528" s="33"/>
      <c r="H1528" s="6">
        <v>0</v>
      </c>
      <c r="I1528" s="6">
        <v>0</v>
      </c>
      <c r="J1528" s="6">
        <v>0</v>
      </c>
    </row>
    <row r="1529" spans="1:10" ht="13" x14ac:dyDescent="0.15">
      <c r="A1529" s="33"/>
      <c r="B1529" s="33"/>
      <c r="H1529" s="6">
        <v>0</v>
      </c>
      <c r="I1529" s="6">
        <v>0</v>
      </c>
      <c r="J1529" s="6">
        <v>0</v>
      </c>
    </row>
    <row r="1530" spans="1:10" ht="13" x14ac:dyDescent="0.15">
      <c r="A1530" s="33"/>
      <c r="B1530" s="33"/>
      <c r="H1530" s="6">
        <v>0</v>
      </c>
      <c r="I1530" s="6">
        <v>0</v>
      </c>
      <c r="J1530" s="6">
        <v>0</v>
      </c>
    </row>
    <row r="1531" spans="1:10" ht="13" x14ac:dyDescent="0.15">
      <c r="A1531" s="33"/>
      <c r="B1531" s="33"/>
      <c r="H1531" s="6">
        <v>0</v>
      </c>
      <c r="I1531" s="6">
        <v>0</v>
      </c>
      <c r="J1531" s="6">
        <v>0</v>
      </c>
    </row>
    <row r="1532" spans="1:10" ht="13" x14ac:dyDescent="0.15">
      <c r="A1532" s="33"/>
      <c r="B1532" s="33"/>
      <c r="H1532" s="6">
        <v>0</v>
      </c>
      <c r="I1532" s="6">
        <v>0</v>
      </c>
      <c r="J1532" s="6">
        <v>0</v>
      </c>
    </row>
    <row r="1533" spans="1:10" ht="13" x14ac:dyDescent="0.15">
      <c r="A1533" s="33"/>
      <c r="B1533" s="33"/>
      <c r="H1533" s="6">
        <v>0</v>
      </c>
      <c r="I1533" s="6">
        <v>0</v>
      </c>
      <c r="J1533" s="6">
        <v>0</v>
      </c>
    </row>
    <row r="1534" spans="1:10" ht="13" x14ac:dyDescent="0.15">
      <c r="A1534" s="33"/>
      <c r="B1534" s="33"/>
      <c r="H1534" s="6">
        <v>0</v>
      </c>
      <c r="I1534" s="6">
        <v>0</v>
      </c>
      <c r="J1534" s="6">
        <v>0</v>
      </c>
    </row>
    <row r="1535" spans="1:10" ht="13" x14ac:dyDescent="0.15">
      <c r="A1535" s="33"/>
      <c r="B1535" s="33"/>
      <c r="H1535" s="6">
        <v>0</v>
      </c>
      <c r="I1535" s="6">
        <v>0</v>
      </c>
      <c r="J1535" s="6">
        <v>0</v>
      </c>
    </row>
    <row r="1536" spans="1:10" ht="13" x14ac:dyDescent="0.15">
      <c r="A1536" s="33"/>
      <c r="B1536" s="33"/>
      <c r="H1536" s="6">
        <v>0</v>
      </c>
      <c r="I1536" s="6">
        <v>0</v>
      </c>
      <c r="J1536" s="6">
        <v>0</v>
      </c>
    </row>
    <row r="1537" spans="1:10" ht="13" x14ac:dyDescent="0.15">
      <c r="A1537" s="33"/>
      <c r="B1537" s="33"/>
      <c r="H1537" s="6">
        <v>0</v>
      </c>
      <c r="I1537" s="6">
        <v>0</v>
      </c>
      <c r="J1537" s="6">
        <v>0</v>
      </c>
    </row>
    <row r="1538" spans="1:10" ht="13" x14ac:dyDescent="0.15">
      <c r="A1538" s="33"/>
      <c r="B1538" s="33"/>
      <c r="H1538" s="6">
        <v>0</v>
      </c>
      <c r="I1538" s="6">
        <v>0</v>
      </c>
      <c r="J1538" s="6">
        <v>0</v>
      </c>
    </row>
    <row r="1539" spans="1:10" ht="13" x14ac:dyDescent="0.15">
      <c r="A1539" s="33"/>
      <c r="B1539" s="33"/>
      <c r="H1539" s="6">
        <v>0</v>
      </c>
      <c r="I1539" s="6">
        <v>0</v>
      </c>
      <c r="J1539" s="6">
        <v>0</v>
      </c>
    </row>
    <row r="1540" spans="1:10" ht="13" x14ac:dyDescent="0.15">
      <c r="A1540" s="33"/>
      <c r="B1540" s="33"/>
      <c r="H1540" s="6">
        <v>0</v>
      </c>
      <c r="I1540" s="6">
        <v>0</v>
      </c>
      <c r="J1540" s="6">
        <v>0</v>
      </c>
    </row>
    <row r="1541" spans="1:10" ht="13" x14ac:dyDescent="0.15">
      <c r="A1541" s="33"/>
      <c r="B1541" s="33"/>
      <c r="H1541" s="6">
        <v>0</v>
      </c>
      <c r="I1541" s="6">
        <v>0</v>
      </c>
      <c r="J1541" s="6">
        <v>0</v>
      </c>
    </row>
    <row r="1542" spans="1:10" ht="13" x14ac:dyDescent="0.15">
      <c r="A1542" s="33"/>
      <c r="B1542" s="33"/>
      <c r="H1542" s="6">
        <v>0</v>
      </c>
      <c r="I1542" s="6">
        <v>0</v>
      </c>
      <c r="J1542" s="6">
        <v>0</v>
      </c>
    </row>
    <row r="1543" spans="1:10" ht="13" x14ac:dyDescent="0.15">
      <c r="A1543" s="33"/>
      <c r="B1543" s="33"/>
      <c r="H1543" s="6">
        <v>0</v>
      </c>
      <c r="I1543" s="6">
        <v>0</v>
      </c>
      <c r="J1543" s="6">
        <v>0</v>
      </c>
    </row>
    <row r="1544" spans="1:10" ht="13" x14ac:dyDescent="0.15">
      <c r="A1544" s="33"/>
      <c r="B1544" s="33"/>
      <c r="H1544" s="6">
        <v>0</v>
      </c>
      <c r="I1544" s="6">
        <v>0</v>
      </c>
      <c r="J1544" s="6">
        <v>0</v>
      </c>
    </row>
    <row r="1545" spans="1:10" ht="13" x14ac:dyDescent="0.15">
      <c r="A1545" s="33"/>
      <c r="B1545" s="33"/>
      <c r="H1545" s="6">
        <v>0</v>
      </c>
      <c r="I1545" s="6">
        <v>0</v>
      </c>
      <c r="J1545" s="6">
        <v>0</v>
      </c>
    </row>
    <row r="1546" spans="1:10" ht="13" x14ac:dyDescent="0.15">
      <c r="A1546" s="33"/>
      <c r="B1546" s="33"/>
      <c r="H1546" s="6">
        <v>0</v>
      </c>
      <c r="I1546" s="6">
        <v>0</v>
      </c>
      <c r="J1546" s="6">
        <v>0</v>
      </c>
    </row>
    <row r="1547" spans="1:10" ht="13" x14ac:dyDescent="0.15">
      <c r="A1547" s="33"/>
      <c r="B1547" s="33"/>
      <c r="H1547" s="6">
        <v>0</v>
      </c>
      <c r="I1547" s="6">
        <v>0</v>
      </c>
      <c r="J1547" s="6">
        <v>0</v>
      </c>
    </row>
    <row r="1548" spans="1:10" ht="13" x14ac:dyDescent="0.15">
      <c r="A1548" s="33"/>
      <c r="B1548" s="33"/>
      <c r="H1548" s="6">
        <v>0</v>
      </c>
      <c r="I1548" s="6">
        <v>0</v>
      </c>
      <c r="J1548" s="6">
        <v>0</v>
      </c>
    </row>
    <row r="1549" spans="1:10" ht="13" x14ac:dyDescent="0.15">
      <c r="A1549" s="33"/>
      <c r="B1549" s="33"/>
      <c r="H1549" s="6">
        <v>0</v>
      </c>
      <c r="I1549" s="6">
        <v>0</v>
      </c>
      <c r="J1549" s="6">
        <v>0</v>
      </c>
    </row>
    <row r="1550" spans="1:10" ht="13" x14ac:dyDescent="0.15">
      <c r="A1550" s="33"/>
      <c r="B1550" s="33"/>
      <c r="H1550" s="6">
        <v>0</v>
      </c>
      <c r="I1550" s="6">
        <v>0</v>
      </c>
      <c r="J1550" s="6">
        <v>0</v>
      </c>
    </row>
    <row r="1551" spans="1:10" ht="13" x14ac:dyDescent="0.15">
      <c r="A1551" s="33"/>
      <c r="B1551" s="33"/>
      <c r="H1551" s="6">
        <v>0</v>
      </c>
      <c r="I1551" s="6">
        <v>0</v>
      </c>
      <c r="J1551" s="6">
        <v>0</v>
      </c>
    </row>
    <row r="1552" spans="1:10" ht="13" x14ac:dyDescent="0.15">
      <c r="A1552" s="33"/>
      <c r="B1552" s="33"/>
      <c r="H1552" s="6">
        <v>0</v>
      </c>
      <c r="I1552" s="6">
        <v>0</v>
      </c>
      <c r="J1552" s="6">
        <v>0</v>
      </c>
    </row>
    <row r="1553" spans="1:10" ht="13" x14ac:dyDescent="0.15">
      <c r="A1553" s="33"/>
      <c r="B1553" s="33"/>
      <c r="H1553" s="6">
        <v>0</v>
      </c>
      <c r="I1553" s="6">
        <v>0</v>
      </c>
      <c r="J1553" s="6">
        <v>0</v>
      </c>
    </row>
    <row r="1554" spans="1:10" ht="13" x14ac:dyDescent="0.15">
      <c r="A1554" s="33"/>
      <c r="B1554" s="33"/>
      <c r="H1554" s="6">
        <v>0</v>
      </c>
      <c r="I1554" s="6">
        <v>0</v>
      </c>
      <c r="J1554" s="6">
        <v>0</v>
      </c>
    </row>
    <row r="1555" spans="1:10" ht="13" x14ac:dyDescent="0.15">
      <c r="A1555" s="33"/>
      <c r="B1555" s="33"/>
      <c r="H1555" s="6">
        <v>0</v>
      </c>
      <c r="I1555" s="6">
        <v>0</v>
      </c>
      <c r="J1555" s="6">
        <v>0</v>
      </c>
    </row>
    <row r="1556" spans="1:10" ht="13" x14ac:dyDescent="0.15">
      <c r="A1556" s="33"/>
      <c r="B1556" s="33"/>
      <c r="H1556" s="6">
        <v>0</v>
      </c>
      <c r="I1556" s="6">
        <v>0</v>
      </c>
      <c r="J1556" s="6">
        <v>0</v>
      </c>
    </row>
    <row r="1557" spans="1:10" ht="13" x14ac:dyDescent="0.15">
      <c r="A1557" s="33"/>
      <c r="B1557" s="33"/>
      <c r="H1557" s="6">
        <v>0</v>
      </c>
      <c r="I1557" s="6">
        <v>0</v>
      </c>
      <c r="J1557" s="6">
        <v>0</v>
      </c>
    </row>
    <row r="1558" spans="1:10" ht="13" x14ac:dyDescent="0.15">
      <c r="A1558" s="33"/>
      <c r="B1558" s="33"/>
      <c r="H1558" s="6">
        <v>0</v>
      </c>
      <c r="I1558" s="6">
        <v>0</v>
      </c>
      <c r="J1558" s="6">
        <v>0</v>
      </c>
    </row>
    <row r="1559" spans="1:10" ht="13" x14ac:dyDescent="0.15">
      <c r="A1559" s="33"/>
      <c r="B1559" s="33"/>
      <c r="H1559" s="6">
        <v>0</v>
      </c>
      <c r="I1559" s="6">
        <v>0</v>
      </c>
      <c r="J1559" s="6">
        <v>0</v>
      </c>
    </row>
    <row r="1560" spans="1:10" ht="13" x14ac:dyDescent="0.15">
      <c r="A1560" s="33"/>
      <c r="B1560" s="33"/>
      <c r="H1560" s="6">
        <v>0</v>
      </c>
      <c r="I1560" s="6">
        <v>0</v>
      </c>
      <c r="J1560" s="6">
        <v>0</v>
      </c>
    </row>
    <row r="1561" spans="1:10" ht="13" x14ac:dyDescent="0.15">
      <c r="A1561" s="33"/>
      <c r="B1561" s="33"/>
      <c r="H1561" s="6">
        <v>0</v>
      </c>
      <c r="I1561" s="6">
        <v>0</v>
      </c>
      <c r="J1561" s="6">
        <v>0</v>
      </c>
    </row>
    <row r="1562" spans="1:10" ht="13" x14ac:dyDescent="0.15">
      <c r="A1562" s="33"/>
      <c r="B1562" s="33"/>
      <c r="H1562" s="6">
        <v>0</v>
      </c>
      <c r="I1562" s="6">
        <v>0</v>
      </c>
      <c r="J1562" s="6">
        <v>0</v>
      </c>
    </row>
    <row r="1563" spans="1:10" ht="13" x14ac:dyDescent="0.15">
      <c r="A1563" s="33"/>
      <c r="B1563" s="33"/>
      <c r="H1563" s="6">
        <v>0</v>
      </c>
      <c r="I1563" s="6">
        <v>0</v>
      </c>
      <c r="J1563" s="6">
        <v>0</v>
      </c>
    </row>
    <row r="1564" spans="1:10" ht="13" x14ac:dyDescent="0.15">
      <c r="A1564" s="33"/>
      <c r="B1564" s="33"/>
      <c r="H1564" s="6">
        <v>0</v>
      </c>
      <c r="I1564" s="6">
        <v>0</v>
      </c>
      <c r="J1564" s="6">
        <v>0</v>
      </c>
    </row>
    <row r="1565" spans="1:10" ht="13" x14ac:dyDescent="0.15">
      <c r="A1565" s="33"/>
      <c r="B1565" s="33"/>
      <c r="H1565" s="6">
        <v>0</v>
      </c>
      <c r="I1565" s="6">
        <v>0</v>
      </c>
      <c r="J1565" s="6">
        <v>0</v>
      </c>
    </row>
    <row r="1566" spans="1:10" ht="13" x14ac:dyDescent="0.15">
      <c r="A1566" s="33"/>
      <c r="B1566" s="33"/>
      <c r="H1566" s="6">
        <v>0</v>
      </c>
      <c r="I1566" s="6">
        <v>0</v>
      </c>
      <c r="J1566" s="6">
        <v>0</v>
      </c>
    </row>
    <row r="1567" spans="1:10" ht="13" x14ac:dyDescent="0.15">
      <c r="A1567" s="33"/>
      <c r="B1567" s="33"/>
      <c r="H1567" s="6">
        <v>0</v>
      </c>
      <c r="I1567" s="6">
        <v>0</v>
      </c>
      <c r="J1567" s="6">
        <v>0</v>
      </c>
    </row>
    <row r="1568" spans="1:10" ht="13" x14ac:dyDescent="0.15">
      <c r="A1568" s="33"/>
      <c r="B1568" s="33"/>
      <c r="H1568" s="6">
        <v>0</v>
      </c>
      <c r="I1568" s="6">
        <v>0</v>
      </c>
      <c r="J1568" s="6">
        <v>0</v>
      </c>
    </row>
    <row r="1569" spans="1:10" ht="13" x14ac:dyDescent="0.15">
      <c r="A1569" s="33"/>
      <c r="B1569" s="33"/>
      <c r="H1569" s="6">
        <v>0</v>
      </c>
      <c r="I1569" s="6">
        <v>0</v>
      </c>
      <c r="J1569" s="6">
        <v>0</v>
      </c>
    </row>
    <row r="1570" spans="1:10" ht="13" x14ac:dyDescent="0.15">
      <c r="A1570" s="33"/>
      <c r="B1570" s="33"/>
      <c r="H1570" s="6">
        <v>0</v>
      </c>
      <c r="I1570" s="6">
        <v>0</v>
      </c>
      <c r="J1570" s="6">
        <v>0</v>
      </c>
    </row>
    <row r="1571" spans="1:10" ht="13" x14ac:dyDescent="0.15">
      <c r="A1571" s="33"/>
      <c r="B1571" s="33"/>
      <c r="H1571" s="6">
        <v>0</v>
      </c>
      <c r="I1571" s="6">
        <v>0</v>
      </c>
      <c r="J1571" s="6">
        <v>0</v>
      </c>
    </row>
    <row r="1572" spans="1:10" ht="13" x14ac:dyDescent="0.15">
      <c r="A1572" s="33"/>
      <c r="B1572" s="33"/>
      <c r="H1572" s="6">
        <v>0</v>
      </c>
      <c r="I1572" s="6">
        <v>0</v>
      </c>
      <c r="J1572" s="6">
        <v>0</v>
      </c>
    </row>
    <row r="1573" spans="1:10" ht="13" x14ac:dyDescent="0.15">
      <c r="A1573" s="33"/>
      <c r="B1573" s="33"/>
      <c r="H1573" s="6">
        <v>0</v>
      </c>
      <c r="I1573" s="6">
        <v>0</v>
      </c>
      <c r="J1573" s="6">
        <v>0</v>
      </c>
    </row>
    <row r="1574" spans="1:10" ht="13" x14ac:dyDescent="0.15">
      <c r="A1574" s="33"/>
      <c r="B1574" s="33"/>
      <c r="H1574" s="6">
        <v>0</v>
      </c>
      <c r="I1574" s="6">
        <v>0</v>
      </c>
      <c r="J1574" s="6">
        <v>0</v>
      </c>
    </row>
    <row r="1575" spans="1:10" ht="13" x14ac:dyDescent="0.15">
      <c r="A1575" s="33"/>
      <c r="B1575" s="33"/>
      <c r="H1575" s="6">
        <v>0</v>
      </c>
      <c r="I1575" s="6">
        <v>0</v>
      </c>
      <c r="J1575" s="6">
        <v>0</v>
      </c>
    </row>
    <row r="1576" spans="1:10" ht="13" x14ac:dyDescent="0.15">
      <c r="A1576" s="33"/>
      <c r="B1576" s="33"/>
      <c r="H1576" s="6">
        <v>0</v>
      </c>
      <c r="I1576" s="6">
        <v>0</v>
      </c>
      <c r="J1576" s="6">
        <v>0</v>
      </c>
    </row>
    <row r="1577" spans="1:10" ht="13" x14ac:dyDescent="0.15">
      <c r="A1577" s="33"/>
      <c r="B1577" s="33"/>
      <c r="H1577" s="6">
        <v>0</v>
      </c>
      <c r="I1577" s="6">
        <v>0</v>
      </c>
      <c r="J1577" s="6">
        <v>0</v>
      </c>
    </row>
    <row r="1578" spans="1:10" ht="13" x14ac:dyDescent="0.15">
      <c r="A1578" s="33"/>
      <c r="B1578" s="33"/>
      <c r="H1578" s="6">
        <v>0</v>
      </c>
      <c r="I1578" s="6">
        <v>0</v>
      </c>
      <c r="J1578" s="6">
        <v>0</v>
      </c>
    </row>
    <row r="1579" spans="1:10" ht="13" x14ac:dyDescent="0.15">
      <c r="A1579" s="33"/>
      <c r="B1579" s="33"/>
      <c r="H1579" s="6">
        <v>0</v>
      </c>
      <c r="I1579" s="6">
        <v>0</v>
      </c>
      <c r="J1579" s="6">
        <v>0</v>
      </c>
    </row>
    <row r="1580" spans="1:10" ht="13" x14ac:dyDescent="0.15">
      <c r="A1580" s="33"/>
      <c r="B1580" s="33"/>
      <c r="H1580" s="6">
        <v>0</v>
      </c>
      <c r="I1580" s="6">
        <v>0</v>
      </c>
      <c r="J1580" s="6">
        <v>0</v>
      </c>
    </row>
    <row r="1581" spans="1:10" ht="13" x14ac:dyDescent="0.15">
      <c r="A1581" s="33"/>
      <c r="B1581" s="33"/>
      <c r="H1581" s="6">
        <v>0</v>
      </c>
      <c r="I1581" s="6">
        <v>0</v>
      </c>
      <c r="J1581" s="6">
        <v>0</v>
      </c>
    </row>
    <row r="1582" spans="1:10" ht="13" x14ac:dyDescent="0.15">
      <c r="A1582" s="33"/>
      <c r="B1582" s="33"/>
      <c r="H1582" s="6">
        <v>0</v>
      </c>
      <c r="I1582" s="6">
        <v>0</v>
      </c>
      <c r="J1582" s="6">
        <v>0</v>
      </c>
    </row>
    <row r="1583" spans="1:10" ht="13" x14ac:dyDescent="0.15">
      <c r="A1583" s="33"/>
      <c r="B1583" s="33"/>
      <c r="H1583" s="6">
        <v>0</v>
      </c>
      <c r="I1583" s="6">
        <v>0</v>
      </c>
      <c r="J1583" s="6">
        <v>0</v>
      </c>
    </row>
    <row r="1584" spans="1:10" ht="13" x14ac:dyDescent="0.15">
      <c r="A1584" s="33"/>
      <c r="B1584" s="33"/>
      <c r="H1584" s="6">
        <v>0</v>
      </c>
      <c r="I1584" s="6">
        <v>0</v>
      </c>
      <c r="J1584" s="6">
        <v>0</v>
      </c>
    </row>
    <row r="1585" spans="1:10" ht="13" x14ac:dyDescent="0.15">
      <c r="A1585" s="33"/>
      <c r="B1585" s="33"/>
      <c r="H1585" s="6">
        <v>0</v>
      </c>
      <c r="I1585" s="6">
        <v>0</v>
      </c>
      <c r="J1585" s="6">
        <v>0</v>
      </c>
    </row>
    <row r="1586" spans="1:10" ht="13" x14ac:dyDescent="0.15">
      <c r="A1586" s="33"/>
      <c r="B1586" s="33"/>
      <c r="H1586" s="6">
        <v>0</v>
      </c>
      <c r="I1586" s="6">
        <v>0</v>
      </c>
      <c r="J1586" s="6">
        <v>0</v>
      </c>
    </row>
    <row r="1587" spans="1:10" ht="13" x14ac:dyDescent="0.15">
      <c r="A1587" s="33"/>
      <c r="B1587" s="33"/>
      <c r="H1587" s="6">
        <v>0</v>
      </c>
      <c r="I1587" s="6">
        <v>0</v>
      </c>
      <c r="J1587" s="6">
        <v>0</v>
      </c>
    </row>
    <row r="1588" spans="1:10" ht="13" x14ac:dyDescent="0.15">
      <c r="A1588" s="33"/>
      <c r="B1588" s="33"/>
      <c r="H1588" s="6">
        <v>0</v>
      </c>
      <c r="I1588" s="6">
        <v>0</v>
      </c>
      <c r="J1588" s="6">
        <v>0</v>
      </c>
    </row>
    <row r="1589" spans="1:10" ht="13" x14ac:dyDescent="0.15">
      <c r="A1589" s="33"/>
      <c r="B1589" s="33"/>
      <c r="H1589" s="6">
        <v>0</v>
      </c>
      <c r="I1589" s="6">
        <v>0</v>
      </c>
      <c r="J1589" s="6">
        <v>0</v>
      </c>
    </row>
    <row r="1590" spans="1:10" ht="13" x14ac:dyDescent="0.15">
      <c r="A1590" s="33"/>
      <c r="B1590" s="33"/>
      <c r="H1590" s="6">
        <v>0</v>
      </c>
      <c r="I1590" s="6">
        <v>0</v>
      </c>
      <c r="J1590" s="6">
        <v>0</v>
      </c>
    </row>
    <row r="1591" spans="1:10" ht="13" x14ac:dyDescent="0.15">
      <c r="A1591" s="33"/>
      <c r="B1591" s="33"/>
      <c r="H1591" s="6">
        <v>0</v>
      </c>
      <c r="I1591" s="6">
        <v>0</v>
      </c>
      <c r="J1591" s="6">
        <v>0</v>
      </c>
    </row>
    <row r="1592" spans="1:10" ht="13" x14ac:dyDescent="0.15">
      <c r="A1592" s="33"/>
      <c r="B1592" s="33"/>
      <c r="H1592" s="6">
        <v>0</v>
      </c>
      <c r="I1592" s="6">
        <v>0</v>
      </c>
      <c r="J1592" s="6">
        <v>0</v>
      </c>
    </row>
    <row r="1593" spans="1:10" ht="13" x14ac:dyDescent="0.15">
      <c r="A1593" s="33"/>
      <c r="B1593" s="33"/>
      <c r="H1593" s="6">
        <v>0</v>
      </c>
      <c r="I1593" s="6">
        <v>0</v>
      </c>
      <c r="J1593" s="6">
        <v>0</v>
      </c>
    </row>
    <row r="1594" spans="1:10" ht="13" x14ac:dyDescent="0.15">
      <c r="A1594" s="33"/>
      <c r="B1594" s="33"/>
      <c r="H1594" s="6">
        <v>0</v>
      </c>
      <c r="I1594" s="6">
        <v>0</v>
      </c>
      <c r="J1594" s="6">
        <v>0</v>
      </c>
    </row>
    <row r="1595" spans="1:10" ht="13" x14ac:dyDescent="0.15">
      <c r="A1595" s="33"/>
      <c r="B1595" s="33"/>
      <c r="H1595" s="6">
        <v>0</v>
      </c>
      <c r="I1595" s="6">
        <v>0</v>
      </c>
      <c r="J1595" s="6">
        <v>0</v>
      </c>
    </row>
    <row r="1596" spans="1:10" ht="13" x14ac:dyDescent="0.15">
      <c r="A1596" s="33"/>
      <c r="B1596" s="33"/>
      <c r="H1596" s="6">
        <v>0</v>
      </c>
      <c r="I1596" s="6">
        <v>0</v>
      </c>
      <c r="J1596" s="6">
        <v>0</v>
      </c>
    </row>
    <row r="1597" spans="1:10" ht="13" x14ac:dyDescent="0.15">
      <c r="A1597" s="33"/>
      <c r="B1597" s="33"/>
      <c r="H1597" s="6">
        <v>0</v>
      </c>
      <c r="I1597" s="6">
        <v>0</v>
      </c>
      <c r="J1597" s="6">
        <v>0</v>
      </c>
    </row>
    <row r="1598" spans="1:10" ht="13" x14ac:dyDescent="0.15">
      <c r="A1598" s="33"/>
      <c r="B1598" s="33"/>
      <c r="H1598" s="6">
        <v>0</v>
      </c>
      <c r="I1598" s="6">
        <v>0</v>
      </c>
      <c r="J1598" s="6">
        <v>0</v>
      </c>
    </row>
    <row r="1599" spans="1:10" ht="13" x14ac:dyDescent="0.15">
      <c r="A1599" s="33"/>
      <c r="B1599" s="33"/>
      <c r="H1599" s="6">
        <v>0</v>
      </c>
      <c r="I1599" s="6">
        <v>0</v>
      </c>
      <c r="J1599" s="6">
        <v>0</v>
      </c>
    </row>
    <row r="1600" spans="1:10" ht="13" x14ac:dyDescent="0.15">
      <c r="A1600" s="33"/>
      <c r="B1600" s="33"/>
      <c r="H1600" s="6">
        <v>0</v>
      </c>
      <c r="I1600" s="6">
        <v>0</v>
      </c>
      <c r="J1600" s="6">
        <v>0</v>
      </c>
    </row>
    <row r="1601" spans="1:10" ht="13" x14ac:dyDescent="0.15">
      <c r="A1601" s="33"/>
      <c r="B1601" s="33"/>
      <c r="H1601" s="6">
        <v>0</v>
      </c>
      <c r="I1601" s="6">
        <v>0</v>
      </c>
      <c r="J1601" s="6">
        <v>0</v>
      </c>
    </row>
    <row r="1602" spans="1:10" ht="13" x14ac:dyDescent="0.15">
      <c r="A1602" s="33"/>
      <c r="B1602" s="33"/>
      <c r="H1602" s="6">
        <v>0</v>
      </c>
      <c r="I1602" s="6">
        <v>0</v>
      </c>
      <c r="J1602" s="6">
        <v>0</v>
      </c>
    </row>
    <row r="1603" spans="1:10" ht="13" x14ac:dyDescent="0.15">
      <c r="A1603" s="33"/>
      <c r="B1603" s="33"/>
      <c r="H1603" s="6">
        <v>0</v>
      </c>
      <c r="I1603" s="6">
        <v>0</v>
      </c>
      <c r="J1603" s="6">
        <v>0</v>
      </c>
    </row>
    <row r="1604" spans="1:10" ht="13" x14ac:dyDescent="0.15">
      <c r="A1604" s="33"/>
      <c r="B1604" s="33"/>
      <c r="H1604" s="6">
        <v>0</v>
      </c>
      <c r="I1604" s="6">
        <v>0</v>
      </c>
      <c r="J1604" s="6">
        <v>0</v>
      </c>
    </row>
    <row r="1605" spans="1:10" ht="13" x14ac:dyDescent="0.15">
      <c r="A1605" s="33"/>
      <c r="B1605" s="33"/>
      <c r="H1605" s="6">
        <v>0</v>
      </c>
      <c r="I1605" s="6">
        <v>0</v>
      </c>
      <c r="J1605" s="6">
        <v>0</v>
      </c>
    </row>
    <row r="1606" spans="1:10" ht="13" x14ac:dyDescent="0.15">
      <c r="A1606" s="33"/>
      <c r="B1606" s="33"/>
      <c r="H1606" s="6">
        <v>0</v>
      </c>
      <c r="I1606" s="6">
        <v>0</v>
      </c>
      <c r="J1606" s="6">
        <v>0</v>
      </c>
    </row>
    <row r="1607" spans="1:10" ht="13" x14ac:dyDescent="0.15">
      <c r="A1607" s="33"/>
      <c r="B1607" s="33"/>
      <c r="H1607" s="6">
        <v>0</v>
      </c>
      <c r="I1607" s="6">
        <v>0</v>
      </c>
      <c r="J1607" s="6">
        <v>0</v>
      </c>
    </row>
    <row r="1608" spans="1:10" ht="13" x14ac:dyDescent="0.15">
      <c r="A1608" s="33"/>
      <c r="B1608" s="33"/>
      <c r="H1608" s="6">
        <v>0</v>
      </c>
      <c r="I1608" s="6">
        <v>0</v>
      </c>
      <c r="J1608" s="6">
        <v>0</v>
      </c>
    </row>
    <row r="1609" spans="1:10" ht="13" x14ac:dyDescent="0.15">
      <c r="A1609" s="33"/>
      <c r="B1609" s="33"/>
      <c r="H1609" s="6">
        <v>0</v>
      </c>
      <c r="I1609" s="6">
        <v>0</v>
      </c>
      <c r="J1609" s="6">
        <v>0</v>
      </c>
    </row>
    <row r="1610" spans="1:10" ht="13" x14ac:dyDescent="0.15">
      <c r="A1610" s="33"/>
      <c r="B1610" s="33"/>
      <c r="H1610" s="6">
        <v>0</v>
      </c>
      <c r="I1610" s="6">
        <v>0</v>
      </c>
      <c r="J1610" s="6">
        <v>0</v>
      </c>
    </row>
    <row r="1611" spans="1:10" ht="13" x14ac:dyDescent="0.15">
      <c r="A1611" s="33"/>
      <c r="B1611" s="33"/>
      <c r="H1611" s="6">
        <v>0</v>
      </c>
      <c r="I1611" s="6">
        <v>0</v>
      </c>
      <c r="J1611" s="6">
        <v>0</v>
      </c>
    </row>
    <row r="1612" spans="1:10" ht="13" x14ac:dyDescent="0.15">
      <c r="A1612" s="33"/>
      <c r="B1612" s="33"/>
      <c r="H1612" s="6">
        <v>0</v>
      </c>
      <c r="I1612" s="6">
        <v>0</v>
      </c>
      <c r="J1612" s="6">
        <v>0</v>
      </c>
    </row>
    <row r="1613" spans="1:10" ht="13" x14ac:dyDescent="0.15">
      <c r="A1613" s="33"/>
      <c r="B1613" s="33"/>
      <c r="H1613" s="6">
        <v>0</v>
      </c>
      <c r="I1613" s="6">
        <v>0</v>
      </c>
      <c r="J1613" s="6">
        <v>0</v>
      </c>
    </row>
    <row r="1614" spans="1:10" ht="13" x14ac:dyDescent="0.15">
      <c r="A1614" s="33"/>
      <c r="B1614" s="33"/>
      <c r="H1614" s="6">
        <v>0</v>
      </c>
      <c r="I1614" s="6">
        <v>0</v>
      </c>
      <c r="J1614" s="6">
        <v>0</v>
      </c>
    </row>
    <row r="1615" spans="1:10" ht="13" x14ac:dyDescent="0.15">
      <c r="A1615" s="33"/>
      <c r="B1615" s="33"/>
      <c r="H1615" s="6">
        <v>0</v>
      </c>
      <c r="I1615" s="6">
        <v>0</v>
      </c>
      <c r="J1615" s="6">
        <v>0</v>
      </c>
    </row>
    <row r="1616" spans="1:10" ht="13" x14ac:dyDescent="0.15">
      <c r="A1616" s="33"/>
      <c r="B1616" s="33"/>
      <c r="H1616" s="6">
        <v>0</v>
      </c>
      <c r="I1616" s="6">
        <v>0</v>
      </c>
      <c r="J1616" s="6">
        <v>0</v>
      </c>
    </row>
    <row r="1617" spans="1:10" ht="13" x14ac:dyDescent="0.15">
      <c r="A1617" s="33"/>
      <c r="B1617" s="33"/>
      <c r="H1617" s="6">
        <v>0</v>
      </c>
      <c r="I1617" s="6">
        <v>0</v>
      </c>
      <c r="J1617" s="6">
        <v>0</v>
      </c>
    </row>
    <row r="1618" spans="1:10" ht="13" x14ac:dyDescent="0.15">
      <c r="A1618" s="33"/>
      <c r="B1618" s="33"/>
      <c r="H1618" s="6">
        <v>0</v>
      </c>
      <c r="I1618" s="6">
        <v>0</v>
      </c>
      <c r="J1618" s="6">
        <v>0</v>
      </c>
    </row>
    <row r="1619" spans="1:10" ht="13" x14ac:dyDescent="0.15">
      <c r="A1619" s="33"/>
      <c r="B1619" s="33"/>
      <c r="H1619" s="6">
        <v>0</v>
      </c>
      <c r="I1619" s="6">
        <v>0</v>
      </c>
      <c r="J1619" s="6">
        <v>0</v>
      </c>
    </row>
    <row r="1620" spans="1:10" ht="13" x14ac:dyDescent="0.15">
      <c r="A1620" s="33"/>
      <c r="B1620" s="33"/>
      <c r="H1620" s="6">
        <v>0</v>
      </c>
      <c r="I1620" s="6">
        <v>0</v>
      </c>
      <c r="J1620" s="6">
        <v>0</v>
      </c>
    </row>
    <row r="1621" spans="1:10" ht="13" x14ac:dyDescent="0.15">
      <c r="A1621" s="33"/>
      <c r="B1621" s="33"/>
      <c r="H1621" s="6">
        <v>0</v>
      </c>
      <c r="I1621" s="6">
        <v>0</v>
      </c>
      <c r="J1621" s="6">
        <v>0</v>
      </c>
    </row>
    <row r="1622" spans="1:10" ht="13" x14ac:dyDescent="0.15">
      <c r="A1622" s="33"/>
      <c r="B1622" s="33"/>
      <c r="H1622" s="6">
        <v>0</v>
      </c>
      <c r="I1622" s="6">
        <v>0</v>
      </c>
      <c r="J1622" s="6">
        <v>0</v>
      </c>
    </row>
    <row r="1623" spans="1:10" ht="13" x14ac:dyDescent="0.15">
      <c r="A1623" s="33"/>
      <c r="B1623" s="33"/>
      <c r="H1623" s="6">
        <v>0</v>
      </c>
      <c r="I1623" s="6">
        <v>0</v>
      </c>
      <c r="J1623" s="6">
        <v>0</v>
      </c>
    </row>
    <row r="1624" spans="1:10" ht="13" x14ac:dyDescent="0.15">
      <c r="A1624" s="33"/>
      <c r="B1624" s="33"/>
      <c r="H1624" s="6">
        <v>0</v>
      </c>
      <c r="I1624" s="6">
        <v>0</v>
      </c>
      <c r="J1624" s="6">
        <v>0</v>
      </c>
    </row>
    <row r="1625" spans="1:10" ht="13" x14ac:dyDescent="0.15">
      <c r="A1625" s="33"/>
      <c r="B1625" s="33"/>
      <c r="H1625" s="6">
        <v>0</v>
      </c>
      <c r="I1625" s="6">
        <v>0</v>
      </c>
      <c r="J1625" s="6">
        <v>0</v>
      </c>
    </row>
    <row r="1626" spans="1:10" ht="13" x14ac:dyDescent="0.15">
      <c r="A1626" s="33"/>
      <c r="B1626" s="33"/>
      <c r="H1626" s="6">
        <v>0</v>
      </c>
      <c r="I1626" s="6">
        <v>0</v>
      </c>
      <c r="J1626" s="6">
        <v>0</v>
      </c>
    </row>
    <row r="1627" spans="1:10" ht="13" x14ac:dyDescent="0.15">
      <c r="A1627" s="33"/>
      <c r="B1627" s="33"/>
      <c r="H1627" s="6">
        <v>0</v>
      </c>
      <c r="I1627" s="6">
        <v>0</v>
      </c>
      <c r="J1627" s="6">
        <v>0</v>
      </c>
    </row>
    <row r="1628" spans="1:10" ht="13" x14ac:dyDescent="0.15">
      <c r="A1628" s="33"/>
      <c r="B1628" s="33"/>
      <c r="H1628" s="6">
        <v>0</v>
      </c>
      <c r="I1628" s="6">
        <v>0</v>
      </c>
      <c r="J1628" s="6">
        <v>0</v>
      </c>
    </row>
    <row r="1629" spans="1:10" ht="13" x14ac:dyDescent="0.15">
      <c r="A1629" s="33"/>
      <c r="B1629" s="33"/>
      <c r="H1629" s="6">
        <v>0</v>
      </c>
      <c r="I1629" s="6">
        <v>0</v>
      </c>
      <c r="J1629" s="6">
        <v>0</v>
      </c>
    </row>
    <row r="1630" spans="1:10" ht="13" x14ac:dyDescent="0.15">
      <c r="A1630" s="33"/>
      <c r="B1630" s="33"/>
      <c r="H1630" s="6">
        <v>0</v>
      </c>
      <c r="I1630" s="6">
        <v>0</v>
      </c>
      <c r="J1630" s="6">
        <v>0</v>
      </c>
    </row>
    <row r="1631" spans="1:10" ht="13" x14ac:dyDescent="0.15">
      <c r="A1631" s="33"/>
      <c r="B1631" s="33"/>
      <c r="H1631" s="6">
        <v>0</v>
      </c>
      <c r="I1631" s="6">
        <v>0</v>
      </c>
      <c r="J1631" s="6">
        <v>0</v>
      </c>
    </row>
    <row r="1632" spans="1:10" ht="13" x14ac:dyDescent="0.15">
      <c r="A1632" s="33"/>
      <c r="B1632" s="33"/>
      <c r="H1632" s="6">
        <v>0</v>
      </c>
      <c r="I1632" s="6">
        <v>0</v>
      </c>
      <c r="J1632" s="6">
        <v>0</v>
      </c>
    </row>
    <row r="1633" spans="1:10" ht="13" x14ac:dyDescent="0.15">
      <c r="A1633" s="33"/>
      <c r="B1633" s="33"/>
      <c r="H1633" s="6">
        <v>0</v>
      </c>
      <c r="I1633" s="6">
        <v>0</v>
      </c>
      <c r="J1633" s="6">
        <v>0</v>
      </c>
    </row>
    <row r="1634" spans="1:10" ht="13" x14ac:dyDescent="0.15">
      <c r="A1634" s="33"/>
      <c r="B1634" s="33"/>
      <c r="H1634" s="6">
        <v>0</v>
      </c>
      <c r="I1634" s="6">
        <v>0</v>
      </c>
      <c r="J1634" s="6">
        <v>0</v>
      </c>
    </row>
    <row r="1635" spans="1:10" ht="13" x14ac:dyDescent="0.15">
      <c r="A1635" s="33"/>
      <c r="B1635" s="33"/>
      <c r="H1635" s="6">
        <v>0</v>
      </c>
      <c r="I1635" s="6">
        <v>0</v>
      </c>
      <c r="J1635" s="6">
        <v>0</v>
      </c>
    </row>
    <row r="1636" spans="1:10" ht="13" x14ac:dyDescent="0.15">
      <c r="A1636" s="33"/>
      <c r="B1636" s="33"/>
      <c r="H1636" s="6">
        <v>0</v>
      </c>
      <c r="I1636" s="6">
        <v>0</v>
      </c>
      <c r="J1636" s="6">
        <v>0</v>
      </c>
    </row>
    <row r="1637" spans="1:10" ht="13" x14ac:dyDescent="0.15">
      <c r="A1637" s="33"/>
      <c r="B1637" s="33"/>
      <c r="H1637" s="6">
        <v>0</v>
      </c>
      <c r="I1637" s="6">
        <v>0</v>
      </c>
      <c r="J1637" s="6">
        <v>0</v>
      </c>
    </row>
    <row r="1638" spans="1:10" ht="13" x14ac:dyDescent="0.15">
      <c r="A1638" s="33"/>
      <c r="B1638" s="33"/>
      <c r="H1638" s="6">
        <v>0</v>
      </c>
      <c r="I1638" s="6">
        <v>0</v>
      </c>
      <c r="J1638" s="6">
        <v>0</v>
      </c>
    </row>
    <row r="1639" spans="1:10" ht="13" x14ac:dyDescent="0.15">
      <c r="A1639" s="33"/>
      <c r="B1639" s="33"/>
      <c r="H1639" s="6">
        <v>0</v>
      </c>
      <c r="I1639" s="6">
        <v>0</v>
      </c>
      <c r="J1639" s="6">
        <v>0</v>
      </c>
    </row>
    <row r="1640" spans="1:10" ht="13" x14ac:dyDescent="0.15">
      <c r="A1640" s="33"/>
      <c r="B1640" s="33"/>
      <c r="H1640" s="6">
        <v>0</v>
      </c>
      <c r="I1640" s="6">
        <v>0</v>
      </c>
      <c r="J1640" s="6">
        <v>0</v>
      </c>
    </row>
    <row r="1641" spans="1:10" ht="13" x14ac:dyDescent="0.15">
      <c r="A1641" s="33"/>
      <c r="B1641" s="33"/>
      <c r="H1641" s="6">
        <v>0</v>
      </c>
      <c r="I1641" s="6">
        <v>0</v>
      </c>
      <c r="J1641" s="6">
        <v>0</v>
      </c>
    </row>
    <row r="1642" spans="1:10" ht="13" x14ac:dyDescent="0.15">
      <c r="A1642" s="33"/>
      <c r="B1642" s="33"/>
      <c r="H1642" s="6">
        <v>0</v>
      </c>
      <c r="I1642" s="6">
        <v>0</v>
      </c>
      <c r="J1642" s="6">
        <v>0</v>
      </c>
    </row>
    <row r="1643" spans="1:10" ht="13" x14ac:dyDescent="0.15">
      <c r="A1643" s="33"/>
      <c r="B1643" s="33"/>
      <c r="H1643" s="6">
        <v>0</v>
      </c>
      <c r="I1643" s="6">
        <v>0</v>
      </c>
      <c r="J1643" s="6">
        <v>0</v>
      </c>
    </row>
    <row r="1644" spans="1:10" ht="13" x14ac:dyDescent="0.15">
      <c r="A1644" s="33"/>
      <c r="B1644" s="33"/>
      <c r="H1644" s="6">
        <v>0</v>
      </c>
      <c r="I1644" s="6">
        <v>0</v>
      </c>
      <c r="J1644" s="6">
        <v>0</v>
      </c>
    </row>
    <row r="1645" spans="1:10" ht="13" x14ac:dyDescent="0.15">
      <c r="A1645" s="33"/>
      <c r="B1645" s="33"/>
      <c r="H1645" s="6">
        <v>0</v>
      </c>
      <c r="I1645" s="6">
        <v>0</v>
      </c>
      <c r="J1645" s="6">
        <v>0</v>
      </c>
    </row>
    <row r="1646" spans="1:10" ht="13" x14ac:dyDescent="0.15">
      <c r="A1646" s="33"/>
      <c r="B1646" s="33"/>
      <c r="H1646" s="6">
        <v>0</v>
      </c>
      <c r="I1646" s="6">
        <v>0</v>
      </c>
      <c r="J1646" s="6">
        <v>0</v>
      </c>
    </row>
    <row r="1647" spans="1:10" ht="13" x14ac:dyDescent="0.15">
      <c r="A1647" s="33"/>
      <c r="B1647" s="33"/>
      <c r="H1647" s="6">
        <v>0</v>
      </c>
      <c r="I1647" s="6">
        <v>0</v>
      </c>
      <c r="J1647" s="6">
        <v>0</v>
      </c>
    </row>
    <row r="1648" spans="1:10" ht="13" x14ac:dyDescent="0.15">
      <c r="A1648" s="33"/>
      <c r="B1648" s="33"/>
      <c r="H1648" s="6">
        <v>0</v>
      </c>
      <c r="I1648" s="6">
        <v>0</v>
      </c>
      <c r="J1648" s="6">
        <v>0</v>
      </c>
    </row>
    <row r="1649" spans="1:10" ht="13" x14ac:dyDescent="0.15">
      <c r="A1649" s="33"/>
      <c r="B1649" s="33"/>
      <c r="H1649" s="6">
        <v>0</v>
      </c>
      <c r="I1649" s="6">
        <v>0</v>
      </c>
      <c r="J1649" s="6">
        <v>0</v>
      </c>
    </row>
    <row r="1650" spans="1:10" ht="13" x14ac:dyDescent="0.15">
      <c r="A1650" s="33"/>
      <c r="B1650" s="33"/>
      <c r="H1650" s="6">
        <v>0</v>
      </c>
      <c r="I1650" s="6">
        <v>0</v>
      </c>
      <c r="J1650" s="6">
        <v>0</v>
      </c>
    </row>
    <row r="1651" spans="1:10" ht="13" x14ac:dyDescent="0.15">
      <c r="A1651" s="33"/>
      <c r="B1651" s="33"/>
      <c r="H1651" s="6">
        <v>0</v>
      </c>
      <c r="I1651" s="6">
        <v>0</v>
      </c>
      <c r="J1651" s="6">
        <v>0</v>
      </c>
    </row>
    <row r="1652" spans="1:10" ht="13" x14ac:dyDescent="0.15">
      <c r="A1652" s="33"/>
      <c r="B1652" s="33"/>
      <c r="H1652" s="6">
        <v>0</v>
      </c>
      <c r="I1652" s="6">
        <v>0</v>
      </c>
      <c r="J1652" s="6">
        <v>0</v>
      </c>
    </row>
    <row r="1653" spans="1:10" ht="13" x14ac:dyDescent="0.15">
      <c r="A1653" s="33"/>
      <c r="B1653" s="33"/>
      <c r="H1653" s="6">
        <v>0</v>
      </c>
      <c r="I1653" s="6">
        <v>0</v>
      </c>
      <c r="J1653" s="6">
        <v>0</v>
      </c>
    </row>
    <row r="1654" spans="1:10" ht="13" x14ac:dyDescent="0.15">
      <c r="A1654" s="33"/>
      <c r="B1654" s="33"/>
      <c r="H1654" s="6">
        <v>0</v>
      </c>
      <c r="I1654" s="6">
        <v>0</v>
      </c>
      <c r="J1654" s="6">
        <v>0</v>
      </c>
    </row>
    <row r="1655" spans="1:10" ht="13" x14ac:dyDescent="0.15">
      <c r="A1655" s="33"/>
      <c r="B1655" s="33"/>
      <c r="H1655" s="6">
        <v>0</v>
      </c>
      <c r="I1655" s="6">
        <v>0</v>
      </c>
      <c r="J1655" s="6">
        <v>0</v>
      </c>
    </row>
    <row r="1656" spans="1:10" ht="13" x14ac:dyDescent="0.15">
      <c r="A1656" s="33"/>
      <c r="B1656" s="33"/>
      <c r="H1656" s="6">
        <v>0</v>
      </c>
      <c r="I1656" s="6">
        <v>0</v>
      </c>
      <c r="J1656" s="6">
        <v>0</v>
      </c>
    </row>
    <row r="1657" spans="1:10" ht="13" x14ac:dyDescent="0.15">
      <c r="A1657" s="33"/>
      <c r="B1657" s="33"/>
      <c r="H1657" s="6">
        <v>0</v>
      </c>
      <c r="I1657" s="6">
        <v>0</v>
      </c>
      <c r="J1657" s="6">
        <v>0</v>
      </c>
    </row>
    <row r="1658" spans="1:10" ht="13" x14ac:dyDescent="0.15">
      <c r="A1658" s="33"/>
      <c r="B1658" s="33"/>
      <c r="H1658" s="6">
        <v>0</v>
      </c>
      <c r="I1658" s="6">
        <v>0</v>
      </c>
      <c r="J1658" s="6">
        <v>0</v>
      </c>
    </row>
    <row r="1659" spans="1:10" ht="13" x14ac:dyDescent="0.15">
      <c r="A1659" s="33"/>
      <c r="B1659" s="33"/>
      <c r="H1659" s="6">
        <v>0</v>
      </c>
      <c r="I1659" s="6">
        <v>0</v>
      </c>
      <c r="J1659" s="6">
        <v>0</v>
      </c>
    </row>
    <row r="1660" spans="1:10" ht="13" x14ac:dyDescent="0.15">
      <c r="A1660" s="33"/>
      <c r="B1660" s="33"/>
      <c r="H1660" s="6">
        <v>0</v>
      </c>
      <c r="I1660" s="6">
        <v>0</v>
      </c>
      <c r="J1660" s="6">
        <v>0</v>
      </c>
    </row>
    <row r="1661" spans="1:10" ht="13" x14ac:dyDescent="0.15">
      <c r="A1661" s="33"/>
      <c r="B1661" s="33"/>
      <c r="H1661" s="6">
        <v>0</v>
      </c>
      <c r="I1661" s="6">
        <v>0</v>
      </c>
      <c r="J1661" s="6">
        <v>0</v>
      </c>
    </row>
    <row r="1662" spans="1:10" ht="13" x14ac:dyDescent="0.15">
      <c r="A1662" s="33"/>
      <c r="B1662" s="33"/>
      <c r="H1662" s="6">
        <v>0</v>
      </c>
      <c r="I1662" s="6">
        <v>0</v>
      </c>
      <c r="J1662" s="6">
        <v>0</v>
      </c>
    </row>
    <row r="1663" spans="1:10" ht="13" x14ac:dyDescent="0.15">
      <c r="A1663" s="33"/>
      <c r="B1663" s="33"/>
      <c r="H1663" s="6">
        <v>0</v>
      </c>
      <c r="I1663" s="6">
        <v>0</v>
      </c>
      <c r="J1663" s="6">
        <v>0</v>
      </c>
    </row>
    <row r="1664" spans="1:10" ht="13" x14ac:dyDescent="0.15">
      <c r="A1664" s="33"/>
      <c r="B1664" s="33"/>
      <c r="H1664" s="6">
        <v>0</v>
      </c>
      <c r="I1664" s="6">
        <v>0</v>
      </c>
      <c r="J1664" s="6">
        <v>0</v>
      </c>
    </row>
    <row r="1665" spans="1:10" ht="13" x14ac:dyDescent="0.15">
      <c r="A1665" s="33"/>
      <c r="B1665" s="33"/>
      <c r="H1665" s="6">
        <v>0</v>
      </c>
      <c r="I1665" s="6">
        <v>0</v>
      </c>
      <c r="J1665" s="6">
        <v>0</v>
      </c>
    </row>
    <row r="1666" spans="1:10" ht="13" x14ac:dyDescent="0.15">
      <c r="A1666" s="33"/>
      <c r="B1666" s="33"/>
      <c r="H1666" s="6">
        <v>0</v>
      </c>
      <c r="I1666" s="6">
        <v>0</v>
      </c>
      <c r="J1666" s="6">
        <v>0</v>
      </c>
    </row>
    <row r="1667" spans="1:10" ht="13" x14ac:dyDescent="0.15">
      <c r="A1667" s="33"/>
      <c r="B1667" s="33"/>
      <c r="H1667" s="6">
        <v>0</v>
      </c>
      <c r="I1667" s="6">
        <v>0</v>
      </c>
      <c r="J1667" s="6">
        <v>0</v>
      </c>
    </row>
    <row r="1668" spans="1:10" ht="13" x14ac:dyDescent="0.15">
      <c r="A1668" s="33"/>
      <c r="B1668" s="33"/>
      <c r="H1668" s="6">
        <v>0</v>
      </c>
      <c r="I1668" s="6">
        <v>0</v>
      </c>
      <c r="J1668" s="6">
        <v>0</v>
      </c>
    </row>
    <row r="1669" spans="1:10" ht="13" x14ac:dyDescent="0.15">
      <c r="A1669" s="33"/>
      <c r="B1669" s="33"/>
      <c r="H1669" s="6">
        <v>0</v>
      </c>
      <c r="I1669" s="6">
        <v>0</v>
      </c>
      <c r="J1669" s="6">
        <v>0</v>
      </c>
    </row>
    <row r="1670" spans="1:10" ht="13" x14ac:dyDescent="0.15">
      <c r="A1670" s="33"/>
      <c r="B1670" s="33"/>
      <c r="H1670" s="6">
        <v>0</v>
      </c>
      <c r="I1670" s="6">
        <v>0</v>
      </c>
      <c r="J1670" s="6">
        <v>0</v>
      </c>
    </row>
    <row r="1671" spans="1:10" ht="13" x14ac:dyDescent="0.15">
      <c r="A1671" s="33"/>
      <c r="B1671" s="33"/>
      <c r="H1671" s="6">
        <v>0</v>
      </c>
      <c r="I1671" s="6">
        <v>0</v>
      </c>
      <c r="J1671" s="6">
        <v>0</v>
      </c>
    </row>
    <row r="1672" spans="1:10" ht="13" x14ac:dyDescent="0.15">
      <c r="A1672" s="33"/>
      <c r="B1672" s="33"/>
      <c r="H1672" s="6">
        <v>0</v>
      </c>
      <c r="I1672" s="6">
        <v>0</v>
      </c>
      <c r="J1672" s="6">
        <v>0</v>
      </c>
    </row>
    <row r="1673" spans="1:10" ht="13" x14ac:dyDescent="0.15">
      <c r="A1673" s="33"/>
      <c r="B1673" s="33"/>
      <c r="H1673" s="6">
        <v>0</v>
      </c>
      <c r="I1673" s="6">
        <v>0</v>
      </c>
      <c r="J1673" s="6">
        <v>0</v>
      </c>
    </row>
    <row r="1674" spans="1:10" ht="13" x14ac:dyDescent="0.15">
      <c r="A1674" s="33"/>
      <c r="B1674" s="33"/>
      <c r="H1674" s="6">
        <v>0</v>
      </c>
      <c r="I1674" s="6">
        <v>0</v>
      </c>
      <c r="J1674" s="6">
        <v>0</v>
      </c>
    </row>
    <row r="1675" spans="1:10" ht="13" x14ac:dyDescent="0.15">
      <c r="A1675" s="33"/>
      <c r="B1675" s="33"/>
      <c r="H1675" s="6">
        <v>0</v>
      </c>
      <c r="I1675" s="6">
        <v>0</v>
      </c>
      <c r="J1675" s="6">
        <v>0</v>
      </c>
    </row>
    <row r="1676" spans="1:10" ht="13" x14ac:dyDescent="0.15">
      <c r="A1676" s="33"/>
      <c r="B1676" s="33"/>
      <c r="H1676" s="6">
        <v>0</v>
      </c>
      <c r="I1676" s="6">
        <v>0</v>
      </c>
      <c r="J1676" s="6">
        <v>0</v>
      </c>
    </row>
    <row r="1677" spans="1:10" ht="13" x14ac:dyDescent="0.15">
      <c r="A1677" s="33"/>
      <c r="B1677" s="33"/>
      <c r="H1677" s="6">
        <v>0</v>
      </c>
      <c r="I1677" s="6">
        <v>0</v>
      </c>
      <c r="J1677" s="6">
        <v>0</v>
      </c>
    </row>
    <row r="1678" spans="1:10" ht="13" x14ac:dyDescent="0.15">
      <c r="A1678" s="33"/>
      <c r="B1678" s="33"/>
      <c r="H1678" s="6">
        <v>0</v>
      </c>
      <c r="I1678" s="6">
        <v>0</v>
      </c>
      <c r="J1678" s="6">
        <v>0</v>
      </c>
    </row>
    <row r="1679" spans="1:10" ht="13" x14ac:dyDescent="0.15">
      <c r="A1679" s="33"/>
      <c r="B1679" s="33"/>
      <c r="H1679" s="6">
        <v>0</v>
      </c>
      <c r="I1679" s="6">
        <v>0</v>
      </c>
      <c r="J1679" s="6">
        <v>0</v>
      </c>
    </row>
    <row r="1680" spans="1:10" ht="13" x14ac:dyDescent="0.15">
      <c r="A1680" s="33"/>
      <c r="B1680" s="33"/>
      <c r="H1680" s="6">
        <v>0</v>
      </c>
      <c r="I1680" s="6">
        <v>0</v>
      </c>
      <c r="J1680" s="6">
        <v>0</v>
      </c>
    </row>
    <row r="1681" spans="1:10" ht="13" x14ac:dyDescent="0.15">
      <c r="A1681" s="33"/>
      <c r="B1681" s="33"/>
      <c r="H1681" s="6">
        <v>0</v>
      </c>
      <c r="I1681" s="6">
        <v>0</v>
      </c>
      <c r="J1681" s="6">
        <v>0</v>
      </c>
    </row>
    <row r="1682" spans="1:10" ht="13" x14ac:dyDescent="0.15">
      <c r="A1682" s="33"/>
      <c r="B1682" s="33"/>
      <c r="H1682" s="6">
        <v>0</v>
      </c>
      <c r="I1682" s="6">
        <v>0</v>
      </c>
      <c r="J1682" s="6">
        <v>0</v>
      </c>
    </row>
    <row r="1683" spans="1:10" ht="13" x14ac:dyDescent="0.15">
      <c r="A1683" s="33"/>
      <c r="B1683" s="33"/>
      <c r="H1683" s="6">
        <v>0</v>
      </c>
      <c r="I1683" s="6">
        <v>0</v>
      </c>
      <c r="J1683" s="6">
        <v>0</v>
      </c>
    </row>
    <row r="1684" spans="1:10" ht="13" x14ac:dyDescent="0.15">
      <c r="A1684" s="33"/>
      <c r="B1684" s="33"/>
      <c r="H1684" s="6">
        <v>0</v>
      </c>
      <c r="I1684" s="6">
        <v>0</v>
      </c>
      <c r="J1684" s="6">
        <v>0</v>
      </c>
    </row>
    <row r="1685" spans="1:10" ht="13" x14ac:dyDescent="0.15">
      <c r="A1685" s="33"/>
      <c r="B1685" s="33"/>
      <c r="H1685" s="6">
        <v>0</v>
      </c>
      <c r="I1685" s="6">
        <v>0</v>
      </c>
      <c r="J1685" s="6">
        <v>0</v>
      </c>
    </row>
    <row r="1686" spans="1:10" ht="13" x14ac:dyDescent="0.15">
      <c r="A1686" s="33"/>
      <c r="B1686" s="33"/>
      <c r="H1686" s="6">
        <v>0</v>
      </c>
      <c r="I1686" s="6">
        <v>0</v>
      </c>
      <c r="J1686" s="6">
        <v>0</v>
      </c>
    </row>
    <row r="1687" spans="1:10" ht="13" x14ac:dyDescent="0.15">
      <c r="A1687" s="33"/>
      <c r="B1687" s="33"/>
      <c r="H1687" s="6">
        <v>0</v>
      </c>
      <c r="I1687" s="6">
        <v>0</v>
      </c>
      <c r="J1687" s="6">
        <v>0</v>
      </c>
    </row>
    <row r="1688" spans="1:10" ht="13" x14ac:dyDescent="0.15">
      <c r="A1688" s="33"/>
      <c r="B1688" s="33"/>
      <c r="H1688" s="6">
        <v>0</v>
      </c>
      <c r="I1688" s="6">
        <v>0</v>
      </c>
      <c r="J1688" s="6">
        <v>0</v>
      </c>
    </row>
    <row r="1689" spans="1:10" ht="13" x14ac:dyDescent="0.15">
      <c r="A1689" s="33"/>
      <c r="B1689" s="33"/>
      <c r="H1689" s="6">
        <v>0</v>
      </c>
      <c r="I1689" s="6">
        <v>0</v>
      </c>
      <c r="J1689" s="6">
        <v>0</v>
      </c>
    </row>
    <row r="1690" spans="1:10" ht="13" x14ac:dyDescent="0.15">
      <c r="A1690" s="33"/>
      <c r="B1690" s="33"/>
      <c r="H1690" s="6">
        <v>0</v>
      </c>
      <c r="I1690" s="6">
        <v>0</v>
      </c>
      <c r="J1690" s="6">
        <v>0</v>
      </c>
    </row>
    <row r="1691" spans="1:10" ht="13" x14ac:dyDescent="0.15">
      <c r="A1691" s="33"/>
      <c r="B1691" s="33"/>
      <c r="H1691" s="6">
        <v>0</v>
      </c>
      <c r="I1691" s="6">
        <v>0</v>
      </c>
      <c r="J1691" s="6">
        <v>0</v>
      </c>
    </row>
    <row r="1692" spans="1:10" ht="13" x14ac:dyDescent="0.15">
      <c r="A1692" s="33"/>
      <c r="B1692" s="33"/>
      <c r="H1692" s="6">
        <v>0</v>
      </c>
      <c r="I1692" s="6">
        <v>0</v>
      </c>
      <c r="J1692" s="6">
        <v>0</v>
      </c>
    </row>
    <row r="1693" spans="1:10" ht="13" x14ac:dyDescent="0.15">
      <c r="A1693" s="33"/>
      <c r="B1693" s="33"/>
      <c r="H1693" s="6">
        <v>0</v>
      </c>
      <c r="I1693" s="6">
        <v>0</v>
      </c>
      <c r="J1693" s="6">
        <v>0</v>
      </c>
    </row>
    <row r="1694" spans="1:10" ht="13" x14ac:dyDescent="0.15">
      <c r="A1694" s="33"/>
      <c r="B1694" s="33"/>
      <c r="H1694" s="6">
        <v>0</v>
      </c>
      <c r="I1694" s="6">
        <v>0</v>
      </c>
      <c r="J1694" s="6">
        <v>0</v>
      </c>
    </row>
    <row r="1695" spans="1:10" ht="13" x14ac:dyDescent="0.15">
      <c r="A1695" s="33"/>
      <c r="B1695" s="33"/>
      <c r="H1695" s="6">
        <v>0</v>
      </c>
      <c r="I1695" s="6">
        <v>0</v>
      </c>
      <c r="J1695" s="6">
        <v>0</v>
      </c>
    </row>
    <row r="1696" spans="1:10" ht="13" x14ac:dyDescent="0.15">
      <c r="A1696" s="33"/>
      <c r="B1696" s="33"/>
      <c r="H1696" s="6">
        <v>0</v>
      </c>
      <c r="I1696" s="6">
        <v>0</v>
      </c>
      <c r="J1696" s="6">
        <v>0</v>
      </c>
    </row>
    <row r="1697" spans="1:10" ht="13" x14ac:dyDescent="0.15">
      <c r="A1697" s="33"/>
      <c r="B1697" s="33"/>
      <c r="H1697" s="6">
        <v>0</v>
      </c>
      <c r="I1697" s="6">
        <v>0</v>
      </c>
      <c r="J1697" s="6">
        <v>0</v>
      </c>
    </row>
    <row r="1698" spans="1:10" ht="13" x14ac:dyDescent="0.15">
      <c r="A1698" s="33"/>
      <c r="B1698" s="33"/>
      <c r="H1698" s="6">
        <v>0</v>
      </c>
      <c r="I1698" s="6">
        <v>0</v>
      </c>
      <c r="J1698" s="6">
        <v>0</v>
      </c>
    </row>
    <row r="1699" spans="1:10" ht="13" x14ac:dyDescent="0.15">
      <c r="A1699" s="33"/>
      <c r="B1699" s="33"/>
      <c r="H1699" s="6">
        <v>0</v>
      </c>
      <c r="I1699" s="6">
        <v>0</v>
      </c>
      <c r="J1699" s="6">
        <v>0</v>
      </c>
    </row>
    <row r="1700" spans="1:10" ht="13" x14ac:dyDescent="0.15">
      <c r="A1700" s="33"/>
      <c r="B1700" s="33"/>
      <c r="H1700" s="6">
        <v>0</v>
      </c>
      <c r="I1700" s="6">
        <v>0</v>
      </c>
      <c r="J1700" s="6">
        <v>0</v>
      </c>
    </row>
    <row r="1701" spans="1:10" ht="13" x14ac:dyDescent="0.15">
      <c r="A1701" s="33"/>
      <c r="B1701" s="33"/>
      <c r="H1701" s="6">
        <v>0</v>
      </c>
      <c r="I1701" s="6">
        <v>0</v>
      </c>
      <c r="J1701" s="6">
        <v>0</v>
      </c>
    </row>
    <row r="1702" spans="1:10" ht="13" x14ac:dyDescent="0.15">
      <c r="A1702" s="33"/>
      <c r="B1702" s="33"/>
      <c r="H1702" s="6">
        <v>0</v>
      </c>
      <c r="I1702" s="6">
        <v>0</v>
      </c>
      <c r="J1702" s="6">
        <v>0</v>
      </c>
    </row>
    <row r="1703" spans="1:10" ht="13" x14ac:dyDescent="0.15">
      <c r="A1703" s="33"/>
      <c r="B1703" s="33"/>
      <c r="H1703" s="6">
        <v>0</v>
      </c>
      <c r="I1703" s="6">
        <v>0</v>
      </c>
      <c r="J1703" s="6">
        <v>0</v>
      </c>
    </row>
    <row r="1704" spans="1:10" ht="13" x14ac:dyDescent="0.15">
      <c r="A1704" s="33"/>
      <c r="B1704" s="33"/>
      <c r="H1704" s="6">
        <v>0</v>
      </c>
      <c r="I1704" s="6">
        <v>0</v>
      </c>
      <c r="J1704" s="6">
        <v>0</v>
      </c>
    </row>
    <row r="1705" spans="1:10" ht="13" x14ac:dyDescent="0.15">
      <c r="A1705" s="33"/>
      <c r="B1705" s="33"/>
      <c r="H1705" s="6">
        <v>0</v>
      </c>
      <c r="I1705" s="6">
        <v>0</v>
      </c>
      <c r="J1705" s="6">
        <v>0</v>
      </c>
    </row>
    <row r="1706" spans="1:10" ht="13" x14ac:dyDescent="0.15">
      <c r="A1706" s="33"/>
      <c r="B1706" s="33"/>
      <c r="H1706" s="6">
        <v>0</v>
      </c>
      <c r="I1706" s="6">
        <v>0</v>
      </c>
      <c r="J1706" s="6">
        <v>0</v>
      </c>
    </row>
    <row r="1707" spans="1:10" ht="13" x14ac:dyDescent="0.15">
      <c r="A1707" s="33"/>
      <c r="B1707" s="33"/>
      <c r="H1707" s="6">
        <v>0</v>
      </c>
      <c r="I1707" s="6">
        <v>0</v>
      </c>
      <c r="J1707" s="6">
        <v>0</v>
      </c>
    </row>
    <row r="1708" spans="1:10" ht="13" x14ac:dyDescent="0.15">
      <c r="A1708" s="33"/>
      <c r="B1708" s="33"/>
      <c r="H1708" s="6">
        <v>0</v>
      </c>
      <c r="I1708" s="6">
        <v>0</v>
      </c>
      <c r="J1708" s="6">
        <v>0</v>
      </c>
    </row>
    <row r="1709" spans="1:10" ht="13" x14ac:dyDescent="0.15">
      <c r="A1709" s="33"/>
      <c r="B1709" s="33"/>
      <c r="H1709" s="6">
        <v>0</v>
      </c>
      <c r="I1709" s="6">
        <v>0</v>
      </c>
      <c r="J1709" s="6">
        <v>0</v>
      </c>
    </row>
    <row r="1710" spans="1:10" ht="13" x14ac:dyDescent="0.15">
      <c r="A1710" s="33"/>
      <c r="B1710" s="33"/>
      <c r="H1710" s="6">
        <v>0</v>
      </c>
      <c r="I1710" s="6">
        <v>0</v>
      </c>
      <c r="J1710" s="6">
        <v>0</v>
      </c>
    </row>
    <row r="1711" spans="1:10" ht="13" x14ac:dyDescent="0.15">
      <c r="A1711" s="33"/>
      <c r="B1711" s="33"/>
      <c r="H1711" s="6">
        <v>0</v>
      </c>
      <c r="I1711" s="6">
        <v>0</v>
      </c>
      <c r="J1711" s="6">
        <v>0</v>
      </c>
    </row>
    <row r="1712" spans="1:10" ht="13" x14ac:dyDescent="0.15">
      <c r="A1712" s="33"/>
      <c r="B1712" s="33"/>
      <c r="H1712" s="6">
        <v>0</v>
      </c>
      <c r="I1712" s="6">
        <v>0</v>
      </c>
      <c r="J1712" s="6">
        <v>0</v>
      </c>
    </row>
    <row r="1713" spans="1:10" ht="13" x14ac:dyDescent="0.15">
      <c r="A1713" s="33"/>
      <c r="B1713" s="33"/>
      <c r="H1713" s="6">
        <v>0</v>
      </c>
      <c r="I1713" s="6">
        <v>0</v>
      </c>
      <c r="J1713" s="6">
        <v>0</v>
      </c>
    </row>
    <row r="1714" spans="1:10" ht="13" x14ac:dyDescent="0.15">
      <c r="A1714" s="33"/>
      <c r="B1714" s="33"/>
      <c r="H1714" s="6">
        <v>0</v>
      </c>
      <c r="I1714" s="6">
        <v>0</v>
      </c>
      <c r="J1714" s="6">
        <v>0</v>
      </c>
    </row>
    <row r="1715" spans="1:10" ht="13" x14ac:dyDescent="0.15">
      <c r="A1715" s="33"/>
      <c r="B1715" s="33"/>
      <c r="H1715" s="6">
        <v>0</v>
      </c>
      <c r="I1715" s="6">
        <v>0</v>
      </c>
      <c r="J1715" s="6">
        <v>0</v>
      </c>
    </row>
    <row r="1716" spans="1:10" ht="13" x14ac:dyDescent="0.15">
      <c r="A1716" s="33"/>
      <c r="B1716" s="33"/>
      <c r="H1716" s="6">
        <v>0</v>
      </c>
      <c r="I1716" s="6">
        <v>0</v>
      </c>
      <c r="J1716" s="6">
        <v>0</v>
      </c>
    </row>
    <row r="1717" spans="1:10" ht="13" x14ac:dyDescent="0.15">
      <c r="A1717" s="33"/>
      <c r="B1717" s="33"/>
      <c r="H1717" s="6">
        <v>0</v>
      </c>
      <c r="I1717" s="6">
        <v>0</v>
      </c>
      <c r="J1717" s="6">
        <v>0</v>
      </c>
    </row>
    <row r="1718" spans="1:10" ht="13" x14ac:dyDescent="0.15">
      <c r="A1718" s="33"/>
      <c r="B1718" s="33"/>
      <c r="H1718" s="6">
        <v>0</v>
      </c>
      <c r="I1718" s="6">
        <v>0</v>
      </c>
      <c r="J1718" s="6">
        <v>0</v>
      </c>
    </row>
    <row r="1719" spans="1:10" ht="13" x14ac:dyDescent="0.15">
      <c r="A1719" s="33"/>
      <c r="B1719" s="33"/>
      <c r="H1719" s="6">
        <v>0</v>
      </c>
      <c r="I1719" s="6">
        <v>0</v>
      </c>
      <c r="J1719" s="6">
        <v>0</v>
      </c>
    </row>
    <row r="1720" spans="1:10" ht="13" x14ac:dyDescent="0.15">
      <c r="A1720" s="33"/>
      <c r="B1720" s="33"/>
      <c r="H1720" s="6">
        <v>0</v>
      </c>
      <c r="I1720" s="6">
        <v>0</v>
      </c>
      <c r="J1720" s="6">
        <v>0</v>
      </c>
    </row>
    <row r="1721" spans="1:10" ht="13" x14ac:dyDescent="0.15">
      <c r="A1721" s="33"/>
      <c r="B1721" s="33"/>
      <c r="H1721" s="6">
        <v>0</v>
      </c>
      <c r="I1721" s="6">
        <v>0</v>
      </c>
      <c r="J1721" s="6">
        <v>0</v>
      </c>
    </row>
    <row r="1722" spans="1:10" ht="13" x14ac:dyDescent="0.15">
      <c r="A1722" s="33"/>
      <c r="B1722" s="33"/>
      <c r="H1722" s="6">
        <v>0</v>
      </c>
      <c r="I1722" s="6">
        <v>0</v>
      </c>
      <c r="J1722" s="6">
        <v>0</v>
      </c>
    </row>
    <row r="1723" spans="1:10" ht="13" x14ac:dyDescent="0.15">
      <c r="A1723" s="33"/>
      <c r="B1723" s="33"/>
      <c r="H1723" s="6">
        <v>0</v>
      </c>
      <c r="I1723" s="6">
        <v>0</v>
      </c>
      <c r="J1723" s="6">
        <v>0</v>
      </c>
    </row>
    <row r="1724" spans="1:10" ht="13" x14ac:dyDescent="0.15">
      <c r="A1724" s="33"/>
      <c r="B1724" s="33"/>
      <c r="H1724" s="6">
        <v>0</v>
      </c>
      <c r="I1724" s="6">
        <v>0</v>
      </c>
      <c r="J1724" s="6">
        <v>0</v>
      </c>
    </row>
    <row r="1725" spans="1:10" ht="13" x14ac:dyDescent="0.15">
      <c r="A1725" s="33"/>
      <c r="B1725" s="33"/>
      <c r="H1725" s="6">
        <v>0</v>
      </c>
      <c r="I1725" s="6">
        <v>0</v>
      </c>
      <c r="J1725" s="6">
        <v>0</v>
      </c>
    </row>
    <row r="1726" spans="1:10" ht="13" x14ac:dyDescent="0.15">
      <c r="A1726" s="33"/>
      <c r="B1726" s="33"/>
      <c r="H1726" s="6">
        <v>0</v>
      </c>
      <c r="I1726" s="6">
        <v>0</v>
      </c>
      <c r="J1726" s="6">
        <v>0</v>
      </c>
    </row>
    <row r="1727" spans="1:10" ht="13" x14ac:dyDescent="0.15">
      <c r="A1727" s="33"/>
      <c r="B1727" s="33"/>
      <c r="H1727" s="6">
        <v>0</v>
      </c>
      <c r="I1727" s="6">
        <v>0</v>
      </c>
      <c r="J1727" s="6">
        <v>0</v>
      </c>
    </row>
    <row r="1728" spans="1:10" ht="13" x14ac:dyDescent="0.15">
      <c r="A1728" s="33"/>
      <c r="B1728" s="33"/>
      <c r="H1728" s="6">
        <v>0</v>
      </c>
      <c r="I1728" s="6">
        <v>0</v>
      </c>
      <c r="J1728" s="6">
        <v>0</v>
      </c>
    </row>
    <row r="1729" spans="1:10" ht="13" x14ac:dyDescent="0.15">
      <c r="A1729" s="33"/>
      <c r="B1729" s="33"/>
      <c r="H1729" s="6">
        <v>0</v>
      </c>
      <c r="I1729" s="6">
        <v>0</v>
      </c>
      <c r="J1729" s="6">
        <v>0</v>
      </c>
    </row>
    <row r="1730" spans="1:10" ht="13" x14ac:dyDescent="0.15">
      <c r="A1730" s="33"/>
      <c r="B1730" s="33"/>
      <c r="H1730" s="6">
        <v>0</v>
      </c>
      <c r="I1730" s="6">
        <v>0</v>
      </c>
      <c r="J1730" s="6">
        <v>0</v>
      </c>
    </row>
    <row r="1731" spans="1:10" ht="13" x14ac:dyDescent="0.15">
      <c r="A1731" s="33"/>
      <c r="B1731" s="33"/>
      <c r="H1731" s="6">
        <v>0</v>
      </c>
      <c r="I1731" s="6">
        <v>0</v>
      </c>
      <c r="J1731" s="6">
        <v>0</v>
      </c>
    </row>
    <row r="1732" spans="1:10" ht="13" x14ac:dyDescent="0.15">
      <c r="A1732" s="33"/>
      <c r="B1732" s="33"/>
      <c r="H1732" s="6">
        <v>0</v>
      </c>
      <c r="I1732" s="6">
        <v>0</v>
      </c>
      <c r="J1732" s="6">
        <v>0</v>
      </c>
    </row>
    <row r="1733" spans="1:10" ht="13" x14ac:dyDescent="0.15">
      <c r="A1733" s="33"/>
      <c r="B1733" s="33"/>
      <c r="H1733" s="6">
        <v>0</v>
      </c>
      <c r="I1733" s="6">
        <v>0</v>
      </c>
      <c r="J1733" s="6">
        <v>0</v>
      </c>
    </row>
    <row r="1734" spans="1:10" ht="13" x14ac:dyDescent="0.15">
      <c r="A1734" s="33"/>
      <c r="B1734" s="33"/>
      <c r="H1734" s="6">
        <v>0</v>
      </c>
      <c r="I1734" s="6">
        <v>0</v>
      </c>
      <c r="J1734" s="6">
        <v>0</v>
      </c>
    </row>
    <row r="1735" spans="1:10" ht="13" x14ac:dyDescent="0.15">
      <c r="A1735" s="33"/>
      <c r="B1735" s="33"/>
      <c r="H1735" s="6">
        <v>0</v>
      </c>
      <c r="I1735" s="6">
        <v>0</v>
      </c>
      <c r="J1735" s="6">
        <v>0</v>
      </c>
    </row>
    <row r="1736" spans="1:10" ht="13" x14ac:dyDescent="0.15">
      <c r="A1736" s="33"/>
      <c r="B1736" s="33"/>
      <c r="H1736" s="6">
        <v>0</v>
      </c>
      <c r="I1736" s="6">
        <v>0</v>
      </c>
      <c r="J1736" s="6">
        <v>0</v>
      </c>
    </row>
    <row r="1737" spans="1:10" ht="13" x14ac:dyDescent="0.15">
      <c r="A1737" s="33"/>
      <c r="B1737" s="33"/>
      <c r="H1737" s="6">
        <v>0</v>
      </c>
      <c r="I1737" s="6">
        <v>0</v>
      </c>
      <c r="J1737" s="6">
        <v>0</v>
      </c>
    </row>
    <row r="1738" spans="1:10" ht="13" x14ac:dyDescent="0.15">
      <c r="A1738" s="33"/>
      <c r="B1738" s="33"/>
      <c r="H1738" s="6">
        <v>0</v>
      </c>
      <c r="I1738" s="6">
        <v>0</v>
      </c>
      <c r="J1738" s="6">
        <v>0</v>
      </c>
    </row>
    <row r="1739" spans="1:10" ht="13" x14ac:dyDescent="0.15">
      <c r="A1739" s="33"/>
      <c r="B1739" s="33"/>
      <c r="H1739" s="6">
        <v>0</v>
      </c>
      <c r="I1739" s="6">
        <v>0</v>
      </c>
      <c r="J1739" s="6">
        <v>0</v>
      </c>
    </row>
    <row r="1740" spans="1:10" ht="13" x14ac:dyDescent="0.15">
      <c r="A1740" s="33"/>
      <c r="B1740" s="33"/>
      <c r="H1740" s="6">
        <v>0</v>
      </c>
      <c r="I1740" s="6">
        <v>0</v>
      </c>
      <c r="J1740" s="6">
        <v>0</v>
      </c>
    </row>
    <row r="1741" spans="1:10" ht="13" x14ac:dyDescent="0.15">
      <c r="A1741" s="33"/>
      <c r="B1741" s="33"/>
      <c r="H1741" s="6">
        <v>0</v>
      </c>
      <c r="I1741" s="6">
        <v>0</v>
      </c>
      <c r="J1741" s="6">
        <v>0</v>
      </c>
    </row>
    <row r="1742" spans="1:10" ht="13" x14ac:dyDescent="0.15">
      <c r="A1742" s="33"/>
      <c r="B1742" s="33"/>
      <c r="H1742" s="6">
        <v>0</v>
      </c>
      <c r="I1742" s="6">
        <v>0</v>
      </c>
      <c r="J1742" s="6">
        <v>0</v>
      </c>
    </row>
    <row r="1743" spans="1:10" ht="13" x14ac:dyDescent="0.15">
      <c r="A1743" s="33"/>
      <c r="B1743" s="33"/>
      <c r="H1743" s="6">
        <v>0</v>
      </c>
      <c r="I1743" s="6">
        <v>0</v>
      </c>
      <c r="J1743" s="6">
        <v>0</v>
      </c>
    </row>
    <row r="1744" spans="1:10" ht="13" x14ac:dyDescent="0.15">
      <c r="A1744" s="33"/>
      <c r="B1744" s="33"/>
      <c r="H1744" s="6">
        <v>0</v>
      </c>
      <c r="I1744" s="6">
        <v>0</v>
      </c>
      <c r="J1744" s="6">
        <v>0</v>
      </c>
    </row>
    <row r="1745" spans="1:10" ht="13" x14ac:dyDescent="0.15">
      <c r="A1745" s="33"/>
      <c r="B1745" s="33"/>
      <c r="H1745" s="6">
        <v>0</v>
      </c>
      <c r="I1745" s="6">
        <v>0</v>
      </c>
      <c r="J1745" s="6">
        <v>0</v>
      </c>
    </row>
    <row r="1746" spans="1:10" ht="13" x14ac:dyDescent="0.15">
      <c r="A1746" s="33"/>
      <c r="B1746" s="33"/>
      <c r="H1746" s="6">
        <v>0</v>
      </c>
      <c r="I1746" s="6">
        <v>0</v>
      </c>
      <c r="J1746" s="6">
        <v>0</v>
      </c>
    </row>
    <row r="1747" spans="1:10" ht="13" x14ac:dyDescent="0.15">
      <c r="A1747" s="33"/>
      <c r="B1747" s="33"/>
      <c r="H1747" s="6">
        <v>0</v>
      </c>
      <c r="I1747" s="6">
        <v>0</v>
      </c>
      <c r="J1747" s="6">
        <v>0</v>
      </c>
    </row>
    <row r="1748" spans="1:10" ht="13" x14ac:dyDescent="0.15">
      <c r="A1748" s="33"/>
      <c r="B1748" s="33"/>
      <c r="H1748" s="6">
        <v>0</v>
      </c>
      <c r="I1748" s="6">
        <v>0</v>
      </c>
      <c r="J1748" s="6">
        <v>0</v>
      </c>
    </row>
    <row r="1749" spans="1:10" ht="13" x14ac:dyDescent="0.15">
      <c r="A1749" s="33"/>
      <c r="B1749" s="33"/>
      <c r="H1749" s="6">
        <v>0</v>
      </c>
      <c r="I1749" s="6">
        <v>0</v>
      </c>
      <c r="J1749" s="6">
        <v>0</v>
      </c>
    </row>
    <row r="1750" spans="1:10" ht="13" x14ac:dyDescent="0.15">
      <c r="A1750" s="33"/>
      <c r="B1750" s="33"/>
      <c r="H1750" s="6">
        <v>0</v>
      </c>
      <c r="I1750" s="6">
        <v>0</v>
      </c>
      <c r="J1750" s="6">
        <v>0</v>
      </c>
    </row>
    <row r="1751" spans="1:10" ht="13" x14ac:dyDescent="0.15">
      <c r="A1751" s="33"/>
      <c r="B1751" s="33"/>
      <c r="H1751" s="6">
        <v>0</v>
      </c>
      <c r="I1751" s="6">
        <v>0</v>
      </c>
      <c r="J1751" s="6">
        <v>0</v>
      </c>
    </row>
    <row r="1752" spans="1:10" ht="13" x14ac:dyDescent="0.15">
      <c r="A1752" s="33"/>
      <c r="B1752" s="33"/>
      <c r="H1752" s="6">
        <v>0</v>
      </c>
      <c r="I1752" s="6">
        <v>0</v>
      </c>
      <c r="J1752" s="6">
        <v>0</v>
      </c>
    </row>
    <row r="1753" spans="1:10" ht="13" x14ac:dyDescent="0.15">
      <c r="A1753" s="33"/>
      <c r="B1753" s="33"/>
      <c r="H1753" s="6">
        <v>0</v>
      </c>
      <c r="I1753" s="6">
        <v>0</v>
      </c>
      <c r="J1753" s="6">
        <v>0</v>
      </c>
    </row>
    <row r="1754" spans="1:10" ht="13" x14ac:dyDescent="0.15">
      <c r="A1754" s="33"/>
      <c r="B1754" s="33"/>
      <c r="H1754" s="6">
        <v>0</v>
      </c>
      <c r="I1754" s="6">
        <v>0</v>
      </c>
      <c r="J1754" s="6">
        <v>0</v>
      </c>
    </row>
    <row r="1755" spans="1:10" ht="13" x14ac:dyDescent="0.15">
      <c r="A1755" s="33"/>
      <c r="B1755" s="33"/>
      <c r="H1755" s="6">
        <v>0</v>
      </c>
      <c r="I1755" s="6">
        <v>0</v>
      </c>
      <c r="J1755" s="6">
        <v>0</v>
      </c>
    </row>
    <row r="1756" spans="1:10" ht="13" x14ac:dyDescent="0.15">
      <c r="A1756" s="33"/>
      <c r="B1756" s="33"/>
      <c r="H1756" s="6">
        <v>0</v>
      </c>
      <c r="I1756" s="6">
        <v>0</v>
      </c>
      <c r="J1756" s="6">
        <v>0</v>
      </c>
    </row>
    <row r="1757" spans="1:10" ht="13" x14ac:dyDescent="0.15">
      <c r="A1757" s="33"/>
      <c r="B1757" s="33"/>
      <c r="H1757" s="6">
        <v>0</v>
      </c>
      <c r="I1757" s="6">
        <v>0</v>
      </c>
      <c r="J1757" s="6">
        <v>0</v>
      </c>
    </row>
    <row r="1758" spans="1:10" ht="13" x14ac:dyDescent="0.15">
      <c r="A1758" s="33"/>
      <c r="B1758" s="33"/>
      <c r="H1758" s="6">
        <v>0</v>
      </c>
      <c r="I1758" s="6">
        <v>0</v>
      </c>
      <c r="J1758" s="6">
        <v>0</v>
      </c>
    </row>
    <row r="1759" spans="1:10" ht="13" x14ac:dyDescent="0.15">
      <c r="A1759" s="33"/>
      <c r="B1759" s="33"/>
      <c r="H1759" s="6">
        <v>0</v>
      </c>
      <c r="I1759" s="6">
        <v>0</v>
      </c>
      <c r="J1759" s="6">
        <v>0</v>
      </c>
    </row>
    <row r="1760" spans="1:10" ht="13" x14ac:dyDescent="0.15">
      <c r="A1760" s="33"/>
      <c r="B1760" s="33"/>
      <c r="H1760" s="6">
        <v>0</v>
      </c>
      <c r="I1760" s="6">
        <v>0</v>
      </c>
      <c r="J1760" s="6">
        <v>0</v>
      </c>
    </row>
    <row r="1761" spans="1:10" ht="13" x14ac:dyDescent="0.15">
      <c r="A1761" s="33"/>
      <c r="B1761" s="33"/>
      <c r="H1761" s="6">
        <v>0</v>
      </c>
      <c r="I1761" s="6">
        <v>0</v>
      </c>
      <c r="J1761" s="6">
        <v>0</v>
      </c>
    </row>
    <row r="1762" spans="1:10" ht="13" x14ac:dyDescent="0.15">
      <c r="A1762" s="33"/>
      <c r="B1762" s="33"/>
      <c r="H1762" s="6">
        <v>0</v>
      </c>
      <c r="I1762" s="6">
        <v>0</v>
      </c>
      <c r="J1762" s="6">
        <v>0</v>
      </c>
    </row>
    <row r="1763" spans="1:10" ht="13" x14ac:dyDescent="0.15">
      <c r="A1763" s="33"/>
      <c r="B1763" s="33"/>
      <c r="H1763" s="6">
        <v>0</v>
      </c>
      <c r="I1763" s="6">
        <v>0</v>
      </c>
      <c r="J1763" s="6">
        <v>0</v>
      </c>
    </row>
    <row r="1764" spans="1:10" ht="13" x14ac:dyDescent="0.15">
      <c r="A1764" s="33"/>
      <c r="B1764" s="33"/>
      <c r="H1764" s="6">
        <v>0</v>
      </c>
      <c r="I1764" s="6">
        <v>0</v>
      </c>
      <c r="J1764" s="6">
        <v>0</v>
      </c>
    </row>
    <row r="1765" spans="1:10" ht="13" x14ac:dyDescent="0.15">
      <c r="A1765" s="33"/>
      <c r="B1765" s="33"/>
      <c r="H1765" s="6">
        <v>0</v>
      </c>
      <c r="I1765" s="6">
        <v>0</v>
      </c>
      <c r="J1765" s="6">
        <v>0</v>
      </c>
    </row>
    <row r="1766" spans="1:10" ht="13" x14ac:dyDescent="0.15">
      <c r="A1766" s="33"/>
      <c r="B1766" s="33"/>
      <c r="H1766" s="6">
        <v>0</v>
      </c>
      <c r="I1766" s="6">
        <v>0</v>
      </c>
      <c r="J1766" s="6">
        <v>0</v>
      </c>
    </row>
    <row r="1767" spans="1:10" ht="13" x14ac:dyDescent="0.15">
      <c r="A1767" s="33"/>
      <c r="B1767" s="33"/>
      <c r="H1767" s="6">
        <v>0</v>
      </c>
      <c r="I1767" s="6">
        <v>0</v>
      </c>
      <c r="J1767" s="6">
        <v>0</v>
      </c>
    </row>
    <row r="1768" spans="1:10" ht="13" x14ac:dyDescent="0.15">
      <c r="A1768" s="33"/>
      <c r="B1768" s="33"/>
      <c r="H1768" s="6">
        <v>0</v>
      </c>
      <c r="I1768" s="6">
        <v>0</v>
      </c>
      <c r="J1768" s="6">
        <v>0</v>
      </c>
    </row>
    <row r="1769" spans="1:10" ht="13" x14ac:dyDescent="0.15">
      <c r="A1769" s="33"/>
      <c r="B1769" s="33"/>
      <c r="H1769" s="6">
        <v>0</v>
      </c>
      <c r="I1769" s="6">
        <v>0</v>
      </c>
      <c r="J1769" s="6">
        <v>0</v>
      </c>
    </row>
    <row r="1770" spans="1:10" ht="13" x14ac:dyDescent="0.15">
      <c r="A1770" s="33"/>
      <c r="B1770" s="33"/>
      <c r="H1770" s="6">
        <v>0</v>
      </c>
      <c r="I1770" s="6">
        <v>0</v>
      </c>
      <c r="J1770" s="6">
        <v>0</v>
      </c>
    </row>
    <row r="1771" spans="1:10" ht="13" x14ac:dyDescent="0.15">
      <c r="A1771" s="33"/>
      <c r="B1771" s="33"/>
      <c r="H1771" s="6">
        <v>0</v>
      </c>
      <c r="I1771" s="6">
        <v>0</v>
      </c>
      <c r="J1771" s="6">
        <v>0</v>
      </c>
    </row>
    <row r="1772" spans="1:10" ht="13" x14ac:dyDescent="0.15">
      <c r="A1772" s="33"/>
      <c r="B1772" s="33"/>
      <c r="H1772" s="6">
        <v>0</v>
      </c>
      <c r="I1772" s="6">
        <v>0</v>
      </c>
      <c r="J1772" s="6">
        <v>0</v>
      </c>
    </row>
    <row r="1773" spans="1:10" ht="13" x14ac:dyDescent="0.15">
      <c r="A1773" s="33"/>
      <c r="B1773" s="33"/>
      <c r="H1773" s="6">
        <v>0</v>
      </c>
      <c r="I1773" s="6">
        <v>0</v>
      </c>
      <c r="J1773" s="6">
        <v>0</v>
      </c>
    </row>
    <row r="1774" spans="1:10" ht="13" x14ac:dyDescent="0.15">
      <c r="A1774" s="33"/>
      <c r="B1774" s="33"/>
      <c r="H1774" s="6">
        <v>0</v>
      </c>
      <c r="I1774" s="6">
        <v>0</v>
      </c>
      <c r="J1774" s="6">
        <v>0</v>
      </c>
    </row>
    <row r="1775" spans="1:10" ht="13" x14ac:dyDescent="0.15">
      <c r="A1775" s="33"/>
      <c r="B1775" s="33"/>
      <c r="H1775" s="6">
        <v>0</v>
      </c>
      <c r="I1775" s="6">
        <v>0</v>
      </c>
      <c r="J1775" s="6">
        <v>0</v>
      </c>
    </row>
    <row r="1776" spans="1:10" ht="13" x14ac:dyDescent="0.15">
      <c r="A1776" s="33"/>
      <c r="B1776" s="33"/>
      <c r="H1776" s="6">
        <v>0</v>
      </c>
      <c r="I1776" s="6">
        <v>0</v>
      </c>
      <c r="J1776" s="6">
        <v>0</v>
      </c>
    </row>
    <row r="1777" spans="1:10" ht="13" x14ac:dyDescent="0.15">
      <c r="A1777" s="33"/>
      <c r="B1777" s="33"/>
      <c r="H1777" s="6">
        <v>0</v>
      </c>
      <c r="I1777" s="6">
        <v>0</v>
      </c>
      <c r="J1777" s="6">
        <v>0</v>
      </c>
    </row>
    <row r="1778" spans="1:10" ht="13" x14ac:dyDescent="0.15">
      <c r="A1778" s="33"/>
      <c r="B1778" s="33"/>
      <c r="H1778" s="6">
        <v>0</v>
      </c>
      <c r="I1778" s="6">
        <v>0</v>
      </c>
      <c r="J1778" s="6">
        <v>0</v>
      </c>
    </row>
    <row r="1779" spans="1:10" ht="13" x14ac:dyDescent="0.15">
      <c r="A1779" s="33"/>
      <c r="B1779" s="33"/>
      <c r="H1779" s="6">
        <v>0</v>
      </c>
      <c r="I1779" s="6">
        <v>0</v>
      </c>
      <c r="J1779" s="6">
        <v>0</v>
      </c>
    </row>
    <row r="1780" spans="1:10" ht="13" x14ac:dyDescent="0.15">
      <c r="A1780" s="33"/>
      <c r="B1780" s="33"/>
      <c r="H1780" s="6">
        <v>0</v>
      </c>
      <c r="I1780" s="6">
        <v>0</v>
      </c>
      <c r="J1780" s="6">
        <v>0</v>
      </c>
    </row>
    <row r="1781" spans="1:10" ht="13" x14ac:dyDescent="0.15">
      <c r="A1781" s="33"/>
      <c r="B1781" s="33"/>
      <c r="H1781" s="6">
        <v>0</v>
      </c>
      <c r="I1781" s="6">
        <v>0</v>
      </c>
      <c r="J1781" s="6">
        <v>0</v>
      </c>
    </row>
    <row r="1782" spans="1:10" ht="13" x14ac:dyDescent="0.15">
      <c r="A1782" s="33"/>
      <c r="B1782" s="33"/>
      <c r="H1782" s="6">
        <v>0</v>
      </c>
      <c r="I1782" s="6">
        <v>0</v>
      </c>
      <c r="J1782" s="6">
        <v>0</v>
      </c>
    </row>
    <row r="1783" spans="1:10" ht="13" x14ac:dyDescent="0.15">
      <c r="A1783" s="33"/>
      <c r="B1783" s="33"/>
      <c r="H1783" s="6">
        <v>0</v>
      </c>
      <c r="I1783" s="6">
        <v>0</v>
      </c>
      <c r="J1783" s="6">
        <v>0</v>
      </c>
    </row>
    <row r="1784" spans="1:10" ht="13" x14ac:dyDescent="0.15">
      <c r="A1784" s="33"/>
      <c r="B1784" s="33"/>
      <c r="H1784" s="6">
        <v>0</v>
      </c>
      <c r="I1784" s="6">
        <v>0</v>
      </c>
      <c r="J1784" s="6">
        <v>0</v>
      </c>
    </row>
    <row r="1785" spans="1:10" ht="13" x14ac:dyDescent="0.15">
      <c r="A1785" s="33"/>
      <c r="B1785" s="33"/>
      <c r="H1785" s="6">
        <v>0</v>
      </c>
      <c r="I1785" s="6">
        <v>0</v>
      </c>
      <c r="J1785" s="6">
        <v>0</v>
      </c>
    </row>
    <row r="1786" spans="1:10" ht="13" x14ac:dyDescent="0.15">
      <c r="A1786" s="33"/>
      <c r="B1786" s="33"/>
      <c r="H1786" s="6">
        <v>0</v>
      </c>
      <c r="I1786" s="6">
        <v>0</v>
      </c>
      <c r="J1786" s="6">
        <v>0</v>
      </c>
    </row>
    <row r="1787" spans="1:10" ht="13" x14ac:dyDescent="0.15">
      <c r="A1787" s="33"/>
      <c r="B1787" s="33"/>
      <c r="H1787" s="6">
        <v>0</v>
      </c>
      <c r="I1787" s="6">
        <v>0</v>
      </c>
      <c r="J1787" s="6">
        <v>0</v>
      </c>
    </row>
    <row r="1788" spans="1:10" ht="13" x14ac:dyDescent="0.15">
      <c r="A1788" s="33"/>
      <c r="B1788" s="33"/>
      <c r="H1788" s="6">
        <v>0</v>
      </c>
      <c r="I1788" s="6">
        <v>0</v>
      </c>
      <c r="J1788" s="6">
        <v>0</v>
      </c>
    </row>
    <row r="1789" spans="1:10" ht="13" x14ac:dyDescent="0.15">
      <c r="A1789" s="33"/>
      <c r="B1789" s="33"/>
      <c r="H1789" s="6">
        <v>0</v>
      </c>
      <c r="I1789" s="6">
        <v>0</v>
      </c>
      <c r="J1789" s="6">
        <v>0</v>
      </c>
    </row>
    <row r="1790" spans="1:10" ht="13" x14ac:dyDescent="0.15">
      <c r="A1790" s="33"/>
      <c r="B1790" s="33"/>
      <c r="H1790" s="6">
        <v>0</v>
      </c>
      <c r="I1790" s="6">
        <v>0</v>
      </c>
      <c r="J1790" s="6">
        <v>0</v>
      </c>
    </row>
    <row r="1791" spans="1:10" ht="13" x14ac:dyDescent="0.15">
      <c r="A1791" s="33"/>
      <c r="B1791" s="33"/>
      <c r="H1791" s="6">
        <v>0</v>
      </c>
      <c r="I1791" s="6">
        <v>0</v>
      </c>
      <c r="J1791" s="6">
        <v>0</v>
      </c>
    </row>
    <row r="1792" spans="1:10" ht="13" x14ac:dyDescent="0.15">
      <c r="A1792" s="33"/>
      <c r="B1792" s="33"/>
      <c r="H1792" s="6">
        <v>0</v>
      </c>
      <c r="I1792" s="6">
        <v>0</v>
      </c>
      <c r="J1792" s="6">
        <v>0</v>
      </c>
    </row>
    <row r="1793" spans="1:10" ht="13" x14ac:dyDescent="0.15">
      <c r="A1793" s="33"/>
      <c r="B1793" s="33"/>
      <c r="H1793" s="6">
        <v>0</v>
      </c>
      <c r="I1793" s="6">
        <v>0</v>
      </c>
      <c r="J1793" s="6">
        <v>0</v>
      </c>
    </row>
    <row r="1794" spans="1:10" ht="13" x14ac:dyDescent="0.15">
      <c r="A1794" s="33"/>
      <c r="B1794" s="33"/>
      <c r="H1794" s="6">
        <v>0</v>
      </c>
      <c r="I1794" s="6">
        <v>0</v>
      </c>
      <c r="J1794" s="6">
        <v>0</v>
      </c>
    </row>
    <row r="1795" spans="1:10" ht="13" x14ac:dyDescent="0.15">
      <c r="A1795" s="33"/>
      <c r="B1795" s="33"/>
      <c r="H1795" s="6">
        <v>0</v>
      </c>
      <c r="I1795" s="6">
        <v>0</v>
      </c>
      <c r="J1795" s="6">
        <v>0</v>
      </c>
    </row>
    <row r="1796" spans="1:10" ht="13" x14ac:dyDescent="0.15">
      <c r="A1796" s="33"/>
      <c r="B1796" s="33"/>
      <c r="H1796" s="6">
        <v>0</v>
      </c>
      <c r="I1796" s="6">
        <v>0</v>
      </c>
      <c r="J1796" s="6">
        <v>0</v>
      </c>
    </row>
    <row r="1797" spans="1:10" ht="13" x14ac:dyDescent="0.15">
      <c r="A1797" s="33"/>
      <c r="B1797" s="33"/>
      <c r="H1797" s="6">
        <v>0</v>
      </c>
      <c r="I1797" s="6">
        <v>0</v>
      </c>
      <c r="J1797" s="6">
        <v>0</v>
      </c>
    </row>
    <row r="1798" spans="1:10" ht="13" x14ac:dyDescent="0.15">
      <c r="A1798" s="33"/>
      <c r="B1798" s="33"/>
      <c r="H1798" s="6">
        <v>0</v>
      </c>
      <c r="I1798" s="6">
        <v>0</v>
      </c>
      <c r="J1798" s="6">
        <v>0</v>
      </c>
    </row>
    <row r="1799" spans="1:10" ht="13" x14ac:dyDescent="0.15">
      <c r="A1799" s="33"/>
      <c r="B1799" s="33"/>
      <c r="H1799" s="6">
        <v>0</v>
      </c>
      <c r="I1799" s="6">
        <v>0</v>
      </c>
      <c r="J1799" s="6">
        <v>0</v>
      </c>
    </row>
    <row r="1800" spans="1:10" ht="13" x14ac:dyDescent="0.15">
      <c r="A1800" s="33"/>
      <c r="B1800" s="33"/>
      <c r="H1800" s="6">
        <v>0</v>
      </c>
      <c r="I1800" s="6">
        <v>0</v>
      </c>
      <c r="J1800" s="6">
        <v>0</v>
      </c>
    </row>
    <row r="1801" spans="1:10" ht="13" x14ac:dyDescent="0.15">
      <c r="A1801" s="33"/>
      <c r="B1801" s="33"/>
      <c r="H1801" s="6">
        <v>0</v>
      </c>
      <c r="I1801" s="6">
        <v>0</v>
      </c>
      <c r="J1801" s="6">
        <v>0</v>
      </c>
    </row>
    <row r="1802" spans="1:10" ht="13" x14ac:dyDescent="0.15">
      <c r="A1802" s="33"/>
      <c r="B1802" s="33"/>
      <c r="H1802" s="6">
        <v>0</v>
      </c>
      <c r="I1802" s="6">
        <v>0</v>
      </c>
      <c r="J1802" s="6">
        <v>0</v>
      </c>
    </row>
    <row r="1803" spans="1:10" ht="13" x14ac:dyDescent="0.15">
      <c r="A1803" s="33"/>
      <c r="B1803" s="33"/>
      <c r="H1803" s="6">
        <v>0</v>
      </c>
      <c r="I1803" s="6">
        <v>0</v>
      </c>
      <c r="J1803" s="6">
        <v>0</v>
      </c>
    </row>
    <row r="1804" spans="1:10" ht="13" x14ac:dyDescent="0.15">
      <c r="A1804" s="33"/>
      <c r="B1804" s="33"/>
      <c r="H1804" s="6">
        <v>0</v>
      </c>
      <c r="I1804" s="6">
        <v>0</v>
      </c>
      <c r="J1804" s="6">
        <v>0</v>
      </c>
    </row>
    <row r="1805" spans="1:10" ht="13" x14ac:dyDescent="0.15">
      <c r="A1805" s="33"/>
      <c r="B1805" s="33"/>
      <c r="H1805" s="6">
        <v>0</v>
      </c>
      <c r="I1805" s="6">
        <v>0</v>
      </c>
      <c r="J1805" s="6">
        <v>0</v>
      </c>
    </row>
    <row r="1806" spans="1:10" ht="13" x14ac:dyDescent="0.15">
      <c r="A1806" s="33"/>
      <c r="B1806" s="33"/>
      <c r="H1806" s="6">
        <v>0</v>
      </c>
      <c r="I1806" s="6">
        <v>0</v>
      </c>
      <c r="J1806" s="6">
        <v>0</v>
      </c>
    </row>
    <row r="1807" spans="1:10" ht="13" x14ac:dyDescent="0.15">
      <c r="A1807" s="33"/>
      <c r="B1807" s="33"/>
      <c r="H1807" s="6">
        <v>0</v>
      </c>
      <c r="I1807" s="6">
        <v>0</v>
      </c>
      <c r="J1807" s="6">
        <v>0</v>
      </c>
    </row>
    <row r="1808" spans="1:10" ht="13" x14ac:dyDescent="0.15">
      <c r="A1808" s="33"/>
      <c r="B1808" s="33"/>
      <c r="H1808" s="6">
        <v>0</v>
      </c>
      <c r="I1808" s="6">
        <v>0</v>
      </c>
      <c r="J1808" s="6">
        <v>0</v>
      </c>
    </row>
    <row r="1809" spans="1:10" ht="13" x14ac:dyDescent="0.15">
      <c r="A1809" s="33"/>
      <c r="B1809" s="33"/>
      <c r="H1809" s="6">
        <v>0</v>
      </c>
      <c r="I1809" s="6">
        <v>0</v>
      </c>
      <c r="J1809" s="6">
        <v>0</v>
      </c>
    </row>
    <row r="1810" spans="1:10" ht="13" x14ac:dyDescent="0.15">
      <c r="A1810" s="33"/>
      <c r="B1810" s="33"/>
      <c r="H1810" s="6">
        <v>0</v>
      </c>
      <c r="I1810" s="6">
        <v>0</v>
      </c>
      <c r="J1810" s="6">
        <v>0</v>
      </c>
    </row>
    <row r="1811" spans="1:10" ht="13" x14ac:dyDescent="0.15">
      <c r="A1811" s="33"/>
      <c r="B1811" s="33"/>
      <c r="H1811" s="6">
        <v>0</v>
      </c>
      <c r="I1811" s="6">
        <v>0</v>
      </c>
      <c r="J1811" s="6">
        <v>0</v>
      </c>
    </row>
    <row r="1812" spans="1:10" ht="13" x14ac:dyDescent="0.15">
      <c r="A1812" s="33"/>
      <c r="B1812" s="33"/>
      <c r="H1812" s="6">
        <v>0</v>
      </c>
      <c r="I1812" s="6">
        <v>0</v>
      </c>
      <c r="J1812" s="6">
        <v>0</v>
      </c>
    </row>
    <row r="1813" spans="1:10" ht="13" x14ac:dyDescent="0.15">
      <c r="A1813" s="33"/>
      <c r="B1813" s="33"/>
      <c r="H1813" s="6">
        <v>0</v>
      </c>
      <c r="I1813" s="6">
        <v>0</v>
      </c>
      <c r="J1813" s="6">
        <v>0</v>
      </c>
    </row>
    <row r="1814" spans="1:10" ht="13" x14ac:dyDescent="0.15">
      <c r="A1814" s="33"/>
      <c r="B1814" s="33"/>
      <c r="H1814" s="6">
        <v>0</v>
      </c>
      <c r="I1814" s="6">
        <v>0</v>
      </c>
      <c r="J1814" s="6">
        <v>0</v>
      </c>
    </row>
    <row r="1815" spans="1:10" ht="13" x14ac:dyDescent="0.15">
      <c r="A1815" s="33"/>
      <c r="B1815" s="33"/>
      <c r="H1815" s="6">
        <v>0</v>
      </c>
      <c r="I1815" s="6">
        <v>0</v>
      </c>
      <c r="J1815" s="6">
        <v>0</v>
      </c>
    </row>
    <row r="1816" spans="1:10" ht="13" x14ac:dyDescent="0.15">
      <c r="A1816" s="33"/>
      <c r="B1816" s="33"/>
      <c r="H1816" s="6">
        <v>0</v>
      </c>
      <c r="I1816" s="6">
        <v>0</v>
      </c>
      <c r="J1816" s="6">
        <v>0</v>
      </c>
    </row>
    <row r="1817" spans="1:10" ht="13" x14ac:dyDescent="0.15">
      <c r="A1817" s="33"/>
      <c r="B1817" s="33"/>
      <c r="H1817" s="6">
        <v>0</v>
      </c>
      <c r="I1817" s="6">
        <v>0</v>
      </c>
      <c r="J1817" s="6">
        <v>0</v>
      </c>
    </row>
    <row r="1818" spans="1:10" ht="13" x14ac:dyDescent="0.15">
      <c r="A1818" s="33"/>
      <c r="B1818" s="33"/>
      <c r="H1818" s="6">
        <v>0</v>
      </c>
      <c r="I1818" s="6">
        <v>0</v>
      </c>
      <c r="J1818" s="6">
        <v>0</v>
      </c>
    </row>
    <row r="1819" spans="1:10" ht="13" x14ac:dyDescent="0.15">
      <c r="A1819" s="33"/>
      <c r="B1819" s="33"/>
      <c r="H1819" s="6">
        <v>0</v>
      </c>
      <c r="I1819" s="6">
        <v>0</v>
      </c>
      <c r="J1819" s="6">
        <v>0</v>
      </c>
    </row>
    <row r="1820" spans="1:10" ht="13" x14ac:dyDescent="0.15">
      <c r="A1820" s="33"/>
      <c r="B1820" s="33"/>
      <c r="H1820" s="6">
        <v>0</v>
      </c>
      <c r="I1820" s="6">
        <v>0</v>
      </c>
      <c r="J1820" s="6">
        <v>0</v>
      </c>
    </row>
    <row r="1821" spans="1:10" ht="13" x14ac:dyDescent="0.15">
      <c r="A1821" s="33"/>
      <c r="B1821" s="33"/>
      <c r="H1821" s="6">
        <v>0</v>
      </c>
      <c r="I1821" s="6">
        <v>0</v>
      </c>
      <c r="J1821" s="6">
        <v>0</v>
      </c>
    </row>
    <row r="1822" spans="1:10" ht="13" x14ac:dyDescent="0.15">
      <c r="A1822" s="33"/>
      <c r="B1822" s="33"/>
      <c r="H1822" s="6">
        <v>0</v>
      </c>
      <c r="I1822" s="6">
        <v>0</v>
      </c>
      <c r="J1822" s="6">
        <v>0</v>
      </c>
    </row>
    <row r="1823" spans="1:10" ht="13" x14ac:dyDescent="0.15">
      <c r="A1823" s="33"/>
      <c r="B1823" s="33"/>
      <c r="H1823" s="6">
        <v>0</v>
      </c>
      <c r="I1823" s="6">
        <v>0</v>
      </c>
      <c r="J1823" s="6">
        <v>0</v>
      </c>
    </row>
    <row r="1824" spans="1:10" ht="13" x14ac:dyDescent="0.15">
      <c r="A1824" s="33"/>
      <c r="B1824" s="33"/>
      <c r="H1824" s="6">
        <v>0</v>
      </c>
      <c r="I1824" s="6">
        <v>0</v>
      </c>
      <c r="J1824" s="6">
        <v>0</v>
      </c>
    </row>
    <row r="1825" spans="1:10" ht="13" x14ac:dyDescent="0.15">
      <c r="A1825" s="33"/>
      <c r="B1825" s="33"/>
      <c r="H1825" s="6">
        <v>0</v>
      </c>
      <c r="I1825" s="6">
        <v>0</v>
      </c>
      <c r="J1825" s="6">
        <v>0</v>
      </c>
    </row>
    <row r="1826" spans="1:10" ht="13" x14ac:dyDescent="0.15">
      <c r="A1826" s="33"/>
      <c r="B1826" s="33"/>
      <c r="H1826" s="6">
        <v>0</v>
      </c>
      <c r="I1826" s="6">
        <v>0</v>
      </c>
      <c r="J1826" s="6">
        <v>0</v>
      </c>
    </row>
    <row r="1827" spans="1:10" ht="13" x14ac:dyDescent="0.15">
      <c r="A1827" s="33"/>
      <c r="B1827" s="33"/>
      <c r="H1827" s="6">
        <v>0</v>
      </c>
      <c r="I1827" s="6">
        <v>0</v>
      </c>
      <c r="J1827" s="6">
        <v>0</v>
      </c>
    </row>
    <row r="1828" spans="1:10" ht="13" x14ac:dyDescent="0.15">
      <c r="A1828" s="33"/>
      <c r="B1828" s="33"/>
      <c r="H1828" s="6">
        <v>0</v>
      </c>
      <c r="I1828" s="6">
        <v>0</v>
      </c>
      <c r="J1828" s="6">
        <v>0</v>
      </c>
    </row>
    <row r="1829" spans="1:10" ht="13" x14ac:dyDescent="0.15">
      <c r="A1829" s="33"/>
      <c r="B1829" s="33"/>
      <c r="H1829" s="6">
        <v>0</v>
      </c>
      <c r="I1829" s="6">
        <v>0</v>
      </c>
      <c r="J1829" s="6">
        <v>0</v>
      </c>
    </row>
    <row r="1830" spans="1:10" ht="13" x14ac:dyDescent="0.15">
      <c r="A1830" s="33"/>
      <c r="B1830" s="33"/>
      <c r="H1830" s="6">
        <v>0</v>
      </c>
      <c r="I1830" s="6">
        <v>0</v>
      </c>
      <c r="J1830" s="6">
        <v>0</v>
      </c>
    </row>
    <row r="1831" spans="1:10" ht="13" x14ac:dyDescent="0.15">
      <c r="A1831" s="33"/>
      <c r="B1831" s="33"/>
      <c r="H1831" s="6">
        <v>0</v>
      </c>
      <c r="I1831" s="6">
        <v>0</v>
      </c>
      <c r="J1831" s="6">
        <v>0</v>
      </c>
    </row>
    <row r="1832" spans="1:10" ht="13" x14ac:dyDescent="0.15">
      <c r="A1832" s="33"/>
      <c r="B1832" s="33"/>
      <c r="H1832" s="6">
        <v>0</v>
      </c>
      <c r="I1832" s="6">
        <v>0</v>
      </c>
      <c r="J1832" s="6">
        <v>0</v>
      </c>
    </row>
    <row r="1833" spans="1:10" ht="13" x14ac:dyDescent="0.15">
      <c r="A1833" s="33"/>
      <c r="B1833" s="33"/>
      <c r="H1833" s="6">
        <v>0</v>
      </c>
      <c r="I1833" s="6">
        <v>0</v>
      </c>
      <c r="J1833" s="6">
        <v>0</v>
      </c>
    </row>
    <row r="1834" spans="1:10" ht="13" x14ac:dyDescent="0.15">
      <c r="A1834" s="33"/>
      <c r="B1834" s="33"/>
      <c r="H1834" s="6">
        <v>0</v>
      </c>
      <c r="I1834" s="6">
        <v>0</v>
      </c>
      <c r="J1834" s="6">
        <v>0</v>
      </c>
    </row>
    <row r="1835" spans="1:10" ht="13" x14ac:dyDescent="0.15">
      <c r="A1835" s="33"/>
      <c r="B1835" s="33"/>
      <c r="H1835" s="6">
        <v>0</v>
      </c>
      <c r="I1835" s="6">
        <v>0</v>
      </c>
      <c r="J1835" s="6">
        <v>0</v>
      </c>
    </row>
    <row r="1836" spans="1:10" ht="13" x14ac:dyDescent="0.15">
      <c r="A1836" s="33"/>
      <c r="B1836" s="33"/>
      <c r="H1836" s="6">
        <v>0</v>
      </c>
      <c r="I1836" s="6">
        <v>0</v>
      </c>
      <c r="J1836" s="6">
        <v>0</v>
      </c>
    </row>
    <row r="1837" spans="1:10" ht="13" x14ac:dyDescent="0.15">
      <c r="A1837" s="33"/>
      <c r="B1837" s="33"/>
      <c r="H1837" s="6">
        <v>0</v>
      </c>
      <c r="I1837" s="6">
        <v>0</v>
      </c>
      <c r="J1837" s="6">
        <v>0</v>
      </c>
    </row>
    <row r="1838" spans="1:10" ht="13" x14ac:dyDescent="0.15">
      <c r="A1838" s="33"/>
      <c r="B1838" s="33"/>
      <c r="H1838" s="6">
        <v>0</v>
      </c>
      <c r="I1838" s="6">
        <v>0</v>
      </c>
      <c r="J1838" s="6">
        <v>0</v>
      </c>
    </row>
    <row r="1839" spans="1:10" ht="13" x14ac:dyDescent="0.15">
      <c r="A1839" s="33"/>
      <c r="B1839" s="33"/>
      <c r="H1839" s="6">
        <v>0</v>
      </c>
      <c r="I1839" s="6">
        <v>0</v>
      </c>
      <c r="J1839" s="6">
        <v>0</v>
      </c>
    </row>
    <row r="1840" spans="1:10" ht="13" x14ac:dyDescent="0.15">
      <c r="A1840" s="33"/>
      <c r="B1840" s="33"/>
      <c r="H1840" s="6">
        <v>0</v>
      </c>
      <c r="I1840" s="6">
        <v>0</v>
      </c>
      <c r="J1840" s="6">
        <v>0</v>
      </c>
    </row>
    <row r="1841" spans="1:10" ht="13" x14ac:dyDescent="0.15">
      <c r="A1841" s="33"/>
      <c r="B1841" s="33"/>
      <c r="H1841" s="6">
        <v>0</v>
      </c>
      <c r="I1841" s="6">
        <v>0</v>
      </c>
      <c r="J1841" s="6">
        <v>0</v>
      </c>
    </row>
    <row r="1842" spans="1:10" ht="13" x14ac:dyDescent="0.15">
      <c r="A1842" s="33"/>
      <c r="B1842" s="33"/>
      <c r="H1842" s="6">
        <v>0</v>
      </c>
      <c r="I1842" s="6">
        <v>0</v>
      </c>
      <c r="J1842" s="6">
        <v>0</v>
      </c>
    </row>
    <row r="1843" spans="1:10" ht="13" x14ac:dyDescent="0.15">
      <c r="A1843" s="33"/>
      <c r="B1843" s="33"/>
      <c r="H1843" s="6">
        <v>0</v>
      </c>
      <c r="I1843" s="6">
        <v>0</v>
      </c>
      <c r="J1843" s="6">
        <v>0</v>
      </c>
    </row>
    <row r="1844" spans="1:10" ht="13" x14ac:dyDescent="0.15">
      <c r="A1844" s="33"/>
      <c r="B1844" s="33"/>
      <c r="H1844" s="6">
        <v>0</v>
      </c>
      <c r="I1844" s="6">
        <v>0</v>
      </c>
      <c r="J1844" s="6">
        <v>0</v>
      </c>
    </row>
    <row r="1845" spans="1:10" ht="13" x14ac:dyDescent="0.15">
      <c r="A1845" s="33"/>
      <c r="B1845" s="33"/>
      <c r="H1845" s="6">
        <v>0</v>
      </c>
      <c r="I1845" s="6">
        <v>0</v>
      </c>
      <c r="J1845" s="6">
        <v>0</v>
      </c>
    </row>
    <row r="1846" spans="1:10" ht="13" x14ac:dyDescent="0.15">
      <c r="A1846" s="33"/>
      <c r="B1846" s="33"/>
      <c r="H1846" s="6">
        <v>0</v>
      </c>
      <c r="I1846" s="6">
        <v>0</v>
      </c>
      <c r="J1846" s="6">
        <v>0</v>
      </c>
    </row>
    <row r="1847" spans="1:10" ht="13" x14ac:dyDescent="0.15">
      <c r="A1847" s="33"/>
      <c r="B1847" s="33"/>
      <c r="H1847" s="6">
        <v>0</v>
      </c>
      <c r="I1847" s="6">
        <v>0</v>
      </c>
      <c r="J1847" s="6">
        <v>0</v>
      </c>
    </row>
    <row r="1848" spans="1:10" ht="13" x14ac:dyDescent="0.15">
      <c r="A1848" s="33"/>
      <c r="B1848" s="33"/>
      <c r="H1848" s="6">
        <v>0</v>
      </c>
      <c r="I1848" s="6">
        <v>0</v>
      </c>
      <c r="J1848" s="6">
        <v>0</v>
      </c>
    </row>
    <row r="1849" spans="1:10" ht="13" x14ac:dyDescent="0.15">
      <c r="A1849" s="33"/>
      <c r="B1849" s="33"/>
      <c r="H1849" s="6">
        <v>0</v>
      </c>
      <c r="I1849" s="6">
        <v>0</v>
      </c>
      <c r="J1849" s="6">
        <v>0</v>
      </c>
    </row>
    <row r="1850" spans="1:10" ht="13" x14ac:dyDescent="0.15">
      <c r="A1850" s="33"/>
      <c r="B1850" s="33"/>
      <c r="H1850" s="6">
        <v>0</v>
      </c>
      <c r="I1850" s="6">
        <v>0</v>
      </c>
      <c r="J1850" s="6">
        <v>0</v>
      </c>
    </row>
    <row r="1851" spans="1:10" ht="13" x14ac:dyDescent="0.15">
      <c r="A1851" s="33"/>
      <c r="B1851" s="33"/>
      <c r="H1851" s="6">
        <v>0</v>
      </c>
      <c r="I1851" s="6">
        <v>0</v>
      </c>
      <c r="J1851" s="6">
        <v>0</v>
      </c>
    </row>
    <row r="1852" spans="1:10" ht="13" x14ac:dyDescent="0.15">
      <c r="A1852" s="33"/>
      <c r="B1852" s="33"/>
      <c r="H1852" s="6">
        <v>0</v>
      </c>
      <c r="I1852" s="6">
        <v>0</v>
      </c>
      <c r="J1852" s="6">
        <v>0</v>
      </c>
    </row>
    <row r="1853" spans="1:10" ht="13" x14ac:dyDescent="0.15">
      <c r="A1853" s="33"/>
      <c r="B1853" s="33"/>
      <c r="H1853" s="6">
        <v>0</v>
      </c>
      <c r="I1853" s="6">
        <v>0</v>
      </c>
      <c r="J1853" s="6">
        <v>0</v>
      </c>
    </row>
    <row r="1854" spans="1:10" ht="13" x14ac:dyDescent="0.15">
      <c r="A1854" s="33"/>
      <c r="B1854" s="33"/>
      <c r="H1854" s="6">
        <v>0</v>
      </c>
      <c r="I1854" s="6">
        <v>0</v>
      </c>
      <c r="J1854" s="6">
        <v>0</v>
      </c>
    </row>
    <row r="1855" spans="1:10" ht="13" x14ac:dyDescent="0.15">
      <c r="A1855" s="33"/>
      <c r="B1855" s="33"/>
      <c r="H1855" s="6">
        <v>0</v>
      </c>
      <c r="I1855" s="6">
        <v>0</v>
      </c>
      <c r="J1855" s="6">
        <v>0</v>
      </c>
    </row>
    <row r="1856" spans="1:10" ht="13" x14ac:dyDescent="0.15">
      <c r="A1856" s="33"/>
      <c r="B1856" s="33"/>
      <c r="H1856" s="6">
        <v>0</v>
      </c>
      <c r="I1856" s="6">
        <v>0</v>
      </c>
      <c r="J1856" s="6">
        <v>0</v>
      </c>
    </row>
    <row r="1857" spans="1:10" ht="13" x14ac:dyDescent="0.15">
      <c r="A1857" s="33"/>
      <c r="B1857" s="33"/>
      <c r="H1857" s="6">
        <v>0</v>
      </c>
      <c r="I1857" s="6">
        <v>0</v>
      </c>
      <c r="J1857" s="6">
        <v>0</v>
      </c>
    </row>
    <row r="1858" spans="1:10" ht="13" x14ac:dyDescent="0.15">
      <c r="A1858" s="33"/>
      <c r="B1858" s="33"/>
      <c r="H1858" s="6">
        <v>0</v>
      </c>
      <c r="I1858" s="6">
        <v>0</v>
      </c>
      <c r="J1858" s="6">
        <v>0</v>
      </c>
    </row>
    <row r="1859" spans="1:10" ht="13" x14ac:dyDescent="0.15">
      <c r="A1859" s="33"/>
      <c r="B1859" s="33"/>
      <c r="H1859" s="6">
        <v>0</v>
      </c>
      <c r="I1859" s="6">
        <v>0</v>
      </c>
      <c r="J1859" s="6">
        <v>0</v>
      </c>
    </row>
    <row r="1860" spans="1:10" ht="13" x14ac:dyDescent="0.15">
      <c r="A1860" s="33"/>
      <c r="B1860" s="33"/>
      <c r="H1860" s="6">
        <v>0</v>
      </c>
      <c r="I1860" s="6">
        <v>0</v>
      </c>
      <c r="J1860" s="6">
        <v>0</v>
      </c>
    </row>
    <row r="1861" spans="1:10" ht="13" x14ac:dyDescent="0.15">
      <c r="A1861" s="33"/>
      <c r="B1861" s="33"/>
      <c r="H1861" s="6">
        <v>0</v>
      </c>
      <c r="I1861" s="6">
        <v>0</v>
      </c>
      <c r="J1861" s="6">
        <v>0</v>
      </c>
    </row>
    <row r="1862" spans="1:10" ht="13" x14ac:dyDescent="0.15">
      <c r="A1862" s="33"/>
      <c r="B1862" s="33"/>
      <c r="H1862" s="6">
        <v>0</v>
      </c>
      <c r="I1862" s="6">
        <v>0</v>
      </c>
      <c r="J1862" s="6">
        <v>0</v>
      </c>
    </row>
    <row r="1863" spans="1:10" ht="13" x14ac:dyDescent="0.15">
      <c r="A1863" s="33"/>
      <c r="B1863" s="33"/>
      <c r="H1863" s="6">
        <v>0</v>
      </c>
      <c r="I1863" s="6">
        <v>0</v>
      </c>
      <c r="J1863" s="6">
        <v>0</v>
      </c>
    </row>
    <row r="1864" spans="1:10" ht="13" x14ac:dyDescent="0.15">
      <c r="A1864" s="33"/>
      <c r="B1864" s="33"/>
      <c r="H1864" s="6">
        <v>0</v>
      </c>
      <c r="I1864" s="6">
        <v>0</v>
      </c>
      <c r="J1864" s="6">
        <v>0</v>
      </c>
    </row>
    <row r="1865" spans="1:10" ht="13" x14ac:dyDescent="0.15">
      <c r="A1865" s="33"/>
      <c r="B1865" s="33"/>
      <c r="H1865" s="6">
        <v>0</v>
      </c>
      <c r="I1865" s="6">
        <v>0</v>
      </c>
      <c r="J1865" s="6">
        <v>0</v>
      </c>
    </row>
    <row r="1866" spans="1:10" ht="13" x14ac:dyDescent="0.15">
      <c r="A1866" s="33"/>
      <c r="B1866" s="33"/>
      <c r="H1866" s="6">
        <v>0</v>
      </c>
      <c r="I1866" s="6">
        <v>0</v>
      </c>
      <c r="J1866" s="6">
        <v>0</v>
      </c>
    </row>
    <row r="1867" spans="1:10" ht="13" x14ac:dyDescent="0.15">
      <c r="A1867" s="33"/>
      <c r="B1867" s="33"/>
      <c r="H1867" s="6">
        <v>0</v>
      </c>
      <c r="I1867" s="6">
        <v>0</v>
      </c>
      <c r="J1867" s="6">
        <v>0</v>
      </c>
    </row>
    <row r="1868" spans="1:10" ht="13" x14ac:dyDescent="0.15">
      <c r="A1868" s="33"/>
      <c r="B1868" s="33"/>
      <c r="H1868" s="6">
        <v>0</v>
      </c>
      <c r="I1868" s="6">
        <v>0</v>
      </c>
      <c r="J1868" s="6">
        <v>0</v>
      </c>
    </row>
    <row r="1869" spans="1:10" ht="13" x14ac:dyDescent="0.15">
      <c r="A1869" s="33"/>
      <c r="B1869" s="33"/>
      <c r="H1869" s="6">
        <v>0</v>
      </c>
      <c r="I1869" s="6">
        <v>0</v>
      </c>
      <c r="J1869" s="6">
        <v>0</v>
      </c>
    </row>
    <row r="1870" spans="1:10" ht="13" x14ac:dyDescent="0.15">
      <c r="A1870" s="33"/>
      <c r="B1870" s="33"/>
      <c r="H1870" s="6">
        <v>0</v>
      </c>
      <c r="I1870" s="6">
        <v>0</v>
      </c>
      <c r="J1870" s="6">
        <v>0</v>
      </c>
    </row>
    <row r="1871" spans="1:10" ht="13" x14ac:dyDescent="0.15">
      <c r="A1871" s="33"/>
      <c r="B1871" s="33"/>
      <c r="H1871" s="6">
        <v>0</v>
      </c>
      <c r="I1871" s="6">
        <v>0</v>
      </c>
      <c r="J1871" s="6">
        <v>0</v>
      </c>
    </row>
    <row r="1872" spans="1:10" ht="13" x14ac:dyDescent="0.15">
      <c r="A1872" s="33"/>
      <c r="B1872" s="33"/>
      <c r="H1872" s="6">
        <v>0</v>
      </c>
      <c r="I1872" s="6">
        <v>0</v>
      </c>
      <c r="J1872" s="6">
        <v>0</v>
      </c>
    </row>
    <row r="1873" spans="1:10" ht="13" x14ac:dyDescent="0.15">
      <c r="A1873" s="33"/>
      <c r="B1873" s="33"/>
      <c r="H1873" s="6">
        <v>0</v>
      </c>
      <c r="I1873" s="6">
        <v>0</v>
      </c>
      <c r="J1873" s="6">
        <v>0</v>
      </c>
    </row>
    <row r="1874" spans="1:10" ht="13" x14ac:dyDescent="0.15">
      <c r="A1874" s="33"/>
      <c r="B1874" s="33"/>
      <c r="H1874" s="6">
        <v>0</v>
      </c>
      <c r="I1874" s="6">
        <v>0</v>
      </c>
      <c r="J1874" s="6">
        <v>0</v>
      </c>
    </row>
    <row r="1875" spans="1:10" ht="13" x14ac:dyDescent="0.15">
      <c r="A1875" s="33"/>
      <c r="B1875" s="33"/>
      <c r="H1875" s="6">
        <v>0</v>
      </c>
      <c r="I1875" s="6">
        <v>0</v>
      </c>
      <c r="J1875" s="6">
        <v>0</v>
      </c>
    </row>
    <row r="1876" spans="1:10" ht="13" x14ac:dyDescent="0.15">
      <c r="A1876" s="33"/>
      <c r="B1876" s="33"/>
      <c r="H1876" s="6">
        <v>0</v>
      </c>
      <c r="I1876" s="6">
        <v>0</v>
      </c>
      <c r="J1876" s="6">
        <v>0</v>
      </c>
    </row>
    <row r="1877" spans="1:10" ht="13" x14ac:dyDescent="0.15">
      <c r="A1877" s="33"/>
      <c r="B1877" s="33"/>
      <c r="H1877" s="6">
        <v>0</v>
      </c>
      <c r="I1877" s="6">
        <v>0</v>
      </c>
      <c r="J1877" s="6">
        <v>0</v>
      </c>
    </row>
    <row r="1878" spans="1:10" ht="13" x14ac:dyDescent="0.15">
      <c r="A1878" s="33"/>
      <c r="B1878" s="33"/>
      <c r="H1878" s="6">
        <v>0</v>
      </c>
      <c r="I1878" s="6">
        <v>0</v>
      </c>
      <c r="J1878" s="6">
        <v>0</v>
      </c>
    </row>
    <row r="1879" spans="1:10" ht="13" x14ac:dyDescent="0.15">
      <c r="A1879" s="33"/>
      <c r="B1879" s="33"/>
      <c r="H1879" s="6">
        <v>0</v>
      </c>
      <c r="I1879" s="6">
        <v>0</v>
      </c>
      <c r="J1879" s="6">
        <v>0</v>
      </c>
    </row>
    <row r="1880" spans="1:10" ht="13" x14ac:dyDescent="0.15">
      <c r="A1880" s="33"/>
      <c r="B1880" s="33"/>
      <c r="H1880" s="6">
        <v>0</v>
      </c>
      <c r="I1880" s="6">
        <v>0</v>
      </c>
      <c r="J1880" s="6">
        <v>0</v>
      </c>
    </row>
    <row r="1881" spans="1:10" ht="13" x14ac:dyDescent="0.15">
      <c r="A1881" s="33"/>
      <c r="B1881" s="33"/>
      <c r="H1881" s="6">
        <v>0</v>
      </c>
      <c r="I1881" s="6">
        <v>0</v>
      </c>
      <c r="J1881" s="6">
        <v>0</v>
      </c>
    </row>
    <row r="1882" spans="1:10" ht="13" x14ac:dyDescent="0.15">
      <c r="A1882" s="33"/>
      <c r="B1882" s="33"/>
      <c r="H1882" s="6">
        <v>0</v>
      </c>
      <c r="I1882" s="6">
        <v>0</v>
      </c>
      <c r="J1882" s="6">
        <v>0</v>
      </c>
    </row>
    <row r="1883" spans="1:10" ht="13" x14ac:dyDescent="0.15">
      <c r="A1883" s="33"/>
      <c r="B1883" s="33"/>
      <c r="H1883" s="6">
        <v>0</v>
      </c>
      <c r="I1883" s="6">
        <v>0</v>
      </c>
      <c r="J1883" s="6">
        <v>0</v>
      </c>
    </row>
    <row r="1884" spans="1:10" ht="13" x14ac:dyDescent="0.15">
      <c r="A1884" s="33"/>
      <c r="B1884" s="33"/>
      <c r="H1884" s="6">
        <v>0</v>
      </c>
      <c r="I1884" s="6">
        <v>0</v>
      </c>
      <c r="J1884" s="6">
        <v>0</v>
      </c>
    </row>
    <row r="1885" spans="1:10" ht="13" x14ac:dyDescent="0.15">
      <c r="A1885" s="33"/>
      <c r="B1885" s="33"/>
      <c r="H1885" s="6">
        <v>0</v>
      </c>
      <c r="I1885" s="6">
        <v>0</v>
      </c>
      <c r="J1885" s="6">
        <v>0</v>
      </c>
    </row>
    <row r="1886" spans="1:10" ht="13" x14ac:dyDescent="0.15">
      <c r="A1886" s="33"/>
      <c r="B1886" s="33"/>
      <c r="H1886" s="6">
        <v>0</v>
      </c>
      <c r="I1886" s="6">
        <v>0</v>
      </c>
      <c r="J1886" s="6">
        <v>0</v>
      </c>
    </row>
    <row r="1887" spans="1:10" ht="13" x14ac:dyDescent="0.15">
      <c r="A1887" s="33"/>
      <c r="B1887" s="33"/>
      <c r="H1887" s="6">
        <v>0</v>
      </c>
      <c r="I1887" s="6">
        <v>0</v>
      </c>
      <c r="J1887" s="6">
        <v>0</v>
      </c>
    </row>
    <row r="1888" spans="1:10" ht="13" x14ac:dyDescent="0.15">
      <c r="A1888" s="33"/>
      <c r="B1888" s="33"/>
      <c r="H1888" s="6">
        <v>0</v>
      </c>
      <c r="I1888" s="6">
        <v>0</v>
      </c>
      <c r="J1888" s="6">
        <v>0</v>
      </c>
    </row>
    <row r="1889" spans="1:10" ht="13" x14ac:dyDescent="0.15">
      <c r="A1889" s="33"/>
      <c r="B1889" s="33"/>
      <c r="H1889" s="6">
        <v>0</v>
      </c>
      <c r="I1889" s="6">
        <v>0</v>
      </c>
      <c r="J1889" s="6">
        <v>0</v>
      </c>
    </row>
    <row r="1890" spans="1:10" ht="13" x14ac:dyDescent="0.15">
      <c r="A1890" s="33"/>
      <c r="B1890" s="33"/>
      <c r="H1890" s="6">
        <v>0</v>
      </c>
      <c r="I1890" s="6">
        <v>0</v>
      </c>
      <c r="J1890" s="6">
        <v>0</v>
      </c>
    </row>
    <row r="1891" spans="1:10" ht="13" x14ac:dyDescent="0.15">
      <c r="A1891" s="33"/>
      <c r="B1891" s="33"/>
      <c r="H1891" s="6">
        <v>0</v>
      </c>
      <c r="I1891" s="6">
        <v>0</v>
      </c>
      <c r="J1891" s="6">
        <v>0</v>
      </c>
    </row>
    <row r="1892" spans="1:10" ht="13" x14ac:dyDescent="0.15">
      <c r="A1892" s="33"/>
      <c r="B1892" s="33"/>
      <c r="H1892" s="6">
        <v>0</v>
      </c>
      <c r="I1892" s="6">
        <v>0</v>
      </c>
      <c r="J1892" s="6">
        <v>0</v>
      </c>
    </row>
    <row r="1893" spans="1:10" ht="13" x14ac:dyDescent="0.15">
      <c r="A1893" s="33"/>
      <c r="B1893" s="33"/>
      <c r="H1893" s="6">
        <v>0</v>
      </c>
      <c r="I1893" s="6">
        <v>0</v>
      </c>
      <c r="J1893" s="6">
        <v>0</v>
      </c>
    </row>
    <row r="1894" spans="1:10" ht="13" x14ac:dyDescent="0.15">
      <c r="A1894" s="33"/>
      <c r="B1894" s="33"/>
      <c r="H1894" s="6">
        <v>0</v>
      </c>
      <c r="I1894" s="6">
        <v>0</v>
      </c>
      <c r="J1894" s="6">
        <v>0</v>
      </c>
    </row>
    <row r="1895" spans="1:10" ht="13" x14ac:dyDescent="0.15">
      <c r="A1895" s="33"/>
      <c r="B1895" s="33"/>
      <c r="H1895" s="6">
        <v>0</v>
      </c>
      <c r="I1895" s="6">
        <v>0</v>
      </c>
      <c r="J1895" s="6">
        <v>0</v>
      </c>
    </row>
    <row r="1896" spans="1:10" ht="13" x14ac:dyDescent="0.15">
      <c r="A1896" s="33"/>
      <c r="B1896" s="33"/>
      <c r="H1896" s="6">
        <v>0</v>
      </c>
      <c r="I1896" s="6">
        <v>0</v>
      </c>
      <c r="J1896" s="6">
        <v>0</v>
      </c>
    </row>
    <row r="1897" spans="1:10" ht="13" x14ac:dyDescent="0.15">
      <c r="A1897" s="33"/>
      <c r="B1897" s="33"/>
      <c r="H1897" s="6">
        <v>0</v>
      </c>
      <c r="I1897" s="6">
        <v>0</v>
      </c>
      <c r="J1897" s="6">
        <v>0</v>
      </c>
    </row>
    <row r="1898" spans="1:10" ht="13" x14ac:dyDescent="0.15">
      <c r="A1898" s="33"/>
      <c r="B1898" s="33"/>
      <c r="H1898" s="6">
        <v>0</v>
      </c>
      <c r="I1898" s="6">
        <v>0</v>
      </c>
      <c r="J1898" s="6">
        <v>0</v>
      </c>
    </row>
    <row r="1899" spans="1:10" ht="13" x14ac:dyDescent="0.15">
      <c r="A1899" s="33"/>
      <c r="B1899" s="33"/>
      <c r="H1899" s="6">
        <v>0</v>
      </c>
      <c r="I1899" s="6">
        <v>0</v>
      </c>
      <c r="J1899" s="6">
        <v>0</v>
      </c>
    </row>
    <row r="1900" spans="1:10" ht="13" x14ac:dyDescent="0.15">
      <c r="A1900" s="33"/>
      <c r="B1900" s="33"/>
      <c r="H1900" s="6">
        <v>0</v>
      </c>
      <c r="I1900" s="6">
        <v>0</v>
      </c>
      <c r="J1900" s="6">
        <v>0</v>
      </c>
    </row>
    <row r="1901" spans="1:10" ht="13" x14ac:dyDescent="0.15">
      <c r="A1901" s="33"/>
      <c r="B1901" s="33"/>
      <c r="H1901" s="6">
        <v>0</v>
      </c>
      <c r="I1901" s="6">
        <v>0</v>
      </c>
      <c r="J1901" s="6">
        <v>0</v>
      </c>
    </row>
    <row r="1902" spans="1:10" ht="13" x14ac:dyDescent="0.15">
      <c r="A1902" s="33"/>
      <c r="B1902" s="33"/>
      <c r="H1902" s="6">
        <v>0</v>
      </c>
      <c r="I1902" s="6">
        <v>0</v>
      </c>
      <c r="J1902" s="6">
        <v>0</v>
      </c>
    </row>
    <row r="1903" spans="1:10" ht="13" x14ac:dyDescent="0.15">
      <c r="A1903" s="33"/>
      <c r="B1903" s="33"/>
      <c r="H1903" s="6">
        <v>0</v>
      </c>
      <c r="I1903" s="6">
        <v>0</v>
      </c>
      <c r="J1903" s="6">
        <v>0</v>
      </c>
    </row>
    <row r="1904" spans="1:10" ht="13" x14ac:dyDescent="0.15">
      <c r="A1904" s="33"/>
      <c r="B1904" s="33"/>
      <c r="H1904" s="6">
        <v>0</v>
      </c>
      <c r="I1904" s="6">
        <v>0</v>
      </c>
      <c r="J1904" s="6">
        <v>0</v>
      </c>
    </row>
    <row r="1905" spans="1:10" ht="13" x14ac:dyDescent="0.15">
      <c r="A1905" s="33"/>
      <c r="B1905" s="33"/>
      <c r="H1905" s="6">
        <v>0</v>
      </c>
      <c r="I1905" s="6">
        <v>0</v>
      </c>
      <c r="J1905" s="6">
        <v>0</v>
      </c>
    </row>
    <row r="1906" spans="1:10" ht="13" x14ac:dyDescent="0.15">
      <c r="A1906" s="33"/>
      <c r="B1906" s="33"/>
      <c r="H1906" s="6">
        <v>0</v>
      </c>
      <c r="I1906" s="6">
        <v>0</v>
      </c>
      <c r="J1906" s="6">
        <v>0</v>
      </c>
    </row>
    <row r="1907" spans="1:10" ht="13" x14ac:dyDescent="0.15">
      <c r="A1907" s="33"/>
      <c r="B1907" s="33"/>
      <c r="H1907" s="6">
        <v>0</v>
      </c>
      <c r="I1907" s="6">
        <v>0</v>
      </c>
      <c r="J1907" s="6">
        <v>0</v>
      </c>
    </row>
    <row r="1908" spans="1:10" ht="13" x14ac:dyDescent="0.15">
      <c r="A1908" s="33"/>
      <c r="B1908" s="33"/>
      <c r="H1908" s="6">
        <v>0</v>
      </c>
      <c r="I1908" s="6">
        <v>0</v>
      </c>
      <c r="J1908" s="6">
        <v>0</v>
      </c>
    </row>
    <row r="1909" spans="1:10" ht="13" x14ac:dyDescent="0.15">
      <c r="A1909" s="33"/>
      <c r="B1909" s="33"/>
      <c r="H1909" s="6">
        <v>0</v>
      </c>
      <c r="I1909" s="6">
        <v>0</v>
      </c>
      <c r="J1909" s="6">
        <v>0</v>
      </c>
    </row>
    <row r="1910" spans="1:10" ht="13" x14ac:dyDescent="0.15">
      <c r="A1910" s="33"/>
      <c r="B1910" s="33"/>
      <c r="H1910" s="6">
        <v>0</v>
      </c>
      <c r="I1910" s="6">
        <v>0</v>
      </c>
      <c r="J1910" s="6">
        <v>0</v>
      </c>
    </row>
    <row r="1911" spans="1:10" ht="13" x14ac:dyDescent="0.15">
      <c r="A1911" s="33"/>
      <c r="B1911" s="33"/>
      <c r="H1911" s="6">
        <v>0</v>
      </c>
      <c r="I1911" s="6">
        <v>0</v>
      </c>
      <c r="J1911" s="6">
        <v>0</v>
      </c>
    </row>
    <row r="1912" spans="1:10" ht="13" x14ac:dyDescent="0.15">
      <c r="A1912" s="33"/>
      <c r="B1912" s="33"/>
      <c r="H1912" s="6">
        <v>0</v>
      </c>
      <c r="I1912" s="6">
        <v>0</v>
      </c>
      <c r="J1912" s="6">
        <v>0</v>
      </c>
    </row>
    <row r="1913" spans="1:10" ht="13" x14ac:dyDescent="0.15">
      <c r="A1913" s="33"/>
      <c r="B1913" s="33"/>
      <c r="H1913" s="6">
        <v>0</v>
      </c>
      <c r="I1913" s="6">
        <v>0</v>
      </c>
      <c r="J1913" s="6">
        <v>0</v>
      </c>
    </row>
    <row r="1914" spans="1:10" ht="13" x14ac:dyDescent="0.15">
      <c r="A1914" s="33"/>
      <c r="B1914" s="33"/>
      <c r="H1914" s="6">
        <v>0</v>
      </c>
      <c r="I1914" s="6">
        <v>0</v>
      </c>
      <c r="J1914" s="6">
        <v>0</v>
      </c>
    </row>
    <row r="1915" spans="1:10" ht="13" x14ac:dyDescent="0.15">
      <c r="A1915" s="33"/>
      <c r="B1915" s="33"/>
      <c r="H1915" s="6">
        <v>0</v>
      </c>
      <c r="I1915" s="6">
        <v>0</v>
      </c>
      <c r="J1915" s="6">
        <v>0</v>
      </c>
    </row>
    <row r="1916" spans="1:10" ht="13" x14ac:dyDescent="0.15">
      <c r="A1916" s="33"/>
      <c r="B1916" s="33"/>
      <c r="H1916" s="6">
        <v>0</v>
      </c>
      <c r="I1916" s="6">
        <v>0</v>
      </c>
      <c r="J1916" s="6">
        <v>0</v>
      </c>
    </row>
    <row r="1917" spans="1:10" ht="13" x14ac:dyDescent="0.15">
      <c r="A1917" s="33"/>
      <c r="B1917" s="33"/>
      <c r="H1917" s="6">
        <v>0</v>
      </c>
      <c r="I1917" s="6">
        <v>0</v>
      </c>
      <c r="J1917" s="6">
        <v>0</v>
      </c>
    </row>
    <row r="1918" spans="1:10" ht="13" x14ac:dyDescent="0.15">
      <c r="A1918" s="33"/>
      <c r="B1918" s="33"/>
      <c r="H1918" s="6">
        <v>0</v>
      </c>
      <c r="I1918" s="6">
        <v>0</v>
      </c>
      <c r="J1918" s="6">
        <v>0</v>
      </c>
    </row>
    <row r="1919" spans="1:10" ht="13" x14ac:dyDescent="0.15">
      <c r="A1919" s="33"/>
      <c r="B1919" s="33"/>
      <c r="H1919" s="6">
        <v>0</v>
      </c>
      <c r="I1919" s="6">
        <v>0</v>
      </c>
      <c r="J1919" s="6">
        <v>0</v>
      </c>
    </row>
    <row r="1920" spans="1:10" ht="13" x14ac:dyDescent="0.15">
      <c r="A1920" s="33"/>
      <c r="B1920" s="33"/>
      <c r="H1920" s="6">
        <v>0</v>
      </c>
      <c r="I1920" s="6">
        <v>0</v>
      </c>
      <c r="J1920" s="6">
        <v>0</v>
      </c>
    </row>
    <row r="1921" spans="1:10" ht="13" x14ac:dyDescent="0.15">
      <c r="A1921" s="33"/>
      <c r="B1921" s="33"/>
      <c r="H1921" s="6">
        <v>0</v>
      </c>
      <c r="I1921" s="6">
        <v>0</v>
      </c>
      <c r="J1921" s="6">
        <v>0</v>
      </c>
    </row>
    <row r="1922" spans="1:10" ht="13" x14ac:dyDescent="0.15">
      <c r="A1922" s="33"/>
      <c r="B1922" s="33"/>
      <c r="H1922" s="6">
        <v>0</v>
      </c>
      <c r="I1922" s="6">
        <v>0</v>
      </c>
      <c r="J1922" s="6">
        <v>0</v>
      </c>
    </row>
    <row r="1923" spans="1:10" ht="13" x14ac:dyDescent="0.15">
      <c r="A1923" s="33"/>
      <c r="B1923" s="33"/>
      <c r="H1923" s="6">
        <v>0</v>
      </c>
      <c r="I1923" s="6">
        <v>0</v>
      </c>
      <c r="J1923" s="6">
        <v>0</v>
      </c>
    </row>
    <row r="1924" spans="1:10" ht="13" x14ac:dyDescent="0.15">
      <c r="A1924" s="33"/>
      <c r="B1924" s="33"/>
      <c r="H1924" s="6">
        <v>0</v>
      </c>
      <c r="I1924" s="6">
        <v>0</v>
      </c>
      <c r="J1924" s="6">
        <v>0</v>
      </c>
    </row>
    <row r="1925" spans="1:10" ht="13" x14ac:dyDescent="0.15">
      <c r="A1925" s="33"/>
      <c r="B1925" s="33"/>
      <c r="H1925" s="6">
        <v>0</v>
      </c>
      <c r="I1925" s="6">
        <v>0</v>
      </c>
      <c r="J1925" s="6">
        <v>0</v>
      </c>
    </row>
    <row r="1926" spans="1:10" ht="13" x14ac:dyDescent="0.15">
      <c r="A1926" s="33"/>
      <c r="B1926" s="33"/>
      <c r="H1926" s="6">
        <v>0</v>
      </c>
      <c r="I1926" s="6">
        <v>0</v>
      </c>
      <c r="J1926" s="6">
        <v>0</v>
      </c>
    </row>
    <row r="1927" spans="1:10" ht="13" x14ac:dyDescent="0.15">
      <c r="A1927" s="33"/>
      <c r="B1927" s="33"/>
      <c r="H1927" s="6">
        <v>0</v>
      </c>
      <c r="I1927" s="6">
        <v>0</v>
      </c>
      <c r="J1927" s="6">
        <v>0</v>
      </c>
    </row>
    <row r="1928" spans="1:10" ht="13" x14ac:dyDescent="0.15">
      <c r="A1928" s="33"/>
      <c r="B1928" s="33"/>
      <c r="H1928" s="6">
        <v>0</v>
      </c>
      <c r="I1928" s="6">
        <v>0</v>
      </c>
      <c r="J1928" s="6">
        <v>0</v>
      </c>
    </row>
    <row r="1929" spans="1:10" ht="13" x14ac:dyDescent="0.15">
      <c r="A1929" s="33"/>
      <c r="B1929" s="33"/>
      <c r="H1929" s="6">
        <v>0</v>
      </c>
      <c r="I1929" s="6">
        <v>0</v>
      </c>
      <c r="J1929" s="6">
        <v>0</v>
      </c>
    </row>
    <row r="1930" spans="1:10" ht="13" x14ac:dyDescent="0.15">
      <c r="A1930" s="33"/>
      <c r="B1930" s="33"/>
      <c r="H1930" s="6">
        <v>0</v>
      </c>
      <c r="I1930" s="6">
        <v>0</v>
      </c>
      <c r="J1930" s="6">
        <v>0</v>
      </c>
    </row>
    <row r="1931" spans="1:10" ht="13" x14ac:dyDescent="0.15">
      <c r="A1931" s="33"/>
      <c r="B1931" s="33"/>
      <c r="H1931" s="6">
        <v>0</v>
      </c>
      <c r="I1931" s="6">
        <v>0</v>
      </c>
      <c r="J1931" s="6">
        <v>0</v>
      </c>
    </row>
    <row r="1932" spans="1:10" ht="13" x14ac:dyDescent="0.15">
      <c r="A1932" s="33"/>
      <c r="B1932" s="33"/>
      <c r="H1932" s="6">
        <v>0</v>
      </c>
      <c r="I1932" s="6">
        <v>0</v>
      </c>
      <c r="J1932" s="6">
        <v>0</v>
      </c>
    </row>
    <row r="1933" spans="1:10" ht="13" x14ac:dyDescent="0.15">
      <c r="A1933" s="33"/>
      <c r="B1933" s="33"/>
      <c r="H1933" s="6">
        <v>0</v>
      </c>
      <c r="I1933" s="6">
        <v>0</v>
      </c>
      <c r="J1933" s="6">
        <v>0</v>
      </c>
    </row>
    <row r="1934" spans="1:10" ht="13" x14ac:dyDescent="0.15">
      <c r="A1934" s="33"/>
      <c r="B1934" s="33"/>
      <c r="H1934" s="6">
        <v>0</v>
      </c>
      <c r="I1934" s="6">
        <v>0</v>
      </c>
      <c r="J1934" s="6">
        <v>0</v>
      </c>
    </row>
    <row r="1935" spans="1:10" ht="13" x14ac:dyDescent="0.15">
      <c r="A1935" s="33"/>
      <c r="B1935" s="33"/>
      <c r="H1935" s="6">
        <v>0</v>
      </c>
      <c r="I1935" s="6">
        <v>0</v>
      </c>
      <c r="J1935" s="6">
        <v>0</v>
      </c>
    </row>
    <row r="1936" spans="1:10" ht="13" x14ac:dyDescent="0.15">
      <c r="A1936" s="33"/>
      <c r="B1936" s="33"/>
      <c r="H1936" s="6">
        <v>0</v>
      </c>
      <c r="I1936" s="6">
        <v>0</v>
      </c>
      <c r="J1936" s="6">
        <v>0</v>
      </c>
    </row>
    <row r="1937" spans="1:10" ht="13" x14ac:dyDescent="0.15">
      <c r="A1937" s="33"/>
      <c r="B1937" s="33"/>
      <c r="H1937" s="6">
        <v>0</v>
      </c>
      <c r="I1937" s="6">
        <v>0</v>
      </c>
      <c r="J1937" s="6">
        <v>0</v>
      </c>
    </row>
    <row r="1938" spans="1:10" ht="13" x14ac:dyDescent="0.15">
      <c r="A1938" s="33"/>
      <c r="B1938" s="33"/>
      <c r="H1938" s="6">
        <v>0</v>
      </c>
      <c r="I1938" s="6">
        <v>0</v>
      </c>
      <c r="J1938" s="6">
        <v>0</v>
      </c>
    </row>
    <row r="1939" spans="1:10" ht="13" x14ac:dyDescent="0.15">
      <c r="A1939" s="33"/>
      <c r="B1939" s="33"/>
      <c r="H1939" s="6">
        <v>0</v>
      </c>
      <c r="I1939" s="6">
        <v>0</v>
      </c>
      <c r="J1939" s="6">
        <v>0</v>
      </c>
    </row>
    <row r="1940" spans="1:10" ht="13" x14ac:dyDescent="0.15">
      <c r="A1940" s="33"/>
      <c r="B1940" s="33"/>
      <c r="H1940" s="6">
        <v>0</v>
      </c>
      <c r="I1940" s="6">
        <v>0</v>
      </c>
      <c r="J1940" s="6">
        <v>0</v>
      </c>
    </row>
    <row r="1941" spans="1:10" ht="13" x14ac:dyDescent="0.15">
      <c r="A1941" s="33"/>
      <c r="B1941" s="33"/>
      <c r="H1941" s="6">
        <v>0</v>
      </c>
      <c r="I1941" s="6">
        <v>0</v>
      </c>
      <c r="J1941" s="6">
        <v>0</v>
      </c>
    </row>
    <row r="1942" spans="1:10" ht="13" x14ac:dyDescent="0.15">
      <c r="A1942" s="33"/>
      <c r="B1942" s="33"/>
      <c r="H1942" s="6">
        <v>0</v>
      </c>
      <c r="I1942" s="6">
        <v>0</v>
      </c>
      <c r="J1942" s="6">
        <v>0</v>
      </c>
    </row>
    <row r="1943" spans="1:10" ht="13" x14ac:dyDescent="0.15">
      <c r="A1943" s="33"/>
      <c r="B1943" s="33"/>
      <c r="H1943" s="6">
        <v>0</v>
      </c>
      <c r="I1943" s="6">
        <v>0</v>
      </c>
      <c r="J1943" s="6">
        <v>0</v>
      </c>
    </row>
    <row r="1944" spans="1:10" ht="13" x14ac:dyDescent="0.15">
      <c r="A1944" s="33"/>
      <c r="B1944" s="33"/>
      <c r="H1944" s="6">
        <v>0</v>
      </c>
      <c r="I1944" s="6">
        <v>0</v>
      </c>
      <c r="J1944" s="6">
        <v>0</v>
      </c>
    </row>
    <row r="1945" spans="1:10" ht="13" x14ac:dyDescent="0.15">
      <c r="A1945" s="33"/>
      <c r="B1945" s="33"/>
      <c r="H1945" s="6">
        <v>0</v>
      </c>
      <c r="I1945" s="6">
        <v>0</v>
      </c>
      <c r="J1945" s="6">
        <v>0</v>
      </c>
    </row>
    <row r="1946" spans="1:10" ht="13" x14ac:dyDescent="0.15">
      <c r="A1946" s="33"/>
      <c r="B1946" s="33"/>
      <c r="H1946" s="6">
        <v>0</v>
      </c>
      <c r="I1946" s="6">
        <v>0</v>
      </c>
      <c r="J1946" s="6">
        <v>0</v>
      </c>
    </row>
    <row r="1947" spans="1:10" ht="13" x14ac:dyDescent="0.15">
      <c r="A1947" s="33"/>
      <c r="B1947" s="33"/>
      <c r="H1947" s="6">
        <v>0</v>
      </c>
      <c r="I1947" s="6">
        <v>0</v>
      </c>
      <c r="J1947" s="6">
        <v>0</v>
      </c>
    </row>
    <row r="1948" spans="1:10" ht="13" x14ac:dyDescent="0.15">
      <c r="A1948" s="33"/>
      <c r="B1948" s="33"/>
      <c r="H1948" s="6">
        <v>0</v>
      </c>
      <c r="I1948" s="6">
        <v>0</v>
      </c>
      <c r="J1948" s="6">
        <v>0</v>
      </c>
    </row>
    <row r="1949" spans="1:10" ht="13" x14ac:dyDescent="0.15">
      <c r="A1949" s="33"/>
      <c r="B1949" s="33"/>
      <c r="H1949" s="6">
        <v>0</v>
      </c>
      <c r="I1949" s="6">
        <v>0</v>
      </c>
      <c r="J1949" s="6">
        <v>0</v>
      </c>
    </row>
    <row r="1950" spans="1:10" ht="13" x14ac:dyDescent="0.15">
      <c r="A1950" s="33"/>
      <c r="B1950" s="33"/>
      <c r="H1950" s="6">
        <v>0</v>
      </c>
      <c r="I1950" s="6">
        <v>0</v>
      </c>
      <c r="J1950" s="6">
        <v>0</v>
      </c>
    </row>
    <row r="1951" spans="1:10" ht="13" x14ac:dyDescent="0.15">
      <c r="A1951" s="33"/>
      <c r="B1951" s="33"/>
      <c r="H1951" s="6">
        <v>0</v>
      </c>
      <c r="I1951" s="6">
        <v>0</v>
      </c>
      <c r="J1951" s="6">
        <v>0</v>
      </c>
    </row>
    <row r="1952" spans="1:10" ht="13" x14ac:dyDescent="0.15">
      <c r="A1952" s="33"/>
      <c r="B1952" s="33"/>
      <c r="H1952" s="6">
        <v>0</v>
      </c>
      <c r="I1952" s="6">
        <v>0</v>
      </c>
      <c r="J1952" s="6">
        <v>0</v>
      </c>
    </row>
    <row r="1953" spans="1:10" ht="13" x14ac:dyDescent="0.15">
      <c r="A1953" s="33"/>
      <c r="B1953" s="33"/>
      <c r="H1953" s="6">
        <v>0</v>
      </c>
      <c r="I1953" s="6">
        <v>0</v>
      </c>
      <c r="J1953" s="6">
        <v>0</v>
      </c>
    </row>
    <row r="1954" spans="1:10" ht="13" x14ac:dyDescent="0.15">
      <c r="A1954" s="33"/>
      <c r="B1954" s="33"/>
      <c r="H1954" s="6">
        <v>0</v>
      </c>
      <c r="I1954" s="6">
        <v>0</v>
      </c>
      <c r="J1954" s="6">
        <v>0</v>
      </c>
    </row>
    <row r="1955" spans="1:10" ht="13" x14ac:dyDescent="0.15">
      <c r="A1955" s="33"/>
      <c r="B1955" s="33"/>
      <c r="H1955" s="6">
        <v>0</v>
      </c>
      <c r="I1955" s="6">
        <v>0</v>
      </c>
      <c r="J1955" s="6">
        <v>0</v>
      </c>
    </row>
    <row r="1956" spans="1:10" ht="13" x14ac:dyDescent="0.15">
      <c r="A1956" s="33"/>
      <c r="B1956" s="33"/>
      <c r="H1956" s="6">
        <v>0</v>
      </c>
      <c r="I1956" s="6">
        <v>0</v>
      </c>
      <c r="J1956" s="6">
        <v>0</v>
      </c>
    </row>
    <row r="1957" spans="1:10" ht="13" x14ac:dyDescent="0.15">
      <c r="A1957" s="33"/>
      <c r="B1957" s="33"/>
      <c r="H1957" s="6">
        <v>0</v>
      </c>
      <c r="I1957" s="6">
        <v>0</v>
      </c>
      <c r="J1957" s="6">
        <v>0</v>
      </c>
    </row>
    <row r="1958" spans="1:10" ht="13" x14ac:dyDescent="0.15">
      <c r="A1958" s="33"/>
      <c r="B1958" s="33"/>
      <c r="H1958" s="6">
        <v>0</v>
      </c>
      <c r="I1958" s="6">
        <v>0</v>
      </c>
      <c r="J1958" s="6">
        <v>0</v>
      </c>
    </row>
    <row r="1959" spans="1:10" ht="13" x14ac:dyDescent="0.15">
      <c r="A1959" s="33"/>
      <c r="B1959" s="33"/>
      <c r="H1959" s="6">
        <v>0</v>
      </c>
      <c r="I1959" s="6">
        <v>0</v>
      </c>
      <c r="J1959" s="6">
        <v>0</v>
      </c>
    </row>
    <row r="1960" spans="1:10" ht="13" x14ac:dyDescent="0.15">
      <c r="A1960" s="33"/>
      <c r="B1960" s="33"/>
      <c r="H1960" s="6">
        <v>0</v>
      </c>
      <c r="I1960" s="6">
        <v>0</v>
      </c>
      <c r="J1960" s="6">
        <v>0</v>
      </c>
    </row>
    <row r="1961" spans="1:10" ht="13" x14ac:dyDescent="0.15">
      <c r="A1961" s="33"/>
      <c r="B1961" s="33"/>
      <c r="H1961" s="6">
        <v>0</v>
      </c>
      <c r="I1961" s="6">
        <v>0</v>
      </c>
      <c r="J1961" s="6">
        <v>0</v>
      </c>
    </row>
    <row r="1962" spans="1:10" ht="13" x14ac:dyDescent="0.15">
      <c r="A1962" s="33"/>
      <c r="B1962" s="33"/>
      <c r="H1962" s="6">
        <v>0</v>
      </c>
      <c r="I1962" s="6">
        <v>0</v>
      </c>
      <c r="J1962" s="6">
        <v>0</v>
      </c>
    </row>
    <row r="1963" spans="1:10" ht="13" x14ac:dyDescent="0.15">
      <c r="A1963" s="33"/>
      <c r="B1963" s="33"/>
      <c r="H1963" s="6">
        <v>0</v>
      </c>
      <c r="I1963" s="6">
        <v>0</v>
      </c>
      <c r="J1963" s="6">
        <v>0</v>
      </c>
    </row>
    <row r="1964" spans="1:10" ht="13" x14ac:dyDescent="0.15">
      <c r="A1964" s="33"/>
      <c r="B1964" s="33"/>
      <c r="H1964" s="6">
        <v>0</v>
      </c>
      <c r="I1964" s="6">
        <v>0</v>
      </c>
      <c r="J1964" s="6">
        <v>0</v>
      </c>
    </row>
    <row r="1965" spans="1:10" ht="13" x14ac:dyDescent="0.15">
      <c r="A1965" s="33"/>
      <c r="B1965" s="33"/>
      <c r="H1965" s="6">
        <v>0</v>
      </c>
      <c r="I1965" s="6">
        <v>0</v>
      </c>
      <c r="J1965" s="6">
        <v>0</v>
      </c>
    </row>
    <row r="1966" spans="1:10" ht="13" x14ac:dyDescent="0.15">
      <c r="A1966" s="33"/>
      <c r="B1966" s="33"/>
      <c r="H1966" s="6">
        <v>0</v>
      </c>
      <c r="I1966" s="6">
        <v>0</v>
      </c>
      <c r="J1966" s="6">
        <v>0</v>
      </c>
    </row>
    <row r="1967" spans="1:10" ht="13" x14ac:dyDescent="0.15">
      <c r="A1967" s="33"/>
      <c r="B1967" s="33"/>
      <c r="H1967" s="6">
        <v>0</v>
      </c>
      <c r="I1967" s="6">
        <v>0</v>
      </c>
      <c r="J1967" s="6">
        <v>0</v>
      </c>
    </row>
    <row r="1968" spans="1:10" ht="13" x14ac:dyDescent="0.15">
      <c r="A1968" s="33"/>
      <c r="B1968" s="33"/>
      <c r="H1968" s="6">
        <v>0</v>
      </c>
      <c r="I1968" s="6">
        <v>0</v>
      </c>
      <c r="J1968" s="6">
        <v>0</v>
      </c>
    </row>
    <row r="1969" spans="1:10" ht="13" x14ac:dyDescent="0.15">
      <c r="A1969" s="33"/>
      <c r="B1969" s="33"/>
      <c r="H1969" s="6">
        <v>0</v>
      </c>
      <c r="I1969" s="6">
        <v>0</v>
      </c>
      <c r="J1969" s="6">
        <v>0</v>
      </c>
    </row>
    <row r="1970" spans="1:10" ht="13" x14ac:dyDescent="0.15">
      <c r="A1970" s="33"/>
      <c r="B1970" s="33"/>
      <c r="H1970" s="6">
        <v>0</v>
      </c>
      <c r="I1970" s="6">
        <v>0</v>
      </c>
      <c r="J1970" s="6">
        <v>0</v>
      </c>
    </row>
    <row r="1971" spans="1:10" ht="13" x14ac:dyDescent="0.15">
      <c r="A1971" s="33"/>
      <c r="B1971" s="33"/>
      <c r="H1971" s="6">
        <v>0</v>
      </c>
      <c r="I1971" s="6">
        <v>0</v>
      </c>
      <c r="J1971" s="6">
        <v>0</v>
      </c>
    </row>
    <row r="1972" spans="1:10" ht="13" x14ac:dyDescent="0.15">
      <c r="A1972" s="33"/>
      <c r="B1972" s="33"/>
      <c r="H1972" s="6">
        <v>0</v>
      </c>
      <c r="I1972" s="6">
        <v>0</v>
      </c>
      <c r="J1972" s="6">
        <v>0</v>
      </c>
    </row>
    <row r="1973" spans="1:10" ht="13" x14ac:dyDescent="0.15">
      <c r="A1973" s="33"/>
      <c r="B1973" s="33"/>
      <c r="H1973" s="6">
        <v>0</v>
      </c>
      <c r="I1973" s="6">
        <v>0</v>
      </c>
      <c r="J1973" s="6">
        <v>0</v>
      </c>
    </row>
    <row r="1974" spans="1:10" ht="13" x14ac:dyDescent="0.15">
      <c r="A1974" s="33"/>
      <c r="B1974" s="33"/>
      <c r="H1974" s="6">
        <v>0</v>
      </c>
      <c r="I1974" s="6">
        <v>0</v>
      </c>
      <c r="J1974" s="6">
        <v>0</v>
      </c>
    </row>
    <row r="1975" spans="1:10" ht="13" x14ac:dyDescent="0.15">
      <c r="A1975" s="33"/>
      <c r="B1975" s="33"/>
      <c r="H1975" s="6">
        <v>0</v>
      </c>
      <c r="I1975" s="6">
        <v>0</v>
      </c>
      <c r="J1975" s="6">
        <v>0</v>
      </c>
    </row>
    <row r="1976" spans="1:10" ht="13" x14ac:dyDescent="0.15">
      <c r="A1976" s="33"/>
      <c r="B1976" s="33"/>
      <c r="H1976" s="6">
        <v>0</v>
      </c>
      <c r="I1976" s="6">
        <v>0</v>
      </c>
      <c r="J1976" s="6">
        <v>0</v>
      </c>
    </row>
    <row r="1977" spans="1:10" ht="13" x14ac:dyDescent="0.15">
      <c r="A1977" s="33"/>
      <c r="B1977" s="33"/>
      <c r="H1977" s="6">
        <v>0</v>
      </c>
      <c r="I1977" s="6">
        <v>0</v>
      </c>
      <c r="J1977" s="6">
        <v>0</v>
      </c>
    </row>
    <row r="1978" spans="1:10" ht="13" x14ac:dyDescent="0.15">
      <c r="A1978" s="33"/>
      <c r="B1978" s="33"/>
      <c r="H1978" s="6">
        <v>0</v>
      </c>
      <c r="I1978" s="6">
        <v>0</v>
      </c>
      <c r="J1978" s="6">
        <v>0</v>
      </c>
    </row>
    <row r="1979" spans="1:10" ht="13" x14ac:dyDescent="0.15">
      <c r="A1979" s="33"/>
      <c r="B1979" s="33"/>
      <c r="H1979" s="6">
        <v>0</v>
      </c>
      <c r="I1979" s="6">
        <v>0</v>
      </c>
      <c r="J1979" s="6">
        <v>0</v>
      </c>
    </row>
    <row r="1980" spans="1:10" ht="13" x14ac:dyDescent="0.15">
      <c r="A1980" s="33"/>
      <c r="B1980" s="33"/>
      <c r="H1980" s="6">
        <v>0</v>
      </c>
      <c r="I1980" s="6">
        <v>0</v>
      </c>
      <c r="J1980" s="6">
        <v>0</v>
      </c>
    </row>
    <row r="1981" spans="1:10" ht="13" x14ac:dyDescent="0.15">
      <c r="A1981" s="33"/>
      <c r="B1981" s="33"/>
      <c r="H1981" s="6">
        <v>0</v>
      </c>
      <c r="I1981" s="6">
        <v>0</v>
      </c>
      <c r="J1981" s="6">
        <v>0</v>
      </c>
    </row>
    <row r="1982" spans="1:10" ht="13" x14ac:dyDescent="0.15">
      <c r="A1982" s="33"/>
      <c r="B1982" s="33"/>
      <c r="H1982" s="6">
        <v>0</v>
      </c>
      <c r="I1982" s="6">
        <v>0</v>
      </c>
      <c r="J1982" s="6">
        <v>0</v>
      </c>
    </row>
    <row r="1983" spans="1:10" ht="13" x14ac:dyDescent="0.15">
      <c r="A1983" s="33"/>
      <c r="B1983" s="33"/>
      <c r="H1983" s="6">
        <v>0</v>
      </c>
      <c r="I1983" s="6">
        <v>0</v>
      </c>
      <c r="J1983" s="6">
        <v>0</v>
      </c>
    </row>
    <row r="1984" spans="1:10" ht="13" x14ac:dyDescent="0.15">
      <c r="A1984" s="33"/>
      <c r="B1984" s="33"/>
      <c r="H1984" s="6">
        <v>0</v>
      </c>
      <c r="I1984" s="6">
        <v>0</v>
      </c>
      <c r="J1984" s="6">
        <v>0</v>
      </c>
    </row>
    <row r="1985" spans="1:10" ht="13" x14ac:dyDescent="0.15">
      <c r="A1985" s="33"/>
      <c r="B1985" s="33"/>
      <c r="H1985" s="6">
        <v>0</v>
      </c>
      <c r="I1985" s="6">
        <v>0</v>
      </c>
      <c r="J1985" s="6">
        <v>0</v>
      </c>
    </row>
    <row r="1986" spans="1:10" ht="13" x14ac:dyDescent="0.15">
      <c r="A1986" s="33"/>
      <c r="B1986" s="33"/>
      <c r="H1986" s="6">
        <v>0</v>
      </c>
      <c r="I1986" s="6">
        <v>0</v>
      </c>
      <c r="J1986" s="6">
        <v>0</v>
      </c>
    </row>
    <row r="1987" spans="1:10" ht="13" x14ac:dyDescent="0.15">
      <c r="A1987" s="33"/>
      <c r="B1987" s="33"/>
      <c r="H1987" s="6">
        <v>0</v>
      </c>
      <c r="I1987" s="6">
        <v>0</v>
      </c>
      <c r="J1987" s="6">
        <v>0</v>
      </c>
    </row>
    <row r="1988" spans="1:10" ht="13" x14ac:dyDescent="0.15">
      <c r="A1988" s="33"/>
      <c r="B1988" s="33"/>
      <c r="H1988" s="6">
        <v>0</v>
      </c>
      <c r="I1988" s="6">
        <v>0</v>
      </c>
      <c r="J1988" s="6">
        <v>0</v>
      </c>
    </row>
    <row r="1989" spans="1:10" ht="13" x14ac:dyDescent="0.15">
      <c r="A1989" s="33"/>
      <c r="B1989" s="33"/>
      <c r="H1989" s="6">
        <v>0</v>
      </c>
      <c r="I1989" s="6">
        <v>0</v>
      </c>
      <c r="J1989" s="6">
        <v>0</v>
      </c>
    </row>
    <row r="1990" spans="1:10" ht="13" x14ac:dyDescent="0.15">
      <c r="A1990" s="33"/>
      <c r="B1990" s="33"/>
      <c r="H1990" s="6">
        <v>0</v>
      </c>
      <c r="I1990" s="6">
        <v>0</v>
      </c>
      <c r="J1990" s="6">
        <v>0</v>
      </c>
    </row>
    <row r="1991" spans="1:10" ht="13" x14ac:dyDescent="0.15">
      <c r="A1991" s="33"/>
      <c r="B1991" s="33"/>
      <c r="H1991" s="6">
        <v>0</v>
      </c>
      <c r="I1991" s="6">
        <v>0</v>
      </c>
      <c r="J1991" s="6">
        <v>0</v>
      </c>
    </row>
    <row r="1992" spans="1:10" ht="13" x14ac:dyDescent="0.15">
      <c r="A1992" s="33"/>
      <c r="B1992" s="33"/>
      <c r="H1992" s="6">
        <v>0</v>
      </c>
      <c r="I1992" s="6">
        <v>0</v>
      </c>
      <c r="J1992" s="6">
        <v>0</v>
      </c>
    </row>
    <row r="1993" spans="1:10" ht="13" x14ac:dyDescent="0.15">
      <c r="A1993" s="33"/>
      <c r="B1993" s="33"/>
      <c r="H1993" s="6">
        <v>0</v>
      </c>
      <c r="I1993" s="6">
        <v>0</v>
      </c>
      <c r="J1993" s="6">
        <v>0</v>
      </c>
    </row>
    <row r="1994" spans="1:10" ht="13" x14ac:dyDescent="0.15">
      <c r="A1994" s="33"/>
      <c r="B1994" s="33"/>
      <c r="H1994" s="6">
        <v>0</v>
      </c>
      <c r="I1994" s="6">
        <v>0</v>
      </c>
      <c r="J1994" s="6">
        <v>0</v>
      </c>
    </row>
    <row r="1995" spans="1:10" ht="13" x14ac:dyDescent="0.15">
      <c r="A1995" s="33"/>
      <c r="B1995" s="33"/>
      <c r="H1995" s="6">
        <v>0</v>
      </c>
      <c r="I1995" s="6">
        <v>0</v>
      </c>
      <c r="J1995" s="6">
        <v>0</v>
      </c>
    </row>
    <row r="1996" spans="1:10" ht="13" x14ac:dyDescent="0.15">
      <c r="A1996" s="33"/>
      <c r="B1996" s="33"/>
      <c r="H1996" s="6">
        <v>0</v>
      </c>
      <c r="I1996" s="6">
        <v>0</v>
      </c>
      <c r="J1996" s="6">
        <v>0</v>
      </c>
    </row>
    <row r="1997" spans="1:10" ht="13" x14ac:dyDescent="0.15">
      <c r="A1997" s="33"/>
      <c r="B1997" s="33"/>
      <c r="H1997" s="6">
        <v>0</v>
      </c>
      <c r="I1997" s="6">
        <v>0</v>
      </c>
      <c r="J1997" s="6">
        <v>0</v>
      </c>
    </row>
    <row r="1998" spans="1:10" ht="13" x14ac:dyDescent="0.15">
      <c r="A1998" s="33"/>
      <c r="B1998" s="33"/>
      <c r="H1998" s="6">
        <v>0</v>
      </c>
      <c r="I1998" s="6">
        <v>0</v>
      </c>
      <c r="J1998" s="6">
        <v>0</v>
      </c>
    </row>
    <row r="1999" spans="1:10" ht="13" x14ac:dyDescent="0.15">
      <c r="A1999" s="33"/>
      <c r="B1999" s="33"/>
      <c r="H1999" s="6">
        <v>0</v>
      </c>
      <c r="I1999" s="6">
        <v>0</v>
      </c>
      <c r="J1999" s="6">
        <v>0</v>
      </c>
    </row>
    <row r="2000" spans="1:10" ht="13" x14ac:dyDescent="0.15">
      <c r="A2000" s="33"/>
      <c r="B2000" s="33"/>
      <c r="H2000" s="6">
        <v>0</v>
      </c>
      <c r="I2000" s="6">
        <v>0</v>
      </c>
      <c r="J2000" s="6">
        <v>0</v>
      </c>
    </row>
    <row r="2001" spans="1:10" ht="13" x14ac:dyDescent="0.15">
      <c r="A2001" s="33"/>
      <c r="B2001" s="33"/>
      <c r="H2001" s="6">
        <v>0</v>
      </c>
      <c r="I2001" s="6">
        <v>0</v>
      </c>
      <c r="J2001" s="6">
        <v>0</v>
      </c>
    </row>
    <row r="2002" spans="1:10" ht="13" x14ac:dyDescent="0.15">
      <c r="A2002" s="33"/>
      <c r="B2002" s="33"/>
      <c r="H2002" s="6">
        <v>0</v>
      </c>
      <c r="I2002" s="6">
        <v>0</v>
      </c>
      <c r="J2002" s="6">
        <v>0</v>
      </c>
    </row>
    <row r="2003" spans="1:10" ht="13" x14ac:dyDescent="0.15">
      <c r="A2003" s="33"/>
      <c r="B2003" s="33"/>
      <c r="H2003" s="6">
        <v>0</v>
      </c>
      <c r="I2003" s="6">
        <v>0</v>
      </c>
      <c r="J2003" s="6">
        <v>0</v>
      </c>
    </row>
    <row r="2004" spans="1:10" ht="13" x14ac:dyDescent="0.15">
      <c r="A2004" s="33"/>
      <c r="B2004" s="33"/>
      <c r="H2004" s="6">
        <v>0</v>
      </c>
      <c r="I2004" s="6">
        <v>0</v>
      </c>
      <c r="J2004" s="6">
        <v>0</v>
      </c>
    </row>
    <row r="2005" spans="1:10" ht="13" x14ac:dyDescent="0.15">
      <c r="A2005" s="33"/>
      <c r="B2005" s="33"/>
      <c r="H2005" s="6">
        <v>0</v>
      </c>
      <c r="I2005" s="6">
        <v>0</v>
      </c>
      <c r="J2005" s="6">
        <v>0</v>
      </c>
    </row>
    <row r="2006" spans="1:10" ht="13" x14ac:dyDescent="0.15">
      <c r="A2006" s="33"/>
      <c r="B2006" s="33"/>
      <c r="H2006" s="6">
        <v>0</v>
      </c>
      <c r="I2006" s="6">
        <v>0</v>
      </c>
      <c r="J2006" s="6">
        <v>0</v>
      </c>
    </row>
    <row r="2007" spans="1:10" ht="13" x14ac:dyDescent="0.15">
      <c r="A2007" s="33"/>
      <c r="B2007" s="33"/>
      <c r="H2007" s="6">
        <v>0</v>
      </c>
      <c r="I2007" s="6">
        <v>0</v>
      </c>
      <c r="J2007" s="6">
        <v>0</v>
      </c>
    </row>
    <row r="2008" spans="1:10" ht="13" x14ac:dyDescent="0.15">
      <c r="A2008" s="33"/>
      <c r="B2008" s="33"/>
      <c r="H2008" s="6">
        <v>0</v>
      </c>
      <c r="I2008" s="6">
        <v>0</v>
      </c>
      <c r="J2008" s="6">
        <v>0</v>
      </c>
    </row>
    <row r="2009" spans="1:10" ht="13" x14ac:dyDescent="0.15">
      <c r="A2009" s="33"/>
      <c r="B2009" s="33"/>
      <c r="H2009" s="6">
        <v>0</v>
      </c>
      <c r="I2009" s="6">
        <v>0</v>
      </c>
      <c r="J2009" s="6">
        <v>0</v>
      </c>
    </row>
    <row r="2010" spans="1:10" ht="13" x14ac:dyDescent="0.15">
      <c r="A2010" s="33"/>
      <c r="B2010" s="33"/>
      <c r="H2010" s="6">
        <v>0</v>
      </c>
      <c r="I2010" s="6">
        <v>0</v>
      </c>
      <c r="J2010" s="6">
        <v>0</v>
      </c>
    </row>
    <row r="2011" spans="1:10" ht="13" x14ac:dyDescent="0.15">
      <c r="A2011" s="33"/>
      <c r="B2011" s="33"/>
      <c r="H2011" s="6">
        <v>0</v>
      </c>
      <c r="I2011" s="6">
        <v>0</v>
      </c>
      <c r="J2011" s="6">
        <v>0</v>
      </c>
    </row>
    <row r="2012" spans="1:10" ht="13" x14ac:dyDescent="0.15">
      <c r="A2012" s="33"/>
      <c r="B2012" s="33"/>
      <c r="H2012" s="6">
        <v>0</v>
      </c>
      <c r="I2012" s="6">
        <v>0</v>
      </c>
      <c r="J2012" s="6">
        <v>0</v>
      </c>
    </row>
    <row r="2013" spans="1:10" ht="13" x14ac:dyDescent="0.15">
      <c r="A2013" s="33"/>
      <c r="B2013" s="33"/>
      <c r="H2013" s="6">
        <v>0</v>
      </c>
      <c r="I2013" s="6">
        <v>0</v>
      </c>
      <c r="J2013" s="6">
        <v>0</v>
      </c>
    </row>
    <row r="2014" spans="1:10" ht="13" x14ac:dyDescent="0.15">
      <c r="A2014" s="33"/>
      <c r="B2014" s="33"/>
      <c r="H2014" s="6">
        <v>0</v>
      </c>
      <c r="I2014" s="6">
        <v>0</v>
      </c>
      <c r="J2014" s="6">
        <v>0</v>
      </c>
    </row>
    <row r="2015" spans="1:10" ht="13" x14ac:dyDescent="0.15">
      <c r="A2015" s="33"/>
      <c r="B2015" s="33"/>
      <c r="H2015" s="6">
        <v>0</v>
      </c>
      <c r="I2015" s="6">
        <v>0</v>
      </c>
      <c r="J2015" s="6">
        <v>0</v>
      </c>
    </row>
    <row r="2016" spans="1:10" ht="13" x14ac:dyDescent="0.15">
      <c r="A2016" s="33"/>
      <c r="B2016" s="33"/>
      <c r="H2016" s="6">
        <v>0</v>
      </c>
      <c r="I2016" s="6">
        <v>0</v>
      </c>
      <c r="J2016" s="6">
        <v>0</v>
      </c>
    </row>
    <row r="2017" spans="1:10" ht="13" x14ac:dyDescent="0.15">
      <c r="A2017" s="33"/>
      <c r="B2017" s="33"/>
      <c r="H2017" s="6">
        <v>0</v>
      </c>
      <c r="I2017" s="6">
        <v>0</v>
      </c>
      <c r="J2017" s="6">
        <v>0</v>
      </c>
    </row>
    <row r="2018" spans="1:10" ht="13" x14ac:dyDescent="0.15">
      <c r="A2018" s="33"/>
      <c r="B2018" s="33"/>
      <c r="H2018" s="6">
        <v>0</v>
      </c>
      <c r="I2018" s="6">
        <v>0</v>
      </c>
      <c r="J2018" s="6">
        <v>0</v>
      </c>
    </row>
    <row r="2019" spans="1:10" ht="13" x14ac:dyDescent="0.15">
      <c r="A2019" s="33"/>
      <c r="B2019" s="33"/>
      <c r="H2019" s="6">
        <v>0</v>
      </c>
      <c r="I2019" s="6">
        <v>0</v>
      </c>
      <c r="J2019" s="6">
        <v>0</v>
      </c>
    </row>
    <row r="2020" spans="1:10" ht="13" x14ac:dyDescent="0.15">
      <c r="A2020" s="33"/>
      <c r="B2020" s="33"/>
      <c r="H2020" s="6">
        <v>0</v>
      </c>
      <c r="I2020" s="6">
        <v>0</v>
      </c>
      <c r="J2020" s="6">
        <v>0</v>
      </c>
    </row>
    <row r="2021" spans="1:10" ht="13" x14ac:dyDescent="0.15">
      <c r="A2021" s="33"/>
      <c r="B2021" s="33"/>
      <c r="H2021" s="6">
        <v>0</v>
      </c>
      <c r="I2021" s="6">
        <v>0</v>
      </c>
      <c r="J2021" s="6">
        <v>0</v>
      </c>
    </row>
    <row r="2022" spans="1:10" ht="13" x14ac:dyDescent="0.15">
      <c r="A2022" s="33"/>
      <c r="B2022" s="33"/>
      <c r="H2022" s="6">
        <v>0</v>
      </c>
      <c r="I2022" s="6">
        <v>0</v>
      </c>
      <c r="J2022" s="6">
        <v>0</v>
      </c>
    </row>
    <row r="2023" spans="1:10" ht="13" x14ac:dyDescent="0.15">
      <c r="A2023" s="33"/>
      <c r="B2023" s="33"/>
      <c r="H2023" s="6">
        <v>0</v>
      </c>
      <c r="I2023" s="6">
        <v>0</v>
      </c>
      <c r="J2023" s="6">
        <v>0</v>
      </c>
    </row>
    <row r="2024" spans="1:10" ht="13" x14ac:dyDescent="0.15">
      <c r="A2024" s="33"/>
      <c r="B2024" s="33"/>
      <c r="H2024" s="6">
        <v>0</v>
      </c>
      <c r="I2024" s="6">
        <v>0</v>
      </c>
      <c r="J2024" s="6">
        <v>0</v>
      </c>
    </row>
    <row r="2025" spans="1:10" ht="13" x14ac:dyDescent="0.15">
      <c r="A2025" s="33"/>
      <c r="B2025" s="33"/>
      <c r="H2025" s="6">
        <v>0</v>
      </c>
      <c r="I2025" s="6">
        <v>0</v>
      </c>
      <c r="J2025" s="6">
        <v>0</v>
      </c>
    </row>
    <row r="2026" spans="1:10" ht="13" x14ac:dyDescent="0.15">
      <c r="A2026" s="33"/>
      <c r="B2026" s="33"/>
      <c r="H2026" s="6">
        <v>0</v>
      </c>
      <c r="I2026" s="6">
        <v>0</v>
      </c>
      <c r="J2026" s="6">
        <v>0</v>
      </c>
    </row>
    <row r="2027" spans="1:10" ht="13" x14ac:dyDescent="0.15">
      <c r="A2027" s="33"/>
      <c r="B2027" s="33"/>
      <c r="H2027" s="6">
        <v>0</v>
      </c>
      <c r="I2027" s="6">
        <v>0</v>
      </c>
      <c r="J2027" s="6">
        <v>0</v>
      </c>
    </row>
    <row r="2028" spans="1:10" ht="13" x14ac:dyDescent="0.15">
      <c r="A2028" s="33"/>
      <c r="B2028" s="33"/>
      <c r="H2028" s="6">
        <v>0</v>
      </c>
      <c r="I2028" s="6">
        <v>0</v>
      </c>
      <c r="J2028" s="6">
        <v>0</v>
      </c>
    </row>
    <row r="2029" spans="1:10" ht="13" x14ac:dyDescent="0.15">
      <c r="A2029" s="33"/>
      <c r="B2029" s="33"/>
      <c r="H2029" s="6">
        <v>0</v>
      </c>
      <c r="I2029" s="6">
        <v>0</v>
      </c>
      <c r="J2029" s="6">
        <v>0</v>
      </c>
    </row>
    <row r="2030" spans="1:10" ht="13" x14ac:dyDescent="0.15">
      <c r="A2030" s="33"/>
      <c r="B2030" s="33"/>
      <c r="H2030" s="6">
        <v>0</v>
      </c>
      <c r="I2030" s="6">
        <v>0</v>
      </c>
      <c r="J2030" s="6">
        <v>0</v>
      </c>
    </row>
    <row r="2031" spans="1:10" ht="13" x14ac:dyDescent="0.15">
      <c r="A2031" s="33"/>
      <c r="B2031" s="33"/>
      <c r="H2031" s="6">
        <v>0</v>
      </c>
      <c r="I2031" s="6">
        <v>0</v>
      </c>
      <c r="J2031" s="6">
        <v>0</v>
      </c>
    </row>
    <row r="2032" spans="1:10" ht="13" x14ac:dyDescent="0.15">
      <c r="A2032" s="33"/>
      <c r="B2032" s="33"/>
      <c r="H2032" s="6">
        <v>0</v>
      </c>
      <c r="I2032" s="6">
        <v>0</v>
      </c>
      <c r="J2032" s="6">
        <v>0</v>
      </c>
    </row>
    <row r="2033" spans="1:10" ht="13" x14ac:dyDescent="0.15">
      <c r="A2033" s="33"/>
      <c r="B2033" s="33"/>
      <c r="H2033" s="6">
        <v>0</v>
      </c>
      <c r="I2033" s="6">
        <v>0</v>
      </c>
      <c r="J2033" s="6">
        <v>0</v>
      </c>
    </row>
    <row r="2034" spans="1:10" ht="13" x14ac:dyDescent="0.15">
      <c r="A2034" s="33"/>
      <c r="B2034" s="33"/>
      <c r="H2034" s="6">
        <v>0</v>
      </c>
      <c r="I2034" s="6">
        <v>0</v>
      </c>
      <c r="J2034" s="6">
        <v>0</v>
      </c>
    </row>
    <row r="2035" spans="1:10" ht="13" x14ac:dyDescent="0.15">
      <c r="A2035" s="33"/>
      <c r="B2035" s="33"/>
      <c r="H2035" s="6">
        <v>0</v>
      </c>
      <c r="I2035" s="6">
        <v>0</v>
      </c>
      <c r="J2035" s="6">
        <v>0</v>
      </c>
    </row>
    <row r="2036" spans="1:10" ht="13" x14ac:dyDescent="0.15">
      <c r="A2036" s="33"/>
      <c r="B2036" s="33"/>
      <c r="H2036" s="6">
        <v>0</v>
      </c>
      <c r="I2036" s="6">
        <v>0</v>
      </c>
      <c r="J2036" s="6">
        <v>0</v>
      </c>
    </row>
    <row r="2037" spans="1:10" ht="13" x14ac:dyDescent="0.15">
      <c r="A2037" s="33"/>
      <c r="B2037" s="33"/>
      <c r="H2037" s="6">
        <v>0</v>
      </c>
      <c r="I2037" s="6">
        <v>0</v>
      </c>
      <c r="J2037" s="6">
        <v>0</v>
      </c>
    </row>
    <row r="2038" spans="1:10" ht="13" x14ac:dyDescent="0.15">
      <c r="A2038" s="33"/>
      <c r="B2038" s="33"/>
      <c r="H2038" s="6">
        <v>0</v>
      </c>
      <c r="I2038" s="6">
        <v>0</v>
      </c>
      <c r="J2038" s="6">
        <v>0</v>
      </c>
    </row>
    <row r="2039" spans="1:10" ht="13" x14ac:dyDescent="0.15">
      <c r="A2039" s="33"/>
      <c r="B2039" s="33"/>
      <c r="H2039" s="6">
        <v>0</v>
      </c>
      <c r="I2039" s="6">
        <v>0</v>
      </c>
      <c r="J2039" s="6">
        <v>0</v>
      </c>
    </row>
    <row r="2040" spans="1:10" ht="13" x14ac:dyDescent="0.15">
      <c r="A2040" s="33"/>
      <c r="B2040" s="33"/>
      <c r="H2040" s="6">
        <v>0</v>
      </c>
      <c r="I2040" s="6">
        <v>0</v>
      </c>
      <c r="J2040" s="6">
        <v>0</v>
      </c>
    </row>
    <row r="2041" spans="1:10" ht="13" x14ac:dyDescent="0.15">
      <c r="A2041" s="33"/>
      <c r="B2041" s="33"/>
      <c r="H2041" s="6">
        <v>0</v>
      </c>
      <c r="I2041" s="6">
        <v>0</v>
      </c>
      <c r="J2041" s="6">
        <v>0</v>
      </c>
    </row>
    <row r="2042" spans="1:10" ht="13" x14ac:dyDescent="0.15">
      <c r="A2042" s="33"/>
      <c r="B2042" s="33"/>
      <c r="H2042" s="6">
        <v>0</v>
      </c>
      <c r="I2042" s="6">
        <v>0</v>
      </c>
      <c r="J2042" s="6">
        <v>0</v>
      </c>
    </row>
    <row r="2043" spans="1:10" ht="13" x14ac:dyDescent="0.15">
      <c r="A2043" s="33"/>
      <c r="B2043" s="33"/>
      <c r="H2043" s="6">
        <v>0</v>
      </c>
      <c r="I2043" s="6">
        <v>0</v>
      </c>
      <c r="J2043" s="6">
        <v>0</v>
      </c>
    </row>
    <row r="2044" spans="1:10" ht="13" x14ac:dyDescent="0.15">
      <c r="A2044" s="33"/>
      <c r="B2044" s="33"/>
      <c r="H2044" s="6">
        <v>0</v>
      </c>
      <c r="I2044" s="6">
        <v>0</v>
      </c>
      <c r="J2044" s="6">
        <v>0</v>
      </c>
    </row>
    <row r="2045" spans="1:10" ht="13" x14ac:dyDescent="0.15">
      <c r="A2045" s="33"/>
      <c r="B2045" s="33"/>
      <c r="H2045" s="6">
        <v>0</v>
      </c>
      <c r="I2045" s="6">
        <v>0</v>
      </c>
      <c r="J2045" s="6">
        <v>0</v>
      </c>
    </row>
    <row r="2046" spans="1:10" ht="13" x14ac:dyDescent="0.15">
      <c r="A2046" s="33"/>
      <c r="B2046" s="33"/>
      <c r="H2046" s="6">
        <v>0</v>
      </c>
      <c r="I2046" s="6">
        <v>0</v>
      </c>
      <c r="J2046" s="6">
        <v>0</v>
      </c>
    </row>
    <row r="2047" spans="1:10" ht="13" x14ac:dyDescent="0.15">
      <c r="A2047" s="33"/>
      <c r="B2047" s="33"/>
      <c r="H2047" s="6">
        <v>0</v>
      </c>
      <c r="I2047" s="6">
        <v>0</v>
      </c>
      <c r="J2047" s="6">
        <v>0</v>
      </c>
    </row>
    <row r="2048" spans="1:10" ht="13" x14ac:dyDescent="0.15">
      <c r="A2048" s="33"/>
      <c r="B2048" s="33"/>
      <c r="H2048" s="6">
        <v>0</v>
      </c>
      <c r="I2048" s="6">
        <v>0</v>
      </c>
      <c r="J2048" s="6">
        <v>0</v>
      </c>
    </row>
    <row r="2049" spans="1:10" ht="13" x14ac:dyDescent="0.15">
      <c r="A2049" s="33"/>
      <c r="B2049" s="33"/>
      <c r="H2049" s="6">
        <v>0</v>
      </c>
      <c r="I2049" s="6">
        <v>0</v>
      </c>
      <c r="J2049" s="6">
        <v>0</v>
      </c>
    </row>
    <row r="2050" spans="1:10" ht="13" x14ac:dyDescent="0.15">
      <c r="A2050" s="33"/>
      <c r="B2050" s="33"/>
      <c r="H2050" s="6">
        <v>0</v>
      </c>
      <c r="I2050" s="6">
        <v>0</v>
      </c>
      <c r="J2050" s="6">
        <v>0</v>
      </c>
    </row>
    <row r="2051" spans="1:10" ht="13" x14ac:dyDescent="0.15">
      <c r="A2051" s="33"/>
      <c r="B2051" s="33"/>
      <c r="H2051" s="6">
        <v>0</v>
      </c>
      <c r="I2051" s="6">
        <v>0</v>
      </c>
      <c r="J2051" s="6">
        <v>0</v>
      </c>
    </row>
    <row r="2052" spans="1:10" ht="13" x14ac:dyDescent="0.15">
      <c r="A2052" s="33"/>
      <c r="B2052" s="33"/>
      <c r="H2052" s="6">
        <v>0</v>
      </c>
      <c r="I2052" s="6">
        <v>0</v>
      </c>
      <c r="J2052" s="6">
        <v>0</v>
      </c>
    </row>
    <row r="2053" spans="1:10" ht="13" x14ac:dyDescent="0.15">
      <c r="A2053" s="33"/>
      <c r="B2053" s="33"/>
      <c r="H2053" s="6">
        <v>0</v>
      </c>
      <c r="I2053" s="6">
        <v>0</v>
      </c>
      <c r="J2053" s="6">
        <v>0</v>
      </c>
    </row>
    <row r="2054" spans="1:10" ht="13" x14ac:dyDescent="0.15">
      <c r="A2054" s="33"/>
      <c r="B2054" s="33"/>
      <c r="H2054" s="6">
        <v>0</v>
      </c>
      <c r="I2054" s="6">
        <v>0</v>
      </c>
      <c r="J2054" s="6">
        <v>0</v>
      </c>
    </row>
    <row r="2055" spans="1:10" ht="13" x14ac:dyDescent="0.15">
      <c r="A2055" s="33"/>
      <c r="B2055" s="33"/>
      <c r="H2055" s="6">
        <v>0</v>
      </c>
      <c r="I2055" s="6">
        <v>0</v>
      </c>
      <c r="J2055" s="6">
        <v>0</v>
      </c>
    </row>
    <row r="2056" spans="1:10" ht="13" x14ac:dyDescent="0.15">
      <c r="A2056" s="33"/>
      <c r="B2056" s="33"/>
      <c r="H2056" s="6">
        <v>0</v>
      </c>
      <c r="I2056" s="6">
        <v>0</v>
      </c>
      <c r="J2056" s="6">
        <v>0</v>
      </c>
    </row>
    <row r="2057" spans="1:10" ht="13" x14ac:dyDescent="0.15">
      <c r="A2057" s="33"/>
      <c r="B2057" s="33"/>
      <c r="H2057" s="6">
        <v>0</v>
      </c>
      <c r="I2057" s="6">
        <v>0</v>
      </c>
      <c r="J2057" s="6">
        <v>0</v>
      </c>
    </row>
    <row r="2058" spans="1:10" ht="13" x14ac:dyDescent="0.15">
      <c r="A2058" s="33"/>
      <c r="B2058" s="33"/>
      <c r="H2058" s="6">
        <v>0</v>
      </c>
      <c r="I2058" s="6">
        <v>0</v>
      </c>
      <c r="J2058" s="6">
        <v>0</v>
      </c>
    </row>
    <row r="2059" spans="1:10" ht="13" x14ac:dyDescent="0.15">
      <c r="A2059" s="33"/>
      <c r="B2059" s="33"/>
      <c r="H2059" s="6">
        <v>0</v>
      </c>
      <c r="I2059" s="6">
        <v>0</v>
      </c>
      <c r="J2059" s="6">
        <v>0</v>
      </c>
    </row>
    <row r="2060" spans="1:10" ht="13" x14ac:dyDescent="0.15">
      <c r="A2060" s="33"/>
      <c r="B2060" s="33"/>
      <c r="H2060" s="6">
        <v>0</v>
      </c>
      <c r="I2060" s="6">
        <v>0</v>
      </c>
      <c r="J2060" s="6">
        <v>0</v>
      </c>
    </row>
    <row r="2061" spans="1:10" ht="13" x14ac:dyDescent="0.15">
      <c r="A2061" s="33"/>
      <c r="B2061" s="33"/>
      <c r="H2061" s="6">
        <v>0</v>
      </c>
      <c r="I2061" s="6">
        <v>0</v>
      </c>
      <c r="J2061" s="6">
        <v>0</v>
      </c>
    </row>
    <row r="2062" spans="1:10" ht="13" x14ac:dyDescent="0.15">
      <c r="A2062" s="33"/>
      <c r="B2062" s="33"/>
      <c r="H2062" s="6">
        <v>0</v>
      </c>
      <c r="I2062" s="6">
        <v>0</v>
      </c>
      <c r="J2062" s="6">
        <v>0</v>
      </c>
    </row>
    <row r="2063" spans="1:10" ht="13" x14ac:dyDescent="0.15">
      <c r="A2063" s="33"/>
      <c r="B2063" s="33"/>
      <c r="H2063" s="6">
        <v>0</v>
      </c>
      <c r="I2063" s="6">
        <v>0</v>
      </c>
      <c r="J2063" s="6">
        <v>0</v>
      </c>
    </row>
    <row r="2064" spans="1:10" ht="13" x14ac:dyDescent="0.15">
      <c r="A2064" s="33"/>
      <c r="B2064" s="33"/>
      <c r="H2064" s="6">
        <v>0</v>
      </c>
      <c r="I2064" s="6">
        <v>0</v>
      </c>
      <c r="J2064" s="6">
        <v>0</v>
      </c>
    </row>
    <row r="2065" spans="1:10" ht="13" x14ac:dyDescent="0.15">
      <c r="A2065" s="33"/>
      <c r="B2065" s="33"/>
      <c r="H2065" s="6">
        <v>0</v>
      </c>
      <c r="I2065" s="6">
        <v>0</v>
      </c>
      <c r="J2065" s="6">
        <v>0</v>
      </c>
    </row>
    <row r="2066" spans="1:10" ht="13" x14ac:dyDescent="0.15">
      <c r="A2066" s="33"/>
      <c r="B2066" s="33"/>
      <c r="H2066" s="6">
        <v>0</v>
      </c>
      <c r="I2066" s="6">
        <v>0</v>
      </c>
      <c r="J2066" s="6">
        <v>0</v>
      </c>
    </row>
    <row r="2067" spans="1:10" ht="13" x14ac:dyDescent="0.15">
      <c r="A2067" s="33"/>
      <c r="B2067" s="33"/>
      <c r="H2067" s="6">
        <v>0</v>
      </c>
      <c r="I2067" s="6">
        <v>0</v>
      </c>
      <c r="J2067" s="6">
        <v>0</v>
      </c>
    </row>
    <row r="2068" spans="1:10" ht="13" x14ac:dyDescent="0.15">
      <c r="A2068" s="33"/>
      <c r="B2068" s="33"/>
      <c r="H2068" s="6">
        <v>0</v>
      </c>
      <c r="I2068" s="6">
        <v>0</v>
      </c>
      <c r="J2068" s="6">
        <v>0</v>
      </c>
    </row>
    <row r="2069" spans="1:10" ht="13" x14ac:dyDescent="0.15">
      <c r="A2069" s="33"/>
      <c r="B2069" s="33"/>
      <c r="H2069" s="6">
        <v>0</v>
      </c>
      <c r="I2069" s="6">
        <v>0</v>
      </c>
      <c r="J2069" s="6">
        <v>0</v>
      </c>
    </row>
    <row r="2070" spans="1:10" ht="13" x14ac:dyDescent="0.15">
      <c r="A2070" s="33"/>
      <c r="B2070" s="33"/>
      <c r="H2070" s="6">
        <v>0</v>
      </c>
      <c r="I2070" s="6">
        <v>0</v>
      </c>
      <c r="J2070" s="6">
        <v>0</v>
      </c>
    </row>
    <row r="2071" spans="1:10" ht="13" x14ac:dyDescent="0.15">
      <c r="A2071" s="33"/>
      <c r="B2071" s="33"/>
      <c r="H2071" s="6">
        <v>0</v>
      </c>
      <c r="I2071" s="6">
        <v>0</v>
      </c>
      <c r="J2071" s="6">
        <v>0</v>
      </c>
    </row>
    <row r="2072" spans="1:10" ht="13" x14ac:dyDescent="0.15">
      <c r="A2072" s="33"/>
      <c r="B2072" s="33"/>
      <c r="H2072" s="6">
        <v>0</v>
      </c>
      <c r="I2072" s="6">
        <v>0</v>
      </c>
      <c r="J2072" s="6">
        <v>0</v>
      </c>
    </row>
    <row r="2073" spans="1:10" ht="13" x14ac:dyDescent="0.15">
      <c r="A2073" s="33"/>
      <c r="B2073" s="33"/>
      <c r="H2073" s="6">
        <v>0</v>
      </c>
      <c r="I2073" s="6">
        <v>0</v>
      </c>
      <c r="J2073" s="6">
        <v>0</v>
      </c>
    </row>
    <row r="2074" spans="1:10" ht="13" x14ac:dyDescent="0.15">
      <c r="A2074" s="33"/>
      <c r="B2074" s="33"/>
      <c r="H2074" s="6">
        <v>0</v>
      </c>
      <c r="I2074" s="6">
        <v>0</v>
      </c>
      <c r="J2074" s="6">
        <v>0</v>
      </c>
    </row>
    <row r="2075" spans="1:10" ht="13" x14ac:dyDescent="0.15">
      <c r="A2075" s="33"/>
      <c r="B2075" s="33"/>
      <c r="H2075" s="6">
        <v>0</v>
      </c>
      <c r="I2075" s="6">
        <v>0</v>
      </c>
      <c r="J2075" s="6">
        <v>0</v>
      </c>
    </row>
    <row r="2076" spans="1:10" ht="13" x14ac:dyDescent="0.15">
      <c r="A2076" s="33"/>
      <c r="B2076" s="33"/>
      <c r="H2076" s="6">
        <v>0</v>
      </c>
      <c r="I2076" s="6">
        <v>0</v>
      </c>
      <c r="J2076" s="6">
        <v>0</v>
      </c>
    </row>
    <row r="2077" spans="1:10" ht="13" x14ac:dyDescent="0.15">
      <c r="A2077" s="33"/>
      <c r="B2077" s="33"/>
      <c r="H2077" s="6">
        <v>0</v>
      </c>
      <c r="I2077" s="6">
        <v>0</v>
      </c>
      <c r="J2077" s="6">
        <v>0</v>
      </c>
    </row>
    <row r="2078" spans="1:10" ht="13" x14ac:dyDescent="0.15">
      <c r="A2078" s="33"/>
      <c r="B2078" s="33"/>
      <c r="H2078" s="6">
        <v>0</v>
      </c>
      <c r="I2078" s="6">
        <v>0</v>
      </c>
      <c r="J2078" s="6">
        <v>0</v>
      </c>
    </row>
    <row r="2079" spans="1:10" ht="13" x14ac:dyDescent="0.15">
      <c r="A2079" s="33"/>
      <c r="B2079" s="33"/>
      <c r="H2079" s="6">
        <v>0</v>
      </c>
      <c r="I2079" s="6">
        <v>0</v>
      </c>
      <c r="J2079" s="6">
        <v>0</v>
      </c>
    </row>
    <row r="2080" spans="1:10" ht="13" x14ac:dyDescent="0.15">
      <c r="A2080" s="33"/>
      <c r="B2080" s="33"/>
      <c r="H2080" s="6">
        <v>0</v>
      </c>
      <c r="I2080" s="6">
        <v>0</v>
      </c>
      <c r="J2080" s="6">
        <v>0</v>
      </c>
    </row>
    <row r="2081" spans="1:10" ht="13" x14ac:dyDescent="0.15">
      <c r="A2081" s="33"/>
      <c r="B2081" s="33"/>
      <c r="H2081" s="6">
        <v>0</v>
      </c>
      <c r="I2081" s="6">
        <v>0</v>
      </c>
      <c r="J2081" s="6">
        <v>0</v>
      </c>
    </row>
    <row r="2082" spans="1:10" ht="13" x14ac:dyDescent="0.15">
      <c r="A2082" s="33"/>
      <c r="B2082" s="33"/>
      <c r="H2082" s="6">
        <v>0</v>
      </c>
      <c r="I2082" s="6">
        <v>0</v>
      </c>
      <c r="J2082" s="6">
        <v>0</v>
      </c>
    </row>
    <row r="2083" spans="1:10" ht="13" x14ac:dyDescent="0.15">
      <c r="A2083" s="33"/>
      <c r="B2083" s="33"/>
      <c r="H2083" s="6">
        <v>0</v>
      </c>
      <c r="I2083" s="6">
        <v>0</v>
      </c>
      <c r="J2083" s="6">
        <v>0</v>
      </c>
    </row>
    <row r="2084" spans="1:10" ht="13" x14ac:dyDescent="0.15">
      <c r="A2084" s="33"/>
      <c r="B2084" s="33"/>
      <c r="H2084" s="6">
        <v>0</v>
      </c>
      <c r="I2084" s="6">
        <v>0</v>
      </c>
      <c r="J2084" s="6">
        <v>0</v>
      </c>
    </row>
    <row r="2085" spans="1:10" ht="13" x14ac:dyDescent="0.15">
      <c r="A2085" s="33"/>
      <c r="B2085" s="33"/>
      <c r="H2085" s="6">
        <v>0</v>
      </c>
      <c r="I2085" s="6">
        <v>0</v>
      </c>
      <c r="J2085" s="6">
        <v>0</v>
      </c>
    </row>
    <row r="2086" spans="1:10" ht="13" x14ac:dyDescent="0.15">
      <c r="A2086" s="33"/>
      <c r="B2086" s="33"/>
      <c r="H2086" s="6">
        <v>0</v>
      </c>
      <c r="I2086" s="6">
        <v>0</v>
      </c>
      <c r="J2086" s="6">
        <v>0</v>
      </c>
    </row>
    <row r="2087" spans="1:10" ht="13" x14ac:dyDescent="0.15">
      <c r="A2087" s="33"/>
      <c r="B2087" s="33"/>
      <c r="H2087" s="6">
        <v>0</v>
      </c>
      <c r="I2087" s="6">
        <v>0</v>
      </c>
      <c r="J2087" s="6">
        <v>0</v>
      </c>
    </row>
    <row r="2088" spans="1:10" ht="13" x14ac:dyDescent="0.15">
      <c r="A2088" s="33"/>
      <c r="B2088" s="33"/>
      <c r="H2088" s="6">
        <v>0</v>
      </c>
      <c r="I2088" s="6">
        <v>0</v>
      </c>
      <c r="J2088" s="6">
        <v>0</v>
      </c>
    </row>
    <row r="2089" spans="1:10" ht="13" x14ac:dyDescent="0.15">
      <c r="A2089" s="33"/>
      <c r="B2089" s="33"/>
      <c r="H2089" s="6">
        <v>0</v>
      </c>
      <c r="I2089" s="6">
        <v>0</v>
      </c>
      <c r="J2089" s="6">
        <v>0</v>
      </c>
    </row>
    <row r="2090" spans="1:10" ht="13" x14ac:dyDescent="0.15">
      <c r="A2090" s="33"/>
      <c r="B2090" s="33"/>
      <c r="H2090" s="6">
        <v>0</v>
      </c>
      <c r="I2090" s="6">
        <v>0</v>
      </c>
      <c r="J2090" s="6">
        <v>0</v>
      </c>
    </row>
    <row r="2091" spans="1:10" ht="13" x14ac:dyDescent="0.15">
      <c r="A2091" s="33"/>
      <c r="B2091" s="33"/>
      <c r="H2091" s="6">
        <v>0</v>
      </c>
      <c r="I2091" s="6">
        <v>0</v>
      </c>
      <c r="J2091" s="6">
        <v>0</v>
      </c>
    </row>
    <row r="2092" spans="1:10" ht="13" x14ac:dyDescent="0.15">
      <c r="A2092" s="33"/>
      <c r="B2092" s="33"/>
      <c r="H2092" s="6">
        <v>0</v>
      </c>
      <c r="I2092" s="6">
        <v>0</v>
      </c>
      <c r="J2092" s="6">
        <v>0</v>
      </c>
    </row>
    <row r="2093" spans="1:10" ht="13" x14ac:dyDescent="0.15">
      <c r="A2093" s="33"/>
      <c r="B2093" s="33"/>
      <c r="H2093" s="6">
        <v>0</v>
      </c>
      <c r="I2093" s="6">
        <v>0</v>
      </c>
      <c r="J2093" s="6">
        <v>0</v>
      </c>
    </row>
    <row r="2094" spans="1:10" ht="13" x14ac:dyDescent="0.15">
      <c r="A2094" s="33"/>
      <c r="B2094" s="33"/>
      <c r="H2094" s="6">
        <v>0</v>
      </c>
      <c r="I2094" s="6">
        <v>0</v>
      </c>
      <c r="J2094" s="6">
        <v>0</v>
      </c>
    </row>
    <row r="2095" spans="1:10" ht="13" x14ac:dyDescent="0.15">
      <c r="A2095" s="33"/>
      <c r="B2095" s="33"/>
      <c r="H2095" s="6">
        <v>0</v>
      </c>
      <c r="I2095" s="6">
        <v>0</v>
      </c>
      <c r="J2095" s="6">
        <v>0</v>
      </c>
    </row>
    <row r="2096" spans="1:10" ht="13" x14ac:dyDescent="0.15">
      <c r="A2096" s="33"/>
      <c r="B2096" s="33"/>
      <c r="H2096" s="6">
        <v>0</v>
      </c>
      <c r="I2096" s="6">
        <v>0</v>
      </c>
      <c r="J2096" s="6">
        <v>0</v>
      </c>
    </row>
    <row r="2097" spans="1:10" ht="13" x14ac:dyDescent="0.15">
      <c r="A2097" s="33"/>
      <c r="B2097" s="33"/>
      <c r="H2097" s="6">
        <v>0</v>
      </c>
      <c r="I2097" s="6">
        <v>0</v>
      </c>
      <c r="J2097" s="6">
        <v>0</v>
      </c>
    </row>
    <row r="2098" spans="1:10" ht="13" x14ac:dyDescent="0.15">
      <c r="A2098" s="33"/>
      <c r="B2098" s="33"/>
      <c r="H2098" s="6">
        <v>0</v>
      </c>
      <c r="I2098" s="6">
        <v>0</v>
      </c>
      <c r="J2098" s="6">
        <v>0</v>
      </c>
    </row>
    <row r="2099" spans="1:10" ht="13" x14ac:dyDescent="0.15">
      <c r="A2099" s="33"/>
      <c r="B2099" s="33"/>
      <c r="H2099" s="6">
        <v>0</v>
      </c>
      <c r="I2099" s="6">
        <v>0</v>
      </c>
      <c r="J2099" s="6">
        <v>0</v>
      </c>
    </row>
    <row r="2100" spans="1:10" ht="13" x14ac:dyDescent="0.15">
      <c r="A2100" s="33"/>
      <c r="B2100" s="33"/>
      <c r="H2100" s="6">
        <v>0</v>
      </c>
      <c r="I2100" s="6">
        <v>0</v>
      </c>
      <c r="J2100" s="6">
        <v>0</v>
      </c>
    </row>
    <row r="2101" spans="1:10" ht="13" x14ac:dyDescent="0.15">
      <c r="A2101" s="33"/>
      <c r="B2101" s="33"/>
      <c r="H2101" s="6">
        <v>0</v>
      </c>
      <c r="I2101" s="6">
        <v>0</v>
      </c>
      <c r="J2101" s="6">
        <v>0</v>
      </c>
    </row>
    <row r="2102" spans="1:10" ht="13" x14ac:dyDescent="0.15">
      <c r="A2102" s="33"/>
      <c r="B2102" s="33"/>
      <c r="H2102" s="6">
        <v>0</v>
      </c>
      <c r="I2102" s="6">
        <v>0</v>
      </c>
      <c r="J2102" s="6">
        <v>0</v>
      </c>
    </row>
    <row r="2103" spans="1:10" ht="13" x14ac:dyDescent="0.15">
      <c r="A2103" s="33"/>
      <c r="B2103" s="33"/>
      <c r="H2103" s="6">
        <v>0</v>
      </c>
      <c r="I2103" s="6">
        <v>0</v>
      </c>
      <c r="J2103" s="6">
        <v>0</v>
      </c>
    </row>
    <row r="2104" spans="1:10" ht="13" x14ac:dyDescent="0.15">
      <c r="A2104" s="33"/>
      <c r="B2104" s="33"/>
      <c r="H2104" s="6">
        <v>0</v>
      </c>
      <c r="I2104" s="6">
        <v>0</v>
      </c>
      <c r="J2104" s="6">
        <v>0</v>
      </c>
    </row>
    <row r="2105" spans="1:10" ht="13" x14ac:dyDescent="0.15">
      <c r="A2105" s="33"/>
      <c r="B2105" s="33"/>
      <c r="H2105" s="6">
        <v>0</v>
      </c>
      <c r="I2105" s="6">
        <v>0</v>
      </c>
      <c r="J2105" s="6">
        <v>0</v>
      </c>
    </row>
    <row r="2106" spans="1:10" ht="13" x14ac:dyDescent="0.15">
      <c r="A2106" s="33"/>
      <c r="B2106" s="33"/>
      <c r="H2106" s="6">
        <v>0</v>
      </c>
      <c r="I2106" s="6">
        <v>0</v>
      </c>
      <c r="J2106" s="6">
        <v>0</v>
      </c>
    </row>
    <row r="2107" spans="1:10" ht="13" x14ac:dyDescent="0.15">
      <c r="A2107" s="33"/>
      <c r="B2107" s="33"/>
      <c r="H2107" s="6">
        <v>0</v>
      </c>
      <c r="I2107" s="6">
        <v>0</v>
      </c>
      <c r="J2107" s="6">
        <v>0</v>
      </c>
    </row>
    <row r="2108" spans="1:10" ht="13" x14ac:dyDescent="0.15">
      <c r="A2108" s="33"/>
      <c r="B2108" s="33"/>
      <c r="H2108" s="6">
        <v>0</v>
      </c>
      <c r="I2108" s="6">
        <v>0</v>
      </c>
      <c r="J2108" s="6">
        <v>0</v>
      </c>
    </row>
    <row r="2109" spans="1:10" ht="13" x14ac:dyDescent="0.15">
      <c r="A2109" s="33"/>
      <c r="B2109" s="33"/>
      <c r="H2109" s="6">
        <v>0</v>
      </c>
      <c r="I2109" s="6">
        <v>0</v>
      </c>
      <c r="J2109" s="6">
        <v>0</v>
      </c>
    </row>
    <row r="2110" spans="1:10" ht="13" x14ac:dyDescent="0.15">
      <c r="A2110" s="33"/>
      <c r="B2110" s="33"/>
      <c r="H2110" s="6">
        <v>0</v>
      </c>
      <c r="I2110" s="6">
        <v>0</v>
      </c>
      <c r="J2110" s="6">
        <v>0</v>
      </c>
    </row>
    <row r="2111" spans="1:10" ht="13" x14ac:dyDescent="0.15">
      <c r="A2111" s="33"/>
      <c r="B2111" s="33"/>
      <c r="H2111" s="6">
        <v>0</v>
      </c>
      <c r="I2111" s="6">
        <v>0</v>
      </c>
      <c r="J2111" s="6">
        <v>0</v>
      </c>
    </row>
    <row r="2112" spans="1:10" ht="13" x14ac:dyDescent="0.15">
      <c r="A2112" s="33"/>
      <c r="B2112" s="33"/>
      <c r="H2112" s="6">
        <v>0</v>
      </c>
      <c r="I2112" s="6">
        <v>0</v>
      </c>
      <c r="J2112" s="6">
        <v>0</v>
      </c>
    </row>
    <row r="2113" spans="1:10" ht="13" x14ac:dyDescent="0.15">
      <c r="A2113" s="33"/>
      <c r="B2113" s="33"/>
      <c r="H2113" s="6">
        <v>0</v>
      </c>
      <c r="I2113" s="6">
        <v>0</v>
      </c>
      <c r="J2113" s="6">
        <v>0</v>
      </c>
    </row>
    <row r="2114" spans="1:10" ht="13" x14ac:dyDescent="0.15">
      <c r="A2114" s="33"/>
      <c r="B2114" s="33"/>
      <c r="H2114" s="6">
        <v>0</v>
      </c>
      <c r="I2114" s="6">
        <v>0</v>
      </c>
      <c r="J2114" s="6">
        <v>0</v>
      </c>
    </row>
    <row r="2115" spans="1:10" ht="13" x14ac:dyDescent="0.15">
      <c r="A2115" s="33"/>
      <c r="B2115" s="33"/>
      <c r="H2115" s="6">
        <v>0</v>
      </c>
      <c r="I2115" s="6">
        <v>0</v>
      </c>
      <c r="J2115" s="6">
        <v>0</v>
      </c>
    </row>
    <row r="2116" spans="1:10" ht="13" x14ac:dyDescent="0.15">
      <c r="A2116" s="33"/>
      <c r="B2116" s="33"/>
      <c r="H2116" s="6">
        <v>0</v>
      </c>
      <c r="I2116" s="6">
        <v>0</v>
      </c>
      <c r="J2116" s="6">
        <v>0</v>
      </c>
    </row>
    <row r="2117" spans="1:10" ht="13" x14ac:dyDescent="0.15">
      <c r="A2117" s="33"/>
      <c r="B2117" s="33"/>
      <c r="H2117" s="6">
        <v>0</v>
      </c>
      <c r="I2117" s="6">
        <v>0</v>
      </c>
      <c r="J2117" s="6">
        <v>0</v>
      </c>
    </row>
    <row r="2118" spans="1:10" ht="13" x14ac:dyDescent="0.15">
      <c r="A2118" s="33"/>
      <c r="B2118" s="33"/>
      <c r="H2118" s="6">
        <v>0</v>
      </c>
      <c r="I2118" s="6">
        <v>0</v>
      </c>
      <c r="J2118" s="6">
        <v>0</v>
      </c>
    </row>
    <row r="2119" spans="1:10" ht="13" x14ac:dyDescent="0.15">
      <c r="A2119" s="33"/>
      <c r="B2119" s="33"/>
      <c r="H2119" s="6">
        <v>0</v>
      </c>
      <c r="I2119" s="6">
        <v>0</v>
      </c>
      <c r="J2119" s="6">
        <v>0</v>
      </c>
    </row>
    <row r="2120" spans="1:10" ht="13" x14ac:dyDescent="0.15">
      <c r="A2120" s="33"/>
      <c r="B2120" s="33"/>
      <c r="H2120" s="6">
        <v>0</v>
      </c>
      <c r="I2120" s="6">
        <v>0</v>
      </c>
      <c r="J2120" s="6">
        <v>0</v>
      </c>
    </row>
    <row r="2121" spans="1:10" ht="13" x14ac:dyDescent="0.15">
      <c r="A2121" s="33"/>
      <c r="B2121" s="33"/>
      <c r="H2121" s="6">
        <v>0</v>
      </c>
      <c r="I2121" s="6">
        <v>0</v>
      </c>
      <c r="J2121" s="6">
        <v>0</v>
      </c>
    </row>
    <row r="2122" spans="1:10" ht="13" x14ac:dyDescent="0.15">
      <c r="A2122" s="33"/>
      <c r="B2122" s="33"/>
      <c r="H2122" s="6">
        <v>0</v>
      </c>
      <c r="I2122" s="6">
        <v>0</v>
      </c>
      <c r="J2122" s="6">
        <v>0</v>
      </c>
    </row>
    <row r="2123" spans="1:10" ht="13" x14ac:dyDescent="0.15">
      <c r="A2123" s="33"/>
      <c r="B2123" s="33"/>
      <c r="H2123" s="6">
        <v>0</v>
      </c>
      <c r="I2123" s="6">
        <v>0</v>
      </c>
      <c r="J2123" s="6">
        <v>0</v>
      </c>
    </row>
    <row r="2124" spans="1:10" ht="13" x14ac:dyDescent="0.15">
      <c r="A2124" s="33"/>
      <c r="B2124" s="33"/>
      <c r="H2124" s="6">
        <v>0</v>
      </c>
      <c r="I2124" s="6">
        <v>0</v>
      </c>
      <c r="J2124" s="6">
        <v>0</v>
      </c>
    </row>
    <row r="2125" spans="1:10" ht="13" x14ac:dyDescent="0.15">
      <c r="A2125" s="33"/>
      <c r="B2125" s="33"/>
      <c r="H2125" s="6">
        <v>0</v>
      </c>
      <c r="I2125" s="6">
        <v>0</v>
      </c>
      <c r="J2125" s="6">
        <v>0</v>
      </c>
    </row>
    <row r="2126" spans="1:10" ht="13" x14ac:dyDescent="0.15">
      <c r="A2126" s="33"/>
      <c r="B2126" s="33"/>
      <c r="H2126" s="6">
        <v>0</v>
      </c>
      <c r="I2126" s="6">
        <v>0</v>
      </c>
      <c r="J2126" s="6">
        <v>0</v>
      </c>
    </row>
    <row r="2127" spans="1:10" ht="13" x14ac:dyDescent="0.15">
      <c r="A2127" s="33"/>
      <c r="B2127" s="33"/>
      <c r="H2127" s="6">
        <v>0</v>
      </c>
      <c r="I2127" s="6">
        <v>0</v>
      </c>
      <c r="J2127" s="6">
        <v>0</v>
      </c>
    </row>
    <row r="2128" spans="1:10" ht="13" x14ac:dyDescent="0.15">
      <c r="A2128" s="33"/>
      <c r="B2128" s="33"/>
      <c r="H2128" s="6">
        <v>0</v>
      </c>
      <c r="I2128" s="6">
        <v>0</v>
      </c>
      <c r="J2128" s="6">
        <v>0</v>
      </c>
    </row>
    <row r="2129" spans="1:10" ht="13" x14ac:dyDescent="0.15">
      <c r="A2129" s="33"/>
      <c r="B2129" s="33"/>
      <c r="H2129" s="6">
        <v>0</v>
      </c>
      <c r="I2129" s="6">
        <v>0</v>
      </c>
      <c r="J2129" s="6">
        <v>0</v>
      </c>
    </row>
    <row r="2130" spans="1:10" ht="13" x14ac:dyDescent="0.15">
      <c r="A2130" s="33"/>
      <c r="B2130" s="33"/>
      <c r="H2130" s="6">
        <v>0</v>
      </c>
      <c r="I2130" s="6">
        <v>0</v>
      </c>
      <c r="J2130" s="6">
        <v>0</v>
      </c>
    </row>
    <row r="2131" spans="1:10" ht="13" x14ac:dyDescent="0.15">
      <c r="A2131" s="33"/>
      <c r="B2131" s="33"/>
      <c r="H2131" s="6">
        <v>0</v>
      </c>
      <c r="I2131" s="6">
        <v>0</v>
      </c>
      <c r="J2131" s="6">
        <v>0</v>
      </c>
    </row>
    <row r="2132" spans="1:10" ht="13" x14ac:dyDescent="0.15">
      <c r="A2132" s="33"/>
      <c r="B2132" s="33"/>
      <c r="H2132" s="6">
        <v>0</v>
      </c>
      <c r="I2132" s="6">
        <v>0</v>
      </c>
      <c r="J2132" s="6">
        <v>0</v>
      </c>
    </row>
    <row r="2133" spans="1:10" ht="13" x14ac:dyDescent="0.15">
      <c r="A2133" s="33"/>
      <c r="B2133" s="33"/>
      <c r="H2133" s="6">
        <v>0</v>
      </c>
      <c r="I2133" s="6">
        <v>0</v>
      </c>
      <c r="J2133" s="6">
        <v>0</v>
      </c>
    </row>
    <row r="2134" spans="1:10" ht="13" x14ac:dyDescent="0.15">
      <c r="A2134" s="33"/>
      <c r="B2134" s="33"/>
      <c r="H2134" s="6">
        <v>0</v>
      </c>
      <c r="I2134" s="6">
        <v>0</v>
      </c>
      <c r="J2134" s="6">
        <v>0</v>
      </c>
    </row>
    <row r="2135" spans="1:10" ht="13" x14ac:dyDescent="0.15">
      <c r="A2135" s="33"/>
      <c r="B2135" s="33"/>
      <c r="H2135" s="6">
        <v>0</v>
      </c>
      <c r="I2135" s="6">
        <v>0</v>
      </c>
      <c r="J2135" s="6">
        <v>0</v>
      </c>
    </row>
    <row r="2136" spans="1:10" ht="13" x14ac:dyDescent="0.15">
      <c r="A2136" s="33"/>
      <c r="B2136" s="33"/>
      <c r="H2136" s="6">
        <v>0</v>
      </c>
      <c r="I2136" s="6">
        <v>0</v>
      </c>
      <c r="J2136" s="6">
        <v>0</v>
      </c>
    </row>
    <row r="2137" spans="1:10" ht="13" x14ac:dyDescent="0.15">
      <c r="A2137" s="33"/>
      <c r="B2137" s="33"/>
      <c r="H2137" s="6">
        <v>0</v>
      </c>
      <c r="I2137" s="6">
        <v>0</v>
      </c>
      <c r="J2137" s="6">
        <v>0</v>
      </c>
    </row>
    <row r="2138" spans="1:10" ht="13" x14ac:dyDescent="0.15">
      <c r="A2138" s="33"/>
      <c r="B2138" s="33"/>
      <c r="H2138" s="6">
        <v>0</v>
      </c>
      <c r="I2138" s="6">
        <v>0</v>
      </c>
      <c r="J2138" s="6">
        <v>0</v>
      </c>
    </row>
    <row r="2139" spans="1:10" ht="13" x14ac:dyDescent="0.15">
      <c r="A2139" s="33"/>
      <c r="B2139" s="33"/>
      <c r="H2139" s="6">
        <v>0</v>
      </c>
      <c r="I2139" s="6">
        <v>0</v>
      </c>
      <c r="J2139" s="6">
        <v>0</v>
      </c>
    </row>
    <row r="2140" spans="1:10" ht="13" x14ac:dyDescent="0.15">
      <c r="A2140" s="33"/>
      <c r="B2140" s="33"/>
      <c r="H2140" s="6">
        <v>0</v>
      </c>
      <c r="I2140" s="6">
        <v>0</v>
      </c>
      <c r="J2140" s="6">
        <v>0</v>
      </c>
    </row>
    <row r="2141" spans="1:10" ht="13" x14ac:dyDescent="0.15">
      <c r="A2141" s="33"/>
      <c r="B2141" s="33"/>
      <c r="H2141" s="6">
        <v>0</v>
      </c>
      <c r="I2141" s="6">
        <v>0</v>
      </c>
      <c r="J2141" s="6">
        <v>0</v>
      </c>
    </row>
    <row r="2142" spans="1:10" ht="13" x14ac:dyDescent="0.15">
      <c r="A2142" s="33"/>
      <c r="B2142" s="33"/>
      <c r="H2142" s="6">
        <v>0</v>
      </c>
      <c r="I2142" s="6">
        <v>0</v>
      </c>
      <c r="J2142" s="6">
        <v>0</v>
      </c>
    </row>
    <row r="2143" spans="1:10" ht="13" x14ac:dyDescent="0.15">
      <c r="A2143" s="33"/>
      <c r="B2143" s="33"/>
      <c r="H2143" s="6">
        <v>0</v>
      </c>
      <c r="I2143" s="6">
        <v>0</v>
      </c>
      <c r="J2143" s="6">
        <v>0</v>
      </c>
    </row>
    <row r="2144" spans="1:10" ht="13" x14ac:dyDescent="0.15">
      <c r="A2144" s="33"/>
      <c r="B2144" s="33"/>
      <c r="H2144" s="6">
        <v>0</v>
      </c>
      <c r="I2144" s="6">
        <v>0</v>
      </c>
      <c r="J2144" s="6">
        <v>0</v>
      </c>
    </row>
    <row r="2145" spans="1:10" ht="13" x14ac:dyDescent="0.15">
      <c r="A2145" s="33"/>
      <c r="B2145" s="33"/>
      <c r="H2145" s="6">
        <v>0</v>
      </c>
      <c r="I2145" s="6">
        <v>0</v>
      </c>
      <c r="J2145" s="6">
        <v>0</v>
      </c>
    </row>
    <row r="2146" spans="1:10" ht="13" x14ac:dyDescent="0.15">
      <c r="A2146" s="33"/>
      <c r="B2146" s="33"/>
      <c r="H2146" s="6">
        <v>0</v>
      </c>
      <c r="I2146" s="6">
        <v>0</v>
      </c>
      <c r="J2146" s="6">
        <v>0</v>
      </c>
    </row>
    <row r="2147" spans="1:10" ht="13" x14ac:dyDescent="0.15">
      <c r="A2147" s="33"/>
      <c r="B2147" s="33"/>
      <c r="H2147" s="6">
        <v>0</v>
      </c>
      <c r="I2147" s="6">
        <v>0</v>
      </c>
      <c r="J2147" s="6">
        <v>0</v>
      </c>
    </row>
    <row r="2148" spans="1:10" ht="13" x14ac:dyDescent="0.15">
      <c r="A2148" s="33"/>
      <c r="B2148" s="33"/>
      <c r="H2148" s="6">
        <v>0</v>
      </c>
      <c r="I2148" s="6">
        <v>0</v>
      </c>
      <c r="J2148" s="6">
        <v>0</v>
      </c>
    </row>
    <row r="2149" spans="1:10" ht="13" x14ac:dyDescent="0.15">
      <c r="A2149" s="33"/>
      <c r="B2149" s="33"/>
      <c r="H2149" s="6">
        <v>0</v>
      </c>
      <c r="I2149" s="6">
        <v>0</v>
      </c>
      <c r="J2149" s="6">
        <v>0</v>
      </c>
    </row>
    <row r="2150" spans="1:10" ht="13" x14ac:dyDescent="0.15">
      <c r="A2150" s="33"/>
      <c r="B2150" s="33"/>
      <c r="H2150" s="6">
        <v>0</v>
      </c>
      <c r="I2150" s="6">
        <v>0</v>
      </c>
      <c r="J2150" s="6">
        <v>0</v>
      </c>
    </row>
    <row r="2151" spans="1:10" ht="13" x14ac:dyDescent="0.15">
      <c r="A2151" s="33"/>
      <c r="B2151" s="33"/>
      <c r="H2151" s="6">
        <v>0</v>
      </c>
      <c r="I2151" s="6">
        <v>0</v>
      </c>
      <c r="J2151" s="6">
        <v>0</v>
      </c>
    </row>
    <row r="2152" spans="1:10" ht="13" x14ac:dyDescent="0.15">
      <c r="A2152" s="33"/>
      <c r="B2152" s="33"/>
      <c r="H2152" s="6">
        <v>0</v>
      </c>
      <c r="I2152" s="6">
        <v>0</v>
      </c>
      <c r="J2152" s="6">
        <v>0</v>
      </c>
    </row>
    <row r="2153" spans="1:10" ht="13" x14ac:dyDescent="0.15">
      <c r="A2153" s="33"/>
      <c r="B2153" s="33"/>
      <c r="H2153" s="6">
        <v>0</v>
      </c>
      <c r="I2153" s="6">
        <v>0</v>
      </c>
      <c r="J2153" s="6">
        <v>0</v>
      </c>
    </row>
    <row r="2154" spans="1:10" ht="13" x14ac:dyDescent="0.15">
      <c r="A2154" s="33"/>
      <c r="B2154" s="33"/>
      <c r="H2154" s="6">
        <v>0</v>
      </c>
      <c r="I2154" s="6">
        <v>0</v>
      </c>
      <c r="J2154" s="6">
        <v>0</v>
      </c>
    </row>
    <row r="2155" spans="1:10" ht="13" x14ac:dyDescent="0.15">
      <c r="A2155" s="33"/>
      <c r="B2155" s="33"/>
      <c r="H2155" s="6">
        <v>0</v>
      </c>
      <c r="I2155" s="6">
        <v>0</v>
      </c>
      <c r="J2155" s="6">
        <v>0</v>
      </c>
    </row>
    <row r="2156" spans="1:10" ht="13" x14ac:dyDescent="0.15">
      <c r="A2156" s="33"/>
      <c r="B2156" s="33"/>
      <c r="H2156" s="6">
        <v>0</v>
      </c>
      <c r="I2156" s="6">
        <v>0</v>
      </c>
      <c r="J2156" s="6">
        <v>0</v>
      </c>
    </row>
    <row r="2157" spans="1:10" ht="13" x14ac:dyDescent="0.15">
      <c r="A2157" s="33"/>
      <c r="B2157" s="33"/>
      <c r="H2157" s="6">
        <v>0</v>
      </c>
      <c r="I2157" s="6">
        <v>0</v>
      </c>
      <c r="J2157" s="6">
        <v>0</v>
      </c>
    </row>
    <row r="2158" spans="1:10" ht="13" x14ac:dyDescent="0.15">
      <c r="A2158" s="33"/>
      <c r="B2158" s="33"/>
      <c r="H2158" s="6">
        <v>0</v>
      </c>
      <c r="I2158" s="6">
        <v>0</v>
      </c>
      <c r="J2158" s="6">
        <v>0</v>
      </c>
    </row>
    <row r="2159" spans="1:10" ht="13" x14ac:dyDescent="0.15">
      <c r="A2159" s="33"/>
      <c r="B2159" s="33"/>
      <c r="H2159" s="6">
        <v>0</v>
      </c>
      <c r="I2159" s="6">
        <v>0</v>
      </c>
      <c r="J2159" s="6">
        <v>0</v>
      </c>
    </row>
    <row r="2160" spans="1:10" ht="13" x14ac:dyDescent="0.15">
      <c r="A2160" s="33"/>
      <c r="B2160" s="33"/>
      <c r="H2160" s="6">
        <v>0</v>
      </c>
      <c r="I2160" s="6">
        <v>0</v>
      </c>
      <c r="J2160" s="6">
        <v>0</v>
      </c>
    </row>
    <row r="2161" spans="1:10" ht="13" x14ac:dyDescent="0.15">
      <c r="A2161" s="33"/>
      <c r="B2161" s="33"/>
      <c r="H2161" s="6">
        <v>0</v>
      </c>
      <c r="I2161" s="6">
        <v>0</v>
      </c>
      <c r="J2161" s="6">
        <v>0</v>
      </c>
    </row>
    <row r="2162" spans="1:10" ht="13" x14ac:dyDescent="0.15">
      <c r="A2162" s="33"/>
      <c r="B2162" s="33"/>
      <c r="H2162" s="6">
        <v>0</v>
      </c>
      <c r="I2162" s="6">
        <v>0</v>
      </c>
      <c r="J2162" s="6">
        <v>0</v>
      </c>
    </row>
    <row r="2163" spans="1:10" ht="13" x14ac:dyDescent="0.15">
      <c r="A2163" s="33"/>
      <c r="B2163" s="33"/>
      <c r="H2163" s="6">
        <v>0</v>
      </c>
      <c r="I2163" s="6">
        <v>0</v>
      </c>
      <c r="J2163" s="6">
        <v>0</v>
      </c>
    </row>
    <row r="2164" spans="1:10" ht="13" x14ac:dyDescent="0.15">
      <c r="A2164" s="33"/>
      <c r="B2164" s="33"/>
      <c r="H2164" s="6">
        <v>0</v>
      </c>
      <c r="I2164" s="6">
        <v>0</v>
      </c>
      <c r="J2164" s="6">
        <v>0</v>
      </c>
    </row>
    <row r="2165" spans="1:10" ht="13" x14ac:dyDescent="0.15">
      <c r="A2165" s="33"/>
      <c r="B2165" s="33"/>
      <c r="H2165" s="6">
        <v>0</v>
      </c>
      <c r="I2165" s="6">
        <v>0</v>
      </c>
      <c r="J2165" s="6">
        <v>0</v>
      </c>
    </row>
    <row r="2166" spans="1:10" ht="13" x14ac:dyDescent="0.15">
      <c r="A2166" s="33"/>
      <c r="B2166" s="33"/>
      <c r="H2166" s="6">
        <v>0</v>
      </c>
      <c r="I2166" s="6">
        <v>0</v>
      </c>
      <c r="J2166" s="6">
        <v>0</v>
      </c>
    </row>
    <row r="2167" spans="1:10" ht="13" x14ac:dyDescent="0.15">
      <c r="A2167" s="33"/>
      <c r="B2167" s="33"/>
      <c r="H2167" s="6">
        <v>0</v>
      </c>
      <c r="I2167" s="6">
        <v>0</v>
      </c>
      <c r="J2167" s="6">
        <v>0</v>
      </c>
    </row>
    <row r="2168" spans="1:10" ht="13" x14ac:dyDescent="0.15">
      <c r="A2168" s="33"/>
      <c r="B2168" s="33"/>
      <c r="H2168" s="6">
        <v>0</v>
      </c>
      <c r="I2168" s="6">
        <v>0</v>
      </c>
      <c r="J2168" s="6">
        <v>0</v>
      </c>
    </row>
    <row r="2169" spans="1:10" ht="13" x14ac:dyDescent="0.15">
      <c r="A2169" s="33"/>
      <c r="B2169" s="33"/>
      <c r="H2169" s="6">
        <v>0</v>
      </c>
      <c r="I2169" s="6">
        <v>0</v>
      </c>
      <c r="J2169" s="6">
        <v>0</v>
      </c>
    </row>
    <row r="2170" spans="1:10" ht="13" x14ac:dyDescent="0.15">
      <c r="A2170" s="33"/>
      <c r="B2170" s="33"/>
      <c r="H2170" s="6">
        <v>0</v>
      </c>
      <c r="I2170" s="6">
        <v>0</v>
      </c>
      <c r="J2170" s="6">
        <v>0</v>
      </c>
    </row>
    <row r="2171" spans="1:10" ht="13" x14ac:dyDescent="0.15">
      <c r="A2171" s="33"/>
      <c r="B2171" s="33"/>
      <c r="H2171" s="6">
        <v>0</v>
      </c>
      <c r="I2171" s="6">
        <v>0</v>
      </c>
      <c r="J2171" s="6">
        <v>0</v>
      </c>
    </row>
    <row r="2172" spans="1:10" ht="13" x14ac:dyDescent="0.15">
      <c r="A2172" s="33"/>
      <c r="B2172" s="33"/>
      <c r="H2172" s="6">
        <v>0</v>
      </c>
      <c r="I2172" s="6">
        <v>0</v>
      </c>
      <c r="J2172" s="6">
        <v>0</v>
      </c>
    </row>
    <row r="2173" spans="1:10" ht="13" x14ac:dyDescent="0.15">
      <c r="A2173" s="33"/>
      <c r="B2173" s="33"/>
      <c r="H2173" s="6">
        <v>0</v>
      </c>
      <c r="I2173" s="6">
        <v>0</v>
      </c>
      <c r="J2173" s="6">
        <v>0</v>
      </c>
    </row>
    <row r="2174" spans="1:10" ht="13" x14ac:dyDescent="0.15">
      <c r="A2174" s="33"/>
      <c r="B2174" s="33"/>
      <c r="H2174" s="6">
        <v>0</v>
      </c>
      <c r="I2174" s="6">
        <v>0</v>
      </c>
      <c r="J2174" s="6">
        <v>0</v>
      </c>
    </row>
    <row r="2175" spans="1:10" ht="13" x14ac:dyDescent="0.15">
      <c r="A2175" s="33"/>
      <c r="B2175" s="33"/>
      <c r="H2175" s="6">
        <v>0</v>
      </c>
      <c r="I2175" s="6">
        <v>0</v>
      </c>
      <c r="J2175" s="6">
        <v>0</v>
      </c>
    </row>
    <row r="2176" spans="1:10" ht="13" x14ac:dyDescent="0.15">
      <c r="A2176" s="33"/>
      <c r="B2176" s="33"/>
      <c r="H2176" s="6">
        <v>0</v>
      </c>
      <c r="I2176" s="6">
        <v>0</v>
      </c>
      <c r="J2176" s="6">
        <v>0</v>
      </c>
    </row>
    <row r="2177" spans="1:10" ht="13" x14ac:dyDescent="0.15">
      <c r="A2177" s="33"/>
      <c r="B2177" s="33"/>
      <c r="H2177" s="6">
        <v>0</v>
      </c>
      <c r="I2177" s="6">
        <v>0</v>
      </c>
      <c r="J2177" s="6">
        <v>0</v>
      </c>
    </row>
    <row r="2178" spans="1:10" ht="13" x14ac:dyDescent="0.15">
      <c r="A2178" s="33"/>
      <c r="B2178" s="33"/>
      <c r="H2178" s="6">
        <v>0</v>
      </c>
      <c r="I2178" s="6">
        <v>0</v>
      </c>
      <c r="J2178" s="6">
        <v>0</v>
      </c>
    </row>
    <row r="2179" spans="1:10" ht="13" x14ac:dyDescent="0.15">
      <c r="A2179" s="33"/>
      <c r="B2179" s="33"/>
      <c r="H2179" s="6">
        <v>0</v>
      </c>
      <c r="I2179" s="6">
        <v>0</v>
      </c>
      <c r="J2179" s="6">
        <v>0</v>
      </c>
    </row>
    <row r="2180" spans="1:10" ht="13" x14ac:dyDescent="0.15">
      <c r="A2180" s="33"/>
      <c r="B2180" s="33"/>
      <c r="H2180" s="6">
        <v>0</v>
      </c>
      <c r="I2180" s="6">
        <v>0</v>
      </c>
      <c r="J2180" s="6">
        <v>0</v>
      </c>
    </row>
    <row r="2181" spans="1:10" ht="13" x14ac:dyDescent="0.15">
      <c r="A2181" s="33"/>
      <c r="B2181" s="33"/>
      <c r="H2181" s="6">
        <v>0</v>
      </c>
      <c r="I2181" s="6">
        <v>0</v>
      </c>
      <c r="J2181" s="6">
        <v>0</v>
      </c>
    </row>
    <row r="2182" spans="1:10" ht="13" x14ac:dyDescent="0.15">
      <c r="A2182" s="33"/>
      <c r="B2182" s="33"/>
      <c r="H2182" s="6">
        <v>0</v>
      </c>
      <c r="I2182" s="6">
        <v>0</v>
      </c>
      <c r="J2182" s="6">
        <v>0</v>
      </c>
    </row>
    <row r="2183" spans="1:10" ht="13" x14ac:dyDescent="0.15">
      <c r="A2183" s="33"/>
      <c r="B2183" s="33"/>
      <c r="H2183" s="6">
        <v>0</v>
      </c>
      <c r="I2183" s="6">
        <v>0</v>
      </c>
      <c r="J2183" s="6">
        <v>0</v>
      </c>
    </row>
    <row r="2184" spans="1:10" ht="13" x14ac:dyDescent="0.15">
      <c r="A2184" s="33"/>
      <c r="B2184" s="33"/>
      <c r="H2184" s="6">
        <v>0</v>
      </c>
      <c r="I2184" s="6">
        <v>0</v>
      </c>
      <c r="J2184" s="6">
        <v>0</v>
      </c>
    </row>
    <row r="2185" spans="1:10" ht="13" x14ac:dyDescent="0.15">
      <c r="A2185" s="33"/>
      <c r="B2185" s="33"/>
      <c r="H2185" s="6">
        <v>0</v>
      </c>
      <c r="I2185" s="6">
        <v>0</v>
      </c>
      <c r="J2185" s="6">
        <v>0</v>
      </c>
    </row>
    <row r="2186" spans="1:10" ht="13" x14ac:dyDescent="0.15">
      <c r="A2186" s="33"/>
      <c r="B2186" s="33"/>
      <c r="H2186" s="6">
        <v>0</v>
      </c>
      <c r="I2186" s="6">
        <v>0</v>
      </c>
      <c r="J2186" s="6">
        <v>0</v>
      </c>
    </row>
    <row r="2187" spans="1:10" ht="13" x14ac:dyDescent="0.15">
      <c r="A2187" s="33"/>
      <c r="B2187" s="33"/>
      <c r="H2187" s="6">
        <v>0</v>
      </c>
      <c r="I2187" s="6">
        <v>0</v>
      </c>
      <c r="J2187" s="6">
        <v>0</v>
      </c>
    </row>
    <row r="2188" spans="1:10" ht="13" x14ac:dyDescent="0.15">
      <c r="A2188" s="33"/>
      <c r="B2188" s="33"/>
      <c r="H2188" s="6">
        <v>0</v>
      </c>
      <c r="I2188" s="6">
        <v>0</v>
      </c>
      <c r="J2188" s="6">
        <v>0</v>
      </c>
    </row>
    <row r="2189" spans="1:10" ht="13" x14ac:dyDescent="0.15">
      <c r="A2189" s="33"/>
      <c r="B2189" s="33"/>
      <c r="H2189" s="6">
        <v>0</v>
      </c>
      <c r="I2189" s="6">
        <v>0</v>
      </c>
      <c r="J2189" s="6">
        <v>0</v>
      </c>
    </row>
    <row r="2190" spans="1:10" ht="13" x14ac:dyDescent="0.15">
      <c r="A2190" s="33"/>
      <c r="B2190" s="33"/>
      <c r="H2190" s="6">
        <v>0</v>
      </c>
      <c r="I2190" s="6">
        <v>0</v>
      </c>
      <c r="J2190" s="6">
        <v>0</v>
      </c>
    </row>
    <row r="2191" spans="1:10" ht="13" x14ac:dyDescent="0.15">
      <c r="A2191" s="33"/>
      <c r="B2191" s="33"/>
      <c r="H2191" s="6">
        <v>0</v>
      </c>
      <c r="I2191" s="6">
        <v>0</v>
      </c>
      <c r="J2191" s="6">
        <v>0</v>
      </c>
    </row>
    <row r="2192" spans="1:10" ht="13" x14ac:dyDescent="0.15">
      <c r="A2192" s="33"/>
      <c r="B2192" s="33"/>
      <c r="H2192" s="6">
        <v>0</v>
      </c>
      <c r="I2192" s="6">
        <v>0</v>
      </c>
      <c r="J2192" s="6">
        <v>0</v>
      </c>
    </row>
    <row r="2193" spans="1:10" ht="13" x14ac:dyDescent="0.15">
      <c r="A2193" s="33"/>
      <c r="B2193" s="33"/>
      <c r="H2193" s="6">
        <v>0</v>
      </c>
      <c r="I2193" s="6">
        <v>0</v>
      </c>
      <c r="J2193" s="6">
        <v>0</v>
      </c>
    </row>
    <row r="2194" spans="1:10" ht="13" x14ac:dyDescent="0.15">
      <c r="A2194" s="33"/>
      <c r="B2194" s="33"/>
      <c r="H2194" s="6">
        <v>0</v>
      </c>
      <c r="I2194" s="6">
        <v>0</v>
      </c>
      <c r="J2194" s="6">
        <v>0</v>
      </c>
    </row>
    <row r="2195" spans="1:10" ht="13" x14ac:dyDescent="0.15">
      <c r="A2195" s="33"/>
      <c r="B2195" s="33"/>
      <c r="H2195" s="6">
        <v>0</v>
      </c>
      <c r="I2195" s="6">
        <v>0</v>
      </c>
      <c r="J2195" s="6">
        <v>0</v>
      </c>
    </row>
    <row r="2196" spans="1:10" ht="13" x14ac:dyDescent="0.15">
      <c r="A2196" s="33"/>
      <c r="B2196" s="33"/>
      <c r="H2196" s="6">
        <v>0</v>
      </c>
      <c r="I2196" s="6">
        <v>0</v>
      </c>
      <c r="J2196" s="6">
        <v>0</v>
      </c>
    </row>
    <row r="2197" spans="1:10" ht="13" x14ac:dyDescent="0.15">
      <c r="A2197" s="33"/>
      <c r="B2197" s="33"/>
      <c r="H2197" s="6">
        <v>0</v>
      </c>
      <c r="I2197" s="6">
        <v>0</v>
      </c>
      <c r="J2197" s="6">
        <v>0</v>
      </c>
    </row>
    <row r="2198" spans="1:10" ht="13" x14ac:dyDescent="0.15">
      <c r="A2198" s="33"/>
      <c r="B2198" s="33"/>
      <c r="H2198" s="6">
        <v>0</v>
      </c>
      <c r="I2198" s="6">
        <v>0</v>
      </c>
      <c r="J2198" s="6">
        <v>0</v>
      </c>
    </row>
    <row r="2199" spans="1:10" ht="13" x14ac:dyDescent="0.15">
      <c r="A2199" s="33"/>
      <c r="B2199" s="33"/>
      <c r="H2199" s="6">
        <v>0</v>
      </c>
      <c r="I2199" s="6">
        <v>0</v>
      </c>
      <c r="J2199" s="6">
        <v>0</v>
      </c>
    </row>
    <row r="2200" spans="1:10" ht="13" x14ac:dyDescent="0.15">
      <c r="A2200" s="33"/>
      <c r="B2200" s="33"/>
      <c r="H2200" s="6">
        <v>0</v>
      </c>
      <c r="I2200" s="6">
        <v>0</v>
      </c>
      <c r="J2200" s="6">
        <v>0</v>
      </c>
    </row>
    <row r="2201" spans="1:10" ht="13" x14ac:dyDescent="0.15">
      <c r="A2201" s="33"/>
      <c r="B2201" s="33"/>
      <c r="H2201" s="6">
        <v>0</v>
      </c>
      <c r="I2201" s="6">
        <v>0</v>
      </c>
      <c r="J2201" s="6">
        <v>0</v>
      </c>
    </row>
    <row r="2202" spans="1:10" ht="13" x14ac:dyDescent="0.15">
      <c r="A2202" s="33"/>
      <c r="B2202" s="33"/>
      <c r="H2202" s="6">
        <v>0</v>
      </c>
      <c r="I2202" s="6">
        <v>0</v>
      </c>
      <c r="J2202" s="6">
        <v>0</v>
      </c>
    </row>
    <row r="2203" spans="1:10" ht="13" x14ac:dyDescent="0.15">
      <c r="A2203" s="33"/>
      <c r="B2203" s="33"/>
      <c r="H2203" s="6">
        <v>0</v>
      </c>
      <c r="I2203" s="6">
        <v>0</v>
      </c>
      <c r="J2203" s="6">
        <v>0</v>
      </c>
    </row>
    <row r="2204" spans="1:10" ht="13" x14ac:dyDescent="0.15">
      <c r="A2204" s="33"/>
      <c r="B2204" s="33"/>
      <c r="H2204" s="6">
        <v>0</v>
      </c>
      <c r="I2204" s="6">
        <v>0</v>
      </c>
      <c r="J2204" s="6">
        <v>0</v>
      </c>
    </row>
    <row r="2205" spans="1:10" ht="13" x14ac:dyDescent="0.15">
      <c r="A2205" s="33"/>
      <c r="B2205" s="33"/>
      <c r="H2205" s="6">
        <v>0</v>
      </c>
      <c r="I2205" s="6">
        <v>0</v>
      </c>
      <c r="J2205" s="6">
        <v>0</v>
      </c>
    </row>
    <row r="2206" spans="1:10" ht="13" x14ac:dyDescent="0.15">
      <c r="A2206" s="33"/>
      <c r="B2206" s="33"/>
      <c r="H2206" s="6">
        <v>0</v>
      </c>
      <c r="I2206" s="6">
        <v>0</v>
      </c>
      <c r="J2206" s="6">
        <v>0</v>
      </c>
    </row>
    <row r="2207" spans="1:10" ht="13" x14ac:dyDescent="0.15">
      <c r="A2207" s="33"/>
      <c r="B2207" s="33"/>
      <c r="H2207" s="6">
        <v>0</v>
      </c>
      <c r="I2207" s="6">
        <v>0</v>
      </c>
      <c r="J2207" s="6">
        <v>0</v>
      </c>
    </row>
    <row r="2208" spans="1:10" ht="13" x14ac:dyDescent="0.15">
      <c r="A2208" s="33"/>
      <c r="B2208" s="33"/>
      <c r="H2208" s="6">
        <v>0</v>
      </c>
      <c r="I2208" s="6">
        <v>0</v>
      </c>
      <c r="J2208" s="6">
        <v>0</v>
      </c>
    </row>
    <row r="2209" spans="1:10" ht="13" x14ac:dyDescent="0.15">
      <c r="A2209" s="33"/>
      <c r="B2209" s="33"/>
      <c r="H2209" s="6">
        <v>0</v>
      </c>
      <c r="I2209" s="6">
        <v>0</v>
      </c>
      <c r="J2209" s="6">
        <v>0</v>
      </c>
    </row>
    <row r="2210" spans="1:10" ht="13" x14ac:dyDescent="0.15">
      <c r="A2210" s="33"/>
      <c r="B2210" s="33"/>
      <c r="H2210" s="6">
        <v>0</v>
      </c>
      <c r="I2210" s="6">
        <v>0</v>
      </c>
      <c r="J2210" s="6">
        <v>0</v>
      </c>
    </row>
    <row r="2211" spans="1:10" ht="13" x14ac:dyDescent="0.15">
      <c r="A2211" s="33"/>
      <c r="B2211" s="33"/>
      <c r="H2211" s="6">
        <v>0</v>
      </c>
      <c r="I2211" s="6">
        <v>0</v>
      </c>
      <c r="J2211" s="6">
        <v>0</v>
      </c>
    </row>
    <row r="2212" spans="1:10" ht="13" x14ac:dyDescent="0.15">
      <c r="A2212" s="33"/>
      <c r="B2212" s="33"/>
      <c r="H2212" s="6">
        <v>0</v>
      </c>
      <c r="I2212" s="6">
        <v>0</v>
      </c>
      <c r="J2212" s="6">
        <v>0</v>
      </c>
    </row>
    <row r="2213" spans="1:10" ht="13" x14ac:dyDescent="0.15">
      <c r="A2213" s="33"/>
      <c r="B2213" s="33"/>
      <c r="H2213" s="6">
        <v>0</v>
      </c>
      <c r="I2213" s="6">
        <v>0</v>
      </c>
      <c r="J2213" s="6">
        <v>0</v>
      </c>
    </row>
    <row r="2214" spans="1:10" ht="13" x14ac:dyDescent="0.15">
      <c r="A2214" s="33"/>
      <c r="B2214" s="33"/>
      <c r="H2214" s="6">
        <v>0</v>
      </c>
      <c r="I2214" s="6">
        <v>0</v>
      </c>
      <c r="J2214" s="6">
        <v>0</v>
      </c>
    </row>
    <row r="2215" spans="1:10" ht="13" x14ac:dyDescent="0.15">
      <c r="A2215" s="33"/>
      <c r="B2215" s="33"/>
      <c r="H2215" s="6">
        <v>0</v>
      </c>
      <c r="I2215" s="6">
        <v>0</v>
      </c>
      <c r="J2215" s="6">
        <v>0</v>
      </c>
    </row>
    <row r="2216" spans="1:10" ht="13" x14ac:dyDescent="0.15">
      <c r="A2216" s="33"/>
      <c r="B2216" s="33"/>
      <c r="H2216" s="6">
        <v>0</v>
      </c>
      <c r="I2216" s="6">
        <v>0</v>
      </c>
      <c r="J2216" s="6">
        <v>0</v>
      </c>
    </row>
    <row r="2217" spans="1:10" ht="13" x14ac:dyDescent="0.15">
      <c r="A2217" s="33"/>
      <c r="B2217" s="33"/>
      <c r="H2217" s="6">
        <v>0</v>
      </c>
      <c r="I2217" s="6">
        <v>0</v>
      </c>
      <c r="J2217" s="6">
        <v>0</v>
      </c>
    </row>
    <row r="2218" spans="1:10" ht="13" x14ac:dyDescent="0.15">
      <c r="A2218" s="33"/>
      <c r="B2218" s="33"/>
      <c r="H2218" s="6">
        <v>0</v>
      </c>
      <c r="I2218" s="6">
        <v>0</v>
      </c>
      <c r="J2218" s="6">
        <v>0</v>
      </c>
    </row>
    <row r="2219" spans="1:10" ht="13" x14ac:dyDescent="0.15">
      <c r="A2219" s="33"/>
      <c r="B2219" s="33"/>
      <c r="H2219" s="6">
        <v>0</v>
      </c>
      <c r="I2219" s="6">
        <v>0</v>
      </c>
      <c r="J2219" s="6">
        <v>0</v>
      </c>
    </row>
    <row r="2220" spans="1:10" ht="13" x14ac:dyDescent="0.15">
      <c r="A2220" s="33"/>
      <c r="B2220" s="33"/>
      <c r="H2220" s="6">
        <v>0</v>
      </c>
      <c r="I2220" s="6">
        <v>0</v>
      </c>
      <c r="J2220" s="6">
        <v>0</v>
      </c>
    </row>
    <row r="2221" spans="1:10" ht="13" x14ac:dyDescent="0.15">
      <c r="A2221" s="33"/>
      <c r="B2221" s="33"/>
      <c r="H2221" s="6">
        <v>0</v>
      </c>
      <c r="I2221" s="6">
        <v>0</v>
      </c>
      <c r="J2221" s="6">
        <v>0</v>
      </c>
    </row>
    <row r="2222" spans="1:10" ht="13" x14ac:dyDescent="0.15">
      <c r="A2222" s="33"/>
      <c r="B2222" s="33"/>
      <c r="H2222" s="6">
        <v>0</v>
      </c>
      <c r="I2222" s="6">
        <v>0</v>
      </c>
      <c r="J2222" s="6">
        <v>0</v>
      </c>
    </row>
    <row r="2223" spans="1:10" ht="13" x14ac:dyDescent="0.15">
      <c r="A2223" s="33"/>
      <c r="B2223" s="33"/>
      <c r="H2223" s="6">
        <v>0</v>
      </c>
      <c r="I2223" s="6">
        <v>0</v>
      </c>
      <c r="J2223" s="6">
        <v>0</v>
      </c>
    </row>
    <row r="2224" spans="1:10" ht="13" x14ac:dyDescent="0.15">
      <c r="A2224" s="33"/>
      <c r="B2224" s="33"/>
      <c r="H2224" s="6">
        <v>0</v>
      </c>
      <c r="I2224" s="6">
        <v>0</v>
      </c>
      <c r="J2224" s="6">
        <v>0</v>
      </c>
    </row>
    <row r="2225" spans="1:10" ht="13" x14ac:dyDescent="0.15">
      <c r="A2225" s="33"/>
      <c r="B2225" s="33"/>
      <c r="H2225" s="6">
        <v>0</v>
      </c>
      <c r="I2225" s="6">
        <v>0</v>
      </c>
      <c r="J2225" s="6">
        <v>0</v>
      </c>
    </row>
    <row r="2226" spans="1:10" ht="13" x14ac:dyDescent="0.15">
      <c r="A2226" s="33"/>
      <c r="B2226" s="33"/>
      <c r="H2226" s="6">
        <v>0</v>
      </c>
      <c r="I2226" s="6">
        <v>0</v>
      </c>
      <c r="J2226" s="6">
        <v>0</v>
      </c>
    </row>
    <row r="2227" spans="1:10" ht="13" x14ac:dyDescent="0.15">
      <c r="A2227" s="33"/>
      <c r="B2227" s="33"/>
      <c r="H2227" s="6">
        <v>0</v>
      </c>
      <c r="I2227" s="6">
        <v>0</v>
      </c>
      <c r="J2227" s="6">
        <v>0</v>
      </c>
    </row>
    <row r="2228" spans="1:10" ht="13" x14ac:dyDescent="0.15">
      <c r="A2228" s="33"/>
      <c r="B2228" s="33"/>
      <c r="H2228" s="6">
        <v>0</v>
      </c>
      <c r="I2228" s="6">
        <v>0</v>
      </c>
      <c r="J2228" s="6">
        <v>0</v>
      </c>
    </row>
    <row r="2229" spans="1:10" ht="13" x14ac:dyDescent="0.15">
      <c r="A2229" s="33"/>
      <c r="B2229" s="33"/>
      <c r="H2229" s="6">
        <v>0</v>
      </c>
      <c r="I2229" s="6">
        <v>0</v>
      </c>
      <c r="J2229" s="6">
        <v>0</v>
      </c>
    </row>
    <row r="2230" spans="1:10" ht="13" x14ac:dyDescent="0.15">
      <c r="A2230" s="33"/>
      <c r="B2230" s="33"/>
      <c r="H2230" s="6">
        <v>0</v>
      </c>
      <c r="I2230" s="6">
        <v>0</v>
      </c>
      <c r="J2230" s="6">
        <v>0</v>
      </c>
    </row>
    <row r="2231" spans="1:10" ht="13" x14ac:dyDescent="0.15">
      <c r="A2231" s="33"/>
      <c r="B2231" s="33"/>
      <c r="H2231" s="6">
        <v>0</v>
      </c>
      <c r="I2231" s="6">
        <v>0</v>
      </c>
      <c r="J2231" s="6">
        <v>0</v>
      </c>
    </row>
    <row r="2232" spans="1:10" ht="13" x14ac:dyDescent="0.15">
      <c r="A2232" s="33"/>
      <c r="B2232" s="33"/>
      <c r="H2232" s="6">
        <v>0</v>
      </c>
      <c r="I2232" s="6">
        <v>0</v>
      </c>
      <c r="J2232" s="6">
        <v>0</v>
      </c>
    </row>
    <row r="2233" spans="1:10" ht="13" x14ac:dyDescent="0.15">
      <c r="A2233" s="33"/>
      <c r="B2233" s="33"/>
      <c r="H2233" s="6">
        <v>0</v>
      </c>
      <c r="I2233" s="6">
        <v>0</v>
      </c>
      <c r="J2233" s="6">
        <v>0</v>
      </c>
    </row>
    <row r="2234" spans="1:10" ht="13" x14ac:dyDescent="0.15">
      <c r="A2234" s="33"/>
      <c r="B2234" s="33"/>
      <c r="H2234" s="6">
        <v>0</v>
      </c>
      <c r="I2234" s="6">
        <v>0</v>
      </c>
      <c r="J2234" s="6">
        <v>0</v>
      </c>
    </row>
    <row r="2235" spans="1:10" ht="13" x14ac:dyDescent="0.15">
      <c r="A2235" s="33"/>
      <c r="B2235" s="33"/>
      <c r="H2235" s="6">
        <v>0</v>
      </c>
      <c r="I2235" s="6">
        <v>0</v>
      </c>
      <c r="J2235" s="6">
        <v>0</v>
      </c>
    </row>
    <row r="2236" spans="1:10" ht="13" x14ac:dyDescent="0.15">
      <c r="A2236" s="33"/>
      <c r="B2236" s="33"/>
      <c r="H2236" s="6">
        <v>0</v>
      </c>
      <c r="I2236" s="6">
        <v>0</v>
      </c>
      <c r="J2236" s="6">
        <v>0</v>
      </c>
    </row>
    <row r="2237" spans="1:10" ht="13" x14ac:dyDescent="0.15">
      <c r="A2237" s="33"/>
      <c r="B2237" s="33"/>
      <c r="H2237" s="6">
        <v>0</v>
      </c>
      <c r="I2237" s="6">
        <v>0</v>
      </c>
      <c r="J2237" s="6">
        <v>0</v>
      </c>
    </row>
    <row r="2238" spans="1:10" ht="13" x14ac:dyDescent="0.15">
      <c r="A2238" s="33"/>
      <c r="B2238" s="33"/>
      <c r="H2238" s="6">
        <v>0</v>
      </c>
      <c r="I2238" s="6">
        <v>0</v>
      </c>
      <c r="J2238" s="6">
        <v>0</v>
      </c>
    </row>
    <row r="2239" spans="1:10" ht="13" x14ac:dyDescent="0.15">
      <c r="A2239" s="33"/>
      <c r="B2239" s="33"/>
      <c r="H2239" s="6">
        <v>0</v>
      </c>
      <c r="I2239" s="6">
        <v>0</v>
      </c>
      <c r="J2239" s="6">
        <v>0</v>
      </c>
    </row>
    <row r="2240" spans="1:10" ht="13" x14ac:dyDescent="0.15">
      <c r="A2240" s="33"/>
      <c r="B2240" s="33"/>
      <c r="H2240" s="6">
        <v>0</v>
      </c>
      <c r="I2240" s="6">
        <v>0</v>
      </c>
      <c r="J2240" s="6">
        <v>0</v>
      </c>
    </row>
    <row r="2241" spans="1:10" ht="13" x14ac:dyDescent="0.15">
      <c r="A2241" s="33"/>
      <c r="B2241" s="33"/>
      <c r="H2241" s="6">
        <v>0</v>
      </c>
      <c r="I2241" s="6">
        <v>0</v>
      </c>
      <c r="J2241" s="6">
        <v>0</v>
      </c>
    </row>
    <row r="2242" spans="1:10" ht="13" x14ac:dyDescent="0.15">
      <c r="A2242" s="33"/>
      <c r="B2242" s="33"/>
      <c r="H2242" s="6">
        <v>0</v>
      </c>
      <c r="I2242" s="6">
        <v>0</v>
      </c>
      <c r="J2242" s="6">
        <v>0</v>
      </c>
    </row>
    <row r="2243" spans="1:10" ht="13" x14ac:dyDescent="0.15">
      <c r="A2243" s="33"/>
      <c r="B2243" s="33"/>
      <c r="H2243" s="6">
        <v>0</v>
      </c>
      <c r="I2243" s="6">
        <v>0</v>
      </c>
      <c r="J2243" s="6">
        <v>0</v>
      </c>
    </row>
    <row r="2244" spans="1:10" ht="13" x14ac:dyDescent="0.15">
      <c r="A2244" s="33"/>
      <c r="B2244" s="33"/>
      <c r="H2244" s="6">
        <v>0</v>
      </c>
      <c r="I2244" s="6">
        <v>0</v>
      </c>
      <c r="J2244" s="6">
        <v>0</v>
      </c>
    </row>
    <row r="2245" spans="1:10" ht="13" x14ac:dyDescent="0.15">
      <c r="A2245" s="33"/>
      <c r="B2245" s="33"/>
      <c r="H2245" s="6">
        <v>0</v>
      </c>
      <c r="I2245" s="6">
        <v>0</v>
      </c>
      <c r="J2245" s="6">
        <v>0</v>
      </c>
    </row>
    <row r="2246" spans="1:10" ht="13" x14ac:dyDescent="0.15">
      <c r="A2246" s="33"/>
      <c r="B2246" s="33"/>
      <c r="H2246" s="6">
        <v>0</v>
      </c>
      <c r="I2246" s="6">
        <v>0</v>
      </c>
      <c r="J2246" s="6">
        <v>0</v>
      </c>
    </row>
    <row r="2247" spans="1:10" ht="13" x14ac:dyDescent="0.15">
      <c r="A2247" s="33"/>
      <c r="B2247" s="33"/>
      <c r="H2247" s="6">
        <v>0</v>
      </c>
      <c r="I2247" s="6">
        <v>0</v>
      </c>
      <c r="J2247" s="6">
        <v>0</v>
      </c>
    </row>
    <row r="2248" spans="1:10" ht="13" x14ac:dyDescent="0.15">
      <c r="A2248" s="33"/>
      <c r="B2248" s="33"/>
      <c r="H2248" s="6">
        <v>0</v>
      </c>
      <c r="I2248" s="6">
        <v>0</v>
      </c>
      <c r="J2248" s="6">
        <v>0</v>
      </c>
    </row>
    <row r="2249" spans="1:10" ht="13" x14ac:dyDescent="0.15">
      <c r="A2249" s="33"/>
      <c r="B2249" s="33"/>
      <c r="H2249" s="6">
        <v>0</v>
      </c>
      <c r="I2249" s="6">
        <v>0</v>
      </c>
      <c r="J2249" s="6">
        <v>0</v>
      </c>
    </row>
    <row r="2250" spans="1:10" ht="13" x14ac:dyDescent="0.15">
      <c r="A2250" s="33"/>
      <c r="B2250" s="33"/>
      <c r="H2250" s="6">
        <v>0</v>
      </c>
      <c r="I2250" s="6">
        <v>0</v>
      </c>
      <c r="J2250" s="6">
        <v>0</v>
      </c>
    </row>
    <row r="2251" spans="1:10" ht="13" x14ac:dyDescent="0.15">
      <c r="A2251" s="33"/>
      <c r="B2251" s="33"/>
      <c r="H2251" s="6">
        <v>0</v>
      </c>
      <c r="I2251" s="6">
        <v>0</v>
      </c>
      <c r="J2251" s="6">
        <v>0</v>
      </c>
    </row>
    <row r="2252" spans="1:10" ht="13" x14ac:dyDescent="0.15">
      <c r="A2252" s="33"/>
      <c r="B2252" s="33"/>
      <c r="H2252" s="6">
        <v>0</v>
      </c>
      <c r="I2252" s="6">
        <v>0</v>
      </c>
      <c r="J2252" s="6">
        <v>0</v>
      </c>
    </row>
    <row r="2253" spans="1:10" ht="13" x14ac:dyDescent="0.15">
      <c r="A2253" s="33"/>
      <c r="B2253" s="33"/>
      <c r="H2253" s="6">
        <v>0</v>
      </c>
      <c r="I2253" s="6">
        <v>0</v>
      </c>
      <c r="J2253" s="6">
        <v>0</v>
      </c>
    </row>
    <row r="2254" spans="1:10" ht="13" x14ac:dyDescent="0.15">
      <c r="A2254" s="33"/>
      <c r="B2254" s="33"/>
      <c r="H2254" s="6">
        <v>0</v>
      </c>
      <c r="I2254" s="6">
        <v>0</v>
      </c>
      <c r="J2254" s="6">
        <v>0</v>
      </c>
    </row>
    <row r="2255" spans="1:10" ht="13" x14ac:dyDescent="0.15">
      <c r="A2255" s="33"/>
      <c r="B2255" s="33"/>
      <c r="H2255" s="6">
        <v>0</v>
      </c>
      <c r="I2255" s="6">
        <v>0</v>
      </c>
      <c r="J2255" s="6">
        <v>0</v>
      </c>
    </row>
    <row r="2256" spans="1:10" ht="13" x14ac:dyDescent="0.15">
      <c r="A2256" s="33"/>
      <c r="B2256" s="33"/>
      <c r="H2256" s="6">
        <v>0</v>
      </c>
      <c r="I2256" s="6">
        <v>0</v>
      </c>
      <c r="J2256" s="6">
        <v>0</v>
      </c>
    </row>
    <row r="2257" spans="1:10" ht="13" x14ac:dyDescent="0.15">
      <c r="A2257" s="33"/>
      <c r="B2257" s="33"/>
      <c r="H2257" s="6">
        <v>0</v>
      </c>
      <c r="I2257" s="6">
        <v>0</v>
      </c>
      <c r="J2257" s="6">
        <v>0</v>
      </c>
    </row>
    <row r="2258" spans="1:10" ht="13" x14ac:dyDescent="0.15">
      <c r="A2258" s="33"/>
      <c r="B2258" s="33"/>
      <c r="H2258" s="6">
        <v>0</v>
      </c>
      <c r="I2258" s="6">
        <v>0</v>
      </c>
      <c r="J2258" s="6">
        <v>0</v>
      </c>
    </row>
    <row r="2259" spans="1:10" ht="13" x14ac:dyDescent="0.15">
      <c r="A2259" s="33"/>
      <c r="B2259" s="33"/>
      <c r="H2259" s="6">
        <v>0</v>
      </c>
      <c r="I2259" s="6">
        <v>0</v>
      </c>
      <c r="J2259" s="6">
        <v>0</v>
      </c>
    </row>
    <row r="2260" spans="1:10" ht="13" x14ac:dyDescent="0.15">
      <c r="A2260" s="33"/>
      <c r="B2260" s="33"/>
      <c r="H2260" s="6">
        <v>0</v>
      </c>
      <c r="I2260" s="6">
        <v>0</v>
      </c>
      <c r="J2260" s="6">
        <v>0</v>
      </c>
    </row>
    <row r="2261" spans="1:10" ht="13" x14ac:dyDescent="0.15">
      <c r="A2261" s="33"/>
      <c r="B2261" s="33"/>
      <c r="H2261" s="6">
        <v>0</v>
      </c>
      <c r="I2261" s="6">
        <v>0</v>
      </c>
      <c r="J2261" s="6">
        <v>0</v>
      </c>
    </row>
    <row r="2262" spans="1:10" ht="13" x14ac:dyDescent="0.15">
      <c r="A2262" s="33"/>
      <c r="B2262" s="33"/>
      <c r="H2262" s="6">
        <v>0</v>
      </c>
      <c r="I2262" s="6">
        <v>0</v>
      </c>
      <c r="J2262" s="6">
        <v>0</v>
      </c>
    </row>
    <row r="2263" spans="1:10" ht="13" x14ac:dyDescent="0.15">
      <c r="A2263" s="33"/>
      <c r="B2263" s="33"/>
      <c r="H2263" s="6">
        <v>0</v>
      </c>
      <c r="I2263" s="6">
        <v>0</v>
      </c>
      <c r="J2263" s="6">
        <v>0</v>
      </c>
    </row>
    <row r="2264" spans="1:10" ht="13" x14ac:dyDescent="0.15">
      <c r="A2264" s="33"/>
      <c r="B2264" s="33"/>
      <c r="H2264" s="6">
        <v>0</v>
      </c>
      <c r="I2264" s="6">
        <v>0</v>
      </c>
      <c r="J2264" s="6">
        <v>0</v>
      </c>
    </row>
    <row r="2265" spans="1:10" ht="13" x14ac:dyDescent="0.15">
      <c r="A2265" s="33"/>
      <c r="B2265" s="33"/>
      <c r="H2265" s="6">
        <v>0</v>
      </c>
      <c r="I2265" s="6">
        <v>0</v>
      </c>
      <c r="J2265" s="6">
        <v>0</v>
      </c>
    </row>
    <row r="2266" spans="1:10" ht="13" x14ac:dyDescent="0.15">
      <c r="A2266" s="33"/>
      <c r="B2266" s="33"/>
      <c r="H2266" s="6">
        <v>0</v>
      </c>
      <c r="I2266" s="6">
        <v>0</v>
      </c>
      <c r="J2266" s="6">
        <v>0</v>
      </c>
    </row>
    <row r="2267" spans="1:10" ht="13" x14ac:dyDescent="0.15">
      <c r="A2267" s="33"/>
      <c r="B2267" s="33"/>
      <c r="H2267" s="6">
        <v>0</v>
      </c>
      <c r="I2267" s="6">
        <v>0</v>
      </c>
      <c r="J2267" s="6">
        <v>0</v>
      </c>
    </row>
    <row r="2268" spans="1:10" ht="13" x14ac:dyDescent="0.15">
      <c r="A2268" s="33"/>
      <c r="B2268" s="33"/>
      <c r="H2268" s="6">
        <v>0</v>
      </c>
      <c r="I2268" s="6">
        <v>0</v>
      </c>
      <c r="J2268" s="6">
        <v>0</v>
      </c>
    </row>
    <row r="2269" spans="1:10" ht="13" x14ac:dyDescent="0.15">
      <c r="A2269" s="33"/>
      <c r="B2269" s="33"/>
      <c r="H2269" s="6">
        <v>0</v>
      </c>
      <c r="I2269" s="6">
        <v>0</v>
      </c>
      <c r="J2269" s="6">
        <v>0</v>
      </c>
    </row>
    <row r="2270" spans="1:10" ht="13" x14ac:dyDescent="0.15">
      <c r="A2270" s="33"/>
      <c r="B2270" s="33"/>
      <c r="H2270" s="6">
        <v>0</v>
      </c>
      <c r="I2270" s="6">
        <v>0</v>
      </c>
      <c r="J2270" s="6">
        <v>0</v>
      </c>
    </row>
    <row r="2271" spans="1:10" ht="13" x14ac:dyDescent="0.15">
      <c r="A2271" s="33"/>
      <c r="B2271" s="33"/>
      <c r="H2271" s="6">
        <v>0</v>
      </c>
      <c r="I2271" s="6">
        <v>0</v>
      </c>
      <c r="J2271" s="6">
        <v>0</v>
      </c>
    </row>
    <row r="2272" spans="1:10" ht="13" x14ac:dyDescent="0.15">
      <c r="A2272" s="33"/>
      <c r="B2272" s="33"/>
      <c r="H2272" s="6">
        <v>0</v>
      </c>
      <c r="I2272" s="6">
        <v>0</v>
      </c>
      <c r="J2272" s="6">
        <v>0</v>
      </c>
    </row>
    <row r="2273" spans="1:10" ht="13" x14ac:dyDescent="0.15">
      <c r="A2273" s="33"/>
      <c r="B2273" s="33"/>
      <c r="H2273" s="6">
        <v>0</v>
      </c>
      <c r="I2273" s="6">
        <v>0</v>
      </c>
      <c r="J2273" s="6">
        <v>0</v>
      </c>
    </row>
    <row r="2274" spans="1:10" ht="13" x14ac:dyDescent="0.15">
      <c r="A2274" s="33"/>
      <c r="B2274" s="33"/>
      <c r="H2274" s="6">
        <v>0</v>
      </c>
      <c r="I2274" s="6">
        <v>0</v>
      </c>
      <c r="J2274" s="6">
        <v>0</v>
      </c>
    </row>
    <row r="2275" spans="1:10" ht="13" x14ac:dyDescent="0.15">
      <c r="A2275" s="33"/>
      <c r="B2275" s="33"/>
      <c r="H2275" s="6">
        <v>0</v>
      </c>
      <c r="I2275" s="6">
        <v>0</v>
      </c>
      <c r="J2275" s="6">
        <v>0</v>
      </c>
    </row>
    <row r="2276" spans="1:10" ht="13" x14ac:dyDescent="0.15">
      <c r="A2276" s="33"/>
      <c r="B2276" s="33"/>
      <c r="H2276" s="6">
        <v>0</v>
      </c>
      <c r="I2276" s="6">
        <v>0</v>
      </c>
      <c r="J2276" s="6">
        <v>0</v>
      </c>
    </row>
    <row r="2277" spans="1:10" ht="13" x14ac:dyDescent="0.15">
      <c r="A2277" s="33"/>
      <c r="B2277" s="33"/>
      <c r="H2277" s="6">
        <v>0</v>
      </c>
      <c r="I2277" s="6">
        <v>0</v>
      </c>
      <c r="J2277" s="6">
        <v>0</v>
      </c>
    </row>
    <row r="2278" spans="1:10" ht="13" x14ac:dyDescent="0.15">
      <c r="A2278" s="33"/>
      <c r="B2278" s="33"/>
      <c r="H2278" s="6">
        <v>0</v>
      </c>
      <c r="I2278" s="6">
        <v>0</v>
      </c>
      <c r="J2278" s="6">
        <v>0</v>
      </c>
    </row>
    <row r="2279" spans="1:10" ht="13" x14ac:dyDescent="0.15">
      <c r="A2279" s="33"/>
      <c r="B2279" s="33"/>
      <c r="H2279" s="6">
        <v>0</v>
      </c>
      <c r="I2279" s="6">
        <v>0</v>
      </c>
      <c r="J2279" s="6">
        <v>0</v>
      </c>
    </row>
    <row r="2280" spans="1:10" ht="13" x14ac:dyDescent="0.15">
      <c r="A2280" s="33"/>
      <c r="B2280" s="33"/>
      <c r="H2280" s="6">
        <v>0</v>
      </c>
      <c r="I2280" s="6">
        <v>0</v>
      </c>
      <c r="J2280" s="6">
        <v>0</v>
      </c>
    </row>
    <row r="2281" spans="1:10" ht="13" x14ac:dyDescent="0.15">
      <c r="A2281" s="33"/>
      <c r="B2281" s="33"/>
      <c r="H2281" s="6">
        <v>0</v>
      </c>
      <c r="I2281" s="6">
        <v>0</v>
      </c>
      <c r="J2281" s="6">
        <v>0</v>
      </c>
    </row>
    <row r="2282" spans="1:10" ht="13" x14ac:dyDescent="0.15">
      <c r="A2282" s="33"/>
      <c r="B2282" s="33"/>
      <c r="H2282" s="6">
        <v>0</v>
      </c>
      <c r="I2282" s="6">
        <v>0</v>
      </c>
      <c r="J2282" s="6">
        <v>0</v>
      </c>
    </row>
    <row r="2283" spans="1:10" ht="13" x14ac:dyDescent="0.15">
      <c r="A2283" s="33"/>
      <c r="B2283" s="33"/>
      <c r="H2283" s="6">
        <v>0</v>
      </c>
      <c r="I2283" s="6">
        <v>0</v>
      </c>
      <c r="J2283" s="6">
        <v>0</v>
      </c>
    </row>
    <row r="2284" spans="1:10" ht="13" x14ac:dyDescent="0.15">
      <c r="A2284" s="33"/>
      <c r="B2284" s="33"/>
      <c r="H2284" s="6">
        <v>0</v>
      </c>
      <c r="I2284" s="6">
        <v>0</v>
      </c>
      <c r="J2284" s="6">
        <v>0</v>
      </c>
    </row>
    <row r="2285" spans="1:10" ht="13" x14ac:dyDescent="0.15">
      <c r="A2285" s="33"/>
      <c r="B2285" s="33"/>
      <c r="H2285" s="6">
        <v>0</v>
      </c>
      <c r="I2285" s="6">
        <v>0</v>
      </c>
      <c r="J2285" s="6">
        <v>0</v>
      </c>
    </row>
    <row r="2286" spans="1:10" ht="13" x14ac:dyDescent="0.15">
      <c r="A2286" s="33"/>
      <c r="B2286" s="33"/>
      <c r="H2286" s="6">
        <v>0</v>
      </c>
      <c r="I2286" s="6">
        <v>0</v>
      </c>
      <c r="J2286" s="6">
        <v>0</v>
      </c>
    </row>
    <row r="2287" spans="1:10" ht="13" x14ac:dyDescent="0.15">
      <c r="A2287" s="33"/>
      <c r="B2287" s="33"/>
      <c r="H2287" s="6">
        <v>0</v>
      </c>
      <c r="I2287" s="6">
        <v>0</v>
      </c>
      <c r="J2287" s="6">
        <v>0</v>
      </c>
    </row>
    <row r="2288" spans="1:10" ht="13" x14ac:dyDescent="0.15">
      <c r="A2288" s="33"/>
      <c r="B2288" s="33"/>
      <c r="H2288" s="6">
        <v>0</v>
      </c>
      <c r="I2288" s="6">
        <v>0</v>
      </c>
      <c r="J2288" s="6">
        <v>0</v>
      </c>
    </row>
    <row r="2289" spans="1:10" ht="13" x14ac:dyDescent="0.15">
      <c r="A2289" s="33"/>
      <c r="B2289" s="33"/>
      <c r="H2289" s="6">
        <v>0</v>
      </c>
      <c r="I2289" s="6">
        <v>0</v>
      </c>
      <c r="J2289" s="6">
        <v>0</v>
      </c>
    </row>
    <row r="2290" spans="1:10" ht="13" x14ac:dyDescent="0.15">
      <c r="A2290" s="33"/>
      <c r="B2290" s="33"/>
      <c r="H2290" s="6">
        <v>0</v>
      </c>
      <c r="I2290" s="6">
        <v>0</v>
      </c>
      <c r="J2290" s="6">
        <v>0</v>
      </c>
    </row>
    <row r="2291" spans="1:10" ht="13" x14ac:dyDescent="0.15">
      <c r="A2291" s="33"/>
      <c r="B2291" s="33"/>
      <c r="H2291" s="6">
        <v>0</v>
      </c>
      <c r="I2291" s="6">
        <v>0</v>
      </c>
      <c r="J2291" s="6">
        <v>0</v>
      </c>
    </row>
    <row r="2292" spans="1:10" ht="13" x14ac:dyDescent="0.15">
      <c r="A2292" s="33"/>
      <c r="B2292" s="33"/>
      <c r="H2292" s="6">
        <v>0</v>
      </c>
      <c r="I2292" s="6">
        <v>0</v>
      </c>
      <c r="J2292" s="6">
        <v>0</v>
      </c>
    </row>
    <row r="2293" spans="1:10" ht="13" x14ac:dyDescent="0.15">
      <c r="A2293" s="33"/>
      <c r="B2293" s="33"/>
      <c r="H2293" s="6">
        <v>0</v>
      </c>
      <c r="I2293" s="6">
        <v>0</v>
      </c>
      <c r="J2293" s="6">
        <v>0</v>
      </c>
    </row>
    <row r="2294" spans="1:10" ht="13" x14ac:dyDescent="0.15">
      <c r="A2294" s="33"/>
      <c r="B2294" s="33"/>
      <c r="H2294" s="6">
        <v>0</v>
      </c>
      <c r="I2294" s="6">
        <v>0</v>
      </c>
      <c r="J2294" s="6">
        <v>0</v>
      </c>
    </row>
    <row r="2295" spans="1:10" ht="13" x14ac:dyDescent="0.15">
      <c r="A2295" s="33"/>
      <c r="B2295" s="33"/>
      <c r="H2295" s="6">
        <v>0</v>
      </c>
      <c r="I2295" s="6">
        <v>0</v>
      </c>
      <c r="J2295" s="6">
        <v>0</v>
      </c>
    </row>
    <row r="2296" spans="1:10" ht="13" x14ac:dyDescent="0.15">
      <c r="A2296" s="33"/>
      <c r="B2296" s="33"/>
      <c r="H2296" s="6">
        <v>0</v>
      </c>
      <c r="I2296" s="6">
        <v>0</v>
      </c>
      <c r="J2296" s="6">
        <v>0</v>
      </c>
    </row>
    <row r="2297" spans="1:10" ht="13" x14ac:dyDescent="0.15">
      <c r="A2297" s="33"/>
      <c r="B2297" s="33"/>
      <c r="H2297" s="6">
        <v>0</v>
      </c>
      <c r="I2297" s="6">
        <v>0</v>
      </c>
      <c r="J2297" s="6">
        <v>0</v>
      </c>
    </row>
    <row r="2298" spans="1:10" ht="13" x14ac:dyDescent="0.15">
      <c r="A2298" s="33"/>
      <c r="B2298" s="33"/>
      <c r="H2298" s="6">
        <v>0</v>
      </c>
      <c r="I2298" s="6">
        <v>0</v>
      </c>
      <c r="J2298" s="6">
        <v>0</v>
      </c>
    </row>
    <row r="2299" spans="1:10" ht="13" x14ac:dyDescent="0.15">
      <c r="A2299" s="33"/>
      <c r="B2299" s="33"/>
      <c r="H2299" s="6">
        <v>0</v>
      </c>
      <c r="I2299" s="6">
        <v>0</v>
      </c>
      <c r="J2299" s="6">
        <v>0</v>
      </c>
    </row>
    <row r="2300" spans="1:10" ht="13" x14ac:dyDescent="0.15">
      <c r="A2300" s="33"/>
      <c r="B2300" s="33"/>
      <c r="H2300" s="6">
        <v>0</v>
      </c>
      <c r="I2300" s="6">
        <v>0</v>
      </c>
      <c r="J2300" s="6">
        <v>0</v>
      </c>
    </row>
    <row r="2301" spans="1:10" ht="13" x14ac:dyDescent="0.15">
      <c r="A2301" s="33"/>
      <c r="B2301" s="33"/>
      <c r="H2301" s="6">
        <v>0</v>
      </c>
      <c r="I2301" s="6">
        <v>0</v>
      </c>
      <c r="J2301" s="6">
        <v>0</v>
      </c>
    </row>
    <row r="2302" spans="1:10" ht="13" x14ac:dyDescent="0.15">
      <c r="A2302" s="33"/>
      <c r="B2302" s="33"/>
      <c r="H2302" s="6">
        <v>0</v>
      </c>
      <c r="I2302" s="6">
        <v>0</v>
      </c>
      <c r="J2302" s="6">
        <v>0</v>
      </c>
    </row>
    <row r="2303" spans="1:10" ht="13" x14ac:dyDescent="0.15">
      <c r="A2303" s="33"/>
      <c r="B2303" s="33"/>
      <c r="H2303" s="6">
        <v>0</v>
      </c>
      <c r="I2303" s="6">
        <v>0</v>
      </c>
      <c r="J2303" s="6">
        <v>0</v>
      </c>
    </row>
    <row r="2304" spans="1:10" ht="13" x14ac:dyDescent="0.15">
      <c r="A2304" s="33"/>
      <c r="B2304" s="33"/>
      <c r="H2304" s="6">
        <v>0</v>
      </c>
      <c r="I2304" s="6">
        <v>0</v>
      </c>
      <c r="J2304" s="6">
        <v>0</v>
      </c>
    </row>
    <row r="2305" spans="1:10" ht="13" x14ac:dyDescent="0.15">
      <c r="A2305" s="33"/>
      <c r="B2305" s="33"/>
      <c r="H2305" s="6">
        <v>0</v>
      </c>
      <c r="I2305" s="6">
        <v>0</v>
      </c>
      <c r="J2305" s="6">
        <v>0</v>
      </c>
    </row>
    <row r="2306" spans="1:10" ht="13" x14ac:dyDescent="0.15">
      <c r="A2306" s="33"/>
      <c r="B2306" s="33"/>
      <c r="H2306" s="6">
        <v>0</v>
      </c>
      <c r="I2306" s="6">
        <v>0</v>
      </c>
      <c r="J2306" s="6">
        <v>0</v>
      </c>
    </row>
    <row r="2307" spans="1:10" ht="13" x14ac:dyDescent="0.15">
      <c r="A2307" s="33"/>
      <c r="B2307" s="33"/>
      <c r="H2307" s="6">
        <v>0</v>
      </c>
      <c r="I2307" s="6">
        <v>0</v>
      </c>
      <c r="J2307" s="6">
        <v>0</v>
      </c>
    </row>
    <row r="2308" spans="1:10" ht="13" x14ac:dyDescent="0.15">
      <c r="A2308" s="33"/>
      <c r="B2308" s="33"/>
      <c r="H2308" s="6">
        <v>0</v>
      </c>
      <c r="I2308" s="6">
        <v>0</v>
      </c>
      <c r="J2308" s="6">
        <v>0</v>
      </c>
    </row>
    <row r="2309" spans="1:10" ht="13" x14ac:dyDescent="0.15">
      <c r="A2309" s="33"/>
      <c r="B2309" s="33"/>
      <c r="H2309" s="6">
        <v>0</v>
      </c>
      <c r="I2309" s="6">
        <v>0</v>
      </c>
      <c r="J2309" s="6">
        <v>0</v>
      </c>
    </row>
    <row r="2310" spans="1:10" ht="13" x14ac:dyDescent="0.15">
      <c r="A2310" s="33"/>
      <c r="B2310" s="33"/>
      <c r="H2310" s="6">
        <v>0</v>
      </c>
      <c r="I2310" s="6">
        <v>0</v>
      </c>
      <c r="J2310" s="6">
        <v>0</v>
      </c>
    </row>
    <row r="2311" spans="1:10" ht="13" x14ac:dyDescent="0.15">
      <c r="A2311" s="33"/>
      <c r="B2311" s="33"/>
      <c r="H2311" s="6">
        <v>0</v>
      </c>
      <c r="I2311" s="6">
        <v>0</v>
      </c>
      <c r="J2311" s="6">
        <v>0</v>
      </c>
    </row>
    <row r="2312" spans="1:10" ht="13" x14ac:dyDescent="0.15">
      <c r="A2312" s="33"/>
      <c r="B2312" s="33"/>
      <c r="H2312" s="6">
        <v>0</v>
      </c>
      <c r="I2312" s="6">
        <v>0</v>
      </c>
      <c r="J2312" s="6">
        <v>0</v>
      </c>
    </row>
    <row r="2313" spans="1:10" ht="13" x14ac:dyDescent="0.15">
      <c r="A2313" s="33"/>
      <c r="B2313" s="33"/>
      <c r="H2313" s="6">
        <v>0</v>
      </c>
      <c r="I2313" s="6">
        <v>0</v>
      </c>
      <c r="J2313" s="6">
        <v>0</v>
      </c>
    </row>
    <row r="2314" spans="1:10" ht="13" x14ac:dyDescent="0.15">
      <c r="A2314" s="33"/>
      <c r="B2314" s="33"/>
      <c r="H2314" s="6">
        <v>0</v>
      </c>
      <c r="I2314" s="6">
        <v>0</v>
      </c>
      <c r="J2314" s="6">
        <v>0</v>
      </c>
    </row>
    <row r="2315" spans="1:10" ht="13" x14ac:dyDescent="0.15">
      <c r="A2315" s="33"/>
      <c r="B2315" s="33"/>
      <c r="H2315" s="6">
        <v>0</v>
      </c>
      <c r="I2315" s="6">
        <v>0</v>
      </c>
      <c r="J2315" s="6">
        <v>0</v>
      </c>
    </row>
    <row r="2316" spans="1:10" ht="13" x14ac:dyDescent="0.15">
      <c r="A2316" s="33"/>
      <c r="B2316" s="33"/>
      <c r="H2316" s="6">
        <v>0</v>
      </c>
      <c r="I2316" s="6">
        <v>0</v>
      </c>
      <c r="J2316" s="6">
        <v>0</v>
      </c>
    </row>
    <row r="2317" spans="1:10" ht="13" x14ac:dyDescent="0.15">
      <c r="A2317" s="33"/>
      <c r="B2317" s="33"/>
      <c r="H2317" s="6">
        <v>0</v>
      </c>
      <c r="I2317" s="6">
        <v>0</v>
      </c>
      <c r="J2317" s="6">
        <v>0</v>
      </c>
    </row>
    <row r="2318" spans="1:10" ht="13" x14ac:dyDescent="0.15">
      <c r="A2318" s="33"/>
      <c r="B2318" s="33"/>
      <c r="H2318" s="6">
        <v>0</v>
      </c>
      <c r="I2318" s="6">
        <v>0</v>
      </c>
      <c r="J2318" s="6">
        <v>0</v>
      </c>
    </row>
    <row r="2319" spans="1:10" ht="13" x14ac:dyDescent="0.15">
      <c r="A2319" s="33"/>
      <c r="B2319" s="33"/>
      <c r="H2319" s="6">
        <v>0</v>
      </c>
      <c r="I2319" s="6">
        <v>0</v>
      </c>
      <c r="J2319" s="6">
        <v>0</v>
      </c>
    </row>
    <row r="2320" spans="1:10" ht="13" x14ac:dyDescent="0.15">
      <c r="A2320" s="33"/>
      <c r="B2320" s="33"/>
      <c r="H2320" s="6">
        <v>0</v>
      </c>
      <c r="I2320" s="6">
        <v>0</v>
      </c>
      <c r="J2320" s="6">
        <v>0</v>
      </c>
    </row>
    <row r="2321" spans="1:10" ht="13" x14ac:dyDescent="0.15">
      <c r="A2321" s="33"/>
      <c r="B2321" s="33"/>
      <c r="H2321" s="6">
        <v>0</v>
      </c>
      <c r="I2321" s="6">
        <v>0</v>
      </c>
      <c r="J2321" s="6">
        <v>0</v>
      </c>
    </row>
    <row r="2322" spans="1:10" ht="13" x14ac:dyDescent="0.15">
      <c r="A2322" s="33"/>
      <c r="B2322" s="33"/>
      <c r="H2322" s="6">
        <v>0</v>
      </c>
      <c r="I2322" s="6">
        <v>0</v>
      </c>
      <c r="J2322" s="6">
        <v>0</v>
      </c>
    </row>
    <row r="2323" spans="1:10" ht="13" x14ac:dyDescent="0.15">
      <c r="A2323" s="33"/>
      <c r="B2323" s="33"/>
      <c r="H2323" s="6">
        <v>0</v>
      </c>
      <c r="I2323" s="6">
        <v>0</v>
      </c>
      <c r="J2323" s="6">
        <v>0</v>
      </c>
    </row>
    <row r="2324" spans="1:10" ht="13" x14ac:dyDescent="0.15">
      <c r="A2324" s="33"/>
      <c r="B2324" s="33"/>
      <c r="H2324" s="6">
        <v>0</v>
      </c>
      <c r="I2324" s="6">
        <v>0</v>
      </c>
      <c r="J2324" s="6">
        <v>0</v>
      </c>
    </row>
    <row r="2325" spans="1:10" ht="13" x14ac:dyDescent="0.15">
      <c r="A2325" s="33"/>
      <c r="B2325" s="33"/>
      <c r="H2325" s="6">
        <v>0</v>
      </c>
      <c r="I2325" s="6">
        <v>0</v>
      </c>
      <c r="J2325" s="6">
        <v>0</v>
      </c>
    </row>
    <row r="2326" spans="1:10" ht="13" x14ac:dyDescent="0.15">
      <c r="A2326" s="33"/>
      <c r="B2326" s="33"/>
      <c r="H2326" s="6">
        <v>0</v>
      </c>
      <c r="I2326" s="6">
        <v>0</v>
      </c>
      <c r="J2326" s="6">
        <v>0</v>
      </c>
    </row>
    <row r="2327" spans="1:10" ht="13" x14ac:dyDescent="0.15">
      <c r="A2327" s="33"/>
      <c r="B2327" s="33"/>
      <c r="H2327" s="6">
        <v>0</v>
      </c>
      <c r="I2327" s="6">
        <v>0</v>
      </c>
      <c r="J2327" s="6">
        <v>0</v>
      </c>
    </row>
    <row r="2328" spans="1:10" ht="13" x14ac:dyDescent="0.15">
      <c r="A2328" s="33"/>
      <c r="B2328" s="33"/>
      <c r="H2328" s="6">
        <v>0</v>
      </c>
      <c r="I2328" s="6">
        <v>0</v>
      </c>
      <c r="J2328" s="6">
        <v>0</v>
      </c>
    </row>
    <row r="2329" spans="1:10" ht="13" x14ac:dyDescent="0.15">
      <c r="A2329" s="33"/>
      <c r="B2329" s="33"/>
      <c r="H2329" s="6">
        <v>0</v>
      </c>
      <c r="I2329" s="6">
        <v>0</v>
      </c>
      <c r="J2329" s="6">
        <v>0</v>
      </c>
    </row>
    <row r="2330" spans="1:10" ht="13" x14ac:dyDescent="0.15">
      <c r="A2330" s="33"/>
      <c r="B2330" s="33"/>
      <c r="H2330" s="6">
        <v>0</v>
      </c>
      <c r="I2330" s="6">
        <v>0</v>
      </c>
      <c r="J2330" s="6">
        <v>0</v>
      </c>
    </row>
    <row r="2331" spans="1:10" ht="13" x14ac:dyDescent="0.15">
      <c r="A2331" s="33"/>
      <c r="B2331" s="33"/>
      <c r="H2331" s="6">
        <v>0</v>
      </c>
      <c r="I2331" s="6">
        <v>0</v>
      </c>
      <c r="J2331" s="6">
        <v>0</v>
      </c>
    </row>
    <row r="2332" spans="1:10" ht="13" x14ac:dyDescent="0.15">
      <c r="A2332" s="33"/>
      <c r="B2332" s="33"/>
      <c r="H2332" s="6">
        <v>0</v>
      </c>
      <c r="I2332" s="6">
        <v>0</v>
      </c>
      <c r="J2332" s="6">
        <v>0</v>
      </c>
    </row>
    <row r="2333" spans="1:10" ht="13" x14ac:dyDescent="0.15">
      <c r="A2333" s="33"/>
      <c r="B2333" s="33"/>
      <c r="H2333" s="6">
        <v>0</v>
      </c>
      <c r="I2333" s="6">
        <v>0</v>
      </c>
      <c r="J2333" s="6">
        <v>0</v>
      </c>
    </row>
    <row r="2334" spans="1:10" ht="13" x14ac:dyDescent="0.15">
      <c r="A2334" s="33"/>
      <c r="B2334" s="33"/>
      <c r="H2334" s="6">
        <v>0</v>
      </c>
      <c r="I2334" s="6">
        <v>0</v>
      </c>
      <c r="J2334" s="6">
        <v>0</v>
      </c>
    </row>
    <row r="2335" spans="1:10" ht="13" x14ac:dyDescent="0.15">
      <c r="A2335" s="33"/>
      <c r="B2335" s="33"/>
      <c r="H2335" s="6">
        <v>0</v>
      </c>
      <c r="I2335" s="6">
        <v>0</v>
      </c>
      <c r="J2335" s="6">
        <v>0</v>
      </c>
    </row>
    <row r="2336" spans="1:10" ht="13" x14ac:dyDescent="0.15">
      <c r="A2336" s="33"/>
      <c r="B2336" s="33"/>
      <c r="H2336" s="6">
        <v>0</v>
      </c>
      <c r="I2336" s="6">
        <v>0</v>
      </c>
      <c r="J2336" s="6">
        <v>0</v>
      </c>
    </row>
    <row r="2337" spans="1:10" ht="13" x14ac:dyDescent="0.15">
      <c r="A2337" s="33"/>
      <c r="B2337" s="33"/>
      <c r="H2337" s="6">
        <v>0</v>
      </c>
      <c r="I2337" s="6">
        <v>0</v>
      </c>
      <c r="J2337" s="6">
        <v>0</v>
      </c>
    </row>
    <row r="2338" spans="1:10" ht="13" x14ac:dyDescent="0.15">
      <c r="A2338" s="33"/>
      <c r="B2338" s="33"/>
      <c r="H2338" s="6">
        <v>0</v>
      </c>
      <c r="I2338" s="6">
        <v>0</v>
      </c>
      <c r="J2338" s="6">
        <v>0</v>
      </c>
    </row>
    <row r="2339" spans="1:10" ht="13" x14ac:dyDescent="0.15">
      <c r="A2339" s="33"/>
      <c r="B2339" s="33"/>
      <c r="H2339" s="6">
        <v>0</v>
      </c>
      <c r="I2339" s="6">
        <v>0</v>
      </c>
      <c r="J2339" s="6">
        <v>0</v>
      </c>
    </row>
    <row r="2340" spans="1:10" ht="13" x14ac:dyDescent="0.15">
      <c r="A2340" s="33"/>
      <c r="B2340" s="33"/>
      <c r="H2340" s="6">
        <v>0</v>
      </c>
      <c r="I2340" s="6">
        <v>0</v>
      </c>
      <c r="J2340" s="6">
        <v>0</v>
      </c>
    </row>
    <row r="2341" spans="1:10" ht="13" x14ac:dyDescent="0.15">
      <c r="A2341" s="33"/>
      <c r="B2341" s="33"/>
      <c r="H2341" s="6">
        <v>0</v>
      </c>
      <c r="I2341" s="6">
        <v>0</v>
      </c>
      <c r="J2341" s="6">
        <v>0</v>
      </c>
    </row>
    <row r="2342" spans="1:10" ht="13" x14ac:dyDescent="0.15">
      <c r="A2342" s="33"/>
      <c r="B2342" s="33"/>
      <c r="H2342" s="6">
        <v>0</v>
      </c>
      <c r="I2342" s="6">
        <v>0</v>
      </c>
      <c r="J2342" s="6">
        <v>0</v>
      </c>
    </row>
    <row r="2343" spans="1:10" ht="13" x14ac:dyDescent="0.15">
      <c r="A2343" s="33"/>
      <c r="B2343" s="33"/>
      <c r="H2343" s="6">
        <v>0</v>
      </c>
      <c r="I2343" s="6">
        <v>0</v>
      </c>
      <c r="J2343" s="6">
        <v>0</v>
      </c>
    </row>
    <row r="2344" spans="1:10" ht="13" x14ac:dyDescent="0.15">
      <c r="A2344" s="33"/>
      <c r="B2344" s="33"/>
      <c r="H2344" s="6">
        <v>0</v>
      </c>
      <c r="I2344" s="6">
        <v>0</v>
      </c>
      <c r="J2344" s="6">
        <v>0</v>
      </c>
    </row>
    <row r="2345" spans="1:10" ht="13" x14ac:dyDescent="0.15">
      <c r="A2345" s="33"/>
      <c r="B2345" s="33"/>
      <c r="H2345" s="6">
        <v>0</v>
      </c>
      <c r="I2345" s="6">
        <v>0</v>
      </c>
      <c r="J2345" s="6">
        <v>0</v>
      </c>
    </row>
    <row r="2346" spans="1:10" ht="13" x14ac:dyDescent="0.15">
      <c r="A2346" s="33"/>
      <c r="B2346" s="33"/>
      <c r="H2346" s="6">
        <v>0</v>
      </c>
      <c r="I2346" s="6">
        <v>0</v>
      </c>
      <c r="J2346" s="6">
        <v>0</v>
      </c>
    </row>
    <row r="2347" spans="1:10" ht="13" x14ac:dyDescent="0.15">
      <c r="A2347" s="33"/>
      <c r="B2347" s="33"/>
      <c r="H2347" s="6">
        <v>0</v>
      </c>
      <c r="I2347" s="6">
        <v>0</v>
      </c>
      <c r="J2347" s="6">
        <v>0</v>
      </c>
    </row>
    <row r="2348" spans="1:10" ht="13" x14ac:dyDescent="0.15">
      <c r="A2348" s="33"/>
      <c r="B2348" s="33"/>
      <c r="H2348" s="6">
        <v>0</v>
      </c>
      <c r="I2348" s="6">
        <v>0</v>
      </c>
      <c r="J2348" s="6">
        <v>0</v>
      </c>
    </row>
    <row r="2349" spans="1:10" ht="13" x14ac:dyDescent="0.15">
      <c r="A2349" s="33"/>
      <c r="B2349" s="33"/>
      <c r="H2349" s="6">
        <v>0</v>
      </c>
      <c r="I2349" s="6">
        <v>0</v>
      </c>
      <c r="J2349" s="6">
        <v>0</v>
      </c>
    </row>
    <row r="2350" spans="1:10" ht="13" x14ac:dyDescent="0.15">
      <c r="A2350" s="33"/>
      <c r="B2350" s="33"/>
      <c r="H2350" s="6">
        <v>0</v>
      </c>
      <c r="I2350" s="6">
        <v>0</v>
      </c>
      <c r="J2350" s="6">
        <v>0</v>
      </c>
    </row>
    <row r="2351" spans="1:10" ht="13" x14ac:dyDescent="0.15">
      <c r="A2351" s="33"/>
      <c r="B2351" s="33"/>
      <c r="H2351" s="6">
        <v>0</v>
      </c>
      <c r="I2351" s="6">
        <v>0</v>
      </c>
      <c r="J2351" s="6">
        <v>0</v>
      </c>
    </row>
    <row r="2352" spans="1:10" ht="13" x14ac:dyDescent="0.15">
      <c r="A2352" s="33"/>
      <c r="B2352" s="33"/>
      <c r="H2352" s="6">
        <v>0</v>
      </c>
      <c r="I2352" s="6">
        <v>0</v>
      </c>
      <c r="J2352" s="6">
        <v>0</v>
      </c>
    </row>
    <row r="2353" spans="1:10" ht="13" x14ac:dyDescent="0.15">
      <c r="A2353" s="33"/>
      <c r="B2353" s="33"/>
      <c r="H2353" s="6">
        <v>0</v>
      </c>
      <c r="I2353" s="6">
        <v>0</v>
      </c>
      <c r="J2353" s="6">
        <v>0</v>
      </c>
    </row>
    <row r="2354" spans="1:10" ht="13" x14ac:dyDescent="0.15">
      <c r="A2354" s="33"/>
      <c r="B2354" s="33"/>
      <c r="H2354" s="6">
        <v>0</v>
      </c>
      <c r="I2354" s="6">
        <v>0</v>
      </c>
      <c r="J2354" s="6">
        <v>0</v>
      </c>
    </row>
    <row r="2355" spans="1:10" ht="13" x14ac:dyDescent="0.15">
      <c r="A2355" s="33"/>
      <c r="B2355" s="33"/>
      <c r="H2355" s="6">
        <v>0</v>
      </c>
      <c r="I2355" s="6">
        <v>0</v>
      </c>
      <c r="J2355" s="6">
        <v>0</v>
      </c>
    </row>
    <row r="2356" spans="1:10" ht="13" x14ac:dyDescent="0.15">
      <c r="A2356" s="33"/>
      <c r="B2356" s="33"/>
      <c r="H2356" s="6">
        <v>0</v>
      </c>
      <c r="I2356" s="6">
        <v>0</v>
      </c>
      <c r="J2356" s="6">
        <v>0</v>
      </c>
    </row>
    <row r="2357" spans="1:10" ht="13" x14ac:dyDescent="0.15">
      <c r="A2357" s="33"/>
      <c r="B2357" s="33"/>
      <c r="H2357" s="6">
        <v>0</v>
      </c>
      <c r="I2357" s="6">
        <v>0</v>
      </c>
      <c r="J2357" s="6">
        <v>0</v>
      </c>
    </row>
    <row r="2358" spans="1:10" ht="13" x14ac:dyDescent="0.15">
      <c r="A2358" s="33"/>
      <c r="B2358" s="33"/>
      <c r="H2358" s="6">
        <v>0</v>
      </c>
      <c r="I2358" s="6">
        <v>0</v>
      </c>
      <c r="J2358" s="6">
        <v>0</v>
      </c>
    </row>
    <row r="2359" spans="1:10" ht="13" x14ac:dyDescent="0.15">
      <c r="A2359" s="33"/>
      <c r="B2359" s="33"/>
      <c r="H2359" s="6">
        <v>0</v>
      </c>
      <c r="I2359" s="6">
        <v>0</v>
      </c>
      <c r="J2359" s="6">
        <v>0</v>
      </c>
    </row>
    <row r="2360" spans="1:10" ht="13" x14ac:dyDescent="0.15">
      <c r="A2360" s="33"/>
      <c r="B2360" s="33"/>
      <c r="H2360" s="6">
        <v>0</v>
      </c>
      <c r="I2360" s="6">
        <v>0</v>
      </c>
      <c r="J2360" s="6">
        <v>0</v>
      </c>
    </row>
    <row r="2361" spans="1:10" ht="13" x14ac:dyDescent="0.15">
      <c r="A2361" s="33"/>
      <c r="B2361" s="33"/>
      <c r="H2361" s="6">
        <v>0</v>
      </c>
      <c r="I2361" s="6">
        <v>0</v>
      </c>
      <c r="J2361" s="6">
        <v>0</v>
      </c>
    </row>
    <row r="2362" spans="1:10" ht="13" x14ac:dyDescent="0.15">
      <c r="A2362" s="33"/>
      <c r="B2362" s="33"/>
      <c r="H2362" s="6">
        <v>0</v>
      </c>
      <c r="I2362" s="6">
        <v>0</v>
      </c>
      <c r="J2362" s="6">
        <v>0</v>
      </c>
    </row>
    <row r="2363" spans="1:10" ht="13" x14ac:dyDescent="0.15">
      <c r="A2363" s="33"/>
      <c r="B2363" s="33"/>
      <c r="H2363" s="6">
        <v>0</v>
      </c>
      <c r="I2363" s="6">
        <v>0</v>
      </c>
      <c r="J2363" s="6">
        <v>0</v>
      </c>
    </row>
    <row r="2364" spans="1:10" ht="13" x14ac:dyDescent="0.15">
      <c r="A2364" s="33"/>
      <c r="B2364" s="33"/>
      <c r="H2364" s="6">
        <v>0</v>
      </c>
      <c r="I2364" s="6">
        <v>0</v>
      </c>
      <c r="J2364" s="6">
        <v>0</v>
      </c>
    </row>
    <row r="2365" spans="1:10" ht="13" x14ac:dyDescent="0.15">
      <c r="A2365" s="33"/>
      <c r="B2365" s="33"/>
      <c r="H2365" s="6">
        <v>0</v>
      </c>
      <c r="I2365" s="6">
        <v>0</v>
      </c>
      <c r="J2365" s="6">
        <v>0</v>
      </c>
    </row>
    <row r="2366" spans="1:10" ht="13" x14ac:dyDescent="0.15">
      <c r="A2366" s="33"/>
      <c r="B2366" s="33"/>
      <c r="H2366" s="6">
        <v>0</v>
      </c>
      <c r="I2366" s="6">
        <v>0</v>
      </c>
      <c r="J2366" s="6">
        <v>0</v>
      </c>
    </row>
    <row r="2367" spans="1:10" ht="13" x14ac:dyDescent="0.15">
      <c r="A2367" s="33"/>
      <c r="B2367" s="33"/>
      <c r="H2367" s="6">
        <v>0</v>
      </c>
      <c r="I2367" s="6">
        <v>0</v>
      </c>
      <c r="J2367" s="6">
        <v>0</v>
      </c>
    </row>
    <row r="2368" spans="1:10" ht="13" x14ac:dyDescent="0.15">
      <c r="A2368" s="33"/>
      <c r="B2368" s="33"/>
      <c r="H2368" s="6">
        <v>0</v>
      </c>
      <c r="I2368" s="6">
        <v>0</v>
      </c>
      <c r="J2368" s="6">
        <v>0</v>
      </c>
    </row>
    <row r="2369" spans="1:10" ht="13" x14ac:dyDescent="0.15">
      <c r="A2369" s="33"/>
      <c r="B2369" s="33"/>
      <c r="H2369" s="6">
        <v>0</v>
      </c>
      <c r="I2369" s="6">
        <v>0</v>
      </c>
      <c r="J2369" s="6">
        <v>0</v>
      </c>
    </row>
    <row r="2370" spans="1:10" ht="13" x14ac:dyDescent="0.15">
      <c r="A2370" s="33"/>
      <c r="B2370" s="33"/>
      <c r="H2370" s="6">
        <v>0</v>
      </c>
      <c r="I2370" s="6">
        <v>0</v>
      </c>
      <c r="J2370" s="6">
        <v>0</v>
      </c>
    </row>
    <row r="2371" spans="1:10" ht="13" x14ac:dyDescent="0.15">
      <c r="A2371" s="33"/>
      <c r="B2371" s="33"/>
      <c r="H2371" s="6">
        <v>0</v>
      </c>
      <c r="I2371" s="6">
        <v>0</v>
      </c>
      <c r="J2371" s="6">
        <v>0</v>
      </c>
    </row>
    <row r="2372" spans="1:10" ht="13" x14ac:dyDescent="0.15">
      <c r="A2372" s="33"/>
      <c r="B2372" s="33"/>
      <c r="H2372" s="6">
        <v>0</v>
      </c>
      <c r="I2372" s="6">
        <v>0</v>
      </c>
      <c r="J2372" s="6">
        <v>0</v>
      </c>
    </row>
    <row r="2373" spans="1:10" ht="13" x14ac:dyDescent="0.15">
      <c r="A2373" s="33"/>
      <c r="B2373" s="33"/>
      <c r="H2373" s="6">
        <v>0</v>
      </c>
      <c r="I2373" s="6">
        <v>0</v>
      </c>
      <c r="J2373" s="6">
        <v>0</v>
      </c>
    </row>
    <row r="2374" spans="1:10" ht="13" x14ac:dyDescent="0.15">
      <c r="A2374" s="33"/>
      <c r="B2374" s="33"/>
      <c r="H2374" s="6">
        <v>0</v>
      </c>
      <c r="I2374" s="6">
        <v>0</v>
      </c>
      <c r="J2374" s="6">
        <v>0</v>
      </c>
    </row>
    <row r="2375" spans="1:10" ht="13" x14ac:dyDescent="0.15">
      <c r="A2375" s="33"/>
      <c r="B2375" s="33"/>
      <c r="H2375" s="6">
        <v>0</v>
      </c>
      <c r="I2375" s="6">
        <v>0</v>
      </c>
      <c r="J2375" s="6">
        <v>0</v>
      </c>
    </row>
    <row r="2376" spans="1:10" ht="13" x14ac:dyDescent="0.15">
      <c r="A2376" s="33"/>
      <c r="B2376" s="33"/>
      <c r="H2376" s="6">
        <v>0</v>
      </c>
      <c r="I2376" s="6">
        <v>0</v>
      </c>
      <c r="J2376" s="6">
        <v>0</v>
      </c>
    </row>
    <row r="2377" spans="1:10" ht="13" x14ac:dyDescent="0.15">
      <c r="A2377" s="33"/>
      <c r="B2377" s="33"/>
      <c r="H2377" s="6">
        <v>0</v>
      </c>
      <c r="I2377" s="6">
        <v>0</v>
      </c>
      <c r="J2377" s="6">
        <v>0</v>
      </c>
    </row>
    <row r="2378" spans="1:10" ht="13" x14ac:dyDescent="0.15">
      <c r="A2378" s="33"/>
      <c r="B2378" s="33"/>
      <c r="H2378" s="6">
        <v>0</v>
      </c>
      <c r="I2378" s="6">
        <v>0</v>
      </c>
      <c r="J2378" s="6">
        <v>0</v>
      </c>
    </row>
    <row r="2379" spans="1:10" ht="13" x14ac:dyDescent="0.15">
      <c r="A2379" s="33"/>
      <c r="B2379" s="33"/>
      <c r="H2379" s="6">
        <v>0</v>
      </c>
      <c r="I2379" s="6">
        <v>0</v>
      </c>
      <c r="J2379" s="6">
        <v>0</v>
      </c>
    </row>
    <row r="2380" spans="1:10" ht="13" x14ac:dyDescent="0.15">
      <c r="A2380" s="33"/>
      <c r="B2380" s="33"/>
      <c r="H2380" s="6">
        <v>0</v>
      </c>
      <c r="I2380" s="6">
        <v>0</v>
      </c>
      <c r="J2380" s="6">
        <v>0</v>
      </c>
    </row>
    <row r="2381" spans="1:10" ht="13" x14ac:dyDescent="0.15">
      <c r="A2381" s="33"/>
      <c r="B2381" s="33"/>
      <c r="H2381" s="6">
        <v>0</v>
      </c>
      <c r="I2381" s="6">
        <v>0</v>
      </c>
      <c r="J2381" s="6">
        <v>0</v>
      </c>
    </row>
    <row r="2382" spans="1:10" ht="13" x14ac:dyDescent="0.15">
      <c r="A2382" s="33"/>
      <c r="B2382" s="33"/>
      <c r="H2382" s="6">
        <v>0</v>
      </c>
      <c r="I2382" s="6">
        <v>0</v>
      </c>
      <c r="J2382" s="6">
        <v>0</v>
      </c>
    </row>
    <row r="2383" spans="1:10" ht="13" x14ac:dyDescent="0.15">
      <c r="A2383" s="33"/>
      <c r="B2383" s="33"/>
      <c r="H2383" s="6">
        <v>0</v>
      </c>
      <c r="I2383" s="6">
        <v>0</v>
      </c>
      <c r="J2383" s="6">
        <v>0</v>
      </c>
    </row>
    <row r="2384" spans="1:10" ht="13" x14ac:dyDescent="0.15">
      <c r="A2384" s="33"/>
      <c r="B2384" s="33"/>
      <c r="H2384" s="6">
        <v>0</v>
      </c>
      <c r="I2384" s="6">
        <v>0</v>
      </c>
      <c r="J2384" s="6">
        <v>0</v>
      </c>
    </row>
    <row r="2385" spans="1:10" ht="13" x14ac:dyDescent="0.15">
      <c r="A2385" s="33"/>
      <c r="B2385" s="33"/>
      <c r="H2385" s="6">
        <v>0</v>
      </c>
      <c r="I2385" s="6">
        <v>0</v>
      </c>
      <c r="J2385" s="6">
        <v>0</v>
      </c>
    </row>
    <row r="2386" spans="1:10" ht="13" x14ac:dyDescent="0.15">
      <c r="A2386" s="33"/>
      <c r="B2386" s="33"/>
      <c r="H2386" s="6">
        <v>0</v>
      </c>
      <c r="I2386" s="6">
        <v>0</v>
      </c>
      <c r="J2386" s="6">
        <v>0</v>
      </c>
    </row>
    <row r="2387" spans="1:10" ht="13" x14ac:dyDescent="0.15">
      <c r="A2387" s="33"/>
      <c r="B2387" s="33"/>
      <c r="H2387" s="6">
        <v>0</v>
      </c>
      <c r="I2387" s="6">
        <v>0</v>
      </c>
      <c r="J2387" s="6">
        <v>0</v>
      </c>
    </row>
    <row r="2388" spans="1:10" ht="13" x14ac:dyDescent="0.15">
      <c r="A2388" s="33"/>
      <c r="B2388" s="33"/>
      <c r="H2388" s="6">
        <v>0</v>
      </c>
      <c r="I2388" s="6">
        <v>0</v>
      </c>
      <c r="J2388" s="6">
        <v>0</v>
      </c>
    </row>
    <row r="2389" spans="1:10" ht="13" x14ac:dyDescent="0.15">
      <c r="A2389" s="33"/>
      <c r="B2389" s="33"/>
      <c r="H2389" s="6">
        <v>0</v>
      </c>
      <c r="I2389" s="6">
        <v>0</v>
      </c>
      <c r="J2389" s="6">
        <v>0</v>
      </c>
    </row>
    <row r="2390" spans="1:10" ht="13" x14ac:dyDescent="0.15">
      <c r="A2390" s="33"/>
      <c r="B2390" s="33"/>
      <c r="H2390" s="6">
        <v>0</v>
      </c>
      <c r="I2390" s="6">
        <v>0</v>
      </c>
      <c r="J2390" s="6">
        <v>0</v>
      </c>
    </row>
    <row r="2391" spans="1:10" ht="13" x14ac:dyDescent="0.15">
      <c r="A2391" s="33"/>
      <c r="B2391" s="33"/>
      <c r="H2391" s="6">
        <v>0</v>
      </c>
      <c r="I2391" s="6">
        <v>0</v>
      </c>
      <c r="J2391" s="6">
        <v>0</v>
      </c>
    </row>
    <row r="2392" spans="1:10" ht="13" x14ac:dyDescent="0.15">
      <c r="A2392" s="33"/>
      <c r="B2392" s="33"/>
      <c r="H2392" s="6">
        <v>0</v>
      </c>
      <c r="I2392" s="6">
        <v>0</v>
      </c>
      <c r="J2392" s="6">
        <v>0</v>
      </c>
    </row>
    <row r="2393" spans="1:10" ht="13" x14ac:dyDescent="0.15">
      <c r="A2393" s="33"/>
      <c r="B2393" s="33"/>
      <c r="H2393" s="6">
        <v>0</v>
      </c>
      <c r="I2393" s="6">
        <v>0</v>
      </c>
      <c r="J2393" s="6">
        <v>0</v>
      </c>
    </row>
    <row r="2394" spans="1:10" ht="13" x14ac:dyDescent="0.15">
      <c r="A2394" s="33"/>
      <c r="B2394" s="33"/>
      <c r="H2394" s="6">
        <v>0</v>
      </c>
      <c r="I2394" s="6">
        <v>0</v>
      </c>
      <c r="J2394" s="6">
        <v>0</v>
      </c>
    </row>
    <row r="2395" spans="1:10" ht="13" x14ac:dyDescent="0.15">
      <c r="A2395" s="33"/>
      <c r="B2395" s="33"/>
      <c r="H2395" s="6">
        <v>0</v>
      </c>
      <c r="I2395" s="6">
        <v>0</v>
      </c>
      <c r="J2395" s="6">
        <v>0</v>
      </c>
    </row>
    <row r="2396" spans="1:10" ht="13" x14ac:dyDescent="0.15">
      <c r="A2396" s="33"/>
      <c r="B2396" s="33"/>
      <c r="H2396" s="6">
        <v>0</v>
      </c>
      <c r="I2396" s="6">
        <v>0</v>
      </c>
      <c r="J2396" s="6">
        <v>0</v>
      </c>
    </row>
    <row r="2397" spans="1:10" ht="13" x14ac:dyDescent="0.15">
      <c r="A2397" s="33"/>
      <c r="B2397" s="33"/>
      <c r="H2397" s="6">
        <v>0</v>
      </c>
      <c r="I2397" s="6">
        <v>0</v>
      </c>
      <c r="J2397" s="6">
        <v>0</v>
      </c>
    </row>
    <row r="2398" spans="1:10" ht="13" x14ac:dyDescent="0.15">
      <c r="A2398" s="33"/>
      <c r="B2398" s="33"/>
      <c r="H2398" s="6">
        <v>0</v>
      </c>
      <c r="I2398" s="6">
        <v>0</v>
      </c>
      <c r="J2398" s="6">
        <v>0</v>
      </c>
    </row>
    <row r="2399" spans="1:10" ht="13" x14ac:dyDescent="0.15">
      <c r="A2399" s="33"/>
      <c r="B2399" s="33"/>
      <c r="H2399" s="6">
        <v>0</v>
      </c>
      <c r="I2399" s="6">
        <v>0</v>
      </c>
      <c r="J2399" s="6">
        <v>0</v>
      </c>
    </row>
    <row r="2400" spans="1:10" ht="13" x14ac:dyDescent="0.15">
      <c r="A2400" s="33"/>
      <c r="B2400" s="33"/>
      <c r="H2400" s="6">
        <v>0</v>
      </c>
      <c r="I2400" s="6">
        <v>0</v>
      </c>
      <c r="J2400" s="6">
        <v>0</v>
      </c>
    </row>
    <row r="2401" spans="1:10" ht="13" x14ac:dyDescent="0.15">
      <c r="A2401" s="33"/>
      <c r="B2401" s="33"/>
      <c r="H2401" s="6">
        <v>0</v>
      </c>
      <c r="I2401" s="6">
        <v>0</v>
      </c>
      <c r="J2401" s="6">
        <v>0</v>
      </c>
    </row>
    <row r="2402" spans="1:10" ht="13" x14ac:dyDescent="0.15">
      <c r="A2402" s="33"/>
      <c r="B2402" s="33"/>
      <c r="H2402" s="6">
        <v>0</v>
      </c>
      <c r="I2402" s="6">
        <v>0</v>
      </c>
      <c r="J2402" s="6">
        <v>0</v>
      </c>
    </row>
    <row r="2403" spans="1:10" ht="13" x14ac:dyDescent="0.15">
      <c r="A2403" s="33"/>
      <c r="B2403" s="33"/>
      <c r="H2403" s="6">
        <v>0</v>
      </c>
      <c r="I2403" s="6">
        <v>0</v>
      </c>
      <c r="J2403" s="6">
        <v>0</v>
      </c>
    </row>
    <row r="2404" spans="1:10" ht="13" x14ac:dyDescent="0.15">
      <c r="A2404" s="33"/>
      <c r="B2404" s="33"/>
      <c r="H2404" s="6">
        <v>0</v>
      </c>
      <c r="I2404" s="6">
        <v>0</v>
      </c>
      <c r="J2404" s="6">
        <v>0</v>
      </c>
    </row>
    <row r="2405" spans="1:10" ht="13" x14ac:dyDescent="0.15">
      <c r="A2405" s="33"/>
      <c r="B2405" s="33"/>
      <c r="H2405" s="6">
        <v>0</v>
      </c>
      <c r="I2405" s="6">
        <v>0</v>
      </c>
      <c r="J2405" s="6">
        <v>0</v>
      </c>
    </row>
    <row r="2406" spans="1:10" ht="13" x14ac:dyDescent="0.15">
      <c r="A2406" s="33"/>
      <c r="B2406" s="33"/>
      <c r="H2406" s="6">
        <v>0</v>
      </c>
      <c r="I2406" s="6">
        <v>0</v>
      </c>
      <c r="J2406" s="6">
        <v>0</v>
      </c>
    </row>
    <row r="2407" spans="1:10" ht="13" x14ac:dyDescent="0.15">
      <c r="A2407" s="33"/>
      <c r="B2407" s="33"/>
      <c r="H2407" s="6">
        <v>0</v>
      </c>
      <c r="I2407" s="6">
        <v>0</v>
      </c>
      <c r="J2407" s="6">
        <v>0</v>
      </c>
    </row>
    <row r="2408" spans="1:10" ht="13" x14ac:dyDescent="0.15">
      <c r="A2408" s="33"/>
      <c r="B2408" s="33"/>
      <c r="H2408" s="6">
        <v>0</v>
      </c>
      <c r="I2408" s="6">
        <v>0</v>
      </c>
      <c r="J2408" s="6">
        <v>0</v>
      </c>
    </row>
    <row r="2409" spans="1:10" ht="13" x14ac:dyDescent="0.15">
      <c r="A2409" s="33"/>
      <c r="B2409" s="33"/>
      <c r="H2409" s="6">
        <v>0</v>
      </c>
      <c r="I2409" s="6">
        <v>0</v>
      </c>
      <c r="J2409" s="6">
        <v>0</v>
      </c>
    </row>
    <row r="2410" spans="1:10" ht="13" x14ac:dyDescent="0.15">
      <c r="A2410" s="33"/>
      <c r="B2410" s="33"/>
      <c r="H2410" s="6">
        <v>0</v>
      </c>
      <c r="I2410" s="6">
        <v>0</v>
      </c>
      <c r="J2410" s="6">
        <v>0</v>
      </c>
    </row>
    <row r="2411" spans="1:10" ht="13" x14ac:dyDescent="0.15">
      <c r="A2411" s="33"/>
      <c r="B2411" s="33"/>
      <c r="H2411" s="6">
        <v>0</v>
      </c>
      <c r="I2411" s="6">
        <v>0</v>
      </c>
      <c r="J2411" s="6">
        <v>0</v>
      </c>
    </row>
    <row r="2412" spans="1:10" ht="13" x14ac:dyDescent="0.15">
      <c r="A2412" s="33"/>
      <c r="B2412" s="33"/>
      <c r="H2412" s="6">
        <v>0</v>
      </c>
      <c r="I2412" s="6">
        <v>0</v>
      </c>
      <c r="J2412" s="6">
        <v>0</v>
      </c>
    </row>
    <row r="2413" spans="1:10" ht="13" x14ac:dyDescent="0.15">
      <c r="A2413" s="33"/>
      <c r="B2413" s="33"/>
      <c r="H2413" s="6">
        <v>0</v>
      </c>
      <c r="I2413" s="6">
        <v>0</v>
      </c>
      <c r="J2413" s="6">
        <v>0</v>
      </c>
    </row>
    <row r="2414" spans="1:10" ht="13" x14ac:dyDescent="0.15">
      <c r="A2414" s="33"/>
      <c r="B2414" s="33"/>
      <c r="H2414" s="6">
        <v>0</v>
      </c>
      <c r="I2414" s="6">
        <v>0</v>
      </c>
      <c r="J2414" s="6">
        <v>0</v>
      </c>
    </row>
    <row r="2415" spans="1:10" ht="13" x14ac:dyDescent="0.15">
      <c r="A2415" s="33"/>
      <c r="B2415" s="33"/>
      <c r="H2415" s="6">
        <v>0</v>
      </c>
      <c r="I2415" s="6">
        <v>0</v>
      </c>
      <c r="J2415" s="6">
        <v>0</v>
      </c>
    </row>
    <row r="2416" spans="1:10" ht="13" x14ac:dyDescent="0.15">
      <c r="A2416" s="33"/>
      <c r="B2416" s="33"/>
      <c r="H2416" s="6">
        <v>0</v>
      </c>
      <c r="I2416" s="6">
        <v>0</v>
      </c>
      <c r="J2416" s="6">
        <v>0</v>
      </c>
    </row>
    <row r="2417" spans="1:10" ht="13" x14ac:dyDescent="0.15">
      <c r="A2417" s="33"/>
      <c r="B2417" s="33"/>
      <c r="H2417" s="6">
        <v>0</v>
      </c>
      <c r="I2417" s="6">
        <v>0</v>
      </c>
      <c r="J2417" s="6">
        <v>0</v>
      </c>
    </row>
    <row r="2418" spans="1:10" ht="13" x14ac:dyDescent="0.15">
      <c r="A2418" s="33"/>
      <c r="B2418" s="33"/>
      <c r="H2418" s="6">
        <v>0</v>
      </c>
      <c r="I2418" s="6">
        <v>0</v>
      </c>
      <c r="J2418" s="6">
        <v>0</v>
      </c>
    </row>
    <row r="2419" spans="1:10" ht="13" x14ac:dyDescent="0.15">
      <c r="A2419" s="33"/>
      <c r="B2419" s="33"/>
      <c r="H2419" s="6">
        <v>0</v>
      </c>
      <c r="I2419" s="6">
        <v>0</v>
      </c>
      <c r="J2419" s="6">
        <v>0</v>
      </c>
    </row>
    <row r="2420" spans="1:10" ht="13" x14ac:dyDescent="0.15">
      <c r="A2420" s="33"/>
      <c r="B2420" s="33"/>
      <c r="H2420" s="6">
        <v>0</v>
      </c>
      <c r="I2420" s="6">
        <v>0</v>
      </c>
      <c r="J2420" s="6">
        <v>0</v>
      </c>
    </row>
    <row r="2421" spans="1:10" ht="13" x14ac:dyDescent="0.15">
      <c r="A2421" s="33"/>
      <c r="B2421" s="33"/>
      <c r="H2421" s="6">
        <v>0</v>
      </c>
      <c r="I2421" s="6">
        <v>0</v>
      </c>
      <c r="J2421" s="6">
        <v>0</v>
      </c>
    </row>
    <row r="2422" spans="1:10" ht="13" x14ac:dyDescent="0.15">
      <c r="A2422" s="33"/>
      <c r="B2422" s="33"/>
      <c r="H2422" s="6">
        <v>0</v>
      </c>
      <c r="I2422" s="6">
        <v>0</v>
      </c>
      <c r="J2422" s="6">
        <v>0</v>
      </c>
    </row>
    <row r="2423" spans="1:10" ht="13" x14ac:dyDescent="0.15">
      <c r="A2423" s="33"/>
      <c r="B2423" s="33"/>
      <c r="H2423" s="6">
        <v>0</v>
      </c>
      <c r="I2423" s="6">
        <v>0</v>
      </c>
      <c r="J2423" s="6">
        <v>0</v>
      </c>
    </row>
    <row r="2424" spans="1:10" ht="13" x14ac:dyDescent="0.15">
      <c r="A2424" s="33"/>
      <c r="B2424" s="33"/>
      <c r="H2424" s="6">
        <v>0</v>
      </c>
      <c r="I2424" s="6">
        <v>0</v>
      </c>
      <c r="J2424" s="6">
        <v>0</v>
      </c>
    </row>
    <row r="2425" spans="1:10" ht="13" x14ac:dyDescent="0.15">
      <c r="A2425" s="33"/>
      <c r="B2425" s="33"/>
      <c r="H2425" s="6">
        <v>0</v>
      </c>
      <c r="I2425" s="6">
        <v>0</v>
      </c>
      <c r="J2425" s="6">
        <v>0</v>
      </c>
    </row>
    <row r="2426" spans="1:10" ht="13" x14ac:dyDescent="0.15">
      <c r="A2426" s="33"/>
      <c r="B2426" s="33"/>
      <c r="H2426" s="6">
        <v>0</v>
      </c>
      <c r="I2426" s="6">
        <v>0</v>
      </c>
      <c r="J2426" s="6">
        <v>0</v>
      </c>
    </row>
    <row r="2427" spans="1:10" ht="13" x14ac:dyDescent="0.15">
      <c r="A2427" s="33"/>
      <c r="B2427" s="33"/>
      <c r="H2427" s="6">
        <v>0</v>
      </c>
      <c r="I2427" s="6">
        <v>0</v>
      </c>
      <c r="J2427" s="6">
        <v>0</v>
      </c>
    </row>
    <row r="2428" spans="1:10" ht="13" x14ac:dyDescent="0.15">
      <c r="A2428" s="33"/>
      <c r="B2428" s="33"/>
      <c r="H2428" s="6">
        <v>0</v>
      </c>
      <c r="I2428" s="6">
        <v>0</v>
      </c>
      <c r="J2428" s="6">
        <v>0</v>
      </c>
    </row>
    <row r="2429" spans="1:10" ht="13" x14ac:dyDescent="0.15">
      <c r="A2429" s="33"/>
      <c r="B2429" s="33"/>
      <c r="H2429" s="6">
        <v>0</v>
      </c>
      <c r="I2429" s="6">
        <v>0</v>
      </c>
      <c r="J2429" s="6">
        <v>0</v>
      </c>
    </row>
    <row r="2430" spans="1:10" ht="13" x14ac:dyDescent="0.15">
      <c r="A2430" s="33"/>
      <c r="B2430" s="33"/>
      <c r="H2430" s="6">
        <v>0</v>
      </c>
      <c r="I2430" s="6">
        <v>0</v>
      </c>
      <c r="J2430" s="6">
        <v>0</v>
      </c>
    </row>
    <row r="2431" spans="1:10" ht="13" x14ac:dyDescent="0.15">
      <c r="A2431" s="33"/>
      <c r="B2431" s="33"/>
      <c r="H2431" s="6">
        <v>0</v>
      </c>
      <c r="I2431" s="6">
        <v>0</v>
      </c>
      <c r="J2431" s="6">
        <v>0</v>
      </c>
    </row>
    <row r="2432" spans="1:10" ht="13" x14ac:dyDescent="0.15">
      <c r="A2432" s="33"/>
      <c r="B2432" s="33"/>
      <c r="H2432" s="6">
        <v>0</v>
      </c>
      <c r="I2432" s="6">
        <v>0</v>
      </c>
      <c r="J2432" s="6">
        <v>0</v>
      </c>
    </row>
    <row r="2433" spans="1:10" ht="13" x14ac:dyDescent="0.15">
      <c r="A2433" s="33"/>
      <c r="B2433" s="33"/>
      <c r="H2433" s="6">
        <v>0</v>
      </c>
      <c r="I2433" s="6">
        <v>0</v>
      </c>
      <c r="J2433" s="6">
        <v>0</v>
      </c>
    </row>
    <row r="2434" spans="1:10" ht="13" x14ac:dyDescent="0.15">
      <c r="A2434" s="33"/>
      <c r="B2434" s="33"/>
      <c r="H2434" s="6">
        <v>0</v>
      </c>
      <c r="I2434" s="6">
        <v>0</v>
      </c>
      <c r="J2434" s="6">
        <v>0</v>
      </c>
    </row>
    <row r="2435" spans="1:10" ht="13" x14ac:dyDescent="0.15">
      <c r="A2435" s="33"/>
      <c r="B2435" s="33"/>
      <c r="H2435" s="6">
        <v>0</v>
      </c>
      <c r="I2435" s="6">
        <v>0</v>
      </c>
      <c r="J2435" s="6">
        <v>0</v>
      </c>
    </row>
    <row r="2436" spans="1:10" ht="13" x14ac:dyDescent="0.15">
      <c r="A2436" s="33"/>
      <c r="B2436" s="33"/>
      <c r="H2436" s="6">
        <v>0</v>
      </c>
      <c r="I2436" s="6">
        <v>0</v>
      </c>
      <c r="J2436" s="6">
        <v>0</v>
      </c>
    </row>
    <row r="2437" spans="1:10" ht="13" x14ac:dyDescent="0.15">
      <c r="A2437" s="33"/>
      <c r="B2437" s="33"/>
      <c r="H2437" s="6">
        <v>0</v>
      </c>
      <c r="I2437" s="6">
        <v>0</v>
      </c>
      <c r="J2437" s="6">
        <v>0</v>
      </c>
    </row>
    <row r="2438" spans="1:10" ht="13" x14ac:dyDescent="0.15">
      <c r="A2438" s="33"/>
      <c r="B2438" s="33"/>
      <c r="H2438" s="6">
        <v>0</v>
      </c>
      <c r="I2438" s="6">
        <v>0</v>
      </c>
      <c r="J2438" s="6">
        <v>0</v>
      </c>
    </row>
    <row r="2439" spans="1:10" ht="13" x14ac:dyDescent="0.15">
      <c r="A2439" s="33"/>
      <c r="B2439" s="33"/>
      <c r="H2439" s="6">
        <v>0</v>
      </c>
      <c r="I2439" s="6">
        <v>0</v>
      </c>
      <c r="J2439" s="6">
        <v>0</v>
      </c>
    </row>
    <row r="2440" spans="1:10" ht="13" x14ac:dyDescent="0.15">
      <c r="A2440" s="33"/>
      <c r="B2440" s="33"/>
      <c r="H2440" s="6">
        <v>0</v>
      </c>
      <c r="I2440" s="6">
        <v>0</v>
      </c>
      <c r="J2440" s="6">
        <v>0</v>
      </c>
    </row>
    <row r="2441" spans="1:10" ht="13" x14ac:dyDescent="0.15">
      <c r="A2441" s="33"/>
      <c r="B2441" s="33"/>
      <c r="H2441" s="6">
        <v>0</v>
      </c>
      <c r="I2441" s="6">
        <v>0</v>
      </c>
      <c r="J2441" s="6">
        <v>0</v>
      </c>
    </row>
    <row r="2442" spans="1:10" ht="13" x14ac:dyDescent="0.15">
      <c r="A2442" s="33"/>
      <c r="B2442" s="33"/>
      <c r="H2442" s="6">
        <v>0</v>
      </c>
      <c r="I2442" s="6">
        <v>0</v>
      </c>
      <c r="J2442" s="6">
        <v>0</v>
      </c>
    </row>
    <row r="2443" spans="1:10" ht="13" x14ac:dyDescent="0.15">
      <c r="A2443" s="33"/>
      <c r="B2443" s="33"/>
      <c r="H2443" s="6">
        <v>0</v>
      </c>
      <c r="I2443" s="6">
        <v>0</v>
      </c>
      <c r="J2443" s="6">
        <v>0</v>
      </c>
    </row>
    <row r="2444" spans="1:10" ht="13" x14ac:dyDescent="0.15">
      <c r="A2444" s="33"/>
      <c r="B2444" s="33"/>
      <c r="H2444" s="6">
        <v>0</v>
      </c>
      <c r="I2444" s="6">
        <v>0</v>
      </c>
      <c r="J2444" s="6">
        <v>0</v>
      </c>
    </row>
    <row r="2445" spans="1:10" ht="13" x14ac:dyDescent="0.15">
      <c r="A2445" s="33"/>
      <c r="B2445" s="33"/>
      <c r="H2445" s="6">
        <v>0</v>
      </c>
      <c r="I2445" s="6">
        <v>0</v>
      </c>
      <c r="J2445" s="6">
        <v>0</v>
      </c>
    </row>
    <row r="2446" spans="1:10" ht="13" x14ac:dyDescent="0.15">
      <c r="A2446" s="33"/>
      <c r="B2446" s="33"/>
      <c r="H2446" s="6">
        <v>0</v>
      </c>
      <c r="I2446" s="6">
        <v>0</v>
      </c>
      <c r="J2446" s="6">
        <v>0</v>
      </c>
    </row>
    <row r="2447" spans="1:10" ht="13" x14ac:dyDescent="0.15">
      <c r="A2447" s="33"/>
      <c r="B2447" s="33"/>
      <c r="H2447" s="6">
        <v>0</v>
      </c>
      <c r="I2447" s="6">
        <v>0</v>
      </c>
      <c r="J2447" s="6">
        <v>0</v>
      </c>
    </row>
    <row r="2448" spans="1:10" ht="13" x14ac:dyDescent="0.15">
      <c r="A2448" s="33"/>
      <c r="B2448" s="33"/>
      <c r="H2448" s="6">
        <v>0</v>
      </c>
      <c r="I2448" s="6">
        <v>0</v>
      </c>
      <c r="J2448" s="6">
        <v>0</v>
      </c>
    </row>
    <row r="2449" spans="1:10" ht="13" x14ac:dyDescent="0.15">
      <c r="A2449" s="33"/>
      <c r="B2449" s="33"/>
      <c r="H2449" s="6">
        <v>0</v>
      </c>
      <c r="I2449" s="6">
        <v>0</v>
      </c>
      <c r="J2449" s="6">
        <v>0</v>
      </c>
    </row>
    <row r="2450" spans="1:10" ht="13" x14ac:dyDescent="0.15">
      <c r="A2450" s="33"/>
      <c r="B2450" s="33"/>
      <c r="H2450" s="6">
        <v>0</v>
      </c>
      <c r="I2450" s="6">
        <v>0</v>
      </c>
      <c r="J2450" s="6">
        <v>0</v>
      </c>
    </row>
    <row r="2451" spans="1:10" ht="13" x14ac:dyDescent="0.15">
      <c r="A2451" s="33"/>
      <c r="B2451" s="33"/>
      <c r="H2451" s="6">
        <v>0</v>
      </c>
      <c r="I2451" s="6">
        <v>0</v>
      </c>
      <c r="J2451" s="6">
        <v>0</v>
      </c>
    </row>
    <row r="2452" spans="1:10" ht="13" x14ac:dyDescent="0.15">
      <c r="A2452" s="33"/>
      <c r="B2452" s="33"/>
      <c r="H2452" s="6">
        <v>0</v>
      </c>
      <c r="I2452" s="6">
        <v>0</v>
      </c>
      <c r="J2452" s="6">
        <v>0</v>
      </c>
    </row>
    <row r="2453" spans="1:10" ht="13" x14ac:dyDescent="0.15">
      <c r="A2453" s="33"/>
      <c r="B2453" s="33"/>
      <c r="H2453" s="6">
        <v>0</v>
      </c>
      <c r="I2453" s="6">
        <v>0</v>
      </c>
      <c r="J2453" s="6">
        <v>0</v>
      </c>
    </row>
    <row r="2454" spans="1:10" ht="13" x14ac:dyDescent="0.15">
      <c r="A2454" s="33"/>
      <c r="B2454" s="33"/>
      <c r="H2454" s="6">
        <v>0</v>
      </c>
      <c r="I2454" s="6">
        <v>0</v>
      </c>
      <c r="J2454" s="6">
        <v>0</v>
      </c>
    </row>
    <row r="2455" spans="1:10" ht="13" x14ac:dyDescent="0.15">
      <c r="A2455" s="33"/>
      <c r="B2455" s="33"/>
      <c r="H2455" s="6">
        <v>0</v>
      </c>
      <c r="I2455" s="6">
        <v>0</v>
      </c>
      <c r="J2455" s="6">
        <v>0</v>
      </c>
    </row>
    <row r="2456" spans="1:10" ht="13" x14ac:dyDescent="0.15">
      <c r="A2456" s="33"/>
      <c r="B2456" s="33"/>
      <c r="H2456" s="6">
        <v>0</v>
      </c>
      <c r="I2456" s="6">
        <v>0</v>
      </c>
      <c r="J2456" s="6">
        <v>0</v>
      </c>
    </row>
    <row r="2457" spans="1:10" ht="13" x14ac:dyDescent="0.15">
      <c r="A2457" s="33"/>
      <c r="B2457" s="33"/>
      <c r="H2457" s="6">
        <v>0</v>
      </c>
      <c r="I2457" s="6">
        <v>0</v>
      </c>
      <c r="J2457" s="6">
        <v>0</v>
      </c>
    </row>
    <row r="2458" spans="1:10" ht="13" x14ac:dyDescent="0.15">
      <c r="A2458" s="33"/>
      <c r="B2458" s="33"/>
      <c r="H2458" s="6">
        <v>0</v>
      </c>
      <c r="I2458" s="6">
        <v>0</v>
      </c>
      <c r="J2458" s="6">
        <v>0</v>
      </c>
    </row>
    <row r="2459" spans="1:10" ht="13" x14ac:dyDescent="0.15">
      <c r="A2459" s="33"/>
      <c r="B2459" s="33"/>
      <c r="H2459" s="6">
        <v>0</v>
      </c>
      <c r="I2459" s="6">
        <v>0</v>
      </c>
      <c r="J2459" s="6">
        <v>0</v>
      </c>
    </row>
    <row r="2460" spans="1:10" ht="13" x14ac:dyDescent="0.15">
      <c r="A2460" s="33"/>
      <c r="B2460" s="33"/>
      <c r="H2460" s="6">
        <v>0</v>
      </c>
      <c r="I2460" s="6">
        <v>0</v>
      </c>
      <c r="J2460" s="6">
        <v>0</v>
      </c>
    </row>
    <row r="2461" spans="1:10" ht="13" x14ac:dyDescent="0.15">
      <c r="A2461" s="33"/>
      <c r="B2461" s="33"/>
      <c r="H2461" s="6">
        <v>0</v>
      </c>
      <c r="I2461" s="6">
        <v>0</v>
      </c>
      <c r="J2461" s="6">
        <v>0</v>
      </c>
    </row>
    <row r="2462" spans="1:10" ht="13" x14ac:dyDescent="0.15">
      <c r="A2462" s="33"/>
      <c r="B2462" s="33"/>
      <c r="H2462" s="6">
        <v>0</v>
      </c>
      <c r="I2462" s="6">
        <v>0</v>
      </c>
      <c r="J2462" s="6">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43"/>
  <sheetViews>
    <sheetView workbookViewId="0">
      <pane ySplit="1" topLeftCell="A2" activePane="bottomLeft" state="frozen"/>
      <selection pane="bottomLeft" activeCell="C16" sqref="C16"/>
    </sheetView>
  </sheetViews>
  <sheetFormatPr baseColWidth="10" defaultColWidth="12.6640625" defaultRowHeight="15.75" customHeight="1" x14ac:dyDescent="0.15"/>
  <cols>
    <col min="1" max="1" width="41.5" customWidth="1"/>
    <col min="2" max="2" width="61.1640625" customWidth="1"/>
    <col min="3" max="3" width="21.33203125" customWidth="1"/>
  </cols>
  <sheetData>
    <row r="1" spans="1:4" ht="22.5" customHeight="1" x14ac:dyDescent="0.15">
      <c r="A1" s="11" t="s">
        <v>3289</v>
      </c>
      <c r="B1" s="11" t="s">
        <v>3243</v>
      </c>
      <c r="C1" s="11" t="s">
        <v>3244</v>
      </c>
      <c r="D1" s="42" t="s">
        <v>3297</v>
      </c>
    </row>
    <row r="2" spans="1:4" ht="22.5" customHeight="1" x14ac:dyDescent="0.15">
      <c r="A2" s="15" t="s">
        <v>1088</v>
      </c>
      <c r="B2" s="12" t="s">
        <v>1090</v>
      </c>
      <c r="C2" s="13" t="s">
        <v>23</v>
      </c>
      <c r="D2" s="40">
        <v>0</v>
      </c>
    </row>
    <row r="3" spans="1:4" ht="22.5" customHeight="1" x14ac:dyDescent="0.15">
      <c r="A3" s="15" t="s">
        <v>1088</v>
      </c>
      <c r="B3" s="12" t="s">
        <v>1091</v>
      </c>
      <c r="C3" s="13" t="s">
        <v>30</v>
      </c>
      <c r="D3" s="40">
        <v>0</v>
      </c>
    </row>
    <row r="4" spans="1:4" ht="22.5" customHeight="1" x14ac:dyDescent="0.15">
      <c r="A4" s="15" t="s">
        <v>1088</v>
      </c>
      <c r="B4" s="12" t="s">
        <v>1092</v>
      </c>
      <c r="C4" s="13" t="s">
        <v>88</v>
      </c>
      <c r="D4" s="40">
        <v>0</v>
      </c>
    </row>
    <row r="5" spans="1:4" ht="22.5" customHeight="1" x14ac:dyDescent="0.15">
      <c r="A5" s="16" t="s">
        <v>1094</v>
      </c>
      <c r="B5" s="12" t="s">
        <v>1095</v>
      </c>
      <c r="C5" s="13" t="s">
        <v>23</v>
      </c>
      <c r="D5" s="40">
        <v>0</v>
      </c>
    </row>
    <row r="6" spans="1:4" ht="22.5" customHeight="1" x14ac:dyDescent="0.15">
      <c r="A6" s="16" t="s">
        <v>1094</v>
      </c>
      <c r="B6" s="12" t="s">
        <v>1096</v>
      </c>
      <c r="C6" s="13" t="s">
        <v>23</v>
      </c>
      <c r="D6" s="40">
        <v>0</v>
      </c>
    </row>
    <row r="7" spans="1:4" ht="22.5" customHeight="1" x14ac:dyDescent="0.15">
      <c r="A7" s="16" t="s">
        <v>1094</v>
      </c>
      <c r="B7" s="12" t="s">
        <v>1097</v>
      </c>
      <c r="C7" s="13" t="s">
        <v>23</v>
      </c>
      <c r="D7" s="40">
        <v>0</v>
      </c>
    </row>
    <row r="8" spans="1:4" ht="22.5" customHeight="1" x14ac:dyDescent="0.15">
      <c r="A8" s="16" t="s">
        <v>1094</v>
      </c>
      <c r="B8" s="12" t="s">
        <v>1098</v>
      </c>
      <c r="C8" s="13" t="s">
        <v>23</v>
      </c>
      <c r="D8" s="40">
        <v>0</v>
      </c>
    </row>
    <row r="9" spans="1:4" ht="22.5" customHeight="1" x14ac:dyDescent="0.15">
      <c r="A9" s="16" t="s">
        <v>1101</v>
      </c>
      <c r="B9" s="12" t="s">
        <v>1102</v>
      </c>
      <c r="C9" s="13" t="s">
        <v>18</v>
      </c>
      <c r="D9" s="40">
        <v>0</v>
      </c>
    </row>
    <row r="10" spans="1:4" ht="22.5" customHeight="1" x14ac:dyDescent="0.15">
      <c r="A10" s="16" t="s">
        <v>1103</v>
      </c>
      <c r="B10" s="12" t="s">
        <v>870</v>
      </c>
      <c r="C10" s="13" t="s">
        <v>12</v>
      </c>
      <c r="D10" s="40">
        <v>1</v>
      </c>
    </row>
    <row r="11" spans="1:4" ht="22.5" customHeight="1" x14ac:dyDescent="0.15">
      <c r="A11" s="16" t="s">
        <v>1103</v>
      </c>
      <c r="B11" s="12" t="s">
        <v>871</v>
      </c>
      <c r="C11" s="13" t="s">
        <v>30</v>
      </c>
      <c r="D11" s="40">
        <v>1</v>
      </c>
    </row>
    <row r="12" spans="1:4" ht="22.5" customHeight="1" x14ac:dyDescent="0.15">
      <c r="A12" s="16" t="s">
        <v>1103</v>
      </c>
      <c r="B12" s="12" t="s">
        <v>872</v>
      </c>
      <c r="C12" s="13" t="s">
        <v>30</v>
      </c>
      <c r="D12" s="40">
        <v>1</v>
      </c>
    </row>
    <row r="13" spans="1:4" ht="22.5" customHeight="1" x14ac:dyDescent="0.15">
      <c r="A13" s="16" t="s">
        <v>1103</v>
      </c>
      <c r="B13" s="12" t="s">
        <v>873</v>
      </c>
      <c r="C13" s="13" t="s">
        <v>23</v>
      </c>
      <c r="D13" s="40">
        <v>1</v>
      </c>
    </row>
    <row r="14" spans="1:4" ht="22.5" customHeight="1" x14ac:dyDescent="0.15">
      <c r="A14" s="16" t="s">
        <v>399</v>
      </c>
      <c r="B14" s="12" t="s">
        <v>877</v>
      </c>
      <c r="C14" s="13" t="s">
        <v>30</v>
      </c>
      <c r="D14" s="40">
        <v>1</v>
      </c>
    </row>
    <row r="15" spans="1:4" ht="22.5" customHeight="1" x14ac:dyDescent="0.15">
      <c r="A15" s="16" t="s">
        <v>399</v>
      </c>
      <c r="B15" s="12" t="s">
        <v>878</v>
      </c>
      <c r="C15" s="13" t="s">
        <v>30</v>
      </c>
      <c r="D15" s="40">
        <v>1</v>
      </c>
    </row>
    <row r="16" spans="1:4" ht="22.5" customHeight="1" x14ac:dyDescent="0.15">
      <c r="A16" s="15" t="s">
        <v>399</v>
      </c>
      <c r="B16" s="12" t="s">
        <v>879</v>
      </c>
      <c r="C16" s="13" t="s">
        <v>30</v>
      </c>
      <c r="D16" s="40">
        <v>1</v>
      </c>
    </row>
    <row r="17" spans="1:4" ht="22.5" customHeight="1" x14ac:dyDescent="0.15">
      <c r="A17" s="16" t="s">
        <v>399</v>
      </c>
      <c r="B17" s="12" t="s">
        <v>880</v>
      </c>
      <c r="C17" s="13" t="s">
        <v>30</v>
      </c>
      <c r="D17" s="40">
        <v>1</v>
      </c>
    </row>
    <row r="18" spans="1:4" ht="22.5" customHeight="1" x14ac:dyDescent="0.15">
      <c r="A18" s="16" t="s">
        <v>399</v>
      </c>
      <c r="B18" s="12" t="s">
        <v>881</v>
      </c>
      <c r="C18" s="13" t="s">
        <v>30</v>
      </c>
      <c r="D18" s="40">
        <v>1</v>
      </c>
    </row>
    <row r="19" spans="1:4" ht="22.5" customHeight="1" x14ac:dyDescent="0.15">
      <c r="A19" s="16" t="s">
        <v>399</v>
      </c>
      <c r="B19" s="12" t="s">
        <v>882</v>
      </c>
      <c r="C19" s="13" t="s">
        <v>30</v>
      </c>
      <c r="D19" s="40">
        <v>1</v>
      </c>
    </row>
    <row r="20" spans="1:4" ht="22.5" customHeight="1" x14ac:dyDescent="0.15">
      <c r="A20" s="16" t="s">
        <v>399</v>
      </c>
      <c r="B20" s="12" t="s">
        <v>883</v>
      </c>
      <c r="C20" s="13" t="s">
        <v>30</v>
      </c>
      <c r="D20" s="40">
        <v>1</v>
      </c>
    </row>
    <row r="21" spans="1:4" ht="22.5" customHeight="1" x14ac:dyDescent="0.15">
      <c r="A21" s="16" t="s">
        <v>399</v>
      </c>
      <c r="B21" s="12" t="s">
        <v>884</v>
      </c>
      <c r="C21" s="13" t="s">
        <v>88</v>
      </c>
      <c r="D21" s="40">
        <v>1</v>
      </c>
    </row>
    <row r="22" spans="1:4" ht="22.5" customHeight="1" x14ac:dyDescent="0.15">
      <c r="A22" s="16" t="s">
        <v>401</v>
      </c>
      <c r="B22" s="12" t="s">
        <v>1104</v>
      </c>
      <c r="C22" s="13" t="s">
        <v>136</v>
      </c>
      <c r="D22" s="40">
        <v>0</v>
      </c>
    </row>
    <row r="23" spans="1:4" ht="22.5" customHeight="1" x14ac:dyDescent="0.15">
      <c r="A23" s="16" t="s">
        <v>401</v>
      </c>
      <c r="B23" s="12" t="s">
        <v>1105</v>
      </c>
      <c r="C23" s="13" t="s">
        <v>30</v>
      </c>
      <c r="D23" s="40">
        <v>0</v>
      </c>
    </row>
    <row r="24" spans="1:4" ht="22.5" customHeight="1" x14ac:dyDescent="0.15">
      <c r="A24" s="16" t="s">
        <v>401</v>
      </c>
      <c r="B24" s="12" t="s">
        <v>1106</v>
      </c>
      <c r="C24" s="13" t="s">
        <v>30</v>
      </c>
      <c r="D24" s="40">
        <v>0</v>
      </c>
    </row>
    <row r="25" spans="1:4" ht="22.5" customHeight="1" x14ac:dyDescent="0.15">
      <c r="A25" s="16" t="s">
        <v>401</v>
      </c>
      <c r="B25" s="12" t="s">
        <v>1107</v>
      </c>
      <c r="C25" s="13" t="s">
        <v>30</v>
      </c>
      <c r="D25" s="40">
        <v>0</v>
      </c>
    </row>
    <row r="26" spans="1:4" ht="22.5" customHeight="1" x14ac:dyDescent="0.15">
      <c r="A26" s="16" t="s">
        <v>94</v>
      </c>
      <c r="B26" s="12" t="s">
        <v>1108</v>
      </c>
      <c r="C26" s="13" t="s">
        <v>18</v>
      </c>
      <c r="D26" s="40">
        <v>0</v>
      </c>
    </row>
    <row r="27" spans="1:4" ht="22.5" customHeight="1" x14ac:dyDescent="0.15">
      <c r="A27" s="16" t="s">
        <v>94</v>
      </c>
      <c r="B27" s="12" t="s">
        <v>1109</v>
      </c>
      <c r="C27" s="13" t="s">
        <v>18</v>
      </c>
      <c r="D27" s="40">
        <v>0</v>
      </c>
    </row>
    <row r="28" spans="1:4" ht="22.5" customHeight="1" x14ac:dyDescent="0.15">
      <c r="A28" s="16" t="s">
        <v>94</v>
      </c>
      <c r="B28" s="12" t="s">
        <v>1110</v>
      </c>
      <c r="C28" s="13" t="s">
        <v>30</v>
      </c>
      <c r="D28" s="40">
        <v>0</v>
      </c>
    </row>
    <row r="29" spans="1:4" ht="22.5" customHeight="1" x14ac:dyDescent="0.15">
      <c r="A29" s="16" t="s">
        <v>94</v>
      </c>
      <c r="B29" s="12" t="s">
        <v>1111</v>
      </c>
      <c r="C29" s="13" t="s">
        <v>30</v>
      </c>
      <c r="D29" s="40">
        <v>0</v>
      </c>
    </row>
    <row r="30" spans="1:4" ht="22.5" customHeight="1" x14ac:dyDescent="0.15">
      <c r="A30" s="16" t="s">
        <v>94</v>
      </c>
      <c r="B30" s="12" t="s">
        <v>1112</v>
      </c>
      <c r="C30" s="13" t="s">
        <v>30</v>
      </c>
      <c r="D30" s="40">
        <v>0</v>
      </c>
    </row>
    <row r="31" spans="1:4" ht="22.5" customHeight="1" x14ac:dyDescent="0.15">
      <c r="A31" s="16" t="s">
        <v>94</v>
      </c>
      <c r="B31" s="12" t="s">
        <v>1113</v>
      </c>
      <c r="C31" s="13" t="s">
        <v>30</v>
      </c>
      <c r="D31" s="40">
        <v>0</v>
      </c>
    </row>
    <row r="32" spans="1:4" ht="22.5" customHeight="1" x14ac:dyDescent="0.15">
      <c r="A32" s="16" t="s">
        <v>94</v>
      </c>
      <c r="B32" s="12" t="s">
        <v>1114</v>
      </c>
      <c r="C32" s="13" t="s">
        <v>30</v>
      </c>
      <c r="D32" s="40">
        <v>0</v>
      </c>
    </row>
    <row r="33" spans="1:4" ht="22.5" customHeight="1" x14ac:dyDescent="0.15">
      <c r="A33" s="15" t="s">
        <v>94</v>
      </c>
      <c r="B33" s="12" t="s">
        <v>1115</v>
      </c>
      <c r="C33" s="13" t="s">
        <v>30</v>
      </c>
      <c r="D33" s="40">
        <v>0</v>
      </c>
    </row>
    <row r="34" spans="1:4" ht="22.5" customHeight="1" x14ac:dyDescent="0.15">
      <c r="A34" s="16" t="s">
        <v>94</v>
      </c>
      <c r="B34" s="12" t="s">
        <v>1116</v>
      </c>
      <c r="C34" s="13" t="s">
        <v>83</v>
      </c>
      <c r="D34" s="40">
        <v>0</v>
      </c>
    </row>
    <row r="35" spans="1:4" ht="22.5" customHeight="1" x14ac:dyDescent="0.15">
      <c r="A35" s="16" t="s">
        <v>94</v>
      </c>
      <c r="B35" s="12" t="s">
        <v>1117</v>
      </c>
      <c r="C35" s="13" t="s">
        <v>136</v>
      </c>
      <c r="D35" s="40">
        <v>0</v>
      </c>
    </row>
    <row r="36" spans="1:4" ht="22.5" customHeight="1" x14ac:dyDescent="0.15">
      <c r="A36" s="16" t="s">
        <v>1120</v>
      </c>
      <c r="B36" s="12" t="s">
        <v>1121</v>
      </c>
      <c r="C36" s="13" t="s">
        <v>18</v>
      </c>
      <c r="D36" s="40">
        <v>0</v>
      </c>
    </row>
    <row r="37" spans="1:4" ht="22.5" customHeight="1" x14ac:dyDescent="0.15">
      <c r="A37" s="16" t="s">
        <v>1120</v>
      </c>
      <c r="B37" s="12" t="s">
        <v>1122</v>
      </c>
      <c r="C37" s="13" t="s">
        <v>83</v>
      </c>
      <c r="D37" s="40">
        <v>0</v>
      </c>
    </row>
    <row r="38" spans="1:4" ht="22.5" customHeight="1" x14ac:dyDescent="0.15">
      <c r="A38" s="16" t="s">
        <v>1120</v>
      </c>
      <c r="B38" s="12" t="s">
        <v>1123</v>
      </c>
      <c r="C38" s="13" t="s">
        <v>23</v>
      </c>
      <c r="D38" s="40">
        <v>0</v>
      </c>
    </row>
    <row r="39" spans="1:4" ht="22.5" customHeight="1" x14ac:dyDescent="0.15">
      <c r="A39" s="15" t="s">
        <v>1120</v>
      </c>
      <c r="B39" s="12" t="s">
        <v>1124</v>
      </c>
      <c r="C39" s="13" t="s">
        <v>23</v>
      </c>
      <c r="D39" s="40">
        <v>0</v>
      </c>
    </row>
    <row r="40" spans="1:4" ht="22.5" customHeight="1" x14ac:dyDescent="0.15">
      <c r="A40" s="16" t="s">
        <v>1127</v>
      </c>
      <c r="B40" s="12" t="s">
        <v>1128</v>
      </c>
      <c r="C40" s="13" t="s">
        <v>30</v>
      </c>
      <c r="D40" s="40">
        <v>0</v>
      </c>
    </row>
    <row r="41" spans="1:4" ht="22.5" customHeight="1" x14ac:dyDescent="0.15">
      <c r="A41" s="16" t="s">
        <v>714</v>
      </c>
      <c r="B41" s="12" t="s">
        <v>1129</v>
      </c>
      <c r="C41" s="13" t="s">
        <v>12</v>
      </c>
      <c r="D41" s="40">
        <v>0</v>
      </c>
    </row>
    <row r="42" spans="1:4" ht="22.5" customHeight="1" x14ac:dyDescent="0.15">
      <c r="A42" s="16" t="s">
        <v>714</v>
      </c>
      <c r="B42" s="12" t="s">
        <v>1130</v>
      </c>
      <c r="C42" s="13" t="s">
        <v>136</v>
      </c>
      <c r="D42" s="40">
        <v>0</v>
      </c>
    </row>
    <row r="43" spans="1:4" ht="22.5" customHeight="1" x14ac:dyDescent="0.15">
      <c r="A43" s="16" t="s">
        <v>714</v>
      </c>
      <c r="B43" s="12" t="s">
        <v>1131</v>
      </c>
      <c r="C43" s="13" t="s">
        <v>18</v>
      </c>
      <c r="D43" s="40">
        <v>0</v>
      </c>
    </row>
    <row r="44" spans="1:4" ht="22.5" customHeight="1" x14ac:dyDescent="0.15">
      <c r="A44" s="16" t="s">
        <v>714</v>
      </c>
      <c r="B44" s="12" t="s">
        <v>1132</v>
      </c>
      <c r="C44" s="13" t="s">
        <v>83</v>
      </c>
      <c r="D44" s="40">
        <v>0</v>
      </c>
    </row>
    <row r="45" spans="1:4" ht="22.5" customHeight="1" x14ac:dyDescent="0.15">
      <c r="A45" s="16" t="s">
        <v>1135</v>
      </c>
      <c r="B45" s="12" t="s">
        <v>1136</v>
      </c>
      <c r="C45" s="13" t="s">
        <v>18</v>
      </c>
      <c r="D45" s="40">
        <v>0</v>
      </c>
    </row>
    <row r="46" spans="1:4" ht="22.5" customHeight="1" x14ac:dyDescent="0.15">
      <c r="A46" s="16" t="s">
        <v>1135</v>
      </c>
      <c r="B46" s="12" t="s">
        <v>1136</v>
      </c>
      <c r="C46" s="13" t="s">
        <v>18</v>
      </c>
      <c r="D46" s="40">
        <v>0</v>
      </c>
    </row>
    <row r="47" spans="1:4" ht="22.5" customHeight="1" x14ac:dyDescent="0.15">
      <c r="A47" s="16" t="s">
        <v>1135</v>
      </c>
      <c r="B47" s="12" t="s">
        <v>1136</v>
      </c>
      <c r="C47" s="13" t="s">
        <v>18</v>
      </c>
      <c r="D47" s="40">
        <v>0</v>
      </c>
    </row>
    <row r="48" spans="1:4" ht="22.5" customHeight="1" x14ac:dyDescent="0.15">
      <c r="A48" s="16" t="s">
        <v>1135</v>
      </c>
      <c r="B48" s="12" t="s">
        <v>1136</v>
      </c>
      <c r="C48" s="13" t="s">
        <v>18</v>
      </c>
      <c r="D48" s="40">
        <v>0</v>
      </c>
    </row>
    <row r="49" spans="1:4" ht="22.5" customHeight="1" x14ac:dyDescent="0.15">
      <c r="A49" s="15" t="s">
        <v>1135</v>
      </c>
      <c r="B49" s="12" t="s">
        <v>1137</v>
      </c>
      <c r="C49" s="13" t="s">
        <v>30</v>
      </c>
      <c r="D49" s="40">
        <v>0</v>
      </c>
    </row>
    <row r="50" spans="1:4" ht="22.5" customHeight="1" x14ac:dyDescent="0.15">
      <c r="A50" s="16" t="s">
        <v>1139</v>
      </c>
      <c r="B50" s="12" t="s">
        <v>1136</v>
      </c>
      <c r="C50" s="13" t="s">
        <v>18</v>
      </c>
      <c r="D50" s="40">
        <v>0</v>
      </c>
    </row>
    <row r="51" spans="1:4" ht="22.5" customHeight="1" x14ac:dyDescent="0.15">
      <c r="A51" s="16" t="s">
        <v>1139</v>
      </c>
      <c r="B51" s="12" t="s">
        <v>1136</v>
      </c>
      <c r="C51" s="13" t="s">
        <v>18</v>
      </c>
      <c r="D51" s="40">
        <v>0</v>
      </c>
    </row>
    <row r="52" spans="1:4" ht="22.5" customHeight="1" x14ac:dyDescent="0.15">
      <c r="A52" s="16" t="s">
        <v>1139</v>
      </c>
      <c r="B52" s="12" t="s">
        <v>1136</v>
      </c>
      <c r="C52" s="13" t="s">
        <v>18</v>
      </c>
      <c r="D52" s="40">
        <v>0</v>
      </c>
    </row>
    <row r="53" spans="1:4" ht="22.5" customHeight="1" x14ac:dyDescent="0.15">
      <c r="A53" s="16" t="s">
        <v>406</v>
      </c>
      <c r="B53" s="12" t="s">
        <v>1140</v>
      </c>
      <c r="C53" s="13" t="s">
        <v>115</v>
      </c>
      <c r="D53" s="40">
        <v>0</v>
      </c>
    </row>
    <row r="54" spans="1:4" ht="22.5" customHeight="1" x14ac:dyDescent="0.15">
      <c r="A54" s="16" t="s">
        <v>406</v>
      </c>
      <c r="B54" s="12" t="s">
        <v>1141</v>
      </c>
      <c r="C54" s="13" t="s">
        <v>30</v>
      </c>
      <c r="D54" s="40">
        <v>0</v>
      </c>
    </row>
    <row r="55" spans="1:4" ht="22.5" customHeight="1" x14ac:dyDescent="0.15">
      <c r="A55" s="16" t="s">
        <v>410</v>
      </c>
      <c r="B55" s="12" t="s">
        <v>1142</v>
      </c>
      <c r="C55" s="13" t="s">
        <v>30</v>
      </c>
      <c r="D55" s="40">
        <v>0</v>
      </c>
    </row>
    <row r="56" spans="1:4" ht="22.5" customHeight="1" x14ac:dyDescent="0.15">
      <c r="A56" s="16" t="s">
        <v>410</v>
      </c>
      <c r="B56" s="12" t="s">
        <v>1143</v>
      </c>
      <c r="C56" s="13" t="s">
        <v>30</v>
      </c>
      <c r="D56" s="40">
        <v>0</v>
      </c>
    </row>
    <row r="57" spans="1:4" ht="22.5" customHeight="1" x14ac:dyDescent="0.15">
      <c r="A57" s="16" t="s">
        <v>417</v>
      </c>
      <c r="B57" s="12" t="s">
        <v>1144</v>
      </c>
      <c r="C57" s="13" t="s">
        <v>18</v>
      </c>
      <c r="D57" s="40">
        <v>0</v>
      </c>
    </row>
    <row r="58" spans="1:4" ht="22.5" customHeight="1" x14ac:dyDescent="0.15">
      <c r="A58" s="16" t="s">
        <v>417</v>
      </c>
      <c r="B58" s="12" t="s">
        <v>1145</v>
      </c>
      <c r="C58" s="13" t="s">
        <v>12</v>
      </c>
      <c r="D58" s="40">
        <v>0</v>
      </c>
    </row>
    <row r="59" spans="1:4" ht="22.5" customHeight="1" x14ac:dyDescent="0.15">
      <c r="A59" s="15" t="s">
        <v>417</v>
      </c>
      <c r="B59" s="12" t="s">
        <v>1146</v>
      </c>
      <c r="C59" s="13" t="s">
        <v>12</v>
      </c>
      <c r="D59" s="40">
        <v>0</v>
      </c>
    </row>
    <row r="60" spans="1:4" ht="22.5" customHeight="1" x14ac:dyDescent="0.15">
      <c r="A60" s="16" t="s">
        <v>425</v>
      </c>
      <c r="B60" s="12" t="s">
        <v>1147</v>
      </c>
      <c r="C60" s="13" t="s">
        <v>88</v>
      </c>
      <c r="D60" s="40">
        <v>0</v>
      </c>
    </row>
    <row r="61" spans="1:4" ht="22.5" customHeight="1" x14ac:dyDescent="0.15">
      <c r="A61" s="16" t="s">
        <v>1150</v>
      </c>
      <c r="B61" s="12" t="s">
        <v>1151</v>
      </c>
      <c r="C61" s="13" t="s">
        <v>23</v>
      </c>
      <c r="D61" s="40">
        <v>0</v>
      </c>
    </row>
    <row r="62" spans="1:4" ht="22.5" customHeight="1" x14ac:dyDescent="0.15">
      <c r="A62" s="16" t="s">
        <v>429</v>
      </c>
      <c r="B62" s="12" t="s">
        <v>1152</v>
      </c>
      <c r="C62" s="13" t="s">
        <v>136</v>
      </c>
      <c r="D62" s="40">
        <v>0</v>
      </c>
    </row>
    <row r="63" spans="1:4" ht="22.5" customHeight="1" x14ac:dyDescent="0.15">
      <c r="A63" s="16" t="s">
        <v>429</v>
      </c>
      <c r="B63" s="12" t="s">
        <v>1153</v>
      </c>
      <c r="C63" s="13" t="s">
        <v>30</v>
      </c>
      <c r="D63" s="40">
        <v>0</v>
      </c>
    </row>
    <row r="64" spans="1:4" ht="22.5" customHeight="1" x14ac:dyDescent="0.15">
      <c r="A64" s="16" t="s">
        <v>434</v>
      </c>
      <c r="B64" s="12" t="s">
        <v>1154</v>
      </c>
      <c r="C64" s="13" t="s">
        <v>12</v>
      </c>
      <c r="D64" s="40">
        <v>0</v>
      </c>
    </row>
    <row r="65" spans="1:4" ht="22.5" customHeight="1" x14ac:dyDescent="0.15">
      <c r="A65" s="16" t="s">
        <v>1155</v>
      </c>
      <c r="B65" s="12" t="s">
        <v>935</v>
      </c>
      <c r="C65" s="13" t="s">
        <v>88</v>
      </c>
      <c r="D65" s="40">
        <v>1</v>
      </c>
    </row>
    <row r="66" spans="1:4" ht="22.5" customHeight="1" x14ac:dyDescent="0.15">
      <c r="A66" s="16" t="s">
        <v>1155</v>
      </c>
      <c r="B66" s="12" t="s">
        <v>936</v>
      </c>
      <c r="C66" s="13" t="s">
        <v>12</v>
      </c>
      <c r="D66" s="40">
        <v>1</v>
      </c>
    </row>
    <row r="67" spans="1:4" ht="22.5" customHeight="1" x14ac:dyDescent="0.15">
      <c r="A67" s="16" t="s">
        <v>1155</v>
      </c>
      <c r="B67" s="12" t="s">
        <v>937</v>
      </c>
      <c r="C67" s="13" t="s">
        <v>30</v>
      </c>
      <c r="D67" s="40">
        <v>1</v>
      </c>
    </row>
    <row r="68" spans="1:4" ht="22.5" customHeight="1" x14ac:dyDescent="0.15">
      <c r="A68" s="16" t="s">
        <v>1155</v>
      </c>
      <c r="B68" s="12" t="s">
        <v>938</v>
      </c>
      <c r="C68" s="13" t="s">
        <v>12</v>
      </c>
      <c r="D68" s="40">
        <v>1</v>
      </c>
    </row>
    <row r="69" spans="1:4" ht="22.5" customHeight="1" x14ac:dyDescent="0.15">
      <c r="A69" s="16" t="s">
        <v>1155</v>
      </c>
      <c r="B69" s="12" t="s">
        <v>939</v>
      </c>
      <c r="C69" s="13" t="s">
        <v>219</v>
      </c>
      <c r="D69" s="40">
        <v>1</v>
      </c>
    </row>
    <row r="70" spans="1:4" ht="22.5" customHeight="1" x14ac:dyDescent="0.15">
      <c r="A70" s="16" t="s">
        <v>1155</v>
      </c>
      <c r="B70" s="12" t="s">
        <v>940</v>
      </c>
      <c r="C70" s="13" t="s">
        <v>30</v>
      </c>
      <c r="D70" s="40">
        <v>1</v>
      </c>
    </row>
    <row r="71" spans="1:4" ht="22.5" customHeight="1" x14ac:dyDescent="0.15">
      <c r="A71" s="16" t="s">
        <v>45</v>
      </c>
      <c r="B71" s="12" t="s">
        <v>1156</v>
      </c>
      <c r="C71" s="13" t="s">
        <v>30</v>
      </c>
      <c r="D71" s="40">
        <v>0</v>
      </c>
    </row>
    <row r="72" spans="1:4" ht="22.5" customHeight="1" x14ac:dyDescent="0.15">
      <c r="A72" s="15" t="s">
        <v>45</v>
      </c>
      <c r="B72" s="12" t="s">
        <v>1157</v>
      </c>
      <c r="C72" s="13" t="s">
        <v>18</v>
      </c>
      <c r="D72" s="40">
        <v>0</v>
      </c>
    </row>
    <row r="73" spans="1:4" ht="22.5" customHeight="1" x14ac:dyDescent="0.15">
      <c r="A73" s="16" t="s">
        <v>45</v>
      </c>
      <c r="B73" s="12" t="s">
        <v>1158</v>
      </c>
      <c r="C73" s="13" t="s">
        <v>18</v>
      </c>
      <c r="D73" s="40">
        <v>0</v>
      </c>
    </row>
    <row r="74" spans="1:4" ht="22.5" customHeight="1" x14ac:dyDescent="0.15">
      <c r="A74" s="16" t="s">
        <v>1161</v>
      </c>
      <c r="B74" s="12" t="s">
        <v>1162</v>
      </c>
      <c r="C74" s="13" t="s">
        <v>18</v>
      </c>
      <c r="D74" s="40">
        <v>0</v>
      </c>
    </row>
    <row r="75" spans="1:4" ht="22.5" customHeight="1" x14ac:dyDescent="0.15">
      <c r="A75" s="16" t="s">
        <v>1165</v>
      </c>
      <c r="B75" s="12" t="s">
        <v>1166</v>
      </c>
      <c r="C75" s="13" t="s">
        <v>88</v>
      </c>
      <c r="D75" s="40">
        <v>0</v>
      </c>
    </row>
    <row r="76" spans="1:4" ht="22.5" customHeight="1" x14ac:dyDescent="0.15">
      <c r="A76" s="16" t="s">
        <v>1165</v>
      </c>
      <c r="B76" s="12" t="s">
        <v>1167</v>
      </c>
      <c r="C76" s="13" t="s">
        <v>136</v>
      </c>
      <c r="D76" s="40">
        <v>0</v>
      </c>
    </row>
    <row r="77" spans="1:4" ht="22.5" customHeight="1" x14ac:dyDescent="0.15">
      <c r="A77" s="16" t="s">
        <v>439</v>
      </c>
      <c r="B77" s="12" t="s">
        <v>1168</v>
      </c>
      <c r="C77" s="13" t="s">
        <v>219</v>
      </c>
      <c r="D77" s="40">
        <v>0</v>
      </c>
    </row>
    <row r="78" spans="1:4" ht="22.5" customHeight="1" x14ac:dyDescent="0.15">
      <c r="A78" s="16" t="s">
        <v>443</v>
      </c>
      <c r="B78" s="12" t="s">
        <v>1169</v>
      </c>
      <c r="C78" s="13" t="s">
        <v>18</v>
      </c>
      <c r="D78" s="40">
        <v>0</v>
      </c>
    </row>
    <row r="79" spans="1:4" ht="22.5" customHeight="1" x14ac:dyDescent="0.15">
      <c r="A79" s="16" t="s">
        <v>443</v>
      </c>
      <c r="B79" s="12" t="s">
        <v>1170</v>
      </c>
      <c r="C79" s="13" t="s">
        <v>136</v>
      </c>
      <c r="D79" s="40">
        <v>0</v>
      </c>
    </row>
    <row r="80" spans="1:4" ht="22.5" customHeight="1" x14ac:dyDescent="0.15">
      <c r="A80" s="16" t="s">
        <v>443</v>
      </c>
      <c r="B80" s="12" t="s">
        <v>1171</v>
      </c>
      <c r="C80" s="13" t="s">
        <v>18</v>
      </c>
      <c r="D80" s="40">
        <v>0</v>
      </c>
    </row>
    <row r="81" spans="1:4" ht="22.5" customHeight="1" x14ac:dyDescent="0.15">
      <c r="A81" s="16" t="s">
        <v>443</v>
      </c>
      <c r="B81" s="12" t="s">
        <v>1172</v>
      </c>
      <c r="C81" s="13" t="s">
        <v>18</v>
      </c>
      <c r="D81" s="40">
        <v>0</v>
      </c>
    </row>
    <row r="82" spans="1:4" ht="22.5" customHeight="1" x14ac:dyDescent="0.15">
      <c r="A82" s="16" t="s">
        <v>447</v>
      </c>
      <c r="B82" s="12" t="s">
        <v>1173</v>
      </c>
      <c r="C82" s="13" t="s">
        <v>30</v>
      </c>
      <c r="D82" s="40">
        <v>0</v>
      </c>
    </row>
    <row r="83" spans="1:4" ht="22.5" customHeight="1" x14ac:dyDescent="0.15">
      <c r="A83" s="16" t="s">
        <v>447</v>
      </c>
      <c r="B83" s="12" t="s">
        <v>1174</v>
      </c>
      <c r="C83" s="13" t="s">
        <v>30</v>
      </c>
      <c r="D83" s="40">
        <v>0</v>
      </c>
    </row>
    <row r="84" spans="1:4" ht="22.5" customHeight="1" x14ac:dyDescent="0.15">
      <c r="A84" s="16" t="s">
        <v>447</v>
      </c>
      <c r="B84" s="12" t="s">
        <v>1175</v>
      </c>
      <c r="C84" s="13" t="s">
        <v>30</v>
      </c>
      <c r="D84" s="40">
        <v>0</v>
      </c>
    </row>
    <row r="85" spans="1:4" ht="22.5" customHeight="1" x14ac:dyDescent="0.15">
      <c r="A85" s="16" t="s">
        <v>456</v>
      </c>
      <c r="B85" s="12" t="s">
        <v>1173</v>
      </c>
      <c r="C85" s="13" t="s">
        <v>30</v>
      </c>
      <c r="D85" s="40">
        <v>0</v>
      </c>
    </row>
    <row r="86" spans="1:4" ht="22.5" customHeight="1" x14ac:dyDescent="0.15">
      <c r="A86" s="16" t="s">
        <v>456</v>
      </c>
      <c r="B86" s="12" t="s">
        <v>1174</v>
      </c>
      <c r="C86" s="13" t="s">
        <v>30</v>
      </c>
      <c r="D86" s="40">
        <v>0</v>
      </c>
    </row>
    <row r="87" spans="1:4" ht="22.5" customHeight="1" x14ac:dyDescent="0.15">
      <c r="A87" s="16" t="s">
        <v>456</v>
      </c>
      <c r="B87" s="12" t="s">
        <v>1175</v>
      </c>
      <c r="C87" s="13" t="s">
        <v>30</v>
      </c>
      <c r="D87" s="40">
        <v>0</v>
      </c>
    </row>
    <row r="88" spans="1:4" ht="22.5" customHeight="1" x14ac:dyDescent="0.15">
      <c r="A88" s="16" t="s">
        <v>460</v>
      </c>
      <c r="B88" s="12" t="s">
        <v>1176</v>
      </c>
      <c r="C88" s="13" t="s">
        <v>136</v>
      </c>
      <c r="D88" s="40">
        <v>0</v>
      </c>
    </row>
    <row r="89" spans="1:4" ht="22.5" customHeight="1" x14ac:dyDescent="0.15">
      <c r="A89" s="16" t="s">
        <v>463</v>
      </c>
      <c r="B89" s="12" t="s">
        <v>1177</v>
      </c>
      <c r="C89" s="13" t="s">
        <v>83</v>
      </c>
      <c r="D89" s="40">
        <v>0</v>
      </c>
    </row>
    <row r="90" spans="1:4" ht="22.5" customHeight="1" x14ac:dyDescent="0.15">
      <c r="A90" s="16" t="s">
        <v>463</v>
      </c>
      <c r="B90" s="12" t="s">
        <v>959</v>
      </c>
      <c r="C90" s="13" t="s">
        <v>88</v>
      </c>
      <c r="D90" s="40">
        <v>1</v>
      </c>
    </row>
    <row r="91" spans="1:4" ht="22.5" customHeight="1" x14ac:dyDescent="0.15">
      <c r="A91" s="16" t="s">
        <v>473</v>
      </c>
      <c r="B91" s="12" t="s">
        <v>1178</v>
      </c>
      <c r="C91" s="13" t="s">
        <v>83</v>
      </c>
      <c r="D91" s="40">
        <v>0</v>
      </c>
    </row>
    <row r="92" spans="1:4" ht="22.5" customHeight="1" x14ac:dyDescent="0.15">
      <c r="A92" s="16" t="s">
        <v>1181</v>
      </c>
      <c r="B92" s="12" t="s">
        <v>1182</v>
      </c>
      <c r="C92" s="13" t="s">
        <v>88</v>
      </c>
      <c r="D92" s="40">
        <v>0</v>
      </c>
    </row>
    <row r="93" spans="1:4" ht="22.5" customHeight="1" x14ac:dyDescent="0.15">
      <c r="A93" s="16" t="s">
        <v>703</v>
      </c>
      <c r="B93" s="12" t="s">
        <v>1183</v>
      </c>
      <c r="C93" s="13" t="s">
        <v>136</v>
      </c>
      <c r="D93" s="40">
        <v>0</v>
      </c>
    </row>
    <row r="94" spans="1:4" ht="22.5" customHeight="1" x14ac:dyDescent="0.15">
      <c r="A94" s="16" t="s">
        <v>1185</v>
      </c>
      <c r="B94" s="12" t="s">
        <v>1186</v>
      </c>
      <c r="C94" s="13" t="s">
        <v>88</v>
      </c>
      <c r="D94" s="40">
        <v>0</v>
      </c>
    </row>
    <row r="95" spans="1:4" ht="22.5" customHeight="1" x14ac:dyDescent="0.15">
      <c r="A95" s="16" t="s">
        <v>1185</v>
      </c>
      <c r="B95" s="12" t="s">
        <v>1187</v>
      </c>
      <c r="C95" s="13" t="s">
        <v>88</v>
      </c>
      <c r="D95" s="40">
        <v>0</v>
      </c>
    </row>
    <row r="96" spans="1:4" ht="22.5" customHeight="1" x14ac:dyDescent="0.15">
      <c r="A96" s="16" t="s">
        <v>1185</v>
      </c>
      <c r="B96" s="12" t="s">
        <v>1188</v>
      </c>
      <c r="C96" s="13" t="s">
        <v>30</v>
      </c>
      <c r="D96" s="40">
        <v>0</v>
      </c>
    </row>
    <row r="97" spans="1:4" ht="22.5" customHeight="1" x14ac:dyDescent="0.15">
      <c r="A97" s="16" t="s">
        <v>1185</v>
      </c>
      <c r="B97" s="12" t="s">
        <v>1189</v>
      </c>
      <c r="C97" s="13" t="s">
        <v>30</v>
      </c>
      <c r="D97" s="40">
        <v>0</v>
      </c>
    </row>
    <row r="98" spans="1:4" ht="22.5" customHeight="1" x14ac:dyDescent="0.15">
      <c r="A98" s="16" t="s">
        <v>1191</v>
      </c>
      <c r="B98" s="12" t="s">
        <v>1192</v>
      </c>
      <c r="C98" s="13" t="s">
        <v>18</v>
      </c>
      <c r="D98" s="40">
        <v>0</v>
      </c>
    </row>
    <row r="99" spans="1:4" ht="22.5" customHeight="1" x14ac:dyDescent="0.15">
      <c r="A99" s="16" t="s">
        <v>1194</v>
      </c>
      <c r="B99" s="12" t="s">
        <v>1195</v>
      </c>
      <c r="C99" s="13" t="s">
        <v>18</v>
      </c>
      <c r="D99" s="40">
        <v>0</v>
      </c>
    </row>
    <row r="100" spans="1:4" ht="22.5" customHeight="1" x14ac:dyDescent="0.15">
      <c r="A100" s="16" t="s">
        <v>485</v>
      </c>
      <c r="B100" s="12" t="s">
        <v>1196</v>
      </c>
      <c r="C100" s="13" t="s">
        <v>30</v>
      </c>
      <c r="D100" s="40">
        <v>0</v>
      </c>
    </row>
    <row r="101" spans="1:4" ht="22.5" customHeight="1" x14ac:dyDescent="0.15">
      <c r="A101" s="16" t="s">
        <v>1199</v>
      </c>
      <c r="B101" s="12" t="s">
        <v>1200</v>
      </c>
      <c r="C101" s="13" t="s">
        <v>136</v>
      </c>
      <c r="D101" s="40">
        <v>0</v>
      </c>
    </row>
    <row r="102" spans="1:4" ht="22.5" customHeight="1" x14ac:dyDescent="0.15">
      <c r="A102" s="16" t="s">
        <v>1203</v>
      </c>
      <c r="B102" s="12" t="s">
        <v>1204</v>
      </c>
      <c r="C102" s="13" t="s">
        <v>83</v>
      </c>
      <c r="D102" s="40">
        <v>0</v>
      </c>
    </row>
    <row r="103" spans="1:4" ht="22.5" customHeight="1" x14ac:dyDescent="0.15">
      <c r="A103" s="16" t="s">
        <v>1207</v>
      </c>
      <c r="B103" s="12" t="s">
        <v>1208</v>
      </c>
      <c r="C103" s="13" t="s">
        <v>83</v>
      </c>
      <c r="D103" s="40">
        <v>0</v>
      </c>
    </row>
    <row r="104" spans="1:4" ht="22.5" customHeight="1" x14ac:dyDescent="0.15">
      <c r="A104" s="16" t="s">
        <v>1210</v>
      </c>
      <c r="B104" s="12" t="s">
        <v>1186</v>
      </c>
      <c r="C104" s="13" t="s">
        <v>88</v>
      </c>
      <c r="D104" s="40">
        <v>0</v>
      </c>
    </row>
    <row r="105" spans="1:4" ht="22.5" customHeight="1" x14ac:dyDescent="0.15">
      <c r="A105" s="16" t="s">
        <v>1211</v>
      </c>
      <c r="B105" s="12" t="s">
        <v>1212</v>
      </c>
      <c r="C105" s="13" t="s">
        <v>23</v>
      </c>
      <c r="D105" s="40">
        <v>0</v>
      </c>
    </row>
    <row r="106" spans="1:4" ht="22.5" customHeight="1" x14ac:dyDescent="0.15">
      <c r="A106" s="16" t="s">
        <v>1211</v>
      </c>
      <c r="B106" s="12" t="s">
        <v>1213</v>
      </c>
      <c r="C106" s="13" t="s">
        <v>18</v>
      </c>
      <c r="D106" s="40">
        <v>0</v>
      </c>
    </row>
    <row r="107" spans="1:4" ht="22.5" customHeight="1" x14ac:dyDescent="0.15">
      <c r="A107" s="16" t="s">
        <v>57</v>
      </c>
      <c r="B107" s="12" t="s">
        <v>1214</v>
      </c>
      <c r="C107" s="13" t="s">
        <v>12</v>
      </c>
      <c r="D107" s="40">
        <v>0</v>
      </c>
    </row>
    <row r="108" spans="1:4" ht="22.5" customHeight="1" x14ac:dyDescent="0.15">
      <c r="A108" s="16" t="s">
        <v>57</v>
      </c>
      <c r="B108" s="12" t="s">
        <v>1215</v>
      </c>
      <c r="C108" s="13" t="s">
        <v>88</v>
      </c>
      <c r="D108" s="40">
        <v>0</v>
      </c>
    </row>
    <row r="109" spans="1:4" ht="22.5" customHeight="1" x14ac:dyDescent="0.15">
      <c r="A109" s="16" t="s">
        <v>57</v>
      </c>
      <c r="B109" s="12" t="s">
        <v>1216</v>
      </c>
      <c r="C109" s="13" t="s">
        <v>136</v>
      </c>
      <c r="D109" s="40">
        <v>0</v>
      </c>
    </row>
    <row r="110" spans="1:4" ht="22.5" customHeight="1" x14ac:dyDescent="0.15">
      <c r="A110" s="16" t="s">
        <v>57</v>
      </c>
      <c r="B110" s="12" t="s">
        <v>1217</v>
      </c>
      <c r="C110" s="13" t="s">
        <v>12</v>
      </c>
      <c r="D110" s="40">
        <v>0</v>
      </c>
    </row>
    <row r="111" spans="1:4" ht="22.5" customHeight="1" x14ac:dyDescent="0.15">
      <c r="A111" s="16" t="s">
        <v>57</v>
      </c>
      <c r="B111" s="12" t="s">
        <v>1218</v>
      </c>
      <c r="C111" s="13" t="s">
        <v>88</v>
      </c>
      <c r="D111" s="40">
        <v>0</v>
      </c>
    </row>
    <row r="112" spans="1:4" ht="22.5" customHeight="1" x14ac:dyDescent="0.15">
      <c r="A112" s="16" t="s">
        <v>57</v>
      </c>
      <c r="B112" s="12" t="s">
        <v>1219</v>
      </c>
      <c r="C112" s="13" t="s">
        <v>18</v>
      </c>
      <c r="D112" s="40">
        <v>0</v>
      </c>
    </row>
    <row r="113" spans="1:4" ht="22.5" customHeight="1" x14ac:dyDescent="0.15">
      <c r="A113" s="16" t="s">
        <v>57</v>
      </c>
      <c r="B113" s="12" t="s">
        <v>1218</v>
      </c>
      <c r="C113" s="13" t="s">
        <v>88</v>
      </c>
      <c r="D113" s="40">
        <v>0</v>
      </c>
    </row>
    <row r="114" spans="1:4" ht="22.5" customHeight="1" x14ac:dyDescent="0.15">
      <c r="A114" s="16" t="s">
        <v>57</v>
      </c>
      <c r="B114" s="12" t="s">
        <v>1220</v>
      </c>
      <c r="C114" s="13" t="s">
        <v>18</v>
      </c>
      <c r="D114" s="40">
        <v>0</v>
      </c>
    </row>
    <row r="115" spans="1:4" ht="22.5" customHeight="1" x14ac:dyDescent="0.15">
      <c r="A115" s="16" t="s">
        <v>497</v>
      </c>
      <c r="B115" s="12" t="s">
        <v>1221</v>
      </c>
      <c r="C115" s="13" t="s">
        <v>88</v>
      </c>
      <c r="D115" s="40">
        <v>0</v>
      </c>
    </row>
    <row r="116" spans="1:4" ht="22.5" customHeight="1" x14ac:dyDescent="0.15">
      <c r="A116" s="16" t="s">
        <v>497</v>
      </c>
      <c r="B116" s="12" t="s">
        <v>1222</v>
      </c>
      <c r="C116" s="13" t="s">
        <v>88</v>
      </c>
      <c r="D116" s="40">
        <v>0</v>
      </c>
    </row>
    <row r="117" spans="1:4" ht="22.5" customHeight="1" x14ac:dyDescent="0.15">
      <c r="A117" s="16" t="s">
        <v>497</v>
      </c>
      <c r="B117" s="12" t="s">
        <v>1223</v>
      </c>
      <c r="C117" s="13" t="s">
        <v>88</v>
      </c>
      <c r="D117" s="40">
        <v>0</v>
      </c>
    </row>
    <row r="118" spans="1:4" ht="22.5" customHeight="1" x14ac:dyDescent="0.15">
      <c r="A118" s="16" t="s">
        <v>500</v>
      </c>
      <c r="B118" s="12" t="s">
        <v>1224</v>
      </c>
      <c r="C118" s="13" t="s">
        <v>83</v>
      </c>
      <c r="D118" s="40">
        <v>0</v>
      </c>
    </row>
    <row r="119" spans="1:4" ht="22.5" customHeight="1" x14ac:dyDescent="0.15">
      <c r="A119" s="16" t="s">
        <v>503</v>
      </c>
      <c r="B119" s="12" t="s">
        <v>1225</v>
      </c>
      <c r="C119" s="13" t="s">
        <v>342</v>
      </c>
      <c r="D119" s="40">
        <v>0</v>
      </c>
    </row>
    <row r="120" spans="1:4" ht="22.5" customHeight="1" x14ac:dyDescent="0.15">
      <c r="A120" s="16" t="s">
        <v>511</v>
      </c>
      <c r="B120" s="12" t="s">
        <v>1226</v>
      </c>
      <c r="C120" s="13" t="s">
        <v>18</v>
      </c>
      <c r="D120" s="40">
        <v>0</v>
      </c>
    </row>
    <row r="121" spans="1:4" ht="22.5" customHeight="1" x14ac:dyDescent="0.15">
      <c r="A121" s="16" t="s">
        <v>112</v>
      </c>
      <c r="B121" s="12" t="s">
        <v>783</v>
      </c>
      <c r="C121" s="13" t="s">
        <v>18</v>
      </c>
      <c r="D121" s="40">
        <v>2</v>
      </c>
    </row>
    <row r="122" spans="1:4" ht="22.5" customHeight="1" x14ac:dyDescent="0.15">
      <c r="A122" s="16" t="s">
        <v>1229</v>
      </c>
      <c r="B122" s="12" t="s">
        <v>1230</v>
      </c>
      <c r="C122" s="13" t="s">
        <v>18</v>
      </c>
      <c r="D122" s="40">
        <v>0</v>
      </c>
    </row>
    <row r="123" spans="1:4" ht="22.5" customHeight="1" x14ac:dyDescent="0.15">
      <c r="A123" s="16" t="s">
        <v>1229</v>
      </c>
      <c r="B123" s="12" t="s">
        <v>1231</v>
      </c>
      <c r="C123" s="13" t="s">
        <v>30</v>
      </c>
      <c r="D123" s="40">
        <v>0</v>
      </c>
    </row>
    <row r="124" spans="1:4" ht="22.5" customHeight="1" x14ac:dyDescent="0.15">
      <c r="A124" s="16" t="s">
        <v>617</v>
      </c>
      <c r="B124" s="12" t="s">
        <v>1232</v>
      </c>
      <c r="C124" s="13" t="s">
        <v>88</v>
      </c>
      <c r="D124" s="40">
        <v>0</v>
      </c>
    </row>
    <row r="125" spans="1:4" ht="22.5" customHeight="1" x14ac:dyDescent="0.15">
      <c r="A125" s="16" t="s">
        <v>1234</v>
      </c>
      <c r="B125" s="12" t="s">
        <v>1235</v>
      </c>
      <c r="C125" s="13" t="s">
        <v>88</v>
      </c>
      <c r="D125" s="40">
        <v>0</v>
      </c>
    </row>
    <row r="126" spans="1:4" ht="22.5" customHeight="1" x14ac:dyDescent="0.15">
      <c r="A126" s="16" t="s">
        <v>1234</v>
      </c>
      <c r="B126" s="12" t="s">
        <v>1236</v>
      </c>
      <c r="C126" s="13" t="s">
        <v>23</v>
      </c>
      <c r="D126" s="40">
        <v>0</v>
      </c>
    </row>
    <row r="127" spans="1:4" ht="22.5" customHeight="1" x14ac:dyDescent="0.15">
      <c r="A127" s="16" t="s">
        <v>523</v>
      </c>
      <c r="B127" s="12" t="s">
        <v>1237</v>
      </c>
      <c r="C127" s="13" t="s">
        <v>219</v>
      </c>
      <c r="D127" s="40">
        <v>0</v>
      </c>
    </row>
    <row r="128" spans="1:4" ht="22.5" customHeight="1" x14ac:dyDescent="0.15">
      <c r="A128" s="16" t="s">
        <v>523</v>
      </c>
      <c r="B128" s="12" t="s">
        <v>1238</v>
      </c>
      <c r="C128" s="13" t="s">
        <v>219</v>
      </c>
      <c r="D128" s="40">
        <v>0</v>
      </c>
    </row>
    <row r="129" spans="1:4" ht="22.5" customHeight="1" x14ac:dyDescent="0.15">
      <c r="A129" s="16" t="s">
        <v>523</v>
      </c>
      <c r="B129" s="12" t="s">
        <v>1239</v>
      </c>
      <c r="C129" s="13" t="s">
        <v>219</v>
      </c>
      <c r="D129" s="40">
        <v>0</v>
      </c>
    </row>
    <row r="130" spans="1:4" ht="22.5" customHeight="1" x14ac:dyDescent="0.15">
      <c r="A130" s="16" t="s">
        <v>523</v>
      </c>
      <c r="B130" s="12" t="s">
        <v>1240</v>
      </c>
      <c r="C130" s="13" t="s">
        <v>88</v>
      </c>
      <c r="D130" s="40">
        <v>0</v>
      </c>
    </row>
    <row r="131" spans="1:4" ht="22.5" customHeight="1" x14ac:dyDescent="0.15">
      <c r="A131" s="16" t="s">
        <v>1242</v>
      </c>
      <c r="B131" s="12" t="s">
        <v>1243</v>
      </c>
      <c r="C131" s="13" t="s">
        <v>18</v>
      </c>
      <c r="D131" s="40">
        <v>0</v>
      </c>
    </row>
    <row r="132" spans="1:4" ht="22.5" customHeight="1" x14ac:dyDescent="0.15">
      <c r="A132" s="16" t="s">
        <v>1242</v>
      </c>
      <c r="B132" s="12" t="s">
        <v>1244</v>
      </c>
      <c r="C132" s="13" t="s">
        <v>18</v>
      </c>
      <c r="D132" s="40">
        <v>0</v>
      </c>
    </row>
    <row r="133" spans="1:4" ht="22.5" customHeight="1" x14ac:dyDescent="0.15">
      <c r="A133" s="16" t="s">
        <v>1242</v>
      </c>
      <c r="B133" s="12" t="s">
        <v>1245</v>
      </c>
      <c r="C133" s="13" t="s">
        <v>18</v>
      </c>
      <c r="D133" s="40">
        <v>0</v>
      </c>
    </row>
    <row r="134" spans="1:4" ht="22.5" customHeight="1" x14ac:dyDescent="0.15">
      <c r="A134" s="16" t="s">
        <v>696</v>
      </c>
      <c r="B134" s="12" t="s">
        <v>1246</v>
      </c>
      <c r="C134" s="13" t="s">
        <v>18</v>
      </c>
      <c r="D134" s="40">
        <v>602</v>
      </c>
    </row>
    <row r="135" spans="1:4" ht="22.5" customHeight="1" x14ac:dyDescent="0.15">
      <c r="A135" s="16" t="s">
        <v>696</v>
      </c>
      <c r="B135" s="12" t="s">
        <v>1247</v>
      </c>
      <c r="C135" s="13" t="s">
        <v>136</v>
      </c>
      <c r="D135" s="40">
        <v>0</v>
      </c>
    </row>
    <row r="136" spans="1:4" ht="22.5" customHeight="1" x14ac:dyDescent="0.15">
      <c r="A136" s="16" t="s">
        <v>696</v>
      </c>
      <c r="B136" s="12" t="s">
        <v>1248</v>
      </c>
      <c r="C136" s="13" t="s">
        <v>23</v>
      </c>
      <c r="D136" s="40">
        <v>0</v>
      </c>
    </row>
    <row r="137" spans="1:4" ht="22.5" customHeight="1" x14ac:dyDescent="0.15">
      <c r="A137" s="16" t="s">
        <v>553</v>
      </c>
      <c r="B137" s="12" t="s">
        <v>1249</v>
      </c>
      <c r="C137" s="13" t="s">
        <v>30</v>
      </c>
      <c r="D137" s="40">
        <v>0</v>
      </c>
    </row>
    <row r="138" spans="1:4" ht="22.5" customHeight="1" x14ac:dyDescent="0.15">
      <c r="A138" s="16" t="s">
        <v>553</v>
      </c>
      <c r="B138" s="12" t="s">
        <v>1250</v>
      </c>
      <c r="C138" s="13" t="s">
        <v>30</v>
      </c>
      <c r="D138" s="40">
        <v>0</v>
      </c>
    </row>
    <row r="139" spans="1:4" ht="22.5" customHeight="1" x14ac:dyDescent="0.15">
      <c r="A139" s="16" t="s">
        <v>553</v>
      </c>
      <c r="B139" s="12" t="s">
        <v>1251</v>
      </c>
      <c r="C139" s="13" t="s">
        <v>30</v>
      </c>
      <c r="D139" s="40">
        <v>0</v>
      </c>
    </row>
    <row r="140" spans="1:4" ht="22.5" customHeight="1" x14ac:dyDescent="0.15">
      <c r="A140" s="16" t="s">
        <v>553</v>
      </c>
      <c r="B140" s="12" t="s">
        <v>1252</v>
      </c>
      <c r="C140" s="13" t="s">
        <v>30</v>
      </c>
      <c r="D140" s="40">
        <v>0</v>
      </c>
    </row>
    <row r="141" spans="1:4" ht="22.5" customHeight="1" x14ac:dyDescent="0.15">
      <c r="A141" s="16" t="s">
        <v>553</v>
      </c>
      <c r="B141" s="12" t="s">
        <v>1253</v>
      </c>
      <c r="C141" s="13" t="s">
        <v>30</v>
      </c>
      <c r="D141" s="40">
        <v>0</v>
      </c>
    </row>
    <row r="142" spans="1:4" ht="22.5" customHeight="1" x14ac:dyDescent="0.15">
      <c r="A142" s="16" t="s">
        <v>553</v>
      </c>
      <c r="B142" s="12" t="s">
        <v>1254</v>
      </c>
      <c r="C142" s="13" t="s">
        <v>30</v>
      </c>
      <c r="D142" s="40">
        <v>0</v>
      </c>
    </row>
    <row r="143" spans="1:4" ht="22.5" customHeight="1" x14ac:dyDescent="0.15">
      <c r="A143" s="16" t="s">
        <v>1255</v>
      </c>
      <c r="B143" s="12" t="s">
        <v>845</v>
      </c>
      <c r="C143" s="13" t="s">
        <v>18</v>
      </c>
      <c r="D143" s="40">
        <v>1</v>
      </c>
    </row>
    <row r="144" spans="1:4" ht="22.5" customHeight="1" x14ac:dyDescent="0.15">
      <c r="A144" s="16" t="s">
        <v>1255</v>
      </c>
      <c r="B144" s="12" t="s">
        <v>783</v>
      </c>
      <c r="C144" s="13" t="s">
        <v>18</v>
      </c>
      <c r="D144" s="40">
        <v>2</v>
      </c>
    </row>
    <row r="145" spans="1:4" ht="22.5" customHeight="1" x14ac:dyDescent="0.15">
      <c r="A145" s="16" t="s">
        <v>563</v>
      </c>
      <c r="B145" s="12" t="s">
        <v>874</v>
      </c>
      <c r="C145" s="13" t="s">
        <v>30</v>
      </c>
      <c r="D145" s="40">
        <v>1</v>
      </c>
    </row>
    <row r="146" spans="1:4" ht="22.5" customHeight="1" x14ac:dyDescent="0.15">
      <c r="A146" s="16" t="s">
        <v>1257</v>
      </c>
      <c r="B146" s="12" t="s">
        <v>1258</v>
      </c>
      <c r="C146" s="13" t="s">
        <v>136</v>
      </c>
      <c r="D146" s="40">
        <v>0</v>
      </c>
    </row>
    <row r="147" spans="1:4" ht="22.5" customHeight="1" x14ac:dyDescent="0.15">
      <c r="A147" s="16" t="s">
        <v>1257</v>
      </c>
      <c r="B147" s="12" t="s">
        <v>1259</v>
      </c>
      <c r="C147" s="13" t="s">
        <v>136</v>
      </c>
      <c r="D147" s="40">
        <v>0</v>
      </c>
    </row>
    <row r="148" spans="1:4" ht="22.5" customHeight="1" x14ac:dyDescent="0.15">
      <c r="A148" s="16" t="s">
        <v>1257</v>
      </c>
      <c r="B148" s="12" t="s">
        <v>1260</v>
      </c>
      <c r="C148" s="13" t="s">
        <v>136</v>
      </c>
      <c r="D148" s="40">
        <v>0</v>
      </c>
    </row>
    <row r="149" spans="1:4" ht="22.5" customHeight="1" x14ac:dyDescent="0.15">
      <c r="A149" s="16" t="s">
        <v>103</v>
      </c>
      <c r="B149" s="12" t="s">
        <v>1261</v>
      </c>
      <c r="C149" s="13" t="s">
        <v>23</v>
      </c>
      <c r="D149" s="40">
        <v>0</v>
      </c>
    </row>
    <row r="150" spans="1:4" ht="22.5" customHeight="1" x14ac:dyDescent="0.15">
      <c r="A150" s="16" t="s">
        <v>103</v>
      </c>
      <c r="B150" s="12" t="s">
        <v>1262</v>
      </c>
      <c r="C150" s="13" t="s">
        <v>136</v>
      </c>
      <c r="D150" s="40">
        <v>0</v>
      </c>
    </row>
    <row r="151" spans="1:4" ht="22.5" customHeight="1" x14ac:dyDescent="0.15">
      <c r="A151" s="16" t="s">
        <v>1265</v>
      </c>
      <c r="B151" s="12" t="s">
        <v>1266</v>
      </c>
      <c r="C151" s="13" t="s">
        <v>83</v>
      </c>
      <c r="D151" s="40">
        <v>0</v>
      </c>
    </row>
    <row r="152" spans="1:4" ht="22.5" customHeight="1" x14ac:dyDescent="0.15">
      <c r="A152" s="16" t="s">
        <v>1265</v>
      </c>
      <c r="B152" s="12" t="s">
        <v>1267</v>
      </c>
      <c r="C152" s="13" t="s">
        <v>83</v>
      </c>
      <c r="D152" s="40">
        <v>0</v>
      </c>
    </row>
    <row r="153" spans="1:4" ht="22.5" customHeight="1" x14ac:dyDescent="0.15">
      <c r="A153" s="16" t="s">
        <v>1265</v>
      </c>
      <c r="B153" s="12" t="s">
        <v>1268</v>
      </c>
      <c r="C153" s="13" t="s">
        <v>115</v>
      </c>
      <c r="D153" s="40">
        <v>0</v>
      </c>
    </row>
    <row r="154" spans="1:4" ht="22.5" customHeight="1" x14ac:dyDescent="0.15">
      <c r="A154" s="16" t="s">
        <v>1271</v>
      </c>
      <c r="B154" s="12" t="s">
        <v>1272</v>
      </c>
      <c r="C154" s="13" t="s">
        <v>18</v>
      </c>
      <c r="D154" s="40">
        <v>0</v>
      </c>
    </row>
    <row r="155" spans="1:4" ht="22.5" customHeight="1" x14ac:dyDescent="0.15">
      <c r="A155" s="16" t="s">
        <v>1271</v>
      </c>
      <c r="B155" s="12" t="s">
        <v>1273</v>
      </c>
      <c r="C155" s="13" t="s">
        <v>18</v>
      </c>
      <c r="D155" s="40">
        <v>0</v>
      </c>
    </row>
    <row r="156" spans="1:4" ht="22.5" customHeight="1" x14ac:dyDescent="0.15">
      <c r="A156" s="16" t="s">
        <v>1271</v>
      </c>
      <c r="B156" s="12" t="s">
        <v>1274</v>
      </c>
      <c r="C156" s="13" t="s">
        <v>23</v>
      </c>
      <c r="D156" s="40">
        <v>0</v>
      </c>
    </row>
    <row r="157" spans="1:4" ht="22.5" customHeight="1" x14ac:dyDescent="0.15">
      <c r="A157" s="16" t="s">
        <v>572</v>
      </c>
      <c r="B157" s="12" t="s">
        <v>1275</v>
      </c>
      <c r="C157" s="13" t="s">
        <v>115</v>
      </c>
      <c r="D157" s="40">
        <v>0</v>
      </c>
    </row>
    <row r="158" spans="1:4" ht="22.5" customHeight="1" x14ac:dyDescent="0.15">
      <c r="A158" s="16" t="s">
        <v>572</v>
      </c>
      <c r="B158" s="12" t="s">
        <v>1276</v>
      </c>
      <c r="C158" s="13" t="s">
        <v>30</v>
      </c>
      <c r="D158" s="40">
        <v>0</v>
      </c>
    </row>
    <row r="159" spans="1:4" ht="22.5" customHeight="1" x14ac:dyDescent="0.15">
      <c r="A159" s="16" t="s">
        <v>572</v>
      </c>
      <c r="B159" s="12" t="s">
        <v>1277</v>
      </c>
      <c r="C159" s="13" t="s">
        <v>83</v>
      </c>
      <c r="D159" s="40">
        <v>0</v>
      </c>
    </row>
    <row r="160" spans="1:4" ht="22.5" customHeight="1" x14ac:dyDescent="0.15">
      <c r="A160" s="16" t="s">
        <v>572</v>
      </c>
      <c r="B160" s="12" t="s">
        <v>1278</v>
      </c>
      <c r="C160" s="13" t="s">
        <v>83</v>
      </c>
      <c r="D160" s="40">
        <v>0</v>
      </c>
    </row>
    <row r="161" spans="1:4" ht="22.5" customHeight="1" x14ac:dyDescent="0.15">
      <c r="A161" s="16" t="s">
        <v>572</v>
      </c>
      <c r="B161" s="12" t="s">
        <v>1279</v>
      </c>
      <c r="C161" s="13" t="s">
        <v>83</v>
      </c>
      <c r="D161" s="40">
        <v>0</v>
      </c>
    </row>
    <row r="162" spans="1:4" ht="22.5" customHeight="1" x14ac:dyDescent="0.15">
      <c r="A162" s="16" t="s">
        <v>572</v>
      </c>
      <c r="B162" s="12" t="s">
        <v>1277</v>
      </c>
      <c r="C162" s="13" t="s">
        <v>83</v>
      </c>
      <c r="D162" s="40">
        <v>0</v>
      </c>
    </row>
    <row r="163" spans="1:4" ht="22.5" customHeight="1" x14ac:dyDescent="0.15">
      <c r="A163" s="16" t="s">
        <v>572</v>
      </c>
      <c r="B163" s="12" t="s">
        <v>1280</v>
      </c>
      <c r="C163" s="13" t="s">
        <v>30</v>
      </c>
      <c r="D163" s="40">
        <v>0</v>
      </c>
    </row>
    <row r="164" spans="1:4" ht="22.5" customHeight="1" x14ac:dyDescent="0.15">
      <c r="A164" s="16" t="s">
        <v>577</v>
      </c>
      <c r="B164" s="12" t="s">
        <v>1281</v>
      </c>
      <c r="C164" s="13" t="s">
        <v>23</v>
      </c>
      <c r="D164" s="40">
        <v>0</v>
      </c>
    </row>
    <row r="165" spans="1:4" ht="22.5" customHeight="1" x14ac:dyDescent="0.15">
      <c r="A165" s="16" t="s">
        <v>577</v>
      </c>
      <c r="B165" s="12" t="s">
        <v>1282</v>
      </c>
      <c r="C165" s="13" t="s">
        <v>18</v>
      </c>
      <c r="D165" s="40">
        <v>0</v>
      </c>
    </row>
    <row r="166" spans="1:4" ht="22.5" customHeight="1" x14ac:dyDescent="0.15">
      <c r="A166" s="16" t="s">
        <v>577</v>
      </c>
      <c r="B166" s="12" t="s">
        <v>1283</v>
      </c>
      <c r="C166" s="13" t="s">
        <v>77</v>
      </c>
      <c r="D166" s="40">
        <v>0</v>
      </c>
    </row>
    <row r="167" spans="1:4" ht="22.5" customHeight="1" x14ac:dyDescent="0.15">
      <c r="A167" s="16" t="s">
        <v>577</v>
      </c>
      <c r="B167" s="12" t="s">
        <v>1284</v>
      </c>
      <c r="C167" s="13" t="s">
        <v>18</v>
      </c>
      <c r="D167" s="40">
        <v>0</v>
      </c>
    </row>
    <row r="168" spans="1:4" ht="22.5" customHeight="1" x14ac:dyDescent="0.15">
      <c r="A168" s="16" t="s">
        <v>577</v>
      </c>
      <c r="B168" s="12" t="s">
        <v>1285</v>
      </c>
      <c r="C168" s="13" t="s">
        <v>18</v>
      </c>
      <c r="D168" s="40">
        <v>0</v>
      </c>
    </row>
    <row r="169" spans="1:4" ht="22.5" customHeight="1" x14ac:dyDescent="0.15">
      <c r="A169" s="16" t="s">
        <v>577</v>
      </c>
      <c r="B169" s="12" t="s">
        <v>1286</v>
      </c>
      <c r="C169" s="13" t="s">
        <v>18</v>
      </c>
      <c r="D169" s="40">
        <v>0</v>
      </c>
    </row>
    <row r="170" spans="1:4" ht="22.5" customHeight="1" x14ac:dyDescent="0.15">
      <c r="A170" s="16" t="s">
        <v>577</v>
      </c>
      <c r="B170" s="12" t="s">
        <v>1287</v>
      </c>
      <c r="C170" s="13" t="s">
        <v>18</v>
      </c>
      <c r="D170" s="40">
        <v>0</v>
      </c>
    </row>
    <row r="171" spans="1:4" ht="22.5" customHeight="1" x14ac:dyDescent="0.15">
      <c r="A171" s="16" t="s">
        <v>577</v>
      </c>
      <c r="B171" s="12" t="s">
        <v>1288</v>
      </c>
      <c r="C171" s="13" t="s">
        <v>18</v>
      </c>
      <c r="D171" s="40">
        <v>0</v>
      </c>
    </row>
    <row r="172" spans="1:4" ht="22.5" customHeight="1" x14ac:dyDescent="0.15">
      <c r="A172" s="16" t="s">
        <v>577</v>
      </c>
      <c r="B172" s="12" t="s">
        <v>1289</v>
      </c>
      <c r="C172" s="13" t="s">
        <v>18</v>
      </c>
      <c r="D172" s="40">
        <v>0</v>
      </c>
    </row>
    <row r="173" spans="1:4" ht="22.5" customHeight="1" x14ac:dyDescent="0.15">
      <c r="A173" s="16" t="s">
        <v>577</v>
      </c>
      <c r="B173" s="12" t="s">
        <v>1290</v>
      </c>
      <c r="C173" s="13" t="s">
        <v>18</v>
      </c>
      <c r="D173" s="40">
        <v>0</v>
      </c>
    </row>
    <row r="174" spans="1:4" ht="22.5" customHeight="1" x14ac:dyDescent="0.15">
      <c r="A174" s="16" t="s">
        <v>577</v>
      </c>
      <c r="B174" s="12" t="s">
        <v>1291</v>
      </c>
      <c r="C174" s="13" t="s">
        <v>18</v>
      </c>
      <c r="D174" s="40">
        <v>0</v>
      </c>
    </row>
    <row r="175" spans="1:4" ht="22.5" customHeight="1" x14ac:dyDescent="0.15">
      <c r="A175" s="16" t="s">
        <v>577</v>
      </c>
      <c r="B175" s="12" t="s">
        <v>1292</v>
      </c>
      <c r="C175" s="13" t="s">
        <v>12</v>
      </c>
      <c r="D175" s="40">
        <v>0</v>
      </c>
    </row>
    <row r="176" spans="1:4" ht="22.5" customHeight="1" x14ac:dyDescent="0.15">
      <c r="A176" s="16" t="s">
        <v>577</v>
      </c>
      <c r="B176" s="12" t="s">
        <v>1293</v>
      </c>
      <c r="C176" s="13" t="s">
        <v>18</v>
      </c>
      <c r="D176" s="40">
        <v>0</v>
      </c>
    </row>
    <row r="177" spans="1:4" ht="22.5" customHeight="1" x14ac:dyDescent="0.15">
      <c r="A177" s="16" t="s">
        <v>577</v>
      </c>
      <c r="B177" s="12" t="s">
        <v>1294</v>
      </c>
      <c r="C177" s="13" t="s">
        <v>23</v>
      </c>
      <c r="D177" s="40">
        <v>0</v>
      </c>
    </row>
    <row r="178" spans="1:4" ht="22.5" customHeight="1" x14ac:dyDescent="0.15">
      <c r="A178" s="16" t="s">
        <v>577</v>
      </c>
      <c r="B178" s="12" t="s">
        <v>1295</v>
      </c>
      <c r="C178" s="13" t="s">
        <v>23</v>
      </c>
      <c r="D178" s="40">
        <v>0</v>
      </c>
    </row>
    <row r="179" spans="1:4" ht="22.5" customHeight="1" x14ac:dyDescent="0.15">
      <c r="A179" s="16" t="s">
        <v>577</v>
      </c>
      <c r="B179" s="12" t="s">
        <v>1296</v>
      </c>
      <c r="C179" s="13" t="s">
        <v>18</v>
      </c>
      <c r="D179" s="40">
        <v>0</v>
      </c>
    </row>
    <row r="180" spans="1:4" ht="22.5" customHeight="1" x14ac:dyDescent="0.15">
      <c r="A180" s="16" t="s">
        <v>577</v>
      </c>
      <c r="B180" s="12" t="s">
        <v>1297</v>
      </c>
      <c r="C180" s="13" t="s">
        <v>136</v>
      </c>
      <c r="D180" s="40">
        <v>0</v>
      </c>
    </row>
    <row r="181" spans="1:4" ht="22.5" customHeight="1" x14ac:dyDescent="0.15">
      <c r="A181" s="16" t="s">
        <v>1300</v>
      </c>
      <c r="B181" s="12" t="s">
        <v>1301</v>
      </c>
      <c r="C181" s="13" t="s">
        <v>18</v>
      </c>
      <c r="D181" s="40">
        <v>0</v>
      </c>
    </row>
    <row r="182" spans="1:4" ht="22.5" customHeight="1" x14ac:dyDescent="0.15">
      <c r="A182" s="16" t="s">
        <v>1300</v>
      </c>
      <c r="B182" s="12" t="s">
        <v>1302</v>
      </c>
      <c r="C182" s="13" t="s">
        <v>136</v>
      </c>
      <c r="D182" s="40">
        <v>0</v>
      </c>
    </row>
    <row r="183" spans="1:4" ht="22.5" customHeight="1" x14ac:dyDescent="0.15">
      <c r="A183" s="16" t="s">
        <v>1300</v>
      </c>
      <c r="B183" s="12" t="s">
        <v>1303</v>
      </c>
      <c r="C183" s="13" t="s">
        <v>18</v>
      </c>
      <c r="D183" s="40">
        <v>0</v>
      </c>
    </row>
    <row r="184" spans="1:4" ht="22.5" customHeight="1" x14ac:dyDescent="0.15">
      <c r="A184" s="16" t="s">
        <v>1300</v>
      </c>
      <c r="B184" s="12" t="s">
        <v>1304</v>
      </c>
      <c r="C184" s="13" t="s">
        <v>136</v>
      </c>
      <c r="D184" s="40">
        <v>0</v>
      </c>
    </row>
    <row r="185" spans="1:4" ht="22.5" customHeight="1" x14ac:dyDescent="0.15">
      <c r="A185" s="16" t="s">
        <v>1300</v>
      </c>
      <c r="B185" s="12" t="s">
        <v>1305</v>
      </c>
      <c r="C185" s="13" t="s">
        <v>23</v>
      </c>
      <c r="D185" s="40">
        <v>0</v>
      </c>
    </row>
    <row r="186" spans="1:4" ht="22.5" customHeight="1" x14ac:dyDescent="0.15">
      <c r="A186" s="16" t="s">
        <v>1300</v>
      </c>
      <c r="B186" s="12" t="s">
        <v>1306</v>
      </c>
      <c r="C186" s="13" t="s">
        <v>77</v>
      </c>
      <c r="D186" s="40">
        <v>0</v>
      </c>
    </row>
    <row r="187" spans="1:4" ht="22.5" customHeight="1" x14ac:dyDescent="0.15">
      <c r="A187" s="16" t="s">
        <v>65</v>
      </c>
      <c r="B187" s="12" t="s">
        <v>1307</v>
      </c>
      <c r="C187" s="13" t="s">
        <v>77</v>
      </c>
      <c r="D187" s="40">
        <v>0</v>
      </c>
    </row>
    <row r="188" spans="1:4" ht="22.5" customHeight="1" x14ac:dyDescent="0.15">
      <c r="A188" s="16" t="s">
        <v>594</v>
      </c>
      <c r="B188" s="12" t="s">
        <v>1308</v>
      </c>
      <c r="C188" s="13" t="s">
        <v>115</v>
      </c>
      <c r="D188" s="40">
        <v>0</v>
      </c>
    </row>
    <row r="189" spans="1:4" ht="22.5" customHeight="1" x14ac:dyDescent="0.15">
      <c r="A189" s="16" t="s">
        <v>594</v>
      </c>
      <c r="B189" s="12" t="s">
        <v>1309</v>
      </c>
      <c r="C189" s="13" t="s">
        <v>88</v>
      </c>
      <c r="D189" s="40">
        <v>0</v>
      </c>
    </row>
    <row r="190" spans="1:4" ht="22.5" customHeight="1" x14ac:dyDescent="0.15">
      <c r="A190" s="16" t="s">
        <v>594</v>
      </c>
      <c r="B190" s="12" t="s">
        <v>1310</v>
      </c>
      <c r="C190" s="13" t="s">
        <v>88</v>
      </c>
      <c r="D190" s="40">
        <v>0</v>
      </c>
    </row>
    <row r="191" spans="1:4" ht="22.5" customHeight="1" x14ac:dyDescent="0.15">
      <c r="A191" s="16" t="s">
        <v>175</v>
      </c>
      <c r="B191" s="12" t="s">
        <v>1311</v>
      </c>
      <c r="C191" s="13" t="s">
        <v>115</v>
      </c>
      <c r="D191" s="40">
        <v>0</v>
      </c>
    </row>
    <row r="192" spans="1:4" ht="22.5" customHeight="1" x14ac:dyDescent="0.15">
      <c r="A192" s="16" t="s">
        <v>351</v>
      </c>
      <c r="B192" s="12" t="s">
        <v>1313</v>
      </c>
      <c r="C192" s="13" t="s">
        <v>30</v>
      </c>
      <c r="D192" s="40">
        <v>0</v>
      </c>
    </row>
    <row r="193" spans="1:4" ht="22.5" customHeight="1" x14ac:dyDescent="0.15">
      <c r="A193" s="16" t="s">
        <v>500</v>
      </c>
      <c r="B193" s="12" t="s">
        <v>1315</v>
      </c>
      <c r="C193" s="13" t="s">
        <v>12</v>
      </c>
      <c r="D193" s="40">
        <v>0</v>
      </c>
    </row>
    <row r="194" spans="1:4" ht="22.5" customHeight="1" x14ac:dyDescent="0.15">
      <c r="A194" s="16" t="s">
        <v>1265</v>
      </c>
      <c r="B194" s="12" t="s">
        <v>1316</v>
      </c>
      <c r="C194" s="13" t="s">
        <v>115</v>
      </c>
      <c r="D194" s="40">
        <v>0</v>
      </c>
    </row>
    <row r="195" spans="1:4" ht="22.5" customHeight="1" x14ac:dyDescent="0.15">
      <c r="A195" s="16" t="s">
        <v>142</v>
      </c>
      <c r="B195" s="12" t="s">
        <v>1317</v>
      </c>
      <c r="C195" s="13" t="s">
        <v>30</v>
      </c>
      <c r="D195" s="40">
        <v>0</v>
      </c>
    </row>
    <row r="196" spans="1:4" ht="22.5" customHeight="1" x14ac:dyDescent="0.15">
      <c r="A196" s="16" t="s">
        <v>256</v>
      </c>
      <c r="B196" s="12" t="s">
        <v>1319</v>
      </c>
      <c r="C196" s="13" t="s">
        <v>136</v>
      </c>
      <c r="D196" s="40">
        <v>0</v>
      </c>
    </row>
    <row r="197" spans="1:4" ht="22.5" customHeight="1" x14ac:dyDescent="0.15">
      <c r="A197" s="16" t="s">
        <v>160</v>
      </c>
      <c r="B197" s="12" t="s">
        <v>1321</v>
      </c>
      <c r="C197" s="13" t="s">
        <v>18</v>
      </c>
      <c r="D197" s="40">
        <v>0</v>
      </c>
    </row>
    <row r="198" spans="1:4" ht="22.5" customHeight="1" x14ac:dyDescent="0.15">
      <c r="A198" s="16" t="s">
        <v>166</v>
      </c>
      <c r="B198" s="12" t="s">
        <v>1322</v>
      </c>
      <c r="C198" s="13" t="s">
        <v>30</v>
      </c>
      <c r="D198" s="40">
        <v>0</v>
      </c>
    </row>
    <row r="199" spans="1:4" ht="22.5" customHeight="1" x14ac:dyDescent="0.15">
      <c r="A199" s="16" t="s">
        <v>1013</v>
      </c>
      <c r="B199" s="12" t="s">
        <v>1323</v>
      </c>
      <c r="C199" s="13" t="s">
        <v>18</v>
      </c>
      <c r="D199" s="40">
        <v>0</v>
      </c>
    </row>
    <row r="200" spans="1:4" ht="22.5" customHeight="1" x14ac:dyDescent="0.15">
      <c r="A200" s="16" t="s">
        <v>94</v>
      </c>
      <c r="B200" s="12" t="s">
        <v>1324</v>
      </c>
      <c r="C200" s="13" t="s">
        <v>83</v>
      </c>
      <c r="D200" s="40">
        <v>0</v>
      </c>
    </row>
    <row r="201" spans="1:4" ht="22.5" customHeight="1" x14ac:dyDescent="0.15">
      <c r="A201" s="16" t="s">
        <v>497</v>
      </c>
      <c r="B201" s="12" t="s">
        <v>1325</v>
      </c>
      <c r="C201" s="13" t="s">
        <v>88</v>
      </c>
      <c r="D201" s="40">
        <v>0</v>
      </c>
    </row>
    <row r="202" spans="1:4" ht="22.5" customHeight="1" x14ac:dyDescent="0.15">
      <c r="A202" s="16" t="s">
        <v>621</v>
      </c>
      <c r="B202" s="12" t="s">
        <v>1326</v>
      </c>
      <c r="C202" s="13" t="s">
        <v>30</v>
      </c>
      <c r="D202" s="40">
        <v>0</v>
      </c>
    </row>
    <row r="203" spans="1:4" ht="22.5" customHeight="1" x14ac:dyDescent="0.15">
      <c r="A203" s="16" t="s">
        <v>142</v>
      </c>
      <c r="B203" s="12" t="s">
        <v>1327</v>
      </c>
      <c r="C203" s="13" t="s">
        <v>88</v>
      </c>
      <c r="D203" s="40">
        <v>0</v>
      </c>
    </row>
    <row r="204" spans="1:4" ht="22.5" customHeight="1" x14ac:dyDescent="0.15">
      <c r="A204" s="16" t="s">
        <v>654</v>
      </c>
      <c r="B204" s="12" t="s">
        <v>1328</v>
      </c>
      <c r="C204" s="13" t="s">
        <v>115</v>
      </c>
      <c r="D204" s="40">
        <v>0</v>
      </c>
    </row>
    <row r="205" spans="1:4" ht="22.5" customHeight="1" x14ac:dyDescent="0.15">
      <c r="A205" s="16" t="s">
        <v>166</v>
      </c>
      <c r="B205" s="12" t="s">
        <v>1330</v>
      </c>
      <c r="C205" s="13" t="s">
        <v>30</v>
      </c>
      <c r="D205" s="40">
        <v>0</v>
      </c>
    </row>
    <row r="206" spans="1:4" ht="22.5" customHeight="1" x14ac:dyDescent="0.15">
      <c r="A206" s="16" t="s">
        <v>133</v>
      </c>
      <c r="B206" s="12" t="s">
        <v>1331</v>
      </c>
      <c r="C206" s="13" t="s">
        <v>18</v>
      </c>
      <c r="D206" s="40">
        <v>0</v>
      </c>
    </row>
    <row r="207" spans="1:4" ht="22.5" customHeight="1" x14ac:dyDescent="0.15">
      <c r="A207" s="16" t="s">
        <v>120</v>
      </c>
      <c r="B207" s="12" t="s">
        <v>1332</v>
      </c>
      <c r="C207" s="13" t="s">
        <v>30</v>
      </c>
      <c r="D207" s="40">
        <v>0</v>
      </c>
    </row>
    <row r="208" spans="1:4" ht="22.5" customHeight="1" x14ac:dyDescent="0.15">
      <c r="A208" s="16" t="s">
        <v>94</v>
      </c>
      <c r="B208" s="12" t="s">
        <v>1333</v>
      </c>
      <c r="C208" s="13" t="s">
        <v>18</v>
      </c>
      <c r="D208" s="40">
        <v>0</v>
      </c>
    </row>
    <row r="209" spans="1:4" ht="22.5" customHeight="1" x14ac:dyDescent="0.15">
      <c r="A209" s="16" t="s">
        <v>347</v>
      </c>
      <c r="B209" s="12" t="s">
        <v>1335</v>
      </c>
      <c r="C209" s="13" t="s">
        <v>18</v>
      </c>
      <c r="D209" s="40">
        <v>0</v>
      </c>
    </row>
    <row r="210" spans="1:4" ht="22.5" customHeight="1" x14ac:dyDescent="0.15">
      <c r="A210" s="16" t="s">
        <v>133</v>
      </c>
      <c r="B210" s="12" t="s">
        <v>1336</v>
      </c>
      <c r="C210" s="13" t="s">
        <v>18</v>
      </c>
      <c r="D210" s="40">
        <v>0</v>
      </c>
    </row>
    <row r="211" spans="1:4" ht="22.5" customHeight="1" x14ac:dyDescent="0.15">
      <c r="A211" s="16" t="s">
        <v>347</v>
      </c>
      <c r="B211" s="12" t="s">
        <v>1337</v>
      </c>
      <c r="C211" s="13" t="s">
        <v>18</v>
      </c>
      <c r="D211" s="40">
        <v>0</v>
      </c>
    </row>
    <row r="212" spans="1:4" ht="22.5" customHeight="1" x14ac:dyDescent="0.15">
      <c r="A212" s="16" t="s">
        <v>668</v>
      </c>
      <c r="B212" s="12" t="s">
        <v>1338</v>
      </c>
      <c r="C212" s="13" t="s">
        <v>12</v>
      </c>
      <c r="D212" s="40">
        <v>0</v>
      </c>
    </row>
    <row r="213" spans="1:4" ht="22.5" customHeight="1" x14ac:dyDescent="0.15">
      <c r="A213" s="16" t="s">
        <v>443</v>
      </c>
      <c r="B213" s="12" t="s">
        <v>1340</v>
      </c>
      <c r="C213" s="13" t="s">
        <v>83</v>
      </c>
      <c r="D213" s="40">
        <v>0</v>
      </c>
    </row>
    <row r="214" spans="1:4" ht="22.5" customHeight="1" x14ac:dyDescent="0.15">
      <c r="A214" s="16" t="s">
        <v>572</v>
      </c>
      <c r="B214" s="12" t="s">
        <v>1341</v>
      </c>
      <c r="C214" s="13" t="s">
        <v>30</v>
      </c>
      <c r="D214" s="40">
        <v>0</v>
      </c>
    </row>
    <row r="215" spans="1:4" ht="22.5" customHeight="1" x14ac:dyDescent="0.15">
      <c r="A215" s="16" t="s">
        <v>70</v>
      </c>
      <c r="B215" s="12" t="s">
        <v>1342</v>
      </c>
      <c r="C215" s="13" t="s">
        <v>12</v>
      </c>
      <c r="D215" s="40">
        <v>0</v>
      </c>
    </row>
    <row r="216" spans="1:4" ht="22.5" customHeight="1" x14ac:dyDescent="0.15">
      <c r="A216" s="16" t="s">
        <v>672</v>
      </c>
      <c r="B216" s="12" t="s">
        <v>1344</v>
      </c>
      <c r="C216" s="13" t="s">
        <v>12</v>
      </c>
      <c r="D216" s="40">
        <v>0</v>
      </c>
    </row>
    <row r="217" spans="1:4" ht="22.5" customHeight="1" x14ac:dyDescent="0.15">
      <c r="A217" s="16" t="s">
        <v>853</v>
      </c>
      <c r="B217" s="12" t="s">
        <v>1345</v>
      </c>
      <c r="C217" s="13" t="s">
        <v>12</v>
      </c>
      <c r="D217" s="40">
        <v>0</v>
      </c>
    </row>
    <row r="218" spans="1:4" ht="22.5" customHeight="1" x14ac:dyDescent="0.15">
      <c r="A218" s="16" t="s">
        <v>1165</v>
      </c>
      <c r="B218" s="12" t="s">
        <v>1346</v>
      </c>
      <c r="C218" s="13" t="s">
        <v>342</v>
      </c>
      <c r="D218" s="40">
        <v>0</v>
      </c>
    </row>
    <row r="219" spans="1:4" ht="22.5" customHeight="1" x14ac:dyDescent="0.15">
      <c r="A219" s="16" t="s">
        <v>497</v>
      </c>
      <c r="B219" s="12" t="s">
        <v>1347</v>
      </c>
      <c r="C219" s="13" t="s">
        <v>136</v>
      </c>
      <c r="D219" s="40">
        <v>0</v>
      </c>
    </row>
    <row r="220" spans="1:4" ht="22.5" customHeight="1" x14ac:dyDescent="0.15">
      <c r="A220" s="16" t="s">
        <v>65</v>
      </c>
      <c r="B220" s="12" t="s">
        <v>1348</v>
      </c>
      <c r="C220" s="13" t="s">
        <v>12</v>
      </c>
      <c r="D220" s="40">
        <v>0</v>
      </c>
    </row>
    <row r="221" spans="1:4" ht="22.5" customHeight="1" x14ac:dyDescent="0.15">
      <c r="A221" s="16" t="s">
        <v>395</v>
      </c>
      <c r="B221" s="12" t="s">
        <v>1349</v>
      </c>
      <c r="C221" s="13" t="s">
        <v>136</v>
      </c>
      <c r="D221" s="40">
        <v>0</v>
      </c>
    </row>
    <row r="222" spans="1:4" ht="22.5" customHeight="1" x14ac:dyDescent="0.15">
      <c r="A222" s="16" t="s">
        <v>1229</v>
      </c>
      <c r="B222" s="12" t="s">
        <v>1350</v>
      </c>
      <c r="C222" s="13" t="s">
        <v>23</v>
      </c>
      <c r="D222" s="40">
        <v>0</v>
      </c>
    </row>
    <row r="223" spans="1:4" ht="22.5" customHeight="1" x14ac:dyDescent="0.15">
      <c r="A223" s="16" t="s">
        <v>57</v>
      </c>
      <c r="B223" s="12" t="s">
        <v>1351</v>
      </c>
      <c r="C223" s="13" t="s">
        <v>12</v>
      </c>
      <c r="D223" s="40">
        <v>0</v>
      </c>
    </row>
    <row r="224" spans="1:4" ht="22.5" customHeight="1" x14ac:dyDescent="0.15">
      <c r="A224" s="16" t="s">
        <v>395</v>
      </c>
      <c r="B224" s="12" t="s">
        <v>1352</v>
      </c>
      <c r="C224" s="13" t="s">
        <v>18</v>
      </c>
      <c r="D224" s="40">
        <v>0</v>
      </c>
    </row>
    <row r="225" spans="1:4" ht="22.5" customHeight="1" x14ac:dyDescent="0.15">
      <c r="A225" s="16" t="s">
        <v>725</v>
      </c>
      <c r="B225" s="12" t="s">
        <v>1353</v>
      </c>
      <c r="C225" s="13" t="s">
        <v>12</v>
      </c>
      <c r="D225" s="40">
        <v>0</v>
      </c>
    </row>
    <row r="226" spans="1:4" ht="22.5" customHeight="1" x14ac:dyDescent="0.15">
      <c r="A226" s="16" t="s">
        <v>170</v>
      </c>
      <c r="B226" s="12" t="s">
        <v>1354</v>
      </c>
      <c r="C226" s="13" t="s">
        <v>18</v>
      </c>
      <c r="D226" s="40">
        <v>0</v>
      </c>
    </row>
    <row r="227" spans="1:4" ht="22.5" customHeight="1" x14ac:dyDescent="0.15">
      <c r="A227" s="16" t="s">
        <v>827</v>
      </c>
      <c r="B227" s="12" t="s">
        <v>1355</v>
      </c>
      <c r="C227" s="13" t="s">
        <v>23</v>
      </c>
      <c r="D227" s="40">
        <v>0</v>
      </c>
    </row>
    <row r="228" spans="1:4" ht="22.5" customHeight="1" x14ac:dyDescent="0.15">
      <c r="A228" s="16" t="s">
        <v>832</v>
      </c>
      <c r="B228" s="12" t="s">
        <v>1356</v>
      </c>
      <c r="C228" s="13" t="s">
        <v>18</v>
      </c>
      <c r="D228" s="40">
        <v>0</v>
      </c>
    </row>
    <row r="229" spans="1:4" ht="22.5" customHeight="1" x14ac:dyDescent="0.15">
      <c r="A229" s="16" t="s">
        <v>832</v>
      </c>
      <c r="B229" s="12" t="s">
        <v>1357</v>
      </c>
      <c r="C229" s="13" t="s">
        <v>18</v>
      </c>
      <c r="D229" s="40">
        <v>0</v>
      </c>
    </row>
    <row r="230" spans="1:4" ht="22.5" customHeight="1" x14ac:dyDescent="0.15">
      <c r="A230" s="16" t="s">
        <v>249</v>
      </c>
      <c r="B230" s="12" t="s">
        <v>1358</v>
      </c>
      <c r="C230" s="13" t="s">
        <v>30</v>
      </c>
      <c r="D230" s="40">
        <v>0</v>
      </c>
    </row>
    <row r="231" spans="1:4" ht="22.5" customHeight="1" x14ac:dyDescent="0.15">
      <c r="A231" s="16" t="s">
        <v>395</v>
      </c>
      <c r="B231" s="12" t="s">
        <v>1359</v>
      </c>
      <c r="C231" s="13" t="s">
        <v>88</v>
      </c>
      <c r="D231" s="40">
        <v>0</v>
      </c>
    </row>
    <row r="232" spans="1:4" ht="22.5" customHeight="1" x14ac:dyDescent="0.15">
      <c r="A232" s="16" t="s">
        <v>399</v>
      </c>
      <c r="B232" s="12" t="s">
        <v>1358</v>
      </c>
      <c r="C232" s="13" t="s">
        <v>30</v>
      </c>
      <c r="D232" s="40">
        <v>0</v>
      </c>
    </row>
    <row r="233" spans="1:4" ht="22.5" customHeight="1" x14ac:dyDescent="0.15">
      <c r="A233" s="16" t="s">
        <v>1120</v>
      </c>
      <c r="B233" s="12" t="s">
        <v>1360</v>
      </c>
      <c r="C233" s="13" t="s">
        <v>136</v>
      </c>
      <c r="D233" s="40">
        <v>0</v>
      </c>
    </row>
    <row r="234" spans="1:4" ht="22.5" customHeight="1" x14ac:dyDescent="0.15">
      <c r="A234" s="16" t="s">
        <v>417</v>
      </c>
      <c r="B234" s="12" t="s">
        <v>1361</v>
      </c>
      <c r="C234" s="13" t="s">
        <v>18</v>
      </c>
      <c r="D234" s="40">
        <v>0</v>
      </c>
    </row>
    <row r="235" spans="1:4" ht="22.5" customHeight="1" x14ac:dyDescent="0.15">
      <c r="A235" s="16" t="s">
        <v>417</v>
      </c>
      <c r="B235" s="12" t="s">
        <v>1362</v>
      </c>
      <c r="C235" s="13" t="s">
        <v>88</v>
      </c>
      <c r="D235" s="40">
        <v>0</v>
      </c>
    </row>
    <row r="236" spans="1:4" ht="22.5" customHeight="1" x14ac:dyDescent="0.15">
      <c r="A236" s="16" t="s">
        <v>1207</v>
      </c>
      <c r="B236" s="12" t="s">
        <v>1363</v>
      </c>
      <c r="C236" s="13" t="s">
        <v>30</v>
      </c>
      <c r="D236" s="40">
        <v>0</v>
      </c>
    </row>
    <row r="237" spans="1:4" ht="22.5" customHeight="1" x14ac:dyDescent="0.15">
      <c r="A237" s="16" t="s">
        <v>523</v>
      </c>
      <c r="B237" s="12" t="s">
        <v>1364</v>
      </c>
      <c r="C237" s="13" t="s">
        <v>12</v>
      </c>
      <c r="D237" s="40">
        <v>0</v>
      </c>
    </row>
    <row r="238" spans="1:4" ht="22.5" customHeight="1" x14ac:dyDescent="0.15">
      <c r="A238" s="16" t="s">
        <v>1242</v>
      </c>
      <c r="B238" s="12" t="s">
        <v>1365</v>
      </c>
      <c r="C238" s="13" t="s">
        <v>18</v>
      </c>
      <c r="D238" s="40">
        <v>0</v>
      </c>
    </row>
    <row r="239" spans="1:4" ht="22.5" customHeight="1" x14ac:dyDescent="0.15">
      <c r="A239" s="16" t="s">
        <v>1271</v>
      </c>
      <c r="B239" s="12" t="s">
        <v>1365</v>
      </c>
      <c r="C239" s="13" t="s">
        <v>18</v>
      </c>
      <c r="D239" s="40">
        <v>0</v>
      </c>
    </row>
    <row r="240" spans="1:4" ht="22.5" customHeight="1" x14ac:dyDescent="0.15">
      <c r="A240" s="16" t="s">
        <v>572</v>
      </c>
      <c r="B240" s="12" t="s">
        <v>1366</v>
      </c>
      <c r="C240" s="13" t="s">
        <v>83</v>
      </c>
      <c r="D240" s="40">
        <v>0</v>
      </c>
    </row>
    <row r="241" spans="1:4" ht="22.5" customHeight="1" x14ac:dyDescent="0.15">
      <c r="A241" s="16" t="s">
        <v>1300</v>
      </c>
      <c r="B241" s="12" t="s">
        <v>1367</v>
      </c>
      <c r="C241" s="13" t="s">
        <v>136</v>
      </c>
      <c r="D241" s="40">
        <v>0</v>
      </c>
    </row>
    <row r="242" spans="1:4" ht="22.5" customHeight="1" x14ac:dyDescent="0.15">
      <c r="A242" s="16" t="s">
        <v>672</v>
      </c>
      <c r="B242" s="12" t="s">
        <v>1368</v>
      </c>
      <c r="C242" s="13" t="s">
        <v>12</v>
      </c>
      <c r="D242" s="40">
        <v>0</v>
      </c>
    </row>
    <row r="243" spans="1:4" ht="22.5" customHeight="1" x14ac:dyDescent="0.15">
      <c r="A243" s="16" t="s">
        <v>600</v>
      </c>
      <c r="B243" s="12" t="s">
        <v>1370</v>
      </c>
      <c r="C243" s="13" t="s">
        <v>342</v>
      </c>
      <c r="D243" s="40">
        <v>0</v>
      </c>
    </row>
    <row r="244" spans="1:4" ht="22.5" customHeight="1" x14ac:dyDescent="0.15">
      <c r="A244" s="16" t="s">
        <v>94</v>
      </c>
      <c r="B244" s="12" t="s">
        <v>1372</v>
      </c>
      <c r="C244" s="13" t="s">
        <v>83</v>
      </c>
      <c r="D244" s="40">
        <v>0</v>
      </c>
    </row>
    <row r="245" spans="1:4" ht="22.5" customHeight="1" x14ac:dyDescent="0.15">
      <c r="A245" s="16" t="s">
        <v>500</v>
      </c>
      <c r="B245" s="12" t="s">
        <v>1373</v>
      </c>
      <c r="C245" s="13" t="s">
        <v>23</v>
      </c>
      <c r="D245" s="40">
        <v>0</v>
      </c>
    </row>
    <row r="246" spans="1:4" ht="22.5" customHeight="1" x14ac:dyDescent="0.15">
      <c r="A246" s="16" t="s">
        <v>1375</v>
      </c>
      <c r="B246" s="12" t="s">
        <v>1376</v>
      </c>
      <c r="C246" s="13" t="s">
        <v>18</v>
      </c>
      <c r="D246" s="40">
        <v>0</v>
      </c>
    </row>
    <row r="247" spans="1:4" ht="22.5" customHeight="1" x14ac:dyDescent="0.15">
      <c r="A247" s="16" t="s">
        <v>1088</v>
      </c>
      <c r="B247" s="12" t="s">
        <v>1377</v>
      </c>
      <c r="C247" s="13" t="s">
        <v>18</v>
      </c>
      <c r="D247" s="40">
        <v>0</v>
      </c>
    </row>
    <row r="248" spans="1:4" ht="22.5" customHeight="1" x14ac:dyDescent="0.15">
      <c r="A248" s="16" t="s">
        <v>703</v>
      </c>
      <c r="B248" s="12" t="s">
        <v>1378</v>
      </c>
      <c r="C248" s="13" t="s">
        <v>88</v>
      </c>
      <c r="D248" s="40">
        <v>0</v>
      </c>
    </row>
    <row r="249" spans="1:4" ht="22.5" customHeight="1" x14ac:dyDescent="0.15">
      <c r="A249" s="16" t="s">
        <v>703</v>
      </c>
      <c r="B249" s="12" t="s">
        <v>1378</v>
      </c>
      <c r="C249" s="13" t="s">
        <v>88</v>
      </c>
      <c r="D249" s="40">
        <v>0</v>
      </c>
    </row>
    <row r="250" spans="1:4" ht="22.5" customHeight="1" x14ac:dyDescent="0.15">
      <c r="A250" s="16" t="s">
        <v>703</v>
      </c>
      <c r="B250" s="12" t="s">
        <v>1378</v>
      </c>
      <c r="C250" s="13" t="s">
        <v>88</v>
      </c>
      <c r="D250" s="40">
        <v>0</v>
      </c>
    </row>
    <row r="251" spans="1:4" ht="22.5" customHeight="1" x14ac:dyDescent="0.15">
      <c r="A251" s="16" t="s">
        <v>703</v>
      </c>
      <c r="B251" s="12" t="s">
        <v>1378</v>
      </c>
      <c r="C251" s="13" t="s">
        <v>88</v>
      </c>
      <c r="D251" s="40">
        <v>0</v>
      </c>
    </row>
    <row r="252" spans="1:4" ht="22.5" customHeight="1" x14ac:dyDescent="0.15">
      <c r="A252" s="16" t="s">
        <v>537</v>
      </c>
      <c r="B252" s="12" t="s">
        <v>1379</v>
      </c>
      <c r="C252" s="13" t="s">
        <v>30</v>
      </c>
      <c r="D252" s="40">
        <v>0</v>
      </c>
    </row>
    <row r="253" spans="1:4" ht="22.5" customHeight="1" x14ac:dyDescent="0.15">
      <c r="A253" s="16" t="s">
        <v>1375</v>
      </c>
      <c r="B253" s="12" t="s">
        <v>1380</v>
      </c>
      <c r="C253" s="13" t="s">
        <v>18</v>
      </c>
      <c r="D253" s="40">
        <v>0</v>
      </c>
    </row>
    <row r="254" spans="1:4" ht="22.5" customHeight="1" x14ac:dyDescent="0.15">
      <c r="A254" s="16" t="s">
        <v>832</v>
      </c>
      <c r="B254" s="12" t="s">
        <v>1381</v>
      </c>
      <c r="C254" s="13" t="s">
        <v>342</v>
      </c>
      <c r="D254" s="40">
        <v>0</v>
      </c>
    </row>
    <row r="255" spans="1:4" ht="22.5" customHeight="1" x14ac:dyDescent="0.15">
      <c r="A255" s="16" t="s">
        <v>1013</v>
      </c>
      <c r="B255" s="12" t="s">
        <v>1382</v>
      </c>
      <c r="C255" s="13" t="s">
        <v>18</v>
      </c>
      <c r="D255" s="40">
        <v>0</v>
      </c>
    </row>
    <row r="256" spans="1:4" ht="22.5" customHeight="1" x14ac:dyDescent="0.15">
      <c r="A256" s="16" t="s">
        <v>1013</v>
      </c>
      <c r="B256" s="12" t="s">
        <v>1383</v>
      </c>
      <c r="C256" s="13" t="s">
        <v>136</v>
      </c>
      <c r="D256" s="40">
        <v>0</v>
      </c>
    </row>
    <row r="257" spans="1:4" ht="22.5" customHeight="1" x14ac:dyDescent="0.15">
      <c r="A257" s="16" t="s">
        <v>86</v>
      </c>
      <c r="B257" s="12" t="s">
        <v>1384</v>
      </c>
      <c r="C257" s="13" t="s">
        <v>23</v>
      </c>
      <c r="D257" s="40">
        <v>0</v>
      </c>
    </row>
    <row r="258" spans="1:4" ht="22.5" customHeight="1" x14ac:dyDescent="0.15">
      <c r="A258" s="16" t="s">
        <v>391</v>
      </c>
      <c r="B258" s="12" t="s">
        <v>1385</v>
      </c>
      <c r="C258" s="13" t="s">
        <v>136</v>
      </c>
      <c r="D258" s="40">
        <v>0</v>
      </c>
    </row>
    <row r="259" spans="1:4" ht="22.5" customHeight="1" x14ac:dyDescent="0.15">
      <c r="A259" s="16" t="s">
        <v>1094</v>
      </c>
      <c r="B259" s="12" t="s">
        <v>1386</v>
      </c>
      <c r="C259" s="13" t="s">
        <v>18</v>
      </c>
      <c r="D259" s="40">
        <v>0</v>
      </c>
    </row>
    <row r="260" spans="1:4" ht="22.5" customHeight="1" x14ac:dyDescent="0.15">
      <c r="A260" s="16" t="s">
        <v>1094</v>
      </c>
      <c r="B260" s="12" t="s">
        <v>1387</v>
      </c>
      <c r="C260" s="13" t="s">
        <v>18</v>
      </c>
      <c r="D260" s="40">
        <v>0</v>
      </c>
    </row>
    <row r="261" spans="1:4" ht="22.5" customHeight="1" x14ac:dyDescent="0.15">
      <c r="A261" s="16" t="s">
        <v>497</v>
      </c>
      <c r="B261" s="12" t="s">
        <v>1388</v>
      </c>
      <c r="C261" s="13" t="s">
        <v>88</v>
      </c>
      <c r="D261" s="40">
        <v>0</v>
      </c>
    </row>
    <row r="262" spans="1:4" ht="22.5" customHeight="1" x14ac:dyDescent="0.15">
      <c r="A262" s="16" t="s">
        <v>572</v>
      </c>
      <c r="B262" s="12" t="s">
        <v>1389</v>
      </c>
      <c r="C262" s="13" t="s">
        <v>30</v>
      </c>
      <c r="D262" s="40">
        <v>0</v>
      </c>
    </row>
    <row r="263" spans="1:4" ht="22.5" customHeight="1" x14ac:dyDescent="0.15">
      <c r="A263" s="16" t="s">
        <v>572</v>
      </c>
      <c r="B263" s="12" t="s">
        <v>1390</v>
      </c>
      <c r="C263" s="13" t="s">
        <v>30</v>
      </c>
      <c r="D263" s="40">
        <v>0</v>
      </c>
    </row>
    <row r="264" spans="1:4" ht="22.5" customHeight="1" x14ac:dyDescent="0.15">
      <c r="A264" s="16" t="s">
        <v>577</v>
      </c>
      <c r="B264" s="12" t="s">
        <v>1391</v>
      </c>
      <c r="C264" s="13" t="s">
        <v>83</v>
      </c>
      <c r="D264" s="40">
        <v>0</v>
      </c>
    </row>
    <row r="265" spans="1:4" ht="22.5" customHeight="1" x14ac:dyDescent="0.15">
      <c r="A265" s="16" t="s">
        <v>395</v>
      </c>
      <c r="B265" s="12" t="s">
        <v>1392</v>
      </c>
      <c r="C265" s="13" t="s">
        <v>88</v>
      </c>
      <c r="D265" s="40">
        <v>0</v>
      </c>
    </row>
    <row r="266" spans="1:4" ht="22.5" customHeight="1" x14ac:dyDescent="0.15">
      <c r="A266" s="16" t="s">
        <v>57</v>
      </c>
      <c r="B266" s="12" t="s">
        <v>1393</v>
      </c>
      <c r="C266" s="13" t="s">
        <v>18</v>
      </c>
      <c r="D266" s="40">
        <v>0</v>
      </c>
    </row>
    <row r="267" spans="1:4" ht="22.5" customHeight="1" x14ac:dyDescent="0.15">
      <c r="A267" s="16" t="s">
        <v>621</v>
      </c>
      <c r="B267" s="12" t="s">
        <v>1394</v>
      </c>
      <c r="C267" s="13" t="s">
        <v>18</v>
      </c>
      <c r="D267" s="40">
        <v>0</v>
      </c>
    </row>
    <row r="268" spans="1:4" ht="22.5" customHeight="1" x14ac:dyDescent="0.15">
      <c r="A268" s="16" t="s">
        <v>107</v>
      </c>
      <c r="B268" s="12" t="s">
        <v>1395</v>
      </c>
      <c r="C268" s="13" t="s">
        <v>18</v>
      </c>
      <c r="D268" s="40">
        <v>0</v>
      </c>
    </row>
    <row r="269" spans="1:4" ht="22.5" customHeight="1" x14ac:dyDescent="0.15">
      <c r="A269" s="16" t="s">
        <v>1088</v>
      </c>
      <c r="B269" s="12" t="s">
        <v>1396</v>
      </c>
      <c r="C269" s="13" t="s">
        <v>88</v>
      </c>
      <c r="D269" s="40">
        <v>0</v>
      </c>
    </row>
    <row r="270" spans="1:4" ht="22.5" customHeight="1" x14ac:dyDescent="0.15">
      <c r="A270" s="16" t="s">
        <v>112</v>
      </c>
      <c r="B270" s="12" t="s">
        <v>1395</v>
      </c>
      <c r="C270" s="13" t="s">
        <v>18</v>
      </c>
      <c r="D270" s="40">
        <v>0</v>
      </c>
    </row>
    <row r="271" spans="1:4" ht="22.5" customHeight="1" x14ac:dyDescent="0.15">
      <c r="A271" s="16" t="s">
        <v>654</v>
      </c>
      <c r="B271" s="12" t="s">
        <v>1397</v>
      </c>
      <c r="C271" s="13" t="s">
        <v>12</v>
      </c>
      <c r="D271" s="40">
        <v>0</v>
      </c>
    </row>
    <row r="272" spans="1:4" ht="22.5" customHeight="1" x14ac:dyDescent="0.15">
      <c r="A272" s="16" t="s">
        <v>70</v>
      </c>
      <c r="B272" s="12" t="s">
        <v>1399</v>
      </c>
      <c r="C272" s="13" t="s">
        <v>18</v>
      </c>
      <c r="D272" s="40">
        <v>0</v>
      </c>
    </row>
    <row r="273" spans="1:4" ht="22.5" customHeight="1" x14ac:dyDescent="0.15">
      <c r="A273" s="16" t="s">
        <v>70</v>
      </c>
      <c r="B273" s="12" t="s">
        <v>1401</v>
      </c>
      <c r="C273" s="13" t="s">
        <v>115</v>
      </c>
      <c r="D273" s="40">
        <v>0</v>
      </c>
    </row>
    <row r="274" spans="1:4" ht="22.5" customHeight="1" x14ac:dyDescent="0.15">
      <c r="A274" s="16" t="s">
        <v>1404</v>
      </c>
      <c r="B274" s="12" t="s">
        <v>1405</v>
      </c>
      <c r="C274" s="13" t="s">
        <v>23</v>
      </c>
      <c r="D274" s="40">
        <v>0</v>
      </c>
    </row>
    <row r="275" spans="1:4" ht="22.5" customHeight="1" x14ac:dyDescent="0.15">
      <c r="A275" s="16" t="s">
        <v>129</v>
      </c>
      <c r="B275" s="12" t="s">
        <v>1406</v>
      </c>
      <c r="C275" s="13" t="s">
        <v>30</v>
      </c>
      <c r="D275" s="40">
        <v>0</v>
      </c>
    </row>
    <row r="276" spans="1:4" ht="22.5" customHeight="1" x14ac:dyDescent="0.15">
      <c r="A276" s="16" t="s">
        <v>129</v>
      </c>
      <c r="B276" s="12" t="s">
        <v>1407</v>
      </c>
      <c r="C276" s="13" t="s">
        <v>30</v>
      </c>
      <c r="D276" s="40">
        <v>0</v>
      </c>
    </row>
    <row r="277" spans="1:4" ht="22.5" customHeight="1" x14ac:dyDescent="0.15">
      <c r="A277" s="16" t="s">
        <v>129</v>
      </c>
      <c r="B277" s="12" t="s">
        <v>1408</v>
      </c>
      <c r="C277" s="13" t="s">
        <v>18</v>
      </c>
      <c r="D277" s="40">
        <v>0</v>
      </c>
    </row>
    <row r="278" spans="1:4" ht="22.5" customHeight="1" x14ac:dyDescent="0.15">
      <c r="A278" s="16" t="s">
        <v>1410</v>
      </c>
      <c r="B278" s="12" t="s">
        <v>1411</v>
      </c>
      <c r="C278" s="13" t="s">
        <v>77</v>
      </c>
      <c r="D278" s="40">
        <v>0</v>
      </c>
    </row>
    <row r="279" spans="1:4" ht="22.5" customHeight="1" x14ac:dyDescent="0.15">
      <c r="A279" s="16" t="s">
        <v>1410</v>
      </c>
      <c r="B279" s="12" t="s">
        <v>1412</v>
      </c>
      <c r="C279" s="13" t="s">
        <v>77</v>
      </c>
      <c r="D279" s="40">
        <v>0</v>
      </c>
    </row>
    <row r="280" spans="1:4" ht="22.5" customHeight="1" x14ac:dyDescent="0.15">
      <c r="A280" s="16" t="s">
        <v>1410</v>
      </c>
      <c r="B280" s="12" t="s">
        <v>1413</v>
      </c>
      <c r="C280" s="13" t="s">
        <v>77</v>
      </c>
      <c r="D280" s="40">
        <v>0</v>
      </c>
    </row>
    <row r="281" spans="1:4" ht="22.5" customHeight="1" x14ac:dyDescent="0.15">
      <c r="A281" s="16" t="s">
        <v>142</v>
      </c>
      <c r="B281" s="12" t="s">
        <v>1414</v>
      </c>
      <c r="C281" s="13" t="s">
        <v>12</v>
      </c>
      <c r="D281" s="40">
        <v>0</v>
      </c>
    </row>
    <row r="282" spans="1:4" ht="22.5" customHeight="1" x14ac:dyDescent="0.15">
      <c r="A282" s="16" t="s">
        <v>142</v>
      </c>
      <c r="B282" s="12" t="s">
        <v>1415</v>
      </c>
      <c r="C282" s="13" t="s">
        <v>115</v>
      </c>
      <c r="D282" s="40">
        <v>0</v>
      </c>
    </row>
    <row r="283" spans="1:4" ht="22.5" customHeight="1" x14ac:dyDescent="0.15">
      <c r="A283" s="16" t="s">
        <v>151</v>
      </c>
      <c r="B283" s="12" t="s">
        <v>1416</v>
      </c>
      <c r="C283" s="13" t="s">
        <v>12</v>
      </c>
      <c r="D283" s="40">
        <v>0</v>
      </c>
    </row>
    <row r="284" spans="1:4" ht="22.5" customHeight="1" x14ac:dyDescent="0.15">
      <c r="A284" s="16" t="s">
        <v>154</v>
      </c>
      <c r="B284" s="12" t="s">
        <v>1417</v>
      </c>
      <c r="C284" s="13" t="s">
        <v>18</v>
      </c>
      <c r="D284" s="40">
        <v>0</v>
      </c>
    </row>
    <row r="285" spans="1:4" ht="22.5" customHeight="1" x14ac:dyDescent="0.15">
      <c r="A285" s="16" t="s">
        <v>154</v>
      </c>
      <c r="B285" s="12" t="s">
        <v>1418</v>
      </c>
      <c r="C285" s="13" t="s">
        <v>18</v>
      </c>
      <c r="D285" s="40">
        <v>0</v>
      </c>
    </row>
    <row r="286" spans="1:4" ht="22.5" customHeight="1" x14ac:dyDescent="0.15">
      <c r="A286" s="16" t="s">
        <v>154</v>
      </c>
      <c r="B286" s="12" t="s">
        <v>1419</v>
      </c>
      <c r="C286" s="13" t="s">
        <v>136</v>
      </c>
      <c r="D286" s="40">
        <v>0</v>
      </c>
    </row>
    <row r="287" spans="1:4" ht="22.5" customHeight="1" x14ac:dyDescent="0.15">
      <c r="A287" s="16" t="s">
        <v>154</v>
      </c>
      <c r="B287" s="12" t="s">
        <v>1420</v>
      </c>
      <c r="C287" s="13" t="s">
        <v>12</v>
      </c>
      <c r="D287" s="40">
        <v>0</v>
      </c>
    </row>
    <row r="288" spans="1:4" ht="22.5" customHeight="1" x14ac:dyDescent="0.15">
      <c r="A288" s="16" t="s">
        <v>154</v>
      </c>
      <c r="B288" s="12" t="s">
        <v>1421</v>
      </c>
      <c r="C288" s="13" t="s">
        <v>18</v>
      </c>
      <c r="D288" s="40">
        <v>0</v>
      </c>
    </row>
    <row r="289" spans="1:4" ht="22.5" customHeight="1" x14ac:dyDescent="0.15">
      <c r="A289" s="16" t="s">
        <v>154</v>
      </c>
      <c r="B289" s="12" t="s">
        <v>1422</v>
      </c>
      <c r="C289" s="13" t="s">
        <v>23</v>
      </c>
      <c r="D289" s="40">
        <v>0</v>
      </c>
    </row>
    <row r="290" spans="1:4" ht="22.5" customHeight="1" x14ac:dyDescent="0.15">
      <c r="A290" s="16" t="s">
        <v>154</v>
      </c>
      <c r="B290" s="12" t="s">
        <v>1423</v>
      </c>
      <c r="C290" s="13" t="s">
        <v>23</v>
      </c>
      <c r="D290" s="40">
        <v>0</v>
      </c>
    </row>
    <row r="291" spans="1:4" ht="22.5" customHeight="1" x14ac:dyDescent="0.15">
      <c r="A291" s="16" t="s">
        <v>154</v>
      </c>
      <c r="B291" s="12" t="s">
        <v>1424</v>
      </c>
      <c r="C291" s="13" t="s">
        <v>88</v>
      </c>
      <c r="D291" s="40">
        <v>0</v>
      </c>
    </row>
    <row r="292" spans="1:4" ht="22.5" customHeight="1" x14ac:dyDescent="0.15">
      <c r="A292" s="16" t="s">
        <v>668</v>
      </c>
      <c r="B292" s="12" t="s">
        <v>1425</v>
      </c>
      <c r="C292" s="13" t="s">
        <v>30</v>
      </c>
      <c r="D292" s="40">
        <v>0</v>
      </c>
    </row>
    <row r="293" spans="1:4" ht="22.5" customHeight="1" x14ac:dyDescent="0.15">
      <c r="A293" s="16" t="s">
        <v>668</v>
      </c>
      <c r="B293" s="12" t="s">
        <v>1426</v>
      </c>
      <c r="C293" s="13" t="s">
        <v>18</v>
      </c>
      <c r="D293" s="40">
        <v>0</v>
      </c>
    </row>
    <row r="294" spans="1:4" ht="22.5" customHeight="1" x14ac:dyDescent="0.15">
      <c r="A294" s="16" t="s">
        <v>668</v>
      </c>
      <c r="B294" s="12" t="s">
        <v>1427</v>
      </c>
      <c r="C294" s="13" t="s">
        <v>77</v>
      </c>
      <c r="D294" s="40">
        <v>0</v>
      </c>
    </row>
    <row r="295" spans="1:4" ht="22.5" customHeight="1" x14ac:dyDescent="0.15">
      <c r="A295" s="16" t="s">
        <v>668</v>
      </c>
      <c r="B295" s="12" t="s">
        <v>1428</v>
      </c>
      <c r="C295" s="13" t="s">
        <v>77</v>
      </c>
      <c r="D295" s="40">
        <v>0</v>
      </c>
    </row>
    <row r="296" spans="1:4" ht="22.5" customHeight="1" x14ac:dyDescent="0.15">
      <c r="A296" s="16" t="s">
        <v>668</v>
      </c>
      <c r="B296" s="12" t="s">
        <v>1429</v>
      </c>
      <c r="C296" s="13" t="s">
        <v>77</v>
      </c>
      <c r="D296" s="40">
        <v>0</v>
      </c>
    </row>
    <row r="297" spans="1:4" ht="22.5" customHeight="1" x14ac:dyDescent="0.15">
      <c r="A297" s="16" t="s">
        <v>668</v>
      </c>
      <c r="B297" s="12" t="s">
        <v>1430</v>
      </c>
      <c r="C297" s="13" t="s">
        <v>77</v>
      </c>
      <c r="D297" s="40">
        <v>0</v>
      </c>
    </row>
    <row r="298" spans="1:4" ht="22.5" customHeight="1" x14ac:dyDescent="0.15">
      <c r="A298" s="16" t="s">
        <v>668</v>
      </c>
      <c r="B298" s="12" t="s">
        <v>1431</v>
      </c>
      <c r="C298" s="13" t="s">
        <v>12</v>
      </c>
      <c r="D298" s="40">
        <v>0</v>
      </c>
    </row>
    <row r="299" spans="1:4" ht="22.5" customHeight="1" x14ac:dyDescent="0.15">
      <c r="A299" s="16" t="s">
        <v>672</v>
      </c>
      <c r="B299" s="12" t="s">
        <v>1432</v>
      </c>
      <c r="C299" s="13" t="s">
        <v>18</v>
      </c>
      <c r="D299" s="40">
        <v>0</v>
      </c>
    </row>
    <row r="300" spans="1:4" ht="22.5" customHeight="1" x14ac:dyDescent="0.15">
      <c r="A300" s="16" t="s">
        <v>672</v>
      </c>
      <c r="B300" s="12" t="s">
        <v>1433</v>
      </c>
      <c r="C300" s="13" t="s">
        <v>18</v>
      </c>
      <c r="D300" s="40">
        <v>0</v>
      </c>
    </row>
    <row r="301" spans="1:4" ht="22.5" customHeight="1" x14ac:dyDescent="0.15">
      <c r="A301" s="16" t="s">
        <v>672</v>
      </c>
      <c r="B301" s="12" t="s">
        <v>1434</v>
      </c>
      <c r="C301" s="13" t="s">
        <v>18</v>
      </c>
      <c r="D301" s="40">
        <v>0</v>
      </c>
    </row>
    <row r="302" spans="1:4" ht="22.5" customHeight="1" x14ac:dyDescent="0.15">
      <c r="A302" s="16" t="s">
        <v>157</v>
      </c>
      <c r="B302" s="12" t="s">
        <v>1435</v>
      </c>
      <c r="C302" s="13" t="s">
        <v>23</v>
      </c>
      <c r="D302" s="40">
        <v>0</v>
      </c>
    </row>
    <row r="303" spans="1:4" ht="22.5" customHeight="1" x14ac:dyDescent="0.15">
      <c r="A303" s="16" t="s">
        <v>157</v>
      </c>
      <c r="B303" s="12" t="s">
        <v>1436</v>
      </c>
      <c r="C303" s="13" t="s">
        <v>23</v>
      </c>
      <c r="D303" s="40">
        <v>0</v>
      </c>
    </row>
    <row r="304" spans="1:4" ht="22.5" customHeight="1" x14ac:dyDescent="0.15">
      <c r="A304" s="16" t="s">
        <v>160</v>
      </c>
      <c r="B304" s="12" t="s">
        <v>1437</v>
      </c>
      <c r="C304" s="13" t="s">
        <v>77</v>
      </c>
      <c r="D304" s="40">
        <v>0</v>
      </c>
    </row>
    <row r="305" spans="1:4" ht="22.5" customHeight="1" x14ac:dyDescent="0.15">
      <c r="A305" s="16" t="s">
        <v>160</v>
      </c>
      <c r="B305" s="12" t="s">
        <v>1438</v>
      </c>
      <c r="C305" s="13" t="s">
        <v>18</v>
      </c>
      <c r="D305" s="40">
        <v>0</v>
      </c>
    </row>
    <row r="306" spans="1:4" ht="22.5" customHeight="1" x14ac:dyDescent="0.15">
      <c r="A306" s="16" t="s">
        <v>160</v>
      </c>
      <c r="B306" s="12" t="s">
        <v>1439</v>
      </c>
      <c r="C306" s="13" t="s">
        <v>23</v>
      </c>
      <c r="D306" s="40">
        <v>0</v>
      </c>
    </row>
    <row r="307" spans="1:4" ht="22.5" customHeight="1" x14ac:dyDescent="0.15">
      <c r="A307" s="16" t="s">
        <v>166</v>
      </c>
      <c r="B307" s="12" t="s">
        <v>1440</v>
      </c>
      <c r="C307" s="13" t="s">
        <v>115</v>
      </c>
      <c r="D307" s="40">
        <v>0</v>
      </c>
    </row>
    <row r="308" spans="1:4" ht="22.5" customHeight="1" x14ac:dyDescent="0.15">
      <c r="A308" s="16" t="s">
        <v>166</v>
      </c>
      <c r="B308" s="12" t="s">
        <v>1441</v>
      </c>
      <c r="C308" s="13" t="s">
        <v>30</v>
      </c>
      <c r="D308" s="40">
        <v>0</v>
      </c>
    </row>
    <row r="309" spans="1:4" ht="22.5" customHeight="1" x14ac:dyDescent="0.15">
      <c r="A309" s="16" t="s">
        <v>166</v>
      </c>
      <c r="B309" s="12" t="s">
        <v>1442</v>
      </c>
      <c r="C309" s="13" t="s">
        <v>115</v>
      </c>
      <c r="D309" s="40">
        <v>0</v>
      </c>
    </row>
    <row r="310" spans="1:4" ht="22.5" customHeight="1" x14ac:dyDescent="0.15">
      <c r="A310" s="16" t="s">
        <v>166</v>
      </c>
      <c r="B310" s="12" t="s">
        <v>1443</v>
      </c>
      <c r="C310" s="13" t="s">
        <v>30</v>
      </c>
      <c r="D310" s="40">
        <v>0</v>
      </c>
    </row>
    <row r="311" spans="1:4" ht="22.5" customHeight="1" x14ac:dyDescent="0.15">
      <c r="A311" s="16" t="s">
        <v>781</v>
      </c>
      <c r="B311" s="12" t="s">
        <v>1444</v>
      </c>
      <c r="C311" s="13" t="s">
        <v>30</v>
      </c>
      <c r="D311" s="40">
        <v>0</v>
      </c>
    </row>
    <row r="312" spans="1:4" ht="22.5" customHeight="1" x14ac:dyDescent="0.15">
      <c r="A312" s="16" t="s">
        <v>781</v>
      </c>
      <c r="B312" s="12" t="s">
        <v>1445</v>
      </c>
      <c r="C312" s="13" t="s">
        <v>30</v>
      </c>
      <c r="D312" s="40">
        <v>0</v>
      </c>
    </row>
    <row r="313" spans="1:4" ht="22.5" customHeight="1" x14ac:dyDescent="0.15">
      <c r="A313" s="16" t="s">
        <v>683</v>
      </c>
      <c r="B313" s="12" t="s">
        <v>1446</v>
      </c>
      <c r="C313" s="13" t="s">
        <v>77</v>
      </c>
      <c r="D313" s="40">
        <v>0</v>
      </c>
    </row>
    <row r="314" spans="1:4" ht="22.5" customHeight="1" x14ac:dyDescent="0.15">
      <c r="A314" s="16" t="s">
        <v>683</v>
      </c>
      <c r="B314" s="12" t="s">
        <v>1447</v>
      </c>
      <c r="C314" s="13" t="s">
        <v>88</v>
      </c>
      <c r="D314" s="40">
        <v>0</v>
      </c>
    </row>
    <row r="315" spans="1:4" ht="22.5" customHeight="1" x14ac:dyDescent="0.15">
      <c r="A315" s="16" t="s">
        <v>107</v>
      </c>
      <c r="B315" s="12" t="s">
        <v>1448</v>
      </c>
      <c r="C315" s="13" t="s">
        <v>12</v>
      </c>
      <c r="D315" s="40">
        <v>0</v>
      </c>
    </row>
    <row r="316" spans="1:4" ht="22.5" customHeight="1" x14ac:dyDescent="0.15">
      <c r="A316" s="16" t="s">
        <v>107</v>
      </c>
      <c r="B316" s="12" t="s">
        <v>1449</v>
      </c>
      <c r="C316" s="13" t="s">
        <v>12</v>
      </c>
      <c r="D316" s="40">
        <v>0</v>
      </c>
    </row>
    <row r="317" spans="1:4" ht="22.5" customHeight="1" x14ac:dyDescent="0.15">
      <c r="A317" s="16" t="s">
        <v>75</v>
      </c>
      <c r="B317" s="12" t="s">
        <v>1450</v>
      </c>
      <c r="C317" s="13" t="s">
        <v>30</v>
      </c>
      <c r="D317" s="40">
        <v>0</v>
      </c>
    </row>
    <row r="318" spans="1:4" ht="22.5" customHeight="1" x14ac:dyDescent="0.15">
      <c r="A318" s="16" t="s">
        <v>75</v>
      </c>
      <c r="B318" s="12" t="s">
        <v>1451</v>
      </c>
      <c r="C318" s="13" t="s">
        <v>30</v>
      </c>
      <c r="D318" s="40">
        <v>0</v>
      </c>
    </row>
    <row r="319" spans="1:4" ht="22.5" customHeight="1" x14ac:dyDescent="0.15">
      <c r="A319" s="16" t="s">
        <v>75</v>
      </c>
      <c r="B319" s="12" t="s">
        <v>1452</v>
      </c>
      <c r="C319" s="13" t="s">
        <v>30</v>
      </c>
      <c r="D319" s="40">
        <v>0</v>
      </c>
    </row>
    <row r="320" spans="1:4" ht="22.5" customHeight="1" x14ac:dyDescent="0.15">
      <c r="A320" s="16" t="s">
        <v>75</v>
      </c>
      <c r="B320" s="12" t="s">
        <v>1453</v>
      </c>
      <c r="C320" s="13" t="s">
        <v>219</v>
      </c>
      <c r="D320" s="40">
        <v>0</v>
      </c>
    </row>
    <row r="321" spans="1:4" ht="22.5" customHeight="1" x14ac:dyDescent="0.15">
      <c r="A321" s="16" t="s">
        <v>1456</v>
      </c>
      <c r="B321" s="12" t="s">
        <v>1457</v>
      </c>
      <c r="C321" s="13" t="s">
        <v>88</v>
      </c>
      <c r="D321" s="40">
        <v>0</v>
      </c>
    </row>
    <row r="322" spans="1:4" ht="22.5" customHeight="1" x14ac:dyDescent="0.15">
      <c r="A322" s="16" t="s">
        <v>223</v>
      </c>
      <c r="B322" s="12" t="s">
        <v>1458</v>
      </c>
      <c r="C322" s="13" t="s">
        <v>136</v>
      </c>
      <c r="D322" s="40">
        <v>0</v>
      </c>
    </row>
    <row r="323" spans="1:4" ht="22.5" customHeight="1" x14ac:dyDescent="0.15">
      <c r="A323" s="16" t="s">
        <v>223</v>
      </c>
      <c r="B323" s="12" t="s">
        <v>1459</v>
      </c>
      <c r="C323" s="13" t="s">
        <v>30</v>
      </c>
      <c r="D323" s="40">
        <v>0</v>
      </c>
    </row>
    <row r="324" spans="1:4" ht="22.5" customHeight="1" x14ac:dyDescent="0.15">
      <c r="A324" s="16" t="s">
        <v>223</v>
      </c>
      <c r="B324" s="12" t="s">
        <v>1460</v>
      </c>
      <c r="C324" s="13" t="s">
        <v>30</v>
      </c>
      <c r="D324" s="40">
        <v>0</v>
      </c>
    </row>
    <row r="325" spans="1:4" ht="22.5" customHeight="1" x14ac:dyDescent="0.15">
      <c r="A325" s="16" t="s">
        <v>1463</v>
      </c>
      <c r="B325" s="12" t="s">
        <v>1464</v>
      </c>
      <c r="C325" s="13" t="s">
        <v>30</v>
      </c>
      <c r="D325" s="40">
        <v>0</v>
      </c>
    </row>
    <row r="326" spans="1:4" ht="22.5" customHeight="1" x14ac:dyDescent="0.15">
      <c r="A326" s="16" t="s">
        <v>15</v>
      </c>
      <c r="B326" s="12" t="s">
        <v>1465</v>
      </c>
      <c r="C326" s="13" t="s">
        <v>115</v>
      </c>
      <c r="D326" s="40">
        <v>0</v>
      </c>
    </row>
    <row r="327" spans="1:4" ht="22.5" customHeight="1" x14ac:dyDescent="0.15">
      <c r="A327" s="16" t="s">
        <v>230</v>
      </c>
      <c r="B327" s="12" t="s">
        <v>1466</v>
      </c>
      <c r="C327" s="13" t="s">
        <v>12</v>
      </c>
      <c r="D327" s="40">
        <v>0</v>
      </c>
    </row>
    <row r="328" spans="1:4" ht="22.5" customHeight="1" x14ac:dyDescent="0.15">
      <c r="A328" s="16" t="s">
        <v>230</v>
      </c>
      <c r="B328" s="12" t="s">
        <v>1467</v>
      </c>
      <c r="C328" s="13" t="s">
        <v>18</v>
      </c>
      <c r="D328" s="40">
        <v>0</v>
      </c>
    </row>
    <row r="329" spans="1:4" ht="22.5" customHeight="1" x14ac:dyDescent="0.15">
      <c r="A329" s="16" t="s">
        <v>230</v>
      </c>
      <c r="B329" s="12" t="s">
        <v>1468</v>
      </c>
      <c r="C329" s="13" t="s">
        <v>18</v>
      </c>
      <c r="D329" s="40">
        <v>0</v>
      </c>
    </row>
    <row r="330" spans="1:4" ht="22.5" customHeight="1" x14ac:dyDescent="0.15">
      <c r="A330" s="16" t="s">
        <v>848</v>
      </c>
      <c r="B330" s="12" t="s">
        <v>1469</v>
      </c>
      <c r="C330" s="13" t="s">
        <v>88</v>
      </c>
      <c r="D330" s="40">
        <v>0</v>
      </c>
    </row>
    <row r="331" spans="1:4" ht="22.5" customHeight="1" x14ac:dyDescent="0.15">
      <c r="A331" s="16" t="s">
        <v>848</v>
      </c>
      <c r="B331" s="12" t="s">
        <v>1470</v>
      </c>
      <c r="C331" s="13" t="s">
        <v>12</v>
      </c>
      <c r="D331" s="40">
        <v>0</v>
      </c>
    </row>
    <row r="332" spans="1:4" ht="22.5" customHeight="1" x14ac:dyDescent="0.15">
      <c r="A332" s="16" t="s">
        <v>234</v>
      </c>
      <c r="B332" s="12" t="s">
        <v>1471</v>
      </c>
      <c r="C332" s="13" t="s">
        <v>30</v>
      </c>
      <c r="D332" s="40">
        <v>0</v>
      </c>
    </row>
    <row r="333" spans="1:4" ht="22.5" customHeight="1" x14ac:dyDescent="0.15">
      <c r="A333" s="16" t="s">
        <v>234</v>
      </c>
      <c r="B333" s="12" t="s">
        <v>1472</v>
      </c>
      <c r="C333" s="13" t="s">
        <v>88</v>
      </c>
      <c r="D333" s="40">
        <v>0</v>
      </c>
    </row>
    <row r="334" spans="1:4" ht="22.5" customHeight="1" x14ac:dyDescent="0.15">
      <c r="A334" s="16" t="s">
        <v>234</v>
      </c>
      <c r="B334" s="12" t="s">
        <v>1473</v>
      </c>
      <c r="C334" s="13" t="s">
        <v>88</v>
      </c>
      <c r="D334" s="40">
        <v>0</v>
      </c>
    </row>
    <row r="335" spans="1:4" ht="22.5" customHeight="1" x14ac:dyDescent="0.15">
      <c r="A335" s="16" t="s">
        <v>239</v>
      </c>
      <c r="B335" s="12" t="s">
        <v>1474</v>
      </c>
      <c r="C335" s="13" t="s">
        <v>18</v>
      </c>
      <c r="D335" s="40">
        <v>0</v>
      </c>
    </row>
    <row r="336" spans="1:4" ht="22.5" customHeight="1" x14ac:dyDescent="0.15">
      <c r="A336" s="16" t="s">
        <v>1477</v>
      </c>
      <c r="B336" s="12" t="s">
        <v>1478</v>
      </c>
      <c r="C336" s="13" t="s">
        <v>23</v>
      </c>
      <c r="D336" s="40">
        <v>0</v>
      </c>
    </row>
    <row r="337" spans="1:4" ht="22.5" customHeight="1" x14ac:dyDescent="0.15">
      <c r="A337" s="16" t="s">
        <v>81</v>
      </c>
      <c r="B337" s="12" t="s">
        <v>1479</v>
      </c>
      <c r="C337" s="13" t="s">
        <v>513</v>
      </c>
      <c r="D337" s="40">
        <v>0</v>
      </c>
    </row>
    <row r="338" spans="1:4" ht="22.5" customHeight="1" x14ac:dyDescent="0.15">
      <c r="A338" s="16" t="s">
        <v>249</v>
      </c>
      <c r="B338" s="12" t="s">
        <v>1480</v>
      </c>
      <c r="C338" s="13" t="s">
        <v>30</v>
      </c>
      <c r="D338" s="40">
        <v>0</v>
      </c>
    </row>
    <row r="339" spans="1:4" ht="22.5" customHeight="1" x14ac:dyDescent="0.15">
      <c r="A339" s="16" t="s">
        <v>249</v>
      </c>
      <c r="B339" s="12" t="s">
        <v>1481</v>
      </c>
      <c r="C339" s="13" t="s">
        <v>83</v>
      </c>
      <c r="D339" s="40">
        <v>0</v>
      </c>
    </row>
    <row r="340" spans="1:4" ht="22.5" customHeight="1" x14ac:dyDescent="0.15">
      <c r="A340" s="15" t="s">
        <v>249</v>
      </c>
      <c r="B340" s="12" t="s">
        <v>1482</v>
      </c>
      <c r="C340" s="13" t="s">
        <v>18</v>
      </c>
      <c r="D340" s="40">
        <v>0</v>
      </c>
    </row>
    <row r="341" spans="1:4" ht="22.5" customHeight="1" x14ac:dyDescent="0.15">
      <c r="A341" s="15" t="s">
        <v>1485</v>
      </c>
      <c r="B341" s="12" t="s">
        <v>1486</v>
      </c>
      <c r="C341" s="13" t="s">
        <v>18</v>
      </c>
      <c r="D341" s="40">
        <v>0</v>
      </c>
    </row>
    <row r="342" spans="1:4" ht="22.5" customHeight="1" x14ac:dyDescent="0.15">
      <c r="A342" s="16" t="s">
        <v>887</v>
      </c>
      <c r="B342" s="12" t="s">
        <v>1487</v>
      </c>
      <c r="C342" s="13" t="s">
        <v>136</v>
      </c>
      <c r="D342" s="40">
        <v>0</v>
      </c>
    </row>
    <row r="343" spans="1:4" ht="22.5" customHeight="1" x14ac:dyDescent="0.15">
      <c r="A343" s="16" t="s">
        <v>256</v>
      </c>
      <c r="B343" s="12" t="s">
        <v>1488</v>
      </c>
      <c r="C343" s="13" t="s">
        <v>136</v>
      </c>
      <c r="D343" s="40">
        <v>0</v>
      </c>
    </row>
    <row r="344" spans="1:4" ht="22.5" customHeight="1" x14ac:dyDescent="0.15">
      <c r="A344" s="16" t="s">
        <v>256</v>
      </c>
      <c r="B344" s="12" t="s">
        <v>1489</v>
      </c>
      <c r="C344" s="13" t="s">
        <v>77</v>
      </c>
      <c r="D344" s="40">
        <v>0</v>
      </c>
    </row>
    <row r="345" spans="1:4" ht="22.5" customHeight="1" x14ac:dyDescent="0.15">
      <c r="A345" s="16" t="s">
        <v>1492</v>
      </c>
      <c r="B345" s="12" t="s">
        <v>1493</v>
      </c>
      <c r="C345" s="13" t="s">
        <v>513</v>
      </c>
      <c r="D345" s="40">
        <v>0</v>
      </c>
    </row>
    <row r="346" spans="1:4" ht="22.5" customHeight="1" x14ac:dyDescent="0.15">
      <c r="A346" s="16" t="s">
        <v>1492</v>
      </c>
      <c r="B346" s="12" t="s">
        <v>1494</v>
      </c>
      <c r="C346" s="13" t="s">
        <v>30</v>
      </c>
      <c r="D346" s="40">
        <v>0</v>
      </c>
    </row>
    <row r="347" spans="1:4" ht="22.5" customHeight="1" x14ac:dyDescent="0.15">
      <c r="A347" s="16" t="s">
        <v>1492</v>
      </c>
      <c r="B347" s="12" t="s">
        <v>1495</v>
      </c>
      <c r="C347" s="13" t="s">
        <v>30</v>
      </c>
      <c r="D347" s="40">
        <v>0</v>
      </c>
    </row>
    <row r="348" spans="1:4" ht="22.5" customHeight="1" x14ac:dyDescent="0.15">
      <c r="A348" s="16" t="s">
        <v>1492</v>
      </c>
      <c r="B348" s="12" t="s">
        <v>1496</v>
      </c>
      <c r="C348" s="13" t="s">
        <v>136</v>
      </c>
      <c r="D348" s="40">
        <v>0</v>
      </c>
    </row>
    <row r="349" spans="1:4" ht="22.5" customHeight="1" x14ac:dyDescent="0.15">
      <c r="A349" s="16" t="s">
        <v>267</v>
      </c>
      <c r="B349" s="12" t="s">
        <v>1497</v>
      </c>
      <c r="C349" s="13" t="s">
        <v>12</v>
      </c>
      <c r="D349" s="40">
        <v>0</v>
      </c>
    </row>
    <row r="350" spans="1:4" ht="22.5" customHeight="1" x14ac:dyDescent="0.15">
      <c r="A350" s="16" t="s">
        <v>293</v>
      </c>
      <c r="B350" s="12" t="s">
        <v>1498</v>
      </c>
      <c r="C350" s="13" t="s">
        <v>136</v>
      </c>
      <c r="D350" s="40">
        <v>0</v>
      </c>
    </row>
    <row r="351" spans="1:4" ht="22.5" customHeight="1" x14ac:dyDescent="0.15">
      <c r="A351" s="16" t="s">
        <v>293</v>
      </c>
      <c r="B351" s="12" t="s">
        <v>1499</v>
      </c>
      <c r="C351" s="13" t="s">
        <v>88</v>
      </c>
      <c r="D351" s="40">
        <v>0</v>
      </c>
    </row>
    <row r="352" spans="1:4" ht="22.5" customHeight="1" x14ac:dyDescent="0.15">
      <c r="A352" s="16" t="s">
        <v>950</v>
      </c>
      <c r="B352" s="12" t="s">
        <v>1500</v>
      </c>
      <c r="C352" s="13" t="s">
        <v>23</v>
      </c>
      <c r="D352" s="40">
        <v>0</v>
      </c>
    </row>
    <row r="353" spans="1:4" ht="22.5" customHeight="1" x14ac:dyDescent="0.15">
      <c r="A353" s="16" t="s">
        <v>955</v>
      </c>
      <c r="B353" s="12" t="s">
        <v>1501</v>
      </c>
      <c r="C353" s="13" t="s">
        <v>342</v>
      </c>
      <c r="D353" s="40">
        <v>0</v>
      </c>
    </row>
    <row r="354" spans="1:4" ht="22.5" customHeight="1" x14ac:dyDescent="0.15">
      <c r="A354" s="16" t="s">
        <v>327</v>
      </c>
      <c r="B354" s="12" t="s">
        <v>1502</v>
      </c>
      <c r="C354" s="13" t="s">
        <v>30</v>
      </c>
      <c r="D354" s="40">
        <v>0</v>
      </c>
    </row>
    <row r="355" spans="1:4" ht="22.5" customHeight="1" x14ac:dyDescent="0.15">
      <c r="A355" s="16" t="s">
        <v>327</v>
      </c>
      <c r="B355" s="12" t="s">
        <v>1503</v>
      </c>
      <c r="C355" s="13" t="s">
        <v>77</v>
      </c>
      <c r="D355" s="40">
        <v>0</v>
      </c>
    </row>
    <row r="356" spans="1:4" ht="22.5" customHeight="1" x14ac:dyDescent="0.15">
      <c r="A356" s="16" t="s">
        <v>327</v>
      </c>
      <c r="B356" s="12" t="s">
        <v>1504</v>
      </c>
      <c r="C356" s="13" t="s">
        <v>115</v>
      </c>
      <c r="D356" s="40">
        <v>0</v>
      </c>
    </row>
    <row r="357" spans="1:4" ht="22.5" customHeight="1" x14ac:dyDescent="0.15">
      <c r="A357" s="16" t="s">
        <v>971</v>
      </c>
      <c r="B357" s="12" t="s">
        <v>1505</v>
      </c>
      <c r="C357" s="13" t="s">
        <v>30</v>
      </c>
      <c r="D357" s="40">
        <v>0</v>
      </c>
    </row>
    <row r="358" spans="1:4" ht="22.5" customHeight="1" x14ac:dyDescent="0.15">
      <c r="A358" s="16" t="s">
        <v>347</v>
      </c>
      <c r="B358" s="12" t="s">
        <v>1506</v>
      </c>
      <c r="C358" s="13" t="s">
        <v>30</v>
      </c>
      <c r="D358" s="40">
        <v>0</v>
      </c>
    </row>
    <row r="359" spans="1:4" ht="22.5" customHeight="1" x14ac:dyDescent="0.15">
      <c r="A359" s="16" t="s">
        <v>359</v>
      </c>
      <c r="B359" s="12" t="s">
        <v>1507</v>
      </c>
      <c r="C359" s="13" t="s">
        <v>77</v>
      </c>
      <c r="D359" s="40">
        <v>0</v>
      </c>
    </row>
    <row r="360" spans="1:4" ht="22.5" customHeight="1" x14ac:dyDescent="0.15">
      <c r="A360" s="16" t="s">
        <v>359</v>
      </c>
      <c r="B360" s="12" t="s">
        <v>1508</v>
      </c>
      <c r="C360" s="13" t="s">
        <v>219</v>
      </c>
      <c r="D360" s="40">
        <v>0</v>
      </c>
    </row>
    <row r="361" spans="1:4" ht="22.5" customHeight="1" x14ac:dyDescent="0.15">
      <c r="A361" s="16" t="s">
        <v>1003</v>
      </c>
      <c r="B361" s="12" t="s">
        <v>1509</v>
      </c>
      <c r="C361" s="13" t="s">
        <v>23</v>
      </c>
      <c r="D361" s="40">
        <v>0</v>
      </c>
    </row>
    <row r="362" spans="1:4" ht="22.5" customHeight="1" x14ac:dyDescent="0.15">
      <c r="A362" s="16" t="s">
        <v>1013</v>
      </c>
      <c r="B362" s="12" t="s">
        <v>1510</v>
      </c>
      <c r="C362" s="13" t="s">
        <v>88</v>
      </c>
      <c r="D362" s="40">
        <v>0</v>
      </c>
    </row>
    <row r="363" spans="1:4" ht="22.5" customHeight="1" x14ac:dyDescent="0.15">
      <c r="A363" s="15" t="s">
        <v>1025</v>
      </c>
      <c r="B363" s="12" t="s">
        <v>1511</v>
      </c>
      <c r="C363" s="13" t="s">
        <v>83</v>
      </c>
      <c r="D363" s="40">
        <v>0</v>
      </c>
    </row>
    <row r="364" spans="1:4" ht="22.5" customHeight="1" x14ac:dyDescent="0.15">
      <c r="A364" s="16" t="s">
        <v>1514</v>
      </c>
      <c r="B364" s="12" t="s">
        <v>1515</v>
      </c>
      <c r="C364" s="13" t="s">
        <v>23</v>
      </c>
      <c r="D364" s="40">
        <v>0</v>
      </c>
    </row>
    <row r="365" spans="1:4" ht="22.5" customHeight="1" x14ac:dyDescent="0.15">
      <c r="A365" s="16" t="s">
        <v>1088</v>
      </c>
      <c r="B365" s="12" t="s">
        <v>1516</v>
      </c>
      <c r="C365" s="13" t="s">
        <v>30</v>
      </c>
      <c r="D365" s="40">
        <v>0</v>
      </c>
    </row>
    <row r="366" spans="1:4" ht="22.5" customHeight="1" x14ac:dyDescent="0.15">
      <c r="A366" s="16" t="s">
        <v>1517</v>
      </c>
      <c r="B366" s="12" t="s">
        <v>1474</v>
      </c>
      <c r="C366" s="13" t="s">
        <v>18</v>
      </c>
      <c r="D366" s="40">
        <v>0</v>
      </c>
    </row>
    <row r="367" spans="1:4" ht="22.5" customHeight="1" x14ac:dyDescent="0.15">
      <c r="A367" s="16" t="s">
        <v>399</v>
      </c>
      <c r="B367" s="12" t="s">
        <v>1480</v>
      </c>
      <c r="C367" s="13" t="s">
        <v>30</v>
      </c>
      <c r="D367" s="40">
        <v>0</v>
      </c>
    </row>
    <row r="368" spans="1:4" ht="22.5" customHeight="1" x14ac:dyDescent="0.15">
      <c r="A368" s="16" t="s">
        <v>399</v>
      </c>
      <c r="B368" s="12" t="s">
        <v>1481</v>
      </c>
      <c r="C368" s="13" t="s">
        <v>83</v>
      </c>
      <c r="D368" s="40">
        <v>0</v>
      </c>
    </row>
    <row r="369" spans="1:4" ht="22.5" customHeight="1" x14ac:dyDescent="0.15">
      <c r="A369" s="16" t="s">
        <v>399</v>
      </c>
      <c r="B369" s="12" t="s">
        <v>1482</v>
      </c>
      <c r="C369" s="13" t="s">
        <v>18</v>
      </c>
      <c r="D369" s="40">
        <v>0</v>
      </c>
    </row>
    <row r="370" spans="1:4" ht="22.5" customHeight="1" x14ac:dyDescent="0.15">
      <c r="A370" s="16" t="s">
        <v>401</v>
      </c>
      <c r="B370" s="12" t="s">
        <v>1518</v>
      </c>
      <c r="C370" s="13" t="s">
        <v>30</v>
      </c>
      <c r="D370" s="40">
        <v>0</v>
      </c>
    </row>
    <row r="371" spans="1:4" ht="22.5" customHeight="1" x14ac:dyDescent="0.15">
      <c r="A371" s="16" t="s">
        <v>401</v>
      </c>
      <c r="B371" s="12" t="s">
        <v>1519</v>
      </c>
      <c r="C371" s="13" t="s">
        <v>23</v>
      </c>
      <c r="D371" s="40">
        <v>0</v>
      </c>
    </row>
    <row r="372" spans="1:4" ht="22.5" customHeight="1" x14ac:dyDescent="0.15">
      <c r="A372" s="16" t="s">
        <v>401</v>
      </c>
      <c r="B372" s="12" t="s">
        <v>1520</v>
      </c>
      <c r="C372" s="13" t="s">
        <v>88</v>
      </c>
      <c r="D372" s="40">
        <v>0</v>
      </c>
    </row>
    <row r="373" spans="1:4" ht="22.5" customHeight="1" x14ac:dyDescent="0.15">
      <c r="A373" s="16" t="s">
        <v>401</v>
      </c>
      <c r="B373" s="12" t="s">
        <v>1521</v>
      </c>
      <c r="C373" s="13" t="s">
        <v>88</v>
      </c>
      <c r="D373" s="40">
        <v>0</v>
      </c>
    </row>
    <row r="374" spans="1:4" ht="22.5" customHeight="1" x14ac:dyDescent="0.15">
      <c r="A374" s="16" t="s">
        <v>401</v>
      </c>
      <c r="B374" s="12" t="s">
        <v>1522</v>
      </c>
      <c r="C374" s="13" t="s">
        <v>23</v>
      </c>
      <c r="D374" s="40">
        <v>0</v>
      </c>
    </row>
    <row r="375" spans="1:4" ht="22.5" customHeight="1" x14ac:dyDescent="0.15">
      <c r="A375" s="16" t="s">
        <v>401</v>
      </c>
      <c r="B375" s="12" t="s">
        <v>1523</v>
      </c>
      <c r="C375" s="13" t="s">
        <v>88</v>
      </c>
      <c r="D375" s="40">
        <v>0</v>
      </c>
    </row>
    <row r="376" spans="1:4" ht="22.5" customHeight="1" x14ac:dyDescent="0.15">
      <c r="A376" s="16" t="s">
        <v>401</v>
      </c>
      <c r="B376" s="12" t="s">
        <v>1524</v>
      </c>
      <c r="C376" s="13" t="s">
        <v>219</v>
      </c>
      <c r="D376" s="40">
        <v>0</v>
      </c>
    </row>
    <row r="377" spans="1:4" ht="22.5" customHeight="1" x14ac:dyDescent="0.15">
      <c r="A377" s="16" t="s">
        <v>401</v>
      </c>
      <c r="B377" s="12" t="s">
        <v>1525</v>
      </c>
      <c r="C377" s="13" t="s">
        <v>30</v>
      </c>
      <c r="D377" s="40">
        <v>0</v>
      </c>
    </row>
    <row r="378" spans="1:4" ht="22.5" customHeight="1" x14ac:dyDescent="0.15">
      <c r="A378" s="16" t="s">
        <v>1120</v>
      </c>
      <c r="B378" s="12" t="s">
        <v>1526</v>
      </c>
      <c r="C378" s="13" t="s">
        <v>23</v>
      </c>
      <c r="D378" s="40">
        <v>0</v>
      </c>
    </row>
    <row r="379" spans="1:4" ht="22.5" customHeight="1" x14ac:dyDescent="0.15">
      <c r="A379" s="16" t="s">
        <v>714</v>
      </c>
      <c r="B379" s="12" t="s">
        <v>1527</v>
      </c>
      <c r="C379" s="13" t="s">
        <v>12</v>
      </c>
      <c r="D379" s="40">
        <v>0</v>
      </c>
    </row>
    <row r="380" spans="1:4" ht="22.5" customHeight="1" x14ac:dyDescent="0.15">
      <c r="A380" s="16" t="s">
        <v>714</v>
      </c>
      <c r="B380" s="12" t="s">
        <v>1528</v>
      </c>
      <c r="C380" s="13" t="s">
        <v>12</v>
      </c>
      <c r="D380" s="40">
        <v>0</v>
      </c>
    </row>
    <row r="381" spans="1:4" ht="22.5" customHeight="1" x14ac:dyDescent="0.15">
      <c r="A381" s="16" t="s">
        <v>714</v>
      </c>
      <c r="B381" s="12" t="s">
        <v>1529</v>
      </c>
      <c r="C381" s="13" t="s">
        <v>12</v>
      </c>
      <c r="D381" s="40">
        <v>0</v>
      </c>
    </row>
    <row r="382" spans="1:4" ht="22.5" customHeight="1" x14ac:dyDescent="0.15">
      <c r="A382" s="16" t="s">
        <v>714</v>
      </c>
      <c r="B382" s="12" t="s">
        <v>1530</v>
      </c>
      <c r="C382" s="13" t="s">
        <v>30</v>
      </c>
      <c r="D382" s="40">
        <v>0</v>
      </c>
    </row>
    <row r="383" spans="1:4" ht="22.5" customHeight="1" x14ac:dyDescent="0.15">
      <c r="A383" s="16" t="s">
        <v>425</v>
      </c>
      <c r="B383" s="12" t="s">
        <v>1531</v>
      </c>
      <c r="C383" s="13" t="s">
        <v>88</v>
      </c>
      <c r="D383" s="40">
        <v>0</v>
      </c>
    </row>
    <row r="384" spans="1:4" ht="22.5" customHeight="1" x14ac:dyDescent="0.15">
      <c r="A384" s="16" t="s">
        <v>429</v>
      </c>
      <c r="B384" s="12" t="s">
        <v>1532</v>
      </c>
      <c r="C384" s="13" t="s">
        <v>136</v>
      </c>
      <c r="D384" s="40">
        <v>0</v>
      </c>
    </row>
    <row r="385" spans="1:4" ht="22.5" customHeight="1" x14ac:dyDescent="0.15">
      <c r="A385" s="16" t="s">
        <v>429</v>
      </c>
      <c r="B385" s="12" t="s">
        <v>1533</v>
      </c>
      <c r="C385" s="13" t="s">
        <v>30</v>
      </c>
      <c r="D385" s="40">
        <v>0</v>
      </c>
    </row>
    <row r="386" spans="1:4" ht="22.5" customHeight="1" x14ac:dyDescent="0.15">
      <c r="A386" s="16" t="s">
        <v>429</v>
      </c>
      <c r="B386" s="12" t="s">
        <v>1534</v>
      </c>
      <c r="C386" s="13" t="s">
        <v>30</v>
      </c>
      <c r="D386" s="40">
        <v>0</v>
      </c>
    </row>
    <row r="387" spans="1:4" ht="22.5" customHeight="1" x14ac:dyDescent="0.15">
      <c r="A387" s="16" t="s">
        <v>1537</v>
      </c>
      <c r="B387" s="12" t="s">
        <v>1538</v>
      </c>
      <c r="C387" s="13" t="s">
        <v>12</v>
      </c>
      <c r="D387" s="40">
        <v>0</v>
      </c>
    </row>
    <row r="388" spans="1:4" ht="22.5" customHeight="1" x14ac:dyDescent="0.15">
      <c r="A388" s="16" t="s">
        <v>443</v>
      </c>
      <c r="B388" s="12" t="s">
        <v>1539</v>
      </c>
      <c r="C388" s="13" t="s">
        <v>115</v>
      </c>
      <c r="D388" s="40">
        <v>0</v>
      </c>
    </row>
    <row r="389" spans="1:4" ht="22.5" customHeight="1" x14ac:dyDescent="0.15">
      <c r="A389" s="16" t="s">
        <v>463</v>
      </c>
      <c r="B389" s="12" t="s">
        <v>1502</v>
      </c>
      <c r="C389" s="13" t="s">
        <v>30</v>
      </c>
      <c r="D389" s="40">
        <v>0</v>
      </c>
    </row>
    <row r="390" spans="1:4" ht="22.5" customHeight="1" x14ac:dyDescent="0.15">
      <c r="A390" s="16" t="s">
        <v>463</v>
      </c>
      <c r="B390" s="12" t="s">
        <v>1504</v>
      </c>
      <c r="C390" s="13" t="s">
        <v>115</v>
      </c>
      <c r="D390" s="40">
        <v>0</v>
      </c>
    </row>
    <row r="391" spans="1:4" ht="22.5" customHeight="1" x14ac:dyDescent="0.15">
      <c r="A391" s="16" t="s">
        <v>1181</v>
      </c>
      <c r="B391" s="12" t="s">
        <v>1540</v>
      </c>
      <c r="C391" s="13" t="s">
        <v>88</v>
      </c>
      <c r="D391" s="40">
        <v>0</v>
      </c>
    </row>
    <row r="392" spans="1:4" ht="22.5" customHeight="1" x14ac:dyDescent="0.15">
      <c r="A392" s="16" t="s">
        <v>476</v>
      </c>
      <c r="B392" s="12" t="s">
        <v>1541</v>
      </c>
      <c r="C392" s="13" t="s">
        <v>18</v>
      </c>
      <c r="D392" s="40">
        <v>0</v>
      </c>
    </row>
    <row r="393" spans="1:4" ht="22.5" customHeight="1" x14ac:dyDescent="0.15">
      <c r="A393" s="16" t="s">
        <v>703</v>
      </c>
      <c r="B393" s="12" t="s">
        <v>1542</v>
      </c>
      <c r="C393" s="13" t="s">
        <v>18</v>
      </c>
      <c r="D393" s="40">
        <v>0</v>
      </c>
    </row>
    <row r="394" spans="1:4" ht="22.5" customHeight="1" x14ac:dyDescent="0.15">
      <c r="A394" s="16" t="s">
        <v>1544</v>
      </c>
      <c r="B394" s="12" t="s">
        <v>1545</v>
      </c>
      <c r="C394" s="13" t="s">
        <v>136</v>
      </c>
      <c r="D394" s="40">
        <v>0</v>
      </c>
    </row>
    <row r="395" spans="1:4" ht="22.5" customHeight="1" x14ac:dyDescent="0.15">
      <c r="A395" s="16" t="s">
        <v>485</v>
      </c>
      <c r="B395" s="12" t="s">
        <v>1493</v>
      </c>
      <c r="C395" s="13" t="s">
        <v>513</v>
      </c>
      <c r="D395" s="40">
        <v>0</v>
      </c>
    </row>
    <row r="396" spans="1:4" ht="22.5" customHeight="1" x14ac:dyDescent="0.15">
      <c r="A396" s="16" t="s">
        <v>489</v>
      </c>
      <c r="B396" s="12" t="s">
        <v>1546</v>
      </c>
      <c r="C396" s="13" t="s">
        <v>30</v>
      </c>
      <c r="D396" s="40">
        <v>0</v>
      </c>
    </row>
    <row r="397" spans="1:4" ht="22.5" customHeight="1" x14ac:dyDescent="0.15">
      <c r="A397" s="16" t="s">
        <v>1548</v>
      </c>
      <c r="B397" s="12" t="s">
        <v>1549</v>
      </c>
      <c r="C397" s="13" t="s">
        <v>18</v>
      </c>
      <c r="D397" s="40">
        <v>0</v>
      </c>
    </row>
    <row r="398" spans="1:4" ht="22.5" customHeight="1" x14ac:dyDescent="0.15">
      <c r="A398" s="16" t="s">
        <v>1548</v>
      </c>
      <c r="B398" s="12" t="s">
        <v>1550</v>
      </c>
      <c r="C398" s="13" t="s">
        <v>136</v>
      </c>
      <c r="D398" s="40">
        <v>0</v>
      </c>
    </row>
    <row r="399" spans="1:4" ht="22.5" customHeight="1" x14ac:dyDescent="0.15">
      <c r="A399" s="16" t="s">
        <v>1548</v>
      </c>
      <c r="B399" s="12" t="s">
        <v>1551</v>
      </c>
      <c r="C399" s="13" t="s">
        <v>23</v>
      </c>
      <c r="D399" s="40">
        <v>0</v>
      </c>
    </row>
    <row r="400" spans="1:4" ht="22.5" customHeight="1" x14ac:dyDescent="0.15">
      <c r="A400" s="16" t="s">
        <v>1548</v>
      </c>
      <c r="B400" s="12" t="s">
        <v>1552</v>
      </c>
      <c r="C400" s="13" t="s">
        <v>77</v>
      </c>
      <c r="D400" s="40">
        <v>0</v>
      </c>
    </row>
    <row r="401" spans="1:4" ht="22.5" customHeight="1" x14ac:dyDescent="0.15">
      <c r="A401" s="16" t="s">
        <v>1554</v>
      </c>
      <c r="B401" s="12" t="s">
        <v>1555</v>
      </c>
      <c r="C401" s="13" t="s">
        <v>77</v>
      </c>
      <c r="D401" s="40">
        <v>0</v>
      </c>
    </row>
    <row r="402" spans="1:4" ht="22.5" customHeight="1" x14ac:dyDescent="0.15">
      <c r="A402" s="16" t="s">
        <v>1557</v>
      </c>
      <c r="B402" s="12" t="s">
        <v>1558</v>
      </c>
      <c r="C402" s="13" t="s">
        <v>67</v>
      </c>
      <c r="D402" s="40">
        <v>0</v>
      </c>
    </row>
    <row r="403" spans="1:4" ht="22.5" customHeight="1" x14ac:dyDescent="0.15">
      <c r="A403" s="16" t="s">
        <v>1557</v>
      </c>
      <c r="B403" s="12" t="s">
        <v>1559</v>
      </c>
      <c r="C403" s="13" t="s">
        <v>30</v>
      </c>
      <c r="D403" s="40">
        <v>0</v>
      </c>
    </row>
    <row r="404" spans="1:4" ht="22.5" customHeight="1" x14ac:dyDescent="0.15">
      <c r="A404" s="16" t="s">
        <v>1557</v>
      </c>
      <c r="B404" s="12" t="s">
        <v>1560</v>
      </c>
      <c r="C404" s="13" t="s">
        <v>30</v>
      </c>
      <c r="D404" s="40">
        <v>0</v>
      </c>
    </row>
    <row r="405" spans="1:4" ht="22.5" customHeight="1" x14ac:dyDescent="0.15">
      <c r="A405" s="16" t="s">
        <v>1563</v>
      </c>
      <c r="B405" s="12" t="s">
        <v>1564</v>
      </c>
      <c r="C405" s="13" t="s">
        <v>115</v>
      </c>
      <c r="D405" s="40">
        <v>0</v>
      </c>
    </row>
    <row r="406" spans="1:4" ht="22.5" customHeight="1" x14ac:dyDescent="0.15">
      <c r="A406" s="16" t="s">
        <v>511</v>
      </c>
      <c r="B406" s="12" t="s">
        <v>1565</v>
      </c>
      <c r="C406" s="13" t="s">
        <v>88</v>
      </c>
      <c r="D406" s="40">
        <v>0</v>
      </c>
    </row>
    <row r="407" spans="1:4" ht="22.5" customHeight="1" x14ac:dyDescent="0.15">
      <c r="A407" s="16" t="s">
        <v>112</v>
      </c>
      <c r="B407" s="12" t="s">
        <v>1448</v>
      </c>
      <c r="C407" s="13" t="s">
        <v>12</v>
      </c>
      <c r="D407" s="40">
        <v>0</v>
      </c>
    </row>
    <row r="408" spans="1:4" ht="22.5" customHeight="1" x14ac:dyDescent="0.15">
      <c r="A408" s="16" t="s">
        <v>112</v>
      </c>
      <c r="B408" s="12" t="s">
        <v>1449</v>
      </c>
      <c r="C408" s="13" t="s">
        <v>12</v>
      </c>
      <c r="D408" s="40">
        <v>0</v>
      </c>
    </row>
    <row r="409" spans="1:4" ht="22.5" customHeight="1" x14ac:dyDescent="0.15">
      <c r="A409" s="16" t="s">
        <v>617</v>
      </c>
      <c r="B409" s="12" t="s">
        <v>1566</v>
      </c>
      <c r="C409" s="13" t="s">
        <v>30</v>
      </c>
      <c r="D409" s="40">
        <v>0</v>
      </c>
    </row>
    <row r="410" spans="1:4" ht="22.5" customHeight="1" x14ac:dyDescent="0.15">
      <c r="A410" s="16" t="s">
        <v>617</v>
      </c>
      <c r="B410" s="12" t="s">
        <v>1567</v>
      </c>
      <c r="C410" s="13" t="s">
        <v>115</v>
      </c>
      <c r="D410" s="40">
        <v>0</v>
      </c>
    </row>
    <row r="411" spans="1:4" ht="22.5" customHeight="1" x14ac:dyDescent="0.15">
      <c r="A411" s="16" t="s">
        <v>523</v>
      </c>
      <c r="B411" s="12" t="s">
        <v>1568</v>
      </c>
      <c r="C411" s="13" t="s">
        <v>219</v>
      </c>
      <c r="D411" s="40">
        <v>0</v>
      </c>
    </row>
    <row r="412" spans="1:4" ht="22.5" customHeight="1" x14ac:dyDescent="0.15">
      <c r="A412" s="16" t="s">
        <v>523</v>
      </c>
      <c r="B412" s="12" t="s">
        <v>1569</v>
      </c>
      <c r="C412" s="13" t="s">
        <v>342</v>
      </c>
      <c r="D412" s="40">
        <v>0</v>
      </c>
    </row>
    <row r="413" spans="1:4" ht="22.5" customHeight="1" x14ac:dyDescent="0.15">
      <c r="A413" s="16" t="s">
        <v>534</v>
      </c>
      <c r="B413" s="12" t="s">
        <v>1570</v>
      </c>
      <c r="C413" s="13" t="s">
        <v>30</v>
      </c>
      <c r="D413" s="40">
        <v>0</v>
      </c>
    </row>
    <row r="414" spans="1:4" ht="22.5" customHeight="1" x14ac:dyDescent="0.15">
      <c r="A414" s="16" t="s">
        <v>557</v>
      </c>
      <c r="B414" s="12" t="s">
        <v>1559</v>
      </c>
      <c r="C414" s="13" t="s">
        <v>30</v>
      </c>
      <c r="D414" s="40">
        <v>0</v>
      </c>
    </row>
    <row r="415" spans="1:4" ht="22.5" customHeight="1" x14ac:dyDescent="0.15">
      <c r="A415" s="16" t="s">
        <v>557</v>
      </c>
      <c r="B415" s="12" t="s">
        <v>1571</v>
      </c>
      <c r="C415" s="13" t="s">
        <v>136</v>
      </c>
      <c r="D415" s="40">
        <v>0</v>
      </c>
    </row>
    <row r="416" spans="1:4" ht="22.5" customHeight="1" x14ac:dyDescent="0.15">
      <c r="A416" s="16" t="s">
        <v>560</v>
      </c>
      <c r="B416" s="12" t="s">
        <v>1572</v>
      </c>
      <c r="C416" s="13" t="s">
        <v>30</v>
      </c>
      <c r="D416" s="40">
        <v>0</v>
      </c>
    </row>
    <row r="417" spans="1:4" ht="22.5" customHeight="1" x14ac:dyDescent="0.15">
      <c r="A417" s="16" t="s">
        <v>560</v>
      </c>
      <c r="B417" s="12" t="s">
        <v>1573</v>
      </c>
      <c r="C417" s="13" t="s">
        <v>30</v>
      </c>
      <c r="D417" s="40">
        <v>0</v>
      </c>
    </row>
    <row r="418" spans="1:4" ht="22.5" customHeight="1" x14ac:dyDescent="0.15">
      <c r="A418" s="16" t="s">
        <v>1257</v>
      </c>
      <c r="B418" s="12" t="s">
        <v>1574</v>
      </c>
      <c r="C418" s="13" t="s">
        <v>77</v>
      </c>
      <c r="D418" s="40">
        <v>0</v>
      </c>
    </row>
    <row r="419" spans="1:4" ht="22.5" customHeight="1" x14ac:dyDescent="0.15">
      <c r="A419" s="16" t="s">
        <v>103</v>
      </c>
      <c r="B419" s="12" t="s">
        <v>1575</v>
      </c>
      <c r="C419" s="13" t="s">
        <v>83</v>
      </c>
      <c r="D419" s="40">
        <v>0</v>
      </c>
    </row>
    <row r="420" spans="1:4" ht="22.5" customHeight="1" x14ac:dyDescent="0.15">
      <c r="A420" s="16" t="s">
        <v>1271</v>
      </c>
      <c r="B420" s="12" t="s">
        <v>1576</v>
      </c>
      <c r="C420" s="13" t="s">
        <v>18</v>
      </c>
      <c r="D420" s="40">
        <v>0</v>
      </c>
    </row>
    <row r="421" spans="1:4" ht="22.5" customHeight="1" x14ac:dyDescent="0.15">
      <c r="A421" s="16" t="s">
        <v>568</v>
      </c>
      <c r="B421" s="12" t="s">
        <v>1577</v>
      </c>
      <c r="C421" s="13" t="s">
        <v>23</v>
      </c>
      <c r="D421" s="40">
        <v>0</v>
      </c>
    </row>
    <row r="422" spans="1:4" ht="22.5" customHeight="1" x14ac:dyDescent="0.15">
      <c r="A422" s="16" t="s">
        <v>572</v>
      </c>
      <c r="B422" s="12" t="s">
        <v>1578</v>
      </c>
      <c r="C422" s="13" t="s">
        <v>30</v>
      </c>
      <c r="D422" s="40">
        <v>0</v>
      </c>
    </row>
    <row r="423" spans="1:4" ht="22.5" customHeight="1" x14ac:dyDescent="0.15">
      <c r="A423" s="16" t="s">
        <v>572</v>
      </c>
      <c r="B423" s="12" t="s">
        <v>1579</v>
      </c>
      <c r="C423" s="13" t="s">
        <v>30</v>
      </c>
      <c r="D423" s="40">
        <v>0</v>
      </c>
    </row>
    <row r="424" spans="1:4" ht="22.5" customHeight="1" x14ac:dyDescent="0.15">
      <c r="A424" s="16" t="s">
        <v>70</v>
      </c>
      <c r="B424" s="12" t="s">
        <v>1580</v>
      </c>
      <c r="C424" s="13" t="s">
        <v>30</v>
      </c>
      <c r="D424" s="40">
        <v>0</v>
      </c>
    </row>
    <row r="425" spans="1:4" ht="22.5" customHeight="1" x14ac:dyDescent="0.15">
      <c r="A425" s="16" t="s">
        <v>70</v>
      </c>
      <c r="B425" s="12" t="s">
        <v>1582</v>
      </c>
      <c r="C425" s="13" t="s">
        <v>30</v>
      </c>
      <c r="D425" s="40">
        <v>0</v>
      </c>
    </row>
    <row r="426" spans="1:4" ht="22.5" customHeight="1" x14ac:dyDescent="0.15">
      <c r="A426" s="16" t="s">
        <v>70</v>
      </c>
      <c r="B426" s="12" t="s">
        <v>1583</v>
      </c>
      <c r="C426" s="13" t="s">
        <v>30</v>
      </c>
      <c r="D426" s="40">
        <v>0</v>
      </c>
    </row>
    <row r="427" spans="1:4" ht="22.5" customHeight="1" x14ac:dyDescent="0.15">
      <c r="A427" s="16" t="s">
        <v>133</v>
      </c>
      <c r="B427" s="12" t="s">
        <v>1584</v>
      </c>
      <c r="C427" s="13" t="s">
        <v>83</v>
      </c>
      <c r="D427" s="40">
        <v>0</v>
      </c>
    </row>
    <row r="428" spans="1:4" ht="22.5" customHeight="1" x14ac:dyDescent="0.15">
      <c r="A428" s="16" t="s">
        <v>81</v>
      </c>
      <c r="B428" s="12" t="s">
        <v>1585</v>
      </c>
      <c r="C428" s="13" t="s">
        <v>23</v>
      </c>
      <c r="D428" s="40">
        <v>0</v>
      </c>
    </row>
    <row r="429" spans="1:4" ht="22.5" customHeight="1" x14ac:dyDescent="0.15">
      <c r="A429" s="15" t="s">
        <v>347</v>
      </c>
      <c r="B429" s="12" t="s">
        <v>1584</v>
      </c>
      <c r="C429" s="13" t="s">
        <v>83</v>
      </c>
      <c r="D429" s="40">
        <v>0</v>
      </c>
    </row>
    <row r="430" spans="1:4" ht="22.5" customHeight="1" x14ac:dyDescent="0.15">
      <c r="A430" s="16" t="s">
        <v>249</v>
      </c>
      <c r="B430" s="12" t="s">
        <v>1586</v>
      </c>
      <c r="C430" s="13" t="s">
        <v>77</v>
      </c>
      <c r="D430" s="40">
        <v>0</v>
      </c>
    </row>
    <row r="431" spans="1:4" ht="22.5" customHeight="1" x14ac:dyDescent="0.15">
      <c r="A431" s="16" t="s">
        <v>399</v>
      </c>
      <c r="B431" s="12" t="s">
        <v>1586</v>
      </c>
      <c r="C431" s="13" t="s">
        <v>77</v>
      </c>
      <c r="D431" s="40">
        <v>0</v>
      </c>
    </row>
    <row r="432" spans="1:4" ht="22.5" customHeight="1" x14ac:dyDescent="0.15">
      <c r="A432" s="16" t="s">
        <v>142</v>
      </c>
      <c r="B432" s="12" t="s">
        <v>1588</v>
      </c>
      <c r="C432" s="13" t="s">
        <v>30</v>
      </c>
      <c r="D432" s="40">
        <v>0</v>
      </c>
    </row>
    <row r="433" spans="1:4" ht="22.5" customHeight="1" x14ac:dyDescent="0.15">
      <c r="A433" s="16" t="s">
        <v>166</v>
      </c>
      <c r="B433" s="12" t="s">
        <v>1590</v>
      </c>
      <c r="C433" s="13" t="s">
        <v>23</v>
      </c>
      <c r="D433" s="40">
        <v>0</v>
      </c>
    </row>
    <row r="434" spans="1:4" ht="22.5" customHeight="1" x14ac:dyDescent="0.15">
      <c r="A434" s="16" t="s">
        <v>166</v>
      </c>
      <c r="B434" s="12" t="s">
        <v>1591</v>
      </c>
      <c r="C434" s="13" t="s">
        <v>115</v>
      </c>
      <c r="D434" s="40">
        <v>0</v>
      </c>
    </row>
    <row r="435" spans="1:4" ht="22.5" customHeight="1" x14ac:dyDescent="0.15">
      <c r="A435" s="16" t="s">
        <v>81</v>
      </c>
      <c r="B435" s="12" t="s">
        <v>1592</v>
      </c>
      <c r="C435" s="13" t="s">
        <v>219</v>
      </c>
      <c r="D435" s="40">
        <v>0</v>
      </c>
    </row>
    <row r="436" spans="1:4" ht="22.5" customHeight="1" x14ac:dyDescent="0.15">
      <c r="A436" s="16" t="s">
        <v>1595</v>
      </c>
      <c r="B436" s="12" t="s">
        <v>1596</v>
      </c>
      <c r="C436" s="13" t="s">
        <v>18</v>
      </c>
      <c r="D436" s="40">
        <v>0</v>
      </c>
    </row>
    <row r="437" spans="1:4" ht="22.5" customHeight="1" x14ac:dyDescent="0.15">
      <c r="A437" s="16" t="s">
        <v>75</v>
      </c>
      <c r="B437" s="12" t="s">
        <v>1597</v>
      </c>
      <c r="C437" s="13" t="s">
        <v>18</v>
      </c>
      <c r="D437" s="40">
        <v>0</v>
      </c>
    </row>
    <row r="438" spans="1:4" ht="22.5" customHeight="1" x14ac:dyDescent="0.15">
      <c r="A438" s="16" t="s">
        <v>1563</v>
      </c>
      <c r="B438" s="12" t="s">
        <v>1598</v>
      </c>
      <c r="C438" s="13" t="s">
        <v>18</v>
      </c>
      <c r="D438" s="40">
        <v>0</v>
      </c>
    </row>
    <row r="439" spans="1:4" ht="22.5" customHeight="1" x14ac:dyDescent="0.15">
      <c r="A439" s="16" t="s">
        <v>523</v>
      </c>
      <c r="B439" s="12" t="s">
        <v>1599</v>
      </c>
      <c r="C439" s="13" t="s">
        <v>18</v>
      </c>
      <c r="D439" s="40">
        <v>0</v>
      </c>
    </row>
    <row r="440" spans="1:4" ht="22.5" customHeight="1" x14ac:dyDescent="0.15">
      <c r="A440" s="16" t="s">
        <v>359</v>
      </c>
      <c r="B440" s="12" t="s">
        <v>1600</v>
      </c>
      <c r="C440" s="13" t="s">
        <v>23</v>
      </c>
      <c r="D440" s="40">
        <v>0</v>
      </c>
    </row>
    <row r="441" spans="1:4" ht="22.5" customHeight="1" x14ac:dyDescent="0.15">
      <c r="A441" s="16" t="s">
        <v>107</v>
      </c>
      <c r="B441" s="12" t="s">
        <v>1602</v>
      </c>
      <c r="C441" s="13" t="s">
        <v>77</v>
      </c>
      <c r="D441" s="40">
        <v>0</v>
      </c>
    </row>
    <row r="442" spans="1:4" ht="22.5" customHeight="1" x14ac:dyDescent="0.15">
      <c r="A442" s="16" t="s">
        <v>1606</v>
      </c>
      <c r="B442" s="12" t="s">
        <v>1607</v>
      </c>
      <c r="C442" s="13" t="s">
        <v>23</v>
      </c>
      <c r="D442" s="40">
        <v>0</v>
      </c>
    </row>
    <row r="443" spans="1:4" ht="22.5" customHeight="1" x14ac:dyDescent="0.15">
      <c r="A443" s="16" t="s">
        <v>955</v>
      </c>
      <c r="B443" s="12" t="s">
        <v>1608</v>
      </c>
      <c r="C443" s="13" t="s">
        <v>18</v>
      </c>
      <c r="D443" s="40">
        <v>0</v>
      </c>
    </row>
    <row r="444" spans="1:4" ht="22.5" customHeight="1" x14ac:dyDescent="0.15">
      <c r="A444" s="16" t="s">
        <v>112</v>
      </c>
      <c r="B444" s="12" t="s">
        <v>1602</v>
      </c>
      <c r="C444" s="13" t="s">
        <v>77</v>
      </c>
      <c r="D444" s="40">
        <v>0</v>
      </c>
    </row>
    <row r="445" spans="1:4" ht="22.5" customHeight="1" x14ac:dyDescent="0.15">
      <c r="A445" s="16" t="s">
        <v>107</v>
      </c>
      <c r="B445" s="12" t="s">
        <v>1609</v>
      </c>
      <c r="C445" s="13" t="s">
        <v>12</v>
      </c>
      <c r="D445" s="40">
        <v>0</v>
      </c>
    </row>
    <row r="446" spans="1:4" ht="22.5" customHeight="1" x14ac:dyDescent="0.15">
      <c r="A446" s="16" t="s">
        <v>401</v>
      </c>
      <c r="B446" s="12" t="s">
        <v>1611</v>
      </c>
      <c r="C446" s="13" t="s">
        <v>77</v>
      </c>
      <c r="D446" s="40">
        <v>0</v>
      </c>
    </row>
    <row r="447" spans="1:4" ht="22.5" customHeight="1" x14ac:dyDescent="0.15">
      <c r="A447" s="16" t="s">
        <v>112</v>
      </c>
      <c r="B447" s="12" t="s">
        <v>1609</v>
      </c>
      <c r="C447" s="13" t="s">
        <v>12</v>
      </c>
      <c r="D447" s="40">
        <v>0</v>
      </c>
    </row>
    <row r="448" spans="1:4" ht="22.5" customHeight="1" x14ac:dyDescent="0.15">
      <c r="A448" s="16" t="s">
        <v>86</v>
      </c>
      <c r="B448" s="12" t="s">
        <v>1613</v>
      </c>
      <c r="C448" s="13" t="s">
        <v>18</v>
      </c>
      <c r="D448" s="40">
        <v>0</v>
      </c>
    </row>
    <row r="449" spans="1:4" ht="22.5" customHeight="1" x14ac:dyDescent="0.15">
      <c r="A449" s="16" t="s">
        <v>1185</v>
      </c>
      <c r="B449" s="12" t="s">
        <v>1615</v>
      </c>
      <c r="C449" s="13" t="s">
        <v>30</v>
      </c>
      <c r="D449" s="40">
        <v>0</v>
      </c>
    </row>
    <row r="450" spans="1:4" ht="22.5" customHeight="1" x14ac:dyDescent="0.15">
      <c r="A450" s="16" t="s">
        <v>1210</v>
      </c>
      <c r="B450" s="12" t="s">
        <v>1615</v>
      </c>
      <c r="C450" s="13" t="s">
        <v>30</v>
      </c>
      <c r="D450" s="40">
        <v>0</v>
      </c>
    </row>
    <row r="451" spans="1:4" ht="22.5" customHeight="1" x14ac:dyDescent="0.15">
      <c r="A451" s="16" t="s">
        <v>497</v>
      </c>
      <c r="B451" s="12" t="s">
        <v>1617</v>
      </c>
      <c r="C451" s="13" t="s">
        <v>30</v>
      </c>
      <c r="D451" s="40">
        <v>0</v>
      </c>
    </row>
    <row r="452" spans="1:4" ht="22.5" customHeight="1" x14ac:dyDescent="0.15">
      <c r="A452" s="16" t="s">
        <v>175</v>
      </c>
      <c r="B452" s="12" t="s">
        <v>1618</v>
      </c>
      <c r="C452" s="13" t="s">
        <v>88</v>
      </c>
      <c r="D452" s="40">
        <v>0</v>
      </c>
    </row>
    <row r="453" spans="1:4" ht="22.5" customHeight="1" x14ac:dyDescent="0.15">
      <c r="A453" s="16" t="s">
        <v>175</v>
      </c>
      <c r="B453" s="12" t="s">
        <v>1619</v>
      </c>
      <c r="C453" s="13" t="s">
        <v>88</v>
      </c>
      <c r="D453" s="40">
        <v>0</v>
      </c>
    </row>
    <row r="454" spans="1:4" ht="22.5" customHeight="1" x14ac:dyDescent="0.15">
      <c r="A454" s="16" t="s">
        <v>1456</v>
      </c>
      <c r="B454" s="12" t="s">
        <v>1620</v>
      </c>
      <c r="C454" s="13" t="s">
        <v>136</v>
      </c>
      <c r="D454" s="40">
        <v>0</v>
      </c>
    </row>
    <row r="455" spans="1:4" ht="22.5" customHeight="1" x14ac:dyDescent="0.15">
      <c r="A455" s="16" t="s">
        <v>166</v>
      </c>
      <c r="B455" s="12" t="s">
        <v>1621</v>
      </c>
      <c r="C455" s="13" t="s">
        <v>30</v>
      </c>
      <c r="D455" s="40">
        <v>0</v>
      </c>
    </row>
    <row r="456" spans="1:4" ht="22.5" customHeight="1" x14ac:dyDescent="0.15">
      <c r="A456" s="16" t="s">
        <v>714</v>
      </c>
      <c r="B456" s="12" t="s">
        <v>1622</v>
      </c>
      <c r="C456" s="13" t="s">
        <v>30</v>
      </c>
      <c r="D456" s="40">
        <v>0</v>
      </c>
    </row>
    <row r="457" spans="1:4" ht="22.5" customHeight="1" x14ac:dyDescent="0.15">
      <c r="A457" s="16" t="s">
        <v>1625</v>
      </c>
      <c r="B457" s="12" t="s">
        <v>1626</v>
      </c>
      <c r="C457" s="13" t="s">
        <v>30</v>
      </c>
      <c r="D457" s="40">
        <v>0</v>
      </c>
    </row>
    <row r="458" spans="1:4" ht="22.5" customHeight="1" x14ac:dyDescent="0.15">
      <c r="A458" s="16" t="s">
        <v>489</v>
      </c>
      <c r="B458" s="12" t="s">
        <v>1627</v>
      </c>
      <c r="C458" s="13" t="s">
        <v>88</v>
      </c>
      <c r="D458" s="40">
        <v>0</v>
      </c>
    </row>
    <row r="459" spans="1:4" ht="22.5" customHeight="1" x14ac:dyDescent="0.15">
      <c r="A459" s="16" t="s">
        <v>1021</v>
      </c>
      <c r="B459" s="12" t="s">
        <v>1629</v>
      </c>
      <c r="C459" s="13" t="s">
        <v>18</v>
      </c>
      <c r="D459" s="40">
        <v>0</v>
      </c>
    </row>
    <row r="460" spans="1:4" ht="22.5" customHeight="1" x14ac:dyDescent="0.15">
      <c r="A460" s="16" t="s">
        <v>617</v>
      </c>
      <c r="B460" s="12" t="s">
        <v>1630</v>
      </c>
      <c r="C460" s="13" t="s">
        <v>115</v>
      </c>
      <c r="D460" s="40">
        <v>0</v>
      </c>
    </row>
    <row r="461" spans="1:4" ht="22.5" customHeight="1" x14ac:dyDescent="0.15">
      <c r="A461" s="16" t="s">
        <v>668</v>
      </c>
      <c r="B461" s="12" t="s">
        <v>1631</v>
      </c>
      <c r="C461" s="13" t="s">
        <v>88</v>
      </c>
      <c r="D461" s="40">
        <v>0</v>
      </c>
    </row>
    <row r="462" spans="1:4" ht="22.5" customHeight="1" x14ac:dyDescent="0.15">
      <c r="A462" s="16" t="s">
        <v>223</v>
      </c>
      <c r="B462" s="12" t="s">
        <v>1632</v>
      </c>
      <c r="C462" s="13" t="s">
        <v>30</v>
      </c>
      <c r="D462" s="40">
        <v>0</v>
      </c>
    </row>
    <row r="463" spans="1:4" ht="22.5" customHeight="1" x14ac:dyDescent="0.15">
      <c r="A463" s="16" t="s">
        <v>703</v>
      </c>
      <c r="B463" s="12" t="s">
        <v>1633</v>
      </c>
      <c r="C463" s="13" t="s">
        <v>18</v>
      </c>
      <c r="D463" s="40">
        <v>0</v>
      </c>
    </row>
    <row r="464" spans="1:4" ht="22.5" customHeight="1" x14ac:dyDescent="0.15">
      <c r="A464" s="16" t="s">
        <v>179</v>
      </c>
      <c r="B464" s="12" t="s">
        <v>1634</v>
      </c>
      <c r="C464" s="13" t="s">
        <v>30</v>
      </c>
      <c r="D464" s="40">
        <v>0</v>
      </c>
    </row>
    <row r="465" spans="1:4" ht="22.5" customHeight="1" x14ac:dyDescent="0.15">
      <c r="A465" s="16" t="s">
        <v>401</v>
      </c>
      <c r="B465" s="12" t="s">
        <v>1636</v>
      </c>
      <c r="C465" s="13" t="s">
        <v>88</v>
      </c>
      <c r="D465" s="40">
        <v>0</v>
      </c>
    </row>
    <row r="466" spans="1:4" ht="22.5" customHeight="1" x14ac:dyDescent="0.15">
      <c r="A466" s="16" t="s">
        <v>401</v>
      </c>
      <c r="B466" s="12" t="s">
        <v>1637</v>
      </c>
      <c r="C466" s="13" t="s">
        <v>18</v>
      </c>
      <c r="D466" s="40">
        <v>0</v>
      </c>
    </row>
    <row r="467" spans="1:4" ht="22.5" customHeight="1" x14ac:dyDescent="0.15">
      <c r="A467" s="16" t="s">
        <v>572</v>
      </c>
      <c r="B467" s="12" t="s">
        <v>1638</v>
      </c>
      <c r="C467" s="13" t="s">
        <v>30</v>
      </c>
      <c r="D467" s="40">
        <v>0</v>
      </c>
    </row>
    <row r="468" spans="1:4" ht="22.5" customHeight="1" x14ac:dyDescent="0.15">
      <c r="A468" s="16" t="s">
        <v>511</v>
      </c>
      <c r="B468" s="12" t="s">
        <v>1639</v>
      </c>
      <c r="C468" s="13" t="s">
        <v>30</v>
      </c>
      <c r="D468" s="40">
        <v>0</v>
      </c>
    </row>
    <row r="469" spans="1:4" ht="22.5" customHeight="1" x14ac:dyDescent="0.15">
      <c r="A469" s="16" t="s">
        <v>154</v>
      </c>
      <c r="B469" s="12" t="s">
        <v>1640</v>
      </c>
      <c r="C469" s="13" t="s">
        <v>18</v>
      </c>
      <c r="D469" s="40">
        <v>0</v>
      </c>
    </row>
    <row r="470" spans="1:4" ht="22.5" customHeight="1" x14ac:dyDescent="0.15">
      <c r="A470" s="16" t="s">
        <v>170</v>
      </c>
      <c r="B470" s="12" t="s">
        <v>1641</v>
      </c>
      <c r="C470" s="13" t="s">
        <v>136</v>
      </c>
      <c r="D470" s="40">
        <v>0</v>
      </c>
    </row>
    <row r="471" spans="1:4" ht="22.5" customHeight="1" x14ac:dyDescent="0.15">
      <c r="A471" s="16" t="s">
        <v>853</v>
      </c>
      <c r="B471" s="12" t="s">
        <v>1643</v>
      </c>
      <c r="C471" s="13" t="s">
        <v>30</v>
      </c>
      <c r="D471" s="40">
        <v>0</v>
      </c>
    </row>
    <row r="472" spans="1:4" ht="22.5" customHeight="1" x14ac:dyDescent="0.15">
      <c r="A472" s="16" t="s">
        <v>577</v>
      </c>
      <c r="B472" s="12" t="s">
        <v>1644</v>
      </c>
      <c r="C472" s="13" t="s">
        <v>77</v>
      </c>
      <c r="D472" s="40">
        <v>0</v>
      </c>
    </row>
    <row r="473" spans="1:4" ht="22.5" customHeight="1" x14ac:dyDescent="0.15">
      <c r="A473" s="16" t="s">
        <v>577</v>
      </c>
      <c r="B473" s="12" t="s">
        <v>1645</v>
      </c>
      <c r="C473" s="13" t="s">
        <v>18</v>
      </c>
      <c r="D473" s="40">
        <v>0</v>
      </c>
    </row>
    <row r="474" spans="1:4" ht="22.5" customHeight="1" x14ac:dyDescent="0.15">
      <c r="A474" s="16" t="s">
        <v>15</v>
      </c>
      <c r="B474" s="12" t="s">
        <v>1646</v>
      </c>
      <c r="C474" s="13" t="s">
        <v>30</v>
      </c>
      <c r="D474" s="40">
        <v>0</v>
      </c>
    </row>
    <row r="475" spans="1:4" ht="22.5" customHeight="1" x14ac:dyDescent="0.15">
      <c r="A475" s="16" t="s">
        <v>70</v>
      </c>
      <c r="B475" s="12" t="s">
        <v>1647</v>
      </c>
      <c r="C475" s="13" t="s">
        <v>30</v>
      </c>
      <c r="D475" s="40">
        <v>0</v>
      </c>
    </row>
    <row r="476" spans="1:4" ht="22.5" customHeight="1" x14ac:dyDescent="0.15">
      <c r="A476" s="16" t="s">
        <v>70</v>
      </c>
      <c r="B476" s="12" t="s">
        <v>1648</v>
      </c>
      <c r="C476" s="13" t="s">
        <v>30</v>
      </c>
      <c r="D476" s="40">
        <v>0</v>
      </c>
    </row>
    <row r="477" spans="1:4" ht="22.5" customHeight="1" x14ac:dyDescent="0.15">
      <c r="A477" s="16" t="s">
        <v>1404</v>
      </c>
      <c r="B477" s="12" t="s">
        <v>1649</v>
      </c>
      <c r="C477" s="13" t="s">
        <v>88</v>
      </c>
      <c r="D477" s="40">
        <v>0</v>
      </c>
    </row>
    <row r="478" spans="1:4" ht="22.5" customHeight="1" x14ac:dyDescent="0.15">
      <c r="A478" s="16" t="s">
        <v>1404</v>
      </c>
      <c r="B478" s="12" t="s">
        <v>1650</v>
      </c>
      <c r="C478" s="13" t="s">
        <v>83</v>
      </c>
      <c r="D478" s="40">
        <v>0</v>
      </c>
    </row>
    <row r="479" spans="1:4" ht="22.5" customHeight="1" x14ac:dyDescent="0.15">
      <c r="A479" s="16" t="s">
        <v>725</v>
      </c>
      <c r="B479" s="12" t="s">
        <v>1651</v>
      </c>
      <c r="C479" s="13" t="s">
        <v>136</v>
      </c>
      <c r="D479" s="40">
        <v>0</v>
      </c>
    </row>
    <row r="480" spans="1:4" ht="22.5" customHeight="1" x14ac:dyDescent="0.15">
      <c r="A480" s="16" t="s">
        <v>725</v>
      </c>
      <c r="B480" s="12" t="s">
        <v>1652</v>
      </c>
      <c r="C480" s="13" t="s">
        <v>136</v>
      </c>
      <c r="D480" s="40">
        <v>0</v>
      </c>
    </row>
    <row r="481" spans="1:4" ht="22.5" customHeight="1" x14ac:dyDescent="0.15">
      <c r="A481" s="16" t="s">
        <v>725</v>
      </c>
      <c r="B481" s="12" t="s">
        <v>1653</v>
      </c>
      <c r="C481" s="13" t="s">
        <v>18</v>
      </c>
      <c r="D481" s="40">
        <v>0</v>
      </c>
    </row>
    <row r="482" spans="1:4" ht="22.5" customHeight="1" x14ac:dyDescent="0.15">
      <c r="A482" s="16" t="s">
        <v>621</v>
      </c>
      <c r="B482" s="12" t="s">
        <v>1654</v>
      </c>
      <c r="C482" s="13" t="s">
        <v>30</v>
      </c>
      <c r="D482" s="40">
        <v>0</v>
      </c>
    </row>
    <row r="483" spans="1:4" ht="22.5" customHeight="1" x14ac:dyDescent="0.15">
      <c r="A483" s="16" t="s">
        <v>621</v>
      </c>
      <c r="B483" s="12" t="s">
        <v>1655</v>
      </c>
      <c r="C483" s="13" t="s">
        <v>30</v>
      </c>
      <c r="D483" s="40">
        <v>0</v>
      </c>
    </row>
    <row r="484" spans="1:4" ht="22.5" customHeight="1" x14ac:dyDescent="0.15">
      <c r="A484" s="16" t="s">
        <v>636</v>
      </c>
      <c r="B484" s="12" t="s">
        <v>1656</v>
      </c>
      <c r="C484" s="13" t="s">
        <v>30</v>
      </c>
      <c r="D484" s="40">
        <v>0</v>
      </c>
    </row>
    <row r="485" spans="1:4" ht="22.5" customHeight="1" x14ac:dyDescent="0.15">
      <c r="A485" s="16" t="s">
        <v>1659</v>
      </c>
      <c r="B485" s="12" t="s">
        <v>1660</v>
      </c>
      <c r="C485" s="13" t="s">
        <v>18</v>
      </c>
      <c r="D485" s="40">
        <v>0</v>
      </c>
    </row>
    <row r="486" spans="1:4" ht="22.5" customHeight="1" x14ac:dyDescent="0.15">
      <c r="A486" s="16" t="s">
        <v>129</v>
      </c>
      <c r="B486" s="12" t="s">
        <v>1661</v>
      </c>
      <c r="C486" s="13" t="s">
        <v>30</v>
      </c>
      <c r="D486" s="40">
        <v>0</v>
      </c>
    </row>
    <row r="487" spans="1:4" ht="22.5" customHeight="1" x14ac:dyDescent="0.15">
      <c r="A487" s="16" t="s">
        <v>1410</v>
      </c>
      <c r="B487" s="12" t="s">
        <v>1662</v>
      </c>
      <c r="C487" s="13" t="s">
        <v>83</v>
      </c>
      <c r="D487" s="40">
        <v>0</v>
      </c>
    </row>
    <row r="488" spans="1:4" ht="22.5" customHeight="1" x14ac:dyDescent="0.15">
      <c r="A488" s="16" t="s">
        <v>1410</v>
      </c>
      <c r="B488" s="12" t="s">
        <v>1663</v>
      </c>
      <c r="C488" s="13" t="s">
        <v>30</v>
      </c>
      <c r="D488" s="40">
        <v>0</v>
      </c>
    </row>
    <row r="489" spans="1:4" ht="22.5" customHeight="1" x14ac:dyDescent="0.15">
      <c r="A489" s="16" t="s">
        <v>1410</v>
      </c>
      <c r="B489" s="12" t="s">
        <v>1664</v>
      </c>
      <c r="C489" s="13" t="s">
        <v>88</v>
      </c>
      <c r="D489" s="40">
        <v>0</v>
      </c>
    </row>
    <row r="490" spans="1:4" ht="22.5" customHeight="1" x14ac:dyDescent="0.15">
      <c r="A490" s="16" t="s">
        <v>1410</v>
      </c>
      <c r="B490" s="12" t="s">
        <v>1665</v>
      </c>
      <c r="C490" s="13" t="s">
        <v>136</v>
      </c>
      <c r="D490" s="40">
        <v>0</v>
      </c>
    </row>
    <row r="491" spans="1:4" ht="22.5" customHeight="1" x14ac:dyDescent="0.15">
      <c r="A491" s="16" t="s">
        <v>133</v>
      </c>
      <c r="B491" s="12" t="s">
        <v>1666</v>
      </c>
      <c r="C491" s="13" t="s">
        <v>30</v>
      </c>
      <c r="D491" s="40">
        <v>0</v>
      </c>
    </row>
    <row r="492" spans="1:4" ht="22.5" customHeight="1" x14ac:dyDescent="0.15">
      <c r="A492" s="16" t="s">
        <v>133</v>
      </c>
      <c r="B492" s="12" t="s">
        <v>1667</v>
      </c>
      <c r="C492" s="13" t="s">
        <v>30</v>
      </c>
      <c r="D492" s="40">
        <v>0</v>
      </c>
    </row>
    <row r="493" spans="1:4" ht="22.5" customHeight="1" x14ac:dyDescent="0.15">
      <c r="A493" s="16" t="s">
        <v>142</v>
      </c>
      <c r="B493" s="12" t="s">
        <v>1668</v>
      </c>
      <c r="C493" s="13" t="s">
        <v>18</v>
      </c>
      <c r="D493" s="40">
        <v>0</v>
      </c>
    </row>
    <row r="494" spans="1:4" ht="22.5" customHeight="1" x14ac:dyDescent="0.15">
      <c r="A494" s="16" t="s">
        <v>142</v>
      </c>
      <c r="B494" s="12" t="s">
        <v>1669</v>
      </c>
      <c r="C494" s="13" t="s">
        <v>18</v>
      </c>
      <c r="D494" s="40">
        <v>0</v>
      </c>
    </row>
    <row r="495" spans="1:4" ht="22.5" customHeight="1" x14ac:dyDescent="0.15">
      <c r="A495" s="16" t="s">
        <v>142</v>
      </c>
      <c r="B495" s="12" t="s">
        <v>1670</v>
      </c>
      <c r="C495" s="13" t="s">
        <v>30</v>
      </c>
      <c r="D495" s="40">
        <v>0</v>
      </c>
    </row>
    <row r="496" spans="1:4" ht="22.5" customHeight="1" x14ac:dyDescent="0.15">
      <c r="A496" s="16" t="s">
        <v>142</v>
      </c>
      <c r="B496" s="12" t="s">
        <v>1671</v>
      </c>
      <c r="C496" s="13" t="s">
        <v>23</v>
      </c>
      <c r="D496" s="40">
        <v>0</v>
      </c>
    </row>
    <row r="497" spans="1:4" ht="22.5" customHeight="1" x14ac:dyDescent="0.15">
      <c r="A497" s="16" t="s">
        <v>142</v>
      </c>
      <c r="B497" s="12" t="s">
        <v>1672</v>
      </c>
      <c r="C497" s="13" t="s">
        <v>30</v>
      </c>
      <c r="D497" s="40">
        <v>0</v>
      </c>
    </row>
    <row r="498" spans="1:4" ht="22.5" customHeight="1" x14ac:dyDescent="0.15">
      <c r="A498" s="16" t="s">
        <v>154</v>
      </c>
      <c r="B498" s="12" t="s">
        <v>1673</v>
      </c>
      <c r="C498" s="13" t="s">
        <v>30</v>
      </c>
      <c r="D498" s="40">
        <v>0</v>
      </c>
    </row>
    <row r="499" spans="1:4" ht="22.5" customHeight="1" x14ac:dyDescent="0.15">
      <c r="A499" s="16" t="s">
        <v>668</v>
      </c>
      <c r="B499" s="12" t="s">
        <v>1674</v>
      </c>
      <c r="C499" s="13" t="s">
        <v>18</v>
      </c>
      <c r="D499" s="40">
        <v>0</v>
      </c>
    </row>
    <row r="500" spans="1:4" ht="22.5" customHeight="1" x14ac:dyDescent="0.15">
      <c r="A500" s="16" t="s">
        <v>160</v>
      </c>
      <c r="B500" s="12" t="s">
        <v>1675</v>
      </c>
      <c r="C500" s="13" t="s">
        <v>83</v>
      </c>
      <c r="D500" s="40">
        <v>0</v>
      </c>
    </row>
    <row r="501" spans="1:4" ht="22.5" customHeight="1" x14ac:dyDescent="0.15">
      <c r="A501" s="16" t="s">
        <v>160</v>
      </c>
      <c r="B501" s="12" t="s">
        <v>1676</v>
      </c>
      <c r="C501" s="13" t="s">
        <v>83</v>
      </c>
      <c r="D501" s="40">
        <v>0</v>
      </c>
    </row>
    <row r="502" spans="1:4" ht="22.5" customHeight="1" x14ac:dyDescent="0.15">
      <c r="A502" s="16" t="s">
        <v>166</v>
      </c>
      <c r="B502" s="12" t="s">
        <v>1677</v>
      </c>
      <c r="C502" s="13" t="s">
        <v>83</v>
      </c>
      <c r="D502" s="40">
        <v>0</v>
      </c>
    </row>
    <row r="503" spans="1:4" ht="22.5" customHeight="1" x14ac:dyDescent="0.15">
      <c r="A503" s="16" t="s">
        <v>166</v>
      </c>
      <c r="B503" s="12" t="s">
        <v>1678</v>
      </c>
      <c r="C503" s="13" t="s">
        <v>30</v>
      </c>
      <c r="D503" s="40">
        <v>0</v>
      </c>
    </row>
    <row r="504" spans="1:4" ht="22.5" customHeight="1" x14ac:dyDescent="0.15">
      <c r="A504" s="16" t="s">
        <v>166</v>
      </c>
      <c r="B504" s="12" t="s">
        <v>1679</v>
      </c>
      <c r="C504" s="13" t="s">
        <v>30</v>
      </c>
      <c r="D504" s="40">
        <v>0</v>
      </c>
    </row>
    <row r="505" spans="1:4" ht="22.5" customHeight="1" x14ac:dyDescent="0.15">
      <c r="A505" s="16" t="s">
        <v>1680</v>
      </c>
      <c r="B505" s="12" t="s">
        <v>1681</v>
      </c>
      <c r="C505" s="13" t="s">
        <v>30</v>
      </c>
      <c r="D505" s="40">
        <v>0</v>
      </c>
    </row>
    <row r="506" spans="1:4" ht="22.5" customHeight="1" x14ac:dyDescent="0.15">
      <c r="A506" s="16" t="s">
        <v>683</v>
      </c>
      <c r="B506" s="12" t="s">
        <v>1682</v>
      </c>
      <c r="C506" s="13" t="s">
        <v>83</v>
      </c>
      <c r="D506" s="40">
        <v>0</v>
      </c>
    </row>
    <row r="507" spans="1:4" ht="22.5" customHeight="1" x14ac:dyDescent="0.15">
      <c r="A507" s="16" t="s">
        <v>683</v>
      </c>
      <c r="B507" s="12" t="s">
        <v>1683</v>
      </c>
      <c r="C507" s="13" t="s">
        <v>88</v>
      </c>
      <c r="D507" s="40">
        <v>0</v>
      </c>
    </row>
    <row r="508" spans="1:4" ht="22.5" customHeight="1" x14ac:dyDescent="0.15">
      <c r="A508" s="16" t="s">
        <v>683</v>
      </c>
      <c r="B508" s="12" t="s">
        <v>1684</v>
      </c>
      <c r="C508" s="13" t="s">
        <v>18</v>
      </c>
      <c r="D508" s="40">
        <v>0</v>
      </c>
    </row>
    <row r="509" spans="1:4" ht="22.5" customHeight="1" x14ac:dyDescent="0.15">
      <c r="A509" s="16" t="s">
        <v>1687</v>
      </c>
      <c r="B509" s="12" t="s">
        <v>1688</v>
      </c>
      <c r="C509" s="13" t="s">
        <v>219</v>
      </c>
      <c r="D509" s="40">
        <v>0</v>
      </c>
    </row>
    <row r="510" spans="1:4" ht="22.5" customHeight="1" x14ac:dyDescent="0.15">
      <c r="A510" s="16" t="s">
        <v>175</v>
      </c>
      <c r="B510" s="12" t="s">
        <v>1689</v>
      </c>
      <c r="C510" s="13" t="s">
        <v>30</v>
      </c>
      <c r="D510" s="40">
        <v>0</v>
      </c>
    </row>
    <row r="511" spans="1:4" ht="22.5" customHeight="1" x14ac:dyDescent="0.15">
      <c r="A511" s="16" t="s">
        <v>175</v>
      </c>
      <c r="B511" s="12" t="s">
        <v>1690</v>
      </c>
      <c r="C511" s="13" t="s">
        <v>30</v>
      </c>
      <c r="D511" s="40">
        <v>0</v>
      </c>
    </row>
    <row r="512" spans="1:4" ht="22.5" customHeight="1" x14ac:dyDescent="0.15">
      <c r="A512" s="16" t="s">
        <v>1693</v>
      </c>
      <c r="B512" s="12" t="s">
        <v>1694</v>
      </c>
      <c r="C512" s="13" t="s">
        <v>77</v>
      </c>
      <c r="D512" s="40">
        <v>0</v>
      </c>
    </row>
    <row r="513" spans="1:4" ht="22.5" customHeight="1" x14ac:dyDescent="0.15">
      <c r="A513" s="16" t="s">
        <v>1697</v>
      </c>
      <c r="B513" s="12" t="s">
        <v>1698</v>
      </c>
      <c r="C513" s="13" t="s">
        <v>219</v>
      </c>
      <c r="D513" s="40">
        <v>0</v>
      </c>
    </row>
    <row r="514" spans="1:4" ht="22.5" customHeight="1" x14ac:dyDescent="0.15">
      <c r="A514" s="16" t="s">
        <v>193</v>
      </c>
      <c r="B514" s="12" t="s">
        <v>1699</v>
      </c>
      <c r="C514" s="13" t="s">
        <v>136</v>
      </c>
      <c r="D514" s="40">
        <v>0</v>
      </c>
    </row>
    <row r="515" spans="1:4" ht="22.5" customHeight="1" x14ac:dyDescent="0.15">
      <c r="A515" s="16" t="s">
        <v>75</v>
      </c>
      <c r="B515" s="12" t="s">
        <v>1700</v>
      </c>
      <c r="C515" s="13" t="s">
        <v>77</v>
      </c>
      <c r="D515" s="40">
        <v>0</v>
      </c>
    </row>
    <row r="516" spans="1:4" ht="22.5" customHeight="1" x14ac:dyDescent="0.15">
      <c r="A516" s="16" t="s">
        <v>75</v>
      </c>
      <c r="B516" s="12" t="s">
        <v>1701</v>
      </c>
      <c r="C516" s="13" t="s">
        <v>77</v>
      </c>
      <c r="D516" s="40">
        <v>0</v>
      </c>
    </row>
    <row r="517" spans="1:4" ht="22.5" customHeight="1" x14ac:dyDescent="0.15">
      <c r="A517" s="16" t="s">
        <v>1456</v>
      </c>
      <c r="B517" s="12" t="s">
        <v>1702</v>
      </c>
      <c r="C517" s="13" t="s">
        <v>30</v>
      </c>
      <c r="D517" s="40">
        <v>0</v>
      </c>
    </row>
    <row r="518" spans="1:4" ht="22.5" customHeight="1" x14ac:dyDescent="0.15">
      <c r="A518" s="16" t="s">
        <v>1456</v>
      </c>
      <c r="B518" s="12" t="s">
        <v>1703</v>
      </c>
      <c r="C518" s="13" t="s">
        <v>88</v>
      </c>
      <c r="D518" s="40">
        <v>0</v>
      </c>
    </row>
    <row r="519" spans="1:4" ht="22.5" customHeight="1" x14ac:dyDescent="0.15">
      <c r="A519" s="16" t="s">
        <v>203</v>
      </c>
      <c r="B519" s="12" t="s">
        <v>1704</v>
      </c>
      <c r="C519" s="13" t="s">
        <v>18</v>
      </c>
      <c r="D519" s="40">
        <v>0</v>
      </c>
    </row>
    <row r="520" spans="1:4" ht="22.5" customHeight="1" x14ac:dyDescent="0.15">
      <c r="A520" s="16" t="s">
        <v>212</v>
      </c>
      <c r="B520" s="12" t="s">
        <v>1705</v>
      </c>
      <c r="C520" s="13" t="s">
        <v>77</v>
      </c>
      <c r="D520" s="40">
        <v>0</v>
      </c>
    </row>
    <row r="521" spans="1:4" ht="22.5" customHeight="1" x14ac:dyDescent="0.15">
      <c r="A521" s="16" t="s">
        <v>1708</v>
      </c>
      <c r="B521" s="12" t="s">
        <v>1709</v>
      </c>
      <c r="C521" s="13" t="s">
        <v>136</v>
      </c>
      <c r="D521" s="40">
        <v>0</v>
      </c>
    </row>
    <row r="522" spans="1:4" ht="22.5" customHeight="1" x14ac:dyDescent="0.15">
      <c r="A522" s="16" t="s">
        <v>810</v>
      </c>
      <c r="B522" s="12" t="s">
        <v>1710</v>
      </c>
      <c r="C522" s="13" t="s">
        <v>88</v>
      </c>
      <c r="D522" s="40">
        <v>0</v>
      </c>
    </row>
    <row r="523" spans="1:4" ht="22.5" customHeight="1" x14ac:dyDescent="0.15">
      <c r="A523" s="16" t="s">
        <v>813</v>
      </c>
      <c r="B523" s="12" t="s">
        <v>1711</v>
      </c>
      <c r="C523" s="13" t="s">
        <v>88</v>
      </c>
      <c r="D523" s="40">
        <v>0</v>
      </c>
    </row>
    <row r="524" spans="1:4" ht="22.5" customHeight="1" x14ac:dyDescent="0.15">
      <c r="A524" s="16" t="s">
        <v>1463</v>
      </c>
      <c r="B524" s="12" t="s">
        <v>1712</v>
      </c>
      <c r="C524" s="13" t="s">
        <v>83</v>
      </c>
      <c r="D524" s="40">
        <v>0</v>
      </c>
    </row>
    <row r="525" spans="1:4" ht="22.5" customHeight="1" x14ac:dyDescent="0.15">
      <c r="A525" s="16" t="s">
        <v>832</v>
      </c>
      <c r="B525" s="12" t="s">
        <v>1713</v>
      </c>
      <c r="C525" s="13" t="s">
        <v>342</v>
      </c>
      <c r="D525" s="40">
        <v>0</v>
      </c>
    </row>
    <row r="526" spans="1:4" ht="22.5" customHeight="1" x14ac:dyDescent="0.15">
      <c r="A526" s="16" t="s">
        <v>832</v>
      </c>
      <c r="B526" s="12" t="s">
        <v>1714</v>
      </c>
      <c r="C526" s="13" t="s">
        <v>342</v>
      </c>
      <c r="D526" s="40">
        <v>0</v>
      </c>
    </row>
    <row r="527" spans="1:4" ht="22.5" customHeight="1" x14ac:dyDescent="0.15">
      <c r="A527" s="16" t="s">
        <v>230</v>
      </c>
      <c r="B527" s="12" t="s">
        <v>1715</v>
      </c>
      <c r="C527" s="13" t="s">
        <v>18</v>
      </c>
      <c r="D527" s="40">
        <v>0</v>
      </c>
    </row>
    <row r="528" spans="1:4" ht="22.5" customHeight="1" x14ac:dyDescent="0.15">
      <c r="A528" s="16" t="s">
        <v>230</v>
      </c>
      <c r="B528" s="12" t="s">
        <v>1652</v>
      </c>
      <c r="C528" s="13" t="s">
        <v>136</v>
      </c>
      <c r="D528" s="40">
        <v>0</v>
      </c>
    </row>
    <row r="529" spans="1:4" ht="22.5" customHeight="1" x14ac:dyDescent="0.15">
      <c r="A529" s="16" t="s">
        <v>1717</v>
      </c>
      <c r="B529" s="12" t="s">
        <v>1718</v>
      </c>
      <c r="C529" s="13" t="s">
        <v>88</v>
      </c>
      <c r="D529" s="40">
        <v>0</v>
      </c>
    </row>
    <row r="530" spans="1:4" ht="22.5" customHeight="1" x14ac:dyDescent="0.15">
      <c r="A530" s="16" t="s">
        <v>1717</v>
      </c>
      <c r="B530" s="12" t="s">
        <v>1719</v>
      </c>
      <c r="C530" s="13" t="s">
        <v>136</v>
      </c>
      <c r="D530" s="40">
        <v>0</v>
      </c>
    </row>
    <row r="531" spans="1:4" ht="22.5" customHeight="1" x14ac:dyDescent="0.15">
      <c r="A531" s="16" t="s">
        <v>1717</v>
      </c>
      <c r="B531" s="12" t="s">
        <v>1720</v>
      </c>
      <c r="C531" s="13" t="s">
        <v>12</v>
      </c>
      <c r="D531" s="40">
        <v>0</v>
      </c>
    </row>
    <row r="532" spans="1:4" ht="22.5" customHeight="1" x14ac:dyDescent="0.15">
      <c r="A532" s="16" t="s">
        <v>234</v>
      </c>
      <c r="B532" s="12" t="s">
        <v>1721</v>
      </c>
      <c r="C532" s="13" t="s">
        <v>30</v>
      </c>
      <c r="D532" s="40">
        <v>0</v>
      </c>
    </row>
    <row r="533" spans="1:4" ht="22.5" customHeight="1" x14ac:dyDescent="0.15">
      <c r="A533" s="16" t="s">
        <v>234</v>
      </c>
      <c r="B533" s="12" t="s">
        <v>1722</v>
      </c>
      <c r="C533" s="13" t="s">
        <v>30</v>
      </c>
      <c r="D533" s="40">
        <v>0</v>
      </c>
    </row>
    <row r="534" spans="1:4" ht="22.5" customHeight="1" x14ac:dyDescent="0.15">
      <c r="A534" s="16" t="s">
        <v>234</v>
      </c>
      <c r="B534" s="12" t="s">
        <v>1723</v>
      </c>
      <c r="C534" s="13" t="s">
        <v>88</v>
      </c>
      <c r="D534" s="40">
        <v>0</v>
      </c>
    </row>
    <row r="535" spans="1:4" ht="22.5" customHeight="1" x14ac:dyDescent="0.15">
      <c r="A535" s="16" t="s">
        <v>234</v>
      </c>
      <c r="B535" s="12" t="s">
        <v>1724</v>
      </c>
      <c r="C535" s="13" t="s">
        <v>88</v>
      </c>
      <c r="D535" s="40">
        <v>0</v>
      </c>
    </row>
    <row r="536" spans="1:4" ht="22.5" customHeight="1" x14ac:dyDescent="0.15">
      <c r="A536" s="16" t="s">
        <v>234</v>
      </c>
      <c r="B536" s="12" t="s">
        <v>1725</v>
      </c>
      <c r="C536" s="13" t="s">
        <v>88</v>
      </c>
      <c r="D536" s="40">
        <v>0</v>
      </c>
    </row>
    <row r="537" spans="1:4" ht="22.5" customHeight="1" x14ac:dyDescent="0.15">
      <c r="A537" s="16" t="s">
        <v>234</v>
      </c>
      <c r="B537" s="12" t="s">
        <v>1726</v>
      </c>
      <c r="C537" s="13" t="s">
        <v>88</v>
      </c>
      <c r="D537" s="40">
        <v>0</v>
      </c>
    </row>
    <row r="538" spans="1:4" ht="22.5" customHeight="1" x14ac:dyDescent="0.15">
      <c r="A538" s="16" t="s">
        <v>234</v>
      </c>
      <c r="B538" s="12" t="s">
        <v>1727</v>
      </c>
      <c r="C538" s="13" t="s">
        <v>30</v>
      </c>
      <c r="D538" s="40">
        <v>0</v>
      </c>
    </row>
    <row r="539" spans="1:4" ht="22.5" customHeight="1" x14ac:dyDescent="0.15">
      <c r="A539" s="16" t="s">
        <v>234</v>
      </c>
      <c r="B539" s="12" t="s">
        <v>1728</v>
      </c>
      <c r="C539" s="13" t="s">
        <v>30</v>
      </c>
      <c r="D539" s="40">
        <v>0</v>
      </c>
    </row>
    <row r="540" spans="1:4" ht="22.5" customHeight="1" x14ac:dyDescent="0.15">
      <c r="A540" s="16" t="s">
        <v>239</v>
      </c>
      <c r="B540" s="12" t="s">
        <v>1729</v>
      </c>
      <c r="C540" s="13" t="s">
        <v>219</v>
      </c>
      <c r="D540" s="40">
        <v>0</v>
      </c>
    </row>
    <row r="541" spans="1:4" ht="22.5" customHeight="1" x14ac:dyDescent="0.15">
      <c r="A541" s="16" t="s">
        <v>27</v>
      </c>
      <c r="B541" s="12" t="s">
        <v>1730</v>
      </c>
      <c r="C541" s="13" t="s">
        <v>83</v>
      </c>
      <c r="D541" s="40">
        <v>0</v>
      </c>
    </row>
    <row r="542" spans="1:4" ht="22.5" customHeight="1" x14ac:dyDescent="0.15">
      <c r="A542" s="16" t="s">
        <v>1477</v>
      </c>
      <c r="B542" s="12" t="s">
        <v>1731</v>
      </c>
      <c r="C542" s="13" t="s">
        <v>83</v>
      </c>
      <c r="D542" s="40">
        <v>0</v>
      </c>
    </row>
    <row r="543" spans="1:4" ht="22.5" customHeight="1" x14ac:dyDescent="0.15">
      <c r="A543" s="16" t="s">
        <v>81</v>
      </c>
      <c r="B543" s="12" t="s">
        <v>1732</v>
      </c>
      <c r="C543" s="13" t="s">
        <v>30</v>
      </c>
      <c r="D543" s="40">
        <v>0</v>
      </c>
    </row>
    <row r="544" spans="1:4" ht="22.5" customHeight="1" x14ac:dyDescent="0.15">
      <c r="A544" s="16" t="s">
        <v>249</v>
      </c>
      <c r="B544" s="12" t="s">
        <v>1733</v>
      </c>
      <c r="C544" s="13" t="s">
        <v>136</v>
      </c>
      <c r="D544" s="40">
        <v>0</v>
      </c>
    </row>
    <row r="545" spans="1:4" ht="22.5" customHeight="1" x14ac:dyDescent="0.15">
      <c r="A545" s="16" t="s">
        <v>1485</v>
      </c>
      <c r="B545" s="12" t="s">
        <v>1734</v>
      </c>
      <c r="C545" s="13" t="s">
        <v>83</v>
      </c>
      <c r="D545" s="40">
        <v>0</v>
      </c>
    </row>
    <row r="546" spans="1:4" ht="22.5" customHeight="1" x14ac:dyDescent="0.15">
      <c r="A546" s="16" t="s">
        <v>1485</v>
      </c>
      <c r="B546" s="12" t="s">
        <v>1735</v>
      </c>
      <c r="C546" s="13" t="s">
        <v>83</v>
      </c>
      <c r="D546" s="40">
        <v>0</v>
      </c>
    </row>
    <row r="547" spans="1:4" ht="22.5" customHeight="1" x14ac:dyDescent="0.15">
      <c r="A547" s="16" t="s">
        <v>1485</v>
      </c>
      <c r="B547" s="12" t="s">
        <v>1736</v>
      </c>
      <c r="C547" s="13" t="s">
        <v>83</v>
      </c>
      <c r="D547" s="40">
        <v>0</v>
      </c>
    </row>
    <row r="548" spans="1:4" ht="22.5" customHeight="1" x14ac:dyDescent="0.15">
      <c r="A548" s="16" t="s">
        <v>1739</v>
      </c>
      <c r="B548" s="12" t="s">
        <v>1740</v>
      </c>
      <c r="C548" s="13" t="s">
        <v>30</v>
      </c>
      <c r="D548" s="40">
        <v>0</v>
      </c>
    </row>
    <row r="549" spans="1:4" ht="22.5" customHeight="1" x14ac:dyDescent="0.15">
      <c r="A549" s="16" t="s">
        <v>893</v>
      </c>
      <c r="B549" s="12" t="s">
        <v>1741</v>
      </c>
      <c r="C549" s="13" t="s">
        <v>30</v>
      </c>
      <c r="D549" s="40">
        <v>0</v>
      </c>
    </row>
    <row r="550" spans="1:4" ht="22.5" customHeight="1" x14ac:dyDescent="0.15">
      <c r="A550" s="16" t="s">
        <v>893</v>
      </c>
      <c r="B550" s="12" t="s">
        <v>1742</v>
      </c>
      <c r="C550" s="13" t="s">
        <v>30</v>
      </c>
      <c r="D550" s="40">
        <v>0</v>
      </c>
    </row>
    <row r="551" spans="1:4" ht="22.5" customHeight="1" x14ac:dyDescent="0.15">
      <c r="A551" s="16" t="s">
        <v>256</v>
      </c>
      <c r="B551" s="12" t="s">
        <v>1743</v>
      </c>
      <c r="C551" s="13" t="s">
        <v>30</v>
      </c>
      <c r="D551" s="40">
        <v>0</v>
      </c>
    </row>
    <row r="552" spans="1:4" ht="22.5" customHeight="1" x14ac:dyDescent="0.15">
      <c r="A552" s="16" t="s">
        <v>256</v>
      </c>
      <c r="B552" s="12" t="s">
        <v>1744</v>
      </c>
      <c r="C552" s="13" t="s">
        <v>30</v>
      </c>
      <c r="D552" s="40">
        <v>0</v>
      </c>
    </row>
    <row r="553" spans="1:4" ht="22.5" customHeight="1" x14ac:dyDescent="0.15">
      <c r="A553" s="16" t="s">
        <v>256</v>
      </c>
      <c r="B553" s="12" t="s">
        <v>1745</v>
      </c>
      <c r="C553" s="13" t="s">
        <v>18</v>
      </c>
      <c r="D553" s="40">
        <v>0</v>
      </c>
    </row>
    <row r="554" spans="1:4" ht="22.5" customHeight="1" x14ac:dyDescent="0.15">
      <c r="A554" s="16" t="s">
        <v>916</v>
      </c>
      <c r="B554" s="12" t="s">
        <v>1746</v>
      </c>
      <c r="C554" s="13" t="s">
        <v>30</v>
      </c>
      <c r="D554" s="40">
        <v>0</v>
      </c>
    </row>
    <row r="555" spans="1:4" ht="22.5" customHeight="1" x14ac:dyDescent="0.15">
      <c r="A555" s="16" t="s">
        <v>32</v>
      </c>
      <c r="B555" s="12" t="s">
        <v>1747</v>
      </c>
      <c r="C555" s="13" t="s">
        <v>30</v>
      </c>
      <c r="D555" s="40">
        <v>0</v>
      </c>
    </row>
    <row r="556" spans="1:4" ht="22.5" customHeight="1" x14ac:dyDescent="0.15">
      <c r="A556" s="16" t="s">
        <v>32</v>
      </c>
      <c r="B556" s="12" t="s">
        <v>1748</v>
      </c>
      <c r="C556" s="13" t="s">
        <v>30</v>
      </c>
      <c r="D556" s="40">
        <v>0</v>
      </c>
    </row>
    <row r="557" spans="1:4" ht="22.5" customHeight="1" x14ac:dyDescent="0.15">
      <c r="A557" s="16" t="s">
        <v>32</v>
      </c>
      <c r="B557" s="12" t="s">
        <v>1749</v>
      </c>
      <c r="C557" s="13" t="s">
        <v>88</v>
      </c>
      <c r="D557" s="40">
        <v>0</v>
      </c>
    </row>
    <row r="558" spans="1:4" ht="22.5" customHeight="1" x14ac:dyDescent="0.15">
      <c r="A558" s="16" t="s">
        <v>32</v>
      </c>
      <c r="B558" s="12" t="s">
        <v>1750</v>
      </c>
      <c r="C558" s="13" t="s">
        <v>30</v>
      </c>
      <c r="D558" s="40">
        <v>0</v>
      </c>
    </row>
    <row r="559" spans="1:4" ht="22.5" customHeight="1" x14ac:dyDescent="0.15">
      <c r="A559" s="16" t="s">
        <v>928</v>
      </c>
      <c r="B559" s="12" t="s">
        <v>1751</v>
      </c>
      <c r="C559" s="13" t="s">
        <v>83</v>
      </c>
      <c r="D559" s="40">
        <v>0</v>
      </c>
    </row>
    <row r="560" spans="1:4" ht="22.5" customHeight="1" x14ac:dyDescent="0.15">
      <c r="A560" s="16" t="s">
        <v>928</v>
      </c>
      <c r="B560" s="12" t="s">
        <v>1752</v>
      </c>
      <c r="C560" s="13" t="s">
        <v>83</v>
      </c>
      <c r="D560" s="40">
        <v>0</v>
      </c>
    </row>
    <row r="561" spans="1:4" ht="22.5" customHeight="1" x14ac:dyDescent="0.15">
      <c r="A561" s="16" t="s">
        <v>928</v>
      </c>
      <c r="B561" s="12" t="s">
        <v>1753</v>
      </c>
      <c r="C561" s="13" t="s">
        <v>83</v>
      </c>
      <c r="D561" s="40">
        <v>0</v>
      </c>
    </row>
    <row r="562" spans="1:4" ht="22.5" customHeight="1" x14ac:dyDescent="0.15">
      <c r="A562" s="16" t="s">
        <v>928</v>
      </c>
      <c r="B562" s="12" t="s">
        <v>1754</v>
      </c>
      <c r="C562" s="13" t="s">
        <v>83</v>
      </c>
      <c r="D562" s="40">
        <v>0</v>
      </c>
    </row>
    <row r="563" spans="1:4" ht="22.5" customHeight="1" x14ac:dyDescent="0.15">
      <c r="A563" s="16" t="s">
        <v>928</v>
      </c>
      <c r="B563" s="12" t="s">
        <v>1755</v>
      </c>
      <c r="C563" s="13" t="s">
        <v>30</v>
      </c>
      <c r="D563" s="40">
        <v>0</v>
      </c>
    </row>
    <row r="564" spans="1:4" ht="22.5" customHeight="1" x14ac:dyDescent="0.15">
      <c r="A564" s="16" t="s">
        <v>928</v>
      </c>
      <c r="B564" s="12" t="s">
        <v>1756</v>
      </c>
      <c r="C564" s="13" t="s">
        <v>30</v>
      </c>
      <c r="D564" s="40">
        <v>0</v>
      </c>
    </row>
    <row r="565" spans="1:4" ht="22.5" customHeight="1" x14ac:dyDescent="0.15">
      <c r="A565" s="16" t="s">
        <v>928</v>
      </c>
      <c r="B565" s="12" t="s">
        <v>1757</v>
      </c>
      <c r="C565" s="13" t="s">
        <v>83</v>
      </c>
      <c r="D565" s="40">
        <v>0</v>
      </c>
    </row>
    <row r="566" spans="1:4" ht="22.5" customHeight="1" x14ac:dyDescent="0.15">
      <c r="A566" s="16" t="s">
        <v>267</v>
      </c>
      <c r="B566" s="12" t="s">
        <v>1758</v>
      </c>
      <c r="C566" s="13" t="s">
        <v>77</v>
      </c>
      <c r="D566" s="40">
        <v>0</v>
      </c>
    </row>
    <row r="567" spans="1:4" ht="22.5" customHeight="1" x14ac:dyDescent="0.15">
      <c r="A567" s="16" t="s">
        <v>934</v>
      </c>
      <c r="B567" s="12" t="s">
        <v>1759</v>
      </c>
      <c r="C567" s="13" t="s">
        <v>136</v>
      </c>
      <c r="D567" s="40">
        <v>0</v>
      </c>
    </row>
    <row r="568" spans="1:4" ht="22.5" customHeight="1" x14ac:dyDescent="0.15">
      <c r="A568" s="16" t="s">
        <v>289</v>
      </c>
      <c r="B568" s="12" t="s">
        <v>1760</v>
      </c>
      <c r="C568" s="13" t="s">
        <v>30</v>
      </c>
      <c r="D568" s="40">
        <v>0</v>
      </c>
    </row>
    <row r="569" spans="1:4" ht="22.5" customHeight="1" x14ac:dyDescent="0.15">
      <c r="A569" s="15" t="s">
        <v>289</v>
      </c>
      <c r="B569" s="12" t="s">
        <v>1761</v>
      </c>
      <c r="C569" s="13" t="s">
        <v>18</v>
      </c>
      <c r="D569" s="40">
        <v>0</v>
      </c>
    </row>
    <row r="570" spans="1:4" ht="22.5" customHeight="1" x14ac:dyDescent="0.15">
      <c r="A570" s="16" t="s">
        <v>289</v>
      </c>
      <c r="B570" s="12" t="s">
        <v>1762</v>
      </c>
      <c r="C570" s="13" t="s">
        <v>88</v>
      </c>
      <c r="D570" s="40">
        <v>0</v>
      </c>
    </row>
    <row r="571" spans="1:4" ht="22.5" customHeight="1" x14ac:dyDescent="0.15">
      <c r="A571" s="16" t="s">
        <v>293</v>
      </c>
      <c r="B571" s="12" t="s">
        <v>1763</v>
      </c>
      <c r="C571" s="13" t="s">
        <v>30</v>
      </c>
      <c r="D571" s="40">
        <v>0</v>
      </c>
    </row>
    <row r="572" spans="1:4" ht="22.5" customHeight="1" x14ac:dyDescent="0.15">
      <c r="A572" s="16" t="s">
        <v>293</v>
      </c>
      <c r="B572" s="12" t="s">
        <v>1764</v>
      </c>
      <c r="C572" s="13" t="s">
        <v>30</v>
      </c>
      <c r="D572" s="40">
        <v>0</v>
      </c>
    </row>
    <row r="573" spans="1:4" ht="22.5" customHeight="1" x14ac:dyDescent="0.15">
      <c r="A573" s="16" t="s">
        <v>293</v>
      </c>
      <c r="B573" s="12" t="s">
        <v>1765</v>
      </c>
      <c r="C573" s="13" t="s">
        <v>30</v>
      </c>
      <c r="D573" s="40">
        <v>0</v>
      </c>
    </row>
    <row r="574" spans="1:4" ht="22.5" customHeight="1" x14ac:dyDescent="0.15">
      <c r="A574" s="16" t="s">
        <v>293</v>
      </c>
      <c r="B574" s="12" t="s">
        <v>1766</v>
      </c>
      <c r="C574" s="13" t="s">
        <v>30</v>
      </c>
      <c r="D574" s="40">
        <v>0</v>
      </c>
    </row>
    <row r="575" spans="1:4" ht="22.5" customHeight="1" x14ac:dyDescent="0.15">
      <c r="A575" s="16" t="s">
        <v>293</v>
      </c>
      <c r="B575" s="12" t="s">
        <v>1767</v>
      </c>
      <c r="C575" s="13" t="s">
        <v>30</v>
      </c>
      <c r="D575" s="40">
        <v>0</v>
      </c>
    </row>
    <row r="576" spans="1:4" ht="22.5" customHeight="1" x14ac:dyDescent="0.15">
      <c r="A576" s="16" t="s">
        <v>946</v>
      </c>
      <c r="B576" s="12" t="s">
        <v>1768</v>
      </c>
      <c r="C576" s="13" t="s">
        <v>30</v>
      </c>
      <c r="D576" s="40">
        <v>0</v>
      </c>
    </row>
    <row r="577" spans="1:4" ht="22.5" customHeight="1" x14ac:dyDescent="0.15">
      <c r="A577" s="16" t="s">
        <v>298</v>
      </c>
      <c r="B577" s="12" t="s">
        <v>1769</v>
      </c>
      <c r="C577" s="13" t="s">
        <v>88</v>
      </c>
      <c r="D577" s="40">
        <v>0</v>
      </c>
    </row>
    <row r="578" spans="1:4" ht="22.5" customHeight="1" x14ac:dyDescent="0.15">
      <c r="A578" s="16" t="s">
        <v>306</v>
      </c>
      <c r="B578" s="12" t="s">
        <v>1770</v>
      </c>
      <c r="C578" s="13" t="s">
        <v>83</v>
      </c>
      <c r="D578" s="40">
        <v>0</v>
      </c>
    </row>
    <row r="579" spans="1:4" ht="22.5" customHeight="1" x14ac:dyDescent="0.15">
      <c r="A579" s="16" t="s">
        <v>37</v>
      </c>
      <c r="B579" s="12" t="s">
        <v>1771</v>
      </c>
      <c r="C579" s="13" t="s">
        <v>136</v>
      </c>
      <c r="D579" s="40">
        <v>0</v>
      </c>
    </row>
    <row r="580" spans="1:4" ht="22.5" customHeight="1" x14ac:dyDescent="0.15">
      <c r="A580" s="16" t="s">
        <v>37</v>
      </c>
      <c r="B580" s="12" t="s">
        <v>1772</v>
      </c>
      <c r="C580" s="13" t="s">
        <v>30</v>
      </c>
      <c r="D580" s="40">
        <v>0</v>
      </c>
    </row>
    <row r="581" spans="1:4" ht="22.5" customHeight="1" x14ac:dyDescent="0.15">
      <c r="A581" s="16" t="s">
        <v>37</v>
      </c>
      <c r="B581" s="12" t="s">
        <v>1773</v>
      </c>
      <c r="C581" s="13" t="s">
        <v>136</v>
      </c>
      <c r="D581" s="40">
        <v>0</v>
      </c>
    </row>
    <row r="582" spans="1:4" ht="22.5" customHeight="1" x14ac:dyDescent="0.15">
      <c r="A582" s="16" t="s">
        <v>327</v>
      </c>
      <c r="B582" s="12" t="s">
        <v>1774</v>
      </c>
      <c r="C582" s="13" t="s">
        <v>30</v>
      </c>
      <c r="D582" s="40">
        <v>0</v>
      </c>
    </row>
    <row r="583" spans="1:4" ht="22.5" customHeight="1" x14ac:dyDescent="0.15">
      <c r="A583" s="16" t="s">
        <v>347</v>
      </c>
      <c r="B583" s="12" t="s">
        <v>1775</v>
      </c>
      <c r="C583" s="13" t="s">
        <v>30</v>
      </c>
      <c r="D583" s="40">
        <v>0</v>
      </c>
    </row>
    <row r="584" spans="1:4" ht="22.5" customHeight="1" x14ac:dyDescent="0.15">
      <c r="A584" s="16" t="s">
        <v>658</v>
      </c>
      <c r="B584" s="12" t="s">
        <v>1776</v>
      </c>
      <c r="C584" s="13" t="s">
        <v>88</v>
      </c>
      <c r="D584" s="40">
        <v>0</v>
      </c>
    </row>
    <row r="585" spans="1:4" ht="22.5" customHeight="1" x14ac:dyDescent="0.15">
      <c r="A585" s="16" t="s">
        <v>368</v>
      </c>
      <c r="B585" s="12" t="s">
        <v>1777</v>
      </c>
      <c r="C585" s="13" t="s">
        <v>30</v>
      </c>
      <c r="D585" s="40">
        <v>0</v>
      </c>
    </row>
    <row r="586" spans="1:4" ht="22.5" customHeight="1" x14ac:dyDescent="0.15">
      <c r="A586" s="16" t="s">
        <v>1779</v>
      </c>
      <c r="B586" s="12" t="s">
        <v>1780</v>
      </c>
      <c r="C586" s="13" t="s">
        <v>30</v>
      </c>
      <c r="D586" s="40">
        <v>0</v>
      </c>
    </row>
    <row r="587" spans="1:4" ht="22.5" customHeight="1" x14ac:dyDescent="0.15">
      <c r="A587" s="16" t="s">
        <v>1013</v>
      </c>
      <c r="B587" s="12" t="s">
        <v>1781</v>
      </c>
      <c r="C587" s="13" t="s">
        <v>30</v>
      </c>
      <c r="D587" s="40">
        <v>0</v>
      </c>
    </row>
    <row r="588" spans="1:4" ht="22.5" customHeight="1" x14ac:dyDescent="0.15">
      <c r="A588" s="16" t="s">
        <v>1021</v>
      </c>
      <c r="B588" s="12" t="s">
        <v>1782</v>
      </c>
      <c r="C588" s="13" t="s">
        <v>18</v>
      </c>
      <c r="D588" s="40">
        <v>0</v>
      </c>
    </row>
    <row r="589" spans="1:4" ht="22.5" customHeight="1" x14ac:dyDescent="0.15">
      <c r="A589" s="16" t="s">
        <v>384</v>
      </c>
      <c r="B589" s="12" t="s">
        <v>1783</v>
      </c>
      <c r="C589" s="13" t="s">
        <v>83</v>
      </c>
      <c r="D589" s="40">
        <v>0</v>
      </c>
    </row>
    <row r="590" spans="1:4" ht="22.5" customHeight="1" x14ac:dyDescent="0.15">
      <c r="A590" s="16" t="s">
        <v>86</v>
      </c>
      <c r="B590" s="12" t="s">
        <v>1784</v>
      </c>
      <c r="C590" s="13" t="s">
        <v>83</v>
      </c>
      <c r="D590" s="40">
        <v>0</v>
      </c>
    </row>
    <row r="591" spans="1:4" ht="22.5" customHeight="1" x14ac:dyDescent="0.15">
      <c r="A591" s="16" t="s">
        <v>391</v>
      </c>
      <c r="B591" s="12" t="s">
        <v>1785</v>
      </c>
      <c r="C591" s="13" t="s">
        <v>18</v>
      </c>
      <c r="D591" s="40">
        <v>0</v>
      </c>
    </row>
    <row r="592" spans="1:4" ht="22.5" customHeight="1" x14ac:dyDescent="0.15">
      <c r="A592" s="16" t="s">
        <v>1065</v>
      </c>
      <c r="B592" s="12" t="s">
        <v>1652</v>
      </c>
      <c r="C592" s="13" t="s">
        <v>136</v>
      </c>
      <c r="D592" s="40">
        <v>0</v>
      </c>
    </row>
    <row r="593" spans="1:4" ht="22.5" customHeight="1" x14ac:dyDescent="0.15">
      <c r="A593" s="16" t="s">
        <v>1065</v>
      </c>
      <c r="B593" s="12" t="s">
        <v>1653</v>
      </c>
      <c r="C593" s="13" t="s">
        <v>18</v>
      </c>
      <c r="D593" s="40">
        <v>0</v>
      </c>
    </row>
    <row r="594" spans="1:4" ht="22.5" customHeight="1" x14ac:dyDescent="0.15">
      <c r="A594" s="16" t="s">
        <v>395</v>
      </c>
      <c r="B594" s="12" t="s">
        <v>1786</v>
      </c>
      <c r="C594" s="13" t="s">
        <v>18</v>
      </c>
      <c r="D594" s="40">
        <v>0</v>
      </c>
    </row>
    <row r="595" spans="1:4" ht="22.5" customHeight="1" x14ac:dyDescent="0.15">
      <c r="A595" s="16" t="s">
        <v>395</v>
      </c>
      <c r="B595" s="12" t="s">
        <v>1787</v>
      </c>
      <c r="C595" s="13" t="s">
        <v>23</v>
      </c>
      <c r="D595" s="40">
        <v>0</v>
      </c>
    </row>
    <row r="596" spans="1:4" ht="22.5" customHeight="1" x14ac:dyDescent="0.15">
      <c r="A596" s="16" t="s">
        <v>395</v>
      </c>
      <c r="B596" s="12" t="s">
        <v>1788</v>
      </c>
      <c r="C596" s="13" t="s">
        <v>18</v>
      </c>
      <c r="D596" s="40">
        <v>0</v>
      </c>
    </row>
    <row r="597" spans="1:4" ht="22.5" customHeight="1" x14ac:dyDescent="0.15">
      <c r="A597" s="16" t="s">
        <v>395</v>
      </c>
      <c r="B597" s="12" t="s">
        <v>1789</v>
      </c>
      <c r="C597" s="13" t="s">
        <v>136</v>
      </c>
      <c r="D597" s="40">
        <v>0</v>
      </c>
    </row>
    <row r="598" spans="1:4" ht="22.5" customHeight="1" x14ac:dyDescent="0.15">
      <c r="A598" s="16" t="s">
        <v>395</v>
      </c>
      <c r="B598" s="12" t="s">
        <v>1790</v>
      </c>
      <c r="C598" s="13" t="s">
        <v>136</v>
      </c>
      <c r="D598" s="40">
        <v>0</v>
      </c>
    </row>
    <row r="599" spans="1:4" ht="22.5" customHeight="1" x14ac:dyDescent="0.15">
      <c r="A599" s="16" t="s">
        <v>1088</v>
      </c>
      <c r="B599" s="12" t="s">
        <v>1791</v>
      </c>
      <c r="C599" s="13" t="s">
        <v>30</v>
      </c>
      <c r="D599" s="40">
        <v>0</v>
      </c>
    </row>
    <row r="600" spans="1:4" ht="22.5" customHeight="1" x14ac:dyDescent="0.15">
      <c r="A600" s="16" t="s">
        <v>1088</v>
      </c>
      <c r="B600" s="12" t="s">
        <v>1792</v>
      </c>
      <c r="C600" s="13" t="s">
        <v>30</v>
      </c>
      <c r="D600" s="40">
        <v>0</v>
      </c>
    </row>
    <row r="601" spans="1:4" ht="22.5" customHeight="1" x14ac:dyDescent="0.15">
      <c r="A601" s="16" t="s">
        <v>1088</v>
      </c>
      <c r="B601" s="12" t="s">
        <v>1793</v>
      </c>
      <c r="C601" s="13" t="s">
        <v>30</v>
      </c>
      <c r="D601" s="40">
        <v>0</v>
      </c>
    </row>
    <row r="602" spans="1:4" ht="22.5" customHeight="1" x14ac:dyDescent="0.15">
      <c r="A602" s="16" t="s">
        <v>1088</v>
      </c>
      <c r="B602" s="12" t="s">
        <v>1794</v>
      </c>
      <c r="C602" s="13" t="s">
        <v>18</v>
      </c>
      <c r="D602" s="40">
        <v>0</v>
      </c>
    </row>
    <row r="603" spans="1:4" ht="22.5" customHeight="1" x14ac:dyDescent="0.15">
      <c r="A603" s="16" t="s">
        <v>1517</v>
      </c>
      <c r="B603" s="12" t="s">
        <v>1729</v>
      </c>
      <c r="C603" s="13" t="s">
        <v>219</v>
      </c>
      <c r="D603" s="40">
        <v>0</v>
      </c>
    </row>
    <row r="604" spans="1:4" ht="22.5" customHeight="1" x14ac:dyDescent="0.15">
      <c r="A604" s="16" t="s">
        <v>399</v>
      </c>
      <c r="B604" s="12" t="s">
        <v>1733</v>
      </c>
      <c r="C604" s="13" t="s">
        <v>136</v>
      </c>
      <c r="D604" s="40">
        <v>0</v>
      </c>
    </row>
    <row r="605" spans="1:4" ht="22.5" customHeight="1" x14ac:dyDescent="0.15">
      <c r="A605" s="16" t="s">
        <v>401</v>
      </c>
      <c r="B605" s="12" t="s">
        <v>1795</v>
      </c>
      <c r="C605" s="13" t="s">
        <v>30</v>
      </c>
      <c r="D605" s="40">
        <v>0</v>
      </c>
    </row>
    <row r="606" spans="1:4" ht="22.5" customHeight="1" x14ac:dyDescent="0.15">
      <c r="A606" s="16" t="s">
        <v>401</v>
      </c>
      <c r="B606" s="12" t="s">
        <v>1796</v>
      </c>
      <c r="C606" s="13" t="s">
        <v>83</v>
      </c>
      <c r="D606" s="40">
        <v>0</v>
      </c>
    </row>
    <row r="607" spans="1:4" ht="22.5" customHeight="1" x14ac:dyDescent="0.15">
      <c r="A607" s="16" t="s">
        <v>1797</v>
      </c>
      <c r="B607" s="12" t="s">
        <v>1740</v>
      </c>
      <c r="C607" s="13" t="s">
        <v>30</v>
      </c>
      <c r="D607" s="40">
        <v>0</v>
      </c>
    </row>
    <row r="608" spans="1:4" ht="22.5" customHeight="1" x14ac:dyDescent="0.15">
      <c r="A608" s="16" t="s">
        <v>94</v>
      </c>
      <c r="B608" s="12" t="s">
        <v>1798</v>
      </c>
      <c r="C608" s="13" t="s">
        <v>136</v>
      </c>
      <c r="D608" s="40">
        <v>0</v>
      </c>
    </row>
    <row r="609" spans="1:4" ht="22.5" customHeight="1" x14ac:dyDescent="0.15">
      <c r="A609" s="16" t="s">
        <v>1127</v>
      </c>
      <c r="B609" s="12" t="s">
        <v>1799</v>
      </c>
      <c r="C609" s="13" t="s">
        <v>12</v>
      </c>
      <c r="D609" s="40">
        <v>0</v>
      </c>
    </row>
    <row r="610" spans="1:4" ht="22.5" customHeight="1" x14ac:dyDescent="0.15">
      <c r="A610" s="16" t="s">
        <v>410</v>
      </c>
      <c r="B610" s="12" t="s">
        <v>1800</v>
      </c>
      <c r="C610" s="13" t="s">
        <v>30</v>
      </c>
      <c r="D610" s="40">
        <v>0</v>
      </c>
    </row>
    <row r="611" spans="1:4" ht="22.5" customHeight="1" x14ac:dyDescent="0.15">
      <c r="A611" s="16" t="s">
        <v>417</v>
      </c>
      <c r="B611" s="12" t="s">
        <v>1801</v>
      </c>
      <c r="C611" s="13" t="s">
        <v>12</v>
      </c>
      <c r="D611" s="40">
        <v>0</v>
      </c>
    </row>
    <row r="612" spans="1:4" ht="22.5" customHeight="1" x14ac:dyDescent="0.15">
      <c r="A612" s="16" t="s">
        <v>417</v>
      </c>
      <c r="B612" s="12" t="s">
        <v>1802</v>
      </c>
      <c r="C612" s="13" t="s">
        <v>12</v>
      </c>
      <c r="D612" s="40">
        <v>0</v>
      </c>
    </row>
    <row r="613" spans="1:4" ht="22.5" customHeight="1" x14ac:dyDescent="0.15">
      <c r="A613" s="16" t="s">
        <v>425</v>
      </c>
      <c r="B613" s="12" t="s">
        <v>1803</v>
      </c>
      <c r="C613" s="13" t="s">
        <v>88</v>
      </c>
      <c r="D613" s="40">
        <v>0</v>
      </c>
    </row>
    <row r="614" spans="1:4" ht="22.5" customHeight="1" x14ac:dyDescent="0.15">
      <c r="A614" s="16" t="s">
        <v>429</v>
      </c>
      <c r="B614" s="12" t="s">
        <v>1804</v>
      </c>
      <c r="C614" s="13" t="s">
        <v>30</v>
      </c>
      <c r="D614" s="40">
        <v>0</v>
      </c>
    </row>
    <row r="615" spans="1:4" ht="22.5" customHeight="1" x14ac:dyDescent="0.15">
      <c r="A615" s="16" t="s">
        <v>429</v>
      </c>
      <c r="B615" s="12" t="s">
        <v>1805</v>
      </c>
      <c r="C615" s="13" t="s">
        <v>30</v>
      </c>
      <c r="D615" s="40">
        <v>0</v>
      </c>
    </row>
    <row r="616" spans="1:4" ht="22.5" customHeight="1" x14ac:dyDescent="0.15">
      <c r="A616" s="16" t="s">
        <v>429</v>
      </c>
      <c r="B616" s="12" t="s">
        <v>1806</v>
      </c>
      <c r="C616" s="13" t="s">
        <v>30</v>
      </c>
      <c r="D616" s="40">
        <v>0</v>
      </c>
    </row>
    <row r="617" spans="1:4" ht="22.5" customHeight="1" x14ac:dyDescent="0.15">
      <c r="A617" s="16" t="s">
        <v>429</v>
      </c>
      <c r="B617" s="12" t="s">
        <v>1807</v>
      </c>
      <c r="C617" s="13" t="s">
        <v>30</v>
      </c>
      <c r="D617" s="40">
        <v>0</v>
      </c>
    </row>
    <row r="618" spans="1:4" ht="22.5" customHeight="1" x14ac:dyDescent="0.15">
      <c r="A618" s="16" t="s">
        <v>1155</v>
      </c>
      <c r="B618" s="12" t="s">
        <v>1759</v>
      </c>
      <c r="C618" s="13" t="s">
        <v>136</v>
      </c>
      <c r="D618" s="40">
        <v>0</v>
      </c>
    </row>
    <row r="619" spans="1:4" ht="22.5" customHeight="1" x14ac:dyDescent="0.15">
      <c r="A619" s="16" t="s">
        <v>439</v>
      </c>
      <c r="B619" s="12" t="s">
        <v>1808</v>
      </c>
      <c r="C619" s="13" t="s">
        <v>30</v>
      </c>
      <c r="D619" s="40">
        <v>0</v>
      </c>
    </row>
    <row r="620" spans="1:4" ht="22.5" customHeight="1" x14ac:dyDescent="0.15">
      <c r="A620" s="16" t="s">
        <v>443</v>
      </c>
      <c r="B620" s="12" t="s">
        <v>1809</v>
      </c>
      <c r="C620" s="13" t="s">
        <v>18</v>
      </c>
      <c r="D620" s="40">
        <v>0</v>
      </c>
    </row>
    <row r="621" spans="1:4" ht="22.5" customHeight="1" x14ac:dyDescent="0.15">
      <c r="A621" s="16" t="s">
        <v>447</v>
      </c>
      <c r="B621" s="12" t="s">
        <v>1810</v>
      </c>
      <c r="C621" s="13" t="s">
        <v>30</v>
      </c>
      <c r="D621" s="40">
        <v>0</v>
      </c>
    </row>
    <row r="622" spans="1:4" ht="22.5" customHeight="1" x14ac:dyDescent="0.15">
      <c r="A622" s="16" t="s">
        <v>456</v>
      </c>
      <c r="B622" s="12" t="s">
        <v>1810</v>
      </c>
      <c r="C622" s="13" t="s">
        <v>30</v>
      </c>
      <c r="D622" s="40">
        <v>0</v>
      </c>
    </row>
    <row r="623" spans="1:4" ht="22.5" customHeight="1" x14ac:dyDescent="0.15">
      <c r="A623" s="16" t="s">
        <v>463</v>
      </c>
      <c r="B623" s="12" t="s">
        <v>1774</v>
      </c>
      <c r="C623" s="13" t="s">
        <v>30</v>
      </c>
      <c r="D623" s="40">
        <v>0</v>
      </c>
    </row>
    <row r="624" spans="1:4" ht="22.5" customHeight="1" x14ac:dyDescent="0.15">
      <c r="A624" s="16" t="s">
        <v>463</v>
      </c>
      <c r="B624" s="12" t="s">
        <v>1811</v>
      </c>
      <c r="C624" s="13" t="s">
        <v>30</v>
      </c>
      <c r="D624" s="40">
        <v>0</v>
      </c>
    </row>
    <row r="625" spans="1:4" ht="22.5" customHeight="1" x14ac:dyDescent="0.15">
      <c r="A625" s="16" t="s">
        <v>1185</v>
      </c>
      <c r="B625" s="12" t="s">
        <v>1812</v>
      </c>
      <c r="C625" s="13" t="s">
        <v>30</v>
      </c>
      <c r="D625" s="40">
        <v>0</v>
      </c>
    </row>
    <row r="626" spans="1:4" ht="22.5" customHeight="1" x14ac:dyDescent="0.15">
      <c r="A626" s="16" t="s">
        <v>489</v>
      </c>
      <c r="B626" s="12" t="s">
        <v>1813</v>
      </c>
      <c r="C626" s="13" t="s">
        <v>88</v>
      </c>
      <c r="D626" s="40">
        <v>0</v>
      </c>
    </row>
    <row r="627" spans="1:4" ht="22.5" customHeight="1" x14ac:dyDescent="0.15">
      <c r="A627" s="16" t="s">
        <v>1210</v>
      </c>
      <c r="B627" s="12" t="s">
        <v>1812</v>
      </c>
      <c r="C627" s="13" t="s">
        <v>30</v>
      </c>
      <c r="D627" s="40">
        <v>0</v>
      </c>
    </row>
    <row r="628" spans="1:4" ht="22.5" customHeight="1" x14ac:dyDescent="0.15">
      <c r="A628" s="16" t="s">
        <v>493</v>
      </c>
      <c r="B628" s="12" t="s">
        <v>1814</v>
      </c>
      <c r="C628" s="13" t="s">
        <v>77</v>
      </c>
      <c r="D628" s="40">
        <v>0</v>
      </c>
    </row>
    <row r="629" spans="1:4" ht="22.5" customHeight="1" x14ac:dyDescent="0.15">
      <c r="A629" s="16" t="s">
        <v>493</v>
      </c>
      <c r="B629" s="12" t="s">
        <v>1815</v>
      </c>
      <c r="C629" s="13" t="s">
        <v>77</v>
      </c>
      <c r="D629" s="40">
        <v>0</v>
      </c>
    </row>
    <row r="630" spans="1:4" ht="22.5" customHeight="1" x14ac:dyDescent="0.15">
      <c r="A630" s="16" t="s">
        <v>1548</v>
      </c>
      <c r="B630" s="12" t="s">
        <v>1816</v>
      </c>
      <c r="C630" s="13" t="s">
        <v>77</v>
      </c>
      <c r="D630" s="40">
        <v>0</v>
      </c>
    </row>
    <row r="631" spans="1:4" ht="22.5" customHeight="1" x14ac:dyDescent="0.15">
      <c r="A631" s="16" t="s">
        <v>53</v>
      </c>
      <c r="B631" s="12" t="s">
        <v>1817</v>
      </c>
      <c r="C631" s="13" t="s">
        <v>30</v>
      </c>
      <c r="D631" s="40">
        <v>0</v>
      </c>
    </row>
    <row r="632" spans="1:4" ht="22.5" customHeight="1" x14ac:dyDescent="0.15">
      <c r="A632" s="16" t="s">
        <v>57</v>
      </c>
      <c r="B632" s="12" t="s">
        <v>1818</v>
      </c>
      <c r="C632" s="13" t="s">
        <v>88</v>
      </c>
      <c r="D632" s="40">
        <v>0</v>
      </c>
    </row>
    <row r="633" spans="1:4" ht="22.5" customHeight="1" x14ac:dyDescent="0.15">
      <c r="A633" s="16" t="s">
        <v>497</v>
      </c>
      <c r="B633" s="12" t="s">
        <v>1819</v>
      </c>
      <c r="C633" s="13" t="s">
        <v>30</v>
      </c>
      <c r="D633" s="40">
        <v>0</v>
      </c>
    </row>
    <row r="634" spans="1:4" ht="22.5" customHeight="1" x14ac:dyDescent="0.15">
      <c r="A634" s="16" t="s">
        <v>497</v>
      </c>
      <c r="B634" s="12" t="s">
        <v>1820</v>
      </c>
      <c r="C634" s="13" t="s">
        <v>136</v>
      </c>
      <c r="D634" s="40">
        <v>0</v>
      </c>
    </row>
    <row r="635" spans="1:4" ht="22.5" customHeight="1" x14ac:dyDescent="0.15">
      <c r="A635" s="16" t="s">
        <v>497</v>
      </c>
      <c r="B635" s="12" t="s">
        <v>1821</v>
      </c>
      <c r="C635" s="13" t="s">
        <v>136</v>
      </c>
      <c r="D635" s="40">
        <v>0</v>
      </c>
    </row>
    <row r="636" spans="1:4" ht="22.5" customHeight="1" x14ac:dyDescent="0.15">
      <c r="A636" s="16" t="s">
        <v>500</v>
      </c>
      <c r="B636" s="12" t="s">
        <v>1822</v>
      </c>
      <c r="C636" s="13" t="s">
        <v>88</v>
      </c>
      <c r="D636" s="40">
        <v>0</v>
      </c>
    </row>
    <row r="637" spans="1:4" ht="22.5" customHeight="1" x14ac:dyDescent="0.15">
      <c r="A637" s="16" t="s">
        <v>1825</v>
      </c>
      <c r="B637" s="12" t="s">
        <v>1826</v>
      </c>
      <c r="C637" s="13" t="s">
        <v>30</v>
      </c>
      <c r="D637" s="40">
        <v>0</v>
      </c>
    </row>
    <row r="638" spans="1:4" ht="22.5" customHeight="1" x14ac:dyDescent="0.15">
      <c r="A638" s="16" t="s">
        <v>503</v>
      </c>
      <c r="B638" s="12" t="s">
        <v>1827</v>
      </c>
      <c r="C638" s="13" t="s">
        <v>30</v>
      </c>
      <c r="D638" s="40">
        <v>0</v>
      </c>
    </row>
    <row r="639" spans="1:4" ht="22.5" customHeight="1" x14ac:dyDescent="0.15">
      <c r="A639" s="16" t="s">
        <v>503</v>
      </c>
      <c r="B639" s="12" t="s">
        <v>1828</v>
      </c>
      <c r="C639" s="13" t="s">
        <v>30</v>
      </c>
      <c r="D639" s="40">
        <v>0</v>
      </c>
    </row>
    <row r="640" spans="1:4" ht="22.5" customHeight="1" x14ac:dyDescent="0.15">
      <c r="A640" s="16" t="s">
        <v>1229</v>
      </c>
      <c r="B640" s="12" t="s">
        <v>1829</v>
      </c>
      <c r="C640" s="13" t="s">
        <v>83</v>
      </c>
      <c r="D640" s="40">
        <v>0</v>
      </c>
    </row>
    <row r="641" spans="1:4" ht="22.5" customHeight="1" x14ac:dyDescent="0.15">
      <c r="A641" s="16" t="s">
        <v>1832</v>
      </c>
      <c r="B641" s="12" t="s">
        <v>1833</v>
      </c>
      <c r="C641" s="13" t="s">
        <v>136</v>
      </c>
      <c r="D641" s="40">
        <v>0</v>
      </c>
    </row>
    <row r="642" spans="1:4" ht="22.5" customHeight="1" x14ac:dyDescent="0.15">
      <c r="A642" s="16" t="s">
        <v>523</v>
      </c>
      <c r="B642" s="12" t="s">
        <v>1834</v>
      </c>
      <c r="C642" s="13" t="s">
        <v>30</v>
      </c>
      <c r="D642" s="40">
        <v>0</v>
      </c>
    </row>
    <row r="643" spans="1:4" ht="22.5" customHeight="1" x14ac:dyDescent="0.15">
      <c r="A643" s="16" t="s">
        <v>523</v>
      </c>
      <c r="B643" s="12" t="s">
        <v>1835</v>
      </c>
      <c r="C643" s="13" t="s">
        <v>30</v>
      </c>
      <c r="D643" s="40">
        <v>0</v>
      </c>
    </row>
    <row r="644" spans="1:4" ht="22.5" customHeight="1" x14ac:dyDescent="0.15">
      <c r="A644" s="16" t="s">
        <v>523</v>
      </c>
      <c r="B644" s="12" t="s">
        <v>1836</v>
      </c>
      <c r="C644" s="13" t="s">
        <v>30</v>
      </c>
      <c r="D644" s="40">
        <v>0</v>
      </c>
    </row>
    <row r="645" spans="1:4" ht="22.5" customHeight="1" x14ac:dyDescent="0.15">
      <c r="A645" s="16" t="s">
        <v>523</v>
      </c>
      <c r="B645" s="12" t="s">
        <v>1837</v>
      </c>
      <c r="C645" s="13" t="s">
        <v>30</v>
      </c>
      <c r="D645" s="40">
        <v>0</v>
      </c>
    </row>
    <row r="646" spans="1:4" ht="22.5" customHeight="1" x14ac:dyDescent="0.15">
      <c r="A646" s="16" t="s">
        <v>523</v>
      </c>
      <c r="B646" s="12" t="s">
        <v>1838</v>
      </c>
      <c r="C646" s="13" t="s">
        <v>88</v>
      </c>
      <c r="D646" s="40">
        <v>0</v>
      </c>
    </row>
    <row r="647" spans="1:4" ht="22.5" customHeight="1" x14ac:dyDescent="0.15">
      <c r="A647" s="16" t="s">
        <v>523</v>
      </c>
      <c r="B647" s="12" t="s">
        <v>1839</v>
      </c>
      <c r="C647" s="13" t="s">
        <v>30</v>
      </c>
      <c r="D647" s="40">
        <v>0</v>
      </c>
    </row>
    <row r="648" spans="1:4" ht="22.5" customHeight="1" x14ac:dyDescent="0.15">
      <c r="A648" s="16" t="s">
        <v>523</v>
      </c>
      <c r="B648" s="12" t="s">
        <v>1840</v>
      </c>
      <c r="C648" s="13" t="s">
        <v>88</v>
      </c>
      <c r="D648" s="40">
        <v>0</v>
      </c>
    </row>
    <row r="649" spans="1:4" ht="22.5" customHeight="1" x14ac:dyDescent="0.15">
      <c r="A649" s="16" t="s">
        <v>523</v>
      </c>
      <c r="B649" s="12" t="s">
        <v>1841</v>
      </c>
      <c r="C649" s="13" t="s">
        <v>30</v>
      </c>
      <c r="D649" s="40">
        <v>0</v>
      </c>
    </row>
    <row r="650" spans="1:4" ht="22.5" customHeight="1" x14ac:dyDescent="0.15">
      <c r="A650" s="16" t="s">
        <v>1843</v>
      </c>
      <c r="B650" s="12" t="s">
        <v>1844</v>
      </c>
      <c r="C650" s="13" t="s">
        <v>30</v>
      </c>
      <c r="D650" s="40">
        <v>0</v>
      </c>
    </row>
    <row r="651" spans="1:4" ht="22.5" customHeight="1" x14ac:dyDescent="0.15">
      <c r="A651" s="15" t="s">
        <v>543</v>
      </c>
      <c r="B651" s="12" t="s">
        <v>1845</v>
      </c>
      <c r="C651" s="13" t="s">
        <v>88</v>
      </c>
      <c r="D651" s="40">
        <v>0</v>
      </c>
    </row>
    <row r="652" spans="1:4" ht="22.5" customHeight="1" x14ac:dyDescent="0.15">
      <c r="A652" s="16" t="s">
        <v>696</v>
      </c>
      <c r="B652" s="12" t="s">
        <v>1846</v>
      </c>
      <c r="C652" s="13" t="s">
        <v>12</v>
      </c>
      <c r="D652" s="40">
        <v>0</v>
      </c>
    </row>
    <row r="653" spans="1:4" ht="22.5" customHeight="1" x14ac:dyDescent="0.15">
      <c r="A653" s="16" t="s">
        <v>546</v>
      </c>
      <c r="B653" s="12" t="s">
        <v>1847</v>
      </c>
      <c r="C653" s="13" t="s">
        <v>83</v>
      </c>
      <c r="D653" s="40">
        <v>0</v>
      </c>
    </row>
    <row r="654" spans="1:4" ht="22.5" customHeight="1" x14ac:dyDescent="0.15">
      <c r="A654" s="16" t="s">
        <v>553</v>
      </c>
      <c r="B654" s="12" t="s">
        <v>1848</v>
      </c>
      <c r="C654" s="13" t="s">
        <v>30</v>
      </c>
      <c r="D654" s="40">
        <v>0</v>
      </c>
    </row>
    <row r="655" spans="1:4" ht="22.5" customHeight="1" x14ac:dyDescent="0.15">
      <c r="A655" s="16" t="s">
        <v>553</v>
      </c>
      <c r="B655" s="12" t="s">
        <v>1849</v>
      </c>
      <c r="C655" s="13" t="s">
        <v>30</v>
      </c>
      <c r="D655" s="40">
        <v>0</v>
      </c>
    </row>
    <row r="656" spans="1:4" ht="22.5" customHeight="1" x14ac:dyDescent="0.15">
      <c r="A656" s="16" t="s">
        <v>553</v>
      </c>
      <c r="B656" s="12" t="s">
        <v>1850</v>
      </c>
      <c r="C656" s="13" t="s">
        <v>30</v>
      </c>
      <c r="D656" s="40">
        <v>0</v>
      </c>
    </row>
    <row r="657" spans="1:4" ht="22.5" customHeight="1" x14ac:dyDescent="0.15">
      <c r="A657" s="16" t="s">
        <v>553</v>
      </c>
      <c r="B657" s="12" t="s">
        <v>1851</v>
      </c>
      <c r="C657" s="13" t="s">
        <v>30</v>
      </c>
      <c r="D657" s="40">
        <v>0</v>
      </c>
    </row>
    <row r="658" spans="1:4" ht="22.5" customHeight="1" x14ac:dyDescent="0.15">
      <c r="A658" s="16" t="s">
        <v>1854</v>
      </c>
      <c r="B658" s="12" t="s">
        <v>1855</v>
      </c>
      <c r="C658" s="13" t="s">
        <v>18</v>
      </c>
      <c r="D658" s="40">
        <v>0</v>
      </c>
    </row>
    <row r="659" spans="1:4" ht="22.5" customHeight="1" x14ac:dyDescent="0.15">
      <c r="A659" s="16" t="s">
        <v>560</v>
      </c>
      <c r="B659" s="12" t="s">
        <v>1856</v>
      </c>
      <c r="C659" s="13" t="s">
        <v>136</v>
      </c>
      <c r="D659" s="40">
        <v>0</v>
      </c>
    </row>
    <row r="660" spans="1:4" ht="22.5" customHeight="1" x14ac:dyDescent="0.15">
      <c r="A660" s="16" t="s">
        <v>560</v>
      </c>
      <c r="B660" s="12" t="s">
        <v>1857</v>
      </c>
      <c r="C660" s="13" t="s">
        <v>136</v>
      </c>
      <c r="D660" s="40">
        <v>0</v>
      </c>
    </row>
    <row r="661" spans="1:4" ht="22.5" customHeight="1" x14ac:dyDescent="0.15">
      <c r="A661" s="16" t="s">
        <v>563</v>
      </c>
      <c r="B661" s="12" t="s">
        <v>1730</v>
      </c>
      <c r="C661" s="13" t="s">
        <v>83</v>
      </c>
      <c r="D661" s="40">
        <v>0</v>
      </c>
    </row>
    <row r="662" spans="1:4" ht="22.5" customHeight="1" x14ac:dyDescent="0.15">
      <c r="A662" s="16" t="s">
        <v>103</v>
      </c>
      <c r="B662" s="12" t="s">
        <v>1858</v>
      </c>
      <c r="C662" s="13" t="s">
        <v>18</v>
      </c>
      <c r="D662" s="40">
        <v>0</v>
      </c>
    </row>
    <row r="663" spans="1:4" ht="22.5" customHeight="1" x14ac:dyDescent="0.15">
      <c r="A663" s="16" t="s">
        <v>103</v>
      </c>
      <c r="B663" s="12" t="s">
        <v>1859</v>
      </c>
      <c r="C663" s="13" t="s">
        <v>18</v>
      </c>
      <c r="D663" s="40">
        <v>0</v>
      </c>
    </row>
    <row r="664" spans="1:4" ht="22.5" customHeight="1" x14ac:dyDescent="0.15">
      <c r="A664" s="16" t="s">
        <v>103</v>
      </c>
      <c r="B664" s="12" t="s">
        <v>1860</v>
      </c>
      <c r="C664" s="13" t="s">
        <v>18</v>
      </c>
      <c r="D664" s="40">
        <v>0</v>
      </c>
    </row>
    <row r="665" spans="1:4" ht="22.5" customHeight="1" x14ac:dyDescent="0.15">
      <c r="A665" s="16" t="s">
        <v>1861</v>
      </c>
      <c r="B665" s="12" t="s">
        <v>1862</v>
      </c>
      <c r="C665" s="13" t="s">
        <v>30</v>
      </c>
      <c r="D665" s="40">
        <v>0</v>
      </c>
    </row>
    <row r="666" spans="1:4" ht="22.5" customHeight="1" x14ac:dyDescent="0.15">
      <c r="A666" s="16" t="s">
        <v>568</v>
      </c>
      <c r="B666" s="12" t="s">
        <v>1863</v>
      </c>
      <c r="C666" s="13" t="s">
        <v>30</v>
      </c>
      <c r="D666" s="40">
        <v>0</v>
      </c>
    </row>
    <row r="667" spans="1:4" ht="22.5" customHeight="1" x14ac:dyDescent="0.15">
      <c r="A667" s="16" t="s">
        <v>572</v>
      </c>
      <c r="B667" s="12" t="s">
        <v>1864</v>
      </c>
      <c r="C667" s="13" t="s">
        <v>30</v>
      </c>
      <c r="D667" s="40">
        <v>0</v>
      </c>
    </row>
    <row r="668" spans="1:4" ht="22.5" customHeight="1" x14ac:dyDescent="0.15">
      <c r="A668" s="16" t="s">
        <v>572</v>
      </c>
      <c r="B668" s="12" t="s">
        <v>1865</v>
      </c>
      <c r="C668" s="13" t="s">
        <v>30</v>
      </c>
      <c r="D668" s="40">
        <v>0</v>
      </c>
    </row>
    <row r="669" spans="1:4" ht="22.5" customHeight="1" x14ac:dyDescent="0.15">
      <c r="A669" s="16" t="s">
        <v>577</v>
      </c>
      <c r="B669" s="12" t="s">
        <v>1866</v>
      </c>
      <c r="C669" s="13" t="s">
        <v>18</v>
      </c>
      <c r="D669" s="40">
        <v>0</v>
      </c>
    </row>
    <row r="670" spans="1:4" ht="22.5" customHeight="1" x14ac:dyDescent="0.15">
      <c r="A670" s="16" t="s">
        <v>588</v>
      </c>
      <c r="B670" s="12" t="s">
        <v>1867</v>
      </c>
      <c r="C670" s="13" t="s">
        <v>30</v>
      </c>
      <c r="D670" s="40">
        <v>0</v>
      </c>
    </row>
    <row r="671" spans="1:4" ht="22.5" customHeight="1" x14ac:dyDescent="0.15">
      <c r="A671" s="16" t="s">
        <v>594</v>
      </c>
      <c r="B671" s="12" t="s">
        <v>1868</v>
      </c>
      <c r="C671" s="13" t="s">
        <v>88</v>
      </c>
      <c r="D671" s="40">
        <v>0</v>
      </c>
    </row>
    <row r="672" spans="1:4" ht="22.5" customHeight="1" x14ac:dyDescent="0.15">
      <c r="A672" s="16" t="s">
        <v>597</v>
      </c>
      <c r="B672" s="12" t="s">
        <v>1869</v>
      </c>
      <c r="C672" s="13" t="s">
        <v>115</v>
      </c>
      <c r="D672" s="40">
        <v>0</v>
      </c>
    </row>
    <row r="673" spans="1:4" ht="22.5" customHeight="1" x14ac:dyDescent="0.15">
      <c r="A673" s="16" t="s">
        <v>597</v>
      </c>
      <c r="B673" s="12" t="s">
        <v>1870</v>
      </c>
      <c r="C673" s="13" t="s">
        <v>30</v>
      </c>
      <c r="D673" s="40">
        <v>0</v>
      </c>
    </row>
    <row r="674" spans="1:4" ht="22.5" customHeight="1" x14ac:dyDescent="0.15">
      <c r="A674" s="16" t="s">
        <v>597</v>
      </c>
      <c r="B674" s="12" t="s">
        <v>1871</v>
      </c>
      <c r="C674" s="13" t="s">
        <v>30</v>
      </c>
      <c r="D674" s="40">
        <v>0</v>
      </c>
    </row>
    <row r="675" spans="1:4" ht="22.5" customHeight="1" x14ac:dyDescent="0.15">
      <c r="A675" s="16" t="s">
        <v>1410</v>
      </c>
      <c r="B675" s="12" t="s">
        <v>1872</v>
      </c>
      <c r="C675" s="13" t="s">
        <v>18</v>
      </c>
      <c r="D675" s="40">
        <v>0</v>
      </c>
    </row>
    <row r="676" spans="1:4" ht="22.5" customHeight="1" x14ac:dyDescent="0.15">
      <c r="A676" s="16" t="s">
        <v>351</v>
      </c>
      <c r="B676" s="12" t="s">
        <v>1873</v>
      </c>
      <c r="C676" s="13" t="s">
        <v>136</v>
      </c>
      <c r="D676" s="40">
        <v>0</v>
      </c>
    </row>
    <row r="677" spans="1:4" ht="22.5" customHeight="1" x14ac:dyDescent="0.15">
      <c r="A677" s="16" t="s">
        <v>94</v>
      </c>
      <c r="B677" s="12" t="s">
        <v>1874</v>
      </c>
      <c r="C677" s="13" t="s">
        <v>18</v>
      </c>
      <c r="D677" s="40">
        <v>0</v>
      </c>
    </row>
    <row r="678" spans="1:4" ht="22.5" customHeight="1" x14ac:dyDescent="0.15">
      <c r="A678" s="16" t="s">
        <v>1300</v>
      </c>
      <c r="B678" s="12" t="s">
        <v>1875</v>
      </c>
      <c r="C678" s="13" t="s">
        <v>136</v>
      </c>
      <c r="D678" s="40">
        <v>0</v>
      </c>
    </row>
    <row r="679" spans="1:4" ht="22.5" customHeight="1" x14ac:dyDescent="0.15">
      <c r="A679" s="16" t="s">
        <v>129</v>
      </c>
      <c r="B679" s="12" t="s">
        <v>1876</v>
      </c>
      <c r="C679" s="13" t="s">
        <v>219</v>
      </c>
      <c r="D679" s="40">
        <v>0</v>
      </c>
    </row>
    <row r="680" spans="1:4" ht="22.5" customHeight="1" x14ac:dyDescent="0.15">
      <c r="A680" s="16" t="s">
        <v>142</v>
      </c>
      <c r="B680" s="12" t="s">
        <v>1877</v>
      </c>
      <c r="C680" s="13" t="s">
        <v>88</v>
      </c>
      <c r="D680" s="40">
        <v>0</v>
      </c>
    </row>
    <row r="681" spans="1:4" ht="22.5" customHeight="1" x14ac:dyDescent="0.15">
      <c r="A681" s="16" t="s">
        <v>950</v>
      </c>
      <c r="B681" s="12" t="s">
        <v>1878</v>
      </c>
      <c r="C681" s="13" t="s">
        <v>88</v>
      </c>
      <c r="D681" s="40">
        <v>0</v>
      </c>
    </row>
    <row r="682" spans="1:4" ht="22.5" customHeight="1" x14ac:dyDescent="0.15">
      <c r="A682" s="16" t="s">
        <v>577</v>
      </c>
      <c r="B682" s="12" t="s">
        <v>1879</v>
      </c>
      <c r="C682" s="13" t="s">
        <v>23</v>
      </c>
      <c r="D682" s="40">
        <v>0</v>
      </c>
    </row>
    <row r="683" spans="1:4" ht="22.5" customHeight="1" x14ac:dyDescent="0.15">
      <c r="A683" s="16" t="s">
        <v>15</v>
      </c>
      <c r="B683" s="12" t="s">
        <v>1880</v>
      </c>
      <c r="C683" s="13" t="s">
        <v>18</v>
      </c>
      <c r="D683" s="40">
        <v>0</v>
      </c>
    </row>
    <row r="684" spans="1:4" ht="22.5" customHeight="1" x14ac:dyDescent="0.15">
      <c r="A684" s="16" t="s">
        <v>160</v>
      </c>
      <c r="B684" s="12" t="s">
        <v>1881</v>
      </c>
      <c r="C684" s="13" t="s">
        <v>18</v>
      </c>
      <c r="D684" s="40">
        <v>0</v>
      </c>
    </row>
    <row r="685" spans="1:4" ht="22.5" customHeight="1" x14ac:dyDescent="0.15">
      <c r="A685" s="16" t="s">
        <v>827</v>
      </c>
      <c r="B685" s="12" t="s">
        <v>1883</v>
      </c>
      <c r="C685" s="13" t="s">
        <v>30</v>
      </c>
      <c r="D685" s="40">
        <v>0</v>
      </c>
    </row>
    <row r="686" spans="1:4" ht="22.5" customHeight="1" x14ac:dyDescent="0.15">
      <c r="A686" s="16" t="s">
        <v>157</v>
      </c>
      <c r="B686" s="12" t="s">
        <v>1884</v>
      </c>
      <c r="C686" s="13" t="s">
        <v>30</v>
      </c>
      <c r="D686" s="40">
        <v>0</v>
      </c>
    </row>
    <row r="687" spans="1:4" ht="22.5" customHeight="1" x14ac:dyDescent="0.15">
      <c r="A687" s="16" t="s">
        <v>1888</v>
      </c>
      <c r="B687" s="12" t="s">
        <v>1889</v>
      </c>
      <c r="C687" s="13" t="s">
        <v>136</v>
      </c>
      <c r="D687" s="40">
        <v>0</v>
      </c>
    </row>
    <row r="688" spans="1:4" ht="22.5" customHeight="1" x14ac:dyDescent="0.15">
      <c r="A688" s="16" t="s">
        <v>832</v>
      </c>
      <c r="B688" s="12" t="s">
        <v>1890</v>
      </c>
      <c r="C688" s="13" t="s">
        <v>18</v>
      </c>
      <c r="D688" s="40">
        <v>0</v>
      </c>
    </row>
    <row r="689" spans="1:4" ht="22.5" customHeight="1" x14ac:dyDescent="0.15">
      <c r="A689" s="16" t="s">
        <v>832</v>
      </c>
      <c r="B689" s="12" t="s">
        <v>1891</v>
      </c>
      <c r="C689" s="13" t="s">
        <v>18</v>
      </c>
      <c r="D689" s="40">
        <v>0</v>
      </c>
    </row>
    <row r="690" spans="1:4" ht="22.5" customHeight="1" x14ac:dyDescent="0.15">
      <c r="A690" s="16" t="s">
        <v>832</v>
      </c>
      <c r="B690" s="12" t="s">
        <v>1892</v>
      </c>
      <c r="C690" s="13" t="s">
        <v>18</v>
      </c>
      <c r="D690" s="40">
        <v>0</v>
      </c>
    </row>
    <row r="691" spans="1:4" ht="22.5" customHeight="1" x14ac:dyDescent="0.15">
      <c r="A691" s="16" t="s">
        <v>853</v>
      </c>
      <c r="B691" s="12" t="s">
        <v>1893</v>
      </c>
      <c r="C691" s="13" t="s">
        <v>342</v>
      </c>
      <c r="D691" s="40">
        <v>0</v>
      </c>
    </row>
    <row r="692" spans="1:4" ht="22.5" customHeight="1" x14ac:dyDescent="0.15">
      <c r="A692" s="16" t="s">
        <v>1477</v>
      </c>
      <c r="B692" s="12" t="s">
        <v>1894</v>
      </c>
      <c r="C692" s="13" t="s">
        <v>88</v>
      </c>
      <c r="D692" s="40">
        <v>0</v>
      </c>
    </row>
    <row r="693" spans="1:4" ht="22.5" customHeight="1" x14ac:dyDescent="0.15">
      <c r="A693" s="16" t="s">
        <v>249</v>
      </c>
      <c r="B693" s="12" t="s">
        <v>1895</v>
      </c>
      <c r="C693" s="13" t="s">
        <v>30</v>
      </c>
      <c r="D693" s="40">
        <v>0</v>
      </c>
    </row>
    <row r="694" spans="1:4" ht="22.5" customHeight="1" x14ac:dyDescent="0.15">
      <c r="A694" s="16" t="s">
        <v>339</v>
      </c>
      <c r="B694" s="12" t="s">
        <v>1896</v>
      </c>
      <c r="C694" s="13" t="s">
        <v>342</v>
      </c>
      <c r="D694" s="40">
        <v>0</v>
      </c>
    </row>
    <row r="695" spans="1:4" ht="22.5" customHeight="1" x14ac:dyDescent="0.15">
      <c r="A695" s="16" t="s">
        <v>359</v>
      </c>
      <c r="B695" s="12" t="s">
        <v>1897</v>
      </c>
      <c r="C695" s="13" t="s">
        <v>30</v>
      </c>
      <c r="D695" s="40">
        <v>0</v>
      </c>
    </row>
    <row r="696" spans="1:4" ht="22.5" customHeight="1" x14ac:dyDescent="0.15">
      <c r="A696" s="16" t="s">
        <v>384</v>
      </c>
      <c r="B696" s="12" t="s">
        <v>1898</v>
      </c>
      <c r="C696" s="13" t="s">
        <v>30</v>
      </c>
      <c r="D696" s="40">
        <v>0</v>
      </c>
    </row>
    <row r="697" spans="1:4" ht="22.5" customHeight="1" x14ac:dyDescent="0.15">
      <c r="A697" s="16" t="s">
        <v>384</v>
      </c>
      <c r="B697" s="12" t="s">
        <v>1899</v>
      </c>
      <c r="C697" s="13" t="s">
        <v>30</v>
      </c>
      <c r="D697" s="40">
        <v>0</v>
      </c>
    </row>
    <row r="698" spans="1:4" ht="22.5" customHeight="1" x14ac:dyDescent="0.15">
      <c r="A698" s="16" t="s">
        <v>384</v>
      </c>
      <c r="B698" s="12" t="s">
        <v>1900</v>
      </c>
      <c r="C698" s="13" t="s">
        <v>30</v>
      </c>
      <c r="D698" s="40">
        <v>0</v>
      </c>
    </row>
    <row r="699" spans="1:4" ht="22.5" customHeight="1" x14ac:dyDescent="0.15">
      <c r="A699" s="16" t="s">
        <v>399</v>
      </c>
      <c r="B699" s="12" t="s">
        <v>1895</v>
      </c>
      <c r="C699" s="13" t="s">
        <v>30</v>
      </c>
      <c r="D699" s="40">
        <v>0</v>
      </c>
    </row>
    <row r="700" spans="1:4" ht="22.5" customHeight="1" x14ac:dyDescent="0.15">
      <c r="A700" s="16" t="s">
        <v>1127</v>
      </c>
      <c r="B700" s="12" t="s">
        <v>1901</v>
      </c>
      <c r="C700" s="13" t="s">
        <v>88</v>
      </c>
      <c r="D700" s="40">
        <v>0</v>
      </c>
    </row>
    <row r="701" spans="1:4" ht="22.5" customHeight="1" x14ac:dyDescent="0.15">
      <c r="A701" s="16" t="s">
        <v>57</v>
      </c>
      <c r="B701" s="12" t="s">
        <v>1902</v>
      </c>
      <c r="C701" s="13" t="s">
        <v>12</v>
      </c>
      <c r="D701" s="40">
        <v>0</v>
      </c>
    </row>
    <row r="702" spans="1:4" ht="22.5" customHeight="1" x14ac:dyDescent="0.15">
      <c r="A702" s="16" t="s">
        <v>497</v>
      </c>
      <c r="B702" s="12" t="s">
        <v>1903</v>
      </c>
      <c r="C702" s="13" t="s">
        <v>18</v>
      </c>
      <c r="D702" s="40">
        <v>0</v>
      </c>
    </row>
    <row r="703" spans="1:4" ht="22.5" customHeight="1" x14ac:dyDescent="0.15">
      <c r="A703" s="16" t="s">
        <v>617</v>
      </c>
      <c r="B703" s="12" t="s">
        <v>1904</v>
      </c>
      <c r="C703" s="13" t="s">
        <v>30</v>
      </c>
      <c r="D703" s="40">
        <v>0</v>
      </c>
    </row>
    <row r="704" spans="1:4" ht="22.5" customHeight="1" x14ac:dyDescent="0.15">
      <c r="A704" s="16" t="s">
        <v>1234</v>
      </c>
      <c r="B704" s="12" t="s">
        <v>1905</v>
      </c>
      <c r="C704" s="13" t="s">
        <v>30</v>
      </c>
      <c r="D704" s="40">
        <v>0</v>
      </c>
    </row>
    <row r="705" spans="1:4" ht="22.5" customHeight="1" x14ac:dyDescent="0.15">
      <c r="A705" s="16" t="s">
        <v>553</v>
      </c>
      <c r="B705" s="12" t="s">
        <v>1906</v>
      </c>
      <c r="C705" s="13" t="s">
        <v>30</v>
      </c>
      <c r="D705" s="40">
        <v>0</v>
      </c>
    </row>
    <row r="706" spans="1:4" ht="22.5" customHeight="1" x14ac:dyDescent="0.15">
      <c r="A706" s="16" t="s">
        <v>129</v>
      </c>
      <c r="B706" s="12" t="s">
        <v>1907</v>
      </c>
      <c r="C706" s="13" t="s">
        <v>219</v>
      </c>
      <c r="D706" s="40">
        <v>0</v>
      </c>
    </row>
    <row r="707" spans="1:4" ht="22.5" customHeight="1" x14ac:dyDescent="0.15">
      <c r="A707" s="16" t="s">
        <v>869</v>
      </c>
      <c r="B707" s="12" t="s">
        <v>1908</v>
      </c>
      <c r="C707" s="13" t="s">
        <v>30</v>
      </c>
      <c r="D707" s="40">
        <v>0</v>
      </c>
    </row>
    <row r="708" spans="1:4" ht="22.5" customHeight="1" x14ac:dyDescent="0.15">
      <c r="A708" s="16" t="s">
        <v>1103</v>
      </c>
      <c r="B708" s="12" t="s">
        <v>1908</v>
      </c>
      <c r="C708" s="13" t="s">
        <v>30</v>
      </c>
      <c r="D708" s="40">
        <v>0</v>
      </c>
    </row>
    <row r="709" spans="1:4" ht="22.5" customHeight="1" x14ac:dyDescent="0.15">
      <c r="A709" s="16" t="s">
        <v>45</v>
      </c>
      <c r="B709" s="12" t="s">
        <v>1909</v>
      </c>
      <c r="C709" s="13" t="s">
        <v>18</v>
      </c>
      <c r="D709" s="40">
        <v>0</v>
      </c>
    </row>
    <row r="710" spans="1:4" ht="22.5" customHeight="1" x14ac:dyDescent="0.15">
      <c r="A710" s="16" t="s">
        <v>476</v>
      </c>
      <c r="B710" s="12" t="s">
        <v>1910</v>
      </c>
      <c r="C710" s="13" t="s">
        <v>115</v>
      </c>
      <c r="D710" s="40">
        <v>0</v>
      </c>
    </row>
    <row r="711" spans="1:4" ht="22.5" customHeight="1" x14ac:dyDescent="0.15">
      <c r="A711" s="16" t="s">
        <v>359</v>
      </c>
      <c r="B711" s="12" t="s">
        <v>1911</v>
      </c>
      <c r="C711" s="13" t="s">
        <v>115</v>
      </c>
      <c r="D711" s="40">
        <v>0</v>
      </c>
    </row>
    <row r="712" spans="1:4" ht="22.5" customHeight="1" x14ac:dyDescent="0.15">
      <c r="A712" s="16" t="s">
        <v>658</v>
      </c>
      <c r="B712" s="12" t="s">
        <v>1912</v>
      </c>
      <c r="C712" s="13" t="s">
        <v>18</v>
      </c>
      <c r="D712" s="40">
        <v>0</v>
      </c>
    </row>
    <row r="713" spans="1:4" ht="22.5" customHeight="1" x14ac:dyDescent="0.15">
      <c r="A713" s="16" t="s">
        <v>70</v>
      </c>
      <c r="B713" s="12" t="s">
        <v>1913</v>
      </c>
      <c r="C713" s="13" t="s">
        <v>83</v>
      </c>
      <c r="D713" s="40">
        <v>0</v>
      </c>
    </row>
    <row r="714" spans="1:4" ht="22.5" customHeight="1" x14ac:dyDescent="0.15">
      <c r="A714" s="16" t="s">
        <v>70</v>
      </c>
      <c r="B714" s="12" t="s">
        <v>1915</v>
      </c>
      <c r="C714" s="13" t="s">
        <v>30</v>
      </c>
      <c r="D714" s="40">
        <v>0</v>
      </c>
    </row>
    <row r="715" spans="1:4" ht="22.5" customHeight="1" x14ac:dyDescent="0.15">
      <c r="A715" s="16" t="s">
        <v>70</v>
      </c>
      <c r="B715" s="12" t="s">
        <v>1916</v>
      </c>
      <c r="C715" s="13" t="s">
        <v>30</v>
      </c>
      <c r="D715" s="40">
        <v>0</v>
      </c>
    </row>
    <row r="716" spans="1:4" ht="22.5" customHeight="1" x14ac:dyDescent="0.15">
      <c r="A716" s="16" t="s">
        <v>70</v>
      </c>
      <c r="B716" s="12" t="s">
        <v>1917</v>
      </c>
      <c r="C716" s="13" t="s">
        <v>136</v>
      </c>
      <c r="D716" s="40">
        <v>0</v>
      </c>
    </row>
    <row r="717" spans="1:4" ht="22.5" customHeight="1" x14ac:dyDescent="0.15">
      <c r="A717" s="16" t="s">
        <v>70</v>
      </c>
      <c r="B717" s="12" t="s">
        <v>1918</v>
      </c>
      <c r="C717" s="13" t="s">
        <v>18</v>
      </c>
      <c r="D717" s="40">
        <v>0</v>
      </c>
    </row>
    <row r="718" spans="1:4" ht="22.5" customHeight="1" x14ac:dyDescent="0.15">
      <c r="A718" s="16" t="s">
        <v>70</v>
      </c>
      <c r="B718" s="12" t="s">
        <v>1919</v>
      </c>
      <c r="C718" s="13" t="s">
        <v>18</v>
      </c>
      <c r="D718" s="40">
        <v>0</v>
      </c>
    </row>
    <row r="719" spans="1:4" ht="22.5" customHeight="1" x14ac:dyDescent="0.15">
      <c r="A719" s="16" t="s">
        <v>70</v>
      </c>
      <c r="B719" s="12" t="s">
        <v>1913</v>
      </c>
      <c r="C719" s="13" t="s">
        <v>83</v>
      </c>
      <c r="D719" s="40">
        <v>0</v>
      </c>
    </row>
    <row r="720" spans="1:4" ht="22.5" customHeight="1" x14ac:dyDescent="0.15">
      <c r="A720" s="16" t="s">
        <v>70</v>
      </c>
      <c r="B720" s="12" t="s">
        <v>1915</v>
      </c>
      <c r="C720" s="13" t="s">
        <v>30</v>
      </c>
      <c r="D720" s="40">
        <v>0</v>
      </c>
    </row>
    <row r="721" spans="1:4" ht="22.5" customHeight="1" x14ac:dyDescent="0.15">
      <c r="A721" s="16" t="s">
        <v>70</v>
      </c>
      <c r="B721" s="12" t="s">
        <v>1916</v>
      </c>
      <c r="C721" s="13" t="s">
        <v>30</v>
      </c>
      <c r="D721" s="40">
        <v>0</v>
      </c>
    </row>
    <row r="722" spans="1:4" ht="22.5" customHeight="1" x14ac:dyDescent="0.15">
      <c r="A722" s="16" t="s">
        <v>70</v>
      </c>
      <c r="B722" s="12" t="s">
        <v>1920</v>
      </c>
      <c r="C722" s="13" t="s">
        <v>83</v>
      </c>
      <c r="D722" s="40">
        <v>0</v>
      </c>
    </row>
    <row r="723" spans="1:4" ht="22.5" customHeight="1" x14ac:dyDescent="0.15">
      <c r="A723" s="16" t="s">
        <v>70</v>
      </c>
      <c r="B723" s="12" t="s">
        <v>1921</v>
      </c>
      <c r="C723" s="13" t="s">
        <v>83</v>
      </c>
      <c r="D723" s="40">
        <v>0</v>
      </c>
    </row>
    <row r="724" spans="1:4" ht="22.5" customHeight="1" x14ac:dyDescent="0.15">
      <c r="A724" s="16" t="s">
        <v>70</v>
      </c>
      <c r="B724" s="12" t="s">
        <v>1922</v>
      </c>
      <c r="C724" s="13" t="s">
        <v>12</v>
      </c>
      <c r="D724" s="40">
        <v>0</v>
      </c>
    </row>
    <row r="725" spans="1:4" ht="22.5" customHeight="1" x14ac:dyDescent="0.15">
      <c r="A725" s="16" t="s">
        <v>1925</v>
      </c>
      <c r="B725" s="12" t="s">
        <v>1926</v>
      </c>
      <c r="C725" s="13" t="s">
        <v>12</v>
      </c>
      <c r="D725" s="40">
        <v>0</v>
      </c>
    </row>
    <row r="726" spans="1:4" ht="22.5" customHeight="1" x14ac:dyDescent="0.15">
      <c r="A726" s="16" t="s">
        <v>120</v>
      </c>
      <c r="B726" s="12" t="s">
        <v>1927</v>
      </c>
      <c r="C726" s="13" t="s">
        <v>18</v>
      </c>
      <c r="D726" s="40">
        <v>0</v>
      </c>
    </row>
    <row r="727" spans="1:4" ht="22.5" customHeight="1" x14ac:dyDescent="0.15">
      <c r="A727" s="16" t="s">
        <v>120</v>
      </c>
      <c r="B727" s="12" t="s">
        <v>1928</v>
      </c>
      <c r="C727" s="13" t="s">
        <v>23</v>
      </c>
      <c r="D727" s="40">
        <v>0</v>
      </c>
    </row>
    <row r="728" spans="1:4" ht="22.5" customHeight="1" x14ac:dyDescent="0.15">
      <c r="A728" s="16" t="s">
        <v>1404</v>
      </c>
      <c r="B728" s="12" t="s">
        <v>1929</v>
      </c>
      <c r="C728" s="13" t="s">
        <v>30</v>
      </c>
      <c r="D728" s="40">
        <v>0</v>
      </c>
    </row>
    <row r="729" spans="1:4" ht="22.5" customHeight="1" x14ac:dyDescent="0.15">
      <c r="A729" s="16" t="s">
        <v>1404</v>
      </c>
      <c r="B729" s="12" t="s">
        <v>1930</v>
      </c>
      <c r="C729" s="13" t="s">
        <v>83</v>
      </c>
      <c r="D729" s="40">
        <v>0</v>
      </c>
    </row>
    <row r="730" spans="1:4" ht="22.5" customHeight="1" x14ac:dyDescent="0.15">
      <c r="A730" s="16" t="s">
        <v>725</v>
      </c>
      <c r="B730" s="12" t="s">
        <v>1931</v>
      </c>
      <c r="C730" s="13" t="s">
        <v>136</v>
      </c>
      <c r="D730" s="40">
        <v>0</v>
      </c>
    </row>
    <row r="731" spans="1:4" ht="22.5" customHeight="1" x14ac:dyDescent="0.15">
      <c r="A731" s="16" t="s">
        <v>1933</v>
      </c>
      <c r="B731" s="12" t="s">
        <v>1934</v>
      </c>
      <c r="C731" s="13" t="s">
        <v>23</v>
      </c>
      <c r="D731" s="40">
        <v>0</v>
      </c>
    </row>
    <row r="732" spans="1:4" ht="22.5" customHeight="1" x14ac:dyDescent="0.15">
      <c r="A732" s="16" t="s">
        <v>1933</v>
      </c>
      <c r="B732" s="12" t="s">
        <v>1935</v>
      </c>
      <c r="C732" s="13" t="s">
        <v>18</v>
      </c>
      <c r="D732" s="40">
        <v>0</v>
      </c>
    </row>
    <row r="733" spans="1:4" ht="22.5" customHeight="1" x14ac:dyDescent="0.15">
      <c r="A733" s="16" t="s">
        <v>1933</v>
      </c>
      <c r="B733" s="12" t="s">
        <v>1936</v>
      </c>
      <c r="C733" s="13" t="s">
        <v>12</v>
      </c>
      <c r="D733" s="40">
        <v>0</v>
      </c>
    </row>
    <row r="734" spans="1:4" ht="22.5" customHeight="1" x14ac:dyDescent="0.15">
      <c r="A734" s="16" t="s">
        <v>621</v>
      </c>
      <c r="B734" s="12" t="s">
        <v>1937</v>
      </c>
      <c r="C734" s="13" t="s">
        <v>83</v>
      </c>
      <c r="D734" s="40">
        <v>0</v>
      </c>
    </row>
    <row r="735" spans="1:4" ht="22.5" customHeight="1" x14ac:dyDescent="0.15">
      <c r="A735" s="16" t="s">
        <v>621</v>
      </c>
      <c r="B735" s="12" t="s">
        <v>1938</v>
      </c>
      <c r="C735" s="13" t="s">
        <v>30</v>
      </c>
      <c r="D735" s="40">
        <v>0</v>
      </c>
    </row>
    <row r="736" spans="1:4" ht="22.5" customHeight="1" x14ac:dyDescent="0.15">
      <c r="A736" s="16" t="s">
        <v>621</v>
      </c>
      <c r="B736" s="12" t="s">
        <v>1939</v>
      </c>
      <c r="C736" s="13" t="s">
        <v>30</v>
      </c>
      <c r="D736" s="40">
        <v>0</v>
      </c>
    </row>
    <row r="737" spans="1:4" ht="22.5" customHeight="1" x14ac:dyDescent="0.15">
      <c r="A737" s="16" t="s">
        <v>125</v>
      </c>
      <c r="B737" s="12" t="s">
        <v>1940</v>
      </c>
      <c r="C737" s="13" t="s">
        <v>30</v>
      </c>
      <c r="D737" s="40">
        <v>0</v>
      </c>
    </row>
    <row r="738" spans="1:4" ht="22.5" customHeight="1" x14ac:dyDescent="0.15">
      <c r="A738" s="16" t="s">
        <v>129</v>
      </c>
      <c r="B738" s="12" t="s">
        <v>1941</v>
      </c>
      <c r="C738" s="13" t="s">
        <v>30</v>
      </c>
      <c r="D738" s="40">
        <v>0</v>
      </c>
    </row>
    <row r="739" spans="1:4" ht="22.5" customHeight="1" x14ac:dyDescent="0.15">
      <c r="A739" s="16" t="s">
        <v>129</v>
      </c>
      <c r="B739" s="12" t="s">
        <v>1942</v>
      </c>
      <c r="C739" s="13" t="s">
        <v>30</v>
      </c>
      <c r="D739" s="40">
        <v>0</v>
      </c>
    </row>
    <row r="740" spans="1:4" ht="22.5" customHeight="1" x14ac:dyDescent="0.15">
      <c r="A740" s="16" t="s">
        <v>129</v>
      </c>
      <c r="B740" s="12" t="s">
        <v>1943</v>
      </c>
      <c r="C740" s="13" t="s">
        <v>30</v>
      </c>
      <c r="D740" s="40">
        <v>0</v>
      </c>
    </row>
    <row r="741" spans="1:4" ht="22.5" customHeight="1" x14ac:dyDescent="0.15">
      <c r="A741" s="16" t="s">
        <v>129</v>
      </c>
      <c r="B741" s="12" t="s">
        <v>1944</v>
      </c>
      <c r="C741" s="13" t="s">
        <v>30</v>
      </c>
      <c r="D741" s="40">
        <v>0</v>
      </c>
    </row>
    <row r="742" spans="1:4" ht="22.5" customHeight="1" x14ac:dyDescent="0.15">
      <c r="A742" s="16" t="s">
        <v>129</v>
      </c>
      <c r="B742" s="12" t="s">
        <v>1945</v>
      </c>
      <c r="C742" s="13" t="s">
        <v>342</v>
      </c>
      <c r="D742" s="40">
        <v>0</v>
      </c>
    </row>
    <row r="743" spans="1:4" ht="22.5" customHeight="1" x14ac:dyDescent="0.15">
      <c r="A743" s="16" t="s">
        <v>1410</v>
      </c>
      <c r="B743" s="12" t="s">
        <v>1946</v>
      </c>
      <c r="C743" s="13" t="s">
        <v>88</v>
      </c>
      <c r="D743" s="40">
        <v>0</v>
      </c>
    </row>
    <row r="744" spans="1:4" ht="22.5" customHeight="1" x14ac:dyDescent="0.15">
      <c r="A744" s="16" t="s">
        <v>1410</v>
      </c>
      <c r="B744" s="12" t="s">
        <v>1947</v>
      </c>
      <c r="C744" s="13" t="s">
        <v>18</v>
      </c>
      <c r="D744" s="40">
        <v>0</v>
      </c>
    </row>
    <row r="745" spans="1:4" ht="22.5" customHeight="1" x14ac:dyDescent="0.15">
      <c r="A745" s="16" t="s">
        <v>1410</v>
      </c>
      <c r="B745" s="12" t="s">
        <v>1948</v>
      </c>
      <c r="C745" s="13" t="s">
        <v>18</v>
      </c>
      <c r="D745" s="40">
        <v>0</v>
      </c>
    </row>
    <row r="746" spans="1:4" ht="22.5" customHeight="1" x14ac:dyDescent="0.15">
      <c r="A746" s="16" t="s">
        <v>1410</v>
      </c>
      <c r="B746" s="12" t="s">
        <v>1949</v>
      </c>
      <c r="C746" s="13" t="s">
        <v>23</v>
      </c>
      <c r="D746" s="40">
        <v>0</v>
      </c>
    </row>
    <row r="747" spans="1:4" ht="22.5" customHeight="1" x14ac:dyDescent="0.15">
      <c r="A747" s="16" t="s">
        <v>133</v>
      </c>
      <c r="B747" s="12" t="s">
        <v>1950</v>
      </c>
      <c r="C747" s="13" t="s">
        <v>23</v>
      </c>
      <c r="D747" s="40">
        <v>0</v>
      </c>
    </row>
    <row r="748" spans="1:4" ht="22.5" customHeight="1" x14ac:dyDescent="0.15">
      <c r="A748" s="16" t="s">
        <v>133</v>
      </c>
      <c r="B748" s="12" t="s">
        <v>1951</v>
      </c>
      <c r="C748" s="13" t="s">
        <v>136</v>
      </c>
      <c r="D748" s="40">
        <v>0</v>
      </c>
    </row>
    <row r="749" spans="1:4" ht="22.5" customHeight="1" x14ac:dyDescent="0.15">
      <c r="A749" s="16" t="s">
        <v>133</v>
      </c>
      <c r="B749" s="12" t="s">
        <v>1952</v>
      </c>
      <c r="C749" s="13" t="s">
        <v>83</v>
      </c>
      <c r="D749" s="40">
        <v>0</v>
      </c>
    </row>
    <row r="750" spans="1:4" ht="22.5" customHeight="1" x14ac:dyDescent="0.15">
      <c r="A750" s="16" t="s">
        <v>133</v>
      </c>
      <c r="B750" s="12" t="s">
        <v>1953</v>
      </c>
      <c r="C750" s="13" t="s">
        <v>136</v>
      </c>
      <c r="D750" s="40">
        <v>0</v>
      </c>
    </row>
    <row r="751" spans="1:4" ht="22.5" customHeight="1" x14ac:dyDescent="0.15">
      <c r="A751" s="16" t="s">
        <v>133</v>
      </c>
      <c r="B751" s="12" t="s">
        <v>1954</v>
      </c>
      <c r="C751" s="13" t="s">
        <v>18</v>
      </c>
      <c r="D751" s="40">
        <v>0</v>
      </c>
    </row>
    <row r="752" spans="1:4" ht="22.5" customHeight="1" x14ac:dyDescent="0.15">
      <c r="A752" s="16" t="s">
        <v>133</v>
      </c>
      <c r="B752" s="12" t="s">
        <v>1955</v>
      </c>
      <c r="C752" s="13" t="s">
        <v>18</v>
      </c>
      <c r="D752" s="40">
        <v>0</v>
      </c>
    </row>
    <row r="753" spans="1:4" ht="22.5" customHeight="1" x14ac:dyDescent="0.15">
      <c r="A753" s="16" t="s">
        <v>133</v>
      </c>
      <c r="B753" s="12" t="s">
        <v>1956</v>
      </c>
      <c r="C753" s="13" t="s">
        <v>30</v>
      </c>
      <c r="D753" s="40">
        <v>0</v>
      </c>
    </row>
    <row r="754" spans="1:4" ht="22.5" customHeight="1" x14ac:dyDescent="0.15">
      <c r="A754" s="16" t="s">
        <v>142</v>
      </c>
      <c r="B754" s="12" t="s">
        <v>1957</v>
      </c>
      <c r="C754" s="13" t="s">
        <v>18</v>
      </c>
      <c r="D754" s="40">
        <v>0</v>
      </c>
    </row>
    <row r="755" spans="1:4" ht="22.5" customHeight="1" x14ac:dyDescent="0.15">
      <c r="A755" s="16" t="s">
        <v>142</v>
      </c>
      <c r="B755" s="12" t="s">
        <v>1958</v>
      </c>
      <c r="C755" s="13" t="s">
        <v>18</v>
      </c>
      <c r="D755" s="40">
        <v>0</v>
      </c>
    </row>
    <row r="756" spans="1:4" ht="22.5" customHeight="1" x14ac:dyDescent="0.15">
      <c r="A756" s="16" t="s">
        <v>142</v>
      </c>
      <c r="B756" s="12" t="s">
        <v>1959</v>
      </c>
      <c r="C756" s="13" t="s">
        <v>18</v>
      </c>
      <c r="D756" s="40">
        <v>0</v>
      </c>
    </row>
    <row r="757" spans="1:4" ht="22.5" customHeight="1" x14ac:dyDescent="0.15">
      <c r="A757" s="16" t="s">
        <v>142</v>
      </c>
      <c r="B757" s="12" t="s">
        <v>1960</v>
      </c>
      <c r="C757" s="13" t="s">
        <v>18</v>
      </c>
      <c r="D757" s="40">
        <v>0</v>
      </c>
    </row>
    <row r="758" spans="1:4" ht="22.5" customHeight="1" x14ac:dyDescent="0.15">
      <c r="A758" s="16" t="s">
        <v>142</v>
      </c>
      <c r="B758" s="12" t="s">
        <v>1961</v>
      </c>
      <c r="C758" s="13" t="s">
        <v>30</v>
      </c>
      <c r="D758" s="40">
        <v>0</v>
      </c>
    </row>
    <row r="759" spans="1:4" ht="22.5" customHeight="1" x14ac:dyDescent="0.15">
      <c r="A759" s="16" t="s">
        <v>142</v>
      </c>
      <c r="B759" s="12" t="s">
        <v>1962</v>
      </c>
      <c r="C759" s="13" t="s">
        <v>88</v>
      </c>
      <c r="D759" s="40">
        <v>0</v>
      </c>
    </row>
    <row r="760" spans="1:4" ht="22.5" customHeight="1" x14ac:dyDescent="0.15">
      <c r="A760" s="16" t="s">
        <v>142</v>
      </c>
      <c r="B760" s="12" t="s">
        <v>1963</v>
      </c>
      <c r="C760" s="13" t="s">
        <v>88</v>
      </c>
      <c r="D760" s="40">
        <v>0</v>
      </c>
    </row>
    <row r="761" spans="1:4" ht="22.5" customHeight="1" x14ac:dyDescent="0.15">
      <c r="A761" s="16" t="s">
        <v>142</v>
      </c>
      <c r="B761" s="12" t="s">
        <v>1964</v>
      </c>
      <c r="C761" s="13" t="s">
        <v>88</v>
      </c>
      <c r="D761" s="40">
        <v>0</v>
      </c>
    </row>
    <row r="762" spans="1:4" ht="22.5" customHeight="1" x14ac:dyDescent="0.15">
      <c r="A762" s="16" t="s">
        <v>142</v>
      </c>
      <c r="B762" s="12" t="s">
        <v>1965</v>
      </c>
      <c r="C762" s="13" t="s">
        <v>88</v>
      </c>
      <c r="D762" s="40">
        <v>0</v>
      </c>
    </row>
    <row r="763" spans="1:4" ht="22.5" customHeight="1" x14ac:dyDescent="0.15">
      <c r="A763" s="16" t="s">
        <v>142</v>
      </c>
      <c r="B763" s="12" t="s">
        <v>1966</v>
      </c>
      <c r="C763" s="13" t="s">
        <v>88</v>
      </c>
      <c r="D763" s="40">
        <v>0</v>
      </c>
    </row>
    <row r="764" spans="1:4" ht="22.5" customHeight="1" x14ac:dyDescent="0.15">
      <c r="A764" s="16" t="s">
        <v>142</v>
      </c>
      <c r="B764" s="12" t="s">
        <v>1967</v>
      </c>
      <c r="C764" s="13" t="s">
        <v>88</v>
      </c>
      <c r="D764" s="40">
        <v>0</v>
      </c>
    </row>
    <row r="765" spans="1:4" ht="22.5" customHeight="1" x14ac:dyDescent="0.15">
      <c r="A765" s="16" t="s">
        <v>142</v>
      </c>
      <c r="B765" s="12" t="s">
        <v>1968</v>
      </c>
      <c r="C765" s="13" t="s">
        <v>30</v>
      </c>
      <c r="D765" s="40">
        <v>0</v>
      </c>
    </row>
    <row r="766" spans="1:4" ht="22.5" customHeight="1" x14ac:dyDescent="0.15">
      <c r="A766" s="16" t="s">
        <v>142</v>
      </c>
      <c r="B766" s="12" t="s">
        <v>1969</v>
      </c>
      <c r="C766" s="13" t="s">
        <v>30</v>
      </c>
      <c r="D766" s="40">
        <v>0</v>
      </c>
    </row>
    <row r="767" spans="1:4" ht="22.5" customHeight="1" x14ac:dyDescent="0.15">
      <c r="A767" s="16" t="s">
        <v>142</v>
      </c>
      <c r="B767" s="12" t="s">
        <v>1970</v>
      </c>
      <c r="C767" s="13" t="s">
        <v>30</v>
      </c>
      <c r="D767" s="40">
        <v>0</v>
      </c>
    </row>
    <row r="768" spans="1:4" ht="22.5" customHeight="1" x14ac:dyDescent="0.15">
      <c r="A768" s="16" t="s">
        <v>142</v>
      </c>
      <c r="B768" s="12" t="s">
        <v>1971</v>
      </c>
      <c r="C768" s="13" t="s">
        <v>30</v>
      </c>
      <c r="D768" s="40">
        <v>0</v>
      </c>
    </row>
    <row r="769" spans="1:4" ht="22.5" customHeight="1" x14ac:dyDescent="0.15">
      <c r="A769" s="16" t="s">
        <v>142</v>
      </c>
      <c r="B769" s="12" t="s">
        <v>1972</v>
      </c>
      <c r="C769" s="13" t="s">
        <v>88</v>
      </c>
      <c r="D769" s="40">
        <v>0</v>
      </c>
    </row>
    <row r="770" spans="1:4" ht="22.5" customHeight="1" x14ac:dyDescent="0.15">
      <c r="A770" s="16" t="s">
        <v>142</v>
      </c>
      <c r="B770" s="12" t="s">
        <v>1973</v>
      </c>
      <c r="C770" s="13" t="s">
        <v>342</v>
      </c>
      <c r="D770" s="40">
        <v>0</v>
      </c>
    </row>
    <row r="771" spans="1:4" ht="22.5" customHeight="1" x14ac:dyDescent="0.15">
      <c r="A771" s="16" t="s">
        <v>142</v>
      </c>
      <c r="B771" s="12" t="s">
        <v>1974</v>
      </c>
      <c r="C771" s="13" t="s">
        <v>12</v>
      </c>
      <c r="D771" s="40">
        <v>0</v>
      </c>
    </row>
    <row r="772" spans="1:4" ht="22.5" customHeight="1" x14ac:dyDescent="0.15">
      <c r="A772" s="16" t="s">
        <v>154</v>
      </c>
      <c r="B772" s="12" t="s">
        <v>1975</v>
      </c>
      <c r="C772" s="13" t="s">
        <v>18</v>
      </c>
      <c r="D772" s="40">
        <v>0</v>
      </c>
    </row>
    <row r="773" spans="1:4" ht="22.5" customHeight="1" x14ac:dyDescent="0.15">
      <c r="A773" s="16" t="s">
        <v>154</v>
      </c>
      <c r="B773" s="12" t="s">
        <v>1976</v>
      </c>
      <c r="C773" s="13" t="s">
        <v>12</v>
      </c>
      <c r="D773" s="40">
        <v>0</v>
      </c>
    </row>
    <row r="774" spans="1:4" ht="22.5" customHeight="1" x14ac:dyDescent="0.15">
      <c r="A774" s="16" t="s">
        <v>154</v>
      </c>
      <c r="B774" s="12" t="s">
        <v>1977</v>
      </c>
      <c r="C774" s="13" t="s">
        <v>88</v>
      </c>
      <c r="D774" s="40">
        <v>0</v>
      </c>
    </row>
    <row r="775" spans="1:4" ht="22.5" customHeight="1" x14ac:dyDescent="0.15">
      <c r="A775" s="16" t="s">
        <v>154</v>
      </c>
      <c r="B775" s="12" t="s">
        <v>1978</v>
      </c>
      <c r="C775" s="13" t="s">
        <v>88</v>
      </c>
      <c r="D775" s="40">
        <v>0</v>
      </c>
    </row>
    <row r="776" spans="1:4" ht="22.5" customHeight="1" x14ac:dyDescent="0.15">
      <c r="A776" s="16" t="s">
        <v>668</v>
      </c>
      <c r="B776" s="12" t="s">
        <v>1979</v>
      </c>
      <c r="C776" s="13" t="s">
        <v>88</v>
      </c>
      <c r="D776" s="40">
        <v>0</v>
      </c>
    </row>
    <row r="777" spans="1:4" ht="22.5" customHeight="1" x14ac:dyDescent="0.15">
      <c r="A777" s="16" t="s">
        <v>668</v>
      </c>
      <c r="B777" s="12" t="s">
        <v>1980</v>
      </c>
      <c r="C777" s="13" t="s">
        <v>136</v>
      </c>
      <c r="D777" s="40">
        <v>0</v>
      </c>
    </row>
    <row r="778" spans="1:4" ht="22.5" customHeight="1" x14ac:dyDescent="0.15">
      <c r="A778" s="16" t="s">
        <v>668</v>
      </c>
      <c r="B778" s="12" t="s">
        <v>1981</v>
      </c>
      <c r="C778" s="13" t="s">
        <v>12</v>
      </c>
      <c r="D778" s="40">
        <v>0</v>
      </c>
    </row>
    <row r="779" spans="1:4" ht="22.5" customHeight="1" x14ac:dyDescent="0.15">
      <c r="A779" s="16" t="s">
        <v>672</v>
      </c>
      <c r="B779" s="12" t="s">
        <v>1982</v>
      </c>
      <c r="C779" s="13" t="s">
        <v>12</v>
      </c>
      <c r="D779" s="40">
        <v>0</v>
      </c>
    </row>
    <row r="780" spans="1:4" ht="22.5" customHeight="1" x14ac:dyDescent="0.15">
      <c r="A780" s="16" t="s">
        <v>672</v>
      </c>
      <c r="B780" s="12" t="s">
        <v>1983</v>
      </c>
      <c r="C780" s="13" t="s">
        <v>12</v>
      </c>
      <c r="D780" s="40">
        <v>0</v>
      </c>
    </row>
    <row r="781" spans="1:4" ht="22.5" customHeight="1" x14ac:dyDescent="0.15">
      <c r="A781" s="16" t="s">
        <v>672</v>
      </c>
      <c r="B781" s="12" t="s">
        <v>1984</v>
      </c>
      <c r="C781" s="13" t="s">
        <v>23</v>
      </c>
      <c r="D781" s="40">
        <v>0</v>
      </c>
    </row>
    <row r="782" spans="1:4" ht="22.5" customHeight="1" x14ac:dyDescent="0.15">
      <c r="A782" s="16" t="s">
        <v>157</v>
      </c>
      <c r="B782" s="12" t="s">
        <v>1985</v>
      </c>
      <c r="C782" s="13" t="s">
        <v>12</v>
      </c>
      <c r="D782" s="40">
        <v>0</v>
      </c>
    </row>
    <row r="783" spans="1:4" ht="22.5" customHeight="1" x14ac:dyDescent="0.15">
      <c r="A783" s="16" t="s">
        <v>157</v>
      </c>
      <c r="B783" s="12" t="s">
        <v>1986</v>
      </c>
      <c r="C783" s="13" t="s">
        <v>12</v>
      </c>
      <c r="D783" s="40">
        <v>0</v>
      </c>
    </row>
    <row r="784" spans="1:4" ht="22.5" customHeight="1" x14ac:dyDescent="0.15">
      <c r="A784" s="16" t="s">
        <v>157</v>
      </c>
      <c r="B784" s="12" t="s">
        <v>1987</v>
      </c>
      <c r="C784" s="13" t="s">
        <v>30</v>
      </c>
      <c r="D784" s="40">
        <v>0</v>
      </c>
    </row>
    <row r="785" spans="1:4" ht="22.5" customHeight="1" x14ac:dyDescent="0.15">
      <c r="A785" s="16" t="s">
        <v>160</v>
      </c>
      <c r="B785" s="12" t="s">
        <v>1988</v>
      </c>
      <c r="C785" s="13" t="s">
        <v>136</v>
      </c>
      <c r="D785" s="40">
        <v>0</v>
      </c>
    </row>
    <row r="786" spans="1:4" ht="22.5" customHeight="1" x14ac:dyDescent="0.15">
      <c r="A786" s="16" t="s">
        <v>160</v>
      </c>
      <c r="B786" s="12" t="s">
        <v>1989</v>
      </c>
      <c r="C786" s="13" t="s">
        <v>30</v>
      </c>
      <c r="D786" s="40">
        <v>0</v>
      </c>
    </row>
    <row r="787" spans="1:4" ht="22.5" customHeight="1" x14ac:dyDescent="0.15">
      <c r="A787" s="16" t="s">
        <v>160</v>
      </c>
      <c r="B787" s="12" t="s">
        <v>1990</v>
      </c>
      <c r="C787" s="13" t="s">
        <v>30</v>
      </c>
      <c r="D787" s="40">
        <v>0</v>
      </c>
    </row>
    <row r="788" spans="1:4" ht="22.5" customHeight="1" x14ac:dyDescent="0.15">
      <c r="A788" s="16" t="s">
        <v>166</v>
      </c>
      <c r="B788" s="12" t="s">
        <v>1991</v>
      </c>
      <c r="C788" s="13" t="s">
        <v>30</v>
      </c>
      <c r="D788" s="40">
        <v>0</v>
      </c>
    </row>
    <row r="789" spans="1:4" ht="22.5" customHeight="1" x14ac:dyDescent="0.15">
      <c r="A789" s="16" t="s">
        <v>166</v>
      </c>
      <c r="B789" s="12" t="s">
        <v>1992</v>
      </c>
      <c r="C789" s="13" t="s">
        <v>219</v>
      </c>
      <c r="D789" s="40">
        <v>0</v>
      </c>
    </row>
    <row r="790" spans="1:4" ht="22.5" customHeight="1" x14ac:dyDescent="0.15">
      <c r="A790" s="16" t="s">
        <v>166</v>
      </c>
      <c r="B790" s="12" t="s">
        <v>1993</v>
      </c>
      <c r="C790" s="13" t="s">
        <v>115</v>
      </c>
      <c r="D790" s="40">
        <v>0</v>
      </c>
    </row>
    <row r="791" spans="1:4" ht="22.5" customHeight="1" x14ac:dyDescent="0.15">
      <c r="A791" s="16" t="s">
        <v>166</v>
      </c>
      <c r="B791" s="12" t="s">
        <v>1994</v>
      </c>
      <c r="C791" s="13" t="s">
        <v>30</v>
      </c>
      <c r="D791" s="40">
        <v>0</v>
      </c>
    </row>
    <row r="792" spans="1:4" ht="22.5" customHeight="1" x14ac:dyDescent="0.15">
      <c r="A792" s="16" t="s">
        <v>166</v>
      </c>
      <c r="B792" s="12" t="s">
        <v>1995</v>
      </c>
      <c r="C792" s="13" t="s">
        <v>30</v>
      </c>
      <c r="D792" s="40">
        <v>0</v>
      </c>
    </row>
    <row r="793" spans="1:4" ht="22.5" customHeight="1" x14ac:dyDescent="0.15">
      <c r="A793" s="16" t="s">
        <v>166</v>
      </c>
      <c r="B793" s="12" t="s">
        <v>1996</v>
      </c>
      <c r="C793" s="13" t="s">
        <v>30</v>
      </c>
      <c r="D793" s="40">
        <v>0</v>
      </c>
    </row>
    <row r="794" spans="1:4" ht="22.5" customHeight="1" x14ac:dyDescent="0.15">
      <c r="A794" s="16" t="s">
        <v>166</v>
      </c>
      <c r="B794" s="12" t="s">
        <v>1997</v>
      </c>
      <c r="C794" s="13" t="s">
        <v>30</v>
      </c>
      <c r="D794" s="40">
        <v>0</v>
      </c>
    </row>
    <row r="795" spans="1:4" ht="22.5" customHeight="1" x14ac:dyDescent="0.15">
      <c r="A795" s="16" t="s">
        <v>781</v>
      </c>
      <c r="B795" s="12" t="s">
        <v>1998</v>
      </c>
      <c r="C795" s="13" t="s">
        <v>136</v>
      </c>
      <c r="D795" s="40">
        <v>0</v>
      </c>
    </row>
    <row r="796" spans="1:4" ht="22.5" customHeight="1" x14ac:dyDescent="0.15">
      <c r="A796" s="16" t="s">
        <v>781</v>
      </c>
      <c r="B796" s="12" t="s">
        <v>1999</v>
      </c>
      <c r="C796" s="13" t="s">
        <v>30</v>
      </c>
      <c r="D796" s="40">
        <v>0</v>
      </c>
    </row>
    <row r="797" spans="1:4" ht="22.5" customHeight="1" x14ac:dyDescent="0.15">
      <c r="A797" s="16" t="s">
        <v>2002</v>
      </c>
      <c r="B797" s="12" t="s">
        <v>2003</v>
      </c>
      <c r="C797" s="13" t="s">
        <v>30</v>
      </c>
      <c r="D797" s="40">
        <v>0</v>
      </c>
    </row>
    <row r="798" spans="1:4" ht="22.5" customHeight="1" x14ac:dyDescent="0.15">
      <c r="A798" s="16" t="s">
        <v>2002</v>
      </c>
      <c r="B798" s="12" t="s">
        <v>2004</v>
      </c>
      <c r="C798" s="13" t="s">
        <v>23</v>
      </c>
      <c r="D798" s="40">
        <v>0</v>
      </c>
    </row>
    <row r="799" spans="1:4" ht="22.5" customHeight="1" x14ac:dyDescent="0.15">
      <c r="A799" s="16" t="s">
        <v>2002</v>
      </c>
      <c r="B799" s="12" t="s">
        <v>2005</v>
      </c>
      <c r="C799" s="13" t="s">
        <v>342</v>
      </c>
      <c r="D799" s="40">
        <v>0</v>
      </c>
    </row>
    <row r="800" spans="1:4" ht="22.5" customHeight="1" x14ac:dyDescent="0.15">
      <c r="A800" s="16" t="s">
        <v>2008</v>
      </c>
      <c r="B800" s="12" t="s">
        <v>2009</v>
      </c>
      <c r="C800" s="13" t="s">
        <v>30</v>
      </c>
      <c r="D800" s="40">
        <v>0</v>
      </c>
    </row>
    <row r="801" spans="1:4" ht="22.5" customHeight="1" x14ac:dyDescent="0.15">
      <c r="A801" s="16" t="s">
        <v>683</v>
      </c>
      <c r="B801" s="12" t="s">
        <v>2010</v>
      </c>
      <c r="C801" s="13" t="s">
        <v>136</v>
      </c>
      <c r="D801" s="40">
        <v>0</v>
      </c>
    </row>
    <row r="802" spans="1:4" ht="22.5" customHeight="1" x14ac:dyDescent="0.15">
      <c r="A802" s="16" t="s">
        <v>683</v>
      </c>
      <c r="B802" s="12" t="s">
        <v>2011</v>
      </c>
      <c r="C802" s="13" t="s">
        <v>88</v>
      </c>
      <c r="D802" s="40">
        <v>0</v>
      </c>
    </row>
    <row r="803" spans="1:4" ht="22.5" customHeight="1" x14ac:dyDescent="0.15">
      <c r="A803" s="16" t="s">
        <v>170</v>
      </c>
      <c r="B803" s="12" t="s">
        <v>2012</v>
      </c>
      <c r="C803" s="13" t="s">
        <v>136</v>
      </c>
      <c r="D803" s="40">
        <v>0</v>
      </c>
    </row>
    <row r="804" spans="1:4" ht="22.5" customHeight="1" x14ac:dyDescent="0.15">
      <c r="A804" s="16" t="s">
        <v>170</v>
      </c>
      <c r="B804" s="12" t="s">
        <v>2013</v>
      </c>
      <c r="C804" s="13" t="s">
        <v>12</v>
      </c>
      <c r="D804" s="40">
        <v>0</v>
      </c>
    </row>
    <row r="805" spans="1:4" ht="22.5" customHeight="1" x14ac:dyDescent="0.15">
      <c r="A805" s="16" t="s">
        <v>170</v>
      </c>
      <c r="B805" s="12" t="s">
        <v>2014</v>
      </c>
      <c r="C805" s="13" t="s">
        <v>12</v>
      </c>
      <c r="D805" s="40">
        <v>0</v>
      </c>
    </row>
    <row r="806" spans="1:4" ht="22.5" customHeight="1" x14ac:dyDescent="0.15">
      <c r="A806" s="16" t="s">
        <v>170</v>
      </c>
      <c r="B806" s="12" t="s">
        <v>2015</v>
      </c>
      <c r="C806" s="13" t="s">
        <v>12</v>
      </c>
      <c r="D806" s="40">
        <v>0</v>
      </c>
    </row>
    <row r="807" spans="1:4" ht="22.5" customHeight="1" x14ac:dyDescent="0.15">
      <c r="A807" s="16" t="s">
        <v>170</v>
      </c>
      <c r="B807" s="12" t="s">
        <v>2016</v>
      </c>
      <c r="C807" s="13" t="s">
        <v>18</v>
      </c>
      <c r="D807" s="40">
        <v>0</v>
      </c>
    </row>
    <row r="808" spans="1:4" ht="22.5" customHeight="1" x14ac:dyDescent="0.15">
      <c r="A808" s="16" t="s">
        <v>170</v>
      </c>
      <c r="B808" s="12" t="s">
        <v>2017</v>
      </c>
      <c r="C808" s="13" t="s">
        <v>136</v>
      </c>
      <c r="D808" s="40">
        <v>0</v>
      </c>
    </row>
    <row r="809" spans="1:4" ht="22.5" customHeight="1" x14ac:dyDescent="0.15">
      <c r="A809" s="16" t="s">
        <v>175</v>
      </c>
      <c r="B809" s="12" t="s">
        <v>2018</v>
      </c>
      <c r="C809" s="13" t="s">
        <v>30</v>
      </c>
      <c r="D809" s="40">
        <v>0</v>
      </c>
    </row>
    <row r="810" spans="1:4" ht="22.5" customHeight="1" x14ac:dyDescent="0.15">
      <c r="A810" s="16" t="s">
        <v>175</v>
      </c>
      <c r="B810" s="12" t="s">
        <v>2019</v>
      </c>
      <c r="C810" s="13" t="s">
        <v>30</v>
      </c>
      <c r="D810" s="40">
        <v>0</v>
      </c>
    </row>
    <row r="811" spans="1:4" ht="22.5" customHeight="1" x14ac:dyDescent="0.15">
      <c r="A811" s="16" t="s">
        <v>175</v>
      </c>
      <c r="B811" s="12" t="s">
        <v>2020</v>
      </c>
      <c r="C811" s="13" t="s">
        <v>342</v>
      </c>
      <c r="D811" s="40">
        <v>0</v>
      </c>
    </row>
    <row r="812" spans="1:4" ht="22.5" customHeight="1" x14ac:dyDescent="0.15">
      <c r="A812" s="16" t="s">
        <v>107</v>
      </c>
      <c r="B812" s="12" t="s">
        <v>2021</v>
      </c>
      <c r="C812" s="13" t="s">
        <v>18</v>
      </c>
      <c r="D812" s="40">
        <v>0</v>
      </c>
    </row>
    <row r="813" spans="1:4" ht="22.5" customHeight="1" x14ac:dyDescent="0.15">
      <c r="A813" s="16" t="s">
        <v>107</v>
      </c>
      <c r="B813" s="12" t="s">
        <v>2022</v>
      </c>
      <c r="C813" s="13" t="s">
        <v>18</v>
      </c>
      <c r="D813" s="40">
        <v>0</v>
      </c>
    </row>
    <row r="814" spans="1:4" ht="22.5" customHeight="1" x14ac:dyDescent="0.15">
      <c r="A814" s="16" t="s">
        <v>107</v>
      </c>
      <c r="B814" s="12" t="s">
        <v>2023</v>
      </c>
      <c r="C814" s="13" t="s">
        <v>18</v>
      </c>
      <c r="D814" s="40">
        <v>0</v>
      </c>
    </row>
    <row r="815" spans="1:4" ht="22.5" customHeight="1" x14ac:dyDescent="0.15">
      <c r="A815" s="16" t="s">
        <v>107</v>
      </c>
      <c r="B815" s="12" t="s">
        <v>2024</v>
      </c>
      <c r="C815" s="13" t="s">
        <v>18</v>
      </c>
      <c r="D815" s="40">
        <v>0</v>
      </c>
    </row>
    <row r="816" spans="1:4" ht="22.5" customHeight="1" x14ac:dyDescent="0.15">
      <c r="A816" s="16" t="s">
        <v>107</v>
      </c>
      <c r="B816" s="12" t="s">
        <v>2025</v>
      </c>
      <c r="C816" s="13" t="s">
        <v>18</v>
      </c>
      <c r="D816" s="40">
        <v>0</v>
      </c>
    </row>
    <row r="817" spans="1:4" ht="22.5" customHeight="1" x14ac:dyDescent="0.15">
      <c r="A817" s="16" t="s">
        <v>107</v>
      </c>
      <c r="B817" s="12" t="s">
        <v>2026</v>
      </c>
      <c r="C817" s="13" t="s">
        <v>18</v>
      </c>
      <c r="D817" s="40">
        <v>0</v>
      </c>
    </row>
    <row r="818" spans="1:4" ht="22.5" customHeight="1" x14ac:dyDescent="0.15">
      <c r="A818" s="16" t="s">
        <v>107</v>
      </c>
      <c r="B818" s="12" t="s">
        <v>2027</v>
      </c>
      <c r="C818" s="13" t="s">
        <v>18</v>
      </c>
      <c r="D818" s="40">
        <v>0</v>
      </c>
    </row>
    <row r="819" spans="1:4" ht="22.5" customHeight="1" x14ac:dyDescent="0.15">
      <c r="A819" s="16" t="s">
        <v>107</v>
      </c>
      <c r="B819" s="12" t="s">
        <v>2028</v>
      </c>
      <c r="C819" s="13" t="s">
        <v>18</v>
      </c>
      <c r="D819" s="40">
        <v>0</v>
      </c>
    </row>
    <row r="820" spans="1:4" ht="22.5" customHeight="1" x14ac:dyDescent="0.15">
      <c r="A820" s="16" t="s">
        <v>107</v>
      </c>
      <c r="B820" s="12" t="s">
        <v>2029</v>
      </c>
      <c r="C820" s="13" t="s">
        <v>18</v>
      </c>
      <c r="D820" s="40">
        <v>0</v>
      </c>
    </row>
    <row r="821" spans="1:4" ht="22.5" customHeight="1" x14ac:dyDescent="0.15">
      <c r="A821" s="16" t="s">
        <v>107</v>
      </c>
      <c r="B821" s="12" t="s">
        <v>2030</v>
      </c>
      <c r="C821" s="13" t="s">
        <v>18</v>
      </c>
      <c r="D821" s="40">
        <v>0</v>
      </c>
    </row>
    <row r="822" spans="1:4" ht="22.5" customHeight="1" x14ac:dyDescent="0.15">
      <c r="A822" s="16" t="s">
        <v>183</v>
      </c>
      <c r="B822" s="12" t="s">
        <v>2031</v>
      </c>
      <c r="C822" s="13" t="s">
        <v>23</v>
      </c>
      <c r="D822" s="40">
        <v>0</v>
      </c>
    </row>
    <row r="823" spans="1:4" ht="22.5" customHeight="1" x14ac:dyDescent="0.15">
      <c r="A823" s="16" t="s">
        <v>187</v>
      </c>
      <c r="B823" s="12" t="s">
        <v>2032</v>
      </c>
      <c r="C823" s="13" t="s">
        <v>12</v>
      </c>
      <c r="D823" s="40">
        <v>0</v>
      </c>
    </row>
    <row r="824" spans="1:4" ht="22.5" customHeight="1" x14ac:dyDescent="0.15">
      <c r="A824" s="16" t="s">
        <v>190</v>
      </c>
      <c r="B824" s="12" t="s">
        <v>2033</v>
      </c>
      <c r="C824" s="13" t="s">
        <v>136</v>
      </c>
      <c r="D824" s="40">
        <v>0</v>
      </c>
    </row>
    <row r="825" spans="1:4" ht="22.5" customHeight="1" x14ac:dyDescent="0.15">
      <c r="A825" s="16" t="s">
        <v>190</v>
      </c>
      <c r="B825" s="12" t="s">
        <v>2034</v>
      </c>
      <c r="C825" s="13" t="s">
        <v>12</v>
      </c>
      <c r="D825" s="40">
        <v>0</v>
      </c>
    </row>
    <row r="826" spans="1:4" ht="22.5" customHeight="1" x14ac:dyDescent="0.15">
      <c r="A826" s="16" t="s">
        <v>190</v>
      </c>
      <c r="B826" s="12" t="s">
        <v>2035</v>
      </c>
      <c r="C826" s="13" t="s">
        <v>136</v>
      </c>
      <c r="D826" s="40">
        <v>0</v>
      </c>
    </row>
    <row r="827" spans="1:4" ht="22.5" customHeight="1" x14ac:dyDescent="0.15">
      <c r="A827" s="16" t="s">
        <v>190</v>
      </c>
      <c r="B827" s="12" t="s">
        <v>2036</v>
      </c>
      <c r="C827" s="13" t="s">
        <v>12</v>
      </c>
      <c r="D827" s="40">
        <v>0</v>
      </c>
    </row>
    <row r="828" spans="1:4" ht="22.5" customHeight="1" x14ac:dyDescent="0.15">
      <c r="A828" s="16" t="s">
        <v>190</v>
      </c>
      <c r="B828" s="12" t="s">
        <v>2037</v>
      </c>
      <c r="C828" s="13" t="s">
        <v>30</v>
      </c>
      <c r="D828" s="40">
        <v>0</v>
      </c>
    </row>
    <row r="829" spans="1:4" ht="22.5" customHeight="1" x14ac:dyDescent="0.15">
      <c r="A829" s="16" t="s">
        <v>190</v>
      </c>
      <c r="B829" s="12" t="s">
        <v>2038</v>
      </c>
      <c r="C829" s="13" t="s">
        <v>136</v>
      </c>
      <c r="D829" s="40">
        <v>0</v>
      </c>
    </row>
    <row r="830" spans="1:4" ht="22.5" customHeight="1" x14ac:dyDescent="0.15">
      <c r="A830" s="16" t="s">
        <v>190</v>
      </c>
      <c r="B830" s="12" t="s">
        <v>2039</v>
      </c>
      <c r="C830" s="13" t="s">
        <v>136</v>
      </c>
      <c r="D830" s="40">
        <v>0</v>
      </c>
    </row>
    <row r="831" spans="1:4" ht="22.5" customHeight="1" x14ac:dyDescent="0.15">
      <c r="A831" s="16" t="s">
        <v>190</v>
      </c>
      <c r="B831" s="12" t="s">
        <v>2040</v>
      </c>
      <c r="C831" s="13" t="s">
        <v>342</v>
      </c>
      <c r="D831" s="40">
        <v>0</v>
      </c>
    </row>
    <row r="832" spans="1:4" ht="22.5" customHeight="1" x14ac:dyDescent="0.15">
      <c r="A832" s="16" t="s">
        <v>2041</v>
      </c>
      <c r="B832" s="12" t="s">
        <v>2042</v>
      </c>
      <c r="C832" s="13" t="s">
        <v>342</v>
      </c>
      <c r="D832" s="40">
        <v>0</v>
      </c>
    </row>
    <row r="833" spans="1:4" ht="22.5" customHeight="1" x14ac:dyDescent="0.15">
      <c r="A833" s="16" t="s">
        <v>1697</v>
      </c>
      <c r="B833" s="12" t="s">
        <v>2043</v>
      </c>
      <c r="C833" s="13" t="s">
        <v>30</v>
      </c>
      <c r="D833" s="40">
        <v>0</v>
      </c>
    </row>
    <row r="834" spans="1:4" ht="22.5" customHeight="1" x14ac:dyDescent="0.15">
      <c r="A834" s="16" t="s">
        <v>75</v>
      </c>
      <c r="B834" s="12" t="s">
        <v>2044</v>
      </c>
      <c r="C834" s="13" t="s">
        <v>136</v>
      </c>
      <c r="D834" s="40">
        <v>602</v>
      </c>
    </row>
    <row r="835" spans="1:4" ht="22.5" customHeight="1" x14ac:dyDescent="0.15">
      <c r="A835" s="16" t="s">
        <v>75</v>
      </c>
      <c r="B835" s="12" t="s">
        <v>2045</v>
      </c>
      <c r="C835" s="13" t="s">
        <v>342</v>
      </c>
      <c r="D835" s="40">
        <v>0</v>
      </c>
    </row>
    <row r="836" spans="1:4" ht="22.5" customHeight="1" x14ac:dyDescent="0.15">
      <c r="A836" s="16" t="s">
        <v>75</v>
      </c>
      <c r="B836" s="12" t="s">
        <v>2046</v>
      </c>
      <c r="C836" s="13" t="s">
        <v>77</v>
      </c>
      <c r="D836" s="40">
        <v>0</v>
      </c>
    </row>
    <row r="837" spans="1:4" ht="22.5" customHeight="1" x14ac:dyDescent="0.15">
      <c r="A837" s="16" t="s">
        <v>75</v>
      </c>
      <c r="B837" s="12" t="s">
        <v>2047</v>
      </c>
      <c r="C837" s="13" t="s">
        <v>77</v>
      </c>
      <c r="D837" s="40">
        <v>0</v>
      </c>
    </row>
    <row r="838" spans="1:4" ht="22.5" customHeight="1" x14ac:dyDescent="0.15">
      <c r="A838" s="16" t="s">
        <v>2050</v>
      </c>
      <c r="B838" s="12" t="s">
        <v>2051</v>
      </c>
      <c r="C838" s="13" t="s">
        <v>88</v>
      </c>
      <c r="D838" s="40">
        <v>0</v>
      </c>
    </row>
    <row r="839" spans="1:4" ht="22.5" customHeight="1" x14ac:dyDescent="0.15">
      <c r="A839" s="16" t="s">
        <v>217</v>
      </c>
      <c r="B839" s="12" t="s">
        <v>2052</v>
      </c>
      <c r="C839" s="13" t="s">
        <v>30</v>
      </c>
      <c r="D839" s="40">
        <v>0</v>
      </c>
    </row>
    <row r="840" spans="1:4" ht="22.5" customHeight="1" x14ac:dyDescent="0.15">
      <c r="A840" s="16" t="s">
        <v>217</v>
      </c>
      <c r="B840" s="12" t="s">
        <v>2053</v>
      </c>
      <c r="C840" s="13" t="s">
        <v>88</v>
      </c>
      <c r="D840" s="40">
        <v>0</v>
      </c>
    </row>
    <row r="841" spans="1:4" ht="22.5" customHeight="1" x14ac:dyDescent="0.15">
      <c r="A841" s="16" t="s">
        <v>223</v>
      </c>
      <c r="B841" s="12" t="s">
        <v>2054</v>
      </c>
      <c r="C841" s="13" t="s">
        <v>342</v>
      </c>
      <c r="D841" s="40">
        <v>0</v>
      </c>
    </row>
    <row r="842" spans="1:4" ht="22.5" customHeight="1" x14ac:dyDescent="0.15">
      <c r="A842" s="16" t="s">
        <v>223</v>
      </c>
      <c r="B842" s="12" t="s">
        <v>2055</v>
      </c>
      <c r="C842" s="13" t="s">
        <v>88</v>
      </c>
      <c r="D842" s="40">
        <v>0</v>
      </c>
    </row>
    <row r="843" spans="1:4" ht="22.5" customHeight="1" x14ac:dyDescent="0.15">
      <c r="A843" s="16" t="s">
        <v>600</v>
      </c>
      <c r="B843" s="12" t="s">
        <v>2056</v>
      </c>
      <c r="C843" s="13" t="s">
        <v>18</v>
      </c>
      <c r="D843" s="40">
        <v>0</v>
      </c>
    </row>
    <row r="844" spans="1:4" ht="22.5" customHeight="1" x14ac:dyDescent="0.15">
      <c r="A844" s="16" t="s">
        <v>600</v>
      </c>
      <c r="B844" s="12" t="s">
        <v>2057</v>
      </c>
      <c r="C844" s="13" t="s">
        <v>136</v>
      </c>
      <c r="D844" s="40">
        <v>0</v>
      </c>
    </row>
    <row r="845" spans="1:4" ht="22.5" customHeight="1" x14ac:dyDescent="0.15">
      <c r="A845" s="16" t="s">
        <v>600</v>
      </c>
      <c r="B845" s="12" t="s">
        <v>2058</v>
      </c>
      <c r="C845" s="13" t="s">
        <v>30</v>
      </c>
      <c r="D845" s="40">
        <v>0</v>
      </c>
    </row>
    <row r="846" spans="1:4" ht="22.5" customHeight="1" x14ac:dyDescent="0.15">
      <c r="A846" s="16" t="s">
        <v>600</v>
      </c>
      <c r="B846" s="12" t="s">
        <v>2059</v>
      </c>
      <c r="C846" s="13" t="s">
        <v>30</v>
      </c>
      <c r="D846" s="40">
        <v>0</v>
      </c>
    </row>
    <row r="847" spans="1:4" ht="22.5" customHeight="1" x14ac:dyDescent="0.15">
      <c r="A847" s="16" t="s">
        <v>822</v>
      </c>
      <c r="B847" s="12" t="s">
        <v>2060</v>
      </c>
      <c r="C847" s="13" t="s">
        <v>136</v>
      </c>
      <c r="D847" s="40">
        <v>0</v>
      </c>
    </row>
    <row r="848" spans="1:4" ht="22.5" customHeight="1" x14ac:dyDescent="0.15">
      <c r="A848" s="16" t="s">
        <v>15</v>
      </c>
      <c r="B848" s="12" t="s">
        <v>2061</v>
      </c>
      <c r="C848" s="13" t="s">
        <v>342</v>
      </c>
      <c r="D848" s="40">
        <v>0</v>
      </c>
    </row>
    <row r="849" spans="1:4" ht="22.5" customHeight="1" x14ac:dyDescent="0.15">
      <c r="A849" s="16" t="s">
        <v>15</v>
      </c>
      <c r="B849" s="12" t="s">
        <v>2062</v>
      </c>
      <c r="C849" s="13" t="s">
        <v>136</v>
      </c>
      <c r="D849" s="40">
        <v>0</v>
      </c>
    </row>
    <row r="850" spans="1:4" ht="22.5" customHeight="1" x14ac:dyDescent="0.15">
      <c r="A850" s="16" t="s">
        <v>15</v>
      </c>
      <c r="B850" s="12" t="s">
        <v>2063</v>
      </c>
      <c r="C850" s="13" t="s">
        <v>342</v>
      </c>
      <c r="D850" s="40">
        <v>0</v>
      </c>
    </row>
    <row r="851" spans="1:4" ht="22.5" customHeight="1" x14ac:dyDescent="0.15">
      <c r="A851" s="16" t="s">
        <v>832</v>
      </c>
      <c r="B851" s="12" t="s">
        <v>2064</v>
      </c>
      <c r="C851" s="13" t="s">
        <v>342</v>
      </c>
      <c r="D851" s="40">
        <v>0</v>
      </c>
    </row>
    <row r="852" spans="1:4" ht="22.5" customHeight="1" x14ac:dyDescent="0.15">
      <c r="A852" s="16" t="s">
        <v>832</v>
      </c>
      <c r="B852" s="12" t="s">
        <v>2065</v>
      </c>
      <c r="C852" s="13" t="s">
        <v>23</v>
      </c>
      <c r="D852" s="40">
        <v>0</v>
      </c>
    </row>
    <row r="853" spans="1:4" ht="22.5" customHeight="1" x14ac:dyDescent="0.15">
      <c r="A853" s="16" t="s">
        <v>832</v>
      </c>
      <c r="B853" s="12" t="s">
        <v>2066</v>
      </c>
      <c r="C853" s="13" t="s">
        <v>23</v>
      </c>
      <c r="D853" s="40">
        <v>0</v>
      </c>
    </row>
    <row r="854" spans="1:4" ht="22.5" customHeight="1" x14ac:dyDescent="0.15">
      <c r="A854" s="16" t="s">
        <v>832</v>
      </c>
      <c r="B854" s="12" t="s">
        <v>2067</v>
      </c>
      <c r="C854" s="13" t="s">
        <v>18</v>
      </c>
      <c r="D854" s="40">
        <v>0</v>
      </c>
    </row>
    <row r="855" spans="1:4" ht="22.5" customHeight="1" x14ac:dyDescent="0.15">
      <c r="A855" s="16" t="s">
        <v>832</v>
      </c>
      <c r="B855" s="12" t="s">
        <v>2068</v>
      </c>
      <c r="C855" s="13" t="s">
        <v>23</v>
      </c>
      <c r="D855" s="40">
        <v>0</v>
      </c>
    </row>
    <row r="856" spans="1:4" ht="22.5" customHeight="1" x14ac:dyDescent="0.15">
      <c r="A856" s="16" t="s">
        <v>832</v>
      </c>
      <c r="B856" s="12" t="s">
        <v>2069</v>
      </c>
      <c r="C856" s="13" t="s">
        <v>342</v>
      </c>
      <c r="D856" s="40">
        <v>0</v>
      </c>
    </row>
    <row r="857" spans="1:4" ht="22.5" customHeight="1" x14ac:dyDescent="0.15">
      <c r="A857" s="16" t="s">
        <v>832</v>
      </c>
      <c r="B857" s="12" t="s">
        <v>2070</v>
      </c>
      <c r="C857" s="13" t="s">
        <v>342</v>
      </c>
      <c r="D857" s="40">
        <v>0</v>
      </c>
    </row>
    <row r="858" spans="1:4" ht="22.5" customHeight="1" x14ac:dyDescent="0.15">
      <c r="A858" s="16" t="s">
        <v>2073</v>
      </c>
      <c r="B858" s="12" t="s">
        <v>2074</v>
      </c>
      <c r="C858" s="13" t="s">
        <v>23</v>
      </c>
      <c r="D858" s="40">
        <v>0</v>
      </c>
    </row>
    <row r="859" spans="1:4" ht="22.5" customHeight="1" x14ac:dyDescent="0.15">
      <c r="A859" s="16" t="s">
        <v>230</v>
      </c>
      <c r="B859" s="12" t="s">
        <v>2075</v>
      </c>
      <c r="C859" s="13" t="s">
        <v>18</v>
      </c>
      <c r="D859" s="40">
        <v>0</v>
      </c>
    </row>
    <row r="860" spans="1:4" ht="22.5" customHeight="1" x14ac:dyDescent="0.15">
      <c r="A860" s="16" t="s">
        <v>844</v>
      </c>
      <c r="B860" s="12" t="s">
        <v>2076</v>
      </c>
      <c r="C860" s="13" t="s">
        <v>18</v>
      </c>
      <c r="D860" s="40">
        <v>0</v>
      </c>
    </row>
    <row r="861" spans="1:4" ht="22.5" customHeight="1" x14ac:dyDescent="0.15">
      <c r="A861" s="16" t="s">
        <v>844</v>
      </c>
      <c r="B861" s="12" t="s">
        <v>2023</v>
      </c>
      <c r="C861" s="13" t="s">
        <v>18</v>
      </c>
      <c r="D861" s="40">
        <v>0</v>
      </c>
    </row>
    <row r="862" spans="1:4" ht="22.5" customHeight="1" x14ac:dyDescent="0.15">
      <c r="A862" s="16" t="s">
        <v>848</v>
      </c>
      <c r="B862" s="12" t="s">
        <v>2077</v>
      </c>
      <c r="C862" s="13" t="s">
        <v>88</v>
      </c>
      <c r="D862" s="40">
        <v>0</v>
      </c>
    </row>
    <row r="863" spans="1:4" ht="22.5" customHeight="1" x14ac:dyDescent="0.15">
      <c r="A863" s="16" t="s">
        <v>853</v>
      </c>
      <c r="B863" s="12" t="s">
        <v>2078</v>
      </c>
      <c r="C863" s="13" t="s">
        <v>30</v>
      </c>
      <c r="D863" s="40">
        <v>0</v>
      </c>
    </row>
    <row r="864" spans="1:4" ht="22.5" customHeight="1" x14ac:dyDescent="0.15">
      <c r="A864" s="16" t="s">
        <v>853</v>
      </c>
      <c r="B864" s="12" t="s">
        <v>2079</v>
      </c>
      <c r="C864" s="13" t="s">
        <v>83</v>
      </c>
      <c r="D864" s="40">
        <v>0</v>
      </c>
    </row>
    <row r="865" spans="1:4" ht="22.5" customHeight="1" x14ac:dyDescent="0.15">
      <c r="A865" s="16" t="s">
        <v>853</v>
      </c>
      <c r="B865" s="12" t="s">
        <v>2080</v>
      </c>
      <c r="C865" s="13" t="s">
        <v>30</v>
      </c>
      <c r="D865" s="40">
        <v>0</v>
      </c>
    </row>
    <row r="866" spans="1:4" ht="22.5" customHeight="1" x14ac:dyDescent="0.15">
      <c r="A866" s="16" t="s">
        <v>853</v>
      </c>
      <c r="B866" s="12" t="s">
        <v>2081</v>
      </c>
      <c r="C866" s="13" t="s">
        <v>136</v>
      </c>
      <c r="D866" s="40">
        <v>0</v>
      </c>
    </row>
    <row r="867" spans="1:4" ht="22.5" customHeight="1" x14ac:dyDescent="0.15">
      <c r="A867" s="16" t="s">
        <v>853</v>
      </c>
      <c r="B867" s="12" t="s">
        <v>2082</v>
      </c>
      <c r="C867" s="13" t="s">
        <v>12</v>
      </c>
      <c r="D867" s="40">
        <v>0</v>
      </c>
    </row>
    <row r="868" spans="1:4" ht="22.5" customHeight="1" x14ac:dyDescent="0.15">
      <c r="A868" s="16" t="s">
        <v>853</v>
      </c>
      <c r="B868" s="12" t="s">
        <v>2083</v>
      </c>
      <c r="C868" s="13" t="s">
        <v>12</v>
      </c>
      <c r="D868" s="40">
        <v>0</v>
      </c>
    </row>
    <row r="869" spans="1:4" ht="22.5" customHeight="1" x14ac:dyDescent="0.15">
      <c r="A869" s="16" t="s">
        <v>234</v>
      </c>
      <c r="B869" s="12" t="s">
        <v>2084</v>
      </c>
      <c r="C869" s="13" t="s">
        <v>83</v>
      </c>
      <c r="D869" s="40">
        <v>0</v>
      </c>
    </row>
    <row r="870" spans="1:4" ht="22.5" customHeight="1" x14ac:dyDescent="0.15">
      <c r="A870" s="16" t="s">
        <v>234</v>
      </c>
      <c r="B870" s="12" t="s">
        <v>2085</v>
      </c>
      <c r="C870" s="13" t="s">
        <v>342</v>
      </c>
      <c r="D870" s="40">
        <v>0</v>
      </c>
    </row>
    <row r="871" spans="1:4" ht="22.5" customHeight="1" x14ac:dyDescent="0.15">
      <c r="A871" s="16" t="s">
        <v>234</v>
      </c>
      <c r="B871" s="12" t="s">
        <v>2086</v>
      </c>
      <c r="C871" s="13" t="s">
        <v>23</v>
      </c>
      <c r="D871" s="40">
        <v>0</v>
      </c>
    </row>
    <row r="872" spans="1:4" ht="22.5" customHeight="1" x14ac:dyDescent="0.15">
      <c r="A872" s="16" t="s">
        <v>234</v>
      </c>
      <c r="B872" s="12" t="s">
        <v>2087</v>
      </c>
      <c r="C872" s="13" t="s">
        <v>23</v>
      </c>
      <c r="D872" s="40">
        <v>0</v>
      </c>
    </row>
    <row r="873" spans="1:4" ht="22.5" customHeight="1" x14ac:dyDescent="0.15">
      <c r="A873" s="16" t="s">
        <v>234</v>
      </c>
      <c r="B873" s="12" t="s">
        <v>2088</v>
      </c>
      <c r="C873" s="13" t="s">
        <v>83</v>
      </c>
      <c r="D873" s="40">
        <v>0</v>
      </c>
    </row>
    <row r="874" spans="1:4" ht="22.5" customHeight="1" x14ac:dyDescent="0.15">
      <c r="A874" s="16" t="s">
        <v>234</v>
      </c>
      <c r="B874" s="12" t="s">
        <v>2089</v>
      </c>
      <c r="C874" s="13" t="s">
        <v>30</v>
      </c>
      <c r="D874" s="40">
        <v>0</v>
      </c>
    </row>
    <row r="875" spans="1:4" ht="22.5" customHeight="1" x14ac:dyDescent="0.15">
      <c r="A875" s="16" t="s">
        <v>234</v>
      </c>
      <c r="B875" s="12" t="s">
        <v>2090</v>
      </c>
      <c r="C875" s="13" t="s">
        <v>30</v>
      </c>
      <c r="D875" s="40">
        <v>0</v>
      </c>
    </row>
    <row r="876" spans="1:4" ht="22.5" customHeight="1" x14ac:dyDescent="0.15">
      <c r="A876" s="16" t="s">
        <v>234</v>
      </c>
      <c r="B876" s="12" t="s">
        <v>2091</v>
      </c>
      <c r="C876" s="13" t="s">
        <v>30</v>
      </c>
      <c r="D876" s="40">
        <v>0</v>
      </c>
    </row>
    <row r="877" spans="1:4" ht="22.5" customHeight="1" x14ac:dyDescent="0.15">
      <c r="A877" s="16" t="s">
        <v>234</v>
      </c>
      <c r="B877" s="12" t="s">
        <v>2092</v>
      </c>
      <c r="C877" s="13" t="s">
        <v>88</v>
      </c>
      <c r="D877" s="40">
        <v>0</v>
      </c>
    </row>
    <row r="878" spans="1:4" ht="22.5" customHeight="1" x14ac:dyDescent="0.15">
      <c r="A878" s="16" t="s">
        <v>234</v>
      </c>
      <c r="B878" s="12" t="s">
        <v>2093</v>
      </c>
      <c r="C878" s="13" t="s">
        <v>30</v>
      </c>
      <c r="D878" s="40">
        <v>0</v>
      </c>
    </row>
    <row r="879" spans="1:4" ht="22.5" customHeight="1" x14ac:dyDescent="0.15">
      <c r="A879" s="16" t="s">
        <v>239</v>
      </c>
      <c r="B879" s="12" t="s">
        <v>2094</v>
      </c>
      <c r="C879" s="13" t="s">
        <v>12</v>
      </c>
      <c r="D879" s="40">
        <v>0</v>
      </c>
    </row>
    <row r="880" spans="1:4" ht="22.5" customHeight="1" x14ac:dyDescent="0.15">
      <c r="A880" s="16" t="s">
        <v>239</v>
      </c>
      <c r="B880" s="12" t="s">
        <v>2095</v>
      </c>
      <c r="C880" s="13" t="s">
        <v>12</v>
      </c>
      <c r="D880" s="40">
        <v>0</v>
      </c>
    </row>
    <row r="881" spans="1:4" ht="22.5" customHeight="1" x14ac:dyDescent="0.15">
      <c r="A881" s="16" t="s">
        <v>1477</v>
      </c>
      <c r="B881" s="12" t="s">
        <v>2096</v>
      </c>
      <c r="C881" s="13" t="s">
        <v>88</v>
      </c>
      <c r="D881" s="40">
        <v>0</v>
      </c>
    </row>
    <row r="882" spans="1:4" ht="22.5" customHeight="1" x14ac:dyDescent="0.15">
      <c r="A882" s="16" t="s">
        <v>1477</v>
      </c>
      <c r="B882" s="12" t="s">
        <v>2097</v>
      </c>
      <c r="C882" s="13" t="s">
        <v>18</v>
      </c>
      <c r="D882" s="40">
        <v>0</v>
      </c>
    </row>
    <row r="883" spans="1:4" ht="22.5" customHeight="1" x14ac:dyDescent="0.15">
      <c r="A883" s="16" t="s">
        <v>1477</v>
      </c>
      <c r="B883" s="12" t="s">
        <v>2098</v>
      </c>
      <c r="C883" s="13" t="s">
        <v>23</v>
      </c>
      <c r="D883" s="40">
        <v>0</v>
      </c>
    </row>
    <row r="884" spans="1:4" ht="22.5" customHeight="1" x14ac:dyDescent="0.15">
      <c r="A884" s="16" t="s">
        <v>1477</v>
      </c>
      <c r="B884" s="12" t="s">
        <v>2099</v>
      </c>
      <c r="C884" s="13" t="s">
        <v>30</v>
      </c>
      <c r="D884" s="40">
        <v>0</v>
      </c>
    </row>
    <row r="885" spans="1:4" ht="22.5" customHeight="1" x14ac:dyDescent="0.15">
      <c r="A885" s="16" t="s">
        <v>1477</v>
      </c>
      <c r="B885" s="12" t="s">
        <v>2100</v>
      </c>
      <c r="C885" s="13" t="s">
        <v>30</v>
      </c>
      <c r="D885" s="40">
        <v>0</v>
      </c>
    </row>
    <row r="886" spans="1:4" ht="22.5" customHeight="1" x14ac:dyDescent="0.15">
      <c r="A886" s="16" t="s">
        <v>1477</v>
      </c>
      <c r="B886" s="12" t="s">
        <v>2101</v>
      </c>
      <c r="C886" s="13" t="s">
        <v>88</v>
      </c>
      <c r="D886" s="40">
        <v>0</v>
      </c>
    </row>
    <row r="887" spans="1:4" ht="22.5" customHeight="1" x14ac:dyDescent="0.15">
      <c r="A887" s="16" t="s">
        <v>81</v>
      </c>
      <c r="B887" s="12" t="s">
        <v>2102</v>
      </c>
      <c r="C887" s="13" t="s">
        <v>18</v>
      </c>
      <c r="D887" s="40">
        <v>0</v>
      </c>
    </row>
    <row r="888" spans="1:4" ht="22.5" customHeight="1" x14ac:dyDescent="0.15">
      <c r="A888" s="16" t="s">
        <v>2105</v>
      </c>
      <c r="B888" s="12" t="s">
        <v>2106</v>
      </c>
      <c r="C888" s="13" t="s">
        <v>12</v>
      </c>
      <c r="D888" s="40">
        <v>0</v>
      </c>
    </row>
    <row r="889" spans="1:4" ht="22.5" customHeight="1" x14ac:dyDescent="0.15">
      <c r="A889" s="16" t="s">
        <v>2105</v>
      </c>
      <c r="B889" s="12" t="s">
        <v>2107</v>
      </c>
      <c r="C889" s="13" t="s">
        <v>12</v>
      </c>
      <c r="D889" s="40">
        <v>0</v>
      </c>
    </row>
    <row r="890" spans="1:4" ht="22.5" customHeight="1" x14ac:dyDescent="0.15">
      <c r="A890" s="16" t="s">
        <v>249</v>
      </c>
      <c r="B890" s="12" t="s">
        <v>2108</v>
      </c>
      <c r="C890" s="13" t="s">
        <v>88</v>
      </c>
      <c r="D890" s="40">
        <v>0</v>
      </c>
    </row>
    <row r="891" spans="1:4" ht="22.5" customHeight="1" x14ac:dyDescent="0.15">
      <c r="A891" s="16" t="s">
        <v>249</v>
      </c>
      <c r="B891" s="12" t="s">
        <v>2109</v>
      </c>
      <c r="C891" s="13" t="s">
        <v>30</v>
      </c>
      <c r="D891" s="40">
        <v>0</v>
      </c>
    </row>
    <row r="892" spans="1:4" ht="22.5" customHeight="1" x14ac:dyDescent="0.15">
      <c r="A892" s="16" t="s">
        <v>249</v>
      </c>
      <c r="B892" s="12" t="s">
        <v>2110</v>
      </c>
      <c r="C892" s="13" t="s">
        <v>30</v>
      </c>
      <c r="D892" s="40">
        <v>0</v>
      </c>
    </row>
    <row r="893" spans="1:4" ht="22.5" customHeight="1" x14ac:dyDescent="0.15">
      <c r="A893" s="16" t="s">
        <v>249</v>
      </c>
      <c r="B893" s="12" t="s">
        <v>2111</v>
      </c>
      <c r="C893" s="13" t="s">
        <v>88</v>
      </c>
      <c r="D893" s="40">
        <v>0</v>
      </c>
    </row>
    <row r="894" spans="1:4" ht="22.5" customHeight="1" x14ac:dyDescent="0.15">
      <c r="A894" s="16" t="s">
        <v>249</v>
      </c>
      <c r="B894" s="12" t="s">
        <v>2112</v>
      </c>
      <c r="C894" s="13" t="s">
        <v>88</v>
      </c>
      <c r="D894" s="40">
        <v>0</v>
      </c>
    </row>
    <row r="895" spans="1:4" ht="22.5" customHeight="1" x14ac:dyDescent="0.15">
      <c r="A895" s="16" t="s">
        <v>249</v>
      </c>
      <c r="B895" s="12" t="s">
        <v>2113</v>
      </c>
      <c r="C895" s="13" t="s">
        <v>88</v>
      </c>
      <c r="D895" s="40">
        <v>0</v>
      </c>
    </row>
    <row r="896" spans="1:4" ht="22.5" customHeight="1" x14ac:dyDescent="0.15">
      <c r="A896" s="16" t="s">
        <v>249</v>
      </c>
      <c r="B896" s="12" t="s">
        <v>2114</v>
      </c>
      <c r="C896" s="13" t="s">
        <v>88</v>
      </c>
      <c r="D896" s="40">
        <v>0</v>
      </c>
    </row>
    <row r="897" spans="1:4" ht="22.5" customHeight="1" x14ac:dyDescent="0.15">
      <c r="A897" s="16" t="s">
        <v>249</v>
      </c>
      <c r="B897" s="12" t="s">
        <v>2115</v>
      </c>
      <c r="C897" s="13" t="s">
        <v>88</v>
      </c>
      <c r="D897" s="40">
        <v>0</v>
      </c>
    </row>
    <row r="898" spans="1:4" ht="22.5" customHeight="1" x14ac:dyDescent="0.15">
      <c r="A898" s="16" t="s">
        <v>249</v>
      </c>
      <c r="B898" s="12" t="s">
        <v>2116</v>
      </c>
      <c r="C898" s="13" t="s">
        <v>88</v>
      </c>
      <c r="D898" s="40">
        <v>0</v>
      </c>
    </row>
    <row r="899" spans="1:4" ht="22.5" customHeight="1" x14ac:dyDescent="0.15">
      <c r="A899" s="16" t="s">
        <v>1739</v>
      </c>
      <c r="B899" s="12" t="s">
        <v>2117</v>
      </c>
      <c r="C899" s="13" t="s">
        <v>83</v>
      </c>
      <c r="D899" s="40">
        <v>0</v>
      </c>
    </row>
    <row r="900" spans="1:4" ht="22.5" customHeight="1" x14ac:dyDescent="0.15">
      <c r="A900" s="16" t="s">
        <v>1739</v>
      </c>
      <c r="B900" s="12" t="s">
        <v>2118</v>
      </c>
      <c r="C900" s="13" t="s">
        <v>83</v>
      </c>
      <c r="D900" s="40">
        <v>0</v>
      </c>
    </row>
    <row r="901" spans="1:4" ht="22.5" customHeight="1" x14ac:dyDescent="0.15">
      <c r="A901" s="16" t="s">
        <v>1739</v>
      </c>
      <c r="B901" s="12" t="s">
        <v>2119</v>
      </c>
      <c r="C901" s="13" t="s">
        <v>83</v>
      </c>
      <c r="D901" s="40">
        <v>0</v>
      </c>
    </row>
    <row r="902" spans="1:4" ht="22.5" customHeight="1" x14ac:dyDescent="0.15">
      <c r="A902" s="16" t="s">
        <v>893</v>
      </c>
      <c r="B902" s="12" t="s">
        <v>2120</v>
      </c>
      <c r="C902" s="13" t="s">
        <v>12</v>
      </c>
      <c r="D902" s="40">
        <v>0</v>
      </c>
    </row>
    <row r="903" spans="1:4" ht="22.5" customHeight="1" x14ac:dyDescent="0.15">
      <c r="A903" s="16" t="s">
        <v>256</v>
      </c>
      <c r="B903" s="12" t="s">
        <v>2121</v>
      </c>
      <c r="C903" s="13" t="s">
        <v>30</v>
      </c>
      <c r="D903" s="40">
        <v>0</v>
      </c>
    </row>
    <row r="904" spans="1:4" ht="22.5" customHeight="1" x14ac:dyDescent="0.15">
      <c r="A904" s="16" t="s">
        <v>256</v>
      </c>
      <c r="B904" s="12" t="s">
        <v>2122</v>
      </c>
      <c r="C904" s="13" t="s">
        <v>30</v>
      </c>
      <c r="D904" s="40">
        <v>0</v>
      </c>
    </row>
    <row r="905" spans="1:4" ht="22.5" customHeight="1" x14ac:dyDescent="0.15">
      <c r="A905" s="16" t="s">
        <v>256</v>
      </c>
      <c r="B905" s="12" t="s">
        <v>2123</v>
      </c>
      <c r="C905" s="13" t="s">
        <v>18</v>
      </c>
      <c r="D905" s="40">
        <v>0</v>
      </c>
    </row>
    <row r="906" spans="1:4" ht="22.5" customHeight="1" x14ac:dyDescent="0.15">
      <c r="A906" s="16" t="s">
        <v>256</v>
      </c>
      <c r="B906" s="12" t="s">
        <v>2124</v>
      </c>
      <c r="C906" s="13" t="s">
        <v>136</v>
      </c>
      <c r="D906" s="40">
        <v>0</v>
      </c>
    </row>
    <row r="907" spans="1:4" ht="22.5" customHeight="1" x14ac:dyDescent="0.15">
      <c r="A907" s="16" t="s">
        <v>256</v>
      </c>
      <c r="B907" s="12" t="s">
        <v>2125</v>
      </c>
      <c r="C907" s="13" t="s">
        <v>30</v>
      </c>
      <c r="D907" s="40">
        <v>0</v>
      </c>
    </row>
    <row r="908" spans="1:4" ht="22.5" customHeight="1" x14ac:dyDescent="0.15">
      <c r="A908" s="16" t="s">
        <v>256</v>
      </c>
      <c r="B908" s="12" t="s">
        <v>2126</v>
      </c>
      <c r="C908" s="13" t="s">
        <v>136</v>
      </c>
      <c r="D908" s="40">
        <v>0</v>
      </c>
    </row>
    <row r="909" spans="1:4" ht="22.5" customHeight="1" x14ac:dyDescent="0.15">
      <c r="A909" s="16" t="s">
        <v>256</v>
      </c>
      <c r="B909" s="12" t="s">
        <v>2127</v>
      </c>
      <c r="C909" s="13" t="s">
        <v>30</v>
      </c>
      <c r="D909" s="40">
        <v>0</v>
      </c>
    </row>
    <row r="910" spans="1:4" ht="22.5" customHeight="1" x14ac:dyDescent="0.15">
      <c r="A910" s="16" t="s">
        <v>256</v>
      </c>
      <c r="B910" s="12" t="s">
        <v>2128</v>
      </c>
      <c r="C910" s="13" t="s">
        <v>18</v>
      </c>
      <c r="D910" s="40">
        <v>602</v>
      </c>
    </row>
    <row r="911" spans="1:4" ht="22.5" customHeight="1" x14ac:dyDescent="0.15">
      <c r="A911" s="16" t="s">
        <v>2131</v>
      </c>
      <c r="B911" s="12" t="s">
        <v>2132</v>
      </c>
      <c r="C911" s="13" t="s">
        <v>12</v>
      </c>
      <c r="D911" s="40">
        <v>0</v>
      </c>
    </row>
    <row r="912" spans="1:4" ht="22.5" customHeight="1" x14ac:dyDescent="0.15">
      <c r="A912" s="16" t="s">
        <v>1492</v>
      </c>
      <c r="B912" s="12" t="s">
        <v>2133</v>
      </c>
      <c r="C912" s="13" t="s">
        <v>342</v>
      </c>
      <c r="D912" s="40">
        <v>0</v>
      </c>
    </row>
    <row r="913" spans="1:4" ht="22.5" customHeight="1" x14ac:dyDescent="0.15">
      <c r="A913" s="16" t="s">
        <v>1492</v>
      </c>
      <c r="B913" s="12" t="s">
        <v>2134</v>
      </c>
      <c r="C913" s="13" t="s">
        <v>342</v>
      </c>
      <c r="D913" s="40">
        <v>0</v>
      </c>
    </row>
    <row r="914" spans="1:4" ht="22.5" customHeight="1" x14ac:dyDescent="0.15">
      <c r="A914" s="16" t="s">
        <v>32</v>
      </c>
      <c r="B914" s="12" t="s">
        <v>2135</v>
      </c>
      <c r="C914" s="13" t="s">
        <v>30</v>
      </c>
      <c r="D914" s="40">
        <v>0</v>
      </c>
    </row>
    <row r="915" spans="1:4" ht="22.5" customHeight="1" x14ac:dyDescent="0.15">
      <c r="A915" s="16" t="s">
        <v>924</v>
      </c>
      <c r="B915" s="12" t="s">
        <v>2136</v>
      </c>
      <c r="C915" s="13" t="s">
        <v>23</v>
      </c>
      <c r="D915" s="40">
        <v>0</v>
      </c>
    </row>
    <row r="916" spans="1:4" ht="22.5" customHeight="1" x14ac:dyDescent="0.15">
      <c r="A916" s="16" t="s">
        <v>924</v>
      </c>
      <c r="B916" s="12" t="s">
        <v>2137</v>
      </c>
      <c r="C916" s="13" t="s">
        <v>136</v>
      </c>
      <c r="D916" s="40">
        <v>0</v>
      </c>
    </row>
    <row r="917" spans="1:4" ht="22.5" customHeight="1" x14ac:dyDescent="0.15">
      <c r="A917" s="16" t="s">
        <v>924</v>
      </c>
      <c r="B917" s="12" t="s">
        <v>2138</v>
      </c>
      <c r="C917" s="13" t="s">
        <v>30</v>
      </c>
      <c r="D917" s="40">
        <v>0</v>
      </c>
    </row>
    <row r="918" spans="1:4" ht="22.5" customHeight="1" x14ac:dyDescent="0.15">
      <c r="A918" s="16" t="s">
        <v>924</v>
      </c>
      <c r="B918" s="12" t="s">
        <v>2139</v>
      </c>
      <c r="C918" s="13" t="s">
        <v>30</v>
      </c>
      <c r="D918" s="40">
        <v>0</v>
      </c>
    </row>
    <row r="919" spans="1:4" ht="22.5" customHeight="1" x14ac:dyDescent="0.15">
      <c r="A919" s="16" t="s">
        <v>924</v>
      </c>
      <c r="B919" s="12" t="s">
        <v>2140</v>
      </c>
      <c r="C919" s="13" t="s">
        <v>30</v>
      </c>
      <c r="D919" s="40">
        <v>0</v>
      </c>
    </row>
    <row r="920" spans="1:4" ht="22.5" customHeight="1" x14ac:dyDescent="0.15">
      <c r="A920" s="16" t="s">
        <v>271</v>
      </c>
      <c r="B920" s="12" t="s">
        <v>2141</v>
      </c>
      <c r="C920" s="13" t="s">
        <v>342</v>
      </c>
      <c r="D920" s="40">
        <v>0</v>
      </c>
    </row>
    <row r="921" spans="1:4" ht="22.5" customHeight="1" x14ac:dyDescent="0.15">
      <c r="A921" s="16" t="s">
        <v>934</v>
      </c>
      <c r="B921" s="12" t="s">
        <v>2142</v>
      </c>
      <c r="C921" s="13" t="s">
        <v>30</v>
      </c>
      <c r="D921" s="40">
        <v>0</v>
      </c>
    </row>
    <row r="922" spans="1:4" ht="22.5" customHeight="1" x14ac:dyDescent="0.15">
      <c r="A922" s="16" t="s">
        <v>934</v>
      </c>
      <c r="B922" s="12" t="s">
        <v>2143</v>
      </c>
      <c r="C922" s="13" t="s">
        <v>136</v>
      </c>
      <c r="D922" s="40">
        <v>0</v>
      </c>
    </row>
    <row r="923" spans="1:4" ht="22.5" customHeight="1" x14ac:dyDescent="0.15">
      <c r="A923" s="16" t="s">
        <v>934</v>
      </c>
      <c r="B923" s="12" t="s">
        <v>2144</v>
      </c>
      <c r="C923" s="13" t="s">
        <v>30</v>
      </c>
      <c r="D923" s="40">
        <v>0</v>
      </c>
    </row>
    <row r="924" spans="1:4" ht="22.5" customHeight="1" x14ac:dyDescent="0.15">
      <c r="A924" s="16" t="s">
        <v>934</v>
      </c>
      <c r="B924" s="12" t="s">
        <v>2145</v>
      </c>
      <c r="C924" s="13" t="s">
        <v>30</v>
      </c>
      <c r="D924" s="40">
        <v>0</v>
      </c>
    </row>
    <row r="925" spans="1:4" ht="22.5" customHeight="1" x14ac:dyDescent="0.15">
      <c r="A925" s="16" t="s">
        <v>934</v>
      </c>
      <c r="B925" s="12" t="s">
        <v>2146</v>
      </c>
      <c r="C925" s="13" t="s">
        <v>30</v>
      </c>
      <c r="D925" s="40">
        <v>0</v>
      </c>
    </row>
    <row r="926" spans="1:4" ht="22.5" customHeight="1" x14ac:dyDescent="0.15">
      <c r="A926" s="16" t="s">
        <v>934</v>
      </c>
      <c r="B926" s="12" t="s">
        <v>2147</v>
      </c>
      <c r="C926" s="13" t="s">
        <v>88</v>
      </c>
      <c r="D926" s="40">
        <v>0</v>
      </c>
    </row>
    <row r="927" spans="1:4" ht="22.5" customHeight="1" x14ac:dyDescent="0.15">
      <c r="A927" s="16" t="s">
        <v>281</v>
      </c>
      <c r="B927" s="12" t="s">
        <v>2148</v>
      </c>
      <c r="C927" s="13" t="s">
        <v>342</v>
      </c>
      <c r="D927" s="40">
        <v>0</v>
      </c>
    </row>
    <row r="928" spans="1:4" ht="22.5" customHeight="1" x14ac:dyDescent="0.15">
      <c r="A928" s="16" t="s">
        <v>289</v>
      </c>
      <c r="B928" s="12" t="s">
        <v>2149</v>
      </c>
      <c r="C928" s="13" t="s">
        <v>30</v>
      </c>
      <c r="D928" s="40">
        <v>0</v>
      </c>
    </row>
    <row r="929" spans="1:4" ht="22.5" customHeight="1" x14ac:dyDescent="0.15">
      <c r="A929" s="16" t="s">
        <v>2152</v>
      </c>
      <c r="B929" s="12" t="s">
        <v>2153</v>
      </c>
      <c r="C929" s="13" t="s">
        <v>342</v>
      </c>
      <c r="D929" s="40">
        <v>0</v>
      </c>
    </row>
    <row r="930" spans="1:4" ht="22.5" customHeight="1" x14ac:dyDescent="0.15">
      <c r="A930" s="16" t="s">
        <v>2156</v>
      </c>
      <c r="B930" s="12" t="s">
        <v>2157</v>
      </c>
      <c r="C930" s="13" t="s">
        <v>342</v>
      </c>
      <c r="D930" s="40">
        <v>0</v>
      </c>
    </row>
    <row r="931" spans="1:4" ht="22.5" customHeight="1" x14ac:dyDescent="0.15">
      <c r="A931" s="16" t="s">
        <v>293</v>
      </c>
      <c r="B931" s="12" t="s">
        <v>2158</v>
      </c>
      <c r="C931" s="13" t="s">
        <v>88</v>
      </c>
      <c r="D931" s="40">
        <v>0</v>
      </c>
    </row>
    <row r="932" spans="1:4" ht="22.5" customHeight="1" x14ac:dyDescent="0.15">
      <c r="A932" s="16" t="s">
        <v>293</v>
      </c>
      <c r="B932" s="12" t="s">
        <v>2159</v>
      </c>
      <c r="C932" s="13" t="s">
        <v>88</v>
      </c>
      <c r="D932" s="40">
        <v>0</v>
      </c>
    </row>
    <row r="933" spans="1:4" ht="22.5" customHeight="1" x14ac:dyDescent="0.15">
      <c r="A933" s="16" t="s">
        <v>946</v>
      </c>
      <c r="B933" s="12" t="s">
        <v>2160</v>
      </c>
      <c r="C933" s="13" t="s">
        <v>115</v>
      </c>
      <c r="D933" s="40">
        <v>0</v>
      </c>
    </row>
    <row r="934" spans="1:4" ht="22.5" customHeight="1" x14ac:dyDescent="0.15">
      <c r="A934" s="16" t="s">
        <v>950</v>
      </c>
      <c r="B934" s="12" t="s">
        <v>2161</v>
      </c>
      <c r="C934" s="13" t="s">
        <v>513</v>
      </c>
      <c r="D934" s="40">
        <v>0</v>
      </c>
    </row>
    <row r="935" spans="1:4" ht="22.5" customHeight="1" x14ac:dyDescent="0.15">
      <c r="A935" s="16" t="s">
        <v>298</v>
      </c>
      <c r="B935" s="12" t="s">
        <v>2162</v>
      </c>
      <c r="C935" s="13" t="s">
        <v>12</v>
      </c>
      <c r="D935" s="40">
        <v>0</v>
      </c>
    </row>
    <row r="936" spans="1:4" ht="22.5" customHeight="1" x14ac:dyDescent="0.15">
      <c r="A936" s="16" t="s">
        <v>298</v>
      </c>
      <c r="B936" s="12" t="s">
        <v>2163</v>
      </c>
      <c r="C936" s="13" t="s">
        <v>88</v>
      </c>
      <c r="D936" s="40">
        <v>0</v>
      </c>
    </row>
    <row r="937" spans="1:4" ht="22.5" customHeight="1" x14ac:dyDescent="0.15">
      <c r="A937" s="16" t="s">
        <v>955</v>
      </c>
      <c r="B937" s="12" t="s">
        <v>2164</v>
      </c>
      <c r="C937" s="13" t="s">
        <v>23</v>
      </c>
      <c r="D937" s="40">
        <v>0</v>
      </c>
    </row>
    <row r="938" spans="1:4" ht="22.5" customHeight="1" x14ac:dyDescent="0.15">
      <c r="A938" s="16" t="s">
        <v>955</v>
      </c>
      <c r="B938" s="12" t="s">
        <v>2165</v>
      </c>
      <c r="C938" s="13" t="s">
        <v>136</v>
      </c>
      <c r="D938" s="40">
        <v>0</v>
      </c>
    </row>
    <row r="939" spans="1:4" ht="22.5" customHeight="1" x14ac:dyDescent="0.15">
      <c r="A939" s="16" t="s">
        <v>955</v>
      </c>
      <c r="B939" s="12" t="s">
        <v>2166</v>
      </c>
      <c r="C939" s="13" t="s">
        <v>136</v>
      </c>
      <c r="D939" s="40">
        <v>0</v>
      </c>
    </row>
    <row r="940" spans="1:4" ht="22.5" customHeight="1" x14ac:dyDescent="0.15">
      <c r="A940" s="16" t="s">
        <v>955</v>
      </c>
      <c r="B940" s="12" t="s">
        <v>2167</v>
      </c>
      <c r="C940" s="13" t="s">
        <v>88</v>
      </c>
      <c r="D940" s="40">
        <v>0</v>
      </c>
    </row>
    <row r="941" spans="1:4" ht="22.5" customHeight="1" x14ac:dyDescent="0.15">
      <c r="A941" s="16" t="s">
        <v>955</v>
      </c>
      <c r="B941" s="12" t="s">
        <v>2168</v>
      </c>
      <c r="C941" s="13" t="s">
        <v>136</v>
      </c>
      <c r="D941" s="40">
        <v>0</v>
      </c>
    </row>
    <row r="942" spans="1:4" ht="22.5" customHeight="1" x14ac:dyDescent="0.15">
      <c r="A942" s="16" t="s">
        <v>955</v>
      </c>
      <c r="B942" s="12" t="s">
        <v>2169</v>
      </c>
      <c r="C942" s="13" t="s">
        <v>30</v>
      </c>
      <c r="D942" s="40">
        <v>0</v>
      </c>
    </row>
    <row r="943" spans="1:4" ht="22.5" customHeight="1" x14ac:dyDescent="0.15">
      <c r="A943" s="16" t="s">
        <v>955</v>
      </c>
      <c r="B943" s="12" t="s">
        <v>2170</v>
      </c>
      <c r="C943" s="13" t="s">
        <v>30</v>
      </c>
      <c r="D943" s="40">
        <v>0</v>
      </c>
    </row>
    <row r="944" spans="1:4" ht="22.5" customHeight="1" x14ac:dyDescent="0.15">
      <c r="A944" s="16" t="s">
        <v>955</v>
      </c>
      <c r="B944" s="12" t="s">
        <v>2171</v>
      </c>
      <c r="C944" s="13" t="s">
        <v>83</v>
      </c>
      <c r="D944" s="40">
        <v>0</v>
      </c>
    </row>
    <row r="945" spans="1:4" ht="22.5" customHeight="1" x14ac:dyDescent="0.15">
      <c r="A945" s="16" t="s">
        <v>955</v>
      </c>
      <c r="B945" s="12" t="s">
        <v>2172</v>
      </c>
      <c r="C945" s="13" t="s">
        <v>18</v>
      </c>
      <c r="D945" s="40">
        <v>0</v>
      </c>
    </row>
    <row r="946" spans="1:4" ht="22.5" customHeight="1" x14ac:dyDescent="0.15">
      <c r="A946" s="16" t="s">
        <v>37</v>
      </c>
      <c r="B946" s="12" t="s">
        <v>2173</v>
      </c>
      <c r="C946" s="13" t="s">
        <v>30</v>
      </c>
      <c r="D946" s="40">
        <v>0</v>
      </c>
    </row>
    <row r="947" spans="1:4" ht="22.5" customHeight="1" x14ac:dyDescent="0.15">
      <c r="A947" s="16" t="s">
        <v>327</v>
      </c>
      <c r="B947" s="12" t="s">
        <v>2174</v>
      </c>
      <c r="C947" s="13" t="s">
        <v>30</v>
      </c>
      <c r="D947" s="40">
        <v>0</v>
      </c>
    </row>
    <row r="948" spans="1:4" ht="22.5" customHeight="1" x14ac:dyDescent="0.15">
      <c r="A948" s="16" t="s">
        <v>327</v>
      </c>
      <c r="B948" s="12" t="s">
        <v>2175</v>
      </c>
      <c r="C948" s="13" t="s">
        <v>342</v>
      </c>
      <c r="D948" s="40">
        <v>0</v>
      </c>
    </row>
    <row r="949" spans="1:4" ht="22.5" customHeight="1" x14ac:dyDescent="0.15">
      <c r="A949" s="16" t="s">
        <v>327</v>
      </c>
      <c r="B949" s="12" t="s">
        <v>2176</v>
      </c>
      <c r="C949" s="13" t="s">
        <v>115</v>
      </c>
      <c r="D949" s="40">
        <v>0</v>
      </c>
    </row>
    <row r="950" spans="1:4" ht="22.5" customHeight="1" x14ac:dyDescent="0.15">
      <c r="A950" s="16" t="s">
        <v>2177</v>
      </c>
      <c r="B950" s="12" t="s">
        <v>2178</v>
      </c>
      <c r="C950" s="13" t="s">
        <v>30</v>
      </c>
      <c r="D950" s="40">
        <v>0</v>
      </c>
    </row>
    <row r="951" spans="1:4" ht="22.5" customHeight="1" x14ac:dyDescent="0.15">
      <c r="A951" s="16" t="s">
        <v>654</v>
      </c>
      <c r="B951" s="12" t="s">
        <v>2179</v>
      </c>
      <c r="C951" s="13" t="s">
        <v>18</v>
      </c>
      <c r="D951" s="40">
        <v>0</v>
      </c>
    </row>
    <row r="952" spans="1:4" ht="22.5" customHeight="1" x14ac:dyDescent="0.15">
      <c r="A952" s="16" t="s">
        <v>966</v>
      </c>
      <c r="B952" s="12" t="s">
        <v>2180</v>
      </c>
      <c r="C952" s="13" t="s">
        <v>136</v>
      </c>
      <c r="D952" s="40">
        <v>0</v>
      </c>
    </row>
    <row r="953" spans="1:4" ht="22.5" customHeight="1" x14ac:dyDescent="0.15">
      <c r="A953" s="16" t="s">
        <v>966</v>
      </c>
      <c r="B953" s="12" t="s">
        <v>2181</v>
      </c>
      <c r="C953" s="13" t="s">
        <v>18</v>
      </c>
      <c r="D953" s="40">
        <v>0</v>
      </c>
    </row>
    <row r="954" spans="1:4" ht="22.5" customHeight="1" x14ac:dyDescent="0.15">
      <c r="A954" s="16" t="s">
        <v>2184</v>
      </c>
      <c r="B954" s="12" t="s">
        <v>2185</v>
      </c>
      <c r="C954" s="13" t="s">
        <v>12</v>
      </c>
      <c r="D954" s="40">
        <v>0</v>
      </c>
    </row>
    <row r="955" spans="1:4" ht="22.5" customHeight="1" x14ac:dyDescent="0.15">
      <c r="A955" s="16" t="s">
        <v>2184</v>
      </c>
      <c r="B955" s="12" t="s">
        <v>2186</v>
      </c>
      <c r="C955" s="13" t="s">
        <v>77</v>
      </c>
      <c r="D955" s="40">
        <v>0</v>
      </c>
    </row>
    <row r="956" spans="1:4" ht="22.5" customHeight="1" x14ac:dyDescent="0.15">
      <c r="A956" s="16" t="s">
        <v>2184</v>
      </c>
      <c r="B956" s="12" t="s">
        <v>2187</v>
      </c>
      <c r="C956" s="13" t="s">
        <v>12</v>
      </c>
      <c r="D956" s="40">
        <v>0</v>
      </c>
    </row>
    <row r="957" spans="1:4" ht="22.5" customHeight="1" x14ac:dyDescent="0.15">
      <c r="A957" s="16" t="s">
        <v>347</v>
      </c>
      <c r="B957" s="12" t="s">
        <v>2188</v>
      </c>
      <c r="C957" s="13" t="s">
        <v>136</v>
      </c>
      <c r="D957" s="40">
        <v>0</v>
      </c>
    </row>
    <row r="958" spans="1:4" ht="22.5" customHeight="1" x14ac:dyDescent="0.15">
      <c r="A958" s="16" t="s">
        <v>347</v>
      </c>
      <c r="B958" s="12" t="s">
        <v>2189</v>
      </c>
      <c r="C958" s="13" t="s">
        <v>136</v>
      </c>
      <c r="D958" s="40">
        <v>0</v>
      </c>
    </row>
    <row r="959" spans="1:4" ht="22.5" customHeight="1" x14ac:dyDescent="0.15">
      <c r="A959" s="16" t="s">
        <v>347</v>
      </c>
      <c r="B959" s="12" t="s">
        <v>2190</v>
      </c>
      <c r="C959" s="13" t="s">
        <v>83</v>
      </c>
      <c r="D959" s="40">
        <v>0</v>
      </c>
    </row>
    <row r="960" spans="1:4" ht="22.5" customHeight="1" x14ac:dyDescent="0.15">
      <c r="A960" s="16" t="s">
        <v>351</v>
      </c>
      <c r="B960" s="12" t="s">
        <v>2191</v>
      </c>
      <c r="C960" s="13" t="s">
        <v>30</v>
      </c>
      <c r="D960" s="40">
        <v>0</v>
      </c>
    </row>
    <row r="961" spans="1:4" ht="22.5" customHeight="1" x14ac:dyDescent="0.15">
      <c r="A961" s="16" t="s">
        <v>351</v>
      </c>
      <c r="B961" s="12" t="s">
        <v>2192</v>
      </c>
      <c r="C961" s="13" t="s">
        <v>30</v>
      </c>
      <c r="D961" s="40">
        <v>0</v>
      </c>
    </row>
    <row r="962" spans="1:4" ht="22.5" customHeight="1" x14ac:dyDescent="0.15">
      <c r="A962" s="16" t="s">
        <v>351</v>
      </c>
      <c r="B962" s="12" t="s">
        <v>2193</v>
      </c>
      <c r="C962" s="13" t="s">
        <v>342</v>
      </c>
      <c r="D962" s="40">
        <v>0</v>
      </c>
    </row>
    <row r="963" spans="1:4" ht="22.5" customHeight="1" x14ac:dyDescent="0.15">
      <c r="A963" s="16" t="s">
        <v>351</v>
      </c>
      <c r="B963" s="12" t="s">
        <v>2194</v>
      </c>
      <c r="C963" s="13" t="s">
        <v>30</v>
      </c>
      <c r="D963" s="40">
        <v>0</v>
      </c>
    </row>
    <row r="964" spans="1:4" ht="22.5" customHeight="1" x14ac:dyDescent="0.15">
      <c r="A964" s="16" t="s">
        <v>351</v>
      </c>
      <c r="B964" s="12" t="s">
        <v>2195</v>
      </c>
      <c r="C964" s="13" t="s">
        <v>30</v>
      </c>
      <c r="D964" s="40">
        <v>0</v>
      </c>
    </row>
    <row r="965" spans="1:4" ht="22.5" customHeight="1" x14ac:dyDescent="0.15">
      <c r="A965" s="16" t="s">
        <v>351</v>
      </c>
      <c r="B965" s="12" t="s">
        <v>2196</v>
      </c>
      <c r="C965" s="13" t="s">
        <v>30</v>
      </c>
      <c r="D965" s="40">
        <v>0</v>
      </c>
    </row>
    <row r="966" spans="1:4" ht="22.5" customHeight="1" x14ac:dyDescent="0.15">
      <c r="A966" s="16" t="s">
        <v>355</v>
      </c>
      <c r="B966" s="12" t="s">
        <v>2197</v>
      </c>
      <c r="C966" s="13" t="s">
        <v>342</v>
      </c>
      <c r="D966" s="40">
        <v>0</v>
      </c>
    </row>
    <row r="967" spans="1:4" ht="22.5" customHeight="1" x14ac:dyDescent="0.15">
      <c r="A967" s="16" t="s">
        <v>359</v>
      </c>
      <c r="B967" s="12" t="s">
        <v>2198</v>
      </c>
      <c r="C967" s="13" t="s">
        <v>83</v>
      </c>
      <c r="D967" s="40">
        <v>0</v>
      </c>
    </row>
    <row r="968" spans="1:4" ht="22.5" customHeight="1" x14ac:dyDescent="0.15">
      <c r="A968" s="16" t="s">
        <v>1003</v>
      </c>
      <c r="B968" s="12" t="s">
        <v>2199</v>
      </c>
      <c r="C968" s="13" t="s">
        <v>513</v>
      </c>
      <c r="D968" s="40">
        <v>0</v>
      </c>
    </row>
    <row r="969" spans="1:4" ht="22.5" customHeight="1" x14ac:dyDescent="0.15">
      <c r="A969" s="16" t="s">
        <v>1003</v>
      </c>
      <c r="B969" s="12" t="s">
        <v>2200</v>
      </c>
      <c r="C969" s="13" t="s">
        <v>342</v>
      </c>
      <c r="D969" s="40">
        <v>0</v>
      </c>
    </row>
    <row r="970" spans="1:4" ht="22.5" customHeight="1" x14ac:dyDescent="0.15">
      <c r="A970" s="16" t="s">
        <v>658</v>
      </c>
      <c r="B970" s="12" t="s">
        <v>2201</v>
      </c>
      <c r="C970" s="13" t="s">
        <v>342</v>
      </c>
      <c r="D970" s="40">
        <v>0</v>
      </c>
    </row>
    <row r="971" spans="1:4" ht="22.5" customHeight="1" x14ac:dyDescent="0.15">
      <c r="A971" s="16" t="s">
        <v>1779</v>
      </c>
      <c r="B971" s="12" t="s">
        <v>2042</v>
      </c>
      <c r="C971" s="13" t="s">
        <v>342</v>
      </c>
      <c r="D971" s="40">
        <v>0</v>
      </c>
    </row>
    <row r="972" spans="1:4" ht="22.5" customHeight="1" x14ac:dyDescent="0.15">
      <c r="A972" s="16" t="s">
        <v>1013</v>
      </c>
      <c r="B972" s="12" t="s">
        <v>2202</v>
      </c>
      <c r="C972" s="13" t="s">
        <v>136</v>
      </c>
      <c r="D972" s="40">
        <v>0</v>
      </c>
    </row>
    <row r="973" spans="1:4" ht="22.5" customHeight="1" x14ac:dyDescent="0.15">
      <c r="A973" s="16" t="s">
        <v>384</v>
      </c>
      <c r="B973" s="12" t="s">
        <v>2203</v>
      </c>
      <c r="C973" s="13" t="s">
        <v>115</v>
      </c>
      <c r="D973" s="40">
        <v>0</v>
      </c>
    </row>
    <row r="974" spans="1:4" ht="22.5" customHeight="1" x14ac:dyDescent="0.15">
      <c r="A974" s="16" t="s">
        <v>391</v>
      </c>
      <c r="B974" s="12" t="s">
        <v>2204</v>
      </c>
      <c r="C974" s="13" t="s">
        <v>136</v>
      </c>
      <c r="D974" s="40">
        <v>0</v>
      </c>
    </row>
    <row r="975" spans="1:4" ht="22.5" customHeight="1" x14ac:dyDescent="0.15">
      <c r="A975" s="16" t="s">
        <v>391</v>
      </c>
      <c r="B975" s="12" t="s">
        <v>2205</v>
      </c>
      <c r="C975" s="13" t="s">
        <v>136</v>
      </c>
      <c r="D975" s="40">
        <v>0</v>
      </c>
    </row>
    <row r="976" spans="1:4" ht="22.5" customHeight="1" x14ac:dyDescent="0.15">
      <c r="A976" s="16" t="s">
        <v>391</v>
      </c>
      <c r="B976" s="12" t="s">
        <v>2206</v>
      </c>
      <c r="C976" s="13" t="s">
        <v>342</v>
      </c>
      <c r="D976" s="40">
        <v>0</v>
      </c>
    </row>
    <row r="977" spans="1:4" ht="22.5" customHeight="1" x14ac:dyDescent="0.15">
      <c r="A977" s="16" t="s">
        <v>710</v>
      </c>
      <c r="B977" s="12" t="s">
        <v>2207</v>
      </c>
      <c r="C977" s="13" t="s">
        <v>136</v>
      </c>
      <c r="D977" s="40">
        <v>0</v>
      </c>
    </row>
    <row r="978" spans="1:4" ht="22.5" customHeight="1" x14ac:dyDescent="0.15">
      <c r="A978" s="16" t="s">
        <v>710</v>
      </c>
      <c r="B978" s="12" t="s">
        <v>2208</v>
      </c>
      <c r="C978" s="13" t="s">
        <v>30</v>
      </c>
      <c r="D978" s="40">
        <v>0</v>
      </c>
    </row>
    <row r="979" spans="1:4" ht="22.5" customHeight="1" x14ac:dyDescent="0.15">
      <c r="A979" s="16" t="s">
        <v>710</v>
      </c>
      <c r="B979" s="12" t="s">
        <v>2209</v>
      </c>
      <c r="C979" s="13" t="s">
        <v>30</v>
      </c>
      <c r="D979" s="40">
        <v>0</v>
      </c>
    </row>
    <row r="980" spans="1:4" ht="22.5" customHeight="1" x14ac:dyDescent="0.15">
      <c r="A980" s="16" t="s">
        <v>395</v>
      </c>
      <c r="B980" s="12" t="s">
        <v>2210</v>
      </c>
      <c r="C980" s="13" t="s">
        <v>136</v>
      </c>
      <c r="D980" s="40">
        <v>0</v>
      </c>
    </row>
    <row r="981" spans="1:4" ht="22.5" customHeight="1" x14ac:dyDescent="0.15">
      <c r="A981" s="16" t="s">
        <v>395</v>
      </c>
      <c r="B981" s="12" t="s">
        <v>2211</v>
      </c>
      <c r="C981" s="13" t="s">
        <v>83</v>
      </c>
      <c r="D981" s="40">
        <v>0</v>
      </c>
    </row>
    <row r="982" spans="1:4" ht="22.5" customHeight="1" x14ac:dyDescent="0.15">
      <c r="A982" s="16" t="s">
        <v>395</v>
      </c>
      <c r="B982" s="12" t="s">
        <v>2212</v>
      </c>
      <c r="C982" s="13" t="s">
        <v>115</v>
      </c>
      <c r="D982" s="40">
        <v>0</v>
      </c>
    </row>
    <row r="983" spans="1:4" ht="22.5" customHeight="1" x14ac:dyDescent="0.15">
      <c r="A983" s="16" t="s">
        <v>1088</v>
      </c>
      <c r="B983" s="12" t="s">
        <v>2213</v>
      </c>
      <c r="C983" s="13" t="s">
        <v>219</v>
      </c>
      <c r="D983" s="40">
        <v>0</v>
      </c>
    </row>
    <row r="984" spans="1:4" ht="22.5" customHeight="1" x14ac:dyDescent="0.15">
      <c r="A984" s="16" t="s">
        <v>1088</v>
      </c>
      <c r="B984" s="12" t="s">
        <v>2214</v>
      </c>
      <c r="C984" s="13" t="s">
        <v>77</v>
      </c>
      <c r="D984" s="40">
        <v>0</v>
      </c>
    </row>
    <row r="985" spans="1:4" ht="22.5" customHeight="1" x14ac:dyDescent="0.15">
      <c r="A985" s="16" t="s">
        <v>1088</v>
      </c>
      <c r="B985" s="12" t="s">
        <v>2215</v>
      </c>
      <c r="C985" s="13" t="s">
        <v>12</v>
      </c>
      <c r="D985" s="40">
        <v>0</v>
      </c>
    </row>
    <row r="986" spans="1:4" ht="22.5" customHeight="1" x14ac:dyDescent="0.15">
      <c r="A986" s="16" t="s">
        <v>1088</v>
      </c>
      <c r="B986" s="12" t="s">
        <v>2216</v>
      </c>
      <c r="C986" s="13" t="s">
        <v>30</v>
      </c>
      <c r="D986" s="40">
        <v>0</v>
      </c>
    </row>
    <row r="987" spans="1:4" ht="22.5" customHeight="1" x14ac:dyDescent="0.15">
      <c r="A987" s="16" t="s">
        <v>2219</v>
      </c>
      <c r="B987" s="12" t="s">
        <v>2220</v>
      </c>
      <c r="C987" s="13" t="s">
        <v>30</v>
      </c>
      <c r="D987" s="40">
        <v>0</v>
      </c>
    </row>
    <row r="988" spans="1:4" ht="22.5" customHeight="1" x14ac:dyDescent="0.15">
      <c r="A988" s="16" t="s">
        <v>2219</v>
      </c>
      <c r="B988" s="12" t="s">
        <v>2221</v>
      </c>
      <c r="C988" s="13" t="s">
        <v>115</v>
      </c>
      <c r="D988" s="40">
        <v>0</v>
      </c>
    </row>
    <row r="989" spans="1:4" ht="22.5" customHeight="1" x14ac:dyDescent="0.15">
      <c r="A989" s="16" t="s">
        <v>2219</v>
      </c>
      <c r="B989" s="12" t="s">
        <v>2222</v>
      </c>
      <c r="C989" s="13" t="s">
        <v>513</v>
      </c>
      <c r="D989" s="40">
        <v>0</v>
      </c>
    </row>
    <row r="990" spans="1:4" ht="22.5" customHeight="1" x14ac:dyDescent="0.15">
      <c r="A990" s="16" t="s">
        <v>2225</v>
      </c>
      <c r="B990" s="12" t="s">
        <v>2226</v>
      </c>
      <c r="C990" s="13" t="s">
        <v>18</v>
      </c>
      <c r="D990" s="40">
        <v>0</v>
      </c>
    </row>
    <row r="991" spans="1:4" ht="22.5" customHeight="1" x14ac:dyDescent="0.15">
      <c r="A991" s="16" t="s">
        <v>1517</v>
      </c>
      <c r="B991" s="12" t="s">
        <v>2094</v>
      </c>
      <c r="C991" s="13" t="s">
        <v>12</v>
      </c>
      <c r="D991" s="40">
        <v>0</v>
      </c>
    </row>
    <row r="992" spans="1:4" ht="22.5" customHeight="1" x14ac:dyDescent="0.15">
      <c r="A992" s="16" t="s">
        <v>1517</v>
      </c>
      <c r="B992" s="12" t="s">
        <v>2095</v>
      </c>
      <c r="C992" s="13" t="s">
        <v>12</v>
      </c>
      <c r="D992" s="40">
        <v>0</v>
      </c>
    </row>
    <row r="993" spans="1:4" ht="22.5" customHeight="1" x14ac:dyDescent="0.15">
      <c r="A993" s="16" t="s">
        <v>399</v>
      </c>
      <c r="B993" s="12" t="s">
        <v>2108</v>
      </c>
      <c r="C993" s="13" t="s">
        <v>88</v>
      </c>
      <c r="D993" s="40">
        <v>0</v>
      </c>
    </row>
    <row r="994" spans="1:4" ht="22.5" customHeight="1" x14ac:dyDescent="0.15">
      <c r="A994" s="16" t="s">
        <v>399</v>
      </c>
      <c r="B994" s="12" t="s">
        <v>2109</v>
      </c>
      <c r="C994" s="13" t="s">
        <v>30</v>
      </c>
      <c r="D994" s="40">
        <v>0</v>
      </c>
    </row>
    <row r="995" spans="1:4" ht="22.5" customHeight="1" x14ac:dyDescent="0.15">
      <c r="A995" s="16" t="s">
        <v>399</v>
      </c>
      <c r="B995" s="12" t="s">
        <v>2110</v>
      </c>
      <c r="C995" s="13" t="s">
        <v>30</v>
      </c>
      <c r="D995" s="40">
        <v>0</v>
      </c>
    </row>
    <row r="996" spans="1:4" ht="22.5" customHeight="1" x14ac:dyDescent="0.15">
      <c r="A996" s="16" t="s">
        <v>399</v>
      </c>
      <c r="B996" s="12" t="s">
        <v>2111</v>
      </c>
      <c r="C996" s="13" t="s">
        <v>88</v>
      </c>
      <c r="D996" s="40">
        <v>0</v>
      </c>
    </row>
    <row r="997" spans="1:4" ht="22.5" customHeight="1" x14ac:dyDescent="0.15">
      <c r="A997" s="16" t="s">
        <v>399</v>
      </c>
      <c r="B997" s="12" t="s">
        <v>2112</v>
      </c>
      <c r="C997" s="13" t="s">
        <v>88</v>
      </c>
      <c r="D997" s="40">
        <v>0</v>
      </c>
    </row>
    <row r="998" spans="1:4" ht="22.5" customHeight="1" x14ac:dyDescent="0.15">
      <c r="A998" s="16" t="s">
        <v>399</v>
      </c>
      <c r="B998" s="12" t="s">
        <v>2113</v>
      </c>
      <c r="C998" s="13" t="s">
        <v>88</v>
      </c>
      <c r="D998" s="40">
        <v>0</v>
      </c>
    </row>
    <row r="999" spans="1:4" ht="22.5" customHeight="1" x14ac:dyDescent="0.15">
      <c r="A999" s="16" t="s">
        <v>399</v>
      </c>
      <c r="B999" s="12" t="s">
        <v>2114</v>
      </c>
      <c r="C999" s="13" t="s">
        <v>88</v>
      </c>
      <c r="D999" s="40">
        <v>0</v>
      </c>
    </row>
    <row r="1000" spans="1:4" ht="22.5" customHeight="1" x14ac:dyDescent="0.15">
      <c r="A1000" s="16" t="s">
        <v>399</v>
      </c>
      <c r="B1000" s="12" t="s">
        <v>2115</v>
      </c>
      <c r="C1000" s="13" t="s">
        <v>88</v>
      </c>
      <c r="D1000" s="40">
        <v>0</v>
      </c>
    </row>
    <row r="1001" spans="1:4" ht="22.5" customHeight="1" x14ac:dyDescent="0.15">
      <c r="A1001" s="16" t="s">
        <v>399</v>
      </c>
      <c r="B1001" s="12" t="s">
        <v>2116</v>
      </c>
      <c r="C1001" s="13" t="s">
        <v>88</v>
      </c>
      <c r="D1001" s="40">
        <v>0</v>
      </c>
    </row>
    <row r="1002" spans="1:4" ht="22.5" customHeight="1" x14ac:dyDescent="0.15">
      <c r="A1002" s="16" t="s">
        <v>401</v>
      </c>
      <c r="B1002" s="12" t="s">
        <v>2227</v>
      </c>
      <c r="C1002" s="13" t="s">
        <v>12</v>
      </c>
      <c r="D1002" s="40">
        <v>0</v>
      </c>
    </row>
    <row r="1003" spans="1:4" ht="22.5" customHeight="1" x14ac:dyDescent="0.15">
      <c r="A1003" s="16" t="s">
        <v>401</v>
      </c>
      <c r="B1003" s="12" t="s">
        <v>2228</v>
      </c>
      <c r="C1003" s="13" t="s">
        <v>12</v>
      </c>
      <c r="D1003" s="40">
        <v>0</v>
      </c>
    </row>
    <row r="1004" spans="1:4" ht="22.5" customHeight="1" x14ac:dyDescent="0.15">
      <c r="A1004" s="16" t="s">
        <v>401</v>
      </c>
      <c r="B1004" s="12" t="s">
        <v>2229</v>
      </c>
      <c r="C1004" s="13" t="s">
        <v>30</v>
      </c>
      <c r="D1004" s="40">
        <v>0</v>
      </c>
    </row>
    <row r="1005" spans="1:4" ht="22.5" customHeight="1" x14ac:dyDescent="0.15">
      <c r="A1005" s="16" t="s">
        <v>1797</v>
      </c>
      <c r="B1005" s="12" t="s">
        <v>2117</v>
      </c>
      <c r="C1005" s="13" t="s">
        <v>83</v>
      </c>
      <c r="D1005" s="40">
        <v>0</v>
      </c>
    </row>
    <row r="1006" spans="1:4" ht="22.5" customHeight="1" x14ac:dyDescent="0.15">
      <c r="A1006" s="16" t="s">
        <v>1797</v>
      </c>
      <c r="B1006" s="12" t="s">
        <v>2118</v>
      </c>
      <c r="C1006" s="13" t="s">
        <v>83</v>
      </c>
      <c r="D1006" s="40">
        <v>0</v>
      </c>
    </row>
    <row r="1007" spans="1:4" ht="22.5" customHeight="1" x14ac:dyDescent="0.15">
      <c r="A1007" s="16" t="s">
        <v>1797</v>
      </c>
      <c r="B1007" s="12" t="s">
        <v>2119</v>
      </c>
      <c r="C1007" s="13" t="s">
        <v>83</v>
      </c>
      <c r="D1007" s="40">
        <v>0</v>
      </c>
    </row>
    <row r="1008" spans="1:4" ht="22.5" customHeight="1" x14ac:dyDescent="0.15">
      <c r="A1008" s="16" t="s">
        <v>94</v>
      </c>
      <c r="B1008" s="12" t="s">
        <v>2230</v>
      </c>
      <c r="C1008" s="13" t="s">
        <v>136</v>
      </c>
      <c r="D1008" s="40">
        <v>0</v>
      </c>
    </row>
    <row r="1009" spans="1:4" ht="22.5" customHeight="1" x14ac:dyDescent="0.15">
      <c r="A1009" s="16" t="s">
        <v>94</v>
      </c>
      <c r="B1009" s="12" t="s">
        <v>2231</v>
      </c>
      <c r="C1009" s="13" t="s">
        <v>83</v>
      </c>
      <c r="D1009" s="40">
        <v>0</v>
      </c>
    </row>
    <row r="1010" spans="1:4" ht="22.5" customHeight="1" x14ac:dyDescent="0.15">
      <c r="A1010" s="16" t="s">
        <v>94</v>
      </c>
      <c r="B1010" s="12" t="s">
        <v>2232</v>
      </c>
      <c r="C1010" s="13" t="s">
        <v>83</v>
      </c>
      <c r="D1010" s="40">
        <v>0</v>
      </c>
    </row>
    <row r="1011" spans="1:4" ht="22.5" customHeight="1" x14ac:dyDescent="0.15">
      <c r="A1011" s="16" t="s">
        <v>1120</v>
      </c>
      <c r="B1011" s="12" t="s">
        <v>2233</v>
      </c>
      <c r="C1011" s="13" t="s">
        <v>12</v>
      </c>
      <c r="D1011" s="40">
        <v>602</v>
      </c>
    </row>
    <row r="1012" spans="1:4" ht="22.5" customHeight="1" x14ac:dyDescent="0.15">
      <c r="A1012" s="16" t="s">
        <v>1120</v>
      </c>
      <c r="B1012" s="12" t="s">
        <v>2234</v>
      </c>
      <c r="C1012" s="13" t="s">
        <v>23</v>
      </c>
      <c r="D1012" s="40">
        <v>0</v>
      </c>
    </row>
    <row r="1013" spans="1:4" ht="22.5" customHeight="1" x14ac:dyDescent="0.15">
      <c r="A1013" s="16" t="s">
        <v>1120</v>
      </c>
      <c r="B1013" s="12" t="s">
        <v>2235</v>
      </c>
      <c r="C1013" s="13" t="s">
        <v>23</v>
      </c>
      <c r="D1013" s="40">
        <v>0</v>
      </c>
    </row>
    <row r="1014" spans="1:4" ht="22.5" customHeight="1" x14ac:dyDescent="0.15">
      <c r="A1014" s="16" t="s">
        <v>1127</v>
      </c>
      <c r="B1014" s="12" t="s">
        <v>2236</v>
      </c>
      <c r="C1014" s="13" t="s">
        <v>77</v>
      </c>
      <c r="D1014" s="40">
        <v>0</v>
      </c>
    </row>
    <row r="1015" spans="1:4" ht="22.5" customHeight="1" x14ac:dyDescent="0.15">
      <c r="A1015" s="16" t="s">
        <v>1127</v>
      </c>
      <c r="B1015" s="12" t="s">
        <v>2237</v>
      </c>
      <c r="C1015" s="13" t="s">
        <v>342</v>
      </c>
      <c r="D1015" s="40">
        <v>0</v>
      </c>
    </row>
    <row r="1016" spans="1:4" ht="22.5" customHeight="1" x14ac:dyDescent="0.15">
      <c r="A1016" s="16" t="s">
        <v>1127</v>
      </c>
      <c r="B1016" s="12" t="s">
        <v>2238</v>
      </c>
      <c r="C1016" s="13" t="s">
        <v>30</v>
      </c>
      <c r="D1016" s="40">
        <v>0</v>
      </c>
    </row>
    <row r="1017" spans="1:4" ht="22.5" customHeight="1" x14ac:dyDescent="0.15">
      <c r="A1017" s="16" t="s">
        <v>1127</v>
      </c>
      <c r="B1017" s="12" t="s">
        <v>2237</v>
      </c>
      <c r="C1017" s="13" t="s">
        <v>342</v>
      </c>
      <c r="D1017" s="40">
        <v>0</v>
      </c>
    </row>
    <row r="1018" spans="1:4" ht="22.5" customHeight="1" x14ac:dyDescent="0.15">
      <c r="A1018" s="16" t="s">
        <v>714</v>
      </c>
      <c r="B1018" s="12" t="s">
        <v>2239</v>
      </c>
      <c r="C1018" s="13" t="s">
        <v>136</v>
      </c>
      <c r="D1018" s="40">
        <v>0</v>
      </c>
    </row>
    <row r="1019" spans="1:4" ht="22.5" customHeight="1" x14ac:dyDescent="0.15">
      <c r="A1019" s="16" t="s">
        <v>714</v>
      </c>
      <c r="B1019" s="12" t="s">
        <v>2240</v>
      </c>
      <c r="C1019" s="13" t="s">
        <v>12</v>
      </c>
      <c r="D1019" s="40">
        <v>0</v>
      </c>
    </row>
    <row r="1020" spans="1:4" ht="22.5" customHeight="1" x14ac:dyDescent="0.15">
      <c r="A1020" s="16" t="s">
        <v>714</v>
      </c>
      <c r="B1020" s="12" t="s">
        <v>2241</v>
      </c>
      <c r="C1020" s="13" t="s">
        <v>12</v>
      </c>
      <c r="D1020" s="40">
        <v>0</v>
      </c>
    </row>
    <row r="1021" spans="1:4" ht="22.5" customHeight="1" x14ac:dyDescent="0.15">
      <c r="A1021" s="16" t="s">
        <v>2244</v>
      </c>
      <c r="B1021" s="12" t="s">
        <v>2245</v>
      </c>
      <c r="C1021" s="13" t="s">
        <v>23</v>
      </c>
      <c r="D1021" s="40">
        <v>0</v>
      </c>
    </row>
    <row r="1022" spans="1:4" ht="22.5" customHeight="1" x14ac:dyDescent="0.15">
      <c r="A1022" s="16" t="s">
        <v>417</v>
      </c>
      <c r="B1022" s="12" t="s">
        <v>2246</v>
      </c>
      <c r="C1022" s="13" t="s">
        <v>342</v>
      </c>
      <c r="D1022" s="40">
        <v>0</v>
      </c>
    </row>
    <row r="1023" spans="1:4" ht="22.5" customHeight="1" x14ac:dyDescent="0.15">
      <c r="A1023" s="16" t="s">
        <v>429</v>
      </c>
      <c r="B1023" s="12" t="s">
        <v>2247</v>
      </c>
      <c r="C1023" s="13" t="s">
        <v>136</v>
      </c>
      <c r="D1023" s="40">
        <v>0</v>
      </c>
    </row>
    <row r="1024" spans="1:4" ht="22.5" customHeight="1" x14ac:dyDescent="0.15">
      <c r="A1024" s="16" t="s">
        <v>429</v>
      </c>
      <c r="B1024" s="12" t="s">
        <v>2248</v>
      </c>
      <c r="C1024" s="13" t="s">
        <v>136</v>
      </c>
      <c r="D1024" s="40">
        <v>0</v>
      </c>
    </row>
    <row r="1025" spans="1:4" ht="22.5" customHeight="1" x14ac:dyDescent="0.15">
      <c r="A1025" s="16" t="s">
        <v>429</v>
      </c>
      <c r="B1025" s="12" t="s">
        <v>2249</v>
      </c>
      <c r="C1025" s="13" t="s">
        <v>30</v>
      </c>
      <c r="D1025" s="40">
        <v>0</v>
      </c>
    </row>
    <row r="1026" spans="1:4" ht="22.5" customHeight="1" x14ac:dyDescent="0.15">
      <c r="A1026" s="16" t="s">
        <v>1155</v>
      </c>
      <c r="B1026" s="12" t="s">
        <v>2142</v>
      </c>
      <c r="C1026" s="13" t="s">
        <v>30</v>
      </c>
      <c r="D1026" s="40">
        <v>0</v>
      </c>
    </row>
    <row r="1027" spans="1:4" ht="22.5" customHeight="1" x14ac:dyDescent="0.15">
      <c r="A1027" s="16" t="s">
        <v>1155</v>
      </c>
      <c r="B1027" s="12" t="s">
        <v>2143</v>
      </c>
      <c r="C1027" s="13" t="s">
        <v>136</v>
      </c>
      <c r="D1027" s="40">
        <v>0</v>
      </c>
    </row>
    <row r="1028" spans="1:4" ht="22.5" customHeight="1" x14ac:dyDescent="0.15">
      <c r="A1028" s="16" t="s">
        <v>1155</v>
      </c>
      <c r="B1028" s="12" t="s">
        <v>2144</v>
      </c>
      <c r="C1028" s="13" t="s">
        <v>30</v>
      </c>
      <c r="D1028" s="40">
        <v>0</v>
      </c>
    </row>
    <row r="1029" spans="1:4" ht="22.5" customHeight="1" x14ac:dyDescent="0.15">
      <c r="A1029" s="16" t="s">
        <v>1155</v>
      </c>
      <c r="B1029" s="12" t="s">
        <v>2145</v>
      </c>
      <c r="C1029" s="13" t="s">
        <v>30</v>
      </c>
      <c r="D1029" s="40">
        <v>0</v>
      </c>
    </row>
    <row r="1030" spans="1:4" ht="22.5" customHeight="1" x14ac:dyDescent="0.15">
      <c r="A1030" s="16" t="s">
        <v>1155</v>
      </c>
      <c r="B1030" s="12" t="s">
        <v>2146</v>
      </c>
      <c r="C1030" s="13" t="s">
        <v>30</v>
      </c>
      <c r="D1030" s="40">
        <v>0</v>
      </c>
    </row>
    <row r="1031" spans="1:4" ht="22.5" customHeight="1" x14ac:dyDescent="0.15">
      <c r="A1031" s="16" t="s">
        <v>1155</v>
      </c>
      <c r="B1031" s="12" t="s">
        <v>2147</v>
      </c>
      <c r="C1031" s="13" t="s">
        <v>88</v>
      </c>
      <c r="D1031" s="40">
        <v>0</v>
      </c>
    </row>
    <row r="1032" spans="1:4" ht="22.5" customHeight="1" x14ac:dyDescent="0.15">
      <c r="A1032" s="16" t="s">
        <v>1161</v>
      </c>
      <c r="B1032" s="12" t="s">
        <v>2250</v>
      </c>
      <c r="C1032" s="13" t="s">
        <v>342</v>
      </c>
      <c r="D1032" s="40">
        <v>0</v>
      </c>
    </row>
    <row r="1033" spans="1:4" ht="22.5" customHeight="1" x14ac:dyDescent="0.15">
      <c r="A1033" s="16" t="s">
        <v>443</v>
      </c>
      <c r="B1033" s="12" t="s">
        <v>2251</v>
      </c>
      <c r="C1033" s="13" t="s">
        <v>136</v>
      </c>
      <c r="D1033" s="40">
        <v>0</v>
      </c>
    </row>
    <row r="1034" spans="1:4" ht="22.5" customHeight="1" x14ac:dyDescent="0.15">
      <c r="A1034" s="16" t="s">
        <v>443</v>
      </c>
      <c r="B1034" s="12" t="s">
        <v>2252</v>
      </c>
      <c r="C1034" s="13" t="s">
        <v>136</v>
      </c>
      <c r="D1034" s="40">
        <v>0</v>
      </c>
    </row>
    <row r="1035" spans="1:4" ht="22.5" customHeight="1" x14ac:dyDescent="0.15">
      <c r="A1035" s="16" t="s">
        <v>443</v>
      </c>
      <c r="B1035" s="12" t="s">
        <v>2253</v>
      </c>
      <c r="C1035" s="13" t="s">
        <v>136</v>
      </c>
      <c r="D1035" s="40">
        <v>0</v>
      </c>
    </row>
    <row r="1036" spans="1:4" ht="22.5" customHeight="1" x14ac:dyDescent="0.15">
      <c r="A1036" s="16" t="s">
        <v>443</v>
      </c>
      <c r="B1036" s="12" t="s">
        <v>2254</v>
      </c>
      <c r="C1036" s="13" t="s">
        <v>136</v>
      </c>
      <c r="D1036" s="40">
        <v>0</v>
      </c>
    </row>
    <row r="1037" spans="1:4" ht="22.5" customHeight="1" x14ac:dyDescent="0.15">
      <c r="A1037" s="16" t="s">
        <v>447</v>
      </c>
      <c r="B1037" s="12" t="s">
        <v>2255</v>
      </c>
      <c r="C1037" s="13" t="s">
        <v>30</v>
      </c>
      <c r="D1037" s="40">
        <v>0</v>
      </c>
    </row>
    <row r="1038" spans="1:4" ht="22.5" customHeight="1" x14ac:dyDescent="0.15">
      <c r="A1038" s="16" t="s">
        <v>456</v>
      </c>
      <c r="B1038" s="12" t="s">
        <v>2255</v>
      </c>
      <c r="C1038" s="13" t="s">
        <v>30</v>
      </c>
      <c r="D1038" s="40">
        <v>0</v>
      </c>
    </row>
    <row r="1039" spans="1:4" ht="22.5" customHeight="1" x14ac:dyDescent="0.15">
      <c r="A1039" s="16" t="s">
        <v>628</v>
      </c>
      <c r="B1039" s="12" t="s">
        <v>2256</v>
      </c>
      <c r="C1039" s="13" t="s">
        <v>342</v>
      </c>
      <c r="D1039" s="40">
        <v>0</v>
      </c>
    </row>
    <row r="1040" spans="1:4" ht="22.5" customHeight="1" x14ac:dyDescent="0.15">
      <c r="A1040" s="16" t="s">
        <v>463</v>
      </c>
      <c r="B1040" s="12" t="s">
        <v>2257</v>
      </c>
      <c r="C1040" s="13" t="s">
        <v>30</v>
      </c>
      <c r="D1040" s="40">
        <v>0</v>
      </c>
    </row>
    <row r="1041" spans="1:4" ht="22.5" customHeight="1" x14ac:dyDescent="0.15">
      <c r="A1041" s="16" t="s">
        <v>463</v>
      </c>
      <c r="B1041" s="12" t="s">
        <v>2175</v>
      </c>
      <c r="C1041" s="13" t="s">
        <v>342</v>
      </c>
      <c r="D1041" s="40">
        <v>0</v>
      </c>
    </row>
    <row r="1042" spans="1:4" ht="22.5" customHeight="1" x14ac:dyDescent="0.15">
      <c r="A1042" s="16" t="s">
        <v>463</v>
      </c>
      <c r="B1042" s="12" t="s">
        <v>2176</v>
      </c>
      <c r="C1042" s="13" t="s">
        <v>115</v>
      </c>
      <c r="D1042" s="40">
        <v>0</v>
      </c>
    </row>
    <row r="1043" spans="1:4" ht="22.5" customHeight="1" x14ac:dyDescent="0.15">
      <c r="A1043" s="16" t="s">
        <v>2260</v>
      </c>
      <c r="B1043" s="12" t="s">
        <v>2261</v>
      </c>
      <c r="C1043" s="13" t="s">
        <v>513</v>
      </c>
      <c r="D1043" s="40">
        <v>0</v>
      </c>
    </row>
    <row r="1044" spans="1:4" ht="22.5" customHeight="1" x14ac:dyDescent="0.15">
      <c r="A1044" s="16" t="s">
        <v>2260</v>
      </c>
      <c r="B1044" s="12" t="s">
        <v>2262</v>
      </c>
      <c r="C1044" s="13" t="s">
        <v>136</v>
      </c>
      <c r="D1044" s="40">
        <v>0</v>
      </c>
    </row>
    <row r="1045" spans="1:4" ht="22.5" customHeight="1" x14ac:dyDescent="0.15">
      <c r="A1045" s="16" t="s">
        <v>2260</v>
      </c>
      <c r="B1045" s="12" t="s">
        <v>2263</v>
      </c>
      <c r="C1045" s="13" t="s">
        <v>88</v>
      </c>
      <c r="D1045" s="40">
        <v>0</v>
      </c>
    </row>
    <row r="1046" spans="1:4" ht="22.5" customHeight="1" x14ac:dyDescent="0.15">
      <c r="A1046" s="16" t="s">
        <v>2260</v>
      </c>
      <c r="B1046" s="12" t="s">
        <v>2264</v>
      </c>
      <c r="C1046" s="13" t="s">
        <v>136</v>
      </c>
      <c r="D1046" s="40">
        <v>0</v>
      </c>
    </row>
    <row r="1047" spans="1:4" ht="22.5" customHeight="1" x14ac:dyDescent="0.15">
      <c r="A1047" s="16" t="s">
        <v>2260</v>
      </c>
      <c r="B1047" s="12" t="s">
        <v>2265</v>
      </c>
      <c r="C1047" s="13" t="s">
        <v>136</v>
      </c>
      <c r="D1047" s="40">
        <v>0</v>
      </c>
    </row>
    <row r="1048" spans="1:4" ht="22.5" customHeight="1" x14ac:dyDescent="0.15">
      <c r="A1048" s="16" t="s">
        <v>2260</v>
      </c>
      <c r="B1048" s="12" t="s">
        <v>2266</v>
      </c>
      <c r="C1048" s="13" t="s">
        <v>136</v>
      </c>
      <c r="D1048" s="40">
        <v>0</v>
      </c>
    </row>
    <row r="1049" spans="1:4" ht="22.5" customHeight="1" x14ac:dyDescent="0.15">
      <c r="A1049" s="16" t="s">
        <v>2260</v>
      </c>
      <c r="B1049" s="12" t="s">
        <v>2267</v>
      </c>
      <c r="C1049" s="13" t="s">
        <v>136</v>
      </c>
      <c r="D1049" s="40">
        <v>0</v>
      </c>
    </row>
    <row r="1050" spans="1:4" ht="22.5" customHeight="1" x14ac:dyDescent="0.15">
      <c r="A1050" s="16" t="s">
        <v>2269</v>
      </c>
      <c r="B1050" s="12" t="s">
        <v>2270</v>
      </c>
      <c r="C1050" s="13" t="s">
        <v>136</v>
      </c>
      <c r="D1050" s="40">
        <v>0</v>
      </c>
    </row>
    <row r="1051" spans="1:4" ht="22.5" customHeight="1" x14ac:dyDescent="0.15">
      <c r="A1051" s="16" t="s">
        <v>2269</v>
      </c>
      <c r="B1051" s="12" t="s">
        <v>2271</v>
      </c>
      <c r="C1051" s="13" t="s">
        <v>136</v>
      </c>
      <c r="D1051" s="40">
        <v>0</v>
      </c>
    </row>
    <row r="1052" spans="1:4" ht="22.5" customHeight="1" x14ac:dyDescent="0.15">
      <c r="A1052" s="16" t="s">
        <v>2269</v>
      </c>
      <c r="B1052" s="12" t="s">
        <v>2270</v>
      </c>
      <c r="C1052" s="13" t="s">
        <v>136</v>
      </c>
      <c r="D1052" s="40">
        <v>0</v>
      </c>
    </row>
    <row r="1053" spans="1:4" ht="22.5" customHeight="1" x14ac:dyDescent="0.15">
      <c r="A1053" s="16" t="s">
        <v>2269</v>
      </c>
      <c r="B1053" s="12" t="s">
        <v>2272</v>
      </c>
      <c r="C1053" s="13" t="s">
        <v>136</v>
      </c>
      <c r="D1053" s="40">
        <v>0</v>
      </c>
    </row>
    <row r="1054" spans="1:4" ht="22.5" customHeight="1" x14ac:dyDescent="0.15">
      <c r="A1054" s="16" t="s">
        <v>2269</v>
      </c>
      <c r="B1054" s="12" t="s">
        <v>2273</v>
      </c>
      <c r="C1054" s="13" t="s">
        <v>136</v>
      </c>
      <c r="D1054" s="40">
        <v>0</v>
      </c>
    </row>
    <row r="1055" spans="1:4" ht="22.5" customHeight="1" x14ac:dyDescent="0.15">
      <c r="A1055" s="16" t="s">
        <v>2269</v>
      </c>
      <c r="B1055" s="12" t="s">
        <v>2273</v>
      </c>
      <c r="C1055" s="13" t="s">
        <v>136</v>
      </c>
      <c r="D1055" s="40">
        <v>0</v>
      </c>
    </row>
    <row r="1056" spans="1:4" ht="22.5" customHeight="1" x14ac:dyDescent="0.15">
      <c r="A1056" s="16" t="s">
        <v>2269</v>
      </c>
      <c r="B1056" s="12" t="s">
        <v>2274</v>
      </c>
      <c r="C1056" s="13" t="s">
        <v>88</v>
      </c>
      <c r="D1056" s="40">
        <v>0</v>
      </c>
    </row>
    <row r="1057" spans="1:4" ht="22.5" customHeight="1" x14ac:dyDescent="0.15">
      <c r="A1057" s="16" t="s">
        <v>2269</v>
      </c>
      <c r="B1057" s="12" t="s">
        <v>2272</v>
      </c>
      <c r="C1057" s="13" t="s">
        <v>136</v>
      </c>
      <c r="D1057" s="40">
        <v>0</v>
      </c>
    </row>
    <row r="1058" spans="1:4" ht="22.5" customHeight="1" x14ac:dyDescent="0.15">
      <c r="A1058" s="16" t="s">
        <v>2269</v>
      </c>
      <c r="B1058" s="12" t="s">
        <v>2275</v>
      </c>
      <c r="C1058" s="13" t="s">
        <v>136</v>
      </c>
      <c r="D1058" s="40">
        <v>0</v>
      </c>
    </row>
    <row r="1059" spans="1:4" ht="22.5" customHeight="1" x14ac:dyDescent="0.15">
      <c r="A1059" s="16" t="s">
        <v>1181</v>
      </c>
      <c r="B1059" s="12" t="s">
        <v>2261</v>
      </c>
      <c r="C1059" s="13" t="s">
        <v>513</v>
      </c>
      <c r="D1059" s="40">
        <v>0</v>
      </c>
    </row>
    <row r="1060" spans="1:4" ht="22.5" customHeight="1" x14ac:dyDescent="0.15">
      <c r="A1060" s="16" t="s">
        <v>1181</v>
      </c>
      <c r="B1060" s="12" t="s">
        <v>2261</v>
      </c>
      <c r="C1060" s="13" t="s">
        <v>513</v>
      </c>
      <c r="D1060" s="40">
        <v>0</v>
      </c>
    </row>
    <row r="1061" spans="1:4" ht="22.5" customHeight="1" x14ac:dyDescent="0.15">
      <c r="A1061" s="16" t="s">
        <v>1181</v>
      </c>
      <c r="B1061" s="12" t="s">
        <v>2261</v>
      </c>
      <c r="C1061" s="13" t="s">
        <v>513</v>
      </c>
      <c r="D1061" s="40">
        <v>0</v>
      </c>
    </row>
    <row r="1062" spans="1:4" ht="22.5" customHeight="1" x14ac:dyDescent="0.15">
      <c r="A1062" s="16" t="s">
        <v>703</v>
      </c>
      <c r="B1062" s="12" t="s">
        <v>2261</v>
      </c>
      <c r="C1062" s="13" t="s">
        <v>513</v>
      </c>
      <c r="D1062" s="40">
        <v>0</v>
      </c>
    </row>
    <row r="1063" spans="1:4" ht="22.5" customHeight="1" x14ac:dyDescent="0.15">
      <c r="A1063" s="16" t="s">
        <v>703</v>
      </c>
      <c r="B1063" s="12" t="s">
        <v>2261</v>
      </c>
      <c r="C1063" s="13" t="s">
        <v>513</v>
      </c>
      <c r="D1063" s="40">
        <v>0</v>
      </c>
    </row>
    <row r="1064" spans="1:4" ht="22.5" customHeight="1" x14ac:dyDescent="0.15">
      <c r="A1064" s="16" t="s">
        <v>703</v>
      </c>
      <c r="B1064" s="12" t="s">
        <v>2261</v>
      </c>
      <c r="C1064" s="13" t="s">
        <v>513</v>
      </c>
      <c r="D1064" s="40">
        <v>0</v>
      </c>
    </row>
    <row r="1065" spans="1:4" ht="22.5" customHeight="1" x14ac:dyDescent="0.15">
      <c r="A1065" s="16" t="s">
        <v>703</v>
      </c>
      <c r="B1065" s="12" t="s">
        <v>2261</v>
      </c>
      <c r="C1065" s="13" t="s">
        <v>513</v>
      </c>
      <c r="D1065" s="40">
        <v>0</v>
      </c>
    </row>
    <row r="1066" spans="1:4" ht="22.5" customHeight="1" x14ac:dyDescent="0.15">
      <c r="A1066" s="16" t="s">
        <v>703</v>
      </c>
      <c r="B1066" s="12" t="s">
        <v>2261</v>
      </c>
      <c r="C1066" s="13" t="s">
        <v>513</v>
      </c>
      <c r="D1066" s="40">
        <v>0</v>
      </c>
    </row>
    <row r="1067" spans="1:4" ht="22.5" customHeight="1" x14ac:dyDescent="0.15">
      <c r="A1067" s="16" t="s">
        <v>703</v>
      </c>
      <c r="B1067" s="12" t="s">
        <v>2261</v>
      </c>
      <c r="C1067" s="13" t="s">
        <v>513</v>
      </c>
      <c r="D1067" s="40">
        <v>0</v>
      </c>
    </row>
    <row r="1068" spans="1:4" ht="22.5" customHeight="1" x14ac:dyDescent="0.15">
      <c r="A1068" s="16" t="s">
        <v>703</v>
      </c>
      <c r="B1068" s="12" t="s">
        <v>2261</v>
      </c>
      <c r="C1068" s="13" t="s">
        <v>513</v>
      </c>
      <c r="D1068" s="40">
        <v>0</v>
      </c>
    </row>
    <row r="1069" spans="1:4" ht="22.5" customHeight="1" x14ac:dyDescent="0.15">
      <c r="A1069" s="16" t="s">
        <v>703</v>
      </c>
      <c r="B1069" s="12" t="s">
        <v>2261</v>
      </c>
      <c r="C1069" s="13" t="s">
        <v>513</v>
      </c>
      <c r="D1069" s="40">
        <v>0</v>
      </c>
    </row>
    <row r="1070" spans="1:4" ht="22.5" customHeight="1" x14ac:dyDescent="0.15">
      <c r="A1070" s="16" t="s">
        <v>703</v>
      </c>
      <c r="B1070" s="12" t="s">
        <v>2261</v>
      </c>
      <c r="C1070" s="13" t="s">
        <v>513</v>
      </c>
      <c r="D1070" s="40">
        <v>0</v>
      </c>
    </row>
    <row r="1071" spans="1:4" ht="22.5" customHeight="1" x14ac:dyDescent="0.15">
      <c r="A1071" s="16" t="s">
        <v>703</v>
      </c>
      <c r="B1071" s="12" t="s">
        <v>2261</v>
      </c>
      <c r="C1071" s="13" t="s">
        <v>513</v>
      </c>
      <c r="D1071" s="40">
        <v>0</v>
      </c>
    </row>
    <row r="1072" spans="1:4" ht="22.5" customHeight="1" x14ac:dyDescent="0.15">
      <c r="A1072" s="16" t="s">
        <v>703</v>
      </c>
      <c r="B1072" s="12" t="s">
        <v>2261</v>
      </c>
      <c r="C1072" s="13" t="s">
        <v>513</v>
      </c>
      <c r="D1072" s="40">
        <v>0</v>
      </c>
    </row>
    <row r="1073" spans="1:4" ht="22.5" customHeight="1" x14ac:dyDescent="0.15">
      <c r="A1073" s="16" t="s">
        <v>703</v>
      </c>
      <c r="B1073" s="12" t="s">
        <v>2261</v>
      </c>
      <c r="C1073" s="13" t="s">
        <v>513</v>
      </c>
      <c r="D1073" s="40">
        <v>0</v>
      </c>
    </row>
    <row r="1074" spans="1:4" ht="22.5" customHeight="1" x14ac:dyDescent="0.15">
      <c r="A1074" s="16" t="s">
        <v>1185</v>
      </c>
      <c r="B1074" s="12" t="s">
        <v>2276</v>
      </c>
      <c r="C1074" s="13" t="s">
        <v>136</v>
      </c>
      <c r="D1074" s="40">
        <v>0</v>
      </c>
    </row>
    <row r="1075" spans="1:4" ht="22.5" customHeight="1" x14ac:dyDescent="0.15">
      <c r="A1075" s="16" t="s">
        <v>1185</v>
      </c>
      <c r="B1075" s="12" t="s">
        <v>2277</v>
      </c>
      <c r="C1075" s="13" t="s">
        <v>136</v>
      </c>
      <c r="D1075" s="40">
        <v>0</v>
      </c>
    </row>
    <row r="1076" spans="1:4" ht="22.5" customHeight="1" x14ac:dyDescent="0.15">
      <c r="A1076" s="16" t="s">
        <v>1185</v>
      </c>
      <c r="B1076" s="12" t="s">
        <v>2278</v>
      </c>
      <c r="C1076" s="13" t="s">
        <v>136</v>
      </c>
      <c r="D1076" s="40">
        <v>0</v>
      </c>
    </row>
    <row r="1077" spans="1:4" ht="22.5" customHeight="1" x14ac:dyDescent="0.15">
      <c r="A1077" s="16" t="s">
        <v>2281</v>
      </c>
      <c r="B1077" s="12" t="s">
        <v>2282</v>
      </c>
      <c r="C1077" s="13" t="s">
        <v>136</v>
      </c>
      <c r="D1077" s="40">
        <v>0</v>
      </c>
    </row>
    <row r="1078" spans="1:4" ht="22.5" customHeight="1" x14ac:dyDescent="0.15">
      <c r="A1078" s="16" t="s">
        <v>2281</v>
      </c>
      <c r="B1078" s="12" t="s">
        <v>2283</v>
      </c>
      <c r="C1078" s="13" t="s">
        <v>136</v>
      </c>
      <c r="D1078" s="40">
        <v>0</v>
      </c>
    </row>
    <row r="1079" spans="1:4" ht="22.5" customHeight="1" x14ac:dyDescent="0.15">
      <c r="A1079" s="16" t="s">
        <v>2281</v>
      </c>
      <c r="B1079" s="12" t="s">
        <v>2284</v>
      </c>
      <c r="C1079" s="13" t="s">
        <v>136</v>
      </c>
      <c r="D1079" s="40">
        <v>0</v>
      </c>
    </row>
    <row r="1080" spans="1:4" ht="22.5" customHeight="1" x14ac:dyDescent="0.15">
      <c r="A1080" s="16" t="s">
        <v>1199</v>
      </c>
      <c r="B1080" s="12" t="s">
        <v>2285</v>
      </c>
      <c r="C1080" s="13" t="s">
        <v>136</v>
      </c>
      <c r="D1080" s="40">
        <v>0</v>
      </c>
    </row>
    <row r="1081" spans="1:4" ht="22.5" customHeight="1" x14ac:dyDescent="0.15">
      <c r="A1081" s="16" t="s">
        <v>1199</v>
      </c>
      <c r="B1081" s="12" t="s">
        <v>2286</v>
      </c>
      <c r="C1081" s="13" t="s">
        <v>88</v>
      </c>
      <c r="D1081" s="40">
        <v>0</v>
      </c>
    </row>
    <row r="1082" spans="1:4" ht="22.5" customHeight="1" x14ac:dyDescent="0.15">
      <c r="A1082" s="16" t="s">
        <v>1199</v>
      </c>
      <c r="B1082" s="12" t="s">
        <v>2287</v>
      </c>
      <c r="C1082" s="13" t="s">
        <v>88</v>
      </c>
      <c r="D1082" s="40">
        <v>0</v>
      </c>
    </row>
    <row r="1083" spans="1:4" ht="22.5" customHeight="1" x14ac:dyDescent="0.15">
      <c r="A1083" s="16" t="s">
        <v>1199</v>
      </c>
      <c r="B1083" s="12" t="s">
        <v>2288</v>
      </c>
      <c r="C1083" s="13" t="s">
        <v>136</v>
      </c>
      <c r="D1083" s="40">
        <v>0</v>
      </c>
    </row>
    <row r="1084" spans="1:4" ht="22.5" customHeight="1" x14ac:dyDescent="0.15">
      <c r="A1084" s="16" t="s">
        <v>1199</v>
      </c>
      <c r="B1084" s="12" t="s">
        <v>2289</v>
      </c>
      <c r="C1084" s="13" t="s">
        <v>136</v>
      </c>
      <c r="D1084" s="40">
        <v>0</v>
      </c>
    </row>
    <row r="1085" spans="1:4" ht="22.5" customHeight="1" x14ac:dyDescent="0.15">
      <c r="A1085" s="16" t="s">
        <v>1199</v>
      </c>
      <c r="B1085" s="12" t="s">
        <v>2290</v>
      </c>
      <c r="C1085" s="13" t="s">
        <v>136</v>
      </c>
      <c r="D1085" s="40">
        <v>0</v>
      </c>
    </row>
    <row r="1086" spans="1:4" ht="22.5" customHeight="1" x14ac:dyDescent="0.15">
      <c r="A1086" s="16" t="s">
        <v>1199</v>
      </c>
      <c r="B1086" s="12" t="s">
        <v>2291</v>
      </c>
      <c r="C1086" s="13" t="s">
        <v>136</v>
      </c>
      <c r="D1086" s="40">
        <v>0</v>
      </c>
    </row>
    <row r="1087" spans="1:4" ht="22.5" customHeight="1" x14ac:dyDescent="0.15">
      <c r="A1087" s="16" t="s">
        <v>2294</v>
      </c>
      <c r="B1087" s="12" t="s">
        <v>2295</v>
      </c>
      <c r="C1087" s="13" t="s">
        <v>136</v>
      </c>
      <c r="D1087" s="40">
        <v>0</v>
      </c>
    </row>
    <row r="1088" spans="1:4" ht="22.5" customHeight="1" x14ac:dyDescent="0.15">
      <c r="A1088" s="16" t="s">
        <v>1210</v>
      </c>
      <c r="B1088" s="12" t="s">
        <v>2276</v>
      </c>
      <c r="C1088" s="13" t="s">
        <v>136</v>
      </c>
      <c r="D1088" s="40">
        <v>0</v>
      </c>
    </row>
    <row r="1089" spans="1:4" ht="22.5" customHeight="1" x14ac:dyDescent="0.15">
      <c r="A1089" s="16" t="s">
        <v>1210</v>
      </c>
      <c r="B1089" s="12" t="s">
        <v>2277</v>
      </c>
      <c r="C1089" s="13" t="s">
        <v>136</v>
      </c>
      <c r="D1089" s="40">
        <v>0</v>
      </c>
    </row>
    <row r="1090" spans="1:4" ht="22.5" customHeight="1" x14ac:dyDescent="0.15">
      <c r="A1090" s="16" t="s">
        <v>1210</v>
      </c>
      <c r="B1090" s="12" t="s">
        <v>2278</v>
      </c>
      <c r="C1090" s="13" t="s">
        <v>136</v>
      </c>
      <c r="D1090" s="40">
        <v>0</v>
      </c>
    </row>
    <row r="1091" spans="1:4" ht="22.5" customHeight="1" x14ac:dyDescent="0.15">
      <c r="A1091" s="16" t="s">
        <v>1211</v>
      </c>
      <c r="B1091" s="12" t="s">
        <v>2296</v>
      </c>
      <c r="C1091" s="13" t="s">
        <v>136</v>
      </c>
      <c r="D1091" s="40">
        <v>0</v>
      </c>
    </row>
    <row r="1092" spans="1:4" ht="22.5" customHeight="1" x14ac:dyDescent="0.15">
      <c r="A1092" s="16" t="s">
        <v>1211</v>
      </c>
      <c r="B1092" s="12" t="s">
        <v>2297</v>
      </c>
      <c r="C1092" s="13" t="s">
        <v>18</v>
      </c>
      <c r="D1092" s="40">
        <v>0</v>
      </c>
    </row>
    <row r="1093" spans="1:4" ht="22.5" customHeight="1" x14ac:dyDescent="0.15">
      <c r="A1093" s="16" t="s">
        <v>57</v>
      </c>
      <c r="B1093" s="12" t="s">
        <v>2298</v>
      </c>
      <c r="C1093" s="13" t="s">
        <v>12</v>
      </c>
      <c r="D1093" s="40">
        <v>0</v>
      </c>
    </row>
    <row r="1094" spans="1:4" ht="22.5" customHeight="1" x14ac:dyDescent="0.15">
      <c r="A1094" s="16" t="s">
        <v>497</v>
      </c>
      <c r="B1094" s="12" t="s">
        <v>2299</v>
      </c>
      <c r="C1094" s="13" t="s">
        <v>12</v>
      </c>
      <c r="D1094" s="40">
        <v>0</v>
      </c>
    </row>
    <row r="1095" spans="1:4" ht="22.5" customHeight="1" x14ac:dyDescent="0.15">
      <c r="A1095" s="16" t="s">
        <v>497</v>
      </c>
      <c r="B1095" s="12" t="s">
        <v>2300</v>
      </c>
      <c r="C1095" s="13" t="s">
        <v>12</v>
      </c>
      <c r="D1095" s="40">
        <v>0</v>
      </c>
    </row>
    <row r="1096" spans="1:4" ht="22.5" customHeight="1" x14ac:dyDescent="0.15">
      <c r="A1096" s="16" t="s">
        <v>503</v>
      </c>
      <c r="B1096" s="12" t="s">
        <v>2301</v>
      </c>
      <c r="C1096" s="13" t="s">
        <v>88</v>
      </c>
      <c r="D1096" s="40">
        <v>0</v>
      </c>
    </row>
    <row r="1097" spans="1:4" ht="22.5" customHeight="1" x14ac:dyDescent="0.15">
      <c r="A1097" s="16" t="s">
        <v>503</v>
      </c>
      <c r="B1097" s="12" t="s">
        <v>2302</v>
      </c>
      <c r="C1097" s="13" t="s">
        <v>30</v>
      </c>
      <c r="D1097" s="40">
        <v>0</v>
      </c>
    </row>
    <row r="1098" spans="1:4" ht="22.5" customHeight="1" x14ac:dyDescent="0.15">
      <c r="A1098" s="16" t="s">
        <v>2305</v>
      </c>
      <c r="B1098" s="12" t="s">
        <v>2306</v>
      </c>
      <c r="C1098" s="13" t="s">
        <v>18</v>
      </c>
      <c r="D1098" s="40">
        <v>0</v>
      </c>
    </row>
    <row r="1099" spans="1:4" ht="22.5" customHeight="1" x14ac:dyDescent="0.15">
      <c r="A1099" s="16" t="s">
        <v>511</v>
      </c>
      <c r="B1099" s="12" t="s">
        <v>2307</v>
      </c>
      <c r="C1099" s="13" t="s">
        <v>18</v>
      </c>
      <c r="D1099" s="40">
        <v>0</v>
      </c>
    </row>
    <row r="1100" spans="1:4" ht="22.5" customHeight="1" x14ac:dyDescent="0.15">
      <c r="A1100" s="16" t="s">
        <v>511</v>
      </c>
      <c r="B1100" s="12" t="s">
        <v>2308</v>
      </c>
      <c r="C1100" s="13" t="s">
        <v>18</v>
      </c>
      <c r="D1100" s="40">
        <v>0</v>
      </c>
    </row>
    <row r="1101" spans="1:4" ht="22.5" customHeight="1" x14ac:dyDescent="0.15">
      <c r="A1101" s="16" t="s">
        <v>112</v>
      </c>
      <c r="B1101" s="12" t="s">
        <v>2309</v>
      </c>
      <c r="C1101" s="13" t="s">
        <v>513</v>
      </c>
      <c r="D1101" s="40">
        <v>0</v>
      </c>
    </row>
    <row r="1102" spans="1:4" ht="22.5" customHeight="1" x14ac:dyDescent="0.15">
      <c r="A1102" s="16" t="s">
        <v>112</v>
      </c>
      <c r="B1102" s="12" t="s">
        <v>2021</v>
      </c>
      <c r="C1102" s="13" t="s">
        <v>18</v>
      </c>
      <c r="D1102" s="40">
        <v>0</v>
      </c>
    </row>
    <row r="1103" spans="1:4" ht="22.5" customHeight="1" x14ac:dyDescent="0.15">
      <c r="A1103" s="16" t="s">
        <v>112</v>
      </c>
      <c r="B1103" s="12" t="s">
        <v>2022</v>
      </c>
      <c r="C1103" s="13" t="s">
        <v>18</v>
      </c>
      <c r="D1103" s="40">
        <v>0</v>
      </c>
    </row>
    <row r="1104" spans="1:4" ht="22.5" customHeight="1" x14ac:dyDescent="0.15">
      <c r="A1104" s="16" t="s">
        <v>112</v>
      </c>
      <c r="B1104" s="12" t="s">
        <v>2023</v>
      </c>
      <c r="C1104" s="13" t="s">
        <v>18</v>
      </c>
      <c r="D1104" s="40">
        <v>0</v>
      </c>
    </row>
    <row r="1105" spans="1:4" ht="22.5" customHeight="1" x14ac:dyDescent="0.15">
      <c r="A1105" s="16" t="s">
        <v>112</v>
      </c>
      <c r="B1105" s="12" t="s">
        <v>2024</v>
      </c>
      <c r="C1105" s="13" t="s">
        <v>18</v>
      </c>
      <c r="D1105" s="40">
        <v>0</v>
      </c>
    </row>
    <row r="1106" spans="1:4" ht="22.5" customHeight="1" x14ac:dyDescent="0.15">
      <c r="A1106" s="16" t="s">
        <v>112</v>
      </c>
      <c r="B1106" s="12" t="s">
        <v>2025</v>
      </c>
      <c r="C1106" s="13" t="s">
        <v>18</v>
      </c>
      <c r="D1106" s="40">
        <v>0</v>
      </c>
    </row>
    <row r="1107" spans="1:4" ht="22.5" customHeight="1" x14ac:dyDescent="0.15">
      <c r="A1107" s="16" t="s">
        <v>112</v>
      </c>
      <c r="B1107" s="12" t="s">
        <v>2026</v>
      </c>
      <c r="C1107" s="13" t="s">
        <v>18</v>
      </c>
      <c r="D1107" s="40">
        <v>0</v>
      </c>
    </row>
    <row r="1108" spans="1:4" ht="22.5" customHeight="1" x14ac:dyDescent="0.15">
      <c r="A1108" s="16" t="s">
        <v>112</v>
      </c>
      <c r="B1108" s="12" t="s">
        <v>2027</v>
      </c>
      <c r="C1108" s="13" t="s">
        <v>18</v>
      </c>
      <c r="D1108" s="40">
        <v>0</v>
      </c>
    </row>
    <row r="1109" spans="1:4" ht="22.5" customHeight="1" x14ac:dyDescent="0.15">
      <c r="A1109" s="16" t="s">
        <v>112</v>
      </c>
      <c r="B1109" s="12" t="s">
        <v>2028</v>
      </c>
      <c r="C1109" s="13" t="s">
        <v>18</v>
      </c>
      <c r="D1109" s="40">
        <v>0</v>
      </c>
    </row>
    <row r="1110" spans="1:4" ht="22.5" customHeight="1" x14ac:dyDescent="0.15">
      <c r="A1110" s="16" t="s">
        <v>112</v>
      </c>
      <c r="B1110" s="12" t="s">
        <v>2029</v>
      </c>
      <c r="C1110" s="13" t="s">
        <v>18</v>
      </c>
      <c r="D1110" s="40">
        <v>0</v>
      </c>
    </row>
    <row r="1111" spans="1:4" ht="22.5" customHeight="1" x14ac:dyDescent="0.15">
      <c r="A1111" s="16" t="s">
        <v>112</v>
      </c>
      <c r="B1111" s="12" t="s">
        <v>2030</v>
      </c>
      <c r="C1111" s="13" t="s">
        <v>18</v>
      </c>
      <c r="D1111" s="40">
        <v>0</v>
      </c>
    </row>
    <row r="1112" spans="1:4" ht="22.5" customHeight="1" x14ac:dyDescent="0.15">
      <c r="A1112" s="16" t="s">
        <v>1229</v>
      </c>
      <c r="B1112" s="12" t="s">
        <v>2310</v>
      </c>
      <c r="C1112" s="13" t="s">
        <v>18</v>
      </c>
      <c r="D1112" s="40">
        <v>0</v>
      </c>
    </row>
    <row r="1113" spans="1:4" ht="22.5" customHeight="1" x14ac:dyDescent="0.15">
      <c r="A1113" s="16" t="s">
        <v>1234</v>
      </c>
      <c r="B1113" s="12" t="s">
        <v>2311</v>
      </c>
      <c r="C1113" s="13" t="s">
        <v>30</v>
      </c>
      <c r="D1113" s="40">
        <v>0</v>
      </c>
    </row>
    <row r="1114" spans="1:4" ht="22.5" customHeight="1" x14ac:dyDescent="0.15">
      <c r="A1114" s="16" t="s">
        <v>2314</v>
      </c>
      <c r="B1114" s="12" t="s">
        <v>2261</v>
      </c>
      <c r="C1114" s="13" t="s">
        <v>18</v>
      </c>
      <c r="D1114" s="40">
        <v>0</v>
      </c>
    </row>
    <row r="1115" spans="1:4" ht="22.5" customHeight="1" x14ac:dyDescent="0.15">
      <c r="A1115" s="16" t="s">
        <v>2314</v>
      </c>
      <c r="B1115" s="12" t="s">
        <v>2315</v>
      </c>
      <c r="C1115" s="13" t="s">
        <v>136</v>
      </c>
      <c r="D1115" s="40">
        <v>0</v>
      </c>
    </row>
    <row r="1116" spans="1:4" ht="22.5" customHeight="1" x14ac:dyDescent="0.15">
      <c r="A1116" s="16" t="s">
        <v>2314</v>
      </c>
      <c r="B1116" s="12" t="s">
        <v>2316</v>
      </c>
      <c r="C1116" s="13" t="s">
        <v>136</v>
      </c>
      <c r="D1116" s="40">
        <v>0</v>
      </c>
    </row>
    <row r="1117" spans="1:4" ht="22.5" customHeight="1" x14ac:dyDescent="0.15">
      <c r="A1117" s="16" t="s">
        <v>2314</v>
      </c>
      <c r="B1117" s="12" t="s">
        <v>2317</v>
      </c>
      <c r="C1117" s="13" t="s">
        <v>88</v>
      </c>
      <c r="D1117" s="40">
        <v>0</v>
      </c>
    </row>
    <row r="1118" spans="1:4" ht="22.5" customHeight="1" x14ac:dyDescent="0.15">
      <c r="A1118" s="16" t="s">
        <v>2314</v>
      </c>
      <c r="B1118" s="12" t="s">
        <v>2318</v>
      </c>
      <c r="C1118" s="13" t="s">
        <v>88</v>
      </c>
      <c r="D1118" s="40">
        <v>0</v>
      </c>
    </row>
    <row r="1119" spans="1:4" ht="22.5" customHeight="1" x14ac:dyDescent="0.15">
      <c r="A1119" s="16" t="s">
        <v>1832</v>
      </c>
      <c r="B1119" s="12" t="s">
        <v>2319</v>
      </c>
      <c r="C1119" s="13" t="s">
        <v>136</v>
      </c>
      <c r="D1119" s="40">
        <v>0</v>
      </c>
    </row>
    <row r="1120" spans="1:4" ht="22.5" customHeight="1" x14ac:dyDescent="0.15">
      <c r="A1120" s="16" t="s">
        <v>1832</v>
      </c>
      <c r="B1120" s="12" t="s">
        <v>2261</v>
      </c>
      <c r="C1120" s="13" t="s">
        <v>513</v>
      </c>
      <c r="D1120" s="40">
        <v>0</v>
      </c>
    </row>
    <row r="1121" spans="1:4" ht="22.5" customHeight="1" x14ac:dyDescent="0.15">
      <c r="A1121" s="16" t="s">
        <v>1832</v>
      </c>
      <c r="B1121" s="12" t="s">
        <v>2261</v>
      </c>
      <c r="C1121" s="13" t="s">
        <v>513</v>
      </c>
      <c r="D1121" s="40">
        <v>0</v>
      </c>
    </row>
    <row r="1122" spans="1:4" ht="22.5" customHeight="1" x14ac:dyDescent="0.15">
      <c r="A1122" s="16" t="s">
        <v>1832</v>
      </c>
      <c r="B1122" s="12" t="s">
        <v>2261</v>
      </c>
      <c r="C1122" s="13" t="s">
        <v>513</v>
      </c>
      <c r="D1122" s="40">
        <v>0</v>
      </c>
    </row>
    <row r="1123" spans="1:4" ht="22.5" customHeight="1" x14ac:dyDescent="0.15">
      <c r="A1123" s="16" t="s">
        <v>523</v>
      </c>
      <c r="B1123" s="12" t="s">
        <v>2320</v>
      </c>
      <c r="C1123" s="13" t="s">
        <v>30</v>
      </c>
      <c r="D1123" s="40">
        <v>0</v>
      </c>
    </row>
    <row r="1124" spans="1:4" ht="22.5" customHeight="1" x14ac:dyDescent="0.15">
      <c r="A1124" s="16" t="s">
        <v>523</v>
      </c>
      <c r="B1124" s="12" t="s">
        <v>2321</v>
      </c>
      <c r="C1124" s="13" t="s">
        <v>342</v>
      </c>
      <c r="D1124" s="40">
        <v>0</v>
      </c>
    </row>
    <row r="1125" spans="1:4" ht="22.5" customHeight="1" x14ac:dyDescent="0.15">
      <c r="A1125" s="16" t="s">
        <v>2323</v>
      </c>
      <c r="B1125" s="12" t="s">
        <v>2324</v>
      </c>
      <c r="C1125" s="13" t="s">
        <v>18</v>
      </c>
      <c r="D1125" s="40">
        <v>0</v>
      </c>
    </row>
    <row r="1126" spans="1:4" ht="22.5" customHeight="1" x14ac:dyDescent="0.15">
      <c r="A1126" s="16" t="s">
        <v>1843</v>
      </c>
      <c r="B1126" s="12" t="s">
        <v>2261</v>
      </c>
      <c r="C1126" s="13" t="s">
        <v>513</v>
      </c>
      <c r="D1126" s="40">
        <v>0</v>
      </c>
    </row>
    <row r="1127" spans="1:4" ht="22.5" customHeight="1" x14ac:dyDescent="0.15">
      <c r="A1127" s="16" t="s">
        <v>1843</v>
      </c>
      <c r="B1127" s="12" t="s">
        <v>2261</v>
      </c>
      <c r="C1127" s="13" t="s">
        <v>513</v>
      </c>
      <c r="D1127" s="40">
        <v>0</v>
      </c>
    </row>
    <row r="1128" spans="1:4" ht="22.5" customHeight="1" x14ac:dyDescent="0.15">
      <c r="A1128" s="16" t="s">
        <v>1843</v>
      </c>
      <c r="B1128" s="12" t="s">
        <v>2325</v>
      </c>
      <c r="C1128" s="13" t="s">
        <v>136</v>
      </c>
      <c r="D1128" s="40">
        <v>0</v>
      </c>
    </row>
    <row r="1129" spans="1:4" ht="22.5" customHeight="1" x14ac:dyDescent="0.15">
      <c r="A1129" s="16" t="s">
        <v>1242</v>
      </c>
      <c r="B1129" s="12" t="s">
        <v>2326</v>
      </c>
      <c r="C1129" s="13" t="s">
        <v>18</v>
      </c>
      <c r="D1129" s="40">
        <v>0</v>
      </c>
    </row>
    <row r="1130" spans="1:4" ht="22.5" customHeight="1" x14ac:dyDescent="0.15">
      <c r="A1130" s="16" t="s">
        <v>696</v>
      </c>
      <c r="B1130" s="12" t="s">
        <v>2327</v>
      </c>
      <c r="C1130" s="13" t="s">
        <v>136</v>
      </c>
      <c r="D1130" s="40">
        <v>0</v>
      </c>
    </row>
    <row r="1131" spans="1:4" ht="22.5" customHeight="1" x14ac:dyDescent="0.15">
      <c r="A1131" s="16" t="s">
        <v>696</v>
      </c>
      <c r="B1131" s="12" t="s">
        <v>2328</v>
      </c>
      <c r="C1131" s="13" t="s">
        <v>136</v>
      </c>
      <c r="D1131" s="40">
        <v>0</v>
      </c>
    </row>
    <row r="1132" spans="1:4" ht="22.5" customHeight="1" x14ac:dyDescent="0.15">
      <c r="A1132" s="16" t="s">
        <v>696</v>
      </c>
      <c r="B1132" s="12" t="s">
        <v>2329</v>
      </c>
      <c r="C1132" s="13" t="s">
        <v>136</v>
      </c>
      <c r="D1132" s="40">
        <v>0</v>
      </c>
    </row>
    <row r="1133" spans="1:4" ht="22.5" customHeight="1" x14ac:dyDescent="0.15">
      <c r="A1133" s="16" t="s">
        <v>2330</v>
      </c>
      <c r="B1133" s="12" t="s">
        <v>2331</v>
      </c>
      <c r="C1133" s="13" t="s">
        <v>18</v>
      </c>
      <c r="D1133" s="40">
        <v>0</v>
      </c>
    </row>
    <row r="1134" spans="1:4" ht="22.5" customHeight="1" x14ac:dyDescent="0.15">
      <c r="A1134" s="16" t="s">
        <v>557</v>
      </c>
      <c r="B1134" s="12" t="s">
        <v>2332</v>
      </c>
      <c r="C1134" s="13" t="s">
        <v>30</v>
      </c>
      <c r="D1134" s="40">
        <v>0</v>
      </c>
    </row>
    <row r="1135" spans="1:4" ht="22.5" customHeight="1" x14ac:dyDescent="0.15">
      <c r="A1135" s="16" t="s">
        <v>557</v>
      </c>
      <c r="B1135" s="12" t="s">
        <v>2333</v>
      </c>
      <c r="C1135" s="13" t="s">
        <v>342</v>
      </c>
      <c r="D1135" s="40">
        <v>0</v>
      </c>
    </row>
    <row r="1136" spans="1:4" ht="22.5" customHeight="1" x14ac:dyDescent="0.15">
      <c r="A1136" s="16" t="s">
        <v>1255</v>
      </c>
      <c r="B1136" s="12" t="s">
        <v>2076</v>
      </c>
      <c r="C1136" s="13" t="s">
        <v>18</v>
      </c>
      <c r="D1136" s="40">
        <v>0</v>
      </c>
    </row>
    <row r="1137" spans="1:4" ht="22.5" customHeight="1" x14ac:dyDescent="0.15">
      <c r="A1137" s="16" t="s">
        <v>1255</v>
      </c>
      <c r="B1137" s="12" t="s">
        <v>2023</v>
      </c>
      <c r="C1137" s="13" t="s">
        <v>18</v>
      </c>
      <c r="D1137" s="40">
        <v>0</v>
      </c>
    </row>
    <row r="1138" spans="1:4" ht="22.5" customHeight="1" x14ac:dyDescent="0.15">
      <c r="A1138" s="16" t="s">
        <v>663</v>
      </c>
      <c r="B1138" s="12" t="s">
        <v>2334</v>
      </c>
      <c r="C1138" s="13" t="s">
        <v>23</v>
      </c>
      <c r="D1138" s="40">
        <v>0</v>
      </c>
    </row>
    <row r="1139" spans="1:4" ht="22.5" customHeight="1" x14ac:dyDescent="0.15">
      <c r="A1139" s="16" t="s">
        <v>663</v>
      </c>
      <c r="B1139" s="12" t="s">
        <v>2335</v>
      </c>
      <c r="C1139" s="13" t="s">
        <v>136</v>
      </c>
      <c r="D1139" s="40">
        <v>0</v>
      </c>
    </row>
    <row r="1140" spans="1:4" ht="22.5" customHeight="1" x14ac:dyDescent="0.15">
      <c r="A1140" s="16" t="s">
        <v>663</v>
      </c>
      <c r="B1140" s="12" t="s">
        <v>2336</v>
      </c>
      <c r="C1140" s="13" t="s">
        <v>136</v>
      </c>
      <c r="D1140" s="40">
        <v>0</v>
      </c>
    </row>
    <row r="1141" spans="1:4" ht="22.5" customHeight="1" x14ac:dyDescent="0.15">
      <c r="A1141" s="16" t="s">
        <v>1257</v>
      </c>
      <c r="B1141" s="12" t="s">
        <v>2337</v>
      </c>
      <c r="C1141" s="13" t="s">
        <v>12</v>
      </c>
      <c r="D1141" s="40">
        <v>0</v>
      </c>
    </row>
    <row r="1142" spans="1:4" ht="22.5" customHeight="1" x14ac:dyDescent="0.15">
      <c r="A1142" s="16" t="s">
        <v>2340</v>
      </c>
      <c r="B1142" s="12" t="s">
        <v>2261</v>
      </c>
      <c r="C1142" s="13" t="s">
        <v>513</v>
      </c>
      <c r="D1142" s="40">
        <v>0</v>
      </c>
    </row>
    <row r="1143" spans="1:4" ht="22.5" customHeight="1" x14ac:dyDescent="0.15">
      <c r="A1143" s="16" t="s">
        <v>2340</v>
      </c>
      <c r="B1143" s="12" t="s">
        <v>2261</v>
      </c>
      <c r="C1143" s="13" t="s">
        <v>513</v>
      </c>
      <c r="D1143" s="40">
        <v>0</v>
      </c>
    </row>
    <row r="1144" spans="1:4" ht="22.5" customHeight="1" x14ac:dyDescent="0.15">
      <c r="A1144" s="16" t="s">
        <v>2340</v>
      </c>
      <c r="B1144" s="12" t="s">
        <v>2341</v>
      </c>
      <c r="C1144" s="13" t="s">
        <v>136</v>
      </c>
      <c r="D1144" s="40">
        <v>0</v>
      </c>
    </row>
    <row r="1145" spans="1:4" ht="22.5" customHeight="1" x14ac:dyDescent="0.15">
      <c r="A1145" s="16" t="s">
        <v>1265</v>
      </c>
      <c r="B1145" s="12" t="s">
        <v>2261</v>
      </c>
      <c r="C1145" s="13" t="s">
        <v>513</v>
      </c>
      <c r="D1145" s="40">
        <v>0</v>
      </c>
    </row>
    <row r="1146" spans="1:4" ht="22.5" customHeight="1" x14ac:dyDescent="0.15">
      <c r="A1146" s="16" t="s">
        <v>1265</v>
      </c>
      <c r="B1146" s="12" t="s">
        <v>2261</v>
      </c>
      <c r="C1146" s="13" t="s">
        <v>513</v>
      </c>
      <c r="D1146" s="40">
        <v>0</v>
      </c>
    </row>
    <row r="1147" spans="1:4" ht="22.5" customHeight="1" x14ac:dyDescent="0.15">
      <c r="A1147" s="16" t="s">
        <v>1265</v>
      </c>
      <c r="B1147" s="12" t="s">
        <v>2342</v>
      </c>
      <c r="C1147" s="13" t="s">
        <v>136</v>
      </c>
      <c r="D1147" s="40">
        <v>0</v>
      </c>
    </row>
    <row r="1148" spans="1:4" ht="22.5" customHeight="1" x14ac:dyDescent="0.15">
      <c r="A1148" s="16" t="s">
        <v>2345</v>
      </c>
      <c r="B1148" s="12" t="s">
        <v>2346</v>
      </c>
      <c r="C1148" s="13" t="s">
        <v>30</v>
      </c>
      <c r="D1148" s="40">
        <v>0</v>
      </c>
    </row>
    <row r="1149" spans="1:4" ht="22.5" customHeight="1" x14ac:dyDescent="0.15">
      <c r="A1149" s="16" t="s">
        <v>2345</v>
      </c>
      <c r="B1149" s="12" t="s">
        <v>2347</v>
      </c>
      <c r="C1149" s="13" t="s">
        <v>30</v>
      </c>
      <c r="D1149" s="40">
        <v>0</v>
      </c>
    </row>
    <row r="1150" spans="1:4" ht="22.5" customHeight="1" x14ac:dyDescent="0.15">
      <c r="A1150" s="16" t="s">
        <v>568</v>
      </c>
      <c r="B1150" s="12" t="s">
        <v>2348</v>
      </c>
      <c r="C1150" s="13" t="s">
        <v>83</v>
      </c>
      <c r="D1150" s="40">
        <v>0</v>
      </c>
    </row>
    <row r="1151" spans="1:4" ht="22.5" customHeight="1" x14ac:dyDescent="0.15">
      <c r="A1151" s="16" t="s">
        <v>572</v>
      </c>
      <c r="B1151" s="12" t="s">
        <v>2349</v>
      </c>
      <c r="C1151" s="13" t="s">
        <v>30</v>
      </c>
      <c r="D1151" s="40">
        <v>0</v>
      </c>
    </row>
    <row r="1152" spans="1:4" ht="22.5" customHeight="1" x14ac:dyDescent="0.15">
      <c r="A1152" s="16" t="s">
        <v>577</v>
      </c>
      <c r="B1152" s="12" t="s">
        <v>2350</v>
      </c>
      <c r="C1152" s="13" t="s">
        <v>136</v>
      </c>
      <c r="D1152" s="40">
        <v>0</v>
      </c>
    </row>
    <row r="1153" spans="1:4" ht="22.5" customHeight="1" x14ac:dyDescent="0.15">
      <c r="A1153" s="16" t="s">
        <v>577</v>
      </c>
      <c r="B1153" s="12" t="s">
        <v>2351</v>
      </c>
      <c r="C1153" s="13" t="s">
        <v>18</v>
      </c>
      <c r="D1153" s="40">
        <v>0</v>
      </c>
    </row>
    <row r="1154" spans="1:4" ht="22.5" customHeight="1" x14ac:dyDescent="0.15">
      <c r="A1154" s="16" t="s">
        <v>577</v>
      </c>
      <c r="B1154" s="12" t="s">
        <v>2352</v>
      </c>
      <c r="C1154" s="13" t="s">
        <v>23</v>
      </c>
      <c r="D1154" s="40">
        <v>0</v>
      </c>
    </row>
    <row r="1155" spans="1:4" ht="22.5" customHeight="1" x14ac:dyDescent="0.15">
      <c r="A1155" s="16" t="s">
        <v>577</v>
      </c>
      <c r="B1155" s="12" t="s">
        <v>2353</v>
      </c>
      <c r="C1155" s="13" t="s">
        <v>12</v>
      </c>
      <c r="D1155" s="40">
        <v>0</v>
      </c>
    </row>
    <row r="1156" spans="1:4" ht="22.5" customHeight="1" x14ac:dyDescent="0.15">
      <c r="A1156" s="16" t="s">
        <v>65</v>
      </c>
      <c r="B1156" s="12" t="s">
        <v>2354</v>
      </c>
      <c r="C1156" s="13" t="s">
        <v>18</v>
      </c>
      <c r="D1156" s="40">
        <v>0</v>
      </c>
    </row>
    <row r="1157" spans="1:4" ht="22.5" customHeight="1" x14ac:dyDescent="0.15">
      <c r="A1157" s="16" t="s">
        <v>65</v>
      </c>
      <c r="B1157" s="12" t="s">
        <v>2355</v>
      </c>
      <c r="C1157" s="13" t="s">
        <v>136</v>
      </c>
      <c r="D1157" s="40">
        <v>0</v>
      </c>
    </row>
    <row r="1158" spans="1:4" ht="22.5" customHeight="1" x14ac:dyDescent="0.15">
      <c r="A1158" s="16" t="s">
        <v>65</v>
      </c>
      <c r="B1158" s="12" t="s">
        <v>2356</v>
      </c>
      <c r="C1158" s="13" t="s">
        <v>136</v>
      </c>
      <c r="D1158" s="40">
        <v>0</v>
      </c>
    </row>
    <row r="1159" spans="1:4" ht="22.5" customHeight="1" x14ac:dyDescent="0.15">
      <c r="A1159" s="16" t="s">
        <v>594</v>
      </c>
      <c r="B1159" s="12" t="s">
        <v>2357</v>
      </c>
      <c r="C1159" s="13" t="s">
        <v>136</v>
      </c>
      <c r="D1159" s="40">
        <v>0</v>
      </c>
    </row>
    <row r="1160" spans="1:4" ht="22.5" customHeight="1" x14ac:dyDescent="0.15">
      <c r="A1160" s="16" t="s">
        <v>594</v>
      </c>
      <c r="B1160" s="12" t="s">
        <v>2358</v>
      </c>
      <c r="C1160" s="13" t="s">
        <v>23</v>
      </c>
      <c r="D1160" s="40">
        <v>0</v>
      </c>
    </row>
    <row r="1161" spans="1:4" ht="22.5" customHeight="1" x14ac:dyDescent="0.15">
      <c r="A1161" s="16" t="s">
        <v>597</v>
      </c>
      <c r="B1161" s="12" t="s">
        <v>2359</v>
      </c>
      <c r="C1161" s="13" t="s">
        <v>30</v>
      </c>
      <c r="D1161" s="40">
        <v>0</v>
      </c>
    </row>
    <row r="1162" spans="1:4" ht="22.5" customHeight="1" x14ac:dyDescent="0.15">
      <c r="A1162" s="16" t="s">
        <v>597</v>
      </c>
      <c r="B1162" s="12" t="s">
        <v>2360</v>
      </c>
      <c r="C1162" s="13" t="s">
        <v>136</v>
      </c>
      <c r="D1162" s="40">
        <v>0</v>
      </c>
    </row>
    <row r="1163" spans="1:4" ht="22.5" customHeight="1" x14ac:dyDescent="0.15">
      <c r="A1163" s="16" t="s">
        <v>597</v>
      </c>
      <c r="B1163" s="12" t="s">
        <v>2361</v>
      </c>
      <c r="C1163" s="13" t="s">
        <v>88</v>
      </c>
      <c r="D1163" s="40">
        <v>0</v>
      </c>
    </row>
    <row r="1164" spans="1:4" ht="22.5" customHeight="1" x14ac:dyDescent="0.15">
      <c r="A1164" s="16" t="s">
        <v>597</v>
      </c>
      <c r="B1164" s="12" t="s">
        <v>2362</v>
      </c>
      <c r="C1164" s="13" t="s">
        <v>136</v>
      </c>
      <c r="D1164" s="40">
        <v>0</v>
      </c>
    </row>
    <row r="1165" spans="1:4" ht="22.5" customHeight="1" x14ac:dyDescent="0.15">
      <c r="A1165" s="16" t="s">
        <v>70</v>
      </c>
      <c r="B1165" s="12" t="s">
        <v>2363</v>
      </c>
      <c r="C1165" s="13" t="s">
        <v>30</v>
      </c>
      <c r="D1165" s="40">
        <v>0</v>
      </c>
    </row>
    <row r="1166" spans="1:4" ht="22.5" customHeight="1" x14ac:dyDescent="0.15">
      <c r="A1166" s="16" t="s">
        <v>853</v>
      </c>
      <c r="B1166" s="12" t="s">
        <v>2365</v>
      </c>
      <c r="C1166" s="13" t="s">
        <v>342</v>
      </c>
      <c r="D1166" s="40">
        <v>0</v>
      </c>
    </row>
    <row r="1167" spans="1:4" ht="22.5" customHeight="1" x14ac:dyDescent="0.15">
      <c r="A1167" s="16" t="s">
        <v>853</v>
      </c>
      <c r="B1167" s="12" t="s">
        <v>2366</v>
      </c>
      <c r="C1167" s="13" t="s">
        <v>342</v>
      </c>
      <c r="D1167" s="40">
        <v>0</v>
      </c>
    </row>
    <row r="1168" spans="1:4" ht="22.5" customHeight="1" x14ac:dyDescent="0.15">
      <c r="A1168" s="16" t="s">
        <v>853</v>
      </c>
      <c r="B1168" s="12" t="s">
        <v>2367</v>
      </c>
      <c r="C1168" s="13" t="s">
        <v>342</v>
      </c>
      <c r="D1168" s="40">
        <v>0</v>
      </c>
    </row>
    <row r="1169" spans="1:4" ht="22.5" customHeight="1" x14ac:dyDescent="0.15">
      <c r="A1169" s="16" t="s">
        <v>853</v>
      </c>
      <c r="B1169" s="12" t="s">
        <v>2368</v>
      </c>
      <c r="C1169" s="13" t="s">
        <v>342</v>
      </c>
      <c r="D1169" s="40">
        <v>0</v>
      </c>
    </row>
    <row r="1170" spans="1:4" ht="22.5" customHeight="1" x14ac:dyDescent="0.15">
      <c r="A1170" s="16" t="s">
        <v>853</v>
      </c>
      <c r="B1170" s="12" t="s">
        <v>2369</v>
      </c>
      <c r="C1170" s="13" t="s">
        <v>30</v>
      </c>
      <c r="D1170" s="40">
        <v>0</v>
      </c>
    </row>
    <row r="1171" spans="1:4" ht="22.5" customHeight="1" x14ac:dyDescent="0.15">
      <c r="A1171" s="16" t="s">
        <v>853</v>
      </c>
      <c r="B1171" s="12" t="s">
        <v>2370</v>
      </c>
      <c r="C1171" s="13" t="s">
        <v>30</v>
      </c>
      <c r="D1171" s="40">
        <v>0</v>
      </c>
    </row>
    <row r="1172" spans="1:4" ht="22.5" customHeight="1" x14ac:dyDescent="0.15">
      <c r="A1172" s="16" t="s">
        <v>853</v>
      </c>
      <c r="B1172" s="12" t="s">
        <v>2371</v>
      </c>
      <c r="C1172" s="13" t="s">
        <v>30</v>
      </c>
      <c r="D1172" s="40">
        <v>0</v>
      </c>
    </row>
    <row r="1173" spans="1:4" ht="22.5" customHeight="1" x14ac:dyDescent="0.15">
      <c r="A1173" s="16" t="s">
        <v>853</v>
      </c>
      <c r="B1173" s="12" t="s">
        <v>2372</v>
      </c>
      <c r="C1173" s="13" t="s">
        <v>18</v>
      </c>
      <c r="D1173" s="40">
        <v>0</v>
      </c>
    </row>
    <row r="1174" spans="1:4" ht="22.5" customHeight="1" x14ac:dyDescent="0.15">
      <c r="A1174" s="16" t="s">
        <v>853</v>
      </c>
      <c r="B1174" s="12" t="s">
        <v>2373</v>
      </c>
      <c r="C1174" s="13" t="s">
        <v>12</v>
      </c>
      <c r="D1174" s="40">
        <v>0</v>
      </c>
    </row>
    <row r="1175" spans="1:4" ht="22.5" customHeight="1" x14ac:dyDescent="0.15">
      <c r="A1175" s="16" t="s">
        <v>853</v>
      </c>
      <c r="B1175" s="12" t="s">
        <v>2374</v>
      </c>
      <c r="C1175" s="13" t="s">
        <v>342</v>
      </c>
      <c r="D1175" s="40">
        <v>0</v>
      </c>
    </row>
    <row r="1176" spans="1:4" ht="22.5" customHeight="1" x14ac:dyDescent="0.15">
      <c r="A1176" s="16" t="s">
        <v>395</v>
      </c>
      <c r="B1176" s="12" t="s">
        <v>2375</v>
      </c>
      <c r="C1176" s="13" t="s">
        <v>30</v>
      </c>
      <c r="D1176" s="40">
        <v>0</v>
      </c>
    </row>
    <row r="1177" spans="1:4" ht="22.5" customHeight="1" x14ac:dyDescent="0.15">
      <c r="A1177" s="16" t="s">
        <v>1165</v>
      </c>
      <c r="B1177" s="12" t="s">
        <v>2376</v>
      </c>
      <c r="C1177" s="13" t="s">
        <v>513</v>
      </c>
      <c r="D1177" s="40">
        <v>0</v>
      </c>
    </row>
    <row r="1178" spans="1:4" ht="22.5" customHeight="1" x14ac:dyDescent="0.15">
      <c r="A1178" s="16" t="s">
        <v>175</v>
      </c>
      <c r="B1178" s="12" t="s">
        <v>2377</v>
      </c>
      <c r="C1178" s="13" t="s">
        <v>88</v>
      </c>
      <c r="D1178" s="40">
        <v>0</v>
      </c>
    </row>
    <row r="1179" spans="1:4" ht="22.5" customHeight="1" x14ac:dyDescent="0.15">
      <c r="A1179" s="16" t="s">
        <v>175</v>
      </c>
      <c r="B1179" s="12" t="s">
        <v>2379</v>
      </c>
      <c r="C1179" s="13" t="s">
        <v>88</v>
      </c>
      <c r="D1179" s="40">
        <v>0</v>
      </c>
    </row>
    <row r="1180" spans="1:4" ht="22.5" customHeight="1" x14ac:dyDescent="0.15">
      <c r="A1180" s="16" t="s">
        <v>955</v>
      </c>
      <c r="B1180" s="12" t="s">
        <v>2380</v>
      </c>
      <c r="C1180" s="13" t="s">
        <v>30</v>
      </c>
      <c r="D1180" s="40">
        <v>0</v>
      </c>
    </row>
    <row r="1181" spans="1:4" ht="22.5" customHeight="1" x14ac:dyDescent="0.15">
      <c r="A1181" s="16" t="s">
        <v>1088</v>
      </c>
      <c r="B1181" s="12" t="s">
        <v>2381</v>
      </c>
      <c r="C1181" s="13" t="s">
        <v>30</v>
      </c>
      <c r="D1181" s="40">
        <v>0</v>
      </c>
    </row>
    <row r="1182" spans="1:4" ht="22.5" customHeight="1" x14ac:dyDescent="0.15">
      <c r="A1182" s="16" t="s">
        <v>429</v>
      </c>
      <c r="B1182" s="12" t="s">
        <v>2382</v>
      </c>
      <c r="C1182" s="13" t="s">
        <v>30</v>
      </c>
      <c r="D1182" s="40">
        <v>0</v>
      </c>
    </row>
    <row r="1183" spans="1:4" ht="22.5" customHeight="1" x14ac:dyDescent="0.15">
      <c r="A1183" s="16" t="s">
        <v>2384</v>
      </c>
      <c r="B1183" s="12" t="s">
        <v>2385</v>
      </c>
      <c r="C1183" s="13" t="s">
        <v>30</v>
      </c>
      <c r="D1183" s="40">
        <v>0</v>
      </c>
    </row>
    <row r="1184" spans="1:4" ht="22.5" customHeight="1" x14ac:dyDescent="0.15">
      <c r="A1184" s="16" t="s">
        <v>401</v>
      </c>
      <c r="B1184" s="12" t="s">
        <v>2386</v>
      </c>
      <c r="C1184" s="13" t="s">
        <v>30</v>
      </c>
      <c r="D1184" s="40">
        <v>0</v>
      </c>
    </row>
    <row r="1185" spans="1:4" ht="22.5" customHeight="1" x14ac:dyDescent="0.15">
      <c r="A1185" s="16" t="s">
        <v>429</v>
      </c>
      <c r="B1185" s="12" t="s">
        <v>2388</v>
      </c>
      <c r="C1185" s="13" t="s">
        <v>30</v>
      </c>
      <c r="D1185" s="40">
        <v>0</v>
      </c>
    </row>
    <row r="1186" spans="1:4" ht="22.5" customHeight="1" x14ac:dyDescent="0.15">
      <c r="A1186" s="16" t="s">
        <v>447</v>
      </c>
      <c r="B1186" s="12" t="s">
        <v>2389</v>
      </c>
      <c r="C1186" s="13" t="s">
        <v>115</v>
      </c>
      <c r="D1186" s="40">
        <v>0</v>
      </c>
    </row>
    <row r="1187" spans="1:4" ht="22.5" customHeight="1" x14ac:dyDescent="0.15">
      <c r="A1187" s="16" t="s">
        <v>456</v>
      </c>
      <c r="B1187" s="12" t="s">
        <v>2389</v>
      </c>
      <c r="C1187" s="13" t="s">
        <v>115</v>
      </c>
      <c r="D1187" s="40">
        <v>0</v>
      </c>
    </row>
    <row r="1188" spans="1:4" ht="22.5" customHeight="1" x14ac:dyDescent="0.15">
      <c r="A1188" s="16" t="s">
        <v>429</v>
      </c>
      <c r="B1188" s="12" t="s">
        <v>2390</v>
      </c>
      <c r="C1188" s="13" t="s">
        <v>30</v>
      </c>
      <c r="D1188" s="40">
        <v>0</v>
      </c>
    </row>
    <row r="1189" spans="1:4" ht="22.5" customHeight="1" x14ac:dyDescent="0.15">
      <c r="A1189" s="16" t="s">
        <v>154</v>
      </c>
      <c r="B1189" s="12" t="s">
        <v>2391</v>
      </c>
      <c r="C1189" s="13" t="s">
        <v>12</v>
      </c>
      <c r="D1189" s="40">
        <v>0</v>
      </c>
    </row>
    <row r="1190" spans="1:4" ht="22.5" customHeight="1" x14ac:dyDescent="0.15">
      <c r="A1190" s="16" t="s">
        <v>57</v>
      </c>
      <c r="B1190" s="12" t="s">
        <v>2392</v>
      </c>
      <c r="C1190" s="13" t="s">
        <v>88</v>
      </c>
      <c r="D1190" s="40">
        <v>0</v>
      </c>
    </row>
    <row r="1191" spans="1:4" ht="22.5" customHeight="1" x14ac:dyDescent="0.15">
      <c r="A1191" s="16" t="s">
        <v>142</v>
      </c>
      <c r="B1191" s="12" t="s">
        <v>2393</v>
      </c>
      <c r="C1191" s="13" t="s">
        <v>30</v>
      </c>
      <c r="D1191" s="40">
        <v>0</v>
      </c>
    </row>
    <row r="1192" spans="1:4" ht="22.5" customHeight="1" x14ac:dyDescent="0.15">
      <c r="A1192" s="16" t="s">
        <v>142</v>
      </c>
      <c r="B1192" s="12" t="s">
        <v>2394</v>
      </c>
      <c r="C1192" s="13" t="s">
        <v>88</v>
      </c>
      <c r="D1192" s="40">
        <v>0</v>
      </c>
    </row>
    <row r="1193" spans="1:4" ht="22.5" customHeight="1" x14ac:dyDescent="0.15">
      <c r="A1193" s="16" t="s">
        <v>683</v>
      </c>
      <c r="B1193" s="12" t="s">
        <v>2396</v>
      </c>
      <c r="C1193" s="13" t="s">
        <v>88</v>
      </c>
      <c r="D1193" s="40">
        <v>0</v>
      </c>
    </row>
    <row r="1194" spans="1:4" ht="22.5" customHeight="1" x14ac:dyDescent="0.15">
      <c r="A1194" s="16" t="s">
        <v>600</v>
      </c>
      <c r="B1194" s="12" t="s">
        <v>2397</v>
      </c>
      <c r="C1194" s="13" t="s">
        <v>30</v>
      </c>
      <c r="D1194" s="40">
        <v>0</v>
      </c>
    </row>
    <row r="1195" spans="1:4" ht="22.5" customHeight="1" x14ac:dyDescent="0.15">
      <c r="A1195" s="16" t="s">
        <v>86</v>
      </c>
      <c r="B1195" s="12" t="s">
        <v>2398</v>
      </c>
      <c r="C1195" s="13" t="s">
        <v>67</v>
      </c>
      <c r="D1195" s="40">
        <v>0</v>
      </c>
    </row>
    <row r="1196" spans="1:4" ht="22.5" customHeight="1" x14ac:dyDescent="0.15">
      <c r="A1196" s="16" t="s">
        <v>429</v>
      </c>
      <c r="B1196" s="12" t="s">
        <v>2399</v>
      </c>
      <c r="C1196" s="13" t="s">
        <v>30</v>
      </c>
      <c r="D1196" s="40">
        <v>0</v>
      </c>
    </row>
    <row r="1197" spans="1:4" ht="22.5" customHeight="1" x14ac:dyDescent="0.15">
      <c r="A1197" s="16" t="s">
        <v>429</v>
      </c>
      <c r="B1197" s="12" t="s">
        <v>2400</v>
      </c>
      <c r="C1197" s="13" t="s">
        <v>12</v>
      </c>
      <c r="D1197" s="40">
        <v>0</v>
      </c>
    </row>
    <row r="1198" spans="1:4" ht="22.5" customHeight="1" x14ac:dyDescent="0.15">
      <c r="A1198" s="16" t="s">
        <v>142</v>
      </c>
      <c r="B1198" s="12" t="s">
        <v>2401</v>
      </c>
      <c r="C1198" s="13" t="s">
        <v>30</v>
      </c>
      <c r="D1198" s="40">
        <v>0</v>
      </c>
    </row>
    <row r="1199" spans="1:4" ht="22.5" customHeight="1" x14ac:dyDescent="0.15">
      <c r="A1199" s="16" t="s">
        <v>853</v>
      </c>
      <c r="B1199" s="12" t="s">
        <v>2403</v>
      </c>
      <c r="C1199" s="13" t="s">
        <v>513</v>
      </c>
      <c r="D1199" s="40">
        <v>0</v>
      </c>
    </row>
    <row r="1200" spans="1:4" ht="22.5" customHeight="1" x14ac:dyDescent="0.15">
      <c r="A1200" s="16" t="s">
        <v>249</v>
      </c>
      <c r="B1200" s="12" t="s">
        <v>2404</v>
      </c>
      <c r="C1200" s="13" t="s">
        <v>30</v>
      </c>
      <c r="D1200" s="40">
        <v>0</v>
      </c>
    </row>
    <row r="1201" spans="1:4" ht="22.5" customHeight="1" x14ac:dyDescent="0.15">
      <c r="A1201" s="16" t="s">
        <v>256</v>
      </c>
      <c r="B1201" s="12" t="s">
        <v>2405</v>
      </c>
      <c r="C1201" s="13" t="s">
        <v>12</v>
      </c>
      <c r="D1201" s="40">
        <v>0</v>
      </c>
    </row>
    <row r="1202" spans="1:4" ht="22.5" customHeight="1" x14ac:dyDescent="0.15">
      <c r="A1202" s="16" t="s">
        <v>399</v>
      </c>
      <c r="B1202" s="12" t="s">
        <v>2404</v>
      </c>
      <c r="C1202" s="13" t="s">
        <v>30</v>
      </c>
      <c r="D1202" s="40">
        <v>0</v>
      </c>
    </row>
    <row r="1203" spans="1:4" ht="22.5" customHeight="1" x14ac:dyDescent="0.15">
      <c r="A1203" s="16" t="s">
        <v>86</v>
      </c>
      <c r="B1203" s="12" t="s">
        <v>2406</v>
      </c>
      <c r="C1203" s="13" t="s">
        <v>136</v>
      </c>
      <c r="D1203" s="40">
        <v>0</v>
      </c>
    </row>
    <row r="1204" spans="1:4" ht="22.5" customHeight="1" x14ac:dyDescent="0.15">
      <c r="A1204" s="16" t="s">
        <v>853</v>
      </c>
      <c r="B1204" s="12" t="s">
        <v>2407</v>
      </c>
      <c r="C1204" s="13" t="s">
        <v>30</v>
      </c>
      <c r="D1204" s="40">
        <v>0</v>
      </c>
    </row>
    <row r="1205" spans="1:4" ht="22.5" customHeight="1" x14ac:dyDescent="0.15">
      <c r="A1205" s="16" t="s">
        <v>37</v>
      </c>
      <c r="B1205" s="12" t="s">
        <v>2408</v>
      </c>
      <c r="C1205" s="13" t="s">
        <v>30</v>
      </c>
      <c r="D1205" s="40">
        <v>0</v>
      </c>
    </row>
    <row r="1206" spans="1:4" ht="22.5" customHeight="1" x14ac:dyDescent="0.15">
      <c r="A1206" s="16" t="s">
        <v>94</v>
      </c>
      <c r="B1206" s="12" t="s">
        <v>2410</v>
      </c>
      <c r="C1206" s="13" t="s">
        <v>30</v>
      </c>
      <c r="D1206" s="40">
        <v>0</v>
      </c>
    </row>
    <row r="1207" spans="1:4" ht="22.5" customHeight="1" x14ac:dyDescent="0.15">
      <c r="A1207" s="16" t="s">
        <v>129</v>
      </c>
      <c r="B1207" s="12" t="s">
        <v>2411</v>
      </c>
      <c r="C1207" s="13" t="s">
        <v>30</v>
      </c>
      <c r="D1207" s="40">
        <v>0</v>
      </c>
    </row>
    <row r="1208" spans="1:4" ht="22.5" customHeight="1" x14ac:dyDescent="0.15">
      <c r="A1208" s="16" t="s">
        <v>129</v>
      </c>
      <c r="B1208" s="12" t="s">
        <v>2413</v>
      </c>
      <c r="C1208" s="13" t="s">
        <v>30</v>
      </c>
      <c r="D1208" s="40">
        <v>0</v>
      </c>
    </row>
    <row r="1209" spans="1:4" ht="22.5" customHeight="1" x14ac:dyDescent="0.15">
      <c r="A1209" s="16" t="s">
        <v>133</v>
      </c>
      <c r="B1209" s="12" t="s">
        <v>2415</v>
      </c>
      <c r="C1209" s="13" t="s">
        <v>136</v>
      </c>
      <c r="D1209" s="40">
        <v>0</v>
      </c>
    </row>
    <row r="1210" spans="1:4" ht="22.5" customHeight="1" x14ac:dyDescent="0.15">
      <c r="A1210" s="16" t="s">
        <v>2417</v>
      </c>
      <c r="B1210" s="12" t="s">
        <v>2418</v>
      </c>
      <c r="C1210" s="13" t="s">
        <v>342</v>
      </c>
      <c r="D1210" s="40">
        <v>0</v>
      </c>
    </row>
    <row r="1211" spans="1:4" ht="22.5" customHeight="1" x14ac:dyDescent="0.15">
      <c r="A1211" s="16" t="s">
        <v>239</v>
      </c>
      <c r="B1211" s="12" t="s">
        <v>2419</v>
      </c>
      <c r="C1211" s="13" t="s">
        <v>115</v>
      </c>
      <c r="D1211" s="40">
        <v>0</v>
      </c>
    </row>
    <row r="1212" spans="1:4" ht="22.5" customHeight="1" x14ac:dyDescent="0.15">
      <c r="A1212" s="16" t="s">
        <v>710</v>
      </c>
      <c r="B1212" s="12" t="s">
        <v>2420</v>
      </c>
      <c r="C1212" s="13" t="s">
        <v>115</v>
      </c>
      <c r="D1212" s="40">
        <v>0</v>
      </c>
    </row>
    <row r="1213" spans="1:4" ht="22.5" customHeight="1" x14ac:dyDescent="0.15">
      <c r="A1213" s="16" t="s">
        <v>1517</v>
      </c>
      <c r="B1213" s="12" t="s">
        <v>2419</v>
      </c>
      <c r="C1213" s="13" t="s">
        <v>115</v>
      </c>
      <c r="D1213" s="40">
        <v>0</v>
      </c>
    </row>
    <row r="1214" spans="1:4" ht="22.5" customHeight="1" x14ac:dyDescent="0.15">
      <c r="A1214" s="16" t="s">
        <v>2294</v>
      </c>
      <c r="B1214" s="12" t="s">
        <v>2421</v>
      </c>
      <c r="C1214" s="13" t="s">
        <v>12</v>
      </c>
      <c r="D1214" s="40">
        <v>0</v>
      </c>
    </row>
    <row r="1215" spans="1:4" ht="22.5" customHeight="1" x14ac:dyDescent="0.15">
      <c r="A1215" s="16" t="s">
        <v>1255</v>
      </c>
      <c r="B1215" s="12" t="s">
        <v>2422</v>
      </c>
      <c r="C1215" s="13" t="s">
        <v>30</v>
      </c>
      <c r="D1215" s="40">
        <v>0</v>
      </c>
    </row>
    <row r="1216" spans="1:4" ht="22.5" customHeight="1" x14ac:dyDescent="0.15">
      <c r="A1216" s="16" t="s">
        <v>395</v>
      </c>
      <c r="B1216" s="12" t="s">
        <v>2423</v>
      </c>
      <c r="C1216" s="13" t="s">
        <v>30</v>
      </c>
      <c r="D1216" s="40">
        <v>0</v>
      </c>
    </row>
    <row r="1217" spans="1:4" ht="22.5" customHeight="1" x14ac:dyDescent="0.15">
      <c r="A1217" s="16" t="s">
        <v>364</v>
      </c>
      <c r="B1217" s="12" t="s">
        <v>2425</v>
      </c>
      <c r="C1217" s="13" t="s">
        <v>30</v>
      </c>
      <c r="D1217" s="40">
        <v>0</v>
      </c>
    </row>
    <row r="1218" spans="1:4" ht="22.5" customHeight="1" x14ac:dyDescent="0.15">
      <c r="A1218" s="16" t="s">
        <v>70</v>
      </c>
      <c r="B1218" s="12" t="s">
        <v>2427</v>
      </c>
      <c r="C1218" s="13" t="s">
        <v>12</v>
      </c>
      <c r="D1218" s="40">
        <v>0</v>
      </c>
    </row>
    <row r="1219" spans="1:4" ht="22.5" customHeight="1" x14ac:dyDescent="0.15">
      <c r="A1219" s="16" t="s">
        <v>154</v>
      </c>
      <c r="B1219" s="12" t="s">
        <v>2429</v>
      </c>
      <c r="C1219" s="13" t="s">
        <v>77</v>
      </c>
      <c r="D1219" s="40">
        <v>0</v>
      </c>
    </row>
    <row r="1220" spans="1:4" ht="22.5" customHeight="1" x14ac:dyDescent="0.15">
      <c r="A1220" s="16" t="s">
        <v>668</v>
      </c>
      <c r="B1220" s="12" t="s">
        <v>2430</v>
      </c>
      <c r="C1220" s="13" t="s">
        <v>67</v>
      </c>
      <c r="D1220" s="40">
        <v>0</v>
      </c>
    </row>
    <row r="1221" spans="1:4" ht="22.5" customHeight="1" x14ac:dyDescent="0.15">
      <c r="A1221" s="16" t="s">
        <v>175</v>
      </c>
      <c r="B1221" s="12" t="s">
        <v>2431</v>
      </c>
      <c r="C1221" s="13" t="s">
        <v>88</v>
      </c>
      <c r="D1221" s="40">
        <v>0</v>
      </c>
    </row>
    <row r="1222" spans="1:4" ht="22.5" customHeight="1" x14ac:dyDescent="0.15">
      <c r="A1222" s="16" t="s">
        <v>1477</v>
      </c>
      <c r="B1222" s="12" t="s">
        <v>2432</v>
      </c>
      <c r="C1222" s="13" t="s">
        <v>18</v>
      </c>
      <c r="D1222" s="40">
        <v>0</v>
      </c>
    </row>
    <row r="1223" spans="1:4" ht="22.5" customHeight="1" x14ac:dyDescent="0.15">
      <c r="A1223" s="16" t="s">
        <v>256</v>
      </c>
      <c r="B1223" s="12" t="s">
        <v>2433</v>
      </c>
      <c r="C1223" s="13" t="s">
        <v>18</v>
      </c>
      <c r="D1223" s="40">
        <v>0</v>
      </c>
    </row>
    <row r="1224" spans="1:4" ht="22.5" customHeight="1" x14ac:dyDescent="0.15">
      <c r="A1224" s="16" t="s">
        <v>32</v>
      </c>
      <c r="B1224" s="12" t="s">
        <v>2434</v>
      </c>
      <c r="C1224" s="13" t="s">
        <v>30</v>
      </c>
      <c r="D1224" s="40">
        <v>0</v>
      </c>
    </row>
    <row r="1225" spans="1:4" ht="22.5" customHeight="1" x14ac:dyDescent="0.15">
      <c r="A1225" s="16" t="s">
        <v>1242</v>
      </c>
      <c r="B1225" s="12" t="s">
        <v>2435</v>
      </c>
      <c r="C1225" s="13" t="s">
        <v>18</v>
      </c>
      <c r="D1225" s="40">
        <v>0</v>
      </c>
    </row>
    <row r="1226" spans="1:4" ht="22.5" customHeight="1" x14ac:dyDescent="0.15">
      <c r="A1226" s="16" t="s">
        <v>822</v>
      </c>
      <c r="B1226" s="12" t="s">
        <v>2436</v>
      </c>
      <c r="C1226" s="13" t="s">
        <v>136</v>
      </c>
      <c r="D1226" s="40">
        <v>0</v>
      </c>
    </row>
    <row r="1227" spans="1:4" ht="22.5" customHeight="1" x14ac:dyDescent="0.15">
      <c r="A1227" s="16" t="s">
        <v>672</v>
      </c>
      <c r="B1227" s="12" t="s">
        <v>2438</v>
      </c>
      <c r="C1227" s="13" t="s">
        <v>18</v>
      </c>
      <c r="D1227" s="40">
        <v>0</v>
      </c>
    </row>
    <row r="1228" spans="1:4" ht="22.5" customHeight="1" x14ac:dyDescent="0.15">
      <c r="A1228" s="16" t="s">
        <v>621</v>
      </c>
      <c r="B1228" s="12" t="s">
        <v>2439</v>
      </c>
      <c r="C1228" s="13" t="s">
        <v>83</v>
      </c>
      <c r="D1228" s="40">
        <v>0</v>
      </c>
    </row>
    <row r="1229" spans="1:4" ht="22.5" customHeight="1" x14ac:dyDescent="0.15">
      <c r="A1229" s="16" t="s">
        <v>621</v>
      </c>
      <c r="B1229" s="12" t="s">
        <v>2440</v>
      </c>
      <c r="C1229" s="13" t="s">
        <v>83</v>
      </c>
      <c r="D1229" s="40">
        <v>0</v>
      </c>
    </row>
    <row r="1230" spans="1:4" ht="22.5" customHeight="1" x14ac:dyDescent="0.15">
      <c r="A1230" s="16" t="s">
        <v>129</v>
      </c>
      <c r="B1230" s="12" t="s">
        <v>2441</v>
      </c>
      <c r="C1230" s="13" t="s">
        <v>342</v>
      </c>
      <c r="D1230" s="40">
        <v>0</v>
      </c>
    </row>
    <row r="1231" spans="1:4" ht="22.5" customHeight="1" x14ac:dyDescent="0.15">
      <c r="A1231" s="16" t="s">
        <v>1410</v>
      </c>
      <c r="B1231" s="12" t="s">
        <v>2442</v>
      </c>
      <c r="C1231" s="13" t="s">
        <v>88</v>
      </c>
      <c r="D1231" s="40">
        <v>0</v>
      </c>
    </row>
    <row r="1232" spans="1:4" ht="22.5" customHeight="1" x14ac:dyDescent="0.15">
      <c r="A1232" s="16" t="s">
        <v>142</v>
      </c>
      <c r="B1232" s="12" t="s">
        <v>2443</v>
      </c>
      <c r="C1232" s="13" t="s">
        <v>23</v>
      </c>
      <c r="D1232" s="40">
        <v>0</v>
      </c>
    </row>
    <row r="1233" spans="1:4" ht="22.5" customHeight="1" x14ac:dyDescent="0.15">
      <c r="A1233" s="16" t="s">
        <v>2417</v>
      </c>
      <c r="B1233" s="12" t="s">
        <v>2444</v>
      </c>
      <c r="C1233" s="13" t="s">
        <v>30</v>
      </c>
      <c r="D1233" s="40">
        <v>0</v>
      </c>
    </row>
    <row r="1234" spans="1:4" ht="22.5" customHeight="1" x14ac:dyDescent="0.15">
      <c r="A1234" s="16" t="s">
        <v>2417</v>
      </c>
      <c r="B1234" s="12" t="s">
        <v>2445</v>
      </c>
      <c r="C1234" s="13" t="s">
        <v>136</v>
      </c>
      <c r="D1234" s="40">
        <v>0</v>
      </c>
    </row>
    <row r="1235" spans="1:4" ht="22.5" customHeight="1" x14ac:dyDescent="0.15">
      <c r="A1235" s="16" t="s">
        <v>175</v>
      </c>
      <c r="B1235" s="12" t="s">
        <v>2446</v>
      </c>
      <c r="C1235" s="13" t="s">
        <v>30</v>
      </c>
      <c r="D1235" s="40">
        <v>0</v>
      </c>
    </row>
    <row r="1236" spans="1:4" ht="22.5" customHeight="1" x14ac:dyDescent="0.15">
      <c r="A1236" s="16" t="s">
        <v>107</v>
      </c>
      <c r="B1236" s="12" t="s">
        <v>2447</v>
      </c>
      <c r="C1236" s="13" t="s">
        <v>30</v>
      </c>
      <c r="D1236" s="40">
        <v>0</v>
      </c>
    </row>
    <row r="1237" spans="1:4" ht="22.5" customHeight="1" x14ac:dyDescent="0.15">
      <c r="A1237" s="16" t="s">
        <v>832</v>
      </c>
      <c r="B1237" s="12" t="s">
        <v>2448</v>
      </c>
      <c r="C1237" s="13" t="s">
        <v>342</v>
      </c>
      <c r="D1237" s="40">
        <v>0</v>
      </c>
    </row>
    <row r="1238" spans="1:4" ht="22.5" customHeight="1" x14ac:dyDescent="0.15">
      <c r="A1238" s="16" t="s">
        <v>239</v>
      </c>
      <c r="B1238" s="12" t="s">
        <v>2449</v>
      </c>
      <c r="C1238" s="13" t="s">
        <v>136</v>
      </c>
      <c r="D1238" s="40">
        <v>0</v>
      </c>
    </row>
    <row r="1239" spans="1:4" ht="22.5" customHeight="1" x14ac:dyDescent="0.15">
      <c r="A1239" s="16" t="s">
        <v>934</v>
      </c>
      <c r="B1239" s="12" t="s">
        <v>2450</v>
      </c>
      <c r="C1239" s="13" t="s">
        <v>18</v>
      </c>
      <c r="D1239" s="40">
        <v>0</v>
      </c>
    </row>
    <row r="1240" spans="1:4" ht="22.5" customHeight="1" x14ac:dyDescent="0.15">
      <c r="A1240" s="16" t="s">
        <v>934</v>
      </c>
      <c r="B1240" s="12" t="s">
        <v>2451</v>
      </c>
      <c r="C1240" s="13" t="s">
        <v>12</v>
      </c>
      <c r="D1240" s="40">
        <v>0</v>
      </c>
    </row>
    <row r="1241" spans="1:4" ht="22.5" customHeight="1" x14ac:dyDescent="0.15">
      <c r="A1241" s="16" t="s">
        <v>281</v>
      </c>
      <c r="B1241" s="12" t="s">
        <v>2452</v>
      </c>
      <c r="C1241" s="13" t="s">
        <v>30</v>
      </c>
      <c r="D1241" s="40">
        <v>0</v>
      </c>
    </row>
    <row r="1242" spans="1:4" ht="22.5" customHeight="1" x14ac:dyDescent="0.15">
      <c r="A1242" s="16" t="s">
        <v>2152</v>
      </c>
      <c r="B1242" s="12" t="s">
        <v>2453</v>
      </c>
      <c r="C1242" s="13" t="s">
        <v>342</v>
      </c>
      <c r="D1242" s="40">
        <v>0</v>
      </c>
    </row>
    <row r="1243" spans="1:4" ht="22.5" customHeight="1" x14ac:dyDescent="0.15">
      <c r="A1243" s="16" t="s">
        <v>2177</v>
      </c>
      <c r="B1243" s="12" t="s">
        <v>2454</v>
      </c>
      <c r="C1243" s="13" t="s">
        <v>30</v>
      </c>
      <c r="D1243" s="40">
        <v>0</v>
      </c>
    </row>
    <row r="1244" spans="1:4" ht="22.5" customHeight="1" x14ac:dyDescent="0.15">
      <c r="A1244" s="16" t="s">
        <v>1517</v>
      </c>
      <c r="B1244" s="12" t="s">
        <v>2449</v>
      </c>
      <c r="C1244" s="13" t="s">
        <v>136</v>
      </c>
      <c r="D1244" s="40">
        <v>0</v>
      </c>
    </row>
    <row r="1245" spans="1:4" ht="22.5" customHeight="1" x14ac:dyDescent="0.15">
      <c r="A1245" s="16" t="s">
        <v>1155</v>
      </c>
      <c r="B1245" s="12" t="s">
        <v>2450</v>
      </c>
      <c r="C1245" s="13" t="s">
        <v>18</v>
      </c>
      <c r="D1245" s="40">
        <v>0</v>
      </c>
    </row>
    <row r="1246" spans="1:4" ht="22.5" customHeight="1" x14ac:dyDescent="0.15">
      <c r="A1246" s="16" t="s">
        <v>1155</v>
      </c>
      <c r="B1246" s="12" t="s">
        <v>2451</v>
      </c>
      <c r="C1246" s="13" t="s">
        <v>12</v>
      </c>
      <c r="D1246" s="40">
        <v>0</v>
      </c>
    </row>
    <row r="1247" spans="1:4" ht="22.5" customHeight="1" x14ac:dyDescent="0.15">
      <c r="A1247" s="16" t="s">
        <v>57</v>
      </c>
      <c r="B1247" s="12" t="s">
        <v>2455</v>
      </c>
      <c r="C1247" s="13" t="s">
        <v>12</v>
      </c>
      <c r="D1247" s="40">
        <v>0</v>
      </c>
    </row>
    <row r="1248" spans="1:4" ht="22.5" customHeight="1" x14ac:dyDescent="0.15">
      <c r="A1248" s="16" t="s">
        <v>57</v>
      </c>
      <c r="B1248" s="12" t="s">
        <v>2456</v>
      </c>
      <c r="C1248" s="13" t="s">
        <v>12</v>
      </c>
      <c r="D1248" s="40">
        <v>0</v>
      </c>
    </row>
    <row r="1249" spans="1:4" ht="22.5" customHeight="1" x14ac:dyDescent="0.15">
      <c r="A1249" s="16" t="s">
        <v>112</v>
      </c>
      <c r="B1249" s="12" t="s">
        <v>2447</v>
      </c>
      <c r="C1249" s="13" t="s">
        <v>30</v>
      </c>
      <c r="D1249" s="40">
        <v>0</v>
      </c>
    </row>
    <row r="1250" spans="1:4" ht="22.5" customHeight="1" x14ac:dyDescent="0.15">
      <c r="A1250" s="16" t="s">
        <v>663</v>
      </c>
      <c r="B1250" s="12" t="s">
        <v>2457</v>
      </c>
      <c r="C1250" s="13" t="s">
        <v>115</v>
      </c>
      <c r="D1250" s="40">
        <v>0</v>
      </c>
    </row>
    <row r="1251" spans="1:4" ht="22.5" customHeight="1" x14ac:dyDescent="0.15">
      <c r="A1251" s="16" t="s">
        <v>1257</v>
      </c>
      <c r="B1251" s="12" t="s">
        <v>2458</v>
      </c>
      <c r="C1251" s="13" t="s">
        <v>12</v>
      </c>
      <c r="D1251" s="40">
        <v>0</v>
      </c>
    </row>
    <row r="1252" spans="1:4" ht="22.5" customHeight="1" x14ac:dyDescent="0.15">
      <c r="A1252" s="16" t="s">
        <v>2461</v>
      </c>
      <c r="B1252" s="12" t="s">
        <v>2462</v>
      </c>
      <c r="C1252" s="13" t="s">
        <v>136</v>
      </c>
      <c r="D1252" s="40">
        <v>0</v>
      </c>
    </row>
    <row r="1253" spans="1:4" ht="22.5" customHeight="1" x14ac:dyDescent="0.15">
      <c r="A1253" s="16" t="s">
        <v>853</v>
      </c>
      <c r="B1253" s="12" t="s">
        <v>2463</v>
      </c>
      <c r="C1253" s="13" t="s">
        <v>30</v>
      </c>
      <c r="D1253" s="40">
        <v>0</v>
      </c>
    </row>
    <row r="1254" spans="1:4" ht="22.5" customHeight="1" x14ac:dyDescent="0.15">
      <c r="A1254" s="16" t="s">
        <v>193</v>
      </c>
      <c r="B1254" s="12" t="s">
        <v>2464</v>
      </c>
      <c r="C1254" s="13" t="s">
        <v>30</v>
      </c>
      <c r="D1254" s="40">
        <v>0</v>
      </c>
    </row>
    <row r="1255" spans="1:4" ht="22.5" customHeight="1" x14ac:dyDescent="0.15">
      <c r="A1255" s="16" t="s">
        <v>503</v>
      </c>
      <c r="B1255" s="12" t="s">
        <v>2466</v>
      </c>
      <c r="C1255" s="13" t="s">
        <v>30</v>
      </c>
      <c r="D1255" s="40">
        <v>0</v>
      </c>
    </row>
    <row r="1256" spans="1:4" ht="22.5" customHeight="1" x14ac:dyDescent="0.15">
      <c r="A1256" s="16" t="s">
        <v>476</v>
      </c>
      <c r="B1256" s="12" t="s">
        <v>2467</v>
      </c>
      <c r="C1256" s="13" t="s">
        <v>30</v>
      </c>
      <c r="D1256" s="40">
        <v>0</v>
      </c>
    </row>
    <row r="1257" spans="1:4" ht="22.5" customHeight="1" x14ac:dyDescent="0.15">
      <c r="A1257" s="16" t="s">
        <v>154</v>
      </c>
      <c r="B1257" s="12" t="s">
        <v>2468</v>
      </c>
      <c r="C1257" s="13" t="s">
        <v>18</v>
      </c>
      <c r="D1257" s="40">
        <v>0</v>
      </c>
    </row>
    <row r="1258" spans="1:4" ht="22.5" customHeight="1" x14ac:dyDescent="0.15">
      <c r="A1258" s="16" t="s">
        <v>203</v>
      </c>
      <c r="B1258" s="12" t="s">
        <v>2469</v>
      </c>
      <c r="C1258" s="13" t="s">
        <v>115</v>
      </c>
      <c r="D1258" s="40">
        <v>0</v>
      </c>
    </row>
    <row r="1259" spans="1:4" ht="22.5" customHeight="1" x14ac:dyDescent="0.15">
      <c r="A1259" s="16" t="s">
        <v>65</v>
      </c>
      <c r="B1259" s="12" t="s">
        <v>2470</v>
      </c>
      <c r="C1259" s="13" t="s">
        <v>136</v>
      </c>
      <c r="D1259" s="40">
        <v>0</v>
      </c>
    </row>
    <row r="1260" spans="1:4" ht="22.5" customHeight="1" x14ac:dyDescent="0.15">
      <c r="A1260" s="16" t="s">
        <v>1257</v>
      </c>
      <c r="B1260" s="12" t="s">
        <v>2471</v>
      </c>
      <c r="C1260" s="13" t="s">
        <v>18</v>
      </c>
      <c r="D1260" s="40">
        <v>0</v>
      </c>
    </row>
    <row r="1261" spans="1:4" ht="22.5" customHeight="1" x14ac:dyDescent="0.15">
      <c r="A1261" s="16" t="s">
        <v>1088</v>
      </c>
      <c r="B1261" s="12" t="s">
        <v>2472</v>
      </c>
      <c r="C1261" s="13" t="s">
        <v>18</v>
      </c>
      <c r="D1261" s="40">
        <v>0</v>
      </c>
    </row>
    <row r="1262" spans="1:4" ht="22.5" customHeight="1" x14ac:dyDescent="0.15">
      <c r="A1262" s="16" t="s">
        <v>1933</v>
      </c>
      <c r="B1262" s="12" t="s">
        <v>2474</v>
      </c>
      <c r="C1262" s="13" t="s">
        <v>12</v>
      </c>
      <c r="D1262" s="40">
        <v>0</v>
      </c>
    </row>
    <row r="1263" spans="1:4" ht="22.5" customHeight="1" x14ac:dyDescent="0.15">
      <c r="A1263" s="16" t="s">
        <v>1933</v>
      </c>
      <c r="B1263" s="12" t="s">
        <v>2475</v>
      </c>
      <c r="C1263" s="13" t="s">
        <v>12</v>
      </c>
      <c r="D1263" s="40">
        <v>0</v>
      </c>
    </row>
    <row r="1264" spans="1:4" ht="22.5" customHeight="1" x14ac:dyDescent="0.15">
      <c r="A1264" s="16" t="s">
        <v>142</v>
      </c>
      <c r="B1264" s="12" t="s">
        <v>2476</v>
      </c>
      <c r="C1264" s="13" t="s">
        <v>12</v>
      </c>
      <c r="D1264" s="40">
        <v>0</v>
      </c>
    </row>
    <row r="1265" spans="1:4" ht="22.5" customHeight="1" x14ac:dyDescent="0.15">
      <c r="A1265" s="16" t="s">
        <v>142</v>
      </c>
      <c r="B1265" s="12" t="s">
        <v>2477</v>
      </c>
      <c r="C1265" s="13" t="s">
        <v>23</v>
      </c>
      <c r="D1265" s="40">
        <v>0</v>
      </c>
    </row>
    <row r="1266" spans="1:4" ht="22.5" customHeight="1" x14ac:dyDescent="0.15">
      <c r="A1266" s="16" t="s">
        <v>142</v>
      </c>
      <c r="B1266" s="12" t="s">
        <v>2478</v>
      </c>
      <c r="C1266" s="13" t="s">
        <v>12</v>
      </c>
      <c r="D1266" s="40">
        <v>0</v>
      </c>
    </row>
    <row r="1267" spans="1:4" ht="22.5" customHeight="1" x14ac:dyDescent="0.15">
      <c r="A1267" s="16" t="s">
        <v>15</v>
      </c>
      <c r="B1267" s="12" t="s">
        <v>2479</v>
      </c>
      <c r="C1267" s="13" t="s">
        <v>115</v>
      </c>
      <c r="D1267" s="40">
        <v>0</v>
      </c>
    </row>
    <row r="1268" spans="1:4" ht="22.5" customHeight="1" x14ac:dyDescent="0.15">
      <c r="A1268" s="16" t="s">
        <v>1477</v>
      </c>
      <c r="B1268" s="12" t="s">
        <v>2480</v>
      </c>
      <c r="C1268" s="13" t="s">
        <v>219</v>
      </c>
      <c r="D1268" s="40">
        <v>0</v>
      </c>
    </row>
    <row r="1269" spans="1:4" ht="22.5" customHeight="1" x14ac:dyDescent="0.15">
      <c r="A1269" s="16" t="s">
        <v>249</v>
      </c>
      <c r="B1269" s="12" t="s">
        <v>2481</v>
      </c>
      <c r="C1269" s="13" t="s">
        <v>30</v>
      </c>
      <c r="D1269" s="40">
        <v>0</v>
      </c>
    </row>
    <row r="1270" spans="1:4" ht="22.5" customHeight="1" x14ac:dyDescent="0.15">
      <c r="A1270" s="16" t="s">
        <v>256</v>
      </c>
      <c r="B1270" s="12" t="s">
        <v>2482</v>
      </c>
      <c r="C1270" s="13" t="s">
        <v>12</v>
      </c>
      <c r="D1270" s="40">
        <v>0</v>
      </c>
    </row>
    <row r="1271" spans="1:4" ht="22.5" customHeight="1" x14ac:dyDescent="0.15">
      <c r="A1271" s="16" t="s">
        <v>256</v>
      </c>
      <c r="B1271" s="12" t="s">
        <v>2483</v>
      </c>
      <c r="C1271" s="13" t="s">
        <v>18</v>
      </c>
      <c r="D1271" s="40">
        <v>0</v>
      </c>
    </row>
    <row r="1272" spans="1:4" ht="22.5" customHeight="1" x14ac:dyDescent="0.15">
      <c r="A1272" s="16" t="s">
        <v>1492</v>
      </c>
      <c r="B1272" s="12" t="s">
        <v>2484</v>
      </c>
      <c r="C1272" s="13" t="s">
        <v>219</v>
      </c>
      <c r="D1272" s="40">
        <v>0</v>
      </c>
    </row>
    <row r="1273" spans="1:4" ht="22.5" customHeight="1" x14ac:dyDescent="0.15">
      <c r="A1273" s="16" t="s">
        <v>306</v>
      </c>
      <c r="B1273" s="12" t="s">
        <v>2485</v>
      </c>
      <c r="C1273" s="13" t="s">
        <v>12</v>
      </c>
      <c r="D1273" s="40">
        <v>0</v>
      </c>
    </row>
    <row r="1274" spans="1:4" ht="22.5" customHeight="1" x14ac:dyDescent="0.15">
      <c r="A1274" s="16" t="s">
        <v>654</v>
      </c>
      <c r="B1274" s="12" t="s">
        <v>2486</v>
      </c>
      <c r="C1274" s="13" t="s">
        <v>12</v>
      </c>
      <c r="D1274" s="40">
        <v>0</v>
      </c>
    </row>
    <row r="1275" spans="1:4" ht="22.5" customHeight="1" x14ac:dyDescent="0.15">
      <c r="A1275" s="16" t="s">
        <v>384</v>
      </c>
      <c r="B1275" s="12" t="s">
        <v>2487</v>
      </c>
      <c r="C1275" s="13" t="s">
        <v>88</v>
      </c>
      <c r="D1275" s="40">
        <v>0</v>
      </c>
    </row>
    <row r="1276" spans="1:4" ht="22.5" customHeight="1" x14ac:dyDescent="0.15">
      <c r="A1276" s="16" t="s">
        <v>399</v>
      </c>
      <c r="B1276" s="12" t="s">
        <v>2481</v>
      </c>
      <c r="C1276" s="13" t="s">
        <v>30</v>
      </c>
      <c r="D1276" s="40">
        <v>0</v>
      </c>
    </row>
    <row r="1277" spans="1:4" ht="22.5" customHeight="1" x14ac:dyDescent="0.15">
      <c r="A1277" s="16" t="s">
        <v>429</v>
      </c>
      <c r="B1277" s="12" t="s">
        <v>2488</v>
      </c>
      <c r="C1277" s="13" t="s">
        <v>115</v>
      </c>
      <c r="D1277" s="40">
        <v>0</v>
      </c>
    </row>
    <row r="1278" spans="1:4" ht="22.5" customHeight="1" x14ac:dyDescent="0.15">
      <c r="A1278" s="16" t="s">
        <v>447</v>
      </c>
      <c r="B1278" s="12" t="s">
        <v>2489</v>
      </c>
      <c r="C1278" s="13" t="s">
        <v>30</v>
      </c>
      <c r="D1278" s="40">
        <v>0</v>
      </c>
    </row>
    <row r="1279" spans="1:4" ht="22.5" customHeight="1" x14ac:dyDescent="0.15">
      <c r="A1279" s="16" t="s">
        <v>456</v>
      </c>
      <c r="B1279" s="12" t="s">
        <v>2489</v>
      </c>
      <c r="C1279" s="13" t="s">
        <v>30</v>
      </c>
      <c r="D1279" s="40">
        <v>0</v>
      </c>
    </row>
    <row r="1280" spans="1:4" ht="22.5" customHeight="1" x14ac:dyDescent="0.15">
      <c r="A1280" s="16" t="s">
        <v>497</v>
      </c>
      <c r="B1280" s="12" t="s">
        <v>2490</v>
      </c>
      <c r="C1280" s="13" t="s">
        <v>12</v>
      </c>
      <c r="D1280" s="40">
        <v>0</v>
      </c>
    </row>
    <row r="1281" spans="1:4" ht="22.5" customHeight="1" x14ac:dyDescent="0.15">
      <c r="A1281" s="16" t="s">
        <v>853</v>
      </c>
      <c r="B1281" s="12" t="s">
        <v>2491</v>
      </c>
      <c r="C1281" s="13" t="s">
        <v>342</v>
      </c>
      <c r="D1281" s="40">
        <v>0</v>
      </c>
    </row>
    <row r="1282" spans="1:4" ht="22.5" customHeight="1" x14ac:dyDescent="0.15">
      <c r="A1282" s="16" t="s">
        <v>1933</v>
      </c>
      <c r="B1282" s="12" t="s">
        <v>2492</v>
      </c>
      <c r="C1282" s="13" t="s">
        <v>12</v>
      </c>
      <c r="D1282" s="40">
        <v>0</v>
      </c>
    </row>
    <row r="1283" spans="1:4" ht="22.5" customHeight="1" x14ac:dyDescent="0.15">
      <c r="A1283" s="16" t="s">
        <v>636</v>
      </c>
      <c r="B1283" s="12" t="s">
        <v>2494</v>
      </c>
      <c r="C1283" s="13" t="s">
        <v>30</v>
      </c>
      <c r="D1283" s="40">
        <v>0</v>
      </c>
    </row>
    <row r="1284" spans="1:4" ht="22.5" customHeight="1" x14ac:dyDescent="0.15">
      <c r="A1284" s="16" t="s">
        <v>636</v>
      </c>
      <c r="B1284" s="12" t="s">
        <v>2495</v>
      </c>
      <c r="C1284" s="13" t="s">
        <v>30</v>
      </c>
      <c r="D1284" s="40">
        <v>0</v>
      </c>
    </row>
    <row r="1285" spans="1:4" ht="22.5" customHeight="1" x14ac:dyDescent="0.15">
      <c r="A1285" s="16" t="s">
        <v>129</v>
      </c>
      <c r="B1285" s="12" t="s">
        <v>2496</v>
      </c>
      <c r="C1285" s="13" t="s">
        <v>30</v>
      </c>
      <c r="D1285" s="40">
        <v>0</v>
      </c>
    </row>
    <row r="1286" spans="1:4" ht="22.5" customHeight="1" x14ac:dyDescent="0.15">
      <c r="A1286" s="16" t="s">
        <v>133</v>
      </c>
      <c r="B1286" s="12" t="s">
        <v>2497</v>
      </c>
      <c r="C1286" s="13" t="s">
        <v>30</v>
      </c>
      <c r="D1286" s="40">
        <v>0</v>
      </c>
    </row>
    <row r="1287" spans="1:4" ht="22.5" customHeight="1" x14ac:dyDescent="0.15">
      <c r="A1287" s="16" t="s">
        <v>668</v>
      </c>
      <c r="B1287" s="12" t="s">
        <v>2498</v>
      </c>
      <c r="C1287" s="13" t="s">
        <v>30</v>
      </c>
      <c r="D1287" s="40">
        <v>0</v>
      </c>
    </row>
    <row r="1288" spans="1:4" ht="22.5" customHeight="1" x14ac:dyDescent="0.15">
      <c r="A1288" s="16" t="s">
        <v>668</v>
      </c>
      <c r="B1288" s="12" t="s">
        <v>2499</v>
      </c>
      <c r="C1288" s="13" t="s">
        <v>23</v>
      </c>
      <c r="D1288" s="40">
        <v>0</v>
      </c>
    </row>
    <row r="1289" spans="1:4" ht="22.5" customHeight="1" x14ac:dyDescent="0.15">
      <c r="A1289" s="16" t="s">
        <v>668</v>
      </c>
      <c r="B1289" s="12" t="s">
        <v>2500</v>
      </c>
      <c r="C1289" s="13" t="s">
        <v>77</v>
      </c>
      <c r="D1289" s="40">
        <v>0</v>
      </c>
    </row>
    <row r="1290" spans="1:4" ht="22.5" customHeight="1" x14ac:dyDescent="0.15">
      <c r="A1290" s="16" t="s">
        <v>668</v>
      </c>
      <c r="B1290" s="12" t="s">
        <v>2501</v>
      </c>
      <c r="C1290" s="13" t="s">
        <v>77</v>
      </c>
      <c r="D1290" s="40">
        <v>0</v>
      </c>
    </row>
    <row r="1291" spans="1:4" ht="22.5" customHeight="1" x14ac:dyDescent="0.15">
      <c r="A1291" s="16" t="s">
        <v>672</v>
      </c>
      <c r="B1291" s="12" t="s">
        <v>2502</v>
      </c>
      <c r="C1291" s="13" t="s">
        <v>342</v>
      </c>
      <c r="D1291" s="40">
        <v>0</v>
      </c>
    </row>
    <row r="1292" spans="1:4" ht="22.5" customHeight="1" x14ac:dyDescent="0.15">
      <c r="A1292" s="16" t="s">
        <v>672</v>
      </c>
      <c r="B1292" s="12" t="s">
        <v>2503</v>
      </c>
      <c r="C1292" s="13" t="s">
        <v>342</v>
      </c>
      <c r="D1292" s="40">
        <v>0</v>
      </c>
    </row>
    <row r="1293" spans="1:4" ht="22.5" customHeight="1" x14ac:dyDescent="0.15">
      <c r="A1293" s="16" t="s">
        <v>157</v>
      </c>
      <c r="B1293" s="12" t="s">
        <v>2504</v>
      </c>
      <c r="C1293" s="13" t="s">
        <v>30</v>
      </c>
      <c r="D1293" s="40">
        <v>0</v>
      </c>
    </row>
    <row r="1294" spans="1:4" ht="22.5" customHeight="1" x14ac:dyDescent="0.15">
      <c r="A1294" s="16" t="s">
        <v>157</v>
      </c>
      <c r="B1294" s="12" t="s">
        <v>2505</v>
      </c>
      <c r="C1294" s="13" t="s">
        <v>83</v>
      </c>
      <c r="D1294" s="40">
        <v>0</v>
      </c>
    </row>
    <row r="1295" spans="1:4" ht="22.5" customHeight="1" x14ac:dyDescent="0.15">
      <c r="A1295" s="16" t="s">
        <v>160</v>
      </c>
      <c r="B1295" s="12" t="s">
        <v>2506</v>
      </c>
      <c r="C1295" s="13" t="s">
        <v>83</v>
      </c>
      <c r="D1295" s="40">
        <v>0</v>
      </c>
    </row>
    <row r="1296" spans="1:4" ht="22.5" customHeight="1" x14ac:dyDescent="0.15">
      <c r="A1296" s="16" t="s">
        <v>160</v>
      </c>
      <c r="B1296" s="12" t="s">
        <v>2507</v>
      </c>
      <c r="C1296" s="13" t="s">
        <v>18</v>
      </c>
      <c r="D1296" s="40">
        <v>0</v>
      </c>
    </row>
    <row r="1297" spans="1:4" ht="22.5" customHeight="1" x14ac:dyDescent="0.15">
      <c r="A1297" s="16" t="s">
        <v>781</v>
      </c>
      <c r="B1297" s="12" t="s">
        <v>2508</v>
      </c>
      <c r="C1297" s="13" t="s">
        <v>30</v>
      </c>
      <c r="D1297" s="40">
        <v>0</v>
      </c>
    </row>
    <row r="1298" spans="1:4" ht="22.5" customHeight="1" x14ac:dyDescent="0.15">
      <c r="A1298" s="16" t="s">
        <v>781</v>
      </c>
      <c r="B1298" s="12" t="s">
        <v>2509</v>
      </c>
      <c r="C1298" s="13" t="s">
        <v>83</v>
      </c>
      <c r="D1298" s="40">
        <v>0</v>
      </c>
    </row>
    <row r="1299" spans="1:4" ht="22.5" customHeight="1" x14ac:dyDescent="0.15">
      <c r="A1299" s="16" t="s">
        <v>683</v>
      </c>
      <c r="B1299" s="12" t="s">
        <v>2510</v>
      </c>
      <c r="C1299" s="13" t="s">
        <v>18</v>
      </c>
      <c r="D1299" s="40">
        <v>0</v>
      </c>
    </row>
    <row r="1300" spans="1:4" ht="22.5" customHeight="1" x14ac:dyDescent="0.15">
      <c r="A1300" s="16" t="s">
        <v>683</v>
      </c>
      <c r="B1300" s="12" t="s">
        <v>2510</v>
      </c>
      <c r="C1300" s="13" t="s">
        <v>18</v>
      </c>
      <c r="D1300" s="40">
        <v>0</v>
      </c>
    </row>
    <row r="1301" spans="1:4" ht="22.5" customHeight="1" x14ac:dyDescent="0.15">
      <c r="A1301" s="16" t="s">
        <v>175</v>
      </c>
      <c r="B1301" s="12" t="s">
        <v>2511</v>
      </c>
      <c r="C1301" s="13" t="s">
        <v>136</v>
      </c>
      <c r="D1301" s="40">
        <v>0</v>
      </c>
    </row>
    <row r="1302" spans="1:4" ht="22.5" customHeight="1" x14ac:dyDescent="0.15">
      <c r="A1302" s="16" t="s">
        <v>175</v>
      </c>
      <c r="B1302" s="12" t="s">
        <v>2512</v>
      </c>
      <c r="C1302" s="13" t="s">
        <v>30</v>
      </c>
      <c r="D1302" s="40">
        <v>0</v>
      </c>
    </row>
    <row r="1303" spans="1:4" ht="22.5" customHeight="1" x14ac:dyDescent="0.15">
      <c r="A1303" s="16" t="s">
        <v>175</v>
      </c>
      <c r="B1303" s="12" t="s">
        <v>2513</v>
      </c>
      <c r="C1303" s="13" t="s">
        <v>30</v>
      </c>
      <c r="D1303" s="40">
        <v>0</v>
      </c>
    </row>
    <row r="1304" spans="1:4" ht="22.5" customHeight="1" x14ac:dyDescent="0.15">
      <c r="A1304" s="16" t="s">
        <v>175</v>
      </c>
      <c r="B1304" s="12" t="s">
        <v>2514</v>
      </c>
      <c r="C1304" s="13" t="s">
        <v>30</v>
      </c>
      <c r="D1304" s="40">
        <v>0</v>
      </c>
    </row>
    <row r="1305" spans="1:4" ht="22.5" customHeight="1" x14ac:dyDescent="0.15">
      <c r="A1305" s="16" t="s">
        <v>175</v>
      </c>
      <c r="B1305" s="12" t="s">
        <v>2515</v>
      </c>
      <c r="C1305" s="13" t="s">
        <v>30</v>
      </c>
      <c r="D1305" s="40">
        <v>0</v>
      </c>
    </row>
    <row r="1306" spans="1:4" ht="22.5" customHeight="1" x14ac:dyDescent="0.15">
      <c r="A1306" s="16" t="s">
        <v>175</v>
      </c>
      <c r="B1306" s="12" t="s">
        <v>2516</v>
      </c>
      <c r="C1306" s="13" t="s">
        <v>30</v>
      </c>
      <c r="D1306" s="40">
        <v>0</v>
      </c>
    </row>
    <row r="1307" spans="1:4" ht="22.5" customHeight="1" x14ac:dyDescent="0.15">
      <c r="A1307" s="16" t="s">
        <v>107</v>
      </c>
      <c r="B1307" s="12" t="s">
        <v>2517</v>
      </c>
      <c r="C1307" s="13" t="s">
        <v>77</v>
      </c>
      <c r="D1307" s="40">
        <v>0</v>
      </c>
    </row>
    <row r="1308" spans="1:4" ht="22.5" customHeight="1" x14ac:dyDescent="0.15">
      <c r="A1308" s="16" t="s">
        <v>187</v>
      </c>
      <c r="B1308" s="12" t="s">
        <v>2518</v>
      </c>
      <c r="C1308" s="13" t="s">
        <v>77</v>
      </c>
      <c r="D1308" s="40">
        <v>0</v>
      </c>
    </row>
    <row r="1309" spans="1:4" ht="22.5" customHeight="1" x14ac:dyDescent="0.15">
      <c r="A1309" s="16" t="s">
        <v>187</v>
      </c>
      <c r="B1309" s="12" t="s">
        <v>2519</v>
      </c>
      <c r="C1309" s="13" t="s">
        <v>12</v>
      </c>
      <c r="D1309" s="40">
        <v>0</v>
      </c>
    </row>
    <row r="1310" spans="1:4" ht="22.5" customHeight="1" x14ac:dyDescent="0.15">
      <c r="A1310" s="16" t="s">
        <v>2522</v>
      </c>
      <c r="B1310" s="12" t="s">
        <v>2523</v>
      </c>
      <c r="C1310" s="13" t="s">
        <v>136</v>
      </c>
      <c r="D1310" s="40">
        <v>0</v>
      </c>
    </row>
    <row r="1311" spans="1:4" ht="22.5" customHeight="1" x14ac:dyDescent="0.15">
      <c r="A1311" s="16" t="s">
        <v>75</v>
      </c>
      <c r="B1311" s="12" t="s">
        <v>2524</v>
      </c>
      <c r="C1311" s="13" t="s">
        <v>30</v>
      </c>
      <c r="D1311" s="40">
        <v>0</v>
      </c>
    </row>
    <row r="1312" spans="1:4" ht="22.5" customHeight="1" x14ac:dyDescent="0.15">
      <c r="A1312" s="16" t="s">
        <v>75</v>
      </c>
      <c r="B1312" s="12" t="s">
        <v>2525</v>
      </c>
      <c r="C1312" s="13" t="s">
        <v>30</v>
      </c>
      <c r="D1312" s="40">
        <v>0</v>
      </c>
    </row>
    <row r="1313" spans="1:4" ht="22.5" customHeight="1" x14ac:dyDescent="0.15">
      <c r="A1313" s="16" t="s">
        <v>75</v>
      </c>
      <c r="B1313" s="12" t="s">
        <v>2526</v>
      </c>
      <c r="C1313" s="13" t="s">
        <v>83</v>
      </c>
      <c r="D1313" s="40">
        <v>0</v>
      </c>
    </row>
    <row r="1314" spans="1:4" ht="22.5" customHeight="1" x14ac:dyDescent="0.15">
      <c r="A1314" s="16" t="s">
        <v>75</v>
      </c>
      <c r="B1314" s="12" t="s">
        <v>2527</v>
      </c>
      <c r="C1314" s="13" t="s">
        <v>67</v>
      </c>
      <c r="D1314" s="40">
        <v>0</v>
      </c>
    </row>
    <row r="1315" spans="1:4" ht="22.5" customHeight="1" x14ac:dyDescent="0.15">
      <c r="A1315" s="16" t="s">
        <v>75</v>
      </c>
      <c r="B1315" s="12" t="s">
        <v>2528</v>
      </c>
      <c r="C1315" s="13" t="s">
        <v>67</v>
      </c>
      <c r="D1315" s="40">
        <v>0</v>
      </c>
    </row>
    <row r="1316" spans="1:4" ht="22.5" customHeight="1" x14ac:dyDescent="0.15">
      <c r="A1316" s="16" t="s">
        <v>1456</v>
      </c>
      <c r="B1316" s="12" t="s">
        <v>2529</v>
      </c>
      <c r="C1316" s="13" t="s">
        <v>88</v>
      </c>
      <c r="D1316" s="40">
        <v>0</v>
      </c>
    </row>
    <row r="1317" spans="1:4" ht="22.5" customHeight="1" x14ac:dyDescent="0.15">
      <c r="A1317" s="16" t="s">
        <v>2532</v>
      </c>
      <c r="B1317" s="12" t="s">
        <v>2533</v>
      </c>
      <c r="C1317" s="13" t="s">
        <v>136</v>
      </c>
      <c r="D1317" s="40">
        <v>0</v>
      </c>
    </row>
    <row r="1318" spans="1:4" ht="22.5" customHeight="1" x14ac:dyDescent="0.15">
      <c r="A1318" s="16" t="s">
        <v>207</v>
      </c>
      <c r="B1318" s="12" t="s">
        <v>2534</v>
      </c>
      <c r="C1318" s="13" t="s">
        <v>83</v>
      </c>
      <c r="D1318" s="40">
        <v>0</v>
      </c>
    </row>
    <row r="1319" spans="1:4" ht="22.5" customHeight="1" x14ac:dyDescent="0.15">
      <c r="A1319" s="16" t="s">
        <v>217</v>
      </c>
      <c r="B1319" s="12" t="s">
        <v>2535</v>
      </c>
      <c r="C1319" s="13" t="s">
        <v>12</v>
      </c>
      <c r="D1319" s="40">
        <v>0</v>
      </c>
    </row>
    <row r="1320" spans="1:4" ht="22.5" customHeight="1" x14ac:dyDescent="0.15">
      <c r="A1320" s="16" t="s">
        <v>9</v>
      </c>
      <c r="B1320" s="12" t="s">
        <v>2536</v>
      </c>
      <c r="C1320" s="13" t="s">
        <v>88</v>
      </c>
      <c r="D1320" s="40">
        <v>0</v>
      </c>
    </row>
    <row r="1321" spans="1:4" ht="22.5" customHeight="1" x14ac:dyDescent="0.15">
      <c r="A1321" s="16" t="s">
        <v>9</v>
      </c>
      <c r="B1321" s="12" t="s">
        <v>2537</v>
      </c>
      <c r="C1321" s="13" t="s">
        <v>342</v>
      </c>
      <c r="D1321" s="40">
        <v>0</v>
      </c>
    </row>
    <row r="1322" spans="1:4" ht="22.5" customHeight="1" x14ac:dyDescent="0.15">
      <c r="A1322" s="16" t="s">
        <v>9</v>
      </c>
      <c r="B1322" s="12" t="s">
        <v>2538</v>
      </c>
      <c r="C1322" s="13" t="s">
        <v>342</v>
      </c>
      <c r="D1322" s="40">
        <v>0</v>
      </c>
    </row>
    <row r="1323" spans="1:4" ht="22.5" customHeight="1" x14ac:dyDescent="0.15">
      <c r="A1323" s="16" t="s">
        <v>810</v>
      </c>
      <c r="B1323" s="12" t="s">
        <v>2539</v>
      </c>
      <c r="C1323" s="13" t="s">
        <v>342</v>
      </c>
      <c r="D1323" s="40">
        <v>0</v>
      </c>
    </row>
    <row r="1324" spans="1:4" ht="22.5" customHeight="1" x14ac:dyDescent="0.15">
      <c r="A1324" s="16" t="s">
        <v>810</v>
      </c>
      <c r="B1324" s="12" t="s">
        <v>2540</v>
      </c>
      <c r="C1324" s="13" t="s">
        <v>342</v>
      </c>
      <c r="D1324" s="40">
        <v>0</v>
      </c>
    </row>
    <row r="1325" spans="1:4" ht="22.5" customHeight="1" x14ac:dyDescent="0.15">
      <c r="A1325" s="16" t="s">
        <v>810</v>
      </c>
      <c r="B1325" s="12" t="s">
        <v>2541</v>
      </c>
      <c r="C1325" s="13" t="s">
        <v>88</v>
      </c>
      <c r="D1325" s="40">
        <v>0</v>
      </c>
    </row>
    <row r="1326" spans="1:4" ht="22.5" customHeight="1" x14ac:dyDescent="0.15">
      <c r="A1326" s="16" t="s">
        <v>600</v>
      </c>
      <c r="B1326" s="12" t="s">
        <v>2542</v>
      </c>
      <c r="C1326" s="13" t="s">
        <v>30</v>
      </c>
      <c r="D1326" s="40">
        <v>0</v>
      </c>
    </row>
    <row r="1327" spans="1:4" ht="22.5" customHeight="1" x14ac:dyDescent="0.15">
      <c r="A1327" s="16" t="s">
        <v>15</v>
      </c>
      <c r="B1327" s="12" t="s">
        <v>2543</v>
      </c>
      <c r="C1327" s="13" t="s">
        <v>18</v>
      </c>
      <c r="D1327" s="40">
        <v>0</v>
      </c>
    </row>
    <row r="1328" spans="1:4" ht="22.5" customHeight="1" x14ac:dyDescent="0.15">
      <c r="A1328" s="16" t="s">
        <v>844</v>
      </c>
      <c r="B1328" s="12" t="s">
        <v>2545</v>
      </c>
      <c r="C1328" s="13" t="s">
        <v>18</v>
      </c>
      <c r="D1328" s="40">
        <v>0</v>
      </c>
    </row>
    <row r="1329" spans="1:4" ht="22.5" customHeight="1" x14ac:dyDescent="0.15">
      <c r="A1329" s="16" t="s">
        <v>853</v>
      </c>
      <c r="B1329" s="12" t="s">
        <v>2546</v>
      </c>
      <c r="C1329" s="13" t="s">
        <v>18</v>
      </c>
      <c r="D1329" s="40">
        <v>0</v>
      </c>
    </row>
    <row r="1330" spans="1:4" ht="22.5" customHeight="1" x14ac:dyDescent="0.15">
      <c r="A1330" s="16" t="s">
        <v>2549</v>
      </c>
      <c r="B1330" s="12" t="s">
        <v>2550</v>
      </c>
      <c r="C1330" s="13" t="s">
        <v>83</v>
      </c>
      <c r="D1330" s="40">
        <v>0</v>
      </c>
    </row>
    <row r="1331" spans="1:4" ht="22.5" customHeight="1" x14ac:dyDescent="0.15">
      <c r="A1331" s="16" t="s">
        <v>234</v>
      </c>
      <c r="B1331" s="12" t="s">
        <v>2551</v>
      </c>
      <c r="C1331" s="13" t="s">
        <v>83</v>
      </c>
      <c r="D1331" s="40">
        <v>0</v>
      </c>
    </row>
    <row r="1332" spans="1:4" ht="22.5" customHeight="1" x14ac:dyDescent="0.15">
      <c r="A1332" s="16" t="s">
        <v>234</v>
      </c>
      <c r="B1332" s="12" t="s">
        <v>2552</v>
      </c>
      <c r="C1332" s="13" t="s">
        <v>83</v>
      </c>
      <c r="D1332" s="40">
        <v>0</v>
      </c>
    </row>
    <row r="1333" spans="1:4" ht="22.5" customHeight="1" x14ac:dyDescent="0.15">
      <c r="A1333" s="16" t="s">
        <v>234</v>
      </c>
      <c r="B1333" s="12" t="s">
        <v>2553</v>
      </c>
      <c r="C1333" s="13" t="s">
        <v>30</v>
      </c>
      <c r="D1333" s="40">
        <v>0</v>
      </c>
    </row>
    <row r="1334" spans="1:4" ht="22.5" customHeight="1" x14ac:dyDescent="0.15">
      <c r="A1334" s="16" t="s">
        <v>234</v>
      </c>
      <c r="B1334" s="12" t="s">
        <v>2554</v>
      </c>
      <c r="C1334" s="13" t="s">
        <v>30</v>
      </c>
      <c r="D1334" s="40">
        <v>0</v>
      </c>
    </row>
    <row r="1335" spans="1:4" ht="22.5" customHeight="1" x14ac:dyDescent="0.15">
      <c r="A1335" s="16" t="s">
        <v>234</v>
      </c>
      <c r="B1335" s="12" t="s">
        <v>2555</v>
      </c>
      <c r="C1335" s="13" t="s">
        <v>30</v>
      </c>
      <c r="D1335" s="40">
        <v>0</v>
      </c>
    </row>
    <row r="1336" spans="1:4" ht="22.5" customHeight="1" x14ac:dyDescent="0.15">
      <c r="A1336" s="16" t="s">
        <v>234</v>
      </c>
      <c r="B1336" s="12" t="s">
        <v>2556</v>
      </c>
      <c r="C1336" s="13" t="s">
        <v>30</v>
      </c>
      <c r="D1336" s="40">
        <v>0</v>
      </c>
    </row>
    <row r="1337" spans="1:4" ht="22.5" customHeight="1" x14ac:dyDescent="0.15">
      <c r="A1337" s="16" t="s">
        <v>234</v>
      </c>
      <c r="B1337" s="12" t="s">
        <v>2557</v>
      </c>
      <c r="C1337" s="13" t="s">
        <v>23</v>
      </c>
      <c r="D1337" s="40">
        <v>0</v>
      </c>
    </row>
    <row r="1338" spans="1:4" ht="22.5" customHeight="1" x14ac:dyDescent="0.15">
      <c r="A1338" s="16" t="s">
        <v>234</v>
      </c>
      <c r="B1338" s="12" t="s">
        <v>2558</v>
      </c>
      <c r="C1338" s="13" t="s">
        <v>83</v>
      </c>
      <c r="D1338" s="40">
        <v>0</v>
      </c>
    </row>
    <row r="1339" spans="1:4" ht="22.5" customHeight="1" x14ac:dyDescent="0.15">
      <c r="A1339" s="16" t="s">
        <v>234</v>
      </c>
      <c r="B1339" s="12" t="s">
        <v>2559</v>
      </c>
      <c r="C1339" s="13" t="s">
        <v>30</v>
      </c>
      <c r="D1339" s="40">
        <v>0</v>
      </c>
    </row>
    <row r="1340" spans="1:4" ht="22.5" customHeight="1" x14ac:dyDescent="0.15">
      <c r="A1340" s="16" t="s">
        <v>234</v>
      </c>
      <c r="B1340" s="12" t="s">
        <v>2560</v>
      </c>
      <c r="C1340" s="13" t="s">
        <v>30</v>
      </c>
      <c r="D1340" s="40">
        <v>0</v>
      </c>
    </row>
    <row r="1341" spans="1:4" ht="22.5" customHeight="1" x14ac:dyDescent="0.15">
      <c r="A1341" s="16" t="s">
        <v>234</v>
      </c>
      <c r="B1341" s="12" t="s">
        <v>2561</v>
      </c>
      <c r="C1341" s="13" t="s">
        <v>12</v>
      </c>
      <c r="D1341" s="40">
        <v>0</v>
      </c>
    </row>
    <row r="1342" spans="1:4" ht="22.5" customHeight="1" x14ac:dyDescent="0.15">
      <c r="A1342" s="16" t="s">
        <v>239</v>
      </c>
      <c r="B1342" s="12" t="s">
        <v>2562</v>
      </c>
      <c r="C1342" s="13" t="s">
        <v>30</v>
      </c>
      <c r="D1342" s="40">
        <v>0</v>
      </c>
    </row>
    <row r="1343" spans="1:4" ht="22.5" customHeight="1" x14ac:dyDescent="0.15">
      <c r="A1343" s="16" t="s">
        <v>239</v>
      </c>
      <c r="B1343" s="12" t="s">
        <v>2563</v>
      </c>
      <c r="C1343" s="13" t="s">
        <v>30</v>
      </c>
      <c r="D1343" s="40">
        <v>0</v>
      </c>
    </row>
    <row r="1344" spans="1:4" ht="22.5" customHeight="1" x14ac:dyDescent="0.15">
      <c r="A1344" s="16" t="s">
        <v>256</v>
      </c>
      <c r="B1344" s="12" t="s">
        <v>2564</v>
      </c>
      <c r="C1344" s="13" t="s">
        <v>30</v>
      </c>
      <c r="D1344" s="40">
        <v>0</v>
      </c>
    </row>
    <row r="1345" spans="1:4" ht="22.5" customHeight="1" x14ac:dyDescent="0.15">
      <c r="A1345" s="16" t="s">
        <v>256</v>
      </c>
      <c r="B1345" s="12" t="s">
        <v>2565</v>
      </c>
      <c r="C1345" s="13" t="s">
        <v>83</v>
      </c>
      <c r="D1345" s="40">
        <v>0</v>
      </c>
    </row>
    <row r="1346" spans="1:4" ht="22.5" customHeight="1" x14ac:dyDescent="0.15">
      <c r="A1346" s="16" t="s">
        <v>256</v>
      </c>
      <c r="B1346" s="12" t="s">
        <v>2566</v>
      </c>
      <c r="C1346" s="13" t="s">
        <v>83</v>
      </c>
      <c r="D1346" s="40">
        <v>0</v>
      </c>
    </row>
    <row r="1347" spans="1:4" ht="22.5" customHeight="1" x14ac:dyDescent="0.15">
      <c r="A1347" s="16" t="s">
        <v>256</v>
      </c>
      <c r="B1347" s="12" t="s">
        <v>2567</v>
      </c>
      <c r="C1347" s="13" t="s">
        <v>30</v>
      </c>
      <c r="D1347" s="40">
        <v>0</v>
      </c>
    </row>
    <row r="1348" spans="1:4" ht="22.5" customHeight="1" x14ac:dyDescent="0.15">
      <c r="A1348" s="16" t="s">
        <v>256</v>
      </c>
      <c r="B1348" s="12" t="s">
        <v>2568</v>
      </c>
      <c r="C1348" s="13" t="s">
        <v>30</v>
      </c>
      <c r="D1348" s="40">
        <v>0</v>
      </c>
    </row>
    <row r="1349" spans="1:4" ht="22.5" customHeight="1" x14ac:dyDescent="0.15">
      <c r="A1349" s="16" t="s">
        <v>2571</v>
      </c>
      <c r="B1349" s="12" t="s">
        <v>2572</v>
      </c>
      <c r="C1349" s="13" t="s">
        <v>30</v>
      </c>
      <c r="D1349" s="40">
        <v>0</v>
      </c>
    </row>
    <row r="1350" spans="1:4" ht="22.5" customHeight="1" x14ac:dyDescent="0.15">
      <c r="A1350" s="16" t="s">
        <v>2571</v>
      </c>
      <c r="B1350" s="12" t="s">
        <v>2573</v>
      </c>
      <c r="C1350" s="13" t="s">
        <v>30</v>
      </c>
      <c r="D1350" s="40">
        <v>0</v>
      </c>
    </row>
    <row r="1351" spans="1:4" ht="22.5" customHeight="1" x14ac:dyDescent="0.15">
      <c r="A1351" s="16" t="s">
        <v>916</v>
      </c>
      <c r="B1351" s="12" t="s">
        <v>2574</v>
      </c>
      <c r="C1351" s="13" t="s">
        <v>30</v>
      </c>
      <c r="D1351" s="40">
        <v>0</v>
      </c>
    </row>
    <row r="1352" spans="1:4" ht="22.5" customHeight="1" x14ac:dyDescent="0.15">
      <c r="A1352" s="16" t="s">
        <v>277</v>
      </c>
      <c r="B1352" s="12" t="s">
        <v>2575</v>
      </c>
      <c r="C1352" s="13" t="s">
        <v>30</v>
      </c>
      <c r="D1352" s="40">
        <v>0</v>
      </c>
    </row>
    <row r="1353" spans="1:4" ht="22.5" customHeight="1" x14ac:dyDescent="0.15">
      <c r="A1353" s="16" t="s">
        <v>934</v>
      </c>
      <c r="B1353" s="12" t="s">
        <v>2576</v>
      </c>
      <c r="C1353" s="13" t="s">
        <v>23</v>
      </c>
      <c r="D1353" s="40">
        <v>0</v>
      </c>
    </row>
    <row r="1354" spans="1:4" ht="22.5" customHeight="1" x14ac:dyDescent="0.15">
      <c r="A1354" s="16" t="s">
        <v>289</v>
      </c>
      <c r="B1354" s="12" t="s">
        <v>2577</v>
      </c>
      <c r="C1354" s="13" t="s">
        <v>83</v>
      </c>
      <c r="D1354" s="40">
        <v>0</v>
      </c>
    </row>
    <row r="1355" spans="1:4" ht="22.5" customHeight="1" x14ac:dyDescent="0.15">
      <c r="A1355" s="16" t="s">
        <v>289</v>
      </c>
      <c r="B1355" s="12" t="s">
        <v>2578</v>
      </c>
      <c r="C1355" s="13" t="s">
        <v>18</v>
      </c>
      <c r="D1355" s="40">
        <v>0</v>
      </c>
    </row>
    <row r="1356" spans="1:4" ht="22.5" customHeight="1" x14ac:dyDescent="0.15">
      <c r="A1356" s="16" t="s">
        <v>2156</v>
      </c>
      <c r="B1356" s="12" t="s">
        <v>2579</v>
      </c>
      <c r="C1356" s="13" t="s">
        <v>136</v>
      </c>
      <c r="D1356" s="40">
        <v>0</v>
      </c>
    </row>
    <row r="1357" spans="1:4" ht="22.5" customHeight="1" x14ac:dyDescent="0.15">
      <c r="A1357" s="16" t="s">
        <v>293</v>
      </c>
      <c r="B1357" s="12" t="s">
        <v>2580</v>
      </c>
      <c r="C1357" s="13" t="s">
        <v>30</v>
      </c>
      <c r="D1357" s="40">
        <v>0</v>
      </c>
    </row>
    <row r="1358" spans="1:4" ht="22.5" customHeight="1" x14ac:dyDescent="0.15">
      <c r="A1358" s="16" t="s">
        <v>306</v>
      </c>
      <c r="B1358" s="12" t="s">
        <v>2581</v>
      </c>
      <c r="C1358" s="13" t="s">
        <v>30</v>
      </c>
      <c r="D1358" s="40">
        <v>0</v>
      </c>
    </row>
    <row r="1359" spans="1:4" ht="22.5" customHeight="1" x14ac:dyDescent="0.15">
      <c r="A1359" s="16" t="s">
        <v>955</v>
      </c>
      <c r="B1359" s="12" t="s">
        <v>2582</v>
      </c>
      <c r="C1359" s="13" t="s">
        <v>18</v>
      </c>
      <c r="D1359" s="40">
        <v>0</v>
      </c>
    </row>
    <row r="1360" spans="1:4" ht="22.5" customHeight="1" x14ac:dyDescent="0.15">
      <c r="A1360" s="16" t="s">
        <v>955</v>
      </c>
      <c r="B1360" s="12" t="s">
        <v>2583</v>
      </c>
      <c r="C1360" s="13" t="s">
        <v>83</v>
      </c>
      <c r="D1360" s="40">
        <v>0</v>
      </c>
    </row>
    <row r="1361" spans="1:4" ht="22.5" customHeight="1" x14ac:dyDescent="0.15">
      <c r="A1361" s="16" t="s">
        <v>37</v>
      </c>
      <c r="B1361" s="12" t="s">
        <v>2584</v>
      </c>
      <c r="C1361" s="13" t="s">
        <v>83</v>
      </c>
      <c r="D1361" s="40">
        <v>0</v>
      </c>
    </row>
    <row r="1362" spans="1:4" ht="22.5" customHeight="1" x14ac:dyDescent="0.15">
      <c r="A1362" s="16" t="s">
        <v>327</v>
      </c>
      <c r="B1362" s="12" t="s">
        <v>2585</v>
      </c>
      <c r="C1362" s="13" t="s">
        <v>12</v>
      </c>
      <c r="D1362" s="40">
        <v>0</v>
      </c>
    </row>
    <row r="1363" spans="1:4" ht="22.5" customHeight="1" x14ac:dyDescent="0.15">
      <c r="A1363" s="16" t="s">
        <v>327</v>
      </c>
      <c r="B1363" s="12" t="s">
        <v>2586</v>
      </c>
      <c r="C1363" s="13" t="s">
        <v>136</v>
      </c>
      <c r="D1363" s="40">
        <v>0</v>
      </c>
    </row>
    <row r="1364" spans="1:4" ht="22.5" customHeight="1" x14ac:dyDescent="0.15">
      <c r="A1364" s="16" t="s">
        <v>327</v>
      </c>
      <c r="B1364" s="12" t="s">
        <v>2587</v>
      </c>
      <c r="C1364" s="13" t="s">
        <v>136</v>
      </c>
      <c r="D1364" s="40">
        <v>0</v>
      </c>
    </row>
    <row r="1365" spans="1:4" ht="22.5" customHeight="1" x14ac:dyDescent="0.15">
      <c r="A1365" s="16" t="s">
        <v>327</v>
      </c>
      <c r="B1365" s="12" t="s">
        <v>2588</v>
      </c>
      <c r="C1365" s="13" t="s">
        <v>30</v>
      </c>
      <c r="D1365" s="40">
        <v>0</v>
      </c>
    </row>
    <row r="1366" spans="1:4" ht="22.5" customHeight="1" x14ac:dyDescent="0.15">
      <c r="A1366" s="16" t="s">
        <v>345</v>
      </c>
      <c r="B1366" s="12" t="s">
        <v>2589</v>
      </c>
      <c r="C1366" s="13" t="s">
        <v>18</v>
      </c>
      <c r="D1366" s="40">
        <v>0</v>
      </c>
    </row>
    <row r="1367" spans="1:4" ht="22.5" customHeight="1" x14ac:dyDescent="0.15">
      <c r="A1367" s="16" t="s">
        <v>2184</v>
      </c>
      <c r="B1367" s="12" t="s">
        <v>2590</v>
      </c>
      <c r="C1367" s="13" t="s">
        <v>77</v>
      </c>
      <c r="D1367" s="40">
        <v>0</v>
      </c>
    </row>
    <row r="1368" spans="1:4" ht="22.5" customHeight="1" x14ac:dyDescent="0.15">
      <c r="A1368" s="16" t="s">
        <v>2184</v>
      </c>
      <c r="B1368" s="12" t="s">
        <v>2591</v>
      </c>
      <c r="C1368" s="13" t="s">
        <v>77</v>
      </c>
      <c r="D1368" s="40">
        <v>0</v>
      </c>
    </row>
    <row r="1369" spans="1:4" ht="22.5" customHeight="1" x14ac:dyDescent="0.15">
      <c r="A1369" s="16" t="s">
        <v>2184</v>
      </c>
      <c r="B1369" s="12" t="s">
        <v>2592</v>
      </c>
      <c r="C1369" s="13" t="s">
        <v>77</v>
      </c>
      <c r="D1369" s="40">
        <v>0</v>
      </c>
    </row>
    <row r="1370" spans="1:4" ht="22.5" customHeight="1" x14ac:dyDescent="0.15">
      <c r="A1370" s="16" t="s">
        <v>347</v>
      </c>
      <c r="B1370" s="12" t="s">
        <v>2593</v>
      </c>
      <c r="C1370" s="13" t="s">
        <v>18</v>
      </c>
      <c r="D1370" s="40">
        <v>0</v>
      </c>
    </row>
    <row r="1371" spans="1:4" ht="22.5" customHeight="1" x14ac:dyDescent="0.15">
      <c r="A1371" s="16" t="s">
        <v>351</v>
      </c>
      <c r="B1371" s="12" t="s">
        <v>2594</v>
      </c>
      <c r="C1371" s="13" t="s">
        <v>30</v>
      </c>
      <c r="D1371" s="40">
        <v>0</v>
      </c>
    </row>
    <row r="1372" spans="1:4" ht="22.5" customHeight="1" x14ac:dyDescent="0.15">
      <c r="A1372" s="16" t="s">
        <v>351</v>
      </c>
      <c r="B1372" s="12" t="s">
        <v>2595</v>
      </c>
      <c r="C1372" s="13" t="s">
        <v>342</v>
      </c>
      <c r="D1372" s="40">
        <v>0</v>
      </c>
    </row>
    <row r="1373" spans="1:4" ht="22.5" customHeight="1" x14ac:dyDescent="0.15">
      <c r="A1373" s="16" t="s">
        <v>2598</v>
      </c>
      <c r="B1373" s="12" t="s">
        <v>2599</v>
      </c>
      <c r="C1373" s="13" t="s">
        <v>18</v>
      </c>
      <c r="D1373" s="40">
        <v>0</v>
      </c>
    </row>
    <row r="1374" spans="1:4" ht="22.5" customHeight="1" x14ac:dyDescent="0.15">
      <c r="A1374" s="16" t="s">
        <v>359</v>
      </c>
      <c r="B1374" s="12" t="s">
        <v>2600</v>
      </c>
      <c r="C1374" s="13" t="s">
        <v>513</v>
      </c>
      <c r="D1374" s="40">
        <v>0</v>
      </c>
    </row>
    <row r="1375" spans="1:4" ht="22.5" customHeight="1" x14ac:dyDescent="0.15">
      <c r="A1375" s="16" t="s">
        <v>364</v>
      </c>
      <c r="B1375" s="12" t="s">
        <v>2601</v>
      </c>
      <c r="C1375" s="13" t="s">
        <v>136</v>
      </c>
      <c r="D1375" s="40">
        <v>0</v>
      </c>
    </row>
    <row r="1376" spans="1:4" ht="22.5" customHeight="1" x14ac:dyDescent="0.15">
      <c r="A1376" s="16" t="s">
        <v>2604</v>
      </c>
      <c r="B1376" s="12" t="s">
        <v>2605</v>
      </c>
      <c r="C1376" s="13" t="s">
        <v>136</v>
      </c>
      <c r="D1376" s="40">
        <v>0</v>
      </c>
    </row>
    <row r="1377" spans="1:4" ht="22.5" customHeight="1" x14ac:dyDescent="0.15">
      <c r="A1377" s="16" t="s">
        <v>379</v>
      </c>
      <c r="B1377" s="12" t="s">
        <v>2606</v>
      </c>
      <c r="C1377" s="13" t="s">
        <v>18</v>
      </c>
      <c r="D1377" s="40">
        <v>0</v>
      </c>
    </row>
    <row r="1378" spans="1:4" ht="22.5" customHeight="1" x14ac:dyDescent="0.15">
      <c r="A1378" s="16" t="s">
        <v>379</v>
      </c>
      <c r="B1378" s="12" t="s">
        <v>2607</v>
      </c>
      <c r="C1378" s="13" t="s">
        <v>30</v>
      </c>
      <c r="D1378" s="40">
        <v>0</v>
      </c>
    </row>
    <row r="1379" spans="1:4" ht="22.5" customHeight="1" x14ac:dyDescent="0.15">
      <c r="A1379" s="16" t="s">
        <v>1021</v>
      </c>
      <c r="B1379" s="12" t="s">
        <v>2608</v>
      </c>
      <c r="C1379" s="13" t="s">
        <v>18</v>
      </c>
      <c r="D1379" s="40">
        <v>0</v>
      </c>
    </row>
    <row r="1380" spans="1:4" ht="22.5" customHeight="1" x14ac:dyDescent="0.15">
      <c r="A1380" s="16" t="s">
        <v>1021</v>
      </c>
      <c r="B1380" s="12" t="s">
        <v>2609</v>
      </c>
      <c r="C1380" s="13" t="s">
        <v>83</v>
      </c>
      <c r="D1380" s="40">
        <v>0</v>
      </c>
    </row>
    <row r="1381" spans="1:4" ht="22.5" customHeight="1" x14ac:dyDescent="0.15">
      <c r="A1381" s="16" t="s">
        <v>1021</v>
      </c>
      <c r="B1381" s="12" t="s">
        <v>2610</v>
      </c>
      <c r="C1381" s="13" t="s">
        <v>342</v>
      </c>
      <c r="D1381" s="40">
        <v>0</v>
      </c>
    </row>
    <row r="1382" spans="1:4" ht="22.5" customHeight="1" x14ac:dyDescent="0.15">
      <c r="A1382" s="16" t="s">
        <v>384</v>
      </c>
      <c r="B1382" s="12" t="s">
        <v>2611</v>
      </c>
      <c r="C1382" s="13" t="s">
        <v>136</v>
      </c>
      <c r="D1382" s="40">
        <v>0</v>
      </c>
    </row>
    <row r="1383" spans="1:4" ht="22.5" customHeight="1" x14ac:dyDescent="0.15">
      <c r="A1383" s="16" t="s">
        <v>384</v>
      </c>
      <c r="B1383" s="12" t="s">
        <v>2612</v>
      </c>
      <c r="C1383" s="13" t="s">
        <v>30</v>
      </c>
      <c r="D1383" s="40">
        <v>0</v>
      </c>
    </row>
    <row r="1384" spans="1:4" ht="22.5" customHeight="1" x14ac:dyDescent="0.15">
      <c r="A1384" s="16" t="s">
        <v>384</v>
      </c>
      <c r="B1384" s="12" t="s">
        <v>2613</v>
      </c>
      <c r="C1384" s="13" t="s">
        <v>30</v>
      </c>
      <c r="D1384" s="40">
        <v>0</v>
      </c>
    </row>
    <row r="1385" spans="1:4" ht="22.5" customHeight="1" x14ac:dyDescent="0.15">
      <c r="A1385" s="16" t="s">
        <v>384</v>
      </c>
      <c r="B1385" s="12" t="s">
        <v>2614</v>
      </c>
      <c r="C1385" s="13" t="s">
        <v>30</v>
      </c>
      <c r="D1385" s="40">
        <v>0</v>
      </c>
    </row>
    <row r="1386" spans="1:4" ht="22.5" customHeight="1" x14ac:dyDescent="0.15">
      <c r="A1386" s="16" t="s">
        <v>384</v>
      </c>
      <c r="B1386" s="12" t="s">
        <v>2615</v>
      </c>
      <c r="C1386" s="13" t="s">
        <v>83</v>
      </c>
      <c r="D1386" s="40">
        <v>0</v>
      </c>
    </row>
    <row r="1387" spans="1:4" ht="22.5" customHeight="1" x14ac:dyDescent="0.15">
      <c r="A1387" s="16" t="s">
        <v>384</v>
      </c>
      <c r="B1387" s="12" t="s">
        <v>2616</v>
      </c>
      <c r="C1387" s="13" t="s">
        <v>12</v>
      </c>
      <c r="D1387" s="40">
        <v>0</v>
      </c>
    </row>
    <row r="1388" spans="1:4" ht="22.5" customHeight="1" x14ac:dyDescent="0.15">
      <c r="A1388" s="16" t="s">
        <v>1514</v>
      </c>
      <c r="B1388" s="12" t="s">
        <v>2617</v>
      </c>
      <c r="C1388" s="13" t="s">
        <v>18</v>
      </c>
      <c r="D1388" s="40">
        <v>0</v>
      </c>
    </row>
    <row r="1389" spans="1:4" ht="22.5" customHeight="1" x14ac:dyDescent="0.15">
      <c r="A1389" s="16" t="s">
        <v>1057</v>
      </c>
      <c r="B1389" s="12" t="s">
        <v>2536</v>
      </c>
      <c r="C1389" s="13" t="s">
        <v>88</v>
      </c>
      <c r="D1389" s="40">
        <v>0</v>
      </c>
    </row>
    <row r="1390" spans="1:4" ht="22.5" customHeight="1" x14ac:dyDescent="0.15">
      <c r="A1390" s="16" t="s">
        <v>1057</v>
      </c>
      <c r="B1390" s="12" t="s">
        <v>2537</v>
      </c>
      <c r="C1390" s="13" t="s">
        <v>342</v>
      </c>
      <c r="D1390" s="40">
        <v>0</v>
      </c>
    </row>
    <row r="1391" spans="1:4" ht="22.5" customHeight="1" x14ac:dyDescent="0.15">
      <c r="A1391" s="16" t="s">
        <v>1057</v>
      </c>
      <c r="B1391" s="12" t="s">
        <v>2538</v>
      </c>
      <c r="C1391" s="13" t="s">
        <v>342</v>
      </c>
      <c r="D1391" s="40">
        <v>0</v>
      </c>
    </row>
    <row r="1392" spans="1:4" ht="22.5" customHeight="1" x14ac:dyDescent="0.15">
      <c r="A1392" s="16" t="s">
        <v>391</v>
      </c>
      <c r="B1392" s="12" t="s">
        <v>2618</v>
      </c>
      <c r="C1392" s="13" t="s">
        <v>136</v>
      </c>
      <c r="D1392" s="40">
        <v>0</v>
      </c>
    </row>
    <row r="1393" spans="1:4" ht="22.5" customHeight="1" x14ac:dyDescent="0.15">
      <c r="A1393" s="16" t="s">
        <v>710</v>
      </c>
      <c r="B1393" s="12" t="s">
        <v>2619</v>
      </c>
      <c r="C1393" s="13" t="s">
        <v>30</v>
      </c>
      <c r="D1393" s="40">
        <v>0</v>
      </c>
    </row>
    <row r="1394" spans="1:4" ht="22.5" customHeight="1" x14ac:dyDescent="0.15">
      <c r="A1394" s="16" t="s">
        <v>710</v>
      </c>
      <c r="B1394" s="12" t="s">
        <v>2620</v>
      </c>
      <c r="C1394" s="13" t="s">
        <v>30</v>
      </c>
      <c r="D1394" s="40">
        <v>0</v>
      </c>
    </row>
    <row r="1395" spans="1:4" ht="22.5" customHeight="1" x14ac:dyDescent="0.15">
      <c r="A1395" s="16" t="s">
        <v>395</v>
      </c>
      <c r="B1395" s="12" t="s">
        <v>2621</v>
      </c>
      <c r="C1395" s="13" t="s">
        <v>30</v>
      </c>
      <c r="D1395" s="40">
        <v>0</v>
      </c>
    </row>
    <row r="1396" spans="1:4" ht="22.5" customHeight="1" x14ac:dyDescent="0.15">
      <c r="A1396" s="15" t="s">
        <v>1088</v>
      </c>
      <c r="B1396" s="12" t="s">
        <v>2622</v>
      </c>
      <c r="C1396" s="13" t="s">
        <v>136</v>
      </c>
      <c r="D1396" s="40">
        <v>0</v>
      </c>
    </row>
    <row r="1397" spans="1:4" ht="22.5" customHeight="1" x14ac:dyDescent="0.15">
      <c r="A1397" s="16" t="s">
        <v>1088</v>
      </c>
      <c r="B1397" s="12" t="s">
        <v>2623</v>
      </c>
      <c r="C1397" s="13" t="s">
        <v>83</v>
      </c>
      <c r="D1397" s="40">
        <v>0</v>
      </c>
    </row>
    <row r="1398" spans="1:4" ht="22.5" customHeight="1" x14ac:dyDescent="0.15">
      <c r="A1398" s="16" t="s">
        <v>1088</v>
      </c>
      <c r="B1398" s="12" t="s">
        <v>2624</v>
      </c>
      <c r="C1398" s="13" t="s">
        <v>18</v>
      </c>
      <c r="D1398" s="40">
        <v>0</v>
      </c>
    </row>
    <row r="1399" spans="1:4" ht="22.5" customHeight="1" x14ac:dyDescent="0.15">
      <c r="A1399" s="16" t="s">
        <v>1088</v>
      </c>
      <c r="B1399" s="12" t="s">
        <v>2625</v>
      </c>
      <c r="C1399" s="13" t="s">
        <v>83</v>
      </c>
      <c r="D1399" s="40">
        <v>0</v>
      </c>
    </row>
    <row r="1400" spans="1:4" ht="22.5" customHeight="1" x14ac:dyDescent="0.15">
      <c r="A1400" s="16" t="s">
        <v>1088</v>
      </c>
      <c r="B1400" s="12" t="s">
        <v>2626</v>
      </c>
      <c r="C1400" s="13" t="s">
        <v>83</v>
      </c>
      <c r="D1400" s="40">
        <v>0</v>
      </c>
    </row>
    <row r="1401" spans="1:4" ht="22.5" customHeight="1" x14ac:dyDescent="0.15">
      <c r="A1401" s="16" t="s">
        <v>1088</v>
      </c>
      <c r="B1401" s="12" t="s">
        <v>2627</v>
      </c>
      <c r="C1401" s="13" t="s">
        <v>83</v>
      </c>
      <c r="D1401" s="40">
        <v>0</v>
      </c>
    </row>
    <row r="1402" spans="1:4" ht="22.5" customHeight="1" x14ac:dyDescent="0.15">
      <c r="A1402" s="16" t="s">
        <v>1088</v>
      </c>
      <c r="B1402" s="12" t="s">
        <v>2628</v>
      </c>
      <c r="C1402" s="13" t="s">
        <v>30</v>
      </c>
      <c r="D1402" s="40">
        <v>0</v>
      </c>
    </row>
    <row r="1403" spans="1:4" ht="22.5" customHeight="1" x14ac:dyDescent="0.15">
      <c r="A1403" s="16" t="s">
        <v>1088</v>
      </c>
      <c r="B1403" s="12" t="s">
        <v>2629</v>
      </c>
      <c r="C1403" s="13" t="s">
        <v>30</v>
      </c>
      <c r="D1403" s="40">
        <v>0</v>
      </c>
    </row>
    <row r="1404" spans="1:4" ht="22.5" customHeight="1" x14ac:dyDescent="0.15">
      <c r="A1404" s="16" t="s">
        <v>1088</v>
      </c>
      <c r="B1404" s="12" t="s">
        <v>2630</v>
      </c>
      <c r="C1404" s="13" t="s">
        <v>30</v>
      </c>
      <c r="D1404" s="40">
        <v>0</v>
      </c>
    </row>
    <row r="1405" spans="1:4" ht="22.5" customHeight="1" x14ac:dyDescent="0.15">
      <c r="A1405" s="16" t="s">
        <v>1088</v>
      </c>
      <c r="B1405" s="12" t="s">
        <v>2631</v>
      </c>
      <c r="C1405" s="13" t="s">
        <v>88</v>
      </c>
      <c r="D1405" s="40">
        <v>0</v>
      </c>
    </row>
    <row r="1406" spans="1:4" ht="22.5" customHeight="1" x14ac:dyDescent="0.15">
      <c r="A1406" s="16" t="s">
        <v>1088</v>
      </c>
      <c r="B1406" s="12" t="s">
        <v>2632</v>
      </c>
      <c r="C1406" s="13" t="s">
        <v>88</v>
      </c>
      <c r="D1406" s="40">
        <v>0</v>
      </c>
    </row>
    <row r="1407" spans="1:4" ht="22.5" customHeight="1" x14ac:dyDescent="0.15">
      <c r="A1407" s="16" t="s">
        <v>2635</v>
      </c>
      <c r="B1407" s="12" t="s">
        <v>2636</v>
      </c>
      <c r="C1407" s="13" t="s">
        <v>23</v>
      </c>
      <c r="D1407" s="40">
        <v>0</v>
      </c>
    </row>
    <row r="1408" spans="1:4" ht="22.5" customHeight="1" x14ac:dyDescent="0.15">
      <c r="A1408" s="16" t="s">
        <v>2638</v>
      </c>
      <c r="B1408" s="12" t="s">
        <v>2639</v>
      </c>
      <c r="C1408" s="13" t="s">
        <v>342</v>
      </c>
      <c r="D1408" s="40">
        <v>0</v>
      </c>
    </row>
    <row r="1409" spans="1:4" ht="22.5" customHeight="1" x14ac:dyDescent="0.15">
      <c r="A1409" s="16" t="s">
        <v>2638</v>
      </c>
      <c r="B1409" s="12" t="s">
        <v>2640</v>
      </c>
      <c r="C1409" s="13" t="s">
        <v>219</v>
      </c>
      <c r="D1409" s="40">
        <v>0</v>
      </c>
    </row>
    <row r="1410" spans="1:4" ht="22.5" customHeight="1" x14ac:dyDescent="0.15">
      <c r="A1410" s="16" t="s">
        <v>1094</v>
      </c>
      <c r="B1410" s="12" t="s">
        <v>2641</v>
      </c>
      <c r="C1410" s="13" t="s">
        <v>136</v>
      </c>
      <c r="D1410" s="40">
        <v>0</v>
      </c>
    </row>
    <row r="1411" spans="1:4" ht="22.5" customHeight="1" x14ac:dyDescent="0.15">
      <c r="A1411" s="16" t="s">
        <v>2219</v>
      </c>
      <c r="B1411" s="12" t="s">
        <v>2642</v>
      </c>
      <c r="C1411" s="13" t="s">
        <v>67</v>
      </c>
      <c r="D1411" s="40">
        <v>0</v>
      </c>
    </row>
    <row r="1412" spans="1:4" ht="22.5" customHeight="1" x14ac:dyDescent="0.15">
      <c r="A1412" s="16" t="s">
        <v>2219</v>
      </c>
      <c r="B1412" s="12" t="s">
        <v>2643</v>
      </c>
      <c r="C1412" s="13" t="s">
        <v>30</v>
      </c>
      <c r="D1412" s="40">
        <v>0</v>
      </c>
    </row>
    <row r="1413" spans="1:4" ht="22.5" customHeight="1" x14ac:dyDescent="0.15">
      <c r="A1413" s="16" t="s">
        <v>2219</v>
      </c>
      <c r="B1413" s="12" t="s">
        <v>2644</v>
      </c>
      <c r="C1413" s="13" t="s">
        <v>136</v>
      </c>
      <c r="D1413" s="40">
        <v>0</v>
      </c>
    </row>
    <row r="1414" spans="1:4" ht="22.5" customHeight="1" x14ac:dyDescent="0.15">
      <c r="A1414" s="16" t="s">
        <v>1517</v>
      </c>
      <c r="B1414" s="12" t="s">
        <v>2562</v>
      </c>
      <c r="C1414" s="13" t="s">
        <v>30</v>
      </c>
      <c r="D1414" s="40">
        <v>0</v>
      </c>
    </row>
    <row r="1415" spans="1:4" ht="22.5" customHeight="1" x14ac:dyDescent="0.15">
      <c r="A1415" s="16" t="s">
        <v>1517</v>
      </c>
      <c r="B1415" s="12" t="s">
        <v>2563</v>
      </c>
      <c r="C1415" s="13" t="s">
        <v>30</v>
      </c>
      <c r="D1415" s="40">
        <v>0</v>
      </c>
    </row>
    <row r="1416" spans="1:4" ht="22.5" customHeight="1" x14ac:dyDescent="0.15">
      <c r="A1416" s="16" t="s">
        <v>399</v>
      </c>
      <c r="B1416" s="12" t="s">
        <v>2645</v>
      </c>
      <c r="C1416" s="13" t="s">
        <v>18</v>
      </c>
      <c r="D1416" s="40">
        <v>0</v>
      </c>
    </row>
    <row r="1417" spans="1:4" ht="22.5" customHeight="1" x14ac:dyDescent="0.15">
      <c r="A1417" s="16" t="s">
        <v>94</v>
      </c>
      <c r="B1417" s="12" t="s">
        <v>2646</v>
      </c>
      <c r="C1417" s="13" t="s">
        <v>136</v>
      </c>
      <c r="D1417" s="40">
        <v>0</v>
      </c>
    </row>
    <row r="1418" spans="1:4" ht="22.5" customHeight="1" x14ac:dyDescent="0.15">
      <c r="A1418" s="16" t="s">
        <v>1120</v>
      </c>
      <c r="B1418" s="12" t="s">
        <v>2647</v>
      </c>
      <c r="C1418" s="13" t="s">
        <v>23</v>
      </c>
      <c r="D1418" s="40">
        <v>0</v>
      </c>
    </row>
    <row r="1419" spans="1:4" ht="22.5" customHeight="1" x14ac:dyDescent="0.15">
      <c r="A1419" s="16" t="s">
        <v>1127</v>
      </c>
      <c r="B1419" s="12" t="s">
        <v>2648</v>
      </c>
      <c r="C1419" s="13" t="s">
        <v>23</v>
      </c>
      <c r="D1419" s="40">
        <v>0</v>
      </c>
    </row>
    <row r="1420" spans="1:4" ht="22.5" customHeight="1" x14ac:dyDescent="0.15">
      <c r="A1420" s="16" t="s">
        <v>1127</v>
      </c>
      <c r="B1420" s="12" t="s">
        <v>2649</v>
      </c>
      <c r="C1420" s="13" t="s">
        <v>30</v>
      </c>
      <c r="D1420" s="40">
        <v>0</v>
      </c>
    </row>
    <row r="1421" spans="1:4" ht="22.5" customHeight="1" x14ac:dyDescent="0.15">
      <c r="A1421" s="16" t="s">
        <v>1127</v>
      </c>
      <c r="B1421" s="12" t="s">
        <v>2650</v>
      </c>
      <c r="C1421" s="13" t="s">
        <v>23</v>
      </c>
      <c r="D1421" s="40">
        <v>0</v>
      </c>
    </row>
    <row r="1422" spans="1:4" ht="22.5" customHeight="1" x14ac:dyDescent="0.15">
      <c r="A1422" s="16" t="s">
        <v>1127</v>
      </c>
      <c r="B1422" s="12" t="s">
        <v>2651</v>
      </c>
      <c r="C1422" s="13" t="s">
        <v>342</v>
      </c>
      <c r="D1422" s="40">
        <v>0</v>
      </c>
    </row>
    <row r="1423" spans="1:4" ht="22.5" customHeight="1" x14ac:dyDescent="0.15">
      <c r="A1423" s="16" t="s">
        <v>1139</v>
      </c>
      <c r="B1423" s="12" t="s">
        <v>2652</v>
      </c>
      <c r="C1423" s="13" t="s">
        <v>136</v>
      </c>
      <c r="D1423" s="40">
        <v>0</v>
      </c>
    </row>
    <row r="1424" spans="1:4" ht="22.5" customHeight="1" x14ac:dyDescent="0.15">
      <c r="A1424" s="16" t="s">
        <v>2654</v>
      </c>
      <c r="B1424" s="12" t="s">
        <v>2655</v>
      </c>
      <c r="C1424" s="13" t="s">
        <v>30</v>
      </c>
      <c r="D1424" s="40">
        <v>0</v>
      </c>
    </row>
    <row r="1425" spans="1:4" ht="22.5" customHeight="1" x14ac:dyDescent="0.15">
      <c r="A1425" s="16" t="s">
        <v>2654</v>
      </c>
      <c r="B1425" s="12" t="s">
        <v>2656</v>
      </c>
      <c r="C1425" s="13" t="s">
        <v>30</v>
      </c>
      <c r="D1425" s="40">
        <v>0</v>
      </c>
    </row>
    <row r="1426" spans="1:4" ht="22.5" customHeight="1" x14ac:dyDescent="0.15">
      <c r="A1426" s="16" t="s">
        <v>2654</v>
      </c>
      <c r="B1426" s="12" t="s">
        <v>2657</v>
      </c>
      <c r="C1426" s="13" t="s">
        <v>30</v>
      </c>
      <c r="D1426" s="40">
        <v>0</v>
      </c>
    </row>
    <row r="1427" spans="1:4" ht="22.5" customHeight="1" x14ac:dyDescent="0.15">
      <c r="A1427" s="16" t="s">
        <v>2654</v>
      </c>
      <c r="B1427" s="12" t="s">
        <v>2658</v>
      </c>
      <c r="C1427" s="13" t="s">
        <v>30</v>
      </c>
      <c r="D1427" s="40">
        <v>0</v>
      </c>
    </row>
    <row r="1428" spans="1:4" ht="22.5" customHeight="1" x14ac:dyDescent="0.15">
      <c r="A1428" s="16" t="s">
        <v>1150</v>
      </c>
      <c r="B1428" s="12" t="s">
        <v>2659</v>
      </c>
      <c r="C1428" s="13" t="s">
        <v>88</v>
      </c>
      <c r="D1428" s="40">
        <v>0</v>
      </c>
    </row>
    <row r="1429" spans="1:4" ht="22.5" customHeight="1" x14ac:dyDescent="0.15">
      <c r="A1429" s="16" t="s">
        <v>1155</v>
      </c>
      <c r="B1429" s="12" t="s">
        <v>2576</v>
      </c>
      <c r="C1429" s="13" t="s">
        <v>23</v>
      </c>
      <c r="D1429" s="40">
        <v>0</v>
      </c>
    </row>
    <row r="1430" spans="1:4" ht="22.5" customHeight="1" x14ac:dyDescent="0.15">
      <c r="A1430" s="16" t="s">
        <v>45</v>
      </c>
      <c r="B1430" s="12" t="s">
        <v>2660</v>
      </c>
      <c r="C1430" s="13" t="s">
        <v>513</v>
      </c>
      <c r="D1430" s="40">
        <v>0</v>
      </c>
    </row>
    <row r="1431" spans="1:4" ht="22.5" customHeight="1" x14ac:dyDescent="0.15">
      <c r="A1431" s="16" t="s">
        <v>1161</v>
      </c>
      <c r="B1431" s="12" t="s">
        <v>2661</v>
      </c>
      <c r="C1431" s="13" t="s">
        <v>342</v>
      </c>
      <c r="D1431" s="40">
        <v>0</v>
      </c>
    </row>
    <row r="1432" spans="1:4" ht="22.5" customHeight="1" x14ac:dyDescent="0.15">
      <c r="A1432" s="16" t="s">
        <v>447</v>
      </c>
      <c r="B1432" s="12" t="s">
        <v>2662</v>
      </c>
      <c r="C1432" s="13" t="s">
        <v>30</v>
      </c>
      <c r="D1432" s="40">
        <v>0</v>
      </c>
    </row>
    <row r="1433" spans="1:4" ht="22.5" customHeight="1" x14ac:dyDescent="0.15">
      <c r="A1433" s="16" t="s">
        <v>447</v>
      </c>
      <c r="B1433" s="12" t="s">
        <v>2663</v>
      </c>
      <c r="C1433" s="13" t="s">
        <v>30</v>
      </c>
      <c r="D1433" s="40">
        <v>0</v>
      </c>
    </row>
    <row r="1434" spans="1:4" ht="22.5" customHeight="1" x14ac:dyDescent="0.15">
      <c r="A1434" s="16" t="s">
        <v>447</v>
      </c>
      <c r="B1434" s="12" t="s">
        <v>2664</v>
      </c>
      <c r="C1434" s="13" t="s">
        <v>30</v>
      </c>
      <c r="D1434" s="40">
        <v>0</v>
      </c>
    </row>
    <row r="1435" spans="1:4" ht="22.5" customHeight="1" x14ac:dyDescent="0.15">
      <c r="A1435" s="16" t="s">
        <v>456</v>
      </c>
      <c r="B1435" s="12" t="s">
        <v>2662</v>
      </c>
      <c r="C1435" s="13" t="s">
        <v>30</v>
      </c>
      <c r="D1435" s="40">
        <v>0</v>
      </c>
    </row>
    <row r="1436" spans="1:4" ht="22.5" customHeight="1" x14ac:dyDescent="0.15">
      <c r="A1436" s="16" t="s">
        <v>456</v>
      </c>
      <c r="B1436" s="12" t="s">
        <v>2663</v>
      </c>
      <c r="C1436" s="13" t="s">
        <v>30</v>
      </c>
      <c r="D1436" s="40">
        <v>0</v>
      </c>
    </row>
    <row r="1437" spans="1:4" ht="22.5" customHeight="1" x14ac:dyDescent="0.15">
      <c r="A1437" s="16" t="s">
        <v>456</v>
      </c>
      <c r="B1437" s="12" t="s">
        <v>2664</v>
      </c>
      <c r="C1437" s="13" t="s">
        <v>30</v>
      </c>
      <c r="D1437" s="40">
        <v>0</v>
      </c>
    </row>
    <row r="1438" spans="1:4" ht="22.5" customHeight="1" x14ac:dyDescent="0.15">
      <c r="A1438" s="16" t="s">
        <v>2667</v>
      </c>
      <c r="B1438" s="12" t="s">
        <v>2668</v>
      </c>
      <c r="C1438" s="13" t="s">
        <v>88</v>
      </c>
      <c r="D1438" s="40">
        <v>0</v>
      </c>
    </row>
    <row r="1439" spans="1:4" ht="22.5" customHeight="1" x14ac:dyDescent="0.15">
      <c r="A1439" s="16" t="s">
        <v>2667</v>
      </c>
      <c r="B1439" s="12" t="s">
        <v>2669</v>
      </c>
      <c r="C1439" s="13" t="s">
        <v>136</v>
      </c>
      <c r="D1439" s="40">
        <v>0</v>
      </c>
    </row>
    <row r="1440" spans="1:4" ht="22.5" customHeight="1" x14ac:dyDescent="0.15">
      <c r="A1440" s="16" t="s">
        <v>463</v>
      </c>
      <c r="B1440" s="12" t="s">
        <v>2670</v>
      </c>
      <c r="C1440" s="13" t="s">
        <v>18</v>
      </c>
      <c r="D1440" s="40">
        <v>0</v>
      </c>
    </row>
    <row r="1441" spans="1:4" ht="22.5" customHeight="1" x14ac:dyDescent="0.15">
      <c r="A1441" s="16" t="s">
        <v>463</v>
      </c>
      <c r="B1441" s="12" t="s">
        <v>2585</v>
      </c>
      <c r="C1441" s="13" t="s">
        <v>12</v>
      </c>
      <c r="D1441" s="40">
        <v>0</v>
      </c>
    </row>
    <row r="1442" spans="1:4" ht="22.5" customHeight="1" x14ac:dyDescent="0.15">
      <c r="A1442" s="16" t="s">
        <v>463</v>
      </c>
      <c r="B1442" s="12" t="s">
        <v>2671</v>
      </c>
      <c r="C1442" s="13" t="s">
        <v>136</v>
      </c>
      <c r="D1442" s="40">
        <v>0</v>
      </c>
    </row>
    <row r="1443" spans="1:4" ht="22.5" customHeight="1" x14ac:dyDescent="0.15">
      <c r="A1443" s="16" t="s">
        <v>463</v>
      </c>
      <c r="B1443" s="12" t="s">
        <v>2672</v>
      </c>
      <c r="C1443" s="13" t="s">
        <v>136</v>
      </c>
      <c r="D1443" s="40">
        <v>0</v>
      </c>
    </row>
    <row r="1444" spans="1:4" ht="22.5" customHeight="1" x14ac:dyDescent="0.15">
      <c r="A1444" s="16" t="s">
        <v>463</v>
      </c>
      <c r="B1444" s="12" t="s">
        <v>2673</v>
      </c>
      <c r="C1444" s="13" t="s">
        <v>30</v>
      </c>
      <c r="D1444" s="40">
        <v>0</v>
      </c>
    </row>
    <row r="1445" spans="1:4" ht="22.5" customHeight="1" x14ac:dyDescent="0.15">
      <c r="A1445" s="16" t="s">
        <v>468</v>
      </c>
      <c r="B1445" s="12" t="s">
        <v>2674</v>
      </c>
      <c r="C1445" s="13" t="s">
        <v>30</v>
      </c>
      <c r="D1445" s="40">
        <v>0</v>
      </c>
    </row>
    <row r="1446" spans="1:4" ht="22.5" customHeight="1" x14ac:dyDescent="0.15">
      <c r="A1446" s="16" t="s">
        <v>2260</v>
      </c>
      <c r="B1446" s="12" t="s">
        <v>2675</v>
      </c>
      <c r="C1446" s="13" t="s">
        <v>136</v>
      </c>
      <c r="D1446" s="40">
        <v>0</v>
      </c>
    </row>
    <row r="1447" spans="1:4" ht="22.5" customHeight="1" x14ac:dyDescent="0.15">
      <c r="A1447" s="16" t="s">
        <v>493</v>
      </c>
      <c r="B1447" s="12" t="s">
        <v>2676</v>
      </c>
      <c r="C1447" s="13" t="s">
        <v>77</v>
      </c>
      <c r="D1447" s="40">
        <v>0</v>
      </c>
    </row>
    <row r="1448" spans="1:4" ht="22.5" customHeight="1" x14ac:dyDescent="0.15">
      <c r="A1448" s="16" t="s">
        <v>503</v>
      </c>
      <c r="B1448" s="12" t="s">
        <v>2677</v>
      </c>
      <c r="C1448" s="13" t="s">
        <v>83</v>
      </c>
      <c r="D1448" s="40">
        <v>0</v>
      </c>
    </row>
    <row r="1449" spans="1:4" ht="22.5" customHeight="1" x14ac:dyDescent="0.15">
      <c r="A1449" s="16" t="s">
        <v>2305</v>
      </c>
      <c r="B1449" s="12" t="s">
        <v>2678</v>
      </c>
      <c r="C1449" s="13" t="s">
        <v>18</v>
      </c>
      <c r="D1449" s="40">
        <v>0</v>
      </c>
    </row>
    <row r="1450" spans="1:4" ht="22.5" customHeight="1" x14ac:dyDescent="0.15">
      <c r="A1450" s="16" t="s">
        <v>2305</v>
      </c>
      <c r="B1450" s="12" t="s">
        <v>2679</v>
      </c>
      <c r="C1450" s="13" t="s">
        <v>18</v>
      </c>
      <c r="D1450" s="40">
        <v>0</v>
      </c>
    </row>
    <row r="1451" spans="1:4" ht="22.5" customHeight="1" x14ac:dyDescent="0.15">
      <c r="A1451" s="16" t="s">
        <v>511</v>
      </c>
      <c r="B1451" s="12" t="s">
        <v>2680</v>
      </c>
      <c r="C1451" s="13" t="s">
        <v>88</v>
      </c>
      <c r="D1451" s="40">
        <v>0</v>
      </c>
    </row>
    <row r="1452" spans="1:4" ht="22.5" customHeight="1" x14ac:dyDescent="0.15">
      <c r="A1452" s="16" t="s">
        <v>112</v>
      </c>
      <c r="B1452" s="12" t="s">
        <v>2517</v>
      </c>
      <c r="C1452" s="13" t="s">
        <v>77</v>
      </c>
      <c r="D1452" s="40">
        <v>0</v>
      </c>
    </row>
    <row r="1453" spans="1:4" ht="22.5" customHeight="1" x14ac:dyDescent="0.15">
      <c r="A1453" s="16" t="s">
        <v>2682</v>
      </c>
      <c r="B1453" s="12" t="s">
        <v>2683</v>
      </c>
      <c r="C1453" s="13" t="s">
        <v>12</v>
      </c>
      <c r="D1453" s="40">
        <v>0</v>
      </c>
    </row>
    <row r="1454" spans="1:4" ht="22.5" customHeight="1" x14ac:dyDescent="0.15">
      <c r="A1454" s="16" t="s">
        <v>2682</v>
      </c>
      <c r="B1454" s="12" t="s">
        <v>2684</v>
      </c>
      <c r="C1454" s="13" t="s">
        <v>30</v>
      </c>
      <c r="D1454" s="40">
        <v>0</v>
      </c>
    </row>
    <row r="1455" spans="1:4" ht="22.5" customHeight="1" x14ac:dyDescent="0.15">
      <c r="A1455" s="16" t="s">
        <v>540</v>
      </c>
      <c r="B1455" s="12" t="s">
        <v>2685</v>
      </c>
      <c r="C1455" s="13" t="s">
        <v>83</v>
      </c>
      <c r="D1455" s="40">
        <v>0</v>
      </c>
    </row>
    <row r="1456" spans="1:4" ht="22.5" customHeight="1" x14ac:dyDescent="0.15">
      <c r="A1456" s="16" t="s">
        <v>2330</v>
      </c>
      <c r="B1456" s="12" t="s">
        <v>2686</v>
      </c>
      <c r="C1456" s="13" t="s">
        <v>30</v>
      </c>
      <c r="D1456" s="40">
        <v>0</v>
      </c>
    </row>
    <row r="1457" spans="1:4" ht="22.5" customHeight="1" x14ac:dyDescent="0.15">
      <c r="A1457" s="16" t="s">
        <v>1854</v>
      </c>
      <c r="B1457" s="12" t="s">
        <v>2687</v>
      </c>
      <c r="C1457" s="13" t="s">
        <v>30</v>
      </c>
      <c r="D1457" s="40">
        <v>0</v>
      </c>
    </row>
    <row r="1458" spans="1:4" ht="22.5" customHeight="1" x14ac:dyDescent="0.15">
      <c r="A1458" s="16" t="s">
        <v>1255</v>
      </c>
      <c r="B1458" s="12" t="s">
        <v>2688</v>
      </c>
      <c r="C1458" s="13" t="s">
        <v>30</v>
      </c>
      <c r="D1458" s="40">
        <v>0</v>
      </c>
    </row>
    <row r="1459" spans="1:4" ht="22.5" customHeight="1" x14ac:dyDescent="0.15">
      <c r="A1459" s="16" t="s">
        <v>103</v>
      </c>
      <c r="B1459" s="12" t="s">
        <v>2689</v>
      </c>
      <c r="C1459" s="13" t="s">
        <v>18</v>
      </c>
      <c r="D1459" s="40">
        <v>0</v>
      </c>
    </row>
    <row r="1460" spans="1:4" ht="22.5" customHeight="1" x14ac:dyDescent="0.15">
      <c r="A1460" s="16" t="s">
        <v>2345</v>
      </c>
      <c r="B1460" s="12" t="s">
        <v>2690</v>
      </c>
      <c r="C1460" s="13" t="s">
        <v>30</v>
      </c>
      <c r="D1460" s="40">
        <v>0</v>
      </c>
    </row>
    <row r="1461" spans="1:4" ht="22.5" customHeight="1" x14ac:dyDescent="0.15">
      <c r="A1461" s="16" t="s">
        <v>588</v>
      </c>
      <c r="B1461" s="12" t="s">
        <v>2691</v>
      </c>
      <c r="C1461" s="13" t="s">
        <v>30</v>
      </c>
      <c r="D1461" s="40">
        <v>0</v>
      </c>
    </row>
    <row r="1462" spans="1:4" ht="22.5" customHeight="1" x14ac:dyDescent="0.15">
      <c r="A1462" s="16" t="s">
        <v>597</v>
      </c>
      <c r="B1462" s="12" t="s">
        <v>2692</v>
      </c>
      <c r="C1462" s="13" t="s">
        <v>83</v>
      </c>
      <c r="D1462" s="40">
        <v>0</v>
      </c>
    </row>
    <row r="1463" spans="1:4" ht="22.5" customHeight="1" x14ac:dyDescent="0.15">
      <c r="A1463" s="16" t="s">
        <v>183</v>
      </c>
      <c r="B1463" s="12" t="s">
        <v>2693</v>
      </c>
      <c r="C1463" s="13" t="s">
        <v>30</v>
      </c>
      <c r="D1463" s="40">
        <v>0</v>
      </c>
    </row>
    <row r="1464" spans="1:4" ht="22.5" customHeight="1" x14ac:dyDescent="0.15">
      <c r="A1464" s="16" t="s">
        <v>9</v>
      </c>
      <c r="B1464" s="12" t="s">
        <v>2695</v>
      </c>
      <c r="C1464" s="13" t="s">
        <v>88</v>
      </c>
      <c r="D1464" s="40">
        <v>0</v>
      </c>
    </row>
    <row r="1465" spans="1:4" ht="22.5" customHeight="1" x14ac:dyDescent="0.15">
      <c r="A1465" s="16" t="s">
        <v>946</v>
      </c>
      <c r="B1465" s="12" t="s">
        <v>2696</v>
      </c>
      <c r="C1465" s="13" t="s">
        <v>30</v>
      </c>
      <c r="D1465" s="40">
        <v>0</v>
      </c>
    </row>
    <row r="1466" spans="1:4" ht="22.5" customHeight="1" x14ac:dyDescent="0.15">
      <c r="A1466" s="16" t="s">
        <v>1057</v>
      </c>
      <c r="B1466" s="12" t="s">
        <v>2695</v>
      </c>
      <c r="C1466" s="13" t="s">
        <v>88</v>
      </c>
      <c r="D1466" s="40">
        <v>0</v>
      </c>
    </row>
    <row r="1467" spans="1:4" ht="22.5" customHeight="1" x14ac:dyDescent="0.15">
      <c r="A1467" s="16" t="s">
        <v>277</v>
      </c>
      <c r="B1467" s="12" t="s">
        <v>2697</v>
      </c>
      <c r="C1467" s="13" t="s">
        <v>342</v>
      </c>
      <c r="D1467" s="40">
        <v>0</v>
      </c>
    </row>
    <row r="1468" spans="1:4" ht="22.5" customHeight="1" x14ac:dyDescent="0.15">
      <c r="A1468" s="16" t="s">
        <v>1161</v>
      </c>
      <c r="B1468" s="12" t="s">
        <v>2699</v>
      </c>
      <c r="C1468" s="13" t="s">
        <v>12</v>
      </c>
      <c r="D1468" s="40">
        <v>0</v>
      </c>
    </row>
    <row r="1469" spans="1:4" ht="22.5" customHeight="1" x14ac:dyDescent="0.15">
      <c r="A1469" s="16" t="s">
        <v>384</v>
      </c>
      <c r="B1469" s="12" t="s">
        <v>2700</v>
      </c>
      <c r="C1469" s="13" t="s">
        <v>23</v>
      </c>
      <c r="D1469" s="40">
        <v>0</v>
      </c>
    </row>
    <row r="1470" spans="1:4" ht="22.5" customHeight="1" x14ac:dyDescent="0.15">
      <c r="A1470" s="16" t="s">
        <v>955</v>
      </c>
      <c r="B1470" s="12" t="s">
        <v>2701</v>
      </c>
      <c r="C1470" s="13" t="s">
        <v>18</v>
      </c>
      <c r="D1470" s="40">
        <v>0</v>
      </c>
    </row>
    <row r="1471" spans="1:4" ht="22.5" customHeight="1" x14ac:dyDescent="0.15">
      <c r="A1471" s="16" t="s">
        <v>668</v>
      </c>
      <c r="B1471" s="12" t="s">
        <v>2702</v>
      </c>
      <c r="C1471" s="13" t="s">
        <v>18</v>
      </c>
      <c r="D1471" s="40">
        <v>0</v>
      </c>
    </row>
    <row r="1472" spans="1:4" ht="22.5" customHeight="1" x14ac:dyDescent="0.15">
      <c r="A1472" s="16" t="s">
        <v>781</v>
      </c>
      <c r="B1472" s="12" t="s">
        <v>2703</v>
      </c>
      <c r="C1472" s="13" t="s">
        <v>30</v>
      </c>
      <c r="D1472" s="40">
        <v>0</v>
      </c>
    </row>
    <row r="1473" spans="1:4" ht="22.5" customHeight="1" x14ac:dyDescent="0.15">
      <c r="A1473" s="16" t="s">
        <v>175</v>
      </c>
      <c r="B1473" s="12" t="s">
        <v>2704</v>
      </c>
      <c r="C1473" s="13" t="s">
        <v>342</v>
      </c>
      <c r="D1473" s="40">
        <v>0</v>
      </c>
    </row>
    <row r="1474" spans="1:4" ht="22.5" customHeight="1" x14ac:dyDescent="0.15">
      <c r="A1474" s="16" t="s">
        <v>1463</v>
      </c>
      <c r="B1474" s="12" t="s">
        <v>2705</v>
      </c>
      <c r="C1474" s="13" t="s">
        <v>30</v>
      </c>
      <c r="D1474" s="40">
        <v>0</v>
      </c>
    </row>
    <row r="1475" spans="1:4" ht="22.5" customHeight="1" x14ac:dyDescent="0.15">
      <c r="A1475" s="16" t="s">
        <v>832</v>
      </c>
      <c r="B1475" s="12" t="s">
        <v>2706</v>
      </c>
      <c r="C1475" s="13" t="s">
        <v>18</v>
      </c>
      <c r="D1475" s="40">
        <v>0</v>
      </c>
    </row>
    <row r="1476" spans="1:4" ht="22.5" customHeight="1" x14ac:dyDescent="0.15">
      <c r="A1476" s="16" t="s">
        <v>234</v>
      </c>
      <c r="B1476" s="12" t="s">
        <v>2707</v>
      </c>
      <c r="C1476" s="13" t="s">
        <v>30</v>
      </c>
      <c r="D1476" s="40">
        <v>0</v>
      </c>
    </row>
    <row r="1477" spans="1:4" ht="22.5" customHeight="1" x14ac:dyDescent="0.15">
      <c r="A1477" s="16" t="s">
        <v>234</v>
      </c>
      <c r="B1477" s="12" t="s">
        <v>2708</v>
      </c>
      <c r="C1477" s="13" t="s">
        <v>88</v>
      </c>
      <c r="D1477" s="40">
        <v>0</v>
      </c>
    </row>
    <row r="1478" spans="1:4" ht="22.5" customHeight="1" x14ac:dyDescent="0.15">
      <c r="A1478" s="16" t="s">
        <v>281</v>
      </c>
      <c r="B1478" s="12" t="s">
        <v>2709</v>
      </c>
      <c r="C1478" s="13" t="s">
        <v>30</v>
      </c>
      <c r="D1478" s="40">
        <v>0</v>
      </c>
    </row>
    <row r="1479" spans="1:4" ht="22.5" customHeight="1" x14ac:dyDescent="0.15">
      <c r="A1479" s="16" t="s">
        <v>946</v>
      </c>
      <c r="B1479" s="12" t="s">
        <v>2710</v>
      </c>
      <c r="C1479" s="13" t="s">
        <v>30</v>
      </c>
      <c r="D1479" s="40">
        <v>0</v>
      </c>
    </row>
    <row r="1480" spans="1:4" ht="22.5" customHeight="1" x14ac:dyDescent="0.15">
      <c r="A1480" s="16" t="s">
        <v>946</v>
      </c>
      <c r="B1480" s="12" t="s">
        <v>2711</v>
      </c>
      <c r="C1480" s="13" t="s">
        <v>30</v>
      </c>
      <c r="D1480" s="40">
        <v>0</v>
      </c>
    </row>
    <row r="1481" spans="1:4" ht="22.5" customHeight="1" x14ac:dyDescent="0.15">
      <c r="A1481" s="16" t="s">
        <v>2598</v>
      </c>
      <c r="B1481" s="12" t="s">
        <v>2712</v>
      </c>
      <c r="C1481" s="13" t="s">
        <v>30</v>
      </c>
      <c r="D1481" s="40">
        <v>0</v>
      </c>
    </row>
    <row r="1482" spans="1:4" ht="22.5" customHeight="1" x14ac:dyDescent="0.15">
      <c r="A1482" s="16" t="s">
        <v>658</v>
      </c>
      <c r="B1482" s="12" t="s">
        <v>2713</v>
      </c>
      <c r="C1482" s="13" t="s">
        <v>30</v>
      </c>
      <c r="D1482" s="40">
        <v>0</v>
      </c>
    </row>
    <row r="1483" spans="1:4" ht="22.5" customHeight="1" x14ac:dyDescent="0.15">
      <c r="A1483" s="16" t="s">
        <v>368</v>
      </c>
      <c r="B1483" s="12" t="s">
        <v>2714</v>
      </c>
      <c r="C1483" s="13" t="s">
        <v>88</v>
      </c>
      <c r="D1483" s="40">
        <v>0</v>
      </c>
    </row>
    <row r="1484" spans="1:4" ht="22.5" customHeight="1" x14ac:dyDescent="0.15">
      <c r="A1484" s="16" t="s">
        <v>1013</v>
      </c>
      <c r="B1484" s="12" t="s">
        <v>2715</v>
      </c>
      <c r="C1484" s="13" t="s">
        <v>83</v>
      </c>
      <c r="D1484" s="40">
        <v>0</v>
      </c>
    </row>
    <row r="1485" spans="1:4" ht="22.5" customHeight="1" x14ac:dyDescent="0.15">
      <c r="A1485" s="16" t="s">
        <v>1013</v>
      </c>
      <c r="B1485" s="12" t="s">
        <v>2716</v>
      </c>
      <c r="C1485" s="13" t="s">
        <v>83</v>
      </c>
      <c r="D1485" s="40">
        <v>0</v>
      </c>
    </row>
    <row r="1486" spans="1:4" ht="22.5" customHeight="1" x14ac:dyDescent="0.15">
      <c r="A1486" s="16" t="s">
        <v>1013</v>
      </c>
      <c r="B1486" s="12" t="s">
        <v>2717</v>
      </c>
      <c r="C1486" s="13" t="s">
        <v>83</v>
      </c>
      <c r="D1486" s="40">
        <v>0</v>
      </c>
    </row>
    <row r="1487" spans="1:4" ht="22.5" customHeight="1" x14ac:dyDescent="0.15">
      <c r="A1487" s="16" t="s">
        <v>710</v>
      </c>
      <c r="B1487" s="12" t="s">
        <v>2718</v>
      </c>
      <c r="C1487" s="13" t="s">
        <v>30</v>
      </c>
      <c r="D1487" s="40">
        <v>0</v>
      </c>
    </row>
    <row r="1488" spans="1:4" ht="22.5" customHeight="1" x14ac:dyDescent="0.15">
      <c r="A1488" s="16" t="s">
        <v>2219</v>
      </c>
      <c r="B1488" s="12" t="s">
        <v>2719</v>
      </c>
      <c r="C1488" s="13" t="s">
        <v>30</v>
      </c>
      <c r="D1488" s="40">
        <v>0</v>
      </c>
    </row>
    <row r="1489" spans="1:4" ht="22.5" customHeight="1" x14ac:dyDescent="0.15">
      <c r="A1489" s="16" t="s">
        <v>1127</v>
      </c>
      <c r="B1489" s="12" t="s">
        <v>2720</v>
      </c>
      <c r="C1489" s="13" t="s">
        <v>30</v>
      </c>
      <c r="D1489" s="40">
        <v>0</v>
      </c>
    </row>
    <row r="1490" spans="1:4" ht="22.5" customHeight="1" x14ac:dyDescent="0.15">
      <c r="A1490" s="16" t="s">
        <v>410</v>
      </c>
      <c r="B1490" s="12" t="s">
        <v>2721</v>
      </c>
      <c r="C1490" s="13" t="s">
        <v>30</v>
      </c>
      <c r="D1490" s="40">
        <v>0</v>
      </c>
    </row>
    <row r="1491" spans="1:4" ht="22.5" customHeight="1" x14ac:dyDescent="0.15">
      <c r="A1491" s="16" t="s">
        <v>447</v>
      </c>
      <c r="B1491" s="12" t="s">
        <v>2722</v>
      </c>
      <c r="C1491" s="13" t="s">
        <v>30</v>
      </c>
      <c r="D1491" s="40">
        <v>0</v>
      </c>
    </row>
    <row r="1492" spans="1:4" ht="22.5" customHeight="1" x14ac:dyDescent="0.15">
      <c r="A1492" s="16" t="s">
        <v>456</v>
      </c>
      <c r="B1492" s="12" t="s">
        <v>2722</v>
      </c>
      <c r="C1492" s="13" t="s">
        <v>30</v>
      </c>
      <c r="D1492" s="40">
        <v>0</v>
      </c>
    </row>
    <row r="1493" spans="1:4" ht="22.5" customHeight="1" x14ac:dyDescent="0.15">
      <c r="A1493" s="16" t="s">
        <v>476</v>
      </c>
      <c r="B1493" s="12" t="s">
        <v>2723</v>
      </c>
      <c r="C1493" s="13" t="s">
        <v>23</v>
      </c>
      <c r="D1493" s="40">
        <v>0</v>
      </c>
    </row>
    <row r="1494" spans="1:4" ht="22.5" customHeight="1" x14ac:dyDescent="0.15">
      <c r="A1494" s="16" t="s">
        <v>2330</v>
      </c>
      <c r="B1494" s="12" t="s">
        <v>2724</v>
      </c>
      <c r="C1494" s="13" t="s">
        <v>136</v>
      </c>
      <c r="D1494" s="40">
        <v>0</v>
      </c>
    </row>
    <row r="1495" spans="1:4" ht="22.5" customHeight="1" x14ac:dyDescent="0.15">
      <c r="A1495" s="16" t="s">
        <v>2330</v>
      </c>
      <c r="B1495" s="12" t="s">
        <v>2725</v>
      </c>
      <c r="C1495" s="13" t="s">
        <v>88</v>
      </c>
      <c r="D1495" s="40">
        <v>0</v>
      </c>
    </row>
    <row r="1496" spans="1:4" ht="22.5" customHeight="1" x14ac:dyDescent="0.15">
      <c r="A1496" s="16" t="s">
        <v>179</v>
      </c>
      <c r="B1496" s="12" t="s">
        <v>2726</v>
      </c>
      <c r="C1496" s="13" t="s">
        <v>30</v>
      </c>
      <c r="D1496" s="40">
        <v>0</v>
      </c>
    </row>
    <row r="1497" spans="1:4" ht="22.5" customHeight="1" x14ac:dyDescent="0.15">
      <c r="A1497" s="16" t="s">
        <v>15</v>
      </c>
      <c r="B1497" s="12" t="s">
        <v>2727</v>
      </c>
      <c r="C1497" s="13" t="s">
        <v>18</v>
      </c>
      <c r="D1497" s="40">
        <v>0</v>
      </c>
    </row>
    <row r="1498" spans="1:4" ht="22.5" customHeight="1" x14ac:dyDescent="0.15">
      <c r="A1498" s="16" t="s">
        <v>234</v>
      </c>
      <c r="B1498" s="12" t="s">
        <v>2728</v>
      </c>
      <c r="C1498" s="13" t="s">
        <v>18</v>
      </c>
      <c r="D1498" s="40">
        <v>0</v>
      </c>
    </row>
    <row r="1499" spans="1:4" ht="22.5" customHeight="1" x14ac:dyDescent="0.15">
      <c r="A1499" s="16" t="s">
        <v>351</v>
      </c>
      <c r="B1499" s="12" t="s">
        <v>2729</v>
      </c>
      <c r="C1499" s="13" t="s">
        <v>30</v>
      </c>
      <c r="D1499" s="40">
        <v>0</v>
      </c>
    </row>
    <row r="1500" spans="1:4" ht="22.5" customHeight="1" x14ac:dyDescent="0.15">
      <c r="A1500" s="16" t="s">
        <v>493</v>
      </c>
      <c r="B1500" s="12" t="s">
        <v>2730</v>
      </c>
      <c r="C1500" s="13" t="s">
        <v>77</v>
      </c>
      <c r="D1500" s="40">
        <v>0</v>
      </c>
    </row>
    <row r="1501" spans="1:4" ht="22.5" customHeight="1" x14ac:dyDescent="0.15">
      <c r="A1501" s="16" t="s">
        <v>103</v>
      </c>
      <c r="B1501" s="12" t="s">
        <v>2731</v>
      </c>
      <c r="C1501" s="13" t="s">
        <v>67</v>
      </c>
      <c r="D1501" s="40">
        <v>0</v>
      </c>
    </row>
    <row r="1502" spans="1:4" ht="22.5" customHeight="1" x14ac:dyDescent="0.15">
      <c r="A1502" s="16" t="s">
        <v>256</v>
      </c>
      <c r="B1502" s="12" t="s">
        <v>2732</v>
      </c>
      <c r="C1502" s="13" t="s">
        <v>30</v>
      </c>
      <c r="D1502" s="40">
        <v>0</v>
      </c>
    </row>
    <row r="1503" spans="1:4" ht="22.5" customHeight="1" x14ac:dyDescent="0.15">
      <c r="A1503" s="16" t="s">
        <v>70</v>
      </c>
      <c r="B1503" s="12" t="s">
        <v>2733</v>
      </c>
      <c r="C1503" s="13" t="s">
        <v>30</v>
      </c>
      <c r="D1503" s="40">
        <v>0</v>
      </c>
    </row>
    <row r="1504" spans="1:4" ht="22.5" customHeight="1" x14ac:dyDescent="0.15">
      <c r="A1504" s="16" t="s">
        <v>70</v>
      </c>
      <c r="B1504" s="12" t="s">
        <v>2735</v>
      </c>
      <c r="C1504" s="13" t="s">
        <v>30</v>
      </c>
      <c r="D1504" s="40">
        <v>0</v>
      </c>
    </row>
    <row r="1505" spans="1:4" ht="22.5" customHeight="1" x14ac:dyDescent="0.15">
      <c r="A1505" s="16" t="s">
        <v>70</v>
      </c>
      <c r="B1505" s="12" t="s">
        <v>2737</v>
      </c>
      <c r="C1505" s="13" t="s">
        <v>83</v>
      </c>
      <c r="D1505" s="40">
        <v>0</v>
      </c>
    </row>
    <row r="1506" spans="1:4" ht="22.5" customHeight="1" x14ac:dyDescent="0.15">
      <c r="A1506" s="16" t="s">
        <v>70</v>
      </c>
      <c r="B1506" s="12" t="s">
        <v>2738</v>
      </c>
      <c r="C1506" s="13" t="s">
        <v>30</v>
      </c>
      <c r="D1506" s="40">
        <v>0</v>
      </c>
    </row>
    <row r="1507" spans="1:4" ht="22.5" customHeight="1" x14ac:dyDescent="0.15">
      <c r="A1507" s="16" t="s">
        <v>70</v>
      </c>
      <c r="B1507" s="12" t="s">
        <v>2739</v>
      </c>
      <c r="C1507" s="13" t="s">
        <v>83</v>
      </c>
      <c r="D1507" s="40">
        <v>0</v>
      </c>
    </row>
    <row r="1508" spans="1:4" ht="22.5" customHeight="1" x14ac:dyDescent="0.15">
      <c r="A1508" s="16" t="s">
        <v>2742</v>
      </c>
      <c r="B1508" s="12" t="s">
        <v>2743</v>
      </c>
      <c r="C1508" s="13" t="s">
        <v>12</v>
      </c>
      <c r="D1508" s="40">
        <v>0</v>
      </c>
    </row>
    <row r="1509" spans="1:4" ht="22.5" customHeight="1" x14ac:dyDescent="0.15">
      <c r="A1509" s="16" t="s">
        <v>1925</v>
      </c>
      <c r="B1509" s="12" t="s">
        <v>2744</v>
      </c>
      <c r="C1509" s="13" t="s">
        <v>30</v>
      </c>
      <c r="D1509" s="40">
        <v>0</v>
      </c>
    </row>
    <row r="1510" spans="1:4" ht="22.5" customHeight="1" x14ac:dyDescent="0.15">
      <c r="A1510" s="16" t="s">
        <v>120</v>
      </c>
      <c r="B1510" s="12" t="s">
        <v>2745</v>
      </c>
      <c r="C1510" s="13" t="s">
        <v>83</v>
      </c>
      <c r="D1510" s="40">
        <v>0</v>
      </c>
    </row>
    <row r="1511" spans="1:4" ht="22.5" customHeight="1" x14ac:dyDescent="0.15">
      <c r="A1511" s="16" t="s">
        <v>1404</v>
      </c>
      <c r="B1511" s="12" t="s">
        <v>2746</v>
      </c>
      <c r="C1511" s="13" t="s">
        <v>88</v>
      </c>
      <c r="D1511" s="40">
        <v>0</v>
      </c>
    </row>
    <row r="1512" spans="1:4" ht="22.5" customHeight="1" x14ac:dyDescent="0.15">
      <c r="A1512" s="16" t="s">
        <v>1404</v>
      </c>
      <c r="B1512" s="12" t="s">
        <v>2747</v>
      </c>
      <c r="C1512" s="13" t="s">
        <v>88</v>
      </c>
      <c r="D1512" s="40">
        <v>0</v>
      </c>
    </row>
    <row r="1513" spans="1:4" ht="22.5" customHeight="1" x14ac:dyDescent="0.15">
      <c r="A1513" s="16" t="s">
        <v>725</v>
      </c>
      <c r="B1513" s="12" t="s">
        <v>2748</v>
      </c>
      <c r="C1513" s="13" t="s">
        <v>136</v>
      </c>
      <c r="D1513" s="40">
        <v>0</v>
      </c>
    </row>
    <row r="1514" spans="1:4" ht="22.5" customHeight="1" x14ac:dyDescent="0.15">
      <c r="A1514" s="16" t="s">
        <v>725</v>
      </c>
      <c r="B1514" s="12" t="s">
        <v>2749</v>
      </c>
      <c r="C1514" s="13" t="s">
        <v>136</v>
      </c>
      <c r="D1514" s="40">
        <v>0</v>
      </c>
    </row>
    <row r="1515" spans="1:4" ht="22.5" customHeight="1" x14ac:dyDescent="0.15">
      <c r="A1515" s="16" t="s">
        <v>1933</v>
      </c>
      <c r="B1515" s="12" t="s">
        <v>2750</v>
      </c>
      <c r="C1515" s="13" t="s">
        <v>23</v>
      </c>
      <c r="D1515" s="40">
        <v>0</v>
      </c>
    </row>
    <row r="1516" spans="1:4" ht="22.5" customHeight="1" x14ac:dyDescent="0.15">
      <c r="A1516" s="16" t="s">
        <v>621</v>
      </c>
      <c r="B1516" s="12" t="s">
        <v>2751</v>
      </c>
      <c r="C1516" s="13" t="s">
        <v>83</v>
      </c>
      <c r="D1516" s="40">
        <v>0</v>
      </c>
    </row>
    <row r="1517" spans="1:4" ht="22.5" customHeight="1" x14ac:dyDescent="0.15">
      <c r="A1517" s="16" t="s">
        <v>621</v>
      </c>
      <c r="B1517" s="12" t="s">
        <v>2752</v>
      </c>
      <c r="C1517" s="13" t="s">
        <v>30</v>
      </c>
      <c r="D1517" s="40">
        <v>0</v>
      </c>
    </row>
    <row r="1518" spans="1:4" ht="22.5" customHeight="1" x14ac:dyDescent="0.15">
      <c r="A1518" s="16" t="s">
        <v>621</v>
      </c>
      <c r="B1518" s="12" t="s">
        <v>2753</v>
      </c>
      <c r="C1518" s="13" t="s">
        <v>30</v>
      </c>
      <c r="D1518" s="40">
        <v>0</v>
      </c>
    </row>
    <row r="1519" spans="1:4" ht="22.5" customHeight="1" x14ac:dyDescent="0.15">
      <c r="A1519" s="16" t="s">
        <v>636</v>
      </c>
      <c r="B1519" s="12" t="s">
        <v>2754</v>
      </c>
      <c r="C1519" s="13" t="s">
        <v>30</v>
      </c>
      <c r="D1519" s="40">
        <v>0</v>
      </c>
    </row>
    <row r="1520" spans="1:4" ht="22.5" customHeight="1" x14ac:dyDescent="0.15">
      <c r="A1520" s="16" t="s">
        <v>636</v>
      </c>
      <c r="B1520" s="12" t="s">
        <v>2755</v>
      </c>
      <c r="C1520" s="13" t="s">
        <v>83</v>
      </c>
      <c r="D1520" s="40">
        <v>0</v>
      </c>
    </row>
    <row r="1521" spans="1:4" ht="22.5" customHeight="1" x14ac:dyDescent="0.15">
      <c r="A1521" s="16" t="s">
        <v>129</v>
      </c>
      <c r="B1521" s="12" t="s">
        <v>2756</v>
      </c>
      <c r="C1521" s="13" t="s">
        <v>30</v>
      </c>
      <c r="D1521" s="40">
        <v>0</v>
      </c>
    </row>
    <row r="1522" spans="1:4" ht="22.5" customHeight="1" x14ac:dyDescent="0.15">
      <c r="A1522" s="16" t="s">
        <v>129</v>
      </c>
      <c r="B1522" s="12" t="s">
        <v>2757</v>
      </c>
      <c r="C1522" s="13" t="s">
        <v>30</v>
      </c>
      <c r="D1522" s="40">
        <v>0</v>
      </c>
    </row>
    <row r="1523" spans="1:4" ht="22.5" customHeight="1" x14ac:dyDescent="0.15">
      <c r="A1523" s="16" t="s">
        <v>129</v>
      </c>
      <c r="B1523" s="12" t="s">
        <v>2758</v>
      </c>
      <c r="C1523" s="13" t="s">
        <v>219</v>
      </c>
      <c r="D1523" s="40">
        <v>0</v>
      </c>
    </row>
    <row r="1524" spans="1:4" ht="22.5" customHeight="1" x14ac:dyDescent="0.15">
      <c r="A1524" s="16" t="s">
        <v>129</v>
      </c>
      <c r="B1524" s="12" t="s">
        <v>2759</v>
      </c>
      <c r="C1524" s="13" t="s">
        <v>18</v>
      </c>
      <c r="D1524" s="40">
        <v>0</v>
      </c>
    </row>
    <row r="1525" spans="1:4" ht="22.5" customHeight="1" x14ac:dyDescent="0.15">
      <c r="A1525" s="16" t="s">
        <v>1410</v>
      </c>
      <c r="B1525" s="12" t="s">
        <v>2760</v>
      </c>
      <c r="C1525" s="13" t="s">
        <v>83</v>
      </c>
      <c r="D1525" s="40">
        <v>0</v>
      </c>
    </row>
    <row r="1526" spans="1:4" ht="22.5" customHeight="1" x14ac:dyDescent="0.15">
      <c r="A1526" s="16" t="s">
        <v>133</v>
      </c>
      <c r="B1526" s="12" t="s">
        <v>2761</v>
      </c>
      <c r="C1526" s="13" t="s">
        <v>83</v>
      </c>
      <c r="D1526" s="40">
        <v>0</v>
      </c>
    </row>
    <row r="1527" spans="1:4" ht="22.5" customHeight="1" x14ac:dyDescent="0.15">
      <c r="A1527" s="16" t="s">
        <v>142</v>
      </c>
      <c r="B1527" s="12" t="s">
        <v>2762</v>
      </c>
      <c r="C1527" s="13" t="s">
        <v>88</v>
      </c>
      <c r="D1527" s="40">
        <v>0</v>
      </c>
    </row>
    <row r="1528" spans="1:4" ht="22.5" customHeight="1" x14ac:dyDescent="0.15">
      <c r="A1528" s="16" t="s">
        <v>142</v>
      </c>
      <c r="B1528" s="12" t="s">
        <v>2763</v>
      </c>
      <c r="C1528" s="13" t="s">
        <v>88</v>
      </c>
      <c r="D1528" s="40">
        <v>0</v>
      </c>
    </row>
    <row r="1529" spans="1:4" ht="22.5" customHeight="1" x14ac:dyDescent="0.15">
      <c r="A1529" s="16" t="s">
        <v>668</v>
      </c>
      <c r="B1529" s="12" t="s">
        <v>2764</v>
      </c>
      <c r="C1529" s="13" t="s">
        <v>23</v>
      </c>
      <c r="D1529" s="40">
        <v>0</v>
      </c>
    </row>
    <row r="1530" spans="1:4" ht="22.5" customHeight="1" x14ac:dyDescent="0.15">
      <c r="A1530" s="16" t="s">
        <v>668</v>
      </c>
      <c r="B1530" s="12" t="s">
        <v>2765</v>
      </c>
      <c r="C1530" s="13" t="s">
        <v>77</v>
      </c>
      <c r="D1530" s="40">
        <v>0</v>
      </c>
    </row>
    <row r="1531" spans="1:4" ht="22.5" customHeight="1" x14ac:dyDescent="0.15">
      <c r="A1531" s="16" t="s">
        <v>668</v>
      </c>
      <c r="B1531" s="12" t="s">
        <v>2766</v>
      </c>
      <c r="C1531" s="13" t="s">
        <v>77</v>
      </c>
      <c r="D1531" s="40">
        <v>0</v>
      </c>
    </row>
    <row r="1532" spans="1:4" ht="22.5" customHeight="1" x14ac:dyDescent="0.15">
      <c r="A1532" s="16" t="s">
        <v>668</v>
      </c>
      <c r="B1532" s="12" t="s">
        <v>2767</v>
      </c>
      <c r="C1532" s="13" t="s">
        <v>77</v>
      </c>
      <c r="D1532" s="40">
        <v>0</v>
      </c>
    </row>
    <row r="1533" spans="1:4" ht="22.5" customHeight="1" x14ac:dyDescent="0.15">
      <c r="A1533" s="16" t="s">
        <v>668</v>
      </c>
      <c r="B1533" s="12" t="s">
        <v>2768</v>
      </c>
      <c r="C1533" s="13" t="s">
        <v>77</v>
      </c>
      <c r="D1533" s="40">
        <v>0</v>
      </c>
    </row>
    <row r="1534" spans="1:4" ht="22.5" customHeight="1" x14ac:dyDescent="0.15">
      <c r="A1534" s="16" t="s">
        <v>668</v>
      </c>
      <c r="B1534" s="12" t="s">
        <v>2769</v>
      </c>
      <c r="C1534" s="13" t="s">
        <v>18</v>
      </c>
      <c r="D1534" s="40">
        <v>0</v>
      </c>
    </row>
    <row r="1535" spans="1:4" ht="22.5" customHeight="1" x14ac:dyDescent="0.15">
      <c r="A1535" s="16" t="s">
        <v>672</v>
      </c>
      <c r="B1535" s="12" t="s">
        <v>2770</v>
      </c>
      <c r="C1535" s="13" t="s">
        <v>219</v>
      </c>
      <c r="D1535" s="40">
        <v>0</v>
      </c>
    </row>
    <row r="1536" spans="1:4" ht="22.5" customHeight="1" x14ac:dyDescent="0.15">
      <c r="A1536" s="16" t="s">
        <v>672</v>
      </c>
      <c r="B1536" s="12" t="s">
        <v>2771</v>
      </c>
      <c r="C1536" s="13" t="s">
        <v>23</v>
      </c>
      <c r="D1536" s="40">
        <v>0</v>
      </c>
    </row>
    <row r="1537" spans="1:4" ht="22.5" customHeight="1" x14ac:dyDescent="0.15">
      <c r="A1537" s="16" t="s">
        <v>672</v>
      </c>
      <c r="B1537" s="12" t="s">
        <v>2772</v>
      </c>
      <c r="C1537" s="13" t="s">
        <v>18</v>
      </c>
      <c r="D1537" s="40">
        <v>0</v>
      </c>
    </row>
    <row r="1538" spans="1:4" ht="22.5" customHeight="1" x14ac:dyDescent="0.15">
      <c r="A1538" s="16" t="s">
        <v>672</v>
      </c>
      <c r="B1538" s="12" t="s">
        <v>2774</v>
      </c>
      <c r="C1538" s="13" t="s">
        <v>18</v>
      </c>
      <c r="D1538" s="40">
        <v>0</v>
      </c>
    </row>
    <row r="1539" spans="1:4" ht="22.5" customHeight="1" x14ac:dyDescent="0.15">
      <c r="A1539" s="16" t="s">
        <v>157</v>
      </c>
      <c r="B1539" s="12" t="s">
        <v>2775</v>
      </c>
      <c r="C1539" s="13" t="s">
        <v>23</v>
      </c>
      <c r="D1539" s="40">
        <v>0</v>
      </c>
    </row>
    <row r="1540" spans="1:4" ht="22.5" customHeight="1" x14ac:dyDescent="0.15">
      <c r="A1540" s="16" t="s">
        <v>157</v>
      </c>
      <c r="B1540" s="12" t="s">
        <v>2776</v>
      </c>
      <c r="C1540" s="13" t="s">
        <v>88</v>
      </c>
      <c r="D1540" s="40">
        <v>0</v>
      </c>
    </row>
    <row r="1541" spans="1:4" ht="22.5" customHeight="1" x14ac:dyDescent="0.15">
      <c r="A1541" s="16" t="s">
        <v>160</v>
      </c>
      <c r="B1541" s="12" t="s">
        <v>2777</v>
      </c>
      <c r="C1541" s="13" t="s">
        <v>88</v>
      </c>
      <c r="D1541" s="40">
        <v>0</v>
      </c>
    </row>
    <row r="1542" spans="1:4" ht="22.5" customHeight="1" x14ac:dyDescent="0.15">
      <c r="A1542" s="15" t="s">
        <v>166</v>
      </c>
      <c r="B1542" s="12" t="s">
        <v>2778</v>
      </c>
      <c r="C1542" s="13" t="s">
        <v>88</v>
      </c>
      <c r="D1542" s="40">
        <v>0</v>
      </c>
    </row>
    <row r="1543" spans="1:4" ht="22.5" customHeight="1" x14ac:dyDescent="0.15">
      <c r="A1543" s="15" t="s">
        <v>166</v>
      </c>
      <c r="B1543" s="12" t="s">
        <v>2779</v>
      </c>
      <c r="C1543" s="13" t="s">
        <v>83</v>
      </c>
      <c r="D1543" s="40">
        <v>0</v>
      </c>
    </row>
    <row r="1544" spans="1:4" ht="22.5" customHeight="1" x14ac:dyDescent="0.15">
      <c r="A1544" s="16" t="s">
        <v>166</v>
      </c>
      <c r="B1544" s="12" t="s">
        <v>2780</v>
      </c>
      <c r="C1544" s="13" t="s">
        <v>88</v>
      </c>
      <c r="D1544" s="40">
        <v>0</v>
      </c>
    </row>
    <row r="1545" spans="1:4" ht="22.5" customHeight="1" x14ac:dyDescent="0.15">
      <c r="A1545" s="16" t="s">
        <v>2417</v>
      </c>
      <c r="B1545" s="12" t="s">
        <v>2781</v>
      </c>
      <c r="C1545" s="13" t="s">
        <v>83</v>
      </c>
      <c r="D1545" s="40">
        <v>0</v>
      </c>
    </row>
    <row r="1546" spans="1:4" ht="22.5" customHeight="1" x14ac:dyDescent="0.15">
      <c r="A1546" s="16" t="s">
        <v>2417</v>
      </c>
      <c r="B1546" s="12" t="s">
        <v>2782</v>
      </c>
      <c r="C1546" s="13" t="s">
        <v>30</v>
      </c>
      <c r="D1546" s="40">
        <v>0</v>
      </c>
    </row>
    <row r="1547" spans="1:4" ht="22.5" customHeight="1" x14ac:dyDescent="0.15">
      <c r="A1547" s="16" t="s">
        <v>2417</v>
      </c>
      <c r="B1547" s="12" t="s">
        <v>2783</v>
      </c>
      <c r="C1547" s="13" t="s">
        <v>83</v>
      </c>
      <c r="D1547" s="40">
        <v>0</v>
      </c>
    </row>
    <row r="1548" spans="1:4" ht="22.5" customHeight="1" x14ac:dyDescent="0.15">
      <c r="A1548" s="16" t="s">
        <v>2417</v>
      </c>
      <c r="B1548" s="12" t="s">
        <v>2784</v>
      </c>
      <c r="C1548" s="13" t="s">
        <v>18</v>
      </c>
      <c r="D1548" s="40">
        <v>0</v>
      </c>
    </row>
    <row r="1549" spans="1:4" ht="22.5" customHeight="1" x14ac:dyDescent="0.15">
      <c r="A1549" s="16" t="s">
        <v>781</v>
      </c>
      <c r="B1549" s="12" t="s">
        <v>2785</v>
      </c>
      <c r="C1549" s="13" t="s">
        <v>88</v>
      </c>
      <c r="D1549" s="40">
        <v>0</v>
      </c>
    </row>
    <row r="1550" spans="1:4" ht="22.5" customHeight="1" x14ac:dyDescent="0.15">
      <c r="A1550" s="16" t="s">
        <v>781</v>
      </c>
      <c r="B1550" s="12" t="s">
        <v>2786</v>
      </c>
      <c r="C1550" s="13" t="s">
        <v>77</v>
      </c>
      <c r="D1550" s="40">
        <v>0</v>
      </c>
    </row>
    <row r="1551" spans="1:4" ht="22.5" customHeight="1" x14ac:dyDescent="0.15">
      <c r="A1551" s="16" t="s">
        <v>781</v>
      </c>
      <c r="B1551" s="12" t="s">
        <v>2787</v>
      </c>
      <c r="C1551" s="13" t="s">
        <v>23</v>
      </c>
      <c r="D1551" s="40">
        <v>0</v>
      </c>
    </row>
    <row r="1552" spans="1:4" ht="22.5" customHeight="1" x14ac:dyDescent="0.15">
      <c r="A1552" s="16" t="s">
        <v>2008</v>
      </c>
      <c r="B1552" s="12" t="s">
        <v>2788</v>
      </c>
      <c r="C1552" s="13" t="s">
        <v>30</v>
      </c>
      <c r="D1552" s="40">
        <v>0</v>
      </c>
    </row>
    <row r="1553" spans="1:4" ht="22.5" customHeight="1" x14ac:dyDescent="0.15">
      <c r="A1553" s="16" t="s">
        <v>683</v>
      </c>
      <c r="B1553" s="12" t="s">
        <v>2789</v>
      </c>
      <c r="C1553" s="13" t="s">
        <v>88</v>
      </c>
      <c r="D1553" s="40">
        <v>0</v>
      </c>
    </row>
    <row r="1554" spans="1:4" ht="22.5" customHeight="1" x14ac:dyDescent="0.15">
      <c r="A1554" s="16" t="s">
        <v>683</v>
      </c>
      <c r="B1554" s="12" t="s">
        <v>2790</v>
      </c>
      <c r="C1554" s="13" t="s">
        <v>88</v>
      </c>
      <c r="D1554" s="40">
        <v>0</v>
      </c>
    </row>
    <row r="1555" spans="1:4" ht="22.5" customHeight="1" x14ac:dyDescent="0.15">
      <c r="A1555" s="16" t="s">
        <v>1888</v>
      </c>
      <c r="B1555" s="12" t="s">
        <v>2791</v>
      </c>
      <c r="C1555" s="13" t="s">
        <v>136</v>
      </c>
      <c r="D1555" s="40">
        <v>0</v>
      </c>
    </row>
    <row r="1556" spans="1:4" ht="22.5" customHeight="1" x14ac:dyDescent="0.15">
      <c r="A1556" s="16" t="s">
        <v>170</v>
      </c>
      <c r="B1556" s="12" t="s">
        <v>2792</v>
      </c>
      <c r="C1556" s="13" t="s">
        <v>18</v>
      </c>
      <c r="D1556" s="40">
        <v>0</v>
      </c>
    </row>
    <row r="1557" spans="1:4" ht="22.5" customHeight="1" x14ac:dyDescent="0.15">
      <c r="A1557" s="16" t="s">
        <v>170</v>
      </c>
      <c r="B1557" s="12" t="s">
        <v>2793</v>
      </c>
      <c r="C1557" s="13" t="s">
        <v>12</v>
      </c>
      <c r="D1557" s="40">
        <v>0</v>
      </c>
    </row>
    <row r="1558" spans="1:4" ht="22.5" customHeight="1" x14ac:dyDescent="0.15">
      <c r="A1558" s="16" t="s">
        <v>1687</v>
      </c>
      <c r="B1558" s="12" t="s">
        <v>2794</v>
      </c>
      <c r="C1558" s="13" t="s">
        <v>88</v>
      </c>
      <c r="D1558" s="40">
        <v>0</v>
      </c>
    </row>
    <row r="1559" spans="1:4" ht="22.5" customHeight="1" x14ac:dyDescent="0.15">
      <c r="A1559" s="16" t="s">
        <v>175</v>
      </c>
      <c r="B1559" s="12" t="s">
        <v>2795</v>
      </c>
      <c r="C1559" s="13" t="s">
        <v>18</v>
      </c>
      <c r="D1559" s="40">
        <v>0</v>
      </c>
    </row>
    <row r="1560" spans="1:4" ht="22.5" customHeight="1" x14ac:dyDescent="0.15">
      <c r="A1560" s="16" t="s">
        <v>179</v>
      </c>
      <c r="B1560" s="12" t="s">
        <v>2796</v>
      </c>
      <c r="C1560" s="13" t="s">
        <v>219</v>
      </c>
      <c r="D1560" s="40">
        <v>0</v>
      </c>
    </row>
    <row r="1561" spans="1:4" ht="22.5" customHeight="1" x14ac:dyDescent="0.15">
      <c r="A1561" s="16" t="s">
        <v>107</v>
      </c>
      <c r="B1561" s="12" t="s">
        <v>2797</v>
      </c>
      <c r="C1561" s="13" t="s">
        <v>88</v>
      </c>
      <c r="D1561" s="40">
        <v>0</v>
      </c>
    </row>
    <row r="1562" spans="1:4" ht="22.5" customHeight="1" x14ac:dyDescent="0.15">
      <c r="A1562" s="16" t="s">
        <v>107</v>
      </c>
      <c r="B1562" s="12" t="s">
        <v>2798</v>
      </c>
      <c r="C1562" s="13" t="s">
        <v>18</v>
      </c>
      <c r="D1562" s="40">
        <v>0</v>
      </c>
    </row>
    <row r="1563" spans="1:4" ht="22.5" customHeight="1" x14ac:dyDescent="0.15">
      <c r="A1563" s="16" t="s">
        <v>107</v>
      </c>
      <c r="B1563" s="12" t="s">
        <v>2799</v>
      </c>
      <c r="C1563" s="13" t="s">
        <v>18</v>
      </c>
      <c r="D1563" s="40">
        <v>0</v>
      </c>
    </row>
    <row r="1564" spans="1:4" ht="22.5" customHeight="1" x14ac:dyDescent="0.15">
      <c r="A1564" s="16" t="s">
        <v>107</v>
      </c>
      <c r="B1564" s="12" t="s">
        <v>2800</v>
      </c>
      <c r="C1564" s="13" t="s">
        <v>83</v>
      </c>
      <c r="D1564" s="40">
        <v>0</v>
      </c>
    </row>
    <row r="1565" spans="1:4" ht="22.5" customHeight="1" x14ac:dyDescent="0.15">
      <c r="A1565" s="16" t="s">
        <v>183</v>
      </c>
      <c r="B1565" s="12" t="s">
        <v>2801</v>
      </c>
      <c r="C1565" s="13" t="s">
        <v>30</v>
      </c>
      <c r="D1565" s="40">
        <v>0</v>
      </c>
    </row>
    <row r="1566" spans="1:4" ht="22.5" customHeight="1" x14ac:dyDescent="0.15">
      <c r="A1566" s="16" t="s">
        <v>190</v>
      </c>
      <c r="B1566" s="12" t="s">
        <v>2802</v>
      </c>
      <c r="C1566" s="13" t="s">
        <v>12</v>
      </c>
      <c r="D1566" s="40">
        <v>0</v>
      </c>
    </row>
    <row r="1567" spans="1:4" ht="22.5" customHeight="1" x14ac:dyDescent="0.15">
      <c r="A1567" s="16" t="s">
        <v>190</v>
      </c>
      <c r="B1567" s="12" t="s">
        <v>2803</v>
      </c>
      <c r="C1567" s="13" t="s">
        <v>136</v>
      </c>
      <c r="D1567" s="40">
        <v>0</v>
      </c>
    </row>
    <row r="1568" spans="1:4" ht="22.5" customHeight="1" x14ac:dyDescent="0.15">
      <c r="A1568" s="16" t="s">
        <v>788</v>
      </c>
      <c r="B1568" s="12" t="s">
        <v>2804</v>
      </c>
      <c r="C1568" s="13" t="s">
        <v>23</v>
      </c>
      <c r="D1568" s="40">
        <v>0</v>
      </c>
    </row>
    <row r="1569" spans="1:4" ht="22.5" customHeight="1" x14ac:dyDescent="0.15">
      <c r="A1569" s="16" t="s">
        <v>788</v>
      </c>
      <c r="B1569" s="12" t="s">
        <v>2805</v>
      </c>
      <c r="C1569" s="13" t="s">
        <v>136</v>
      </c>
      <c r="D1569" s="40">
        <v>0</v>
      </c>
    </row>
    <row r="1570" spans="1:4" ht="22.5" customHeight="1" x14ac:dyDescent="0.15">
      <c r="A1570" s="16" t="s">
        <v>1697</v>
      </c>
      <c r="B1570" s="12" t="s">
        <v>2806</v>
      </c>
      <c r="C1570" s="13" t="s">
        <v>30</v>
      </c>
      <c r="D1570" s="40">
        <v>0</v>
      </c>
    </row>
    <row r="1571" spans="1:4" ht="22.5" customHeight="1" x14ac:dyDescent="0.15">
      <c r="A1571" s="16" t="s">
        <v>2809</v>
      </c>
      <c r="B1571" s="12" t="s">
        <v>2810</v>
      </c>
      <c r="C1571" s="13" t="s">
        <v>30</v>
      </c>
      <c r="D1571" s="40">
        <v>0</v>
      </c>
    </row>
    <row r="1572" spans="1:4" ht="22.5" customHeight="1" x14ac:dyDescent="0.15">
      <c r="A1572" s="16" t="s">
        <v>75</v>
      </c>
      <c r="B1572" s="12" t="s">
        <v>2811</v>
      </c>
      <c r="C1572" s="13" t="s">
        <v>30</v>
      </c>
      <c r="D1572" s="40">
        <v>0</v>
      </c>
    </row>
    <row r="1573" spans="1:4" ht="22.5" customHeight="1" x14ac:dyDescent="0.15">
      <c r="A1573" s="16" t="s">
        <v>75</v>
      </c>
      <c r="B1573" s="12" t="s">
        <v>2812</v>
      </c>
      <c r="C1573" s="13" t="s">
        <v>77</v>
      </c>
      <c r="D1573" s="40">
        <v>0</v>
      </c>
    </row>
    <row r="1574" spans="1:4" ht="22.5" customHeight="1" x14ac:dyDescent="0.15">
      <c r="A1574" s="16" t="s">
        <v>75</v>
      </c>
      <c r="B1574" s="12" t="s">
        <v>2813</v>
      </c>
      <c r="C1574" s="13" t="s">
        <v>77</v>
      </c>
      <c r="D1574" s="40">
        <v>0</v>
      </c>
    </row>
    <row r="1575" spans="1:4" ht="22.5" customHeight="1" x14ac:dyDescent="0.15">
      <c r="A1575" s="16" t="s">
        <v>2814</v>
      </c>
      <c r="B1575" s="12" t="s">
        <v>2815</v>
      </c>
      <c r="C1575" s="13" t="s">
        <v>88</v>
      </c>
      <c r="D1575" s="40">
        <v>0</v>
      </c>
    </row>
    <row r="1576" spans="1:4" ht="22.5" customHeight="1" x14ac:dyDescent="0.15">
      <c r="A1576" s="16" t="s">
        <v>2814</v>
      </c>
      <c r="B1576" s="12" t="s">
        <v>2816</v>
      </c>
      <c r="C1576" s="13" t="s">
        <v>88</v>
      </c>
      <c r="D1576" s="40">
        <v>0</v>
      </c>
    </row>
    <row r="1577" spans="1:4" ht="22.5" customHeight="1" x14ac:dyDescent="0.15">
      <c r="A1577" s="16" t="s">
        <v>207</v>
      </c>
      <c r="B1577" s="12" t="s">
        <v>2817</v>
      </c>
      <c r="C1577" s="13" t="s">
        <v>77</v>
      </c>
      <c r="D1577" s="40">
        <v>0</v>
      </c>
    </row>
    <row r="1578" spans="1:4" ht="22.5" customHeight="1" x14ac:dyDescent="0.15">
      <c r="A1578" s="16" t="s">
        <v>217</v>
      </c>
      <c r="B1578" s="12" t="s">
        <v>2818</v>
      </c>
      <c r="C1578" s="13" t="s">
        <v>88</v>
      </c>
      <c r="D1578" s="40">
        <v>0</v>
      </c>
    </row>
    <row r="1579" spans="1:4" ht="22.5" customHeight="1" x14ac:dyDescent="0.15">
      <c r="A1579" s="16" t="s">
        <v>217</v>
      </c>
      <c r="B1579" s="12" t="s">
        <v>2819</v>
      </c>
      <c r="C1579" s="13" t="s">
        <v>12</v>
      </c>
      <c r="D1579" s="40">
        <v>0</v>
      </c>
    </row>
    <row r="1580" spans="1:4" ht="22.5" customHeight="1" x14ac:dyDescent="0.15">
      <c r="A1580" s="16" t="s">
        <v>9</v>
      </c>
      <c r="B1580" s="12" t="s">
        <v>2820</v>
      </c>
      <c r="C1580" s="13" t="s">
        <v>23</v>
      </c>
      <c r="D1580" s="40">
        <v>0</v>
      </c>
    </row>
    <row r="1581" spans="1:4" ht="22.5" customHeight="1" x14ac:dyDescent="0.15">
      <c r="A1581" s="16" t="s">
        <v>9</v>
      </c>
      <c r="B1581" s="12" t="s">
        <v>2821</v>
      </c>
      <c r="C1581" s="13" t="s">
        <v>77</v>
      </c>
      <c r="D1581" s="40">
        <v>0</v>
      </c>
    </row>
    <row r="1582" spans="1:4" ht="22.5" customHeight="1" x14ac:dyDescent="0.15">
      <c r="A1582" s="16" t="s">
        <v>9</v>
      </c>
      <c r="B1582" s="12" t="s">
        <v>2822</v>
      </c>
      <c r="C1582" s="13" t="s">
        <v>18</v>
      </c>
      <c r="D1582" s="40">
        <v>0</v>
      </c>
    </row>
    <row r="1583" spans="1:4" ht="22.5" customHeight="1" x14ac:dyDescent="0.15">
      <c r="A1583" s="16" t="s">
        <v>810</v>
      </c>
      <c r="B1583" s="12" t="s">
        <v>2823</v>
      </c>
      <c r="C1583" s="13" t="s">
        <v>18</v>
      </c>
      <c r="D1583" s="40">
        <v>0</v>
      </c>
    </row>
    <row r="1584" spans="1:4" ht="22.5" customHeight="1" x14ac:dyDescent="0.15">
      <c r="A1584" s="16" t="s">
        <v>822</v>
      </c>
      <c r="B1584" s="12" t="s">
        <v>2824</v>
      </c>
      <c r="C1584" s="13" t="s">
        <v>136</v>
      </c>
      <c r="D1584" s="40">
        <v>0</v>
      </c>
    </row>
    <row r="1585" spans="1:4" ht="22.5" customHeight="1" x14ac:dyDescent="0.15">
      <c r="A1585" s="16" t="s">
        <v>822</v>
      </c>
      <c r="B1585" s="12" t="s">
        <v>2825</v>
      </c>
      <c r="C1585" s="13" t="s">
        <v>136</v>
      </c>
      <c r="D1585" s="40">
        <v>0</v>
      </c>
    </row>
    <row r="1586" spans="1:4" ht="22.5" customHeight="1" x14ac:dyDescent="0.15">
      <c r="A1586" s="16" t="s">
        <v>827</v>
      </c>
      <c r="B1586" s="12" t="s">
        <v>2826</v>
      </c>
      <c r="C1586" s="13" t="s">
        <v>18</v>
      </c>
      <c r="D1586" s="40">
        <v>0</v>
      </c>
    </row>
    <row r="1587" spans="1:4" ht="22.5" customHeight="1" x14ac:dyDescent="0.15">
      <c r="A1587" s="16" t="s">
        <v>827</v>
      </c>
      <c r="B1587" s="12" t="s">
        <v>2827</v>
      </c>
      <c r="C1587" s="13" t="s">
        <v>88</v>
      </c>
      <c r="D1587" s="40">
        <v>0</v>
      </c>
    </row>
    <row r="1588" spans="1:4" ht="22.5" customHeight="1" x14ac:dyDescent="0.15">
      <c r="A1588" s="16" t="s">
        <v>827</v>
      </c>
      <c r="B1588" s="12" t="s">
        <v>2828</v>
      </c>
      <c r="C1588" s="13" t="s">
        <v>18</v>
      </c>
      <c r="D1588" s="40">
        <v>0</v>
      </c>
    </row>
    <row r="1589" spans="1:4" ht="22.5" customHeight="1" x14ac:dyDescent="0.15">
      <c r="A1589" s="16" t="s">
        <v>2831</v>
      </c>
      <c r="B1589" s="12" t="s">
        <v>2832</v>
      </c>
      <c r="C1589" s="13" t="s">
        <v>83</v>
      </c>
      <c r="D1589" s="40">
        <v>0</v>
      </c>
    </row>
    <row r="1590" spans="1:4" ht="22.5" customHeight="1" x14ac:dyDescent="0.15">
      <c r="A1590" s="16" t="s">
        <v>2831</v>
      </c>
      <c r="B1590" s="12" t="s">
        <v>2833</v>
      </c>
      <c r="C1590" s="13" t="s">
        <v>30</v>
      </c>
      <c r="D1590" s="40">
        <v>0</v>
      </c>
    </row>
    <row r="1591" spans="1:4" ht="22.5" customHeight="1" x14ac:dyDescent="0.15">
      <c r="A1591" s="16" t="s">
        <v>15</v>
      </c>
      <c r="B1591" s="12" t="s">
        <v>2834</v>
      </c>
      <c r="C1591" s="13" t="s">
        <v>18</v>
      </c>
      <c r="D1591" s="40">
        <v>0</v>
      </c>
    </row>
    <row r="1592" spans="1:4" ht="22.5" customHeight="1" x14ac:dyDescent="0.15">
      <c r="A1592" s="16" t="s">
        <v>832</v>
      </c>
      <c r="B1592" s="12" t="s">
        <v>2835</v>
      </c>
      <c r="C1592" s="13" t="s">
        <v>18</v>
      </c>
      <c r="D1592" s="40">
        <v>0</v>
      </c>
    </row>
    <row r="1593" spans="1:4" ht="22.5" customHeight="1" x14ac:dyDescent="0.15">
      <c r="A1593" s="16" t="s">
        <v>848</v>
      </c>
      <c r="B1593" s="12" t="s">
        <v>2836</v>
      </c>
      <c r="C1593" s="13" t="s">
        <v>88</v>
      </c>
      <c r="D1593" s="40">
        <v>0</v>
      </c>
    </row>
    <row r="1594" spans="1:4" ht="22.5" customHeight="1" x14ac:dyDescent="0.15">
      <c r="A1594" s="16" t="s">
        <v>853</v>
      </c>
      <c r="B1594" s="12" t="s">
        <v>2837</v>
      </c>
      <c r="C1594" s="13" t="s">
        <v>12</v>
      </c>
      <c r="D1594" s="40">
        <v>0</v>
      </c>
    </row>
    <row r="1595" spans="1:4" ht="22.5" customHeight="1" x14ac:dyDescent="0.15">
      <c r="A1595" s="16" t="s">
        <v>234</v>
      </c>
      <c r="B1595" s="12" t="s">
        <v>2838</v>
      </c>
      <c r="C1595" s="13" t="s">
        <v>18</v>
      </c>
      <c r="D1595" s="40">
        <v>0</v>
      </c>
    </row>
    <row r="1596" spans="1:4" ht="22.5" customHeight="1" x14ac:dyDescent="0.15">
      <c r="A1596" s="16" t="s">
        <v>234</v>
      </c>
      <c r="B1596" s="12" t="s">
        <v>2839</v>
      </c>
      <c r="C1596" s="13" t="s">
        <v>18</v>
      </c>
      <c r="D1596" s="40">
        <v>0</v>
      </c>
    </row>
    <row r="1597" spans="1:4" ht="22.5" customHeight="1" x14ac:dyDescent="0.15">
      <c r="A1597" s="16" t="s">
        <v>234</v>
      </c>
      <c r="B1597" s="12" t="s">
        <v>2840</v>
      </c>
      <c r="C1597" s="13" t="s">
        <v>30</v>
      </c>
      <c r="D1597" s="40">
        <v>0</v>
      </c>
    </row>
    <row r="1598" spans="1:4" ht="22.5" customHeight="1" x14ac:dyDescent="0.15">
      <c r="A1598" s="16" t="s">
        <v>234</v>
      </c>
      <c r="B1598" s="12" t="s">
        <v>2841</v>
      </c>
      <c r="C1598" s="13" t="s">
        <v>30</v>
      </c>
      <c r="D1598" s="40">
        <v>0</v>
      </c>
    </row>
    <row r="1599" spans="1:4" ht="22.5" customHeight="1" x14ac:dyDescent="0.15">
      <c r="A1599" s="16" t="s">
        <v>234</v>
      </c>
      <c r="B1599" s="12" t="s">
        <v>2842</v>
      </c>
      <c r="C1599" s="13" t="s">
        <v>77</v>
      </c>
      <c r="D1599" s="40">
        <v>0</v>
      </c>
    </row>
    <row r="1600" spans="1:4" ht="22.5" customHeight="1" x14ac:dyDescent="0.15">
      <c r="A1600" s="16" t="s">
        <v>234</v>
      </c>
      <c r="B1600" s="12" t="s">
        <v>2843</v>
      </c>
      <c r="C1600" s="13" t="s">
        <v>18</v>
      </c>
      <c r="D1600" s="40">
        <v>0</v>
      </c>
    </row>
    <row r="1601" spans="1:4" ht="22.5" customHeight="1" x14ac:dyDescent="0.15">
      <c r="A1601" s="16" t="s">
        <v>234</v>
      </c>
      <c r="B1601" s="12" t="s">
        <v>2844</v>
      </c>
      <c r="C1601" s="13" t="s">
        <v>83</v>
      </c>
      <c r="D1601" s="40">
        <v>0</v>
      </c>
    </row>
    <row r="1602" spans="1:4" ht="22.5" customHeight="1" x14ac:dyDescent="0.15">
      <c r="A1602" s="16" t="s">
        <v>234</v>
      </c>
      <c r="B1602" s="12" t="s">
        <v>2845</v>
      </c>
      <c r="C1602" s="13" t="s">
        <v>83</v>
      </c>
      <c r="D1602" s="40">
        <v>0</v>
      </c>
    </row>
    <row r="1603" spans="1:4" ht="22.5" customHeight="1" x14ac:dyDescent="0.15">
      <c r="A1603" s="16" t="s">
        <v>234</v>
      </c>
      <c r="B1603" s="12" t="s">
        <v>2846</v>
      </c>
      <c r="C1603" s="13" t="s">
        <v>23</v>
      </c>
      <c r="D1603" s="40">
        <v>0</v>
      </c>
    </row>
    <row r="1604" spans="1:4" ht="22.5" customHeight="1" x14ac:dyDescent="0.15">
      <c r="A1604" s="16" t="s">
        <v>234</v>
      </c>
      <c r="B1604" s="12" t="s">
        <v>2847</v>
      </c>
      <c r="C1604" s="13" t="s">
        <v>88</v>
      </c>
      <c r="D1604" s="40">
        <v>0</v>
      </c>
    </row>
    <row r="1605" spans="1:4" ht="22.5" customHeight="1" x14ac:dyDescent="0.15">
      <c r="A1605" s="16" t="s">
        <v>234</v>
      </c>
      <c r="B1605" s="12" t="s">
        <v>2848</v>
      </c>
      <c r="C1605" s="13" t="s">
        <v>88</v>
      </c>
      <c r="D1605" s="40">
        <v>0</v>
      </c>
    </row>
    <row r="1606" spans="1:4" ht="22.5" customHeight="1" x14ac:dyDescent="0.15">
      <c r="A1606" s="16" t="s">
        <v>234</v>
      </c>
      <c r="B1606" s="12" t="s">
        <v>2849</v>
      </c>
      <c r="C1606" s="13" t="s">
        <v>18</v>
      </c>
      <c r="D1606" s="40">
        <v>0</v>
      </c>
    </row>
    <row r="1607" spans="1:4" ht="22.5" customHeight="1" x14ac:dyDescent="0.15">
      <c r="A1607" s="16" t="s">
        <v>234</v>
      </c>
      <c r="B1607" s="12" t="s">
        <v>2850</v>
      </c>
      <c r="C1607" s="13" t="s">
        <v>18</v>
      </c>
      <c r="D1607" s="40">
        <v>0</v>
      </c>
    </row>
    <row r="1608" spans="1:4" ht="22.5" customHeight="1" x14ac:dyDescent="0.15">
      <c r="A1608" s="16" t="s">
        <v>234</v>
      </c>
      <c r="B1608" s="12" t="s">
        <v>2851</v>
      </c>
      <c r="C1608" s="13" t="s">
        <v>88</v>
      </c>
      <c r="D1608" s="40">
        <v>0</v>
      </c>
    </row>
    <row r="1609" spans="1:4" ht="22.5" customHeight="1" x14ac:dyDescent="0.15">
      <c r="A1609" s="16" t="s">
        <v>869</v>
      </c>
      <c r="B1609" s="12" t="s">
        <v>2852</v>
      </c>
      <c r="C1609" s="13" t="s">
        <v>12</v>
      </c>
      <c r="D1609" s="40">
        <v>0</v>
      </c>
    </row>
    <row r="1610" spans="1:4" ht="22.5" customHeight="1" x14ac:dyDescent="0.15">
      <c r="A1610" s="16" t="s">
        <v>239</v>
      </c>
      <c r="B1610" s="12" t="s">
        <v>2853</v>
      </c>
      <c r="C1610" s="13" t="s">
        <v>12</v>
      </c>
      <c r="D1610" s="40">
        <v>0</v>
      </c>
    </row>
    <row r="1611" spans="1:4" ht="22.5" customHeight="1" x14ac:dyDescent="0.15">
      <c r="A1611" s="16" t="s">
        <v>239</v>
      </c>
      <c r="B1611" s="12" t="s">
        <v>2854</v>
      </c>
      <c r="C1611" s="13" t="s">
        <v>136</v>
      </c>
      <c r="D1611" s="40">
        <v>0</v>
      </c>
    </row>
    <row r="1612" spans="1:4" ht="22.5" customHeight="1" x14ac:dyDescent="0.15">
      <c r="A1612" s="16" t="s">
        <v>249</v>
      </c>
      <c r="B1612" s="12" t="s">
        <v>2855</v>
      </c>
      <c r="C1612" s="13" t="s">
        <v>67</v>
      </c>
      <c r="D1612" s="40">
        <v>0</v>
      </c>
    </row>
    <row r="1613" spans="1:4" ht="22.5" customHeight="1" x14ac:dyDescent="0.15">
      <c r="A1613" s="16" t="s">
        <v>249</v>
      </c>
      <c r="B1613" s="12" t="s">
        <v>2856</v>
      </c>
      <c r="C1613" s="13" t="s">
        <v>88</v>
      </c>
      <c r="D1613" s="40">
        <v>0</v>
      </c>
    </row>
    <row r="1614" spans="1:4" ht="22.5" customHeight="1" x14ac:dyDescent="0.15">
      <c r="A1614" s="16" t="s">
        <v>249</v>
      </c>
      <c r="B1614" s="12" t="s">
        <v>2857</v>
      </c>
      <c r="C1614" s="13" t="s">
        <v>23</v>
      </c>
      <c r="D1614" s="40">
        <v>0</v>
      </c>
    </row>
    <row r="1615" spans="1:4" ht="22.5" customHeight="1" x14ac:dyDescent="0.15">
      <c r="A1615" s="16" t="s">
        <v>1485</v>
      </c>
      <c r="B1615" s="12" t="s">
        <v>2858</v>
      </c>
      <c r="C1615" s="13" t="s">
        <v>18</v>
      </c>
      <c r="D1615" s="40">
        <v>0</v>
      </c>
    </row>
    <row r="1616" spans="1:4" ht="22.5" customHeight="1" x14ac:dyDescent="0.15">
      <c r="A1616" s="16" t="s">
        <v>1739</v>
      </c>
      <c r="B1616" s="12" t="s">
        <v>2859</v>
      </c>
      <c r="C1616" s="13" t="s">
        <v>30</v>
      </c>
      <c r="D1616" s="40">
        <v>0</v>
      </c>
    </row>
    <row r="1617" spans="1:4" ht="22.5" customHeight="1" x14ac:dyDescent="0.15">
      <c r="A1617" s="16" t="s">
        <v>256</v>
      </c>
      <c r="B1617" s="12" t="s">
        <v>2860</v>
      </c>
      <c r="C1617" s="13" t="s">
        <v>18</v>
      </c>
      <c r="D1617" s="40">
        <v>0</v>
      </c>
    </row>
    <row r="1618" spans="1:4" ht="22.5" customHeight="1" x14ac:dyDescent="0.15">
      <c r="A1618" s="16" t="s">
        <v>256</v>
      </c>
      <c r="B1618" s="12" t="s">
        <v>2861</v>
      </c>
      <c r="C1618" s="13" t="s">
        <v>18</v>
      </c>
      <c r="D1618" s="40">
        <v>0</v>
      </c>
    </row>
    <row r="1619" spans="1:4" ht="22.5" customHeight="1" x14ac:dyDescent="0.15">
      <c r="A1619" s="16" t="s">
        <v>32</v>
      </c>
      <c r="B1619" s="12" t="s">
        <v>2862</v>
      </c>
      <c r="C1619" s="13" t="s">
        <v>88</v>
      </c>
      <c r="D1619" s="40">
        <v>0</v>
      </c>
    </row>
    <row r="1620" spans="1:4" ht="22.5" customHeight="1" x14ac:dyDescent="0.15">
      <c r="A1620" s="16" t="s">
        <v>32</v>
      </c>
      <c r="B1620" s="12" t="s">
        <v>2863</v>
      </c>
      <c r="C1620" s="13" t="s">
        <v>18</v>
      </c>
      <c r="D1620" s="40">
        <v>0</v>
      </c>
    </row>
    <row r="1621" spans="1:4" ht="22.5" customHeight="1" x14ac:dyDescent="0.15">
      <c r="A1621" s="16" t="s">
        <v>934</v>
      </c>
      <c r="B1621" s="12" t="s">
        <v>2864</v>
      </c>
      <c r="C1621" s="13" t="s">
        <v>83</v>
      </c>
      <c r="D1621" s="40">
        <v>0</v>
      </c>
    </row>
    <row r="1622" spans="1:4" ht="22.5" customHeight="1" x14ac:dyDescent="0.15">
      <c r="A1622" s="16" t="s">
        <v>289</v>
      </c>
      <c r="B1622" s="12" t="s">
        <v>2865</v>
      </c>
      <c r="C1622" s="13" t="s">
        <v>30</v>
      </c>
      <c r="D1622" s="40">
        <v>0</v>
      </c>
    </row>
    <row r="1623" spans="1:4" ht="22.5" customHeight="1" x14ac:dyDescent="0.15">
      <c r="A1623" s="16" t="s">
        <v>946</v>
      </c>
      <c r="B1623" s="12" t="s">
        <v>2866</v>
      </c>
      <c r="C1623" s="13" t="s">
        <v>83</v>
      </c>
      <c r="D1623" s="40">
        <v>0</v>
      </c>
    </row>
    <row r="1624" spans="1:4" ht="22.5" customHeight="1" x14ac:dyDescent="0.15">
      <c r="A1624" s="16" t="s">
        <v>946</v>
      </c>
      <c r="B1624" s="12" t="s">
        <v>2867</v>
      </c>
      <c r="C1624" s="13" t="s">
        <v>23</v>
      </c>
      <c r="D1624" s="40">
        <v>0</v>
      </c>
    </row>
    <row r="1625" spans="1:4" ht="22.5" customHeight="1" x14ac:dyDescent="0.15">
      <c r="A1625" s="16" t="s">
        <v>946</v>
      </c>
      <c r="B1625" s="12" t="s">
        <v>2868</v>
      </c>
      <c r="C1625" s="13" t="s">
        <v>23</v>
      </c>
      <c r="D1625" s="40">
        <v>0</v>
      </c>
    </row>
    <row r="1626" spans="1:4" ht="22.5" customHeight="1" x14ac:dyDescent="0.15">
      <c r="A1626" s="16" t="s">
        <v>946</v>
      </c>
      <c r="B1626" s="12" t="s">
        <v>2869</v>
      </c>
      <c r="C1626" s="13" t="s">
        <v>23</v>
      </c>
      <c r="D1626" s="40">
        <v>0</v>
      </c>
    </row>
    <row r="1627" spans="1:4" ht="22.5" customHeight="1" x14ac:dyDescent="0.15">
      <c r="A1627" s="16" t="s">
        <v>946</v>
      </c>
      <c r="B1627" s="12" t="s">
        <v>2870</v>
      </c>
      <c r="C1627" s="13" t="s">
        <v>88</v>
      </c>
      <c r="D1627" s="40">
        <v>0</v>
      </c>
    </row>
    <row r="1628" spans="1:4" ht="22.5" customHeight="1" x14ac:dyDescent="0.15">
      <c r="A1628" s="16" t="s">
        <v>950</v>
      </c>
      <c r="B1628" s="12" t="s">
        <v>2871</v>
      </c>
      <c r="C1628" s="13" t="s">
        <v>83</v>
      </c>
      <c r="D1628" s="40">
        <v>0</v>
      </c>
    </row>
    <row r="1629" spans="1:4" ht="22.5" customHeight="1" x14ac:dyDescent="0.15">
      <c r="A1629" s="16" t="s">
        <v>950</v>
      </c>
      <c r="B1629" s="12" t="s">
        <v>2872</v>
      </c>
      <c r="C1629" s="13" t="s">
        <v>12</v>
      </c>
      <c r="D1629" s="40">
        <v>0</v>
      </c>
    </row>
    <row r="1630" spans="1:4" ht="22.5" customHeight="1" x14ac:dyDescent="0.15">
      <c r="A1630" s="16" t="s">
        <v>950</v>
      </c>
      <c r="B1630" s="12" t="s">
        <v>2873</v>
      </c>
      <c r="C1630" s="13" t="s">
        <v>30</v>
      </c>
      <c r="D1630" s="40">
        <v>0</v>
      </c>
    </row>
    <row r="1631" spans="1:4" ht="22.5" customHeight="1" x14ac:dyDescent="0.15">
      <c r="A1631" s="16" t="s">
        <v>298</v>
      </c>
      <c r="B1631" s="12" t="s">
        <v>2874</v>
      </c>
      <c r="C1631" s="13" t="s">
        <v>12</v>
      </c>
      <c r="D1631" s="40">
        <v>0</v>
      </c>
    </row>
    <row r="1632" spans="1:4" ht="22.5" customHeight="1" x14ac:dyDescent="0.15">
      <c r="A1632" s="16" t="s">
        <v>298</v>
      </c>
      <c r="B1632" s="12" t="s">
        <v>2875</v>
      </c>
      <c r="C1632" s="13" t="s">
        <v>12</v>
      </c>
      <c r="D1632" s="40">
        <v>0</v>
      </c>
    </row>
    <row r="1633" spans="1:4" ht="22.5" customHeight="1" x14ac:dyDescent="0.15">
      <c r="A1633" s="16" t="s">
        <v>298</v>
      </c>
      <c r="B1633" s="12" t="s">
        <v>2876</v>
      </c>
      <c r="C1633" s="13" t="s">
        <v>88</v>
      </c>
      <c r="D1633" s="40">
        <v>0</v>
      </c>
    </row>
    <row r="1634" spans="1:4" ht="22.5" customHeight="1" x14ac:dyDescent="0.15">
      <c r="A1634" s="16" t="s">
        <v>298</v>
      </c>
      <c r="B1634" s="12" t="s">
        <v>2877</v>
      </c>
      <c r="C1634" s="13" t="s">
        <v>18</v>
      </c>
      <c r="D1634" s="40">
        <v>0</v>
      </c>
    </row>
    <row r="1635" spans="1:4" ht="22.5" customHeight="1" x14ac:dyDescent="0.15">
      <c r="A1635" s="16" t="s">
        <v>298</v>
      </c>
      <c r="B1635" s="12" t="s">
        <v>2878</v>
      </c>
      <c r="C1635" s="13" t="s">
        <v>88</v>
      </c>
      <c r="D1635" s="40">
        <v>0</v>
      </c>
    </row>
    <row r="1636" spans="1:4" ht="22.5" customHeight="1" x14ac:dyDescent="0.15">
      <c r="A1636" s="16" t="s">
        <v>303</v>
      </c>
      <c r="B1636" s="12" t="s">
        <v>2879</v>
      </c>
      <c r="C1636" s="13" t="s">
        <v>83</v>
      </c>
      <c r="D1636" s="40">
        <v>0</v>
      </c>
    </row>
    <row r="1637" spans="1:4" ht="22.5" customHeight="1" x14ac:dyDescent="0.15">
      <c r="A1637" s="16" t="s">
        <v>303</v>
      </c>
      <c r="B1637" s="12" t="s">
        <v>2880</v>
      </c>
      <c r="C1637" s="13" t="s">
        <v>12</v>
      </c>
      <c r="D1637" s="40">
        <v>0</v>
      </c>
    </row>
    <row r="1638" spans="1:4" ht="22.5" customHeight="1" x14ac:dyDescent="0.15">
      <c r="A1638" s="16" t="s">
        <v>955</v>
      </c>
      <c r="B1638" s="12" t="s">
        <v>2881</v>
      </c>
      <c r="C1638" s="13" t="s">
        <v>18</v>
      </c>
      <c r="D1638" s="40">
        <v>0</v>
      </c>
    </row>
    <row r="1639" spans="1:4" ht="22.5" customHeight="1" x14ac:dyDescent="0.15">
      <c r="A1639" s="16" t="s">
        <v>955</v>
      </c>
      <c r="B1639" s="12" t="s">
        <v>2882</v>
      </c>
      <c r="C1639" s="13" t="s">
        <v>18</v>
      </c>
      <c r="D1639" s="40">
        <v>0</v>
      </c>
    </row>
    <row r="1640" spans="1:4" ht="22.5" customHeight="1" x14ac:dyDescent="0.15">
      <c r="A1640" s="16" t="s">
        <v>955</v>
      </c>
      <c r="B1640" s="12" t="s">
        <v>2883</v>
      </c>
      <c r="C1640" s="13" t="s">
        <v>30</v>
      </c>
      <c r="D1640" s="40">
        <v>0</v>
      </c>
    </row>
    <row r="1641" spans="1:4" ht="22.5" customHeight="1" x14ac:dyDescent="0.15">
      <c r="A1641" s="16" t="s">
        <v>955</v>
      </c>
      <c r="B1641" s="12" t="s">
        <v>2884</v>
      </c>
      <c r="C1641" s="13" t="s">
        <v>136</v>
      </c>
      <c r="D1641" s="40">
        <v>0</v>
      </c>
    </row>
    <row r="1642" spans="1:4" ht="22.5" customHeight="1" x14ac:dyDescent="0.15">
      <c r="A1642" s="16" t="s">
        <v>37</v>
      </c>
      <c r="B1642" s="12" t="s">
        <v>2885</v>
      </c>
      <c r="C1642" s="13" t="s">
        <v>18</v>
      </c>
      <c r="D1642" s="40">
        <v>0</v>
      </c>
    </row>
    <row r="1643" spans="1:4" ht="22.5" customHeight="1" x14ac:dyDescent="0.15">
      <c r="A1643" s="16" t="s">
        <v>37</v>
      </c>
      <c r="B1643" s="12" t="s">
        <v>2886</v>
      </c>
      <c r="C1643" s="13" t="s">
        <v>18</v>
      </c>
      <c r="D1643" s="40">
        <v>0</v>
      </c>
    </row>
    <row r="1644" spans="1:4" ht="22.5" customHeight="1" x14ac:dyDescent="0.15">
      <c r="A1644" s="16" t="s">
        <v>327</v>
      </c>
      <c r="B1644" s="12" t="s">
        <v>2887</v>
      </c>
      <c r="C1644" s="13" t="s">
        <v>12</v>
      </c>
      <c r="D1644" s="40">
        <v>0</v>
      </c>
    </row>
    <row r="1645" spans="1:4" ht="22.5" customHeight="1" x14ac:dyDescent="0.15">
      <c r="A1645" s="16" t="s">
        <v>971</v>
      </c>
      <c r="B1645" s="12" t="s">
        <v>2888</v>
      </c>
      <c r="C1645" s="13" t="s">
        <v>83</v>
      </c>
      <c r="D1645" s="40">
        <v>0</v>
      </c>
    </row>
    <row r="1646" spans="1:4" ht="22.5" customHeight="1" x14ac:dyDescent="0.15">
      <c r="A1646" s="16" t="s">
        <v>347</v>
      </c>
      <c r="B1646" s="12" t="s">
        <v>2761</v>
      </c>
      <c r="C1646" s="13" t="s">
        <v>83</v>
      </c>
      <c r="D1646" s="40">
        <v>0</v>
      </c>
    </row>
    <row r="1647" spans="1:4" ht="22.5" customHeight="1" x14ac:dyDescent="0.15">
      <c r="A1647" s="16" t="s">
        <v>351</v>
      </c>
      <c r="B1647" s="12" t="s">
        <v>2889</v>
      </c>
      <c r="C1647" s="13" t="s">
        <v>136</v>
      </c>
      <c r="D1647" s="40">
        <v>0</v>
      </c>
    </row>
    <row r="1648" spans="1:4" ht="22.5" customHeight="1" x14ac:dyDescent="0.15">
      <c r="A1648" s="16" t="s">
        <v>351</v>
      </c>
      <c r="B1648" s="12" t="s">
        <v>2890</v>
      </c>
      <c r="C1648" s="13" t="s">
        <v>136</v>
      </c>
      <c r="D1648" s="40">
        <v>0</v>
      </c>
    </row>
    <row r="1649" spans="1:4" ht="22.5" customHeight="1" x14ac:dyDescent="0.15">
      <c r="A1649" s="16" t="s">
        <v>359</v>
      </c>
      <c r="B1649" s="12" t="s">
        <v>2891</v>
      </c>
      <c r="C1649" s="13" t="s">
        <v>83</v>
      </c>
      <c r="D1649" s="40">
        <v>0</v>
      </c>
    </row>
    <row r="1650" spans="1:4" ht="22.5" customHeight="1" x14ac:dyDescent="0.15">
      <c r="A1650" s="16" t="s">
        <v>359</v>
      </c>
      <c r="B1650" s="12" t="s">
        <v>2892</v>
      </c>
      <c r="C1650" s="13" t="s">
        <v>67</v>
      </c>
      <c r="D1650" s="40">
        <v>0</v>
      </c>
    </row>
    <row r="1651" spans="1:4" ht="22.5" customHeight="1" x14ac:dyDescent="0.15">
      <c r="A1651" s="16" t="s">
        <v>359</v>
      </c>
      <c r="B1651" s="12" t="s">
        <v>2893</v>
      </c>
      <c r="C1651" s="13" t="s">
        <v>18</v>
      </c>
      <c r="D1651" s="40">
        <v>0</v>
      </c>
    </row>
    <row r="1652" spans="1:4" ht="22.5" customHeight="1" x14ac:dyDescent="0.15">
      <c r="A1652" s="16" t="s">
        <v>359</v>
      </c>
      <c r="B1652" s="12" t="s">
        <v>2894</v>
      </c>
      <c r="C1652" s="13" t="s">
        <v>23</v>
      </c>
      <c r="D1652" s="40">
        <v>0</v>
      </c>
    </row>
    <row r="1653" spans="1:4" ht="22.5" customHeight="1" x14ac:dyDescent="0.15">
      <c r="A1653" s="16" t="s">
        <v>1003</v>
      </c>
      <c r="B1653" s="12" t="s">
        <v>2895</v>
      </c>
      <c r="C1653" s="13" t="s">
        <v>18</v>
      </c>
      <c r="D1653" s="40">
        <v>0</v>
      </c>
    </row>
    <row r="1654" spans="1:4" ht="22.5" customHeight="1" x14ac:dyDescent="0.15">
      <c r="A1654" s="16" t="s">
        <v>1003</v>
      </c>
      <c r="B1654" s="12" t="s">
        <v>2896</v>
      </c>
      <c r="C1654" s="13" t="s">
        <v>88</v>
      </c>
      <c r="D1654" s="40">
        <v>0</v>
      </c>
    </row>
    <row r="1655" spans="1:4" ht="22.5" customHeight="1" x14ac:dyDescent="0.15">
      <c r="A1655" s="16" t="s">
        <v>1003</v>
      </c>
      <c r="B1655" s="12" t="s">
        <v>2897</v>
      </c>
      <c r="C1655" s="13" t="s">
        <v>12</v>
      </c>
      <c r="D1655" s="40">
        <v>0</v>
      </c>
    </row>
    <row r="1656" spans="1:4" ht="22.5" customHeight="1" x14ac:dyDescent="0.15">
      <c r="A1656" s="16" t="s">
        <v>1003</v>
      </c>
      <c r="B1656" s="12" t="s">
        <v>2898</v>
      </c>
      <c r="C1656" s="13" t="s">
        <v>136</v>
      </c>
      <c r="D1656" s="40">
        <v>0</v>
      </c>
    </row>
    <row r="1657" spans="1:4" ht="22.5" customHeight="1" x14ac:dyDescent="0.15">
      <c r="A1657" s="16" t="s">
        <v>2604</v>
      </c>
      <c r="B1657" s="12" t="s">
        <v>2899</v>
      </c>
      <c r="C1657" s="13" t="s">
        <v>136</v>
      </c>
      <c r="D1657" s="40">
        <v>0</v>
      </c>
    </row>
    <row r="1658" spans="1:4" ht="22.5" customHeight="1" x14ac:dyDescent="0.15">
      <c r="A1658" s="16" t="s">
        <v>384</v>
      </c>
      <c r="B1658" s="12" t="s">
        <v>2900</v>
      </c>
      <c r="C1658" s="13" t="s">
        <v>30</v>
      </c>
      <c r="D1658" s="40">
        <v>0</v>
      </c>
    </row>
    <row r="1659" spans="1:4" ht="22.5" customHeight="1" x14ac:dyDescent="0.15">
      <c r="A1659" s="16" t="s">
        <v>384</v>
      </c>
      <c r="B1659" s="12" t="s">
        <v>2901</v>
      </c>
      <c r="C1659" s="13" t="s">
        <v>30</v>
      </c>
      <c r="D1659" s="40">
        <v>0</v>
      </c>
    </row>
    <row r="1660" spans="1:4" ht="22.5" customHeight="1" x14ac:dyDescent="0.15">
      <c r="A1660" s="16" t="s">
        <v>384</v>
      </c>
      <c r="B1660" s="12" t="s">
        <v>2902</v>
      </c>
      <c r="C1660" s="13" t="s">
        <v>30</v>
      </c>
      <c r="D1660" s="40">
        <v>0</v>
      </c>
    </row>
    <row r="1661" spans="1:4" ht="22.5" customHeight="1" x14ac:dyDescent="0.15">
      <c r="A1661" s="16" t="s">
        <v>384</v>
      </c>
      <c r="B1661" s="12" t="s">
        <v>2903</v>
      </c>
      <c r="C1661" s="13" t="s">
        <v>88</v>
      </c>
      <c r="D1661" s="40">
        <v>0</v>
      </c>
    </row>
    <row r="1662" spans="1:4" ht="22.5" customHeight="1" x14ac:dyDescent="0.15">
      <c r="A1662" s="16" t="s">
        <v>384</v>
      </c>
      <c r="B1662" s="12" t="s">
        <v>2904</v>
      </c>
      <c r="C1662" s="13" t="s">
        <v>12</v>
      </c>
      <c r="D1662" s="40">
        <v>0</v>
      </c>
    </row>
    <row r="1663" spans="1:4" ht="22.5" customHeight="1" x14ac:dyDescent="0.15">
      <c r="A1663" s="16" t="s">
        <v>86</v>
      </c>
      <c r="B1663" s="12" t="s">
        <v>2905</v>
      </c>
      <c r="C1663" s="13" t="s">
        <v>30</v>
      </c>
      <c r="D1663" s="40">
        <v>0</v>
      </c>
    </row>
    <row r="1664" spans="1:4" ht="22.5" customHeight="1" x14ac:dyDescent="0.15">
      <c r="A1664" s="16" t="s">
        <v>86</v>
      </c>
      <c r="B1664" s="12" t="s">
        <v>2906</v>
      </c>
      <c r="C1664" s="13" t="s">
        <v>30</v>
      </c>
      <c r="D1664" s="40">
        <v>0</v>
      </c>
    </row>
    <row r="1665" spans="1:4" ht="22.5" customHeight="1" x14ac:dyDescent="0.15">
      <c r="A1665" s="16" t="s">
        <v>1514</v>
      </c>
      <c r="B1665" s="12" t="s">
        <v>2907</v>
      </c>
      <c r="C1665" s="13" t="s">
        <v>136</v>
      </c>
      <c r="D1665" s="40">
        <v>0</v>
      </c>
    </row>
    <row r="1666" spans="1:4" ht="22.5" customHeight="1" x14ac:dyDescent="0.15">
      <c r="A1666" s="16" t="s">
        <v>1514</v>
      </c>
      <c r="B1666" s="12" t="s">
        <v>2908</v>
      </c>
      <c r="C1666" s="13" t="s">
        <v>136</v>
      </c>
      <c r="D1666" s="40">
        <v>0</v>
      </c>
    </row>
    <row r="1667" spans="1:4" ht="22.5" customHeight="1" x14ac:dyDescent="0.15">
      <c r="A1667" s="16" t="s">
        <v>1057</v>
      </c>
      <c r="B1667" s="12" t="s">
        <v>2820</v>
      </c>
      <c r="C1667" s="13" t="s">
        <v>23</v>
      </c>
      <c r="D1667" s="40">
        <v>0</v>
      </c>
    </row>
    <row r="1668" spans="1:4" ht="22.5" customHeight="1" x14ac:dyDescent="0.15">
      <c r="A1668" s="16" t="s">
        <v>1057</v>
      </c>
      <c r="B1668" s="12" t="s">
        <v>2821</v>
      </c>
      <c r="C1668" s="13" t="s">
        <v>77</v>
      </c>
      <c r="D1668" s="40">
        <v>0</v>
      </c>
    </row>
    <row r="1669" spans="1:4" ht="22.5" customHeight="1" x14ac:dyDescent="0.15">
      <c r="A1669" s="16" t="s">
        <v>1057</v>
      </c>
      <c r="B1669" s="12" t="s">
        <v>2909</v>
      </c>
      <c r="C1669" s="13" t="s">
        <v>23</v>
      </c>
      <c r="D1669" s="40">
        <v>0</v>
      </c>
    </row>
    <row r="1670" spans="1:4" ht="22.5" customHeight="1" x14ac:dyDescent="0.15">
      <c r="A1670" s="16" t="s">
        <v>1057</v>
      </c>
      <c r="B1670" s="12" t="s">
        <v>2822</v>
      </c>
      <c r="C1670" s="13" t="s">
        <v>18</v>
      </c>
      <c r="D1670" s="40">
        <v>0</v>
      </c>
    </row>
    <row r="1671" spans="1:4" ht="22.5" customHeight="1" x14ac:dyDescent="0.15">
      <c r="A1671" s="16" t="s">
        <v>710</v>
      </c>
      <c r="B1671" s="12" t="s">
        <v>2910</v>
      </c>
      <c r="C1671" s="13" t="s">
        <v>18</v>
      </c>
      <c r="D1671" s="40">
        <v>0</v>
      </c>
    </row>
    <row r="1672" spans="1:4" ht="22.5" customHeight="1" x14ac:dyDescent="0.15">
      <c r="A1672" s="16" t="s">
        <v>395</v>
      </c>
      <c r="B1672" s="12" t="s">
        <v>2911</v>
      </c>
      <c r="C1672" s="13" t="s">
        <v>18</v>
      </c>
      <c r="D1672" s="40">
        <v>0</v>
      </c>
    </row>
    <row r="1673" spans="1:4" ht="22.5" customHeight="1" x14ac:dyDescent="0.15">
      <c r="A1673" s="16" t="s">
        <v>395</v>
      </c>
      <c r="B1673" s="12" t="s">
        <v>2912</v>
      </c>
      <c r="C1673" s="13" t="s">
        <v>18</v>
      </c>
      <c r="D1673" s="40">
        <v>0</v>
      </c>
    </row>
    <row r="1674" spans="1:4" ht="22.5" customHeight="1" x14ac:dyDescent="0.15">
      <c r="A1674" s="16" t="s">
        <v>395</v>
      </c>
      <c r="B1674" s="12" t="s">
        <v>2913</v>
      </c>
      <c r="C1674" s="13" t="s">
        <v>18</v>
      </c>
      <c r="D1674" s="40">
        <v>0</v>
      </c>
    </row>
    <row r="1675" spans="1:4" ht="22.5" customHeight="1" x14ac:dyDescent="0.15">
      <c r="A1675" s="16" t="s">
        <v>395</v>
      </c>
      <c r="B1675" s="12" t="s">
        <v>2914</v>
      </c>
      <c r="C1675" s="13" t="s">
        <v>18</v>
      </c>
      <c r="D1675" s="40">
        <v>0</v>
      </c>
    </row>
    <row r="1676" spans="1:4" ht="22.5" customHeight="1" x14ac:dyDescent="0.15">
      <c r="A1676" s="16" t="s">
        <v>395</v>
      </c>
      <c r="B1676" s="12" t="s">
        <v>2915</v>
      </c>
      <c r="C1676" s="13" t="s">
        <v>18</v>
      </c>
      <c r="D1676" s="40">
        <v>0</v>
      </c>
    </row>
    <row r="1677" spans="1:4" ht="22.5" customHeight="1" x14ac:dyDescent="0.15">
      <c r="A1677" s="16" t="s">
        <v>1088</v>
      </c>
      <c r="B1677" s="12" t="s">
        <v>2916</v>
      </c>
      <c r="C1677" s="13" t="s">
        <v>30</v>
      </c>
      <c r="D1677" s="40">
        <v>0</v>
      </c>
    </row>
    <row r="1678" spans="1:4" ht="22.5" customHeight="1" x14ac:dyDescent="0.15">
      <c r="A1678" s="16" t="s">
        <v>1088</v>
      </c>
      <c r="B1678" s="12" t="s">
        <v>2917</v>
      </c>
      <c r="C1678" s="13" t="s">
        <v>30</v>
      </c>
      <c r="D1678" s="40">
        <v>0</v>
      </c>
    </row>
    <row r="1679" spans="1:4" ht="22.5" customHeight="1" x14ac:dyDescent="0.15">
      <c r="A1679" s="16" t="s">
        <v>1088</v>
      </c>
      <c r="B1679" s="12" t="s">
        <v>2918</v>
      </c>
      <c r="C1679" s="13" t="s">
        <v>88</v>
      </c>
      <c r="D1679" s="40">
        <v>0</v>
      </c>
    </row>
    <row r="1680" spans="1:4" ht="22.5" customHeight="1" x14ac:dyDescent="0.15">
      <c r="A1680" s="16" t="s">
        <v>2921</v>
      </c>
      <c r="B1680" s="12" t="s">
        <v>2922</v>
      </c>
      <c r="C1680" s="13" t="s">
        <v>136</v>
      </c>
      <c r="D1680" s="40">
        <v>0</v>
      </c>
    </row>
    <row r="1681" spans="1:4" ht="22.5" customHeight="1" x14ac:dyDescent="0.15">
      <c r="A1681" s="16" t="s">
        <v>2219</v>
      </c>
      <c r="B1681" s="12" t="s">
        <v>2923</v>
      </c>
      <c r="C1681" s="13" t="s">
        <v>30</v>
      </c>
      <c r="D1681" s="40">
        <v>0</v>
      </c>
    </row>
    <row r="1682" spans="1:4" ht="22.5" customHeight="1" x14ac:dyDescent="0.15">
      <c r="A1682" s="16" t="s">
        <v>2219</v>
      </c>
      <c r="B1682" s="12" t="s">
        <v>2924</v>
      </c>
      <c r="C1682" s="13" t="s">
        <v>30</v>
      </c>
      <c r="D1682" s="40">
        <v>0</v>
      </c>
    </row>
    <row r="1683" spans="1:4" ht="22.5" customHeight="1" x14ac:dyDescent="0.15">
      <c r="A1683" s="16" t="s">
        <v>2926</v>
      </c>
      <c r="B1683" s="12" t="s">
        <v>2927</v>
      </c>
      <c r="C1683" s="13" t="s">
        <v>83</v>
      </c>
      <c r="D1683" s="40">
        <v>0</v>
      </c>
    </row>
    <row r="1684" spans="1:4" ht="22.5" customHeight="1" x14ac:dyDescent="0.15">
      <c r="A1684" s="16" t="s">
        <v>1103</v>
      </c>
      <c r="B1684" s="12" t="s">
        <v>2852</v>
      </c>
      <c r="C1684" s="13" t="s">
        <v>12</v>
      </c>
      <c r="D1684" s="40">
        <v>0</v>
      </c>
    </row>
    <row r="1685" spans="1:4" ht="22.5" customHeight="1" x14ac:dyDescent="0.15">
      <c r="A1685" s="16" t="s">
        <v>1517</v>
      </c>
      <c r="B1685" s="12" t="s">
        <v>2853</v>
      </c>
      <c r="C1685" s="13" t="s">
        <v>12</v>
      </c>
      <c r="D1685" s="40">
        <v>0</v>
      </c>
    </row>
    <row r="1686" spans="1:4" ht="22.5" customHeight="1" x14ac:dyDescent="0.15">
      <c r="A1686" s="16" t="s">
        <v>1517</v>
      </c>
      <c r="B1686" s="12" t="s">
        <v>2854</v>
      </c>
      <c r="C1686" s="13" t="s">
        <v>136</v>
      </c>
      <c r="D1686" s="40">
        <v>0</v>
      </c>
    </row>
    <row r="1687" spans="1:4" ht="22.5" customHeight="1" x14ac:dyDescent="0.15">
      <c r="A1687" s="16" t="s">
        <v>399</v>
      </c>
      <c r="B1687" s="12" t="s">
        <v>2855</v>
      </c>
      <c r="C1687" s="13" t="s">
        <v>67</v>
      </c>
      <c r="D1687" s="40">
        <v>0</v>
      </c>
    </row>
    <row r="1688" spans="1:4" ht="22.5" customHeight="1" x14ac:dyDescent="0.15">
      <c r="A1688" s="16" t="s">
        <v>399</v>
      </c>
      <c r="B1688" s="12" t="s">
        <v>2857</v>
      </c>
      <c r="C1688" s="13" t="s">
        <v>23</v>
      </c>
      <c r="D1688" s="40">
        <v>0</v>
      </c>
    </row>
    <row r="1689" spans="1:4" ht="22.5" customHeight="1" x14ac:dyDescent="0.15">
      <c r="A1689" s="16" t="s">
        <v>1797</v>
      </c>
      <c r="B1689" s="12" t="s">
        <v>2859</v>
      </c>
      <c r="C1689" s="13" t="s">
        <v>30</v>
      </c>
      <c r="D1689" s="40">
        <v>0</v>
      </c>
    </row>
    <row r="1690" spans="1:4" ht="22.5" customHeight="1" x14ac:dyDescent="0.15">
      <c r="A1690" s="16" t="s">
        <v>1120</v>
      </c>
      <c r="B1690" s="12" t="s">
        <v>2928</v>
      </c>
      <c r="C1690" s="13" t="s">
        <v>83</v>
      </c>
      <c r="D1690" s="40">
        <v>0</v>
      </c>
    </row>
    <row r="1691" spans="1:4" ht="22.5" customHeight="1" x14ac:dyDescent="0.15">
      <c r="A1691" s="16" t="s">
        <v>1127</v>
      </c>
      <c r="B1691" s="12" t="s">
        <v>2929</v>
      </c>
      <c r="C1691" s="13" t="s">
        <v>12</v>
      </c>
      <c r="D1691" s="40">
        <v>0</v>
      </c>
    </row>
    <row r="1692" spans="1:4" ht="22.5" customHeight="1" x14ac:dyDescent="0.15">
      <c r="A1692" s="16" t="s">
        <v>417</v>
      </c>
      <c r="B1692" s="12" t="s">
        <v>2930</v>
      </c>
      <c r="C1692" s="13" t="s">
        <v>30</v>
      </c>
      <c r="D1692" s="40">
        <v>0</v>
      </c>
    </row>
    <row r="1693" spans="1:4" ht="22.5" customHeight="1" x14ac:dyDescent="0.15">
      <c r="A1693" s="16" t="s">
        <v>1155</v>
      </c>
      <c r="B1693" s="12" t="s">
        <v>2864</v>
      </c>
      <c r="C1693" s="13" t="s">
        <v>83</v>
      </c>
      <c r="D1693" s="40">
        <v>0</v>
      </c>
    </row>
    <row r="1694" spans="1:4" ht="22.5" customHeight="1" x14ac:dyDescent="0.15">
      <c r="A1694" s="16" t="s">
        <v>45</v>
      </c>
      <c r="B1694" s="12" t="s">
        <v>2931</v>
      </c>
      <c r="C1694" s="13" t="s">
        <v>30</v>
      </c>
      <c r="D1694" s="40">
        <v>0</v>
      </c>
    </row>
    <row r="1695" spans="1:4" ht="22.5" customHeight="1" x14ac:dyDescent="0.15">
      <c r="A1695" s="16" t="s">
        <v>45</v>
      </c>
      <c r="B1695" s="12" t="s">
        <v>2932</v>
      </c>
      <c r="C1695" s="13" t="s">
        <v>67</v>
      </c>
      <c r="D1695" s="40">
        <v>0</v>
      </c>
    </row>
    <row r="1696" spans="1:4" ht="22.5" customHeight="1" x14ac:dyDescent="0.15">
      <c r="A1696" s="16" t="s">
        <v>1165</v>
      </c>
      <c r="B1696" s="12" t="s">
        <v>2933</v>
      </c>
      <c r="C1696" s="13" t="s">
        <v>136</v>
      </c>
      <c r="D1696" s="40">
        <v>0</v>
      </c>
    </row>
    <row r="1697" spans="1:4" ht="22.5" customHeight="1" x14ac:dyDescent="0.15">
      <c r="A1697" s="16" t="s">
        <v>1165</v>
      </c>
      <c r="B1697" s="12" t="s">
        <v>2934</v>
      </c>
      <c r="C1697" s="13" t="s">
        <v>88</v>
      </c>
      <c r="D1697" s="40">
        <v>0</v>
      </c>
    </row>
    <row r="1698" spans="1:4" ht="22.5" customHeight="1" x14ac:dyDescent="0.15">
      <c r="A1698" s="16" t="s">
        <v>443</v>
      </c>
      <c r="B1698" s="12" t="s">
        <v>2935</v>
      </c>
      <c r="C1698" s="13" t="s">
        <v>23</v>
      </c>
      <c r="D1698" s="40">
        <v>0</v>
      </c>
    </row>
    <row r="1699" spans="1:4" ht="22.5" customHeight="1" x14ac:dyDescent="0.15">
      <c r="A1699" s="16" t="s">
        <v>443</v>
      </c>
      <c r="B1699" s="12" t="s">
        <v>2936</v>
      </c>
      <c r="C1699" s="13" t="s">
        <v>23</v>
      </c>
      <c r="D1699" s="40">
        <v>0</v>
      </c>
    </row>
    <row r="1700" spans="1:4" ht="22.5" customHeight="1" x14ac:dyDescent="0.15">
      <c r="A1700" s="16" t="s">
        <v>463</v>
      </c>
      <c r="B1700" s="12" t="s">
        <v>2937</v>
      </c>
      <c r="C1700" s="13" t="s">
        <v>12</v>
      </c>
      <c r="D1700" s="40">
        <v>0</v>
      </c>
    </row>
    <row r="1701" spans="1:4" ht="22.5" customHeight="1" x14ac:dyDescent="0.15">
      <c r="A1701" s="16" t="s">
        <v>463</v>
      </c>
      <c r="B1701" s="12" t="s">
        <v>2887</v>
      </c>
      <c r="C1701" s="13" t="s">
        <v>12</v>
      </c>
      <c r="D1701" s="40">
        <v>0</v>
      </c>
    </row>
    <row r="1702" spans="1:4" ht="22.5" customHeight="1" x14ac:dyDescent="0.15">
      <c r="A1702" s="16" t="s">
        <v>468</v>
      </c>
      <c r="B1702" s="12" t="s">
        <v>2938</v>
      </c>
      <c r="C1702" s="13" t="s">
        <v>83</v>
      </c>
      <c r="D1702" s="40">
        <v>0</v>
      </c>
    </row>
    <row r="1703" spans="1:4" ht="22.5" customHeight="1" x14ac:dyDescent="0.15">
      <c r="A1703" s="16" t="s">
        <v>49</v>
      </c>
      <c r="B1703" s="12" t="s">
        <v>2939</v>
      </c>
      <c r="C1703" s="13" t="s">
        <v>88</v>
      </c>
      <c r="D1703" s="40">
        <v>0</v>
      </c>
    </row>
    <row r="1704" spans="1:4" ht="22.5" customHeight="1" x14ac:dyDescent="0.15">
      <c r="A1704" s="16" t="s">
        <v>49</v>
      </c>
      <c r="B1704" s="12" t="s">
        <v>2940</v>
      </c>
      <c r="C1704" s="13" t="s">
        <v>88</v>
      </c>
      <c r="D1704" s="40">
        <v>0</v>
      </c>
    </row>
    <row r="1705" spans="1:4" ht="22.5" customHeight="1" x14ac:dyDescent="0.15">
      <c r="A1705" s="16" t="s">
        <v>2943</v>
      </c>
      <c r="B1705" s="12" t="s">
        <v>2944</v>
      </c>
      <c r="C1705" s="13" t="s">
        <v>18</v>
      </c>
      <c r="D1705" s="40">
        <v>0</v>
      </c>
    </row>
    <row r="1706" spans="1:4" ht="22.5" customHeight="1" x14ac:dyDescent="0.15">
      <c r="A1706" s="16" t="s">
        <v>2947</v>
      </c>
      <c r="B1706" s="12" t="s">
        <v>2948</v>
      </c>
      <c r="C1706" s="13" t="s">
        <v>18</v>
      </c>
      <c r="D1706" s="40">
        <v>0</v>
      </c>
    </row>
    <row r="1707" spans="1:4" ht="22.5" customHeight="1" x14ac:dyDescent="0.15">
      <c r="A1707" s="16" t="s">
        <v>493</v>
      </c>
      <c r="B1707" s="12" t="s">
        <v>2949</v>
      </c>
      <c r="C1707" s="13" t="s">
        <v>77</v>
      </c>
      <c r="D1707" s="40">
        <v>0</v>
      </c>
    </row>
    <row r="1708" spans="1:4" ht="22.5" customHeight="1" x14ac:dyDescent="0.15">
      <c r="A1708" s="16" t="s">
        <v>493</v>
      </c>
      <c r="B1708" s="12" t="s">
        <v>2950</v>
      </c>
      <c r="C1708" s="13" t="s">
        <v>77</v>
      </c>
      <c r="D1708" s="40">
        <v>0</v>
      </c>
    </row>
    <row r="1709" spans="1:4" ht="22.5" customHeight="1" x14ac:dyDescent="0.15">
      <c r="A1709" s="16" t="s">
        <v>1548</v>
      </c>
      <c r="B1709" s="12" t="s">
        <v>2951</v>
      </c>
      <c r="C1709" s="13" t="s">
        <v>77</v>
      </c>
      <c r="D1709" s="40">
        <v>0</v>
      </c>
    </row>
    <row r="1710" spans="1:4" ht="22.5" customHeight="1" x14ac:dyDescent="0.15">
      <c r="A1710" s="16" t="s">
        <v>1548</v>
      </c>
      <c r="B1710" s="12" t="s">
        <v>2952</v>
      </c>
      <c r="C1710" s="13" t="s">
        <v>77</v>
      </c>
      <c r="D1710" s="40">
        <v>0</v>
      </c>
    </row>
    <row r="1711" spans="1:4" ht="22.5" customHeight="1" x14ac:dyDescent="0.15">
      <c r="A1711" s="16" t="s">
        <v>57</v>
      </c>
      <c r="B1711" s="12" t="s">
        <v>2953</v>
      </c>
      <c r="C1711" s="13" t="s">
        <v>18</v>
      </c>
      <c r="D1711" s="40">
        <v>0</v>
      </c>
    </row>
    <row r="1712" spans="1:4" ht="22.5" customHeight="1" x14ac:dyDescent="0.15">
      <c r="A1712" s="16" t="s">
        <v>500</v>
      </c>
      <c r="B1712" s="12" t="s">
        <v>2954</v>
      </c>
      <c r="C1712" s="13" t="s">
        <v>18</v>
      </c>
      <c r="D1712" s="40">
        <v>0</v>
      </c>
    </row>
    <row r="1713" spans="1:4" ht="22.5" customHeight="1" x14ac:dyDescent="0.15">
      <c r="A1713" s="16" t="s">
        <v>1563</v>
      </c>
      <c r="B1713" s="12" t="s">
        <v>2955</v>
      </c>
      <c r="C1713" s="13" t="s">
        <v>23</v>
      </c>
      <c r="D1713" s="40">
        <v>0</v>
      </c>
    </row>
    <row r="1714" spans="1:4" ht="22.5" customHeight="1" x14ac:dyDescent="0.15">
      <c r="A1714" s="16" t="s">
        <v>503</v>
      </c>
      <c r="B1714" s="12" t="s">
        <v>2956</v>
      </c>
      <c r="C1714" s="13" t="s">
        <v>83</v>
      </c>
      <c r="D1714" s="40">
        <v>0</v>
      </c>
    </row>
    <row r="1715" spans="1:4" ht="22.5" customHeight="1" x14ac:dyDescent="0.15">
      <c r="A1715" s="16" t="s">
        <v>503</v>
      </c>
      <c r="B1715" s="12" t="s">
        <v>2957</v>
      </c>
      <c r="C1715" s="13" t="s">
        <v>83</v>
      </c>
      <c r="D1715" s="40">
        <v>0</v>
      </c>
    </row>
    <row r="1716" spans="1:4" ht="22.5" customHeight="1" x14ac:dyDescent="0.15">
      <c r="A1716" s="16" t="s">
        <v>2305</v>
      </c>
      <c r="B1716" s="12" t="s">
        <v>2958</v>
      </c>
      <c r="C1716" s="13" t="s">
        <v>136</v>
      </c>
      <c r="D1716" s="40">
        <v>0</v>
      </c>
    </row>
    <row r="1717" spans="1:4" ht="22.5" customHeight="1" x14ac:dyDescent="0.15">
      <c r="A1717" s="16" t="s">
        <v>112</v>
      </c>
      <c r="B1717" s="12" t="s">
        <v>2799</v>
      </c>
      <c r="C1717" s="13" t="s">
        <v>18</v>
      </c>
      <c r="D1717" s="40">
        <v>0</v>
      </c>
    </row>
    <row r="1718" spans="1:4" ht="22.5" customHeight="1" x14ac:dyDescent="0.15">
      <c r="A1718" s="16" t="s">
        <v>2960</v>
      </c>
      <c r="B1718" s="12" t="s">
        <v>2961</v>
      </c>
      <c r="C1718" s="13" t="s">
        <v>30</v>
      </c>
      <c r="D1718" s="40">
        <v>0</v>
      </c>
    </row>
    <row r="1719" spans="1:4" ht="22.5" customHeight="1" x14ac:dyDescent="0.15">
      <c r="A1719" s="16" t="s">
        <v>1625</v>
      </c>
      <c r="B1719" s="12" t="s">
        <v>2962</v>
      </c>
      <c r="C1719" s="13" t="s">
        <v>30</v>
      </c>
      <c r="D1719" s="40">
        <v>0</v>
      </c>
    </row>
    <row r="1720" spans="1:4" ht="22.5" customHeight="1" x14ac:dyDescent="0.15">
      <c r="A1720" s="16" t="s">
        <v>62</v>
      </c>
      <c r="B1720" s="12" t="s">
        <v>2939</v>
      </c>
      <c r="C1720" s="13" t="s">
        <v>88</v>
      </c>
      <c r="D1720" s="40">
        <v>0</v>
      </c>
    </row>
    <row r="1721" spans="1:4" ht="22.5" customHeight="1" x14ac:dyDescent="0.15">
      <c r="A1721" s="16" t="s">
        <v>62</v>
      </c>
      <c r="B1721" s="12" t="s">
        <v>2940</v>
      </c>
      <c r="C1721" s="13" t="s">
        <v>88</v>
      </c>
      <c r="D1721" s="40">
        <v>0</v>
      </c>
    </row>
    <row r="1722" spans="1:4" ht="22.5" customHeight="1" x14ac:dyDescent="0.15">
      <c r="A1722" s="16" t="s">
        <v>523</v>
      </c>
      <c r="B1722" s="12" t="s">
        <v>2963</v>
      </c>
      <c r="C1722" s="13" t="s">
        <v>83</v>
      </c>
      <c r="D1722" s="40">
        <v>0</v>
      </c>
    </row>
    <row r="1723" spans="1:4" ht="22.5" customHeight="1" x14ac:dyDescent="0.15">
      <c r="A1723" s="16" t="s">
        <v>2323</v>
      </c>
      <c r="B1723" s="12" t="s">
        <v>2964</v>
      </c>
      <c r="C1723" s="13" t="s">
        <v>30</v>
      </c>
      <c r="D1723" s="40">
        <v>0</v>
      </c>
    </row>
    <row r="1724" spans="1:4" ht="22.5" customHeight="1" x14ac:dyDescent="0.15">
      <c r="A1724" s="16" t="s">
        <v>534</v>
      </c>
      <c r="B1724" s="12" t="s">
        <v>2965</v>
      </c>
      <c r="C1724" s="13" t="s">
        <v>83</v>
      </c>
      <c r="D1724" s="40">
        <v>0</v>
      </c>
    </row>
    <row r="1725" spans="1:4" ht="22.5" customHeight="1" x14ac:dyDescent="0.15">
      <c r="A1725" s="16" t="s">
        <v>537</v>
      </c>
      <c r="B1725" s="12" t="s">
        <v>2966</v>
      </c>
      <c r="C1725" s="13" t="s">
        <v>18</v>
      </c>
      <c r="D1725" s="40">
        <v>0</v>
      </c>
    </row>
    <row r="1726" spans="1:4" ht="22.5" customHeight="1" x14ac:dyDescent="0.15">
      <c r="A1726" s="16" t="s">
        <v>540</v>
      </c>
      <c r="B1726" s="12" t="s">
        <v>2967</v>
      </c>
      <c r="C1726" s="13" t="s">
        <v>83</v>
      </c>
      <c r="D1726" s="40">
        <v>0</v>
      </c>
    </row>
    <row r="1727" spans="1:4" ht="22.5" customHeight="1" x14ac:dyDescent="0.15">
      <c r="A1727" s="16" t="s">
        <v>549</v>
      </c>
      <c r="B1727" s="12" t="s">
        <v>2968</v>
      </c>
      <c r="C1727" s="13" t="s">
        <v>30</v>
      </c>
      <c r="D1727" s="40">
        <v>0</v>
      </c>
    </row>
    <row r="1728" spans="1:4" ht="22.5" customHeight="1" x14ac:dyDescent="0.15">
      <c r="A1728" s="16" t="s">
        <v>549</v>
      </c>
      <c r="B1728" s="12" t="s">
        <v>2969</v>
      </c>
      <c r="C1728" s="13" t="s">
        <v>88</v>
      </c>
      <c r="D1728" s="40">
        <v>0</v>
      </c>
    </row>
    <row r="1729" spans="1:4" ht="22.5" customHeight="1" x14ac:dyDescent="0.15">
      <c r="A1729" s="16" t="s">
        <v>549</v>
      </c>
      <c r="B1729" s="12" t="s">
        <v>2970</v>
      </c>
      <c r="C1729" s="13" t="s">
        <v>30</v>
      </c>
      <c r="D1729" s="40">
        <v>0</v>
      </c>
    </row>
    <row r="1730" spans="1:4" ht="22.5" customHeight="1" x14ac:dyDescent="0.15">
      <c r="A1730" s="16" t="s">
        <v>2330</v>
      </c>
      <c r="B1730" s="12" t="s">
        <v>2971</v>
      </c>
      <c r="C1730" s="13" t="s">
        <v>88</v>
      </c>
      <c r="D1730" s="40">
        <v>0</v>
      </c>
    </row>
    <row r="1731" spans="1:4" ht="22.5" customHeight="1" x14ac:dyDescent="0.15">
      <c r="A1731" s="16" t="s">
        <v>557</v>
      </c>
      <c r="B1731" s="12" t="s">
        <v>2972</v>
      </c>
      <c r="C1731" s="13" t="s">
        <v>83</v>
      </c>
      <c r="D1731" s="40">
        <v>0</v>
      </c>
    </row>
    <row r="1732" spans="1:4" ht="22.5" customHeight="1" x14ac:dyDescent="0.15">
      <c r="A1732" s="16" t="s">
        <v>663</v>
      </c>
      <c r="B1732" s="12" t="s">
        <v>2973</v>
      </c>
      <c r="C1732" s="13" t="s">
        <v>88</v>
      </c>
      <c r="D1732" s="40">
        <v>0</v>
      </c>
    </row>
    <row r="1733" spans="1:4" ht="22.5" customHeight="1" x14ac:dyDescent="0.15">
      <c r="A1733" s="16" t="s">
        <v>1257</v>
      </c>
      <c r="B1733" s="12" t="s">
        <v>2974</v>
      </c>
      <c r="C1733" s="13" t="s">
        <v>12</v>
      </c>
      <c r="D1733" s="40">
        <v>0</v>
      </c>
    </row>
    <row r="1734" spans="1:4" ht="22.5" customHeight="1" x14ac:dyDescent="0.15">
      <c r="A1734" s="16" t="s">
        <v>1257</v>
      </c>
      <c r="B1734" s="12" t="s">
        <v>2975</v>
      </c>
      <c r="C1734" s="13" t="s">
        <v>18</v>
      </c>
      <c r="D1734" s="40">
        <v>0</v>
      </c>
    </row>
    <row r="1735" spans="1:4" ht="22.5" customHeight="1" x14ac:dyDescent="0.15">
      <c r="A1735" s="16" t="s">
        <v>1265</v>
      </c>
      <c r="B1735" s="12" t="s">
        <v>2976</v>
      </c>
      <c r="C1735" s="13" t="s">
        <v>30</v>
      </c>
      <c r="D1735" s="40">
        <v>0</v>
      </c>
    </row>
    <row r="1736" spans="1:4" ht="22.5" customHeight="1" x14ac:dyDescent="0.15">
      <c r="A1736" s="16" t="s">
        <v>2345</v>
      </c>
      <c r="B1736" s="12" t="s">
        <v>2977</v>
      </c>
      <c r="C1736" s="13" t="s">
        <v>30</v>
      </c>
      <c r="D1736" s="40">
        <v>0</v>
      </c>
    </row>
    <row r="1737" spans="1:4" ht="22.5" customHeight="1" x14ac:dyDescent="0.15">
      <c r="A1737" s="16" t="s">
        <v>572</v>
      </c>
      <c r="B1737" s="12" t="s">
        <v>2978</v>
      </c>
      <c r="C1737" s="13" t="s">
        <v>83</v>
      </c>
      <c r="D1737" s="40">
        <v>0</v>
      </c>
    </row>
    <row r="1738" spans="1:4" ht="22.5" customHeight="1" x14ac:dyDescent="0.15">
      <c r="A1738" s="16" t="s">
        <v>572</v>
      </c>
      <c r="B1738" s="12" t="s">
        <v>2979</v>
      </c>
      <c r="C1738" s="13" t="s">
        <v>83</v>
      </c>
      <c r="D1738" s="40">
        <v>0</v>
      </c>
    </row>
    <row r="1739" spans="1:4" ht="22.5" customHeight="1" x14ac:dyDescent="0.15">
      <c r="A1739" s="16" t="s">
        <v>572</v>
      </c>
      <c r="B1739" s="12" t="s">
        <v>2980</v>
      </c>
      <c r="C1739" s="13" t="s">
        <v>30</v>
      </c>
      <c r="D1739" s="40">
        <v>0</v>
      </c>
    </row>
    <row r="1740" spans="1:4" ht="22.5" customHeight="1" x14ac:dyDescent="0.15">
      <c r="A1740" s="16" t="s">
        <v>577</v>
      </c>
      <c r="B1740" s="12" t="s">
        <v>2981</v>
      </c>
      <c r="C1740" s="13" t="s">
        <v>18</v>
      </c>
      <c r="D1740" s="40">
        <v>0</v>
      </c>
    </row>
    <row r="1741" spans="1:4" ht="22.5" customHeight="1" x14ac:dyDescent="0.15">
      <c r="A1741" s="16" t="s">
        <v>577</v>
      </c>
      <c r="B1741" s="12" t="s">
        <v>2982</v>
      </c>
      <c r="C1741" s="13" t="s">
        <v>18</v>
      </c>
      <c r="D1741" s="40">
        <v>0</v>
      </c>
    </row>
    <row r="1742" spans="1:4" ht="22.5" customHeight="1" x14ac:dyDescent="0.15">
      <c r="A1742" s="16" t="s">
        <v>577</v>
      </c>
      <c r="B1742" s="12" t="s">
        <v>2983</v>
      </c>
      <c r="C1742" s="13" t="s">
        <v>83</v>
      </c>
      <c r="D1742" s="40">
        <v>0</v>
      </c>
    </row>
    <row r="1743" spans="1:4" ht="22.5" customHeight="1" x14ac:dyDescent="0.15">
      <c r="A1743" s="16" t="s">
        <v>577</v>
      </c>
      <c r="B1743" s="12" t="s">
        <v>2984</v>
      </c>
      <c r="C1743" s="13" t="s">
        <v>83</v>
      </c>
      <c r="D1743" s="40">
        <v>0</v>
      </c>
    </row>
    <row r="1744" spans="1:4" ht="22.5" customHeight="1" x14ac:dyDescent="0.15">
      <c r="A1744" s="16" t="s">
        <v>582</v>
      </c>
      <c r="B1744" s="12" t="s">
        <v>2985</v>
      </c>
      <c r="C1744" s="13" t="s">
        <v>83</v>
      </c>
      <c r="D1744" s="40">
        <v>0</v>
      </c>
    </row>
    <row r="1745" spans="1:4" ht="22.5" customHeight="1" x14ac:dyDescent="0.15">
      <c r="A1745" s="16" t="s">
        <v>2988</v>
      </c>
      <c r="B1745" s="12" t="s">
        <v>2989</v>
      </c>
      <c r="C1745" s="13" t="s">
        <v>136</v>
      </c>
      <c r="D1745" s="40">
        <v>0</v>
      </c>
    </row>
    <row r="1746" spans="1:4" ht="22.5" customHeight="1" x14ac:dyDescent="0.15">
      <c r="A1746" s="16" t="s">
        <v>594</v>
      </c>
      <c r="B1746" s="12" t="s">
        <v>2990</v>
      </c>
      <c r="C1746" s="13" t="s">
        <v>23</v>
      </c>
      <c r="D1746" s="40">
        <v>0</v>
      </c>
    </row>
    <row r="1747" spans="1:4" ht="22.5" customHeight="1" x14ac:dyDescent="0.15">
      <c r="A1747" s="16" t="s">
        <v>594</v>
      </c>
      <c r="B1747" s="12" t="s">
        <v>2991</v>
      </c>
      <c r="C1747" s="13" t="s">
        <v>23</v>
      </c>
      <c r="D1747" s="40">
        <v>0</v>
      </c>
    </row>
    <row r="1748" spans="1:4" ht="22.5" customHeight="1" x14ac:dyDescent="0.15">
      <c r="A1748" s="16" t="s">
        <v>597</v>
      </c>
      <c r="B1748" s="12" t="s">
        <v>2992</v>
      </c>
      <c r="C1748" s="13" t="s">
        <v>30</v>
      </c>
      <c r="D1748" s="40">
        <v>0</v>
      </c>
    </row>
    <row r="1749" spans="1:4" ht="22.5" customHeight="1" x14ac:dyDescent="0.15">
      <c r="A1749" s="16" t="s">
        <v>597</v>
      </c>
      <c r="B1749" s="12" t="s">
        <v>2993</v>
      </c>
      <c r="C1749" s="13" t="s">
        <v>30</v>
      </c>
      <c r="D1749" s="40">
        <v>0</v>
      </c>
    </row>
    <row r="1750" spans="1:4" ht="22.5" customHeight="1" x14ac:dyDescent="0.15">
      <c r="A1750" s="16" t="s">
        <v>597</v>
      </c>
      <c r="B1750" s="12" t="s">
        <v>2994</v>
      </c>
      <c r="C1750" s="13" t="s">
        <v>30</v>
      </c>
      <c r="D1750" s="40">
        <v>0</v>
      </c>
    </row>
    <row r="1751" spans="1:4" ht="22.5" customHeight="1" x14ac:dyDescent="0.15">
      <c r="A1751" s="16" t="s">
        <v>560</v>
      </c>
      <c r="B1751" s="12" t="s">
        <v>2995</v>
      </c>
      <c r="C1751" s="13" t="s">
        <v>30</v>
      </c>
      <c r="D1751" s="40">
        <v>0</v>
      </c>
    </row>
    <row r="1752" spans="1:4" ht="22.5" customHeight="1" x14ac:dyDescent="0.15">
      <c r="A1752" s="16" t="s">
        <v>1165</v>
      </c>
      <c r="B1752" s="12" t="s">
        <v>2996</v>
      </c>
      <c r="C1752" s="13" t="s">
        <v>18</v>
      </c>
      <c r="D1752" s="40">
        <v>0</v>
      </c>
    </row>
    <row r="1753" spans="1:4" ht="22.5" customHeight="1" x14ac:dyDescent="0.15">
      <c r="A1753" s="16" t="s">
        <v>1229</v>
      </c>
      <c r="B1753" s="12" t="s">
        <v>2997</v>
      </c>
      <c r="C1753" s="13" t="s">
        <v>18</v>
      </c>
      <c r="D1753" s="40">
        <v>0</v>
      </c>
    </row>
    <row r="1754" spans="1:4" ht="22.5" customHeight="1" x14ac:dyDescent="0.15">
      <c r="A1754" s="16" t="s">
        <v>3000</v>
      </c>
      <c r="B1754" s="12" t="s">
        <v>3001</v>
      </c>
      <c r="C1754" s="13" t="s">
        <v>12</v>
      </c>
      <c r="D1754" s="40">
        <v>0</v>
      </c>
    </row>
    <row r="1755" spans="1:4" ht="22.5" customHeight="1" x14ac:dyDescent="0.15">
      <c r="A1755" s="16" t="s">
        <v>32</v>
      </c>
      <c r="B1755" s="12" t="s">
        <v>3003</v>
      </c>
      <c r="C1755" s="13" t="s">
        <v>30</v>
      </c>
      <c r="D1755" s="40">
        <v>0</v>
      </c>
    </row>
    <row r="1756" spans="1:4" ht="22.5" customHeight="1" x14ac:dyDescent="0.15">
      <c r="A1756" s="16" t="s">
        <v>401</v>
      </c>
      <c r="B1756" s="12" t="s">
        <v>3005</v>
      </c>
      <c r="C1756" s="13" t="s">
        <v>12</v>
      </c>
      <c r="D1756" s="40">
        <v>0</v>
      </c>
    </row>
    <row r="1757" spans="1:4" ht="22.5" customHeight="1" x14ac:dyDescent="0.15">
      <c r="A1757" s="16" t="s">
        <v>401</v>
      </c>
      <c r="B1757" s="12" t="s">
        <v>3006</v>
      </c>
      <c r="C1757" s="13" t="s">
        <v>12</v>
      </c>
      <c r="D1757" s="40">
        <v>0</v>
      </c>
    </row>
    <row r="1758" spans="1:4" ht="22.5" customHeight="1" x14ac:dyDescent="0.15">
      <c r="A1758" s="16" t="s">
        <v>429</v>
      </c>
      <c r="B1758" s="12" t="s">
        <v>3007</v>
      </c>
      <c r="C1758" s="13" t="s">
        <v>83</v>
      </c>
      <c r="D1758" s="40">
        <v>0</v>
      </c>
    </row>
    <row r="1759" spans="1:4" ht="22.5" customHeight="1" x14ac:dyDescent="0.15">
      <c r="A1759" s="16" t="s">
        <v>1185</v>
      </c>
      <c r="B1759" s="12" t="s">
        <v>3008</v>
      </c>
      <c r="C1759" s="13" t="s">
        <v>83</v>
      </c>
      <c r="D1759" s="40">
        <v>0</v>
      </c>
    </row>
    <row r="1760" spans="1:4" ht="22.5" customHeight="1" x14ac:dyDescent="0.15">
      <c r="A1760" s="16" t="s">
        <v>1210</v>
      </c>
      <c r="B1760" s="12" t="s">
        <v>3008</v>
      </c>
      <c r="C1760" s="13" t="s">
        <v>83</v>
      </c>
      <c r="D1760" s="40">
        <v>0</v>
      </c>
    </row>
    <row r="1761" spans="1:4" ht="22.5" customHeight="1" x14ac:dyDescent="0.15">
      <c r="A1761" s="16" t="s">
        <v>497</v>
      </c>
      <c r="B1761" s="12" t="s">
        <v>3009</v>
      </c>
      <c r="C1761" s="13" t="s">
        <v>83</v>
      </c>
      <c r="D1761" s="40">
        <v>0</v>
      </c>
    </row>
    <row r="1762" spans="1:4" ht="22.5" customHeight="1" x14ac:dyDescent="0.15">
      <c r="A1762" s="16" t="s">
        <v>636</v>
      </c>
      <c r="B1762" s="12" t="s">
        <v>3010</v>
      </c>
      <c r="C1762" s="13" t="s">
        <v>83</v>
      </c>
      <c r="D1762" s="40">
        <v>0</v>
      </c>
    </row>
    <row r="1763" spans="1:4" ht="22.5" customHeight="1" x14ac:dyDescent="0.15">
      <c r="A1763" s="16" t="s">
        <v>133</v>
      </c>
      <c r="B1763" s="12" t="s">
        <v>3012</v>
      </c>
      <c r="C1763" s="13" t="s">
        <v>23</v>
      </c>
      <c r="D1763" s="40">
        <v>0</v>
      </c>
    </row>
    <row r="1764" spans="1:4" ht="22.5" customHeight="1" x14ac:dyDescent="0.15">
      <c r="A1764" s="16" t="s">
        <v>170</v>
      </c>
      <c r="B1764" s="12" t="s">
        <v>3013</v>
      </c>
      <c r="C1764" s="13" t="s">
        <v>12</v>
      </c>
      <c r="D1764" s="40">
        <v>0</v>
      </c>
    </row>
    <row r="1765" spans="1:4" ht="22.5" customHeight="1" x14ac:dyDescent="0.15">
      <c r="A1765" s="16" t="s">
        <v>234</v>
      </c>
      <c r="B1765" s="12" t="s">
        <v>3014</v>
      </c>
      <c r="C1765" s="13" t="s">
        <v>83</v>
      </c>
      <c r="D1765" s="40">
        <v>0</v>
      </c>
    </row>
    <row r="1766" spans="1:4" ht="22.5" customHeight="1" x14ac:dyDescent="0.15">
      <c r="A1766" s="16" t="s">
        <v>946</v>
      </c>
      <c r="B1766" s="12" t="s">
        <v>3015</v>
      </c>
      <c r="C1766" s="13" t="s">
        <v>83</v>
      </c>
      <c r="D1766" s="40">
        <v>0</v>
      </c>
    </row>
    <row r="1767" spans="1:4" ht="22.5" customHeight="1" x14ac:dyDescent="0.15">
      <c r="A1767" s="16" t="s">
        <v>327</v>
      </c>
      <c r="B1767" s="12" t="s">
        <v>3016</v>
      </c>
      <c r="C1767" s="13" t="s">
        <v>18</v>
      </c>
      <c r="D1767" s="40">
        <v>0</v>
      </c>
    </row>
    <row r="1768" spans="1:4" ht="22.5" customHeight="1" x14ac:dyDescent="0.15">
      <c r="A1768" s="16" t="s">
        <v>347</v>
      </c>
      <c r="B1768" s="12" t="s">
        <v>3017</v>
      </c>
      <c r="C1768" s="13" t="s">
        <v>23</v>
      </c>
      <c r="D1768" s="40">
        <v>0</v>
      </c>
    </row>
    <row r="1769" spans="1:4" ht="22.5" customHeight="1" x14ac:dyDescent="0.15">
      <c r="A1769" s="16" t="s">
        <v>1013</v>
      </c>
      <c r="B1769" s="12" t="s">
        <v>3018</v>
      </c>
      <c r="C1769" s="13" t="s">
        <v>83</v>
      </c>
      <c r="D1769" s="40">
        <v>0</v>
      </c>
    </row>
    <row r="1770" spans="1:4" ht="22.5" customHeight="1" x14ac:dyDescent="0.15">
      <c r="A1770" s="16" t="s">
        <v>53</v>
      </c>
      <c r="B1770" s="12" t="s">
        <v>3019</v>
      </c>
      <c r="C1770" s="13" t="s">
        <v>83</v>
      </c>
      <c r="D1770" s="40">
        <v>0</v>
      </c>
    </row>
    <row r="1771" spans="1:4" ht="22.5" customHeight="1" x14ac:dyDescent="0.15">
      <c r="A1771" s="16" t="s">
        <v>1557</v>
      </c>
      <c r="B1771" s="12" t="s">
        <v>3019</v>
      </c>
      <c r="C1771" s="13" t="s">
        <v>83</v>
      </c>
      <c r="D1771" s="40">
        <v>0</v>
      </c>
    </row>
    <row r="1772" spans="1:4" ht="22.5" customHeight="1" x14ac:dyDescent="0.15">
      <c r="A1772" s="16" t="s">
        <v>540</v>
      </c>
      <c r="B1772" s="12" t="s">
        <v>3020</v>
      </c>
      <c r="C1772" s="13" t="s">
        <v>83</v>
      </c>
      <c r="D1772" s="40">
        <v>0</v>
      </c>
    </row>
    <row r="1773" spans="1:4" ht="22.5" customHeight="1" x14ac:dyDescent="0.15">
      <c r="A1773" s="16" t="s">
        <v>463</v>
      </c>
      <c r="B1773" s="12" t="s">
        <v>3021</v>
      </c>
      <c r="C1773" s="13" t="s">
        <v>30</v>
      </c>
      <c r="D1773" s="40">
        <v>0</v>
      </c>
    </row>
    <row r="1774" spans="1:4" ht="22.5" customHeight="1" x14ac:dyDescent="0.15">
      <c r="A1774" s="16" t="s">
        <v>347</v>
      </c>
      <c r="B1774" s="12" t="s">
        <v>3023</v>
      </c>
      <c r="C1774" s="13" t="s">
        <v>30</v>
      </c>
      <c r="D1774" s="40">
        <v>0</v>
      </c>
    </row>
    <row r="1775" spans="1:4" ht="22.5" customHeight="1" x14ac:dyDescent="0.15">
      <c r="A1775" s="16" t="s">
        <v>546</v>
      </c>
      <c r="B1775" s="12" t="s">
        <v>3025</v>
      </c>
      <c r="C1775" s="13" t="s">
        <v>30</v>
      </c>
      <c r="D1775" s="40">
        <v>0</v>
      </c>
    </row>
    <row r="1776" spans="1:4" ht="22.5" customHeight="1" x14ac:dyDescent="0.15">
      <c r="A1776" s="16" t="s">
        <v>1300</v>
      </c>
      <c r="B1776" s="12" t="s">
        <v>3026</v>
      </c>
      <c r="C1776" s="13" t="s">
        <v>18</v>
      </c>
      <c r="D1776" s="40">
        <v>0</v>
      </c>
    </row>
    <row r="1777" spans="1:4" ht="22.5" customHeight="1" x14ac:dyDescent="0.15">
      <c r="A1777" s="16" t="s">
        <v>103</v>
      </c>
      <c r="B1777" s="12" t="s">
        <v>3027</v>
      </c>
      <c r="C1777" s="13" t="s">
        <v>136</v>
      </c>
      <c r="D1777" s="40">
        <v>0</v>
      </c>
    </row>
    <row r="1778" spans="1:4" ht="22.5" customHeight="1" x14ac:dyDescent="0.15">
      <c r="A1778" s="16" t="s">
        <v>832</v>
      </c>
      <c r="B1778" s="12" t="s">
        <v>3029</v>
      </c>
      <c r="C1778" s="13" t="s">
        <v>18</v>
      </c>
      <c r="D1778" s="40">
        <v>0</v>
      </c>
    </row>
    <row r="1779" spans="1:4" ht="22.5" customHeight="1" x14ac:dyDescent="0.15">
      <c r="A1779" s="16" t="s">
        <v>133</v>
      </c>
      <c r="B1779" s="12" t="s">
        <v>3030</v>
      </c>
      <c r="C1779" s="13" t="s">
        <v>88</v>
      </c>
      <c r="D1779" s="40">
        <v>0</v>
      </c>
    </row>
    <row r="1780" spans="1:4" ht="22.5" customHeight="1" x14ac:dyDescent="0.15">
      <c r="A1780" s="16" t="s">
        <v>696</v>
      </c>
      <c r="B1780" s="12" t="s">
        <v>3032</v>
      </c>
      <c r="C1780" s="13" t="s">
        <v>12</v>
      </c>
      <c r="D1780" s="40">
        <v>0</v>
      </c>
    </row>
    <row r="1781" spans="1:4" ht="22.5" customHeight="1" x14ac:dyDescent="0.15">
      <c r="A1781" s="16" t="s">
        <v>668</v>
      </c>
      <c r="B1781" s="12" t="s">
        <v>3034</v>
      </c>
      <c r="C1781" s="13" t="s">
        <v>12</v>
      </c>
      <c r="D1781" s="40">
        <v>0</v>
      </c>
    </row>
    <row r="1782" spans="1:4" ht="22.5" customHeight="1" x14ac:dyDescent="0.15">
      <c r="A1782" s="16" t="s">
        <v>45</v>
      </c>
      <c r="B1782" s="12" t="s">
        <v>3035</v>
      </c>
      <c r="C1782" s="13" t="s">
        <v>23</v>
      </c>
      <c r="D1782" s="40">
        <v>0</v>
      </c>
    </row>
    <row r="1783" spans="1:4" ht="22.5" customHeight="1" x14ac:dyDescent="0.15">
      <c r="A1783" s="16" t="s">
        <v>103</v>
      </c>
      <c r="B1783" s="12" t="s">
        <v>3036</v>
      </c>
      <c r="C1783" s="13" t="s">
        <v>136</v>
      </c>
      <c r="D1783" s="40">
        <v>0</v>
      </c>
    </row>
    <row r="1784" spans="1:4" ht="22.5" customHeight="1" x14ac:dyDescent="0.15">
      <c r="A1784" s="16" t="s">
        <v>239</v>
      </c>
      <c r="B1784" s="12" t="s">
        <v>3038</v>
      </c>
      <c r="C1784" s="13" t="s">
        <v>18</v>
      </c>
      <c r="D1784" s="40">
        <v>0</v>
      </c>
    </row>
    <row r="1785" spans="1:4" ht="22.5" customHeight="1" x14ac:dyDescent="0.15">
      <c r="A1785" s="16" t="s">
        <v>249</v>
      </c>
      <c r="B1785" s="12" t="s">
        <v>3039</v>
      </c>
      <c r="C1785" s="13" t="s">
        <v>18</v>
      </c>
      <c r="D1785" s="40">
        <v>0</v>
      </c>
    </row>
    <row r="1786" spans="1:4" ht="22.5" customHeight="1" x14ac:dyDescent="0.15">
      <c r="A1786" s="16" t="s">
        <v>256</v>
      </c>
      <c r="B1786" s="12" t="s">
        <v>3040</v>
      </c>
      <c r="C1786" s="13" t="s">
        <v>18</v>
      </c>
      <c r="D1786" s="40">
        <v>0</v>
      </c>
    </row>
    <row r="1787" spans="1:4" ht="22.5" customHeight="1" x14ac:dyDescent="0.15">
      <c r="A1787" s="16" t="s">
        <v>934</v>
      </c>
      <c r="B1787" s="12" t="s">
        <v>3041</v>
      </c>
      <c r="C1787" s="13" t="s">
        <v>136</v>
      </c>
      <c r="D1787" s="40">
        <v>0</v>
      </c>
    </row>
    <row r="1788" spans="1:4" ht="22.5" customHeight="1" x14ac:dyDescent="0.15">
      <c r="A1788" s="16" t="s">
        <v>934</v>
      </c>
      <c r="B1788" s="12" t="s">
        <v>3041</v>
      </c>
      <c r="C1788" s="13" t="s">
        <v>136</v>
      </c>
      <c r="D1788" s="40">
        <v>0</v>
      </c>
    </row>
    <row r="1789" spans="1:4" ht="22.5" customHeight="1" x14ac:dyDescent="0.15">
      <c r="A1789" s="16" t="s">
        <v>934</v>
      </c>
      <c r="B1789" s="12" t="s">
        <v>3041</v>
      </c>
      <c r="C1789" s="13" t="s">
        <v>136</v>
      </c>
      <c r="D1789" s="40">
        <v>0</v>
      </c>
    </row>
    <row r="1790" spans="1:4" ht="22.5" customHeight="1" x14ac:dyDescent="0.15">
      <c r="A1790" s="16" t="s">
        <v>934</v>
      </c>
      <c r="B1790" s="12" t="s">
        <v>3041</v>
      </c>
      <c r="C1790" s="13" t="s">
        <v>136</v>
      </c>
      <c r="D1790" s="40">
        <v>0</v>
      </c>
    </row>
    <row r="1791" spans="1:4" ht="22.5" customHeight="1" x14ac:dyDescent="0.15">
      <c r="A1791" s="16" t="s">
        <v>950</v>
      </c>
      <c r="B1791" s="12" t="s">
        <v>3042</v>
      </c>
      <c r="C1791" s="13" t="s">
        <v>88</v>
      </c>
      <c r="D1791" s="40">
        <v>0</v>
      </c>
    </row>
    <row r="1792" spans="1:4" ht="22.5" customHeight="1" x14ac:dyDescent="0.15">
      <c r="A1792" s="16" t="s">
        <v>2184</v>
      </c>
      <c r="B1792" s="12" t="s">
        <v>3043</v>
      </c>
      <c r="C1792" s="13" t="s">
        <v>77</v>
      </c>
      <c r="D1792" s="40">
        <v>0</v>
      </c>
    </row>
    <row r="1793" spans="1:4" ht="22.5" customHeight="1" x14ac:dyDescent="0.15">
      <c r="A1793" s="16" t="s">
        <v>1094</v>
      </c>
      <c r="B1793" s="12" t="s">
        <v>3044</v>
      </c>
      <c r="C1793" s="13" t="s">
        <v>23</v>
      </c>
      <c r="D1793" s="40">
        <v>0</v>
      </c>
    </row>
    <row r="1794" spans="1:4" ht="22.5" customHeight="1" x14ac:dyDescent="0.15">
      <c r="A1794" s="16" t="s">
        <v>1517</v>
      </c>
      <c r="B1794" s="12" t="s">
        <v>3038</v>
      </c>
      <c r="C1794" s="13" t="s">
        <v>18</v>
      </c>
      <c r="D1794" s="40">
        <v>0</v>
      </c>
    </row>
    <row r="1795" spans="1:4" ht="22.5" customHeight="1" x14ac:dyDescent="0.15">
      <c r="A1795" s="16" t="s">
        <v>1155</v>
      </c>
      <c r="B1795" s="12" t="s">
        <v>3041</v>
      </c>
      <c r="C1795" s="13" t="s">
        <v>136</v>
      </c>
      <c r="D1795" s="40">
        <v>0</v>
      </c>
    </row>
    <row r="1796" spans="1:4" ht="22.5" customHeight="1" x14ac:dyDescent="0.15">
      <c r="A1796" s="16" t="s">
        <v>1155</v>
      </c>
      <c r="B1796" s="12" t="s">
        <v>3041</v>
      </c>
      <c r="C1796" s="13" t="s">
        <v>136</v>
      </c>
      <c r="D1796" s="40">
        <v>0</v>
      </c>
    </row>
    <row r="1797" spans="1:4" ht="22.5" customHeight="1" x14ac:dyDescent="0.15">
      <c r="A1797" s="16" t="s">
        <v>1155</v>
      </c>
      <c r="B1797" s="12" t="s">
        <v>3041</v>
      </c>
      <c r="C1797" s="13" t="s">
        <v>136</v>
      </c>
      <c r="D1797" s="40">
        <v>0</v>
      </c>
    </row>
    <row r="1798" spans="1:4" ht="22.5" customHeight="1" x14ac:dyDescent="0.15">
      <c r="A1798" s="16" t="s">
        <v>1155</v>
      </c>
      <c r="B1798" s="12" t="s">
        <v>3041</v>
      </c>
      <c r="C1798" s="13" t="s">
        <v>136</v>
      </c>
      <c r="D1798" s="40">
        <v>0</v>
      </c>
    </row>
    <row r="1799" spans="1:4" ht="22.5" customHeight="1" x14ac:dyDescent="0.15">
      <c r="A1799" s="16" t="s">
        <v>1234</v>
      </c>
      <c r="B1799" s="12" t="s">
        <v>3045</v>
      </c>
      <c r="C1799" s="13" t="s">
        <v>88</v>
      </c>
      <c r="D1799" s="40">
        <v>0</v>
      </c>
    </row>
    <row r="1800" spans="1:4" ht="22.5" customHeight="1" x14ac:dyDescent="0.15">
      <c r="A1800" s="16" t="s">
        <v>2323</v>
      </c>
      <c r="B1800" s="12" t="s">
        <v>3046</v>
      </c>
      <c r="C1800" s="13" t="s">
        <v>30</v>
      </c>
      <c r="D1800" s="40">
        <v>0</v>
      </c>
    </row>
    <row r="1801" spans="1:4" ht="22.5" customHeight="1" x14ac:dyDescent="0.15">
      <c r="A1801" s="16" t="s">
        <v>107</v>
      </c>
      <c r="B1801" s="12" t="s">
        <v>3047</v>
      </c>
      <c r="C1801" s="13" t="s">
        <v>18</v>
      </c>
      <c r="D1801" s="40">
        <v>0</v>
      </c>
    </row>
    <row r="1802" spans="1:4" ht="22.5" customHeight="1" x14ac:dyDescent="0.15">
      <c r="A1802" s="16" t="s">
        <v>234</v>
      </c>
      <c r="B1802" s="12" t="s">
        <v>3049</v>
      </c>
      <c r="C1802" s="13" t="s">
        <v>88</v>
      </c>
      <c r="D1802" s="40">
        <v>0</v>
      </c>
    </row>
    <row r="1803" spans="1:4" ht="22.5" customHeight="1" x14ac:dyDescent="0.15">
      <c r="A1803" s="16" t="s">
        <v>950</v>
      </c>
      <c r="B1803" s="12" t="s">
        <v>3051</v>
      </c>
      <c r="C1803" s="13" t="s">
        <v>88</v>
      </c>
      <c r="D1803" s="40">
        <v>0</v>
      </c>
    </row>
    <row r="1804" spans="1:4" ht="22.5" customHeight="1" x14ac:dyDescent="0.15">
      <c r="A1804" s="16" t="s">
        <v>112</v>
      </c>
      <c r="B1804" s="12" t="s">
        <v>3047</v>
      </c>
      <c r="C1804" s="13" t="s">
        <v>18</v>
      </c>
      <c r="D1804" s="40">
        <v>0</v>
      </c>
    </row>
    <row r="1805" spans="1:4" ht="22.5" customHeight="1" x14ac:dyDescent="0.15">
      <c r="A1805" s="16" t="s">
        <v>166</v>
      </c>
      <c r="B1805" s="12" t="s">
        <v>3052</v>
      </c>
      <c r="C1805" s="13" t="s">
        <v>12</v>
      </c>
      <c r="D1805" s="40">
        <v>0</v>
      </c>
    </row>
    <row r="1806" spans="1:4" ht="22.5" customHeight="1" x14ac:dyDescent="0.15">
      <c r="A1806" s="16" t="s">
        <v>170</v>
      </c>
      <c r="B1806" s="12" t="s">
        <v>3053</v>
      </c>
      <c r="C1806" s="13" t="s">
        <v>12</v>
      </c>
      <c r="D1806" s="40">
        <v>0</v>
      </c>
    </row>
    <row r="1807" spans="1:4" ht="22.5" customHeight="1" x14ac:dyDescent="0.15">
      <c r="A1807" s="16" t="s">
        <v>107</v>
      </c>
      <c r="B1807" s="12" t="s">
        <v>3054</v>
      </c>
      <c r="C1807" s="13" t="s">
        <v>18</v>
      </c>
      <c r="D1807" s="40">
        <v>0</v>
      </c>
    </row>
    <row r="1808" spans="1:4" ht="22.5" customHeight="1" x14ac:dyDescent="0.15">
      <c r="A1808" s="16" t="s">
        <v>600</v>
      </c>
      <c r="B1808" s="12" t="s">
        <v>3055</v>
      </c>
      <c r="C1808" s="13" t="s">
        <v>342</v>
      </c>
      <c r="D1808" s="40">
        <v>0</v>
      </c>
    </row>
    <row r="1809" spans="1:4" ht="22.5" customHeight="1" x14ac:dyDescent="0.15">
      <c r="A1809" s="16" t="s">
        <v>822</v>
      </c>
      <c r="B1809" s="12" t="s">
        <v>3056</v>
      </c>
      <c r="C1809" s="13" t="s">
        <v>18</v>
      </c>
      <c r="D1809" s="40">
        <v>0</v>
      </c>
    </row>
    <row r="1810" spans="1:4" ht="22.5" customHeight="1" x14ac:dyDescent="0.15">
      <c r="A1810" s="16" t="s">
        <v>2831</v>
      </c>
      <c r="B1810" s="12" t="s">
        <v>3057</v>
      </c>
      <c r="C1810" s="13" t="s">
        <v>18</v>
      </c>
      <c r="D1810" s="40">
        <v>0</v>
      </c>
    </row>
    <row r="1811" spans="1:4" ht="22.5" customHeight="1" x14ac:dyDescent="0.15">
      <c r="A1811" s="16" t="s">
        <v>230</v>
      </c>
      <c r="B1811" s="12" t="s">
        <v>3058</v>
      </c>
      <c r="C1811" s="13" t="s">
        <v>18</v>
      </c>
      <c r="D1811" s="40">
        <v>0</v>
      </c>
    </row>
    <row r="1812" spans="1:4" ht="22.5" customHeight="1" x14ac:dyDescent="0.15">
      <c r="A1812" s="16" t="s">
        <v>234</v>
      </c>
      <c r="B1812" s="12" t="s">
        <v>3059</v>
      </c>
      <c r="C1812" s="13" t="s">
        <v>30</v>
      </c>
      <c r="D1812" s="40">
        <v>0</v>
      </c>
    </row>
    <row r="1813" spans="1:4" ht="22.5" customHeight="1" x14ac:dyDescent="0.15">
      <c r="A1813" s="16" t="s">
        <v>327</v>
      </c>
      <c r="B1813" s="12" t="s">
        <v>3060</v>
      </c>
      <c r="C1813" s="13" t="s">
        <v>30</v>
      </c>
      <c r="D1813" s="40">
        <v>0</v>
      </c>
    </row>
    <row r="1814" spans="1:4" ht="22.5" customHeight="1" x14ac:dyDescent="0.15">
      <c r="A1814" s="16" t="s">
        <v>1057</v>
      </c>
      <c r="B1814" s="12" t="s">
        <v>3061</v>
      </c>
      <c r="C1814" s="13" t="s">
        <v>342</v>
      </c>
      <c r="D1814" s="40">
        <v>0</v>
      </c>
    </row>
    <row r="1815" spans="1:4" ht="22.5" customHeight="1" x14ac:dyDescent="0.15">
      <c r="A1815" s="16" t="s">
        <v>395</v>
      </c>
      <c r="B1815" s="12" t="s">
        <v>3062</v>
      </c>
      <c r="C1815" s="13" t="s">
        <v>12</v>
      </c>
      <c r="D1815" s="40">
        <v>0</v>
      </c>
    </row>
    <row r="1816" spans="1:4" ht="22.5" customHeight="1" x14ac:dyDescent="0.15">
      <c r="A1816" s="16" t="s">
        <v>395</v>
      </c>
      <c r="B1816" s="12" t="s">
        <v>3063</v>
      </c>
      <c r="C1816" s="13" t="s">
        <v>18</v>
      </c>
      <c r="D1816" s="40">
        <v>0</v>
      </c>
    </row>
    <row r="1817" spans="1:4" ht="22.5" customHeight="1" x14ac:dyDescent="0.15">
      <c r="A1817" s="16" t="s">
        <v>94</v>
      </c>
      <c r="B1817" s="12" t="s">
        <v>3064</v>
      </c>
      <c r="C1817" s="13" t="s">
        <v>30</v>
      </c>
      <c r="D1817" s="40">
        <v>0</v>
      </c>
    </row>
    <row r="1818" spans="1:4" ht="22.5" customHeight="1" x14ac:dyDescent="0.15">
      <c r="A1818" s="16" t="s">
        <v>463</v>
      </c>
      <c r="B1818" s="12" t="s">
        <v>3060</v>
      </c>
      <c r="C1818" s="13" t="s">
        <v>30</v>
      </c>
      <c r="D1818" s="40">
        <v>0</v>
      </c>
    </row>
    <row r="1819" spans="1:4" ht="22.5" customHeight="1" x14ac:dyDescent="0.15">
      <c r="A1819" s="16" t="s">
        <v>703</v>
      </c>
      <c r="B1819" s="12" t="s">
        <v>3065</v>
      </c>
      <c r="C1819" s="13" t="s">
        <v>18</v>
      </c>
      <c r="D1819" s="40">
        <v>602</v>
      </c>
    </row>
    <row r="1820" spans="1:4" ht="22.5" customHeight="1" x14ac:dyDescent="0.15">
      <c r="A1820" s="16" t="s">
        <v>703</v>
      </c>
      <c r="B1820" s="12" t="s">
        <v>3066</v>
      </c>
      <c r="C1820" s="13" t="s">
        <v>18</v>
      </c>
      <c r="D1820" s="40">
        <v>0</v>
      </c>
    </row>
    <row r="1821" spans="1:4" ht="22.5" customHeight="1" x14ac:dyDescent="0.15">
      <c r="A1821" s="16" t="s">
        <v>703</v>
      </c>
      <c r="B1821" s="12" t="s">
        <v>3067</v>
      </c>
      <c r="C1821" s="13" t="s">
        <v>18</v>
      </c>
      <c r="D1821" s="40">
        <v>0</v>
      </c>
    </row>
    <row r="1822" spans="1:4" ht="22.5" customHeight="1" x14ac:dyDescent="0.15">
      <c r="A1822" s="16" t="s">
        <v>703</v>
      </c>
      <c r="B1822" s="12" t="s">
        <v>3068</v>
      </c>
      <c r="C1822" s="13" t="s">
        <v>136</v>
      </c>
      <c r="D1822" s="40">
        <v>0</v>
      </c>
    </row>
    <row r="1823" spans="1:4" ht="22.5" customHeight="1" x14ac:dyDescent="0.15">
      <c r="A1823" s="16" t="s">
        <v>1185</v>
      </c>
      <c r="B1823" s="12" t="s">
        <v>3069</v>
      </c>
      <c r="C1823" s="13" t="s">
        <v>136</v>
      </c>
      <c r="D1823" s="40">
        <v>0</v>
      </c>
    </row>
    <row r="1824" spans="1:4" ht="22.5" customHeight="1" x14ac:dyDescent="0.15">
      <c r="A1824" s="16" t="s">
        <v>1191</v>
      </c>
      <c r="B1824" s="12" t="s">
        <v>3070</v>
      </c>
      <c r="C1824" s="13" t="s">
        <v>18</v>
      </c>
      <c r="D1824" s="40">
        <v>0</v>
      </c>
    </row>
    <row r="1825" spans="1:4" ht="22.5" customHeight="1" x14ac:dyDescent="0.15">
      <c r="A1825" s="16" t="s">
        <v>1207</v>
      </c>
      <c r="B1825" s="12" t="s">
        <v>3071</v>
      </c>
      <c r="C1825" s="13" t="s">
        <v>83</v>
      </c>
      <c r="D1825" s="40">
        <v>0</v>
      </c>
    </row>
    <row r="1826" spans="1:4" ht="22.5" customHeight="1" x14ac:dyDescent="0.15">
      <c r="A1826" s="16" t="s">
        <v>57</v>
      </c>
      <c r="B1826" s="12" t="s">
        <v>3072</v>
      </c>
      <c r="C1826" s="13" t="s">
        <v>136</v>
      </c>
      <c r="D1826" s="40">
        <v>0</v>
      </c>
    </row>
    <row r="1827" spans="1:4" ht="22.5" customHeight="1" x14ac:dyDescent="0.15">
      <c r="A1827" s="16" t="s">
        <v>1563</v>
      </c>
      <c r="B1827" s="12" t="s">
        <v>3073</v>
      </c>
      <c r="C1827" s="13" t="s">
        <v>30</v>
      </c>
      <c r="D1827" s="40">
        <v>0</v>
      </c>
    </row>
    <row r="1828" spans="1:4" ht="22.5" customHeight="1" x14ac:dyDescent="0.15">
      <c r="A1828" s="16" t="s">
        <v>1563</v>
      </c>
      <c r="B1828" s="12" t="s">
        <v>3074</v>
      </c>
      <c r="C1828" s="13" t="s">
        <v>30</v>
      </c>
      <c r="D1828" s="40">
        <v>0</v>
      </c>
    </row>
    <row r="1829" spans="1:4" ht="22.5" customHeight="1" x14ac:dyDescent="0.15">
      <c r="A1829" s="16" t="s">
        <v>112</v>
      </c>
      <c r="B1829" s="12" t="s">
        <v>3054</v>
      </c>
      <c r="C1829" s="13" t="s">
        <v>18</v>
      </c>
      <c r="D1829" s="40">
        <v>0</v>
      </c>
    </row>
    <row r="1830" spans="1:4" ht="22.5" customHeight="1" x14ac:dyDescent="0.15">
      <c r="A1830" s="16" t="s">
        <v>1234</v>
      </c>
      <c r="B1830" s="12" t="s">
        <v>3075</v>
      </c>
      <c r="C1830" s="13" t="s">
        <v>30</v>
      </c>
      <c r="D1830" s="40">
        <v>0</v>
      </c>
    </row>
    <row r="1831" spans="1:4" ht="22.5" customHeight="1" x14ac:dyDescent="0.15">
      <c r="A1831" s="16" t="s">
        <v>1234</v>
      </c>
      <c r="B1831" s="12" t="s">
        <v>3076</v>
      </c>
      <c r="C1831" s="13" t="s">
        <v>30</v>
      </c>
      <c r="D1831" s="40">
        <v>0</v>
      </c>
    </row>
    <row r="1832" spans="1:4" ht="22.5" customHeight="1" x14ac:dyDescent="0.15">
      <c r="A1832" s="16" t="s">
        <v>572</v>
      </c>
      <c r="B1832" s="12" t="s">
        <v>3077</v>
      </c>
      <c r="C1832" s="13" t="s">
        <v>83</v>
      </c>
      <c r="D1832" s="40">
        <v>0</v>
      </c>
    </row>
    <row r="1833" spans="1:4" ht="22.5" customHeight="1" x14ac:dyDescent="0.15">
      <c r="A1833" s="16" t="s">
        <v>120</v>
      </c>
      <c r="B1833" s="12" t="s">
        <v>3078</v>
      </c>
      <c r="C1833" s="13" t="s">
        <v>18</v>
      </c>
      <c r="D1833" s="40">
        <v>0</v>
      </c>
    </row>
    <row r="1834" spans="1:4" ht="22.5" customHeight="1" x14ac:dyDescent="0.15">
      <c r="A1834" s="16" t="s">
        <v>543</v>
      </c>
      <c r="B1834" s="12" t="s">
        <v>3080</v>
      </c>
      <c r="C1834" s="13" t="s">
        <v>18</v>
      </c>
      <c r="D1834" s="40">
        <v>0</v>
      </c>
    </row>
    <row r="1835" spans="1:4" ht="22.5" customHeight="1" x14ac:dyDescent="0.15">
      <c r="A1835" s="16" t="s">
        <v>582</v>
      </c>
      <c r="B1835" s="12" t="s">
        <v>3081</v>
      </c>
      <c r="C1835" s="13" t="s">
        <v>83</v>
      </c>
      <c r="D1835" s="40">
        <v>0</v>
      </c>
    </row>
    <row r="1836" spans="1:4" ht="22.5" customHeight="1" x14ac:dyDescent="0.15">
      <c r="A1836" s="16" t="s">
        <v>234</v>
      </c>
      <c r="B1836" s="12" t="s">
        <v>3082</v>
      </c>
      <c r="C1836" s="13" t="s">
        <v>88</v>
      </c>
      <c r="D1836" s="40">
        <v>0</v>
      </c>
    </row>
    <row r="1837" spans="1:4" ht="22.5" customHeight="1" x14ac:dyDescent="0.15">
      <c r="A1837" s="16" t="s">
        <v>86</v>
      </c>
      <c r="B1837" s="12" t="s">
        <v>3083</v>
      </c>
      <c r="C1837" s="13" t="s">
        <v>88</v>
      </c>
      <c r="D1837" s="40">
        <v>0</v>
      </c>
    </row>
    <row r="1838" spans="1:4" ht="22.5" customHeight="1" x14ac:dyDescent="0.15">
      <c r="A1838" s="16" t="s">
        <v>2345</v>
      </c>
      <c r="B1838" s="12" t="s">
        <v>3084</v>
      </c>
      <c r="C1838" s="13" t="s">
        <v>342</v>
      </c>
      <c r="D1838" s="40">
        <v>0</v>
      </c>
    </row>
    <row r="1839" spans="1:4" ht="22.5" customHeight="1" x14ac:dyDescent="0.15">
      <c r="A1839" s="16" t="s">
        <v>70</v>
      </c>
      <c r="B1839" s="12" t="s">
        <v>3086</v>
      </c>
      <c r="C1839" s="13" t="s">
        <v>12</v>
      </c>
      <c r="D1839" s="40">
        <v>0</v>
      </c>
    </row>
    <row r="1840" spans="1:4" ht="22.5" customHeight="1" x14ac:dyDescent="0.15">
      <c r="A1840" s="16" t="s">
        <v>70</v>
      </c>
      <c r="B1840" s="12" t="s">
        <v>3088</v>
      </c>
      <c r="C1840" s="13" t="s">
        <v>18</v>
      </c>
      <c r="D1840" s="40">
        <v>0</v>
      </c>
    </row>
    <row r="1841" spans="1:4" ht="22.5" customHeight="1" x14ac:dyDescent="0.15">
      <c r="A1841" s="16" t="s">
        <v>70</v>
      </c>
      <c r="B1841" s="12" t="s">
        <v>3089</v>
      </c>
      <c r="C1841" s="13" t="s">
        <v>18</v>
      </c>
      <c r="D1841" s="40">
        <v>0</v>
      </c>
    </row>
    <row r="1842" spans="1:4" ht="22.5" customHeight="1" x14ac:dyDescent="0.15">
      <c r="A1842" s="16" t="s">
        <v>70</v>
      </c>
      <c r="B1842" s="12" t="s">
        <v>3090</v>
      </c>
      <c r="C1842" s="13" t="s">
        <v>18</v>
      </c>
      <c r="D1842" s="40">
        <v>0</v>
      </c>
    </row>
    <row r="1843" spans="1:4" ht="22.5" customHeight="1" x14ac:dyDescent="0.15">
      <c r="A1843" s="16" t="s">
        <v>2742</v>
      </c>
      <c r="B1843" s="12" t="s">
        <v>3091</v>
      </c>
      <c r="C1843" s="13" t="s">
        <v>30</v>
      </c>
      <c r="D1843" s="40">
        <v>0</v>
      </c>
    </row>
    <row r="1844" spans="1:4" ht="22.5" customHeight="1" x14ac:dyDescent="0.15">
      <c r="A1844" s="16" t="s">
        <v>133</v>
      </c>
      <c r="B1844" s="12" t="s">
        <v>3092</v>
      </c>
      <c r="C1844" s="13" t="s">
        <v>30</v>
      </c>
      <c r="D1844" s="40">
        <v>0</v>
      </c>
    </row>
    <row r="1845" spans="1:4" ht="22.5" customHeight="1" x14ac:dyDescent="0.15">
      <c r="A1845" s="16" t="s">
        <v>133</v>
      </c>
      <c r="B1845" s="12" t="s">
        <v>3093</v>
      </c>
      <c r="C1845" s="13" t="s">
        <v>30</v>
      </c>
      <c r="D1845" s="40">
        <v>0</v>
      </c>
    </row>
    <row r="1846" spans="1:4" ht="22.5" customHeight="1" x14ac:dyDescent="0.15">
      <c r="A1846" s="16" t="s">
        <v>142</v>
      </c>
      <c r="B1846" s="12" t="s">
        <v>3094</v>
      </c>
      <c r="C1846" s="13" t="s">
        <v>18</v>
      </c>
      <c r="D1846" s="40">
        <v>0</v>
      </c>
    </row>
    <row r="1847" spans="1:4" ht="22.5" customHeight="1" x14ac:dyDescent="0.15">
      <c r="A1847" s="16" t="s">
        <v>151</v>
      </c>
      <c r="B1847" s="12" t="s">
        <v>3095</v>
      </c>
      <c r="C1847" s="13" t="s">
        <v>23</v>
      </c>
      <c r="D1847" s="40">
        <v>0</v>
      </c>
    </row>
    <row r="1848" spans="1:4" ht="22.5" customHeight="1" x14ac:dyDescent="0.15">
      <c r="A1848" s="16" t="s">
        <v>154</v>
      </c>
      <c r="B1848" s="12" t="s">
        <v>3096</v>
      </c>
      <c r="C1848" s="13" t="s">
        <v>23</v>
      </c>
      <c r="D1848" s="40">
        <v>0</v>
      </c>
    </row>
    <row r="1849" spans="1:4" ht="22.5" customHeight="1" x14ac:dyDescent="0.15">
      <c r="A1849" s="16" t="s">
        <v>154</v>
      </c>
      <c r="B1849" s="12" t="s">
        <v>3097</v>
      </c>
      <c r="C1849" s="13" t="s">
        <v>77</v>
      </c>
      <c r="D1849" s="40">
        <v>0</v>
      </c>
    </row>
    <row r="1850" spans="1:4" ht="22.5" customHeight="1" x14ac:dyDescent="0.15">
      <c r="A1850" s="16" t="s">
        <v>157</v>
      </c>
      <c r="B1850" s="12" t="s">
        <v>3098</v>
      </c>
      <c r="C1850" s="13" t="s">
        <v>88</v>
      </c>
      <c r="D1850" s="40">
        <v>0</v>
      </c>
    </row>
    <row r="1851" spans="1:4" ht="22.5" customHeight="1" x14ac:dyDescent="0.15">
      <c r="A1851" s="16" t="s">
        <v>160</v>
      </c>
      <c r="B1851" s="12" t="s">
        <v>3099</v>
      </c>
      <c r="C1851" s="13" t="s">
        <v>12</v>
      </c>
      <c r="D1851" s="40">
        <v>0</v>
      </c>
    </row>
    <row r="1852" spans="1:4" ht="22.5" customHeight="1" x14ac:dyDescent="0.15">
      <c r="A1852" s="16" t="s">
        <v>166</v>
      </c>
      <c r="B1852" s="12" t="s">
        <v>3100</v>
      </c>
      <c r="C1852" s="13" t="s">
        <v>115</v>
      </c>
      <c r="D1852" s="40">
        <v>0</v>
      </c>
    </row>
    <row r="1853" spans="1:4" ht="22.5" customHeight="1" x14ac:dyDescent="0.15">
      <c r="A1853" s="16" t="s">
        <v>1680</v>
      </c>
      <c r="B1853" s="12" t="s">
        <v>3101</v>
      </c>
      <c r="C1853" s="13" t="s">
        <v>30</v>
      </c>
      <c r="D1853" s="40">
        <v>0</v>
      </c>
    </row>
    <row r="1854" spans="1:4" ht="22.5" customHeight="1" x14ac:dyDescent="0.15">
      <c r="A1854" s="16" t="s">
        <v>175</v>
      </c>
      <c r="B1854" s="12" t="s">
        <v>3102</v>
      </c>
      <c r="C1854" s="13" t="s">
        <v>88</v>
      </c>
      <c r="D1854" s="40">
        <v>0</v>
      </c>
    </row>
    <row r="1855" spans="1:4" ht="22.5" customHeight="1" x14ac:dyDescent="0.15">
      <c r="A1855" s="16" t="s">
        <v>175</v>
      </c>
      <c r="B1855" s="12" t="s">
        <v>3103</v>
      </c>
      <c r="C1855" s="13" t="s">
        <v>342</v>
      </c>
      <c r="D1855" s="40">
        <v>0</v>
      </c>
    </row>
    <row r="1856" spans="1:4" ht="22.5" customHeight="1" x14ac:dyDescent="0.15">
      <c r="A1856" s="16" t="s">
        <v>175</v>
      </c>
      <c r="B1856" s="12" t="s">
        <v>3104</v>
      </c>
      <c r="C1856" s="13" t="s">
        <v>30</v>
      </c>
      <c r="D1856" s="40">
        <v>0</v>
      </c>
    </row>
    <row r="1857" spans="1:4" ht="22.5" customHeight="1" x14ac:dyDescent="0.15">
      <c r="A1857" s="16" t="s">
        <v>193</v>
      </c>
      <c r="B1857" s="12" t="s">
        <v>3105</v>
      </c>
      <c r="C1857" s="13" t="s">
        <v>83</v>
      </c>
      <c r="D1857" s="40">
        <v>0</v>
      </c>
    </row>
    <row r="1858" spans="1:4" ht="22.5" customHeight="1" x14ac:dyDescent="0.15">
      <c r="A1858" s="16" t="s">
        <v>193</v>
      </c>
      <c r="B1858" s="12" t="s">
        <v>3106</v>
      </c>
      <c r="C1858" s="13" t="s">
        <v>88</v>
      </c>
      <c r="D1858" s="40">
        <v>0</v>
      </c>
    </row>
    <row r="1859" spans="1:4" ht="22.5" customHeight="1" x14ac:dyDescent="0.15">
      <c r="A1859" s="16" t="s">
        <v>1456</v>
      </c>
      <c r="B1859" s="12" t="s">
        <v>3107</v>
      </c>
      <c r="C1859" s="13" t="s">
        <v>18</v>
      </c>
      <c r="D1859" s="40">
        <v>0</v>
      </c>
    </row>
    <row r="1860" spans="1:4" ht="22.5" customHeight="1" x14ac:dyDescent="0.15">
      <c r="A1860" s="16" t="s">
        <v>207</v>
      </c>
      <c r="B1860" s="12" t="s">
        <v>3108</v>
      </c>
      <c r="C1860" s="13" t="s">
        <v>88</v>
      </c>
      <c r="D1860" s="40">
        <v>0</v>
      </c>
    </row>
    <row r="1861" spans="1:4" ht="22.5" customHeight="1" x14ac:dyDescent="0.15">
      <c r="A1861" s="16" t="s">
        <v>212</v>
      </c>
      <c r="B1861" s="12" t="s">
        <v>3109</v>
      </c>
      <c r="C1861" s="13" t="s">
        <v>77</v>
      </c>
      <c r="D1861" s="40">
        <v>0</v>
      </c>
    </row>
    <row r="1862" spans="1:4" ht="22.5" customHeight="1" x14ac:dyDescent="0.15">
      <c r="A1862" s="16" t="s">
        <v>9</v>
      </c>
      <c r="B1862" s="12" t="s">
        <v>3110</v>
      </c>
      <c r="C1862" s="13" t="s">
        <v>23</v>
      </c>
      <c r="D1862" s="40">
        <v>0</v>
      </c>
    </row>
    <row r="1863" spans="1:4" ht="22.5" customHeight="1" x14ac:dyDescent="0.15">
      <c r="A1863" s="16" t="s">
        <v>2831</v>
      </c>
      <c r="B1863" s="12" t="s">
        <v>3111</v>
      </c>
      <c r="C1863" s="13" t="s">
        <v>23</v>
      </c>
      <c r="D1863" s="40">
        <v>0</v>
      </c>
    </row>
    <row r="1864" spans="1:4" ht="22.5" customHeight="1" x14ac:dyDescent="0.15">
      <c r="A1864" s="16" t="s">
        <v>15</v>
      </c>
      <c r="B1864" s="12" t="s">
        <v>3112</v>
      </c>
      <c r="C1864" s="13" t="s">
        <v>18</v>
      </c>
      <c r="D1864" s="40">
        <v>0</v>
      </c>
    </row>
    <row r="1865" spans="1:4" ht="22.5" customHeight="1" x14ac:dyDescent="0.15">
      <c r="A1865" s="16" t="s">
        <v>844</v>
      </c>
      <c r="B1865" s="12" t="s">
        <v>3113</v>
      </c>
      <c r="C1865" s="13" t="s">
        <v>12</v>
      </c>
      <c r="D1865" s="40">
        <v>0</v>
      </c>
    </row>
    <row r="1866" spans="1:4" ht="22.5" customHeight="1" x14ac:dyDescent="0.15">
      <c r="A1866" s="16" t="s">
        <v>245</v>
      </c>
      <c r="B1866" s="12" t="s">
        <v>3114</v>
      </c>
      <c r="C1866" s="13" t="s">
        <v>219</v>
      </c>
      <c r="D1866" s="40">
        <v>0</v>
      </c>
    </row>
    <row r="1867" spans="1:4" ht="22.5" customHeight="1" x14ac:dyDescent="0.15">
      <c r="A1867" s="16" t="s">
        <v>1492</v>
      </c>
      <c r="B1867" s="12" t="s">
        <v>3115</v>
      </c>
      <c r="C1867" s="13" t="s">
        <v>18</v>
      </c>
      <c r="D1867" s="40">
        <v>0</v>
      </c>
    </row>
    <row r="1868" spans="1:4" ht="22.5" customHeight="1" x14ac:dyDescent="0.15">
      <c r="A1868" s="16" t="s">
        <v>271</v>
      </c>
      <c r="B1868" s="12" t="s">
        <v>3116</v>
      </c>
      <c r="C1868" s="13" t="s">
        <v>18</v>
      </c>
      <c r="D1868" s="40">
        <v>0</v>
      </c>
    </row>
    <row r="1869" spans="1:4" ht="22.5" customHeight="1" x14ac:dyDescent="0.15">
      <c r="A1869" s="16" t="s">
        <v>306</v>
      </c>
      <c r="B1869" s="12" t="s">
        <v>3117</v>
      </c>
      <c r="C1869" s="13" t="s">
        <v>12</v>
      </c>
      <c r="D1869" s="40">
        <v>0</v>
      </c>
    </row>
    <row r="1870" spans="1:4" ht="22.5" customHeight="1" x14ac:dyDescent="0.15">
      <c r="A1870" s="16" t="s">
        <v>327</v>
      </c>
      <c r="B1870" s="12" t="s">
        <v>3118</v>
      </c>
      <c r="C1870" s="13" t="s">
        <v>30</v>
      </c>
      <c r="D1870" s="40">
        <v>0</v>
      </c>
    </row>
    <row r="1871" spans="1:4" ht="22.5" customHeight="1" x14ac:dyDescent="0.15">
      <c r="A1871" s="16" t="s">
        <v>654</v>
      </c>
      <c r="B1871" s="12" t="s">
        <v>3119</v>
      </c>
      <c r="C1871" s="13" t="s">
        <v>30</v>
      </c>
      <c r="D1871" s="40">
        <v>0</v>
      </c>
    </row>
    <row r="1872" spans="1:4" ht="22.5" customHeight="1" x14ac:dyDescent="0.15">
      <c r="A1872" s="16" t="s">
        <v>359</v>
      </c>
      <c r="B1872" s="12" t="s">
        <v>3120</v>
      </c>
      <c r="C1872" s="13" t="s">
        <v>30</v>
      </c>
      <c r="D1872" s="40">
        <v>0</v>
      </c>
    </row>
    <row r="1873" spans="1:4" ht="22.5" customHeight="1" x14ac:dyDescent="0.15">
      <c r="A1873" s="16" t="s">
        <v>1013</v>
      </c>
      <c r="B1873" s="12" t="s">
        <v>3121</v>
      </c>
      <c r="C1873" s="13" t="s">
        <v>18</v>
      </c>
      <c r="D1873" s="40">
        <v>0</v>
      </c>
    </row>
    <row r="1874" spans="1:4" ht="22.5" customHeight="1" x14ac:dyDescent="0.15">
      <c r="A1874" s="16" t="s">
        <v>86</v>
      </c>
      <c r="B1874" s="12" t="s">
        <v>3122</v>
      </c>
      <c r="C1874" s="13" t="s">
        <v>18</v>
      </c>
      <c r="D1874" s="40">
        <v>0</v>
      </c>
    </row>
    <row r="1875" spans="1:4" ht="22.5" customHeight="1" x14ac:dyDescent="0.15">
      <c r="A1875" s="16" t="s">
        <v>86</v>
      </c>
      <c r="B1875" s="12" t="s">
        <v>3123</v>
      </c>
      <c r="C1875" s="13" t="s">
        <v>18</v>
      </c>
      <c r="D1875" s="40">
        <v>0</v>
      </c>
    </row>
    <row r="1876" spans="1:4" ht="22.5" customHeight="1" x14ac:dyDescent="0.15">
      <c r="A1876" s="16" t="s">
        <v>1057</v>
      </c>
      <c r="B1876" s="12" t="s">
        <v>3110</v>
      </c>
      <c r="C1876" s="13" t="s">
        <v>23</v>
      </c>
      <c r="D1876" s="40">
        <v>0</v>
      </c>
    </row>
    <row r="1877" spans="1:4" ht="22.5" customHeight="1" x14ac:dyDescent="0.15">
      <c r="A1877" s="16" t="s">
        <v>391</v>
      </c>
      <c r="B1877" s="12" t="s">
        <v>3124</v>
      </c>
      <c r="C1877" s="13" t="s">
        <v>23</v>
      </c>
      <c r="D1877" s="40">
        <v>0</v>
      </c>
    </row>
    <row r="1878" spans="1:4" ht="22.5" customHeight="1" x14ac:dyDescent="0.15">
      <c r="A1878" s="16" t="s">
        <v>401</v>
      </c>
      <c r="B1878" s="12" t="s">
        <v>3125</v>
      </c>
      <c r="C1878" s="13" t="s">
        <v>30</v>
      </c>
      <c r="D1878" s="40">
        <v>0</v>
      </c>
    </row>
    <row r="1879" spans="1:4" ht="22.5" customHeight="1" x14ac:dyDescent="0.15">
      <c r="A1879" s="16" t="s">
        <v>401</v>
      </c>
      <c r="B1879" s="12" t="s">
        <v>3126</v>
      </c>
      <c r="C1879" s="13" t="s">
        <v>30</v>
      </c>
      <c r="D1879" s="40">
        <v>0</v>
      </c>
    </row>
    <row r="1880" spans="1:4" ht="22.5" customHeight="1" x14ac:dyDescent="0.15">
      <c r="A1880" s="16" t="s">
        <v>2244</v>
      </c>
      <c r="B1880" s="12" t="s">
        <v>3127</v>
      </c>
      <c r="C1880" s="13" t="s">
        <v>23</v>
      </c>
      <c r="D1880" s="40">
        <v>0</v>
      </c>
    </row>
    <row r="1881" spans="1:4" ht="22.5" customHeight="1" x14ac:dyDescent="0.15">
      <c r="A1881" s="16" t="s">
        <v>425</v>
      </c>
      <c r="B1881" s="12" t="s">
        <v>3128</v>
      </c>
      <c r="C1881" s="13" t="s">
        <v>88</v>
      </c>
      <c r="D1881" s="40">
        <v>0</v>
      </c>
    </row>
    <row r="1882" spans="1:4" ht="22.5" customHeight="1" x14ac:dyDescent="0.15">
      <c r="A1882" s="16" t="s">
        <v>45</v>
      </c>
      <c r="B1882" s="12" t="s">
        <v>3129</v>
      </c>
      <c r="C1882" s="13" t="s">
        <v>23</v>
      </c>
      <c r="D1882" s="40">
        <v>0</v>
      </c>
    </row>
    <row r="1883" spans="1:4" ht="22.5" customHeight="1" x14ac:dyDescent="0.15">
      <c r="A1883" s="16" t="s">
        <v>468</v>
      </c>
      <c r="B1883" s="12" t="s">
        <v>3130</v>
      </c>
      <c r="C1883" s="13" t="s">
        <v>30</v>
      </c>
      <c r="D1883" s="40">
        <v>0</v>
      </c>
    </row>
    <row r="1884" spans="1:4" ht="22.5" customHeight="1" x14ac:dyDescent="0.15">
      <c r="A1884" s="16" t="s">
        <v>468</v>
      </c>
      <c r="B1884" s="12" t="s">
        <v>3131</v>
      </c>
      <c r="C1884" s="13" t="s">
        <v>30</v>
      </c>
      <c r="D1884" s="40">
        <v>0</v>
      </c>
    </row>
    <row r="1885" spans="1:4" ht="22.5" customHeight="1" x14ac:dyDescent="0.15">
      <c r="A1885" s="16" t="s">
        <v>497</v>
      </c>
      <c r="B1885" s="12" t="s">
        <v>3132</v>
      </c>
      <c r="C1885" s="13" t="s">
        <v>88</v>
      </c>
      <c r="D1885" s="40">
        <v>0</v>
      </c>
    </row>
    <row r="1886" spans="1:4" ht="22.5" customHeight="1" x14ac:dyDescent="0.15">
      <c r="A1886" s="16" t="s">
        <v>497</v>
      </c>
      <c r="B1886" s="12" t="s">
        <v>3133</v>
      </c>
      <c r="C1886" s="13" t="s">
        <v>18</v>
      </c>
      <c r="D1886" s="40">
        <v>0</v>
      </c>
    </row>
    <row r="1887" spans="1:4" ht="22.5" customHeight="1" x14ac:dyDescent="0.15">
      <c r="A1887" s="16" t="s">
        <v>500</v>
      </c>
      <c r="B1887" s="12" t="s">
        <v>3134</v>
      </c>
      <c r="C1887" s="13" t="s">
        <v>18</v>
      </c>
      <c r="D1887" s="40">
        <v>0</v>
      </c>
    </row>
    <row r="1888" spans="1:4" ht="22.5" customHeight="1" x14ac:dyDescent="0.15">
      <c r="A1888" s="16" t="s">
        <v>511</v>
      </c>
      <c r="B1888" s="12" t="s">
        <v>3135</v>
      </c>
      <c r="C1888" s="13" t="s">
        <v>18</v>
      </c>
      <c r="D1888" s="40">
        <v>0</v>
      </c>
    </row>
    <row r="1889" spans="1:4" ht="22.5" customHeight="1" x14ac:dyDescent="0.15">
      <c r="A1889" s="16" t="s">
        <v>523</v>
      </c>
      <c r="B1889" s="12" t="s">
        <v>3136</v>
      </c>
      <c r="C1889" s="13" t="s">
        <v>18</v>
      </c>
      <c r="D1889" s="40">
        <v>0</v>
      </c>
    </row>
    <row r="1890" spans="1:4" ht="22.5" customHeight="1" x14ac:dyDescent="0.15">
      <c r="A1890" s="16" t="s">
        <v>523</v>
      </c>
      <c r="B1890" s="12" t="s">
        <v>3137</v>
      </c>
      <c r="C1890" s="13" t="s">
        <v>30</v>
      </c>
      <c r="D1890" s="40">
        <v>0</v>
      </c>
    </row>
    <row r="1891" spans="1:4" ht="22.5" customHeight="1" x14ac:dyDescent="0.15">
      <c r="A1891" s="16" t="s">
        <v>1242</v>
      </c>
      <c r="B1891" s="12" t="s">
        <v>3138</v>
      </c>
      <c r="C1891" s="13" t="s">
        <v>18</v>
      </c>
      <c r="D1891" s="40">
        <v>0</v>
      </c>
    </row>
    <row r="1892" spans="1:4" ht="22.5" customHeight="1" x14ac:dyDescent="0.15">
      <c r="A1892" s="16" t="s">
        <v>557</v>
      </c>
      <c r="B1892" s="12" t="s">
        <v>3139</v>
      </c>
      <c r="C1892" s="13" t="s">
        <v>30</v>
      </c>
      <c r="D1892" s="40">
        <v>0</v>
      </c>
    </row>
    <row r="1893" spans="1:4" ht="22.5" customHeight="1" x14ac:dyDescent="0.15">
      <c r="A1893" s="16" t="s">
        <v>1255</v>
      </c>
      <c r="B1893" s="12" t="s">
        <v>3113</v>
      </c>
      <c r="C1893" s="13" t="s">
        <v>12</v>
      </c>
      <c r="D1893" s="40">
        <v>0</v>
      </c>
    </row>
    <row r="1894" spans="1:4" ht="22.5" customHeight="1" x14ac:dyDescent="0.15">
      <c r="A1894" s="16" t="s">
        <v>65</v>
      </c>
      <c r="B1894" s="12" t="s">
        <v>3140</v>
      </c>
      <c r="C1894" s="13" t="s">
        <v>18</v>
      </c>
      <c r="D1894" s="40">
        <v>0</v>
      </c>
    </row>
    <row r="1895" spans="1:4" ht="22.5" customHeight="1" x14ac:dyDescent="0.15">
      <c r="A1895" s="16" t="s">
        <v>476</v>
      </c>
      <c r="B1895" s="12" t="s">
        <v>3141</v>
      </c>
      <c r="C1895" s="13" t="s">
        <v>30</v>
      </c>
      <c r="D1895" s="40">
        <v>0</v>
      </c>
    </row>
    <row r="1896" spans="1:4" ht="22.5" customHeight="1" x14ac:dyDescent="0.15">
      <c r="A1896" s="16" t="s">
        <v>568</v>
      </c>
      <c r="B1896" s="12" t="s">
        <v>3143</v>
      </c>
      <c r="C1896" s="13" t="s">
        <v>30</v>
      </c>
      <c r="D1896" s="40">
        <v>0</v>
      </c>
    </row>
    <row r="1897" spans="1:4" ht="22.5" customHeight="1" x14ac:dyDescent="0.15">
      <c r="A1897" s="16" t="s">
        <v>133</v>
      </c>
      <c r="B1897" s="12" t="s">
        <v>3144</v>
      </c>
      <c r="C1897" s="13" t="s">
        <v>30</v>
      </c>
      <c r="D1897" s="40">
        <v>0</v>
      </c>
    </row>
    <row r="1898" spans="1:4" ht="22.5" customHeight="1" x14ac:dyDescent="0.15">
      <c r="A1898" s="16" t="s">
        <v>327</v>
      </c>
      <c r="B1898" s="12" t="s">
        <v>3145</v>
      </c>
      <c r="C1898" s="13" t="s">
        <v>23</v>
      </c>
      <c r="D1898" s="40">
        <v>0</v>
      </c>
    </row>
    <row r="1899" spans="1:4" ht="22.5" customHeight="1" x14ac:dyDescent="0.15">
      <c r="A1899" s="16" t="s">
        <v>395</v>
      </c>
      <c r="B1899" s="12" t="s">
        <v>3146</v>
      </c>
      <c r="C1899" s="13" t="s">
        <v>18</v>
      </c>
      <c r="D1899" s="40">
        <v>0</v>
      </c>
    </row>
    <row r="1900" spans="1:4" ht="22.5" customHeight="1" x14ac:dyDescent="0.15">
      <c r="A1900" s="16" t="s">
        <v>463</v>
      </c>
      <c r="B1900" s="12" t="s">
        <v>3145</v>
      </c>
      <c r="C1900" s="13" t="s">
        <v>23</v>
      </c>
      <c r="D1900" s="40">
        <v>0</v>
      </c>
    </row>
    <row r="1901" spans="1:4" ht="22.5" customHeight="1" x14ac:dyDescent="0.15">
      <c r="A1901" s="16" t="s">
        <v>425</v>
      </c>
      <c r="B1901" s="12" t="s">
        <v>3147</v>
      </c>
      <c r="C1901" s="13" t="s">
        <v>88</v>
      </c>
      <c r="D1901" s="40">
        <v>0</v>
      </c>
    </row>
    <row r="1902" spans="1:4" ht="22.5" customHeight="1" x14ac:dyDescent="0.15">
      <c r="A1902" s="16" t="s">
        <v>399</v>
      </c>
      <c r="B1902" s="12" t="s">
        <v>3148</v>
      </c>
      <c r="C1902" s="13" t="s">
        <v>83</v>
      </c>
      <c r="D1902" s="40">
        <v>0</v>
      </c>
    </row>
    <row r="1903" spans="1:4" ht="22.5" customHeight="1" x14ac:dyDescent="0.15">
      <c r="A1903" s="16" t="s">
        <v>395</v>
      </c>
      <c r="B1903" s="12" t="s">
        <v>3149</v>
      </c>
      <c r="C1903" s="13" t="s">
        <v>30</v>
      </c>
      <c r="D1903" s="40">
        <v>0</v>
      </c>
    </row>
    <row r="1904" spans="1:4" ht="22.5" customHeight="1" x14ac:dyDescent="0.15">
      <c r="A1904" s="16" t="s">
        <v>683</v>
      </c>
      <c r="B1904" s="12" t="s">
        <v>3150</v>
      </c>
      <c r="C1904" s="13" t="s">
        <v>88</v>
      </c>
      <c r="D1904" s="40">
        <v>0</v>
      </c>
    </row>
    <row r="1905" spans="1:4" ht="22.5" customHeight="1" x14ac:dyDescent="0.15">
      <c r="A1905" s="16" t="s">
        <v>347</v>
      </c>
      <c r="B1905" s="12" t="s">
        <v>3152</v>
      </c>
      <c r="C1905" s="13" t="s">
        <v>30</v>
      </c>
      <c r="D1905" s="40">
        <v>0</v>
      </c>
    </row>
    <row r="1906" spans="1:4" ht="22.5" customHeight="1" x14ac:dyDescent="0.15">
      <c r="A1906" s="16" t="s">
        <v>668</v>
      </c>
      <c r="B1906" s="12" t="s">
        <v>3153</v>
      </c>
      <c r="C1906" s="13" t="s">
        <v>77</v>
      </c>
      <c r="D1906" s="40">
        <v>0</v>
      </c>
    </row>
    <row r="1907" spans="1:4" ht="22.5" customHeight="1" x14ac:dyDescent="0.15">
      <c r="A1907" s="16" t="s">
        <v>668</v>
      </c>
      <c r="B1907" s="12" t="s">
        <v>3154</v>
      </c>
      <c r="C1907" s="13" t="s">
        <v>12</v>
      </c>
      <c r="D1907" s="40">
        <v>0</v>
      </c>
    </row>
    <row r="1908" spans="1:4" ht="22.5" customHeight="1" x14ac:dyDescent="0.15">
      <c r="A1908" s="16" t="s">
        <v>15</v>
      </c>
      <c r="B1908" s="12" t="s">
        <v>3155</v>
      </c>
      <c r="C1908" s="13" t="s">
        <v>88</v>
      </c>
      <c r="D1908" s="40">
        <v>0</v>
      </c>
    </row>
    <row r="1909" spans="1:4" ht="22.5" customHeight="1" x14ac:dyDescent="0.15">
      <c r="A1909" s="16" t="s">
        <v>696</v>
      </c>
      <c r="B1909" s="12" t="s">
        <v>3156</v>
      </c>
      <c r="C1909" s="13" t="s">
        <v>12</v>
      </c>
      <c r="D1909" s="40">
        <v>0</v>
      </c>
    </row>
    <row r="1910" spans="1:4" ht="22.5" customHeight="1" x14ac:dyDescent="0.15">
      <c r="A1910" s="16" t="s">
        <v>546</v>
      </c>
      <c r="B1910" s="12" t="s">
        <v>3157</v>
      </c>
      <c r="C1910" s="13" t="s">
        <v>88</v>
      </c>
      <c r="D1910" s="40">
        <v>0</v>
      </c>
    </row>
    <row r="1911" spans="1:4" ht="22.5" customHeight="1" x14ac:dyDescent="0.15">
      <c r="A1911" s="16" t="s">
        <v>577</v>
      </c>
      <c r="B1911" s="12" t="s">
        <v>3158</v>
      </c>
      <c r="C1911" s="13" t="s">
        <v>77</v>
      </c>
      <c r="D1911" s="40">
        <v>0</v>
      </c>
    </row>
    <row r="1912" spans="1:4" ht="22.5" customHeight="1" x14ac:dyDescent="0.15">
      <c r="A1912" s="16" t="s">
        <v>154</v>
      </c>
      <c r="B1912" s="12" t="s">
        <v>3159</v>
      </c>
      <c r="C1912" s="13" t="s">
        <v>18</v>
      </c>
      <c r="D1912" s="40">
        <v>0</v>
      </c>
    </row>
    <row r="1913" spans="1:4" ht="22.5" customHeight="1" x14ac:dyDescent="0.15">
      <c r="A1913" s="16" t="s">
        <v>249</v>
      </c>
      <c r="B1913" s="12" t="s">
        <v>3161</v>
      </c>
      <c r="C1913" s="13" t="s">
        <v>18</v>
      </c>
      <c r="D1913" s="40">
        <v>0</v>
      </c>
    </row>
    <row r="1914" spans="1:4" ht="22.5" customHeight="1" x14ac:dyDescent="0.15">
      <c r="A1914" s="16" t="s">
        <v>256</v>
      </c>
      <c r="B1914" s="12" t="s">
        <v>3162</v>
      </c>
      <c r="C1914" s="13" t="s">
        <v>136</v>
      </c>
      <c r="D1914" s="40">
        <v>0</v>
      </c>
    </row>
    <row r="1915" spans="1:4" ht="22.5" customHeight="1" x14ac:dyDescent="0.15">
      <c r="A1915" s="27" t="s">
        <v>3165</v>
      </c>
      <c r="B1915" s="12" t="s">
        <v>3166</v>
      </c>
      <c r="C1915" s="13" t="s">
        <v>136</v>
      </c>
      <c r="D1915" s="40">
        <v>0</v>
      </c>
    </row>
    <row r="1916" spans="1:4" ht="22.5" customHeight="1" x14ac:dyDescent="0.15">
      <c r="A1916" s="16" t="s">
        <v>271</v>
      </c>
      <c r="B1916" s="12" t="s">
        <v>3167</v>
      </c>
      <c r="C1916" s="13" t="s">
        <v>136</v>
      </c>
      <c r="D1916" s="40">
        <v>0</v>
      </c>
    </row>
    <row r="1917" spans="1:4" ht="22.5" customHeight="1" x14ac:dyDescent="0.15">
      <c r="A1917" s="16" t="s">
        <v>955</v>
      </c>
      <c r="B1917" s="12" t="s">
        <v>3168</v>
      </c>
      <c r="C1917" s="13" t="s">
        <v>18</v>
      </c>
      <c r="D1917" s="40">
        <v>0</v>
      </c>
    </row>
    <row r="1918" spans="1:4" ht="22.5" customHeight="1" x14ac:dyDescent="0.15">
      <c r="A1918" s="16" t="s">
        <v>955</v>
      </c>
      <c r="B1918" s="12" t="s">
        <v>3169</v>
      </c>
      <c r="C1918" s="13" t="s">
        <v>18</v>
      </c>
      <c r="D1918" s="40">
        <v>0</v>
      </c>
    </row>
    <row r="1919" spans="1:4" ht="22.5" customHeight="1" x14ac:dyDescent="0.15">
      <c r="A1919" s="16" t="s">
        <v>955</v>
      </c>
      <c r="B1919" s="12" t="s">
        <v>3170</v>
      </c>
      <c r="C1919" s="13" t="s">
        <v>18</v>
      </c>
      <c r="D1919" s="40">
        <v>0</v>
      </c>
    </row>
    <row r="1920" spans="1:4" ht="22.5" customHeight="1" x14ac:dyDescent="0.15">
      <c r="A1920" s="15" t="s">
        <v>399</v>
      </c>
      <c r="B1920" s="12" t="s">
        <v>3161</v>
      </c>
      <c r="C1920" s="13" t="s">
        <v>18</v>
      </c>
      <c r="D1920" s="40">
        <v>0</v>
      </c>
    </row>
    <row r="1921" spans="1:4" ht="22.5" customHeight="1" x14ac:dyDescent="0.15">
      <c r="A1921" s="28" t="s">
        <v>1832</v>
      </c>
      <c r="B1921" s="12" t="s">
        <v>3171</v>
      </c>
      <c r="C1921" s="13" t="s">
        <v>136</v>
      </c>
      <c r="D1921" s="40">
        <v>0</v>
      </c>
    </row>
    <row r="1922" spans="1:4" ht="22.5" customHeight="1" x14ac:dyDescent="0.15">
      <c r="A1922" s="16" t="s">
        <v>577</v>
      </c>
      <c r="B1922" s="12" t="s">
        <v>3172</v>
      </c>
      <c r="C1922" s="13" t="s">
        <v>18</v>
      </c>
      <c r="D1922" s="40">
        <v>0</v>
      </c>
    </row>
    <row r="1923" spans="1:4" ht="22.5" customHeight="1" x14ac:dyDescent="0.15">
      <c r="A1923" s="16" t="s">
        <v>955</v>
      </c>
      <c r="B1923" s="12" t="s">
        <v>3173</v>
      </c>
      <c r="C1923" s="13" t="s">
        <v>18</v>
      </c>
      <c r="D1923" s="40">
        <v>0</v>
      </c>
    </row>
    <row r="1924" spans="1:4" ht="22.5" customHeight="1" x14ac:dyDescent="0.15">
      <c r="A1924" s="16" t="s">
        <v>1242</v>
      </c>
      <c r="B1924" s="12" t="s">
        <v>3175</v>
      </c>
      <c r="C1924" s="13" t="s">
        <v>18</v>
      </c>
      <c r="D1924" s="40">
        <v>0</v>
      </c>
    </row>
    <row r="1925" spans="1:4" ht="22.5" customHeight="1" x14ac:dyDescent="0.15">
      <c r="A1925" s="16" t="s">
        <v>32</v>
      </c>
      <c r="B1925" s="12" t="s">
        <v>3176</v>
      </c>
      <c r="C1925" s="13" t="s">
        <v>18</v>
      </c>
      <c r="D1925" s="40">
        <v>0</v>
      </c>
    </row>
    <row r="1926" spans="1:4" ht="22.5" customHeight="1" x14ac:dyDescent="0.15">
      <c r="A1926" s="16" t="s">
        <v>955</v>
      </c>
      <c r="B1926" s="12" t="s">
        <v>3178</v>
      </c>
      <c r="C1926" s="13" t="s">
        <v>18</v>
      </c>
      <c r="D1926" s="40">
        <v>0</v>
      </c>
    </row>
    <row r="1927" spans="1:4" ht="22.5" customHeight="1" x14ac:dyDescent="0.15">
      <c r="A1927" s="16" t="s">
        <v>955</v>
      </c>
      <c r="B1927" s="12" t="s">
        <v>3179</v>
      </c>
      <c r="C1927" s="13" t="s">
        <v>18</v>
      </c>
      <c r="D1927" s="40">
        <v>0</v>
      </c>
    </row>
    <row r="1928" spans="1:4" ht="22.5" customHeight="1" x14ac:dyDescent="0.15">
      <c r="A1928" s="16" t="s">
        <v>107</v>
      </c>
      <c r="B1928" s="12" t="s">
        <v>3180</v>
      </c>
      <c r="C1928" s="13" t="s">
        <v>18</v>
      </c>
      <c r="D1928" s="40">
        <v>0</v>
      </c>
    </row>
    <row r="1929" spans="1:4" ht="22.5" customHeight="1" x14ac:dyDescent="0.15">
      <c r="A1929" s="16" t="s">
        <v>112</v>
      </c>
      <c r="B1929" s="12" t="s">
        <v>3180</v>
      </c>
      <c r="C1929" s="13" t="s">
        <v>18</v>
      </c>
      <c r="D1929" s="40">
        <v>0</v>
      </c>
    </row>
    <row r="1930" spans="1:4" ht="22.5" customHeight="1" x14ac:dyDescent="0.15">
      <c r="A1930" s="16" t="s">
        <v>154</v>
      </c>
      <c r="B1930" s="12" t="s">
        <v>3182</v>
      </c>
      <c r="C1930" s="13" t="s">
        <v>18</v>
      </c>
      <c r="D1930" s="40">
        <v>0</v>
      </c>
    </row>
    <row r="1931" spans="1:4" ht="22.5" customHeight="1" x14ac:dyDescent="0.15">
      <c r="A1931" s="16" t="s">
        <v>94</v>
      </c>
      <c r="B1931" s="12" t="s">
        <v>3184</v>
      </c>
      <c r="C1931" s="13" t="s">
        <v>136</v>
      </c>
      <c r="D1931" s="40">
        <v>0</v>
      </c>
    </row>
    <row r="1932" spans="1:4" ht="22.5" customHeight="1" x14ac:dyDescent="0.15">
      <c r="A1932" s="16" t="s">
        <v>94</v>
      </c>
      <c r="B1932" s="12" t="s">
        <v>3186</v>
      </c>
      <c r="C1932" s="13" t="s">
        <v>30</v>
      </c>
      <c r="D1932" s="40">
        <v>0</v>
      </c>
    </row>
    <row r="1933" spans="1:4" ht="22.5" customHeight="1" x14ac:dyDescent="0.15">
      <c r="A1933" s="29" t="s">
        <v>249</v>
      </c>
      <c r="B1933" s="12" t="s">
        <v>3187</v>
      </c>
      <c r="C1933" s="13" t="s">
        <v>136</v>
      </c>
      <c r="D1933" s="40">
        <v>0</v>
      </c>
    </row>
    <row r="1934" spans="1:4" ht="22.5" customHeight="1" x14ac:dyDescent="0.15">
      <c r="A1934" s="29" t="s">
        <v>399</v>
      </c>
      <c r="B1934" s="12" t="s">
        <v>3187</v>
      </c>
      <c r="C1934" s="13" t="s">
        <v>136</v>
      </c>
      <c r="D1934" s="40">
        <v>0</v>
      </c>
    </row>
    <row r="1935" spans="1:4" ht="22.5" customHeight="1" x14ac:dyDescent="0.15">
      <c r="A1935" s="16" t="s">
        <v>15</v>
      </c>
      <c r="B1935" s="12" t="s">
        <v>3188</v>
      </c>
      <c r="C1935" s="13" t="s">
        <v>18</v>
      </c>
      <c r="D1935" s="40">
        <v>0</v>
      </c>
    </row>
    <row r="1936" spans="1:4" ht="22.5" customHeight="1" x14ac:dyDescent="0.15">
      <c r="A1936" s="16" t="s">
        <v>1191</v>
      </c>
      <c r="B1936" s="12" t="s">
        <v>3189</v>
      </c>
      <c r="C1936" s="13" t="s">
        <v>18</v>
      </c>
      <c r="D1936" s="40">
        <v>0</v>
      </c>
    </row>
    <row r="1937" spans="1:4" ht="22.5" customHeight="1" x14ac:dyDescent="0.15">
      <c r="A1937" s="16" t="s">
        <v>166</v>
      </c>
      <c r="B1937" s="12" t="s">
        <v>3190</v>
      </c>
      <c r="C1937" s="13" t="s">
        <v>30</v>
      </c>
      <c r="D1937" s="40">
        <v>0</v>
      </c>
    </row>
    <row r="1938" spans="1:4" ht="22.5" customHeight="1" x14ac:dyDescent="0.15">
      <c r="A1938" s="16" t="s">
        <v>166</v>
      </c>
      <c r="B1938" s="12" t="s">
        <v>3191</v>
      </c>
      <c r="C1938" s="13" t="s">
        <v>115</v>
      </c>
      <c r="D1938" s="40">
        <v>0</v>
      </c>
    </row>
    <row r="1939" spans="1:4" ht="22.5" customHeight="1" x14ac:dyDescent="0.15">
      <c r="A1939" s="16" t="s">
        <v>395</v>
      </c>
      <c r="B1939" s="12" t="s">
        <v>3192</v>
      </c>
      <c r="C1939" s="13" t="s">
        <v>30</v>
      </c>
      <c r="D1939" s="40">
        <v>0</v>
      </c>
    </row>
    <row r="1940" spans="1:4" ht="22.5" customHeight="1" x14ac:dyDescent="0.15">
      <c r="A1940" s="16" t="s">
        <v>395</v>
      </c>
      <c r="B1940" s="12" t="s">
        <v>3193</v>
      </c>
      <c r="C1940" s="13" t="s">
        <v>30</v>
      </c>
      <c r="D1940" s="40">
        <v>0</v>
      </c>
    </row>
    <row r="1941" spans="1:4" ht="22.5" customHeight="1" x14ac:dyDescent="0.15">
      <c r="A1941" s="16" t="s">
        <v>395</v>
      </c>
      <c r="B1941" s="12" t="s">
        <v>3194</v>
      </c>
      <c r="C1941" s="13" t="s">
        <v>83</v>
      </c>
      <c r="D1941" s="40">
        <v>0</v>
      </c>
    </row>
    <row r="1942" spans="1:4" ht="22.5" customHeight="1" x14ac:dyDescent="0.15">
      <c r="A1942" s="16" t="s">
        <v>1165</v>
      </c>
      <c r="B1942" s="12" t="s">
        <v>3195</v>
      </c>
      <c r="C1942" s="13" t="s">
        <v>88</v>
      </c>
      <c r="D1942" s="40">
        <v>0</v>
      </c>
    </row>
    <row r="1943" spans="1:4" ht="22.5" customHeight="1" x14ac:dyDescent="0.15">
      <c r="A1943" s="16" t="s">
        <v>166</v>
      </c>
      <c r="B1943" s="12" t="s">
        <v>3196</v>
      </c>
      <c r="C1943" s="13" t="s">
        <v>30</v>
      </c>
      <c r="D1943" s="40">
        <v>0</v>
      </c>
    </row>
  </sheetData>
  <dataValidations count="1">
    <dataValidation type="list" allowBlank="1" sqref="C2:C1943" xr:uid="{00000000-0002-0000-0700-000000000000}">
      <formula1>"Commit&amp;PR rule,Task Execution,Documentation,Coding Pattern,Code Review,Writing Style Preference,Coding Style,Testing,Maintainability,Build &amp; Operation,Performance,Security,Other,NOT_ENOUGH_CONTEXT"</formula1>
    </dataValidation>
  </dataValidations>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 ref="A29" r:id="rId28" xr:uid="{00000000-0004-0000-0700-00001B000000}"/>
    <hyperlink ref="A30" r:id="rId29" xr:uid="{00000000-0004-0000-0700-00001C000000}"/>
    <hyperlink ref="A31" r:id="rId30" xr:uid="{00000000-0004-0000-0700-00001D000000}"/>
    <hyperlink ref="A32" r:id="rId31" xr:uid="{00000000-0004-0000-0700-00001E000000}"/>
    <hyperlink ref="A33" r:id="rId32" xr:uid="{00000000-0004-0000-0700-00001F000000}"/>
    <hyperlink ref="A34" r:id="rId33" xr:uid="{00000000-0004-0000-0700-000020000000}"/>
    <hyperlink ref="A35" r:id="rId34" xr:uid="{00000000-0004-0000-0700-000021000000}"/>
    <hyperlink ref="A36" r:id="rId35" xr:uid="{00000000-0004-0000-0700-000022000000}"/>
    <hyperlink ref="A37" r:id="rId36" xr:uid="{00000000-0004-0000-0700-000023000000}"/>
    <hyperlink ref="A38" r:id="rId37" xr:uid="{00000000-0004-0000-0700-000024000000}"/>
    <hyperlink ref="A39" r:id="rId38" xr:uid="{00000000-0004-0000-0700-000025000000}"/>
    <hyperlink ref="A40" r:id="rId39" xr:uid="{00000000-0004-0000-0700-000026000000}"/>
    <hyperlink ref="A41" r:id="rId40" xr:uid="{00000000-0004-0000-0700-000027000000}"/>
    <hyperlink ref="A42" r:id="rId41" xr:uid="{00000000-0004-0000-0700-000028000000}"/>
    <hyperlink ref="A43" r:id="rId42" xr:uid="{00000000-0004-0000-0700-000029000000}"/>
    <hyperlink ref="A44" r:id="rId43" xr:uid="{00000000-0004-0000-0700-00002A000000}"/>
    <hyperlink ref="A45" r:id="rId44" xr:uid="{00000000-0004-0000-0700-00002B000000}"/>
    <hyperlink ref="A46" r:id="rId45" xr:uid="{00000000-0004-0000-0700-00002C000000}"/>
    <hyperlink ref="A47" r:id="rId46" xr:uid="{00000000-0004-0000-0700-00002D000000}"/>
    <hyperlink ref="A48" r:id="rId47" xr:uid="{00000000-0004-0000-0700-00002E000000}"/>
    <hyperlink ref="A49" r:id="rId48" xr:uid="{00000000-0004-0000-0700-00002F000000}"/>
    <hyperlink ref="A50" r:id="rId49" xr:uid="{00000000-0004-0000-0700-000030000000}"/>
    <hyperlink ref="A51" r:id="rId50" xr:uid="{00000000-0004-0000-0700-000031000000}"/>
    <hyperlink ref="A52" r:id="rId51" xr:uid="{00000000-0004-0000-0700-000032000000}"/>
    <hyperlink ref="A53" r:id="rId52" xr:uid="{00000000-0004-0000-0700-000033000000}"/>
    <hyperlink ref="A54" r:id="rId53" xr:uid="{00000000-0004-0000-0700-000034000000}"/>
    <hyperlink ref="A55" r:id="rId54" xr:uid="{00000000-0004-0000-0700-000035000000}"/>
    <hyperlink ref="A56" r:id="rId55" xr:uid="{00000000-0004-0000-0700-000036000000}"/>
    <hyperlink ref="A57" r:id="rId56" xr:uid="{00000000-0004-0000-0700-000037000000}"/>
    <hyperlink ref="A58" r:id="rId57" xr:uid="{00000000-0004-0000-0700-000038000000}"/>
    <hyperlink ref="A59" r:id="rId58" xr:uid="{00000000-0004-0000-0700-000039000000}"/>
    <hyperlink ref="A60" r:id="rId59" xr:uid="{00000000-0004-0000-0700-00003A000000}"/>
    <hyperlink ref="A61" r:id="rId60" xr:uid="{00000000-0004-0000-0700-00003B000000}"/>
    <hyperlink ref="A62" r:id="rId61" xr:uid="{00000000-0004-0000-0700-00003C000000}"/>
    <hyperlink ref="A63" r:id="rId62" xr:uid="{00000000-0004-0000-0700-00003D000000}"/>
    <hyperlink ref="A64" r:id="rId63" xr:uid="{00000000-0004-0000-0700-00003E000000}"/>
    <hyperlink ref="A65" r:id="rId64" xr:uid="{00000000-0004-0000-0700-00003F000000}"/>
    <hyperlink ref="A66" r:id="rId65" xr:uid="{00000000-0004-0000-0700-000040000000}"/>
    <hyperlink ref="A67" r:id="rId66" xr:uid="{00000000-0004-0000-0700-000041000000}"/>
    <hyperlink ref="A68" r:id="rId67" xr:uid="{00000000-0004-0000-0700-000042000000}"/>
    <hyperlink ref="A69" r:id="rId68" xr:uid="{00000000-0004-0000-0700-000043000000}"/>
    <hyperlink ref="A70" r:id="rId69" xr:uid="{00000000-0004-0000-0700-000044000000}"/>
    <hyperlink ref="A71" r:id="rId70" xr:uid="{00000000-0004-0000-0700-000045000000}"/>
    <hyperlink ref="A72" r:id="rId71" xr:uid="{00000000-0004-0000-0700-000046000000}"/>
    <hyperlink ref="A73" r:id="rId72" xr:uid="{00000000-0004-0000-0700-000047000000}"/>
    <hyperlink ref="A74" r:id="rId73" xr:uid="{00000000-0004-0000-0700-000048000000}"/>
    <hyperlink ref="A75" r:id="rId74" xr:uid="{00000000-0004-0000-0700-000049000000}"/>
    <hyperlink ref="A76" r:id="rId75" xr:uid="{00000000-0004-0000-0700-00004A000000}"/>
    <hyperlink ref="A77" r:id="rId76" xr:uid="{00000000-0004-0000-0700-00004B000000}"/>
    <hyperlink ref="A78" r:id="rId77" xr:uid="{00000000-0004-0000-0700-00004C000000}"/>
    <hyperlink ref="A79" r:id="rId78" xr:uid="{00000000-0004-0000-0700-00004D000000}"/>
    <hyperlink ref="A80" r:id="rId79" xr:uid="{00000000-0004-0000-0700-00004E000000}"/>
    <hyperlink ref="A81" r:id="rId80" xr:uid="{00000000-0004-0000-0700-00004F000000}"/>
    <hyperlink ref="A82" r:id="rId81" xr:uid="{00000000-0004-0000-0700-000050000000}"/>
    <hyperlink ref="A83" r:id="rId82" xr:uid="{00000000-0004-0000-0700-000051000000}"/>
    <hyperlink ref="A84" r:id="rId83" xr:uid="{00000000-0004-0000-0700-000052000000}"/>
    <hyperlink ref="A85" r:id="rId84" xr:uid="{00000000-0004-0000-0700-000053000000}"/>
    <hyperlink ref="A86" r:id="rId85" xr:uid="{00000000-0004-0000-0700-000054000000}"/>
    <hyperlink ref="A87" r:id="rId86" xr:uid="{00000000-0004-0000-0700-000055000000}"/>
    <hyperlink ref="A88" r:id="rId87" xr:uid="{00000000-0004-0000-0700-000056000000}"/>
    <hyperlink ref="A89" r:id="rId88" xr:uid="{00000000-0004-0000-0700-000057000000}"/>
    <hyperlink ref="A90" r:id="rId89" xr:uid="{00000000-0004-0000-0700-000058000000}"/>
    <hyperlink ref="A91" r:id="rId90" xr:uid="{00000000-0004-0000-0700-000059000000}"/>
    <hyperlink ref="A92" r:id="rId91" xr:uid="{00000000-0004-0000-0700-00005A000000}"/>
    <hyperlink ref="A93" r:id="rId92" xr:uid="{00000000-0004-0000-0700-00005B000000}"/>
    <hyperlink ref="A94" r:id="rId93" xr:uid="{00000000-0004-0000-0700-00005C000000}"/>
    <hyperlink ref="A95" r:id="rId94" xr:uid="{00000000-0004-0000-0700-00005D000000}"/>
    <hyperlink ref="A96" r:id="rId95" xr:uid="{00000000-0004-0000-0700-00005E000000}"/>
    <hyperlink ref="A97" r:id="rId96" xr:uid="{00000000-0004-0000-0700-00005F000000}"/>
    <hyperlink ref="A98" r:id="rId97" xr:uid="{00000000-0004-0000-0700-000060000000}"/>
    <hyperlink ref="A99" r:id="rId98" xr:uid="{00000000-0004-0000-0700-000061000000}"/>
    <hyperlink ref="A100" r:id="rId99" xr:uid="{00000000-0004-0000-0700-000062000000}"/>
    <hyperlink ref="A101" r:id="rId100" xr:uid="{00000000-0004-0000-0700-000063000000}"/>
    <hyperlink ref="A102" r:id="rId101" xr:uid="{00000000-0004-0000-0700-000064000000}"/>
    <hyperlink ref="A103" r:id="rId102" xr:uid="{00000000-0004-0000-0700-000065000000}"/>
    <hyperlink ref="A104" r:id="rId103" xr:uid="{00000000-0004-0000-0700-000066000000}"/>
    <hyperlink ref="A105" r:id="rId104" xr:uid="{00000000-0004-0000-0700-000067000000}"/>
    <hyperlink ref="A106" r:id="rId105" xr:uid="{00000000-0004-0000-0700-000068000000}"/>
    <hyperlink ref="A107" r:id="rId106" xr:uid="{00000000-0004-0000-0700-000069000000}"/>
    <hyperlink ref="A108" r:id="rId107" xr:uid="{00000000-0004-0000-0700-00006A000000}"/>
    <hyperlink ref="A109" r:id="rId108" xr:uid="{00000000-0004-0000-0700-00006B000000}"/>
    <hyperlink ref="A110" r:id="rId109" xr:uid="{00000000-0004-0000-0700-00006C000000}"/>
    <hyperlink ref="A111" r:id="rId110" xr:uid="{00000000-0004-0000-0700-00006D000000}"/>
    <hyperlink ref="A112" r:id="rId111" xr:uid="{00000000-0004-0000-0700-00006E000000}"/>
    <hyperlink ref="A113" r:id="rId112" xr:uid="{00000000-0004-0000-0700-00006F000000}"/>
    <hyperlink ref="A114" r:id="rId113" xr:uid="{00000000-0004-0000-0700-000070000000}"/>
    <hyperlink ref="A115" r:id="rId114" xr:uid="{00000000-0004-0000-0700-000071000000}"/>
    <hyperlink ref="A116" r:id="rId115" xr:uid="{00000000-0004-0000-0700-000072000000}"/>
    <hyperlink ref="A117" r:id="rId116" xr:uid="{00000000-0004-0000-0700-000073000000}"/>
    <hyperlink ref="A118" r:id="rId117" xr:uid="{00000000-0004-0000-0700-000074000000}"/>
    <hyperlink ref="A119" r:id="rId118" xr:uid="{00000000-0004-0000-0700-000075000000}"/>
    <hyperlink ref="A120" r:id="rId119" xr:uid="{00000000-0004-0000-0700-000076000000}"/>
    <hyperlink ref="A121" r:id="rId120" xr:uid="{00000000-0004-0000-0700-000077000000}"/>
    <hyperlink ref="A122" r:id="rId121" xr:uid="{00000000-0004-0000-0700-000078000000}"/>
    <hyperlink ref="A123" r:id="rId122" xr:uid="{00000000-0004-0000-0700-000079000000}"/>
    <hyperlink ref="A124" r:id="rId123" xr:uid="{00000000-0004-0000-0700-00007A000000}"/>
    <hyperlink ref="A125" r:id="rId124" xr:uid="{00000000-0004-0000-0700-00007B000000}"/>
    <hyperlink ref="A126" r:id="rId125" xr:uid="{00000000-0004-0000-0700-00007C000000}"/>
    <hyperlink ref="A127" r:id="rId126" xr:uid="{00000000-0004-0000-0700-00007D000000}"/>
    <hyperlink ref="A128" r:id="rId127" xr:uid="{00000000-0004-0000-0700-00007E000000}"/>
    <hyperlink ref="A129" r:id="rId128" xr:uid="{00000000-0004-0000-0700-00007F000000}"/>
    <hyperlink ref="A130" r:id="rId129" xr:uid="{00000000-0004-0000-0700-000080000000}"/>
    <hyperlink ref="A131" r:id="rId130" xr:uid="{00000000-0004-0000-0700-000081000000}"/>
    <hyperlink ref="A132" r:id="rId131" xr:uid="{00000000-0004-0000-0700-000082000000}"/>
    <hyperlink ref="A133" r:id="rId132" xr:uid="{00000000-0004-0000-0700-000083000000}"/>
    <hyperlink ref="A134" r:id="rId133" xr:uid="{00000000-0004-0000-0700-000084000000}"/>
    <hyperlink ref="A135" r:id="rId134" xr:uid="{00000000-0004-0000-0700-000085000000}"/>
    <hyperlink ref="A136" r:id="rId135" xr:uid="{00000000-0004-0000-0700-000086000000}"/>
    <hyperlink ref="A137" r:id="rId136" xr:uid="{00000000-0004-0000-0700-000087000000}"/>
    <hyperlink ref="A138" r:id="rId137" xr:uid="{00000000-0004-0000-0700-000088000000}"/>
    <hyperlink ref="A139" r:id="rId138" xr:uid="{00000000-0004-0000-0700-000089000000}"/>
    <hyperlink ref="A140" r:id="rId139" xr:uid="{00000000-0004-0000-0700-00008A000000}"/>
    <hyperlink ref="A141" r:id="rId140" xr:uid="{00000000-0004-0000-0700-00008B000000}"/>
    <hyperlink ref="A142" r:id="rId141" xr:uid="{00000000-0004-0000-0700-00008C000000}"/>
    <hyperlink ref="A143" r:id="rId142" xr:uid="{00000000-0004-0000-0700-00008D000000}"/>
    <hyperlink ref="A144" r:id="rId143" xr:uid="{00000000-0004-0000-0700-00008E000000}"/>
    <hyperlink ref="A145" r:id="rId144" xr:uid="{00000000-0004-0000-0700-00008F000000}"/>
    <hyperlink ref="A146" r:id="rId145" xr:uid="{00000000-0004-0000-0700-000090000000}"/>
    <hyperlink ref="A147" r:id="rId146" xr:uid="{00000000-0004-0000-0700-000091000000}"/>
    <hyperlink ref="A148" r:id="rId147" xr:uid="{00000000-0004-0000-0700-000092000000}"/>
    <hyperlink ref="A149" r:id="rId148" xr:uid="{00000000-0004-0000-0700-000093000000}"/>
    <hyperlink ref="A150" r:id="rId149" xr:uid="{00000000-0004-0000-0700-000094000000}"/>
    <hyperlink ref="A151" r:id="rId150" xr:uid="{00000000-0004-0000-0700-000095000000}"/>
    <hyperlink ref="A152" r:id="rId151" xr:uid="{00000000-0004-0000-0700-000096000000}"/>
    <hyperlink ref="A153" r:id="rId152" xr:uid="{00000000-0004-0000-0700-000097000000}"/>
    <hyperlink ref="A154" r:id="rId153" xr:uid="{00000000-0004-0000-0700-000098000000}"/>
    <hyperlink ref="A155" r:id="rId154" xr:uid="{00000000-0004-0000-0700-000099000000}"/>
    <hyperlink ref="A156" r:id="rId155" xr:uid="{00000000-0004-0000-0700-00009A000000}"/>
    <hyperlink ref="A157" r:id="rId156" xr:uid="{00000000-0004-0000-0700-00009B000000}"/>
    <hyperlink ref="A158" r:id="rId157" xr:uid="{00000000-0004-0000-0700-00009C000000}"/>
    <hyperlink ref="A159" r:id="rId158" xr:uid="{00000000-0004-0000-0700-00009D000000}"/>
    <hyperlink ref="A160" r:id="rId159" xr:uid="{00000000-0004-0000-0700-00009E000000}"/>
    <hyperlink ref="A161" r:id="rId160" xr:uid="{00000000-0004-0000-0700-00009F000000}"/>
    <hyperlink ref="A162" r:id="rId161" xr:uid="{00000000-0004-0000-0700-0000A0000000}"/>
    <hyperlink ref="A163" r:id="rId162" xr:uid="{00000000-0004-0000-0700-0000A1000000}"/>
    <hyperlink ref="A164" r:id="rId163" xr:uid="{00000000-0004-0000-0700-0000A2000000}"/>
    <hyperlink ref="A165" r:id="rId164" xr:uid="{00000000-0004-0000-0700-0000A3000000}"/>
    <hyperlink ref="A166" r:id="rId165" xr:uid="{00000000-0004-0000-0700-0000A4000000}"/>
    <hyperlink ref="A167" r:id="rId166" xr:uid="{00000000-0004-0000-0700-0000A5000000}"/>
    <hyperlink ref="A168" r:id="rId167" xr:uid="{00000000-0004-0000-0700-0000A6000000}"/>
    <hyperlink ref="A169" r:id="rId168" xr:uid="{00000000-0004-0000-0700-0000A7000000}"/>
    <hyperlink ref="A170" r:id="rId169" xr:uid="{00000000-0004-0000-0700-0000A8000000}"/>
    <hyperlink ref="A171" r:id="rId170" xr:uid="{00000000-0004-0000-0700-0000A9000000}"/>
    <hyperlink ref="A172" r:id="rId171" xr:uid="{00000000-0004-0000-0700-0000AA000000}"/>
    <hyperlink ref="A173" r:id="rId172" xr:uid="{00000000-0004-0000-0700-0000AB000000}"/>
    <hyperlink ref="A174" r:id="rId173" xr:uid="{00000000-0004-0000-0700-0000AC000000}"/>
    <hyperlink ref="A175" r:id="rId174" xr:uid="{00000000-0004-0000-0700-0000AD000000}"/>
    <hyperlink ref="A176" r:id="rId175" xr:uid="{00000000-0004-0000-0700-0000AE000000}"/>
    <hyperlink ref="A177" r:id="rId176" xr:uid="{00000000-0004-0000-0700-0000AF000000}"/>
    <hyperlink ref="A178" r:id="rId177" xr:uid="{00000000-0004-0000-0700-0000B0000000}"/>
    <hyperlink ref="A179" r:id="rId178" xr:uid="{00000000-0004-0000-0700-0000B1000000}"/>
    <hyperlink ref="A180" r:id="rId179" xr:uid="{00000000-0004-0000-0700-0000B2000000}"/>
    <hyperlink ref="A181" r:id="rId180" xr:uid="{00000000-0004-0000-0700-0000B3000000}"/>
    <hyperlink ref="A182" r:id="rId181" xr:uid="{00000000-0004-0000-0700-0000B4000000}"/>
    <hyperlink ref="A183" r:id="rId182" xr:uid="{00000000-0004-0000-0700-0000B5000000}"/>
    <hyperlink ref="A184" r:id="rId183" xr:uid="{00000000-0004-0000-0700-0000B6000000}"/>
    <hyperlink ref="A185" r:id="rId184" xr:uid="{00000000-0004-0000-0700-0000B7000000}"/>
    <hyperlink ref="A186" r:id="rId185" xr:uid="{00000000-0004-0000-0700-0000B8000000}"/>
    <hyperlink ref="A187" r:id="rId186" xr:uid="{00000000-0004-0000-0700-0000B9000000}"/>
    <hyperlink ref="A188" r:id="rId187" xr:uid="{00000000-0004-0000-0700-0000BA000000}"/>
    <hyperlink ref="A189" r:id="rId188" xr:uid="{00000000-0004-0000-0700-0000BB000000}"/>
    <hyperlink ref="A190" r:id="rId189" xr:uid="{00000000-0004-0000-0700-0000BC000000}"/>
    <hyperlink ref="A191" r:id="rId190" xr:uid="{00000000-0004-0000-0700-0000BD000000}"/>
    <hyperlink ref="A192" r:id="rId191" xr:uid="{00000000-0004-0000-0700-0000BE000000}"/>
    <hyperlink ref="A193" r:id="rId192" xr:uid="{00000000-0004-0000-0700-0000BF000000}"/>
    <hyperlink ref="A194" r:id="rId193" xr:uid="{00000000-0004-0000-0700-0000C0000000}"/>
    <hyperlink ref="A195" r:id="rId194" xr:uid="{00000000-0004-0000-0700-0000C1000000}"/>
    <hyperlink ref="A196" r:id="rId195" xr:uid="{00000000-0004-0000-0700-0000C2000000}"/>
    <hyperlink ref="A197" r:id="rId196" xr:uid="{00000000-0004-0000-0700-0000C3000000}"/>
    <hyperlink ref="A198" r:id="rId197" xr:uid="{00000000-0004-0000-0700-0000C4000000}"/>
    <hyperlink ref="A199" r:id="rId198" xr:uid="{00000000-0004-0000-0700-0000C5000000}"/>
    <hyperlink ref="A200" r:id="rId199" xr:uid="{00000000-0004-0000-0700-0000C6000000}"/>
    <hyperlink ref="A201" r:id="rId200" xr:uid="{00000000-0004-0000-0700-0000C7000000}"/>
    <hyperlink ref="A202" r:id="rId201" xr:uid="{00000000-0004-0000-0700-0000C8000000}"/>
    <hyperlink ref="A203" r:id="rId202" xr:uid="{00000000-0004-0000-0700-0000C9000000}"/>
    <hyperlink ref="A204" r:id="rId203" xr:uid="{00000000-0004-0000-0700-0000CA000000}"/>
    <hyperlink ref="A205" r:id="rId204" xr:uid="{00000000-0004-0000-0700-0000CB000000}"/>
    <hyperlink ref="A206" r:id="rId205" xr:uid="{00000000-0004-0000-0700-0000CC000000}"/>
    <hyperlink ref="A207" r:id="rId206" xr:uid="{00000000-0004-0000-0700-0000CD000000}"/>
    <hyperlink ref="A208" r:id="rId207" xr:uid="{00000000-0004-0000-0700-0000CE000000}"/>
    <hyperlink ref="A209" r:id="rId208" xr:uid="{00000000-0004-0000-0700-0000CF000000}"/>
    <hyperlink ref="A210" r:id="rId209" xr:uid="{00000000-0004-0000-0700-0000D0000000}"/>
    <hyperlink ref="A211" r:id="rId210" xr:uid="{00000000-0004-0000-0700-0000D1000000}"/>
    <hyperlink ref="A212" r:id="rId211" xr:uid="{00000000-0004-0000-0700-0000D2000000}"/>
    <hyperlink ref="A213" r:id="rId212" xr:uid="{00000000-0004-0000-0700-0000D3000000}"/>
    <hyperlink ref="A214" r:id="rId213" xr:uid="{00000000-0004-0000-0700-0000D4000000}"/>
    <hyperlink ref="A215" r:id="rId214" xr:uid="{00000000-0004-0000-0700-0000D5000000}"/>
    <hyperlink ref="A216" r:id="rId215" xr:uid="{00000000-0004-0000-0700-0000D6000000}"/>
    <hyperlink ref="A217" r:id="rId216" xr:uid="{00000000-0004-0000-0700-0000D7000000}"/>
    <hyperlink ref="A218" r:id="rId217" xr:uid="{00000000-0004-0000-0700-0000D8000000}"/>
    <hyperlink ref="A219" r:id="rId218" xr:uid="{00000000-0004-0000-0700-0000D9000000}"/>
    <hyperlink ref="A220" r:id="rId219" xr:uid="{00000000-0004-0000-0700-0000DA000000}"/>
    <hyperlink ref="A221" r:id="rId220" xr:uid="{00000000-0004-0000-0700-0000DB000000}"/>
    <hyperlink ref="A222" r:id="rId221" xr:uid="{00000000-0004-0000-0700-0000DC000000}"/>
    <hyperlink ref="A223" r:id="rId222" xr:uid="{00000000-0004-0000-0700-0000DD000000}"/>
    <hyperlink ref="A224" r:id="rId223" xr:uid="{00000000-0004-0000-0700-0000DE000000}"/>
    <hyperlink ref="A225" r:id="rId224" xr:uid="{00000000-0004-0000-0700-0000DF000000}"/>
    <hyperlink ref="A226" r:id="rId225" xr:uid="{00000000-0004-0000-0700-0000E0000000}"/>
    <hyperlink ref="A227" r:id="rId226" xr:uid="{00000000-0004-0000-0700-0000E1000000}"/>
    <hyperlink ref="A228" r:id="rId227" xr:uid="{00000000-0004-0000-0700-0000E2000000}"/>
    <hyperlink ref="A229" r:id="rId228" xr:uid="{00000000-0004-0000-0700-0000E3000000}"/>
    <hyperlink ref="A230" r:id="rId229" xr:uid="{00000000-0004-0000-0700-0000E4000000}"/>
    <hyperlink ref="A231" r:id="rId230" xr:uid="{00000000-0004-0000-0700-0000E5000000}"/>
    <hyperlink ref="A232" r:id="rId231" xr:uid="{00000000-0004-0000-0700-0000E6000000}"/>
    <hyperlink ref="A233" r:id="rId232" xr:uid="{00000000-0004-0000-0700-0000E7000000}"/>
    <hyperlink ref="A234" r:id="rId233" xr:uid="{00000000-0004-0000-0700-0000E8000000}"/>
    <hyperlink ref="A235" r:id="rId234" xr:uid="{00000000-0004-0000-0700-0000E9000000}"/>
    <hyperlink ref="A236" r:id="rId235" xr:uid="{00000000-0004-0000-0700-0000EA000000}"/>
    <hyperlink ref="A237" r:id="rId236" xr:uid="{00000000-0004-0000-0700-0000EB000000}"/>
    <hyperlink ref="A238" r:id="rId237" xr:uid="{00000000-0004-0000-0700-0000EC000000}"/>
    <hyperlink ref="A239" r:id="rId238" xr:uid="{00000000-0004-0000-0700-0000ED000000}"/>
    <hyperlink ref="A240" r:id="rId239" xr:uid="{00000000-0004-0000-0700-0000EE000000}"/>
    <hyperlink ref="A241" r:id="rId240" xr:uid="{00000000-0004-0000-0700-0000EF000000}"/>
    <hyperlink ref="A242" r:id="rId241" xr:uid="{00000000-0004-0000-0700-0000F0000000}"/>
    <hyperlink ref="A243" r:id="rId242" xr:uid="{00000000-0004-0000-0700-0000F1000000}"/>
    <hyperlink ref="A244" r:id="rId243" xr:uid="{00000000-0004-0000-0700-0000F2000000}"/>
    <hyperlink ref="A245" r:id="rId244" xr:uid="{00000000-0004-0000-0700-0000F3000000}"/>
    <hyperlink ref="A246" r:id="rId245" xr:uid="{00000000-0004-0000-0700-0000F4000000}"/>
    <hyperlink ref="A247" r:id="rId246" xr:uid="{00000000-0004-0000-0700-0000F5000000}"/>
    <hyperlink ref="A248" r:id="rId247" xr:uid="{00000000-0004-0000-0700-0000F6000000}"/>
    <hyperlink ref="A249" r:id="rId248" xr:uid="{00000000-0004-0000-0700-0000F7000000}"/>
    <hyperlink ref="A250" r:id="rId249" xr:uid="{00000000-0004-0000-0700-0000F8000000}"/>
    <hyperlink ref="A251" r:id="rId250" xr:uid="{00000000-0004-0000-0700-0000F9000000}"/>
    <hyperlink ref="A252" r:id="rId251" xr:uid="{00000000-0004-0000-0700-0000FA000000}"/>
    <hyperlink ref="A253" r:id="rId252" xr:uid="{00000000-0004-0000-0700-0000FB000000}"/>
    <hyperlink ref="A254" r:id="rId253" xr:uid="{00000000-0004-0000-0700-0000FC000000}"/>
    <hyperlink ref="A255" r:id="rId254" xr:uid="{00000000-0004-0000-0700-0000FD000000}"/>
    <hyperlink ref="A256" r:id="rId255" xr:uid="{00000000-0004-0000-0700-0000FE000000}"/>
    <hyperlink ref="A257" r:id="rId256" xr:uid="{00000000-0004-0000-0700-0000FF000000}"/>
    <hyperlink ref="A258" r:id="rId257" xr:uid="{00000000-0004-0000-0700-000000010000}"/>
    <hyperlink ref="A259" r:id="rId258" xr:uid="{00000000-0004-0000-0700-000001010000}"/>
    <hyperlink ref="A260" r:id="rId259" xr:uid="{00000000-0004-0000-0700-000002010000}"/>
    <hyperlink ref="A261" r:id="rId260" xr:uid="{00000000-0004-0000-0700-000003010000}"/>
    <hyperlink ref="A262" r:id="rId261" xr:uid="{00000000-0004-0000-0700-000004010000}"/>
    <hyperlink ref="A263" r:id="rId262" xr:uid="{00000000-0004-0000-0700-000005010000}"/>
    <hyperlink ref="A264" r:id="rId263" xr:uid="{00000000-0004-0000-0700-000006010000}"/>
    <hyperlink ref="A265" r:id="rId264" xr:uid="{00000000-0004-0000-0700-000007010000}"/>
    <hyperlink ref="A266" r:id="rId265" xr:uid="{00000000-0004-0000-0700-000008010000}"/>
    <hyperlink ref="A267" r:id="rId266" xr:uid="{00000000-0004-0000-0700-000009010000}"/>
    <hyperlink ref="A268" r:id="rId267" xr:uid="{00000000-0004-0000-0700-00000A010000}"/>
    <hyperlink ref="A269" r:id="rId268" xr:uid="{00000000-0004-0000-0700-00000B010000}"/>
    <hyperlink ref="A270" r:id="rId269" xr:uid="{00000000-0004-0000-0700-00000C010000}"/>
    <hyperlink ref="A271" r:id="rId270" xr:uid="{00000000-0004-0000-0700-00000D010000}"/>
    <hyperlink ref="A272" r:id="rId271" xr:uid="{00000000-0004-0000-0700-00000E010000}"/>
    <hyperlink ref="A273" r:id="rId272" xr:uid="{00000000-0004-0000-0700-00000F010000}"/>
    <hyperlink ref="A274" r:id="rId273" xr:uid="{00000000-0004-0000-0700-000010010000}"/>
    <hyperlink ref="A275" r:id="rId274" xr:uid="{00000000-0004-0000-0700-000011010000}"/>
    <hyperlink ref="A276" r:id="rId275" xr:uid="{00000000-0004-0000-0700-000012010000}"/>
    <hyperlink ref="A277" r:id="rId276" xr:uid="{00000000-0004-0000-0700-000013010000}"/>
    <hyperlink ref="A278" r:id="rId277" xr:uid="{00000000-0004-0000-0700-000014010000}"/>
    <hyperlink ref="A279" r:id="rId278" xr:uid="{00000000-0004-0000-0700-000015010000}"/>
    <hyperlink ref="A280" r:id="rId279" xr:uid="{00000000-0004-0000-0700-000016010000}"/>
    <hyperlink ref="A281" r:id="rId280" xr:uid="{00000000-0004-0000-0700-000017010000}"/>
    <hyperlink ref="A282" r:id="rId281" xr:uid="{00000000-0004-0000-0700-000018010000}"/>
    <hyperlink ref="A283" r:id="rId282" xr:uid="{00000000-0004-0000-0700-000019010000}"/>
    <hyperlink ref="A284" r:id="rId283" xr:uid="{00000000-0004-0000-0700-00001A010000}"/>
    <hyperlink ref="A285" r:id="rId284" xr:uid="{00000000-0004-0000-0700-00001B010000}"/>
    <hyperlink ref="A286" r:id="rId285" xr:uid="{00000000-0004-0000-0700-00001C010000}"/>
    <hyperlink ref="A287" r:id="rId286" xr:uid="{00000000-0004-0000-0700-00001D010000}"/>
    <hyperlink ref="A288" r:id="rId287" xr:uid="{00000000-0004-0000-0700-00001E010000}"/>
    <hyperlink ref="A289" r:id="rId288" xr:uid="{00000000-0004-0000-0700-00001F010000}"/>
    <hyperlink ref="A290" r:id="rId289" xr:uid="{00000000-0004-0000-0700-000020010000}"/>
    <hyperlink ref="A291" r:id="rId290" xr:uid="{00000000-0004-0000-0700-000021010000}"/>
    <hyperlink ref="A292" r:id="rId291" xr:uid="{00000000-0004-0000-0700-000022010000}"/>
    <hyperlink ref="A293" r:id="rId292" xr:uid="{00000000-0004-0000-0700-000023010000}"/>
    <hyperlink ref="A294" r:id="rId293" xr:uid="{00000000-0004-0000-0700-000024010000}"/>
    <hyperlink ref="A295" r:id="rId294" xr:uid="{00000000-0004-0000-0700-000025010000}"/>
    <hyperlink ref="A296" r:id="rId295" xr:uid="{00000000-0004-0000-0700-000026010000}"/>
    <hyperlink ref="A297" r:id="rId296" xr:uid="{00000000-0004-0000-0700-000027010000}"/>
    <hyperlink ref="A298" r:id="rId297" xr:uid="{00000000-0004-0000-0700-000028010000}"/>
    <hyperlink ref="A299" r:id="rId298" xr:uid="{00000000-0004-0000-0700-000029010000}"/>
    <hyperlink ref="A300" r:id="rId299" xr:uid="{00000000-0004-0000-0700-00002A010000}"/>
    <hyperlink ref="A301" r:id="rId300" xr:uid="{00000000-0004-0000-0700-00002B010000}"/>
    <hyperlink ref="A302" r:id="rId301" xr:uid="{00000000-0004-0000-0700-00002C010000}"/>
    <hyperlink ref="A303" r:id="rId302" xr:uid="{00000000-0004-0000-0700-00002D010000}"/>
    <hyperlink ref="A304" r:id="rId303" xr:uid="{00000000-0004-0000-0700-00002E010000}"/>
    <hyperlink ref="A305" r:id="rId304" xr:uid="{00000000-0004-0000-0700-00002F010000}"/>
    <hyperlink ref="A306" r:id="rId305" xr:uid="{00000000-0004-0000-0700-000030010000}"/>
    <hyperlink ref="A307" r:id="rId306" xr:uid="{00000000-0004-0000-0700-000031010000}"/>
    <hyperlink ref="A308" r:id="rId307" xr:uid="{00000000-0004-0000-0700-000032010000}"/>
    <hyperlink ref="A309" r:id="rId308" xr:uid="{00000000-0004-0000-0700-000033010000}"/>
    <hyperlink ref="A310" r:id="rId309" xr:uid="{00000000-0004-0000-0700-000034010000}"/>
    <hyperlink ref="A311" r:id="rId310" xr:uid="{00000000-0004-0000-0700-000035010000}"/>
    <hyperlink ref="A312" r:id="rId311" xr:uid="{00000000-0004-0000-0700-000036010000}"/>
    <hyperlink ref="A313" r:id="rId312" xr:uid="{00000000-0004-0000-0700-000037010000}"/>
    <hyperlink ref="A314" r:id="rId313" xr:uid="{00000000-0004-0000-0700-000038010000}"/>
    <hyperlink ref="A315" r:id="rId314" xr:uid="{00000000-0004-0000-0700-000039010000}"/>
    <hyperlink ref="A316" r:id="rId315" xr:uid="{00000000-0004-0000-0700-00003A010000}"/>
    <hyperlink ref="A317" r:id="rId316" xr:uid="{00000000-0004-0000-0700-00003B010000}"/>
    <hyperlink ref="A318" r:id="rId317" xr:uid="{00000000-0004-0000-0700-00003C010000}"/>
    <hyperlink ref="A319" r:id="rId318" xr:uid="{00000000-0004-0000-0700-00003D010000}"/>
    <hyperlink ref="A320" r:id="rId319" xr:uid="{00000000-0004-0000-0700-00003E010000}"/>
    <hyperlink ref="A321" r:id="rId320" xr:uid="{00000000-0004-0000-0700-00003F010000}"/>
    <hyperlink ref="A322" r:id="rId321" xr:uid="{00000000-0004-0000-0700-000040010000}"/>
    <hyperlink ref="A323" r:id="rId322" xr:uid="{00000000-0004-0000-0700-000041010000}"/>
    <hyperlink ref="A324" r:id="rId323" xr:uid="{00000000-0004-0000-0700-000042010000}"/>
    <hyperlink ref="A325" r:id="rId324" xr:uid="{00000000-0004-0000-0700-000043010000}"/>
    <hyperlink ref="A326" r:id="rId325" xr:uid="{00000000-0004-0000-0700-000044010000}"/>
    <hyperlink ref="A327" r:id="rId326" xr:uid="{00000000-0004-0000-0700-000045010000}"/>
    <hyperlink ref="A328" r:id="rId327" xr:uid="{00000000-0004-0000-0700-000046010000}"/>
    <hyperlink ref="A329" r:id="rId328" xr:uid="{00000000-0004-0000-0700-000047010000}"/>
    <hyperlink ref="A330" r:id="rId329" xr:uid="{00000000-0004-0000-0700-000048010000}"/>
    <hyperlink ref="A331" r:id="rId330" xr:uid="{00000000-0004-0000-0700-000049010000}"/>
    <hyperlink ref="A332" r:id="rId331" xr:uid="{00000000-0004-0000-0700-00004A010000}"/>
    <hyperlink ref="A333" r:id="rId332" xr:uid="{00000000-0004-0000-0700-00004B010000}"/>
    <hyperlink ref="A334" r:id="rId333" xr:uid="{00000000-0004-0000-0700-00004C010000}"/>
    <hyperlink ref="A335" r:id="rId334" xr:uid="{00000000-0004-0000-0700-00004D010000}"/>
    <hyperlink ref="A336" r:id="rId335" xr:uid="{00000000-0004-0000-0700-00004E010000}"/>
    <hyperlink ref="A337" r:id="rId336" xr:uid="{00000000-0004-0000-0700-00004F010000}"/>
    <hyperlink ref="A338" r:id="rId337" xr:uid="{00000000-0004-0000-0700-000050010000}"/>
    <hyperlink ref="A339" r:id="rId338" xr:uid="{00000000-0004-0000-0700-000051010000}"/>
    <hyperlink ref="A340" r:id="rId339" xr:uid="{00000000-0004-0000-0700-000052010000}"/>
    <hyperlink ref="A341" r:id="rId340" xr:uid="{00000000-0004-0000-0700-000053010000}"/>
    <hyperlink ref="A342" r:id="rId341" xr:uid="{00000000-0004-0000-0700-000054010000}"/>
    <hyperlink ref="A343" r:id="rId342" xr:uid="{00000000-0004-0000-0700-000055010000}"/>
    <hyperlink ref="A344" r:id="rId343" xr:uid="{00000000-0004-0000-0700-000056010000}"/>
    <hyperlink ref="A345" r:id="rId344" xr:uid="{00000000-0004-0000-0700-000057010000}"/>
    <hyperlink ref="A346" r:id="rId345" xr:uid="{00000000-0004-0000-0700-000058010000}"/>
    <hyperlink ref="A347" r:id="rId346" xr:uid="{00000000-0004-0000-0700-000059010000}"/>
    <hyperlink ref="A348" r:id="rId347" xr:uid="{00000000-0004-0000-0700-00005A010000}"/>
    <hyperlink ref="A349" r:id="rId348" xr:uid="{00000000-0004-0000-0700-00005B010000}"/>
    <hyperlink ref="A350" r:id="rId349" xr:uid="{00000000-0004-0000-0700-00005C010000}"/>
    <hyperlink ref="A351" r:id="rId350" xr:uid="{00000000-0004-0000-0700-00005D010000}"/>
    <hyperlink ref="A352" r:id="rId351" xr:uid="{00000000-0004-0000-0700-00005E010000}"/>
    <hyperlink ref="A353" r:id="rId352" xr:uid="{00000000-0004-0000-0700-00005F010000}"/>
    <hyperlink ref="A354" r:id="rId353" xr:uid="{00000000-0004-0000-0700-000060010000}"/>
    <hyperlink ref="A355" r:id="rId354" xr:uid="{00000000-0004-0000-0700-000061010000}"/>
    <hyperlink ref="A356" r:id="rId355" xr:uid="{00000000-0004-0000-0700-000062010000}"/>
    <hyperlink ref="A357" r:id="rId356" xr:uid="{00000000-0004-0000-0700-000063010000}"/>
    <hyperlink ref="A358" r:id="rId357" xr:uid="{00000000-0004-0000-0700-000064010000}"/>
    <hyperlink ref="A359" r:id="rId358" xr:uid="{00000000-0004-0000-0700-000065010000}"/>
    <hyperlink ref="A360" r:id="rId359" xr:uid="{00000000-0004-0000-0700-000066010000}"/>
    <hyperlink ref="A361" r:id="rId360" xr:uid="{00000000-0004-0000-0700-000067010000}"/>
    <hyperlink ref="A362" r:id="rId361" xr:uid="{00000000-0004-0000-0700-000068010000}"/>
    <hyperlink ref="A363" r:id="rId362" xr:uid="{00000000-0004-0000-0700-000069010000}"/>
    <hyperlink ref="A364" r:id="rId363" xr:uid="{00000000-0004-0000-0700-00006A010000}"/>
    <hyperlink ref="A365" r:id="rId364" xr:uid="{00000000-0004-0000-0700-00006B010000}"/>
    <hyperlink ref="A366" r:id="rId365" xr:uid="{00000000-0004-0000-0700-00006C010000}"/>
    <hyperlink ref="A367" r:id="rId366" xr:uid="{00000000-0004-0000-0700-00006D010000}"/>
    <hyperlink ref="A368" r:id="rId367" xr:uid="{00000000-0004-0000-0700-00006E010000}"/>
    <hyperlink ref="A369" r:id="rId368" xr:uid="{00000000-0004-0000-0700-00006F010000}"/>
    <hyperlink ref="A370" r:id="rId369" xr:uid="{00000000-0004-0000-0700-000070010000}"/>
    <hyperlink ref="A371" r:id="rId370" xr:uid="{00000000-0004-0000-0700-000071010000}"/>
    <hyperlink ref="A372" r:id="rId371" xr:uid="{00000000-0004-0000-0700-000072010000}"/>
    <hyperlink ref="A373" r:id="rId372" xr:uid="{00000000-0004-0000-0700-000073010000}"/>
    <hyperlink ref="A374" r:id="rId373" xr:uid="{00000000-0004-0000-0700-000074010000}"/>
    <hyperlink ref="A375" r:id="rId374" xr:uid="{00000000-0004-0000-0700-000075010000}"/>
    <hyperlink ref="A376" r:id="rId375" xr:uid="{00000000-0004-0000-0700-000076010000}"/>
    <hyperlink ref="A377" r:id="rId376" xr:uid="{00000000-0004-0000-0700-000077010000}"/>
    <hyperlink ref="A378" r:id="rId377" xr:uid="{00000000-0004-0000-0700-000078010000}"/>
    <hyperlink ref="A379" r:id="rId378" xr:uid="{00000000-0004-0000-0700-000079010000}"/>
    <hyperlink ref="A380" r:id="rId379" xr:uid="{00000000-0004-0000-0700-00007A010000}"/>
    <hyperlink ref="A381" r:id="rId380" xr:uid="{00000000-0004-0000-0700-00007B010000}"/>
    <hyperlink ref="A382" r:id="rId381" xr:uid="{00000000-0004-0000-0700-00007C010000}"/>
    <hyperlink ref="A383" r:id="rId382" xr:uid="{00000000-0004-0000-0700-00007D010000}"/>
    <hyperlink ref="A384" r:id="rId383" xr:uid="{00000000-0004-0000-0700-00007E010000}"/>
    <hyperlink ref="A385" r:id="rId384" xr:uid="{00000000-0004-0000-0700-00007F010000}"/>
    <hyperlink ref="A386" r:id="rId385" xr:uid="{00000000-0004-0000-0700-000080010000}"/>
    <hyperlink ref="A387" r:id="rId386" xr:uid="{00000000-0004-0000-0700-000081010000}"/>
    <hyperlink ref="A388" r:id="rId387" xr:uid="{00000000-0004-0000-0700-000082010000}"/>
    <hyperlink ref="A389" r:id="rId388" xr:uid="{00000000-0004-0000-0700-000083010000}"/>
    <hyperlink ref="A390" r:id="rId389" xr:uid="{00000000-0004-0000-0700-000084010000}"/>
    <hyperlink ref="A391" r:id="rId390" xr:uid="{00000000-0004-0000-0700-000085010000}"/>
    <hyperlink ref="A392" r:id="rId391" xr:uid="{00000000-0004-0000-0700-000086010000}"/>
    <hyperlink ref="A393" r:id="rId392" xr:uid="{00000000-0004-0000-0700-000087010000}"/>
    <hyperlink ref="A394" r:id="rId393" xr:uid="{00000000-0004-0000-0700-000088010000}"/>
    <hyperlink ref="A395" r:id="rId394" xr:uid="{00000000-0004-0000-0700-000089010000}"/>
    <hyperlink ref="A396" r:id="rId395" xr:uid="{00000000-0004-0000-0700-00008A010000}"/>
    <hyperlink ref="A397" r:id="rId396" xr:uid="{00000000-0004-0000-0700-00008B010000}"/>
    <hyperlink ref="A398" r:id="rId397" xr:uid="{00000000-0004-0000-0700-00008C010000}"/>
    <hyperlink ref="A399" r:id="rId398" xr:uid="{00000000-0004-0000-0700-00008D010000}"/>
    <hyperlink ref="A400" r:id="rId399" xr:uid="{00000000-0004-0000-0700-00008E010000}"/>
    <hyperlink ref="A401" r:id="rId400" xr:uid="{00000000-0004-0000-0700-00008F010000}"/>
    <hyperlink ref="A402" r:id="rId401" xr:uid="{00000000-0004-0000-0700-000090010000}"/>
    <hyperlink ref="A403" r:id="rId402" xr:uid="{00000000-0004-0000-0700-000091010000}"/>
    <hyperlink ref="A404" r:id="rId403" xr:uid="{00000000-0004-0000-0700-000092010000}"/>
    <hyperlink ref="A405" r:id="rId404" xr:uid="{00000000-0004-0000-0700-000093010000}"/>
    <hyperlink ref="A406" r:id="rId405" xr:uid="{00000000-0004-0000-0700-000094010000}"/>
    <hyperlink ref="A407" r:id="rId406" xr:uid="{00000000-0004-0000-0700-000095010000}"/>
    <hyperlink ref="A408" r:id="rId407" xr:uid="{00000000-0004-0000-0700-000096010000}"/>
    <hyperlink ref="A409" r:id="rId408" xr:uid="{00000000-0004-0000-0700-000097010000}"/>
    <hyperlink ref="A410" r:id="rId409" xr:uid="{00000000-0004-0000-0700-000098010000}"/>
    <hyperlink ref="A411" r:id="rId410" xr:uid="{00000000-0004-0000-0700-000099010000}"/>
    <hyperlink ref="A412" r:id="rId411" xr:uid="{00000000-0004-0000-0700-00009A010000}"/>
    <hyperlink ref="A413" r:id="rId412" xr:uid="{00000000-0004-0000-0700-00009B010000}"/>
    <hyperlink ref="A414" r:id="rId413" xr:uid="{00000000-0004-0000-0700-00009C010000}"/>
    <hyperlink ref="A415" r:id="rId414" xr:uid="{00000000-0004-0000-0700-00009D010000}"/>
    <hyperlink ref="A416" r:id="rId415" xr:uid="{00000000-0004-0000-0700-00009E010000}"/>
    <hyperlink ref="A417" r:id="rId416" xr:uid="{00000000-0004-0000-0700-00009F010000}"/>
    <hyperlink ref="A418" r:id="rId417" xr:uid="{00000000-0004-0000-0700-0000A0010000}"/>
    <hyperlink ref="A419" r:id="rId418" xr:uid="{00000000-0004-0000-0700-0000A1010000}"/>
    <hyperlink ref="A420" r:id="rId419" xr:uid="{00000000-0004-0000-0700-0000A2010000}"/>
    <hyperlink ref="A421" r:id="rId420" xr:uid="{00000000-0004-0000-0700-0000A3010000}"/>
    <hyperlink ref="A422" r:id="rId421" xr:uid="{00000000-0004-0000-0700-0000A4010000}"/>
    <hyperlink ref="A423" r:id="rId422" xr:uid="{00000000-0004-0000-0700-0000A5010000}"/>
    <hyperlink ref="A424" r:id="rId423" xr:uid="{00000000-0004-0000-0700-0000A6010000}"/>
    <hyperlink ref="A425" r:id="rId424" xr:uid="{00000000-0004-0000-0700-0000A7010000}"/>
    <hyperlink ref="A426" r:id="rId425" xr:uid="{00000000-0004-0000-0700-0000A8010000}"/>
    <hyperlink ref="A427" r:id="rId426" xr:uid="{00000000-0004-0000-0700-0000A9010000}"/>
    <hyperlink ref="A428" r:id="rId427" xr:uid="{00000000-0004-0000-0700-0000AA010000}"/>
    <hyperlink ref="A429" r:id="rId428" xr:uid="{00000000-0004-0000-0700-0000AB010000}"/>
    <hyperlink ref="A430" r:id="rId429" xr:uid="{00000000-0004-0000-0700-0000AC010000}"/>
    <hyperlink ref="A431" r:id="rId430" xr:uid="{00000000-0004-0000-0700-0000AD010000}"/>
    <hyperlink ref="A432" r:id="rId431" xr:uid="{00000000-0004-0000-0700-0000AE010000}"/>
    <hyperlink ref="A433" r:id="rId432" xr:uid="{00000000-0004-0000-0700-0000AF010000}"/>
    <hyperlink ref="A434" r:id="rId433" xr:uid="{00000000-0004-0000-0700-0000B0010000}"/>
    <hyperlink ref="A435" r:id="rId434" xr:uid="{00000000-0004-0000-0700-0000B1010000}"/>
    <hyperlink ref="A436" r:id="rId435" xr:uid="{00000000-0004-0000-0700-0000B2010000}"/>
    <hyperlink ref="A437" r:id="rId436" xr:uid="{00000000-0004-0000-0700-0000B3010000}"/>
    <hyperlink ref="A438" r:id="rId437" xr:uid="{00000000-0004-0000-0700-0000B4010000}"/>
    <hyperlink ref="A439" r:id="rId438" xr:uid="{00000000-0004-0000-0700-0000B5010000}"/>
    <hyperlink ref="A440" r:id="rId439" xr:uid="{00000000-0004-0000-0700-0000B6010000}"/>
    <hyperlink ref="A441" r:id="rId440" xr:uid="{00000000-0004-0000-0700-0000B7010000}"/>
    <hyperlink ref="A442" r:id="rId441" xr:uid="{00000000-0004-0000-0700-0000B8010000}"/>
    <hyperlink ref="A443" r:id="rId442" xr:uid="{00000000-0004-0000-0700-0000B9010000}"/>
    <hyperlink ref="A444" r:id="rId443" xr:uid="{00000000-0004-0000-0700-0000BA010000}"/>
    <hyperlink ref="A445" r:id="rId444" xr:uid="{00000000-0004-0000-0700-0000BB010000}"/>
    <hyperlink ref="A446" r:id="rId445" xr:uid="{00000000-0004-0000-0700-0000BC010000}"/>
    <hyperlink ref="A447" r:id="rId446" xr:uid="{00000000-0004-0000-0700-0000BD010000}"/>
    <hyperlink ref="A448" r:id="rId447" xr:uid="{00000000-0004-0000-0700-0000BE010000}"/>
    <hyperlink ref="A449" r:id="rId448" xr:uid="{00000000-0004-0000-0700-0000BF010000}"/>
    <hyperlink ref="A450" r:id="rId449" xr:uid="{00000000-0004-0000-0700-0000C0010000}"/>
    <hyperlink ref="A451" r:id="rId450" xr:uid="{00000000-0004-0000-0700-0000C1010000}"/>
    <hyperlink ref="A452" r:id="rId451" xr:uid="{00000000-0004-0000-0700-0000C2010000}"/>
    <hyperlink ref="A453" r:id="rId452" xr:uid="{00000000-0004-0000-0700-0000C3010000}"/>
    <hyperlink ref="A454" r:id="rId453" xr:uid="{00000000-0004-0000-0700-0000C4010000}"/>
    <hyperlink ref="A455" r:id="rId454" xr:uid="{00000000-0004-0000-0700-0000C5010000}"/>
    <hyperlink ref="A456" r:id="rId455" xr:uid="{00000000-0004-0000-0700-0000C6010000}"/>
    <hyperlink ref="A457" r:id="rId456" xr:uid="{00000000-0004-0000-0700-0000C7010000}"/>
    <hyperlink ref="A458" r:id="rId457" xr:uid="{00000000-0004-0000-0700-0000C8010000}"/>
    <hyperlink ref="A459" r:id="rId458" xr:uid="{00000000-0004-0000-0700-0000C9010000}"/>
    <hyperlink ref="A460" r:id="rId459" xr:uid="{00000000-0004-0000-0700-0000CA010000}"/>
    <hyperlink ref="A461" r:id="rId460" xr:uid="{00000000-0004-0000-0700-0000CB010000}"/>
    <hyperlink ref="A462" r:id="rId461" xr:uid="{00000000-0004-0000-0700-0000CC010000}"/>
    <hyperlink ref="A463" r:id="rId462" xr:uid="{00000000-0004-0000-0700-0000CD010000}"/>
    <hyperlink ref="A464" r:id="rId463" xr:uid="{00000000-0004-0000-0700-0000CE010000}"/>
    <hyperlink ref="A465" r:id="rId464" xr:uid="{00000000-0004-0000-0700-0000CF010000}"/>
    <hyperlink ref="A466" r:id="rId465" xr:uid="{00000000-0004-0000-0700-0000D0010000}"/>
    <hyperlink ref="A467" r:id="rId466" xr:uid="{00000000-0004-0000-0700-0000D1010000}"/>
    <hyperlink ref="A468" r:id="rId467" xr:uid="{00000000-0004-0000-0700-0000D2010000}"/>
    <hyperlink ref="A469" r:id="rId468" xr:uid="{00000000-0004-0000-0700-0000D3010000}"/>
    <hyperlink ref="A470" r:id="rId469" xr:uid="{00000000-0004-0000-0700-0000D4010000}"/>
    <hyperlink ref="A471" r:id="rId470" xr:uid="{00000000-0004-0000-0700-0000D5010000}"/>
    <hyperlink ref="A472" r:id="rId471" xr:uid="{00000000-0004-0000-0700-0000D6010000}"/>
    <hyperlink ref="A473" r:id="rId472" xr:uid="{00000000-0004-0000-0700-0000D7010000}"/>
    <hyperlink ref="A474" r:id="rId473" xr:uid="{00000000-0004-0000-0700-0000D8010000}"/>
    <hyperlink ref="A475" r:id="rId474" xr:uid="{00000000-0004-0000-0700-0000D9010000}"/>
    <hyperlink ref="A476" r:id="rId475" xr:uid="{00000000-0004-0000-0700-0000DA010000}"/>
    <hyperlink ref="A477" r:id="rId476" xr:uid="{00000000-0004-0000-0700-0000DB010000}"/>
    <hyperlink ref="A478" r:id="rId477" xr:uid="{00000000-0004-0000-0700-0000DC010000}"/>
    <hyperlink ref="A479" r:id="rId478" xr:uid="{00000000-0004-0000-0700-0000DD010000}"/>
    <hyperlink ref="A480" r:id="rId479" xr:uid="{00000000-0004-0000-0700-0000DE010000}"/>
    <hyperlink ref="A481" r:id="rId480" xr:uid="{00000000-0004-0000-0700-0000DF010000}"/>
    <hyperlink ref="A482" r:id="rId481" xr:uid="{00000000-0004-0000-0700-0000E0010000}"/>
    <hyperlink ref="A483" r:id="rId482" xr:uid="{00000000-0004-0000-0700-0000E1010000}"/>
    <hyperlink ref="A484" r:id="rId483" xr:uid="{00000000-0004-0000-0700-0000E2010000}"/>
    <hyperlink ref="A485" r:id="rId484" xr:uid="{00000000-0004-0000-0700-0000E3010000}"/>
    <hyperlink ref="A486" r:id="rId485" xr:uid="{00000000-0004-0000-0700-0000E4010000}"/>
    <hyperlink ref="A487" r:id="rId486" xr:uid="{00000000-0004-0000-0700-0000E5010000}"/>
    <hyperlink ref="A488" r:id="rId487" xr:uid="{00000000-0004-0000-0700-0000E6010000}"/>
    <hyperlink ref="A489" r:id="rId488" xr:uid="{00000000-0004-0000-0700-0000E7010000}"/>
    <hyperlink ref="A490" r:id="rId489" xr:uid="{00000000-0004-0000-0700-0000E8010000}"/>
    <hyperlink ref="A491" r:id="rId490" xr:uid="{00000000-0004-0000-0700-0000E9010000}"/>
    <hyperlink ref="A492" r:id="rId491" xr:uid="{00000000-0004-0000-0700-0000EA010000}"/>
    <hyperlink ref="A493" r:id="rId492" xr:uid="{00000000-0004-0000-0700-0000EB010000}"/>
    <hyperlink ref="A494" r:id="rId493" xr:uid="{00000000-0004-0000-0700-0000EC010000}"/>
    <hyperlink ref="A495" r:id="rId494" xr:uid="{00000000-0004-0000-0700-0000ED010000}"/>
    <hyperlink ref="A496" r:id="rId495" xr:uid="{00000000-0004-0000-0700-0000EE010000}"/>
    <hyperlink ref="A497" r:id="rId496" xr:uid="{00000000-0004-0000-0700-0000EF010000}"/>
    <hyperlink ref="A498" r:id="rId497" xr:uid="{00000000-0004-0000-0700-0000F0010000}"/>
    <hyperlink ref="A499" r:id="rId498" xr:uid="{00000000-0004-0000-0700-0000F1010000}"/>
    <hyperlink ref="A500" r:id="rId499" xr:uid="{00000000-0004-0000-0700-0000F2010000}"/>
    <hyperlink ref="A501" r:id="rId500" xr:uid="{00000000-0004-0000-0700-0000F3010000}"/>
    <hyperlink ref="A502" r:id="rId501" xr:uid="{00000000-0004-0000-0700-0000F4010000}"/>
    <hyperlink ref="A503" r:id="rId502" xr:uid="{00000000-0004-0000-0700-0000F5010000}"/>
    <hyperlink ref="A504" r:id="rId503" xr:uid="{00000000-0004-0000-0700-0000F6010000}"/>
    <hyperlink ref="A505" r:id="rId504" xr:uid="{00000000-0004-0000-0700-0000F7010000}"/>
    <hyperlink ref="A506" r:id="rId505" xr:uid="{00000000-0004-0000-0700-0000F8010000}"/>
    <hyperlink ref="A507" r:id="rId506" xr:uid="{00000000-0004-0000-0700-0000F9010000}"/>
    <hyperlink ref="A508" r:id="rId507" xr:uid="{00000000-0004-0000-0700-0000FA010000}"/>
    <hyperlink ref="A509" r:id="rId508" xr:uid="{00000000-0004-0000-0700-0000FB010000}"/>
    <hyperlink ref="A510" r:id="rId509" xr:uid="{00000000-0004-0000-0700-0000FC010000}"/>
    <hyperlink ref="A511" r:id="rId510" xr:uid="{00000000-0004-0000-0700-0000FD010000}"/>
    <hyperlink ref="A512" r:id="rId511" xr:uid="{00000000-0004-0000-0700-0000FE010000}"/>
    <hyperlink ref="A513" r:id="rId512" xr:uid="{00000000-0004-0000-0700-0000FF010000}"/>
    <hyperlink ref="A514" r:id="rId513" xr:uid="{00000000-0004-0000-0700-000000020000}"/>
    <hyperlink ref="A515" r:id="rId514" xr:uid="{00000000-0004-0000-0700-000001020000}"/>
    <hyperlink ref="A516" r:id="rId515" xr:uid="{00000000-0004-0000-0700-000002020000}"/>
    <hyperlink ref="A517" r:id="rId516" xr:uid="{00000000-0004-0000-0700-000003020000}"/>
    <hyperlink ref="A518" r:id="rId517" xr:uid="{00000000-0004-0000-0700-000004020000}"/>
    <hyperlink ref="A519" r:id="rId518" xr:uid="{00000000-0004-0000-0700-000005020000}"/>
    <hyperlink ref="A520" r:id="rId519" xr:uid="{00000000-0004-0000-0700-000006020000}"/>
    <hyperlink ref="A521" r:id="rId520" xr:uid="{00000000-0004-0000-0700-000007020000}"/>
    <hyperlink ref="A522" r:id="rId521" xr:uid="{00000000-0004-0000-0700-000008020000}"/>
    <hyperlink ref="A523" r:id="rId522" xr:uid="{00000000-0004-0000-0700-000009020000}"/>
    <hyperlink ref="A524" r:id="rId523" xr:uid="{00000000-0004-0000-0700-00000A020000}"/>
    <hyperlink ref="A525" r:id="rId524" xr:uid="{00000000-0004-0000-0700-00000B020000}"/>
    <hyperlink ref="A526" r:id="rId525" xr:uid="{00000000-0004-0000-0700-00000C020000}"/>
    <hyperlink ref="A527" r:id="rId526" xr:uid="{00000000-0004-0000-0700-00000D020000}"/>
    <hyperlink ref="A528" r:id="rId527" xr:uid="{00000000-0004-0000-0700-00000E020000}"/>
    <hyperlink ref="A529" r:id="rId528" xr:uid="{00000000-0004-0000-0700-00000F020000}"/>
    <hyperlink ref="A530" r:id="rId529" xr:uid="{00000000-0004-0000-0700-000010020000}"/>
    <hyperlink ref="A531" r:id="rId530" xr:uid="{00000000-0004-0000-0700-000011020000}"/>
    <hyperlink ref="A532" r:id="rId531" xr:uid="{00000000-0004-0000-0700-000012020000}"/>
    <hyperlink ref="A533" r:id="rId532" xr:uid="{00000000-0004-0000-0700-000013020000}"/>
    <hyperlink ref="A534" r:id="rId533" xr:uid="{00000000-0004-0000-0700-000014020000}"/>
    <hyperlink ref="A535" r:id="rId534" xr:uid="{00000000-0004-0000-0700-000015020000}"/>
    <hyperlink ref="A536" r:id="rId535" xr:uid="{00000000-0004-0000-0700-000016020000}"/>
    <hyperlink ref="A537" r:id="rId536" xr:uid="{00000000-0004-0000-0700-000017020000}"/>
    <hyperlink ref="A538" r:id="rId537" xr:uid="{00000000-0004-0000-0700-000018020000}"/>
    <hyperlink ref="A539" r:id="rId538" xr:uid="{00000000-0004-0000-0700-000019020000}"/>
    <hyperlink ref="A540" r:id="rId539" xr:uid="{00000000-0004-0000-0700-00001A020000}"/>
    <hyperlink ref="A541" r:id="rId540" xr:uid="{00000000-0004-0000-0700-00001B020000}"/>
    <hyperlink ref="A542" r:id="rId541" xr:uid="{00000000-0004-0000-0700-00001C020000}"/>
    <hyperlink ref="A543" r:id="rId542" xr:uid="{00000000-0004-0000-0700-00001D020000}"/>
    <hyperlink ref="A544" r:id="rId543" xr:uid="{00000000-0004-0000-0700-00001E020000}"/>
    <hyperlink ref="A545" r:id="rId544" xr:uid="{00000000-0004-0000-0700-00001F020000}"/>
    <hyperlink ref="A546" r:id="rId545" xr:uid="{00000000-0004-0000-0700-000020020000}"/>
    <hyperlink ref="A547" r:id="rId546" xr:uid="{00000000-0004-0000-0700-000021020000}"/>
    <hyperlink ref="A548" r:id="rId547" xr:uid="{00000000-0004-0000-0700-000022020000}"/>
    <hyperlink ref="A549" r:id="rId548" xr:uid="{00000000-0004-0000-0700-000023020000}"/>
    <hyperlink ref="A550" r:id="rId549" xr:uid="{00000000-0004-0000-0700-000024020000}"/>
    <hyperlink ref="A551" r:id="rId550" xr:uid="{00000000-0004-0000-0700-000025020000}"/>
    <hyperlink ref="A552" r:id="rId551" xr:uid="{00000000-0004-0000-0700-000026020000}"/>
    <hyperlink ref="A553" r:id="rId552" xr:uid="{00000000-0004-0000-0700-000027020000}"/>
    <hyperlink ref="A554" r:id="rId553" xr:uid="{00000000-0004-0000-0700-000028020000}"/>
    <hyperlink ref="A555" r:id="rId554" xr:uid="{00000000-0004-0000-0700-000029020000}"/>
    <hyperlink ref="A556" r:id="rId555" xr:uid="{00000000-0004-0000-0700-00002A020000}"/>
    <hyperlink ref="A557" r:id="rId556" xr:uid="{00000000-0004-0000-0700-00002B020000}"/>
    <hyperlink ref="A558" r:id="rId557" xr:uid="{00000000-0004-0000-0700-00002C020000}"/>
    <hyperlink ref="A559" r:id="rId558" xr:uid="{00000000-0004-0000-0700-00002D020000}"/>
    <hyperlink ref="A560" r:id="rId559" xr:uid="{00000000-0004-0000-0700-00002E020000}"/>
    <hyperlink ref="A561" r:id="rId560" xr:uid="{00000000-0004-0000-0700-00002F020000}"/>
    <hyperlink ref="A562" r:id="rId561" xr:uid="{00000000-0004-0000-0700-000030020000}"/>
    <hyperlink ref="A563" r:id="rId562" xr:uid="{00000000-0004-0000-0700-000031020000}"/>
    <hyperlink ref="A564" r:id="rId563" xr:uid="{00000000-0004-0000-0700-000032020000}"/>
    <hyperlink ref="A565" r:id="rId564" xr:uid="{00000000-0004-0000-0700-000033020000}"/>
    <hyperlink ref="A566" r:id="rId565" xr:uid="{00000000-0004-0000-0700-000034020000}"/>
    <hyperlink ref="A567" r:id="rId566" xr:uid="{00000000-0004-0000-0700-000035020000}"/>
    <hyperlink ref="A568" r:id="rId567" xr:uid="{00000000-0004-0000-0700-000036020000}"/>
    <hyperlink ref="A569" r:id="rId568" xr:uid="{00000000-0004-0000-0700-000037020000}"/>
    <hyperlink ref="A570" r:id="rId569" xr:uid="{00000000-0004-0000-0700-000038020000}"/>
    <hyperlink ref="A571" r:id="rId570" xr:uid="{00000000-0004-0000-0700-000039020000}"/>
    <hyperlink ref="A572" r:id="rId571" xr:uid="{00000000-0004-0000-0700-00003A020000}"/>
    <hyperlink ref="A573" r:id="rId572" xr:uid="{00000000-0004-0000-0700-00003B020000}"/>
    <hyperlink ref="A574" r:id="rId573" xr:uid="{00000000-0004-0000-0700-00003C020000}"/>
    <hyperlink ref="A575" r:id="rId574" xr:uid="{00000000-0004-0000-0700-00003D020000}"/>
    <hyperlink ref="A576" r:id="rId575" xr:uid="{00000000-0004-0000-0700-00003E020000}"/>
    <hyperlink ref="A577" r:id="rId576" xr:uid="{00000000-0004-0000-0700-00003F020000}"/>
    <hyperlink ref="A578" r:id="rId577" xr:uid="{00000000-0004-0000-0700-000040020000}"/>
    <hyperlink ref="A579" r:id="rId578" xr:uid="{00000000-0004-0000-0700-000041020000}"/>
    <hyperlink ref="A580" r:id="rId579" xr:uid="{00000000-0004-0000-0700-000042020000}"/>
    <hyperlink ref="A581" r:id="rId580" xr:uid="{00000000-0004-0000-0700-000043020000}"/>
    <hyperlink ref="A582" r:id="rId581" xr:uid="{00000000-0004-0000-0700-000044020000}"/>
    <hyperlink ref="A583" r:id="rId582" xr:uid="{00000000-0004-0000-0700-000045020000}"/>
    <hyperlink ref="A584" r:id="rId583" xr:uid="{00000000-0004-0000-0700-000046020000}"/>
    <hyperlink ref="A585" r:id="rId584" xr:uid="{00000000-0004-0000-0700-000047020000}"/>
    <hyperlink ref="A586" r:id="rId585" xr:uid="{00000000-0004-0000-0700-000048020000}"/>
    <hyperlink ref="A587" r:id="rId586" xr:uid="{00000000-0004-0000-0700-000049020000}"/>
    <hyperlink ref="A588" r:id="rId587" xr:uid="{00000000-0004-0000-0700-00004A020000}"/>
    <hyperlink ref="A589" r:id="rId588" xr:uid="{00000000-0004-0000-0700-00004B020000}"/>
    <hyperlink ref="A590" r:id="rId589" xr:uid="{00000000-0004-0000-0700-00004C020000}"/>
    <hyperlink ref="A591" r:id="rId590" xr:uid="{00000000-0004-0000-0700-00004D020000}"/>
    <hyperlink ref="A592" r:id="rId591" xr:uid="{00000000-0004-0000-0700-00004E020000}"/>
    <hyperlink ref="A593" r:id="rId592" xr:uid="{00000000-0004-0000-0700-00004F020000}"/>
    <hyperlink ref="A594" r:id="rId593" xr:uid="{00000000-0004-0000-0700-000050020000}"/>
    <hyperlink ref="A595" r:id="rId594" xr:uid="{00000000-0004-0000-0700-000051020000}"/>
    <hyperlink ref="A596" r:id="rId595" xr:uid="{00000000-0004-0000-0700-000052020000}"/>
    <hyperlink ref="A597" r:id="rId596" xr:uid="{00000000-0004-0000-0700-000053020000}"/>
    <hyperlink ref="A598" r:id="rId597" xr:uid="{00000000-0004-0000-0700-000054020000}"/>
    <hyperlink ref="A599" r:id="rId598" xr:uid="{00000000-0004-0000-0700-000055020000}"/>
    <hyperlink ref="A600" r:id="rId599" xr:uid="{00000000-0004-0000-0700-000056020000}"/>
    <hyperlink ref="A601" r:id="rId600" xr:uid="{00000000-0004-0000-0700-000057020000}"/>
    <hyperlink ref="A602" r:id="rId601" xr:uid="{00000000-0004-0000-0700-000058020000}"/>
    <hyperlink ref="A603" r:id="rId602" xr:uid="{00000000-0004-0000-0700-000059020000}"/>
    <hyperlink ref="A604" r:id="rId603" xr:uid="{00000000-0004-0000-0700-00005A020000}"/>
    <hyperlink ref="A605" r:id="rId604" xr:uid="{00000000-0004-0000-0700-00005B020000}"/>
    <hyperlink ref="A606" r:id="rId605" xr:uid="{00000000-0004-0000-0700-00005C020000}"/>
    <hyperlink ref="A607" r:id="rId606" xr:uid="{00000000-0004-0000-0700-00005D020000}"/>
    <hyperlink ref="A608" r:id="rId607" xr:uid="{00000000-0004-0000-0700-00005E020000}"/>
    <hyperlink ref="A609" r:id="rId608" xr:uid="{00000000-0004-0000-0700-00005F020000}"/>
    <hyperlink ref="A610" r:id="rId609" xr:uid="{00000000-0004-0000-0700-000060020000}"/>
    <hyperlink ref="A611" r:id="rId610" xr:uid="{00000000-0004-0000-0700-000061020000}"/>
    <hyperlink ref="A612" r:id="rId611" xr:uid="{00000000-0004-0000-0700-000062020000}"/>
    <hyperlink ref="A613" r:id="rId612" xr:uid="{00000000-0004-0000-0700-000063020000}"/>
    <hyperlink ref="A614" r:id="rId613" xr:uid="{00000000-0004-0000-0700-000064020000}"/>
    <hyperlink ref="A615" r:id="rId614" xr:uid="{00000000-0004-0000-0700-000065020000}"/>
    <hyperlink ref="A616" r:id="rId615" xr:uid="{00000000-0004-0000-0700-000066020000}"/>
    <hyperlink ref="A617" r:id="rId616" xr:uid="{00000000-0004-0000-0700-000067020000}"/>
    <hyperlink ref="A618" r:id="rId617" xr:uid="{00000000-0004-0000-0700-000068020000}"/>
    <hyperlink ref="A619" r:id="rId618" xr:uid="{00000000-0004-0000-0700-000069020000}"/>
    <hyperlink ref="A620" r:id="rId619" xr:uid="{00000000-0004-0000-0700-00006A020000}"/>
    <hyperlink ref="A621" r:id="rId620" xr:uid="{00000000-0004-0000-0700-00006B020000}"/>
    <hyperlink ref="A622" r:id="rId621" xr:uid="{00000000-0004-0000-0700-00006C020000}"/>
    <hyperlink ref="A623" r:id="rId622" xr:uid="{00000000-0004-0000-0700-00006D020000}"/>
    <hyperlink ref="A624" r:id="rId623" xr:uid="{00000000-0004-0000-0700-00006E020000}"/>
    <hyperlink ref="A625" r:id="rId624" xr:uid="{00000000-0004-0000-0700-00006F020000}"/>
    <hyperlink ref="A626" r:id="rId625" xr:uid="{00000000-0004-0000-0700-000070020000}"/>
    <hyperlink ref="A627" r:id="rId626" xr:uid="{00000000-0004-0000-0700-000071020000}"/>
    <hyperlink ref="A628" r:id="rId627" xr:uid="{00000000-0004-0000-0700-000072020000}"/>
    <hyperlink ref="A629" r:id="rId628" xr:uid="{00000000-0004-0000-0700-000073020000}"/>
    <hyperlink ref="A630" r:id="rId629" xr:uid="{00000000-0004-0000-0700-000074020000}"/>
    <hyperlink ref="A631" r:id="rId630" xr:uid="{00000000-0004-0000-0700-000075020000}"/>
    <hyperlink ref="A632" r:id="rId631" xr:uid="{00000000-0004-0000-0700-000076020000}"/>
    <hyperlink ref="A633" r:id="rId632" xr:uid="{00000000-0004-0000-0700-000077020000}"/>
    <hyperlink ref="A634" r:id="rId633" xr:uid="{00000000-0004-0000-0700-000078020000}"/>
    <hyperlink ref="A635" r:id="rId634" xr:uid="{00000000-0004-0000-0700-000079020000}"/>
    <hyperlink ref="A636" r:id="rId635" xr:uid="{00000000-0004-0000-0700-00007A020000}"/>
    <hyperlink ref="A637" r:id="rId636" xr:uid="{00000000-0004-0000-0700-00007B020000}"/>
    <hyperlink ref="A638" r:id="rId637" xr:uid="{00000000-0004-0000-0700-00007C020000}"/>
    <hyperlink ref="A639" r:id="rId638" xr:uid="{00000000-0004-0000-0700-00007D020000}"/>
    <hyperlink ref="A640" r:id="rId639" xr:uid="{00000000-0004-0000-0700-00007E020000}"/>
    <hyperlink ref="A641" r:id="rId640" xr:uid="{00000000-0004-0000-0700-00007F020000}"/>
    <hyperlink ref="A642" r:id="rId641" xr:uid="{00000000-0004-0000-0700-000080020000}"/>
    <hyperlink ref="A643" r:id="rId642" xr:uid="{00000000-0004-0000-0700-000081020000}"/>
    <hyperlink ref="A644" r:id="rId643" xr:uid="{00000000-0004-0000-0700-000082020000}"/>
    <hyperlink ref="A645" r:id="rId644" xr:uid="{00000000-0004-0000-0700-000083020000}"/>
    <hyperlink ref="A646" r:id="rId645" xr:uid="{00000000-0004-0000-0700-000084020000}"/>
    <hyperlink ref="A647" r:id="rId646" xr:uid="{00000000-0004-0000-0700-000085020000}"/>
    <hyperlink ref="A648" r:id="rId647" xr:uid="{00000000-0004-0000-0700-000086020000}"/>
    <hyperlink ref="A649" r:id="rId648" xr:uid="{00000000-0004-0000-0700-000087020000}"/>
    <hyperlink ref="A650" r:id="rId649" xr:uid="{00000000-0004-0000-0700-000088020000}"/>
    <hyperlink ref="A651" r:id="rId650" xr:uid="{00000000-0004-0000-0700-000089020000}"/>
    <hyperlink ref="A652" r:id="rId651" xr:uid="{00000000-0004-0000-0700-00008A020000}"/>
    <hyperlink ref="A653" r:id="rId652" xr:uid="{00000000-0004-0000-0700-00008B020000}"/>
    <hyperlink ref="A654" r:id="rId653" xr:uid="{00000000-0004-0000-0700-00008C020000}"/>
    <hyperlink ref="A655" r:id="rId654" xr:uid="{00000000-0004-0000-0700-00008D020000}"/>
    <hyperlink ref="A656" r:id="rId655" xr:uid="{00000000-0004-0000-0700-00008E020000}"/>
    <hyperlink ref="A657" r:id="rId656" xr:uid="{00000000-0004-0000-0700-00008F020000}"/>
    <hyperlink ref="A658" r:id="rId657" xr:uid="{00000000-0004-0000-0700-000090020000}"/>
    <hyperlink ref="A659" r:id="rId658" xr:uid="{00000000-0004-0000-0700-000091020000}"/>
    <hyperlink ref="A660" r:id="rId659" xr:uid="{00000000-0004-0000-0700-000092020000}"/>
    <hyperlink ref="A661" r:id="rId660" xr:uid="{00000000-0004-0000-0700-000093020000}"/>
    <hyperlink ref="A662" r:id="rId661" xr:uid="{00000000-0004-0000-0700-000094020000}"/>
    <hyperlink ref="A663" r:id="rId662" xr:uid="{00000000-0004-0000-0700-000095020000}"/>
    <hyperlink ref="A664" r:id="rId663" xr:uid="{00000000-0004-0000-0700-000096020000}"/>
    <hyperlink ref="A665" r:id="rId664" xr:uid="{00000000-0004-0000-0700-000097020000}"/>
    <hyperlink ref="A666" r:id="rId665" xr:uid="{00000000-0004-0000-0700-000098020000}"/>
    <hyperlink ref="A667" r:id="rId666" xr:uid="{00000000-0004-0000-0700-000099020000}"/>
    <hyperlink ref="A668" r:id="rId667" xr:uid="{00000000-0004-0000-0700-00009A020000}"/>
    <hyperlink ref="A669" r:id="rId668" xr:uid="{00000000-0004-0000-0700-00009B020000}"/>
    <hyperlink ref="A670" r:id="rId669" xr:uid="{00000000-0004-0000-0700-00009C020000}"/>
    <hyperlink ref="A671" r:id="rId670" xr:uid="{00000000-0004-0000-0700-00009D020000}"/>
    <hyperlink ref="A672" r:id="rId671" xr:uid="{00000000-0004-0000-0700-00009E020000}"/>
    <hyperlink ref="A673" r:id="rId672" xr:uid="{00000000-0004-0000-0700-00009F020000}"/>
    <hyperlink ref="A674" r:id="rId673" xr:uid="{00000000-0004-0000-0700-0000A0020000}"/>
    <hyperlink ref="A675" r:id="rId674" xr:uid="{00000000-0004-0000-0700-0000A1020000}"/>
    <hyperlink ref="A676" r:id="rId675" xr:uid="{00000000-0004-0000-0700-0000A2020000}"/>
    <hyperlink ref="A677" r:id="rId676" xr:uid="{00000000-0004-0000-0700-0000A3020000}"/>
    <hyperlink ref="A678" r:id="rId677" xr:uid="{00000000-0004-0000-0700-0000A4020000}"/>
    <hyperlink ref="A679" r:id="rId678" xr:uid="{00000000-0004-0000-0700-0000A5020000}"/>
    <hyperlink ref="A680" r:id="rId679" xr:uid="{00000000-0004-0000-0700-0000A6020000}"/>
    <hyperlink ref="A681" r:id="rId680" xr:uid="{00000000-0004-0000-0700-0000A7020000}"/>
    <hyperlink ref="A682" r:id="rId681" xr:uid="{00000000-0004-0000-0700-0000A8020000}"/>
    <hyperlink ref="A683" r:id="rId682" xr:uid="{00000000-0004-0000-0700-0000A9020000}"/>
    <hyperlink ref="A684" r:id="rId683" xr:uid="{00000000-0004-0000-0700-0000AA020000}"/>
    <hyperlink ref="A685" r:id="rId684" xr:uid="{00000000-0004-0000-0700-0000AB020000}"/>
    <hyperlink ref="A686" r:id="rId685" xr:uid="{00000000-0004-0000-0700-0000AC020000}"/>
    <hyperlink ref="A687" r:id="rId686" xr:uid="{00000000-0004-0000-0700-0000AD020000}"/>
    <hyperlink ref="A688" r:id="rId687" xr:uid="{00000000-0004-0000-0700-0000AE020000}"/>
    <hyperlink ref="A689" r:id="rId688" xr:uid="{00000000-0004-0000-0700-0000AF020000}"/>
    <hyperlink ref="A690" r:id="rId689" xr:uid="{00000000-0004-0000-0700-0000B0020000}"/>
    <hyperlink ref="A691" r:id="rId690" xr:uid="{00000000-0004-0000-0700-0000B1020000}"/>
    <hyperlink ref="A692" r:id="rId691" xr:uid="{00000000-0004-0000-0700-0000B2020000}"/>
    <hyperlink ref="A693" r:id="rId692" xr:uid="{00000000-0004-0000-0700-0000B3020000}"/>
    <hyperlink ref="A694" r:id="rId693" xr:uid="{00000000-0004-0000-0700-0000B4020000}"/>
    <hyperlink ref="A695" r:id="rId694" xr:uid="{00000000-0004-0000-0700-0000B5020000}"/>
    <hyperlink ref="A696" r:id="rId695" xr:uid="{00000000-0004-0000-0700-0000B6020000}"/>
    <hyperlink ref="A697" r:id="rId696" xr:uid="{00000000-0004-0000-0700-0000B7020000}"/>
    <hyperlink ref="A698" r:id="rId697" xr:uid="{00000000-0004-0000-0700-0000B8020000}"/>
    <hyperlink ref="A699" r:id="rId698" xr:uid="{00000000-0004-0000-0700-0000B9020000}"/>
    <hyperlink ref="A700" r:id="rId699" xr:uid="{00000000-0004-0000-0700-0000BA020000}"/>
    <hyperlink ref="A701" r:id="rId700" xr:uid="{00000000-0004-0000-0700-0000BB020000}"/>
    <hyperlink ref="A702" r:id="rId701" xr:uid="{00000000-0004-0000-0700-0000BC020000}"/>
    <hyperlink ref="A703" r:id="rId702" xr:uid="{00000000-0004-0000-0700-0000BD020000}"/>
    <hyperlink ref="A704" r:id="rId703" xr:uid="{00000000-0004-0000-0700-0000BE020000}"/>
    <hyperlink ref="A705" r:id="rId704" xr:uid="{00000000-0004-0000-0700-0000BF020000}"/>
    <hyperlink ref="A706" r:id="rId705" xr:uid="{00000000-0004-0000-0700-0000C0020000}"/>
    <hyperlink ref="A707" r:id="rId706" xr:uid="{00000000-0004-0000-0700-0000C1020000}"/>
    <hyperlink ref="A708" r:id="rId707" xr:uid="{00000000-0004-0000-0700-0000C2020000}"/>
    <hyperlink ref="A709" r:id="rId708" xr:uid="{00000000-0004-0000-0700-0000C3020000}"/>
    <hyperlink ref="A710" r:id="rId709" xr:uid="{00000000-0004-0000-0700-0000C4020000}"/>
    <hyperlink ref="A711" r:id="rId710" xr:uid="{00000000-0004-0000-0700-0000C5020000}"/>
    <hyperlink ref="A712" r:id="rId711" xr:uid="{00000000-0004-0000-0700-0000C6020000}"/>
    <hyperlink ref="A713" r:id="rId712" xr:uid="{00000000-0004-0000-0700-0000C7020000}"/>
    <hyperlink ref="A714" r:id="rId713" xr:uid="{00000000-0004-0000-0700-0000C8020000}"/>
    <hyperlink ref="A715" r:id="rId714" xr:uid="{00000000-0004-0000-0700-0000C9020000}"/>
    <hyperlink ref="A716" r:id="rId715" xr:uid="{00000000-0004-0000-0700-0000CA020000}"/>
    <hyperlink ref="A717" r:id="rId716" xr:uid="{00000000-0004-0000-0700-0000CB020000}"/>
    <hyperlink ref="A718" r:id="rId717" xr:uid="{00000000-0004-0000-0700-0000CC020000}"/>
    <hyperlink ref="A719" r:id="rId718" xr:uid="{00000000-0004-0000-0700-0000CD020000}"/>
    <hyperlink ref="A720" r:id="rId719" xr:uid="{00000000-0004-0000-0700-0000CE020000}"/>
    <hyperlink ref="A721" r:id="rId720" xr:uid="{00000000-0004-0000-0700-0000CF020000}"/>
    <hyperlink ref="A722" r:id="rId721" xr:uid="{00000000-0004-0000-0700-0000D0020000}"/>
    <hyperlink ref="A723" r:id="rId722" xr:uid="{00000000-0004-0000-0700-0000D1020000}"/>
    <hyperlink ref="A724" r:id="rId723" xr:uid="{00000000-0004-0000-0700-0000D2020000}"/>
    <hyperlink ref="A725" r:id="rId724" xr:uid="{00000000-0004-0000-0700-0000D3020000}"/>
    <hyperlink ref="A726" r:id="rId725" xr:uid="{00000000-0004-0000-0700-0000D4020000}"/>
    <hyperlink ref="A727" r:id="rId726" xr:uid="{00000000-0004-0000-0700-0000D5020000}"/>
    <hyperlink ref="A728" r:id="rId727" xr:uid="{00000000-0004-0000-0700-0000D6020000}"/>
    <hyperlink ref="A729" r:id="rId728" xr:uid="{00000000-0004-0000-0700-0000D7020000}"/>
    <hyperlink ref="A730" r:id="rId729" xr:uid="{00000000-0004-0000-0700-0000D8020000}"/>
    <hyperlink ref="A731" r:id="rId730" xr:uid="{00000000-0004-0000-0700-0000D9020000}"/>
    <hyperlink ref="A732" r:id="rId731" xr:uid="{00000000-0004-0000-0700-0000DA020000}"/>
    <hyperlink ref="A733" r:id="rId732" xr:uid="{00000000-0004-0000-0700-0000DB020000}"/>
    <hyperlink ref="A734" r:id="rId733" xr:uid="{00000000-0004-0000-0700-0000DC020000}"/>
    <hyperlink ref="A735" r:id="rId734" xr:uid="{00000000-0004-0000-0700-0000DD020000}"/>
    <hyperlink ref="A736" r:id="rId735" xr:uid="{00000000-0004-0000-0700-0000DE020000}"/>
    <hyperlink ref="A737" r:id="rId736" xr:uid="{00000000-0004-0000-0700-0000DF020000}"/>
    <hyperlink ref="A738" r:id="rId737" xr:uid="{00000000-0004-0000-0700-0000E0020000}"/>
    <hyperlink ref="A739" r:id="rId738" xr:uid="{00000000-0004-0000-0700-0000E1020000}"/>
    <hyperlink ref="A740" r:id="rId739" xr:uid="{00000000-0004-0000-0700-0000E2020000}"/>
    <hyperlink ref="A741" r:id="rId740" xr:uid="{00000000-0004-0000-0700-0000E3020000}"/>
    <hyperlink ref="A742" r:id="rId741" xr:uid="{00000000-0004-0000-0700-0000E4020000}"/>
    <hyperlink ref="A743" r:id="rId742" xr:uid="{00000000-0004-0000-0700-0000E5020000}"/>
    <hyperlink ref="A744" r:id="rId743" xr:uid="{00000000-0004-0000-0700-0000E6020000}"/>
    <hyperlink ref="A745" r:id="rId744" xr:uid="{00000000-0004-0000-0700-0000E7020000}"/>
    <hyperlink ref="A746" r:id="rId745" xr:uid="{00000000-0004-0000-0700-0000E8020000}"/>
    <hyperlink ref="A747" r:id="rId746" xr:uid="{00000000-0004-0000-0700-0000E9020000}"/>
    <hyperlink ref="A748" r:id="rId747" xr:uid="{00000000-0004-0000-0700-0000EA020000}"/>
    <hyperlink ref="A749" r:id="rId748" xr:uid="{00000000-0004-0000-0700-0000EB020000}"/>
    <hyperlink ref="A750" r:id="rId749" xr:uid="{00000000-0004-0000-0700-0000EC020000}"/>
    <hyperlink ref="A751" r:id="rId750" xr:uid="{00000000-0004-0000-0700-0000ED020000}"/>
    <hyperlink ref="A752" r:id="rId751" xr:uid="{00000000-0004-0000-0700-0000EE020000}"/>
    <hyperlink ref="A753" r:id="rId752" xr:uid="{00000000-0004-0000-0700-0000EF020000}"/>
    <hyperlink ref="A754" r:id="rId753" xr:uid="{00000000-0004-0000-0700-0000F0020000}"/>
    <hyperlink ref="A755" r:id="rId754" xr:uid="{00000000-0004-0000-0700-0000F1020000}"/>
    <hyperlink ref="A756" r:id="rId755" xr:uid="{00000000-0004-0000-0700-0000F2020000}"/>
    <hyperlink ref="A757" r:id="rId756" xr:uid="{00000000-0004-0000-0700-0000F3020000}"/>
    <hyperlink ref="A758" r:id="rId757" xr:uid="{00000000-0004-0000-0700-0000F4020000}"/>
    <hyperlink ref="A759" r:id="rId758" xr:uid="{00000000-0004-0000-0700-0000F5020000}"/>
    <hyperlink ref="A760" r:id="rId759" xr:uid="{00000000-0004-0000-0700-0000F6020000}"/>
    <hyperlink ref="A761" r:id="rId760" xr:uid="{00000000-0004-0000-0700-0000F7020000}"/>
    <hyperlink ref="A762" r:id="rId761" xr:uid="{00000000-0004-0000-0700-0000F8020000}"/>
    <hyperlink ref="A763" r:id="rId762" xr:uid="{00000000-0004-0000-0700-0000F9020000}"/>
    <hyperlink ref="A764" r:id="rId763" xr:uid="{00000000-0004-0000-0700-0000FA020000}"/>
    <hyperlink ref="A765" r:id="rId764" xr:uid="{00000000-0004-0000-0700-0000FB020000}"/>
    <hyperlink ref="A766" r:id="rId765" xr:uid="{00000000-0004-0000-0700-0000FC020000}"/>
    <hyperlink ref="A767" r:id="rId766" xr:uid="{00000000-0004-0000-0700-0000FD020000}"/>
    <hyperlink ref="A768" r:id="rId767" xr:uid="{00000000-0004-0000-0700-0000FE020000}"/>
    <hyperlink ref="A769" r:id="rId768" xr:uid="{00000000-0004-0000-0700-0000FF020000}"/>
    <hyperlink ref="A770" r:id="rId769" xr:uid="{00000000-0004-0000-0700-000000030000}"/>
    <hyperlink ref="A771" r:id="rId770" xr:uid="{00000000-0004-0000-0700-000001030000}"/>
    <hyperlink ref="A772" r:id="rId771" xr:uid="{00000000-0004-0000-0700-000002030000}"/>
    <hyperlink ref="A773" r:id="rId772" xr:uid="{00000000-0004-0000-0700-000003030000}"/>
    <hyperlink ref="A774" r:id="rId773" xr:uid="{00000000-0004-0000-0700-000004030000}"/>
    <hyperlink ref="A775" r:id="rId774" xr:uid="{00000000-0004-0000-0700-000005030000}"/>
    <hyperlink ref="A776" r:id="rId775" xr:uid="{00000000-0004-0000-0700-000006030000}"/>
    <hyperlink ref="A777" r:id="rId776" xr:uid="{00000000-0004-0000-0700-000007030000}"/>
    <hyperlink ref="A778" r:id="rId777" xr:uid="{00000000-0004-0000-0700-000008030000}"/>
    <hyperlink ref="A779" r:id="rId778" xr:uid="{00000000-0004-0000-0700-000009030000}"/>
    <hyperlink ref="A780" r:id="rId779" xr:uid="{00000000-0004-0000-0700-00000A030000}"/>
    <hyperlink ref="A781" r:id="rId780" xr:uid="{00000000-0004-0000-0700-00000B030000}"/>
    <hyperlink ref="A782" r:id="rId781" xr:uid="{00000000-0004-0000-0700-00000C030000}"/>
    <hyperlink ref="A783" r:id="rId782" xr:uid="{00000000-0004-0000-0700-00000D030000}"/>
    <hyperlink ref="A784" r:id="rId783" xr:uid="{00000000-0004-0000-0700-00000E030000}"/>
    <hyperlink ref="A785" r:id="rId784" xr:uid="{00000000-0004-0000-0700-00000F030000}"/>
    <hyperlink ref="A786" r:id="rId785" xr:uid="{00000000-0004-0000-0700-000010030000}"/>
    <hyperlink ref="A787" r:id="rId786" xr:uid="{00000000-0004-0000-0700-000011030000}"/>
    <hyperlink ref="A788" r:id="rId787" xr:uid="{00000000-0004-0000-0700-000012030000}"/>
    <hyperlink ref="A789" r:id="rId788" xr:uid="{00000000-0004-0000-0700-000013030000}"/>
    <hyperlink ref="A790" r:id="rId789" xr:uid="{00000000-0004-0000-0700-000014030000}"/>
    <hyperlink ref="A791" r:id="rId790" xr:uid="{00000000-0004-0000-0700-000015030000}"/>
    <hyperlink ref="A792" r:id="rId791" xr:uid="{00000000-0004-0000-0700-000016030000}"/>
    <hyperlink ref="A793" r:id="rId792" xr:uid="{00000000-0004-0000-0700-000017030000}"/>
    <hyperlink ref="A794" r:id="rId793" xr:uid="{00000000-0004-0000-0700-000018030000}"/>
    <hyperlink ref="A795" r:id="rId794" xr:uid="{00000000-0004-0000-0700-000019030000}"/>
    <hyperlink ref="A796" r:id="rId795" xr:uid="{00000000-0004-0000-0700-00001A030000}"/>
    <hyperlink ref="A797" r:id="rId796" xr:uid="{00000000-0004-0000-0700-00001B030000}"/>
    <hyperlink ref="A798" r:id="rId797" xr:uid="{00000000-0004-0000-0700-00001C030000}"/>
    <hyperlink ref="A799" r:id="rId798" xr:uid="{00000000-0004-0000-0700-00001D030000}"/>
    <hyperlink ref="A800" r:id="rId799" xr:uid="{00000000-0004-0000-0700-00001E030000}"/>
    <hyperlink ref="A801" r:id="rId800" xr:uid="{00000000-0004-0000-0700-00001F030000}"/>
    <hyperlink ref="A802" r:id="rId801" xr:uid="{00000000-0004-0000-0700-000020030000}"/>
    <hyperlink ref="A803" r:id="rId802" xr:uid="{00000000-0004-0000-0700-000021030000}"/>
    <hyperlink ref="A804" r:id="rId803" xr:uid="{00000000-0004-0000-0700-000022030000}"/>
    <hyperlink ref="A805" r:id="rId804" xr:uid="{00000000-0004-0000-0700-000023030000}"/>
    <hyperlink ref="A806" r:id="rId805" xr:uid="{00000000-0004-0000-0700-000024030000}"/>
    <hyperlink ref="A807" r:id="rId806" xr:uid="{00000000-0004-0000-0700-000025030000}"/>
    <hyperlink ref="A808" r:id="rId807" xr:uid="{00000000-0004-0000-0700-000026030000}"/>
    <hyperlink ref="A809" r:id="rId808" xr:uid="{00000000-0004-0000-0700-000027030000}"/>
    <hyperlink ref="A810" r:id="rId809" xr:uid="{00000000-0004-0000-0700-000028030000}"/>
    <hyperlink ref="A811" r:id="rId810" xr:uid="{00000000-0004-0000-0700-000029030000}"/>
    <hyperlink ref="A812" r:id="rId811" xr:uid="{00000000-0004-0000-0700-00002A030000}"/>
    <hyperlink ref="A813" r:id="rId812" xr:uid="{00000000-0004-0000-0700-00002B030000}"/>
    <hyperlink ref="A814" r:id="rId813" xr:uid="{00000000-0004-0000-0700-00002C030000}"/>
    <hyperlink ref="A815" r:id="rId814" xr:uid="{00000000-0004-0000-0700-00002D030000}"/>
    <hyperlink ref="A816" r:id="rId815" xr:uid="{00000000-0004-0000-0700-00002E030000}"/>
    <hyperlink ref="A817" r:id="rId816" xr:uid="{00000000-0004-0000-0700-00002F030000}"/>
    <hyperlink ref="A818" r:id="rId817" xr:uid="{00000000-0004-0000-0700-000030030000}"/>
    <hyperlink ref="A819" r:id="rId818" xr:uid="{00000000-0004-0000-0700-000031030000}"/>
    <hyperlink ref="A820" r:id="rId819" xr:uid="{00000000-0004-0000-0700-000032030000}"/>
    <hyperlink ref="A821" r:id="rId820" xr:uid="{00000000-0004-0000-0700-000033030000}"/>
    <hyperlink ref="A822" r:id="rId821" xr:uid="{00000000-0004-0000-0700-000034030000}"/>
    <hyperlink ref="A823" r:id="rId822" xr:uid="{00000000-0004-0000-0700-000035030000}"/>
    <hyperlink ref="A824" r:id="rId823" xr:uid="{00000000-0004-0000-0700-000036030000}"/>
    <hyperlink ref="A825" r:id="rId824" xr:uid="{00000000-0004-0000-0700-000037030000}"/>
    <hyperlink ref="A826" r:id="rId825" xr:uid="{00000000-0004-0000-0700-000038030000}"/>
    <hyperlink ref="A827" r:id="rId826" xr:uid="{00000000-0004-0000-0700-000039030000}"/>
    <hyperlink ref="A828" r:id="rId827" xr:uid="{00000000-0004-0000-0700-00003A030000}"/>
    <hyperlink ref="A829" r:id="rId828" xr:uid="{00000000-0004-0000-0700-00003B030000}"/>
    <hyperlink ref="A830" r:id="rId829" xr:uid="{00000000-0004-0000-0700-00003C030000}"/>
    <hyperlink ref="A831" r:id="rId830" xr:uid="{00000000-0004-0000-0700-00003D030000}"/>
    <hyperlink ref="A832" r:id="rId831" xr:uid="{00000000-0004-0000-0700-00003E030000}"/>
    <hyperlink ref="A833" r:id="rId832" xr:uid="{00000000-0004-0000-0700-00003F030000}"/>
    <hyperlink ref="A834" r:id="rId833" xr:uid="{00000000-0004-0000-0700-000040030000}"/>
    <hyperlink ref="A835" r:id="rId834" xr:uid="{00000000-0004-0000-0700-000041030000}"/>
    <hyperlink ref="A836" r:id="rId835" xr:uid="{00000000-0004-0000-0700-000042030000}"/>
    <hyperlink ref="A837" r:id="rId836" xr:uid="{00000000-0004-0000-0700-000043030000}"/>
    <hyperlink ref="A838" r:id="rId837" xr:uid="{00000000-0004-0000-0700-000044030000}"/>
    <hyperlink ref="A839" r:id="rId838" xr:uid="{00000000-0004-0000-0700-000045030000}"/>
    <hyperlink ref="A840" r:id="rId839" xr:uid="{00000000-0004-0000-0700-000046030000}"/>
    <hyperlink ref="A841" r:id="rId840" xr:uid="{00000000-0004-0000-0700-000047030000}"/>
    <hyperlink ref="A842" r:id="rId841" xr:uid="{00000000-0004-0000-0700-000048030000}"/>
    <hyperlink ref="A843" r:id="rId842" xr:uid="{00000000-0004-0000-0700-000049030000}"/>
    <hyperlink ref="A844" r:id="rId843" xr:uid="{00000000-0004-0000-0700-00004A030000}"/>
    <hyperlink ref="A845" r:id="rId844" xr:uid="{00000000-0004-0000-0700-00004B030000}"/>
    <hyperlink ref="A846" r:id="rId845" xr:uid="{00000000-0004-0000-0700-00004C030000}"/>
    <hyperlink ref="A847" r:id="rId846" xr:uid="{00000000-0004-0000-0700-00004D030000}"/>
    <hyperlink ref="A848" r:id="rId847" xr:uid="{00000000-0004-0000-0700-00004E030000}"/>
    <hyperlink ref="A849" r:id="rId848" xr:uid="{00000000-0004-0000-0700-00004F030000}"/>
    <hyperlink ref="A850" r:id="rId849" xr:uid="{00000000-0004-0000-0700-000050030000}"/>
    <hyperlink ref="A851" r:id="rId850" xr:uid="{00000000-0004-0000-0700-000051030000}"/>
    <hyperlink ref="A852" r:id="rId851" xr:uid="{00000000-0004-0000-0700-000052030000}"/>
    <hyperlink ref="A853" r:id="rId852" xr:uid="{00000000-0004-0000-0700-000053030000}"/>
    <hyperlink ref="A854" r:id="rId853" xr:uid="{00000000-0004-0000-0700-000054030000}"/>
    <hyperlink ref="A855" r:id="rId854" xr:uid="{00000000-0004-0000-0700-000055030000}"/>
    <hyperlink ref="A856" r:id="rId855" xr:uid="{00000000-0004-0000-0700-000056030000}"/>
    <hyperlink ref="A857" r:id="rId856" xr:uid="{00000000-0004-0000-0700-000057030000}"/>
    <hyperlink ref="A858" r:id="rId857" xr:uid="{00000000-0004-0000-0700-000058030000}"/>
    <hyperlink ref="A859" r:id="rId858" xr:uid="{00000000-0004-0000-0700-000059030000}"/>
    <hyperlink ref="A860" r:id="rId859" xr:uid="{00000000-0004-0000-0700-00005A030000}"/>
    <hyperlink ref="A861" r:id="rId860" xr:uid="{00000000-0004-0000-0700-00005B030000}"/>
    <hyperlink ref="A862" r:id="rId861" xr:uid="{00000000-0004-0000-0700-00005C030000}"/>
    <hyperlink ref="A863" r:id="rId862" xr:uid="{00000000-0004-0000-0700-00005D030000}"/>
    <hyperlink ref="A864" r:id="rId863" xr:uid="{00000000-0004-0000-0700-00005E030000}"/>
    <hyperlink ref="A865" r:id="rId864" xr:uid="{00000000-0004-0000-0700-00005F030000}"/>
    <hyperlink ref="A866" r:id="rId865" xr:uid="{00000000-0004-0000-0700-000060030000}"/>
    <hyperlink ref="A867" r:id="rId866" xr:uid="{00000000-0004-0000-0700-000061030000}"/>
    <hyperlink ref="A868" r:id="rId867" xr:uid="{00000000-0004-0000-0700-000062030000}"/>
    <hyperlink ref="A869" r:id="rId868" xr:uid="{00000000-0004-0000-0700-000063030000}"/>
    <hyperlink ref="A870" r:id="rId869" xr:uid="{00000000-0004-0000-0700-000064030000}"/>
    <hyperlink ref="A871" r:id="rId870" xr:uid="{00000000-0004-0000-0700-000065030000}"/>
    <hyperlink ref="A872" r:id="rId871" xr:uid="{00000000-0004-0000-0700-000066030000}"/>
    <hyperlink ref="A873" r:id="rId872" xr:uid="{00000000-0004-0000-0700-000067030000}"/>
    <hyperlink ref="A874" r:id="rId873" xr:uid="{00000000-0004-0000-0700-000068030000}"/>
    <hyperlink ref="A875" r:id="rId874" xr:uid="{00000000-0004-0000-0700-000069030000}"/>
    <hyperlink ref="A876" r:id="rId875" xr:uid="{00000000-0004-0000-0700-00006A030000}"/>
    <hyperlink ref="A877" r:id="rId876" xr:uid="{00000000-0004-0000-0700-00006B030000}"/>
    <hyperlink ref="A878" r:id="rId877" xr:uid="{00000000-0004-0000-0700-00006C030000}"/>
    <hyperlink ref="A879" r:id="rId878" xr:uid="{00000000-0004-0000-0700-00006D030000}"/>
    <hyperlink ref="A880" r:id="rId879" xr:uid="{00000000-0004-0000-0700-00006E030000}"/>
    <hyperlink ref="A881" r:id="rId880" xr:uid="{00000000-0004-0000-0700-00006F030000}"/>
    <hyperlink ref="A882" r:id="rId881" xr:uid="{00000000-0004-0000-0700-000070030000}"/>
    <hyperlink ref="A883" r:id="rId882" xr:uid="{00000000-0004-0000-0700-000071030000}"/>
    <hyperlink ref="A884" r:id="rId883" xr:uid="{00000000-0004-0000-0700-000072030000}"/>
    <hyperlink ref="A885" r:id="rId884" xr:uid="{00000000-0004-0000-0700-000073030000}"/>
    <hyperlink ref="A886" r:id="rId885" xr:uid="{00000000-0004-0000-0700-000074030000}"/>
    <hyperlink ref="A887" r:id="rId886" xr:uid="{00000000-0004-0000-0700-000075030000}"/>
    <hyperlink ref="A888" r:id="rId887" xr:uid="{00000000-0004-0000-0700-000076030000}"/>
    <hyperlink ref="A889" r:id="rId888" xr:uid="{00000000-0004-0000-0700-000077030000}"/>
    <hyperlink ref="A890" r:id="rId889" xr:uid="{00000000-0004-0000-0700-000078030000}"/>
    <hyperlink ref="A891" r:id="rId890" xr:uid="{00000000-0004-0000-0700-000079030000}"/>
    <hyperlink ref="A892" r:id="rId891" xr:uid="{00000000-0004-0000-0700-00007A030000}"/>
    <hyperlink ref="A893" r:id="rId892" xr:uid="{00000000-0004-0000-0700-00007B030000}"/>
    <hyperlink ref="A894" r:id="rId893" xr:uid="{00000000-0004-0000-0700-00007C030000}"/>
    <hyperlink ref="A895" r:id="rId894" xr:uid="{00000000-0004-0000-0700-00007D030000}"/>
    <hyperlink ref="A896" r:id="rId895" xr:uid="{00000000-0004-0000-0700-00007E030000}"/>
    <hyperlink ref="A897" r:id="rId896" xr:uid="{00000000-0004-0000-0700-00007F030000}"/>
    <hyperlink ref="A898" r:id="rId897" xr:uid="{00000000-0004-0000-0700-000080030000}"/>
    <hyperlink ref="A899" r:id="rId898" xr:uid="{00000000-0004-0000-0700-000081030000}"/>
    <hyperlink ref="A900" r:id="rId899" xr:uid="{00000000-0004-0000-0700-000082030000}"/>
    <hyperlink ref="A901" r:id="rId900" xr:uid="{00000000-0004-0000-0700-000083030000}"/>
    <hyperlink ref="A902" r:id="rId901" xr:uid="{00000000-0004-0000-0700-000084030000}"/>
    <hyperlink ref="A903" r:id="rId902" xr:uid="{00000000-0004-0000-0700-000085030000}"/>
    <hyperlink ref="A904" r:id="rId903" xr:uid="{00000000-0004-0000-0700-000086030000}"/>
    <hyperlink ref="A905" r:id="rId904" xr:uid="{00000000-0004-0000-0700-000087030000}"/>
    <hyperlink ref="A906" r:id="rId905" xr:uid="{00000000-0004-0000-0700-000088030000}"/>
    <hyperlink ref="A907" r:id="rId906" xr:uid="{00000000-0004-0000-0700-000089030000}"/>
    <hyperlink ref="A908" r:id="rId907" xr:uid="{00000000-0004-0000-0700-00008A030000}"/>
    <hyperlink ref="A909" r:id="rId908" xr:uid="{00000000-0004-0000-0700-00008B030000}"/>
    <hyperlink ref="A910" r:id="rId909" xr:uid="{00000000-0004-0000-0700-00008C030000}"/>
    <hyperlink ref="A911" r:id="rId910" xr:uid="{00000000-0004-0000-0700-00008D030000}"/>
    <hyperlink ref="A912" r:id="rId911" xr:uid="{00000000-0004-0000-0700-00008E030000}"/>
    <hyperlink ref="A913" r:id="rId912" xr:uid="{00000000-0004-0000-0700-00008F030000}"/>
    <hyperlink ref="A914" r:id="rId913" xr:uid="{00000000-0004-0000-0700-000090030000}"/>
    <hyperlink ref="A915" r:id="rId914" xr:uid="{00000000-0004-0000-0700-000091030000}"/>
    <hyperlink ref="A916" r:id="rId915" xr:uid="{00000000-0004-0000-0700-000092030000}"/>
    <hyperlink ref="A917" r:id="rId916" xr:uid="{00000000-0004-0000-0700-000093030000}"/>
    <hyperlink ref="A918" r:id="rId917" xr:uid="{00000000-0004-0000-0700-000094030000}"/>
    <hyperlink ref="A919" r:id="rId918" xr:uid="{00000000-0004-0000-0700-000095030000}"/>
    <hyperlink ref="A920" r:id="rId919" xr:uid="{00000000-0004-0000-0700-000096030000}"/>
    <hyperlink ref="A921" r:id="rId920" xr:uid="{00000000-0004-0000-0700-000097030000}"/>
    <hyperlink ref="A922" r:id="rId921" xr:uid="{00000000-0004-0000-0700-000098030000}"/>
    <hyperlink ref="A923" r:id="rId922" xr:uid="{00000000-0004-0000-0700-000099030000}"/>
    <hyperlink ref="A924" r:id="rId923" xr:uid="{00000000-0004-0000-0700-00009A030000}"/>
    <hyperlink ref="A925" r:id="rId924" xr:uid="{00000000-0004-0000-0700-00009B030000}"/>
    <hyperlink ref="A926" r:id="rId925" xr:uid="{00000000-0004-0000-0700-00009C030000}"/>
    <hyperlink ref="A927" r:id="rId926" xr:uid="{00000000-0004-0000-0700-00009D030000}"/>
    <hyperlink ref="A928" r:id="rId927" xr:uid="{00000000-0004-0000-0700-00009E030000}"/>
    <hyperlink ref="A929" r:id="rId928" xr:uid="{00000000-0004-0000-0700-00009F030000}"/>
    <hyperlink ref="A930" r:id="rId929" xr:uid="{00000000-0004-0000-0700-0000A0030000}"/>
    <hyperlink ref="A931" r:id="rId930" xr:uid="{00000000-0004-0000-0700-0000A1030000}"/>
    <hyperlink ref="A932" r:id="rId931" xr:uid="{00000000-0004-0000-0700-0000A2030000}"/>
    <hyperlink ref="A933" r:id="rId932" xr:uid="{00000000-0004-0000-0700-0000A3030000}"/>
    <hyperlink ref="A934" r:id="rId933" xr:uid="{00000000-0004-0000-0700-0000A4030000}"/>
    <hyperlink ref="A935" r:id="rId934" xr:uid="{00000000-0004-0000-0700-0000A5030000}"/>
    <hyperlink ref="A936" r:id="rId935" xr:uid="{00000000-0004-0000-0700-0000A6030000}"/>
    <hyperlink ref="A937" r:id="rId936" xr:uid="{00000000-0004-0000-0700-0000A7030000}"/>
    <hyperlink ref="A938" r:id="rId937" xr:uid="{00000000-0004-0000-0700-0000A8030000}"/>
    <hyperlink ref="A939" r:id="rId938" xr:uid="{00000000-0004-0000-0700-0000A9030000}"/>
    <hyperlink ref="A940" r:id="rId939" xr:uid="{00000000-0004-0000-0700-0000AA030000}"/>
    <hyperlink ref="A941" r:id="rId940" xr:uid="{00000000-0004-0000-0700-0000AB030000}"/>
    <hyperlink ref="A942" r:id="rId941" xr:uid="{00000000-0004-0000-0700-0000AC030000}"/>
    <hyperlink ref="A943" r:id="rId942" xr:uid="{00000000-0004-0000-0700-0000AD030000}"/>
    <hyperlink ref="A944" r:id="rId943" xr:uid="{00000000-0004-0000-0700-0000AE030000}"/>
    <hyperlink ref="A945" r:id="rId944" xr:uid="{00000000-0004-0000-0700-0000AF030000}"/>
    <hyperlink ref="A946" r:id="rId945" xr:uid="{00000000-0004-0000-0700-0000B0030000}"/>
    <hyperlink ref="A947" r:id="rId946" xr:uid="{00000000-0004-0000-0700-0000B1030000}"/>
    <hyperlink ref="A948" r:id="rId947" xr:uid="{00000000-0004-0000-0700-0000B2030000}"/>
    <hyperlink ref="A949" r:id="rId948" xr:uid="{00000000-0004-0000-0700-0000B3030000}"/>
    <hyperlink ref="A950" r:id="rId949" xr:uid="{00000000-0004-0000-0700-0000B4030000}"/>
    <hyperlink ref="A951" r:id="rId950" xr:uid="{00000000-0004-0000-0700-0000B5030000}"/>
    <hyperlink ref="A952" r:id="rId951" xr:uid="{00000000-0004-0000-0700-0000B6030000}"/>
    <hyperlink ref="A953" r:id="rId952" xr:uid="{00000000-0004-0000-0700-0000B7030000}"/>
    <hyperlink ref="A954" r:id="rId953" xr:uid="{00000000-0004-0000-0700-0000B8030000}"/>
    <hyperlink ref="A955" r:id="rId954" xr:uid="{00000000-0004-0000-0700-0000B9030000}"/>
    <hyperlink ref="A956" r:id="rId955" xr:uid="{00000000-0004-0000-0700-0000BA030000}"/>
    <hyperlink ref="A957" r:id="rId956" xr:uid="{00000000-0004-0000-0700-0000BB030000}"/>
    <hyperlink ref="A958" r:id="rId957" xr:uid="{00000000-0004-0000-0700-0000BC030000}"/>
    <hyperlink ref="A959" r:id="rId958" xr:uid="{00000000-0004-0000-0700-0000BD030000}"/>
    <hyperlink ref="A960" r:id="rId959" xr:uid="{00000000-0004-0000-0700-0000BE030000}"/>
    <hyperlink ref="A961" r:id="rId960" xr:uid="{00000000-0004-0000-0700-0000BF030000}"/>
    <hyperlink ref="A962" r:id="rId961" xr:uid="{00000000-0004-0000-0700-0000C0030000}"/>
    <hyperlink ref="A963" r:id="rId962" xr:uid="{00000000-0004-0000-0700-0000C1030000}"/>
    <hyperlink ref="A964" r:id="rId963" xr:uid="{00000000-0004-0000-0700-0000C2030000}"/>
    <hyperlink ref="A965" r:id="rId964" xr:uid="{00000000-0004-0000-0700-0000C3030000}"/>
    <hyperlink ref="A966" r:id="rId965" xr:uid="{00000000-0004-0000-0700-0000C4030000}"/>
    <hyperlink ref="A967" r:id="rId966" xr:uid="{00000000-0004-0000-0700-0000C5030000}"/>
    <hyperlink ref="A968" r:id="rId967" xr:uid="{00000000-0004-0000-0700-0000C6030000}"/>
    <hyperlink ref="A969" r:id="rId968" xr:uid="{00000000-0004-0000-0700-0000C7030000}"/>
    <hyperlink ref="A970" r:id="rId969" xr:uid="{00000000-0004-0000-0700-0000C8030000}"/>
    <hyperlink ref="A971" r:id="rId970" xr:uid="{00000000-0004-0000-0700-0000C9030000}"/>
    <hyperlink ref="A972" r:id="rId971" xr:uid="{00000000-0004-0000-0700-0000CA030000}"/>
    <hyperlink ref="A973" r:id="rId972" xr:uid="{00000000-0004-0000-0700-0000CB030000}"/>
    <hyperlink ref="A974" r:id="rId973" xr:uid="{00000000-0004-0000-0700-0000CC030000}"/>
    <hyperlink ref="A975" r:id="rId974" xr:uid="{00000000-0004-0000-0700-0000CD030000}"/>
    <hyperlink ref="A976" r:id="rId975" xr:uid="{00000000-0004-0000-0700-0000CE030000}"/>
    <hyperlink ref="A977" r:id="rId976" xr:uid="{00000000-0004-0000-0700-0000CF030000}"/>
    <hyperlink ref="A978" r:id="rId977" xr:uid="{00000000-0004-0000-0700-0000D0030000}"/>
    <hyperlink ref="A979" r:id="rId978" xr:uid="{00000000-0004-0000-0700-0000D1030000}"/>
    <hyperlink ref="A980" r:id="rId979" xr:uid="{00000000-0004-0000-0700-0000D2030000}"/>
    <hyperlink ref="A981" r:id="rId980" xr:uid="{00000000-0004-0000-0700-0000D3030000}"/>
    <hyperlink ref="A982" r:id="rId981" xr:uid="{00000000-0004-0000-0700-0000D4030000}"/>
    <hyperlink ref="A983" r:id="rId982" xr:uid="{00000000-0004-0000-0700-0000D5030000}"/>
    <hyperlink ref="A984" r:id="rId983" xr:uid="{00000000-0004-0000-0700-0000D6030000}"/>
    <hyperlink ref="A985" r:id="rId984" xr:uid="{00000000-0004-0000-0700-0000D7030000}"/>
    <hyperlink ref="A986" r:id="rId985" xr:uid="{00000000-0004-0000-0700-0000D8030000}"/>
    <hyperlink ref="A987" r:id="rId986" xr:uid="{00000000-0004-0000-0700-0000D9030000}"/>
    <hyperlink ref="A988" r:id="rId987" xr:uid="{00000000-0004-0000-0700-0000DA030000}"/>
    <hyperlink ref="A989" r:id="rId988" xr:uid="{00000000-0004-0000-0700-0000DB030000}"/>
    <hyperlink ref="A990" r:id="rId989" xr:uid="{00000000-0004-0000-0700-0000DC030000}"/>
    <hyperlink ref="A991" r:id="rId990" xr:uid="{00000000-0004-0000-0700-0000DD030000}"/>
    <hyperlink ref="A992" r:id="rId991" xr:uid="{00000000-0004-0000-0700-0000DE030000}"/>
    <hyperlink ref="A993" r:id="rId992" xr:uid="{00000000-0004-0000-0700-0000DF030000}"/>
    <hyperlink ref="A994" r:id="rId993" xr:uid="{00000000-0004-0000-0700-0000E0030000}"/>
    <hyperlink ref="A995" r:id="rId994" xr:uid="{00000000-0004-0000-0700-0000E1030000}"/>
    <hyperlink ref="A996" r:id="rId995" xr:uid="{00000000-0004-0000-0700-0000E2030000}"/>
    <hyperlink ref="A997" r:id="rId996" xr:uid="{00000000-0004-0000-0700-0000E3030000}"/>
    <hyperlink ref="A998" r:id="rId997" xr:uid="{00000000-0004-0000-0700-0000E4030000}"/>
    <hyperlink ref="A999" r:id="rId998" xr:uid="{00000000-0004-0000-0700-0000E5030000}"/>
    <hyperlink ref="A1000" r:id="rId999" xr:uid="{00000000-0004-0000-0700-0000E6030000}"/>
    <hyperlink ref="A1001" r:id="rId1000" xr:uid="{00000000-0004-0000-0700-0000E7030000}"/>
    <hyperlink ref="A1002" r:id="rId1001" xr:uid="{00000000-0004-0000-0700-0000E8030000}"/>
    <hyperlink ref="A1003" r:id="rId1002" xr:uid="{00000000-0004-0000-0700-0000E9030000}"/>
    <hyperlink ref="A1004" r:id="rId1003" xr:uid="{00000000-0004-0000-0700-0000EA030000}"/>
    <hyperlink ref="A1005" r:id="rId1004" xr:uid="{00000000-0004-0000-0700-0000EB030000}"/>
    <hyperlink ref="A1006" r:id="rId1005" xr:uid="{00000000-0004-0000-0700-0000EC030000}"/>
    <hyperlink ref="A1007" r:id="rId1006" xr:uid="{00000000-0004-0000-0700-0000ED030000}"/>
    <hyperlink ref="A1008" r:id="rId1007" xr:uid="{00000000-0004-0000-0700-0000EE030000}"/>
    <hyperlink ref="A1009" r:id="rId1008" xr:uid="{00000000-0004-0000-0700-0000EF030000}"/>
    <hyperlink ref="A1010" r:id="rId1009" xr:uid="{00000000-0004-0000-0700-0000F0030000}"/>
    <hyperlink ref="A1011" r:id="rId1010" xr:uid="{00000000-0004-0000-0700-0000F1030000}"/>
    <hyperlink ref="A1012" r:id="rId1011" xr:uid="{00000000-0004-0000-0700-0000F2030000}"/>
    <hyperlink ref="A1013" r:id="rId1012" xr:uid="{00000000-0004-0000-0700-0000F3030000}"/>
    <hyperlink ref="A1014" r:id="rId1013" xr:uid="{00000000-0004-0000-0700-0000F4030000}"/>
    <hyperlink ref="A1015" r:id="rId1014" xr:uid="{00000000-0004-0000-0700-0000F5030000}"/>
    <hyperlink ref="A1016" r:id="rId1015" xr:uid="{00000000-0004-0000-0700-0000F6030000}"/>
    <hyperlink ref="A1017" r:id="rId1016" xr:uid="{00000000-0004-0000-0700-0000F7030000}"/>
    <hyperlink ref="A1018" r:id="rId1017" xr:uid="{00000000-0004-0000-0700-0000F8030000}"/>
    <hyperlink ref="A1019" r:id="rId1018" xr:uid="{00000000-0004-0000-0700-0000F9030000}"/>
    <hyperlink ref="A1020" r:id="rId1019" xr:uid="{00000000-0004-0000-0700-0000FA030000}"/>
    <hyperlink ref="A1021" r:id="rId1020" xr:uid="{00000000-0004-0000-0700-0000FB030000}"/>
    <hyperlink ref="A1022" r:id="rId1021" xr:uid="{00000000-0004-0000-0700-0000FC030000}"/>
    <hyperlink ref="A1023" r:id="rId1022" xr:uid="{00000000-0004-0000-0700-0000FD030000}"/>
    <hyperlink ref="A1024" r:id="rId1023" xr:uid="{00000000-0004-0000-0700-0000FE030000}"/>
    <hyperlink ref="A1025" r:id="rId1024" xr:uid="{00000000-0004-0000-0700-0000FF030000}"/>
    <hyperlink ref="A1026" r:id="rId1025" xr:uid="{00000000-0004-0000-0700-000000040000}"/>
    <hyperlink ref="A1027" r:id="rId1026" xr:uid="{00000000-0004-0000-0700-000001040000}"/>
    <hyperlink ref="A1028" r:id="rId1027" xr:uid="{00000000-0004-0000-0700-000002040000}"/>
    <hyperlink ref="A1029" r:id="rId1028" xr:uid="{00000000-0004-0000-0700-000003040000}"/>
    <hyperlink ref="A1030" r:id="rId1029" xr:uid="{00000000-0004-0000-0700-000004040000}"/>
    <hyperlink ref="A1031" r:id="rId1030" xr:uid="{00000000-0004-0000-0700-000005040000}"/>
    <hyperlink ref="A1032" r:id="rId1031" xr:uid="{00000000-0004-0000-0700-000006040000}"/>
    <hyperlink ref="A1033" r:id="rId1032" xr:uid="{00000000-0004-0000-0700-000007040000}"/>
    <hyperlink ref="A1034" r:id="rId1033" xr:uid="{00000000-0004-0000-0700-000008040000}"/>
    <hyperlink ref="A1035" r:id="rId1034" xr:uid="{00000000-0004-0000-0700-000009040000}"/>
    <hyperlink ref="A1036" r:id="rId1035" xr:uid="{00000000-0004-0000-0700-00000A040000}"/>
    <hyperlink ref="A1037" r:id="rId1036" xr:uid="{00000000-0004-0000-0700-00000B040000}"/>
    <hyperlink ref="A1038" r:id="rId1037" xr:uid="{00000000-0004-0000-0700-00000C040000}"/>
    <hyperlink ref="A1039" r:id="rId1038" xr:uid="{00000000-0004-0000-0700-00000D040000}"/>
    <hyperlink ref="A1040" r:id="rId1039" xr:uid="{00000000-0004-0000-0700-00000E040000}"/>
    <hyperlink ref="A1041" r:id="rId1040" xr:uid="{00000000-0004-0000-0700-00000F040000}"/>
    <hyperlink ref="A1042" r:id="rId1041" xr:uid="{00000000-0004-0000-0700-000010040000}"/>
    <hyperlink ref="A1043" r:id="rId1042" xr:uid="{00000000-0004-0000-0700-000011040000}"/>
    <hyperlink ref="A1044" r:id="rId1043" xr:uid="{00000000-0004-0000-0700-000012040000}"/>
    <hyperlink ref="A1045" r:id="rId1044" xr:uid="{00000000-0004-0000-0700-000013040000}"/>
    <hyperlink ref="A1046" r:id="rId1045" xr:uid="{00000000-0004-0000-0700-000014040000}"/>
    <hyperlink ref="A1047" r:id="rId1046" xr:uid="{00000000-0004-0000-0700-000015040000}"/>
    <hyperlink ref="A1048" r:id="rId1047" xr:uid="{00000000-0004-0000-0700-000016040000}"/>
    <hyperlink ref="A1049" r:id="rId1048" xr:uid="{00000000-0004-0000-0700-000017040000}"/>
    <hyperlink ref="A1050" r:id="rId1049" xr:uid="{00000000-0004-0000-0700-000018040000}"/>
    <hyperlink ref="A1051" r:id="rId1050" xr:uid="{00000000-0004-0000-0700-000019040000}"/>
    <hyperlink ref="A1052" r:id="rId1051" xr:uid="{00000000-0004-0000-0700-00001A040000}"/>
    <hyperlink ref="A1053" r:id="rId1052" xr:uid="{00000000-0004-0000-0700-00001B040000}"/>
    <hyperlink ref="A1054" r:id="rId1053" xr:uid="{00000000-0004-0000-0700-00001C040000}"/>
    <hyperlink ref="A1055" r:id="rId1054" xr:uid="{00000000-0004-0000-0700-00001D040000}"/>
    <hyperlink ref="A1056" r:id="rId1055" xr:uid="{00000000-0004-0000-0700-00001E040000}"/>
    <hyperlink ref="A1057" r:id="rId1056" xr:uid="{00000000-0004-0000-0700-00001F040000}"/>
    <hyperlink ref="A1058" r:id="rId1057" xr:uid="{00000000-0004-0000-0700-000020040000}"/>
    <hyperlink ref="A1059" r:id="rId1058" xr:uid="{00000000-0004-0000-0700-000021040000}"/>
    <hyperlink ref="A1060" r:id="rId1059" xr:uid="{00000000-0004-0000-0700-000022040000}"/>
    <hyperlink ref="A1061" r:id="rId1060" xr:uid="{00000000-0004-0000-0700-000023040000}"/>
    <hyperlink ref="A1062" r:id="rId1061" xr:uid="{00000000-0004-0000-0700-000024040000}"/>
    <hyperlink ref="A1063" r:id="rId1062" xr:uid="{00000000-0004-0000-0700-000025040000}"/>
    <hyperlink ref="A1064" r:id="rId1063" xr:uid="{00000000-0004-0000-0700-000026040000}"/>
    <hyperlink ref="A1065" r:id="rId1064" xr:uid="{00000000-0004-0000-0700-000027040000}"/>
    <hyperlink ref="A1066" r:id="rId1065" xr:uid="{00000000-0004-0000-0700-000028040000}"/>
    <hyperlink ref="A1067" r:id="rId1066" xr:uid="{00000000-0004-0000-0700-000029040000}"/>
    <hyperlink ref="A1068" r:id="rId1067" xr:uid="{00000000-0004-0000-0700-00002A040000}"/>
    <hyperlink ref="A1069" r:id="rId1068" xr:uid="{00000000-0004-0000-0700-00002B040000}"/>
    <hyperlink ref="A1070" r:id="rId1069" xr:uid="{00000000-0004-0000-0700-00002C040000}"/>
    <hyperlink ref="A1071" r:id="rId1070" xr:uid="{00000000-0004-0000-0700-00002D040000}"/>
    <hyperlink ref="A1072" r:id="rId1071" xr:uid="{00000000-0004-0000-0700-00002E040000}"/>
    <hyperlink ref="A1073" r:id="rId1072" xr:uid="{00000000-0004-0000-0700-00002F040000}"/>
    <hyperlink ref="A1074" r:id="rId1073" xr:uid="{00000000-0004-0000-0700-000030040000}"/>
    <hyperlink ref="A1075" r:id="rId1074" xr:uid="{00000000-0004-0000-0700-000031040000}"/>
    <hyperlink ref="A1076" r:id="rId1075" xr:uid="{00000000-0004-0000-0700-000032040000}"/>
    <hyperlink ref="A1077" r:id="rId1076" xr:uid="{00000000-0004-0000-0700-000033040000}"/>
    <hyperlink ref="A1078" r:id="rId1077" xr:uid="{00000000-0004-0000-0700-000034040000}"/>
    <hyperlink ref="A1079" r:id="rId1078" xr:uid="{00000000-0004-0000-0700-000035040000}"/>
    <hyperlink ref="A1080" r:id="rId1079" xr:uid="{00000000-0004-0000-0700-000036040000}"/>
    <hyperlink ref="A1081" r:id="rId1080" xr:uid="{00000000-0004-0000-0700-000037040000}"/>
    <hyperlink ref="A1082" r:id="rId1081" xr:uid="{00000000-0004-0000-0700-000038040000}"/>
    <hyperlink ref="A1083" r:id="rId1082" xr:uid="{00000000-0004-0000-0700-000039040000}"/>
    <hyperlink ref="A1084" r:id="rId1083" xr:uid="{00000000-0004-0000-0700-00003A040000}"/>
    <hyperlink ref="A1085" r:id="rId1084" xr:uid="{00000000-0004-0000-0700-00003B040000}"/>
    <hyperlink ref="A1086" r:id="rId1085" xr:uid="{00000000-0004-0000-0700-00003C040000}"/>
    <hyperlink ref="A1087" r:id="rId1086" xr:uid="{00000000-0004-0000-0700-00003D040000}"/>
    <hyperlink ref="A1088" r:id="rId1087" xr:uid="{00000000-0004-0000-0700-00003E040000}"/>
    <hyperlink ref="A1089" r:id="rId1088" xr:uid="{00000000-0004-0000-0700-00003F040000}"/>
    <hyperlink ref="A1090" r:id="rId1089" xr:uid="{00000000-0004-0000-0700-000040040000}"/>
    <hyperlink ref="A1091" r:id="rId1090" xr:uid="{00000000-0004-0000-0700-000041040000}"/>
    <hyperlink ref="A1092" r:id="rId1091" xr:uid="{00000000-0004-0000-0700-000042040000}"/>
    <hyperlink ref="A1093" r:id="rId1092" xr:uid="{00000000-0004-0000-0700-000043040000}"/>
    <hyperlink ref="A1094" r:id="rId1093" xr:uid="{00000000-0004-0000-0700-000044040000}"/>
    <hyperlink ref="A1095" r:id="rId1094" xr:uid="{00000000-0004-0000-0700-000045040000}"/>
    <hyperlink ref="A1096" r:id="rId1095" xr:uid="{00000000-0004-0000-0700-000046040000}"/>
    <hyperlink ref="A1097" r:id="rId1096" xr:uid="{00000000-0004-0000-0700-000047040000}"/>
    <hyperlink ref="A1098" r:id="rId1097" xr:uid="{00000000-0004-0000-0700-000048040000}"/>
    <hyperlink ref="A1099" r:id="rId1098" xr:uid="{00000000-0004-0000-0700-000049040000}"/>
    <hyperlink ref="A1100" r:id="rId1099" xr:uid="{00000000-0004-0000-0700-00004A040000}"/>
    <hyperlink ref="A1101" r:id="rId1100" xr:uid="{00000000-0004-0000-0700-00004B040000}"/>
    <hyperlink ref="A1102" r:id="rId1101" xr:uid="{00000000-0004-0000-0700-00004C040000}"/>
    <hyperlink ref="A1103" r:id="rId1102" xr:uid="{00000000-0004-0000-0700-00004D040000}"/>
    <hyperlink ref="A1104" r:id="rId1103" xr:uid="{00000000-0004-0000-0700-00004E040000}"/>
    <hyperlink ref="A1105" r:id="rId1104" xr:uid="{00000000-0004-0000-0700-00004F040000}"/>
    <hyperlink ref="A1106" r:id="rId1105" xr:uid="{00000000-0004-0000-0700-000050040000}"/>
    <hyperlink ref="A1107" r:id="rId1106" xr:uid="{00000000-0004-0000-0700-000051040000}"/>
    <hyperlink ref="A1108" r:id="rId1107" xr:uid="{00000000-0004-0000-0700-000052040000}"/>
    <hyperlink ref="A1109" r:id="rId1108" xr:uid="{00000000-0004-0000-0700-000053040000}"/>
    <hyperlink ref="A1110" r:id="rId1109" xr:uid="{00000000-0004-0000-0700-000054040000}"/>
    <hyperlink ref="A1111" r:id="rId1110" xr:uid="{00000000-0004-0000-0700-000055040000}"/>
    <hyperlink ref="A1112" r:id="rId1111" xr:uid="{00000000-0004-0000-0700-000056040000}"/>
    <hyperlink ref="A1113" r:id="rId1112" xr:uid="{00000000-0004-0000-0700-000057040000}"/>
    <hyperlink ref="A1114" r:id="rId1113" xr:uid="{00000000-0004-0000-0700-000058040000}"/>
    <hyperlink ref="A1115" r:id="rId1114" xr:uid="{00000000-0004-0000-0700-000059040000}"/>
    <hyperlink ref="A1116" r:id="rId1115" xr:uid="{00000000-0004-0000-0700-00005A040000}"/>
    <hyperlink ref="A1117" r:id="rId1116" xr:uid="{00000000-0004-0000-0700-00005B040000}"/>
    <hyperlink ref="A1118" r:id="rId1117" xr:uid="{00000000-0004-0000-0700-00005C040000}"/>
    <hyperlink ref="A1119" r:id="rId1118" xr:uid="{00000000-0004-0000-0700-00005D040000}"/>
    <hyperlink ref="A1120" r:id="rId1119" xr:uid="{00000000-0004-0000-0700-00005E040000}"/>
    <hyperlink ref="A1121" r:id="rId1120" xr:uid="{00000000-0004-0000-0700-00005F040000}"/>
    <hyperlink ref="A1122" r:id="rId1121" xr:uid="{00000000-0004-0000-0700-000060040000}"/>
    <hyperlink ref="A1123" r:id="rId1122" xr:uid="{00000000-0004-0000-0700-000061040000}"/>
    <hyperlink ref="A1124" r:id="rId1123" xr:uid="{00000000-0004-0000-0700-000062040000}"/>
    <hyperlink ref="A1125" r:id="rId1124" xr:uid="{00000000-0004-0000-0700-000063040000}"/>
    <hyperlink ref="A1126" r:id="rId1125" xr:uid="{00000000-0004-0000-0700-000064040000}"/>
    <hyperlink ref="A1127" r:id="rId1126" xr:uid="{00000000-0004-0000-0700-000065040000}"/>
    <hyperlink ref="A1128" r:id="rId1127" xr:uid="{00000000-0004-0000-0700-000066040000}"/>
    <hyperlink ref="A1129" r:id="rId1128" xr:uid="{00000000-0004-0000-0700-000067040000}"/>
    <hyperlink ref="A1130" r:id="rId1129" xr:uid="{00000000-0004-0000-0700-000068040000}"/>
    <hyperlink ref="A1131" r:id="rId1130" xr:uid="{00000000-0004-0000-0700-000069040000}"/>
    <hyperlink ref="A1132" r:id="rId1131" xr:uid="{00000000-0004-0000-0700-00006A040000}"/>
    <hyperlink ref="A1133" r:id="rId1132" xr:uid="{00000000-0004-0000-0700-00006B040000}"/>
    <hyperlink ref="A1134" r:id="rId1133" xr:uid="{00000000-0004-0000-0700-00006C040000}"/>
    <hyperlink ref="A1135" r:id="rId1134" xr:uid="{00000000-0004-0000-0700-00006D040000}"/>
    <hyperlink ref="A1136" r:id="rId1135" xr:uid="{00000000-0004-0000-0700-00006E040000}"/>
    <hyperlink ref="A1137" r:id="rId1136" xr:uid="{00000000-0004-0000-0700-00006F040000}"/>
    <hyperlink ref="A1138" r:id="rId1137" xr:uid="{00000000-0004-0000-0700-000070040000}"/>
    <hyperlink ref="A1139" r:id="rId1138" xr:uid="{00000000-0004-0000-0700-000071040000}"/>
    <hyperlink ref="A1140" r:id="rId1139" xr:uid="{00000000-0004-0000-0700-000072040000}"/>
    <hyperlink ref="A1141" r:id="rId1140" xr:uid="{00000000-0004-0000-0700-000073040000}"/>
    <hyperlink ref="A1142" r:id="rId1141" xr:uid="{00000000-0004-0000-0700-000074040000}"/>
    <hyperlink ref="A1143" r:id="rId1142" xr:uid="{00000000-0004-0000-0700-000075040000}"/>
    <hyperlink ref="A1144" r:id="rId1143" xr:uid="{00000000-0004-0000-0700-000076040000}"/>
    <hyperlink ref="A1145" r:id="rId1144" xr:uid="{00000000-0004-0000-0700-000077040000}"/>
    <hyperlink ref="A1146" r:id="rId1145" xr:uid="{00000000-0004-0000-0700-000078040000}"/>
    <hyperlink ref="A1147" r:id="rId1146" xr:uid="{00000000-0004-0000-0700-000079040000}"/>
    <hyperlink ref="A1148" r:id="rId1147" xr:uid="{00000000-0004-0000-0700-00007A040000}"/>
    <hyperlink ref="A1149" r:id="rId1148" xr:uid="{00000000-0004-0000-0700-00007B040000}"/>
    <hyperlink ref="A1150" r:id="rId1149" xr:uid="{00000000-0004-0000-0700-00007C040000}"/>
    <hyperlink ref="A1151" r:id="rId1150" xr:uid="{00000000-0004-0000-0700-00007D040000}"/>
    <hyperlink ref="A1152" r:id="rId1151" xr:uid="{00000000-0004-0000-0700-00007E040000}"/>
    <hyperlink ref="A1153" r:id="rId1152" xr:uid="{00000000-0004-0000-0700-00007F040000}"/>
    <hyperlink ref="A1154" r:id="rId1153" xr:uid="{00000000-0004-0000-0700-000080040000}"/>
    <hyperlink ref="A1155" r:id="rId1154" xr:uid="{00000000-0004-0000-0700-000081040000}"/>
    <hyperlink ref="A1156" r:id="rId1155" xr:uid="{00000000-0004-0000-0700-000082040000}"/>
    <hyperlink ref="A1157" r:id="rId1156" xr:uid="{00000000-0004-0000-0700-000083040000}"/>
    <hyperlink ref="A1158" r:id="rId1157" xr:uid="{00000000-0004-0000-0700-000084040000}"/>
    <hyperlink ref="A1159" r:id="rId1158" xr:uid="{00000000-0004-0000-0700-000085040000}"/>
    <hyperlink ref="A1160" r:id="rId1159" xr:uid="{00000000-0004-0000-0700-000086040000}"/>
    <hyperlink ref="A1161" r:id="rId1160" xr:uid="{00000000-0004-0000-0700-000087040000}"/>
    <hyperlink ref="A1162" r:id="rId1161" xr:uid="{00000000-0004-0000-0700-000088040000}"/>
    <hyperlink ref="A1163" r:id="rId1162" xr:uid="{00000000-0004-0000-0700-000089040000}"/>
    <hyperlink ref="A1164" r:id="rId1163" xr:uid="{00000000-0004-0000-0700-00008A040000}"/>
    <hyperlink ref="A1165" r:id="rId1164" xr:uid="{00000000-0004-0000-0700-00008B040000}"/>
    <hyperlink ref="A1166" r:id="rId1165" xr:uid="{00000000-0004-0000-0700-00008C040000}"/>
    <hyperlink ref="A1167" r:id="rId1166" xr:uid="{00000000-0004-0000-0700-00008D040000}"/>
    <hyperlink ref="A1168" r:id="rId1167" xr:uid="{00000000-0004-0000-0700-00008E040000}"/>
    <hyperlink ref="A1169" r:id="rId1168" xr:uid="{00000000-0004-0000-0700-00008F040000}"/>
    <hyperlink ref="A1170" r:id="rId1169" xr:uid="{00000000-0004-0000-0700-000090040000}"/>
    <hyperlink ref="A1171" r:id="rId1170" xr:uid="{00000000-0004-0000-0700-000091040000}"/>
    <hyperlink ref="A1172" r:id="rId1171" xr:uid="{00000000-0004-0000-0700-000092040000}"/>
    <hyperlink ref="A1173" r:id="rId1172" xr:uid="{00000000-0004-0000-0700-000093040000}"/>
    <hyperlink ref="A1174" r:id="rId1173" xr:uid="{00000000-0004-0000-0700-000094040000}"/>
    <hyperlink ref="A1175" r:id="rId1174" xr:uid="{00000000-0004-0000-0700-000095040000}"/>
    <hyperlink ref="A1176" r:id="rId1175" xr:uid="{00000000-0004-0000-0700-000096040000}"/>
    <hyperlink ref="A1177" r:id="rId1176" xr:uid="{00000000-0004-0000-0700-000097040000}"/>
    <hyperlink ref="A1178" r:id="rId1177" xr:uid="{00000000-0004-0000-0700-000098040000}"/>
    <hyperlink ref="A1179" r:id="rId1178" xr:uid="{00000000-0004-0000-0700-000099040000}"/>
    <hyperlink ref="A1180" r:id="rId1179" xr:uid="{00000000-0004-0000-0700-00009A040000}"/>
    <hyperlink ref="A1181" r:id="rId1180" xr:uid="{00000000-0004-0000-0700-00009B040000}"/>
    <hyperlink ref="A1182" r:id="rId1181" xr:uid="{00000000-0004-0000-0700-00009C040000}"/>
    <hyperlink ref="A1183" r:id="rId1182" xr:uid="{00000000-0004-0000-0700-00009D040000}"/>
    <hyperlink ref="A1184" r:id="rId1183" xr:uid="{00000000-0004-0000-0700-00009E040000}"/>
    <hyperlink ref="A1185" r:id="rId1184" xr:uid="{00000000-0004-0000-0700-00009F040000}"/>
    <hyperlink ref="A1186" r:id="rId1185" xr:uid="{00000000-0004-0000-0700-0000A0040000}"/>
    <hyperlink ref="A1187" r:id="rId1186" xr:uid="{00000000-0004-0000-0700-0000A1040000}"/>
    <hyperlink ref="A1188" r:id="rId1187" xr:uid="{00000000-0004-0000-0700-0000A2040000}"/>
    <hyperlink ref="A1189" r:id="rId1188" xr:uid="{00000000-0004-0000-0700-0000A3040000}"/>
    <hyperlink ref="A1190" r:id="rId1189" xr:uid="{00000000-0004-0000-0700-0000A4040000}"/>
    <hyperlink ref="A1191" r:id="rId1190" xr:uid="{00000000-0004-0000-0700-0000A5040000}"/>
    <hyperlink ref="A1192" r:id="rId1191" xr:uid="{00000000-0004-0000-0700-0000A6040000}"/>
    <hyperlink ref="A1193" r:id="rId1192" xr:uid="{00000000-0004-0000-0700-0000A7040000}"/>
    <hyperlink ref="A1194" r:id="rId1193" xr:uid="{00000000-0004-0000-0700-0000A8040000}"/>
    <hyperlink ref="A1195" r:id="rId1194" xr:uid="{00000000-0004-0000-0700-0000A9040000}"/>
    <hyperlink ref="A1196" r:id="rId1195" xr:uid="{00000000-0004-0000-0700-0000AA040000}"/>
    <hyperlink ref="A1197" r:id="rId1196" xr:uid="{00000000-0004-0000-0700-0000AB040000}"/>
    <hyperlink ref="A1198" r:id="rId1197" xr:uid="{00000000-0004-0000-0700-0000AC040000}"/>
    <hyperlink ref="A1199" r:id="rId1198" xr:uid="{00000000-0004-0000-0700-0000AD040000}"/>
    <hyperlink ref="A1200" r:id="rId1199" xr:uid="{00000000-0004-0000-0700-0000AE040000}"/>
    <hyperlink ref="A1201" r:id="rId1200" xr:uid="{00000000-0004-0000-0700-0000AF040000}"/>
    <hyperlink ref="A1202" r:id="rId1201" xr:uid="{00000000-0004-0000-0700-0000B0040000}"/>
    <hyperlink ref="A1203" r:id="rId1202" xr:uid="{00000000-0004-0000-0700-0000B1040000}"/>
    <hyperlink ref="A1204" r:id="rId1203" xr:uid="{00000000-0004-0000-0700-0000B2040000}"/>
    <hyperlink ref="A1205" r:id="rId1204" xr:uid="{00000000-0004-0000-0700-0000B3040000}"/>
    <hyperlink ref="A1206" r:id="rId1205" xr:uid="{00000000-0004-0000-0700-0000B4040000}"/>
    <hyperlink ref="A1207" r:id="rId1206" xr:uid="{00000000-0004-0000-0700-0000B5040000}"/>
    <hyperlink ref="A1208" r:id="rId1207" xr:uid="{00000000-0004-0000-0700-0000B6040000}"/>
    <hyperlink ref="A1209" r:id="rId1208" xr:uid="{00000000-0004-0000-0700-0000B7040000}"/>
    <hyperlink ref="A1210" r:id="rId1209" xr:uid="{00000000-0004-0000-0700-0000B8040000}"/>
    <hyperlink ref="A1211" r:id="rId1210" xr:uid="{00000000-0004-0000-0700-0000B9040000}"/>
    <hyperlink ref="A1212" r:id="rId1211" xr:uid="{00000000-0004-0000-0700-0000BA040000}"/>
    <hyperlink ref="A1213" r:id="rId1212" xr:uid="{00000000-0004-0000-0700-0000BB040000}"/>
    <hyperlink ref="A1214" r:id="rId1213" xr:uid="{00000000-0004-0000-0700-0000BC040000}"/>
    <hyperlink ref="A1215" r:id="rId1214" xr:uid="{00000000-0004-0000-0700-0000BD040000}"/>
    <hyperlink ref="A1216" r:id="rId1215" xr:uid="{00000000-0004-0000-0700-0000BE040000}"/>
    <hyperlink ref="A1217" r:id="rId1216" xr:uid="{00000000-0004-0000-0700-0000BF040000}"/>
    <hyperlink ref="A1218" r:id="rId1217" xr:uid="{00000000-0004-0000-0700-0000C0040000}"/>
    <hyperlink ref="A1219" r:id="rId1218" xr:uid="{00000000-0004-0000-0700-0000C1040000}"/>
    <hyperlink ref="A1220" r:id="rId1219" xr:uid="{00000000-0004-0000-0700-0000C2040000}"/>
    <hyperlink ref="A1221" r:id="rId1220" xr:uid="{00000000-0004-0000-0700-0000C3040000}"/>
    <hyperlink ref="A1222" r:id="rId1221" xr:uid="{00000000-0004-0000-0700-0000C4040000}"/>
    <hyperlink ref="A1223" r:id="rId1222" xr:uid="{00000000-0004-0000-0700-0000C5040000}"/>
    <hyperlink ref="A1224" r:id="rId1223" xr:uid="{00000000-0004-0000-0700-0000C6040000}"/>
    <hyperlink ref="A1225" r:id="rId1224" xr:uid="{00000000-0004-0000-0700-0000C7040000}"/>
    <hyperlink ref="A1226" r:id="rId1225" xr:uid="{00000000-0004-0000-0700-0000C8040000}"/>
    <hyperlink ref="A1227" r:id="rId1226" xr:uid="{00000000-0004-0000-0700-0000C9040000}"/>
    <hyperlink ref="A1228" r:id="rId1227" xr:uid="{00000000-0004-0000-0700-0000CA040000}"/>
    <hyperlink ref="A1229" r:id="rId1228" xr:uid="{00000000-0004-0000-0700-0000CB040000}"/>
    <hyperlink ref="A1230" r:id="rId1229" xr:uid="{00000000-0004-0000-0700-0000CC040000}"/>
    <hyperlink ref="A1231" r:id="rId1230" xr:uid="{00000000-0004-0000-0700-0000CD040000}"/>
    <hyperlink ref="A1232" r:id="rId1231" xr:uid="{00000000-0004-0000-0700-0000CE040000}"/>
    <hyperlink ref="A1233" r:id="rId1232" xr:uid="{00000000-0004-0000-0700-0000CF040000}"/>
    <hyperlink ref="A1234" r:id="rId1233" xr:uid="{00000000-0004-0000-0700-0000D0040000}"/>
    <hyperlink ref="A1235" r:id="rId1234" xr:uid="{00000000-0004-0000-0700-0000D1040000}"/>
    <hyperlink ref="A1236" r:id="rId1235" xr:uid="{00000000-0004-0000-0700-0000D2040000}"/>
    <hyperlink ref="A1237" r:id="rId1236" xr:uid="{00000000-0004-0000-0700-0000D3040000}"/>
    <hyperlink ref="A1238" r:id="rId1237" xr:uid="{00000000-0004-0000-0700-0000D4040000}"/>
    <hyperlink ref="A1239" r:id="rId1238" xr:uid="{00000000-0004-0000-0700-0000D5040000}"/>
    <hyperlink ref="A1240" r:id="rId1239" xr:uid="{00000000-0004-0000-0700-0000D6040000}"/>
    <hyperlink ref="A1241" r:id="rId1240" xr:uid="{00000000-0004-0000-0700-0000D7040000}"/>
    <hyperlink ref="A1242" r:id="rId1241" xr:uid="{00000000-0004-0000-0700-0000D8040000}"/>
    <hyperlink ref="A1243" r:id="rId1242" xr:uid="{00000000-0004-0000-0700-0000D9040000}"/>
    <hyperlink ref="A1244" r:id="rId1243" xr:uid="{00000000-0004-0000-0700-0000DA040000}"/>
    <hyperlink ref="A1245" r:id="rId1244" xr:uid="{00000000-0004-0000-0700-0000DB040000}"/>
    <hyperlink ref="A1246" r:id="rId1245" xr:uid="{00000000-0004-0000-0700-0000DC040000}"/>
    <hyperlink ref="A1247" r:id="rId1246" xr:uid="{00000000-0004-0000-0700-0000DD040000}"/>
    <hyperlink ref="A1248" r:id="rId1247" xr:uid="{00000000-0004-0000-0700-0000DE040000}"/>
    <hyperlink ref="A1249" r:id="rId1248" xr:uid="{00000000-0004-0000-0700-0000DF040000}"/>
    <hyperlink ref="A1250" r:id="rId1249" xr:uid="{00000000-0004-0000-0700-0000E0040000}"/>
    <hyperlink ref="A1251" r:id="rId1250" xr:uid="{00000000-0004-0000-0700-0000E1040000}"/>
    <hyperlink ref="A1252" r:id="rId1251" xr:uid="{00000000-0004-0000-0700-0000E2040000}"/>
    <hyperlink ref="A1253" r:id="rId1252" xr:uid="{00000000-0004-0000-0700-0000E3040000}"/>
    <hyperlink ref="A1254" r:id="rId1253" xr:uid="{00000000-0004-0000-0700-0000E4040000}"/>
    <hyperlink ref="A1255" r:id="rId1254" xr:uid="{00000000-0004-0000-0700-0000E5040000}"/>
    <hyperlink ref="A1256" r:id="rId1255" xr:uid="{00000000-0004-0000-0700-0000E6040000}"/>
    <hyperlink ref="A1257" r:id="rId1256" xr:uid="{00000000-0004-0000-0700-0000E7040000}"/>
    <hyperlink ref="A1258" r:id="rId1257" xr:uid="{00000000-0004-0000-0700-0000E8040000}"/>
    <hyperlink ref="A1259" r:id="rId1258" xr:uid="{00000000-0004-0000-0700-0000E9040000}"/>
    <hyperlink ref="A1260" r:id="rId1259" xr:uid="{00000000-0004-0000-0700-0000EA040000}"/>
    <hyperlink ref="A1261" r:id="rId1260" xr:uid="{00000000-0004-0000-0700-0000EB040000}"/>
    <hyperlink ref="A1262" r:id="rId1261" xr:uid="{00000000-0004-0000-0700-0000EC040000}"/>
    <hyperlink ref="A1263" r:id="rId1262" xr:uid="{00000000-0004-0000-0700-0000ED040000}"/>
    <hyperlink ref="A1264" r:id="rId1263" xr:uid="{00000000-0004-0000-0700-0000EE040000}"/>
    <hyperlink ref="A1265" r:id="rId1264" xr:uid="{00000000-0004-0000-0700-0000EF040000}"/>
    <hyperlink ref="A1266" r:id="rId1265" xr:uid="{00000000-0004-0000-0700-0000F0040000}"/>
    <hyperlink ref="A1267" r:id="rId1266" xr:uid="{00000000-0004-0000-0700-0000F1040000}"/>
    <hyperlink ref="A1268" r:id="rId1267" xr:uid="{00000000-0004-0000-0700-0000F2040000}"/>
    <hyperlink ref="A1269" r:id="rId1268" xr:uid="{00000000-0004-0000-0700-0000F3040000}"/>
    <hyperlink ref="A1270" r:id="rId1269" xr:uid="{00000000-0004-0000-0700-0000F4040000}"/>
    <hyperlink ref="A1271" r:id="rId1270" xr:uid="{00000000-0004-0000-0700-0000F5040000}"/>
    <hyperlink ref="A1272" r:id="rId1271" xr:uid="{00000000-0004-0000-0700-0000F6040000}"/>
    <hyperlink ref="A1273" r:id="rId1272" xr:uid="{00000000-0004-0000-0700-0000F7040000}"/>
    <hyperlink ref="A1274" r:id="rId1273" xr:uid="{00000000-0004-0000-0700-0000F8040000}"/>
    <hyperlink ref="A1275" r:id="rId1274" xr:uid="{00000000-0004-0000-0700-0000F9040000}"/>
    <hyperlink ref="A1276" r:id="rId1275" xr:uid="{00000000-0004-0000-0700-0000FA040000}"/>
    <hyperlink ref="A1277" r:id="rId1276" xr:uid="{00000000-0004-0000-0700-0000FB040000}"/>
    <hyperlink ref="A1278" r:id="rId1277" xr:uid="{00000000-0004-0000-0700-0000FC040000}"/>
    <hyperlink ref="A1279" r:id="rId1278" xr:uid="{00000000-0004-0000-0700-0000FD040000}"/>
    <hyperlink ref="A1280" r:id="rId1279" xr:uid="{00000000-0004-0000-0700-0000FE040000}"/>
    <hyperlink ref="A1281" r:id="rId1280" xr:uid="{00000000-0004-0000-0700-0000FF040000}"/>
    <hyperlink ref="A1282" r:id="rId1281" xr:uid="{00000000-0004-0000-0700-000000050000}"/>
    <hyperlink ref="A1283" r:id="rId1282" xr:uid="{00000000-0004-0000-0700-000001050000}"/>
    <hyperlink ref="A1284" r:id="rId1283" xr:uid="{00000000-0004-0000-0700-000002050000}"/>
    <hyperlink ref="A1285" r:id="rId1284" xr:uid="{00000000-0004-0000-0700-000003050000}"/>
    <hyperlink ref="A1286" r:id="rId1285" xr:uid="{00000000-0004-0000-0700-000004050000}"/>
    <hyperlink ref="A1287" r:id="rId1286" xr:uid="{00000000-0004-0000-0700-000005050000}"/>
    <hyperlink ref="A1288" r:id="rId1287" xr:uid="{00000000-0004-0000-0700-000006050000}"/>
    <hyperlink ref="A1289" r:id="rId1288" xr:uid="{00000000-0004-0000-0700-000007050000}"/>
    <hyperlink ref="A1290" r:id="rId1289" xr:uid="{00000000-0004-0000-0700-000008050000}"/>
    <hyperlink ref="A1291" r:id="rId1290" xr:uid="{00000000-0004-0000-0700-000009050000}"/>
    <hyperlink ref="A1292" r:id="rId1291" xr:uid="{00000000-0004-0000-0700-00000A050000}"/>
    <hyperlink ref="A1293" r:id="rId1292" xr:uid="{00000000-0004-0000-0700-00000B050000}"/>
    <hyperlink ref="A1294" r:id="rId1293" xr:uid="{00000000-0004-0000-0700-00000C050000}"/>
    <hyperlink ref="A1295" r:id="rId1294" xr:uid="{00000000-0004-0000-0700-00000D050000}"/>
    <hyperlink ref="A1296" r:id="rId1295" xr:uid="{00000000-0004-0000-0700-00000E050000}"/>
    <hyperlink ref="A1297" r:id="rId1296" xr:uid="{00000000-0004-0000-0700-00000F050000}"/>
    <hyperlink ref="A1298" r:id="rId1297" xr:uid="{00000000-0004-0000-0700-000010050000}"/>
    <hyperlink ref="A1299" r:id="rId1298" xr:uid="{00000000-0004-0000-0700-000011050000}"/>
    <hyperlink ref="A1300" r:id="rId1299" xr:uid="{00000000-0004-0000-0700-000012050000}"/>
    <hyperlink ref="A1301" r:id="rId1300" xr:uid="{00000000-0004-0000-0700-000013050000}"/>
    <hyperlink ref="A1302" r:id="rId1301" xr:uid="{00000000-0004-0000-0700-000014050000}"/>
    <hyperlink ref="A1303" r:id="rId1302" xr:uid="{00000000-0004-0000-0700-000015050000}"/>
    <hyperlink ref="A1304" r:id="rId1303" xr:uid="{00000000-0004-0000-0700-000016050000}"/>
    <hyperlink ref="A1305" r:id="rId1304" xr:uid="{00000000-0004-0000-0700-000017050000}"/>
    <hyperlink ref="A1306" r:id="rId1305" xr:uid="{00000000-0004-0000-0700-000018050000}"/>
    <hyperlink ref="A1307" r:id="rId1306" xr:uid="{00000000-0004-0000-0700-000019050000}"/>
    <hyperlink ref="A1308" r:id="rId1307" xr:uid="{00000000-0004-0000-0700-00001A050000}"/>
    <hyperlink ref="A1309" r:id="rId1308" xr:uid="{00000000-0004-0000-0700-00001B050000}"/>
    <hyperlink ref="A1310" r:id="rId1309" xr:uid="{00000000-0004-0000-0700-00001C050000}"/>
    <hyperlink ref="A1311" r:id="rId1310" xr:uid="{00000000-0004-0000-0700-00001D050000}"/>
    <hyperlink ref="A1312" r:id="rId1311" xr:uid="{00000000-0004-0000-0700-00001E050000}"/>
    <hyperlink ref="A1313" r:id="rId1312" xr:uid="{00000000-0004-0000-0700-00001F050000}"/>
    <hyperlink ref="A1314" r:id="rId1313" xr:uid="{00000000-0004-0000-0700-000020050000}"/>
    <hyperlink ref="A1315" r:id="rId1314" xr:uid="{00000000-0004-0000-0700-000021050000}"/>
    <hyperlink ref="A1316" r:id="rId1315" xr:uid="{00000000-0004-0000-0700-000022050000}"/>
    <hyperlink ref="A1317" r:id="rId1316" xr:uid="{00000000-0004-0000-0700-000023050000}"/>
    <hyperlink ref="A1318" r:id="rId1317" xr:uid="{00000000-0004-0000-0700-000024050000}"/>
    <hyperlink ref="A1319" r:id="rId1318" xr:uid="{00000000-0004-0000-0700-000025050000}"/>
    <hyperlink ref="A1320" r:id="rId1319" xr:uid="{00000000-0004-0000-0700-000026050000}"/>
    <hyperlink ref="A1321" r:id="rId1320" xr:uid="{00000000-0004-0000-0700-000027050000}"/>
    <hyperlink ref="A1322" r:id="rId1321" xr:uid="{00000000-0004-0000-0700-000028050000}"/>
    <hyperlink ref="A1323" r:id="rId1322" xr:uid="{00000000-0004-0000-0700-000029050000}"/>
    <hyperlink ref="A1324" r:id="rId1323" xr:uid="{00000000-0004-0000-0700-00002A050000}"/>
    <hyperlink ref="A1325" r:id="rId1324" xr:uid="{00000000-0004-0000-0700-00002B050000}"/>
    <hyperlink ref="A1326" r:id="rId1325" xr:uid="{00000000-0004-0000-0700-00002C050000}"/>
    <hyperlink ref="A1327" r:id="rId1326" xr:uid="{00000000-0004-0000-0700-00002D050000}"/>
    <hyperlink ref="A1328" r:id="rId1327" xr:uid="{00000000-0004-0000-0700-00002E050000}"/>
    <hyperlink ref="A1329" r:id="rId1328" xr:uid="{00000000-0004-0000-0700-00002F050000}"/>
    <hyperlink ref="A1330" r:id="rId1329" xr:uid="{00000000-0004-0000-0700-000030050000}"/>
    <hyperlink ref="A1331" r:id="rId1330" xr:uid="{00000000-0004-0000-0700-000031050000}"/>
    <hyperlink ref="A1332" r:id="rId1331" xr:uid="{00000000-0004-0000-0700-000032050000}"/>
    <hyperlink ref="A1333" r:id="rId1332" xr:uid="{00000000-0004-0000-0700-000033050000}"/>
    <hyperlink ref="A1334" r:id="rId1333" xr:uid="{00000000-0004-0000-0700-000034050000}"/>
    <hyperlink ref="A1335" r:id="rId1334" xr:uid="{00000000-0004-0000-0700-000035050000}"/>
    <hyperlink ref="A1336" r:id="rId1335" xr:uid="{00000000-0004-0000-0700-000036050000}"/>
    <hyperlink ref="A1337" r:id="rId1336" xr:uid="{00000000-0004-0000-0700-000037050000}"/>
    <hyperlink ref="A1338" r:id="rId1337" xr:uid="{00000000-0004-0000-0700-000038050000}"/>
    <hyperlink ref="A1339" r:id="rId1338" xr:uid="{00000000-0004-0000-0700-000039050000}"/>
    <hyperlink ref="A1340" r:id="rId1339" xr:uid="{00000000-0004-0000-0700-00003A050000}"/>
    <hyperlink ref="A1341" r:id="rId1340" xr:uid="{00000000-0004-0000-0700-00003B050000}"/>
    <hyperlink ref="A1342" r:id="rId1341" xr:uid="{00000000-0004-0000-0700-00003C050000}"/>
    <hyperlink ref="A1343" r:id="rId1342" xr:uid="{00000000-0004-0000-0700-00003D050000}"/>
    <hyperlink ref="A1344" r:id="rId1343" xr:uid="{00000000-0004-0000-0700-00003E050000}"/>
    <hyperlink ref="A1345" r:id="rId1344" xr:uid="{00000000-0004-0000-0700-00003F050000}"/>
    <hyperlink ref="A1346" r:id="rId1345" xr:uid="{00000000-0004-0000-0700-000040050000}"/>
    <hyperlink ref="A1347" r:id="rId1346" xr:uid="{00000000-0004-0000-0700-000041050000}"/>
    <hyperlink ref="A1348" r:id="rId1347" xr:uid="{00000000-0004-0000-0700-000042050000}"/>
    <hyperlink ref="A1349" r:id="rId1348" xr:uid="{00000000-0004-0000-0700-000043050000}"/>
    <hyperlink ref="A1350" r:id="rId1349" xr:uid="{00000000-0004-0000-0700-000044050000}"/>
    <hyperlink ref="A1351" r:id="rId1350" xr:uid="{00000000-0004-0000-0700-000045050000}"/>
    <hyperlink ref="A1352" r:id="rId1351" xr:uid="{00000000-0004-0000-0700-000046050000}"/>
    <hyperlink ref="A1353" r:id="rId1352" xr:uid="{00000000-0004-0000-0700-000047050000}"/>
    <hyperlink ref="A1354" r:id="rId1353" xr:uid="{00000000-0004-0000-0700-000048050000}"/>
    <hyperlink ref="A1355" r:id="rId1354" xr:uid="{00000000-0004-0000-0700-000049050000}"/>
    <hyperlink ref="A1356" r:id="rId1355" xr:uid="{00000000-0004-0000-0700-00004A050000}"/>
    <hyperlink ref="A1357" r:id="rId1356" xr:uid="{00000000-0004-0000-0700-00004B050000}"/>
    <hyperlink ref="A1358" r:id="rId1357" xr:uid="{00000000-0004-0000-0700-00004C050000}"/>
    <hyperlink ref="A1359" r:id="rId1358" xr:uid="{00000000-0004-0000-0700-00004D050000}"/>
    <hyperlink ref="A1360" r:id="rId1359" xr:uid="{00000000-0004-0000-0700-00004E050000}"/>
    <hyperlink ref="A1361" r:id="rId1360" xr:uid="{00000000-0004-0000-0700-00004F050000}"/>
    <hyperlink ref="A1362" r:id="rId1361" xr:uid="{00000000-0004-0000-0700-000050050000}"/>
    <hyperlink ref="A1363" r:id="rId1362" xr:uid="{00000000-0004-0000-0700-000051050000}"/>
    <hyperlink ref="A1364" r:id="rId1363" xr:uid="{00000000-0004-0000-0700-000052050000}"/>
    <hyperlink ref="A1365" r:id="rId1364" xr:uid="{00000000-0004-0000-0700-000053050000}"/>
    <hyperlink ref="A1366" r:id="rId1365" xr:uid="{00000000-0004-0000-0700-000054050000}"/>
    <hyperlink ref="A1367" r:id="rId1366" xr:uid="{00000000-0004-0000-0700-000055050000}"/>
    <hyperlink ref="A1368" r:id="rId1367" xr:uid="{00000000-0004-0000-0700-000056050000}"/>
    <hyperlink ref="A1369" r:id="rId1368" xr:uid="{00000000-0004-0000-0700-000057050000}"/>
    <hyperlink ref="A1370" r:id="rId1369" xr:uid="{00000000-0004-0000-0700-000058050000}"/>
    <hyperlink ref="A1371" r:id="rId1370" xr:uid="{00000000-0004-0000-0700-000059050000}"/>
    <hyperlink ref="A1372" r:id="rId1371" xr:uid="{00000000-0004-0000-0700-00005A050000}"/>
    <hyperlink ref="A1373" r:id="rId1372" xr:uid="{00000000-0004-0000-0700-00005B050000}"/>
    <hyperlink ref="A1374" r:id="rId1373" xr:uid="{00000000-0004-0000-0700-00005C050000}"/>
    <hyperlink ref="A1375" r:id="rId1374" xr:uid="{00000000-0004-0000-0700-00005D050000}"/>
    <hyperlink ref="A1376" r:id="rId1375" xr:uid="{00000000-0004-0000-0700-00005E050000}"/>
    <hyperlink ref="A1377" r:id="rId1376" xr:uid="{00000000-0004-0000-0700-00005F050000}"/>
    <hyperlink ref="A1378" r:id="rId1377" xr:uid="{00000000-0004-0000-0700-000060050000}"/>
    <hyperlink ref="A1379" r:id="rId1378" xr:uid="{00000000-0004-0000-0700-000061050000}"/>
    <hyperlink ref="A1380" r:id="rId1379" xr:uid="{00000000-0004-0000-0700-000062050000}"/>
    <hyperlink ref="A1381" r:id="rId1380" xr:uid="{00000000-0004-0000-0700-000063050000}"/>
    <hyperlink ref="A1382" r:id="rId1381" xr:uid="{00000000-0004-0000-0700-000064050000}"/>
    <hyperlink ref="A1383" r:id="rId1382" xr:uid="{00000000-0004-0000-0700-000065050000}"/>
    <hyperlink ref="A1384" r:id="rId1383" xr:uid="{00000000-0004-0000-0700-000066050000}"/>
    <hyperlink ref="A1385" r:id="rId1384" xr:uid="{00000000-0004-0000-0700-000067050000}"/>
    <hyperlink ref="A1386" r:id="rId1385" xr:uid="{00000000-0004-0000-0700-000068050000}"/>
    <hyperlink ref="A1387" r:id="rId1386" xr:uid="{00000000-0004-0000-0700-000069050000}"/>
    <hyperlink ref="A1388" r:id="rId1387" xr:uid="{00000000-0004-0000-0700-00006A050000}"/>
    <hyperlink ref="A1389" r:id="rId1388" xr:uid="{00000000-0004-0000-0700-00006B050000}"/>
    <hyperlink ref="A1390" r:id="rId1389" xr:uid="{00000000-0004-0000-0700-00006C050000}"/>
    <hyperlink ref="A1391" r:id="rId1390" xr:uid="{00000000-0004-0000-0700-00006D050000}"/>
    <hyperlink ref="A1392" r:id="rId1391" xr:uid="{00000000-0004-0000-0700-00006E050000}"/>
    <hyperlink ref="A1393" r:id="rId1392" xr:uid="{00000000-0004-0000-0700-00006F050000}"/>
    <hyperlink ref="A1394" r:id="rId1393" xr:uid="{00000000-0004-0000-0700-000070050000}"/>
    <hyperlink ref="A1395" r:id="rId1394" xr:uid="{00000000-0004-0000-0700-000071050000}"/>
    <hyperlink ref="A1396" r:id="rId1395" xr:uid="{00000000-0004-0000-0700-000072050000}"/>
    <hyperlink ref="A1397" r:id="rId1396" xr:uid="{00000000-0004-0000-0700-000073050000}"/>
    <hyperlink ref="A1398" r:id="rId1397" xr:uid="{00000000-0004-0000-0700-000074050000}"/>
    <hyperlink ref="A1399" r:id="rId1398" xr:uid="{00000000-0004-0000-0700-000075050000}"/>
    <hyperlink ref="A1400" r:id="rId1399" xr:uid="{00000000-0004-0000-0700-000076050000}"/>
    <hyperlink ref="A1401" r:id="rId1400" xr:uid="{00000000-0004-0000-0700-000077050000}"/>
    <hyperlink ref="A1402" r:id="rId1401" xr:uid="{00000000-0004-0000-0700-000078050000}"/>
    <hyperlink ref="A1403" r:id="rId1402" xr:uid="{00000000-0004-0000-0700-000079050000}"/>
    <hyperlink ref="A1404" r:id="rId1403" xr:uid="{00000000-0004-0000-0700-00007A050000}"/>
    <hyperlink ref="A1405" r:id="rId1404" xr:uid="{00000000-0004-0000-0700-00007B050000}"/>
    <hyperlink ref="A1406" r:id="rId1405" xr:uid="{00000000-0004-0000-0700-00007C050000}"/>
    <hyperlink ref="A1407" r:id="rId1406" xr:uid="{00000000-0004-0000-0700-00007D050000}"/>
    <hyperlink ref="A1408" r:id="rId1407" xr:uid="{00000000-0004-0000-0700-00007E050000}"/>
    <hyperlink ref="A1409" r:id="rId1408" xr:uid="{00000000-0004-0000-0700-00007F050000}"/>
    <hyperlink ref="A1410" r:id="rId1409" xr:uid="{00000000-0004-0000-0700-000080050000}"/>
    <hyperlink ref="A1411" r:id="rId1410" xr:uid="{00000000-0004-0000-0700-000081050000}"/>
    <hyperlink ref="A1412" r:id="rId1411" xr:uid="{00000000-0004-0000-0700-000082050000}"/>
    <hyperlink ref="A1413" r:id="rId1412" xr:uid="{00000000-0004-0000-0700-000083050000}"/>
    <hyperlink ref="A1414" r:id="rId1413" xr:uid="{00000000-0004-0000-0700-000084050000}"/>
    <hyperlink ref="A1415" r:id="rId1414" xr:uid="{00000000-0004-0000-0700-000085050000}"/>
    <hyperlink ref="A1416" r:id="rId1415" xr:uid="{00000000-0004-0000-0700-000086050000}"/>
    <hyperlink ref="A1417" r:id="rId1416" xr:uid="{00000000-0004-0000-0700-000087050000}"/>
    <hyperlink ref="A1418" r:id="rId1417" xr:uid="{00000000-0004-0000-0700-000088050000}"/>
    <hyperlink ref="A1419" r:id="rId1418" xr:uid="{00000000-0004-0000-0700-000089050000}"/>
    <hyperlink ref="A1420" r:id="rId1419" xr:uid="{00000000-0004-0000-0700-00008A050000}"/>
    <hyperlink ref="A1421" r:id="rId1420" xr:uid="{00000000-0004-0000-0700-00008B050000}"/>
    <hyperlink ref="A1422" r:id="rId1421" xr:uid="{00000000-0004-0000-0700-00008C050000}"/>
    <hyperlink ref="A1423" r:id="rId1422" xr:uid="{00000000-0004-0000-0700-00008D050000}"/>
    <hyperlink ref="A1424" r:id="rId1423" xr:uid="{00000000-0004-0000-0700-00008E050000}"/>
    <hyperlink ref="A1425" r:id="rId1424" xr:uid="{00000000-0004-0000-0700-00008F050000}"/>
    <hyperlink ref="A1426" r:id="rId1425" xr:uid="{00000000-0004-0000-0700-000090050000}"/>
    <hyperlink ref="A1427" r:id="rId1426" xr:uid="{00000000-0004-0000-0700-000091050000}"/>
    <hyperlink ref="A1428" r:id="rId1427" xr:uid="{00000000-0004-0000-0700-000092050000}"/>
    <hyperlink ref="A1429" r:id="rId1428" xr:uid="{00000000-0004-0000-0700-000093050000}"/>
    <hyperlink ref="A1430" r:id="rId1429" xr:uid="{00000000-0004-0000-0700-000094050000}"/>
    <hyperlink ref="A1431" r:id="rId1430" xr:uid="{00000000-0004-0000-0700-000095050000}"/>
    <hyperlink ref="A1432" r:id="rId1431" xr:uid="{00000000-0004-0000-0700-000096050000}"/>
    <hyperlink ref="A1433" r:id="rId1432" xr:uid="{00000000-0004-0000-0700-000097050000}"/>
    <hyperlink ref="A1434" r:id="rId1433" xr:uid="{00000000-0004-0000-0700-000098050000}"/>
    <hyperlink ref="A1435" r:id="rId1434" xr:uid="{00000000-0004-0000-0700-000099050000}"/>
    <hyperlink ref="A1436" r:id="rId1435" xr:uid="{00000000-0004-0000-0700-00009A050000}"/>
    <hyperlink ref="A1437" r:id="rId1436" xr:uid="{00000000-0004-0000-0700-00009B050000}"/>
    <hyperlink ref="A1438" r:id="rId1437" xr:uid="{00000000-0004-0000-0700-00009C050000}"/>
    <hyperlink ref="A1439" r:id="rId1438" xr:uid="{00000000-0004-0000-0700-00009D050000}"/>
    <hyperlink ref="A1440" r:id="rId1439" xr:uid="{00000000-0004-0000-0700-00009E050000}"/>
    <hyperlink ref="A1441" r:id="rId1440" xr:uid="{00000000-0004-0000-0700-00009F050000}"/>
    <hyperlink ref="A1442" r:id="rId1441" xr:uid="{00000000-0004-0000-0700-0000A0050000}"/>
    <hyperlink ref="A1443" r:id="rId1442" xr:uid="{00000000-0004-0000-0700-0000A1050000}"/>
    <hyperlink ref="A1444" r:id="rId1443" xr:uid="{00000000-0004-0000-0700-0000A2050000}"/>
    <hyperlink ref="A1445" r:id="rId1444" xr:uid="{00000000-0004-0000-0700-0000A3050000}"/>
    <hyperlink ref="A1446" r:id="rId1445" xr:uid="{00000000-0004-0000-0700-0000A4050000}"/>
    <hyperlink ref="A1447" r:id="rId1446" xr:uid="{00000000-0004-0000-0700-0000A5050000}"/>
    <hyperlink ref="A1448" r:id="rId1447" xr:uid="{00000000-0004-0000-0700-0000A6050000}"/>
    <hyperlink ref="A1449" r:id="rId1448" xr:uid="{00000000-0004-0000-0700-0000A7050000}"/>
    <hyperlink ref="A1450" r:id="rId1449" xr:uid="{00000000-0004-0000-0700-0000A8050000}"/>
    <hyperlink ref="A1451" r:id="rId1450" xr:uid="{00000000-0004-0000-0700-0000A9050000}"/>
    <hyperlink ref="A1452" r:id="rId1451" xr:uid="{00000000-0004-0000-0700-0000AA050000}"/>
    <hyperlink ref="A1453" r:id="rId1452" xr:uid="{00000000-0004-0000-0700-0000AB050000}"/>
    <hyperlink ref="A1454" r:id="rId1453" xr:uid="{00000000-0004-0000-0700-0000AC050000}"/>
    <hyperlink ref="A1455" r:id="rId1454" xr:uid="{00000000-0004-0000-0700-0000AD050000}"/>
    <hyperlink ref="A1456" r:id="rId1455" xr:uid="{00000000-0004-0000-0700-0000AE050000}"/>
    <hyperlink ref="A1457" r:id="rId1456" xr:uid="{00000000-0004-0000-0700-0000AF050000}"/>
    <hyperlink ref="A1458" r:id="rId1457" xr:uid="{00000000-0004-0000-0700-0000B0050000}"/>
    <hyperlink ref="A1459" r:id="rId1458" xr:uid="{00000000-0004-0000-0700-0000B1050000}"/>
    <hyperlink ref="A1460" r:id="rId1459" xr:uid="{00000000-0004-0000-0700-0000B2050000}"/>
    <hyperlink ref="A1461" r:id="rId1460" xr:uid="{00000000-0004-0000-0700-0000B3050000}"/>
    <hyperlink ref="A1462" r:id="rId1461" xr:uid="{00000000-0004-0000-0700-0000B4050000}"/>
    <hyperlink ref="A1463" r:id="rId1462" xr:uid="{00000000-0004-0000-0700-0000B5050000}"/>
    <hyperlink ref="A1464" r:id="rId1463" xr:uid="{00000000-0004-0000-0700-0000B6050000}"/>
    <hyperlink ref="A1465" r:id="rId1464" xr:uid="{00000000-0004-0000-0700-0000B7050000}"/>
    <hyperlink ref="A1466" r:id="rId1465" xr:uid="{00000000-0004-0000-0700-0000B8050000}"/>
    <hyperlink ref="A1467" r:id="rId1466" xr:uid="{00000000-0004-0000-0700-0000B9050000}"/>
    <hyperlink ref="A1468" r:id="rId1467" xr:uid="{00000000-0004-0000-0700-0000BA050000}"/>
    <hyperlink ref="A1469" r:id="rId1468" xr:uid="{00000000-0004-0000-0700-0000BB050000}"/>
    <hyperlink ref="A1470" r:id="rId1469" xr:uid="{00000000-0004-0000-0700-0000BC050000}"/>
    <hyperlink ref="A1471" r:id="rId1470" xr:uid="{00000000-0004-0000-0700-0000BD050000}"/>
    <hyperlink ref="A1472" r:id="rId1471" xr:uid="{00000000-0004-0000-0700-0000BE050000}"/>
    <hyperlink ref="A1473" r:id="rId1472" xr:uid="{00000000-0004-0000-0700-0000BF050000}"/>
    <hyperlink ref="A1474" r:id="rId1473" xr:uid="{00000000-0004-0000-0700-0000C0050000}"/>
    <hyperlink ref="A1475" r:id="rId1474" xr:uid="{00000000-0004-0000-0700-0000C1050000}"/>
    <hyperlink ref="A1476" r:id="rId1475" xr:uid="{00000000-0004-0000-0700-0000C2050000}"/>
    <hyperlink ref="A1477" r:id="rId1476" xr:uid="{00000000-0004-0000-0700-0000C3050000}"/>
    <hyperlink ref="A1478" r:id="rId1477" xr:uid="{00000000-0004-0000-0700-0000C4050000}"/>
    <hyperlink ref="A1479" r:id="rId1478" xr:uid="{00000000-0004-0000-0700-0000C5050000}"/>
    <hyperlink ref="A1480" r:id="rId1479" xr:uid="{00000000-0004-0000-0700-0000C6050000}"/>
    <hyperlink ref="A1481" r:id="rId1480" xr:uid="{00000000-0004-0000-0700-0000C7050000}"/>
    <hyperlink ref="A1482" r:id="rId1481" xr:uid="{00000000-0004-0000-0700-0000C8050000}"/>
    <hyperlink ref="A1483" r:id="rId1482" xr:uid="{00000000-0004-0000-0700-0000C9050000}"/>
    <hyperlink ref="A1484" r:id="rId1483" xr:uid="{00000000-0004-0000-0700-0000CA050000}"/>
    <hyperlink ref="A1485" r:id="rId1484" xr:uid="{00000000-0004-0000-0700-0000CB050000}"/>
    <hyperlink ref="A1486" r:id="rId1485" xr:uid="{00000000-0004-0000-0700-0000CC050000}"/>
    <hyperlink ref="A1487" r:id="rId1486" xr:uid="{00000000-0004-0000-0700-0000CD050000}"/>
    <hyperlink ref="A1488" r:id="rId1487" xr:uid="{00000000-0004-0000-0700-0000CE050000}"/>
    <hyperlink ref="A1489" r:id="rId1488" xr:uid="{00000000-0004-0000-0700-0000CF050000}"/>
    <hyperlink ref="A1490" r:id="rId1489" xr:uid="{00000000-0004-0000-0700-0000D0050000}"/>
    <hyperlink ref="A1491" r:id="rId1490" xr:uid="{00000000-0004-0000-0700-0000D1050000}"/>
    <hyperlink ref="A1492" r:id="rId1491" xr:uid="{00000000-0004-0000-0700-0000D2050000}"/>
    <hyperlink ref="A1493" r:id="rId1492" xr:uid="{00000000-0004-0000-0700-0000D3050000}"/>
    <hyperlink ref="A1494" r:id="rId1493" xr:uid="{00000000-0004-0000-0700-0000D4050000}"/>
    <hyperlink ref="A1495" r:id="rId1494" xr:uid="{00000000-0004-0000-0700-0000D5050000}"/>
    <hyperlink ref="A1496" r:id="rId1495" xr:uid="{00000000-0004-0000-0700-0000D6050000}"/>
    <hyperlink ref="A1497" r:id="rId1496" xr:uid="{00000000-0004-0000-0700-0000D7050000}"/>
    <hyperlink ref="A1498" r:id="rId1497" xr:uid="{00000000-0004-0000-0700-0000D8050000}"/>
    <hyperlink ref="A1499" r:id="rId1498" xr:uid="{00000000-0004-0000-0700-0000D9050000}"/>
    <hyperlink ref="A1500" r:id="rId1499" xr:uid="{00000000-0004-0000-0700-0000DA050000}"/>
    <hyperlink ref="A1501" r:id="rId1500" xr:uid="{00000000-0004-0000-0700-0000DB050000}"/>
    <hyperlink ref="A1502" r:id="rId1501" xr:uid="{00000000-0004-0000-0700-0000DC050000}"/>
    <hyperlink ref="A1503" r:id="rId1502" xr:uid="{00000000-0004-0000-0700-0000DD050000}"/>
    <hyperlink ref="A1504" r:id="rId1503" xr:uid="{00000000-0004-0000-0700-0000DE050000}"/>
    <hyperlink ref="A1505" r:id="rId1504" xr:uid="{00000000-0004-0000-0700-0000DF050000}"/>
    <hyperlink ref="A1506" r:id="rId1505" xr:uid="{00000000-0004-0000-0700-0000E0050000}"/>
    <hyperlink ref="A1507" r:id="rId1506" xr:uid="{00000000-0004-0000-0700-0000E1050000}"/>
    <hyperlink ref="A1508" r:id="rId1507" xr:uid="{00000000-0004-0000-0700-0000E2050000}"/>
    <hyperlink ref="A1509" r:id="rId1508" xr:uid="{00000000-0004-0000-0700-0000E3050000}"/>
    <hyperlink ref="A1510" r:id="rId1509" xr:uid="{00000000-0004-0000-0700-0000E4050000}"/>
    <hyperlink ref="A1511" r:id="rId1510" xr:uid="{00000000-0004-0000-0700-0000E5050000}"/>
    <hyperlink ref="A1512" r:id="rId1511" xr:uid="{00000000-0004-0000-0700-0000E6050000}"/>
    <hyperlink ref="A1513" r:id="rId1512" xr:uid="{00000000-0004-0000-0700-0000E7050000}"/>
    <hyperlink ref="A1514" r:id="rId1513" xr:uid="{00000000-0004-0000-0700-0000E8050000}"/>
    <hyperlink ref="A1515" r:id="rId1514" xr:uid="{00000000-0004-0000-0700-0000E9050000}"/>
    <hyperlink ref="A1516" r:id="rId1515" xr:uid="{00000000-0004-0000-0700-0000EA050000}"/>
    <hyperlink ref="A1517" r:id="rId1516" xr:uid="{00000000-0004-0000-0700-0000EB050000}"/>
    <hyperlink ref="A1518" r:id="rId1517" xr:uid="{00000000-0004-0000-0700-0000EC050000}"/>
    <hyperlink ref="A1519" r:id="rId1518" xr:uid="{00000000-0004-0000-0700-0000ED050000}"/>
    <hyperlink ref="A1520" r:id="rId1519" xr:uid="{00000000-0004-0000-0700-0000EE050000}"/>
    <hyperlink ref="A1521" r:id="rId1520" xr:uid="{00000000-0004-0000-0700-0000EF050000}"/>
    <hyperlink ref="A1522" r:id="rId1521" xr:uid="{00000000-0004-0000-0700-0000F0050000}"/>
    <hyperlink ref="A1523" r:id="rId1522" xr:uid="{00000000-0004-0000-0700-0000F1050000}"/>
    <hyperlink ref="A1524" r:id="rId1523" xr:uid="{00000000-0004-0000-0700-0000F2050000}"/>
    <hyperlink ref="A1525" r:id="rId1524" xr:uid="{00000000-0004-0000-0700-0000F3050000}"/>
    <hyperlink ref="A1526" r:id="rId1525" xr:uid="{00000000-0004-0000-0700-0000F4050000}"/>
    <hyperlink ref="A1527" r:id="rId1526" xr:uid="{00000000-0004-0000-0700-0000F5050000}"/>
    <hyperlink ref="A1528" r:id="rId1527" xr:uid="{00000000-0004-0000-0700-0000F6050000}"/>
    <hyperlink ref="A1529" r:id="rId1528" xr:uid="{00000000-0004-0000-0700-0000F7050000}"/>
    <hyperlink ref="A1530" r:id="rId1529" xr:uid="{00000000-0004-0000-0700-0000F8050000}"/>
    <hyperlink ref="A1531" r:id="rId1530" xr:uid="{00000000-0004-0000-0700-0000F9050000}"/>
    <hyperlink ref="A1532" r:id="rId1531" xr:uid="{00000000-0004-0000-0700-0000FA050000}"/>
    <hyperlink ref="A1533" r:id="rId1532" xr:uid="{00000000-0004-0000-0700-0000FB050000}"/>
    <hyperlink ref="A1534" r:id="rId1533" xr:uid="{00000000-0004-0000-0700-0000FC050000}"/>
    <hyperlink ref="A1535" r:id="rId1534" xr:uid="{00000000-0004-0000-0700-0000FD050000}"/>
    <hyperlink ref="A1536" r:id="rId1535" xr:uid="{00000000-0004-0000-0700-0000FE050000}"/>
    <hyperlink ref="A1537" r:id="rId1536" xr:uid="{00000000-0004-0000-0700-0000FF050000}"/>
    <hyperlink ref="A1538" r:id="rId1537" xr:uid="{00000000-0004-0000-0700-000000060000}"/>
    <hyperlink ref="A1539" r:id="rId1538" xr:uid="{00000000-0004-0000-0700-000001060000}"/>
    <hyperlink ref="A1540" r:id="rId1539" xr:uid="{00000000-0004-0000-0700-000002060000}"/>
    <hyperlink ref="A1541" r:id="rId1540" xr:uid="{00000000-0004-0000-0700-000003060000}"/>
    <hyperlink ref="A1542" r:id="rId1541" xr:uid="{00000000-0004-0000-0700-000004060000}"/>
    <hyperlink ref="A1543" r:id="rId1542" xr:uid="{00000000-0004-0000-0700-000005060000}"/>
    <hyperlink ref="A1544" r:id="rId1543" xr:uid="{00000000-0004-0000-0700-000006060000}"/>
    <hyperlink ref="A1545" r:id="rId1544" xr:uid="{00000000-0004-0000-0700-000007060000}"/>
    <hyperlink ref="A1546" r:id="rId1545" xr:uid="{00000000-0004-0000-0700-000008060000}"/>
    <hyperlink ref="A1547" r:id="rId1546" xr:uid="{00000000-0004-0000-0700-000009060000}"/>
    <hyperlink ref="A1548" r:id="rId1547" xr:uid="{00000000-0004-0000-0700-00000A060000}"/>
    <hyperlink ref="A1549" r:id="rId1548" xr:uid="{00000000-0004-0000-0700-00000B060000}"/>
    <hyperlink ref="A1550" r:id="rId1549" xr:uid="{00000000-0004-0000-0700-00000C060000}"/>
    <hyperlink ref="A1551" r:id="rId1550" xr:uid="{00000000-0004-0000-0700-00000D060000}"/>
    <hyperlink ref="A1552" r:id="rId1551" xr:uid="{00000000-0004-0000-0700-00000E060000}"/>
    <hyperlink ref="A1553" r:id="rId1552" xr:uid="{00000000-0004-0000-0700-00000F060000}"/>
    <hyperlink ref="A1554" r:id="rId1553" xr:uid="{00000000-0004-0000-0700-000010060000}"/>
    <hyperlink ref="A1555" r:id="rId1554" xr:uid="{00000000-0004-0000-0700-000011060000}"/>
    <hyperlink ref="A1556" r:id="rId1555" xr:uid="{00000000-0004-0000-0700-000012060000}"/>
    <hyperlink ref="A1557" r:id="rId1556" xr:uid="{00000000-0004-0000-0700-000013060000}"/>
    <hyperlink ref="A1558" r:id="rId1557" xr:uid="{00000000-0004-0000-0700-000014060000}"/>
    <hyperlink ref="A1559" r:id="rId1558" xr:uid="{00000000-0004-0000-0700-000015060000}"/>
    <hyperlink ref="A1560" r:id="rId1559" xr:uid="{00000000-0004-0000-0700-000016060000}"/>
    <hyperlink ref="A1561" r:id="rId1560" xr:uid="{00000000-0004-0000-0700-000017060000}"/>
    <hyperlink ref="A1562" r:id="rId1561" xr:uid="{00000000-0004-0000-0700-000018060000}"/>
    <hyperlink ref="A1563" r:id="rId1562" xr:uid="{00000000-0004-0000-0700-000019060000}"/>
    <hyperlink ref="A1564" r:id="rId1563" xr:uid="{00000000-0004-0000-0700-00001A060000}"/>
    <hyperlink ref="A1565" r:id="rId1564" xr:uid="{00000000-0004-0000-0700-00001B060000}"/>
    <hyperlink ref="A1566" r:id="rId1565" xr:uid="{00000000-0004-0000-0700-00001C060000}"/>
    <hyperlink ref="A1567" r:id="rId1566" xr:uid="{00000000-0004-0000-0700-00001D060000}"/>
    <hyperlink ref="A1568" r:id="rId1567" xr:uid="{00000000-0004-0000-0700-00001E060000}"/>
    <hyperlink ref="A1569" r:id="rId1568" xr:uid="{00000000-0004-0000-0700-00001F060000}"/>
    <hyperlink ref="A1570" r:id="rId1569" xr:uid="{00000000-0004-0000-0700-000020060000}"/>
    <hyperlink ref="A1571" r:id="rId1570" xr:uid="{00000000-0004-0000-0700-000021060000}"/>
    <hyperlink ref="A1572" r:id="rId1571" xr:uid="{00000000-0004-0000-0700-000022060000}"/>
    <hyperlink ref="A1573" r:id="rId1572" xr:uid="{00000000-0004-0000-0700-000023060000}"/>
    <hyperlink ref="A1574" r:id="rId1573" xr:uid="{00000000-0004-0000-0700-000024060000}"/>
    <hyperlink ref="A1575" r:id="rId1574" xr:uid="{00000000-0004-0000-0700-000025060000}"/>
    <hyperlink ref="A1576" r:id="rId1575" xr:uid="{00000000-0004-0000-0700-000026060000}"/>
    <hyperlink ref="A1577" r:id="rId1576" xr:uid="{00000000-0004-0000-0700-000027060000}"/>
    <hyperlink ref="A1578" r:id="rId1577" xr:uid="{00000000-0004-0000-0700-000028060000}"/>
    <hyperlink ref="A1579" r:id="rId1578" xr:uid="{00000000-0004-0000-0700-000029060000}"/>
    <hyperlink ref="A1580" r:id="rId1579" xr:uid="{00000000-0004-0000-0700-00002A060000}"/>
    <hyperlink ref="A1581" r:id="rId1580" xr:uid="{00000000-0004-0000-0700-00002B060000}"/>
    <hyperlink ref="A1582" r:id="rId1581" xr:uid="{00000000-0004-0000-0700-00002C060000}"/>
    <hyperlink ref="A1583" r:id="rId1582" xr:uid="{00000000-0004-0000-0700-00002D060000}"/>
    <hyperlink ref="A1584" r:id="rId1583" xr:uid="{00000000-0004-0000-0700-00002E060000}"/>
    <hyperlink ref="A1585" r:id="rId1584" xr:uid="{00000000-0004-0000-0700-00002F060000}"/>
    <hyperlink ref="A1586" r:id="rId1585" xr:uid="{00000000-0004-0000-0700-000030060000}"/>
    <hyperlink ref="A1587" r:id="rId1586" xr:uid="{00000000-0004-0000-0700-000031060000}"/>
    <hyperlink ref="A1588" r:id="rId1587" xr:uid="{00000000-0004-0000-0700-000032060000}"/>
    <hyperlink ref="A1589" r:id="rId1588" xr:uid="{00000000-0004-0000-0700-000033060000}"/>
    <hyperlink ref="A1590" r:id="rId1589" xr:uid="{00000000-0004-0000-0700-000034060000}"/>
    <hyperlink ref="A1591" r:id="rId1590" xr:uid="{00000000-0004-0000-0700-000035060000}"/>
    <hyperlink ref="A1592" r:id="rId1591" xr:uid="{00000000-0004-0000-0700-000036060000}"/>
    <hyperlink ref="A1593" r:id="rId1592" xr:uid="{00000000-0004-0000-0700-000037060000}"/>
    <hyperlink ref="A1594" r:id="rId1593" xr:uid="{00000000-0004-0000-0700-000038060000}"/>
    <hyperlink ref="A1595" r:id="rId1594" xr:uid="{00000000-0004-0000-0700-000039060000}"/>
    <hyperlink ref="A1596" r:id="rId1595" xr:uid="{00000000-0004-0000-0700-00003A060000}"/>
    <hyperlink ref="A1597" r:id="rId1596" xr:uid="{00000000-0004-0000-0700-00003B060000}"/>
    <hyperlink ref="A1598" r:id="rId1597" xr:uid="{00000000-0004-0000-0700-00003C060000}"/>
    <hyperlink ref="A1599" r:id="rId1598" xr:uid="{00000000-0004-0000-0700-00003D060000}"/>
    <hyperlink ref="A1600" r:id="rId1599" xr:uid="{00000000-0004-0000-0700-00003E060000}"/>
    <hyperlink ref="A1601" r:id="rId1600" xr:uid="{00000000-0004-0000-0700-00003F060000}"/>
    <hyperlink ref="A1602" r:id="rId1601" xr:uid="{00000000-0004-0000-0700-000040060000}"/>
    <hyperlink ref="A1603" r:id="rId1602" xr:uid="{00000000-0004-0000-0700-000041060000}"/>
    <hyperlink ref="A1604" r:id="rId1603" xr:uid="{00000000-0004-0000-0700-000042060000}"/>
    <hyperlink ref="A1605" r:id="rId1604" xr:uid="{00000000-0004-0000-0700-000043060000}"/>
    <hyperlink ref="A1606" r:id="rId1605" xr:uid="{00000000-0004-0000-0700-000044060000}"/>
    <hyperlink ref="A1607" r:id="rId1606" xr:uid="{00000000-0004-0000-0700-000045060000}"/>
    <hyperlink ref="A1608" r:id="rId1607" xr:uid="{00000000-0004-0000-0700-000046060000}"/>
    <hyperlink ref="A1609" r:id="rId1608" xr:uid="{00000000-0004-0000-0700-000047060000}"/>
    <hyperlink ref="A1610" r:id="rId1609" xr:uid="{00000000-0004-0000-0700-000048060000}"/>
    <hyperlink ref="A1611" r:id="rId1610" xr:uid="{00000000-0004-0000-0700-000049060000}"/>
    <hyperlink ref="A1612" r:id="rId1611" xr:uid="{00000000-0004-0000-0700-00004A060000}"/>
    <hyperlink ref="A1613" r:id="rId1612" xr:uid="{00000000-0004-0000-0700-00004B060000}"/>
    <hyperlink ref="A1614" r:id="rId1613" xr:uid="{00000000-0004-0000-0700-00004C060000}"/>
    <hyperlink ref="A1615" r:id="rId1614" xr:uid="{00000000-0004-0000-0700-00004D060000}"/>
    <hyperlink ref="A1616" r:id="rId1615" xr:uid="{00000000-0004-0000-0700-00004E060000}"/>
    <hyperlink ref="A1617" r:id="rId1616" xr:uid="{00000000-0004-0000-0700-00004F060000}"/>
    <hyperlink ref="A1618" r:id="rId1617" xr:uid="{00000000-0004-0000-0700-000050060000}"/>
    <hyperlink ref="A1619" r:id="rId1618" xr:uid="{00000000-0004-0000-0700-000051060000}"/>
    <hyperlink ref="A1620" r:id="rId1619" xr:uid="{00000000-0004-0000-0700-000052060000}"/>
    <hyperlink ref="A1621" r:id="rId1620" xr:uid="{00000000-0004-0000-0700-000053060000}"/>
    <hyperlink ref="A1622" r:id="rId1621" xr:uid="{00000000-0004-0000-0700-000054060000}"/>
    <hyperlink ref="A1623" r:id="rId1622" xr:uid="{00000000-0004-0000-0700-000055060000}"/>
    <hyperlink ref="A1624" r:id="rId1623" xr:uid="{00000000-0004-0000-0700-000056060000}"/>
    <hyperlink ref="A1625" r:id="rId1624" xr:uid="{00000000-0004-0000-0700-000057060000}"/>
    <hyperlink ref="A1626" r:id="rId1625" xr:uid="{00000000-0004-0000-0700-000058060000}"/>
    <hyperlink ref="A1627" r:id="rId1626" xr:uid="{00000000-0004-0000-0700-000059060000}"/>
    <hyperlink ref="A1628" r:id="rId1627" xr:uid="{00000000-0004-0000-0700-00005A060000}"/>
    <hyperlink ref="A1629" r:id="rId1628" xr:uid="{00000000-0004-0000-0700-00005B060000}"/>
    <hyperlink ref="A1630" r:id="rId1629" xr:uid="{00000000-0004-0000-0700-00005C060000}"/>
    <hyperlink ref="A1631" r:id="rId1630" xr:uid="{00000000-0004-0000-0700-00005D060000}"/>
    <hyperlink ref="A1632" r:id="rId1631" xr:uid="{00000000-0004-0000-0700-00005E060000}"/>
    <hyperlink ref="A1633" r:id="rId1632" xr:uid="{00000000-0004-0000-0700-00005F060000}"/>
    <hyperlink ref="A1634" r:id="rId1633" xr:uid="{00000000-0004-0000-0700-000060060000}"/>
    <hyperlink ref="A1635" r:id="rId1634" xr:uid="{00000000-0004-0000-0700-000061060000}"/>
    <hyperlink ref="A1636" r:id="rId1635" xr:uid="{00000000-0004-0000-0700-000062060000}"/>
    <hyperlink ref="A1637" r:id="rId1636" xr:uid="{00000000-0004-0000-0700-000063060000}"/>
    <hyperlink ref="A1638" r:id="rId1637" xr:uid="{00000000-0004-0000-0700-000064060000}"/>
    <hyperlink ref="A1639" r:id="rId1638" xr:uid="{00000000-0004-0000-0700-000065060000}"/>
    <hyperlink ref="A1640" r:id="rId1639" xr:uid="{00000000-0004-0000-0700-000066060000}"/>
    <hyperlink ref="A1641" r:id="rId1640" xr:uid="{00000000-0004-0000-0700-000067060000}"/>
    <hyperlink ref="A1642" r:id="rId1641" xr:uid="{00000000-0004-0000-0700-000068060000}"/>
    <hyperlink ref="A1643" r:id="rId1642" xr:uid="{00000000-0004-0000-0700-000069060000}"/>
    <hyperlink ref="A1644" r:id="rId1643" xr:uid="{00000000-0004-0000-0700-00006A060000}"/>
    <hyperlink ref="A1645" r:id="rId1644" xr:uid="{00000000-0004-0000-0700-00006B060000}"/>
    <hyperlink ref="A1646" r:id="rId1645" xr:uid="{00000000-0004-0000-0700-00006C060000}"/>
    <hyperlink ref="A1647" r:id="rId1646" xr:uid="{00000000-0004-0000-0700-00006D060000}"/>
    <hyperlink ref="A1648" r:id="rId1647" xr:uid="{00000000-0004-0000-0700-00006E060000}"/>
    <hyperlink ref="A1649" r:id="rId1648" xr:uid="{00000000-0004-0000-0700-00006F060000}"/>
    <hyperlink ref="A1650" r:id="rId1649" xr:uid="{00000000-0004-0000-0700-000070060000}"/>
    <hyperlink ref="A1651" r:id="rId1650" xr:uid="{00000000-0004-0000-0700-000071060000}"/>
    <hyperlink ref="A1652" r:id="rId1651" xr:uid="{00000000-0004-0000-0700-000072060000}"/>
    <hyperlink ref="A1653" r:id="rId1652" xr:uid="{00000000-0004-0000-0700-000073060000}"/>
    <hyperlink ref="A1654" r:id="rId1653" xr:uid="{00000000-0004-0000-0700-000074060000}"/>
    <hyperlink ref="A1655" r:id="rId1654" xr:uid="{00000000-0004-0000-0700-000075060000}"/>
    <hyperlink ref="A1656" r:id="rId1655" xr:uid="{00000000-0004-0000-0700-000076060000}"/>
    <hyperlink ref="A1657" r:id="rId1656" xr:uid="{00000000-0004-0000-0700-000077060000}"/>
    <hyperlink ref="A1658" r:id="rId1657" xr:uid="{00000000-0004-0000-0700-000078060000}"/>
    <hyperlink ref="A1659" r:id="rId1658" xr:uid="{00000000-0004-0000-0700-000079060000}"/>
    <hyperlink ref="A1660" r:id="rId1659" xr:uid="{00000000-0004-0000-0700-00007A060000}"/>
    <hyperlink ref="A1661" r:id="rId1660" xr:uid="{00000000-0004-0000-0700-00007B060000}"/>
    <hyperlink ref="A1662" r:id="rId1661" xr:uid="{00000000-0004-0000-0700-00007C060000}"/>
    <hyperlink ref="A1663" r:id="rId1662" xr:uid="{00000000-0004-0000-0700-00007D060000}"/>
    <hyperlink ref="A1664" r:id="rId1663" xr:uid="{00000000-0004-0000-0700-00007E060000}"/>
    <hyperlink ref="A1665" r:id="rId1664" xr:uid="{00000000-0004-0000-0700-00007F060000}"/>
    <hyperlink ref="A1666" r:id="rId1665" xr:uid="{00000000-0004-0000-0700-000080060000}"/>
    <hyperlink ref="A1667" r:id="rId1666" xr:uid="{00000000-0004-0000-0700-000081060000}"/>
    <hyperlink ref="A1668" r:id="rId1667" xr:uid="{00000000-0004-0000-0700-000082060000}"/>
    <hyperlink ref="A1669" r:id="rId1668" xr:uid="{00000000-0004-0000-0700-000083060000}"/>
    <hyperlink ref="A1670" r:id="rId1669" xr:uid="{00000000-0004-0000-0700-000084060000}"/>
    <hyperlink ref="A1671" r:id="rId1670" xr:uid="{00000000-0004-0000-0700-000085060000}"/>
    <hyperlink ref="A1672" r:id="rId1671" xr:uid="{00000000-0004-0000-0700-000086060000}"/>
    <hyperlink ref="A1673" r:id="rId1672" xr:uid="{00000000-0004-0000-0700-000087060000}"/>
    <hyperlink ref="A1674" r:id="rId1673" xr:uid="{00000000-0004-0000-0700-000088060000}"/>
    <hyperlink ref="A1675" r:id="rId1674" xr:uid="{00000000-0004-0000-0700-000089060000}"/>
    <hyperlink ref="A1676" r:id="rId1675" xr:uid="{00000000-0004-0000-0700-00008A060000}"/>
    <hyperlink ref="A1677" r:id="rId1676" xr:uid="{00000000-0004-0000-0700-00008B060000}"/>
    <hyperlink ref="A1678" r:id="rId1677" xr:uid="{00000000-0004-0000-0700-00008C060000}"/>
    <hyperlink ref="A1679" r:id="rId1678" xr:uid="{00000000-0004-0000-0700-00008D060000}"/>
    <hyperlink ref="A1680" r:id="rId1679" xr:uid="{00000000-0004-0000-0700-00008E060000}"/>
    <hyperlink ref="A1681" r:id="rId1680" xr:uid="{00000000-0004-0000-0700-00008F060000}"/>
    <hyperlink ref="A1682" r:id="rId1681" xr:uid="{00000000-0004-0000-0700-000090060000}"/>
    <hyperlink ref="A1683" r:id="rId1682" xr:uid="{00000000-0004-0000-0700-000091060000}"/>
    <hyperlink ref="A1684" r:id="rId1683" xr:uid="{00000000-0004-0000-0700-000092060000}"/>
    <hyperlink ref="A1685" r:id="rId1684" xr:uid="{00000000-0004-0000-0700-000093060000}"/>
    <hyperlink ref="A1686" r:id="rId1685" xr:uid="{00000000-0004-0000-0700-000094060000}"/>
    <hyperlink ref="A1687" r:id="rId1686" xr:uid="{00000000-0004-0000-0700-000095060000}"/>
    <hyperlink ref="A1688" r:id="rId1687" xr:uid="{00000000-0004-0000-0700-000096060000}"/>
    <hyperlink ref="A1689" r:id="rId1688" xr:uid="{00000000-0004-0000-0700-000097060000}"/>
    <hyperlink ref="A1690" r:id="rId1689" xr:uid="{00000000-0004-0000-0700-000098060000}"/>
    <hyperlink ref="A1691" r:id="rId1690" xr:uid="{00000000-0004-0000-0700-000099060000}"/>
    <hyperlink ref="A1692" r:id="rId1691" xr:uid="{00000000-0004-0000-0700-00009A060000}"/>
    <hyperlink ref="A1693" r:id="rId1692" xr:uid="{00000000-0004-0000-0700-00009B060000}"/>
    <hyperlink ref="A1694" r:id="rId1693" xr:uid="{00000000-0004-0000-0700-00009C060000}"/>
    <hyperlink ref="A1695" r:id="rId1694" xr:uid="{00000000-0004-0000-0700-00009D060000}"/>
    <hyperlink ref="A1696" r:id="rId1695" xr:uid="{00000000-0004-0000-0700-00009E060000}"/>
    <hyperlink ref="A1697" r:id="rId1696" xr:uid="{00000000-0004-0000-0700-00009F060000}"/>
    <hyperlink ref="A1698" r:id="rId1697" xr:uid="{00000000-0004-0000-0700-0000A0060000}"/>
    <hyperlink ref="A1699" r:id="rId1698" xr:uid="{00000000-0004-0000-0700-0000A1060000}"/>
    <hyperlink ref="A1700" r:id="rId1699" xr:uid="{00000000-0004-0000-0700-0000A2060000}"/>
    <hyperlink ref="A1701" r:id="rId1700" xr:uid="{00000000-0004-0000-0700-0000A3060000}"/>
    <hyperlink ref="A1702" r:id="rId1701" xr:uid="{00000000-0004-0000-0700-0000A4060000}"/>
    <hyperlink ref="A1703" r:id="rId1702" xr:uid="{00000000-0004-0000-0700-0000A5060000}"/>
    <hyperlink ref="A1704" r:id="rId1703" xr:uid="{00000000-0004-0000-0700-0000A6060000}"/>
    <hyperlink ref="A1705" r:id="rId1704" xr:uid="{00000000-0004-0000-0700-0000A7060000}"/>
    <hyperlink ref="A1706" r:id="rId1705" xr:uid="{00000000-0004-0000-0700-0000A8060000}"/>
    <hyperlink ref="A1707" r:id="rId1706" xr:uid="{00000000-0004-0000-0700-0000A9060000}"/>
    <hyperlink ref="A1708" r:id="rId1707" xr:uid="{00000000-0004-0000-0700-0000AA060000}"/>
    <hyperlink ref="A1709" r:id="rId1708" xr:uid="{00000000-0004-0000-0700-0000AB060000}"/>
    <hyperlink ref="A1710" r:id="rId1709" xr:uid="{00000000-0004-0000-0700-0000AC060000}"/>
    <hyperlink ref="A1711" r:id="rId1710" xr:uid="{00000000-0004-0000-0700-0000AD060000}"/>
    <hyperlink ref="A1712" r:id="rId1711" xr:uid="{00000000-0004-0000-0700-0000AE060000}"/>
    <hyperlink ref="A1713" r:id="rId1712" xr:uid="{00000000-0004-0000-0700-0000AF060000}"/>
    <hyperlink ref="A1714" r:id="rId1713" xr:uid="{00000000-0004-0000-0700-0000B0060000}"/>
    <hyperlink ref="A1715" r:id="rId1714" xr:uid="{00000000-0004-0000-0700-0000B1060000}"/>
    <hyperlink ref="A1716" r:id="rId1715" xr:uid="{00000000-0004-0000-0700-0000B2060000}"/>
    <hyperlink ref="A1717" r:id="rId1716" xr:uid="{00000000-0004-0000-0700-0000B3060000}"/>
    <hyperlink ref="A1718" r:id="rId1717" xr:uid="{00000000-0004-0000-0700-0000B4060000}"/>
    <hyperlink ref="A1719" r:id="rId1718" xr:uid="{00000000-0004-0000-0700-0000B5060000}"/>
    <hyperlink ref="A1720" r:id="rId1719" xr:uid="{00000000-0004-0000-0700-0000B6060000}"/>
    <hyperlink ref="A1721" r:id="rId1720" xr:uid="{00000000-0004-0000-0700-0000B7060000}"/>
    <hyperlink ref="A1722" r:id="rId1721" xr:uid="{00000000-0004-0000-0700-0000B8060000}"/>
    <hyperlink ref="A1723" r:id="rId1722" xr:uid="{00000000-0004-0000-0700-0000B9060000}"/>
    <hyperlink ref="A1724" r:id="rId1723" xr:uid="{00000000-0004-0000-0700-0000BA060000}"/>
    <hyperlink ref="A1725" r:id="rId1724" xr:uid="{00000000-0004-0000-0700-0000BB060000}"/>
    <hyperlink ref="A1726" r:id="rId1725" xr:uid="{00000000-0004-0000-0700-0000BC060000}"/>
    <hyperlink ref="A1727" r:id="rId1726" xr:uid="{00000000-0004-0000-0700-0000BD060000}"/>
    <hyperlink ref="A1728" r:id="rId1727" xr:uid="{00000000-0004-0000-0700-0000BE060000}"/>
    <hyperlink ref="A1729" r:id="rId1728" xr:uid="{00000000-0004-0000-0700-0000BF060000}"/>
    <hyperlink ref="A1730" r:id="rId1729" xr:uid="{00000000-0004-0000-0700-0000C0060000}"/>
    <hyperlink ref="A1731" r:id="rId1730" xr:uid="{00000000-0004-0000-0700-0000C1060000}"/>
    <hyperlink ref="A1732" r:id="rId1731" xr:uid="{00000000-0004-0000-0700-0000C2060000}"/>
    <hyperlink ref="A1733" r:id="rId1732" xr:uid="{00000000-0004-0000-0700-0000C3060000}"/>
    <hyperlink ref="A1734" r:id="rId1733" xr:uid="{00000000-0004-0000-0700-0000C4060000}"/>
    <hyperlink ref="A1735" r:id="rId1734" xr:uid="{00000000-0004-0000-0700-0000C5060000}"/>
    <hyperlink ref="A1736" r:id="rId1735" xr:uid="{00000000-0004-0000-0700-0000C6060000}"/>
    <hyperlink ref="A1737" r:id="rId1736" xr:uid="{00000000-0004-0000-0700-0000C7060000}"/>
    <hyperlink ref="A1738" r:id="rId1737" xr:uid="{00000000-0004-0000-0700-0000C8060000}"/>
    <hyperlink ref="A1739" r:id="rId1738" xr:uid="{00000000-0004-0000-0700-0000C9060000}"/>
    <hyperlink ref="A1740" r:id="rId1739" xr:uid="{00000000-0004-0000-0700-0000CA060000}"/>
    <hyperlink ref="A1741" r:id="rId1740" xr:uid="{00000000-0004-0000-0700-0000CB060000}"/>
    <hyperlink ref="A1742" r:id="rId1741" xr:uid="{00000000-0004-0000-0700-0000CC060000}"/>
    <hyperlink ref="A1743" r:id="rId1742" xr:uid="{00000000-0004-0000-0700-0000CD060000}"/>
    <hyperlink ref="A1744" r:id="rId1743" xr:uid="{00000000-0004-0000-0700-0000CE060000}"/>
    <hyperlink ref="A1745" r:id="rId1744" xr:uid="{00000000-0004-0000-0700-0000CF060000}"/>
    <hyperlink ref="A1746" r:id="rId1745" xr:uid="{00000000-0004-0000-0700-0000D0060000}"/>
    <hyperlink ref="A1747" r:id="rId1746" xr:uid="{00000000-0004-0000-0700-0000D1060000}"/>
    <hyperlink ref="A1748" r:id="rId1747" xr:uid="{00000000-0004-0000-0700-0000D2060000}"/>
    <hyperlink ref="A1749" r:id="rId1748" xr:uid="{00000000-0004-0000-0700-0000D3060000}"/>
    <hyperlink ref="A1750" r:id="rId1749" xr:uid="{00000000-0004-0000-0700-0000D4060000}"/>
    <hyperlink ref="A1751" r:id="rId1750" xr:uid="{00000000-0004-0000-0700-0000D5060000}"/>
    <hyperlink ref="A1752" r:id="rId1751" xr:uid="{00000000-0004-0000-0700-0000D6060000}"/>
    <hyperlink ref="A1753" r:id="rId1752" xr:uid="{00000000-0004-0000-0700-0000D7060000}"/>
    <hyperlink ref="A1754" r:id="rId1753" xr:uid="{00000000-0004-0000-0700-0000D8060000}"/>
    <hyperlink ref="A1755" r:id="rId1754" xr:uid="{00000000-0004-0000-0700-0000D9060000}"/>
    <hyperlink ref="A1756" r:id="rId1755" xr:uid="{00000000-0004-0000-0700-0000DA060000}"/>
    <hyperlink ref="A1757" r:id="rId1756" xr:uid="{00000000-0004-0000-0700-0000DB060000}"/>
    <hyperlink ref="A1758" r:id="rId1757" xr:uid="{00000000-0004-0000-0700-0000DC060000}"/>
    <hyperlink ref="A1759" r:id="rId1758" xr:uid="{00000000-0004-0000-0700-0000DD060000}"/>
    <hyperlink ref="A1760" r:id="rId1759" xr:uid="{00000000-0004-0000-0700-0000DE060000}"/>
    <hyperlink ref="A1761" r:id="rId1760" xr:uid="{00000000-0004-0000-0700-0000DF060000}"/>
    <hyperlink ref="A1762" r:id="rId1761" xr:uid="{00000000-0004-0000-0700-0000E0060000}"/>
    <hyperlink ref="A1763" r:id="rId1762" xr:uid="{00000000-0004-0000-0700-0000E1060000}"/>
    <hyperlink ref="A1764" r:id="rId1763" xr:uid="{00000000-0004-0000-0700-0000E2060000}"/>
    <hyperlink ref="A1765" r:id="rId1764" xr:uid="{00000000-0004-0000-0700-0000E3060000}"/>
    <hyperlink ref="A1766" r:id="rId1765" xr:uid="{00000000-0004-0000-0700-0000E4060000}"/>
    <hyperlink ref="A1767" r:id="rId1766" xr:uid="{00000000-0004-0000-0700-0000E5060000}"/>
    <hyperlink ref="A1768" r:id="rId1767" xr:uid="{00000000-0004-0000-0700-0000E6060000}"/>
    <hyperlink ref="A1769" r:id="rId1768" xr:uid="{00000000-0004-0000-0700-0000E7060000}"/>
    <hyperlink ref="A1770" r:id="rId1769" xr:uid="{00000000-0004-0000-0700-0000E8060000}"/>
    <hyperlink ref="A1771" r:id="rId1770" xr:uid="{00000000-0004-0000-0700-0000E9060000}"/>
    <hyperlink ref="A1772" r:id="rId1771" xr:uid="{00000000-0004-0000-0700-0000EA060000}"/>
    <hyperlink ref="A1773" r:id="rId1772" xr:uid="{00000000-0004-0000-0700-0000EB060000}"/>
    <hyperlink ref="A1774" r:id="rId1773" xr:uid="{00000000-0004-0000-0700-0000EC060000}"/>
    <hyperlink ref="A1775" r:id="rId1774" xr:uid="{00000000-0004-0000-0700-0000ED060000}"/>
    <hyperlink ref="A1776" r:id="rId1775" xr:uid="{00000000-0004-0000-0700-0000EE060000}"/>
    <hyperlink ref="A1777" r:id="rId1776" xr:uid="{00000000-0004-0000-0700-0000EF060000}"/>
    <hyperlink ref="A1778" r:id="rId1777" xr:uid="{00000000-0004-0000-0700-0000F0060000}"/>
    <hyperlink ref="A1779" r:id="rId1778" xr:uid="{00000000-0004-0000-0700-0000F1060000}"/>
    <hyperlink ref="A1780" r:id="rId1779" xr:uid="{00000000-0004-0000-0700-0000F2060000}"/>
    <hyperlink ref="A1781" r:id="rId1780" xr:uid="{00000000-0004-0000-0700-0000F3060000}"/>
    <hyperlink ref="A1782" r:id="rId1781" xr:uid="{00000000-0004-0000-0700-0000F4060000}"/>
    <hyperlink ref="A1783" r:id="rId1782" xr:uid="{00000000-0004-0000-0700-0000F5060000}"/>
    <hyperlink ref="A1784" r:id="rId1783" xr:uid="{00000000-0004-0000-0700-0000F6060000}"/>
    <hyperlink ref="A1785" r:id="rId1784" xr:uid="{00000000-0004-0000-0700-0000F7060000}"/>
    <hyperlink ref="A1786" r:id="rId1785" xr:uid="{00000000-0004-0000-0700-0000F8060000}"/>
    <hyperlink ref="A1787" r:id="rId1786" xr:uid="{00000000-0004-0000-0700-0000F9060000}"/>
    <hyperlink ref="A1788" r:id="rId1787" xr:uid="{00000000-0004-0000-0700-0000FA060000}"/>
    <hyperlink ref="A1789" r:id="rId1788" xr:uid="{00000000-0004-0000-0700-0000FB060000}"/>
    <hyperlink ref="A1790" r:id="rId1789" xr:uid="{00000000-0004-0000-0700-0000FC060000}"/>
    <hyperlink ref="A1791" r:id="rId1790" xr:uid="{00000000-0004-0000-0700-0000FD060000}"/>
    <hyperlink ref="A1792" r:id="rId1791" xr:uid="{00000000-0004-0000-0700-0000FE060000}"/>
    <hyperlink ref="A1793" r:id="rId1792" xr:uid="{00000000-0004-0000-0700-0000FF060000}"/>
    <hyperlink ref="A1794" r:id="rId1793" xr:uid="{00000000-0004-0000-0700-000000070000}"/>
    <hyperlink ref="A1795" r:id="rId1794" xr:uid="{00000000-0004-0000-0700-000001070000}"/>
    <hyperlink ref="A1796" r:id="rId1795" xr:uid="{00000000-0004-0000-0700-000002070000}"/>
    <hyperlink ref="A1797" r:id="rId1796" xr:uid="{00000000-0004-0000-0700-000003070000}"/>
    <hyperlink ref="A1798" r:id="rId1797" xr:uid="{00000000-0004-0000-0700-000004070000}"/>
    <hyperlink ref="A1799" r:id="rId1798" xr:uid="{00000000-0004-0000-0700-000005070000}"/>
    <hyperlink ref="A1800" r:id="rId1799" xr:uid="{00000000-0004-0000-0700-000006070000}"/>
    <hyperlink ref="A1801" r:id="rId1800" xr:uid="{00000000-0004-0000-0700-000007070000}"/>
    <hyperlink ref="A1802" r:id="rId1801" xr:uid="{00000000-0004-0000-0700-000008070000}"/>
    <hyperlink ref="A1803" r:id="rId1802" xr:uid="{00000000-0004-0000-0700-000009070000}"/>
    <hyperlink ref="A1804" r:id="rId1803" xr:uid="{00000000-0004-0000-0700-00000A070000}"/>
    <hyperlink ref="A1805" r:id="rId1804" xr:uid="{00000000-0004-0000-0700-00000B070000}"/>
    <hyperlink ref="A1806" r:id="rId1805" xr:uid="{00000000-0004-0000-0700-00000C070000}"/>
    <hyperlink ref="A1807" r:id="rId1806" xr:uid="{00000000-0004-0000-0700-00000D070000}"/>
    <hyperlink ref="A1808" r:id="rId1807" xr:uid="{00000000-0004-0000-0700-00000E070000}"/>
    <hyperlink ref="A1809" r:id="rId1808" xr:uid="{00000000-0004-0000-0700-00000F070000}"/>
    <hyperlink ref="A1810" r:id="rId1809" xr:uid="{00000000-0004-0000-0700-000010070000}"/>
    <hyperlink ref="A1811" r:id="rId1810" xr:uid="{00000000-0004-0000-0700-000011070000}"/>
    <hyperlink ref="A1812" r:id="rId1811" xr:uid="{00000000-0004-0000-0700-000012070000}"/>
    <hyperlink ref="A1813" r:id="rId1812" xr:uid="{00000000-0004-0000-0700-000013070000}"/>
    <hyperlink ref="A1814" r:id="rId1813" xr:uid="{00000000-0004-0000-0700-000014070000}"/>
    <hyperlink ref="A1815" r:id="rId1814" xr:uid="{00000000-0004-0000-0700-000015070000}"/>
    <hyperlink ref="A1816" r:id="rId1815" xr:uid="{00000000-0004-0000-0700-000016070000}"/>
    <hyperlink ref="A1817" r:id="rId1816" xr:uid="{00000000-0004-0000-0700-000017070000}"/>
    <hyperlink ref="A1818" r:id="rId1817" xr:uid="{00000000-0004-0000-0700-000018070000}"/>
    <hyperlink ref="A1819" r:id="rId1818" xr:uid="{00000000-0004-0000-0700-000019070000}"/>
    <hyperlink ref="A1820" r:id="rId1819" xr:uid="{00000000-0004-0000-0700-00001A070000}"/>
    <hyperlink ref="A1821" r:id="rId1820" xr:uid="{00000000-0004-0000-0700-00001B070000}"/>
    <hyperlink ref="A1822" r:id="rId1821" xr:uid="{00000000-0004-0000-0700-00001C070000}"/>
    <hyperlink ref="A1823" r:id="rId1822" xr:uid="{00000000-0004-0000-0700-00001D070000}"/>
    <hyperlink ref="A1824" r:id="rId1823" xr:uid="{00000000-0004-0000-0700-00001E070000}"/>
    <hyperlink ref="A1825" r:id="rId1824" xr:uid="{00000000-0004-0000-0700-00001F070000}"/>
    <hyperlink ref="A1826" r:id="rId1825" xr:uid="{00000000-0004-0000-0700-000020070000}"/>
    <hyperlink ref="A1827" r:id="rId1826" xr:uid="{00000000-0004-0000-0700-000021070000}"/>
    <hyperlink ref="A1828" r:id="rId1827" xr:uid="{00000000-0004-0000-0700-000022070000}"/>
    <hyperlink ref="A1829" r:id="rId1828" xr:uid="{00000000-0004-0000-0700-000023070000}"/>
    <hyperlink ref="A1830" r:id="rId1829" xr:uid="{00000000-0004-0000-0700-000024070000}"/>
    <hyperlink ref="A1831" r:id="rId1830" xr:uid="{00000000-0004-0000-0700-000025070000}"/>
    <hyperlink ref="A1832" r:id="rId1831" xr:uid="{00000000-0004-0000-0700-000026070000}"/>
    <hyperlink ref="A1833" r:id="rId1832" xr:uid="{00000000-0004-0000-0700-000027070000}"/>
    <hyperlink ref="A1834" r:id="rId1833" xr:uid="{00000000-0004-0000-0700-000028070000}"/>
    <hyperlink ref="A1835" r:id="rId1834" xr:uid="{00000000-0004-0000-0700-000029070000}"/>
    <hyperlink ref="A1836" r:id="rId1835" xr:uid="{00000000-0004-0000-0700-00002A070000}"/>
    <hyperlink ref="A1837" r:id="rId1836" xr:uid="{00000000-0004-0000-0700-00002B070000}"/>
    <hyperlink ref="A1838" r:id="rId1837" xr:uid="{00000000-0004-0000-0700-00002C070000}"/>
    <hyperlink ref="A1839" r:id="rId1838" xr:uid="{00000000-0004-0000-0700-00002D070000}"/>
    <hyperlink ref="A1840" r:id="rId1839" xr:uid="{00000000-0004-0000-0700-00002E070000}"/>
    <hyperlink ref="A1841" r:id="rId1840" xr:uid="{00000000-0004-0000-0700-00002F070000}"/>
    <hyperlink ref="A1842" r:id="rId1841" xr:uid="{00000000-0004-0000-0700-000030070000}"/>
    <hyperlink ref="A1843" r:id="rId1842" xr:uid="{00000000-0004-0000-0700-000031070000}"/>
    <hyperlink ref="A1844" r:id="rId1843" xr:uid="{00000000-0004-0000-0700-000032070000}"/>
    <hyperlink ref="A1845" r:id="rId1844" xr:uid="{00000000-0004-0000-0700-000033070000}"/>
    <hyperlink ref="A1846" r:id="rId1845" xr:uid="{00000000-0004-0000-0700-000034070000}"/>
    <hyperlink ref="A1847" r:id="rId1846" xr:uid="{00000000-0004-0000-0700-000035070000}"/>
    <hyperlink ref="A1848" r:id="rId1847" xr:uid="{00000000-0004-0000-0700-000036070000}"/>
    <hyperlink ref="A1849" r:id="rId1848" xr:uid="{00000000-0004-0000-0700-000037070000}"/>
    <hyperlink ref="A1850" r:id="rId1849" xr:uid="{00000000-0004-0000-0700-000038070000}"/>
    <hyperlink ref="A1851" r:id="rId1850" xr:uid="{00000000-0004-0000-0700-000039070000}"/>
    <hyperlink ref="A1852" r:id="rId1851" xr:uid="{00000000-0004-0000-0700-00003A070000}"/>
    <hyperlink ref="A1853" r:id="rId1852" xr:uid="{00000000-0004-0000-0700-00003B070000}"/>
    <hyperlink ref="A1854" r:id="rId1853" xr:uid="{00000000-0004-0000-0700-00003C070000}"/>
    <hyperlink ref="A1855" r:id="rId1854" xr:uid="{00000000-0004-0000-0700-00003D070000}"/>
    <hyperlink ref="A1856" r:id="rId1855" xr:uid="{00000000-0004-0000-0700-00003E070000}"/>
    <hyperlink ref="A1857" r:id="rId1856" xr:uid="{00000000-0004-0000-0700-00003F070000}"/>
    <hyperlink ref="A1858" r:id="rId1857" xr:uid="{00000000-0004-0000-0700-000040070000}"/>
    <hyperlink ref="A1859" r:id="rId1858" xr:uid="{00000000-0004-0000-0700-000041070000}"/>
    <hyperlink ref="A1860" r:id="rId1859" xr:uid="{00000000-0004-0000-0700-000042070000}"/>
    <hyperlink ref="A1861" r:id="rId1860" xr:uid="{00000000-0004-0000-0700-000043070000}"/>
    <hyperlink ref="A1862" r:id="rId1861" xr:uid="{00000000-0004-0000-0700-000044070000}"/>
    <hyperlink ref="A1863" r:id="rId1862" xr:uid="{00000000-0004-0000-0700-000045070000}"/>
    <hyperlink ref="A1864" r:id="rId1863" xr:uid="{00000000-0004-0000-0700-000046070000}"/>
    <hyperlink ref="A1865" r:id="rId1864" xr:uid="{00000000-0004-0000-0700-000047070000}"/>
    <hyperlink ref="A1866" r:id="rId1865" xr:uid="{00000000-0004-0000-0700-000048070000}"/>
    <hyperlink ref="A1867" r:id="rId1866" xr:uid="{00000000-0004-0000-0700-000049070000}"/>
    <hyperlink ref="A1868" r:id="rId1867" xr:uid="{00000000-0004-0000-0700-00004A070000}"/>
    <hyperlink ref="A1869" r:id="rId1868" xr:uid="{00000000-0004-0000-0700-00004B070000}"/>
    <hyperlink ref="A1870" r:id="rId1869" xr:uid="{00000000-0004-0000-0700-00004C070000}"/>
    <hyperlink ref="A1871" r:id="rId1870" xr:uid="{00000000-0004-0000-0700-00004D070000}"/>
    <hyperlink ref="A1872" r:id="rId1871" xr:uid="{00000000-0004-0000-0700-00004E070000}"/>
    <hyperlink ref="A1873" r:id="rId1872" xr:uid="{00000000-0004-0000-0700-00004F070000}"/>
    <hyperlink ref="A1874" r:id="rId1873" xr:uid="{00000000-0004-0000-0700-000050070000}"/>
    <hyperlink ref="A1875" r:id="rId1874" xr:uid="{00000000-0004-0000-0700-000051070000}"/>
    <hyperlink ref="A1876" r:id="rId1875" xr:uid="{00000000-0004-0000-0700-000052070000}"/>
    <hyperlink ref="A1877" r:id="rId1876" xr:uid="{00000000-0004-0000-0700-000053070000}"/>
    <hyperlink ref="A1878" r:id="rId1877" xr:uid="{00000000-0004-0000-0700-000054070000}"/>
    <hyperlink ref="A1879" r:id="rId1878" xr:uid="{00000000-0004-0000-0700-000055070000}"/>
    <hyperlink ref="A1880" r:id="rId1879" xr:uid="{00000000-0004-0000-0700-000056070000}"/>
    <hyperlink ref="A1881" r:id="rId1880" xr:uid="{00000000-0004-0000-0700-000057070000}"/>
    <hyperlink ref="A1882" r:id="rId1881" xr:uid="{00000000-0004-0000-0700-000058070000}"/>
    <hyperlink ref="A1883" r:id="rId1882" xr:uid="{00000000-0004-0000-0700-000059070000}"/>
    <hyperlink ref="A1884" r:id="rId1883" xr:uid="{00000000-0004-0000-0700-00005A070000}"/>
    <hyperlink ref="A1885" r:id="rId1884" xr:uid="{00000000-0004-0000-0700-00005B070000}"/>
    <hyperlink ref="A1886" r:id="rId1885" xr:uid="{00000000-0004-0000-0700-00005C070000}"/>
    <hyperlink ref="A1887" r:id="rId1886" xr:uid="{00000000-0004-0000-0700-00005D070000}"/>
    <hyperlink ref="A1888" r:id="rId1887" xr:uid="{00000000-0004-0000-0700-00005E070000}"/>
    <hyperlink ref="A1889" r:id="rId1888" xr:uid="{00000000-0004-0000-0700-00005F070000}"/>
    <hyperlink ref="A1890" r:id="rId1889" xr:uid="{00000000-0004-0000-0700-000060070000}"/>
    <hyperlink ref="A1891" r:id="rId1890" xr:uid="{00000000-0004-0000-0700-000061070000}"/>
    <hyperlink ref="A1892" r:id="rId1891" xr:uid="{00000000-0004-0000-0700-000062070000}"/>
    <hyperlink ref="A1893" r:id="rId1892" xr:uid="{00000000-0004-0000-0700-000063070000}"/>
    <hyperlink ref="A1894" r:id="rId1893" xr:uid="{00000000-0004-0000-0700-000064070000}"/>
    <hyperlink ref="A1895" r:id="rId1894" xr:uid="{00000000-0004-0000-0700-000065070000}"/>
    <hyperlink ref="A1896" r:id="rId1895" xr:uid="{00000000-0004-0000-0700-000066070000}"/>
    <hyperlink ref="A1897" r:id="rId1896" xr:uid="{00000000-0004-0000-0700-000067070000}"/>
    <hyperlink ref="A1898" r:id="rId1897" xr:uid="{00000000-0004-0000-0700-000068070000}"/>
    <hyperlink ref="A1899" r:id="rId1898" xr:uid="{00000000-0004-0000-0700-000069070000}"/>
    <hyperlink ref="A1900" r:id="rId1899" xr:uid="{00000000-0004-0000-0700-00006A070000}"/>
    <hyperlink ref="A1901" r:id="rId1900" xr:uid="{00000000-0004-0000-0700-00006B070000}"/>
    <hyperlink ref="A1902" r:id="rId1901" xr:uid="{00000000-0004-0000-0700-00006C070000}"/>
    <hyperlink ref="A1903" r:id="rId1902" xr:uid="{00000000-0004-0000-0700-00006D070000}"/>
    <hyperlink ref="A1904" r:id="rId1903" xr:uid="{00000000-0004-0000-0700-00006E070000}"/>
    <hyperlink ref="A1905" r:id="rId1904" xr:uid="{00000000-0004-0000-0700-00006F070000}"/>
    <hyperlink ref="A1906" r:id="rId1905" xr:uid="{00000000-0004-0000-0700-000070070000}"/>
    <hyperlink ref="A1907" r:id="rId1906" xr:uid="{00000000-0004-0000-0700-000071070000}"/>
    <hyperlink ref="A1908" r:id="rId1907" xr:uid="{00000000-0004-0000-0700-000072070000}"/>
    <hyperlink ref="A1909" r:id="rId1908" xr:uid="{00000000-0004-0000-0700-000073070000}"/>
    <hyperlink ref="A1910" r:id="rId1909" xr:uid="{00000000-0004-0000-0700-000074070000}"/>
    <hyperlink ref="A1911" r:id="rId1910" xr:uid="{00000000-0004-0000-0700-000075070000}"/>
    <hyperlink ref="A1912" r:id="rId1911" xr:uid="{00000000-0004-0000-0700-000076070000}"/>
    <hyperlink ref="A1913" r:id="rId1912" xr:uid="{00000000-0004-0000-0700-000077070000}"/>
    <hyperlink ref="A1914" r:id="rId1913" xr:uid="{00000000-0004-0000-0700-000078070000}"/>
    <hyperlink ref="A1915" r:id="rId1914" xr:uid="{00000000-0004-0000-0700-000079070000}"/>
    <hyperlink ref="A1916" r:id="rId1915" xr:uid="{00000000-0004-0000-0700-00007A070000}"/>
    <hyperlink ref="A1917" r:id="rId1916" xr:uid="{00000000-0004-0000-0700-00007B070000}"/>
    <hyperlink ref="A1918" r:id="rId1917" xr:uid="{00000000-0004-0000-0700-00007C070000}"/>
    <hyperlink ref="A1919" r:id="rId1918" xr:uid="{00000000-0004-0000-0700-00007D070000}"/>
    <hyperlink ref="A1920" r:id="rId1919" xr:uid="{00000000-0004-0000-0700-00007E070000}"/>
    <hyperlink ref="A1921" r:id="rId1920" xr:uid="{00000000-0004-0000-0700-00007F070000}"/>
    <hyperlink ref="A1922" r:id="rId1921" xr:uid="{00000000-0004-0000-0700-000080070000}"/>
    <hyperlink ref="A1923" r:id="rId1922" xr:uid="{00000000-0004-0000-0700-000081070000}"/>
    <hyperlink ref="A1924" r:id="rId1923" xr:uid="{00000000-0004-0000-0700-000082070000}"/>
    <hyperlink ref="A1925" r:id="rId1924" xr:uid="{00000000-0004-0000-0700-000083070000}"/>
    <hyperlink ref="A1926" r:id="rId1925" xr:uid="{00000000-0004-0000-0700-000084070000}"/>
    <hyperlink ref="A1927" r:id="rId1926" xr:uid="{00000000-0004-0000-0700-000085070000}"/>
    <hyperlink ref="A1928" r:id="rId1927" xr:uid="{00000000-0004-0000-0700-000086070000}"/>
    <hyperlink ref="A1929" r:id="rId1928" xr:uid="{00000000-0004-0000-0700-000087070000}"/>
    <hyperlink ref="A1930" r:id="rId1929" xr:uid="{00000000-0004-0000-0700-000088070000}"/>
    <hyperlink ref="A1931" r:id="rId1930" xr:uid="{00000000-0004-0000-0700-000089070000}"/>
    <hyperlink ref="A1932" r:id="rId1931" xr:uid="{00000000-0004-0000-0700-00008A070000}"/>
    <hyperlink ref="A1933" r:id="rId1932" xr:uid="{00000000-0004-0000-0700-00008B070000}"/>
    <hyperlink ref="A1934" r:id="rId1933" xr:uid="{00000000-0004-0000-0700-00008C070000}"/>
    <hyperlink ref="A1935" r:id="rId1934" xr:uid="{00000000-0004-0000-0700-00008D070000}"/>
    <hyperlink ref="A1936" r:id="rId1935" xr:uid="{00000000-0004-0000-0700-00008E070000}"/>
    <hyperlink ref="A1937" r:id="rId1936" xr:uid="{00000000-0004-0000-0700-00008F070000}"/>
    <hyperlink ref="A1938" r:id="rId1937" xr:uid="{00000000-0004-0000-0700-000090070000}"/>
    <hyperlink ref="A1939" r:id="rId1938" xr:uid="{00000000-0004-0000-0700-000091070000}"/>
    <hyperlink ref="A1940" r:id="rId1939" xr:uid="{00000000-0004-0000-0700-000092070000}"/>
    <hyperlink ref="A1941" r:id="rId1940" xr:uid="{00000000-0004-0000-0700-000093070000}"/>
    <hyperlink ref="A1942" r:id="rId1941" xr:uid="{00000000-0004-0000-0700-000094070000}"/>
    <hyperlink ref="A1943" r:id="rId1942" xr:uid="{00000000-0004-0000-0700-000095070000}"/>
  </hyperlinks>
  <pageMargins left="0.7" right="0.7" top="0.75" bottom="0.75" header="0.3" footer="0.3"/>
  <tableParts count="1">
    <tablePart r:id="rId194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943"/>
  <sheetViews>
    <sheetView workbookViewId="0">
      <pane ySplit="1" topLeftCell="A2" activePane="bottomLeft" state="frozen"/>
      <selection pane="bottomLeft" activeCell="D1" sqref="D1:D1943"/>
    </sheetView>
  </sheetViews>
  <sheetFormatPr baseColWidth="10" defaultColWidth="12.6640625" defaultRowHeight="15.75" customHeight="1" x14ac:dyDescent="0.15"/>
  <cols>
    <col min="1" max="2" width="49.6640625" customWidth="1"/>
    <col min="3" max="3" width="36.5" customWidth="1"/>
    <col min="4" max="4" width="21.1640625" customWidth="1"/>
  </cols>
  <sheetData>
    <row r="1" spans="1:4" ht="23.25" customHeight="1" x14ac:dyDescent="0.15">
      <c r="A1" s="11" t="s">
        <v>3289</v>
      </c>
      <c r="B1" s="11" t="s">
        <v>3243</v>
      </c>
      <c r="C1" s="11" t="s">
        <v>3244</v>
      </c>
      <c r="D1" s="42" t="s">
        <v>3297</v>
      </c>
    </row>
    <row r="2" spans="1:4" ht="22.5" customHeight="1" x14ac:dyDescent="0.15">
      <c r="A2" s="16" t="s">
        <v>1088</v>
      </c>
      <c r="B2" s="12" t="s">
        <v>1090</v>
      </c>
      <c r="C2" s="13" t="s">
        <v>23</v>
      </c>
      <c r="D2" s="40">
        <v>0</v>
      </c>
    </row>
    <row r="3" spans="1:4" ht="22.5" customHeight="1" x14ac:dyDescent="0.15">
      <c r="A3" s="16" t="s">
        <v>1088</v>
      </c>
      <c r="B3" s="12" t="s">
        <v>1091</v>
      </c>
      <c r="C3" s="13" t="s">
        <v>30</v>
      </c>
      <c r="D3" s="40">
        <v>0</v>
      </c>
    </row>
    <row r="4" spans="1:4" ht="22.5" customHeight="1" x14ac:dyDescent="0.15">
      <c r="A4" s="16" t="s">
        <v>1088</v>
      </c>
      <c r="B4" s="12" t="s">
        <v>1092</v>
      </c>
      <c r="C4" s="13" t="s">
        <v>88</v>
      </c>
      <c r="D4" s="40">
        <v>0</v>
      </c>
    </row>
    <row r="5" spans="1:4" ht="22.5" customHeight="1" x14ac:dyDescent="0.15">
      <c r="A5" s="16" t="s">
        <v>1094</v>
      </c>
      <c r="B5" s="12" t="s">
        <v>1095</v>
      </c>
      <c r="C5" s="13" t="s">
        <v>23</v>
      </c>
      <c r="D5" s="40">
        <v>0</v>
      </c>
    </row>
    <row r="6" spans="1:4" ht="22.5" customHeight="1" x14ac:dyDescent="0.15">
      <c r="A6" s="16" t="s">
        <v>1094</v>
      </c>
      <c r="B6" s="12" t="s">
        <v>1096</v>
      </c>
      <c r="C6" s="13" t="s">
        <v>23</v>
      </c>
      <c r="D6" s="40">
        <v>0</v>
      </c>
    </row>
    <row r="7" spans="1:4" ht="22.5" customHeight="1" x14ac:dyDescent="0.15">
      <c r="A7" s="16" t="s">
        <v>1094</v>
      </c>
      <c r="B7" s="12" t="s">
        <v>1097</v>
      </c>
      <c r="C7" s="13" t="s">
        <v>23</v>
      </c>
      <c r="D7" s="40">
        <v>0</v>
      </c>
    </row>
    <row r="8" spans="1:4" ht="22.5" customHeight="1" x14ac:dyDescent="0.15">
      <c r="A8" s="16" t="s">
        <v>1094</v>
      </c>
      <c r="B8" s="12" t="s">
        <v>1098</v>
      </c>
      <c r="C8" s="13" t="s">
        <v>23</v>
      </c>
      <c r="D8" s="40">
        <v>0</v>
      </c>
    </row>
    <row r="9" spans="1:4" ht="22.5" customHeight="1" x14ac:dyDescent="0.15">
      <c r="A9" s="16" t="s">
        <v>1101</v>
      </c>
      <c r="B9" s="12" t="s">
        <v>1102</v>
      </c>
      <c r="C9" s="13" t="s">
        <v>18</v>
      </c>
      <c r="D9" s="40">
        <v>0</v>
      </c>
    </row>
    <row r="10" spans="1:4" ht="22.5" customHeight="1" x14ac:dyDescent="0.15">
      <c r="A10" s="16" t="s">
        <v>1103</v>
      </c>
      <c r="B10" s="12" t="s">
        <v>870</v>
      </c>
      <c r="C10" s="13" t="s">
        <v>12</v>
      </c>
      <c r="D10" s="40">
        <v>1</v>
      </c>
    </row>
    <row r="11" spans="1:4" ht="22.5" customHeight="1" x14ac:dyDescent="0.15">
      <c r="A11" s="16" t="s">
        <v>1103</v>
      </c>
      <c r="B11" s="12" t="s">
        <v>871</v>
      </c>
      <c r="C11" s="13" t="s">
        <v>30</v>
      </c>
      <c r="D11" s="40">
        <v>1</v>
      </c>
    </row>
    <row r="12" spans="1:4" ht="22.5" customHeight="1" x14ac:dyDescent="0.15">
      <c r="A12" s="16" t="s">
        <v>1103</v>
      </c>
      <c r="B12" s="12" t="s">
        <v>872</v>
      </c>
      <c r="C12" s="13" t="s">
        <v>30</v>
      </c>
      <c r="D12" s="40">
        <v>1</v>
      </c>
    </row>
    <row r="13" spans="1:4" ht="22.5" customHeight="1" x14ac:dyDescent="0.15">
      <c r="A13" s="16" t="s">
        <v>1103</v>
      </c>
      <c r="B13" s="12" t="s">
        <v>873</v>
      </c>
      <c r="C13" s="13" t="s">
        <v>23</v>
      </c>
      <c r="D13" s="40">
        <v>1</v>
      </c>
    </row>
    <row r="14" spans="1:4" ht="22.5" customHeight="1" x14ac:dyDescent="0.15">
      <c r="A14" s="16" t="s">
        <v>399</v>
      </c>
      <c r="B14" s="12" t="s">
        <v>877</v>
      </c>
      <c r="C14" s="13" t="s">
        <v>30</v>
      </c>
      <c r="D14" s="40">
        <v>1</v>
      </c>
    </row>
    <row r="15" spans="1:4" ht="22.5" customHeight="1" x14ac:dyDescent="0.15">
      <c r="A15" s="16" t="s">
        <v>399</v>
      </c>
      <c r="B15" s="12" t="s">
        <v>878</v>
      </c>
      <c r="C15" s="13" t="s">
        <v>30</v>
      </c>
      <c r="D15" s="40">
        <v>1</v>
      </c>
    </row>
    <row r="16" spans="1:4" ht="22.5" customHeight="1" x14ac:dyDescent="0.15">
      <c r="A16" s="16" t="s">
        <v>399</v>
      </c>
      <c r="B16" s="12" t="s">
        <v>879</v>
      </c>
      <c r="C16" s="13" t="s">
        <v>30</v>
      </c>
      <c r="D16" s="40">
        <v>1</v>
      </c>
    </row>
    <row r="17" spans="1:4" ht="22.5" customHeight="1" x14ac:dyDescent="0.15">
      <c r="A17" s="16" t="s">
        <v>399</v>
      </c>
      <c r="B17" s="12" t="s">
        <v>880</v>
      </c>
      <c r="C17" s="13" t="s">
        <v>30</v>
      </c>
      <c r="D17" s="40">
        <v>1</v>
      </c>
    </row>
    <row r="18" spans="1:4" ht="22.5" customHeight="1" x14ac:dyDescent="0.15">
      <c r="A18" s="16" t="s">
        <v>399</v>
      </c>
      <c r="B18" s="12" t="s">
        <v>881</v>
      </c>
      <c r="C18" s="13" t="s">
        <v>30</v>
      </c>
      <c r="D18" s="40">
        <v>1</v>
      </c>
    </row>
    <row r="19" spans="1:4" ht="22.5" customHeight="1" x14ac:dyDescent="0.15">
      <c r="A19" s="16" t="s">
        <v>399</v>
      </c>
      <c r="B19" s="12" t="s">
        <v>882</v>
      </c>
      <c r="C19" s="13" t="s">
        <v>30</v>
      </c>
      <c r="D19" s="40">
        <v>1</v>
      </c>
    </row>
    <row r="20" spans="1:4" ht="22.5" customHeight="1" x14ac:dyDescent="0.15">
      <c r="A20" s="16" t="s">
        <v>399</v>
      </c>
      <c r="B20" s="12" t="s">
        <v>883</v>
      </c>
      <c r="C20" s="13" t="s">
        <v>30</v>
      </c>
      <c r="D20" s="40">
        <v>1</v>
      </c>
    </row>
    <row r="21" spans="1:4" ht="22.5" customHeight="1" x14ac:dyDescent="0.15">
      <c r="A21" s="16" t="s">
        <v>399</v>
      </c>
      <c r="B21" s="12" t="s">
        <v>884</v>
      </c>
      <c r="C21" s="13" t="s">
        <v>88</v>
      </c>
      <c r="D21" s="40">
        <v>1</v>
      </c>
    </row>
    <row r="22" spans="1:4" ht="22.5" customHeight="1" x14ac:dyDescent="0.15">
      <c r="A22" s="16" t="s">
        <v>401</v>
      </c>
      <c r="B22" s="12" t="s">
        <v>1104</v>
      </c>
      <c r="C22" s="13" t="s">
        <v>136</v>
      </c>
      <c r="D22" s="40">
        <v>0</v>
      </c>
    </row>
    <row r="23" spans="1:4" ht="22.5" customHeight="1" x14ac:dyDescent="0.15">
      <c r="A23" s="16" t="s">
        <v>401</v>
      </c>
      <c r="B23" s="12" t="s">
        <v>1105</v>
      </c>
      <c r="C23" s="13" t="s">
        <v>30</v>
      </c>
      <c r="D23" s="40">
        <v>0</v>
      </c>
    </row>
    <row r="24" spans="1:4" ht="22.5" customHeight="1" x14ac:dyDescent="0.15">
      <c r="A24" s="16" t="s">
        <v>401</v>
      </c>
      <c r="B24" s="12" t="s">
        <v>1106</v>
      </c>
      <c r="C24" s="13" t="s">
        <v>30</v>
      </c>
      <c r="D24" s="40">
        <v>0</v>
      </c>
    </row>
    <row r="25" spans="1:4" ht="22.5" customHeight="1" x14ac:dyDescent="0.15">
      <c r="A25" s="16" t="s">
        <v>401</v>
      </c>
      <c r="B25" s="12" t="s">
        <v>1107</v>
      </c>
      <c r="C25" s="13" t="s">
        <v>30</v>
      </c>
      <c r="D25" s="40">
        <v>0</v>
      </c>
    </row>
    <row r="26" spans="1:4" ht="22.5" customHeight="1" x14ac:dyDescent="0.15">
      <c r="A26" s="16" t="s">
        <v>94</v>
      </c>
      <c r="B26" s="12" t="s">
        <v>1108</v>
      </c>
      <c r="C26" s="13" t="s">
        <v>18</v>
      </c>
      <c r="D26" s="40">
        <v>0</v>
      </c>
    </row>
    <row r="27" spans="1:4" ht="22.5" customHeight="1" x14ac:dyDescent="0.15">
      <c r="A27" s="16" t="s">
        <v>94</v>
      </c>
      <c r="B27" s="12" t="s">
        <v>1109</v>
      </c>
      <c r="C27" s="13" t="s">
        <v>18</v>
      </c>
      <c r="D27" s="40">
        <v>0</v>
      </c>
    </row>
    <row r="28" spans="1:4" ht="22.5" customHeight="1" x14ac:dyDescent="0.15">
      <c r="A28" s="16" t="s">
        <v>94</v>
      </c>
      <c r="B28" s="12" t="s">
        <v>1110</v>
      </c>
      <c r="C28" s="13" t="s">
        <v>30</v>
      </c>
      <c r="D28" s="40">
        <v>0</v>
      </c>
    </row>
    <row r="29" spans="1:4" ht="22.5" customHeight="1" x14ac:dyDescent="0.15">
      <c r="A29" s="16" t="s">
        <v>94</v>
      </c>
      <c r="B29" s="12" t="s">
        <v>1111</v>
      </c>
      <c r="C29" s="13" t="s">
        <v>30</v>
      </c>
      <c r="D29" s="40">
        <v>0</v>
      </c>
    </row>
    <row r="30" spans="1:4" ht="22.5" customHeight="1" x14ac:dyDescent="0.15">
      <c r="A30" s="16" t="s">
        <v>94</v>
      </c>
      <c r="B30" s="12" t="s">
        <v>1112</v>
      </c>
      <c r="C30" s="13" t="s">
        <v>30</v>
      </c>
      <c r="D30" s="40">
        <v>0</v>
      </c>
    </row>
    <row r="31" spans="1:4" ht="22.5" customHeight="1" x14ac:dyDescent="0.15">
      <c r="A31" s="16" t="s">
        <v>94</v>
      </c>
      <c r="B31" s="12" t="s">
        <v>1113</v>
      </c>
      <c r="C31" s="13" t="s">
        <v>30</v>
      </c>
      <c r="D31" s="40">
        <v>0</v>
      </c>
    </row>
    <row r="32" spans="1:4" ht="22.5" customHeight="1" x14ac:dyDescent="0.15">
      <c r="A32" s="16" t="s">
        <v>94</v>
      </c>
      <c r="B32" s="12" t="s">
        <v>1114</v>
      </c>
      <c r="C32" s="13" t="s">
        <v>30</v>
      </c>
      <c r="D32" s="40">
        <v>0</v>
      </c>
    </row>
    <row r="33" spans="1:4" ht="22.5" customHeight="1" x14ac:dyDescent="0.15">
      <c r="A33" s="16" t="s">
        <v>94</v>
      </c>
      <c r="B33" s="12" t="s">
        <v>1115</v>
      </c>
      <c r="C33" s="13" t="s">
        <v>30</v>
      </c>
      <c r="D33" s="40">
        <v>0</v>
      </c>
    </row>
    <row r="34" spans="1:4" ht="22.5" customHeight="1" x14ac:dyDescent="0.15">
      <c r="A34" s="16" t="s">
        <v>94</v>
      </c>
      <c r="B34" s="12" t="s">
        <v>1116</v>
      </c>
      <c r="C34" s="13" t="s">
        <v>83</v>
      </c>
      <c r="D34" s="40">
        <v>0</v>
      </c>
    </row>
    <row r="35" spans="1:4" ht="22.5" customHeight="1" x14ac:dyDescent="0.15">
      <c r="A35" s="16" t="s">
        <v>94</v>
      </c>
      <c r="B35" s="12" t="s">
        <v>1117</v>
      </c>
      <c r="C35" s="13" t="s">
        <v>136</v>
      </c>
      <c r="D35" s="40">
        <v>0</v>
      </c>
    </row>
    <row r="36" spans="1:4" ht="22.5" customHeight="1" x14ac:dyDescent="0.15">
      <c r="A36" s="16" t="s">
        <v>1120</v>
      </c>
      <c r="B36" s="12" t="s">
        <v>1121</v>
      </c>
      <c r="C36" s="13" t="s">
        <v>18</v>
      </c>
      <c r="D36" s="40">
        <v>0</v>
      </c>
    </row>
    <row r="37" spans="1:4" ht="22.5" customHeight="1" x14ac:dyDescent="0.15">
      <c r="A37" s="16" t="s">
        <v>1120</v>
      </c>
      <c r="B37" s="12" t="s">
        <v>1122</v>
      </c>
      <c r="C37" s="13" t="s">
        <v>83</v>
      </c>
      <c r="D37" s="40">
        <v>0</v>
      </c>
    </row>
    <row r="38" spans="1:4" ht="22.5" customHeight="1" x14ac:dyDescent="0.15">
      <c r="A38" s="16" t="s">
        <v>1120</v>
      </c>
      <c r="B38" s="12" t="s">
        <v>1123</v>
      </c>
      <c r="C38" s="13" t="s">
        <v>23</v>
      </c>
      <c r="D38" s="40">
        <v>0</v>
      </c>
    </row>
    <row r="39" spans="1:4" ht="22.5" customHeight="1" x14ac:dyDescent="0.15">
      <c r="A39" s="16" t="s">
        <v>1120</v>
      </c>
      <c r="B39" s="12" t="s">
        <v>1124</v>
      </c>
      <c r="C39" s="13" t="s">
        <v>18</v>
      </c>
      <c r="D39" s="40">
        <v>0</v>
      </c>
    </row>
    <row r="40" spans="1:4" ht="22.5" customHeight="1" x14ac:dyDescent="0.15">
      <c r="A40" s="16" t="s">
        <v>1127</v>
      </c>
      <c r="B40" s="12" t="s">
        <v>1128</v>
      </c>
      <c r="C40" s="13" t="s">
        <v>30</v>
      </c>
      <c r="D40" s="40">
        <v>0</v>
      </c>
    </row>
    <row r="41" spans="1:4" ht="22.5" customHeight="1" x14ac:dyDescent="0.15">
      <c r="A41" s="16" t="s">
        <v>714</v>
      </c>
      <c r="B41" s="12" t="s">
        <v>1129</v>
      </c>
      <c r="C41" s="13" t="s">
        <v>12</v>
      </c>
      <c r="D41" s="40">
        <v>0</v>
      </c>
    </row>
    <row r="42" spans="1:4" ht="22.5" customHeight="1" x14ac:dyDescent="0.15">
      <c r="A42" s="16" t="s">
        <v>714</v>
      </c>
      <c r="B42" s="12" t="s">
        <v>1130</v>
      </c>
      <c r="C42" s="13" t="s">
        <v>136</v>
      </c>
      <c r="D42" s="40">
        <v>0</v>
      </c>
    </row>
    <row r="43" spans="1:4" ht="22.5" customHeight="1" x14ac:dyDescent="0.15">
      <c r="A43" s="16" t="s">
        <v>714</v>
      </c>
      <c r="B43" s="12" t="s">
        <v>1131</v>
      </c>
      <c r="C43" s="13" t="s">
        <v>136</v>
      </c>
      <c r="D43" s="40">
        <v>0</v>
      </c>
    </row>
    <row r="44" spans="1:4" ht="22.5" customHeight="1" x14ac:dyDescent="0.15">
      <c r="A44" s="16" t="s">
        <v>714</v>
      </c>
      <c r="B44" s="12" t="s">
        <v>1132</v>
      </c>
      <c r="C44" s="13" t="s">
        <v>83</v>
      </c>
      <c r="D44" s="40">
        <v>0</v>
      </c>
    </row>
    <row r="45" spans="1:4" ht="22.5" customHeight="1" x14ac:dyDescent="0.15">
      <c r="A45" s="16" t="s">
        <v>1135</v>
      </c>
      <c r="B45" s="12" t="s">
        <v>1136</v>
      </c>
      <c r="C45" s="13" t="s">
        <v>18</v>
      </c>
      <c r="D45" s="40">
        <v>0</v>
      </c>
    </row>
    <row r="46" spans="1:4" ht="22.5" customHeight="1" x14ac:dyDescent="0.15">
      <c r="A46" s="16" t="s">
        <v>1135</v>
      </c>
      <c r="B46" s="12" t="s">
        <v>1136</v>
      </c>
      <c r="C46" s="13" t="s">
        <v>18</v>
      </c>
      <c r="D46" s="40">
        <v>0</v>
      </c>
    </row>
    <row r="47" spans="1:4" ht="22.5" customHeight="1" x14ac:dyDescent="0.15">
      <c r="A47" s="16" t="s">
        <v>1135</v>
      </c>
      <c r="B47" s="12" t="s">
        <v>1136</v>
      </c>
      <c r="C47" s="13" t="s">
        <v>18</v>
      </c>
      <c r="D47" s="40">
        <v>0</v>
      </c>
    </row>
    <row r="48" spans="1:4" ht="22.5" customHeight="1" x14ac:dyDescent="0.15">
      <c r="A48" s="16" t="s">
        <v>1135</v>
      </c>
      <c r="B48" s="12" t="s">
        <v>1136</v>
      </c>
      <c r="C48" s="13" t="s">
        <v>18</v>
      </c>
      <c r="D48" s="40">
        <v>0</v>
      </c>
    </row>
    <row r="49" spans="1:4" ht="22.5" customHeight="1" x14ac:dyDescent="0.15">
      <c r="A49" s="16" t="s">
        <v>1135</v>
      </c>
      <c r="B49" s="12" t="s">
        <v>1137</v>
      </c>
      <c r="C49" s="13" t="s">
        <v>30</v>
      </c>
      <c r="D49" s="40">
        <v>0</v>
      </c>
    </row>
    <row r="50" spans="1:4" ht="22.5" customHeight="1" x14ac:dyDescent="0.15">
      <c r="A50" s="16" t="s">
        <v>1139</v>
      </c>
      <c r="B50" s="12" t="s">
        <v>1136</v>
      </c>
      <c r="C50" s="13" t="s">
        <v>18</v>
      </c>
      <c r="D50" s="40">
        <v>0</v>
      </c>
    </row>
    <row r="51" spans="1:4" ht="22.5" customHeight="1" x14ac:dyDescent="0.15">
      <c r="A51" s="16" t="s">
        <v>1139</v>
      </c>
      <c r="B51" s="12" t="s">
        <v>1136</v>
      </c>
      <c r="C51" s="13" t="s">
        <v>18</v>
      </c>
      <c r="D51" s="40">
        <v>0</v>
      </c>
    </row>
    <row r="52" spans="1:4" ht="22.5" customHeight="1" x14ac:dyDescent="0.15">
      <c r="A52" s="16" t="s">
        <v>1139</v>
      </c>
      <c r="B52" s="12" t="s">
        <v>1136</v>
      </c>
      <c r="C52" s="13" t="s">
        <v>18</v>
      </c>
      <c r="D52" s="40">
        <v>0</v>
      </c>
    </row>
    <row r="53" spans="1:4" ht="22.5" customHeight="1" x14ac:dyDescent="0.15">
      <c r="A53" s="16" t="s">
        <v>406</v>
      </c>
      <c r="B53" s="12" t="s">
        <v>1140</v>
      </c>
      <c r="C53" s="13" t="s">
        <v>115</v>
      </c>
      <c r="D53" s="40">
        <v>0</v>
      </c>
    </row>
    <row r="54" spans="1:4" ht="22.5" customHeight="1" x14ac:dyDescent="0.15">
      <c r="A54" s="16" t="s">
        <v>406</v>
      </c>
      <c r="B54" s="12" t="s">
        <v>1141</v>
      </c>
      <c r="C54" s="13" t="s">
        <v>30</v>
      </c>
      <c r="D54" s="40">
        <v>0</v>
      </c>
    </row>
    <row r="55" spans="1:4" ht="22.5" customHeight="1" x14ac:dyDescent="0.15">
      <c r="A55" s="16" t="s">
        <v>410</v>
      </c>
      <c r="B55" s="12" t="s">
        <v>1142</v>
      </c>
      <c r="C55" s="13" t="s">
        <v>30</v>
      </c>
      <c r="D55" s="40">
        <v>0</v>
      </c>
    </row>
    <row r="56" spans="1:4" ht="22.5" customHeight="1" x14ac:dyDescent="0.15">
      <c r="A56" s="16" t="s">
        <v>410</v>
      </c>
      <c r="B56" s="12" t="s">
        <v>1143</v>
      </c>
      <c r="C56" s="13" t="s">
        <v>30</v>
      </c>
      <c r="D56" s="40">
        <v>0</v>
      </c>
    </row>
    <row r="57" spans="1:4" ht="22.5" customHeight="1" x14ac:dyDescent="0.15">
      <c r="A57" s="16" t="s">
        <v>417</v>
      </c>
      <c r="B57" s="12" t="s">
        <v>1144</v>
      </c>
      <c r="C57" s="13" t="s">
        <v>18</v>
      </c>
      <c r="D57" s="40">
        <v>0</v>
      </c>
    </row>
    <row r="58" spans="1:4" ht="22.5" customHeight="1" x14ac:dyDescent="0.15">
      <c r="A58" s="16" t="s">
        <v>417</v>
      </c>
      <c r="B58" s="12" t="s">
        <v>1145</v>
      </c>
      <c r="C58" s="13" t="s">
        <v>12</v>
      </c>
      <c r="D58" s="40">
        <v>0</v>
      </c>
    </row>
    <row r="59" spans="1:4" ht="22.5" customHeight="1" x14ac:dyDescent="0.15">
      <c r="A59" s="16" t="s">
        <v>417</v>
      </c>
      <c r="B59" s="12" t="s">
        <v>1146</v>
      </c>
      <c r="C59" s="13" t="s">
        <v>77</v>
      </c>
      <c r="D59" s="40">
        <v>0</v>
      </c>
    </row>
    <row r="60" spans="1:4" ht="22.5" customHeight="1" x14ac:dyDescent="0.15">
      <c r="A60" s="16" t="s">
        <v>425</v>
      </c>
      <c r="B60" s="12" t="s">
        <v>1147</v>
      </c>
      <c r="C60" s="13" t="s">
        <v>88</v>
      </c>
      <c r="D60" s="40">
        <v>0</v>
      </c>
    </row>
    <row r="61" spans="1:4" ht="22.5" customHeight="1" x14ac:dyDescent="0.15">
      <c r="A61" s="16" t="s">
        <v>1150</v>
      </c>
      <c r="B61" s="12" t="s">
        <v>1151</v>
      </c>
      <c r="C61" s="13" t="s">
        <v>23</v>
      </c>
      <c r="D61" s="40">
        <v>0</v>
      </c>
    </row>
    <row r="62" spans="1:4" ht="22.5" customHeight="1" x14ac:dyDescent="0.15">
      <c r="A62" s="16" t="s">
        <v>429</v>
      </c>
      <c r="B62" s="12" t="s">
        <v>1152</v>
      </c>
      <c r="C62" s="13" t="s">
        <v>136</v>
      </c>
      <c r="D62" s="40">
        <v>0</v>
      </c>
    </row>
    <row r="63" spans="1:4" ht="22.5" customHeight="1" x14ac:dyDescent="0.15">
      <c r="A63" s="16" t="s">
        <v>429</v>
      </c>
      <c r="B63" s="12" t="s">
        <v>1153</v>
      </c>
      <c r="C63" s="13" t="s">
        <v>30</v>
      </c>
      <c r="D63" s="40">
        <v>0</v>
      </c>
    </row>
    <row r="64" spans="1:4" ht="22.5" customHeight="1" x14ac:dyDescent="0.15">
      <c r="A64" s="16" t="s">
        <v>434</v>
      </c>
      <c r="B64" s="12" t="s">
        <v>1154</v>
      </c>
      <c r="C64" s="13" t="s">
        <v>12</v>
      </c>
      <c r="D64" s="40">
        <v>0</v>
      </c>
    </row>
    <row r="65" spans="1:4" ht="22.5" customHeight="1" x14ac:dyDescent="0.15">
      <c r="A65" s="16" t="s">
        <v>1155</v>
      </c>
      <c r="B65" s="12" t="s">
        <v>935</v>
      </c>
      <c r="C65" s="13" t="s">
        <v>88</v>
      </c>
      <c r="D65" s="40">
        <v>1</v>
      </c>
    </row>
    <row r="66" spans="1:4" ht="22.5" customHeight="1" x14ac:dyDescent="0.15">
      <c r="A66" s="16" t="s">
        <v>1155</v>
      </c>
      <c r="B66" s="12" t="s">
        <v>936</v>
      </c>
      <c r="C66" s="13" t="s">
        <v>12</v>
      </c>
      <c r="D66" s="40">
        <v>1</v>
      </c>
    </row>
    <row r="67" spans="1:4" ht="22.5" customHeight="1" x14ac:dyDescent="0.15">
      <c r="A67" s="16" t="s">
        <v>1155</v>
      </c>
      <c r="B67" s="12" t="s">
        <v>937</v>
      </c>
      <c r="C67" s="13" t="s">
        <v>30</v>
      </c>
      <c r="D67" s="40">
        <v>1</v>
      </c>
    </row>
    <row r="68" spans="1:4" ht="22.5" customHeight="1" x14ac:dyDescent="0.15">
      <c r="A68" s="16" t="s">
        <v>1155</v>
      </c>
      <c r="B68" s="12" t="s">
        <v>938</v>
      </c>
      <c r="C68" s="13" t="s">
        <v>12</v>
      </c>
      <c r="D68" s="40">
        <v>1</v>
      </c>
    </row>
    <row r="69" spans="1:4" ht="22.5" customHeight="1" x14ac:dyDescent="0.15">
      <c r="A69" s="16" t="s">
        <v>1155</v>
      </c>
      <c r="B69" s="12" t="s">
        <v>939</v>
      </c>
      <c r="C69" s="13" t="s">
        <v>219</v>
      </c>
      <c r="D69" s="40">
        <v>1</v>
      </c>
    </row>
    <row r="70" spans="1:4" ht="22.5" customHeight="1" x14ac:dyDescent="0.15">
      <c r="A70" s="16" t="s">
        <v>1155</v>
      </c>
      <c r="B70" s="12" t="s">
        <v>940</v>
      </c>
      <c r="C70" s="13" t="s">
        <v>30</v>
      </c>
      <c r="D70" s="40">
        <v>1</v>
      </c>
    </row>
    <row r="71" spans="1:4" ht="22.5" customHeight="1" x14ac:dyDescent="0.15">
      <c r="A71" s="16" t="s">
        <v>45</v>
      </c>
      <c r="B71" s="12" t="s">
        <v>1156</v>
      </c>
      <c r="C71" s="13" t="s">
        <v>30</v>
      </c>
      <c r="D71" s="40">
        <v>0</v>
      </c>
    </row>
    <row r="72" spans="1:4" ht="22.5" customHeight="1" x14ac:dyDescent="0.15">
      <c r="A72" s="16" t="s">
        <v>45</v>
      </c>
      <c r="B72" s="12" t="s">
        <v>1157</v>
      </c>
      <c r="C72" s="13" t="s">
        <v>18</v>
      </c>
      <c r="D72" s="40">
        <v>0</v>
      </c>
    </row>
    <row r="73" spans="1:4" ht="22.5" customHeight="1" x14ac:dyDescent="0.15">
      <c r="A73" s="16" t="s">
        <v>45</v>
      </c>
      <c r="B73" s="12" t="s">
        <v>1158</v>
      </c>
      <c r="C73" s="13" t="s">
        <v>18</v>
      </c>
      <c r="D73" s="40">
        <v>0</v>
      </c>
    </row>
    <row r="74" spans="1:4" ht="22.5" customHeight="1" x14ac:dyDescent="0.15">
      <c r="A74" s="16" t="s">
        <v>1161</v>
      </c>
      <c r="B74" s="12" t="s">
        <v>1162</v>
      </c>
      <c r="C74" s="13" t="s">
        <v>18</v>
      </c>
      <c r="D74" s="40">
        <v>0</v>
      </c>
    </row>
    <row r="75" spans="1:4" ht="22.5" customHeight="1" x14ac:dyDescent="0.15">
      <c r="A75" s="16" t="s">
        <v>1165</v>
      </c>
      <c r="B75" s="12" t="s">
        <v>1166</v>
      </c>
      <c r="C75" s="13" t="s">
        <v>136</v>
      </c>
      <c r="D75" s="40">
        <v>0</v>
      </c>
    </row>
    <row r="76" spans="1:4" ht="22.5" customHeight="1" x14ac:dyDescent="0.15">
      <c r="A76" s="16" t="s">
        <v>1165</v>
      </c>
      <c r="B76" s="12" t="s">
        <v>1167</v>
      </c>
      <c r="C76" s="13" t="s">
        <v>88</v>
      </c>
      <c r="D76" s="40">
        <v>0</v>
      </c>
    </row>
    <row r="77" spans="1:4" ht="22.5" customHeight="1" x14ac:dyDescent="0.15">
      <c r="A77" s="16" t="s">
        <v>439</v>
      </c>
      <c r="B77" s="12" t="s">
        <v>1168</v>
      </c>
      <c r="C77" s="13" t="s">
        <v>219</v>
      </c>
      <c r="D77" s="40">
        <v>0</v>
      </c>
    </row>
    <row r="78" spans="1:4" ht="22.5" customHeight="1" x14ac:dyDescent="0.15">
      <c r="A78" s="16" t="s">
        <v>443</v>
      </c>
      <c r="B78" s="12" t="s">
        <v>1169</v>
      </c>
      <c r="C78" s="13" t="s">
        <v>18</v>
      </c>
      <c r="D78" s="40">
        <v>0</v>
      </c>
    </row>
    <row r="79" spans="1:4" ht="22.5" customHeight="1" x14ac:dyDescent="0.15">
      <c r="A79" s="16" t="s">
        <v>443</v>
      </c>
      <c r="B79" s="12" t="s">
        <v>1170</v>
      </c>
      <c r="C79" s="13" t="s">
        <v>18</v>
      </c>
      <c r="D79" s="40">
        <v>0</v>
      </c>
    </row>
    <row r="80" spans="1:4" ht="22.5" customHeight="1" x14ac:dyDescent="0.15">
      <c r="A80" s="16" t="s">
        <v>443</v>
      </c>
      <c r="B80" s="12" t="s">
        <v>1171</v>
      </c>
      <c r="C80" s="13" t="s">
        <v>18</v>
      </c>
      <c r="D80" s="40">
        <v>0</v>
      </c>
    </row>
    <row r="81" spans="1:4" ht="22.5" customHeight="1" x14ac:dyDescent="0.15">
      <c r="A81" s="16" t="s">
        <v>443</v>
      </c>
      <c r="B81" s="12" t="s">
        <v>1172</v>
      </c>
      <c r="C81" s="13" t="s">
        <v>18</v>
      </c>
      <c r="D81" s="40">
        <v>0</v>
      </c>
    </row>
    <row r="82" spans="1:4" ht="22.5" customHeight="1" x14ac:dyDescent="0.15">
      <c r="A82" s="16" t="s">
        <v>447</v>
      </c>
      <c r="B82" s="12" t="s">
        <v>1173</v>
      </c>
      <c r="C82" s="13" t="s">
        <v>30</v>
      </c>
      <c r="D82" s="40">
        <v>0</v>
      </c>
    </row>
    <row r="83" spans="1:4" ht="22.5" customHeight="1" x14ac:dyDescent="0.15">
      <c r="A83" s="16" t="s">
        <v>447</v>
      </c>
      <c r="B83" s="12" t="s">
        <v>1174</v>
      </c>
      <c r="C83" s="13" t="s">
        <v>30</v>
      </c>
      <c r="D83" s="40">
        <v>0</v>
      </c>
    </row>
    <row r="84" spans="1:4" ht="22.5" customHeight="1" x14ac:dyDescent="0.15">
      <c r="A84" s="16" t="s">
        <v>447</v>
      </c>
      <c r="B84" s="12" t="s">
        <v>1175</v>
      </c>
      <c r="C84" s="13" t="s">
        <v>30</v>
      </c>
      <c r="D84" s="40">
        <v>0</v>
      </c>
    </row>
    <row r="85" spans="1:4" ht="22.5" customHeight="1" x14ac:dyDescent="0.15">
      <c r="A85" s="16" t="s">
        <v>456</v>
      </c>
      <c r="B85" s="12" t="s">
        <v>1173</v>
      </c>
      <c r="C85" s="13" t="s">
        <v>30</v>
      </c>
      <c r="D85" s="40">
        <v>0</v>
      </c>
    </row>
    <row r="86" spans="1:4" ht="22.5" customHeight="1" x14ac:dyDescent="0.15">
      <c r="A86" s="16" t="s">
        <v>456</v>
      </c>
      <c r="B86" s="12" t="s">
        <v>1174</v>
      </c>
      <c r="C86" s="13" t="s">
        <v>30</v>
      </c>
      <c r="D86" s="40">
        <v>0</v>
      </c>
    </row>
    <row r="87" spans="1:4" ht="22.5" customHeight="1" x14ac:dyDescent="0.15">
      <c r="A87" s="16" t="s">
        <v>456</v>
      </c>
      <c r="B87" s="12" t="s">
        <v>1175</v>
      </c>
      <c r="C87" s="13" t="s">
        <v>30</v>
      </c>
      <c r="D87" s="40">
        <v>0</v>
      </c>
    </row>
    <row r="88" spans="1:4" ht="22.5" customHeight="1" x14ac:dyDescent="0.15">
      <c r="A88" s="16" t="s">
        <v>460</v>
      </c>
      <c r="B88" s="12" t="s">
        <v>1176</v>
      </c>
      <c r="C88" s="13" t="s">
        <v>136</v>
      </c>
      <c r="D88" s="40">
        <v>0</v>
      </c>
    </row>
    <row r="89" spans="1:4" ht="22.5" customHeight="1" x14ac:dyDescent="0.15">
      <c r="A89" s="16" t="s">
        <v>463</v>
      </c>
      <c r="B89" s="12" t="s">
        <v>1177</v>
      </c>
      <c r="C89" s="13" t="s">
        <v>83</v>
      </c>
      <c r="D89" s="40">
        <v>0</v>
      </c>
    </row>
    <row r="90" spans="1:4" ht="22.5" customHeight="1" x14ac:dyDescent="0.15">
      <c r="A90" s="16" t="s">
        <v>463</v>
      </c>
      <c r="B90" s="12" t="s">
        <v>959</v>
      </c>
      <c r="C90" s="13" t="s">
        <v>88</v>
      </c>
      <c r="D90" s="40">
        <v>1</v>
      </c>
    </row>
    <row r="91" spans="1:4" ht="22.5" customHeight="1" x14ac:dyDescent="0.15">
      <c r="A91" s="16" t="s">
        <v>473</v>
      </c>
      <c r="B91" s="12" t="s">
        <v>1178</v>
      </c>
      <c r="C91" s="13" t="s">
        <v>83</v>
      </c>
      <c r="D91" s="40">
        <v>0</v>
      </c>
    </row>
    <row r="92" spans="1:4" ht="22.5" customHeight="1" x14ac:dyDescent="0.15">
      <c r="A92" s="16" t="s">
        <v>1181</v>
      </c>
      <c r="B92" s="12" t="s">
        <v>1182</v>
      </c>
      <c r="C92" s="13" t="s">
        <v>88</v>
      </c>
      <c r="D92" s="40">
        <v>0</v>
      </c>
    </row>
    <row r="93" spans="1:4" ht="22.5" customHeight="1" x14ac:dyDescent="0.15">
      <c r="A93" s="16" t="s">
        <v>703</v>
      </c>
      <c r="B93" s="12" t="s">
        <v>1183</v>
      </c>
      <c r="C93" s="13" t="s">
        <v>136</v>
      </c>
      <c r="D93" s="40">
        <v>0</v>
      </c>
    </row>
    <row r="94" spans="1:4" ht="22.5" customHeight="1" x14ac:dyDescent="0.15">
      <c r="A94" s="16" t="s">
        <v>1185</v>
      </c>
      <c r="B94" s="12" t="s">
        <v>1186</v>
      </c>
      <c r="C94" s="13" t="s">
        <v>88</v>
      </c>
      <c r="D94" s="40">
        <v>0</v>
      </c>
    </row>
    <row r="95" spans="1:4" ht="22.5" customHeight="1" x14ac:dyDescent="0.15">
      <c r="A95" s="16" t="s">
        <v>1185</v>
      </c>
      <c r="B95" s="12" t="s">
        <v>1187</v>
      </c>
      <c r="C95" s="13" t="s">
        <v>88</v>
      </c>
      <c r="D95" s="40">
        <v>0</v>
      </c>
    </row>
    <row r="96" spans="1:4" ht="22.5" customHeight="1" x14ac:dyDescent="0.15">
      <c r="A96" s="16" t="s">
        <v>1185</v>
      </c>
      <c r="B96" s="12" t="s">
        <v>1188</v>
      </c>
      <c r="C96" s="13" t="s">
        <v>30</v>
      </c>
      <c r="D96" s="40">
        <v>0</v>
      </c>
    </row>
    <row r="97" spans="1:4" ht="22.5" customHeight="1" x14ac:dyDescent="0.15">
      <c r="A97" s="16" t="s">
        <v>1185</v>
      </c>
      <c r="B97" s="12" t="s">
        <v>1189</v>
      </c>
      <c r="C97" s="13" t="s">
        <v>30</v>
      </c>
      <c r="D97" s="40">
        <v>0</v>
      </c>
    </row>
    <row r="98" spans="1:4" ht="22.5" customHeight="1" x14ac:dyDescent="0.15">
      <c r="A98" s="16" t="s">
        <v>1191</v>
      </c>
      <c r="B98" s="12" t="s">
        <v>1192</v>
      </c>
      <c r="C98" s="13" t="s">
        <v>18</v>
      </c>
      <c r="D98" s="40">
        <v>0</v>
      </c>
    </row>
    <row r="99" spans="1:4" ht="22.5" customHeight="1" x14ac:dyDescent="0.15">
      <c r="A99" s="16" t="s">
        <v>1194</v>
      </c>
      <c r="B99" s="12" t="s">
        <v>1195</v>
      </c>
      <c r="C99" s="13" t="s">
        <v>18</v>
      </c>
      <c r="D99" s="40">
        <v>0</v>
      </c>
    </row>
    <row r="100" spans="1:4" ht="22.5" customHeight="1" x14ac:dyDescent="0.15">
      <c r="A100" s="16" t="s">
        <v>485</v>
      </c>
      <c r="B100" s="12" t="s">
        <v>1196</v>
      </c>
      <c r="C100" s="13" t="s">
        <v>30</v>
      </c>
      <c r="D100" s="40">
        <v>0</v>
      </c>
    </row>
    <row r="101" spans="1:4" ht="22.5" customHeight="1" x14ac:dyDescent="0.15">
      <c r="A101" s="16" t="s">
        <v>1199</v>
      </c>
      <c r="B101" s="12" t="s">
        <v>1200</v>
      </c>
      <c r="C101" s="13" t="s">
        <v>136</v>
      </c>
      <c r="D101" s="40">
        <v>0</v>
      </c>
    </row>
    <row r="102" spans="1:4" ht="22.5" customHeight="1" x14ac:dyDescent="0.15">
      <c r="A102" s="16" t="s">
        <v>1203</v>
      </c>
      <c r="B102" s="12" t="s">
        <v>1204</v>
      </c>
      <c r="C102" s="13" t="s">
        <v>83</v>
      </c>
      <c r="D102" s="40">
        <v>0</v>
      </c>
    </row>
    <row r="103" spans="1:4" ht="22.5" customHeight="1" x14ac:dyDescent="0.15">
      <c r="A103" s="16" t="s">
        <v>1207</v>
      </c>
      <c r="B103" s="12" t="s">
        <v>1208</v>
      </c>
      <c r="C103" s="13" t="s">
        <v>83</v>
      </c>
      <c r="D103" s="40">
        <v>0</v>
      </c>
    </row>
    <row r="104" spans="1:4" ht="22.5" customHeight="1" x14ac:dyDescent="0.15">
      <c r="A104" s="16" t="s">
        <v>1210</v>
      </c>
      <c r="B104" s="12" t="s">
        <v>1186</v>
      </c>
      <c r="C104" s="13" t="s">
        <v>88</v>
      </c>
      <c r="D104" s="40">
        <v>0</v>
      </c>
    </row>
    <row r="105" spans="1:4" ht="22.5" customHeight="1" x14ac:dyDescent="0.15">
      <c r="A105" s="16" t="s">
        <v>1211</v>
      </c>
      <c r="B105" s="12" t="s">
        <v>1212</v>
      </c>
      <c r="C105" s="13" t="s">
        <v>136</v>
      </c>
      <c r="D105" s="40">
        <v>0</v>
      </c>
    </row>
    <row r="106" spans="1:4" ht="22.5" customHeight="1" x14ac:dyDescent="0.15">
      <c r="A106" s="16" t="s">
        <v>1211</v>
      </c>
      <c r="B106" s="12" t="s">
        <v>1213</v>
      </c>
      <c r="C106" s="13" t="s">
        <v>18</v>
      </c>
      <c r="D106" s="40">
        <v>0</v>
      </c>
    </row>
    <row r="107" spans="1:4" ht="22.5" customHeight="1" x14ac:dyDescent="0.15">
      <c r="A107" s="16" t="s">
        <v>57</v>
      </c>
      <c r="B107" s="12" t="s">
        <v>1214</v>
      </c>
      <c r="C107" s="13" t="s">
        <v>136</v>
      </c>
      <c r="D107" s="40">
        <v>0</v>
      </c>
    </row>
    <row r="108" spans="1:4" ht="22.5" customHeight="1" x14ac:dyDescent="0.15">
      <c r="A108" s="16" t="s">
        <v>57</v>
      </c>
      <c r="B108" s="12" t="s">
        <v>1215</v>
      </c>
      <c r="C108" s="13" t="s">
        <v>88</v>
      </c>
      <c r="D108" s="40">
        <v>0</v>
      </c>
    </row>
    <row r="109" spans="1:4" ht="22.5" customHeight="1" x14ac:dyDescent="0.15">
      <c r="A109" s="16" t="s">
        <v>57</v>
      </c>
      <c r="B109" s="12" t="s">
        <v>1216</v>
      </c>
      <c r="C109" s="13" t="s">
        <v>136</v>
      </c>
      <c r="D109" s="40">
        <v>0</v>
      </c>
    </row>
    <row r="110" spans="1:4" ht="22.5" customHeight="1" x14ac:dyDescent="0.15">
      <c r="A110" s="16" t="s">
        <v>57</v>
      </c>
      <c r="B110" s="12" t="s">
        <v>1217</v>
      </c>
      <c r="C110" s="13" t="s">
        <v>12</v>
      </c>
      <c r="D110" s="40">
        <v>0</v>
      </c>
    </row>
    <row r="111" spans="1:4" ht="22.5" customHeight="1" x14ac:dyDescent="0.15">
      <c r="A111" s="16" t="s">
        <v>57</v>
      </c>
      <c r="B111" s="12" t="s">
        <v>1218</v>
      </c>
      <c r="C111" s="13" t="s">
        <v>88</v>
      </c>
      <c r="D111" s="40">
        <v>0</v>
      </c>
    </row>
    <row r="112" spans="1:4" ht="22.5" customHeight="1" x14ac:dyDescent="0.15">
      <c r="A112" s="16" t="s">
        <v>57</v>
      </c>
      <c r="B112" s="12" t="s">
        <v>1219</v>
      </c>
      <c r="C112" s="13" t="s">
        <v>18</v>
      </c>
      <c r="D112" s="40">
        <v>0</v>
      </c>
    </row>
    <row r="113" spans="1:4" ht="22.5" customHeight="1" x14ac:dyDescent="0.15">
      <c r="A113" s="16" t="s">
        <v>57</v>
      </c>
      <c r="B113" s="12" t="s">
        <v>1218</v>
      </c>
      <c r="C113" s="13" t="s">
        <v>88</v>
      </c>
      <c r="D113" s="40">
        <v>0</v>
      </c>
    </row>
    <row r="114" spans="1:4" ht="22.5" customHeight="1" x14ac:dyDescent="0.15">
      <c r="A114" s="16" t="s">
        <v>57</v>
      </c>
      <c r="B114" s="12" t="s">
        <v>1220</v>
      </c>
      <c r="C114" s="13" t="s">
        <v>18</v>
      </c>
      <c r="D114" s="40">
        <v>0</v>
      </c>
    </row>
    <row r="115" spans="1:4" ht="22.5" customHeight="1" x14ac:dyDescent="0.15">
      <c r="A115" s="16" t="s">
        <v>497</v>
      </c>
      <c r="B115" s="12" t="s">
        <v>1221</v>
      </c>
      <c r="C115" s="13" t="s">
        <v>88</v>
      </c>
      <c r="D115" s="40">
        <v>0</v>
      </c>
    </row>
    <row r="116" spans="1:4" ht="22.5" customHeight="1" x14ac:dyDescent="0.15">
      <c r="A116" s="16" t="s">
        <v>497</v>
      </c>
      <c r="B116" s="12" t="s">
        <v>1222</v>
      </c>
      <c r="C116" s="13" t="s">
        <v>88</v>
      </c>
      <c r="D116" s="40">
        <v>0</v>
      </c>
    </row>
    <row r="117" spans="1:4" ht="22.5" customHeight="1" x14ac:dyDescent="0.15">
      <c r="A117" s="16" t="s">
        <v>497</v>
      </c>
      <c r="B117" s="12" t="s">
        <v>1223</v>
      </c>
      <c r="C117" s="13" t="s">
        <v>88</v>
      </c>
      <c r="D117" s="40">
        <v>0</v>
      </c>
    </row>
    <row r="118" spans="1:4" ht="22.5" customHeight="1" x14ac:dyDescent="0.15">
      <c r="A118" s="16" t="s">
        <v>500</v>
      </c>
      <c r="B118" s="12" t="s">
        <v>1224</v>
      </c>
      <c r="C118" s="13" t="s">
        <v>136</v>
      </c>
      <c r="D118" s="40">
        <v>0</v>
      </c>
    </row>
    <row r="119" spans="1:4" ht="22.5" customHeight="1" x14ac:dyDescent="0.15">
      <c r="A119" s="16" t="s">
        <v>503</v>
      </c>
      <c r="B119" s="12" t="s">
        <v>1225</v>
      </c>
      <c r="C119" s="13" t="s">
        <v>342</v>
      </c>
      <c r="D119" s="40">
        <v>0</v>
      </c>
    </row>
    <row r="120" spans="1:4" ht="22.5" customHeight="1" x14ac:dyDescent="0.15">
      <c r="A120" s="16" t="s">
        <v>511</v>
      </c>
      <c r="B120" s="12" t="s">
        <v>1226</v>
      </c>
      <c r="C120" s="13" t="s">
        <v>18</v>
      </c>
      <c r="D120" s="40">
        <v>0</v>
      </c>
    </row>
    <row r="121" spans="1:4" ht="22.5" customHeight="1" x14ac:dyDescent="0.15">
      <c r="A121" s="16" t="s">
        <v>112</v>
      </c>
      <c r="B121" s="12" t="s">
        <v>783</v>
      </c>
      <c r="C121" s="13" t="s">
        <v>18</v>
      </c>
      <c r="D121" s="40">
        <v>2</v>
      </c>
    </row>
    <row r="122" spans="1:4" ht="22.5" customHeight="1" x14ac:dyDescent="0.15">
      <c r="A122" s="16" t="s">
        <v>1229</v>
      </c>
      <c r="B122" s="12" t="s">
        <v>1230</v>
      </c>
      <c r="C122" s="13" t="s">
        <v>18</v>
      </c>
      <c r="D122" s="40">
        <v>0</v>
      </c>
    </row>
    <row r="123" spans="1:4" ht="22.5" customHeight="1" x14ac:dyDescent="0.15">
      <c r="A123" s="16" t="s">
        <v>1229</v>
      </c>
      <c r="B123" s="12" t="s">
        <v>1231</v>
      </c>
      <c r="C123" s="13" t="s">
        <v>30</v>
      </c>
      <c r="D123" s="40">
        <v>0</v>
      </c>
    </row>
    <row r="124" spans="1:4" ht="22.5" customHeight="1" x14ac:dyDescent="0.15">
      <c r="A124" s="16" t="s">
        <v>617</v>
      </c>
      <c r="B124" s="12" t="s">
        <v>1232</v>
      </c>
      <c r="C124" s="13" t="s">
        <v>88</v>
      </c>
      <c r="D124" s="40">
        <v>0</v>
      </c>
    </row>
    <row r="125" spans="1:4" ht="22.5" customHeight="1" x14ac:dyDescent="0.15">
      <c r="A125" s="16" t="s">
        <v>1234</v>
      </c>
      <c r="B125" s="12" t="s">
        <v>1235</v>
      </c>
      <c r="C125" s="13" t="s">
        <v>88</v>
      </c>
      <c r="D125" s="40">
        <v>0</v>
      </c>
    </row>
    <row r="126" spans="1:4" ht="22.5" customHeight="1" x14ac:dyDescent="0.15">
      <c r="A126" s="16" t="s">
        <v>1234</v>
      </c>
      <c r="B126" s="12" t="s">
        <v>1236</v>
      </c>
      <c r="C126" s="13" t="s">
        <v>23</v>
      </c>
      <c r="D126" s="40">
        <v>0</v>
      </c>
    </row>
    <row r="127" spans="1:4" ht="22.5" customHeight="1" x14ac:dyDescent="0.15">
      <c r="A127" s="16" t="s">
        <v>523</v>
      </c>
      <c r="B127" s="12" t="s">
        <v>1237</v>
      </c>
      <c r="C127" s="13" t="s">
        <v>219</v>
      </c>
      <c r="D127" s="40">
        <v>0</v>
      </c>
    </row>
    <row r="128" spans="1:4" ht="22.5" customHeight="1" x14ac:dyDescent="0.15">
      <c r="A128" s="16" t="s">
        <v>523</v>
      </c>
      <c r="B128" s="12" t="s">
        <v>1238</v>
      </c>
      <c r="C128" s="13" t="s">
        <v>219</v>
      </c>
      <c r="D128" s="40">
        <v>0</v>
      </c>
    </row>
    <row r="129" spans="1:4" ht="22.5" customHeight="1" x14ac:dyDescent="0.15">
      <c r="A129" s="16" t="s">
        <v>523</v>
      </c>
      <c r="B129" s="12" t="s">
        <v>1239</v>
      </c>
      <c r="C129" s="13" t="s">
        <v>219</v>
      </c>
      <c r="D129" s="40">
        <v>0</v>
      </c>
    </row>
    <row r="130" spans="1:4" ht="22.5" customHeight="1" x14ac:dyDescent="0.15">
      <c r="A130" s="16" t="s">
        <v>523</v>
      </c>
      <c r="B130" s="12" t="s">
        <v>1240</v>
      </c>
      <c r="C130" s="13" t="s">
        <v>88</v>
      </c>
      <c r="D130" s="40">
        <v>0</v>
      </c>
    </row>
    <row r="131" spans="1:4" ht="22.5" customHeight="1" x14ac:dyDescent="0.15">
      <c r="A131" s="16" t="s">
        <v>1242</v>
      </c>
      <c r="B131" s="12" t="s">
        <v>1243</v>
      </c>
      <c r="C131" s="13" t="s">
        <v>18</v>
      </c>
      <c r="D131" s="40">
        <v>0</v>
      </c>
    </row>
    <row r="132" spans="1:4" ht="22.5" customHeight="1" x14ac:dyDescent="0.15">
      <c r="A132" s="16" t="s">
        <v>1242</v>
      </c>
      <c r="B132" s="12" t="s">
        <v>1244</v>
      </c>
      <c r="C132" s="13" t="s">
        <v>18</v>
      </c>
      <c r="D132" s="40">
        <v>0</v>
      </c>
    </row>
    <row r="133" spans="1:4" ht="22.5" customHeight="1" x14ac:dyDescent="0.15">
      <c r="A133" s="16" t="s">
        <v>1242</v>
      </c>
      <c r="B133" s="12" t="s">
        <v>1245</v>
      </c>
      <c r="C133" s="13" t="s">
        <v>18</v>
      </c>
      <c r="D133" s="40">
        <v>0</v>
      </c>
    </row>
    <row r="134" spans="1:4" ht="22.5" customHeight="1" x14ac:dyDescent="0.15">
      <c r="A134" s="16" t="s">
        <v>696</v>
      </c>
      <c r="B134" s="12" t="s">
        <v>1246</v>
      </c>
      <c r="C134" s="13" t="s">
        <v>18</v>
      </c>
      <c r="D134" s="40">
        <v>602</v>
      </c>
    </row>
    <row r="135" spans="1:4" ht="22.5" customHeight="1" x14ac:dyDescent="0.15">
      <c r="A135" s="16" t="s">
        <v>696</v>
      </c>
      <c r="B135" s="12" t="s">
        <v>1247</v>
      </c>
      <c r="C135" s="13" t="s">
        <v>136</v>
      </c>
      <c r="D135" s="40">
        <v>0</v>
      </c>
    </row>
    <row r="136" spans="1:4" ht="22.5" customHeight="1" x14ac:dyDescent="0.15">
      <c r="A136" s="16" t="s">
        <v>696</v>
      </c>
      <c r="B136" s="12" t="s">
        <v>1248</v>
      </c>
      <c r="C136" s="13" t="s">
        <v>12</v>
      </c>
      <c r="D136" s="40">
        <v>0</v>
      </c>
    </row>
    <row r="137" spans="1:4" ht="22.5" customHeight="1" x14ac:dyDescent="0.15">
      <c r="A137" s="16" t="s">
        <v>553</v>
      </c>
      <c r="B137" s="12" t="s">
        <v>1249</v>
      </c>
      <c r="C137" s="13" t="s">
        <v>30</v>
      </c>
      <c r="D137" s="40">
        <v>0</v>
      </c>
    </row>
    <row r="138" spans="1:4" ht="22.5" customHeight="1" x14ac:dyDescent="0.15">
      <c r="A138" s="16" t="s">
        <v>553</v>
      </c>
      <c r="B138" s="12" t="s">
        <v>1250</v>
      </c>
      <c r="C138" s="13" t="s">
        <v>30</v>
      </c>
      <c r="D138" s="40">
        <v>0</v>
      </c>
    </row>
    <row r="139" spans="1:4" ht="22.5" customHeight="1" x14ac:dyDescent="0.15">
      <c r="A139" s="16" t="s">
        <v>553</v>
      </c>
      <c r="B139" s="12" t="s">
        <v>1251</v>
      </c>
      <c r="C139" s="13" t="s">
        <v>30</v>
      </c>
      <c r="D139" s="40">
        <v>0</v>
      </c>
    </row>
    <row r="140" spans="1:4" ht="22.5" customHeight="1" x14ac:dyDescent="0.15">
      <c r="A140" s="16" t="s">
        <v>553</v>
      </c>
      <c r="B140" s="12" t="s">
        <v>1252</v>
      </c>
      <c r="C140" s="13" t="s">
        <v>30</v>
      </c>
      <c r="D140" s="40">
        <v>0</v>
      </c>
    </row>
    <row r="141" spans="1:4" ht="22.5" customHeight="1" x14ac:dyDescent="0.15">
      <c r="A141" s="16" t="s">
        <v>553</v>
      </c>
      <c r="B141" s="12" t="s">
        <v>1253</v>
      </c>
      <c r="C141" s="13" t="s">
        <v>30</v>
      </c>
      <c r="D141" s="40">
        <v>0</v>
      </c>
    </row>
    <row r="142" spans="1:4" ht="22.5" customHeight="1" x14ac:dyDescent="0.15">
      <c r="A142" s="16" t="s">
        <v>553</v>
      </c>
      <c r="B142" s="12" t="s">
        <v>1254</v>
      </c>
      <c r="C142" s="13" t="s">
        <v>30</v>
      </c>
      <c r="D142" s="40">
        <v>0</v>
      </c>
    </row>
    <row r="143" spans="1:4" ht="22.5" customHeight="1" x14ac:dyDescent="0.15">
      <c r="A143" s="16" t="s">
        <v>1255</v>
      </c>
      <c r="B143" s="12" t="s">
        <v>845</v>
      </c>
      <c r="C143" s="13" t="s">
        <v>18</v>
      </c>
      <c r="D143" s="40">
        <v>1</v>
      </c>
    </row>
    <row r="144" spans="1:4" ht="22.5" customHeight="1" x14ac:dyDescent="0.15">
      <c r="A144" s="16" t="s">
        <v>1255</v>
      </c>
      <c r="B144" s="12" t="s">
        <v>783</v>
      </c>
      <c r="C144" s="13" t="s">
        <v>18</v>
      </c>
      <c r="D144" s="40">
        <v>2</v>
      </c>
    </row>
    <row r="145" spans="1:4" ht="22.5" customHeight="1" x14ac:dyDescent="0.15">
      <c r="A145" s="16" t="s">
        <v>563</v>
      </c>
      <c r="B145" s="12" t="s">
        <v>874</v>
      </c>
      <c r="C145" s="13" t="s">
        <v>30</v>
      </c>
      <c r="D145" s="40">
        <v>1</v>
      </c>
    </row>
    <row r="146" spans="1:4" ht="22.5" customHeight="1" x14ac:dyDescent="0.15">
      <c r="A146" s="16" t="s">
        <v>1257</v>
      </c>
      <c r="B146" s="12" t="s">
        <v>1258</v>
      </c>
      <c r="C146" s="13" t="s">
        <v>12</v>
      </c>
      <c r="D146" s="40">
        <v>0</v>
      </c>
    </row>
    <row r="147" spans="1:4" ht="22.5" customHeight="1" x14ac:dyDescent="0.15">
      <c r="A147" s="16" t="s">
        <v>1257</v>
      </c>
      <c r="B147" s="12" t="s">
        <v>1259</v>
      </c>
      <c r="C147" s="13" t="s">
        <v>136</v>
      </c>
      <c r="D147" s="40">
        <v>0</v>
      </c>
    </row>
    <row r="148" spans="1:4" ht="22.5" customHeight="1" x14ac:dyDescent="0.15">
      <c r="A148" s="16" t="s">
        <v>1257</v>
      </c>
      <c r="B148" s="12" t="s">
        <v>1260</v>
      </c>
      <c r="C148" s="13" t="s">
        <v>136</v>
      </c>
      <c r="D148" s="40">
        <v>0</v>
      </c>
    </row>
    <row r="149" spans="1:4" ht="22.5" customHeight="1" x14ac:dyDescent="0.15">
      <c r="A149" s="16" t="s">
        <v>103</v>
      </c>
      <c r="B149" s="12" t="s">
        <v>1261</v>
      </c>
      <c r="C149" s="13" t="s">
        <v>23</v>
      </c>
      <c r="D149" s="40">
        <v>0</v>
      </c>
    </row>
    <row r="150" spans="1:4" ht="22.5" customHeight="1" x14ac:dyDescent="0.15">
      <c r="A150" s="16" t="s">
        <v>103</v>
      </c>
      <c r="B150" s="12" t="s">
        <v>1262</v>
      </c>
      <c r="C150" s="13" t="s">
        <v>136</v>
      </c>
      <c r="D150" s="40">
        <v>0</v>
      </c>
    </row>
    <row r="151" spans="1:4" ht="22.5" customHeight="1" x14ac:dyDescent="0.15">
      <c r="A151" s="16" t="s">
        <v>1265</v>
      </c>
      <c r="B151" s="12" t="s">
        <v>1266</v>
      </c>
      <c r="C151" s="13" t="s">
        <v>83</v>
      </c>
      <c r="D151" s="40">
        <v>0</v>
      </c>
    </row>
    <row r="152" spans="1:4" ht="22.5" customHeight="1" x14ac:dyDescent="0.15">
      <c r="A152" s="16" t="s">
        <v>1265</v>
      </c>
      <c r="B152" s="12" t="s">
        <v>1267</v>
      </c>
      <c r="C152" s="13" t="s">
        <v>83</v>
      </c>
      <c r="D152" s="40">
        <v>0</v>
      </c>
    </row>
    <row r="153" spans="1:4" ht="22.5" customHeight="1" x14ac:dyDescent="0.15">
      <c r="A153" s="16" t="s">
        <v>1265</v>
      </c>
      <c r="B153" s="12" t="s">
        <v>1268</v>
      </c>
      <c r="C153" s="13" t="s">
        <v>83</v>
      </c>
      <c r="D153" s="40">
        <v>0</v>
      </c>
    </row>
    <row r="154" spans="1:4" ht="22.5" customHeight="1" x14ac:dyDescent="0.15">
      <c r="A154" s="16" t="s">
        <v>1271</v>
      </c>
      <c r="B154" s="12" t="s">
        <v>1272</v>
      </c>
      <c r="C154" s="13" t="s">
        <v>18</v>
      </c>
      <c r="D154" s="40">
        <v>0</v>
      </c>
    </row>
    <row r="155" spans="1:4" ht="22.5" customHeight="1" x14ac:dyDescent="0.15">
      <c r="A155" s="16" t="s">
        <v>1271</v>
      </c>
      <c r="B155" s="12" t="s">
        <v>1273</v>
      </c>
      <c r="C155" s="13" t="s">
        <v>18</v>
      </c>
      <c r="D155" s="40">
        <v>0</v>
      </c>
    </row>
    <row r="156" spans="1:4" ht="22.5" customHeight="1" x14ac:dyDescent="0.15">
      <c r="A156" s="16" t="s">
        <v>1271</v>
      </c>
      <c r="B156" s="12" t="s">
        <v>1274</v>
      </c>
      <c r="C156" s="13" t="s">
        <v>23</v>
      </c>
      <c r="D156" s="40">
        <v>0</v>
      </c>
    </row>
    <row r="157" spans="1:4" ht="22.5" customHeight="1" x14ac:dyDescent="0.15">
      <c r="A157" s="16" t="s">
        <v>572</v>
      </c>
      <c r="B157" s="12" t="s">
        <v>1275</v>
      </c>
      <c r="C157" s="13" t="s">
        <v>115</v>
      </c>
      <c r="D157" s="40">
        <v>0</v>
      </c>
    </row>
    <row r="158" spans="1:4" ht="22.5" customHeight="1" x14ac:dyDescent="0.15">
      <c r="A158" s="16" t="s">
        <v>572</v>
      </c>
      <c r="B158" s="12" t="s">
        <v>1276</v>
      </c>
      <c r="C158" s="13" t="s">
        <v>30</v>
      </c>
      <c r="D158" s="40">
        <v>0</v>
      </c>
    </row>
    <row r="159" spans="1:4" ht="22.5" customHeight="1" x14ac:dyDescent="0.15">
      <c r="A159" s="16" t="s">
        <v>572</v>
      </c>
      <c r="B159" s="12" t="s">
        <v>1277</v>
      </c>
      <c r="C159" s="13" t="s">
        <v>83</v>
      </c>
      <c r="D159" s="40">
        <v>0</v>
      </c>
    </row>
    <row r="160" spans="1:4" ht="22.5" customHeight="1" x14ac:dyDescent="0.15">
      <c r="A160" s="16" t="s">
        <v>572</v>
      </c>
      <c r="B160" s="12" t="s">
        <v>1278</v>
      </c>
      <c r="C160" s="13" t="s">
        <v>83</v>
      </c>
      <c r="D160" s="40">
        <v>0</v>
      </c>
    </row>
    <row r="161" spans="1:4" ht="22.5" customHeight="1" x14ac:dyDescent="0.15">
      <c r="A161" s="16" t="s">
        <v>572</v>
      </c>
      <c r="B161" s="12" t="s">
        <v>1279</v>
      </c>
      <c r="C161" s="13" t="s">
        <v>83</v>
      </c>
      <c r="D161" s="40">
        <v>0</v>
      </c>
    </row>
    <row r="162" spans="1:4" ht="22.5" customHeight="1" x14ac:dyDescent="0.15">
      <c r="A162" s="16" t="s">
        <v>572</v>
      </c>
      <c r="B162" s="12" t="s">
        <v>1277</v>
      </c>
      <c r="C162" s="13" t="s">
        <v>83</v>
      </c>
      <c r="D162" s="40">
        <v>0</v>
      </c>
    </row>
    <row r="163" spans="1:4" ht="22.5" customHeight="1" x14ac:dyDescent="0.15">
      <c r="A163" s="16" t="s">
        <v>572</v>
      </c>
      <c r="B163" s="12" t="s">
        <v>1280</v>
      </c>
      <c r="C163" s="13" t="s">
        <v>30</v>
      </c>
      <c r="D163" s="40">
        <v>0</v>
      </c>
    </row>
    <row r="164" spans="1:4" ht="22.5" customHeight="1" x14ac:dyDescent="0.15">
      <c r="A164" s="16" t="s">
        <v>577</v>
      </c>
      <c r="B164" s="12" t="s">
        <v>1281</v>
      </c>
      <c r="C164" s="13" t="s">
        <v>23</v>
      </c>
      <c r="D164" s="40">
        <v>0</v>
      </c>
    </row>
    <row r="165" spans="1:4" ht="22.5" customHeight="1" x14ac:dyDescent="0.15">
      <c r="A165" s="16" t="s">
        <v>577</v>
      </c>
      <c r="B165" s="12" t="s">
        <v>1282</v>
      </c>
      <c r="C165" s="13" t="s">
        <v>18</v>
      </c>
      <c r="D165" s="40">
        <v>0</v>
      </c>
    </row>
    <row r="166" spans="1:4" ht="22.5" customHeight="1" x14ac:dyDescent="0.15">
      <c r="A166" s="16" t="s">
        <v>577</v>
      </c>
      <c r="B166" s="12" t="s">
        <v>1283</v>
      </c>
      <c r="C166" s="13" t="s">
        <v>18</v>
      </c>
      <c r="D166" s="40">
        <v>0</v>
      </c>
    </row>
    <row r="167" spans="1:4" ht="22.5" customHeight="1" x14ac:dyDescent="0.15">
      <c r="A167" s="16" t="s">
        <v>577</v>
      </c>
      <c r="B167" s="12" t="s">
        <v>1284</v>
      </c>
      <c r="C167" s="13" t="s">
        <v>18</v>
      </c>
      <c r="D167" s="40">
        <v>0</v>
      </c>
    </row>
    <row r="168" spans="1:4" ht="22.5" customHeight="1" x14ac:dyDescent="0.15">
      <c r="A168" s="16" t="s">
        <v>577</v>
      </c>
      <c r="B168" s="12" t="s">
        <v>1285</v>
      </c>
      <c r="C168" s="13" t="s">
        <v>18</v>
      </c>
      <c r="D168" s="40">
        <v>0</v>
      </c>
    </row>
    <row r="169" spans="1:4" ht="22.5" customHeight="1" x14ac:dyDescent="0.15">
      <c r="A169" s="16" t="s">
        <v>577</v>
      </c>
      <c r="B169" s="12" t="s">
        <v>1286</v>
      </c>
      <c r="C169" s="13" t="s">
        <v>18</v>
      </c>
      <c r="D169" s="40">
        <v>0</v>
      </c>
    </row>
    <row r="170" spans="1:4" ht="22.5" customHeight="1" x14ac:dyDescent="0.15">
      <c r="A170" s="16" t="s">
        <v>577</v>
      </c>
      <c r="B170" s="12" t="s">
        <v>1287</v>
      </c>
      <c r="C170" s="13" t="s">
        <v>18</v>
      </c>
      <c r="D170" s="40">
        <v>0</v>
      </c>
    </row>
    <row r="171" spans="1:4" ht="22.5" customHeight="1" x14ac:dyDescent="0.15">
      <c r="A171" s="16" t="s">
        <v>577</v>
      </c>
      <c r="B171" s="12" t="s">
        <v>1288</v>
      </c>
      <c r="C171" s="13" t="s">
        <v>18</v>
      </c>
      <c r="D171" s="40">
        <v>0</v>
      </c>
    </row>
    <row r="172" spans="1:4" ht="22.5" customHeight="1" x14ac:dyDescent="0.15">
      <c r="A172" s="16" t="s">
        <v>577</v>
      </c>
      <c r="B172" s="12" t="s">
        <v>1289</v>
      </c>
      <c r="C172" s="13" t="s">
        <v>18</v>
      </c>
      <c r="D172" s="40">
        <v>0</v>
      </c>
    </row>
    <row r="173" spans="1:4" ht="22.5" customHeight="1" x14ac:dyDescent="0.15">
      <c r="A173" s="16" t="s">
        <v>577</v>
      </c>
      <c r="B173" s="12" t="s">
        <v>1290</v>
      </c>
      <c r="C173" s="13" t="s">
        <v>18</v>
      </c>
      <c r="D173" s="40">
        <v>0</v>
      </c>
    </row>
    <row r="174" spans="1:4" ht="22.5" customHeight="1" x14ac:dyDescent="0.15">
      <c r="A174" s="16" t="s">
        <v>577</v>
      </c>
      <c r="B174" s="12" t="s">
        <v>1291</v>
      </c>
      <c r="C174" s="13" t="s">
        <v>18</v>
      </c>
      <c r="D174" s="40">
        <v>0</v>
      </c>
    </row>
    <row r="175" spans="1:4" ht="22.5" customHeight="1" x14ac:dyDescent="0.15">
      <c r="A175" s="16" t="s">
        <v>577</v>
      </c>
      <c r="B175" s="12" t="s">
        <v>1292</v>
      </c>
      <c r="C175" s="13" t="s">
        <v>12</v>
      </c>
      <c r="D175" s="40">
        <v>0</v>
      </c>
    </row>
    <row r="176" spans="1:4" ht="22.5" customHeight="1" x14ac:dyDescent="0.15">
      <c r="A176" s="16" t="s">
        <v>577</v>
      </c>
      <c r="B176" s="12" t="s">
        <v>1293</v>
      </c>
      <c r="C176" s="13" t="s">
        <v>18</v>
      </c>
      <c r="D176" s="40">
        <v>0</v>
      </c>
    </row>
    <row r="177" spans="1:4" ht="22.5" customHeight="1" x14ac:dyDescent="0.15">
      <c r="A177" s="16" t="s">
        <v>577</v>
      </c>
      <c r="B177" s="12" t="s">
        <v>1294</v>
      </c>
      <c r="C177" s="13" t="s">
        <v>23</v>
      </c>
      <c r="D177" s="40">
        <v>0</v>
      </c>
    </row>
    <row r="178" spans="1:4" ht="22.5" customHeight="1" x14ac:dyDescent="0.15">
      <c r="A178" s="16" t="s">
        <v>577</v>
      </c>
      <c r="B178" s="12" t="s">
        <v>1295</v>
      </c>
      <c r="C178" s="13" t="s">
        <v>23</v>
      </c>
      <c r="D178" s="40">
        <v>0</v>
      </c>
    </row>
    <row r="179" spans="1:4" ht="22.5" customHeight="1" x14ac:dyDescent="0.15">
      <c r="A179" s="16" t="s">
        <v>577</v>
      </c>
      <c r="B179" s="12" t="s">
        <v>1296</v>
      </c>
      <c r="C179" s="13" t="s">
        <v>18</v>
      </c>
      <c r="D179" s="40">
        <v>0</v>
      </c>
    </row>
    <row r="180" spans="1:4" ht="22.5" customHeight="1" x14ac:dyDescent="0.15">
      <c r="A180" s="16" t="s">
        <v>577</v>
      </c>
      <c r="B180" s="12" t="s">
        <v>1297</v>
      </c>
      <c r="C180" s="13" t="s">
        <v>136</v>
      </c>
      <c r="D180" s="40">
        <v>0</v>
      </c>
    </row>
    <row r="181" spans="1:4" ht="22.5" customHeight="1" x14ac:dyDescent="0.15">
      <c r="A181" s="16" t="s">
        <v>1300</v>
      </c>
      <c r="B181" s="12" t="s">
        <v>1301</v>
      </c>
      <c r="C181" s="13" t="s">
        <v>18</v>
      </c>
      <c r="D181" s="40">
        <v>0</v>
      </c>
    </row>
    <row r="182" spans="1:4" ht="22.5" customHeight="1" x14ac:dyDescent="0.15">
      <c r="A182" s="16" t="s">
        <v>1300</v>
      </c>
      <c r="B182" s="12" t="s">
        <v>1302</v>
      </c>
      <c r="C182" s="13" t="s">
        <v>136</v>
      </c>
      <c r="D182" s="40">
        <v>0</v>
      </c>
    </row>
    <row r="183" spans="1:4" ht="22.5" customHeight="1" x14ac:dyDescent="0.15">
      <c r="A183" s="16" t="s">
        <v>1300</v>
      </c>
      <c r="B183" s="12" t="s">
        <v>1303</v>
      </c>
      <c r="C183" s="13" t="s">
        <v>18</v>
      </c>
      <c r="D183" s="40">
        <v>0</v>
      </c>
    </row>
    <row r="184" spans="1:4" ht="22.5" customHeight="1" x14ac:dyDescent="0.15">
      <c r="A184" s="16" t="s">
        <v>1300</v>
      </c>
      <c r="B184" s="12" t="s">
        <v>1304</v>
      </c>
      <c r="C184" s="13" t="s">
        <v>136</v>
      </c>
      <c r="D184" s="40">
        <v>0</v>
      </c>
    </row>
    <row r="185" spans="1:4" ht="22.5" customHeight="1" x14ac:dyDescent="0.15">
      <c r="A185" s="16" t="s">
        <v>1300</v>
      </c>
      <c r="B185" s="12" t="s">
        <v>1305</v>
      </c>
      <c r="C185" s="13" t="s">
        <v>23</v>
      </c>
      <c r="D185" s="40">
        <v>0</v>
      </c>
    </row>
    <row r="186" spans="1:4" ht="22.5" customHeight="1" x14ac:dyDescent="0.15">
      <c r="A186" s="16" t="s">
        <v>1300</v>
      </c>
      <c r="B186" s="12" t="s">
        <v>1306</v>
      </c>
      <c r="C186" s="13" t="s">
        <v>77</v>
      </c>
      <c r="D186" s="40">
        <v>0</v>
      </c>
    </row>
    <row r="187" spans="1:4" ht="22.5" customHeight="1" x14ac:dyDescent="0.15">
      <c r="A187" s="16" t="s">
        <v>65</v>
      </c>
      <c r="B187" s="12" t="s">
        <v>1307</v>
      </c>
      <c r="C187" s="13" t="s">
        <v>77</v>
      </c>
      <c r="D187" s="40">
        <v>0</v>
      </c>
    </row>
    <row r="188" spans="1:4" ht="22.5" customHeight="1" x14ac:dyDescent="0.15">
      <c r="A188" s="16" t="s">
        <v>594</v>
      </c>
      <c r="B188" s="12" t="s">
        <v>1308</v>
      </c>
      <c r="C188" s="13" t="s">
        <v>115</v>
      </c>
      <c r="D188" s="40">
        <v>0</v>
      </c>
    </row>
    <row r="189" spans="1:4" ht="22.5" customHeight="1" x14ac:dyDescent="0.15">
      <c r="A189" s="16" t="s">
        <v>594</v>
      </c>
      <c r="B189" s="12" t="s">
        <v>1309</v>
      </c>
      <c r="C189" s="13" t="s">
        <v>88</v>
      </c>
      <c r="D189" s="40">
        <v>0</v>
      </c>
    </row>
    <row r="190" spans="1:4" ht="22.5" customHeight="1" x14ac:dyDescent="0.15">
      <c r="A190" s="16" t="s">
        <v>594</v>
      </c>
      <c r="B190" s="12" t="s">
        <v>1310</v>
      </c>
      <c r="C190" s="13" t="s">
        <v>88</v>
      </c>
      <c r="D190" s="40">
        <v>0</v>
      </c>
    </row>
    <row r="191" spans="1:4" ht="22.5" customHeight="1" x14ac:dyDescent="0.15">
      <c r="A191" s="16" t="s">
        <v>175</v>
      </c>
      <c r="B191" s="12" t="s">
        <v>1311</v>
      </c>
      <c r="C191" s="13" t="s">
        <v>30</v>
      </c>
      <c r="D191" s="40">
        <v>0</v>
      </c>
    </row>
    <row r="192" spans="1:4" ht="22.5" customHeight="1" x14ac:dyDescent="0.15">
      <c r="A192" s="16" t="s">
        <v>351</v>
      </c>
      <c r="B192" s="12" t="s">
        <v>1313</v>
      </c>
      <c r="C192" s="13" t="s">
        <v>30</v>
      </c>
      <c r="D192" s="40">
        <v>0</v>
      </c>
    </row>
    <row r="193" spans="1:4" ht="22.5" customHeight="1" x14ac:dyDescent="0.15">
      <c r="A193" s="16" t="s">
        <v>500</v>
      </c>
      <c r="B193" s="12" t="s">
        <v>1315</v>
      </c>
      <c r="C193" s="13" t="s">
        <v>12</v>
      </c>
      <c r="D193" s="40">
        <v>0</v>
      </c>
    </row>
    <row r="194" spans="1:4" ht="22.5" customHeight="1" x14ac:dyDescent="0.15">
      <c r="A194" s="16" t="s">
        <v>1265</v>
      </c>
      <c r="B194" s="12" t="s">
        <v>1316</v>
      </c>
      <c r="C194" s="13" t="s">
        <v>115</v>
      </c>
      <c r="D194" s="40">
        <v>0</v>
      </c>
    </row>
    <row r="195" spans="1:4" ht="22.5" customHeight="1" x14ac:dyDescent="0.15">
      <c r="A195" s="16" t="s">
        <v>142</v>
      </c>
      <c r="B195" s="12" t="s">
        <v>1317</v>
      </c>
      <c r="C195" s="13" t="s">
        <v>30</v>
      </c>
      <c r="D195" s="40">
        <v>0</v>
      </c>
    </row>
    <row r="196" spans="1:4" ht="22.5" customHeight="1" x14ac:dyDescent="0.15">
      <c r="A196" s="16" t="s">
        <v>256</v>
      </c>
      <c r="B196" s="12" t="s">
        <v>1319</v>
      </c>
      <c r="C196" s="13" t="s">
        <v>136</v>
      </c>
      <c r="D196" s="40">
        <v>0</v>
      </c>
    </row>
    <row r="197" spans="1:4" ht="22.5" customHeight="1" x14ac:dyDescent="0.15">
      <c r="A197" s="16" t="s">
        <v>160</v>
      </c>
      <c r="B197" s="12" t="s">
        <v>1321</v>
      </c>
      <c r="C197" s="13" t="s">
        <v>18</v>
      </c>
      <c r="D197" s="40">
        <v>0</v>
      </c>
    </row>
    <row r="198" spans="1:4" ht="22.5" customHeight="1" x14ac:dyDescent="0.15">
      <c r="A198" s="16" t="s">
        <v>166</v>
      </c>
      <c r="B198" s="12" t="s">
        <v>1322</v>
      </c>
      <c r="C198" s="13" t="s">
        <v>30</v>
      </c>
      <c r="D198" s="40">
        <v>0</v>
      </c>
    </row>
    <row r="199" spans="1:4" ht="22.5" customHeight="1" x14ac:dyDescent="0.15">
      <c r="A199" s="16" t="s">
        <v>1013</v>
      </c>
      <c r="B199" s="12" t="s">
        <v>1323</v>
      </c>
      <c r="C199" s="13" t="s">
        <v>18</v>
      </c>
      <c r="D199" s="40">
        <v>0</v>
      </c>
    </row>
    <row r="200" spans="1:4" ht="22.5" customHeight="1" x14ac:dyDescent="0.15">
      <c r="A200" s="16" t="s">
        <v>94</v>
      </c>
      <c r="B200" s="12" t="s">
        <v>1324</v>
      </c>
      <c r="C200" s="13" t="s">
        <v>83</v>
      </c>
      <c r="D200" s="40">
        <v>0</v>
      </c>
    </row>
    <row r="201" spans="1:4" ht="22.5" customHeight="1" x14ac:dyDescent="0.15">
      <c r="A201" s="16" t="s">
        <v>497</v>
      </c>
      <c r="B201" s="12" t="s">
        <v>1325</v>
      </c>
      <c r="C201" s="13" t="s">
        <v>88</v>
      </c>
      <c r="D201" s="40">
        <v>0</v>
      </c>
    </row>
    <row r="202" spans="1:4" ht="22.5" customHeight="1" x14ac:dyDescent="0.15">
      <c r="A202" s="16" t="s">
        <v>621</v>
      </c>
      <c r="B202" s="12" t="s">
        <v>1326</v>
      </c>
      <c r="C202" s="13" t="s">
        <v>30</v>
      </c>
      <c r="D202" s="40">
        <v>0</v>
      </c>
    </row>
    <row r="203" spans="1:4" ht="22.5" customHeight="1" x14ac:dyDescent="0.15">
      <c r="A203" s="16" t="s">
        <v>142</v>
      </c>
      <c r="B203" s="12" t="s">
        <v>1327</v>
      </c>
      <c r="C203" s="13" t="s">
        <v>88</v>
      </c>
      <c r="D203" s="40">
        <v>0</v>
      </c>
    </row>
    <row r="204" spans="1:4" ht="22.5" customHeight="1" x14ac:dyDescent="0.15">
      <c r="A204" s="16" t="s">
        <v>654</v>
      </c>
      <c r="B204" s="12" t="s">
        <v>1328</v>
      </c>
      <c r="C204" s="13" t="s">
        <v>115</v>
      </c>
      <c r="D204" s="40">
        <v>0</v>
      </c>
    </row>
    <row r="205" spans="1:4" ht="22.5" customHeight="1" x14ac:dyDescent="0.15">
      <c r="A205" s="16" t="s">
        <v>166</v>
      </c>
      <c r="B205" s="12" t="s">
        <v>1330</v>
      </c>
      <c r="C205" s="13" t="s">
        <v>30</v>
      </c>
      <c r="D205" s="40">
        <v>0</v>
      </c>
    </row>
    <row r="206" spans="1:4" ht="22.5" customHeight="1" x14ac:dyDescent="0.15">
      <c r="A206" s="16" t="s">
        <v>133</v>
      </c>
      <c r="B206" s="12" t="s">
        <v>1331</v>
      </c>
      <c r="C206" s="13" t="s">
        <v>18</v>
      </c>
      <c r="D206" s="40">
        <v>0</v>
      </c>
    </row>
    <row r="207" spans="1:4" ht="22.5" customHeight="1" x14ac:dyDescent="0.15">
      <c r="A207" s="16" t="s">
        <v>120</v>
      </c>
      <c r="B207" s="12" t="s">
        <v>1332</v>
      </c>
      <c r="C207" s="13" t="s">
        <v>30</v>
      </c>
      <c r="D207" s="40">
        <v>0</v>
      </c>
    </row>
    <row r="208" spans="1:4" ht="22.5" customHeight="1" x14ac:dyDescent="0.15">
      <c r="A208" s="16" t="s">
        <v>94</v>
      </c>
      <c r="B208" s="12" t="s">
        <v>1333</v>
      </c>
      <c r="C208" s="13" t="s">
        <v>18</v>
      </c>
      <c r="D208" s="40">
        <v>0</v>
      </c>
    </row>
    <row r="209" spans="1:4" ht="22.5" customHeight="1" x14ac:dyDescent="0.15">
      <c r="A209" s="16" t="s">
        <v>347</v>
      </c>
      <c r="B209" s="12" t="s">
        <v>1335</v>
      </c>
      <c r="C209" s="13" t="s">
        <v>18</v>
      </c>
      <c r="D209" s="40">
        <v>0</v>
      </c>
    </row>
    <row r="210" spans="1:4" ht="22.5" customHeight="1" x14ac:dyDescent="0.15">
      <c r="A210" s="16" t="s">
        <v>133</v>
      </c>
      <c r="B210" s="12" t="s">
        <v>1336</v>
      </c>
      <c r="C210" s="13" t="s">
        <v>18</v>
      </c>
      <c r="D210" s="40">
        <v>0</v>
      </c>
    </row>
    <row r="211" spans="1:4" ht="22.5" customHeight="1" x14ac:dyDescent="0.15">
      <c r="A211" s="16" t="s">
        <v>347</v>
      </c>
      <c r="B211" s="12" t="s">
        <v>1337</v>
      </c>
      <c r="C211" s="13" t="s">
        <v>18</v>
      </c>
      <c r="D211" s="40">
        <v>0</v>
      </c>
    </row>
    <row r="212" spans="1:4" ht="22.5" customHeight="1" x14ac:dyDescent="0.15">
      <c r="A212" s="16" t="s">
        <v>668</v>
      </c>
      <c r="B212" s="12" t="s">
        <v>1338</v>
      </c>
      <c r="C212" s="13" t="s">
        <v>12</v>
      </c>
      <c r="D212" s="40">
        <v>0</v>
      </c>
    </row>
    <row r="213" spans="1:4" ht="22.5" customHeight="1" x14ac:dyDescent="0.15">
      <c r="A213" s="16" t="s">
        <v>443</v>
      </c>
      <c r="B213" s="12" t="s">
        <v>1340</v>
      </c>
      <c r="C213" s="13" t="s">
        <v>83</v>
      </c>
      <c r="D213" s="40">
        <v>0</v>
      </c>
    </row>
    <row r="214" spans="1:4" ht="22.5" customHeight="1" x14ac:dyDescent="0.15">
      <c r="A214" s="16" t="s">
        <v>572</v>
      </c>
      <c r="B214" s="12" t="s">
        <v>1341</v>
      </c>
      <c r="C214" s="13" t="s">
        <v>30</v>
      </c>
      <c r="D214" s="40">
        <v>0</v>
      </c>
    </row>
    <row r="215" spans="1:4" ht="22.5" customHeight="1" x14ac:dyDescent="0.15">
      <c r="A215" s="16" t="s">
        <v>70</v>
      </c>
      <c r="B215" s="12" t="s">
        <v>1342</v>
      </c>
      <c r="C215" s="13" t="s">
        <v>12</v>
      </c>
      <c r="D215" s="40">
        <v>0</v>
      </c>
    </row>
    <row r="216" spans="1:4" ht="22.5" customHeight="1" x14ac:dyDescent="0.15">
      <c r="A216" s="16" t="s">
        <v>672</v>
      </c>
      <c r="B216" s="12" t="s">
        <v>1344</v>
      </c>
      <c r="C216" s="13" t="s">
        <v>12</v>
      </c>
      <c r="D216" s="40">
        <v>0</v>
      </c>
    </row>
    <row r="217" spans="1:4" ht="22.5" customHeight="1" x14ac:dyDescent="0.15">
      <c r="A217" s="16" t="s">
        <v>853</v>
      </c>
      <c r="B217" s="12" t="s">
        <v>1345</v>
      </c>
      <c r="C217" s="13" t="s">
        <v>12</v>
      </c>
      <c r="D217" s="40">
        <v>0</v>
      </c>
    </row>
    <row r="218" spans="1:4" ht="22.5" customHeight="1" x14ac:dyDescent="0.15">
      <c r="A218" s="16" t="s">
        <v>1165</v>
      </c>
      <c r="B218" s="12" t="s">
        <v>1346</v>
      </c>
      <c r="C218" s="13" t="s">
        <v>342</v>
      </c>
      <c r="D218" s="40">
        <v>0</v>
      </c>
    </row>
    <row r="219" spans="1:4" ht="22.5" customHeight="1" x14ac:dyDescent="0.15">
      <c r="A219" s="16" t="s">
        <v>497</v>
      </c>
      <c r="B219" s="12" t="s">
        <v>1347</v>
      </c>
      <c r="C219" s="13" t="s">
        <v>136</v>
      </c>
      <c r="D219" s="40">
        <v>0</v>
      </c>
    </row>
    <row r="220" spans="1:4" ht="22.5" customHeight="1" x14ac:dyDescent="0.15">
      <c r="A220" s="16" t="s">
        <v>65</v>
      </c>
      <c r="B220" s="12" t="s">
        <v>1348</v>
      </c>
      <c r="C220" s="13" t="s">
        <v>12</v>
      </c>
      <c r="D220" s="40">
        <v>0</v>
      </c>
    </row>
    <row r="221" spans="1:4" ht="22.5" customHeight="1" x14ac:dyDescent="0.15">
      <c r="A221" s="16" t="s">
        <v>395</v>
      </c>
      <c r="B221" s="12" t="s">
        <v>1349</v>
      </c>
      <c r="C221" s="13" t="s">
        <v>136</v>
      </c>
      <c r="D221" s="40">
        <v>0</v>
      </c>
    </row>
    <row r="222" spans="1:4" ht="22.5" customHeight="1" x14ac:dyDescent="0.15">
      <c r="A222" s="16" t="s">
        <v>1229</v>
      </c>
      <c r="B222" s="12" t="s">
        <v>1350</v>
      </c>
      <c r="C222" s="13" t="s">
        <v>23</v>
      </c>
      <c r="D222" s="40">
        <v>0</v>
      </c>
    </row>
    <row r="223" spans="1:4" ht="22.5" customHeight="1" x14ac:dyDescent="0.15">
      <c r="A223" s="16" t="s">
        <v>57</v>
      </c>
      <c r="B223" s="12" t="s">
        <v>1351</v>
      </c>
      <c r="C223" s="13" t="s">
        <v>12</v>
      </c>
      <c r="D223" s="40">
        <v>0</v>
      </c>
    </row>
    <row r="224" spans="1:4" ht="22.5" customHeight="1" x14ac:dyDescent="0.15">
      <c r="A224" s="16" t="s">
        <v>395</v>
      </c>
      <c r="B224" s="12" t="s">
        <v>1352</v>
      </c>
      <c r="C224" s="13" t="s">
        <v>18</v>
      </c>
      <c r="D224" s="40">
        <v>0</v>
      </c>
    </row>
    <row r="225" spans="1:4" ht="22.5" customHeight="1" x14ac:dyDescent="0.15">
      <c r="A225" s="16" t="s">
        <v>725</v>
      </c>
      <c r="B225" s="12" t="s">
        <v>1353</v>
      </c>
      <c r="C225" s="13" t="s">
        <v>12</v>
      </c>
      <c r="D225" s="40">
        <v>0</v>
      </c>
    </row>
    <row r="226" spans="1:4" ht="22.5" customHeight="1" x14ac:dyDescent="0.15">
      <c r="A226" s="16" t="s">
        <v>170</v>
      </c>
      <c r="B226" s="12" t="s">
        <v>1354</v>
      </c>
      <c r="C226" s="13" t="s">
        <v>18</v>
      </c>
      <c r="D226" s="40">
        <v>0</v>
      </c>
    </row>
    <row r="227" spans="1:4" ht="22.5" customHeight="1" x14ac:dyDescent="0.15">
      <c r="A227" s="16" t="s">
        <v>827</v>
      </c>
      <c r="B227" s="12" t="s">
        <v>1355</v>
      </c>
      <c r="C227" s="13" t="s">
        <v>23</v>
      </c>
      <c r="D227" s="40">
        <v>0</v>
      </c>
    </row>
    <row r="228" spans="1:4" ht="22.5" customHeight="1" x14ac:dyDescent="0.15">
      <c r="A228" s="16" t="s">
        <v>832</v>
      </c>
      <c r="B228" s="12" t="s">
        <v>1356</v>
      </c>
      <c r="C228" s="13" t="s">
        <v>18</v>
      </c>
      <c r="D228" s="40">
        <v>0</v>
      </c>
    </row>
    <row r="229" spans="1:4" ht="22.5" customHeight="1" x14ac:dyDescent="0.15">
      <c r="A229" s="16" t="s">
        <v>832</v>
      </c>
      <c r="B229" s="12" t="s">
        <v>1357</v>
      </c>
      <c r="C229" s="13" t="s">
        <v>18</v>
      </c>
      <c r="D229" s="40">
        <v>0</v>
      </c>
    </row>
    <row r="230" spans="1:4" ht="22.5" customHeight="1" x14ac:dyDescent="0.15">
      <c r="A230" s="16" t="s">
        <v>249</v>
      </c>
      <c r="B230" s="12" t="s">
        <v>1358</v>
      </c>
      <c r="C230" s="13" t="s">
        <v>30</v>
      </c>
      <c r="D230" s="40">
        <v>0</v>
      </c>
    </row>
    <row r="231" spans="1:4" ht="22.5" customHeight="1" x14ac:dyDescent="0.15">
      <c r="A231" s="16" t="s">
        <v>395</v>
      </c>
      <c r="B231" s="12" t="s">
        <v>1359</v>
      </c>
      <c r="C231" s="13" t="s">
        <v>88</v>
      </c>
      <c r="D231" s="40">
        <v>0</v>
      </c>
    </row>
    <row r="232" spans="1:4" ht="22.5" customHeight="1" x14ac:dyDescent="0.15">
      <c r="A232" s="16" t="s">
        <v>399</v>
      </c>
      <c r="B232" s="12" t="s">
        <v>1358</v>
      </c>
      <c r="C232" s="13" t="s">
        <v>30</v>
      </c>
      <c r="D232" s="40">
        <v>0</v>
      </c>
    </row>
    <row r="233" spans="1:4" ht="22.5" customHeight="1" x14ac:dyDescent="0.15">
      <c r="A233" s="16" t="s">
        <v>1120</v>
      </c>
      <c r="B233" s="12" t="s">
        <v>1360</v>
      </c>
      <c r="C233" s="13" t="s">
        <v>136</v>
      </c>
      <c r="D233" s="40">
        <v>0</v>
      </c>
    </row>
    <row r="234" spans="1:4" ht="22.5" customHeight="1" x14ac:dyDescent="0.15">
      <c r="A234" s="16" t="s">
        <v>417</v>
      </c>
      <c r="B234" s="12" t="s">
        <v>1361</v>
      </c>
      <c r="C234" s="13" t="s">
        <v>18</v>
      </c>
      <c r="D234" s="40">
        <v>0</v>
      </c>
    </row>
    <row r="235" spans="1:4" ht="22.5" customHeight="1" x14ac:dyDescent="0.15">
      <c r="A235" s="16" t="s">
        <v>417</v>
      </c>
      <c r="B235" s="12" t="s">
        <v>1362</v>
      </c>
      <c r="C235" s="13" t="s">
        <v>115</v>
      </c>
      <c r="D235" s="40">
        <v>0</v>
      </c>
    </row>
    <row r="236" spans="1:4" ht="22.5" customHeight="1" x14ac:dyDescent="0.15">
      <c r="A236" s="16" t="s">
        <v>1207</v>
      </c>
      <c r="B236" s="12" t="s">
        <v>1363</v>
      </c>
      <c r="C236" s="13" t="s">
        <v>30</v>
      </c>
      <c r="D236" s="40">
        <v>0</v>
      </c>
    </row>
    <row r="237" spans="1:4" ht="22.5" customHeight="1" x14ac:dyDescent="0.15">
      <c r="A237" s="16" t="s">
        <v>523</v>
      </c>
      <c r="B237" s="12" t="s">
        <v>1364</v>
      </c>
      <c r="C237" s="13" t="s">
        <v>12</v>
      </c>
      <c r="D237" s="40">
        <v>0</v>
      </c>
    </row>
    <row r="238" spans="1:4" ht="22.5" customHeight="1" x14ac:dyDescent="0.15">
      <c r="A238" s="16" t="s">
        <v>1242</v>
      </c>
      <c r="B238" s="12" t="s">
        <v>1365</v>
      </c>
      <c r="C238" s="13" t="s">
        <v>18</v>
      </c>
      <c r="D238" s="40">
        <v>0</v>
      </c>
    </row>
    <row r="239" spans="1:4" ht="22.5" customHeight="1" x14ac:dyDescent="0.15">
      <c r="A239" s="16" t="s">
        <v>1271</v>
      </c>
      <c r="B239" s="12" t="s">
        <v>1365</v>
      </c>
      <c r="C239" s="13" t="s">
        <v>18</v>
      </c>
      <c r="D239" s="40">
        <v>0</v>
      </c>
    </row>
    <row r="240" spans="1:4" ht="22.5" customHeight="1" x14ac:dyDescent="0.15">
      <c r="A240" s="16" t="s">
        <v>572</v>
      </c>
      <c r="B240" s="12" t="s">
        <v>1366</v>
      </c>
      <c r="C240" s="13" t="s">
        <v>83</v>
      </c>
      <c r="D240" s="40">
        <v>0</v>
      </c>
    </row>
    <row r="241" spans="1:4" ht="22.5" customHeight="1" x14ac:dyDescent="0.15">
      <c r="A241" s="16" t="s">
        <v>1300</v>
      </c>
      <c r="B241" s="12" t="s">
        <v>1367</v>
      </c>
      <c r="C241" s="13" t="s">
        <v>136</v>
      </c>
      <c r="D241" s="40">
        <v>0</v>
      </c>
    </row>
    <row r="242" spans="1:4" ht="22.5" customHeight="1" x14ac:dyDescent="0.15">
      <c r="A242" s="16" t="s">
        <v>672</v>
      </c>
      <c r="B242" s="12" t="s">
        <v>1368</v>
      </c>
      <c r="C242" s="13" t="s">
        <v>12</v>
      </c>
      <c r="D242" s="40">
        <v>0</v>
      </c>
    </row>
    <row r="243" spans="1:4" ht="22.5" customHeight="1" x14ac:dyDescent="0.15">
      <c r="A243" s="16" t="s">
        <v>600</v>
      </c>
      <c r="B243" s="12" t="s">
        <v>1370</v>
      </c>
      <c r="C243" s="13" t="s">
        <v>342</v>
      </c>
      <c r="D243" s="40">
        <v>0</v>
      </c>
    </row>
    <row r="244" spans="1:4" ht="22.5" customHeight="1" x14ac:dyDescent="0.15">
      <c r="A244" s="16" t="s">
        <v>94</v>
      </c>
      <c r="B244" s="12" t="s">
        <v>1372</v>
      </c>
      <c r="C244" s="13" t="s">
        <v>83</v>
      </c>
      <c r="D244" s="40">
        <v>0</v>
      </c>
    </row>
    <row r="245" spans="1:4" ht="22.5" customHeight="1" x14ac:dyDescent="0.15">
      <c r="A245" s="16" t="s">
        <v>500</v>
      </c>
      <c r="B245" s="12" t="s">
        <v>1373</v>
      </c>
      <c r="C245" s="13" t="s">
        <v>23</v>
      </c>
      <c r="D245" s="40">
        <v>0</v>
      </c>
    </row>
    <row r="246" spans="1:4" ht="22.5" customHeight="1" x14ac:dyDescent="0.15">
      <c r="A246" s="16" t="s">
        <v>1375</v>
      </c>
      <c r="B246" s="12" t="s">
        <v>1376</v>
      </c>
      <c r="C246" s="13" t="s">
        <v>18</v>
      </c>
      <c r="D246" s="40">
        <v>0</v>
      </c>
    </row>
    <row r="247" spans="1:4" ht="22.5" customHeight="1" x14ac:dyDescent="0.15">
      <c r="A247" s="16" t="s">
        <v>1088</v>
      </c>
      <c r="B247" s="12" t="s">
        <v>1377</v>
      </c>
      <c r="C247" s="13" t="s">
        <v>18</v>
      </c>
      <c r="D247" s="40">
        <v>0</v>
      </c>
    </row>
    <row r="248" spans="1:4" ht="22.5" customHeight="1" x14ac:dyDescent="0.15">
      <c r="A248" s="16" t="s">
        <v>703</v>
      </c>
      <c r="B248" s="12" t="s">
        <v>1378</v>
      </c>
      <c r="C248" s="13" t="s">
        <v>88</v>
      </c>
      <c r="D248" s="40">
        <v>0</v>
      </c>
    </row>
    <row r="249" spans="1:4" ht="22.5" customHeight="1" x14ac:dyDescent="0.15">
      <c r="A249" s="16" t="s">
        <v>703</v>
      </c>
      <c r="B249" s="12" t="s">
        <v>1378</v>
      </c>
      <c r="C249" s="13" t="s">
        <v>88</v>
      </c>
      <c r="D249" s="40">
        <v>0</v>
      </c>
    </row>
    <row r="250" spans="1:4" ht="22.5" customHeight="1" x14ac:dyDescent="0.15">
      <c r="A250" s="16" t="s">
        <v>703</v>
      </c>
      <c r="B250" s="12" t="s">
        <v>1378</v>
      </c>
      <c r="C250" s="13" t="s">
        <v>88</v>
      </c>
      <c r="D250" s="40">
        <v>0</v>
      </c>
    </row>
    <row r="251" spans="1:4" ht="22.5" customHeight="1" x14ac:dyDescent="0.15">
      <c r="A251" s="16" t="s">
        <v>703</v>
      </c>
      <c r="B251" s="12" t="s">
        <v>1378</v>
      </c>
      <c r="C251" s="13" t="s">
        <v>88</v>
      </c>
      <c r="D251" s="40">
        <v>0</v>
      </c>
    </row>
    <row r="252" spans="1:4" ht="22.5" customHeight="1" x14ac:dyDescent="0.15">
      <c r="A252" s="16" t="s">
        <v>537</v>
      </c>
      <c r="B252" s="12" t="s">
        <v>1379</v>
      </c>
      <c r="C252" s="13" t="s">
        <v>30</v>
      </c>
      <c r="D252" s="40">
        <v>0</v>
      </c>
    </row>
    <row r="253" spans="1:4" ht="22.5" customHeight="1" x14ac:dyDescent="0.15">
      <c r="A253" s="16" t="s">
        <v>1375</v>
      </c>
      <c r="B253" s="12" t="s">
        <v>1380</v>
      </c>
      <c r="C253" s="13" t="s">
        <v>18</v>
      </c>
      <c r="D253" s="40">
        <v>0</v>
      </c>
    </row>
    <row r="254" spans="1:4" ht="22.5" customHeight="1" x14ac:dyDescent="0.15">
      <c r="A254" s="16" t="s">
        <v>832</v>
      </c>
      <c r="B254" s="12" t="s">
        <v>1381</v>
      </c>
      <c r="C254" s="13" t="s">
        <v>342</v>
      </c>
      <c r="D254" s="40">
        <v>0</v>
      </c>
    </row>
    <row r="255" spans="1:4" ht="22.5" customHeight="1" x14ac:dyDescent="0.15">
      <c r="A255" s="16" t="s">
        <v>1013</v>
      </c>
      <c r="B255" s="12" t="s">
        <v>1382</v>
      </c>
      <c r="C255" s="13" t="s">
        <v>18</v>
      </c>
      <c r="D255" s="40">
        <v>0</v>
      </c>
    </row>
    <row r="256" spans="1:4" ht="22.5" customHeight="1" x14ac:dyDescent="0.15">
      <c r="A256" s="16" t="s">
        <v>1013</v>
      </c>
      <c r="B256" s="12" t="s">
        <v>1383</v>
      </c>
      <c r="C256" s="13" t="s">
        <v>136</v>
      </c>
      <c r="D256" s="40">
        <v>0</v>
      </c>
    </row>
    <row r="257" spans="1:4" ht="22.5" customHeight="1" x14ac:dyDescent="0.15">
      <c r="A257" s="16" t="s">
        <v>86</v>
      </c>
      <c r="B257" s="12" t="s">
        <v>1384</v>
      </c>
      <c r="C257" s="13" t="s">
        <v>23</v>
      </c>
      <c r="D257" s="40">
        <v>0</v>
      </c>
    </row>
    <row r="258" spans="1:4" ht="22.5" customHeight="1" x14ac:dyDescent="0.15">
      <c r="A258" s="16" t="s">
        <v>391</v>
      </c>
      <c r="B258" s="12" t="s">
        <v>1385</v>
      </c>
      <c r="C258" s="13" t="s">
        <v>136</v>
      </c>
      <c r="D258" s="40">
        <v>0</v>
      </c>
    </row>
    <row r="259" spans="1:4" ht="22.5" customHeight="1" x14ac:dyDescent="0.15">
      <c r="A259" s="16" t="s">
        <v>1094</v>
      </c>
      <c r="B259" s="12" t="s">
        <v>1386</v>
      </c>
      <c r="C259" s="13" t="s">
        <v>18</v>
      </c>
      <c r="D259" s="40">
        <v>0</v>
      </c>
    </row>
    <row r="260" spans="1:4" ht="22.5" customHeight="1" x14ac:dyDescent="0.15">
      <c r="A260" s="16" t="s">
        <v>1094</v>
      </c>
      <c r="B260" s="12" t="s">
        <v>1387</v>
      </c>
      <c r="C260" s="13" t="s">
        <v>18</v>
      </c>
      <c r="D260" s="40">
        <v>0</v>
      </c>
    </row>
    <row r="261" spans="1:4" ht="22.5" customHeight="1" x14ac:dyDescent="0.15">
      <c r="A261" s="16" t="s">
        <v>497</v>
      </c>
      <c r="B261" s="12" t="s">
        <v>1388</v>
      </c>
      <c r="C261" s="13" t="s">
        <v>88</v>
      </c>
      <c r="D261" s="40">
        <v>0</v>
      </c>
    </row>
    <row r="262" spans="1:4" ht="22.5" customHeight="1" x14ac:dyDescent="0.15">
      <c r="A262" s="16" t="s">
        <v>572</v>
      </c>
      <c r="B262" s="12" t="s">
        <v>1389</v>
      </c>
      <c r="C262" s="13" t="s">
        <v>30</v>
      </c>
      <c r="D262" s="40">
        <v>0</v>
      </c>
    </row>
    <row r="263" spans="1:4" ht="22.5" customHeight="1" x14ac:dyDescent="0.15">
      <c r="A263" s="16" t="s">
        <v>572</v>
      </c>
      <c r="B263" s="12" t="s">
        <v>1390</v>
      </c>
      <c r="C263" s="13" t="s">
        <v>30</v>
      </c>
      <c r="D263" s="40">
        <v>0</v>
      </c>
    </row>
    <row r="264" spans="1:4" ht="22.5" customHeight="1" x14ac:dyDescent="0.15">
      <c r="A264" s="16" t="s">
        <v>577</v>
      </c>
      <c r="B264" s="12" t="s">
        <v>1391</v>
      </c>
      <c r="C264" s="13" t="s">
        <v>83</v>
      </c>
      <c r="D264" s="40">
        <v>0</v>
      </c>
    </row>
    <row r="265" spans="1:4" ht="22.5" customHeight="1" x14ac:dyDescent="0.15">
      <c r="A265" s="16" t="s">
        <v>395</v>
      </c>
      <c r="B265" s="12" t="s">
        <v>1392</v>
      </c>
      <c r="C265" s="13" t="s">
        <v>88</v>
      </c>
      <c r="D265" s="40">
        <v>0</v>
      </c>
    </row>
    <row r="266" spans="1:4" ht="22.5" customHeight="1" x14ac:dyDescent="0.15">
      <c r="A266" s="16" t="s">
        <v>57</v>
      </c>
      <c r="B266" s="12" t="s">
        <v>1393</v>
      </c>
      <c r="C266" s="13" t="s">
        <v>18</v>
      </c>
      <c r="D266" s="40">
        <v>0</v>
      </c>
    </row>
    <row r="267" spans="1:4" ht="22.5" customHeight="1" x14ac:dyDescent="0.15">
      <c r="A267" s="16" t="s">
        <v>621</v>
      </c>
      <c r="B267" s="12" t="s">
        <v>1394</v>
      </c>
      <c r="C267" s="13" t="s">
        <v>18</v>
      </c>
      <c r="D267" s="40">
        <v>0</v>
      </c>
    </row>
    <row r="268" spans="1:4" ht="22.5" customHeight="1" x14ac:dyDescent="0.15">
      <c r="A268" s="16" t="s">
        <v>107</v>
      </c>
      <c r="B268" s="12" t="s">
        <v>1395</v>
      </c>
      <c r="C268" s="13" t="s">
        <v>18</v>
      </c>
      <c r="D268" s="40">
        <v>0</v>
      </c>
    </row>
    <row r="269" spans="1:4" ht="22.5" customHeight="1" x14ac:dyDescent="0.15">
      <c r="A269" s="16" t="s">
        <v>1088</v>
      </c>
      <c r="B269" s="12" t="s">
        <v>1396</v>
      </c>
      <c r="C269" s="13" t="s">
        <v>88</v>
      </c>
      <c r="D269" s="40">
        <v>0</v>
      </c>
    </row>
    <row r="270" spans="1:4" ht="22.5" customHeight="1" x14ac:dyDescent="0.15">
      <c r="A270" s="16" t="s">
        <v>112</v>
      </c>
      <c r="B270" s="12" t="s">
        <v>1395</v>
      </c>
      <c r="C270" s="13" t="s">
        <v>18</v>
      </c>
      <c r="D270" s="40">
        <v>0</v>
      </c>
    </row>
    <row r="271" spans="1:4" ht="22.5" customHeight="1" x14ac:dyDescent="0.15">
      <c r="A271" s="16" t="s">
        <v>654</v>
      </c>
      <c r="B271" s="12" t="s">
        <v>1397</v>
      </c>
      <c r="C271" s="13" t="s">
        <v>12</v>
      </c>
      <c r="D271" s="40">
        <v>0</v>
      </c>
    </row>
    <row r="272" spans="1:4" ht="22.5" customHeight="1" x14ac:dyDescent="0.15">
      <c r="A272" s="16" t="s">
        <v>70</v>
      </c>
      <c r="B272" s="12" t="s">
        <v>1399</v>
      </c>
      <c r="C272" s="13" t="s">
        <v>18</v>
      </c>
      <c r="D272" s="40">
        <v>0</v>
      </c>
    </row>
    <row r="273" spans="1:4" ht="22.5" customHeight="1" x14ac:dyDescent="0.15">
      <c r="A273" s="16" t="s">
        <v>70</v>
      </c>
      <c r="B273" s="12" t="s">
        <v>1401</v>
      </c>
      <c r="C273" s="13" t="s">
        <v>18</v>
      </c>
      <c r="D273" s="40">
        <v>0</v>
      </c>
    </row>
    <row r="274" spans="1:4" ht="22.5" customHeight="1" x14ac:dyDescent="0.15">
      <c r="A274" s="16" t="s">
        <v>1404</v>
      </c>
      <c r="B274" s="12" t="s">
        <v>1405</v>
      </c>
      <c r="C274" s="13" t="s">
        <v>23</v>
      </c>
      <c r="D274" s="40">
        <v>0</v>
      </c>
    </row>
    <row r="275" spans="1:4" ht="22.5" customHeight="1" x14ac:dyDescent="0.15">
      <c r="A275" s="16" t="s">
        <v>129</v>
      </c>
      <c r="B275" s="12" t="s">
        <v>1406</v>
      </c>
      <c r="C275" s="13" t="s">
        <v>18</v>
      </c>
      <c r="D275" s="40">
        <v>0</v>
      </c>
    </row>
    <row r="276" spans="1:4" ht="22.5" customHeight="1" x14ac:dyDescent="0.15">
      <c r="A276" s="16" t="s">
        <v>129</v>
      </c>
      <c r="B276" s="12" t="s">
        <v>1407</v>
      </c>
      <c r="C276" s="13" t="s">
        <v>83</v>
      </c>
      <c r="D276" s="40">
        <v>0</v>
      </c>
    </row>
    <row r="277" spans="1:4" ht="22.5" customHeight="1" x14ac:dyDescent="0.15">
      <c r="A277" s="16" t="s">
        <v>129</v>
      </c>
      <c r="B277" s="12" t="s">
        <v>1408</v>
      </c>
      <c r="C277" s="13" t="s">
        <v>18</v>
      </c>
      <c r="D277" s="40">
        <v>0</v>
      </c>
    </row>
    <row r="278" spans="1:4" ht="22.5" customHeight="1" x14ac:dyDescent="0.15">
      <c r="A278" s="16" t="s">
        <v>1410</v>
      </c>
      <c r="B278" s="12" t="s">
        <v>1411</v>
      </c>
      <c r="C278" s="13" t="s">
        <v>77</v>
      </c>
      <c r="D278" s="40">
        <v>0</v>
      </c>
    </row>
    <row r="279" spans="1:4" ht="22.5" customHeight="1" x14ac:dyDescent="0.15">
      <c r="A279" s="16" t="s">
        <v>1410</v>
      </c>
      <c r="B279" s="12" t="s">
        <v>1412</v>
      </c>
      <c r="C279" s="13" t="s">
        <v>77</v>
      </c>
      <c r="D279" s="40">
        <v>0</v>
      </c>
    </row>
    <row r="280" spans="1:4" ht="22.5" customHeight="1" x14ac:dyDescent="0.15">
      <c r="A280" s="16" t="s">
        <v>1410</v>
      </c>
      <c r="B280" s="12" t="s">
        <v>1413</v>
      </c>
      <c r="C280" s="13" t="s">
        <v>77</v>
      </c>
      <c r="D280" s="40">
        <v>0</v>
      </c>
    </row>
    <row r="281" spans="1:4" ht="22.5" customHeight="1" x14ac:dyDescent="0.15">
      <c r="A281" s="16" t="s">
        <v>142</v>
      </c>
      <c r="B281" s="12" t="s">
        <v>1414</v>
      </c>
      <c r="C281" s="13" t="s">
        <v>12</v>
      </c>
      <c r="D281" s="40">
        <v>0</v>
      </c>
    </row>
    <row r="282" spans="1:4" ht="22.5" customHeight="1" x14ac:dyDescent="0.15">
      <c r="A282" s="16" t="s">
        <v>142</v>
      </c>
      <c r="B282" s="12" t="s">
        <v>1415</v>
      </c>
      <c r="C282" s="13" t="s">
        <v>115</v>
      </c>
      <c r="D282" s="40">
        <v>0</v>
      </c>
    </row>
    <row r="283" spans="1:4" ht="22.5" customHeight="1" x14ac:dyDescent="0.15">
      <c r="A283" s="16" t="s">
        <v>151</v>
      </c>
      <c r="B283" s="12" t="s">
        <v>1416</v>
      </c>
      <c r="C283" s="13" t="s">
        <v>12</v>
      </c>
      <c r="D283" s="40">
        <v>0</v>
      </c>
    </row>
    <row r="284" spans="1:4" ht="22.5" customHeight="1" x14ac:dyDescent="0.15">
      <c r="A284" s="16" t="s">
        <v>154</v>
      </c>
      <c r="B284" s="12" t="s">
        <v>1417</v>
      </c>
      <c r="C284" s="13" t="s">
        <v>115</v>
      </c>
      <c r="D284" s="40">
        <v>0</v>
      </c>
    </row>
    <row r="285" spans="1:4" ht="22.5" customHeight="1" x14ac:dyDescent="0.15">
      <c r="A285" s="16" t="s">
        <v>154</v>
      </c>
      <c r="B285" s="12" t="s">
        <v>1418</v>
      </c>
      <c r="C285" s="13" t="s">
        <v>18</v>
      </c>
      <c r="D285" s="40">
        <v>0</v>
      </c>
    </row>
    <row r="286" spans="1:4" ht="22.5" customHeight="1" x14ac:dyDescent="0.15">
      <c r="A286" s="16" t="s">
        <v>154</v>
      </c>
      <c r="B286" s="12" t="s">
        <v>1419</v>
      </c>
      <c r="C286" s="13" t="s">
        <v>136</v>
      </c>
      <c r="D286" s="40">
        <v>0</v>
      </c>
    </row>
    <row r="287" spans="1:4" ht="22.5" customHeight="1" x14ac:dyDescent="0.15">
      <c r="A287" s="16" t="s">
        <v>154</v>
      </c>
      <c r="B287" s="12" t="s">
        <v>1420</v>
      </c>
      <c r="C287" s="13" t="s">
        <v>12</v>
      </c>
      <c r="D287" s="40">
        <v>0</v>
      </c>
    </row>
    <row r="288" spans="1:4" ht="22.5" customHeight="1" x14ac:dyDescent="0.15">
      <c r="A288" s="16" t="s">
        <v>154</v>
      </c>
      <c r="B288" s="12" t="s">
        <v>1421</v>
      </c>
      <c r="C288" s="13" t="s">
        <v>18</v>
      </c>
      <c r="D288" s="40">
        <v>0</v>
      </c>
    </row>
    <row r="289" spans="1:4" ht="22.5" customHeight="1" x14ac:dyDescent="0.15">
      <c r="A289" s="16" t="s">
        <v>154</v>
      </c>
      <c r="B289" s="12" t="s">
        <v>1422</v>
      </c>
      <c r="C289" s="13" t="s">
        <v>23</v>
      </c>
      <c r="D289" s="40">
        <v>0</v>
      </c>
    </row>
    <row r="290" spans="1:4" ht="22.5" customHeight="1" x14ac:dyDescent="0.15">
      <c r="A290" s="16" t="s">
        <v>154</v>
      </c>
      <c r="B290" s="12" t="s">
        <v>1423</v>
      </c>
      <c r="C290" s="13" t="s">
        <v>23</v>
      </c>
      <c r="D290" s="40">
        <v>0</v>
      </c>
    </row>
    <row r="291" spans="1:4" ht="22.5" customHeight="1" x14ac:dyDescent="0.15">
      <c r="A291" s="16" t="s">
        <v>154</v>
      </c>
      <c r="B291" s="12" t="s">
        <v>1424</v>
      </c>
      <c r="C291" s="13" t="s">
        <v>88</v>
      </c>
      <c r="D291" s="40">
        <v>0</v>
      </c>
    </row>
    <row r="292" spans="1:4" ht="22.5" customHeight="1" x14ac:dyDescent="0.15">
      <c r="A292" s="16" t="s">
        <v>668</v>
      </c>
      <c r="B292" s="12" t="s">
        <v>1425</v>
      </c>
      <c r="C292" s="13" t="s">
        <v>30</v>
      </c>
      <c r="D292" s="40">
        <v>0</v>
      </c>
    </row>
    <row r="293" spans="1:4" ht="22.5" customHeight="1" x14ac:dyDescent="0.15">
      <c r="A293" s="16" t="s">
        <v>668</v>
      </c>
      <c r="B293" s="12" t="s">
        <v>1426</v>
      </c>
      <c r="C293" s="13" t="s">
        <v>18</v>
      </c>
      <c r="D293" s="40">
        <v>0</v>
      </c>
    </row>
    <row r="294" spans="1:4" ht="22.5" customHeight="1" x14ac:dyDescent="0.15">
      <c r="A294" s="16" t="s">
        <v>668</v>
      </c>
      <c r="B294" s="12" t="s">
        <v>1427</v>
      </c>
      <c r="C294" s="13" t="s">
        <v>77</v>
      </c>
      <c r="D294" s="40">
        <v>0</v>
      </c>
    </row>
    <row r="295" spans="1:4" ht="22.5" customHeight="1" x14ac:dyDescent="0.15">
      <c r="A295" s="16" t="s">
        <v>668</v>
      </c>
      <c r="B295" s="12" t="s">
        <v>1428</v>
      </c>
      <c r="C295" s="13" t="s">
        <v>77</v>
      </c>
      <c r="D295" s="40">
        <v>0</v>
      </c>
    </row>
    <row r="296" spans="1:4" ht="22.5" customHeight="1" x14ac:dyDescent="0.15">
      <c r="A296" s="16" t="s">
        <v>668</v>
      </c>
      <c r="B296" s="12" t="s">
        <v>1429</v>
      </c>
      <c r="C296" s="13" t="s">
        <v>77</v>
      </c>
      <c r="D296" s="40">
        <v>0</v>
      </c>
    </row>
    <row r="297" spans="1:4" ht="22.5" customHeight="1" x14ac:dyDescent="0.15">
      <c r="A297" s="16" t="s">
        <v>668</v>
      </c>
      <c r="B297" s="12" t="s">
        <v>1430</v>
      </c>
      <c r="C297" s="13" t="s">
        <v>77</v>
      </c>
      <c r="D297" s="40">
        <v>0</v>
      </c>
    </row>
    <row r="298" spans="1:4" ht="22.5" customHeight="1" x14ac:dyDescent="0.15">
      <c r="A298" s="16" t="s">
        <v>668</v>
      </c>
      <c r="B298" s="12" t="s">
        <v>1431</v>
      </c>
      <c r="C298" s="13" t="s">
        <v>12</v>
      </c>
      <c r="D298" s="40">
        <v>0</v>
      </c>
    </row>
    <row r="299" spans="1:4" ht="22.5" customHeight="1" x14ac:dyDescent="0.15">
      <c r="A299" s="16" t="s">
        <v>672</v>
      </c>
      <c r="B299" s="12" t="s">
        <v>1432</v>
      </c>
      <c r="C299" s="13" t="s">
        <v>18</v>
      </c>
      <c r="D299" s="40">
        <v>0</v>
      </c>
    </row>
    <row r="300" spans="1:4" ht="22.5" customHeight="1" x14ac:dyDescent="0.15">
      <c r="A300" s="16" t="s">
        <v>672</v>
      </c>
      <c r="B300" s="12" t="s">
        <v>1433</v>
      </c>
      <c r="C300" s="13" t="s">
        <v>18</v>
      </c>
      <c r="D300" s="40">
        <v>0</v>
      </c>
    </row>
    <row r="301" spans="1:4" ht="22.5" customHeight="1" x14ac:dyDescent="0.15">
      <c r="A301" s="16" t="s">
        <v>672</v>
      </c>
      <c r="B301" s="12" t="s">
        <v>1434</v>
      </c>
      <c r="C301" s="13" t="s">
        <v>18</v>
      </c>
      <c r="D301" s="40">
        <v>0</v>
      </c>
    </row>
    <row r="302" spans="1:4" ht="22.5" customHeight="1" x14ac:dyDescent="0.15">
      <c r="A302" s="16" t="s">
        <v>157</v>
      </c>
      <c r="B302" s="12" t="s">
        <v>1435</v>
      </c>
      <c r="C302" s="13" t="s">
        <v>23</v>
      </c>
      <c r="D302" s="40">
        <v>0</v>
      </c>
    </row>
    <row r="303" spans="1:4" ht="22.5" customHeight="1" x14ac:dyDescent="0.15">
      <c r="A303" s="16" t="s">
        <v>157</v>
      </c>
      <c r="B303" s="12" t="s">
        <v>1436</v>
      </c>
      <c r="C303" s="13" t="s">
        <v>23</v>
      </c>
      <c r="D303" s="40">
        <v>0</v>
      </c>
    </row>
    <row r="304" spans="1:4" ht="22.5" customHeight="1" x14ac:dyDescent="0.15">
      <c r="A304" s="16" t="s">
        <v>160</v>
      </c>
      <c r="B304" s="12" t="s">
        <v>1437</v>
      </c>
      <c r="C304" s="13" t="s">
        <v>23</v>
      </c>
      <c r="D304" s="40">
        <v>0</v>
      </c>
    </row>
    <row r="305" spans="1:4" ht="22.5" customHeight="1" x14ac:dyDescent="0.15">
      <c r="A305" s="16" t="s">
        <v>160</v>
      </c>
      <c r="B305" s="12" t="s">
        <v>1438</v>
      </c>
      <c r="C305" s="13" t="s">
        <v>23</v>
      </c>
      <c r="D305" s="40">
        <v>0</v>
      </c>
    </row>
    <row r="306" spans="1:4" ht="22.5" customHeight="1" x14ac:dyDescent="0.15">
      <c r="A306" s="16" t="s">
        <v>160</v>
      </c>
      <c r="B306" s="12" t="s">
        <v>1439</v>
      </c>
      <c r="C306" s="13" t="s">
        <v>23</v>
      </c>
      <c r="D306" s="40">
        <v>0</v>
      </c>
    </row>
    <row r="307" spans="1:4" ht="22.5" customHeight="1" x14ac:dyDescent="0.15">
      <c r="A307" s="16" t="s">
        <v>166</v>
      </c>
      <c r="B307" s="12" t="s">
        <v>1440</v>
      </c>
      <c r="C307" s="13" t="s">
        <v>115</v>
      </c>
      <c r="D307" s="40">
        <v>0</v>
      </c>
    </row>
    <row r="308" spans="1:4" ht="22.5" customHeight="1" x14ac:dyDescent="0.15">
      <c r="A308" s="16" t="s">
        <v>166</v>
      </c>
      <c r="B308" s="12" t="s">
        <v>1441</v>
      </c>
      <c r="C308" s="13" t="s">
        <v>30</v>
      </c>
      <c r="D308" s="40">
        <v>0</v>
      </c>
    </row>
    <row r="309" spans="1:4" ht="22.5" customHeight="1" x14ac:dyDescent="0.15">
      <c r="A309" s="16" t="s">
        <v>166</v>
      </c>
      <c r="B309" s="12" t="s">
        <v>1442</v>
      </c>
      <c r="C309" s="13" t="s">
        <v>115</v>
      </c>
      <c r="D309" s="40">
        <v>0</v>
      </c>
    </row>
    <row r="310" spans="1:4" ht="22.5" customHeight="1" x14ac:dyDescent="0.15">
      <c r="A310" s="16" t="s">
        <v>166</v>
      </c>
      <c r="B310" s="12" t="s">
        <v>1443</v>
      </c>
      <c r="C310" s="13" t="s">
        <v>30</v>
      </c>
      <c r="D310" s="40">
        <v>0</v>
      </c>
    </row>
    <row r="311" spans="1:4" ht="22.5" customHeight="1" x14ac:dyDescent="0.15">
      <c r="A311" s="16" t="s">
        <v>781</v>
      </c>
      <c r="B311" s="12" t="s">
        <v>1444</v>
      </c>
      <c r="C311" s="13" t="s">
        <v>30</v>
      </c>
      <c r="D311" s="40">
        <v>0</v>
      </c>
    </row>
    <row r="312" spans="1:4" ht="22.5" customHeight="1" x14ac:dyDescent="0.15">
      <c r="A312" s="16" t="s">
        <v>781</v>
      </c>
      <c r="B312" s="12" t="s">
        <v>1445</v>
      </c>
      <c r="C312" s="13" t="s">
        <v>30</v>
      </c>
      <c r="D312" s="40">
        <v>0</v>
      </c>
    </row>
    <row r="313" spans="1:4" ht="22.5" customHeight="1" x14ac:dyDescent="0.15">
      <c r="A313" s="16" t="s">
        <v>683</v>
      </c>
      <c r="B313" s="12" t="s">
        <v>1446</v>
      </c>
      <c r="C313" s="13" t="s">
        <v>23</v>
      </c>
      <c r="D313" s="40">
        <v>0</v>
      </c>
    </row>
    <row r="314" spans="1:4" ht="22.5" customHeight="1" x14ac:dyDescent="0.15">
      <c r="A314" s="16" t="s">
        <v>683</v>
      </c>
      <c r="B314" s="12" t="s">
        <v>1447</v>
      </c>
      <c r="C314" s="13" t="s">
        <v>88</v>
      </c>
      <c r="D314" s="40">
        <v>0</v>
      </c>
    </row>
    <row r="315" spans="1:4" ht="22.5" customHeight="1" x14ac:dyDescent="0.15">
      <c r="A315" s="16" t="s">
        <v>107</v>
      </c>
      <c r="B315" s="12" t="s">
        <v>1448</v>
      </c>
      <c r="C315" s="13" t="s">
        <v>12</v>
      </c>
      <c r="D315" s="40">
        <v>0</v>
      </c>
    </row>
    <row r="316" spans="1:4" ht="22.5" customHeight="1" x14ac:dyDescent="0.15">
      <c r="A316" s="16" t="s">
        <v>107</v>
      </c>
      <c r="B316" s="12" t="s">
        <v>1449</v>
      </c>
      <c r="C316" s="13" t="s">
        <v>12</v>
      </c>
      <c r="D316" s="40">
        <v>0</v>
      </c>
    </row>
    <row r="317" spans="1:4" ht="22.5" customHeight="1" x14ac:dyDescent="0.15">
      <c r="A317" s="16" t="s">
        <v>75</v>
      </c>
      <c r="B317" s="12" t="s">
        <v>1450</v>
      </c>
      <c r="C317" s="13" t="s">
        <v>30</v>
      </c>
      <c r="D317" s="40">
        <v>0</v>
      </c>
    </row>
    <row r="318" spans="1:4" ht="22.5" customHeight="1" x14ac:dyDescent="0.15">
      <c r="A318" s="16" t="s">
        <v>75</v>
      </c>
      <c r="B318" s="12" t="s">
        <v>1451</v>
      </c>
      <c r="C318" s="13" t="s">
        <v>30</v>
      </c>
      <c r="D318" s="40">
        <v>0</v>
      </c>
    </row>
    <row r="319" spans="1:4" ht="22.5" customHeight="1" x14ac:dyDescent="0.15">
      <c r="A319" s="16" t="s">
        <v>75</v>
      </c>
      <c r="B319" s="12" t="s">
        <v>1452</v>
      </c>
      <c r="C319" s="13" t="s">
        <v>30</v>
      </c>
      <c r="D319" s="40">
        <v>0</v>
      </c>
    </row>
    <row r="320" spans="1:4" ht="22.5" customHeight="1" x14ac:dyDescent="0.15">
      <c r="A320" s="16" t="s">
        <v>75</v>
      </c>
      <c r="B320" s="12" t="s">
        <v>1453</v>
      </c>
      <c r="C320" s="13" t="s">
        <v>219</v>
      </c>
      <c r="D320" s="40">
        <v>0</v>
      </c>
    </row>
    <row r="321" spans="1:4" ht="22.5" customHeight="1" x14ac:dyDescent="0.15">
      <c r="A321" s="16" t="s">
        <v>1456</v>
      </c>
      <c r="B321" s="12" t="s">
        <v>1457</v>
      </c>
      <c r="C321" s="13" t="s">
        <v>88</v>
      </c>
      <c r="D321" s="40">
        <v>0</v>
      </c>
    </row>
    <row r="322" spans="1:4" ht="22.5" customHeight="1" x14ac:dyDescent="0.15">
      <c r="A322" s="16" t="s">
        <v>223</v>
      </c>
      <c r="B322" s="12" t="s">
        <v>1458</v>
      </c>
      <c r="C322" s="13" t="s">
        <v>136</v>
      </c>
      <c r="D322" s="40">
        <v>0</v>
      </c>
    </row>
    <row r="323" spans="1:4" ht="22.5" customHeight="1" x14ac:dyDescent="0.15">
      <c r="A323" s="16" t="s">
        <v>223</v>
      </c>
      <c r="B323" s="12" t="s">
        <v>1459</v>
      </c>
      <c r="C323" s="13" t="s">
        <v>88</v>
      </c>
      <c r="D323" s="40">
        <v>0</v>
      </c>
    </row>
    <row r="324" spans="1:4" ht="22.5" customHeight="1" x14ac:dyDescent="0.15">
      <c r="A324" s="16" t="s">
        <v>223</v>
      </c>
      <c r="B324" s="12" t="s">
        <v>1460</v>
      </c>
      <c r="C324" s="13" t="s">
        <v>30</v>
      </c>
      <c r="D324" s="40">
        <v>0</v>
      </c>
    </row>
    <row r="325" spans="1:4" ht="22.5" customHeight="1" x14ac:dyDescent="0.15">
      <c r="A325" s="16" t="s">
        <v>1463</v>
      </c>
      <c r="B325" s="12" t="s">
        <v>1464</v>
      </c>
      <c r="C325" s="13" t="s">
        <v>30</v>
      </c>
      <c r="D325" s="40">
        <v>0</v>
      </c>
    </row>
    <row r="326" spans="1:4" ht="22.5" customHeight="1" x14ac:dyDescent="0.15">
      <c r="A326" s="16" t="s">
        <v>15</v>
      </c>
      <c r="B326" s="12" t="s">
        <v>1465</v>
      </c>
      <c r="C326" s="13" t="s">
        <v>115</v>
      </c>
      <c r="D326" s="40">
        <v>0</v>
      </c>
    </row>
    <row r="327" spans="1:4" ht="22.5" customHeight="1" x14ac:dyDescent="0.15">
      <c r="A327" s="16" t="s">
        <v>230</v>
      </c>
      <c r="B327" s="12" t="s">
        <v>1466</v>
      </c>
      <c r="C327" s="13" t="s">
        <v>12</v>
      </c>
      <c r="D327" s="40">
        <v>0</v>
      </c>
    </row>
    <row r="328" spans="1:4" ht="22.5" customHeight="1" x14ac:dyDescent="0.15">
      <c r="A328" s="16" t="s">
        <v>230</v>
      </c>
      <c r="B328" s="12" t="s">
        <v>1467</v>
      </c>
      <c r="C328" s="13" t="s">
        <v>136</v>
      </c>
      <c r="D328" s="40">
        <v>0</v>
      </c>
    </row>
    <row r="329" spans="1:4" ht="22.5" customHeight="1" x14ac:dyDescent="0.15">
      <c r="A329" s="16" t="s">
        <v>230</v>
      </c>
      <c r="B329" s="12" t="s">
        <v>1468</v>
      </c>
      <c r="C329" s="13" t="s">
        <v>136</v>
      </c>
      <c r="D329" s="40">
        <v>0</v>
      </c>
    </row>
    <row r="330" spans="1:4" ht="22.5" customHeight="1" x14ac:dyDescent="0.15">
      <c r="A330" s="16" t="s">
        <v>848</v>
      </c>
      <c r="B330" s="12" t="s">
        <v>1469</v>
      </c>
      <c r="C330" s="13" t="s">
        <v>88</v>
      </c>
      <c r="D330" s="40">
        <v>0</v>
      </c>
    </row>
    <row r="331" spans="1:4" ht="22.5" customHeight="1" x14ac:dyDescent="0.15">
      <c r="A331" s="16" t="s">
        <v>848</v>
      </c>
      <c r="B331" s="12" t="s">
        <v>1470</v>
      </c>
      <c r="C331" s="13" t="s">
        <v>12</v>
      </c>
      <c r="D331" s="40">
        <v>0</v>
      </c>
    </row>
    <row r="332" spans="1:4" ht="22.5" customHeight="1" x14ac:dyDescent="0.15">
      <c r="A332" s="16" t="s">
        <v>234</v>
      </c>
      <c r="B332" s="12" t="s">
        <v>1471</v>
      </c>
      <c r="C332" s="13" t="s">
        <v>30</v>
      </c>
      <c r="D332" s="40">
        <v>0</v>
      </c>
    </row>
    <row r="333" spans="1:4" ht="22.5" customHeight="1" x14ac:dyDescent="0.15">
      <c r="A333" s="16" t="s">
        <v>234</v>
      </c>
      <c r="B333" s="12" t="s">
        <v>1472</v>
      </c>
      <c r="C333" s="13" t="s">
        <v>88</v>
      </c>
      <c r="D333" s="40">
        <v>0</v>
      </c>
    </row>
    <row r="334" spans="1:4" ht="22.5" customHeight="1" x14ac:dyDescent="0.15">
      <c r="A334" s="16" t="s">
        <v>234</v>
      </c>
      <c r="B334" s="12" t="s">
        <v>1473</v>
      </c>
      <c r="C334" s="13" t="s">
        <v>18</v>
      </c>
      <c r="D334" s="40">
        <v>0</v>
      </c>
    </row>
    <row r="335" spans="1:4" ht="22.5" customHeight="1" x14ac:dyDescent="0.15">
      <c r="A335" s="16" t="s">
        <v>239</v>
      </c>
      <c r="B335" s="12" t="s">
        <v>1474</v>
      </c>
      <c r="C335" s="13" t="s">
        <v>18</v>
      </c>
      <c r="D335" s="40">
        <v>0</v>
      </c>
    </row>
    <row r="336" spans="1:4" ht="22.5" customHeight="1" x14ac:dyDescent="0.15">
      <c r="A336" s="16" t="s">
        <v>1477</v>
      </c>
      <c r="B336" s="12" t="s">
        <v>1478</v>
      </c>
      <c r="C336" s="13" t="s">
        <v>23</v>
      </c>
      <c r="D336" s="40">
        <v>0</v>
      </c>
    </row>
    <row r="337" spans="1:4" ht="22.5" customHeight="1" x14ac:dyDescent="0.15">
      <c r="A337" s="16" t="s">
        <v>81</v>
      </c>
      <c r="B337" s="12" t="s">
        <v>1479</v>
      </c>
      <c r="C337" s="13" t="s">
        <v>513</v>
      </c>
      <c r="D337" s="40">
        <v>0</v>
      </c>
    </row>
    <row r="338" spans="1:4" ht="22.5" customHeight="1" x14ac:dyDescent="0.15">
      <c r="A338" s="16" t="s">
        <v>249</v>
      </c>
      <c r="B338" s="12" t="s">
        <v>1480</v>
      </c>
      <c r="C338" s="13" t="s">
        <v>30</v>
      </c>
      <c r="D338" s="40">
        <v>0</v>
      </c>
    </row>
    <row r="339" spans="1:4" ht="22.5" customHeight="1" x14ac:dyDescent="0.15">
      <c r="A339" s="16" t="s">
        <v>249</v>
      </c>
      <c r="B339" s="12" t="s">
        <v>1481</v>
      </c>
      <c r="C339" s="13" t="s">
        <v>83</v>
      </c>
      <c r="D339" s="40">
        <v>0</v>
      </c>
    </row>
    <row r="340" spans="1:4" ht="22.5" customHeight="1" x14ac:dyDescent="0.15">
      <c r="A340" s="16" t="s">
        <v>249</v>
      </c>
      <c r="B340" s="12" t="s">
        <v>1482</v>
      </c>
      <c r="C340" s="13" t="s">
        <v>18</v>
      </c>
      <c r="D340" s="40">
        <v>0</v>
      </c>
    </row>
    <row r="341" spans="1:4" ht="22.5" customHeight="1" x14ac:dyDescent="0.15">
      <c r="A341" s="16" t="s">
        <v>1485</v>
      </c>
      <c r="B341" s="12" t="s">
        <v>1486</v>
      </c>
      <c r="C341" s="13" t="s">
        <v>18</v>
      </c>
      <c r="D341" s="40">
        <v>0</v>
      </c>
    </row>
    <row r="342" spans="1:4" ht="22.5" customHeight="1" x14ac:dyDescent="0.15">
      <c r="A342" s="16" t="s">
        <v>887</v>
      </c>
      <c r="B342" s="12" t="s">
        <v>1487</v>
      </c>
      <c r="C342" s="13" t="s">
        <v>136</v>
      </c>
      <c r="D342" s="40">
        <v>0</v>
      </c>
    </row>
    <row r="343" spans="1:4" ht="22.5" customHeight="1" x14ac:dyDescent="0.15">
      <c r="A343" s="16" t="s">
        <v>256</v>
      </c>
      <c r="B343" s="12" t="s">
        <v>1488</v>
      </c>
      <c r="C343" s="13" t="s">
        <v>136</v>
      </c>
      <c r="D343" s="40">
        <v>0</v>
      </c>
    </row>
    <row r="344" spans="1:4" ht="22.5" customHeight="1" x14ac:dyDescent="0.15">
      <c r="A344" s="16" t="s">
        <v>256</v>
      </c>
      <c r="B344" s="12" t="s">
        <v>1489</v>
      </c>
      <c r="C344" s="13" t="s">
        <v>30</v>
      </c>
      <c r="D344" s="40">
        <v>0</v>
      </c>
    </row>
    <row r="345" spans="1:4" ht="22.5" customHeight="1" x14ac:dyDescent="0.15">
      <c r="A345" s="16" t="s">
        <v>1492</v>
      </c>
      <c r="B345" s="12" t="s">
        <v>1493</v>
      </c>
      <c r="C345" s="13" t="s">
        <v>513</v>
      </c>
      <c r="D345" s="40">
        <v>0</v>
      </c>
    </row>
    <row r="346" spans="1:4" ht="22.5" customHeight="1" x14ac:dyDescent="0.15">
      <c r="A346" s="16" t="s">
        <v>1492</v>
      </c>
      <c r="B346" s="12" t="s">
        <v>1494</v>
      </c>
      <c r="C346" s="13" t="s">
        <v>30</v>
      </c>
      <c r="D346" s="40">
        <v>0</v>
      </c>
    </row>
    <row r="347" spans="1:4" ht="22.5" customHeight="1" x14ac:dyDescent="0.15">
      <c r="A347" s="16" t="s">
        <v>1492</v>
      </c>
      <c r="B347" s="12" t="s">
        <v>1495</v>
      </c>
      <c r="C347" s="13" t="s">
        <v>30</v>
      </c>
      <c r="D347" s="40">
        <v>0</v>
      </c>
    </row>
    <row r="348" spans="1:4" ht="22.5" customHeight="1" x14ac:dyDescent="0.15">
      <c r="A348" s="16" t="s">
        <v>1492</v>
      </c>
      <c r="B348" s="12" t="s">
        <v>1496</v>
      </c>
      <c r="C348" s="13" t="s">
        <v>30</v>
      </c>
      <c r="D348" s="40">
        <v>0</v>
      </c>
    </row>
    <row r="349" spans="1:4" ht="22.5" customHeight="1" x14ac:dyDescent="0.15">
      <c r="A349" s="16" t="s">
        <v>267</v>
      </c>
      <c r="B349" s="12" t="s">
        <v>1497</v>
      </c>
      <c r="C349" s="13" t="s">
        <v>12</v>
      </c>
      <c r="D349" s="40">
        <v>0</v>
      </c>
    </row>
    <row r="350" spans="1:4" ht="22.5" customHeight="1" x14ac:dyDescent="0.15">
      <c r="A350" s="16" t="s">
        <v>293</v>
      </c>
      <c r="B350" s="12" t="s">
        <v>1498</v>
      </c>
      <c r="C350" s="13" t="s">
        <v>136</v>
      </c>
      <c r="D350" s="40">
        <v>0</v>
      </c>
    </row>
    <row r="351" spans="1:4" ht="22.5" customHeight="1" x14ac:dyDescent="0.15">
      <c r="A351" s="16" t="s">
        <v>293</v>
      </c>
      <c r="B351" s="12" t="s">
        <v>1499</v>
      </c>
      <c r="C351" s="13" t="s">
        <v>88</v>
      </c>
      <c r="D351" s="40">
        <v>0</v>
      </c>
    </row>
    <row r="352" spans="1:4" ht="22.5" customHeight="1" x14ac:dyDescent="0.15">
      <c r="A352" s="16" t="s">
        <v>950</v>
      </c>
      <c r="B352" s="12" t="s">
        <v>1500</v>
      </c>
      <c r="C352" s="13" t="s">
        <v>23</v>
      </c>
      <c r="D352" s="40">
        <v>0</v>
      </c>
    </row>
    <row r="353" spans="1:4" ht="22.5" customHeight="1" x14ac:dyDescent="0.15">
      <c r="A353" s="16" t="s">
        <v>955</v>
      </c>
      <c r="B353" s="12" t="s">
        <v>1501</v>
      </c>
      <c r="C353" s="13" t="s">
        <v>342</v>
      </c>
      <c r="D353" s="40">
        <v>0</v>
      </c>
    </row>
    <row r="354" spans="1:4" ht="22.5" customHeight="1" x14ac:dyDescent="0.15">
      <c r="A354" s="16" t="s">
        <v>327</v>
      </c>
      <c r="B354" s="12" t="s">
        <v>1502</v>
      </c>
      <c r="C354" s="13" t="s">
        <v>30</v>
      </c>
      <c r="D354" s="40">
        <v>0</v>
      </c>
    </row>
    <row r="355" spans="1:4" ht="22.5" customHeight="1" x14ac:dyDescent="0.15">
      <c r="A355" s="16" t="s">
        <v>327</v>
      </c>
      <c r="B355" s="12" t="s">
        <v>1503</v>
      </c>
      <c r="C355" s="13" t="s">
        <v>77</v>
      </c>
      <c r="D355" s="40">
        <v>0</v>
      </c>
    </row>
    <row r="356" spans="1:4" ht="22.5" customHeight="1" x14ac:dyDescent="0.15">
      <c r="A356" s="16" t="s">
        <v>327</v>
      </c>
      <c r="B356" s="12" t="s">
        <v>1504</v>
      </c>
      <c r="C356" s="13" t="s">
        <v>115</v>
      </c>
      <c r="D356" s="40">
        <v>0</v>
      </c>
    </row>
    <row r="357" spans="1:4" ht="22.5" customHeight="1" x14ac:dyDescent="0.15">
      <c r="A357" s="16" t="s">
        <v>971</v>
      </c>
      <c r="B357" s="12" t="s">
        <v>1505</v>
      </c>
      <c r="C357" s="13" t="s">
        <v>30</v>
      </c>
      <c r="D357" s="40">
        <v>0</v>
      </c>
    </row>
    <row r="358" spans="1:4" ht="22.5" customHeight="1" x14ac:dyDescent="0.15">
      <c r="A358" s="16" t="s">
        <v>347</v>
      </c>
      <c r="B358" s="12" t="s">
        <v>1506</v>
      </c>
      <c r="C358" s="13" t="s">
        <v>30</v>
      </c>
      <c r="D358" s="40">
        <v>0</v>
      </c>
    </row>
    <row r="359" spans="1:4" ht="22.5" customHeight="1" x14ac:dyDescent="0.15">
      <c r="A359" s="16" t="s">
        <v>359</v>
      </c>
      <c r="B359" s="12" t="s">
        <v>1507</v>
      </c>
      <c r="C359" s="13" t="s">
        <v>77</v>
      </c>
      <c r="D359" s="40">
        <v>0</v>
      </c>
    </row>
    <row r="360" spans="1:4" ht="22.5" customHeight="1" x14ac:dyDescent="0.15">
      <c r="A360" s="16" t="s">
        <v>359</v>
      </c>
      <c r="B360" s="12" t="s">
        <v>1508</v>
      </c>
      <c r="C360" s="13" t="s">
        <v>219</v>
      </c>
      <c r="D360" s="40">
        <v>0</v>
      </c>
    </row>
    <row r="361" spans="1:4" ht="22.5" customHeight="1" x14ac:dyDescent="0.15">
      <c r="A361" s="16" t="s">
        <v>1003</v>
      </c>
      <c r="B361" s="12" t="s">
        <v>1509</v>
      </c>
      <c r="C361" s="13" t="s">
        <v>23</v>
      </c>
      <c r="D361" s="40">
        <v>0</v>
      </c>
    </row>
    <row r="362" spans="1:4" ht="22.5" customHeight="1" x14ac:dyDescent="0.15">
      <c r="A362" s="16" t="s">
        <v>1013</v>
      </c>
      <c r="B362" s="12" t="s">
        <v>1510</v>
      </c>
      <c r="C362" s="13" t="s">
        <v>88</v>
      </c>
      <c r="D362" s="40">
        <v>0</v>
      </c>
    </row>
    <row r="363" spans="1:4" ht="22.5" customHeight="1" x14ac:dyDescent="0.15">
      <c r="A363" s="16" t="s">
        <v>1025</v>
      </c>
      <c r="B363" s="12" t="s">
        <v>1511</v>
      </c>
      <c r="C363" s="13" t="s">
        <v>83</v>
      </c>
      <c r="D363" s="40">
        <v>0</v>
      </c>
    </row>
    <row r="364" spans="1:4" ht="22.5" customHeight="1" x14ac:dyDescent="0.15">
      <c r="A364" s="16" t="s">
        <v>1514</v>
      </c>
      <c r="B364" s="12" t="s">
        <v>1515</v>
      </c>
      <c r="C364" s="13" t="s">
        <v>23</v>
      </c>
      <c r="D364" s="40">
        <v>0</v>
      </c>
    </row>
    <row r="365" spans="1:4" ht="22.5" customHeight="1" x14ac:dyDescent="0.15">
      <c r="A365" s="16" t="s">
        <v>1088</v>
      </c>
      <c r="B365" s="12" t="s">
        <v>1516</v>
      </c>
      <c r="C365" s="13" t="s">
        <v>30</v>
      </c>
      <c r="D365" s="40">
        <v>0</v>
      </c>
    </row>
    <row r="366" spans="1:4" ht="22.5" customHeight="1" x14ac:dyDescent="0.15">
      <c r="A366" s="16" t="s">
        <v>1517</v>
      </c>
      <c r="B366" s="12" t="s">
        <v>1474</v>
      </c>
      <c r="C366" s="13" t="s">
        <v>18</v>
      </c>
      <c r="D366" s="40">
        <v>0</v>
      </c>
    </row>
    <row r="367" spans="1:4" ht="22.5" customHeight="1" x14ac:dyDescent="0.15">
      <c r="A367" s="16" t="s">
        <v>399</v>
      </c>
      <c r="B367" s="12" t="s">
        <v>1480</v>
      </c>
      <c r="C367" s="13" t="s">
        <v>30</v>
      </c>
      <c r="D367" s="40">
        <v>0</v>
      </c>
    </row>
    <row r="368" spans="1:4" ht="22.5" customHeight="1" x14ac:dyDescent="0.15">
      <c r="A368" s="16" t="s">
        <v>399</v>
      </c>
      <c r="B368" s="12" t="s">
        <v>1481</v>
      </c>
      <c r="C368" s="13" t="s">
        <v>83</v>
      </c>
      <c r="D368" s="40">
        <v>0</v>
      </c>
    </row>
    <row r="369" spans="1:4" ht="22.5" customHeight="1" x14ac:dyDescent="0.15">
      <c r="A369" s="16" t="s">
        <v>399</v>
      </c>
      <c r="B369" s="12" t="s">
        <v>1482</v>
      </c>
      <c r="C369" s="13" t="s">
        <v>18</v>
      </c>
      <c r="D369" s="40">
        <v>0</v>
      </c>
    </row>
    <row r="370" spans="1:4" ht="22.5" customHeight="1" x14ac:dyDescent="0.15">
      <c r="A370" s="16" t="s">
        <v>401</v>
      </c>
      <c r="B370" s="12" t="s">
        <v>1518</v>
      </c>
      <c r="C370" s="13" t="s">
        <v>30</v>
      </c>
      <c r="D370" s="40">
        <v>0</v>
      </c>
    </row>
    <row r="371" spans="1:4" ht="22.5" customHeight="1" x14ac:dyDescent="0.15">
      <c r="A371" s="16" t="s">
        <v>401</v>
      </c>
      <c r="B371" s="12" t="s">
        <v>1519</v>
      </c>
      <c r="C371" s="13" t="s">
        <v>23</v>
      </c>
      <c r="D371" s="40">
        <v>0</v>
      </c>
    </row>
    <row r="372" spans="1:4" ht="22.5" customHeight="1" x14ac:dyDescent="0.15">
      <c r="A372" s="16" t="s">
        <v>401</v>
      </c>
      <c r="B372" s="12" t="s">
        <v>1520</v>
      </c>
      <c r="C372" s="13" t="s">
        <v>88</v>
      </c>
      <c r="D372" s="40">
        <v>0</v>
      </c>
    </row>
    <row r="373" spans="1:4" ht="22.5" customHeight="1" x14ac:dyDescent="0.15">
      <c r="A373" s="16" t="s">
        <v>401</v>
      </c>
      <c r="B373" s="12" t="s">
        <v>1521</v>
      </c>
      <c r="C373" s="13" t="s">
        <v>88</v>
      </c>
      <c r="D373" s="40">
        <v>0</v>
      </c>
    </row>
    <row r="374" spans="1:4" ht="22.5" customHeight="1" x14ac:dyDescent="0.15">
      <c r="A374" s="16" t="s">
        <v>401</v>
      </c>
      <c r="B374" s="12" t="s">
        <v>1522</v>
      </c>
      <c r="C374" s="13" t="s">
        <v>23</v>
      </c>
      <c r="D374" s="40">
        <v>0</v>
      </c>
    </row>
    <row r="375" spans="1:4" ht="22.5" customHeight="1" x14ac:dyDescent="0.15">
      <c r="A375" s="16" t="s">
        <v>401</v>
      </c>
      <c r="B375" s="12" t="s">
        <v>1523</v>
      </c>
      <c r="C375" s="13" t="s">
        <v>88</v>
      </c>
      <c r="D375" s="40">
        <v>0</v>
      </c>
    </row>
    <row r="376" spans="1:4" ht="22.5" customHeight="1" x14ac:dyDescent="0.15">
      <c r="A376" s="16" t="s">
        <v>401</v>
      </c>
      <c r="B376" s="12" t="s">
        <v>1524</v>
      </c>
      <c r="C376" s="13" t="s">
        <v>219</v>
      </c>
      <c r="D376" s="40">
        <v>0</v>
      </c>
    </row>
    <row r="377" spans="1:4" ht="22.5" customHeight="1" x14ac:dyDescent="0.15">
      <c r="A377" s="16" t="s">
        <v>401</v>
      </c>
      <c r="B377" s="12" t="s">
        <v>1525</v>
      </c>
      <c r="C377" s="13" t="s">
        <v>30</v>
      </c>
      <c r="D377" s="40">
        <v>0</v>
      </c>
    </row>
    <row r="378" spans="1:4" ht="22.5" customHeight="1" x14ac:dyDescent="0.15">
      <c r="A378" s="16" t="s">
        <v>1120</v>
      </c>
      <c r="B378" s="12" t="s">
        <v>1526</v>
      </c>
      <c r="C378" s="13" t="s">
        <v>23</v>
      </c>
      <c r="D378" s="40">
        <v>0</v>
      </c>
    </row>
    <row r="379" spans="1:4" ht="22.5" customHeight="1" x14ac:dyDescent="0.15">
      <c r="A379" s="16" t="s">
        <v>714</v>
      </c>
      <c r="B379" s="12" t="s">
        <v>1527</v>
      </c>
      <c r="C379" s="13" t="s">
        <v>12</v>
      </c>
      <c r="D379" s="40">
        <v>0</v>
      </c>
    </row>
    <row r="380" spans="1:4" ht="22.5" customHeight="1" x14ac:dyDescent="0.15">
      <c r="A380" s="16" t="s">
        <v>714</v>
      </c>
      <c r="B380" s="12" t="s">
        <v>1528</v>
      </c>
      <c r="C380" s="13" t="s">
        <v>12</v>
      </c>
      <c r="D380" s="40">
        <v>0</v>
      </c>
    </row>
    <row r="381" spans="1:4" ht="22.5" customHeight="1" x14ac:dyDescent="0.15">
      <c r="A381" s="16" t="s">
        <v>714</v>
      </c>
      <c r="B381" s="12" t="s">
        <v>1529</v>
      </c>
      <c r="C381" s="13" t="s">
        <v>12</v>
      </c>
      <c r="D381" s="40">
        <v>0</v>
      </c>
    </row>
    <row r="382" spans="1:4" ht="22.5" customHeight="1" x14ac:dyDescent="0.15">
      <c r="A382" s="16" t="s">
        <v>714</v>
      </c>
      <c r="B382" s="12" t="s">
        <v>1530</v>
      </c>
      <c r="C382" s="13" t="s">
        <v>30</v>
      </c>
      <c r="D382" s="40">
        <v>0</v>
      </c>
    </row>
    <row r="383" spans="1:4" ht="22.5" customHeight="1" x14ac:dyDescent="0.15">
      <c r="A383" s="16" t="s">
        <v>425</v>
      </c>
      <c r="B383" s="12" t="s">
        <v>1531</v>
      </c>
      <c r="C383" s="13" t="s">
        <v>88</v>
      </c>
      <c r="D383" s="40">
        <v>0</v>
      </c>
    </row>
    <row r="384" spans="1:4" ht="22.5" customHeight="1" x14ac:dyDescent="0.15">
      <c r="A384" s="16" t="s">
        <v>429</v>
      </c>
      <c r="B384" s="12" t="s">
        <v>1532</v>
      </c>
      <c r="C384" s="13" t="s">
        <v>136</v>
      </c>
      <c r="D384" s="40">
        <v>0</v>
      </c>
    </row>
    <row r="385" spans="1:4" ht="22.5" customHeight="1" x14ac:dyDescent="0.15">
      <c r="A385" s="16" t="s">
        <v>429</v>
      </c>
      <c r="B385" s="12" t="s">
        <v>1533</v>
      </c>
      <c r="C385" s="13" t="s">
        <v>30</v>
      </c>
      <c r="D385" s="40">
        <v>0</v>
      </c>
    </row>
    <row r="386" spans="1:4" ht="22.5" customHeight="1" x14ac:dyDescent="0.15">
      <c r="A386" s="16" t="s">
        <v>429</v>
      </c>
      <c r="B386" s="12" t="s">
        <v>1534</v>
      </c>
      <c r="C386" s="13" t="s">
        <v>30</v>
      </c>
      <c r="D386" s="40">
        <v>0</v>
      </c>
    </row>
    <row r="387" spans="1:4" ht="22.5" customHeight="1" x14ac:dyDescent="0.15">
      <c r="A387" s="16" t="s">
        <v>1537</v>
      </c>
      <c r="B387" s="12" t="s">
        <v>1538</v>
      </c>
      <c r="C387" s="13" t="s">
        <v>12</v>
      </c>
      <c r="D387" s="40">
        <v>0</v>
      </c>
    </row>
    <row r="388" spans="1:4" ht="22.5" customHeight="1" x14ac:dyDescent="0.15">
      <c r="A388" s="16" t="s">
        <v>443</v>
      </c>
      <c r="B388" s="12" t="s">
        <v>1539</v>
      </c>
      <c r="C388" s="13" t="s">
        <v>115</v>
      </c>
      <c r="D388" s="40">
        <v>0</v>
      </c>
    </row>
    <row r="389" spans="1:4" ht="22.5" customHeight="1" x14ac:dyDescent="0.15">
      <c r="A389" s="16" t="s">
        <v>463</v>
      </c>
      <c r="B389" s="12" t="s">
        <v>1502</v>
      </c>
      <c r="C389" s="13" t="s">
        <v>30</v>
      </c>
      <c r="D389" s="40">
        <v>0</v>
      </c>
    </row>
    <row r="390" spans="1:4" ht="22.5" customHeight="1" x14ac:dyDescent="0.15">
      <c r="A390" s="16" t="s">
        <v>463</v>
      </c>
      <c r="B390" s="12" t="s">
        <v>1504</v>
      </c>
      <c r="C390" s="13" t="s">
        <v>115</v>
      </c>
      <c r="D390" s="40">
        <v>0</v>
      </c>
    </row>
    <row r="391" spans="1:4" ht="22.5" customHeight="1" x14ac:dyDescent="0.15">
      <c r="A391" s="16" t="s">
        <v>1181</v>
      </c>
      <c r="B391" s="12" t="s">
        <v>1540</v>
      </c>
      <c r="C391" s="13" t="s">
        <v>88</v>
      </c>
      <c r="D391" s="40">
        <v>0</v>
      </c>
    </row>
    <row r="392" spans="1:4" ht="22.5" customHeight="1" x14ac:dyDescent="0.15">
      <c r="A392" s="16" t="s">
        <v>476</v>
      </c>
      <c r="B392" s="12" t="s">
        <v>1541</v>
      </c>
      <c r="C392" s="13" t="s">
        <v>18</v>
      </c>
      <c r="D392" s="40">
        <v>0</v>
      </c>
    </row>
    <row r="393" spans="1:4" ht="22.5" customHeight="1" x14ac:dyDescent="0.15">
      <c r="A393" s="16" t="s">
        <v>703</v>
      </c>
      <c r="B393" s="12" t="s">
        <v>1542</v>
      </c>
      <c r="C393" s="13" t="s">
        <v>18</v>
      </c>
      <c r="D393" s="40">
        <v>0</v>
      </c>
    </row>
    <row r="394" spans="1:4" ht="22.5" customHeight="1" x14ac:dyDescent="0.15">
      <c r="A394" s="16" t="s">
        <v>1544</v>
      </c>
      <c r="B394" s="12" t="s">
        <v>1545</v>
      </c>
      <c r="C394" s="13" t="s">
        <v>136</v>
      </c>
      <c r="D394" s="40">
        <v>0</v>
      </c>
    </row>
    <row r="395" spans="1:4" ht="22.5" customHeight="1" x14ac:dyDescent="0.15">
      <c r="A395" s="16" t="s">
        <v>485</v>
      </c>
      <c r="B395" s="12" t="s">
        <v>1493</v>
      </c>
      <c r="C395" s="13" t="s">
        <v>513</v>
      </c>
      <c r="D395" s="40">
        <v>0</v>
      </c>
    </row>
    <row r="396" spans="1:4" ht="22.5" customHeight="1" x14ac:dyDescent="0.15">
      <c r="A396" s="16" t="s">
        <v>489</v>
      </c>
      <c r="B396" s="12" t="s">
        <v>1546</v>
      </c>
      <c r="C396" s="13" t="s">
        <v>30</v>
      </c>
      <c r="D396" s="40">
        <v>0</v>
      </c>
    </row>
    <row r="397" spans="1:4" ht="22.5" customHeight="1" x14ac:dyDescent="0.15">
      <c r="A397" s="16" t="s">
        <v>1548</v>
      </c>
      <c r="B397" s="12" t="s">
        <v>1549</v>
      </c>
      <c r="C397" s="13" t="s">
        <v>18</v>
      </c>
      <c r="D397" s="40">
        <v>0</v>
      </c>
    </row>
    <row r="398" spans="1:4" ht="22.5" customHeight="1" x14ac:dyDescent="0.15">
      <c r="A398" s="16" t="s">
        <v>1548</v>
      </c>
      <c r="B398" s="12" t="s">
        <v>1550</v>
      </c>
      <c r="C398" s="13" t="s">
        <v>23</v>
      </c>
      <c r="D398" s="40">
        <v>0</v>
      </c>
    </row>
    <row r="399" spans="1:4" ht="22.5" customHeight="1" x14ac:dyDescent="0.15">
      <c r="A399" s="16" t="s">
        <v>1548</v>
      </c>
      <c r="B399" s="12" t="s">
        <v>1551</v>
      </c>
      <c r="C399" s="13" t="s">
        <v>23</v>
      </c>
      <c r="D399" s="40">
        <v>0</v>
      </c>
    </row>
    <row r="400" spans="1:4" ht="22.5" customHeight="1" x14ac:dyDescent="0.15">
      <c r="A400" s="16" t="s">
        <v>1548</v>
      </c>
      <c r="B400" s="12" t="s">
        <v>1552</v>
      </c>
      <c r="C400" s="13" t="s">
        <v>77</v>
      </c>
      <c r="D400" s="40">
        <v>0</v>
      </c>
    </row>
    <row r="401" spans="1:4" ht="22.5" customHeight="1" x14ac:dyDescent="0.15">
      <c r="A401" s="16" t="s">
        <v>1554</v>
      </c>
      <c r="B401" s="12" t="s">
        <v>1555</v>
      </c>
      <c r="C401" s="13" t="s">
        <v>77</v>
      </c>
      <c r="D401" s="40">
        <v>0</v>
      </c>
    </row>
    <row r="402" spans="1:4" ht="22.5" customHeight="1" x14ac:dyDescent="0.15">
      <c r="A402" s="16" t="s">
        <v>1557</v>
      </c>
      <c r="B402" s="12" t="s">
        <v>1558</v>
      </c>
      <c r="C402" s="13" t="s">
        <v>67</v>
      </c>
      <c r="D402" s="40">
        <v>0</v>
      </c>
    </row>
    <row r="403" spans="1:4" ht="22.5" customHeight="1" x14ac:dyDescent="0.15">
      <c r="A403" s="16" t="s">
        <v>1557</v>
      </c>
      <c r="B403" s="12" t="s">
        <v>1559</v>
      </c>
      <c r="C403" s="13" t="s">
        <v>30</v>
      </c>
      <c r="D403" s="40">
        <v>0</v>
      </c>
    </row>
    <row r="404" spans="1:4" ht="22.5" customHeight="1" x14ac:dyDescent="0.15">
      <c r="A404" s="16" t="s">
        <v>1557</v>
      </c>
      <c r="B404" s="12" t="s">
        <v>1560</v>
      </c>
      <c r="C404" s="13" t="s">
        <v>30</v>
      </c>
      <c r="D404" s="40">
        <v>0</v>
      </c>
    </row>
    <row r="405" spans="1:4" ht="22.5" customHeight="1" x14ac:dyDescent="0.15">
      <c r="A405" s="16" t="s">
        <v>1563</v>
      </c>
      <c r="B405" s="12" t="s">
        <v>1564</v>
      </c>
      <c r="C405" s="13" t="s">
        <v>115</v>
      </c>
      <c r="D405" s="40">
        <v>0</v>
      </c>
    </row>
    <row r="406" spans="1:4" ht="22.5" customHeight="1" x14ac:dyDescent="0.15">
      <c r="A406" s="16" t="s">
        <v>511</v>
      </c>
      <c r="B406" s="12" t="s">
        <v>1565</v>
      </c>
      <c r="C406" s="13" t="s">
        <v>88</v>
      </c>
      <c r="D406" s="40">
        <v>0</v>
      </c>
    </row>
    <row r="407" spans="1:4" ht="22.5" customHeight="1" x14ac:dyDescent="0.15">
      <c r="A407" s="16" t="s">
        <v>112</v>
      </c>
      <c r="B407" s="12" t="s">
        <v>1448</v>
      </c>
      <c r="C407" s="13" t="s">
        <v>12</v>
      </c>
      <c r="D407" s="40">
        <v>0</v>
      </c>
    </row>
    <row r="408" spans="1:4" ht="22.5" customHeight="1" x14ac:dyDescent="0.15">
      <c r="A408" s="16" t="s">
        <v>112</v>
      </c>
      <c r="B408" s="12" t="s">
        <v>1449</v>
      </c>
      <c r="C408" s="13" t="s">
        <v>12</v>
      </c>
      <c r="D408" s="40">
        <v>0</v>
      </c>
    </row>
    <row r="409" spans="1:4" ht="22.5" customHeight="1" x14ac:dyDescent="0.15">
      <c r="A409" s="16" t="s">
        <v>617</v>
      </c>
      <c r="B409" s="12" t="s">
        <v>1566</v>
      </c>
      <c r="C409" s="13" t="s">
        <v>30</v>
      </c>
      <c r="D409" s="40">
        <v>0</v>
      </c>
    </row>
    <row r="410" spans="1:4" ht="22.5" customHeight="1" x14ac:dyDescent="0.15">
      <c r="A410" s="16" t="s">
        <v>617</v>
      </c>
      <c r="B410" s="12" t="s">
        <v>1567</v>
      </c>
      <c r="C410" s="13" t="s">
        <v>115</v>
      </c>
      <c r="D410" s="40">
        <v>0</v>
      </c>
    </row>
    <row r="411" spans="1:4" ht="22.5" customHeight="1" x14ac:dyDescent="0.15">
      <c r="A411" s="16" t="s">
        <v>523</v>
      </c>
      <c r="B411" s="12" t="s">
        <v>1568</v>
      </c>
      <c r="C411" s="13" t="s">
        <v>219</v>
      </c>
      <c r="D411" s="40">
        <v>0</v>
      </c>
    </row>
    <row r="412" spans="1:4" ht="22.5" customHeight="1" x14ac:dyDescent="0.15">
      <c r="A412" s="16" t="s">
        <v>523</v>
      </c>
      <c r="B412" s="12" t="s">
        <v>1569</v>
      </c>
      <c r="C412" s="13" t="s">
        <v>342</v>
      </c>
      <c r="D412" s="40">
        <v>0</v>
      </c>
    </row>
    <row r="413" spans="1:4" ht="22.5" customHeight="1" x14ac:dyDescent="0.15">
      <c r="A413" s="16" t="s">
        <v>534</v>
      </c>
      <c r="B413" s="12" t="s">
        <v>1570</v>
      </c>
      <c r="C413" s="13" t="s">
        <v>30</v>
      </c>
      <c r="D413" s="40">
        <v>0</v>
      </c>
    </row>
    <row r="414" spans="1:4" ht="22.5" customHeight="1" x14ac:dyDescent="0.15">
      <c r="A414" s="16" t="s">
        <v>557</v>
      </c>
      <c r="B414" s="12" t="s">
        <v>1559</v>
      </c>
      <c r="C414" s="13" t="s">
        <v>30</v>
      </c>
      <c r="D414" s="40">
        <v>0</v>
      </c>
    </row>
    <row r="415" spans="1:4" ht="22.5" customHeight="1" x14ac:dyDescent="0.15">
      <c r="A415" s="16" t="s">
        <v>557</v>
      </c>
      <c r="B415" s="12" t="s">
        <v>1571</v>
      </c>
      <c r="C415" s="13" t="s">
        <v>136</v>
      </c>
      <c r="D415" s="40">
        <v>0</v>
      </c>
    </row>
    <row r="416" spans="1:4" ht="22.5" customHeight="1" x14ac:dyDescent="0.15">
      <c r="A416" s="16" t="s">
        <v>560</v>
      </c>
      <c r="B416" s="12" t="s">
        <v>1572</v>
      </c>
      <c r="C416" s="13" t="s">
        <v>30</v>
      </c>
      <c r="D416" s="40">
        <v>0</v>
      </c>
    </row>
    <row r="417" spans="1:4" ht="22.5" customHeight="1" x14ac:dyDescent="0.15">
      <c r="A417" s="16" t="s">
        <v>560</v>
      </c>
      <c r="B417" s="12" t="s">
        <v>1573</v>
      </c>
      <c r="C417" s="13" t="s">
        <v>30</v>
      </c>
      <c r="D417" s="40">
        <v>0</v>
      </c>
    </row>
    <row r="418" spans="1:4" ht="22.5" customHeight="1" x14ac:dyDescent="0.15">
      <c r="A418" s="16" t="s">
        <v>1257</v>
      </c>
      <c r="B418" s="12" t="s">
        <v>1574</v>
      </c>
      <c r="C418" s="13" t="s">
        <v>77</v>
      </c>
      <c r="D418" s="40">
        <v>0</v>
      </c>
    </row>
    <row r="419" spans="1:4" ht="22.5" customHeight="1" x14ac:dyDescent="0.15">
      <c r="A419" s="16" t="s">
        <v>103</v>
      </c>
      <c r="B419" s="12" t="s">
        <v>1575</v>
      </c>
      <c r="C419" s="13" t="s">
        <v>83</v>
      </c>
      <c r="D419" s="40">
        <v>0</v>
      </c>
    </row>
    <row r="420" spans="1:4" ht="22.5" customHeight="1" x14ac:dyDescent="0.15">
      <c r="A420" s="16" t="s">
        <v>1271</v>
      </c>
      <c r="B420" s="12" t="s">
        <v>1576</v>
      </c>
      <c r="C420" s="13" t="s">
        <v>18</v>
      </c>
      <c r="D420" s="40">
        <v>0</v>
      </c>
    </row>
    <row r="421" spans="1:4" ht="22.5" customHeight="1" x14ac:dyDescent="0.15">
      <c r="A421" s="16" t="s">
        <v>568</v>
      </c>
      <c r="B421" s="12" t="s">
        <v>1577</v>
      </c>
      <c r="C421" s="13" t="s">
        <v>23</v>
      </c>
      <c r="D421" s="40">
        <v>0</v>
      </c>
    </row>
    <row r="422" spans="1:4" ht="22.5" customHeight="1" x14ac:dyDescent="0.15">
      <c r="A422" s="16" t="s">
        <v>572</v>
      </c>
      <c r="B422" s="12" t="s">
        <v>1578</v>
      </c>
      <c r="C422" s="13" t="s">
        <v>30</v>
      </c>
      <c r="D422" s="40">
        <v>0</v>
      </c>
    </row>
    <row r="423" spans="1:4" ht="22.5" customHeight="1" x14ac:dyDescent="0.15">
      <c r="A423" s="16" t="s">
        <v>572</v>
      </c>
      <c r="B423" s="12" t="s">
        <v>1579</v>
      </c>
      <c r="C423" s="13" t="s">
        <v>30</v>
      </c>
      <c r="D423" s="40">
        <v>0</v>
      </c>
    </row>
    <row r="424" spans="1:4" ht="22.5" customHeight="1" x14ac:dyDescent="0.15">
      <c r="A424" s="16" t="s">
        <v>70</v>
      </c>
      <c r="B424" s="12" t="s">
        <v>1580</v>
      </c>
      <c r="C424" s="13" t="s">
        <v>115</v>
      </c>
      <c r="D424" s="40">
        <v>0</v>
      </c>
    </row>
    <row r="425" spans="1:4" ht="22.5" customHeight="1" x14ac:dyDescent="0.15">
      <c r="A425" s="16" t="s">
        <v>70</v>
      </c>
      <c r="B425" s="12" t="s">
        <v>1582</v>
      </c>
      <c r="C425" s="13" t="s">
        <v>30</v>
      </c>
      <c r="D425" s="40">
        <v>0</v>
      </c>
    </row>
    <row r="426" spans="1:4" ht="22.5" customHeight="1" x14ac:dyDescent="0.15">
      <c r="A426" s="16" t="s">
        <v>70</v>
      </c>
      <c r="B426" s="12" t="s">
        <v>1583</v>
      </c>
      <c r="C426" s="13" t="s">
        <v>30</v>
      </c>
      <c r="D426" s="40">
        <v>0</v>
      </c>
    </row>
    <row r="427" spans="1:4" ht="22.5" customHeight="1" x14ac:dyDescent="0.15">
      <c r="A427" s="16" t="s">
        <v>133</v>
      </c>
      <c r="B427" s="12" t="s">
        <v>1584</v>
      </c>
      <c r="C427" s="13" t="s">
        <v>83</v>
      </c>
      <c r="D427" s="40">
        <v>0</v>
      </c>
    </row>
    <row r="428" spans="1:4" ht="22.5" customHeight="1" x14ac:dyDescent="0.15">
      <c r="A428" s="16" t="s">
        <v>81</v>
      </c>
      <c r="B428" s="12" t="s">
        <v>1585</v>
      </c>
      <c r="C428" s="13" t="s">
        <v>23</v>
      </c>
      <c r="D428" s="40">
        <v>0</v>
      </c>
    </row>
    <row r="429" spans="1:4" ht="22.5" customHeight="1" x14ac:dyDescent="0.15">
      <c r="A429" s="16" t="s">
        <v>347</v>
      </c>
      <c r="B429" s="12" t="s">
        <v>1584</v>
      </c>
      <c r="C429" s="13" t="s">
        <v>83</v>
      </c>
      <c r="D429" s="40">
        <v>0</v>
      </c>
    </row>
    <row r="430" spans="1:4" ht="22.5" customHeight="1" x14ac:dyDescent="0.15">
      <c r="A430" s="16" t="s">
        <v>249</v>
      </c>
      <c r="B430" s="12" t="s">
        <v>1586</v>
      </c>
      <c r="C430" s="13" t="s">
        <v>30</v>
      </c>
      <c r="D430" s="40">
        <v>0</v>
      </c>
    </row>
    <row r="431" spans="1:4" ht="22.5" customHeight="1" x14ac:dyDescent="0.15">
      <c r="A431" s="16" t="s">
        <v>399</v>
      </c>
      <c r="B431" s="12" t="s">
        <v>1586</v>
      </c>
      <c r="C431" s="13" t="s">
        <v>30</v>
      </c>
      <c r="D431" s="40">
        <v>0</v>
      </c>
    </row>
    <row r="432" spans="1:4" ht="22.5" customHeight="1" x14ac:dyDescent="0.15">
      <c r="A432" s="16" t="s">
        <v>142</v>
      </c>
      <c r="B432" s="12" t="s">
        <v>1588</v>
      </c>
      <c r="C432" s="13" t="s">
        <v>30</v>
      </c>
      <c r="D432" s="40">
        <v>0</v>
      </c>
    </row>
    <row r="433" spans="1:4" ht="22.5" customHeight="1" x14ac:dyDescent="0.15">
      <c r="A433" s="16" t="s">
        <v>166</v>
      </c>
      <c r="B433" s="12" t="s">
        <v>1590</v>
      </c>
      <c r="C433" s="13" t="s">
        <v>23</v>
      </c>
      <c r="D433" s="40">
        <v>0</v>
      </c>
    </row>
    <row r="434" spans="1:4" ht="22.5" customHeight="1" x14ac:dyDescent="0.15">
      <c r="A434" s="16" t="s">
        <v>166</v>
      </c>
      <c r="B434" s="12" t="s">
        <v>1591</v>
      </c>
      <c r="C434" s="13" t="s">
        <v>115</v>
      </c>
      <c r="D434" s="40">
        <v>0</v>
      </c>
    </row>
    <row r="435" spans="1:4" ht="22.5" customHeight="1" x14ac:dyDescent="0.15">
      <c r="A435" s="16" t="s">
        <v>81</v>
      </c>
      <c r="B435" s="12" t="s">
        <v>1592</v>
      </c>
      <c r="C435" s="13" t="s">
        <v>219</v>
      </c>
      <c r="D435" s="40">
        <v>0</v>
      </c>
    </row>
    <row r="436" spans="1:4" ht="22.5" customHeight="1" x14ac:dyDescent="0.15">
      <c r="A436" s="16" t="s">
        <v>1595</v>
      </c>
      <c r="B436" s="12" t="s">
        <v>1596</v>
      </c>
      <c r="C436" s="13" t="s">
        <v>18</v>
      </c>
      <c r="D436" s="40">
        <v>0</v>
      </c>
    </row>
    <row r="437" spans="1:4" ht="22.5" customHeight="1" x14ac:dyDescent="0.15">
      <c r="A437" s="16" t="s">
        <v>75</v>
      </c>
      <c r="B437" s="12" t="s">
        <v>1597</v>
      </c>
      <c r="C437" s="13" t="s">
        <v>18</v>
      </c>
      <c r="D437" s="40">
        <v>0</v>
      </c>
    </row>
    <row r="438" spans="1:4" ht="22.5" customHeight="1" x14ac:dyDescent="0.15">
      <c r="A438" s="16" t="s">
        <v>1563</v>
      </c>
      <c r="B438" s="12" t="s">
        <v>1598</v>
      </c>
      <c r="C438" s="13" t="s">
        <v>18</v>
      </c>
      <c r="D438" s="40">
        <v>0</v>
      </c>
    </row>
    <row r="439" spans="1:4" ht="22.5" customHeight="1" x14ac:dyDescent="0.15">
      <c r="A439" s="16" t="s">
        <v>523</v>
      </c>
      <c r="B439" s="12" t="s">
        <v>1599</v>
      </c>
      <c r="C439" s="13" t="s">
        <v>18</v>
      </c>
      <c r="D439" s="40">
        <v>0</v>
      </c>
    </row>
    <row r="440" spans="1:4" ht="22.5" customHeight="1" x14ac:dyDescent="0.15">
      <c r="A440" s="16" t="s">
        <v>359</v>
      </c>
      <c r="B440" s="12" t="s">
        <v>1600</v>
      </c>
      <c r="C440" s="13" t="s">
        <v>23</v>
      </c>
      <c r="D440" s="40">
        <v>0</v>
      </c>
    </row>
    <row r="441" spans="1:4" ht="22.5" customHeight="1" x14ac:dyDescent="0.15">
      <c r="A441" s="16" t="s">
        <v>107</v>
      </c>
      <c r="B441" s="12" t="s">
        <v>1602</v>
      </c>
      <c r="C441" s="13" t="s">
        <v>77</v>
      </c>
      <c r="D441" s="40">
        <v>0</v>
      </c>
    </row>
    <row r="442" spans="1:4" ht="22.5" customHeight="1" x14ac:dyDescent="0.15">
      <c r="A442" s="16" t="s">
        <v>1606</v>
      </c>
      <c r="B442" s="12" t="s">
        <v>1607</v>
      </c>
      <c r="C442" s="13" t="s">
        <v>23</v>
      </c>
      <c r="D442" s="40">
        <v>0</v>
      </c>
    </row>
    <row r="443" spans="1:4" ht="22.5" customHeight="1" x14ac:dyDescent="0.15">
      <c r="A443" s="16" t="s">
        <v>955</v>
      </c>
      <c r="B443" s="12" t="s">
        <v>1608</v>
      </c>
      <c r="C443" s="13" t="s">
        <v>18</v>
      </c>
      <c r="D443" s="40">
        <v>0</v>
      </c>
    </row>
    <row r="444" spans="1:4" ht="22.5" customHeight="1" x14ac:dyDescent="0.15">
      <c r="A444" s="16" t="s">
        <v>112</v>
      </c>
      <c r="B444" s="12" t="s">
        <v>1602</v>
      </c>
      <c r="C444" s="13" t="s">
        <v>77</v>
      </c>
      <c r="D444" s="40">
        <v>0</v>
      </c>
    </row>
    <row r="445" spans="1:4" ht="22.5" customHeight="1" x14ac:dyDescent="0.15">
      <c r="A445" s="16" t="s">
        <v>107</v>
      </c>
      <c r="B445" s="12" t="s">
        <v>1609</v>
      </c>
      <c r="C445" s="13" t="s">
        <v>12</v>
      </c>
      <c r="D445" s="40">
        <v>0</v>
      </c>
    </row>
    <row r="446" spans="1:4" ht="22.5" customHeight="1" x14ac:dyDescent="0.15">
      <c r="A446" s="16" t="s">
        <v>401</v>
      </c>
      <c r="B446" s="12" t="s">
        <v>1611</v>
      </c>
      <c r="C446" s="13" t="s">
        <v>23</v>
      </c>
      <c r="D446" s="40">
        <v>0</v>
      </c>
    </row>
    <row r="447" spans="1:4" ht="22.5" customHeight="1" x14ac:dyDescent="0.15">
      <c r="A447" s="16" t="s">
        <v>112</v>
      </c>
      <c r="B447" s="12" t="s">
        <v>1609</v>
      </c>
      <c r="C447" s="13" t="s">
        <v>12</v>
      </c>
      <c r="D447" s="40">
        <v>0</v>
      </c>
    </row>
    <row r="448" spans="1:4" ht="22.5" customHeight="1" x14ac:dyDescent="0.15">
      <c r="A448" s="16" t="s">
        <v>86</v>
      </c>
      <c r="B448" s="12" t="s">
        <v>1613</v>
      </c>
      <c r="C448" s="13" t="s">
        <v>18</v>
      </c>
      <c r="D448" s="40">
        <v>0</v>
      </c>
    </row>
    <row r="449" spans="1:4" ht="22.5" customHeight="1" x14ac:dyDescent="0.15">
      <c r="A449" s="16" t="s">
        <v>1185</v>
      </c>
      <c r="B449" s="12" t="s">
        <v>1615</v>
      </c>
      <c r="C449" s="13" t="s">
        <v>30</v>
      </c>
      <c r="D449" s="40">
        <v>0</v>
      </c>
    </row>
    <row r="450" spans="1:4" ht="22.5" customHeight="1" x14ac:dyDescent="0.15">
      <c r="A450" s="16" t="s">
        <v>1210</v>
      </c>
      <c r="B450" s="12" t="s">
        <v>1615</v>
      </c>
      <c r="C450" s="13" t="s">
        <v>30</v>
      </c>
      <c r="D450" s="40">
        <v>0</v>
      </c>
    </row>
    <row r="451" spans="1:4" ht="22.5" customHeight="1" x14ac:dyDescent="0.15">
      <c r="A451" s="16" t="s">
        <v>497</v>
      </c>
      <c r="B451" s="12" t="s">
        <v>1617</v>
      </c>
      <c r="C451" s="13" t="s">
        <v>30</v>
      </c>
      <c r="D451" s="40">
        <v>0</v>
      </c>
    </row>
    <row r="452" spans="1:4" ht="22.5" customHeight="1" x14ac:dyDescent="0.15">
      <c r="A452" s="16" t="s">
        <v>175</v>
      </c>
      <c r="B452" s="12" t="s">
        <v>1618</v>
      </c>
      <c r="C452" s="13" t="s">
        <v>88</v>
      </c>
      <c r="D452" s="40">
        <v>0</v>
      </c>
    </row>
    <row r="453" spans="1:4" ht="22.5" customHeight="1" x14ac:dyDescent="0.15">
      <c r="A453" s="16" t="s">
        <v>175</v>
      </c>
      <c r="B453" s="12" t="s">
        <v>1619</v>
      </c>
      <c r="C453" s="13" t="s">
        <v>88</v>
      </c>
      <c r="D453" s="40">
        <v>0</v>
      </c>
    </row>
    <row r="454" spans="1:4" ht="22.5" customHeight="1" x14ac:dyDescent="0.15">
      <c r="A454" s="16" t="s">
        <v>1456</v>
      </c>
      <c r="B454" s="12" t="s">
        <v>1620</v>
      </c>
      <c r="C454" s="13" t="s">
        <v>136</v>
      </c>
      <c r="D454" s="40">
        <v>0</v>
      </c>
    </row>
    <row r="455" spans="1:4" ht="22.5" customHeight="1" x14ac:dyDescent="0.15">
      <c r="A455" s="16" t="s">
        <v>166</v>
      </c>
      <c r="B455" s="12" t="s">
        <v>1621</v>
      </c>
      <c r="C455" s="13" t="s">
        <v>30</v>
      </c>
      <c r="D455" s="40">
        <v>0</v>
      </c>
    </row>
    <row r="456" spans="1:4" ht="22.5" customHeight="1" x14ac:dyDescent="0.15">
      <c r="A456" s="16" t="s">
        <v>714</v>
      </c>
      <c r="B456" s="12" t="s">
        <v>1622</v>
      </c>
      <c r="C456" s="13" t="s">
        <v>30</v>
      </c>
      <c r="D456" s="40">
        <v>0</v>
      </c>
    </row>
    <row r="457" spans="1:4" ht="22.5" customHeight="1" x14ac:dyDescent="0.15">
      <c r="A457" s="16" t="s">
        <v>1625</v>
      </c>
      <c r="B457" s="12" t="s">
        <v>1626</v>
      </c>
      <c r="C457" s="13" t="s">
        <v>30</v>
      </c>
      <c r="D457" s="40">
        <v>0</v>
      </c>
    </row>
    <row r="458" spans="1:4" ht="22.5" customHeight="1" x14ac:dyDescent="0.15">
      <c r="A458" s="16" t="s">
        <v>489</v>
      </c>
      <c r="B458" s="12" t="s">
        <v>1627</v>
      </c>
      <c r="C458" s="13" t="s">
        <v>88</v>
      </c>
      <c r="D458" s="40">
        <v>0</v>
      </c>
    </row>
    <row r="459" spans="1:4" ht="22.5" customHeight="1" x14ac:dyDescent="0.15">
      <c r="A459" s="16" t="s">
        <v>1021</v>
      </c>
      <c r="B459" s="12" t="s">
        <v>1629</v>
      </c>
      <c r="C459" s="13" t="s">
        <v>18</v>
      </c>
      <c r="D459" s="40">
        <v>0</v>
      </c>
    </row>
    <row r="460" spans="1:4" ht="22.5" customHeight="1" x14ac:dyDescent="0.15">
      <c r="A460" s="16" t="s">
        <v>617</v>
      </c>
      <c r="B460" s="12" t="s">
        <v>1630</v>
      </c>
      <c r="C460" s="13" t="s">
        <v>30</v>
      </c>
      <c r="D460" s="40">
        <v>0</v>
      </c>
    </row>
    <row r="461" spans="1:4" ht="22.5" customHeight="1" x14ac:dyDescent="0.15">
      <c r="A461" s="16" t="s">
        <v>668</v>
      </c>
      <c r="B461" s="12" t="s">
        <v>1631</v>
      </c>
      <c r="C461" s="13" t="s">
        <v>88</v>
      </c>
      <c r="D461" s="40">
        <v>0</v>
      </c>
    </row>
    <row r="462" spans="1:4" ht="22.5" customHeight="1" x14ac:dyDescent="0.15">
      <c r="A462" s="16" t="s">
        <v>223</v>
      </c>
      <c r="B462" s="12" t="s">
        <v>1632</v>
      </c>
      <c r="C462" s="13" t="s">
        <v>30</v>
      </c>
      <c r="D462" s="40">
        <v>0</v>
      </c>
    </row>
    <row r="463" spans="1:4" ht="22.5" customHeight="1" x14ac:dyDescent="0.15">
      <c r="A463" s="16" t="s">
        <v>703</v>
      </c>
      <c r="B463" s="12" t="s">
        <v>1633</v>
      </c>
      <c r="C463" s="13" t="s">
        <v>18</v>
      </c>
      <c r="D463" s="40">
        <v>0</v>
      </c>
    </row>
    <row r="464" spans="1:4" ht="22.5" customHeight="1" x14ac:dyDescent="0.15">
      <c r="A464" s="16" t="s">
        <v>179</v>
      </c>
      <c r="B464" s="12" t="s">
        <v>1634</v>
      </c>
      <c r="C464" s="13" t="s">
        <v>30</v>
      </c>
      <c r="D464" s="40">
        <v>0</v>
      </c>
    </row>
    <row r="465" spans="1:4" ht="22.5" customHeight="1" x14ac:dyDescent="0.15">
      <c r="A465" s="16" t="s">
        <v>401</v>
      </c>
      <c r="B465" s="12" t="s">
        <v>1636</v>
      </c>
      <c r="C465" s="13" t="s">
        <v>88</v>
      </c>
      <c r="D465" s="40">
        <v>0</v>
      </c>
    </row>
    <row r="466" spans="1:4" ht="22.5" customHeight="1" x14ac:dyDescent="0.15">
      <c r="A466" s="16" t="s">
        <v>401</v>
      </c>
      <c r="B466" s="12" t="s">
        <v>1637</v>
      </c>
      <c r="C466" s="13" t="s">
        <v>18</v>
      </c>
      <c r="D466" s="40">
        <v>0</v>
      </c>
    </row>
    <row r="467" spans="1:4" ht="22.5" customHeight="1" x14ac:dyDescent="0.15">
      <c r="A467" s="16" t="s">
        <v>572</v>
      </c>
      <c r="B467" s="12" t="s">
        <v>1638</v>
      </c>
      <c r="C467" s="13" t="s">
        <v>30</v>
      </c>
      <c r="D467" s="40">
        <v>0</v>
      </c>
    </row>
    <row r="468" spans="1:4" ht="22.5" customHeight="1" x14ac:dyDescent="0.15">
      <c r="A468" s="16" t="s">
        <v>511</v>
      </c>
      <c r="B468" s="12" t="s">
        <v>1639</v>
      </c>
      <c r="C468" s="13" t="s">
        <v>30</v>
      </c>
      <c r="D468" s="40">
        <v>0</v>
      </c>
    </row>
    <row r="469" spans="1:4" ht="22.5" customHeight="1" x14ac:dyDescent="0.15">
      <c r="A469" s="16" t="s">
        <v>154</v>
      </c>
      <c r="B469" s="12" t="s">
        <v>1640</v>
      </c>
      <c r="C469" s="13" t="s">
        <v>18</v>
      </c>
      <c r="D469" s="40">
        <v>0</v>
      </c>
    </row>
    <row r="470" spans="1:4" ht="22.5" customHeight="1" x14ac:dyDescent="0.15">
      <c r="A470" s="16" t="s">
        <v>170</v>
      </c>
      <c r="B470" s="12" t="s">
        <v>1641</v>
      </c>
      <c r="C470" s="13" t="s">
        <v>136</v>
      </c>
      <c r="D470" s="40">
        <v>0</v>
      </c>
    </row>
    <row r="471" spans="1:4" ht="22.5" customHeight="1" x14ac:dyDescent="0.15">
      <c r="A471" s="16" t="s">
        <v>853</v>
      </c>
      <c r="B471" s="12" t="s">
        <v>1643</v>
      </c>
      <c r="C471" s="13" t="s">
        <v>30</v>
      </c>
      <c r="D471" s="40">
        <v>0</v>
      </c>
    </row>
    <row r="472" spans="1:4" ht="22.5" customHeight="1" x14ac:dyDescent="0.15">
      <c r="A472" s="16" t="s">
        <v>577</v>
      </c>
      <c r="B472" s="12" t="s">
        <v>1644</v>
      </c>
      <c r="C472" s="13" t="s">
        <v>18</v>
      </c>
      <c r="D472" s="40">
        <v>0</v>
      </c>
    </row>
    <row r="473" spans="1:4" ht="22.5" customHeight="1" x14ac:dyDescent="0.15">
      <c r="A473" s="16" t="s">
        <v>577</v>
      </c>
      <c r="B473" s="12" t="s">
        <v>1645</v>
      </c>
      <c r="C473" s="13" t="s">
        <v>18</v>
      </c>
      <c r="D473" s="40">
        <v>0</v>
      </c>
    </row>
    <row r="474" spans="1:4" ht="22.5" customHeight="1" x14ac:dyDescent="0.15">
      <c r="A474" s="16" t="s">
        <v>15</v>
      </c>
      <c r="B474" s="12" t="s">
        <v>1646</v>
      </c>
      <c r="C474" s="13" t="s">
        <v>30</v>
      </c>
      <c r="D474" s="40">
        <v>0</v>
      </c>
    </row>
    <row r="475" spans="1:4" ht="22.5" customHeight="1" x14ac:dyDescent="0.15">
      <c r="A475" s="16" t="s">
        <v>70</v>
      </c>
      <c r="B475" s="12" t="s">
        <v>1647</v>
      </c>
      <c r="C475" s="13" t="s">
        <v>30</v>
      </c>
      <c r="D475" s="40">
        <v>0</v>
      </c>
    </row>
    <row r="476" spans="1:4" ht="22.5" customHeight="1" x14ac:dyDescent="0.15">
      <c r="A476" s="16" t="s">
        <v>70</v>
      </c>
      <c r="B476" s="12" t="s">
        <v>1648</v>
      </c>
      <c r="C476" s="13" t="s">
        <v>30</v>
      </c>
      <c r="D476" s="40">
        <v>0</v>
      </c>
    </row>
    <row r="477" spans="1:4" ht="22.5" customHeight="1" x14ac:dyDescent="0.15">
      <c r="A477" s="16" t="s">
        <v>1404</v>
      </c>
      <c r="B477" s="12" t="s">
        <v>1649</v>
      </c>
      <c r="C477" s="13" t="s">
        <v>88</v>
      </c>
      <c r="D477" s="40">
        <v>0</v>
      </c>
    </row>
    <row r="478" spans="1:4" ht="22.5" customHeight="1" x14ac:dyDescent="0.15">
      <c r="A478" s="16" t="s">
        <v>1404</v>
      </c>
      <c r="B478" s="12" t="s">
        <v>1650</v>
      </c>
      <c r="C478" s="13" t="s">
        <v>83</v>
      </c>
      <c r="D478" s="40">
        <v>0</v>
      </c>
    </row>
    <row r="479" spans="1:4" ht="22.5" customHeight="1" x14ac:dyDescent="0.15">
      <c r="A479" s="16" t="s">
        <v>725</v>
      </c>
      <c r="B479" s="12" t="s">
        <v>1651</v>
      </c>
      <c r="C479" s="13" t="s">
        <v>136</v>
      </c>
      <c r="D479" s="40">
        <v>0</v>
      </c>
    </row>
    <row r="480" spans="1:4" ht="22.5" customHeight="1" x14ac:dyDescent="0.15">
      <c r="A480" s="16" t="s">
        <v>725</v>
      </c>
      <c r="B480" s="12" t="s">
        <v>1652</v>
      </c>
      <c r="C480" s="13" t="s">
        <v>136</v>
      </c>
      <c r="D480" s="40">
        <v>0</v>
      </c>
    </row>
    <row r="481" spans="1:4" ht="22.5" customHeight="1" x14ac:dyDescent="0.15">
      <c r="A481" s="16" t="s">
        <v>725</v>
      </c>
      <c r="B481" s="12" t="s">
        <v>1653</v>
      </c>
      <c r="C481" s="13" t="s">
        <v>18</v>
      </c>
      <c r="D481" s="40">
        <v>0</v>
      </c>
    </row>
    <row r="482" spans="1:4" ht="22.5" customHeight="1" x14ac:dyDescent="0.15">
      <c r="A482" s="16" t="s">
        <v>621</v>
      </c>
      <c r="B482" s="12" t="s">
        <v>1654</v>
      </c>
      <c r="C482" s="13" t="s">
        <v>30</v>
      </c>
      <c r="D482" s="40">
        <v>0</v>
      </c>
    </row>
    <row r="483" spans="1:4" ht="22.5" customHeight="1" x14ac:dyDescent="0.15">
      <c r="A483" s="16" t="s">
        <v>621</v>
      </c>
      <c r="B483" s="12" t="s">
        <v>1655</v>
      </c>
      <c r="C483" s="13" t="s">
        <v>30</v>
      </c>
      <c r="D483" s="40">
        <v>0</v>
      </c>
    </row>
    <row r="484" spans="1:4" ht="22.5" customHeight="1" x14ac:dyDescent="0.15">
      <c r="A484" s="16" t="s">
        <v>636</v>
      </c>
      <c r="B484" s="12" t="s">
        <v>1656</v>
      </c>
      <c r="C484" s="13" t="s">
        <v>30</v>
      </c>
      <c r="D484" s="40">
        <v>0</v>
      </c>
    </row>
    <row r="485" spans="1:4" ht="22.5" customHeight="1" x14ac:dyDescent="0.15">
      <c r="A485" s="16" t="s">
        <v>1659</v>
      </c>
      <c r="B485" s="12" t="s">
        <v>1660</v>
      </c>
      <c r="C485" s="13" t="s">
        <v>18</v>
      </c>
      <c r="D485" s="40">
        <v>0</v>
      </c>
    </row>
    <row r="486" spans="1:4" ht="22.5" customHeight="1" x14ac:dyDescent="0.15">
      <c r="A486" s="16" t="s">
        <v>129</v>
      </c>
      <c r="B486" s="12" t="s">
        <v>1661</v>
      </c>
      <c r="C486" s="13" t="s">
        <v>30</v>
      </c>
      <c r="D486" s="40">
        <v>0</v>
      </c>
    </row>
    <row r="487" spans="1:4" ht="22.5" customHeight="1" x14ac:dyDescent="0.15">
      <c r="A487" s="16" t="s">
        <v>1410</v>
      </c>
      <c r="B487" s="12" t="s">
        <v>1662</v>
      </c>
      <c r="C487" s="13" t="s">
        <v>83</v>
      </c>
      <c r="D487" s="40">
        <v>0</v>
      </c>
    </row>
    <row r="488" spans="1:4" ht="22.5" customHeight="1" x14ac:dyDescent="0.15">
      <c r="A488" s="16" t="s">
        <v>1410</v>
      </c>
      <c r="B488" s="12" t="s">
        <v>1663</v>
      </c>
      <c r="C488" s="13" t="s">
        <v>30</v>
      </c>
      <c r="D488" s="40">
        <v>0</v>
      </c>
    </row>
    <row r="489" spans="1:4" ht="22.5" customHeight="1" x14ac:dyDescent="0.15">
      <c r="A489" s="16" t="s">
        <v>1410</v>
      </c>
      <c r="B489" s="12" t="s">
        <v>1664</v>
      </c>
      <c r="C489" s="13" t="s">
        <v>88</v>
      </c>
      <c r="D489" s="40">
        <v>0</v>
      </c>
    </row>
    <row r="490" spans="1:4" ht="22.5" customHeight="1" x14ac:dyDescent="0.15">
      <c r="A490" s="16" t="s">
        <v>1410</v>
      </c>
      <c r="B490" s="12" t="s">
        <v>1665</v>
      </c>
      <c r="C490" s="13" t="s">
        <v>136</v>
      </c>
      <c r="D490" s="40">
        <v>0</v>
      </c>
    </row>
    <row r="491" spans="1:4" ht="22.5" customHeight="1" x14ac:dyDescent="0.15">
      <c r="A491" s="16" t="s">
        <v>133</v>
      </c>
      <c r="B491" s="12" t="s">
        <v>1666</v>
      </c>
      <c r="C491" s="13" t="s">
        <v>30</v>
      </c>
      <c r="D491" s="40">
        <v>0</v>
      </c>
    </row>
    <row r="492" spans="1:4" ht="22.5" customHeight="1" x14ac:dyDescent="0.15">
      <c r="A492" s="16" t="s">
        <v>133</v>
      </c>
      <c r="B492" s="12" t="s">
        <v>1667</v>
      </c>
      <c r="C492" s="13" t="s">
        <v>30</v>
      </c>
      <c r="D492" s="40">
        <v>0</v>
      </c>
    </row>
    <row r="493" spans="1:4" ht="22.5" customHeight="1" x14ac:dyDescent="0.15">
      <c r="A493" s="16" t="s">
        <v>142</v>
      </c>
      <c r="B493" s="12" t="s">
        <v>1668</v>
      </c>
      <c r="C493" s="13" t="s">
        <v>18</v>
      </c>
      <c r="D493" s="40">
        <v>0</v>
      </c>
    </row>
    <row r="494" spans="1:4" ht="22.5" customHeight="1" x14ac:dyDescent="0.15">
      <c r="A494" s="16" t="s">
        <v>142</v>
      </c>
      <c r="B494" s="12" t="s">
        <v>1669</v>
      </c>
      <c r="C494" s="13" t="s">
        <v>18</v>
      </c>
      <c r="D494" s="40">
        <v>0</v>
      </c>
    </row>
    <row r="495" spans="1:4" ht="22.5" customHeight="1" x14ac:dyDescent="0.15">
      <c r="A495" s="16" t="s">
        <v>142</v>
      </c>
      <c r="B495" s="12" t="s">
        <v>1670</v>
      </c>
      <c r="C495" s="13" t="s">
        <v>30</v>
      </c>
      <c r="D495" s="40">
        <v>0</v>
      </c>
    </row>
    <row r="496" spans="1:4" ht="22.5" customHeight="1" x14ac:dyDescent="0.15">
      <c r="A496" s="16" t="s">
        <v>142</v>
      </c>
      <c r="B496" s="12" t="s">
        <v>1671</v>
      </c>
      <c r="C496" s="13" t="s">
        <v>23</v>
      </c>
      <c r="D496" s="40">
        <v>0</v>
      </c>
    </row>
    <row r="497" spans="1:4" ht="22.5" customHeight="1" x14ac:dyDescent="0.15">
      <c r="A497" s="16" t="s">
        <v>142</v>
      </c>
      <c r="B497" s="12" t="s">
        <v>1672</v>
      </c>
      <c r="C497" s="13" t="s">
        <v>30</v>
      </c>
      <c r="D497" s="40">
        <v>0</v>
      </c>
    </row>
    <row r="498" spans="1:4" ht="22.5" customHeight="1" x14ac:dyDescent="0.15">
      <c r="A498" s="16" t="s">
        <v>154</v>
      </c>
      <c r="B498" s="12" t="s">
        <v>1673</v>
      </c>
      <c r="C498" s="13" t="s">
        <v>30</v>
      </c>
      <c r="D498" s="40">
        <v>0</v>
      </c>
    </row>
    <row r="499" spans="1:4" ht="22.5" customHeight="1" x14ac:dyDescent="0.15">
      <c r="A499" s="16" t="s">
        <v>668</v>
      </c>
      <c r="B499" s="12" t="s">
        <v>1674</v>
      </c>
      <c r="C499" s="13" t="s">
        <v>18</v>
      </c>
      <c r="D499" s="40">
        <v>0</v>
      </c>
    </row>
    <row r="500" spans="1:4" ht="22.5" customHeight="1" x14ac:dyDescent="0.15">
      <c r="A500" s="16" t="s">
        <v>160</v>
      </c>
      <c r="B500" s="12" t="s">
        <v>1675</v>
      </c>
      <c r="C500" s="13" t="s">
        <v>83</v>
      </c>
      <c r="D500" s="40">
        <v>0</v>
      </c>
    </row>
    <row r="501" spans="1:4" ht="22.5" customHeight="1" x14ac:dyDescent="0.15">
      <c r="A501" s="16" t="s">
        <v>160</v>
      </c>
      <c r="B501" s="12" t="s">
        <v>1676</v>
      </c>
      <c r="C501" s="13" t="s">
        <v>83</v>
      </c>
      <c r="D501" s="40">
        <v>0</v>
      </c>
    </row>
    <row r="502" spans="1:4" ht="22.5" customHeight="1" x14ac:dyDescent="0.15">
      <c r="A502" s="16" t="s">
        <v>166</v>
      </c>
      <c r="B502" s="12" t="s">
        <v>1677</v>
      </c>
      <c r="C502" s="13" t="s">
        <v>83</v>
      </c>
      <c r="D502" s="40">
        <v>0</v>
      </c>
    </row>
    <row r="503" spans="1:4" ht="22.5" customHeight="1" x14ac:dyDescent="0.15">
      <c r="A503" s="16" t="s">
        <v>166</v>
      </c>
      <c r="B503" s="12" t="s">
        <v>1678</v>
      </c>
      <c r="C503" s="13" t="s">
        <v>30</v>
      </c>
      <c r="D503" s="40">
        <v>0</v>
      </c>
    </row>
    <row r="504" spans="1:4" ht="22.5" customHeight="1" x14ac:dyDescent="0.15">
      <c r="A504" s="16" t="s">
        <v>166</v>
      </c>
      <c r="B504" s="12" t="s">
        <v>1679</v>
      </c>
      <c r="C504" s="13" t="s">
        <v>30</v>
      </c>
      <c r="D504" s="40">
        <v>0</v>
      </c>
    </row>
    <row r="505" spans="1:4" ht="22.5" customHeight="1" x14ac:dyDescent="0.15">
      <c r="A505" s="16" t="s">
        <v>1680</v>
      </c>
      <c r="B505" s="12" t="s">
        <v>1681</v>
      </c>
      <c r="C505" s="13" t="s">
        <v>30</v>
      </c>
      <c r="D505" s="40">
        <v>0</v>
      </c>
    </row>
    <row r="506" spans="1:4" ht="22.5" customHeight="1" x14ac:dyDescent="0.15">
      <c r="A506" s="16" t="s">
        <v>683</v>
      </c>
      <c r="B506" s="12" t="s">
        <v>1682</v>
      </c>
      <c r="C506" s="13" t="s">
        <v>83</v>
      </c>
      <c r="D506" s="40">
        <v>0</v>
      </c>
    </row>
    <row r="507" spans="1:4" ht="22.5" customHeight="1" x14ac:dyDescent="0.15">
      <c r="A507" s="16" t="s">
        <v>683</v>
      </c>
      <c r="B507" s="12" t="s">
        <v>1683</v>
      </c>
      <c r="C507" s="13" t="s">
        <v>88</v>
      </c>
      <c r="D507" s="40">
        <v>0</v>
      </c>
    </row>
    <row r="508" spans="1:4" ht="22.5" customHeight="1" x14ac:dyDescent="0.15">
      <c r="A508" s="16" t="s">
        <v>683</v>
      </c>
      <c r="B508" s="12" t="s">
        <v>1684</v>
      </c>
      <c r="C508" s="13" t="s">
        <v>18</v>
      </c>
      <c r="D508" s="40">
        <v>0</v>
      </c>
    </row>
    <row r="509" spans="1:4" ht="22.5" customHeight="1" x14ac:dyDescent="0.15">
      <c r="A509" s="16" t="s">
        <v>1687</v>
      </c>
      <c r="B509" s="12" t="s">
        <v>1688</v>
      </c>
      <c r="C509" s="13" t="s">
        <v>219</v>
      </c>
      <c r="D509" s="40">
        <v>0</v>
      </c>
    </row>
    <row r="510" spans="1:4" ht="22.5" customHeight="1" x14ac:dyDescent="0.15">
      <c r="A510" s="16" t="s">
        <v>175</v>
      </c>
      <c r="B510" s="12" t="s">
        <v>1689</v>
      </c>
      <c r="C510" s="13" t="s">
        <v>30</v>
      </c>
      <c r="D510" s="40">
        <v>0</v>
      </c>
    </row>
    <row r="511" spans="1:4" ht="22.5" customHeight="1" x14ac:dyDescent="0.15">
      <c r="A511" s="16" t="s">
        <v>175</v>
      </c>
      <c r="B511" s="12" t="s">
        <v>1690</v>
      </c>
      <c r="C511" s="13" t="s">
        <v>30</v>
      </c>
      <c r="D511" s="40">
        <v>0</v>
      </c>
    </row>
    <row r="512" spans="1:4" ht="22.5" customHeight="1" x14ac:dyDescent="0.15">
      <c r="A512" s="16" t="s">
        <v>1693</v>
      </c>
      <c r="B512" s="12" t="s">
        <v>1694</v>
      </c>
      <c r="C512" s="13" t="s">
        <v>18</v>
      </c>
      <c r="D512" s="40">
        <v>0</v>
      </c>
    </row>
    <row r="513" spans="1:4" ht="22.5" customHeight="1" x14ac:dyDescent="0.15">
      <c r="A513" s="16" t="s">
        <v>1697</v>
      </c>
      <c r="B513" s="12" t="s">
        <v>1698</v>
      </c>
      <c r="C513" s="13" t="s">
        <v>219</v>
      </c>
      <c r="D513" s="40">
        <v>0</v>
      </c>
    </row>
    <row r="514" spans="1:4" ht="22.5" customHeight="1" x14ac:dyDescent="0.15">
      <c r="A514" s="16" t="s">
        <v>193</v>
      </c>
      <c r="B514" s="12" t="s">
        <v>1699</v>
      </c>
      <c r="C514" s="13" t="s">
        <v>136</v>
      </c>
      <c r="D514" s="40">
        <v>0</v>
      </c>
    </row>
    <row r="515" spans="1:4" ht="22.5" customHeight="1" x14ac:dyDescent="0.15">
      <c r="A515" s="16" t="s">
        <v>75</v>
      </c>
      <c r="B515" s="12" t="s">
        <v>1700</v>
      </c>
      <c r="C515" s="13" t="s">
        <v>77</v>
      </c>
      <c r="D515" s="40">
        <v>0</v>
      </c>
    </row>
    <row r="516" spans="1:4" ht="22.5" customHeight="1" x14ac:dyDescent="0.15">
      <c r="A516" s="16" t="s">
        <v>75</v>
      </c>
      <c r="B516" s="12" t="s">
        <v>1701</v>
      </c>
      <c r="C516" s="13" t="s">
        <v>77</v>
      </c>
      <c r="D516" s="40">
        <v>0</v>
      </c>
    </row>
    <row r="517" spans="1:4" ht="22.5" customHeight="1" x14ac:dyDescent="0.15">
      <c r="A517" s="16" t="s">
        <v>1456</v>
      </c>
      <c r="B517" s="12" t="s">
        <v>1702</v>
      </c>
      <c r="C517" s="13" t="s">
        <v>30</v>
      </c>
      <c r="D517" s="40">
        <v>0</v>
      </c>
    </row>
    <row r="518" spans="1:4" ht="22.5" customHeight="1" x14ac:dyDescent="0.15">
      <c r="A518" s="16" t="s">
        <v>1456</v>
      </c>
      <c r="B518" s="12" t="s">
        <v>1703</v>
      </c>
      <c r="C518" s="13" t="s">
        <v>88</v>
      </c>
      <c r="D518" s="40">
        <v>0</v>
      </c>
    </row>
    <row r="519" spans="1:4" ht="22.5" customHeight="1" x14ac:dyDescent="0.15">
      <c r="A519" s="16" t="s">
        <v>203</v>
      </c>
      <c r="B519" s="12" t="s">
        <v>1704</v>
      </c>
      <c r="C519" s="13" t="s">
        <v>18</v>
      </c>
      <c r="D519" s="40">
        <v>0</v>
      </c>
    </row>
    <row r="520" spans="1:4" ht="22.5" customHeight="1" x14ac:dyDescent="0.15">
      <c r="A520" s="16" t="s">
        <v>212</v>
      </c>
      <c r="B520" s="12" t="s">
        <v>1705</v>
      </c>
      <c r="C520" s="13" t="s">
        <v>77</v>
      </c>
      <c r="D520" s="40">
        <v>0</v>
      </c>
    </row>
    <row r="521" spans="1:4" ht="22.5" customHeight="1" x14ac:dyDescent="0.15">
      <c r="A521" s="16" t="s">
        <v>1708</v>
      </c>
      <c r="B521" s="12" t="s">
        <v>1709</v>
      </c>
      <c r="C521" s="13" t="s">
        <v>136</v>
      </c>
      <c r="D521" s="40">
        <v>0</v>
      </c>
    </row>
    <row r="522" spans="1:4" ht="22.5" customHeight="1" x14ac:dyDescent="0.15">
      <c r="A522" s="16" t="s">
        <v>810</v>
      </c>
      <c r="B522" s="12" t="s">
        <v>1710</v>
      </c>
      <c r="C522" s="13" t="s">
        <v>88</v>
      </c>
      <c r="D522" s="40">
        <v>0</v>
      </c>
    </row>
    <row r="523" spans="1:4" ht="22.5" customHeight="1" x14ac:dyDescent="0.15">
      <c r="A523" s="16" t="s">
        <v>813</v>
      </c>
      <c r="B523" s="12" t="s">
        <v>1711</v>
      </c>
      <c r="C523" s="13" t="s">
        <v>88</v>
      </c>
      <c r="D523" s="40">
        <v>0</v>
      </c>
    </row>
    <row r="524" spans="1:4" ht="22.5" customHeight="1" x14ac:dyDescent="0.15">
      <c r="A524" s="16" t="s">
        <v>1463</v>
      </c>
      <c r="B524" s="12" t="s">
        <v>1712</v>
      </c>
      <c r="C524" s="13" t="s">
        <v>83</v>
      </c>
      <c r="D524" s="40">
        <v>0</v>
      </c>
    </row>
    <row r="525" spans="1:4" ht="22.5" customHeight="1" x14ac:dyDescent="0.15">
      <c r="A525" s="16" t="s">
        <v>832</v>
      </c>
      <c r="B525" s="12" t="s">
        <v>1713</v>
      </c>
      <c r="C525" s="13" t="s">
        <v>342</v>
      </c>
      <c r="D525" s="40">
        <v>0</v>
      </c>
    </row>
    <row r="526" spans="1:4" ht="22.5" customHeight="1" x14ac:dyDescent="0.15">
      <c r="A526" s="16" t="s">
        <v>832</v>
      </c>
      <c r="B526" s="12" t="s">
        <v>1714</v>
      </c>
      <c r="C526" s="13" t="s">
        <v>3239</v>
      </c>
      <c r="D526" s="40">
        <v>0</v>
      </c>
    </row>
    <row r="527" spans="1:4" ht="22.5" customHeight="1" x14ac:dyDescent="0.15">
      <c r="A527" s="16" t="s">
        <v>230</v>
      </c>
      <c r="B527" s="12" t="s">
        <v>1715</v>
      </c>
      <c r="C527" s="13" t="s">
        <v>18</v>
      </c>
      <c r="D527" s="40">
        <v>0</v>
      </c>
    </row>
    <row r="528" spans="1:4" ht="22.5" customHeight="1" x14ac:dyDescent="0.15">
      <c r="A528" s="16" t="s">
        <v>230</v>
      </c>
      <c r="B528" s="12" t="s">
        <v>1652</v>
      </c>
      <c r="C528" s="13" t="s">
        <v>136</v>
      </c>
      <c r="D528" s="40">
        <v>0</v>
      </c>
    </row>
    <row r="529" spans="1:4" ht="22.5" customHeight="1" x14ac:dyDescent="0.15">
      <c r="A529" s="16" t="s">
        <v>1717</v>
      </c>
      <c r="B529" s="12" t="s">
        <v>1718</v>
      </c>
      <c r="C529" s="13" t="s">
        <v>88</v>
      </c>
      <c r="D529" s="40">
        <v>0</v>
      </c>
    </row>
    <row r="530" spans="1:4" ht="22.5" customHeight="1" x14ac:dyDescent="0.15">
      <c r="A530" s="16" t="s">
        <v>1717</v>
      </c>
      <c r="B530" s="12" t="s">
        <v>1719</v>
      </c>
      <c r="C530" s="13" t="s">
        <v>136</v>
      </c>
      <c r="D530" s="40">
        <v>0</v>
      </c>
    </row>
    <row r="531" spans="1:4" ht="22.5" customHeight="1" x14ac:dyDescent="0.15">
      <c r="A531" s="16" t="s">
        <v>1717</v>
      </c>
      <c r="B531" s="12" t="s">
        <v>1720</v>
      </c>
      <c r="C531" s="13" t="s">
        <v>136</v>
      </c>
      <c r="D531" s="40">
        <v>0</v>
      </c>
    </row>
    <row r="532" spans="1:4" ht="22.5" customHeight="1" x14ac:dyDescent="0.15">
      <c r="A532" s="16" t="s">
        <v>234</v>
      </c>
      <c r="B532" s="12" t="s">
        <v>1721</v>
      </c>
      <c r="C532" s="13" t="s">
        <v>30</v>
      </c>
      <c r="D532" s="40">
        <v>0</v>
      </c>
    </row>
    <row r="533" spans="1:4" ht="22.5" customHeight="1" x14ac:dyDescent="0.15">
      <c r="A533" s="16" t="s">
        <v>234</v>
      </c>
      <c r="B533" s="12" t="s">
        <v>1722</v>
      </c>
      <c r="C533" s="13" t="s">
        <v>83</v>
      </c>
      <c r="D533" s="40">
        <v>0</v>
      </c>
    </row>
    <row r="534" spans="1:4" ht="22.5" customHeight="1" x14ac:dyDescent="0.15">
      <c r="A534" s="16" t="s">
        <v>234</v>
      </c>
      <c r="B534" s="12" t="s">
        <v>1723</v>
      </c>
      <c r="C534" s="13" t="s">
        <v>88</v>
      </c>
      <c r="D534" s="40">
        <v>0</v>
      </c>
    </row>
    <row r="535" spans="1:4" ht="22.5" customHeight="1" x14ac:dyDescent="0.15">
      <c r="A535" s="16" t="s">
        <v>234</v>
      </c>
      <c r="B535" s="12" t="s">
        <v>1724</v>
      </c>
      <c r="C535" s="13" t="s">
        <v>88</v>
      </c>
      <c r="D535" s="40">
        <v>0</v>
      </c>
    </row>
    <row r="536" spans="1:4" ht="22.5" customHeight="1" x14ac:dyDescent="0.15">
      <c r="A536" s="16" t="s">
        <v>234</v>
      </c>
      <c r="B536" s="12" t="s">
        <v>1725</v>
      </c>
      <c r="C536" s="13" t="s">
        <v>88</v>
      </c>
      <c r="D536" s="40">
        <v>0</v>
      </c>
    </row>
    <row r="537" spans="1:4" ht="22.5" customHeight="1" x14ac:dyDescent="0.15">
      <c r="A537" s="16" t="s">
        <v>234</v>
      </c>
      <c r="B537" s="12" t="s">
        <v>1726</v>
      </c>
      <c r="C537" s="13" t="s">
        <v>88</v>
      </c>
      <c r="D537" s="40">
        <v>0</v>
      </c>
    </row>
    <row r="538" spans="1:4" ht="22.5" customHeight="1" x14ac:dyDescent="0.15">
      <c r="A538" s="16" t="s">
        <v>234</v>
      </c>
      <c r="B538" s="12" t="s">
        <v>1727</v>
      </c>
      <c r="C538" s="13" t="s">
        <v>30</v>
      </c>
      <c r="D538" s="40">
        <v>0</v>
      </c>
    </row>
    <row r="539" spans="1:4" ht="22.5" customHeight="1" x14ac:dyDescent="0.15">
      <c r="A539" s="16" t="s">
        <v>234</v>
      </c>
      <c r="B539" s="12" t="s">
        <v>1728</v>
      </c>
      <c r="C539" s="13" t="s">
        <v>30</v>
      </c>
      <c r="D539" s="40">
        <v>0</v>
      </c>
    </row>
    <row r="540" spans="1:4" ht="22.5" customHeight="1" x14ac:dyDescent="0.15">
      <c r="A540" s="16" t="s">
        <v>239</v>
      </c>
      <c r="B540" s="12" t="s">
        <v>1729</v>
      </c>
      <c r="C540" s="13" t="s">
        <v>219</v>
      </c>
      <c r="D540" s="40">
        <v>0</v>
      </c>
    </row>
    <row r="541" spans="1:4" ht="22.5" customHeight="1" x14ac:dyDescent="0.15">
      <c r="A541" s="16" t="s">
        <v>27</v>
      </c>
      <c r="B541" s="12" t="s">
        <v>1730</v>
      </c>
      <c r="C541" s="13" t="s">
        <v>83</v>
      </c>
      <c r="D541" s="40">
        <v>0</v>
      </c>
    </row>
    <row r="542" spans="1:4" ht="22.5" customHeight="1" x14ac:dyDescent="0.15">
      <c r="A542" s="16" t="s">
        <v>1477</v>
      </c>
      <c r="B542" s="12" t="s">
        <v>1731</v>
      </c>
      <c r="C542" s="13" t="s">
        <v>83</v>
      </c>
      <c r="D542" s="40">
        <v>0</v>
      </c>
    </row>
    <row r="543" spans="1:4" ht="22.5" customHeight="1" x14ac:dyDescent="0.15">
      <c r="A543" s="16" t="s">
        <v>81</v>
      </c>
      <c r="B543" s="12" t="s">
        <v>1732</v>
      </c>
      <c r="C543" s="13" t="s">
        <v>30</v>
      </c>
      <c r="D543" s="40">
        <v>0</v>
      </c>
    </row>
    <row r="544" spans="1:4" ht="22.5" customHeight="1" x14ac:dyDescent="0.15">
      <c r="A544" s="16" t="s">
        <v>249</v>
      </c>
      <c r="B544" s="12" t="s">
        <v>1733</v>
      </c>
      <c r="C544" s="13" t="s">
        <v>136</v>
      </c>
      <c r="D544" s="40">
        <v>0</v>
      </c>
    </row>
    <row r="545" spans="1:4" ht="22.5" customHeight="1" x14ac:dyDescent="0.15">
      <c r="A545" s="16" t="s">
        <v>1485</v>
      </c>
      <c r="B545" s="12" t="s">
        <v>1734</v>
      </c>
      <c r="C545" s="13" t="s">
        <v>83</v>
      </c>
      <c r="D545" s="40">
        <v>0</v>
      </c>
    </row>
    <row r="546" spans="1:4" ht="22.5" customHeight="1" x14ac:dyDescent="0.15">
      <c r="A546" s="16" t="s">
        <v>1485</v>
      </c>
      <c r="B546" s="12" t="s">
        <v>1735</v>
      </c>
      <c r="C546" s="13" t="s">
        <v>83</v>
      </c>
      <c r="D546" s="40">
        <v>0</v>
      </c>
    </row>
    <row r="547" spans="1:4" ht="22.5" customHeight="1" x14ac:dyDescent="0.15">
      <c r="A547" s="16" t="s">
        <v>1485</v>
      </c>
      <c r="B547" s="12" t="s">
        <v>1736</v>
      </c>
      <c r="C547" s="13" t="s">
        <v>83</v>
      </c>
      <c r="D547" s="40">
        <v>0</v>
      </c>
    </row>
    <row r="548" spans="1:4" ht="22.5" customHeight="1" x14ac:dyDescent="0.15">
      <c r="A548" s="16" t="s">
        <v>1739</v>
      </c>
      <c r="B548" s="12" t="s">
        <v>1740</v>
      </c>
      <c r="C548" s="13" t="s">
        <v>30</v>
      </c>
      <c r="D548" s="40">
        <v>0</v>
      </c>
    </row>
    <row r="549" spans="1:4" ht="22.5" customHeight="1" x14ac:dyDescent="0.15">
      <c r="A549" s="16" t="s">
        <v>893</v>
      </c>
      <c r="B549" s="12" t="s">
        <v>1741</v>
      </c>
      <c r="C549" s="13" t="s">
        <v>30</v>
      </c>
      <c r="D549" s="40">
        <v>0</v>
      </c>
    </row>
    <row r="550" spans="1:4" ht="22.5" customHeight="1" x14ac:dyDescent="0.15">
      <c r="A550" s="16" t="s">
        <v>893</v>
      </c>
      <c r="B550" s="12" t="s">
        <v>1742</v>
      </c>
      <c r="C550" s="13" t="s">
        <v>30</v>
      </c>
      <c r="D550" s="40">
        <v>0</v>
      </c>
    </row>
    <row r="551" spans="1:4" ht="22.5" customHeight="1" x14ac:dyDescent="0.15">
      <c r="A551" s="16" t="s">
        <v>256</v>
      </c>
      <c r="B551" s="12" t="s">
        <v>1743</v>
      </c>
      <c r="C551" s="13" t="s">
        <v>30</v>
      </c>
      <c r="D551" s="40">
        <v>0</v>
      </c>
    </row>
    <row r="552" spans="1:4" ht="22.5" customHeight="1" x14ac:dyDescent="0.15">
      <c r="A552" s="16" t="s">
        <v>256</v>
      </c>
      <c r="B552" s="12" t="s">
        <v>1744</v>
      </c>
      <c r="C552" s="13" t="s">
        <v>30</v>
      </c>
      <c r="D552" s="40">
        <v>0</v>
      </c>
    </row>
    <row r="553" spans="1:4" ht="22.5" customHeight="1" x14ac:dyDescent="0.15">
      <c r="A553" s="16" t="s">
        <v>256</v>
      </c>
      <c r="B553" s="12" t="s">
        <v>1745</v>
      </c>
      <c r="C553" s="13" t="s">
        <v>18</v>
      </c>
      <c r="D553" s="40">
        <v>0</v>
      </c>
    </row>
    <row r="554" spans="1:4" ht="22.5" customHeight="1" x14ac:dyDescent="0.15">
      <c r="A554" s="16" t="s">
        <v>916</v>
      </c>
      <c r="B554" s="12" t="s">
        <v>1746</v>
      </c>
      <c r="C554" s="13" t="s">
        <v>30</v>
      </c>
      <c r="D554" s="40">
        <v>0</v>
      </c>
    </row>
    <row r="555" spans="1:4" ht="22.5" customHeight="1" x14ac:dyDescent="0.15">
      <c r="A555" s="16" t="s">
        <v>32</v>
      </c>
      <c r="B555" s="12" t="s">
        <v>1747</v>
      </c>
      <c r="C555" s="13" t="s">
        <v>30</v>
      </c>
      <c r="D555" s="40">
        <v>0</v>
      </c>
    </row>
    <row r="556" spans="1:4" ht="22.5" customHeight="1" x14ac:dyDescent="0.15">
      <c r="A556" s="16" t="s">
        <v>32</v>
      </c>
      <c r="B556" s="12" t="s">
        <v>1748</v>
      </c>
      <c r="C556" s="13" t="s">
        <v>30</v>
      </c>
      <c r="D556" s="40">
        <v>0</v>
      </c>
    </row>
    <row r="557" spans="1:4" ht="22.5" customHeight="1" x14ac:dyDescent="0.15">
      <c r="A557" s="16" t="s">
        <v>32</v>
      </c>
      <c r="B557" s="12" t="s">
        <v>1749</v>
      </c>
      <c r="C557" s="13" t="s">
        <v>88</v>
      </c>
      <c r="D557" s="40">
        <v>0</v>
      </c>
    </row>
    <row r="558" spans="1:4" ht="22.5" customHeight="1" x14ac:dyDescent="0.15">
      <c r="A558" s="16" t="s">
        <v>32</v>
      </c>
      <c r="B558" s="12" t="s">
        <v>1750</v>
      </c>
      <c r="C558" s="13" t="s">
        <v>30</v>
      </c>
      <c r="D558" s="40">
        <v>0</v>
      </c>
    </row>
    <row r="559" spans="1:4" ht="22.5" customHeight="1" x14ac:dyDescent="0.15">
      <c r="A559" s="16" t="s">
        <v>928</v>
      </c>
      <c r="B559" s="12" t="s">
        <v>1751</v>
      </c>
      <c r="C559" s="13" t="s">
        <v>83</v>
      </c>
      <c r="D559" s="40">
        <v>0</v>
      </c>
    </row>
    <row r="560" spans="1:4" ht="22.5" customHeight="1" x14ac:dyDescent="0.15">
      <c r="A560" s="16" t="s">
        <v>928</v>
      </c>
      <c r="B560" s="12" t="s">
        <v>1752</v>
      </c>
      <c r="C560" s="13" t="s">
        <v>83</v>
      </c>
      <c r="D560" s="40">
        <v>0</v>
      </c>
    </row>
    <row r="561" spans="1:4" ht="22.5" customHeight="1" x14ac:dyDescent="0.15">
      <c r="A561" s="16" t="s">
        <v>928</v>
      </c>
      <c r="B561" s="12" t="s">
        <v>1753</v>
      </c>
      <c r="C561" s="13" t="s">
        <v>83</v>
      </c>
      <c r="D561" s="40">
        <v>0</v>
      </c>
    </row>
    <row r="562" spans="1:4" ht="22.5" customHeight="1" x14ac:dyDescent="0.15">
      <c r="A562" s="16" t="s">
        <v>928</v>
      </c>
      <c r="B562" s="12" t="s">
        <v>1754</v>
      </c>
      <c r="C562" s="13" t="s">
        <v>83</v>
      </c>
      <c r="D562" s="40">
        <v>0</v>
      </c>
    </row>
    <row r="563" spans="1:4" ht="22.5" customHeight="1" x14ac:dyDescent="0.15">
      <c r="A563" s="16" t="s">
        <v>928</v>
      </c>
      <c r="B563" s="12" t="s">
        <v>1755</v>
      </c>
      <c r="C563" s="13" t="s">
        <v>30</v>
      </c>
      <c r="D563" s="40">
        <v>0</v>
      </c>
    </row>
    <row r="564" spans="1:4" ht="22.5" customHeight="1" x14ac:dyDescent="0.15">
      <c r="A564" s="16" t="s">
        <v>928</v>
      </c>
      <c r="B564" s="12" t="s">
        <v>1756</v>
      </c>
      <c r="C564" s="13" t="s">
        <v>30</v>
      </c>
      <c r="D564" s="40">
        <v>0</v>
      </c>
    </row>
    <row r="565" spans="1:4" ht="22.5" customHeight="1" x14ac:dyDescent="0.15">
      <c r="A565" s="16" t="s">
        <v>928</v>
      </c>
      <c r="B565" s="12" t="s">
        <v>1757</v>
      </c>
      <c r="C565" s="13" t="s">
        <v>83</v>
      </c>
      <c r="D565" s="40">
        <v>0</v>
      </c>
    </row>
    <row r="566" spans="1:4" ht="22.5" customHeight="1" x14ac:dyDescent="0.15">
      <c r="A566" s="16" t="s">
        <v>267</v>
      </c>
      <c r="B566" s="12" t="s">
        <v>1758</v>
      </c>
      <c r="C566" s="13" t="s">
        <v>77</v>
      </c>
      <c r="D566" s="40">
        <v>0</v>
      </c>
    </row>
    <row r="567" spans="1:4" ht="22.5" customHeight="1" x14ac:dyDescent="0.15">
      <c r="A567" s="16" t="s">
        <v>934</v>
      </c>
      <c r="B567" s="12" t="s">
        <v>1759</v>
      </c>
      <c r="C567" s="13" t="s">
        <v>136</v>
      </c>
      <c r="D567" s="40">
        <v>0</v>
      </c>
    </row>
    <row r="568" spans="1:4" ht="22.5" customHeight="1" x14ac:dyDescent="0.15">
      <c r="A568" s="16" t="s">
        <v>289</v>
      </c>
      <c r="B568" s="12" t="s">
        <v>1760</v>
      </c>
      <c r="C568" s="13" t="s">
        <v>136</v>
      </c>
      <c r="D568" s="40">
        <v>0</v>
      </c>
    </row>
    <row r="569" spans="1:4" ht="22.5" customHeight="1" x14ac:dyDescent="0.15">
      <c r="A569" s="16" t="s">
        <v>289</v>
      </c>
      <c r="B569" s="12" t="s">
        <v>1761</v>
      </c>
      <c r="C569" s="13" t="s">
        <v>18</v>
      </c>
      <c r="D569" s="40">
        <v>0</v>
      </c>
    </row>
    <row r="570" spans="1:4" ht="22.5" customHeight="1" x14ac:dyDescent="0.15">
      <c r="A570" s="16" t="s">
        <v>289</v>
      </c>
      <c r="B570" s="12" t="s">
        <v>1762</v>
      </c>
      <c r="C570" s="13" t="s">
        <v>88</v>
      </c>
      <c r="D570" s="40">
        <v>0</v>
      </c>
    </row>
    <row r="571" spans="1:4" ht="22.5" customHeight="1" x14ac:dyDescent="0.15">
      <c r="A571" s="16" t="s">
        <v>293</v>
      </c>
      <c r="B571" s="12" t="s">
        <v>1763</v>
      </c>
      <c r="C571" s="13" t="s">
        <v>30</v>
      </c>
      <c r="D571" s="40">
        <v>0</v>
      </c>
    </row>
    <row r="572" spans="1:4" ht="22.5" customHeight="1" x14ac:dyDescent="0.15">
      <c r="A572" s="16" t="s">
        <v>293</v>
      </c>
      <c r="B572" s="12" t="s">
        <v>1764</v>
      </c>
      <c r="C572" s="13" t="s">
        <v>30</v>
      </c>
      <c r="D572" s="40">
        <v>0</v>
      </c>
    </row>
    <row r="573" spans="1:4" ht="22.5" customHeight="1" x14ac:dyDescent="0.15">
      <c r="A573" s="16" t="s">
        <v>293</v>
      </c>
      <c r="B573" s="12" t="s">
        <v>1765</v>
      </c>
      <c r="C573" s="13" t="s">
        <v>30</v>
      </c>
      <c r="D573" s="40">
        <v>0</v>
      </c>
    </row>
    <row r="574" spans="1:4" ht="22.5" customHeight="1" x14ac:dyDescent="0.15">
      <c r="A574" s="16" t="s">
        <v>293</v>
      </c>
      <c r="B574" s="12" t="s">
        <v>1766</v>
      </c>
      <c r="C574" s="13" t="s">
        <v>30</v>
      </c>
      <c r="D574" s="40">
        <v>0</v>
      </c>
    </row>
    <row r="575" spans="1:4" ht="22.5" customHeight="1" x14ac:dyDescent="0.15">
      <c r="A575" s="16" t="s">
        <v>293</v>
      </c>
      <c r="B575" s="12" t="s">
        <v>1767</v>
      </c>
      <c r="C575" s="13" t="s">
        <v>30</v>
      </c>
      <c r="D575" s="40">
        <v>0</v>
      </c>
    </row>
    <row r="576" spans="1:4" ht="22.5" customHeight="1" x14ac:dyDescent="0.15">
      <c r="A576" s="16" t="s">
        <v>946</v>
      </c>
      <c r="B576" s="12" t="s">
        <v>1768</v>
      </c>
      <c r="C576" s="13" t="s">
        <v>30</v>
      </c>
      <c r="D576" s="40">
        <v>0</v>
      </c>
    </row>
    <row r="577" spans="1:4" ht="22.5" customHeight="1" x14ac:dyDescent="0.15">
      <c r="A577" s="16" t="s">
        <v>298</v>
      </c>
      <c r="B577" s="12" t="s">
        <v>1769</v>
      </c>
      <c r="C577" s="13" t="s">
        <v>88</v>
      </c>
      <c r="D577" s="40">
        <v>0</v>
      </c>
    </row>
    <row r="578" spans="1:4" ht="22.5" customHeight="1" x14ac:dyDescent="0.15">
      <c r="A578" s="16" t="s">
        <v>306</v>
      </c>
      <c r="B578" s="12" t="s">
        <v>1770</v>
      </c>
      <c r="C578" s="13" t="s">
        <v>83</v>
      </c>
      <c r="D578" s="40">
        <v>0</v>
      </c>
    </row>
    <row r="579" spans="1:4" ht="22.5" customHeight="1" x14ac:dyDescent="0.15">
      <c r="A579" s="16" t="s">
        <v>37</v>
      </c>
      <c r="B579" s="12" t="s">
        <v>1771</v>
      </c>
      <c r="C579" s="13" t="s">
        <v>136</v>
      </c>
      <c r="D579" s="40">
        <v>0</v>
      </c>
    </row>
    <row r="580" spans="1:4" ht="22.5" customHeight="1" x14ac:dyDescent="0.15">
      <c r="A580" s="16" t="s">
        <v>37</v>
      </c>
      <c r="B580" s="12" t="s">
        <v>1772</v>
      </c>
      <c r="C580" s="13" t="s">
        <v>30</v>
      </c>
      <c r="D580" s="40">
        <v>0</v>
      </c>
    </row>
    <row r="581" spans="1:4" ht="22.5" customHeight="1" x14ac:dyDescent="0.15">
      <c r="A581" s="16" t="s">
        <v>37</v>
      </c>
      <c r="B581" s="12" t="s">
        <v>1773</v>
      </c>
      <c r="C581" s="13" t="s">
        <v>136</v>
      </c>
      <c r="D581" s="40">
        <v>0</v>
      </c>
    </row>
    <row r="582" spans="1:4" ht="22.5" customHeight="1" x14ac:dyDescent="0.15">
      <c r="A582" s="16" t="s">
        <v>327</v>
      </c>
      <c r="B582" s="12" t="s">
        <v>1774</v>
      </c>
      <c r="C582" s="13" t="s">
        <v>30</v>
      </c>
      <c r="D582" s="40">
        <v>0</v>
      </c>
    </row>
    <row r="583" spans="1:4" ht="22.5" customHeight="1" x14ac:dyDescent="0.15">
      <c r="A583" s="16" t="s">
        <v>347</v>
      </c>
      <c r="B583" s="12" t="s">
        <v>1775</v>
      </c>
      <c r="C583" s="13" t="s">
        <v>30</v>
      </c>
      <c r="D583" s="40">
        <v>0</v>
      </c>
    </row>
    <row r="584" spans="1:4" ht="22.5" customHeight="1" x14ac:dyDescent="0.15">
      <c r="A584" s="16" t="s">
        <v>658</v>
      </c>
      <c r="B584" s="12" t="s">
        <v>1776</v>
      </c>
      <c r="C584" s="13" t="s">
        <v>88</v>
      </c>
      <c r="D584" s="40">
        <v>0</v>
      </c>
    </row>
    <row r="585" spans="1:4" ht="22.5" customHeight="1" x14ac:dyDescent="0.15">
      <c r="A585" s="16" t="s">
        <v>368</v>
      </c>
      <c r="B585" s="12" t="s">
        <v>1777</v>
      </c>
      <c r="C585" s="13" t="s">
        <v>30</v>
      </c>
      <c r="D585" s="40">
        <v>0</v>
      </c>
    </row>
    <row r="586" spans="1:4" ht="22.5" customHeight="1" x14ac:dyDescent="0.15">
      <c r="A586" s="16" t="s">
        <v>1779</v>
      </c>
      <c r="B586" s="12" t="s">
        <v>1780</v>
      </c>
      <c r="C586" s="13" t="s">
        <v>88</v>
      </c>
      <c r="D586" s="40">
        <v>0</v>
      </c>
    </row>
    <row r="587" spans="1:4" ht="22.5" customHeight="1" x14ac:dyDescent="0.15">
      <c r="A587" s="16" t="s">
        <v>1013</v>
      </c>
      <c r="B587" s="12" t="s">
        <v>1781</v>
      </c>
      <c r="C587" s="13" t="s">
        <v>30</v>
      </c>
      <c r="D587" s="40">
        <v>0</v>
      </c>
    </row>
    <row r="588" spans="1:4" ht="22.5" customHeight="1" x14ac:dyDescent="0.15">
      <c r="A588" s="16" t="s">
        <v>1021</v>
      </c>
      <c r="B588" s="12" t="s">
        <v>1782</v>
      </c>
      <c r="C588" s="13" t="s">
        <v>18</v>
      </c>
      <c r="D588" s="40">
        <v>0</v>
      </c>
    </row>
    <row r="589" spans="1:4" ht="22.5" customHeight="1" x14ac:dyDescent="0.15">
      <c r="A589" s="16" t="s">
        <v>384</v>
      </c>
      <c r="B589" s="12" t="s">
        <v>1783</v>
      </c>
      <c r="C589" s="13" t="s">
        <v>83</v>
      </c>
      <c r="D589" s="40">
        <v>0</v>
      </c>
    </row>
    <row r="590" spans="1:4" ht="22.5" customHeight="1" x14ac:dyDescent="0.15">
      <c r="A590" s="16" t="s">
        <v>86</v>
      </c>
      <c r="B590" s="12" t="s">
        <v>1784</v>
      </c>
      <c r="C590" s="13" t="s">
        <v>83</v>
      </c>
      <c r="D590" s="40">
        <v>0</v>
      </c>
    </row>
    <row r="591" spans="1:4" ht="22.5" customHeight="1" x14ac:dyDescent="0.15">
      <c r="A591" s="16" t="s">
        <v>391</v>
      </c>
      <c r="B591" s="12" t="s">
        <v>1785</v>
      </c>
      <c r="C591" s="13" t="s">
        <v>18</v>
      </c>
      <c r="D591" s="40">
        <v>0</v>
      </c>
    </row>
    <row r="592" spans="1:4" ht="22.5" customHeight="1" x14ac:dyDescent="0.15">
      <c r="A592" s="16" t="s">
        <v>1065</v>
      </c>
      <c r="B592" s="12" t="s">
        <v>1652</v>
      </c>
      <c r="C592" s="13" t="s">
        <v>136</v>
      </c>
      <c r="D592" s="40">
        <v>0</v>
      </c>
    </row>
    <row r="593" spans="1:4" ht="22.5" customHeight="1" x14ac:dyDescent="0.15">
      <c r="A593" s="16" t="s">
        <v>1065</v>
      </c>
      <c r="B593" s="12" t="s">
        <v>1653</v>
      </c>
      <c r="C593" s="13" t="s">
        <v>136</v>
      </c>
      <c r="D593" s="40">
        <v>0</v>
      </c>
    </row>
    <row r="594" spans="1:4" ht="22.5" customHeight="1" x14ac:dyDescent="0.15">
      <c r="A594" s="16" t="s">
        <v>395</v>
      </c>
      <c r="B594" s="12" t="s">
        <v>1786</v>
      </c>
      <c r="C594" s="13" t="s">
        <v>18</v>
      </c>
      <c r="D594" s="40">
        <v>0</v>
      </c>
    </row>
    <row r="595" spans="1:4" ht="22.5" customHeight="1" x14ac:dyDescent="0.15">
      <c r="A595" s="16" t="s">
        <v>395</v>
      </c>
      <c r="B595" s="12" t="s">
        <v>1787</v>
      </c>
      <c r="C595" s="13" t="s">
        <v>23</v>
      </c>
      <c r="D595" s="40">
        <v>0</v>
      </c>
    </row>
    <row r="596" spans="1:4" ht="22.5" customHeight="1" x14ac:dyDescent="0.15">
      <c r="A596" s="16" t="s">
        <v>395</v>
      </c>
      <c r="B596" s="12" t="s">
        <v>1788</v>
      </c>
      <c r="C596" s="13" t="s">
        <v>18</v>
      </c>
      <c r="D596" s="40">
        <v>0</v>
      </c>
    </row>
    <row r="597" spans="1:4" ht="22.5" customHeight="1" x14ac:dyDescent="0.15">
      <c r="A597" s="16" t="s">
        <v>395</v>
      </c>
      <c r="B597" s="12" t="s">
        <v>1789</v>
      </c>
      <c r="C597" s="13" t="s">
        <v>136</v>
      </c>
      <c r="D597" s="40">
        <v>0</v>
      </c>
    </row>
    <row r="598" spans="1:4" ht="22.5" customHeight="1" x14ac:dyDescent="0.15">
      <c r="A598" s="16" t="s">
        <v>395</v>
      </c>
      <c r="B598" s="12" t="s">
        <v>1790</v>
      </c>
      <c r="C598" s="13" t="s">
        <v>115</v>
      </c>
      <c r="D598" s="40">
        <v>0</v>
      </c>
    </row>
    <row r="599" spans="1:4" ht="22.5" customHeight="1" x14ac:dyDescent="0.15">
      <c r="A599" s="16" t="s">
        <v>1088</v>
      </c>
      <c r="B599" s="12" t="s">
        <v>1791</v>
      </c>
      <c r="C599" s="13" t="s">
        <v>30</v>
      </c>
      <c r="D599" s="40">
        <v>0</v>
      </c>
    </row>
    <row r="600" spans="1:4" ht="22.5" customHeight="1" x14ac:dyDescent="0.15">
      <c r="A600" s="16" t="s">
        <v>1088</v>
      </c>
      <c r="B600" s="12" t="s">
        <v>1792</v>
      </c>
      <c r="C600" s="13" t="s">
        <v>30</v>
      </c>
      <c r="D600" s="40">
        <v>0</v>
      </c>
    </row>
    <row r="601" spans="1:4" ht="22.5" customHeight="1" x14ac:dyDescent="0.15">
      <c r="A601" s="16" t="s">
        <v>1088</v>
      </c>
      <c r="B601" s="12" t="s">
        <v>1793</v>
      </c>
      <c r="C601" s="13" t="s">
        <v>30</v>
      </c>
      <c r="D601" s="40">
        <v>0</v>
      </c>
    </row>
    <row r="602" spans="1:4" ht="22.5" customHeight="1" x14ac:dyDescent="0.15">
      <c r="A602" s="16" t="s">
        <v>1088</v>
      </c>
      <c r="B602" s="12" t="s">
        <v>1794</v>
      </c>
      <c r="C602" s="13" t="s">
        <v>18</v>
      </c>
      <c r="D602" s="40">
        <v>0</v>
      </c>
    </row>
    <row r="603" spans="1:4" ht="22.5" customHeight="1" x14ac:dyDescent="0.15">
      <c r="A603" s="16" t="s">
        <v>1517</v>
      </c>
      <c r="B603" s="12" t="s">
        <v>1729</v>
      </c>
      <c r="C603" s="13" t="s">
        <v>219</v>
      </c>
      <c r="D603" s="40">
        <v>0</v>
      </c>
    </row>
    <row r="604" spans="1:4" ht="22.5" customHeight="1" x14ac:dyDescent="0.15">
      <c r="A604" s="16" t="s">
        <v>399</v>
      </c>
      <c r="B604" s="12" t="s">
        <v>1733</v>
      </c>
      <c r="C604" s="13" t="s">
        <v>136</v>
      </c>
      <c r="D604" s="40">
        <v>0</v>
      </c>
    </row>
    <row r="605" spans="1:4" ht="22.5" customHeight="1" x14ac:dyDescent="0.15">
      <c r="A605" s="16" t="s">
        <v>401</v>
      </c>
      <c r="B605" s="12" t="s">
        <v>1795</v>
      </c>
      <c r="C605" s="13" t="s">
        <v>30</v>
      </c>
      <c r="D605" s="40">
        <v>0</v>
      </c>
    </row>
    <row r="606" spans="1:4" ht="22.5" customHeight="1" x14ac:dyDescent="0.15">
      <c r="A606" s="16" t="s">
        <v>401</v>
      </c>
      <c r="B606" s="12" t="s">
        <v>1796</v>
      </c>
      <c r="C606" s="13" t="s">
        <v>83</v>
      </c>
      <c r="D606" s="40">
        <v>0</v>
      </c>
    </row>
    <row r="607" spans="1:4" ht="22.5" customHeight="1" x14ac:dyDescent="0.15">
      <c r="A607" s="16" t="s">
        <v>1797</v>
      </c>
      <c r="B607" s="12" t="s">
        <v>1740</v>
      </c>
      <c r="C607" s="13" t="s">
        <v>30</v>
      </c>
      <c r="D607" s="40">
        <v>0</v>
      </c>
    </row>
    <row r="608" spans="1:4" ht="22.5" customHeight="1" x14ac:dyDescent="0.15">
      <c r="A608" s="16" t="s">
        <v>94</v>
      </c>
      <c r="B608" s="12" t="s">
        <v>1798</v>
      </c>
      <c r="C608" s="13" t="s">
        <v>136</v>
      </c>
      <c r="D608" s="40">
        <v>0</v>
      </c>
    </row>
    <row r="609" spans="1:4" ht="22.5" customHeight="1" x14ac:dyDescent="0.15">
      <c r="A609" s="16" t="s">
        <v>1127</v>
      </c>
      <c r="B609" s="12" t="s">
        <v>1799</v>
      </c>
      <c r="C609" s="13" t="s">
        <v>12</v>
      </c>
      <c r="D609" s="40">
        <v>0</v>
      </c>
    </row>
    <row r="610" spans="1:4" ht="22.5" customHeight="1" x14ac:dyDescent="0.15">
      <c r="A610" s="16" t="s">
        <v>410</v>
      </c>
      <c r="B610" s="12" t="s">
        <v>1800</v>
      </c>
      <c r="C610" s="13" t="s">
        <v>30</v>
      </c>
      <c r="D610" s="40">
        <v>0</v>
      </c>
    </row>
    <row r="611" spans="1:4" ht="22.5" customHeight="1" x14ac:dyDescent="0.15">
      <c r="A611" s="16" t="s">
        <v>417</v>
      </c>
      <c r="B611" s="12" t="s">
        <v>1801</v>
      </c>
      <c r="C611" s="13" t="s">
        <v>12</v>
      </c>
      <c r="D611" s="40">
        <v>0</v>
      </c>
    </row>
    <row r="612" spans="1:4" ht="22.5" customHeight="1" x14ac:dyDescent="0.15">
      <c r="A612" s="16" t="s">
        <v>417</v>
      </c>
      <c r="B612" s="12" t="s">
        <v>1802</v>
      </c>
      <c r="C612" s="13" t="s">
        <v>12</v>
      </c>
      <c r="D612" s="40">
        <v>0</v>
      </c>
    </row>
    <row r="613" spans="1:4" ht="22.5" customHeight="1" x14ac:dyDescent="0.15">
      <c r="A613" s="16" t="s">
        <v>425</v>
      </c>
      <c r="B613" s="12" t="s">
        <v>1803</v>
      </c>
      <c r="C613" s="13" t="s">
        <v>88</v>
      </c>
      <c r="D613" s="40">
        <v>0</v>
      </c>
    </row>
    <row r="614" spans="1:4" ht="22.5" customHeight="1" x14ac:dyDescent="0.15">
      <c r="A614" s="16" t="s">
        <v>429</v>
      </c>
      <c r="B614" s="12" t="s">
        <v>1804</v>
      </c>
      <c r="C614" s="13" t="s">
        <v>30</v>
      </c>
      <c r="D614" s="40">
        <v>0</v>
      </c>
    </row>
    <row r="615" spans="1:4" ht="22.5" customHeight="1" x14ac:dyDescent="0.15">
      <c r="A615" s="16" t="s">
        <v>429</v>
      </c>
      <c r="B615" s="12" t="s">
        <v>1805</v>
      </c>
      <c r="C615" s="13" t="s">
        <v>30</v>
      </c>
      <c r="D615" s="40">
        <v>0</v>
      </c>
    </row>
    <row r="616" spans="1:4" ht="22.5" customHeight="1" x14ac:dyDescent="0.15">
      <c r="A616" s="16" t="s">
        <v>429</v>
      </c>
      <c r="B616" s="12" t="s">
        <v>1806</v>
      </c>
      <c r="C616" s="13" t="s">
        <v>30</v>
      </c>
      <c r="D616" s="40">
        <v>0</v>
      </c>
    </row>
    <row r="617" spans="1:4" ht="22.5" customHeight="1" x14ac:dyDescent="0.15">
      <c r="A617" s="16" t="s">
        <v>429</v>
      </c>
      <c r="B617" s="12" t="s">
        <v>1807</v>
      </c>
      <c r="C617" s="13" t="s">
        <v>30</v>
      </c>
      <c r="D617" s="40">
        <v>0</v>
      </c>
    </row>
    <row r="618" spans="1:4" ht="22.5" customHeight="1" x14ac:dyDescent="0.15">
      <c r="A618" s="16" t="s">
        <v>1155</v>
      </c>
      <c r="B618" s="12" t="s">
        <v>1759</v>
      </c>
      <c r="C618" s="13" t="s">
        <v>136</v>
      </c>
      <c r="D618" s="40">
        <v>0</v>
      </c>
    </row>
    <row r="619" spans="1:4" ht="22.5" customHeight="1" x14ac:dyDescent="0.15">
      <c r="A619" s="16" t="s">
        <v>439</v>
      </c>
      <c r="B619" s="12" t="s">
        <v>1808</v>
      </c>
      <c r="C619" s="13" t="s">
        <v>30</v>
      </c>
      <c r="D619" s="40">
        <v>0</v>
      </c>
    </row>
    <row r="620" spans="1:4" ht="22.5" customHeight="1" x14ac:dyDescent="0.15">
      <c r="A620" s="16" t="s">
        <v>443</v>
      </c>
      <c r="B620" s="12" t="s">
        <v>1809</v>
      </c>
      <c r="C620" s="13" t="s">
        <v>18</v>
      </c>
      <c r="D620" s="40">
        <v>0</v>
      </c>
    </row>
    <row r="621" spans="1:4" ht="22.5" customHeight="1" x14ac:dyDescent="0.15">
      <c r="A621" s="16" t="s">
        <v>447</v>
      </c>
      <c r="B621" s="12" t="s">
        <v>1810</v>
      </c>
      <c r="C621" s="13" t="s">
        <v>3239</v>
      </c>
      <c r="D621" s="40">
        <v>0</v>
      </c>
    </row>
    <row r="622" spans="1:4" ht="22.5" customHeight="1" x14ac:dyDescent="0.15">
      <c r="A622" s="16" t="s">
        <v>456</v>
      </c>
      <c r="B622" s="12" t="s">
        <v>1810</v>
      </c>
      <c r="C622" s="13" t="s">
        <v>3239</v>
      </c>
      <c r="D622" s="40">
        <v>0</v>
      </c>
    </row>
    <row r="623" spans="1:4" ht="22.5" customHeight="1" x14ac:dyDescent="0.15">
      <c r="A623" s="16" t="s">
        <v>463</v>
      </c>
      <c r="B623" s="12" t="s">
        <v>1774</v>
      </c>
      <c r="C623" s="13" t="s">
        <v>30</v>
      </c>
      <c r="D623" s="40">
        <v>0</v>
      </c>
    </row>
    <row r="624" spans="1:4" ht="22.5" customHeight="1" x14ac:dyDescent="0.15">
      <c r="A624" s="16" t="s">
        <v>463</v>
      </c>
      <c r="B624" s="12" t="s">
        <v>1811</v>
      </c>
      <c r="C624" s="13" t="s">
        <v>30</v>
      </c>
      <c r="D624" s="40">
        <v>0</v>
      </c>
    </row>
    <row r="625" spans="1:4" ht="22.5" customHeight="1" x14ac:dyDescent="0.15">
      <c r="A625" s="16" t="s">
        <v>1185</v>
      </c>
      <c r="B625" s="12" t="s">
        <v>1812</v>
      </c>
      <c r="C625" s="13" t="s">
        <v>30</v>
      </c>
      <c r="D625" s="40">
        <v>0</v>
      </c>
    </row>
    <row r="626" spans="1:4" ht="22.5" customHeight="1" x14ac:dyDescent="0.15">
      <c r="A626" s="16" t="s">
        <v>489</v>
      </c>
      <c r="B626" s="12" t="s">
        <v>1813</v>
      </c>
      <c r="C626" s="13" t="s">
        <v>88</v>
      </c>
      <c r="D626" s="40">
        <v>0</v>
      </c>
    </row>
    <row r="627" spans="1:4" ht="22.5" customHeight="1" x14ac:dyDescent="0.15">
      <c r="A627" s="16" t="s">
        <v>1210</v>
      </c>
      <c r="B627" s="12" t="s">
        <v>1812</v>
      </c>
      <c r="C627" s="13" t="s">
        <v>30</v>
      </c>
      <c r="D627" s="40">
        <v>0</v>
      </c>
    </row>
    <row r="628" spans="1:4" ht="22.5" customHeight="1" x14ac:dyDescent="0.15">
      <c r="A628" s="16" t="s">
        <v>493</v>
      </c>
      <c r="B628" s="12" t="s">
        <v>1814</v>
      </c>
      <c r="C628" s="13" t="s">
        <v>77</v>
      </c>
      <c r="D628" s="40">
        <v>0</v>
      </c>
    </row>
    <row r="629" spans="1:4" ht="22.5" customHeight="1" x14ac:dyDescent="0.15">
      <c r="A629" s="16" t="s">
        <v>493</v>
      </c>
      <c r="B629" s="12" t="s">
        <v>1815</v>
      </c>
      <c r="C629" s="13" t="s">
        <v>77</v>
      </c>
      <c r="D629" s="40">
        <v>0</v>
      </c>
    </row>
    <row r="630" spans="1:4" ht="22.5" customHeight="1" x14ac:dyDescent="0.15">
      <c r="A630" s="16" t="s">
        <v>1548</v>
      </c>
      <c r="B630" s="12" t="s">
        <v>1816</v>
      </c>
      <c r="C630" s="13" t="s">
        <v>77</v>
      </c>
      <c r="D630" s="40">
        <v>0</v>
      </c>
    </row>
    <row r="631" spans="1:4" ht="22.5" customHeight="1" x14ac:dyDescent="0.15">
      <c r="A631" s="16" t="s">
        <v>53</v>
      </c>
      <c r="B631" s="12" t="s">
        <v>1817</v>
      </c>
      <c r="C631" s="13" t="s">
        <v>30</v>
      </c>
      <c r="D631" s="40">
        <v>0</v>
      </c>
    </row>
    <row r="632" spans="1:4" ht="22.5" customHeight="1" x14ac:dyDescent="0.15">
      <c r="A632" s="16" t="s">
        <v>57</v>
      </c>
      <c r="B632" s="12" t="s">
        <v>1818</v>
      </c>
      <c r="C632" s="13" t="s">
        <v>88</v>
      </c>
      <c r="D632" s="40">
        <v>0</v>
      </c>
    </row>
    <row r="633" spans="1:4" ht="22.5" customHeight="1" x14ac:dyDescent="0.15">
      <c r="A633" s="16" t="s">
        <v>497</v>
      </c>
      <c r="B633" s="12" t="s">
        <v>1819</v>
      </c>
      <c r="C633" s="13" t="s">
        <v>30</v>
      </c>
      <c r="D633" s="40">
        <v>0</v>
      </c>
    </row>
    <row r="634" spans="1:4" ht="22.5" customHeight="1" x14ac:dyDescent="0.15">
      <c r="A634" s="16" t="s">
        <v>497</v>
      </c>
      <c r="B634" s="12" t="s">
        <v>1820</v>
      </c>
      <c r="C634" s="13" t="s">
        <v>136</v>
      </c>
      <c r="D634" s="40">
        <v>0</v>
      </c>
    </row>
    <row r="635" spans="1:4" ht="22.5" customHeight="1" x14ac:dyDescent="0.15">
      <c r="A635" s="16" t="s">
        <v>497</v>
      </c>
      <c r="B635" s="12" t="s">
        <v>1821</v>
      </c>
      <c r="C635" s="13" t="s">
        <v>136</v>
      </c>
      <c r="D635" s="40">
        <v>0</v>
      </c>
    </row>
    <row r="636" spans="1:4" ht="22.5" customHeight="1" x14ac:dyDescent="0.15">
      <c r="A636" s="16" t="s">
        <v>500</v>
      </c>
      <c r="B636" s="12" t="s">
        <v>1822</v>
      </c>
      <c r="C636" s="13" t="s">
        <v>88</v>
      </c>
      <c r="D636" s="40">
        <v>0</v>
      </c>
    </row>
    <row r="637" spans="1:4" ht="22.5" customHeight="1" x14ac:dyDescent="0.15">
      <c r="A637" s="16" t="s">
        <v>1825</v>
      </c>
      <c r="B637" s="12" t="s">
        <v>1826</v>
      </c>
      <c r="C637" s="13" t="s">
        <v>30</v>
      </c>
      <c r="D637" s="40">
        <v>0</v>
      </c>
    </row>
    <row r="638" spans="1:4" ht="22.5" customHeight="1" x14ac:dyDescent="0.15">
      <c r="A638" s="16" t="s">
        <v>503</v>
      </c>
      <c r="B638" s="12" t="s">
        <v>1827</v>
      </c>
      <c r="C638" s="13" t="s">
        <v>30</v>
      </c>
      <c r="D638" s="40">
        <v>0</v>
      </c>
    </row>
    <row r="639" spans="1:4" ht="22.5" customHeight="1" x14ac:dyDescent="0.15">
      <c r="A639" s="16" t="s">
        <v>503</v>
      </c>
      <c r="B639" s="12" t="s">
        <v>1828</v>
      </c>
      <c r="C639" s="13" t="s">
        <v>30</v>
      </c>
      <c r="D639" s="40">
        <v>0</v>
      </c>
    </row>
    <row r="640" spans="1:4" ht="22.5" customHeight="1" x14ac:dyDescent="0.15">
      <c r="A640" s="16" t="s">
        <v>1229</v>
      </c>
      <c r="B640" s="12" t="s">
        <v>1829</v>
      </c>
      <c r="C640" s="13" t="s">
        <v>83</v>
      </c>
      <c r="D640" s="40">
        <v>0</v>
      </c>
    </row>
    <row r="641" spans="1:4" ht="22.5" customHeight="1" x14ac:dyDescent="0.15">
      <c r="A641" s="16" t="s">
        <v>1832</v>
      </c>
      <c r="B641" s="12" t="s">
        <v>1833</v>
      </c>
      <c r="C641" s="13" t="s">
        <v>136</v>
      </c>
      <c r="D641" s="40">
        <v>0</v>
      </c>
    </row>
    <row r="642" spans="1:4" ht="22.5" customHeight="1" x14ac:dyDescent="0.15">
      <c r="A642" s="16" t="s">
        <v>523</v>
      </c>
      <c r="B642" s="12" t="s">
        <v>1834</v>
      </c>
      <c r="C642" s="13" t="s">
        <v>30</v>
      </c>
      <c r="D642" s="40">
        <v>0</v>
      </c>
    </row>
    <row r="643" spans="1:4" ht="22.5" customHeight="1" x14ac:dyDescent="0.15">
      <c r="A643" s="16" t="s">
        <v>523</v>
      </c>
      <c r="B643" s="12" t="s">
        <v>1835</v>
      </c>
      <c r="C643" s="13" t="s">
        <v>30</v>
      </c>
      <c r="D643" s="40">
        <v>0</v>
      </c>
    </row>
    <row r="644" spans="1:4" ht="22.5" customHeight="1" x14ac:dyDescent="0.15">
      <c r="A644" s="16" t="s">
        <v>523</v>
      </c>
      <c r="B644" s="12" t="s">
        <v>1836</v>
      </c>
      <c r="C644" s="13" t="s">
        <v>30</v>
      </c>
      <c r="D644" s="40">
        <v>0</v>
      </c>
    </row>
    <row r="645" spans="1:4" ht="22.5" customHeight="1" x14ac:dyDescent="0.15">
      <c r="A645" s="16" t="s">
        <v>523</v>
      </c>
      <c r="B645" s="12" t="s">
        <v>1837</v>
      </c>
      <c r="C645" s="13" t="s">
        <v>30</v>
      </c>
      <c r="D645" s="40">
        <v>0</v>
      </c>
    </row>
    <row r="646" spans="1:4" ht="22.5" customHeight="1" x14ac:dyDescent="0.15">
      <c r="A646" s="16" t="s">
        <v>523</v>
      </c>
      <c r="B646" s="12" t="s">
        <v>1838</v>
      </c>
      <c r="C646" s="13" t="s">
        <v>88</v>
      </c>
      <c r="D646" s="40">
        <v>0</v>
      </c>
    </row>
    <row r="647" spans="1:4" ht="22.5" customHeight="1" x14ac:dyDescent="0.15">
      <c r="A647" s="16" t="s">
        <v>523</v>
      </c>
      <c r="B647" s="12" t="s">
        <v>1839</v>
      </c>
      <c r="C647" s="13" t="s">
        <v>88</v>
      </c>
      <c r="D647" s="40">
        <v>0</v>
      </c>
    </row>
    <row r="648" spans="1:4" ht="22.5" customHeight="1" x14ac:dyDescent="0.15">
      <c r="A648" s="16" t="s">
        <v>523</v>
      </c>
      <c r="B648" s="12" t="s">
        <v>1840</v>
      </c>
      <c r="C648" s="13" t="s">
        <v>88</v>
      </c>
      <c r="D648" s="40">
        <v>0</v>
      </c>
    </row>
    <row r="649" spans="1:4" ht="22.5" customHeight="1" x14ac:dyDescent="0.15">
      <c r="A649" s="16" t="s">
        <v>523</v>
      </c>
      <c r="B649" s="12" t="s">
        <v>1841</v>
      </c>
      <c r="C649" s="13" t="s">
        <v>30</v>
      </c>
      <c r="D649" s="40">
        <v>0</v>
      </c>
    </row>
    <row r="650" spans="1:4" ht="22.5" customHeight="1" x14ac:dyDescent="0.15">
      <c r="A650" s="16" t="s">
        <v>1843</v>
      </c>
      <c r="B650" s="12" t="s">
        <v>1844</v>
      </c>
      <c r="C650" s="13" t="s">
        <v>30</v>
      </c>
      <c r="D650" s="40">
        <v>0</v>
      </c>
    </row>
    <row r="651" spans="1:4" ht="22.5" customHeight="1" x14ac:dyDescent="0.15">
      <c r="A651" s="16" t="s">
        <v>543</v>
      </c>
      <c r="B651" s="12" t="s">
        <v>1845</v>
      </c>
      <c r="C651" s="13" t="s">
        <v>88</v>
      </c>
      <c r="D651" s="40">
        <v>0</v>
      </c>
    </row>
    <row r="652" spans="1:4" ht="22.5" customHeight="1" x14ac:dyDescent="0.15">
      <c r="A652" s="16" t="s">
        <v>696</v>
      </c>
      <c r="B652" s="12" t="s">
        <v>1846</v>
      </c>
      <c r="C652" s="13" t="s">
        <v>12</v>
      </c>
      <c r="D652" s="40">
        <v>0</v>
      </c>
    </row>
    <row r="653" spans="1:4" ht="22.5" customHeight="1" x14ac:dyDescent="0.15">
      <c r="A653" s="16" t="s">
        <v>546</v>
      </c>
      <c r="B653" s="12" t="s">
        <v>1847</v>
      </c>
      <c r="C653" s="13" t="s">
        <v>83</v>
      </c>
      <c r="D653" s="40">
        <v>0</v>
      </c>
    </row>
    <row r="654" spans="1:4" ht="22.5" customHeight="1" x14ac:dyDescent="0.15">
      <c r="A654" s="16" t="s">
        <v>553</v>
      </c>
      <c r="B654" s="12" t="s">
        <v>1848</v>
      </c>
      <c r="C654" s="13" t="s">
        <v>30</v>
      </c>
      <c r="D654" s="40">
        <v>0</v>
      </c>
    </row>
    <row r="655" spans="1:4" ht="22.5" customHeight="1" x14ac:dyDescent="0.15">
      <c r="A655" s="16" t="s">
        <v>553</v>
      </c>
      <c r="B655" s="12" t="s">
        <v>1849</v>
      </c>
      <c r="C655" s="13" t="s">
        <v>30</v>
      </c>
      <c r="D655" s="40">
        <v>0</v>
      </c>
    </row>
    <row r="656" spans="1:4" ht="22.5" customHeight="1" x14ac:dyDescent="0.15">
      <c r="A656" s="16" t="s">
        <v>553</v>
      </c>
      <c r="B656" s="12" t="s">
        <v>1850</v>
      </c>
      <c r="C656" s="13" t="s">
        <v>30</v>
      </c>
      <c r="D656" s="40">
        <v>0</v>
      </c>
    </row>
    <row r="657" spans="1:4" ht="22.5" customHeight="1" x14ac:dyDescent="0.15">
      <c r="A657" s="16" t="s">
        <v>553</v>
      </c>
      <c r="B657" s="12" t="s">
        <v>1851</v>
      </c>
      <c r="C657" s="13" t="s">
        <v>30</v>
      </c>
      <c r="D657" s="40">
        <v>0</v>
      </c>
    </row>
    <row r="658" spans="1:4" ht="22.5" customHeight="1" x14ac:dyDescent="0.15">
      <c r="A658" s="16" t="s">
        <v>1854</v>
      </c>
      <c r="B658" s="12" t="s">
        <v>1855</v>
      </c>
      <c r="C658" s="13" t="s">
        <v>18</v>
      </c>
      <c r="D658" s="40">
        <v>0</v>
      </c>
    </row>
    <row r="659" spans="1:4" ht="22.5" customHeight="1" x14ac:dyDescent="0.15">
      <c r="A659" s="16" t="s">
        <v>560</v>
      </c>
      <c r="B659" s="12" t="s">
        <v>1856</v>
      </c>
      <c r="C659" s="13" t="s">
        <v>136</v>
      </c>
      <c r="D659" s="40">
        <v>0</v>
      </c>
    </row>
    <row r="660" spans="1:4" ht="22.5" customHeight="1" x14ac:dyDescent="0.15">
      <c r="A660" s="16" t="s">
        <v>560</v>
      </c>
      <c r="B660" s="12" t="s">
        <v>1857</v>
      </c>
      <c r="C660" s="13" t="s">
        <v>136</v>
      </c>
      <c r="D660" s="40">
        <v>0</v>
      </c>
    </row>
    <row r="661" spans="1:4" ht="22.5" customHeight="1" x14ac:dyDescent="0.15">
      <c r="A661" s="16" t="s">
        <v>563</v>
      </c>
      <c r="B661" s="12" t="s">
        <v>1730</v>
      </c>
      <c r="C661" s="13" t="s">
        <v>83</v>
      </c>
      <c r="D661" s="40">
        <v>0</v>
      </c>
    </row>
    <row r="662" spans="1:4" ht="22.5" customHeight="1" x14ac:dyDescent="0.15">
      <c r="A662" s="16" t="s">
        <v>103</v>
      </c>
      <c r="B662" s="12" t="s">
        <v>1858</v>
      </c>
      <c r="C662" s="13" t="s">
        <v>18</v>
      </c>
      <c r="D662" s="40">
        <v>0</v>
      </c>
    </row>
    <row r="663" spans="1:4" ht="22.5" customHeight="1" x14ac:dyDescent="0.15">
      <c r="A663" s="16" t="s">
        <v>103</v>
      </c>
      <c r="B663" s="12" t="s">
        <v>1859</v>
      </c>
      <c r="C663" s="13" t="s">
        <v>18</v>
      </c>
      <c r="D663" s="40">
        <v>0</v>
      </c>
    </row>
    <row r="664" spans="1:4" ht="22.5" customHeight="1" x14ac:dyDescent="0.15">
      <c r="A664" s="16" t="s">
        <v>103</v>
      </c>
      <c r="B664" s="12" t="s">
        <v>1860</v>
      </c>
      <c r="C664" s="13" t="s">
        <v>23</v>
      </c>
      <c r="D664" s="40">
        <v>0</v>
      </c>
    </row>
    <row r="665" spans="1:4" ht="22.5" customHeight="1" x14ac:dyDescent="0.15">
      <c r="A665" s="16" t="s">
        <v>1861</v>
      </c>
      <c r="B665" s="12" t="s">
        <v>1862</v>
      </c>
      <c r="C665" s="13" t="s">
        <v>30</v>
      </c>
      <c r="D665" s="40">
        <v>0</v>
      </c>
    </row>
    <row r="666" spans="1:4" ht="22.5" customHeight="1" x14ac:dyDescent="0.15">
      <c r="A666" s="16" t="s">
        <v>568</v>
      </c>
      <c r="B666" s="12" t="s">
        <v>1863</v>
      </c>
      <c r="C666" s="13" t="s">
        <v>30</v>
      </c>
      <c r="D666" s="40">
        <v>0</v>
      </c>
    </row>
    <row r="667" spans="1:4" ht="22.5" customHeight="1" x14ac:dyDescent="0.15">
      <c r="A667" s="16" t="s">
        <v>572</v>
      </c>
      <c r="B667" s="12" t="s">
        <v>1864</v>
      </c>
      <c r="C667" s="13" t="s">
        <v>30</v>
      </c>
      <c r="D667" s="40">
        <v>0</v>
      </c>
    </row>
    <row r="668" spans="1:4" ht="22.5" customHeight="1" x14ac:dyDescent="0.15">
      <c r="A668" s="16" t="s">
        <v>572</v>
      </c>
      <c r="B668" s="12" t="s">
        <v>1865</v>
      </c>
      <c r="C668" s="13" t="s">
        <v>30</v>
      </c>
      <c r="D668" s="40">
        <v>0</v>
      </c>
    </row>
    <row r="669" spans="1:4" ht="22.5" customHeight="1" x14ac:dyDescent="0.15">
      <c r="A669" s="16" t="s">
        <v>577</v>
      </c>
      <c r="B669" s="12" t="s">
        <v>1866</v>
      </c>
      <c r="C669" s="13" t="s">
        <v>18</v>
      </c>
      <c r="D669" s="40">
        <v>0</v>
      </c>
    </row>
    <row r="670" spans="1:4" ht="22.5" customHeight="1" x14ac:dyDescent="0.15">
      <c r="A670" s="16" t="s">
        <v>588</v>
      </c>
      <c r="B670" s="12" t="s">
        <v>1867</v>
      </c>
      <c r="C670" s="13" t="s">
        <v>30</v>
      </c>
      <c r="D670" s="40">
        <v>0</v>
      </c>
    </row>
    <row r="671" spans="1:4" ht="22.5" customHeight="1" x14ac:dyDescent="0.15">
      <c r="A671" s="16" t="s">
        <v>594</v>
      </c>
      <c r="B671" s="12" t="s">
        <v>1868</v>
      </c>
      <c r="C671" s="13" t="s">
        <v>88</v>
      </c>
      <c r="D671" s="40">
        <v>0</v>
      </c>
    </row>
    <row r="672" spans="1:4" ht="22.5" customHeight="1" x14ac:dyDescent="0.15">
      <c r="A672" s="16" t="s">
        <v>597</v>
      </c>
      <c r="B672" s="12" t="s">
        <v>1869</v>
      </c>
      <c r="C672" s="13" t="s">
        <v>115</v>
      </c>
      <c r="D672" s="40">
        <v>0</v>
      </c>
    </row>
    <row r="673" spans="1:4" ht="22.5" customHeight="1" x14ac:dyDescent="0.15">
      <c r="A673" s="16" t="s">
        <v>597</v>
      </c>
      <c r="B673" s="12" t="s">
        <v>1870</v>
      </c>
      <c r="C673" s="13" t="s">
        <v>30</v>
      </c>
      <c r="D673" s="40">
        <v>0</v>
      </c>
    </row>
    <row r="674" spans="1:4" ht="22.5" customHeight="1" x14ac:dyDescent="0.15">
      <c r="A674" s="16" t="s">
        <v>597</v>
      </c>
      <c r="B674" s="12" t="s">
        <v>1871</v>
      </c>
      <c r="C674" s="13" t="s">
        <v>30</v>
      </c>
      <c r="D674" s="40">
        <v>0</v>
      </c>
    </row>
    <row r="675" spans="1:4" ht="22.5" customHeight="1" x14ac:dyDescent="0.15">
      <c r="A675" s="16" t="s">
        <v>1410</v>
      </c>
      <c r="B675" s="12" t="s">
        <v>1872</v>
      </c>
      <c r="C675" s="13" t="s">
        <v>18</v>
      </c>
      <c r="D675" s="40">
        <v>0</v>
      </c>
    </row>
    <row r="676" spans="1:4" ht="22.5" customHeight="1" x14ac:dyDescent="0.15">
      <c r="A676" s="16" t="s">
        <v>351</v>
      </c>
      <c r="B676" s="12" t="s">
        <v>1873</v>
      </c>
      <c r="C676" s="13" t="s">
        <v>88</v>
      </c>
      <c r="D676" s="40">
        <v>0</v>
      </c>
    </row>
    <row r="677" spans="1:4" ht="22.5" customHeight="1" x14ac:dyDescent="0.15">
      <c r="A677" s="16" t="s">
        <v>94</v>
      </c>
      <c r="B677" s="12" t="s">
        <v>1874</v>
      </c>
      <c r="C677" s="13" t="s">
        <v>18</v>
      </c>
      <c r="D677" s="40">
        <v>0</v>
      </c>
    </row>
    <row r="678" spans="1:4" ht="22.5" customHeight="1" x14ac:dyDescent="0.15">
      <c r="A678" s="16" t="s">
        <v>1300</v>
      </c>
      <c r="B678" s="12" t="s">
        <v>1875</v>
      </c>
      <c r="C678" s="13" t="s">
        <v>136</v>
      </c>
      <c r="D678" s="40">
        <v>0</v>
      </c>
    </row>
    <row r="679" spans="1:4" ht="22.5" customHeight="1" x14ac:dyDescent="0.15">
      <c r="A679" s="16" t="s">
        <v>129</v>
      </c>
      <c r="B679" s="12" t="s">
        <v>1876</v>
      </c>
      <c r="C679" s="13" t="s">
        <v>219</v>
      </c>
      <c r="D679" s="40">
        <v>0</v>
      </c>
    </row>
    <row r="680" spans="1:4" ht="22.5" customHeight="1" x14ac:dyDescent="0.15">
      <c r="A680" s="16" t="s">
        <v>142</v>
      </c>
      <c r="B680" s="12" t="s">
        <v>1877</v>
      </c>
      <c r="C680" s="13" t="s">
        <v>88</v>
      </c>
      <c r="D680" s="40">
        <v>0</v>
      </c>
    </row>
    <row r="681" spans="1:4" ht="22.5" customHeight="1" x14ac:dyDescent="0.15">
      <c r="A681" s="16" t="s">
        <v>950</v>
      </c>
      <c r="B681" s="12" t="s">
        <v>1878</v>
      </c>
      <c r="C681" s="13" t="s">
        <v>12</v>
      </c>
      <c r="D681" s="40">
        <v>0</v>
      </c>
    </row>
    <row r="682" spans="1:4" ht="22.5" customHeight="1" x14ac:dyDescent="0.15">
      <c r="A682" s="16" t="s">
        <v>577</v>
      </c>
      <c r="B682" s="12" t="s">
        <v>1879</v>
      </c>
      <c r="C682" s="13" t="s">
        <v>23</v>
      </c>
      <c r="D682" s="40">
        <v>0</v>
      </c>
    </row>
    <row r="683" spans="1:4" ht="22.5" customHeight="1" x14ac:dyDescent="0.15">
      <c r="A683" s="16" t="s">
        <v>15</v>
      </c>
      <c r="B683" s="12" t="s">
        <v>1880</v>
      </c>
      <c r="C683" s="13" t="s">
        <v>18</v>
      </c>
      <c r="D683" s="40">
        <v>0</v>
      </c>
    </row>
    <row r="684" spans="1:4" ht="22.5" customHeight="1" x14ac:dyDescent="0.15">
      <c r="A684" s="16" t="s">
        <v>160</v>
      </c>
      <c r="B684" s="12" t="s">
        <v>1881</v>
      </c>
      <c r="C684" s="13" t="s">
        <v>18</v>
      </c>
      <c r="D684" s="40">
        <v>0</v>
      </c>
    </row>
    <row r="685" spans="1:4" ht="22.5" customHeight="1" x14ac:dyDescent="0.15">
      <c r="A685" s="16" t="s">
        <v>827</v>
      </c>
      <c r="B685" s="12" t="s">
        <v>1883</v>
      </c>
      <c r="C685" s="13" t="s">
        <v>30</v>
      </c>
      <c r="D685" s="40">
        <v>0</v>
      </c>
    </row>
    <row r="686" spans="1:4" ht="22.5" customHeight="1" x14ac:dyDescent="0.15">
      <c r="A686" s="16" t="s">
        <v>157</v>
      </c>
      <c r="B686" s="12" t="s">
        <v>1884</v>
      </c>
      <c r="C686" s="13" t="s">
        <v>30</v>
      </c>
      <c r="D686" s="40">
        <v>0</v>
      </c>
    </row>
    <row r="687" spans="1:4" ht="22.5" customHeight="1" x14ac:dyDescent="0.15">
      <c r="A687" s="16" t="s">
        <v>1888</v>
      </c>
      <c r="B687" s="12" t="s">
        <v>1889</v>
      </c>
      <c r="C687" s="13" t="s">
        <v>136</v>
      </c>
      <c r="D687" s="40">
        <v>0</v>
      </c>
    </row>
    <row r="688" spans="1:4" ht="22.5" customHeight="1" x14ac:dyDescent="0.15">
      <c r="A688" s="16" t="s">
        <v>832</v>
      </c>
      <c r="B688" s="12" t="s">
        <v>1890</v>
      </c>
      <c r="C688" s="13" t="s">
        <v>18</v>
      </c>
      <c r="D688" s="40">
        <v>0</v>
      </c>
    </row>
    <row r="689" spans="1:4" ht="22.5" customHeight="1" x14ac:dyDescent="0.15">
      <c r="A689" s="16" t="s">
        <v>832</v>
      </c>
      <c r="B689" s="12" t="s">
        <v>1891</v>
      </c>
      <c r="C689" s="13" t="s">
        <v>18</v>
      </c>
      <c r="D689" s="40">
        <v>0</v>
      </c>
    </row>
    <row r="690" spans="1:4" ht="22.5" customHeight="1" x14ac:dyDescent="0.15">
      <c r="A690" s="16" t="s">
        <v>832</v>
      </c>
      <c r="B690" s="12" t="s">
        <v>1892</v>
      </c>
      <c r="C690" s="13" t="s">
        <v>18</v>
      </c>
      <c r="D690" s="40">
        <v>0</v>
      </c>
    </row>
    <row r="691" spans="1:4" ht="22.5" customHeight="1" x14ac:dyDescent="0.15">
      <c r="A691" s="16" t="s">
        <v>853</v>
      </c>
      <c r="B691" s="12" t="s">
        <v>1893</v>
      </c>
      <c r="C691" s="13" t="s">
        <v>342</v>
      </c>
      <c r="D691" s="40">
        <v>0</v>
      </c>
    </row>
    <row r="692" spans="1:4" ht="22.5" customHeight="1" x14ac:dyDescent="0.15">
      <c r="A692" s="16" t="s">
        <v>1477</v>
      </c>
      <c r="B692" s="12" t="s">
        <v>1894</v>
      </c>
      <c r="C692" s="13" t="s">
        <v>88</v>
      </c>
      <c r="D692" s="40">
        <v>0</v>
      </c>
    </row>
    <row r="693" spans="1:4" ht="22.5" customHeight="1" x14ac:dyDescent="0.15">
      <c r="A693" s="16" t="s">
        <v>249</v>
      </c>
      <c r="B693" s="12" t="s">
        <v>1895</v>
      </c>
      <c r="C693" s="13" t="s">
        <v>30</v>
      </c>
      <c r="D693" s="40">
        <v>0</v>
      </c>
    </row>
    <row r="694" spans="1:4" ht="22.5" customHeight="1" x14ac:dyDescent="0.15">
      <c r="A694" s="16" t="s">
        <v>339</v>
      </c>
      <c r="B694" s="12" t="s">
        <v>1896</v>
      </c>
      <c r="C694" s="13" t="s">
        <v>342</v>
      </c>
      <c r="D694" s="40">
        <v>0</v>
      </c>
    </row>
    <row r="695" spans="1:4" ht="22.5" customHeight="1" x14ac:dyDescent="0.15">
      <c r="A695" s="16" t="s">
        <v>359</v>
      </c>
      <c r="B695" s="12" t="s">
        <v>1897</v>
      </c>
      <c r="C695" s="13" t="s">
        <v>88</v>
      </c>
      <c r="D695" s="40">
        <v>0</v>
      </c>
    </row>
    <row r="696" spans="1:4" ht="22.5" customHeight="1" x14ac:dyDescent="0.15">
      <c r="A696" s="16" t="s">
        <v>384</v>
      </c>
      <c r="B696" s="12" t="s">
        <v>1898</v>
      </c>
      <c r="C696" s="13" t="s">
        <v>30</v>
      </c>
      <c r="D696" s="40">
        <v>0</v>
      </c>
    </row>
    <row r="697" spans="1:4" ht="22.5" customHeight="1" x14ac:dyDescent="0.15">
      <c r="A697" s="16" t="s">
        <v>384</v>
      </c>
      <c r="B697" s="12" t="s">
        <v>1899</v>
      </c>
      <c r="C697" s="13" t="s">
        <v>30</v>
      </c>
      <c r="D697" s="40">
        <v>0</v>
      </c>
    </row>
    <row r="698" spans="1:4" ht="22.5" customHeight="1" x14ac:dyDescent="0.15">
      <c r="A698" s="16" t="s">
        <v>384</v>
      </c>
      <c r="B698" s="12" t="s">
        <v>1900</v>
      </c>
      <c r="C698" s="13" t="s">
        <v>30</v>
      </c>
      <c r="D698" s="40">
        <v>0</v>
      </c>
    </row>
    <row r="699" spans="1:4" ht="22.5" customHeight="1" x14ac:dyDescent="0.15">
      <c r="A699" s="16" t="s">
        <v>399</v>
      </c>
      <c r="B699" s="12" t="s">
        <v>1895</v>
      </c>
      <c r="C699" s="13" t="s">
        <v>30</v>
      </c>
      <c r="D699" s="40">
        <v>0</v>
      </c>
    </row>
    <row r="700" spans="1:4" ht="22.5" customHeight="1" x14ac:dyDescent="0.15">
      <c r="A700" s="16" t="s">
        <v>1127</v>
      </c>
      <c r="B700" s="12" t="s">
        <v>1901</v>
      </c>
      <c r="C700" s="13" t="s">
        <v>88</v>
      </c>
      <c r="D700" s="40">
        <v>0</v>
      </c>
    </row>
    <row r="701" spans="1:4" ht="22.5" customHeight="1" x14ac:dyDescent="0.15">
      <c r="A701" s="16" t="s">
        <v>57</v>
      </c>
      <c r="B701" s="12" t="s">
        <v>1902</v>
      </c>
      <c r="C701" s="13" t="s">
        <v>12</v>
      </c>
      <c r="D701" s="40">
        <v>0</v>
      </c>
    </row>
    <row r="702" spans="1:4" ht="22.5" customHeight="1" x14ac:dyDescent="0.15">
      <c r="A702" s="16" t="s">
        <v>497</v>
      </c>
      <c r="B702" s="12" t="s">
        <v>1903</v>
      </c>
      <c r="C702" s="13" t="s">
        <v>18</v>
      </c>
      <c r="D702" s="40">
        <v>0</v>
      </c>
    </row>
    <row r="703" spans="1:4" ht="22.5" customHeight="1" x14ac:dyDescent="0.15">
      <c r="A703" s="16" t="s">
        <v>617</v>
      </c>
      <c r="B703" s="12" t="s">
        <v>1904</v>
      </c>
      <c r="C703" s="13" t="s">
        <v>30</v>
      </c>
      <c r="D703" s="40">
        <v>0</v>
      </c>
    </row>
    <row r="704" spans="1:4" ht="22.5" customHeight="1" x14ac:dyDescent="0.15">
      <c r="A704" s="16" t="s">
        <v>1234</v>
      </c>
      <c r="B704" s="12" t="s">
        <v>1905</v>
      </c>
      <c r="C704" s="13" t="s">
        <v>30</v>
      </c>
      <c r="D704" s="40">
        <v>0</v>
      </c>
    </row>
    <row r="705" spans="1:4" ht="22.5" customHeight="1" x14ac:dyDescent="0.15">
      <c r="A705" s="16" t="s">
        <v>553</v>
      </c>
      <c r="B705" s="12" t="s">
        <v>1906</v>
      </c>
      <c r="C705" s="13" t="s">
        <v>30</v>
      </c>
      <c r="D705" s="40">
        <v>0</v>
      </c>
    </row>
    <row r="706" spans="1:4" ht="22.5" customHeight="1" x14ac:dyDescent="0.15">
      <c r="A706" s="16" t="s">
        <v>129</v>
      </c>
      <c r="B706" s="12" t="s">
        <v>1907</v>
      </c>
      <c r="C706" s="13" t="s">
        <v>219</v>
      </c>
      <c r="D706" s="40">
        <v>0</v>
      </c>
    </row>
    <row r="707" spans="1:4" ht="22.5" customHeight="1" x14ac:dyDescent="0.15">
      <c r="A707" s="16" t="s">
        <v>869</v>
      </c>
      <c r="B707" s="12" t="s">
        <v>1908</v>
      </c>
      <c r="C707" s="13" t="s">
        <v>30</v>
      </c>
      <c r="D707" s="40">
        <v>0</v>
      </c>
    </row>
    <row r="708" spans="1:4" ht="22.5" customHeight="1" x14ac:dyDescent="0.15">
      <c r="A708" s="16" t="s">
        <v>1103</v>
      </c>
      <c r="B708" s="12" t="s">
        <v>1908</v>
      </c>
      <c r="C708" s="13" t="s">
        <v>30</v>
      </c>
      <c r="D708" s="40">
        <v>0</v>
      </c>
    </row>
    <row r="709" spans="1:4" ht="22.5" customHeight="1" x14ac:dyDescent="0.15">
      <c r="A709" s="16" t="s">
        <v>45</v>
      </c>
      <c r="B709" s="12" t="s">
        <v>1909</v>
      </c>
      <c r="C709" s="13" t="s">
        <v>18</v>
      </c>
      <c r="D709" s="40">
        <v>0</v>
      </c>
    </row>
    <row r="710" spans="1:4" ht="22.5" customHeight="1" x14ac:dyDescent="0.15">
      <c r="A710" s="16" t="s">
        <v>476</v>
      </c>
      <c r="B710" s="12" t="s">
        <v>1910</v>
      </c>
      <c r="C710" s="13" t="s">
        <v>30</v>
      </c>
      <c r="D710" s="40">
        <v>0</v>
      </c>
    </row>
    <row r="711" spans="1:4" ht="22.5" customHeight="1" x14ac:dyDescent="0.15">
      <c r="A711" s="16" t="s">
        <v>359</v>
      </c>
      <c r="B711" s="12" t="s">
        <v>1911</v>
      </c>
      <c r="C711" s="13" t="s">
        <v>30</v>
      </c>
      <c r="D711" s="40">
        <v>0</v>
      </c>
    </row>
    <row r="712" spans="1:4" ht="22.5" customHeight="1" x14ac:dyDescent="0.15">
      <c r="A712" s="16" t="s">
        <v>658</v>
      </c>
      <c r="B712" s="12" t="s">
        <v>1912</v>
      </c>
      <c r="C712" s="13" t="s">
        <v>18</v>
      </c>
      <c r="D712" s="40">
        <v>0</v>
      </c>
    </row>
    <row r="713" spans="1:4" ht="22.5" customHeight="1" x14ac:dyDescent="0.15">
      <c r="A713" s="16" t="s">
        <v>70</v>
      </c>
      <c r="B713" s="12" t="s">
        <v>1913</v>
      </c>
      <c r="C713" s="13" t="s">
        <v>342</v>
      </c>
      <c r="D713" s="40">
        <v>0</v>
      </c>
    </row>
    <row r="714" spans="1:4" ht="22.5" customHeight="1" x14ac:dyDescent="0.15">
      <c r="A714" s="16" t="s">
        <v>70</v>
      </c>
      <c r="B714" s="12" t="s">
        <v>1915</v>
      </c>
      <c r="C714" s="13" t="s">
        <v>30</v>
      </c>
      <c r="D714" s="40">
        <v>0</v>
      </c>
    </row>
    <row r="715" spans="1:4" ht="22.5" customHeight="1" x14ac:dyDescent="0.15">
      <c r="A715" s="16" t="s">
        <v>70</v>
      </c>
      <c r="B715" s="12" t="s">
        <v>1916</v>
      </c>
      <c r="C715" s="13" t="s">
        <v>30</v>
      </c>
      <c r="D715" s="40">
        <v>0</v>
      </c>
    </row>
    <row r="716" spans="1:4" ht="22.5" customHeight="1" x14ac:dyDescent="0.15">
      <c r="A716" s="16" t="s">
        <v>70</v>
      </c>
      <c r="B716" s="12" t="s">
        <v>1917</v>
      </c>
      <c r="C716" s="13" t="s">
        <v>136</v>
      </c>
      <c r="D716" s="40">
        <v>0</v>
      </c>
    </row>
    <row r="717" spans="1:4" ht="22.5" customHeight="1" x14ac:dyDescent="0.15">
      <c r="A717" s="16" t="s">
        <v>70</v>
      </c>
      <c r="B717" s="12" t="s">
        <v>1918</v>
      </c>
      <c r="C717" s="13" t="s">
        <v>18</v>
      </c>
      <c r="D717" s="40">
        <v>0</v>
      </c>
    </row>
    <row r="718" spans="1:4" ht="22.5" customHeight="1" x14ac:dyDescent="0.15">
      <c r="A718" s="16" t="s">
        <v>70</v>
      </c>
      <c r="B718" s="12" t="s">
        <v>1919</v>
      </c>
      <c r="C718" s="13" t="s">
        <v>18</v>
      </c>
      <c r="D718" s="40">
        <v>0</v>
      </c>
    </row>
    <row r="719" spans="1:4" ht="22.5" customHeight="1" x14ac:dyDescent="0.15">
      <c r="A719" s="16" t="s">
        <v>70</v>
      </c>
      <c r="B719" s="12" t="s">
        <v>1913</v>
      </c>
      <c r="C719" s="13" t="s">
        <v>342</v>
      </c>
      <c r="D719" s="40">
        <v>0</v>
      </c>
    </row>
    <row r="720" spans="1:4" ht="22.5" customHeight="1" x14ac:dyDescent="0.15">
      <c r="A720" s="16" t="s">
        <v>70</v>
      </c>
      <c r="B720" s="12" t="s">
        <v>1915</v>
      </c>
      <c r="C720" s="13" t="s">
        <v>30</v>
      </c>
      <c r="D720" s="40">
        <v>0</v>
      </c>
    </row>
    <row r="721" spans="1:4" ht="22.5" customHeight="1" x14ac:dyDescent="0.15">
      <c r="A721" s="16" t="s">
        <v>70</v>
      </c>
      <c r="B721" s="12" t="s">
        <v>1916</v>
      </c>
      <c r="C721" s="13" t="s">
        <v>30</v>
      </c>
      <c r="D721" s="40">
        <v>0</v>
      </c>
    </row>
    <row r="722" spans="1:4" ht="22.5" customHeight="1" x14ac:dyDescent="0.15">
      <c r="A722" s="16" t="s">
        <v>70</v>
      </c>
      <c r="B722" s="12" t="s">
        <v>1920</v>
      </c>
      <c r="C722" s="13" t="s">
        <v>83</v>
      </c>
      <c r="D722" s="40">
        <v>0</v>
      </c>
    </row>
    <row r="723" spans="1:4" ht="22.5" customHeight="1" x14ac:dyDescent="0.15">
      <c r="A723" s="16" t="s">
        <v>70</v>
      </c>
      <c r="B723" s="12" t="s">
        <v>1921</v>
      </c>
      <c r="C723" s="13" t="s">
        <v>83</v>
      </c>
      <c r="D723" s="40">
        <v>0</v>
      </c>
    </row>
    <row r="724" spans="1:4" ht="22.5" customHeight="1" x14ac:dyDescent="0.15">
      <c r="A724" s="16" t="s">
        <v>70</v>
      </c>
      <c r="B724" s="12" t="s">
        <v>1922</v>
      </c>
      <c r="C724" s="13" t="s">
        <v>12</v>
      </c>
      <c r="D724" s="40">
        <v>0</v>
      </c>
    </row>
    <row r="725" spans="1:4" ht="22.5" customHeight="1" x14ac:dyDescent="0.15">
      <c r="A725" s="16" t="s">
        <v>1925</v>
      </c>
      <c r="B725" s="12" t="s">
        <v>1926</v>
      </c>
      <c r="C725" s="13" t="s">
        <v>12</v>
      </c>
      <c r="D725" s="40">
        <v>0</v>
      </c>
    </row>
    <row r="726" spans="1:4" ht="22.5" customHeight="1" x14ac:dyDescent="0.15">
      <c r="A726" s="16" t="s">
        <v>120</v>
      </c>
      <c r="B726" s="12" t="s">
        <v>1927</v>
      </c>
      <c r="C726" s="13" t="s">
        <v>18</v>
      </c>
      <c r="D726" s="40">
        <v>0</v>
      </c>
    </row>
    <row r="727" spans="1:4" ht="22.5" customHeight="1" x14ac:dyDescent="0.15">
      <c r="A727" s="16" t="s">
        <v>120</v>
      </c>
      <c r="B727" s="12" t="s">
        <v>1928</v>
      </c>
      <c r="C727" s="13" t="s">
        <v>23</v>
      </c>
      <c r="D727" s="40">
        <v>0</v>
      </c>
    </row>
    <row r="728" spans="1:4" ht="22.5" customHeight="1" x14ac:dyDescent="0.15">
      <c r="A728" s="16" t="s">
        <v>1404</v>
      </c>
      <c r="B728" s="12" t="s">
        <v>1929</v>
      </c>
      <c r="C728" s="13" t="s">
        <v>30</v>
      </c>
      <c r="D728" s="40">
        <v>0</v>
      </c>
    </row>
    <row r="729" spans="1:4" ht="22.5" customHeight="1" x14ac:dyDescent="0.15">
      <c r="A729" s="16" t="s">
        <v>1404</v>
      </c>
      <c r="B729" s="12" t="s">
        <v>1930</v>
      </c>
      <c r="C729" s="13" t="s">
        <v>83</v>
      </c>
      <c r="D729" s="40">
        <v>0</v>
      </c>
    </row>
    <row r="730" spans="1:4" ht="22.5" customHeight="1" x14ac:dyDescent="0.15">
      <c r="A730" s="16" t="s">
        <v>725</v>
      </c>
      <c r="B730" s="12" t="s">
        <v>1931</v>
      </c>
      <c r="C730" s="13" t="s">
        <v>136</v>
      </c>
      <c r="D730" s="40">
        <v>0</v>
      </c>
    </row>
    <row r="731" spans="1:4" ht="22.5" customHeight="1" x14ac:dyDescent="0.15">
      <c r="A731" s="16" t="s">
        <v>1933</v>
      </c>
      <c r="B731" s="12" t="s">
        <v>1934</v>
      </c>
      <c r="C731" s="13" t="s">
        <v>23</v>
      </c>
      <c r="D731" s="40">
        <v>0</v>
      </c>
    </row>
    <row r="732" spans="1:4" ht="22.5" customHeight="1" x14ac:dyDescent="0.15">
      <c r="A732" s="16" t="s">
        <v>1933</v>
      </c>
      <c r="B732" s="12" t="s">
        <v>1935</v>
      </c>
      <c r="C732" s="13" t="s">
        <v>18</v>
      </c>
      <c r="D732" s="40">
        <v>0</v>
      </c>
    </row>
    <row r="733" spans="1:4" ht="22.5" customHeight="1" x14ac:dyDescent="0.15">
      <c r="A733" s="16" t="s">
        <v>1933</v>
      </c>
      <c r="B733" s="12" t="s">
        <v>1936</v>
      </c>
      <c r="C733" s="13" t="s">
        <v>12</v>
      </c>
      <c r="D733" s="40">
        <v>0</v>
      </c>
    </row>
    <row r="734" spans="1:4" ht="22.5" customHeight="1" x14ac:dyDescent="0.15">
      <c r="A734" s="16" t="s">
        <v>621</v>
      </c>
      <c r="B734" s="12" t="s">
        <v>1937</v>
      </c>
      <c r="C734" s="13" t="s">
        <v>83</v>
      </c>
      <c r="D734" s="40">
        <v>0</v>
      </c>
    </row>
    <row r="735" spans="1:4" ht="22.5" customHeight="1" x14ac:dyDescent="0.15">
      <c r="A735" s="16" t="s">
        <v>621</v>
      </c>
      <c r="B735" s="12" t="s">
        <v>1938</v>
      </c>
      <c r="C735" s="13" t="s">
        <v>30</v>
      </c>
      <c r="D735" s="40">
        <v>0</v>
      </c>
    </row>
    <row r="736" spans="1:4" ht="22.5" customHeight="1" x14ac:dyDescent="0.15">
      <c r="A736" s="16" t="s">
        <v>621</v>
      </c>
      <c r="B736" s="12" t="s">
        <v>1939</v>
      </c>
      <c r="C736" s="13" t="s">
        <v>30</v>
      </c>
      <c r="D736" s="40">
        <v>0</v>
      </c>
    </row>
    <row r="737" spans="1:4" ht="22.5" customHeight="1" x14ac:dyDescent="0.15">
      <c r="A737" s="16" t="s">
        <v>125</v>
      </c>
      <c r="B737" s="12" t="s">
        <v>1940</v>
      </c>
      <c r="C737" s="13" t="s">
        <v>30</v>
      </c>
      <c r="D737" s="40">
        <v>0</v>
      </c>
    </row>
    <row r="738" spans="1:4" ht="22.5" customHeight="1" x14ac:dyDescent="0.15">
      <c r="A738" s="16" t="s">
        <v>129</v>
      </c>
      <c r="B738" s="12" t="s">
        <v>1941</v>
      </c>
      <c r="C738" s="13" t="s">
        <v>30</v>
      </c>
      <c r="D738" s="40">
        <v>0</v>
      </c>
    </row>
    <row r="739" spans="1:4" ht="22.5" customHeight="1" x14ac:dyDescent="0.15">
      <c r="A739" s="16" t="s">
        <v>129</v>
      </c>
      <c r="B739" s="12" t="s">
        <v>1942</v>
      </c>
      <c r="C739" s="13" t="s">
        <v>30</v>
      </c>
      <c r="D739" s="40">
        <v>0</v>
      </c>
    </row>
    <row r="740" spans="1:4" ht="22.5" customHeight="1" x14ac:dyDescent="0.15">
      <c r="A740" s="16" t="s">
        <v>129</v>
      </c>
      <c r="B740" s="12" t="s">
        <v>1943</v>
      </c>
      <c r="C740" s="13" t="s">
        <v>30</v>
      </c>
      <c r="D740" s="40">
        <v>0</v>
      </c>
    </row>
    <row r="741" spans="1:4" ht="22.5" customHeight="1" x14ac:dyDescent="0.15">
      <c r="A741" s="16" t="s">
        <v>129</v>
      </c>
      <c r="B741" s="12" t="s">
        <v>1944</v>
      </c>
      <c r="C741" s="13" t="s">
        <v>30</v>
      </c>
      <c r="D741" s="40">
        <v>0</v>
      </c>
    </row>
    <row r="742" spans="1:4" ht="22.5" customHeight="1" x14ac:dyDescent="0.15">
      <c r="A742" s="16" t="s">
        <v>129</v>
      </c>
      <c r="B742" s="12" t="s">
        <v>1945</v>
      </c>
      <c r="C742" s="13" t="s">
        <v>342</v>
      </c>
      <c r="D742" s="40">
        <v>0</v>
      </c>
    </row>
    <row r="743" spans="1:4" ht="22.5" customHeight="1" x14ac:dyDescent="0.15">
      <c r="A743" s="16" t="s">
        <v>1410</v>
      </c>
      <c r="B743" s="12" t="s">
        <v>1946</v>
      </c>
      <c r="C743" s="13" t="s">
        <v>88</v>
      </c>
      <c r="D743" s="40">
        <v>0</v>
      </c>
    </row>
    <row r="744" spans="1:4" ht="22.5" customHeight="1" x14ac:dyDescent="0.15">
      <c r="A744" s="16" t="s">
        <v>1410</v>
      </c>
      <c r="B744" s="12" t="s">
        <v>1947</v>
      </c>
      <c r="C744" s="13" t="s">
        <v>18</v>
      </c>
      <c r="D744" s="40">
        <v>0</v>
      </c>
    </row>
    <row r="745" spans="1:4" ht="22.5" customHeight="1" x14ac:dyDescent="0.15">
      <c r="A745" s="16" t="s">
        <v>1410</v>
      </c>
      <c r="B745" s="12" t="s">
        <v>1948</v>
      </c>
      <c r="C745" s="13" t="s">
        <v>18</v>
      </c>
      <c r="D745" s="40">
        <v>0</v>
      </c>
    </row>
    <row r="746" spans="1:4" ht="22.5" customHeight="1" x14ac:dyDescent="0.15">
      <c r="A746" s="16" t="s">
        <v>1410</v>
      </c>
      <c r="B746" s="12" t="s">
        <v>1949</v>
      </c>
      <c r="C746" s="13" t="s">
        <v>23</v>
      </c>
      <c r="D746" s="40">
        <v>0</v>
      </c>
    </row>
    <row r="747" spans="1:4" ht="22.5" customHeight="1" x14ac:dyDescent="0.15">
      <c r="A747" s="16" t="s">
        <v>133</v>
      </c>
      <c r="B747" s="12" t="s">
        <v>1950</v>
      </c>
      <c r="C747" s="13" t="s">
        <v>23</v>
      </c>
      <c r="D747" s="40">
        <v>0</v>
      </c>
    </row>
    <row r="748" spans="1:4" ht="22.5" customHeight="1" x14ac:dyDescent="0.15">
      <c r="A748" s="16" t="s">
        <v>133</v>
      </c>
      <c r="B748" s="12" t="s">
        <v>1951</v>
      </c>
      <c r="C748" s="13" t="s">
        <v>136</v>
      </c>
      <c r="D748" s="40">
        <v>0</v>
      </c>
    </row>
    <row r="749" spans="1:4" ht="22.5" customHeight="1" x14ac:dyDescent="0.15">
      <c r="A749" s="16" t="s">
        <v>133</v>
      </c>
      <c r="B749" s="12" t="s">
        <v>1952</v>
      </c>
      <c r="C749" s="13" t="s">
        <v>83</v>
      </c>
      <c r="D749" s="40">
        <v>0</v>
      </c>
    </row>
    <row r="750" spans="1:4" ht="22.5" customHeight="1" x14ac:dyDescent="0.15">
      <c r="A750" s="16" t="s">
        <v>133</v>
      </c>
      <c r="B750" s="12" t="s">
        <v>1953</v>
      </c>
      <c r="C750" s="13" t="s">
        <v>18</v>
      </c>
      <c r="D750" s="40">
        <v>0</v>
      </c>
    </row>
    <row r="751" spans="1:4" ht="22.5" customHeight="1" x14ac:dyDescent="0.15">
      <c r="A751" s="16" t="s">
        <v>133</v>
      </c>
      <c r="B751" s="12" t="s">
        <v>1954</v>
      </c>
      <c r="C751" s="13" t="s">
        <v>18</v>
      </c>
      <c r="D751" s="40">
        <v>0</v>
      </c>
    </row>
    <row r="752" spans="1:4" ht="22.5" customHeight="1" x14ac:dyDescent="0.15">
      <c r="A752" s="16" t="s">
        <v>133</v>
      </c>
      <c r="B752" s="12" t="s">
        <v>1955</v>
      </c>
      <c r="C752" s="13" t="s">
        <v>18</v>
      </c>
      <c r="D752" s="40">
        <v>0</v>
      </c>
    </row>
    <row r="753" spans="1:4" ht="22.5" customHeight="1" x14ac:dyDescent="0.15">
      <c r="A753" s="16" t="s">
        <v>133</v>
      </c>
      <c r="B753" s="12" t="s">
        <v>1956</v>
      </c>
      <c r="C753" s="13" t="s">
        <v>30</v>
      </c>
      <c r="D753" s="40">
        <v>0</v>
      </c>
    </row>
    <row r="754" spans="1:4" ht="22.5" customHeight="1" x14ac:dyDescent="0.15">
      <c r="A754" s="16" t="s">
        <v>142</v>
      </c>
      <c r="B754" s="12" t="s">
        <v>1957</v>
      </c>
      <c r="C754" s="13" t="s">
        <v>18</v>
      </c>
      <c r="D754" s="40">
        <v>0</v>
      </c>
    </row>
    <row r="755" spans="1:4" ht="22.5" customHeight="1" x14ac:dyDescent="0.15">
      <c r="A755" s="16" t="s">
        <v>142</v>
      </c>
      <c r="B755" s="12" t="s">
        <v>1958</v>
      </c>
      <c r="C755" s="13" t="s">
        <v>18</v>
      </c>
      <c r="D755" s="40">
        <v>0</v>
      </c>
    </row>
    <row r="756" spans="1:4" ht="22.5" customHeight="1" x14ac:dyDescent="0.15">
      <c r="A756" s="16" t="s">
        <v>142</v>
      </c>
      <c r="B756" s="12" t="s">
        <v>1959</v>
      </c>
      <c r="C756" s="13" t="s">
        <v>18</v>
      </c>
      <c r="D756" s="40">
        <v>0</v>
      </c>
    </row>
    <row r="757" spans="1:4" ht="22.5" customHeight="1" x14ac:dyDescent="0.15">
      <c r="A757" s="16" t="s">
        <v>142</v>
      </c>
      <c r="B757" s="12" t="s">
        <v>1960</v>
      </c>
      <c r="C757" s="13" t="s">
        <v>18</v>
      </c>
      <c r="D757" s="40">
        <v>0</v>
      </c>
    </row>
    <row r="758" spans="1:4" ht="22.5" customHeight="1" x14ac:dyDescent="0.15">
      <c r="A758" s="16" t="s">
        <v>142</v>
      </c>
      <c r="B758" s="12" t="s">
        <v>1961</v>
      </c>
      <c r="C758" s="13" t="s">
        <v>30</v>
      </c>
      <c r="D758" s="40">
        <v>0</v>
      </c>
    </row>
    <row r="759" spans="1:4" ht="22.5" customHeight="1" x14ac:dyDescent="0.15">
      <c r="A759" s="16" t="s">
        <v>142</v>
      </c>
      <c r="B759" s="12" t="s">
        <v>1962</v>
      </c>
      <c r="C759" s="13" t="s">
        <v>88</v>
      </c>
      <c r="D759" s="40">
        <v>0</v>
      </c>
    </row>
    <row r="760" spans="1:4" ht="22.5" customHeight="1" x14ac:dyDescent="0.15">
      <c r="A760" s="16" t="s">
        <v>142</v>
      </c>
      <c r="B760" s="12" t="s">
        <v>1963</v>
      </c>
      <c r="C760" s="13" t="s">
        <v>88</v>
      </c>
      <c r="D760" s="40">
        <v>0</v>
      </c>
    </row>
    <row r="761" spans="1:4" ht="22.5" customHeight="1" x14ac:dyDescent="0.15">
      <c r="A761" s="16" t="s">
        <v>142</v>
      </c>
      <c r="B761" s="12" t="s">
        <v>1964</v>
      </c>
      <c r="C761" s="13" t="s">
        <v>88</v>
      </c>
      <c r="D761" s="40">
        <v>0</v>
      </c>
    </row>
    <row r="762" spans="1:4" ht="22.5" customHeight="1" x14ac:dyDescent="0.15">
      <c r="A762" s="16" t="s">
        <v>142</v>
      </c>
      <c r="B762" s="12" t="s">
        <v>1965</v>
      </c>
      <c r="C762" s="13" t="s">
        <v>88</v>
      </c>
      <c r="D762" s="40">
        <v>0</v>
      </c>
    </row>
    <row r="763" spans="1:4" ht="22.5" customHeight="1" x14ac:dyDescent="0.15">
      <c r="A763" s="16" t="s">
        <v>142</v>
      </c>
      <c r="B763" s="12" t="s">
        <v>1966</v>
      </c>
      <c r="C763" s="13" t="s">
        <v>88</v>
      </c>
      <c r="D763" s="40">
        <v>0</v>
      </c>
    </row>
    <row r="764" spans="1:4" ht="22.5" customHeight="1" x14ac:dyDescent="0.15">
      <c r="A764" s="16" t="s">
        <v>142</v>
      </c>
      <c r="B764" s="12" t="s">
        <v>1967</v>
      </c>
      <c r="C764" s="13" t="s">
        <v>88</v>
      </c>
      <c r="D764" s="40">
        <v>0</v>
      </c>
    </row>
    <row r="765" spans="1:4" ht="22.5" customHeight="1" x14ac:dyDescent="0.15">
      <c r="A765" s="16" t="s">
        <v>142</v>
      </c>
      <c r="B765" s="12" t="s">
        <v>1968</v>
      </c>
      <c r="C765" s="13" t="s">
        <v>30</v>
      </c>
      <c r="D765" s="40">
        <v>0</v>
      </c>
    </row>
    <row r="766" spans="1:4" ht="22.5" customHeight="1" x14ac:dyDescent="0.15">
      <c r="A766" s="16" t="s">
        <v>142</v>
      </c>
      <c r="B766" s="12" t="s">
        <v>1969</v>
      </c>
      <c r="C766" s="13" t="s">
        <v>30</v>
      </c>
      <c r="D766" s="40">
        <v>0</v>
      </c>
    </row>
    <row r="767" spans="1:4" ht="22.5" customHeight="1" x14ac:dyDescent="0.15">
      <c r="A767" s="16" t="s">
        <v>142</v>
      </c>
      <c r="B767" s="12" t="s">
        <v>1970</v>
      </c>
      <c r="C767" s="13" t="s">
        <v>30</v>
      </c>
      <c r="D767" s="40">
        <v>0</v>
      </c>
    </row>
    <row r="768" spans="1:4" ht="22.5" customHeight="1" x14ac:dyDescent="0.15">
      <c r="A768" s="16" t="s">
        <v>142</v>
      </c>
      <c r="B768" s="12" t="s">
        <v>1971</v>
      </c>
      <c r="C768" s="13" t="s">
        <v>30</v>
      </c>
      <c r="D768" s="40">
        <v>0</v>
      </c>
    </row>
    <row r="769" spans="1:4" ht="22.5" customHeight="1" x14ac:dyDescent="0.15">
      <c r="A769" s="16" t="s">
        <v>142</v>
      </c>
      <c r="B769" s="12" t="s">
        <v>1972</v>
      </c>
      <c r="C769" s="13" t="s">
        <v>88</v>
      </c>
      <c r="D769" s="40">
        <v>0</v>
      </c>
    </row>
    <row r="770" spans="1:4" ht="22.5" customHeight="1" x14ac:dyDescent="0.15">
      <c r="A770" s="16" t="s">
        <v>142</v>
      </c>
      <c r="B770" s="12" t="s">
        <v>1973</v>
      </c>
      <c r="C770" s="13" t="s">
        <v>342</v>
      </c>
      <c r="D770" s="40">
        <v>0</v>
      </c>
    </row>
    <row r="771" spans="1:4" ht="22.5" customHeight="1" x14ac:dyDescent="0.15">
      <c r="A771" s="16" t="s">
        <v>142</v>
      </c>
      <c r="B771" s="12" t="s">
        <v>1974</v>
      </c>
      <c r="C771" s="13" t="s">
        <v>136</v>
      </c>
      <c r="D771" s="40">
        <v>0</v>
      </c>
    </row>
    <row r="772" spans="1:4" ht="22.5" customHeight="1" x14ac:dyDescent="0.15">
      <c r="A772" s="16" t="s">
        <v>154</v>
      </c>
      <c r="B772" s="12" t="s">
        <v>1975</v>
      </c>
      <c r="C772" s="13" t="s">
        <v>18</v>
      </c>
      <c r="D772" s="40">
        <v>0</v>
      </c>
    </row>
    <row r="773" spans="1:4" ht="22.5" customHeight="1" x14ac:dyDescent="0.15">
      <c r="A773" s="16" t="s">
        <v>154</v>
      </c>
      <c r="B773" s="12" t="s">
        <v>1976</v>
      </c>
      <c r="C773" s="13" t="s">
        <v>12</v>
      </c>
      <c r="D773" s="40">
        <v>0</v>
      </c>
    </row>
    <row r="774" spans="1:4" ht="22.5" customHeight="1" x14ac:dyDescent="0.15">
      <c r="A774" s="16" t="s">
        <v>154</v>
      </c>
      <c r="B774" s="12" t="s">
        <v>1977</v>
      </c>
      <c r="C774" s="13" t="s">
        <v>88</v>
      </c>
      <c r="D774" s="40">
        <v>0</v>
      </c>
    </row>
    <row r="775" spans="1:4" ht="22.5" customHeight="1" x14ac:dyDescent="0.15">
      <c r="A775" s="16" t="s">
        <v>154</v>
      </c>
      <c r="B775" s="12" t="s">
        <v>1978</v>
      </c>
      <c r="C775" s="13" t="s">
        <v>88</v>
      </c>
      <c r="D775" s="40">
        <v>0</v>
      </c>
    </row>
    <row r="776" spans="1:4" ht="22.5" customHeight="1" x14ac:dyDescent="0.15">
      <c r="A776" s="16" t="s">
        <v>668</v>
      </c>
      <c r="B776" s="12" t="s">
        <v>1979</v>
      </c>
      <c r="C776" s="13" t="s">
        <v>88</v>
      </c>
      <c r="D776" s="40">
        <v>0</v>
      </c>
    </row>
    <row r="777" spans="1:4" ht="22.5" customHeight="1" x14ac:dyDescent="0.15">
      <c r="A777" s="16" t="s">
        <v>668</v>
      </c>
      <c r="B777" s="12" t="s">
        <v>1980</v>
      </c>
      <c r="C777" s="13" t="s">
        <v>136</v>
      </c>
      <c r="D777" s="40">
        <v>0</v>
      </c>
    </row>
    <row r="778" spans="1:4" ht="22.5" customHeight="1" x14ac:dyDescent="0.15">
      <c r="A778" s="16" t="s">
        <v>668</v>
      </c>
      <c r="B778" s="12" t="s">
        <v>1981</v>
      </c>
      <c r="C778" s="13" t="s">
        <v>12</v>
      </c>
      <c r="D778" s="40">
        <v>0</v>
      </c>
    </row>
    <row r="779" spans="1:4" ht="22.5" customHeight="1" x14ac:dyDescent="0.15">
      <c r="A779" s="16" t="s">
        <v>672</v>
      </c>
      <c r="B779" s="12" t="s">
        <v>1982</v>
      </c>
      <c r="C779" s="13" t="s">
        <v>12</v>
      </c>
      <c r="D779" s="40">
        <v>0</v>
      </c>
    </row>
    <row r="780" spans="1:4" ht="22.5" customHeight="1" x14ac:dyDescent="0.15">
      <c r="A780" s="16" t="s">
        <v>672</v>
      </c>
      <c r="B780" s="12" t="s">
        <v>1983</v>
      </c>
      <c r="C780" s="13" t="s">
        <v>12</v>
      </c>
      <c r="D780" s="40">
        <v>0</v>
      </c>
    </row>
    <row r="781" spans="1:4" ht="22.5" customHeight="1" x14ac:dyDescent="0.15">
      <c r="A781" s="16" t="s">
        <v>672</v>
      </c>
      <c r="B781" s="12" t="s">
        <v>1984</v>
      </c>
      <c r="C781" s="13" t="s">
        <v>23</v>
      </c>
      <c r="D781" s="40">
        <v>0</v>
      </c>
    </row>
    <row r="782" spans="1:4" ht="22.5" customHeight="1" x14ac:dyDescent="0.15">
      <c r="A782" s="16" t="s">
        <v>157</v>
      </c>
      <c r="B782" s="12" t="s">
        <v>1985</v>
      </c>
      <c r="C782" s="13" t="s">
        <v>12</v>
      </c>
      <c r="D782" s="40">
        <v>0</v>
      </c>
    </row>
    <row r="783" spans="1:4" ht="22.5" customHeight="1" x14ac:dyDescent="0.15">
      <c r="A783" s="16" t="s">
        <v>157</v>
      </c>
      <c r="B783" s="12" t="s">
        <v>1986</v>
      </c>
      <c r="C783" s="13" t="s">
        <v>12</v>
      </c>
      <c r="D783" s="40">
        <v>0</v>
      </c>
    </row>
    <row r="784" spans="1:4" ht="22.5" customHeight="1" x14ac:dyDescent="0.15">
      <c r="A784" s="16" t="s">
        <v>157</v>
      </c>
      <c r="B784" s="12" t="s">
        <v>1987</v>
      </c>
      <c r="C784" s="13" t="s">
        <v>30</v>
      </c>
      <c r="D784" s="40">
        <v>0</v>
      </c>
    </row>
    <row r="785" spans="1:4" ht="22.5" customHeight="1" x14ac:dyDescent="0.15">
      <c r="A785" s="16" t="s">
        <v>160</v>
      </c>
      <c r="B785" s="12" t="s">
        <v>1988</v>
      </c>
      <c r="C785" s="13" t="s">
        <v>136</v>
      </c>
      <c r="D785" s="40">
        <v>0</v>
      </c>
    </row>
    <row r="786" spans="1:4" ht="22.5" customHeight="1" x14ac:dyDescent="0.15">
      <c r="A786" s="16" t="s">
        <v>160</v>
      </c>
      <c r="B786" s="12" t="s">
        <v>1989</v>
      </c>
      <c r="C786" s="13" t="s">
        <v>30</v>
      </c>
      <c r="D786" s="40">
        <v>0</v>
      </c>
    </row>
    <row r="787" spans="1:4" ht="22.5" customHeight="1" x14ac:dyDescent="0.15">
      <c r="A787" s="16" t="s">
        <v>160</v>
      </c>
      <c r="B787" s="12" t="s">
        <v>1990</v>
      </c>
      <c r="C787" s="13" t="s">
        <v>30</v>
      </c>
      <c r="D787" s="40">
        <v>0</v>
      </c>
    </row>
    <row r="788" spans="1:4" ht="22.5" customHeight="1" x14ac:dyDescent="0.15">
      <c r="A788" s="16" t="s">
        <v>166</v>
      </c>
      <c r="B788" s="12" t="s">
        <v>1991</v>
      </c>
      <c r="C788" s="13" t="s">
        <v>30</v>
      </c>
      <c r="D788" s="40">
        <v>0</v>
      </c>
    </row>
    <row r="789" spans="1:4" ht="22.5" customHeight="1" x14ac:dyDescent="0.15">
      <c r="A789" s="16" t="s">
        <v>166</v>
      </c>
      <c r="B789" s="12" t="s">
        <v>1992</v>
      </c>
      <c r="C789" s="13" t="s">
        <v>219</v>
      </c>
      <c r="D789" s="40">
        <v>0</v>
      </c>
    </row>
    <row r="790" spans="1:4" ht="22.5" customHeight="1" x14ac:dyDescent="0.15">
      <c r="A790" s="16" t="s">
        <v>166</v>
      </c>
      <c r="B790" s="12" t="s">
        <v>1993</v>
      </c>
      <c r="C790" s="13" t="s">
        <v>115</v>
      </c>
      <c r="D790" s="40">
        <v>0</v>
      </c>
    </row>
    <row r="791" spans="1:4" ht="22.5" customHeight="1" x14ac:dyDescent="0.15">
      <c r="A791" s="16" t="s">
        <v>166</v>
      </c>
      <c r="B791" s="12" t="s">
        <v>1994</v>
      </c>
      <c r="C791" s="13" t="s">
        <v>30</v>
      </c>
      <c r="D791" s="40">
        <v>0</v>
      </c>
    </row>
    <row r="792" spans="1:4" ht="22.5" customHeight="1" x14ac:dyDescent="0.15">
      <c r="A792" s="16" t="s">
        <v>166</v>
      </c>
      <c r="B792" s="12" t="s">
        <v>1995</v>
      </c>
      <c r="C792" s="13" t="s">
        <v>30</v>
      </c>
      <c r="D792" s="40">
        <v>0</v>
      </c>
    </row>
    <row r="793" spans="1:4" ht="22.5" customHeight="1" x14ac:dyDescent="0.15">
      <c r="A793" s="16" t="s">
        <v>166</v>
      </c>
      <c r="B793" s="12" t="s">
        <v>1996</v>
      </c>
      <c r="C793" s="13" t="s">
        <v>30</v>
      </c>
      <c r="D793" s="40">
        <v>0</v>
      </c>
    </row>
    <row r="794" spans="1:4" ht="22.5" customHeight="1" x14ac:dyDescent="0.15">
      <c r="A794" s="16" t="s">
        <v>166</v>
      </c>
      <c r="B794" s="12" t="s">
        <v>1997</v>
      </c>
      <c r="C794" s="13" t="s">
        <v>30</v>
      </c>
      <c r="D794" s="40">
        <v>0</v>
      </c>
    </row>
    <row r="795" spans="1:4" ht="22.5" customHeight="1" x14ac:dyDescent="0.15">
      <c r="A795" s="16" t="s">
        <v>781</v>
      </c>
      <c r="B795" s="12" t="s">
        <v>1998</v>
      </c>
      <c r="C795" s="13" t="s">
        <v>136</v>
      </c>
      <c r="D795" s="40">
        <v>0</v>
      </c>
    </row>
    <row r="796" spans="1:4" ht="22.5" customHeight="1" x14ac:dyDescent="0.15">
      <c r="A796" s="16" t="s">
        <v>781</v>
      </c>
      <c r="B796" s="12" t="s">
        <v>1999</v>
      </c>
      <c r="C796" s="13" t="s">
        <v>30</v>
      </c>
      <c r="D796" s="40">
        <v>0</v>
      </c>
    </row>
    <row r="797" spans="1:4" ht="22.5" customHeight="1" x14ac:dyDescent="0.15">
      <c r="A797" s="16" t="s">
        <v>2002</v>
      </c>
      <c r="B797" s="12" t="s">
        <v>2003</v>
      </c>
      <c r="C797" s="13" t="s">
        <v>30</v>
      </c>
      <c r="D797" s="40">
        <v>0</v>
      </c>
    </row>
    <row r="798" spans="1:4" ht="22.5" customHeight="1" x14ac:dyDescent="0.15">
      <c r="A798" s="16" t="s">
        <v>2002</v>
      </c>
      <c r="B798" s="12" t="s">
        <v>2004</v>
      </c>
      <c r="C798" s="13" t="s">
        <v>23</v>
      </c>
      <c r="D798" s="40">
        <v>0</v>
      </c>
    </row>
    <row r="799" spans="1:4" ht="22.5" customHeight="1" x14ac:dyDescent="0.15">
      <c r="A799" s="16" t="s">
        <v>2002</v>
      </c>
      <c r="B799" s="12" t="s">
        <v>2005</v>
      </c>
      <c r="C799" s="13" t="s">
        <v>342</v>
      </c>
      <c r="D799" s="40">
        <v>0</v>
      </c>
    </row>
    <row r="800" spans="1:4" ht="22.5" customHeight="1" x14ac:dyDescent="0.15">
      <c r="A800" s="16" t="s">
        <v>2008</v>
      </c>
      <c r="B800" s="12" t="s">
        <v>2009</v>
      </c>
      <c r="C800" s="13" t="s">
        <v>30</v>
      </c>
      <c r="D800" s="40">
        <v>0</v>
      </c>
    </row>
    <row r="801" spans="1:4" ht="22.5" customHeight="1" x14ac:dyDescent="0.15">
      <c r="A801" s="16" t="s">
        <v>683</v>
      </c>
      <c r="B801" s="12" t="s">
        <v>2010</v>
      </c>
      <c r="C801" s="13" t="s">
        <v>136</v>
      </c>
      <c r="D801" s="40">
        <v>0</v>
      </c>
    </row>
    <row r="802" spans="1:4" ht="22.5" customHeight="1" x14ac:dyDescent="0.15">
      <c r="A802" s="16" t="s">
        <v>683</v>
      </c>
      <c r="B802" s="12" t="s">
        <v>2011</v>
      </c>
      <c r="C802" s="13" t="s">
        <v>88</v>
      </c>
      <c r="D802" s="40">
        <v>0</v>
      </c>
    </row>
    <row r="803" spans="1:4" ht="22.5" customHeight="1" x14ac:dyDescent="0.15">
      <c r="A803" s="16" t="s">
        <v>170</v>
      </c>
      <c r="B803" s="12" t="s">
        <v>2012</v>
      </c>
      <c r="C803" s="13" t="s">
        <v>136</v>
      </c>
      <c r="D803" s="40">
        <v>0</v>
      </c>
    </row>
    <row r="804" spans="1:4" ht="22.5" customHeight="1" x14ac:dyDescent="0.15">
      <c r="A804" s="16" t="s">
        <v>170</v>
      </c>
      <c r="B804" s="12" t="s">
        <v>2013</v>
      </c>
      <c r="C804" s="13" t="s">
        <v>12</v>
      </c>
      <c r="D804" s="40">
        <v>0</v>
      </c>
    </row>
    <row r="805" spans="1:4" ht="22.5" customHeight="1" x14ac:dyDescent="0.15">
      <c r="A805" s="16" t="s">
        <v>170</v>
      </c>
      <c r="B805" s="12" t="s">
        <v>2014</v>
      </c>
      <c r="C805" s="13" t="s">
        <v>12</v>
      </c>
      <c r="D805" s="40">
        <v>0</v>
      </c>
    </row>
    <row r="806" spans="1:4" ht="22.5" customHeight="1" x14ac:dyDescent="0.15">
      <c r="A806" s="16" t="s">
        <v>170</v>
      </c>
      <c r="B806" s="12" t="s">
        <v>2015</v>
      </c>
      <c r="C806" s="13" t="s">
        <v>12</v>
      </c>
      <c r="D806" s="40">
        <v>0</v>
      </c>
    </row>
    <row r="807" spans="1:4" ht="22.5" customHeight="1" x14ac:dyDescent="0.15">
      <c r="A807" s="16" t="s">
        <v>170</v>
      </c>
      <c r="B807" s="12" t="s">
        <v>2016</v>
      </c>
      <c r="C807" s="13" t="s">
        <v>18</v>
      </c>
      <c r="D807" s="40">
        <v>0</v>
      </c>
    </row>
    <row r="808" spans="1:4" ht="22.5" customHeight="1" x14ac:dyDescent="0.15">
      <c r="A808" s="16" t="s">
        <v>170</v>
      </c>
      <c r="B808" s="12" t="s">
        <v>2017</v>
      </c>
      <c r="C808" s="13" t="s">
        <v>136</v>
      </c>
      <c r="D808" s="40">
        <v>0</v>
      </c>
    </row>
    <row r="809" spans="1:4" ht="22.5" customHeight="1" x14ac:dyDescent="0.15">
      <c r="A809" s="16" t="s">
        <v>175</v>
      </c>
      <c r="B809" s="12" t="s">
        <v>2018</v>
      </c>
      <c r="C809" s="13" t="s">
        <v>30</v>
      </c>
      <c r="D809" s="40">
        <v>0</v>
      </c>
    </row>
    <row r="810" spans="1:4" ht="22.5" customHeight="1" x14ac:dyDescent="0.15">
      <c r="A810" s="16" t="s">
        <v>175</v>
      </c>
      <c r="B810" s="12" t="s">
        <v>2019</v>
      </c>
      <c r="C810" s="13" t="s">
        <v>30</v>
      </c>
      <c r="D810" s="40">
        <v>0</v>
      </c>
    </row>
    <row r="811" spans="1:4" ht="22.5" customHeight="1" x14ac:dyDescent="0.15">
      <c r="A811" s="16" t="s">
        <v>175</v>
      </c>
      <c r="B811" s="12" t="s">
        <v>2020</v>
      </c>
      <c r="C811" s="13" t="s">
        <v>342</v>
      </c>
      <c r="D811" s="40">
        <v>0</v>
      </c>
    </row>
    <row r="812" spans="1:4" ht="22.5" customHeight="1" x14ac:dyDescent="0.15">
      <c r="A812" s="16" t="s">
        <v>107</v>
      </c>
      <c r="B812" s="12" t="s">
        <v>2021</v>
      </c>
      <c r="C812" s="13" t="s">
        <v>18</v>
      </c>
      <c r="D812" s="40">
        <v>0</v>
      </c>
    </row>
    <row r="813" spans="1:4" ht="22.5" customHeight="1" x14ac:dyDescent="0.15">
      <c r="A813" s="16" t="s">
        <v>107</v>
      </c>
      <c r="B813" s="12" t="s">
        <v>2022</v>
      </c>
      <c r="C813" s="13" t="s">
        <v>18</v>
      </c>
      <c r="D813" s="40">
        <v>0</v>
      </c>
    </row>
    <row r="814" spans="1:4" ht="22.5" customHeight="1" x14ac:dyDescent="0.15">
      <c r="A814" s="16" t="s">
        <v>107</v>
      </c>
      <c r="B814" s="12" t="s">
        <v>2023</v>
      </c>
      <c r="C814" s="13" t="s">
        <v>18</v>
      </c>
      <c r="D814" s="40">
        <v>0</v>
      </c>
    </row>
    <row r="815" spans="1:4" ht="22.5" customHeight="1" x14ac:dyDescent="0.15">
      <c r="A815" s="16" t="s">
        <v>107</v>
      </c>
      <c r="B815" s="12" t="s">
        <v>2024</v>
      </c>
      <c r="C815" s="13" t="s">
        <v>18</v>
      </c>
      <c r="D815" s="40">
        <v>0</v>
      </c>
    </row>
    <row r="816" spans="1:4" ht="22.5" customHeight="1" x14ac:dyDescent="0.15">
      <c r="A816" s="16" t="s">
        <v>107</v>
      </c>
      <c r="B816" s="12" t="s">
        <v>2025</v>
      </c>
      <c r="C816" s="13" t="s">
        <v>18</v>
      </c>
      <c r="D816" s="40">
        <v>0</v>
      </c>
    </row>
    <row r="817" spans="1:4" ht="22.5" customHeight="1" x14ac:dyDescent="0.15">
      <c r="A817" s="16" t="s">
        <v>107</v>
      </c>
      <c r="B817" s="12" t="s">
        <v>2026</v>
      </c>
      <c r="C817" s="13" t="s">
        <v>18</v>
      </c>
      <c r="D817" s="40">
        <v>0</v>
      </c>
    </row>
    <row r="818" spans="1:4" ht="22.5" customHeight="1" x14ac:dyDescent="0.15">
      <c r="A818" s="16" t="s">
        <v>107</v>
      </c>
      <c r="B818" s="12" t="s">
        <v>2027</v>
      </c>
      <c r="C818" s="13" t="s">
        <v>18</v>
      </c>
      <c r="D818" s="40">
        <v>0</v>
      </c>
    </row>
    <row r="819" spans="1:4" ht="22.5" customHeight="1" x14ac:dyDescent="0.15">
      <c r="A819" s="16" t="s">
        <v>107</v>
      </c>
      <c r="B819" s="12" t="s">
        <v>2028</v>
      </c>
      <c r="C819" s="13" t="s">
        <v>18</v>
      </c>
      <c r="D819" s="40">
        <v>0</v>
      </c>
    </row>
    <row r="820" spans="1:4" ht="22.5" customHeight="1" x14ac:dyDescent="0.15">
      <c r="A820" s="16" t="s">
        <v>107</v>
      </c>
      <c r="B820" s="12" t="s">
        <v>2029</v>
      </c>
      <c r="C820" s="13" t="s">
        <v>18</v>
      </c>
      <c r="D820" s="40">
        <v>0</v>
      </c>
    </row>
    <row r="821" spans="1:4" ht="22.5" customHeight="1" x14ac:dyDescent="0.15">
      <c r="A821" s="16" t="s">
        <v>107</v>
      </c>
      <c r="B821" s="12" t="s">
        <v>2030</v>
      </c>
      <c r="C821" s="13" t="s">
        <v>18</v>
      </c>
      <c r="D821" s="40">
        <v>0</v>
      </c>
    </row>
    <row r="822" spans="1:4" ht="22.5" customHeight="1" x14ac:dyDescent="0.15">
      <c r="A822" s="16" t="s">
        <v>183</v>
      </c>
      <c r="B822" s="12" t="s">
        <v>2031</v>
      </c>
      <c r="C822" s="13" t="s">
        <v>23</v>
      </c>
      <c r="D822" s="40">
        <v>0</v>
      </c>
    </row>
    <row r="823" spans="1:4" ht="22.5" customHeight="1" x14ac:dyDescent="0.15">
      <c r="A823" s="16" t="s">
        <v>187</v>
      </c>
      <c r="B823" s="12" t="s">
        <v>2032</v>
      </c>
      <c r="C823" s="13" t="s">
        <v>12</v>
      </c>
      <c r="D823" s="40">
        <v>0</v>
      </c>
    </row>
    <row r="824" spans="1:4" ht="22.5" customHeight="1" x14ac:dyDescent="0.15">
      <c r="A824" s="16" t="s">
        <v>190</v>
      </c>
      <c r="B824" s="12" t="s">
        <v>2033</v>
      </c>
      <c r="C824" s="13" t="s">
        <v>136</v>
      </c>
      <c r="D824" s="40">
        <v>0</v>
      </c>
    </row>
    <row r="825" spans="1:4" ht="22.5" customHeight="1" x14ac:dyDescent="0.15">
      <c r="A825" s="16" t="s">
        <v>190</v>
      </c>
      <c r="B825" s="12" t="s">
        <v>2034</v>
      </c>
      <c r="C825" s="13" t="s">
        <v>12</v>
      </c>
      <c r="D825" s="40">
        <v>0</v>
      </c>
    </row>
    <row r="826" spans="1:4" ht="22.5" customHeight="1" x14ac:dyDescent="0.15">
      <c r="A826" s="16" t="s">
        <v>190</v>
      </c>
      <c r="B826" s="12" t="s">
        <v>2035</v>
      </c>
      <c r="C826" s="13" t="s">
        <v>136</v>
      </c>
      <c r="D826" s="40">
        <v>0</v>
      </c>
    </row>
    <row r="827" spans="1:4" ht="22.5" customHeight="1" x14ac:dyDescent="0.15">
      <c r="A827" s="16" t="s">
        <v>190</v>
      </c>
      <c r="B827" s="12" t="s">
        <v>2036</v>
      </c>
      <c r="C827" s="13" t="s">
        <v>12</v>
      </c>
      <c r="D827" s="40">
        <v>0</v>
      </c>
    </row>
    <row r="828" spans="1:4" ht="22.5" customHeight="1" x14ac:dyDescent="0.15">
      <c r="A828" s="16" t="s">
        <v>190</v>
      </c>
      <c r="B828" s="12" t="s">
        <v>2037</v>
      </c>
      <c r="C828" s="13" t="s">
        <v>18</v>
      </c>
      <c r="D828" s="40">
        <v>0</v>
      </c>
    </row>
    <row r="829" spans="1:4" ht="22.5" customHeight="1" x14ac:dyDescent="0.15">
      <c r="A829" s="16" t="s">
        <v>190</v>
      </c>
      <c r="B829" s="12" t="s">
        <v>2038</v>
      </c>
      <c r="C829" s="13" t="s">
        <v>136</v>
      </c>
      <c r="D829" s="40">
        <v>0</v>
      </c>
    </row>
    <row r="830" spans="1:4" ht="22.5" customHeight="1" x14ac:dyDescent="0.15">
      <c r="A830" s="16" t="s">
        <v>190</v>
      </c>
      <c r="B830" s="12" t="s">
        <v>2039</v>
      </c>
      <c r="C830" s="13" t="s">
        <v>136</v>
      </c>
      <c r="D830" s="40">
        <v>0</v>
      </c>
    </row>
    <row r="831" spans="1:4" ht="22.5" customHeight="1" x14ac:dyDescent="0.15">
      <c r="A831" s="16" t="s">
        <v>190</v>
      </c>
      <c r="B831" s="12" t="s">
        <v>2040</v>
      </c>
      <c r="C831" s="13" t="s">
        <v>342</v>
      </c>
      <c r="D831" s="40">
        <v>0</v>
      </c>
    </row>
    <row r="832" spans="1:4" ht="22.5" customHeight="1" x14ac:dyDescent="0.15">
      <c r="A832" s="16" t="s">
        <v>2041</v>
      </c>
      <c r="B832" s="12" t="s">
        <v>2042</v>
      </c>
      <c r="C832" s="13" t="s">
        <v>342</v>
      </c>
      <c r="D832" s="40">
        <v>0</v>
      </c>
    </row>
    <row r="833" spans="1:4" ht="22.5" customHeight="1" x14ac:dyDescent="0.15">
      <c r="A833" s="16" t="s">
        <v>1697</v>
      </c>
      <c r="B833" s="12" t="s">
        <v>2043</v>
      </c>
      <c r="C833" s="13" t="s">
        <v>30</v>
      </c>
      <c r="D833" s="40">
        <v>0</v>
      </c>
    </row>
    <row r="834" spans="1:4" ht="22.5" customHeight="1" x14ac:dyDescent="0.15">
      <c r="A834" s="16" t="s">
        <v>75</v>
      </c>
      <c r="B834" s="12" t="s">
        <v>2044</v>
      </c>
      <c r="C834" s="13" t="s">
        <v>136</v>
      </c>
      <c r="D834" s="40">
        <v>602</v>
      </c>
    </row>
    <row r="835" spans="1:4" ht="22.5" customHeight="1" x14ac:dyDescent="0.15">
      <c r="A835" s="16" t="s">
        <v>75</v>
      </c>
      <c r="B835" s="12" t="s">
        <v>2045</v>
      </c>
      <c r="C835" s="13" t="s">
        <v>342</v>
      </c>
      <c r="D835" s="40">
        <v>0</v>
      </c>
    </row>
    <row r="836" spans="1:4" ht="22.5" customHeight="1" x14ac:dyDescent="0.15">
      <c r="A836" s="16" t="s">
        <v>75</v>
      </c>
      <c r="B836" s="12" t="s">
        <v>2046</v>
      </c>
      <c r="C836" s="13" t="s">
        <v>77</v>
      </c>
      <c r="D836" s="40">
        <v>0</v>
      </c>
    </row>
    <row r="837" spans="1:4" ht="22.5" customHeight="1" x14ac:dyDescent="0.15">
      <c r="A837" s="16" t="s">
        <v>75</v>
      </c>
      <c r="B837" s="12" t="s">
        <v>2047</v>
      </c>
      <c r="C837" s="13" t="s">
        <v>77</v>
      </c>
      <c r="D837" s="40">
        <v>0</v>
      </c>
    </row>
    <row r="838" spans="1:4" ht="22.5" customHeight="1" x14ac:dyDescent="0.15">
      <c r="A838" s="16" t="s">
        <v>2050</v>
      </c>
      <c r="B838" s="12" t="s">
        <v>2051</v>
      </c>
      <c r="C838" s="13" t="s">
        <v>88</v>
      </c>
      <c r="D838" s="40">
        <v>0</v>
      </c>
    </row>
    <row r="839" spans="1:4" ht="22.5" customHeight="1" x14ac:dyDescent="0.15">
      <c r="A839" s="16" t="s">
        <v>217</v>
      </c>
      <c r="B839" s="12" t="s">
        <v>2052</v>
      </c>
      <c r="C839" s="13" t="s">
        <v>30</v>
      </c>
      <c r="D839" s="40">
        <v>0</v>
      </c>
    </row>
    <row r="840" spans="1:4" ht="22.5" customHeight="1" x14ac:dyDescent="0.15">
      <c r="A840" s="16" t="s">
        <v>217</v>
      </c>
      <c r="B840" s="12" t="s">
        <v>2053</v>
      </c>
      <c r="C840" s="13" t="s">
        <v>88</v>
      </c>
      <c r="D840" s="40">
        <v>0</v>
      </c>
    </row>
    <row r="841" spans="1:4" ht="22.5" customHeight="1" x14ac:dyDescent="0.15">
      <c r="A841" s="16" t="s">
        <v>223</v>
      </c>
      <c r="B841" s="12" t="s">
        <v>2054</v>
      </c>
      <c r="C841" s="13" t="s">
        <v>342</v>
      </c>
      <c r="D841" s="40">
        <v>0</v>
      </c>
    </row>
    <row r="842" spans="1:4" ht="22.5" customHeight="1" x14ac:dyDescent="0.15">
      <c r="A842" s="16" t="s">
        <v>223</v>
      </c>
      <c r="B842" s="12" t="s">
        <v>2055</v>
      </c>
      <c r="C842" s="13" t="s">
        <v>88</v>
      </c>
      <c r="D842" s="40">
        <v>0</v>
      </c>
    </row>
    <row r="843" spans="1:4" ht="22.5" customHeight="1" x14ac:dyDescent="0.15">
      <c r="A843" s="16" t="s">
        <v>600</v>
      </c>
      <c r="B843" s="12" t="s">
        <v>2056</v>
      </c>
      <c r="C843" s="13" t="s">
        <v>18</v>
      </c>
      <c r="D843" s="40">
        <v>0</v>
      </c>
    </row>
    <row r="844" spans="1:4" ht="22.5" customHeight="1" x14ac:dyDescent="0.15">
      <c r="A844" s="16" t="s">
        <v>600</v>
      </c>
      <c r="B844" s="12" t="s">
        <v>2057</v>
      </c>
      <c r="C844" s="13" t="s">
        <v>136</v>
      </c>
      <c r="D844" s="40">
        <v>0</v>
      </c>
    </row>
    <row r="845" spans="1:4" ht="22.5" customHeight="1" x14ac:dyDescent="0.15">
      <c r="A845" s="16" t="s">
        <v>600</v>
      </c>
      <c r="B845" s="12" t="s">
        <v>2058</v>
      </c>
      <c r="C845" s="13" t="s">
        <v>30</v>
      </c>
      <c r="D845" s="40">
        <v>0</v>
      </c>
    </row>
    <row r="846" spans="1:4" ht="22.5" customHeight="1" x14ac:dyDescent="0.15">
      <c r="A846" s="16" t="s">
        <v>600</v>
      </c>
      <c r="B846" s="12" t="s">
        <v>2059</v>
      </c>
      <c r="C846" s="13" t="s">
        <v>30</v>
      </c>
      <c r="D846" s="40">
        <v>0</v>
      </c>
    </row>
    <row r="847" spans="1:4" ht="22.5" customHeight="1" x14ac:dyDescent="0.15">
      <c r="A847" s="16" t="s">
        <v>822</v>
      </c>
      <c r="B847" s="12" t="s">
        <v>2060</v>
      </c>
      <c r="C847" s="13" t="s">
        <v>136</v>
      </c>
      <c r="D847" s="40">
        <v>0</v>
      </c>
    </row>
    <row r="848" spans="1:4" ht="22.5" customHeight="1" x14ac:dyDescent="0.15">
      <c r="A848" s="16" t="s">
        <v>15</v>
      </c>
      <c r="B848" s="12" t="s">
        <v>2061</v>
      </c>
      <c r="C848" s="13" t="s">
        <v>342</v>
      </c>
      <c r="D848" s="40">
        <v>0</v>
      </c>
    </row>
    <row r="849" spans="1:4" ht="22.5" customHeight="1" x14ac:dyDescent="0.15">
      <c r="A849" s="16" t="s">
        <v>15</v>
      </c>
      <c r="B849" s="12" t="s">
        <v>2062</v>
      </c>
      <c r="C849" s="13" t="s">
        <v>136</v>
      </c>
      <c r="D849" s="40">
        <v>0</v>
      </c>
    </row>
    <row r="850" spans="1:4" ht="22.5" customHeight="1" x14ac:dyDescent="0.15">
      <c r="A850" s="16" t="s">
        <v>15</v>
      </c>
      <c r="B850" s="12" t="s">
        <v>2063</v>
      </c>
      <c r="C850" s="13" t="s">
        <v>342</v>
      </c>
      <c r="D850" s="40">
        <v>0</v>
      </c>
    </row>
    <row r="851" spans="1:4" ht="22.5" customHeight="1" x14ac:dyDescent="0.15">
      <c r="A851" s="16" t="s">
        <v>832</v>
      </c>
      <c r="B851" s="12" t="s">
        <v>2064</v>
      </c>
      <c r="C851" s="13" t="s">
        <v>342</v>
      </c>
      <c r="D851" s="40">
        <v>0</v>
      </c>
    </row>
    <row r="852" spans="1:4" ht="22.5" customHeight="1" x14ac:dyDescent="0.15">
      <c r="A852" s="16" t="s">
        <v>832</v>
      </c>
      <c r="B852" s="12" t="s">
        <v>2065</v>
      </c>
      <c r="C852" s="13" t="s">
        <v>18</v>
      </c>
      <c r="D852" s="40">
        <v>0</v>
      </c>
    </row>
    <row r="853" spans="1:4" ht="22.5" customHeight="1" x14ac:dyDescent="0.15">
      <c r="A853" s="16" t="s">
        <v>832</v>
      </c>
      <c r="B853" s="12" t="s">
        <v>2066</v>
      </c>
      <c r="C853" s="13" t="s">
        <v>23</v>
      </c>
      <c r="D853" s="40">
        <v>0</v>
      </c>
    </row>
    <row r="854" spans="1:4" ht="22.5" customHeight="1" x14ac:dyDescent="0.15">
      <c r="A854" s="16" t="s">
        <v>832</v>
      </c>
      <c r="B854" s="12" t="s">
        <v>2067</v>
      </c>
      <c r="C854" s="13" t="s">
        <v>18</v>
      </c>
      <c r="D854" s="40">
        <v>0</v>
      </c>
    </row>
    <row r="855" spans="1:4" ht="22.5" customHeight="1" x14ac:dyDescent="0.15">
      <c r="A855" s="16" t="s">
        <v>832</v>
      </c>
      <c r="B855" s="12" t="s">
        <v>2068</v>
      </c>
      <c r="C855" s="13" t="s">
        <v>23</v>
      </c>
      <c r="D855" s="40">
        <v>0</v>
      </c>
    </row>
    <row r="856" spans="1:4" ht="22.5" customHeight="1" x14ac:dyDescent="0.15">
      <c r="A856" s="16" t="s">
        <v>832</v>
      </c>
      <c r="B856" s="12" t="s">
        <v>2069</v>
      </c>
      <c r="C856" s="13" t="s">
        <v>342</v>
      </c>
      <c r="D856" s="40">
        <v>0</v>
      </c>
    </row>
    <row r="857" spans="1:4" ht="22.5" customHeight="1" x14ac:dyDescent="0.15">
      <c r="A857" s="16" t="s">
        <v>832</v>
      </c>
      <c r="B857" s="12" t="s">
        <v>2070</v>
      </c>
      <c r="C857" s="13" t="s">
        <v>342</v>
      </c>
      <c r="D857" s="40">
        <v>0</v>
      </c>
    </row>
    <row r="858" spans="1:4" ht="22.5" customHeight="1" x14ac:dyDescent="0.15">
      <c r="A858" s="16" t="s">
        <v>2073</v>
      </c>
      <c r="B858" s="12" t="s">
        <v>2074</v>
      </c>
      <c r="C858" s="13" t="s">
        <v>23</v>
      </c>
      <c r="D858" s="40">
        <v>0</v>
      </c>
    </row>
    <row r="859" spans="1:4" ht="22.5" customHeight="1" x14ac:dyDescent="0.15">
      <c r="A859" s="16" t="s">
        <v>230</v>
      </c>
      <c r="B859" s="12" t="s">
        <v>2075</v>
      </c>
      <c r="C859" s="13" t="s">
        <v>18</v>
      </c>
      <c r="D859" s="40">
        <v>0</v>
      </c>
    </row>
    <row r="860" spans="1:4" ht="22.5" customHeight="1" x14ac:dyDescent="0.15">
      <c r="A860" s="16" t="s">
        <v>844</v>
      </c>
      <c r="B860" s="12" t="s">
        <v>2076</v>
      </c>
      <c r="C860" s="13" t="s">
        <v>18</v>
      </c>
      <c r="D860" s="40">
        <v>0</v>
      </c>
    </row>
    <row r="861" spans="1:4" ht="22.5" customHeight="1" x14ac:dyDescent="0.15">
      <c r="A861" s="16" t="s">
        <v>844</v>
      </c>
      <c r="B861" s="12" t="s">
        <v>2023</v>
      </c>
      <c r="C861" s="13" t="s">
        <v>18</v>
      </c>
      <c r="D861" s="40">
        <v>0</v>
      </c>
    </row>
    <row r="862" spans="1:4" ht="22.5" customHeight="1" x14ac:dyDescent="0.15">
      <c r="A862" s="16" t="s">
        <v>848</v>
      </c>
      <c r="B862" s="12" t="s">
        <v>2077</v>
      </c>
      <c r="C862" s="13" t="s">
        <v>115</v>
      </c>
      <c r="D862" s="40">
        <v>0</v>
      </c>
    </row>
    <row r="863" spans="1:4" ht="22.5" customHeight="1" x14ac:dyDescent="0.15">
      <c r="A863" s="16" t="s">
        <v>853</v>
      </c>
      <c r="B863" s="12" t="s">
        <v>2078</v>
      </c>
      <c r="C863" s="13" t="s">
        <v>30</v>
      </c>
      <c r="D863" s="40">
        <v>0</v>
      </c>
    </row>
    <row r="864" spans="1:4" ht="22.5" customHeight="1" x14ac:dyDescent="0.15">
      <c r="A864" s="16" t="s">
        <v>853</v>
      </c>
      <c r="B864" s="12" t="s">
        <v>2079</v>
      </c>
      <c r="C864" s="13" t="s">
        <v>30</v>
      </c>
      <c r="D864" s="40">
        <v>0</v>
      </c>
    </row>
    <row r="865" spans="1:4" ht="22.5" customHeight="1" x14ac:dyDescent="0.15">
      <c r="A865" s="16" t="s">
        <v>853</v>
      </c>
      <c r="B865" s="12" t="s">
        <v>2080</v>
      </c>
      <c r="C865" s="13" t="s">
        <v>30</v>
      </c>
      <c r="D865" s="40">
        <v>0</v>
      </c>
    </row>
    <row r="866" spans="1:4" ht="22.5" customHeight="1" x14ac:dyDescent="0.15">
      <c r="A866" s="16" t="s">
        <v>853</v>
      </c>
      <c r="B866" s="12" t="s">
        <v>2081</v>
      </c>
      <c r="C866" s="13" t="s">
        <v>18</v>
      </c>
      <c r="D866" s="40">
        <v>0</v>
      </c>
    </row>
    <row r="867" spans="1:4" ht="22.5" customHeight="1" x14ac:dyDescent="0.15">
      <c r="A867" s="16" t="s">
        <v>853</v>
      </c>
      <c r="B867" s="12" t="s">
        <v>2082</v>
      </c>
      <c r="C867" s="13" t="s">
        <v>12</v>
      </c>
      <c r="D867" s="40">
        <v>0</v>
      </c>
    </row>
    <row r="868" spans="1:4" ht="22.5" customHeight="1" x14ac:dyDescent="0.15">
      <c r="A868" s="16" t="s">
        <v>853</v>
      </c>
      <c r="B868" s="12" t="s">
        <v>2083</v>
      </c>
      <c r="C868" s="13" t="s">
        <v>12</v>
      </c>
      <c r="D868" s="40">
        <v>0</v>
      </c>
    </row>
    <row r="869" spans="1:4" ht="22.5" customHeight="1" x14ac:dyDescent="0.15">
      <c r="A869" s="16" t="s">
        <v>234</v>
      </c>
      <c r="B869" s="12" t="s">
        <v>2084</v>
      </c>
      <c r="C869" s="13" t="s">
        <v>30</v>
      </c>
      <c r="D869" s="40">
        <v>0</v>
      </c>
    </row>
    <row r="870" spans="1:4" ht="22.5" customHeight="1" x14ac:dyDescent="0.15">
      <c r="A870" s="16" t="s">
        <v>234</v>
      </c>
      <c r="B870" s="12" t="s">
        <v>2085</v>
      </c>
      <c r="C870" s="13" t="s">
        <v>342</v>
      </c>
      <c r="D870" s="40">
        <v>0</v>
      </c>
    </row>
    <row r="871" spans="1:4" ht="22.5" customHeight="1" x14ac:dyDescent="0.15">
      <c r="A871" s="16" t="s">
        <v>234</v>
      </c>
      <c r="B871" s="12" t="s">
        <v>2086</v>
      </c>
      <c r="C871" s="13" t="s">
        <v>23</v>
      </c>
      <c r="D871" s="40">
        <v>0</v>
      </c>
    </row>
    <row r="872" spans="1:4" ht="22.5" customHeight="1" x14ac:dyDescent="0.15">
      <c r="A872" s="16" t="s">
        <v>234</v>
      </c>
      <c r="B872" s="12" t="s">
        <v>2087</v>
      </c>
      <c r="C872" s="13" t="s">
        <v>23</v>
      </c>
      <c r="D872" s="40">
        <v>0</v>
      </c>
    </row>
    <row r="873" spans="1:4" ht="22.5" customHeight="1" x14ac:dyDescent="0.15">
      <c r="A873" s="16" t="s">
        <v>234</v>
      </c>
      <c r="B873" s="12" t="s">
        <v>2088</v>
      </c>
      <c r="C873" s="13" t="s">
        <v>83</v>
      </c>
      <c r="D873" s="40">
        <v>0</v>
      </c>
    </row>
    <row r="874" spans="1:4" ht="22.5" customHeight="1" x14ac:dyDescent="0.15">
      <c r="A874" s="16" t="s">
        <v>234</v>
      </c>
      <c r="B874" s="12" t="s">
        <v>2089</v>
      </c>
      <c r="C874" s="13" t="s">
        <v>30</v>
      </c>
      <c r="D874" s="40">
        <v>0</v>
      </c>
    </row>
    <row r="875" spans="1:4" ht="22.5" customHeight="1" x14ac:dyDescent="0.15">
      <c r="A875" s="16" t="s">
        <v>234</v>
      </c>
      <c r="B875" s="12" t="s">
        <v>2090</v>
      </c>
      <c r="C875" s="13" t="s">
        <v>30</v>
      </c>
      <c r="D875" s="40">
        <v>0</v>
      </c>
    </row>
    <row r="876" spans="1:4" ht="22.5" customHeight="1" x14ac:dyDescent="0.15">
      <c r="A876" s="16" t="s">
        <v>234</v>
      </c>
      <c r="B876" s="12" t="s">
        <v>2091</v>
      </c>
      <c r="C876" s="13" t="s">
        <v>30</v>
      </c>
      <c r="D876" s="40">
        <v>0</v>
      </c>
    </row>
    <row r="877" spans="1:4" ht="22.5" customHeight="1" x14ac:dyDescent="0.15">
      <c r="A877" s="16" t="s">
        <v>234</v>
      </c>
      <c r="B877" s="12" t="s">
        <v>2092</v>
      </c>
      <c r="C877" s="13" t="s">
        <v>88</v>
      </c>
      <c r="D877" s="40">
        <v>0</v>
      </c>
    </row>
    <row r="878" spans="1:4" ht="22.5" customHeight="1" x14ac:dyDescent="0.15">
      <c r="A878" s="16" t="s">
        <v>234</v>
      </c>
      <c r="B878" s="12" t="s">
        <v>2093</v>
      </c>
      <c r="C878" s="13" t="s">
        <v>30</v>
      </c>
      <c r="D878" s="40">
        <v>0</v>
      </c>
    </row>
    <row r="879" spans="1:4" ht="22.5" customHeight="1" x14ac:dyDescent="0.15">
      <c r="A879" s="16" t="s">
        <v>239</v>
      </c>
      <c r="B879" s="12" t="s">
        <v>2094</v>
      </c>
      <c r="C879" s="13" t="s">
        <v>12</v>
      </c>
      <c r="D879" s="40">
        <v>0</v>
      </c>
    </row>
    <row r="880" spans="1:4" ht="22.5" customHeight="1" x14ac:dyDescent="0.15">
      <c r="A880" s="16" t="s">
        <v>239</v>
      </c>
      <c r="B880" s="12" t="s">
        <v>2095</v>
      </c>
      <c r="C880" s="13" t="s">
        <v>12</v>
      </c>
      <c r="D880" s="40">
        <v>0</v>
      </c>
    </row>
    <row r="881" spans="1:4" ht="22.5" customHeight="1" x14ac:dyDescent="0.15">
      <c r="A881" s="16" t="s">
        <v>1477</v>
      </c>
      <c r="B881" s="12" t="s">
        <v>2096</v>
      </c>
      <c r="C881" s="13" t="s">
        <v>88</v>
      </c>
      <c r="D881" s="40">
        <v>0</v>
      </c>
    </row>
    <row r="882" spans="1:4" ht="22.5" customHeight="1" x14ac:dyDescent="0.15">
      <c r="A882" s="16" t="s">
        <v>1477</v>
      </c>
      <c r="B882" s="12" t="s">
        <v>2097</v>
      </c>
      <c r="C882" s="13" t="s">
        <v>18</v>
      </c>
      <c r="D882" s="40">
        <v>0</v>
      </c>
    </row>
    <row r="883" spans="1:4" ht="22.5" customHeight="1" x14ac:dyDescent="0.15">
      <c r="A883" s="16" t="s">
        <v>1477</v>
      </c>
      <c r="B883" s="12" t="s">
        <v>2098</v>
      </c>
      <c r="C883" s="13" t="s">
        <v>23</v>
      </c>
      <c r="D883" s="40">
        <v>0</v>
      </c>
    </row>
    <row r="884" spans="1:4" ht="22.5" customHeight="1" x14ac:dyDescent="0.15">
      <c r="A884" s="16" t="s">
        <v>1477</v>
      </c>
      <c r="B884" s="12" t="s">
        <v>2099</v>
      </c>
      <c r="C884" s="13" t="s">
        <v>30</v>
      </c>
      <c r="D884" s="40">
        <v>0</v>
      </c>
    </row>
    <row r="885" spans="1:4" ht="22.5" customHeight="1" x14ac:dyDescent="0.15">
      <c r="A885" s="16" t="s">
        <v>1477</v>
      </c>
      <c r="B885" s="12" t="s">
        <v>2100</v>
      </c>
      <c r="C885" s="13" t="s">
        <v>30</v>
      </c>
      <c r="D885" s="40">
        <v>0</v>
      </c>
    </row>
    <row r="886" spans="1:4" ht="22.5" customHeight="1" x14ac:dyDescent="0.15">
      <c r="A886" s="16" t="s">
        <v>1477</v>
      </c>
      <c r="B886" s="12" t="s">
        <v>2101</v>
      </c>
      <c r="C886" s="13" t="s">
        <v>88</v>
      </c>
      <c r="D886" s="40">
        <v>0</v>
      </c>
    </row>
    <row r="887" spans="1:4" ht="22.5" customHeight="1" x14ac:dyDescent="0.15">
      <c r="A887" s="16" t="s">
        <v>81</v>
      </c>
      <c r="B887" s="12" t="s">
        <v>2102</v>
      </c>
      <c r="C887" s="13" t="s">
        <v>18</v>
      </c>
      <c r="D887" s="40">
        <v>0</v>
      </c>
    </row>
    <row r="888" spans="1:4" ht="22.5" customHeight="1" x14ac:dyDescent="0.15">
      <c r="A888" s="16" t="s">
        <v>2105</v>
      </c>
      <c r="B888" s="12" t="s">
        <v>2106</v>
      </c>
      <c r="C888" s="13" t="s">
        <v>12</v>
      </c>
      <c r="D888" s="40">
        <v>0</v>
      </c>
    </row>
    <row r="889" spans="1:4" ht="22.5" customHeight="1" x14ac:dyDescent="0.15">
      <c r="A889" s="16" t="s">
        <v>2105</v>
      </c>
      <c r="B889" s="12" t="s">
        <v>2107</v>
      </c>
      <c r="C889" s="13" t="s">
        <v>12</v>
      </c>
      <c r="D889" s="40">
        <v>0</v>
      </c>
    </row>
    <row r="890" spans="1:4" ht="22.5" customHeight="1" x14ac:dyDescent="0.15">
      <c r="A890" s="16" t="s">
        <v>249</v>
      </c>
      <c r="B890" s="12" t="s">
        <v>2108</v>
      </c>
      <c r="C890" s="13" t="s">
        <v>88</v>
      </c>
      <c r="D890" s="40">
        <v>0</v>
      </c>
    </row>
    <row r="891" spans="1:4" ht="22.5" customHeight="1" x14ac:dyDescent="0.15">
      <c r="A891" s="16" t="s">
        <v>249</v>
      </c>
      <c r="B891" s="12" t="s">
        <v>2109</v>
      </c>
      <c r="C891" s="13" t="s">
        <v>30</v>
      </c>
      <c r="D891" s="40">
        <v>0</v>
      </c>
    </row>
    <row r="892" spans="1:4" ht="22.5" customHeight="1" x14ac:dyDescent="0.15">
      <c r="A892" s="16" t="s">
        <v>249</v>
      </c>
      <c r="B892" s="12" t="s">
        <v>2110</v>
      </c>
      <c r="C892" s="13" t="s">
        <v>30</v>
      </c>
      <c r="D892" s="40">
        <v>0</v>
      </c>
    </row>
    <row r="893" spans="1:4" ht="22.5" customHeight="1" x14ac:dyDescent="0.15">
      <c r="A893" s="16" t="s">
        <v>249</v>
      </c>
      <c r="B893" s="12" t="s">
        <v>2111</v>
      </c>
      <c r="C893" s="13" t="s">
        <v>88</v>
      </c>
      <c r="D893" s="40">
        <v>0</v>
      </c>
    </row>
    <row r="894" spans="1:4" ht="22.5" customHeight="1" x14ac:dyDescent="0.15">
      <c r="A894" s="16" t="s">
        <v>249</v>
      </c>
      <c r="B894" s="12" t="s">
        <v>2112</v>
      </c>
      <c r="C894" s="13" t="s">
        <v>88</v>
      </c>
      <c r="D894" s="40">
        <v>0</v>
      </c>
    </row>
    <row r="895" spans="1:4" ht="22.5" customHeight="1" x14ac:dyDescent="0.15">
      <c r="A895" s="16" t="s">
        <v>249</v>
      </c>
      <c r="B895" s="12" t="s">
        <v>2113</v>
      </c>
      <c r="C895" s="13" t="s">
        <v>88</v>
      </c>
      <c r="D895" s="40">
        <v>0</v>
      </c>
    </row>
    <row r="896" spans="1:4" ht="22.5" customHeight="1" x14ac:dyDescent="0.15">
      <c r="A896" s="16" t="s">
        <v>249</v>
      </c>
      <c r="B896" s="12" t="s">
        <v>2114</v>
      </c>
      <c r="C896" s="13" t="s">
        <v>88</v>
      </c>
      <c r="D896" s="40">
        <v>0</v>
      </c>
    </row>
    <row r="897" spans="1:4" ht="22.5" customHeight="1" x14ac:dyDescent="0.15">
      <c r="A897" s="16" t="s">
        <v>249</v>
      </c>
      <c r="B897" s="12" t="s">
        <v>2115</v>
      </c>
      <c r="C897" s="13" t="s">
        <v>88</v>
      </c>
      <c r="D897" s="40">
        <v>0</v>
      </c>
    </row>
    <row r="898" spans="1:4" ht="22.5" customHeight="1" x14ac:dyDescent="0.15">
      <c r="A898" s="16" t="s">
        <v>249</v>
      </c>
      <c r="B898" s="12" t="s">
        <v>2116</v>
      </c>
      <c r="C898" s="13" t="s">
        <v>88</v>
      </c>
      <c r="D898" s="40">
        <v>0</v>
      </c>
    </row>
    <row r="899" spans="1:4" ht="22.5" customHeight="1" x14ac:dyDescent="0.15">
      <c r="A899" s="16" t="s">
        <v>1739</v>
      </c>
      <c r="B899" s="12" t="s">
        <v>2117</v>
      </c>
      <c r="C899" s="13" t="s">
        <v>83</v>
      </c>
      <c r="D899" s="40">
        <v>0</v>
      </c>
    </row>
    <row r="900" spans="1:4" ht="22.5" customHeight="1" x14ac:dyDescent="0.15">
      <c r="A900" s="16" t="s">
        <v>1739</v>
      </c>
      <c r="B900" s="12" t="s">
        <v>2118</v>
      </c>
      <c r="C900" s="13" t="s">
        <v>77</v>
      </c>
      <c r="D900" s="40">
        <v>0</v>
      </c>
    </row>
    <row r="901" spans="1:4" ht="22.5" customHeight="1" x14ac:dyDescent="0.15">
      <c r="A901" s="16" t="s">
        <v>1739</v>
      </c>
      <c r="B901" s="12" t="s">
        <v>2119</v>
      </c>
      <c r="C901" s="13" t="s">
        <v>77</v>
      </c>
      <c r="D901" s="40">
        <v>0</v>
      </c>
    </row>
    <row r="902" spans="1:4" ht="22.5" customHeight="1" x14ac:dyDescent="0.15">
      <c r="A902" s="16" t="s">
        <v>893</v>
      </c>
      <c r="B902" s="12" t="s">
        <v>2120</v>
      </c>
      <c r="C902" s="13" t="s">
        <v>12</v>
      </c>
      <c r="D902" s="40">
        <v>0</v>
      </c>
    </row>
    <row r="903" spans="1:4" ht="22.5" customHeight="1" x14ac:dyDescent="0.15">
      <c r="A903" s="16" t="s">
        <v>256</v>
      </c>
      <c r="B903" s="12" t="s">
        <v>2121</v>
      </c>
      <c r="C903" s="13" t="s">
        <v>30</v>
      </c>
      <c r="D903" s="40">
        <v>0</v>
      </c>
    </row>
    <row r="904" spans="1:4" ht="22.5" customHeight="1" x14ac:dyDescent="0.15">
      <c r="A904" s="16" t="s">
        <v>256</v>
      </c>
      <c r="B904" s="12" t="s">
        <v>2122</v>
      </c>
      <c r="C904" s="13" t="s">
        <v>30</v>
      </c>
      <c r="D904" s="40">
        <v>0</v>
      </c>
    </row>
    <row r="905" spans="1:4" ht="22.5" customHeight="1" x14ac:dyDescent="0.15">
      <c r="A905" s="16" t="s">
        <v>256</v>
      </c>
      <c r="B905" s="12" t="s">
        <v>2123</v>
      </c>
      <c r="C905" s="13" t="s">
        <v>18</v>
      </c>
      <c r="D905" s="40">
        <v>0</v>
      </c>
    </row>
    <row r="906" spans="1:4" ht="22.5" customHeight="1" x14ac:dyDescent="0.15">
      <c r="A906" s="16" t="s">
        <v>256</v>
      </c>
      <c r="B906" s="12" t="s">
        <v>2124</v>
      </c>
      <c r="C906" s="13" t="s">
        <v>18</v>
      </c>
      <c r="D906" s="40">
        <v>0</v>
      </c>
    </row>
    <row r="907" spans="1:4" ht="22.5" customHeight="1" x14ac:dyDescent="0.15">
      <c r="A907" s="16" t="s">
        <v>256</v>
      </c>
      <c r="B907" s="12" t="s">
        <v>2125</v>
      </c>
      <c r="C907" s="13" t="s">
        <v>30</v>
      </c>
      <c r="D907" s="40">
        <v>0</v>
      </c>
    </row>
    <row r="908" spans="1:4" ht="22.5" customHeight="1" x14ac:dyDescent="0.15">
      <c r="A908" s="16" t="s">
        <v>256</v>
      </c>
      <c r="B908" s="12" t="s">
        <v>2126</v>
      </c>
      <c r="C908" s="13" t="s">
        <v>136</v>
      </c>
      <c r="D908" s="40">
        <v>0</v>
      </c>
    </row>
    <row r="909" spans="1:4" ht="22.5" customHeight="1" x14ac:dyDescent="0.15">
      <c r="A909" s="16" t="s">
        <v>256</v>
      </c>
      <c r="B909" s="12" t="s">
        <v>2127</v>
      </c>
      <c r="C909" s="13" t="s">
        <v>30</v>
      </c>
      <c r="D909" s="40">
        <v>0</v>
      </c>
    </row>
    <row r="910" spans="1:4" ht="22.5" customHeight="1" x14ac:dyDescent="0.15">
      <c r="A910" s="16" t="s">
        <v>256</v>
      </c>
      <c r="B910" s="12" t="s">
        <v>2128</v>
      </c>
      <c r="C910" s="13" t="s">
        <v>18</v>
      </c>
      <c r="D910" s="40">
        <v>602</v>
      </c>
    </row>
    <row r="911" spans="1:4" ht="22.5" customHeight="1" x14ac:dyDescent="0.15">
      <c r="A911" s="16" t="s">
        <v>2131</v>
      </c>
      <c r="B911" s="12" t="s">
        <v>2132</v>
      </c>
      <c r="C911" s="13" t="s">
        <v>12</v>
      </c>
      <c r="D911" s="40">
        <v>0</v>
      </c>
    </row>
    <row r="912" spans="1:4" ht="22.5" customHeight="1" x14ac:dyDescent="0.15">
      <c r="A912" s="16" t="s">
        <v>1492</v>
      </c>
      <c r="B912" s="12" t="s">
        <v>2133</v>
      </c>
      <c r="C912" s="13" t="s">
        <v>342</v>
      </c>
      <c r="D912" s="40">
        <v>0</v>
      </c>
    </row>
    <row r="913" spans="1:4" ht="22.5" customHeight="1" x14ac:dyDescent="0.15">
      <c r="A913" s="16" t="s">
        <v>1492</v>
      </c>
      <c r="B913" s="12" t="s">
        <v>2134</v>
      </c>
      <c r="C913" s="13" t="s">
        <v>342</v>
      </c>
      <c r="D913" s="40">
        <v>0</v>
      </c>
    </row>
    <row r="914" spans="1:4" ht="22.5" customHeight="1" x14ac:dyDescent="0.15">
      <c r="A914" s="16" t="s">
        <v>32</v>
      </c>
      <c r="B914" s="12" t="s">
        <v>2135</v>
      </c>
      <c r="C914" s="13" t="s">
        <v>30</v>
      </c>
      <c r="D914" s="40">
        <v>0</v>
      </c>
    </row>
    <row r="915" spans="1:4" ht="22.5" customHeight="1" x14ac:dyDescent="0.15">
      <c r="A915" s="16" t="s">
        <v>924</v>
      </c>
      <c r="B915" s="12" t="s">
        <v>2136</v>
      </c>
      <c r="C915" s="13" t="s">
        <v>23</v>
      </c>
      <c r="D915" s="40">
        <v>0</v>
      </c>
    </row>
    <row r="916" spans="1:4" ht="22.5" customHeight="1" x14ac:dyDescent="0.15">
      <c r="A916" s="16" t="s">
        <v>924</v>
      </c>
      <c r="B916" s="12" t="s">
        <v>2137</v>
      </c>
      <c r="C916" s="13" t="s">
        <v>136</v>
      </c>
      <c r="D916" s="40">
        <v>0</v>
      </c>
    </row>
    <row r="917" spans="1:4" ht="22.5" customHeight="1" x14ac:dyDescent="0.15">
      <c r="A917" s="16" t="s">
        <v>924</v>
      </c>
      <c r="B917" s="12" t="s">
        <v>2138</v>
      </c>
      <c r="C917" s="13" t="s">
        <v>30</v>
      </c>
      <c r="D917" s="40">
        <v>0</v>
      </c>
    </row>
    <row r="918" spans="1:4" ht="22.5" customHeight="1" x14ac:dyDescent="0.15">
      <c r="A918" s="16" t="s">
        <v>924</v>
      </c>
      <c r="B918" s="12" t="s">
        <v>2139</v>
      </c>
      <c r="C918" s="13" t="s">
        <v>30</v>
      </c>
      <c r="D918" s="40">
        <v>0</v>
      </c>
    </row>
    <row r="919" spans="1:4" ht="22.5" customHeight="1" x14ac:dyDescent="0.15">
      <c r="A919" s="16" t="s">
        <v>924</v>
      </c>
      <c r="B919" s="12" t="s">
        <v>2140</v>
      </c>
      <c r="C919" s="13" t="s">
        <v>30</v>
      </c>
      <c r="D919" s="40">
        <v>0</v>
      </c>
    </row>
    <row r="920" spans="1:4" ht="22.5" customHeight="1" x14ac:dyDescent="0.15">
      <c r="A920" s="16" t="s">
        <v>271</v>
      </c>
      <c r="B920" s="12" t="s">
        <v>2141</v>
      </c>
      <c r="C920" s="13" t="s">
        <v>342</v>
      </c>
      <c r="D920" s="40">
        <v>0</v>
      </c>
    </row>
    <row r="921" spans="1:4" ht="22.5" customHeight="1" x14ac:dyDescent="0.15">
      <c r="A921" s="16" t="s">
        <v>934</v>
      </c>
      <c r="B921" s="12" t="s">
        <v>2142</v>
      </c>
      <c r="C921" s="13" t="s">
        <v>30</v>
      </c>
      <c r="D921" s="40">
        <v>0</v>
      </c>
    </row>
    <row r="922" spans="1:4" ht="22.5" customHeight="1" x14ac:dyDescent="0.15">
      <c r="A922" s="16" t="s">
        <v>934</v>
      </c>
      <c r="B922" s="12" t="s">
        <v>2143</v>
      </c>
      <c r="C922" s="13" t="s">
        <v>12</v>
      </c>
      <c r="D922" s="40">
        <v>0</v>
      </c>
    </row>
    <row r="923" spans="1:4" ht="22.5" customHeight="1" x14ac:dyDescent="0.15">
      <c r="A923" s="16" t="s">
        <v>934</v>
      </c>
      <c r="B923" s="12" t="s">
        <v>2144</v>
      </c>
      <c r="C923" s="13" t="s">
        <v>30</v>
      </c>
      <c r="D923" s="40">
        <v>0</v>
      </c>
    </row>
    <row r="924" spans="1:4" ht="22.5" customHeight="1" x14ac:dyDescent="0.15">
      <c r="A924" s="16" t="s">
        <v>934</v>
      </c>
      <c r="B924" s="12" t="s">
        <v>2145</v>
      </c>
      <c r="C924" s="13" t="s">
        <v>30</v>
      </c>
      <c r="D924" s="40">
        <v>0</v>
      </c>
    </row>
    <row r="925" spans="1:4" ht="22.5" customHeight="1" x14ac:dyDescent="0.15">
      <c r="A925" s="16" t="s">
        <v>934</v>
      </c>
      <c r="B925" s="12" t="s">
        <v>2146</v>
      </c>
      <c r="C925" s="13" t="s">
        <v>30</v>
      </c>
      <c r="D925" s="40">
        <v>0</v>
      </c>
    </row>
    <row r="926" spans="1:4" ht="22.5" customHeight="1" x14ac:dyDescent="0.15">
      <c r="A926" s="16" t="s">
        <v>934</v>
      </c>
      <c r="B926" s="12" t="s">
        <v>2147</v>
      </c>
      <c r="C926" s="13" t="s">
        <v>88</v>
      </c>
      <c r="D926" s="40">
        <v>0</v>
      </c>
    </row>
    <row r="927" spans="1:4" ht="22.5" customHeight="1" x14ac:dyDescent="0.15">
      <c r="A927" s="16" t="s">
        <v>281</v>
      </c>
      <c r="B927" s="12" t="s">
        <v>2148</v>
      </c>
      <c r="C927" s="13" t="s">
        <v>342</v>
      </c>
      <c r="D927" s="40">
        <v>0</v>
      </c>
    </row>
    <row r="928" spans="1:4" ht="22.5" customHeight="1" x14ac:dyDescent="0.15">
      <c r="A928" s="16" t="s">
        <v>289</v>
      </c>
      <c r="B928" s="12" t="s">
        <v>2149</v>
      </c>
      <c r="C928" s="13" t="s">
        <v>30</v>
      </c>
      <c r="D928" s="40">
        <v>0</v>
      </c>
    </row>
    <row r="929" spans="1:4" ht="22.5" customHeight="1" x14ac:dyDescent="0.15">
      <c r="A929" s="16" t="s">
        <v>2152</v>
      </c>
      <c r="B929" s="12" t="s">
        <v>2153</v>
      </c>
      <c r="C929" s="13" t="s">
        <v>342</v>
      </c>
      <c r="D929" s="40">
        <v>0</v>
      </c>
    </row>
    <row r="930" spans="1:4" ht="22.5" customHeight="1" x14ac:dyDescent="0.15">
      <c r="A930" s="16" t="s">
        <v>2156</v>
      </c>
      <c r="B930" s="12" t="s">
        <v>2157</v>
      </c>
      <c r="C930" s="13" t="s">
        <v>342</v>
      </c>
      <c r="D930" s="40">
        <v>0</v>
      </c>
    </row>
    <row r="931" spans="1:4" ht="22.5" customHeight="1" x14ac:dyDescent="0.15">
      <c r="A931" s="16" t="s">
        <v>293</v>
      </c>
      <c r="B931" s="12" t="s">
        <v>2158</v>
      </c>
      <c r="C931" s="13" t="s">
        <v>88</v>
      </c>
      <c r="D931" s="40">
        <v>0</v>
      </c>
    </row>
    <row r="932" spans="1:4" ht="22.5" customHeight="1" x14ac:dyDescent="0.15">
      <c r="A932" s="16" t="s">
        <v>293</v>
      </c>
      <c r="B932" s="12" t="s">
        <v>2159</v>
      </c>
      <c r="C932" s="13" t="s">
        <v>88</v>
      </c>
      <c r="D932" s="40">
        <v>0</v>
      </c>
    </row>
    <row r="933" spans="1:4" ht="22.5" customHeight="1" x14ac:dyDescent="0.15">
      <c r="A933" s="16" t="s">
        <v>946</v>
      </c>
      <c r="B933" s="12" t="s">
        <v>2160</v>
      </c>
      <c r="C933" s="13" t="s">
        <v>136</v>
      </c>
      <c r="D933" s="40">
        <v>0</v>
      </c>
    </row>
    <row r="934" spans="1:4" ht="22.5" customHeight="1" x14ac:dyDescent="0.15">
      <c r="A934" s="16" t="s">
        <v>950</v>
      </c>
      <c r="B934" s="12" t="s">
        <v>2161</v>
      </c>
      <c r="C934" s="13" t="s">
        <v>30</v>
      </c>
      <c r="D934" s="40">
        <v>0</v>
      </c>
    </row>
    <row r="935" spans="1:4" ht="22.5" customHeight="1" x14ac:dyDescent="0.15">
      <c r="A935" s="16" t="s">
        <v>298</v>
      </c>
      <c r="B935" s="12" t="s">
        <v>2162</v>
      </c>
      <c r="C935" s="13" t="s">
        <v>12</v>
      </c>
      <c r="D935" s="40">
        <v>0</v>
      </c>
    </row>
    <row r="936" spans="1:4" ht="22.5" customHeight="1" x14ac:dyDescent="0.15">
      <c r="A936" s="16" t="s">
        <v>298</v>
      </c>
      <c r="B936" s="12" t="s">
        <v>2163</v>
      </c>
      <c r="C936" s="13" t="s">
        <v>88</v>
      </c>
      <c r="D936" s="40">
        <v>0</v>
      </c>
    </row>
    <row r="937" spans="1:4" ht="22.5" customHeight="1" x14ac:dyDescent="0.15">
      <c r="A937" s="16" t="s">
        <v>955</v>
      </c>
      <c r="B937" s="12" t="s">
        <v>2164</v>
      </c>
      <c r="C937" s="13" t="s">
        <v>23</v>
      </c>
      <c r="D937" s="40">
        <v>0</v>
      </c>
    </row>
    <row r="938" spans="1:4" ht="22.5" customHeight="1" x14ac:dyDescent="0.15">
      <c r="A938" s="16" t="s">
        <v>955</v>
      </c>
      <c r="B938" s="12" t="s">
        <v>2165</v>
      </c>
      <c r="C938" s="13" t="s">
        <v>136</v>
      </c>
      <c r="D938" s="40">
        <v>0</v>
      </c>
    </row>
    <row r="939" spans="1:4" ht="22.5" customHeight="1" x14ac:dyDescent="0.15">
      <c r="A939" s="16" t="s">
        <v>955</v>
      </c>
      <c r="B939" s="12" t="s">
        <v>2166</v>
      </c>
      <c r="C939" s="13" t="s">
        <v>136</v>
      </c>
      <c r="D939" s="40">
        <v>0</v>
      </c>
    </row>
    <row r="940" spans="1:4" ht="22.5" customHeight="1" x14ac:dyDescent="0.15">
      <c r="A940" s="16" t="s">
        <v>955</v>
      </c>
      <c r="B940" s="12" t="s">
        <v>2167</v>
      </c>
      <c r="C940" s="13" t="s">
        <v>12</v>
      </c>
      <c r="D940" s="40">
        <v>0</v>
      </c>
    </row>
    <row r="941" spans="1:4" ht="22.5" customHeight="1" x14ac:dyDescent="0.15">
      <c r="A941" s="16" t="s">
        <v>955</v>
      </c>
      <c r="B941" s="12" t="s">
        <v>2168</v>
      </c>
      <c r="C941" s="13" t="s">
        <v>136</v>
      </c>
      <c r="D941" s="40">
        <v>0</v>
      </c>
    </row>
    <row r="942" spans="1:4" ht="22.5" customHeight="1" x14ac:dyDescent="0.15">
      <c r="A942" s="16" t="s">
        <v>955</v>
      </c>
      <c r="B942" s="12" t="s">
        <v>2169</v>
      </c>
      <c r="C942" s="13" t="s">
        <v>30</v>
      </c>
      <c r="D942" s="40">
        <v>0</v>
      </c>
    </row>
    <row r="943" spans="1:4" ht="22.5" customHeight="1" x14ac:dyDescent="0.15">
      <c r="A943" s="16" t="s">
        <v>955</v>
      </c>
      <c r="B943" s="12" t="s">
        <v>2170</v>
      </c>
      <c r="C943" s="13" t="s">
        <v>30</v>
      </c>
      <c r="D943" s="40">
        <v>0</v>
      </c>
    </row>
    <row r="944" spans="1:4" ht="22.5" customHeight="1" x14ac:dyDescent="0.15">
      <c r="A944" s="16" t="s">
        <v>955</v>
      </c>
      <c r="B944" s="12" t="s">
        <v>2171</v>
      </c>
      <c r="C944" s="13" t="s">
        <v>83</v>
      </c>
      <c r="D944" s="40">
        <v>0</v>
      </c>
    </row>
    <row r="945" spans="1:4" ht="22.5" customHeight="1" x14ac:dyDescent="0.15">
      <c r="A945" s="16" t="s">
        <v>955</v>
      </c>
      <c r="B945" s="12" t="s">
        <v>2172</v>
      </c>
      <c r="C945" s="13" t="s">
        <v>18</v>
      </c>
      <c r="D945" s="40">
        <v>0</v>
      </c>
    </row>
    <row r="946" spans="1:4" ht="22.5" customHeight="1" x14ac:dyDescent="0.15">
      <c r="A946" s="16" t="s">
        <v>37</v>
      </c>
      <c r="B946" s="12" t="s">
        <v>2173</v>
      </c>
      <c r="C946" s="13" t="s">
        <v>30</v>
      </c>
      <c r="D946" s="40">
        <v>0</v>
      </c>
    </row>
    <row r="947" spans="1:4" ht="22.5" customHeight="1" x14ac:dyDescent="0.15">
      <c r="A947" s="16" t="s">
        <v>327</v>
      </c>
      <c r="B947" s="12" t="s">
        <v>2174</v>
      </c>
      <c r="C947" s="13" t="s">
        <v>30</v>
      </c>
      <c r="D947" s="40">
        <v>0</v>
      </c>
    </row>
    <row r="948" spans="1:4" ht="22.5" customHeight="1" x14ac:dyDescent="0.15">
      <c r="A948" s="16" t="s">
        <v>327</v>
      </c>
      <c r="B948" s="12" t="s">
        <v>2175</v>
      </c>
      <c r="C948" s="13" t="s">
        <v>342</v>
      </c>
      <c r="D948" s="40">
        <v>0</v>
      </c>
    </row>
    <row r="949" spans="1:4" ht="22.5" customHeight="1" x14ac:dyDescent="0.15">
      <c r="A949" s="16" t="s">
        <v>327</v>
      </c>
      <c r="B949" s="12" t="s">
        <v>2176</v>
      </c>
      <c r="C949" s="13" t="s">
        <v>18</v>
      </c>
      <c r="D949" s="40">
        <v>0</v>
      </c>
    </row>
    <row r="950" spans="1:4" ht="22.5" customHeight="1" x14ac:dyDescent="0.15">
      <c r="A950" s="16" t="s">
        <v>2177</v>
      </c>
      <c r="B950" s="12" t="s">
        <v>2178</v>
      </c>
      <c r="C950" s="13" t="s">
        <v>30</v>
      </c>
      <c r="D950" s="40">
        <v>0</v>
      </c>
    </row>
    <row r="951" spans="1:4" ht="22.5" customHeight="1" x14ac:dyDescent="0.15">
      <c r="A951" s="16" t="s">
        <v>654</v>
      </c>
      <c r="B951" s="12" t="s">
        <v>2179</v>
      </c>
      <c r="C951" s="13" t="s">
        <v>18</v>
      </c>
      <c r="D951" s="40">
        <v>0</v>
      </c>
    </row>
    <row r="952" spans="1:4" ht="22.5" customHeight="1" x14ac:dyDescent="0.15">
      <c r="A952" s="16" t="s">
        <v>966</v>
      </c>
      <c r="B952" s="12" t="s">
        <v>2180</v>
      </c>
      <c r="C952" s="13" t="s">
        <v>136</v>
      </c>
      <c r="D952" s="40">
        <v>0</v>
      </c>
    </row>
    <row r="953" spans="1:4" ht="22.5" customHeight="1" x14ac:dyDescent="0.15">
      <c r="A953" s="16" t="s">
        <v>966</v>
      </c>
      <c r="B953" s="12" t="s">
        <v>2181</v>
      </c>
      <c r="C953" s="13" t="s">
        <v>18</v>
      </c>
      <c r="D953" s="40">
        <v>0</v>
      </c>
    </row>
    <row r="954" spans="1:4" ht="22.5" customHeight="1" x14ac:dyDescent="0.15">
      <c r="A954" s="16" t="s">
        <v>2184</v>
      </c>
      <c r="B954" s="12" t="s">
        <v>2185</v>
      </c>
      <c r="C954" s="13" t="s">
        <v>12</v>
      </c>
      <c r="D954" s="40">
        <v>0</v>
      </c>
    </row>
    <row r="955" spans="1:4" ht="22.5" customHeight="1" x14ac:dyDescent="0.15">
      <c r="A955" s="16" t="s">
        <v>2184</v>
      </c>
      <c r="B955" s="12" t="s">
        <v>2186</v>
      </c>
      <c r="C955" s="13" t="s">
        <v>12</v>
      </c>
      <c r="D955" s="40">
        <v>0</v>
      </c>
    </row>
    <row r="956" spans="1:4" ht="22.5" customHeight="1" x14ac:dyDescent="0.15">
      <c r="A956" s="16" t="s">
        <v>2184</v>
      </c>
      <c r="B956" s="12" t="s">
        <v>2187</v>
      </c>
      <c r="C956" s="13" t="s">
        <v>12</v>
      </c>
      <c r="D956" s="40">
        <v>0</v>
      </c>
    </row>
    <row r="957" spans="1:4" ht="22.5" customHeight="1" x14ac:dyDescent="0.15">
      <c r="A957" s="16" t="s">
        <v>347</v>
      </c>
      <c r="B957" s="12" t="s">
        <v>2188</v>
      </c>
      <c r="C957" s="13" t="s">
        <v>18</v>
      </c>
      <c r="D957" s="40">
        <v>0</v>
      </c>
    </row>
    <row r="958" spans="1:4" ht="22.5" customHeight="1" x14ac:dyDescent="0.15">
      <c r="A958" s="16" t="s">
        <v>347</v>
      </c>
      <c r="B958" s="12" t="s">
        <v>2189</v>
      </c>
      <c r="C958" s="13" t="s">
        <v>136</v>
      </c>
      <c r="D958" s="40">
        <v>0</v>
      </c>
    </row>
    <row r="959" spans="1:4" ht="22.5" customHeight="1" x14ac:dyDescent="0.15">
      <c r="A959" s="16" t="s">
        <v>347</v>
      </c>
      <c r="B959" s="12" t="s">
        <v>2190</v>
      </c>
      <c r="C959" s="13" t="s">
        <v>83</v>
      </c>
      <c r="D959" s="40">
        <v>0</v>
      </c>
    </row>
    <row r="960" spans="1:4" ht="22.5" customHeight="1" x14ac:dyDescent="0.15">
      <c r="A960" s="16" t="s">
        <v>351</v>
      </c>
      <c r="B960" s="12" t="s">
        <v>2191</v>
      </c>
      <c r="C960" s="13" t="s">
        <v>30</v>
      </c>
      <c r="D960" s="40">
        <v>0</v>
      </c>
    </row>
    <row r="961" spans="1:4" ht="22.5" customHeight="1" x14ac:dyDescent="0.15">
      <c r="A961" s="16" t="s">
        <v>351</v>
      </c>
      <c r="B961" s="12" t="s">
        <v>2192</v>
      </c>
      <c r="C961" s="13" t="s">
        <v>30</v>
      </c>
      <c r="D961" s="40">
        <v>0</v>
      </c>
    </row>
    <row r="962" spans="1:4" ht="22.5" customHeight="1" x14ac:dyDescent="0.15">
      <c r="A962" s="16" t="s">
        <v>351</v>
      </c>
      <c r="B962" s="12" t="s">
        <v>2193</v>
      </c>
      <c r="C962" s="13" t="s">
        <v>342</v>
      </c>
      <c r="D962" s="40">
        <v>0</v>
      </c>
    </row>
    <row r="963" spans="1:4" ht="22.5" customHeight="1" x14ac:dyDescent="0.15">
      <c r="A963" s="16" t="s">
        <v>351</v>
      </c>
      <c r="B963" s="12" t="s">
        <v>2194</v>
      </c>
      <c r="C963" s="13" t="s">
        <v>30</v>
      </c>
      <c r="D963" s="40">
        <v>0</v>
      </c>
    </row>
    <row r="964" spans="1:4" ht="22.5" customHeight="1" x14ac:dyDescent="0.15">
      <c r="A964" s="16" t="s">
        <v>351</v>
      </c>
      <c r="B964" s="12" t="s">
        <v>2195</v>
      </c>
      <c r="C964" s="13" t="s">
        <v>30</v>
      </c>
      <c r="D964" s="40">
        <v>0</v>
      </c>
    </row>
    <row r="965" spans="1:4" ht="22.5" customHeight="1" x14ac:dyDescent="0.15">
      <c r="A965" s="16" t="s">
        <v>351</v>
      </c>
      <c r="B965" s="12" t="s">
        <v>2196</v>
      </c>
      <c r="C965" s="13" t="s">
        <v>30</v>
      </c>
      <c r="D965" s="40">
        <v>0</v>
      </c>
    </row>
    <row r="966" spans="1:4" ht="22.5" customHeight="1" x14ac:dyDescent="0.15">
      <c r="A966" s="16" t="s">
        <v>355</v>
      </c>
      <c r="B966" s="12" t="s">
        <v>2197</v>
      </c>
      <c r="C966" s="13" t="s">
        <v>342</v>
      </c>
      <c r="D966" s="40">
        <v>0</v>
      </c>
    </row>
    <row r="967" spans="1:4" ht="22.5" customHeight="1" x14ac:dyDescent="0.15">
      <c r="A967" s="16" t="s">
        <v>359</v>
      </c>
      <c r="B967" s="12" t="s">
        <v>2198</v>
      </c>
      <c r="C967" s="13" t="s">
        <v>83</v>
      </c>
      <c r="D967" s="40">
        <v>0</v>
      </c>
    </row>
    <row r="968" spans="1:4" ht="22.5" customHeight="1" x14ac:dyDescent="0.15">
      <c r="A968" s="16" t="s">
        <v>1003</v>
      </c>
      <c r="B968" s="12" t="s">
        <v>2199</v>
      </c>
      <c r="C968" s="13" t="s">
        <v>136</v>
      </c>
      <c r="D968" s="40">
        <v>0</v>
      </c>
    </row>
    <row r="969" spans="1:4" ht="22.5" customHeight="1" x14ac:dyDescent="0.15">
      <c r="A969" s="16" t="s">
        <v>1003</v>
      </c>
      <c r="B969" s="12" t="s">
        <v>2200</v>
      </c>
      <c r="C969" s="13" t="s">
        <v>342</v>
      </c>
      <c r="D969" s="40">
        <v>0</v>
      </c>
    </row>
    <row r="970" spans="1:4" ht="22.5" customHeight="1" x14ac:dyDescent="0.15">
      <c r="A970" s="16" t="s">
        <v>658</v>
      </c>
      <c r="B970" s="12" t="s">
        <v>2201</v>
      </c>
      <c r="C970" s="13" t="s">
        <v>342</v>
      </c>
      <c r="D970" s="40">
        <v>0</v>
      </c>
    </row>
    <row r="971" spans="1:4" ht="22.5" customHeight="1" x14ac:dyDescent="0.15">
      <c r="A971" s="16" t="s">
        <v>1779</v>
      </c>
      <c r="B971" s="12" t="s">
        <v>2042</v>
      </c>
      <c r="C971" s="13" t="s">
        <v>342</v>
      </c>
      <c r="D971" s="40">
        <v>0</v>
      </c>
    </row>
    <row r="972" spans="1:4" ht="22.5" customHeight="1" x14ac:dyDescent="0.15">
      <c r="A972" s="16" t="s">
        <v>1013</v>
      </c>
      <c r="B972" s="12" t="s">
        <v>2202</v>
      </c>
      <c r="C972" s="13" t="s">
        <v>18</v>
      </c>
      <c r="D972" s="40">
        <v>0</v>
      </c>
    </row>
    <row r="973" spans="1:4" ht="22.5" customHeight="1" x14ac:dyDescent="0.15">
      <c r="A973" s="16" t="s">
        <v>384</v>
      </c>
      <c r="B973" s="12" t="s">
        <v>2203</v>
      </c>
      <c r="C973" s="13" t="s">
        <v>115</v>
      </c>
      <c r="D973" s="40">
        <v>0</v>
      </c>
    </row>
    <row r="974" spans="1:4" ht="22.5" customHeight="1" x14ac:dyDescent="0.15">
      <c r="A974" s="16" t="s">
        <v>391</v>
      </c>
      <c r="B974" s="12" t="s">
        <v>2204</v>
      </c>
      <c r="C974" s="13" t="s">
        <v>18</v>
      </c>
      <c r="D974" s="40">
        <v>0</v>
      </c>
    </row>
    <row r="975" spans="1:4" ht="22.5" customHeight="1" x14ac:dyDescent="0.15">
      <c r="A975" s="16" t="s">
        <v>391</v>
      </c>
      <c r="B975" s="12" t="s">
        <v>2205</v>
      </c>
      <c r="C975" s="13" t="s">
        <v>18</v>
      </c>
      <c r="D975" s="40">
        <v>0</v>
      </c>
    </row>
    <row r="976" spans="1:4" ht="22.5" customHeight="1" x14ac:dyDescent="0.15">
      <c r="A976" s="16" t="s">
        <v>391</v>
      </c>
      <c r="B976" s="12" t="s">
        <v>2206</v>
      </c>
      <c r="C976" s="13" t="s">
        <v>342</v>
      </c>
      <c r="D976" s="40">
        <v>0</v>
      </c>
    </row>
    <row r="977" spans="1:4" ht="22.5" customHeight="1" x14ac:dyDescent="0.15">
      <c r="A977" s="16" t="s">
        <v>710</v>
      </c>
      <c r="B977" s="12" t="s">
        <v>2207</v>
      </c>
      <c r="C977" s="13" t="s">
        <v>136</v>
      </c>
      <c r="D977" s="40">
        <v>0</v>
      </c>
    </row>
    <row r="978" spans="1:4" ht="22.5" customHeight="1" x14ac:dyDescent="0.15">
      <c r="A978" s="16" t="s">
        <v>710</v>
      </c>
      <c r="B978" s="12" t="s">
        <v>2208</v>
      </c>
      <c r="C978" s="13" t="s">
        <v>30</v>
      </c>
      <c r="D978" s="40">
        <v>0</v>
      </c>
    </row>
    <row r="979" spans="1:4" ht="22.5" customHeight="1" x14ac:dyDescent="0.15">
      <c r="A979" s="16" t="s">
        <v>710</v>
      </c>
      <c r="B979" s="12" t="s">
        <v>2209</v>
      </c>
      <c r="C979" s="13" t="s">
        <v>30</v>
      </c>
      <c r="D979" s="40">
        <v>0</v>
      </c>
    </row>
    <row r="980" spans="1:4" ht="22.5" customHeight="1" x14ac:dyDescent="0.15">
      <c r="A980" s="16" t="s">
        <v>395</v>
      </c>
      <c r="B980" s="12" t="s">
        <v>2210</v>
      </c>
      <c r="C980" s="13" t="s">
        <v>136</v>
      </c>
      <c r="D980" s="40">
        <v>0</v>
      </c>
    </row>
    <row r="981" spans="1:4" ht="22.5" customHeight="1" x14ac:dyDescent="0.15">
      <c r="A981" s="16" t="s">
        <v>395</v>
      </c>
      <c r="B981" s="12" t="s">
        <v>2211</v>
      </c>
      <c r="C981" s="13" t="s">
        <v>83</v>
      </c>
      <c r="D981" s="40">
        <v>0</v>
      </c>
    </row>
    <row r="982" spans="1:4" ht="22.5" customHeight="1" x14ac:dyDescent="0.15">
      <c r="A982" s="16" t="s">
        <v>395</v>
      </c>
      <c r="B982" s="12" t="s">
        <v>2212</v>
      </c>
      <c r="C982" s="13" t="s">
        <v>18</v>
      </c>
      <c r="D982" s="40">
        <v>0</v>
      </c>
    </row>
    <row r="983" spans="1:4" ht="22.5" customHeight="1" x14ac:dyDescent="0.15">
      <c r="A983" s="16" t="s">
        <v>1088</v>
      </c>
      <c r="B983" s="12" t="s">
        <v>2213</v>
      </c>
      <c r="C983" s="13" t="s">
        <v>18</v>
      </c>
      <c r="D983" s="40">
        <v>0</v>
      </c>
    </row>
    <row r="984" spans="1:4" ht="22.5" customHeight="1" x14ac:dyDescent="0.15">
      <c r="A984" s="16" t="s">
        <v>1088</v>
      </c>
      <c r="B984" s="12" t="s">
        <v>2214</v>
      </c>
      <c r="C984" s="13" t="s">
        <v>18</v>
      </c>
      <c r="D984" s="40">
        <v>0</v>
      </c>
    </row>
    <row r="985" spans="1:4" ht="22.5" customHeight="1" x14ac:dyDescent="0.15">
      <c r="A985" s="16" t="s">
        <v>1088</v>
      </c>
      <c r="B985" s="12" t="s">
        <v>2215</v>
      </c>
      <c r="C985" s="13" t="s">
        <v>12</v>
      </c>
      <c r="D985" s="40">
        <v>0</v>
      </c>
    </row>
    <row r="986" spans="1:4" ht="22.5" customHeight="1" x14ac:dyDescent="0.15">
      <c r="A986" s="16" t="s">
        <v>1088</v>
      </c>
      <c r="B986" s="12" t="s">
        <v>2216</v>
      </c>
      <c r="C986" s="13" t="s">
        <v>30</v>
      </c>
      <c r="D986" s="40">
        <v>0</v>
      </c>
    </row>
    <row r="987" spans="1:4" ht="22.5" customHeight="1" x14ac:dyDescent="0.15">
      <c r="A987" s="16" t="s">
        <v>2219</v>
      </c>
      <c r="B987" s="12" t="s">
        <v>2220</v>
      </c>
      <c r="C987" s="13" t="s">
        <v>30</v>
      </c>
      <c r="D987" s="40">
        <v>0</v>
      </c>
    </row>
    <row r="988" spans="1:4" ht="22.5" customHeight="1" x14ac:dyDescent="0.15">
      <c r="A988" s="16" t="s">
        <v>2219</v>
      </c>
      <c r="B988" s="12" t="s">
        <v>2221</v>
      </c>
      <c r="C988" s="13" t="s">
        <v>30</v>
      </c>
      <c r="D988" s="40">
        <v>0</v>
      </c>
    </row>
    <row r="989" spans="1:4" ht="22.5" customHeight="1" x14ac:dyDescent="0.15">
      <c r="A989" s="16" t="s">
        <v>2219</v>
      </c>
      <c r="B989" s="12" t="s">
        <v>2222</v>
      </c>
      <c r="C989" s="13" t="s">
        <v>30</v>
      </c>
      <c r="D989" s="40">
        <v>0</v>
      </c>
    </row>
    <row r="990" spans="1:4" ht="22.5" customHeight="1" x14ac:dyDescent="0.15">
      <c r="A990" s="16" t="s">
        <v>2225</v>
      </c>
      <c r="B990" s="12" t="s">
        <v>2226</v>
      </c>
      <c r="C990" s="13" t="s">
        <v>18</v>
      </c>
      <c r="D990" s="40">
        <v>0</v>
      </c>
    </row>
    <row r="991" spans="1:4" ht="22.5" customHeight="1" x14ac:dyDescent="0.15">
      <c r="A991" s="16" t="s">
        <v>1517</v>
      </c>
      <c r="B991" s="12" t="s">
        <v>2094</v>
      </c>
      <c r="C991" s="13" t="s">
        <v>12</v>
      </c>
      <c r="D991" s="40">
        <v>0</v>
      </c>
    </row>
    <row r="992" spans="1:4" ht="22.5" customHeight="1" x14ac:dyDescent="0.15">
      <c r="A992" s="16" t="s">
        <v>1517</v>
      </c>
      <c r="B992" s="12" t="s">
        <v>2095</v>
      </c>
      <c r="C992" s="13" t="s">
        <v>12</v>
      </c>
      <c r="D992" s="40">
        <v>0</v>
      </c>
    </row>
    <row r="993" spans="1:4" ht="22.5" customHeight="1" x14ac:dyDescent="0.15">
      <c r="A993" s="16" t="s">
        <v>399</v>
      </c>
      <c r="B993" s="12" t="s">
        <v>2108</v>
      </c>
      <c r="C993" s="13" t="s">
        <v>88</v>
      </c>
      <c r="D993" s="40">
        <v>0</v>
      </c>
    </row>
    <row r="994" spans="1:4" ht="22.5" customHeight="1" x14ac:dyDescent="0.15">
      <c r="A994" s="16" t="s">
        <v>399</v>
      </c>
      <c r="B994" s="12" t="s">
        <v>2109</v>
      </c>
      <c r="C994" s="13" t="s">
        <v>30</v>
      </c>
      <c r="D994" s="40">
        <v>0</v>
      </c>
    </row>
    <row r="995" spans="1:4" ht="22.5" customHeight="1" x14ac:dyDescent="0.15">
      <c r="A995" s="16" t="s">
        <v>399</v>
      </c>
      <c r="B995" s="12" t="s">
        <v>2110</v>
      </c>
      <c r="C995" s="13" t="s">
        <v>30</v>
      </c>
      <c r="D995" s="40">
        <v>0</v>
      </c>
    </row>
    <row r="996" spans="1:4" ht="22.5" customHeight="1" x14ac:dyDescent="0.15">
      <c r="A996" s="16" t="s">
        <v>399</v>
      </c>
      <c r="B996" s="12" t="s">
        <v>2111</v>
      </c>
      <c r="C996" s="13" t="s">
        <v>88</v>
      </c>
      <c r="D996" s="40">
        <v>0</v>
      </c>
    </row>
    <row r="997" spans="1:4" ht="22.5" customHeight="1" x14ac:dyDescent="0.15">
      <c r="A997" s="16" t="s">
        <v>399</v>
      </c>
      <c r="B997" s="12" t="s">
        <v>2112</v>
      </c>
      <c r="C997" s="13" t="s">
        <v>88</v>
      </c>
      <c r="D997" s="40">
        <v>0</v>
      </c>
    </row>
    <row r="998" spans="1:4" ht="22.5" customHeight="1" x14ac:dyDescent="0.15">
      <c r="A998" s="16" t="s">
        <v>399</v>
      </c>
      <c r="B998" s="12" t="s">
        <v>2113</v>
      </c>
      <c r="C998" s="13" t="s">
        <v>88</v>
      </c>
      <c r="D998" s="40">
        <v>0</v>
      </c>
    </row>
    <row r="999" spans="1:4" ht="22.5" customHeight="1" x14ac:dyDescent="0.15">
      <c r="A999" s="16" t="s">
        <v>399</v>
      </c>
      <c r="B999" s="12" t="s">
        <v>2114</v>
      </c>
      <c r="C999" s="13" t="s">
        <v>88</v>
      </c>
      <c r="D999" s="40">
        <v>0</v>
      </c>
    </row>
    <row r="1000" spans="1:4" ht="22.5" customHeight="1" x14ac:dyDescent="0.15">
      <c r="A1000" s="16" t="s">
        <v>399</v>
      </c>
      <c r="B1000" s="12" t="s">
        <v>2115</v>
      </c>
      <c r="C1000" s="13" t="s">
        <v>88</v>
      </c>
      <c r="D1000" s="40">
        <v>0</v>
      </c>
    </row>
    <row r="1001" spans="1:4" ht="22.5" customHeight="1" x14ac:dyDescent="0.15">
      <c r="A1001" s="16" t="s">
        <v>399</v>
      </c>
      <c r="B1001" s="12" t="s">
        <v>2116</v>
      </c>
      <c r="C1001" s="13" t="s">
        <v>88</v>
      </c>
      <c r="D1001" s="40">
        <v>0</v>
      </c>
    </row>
    <row r="1002" spans="1:4" ht="22.5" customHeight="1" x14ac:dyDescent="0.15">
      <c r="A1002" s="16" t="s">
        <v>401</v>
      </c>
      <c r="B1002" s="12" t="s">
        <v>2227</v>
      </c>
      <c r="C1002" s="13" t="s">
        <v>12</v>
      </c>
      <c r="D1002" s="40">
        <v>0</v>
      </c>
    </row>
    <row r="1003" spans="1:4" ht="22.5" customHeight="1" x14ac:dyDescent="0.15">
      <c r="A1003" s="16" t="s">
        <v>401</v>
      </c>
      <c r="B1003" s="12" t="s">
        <v>2228</v>
      </c>
      <c r="C1003" s="13" t="s">
        <v>12</v>
      </c>
      <c r="D1003" s="40">
        <v>0</v>
      </c>
    </row>
    <row r="1004" spans="1:4" ht="22.5" customHeight="1" x14ac:dyDescent="0.15">
      <c r="A1004" s="16" t="s">
        <v>401</v>
      </c>
      <c r="B1004" s="12" t="s">
        <v>2229</v>
      </c>
      <c r="C1004" s="13" t="s">
        <v>30</v>
      </c>
      <c r="D1004" s="40">
        <v>0</v>
      </c>
    </row>
    <row r="1005" spans="1:4" ht="22.5" customHeight="1" x14ac:dyDescent="0.15">
      <c r="A1005" s="16" t="s">
        <v>1797</v>
      </c>
      <c r="B1005" s="12" t="s">
        <v>2117</v>
      </c>
      <c r="C1005" s="13" t="s">
        <v>83</v>
      </c>
      <c r="D1005" s="40">
        <v>0</v>
      </c>
    </row>
    <row r="1006" spans="1:4" ht="22.5" customHeight="1" x14ac:dyDescent="0.15">
      <c r="A1006" s="16" t="s">
        <v>1797</v>
      </c>
      <c r="B1006" s="12" t="s">
        <v>2118</v>
      </c>
      <c r="C1006" s="13" t="s">
        <v>83</v>
      </c>
      <c r="D1006" s="40">
        <v>0</v>
      </c>
    </row>
    <row r="1007" spans="1:4" ht="22.5" customHeight="1" x14ac:dyDescent="0.15">
      <c r="A1007" s="16" t="s">
        <v>1797</v>
      </c>
      <c r="B1007" s="12" t="s">
        <v>2119</v>
      </c>
      <c r="C1007" s="13" t="s">
        <v>83</v>
      </c>
      <c r="D1007" s="40">
        <v>0</v>
      </c>
    </row>
    <row r="1008" spans="1:4" ht="22.5" customHeight="1" x14ac:dyDescent="0.15">
      <c r="A1008" s="16" t="s">
        <v>94</v>
      </c>
      <c r="B1008" s="12" t="s">
        <v>2230</v>
      </c>
      <c r="C1008" s="13" t="s">
        <v>136</v>
      </c>
      <c r="D1008" s="40">
        <v>0</v>
      </c>
    </row>
    <row r="1009" spans="1:4" ht="22.5" customHeight="1" x14ac:dyDescent="0.15">
      <c r="A1009" s="16" t="s">
        <v>94</v>
      </c>
      <c r="B1009" s="12" t="s">
        <v>2231</v>
      </c>
      <c r="C1009" s="13" t="s">
        <v>83</v>
      </c>
      <c r="D1009" s="40">
        <v>0</v>
      </c>
    </row>
    <row r="1010" spans="1:4" ht="22.5" customHeight="1" x14ac:dyDescent="0.15">
      <c r="A1010" s="16" t="s">
        <v>94</v>
      </c>
      <c r="B1010" s="12" t="s">
        <v>2232</v>
      </c>
      <c r="C1010" s="13" t="s">
        <v>30</v>
      </c>
      <c r="D1010" s="40">
        <v>0</v>
      </c>
    </row>
    <row r="1011" spans="1:4" ht="22.5" customHeight="1" x14ac:dyDescent="0.15">
      <c r="A1011" s="16" t="s">
        <v>1120</v>
      </c>
      <c r="B1011" s="12" t="s">
        <v>2233</v>
      </c>
      <c r="C1011" s="13" t="s">
        <v>12</v>
      </c>
      <c r="D1011" s="40">
        <v>602</v>
      </c>
    </row>
    <row r="1012" spans="1:4" ht="22.5" customHeight="1" x14ac:dyDescent="0.15">
      <c r="A1012" s="16" t="s">
        <v>1120</v>
      </c>
      <c r="B1012" s="12" t="s">
        <v>2234</v>
      </c>
      <c r="C1012" s="13" t="s">
        <v>30</v>
      </c>
      <c r="D1012" s="40">
        <v>0</v>
      </c>
    </row>
    <row r="1013" spans="1:4" ht="22.5" customHeight="1" x14ac:dyDescent="0.15">
      <c r="A1013" s="16" t="s">
        <v>1120</v>
      </c>
      <c r="B1013" s="12" t="s">
        <v>2235</v>
      </c>
      <c r="C1013" s="13" t="s">
        <v>30</v>
      </c>
      <c r="D1013" s="40">
        <v>0</v>
      </c>
    </row>
    <row r="1014" spans="1:4" ht="22.5" customHeight="1" x14ac:dyDescent="0.15">
      <c r="A1014" s="16" t="s">
        <v>1127</v>
      </c>
      <c r="B1014" s="12" t="s">
        <v>2236</v>
      </c>
      <c r="C1014" s="13" t="s">
        <v>77</v>
      </c>
      <c r="D1014" s="40">
        <v>0</v>
      </c>
    </row>
    <row r="1015" spans="1:4" ht="22.5" customHeight="1" x14ac:dyDescent="0.15">
      <c r="A1015" s="16" t="s">
        <v>1127</v>
      </c>
      <c r="B1015" s="12" t="s">
        <v>2237</v>
      </c>
      <c r="C1015" s="13" t="s">
        <v>342</v>
      </c>
      <c r="D1015" s="40">
        <v>0</v>
      </c>
    </row>
    <row r="1016" spans="1:4" ht="22.5" customHeight="1" x14ac:dyDescent="0.15">
      <c r="A1016" s="16" t="s">
        <v>1127</v>
      </c>
      <c r="B1016" s="12" t="s">
        <v>2238</v>
      </c>
      <c r="C1016" s="13" t="s">
        <v>30</v>
      </c>
      <c r="D1016" s="40">
        <v>0</v>
      </c>
    </row>
    <row r="1017" spans="1:4" ht="22.5" customHeight="1" x14ac:dyDescent="0.15">
      <c r="A1017" s="16" t="s">
        <v>1127</v>
      </c>
      <c r="B1017" s="12" t="s">
        <v>2237</v>
      </c>
      <c r="C1017" s="13" t="s">
        <v>342</v>
      </c>
      <c r="D1017" s="40">
        <v>0</v>
      </c>
    </row>
    <row r="1018" spans="1:4" ht="22.5" customHeight="1" x14ac:dyDescent="0.15">
      <c r="A1018" s="16" t="s">
        <v>714</v>
      </c>
      <c r="B1018" s="12" t="s">
        <v>2239</v>
      </c>
      <c r="C1018" s="13" t="s">
        <v>136</v>
      </c>
      <c r="D1018" s="40">
        <v>0</v>
      </c>
    </row>
    <row r="1019" spans="1:4" ht="22.5" customHeight="1" x14ac:dyDescent="0.15">
      <c r="A1019" s="16" t="s">
        <v>714</v>
      </c>
      <c r="B1019" s="12" t="s">
        <v>2240</v>
      </c>
      <c r="C1019" s="13" t="s">
        <v>12</v>
      </c>
      <c r="D1019" s="40">
        <v>0</v>
      </c>
    </row>
    <row r="1020" spans="1:4" ht="22.5" customHeight="1" x14ac:dyDescent="0.15">
      <c r="A1020" s="16" t="s">
        <v>714</v>
      </c>
      <c r="B1020" s="12" t="s">
        <v>2241</v>
      </c>
      <c r="C1020" s="13" t="s">
        <v>12</v>
      </c>
      <c r="D1020" s="40">
        <v>0</v>
      </c>
    </row>
    <row r="1021" spans="1:4" ht="22.5" customHeight="1" x14ac:dyDescent="0.15">
      <c r="A1021" s="16" t="s">
        <v>2244</v>
      </c>
      <c r="B1021" s="12" t="s">
        <v>2245</v>
      </c>
      <c r="C1021" s="13" t="s">
        <v>23</v>
      </c>
      <c r="D1021" s="40">
        <v>0</v>
      </c>
    </row>
    <row r="1022" spans="1:4" ht="22.5" customHeight="1" x14ac:dyDescent="0.15">
      <c r="A1022" s="16" t="s">
        <v>417</v>
      </c>
      <c r="B1022" s="12" t="s">
        <v>2246</v>
      </c>
      <c r="C1022" s="13" t="s">
        <v>342</v>
      </c>
      <c r="D1022" s="40">
        <v>0</v>
      </c>
    </row>
    <row r="1023" spans="1:4" ht="22.5" customHeight="1" x14ac:dyDescent="0.15">
      <c r="A1023" s="16" t="s">
        <v>429</v>
      </c>
      <c r="B1023" s="12" t="s">
        <v>2247</v>
      </c>
      <c r="C1023" s="13" t="s">
        <v>136</v>
      </c>
      <c r="D1023" s="40">
        <v>0</v>
      </c>
    </row>
    <row r="1024" spans="1:4" ht="22.5" customHeight="1" x14ac:dyDescent="0.15">
      <c r="A1024" s="16" t="s">
        <v>429</v>
      </c>
      <c r="B1024" s="12" t="s">
        <v>2248</v>
      </c>
      <c r="C1024" s="13" t="s">
        <v>136</v>
      </c>
      <c r="D1024" s="40">
        <v>0</v>
      </c>
    </row>
    <row r="1025" spans="1:4" ht="22.5" customHeight="1" x14ac:dyDescent="0.15">
      <c r="A1025" s="16" t="s">
        <v>429</v>
      </c>
      <c r="B1025" s="12" t="s">
        <v>2249</v>
      </c>
      <c r="C1025" s="13" t="s">
        <v>30</v>
      </c>
      <c r="D1025" s="40">
        <v>0</v>
      </c>
    </row>
    <row r="1026" spans="1:4" ht="22.5" customHeight="1" x14ac:dyDescent="0.15">
      <c r="A1026" s="16" t="s">
        <v>1155</v>
      </c>
      <c r="B1026" s="12" t="s">
        <v>2142</v>
      </c>
      <c r="C1026" s="13" t="s">
        <v>30</v>
      </c>
      <c r="D1026" s="40">
        <v>0</v>
      </c>
    </row>
    <row r="1027" spans="1:4" ht="22.5" customHeight="1" x14ac:dyDescent="0.15">
      <c r="A1027" s="16" t="s">
        <v>1155</v>
      </c>
      <c r="B1027" s="12" t="s">
        <v>2143</v>
      </c>
      <c r="C1027" s="13" t="s">
        <v>12</v>
      </c>
      <c r="D1027" s="40">
        <v>0</v>
      </c>
    </row>
    <row r="1028" spans="1:4" ht="22.5" customHeight="1" x14ac:dyDescent="0.15">
      <c r="A1028" s="16" t="s">
        <v>1155</v>
      </c>
      <c r="B1028" s="12" t="s">
        <v>2144</v>
      </c>
      <c r="C1028" s="13" t="s">
        <v>30</v>
      </c>
      <c r="D1028" s="40">
        <v>0</v>
      </c>
    </row>
    <row r="1029" spans="1:4" ht="22.5" customHeight="1" x14ac:dyDescent="0.15">
      <c r="A1029" s="16" t="s">
        <v>1155</v>
      </c>
      <c r="B1029" s="12" t="s">
        <v>2145</v>
      </c>
      <c r="C1029" s="13" t="s">
        <v>30</v>
      </c>
      <c r="D1029" s="40">
        <v>0</v>
      </c>
    </row>
    <row r="1030" spans="1:4" ht="22.5" customHeight="1" x14ac:dyDescent="0.15">
      <c r="A1030" s="16" t="s">
        <v>1155</v>
      </c>
      <c r="B1030" s="12" t="s">
        <v>2146</v>
      </c>
      <c r="C1030" s="13" t="s">
        <v>30</v>
      </c>
      <c r="D1030" s="40">
        <v>0</v>
      </c>
    </row>
    <row r="1031" spans="1:4" ht="22.5" customHeight="1" x14ac:dyDescent="0.15">
      <c r="A1031" s="16" t="s">
        <v>1155</v>
      </c>
      <c r="B1031" s="12" t="s">
        <v>2147</v>
      </c>
      <c r="C1031" s="13" t="s">
        <v>88</v>
      </c>
      <c r="D1031" s="40">
        <v>0</v>
      </c>
    </row>
    <row r="1032" spans="1:4" ht="22.5" customHeight="1" x14ac:dyDescent="0.15">
      <c r="A1032" s="16" t="s">
        <v>1161</v>
      </c>
      <c r="B1032" s="12" t="s">
        <v>2250</v>
      </c>
      <c r="C1032" s="13" t="s">
        <v>342</v>
      </c>
      <c r="D1032" s="40">
        <v>0</v>
      </c>
    </row>
    <row r="1033" spans="1:4" ht="22.5" customHeight="1" x14ac:dyDescent="0.15">
      <c r="A1033" s="16" t="s">
        <v>443</v>
      </c>
      <c r="B1033" s="12" t="s">
        <v>2251</v>
      </c>
      <c r="C1033" s="13" t="s">
        <v>136</v>
      </c>
      <c r="D1033" s="40">
        <v>0</v>
      </c>
    </row>
    <row r="1034" spans="1:4" ht="22.5" customHeight="1" x14ac:dyDescent="0.15">
      <c r="A1034" s="16" t="s">
        <v>443</v>
      </c>
      <c r="B1034" s="12" t="s">
        <v>2252</v>
      </c>
      <c r="C1034" s="13" t="s">
        <v>136</v>
      </c>
      <c r="D1034" s="40">
        <v>0</v>
      </c>
    </row>
    <row r="1035" spans="1:4" ht="22.5" customHeight="1" x14ac:dyDescent="0.15">
      <c r="A1035" s="16" t="s">
        <v>443</v>
      </c>
      <c r="B1035" s="12" t="s">
        <v>2253</v>
      </c>
      <c r="C1035" s="13" t="s">
        <v>136</v>
      </c>
      <c r="D1035" s="40">
        <v>0</v>
      </c>
    </row>
    <row r="1036" spans="1:4" ht="22.5" customHeight="1" x14ac:dyDescent="0.15">
      <c r="A1036" s="16" t="s">
        <v>443</v>
      </c>
      <c r="B1036" s="12" t="s">
        <v>2254</v>
      </c>
      <c r="C1036" s="13" t="s">
        <v>136</v>
      </c>
      <c r="D1036" s="40">
        <v>0</v>
      </c>
    </row>
    <row r="1037" spans="1:4" ht="22.5" customHeight="1" x14ac:dyDescent="0.15">
      <c r="A1037" s="16" t="s">
        <v>447</v>
      </c>
      <c r="B1037" s="12" t="s">
        <v>2255</v>
      </c>
      <c r="C1037" s="13" t="s">
        <v>30</v>
      </c>
      <c r="D1037" s="40">
        <v>0</v>
      </c>
    </row>
    <row r="1038" spans="1:4" ht="22.5" customHeight="1" x14ac:dyDescent="0.15">
      <c r="A1038" s="16" t="s">
        <v>456</v>
      </c>
      <c r="B1038" s="12" t="s">
        <v>2255</v>
      </c>
      <c r="C1038" s="13" t="s">
        <v>30</v>
      </c>
      <c r="D1038" s="40">
        <v>0</v>
      </c>
    </row>
    <row r="1039" spans="1:4" ht="22.5" customHeight="1" x14ac:dyDescent="0.15">
      <c r="A1039" s="16" t="s">
        <v>628</v>
      </c>
      <c r="B1039" s="12" t="s">
        <v>2256</v>
      </c>
      <c r="C1039" s="13" t="s">
        <v>342</v>
      </c>
      <c r="D1039" s="40">
        <v>0</v>
      </c>
    </row>
    <row r="1040" spans="1:4" ht="22.5" customHeight="1" x14ac:dyDescent="0.15">
      <c r="A1040" s="16" t="s">
        <v>463</v>
      </c>
      <c r="B1040" s="12" t="s">
        <v>2257</v>
      </c>
      <c r="C1040" s="13" t="s">
        <v>30</v>
      </c>
      <c r="D1040" s="40">
        <v>0</v>
      </c>
    </row>
    <row r="1041" spans="1:4" ht="22.5" customHeight="1" x14ac:dyDescent="0.15">
      <c r="A1041" s="16" t="s">
        <v>463</v>
      </c>
      <c r="B1041" s="12" t="s">
        <v>2175</v>
      </c>
      <c r="C1041" s="13" t="s">
        <v>342</v>
      </c>
      <c r="D1041" s="40">
        <v>0</v>
      </c>
    </row>
    <row r="1042" spans="1:4" ht="22.5" customHeight="1" x14ac:dyDescent="0.15">
      <c r="A1042" s="16" t="s">
        <v>463</v>
      </c>
      <c r="B1042" s="12" t="s">
        <v>2176</v>
      </c>
      <c r="C1042" s="13" t="s">
        <v>18</v>
      </c>
      <c r="D1042" s="40">
        <v>0</v>
      </c>
    </row>
    <row r="1043" spans="1:4" ht="22.5" customHeight="1" x14ac:dyDescent="0.15">
      <c r="A1043" s="16" t="s">
        <v>2260</v>
      </c>
      <c r="B1043" s="12" t="s">
        <v>2261</v>
      </c>
      <c r="C1043" s="13" t="s">
        <v>513</v>
      </c>
      <c r="D1043" s="40">
        <v>0</v>
      </c>
    </row>
    <row r="1044" spans="1:4" ht="22.5" customHeight="1" x14ac:dyDescent="0.15">
      <c r="A1044" s="16" t="s">
        <v>2260</v>
      </c>
      <c r="B1044" s="12" t="s">
        <v>2262</v>
      </c>
      <c r="C1044" s="13" t="s">
        <v>136</v>
      </c>
      <c r="D1044" s="40">
        <v>0</v>
      </c>
    </row>
    <row r="1045" spans="1:4" ht="22.5" customHeight="1" x14ac:dyDescent="0.15">
      <c r="A1045" s="16" t="s">
        <v>2260</v>
      </c>
      <c r="B1045" s="12" t="s">
        <v>2263</v>
      </c>
      <c r="C1045" s="13" t="s">
        <v>88</v>
      </c>
      <c r="D1045" s="40">
        <v>0</v>
      </c>
    </row>
    <row r="1046" spans="1:4" ht="22.5" customHeight="1" x14ac:dyDescent="0.15">
      <c r="A1046" s="16" t="s">
        <v>2260</v>
      </c>
      <c r="B1046" s="12" t="s">
        <v>2264</v>
      </c>
      <c r="C1046" s="13" t="s">
        <v>136</v>
      </c>
      <c r="D1046" s="40">
        <v>0</v>
      </c>
    </row>
    <row r="1047" spans="1:4" ht="22.5" customHeight="1" x14ac:dyDescent="0.15">
      <c r="A1047" s="16" t="s">
        <v>2260</v>
      </c>
      <c r="B1047" s="12" t="s">
        <v>2265</v>
      </c>
      <c r="C1047" s="13" t="s">
        <v>136</v>
      </c>
      <c r="D1047" s="40">
        <v>0</v>
      </c>
    </row>
    <row r="1048" spans="1:4" ht="22.5" customHeight="1" x14ac:dyDescent="0.15">
      <c r="A1048" s="16" t="s">
        <v>2260</v>
      </c>
      <c r="B1048" s="12" t="s">
        <v>2266</v>
      </c>
      <c r="C1048" s="13" t="s">
        <v>136</v>
      </c>
      <c r="D1048" s="40">
        <v>0</v>
      </c>
    </row>
    <row r="1049" spans="1:4" ht="22.5" customHeight="1" x14ac:dyDescent="0.15">
      <c r="A1049" s="16" t="s">
        <v>2260</v>
      </c>
      <c r="B1049" s="12" t="s">
        <v>2267</v>
      </c>
      <c r="C1049" s="13" t="s">
        <v>136</v>
      </c>
      <c r="D1049" s="40">
        <v>0</v>
      </c>
    </row>
    <row r="1050" spans="1:4" ht="22.5" customHeight="1" x14ac:dyDescent="0.15">
      <c r="A1050" s="16" t="s">
        <v>2269</v>
      </c>
      <c r="B1050" s="12" t="s">
        <v>2270</v>
      </c>
      <c r="C1050" s="13" t="s">
        <v>136</v>
      </c>
      <c r="D1050" s="40">
        <v>0</v>
      </c>
    </row>
    <row r="1051" spans="1:4" ht="22.5" customHeight="1" x14ac:dyDescent="0.15">
      <c r="A1051" s="16" t="s">
        <v>2269</v>
      </c>
      <c r="B1051" s="12" t="s">
        <v>2271</v>
      </c>
      <c r="C1051" s="13" t="s">
        <v>136</v>
      </c>
      <c r="D1051" s="40">
        <v>0</v>
      </c>
    </row>
    <row r="1052" spans="1:4" ht="22.5" customHeight="1" x14ac:dyDescent="0.15">
      <c r="A1052" s="16" t="s">
        <v>2269</v>
      </c>
      <c r="B1052" s="12" t="s">
        <v>2270</v>
      </c>
      <c r="C1052" s="13" t="s">
        <v>136</v>
      </c>
      <c r="D1052" s="40">
        <v>0</v>
      </c>
    </row>
    <row r="1053" spans="1:4" ht="22.5" customHeight="1" x14ac:dyDescent="0.15">
      <c r="A1053" s="16" t="s">
        <v>2269</v>
      </c>
      <c r="B1053" s="12" t="s">
        <v>2272</v>
      </c>
      <c r="C1053" s="13" t="s">
        <v>136</v>
      </c>
      <c r="D1053" s="40">
        <v>0</v>
      </c>
    </row>
    <row r="1054" spans="1:4" ht="22.5" customHeight="1" x14ac:dyDescent="0.15">
      <c r="A1054" s="16" t="s">
        <v>2269</v>
      </c>
      <c r="B1054" s="12" t="s">
        <v>2273</v>
      </c>
      <c r="C1054" s="13" t="s">
        <v>136</v>
      </c>
      <c r="D1054" s="40">
        <v>0</v>
      </c>
    </row>
    <row r="1055" spans="1:4" ht="22.5" customHeight="1" x14ac:dyDescent="0.15">
      <c r="A1055" s="16" t="s">
        <v>2269</v>
      </c>
      <c r="B1055" s="12" t="s">
        <v>2273</v>
      </c>
      <c r="C1055" s="13" t="s">
        <v>136</v>
      </c>
      <c r="D1055" s="40">
        <v>0</v>
      </c>
    </row>
    <row r="1056" spans="1:4" ht="22.5" customHeight="1" x14ac:dyDescent="0.15">
      <c r="A1056" s="16" t="s">
        <v>2269</v>
      </c>
      <c r="B1056" s="12" t="s">
        <v>2274</v>
      </c>
      <c r="C1056" s="13" t="s">
        <v>136</v>
      </c>
      <c r="D1056" s="40">
        <v>0</v>
      </c>
    </row>
    <row r="1057" spans="1:4" ht="22.5" customHeight="1" x14ac:dyDescent="0.15">
      <c r="A1057" s="16" t="s">
        <v>2269</v>
      </c>
      <c r="B1057" s="12" t="s">
        <v>2272</v>
      </c>
      <c r="C1057" s="13" t="s">
        <v>136</v>
      </c>
      <c r="D1057" s="40">
        <v>0</v>
      </c>
    </row>
    <row r="1058" spans="1:4" ht="22.5" customHeight="1" x14ac:dyDescent="0.15">
      <c r="A1058" s="16" t="s">
        <v>2269</v>
      </c>
      <c r="B1058" s="12" t="s">
        <v>2275</v>
      </c>
      <c r="C1058" s="13" t="s">
        <v>136</v>
      </c>
      <c r="D1058" s="40">
        <v>0</v>
      </c>
    </row>
    <row r="1059" spans="1:4" ht="22.5" customHeight="1" x14ac:dyDescent="0.15">
      <c r="A1059" s="16" t="s">
        <v>1181</v>
      </c>
      <c r="B1059" s="12" t="s">
        <v>2261</v>
      </c>
      <c r="C1059" s="13" t="s">
        <v>136</v>
      </c>
      <c r="D1059" s="40">
        <v>0</v>
      </c>
    </row>
    <row r="1060" spans="1:4" ht="22.5" customHeight="1" x14ac:dyDescent="0.15">
      <c r="A1060" s="16" t="s">
        <v>1181</v>
      </c>
      <c r="B1060" s="12" t="s">
        <v>2261</v>
      </c>
      <c r="C1060" s="13" t="s">
        <v>136</v>
      </c>
      <c r="D1060" s="40">
        <v>0</v>
      </c>
    </row>
    <row r="1061" spans="1:4" ht="22.5" customHeight="1" x14ac:dyDescent="0.15">
      <c r="A1061" s="16" t="s">
        <v>1181</v>
      </c>
      <c r="B1061" s="12" t="s">
        <v>2261</v>
      </c>
      <c r="C1061" s="13" t="s">
        <v>136</v>
      </c>
      <c r="D1061" s="40">
        <v>0</v>
      </c>
    </row>
    <row r="1062" spans="1:4" ht="22.5" customHeight="1" x14ac:dyDescent="0.15">
      <c r="A1062" s="16" t="s">
        <v>703</v>
      </c>
      <c r="B1062" s="12" t="s">
        <v>2261</v>
      </c>
      <c r="C1062" s="13" t="s">
        <v>136</v>
      </c>
      <c r="D1062" s="40">
        <v>0</v>
      </c>
    </row>
    <row r="1063" spans="1:4" ht="22.5" customHeight="1" x14ac:dyDescent="0.15">
      <c r="A1063" s="16" t="s">
        <v>703</v>
      </c>
      <c r="B1063" s="12" t="s">
        <v>2261</v>
      </c>
      <c r="C1063" s="13" t="s">
        <v>136</v>
      </c>
      <c r="D1063" s="40">
        <v>0</v>
      </c>
    </row>
    <row r="1064" spans="1:4" ht="22.5" customHeight="1" x14ac:dyDescent="0.15">
      <c r="A1064" s="16" t="s">
        <v>703</v>
      </c>
      <c r="B1064" s="12" t="s">
        <v>2261</v>
      </c>
      <c r="C1064" s="13" t="s">
        <v>136</v>
      </c>
      <c r="D1064" s="40">
        <v>0</v>
      </c>
    </row>
    <row r="1065" spans="1:4" ht="22.5" customHeight="1" x14ac:dyDescent="0.15">
      <c r="A1065" s="16" t="s">
        <v>703</v>
      </c>
      <c r="B1065" s="12" t="s">
        <v>2261</v>
      </c>
      <c r="C1065" s="13" t="s">
        <v>136</v>
      </c>
      <c r="D1065" s="40">
        <v>0</v>
      </c>
    </row>
    <row r="1066" spans="1:4" ht="22.5" customHeight="1" x14ac:dyDescent="0.15">
      <c r="A1066" s="16" t="s">
        <v>703</v>
      </c>
      <c r="B1066" s="12" t="s">
        <v>2261</v>
      </c>
      <c r="C1066" s="13" t="s">
        <v>136</v>
      </c>
      <c r="D1066" s="40">
        <v>0</v>
      </c>
    </row>
    <row r="1067" spans="1:4" ht="22.5" customHeight="1" x14ac:dyDescent="0.15">
      <c r="A1067" s="16" t="s">
        <v>703</v>
      </c>
      <c r="B1067" s="12" t="s">
        <v>2261</v>
      </c>
      <c r="C1067" s="13" t="s">
        <v>136</v>
      </c>
      <c r="D1067" s="40">
        <v>0</v>
      </c>
    </row>
    <row r="1068" spans="1:4" ht="22.5" customHeight="1" x14ac:dyDescent="0.15">
      <c r="A1068" s="16" t="s">
        <v>703</v>
      </c>
      <c r="B1068" s="12" t="s">
        <v>2261</v>
      </c>
      <c r="C1068" s="13" t="s">
        <v>136</v>
      </c>
      <c r="D1068" s="40">
        <v>0</v>
      </c>
    </row>
    <row r="1069" spans="1:4" ht="22.5" customHeight="1" x14ac:dyDescent="0.15">
      <c r="A1069" s="16" t="s">
        <v>703</v>
      </c>
      <c r="B1069" s="12" t="s">
        <v>2261</v>
      </c>
      <c r="C1069" s="13" t="s">
        <v>136</v>
      </c>
      <c r="D1069" s="40">
        <v>0</v>
      </c>
    </row>
    <row r="1070" spans="1:4" ht="22.5" customHeight="1" x14ac:dyDescent="0.15">
      <c r="A1070" s="16" t="s">
        <v>703</v>
      </c>
      <c r="B1070" s="12" t="s">
        <v>2261</v>
      </c>
      <c r="C1070" s="13" t="s">
        <v>136</v>
      </c>
      <c r="D1070" s="40">
        <v>0</v>
      </c>
    </row>
    <row r="1071" spans="1:4" ht="22.5" customHeight="1" x14ac:dyDescent="0.15">
      <c r="A1071" s="16" t="s">
        <v>703</v>
      </c>
      <c r="B1071" s="12" t="s">
        <v>2261</v>
      </c>
      <c r="C1071" s="13" t="s">
        <v>136</v>
      </c>
      <c r="D1071" s="40">
        <v>0</v>
      </c>
    </row>
    <row r="1072" spans="1:4" ht="22.5" customHeight="1" x14ac:dyDescent="0.15">
      <c r="A1072" s="16" t="s">
        <v>703</v>
      </c>
      <c r="B1072" s="12" t="s">
        <v>2261</v>
      </c>
      <c r="C1072" s="13" t="s">
        <v>136</v>
      </c>
      <c r="D1072" s="40">
        <v>0</v>
      </c>
    </row>
    <row r="1073" spans="1:4" ht="22.5" customHeight="1" x14ac:dyDescent="0.15">
      <c r="A1073" s="16" t="s">
        <v>703</v>
      </c>
      <c r="B1073" s="12" t="s">
        <v>2261</v>
      </c>
      <c r="C1073" s="13" t="s">
        <v>136</v>
      </c>
      <c r="D1073" s="40">
        <v>0</v>
      </c>
    </row>
    <row r="1074" spans="1:4" ht="22.5" customHeight="1" x14ac:dyDescent="0.15">
      <c r="A1074" s="16" t="s">
        <v>1185</v>
      </c>
      <c r="B1074" s="12" t="s">
        <v>2276</v>
      </c>
      <c r="C1074" s="13" t="s">
        <v>18</v>
      </c>
      <c r="D1074" s="40">
        <v>0</v>
      </c>
    </row>
    <row r="1075" spans="1:4" ht="22.5" customHeight="1" x14ac:dyDescent="0.15">
      <c r="A1075" s="16" t="s">
        <v>1185</v>
      </c>
      <c r="B1075" s="12" t="s">
        <v>2277</v>
      </c>
      <c r="C1075" s="13" t="s">
        <v>18</v>
      </c>
      <c r="D1075" s="40">
        <v>0</v>
      </c>
    </row>
    <row r="1076" spans="1:4" ht="22.5" customHeight="1" x14ac:dyDescent="0.15">
      <c r="A1076" s="16" t="s">
        <v>1185</v>
      </c>
      <c r="B1076" s="12" t="s">
        <v>2278</v>
      </c>
      <c r="C1076" s="13" t="s">
        <v>18</v>
      </c>
      <c r="D1076" s="40">
        <v>0</v>
      </c>
    </row>
    <row r="1077" spans="1:4" ht="22.5" customHeight="1" x14ac:dyDescent="0.15">
      <c r="A1077" s="16" t="s">
        <v>2281</v>
      </c>
      <c r="B1077" s="12" t="s">
        <v>2282</v>
      </c>
      <c r="C1077" s="13" t="s">
        <v>136</v>
      </c>
      <c r="D1077" s="40">
        <v>0</v>
      </c>
    </row>
    <row r="1078" spans="1:4" ht="22.5" customHeight="1" x14ac:dyDescent="0.15">
      <c r="A1078" s="16" t="s">
        <v>2281</v>
      </c>
      <c r="B1078" s="12" t="s">
        <v>2283</v>
      </c>
      <c r="C1078" s="13" t="s">
        <v>136</v>
      </c>
      <c r="D1078" s="40">
        <v>0</v>
      </c>
    </row>
    <row r="1079" spans="1:4" ht="22.5" customHeight="1" x14ac:dyDescent="0.15">
      <c r="A1079" s="16" t="s">
        <v>2281</v>
      </c>
      <c r="B1079" s="12" t="s">
        <v>2284</v>
      </c>
      <c r="C1079" s="13" t="s">
        <v>136</v>
      </c>
      <c r="D1079" s="40">
        <v>0</v>
      </c>
    </row>
    <row r="1080" spans="1:4" ht="22.5" customHeight="1" x14ac:dyDescent="0.15">
      <c r="A1080" s="16" t="s">
        <v>1199</v>
      </c>
      <c r="B1080" s="12" t="s">
        <v>2285</v>
      </c>
      <c r="C1080" s="13" t="s">
        <v>136</v>
      </c>
      <c r="D1080" s="40">
        <v>0</v>
      </c>
    </row>
    <row r="1081" spans="1:4" ht="22.5" customHeight="1" x14ac:dyDescent="0.15">
      <c r="A1081" s="16" t="s">
        <v>1199</v>
      </c>
      <c r="B1081" s="12" t="s">
        <v>2286</v>
      </c>
      <c r="C1081" s="13" t="s">
        <v>88</v>
      </c>
      <c r="D1081" s="40">
        <v>0</v>
      </c>
    </row>
    <row r="1082" spans="1:4" ht="22.5" customHeight="1" x14ac:dyDescent="0.15">
      <c r="A1082" s="16" t="s">
        <v>1199</v>
      </c>
      <c r="B1082" s="12" t="s">
        <v>2287</v>
      </c>
      <c r="C1082" s="13" t="s">
        <v>88</v>
      </c>
      <c r="D1082" s="40">
        <v>0</v>
      </c>
    </row>
    <row r="1083" spans="1:4" ht="22.5" customHeight="1" x14ac:dyDescent="0.15">
      <c r="A1083" s="16" t="s">
        <v>1199</v>
      </c>
      <c r="B1083" s="12" t="s">
        <v>2288</v>
      </c>
      <c r="C1083" s="13" t="s">
        <v>88</v>
      </c>
      <c r="D1083" s="40">
        <v>0</v>
      </c>
    </row>
    <row r="1084" spans="1:4" ht="22.5" customHeight="1" x14ac:dyDescent="0.15">
      <c r="A1084" s="16" t="s">
        <v>1199</v>
      </c>
      <c r="B1084" s="12" t="s">
        <v>2289</v>
      </c>
      <c r="C1084" s="13" t="s">
        <v>136</v>
      </c>
      <c r="D1084" s="40">
        <v>0</v>
      </c>
    </row>
    <row r="1085" spans="1:4" ht="22.5" customHeight="1" x14ac:dyDescent="0.15">
      <c r="A1085" s="16" t="s">
        <v>1199</v>
      </c>
      <c r="B1085" s="12" t="s">
        <v>2290</v>
      </c>
      <c r="C1085" s="13" t="s">
        <v>136</v>
      </c>
      <c r="D1085" s="40">
        <v>0</v>
      </c>
    </row>
    <row r="1086" spans="1:4" ht="22.5" customHeight="1" x14ac:dyDescent="0.15">
      <c r="A1086" s="16" t="s">
        <v>1199</v>
      </c>
      <c r="B1086" s="12" t="s">
        <v>2291</v>
      </c>
      <c r="C1086" s="13" t="s">
        <v>136</v>
      </c>
      <c r="D1086" s="40">
        <v>0</v>
      </c>
    </row>
    <row r="1087" spans="1:4" ht="22.5" customHeight="1" x14ac:dyDescent="0.15">
      <c r="A1087" s="16" t="s">
        <v>2294</v>
      </c>
      <c r="B1087" s="12" t="s">
        <v>2295</v>
      </c>
      <c r="C1087" s="13" t="s">
        <v>18</v>
      </c>
      <c r="D1087" s="40">
        <v>0</v>
      </c>
    </row>
    <row r="1088" spans="1:4" ht="22.5" customHeight="1" x14ac:dyDescent="0.15">
      <c r="A1088" s="16" t="s">
        <v>1210</v>
      </c>
      <c r="B1088" s="12" t="s">
        <v>2276</v>
      </c>
      <c r="C1088" s="13" t="s">
        <v>18</v>
      </c>
      <c r="D1088" s="40">
        <v>0</v>
      </c>
    </row>
    <row r="1089" spans="1:4" ht="22.5" customHeight="1" x14ac:dyDescent="0.15">
      <c r="A1089" s="16" t="s">
        <v>1210</v>
      </c>
      <c r="B1089" s="12" t="s">
        <v>2277</v>
      </c>
      <c r="C1089" s="13" t="s">
        <v>18</v>
      </c>
      <c r="D1089" s="40">
        <v>0</v>
      </c>
    </row>
    <row r="1090" spans="1:4" ht="22.5" customHeight="1" x14ac:dyDescent="0.15">
      <c r="A1090" s="16" t="s">
        <v>1210</v>
      </c>
      <c r="B1090" s="12" t="s">
        <v>2278</v>
      </c>
      <c r="C1090" s="13" t="s">
        <v>18</v>
      </c>
      <c r="D1090" s="40">
        <v>0</v>
      </c>
    </row>
    <row r="1091" spans="1:4" ht="22.5" customHeight="1" x14ac:dyDescent="0.15">
      <c r="A1091" s="16" t="s">
        <v>1211</v>
      </c>
      <c r="B1091" s="12" t="s">
        <v>2296</v>
      </c>
      <c r="C1091" s="13" t="s">
        <v>136</v>
      </c>
      <c r="D1091" s="40">
        <v>0</v>
      </c>
    </row>
    <row r="1092" spans="1:4" ht="22.5" customHeight="1" x14ac:dyDescent="0.15">
      <c r="A1092" s="16" t="s">
        <v>1211</v>
      </c>
      <c r="B1092" s="12" t="s">
        <v>2297</v>
      </c>
      <c r="C1092" s="13" t="s">
        <v>18</v>
      </c>
      <c r="D1092" s="40">
        <v>0</v>
      </c>
    </row>
    <row r="1093" spans="1:4" ht="22.5" customHeight="1" x14ac:dyDescent="0.15">
      <c r="A1093" s="16" t="s">
        <v>57</v>
      </c>
      <c r="B1093" s="12" t="s">
        <v>2298</v>
      </c>
      <c r="C1093" s="13" t="s">
        <v>12</v>
      </c>
      <c r="D1093" s="40">
        <v>0</v>
      </c>
    </row>
    <row r="1094" spans="1:4" ht="22.5" customHeight="1" x14ac:dyDescent="0.15">
      <c r="A1094" s="16" t="s">
        <v>497</v>
      </c>
      <c r="B1094" s="12" t="s">
        <v>2299</v>
      </c>
      <c r="C1094" s="13" t="s">
        <v>12</v>
      </c>
      <c r="D1094" s="40">
        <v>0</v>
      </c>
    </row>
    <row r="1095" spans="1:4" ht="22.5" customHeight="1" x14ac:dyDescent="0.15">
      <c r="A1095" s="16" t="s">
        <v>497</v>
      </c>
      <c r="B1095" s="12" t="s">
        <v>2300</v>
      </c>
      <c r="C1095" s="13" t="s">
        <v>12</v>
      </c>
      <c r="D1095" s="40">
        <v>0</v>
      </c>
    </row>
    <row r="1096" spans="1:4" ht="22.5" customHeight="1" x14ac:dyDescent="0.15">
      <c r="A1096" s="16" t="s">
        <v>503</v>
      </c>
      <c r="B1096" s="12" t="s">
        <v>2301</v>
      </c>
      <c r="C1096" s="13" t="s">
        <v>88</v>
      </c>
      <c r="D1096" s="40">
        <v>0</v>
      </c>
    </row>
    <row r="1097" spans="1:4" ht="22.5" customHeight="1" x14ac:dyDescent="0.15">
      <c r="A1097" s="16" t="s">
        <v>503</v>
      </c>
      <c r="B1097" s="12" t="s">
        <v>2302</v>
      </c>
      <c r="C1097" s="13" t="s">
        <v>30</v>
      </c>
      <c r="D1097" s="40">
        <v>0</v>
      </c>
    </row>
    <row r="1098" spans="1:4" ht="22.5" customHeight="1" x14ac:dyDescent="0.15">
      <c r="A1098" s="16" t="s">
        <v>2305</v>
      </c>
      <c r="B1098" s="12" t="s">
        <v>2306</v>
      </c>
      <c r="C1098" s="13" t="s">
        <v>18</v>
      </c>
      <c r="D1098" s="40">
        <v>0</v>
      </c>
    </row>
    <row r="1099" spans="1:4" ht="22.5" customHeight="1" x14ac:dyDescent="0.15">
      <c r="A1099" s="16" t="s">
        <v>511</v>
      </c>
      <c r="B1099" s="12" t="s">
        <v>2307</v>
      </c>
      <c r="C1099" s="13" t="s">
        <v>18</v>
      </c>
      <c r="D1099" s="40">
        <v>0</v>
      </c>
    </row>
    <row r="1100" spans="1:4" ht="22.5" customHeight="1" x14ac:dyDescent="0.15">
      <c r="A1100" s="16" t="s">
        <v>511</v>
      </c>
      <c r="B1100" s="12" t="s">
        <v>2308</v>
      </c>
      <c r="C1100" s="13" t="s">
        <v>18</v>
      </c>
      <c r="D1100" s="40">
        <v>0</v>
      </c>
    </row>
    <row r="1101" spans="1:4" ht="22.5" customHeight="1" x14ac:dyDescent="0.15">
      <c r="A1101" s="16" t="s">
        <v>112</v>
      </c>
      <c r="B1101" s="12" t="s">
        <v>2309</v>
      </c>
      <c r="C1101" s="13" t="s">
        <v>513</v>
      </c>
      <c r="D1101" s="40">
        <v>0</v>
      </c>
    </row>
    <row r="1102" spans="1:4" ht="22.5" customHeight="1" x14ac:dyDescent="0.15">
      <c r="A1102" s="16" t="s">
        <v>112</v>
      </c>
      <c r="B1102" s="12" t="s">
        <v>2021</v>
      </c>
      <c r="C1102" s="13" t="s">
        <v>18</v>
      </c>
      <c r="D1102" s="40">
        <v>0</v>
      </c>
    </row>
    <row r="1103" spans="1:4" ht="22.5" customHeight="1" x14ac:dyDescent="0.15">
      <c r="A1103" s="16" t="s">
        <v>112</v>
      </c>
      <c r="B1103" s="12" t="s">
        <v>2022</v>
      </c>
      <c r="C1103" s="13" t="s">
        <v>18</v>
      </c>
      <c r="D1103" s="40">
        <v>0</v>
      </c>
    </row>
    <row r="1104" spans="1:4" ht="22.5" customHeight="1" x14ac:dyDescent="0.15">
      <c r="A1104" s="16" t="s">
        <v>112</v>
      </c>
      <c r="B1104" s="12" t="s">
        <v>2023</v>
      </c>
      <c r="C1104" s="13" t="s">
        <v>18</v>
      </c>
      <c r="D1104" s="40">
        <v>0</v>
      </c>
    </row>
    <row r="1105" spans="1:4" ht="22.5" customHeight="1" x14ac:dyDescent="0.15">
      <c r="A1105" s="16" t="s">
        <v>112</v>
      </c>
      <c r="B1105" s="12" t="s">
        <v>2024</v>
      </c>
      <c r="C1105" s="13" t="s">
        <v>18</v>
      </c>
      <c r="D1105" s="40">
        <v>0</v>
      </c>
    </row>
    <row r="1106" spans="1:4" ht="22.5" customHeight="1" x14ac:dyDescent="0.15">
      <c r="A1106" s="16" t="s">
        <v>112</v>
      </c>
      <c r="B1106" s="12" t="s">
        <v>2025</v>
      </c>
      <c r="C1106" s="13" t="s">
        <v>18</v>
      </c>
      <c r="D1106" s="40">
        <v>0</v>
      </c>
    </row>
    <row r="1107" spans="1:4" ht="22.5" customHeight="1" x14ac:dyDescent="0.15">
      <c r="A1107" s="16" t="s">
        <v>112</v>
      </c>
      <c r="B1107" s="12" t="s">
        <v>2026</v>
      </c>
      <c r="C1107" s="13" t="s">
        <v>18</v>
      </c>
      <c r="D1107" s="40">
        <v>0</v>
      </c>
    </row>
    <row r="1108" spans="1:4" ht="22.5" customHeight="1" x14ac:dyDescent="0.15">
      <c r="A1108" s="16" t="s">
        <v>112</v>
      </c>
      <c r="B1108" s="12" t="s">
        <v>2027</v>
      </c>
      <c r="C1108" s="13" t="s">
        <v>18</v>
      </c>
      <c r="D1108" s="40">
        <v>0</v>
      </c>
    </row>
    <row r="1109" spans="1:4" ht="22.5" customHeight="1" x14ac:dyDescent="0.15">
      <c r="A1109" s="16" t="s">
        <v>112</v>
      </c>
      <c r="B1109" s="12" t="s">
        <v>2028</v>
      </c>
      <c r="C1109" s="13" t="s">
        <v>18</v>
      </c>
      <c r="D1109" s="40">
        <v>0</v>
      </c>
    </row>
    <row r="1110" spans="1:4" ht="22.5" customHeight="1" x14ac:dyDescent="0.15">
      <c r="A1110" s="16" t="s">
        <v>112</v>
      </c>
      <c r="B1110" s="12" t="s">
        <v>2029</v>
      </c>
      <c r="C1110" s="13" t="s">
        <v>18</v>
      </c>
      <c r="D1110" s="40">
        <v>0</v>
      </c>
    </row>
    <row r="1111" spans="1:4" ht="22.5" customHeight="1" x14ac:dyDescent="0.15">
      <c r="A1111" s="16" t="s">
        <v>112</v>
      </c>
      <c r="B1111" s="12" t="s">
        <v>2030</v>
      </c>
      <c r="C1111" s="13" t="s">
        <v>18</v>
      </c>
      <c r="D1111" s="40">
        <v>0</v>
      </c>
    </row>
    <row r="1112" spans="1:4" ht="22.5" customHeight="1" x14ac:dyDescent="0.15">
      <c r="A1112" s="16" t="s">
        <v>1229</v>
      </c>
      <c r="B1112" s="12" t="s">
        <v>2310</v>
      </c>
      <c r="C1112" s="13" t="s">
        <v>18</v>
      </c>
      <c r="D1112" s="40">
        <v>0</v>
      </c>
    </row>
    <row r="1113" spans="1:4" ht="22.5" customHeight="1" x14ac:dyDescent="0.15">
      <c r="A1113" s="16" t="s">
        <v>1234</v>
      </c>
      <c r="B1113" s="12" t="s">
        <v>2311</v>
      </c>
      <c r="C1113" s="13" t="s">
        <v>30</v>
      </c>
      <c r="D1113" s="40">
        <v>0</v>
      </c>
    </row>
    <row r="1114" spans="1:4" ht="22.5" customHeight="1" x14ac:dyDescent="0.15">
      <c r="A1114" s="16" t="s">
        <v>2314</v>
      </c>
      <c r="B1114" s="12" t="s">
        <v>2261</v>
      </c>
      <c r="C1114" s="13" t="s">
        <v>513</v>
      </c>
      <c r="D1114" s="40">
        <v>0</v>
      </c>
    </row>
    <row r="1115" spans="1:4" ht="22.5" customHeight="1" x14ac:dyDescent="0.15">
      <c r="A1115" s="16" t="s">
        <v>2314</v>
      </c>
      <c r="B1115" s="12" t="s">
        <v>2315</v>
      </c>
      <c r="C1115" s="13" t="s">
        <v>136</v>
      </c>
      <c r="D1115" s="40">
        <v>0</v>
      </c>
    </row>
    <row r="1116" spans="1:4" ht="22.5" customHeight="1" x14ac:dyDescent="0.15">
      <c r="A1116" s="16" t="s">
        <v>2314</v>
      </c>
      <c r="B1116" s="12" t="s">
        <v>2316</v>
      </c>
      <c r="C1116" s="13" t="s">
        <v>136</v>
      </c>
      <c r="D1116" s="40">
        <v>0</v>
      </c>
    </row>
    <row r="1117" spans="1:4" ht="22.5" customHeight="1" x14ac:dyDescent="0.15">
      <c r="A1117" s="16" t="s">
        <v>2314</v>
      </c>
      <c r="B1117" s="12" t="s">
        <v>2317</v>
      </c>
      <c r="C1117" s="13" t="s">
        <v>88</v>
      </c>
      <c r="D1117" s="40">
        <v>0</v>
      </c>
    </row>
    <row r="1118" spans="1:4" ht="22.5" customHeight="1" x14ac:dyDescent="0.15">
      <c r="A1118" s="16" t="s">
        <v>2314</v>
      </c>
      <c r="B1118" s="12" t="s">
        <v>2318</v>
      </c>
      <c r="C1118" s="13" t="s">
        <v>88</v>
      </c>
      <c r="D1118" s="40">
        <v>0</v>
      </c>
    </row>
    <row r="1119" spans="1:4" ht="22.5" customHeight="1" x14ac:dyDescent="0.15">
      <c r="A1119" s="16" t="s">
        <v>1832</v>
      </c>
      <c r="B1119" s="12" t="s">
        <v>2319</v>
      </c>
      <c r="C1119" s="13" t="s">
        <v>136</v>
      </c>
      <c r="D1119" s="40">
        <v>0</v>
      </c>
    </row>
    <row r="1120" spans="1:4" ht="22.5" customHeight="1" x14ac:dyDescent="0.15">
      <c r="A1120" s="16" t="s">
        <v>1832</v>
      </c>
      <c r="B1120" s="12" t="s">
        <v>2261</v>
      </c>
      <c r="C1120" s="13" t="s">
        <v>513</v>
      </c>
      <c r="D1120" s="40">
        <v>0</v>
      </c>
    </row>
    <row r="1121" spans="1:4" ht="22.5" customHeight="1" x14ac:dyDescent="0.15">
      <c r="A1121" s="16" t="s">
        <v>1832</v>
      </c>
      <c r="B1121" s="12" t="s">
        <v>2261</v>
      </c>
      <c r="C1121" s="13" t="s">
        <v>513</v>
      </c>
      <c r="D1121" s="40">
        <v>0</v>
      </c>
    </row>
    <row r="1122" spans="1:4" ht="22.5" customHeight="1" x14ac:dyDescent="0.15">
      <c r="A1122" s="16" t="s">
        <v>1832</v>
      </c>
      <c r="B1122" s="12" t="s">
        <v>2261</v>
      </c>
      <c r="C1122" s="13" t="s">
        <v>513</v>
      </c>
      <c r="D1122" s="40">
        <v>0</v>
      </c>
    </row>
    <row r="1123" spans="1:4" ht="22.5" customHeight="1" x14ac:dyDescent="0.15">
      <c r="A1123" s="16" t="s">
        <v>523</v>
      </c>
      <c r="B1123" s="12" t="s">
        <v>2320</v>
      </c>
      <c r="C1123" s="13" t="s">
        <v>30</v>
      </c>
      <c r="D1123" s="40">
        <v>0</v>
      </c>
    </row>
    <row r="1124" spans="1:4" ht="22.5" customHeight="1" x14ac:dyDescent="0.15">
      <c r="A1124" s="16" t="s">
        <v>523</v>
      </c>
      <c r="B1124" s="12" t="s">
        <v>2321</v>
      </c>
      <c r="C1124" s="13" t="s">
        <v>342</v>
      </c>
      <c r="D1124" s="40">
        <v>0</v>
      </c>
    </row>
    <row r="1125" spans="1:4" ht="22.5" customHeight="1" x14ac:dyDescent="0.15">
      <c r="A1125" s="16" t="s">
        <v>2323</v>
      </c>
      <c r="B1125" s="12" t="s">
        <v>2324</v>
      </c>
      <c r="C1125" s="13" t="s">
        <v>18</v>
      </c>
      <c r="D1125" s="40">
        <v>0</v>
      </c>
    </row>
    <row r="1126" spans="1:4" ht="22.5" customHeight="1" x14ac:dyDescent="0.15">
      <c r="A1126" s="16" t="s">
        <v>1843</v>
      </c>
      <c r="B1126" s="12" t="s">
        <v>2261</v>
      </c>
      <c r="C1126" s="13" t="s">
        <v>513</v>
      </c>
      <c r="D1126" s="40">
        <v>0</v>
      </c>
    </row>
    <row r="1127" spans="1:4" ht="22.5" customHeight="1" x14ac:dyDescent="0.15">
      <c r="A1127" s="16" t="s">
        <v>1843</v>
      </c>
      <c r="B1127" s="12" t="s">
        <v>2261</v>
      </c>
      <c r="C1127" s="13" t="s">
        <v>513</v>
      </c>
      <c r="D1127" s="40">
        <v>0</v>
      </c>
    </row>
    <row r="1128" spans="1:4" ht="22.5" customHeight="1" x14ac:dyDescent="0.15">
      <c r="A1128" s="16" t="s">
        <v>1843</v>
      </c>
      <c r="B1128" s="12" t="s">
        <v>2325</v>
      </c>
      <c r="C1128" s="13" t="s">
        <v>136</v>
      </c>
      <c r="D1128" s="40">
        <v>0</v>
      </c>
    </row>
    <row r="1129" spans="1:4" ht="22.5" customHeight="1" x14ac:dyDescent="0.15">
      <c r="A1129" s="16" t="s">
        <v>1242</v>
      </c>
      <c r="B1129" s="12" t="s">
        <v>2326</v>
      </c>
      <c r="C1129" s="13" t="s">
        <v>18</v>
      </c>
      <c r="D1129" s="40">
        <v>0</v>
      </c>
    </row>
    <row r="1130" spans="1:4" ht="22.5" customHeight="1" x14ac:dyDescent="0.15">
      <c r="A1130" s="16" t="s">
        <v>696</v>
      </c>
      <c r="B1130" s="12" t="s">
        <v>2327</v>
      </c>
      <c r="C1130" s="13" t="s">
        <v>136</v>
      </c>
      <c r="D1130" s="40">
        <v>0</v>
      </c>
    </row>
    <row r="1131" spans="1:4" ht="22.5" customHeight="1" x14ac:dyDescent="0.15">
      <c r="A1131" s="16" t="s">
        <v>696</v>
      </c>
      <c r="B1131" s="12" t="s">
        <v>2328</v>
      </c>
      <c r="C1131" s="13" t="s">
        <v>136</v>
      </c>
      <c r="D1131" s="40">
        <v>0</v>
      </c>
    </row>
    <row r="1132" spans="1:4" ht="22.5" customHeight="1" x14ac:dyDescent="0.15">
      <c r="A1132" s="16" t="s">
        <v>696</v>
      </c>
      <c r="B1132" s="12" t="s">
        <v>2329</v>
      </c>
      <c r="C1132" s="13" t="s">
        <v>136</v>
      </c>
      <c r="D1132" s="40">
        <v>0</v>
      </c>
    </row>
    <row r="1133" spans="1:4" ht="22.5" customHeight="1" x14ac:dyDescent="0.15">
      <c r="A1133" s="16" t="s">
        <v>2330</v>
      </c>
      <c r="B1133" s="12" t="s">
        <v>2331</v>
      </c>
      <c r="C1133" s="13" t="s">
        <v>18</v>
      </c>
      <c r="D1133" s="40">
        <v>0</v>
      </c>
    </row>
    <row r="1134" spans="1:4" ht="22.5" customHeight="1" x14ac:dyDescent="0.15">
      <c r="A1134" s="16" t="s">
        <v>557</v>
      </c>
      <c r="B1134" s="12" t="s">
        <v>2332</v>
      </c>
      <c r="C1134" s="13" t="s">
        <v>30</v>
      </c>
      <c r="D1134" s="40">
        <v>0</v>
      </c>
    </row>
    <row r="1135" spans="1:4" ht="22.5" customHeight="1" x14ac:dyDescent="0.15">
      <c r="A1135" s="16" t="s">
        <v>557</v>
      </c>
      <c r="B1135" s="12" t="s">
        <v>2333</v>
      </c>
      <c r="C1135" s="13" t="s">
        <v>136</v>
      </c>
      <c r="D1135" s="40">
        <v>0</v>
      </c>
    </row>
    <row r="1136" spans="1:4" ht="22.5" customHeight="1" x14ac:dyDescent="0.15">
      <c r="A1136" s="16" t="s">
        <v>1255</v>
      </c>
      <c r="B1136" s="12" t="s">
        <v>2076</v>
      </c>
      <c r="C1136" s="13" t="s">
        <v>18</v>
      </c>
      <c r="D1136" s="40">
        <v>0</v>
      </c>
    </row>
    <row r="1137" spans="1:4" ht="22.5" customHeight="1" x14ac:dyDescent="0.15">
      <c r="A1137" s="16" t="s">
        <v>1255</v>
      </c>
      <c r="B1137" s="12" t="s">
        <v>2023</v>
      </c>
      <c r="C1137" s="13" t="s">
        <v>18</v>
      </c>
      <c r="D1137" s="40">
        <v>0</v>
      </c>
    </row>
    <row r="1138" spans="1:4" ht="22.5" customHeight="1" x14ac:dyDescent="0.15">
      <c r="A1138" s="16" t="s">
        <v>663</v>
      </c>
      <c r="B1138" s="12" t="s">
        <v>2334</v>
      </c>
      <c r="C1138" s="13" t="s">
        <v>23</v>
      </c>
      <c r="D1138" s="40">
        <v>0</v>
      </c>
    </row>
    <row r="1139" spans="1:4" ht="22.5" customHeight="1" x14ac:dyDescent="0.15">
      <c r="A1139" s="16" t="s">
        <v>663</v>
      </c>
      <c r="B1139" s="12" t="s">
        <v>2335</v>
      </c>
      <c r="C1139" s="13" t="s">
        <v>18</v>
      </c>
      <c r="D1139" s="40">
        <v>0</v>
      </c>
    </row>
    <row r="1140" spans="1:4" ht="22.5" customHeight="1" x14ac:dyDescent="0.15">
      <c r="A1140" s="16" t="s">
        <v>663</v>
      </c>
      <c r="B1140" s="12" t="s">
        <v>2336</v>
      </c>
      <c r="C1140" s="13" t="s">
        <v>18</v>
      </c>
      <c r="D1140" s="40">
        <v>0</v>
      </c>
    </row>
    <row r="1141" spans="1:4" ht="22.5" customHeight="1" x14ac:dyDescent="0.15">
      <c r="A1141" s="16" t="s">
        <v>1257</v>
      </c>
      <c r="B1141" s="12" t="s">
        <v>2337</v>
      </c>
      <c r="C1141" s="13" t="s">
        <v>12</v>
      </c>
      <c r="D1141" s="40">
        <v>0</v>
      </c>
    </row>
    <row r="1142" spans="1:4" ht="22.5" customHeight="1" x14ac:dyDescent="0.15">
      <c r="A1142" s="16" t="s">
        <v>2340</v>
      </c>
      <c r="B1142" s="12" t="s">
        <v>2261</v>
      </c>
      <c r="C1142" s="13" t="s">
        <v>513</v>
      </c>
      <c r="D1142" s="40">
        <v>0</v>
      </c>
    </row>
    <row r="1143" spans="1:4" ht="22.5" customHeight="1" x14ac:dyDescent="0.15">
      <c r="A1143" s="16" t="s">
        <v>2340</v>
      </c>
      <c r="B1143" s="12" t="s">
        <v>2261</v>
      </c>
      <c r="C1143" s="13" t="s">
        <v>513</v>
      </c>
      <c r="D1143" s="40">
        <v>0</v>
      </c>
    </row>
    <row r="1144" spans="1:4" ht="22.5" customHeight="1" x14ac:dyDescent="0.15">
      <c r="A1144" s="16" t="s">
        <v>2340</v>
      </c>
      <c r="B1144" s="12" t="s">
        <v>2341</v>
      </c>
      <c r="C1144" s="13" t="s">
        <v>136</v>
      </c>
      <c r="D1144" s="40">
        <v>0</v>
      </c>
    </row>
    <row r="1145" spans="1:4" ht="22.5" customHeight="1" x14ac:dyDescent="0.15">
      <c r="A1145" s="16" t="s">
        <v>1265</v>
      </c>
      <c r="B1145" s="12" t="s">
        <v>2261</v>
      </c>
      <c r="C1145" s="13" t="s">
        <v>513</v>
      </c>
      <c r="D1145" s="40">
        <v>0</v>
      </c>
    </row>
    <row r="1146" spans="1:4" ht="22.5" customHeight="1" x14ac:dyDescent="0.15">
      <c r="A1146" s="16" t="s">
        <v>1265</v>
      </c>
      <c r="B1146" s="12" t="s">
        <v>2261</v>
      </c>
      <c r="C1146" s="13" t="s">
        <v>513</v>
      </c>
      <c r="D1146" s="40">
        <v>0</v>
      </c>
    </row>
    <row r="1147" spans="1:4" ht="22.5" customHeight="1" x14ac:dyDescent="0.15">
      <c r="A1147" s="16" t="s">
        <v>1265</v>
      </c>
      <c r="B1147" s="12" t="s">
        <v>2342</v>
      </c>
      <c r="C1147" s="13" t="s">
        <v>136</v>
      </c>
      <c r="D1147" s="40">
        <v>0</v>
      </c>
    </row>
    <row r="1148" spans="1:4" ht="22.5" customHeight="1" x14ac:dyDescent="0.15">
      <c r="A1148" s="16" t="s">
        <v>2345</v>
      </c>
      <c r="B1148" s="12" t="s">
        <v>2346</v>
      </c>
      <c r="C1148" s="13" t="s">
        <v>30</v>
      </c>
      <c r="D1148" s="40">
        <v>0</v>
      </c>
    </row>
    <row r="1149" spans="1:4" ht="22.5" customHeight="1" x14ac:dyDescent="0.15">
      <c r="A1149" s="16" t="s">
        <v>2345</v>
      </c>
      <c r="B1149" s="12" t="s">
        <v>2347</v>
      </c>
      <c r="C1149" s="13" t="s">
        <v>30</v>
      </c>
      <c r="D1149" s="40">
        <v>0</v>
      </c>
    </row>
    <row r="1150" spans="1:4" ht="22.5" customHeight="1" x14ac:dyDescent="0.15">
      <c r="A1150" s="16" t="s">
        <v>568</v>
      </c>
      <c r="B1150" s="12" t="s">
        <v>2348</v>
      </c>
      <c r="C1150" s="13" t="s">
        <v>30</v>
      </c>
      <c r="D1150" s="40">
        <v>0</v>
      </c>
    </row>
    <row r="1151" spans="1:4" ht="22.5" customHeight="1" x14ac:dyDescent="0.15">
      <c r="A1151" s="16" t="s">
        <v>572</v>
      </c>
      <c r="B1151" s="12" t="s">
        <v>2349</v>
      </c>
      <c r="C1151" s="13" t="s">
        <v>30</v>
      </c>
      <c r="D1151" s="40">
        <v>0</v>
      </c>
    </row>
    <row r="1152" spans="1:4" ht="22.5" customHeight="1" x14ac:dyDescent="0.15">
      <c r="A1152" s="16" t="s">
        <v>577</v>
      </c>
      <c r="B1152" s="12" t="s">
        <v>2350</v>
      </c>
      <c r="C1152" s="13" t="s">
        <v>18</v>
      </c>
      <c r="D1152" s="40">
        <v>0</v>
      </c>
    </row>
    <row r="1153" spans="1:4" ht="22.5" customHeight="1" x14ac:dyDescent="0.15">
      <c r="A1153" s="16" t="s">
        <v>577</v>
      </c>
      <c r="B1153" s="12" t="s">
        <v>2351</v>
      </c>
      <c r="C1153" s="13" t="s">
        <v>18</v>
      </c>
      <c r="D1153" s="40">
        <v>0</v>
      </c>
    </row>
    <row r="1154" spans="1:4" ht="22.5" customHeight="1" x14ac:dyDescent="0.15">
      <c r="A1154" s="16" t="s">
        <v>577</v>
      </c>
      <c r="B1154" s="12" t="s">
        <v>2352</v>
      </c>
      <c r="C1154" s="13" t="s">
        <v>23</v>
      </c>
      <c r="D1154" s="40">
        <v>0</v>
      </c>
    </row>
    <row r="1155" spans="1:4" ht="22.5" customHeight="1" x14ac:dyDescent="0.15">
      <c r="A1155" s="16" t="s">
        <v>577</v>
      </c>
      <c r="B1155" s="12" t="s">
        <v>2353</v>
      </c>
      <c r="C1155" s="13" t="s">
        <v>12</v>
      </c>
      <c r="D1155" s="40">
        <v>0</v>
      </c>
    </row>
    <row r="1156" spans="1:4" ht="22.5" customHeight="1" x14ac:dyDescent="0.15">
      <c r="A1156" s="16" t="s">
        <v>65</v>
      </c>
      <c r="B1156" s="12" t="s">
        <v>2354</v>
      </c>
      <c r="C1156" s="13" t="s">
        <v>18</v>
      </c>
      <c r="D1156" s="40">
        <v>0</v>
      </c>
    </row>
    <row r="1157" spans="1:4" ht="22.5" customHeight="1" x14ac:dyDescent="0.15">
      <c r="A1157" s="16" t="s">
        <v>65</v>
      </c>
      <c r="B1157" s="12" t="s">
        <v>2355</v>
      </c>
      <c r="C1157" s="13" t="s">
        <v>18</v>
      </c>
      <c r="D1157" s="40">
        <v>0</v>
      </c>
    </row>
    <row r="1158" spans="1:4" ht="22.5" customHeight="1" x14ac:dyDescent="0.15">
      <c r="A1158" s="16" t="s">
        <v>65</v>
      </c>
      <c r="B1158" s="12" t="s">
        <v>2356</v>
      </c>
      <c r="C1158" s="13" t="s">
        <v>18</v>
      </c>
      <c r="D1158" s="40">
        <v>0</v>
      </c>
    </row>
    <row r="1159" spans="1:4" ht="22.5" customHeight="1" x14ac:dyDescent="0.15">
      <c r="A1159" s="16" t="s">
        <v>594</v>
      </c>
      <c r="B1159" s="12" t="s">
        <v>2357</v>
      </c>
      <c r="C1159" s="13" t="s">
        <v>18</v>
      </c>
      <c r="D1159" s="40">
        <v>0</v>
      </c>
    </row>
    <row r="1160" spans="1:4" ht="22.5" customHeight="1" x14ac:dyDescent="0.15">
      <c r="A1160" s="16" t="s">
        <v>594</v>
      </c>
      <c r="B1160" s="12" t="s">
        <v>2358</v>
      </c>
      <c r="C1160" s="13" t="s">
        <v>23</v>
      </c>
      <c r="D1160" s="40">
        <v>0</v>
      </c>
    </row>
    <row r="1161" spans="1:4" ht="22.5" customHeight="1" x14ac:dyDescent="0.15">
      <c r="A1161" s="16" t="s">
        <v>597</v>
      </c>
      <c r="B1161" s="12" t="s">
        <v>2359</v>
      </c>
      <c r="C1161" s="13" t="s">
        <v>30</v>
      </c>
      <c r="D1161" s="40">
        <v>0</v>
      </c>
    </row>
    <row r="1162" spans="1:4" ht="22.5" customHeight="1" x14ac:dyDescent="0.15">
      <c r="A1162" s="16" t="s">
        <v>597</v>
      </c>
      <c r="B1162" s="12" t="s">
        <v>2360</v>
      </c>
      <c r="C1162" s="13" t="s">
        <v>136</v>
      </c>
      <c r="D1162" s="40">
        <v>0</v>
      </c>
    </row>
    <row r="1163" spans="1:4" ht="22.5" customHeight="1" x14ac:dyDescent="0.15">
      <c r="A1163" s="16" t="s">
        <v>597</v>
      </c>
      <c r="B1163" s="12" t="s">
        <v>2361</v>
      </c>
      <c r="C1163" s="13" t="s">
        <v>88</v>
      </c>
      <c r="D1163" s="40">
        <v>0</v>
      </c>
    </row>
    <row r="1164" spans="1:4" ht="22.5" customHeight="1" x14ac:dyDescent="0.15">
      <c r="A1164" s="16" t="s">
        <v>597</v>
      </c>
      <c r="B1164" s="12" t="s">
        <v>2362</v>
      </c>
      <c r="C1164" s="13" t="s">
        <v>136</v>
      </c>
      <c r="D1164" s="40">
        <v>0</v>
      </c>
    </row>
    <row r="1165" spans="1:4" ht="22.5" customHeight="1" x14ac:dyDescent="0.15">
      <c r="A1165" s="16" t="s">
        <v>70</v>
      </c>
      <c r="B1165" s="12" t="s">
        <v>2363</v>
      </c>
      <c r="C1165" s="13" t="s">
        <v>30</v>
      </c>
      <c r="D1165" s="40">
        <v>0</v>
      </c>
    </row>
    <row r="1166" spans="1:4" ht="22.5" customHeight="1" x14ac:dyDescent="0.15">
      <c r="A1166" s="16" t="s">
        <v>853</v>
      </c>
      <c r="B1166" s="12" t="s">
        <v>2365</v>
      </c>
      <c r="C1166" s="13" t="s">
        <v>342</v>
      </c>
      <c r="D1166" s="40">
        <v>0</v>
      </c>
    </row>
    <row r="1167" spans="1:4" ht="22.5" customHeight="1" x14ac:dyDescent="0.15">
      <c r="A1167" s="16" t="s">
        <v>853</v>
      </c>
      <c r="B1167" s="12" t="s">
        <v>2366</v>
      </c>
      <c r="C1167" s="13" t="s">
        <v>342</v>
      </c>
      <c r="D1167" s="40">
        <v>0</v>
      </c>
    </row>
    <row r="1168" spans="1:4" ht="22.5" customHeight="1" x14ac:dyDescent="0.15">
      <c r="A1168" s="16" t="s">
        <v>853</v>
      </c>
      <c r="B1168" s="12" t="s">
        <v>2367</v>
      </c>
      <c r="C1168" s="13" t="s">
        <v>342</v>
      </c>
      <c r="D1168" s="40">
        <v>0</v>
      </c>
    </row>
    <row r="1169" spans="1:4" ht="22.5" customHeight="1" x14ac:dyDescent="0.15">
      <c r="A1169" s="16" t="s">
        <v>853</v>
      </c>
      <c r="B1169" s="12" t="s">
        <v>2368</v>
      </c>
      <c r="C1169" s="13" t="s">
        <v>342</v>
      </c>
      <c r="D1169" s="40">
        <v>0</v>
      </c>
    </row>
    <row r="1170" spans="1:4" ht="22.5" customHeight="1" x14ac:dyDescent="0.15">
      <c r="A1170" s="16" t="s">
        <v>853</v>
      </c>
      <c r="B1170" s="12" t="s">
        <v>2369</v>
      </c>
      <c r="C1170" s="13" t="s">
        <v>30</v>
      </c>
      <c r="D1170" s="40">
        <v>0</v>
      </c>
    </row>
    <row r="1171" spans="1:4" ht="22.5" customHeight="1" x14ac:dyDescent="0.15">
      <c r="A1171" s="16" t="s">
        <v>853</v>
      </c>
      <c r="B1171" s="12" t="s">
        <v>2370</v>
      </c>
      <c r="C1171" s="13" t="s">
        <v>30</v>
      </c>
      <c r="D1171" s="40">
        <v>0</v>
      </c>
    </row>
    <row r="1172" spans="1:4" ht="22.5" customHeight="1" x14ac:dyDescent="0.15">
      <c r="A1172" s="16" t="s">
        <v>853</v>
      </c>
      <c r="B1172" s="12" t="s">
        <v>2371</v>
      </c>
      <c r="C1172" s="13" t="s">
        <v>30</v>
      </c>
      <c r="D1172" s="40">
        <v>0</v>
      </c>
    </row>
    <row r="1173" spans="1:4" ht="22.5" customHeight="1" x14ac:dyDescent="0.15">
      <c r="A1173" s="16" t="s">
        <v>853</v>
      </c>
      <c r="B1173" s="12" t="s">
        <v>2372</v>
      </c>
      <c r="C1173" s="13" t="s">
        <v>18</v>
      </c>
      <c r="D1173" s="40">
        <v>0</v>
      </c>
    </row>
    <row r="1174" spans="1:4" ht="22.5" customHeight="1" x14ac:dyDescent="0.15">
      <c r="A1174" s="16" t="s">
        <v>853</v>
      </c>
      <c r="B1174" s="12" t="s">
        <v>2373</v>
      </c>
      <c r="C1174" s="13" t="s">
        <v>12</v>
      </c>
      <c r="D1174" s="40">
        <v>0</v>
      </c>
    </row>
    <row r="1175" spans="1:4" ht="22.5" customHeight="1" x14ac:dyDescent="0.15">
      <c r="A1175" s="16" t="s">
        <v>853</v>
      </c>
      <c r="B1175" s="12" t="s">
        <v>2374</v>
      </c>
      <c r="C1175" s="13" t="s">
        <v>30</v>
      </c>
      <c r="D1175" s="40">
        <v>0</v>
      </c>
    </row>
    <row r="1176" spans="1:4" ht="22.5" customHeight="1" x14ac:dyDescent="0.15">
      <c r="A1176" s="16" t="s">
        <v>395</v>
      </c>
      <c r="B1176" s="12" t="s">
        <v>2375</v>
      </c>
      <c r="C1176" s="13" t="s">
        <v>30</v>
      </c>
      <c r="D1176" s="40">
        <v>0</v>
      </c>
    </row>
    <row r="1177" spans="1:4" ht="22.5" customHeight="1" x14ac:dyDescent="0.15">
      <c r="A1177" s="16" t="s">
        <v>1165</v>
      </c>
      <c r="B1177" s="12" t="s">
        <v>2376</v>
      </c>
      <c r="C1177" s="13" t="s">
        <v>83</v>
      </c>
      <c r="D1177" s="40">
        <v>0</v>
      </c>
    </row>
    <row r="1178" spans="1:4" ht="22.5" customHeight="1" x14ac:dyDescent="0.15">
      <c r="A1178" s="16" t="s">
        <v>175</v>
      </c>
      <c r="B1178" s="12" t="s">
        <v>2377</v>
      </c>
      <c r="C1178" s="13" t="s">
        <v>88</v>
      </c>
      <c r="D1178" s="40">
        <v>0</v>
      </c>
    </row>
    <row r="1179" spans="1:4" ht="22.5" customHeight="1" x14ac:dyDescent="0.15">
      <c r="A1179" s="16" t="s">
        <v>175</v>
      </c>
      <c r="B1179" s="12" t="s">
        <v>2379</v>
      </c>
      <c r="C1179" s="13" t="s">
        <v>88</v>
      </c>
      <c r="D1179" s="40">
        <v>0</v>
      </c>
    </row>
    <row r="1180" spans="1:4" ht="22.5" customHeight="1" x14ac:dyDescent="0.15">
      <c r="A1180" s="16" t="s">
        <v>955</v>
      </c>
      <c r="B1180" s="12" t="s">
        <v>2380</v>
      </c>
      <c r="C1180" s="13" t="s">
        <v>30</v>
      </c>
      <c r="D1180" s="40">
        <v>0</v>
      </c>
    </row>
    <row r="1181" spans="1:4" ht="22.5" customHeight="1" x14ac:dyDescent="0.15">
      <c r="A1181" s="16" t="s">
        <v>1088</v>
      </c>
      <c r="B1181" s="12" t="s">
        <v>2381</v>
      </c>
      <c r="C1181" s="13" t="s">
        <v>30</v>
      </c>
      <c r="D1181" s="40">
        <v>0</v>
      </c>
    </row>
    <row r="1182" spans="1:4" ht="22.5" customHeight="1" x14ac:dyDescent="0.15">
      <c r="A1182" s="16" t="s">
        <v>429</v>
      </c>
      <c r="B1182" s="12" t="s">
        <v>2382</v>
      </c>
      <c r="C1182" s="13" t="s">
        <v>30</v>
      </c>
      <c r="D1182" s="40">
        <v>0</v>
      </c>
    </row>
    <row r="1183" spans="1:4" ht="22.5" customHeight="1" x14ac:dyDescent="0.15">
      <c r="A1183" s="16" t="s">
        <v>2384</v>
      </c>
      <c r="B1183" s="12" t="s">
        <v>2385</v>
      </c>
      <c r="C1183" s="13" t="s">
        <v>30</v>
      </c>
      <c r="D1183" s="40">
        <v>0</v>
      </c>
    </row>
    <row r="1184" spans="1:4" ht="22.5" customHeight="1" x14ac:dyDescent="0.15">
      <c r="A1184" s="16" t="s">
        <v>401</v>
      </c>
      <c r="B1184" s="12" t="s">
        <v>2386</v>
      </c>
      <c r="C1184" s="13" t="s">
        <v>30</v>
      </c>
      <c r="D1184" s="40">
        <v>0</v>
      </c>
    </row>
    <row r="1185" spans="1:4" ht="22.5" customHeight="1" x14ac:dyDescent="0.15">
      <c r="A1185" s="16" t="s">
        <v>429</v>
      </c>
      <c r="B1185" s="12" t="s">
        <v>2388</v>
      </c>
      <c r="C1185" s="13" t="s">
        <v>30</v>
      </c>
      <c r="D1185" s="40">
        <v>0</v>
      </c>
    </row>
    <row r="1186" spans="1:4" ht="22.5" customHeight="1" x14ac:dyDescent="0.15">
      <c r="A1186" s="16" t="s">
        <v>447</v>
      </c>
      <c r="B1186" s="12" t="s">
        <v>2389</v>
      </c>
      <c r="C1186" s="13" t="s">
        <v>30</v>
      </c>
      <c r="D1186" s="40">
        <v>0</v>
      </c>
    </row>
    <row r="1187" spans="1:4" ht="22.5" customHeight="1" x14ac:dyDescent="0.15">
      <c r="A1187" s="16" t="s">
        <v>456</v>
      </c>
      <c r="B1187" s="12" t="s">
        <v>2389</v>
      </c>
      <c r="C1187" s="13" t="s">
        <v>30</v>
      </c>
      <c r="D1187" s="40">
        <v>0</v>
      </c>
    </row>
    <row r="1188" spans="1:4" ht="22.5" customHeight="1" x14ac:dyDescent="0.15">
      <c r="A1188" s="16" t="s">
        <v>429</v>
      </c>
      <c r="B1188" s="12" t="s">
        <v>2390</v>
      </c>
      <c r="C1188" s="13" t="s">
        <v>30</v>
      </c>
      <c r="D1188" s="40">
        <v>0</v>
      </c>
    </row>
    <row r="1189" spans="1:4" ht="22.5" customHeight="1" x14ac:dyDescent="0.15">
      <c r="A1189" s="16" t="s">
        <v>154</v>
      </c>
      <c r="B1189" s="12" t="s">
        <v>2391</v>
      </c>
      <c r="C1189" s="13" t="s">
        <v>12</v>
      </c>
      <c r="D1189" s="40">
        <v>0</v>
      </c>
    </row>
    <row r="1190" spans="1:4" ht="22.5" customHeight="1" x14ac:dyDescent="0.15">
      <c r="A1190" s="16" t="s">
        <v>57</v>
      </c>
      <c r="B1190" s="12" t="s">
        <v>2392</v>
      </c>
      <c r="C1190" s="13" t="s">
        <v>18</v>
      </c>
      <c r="D1190" s="40">
        <v>0</v>
      </c>
    </row>
    <row r="1191" spans="1:4" ht="22.5" customHeight="1" x14ac:dyDescent="0.15">
      <c r="A1191" s="16" t="s">
        <v>142</v>
      </c>
      <c r="B1191" s="12" t="s">
        <v>2393</v>
      </c>
      <c r="C1191" s="13" t="s">
        <v>30</v>
      </c>
      <c r="D1191" s="40">
        <v>0</v>
      </c>
    </row>
    <row r="1192" spans="1:4" ht="22.5" customHeight="1" x14ac:dyDescent="0.15">
      <c r="A1192" s="16" t="s">
        <v>142</v>
      </c>
      <c r="B1192" s="12" t="s">
        <v>2394</v>
      </c>
      <c r="C1192" s="13" t="s">
        <v>88</v>
      </c>
      <c r="D1192" s="40">
        <v>0</v>
      </c>
    </row>
    <row r="1193" spans="1:4" ht="22.5" customHeight="1" x14ac:dyDescent="0.15">
      <c r="A1193" s="16" t="s">
        <v>683</v>
      </c>
      <c r="B1193" s="12" t="s">
        <v>2396</v>
      </c>
      <c r="C1193" s="13" t="s">
        <v>88</v>
      </c>
      <c r="D1193" s="40">
        <v>0</v>
      </c>
    </row>
    <row r="1194" spans="1:4" ht="22.5" customHeight="1" x14ac:dyDescent="0.15">
      <c r="A1194" s="16" t="s">
        <v>600</v>
      </c>
      <c r="B1194" s="12" t="s">
        <v>2397</v>
      </c>
      <c r="C1194" s="13" t="s">
        <v>30</v>
      </c>
      <c r="D1194" s="40">
        <v>0</v>
      </c>
    </row>
    <row r="1195" spans="1:4" ht="22.5" customHeight="1" x14ac:dyDescent="0.15">
      <c r="A1195" s="16" t="s">
        <v>86</v>
      </c>
      <c r="B1195" s="12" t="s">
        <v>2398</v>
      </c>
      <c r="C1195" s="13" t="s">
        <v>67</v>
      </c>
      <c r="D1195" s="40">
        <v>0</v>
      </c>
    </row>
    <row r="1196" spans="1:4" ht="22.5" customHeight="1" x14ac:dyDescent="0.15">
      <c r="A1196" s="16" t="s">
        <v>429</v>
      </c>
      <c r="B1196" s="12" t="s">
        <v>2399</v>
      </c>
      <c r="C1196" s="13" t="s">
        <v>30</v>
      </c>
      <c r="D1196" s="40">
        <v>0</v>
      </c>
    </row>
    <row r="1197" spans="1:4" ht="22.5" customHeight="1" x14ac:dyDescent="0.15">
      <c r="A1197" s="16" t="s">
        <v>429</v>
      </c>
      <c r="B1197" s="12" t="s">
        <v>2400</v>
      </c>
      <c r="C1197" s="13" t="s">
        <v>12</v>
      </c>
      <c r="D1197" s="40">
        <v>0</v>
      </c>
    </row>
    <row r="1198" spans="1:4" ht="22.5" customHeight="1" x14ac:dyDescent="0.15">
      <c r="A1198" s="16" t="s">
        <v>142</v>
      </c>
      <c r="B1198" s="12" t="s">
        <v>2401</v>
      </c>
      <c r="C1198" s="13" t="s">
        <v>30</v>
      </c>
      <c r="D1198" s="40">
        <v>0</v>
      </c>
    </row>
    <row r="1199" spans="1:4" ht="22.5" customHeight="1" x14ac:dyDescent="0.15">
      <c r="A1199" s="16" t="s">
        <v>853</v>
      </c>
      <c r="B1199" s="12" t="s">
        <v>2403</v>
      </c>
      <c r="C1199" s="13" t="s">
        <v>513</v>
      </c>
      <c r="D1199" s="40">
        <v>0</v>
      </c>
    </row>
    <row r="1200" spans="1:4" ht="22.5" customHeight="1" x14ac:dyDescent="0.15">
      <c r="A1200" s="16" t="s">
        <v>249</v>
      </c>
      <c r="B1200" s="12" t="s">
        <v>2404</v>
      </c>
      <c r="C1200" s="13" t="s">
        <v>30</v>
      </c>
      <c r="D1200" s="40">
        <v>0</v>
      </c>
    </row>
    <row r="1201" spans="1:4" ht="22.5" customHeight="1" x14ac:dyDescent="0.15">
      <c r="A1201" s="16" t="s">
        <v>256</v>
      </c>
      <c r="B1201" s="12" t="s">
        <v>2405</v>
      </c>
      <c r="C1201" s="13" t="s">
        <v>12</v>
      </c>
      <c r="D1201" s="40">
        <v>0</v>
      </c>
    </row>
    <row r="1202" spans="1:4" ht="22.5" customHeight="1" x14ac:dyDescent="0.15">
      <c r="A1202" s="16" t="s">
        <v>399</v>
      </c>
      <c r="B1202" s="12" t="s">
        <v>2404</v>
      </c>
      <c r="C1202" s="13" t="s">
        <v>30</v>
      </c>
      <c r="D1202" s="40">
        <v>0</v>
      </c>
    </row>
    <row r="1203" spans="1:4" ht="22.5" customHeight="1" x14ac:dyDescent="0.15">
      <c r="A1203" s="16" t="s">
        <v>86</v>
      </c>
      <c r="B1203" s="12" t="s">
        <v>2406</v>
      </c>
      <c r="C1203" s="13" t="s">
        <v>18</v>
      </c>
      <c r="D1203" s="40">
        <v>0</v>
      </c>
    </row>
    <row r="1204" spans="1:4" ht="22.5" customHeight="1" x14ac:dyDescent="0.15">
      <c r="A1204" s="16" t="s">
        <v>853</v>
      </c>
      <c r="B1204" s="12" t="s">
        <v>2407</v>
      </c>
      <c r="C1204" s="13" t="s">
        <v>30</v>
      </c>
      <c r="D1204" s="40">
        <v>0</v>
      </c>
    </row>
    <row r="1205" spans="1:4" ht="22.5" customHeight="1" x14ac:dyDescent="0.15">
      <c r="A1205" s="16" t="s">
        <v>37</v>
      </c>
      <c r="B1205" s="12" t="s">
        <v>2408</v>
      </c>
      <c r="C1205" s="13" t="s">
        <v>18</v>
      </c>
      <c r="D1205" s="40">
        <v>0</v>
      </c>
    </row>
    <row r="1206" spans="1:4" ht="22.5" customHeight="1" x14ac:dyDescent="0.15">
      <c r="A1206" s="16" t="s">
        <v>94</v>
      </c>
      <c r="B1206" s="12" t="s">
        <v>2410</v>
      </c>
      <c r="C1206" s="13" t="s">
        <v>30</v>
      </c>
      <c r="D1206" s="40">
        <v>0</v>
      </c>
    </row>
    <row r="1207" spans="1:4" ht="22.5" customHeight="1" x14ac:dyDescent="0.15">
      <c r="A1207" s="16" t="s">
        <v>129</v>
      </c>
      <c r="B1207" s="12" t="s">
        <v>2411</v>
      </c>
      <c r="C1207" s="13" t="s">
        <v>30</v>
      </c>
      <c r="D1207" s="40">
        <v>0</v>
      </c>
    </row>
    <row r="1208" spans="1:4" ht="22.5" customHeight="1" x14ac:dyDescent="0.15">
      <c r="A1208" s="16" t="s">
        <v>129</v>
      </c>
      <c r="B1208" s="12" t="s">
        <v>2413</v>
      </c>
      <c r="C1208" s="13" t="s">
        <v>30</v>
      </c>
      <c r="D1208" s="40">
        <v>0</v>
      </c>
    </row>
    <row r="1209" spans="1:4" ht="22.5" customHeight="1" x14ac:dyDescent="0.15">
      <c r="A1209" s="16" t="s">
        <v>133</v>
      </c>
      <c r="B1209" s="12" t="s">
        <v>2415</v>
      </c>
      <c r="C1209" s="13" t="s">
        <v>18</v>
      </c>
      <c r="D1209" s="40">
        <v>0</v>
      </c>
    </row>
    <row r="1210" spans="1:4" ht="22.5" customHeight="1" x14ac:dyDescent="0.15">
      <c r="A1210" s="16" t="s">
        <v>2417</v>
      </c>
      <c r="B1210" s="12" t="s">
        <v>2418</v>
      </c>
      <c r="C1210" s="13" t="s">
        <v>342</v>
      </c>
      <c r="D1210" s="40">
        <v>0</v>
      </c>
    </row>
    <row r="1211" spans="1:4" ht="22.5" customHeight="1" x14ac:dyDescent="0.15">
      <c r="A1211" s="16" t="s">
        <v>239</v>
      </c>
      <c r="B1211" s="12" t="s">
        <v>2419</v>
      </c>
      <c r="C1211" s="13" t="s">
        <v>30</v>
      </c>
      <c r="D1211" s="40">
        <v>0</v>
      </c>
    </row>
    <row r="1212" spans="1:4" ht="22.5" customHeight="1" x14ac:dyDescent="0.15">
      <c r="A1212" s="16" t="s">
        <v>710</v>
      </c>
      <c r="B1212" s="12" t="s">
        <v>2420</v>
      </c>
      <c r="C1212" s="13" t="s">
        <v>18</v>
      </c>
      <c r="D1212" s="40">
        <v>0</v>
      </c>
    </row>
    <row r="1213" spans="1:4" ht="22.5" customHeight="1" x14ac:dyDescent="0.15">
      <c r="A1213" s="16" t="s">
        <v>1517</v>
      </c>
      <c r="B1213" s="12" t="s">
        <v>2419</v>
      </c>
      <c r="C1213" s="13" t="s">
        <v>18</v>
      </c>
      <c r="D1213" s="40">
        <v>0</v>
      </c>
    </row>
    <row r="1214" spans="1:4" ht="22.5" customHeight="1" x14ac:dyDescent="0.15">
      <c r="A1214" s="16" t="s">
        <v>2294</v>
      </c>
      <c r="B1214" s="12" t="s">
        <v>2421</v>
      </c>
      <c r="C1214" s="13" t="s">
        <v>12</v>
      </c>
      <c r="D1214" s="40">
        <v>0</v>
      </c>
    </row>
    <row r="1215" spans="1:4" ht="22.5" customHeight="1" x14ac:dyDescent="0.15">
      <c r="A1215" s="16" t="s">
        <v>1255</v>
      </c>
      <c r="B1215" s="12" t="s">
        <v>2422</v>
      </c>
      <c r="C1215" s="13" t="s">
        <v>30</v>
      </c>
      <c r="D1215" s="40">
        <v>0</v>
      </c>
    </row>
    <row r="1216" spans="1:4" ht="22.5" customHeight="1" x14ac:dyDescent="0.15">
      <c r="A1216" s="16" t="s">
        <v>395</v>
      </c>
      <c r="B1216" s="12" t="s">
        <v>2423</v>
      </c>
      <c r="C1216" s="13" t="s">
        <v>30</v>
      </c>
      <c r="D1216" s="40">
        <v>0</v>
      </c>
    </row>
    <row r="1217" spans="1:4" ht="22.5" customHeight="1" x14ac:dyDescent="0.15">
      <c r="A1217" s="16" t="s">
        <v>364</v>
      </c>
      <c r="B1217" s="12" t="s">
        <v>2425</v>
      </c>
      <c r="C1217" s="13" t="s">
        <v>30</v>
      </c>
      <c r="D1217" s="40">
        <v>0</v>
      </c>
    </row>
    <row r="1218" spans="1:4" ht="22.5" customHeight="1" x14ac:dyDescent="0.15">
      <c r="A1218" s="16" t="s">
        <v>70</v>
      </c>
      <c r="B1218" s="12" t="s">
        <v>2427</v>
      </c>
      <c r="C1218" s="13" t="s">
        <v>12</v>
      </c>
      <c r="D1218" s="40">
        <v>0</v>
      </c>
    </row>
    <row r="1219" spans="1:4" ht="22.5" customHeight="1" x14ac:dyDescent="0.15">
      <c r="A1219" s="16" t="s">
        <v>154</v>
      </c>
      <c r="B1219" s="12" t="s">
        <v>2429</v>
      </c>
      <c r="C1219" s="13" t="s">
        <v>18</v>
      </c>
      <c r="D1219" s="40">
        <v>0</v>
      </c>
    </row>
    <row r="1220" spans="1:4" ht="22.5" customHeight="1" x14ac:dyDescent="0.15">
      <c r="A1220" s="16" t="s">
        <v>668</v>
      </c>
      <c r="B1220" s="12" t="s">
        <v>2430</v>
      </c>
      <c r="C1220" s="13" t="s">
        <v>18</v>
      </c>
      <c r="D1220" s="40">
        <v>0</v>
      </c>
    </row>
    <row r="1221" spans="1:4" ht="22.5" customHeight="1" x14ac:dyDescent="0.15">
      <c r="A1221" s="16" t="s">
        <v>175</v>
      </c>
      <c r="B1221" s="12" t="s">
        <v>2431</v>
      </c>
      <c r="C1221" s="13" t="s">
        <v>88</v>
      </c>
      <c r="D1221" s="40">
        <v>0</v>
      </c>
    </row>
    <row r="1222" spans="1:4" ht="22.5" customHeight="1" x14ac:dyDescent="0.15">
      <c r="A1222" s="16" t="s">
        <v>1477</v>
      </c>
      <c r="B1222" s="12" t="s">
        <v>2432</v>
      </c>
      <c r="C1222" s="13" t="s">
        <v>18</v>
      </c>
      <c r="D1222" s="40">
        <v>0</v>
      </c>
    </row>
    <row r="1223" spans="1:4" ht="22.5" customHeight="1" x14ac:dyDescent="0.15">
      <c r="A1223" s="16" t="s">
        <v>256</v>
      </c>
      <c r="B1223" s="12" t="s">
        <v>2433</v>
      </c>
      <c r="C1223" s="13" t="s">
        <v>18</v>
      </c>
      <c r="D1223" s="40">
        <v>0</v>
      </c>
    </row>
    <row r="1224" spans="1:4" ht="22.5" customHeight="1" x14ac:dyDescent="0.15">
      <c r="A1224" s="16" t="s">
        <v>32</v>
      </c>
      <c r="B1224" s="12" t="s">
        <v>2434</v>
      </c>
      <c r="C1224" s="13" t="s">
        <v>30</v>
      </c>
      <c r="D1224" s="40">
        <v>0</v>
      </c>
    </row>
    <row r="1225" spans="1:4" ht="22.5" customHeight="1" x14ac:dyDescent="0.15">
      <c r="A1225" s="16" t="s">
        <v>1242</v>
      </c>
      <c r="B1225" s="12" t="s">
        <v>2435</v>
      </c>
      <c r="C1225" s="13" t="s">
        <v>18</v>
      </c>
      <c r="D1225" s="40">
        <v>0</v>
      </c>
    </row>
    <row r="1226" spans="1:4" ht="22.5" customHeight="1" x14ac:dyDescent="0.15">
      <c r="A1226" s="16" t="s">
        <v>822</v>
      </c>
      <c r="B1226" s="12" t="s">
        <v>2436</v>
      </c>
      <c r="C1226" s="13" t="s">
        <v>136</v>
      </c>
      <c r="D1226" s="40">
        <v>0</v>
      </c>
    </row>
    <row r="1227" spans="1:4" ht="22.5" customHeight="1" x14ac:dyDescent="0.15">
      <c r="A1227" s="16" t="s">
        <v>672</v>
      </c>
      <c r="B1227" s="12" t="s">
        <v>2438</v>
      </c>
      <c r="C1227" s="13" t="s">
        <v>18</v>
      </c>
      <c r="D1227" s="40">
        <v>0</v>
      </c>
    </row>
    <row r="1228" spans="1:4" ht="22.5" customHeight="1" x14ac:dyDescent="0.15">
      <c r="A1228" s="16" t="s">
        <v>621</v>
      </c>
      <c r="B1228" s="12" t="s">
        <v>2439</v>
      </c>
      <c r="C1228" s="13" t="s">
        <v>3239</v>
      </c>
      <c r="D1228" s="40">
        <v>0</v>
      </c>
    </row>
    <row r="1229" spans="1:4" ht="22.5" customHeight="1" x14ac:dyDescent="0.15">
      <c r="A1229" s="16" t="s">
        <v>621</v>
      </c>
      <c r="B1229" s="12" t="s">
        <v>2440</v>
      </c>
      <c r="C1229" s="13" t="s">
        <v>30</v>
      </c>
      <c r="D1229" s="40">
        <v>0</v>
      </c>
    </row>
    <row r="1230" spans="1:4" ht="22.5" customHeight="1" x14ac:dyDescent="0.15">
      <c r="A1230" s="16" t="s">
        <v>129</v>
      </c>
      <c r="B1230" s="12" t="s">
        <v>2441</v>
      </c>
      <c r="C1230" s="13" t="s">
        <v>342</v>
      </c>
      <c r="D1230" s="40">
        <v>0</v>
      </c>
    </row>
    <row r="1231" spans="1:4" ht="22.5" customHeight="1" x14ac:dyDescent="0.15">
      <c r="A1231" s="16" t="s">
        <v>1410</v>
      </c>
      <c r="B1231" s="12" t="s">
        <v>2442</v>
      </c>
      <c r="C1231" s="13" t="s">
        <v>88</v>
      </c>
      <c r="D1231" s="40">
        <v>0</v>
      </c>
    </row>
    <row r="1232" spans="1:4" ht="22.5" customHeight="1" x14ac:dyDescent="0.15">
      <c r="A1232" s="16" t="s">
        <v>142</v>
      </c>
      <c r="B1232" s="12" t="s">
        <v>2443</v>
      </c>
      <c r="C1232" s="13" t="s">
        <v>23</v>
      </c>
      <c r="D1232" s="40">
        <v>0</v>
      </c>
    </row>
    <row r="1233" spans="1:4" ht="22.5" customHeight="1" x14ac:dyDescent="0.15">
      <c r="A1233" s="16" t="s">
        <v>2417</v>
      </c>
      <c r="B1233" s="12" t="s">
        <v>2444</v>
      </c>
      <c r="C1233" s="13" t="s">
        <v>30</v>
      </c>
      <c r="D1233" s="40">
        <v>0</v>
      </c>
    </row>
    <row r="1234" spans="1:4" ht="22.5" customHeight="1" x14ac:dyDescent="0.15">
      <c r="A1234" s="16" t="s">
        <v>2417</v>
      </c>
      <c r="B1234" s="12" t="s">
        <v>2445</v>
      </c>
      <c r="C1234" s="13" t="s">
        <v>136</v>
      </c>
      <c r="D1234" s="40">
        <v>0</v>
      </c>
    </row>
    <row r="1235" spans="1:4" ht="22.5" customHeight="1" x14ac:dyDescent="0.15">
      <c r="A1235" s="16" t="s">
        <v>175</v>
      </c>
      <c r="B1235" s="12" t="s">
        <v>2446</v>
      </c>
      <c r="C1235" s="13" t="s">
        <v>18</v>
      </c>
      <c r="D1235" s="40">
        <v>0</v>
      </c>
    </row>
    <row r="1236" spans="1:4" ht="22.5" customHeight="1" x14ac:dyDescent="0.15">
      <c r="A1236" s="16" t="s">
        <v>107</v>
      </c>
      <c r="B1236" s="12" t="s">
        <v>2447</v>
      </c>
      <c r="C1236" s="13" t="s">
        <v>30</v>
      </c>
      <c r="D1236" s="40">
        <v>0</v>
      </c>
    </row>
    <row r="1237" spans="1:4" ht="22.5" customHeight="1" x14ac:dyDescent="0.15">
      <c r="A1237" s="16" t="s">
        <v>832</v>
      </c>
      <c r="B1237" s="12" t="s">
        <v>2448</v>
      </c>
      <c r="C1237" s="13" t="s">
        <v>342</v>
      </c>
      <c r="D1237" s="40">
        <v>0</v>
      </c>
    </row>
    <row r="1238" spans="1:4" ht="22.5" customHeight="1" x14ac:dyDescent="0.15">
      <c r="A1238" s="16" t="s">
        <v>239</v>
      </c>
      <c r="B1238" s="12" t="s">
        <v>2449</v>
      </c>
      <c r="C1238" s="13" t="s">
        <v>136</v>
      </c>
      <c r="D1238" s="40">
        <v>0</v>
      </c>
    </row>
    <row r="1239" spans="1:4" ht="22.5" customHeight="1" x14ac:dyDescent="0.15">
      <c r="A1239" s="16" t="s">
        <v>934</v>
      </c>
      <c r="B1239" s="12" t="s">
        <v>2450</v>
      </c>
      <c r="C1239" s="13" t="s">
        <v>18</v>
      </c>
      <c r="D1239" s="40">
        <v>0</v>
      </c>
    </row>
    <row r="1240" spans="1:4" ht="22.5" customHeight="1" x14ac:dyDescent="0.15">
      <c r="A1240" s="16" t="s">
        <v>934</v>
      </c>
      <c r="B1240" s="12" t="s">
        <v>2451</v>
      </c>
      <c r="C1240" s="13" t="s">
        <v>12</v>
      </c>
      <c r="D1240" s="40">
        <v>0</v>
      </c>
    </row>
    <row r="1241" spans="1:4" ht="22.5" customHeight="1" x14ac:dyDescent="0.15">
      <c r="A1241" s="16" t="s">
        <v>281</v>
      </c>
      <c r="B1241" s="12" t="s">
        <v>2452</v>
      </c>
      <c r="C1241" s="13" t="s">
        <v>30</v>
      </c>
      <c r="D1241" s="40">
        <v>0</v>
      </c>
    </row>
    <row r="1242" spans="1:4" ht="22.5" customHeight="1" x14ac:dyDescent="0.15">
      <c r="A1242" s="16" t="s">
        <v>2152</v>
      </c>
      <c r="B1242" s="12" t="s">
        <v>2453</v>
      </c>
      <c r="C1242" s="13" t="s">
        <v>342</v>
      </c>
      <c r="D1242" s="40">
        <v>0</v>
      </c>
    </row>
    <row r="1243" spans="1:4" ht="22.5" customHeight="1" x14ac:dyDescent="0.15">
      <c r="A1243" s="16" t="s">
        <v>2177</v>
      </c>
      <c r="B1243" s="12" t="s">
        <v>2454</v>
      </c>
      <c r="C1243" s="13" t="s">
        <v>30</v>
      </c>
      <c r="D1243" s="40">
        <v>0</v>
      </c>
    </row>
    <row r="1244" spans="1:4" ht="22.5" customHeight="1" x14ac:dyDescent="0.15">
      <c r="A1244" s="16" t="s">
        <v>1517</v>
      </c>
      <c r="B1244" s="12" t="s">
        <v>2449</v>
      </c>
      <c r="C1244" s="13" t="s">
        <v>136</v>
      </c>
      <c r="D1244" s="40">
        <v>0</v>
      </c>
    </row>
    <row r="1245" spans="1:4" ht="22.5" customHeight="1" x14ac:dyDescent="0.15">
      <c r="A1245" s="16" t="s">
        <v>1155</v>
      </c>
      <c r="B1245" s="12" t="s">
        <v>2450</v>
      </c>
      <c r="C1245" s="13" t="s">
        <v>18</v>
      </c>
      <c r="D1245" s="40">
        <v>0</v>
      </c>
    </row>
    <row r="1246" spans="1:4" ht="22.5" customHeight="1" x14ac:dyDescent="0.15">
      <c r="A1246" s="16" t="s">
        <v>1155</v>
      </c>
      <c r="B1246" s="12" t="s">
        <v>2451</v>
      </c>
      <c r="C1246" s="13" t="s">
        <v>12</v>
      </c>
      <c r="D1246" s="40">
        <v>0</v>
      </c>
    </row>
    <row r="1247" spans="1:4" ht="22.5" customHeight="1" x14ac:dyDescent="0.15">
      <c r="A1247" s="16" t="s">
        <v>57</v>
      </c>
      <c r="B1247" s="12" t="s">
        <v>2455</v>
      </c>
      <c r="C1247" s="13" t="s">
        <v>12</v>
      </c>
      <c r="D1247" s="40">
        <v>0</v>
      </c>
    </row>
    <row r="1248" spans="1:4" ht="22.5" customHeight="1" x14ac:dyDescent="0.15">
      <c r="A1248" s="16" t="s">
        <v>57</v>
      </c>
      <c r="B1248" s="12" t="s">
        <v>2456</v>
      </c>
      <c r="C1248" s="13" t="s">
        <v>12</v>
      </c>
      <c r="D1248" s="40">
        <v>0</v>
      </c>
    </row>
    <row r="1249" spans="1:4" ht="22.5" customHeight="1" x14ac:dyDescent="0.15">
      <c r="A1249" s="16" t="s">
        <v>112</v>
      </c>
      <c r="B1249" s="12" t="s">
        <v>2447</v>
      </c>
      <c r="C1249" s="13" t="s">
        <v>30</v>
      </c>
      <c r="D1249" s="40">
        <v>0</v>
      </c>
    </row>
    <row r="1250" spans="1:4" ht="22.5" customHeight="1" x14ac:dyDescent="0.15">
      <c r="A1250" s="16" t="s">
        <v>663</v>
      </c>
      <c r="B1250" s="12" t="s">
        <v>2457</v>
      </c>
      <c r="C1250" s="13" t="s">
        <v>30</v>
      </c>
      <c r="D1250" s="40">
        <v>0</v>
      </c>
    </row>
    <row r="1251" spans="1:4" ht="22.5" customHeight="1" x14ac:dyDescent="0.15">
      <c r="A1251" s="16" t="s">
        <v>1257</v>
      </c>
      <c r="B1251" s="12" t="s">
        <v>2458</v>
      </c>
      <c r="C1251" s="13" t="s">
        <v>12</v>
      </c>
      <c r="D1251" s="40">
        <v>0</v>
      </c>
    </row>
    <row r="1252" spans="1:4" ht="22.5" customHeight="1" x14ac:dyDescent="0.15">
      <c r="A1252" s="16" t="s">
        <v>2461</v>
      </c>
      <c r="B1252" s="12" t="s">
        <v>2462</v>
      </c>
      <c r="C1252" s="13" t="s">
        <v>136</v>
      </c>
      <c r="D1252" s="40">
        <v>0</v>
      </c>
    </row>
    <row r="1253" spans="1:4" ht="22.5" customHeight="1" x14ac:dyDescent="0.15">
      <c r="A1253" s="16" t="s">
        <v>853</v>
      </c>
      <c r="B1253" s="12" t="s">
        <v>2463</v>
      </c>
      <c r="C1253" s="13" t="s">
        <v>30</v>
      </c>
      <c r="D1253" s="40">
        <v>0</v>
      </c>
    </row>
    <row r="1254" spans="1:4" ht="22.5" customHeight="1" x14ac:dyDescent="0.15">
      <c r="A1254" s="16" t="s">
        <v>193</v>
      </c>
      <c r="B1254" s="12" t="s">
        <v>2464</v>
      </c>
      <c r="C1254" s="13" t="s">
        <v>30</v>
      </c>
      <c r="D1254" s="40">
        <v>0</v>
      </c>
    </row>
    <row r="1255" spans="1:4" ht="22.5" customHeight="1" x14ac:dyDescent="0.15">
      <c r="A1255" s="16" t="s">
        <v>503</v>
      </c>
      <c r="B1255" s="12" t="s">
        <v>2466</v>
      </c>
      <c r="C1255" s="13" t="s">
        <v>30</v>
      </c>
      <c r="D1255" s="40">
        <v>0</v>
      </c>
    </row>
    <row r="1256" spans="1:4" ht="22.5" customHeight="1" x14ac:dyDescent="0.15">
      <c r="A1256" s="16" t="s">
        <v>476</v>
      </c>
      <c r="B1256" s="12" t="s">
        <v>2467</v>
      </c>
      <c r="C1256" s="13" t="s">
        <v>30</v>
      </c>
      <c r="D1256" s="40">
        <v>0</v>
      </c>
    </row>
    <row r="1257" spans="1:4" ht="22.5" customHeight="1" x14ac:dyDescent="0.15">
      <c r="A1257" s="16" t="s">
        <v>154</v>
      </c>
      <c r="B1257" s="12" t="s">
        <v>2468</v>
      </c>
      <c r="C1257" s="13" t="s">
        <v>18</v>
      </c>
      <c r="D1257" s="40">
        <v>0</v>
      </c>
    </row>
    <row r="1258" spans="1:4" ht="22.5" customHeight="1" x14ac:dyDescent="0.15">
      <c r="A1258" s="16" t="s">
        <v>203</v>
      </c>
      <c r="B1258" s="12" t="s">
        <v>2469</v>
      </c>
      <c r="C1258" s="13" t="s">
        <v>18</v>
      </c>
      <c r="D1258" s="40">
        <v>0</v>
      </c>
    </row>
    <row r="1259" spans="1:4" ht="22.5" customHeight="1" x14ac:dyDescent="0.15">
      <c r="A1259" s="16" t="s">
        <v>65</v>
      </c>
      <c r="B1259" s="12" t="s">
        <v>2470</v>
      </c>
      <c r="C1259" s="13" t="s">
        <v>136</v>
      </c>
      <c r="D1259" s="40">
        <v>0</v>
      </c>
    </row>
    <row r="1260" spans="1:4" ht="22.5" customHeight="1" x14ac:dyDescent="0.15">
      <c r="A1260" s="16" t="s">
        <v>1257</v>
      </c>
      <c r="B1260" s="12" t="s">
        <v>2471</v>
      </c>
      <c r="C1260" s="13" t="s">
        <v>18</v>
      </c>
      <c r="D1260" s="40">
        <v>0</v>
      </c>
    </row>
    <row r="1261" spans="1:4" ht="22.5" customHeight="1" x14ac:dyDescent="0.15">
      <c r="A1261" s="16" t="s">
        <v>1088</v>
      </c>
      <c r="B1261" s="12" t="s">
        <v>2472</v>
      </c>
      <c r="C1261" s="13" t="s">
        <v>136</v>
      </c>
      <c r="D1261" s="40">
        <v>0</v>
      </c>
    </row>
    <row r="1262" spans="1:4" ht="22.5" customHeight="1" x14ac:dyDescent="0.15">
      <c r="A1262" s="16" t="s">
        <v>1933</v>
      </c>
      <c r="B1262" s="12" t="s">
        <v>2474</v>
      </c>
      <c r="C1262" s="13" t="s">
        <v>12</v>
      </c>
      <c r="D1262" s="40">
        <v>0</v>
      </c>
    </row>
    <row r="1263" spans="1:4" ht="22.5" customHeight="1" x14ac:dyDescent="0.15">
      <c r="A1263" s="16" t="s">
        <v>1933</v>
      </c>
      <c r="B1263" s="12" t="s">
        <v>2475</v>
      </c>
      <c r="C1263" s="13" t="s">
        <v>12</v>
      </c>
      <c r="D1263" s="40">
        <v>0</v>
      </c>
    </row>
    <row r="1264" spans="1:4" ht="22.5" customHeight="1" x14ac:dyDescent="0.15">
      <c r="A1264" s="16" t="s">
        <v>142</v>
      </c>
      <c r="B1264" s="12" t="s">
        <v>2476</v>
      </c>
      <c r="C1264" s="13" t="s">
        <v>12</v>
      </c>
      <c r="D1264" s="40">
        <v>0</v>
      </c>
    </row>
    <row r="1265" spans="1:4" ht="22.5" customHeight="1" x14ac:dyDescent="0.15">
      <c r="A1265" s="16" t="s">
        <v>142</v>
      </c>
      <c r="B1265" s="12" t="s">
        <v>2477</v>
      </c>
      <c r="C1265" s="13" t="s">
        <v>23</v>
      </c>
      <c r="D1265" s="40">
        <v>0</v>
      </c>
    </row>
    <row r="1266" spans="1:4" ht="22.5" customHeight="1" x14ac:dyDescent="0.15">
      <c r="A1266" s="16" t="s">
        <v>142</v>
      </c>
      <c r="B1266" s="12" t="s">
        <v>2478</v>
      </c>
      <c r="C1266" s="13" t="s">
        <v>12</v>
      </c>
      <c r="D1266" s="40">
        <v>0</v>
      </c>
    </row>
    <row r="1267" spans="1:4" ht="22.5" customHeight="1" x14ac:dyDescent="0.15">
      <c r="A1267" s="16" t="s">
        <v>15</v>
      </c>
      <c r="B1267" s="12" t="s">
        <v>2479</v>
      </c>
      <c r="C1267" s="13" t="s">
        <v>30</v>
      </c>
      <c r="D1267" s="40">
        <v>0</v>
      </c>
    </row>
    <row r="1268" spans="1:4" ht="22.5" customHeight="1" x14ac:dyDescent="0.15">
      <c r="A1268" s="16" t="s">
        <v>1477</v>
      </c>
      <c r="B1268" s="12" t="s">
        <v>2480</v>
      </c>
      <c r="C1268" s="13" t="s">
        <v>136</v>
      </c>
      <c r="D1268" s="40">
        <v>0</v>
      </c>
    </row>
    <row r="1269" spans="1:4" ht="22.5" customHeight="1" x14ac:dyDescent="0.15">
      <c r="A1269" s="16" t="s">
        <v>249</v>
      </c>
      <c r="B1269" s="12" t="s">
        <v>2481</v>
      </c>
      <c r="C1269" s="13" t="s">
        <v>30</v>
      </c>
      <c r="D1269" s="40">
        <v>0</v>
      </c>
    </row>
    <row r="1270" spans="1:4" ht="22.5" customHeight="1" x14ac:dyDescent="0.15">
      <c r="A1270" s="16" t="s">
        <v>256</v>
      </c>
      <c r="B1270" s="12" t="s">
        <v>2482</v>
      </c>
      <c r="C1270" s="13" t="s">
        <v>12</v>
      </c>
      <c r="D1270" s="40">
        <v>0</v>
      </c>
    </row>
    <row r="1271" spans="1:4" ht="22.5" customHeight="1" x14ac:dyDescent="0.15">
      <c r="A1271" s="16" t="s">
        <v>256</v>
      </c>
      <c r="B1271" s="12" t="s">
        <v>2483</v>
      </c>
      <c r="C1271" s="13" t="s">
        <v>18</v>
      </c>
      <c r="D1271" s="40">
        <v>0</v>
      </c>
    </row>
    <row r="1272" spans="1:4" ht="22.5" customHeight="1" x14ac:dyDescent="0.15">
      <c r="A1272" s="16" t="s">
        <v>1492</v>
      </c>
      <c r="B1272" s="12" t="s">
        <v>2484</v>
      </c>
      <c r="C1272" s="13" t="s">
        <v>219</v>
      </c>
      <c r="D1272" s="40">
        <v>0</v>
      </c>
    </row>
    <row r="1273" spans="1:4" ht="22.5" customHeight="1" x14ac:dyDescent="0.15">
      <c r="A1273" s="16" t="s">
        <v>306</v>
      </c>
      <c r="B1273" s="12" t="s">
        <v>2485</v>
      </c>
      <c r="C1273" s="13" t="s">
        <v>12</v>
      </c>
      <c r="D1273" s="40">
        <v>0</v>
      </c>
    </row>
    <row r="1274" spans="1:4" ht="22.5" customHeight="1" x14ac:dyDescent="0.15">
      <c r="A1274" s="16" t="s">
        <v>654</v>
      </c>
      <c r="B1274" s="12" t="s">
        <v>2486</v>
      </c>
      <c r="C1274" s="13" t="s">
        <v>12</v>
      </c>
      <c r="D1274" s="40">
        <v>0</v>
      </c>
    </row>
    <row r="1275" spans="1:4" ht="22.5" customHeight="1" x14ac:dyDescent="0.15">
      <c r="A1275" s="16" t="s">
        <v>384</v>
      </c>
      <c r="B1275" s="12" t="s">
        <v>2487</v>
      </c>
      <c r="C1275" s="13" t="s">
        <v>88</v>
      </c>
      <c r="D1275" s="40">
        <v>0</v>
      </c>
    </row>
    <row r="1276" spans="1:4" ht="22.5" customHeight="1" x14ac:dyDescent="0.15">
      <c r="A1276" s="16" t="s">
        <v>399</v>
      </c>
      <c r="B1276" s="12" t="s">
        <v>2481</v>
      </c>
      <c r="C1276" s="13" t="s">
        <v>30</v>
      </c>
      <c r="D1276" s="40">
        <v>0</v>
      </c>
    </row>
    <row r="1277" spans="1:4" ht="22.5" customHeight="1" x14ac:dyDescent="0.15">
      <c r="A1277" s="16" t="s">
        <v>429</v>
      </c>
      <c r="B1277" s="12" t="s">
        <v>2488</v>
      </c>
      <c r="C1277" s="13" t="s">
        <v>115</v>
      </c>
      <c r="D1277" s="40">
        <v>0</v>
      </c>
    </row>
    <row r="1278" spans="1:4" ht="22.5" customHeight="1" x14ac:dyDescent="0.15">
      <c r="A1278" s="16" t="s">
        <v>447</v>
      </c>
      <c r="B1278" s="12" t="s">
        <v>2489</v>
      </c>
      <c r="C1278" s="13" t="s">
        <v>30</v>
      </c>
      <c r="D1278" s="40">
        <v>0</v>
      </c>
    </row>
    <row r="1279" spans="1:4" ht="22.5" customHeight="1" x14ac:dyDescent="0.15">
      <c r="A1279" s="16" t="s">
        <v>456</v>
      </c>
      <c r="B1279" s="12" t="s">
        <v>2489</v>
      </c>
      <c r="C1279" s="13" t="s">
        <v>30</v>
      </c>
      <c r="D1279" s="40">
        <v>0</v>
      </c>
    </row>
    <row r="1280" spans="1:4" ht="22.5" customHeight="1" x14ac:dyDescent="0.15">
      <c r="A1280" s="16" t="s">
        <v>497</v>
      </c>
      <c r="B1280" s="12" t="s">
        <v>2490</v>
      </c>
      <c r="C1280" s="13" t="s">
        <v>12</v>
      </c>
      <c r="D1280" s="40">
        <v>0</v>
      </c>
    </row>
    <row r="1281" spans="1:4" ht="22.5" customHeight="1" x14ac:dyDescent="0.15">
      <c r="A1281" s="16" t="s">
        <v>853</v>
      </c>
      <c r="B1281" s="12" t="s">
        <v>2491</v>
      </c>
      <c r="C1281" s="13" t="s">
        <v>342</v>
      </c>
      <c r="D1281" s="40">
        <v>0</v>
      </c>
    </row>
    <row r="1282" spans="1:4" ht="22.5" customHeight="1" x14ac:dyDescent="0.15">
      <c r="A1282" s="16" t="s">
        <v>1933</v>
      </c>
      <c r="B1282" s="12" t="s">
        <v>2492</v>
      </c>
      <c r="C1282" s="13" t="s">
        <v>12</v>
      </c>
      <c r="D1282" s="40">
        <v>0</v>
      </c>
    </row>
    <row r="1283" spans="1:4" ht="22.5" customHeight="1" x14ac:dyDescent="0.15">
      <c r="A1283" s="16" t="s">
        <v>636</v>
      </c>
      <c r="B1283" s="12" t="s">
        <v>2494</v>
      </c>
      <c r="C1283" s="13" t="s">
        <v>30</v>
      </c>
      <c r="D1283" s="40">
        <v>0</v>
      </c>
    </row>
    <row r="1284" spans="1:4" ht="22.5" customHeight="1" x14ac:dyDescent="0.15">
      <c r="A1284" s="16" t="s">
        <v>636</v>
      </c>
      <c r="B1284" s="12" t="s">
        <v>2495</v>
      </c>
      <c r="C1284" s="13" t="s">
        <v>30</v>
      </c>
      <c r="D1284" s="40">
        <v>0</v>
      </c>
    </row>
    <row r="1285" spans="1:4" ht="22.5" customHeight="1" x14ac:dyDescent="0.15">
      <c r="A1285" s="16" t="s">
        <v>129</v>
      </c>
      <c r="B1285" s="12" t="s">
        <v>2496</v>
      </c>
      <c r="C1285" s="13" t="s">
        <v>30</v>
      </c>
      <c r="D1285" s="40">
        <v>0</v>
      </c>
    </row>
    <row r="1286" spans="1:4" ht="22.5" customHeight="1" x14ac:dyDescent="0.15">
      <c r="A1286" s="16" t="s">
        <v>133</v>
      </c>
      <c r="B1286" s="12" t="s">
        <v>2497</v>
      </c>
      <c r="C1286" s="13" t="s">
        <v>30</v>
      </c>
      <c r="D1286" s="40">
        <v>0</v>
      </c>
    </row>
    <row r="1287" spans="1:4" ht="22.5" customHeight="1" x14ac:dyDescent="0.15">
      <c r="A1287" s="16" t="s">
        <v>668</v>
      </c>
      <c r="B1287" s="12" t="s">
        <v>2498</v>
      </c>
      <c r="C1287" s="13" t="s">
        <v>30</v>
      </c>
      <c r="D1287" s="40">
        <v>0</v>
      </c>
    </row>
    <row r="1288" spans="1:4" ht="22.5" customHeight="1" x14ac:dyDescent="0.15">
      <c r="A1288" s="16" t="s">
        <v>668</v>
      </c>
      <c r="B1288" s="12" t="s">
        <v>2499</v>
      </c>
      <c r="C1288" s="13" t="s">
        <v>23</v>
      </c>
      <c r="D1288" s="40">
        <v>0</v>
      </c>
    </row>
    <row r="1289" spans="1:4" ht="22.5" customHeight="1" x14ac:dyDescent="0.15">
      <c r="A1289" s="16" t="s">
        <v>668</v>
      </c>
      <c r="B1289" s="12" t="s">
        <v>2500</v>
      </c>
      <c r="C1289" s="13" t="s">
        <v>77</v>
      </c>
      <c r="D1289" s="40">
        <v>0</v>
      </c>
    </row>
    <row r="1290" spans="1:4" ht="22.5" customHeight="1" x14ac:dyDescent="0.15">
      <c r="A1290" s="16" t="s">
        <v>668</v>
      </c>
      <c r="B1290" s="12" t="s">
        <v>2501</v>
      </c>
      <c r="C1290" s="13" t="s">
        <v>77</v>
      </c>
      <c r="D1290" s="40">
        <v>0</v>
      </c>
    </row>
    <row r="1291" spans="1:4" ht="22.5" customHeight="1" x14ac:dyDescent="0.15">
      <c r="A1291" s="16" t="s">
        <v>672</v>
      </c>
      <c r="B1291" s="12" t="s">
        <v>2502</v>
      </c>
      <c r="C1291" s="13" t="s">
        <v>342</v>
      </c>
      <c r="D1291" s="40">
        <v>0</v>
      </c>
    </row>
    <row r="1292" spans="1:4" ht="22.5" customHeight="1" x14ac:dyDescent="0.15">
      <c r="A1292" s="16" t="s">
        <v>672</v>
      </c>
      <c r="B1292" s="12" t="s">
        <v>2503</v>
      </c>
      <c r="C1292" s="13" t="s">
        <v>30</v>
      </c>
      <c r="D1292" s="40">
        <v>0</v>
      </c>
    </row>
    <row r="1293" spans="1:4" ht="22.5" customHeight="1" x14ac:dyDescent="0.15">
      <c r="A1293" s="16" t="s">
        <v>157</v>
      </c>
      <c r="B1293" s="12" t="s">
        <v>2504</v>
      </c>
      <c r="C1293" s="13" t="s">
        <v>30</v>
      </c>
      <c r="D1293" s="40">
        <v>0</v>
      </c>
    </row>
    <row r="1294" spans="1:4" ht="22.5" customHeight="1" x14ac:dyDescent="0.15">
      <c r="A1294" s="16" t="s">
        <v>157</v>
      </c>
      <c r="B1294" s="12" t="s">
        <v>2505</v>
      </c>
      <c r="C1294" s="13" t="s">
        <v>30</v>
      </c>
      <c r="D1294" s="40">
        <v>0</v>
      </c>
    </row>
    <row r="1295" spans="1:4" ht="22.5" customHeight="1" x14ac:dyDescent="0.15">
      <c r="A1295" s="16" t="s">
        <v>160</v>
      </c>
      <c r="B1295" s="12" t="s">
        <v>2506</v>
      </c>
      <c r="C1295" s="13" t="s">
        <v>115</v>
      </c>
      <c r="D1295" s="40">
        <v>0</v>
      </c>
    </row>
    <row r="1296" spans="1:4" ht="22.5" customHeight="1" x14ac:dyDescent="0.15">
      <c r="A1296" s="16" t="s">
        <v>160</v>
      </c>
      <c r="B1296" s="12" t="s">
        <v>2507</v>
      </c>
      <c r="C1296" s="13" t="s">
        <v>18</v>
      </c>
      <c r="D1296" s="40">
        <v>0</v>
      </c>
    </row>
    <row r="1297" spans="1:4" ht="22.5" customHeight="1" x14ac:dyDescent="0.15">
      <c r="A1297" s="16" t="s">
        <v>781</v>
      </c>
      <c r="B1297" s="12" t="s">
        <v>2508</v>
      </c>
      <c r="C1297" s="13" t="s">
        <v>30</v>
      </c>
      <c r="D1297" s="40">
        <v>0</v>
      </c>
    </row>
    <row r="1298" spans="1:4" ht="22.5" customHeight="1" x14ac:dyDescent="0.15">
      <c r="A1298" s="16" t="s">
        <v>781</v>
      </c>
      <c r="B1298" s="12" t="s">
        <v>2509</v>
      </c>
      <c r="C1298" s="13" t="s">
        <v>30</v>
      </c>
      <c r="D1298" s="40">
        <v>0</v>
      </c>
    </row>
    <row r="1299" spans="1:4" ht="22.5" customHeight="1" x14ac:dyDescent="0.15">
      <c r="A1299" s="16" t="s">
        <v>683</v>
      </c>
      <c r="B1299" s="12" t="s">
        <v>2510</v>
      </c>
      <c r="C1299" s="13" t="s">
        <v>18</v>
      </c>
      <c r="D1299" s="40">
        <v>0</v>
      </c>
    </row>
    <row r="1300" spans="1:4" ht="22.5" customHeight="1" x14ac:dyDescent="0.15">
      <c r="A1300" s="16" t="s">
        <v>683</v>
      </c>
      <c r="B1300" s="12" t="s">
        <v>2510</v>
      </c>
      <c r="C1300" s="13" t="s">
        <v>18</v>
      </c>
      <c r="D1300" s="40">
        <v>0</v>
      </c>
    </row>
    <row r="1301" spans="1:4" ht="22.5" customHeight="1" x14ac:dyDescent="0.15">
      <c r="A1301" s="16" t="s">
        <v>175</v>
      </c>
      <c r="B1301" s="12" t="s">
        <v>2511</v>
      </c>
      <c r="C1301" s="13" t="s">
        <v>136</v>
      </c>
      <c r="D1301" s="40">
        <v>0</v>
      </c>
    </row>
    <row r="1302" spans="1:4" ht="22.5" customHeight="1" x14ac:dyDescent="0.15">
      <c r="A1302" s="16" t="s">
        <v>175</v>
      </c>
      <c r="B1302" s="12" t="s">
        <v>2512</v>
      </c>
      <c r="C1302" s="13" t="s">
        <v>30</v>
      </c>
      <c r="D1302" s="40">
        <v>0</v>
      </c>
    </row>
    <row r="1303" spans="1:4" ht="22.5" customHeight="1" x14ac:dyDescent="0.15">
      <c r="A1303" s="16" t="s">
        <v>175</v>
      </c>
      <c r="B1303" s="12" t="s">
        <v>2513</v>
      </c>
      <c r="C1303" s="13" t="s">
        <v>30</v>
      </c>
      <c r="D1303" s="40">
        <v>0</v>
      </c>
    </row>
    <row r="1304" spans="1:4" ht="22.5" customHeight="1" x14ac:dyDescent="0.15">
      <c r="A1304" s="16" t="s">
        <v>175</v>
      </c>
      <c r="B1304" s="12" t="s">
        <v>2514</v>
      </c>
      <c r="C1304" s="13" t="s">
        <v>30</v>
      </c>
      <c r="D1304" s="40">
        <v>0</v>
      </c>
    </row>
    <row r="1305" spans="1:4" ht="22.5" customHeight="1" x14ac:dyDescent="0.15">
      <c r="A1305" s="16" t="s">
        <v>175</v>
      </c>
      <c r="B1305" s="12" t="s">
        <v>2515</v>
      </c>
      <c r="C1305" s="13" t="s">
        <v>30</v>
      </c>
      <c r="D1305" s="40">
        <v>0</v>
      </c>
    </row>
    <row r="1306" spans="1:4" ht="22.5" customHeight="1" x14ac:dyDescent="0.15">
      <c r="A1306" s="16" t="s">
        <v>175</v>
      </c>
      <c r="B1306" s="12" t="s">
        <v>2516</v>
      </c>
      <c r="C1306" s="13" t="s">
        <v>30</v>
      </c>
      <c r="D1306" s="40">
        <v>0</v>
      </c>
    </row>
    <row r="1307" spans="1:4" ht="22.5" customHeight="1" x14ac:dyDescent="0.15">
      <c r="A1307" s="16" t="s">
        <v>107</v>
      </c>
      <c r="B1307" s="12" t="s">
        <v>2517</v>
      </c>
      <c r="C1307" s="13" t="s">
        <v>77</v>
      </c>
      <c r="D1307" s="40">
        <v>0</v>
      </c>
    </row>
    <row r="1308" spans="1:4" ht="22.5" customHeight="1" x14ac:dyDescent="0.15">
      <c r="A1308" s="16" t="s">
        <v>187</v>
      </c>
      <c r="B1308" s="12" t="s">
        <v>2518</v>
      </c>
      <c r="C1308" s="13" t="s">
        <v>77</v>
      </c>
      <c r="D1308" s="40">
        <v>0</v>
      </c>
    </row>
    <row r="1309" spans="1:4" ht="22.5" customHeight="1" x14ac:dyDescent="0.15">
      <c r="A1309" s="16" t="s">
        <v>187</v>
      </c>
      <c r="B1309" s="12" t="s">
        <v>2519</v>
      </c>
      <c r="C1309" s="13" t="s">
        <v>12</v>
      </c>
      <c r="D1309" s="40">
        <v>0</v>
      </c>
    </row>
    <row r="1310" spans="1:4" ht="22.5" customHeight="1" x14ac:dyDescent="0.15">
      <c r="A1310" s="16" t="s">
        <v>2522</v>
      </c>
      <c r="B1310" s="12" t="s">
        <v>2523</v>
      </c>
      <c r="C1310" s="13" t="s">
        <v>136</v>
      </c>
      <c r="D1310" s="40">
        <v>0</v>
      </c>
    </row>
    <row r="1311" spans="1:4" ht="22.5" customHeight="1" x14ac:dyDescent="0.15">
      <c r="A1311" s="16" t="s">
        <v>75</v>
      </c>
      <c r="B1311" s="12" t="s">
        <v>2524</v>
      </c>
      <c r="C1311" s="13" t="s">
        <v>30</v>
      </c>
      <c r="D1311" s="40">
        <v>0</v>
      </c>
    </row>
    <row r="1312" spans="1:4" ht="22.5" customHeight="1" x14ac:dyDescent="0.15">
      <c r="A1312" s="16" t="s">
        <v>75</v>
      </c>
      <c r="B1312" s="12" t="s">
        <v>2525</v>
      </c>
      <c r="C1312" s="13" t="s">
        <v>83</v>
      </c>
      <c r="D1312" s="40">
        <v>0</v>
      </c>
    </row>
    <row r="1313" spans="1:4" ht="22.5" customHeight="1" x14ac:dyDescent="0.15">
      <c r="A1313" s="16" t="s">
        <v>75</v>
      </c>
      <c r="B1313" s="12" t="s">
        <v>2526</v>
      </c>
      <c r="C1313" s="13" t="s">
        <v>83</v>
      </c>
      <c r="D1313" s="40">
        <v>0</v>
      </c>
    </row>
    <row r="1314" spans="1:4" ht="22.5" customHeight="1" x14ac:dyDescent="0.15">
      <c r="A1314" s="16" t="s">
        <v>75</v>
      </c>
      <c r="B1314" s="12" t="s">
        <v>2527</v>
      </c>
      <c r="C1314" s="13" t="s">
        <v>67</v>
      </c>
      <c r="D1314" s="40">
        <v>0</v>
      </c>
    </row>
    <row r="1315" spans="1:4" ht="22.5" customHeight="1" x14ac:dyDescent="0.15">
      <c r="A1315" s="16" t="s">
        <v>75</v>
      </c>
      <c r="B1315" s="12" t="s">
        <v>2528</v>
      </c>
      <c r="C1315" s="13" t="s">
        <v>67</v>
      </c>
      <c r="D1315" s="40">
        <v>0</v>
      </c>
    </row>
    <row r="1316" spans="1:4" ht="22.5" customHeight="1" x14ac:dyDescent="0.15">
      <c r="A1316" s="16" t="s">
        <v>1456</v>
      </c>
      <c r="B1316" s="12" t="s">
        <v>2529</v>
      </c>
      <c r="C1316" s="13" t="s">
        <v>88</v>
      </c>
      <c r="D1316" s="40">
        <v>0</v>
      </c>
    </row>
    <row r="1317" spans="1:4" ht="22.5" customHeight="1" x14ac:dyDescent="0.15">
      <c r="A1317" s="16" t="s">
        <v>2532</v>
      </c>
      <c r="B1317" s="12" t="s">
        <v>2533</v>
      </c>
      <c r="C1317" s="13" t="s">
        <v>136</v>
      </c>
      <c r="D1317" s="40">
        <v>0</v>
      </c>
    </row>
    <row r="1318" spans="1:4" ht="22.5" customHeight="1" x14ac:dyDescent="0.15">
      <c r="A1318" s="16" t="s">
        <v>207</v>
      </c>
      <c r="B1318" s="12" t="s">
        <v>2534</v>
      </c>
      <c r="C1318" s="13" t="s">
        <v>83</v>
      </c>
      <c r="D1318" s="40">
        <v>0</v>
      </c>
    </row>
    <row r="1319" spans="1:4" ht="22.5" customHeight="1" x14ac:dyDescent="0.15">
      <c r="A1319" s="16" t="s">
        <v>217</v>
      </c>
      <c r="B1319" s="12" t="s">
        <v>2535</v>
      </c>
      <c r="C1319" s="13" t="s">
        <v>12</v>
      </c>
      <c r="D1319" s="40">
        <v>0</v>
      </c>
    </row>
    <row r="1320" spans="1:4" ht="22.5" customHeight="1" x14ac:dyDescent="0.15">
      <c r="A1320" s="16" t="s">
        <v>9</v>
      </c>
      <c r="B1320" s="12" t="s">
        <v>2536</v>
      </c>
      <c r="C1320" s="13" t="s">
        <v>88</v>
      </c>
      <c r="D1320" s="40">
        <v>0</v>
      </c>
    </row>
    <row r="1321" spans="1:4" ht="22.5" customHeight="1" x14ac:dyDescent="0.15">
      <c r="A1321" s="16" t="s">
        <v>9</v>
      </c>
      <c r="B1321" s="12" t="s">
        <v>2537</v>
      </c>
      <c r="C1321" s="13" t="s">
        <v>342</v>
      </c>
      <c r="D1321" s="40">
        <v>0</v>
      </c>
    </row>
    <row r="1322" spans="1:4" ht="22.5" customHeight="1" x14ac:dyDescent="0.15">
      <c r="A1322" s="16" t="s">
        <v>9</v>
      </c>
      <c r="B1322" s="12" t="s">
        <v>2538</v>
      </c>
      <c r="C1322" s="13" t="s">
        <v>30</v>
      </c>
      <c r="D1322" s="40">
        <v>0</v>
      </c>
    </row>
    <row r="1323" spans="1:4" ht="22.5" customHeight="1" x14ac:dyDescent="0.15">
      <c r="A1323" s="16" t="s">
        <v>810</v>
      </c>
      <c r="B1323" s="12" t="s">
        <v>2539</v>
      </c>
      <c r="C1323" s="13" t="s">
        <v>342</v>
      </c>
      <c r="D1323" s="40">
        <v>0</v>
      </c>
    </row>
    <row r="1324" spans="1:4" ht="22.5" customHeight="1" x14ac:dyDescent="0.15">
      <c r="A1324" s="16" t="s">
        <v>810</v>
      </c>
      <c r="B1324" s="12" t="s">
        <v>2540</v>
      </c>
      <c r="C1324" s="13" t="s">
        <v>342</v>
      </c>
      <c r="D1324" s="40">
        <v>0</v>
      </c>
    </row>
    <row r="1325" spans="1:4" ht="22.5" customHeight="1" x14ac:dyDescent="0.15">
      <c r="A1325" s="16" t="s">
        <v>810</v>
      </c>
      <c r="B1325" s="12" t="s">
        <v>2541</v>
      </c>
      <c r="C1325" s="13" t="s">
        <v>88</v>
      </c>
      <c r="D1325" s="40">
        <v>0</v>
      </c>
    </row>
    <row r="1326" spans="1:4" ht="22.5" customHeight="1" x14ac:dyDescent="0.15">
      <c r="A1326" s="16" t="s">
        <v>600</v>
      </c>
      <c r="B1326" s="12" t="s">
        <v>2542</v>
      </c>
      <c r="C1326" s="13" t="s">
        <v>30</v>
      </c>
      <c r="D1326" s="40">
        <v>0</v>
      </c>
    </row>
    <row r="1327" spans="1:4" ht="22.5" customHeight="1" x14ac:dyDescent="0.15">
      <c r="A1327" s="16" t="s">
        <v>15</v>
      </c>
      <c r="B1327" s="12" t="s">
        <v>2543</v>
      </c>
      <c r="C1327" s="13" t="s">
        <v>18</v>
      </c>
      <c r="D1327" s="40">
        <v>0</v>
      </c>
    </row>
    <row r="1328" spans="1:4" ht="22.5" customHeight="1" x14ac:dyDescent="0.15">
      <c r="A1328" s="16" t="s">
        <v>844</v>
      </c>
      <c r="B1328" s="12" t="s">
        <v>2545</v>
      </c>
      <c r="C1328" s="13" t="s">
        <v>115</v>
      </c>
      <c r="D1328" s="40">
        <v>0</v>
      </c>
    </row>
    <row r="1329" spans="1:4" ht="22.5" customHeight="1" x14ac:dyDescent="0.15">
      <c r="A1329" s="16" t="s">
        <v>853</v>
      </c>
      <c r="B1329" s="12" t="s">
        <v>2546</v>
      </c>
      <c r="C1329" s="13" t="s">
        <v>136</v>
      </c>
      <c r="D1329" s="40">
        <v>0</v>
      </c>
    </row>
    <row r="1330" spans="1:4" ht="22.5" customHeight="1" x14ac:dyDescent="0.15">
      <c r="A1330" s="16" t="s">
        <v>2549</v>
      </c>
      <c r="B1330" s="12" t="s">
        <v>2550</v>
      </c>
      <c r="C1330" s="13" t="s">
        <v>30</v>
      </c>
      <c r="D1330" s="40">
        <v>0</v>
      </c>
    </row>
    <row r="1331" spans="1:4" ht="22.5" customHeight="1" x14ac:dyDescent="0.15">
      <c r="A1331" s="16" t="s">
        <v>234</v>
      </c>
      <c r="B1331" s="12" t="s">
        <v>2551</v>
      </c>
      <c r="C1331" s="13" t="s">
        <v>83</v>
      </c>
      <c r="D1331" s="40">
        <v>0</v>
      </c>
    </row>
    <row r="1332" spans="1:4" ht="22.5" customHeight="1" x14ac:dyDescent="0.15">
      <c r="A1332" s="16" t="s">
        <v>234</v>
      </c>
      <c r="B1332" s="12" t="s">
        <v>2552</v>
      </c>
      <c r="C1332" s="13" t="s">
        <v>30</v>
      </c>
      <c r="D1332" s="40">
        <v>0</v>
      </c>
    </row>
    <row r="1333" spans="1:4" ht="22.5" customHeight="1" x14ac:dyDescent="0.15">
      <c r="A1333" s="16" t="s">
        <v>234</v>
      </c>
      <c r="B1333" s="12" t="s">
        <v>2553</v>
      </c>
      <c r="C1333" s="13" t="s">
        <v>30</v>
      </c>
      <c r="D1333" s="40">
        <v>0</v>
      </c>
    </row>
    <row r="1334" spans="1:4" ht="22.5" customHeight="1" x14ac:dyDescent="0.15">
      <c r="A1334" s="16" t="s">
        <v>234</v>
      </c>
      <c r="B1334" s="12" t="s">
        <v>2554</v>
      </c>
      <c r="C1334" s="13" t="s">
        <v>30</v>
      </c>
      <c r="D1334" s="40">
        <v>0</v>
      </c>
    </row>
    <row r="1335" spans="1:4" ht="22.5" customHeight="1" x14ac:dyDescent="0.15">
      <c r="A1335" s="16" t="s">
        <v>234</v>
      </c>
      <c r="B1335" s="12" t="s">
        <v>2555</v>
      </c>
      <c r="C1335" s="13" t="s">
        <v>30</v>
      </c>
      <c r="D1335" s="40">
        <v>0</v>
      </c>
    </row>
    <row r="1336" spans="1:4" ht="22.5" customHeight="1" x14ac:dyDescent="0.15">
      <c r="A1336" s="16" t="s">
        <v>234</v>
      </c>
      <c r="B1336" s="12" t="s">
        <v>2556</v>
      </c>
      <c r="C1336" s="13" t="s">
        <v>30</v>
      </c>
      <c r="D1336" s="40">
        <v>0</v>
      </c>
    </row>
    <row r="1337" spans="1:4" ht="22.5" customHeight="1" x14ac:dyDescent="0.15">
      <c r="A1337" s="16" t="s">
        <v>234</v>
      </c>
      <c r="B1337" s="12" t="s">
        <v>2557</v>
      </c>
      <c r="C1337" s="13" t="s">
        <v>12</v>
      </c>
      <c r="D1337" s="40">
        <v>0</v>
      </c>
    </row>
    <row r="1338" spans="1:4" ht="22.5" customHeight="1" x14ac:dyDescent="0.15">
      <c r="A1338" s="16" t="s">
        <v>234</v>
      </c>
      <c r="B1338" s="12" t="s">
        <v>2558</v>
      </c>
      <c r="C1338" s="13" t="s">
        <v>83</v>
      </c>
      <c r="D1338" s="40">
        <v>0</v>
      </c>
    </row>
    <row r="1339" spans="1:4" ht="22.5" customHeight="1" x14ac:dyDescent="0.15">
      <c r="A1339" s="16" t="s">
        <v>234</v>
      </c>
      <c r="B1339" s="12" t="s">
        <v>2559</v>
      </c>
      <c r="C1339" s="13" t="s">
        <v>30</v>
      </c>
      <c r="D1339" s="40">
        <v>0</v>
      </c>
    </row>
    <row r="1340" spans="1:4" ht="22.5" customHeight="1" x14ac:dyDescent="0.15">
      <c r="A1340" s="16" t="s">
        <v>234</v>
      </c>
      <c r="B1340" s="12" t="s">
        <v>2560</v>
      </c>
      <c r="C1340" s="13" t="s">
        <v>88</v>
      </c>
      <c r="D1340" s="40">
        <v>0</v>
      </c>
    </row>
    <row r="1341" spans="1:4" ht="22.5" customHeight="1" x14ac:dyDescent="0.15">
      <c r="A1341" s="16" t="s">
        <v>234</v>
      </c>
      <c r="B1341" s="12" t="s">
        <v>2561</v>
      </c>
      <c r="C1341" s="13" t="s">
        <v>30</v>
      </c>
      <c r="D1341" s="40">
        <v>0</v>
      </c>
    </row>
    <row r="1342" spans="1:4" ht="22.5" customHeight="1" x14ac:dyDescent="0.15">
      <c r="A1342" s="16" t="s">
        <v>239</v>
      </c>
      <c r="B1342" s="12" t="s">
        <v>2562</v>
      </c>
      <c r="C1342" s="13" t="s">
        <v>30</v>
      </c>
      <c r="D1342" s="40">
        <v>0</v>
      </c>
    </row>
    <row r="1343" spans="1:4" ht="22.5" customHeight="1" x14ac:dyDescent="0.15">
      <c r="A1343" s="16" t="s">
        <v>239</v>
      </c>
      <c r="B1343" s="12" t="s">
        <v>2563</v>
      </c>
      <c r="C1343" s="13" t="s">
        <v>30</v>
      </c>
      <c r="D1343" s="40">
        <v>0</v>
      </c>
    </row>
    <row r="1344" spans="1:4" ht="22.5" customHeight="1" x14ac:dyDescent="0.15">
      <c r="A1344" s="16" t="s">
        <v>256</v>
      </c>
      <c r="B1344" s="12" t="s">
        <v>2564</v>
      </c>
      <c r="C1344" s="13" t="s">
        <v>30</v>
      </c>
      <c r="D1344" s="40">
        <v>0</v>
      </c>
    </row>
    <row r="1345" spans="1:4" ht="22.5" customHeight="1" x14ac:dyDescent="0.15">
      <c r="A1345" s="16" t="s">
        <v>256</v>
      </c>
      <c r="B1345" s="12" t="s">
        <v>2565</v>
      </c>
      <c r="C1345" s="13" t="s">
        <v>83</v>
      </c>
      <c r="D1345" s="40">
        <v>0</v>
      </c>
    </row>
    <row r="1346" spans="1:4" ht="22.5" customHeight="1" x14ac:dyDescent="0.15">
      <c r="A1346" s="16" t="s">
        <v>256</v>
      </c>
      <c r="B1346" s="12" t="s">
        <v>2566</v>
      </c>
      <c r="C1346" s="13" t="s">
        <v>83</v>
      </c>
      <c r="D1346" s="40">
        <v>0</v>
      </c>
    </row>
    <row r="1347" spans="1:4" ht="22.5" customHeight="1" x14ac:dyDescent="0.15">
      <c r="A1347" s="16" t="s">
        <v>256</v>
      </c>
      <c r="B1347" s="12" t="s">
        <v>2567</v>
      </c>
      <c r="C1347" s="13" t="s">
        <v>18</v>
      </c>
      <c r="D1347" s="40">
        <v>0</v>
      </c>
    </row>
    <row r="1348" spans="1:4" ht="22.5" customHeight="1" x14ac:dyDescent="0.15">
      <c r="A1348" s="16" t="s">
        <v>256</v>
      </c>
      <c r="B1348" s="12" t="s">
        <v>2568</v>
      </c>
      <c r="C1348" s="13" t="s">
        <v>88</v>
      </c>
      <c r="D1348" s="40">
        <v>0</v>
      </c>
    </row>
    <row r="1349" spans="1:4" ht="22.5" customHeight="1" x14ac:dyDescent="0.15">
      <c r="A1349" s="16" t="s">
        <v>2571</v>
      </c>
      <c r="B1349" s="12" t="s">
        <v>2572</v>
      </c>
      <c r="C1349" s="13" t="s">
        <v>30</v>
      </c>
      <c r="D1349" s="40">
        <v>0</v>
      </c>
    </row>
    <row r="1350" spans="1:4" ht="22.5" customHeight="1" x14ac:dyDescent="0.15">
      <c r="A1350" s="16" t="s">
        <v>2571</v>
      </c>
      <c r="B1350" s="12" t="s">
        <v>2573</v>
      </c>
      <c r="C1350" s="13" t="s">
        <v>30</v>
      </c>
      <c r="D1350" s="40">
        <v>0</v>
      </c>
    </row>
    <row r="1351" spans="1:4" ht="22.5" customHeight="1" x14ac:dyDescent="0.15">
      <c r="A1351" s="16" t="s">
        <v>916</v>
      </c>
      <c r="B1351" s="12" t="s">
        <v>2574</v>
      </c>
      <c r="C1351" s="13" t="s">
        <v>30</v>
      </c>
      <c r="D1351" s="40">
        <v>0</v>
      </c>
    </row>
    <row r="1352" spans="1:4" ht="22.5" customHeight="1" x14ac:dyDescent="0.15">
      <c r="A1352" s="16" t="s">
        <v>277</v>
      </c>
      <c r="B1352" s="12" t="s">
        <v>2575</v>
      </c>
      <c r="C1352" s="13" t="s">
        <v>30</v>
      </c>
      <c r="D1352" s="40">
        <v>0</v>
      </c>
    </row>
    <row r="1353" spans="1:4" ht="22.5" customHeight="1" x14ac:dyDescent="0.15">
      <c r="A1353" s="16" t="s">
        <v>934</v>
      </c>
      <c r="B1353" s="12" t="s">
        <v>2576</v>
      </c>
      <c r="C1353" s="13" t="s">
        <v>23</v>
      </c>
      <c r="D1353" s="40">
        <v>0</v>
      </c>
    </row>
    <row r="1354" spans="1:4" ht="22.5" customHeight="1" x14ac:dyDescent="0.15">
      <c r="A1354" s="16" t="s">
        <v>289</v>
      </c>
      <c r="B1354" s="12" t="s">
        <v>2577</v>
      </c>
      <c r="C1354" s="13" t="s">
        <v>83</v>
      </c>
      <c r="D1354" s="40">
        <v>0</v>
      </c>
    </row>
    <row r="1355" spans="1:4" ht="22.5" customHeight="1" x14ac:dyDescent="0.15">
      <c r="A1355" s="16" t="s">
        <v>289</v>
      </c>
      <c r="B1355" s="12" t="s">
        <v>2578</v>
      </c>
      <c r="C1355" s="13" t="s">
        <v>18</v>
      </c>
      <c r="D1355" s="40">
        <v>0</v>
      </c>
    </row>
    <row r="1356" spans="1:4" ht="22.5" customHeight="1" x14ac:dyDescent="0.15">
      <c r="A1356" s="16" t="s">
        <v>2156</v>
      </c>
      <c r="B1356" s="12" t="s">
        <v>2579</v>
      </c>
      <c r="C1356" s="13" t="s">
        <v>136</v>
      </c>
      <c r="D1356" s="40">
        <v>0</v>
      </c>
    </row>
    <row r="1357" spans="1:4" ht="22.5" customHeight="1" x14ac:dyDescent="0.15">
      <c r="A1357" s="16" t="s">
        <v>293</v>
      </c>
      <c r="B1357" s="12" t="s">
        <v>2580</v>
      </c>
      <c r="C1357" s="13" t="s">
        <v>30</v>
      </c>
      <c r="D1357" s="40">
        <v>0</v>
      </c>
    </row>
    <row r="1358" spans="1:4" ht="22.5" customHeight="1" x14ac:dyDescent="0.15">
      <c r="A1358" s="16" t="s">
        <v>306</v>
      </c>
      <c r="B1358" s="12" t="s">
        <v>2581</v>
      </c>
      <c r="C1358" s="13" t="s">
        <v>30</v>
      </c>
      <c r="D1358" s="40">
        <v>0</v>
      </c>
    </row>
    <row r="1359" spans="1:4" ht="22.5" customHeight="1" x14ac:dyDescent="0.15">
      <c r="A1359" s="16" t="s">
        <v>955</v>
      </c>
      <c r="B1359" s="12" t="s">
        <v>2582</v>
      </c>
      <c r="C1359" s="13" t="s">
        <v>18</v>
      </c>
      <c r="D1359" s="40">
        <v>0</v>
      </c>
    </row>
    <row r="1360" spans="1:4" ht="22.5" customHeight="1" x14ac:dyDescent="0.15">
      <c r="A1360" s="16" t="s">
        <v>955</v>
      </c>
      <c r="B1360" s="12" t="s">
        <v>2583</v>
      </c>
      <c r="C1360" s="13" t="s">
        <v>30</v>
      </c>
      <c r="D1360" s="40">
        <v>0</v>
      </c>
    </row>
    <row r="1361" spans="1:4" ht="22.5" customHeight="1" x14ac:dyDescent="0.15">
      <c r="A1361" s="16" t="s">
        <v>37</v>
      </c>
      <c r="B1361" s="12" t="s">
        <v>2584</v>
      </c>
      <c r="C1361" s="13" t="s">
        <v>83</v>
      </c>
      <c r="D1361" s="40">
        <v>0</v>
      </c>
    </row>
    <row r="1362" spans="1:4" ht="22.5" customHeight="1" x14ac:dyDescent="0.15">
      <c r="A1362" s="16" t="s">
        <v>327</v>
      </c>
      <c r="B1362" s="12" t="s">
        <v>2585</v>
      </c>
      <c r="C1362" s="13" t="s">
        <v>12</v>
      </c>
      <c r="D1362" s="40">
        <v>0</v>
      </c>
    </row>
    <row r="1363" spans="1:4" ht="22.5" customHeight="1" x14ac:dyDescent="0.15">
      <c r="A1363" s="16" t="s">
        <v>327</v>
      </c>
      <c r="B1363" s="12" t="s">
        <v>2586</v>
      </c>
      <c r="C1363" s="13" t="s">
        <v>30</v>
      </c>
      <c r="D1363" s="40">
        <v>0</v>
      </c>
    </row>
    <row r="1364" spans="1:4" ht="22.5" customHeight="1" x14ac:dyDescent="0.15">
      <c r="A1364" s="16" t="s">
        <v>327</v>
      </c>
      <c r="B1364" s="12" t="s">
        <v>2587</v>
      </c>
      <c r="C1364" s="13" t="s">
        <v>30</v>
      </c>
      <c r="D1364" s="40">
        <v>0</v>
      </c>
    </row>
    <row r="1365" spans="1:4" ht="22.5" customHeight="1" x14ac:dyDescent="0.15">
      <c r="A1365" s="16" t="s">
        <v>327</v>
      </c>
      <c r="B1365" s="12" t="s">
        <v>2588</v>
      </c>
      <c r="C1365" s="13" t="s">
        <v>30</v>
      </c>
      <c r="D1365" s="40">
        <v>0</v>
      </c>
    </row>
    <row r="1366" spans="1:4" ht="22.5" customHeight="1" x14ac:dyDescent="0.15">
      <c r="A1366" s="16" t="s">
        <v>345</v>
      </c>
      <c r="B1366" s="12" t="s">
        <v>2589</v>
      </c>
      <c r="C1366" s="13" t="s">
        <v>136</v>
      </c>
      <c r="D1366" s="40">
        <v>0</v>
      </c>
    </row>
    <row r="1367" spans="1:4" ht="22.5" customHeight="1" x14ac:dyDescent="0.15">
      <c r="A1367" s="16" t="s">
        <v>2184</v>
      </c>
      <c r="B1367" s="12" t="s">
        <v>2590</v>
      </c>
      <c r="C1367" s="13" t="s">
        <v>77</v>
      </c>
      <c r="D1367" s="40">
        <v>0</v>
      </c>
    </row>
    <row r="1368" spans="1:4" ht="22.5" customHeight="1" x14ac:dyDescent="0.15">
      <c r="A1368" s="16" t="s">
        <v>2184</v>
      </c>
      <c r="B1368" s="12" t="s">
        <v>2591</v>
      </c>
      <c r="C1368" s="13" t="s">
        <v>77</v>
      </c>
      <c r="D1368" s="40">
        <v>0</v>
      </c>
    </row>
    <row r="1369" spans="1:4" ht="22.5" customHeight="1" x14ac:dyDescent="0.15">
      <c r="A1369" s="16" t="s">
        <v>2184</v>
      </c>
      <c r="B1369" s="12" t="s">
        <v>2592</v>
      </c>
      <c r="C1369" s="13" t="s">
        <v>77</v>
      </c>
      <c r="D1369" s="40">
        <v>0</v>
      </c>
    </row>
    <row r="1370" spans="1:4" ht="22.5" customHeight="1" x14ac:dyDescent="0.15">
      <c r="A1370" s="16" t="s">
        <v>347</v>
      </c>
      <c r="B1370" s="12" t="s">
        <v>2593</v>
      </c>
      <c r="C1370" s="13" t="s">
        <v>18</v>
      </c>
      <c r="D1370" s="40">
        <v>0</v>
      </c>
    </row>
    <row r="1371" spans="1:4" ht="22.5" customHeight="1" x14ac:dyDescent="0.15">
      <c r="A1371" s="16" t="s">
        <v>351</v>
      </c>
      <c r="B1371" s="12" t="s">
        <v>2594</v>
      </c>
      <c r="C1371" s="13" t="s">
        <v>30</v>
      </c>
      <c r="D1371" s="40">
        <v>0</v>
      </c>
    </row>
    <row r="1372" spans="1:4" ht="22.5" customHeight="1" x14ac:dyDescent="0.15">
      <c r="A1372" s="16" t="s">
        <v>351</v>
      </c>
      <c r="B1372" s="12" t="s">
        <v>2595</v>
      </c>
      <c r="C1372" s="13" t="s">
        <v>342</v>
      </c>
      <c r="D1372" s="40">
        <v>0</v>
      </c>
    </row>
    <row r="1373" spans="1:4" ht="22.5" customHeight="1" x14ac:dyDescent="0.15">
      <c r="A1373" s="16" t="s">
        <v>2598</v>
      </c>
      <c r="B1373" s="12" t="s">
        <v>2599</v>
      </c>
      <c r="C1373" s="13" t="s">
        <v>30</v>
      </c>
      <c r="D1373" s="40">
        <v>0</v>
      </c>
    </row>
    <row r="1374" spans="1:4" ht="22.5" customHeight="1" x14ac:dyDescent="0.15">
      <c r="A1374" s="16" t="s">
        <v>359</v>
      </c>
      <c r="B1374" s="12" t="s">
        <v>2600</v>
      </c>
      <c r="C1374" s="13" t="s">
        <v>513</v>
      </c>
      <c r="D1374" s="40">
        <v>0</v>
      </c>
    </row>
    <row r="1375" spans="1:4" ht="22.5" customHeight="1" x14ac:dyDescent="0.15">
      <c r="A1375" s="16" t="s">
        <v>364</v>
      </c>
      <c r="B1375" s="12" t="s">
        <v>2601</v>
      </c>
      <c r="C1375" s="13" t="s">
        <v>83</v>
      </c>
      <c r="D1375" s="40">
        <v>0</v>
      </c>
    </row>
    <row r="1376" spans="1:4" ht="22.5" customHeight="1" x14ac:dyDescent="0.15">
      <c r="A1376" s="16" t="s">
        <v>2604</v>
      </c>
      <c r="B1376" s="12" t="s">
        <v>2605</v>
      </c>
      <c r="C1376" s="13" t="s">
        <v>136</v>
      </c>
      <c r="D1376" s="40">
        <v>0</v>
      </c>
    </row>
    <row r="1377" spans="1:4" ht="22.5" customHeight="1" x14ac:dyDescent="0.15">
      <c r="A1377" s="16" t="s">
        <v>379</v>
      </c>
      <c r="B1377" s="12" t="s">
        <v>2606</v>
      </c>
      <c r="C1377" s="13" t="s">
        <v>30</v>
      </c>
      <c r="D1377" s="40">
        <v>0</v>
      </c>
    </row>
    <row r="1378" spans="1:4" ht="22.5" customHeight="1" x14ac:dyDescent="0.15">
      <c r="A1378" s="16" t="s">
        <v>379</v>
      </c>
      <c r="B1378" s="12" t="s">
        <v>2607</v>
      </c>
      <c r="C1378" s="13" t="s">
        <v>30</v>
      </c>
      <c r="D1378" s="40">
        <v>0</v>
      </c>
    </row>
    <row r="1379" spans="1:4" ht="22.5" customHeight="1" x14ac:dyDescent="0.15">
      <c r="A1379" s="16" t="s">
        <v>1021</v>
      </c>
      <c r="B1379" s="12" t="s">
        <v>2608</v>
      </c>
      <c r="C1379" s="13" t="s">
        <v>18</v>
      </c>
      <c r="D1379" s="40">
        <v>0</v>
      </c>
    </row>
    <row r="1380" spans="1:4" ht="22.5" customHeight="1" x14ac:dyDescent="0.15">
      <c r="A1380" s="16" t="s">
        <v>1021</v>
      </c>
      <c r="B1380" s="12" t="s">
        <v>2609</v>
      </c>
      <c r="C1380" s="13" t="s">
        <v>83</v>
      </c>
      <c r="D1380" s="40">
        <v>0</v>
      </c>
    </row>
    <row r="1381" spans="1:4" ht="22.5" customHeight="1" x14ac:dyDescent="0.15">
      <c r="A1381" s="16" t="s">
        <v>1021</v>
      </c>
      <c r="B1381" s="12" t="s">
        <v>2610</v>
      </c>
      <c r="C1381" s="13" t="s">
        <v>30</v>
      </c>
      <c r="D1381" s="40">
        <v>0</v>
      </c>
    </row>
    <row r="1382" spans="1:4" ht="22.5" customHeight="1" x14ac:dyDescent="0.15">
      <c r="A1382" s="16" t="s">
        <v>384</v>
      </c>
      <c r="B1382" s="12" t="s">
        <v>2611</v>
      </c>
      <c r="C1382" s="13" t="s">
        <v>136</v>
      </c>
      <c r="D1382" s="40">
        <v>0</v>
      </c>
    </row>
    <row r="1383" spans="1:4" ht="22.5" customHeight="1" x14ac:dyDescent="0.15">
      <c r="A1383" s="16" t="s">
        <v>384</v>
      </c>
      <c r="B1383" s="12" t="s">
        <v>2612</v>
      </c>
      <c r="C1383" s="13" t="s">
        <v>30</v>
      </c>
      <c r="D1383" s="40">
        <v>0</v>
      </c>
    </row>
    <row r="1384" spans="1:4" ht="22.5" customHeight="1" x14ac:dyDescent="0.15">
      <c r="A1384" s="16" t="s">
        <v>384</v>
      </c>
      <c r="B1384" s="12" t="s">
        <v>2613</v>
      </c>
      <c r="C1384" s="13" t="s">
        <v>30</v>
      </c>
      <c r="D1384" s="40">
        <v>0</v>
      </c>
    </row>
    <row r="1385" spans="1:4" ht="22.5" customHeight="1" x14ac:dyDescent="0.15">
      <c r="A1385" s="16" t="s">
        <v>384</v>
      </c>
      <c r="B1385" s="12" t="s">
        <v>2614</v>
      </c>
      <c r="C1385" s="13" t="s">
        <v>83</v>
      </c>
      <c r="D1385" s="40">
        <v>0</v>
      </c>
    </row>
    <row r="1386" spans="1:4" ht="22.5" customHeight="1" x14ac:dyDescent="0.15">
      <c r="A1386" s="16" t="s">
        <v>384</v>
      </c>
      <c r="B1386" s="12" t="s">
        <v>2615</v>
      </c>
      <c r="C1386" s="13" t="s">
        <v>83</v>
      </c>
      <c r="D1386" s="40">
        <v>0</v>
      </c>
    </row>
    <row r="1387" spans="1:4" ht="22.5" customHeight="1" x14ac:dyDescent="0.15">
      <c r="A1387" s="16" t="s">
        <v>384</v>
      </c>
      <c r="B1387" s="12" t="s">
        <v>2616</v>
      </c>
      <c r="C1387" s="13" t="s">
        <v>77</v>
      </c>
      <c r="D1387" s="40">
        <v>0</v>
      </c>
    </row>
    <row r="1388" spans="1:4" ht="22.5" customHeight="1" x14ac:dyDescent="0.15">
      <c r="A1388" s="16" t="s">
        <v>1514</v>
      </c>
      <c r="B1388" s="12" t="s">
        <v>2617</v>
      </c>
      <c r="C1388" s="13" t="s">
        <v>12</v>
      </c>
      <c r="D1388" s="40">
        <v>0</v>
      </c>
    </row>
    <row r="1389" spans="1:4" ht="22.5" customHeight="1" x14ac:dyDescent="0.15">
      <c r="A1389" s="16" t="s">
        <v>1057</v>
      </c>
      <c r="B1389" s="12" t="s">
        <v>2536</v>
      </c>
      <c r="C1389" s="13" t="s">
        <v>88</v>
      </c>
      <c r="D1389" s="40">
        <v>0</v>
      </c>
    </row>
    <row r="1390" spans="1:4" ht="22.5" customHeight="1" x14ac:dyDescent="0.15">
      <c r="A1390" s="16" t="s">
        <v>1057</v>
      </c>
      <c r="B1390" s="12" t="s">
        <v>2537</v>
      </c>
      <c r="C1390" s="13" t="s">
        <v>342</v>
      </c>
      <c r="D1390" s="40">
        <v>0</v>
      </c>
    </row>
    <row r="1391" spans="1:4" ht="22.5" customHeight="1" x14ac:dyDescent="0.15">
      <c r="A1391" s="16" t="s">
        <v>1057</v>
      </c>
      <c r="B1391" s="12" t="s">
        <v>2538</v>
      </c>
      <c r="C1391" s="13" t="s">
        <v>30</v>
      </c>
      <c r="D1391" s="40">
        <v>0</v>
      </c>
    </row>
    <row r="1392" spans="1:4" ht="22.5" customHeight="1" x14ac:dyDescent="0.15">
      <c r="A1392" s="16" t="s">
        <v>391</v>
      </c>
      <c r="B1392" s="12" t="s">
        <v>2618</v>
      </c>
      <c r="C1392" s="13" t="s">
        <v>30</v>
      </c>
      <c r="D1392" s="40">
        <v>0</v>
      </c>
    </row>
    <row r="1393" spans="1:4" ht="22.5" customHeight="1" x14ac:dyDescent="0.15">
      <c r="A1393" s="16" t="s">
        <v>710</v>
      </c>
      <c r="B1393" s="12" t="s">
        <v>2619</v>
      </c>
      <c r="C1393" s="13" t="s">
        <v>30</v>
      </c>
      <c r="D1393" s="40">
        <v>0</v>
      </c>
    </row>
    <row r="1394" spans="1:4" ht="22.5" customHeight="1" x14ac:dyDescent="0.15">
      <c r="A1394" s="16" t="s">
        <v>710</v>
      </c>
      <c r="B1394" s="12" t="s">
        <v>2620</v>
      </c>
      <c r="C1394" s="13" t="s">
        <v>30</v>
      </c>
      <c r="D1394" s="40">
        <v>0</v>
      </c>
    </row>
    <row r="1395" spans="1:4" ht="22.5" customHeight="1" x14ac:dyDescent="0.15">
      <c r="A1395" s="16" t="s">
        <v>395</v>
      </c>
      <c r="B1395" s="12" t="s">
        <v>2621</v>
      </c>
      <c r="C1395" s="13" t="s">
        <v>30</v>
      </c>
      <c r="D1395" s="40">
        <v>0</v>
      </c>
    </row>
    <row r="1396" spans="1:4" ht="22.5" customHeight="1" x14ac:dyDescent="0.15">
      <c r="A1396" s="16" t="s">
        <v>1088</v>
      </c>
      <c r="B1396" s="12" t="s">
        <v>2622</v>
      </c>
      <c r="C1396" s="13" t="s">
        <v>30</v>
      </c>
      <c r="D1396" s="40">
        <v>0</v>
      </c>
    </row>
    <row r="1397" spans="1:4" ht="22.5" customHeight="1" x14ac:dyDescent="0.15">
      <c r="A1397" s="16" t="s">
        <v>1088</v>
      </c>
      <c r="B1397" s="12" t="s">
        <v>2623</v>
      </c>
      <c r="C1397" s="13" t="s">
        <v>30</v>
      </c>
      <c r="D1397" s="40">
        <v>0</v>
      </c>
    </row>
    <row r="1398" spans="1:4" ht="22.5" customHeight="1" x14ac:dyDescent="0.15">
      <c r="A1398" s="16" t="s">
        <v>1088</v>
      </c>
      <c r="B1398" s="12" t="s">
        <v>2624</v>
      </c>
      <c r="C1398" s="13" t="s">
        <v>30</v>
      </c>
      <c r="D1398" s="40">
        <v>0</v>
      </c>
    </row>
    <row r="1399" spans="1:4" ht="22.5" customHeight="1" x14ac:dyDescent="0.15">
      <c r="A1399" s="16" t="s">
        <v>1088</v>
      </c>
      <c r="B1399" s="12" t="s">
        <v>2625</v>
      </c>
      <c r="C1399" s="13" t="s">
        <v>83</v>
      </c>
      <c r="D1399" s="40">
        <v>0</v>
      </c>
    </row>
    <row r="1400" spans="1:4" ht="22.5" customHeight="1" x14ac:dyDescent="0.15">
      <c r="A1400" s="16" t="s">
        <v>1088</v>
      </c>
      <c r="B1400" s="12" t="s">
        <v>2626</v>
      </c>
      <c r="C1400" s="13" t="s">
        <v>83</v>
      </c>
      <c r="D1400" s="40">
        <v>0</v>
      </c>
    </row>
    <row r="1401" spans="1:4" ht="22.5" customHeight="1" x14ac:dyDescent="0.15">
      <c r="A1401" s="16" t="s">
        <v>1088</v>
      </c>
      <c r="B1401" s="12" t="s">
        <v>2627</v>
      </c>
      <c r="C1401" s="13" t="s">
        <v>83</v>
      </c>
      <c r="D1401" s="40">
        <v>0</v>
      </c>
    </row>
    <row r="1402" spans="1:4" ht="22.5" customHeight="1" x14ac:dyDescent="0.15">
      <c r="A1402" s="16" t="s">
        <v>1088</v>
      </c>
      <c r="B1402" s="12" t="s">
        <v>2628</v>
      </c>
      <c r="C1402" s="13" t="s">
        <v>30</v>
      </c>
      <c r="D1402" s="40">
        <v>0</v>
      </c>
    </row>
    <row r="1403" spans="1:4" ht="22.5" customHeight="1" x14ac:dyDescent="0.15">
      <c r="A1403" s="16" t="s">
        <v>1088</v>
      </c>
      <c r="B1403" s="12" t="s">
        <v>2629</v>
      </c>
      <c r="C1403" s="13" t="s">
        <v>30</v>
      </c>
      <c r="D1403" s="40">
        <v>0</v>
      </c>
    </row>
    <row r="1404" spans="1:4" ht="22.5" customHeight="1" x14ac:dyDescent="0.15">
      <c r="A1404" s="16" t="s">
        <v>1088</v>
      </c>
      <c r="B1404" s="12" t="s">
        <v>2630</v>
      </c>
      <c r="C1404" s="13" t="s">
        <v>30</v>
      </c>
      <c r="D1404" s="40">
        <v>0</v>
      </c>
    </row>
    <row r="1405" spans="1:4" ht="22.5" customHeight="1" x14ac:dyDescent="0.15">
      <c r="A1405" s="16" t="s">
        <v>1088</v>
      </c>
      <c r="B1405" s="12" t="s">
        <v>2631</v>
      </c>
      <c r="C1405" s="13" t="s">
        <v>88</v>
      </c>
      <c r="D1405" s="40">
        <v>0</v>
      </c>
    </row>
    <row r="1406" spans="1:4" ht="22.5" customHeight="1" x14ac:dyDescent="0.15">
      <c r="A1406" s="16" t="s">
        <v>1088</v>
      </c>
      <c r="B1406" s="12" t="s">
        <v>2632</v>
      </c>
      <c r="C1406" s="13" t="s">
        <v>88</v>
      </c>
      <c r="D1406" s="40">
        <v>0</v>
      </c>
    </row>
    <row r="1407" spans="1:4" ht="22.5" customHeight="1" x14ac:dyDescent="0.15">
      <c r="A1407" s="16" t="s">
        <v>2635</v>
      </c>
      <c r="B1407" s="12" t="s">
        <v>2636</v>
      </c>
      <c r="C1407" s="13" t="s">
        <v>23</v>
      </c>
      <c r="D1407" s="40">
        <v>0</v>
      </c>
    </row>
    <row r="1408" spans="1:4" ht="22.5" customHeight="1" x14ac:dyDescent="0.15">
      <c r="A1408" s="16" t="s">
        <v>2638</v>
      </c>
      <c r="B1408" s="12" t="s">
        <v>2639</v>
      </c>
      <c r="C1408" s="13" t="s">
        <v>342</v>
      </c>
      <c r="D1408" s="40">
        <v>0</v>
      </c>
    </row>
    <row r="1409" spans="1:4" ht="22.5" customHeight="1" x14ac:dyDescent="0.15">
      <c r="A1409" s="16" t="s">
        <v>2638</v>
      </c>
      <c r="B1409" s="12" t="s">
        <v>2640</v>
      </c>
      <c r="C1409" s="13" t="s">
        <v>219</v>
      </c>
      <c r="D1409" s="40">
        <v>0</v>
      </c>
    </row>
    <row r="1410" spans="1:4" ht="22.5" customHeight="1" x14ac:dyDescent="0.15">
      <c r="A1410" s="16" t="s">
        <v>1094</v>
      </c>
      <c r="B1410" s="12" t="s">
        <v>2641</v>
      </c>
      <c r="C1410" s="13" t="s">
        <v>136</v>
      </c>
      <c r="D1410" s="40">
        <v>0</v>
      </c>
    </row>
    <row r="1411" spans="1:4" ht="22.5" customHeight="1" x14ac:dyDescent="0.15">
      <c r="A1411" s="16" t="s">
        <v>2219</v>
      </c>
      <c r="B1411" s="12" t="s">
        <v>2642</v>
      </c>
      <c r="C1411" s="13" t="s">
        <v>136</v>
      </c>
      <c r="D1411" s="40">
        <v>0</v>
      </c>
    </row>
    <row r="1412" spans="1:4" ht="22.5" customHeight="1" x14ac:dyDescent="0.15">
      <c r="A1412" s="16" t="s">
        <v>2219</v>
      </c>
      <c r="B1412" s="12" t="s">
        <v>2643</v>
      </c>
      <c r="C1412" s="13" t="s">
        <v>30</v>
      </c>
      <c r="D1412" s="40">
        <v>0</v>
      </c>
    </row>
    <row r="1413" spans="1:4" ht="22.5" customHeight="1" x14ac:dyDescent="0.15">
      <c r="A1413" s="16" t="s">
        <v>2219</v>
      </c>
      <c r="B1413" s="12" t="s">
        <v>2644</v>
      </c>
      <c r="C1413" s="13" t="s">
        <v>136</v>
      </c>
      <c r="D1413" s="40">
        <v>0</v>
      </c>
    </row>
    <row r="1414" spans="1:4" ht="22.5" customHeight="1" x14ac:dyDescent="0.15">
      <c r="A1414" s="16" t="s">
        <v>1517</v>
      </c>
      <c r="B1414" s="12" t="s">
        <v>2562</v>
      </c>
      <c r="C1414" s="13" t="s">
        <v>30</v>
      </c>
      <c r="D1414" s="40">
        <v>0</v>
      </c>
    </row>
    <row r="1415" spans="1:4" ht="22.5" customHeight="1" x14ac:dyDescent="0.15">
      <c r="A1415" s="16" t="s">
        <v>1517</v>
      </c>
      <c r="B1415" s="12" t="s">
        <v>2563</v>
      </c>
      <c r="C1415" s="13" t="s">
        <v>30</v>
      </c>
      <c r="D1415" s="40">
        <v>0</v>
      </c>
    </row>
    <row r="1416" spans="1:4" ht="22.5" customHeight="1" x14ac:dyDescent="0.15">
      <c r="A1416" s="16" t="s">
        <v>399</v>
      </c>
      <c r="B1416" s="12" t="s">
        <v>2645</v>
      </c>
      <c r="C1416" s="13" t="s">
        <v>30</v>
      </c>
      <c r="D1416" s="40">
        <v>0</v>
      </c>
    </row>
    <row r="1417" spans="1:4" ht="22.5" customHeight="1" x14ac:dyDescent="0.15">
      <c r="A1417" s="16" t="s">
        <v>94</v>
      </c>
      <c r="B1417" s="12" t="s">
        <v>2646</v>
      </c>
      <c r="C1417" s="13" t="s">
        <v>136</v>
      </c>
      <c r="D1417" s="40">
        <v>0</v>
      </c>
    </row>
    <row r="1418" spans="1:4" ht="22.5" customHeight="1" x14ac:dyDescent="0.15">
      <c r="A1418" s="16" t="s">
        <v>1120</v>
      </c>
      <c r="B1418" s="12" t="s">
        <v>2647</v>
      </c>
      <c r="C1418" s="13" t="s">
        <v>23</v>
      </c>
      <c r="D1418" s="40">
        <v>0</v>
      </c>
    </row>
    <row r="1419" spans="1:4" ht="22.5" customHeight="1" x14ac:dyDescent="0.15">
      <c r="A1419" s="16" t="s">
        <v>1127</v>
      </c>
      <c r="B1419" s="12" t="s">
        <v>2648</v>
      </c>
      <c r="C1419" s="13" t="s">
        <v>23</v>
      </c>
      <c r="D1419" s="40">
        <v>0</v>
      </c>
    </row>
    <row r="1420" spans="1:4" ht="22.5" customHeight="1" x14ac:dyDescent="0.15">
      <c r="A1420" s="16" t="s">
        <v>1127</v>
      </c>
      <c r="B1420" s="12" t="s">
        <v>2649</v>
      </c>
      <c r="C1420" s="13" t="s">
        <v>30</v>
      </c>
      <c r="D1420" s="40">
        <v>0</v>
      </c>
    </row>
    <row r="1421" spans="1:4" ht="22.5" customHeight="1" x14ac:dyDescent="0.15">
      <c r="A1421" s="16" t="s">
        <v>1127</v>
      </c>
      <c r="B1421" s="12" t="s">
        <v>2650</v>
      </c>
      <c r="C1421" s="13" t="s">
        <v>23</v>
      </c>
      <c r="D1421" s="40">
        <v>0</v>
      </c>
    </row>
    <row r="1422" spans="1:4" ht="22.5" customHeight="1" x14ac:dyDescent="0.15">
      <c r="A1422" s="16" t="s">
        <v>1127</v>
      </c>
      <c r="B1422" s="12" t="s">
        <v>2651</v>
      </c>
      <c r="C1422" s="13" t="s">
        <v>342</v>
      </c>
      <c r="D1422" s="40">
        <v>0</v>
      </c>
    </row>
    <row r="1423" spans="1:4" ht="22.5" customHeight="1" x14ac:dyDescent="0.15">
      <c r="A1423" s="16" t="s">
        <v>1139</v>
      </c>
      <c r="B1423" s="12" t="s">
        <v>2652</v>
      </c>
      <c r="C1423" s="13" t="s">
        <v>136</v>
      </c>
      <c r="D1423" s="40">
        <v>0</v>
      </c>
    </row>
    <row r="1424" spans="1:4" ht="22.5" customHeight="1" x14ac:dyDescent="0.15">
      <c r="A1424" s="16" t="s">
        <v>2654</v>
      </c>
      <c r="B1424" s="12" t="s">
        <v>2655</v>
      </c>
      <c r="C1424" s="13" t="s">
        <v>30</v>
      </c>
      <c r="D1424" s="40">
        <v>0</v>
      </c>
    </row>
    <row r="1425" spans="1:4" ht="22.5" customHeight="1" x14ac:dyDescent="0.15">
      <c r="A1425" s="16" t="s">
        <v>2654</v>
      </c>
      <c r="B1425" s="12" t="s">
        <v>2656</v>
      </c>
      <c r="C1425" s="13" t="s">
        <v>30</v>
      </c>
      <c r="D1425" s="40">
        <v>0</v>
      </c>
    </row>
    <row r="1426" spans="1:4" ht="22.5" customHeight="1" x14ac:dyDescent="0.15">
      <c r="A1426" s="16" t="s">
        <v>2654</v>
      </c>
      <c r="B1426" s="12" t="s">
        <v>2657</v>
      </c>
      <c r="C1426" s="13" t="s">
        <v>30</v>
      </c>
      <c r="D1426" s="40">
        <v>0</v>
      </c>
    </row>
    <row r="1427" spans="1:4" ht="22.5" customHeight="1" x14ac:dyDescent="0.15">
      <c r="A1427" s="16" t="s">
        <v>2654</v>
      </c>
      <c r="B1427" s="12" t="s">
        <v>2658</v>
      </c>
      <c r="C1427" s="13" t="s">
        <v>30</v>
      </c>
      <c r="D1427" s="40">
        <v>0</v>
      </c>
    </row>
    <row r="1428" spans="1:4" ht="22.5" customHeight="1" x14ac:dyDescent="0.15">
      <c r="A1428" s="16" t="s">
        <v>1150</v>
      </c>
      <c r="B1428" s="12" t="s">
        <v>2659</v>
      </c>
      <c r="C1428" s="13" t="s">
        <v>88</v>
      </c>
      <c r="D1428" s="40">
        <v>0</v>
      </c>
    </row>
    <row r="1429" spans="1:4" ht="22.5" customHeight="1" x14ac:dyDescent="0.15">
      <c r="A1429" s="16" t="s">
        <v>1155</v>
      </c>
      <c r="B1429" s="12" t="s">
        <v>2576</v>
      </c>
      <c r="C1429" s="13" t="s">
        <v>23</v>
      </c>
      <c r="D1429" s="40">
        <v>0</v>
      </c>
    </row>
    <row r="1430" spans="1:4" ht="22.5" customHeight="1" x14ac:dyDescent="0.15">
      <c r="A1430" s="16" t="s">
        <v>45</v>
      </c>
      <c r="B1430" s="12" t="s">
        <v>2660</v>
      </c>
      <c r="C1430" s="13" t="s">
        <v>513</v>
      </c>
      <c r="D1430" s="40">
        <v>0</v>
      </c>
    </row>
    <row r="1431" spans="1:4" ht="22.5" customHeight="1" x14ac:dyDescent="0.15">
      <c r="A1431" s="16" t="s">
        <v>1161</v>
      </c>
      <c r="B1431" s="12" t="s">
        <v>2661</v>
      </c>
      <c r="C1431" s="13" t="s">
        <v>342</v>
      </c>
      <c r="D1431" s="40">
        <v>0</v>
      </c>
    </row>
    <row r="1432" spans="1:4" ht="22.5" customHeight="1" x14ac:dyDescent="0.15">
      <c r="A1432" s="16" t="s">
        <v>447</v>
      </c>
      <c r="B1432" s="12" t="s">
        <v>2662</v>
      </c>
      <c r="C1432" s="13" t="s">
        <v>30</v>
      </c>
      <c r="D1432" s="40">
        <v>0</v>
      </c>
    </row>
    <row r="1433" spans="1:4" ht="22.5" customHeight="1" x14ac:dyDescent="0.15">
      <c r="A1433" s="16" t="s">
        <v>447</v>
      </c>
      <c r="B1433" s="12" t="s">
        <v>2663</v>
      </c>
      <c r="C1433" s="13" t="s">
        <v>30</v>
      </c>
      <c r="D1433" s="40">
        <v>0</v>
      </c>
    </row>
    <row r="1434" spans="1:4" ht="22.5" customHeight="1" x14ac:dyDescent="0.15">
      <c r="A1434" s="16" t="s">
        <v>447</v>
      </c>
      <c r="B1434" s="12" t="s">
        <v>2664</v>
      </c>
      <c r="C1434" s="13" t="s">
        <v>30</v>
      </c>
      <c r="D1434" s="40">
        <v>0</v>
      </c>
    </row>
    <row r="1435" spans="1:4" ht="22.5" customHeight="1" x14ac:dyDescent="0.15">
      <c r="A1435" s="16" t="s">
        <v>456</v>
      </c>
      <c r="B1435" s="12" t="s">
        <v>2662</v>
      </c>
      <c r="C1435" s="13" t="s">
        <v>30</v>
      </c>
      <c r="D1435" s="40">
        <v>0</v>
      </c>
    </row>
    <row r="1436" spans="1:4" ht="22.5" customHeight="1" x14ac:dyDescent="0.15">
      <c r="A1436" s="16" t="s">
        <v>456</v>
      </c>
      <c r="B1436" s="12" t="s">
        <v>2663</v>
      </c>
      <c r="C1436" s="13" t="s">
        <v>30</v>
      </c>
      <c r="D1436" s="40">
        <v>0</v>
      </c>
    </row>
    <row r="1437" spans="1:4" ht="22.5" customHeight="1" x14ac:dyDescent="0.15">
      <c r="A1437" s="16" t="s">
        <v>456</v>
      </c>
      <c r="B1437" s="12" t="s">
        <v>2664</v>
      </c>
      <c r="C1437" s="13" t="s">
        <v>30</v>
      </c>
      <c r="D1437" s="40">
        <v>0</v>
      </c>
    </row>
    <row r="1438" spans="1:4" ht="22.5" customHeight="1" x14ac:dyDescent="0.15">
      <c r="A1438" s="16" t="s">
        <v>2667</v>
      </c>
      <c r="B1438" s="12" t="s">
        <v>2668</v>
      </c>
      <c r="C1438" s="13" t="s">
        <v>88</v>
      </c>
      <c r="D1438" s="40">
        <v>0</v>
      </c>
    </row>
    <row r="1439" spans="1:4" ht="22.5" customHeight="1" x14ac:dyDescent="0.15">
      <c r="A1439" s="16" t="s">
        <v>2667</v>
      </c>
      <c r="B1439" s="12" t="s">
        <v>2669</v>
      </c>
      <c r="C1439" s="13" t="s">
        <v>136</v>
      </c>
      <c r="D1439" s="40">
        <v>0</v>
      </c>
    </row>
    <row r="1440" spans="1:4" ht="22.5" customHeight="1" x14ac:dyDescent="0.15">
      <c r="A1440" s="16" t="s">
        <v>463</v>
      </c>
      <c r="B1440" s="12" t="s">
        <v>2670</v>
      </c>
      <c r="C1440" s="13" t="s">
        <v>30</v>
      </c>
      <c r="D1440" s="40">
        <v>0</v>
      </c>
    </row>
    <row r="1441" spans="1:4" ht="22.5" customHeight="1" x14ac:dyDescent="0.15">
      <c r="A1441" s="16" t="s">
        <v>463</v>
      </c>
      <c r="B1441" s="12" t="s">
        <v>2585</v>
      </c>
      <c r="C1441" s="13" t="s">
        <v>12</v>
      </c>
      <c r="D1441" s="40">
        <v>0</v>
      </c>
    </row>
    <row r="1442" spans="1:4" ht="22.5" customHeight="1" x14ac:dyDescent="0.15">
      <c r="A1442" s="16" t="s">
        <v>463</v>
      </c>
      <c r="B1442" s="12" t="s">
        <v>2671</v>
      </c>
      <c r="C1442" s="13" t="s">
        <v>30</v>
      </c>
      <c r="D1442" s="40">
        <v>0</v>
      </c>
    </row>
    <row r="1443" spans="1:4" ht="22.5" customHeight="1" x14ac:dyDescent="0.15">
      <c r="A1443" s="16" t="s">
        <v>463</v>
      </c>
      <c r="B1443" s="12" t="s">
        <v>2672</v>
      </c>
      <c r="C1443" s="13" t="s">
        <v>30</v>
      </c>
      <c r="D1443" s="40">
        <v>0</v>
      </c>
    </row>
    <row r="1444" spans="1:4" ht="22.5" customHeight="1" x14ac:dyDescent="0.15">
      <c r="A1444" s="16" t="s">
        <v>463</v>
      </c>
      <c r="B1444" s="12" t="s">
        <v>2673</v>
      </c>
      <c r="C1444" s="13" t="s">
        <v>30</v>
      </c>
      <c r="D1444" s="40">
        <v>0</v>
      </c>
    </row>
    <row r="1445" spans="1:4" ht="22.5" customHeight="1" x14ac:dyDescent="0.15">
      <c r="A1445" s="16" t="s">
        <v>468</v>
      </c>
      <c r="B1445" s="12" t="s">
        <v>2674</v>
      </c>
      <c r="C1445" s="13" t="s">
        <v>30</v>
      </c>
      <c r="D1445" s="40">
        <v>0</v>
      </c>
    </row>
    <row r="1446" spans="1:4" ht="22.5" customHeight="1" x14ac:dyDescent="0.15">
      <c r="A1446" s="16" t="s">
        <v>2260</v>
      </c>
      <c r="B1446" s="12" t="s">
        <v>2675</v>
      </c>
      <c r="C1446" s="13" t="s">
        <v>136</v>
      </c>
      <c r="D1446" s="40">
        <v>0</v>
      </c>
    </row>
    <row r="1447" spans="1:4" ht="22.5" customHeight="1" x14ac:dyDescent="0.15">
      <c r="A1447" s="16" t="s">
        <v>493</v>
      </c>
      <c r="B1447" s="12" t="s">
        <v>2676</v>
      </c>
      <c r="C1447" s="13" t="s">
        <v>77</v>
      </c>
      <c r="D1447" s="40">
        <v>0</v>
      </c>
    </row>
    <row r="1448" spans="1:4" ht="22.5" customHeight="1" x14ac:dyDescent="0.15">
      <c r="A1448" s="16" t="s">
        <v>503</v>
      </c>
      <c r="B1448" s="12" t="s">
        <v>2677</v>
      </c>
      <c r="C1448" s="13" t="s">
        <v>77</v>
      </c>
      <c r="D1448" s="40">
        <v>0</v>
      </c>
    </row>
    <row r="1449" spans="1:4" ht="22.5" customHeight="1" x14ac:dyDescent="0.15">
      <c r="A1449" s="16" t="s">
        <v>2305</v>
      </c>
      <c r="B1449" s="12" t="s">
        <v>2678</v>
      </c>
      <c r="C1449" s="13" t="s">
        <v>18</v>
      </c>
      <c r="D1449" s="40">
        <v>0</v>
      </c>
    </row>
    <row r="1450" spans="1:4" ht="22.5" customHeight="1" x14ac:dyDescent="0.15">
      <c r="A1450" s="16" t="s">
        <v>2305</v>
      </c>
      <c r="B1450" s="12" t="s">
        <v>2679</v>
      </c>
      <c r="C1450" s="13" t="s">
        <v>18</v>
      </c>
      <c r="D1450" s="40">
        <v>0</v>
      </c>
    </row>
    <row r="1451" spans="1:4" ht="22.5" customHeight="1" x14ac:dyDescent="0.15">
      <c r="A1451" s="16" t="s">
        <v>511</v>
      </c>
      <c r="B1451" s="12" t="s">
        <v>2680</v>
      </c>
      <c r="C1451" s="13" t="s">
        <v>88</v>
      </c>
      <c r="D1451" s="40">
        <v>0</v>
      </c>
    </row>
    <row r="1452" spans="1:4" ht="22.5" customHeight="1" x14ac:dyDescent="0.15">
      <c r="A1452" s="16" t="s">
        <v>112</v>
      </c>
      <c r="B1452" s="12" t="s">
        <v>2517</v>
      </c>
      <c r="C1452" s="13" t="s">
        <v>77</v>
      </c>
      <c r="D1452" s="40">
        <v>0</v>
      </c>
    </row>
    <row r="1453" spans="1:4" ht="22.5" customHeight="1" x14ac:dyDescent="0.15">
      <c r="A1453" s="16" t="s">
        <v>2682</v>
      </c>
      <c r="B1453" s="12" t="s">
        <v>2683</v>
      </c>
      <c r="C1453" s="13" t="s">
        <v>12</v>
      </c>
      <c r="D1453" s="40">
        <v>0</v>
      </c>
    </row>
    <row r="1454" spans="1:4" ht="22.5" customHeight="1" x14ac:dyDescent="0.15">
      <c r="A1454" s="16" t="s">
        <v>2682</v>
      </c>
      <c r="B1454" s="12" t="s">
        <v>2684</v>
      </c>
      <c r="C1454" s="13" t="s">
        <v>30</v>
      </c>
      <c r="D1454" s="40">
        <v>0</v>
      </c>
    </row>
    <row r="1455" spans="1:4" ht="22.5" customHeight="1" x14ac:dyDescent="0.15">
      <c r="A1455" s="16" t="s">
        <v>540</v>
      </c>
      <c r="B1455" s="12" t="s">
        <v>2685</v>
      </c>
      <c r="C1455" s="13" t="s">
        <v>83</v>
      </c>
      <c r="D1455" s="40">
        <v>0</v>
      </c>
    </row>
    <row r="1456" spans="1:4" ht="22.5" customHeight="1" x14ac:dyDescent="0.15">
      <c r="A1456" s="16" t="s">
        <v>2330</v>
      </c>
      <c r="B1456" s="12" t="s">
        <v>2686</v>
      </c>
      <c r="C1456" s="13" t="s">
        <v>30</v>
      </c>
      <c r="D1456" s="40">
        <v>0</v>
      </c>
    </row>
    <row r="1457" spans="1:4" ht="22.5" customHeight="1" x14ac:dyDescent="0.15">
      <c r="A1457" s="16" t="s">
        <v>1854</v>
      </c>
      <c r="B1457" s="12" t="s">
        <v>2687</v>
      </c>
      <c r="C1457" s="13" t="s">
        <v>23</v>
      </c>
      <c r="D1457" s="40">
        <v>0</v>
      </c>
    </row>
    <row r="1458" spans="1:4" ht="22.5" customHeight="1" x14ac:dyDescent="0.15">
      <c r="A1458" s="16" t="s">
        <v>1255</v>
      </c>
      <c r="B1458" s="12" t="s">
        <v>2688</v>
      </c>
      <c r="C1458" s="13" t="s">
        <v>23</v>
      </c>
      <c r="D1458" s="40">
        <v>0</v>
      </c>
    </row>
    <row r="1459" spans="1:4" ht="22.5" customHeight="1" x14ac:dyDescent="0.15">
      <c r="A1459" s="16" t="s">
        <v>103</v>
      </c>
      <c r="B1459" s="12" t="s">
        <v>2689</v>
      </c>
      <c r="C1459" s="13" t="s">
        <v>30</v>
      </c>
      <c r="D1459" s="40">
        <v>0</v>
      </c>
    </row>
    <row r="1460" spans="1:4" ht="22.5" customHeight="1" x14ac:dyDescent="0.15">
      <c r="A1460" s="16" t="s">
        <v>2345</v>
      </c>
      <c r="B1460" s="12" t="s">
        <v>2690</v>
      </c>
      <c r="C1460" s="13" t="s">
        <v>30</v>
      </c>
      <c r="D1460" s="40">
        <v>0</v>
      </c>
    </row>
    <row r="1461" spans="1:4" ht="22.5" customHeight="1" x14ac:dyDescent="0.15">
      <c r="A1461" s="16" t="s">
        <v>588</v>
      </c>
      <c r="B1461" s="12" t="s">
        <v>2691</v>
      </c>
      <c r="C1461" s="13" t="s">
        <v>30</v>
      </c>
      <c r="D1461" s="40">
        <v>0</v>
      </c>
    </row>
    <row r="1462" spans="1:4" ht="22.5" customHeight="1" x14ac:dyDescent="0.15">
      <c r="A1462" s="16" t="s">
        <v>597</v>
      </c>
      <c r="B1462" s="12" t="s">
        <v>2692</v>
      </c>
      <c r="C1462" s="13" t="s">
        <v>30</v>
      </c>
      <c r="D1462" s="40">
        <v>0</v>
      </c>
    </row>
    <row r="1463" spans="1:4" ht="22.5" customHeight="1" x14ac:dyDescent="0.15">
      <c r="A1463" s="16" t="s">
        <v>183</v>
      </c>
      <c r="B1463" s="12" t="s">
        <v>2693</v>
      </c>
      <c r="C1463" s="13" t="s">
        <v>30</v>
      </c>
      <c r="D1463" s="40">
        <v>0</v>
      </c>
    </row>
    <row r="1464" spans="1:4" ht="22.5" customHeight="1" x14ac:dyDescent="0.15">
      <c r="A1464" s="16" t="s">
        <v>9</v>
      </c>
      <c r="B1464" s="12" t="s">
        <v>2695</v>
      </c>
      <c r="C1464" s="13" t="s">
        <v>88</v>
      </c>
      <c r="D1464" s="40">
        <v>0</v>
      </c>
    </row>
    <row r="1465" spans="1:4" ht="22.5" customHeight="1" x14ac:dyDescent="0.15">
      <c r="A1465" s="16" t="s">
        <v>946</v>
      </c>
      <c r="B1465" s="12" t="s">
        <v>2696</v>
      </c>
      <c r="C1465" s="13" t="s">
        <v>30</v>
      </c>
      <c r="D1465" s="40">
        <v>0</v>
      </c>
    </row>
    <row r="1466" spans="1:4" ht="22.5" customHeight="1" x14ac:dyDescent="0.15">
      <c r="A1466" s="16" t="s">
        <v>1057</v>
      </c>
      <c r="B1466" s="12" t="s">
        <v>2695</v>
      </c>
      <c r="C1466" s="13" t="s">
        <v>88</v>
      </c>
      <c r="D1466" s="40">
        <v>0</v>
      </c>
    </row>
    <row r="1467" spans="1:4" ht="22.5" customHeight="1" x14ac:dyDescent="0.15">
      <c r="A1467" s="16" t="s">
        <v>277</v>
      </c>
      <c r="B1467" s="12" t="s">
        <v>2697</v>
      </c>
      <c r="C1467" s="13" t="s">
        <v>342</v>
      </c>
      <c r="D1467" s="40">
        <v>0</v>
      </c>
    </row>
    <row r="1468" spans="1:4" ht="22.5" customHeight="1" x14ac:dyDescent="0.15">
      <c r="A1468" s="16" t="s">
        <v>1161</v>
      </c>
      <c r="B1468" s="12" t="s">
        <v>2699</v>
      </c>
      <c r="C1468" s="13" t="s">
        <v>12</v>
      </c>
      <c r="D1468" s="40">
        <v>0</v>
      </c>
    </row>
    <row r="1469" spans="1:4" ht="22.5" customHeight="1" x14ac:dyDescent="0.15">
      <c r="A1469" s="16" t="s">
        <v>384</v>
      </c>
      <c r="B1469" s="12" t="s">
        <v>2700</v>
      </c>
      <c r="C1469" s="13" t="s">
        <v>83</v>
      </c>
      <c r="D1469" s="40">
        <v>0</v>
      </c>
    </row>
    <row r="1470" spans="1:4" ht="22.5" customHeight="1" x14ac:dyDescent="0.15">
      <c r="A1470" s="16" t="s">
        <v>955</v>
      </c>
      <c r="B1470" s="12" t="s">
        <v>2701</v>
      </c>
      <c r="C1470" s="13" t="s">
        <v>18</v>
      </c>
      <c r="D1470" s="40">
        <v>0</v>
      </c>
    </row>
    <row r="1471" spans="1:4" ht="22.5" customHeight="1" x14ac:dyDescent="0.15">
      <c r="A1471" s="16" t="s">
        <v>668</v>
      </c>
      <c r="B1471" s="12" t="s">
        <v>2702</v>
      </c>
      <c r="C1471" s="13" t="s">
        <v>18</v>
      </c>
      <c r="D1471" s="40">
        <v>0</v>
      </c>
    </row>
    <row r="1472" spans="1:4" ht="22.5" customHeight="1" x14ac:dyDescent="0.15">
      <c r="A1472" s="16" t="s">
        <v>781</v>
      </c>
      <c r="B1472" s="12" t="s">
        <v>2703</v>
      </c>
      <c r="C1472" s="13" t="s">
        <v>83</v>
      </c>
      <c r="D1472" s="40">
        <v>0</v>
      </c>
    </row>
    <row r="1473" spans="1:4" ht="22.5" customHeight="1" x14ac:dyDescent="0.15">
      <c r="A1473" s="16" t="s">
        <v>175</v>
      </c>
      <c r="B1473" s="12" t="s">
        <v>2704</v>
      </c>
      <c r="C1473" s="13" t="s">
        <v>342</v>
      </c>
      <c r="D1473" s="40">
        <v>0</v>
      </c>
    </row>
    <row r="1474" spans="1:4" ht="22.5" customHeight="1" x14ac:dyDescent="0.15">
      <c r="A1474" s="16" t="s">
        <v>1463</v>
      </c>
      <c r="B1474" s="12" t="s">
        <v>2705</v>
      </c>
      <c r="C1474" s="13" t="s">
        <v>83</v>
      </c>
      <c r="D1474" s="40">
        <v>0</v>
      </c>
    </row>
    <row r="1475" spans="1:4" ht="22.5" customHeight="1" x14ac:dyDescent="0.15">
      <c r="A1475" s="16" t="s">
        <v>832</v>
      </c>
      <c r="B1475" s="12" t="s">
        <v>2706</v>
      </c>
      <c r="C1475" s="13" t="s">
        <v>342</v>
      </c>
      <c r="D1475" s="40">
        <v>0</v>
      </c>
    </row>
    <row r="1476" spans="1:4" ht="22.5" customHeight="1" x14ac:dyDescent="0.15">
      <c r="A1476" s="16" t="s">
        <v>234</v>
      </c>
      <c r="B1476" s="12" t="s">
        <v>2707</v>
      </c>
      <c r="C1476" s="13" t="s">
        <v>30</v>
      </c>
      <c r="D1476" s="40">
        <v>0</v>
      </c>
    </row>
    <row r="1477" spans="1:4" ht="22.5" customHeight="1" x14ac:dyDescent="0.15">
      <c r="A1477" s="16" t="s">
        <v>234</v>
      </c>
      <c r="B1477" s="12" t="s">
        <v>2708</v>
      </c>
      <c r="C1477" s="13" t="s">
        <v>88</v>
      </c>
      <c r="D1477" s="40">
        <v>0</v>
      </c>
    </row>
    <row r="1478" spans="1:4" ht="22.5" customHeight="1" x14ac:dyDescent="0.15">
      <c r="A1478" s="16" t="s">
        <v>281</v>
      </c>
      <c r="B1478" s="12" t="s">
        <v>2709</v>
      </c>
      <c r="C1478" s="13" t="s">
        <v>30</v>
      </c>
      <c r="D1478" s="40">
        <v>0</v>
      </c>
    </row>
    <row r="1479" spans="1:4" ht="22.5" customHeight="1" x14ac:dyDescent="0.15">
      <c r="A1479" s="16" t="s">
        <v>946</v>
      </c>
      <c r="B1479" s="12" t="s">
        <v>2710</v>
      </c>
      <c r="C1479" s="13" t="s">
        <v>30</v>
      </c>
      <c r="D1479" s="40">
        <v>0</v>
      </c>
    </row>
    <row r="1480" spans="1:4" ht="22.5" customHeight="1" x14ac:dyDescent="0.15">
      <c r="A1480" s="16" t="s">
        <v>946</v>
      </c>
      <c r="B1480" s="12" t="s">
        <v>2711</v>
      </c>
      <c r="C1480" s="13" t="s">
        <v>83</v>
      </c>
      <c r="D1480" s="40">
        <v>0</v>
      </c>
    </row>
    <row r="1481" spans="1:4" ht="22.5" customHeight="1" x14ac:dyDescent="0.15">
      <c r="A1481" s="16" t="s">
        <v>2598</v>
      </c>
      <c r="B1481" s="12" t="s">
        <v>2712</v>
      </c>
      <c r="C1481" s="13" t="s">
        <v>30</v>
      </c>
      <c r="D1481" s="40">
        <v>0</v>
      </c>
    </row>
    <row r="1482" spans="1:4" ht="22.5" customHeight="1" x14ac:dyDescent="0.15">
      <c r="A1482" s="16" t="s">
        <v>658</v>
      </c>
      <c r="B1482" s="12" t="s">
        <v>2713</v>
      </c>
      <c r="C1482" s="13" t="s">
        <v>30</v>
      </c>
      <c r="D1482" s="40">
        <v>0</v>
      </c>
    </row>
    <row r="1483" spans="1:4" ht="22.5" customHeight="1" x14ac:dyDescent="0.15">
      <c r="A1483" s="16" t="s">
        <v>368</v>
      </c>
      <c r="B1483" s="12" t="s">
        <v>2714</v>
      </c>
      <c r="C1483" s="13" t="s">
        <v>30</v>
      </c>
      <c r="D1483" s="40">
        <v>0</v>
      </c>
    </row>
    <row r="1484" spans="1:4" ht="22.5" customHeight="1" x14ac:dyDescent="0.15">
      <c r="A1484" s="16" t="s">
        <v>1013</v>
      </c>
      <c r="B1484" s="12" t="s">
        <v>2715</v>
      </c>
      <c r="C1484" s="13" t="s">
        <v>30</v>
      </c>
      <c r="D1484" s="40">
        <v>0</v>
      </c>
    </row>
    <row r="1485" spans="1:4" ht="22.5" customHeight="1" x14ac:dyDescent="0.15">
      <c r="A1485" s="16" t="s">
        <v>1013</v>
      </c>
      <c r="B1485" s="12" t="s">
        <v>2716</v>
      </c>
      <c r="C1485" s="13" t="s">
        <v>83</v>
      </c>
      <c r="D1485" s="40">
        <v>0</v>
      </c>
    </row>
    <row r="1486" spans="1:4" ht="22.5" customHeight="1" x14ac:dyDescent="0.15">
      <c r="A1486" s="16" t="s">
        <v>1013</v>
      </c>
      <c r="B1486" s="12" t="s">
        <v>2717</v>
      </c>
      <c r="C1486" s="13" t="s">
        <v>83</v>
      </c>
      <c r="D1486" s="40">
        <v>0</v>
      </c>
    </row>
    <row r="1487" spans="1:4" ht="22.5" customHeight="1" x14ac:dyDescent="0.15">
      <c r="A1487" s="16" t="s">
        <v>710</v>
      </c>
      <c r="B1487" s="12" t="s">
        <v>2718</v>
      </c>
      <c r="C1487" s="13" t="s">
        <v>30</v>
      </c>
      <c r="D1487" s="40">
        <v>0</v>
      </c>
    </row>
    <row r="1488" spans="1:4" ht="22.5" customHeight="1" x14ac:dyDescent="0.15">
      <c r="A1488" s="16" t="s">
        <v>2219</v>
      </c>
      <c r="B1488" s="12" t="s">
        <v>2719</v>
      </c>
      <c r="C1488" s="13" t="s">
        <v>136</v>
      </c>
      <c r="D1488" s="40">
        <v>0</v>
      </c>
    </row>
    <row r="1489" spans="1:4" ht="22.5" customHeight="1" x14ac:dyDescent="0.15">
      <c r="A1489" s="16" t="s">
        <v>1127</v>
      </c>
      <c r="B1489" s="12" t="s">
        <v>2720</v>
      </c>
      <c r="C1489" s="13" t="s">
        <v>30</v>
      </c>
      <c r="D1489" s="40">
        <v>0</v>
      </c>
    </row>
    <row r="1490" spans="1:4" ht="22.5" customHeight="1" x14ac:dyDescent="0.15">
      <c r="A1490" s="16" t="s">
        <v>410</v>
      </c>
      <c r="B1490" s="12" t="s">
        <v>2721</v>
      </c>
      <c r="C1490" s="13" t="s">
        <v>30</v>
      </c>
      <c r="D1490" s="40">
        <v>0</v>
      </c>
    </row>
    <row r="1491" spans="1:4" ht="22.5" customHeight="1" x14ac:dyDescent="0.15">
      <c r="A1491" s="16" t="s">
        <v>447</v>
      </c>
      <c r="B1491" s="12" t="s">
        <v>2722</v>
      </c>
      <c r="C1491" s="13" t="s">
        <v>136</v>
      </c>
      <c r="D1491" s="40">
        <v>0</v>
      </c>
    </row>
    <row r="1492" spans="1:4" ht="22.5" customHeight="1" x14ac:dyDescent="0.15">
      <c r="A1492" s="16" t="s">
        <v>456</v>
      </c>
      <c r="B1492" s="12" t="s">
        <v>2722</v>
      </c>
      <c r="C1492" s="13" t="s">
        <v>136</v>
      </c>
      <c r="D1492" s="40">
        <v>0</v>
      </c>
    </row>
    <row r="1493" spans="1:4" ht="22.5" customHeight="1" x14ac:dyDescent="0.15">
      <c r="A1493" s="16" t="s">
        <v>476</v>
      </c>
      <c r="B1493" s="12" t="s">
        <v>2723</v>
      </c>
      <c r="C1493" s="13" t="s">
        <v>23</v>
      </c>
      <c r="D1493" s="40">
        <v>0</v>
      </c>
    </row>
    <row r="1494" spans="1:4" ht="22.5" customHeight="1" x14ac:dyDescent="0.15">
      <c r="A1494" s="16" t="s">
        <v>2330</v>
      </c>
      <c r="B1494" s="12" t="s">
        <v>2724</v>
      </c>
      <c r="C1494" s="13" t="s">
        <v>136</v>
      </c>
      <c r="D1494" s="40">
        <v>0</v>
      </c>
    </row>
    <row r="1495" spans="1:4" ht="22.5" customHeight="1" x14ac:dyDescent="0.15">
      <c r="A1495" s="16" t="s">
        <v>2330</v>
      </c>
      <c r="B1495" s="12" t="s">
        <v>2725</v>
      </c>
      <c r="C1495" s="13" t="s">
        <v>88</v>
      </c>
      <c r="D1495" s="40">
        <v>0</v>
      </c>
    </row>
    <row r="1496" spans="1:4" ht="22.5" customHeight="1" x14ac:dyDescent="0.15">
      <c r="A1496" s="16" t="s">
        <v>179</v>
      </c>
      <c r="B1496" s="12" t="s">
        <v>2726</v>
      </c>
      <c r="C1496" s="13" t="s">
        <v>342</v>
      </c>
      <c r="D1496" s="40">
        <v>0</v>
      </c>
    </row>
    <row r="1497" spans="1:4" ht="22.5" customHeight="1" x14ac:dyDescent="0.15">
      <c r="A1497" s="16" t="s">
        <v>15</v>
      </c>
      <c r="B1497" s="12" t="s">
        <v>2727</v>
      </c>
      <c r="C1497" s="13" t="s">
        <v>18</v>
      </c>
      <c r="D1497" s="40">
        <v>0</v>
      </c>
    </row>
    <row r="1498" spans="1:4" ht="22.5" customHeight="1" x14ac:dyDescent="0.15">
      <c r="A1498" s="16" t="s">
        <v>234</v>
      </c>
      <c r="B1498" s="12" t="s">
        <v>2728</v>
      </c>
      <c r="C1498" s="13" t="s">
        <v>18</v>
      </c>
      <c r="D1498" s="40">
        <v>0</v>
      </c>
    </row>
    <row r="1499" spans="1:4" ht="22.5" customHeight="1" x14ac:dyDescent="0.15">
      <c r="A1499" s="16" t="s">
        <v>351</v>
      </c>
      <c r="B1499" s="12" t="s">
        <v>2729</v>
      </c>
      <c r="C1499" s="13" t="s">
        <v>30</v>
      </c>
      <c r="D1499" s="40">
        <v>0</v>
      </c>
    </row>
    <row r="1500" spans="1:4" ht="22.5" customHeight="1" x14ac:dyDescent="0.15">
      <c r="A1500" s="16" t="s">
        <v>493</v>
      </c>
      <c r="B1500" s="12" t="s">
        <v>2730</v>
      </c>
      <c r="C1500" s="13" t="s">
        <v>77</v>
      </c>
      <c r="D1500" s="40">
        <v>0</v>
      </c>
    </row>
    <row r="1501" spans="1:4" ht="22.5" customHeight="1" x14ac:dyDescent="0.15">
      <c r="A1501" s="16" t="s">
        <v>103</v>
      </c>
      <c r="B1501" s="12" t="s">
        <v>2731</v>
      </c>
      <c r="C1501" s="13" t="s">
        <v>67</v>
      </c>
      <c r="D1501" s="40">
        <v>0</v>
      </c>
    </row>
    <row r="1502" spans="1:4" ht="22.5" customHeight="1" x14ac:dyDescent="0.15">
      <c r="A1502" s="16" t="s">
        <v>256</v>
      </c>
      <c r="B1502" s="12" t="s">
        <v>2732</v>
      </c>
      <c r="C1502" s="13" t="s">
        <v>30</v>
      </c>
      <c r="D1502" s="40">
        <v>0</v>
      </c>
    </row>
    <row r="1503" spans="1:4" ht="22.5" customHeight="1" x14ac:dyDescent="0.15">
      <c r="A1503" s="16" t="s">
        <v>70</v>
      </c>
      <c r="B1503" s="12" t="s">
        <v>2733</v>
      </c>
      <c r="C1503" s="13" t="s">
        <v>30</v>
      </c>
      <c r="D1503" s="40">
        <v>0</v>
      </c>
    </row>
    <row r="1504" spans="1:4" ht="22.5" customHeight="1" x14ac:dyDescent="0.15">
      <c r="A1504" s="16" t="s">
        <v>70</v>
      </c>
      <c r="B1504" s="12" t="s">
        <v>2735</v>
      </c>
      <c r="C1504" s="13" t="s">
        <v>30</v>
      </c>
      <c r="D1504" s="40">
        <v>0</v>
      </c>
    </row>
    <row r="1505" spans="1:4" ht="22.5" customHeight="1" x14ac:dyDescent="0.15">
      <c r="A1505" s="16" t="s">
        <v>70</v>
      </c>
      <c r="B1505" s="12" t="s">
        <v>2737</v>
      </c>
      <c r="C1505" s="13" t="s">
        <v>83</v>
      </c>
      <c r="D1505" s="40">
        <v>0</v>
      </c>
    </row>
    <row r="1506" spans="1:4" ht="22.5" customHeight="1" x14ac:dyDescent="0.15">
      <c r="A1506" s="16" t="s">
        <v>70</v>
      </c>
      <c r="B1506" s="12" t="s">
        <v>2738</v>
      </c>
      <c r="C1506" s="13" t="s">
        <v>30</v>
      </c>
      <c r="D1506" s="40">
        <v>0</v>
      </c>
    </row>
    <row r="1507" spans="1:4" ht="22.5" customHeight="1" x14ac:dyDescent="0.15">
      <c r="A1507" s="16" t="s">
        <v>70</v>
      </c>
      <c r="B1507" s="12" t="s">
        <v>2739</v>
      </c>
      <c r="C1507" s="13" t="s">
        <v>83</v>
      </c>
      <c r="D1507" s="40">
        <v>0</v>
      </c>
    </row>
    <row r="1508" spans="1:4" ht="22.5" customHeight="1" x14ac:dyDescent="0.15">
      <c r="A1508" s="16" t="s">
        <v>2742</v>
      </c>
      <c r="B1508" s="12" t="s">
        <v>2743</v>
      </c>
      <c r="C1508" s="13" t="s">
        <v>12</v>
      </c>
      <c r="D1508" s="40">
        <v>0</v>
      </c>
    </row>
    <row r="1509" spans="1:4" ht="22.5" customHeight="1" x14ac:dyDescent="0.15">
      <c r="A1509" s="16" t="s">
        <v>1925</v>
      </c>
      <c r="B1509" s="12" t="s">
        <v>2744</v>
      </c>
      <c r="C1509" s="13" t="s">
        <v>30</v>
      </c>
      <c r="D1509" s="40">
        <v>0</v>
      </c>
    </row>
    <row r="1510" spans="1:4" ht="22.5" customHeight="1" x14ac:dyDescent="0.15">
      <c r="A1510" s="16" t="s">
        <v>120</v>
      </c>
      <c r="B1510" s="12" t="s">
        <v>2745</v>
      </c>
      <c r="C1510" s="13" t="s">
        <v>83</v>
      </c>
      <c r="D1510" s="40">
        <v>0</v>
      </c>
    </row>
    <row r="1511" spans="1:4" ht="22.5" customHeight="1" x14ac:dyDescent="0.15">
      <c r="A1511" s="16" t="s">
        <v>1404</v>
      </c>
      <c r="B1511" s="12" t="s">
        <v>2746</v>
      </c>
      <c r="C1511" s="13" t="s">
        <v>88</v>
      </c>
      <c r="D1511" s="40">
        <v>0</v>
      </c>
    </row>
    <row r="1512" spans="1:4" ht="22.5" customHeight="1" x14ac:dyDescent="0.15">
      <c r="A1512" s="16" t="s">
        <v>1404</v>
      </c>
      <c r="B1512" s="12" t="s">
        <v>2747</v>
      </c>
      <c r="C1512" s="13" t="s">
        <v>88</v>
      </c>
      <c r="D1512" s="40">
        <v>0</v>
      </c>
    </row>
    <row r="1513" spans="1:4" ht="22.5" customHeight="1" x14ac:dyDescent="0.15">
      <c r="A1513" s="16" t="s">
        <v>725</v>
      </c>
      <c r="B1513" s="12" t="s">
        <v>2748</v>
      </c>
      <c r="C1513" s="13" t="s">
        <v>136</v>
      </c>
      <c r="D1513" s="40">
        <v>0</v>
      </c>
    </row>
    <row r="1514" spans="1:4" ht="22.5" customHeight="1" x14ac:dyDescent="0.15">
      <c r="A1514" s="16" t="s">
        <v>725</v>
      </c>
      <c r="B1514" s="12" t="s">
        <v>2749</v>
      </c>
      <c r="C1514" s="13" t="s">
        <v>136</v>
      </c>
      <c r="D1514" s="40">
        <v>0</v>
      </c>
    </row>
    <row r="1515" spans="1:4" ht="22.5" customHeight="1" x14ac:dyDescent="0.15">
      <c r="A1515" s="16" t="s">
        <v>1933</v>
      </c>
      <c r="B1515" s="12" t="s">
        <v>2750</v>
      </c>
      <c r="C1515" s="13" t="s">
        <v>23</v>
      </c>
      <c r="D1515" s="40">
        <v>0</v>
      </c>
    </row>
    <row r="1516" spans="1:4" ht="22.5" customHeight="1" x14ac:dyDescent="0.15">
      <c r="A1516" s="16" t="s">
        <v>621</v>
      </c>
      <c r="B1516" s="12" t="s">
        <v>2751</v>
      </c>
      <c r="C1516" s="13" t="s">
        <v>83</v>
      </c>
      <c r="D1516" s="40">
        <v>0</v>
      </c>
    </row>
    <row r="1517" spans="1:4" ht="22.5" customHeight="1" x14ac:dyDescent="0.15">
      <c r="A1517" s="16" t="s">
        <v>621</v>
      </c>
      <c r="B1517" s="12" t="s">
        <v>2752</v>
      </c>
      <c r="C1517" s="13" t="s">
        <v>30</v>
      </c>
      <c r="D1517" s="40">
        <v>0</v>
      </c>
    </row>
    <row r="1518" spans="1:4" ht="22.5" customHeight="1" x14ac:dyDescent="0.15">
      <c r="A1518" s="16" t="s">
        <v>621</v>
      </c>
      <c r="B1518" s="12" t="s">
        <v>2753</v>
      </c>
      <c r="C1518" s="13" t="s">
        <v>83</v>
      </c>
      <c r="D1518" s="40">
        <v>0</v>
      </c>
    </row>
    <row r="1519" spans="1:4" ht="22.5" customHeight="1" x14ac:dyDescent="0.15">
      <c r="A1519" s="16" t="s">
        <v>636</v>
      </c>
      <c r="B1519" s="12" t="s">
        <v>2754</v>
      </c>
      <c r="C1519" s="13" t="s">
        <v>30</v>
      </c>
      <c r="D1519" s="40">
        <v>0</v>
      </c>
    </row>
    <row r="1520" spans="1:4" ht="22.5" customHeight="1" x14ac:dyDescent="0.15">
      <c r="A1520" s="16" t="s">
        <v>636</v>
      </c>
      <c r="B1520" s="12" t="s">
        <v>2755</v>
      </c>
      <c r="C1520" s="13" t="s">
        <v>83</v>
      </c>
      <c r="D1520" s="40">
        <v>0</v>
      </c>
    </row>
    <row r="1521" spans="1:4" ht="22.5" customHeight="1" x14ac:dyDescent="0.15">
      <c r="A1521" s="16" t="s">
        <v>129</v>
      </c>
      <c r="B1521" s="12" t="s">
        <v>2756</v>
      </c>
      <c r="C1521" s="13" t="s">
        <v>30</v>
      </c>
      <c r="D1521" s="40">
        <v>0</v>
      </c>
    </row>
    <row r="1522" spans="1:4" ht="22.5" customHeight="1" x14ac:dyDescent="0.15">
      <c r="A1522" s="16" t="s">
        <v>129</v>
      </c>
      <c r="B1522" s="12" t="s">
        <v>2757</v>
      </c>
      <c r="C1522" s="13" t="s">
        <v>30</v>
      </c>
      <c r="D1522" s="40">
        <v>0</v>
      </c>
    </row>
    <row r="1523" spans="1:4" ht="22.5" customHeight="1" x14ac:dyDescent="0.15">
      <c r="A1523" s="16" t="s">
        <v>129</v>
      </c>
      <c r="B1523" s="12" t="s">
        <v>2758</v>
      </c>
      <c r="C1523" s="13" t="s">
        <v>219</v>
      </c>
      <c r="D1523" s="40">
        <v>0</v>
      </c>
    </row>
    <row r="1524" spans="1:4" ht="22.5" customHeight="1" x14ac:dyDescent="0.15">
      <c r="A1524" s="16" t="s">
        <v>129</v>
      </c>
      <c r="B1524" s="12" t="s">
        <v>2759</v>
      </c>
      <c r="C1524" s="13" t="s">
        <v>136</v>
      </c>
      <c r="D1524" s="40">
        <v>0</v>
      </c>
    </row>
    <row r="1525" spans="1:4" ht="22.5" customHeight="1" x14ac:dyDescent="0.15">
      <c r="A1525" s="16" t="s">
        <v>1410</v>
      </c>
      <c r="B1525" s="12" t="s">
        <v>2760</v>
      </c>
      <c r="C1525" s="13" t="s">
        <v>83</v>
      </c>
      <c r="D1525" s="40">
        <v>0</v>
      </c>
    </row>
    <row r="1526" spans="1:4" ht="22.5" customHeight="1" x14ac:dyDescent="0.15">
      <c r="A1526" s="16" t="s">
        <v>133</v>
      </c>
      <c r="B1526" s="12" t="s">
        <v>2761</v>
      </c>
      <c r="C1526" s="13" t="s">
        <v>83</v>
      </c>
      <c r="D1526" s="40">
        <v>0</v>
      </c>
    </row>
    <row r="1527" spans="1:4" ht="22.5" customHeight="1" x14ac:dyDescent="0.15">
      <c r="A1527" s="16" t="s">
        <v>142</v>
      </c>
      <c r="B1527" s="12" t="s">
        <v>2762</v>
      </c>
      <c r="C1527" s="13" t="s">
        <v>88</v>
      </c>
      <c r="D1527" s="40">
        <v>0</v>
      </c>
    </row>
    <row r="1528" spans="1:4" ht="22.5" customHeight="1" x14ac:dyDescent="0.15">
      <c r="A1528" s="16" t="s">
        <v>142</v>
      </c>
      <c r="B1528" s="12" t="s">
        <v>2763</v>
      </c>
      <c r="C1528" s="13" t="s">
        <v>88</v>
      </c>
      <c r="D1528" s="40">
        <v>0</v>
      </c>
    </row>
    <row r="1529" spans="1:4" ht="22.5" customHeight="1" x14ac:dyDescent="0.15">
      <c r="A1529" s="16" t="s">
        <v>668</v>
      </c>
      <c r="B1529" s="12" t="s">
        <v>2764</v>
      </c>
      <c r="C1529" s="13" t="s">
        <v>23</v>
      </c>
      <c r="D1529" s="40">
        <v>0</v>
      </c>
    </row>
    <row r="1530" spans="1:4" ht="22.5" customHeight="1" x14ac:dyDescent="0.15">
      <c r="A1530" s="16" t="s">
        <v>668</v>
      </c>
      <c r="B1530" s="12" t="s">
        <v>2765</v>
      </c>
      <c r="C1530" s="13" t="s">
        <v>77</v>
      </c>
      <c r="D1530" s="40">
        <v>0</v>
      </c>
    </row>
    <row r="1531" spans="1:4" ht="22.5" customHeight="1" x14ac:dyDescent="0.15">
      <c r="A1531" s="16" t="s">
        <v>668</v>
      </c>
      <c r="B1531" s="12" t="s">
        <v>2766</v>
      </c>
      <c r="C1531" s="13" t="s">
        <v>77</v>
      </c>
      <c r="D1531" s="40">
        <v>0</v>
      </c>
    </row>
    <row r="1532" spans="1:4" ht="22.5" customHeight="1" x14ac:dyDescent="0.15">
      <c r="A1532" s="16" t="s">
        <v>668</v>
      </c>
      <c r="B1532" s="12" t="s">
        <v>2767</v>
      </c>
      <c r="C1532" s="13" t="s">
        <v>77</v>
      </c>
      <c r="D1532" s="40">
        <v>0</v>
      </c>
    </row>
    <row r="1533" spans="1:4" ht="22.5" customHeight="1" x14ac:dyDescent="0.15">
      <c r="A1533" s="16" t="s">
        <v>668</v>
      </c>
      <c r="B1533" s="12" t="s">
        <v>2768</v>
      </c>
      <c r="C1533" s="13" t="s">
        <v>18</v>
      </c>
      <c r="D1533" s="40">
        <v>0</v>
      </c>
    </row>
    <row r="1534" spans="1:4" ht="22.5" customHeight="1" x14ac:dyDescent="0.15">
      <c r="A1534" s="16" t="s">
        <v>668</v>
      </c>
      <c r="B1534" s="12" t="s">
        <v>2769</v>
      </c>
      <c r="C1534" s="13" t="s">
        <v>12</v>
      </c>
      <c r="D1534" s="40">
        <v>0</v>
      </c>
    </row>
    <row r="1535" spans="1:4" ht="22.5" customHeight="1" x14ac:dyDescent="0.15">
      <c r="A1535" s="16" t="s">
        <v>672</v>
      </c>
      <c r="B1535" s="12" t="s">
        <v>2770</v>
      </c>
      <c r="C1535" s="13" t="s">
        <v>88</v>
      </c>
      <c r="D1535" s="40">
        <v>0</v>
      </c>
    </row>
    <row r="1536" spans="1:4" ht="22.5" customHeight="1" x14ac:dyDescent="0.15">
      <c r="A1536" s="16" t="s">
        <v>672</v>
      </c>
      <c r="B1536" s="12" t="s">
        <v>2771</v>
      </c>
      <c r="C1536" s="13" t="s">
        <v>23</v>
      </c>
      <c r="D1536" s="40">
        <v>0</v>
      </c>
    </row>
    <row r="1537" spans="1:4" ht="22.5" customHeight="1" x14ac:dyDescent="0.15">
      <c r="A1537" s="16" t="s">
        <v>672</v>
      </c>
      <c r="B1537" s="12" t="s">
        <v>2772</v>
      </c>
      <c r="C1537" s="13" t="s">
        <v>18</v>
      </c>
      <c r="D1537" s="40">
        <v>0</v>
      </c>
    </row>
    <row r="1538" spans="1:4" ht="22.5" customHeight="1" x14ac:dyDescent="0.15">
      <c r="A1538" s="16" t="s">
        <v>672</v>
      </c>
      <c r="B1538" s="12" t="s">
        <v>2774</v>
      </c>
      <c r="C1538" s="13" t="s">
        <v>115</v>
      </c>
      <c r="D1538" s="40">
        <v>0</v>
      </c>
    </row>
    <row r="1539" spans="1:4" ht="22.5" customHeight="1" x14ac:dyDescent="0.15">
      <c r="A1539" s="16" t="s">
        <v>157</v>
      </c>
      <c r="B1539" s="12" t="s">
        <v>2775</v>
      </c>
      <c r="C1539" s="13" t="s">
        <v>23</v>
      </c>
      <c r="D1539" s="40">
        <v>0</v>
      </c>
    </row>
    <row r="1540" spans="1:4" ht="22.5" customHeight="1" x14ac:dyDescent="0.15">
      <c r="A1540" s="16" t="s">
        <v>157</v>
      </c>
      <c r="B1540" s="12" t="s">
        <v>2776</v>
      </c>
      <c r="C1540" s="13" t="s">
        <v>88</v>
      </c>
      <c r="D1540" s="40">
        <v>0</v>
      </c>
    </row>
    <row r="1541" spans="1:4" ht="22.5" customHeight="1" x14ac:dyDescent="0.15">
      <c r="A1541" s="16" t="s">
        <v>160</v>
      </c>
      <c r="B1541" s="12" t="s">
        <v>2777</v>
      </c>
      <c r="C1541" s="13" t="s">
        <v>88</v>
      </c>
      <c r="D1541" s="40">
        <v>0</v>
      </c>
    </row>
    <row r="1542" spans="1:4" ht="22.5" customHeight="1" x14ac:dyDescent="0.15">
      <c r="A1542" s="16" t="s">
        <v>166</v>
      </c>
      <c r="B1542" s="12" t="s">
        <v>2778</v>
      </c>
      <c r="C1542" s="13" t="s">
        <v>88</v>
      </c>
      <c r="D1542" s="40">
        <v>0</v>
      </c>
    </row>
    <row r="1543" spans="1:4" ht="22.5" customHeight="1" x14ac:dyDescent="0.15">
      <c r="A1543" s="16" t="s">
        <v>166</v>
      </c>
      <c r="B1543" s="12" t="s">
        <v>2779</v>
      </c>
      <c r="C1543" s="13" t="s">
        <v>83</v>
      </c>
      <c r="D1543" s="40">
        <v>0</v>
      </c>
    </row>
    <row r="1544" spans="1:4" ht="22.5" customHeight="1" x14ac:dyDescent="0.15">
      <c r="A1544" s="16" t="s">
        <v>166</v>
      </c>
      <c r="B1544" s="12" t="s">
        <v>2780</v>
      </c>
      <c r="C1544" s="13" t="s">
        <v>88</v>
      </c>
      <c r="D1544" s="40">
        <v>0</v>
      </c>
    </row>
    <row r="1545" spans="1:4" ht="22.5" customHeight="1" x14ac:dyDescent="0.15">
      <c r="A1545" s="16" t="s">
        <v>2417</v>
      </c>
      <c r="B1545" s="12" t="s">
        <v>2781</v>
      </c>
      <c r="C1545" s="13" t="s">
        <v>83</v>
      </c>
      <c r="D1545" s="40">
        <v>0</v>
      </c>
    </row>
    <row r="1546" spans="1:4" ht="22.5" customHeight="1" x14ac:dyDescent="0.15">
      <c r="A1546" s="16" t="s">
        <v>2417</v>
      </c>
      <c r="B1546" s="12" t="s">
        <v>2782</v>
      </c>
      <c r="C1546" s="13" t="s">
        <v>30</v>
      </c>
      <c r="D1546" s="40">
        <v>0</v>
      </c>
    </row>
    <row r="1547" spans="1:4" ht="22.5" customHeight="1" x14ac:dyDescent="0.15">
      <c r="A1547" s="16" t="s">
        <v>2417</v>
      </c>
      <c r="B1547" s="12" t="s">
        <v>2783</v>
      </c>
      <c r="C1547" s="13" t="s">
        <v>83</v>
      </c>
      <c r="D1547" s="40">
        <v>0</v>
      </c>
    </row>
    <row r="1548" spans="1:4" ht="22.5" customHeight="1" x14ac:dyDescent="0.15">
      <c r="A1548" s="16" t="s">
        <v>2417</v>
      </c>
      <c r="B1548" s="12" t="s">
        <v>2784</v>
      </c>
      <c r="C1548" s="13" t="s">
        <v>23</v>
      </c>
      <c r="D1548" s="40">
        <v>0</v>
      </c>
    </row>
    <row r="1549" spans="1:4" ht="22.5" customHeight="1" x14ac:dyDescent="0.15">
      <c r="A1549" s="16" t="s">
        <v>781</v>
      </c>
      <c r="B1549" s="12" t="s">
        <v>2785</v>
      </c>
      <c r="C1549" s="13" t="s">
        <v>88</v>
      </c>
      <c r="D1549" s="40">
        <v>0</v>
      </c>
    </row>
    <row r="1550" spans="1:4" ht="22.5" customHeight="1" x14ac:dyDescent="0.15">
      <c r="A1550" s="16" t="s">
        <v>781</v>
      </c>
      <c r="B1550" s="12" t="s">
        <v>2786</v>
      </c>
      <c r="C1550" s="13" t="s">
        <v>77</v>
      </c>
      <c r="D1550" s="40">
        <v>0</v>
      </c>
    </row>
    <row r="1551" spans="1:4" ht="22.5" customHeight="1" x14ac:dyDescent="0.15">
      <c r="A1551" s="16" t="s">
        <v>781</v>
      </c>
      <c r="B1551" s="12" t="s">
        <v>2787</v>
      </c>
      <c r="C1551" s="13" t="s">
        <v>23</v>
      </c>
      <c r="D1551" s="40">
        <v>0</v>
      </c>
    </row>
    <row r="1552" spans="1:4" ht="22.5" customHeight="1" x14ac:dyDescent="0.15">
      <c r="A1552" s="16" t="s">
        <v>2008</v>
      </c>
      <c r="B1552" s="12" t="s">
        <v>2788</v>
      </c>
      <c r="C1552" s="13" t="s">
        <v>30</v>
      </c>
      <c r="D1552" s="40">
        <v>0</v>
      </c>
    </row>
    <row r="1553" spans="1:4" ht="22.5" customHeight="1" x14ac:dyDescent="0.15">
      <c r="A1553" s="16" t="s">
        <v>683</v>
      </c>
      <c r="B1553" s="12" t="s">
        <v>2789</v>
      </c>
      <c r="C1553" s="13" t="s">
        <v>88</v>
      </c>
      <c r="D1553" s="40">
        <v>0</v>
      </c>
    </row>
    <row r="1554" spans="1:4" ht="22.5" customHeight="1" x14ac:dyDescent="0.15">
      <c r="A1554" s="16" t="s">
        <v>683</v>
      </c>
      <c r="B1554" s="12" t="s">
        <v>2790</v>
      </c>
      <c r="C1554" s="13" t="s">
        <v>88</v>
      </c>
      <c r="D1554" s="40">
        <v>0</v>
      </c>
    </row>
    <row r="1555" spans="1:4" ht="22.5" customHeight="1" x14ac:dyDescent="0.15">
      <c r="A1555" s="16" t="s">
        <v>1888</v>
      </c>
      <c r="B1555" s="12" t="s">
        <v>2791</v>
      </c>
      <c r="C1555" s="13" t="s">
        <v>136</v>
      </c>
      <c r="D1555" s="40">
        <v>0</v>
      </c>
    </row>
    <row r="1556" spans="1:4" ht="22.5" customHeight="1" x14ac:dyDescent="0.15">
      <c r="A1556" s="16" t="s">
        <v>170</v>
      </c>
      <c r="B1556" s="12" t="s">
        <v>2792</v>
      </c>
      <c r="C1556" s="13" t="s">
        <v>136</v>
      </c>
      <c r="D1556" s="40">
        <v>0</v>
      </c>
    </row>
    <row r="1557" spans="1:4" ht="22.5" customHeight="1" x14ac:dyDescent="0.15">
      <c r="A1557" s="16" t="s">
        <v>170</v>
      </c>
      <c r="B1557" s="12" t="s">
        <v>2793</v>
      </c>
      <c r="C1557" s="13" t="s">
        <v>12</v>
      </c>
      <c r="D1557" s="40">
        <v>0</v>
      </c>
    </row>
    <row r="1558" spans="1:4" ht="22.5" customHeight="1" x14ac:dyDescent="0.15">
      <c r="A1558" s="16" t="s">
        <v>1687</v>
      </c>
      <c r="B1558" s="12" t="s">
        <v>2794</v>
      </c>
      <c r="C1558" s="13" t="s">
        <v>88</v>
      </c>
      <c r="D1558" s="40">
        <v>0</v>
      </c>
    </row>
    <row r="1559" spans="1:4" ht="22.5" customHeight="1" x14ac:dyDescent="0.15">
      <c r="A1559" s="16" t="s">
        <v>175</v>
      </c>
      <c r="B1559" s="12" t="s">
        <v>2795</v>
      </c>
      <c r="C1559" s="13" t="s">
        <v>136</v>
      </c>
      <c r="D1559" s="40">
        <v>0</v>
      </c>
    </row>
    <row r="1560" spans="1:4" ht="22.5" customHeight="1" x14ac:dyDescent="0.15">
      <c r="A1560" s="16" t="s">
        <v>179</v>
      </c>
      <c r="B1560" s="12" t="s">
        <v>2796</v>
      </c>
      <c r="C1560" s="13" t="s">
        <v>219</v>
      </c>
      <c r="D1560" s="40">
        <v>0</v>
      </c>
    </row>
    <row r="1561" spans="1:4" ht="22.5" customHeight="1" x14ac:dyDescent="0.15">
      <c r="A1561" s="16" t="s">
        <v>107</v>
      </c>
      <c r="B1561" s="12" t="s">
        <v>2797</v>
      </c>
      <c r="C1561" s="13" t="s">
        <v>88</v>
      </c>
      <c r="D1561" s="40">
        <v>0</v>
      </c>
    </row>
    <row r="1562" spans="1:4" ht="22.5" customHeight="1" x14ac:dyDescent="0.15">
      <c r="A1562" s="16" t="s">
        <v>107</v>
      </c>
      <c r="B1562" s="12" t="s">
        <v>2798</v>
      </c>
      <c r="C1562" s="13" t="s">
        <v>23</v>
      </c>
      <c r="D1562" s="40">
        <v>0</v>
      </c>
    </row>
    <row r="1563" spans="1:4" ht="22.5" customHeight="1" x14ac:dyDescent="0.15">
      <c r="A1563" s="16" t="s">
        <v>107</v>
      </c>
      <c r="B1563" s="12" t="s">
        <v>2799</v>
      </c>
      <c r="C1563" s="13" t="s">
        <v>23</v>
      </c>
      <c r="D1563" s="40">
        <v>0</v>
      </c>
    </row>
    <row r="1564" spans="1:4" ht="22.5" customHeight="1" x14ac:dyDescent="0.15">
      <c r="A1564" s="16" t="s">
        <v>107</v>
      </c>
      <c r="B1564" s="12" t="s">
        <v>2800</v>
      </c>
      <c r="C1564" s="13" t="s">
        <v>83</v>
      </c>
      <c r="D1564" s="40">
        <v>0</v>
      </c>
    </row>
    <row r="1565" spans="1:4" ht="22.5" customHeight="1" x14ac:dyDescent="0.15">
      <c r="A1565" s="15" t="s">
        <v>183</v>
      </c>
      <c r="B1565" s="12" t="s">
        <v>2801</v>
      </c>
      <c r="C1565" s="13" t="s">
        <v>30</v>
      </c>
      <c r="D1565" s="40">
        <v>0</v>
      </c>
    </row>
    <row r="1566" spans="1:4" ht="22.5" customHeight="1" x14ac:dyDescent="0.15">
      <c r="A1566" s="16" t="s">
        <v>190</v>
      </c>
      <c r="B1566" s="12" t="s">
        <v>2802</v>
      </c>
      <c r="C1566" s="13" t="s">
        <v>12</v>
      </c>
      <c r="D1566" s="40">
        <v>0</v>
      </c>
    </row>
    <row r="1567" spans="1:4" ht="22.5" customHeight="1" x14ac:dyDescent="0.15">
      <c r="A1567" s="16" t="s">
        <v>190</v>
      </c>
      <c r="B1567" s="12" t="s">
        <v>2803</v>
      </c>
      <c r="C1567" s="13" t="s">
        <v>136</v>
      </c>
      <c r="D1567" s="40">
        <v>0</v>
      </c>
    </row>
    <row r="1568" spans="1:4" ht="22.5" customHeight="1" x14ac:dyDescent="0.15">
      <c r="A1568" s="16" t="s">
        <v>788</v>
      </c>
      <c r="B1568" s="12" t="s">
        <v>2804</v>
      </c>
      <c r="C1568" s="13" t="s">
        <v>23</v>
      </c>
      <c r="D1568" s="40">
        <v>0</v>
      </c>
    </row>
    <row r="1569" spans="1:4" ht="22.5" customHeight="1" x14ac:dyDescent="0.15">
      <c r="A1569" s="16" t="s">
        <v>788</v>
      </c>
      <c r="B1569" s="12" t="s">
        <v>2805</v>
      </c>
      <c r="C1569" s="13" t="s">
        <v>136</v>
      </c>
      <c r="D1569" s="40">
        <v>0</v>
      </c>
    </row>
    <row r="1570" spans="1:4" ht="22.5" customHeight="1" x14ac:dyDescent="0.15">
      <c r="A1570" s="16" t="s">
        <v>1697</v>
      </c>
      <c r="B1570" s="12" t="s">
        <v>2806</v>
      </c>
      <c r="C1570" s="13" t="s">
        <v>30</v>
      </c>
      <c r="D1570" s="40">
        <v>0</v>
      </c>
    </row>
    <row r="1571" spans="1:4" ht="22.5" customHeight="1" x14ac:dyDescent="0.15">
      <c r="A1571" s="16" t="s">
        <v>2809</v>
      </c>
      <c r="B1571" s="12" t="s">
        <v>2810</v>
      </c>
      <c r="C1571" s="13" t="s">
        <v>83</v>
      </c>
      <c r="D1571" s="40">
        <v>0</v>
      </c>
    </row>
    <row r="1572" spans="1:4" ht="22.5" customHeight="1" x14ac:dyDescent="0.15">
      <c r="A1572" s="16" t="s">
        <v>75</v>
      </c>
      <c r="B1572" s="12" t="s">
        <v>2811</v>
      </c>
      <c r="C1572" s="13" t="s">
        <v>18</v>
      </c>
      <c r="D1572" s="40">
        <v>0</v>
      </c>
    </row>
    <row r="1573" spans="1:4" ht="22.5" customHeight="1" x14ac:dyDescent="0.15">
      <c r="A1573" s="16" t="s">
        <v>75</v>
      </c>
      <c r="B1573" s="12" t="s">
        <v>2812</v>
      </c>
      <c r="C1573" s="13" t="s">
        <v>77</v>
      </c>
      <c r="D1573" s="40">
        <v>0</v>
      </c>
    </row>
    <row r="1574" spans="1:4" ht="22.5" customHeight="1" x14ac:dyDescent="0.15">
      <c r="A1574" s="16" t="s">
        <v>75</v>
      </c>
      <c r="B1574" s="12" t="s">
        <v>2813</v>
      </c>
      <c r="C1574" s="13" t="s">
        <v>77</v>
      </c>
      <c r="D1574" s="40">
        <v>0</v>
      </c>
    </row>
    <row r="1575" spans="1:4" ht="22.5" customHeight="1" x14ac:dyDescent="0.15">
      <c r="A1575" s="16" t="s">
        <v>2814</v>
      </c>
      <c r="B1575" s="12" t="s">
        <v>2815</v>
      </c>
      <c r="C1575" s="13" t="s">
        <v>88</v>
      </c>
      <c r="D1575" s="40">
        <v>0</v>
      </c>
    </row>
    <row r="1576" spans="1:4" ht="22.5" customHeight="1" x14ac:dyDescent="0.15">
      <c r="A1576" s="16" t="s">
        <v>2814</v>
      </c>
      <c r="B1576" s="12" t="s">
        <v>2816</v>
      </c>
      <c r="C1576" s="13" t="s">
        <v>88</v>
      </c>
      <c r="D1576" s="40">
        <v>0</v>
      </c>
    </row>
    <row r="1577" spans="1:4" ht="22.5" customHeight="1" x14ac:dyDescent="0.15">
      <c r="A1577" s="16" t="s">
        <v>207</v>
      </c>
      <c r="B1577" s="12" t="s">
        <v>2817</v>
      </c>
      <c r="C1577" s="13" t="s">
        <v>77</v>
      </c>
      <c r="D1577" s="40">
        <v>0</v>
      </c>
    </row>
    <row r="1578" spans="1:4" ht="22.5" customHeight="1" x14ac:dyDescent="0.15">
      <c r="A1578" s="16" t="s">
        <v>217</v>
      </c>
      <c r="B1578" s="12" t="s">
        <v>2818</v>
      </c>
      <c r="C1578" s="13" t="s">
        <v>88</v>
      </c>
      <c r="D1578" s="40">
        <v>0</v>
      </c>
    </row>
    <row r="1579" spans="1:4" ht="22.5" customHeight="1" x14ac:dyDescent="0.15">
      <c r="A1579" s="16" t="s">
        <v>217</v>
      </c>
      <c r="B1579" s="12" t="s">
        <v>2819</v>
      </c>
      <c r="C1579" s="13" t="s">
        <v>12</v>
      </c>
      <c r="D1579" s="40">
        <v>0</v>
      </c>
    </row>
    <row r="1580" spans="1:4" ht="22.5" customHeight="1" x14ac:dyDescent="0.15">
      <c r="A1580" s="16" t="s">
        <v>9</v>
      </c>
      <c r="B1580" s="12" t="s">
        <v>2820</v>
      </c>
      <c r="C1580" s="13" t="s">
        <v>23</v>
      </c>
      <c r="D1580" s="40">
        <v>0</v>
      </c>
    </row>
    <row r="1581" spans="1:4" ht="22.5" customHeight="1" x14ac:dyDescent="0.15">
      <c r="A1581" s="16" t="s">
        <v>9</v>
      </c>
      <c r="B1581" s="12" t="s">
        <v>2821</v>
      </c>
      <c r="C1581" s="13" t="s">
        <v>18</v>
      </c>
      <c r="D1581" s="40">
        <v>0</v>
      </c>
    </row>
    <row r="1582" spans="1:4" ht="22.5" customHeight="1" x14ac:dyDescent="0.15">
      <c r="A1582" s="16" t="s">
        <v>9</v>
      </c>
      <c r="B1582" s="12" t="s">
        <v>2822</v>
      </c>
      <c r="C1582" s="13" t="s">
        <v>136</v>
      </c>
      <c r="D1582" s="40">
        <v>0</v>
      </c>
    </row>
    <row r="1583" spans="1:4" ht="22.5" customHeight="1" x14ac:dyDescent="0.15">
      <c r="A1583" s="16" t="s">
        <v>810</v>
      </c>
      <c r="B1583" s="12" t="s">
        <v>2823</v>
      </c>
      <c r="C1583" s="13" t="s">
        <v>18</v>
      </c>
      <c r="D1583" s="40">
        <v>0</v>
      </c>
    </row>
    <row r="1584" spans="1:4" ht="22.5" customHeight="1" x14ac:dyDescent="0.15">
      <c r="A1584" s="16" t="s">
        <v>822</v>
      </c>
      <c r="B1584" s="12" t="s">
        <v>2824</v>
      </c>
      <c r="C1584" s="13" t="s">
        <v>30</v>
      </c>
      <c r="D1584" s="40">
        <v>0</v>
      </c>
    </row>
    <row r="1585" spans="1:4" ht="22.5" customHeight="1" x14ac:dyDescent="0.15">
      <c r="A1585" s="16" t="s">
        <v>822</v>
      </c>
      <c r="B1585" s="12" t="s">
        <v>2825</v>
      </c>
      <c r="C1585" s="13" t="s">
        <v>136</v>
      </c>
      <c r="D1585" s="40">
        <v>0</v>
      </c>
    </row>
    <row r="1586" spans="1:4" ht="22.5" customHeight="1" x14ac:dyDescent="0.15">
      <c r="A1586" s="16" t="s">
        <v>827</v>
      </c>
      <c r="B1586" s="12" t="s">
        <v>2826</v>
      </c>
      <c r="C1586" s="13" t="s">
        <v>30</v>
      </c>
      <c r="D1586" s="40">
        <v>0</v>
      </c>
    </row>
    <row r="1587" spans="1:4" ht="22.5" customHeight="1" x14ac:dyDescent="0.15">
      <c r="A1587" s="16" t="s">
        <v>827</v>
      </c>
      <c r="B1587" s="12" t="s">
        <v>2827</v>
      </c>
      <c r="C1587" s="13" t="s">
        <v>88</v>
      </c>
      <c r="D1587" s="40">
        <v>0</v>
      </c>
    </row>
    <row r="1588" spans="1:4" ht="22.5" customHeight="1" x14ac:dyDescent="0.15">
      <c r="A1588" s="16" t="s">
        <v>827</v>
      </c>
      <c r="B1588" s="12" t="s">
        <v>2828</v>
      </c>
      <c r="C1588" s="13" t="s">
        <v>12</v>
      </c>
      <c r="D1588" s="40">
        <v>0</v>
      </c>
    </row>
    <row r="1589" spans="1:4" ht="22.5" customHeight="1" x14ac:dyDescent="0.15">
      <c r="A1589" s="16" t="s">
        <v>2831</v>
      </c>
      <c r="B1589" s="12" t="s">
        <v>2832</v>
      </c>
      <c r="C1589" s="13" t="s">
        <v>83</v>
      </c>
      <c r="D1589" s="40">
        <v>0</v>
      </c>
    </row>
    <row r="1590" spans="1:4" ht="22.5" customHeight="1" x14ac:dyDescent="0.15">
      <c r="A1590" s="16" t="s">
        <v>2831</v>
      </c>
      <c r="B1590" s="12" t="s">
        <v>2833</v>
      </c>
      <c r="C1590" s="13" t="s">
        <v>30</v>
      </c>
      <c r="D1590" s="40">
        <v>0</v>
      </c>
    </row>
    <row r="1591" spans="1:4" ht="22.5" customHeight="1" x14ac:dyDescent="0.15">
      <c r="A1591" s="16" t="s">
        <v>15</v>
      </c>
      <c r="B1591" s="12" t="s">
        <v>2834</v>
      </c>
      <c r="C1591" s="13" t="s">
        <v>18</v>
      </c>
      <c r="D1591" s="40">
        <v>0</v>
      </c>
    </row>
    <row r="1592" spans="1:4" ht="22.5" customHeight="1" x14ac:dyDescent="0.15">
      <c r="A1592" s="16" t="s">
        <v>832</v>
      </c>
      <c r="B1592" s="12" t="s">
        <v>2835</v>
      </c>
      <c r="C1592" s="13" t="s">
        <v>23</v>
      </c>
      <c r="D1592" s="40">
        <v>0</v>
      </c>
    </row>
    <row r="1593" spans="1:4" ht="22.5" customHeight="1" x14ac:dyDescent="0.15">
      <c r="A1593" s="16" t="s">
        <v>848</v>
      </c>
      <c r="B1593" s="12" t="s">
        <v>2836</v>
      </c>
      <c r="C1593" s="13" t="s">
        <v>88</v>
      </c>
      <c r="D1593" s="40">
        <v>0</v>
      </c>
    </row>
    <row r="1594" spans="1:4" ht="22.5" customHeight="1" x14ac:dyDescent="0.15">
      <c r="A1594" s="16" t="s">
        <v>853</v>
      </c>
      <c r="B1594" s="12" t="s">
        <v>2837</v>
      </c>
      <c r="C1594" s="13" t="s">
        <v>12</v>
      </c>
      <c r="D1594" s="40">
        <v>0</v>
      </c>
    </row>
    <row r="1595" spans="1:4" ht="22.5" customHeight="1" x14ac:dyDescent="0.15">
      <c r="A1595" s="16" t="s">
        <v>234</v>
      </c>
      <c r="B1595" s="12" t="s">
        <v>2838</v>
      </c>
      <c r="C1595" s="13" t="s">
        <v>18</v>
      </c>
      <c r="D1595" s="40">
        <v>0</v>
      </c>
    </row>
    <row r="1596" spans="1:4" ht="22.5" customHeight="1" x14ac:dyDescent="0.15">
      <c r="A1596" s="16" t="s">
        <v>234</v>
      </c>
      <c r="B1596" s="12" t="s">
        <v>2839</v>
      </c>
      <c r="C1596" s="13" t="s">
        <v>136</v>
      </c>
      <c r="D1596" s="40">
        <v>0</v>
      </c>
    </row>
    <row r="1597" spans="1:4" ht="22.5" customHeight="1" x14ac:dyDescent="0.15">
      <c r="A1597" s="16" t="s">
        <v>234</v>
      </c>
      <c r="B1597" s="12" t="s">
        <v>2840</v>
      </c>
      <c r="C1597" s="13" t="s">
        <v>30</v>
      </c>
      <c r="D1597" s="40">
        <v>0</v>
      </c>
    </row>
    <row r="1598" spans="1:4" ht="22.5" customHeight="1" x14ac:dyDescent="0.15">
      <c r="A1598" s="16" t="s">
        <v>234</v>
      </c>
      <c r="B1598" s="12" t="s">
        <v>2841</v>
      </c>
      <c r="C1598" s="13" t="s">
        <v>30</v>
      </c>
      <c r="D1598" s="40">
        <v>0</v>
      </c>
    </row>
    <row r="1599" spans="1:4" ht="22.5" customHeight="1" x14ac:dyDescent="0.15">
      <c r="A1599" s="16" t="s">
        <v>234</v>
      </c>
      <c r="B1599" s="12" t="s">
        <v>2842</v>
      </c>
      <c r="C1599" s="13" t="s">
        <v>83</v>
      </c>
      <c r="D1599" s="40">
        <v>0</v>
      </c>
    </row>
    <row r="1600" spans="1:4" ht="22.5" customHeight="1" x14ac:dyDescent="0.15">
      <c r="A1600" s="16" t="s">
        <v>234</v>
      </c>
      <c r="B1600" s="12" t="s">
        <v>2843</v>
      </c>
      <c r="C1600" s="13" t="s">
        <v>18</v>
      </c>
      <c r="D1600" s="40">
        <v>0</v>
      </c>
    </row>
    <row r="1601" spans="1:4" ht="22.5" customHeight="1" x14ac:dyDescent="0.15">
      <c r="A1601" s="16" t="s">
        <v>234</v>
      </c>
      <c r="B1601" s="12" t="s">
        <v>2844</v>
      </c>
      <c r="C1601" s="13" t="s">
        <v>83</v>
      </c>
      <c r="D1601" s="40">
        <v>0</v>
      </c>
    </row>
    <row r="1602" spans="1:4" ht="22.5" customHeight="1" x14ac:dyDescent="0.15">
      <c r="A1602" s="16" t="s">
        <v>234</v>
      </c>
      <c r="B1602" s="12" t="s">
        <v>2845</v>
      </c>
      <c r="C1602" s="13" t="s">
        <v>83</v>
      </c>
      <c r="D1602" s="40">
        <v>0</v>
      </c>
    </row>
    <row r="1603" spans="1:4" ht="22.5" customHeight="1" x14ac:dyDescent="0.15">
      <c r="A1603" s="16" t="s">
        <v>234</v>
      </c>
      <c r="B1603" s="12" t="s">
        <v>2846</v>
      </c>
      <c r="C1603" s="13" t="s">
        <v>23</v>
      </c>
      <c r="D1603" s="40">
        <v>0</v>
      </c>
    </row>
    <row r="1604" spans="1:4" ht="22.5" customHeight="1" x14ac:dyDescent="0.15">
      <c r="A1604" s="16" t="s">
        <v>234</v>
      </c>
      <c r="B1604" s="12" t="s">
        <v>2847</v>
      </c>
      <c r="C1604" s="13" t="s">
        <v>136</v>
      </c>
      <c r="D1604" s="40">
        <v>0</v>
      </c>
    </row>
    <row r="1605" spans="1:4" ht="22.5" customHeight="1" x14ac:dyDescent="0.15">
      <c r="A1605" s="16" t="s">
        <v>234</v>
      </c>
      <c r="B1605" s="12" t="s">
        <v>2848</v>
      </c>
      <c r="C1605" s="13" t="s">
        <v>88</v>
      </c>
      <c r="D1605" s="40">
        <v>0</v>
      </c>
    </row>
    <row r="1606" spans="1:4" ht="22.5" customHeight="1" x14ac:dyDescent="0.15">
      <c r="A1606" s="16" t="s">
        <v>234</v>
      </c>
      <c r="B1606" s="12" t="s">
        <v>2849</v>
      </c>
      <c r="C1606" s="13" t="s">
        <v>30</v>
      </c>
      <c r="D1606" s="40">
        <v>0</v>
      </c>
    </row>
    <row r="1607" spans="1:4" ht="22.5" customHeight="1" x14ac:dyDescent="0.15">
      <c r="A1607" s="16" t="s">
        <v>234</v>
      </c>
      <c r="B1607" s="12" t="s">
        <v>2850</v>
      </c>
      <c r="C1607" s="13" t="s">
        <v>342</v>
      </c>
      <c r="D1607" s="40">
        <v>0</v>
      </c>
    </row>
    <row r="1608" spans="1:4" ht="22.5" customHeight="1" x14ac:dyDescent="0.15">
      <c r="A1608" s="16" t="s">
        <v>234</v>
      </c>
      <c r="B1608" s="12" t="s">
        <v>2851</v>
      </c>
      <c r="C1608" s="13" t="s">
        <v>88</v>
      </c>
      <c r="D1608" s="40">
        <v>0</v>
      </c>
    </row>
    <row r="1609" spans="1:4" ht="22.5" customHeight="1" x14ac:dyDescent="0.15">
      <c r="A1609" s="16" t="s">
        <v>869</v>
      </c>
      <c r="B1609" s="12" t="s">
        <v>2852</v>
      </c>
      <c r="C1609" s="13" t="s">
        <v>136</v>
      </c>
      <c r="D1609" s="40">
        <v>0</v>
      </c>
    </row>
    <row r="1610" spans="1:4" ht="22.5" customHeight="1" x14ac:dyDescent="0.15">
      <c r="A1610" s="16" t="s">
        <v>239</v>
      </c>
      <c r="B1610" s="12" t="s">
        <v>2853</v>
      </c>
      <c r="C1610" s="13" t="s">
        <v>12</v>
      </c>
      <c r="D1610" s="40">
        <v>0</v>
      </c>
    </row>
    <row r="1611" spans="1:4" ht="22.5" customHeight="1" x14ac:dyDescent="0.15">
      <c r="A1611" s="16" t="s">
        <v>239</v>
      </c>
      <c r="B1611" s="12" t="s">
        <v>2854</v>
      </c>
      <c r="C1611" s="13" t="s">
        <v>136</v>
      </c>
      <c r="D1611" s="40">
        <v>0</v>
      </c>
    </row>
    <row r="1612" spans="1:4" ht="22.5" customHeight="1" x14ac:dyDescent="0.15">
      <c r="A1612" s="16" t="s">
        <v>249</v>
      </c>
      <c r="B1612" s="12" t="s">
        <v>2855</v>
      </c>
      <c r="C1612" s="13" t="s">
        <v>67</v>
      </c>
      <c r="D1612" s="40">
        <v>0</v>
      </c>
    </row>
    <row r="1613" spans="1:4" ht="22.5" customHeight="1" x14ac:dyDescent="0.15">
      <c r="A1613" s="16" t="s">
        <v>249</v>
      </c>
      <c r="B1613" s="12" t="s">
        <v>2856</v>
      </c>
      <c r="C1613" s="13" t="s">
        <v>88</v>
      </c>
      <c r="D1613" s="40">
        <v>0</v>
      </c>
    </row>
    <row r="1614" spans="1:4" ht="22.5" customHeight="1" x14ac:dyDescent="0.15">
      <c r="A1614" s="16" t="s">
        <v>249</v>
      </c>
      <c r="B1614" s="12" t="s">
        <v>2857</v>
      </c>
      <c r="C1614" s="13" t="s">
        <v>88</v>
      </c>
      <c r="D1614" s="40">
        <v>0</v>
      </c>
    </row>
    <row r="1615" spans="1:4" ht="22.5" customHeight="1" x14ac:dyDescent="0.15">
      <c r="A1615" s="16" t="s">
        <v>1485</v>
      </c>
      <c r="B1615" s="12" t="s">
        <v>2858</v>
      </c>
      <c r="C1615" s="13" t="s">
        <v>219</v>
      </c>
      <c r="D1615" s="40">
        <v>0</v>
      </c>
    </row>
    <row r="1616" spans="1:4" ht="22.5" customHeight="1" x14ac:dyDescent="0.15">
      <c r="A1616" s="16" t="s">
        <v>1739</v>
      </c>
      <c r="B1616" s="12" t="s">
        <v>2859</v>
      </c>
      <c r="C1616" s="13" t="s">
        <v>219</v>
      </c>
      <c r="D1616" s="40">
        <v>0</v>
      </c>
    </row>
    <row r="1617" spans="1:4" ht="22.5" customHeight="1" x14ac:dyDescent="0.15">
      <c r="A1617" s="16" t="s">
        <v>256</v>
      </c>
      <c r="B1617" s="12" t="s">
        <v>2860</v>
      </c>
      <c r="C1617" s="13" t="s">
        <v>136</v>
      </c>
      <c r="D1617" s="40">
        <v>0</v>
      </c>
    </row>
    <row r="1618" spans="1:4" ht="22.5" customHeight="1" x14ac:dyDescent="0.15">
      <c r="A1618" s="16" t="s">
        <v>256</v>
      </c>
      <c r="B1618" s="12" t="s">
        <v>2861</v>
      </c>
      <c r="C1618" s="13" t="s">
        <v>18</v>
      </c>
      <c r="D1618" s="40">
        <v>0</v>
      </c>
    </row>
    <row r="1619" spans="1:4" ht="22.5" customHeight="1" x14ac:dyDescent="0.15">
      <c r="A1619" s="16" t="s">
        <v>32</v>
      </c>
      <c r="B1619" s="12" t="s">
        <v>2862</v>
      </c>
      <c r="C1619" s="13" t="s">
        <v>88</v>
      </c>
      <c r="D1619" s="40">
        <v>0</v>
      </c>
    </row>
    <row r="1620" spans="1:4" ht="22.5" customHeight="1" x14ac:dyDescent="0.15">
      <c r="A1620" s="16" t="s">
        <v>32</v>
      </c>
      <c r="B1620" s="12" t="s">
        <v>2863</v>
      </c>
      <c r="C1620" s="13" t="s">
        <v>30</v>
      </c>
      <c r="D1620" s="40">
        <v>0</v>
      </c>
    </row>
    <row r="1621" spans="1:4" ht="22.5" customHeight="1" x14ac:dyDescent="0.15">
      <c r="A1621" s="16" t="s">
        <v>934</v>
      </c>
      <c r="B1621" s="12" t="s">
        <v>2864</v>
      </c>
      <c r="C1621" s="13" t="s">
        <v>83</v>
      </c>
      <c r="D1621" s="40">
        <v>0</v>
      </c>
    </row>
    <row r="1622" spans="1:4" ht="22.5" customHeight="1" x14ac:dyDescent="0.15">
      <c r="A1622" s="16" t="s">
        <v>289</v>
      </c>
      <c r="B1622" s="12" t="s">
        <v>2865</v>
      </c>
      <c r="C1622" s="13" t="s">
        <v>30</v>
      </c>
      <c r="D1622" s="40">
        <v>0</v>
      </c>
    </row>
    <row r="1623" spans="1:4" ht="22.5" customHeight="1" x14ac:dyDescent="0.15">
      <c r="A1623" s="16" t="s">
        <v>946</v>
      </c>
      <c r="B1623" s="12" t="s">
        <v>2866</v>
      </c>
      <c r="C1623" s="13" t="s">
        <v>83</v>
      </c>
      <c r="D1623" s="40">
        <v>0</v>
      </c>
    </row>
    <row r="1624" spans="1:4" ht="22.5" customHeight="1" x14ac:dyDescent="0.15">
      <c r="A1624" s="16" t="s">
        <v>946</v>
      </c>
      <c r="B1624" s="12" t="s">
        <v>2867</v>
      </c>
      <c r="C1624" s="13" t="s">
        <v>23</v>
      </c>
      <c r="D1624" s="40">
        <v>0</v>
      </c>
    </row>
    <row r="1625" spans="1:4" ht="22.5" customHeight="1" x14ac:dyDescent="0.15">
      <c r="A1625" s="16" t="s">
        <v>946</v>
      </c>
      <c r="B1625" s="12" t="s">
        <v>2868</v>
      </c>
      <c r="C1625" s="13" t="s">
        <v>23</v>
      </c>
      <c r="D1625" s="40">
        <v>0</v>
      </c>
    </row>
    <row r="1626" spans="1:4" ht="22.5" customHeight="1" x14ac:dyDescent="0.15">
      <c r="A1626" s="16" t="s">
        <v>946</v>
      </c>
      <c r="B1626" s="12" t="s">
        <v>2869</v>
      </c>
      <c r="C1626" s="13" t="s">
        <v>23</v>
      </c>
      <c r="D1626" s="40">
        <v>0</v>
      </c>
    </row>
    <row r="1627" spans="1:4" ht="22.5" customHeight="1" x14ac:dyDescent="0.15">
      <c r="A1627" s="16" t="s">
        <v>946</v>
      </c>
      <c r="B1627" s="12" t="s">
        <v>2870</v>
      </c>
      <c r="C1627" s="13" t="s">
        <v>88</v>
      </c>
      <c r="D1627" s="40">
        <v>0</v>
      </c>
    </row>
    <row r="1628" spans="1:4" ht="22.5" customHeight="1" x14ac:dyDescent="0.15">
      <c r="A1628" s="16" t="s">
        <v>950</v>
      </c>
      <c r="B1628" s="12" t="s">
        <v>2871</v>
      </c>
      <c r="C1628" s="13" t="s">
        <v>83</v>
      </c>
      <c r="D1628" s="40">
        <v>0</v>
      </c>
    </row>
    <row r="1629" spans="1:4" ht="22.5" customHeight="1" x14ac:dyDescent="0.15">
      <c r="A1629" s="16" t="s">
        <v>950</v>
      </c>
      <c r="B1629" s="12" t="s">
        <v>2872</v>
      </c>
      <c r="C1629" s="13" t="s">
        <v>12</v>
      </c>
      <c r="D1629" s="40">
        <v>0</v>
      </c>
    </row>
    <row r="1630" spans="1:4" ht="22.5" customHeight="1" x14ac:dyDescent="0.15">
      <c r="A1630" s="16" t="s">
        <v>950</v>
      </c>
      <c r="B1630" s="12" t="s">
        <v>2873</v>
      </c>
      <c r="C1630" s="13" t="s">
        <v>30</v>
      </c>
      <c r="D1630" s="40">
        <v>0</v>
      </c>
    </row>
    <row r="1631" spans="1:4" ht="22.5" customHeight="1" x14ac:dyDescent="0.15">
      <c r="A1631" s="16" t="s">
        <v>298</v>
      </c>
      <c r="B1631" s="12" t="s">
        <v>2874</v>
      </c>
      <c r="C1631" s="13" t="s">
        <v>77</v>
      </c>
      <c r="D1631" s="40">
        <v>0</v>
      </c>
    </row>
    <row r="1632" spans="1:4" ht="22.5" customHeight="1" x14ac:dyDescent="0.15">
      <c r="A1632" s="16" t="s">
        <v>298</v>
      </c>
      <c r="B1632" s="12" t="s">
        <v>2875</v>
      </c>
      <c r="C1632" s="13" t="s">
        <v>12</v>
      </c>
      <c r="D1632" s="40">
        <v>0</v>
      </c>
    </row>
    <row r="1633" spans="1:4" ht="22.5" customHeight="1" x14ac:dyDescent="0.15">
      <c r="A1633" s="16" t="s">
        <v>298</v>
      </c>
      <c r="B1633" s="12" t="s">
        <v>2876</v>
      </c>
      <c r="C1633" s="13" t="s">
        <v>88</v>
      </c>
      <c r="D1633" s="40">
        <v>0</v>
      </c>
    </row>
    <row r="1634" spans="1:4" ht="22.5" customHeight="1" x14ac:dyDescent="0.15">
      <c r="A1634" s="16" t="s">
        <v>298</v>
      </c>
      <c r="B1634" s="12" t="s">
        <v>2877</v>
      </c>
      <c r="C1634" s="13" t="s">
        <v>136</v>
      </c>
      <c r="D1634" s="40">
        <v>0</v>
      </c>
    </row>
    <row r="1635" spans="1:4" ht="22.5" customHeight="1" x14ac:dyDescent="0.15">
      <c r="A1635" s="16" t="s">
        <v>298</v>
      </c>
      <c r="B1635" s="12" t="s">
        <v>2878</v>
      </c>
      <c r="C1635" s="13" t="s">
        <v>88</v>
      </c>
      <c r="D1635" s="40">
        <v>0</v>
      </c>
    </row>
    <row r="1636" spans="1:4" ht="22.5" customHeight="1" x14ac:dyDescent="0.15">
      <c r="A1636" s="16" t="s">
        <v>303</v>
      </c>
      <c r="B1636" s="12" t="s">
        <v>2879</v>
      </c>
      <c r="C1636" s="13" t="s">
        <v>83</v>
      </c>
      <c r="D1636" s="40">
        <v>0</v>
      </c>
    </row>
    <row r="1637" spans="1:4" ht="22.5" customHeight="1" x14ac:dyDescent="0.15">
      <c r="A1637" s="16" t="s">
        <v>303</v>
      </c>
      <c r="B1637" s="12" t="s">
        <v>2880</v>
      </c>
      <c r="C1637" s="13" t="s">
        <v>12</v>
      </c>
      <c r="D1637" s="40">
        <v>0</v>
      </c>
    </row>
    <row r="1638" spans="1:4" ht="22.5" customHeight="1" x14ac:dyDescent="0.15">
      <c r="A1638" s="16" t="s">
        <v>955</v>
      </c>
      <c r="B1638" s="12" t="s">
        <v>2881</v>
      </c>
      <c r="C1638" s="13" t="s">
        <v>18</v>
      </c>
      <c r="D1638" s="40">
        <v>0</v>
      </c>
    </row>
    <row r="1639" spans="1:4" ht="22.5" customHeight="1" x14ac:dyDescent="0.15">
      <c r="A1639" s="16" t="s">
        <v>955</v>
      </c>
      <c r="B1639" s="12" t="s">
        <v>2882</v>
      </c>
      <c r="C1639" s="13" t="s">
        <v>18</v>
      </c>
      <c r="D1639" s="40">
        <v>0</v>
      </c>
    </row>
    <row r="1640" spans="1:4" ht="22.5" customHeight="1" x14ac:dyDescent="0.15">
      <c r="A1640" s="16" t="s">
        <v>955</v>
      </c>
      <c r="B1640" s="12" t="s">
        <v>2883</v>
      </c>
      <c r="C1640" s="13" t="s">
        <v>30</v>
      </c>
      <c r="D1640" s="40">
        <v>0</v>
      </c>
    </row>
    <row r="1641" spans="1:4" ht="22.5" customHeight="1" x14ac:dyDescent="0.15">
      <c r="A1641" s="16" t="s">
        <v>955</v>
      </c>
      <c r="B1641" s="12" t="s">
        <v>2884</v>
      </c>
      <c r="C1641" s="13" t="s">
        <v>136</v>
      </c>
      <c r="D1641" s="40">
        <v>0</v>
      </c>
    </row>
    <row r="1642" spans="1:4" ht="22.5" customHeight="1" x14ac:dyDescent="0.15">
      <c r="A1642" s="16" t="s">
        <v>37</v>
      </c>
      <c r="B1642" s="12" t="s">
        <v>2885</v>
      </c>
      <c r="C1642" s="13" t="s">
        <v>18</v>
      </c>
      <c r="D1642" s="40">
        <v>0</v>
      </c>
    </row>
    <row r="1643" spans="1:4" ht="22.5" customHeight="1" x14ac:dyDescent="0.15">
      <c r="A1643" s="16" t="s">
        <v>37</v>
      </c>
      <c r="B1643" s="12" t="s">
        <v>2886</v>
      </c>
      <c r="C1643" s="13" t="s">
        <v>18</v>
      </c>
      <c r="D1643" s="40">
        <v>0</v>
      </c>
    </row>
    <row r="1644" spans="1:4" ht="22.5" customHeight="1" x14ac:dyDescent="0.15">
      <c r="A1644" s="16" t="s">
        <v>327</v>
      </c>
      <c r="B1644" s="12" t="s">
        <v>2887</v>
      </c>
      <c r="C1644" s="13" t="s">
        <v>77</v>
      </c>
      <c r="D1644" s="40">
        <v>0</v>
      </c>
    </row>
    <row r="1645" spans="1:4" ht="22.5" customHeight="1" x14ac:dyDescent="0.15">
      <c r="A1645" s="16" t="s">
        <v>971</v>
      </c>
      <c r="B1645" s="12" t="s">
        <v>2888</v>
      </c>
      <c r="C1645" s="13" t="s">
        <v>30</v>
      </c>
      <c r="D1645" s="40">
        <v>0</v>
      </c>
    </row>
    <row r="1646" spans="1:4" ht="22.5" customHeight="1" x14ac:dyDescent="0.15">
      <c r="A1646" s="16" t="s">
        <v>347</v>
      </c>
      <c r="B1646" s="12" t="s">
        <v>2761</v>
      </c>
      <c r="C1646" s="13" t="s">
        <v>83</v>
      </c>
      <c r="D1646" s="40">
        <v>0</v>
      </c>
    </row>
    <row r="1647" spans="1:4" ht="22.5" customHeight="1" x14ac:dyDescent="0.15">
      <c r="A1647" s="16" t="s">
        <v>351</v>
      </c>
      <c r="B1647" s="12" t="s">
        <v>2889</v>
      </c>
      <c r="C1647" s="13" t="s">
        <v>136</v>
      </c>
      <c r="D1647" s="40">
        <v>0</v>
      </c>
    </row>
    <row r="1648" spans="1:4" ht="22.5" customHeight="1" x14ac:dyDescent="0.15">
      <c r="A1648" s="16" t="s">
        <v>351</v>
      </c>
      <c r="B1648" s="12" t="s">
        <v>2890</v>
      </c>
      <c r="C1648" s="13" t="s">
        <v>136</v>
      </c>
      <c r="D1648" s="40">
        <v>0</v>
      </c>
    </row>
    <row r="1649" spans="1:4" ht="22.5" customHeight="1" x14ac:dyDescent="0.15">
      <c r="A1649" s="16" t="s">
        <v>359</v>
      </c>
      <c r="B1649" s="12" t="s">
        <v>2891</v>
      </c>
      <c r="C1649" s="13" t="s">
        <v>83</v>
      </c>
      <c r="D1649" s="40">
        <v>0</v>
      </c>
    </row>
    <row r="1650" spans="1:4" ht="22.5" customHeight="1" x14ac:dyDescent="0.15">
      <c r="A1650" s="16" t="s">
        <v>359</v>
      </c>
      <c r="B1650" s="12" t="s">
        <v>2892</v>
      </c>
      <c r="C1650" s="13" t="s">
        <v>67</v>
      </c>
      <c r="D1650" s="40">
        <v>0</v>
      </c>
    </row>
    <row r="1651" spans="1:4" ht="22.5" customHeight="1" x14ac:dyDescent="0.15">
      <c r="A1651" s="16" t="s">
        <v>359</v>
      </c>
      <c r="B1651" s="12" t="s">
        <v>2893</v>
      </c>
      <c r="C1651" s="13" t="s">
        <v>67</v>
      </c>
      <c r="D1651" s="40">
        <v>0</v>
      </c>
    </row>
    <row r="1652" spans="1:4" ht="22.5" customHeight="1" x14ac:dyDescent="0.15">
      <c r="A1652" s="16" t="s">
        <v>359</v>
      </c>
      <c r="B1652" s="12" t="s">
        <v>2894</v>
      </c>
      <c r="C1652" s="13" t="s">
        <v>23</v>
      </c>
      <c r="D1652" s="40">
        <v>0</v>
      </c>
    </row>
    <row r="1653" spans="1:4" ht="22.5" customHeight="1" x14ac:dyDescent="0.15">
      <c r="A1653" s="16" t="s">
        <v>1003</v>
      </c>
      <c r="B1653" s="12" t="s">
        <v>2895</v>
      </c>
      <c r="C1653" s="13" t="s">
        <v>18</v>
      </c>
      <c r="D1653" s="40">
        <v>0</v>
      </c>
    </row>
    <row r="1654" spans="1:4" ht="22.5" customHeight="1" x14ac:dyDescent="0.15">
      <c r="A1654" s="16" t="s">
        <v>1003</v>
      </c>
      <c r="B1654" s="12" t="s">
        <v>2896</v>
      </c>
      <c r="C1654" s="13" t="s">
        <v>88</v>
      </c>
      <c r="D1654" s="40">
        <v>0</v>
      </c>
    </row>
    <row r="1655" spans="1:4" ht="22.5" customHeight="1" x14ac:dyDescent="0.15">
      <c r="A1655" s="16" t="s">
        <v>1003</v>
      </c>
      <c r="B1655" s="12" t="s">
        <v>2897</v>
      </c>
      <c r="C1655" s="13" t="s">
        <v>12</v>
      </c>
      <c r="D1655" s="40">
        <v>0</v>
      </c>
    </row>
    <row r="1656" spans="1:4" ht="22.5" customHeight="1" x14ac:dyDescent="0.15">
      <c r="A1656" s="16" t="s">
        <v>1003</v>
      </c>
      <c r="B1656" s="12" t="s">
        <v>2898</v>
      </c>
      <c r="C1656" s="13" t="s">
        <v>136</v>
      </c>
      <c r="D1656" s="40">
        <v>0</v>
      </c>
    </row>
    <row r="1657" spans="1:4" ht="22.5" customHeight="1" x14ac:dyDescent="0.15">
      <c r="A1657" s="16" t="s">
        <v>2604</v>
      </c>
      <c r="B1657" s="12" t="s">
        <v>2899</v>
      </c>
      <c r="C1657" s="13" t="s">
        <v>136</v>
      </c>
      <c r="D1657" s="40">
        <v>0</v>
      </c>
    </row>
    <row r="1658" spans="1:4" ht="22.5" customHeight="1" x14ac:dyDescent="0.15">
      <c r="A1658" s="16" t="s">
        <v>384</v>
      </c>
      <c r="B1658" s="12" t="s">
        <v>2900</v>
      </c>
      <c r="C1658" s="13" t="s">
        <v>30</v>
      </c>
      <c r="D1658" s="40">
        <v>0</v>
      </c>
    </row>
    <row r="1659" spans="1:4" ht="22.5" customHeight="1" x14ac:dyDescent="0.15">
      <c r="A1659" s="16" t="s">
        <v>384</v>
      </c>
      <c r="B1659" s="12" t="s">
        <v>2901</v>
      </c>
      <c r="C1659" s="13" t="s">
        <v>30</v>
      </c>
      <c r="D1659" s="40">
        <v>0</v>
      </c>
    </row>
    <row r="1660" spans="1:4" ht="22.5" customHeight="1" x14ac:dyDescent="0.15">
      <c r="A1660" s="16" t="s">
        <v>384</v>
      </c>
      <c r="B1660" s="12" t="s">
        <v>2902</v>
      </c>
      <c r="C1660" s="13" t="s">
        <v>83</v>
      </c>
      <c r="D1660" s="40">
        <v>0</v>
      </c>
    </row>
    <row r="1661" spans="1:4" ht="22.5" customHeight="1" x14ac:dyDescent="0.15">
      <c r="A1661" s="16" t="s">
        <v>384</v>
      </c>
      <c r="B1661" s="12" t="s">
        <v>2903</v>
      </c>
      <c r="C1661" s="13" t="s">
        <v>88</v>
      </c>
      <c r="D1661" s="40">
        <v>0</v>
      </c>
    </row>
    <row r="1662" spans="1:4" ht="22.5" customHeight="1" x14ac:dyDescent="0.15">
      <c r="A1662" s="16" t="s">
        <v>384</v>
      </c>
      <c r="B1662" s="12" t="s">
        <v>2904</v>
      </c>
      <c r="C1662" s="13" t="s">
        <v>12</v>
      </c>
      <c r="D1662" s="40">
        <v>0</v>
      </c>
    </row>
    <row r="1663" spans="1:4" ht="22.5" customHeight="1" x14ac:dyDescent="0.15">
      <c r="A1663" s="16" t="s">
        <v>86</v>
      </c>
      <c r="B1663" s="12" t="s">
        <v>2905</v>
      </c>
      <c r="C1663" s="13" t="s">
        <v>30</v>
      </c>
      <c r="D1663" s="40">
        <v>0</v>
      </c>
    </row>
    <row r="1664" spans="1:4" ht="22.5" customHeight="1" x14ac:dyDescent="0.15">
      <c r="A1664" s="16" t="s">
        <v>86</v>
      </c>
      <c r="B1664" s="12" t="s">
        <v>2906</v>
      </c>
      <c r="C1664" s="13" t="s">
        <v>88</v>
      </c>
      <c r="D1664" s="40">
        <v>0</v>
      </c>
    </row>
    <row r="1665" spans="1:4" ht="22.5" customHeight="1" x14ac:dyDescent="0.15">
      <c r="A1665" s="16" t="s">
        <v>1514</v>
      </c>
      <c r="B1665" s="12" t="s">
        <v>2907</v>
      </c>
      <c r="C1665" s="13" t="s">
        <v>136</v>
      </c>
      <c r="D1665" s="40">
        <v>0</v>
      </c>
    </row>
    <row r="1666" spans="1:4" ht="22.5" customHeight="1" x14ac:dyDescent="0.15">
      <c r="A1666" s="16" t="s">
        <v>1514</v>
      </c>
      <c r="B1666" s="12" t="s">
        <v>2908</v>
      </c>
      <c r="C1666" s="13" t="s">
        <v>136</v>
      </c>
      <c r="D1666" s="40">
        <v>0</v>
      </c>
    </row>
    <row r="1667" spans="1:4" ht="22.5" customHeight="1" x14ac:dyDescent="0.15">
      <c r="A1667" s="16" t="s">
        <v>1057</v>
      </c>
      <c r="B1667" s="12" t="s">
        <v>2820</v>
      </c>
      <c r="C1667" s="13" t="s">
        <v>23</v>
      </c>
      <c r="D1667" s="40">
        <v>0</v>
      </c>
    </row>
    <row r="1668" spans="1:4" ht="22.5" customHeight="1" x14ac:dyDescent="0.15">
      <c r="A1668" s="16" t="s">
        <v>1057</v>
      </c>
      <c r="B1668" s="12" t="s">
        <v>2821</v>
      </c>
      <c r="C1668" s="13" t="s">
        <v>77</v>
      </c>
      <c r="D1668" s="40">
        <v>0</v>
      </c>
    </row>
    <row r="1669" spans="1:4" ht="22.5" customHeight="1" x14ac:dyDescent="0.15">
      <c r="A1669" s="16" t="s">
        <v>1057</v>
      </c>
      <c r="B1669" s="12" t="s">
        <v>2909</v>
      </c>
      <c r="C1669" s="13" t="s">
        <v>23</v>
      </c>
      <c r="D1669" s="40">
        <v>0</v>
      </c>
    </row>
    <row r="1670" spans="1:4" ht="22.5" customHeight="1" x14ac:dyDescent="0.15">
      <c r="A1670" s="16" t="s">
        <v>1057</v>
      </c>
      <c r="B1670" s="12" t="s">
        <v>2822</v>
      </c>
      <c r="C1670" s="13" t="s">
        <v>136</v>
      </c>
      <c r="D1670" s="40">
        <v>0</v>
      </c>
    </row>
    <row r="1671" spans="1:4" ht="22.5" customHeight="1" x14ac:dyDescent="0.15">
      <c r="A1671" s="16" t="s">
        <v>710</v>
      </c>
      <c r="B1671" s="12" t="s">
        <v>2910</v>
      </c>
      <c r="C1671" s="13" t="s">
        <v>30</v>
      </c>
      <c r="D1671" s="40">
        <v>0</v>
      </c>
    </row>
    <row r="1672" spans="1:4" ht="22.5" customHeight="1" x14ac:dyDescent="0.15">
      <c r="A1672" s="16" t="s">
        <v>395</v>
      </c>
      <c r="B1672" s="12" t="s">
        <v>2911</v>
      </c>
      <c r="C1672" s="13" t="s">
        <v>18</v>
      </c>
      <c r="D1672" s="40">
        <v>0</v>
      </c>
    </row>
    <row r="1673" spans="1:4" ht="22.5" customHeight="1" x14ac:dyDescent="0.15">
      <c r="A1673" s="16" t="s">
        <v>395</v>
      </c>
      <c r="B1673" s="12" t="s">
        <v>2912</v>
      </c>
      <c r="C1673" s="13" t="s">
        <v>18</v>
      </c>
      <c r="D1673" s="40">
        <v>0</v>
      </c>
    </row>
    <row r="1674" spans="1:4" ht="22.5" customHeight="1" x14ac:dyDescent="0.15">
      <c r="A1674" s="16" t="s">
        <v>395</v>
      </c>
      <c r="B1674" s="12" t="s">
        <v>2913</v>
      </c>
      <c r="C1674" s="13" t="s">
        <v>18</v>
      </c>
      <c r="D1674" s="40">
        <v>0</v>
      </c>
    </row>
    <row r="1675" spans="1:4" ht="22.5" customHeight="1" x14ac:dyDescent="0.15">
      <c r="A1675" s="16" t="s">
        <v>395</v>
      </c>
      <c r="B1675" s="12" t="s">
        <v>2914</v>
      </c>
      <c r="C1675" s="13" t="s">
        <v>136</v>
      </c>
      <c r="D1675" s="40">
        <v>0</v>
      </c>
    </row>
    <row r="1676" spans="1:4" ht="22.5" customHeight="1" x14ac:dyDescent="0.15">
      <c r="A1676" s="16" t="s">
        <v>395</v>
      </c>
      <c r="B1676" s="12" t="s">
        <v>2915</v>
      </c>
      <c r="C1676" s="13" t="s">
        <v>115</v>
      </c>
      <c r="D1676" s="40">
        <v>0</v>
      </c>
    </row>
    <row r="1677" spans="1:4" ht="22.5" customHeight="1" x14ac:dyDescent="0.15">
      <c r="A1677" s="16" t="s">
        <v>1088</v>
      </c>
      <c r="B1677" s="12" t="s">
        <v>2916</v>
      </c>
      <c r="C1677" s="13" t="s">
        <v>30</v>
      </c>
      <c r="D1677" s="40">
        <v>0</v>
      </c>
    </row>
    <row r="1678" spans="1:4" ht="22.5" customHeight="1" x14ac:dyDescent="0.15">
      <c r="A1678" s="16" t="s">
        <v>1088</v>
      </c>
      <c r="B1678" s="12" t="s">
        <v>2917</v>
      </c>
      <c r="C1678" s="13" t="s">
        <v>30</v>
      </c>
      <c r="D1678" s="40">
        <v>0</v>
      </c>
    </row>
    <row r="1679" spans="1:4" ht="22.5" customHeight="1" x14ac:dyDescent="0.15">
      <c r="A1679" s="16" t="s">
        <v>1088</v>
      </c>
      <c r="B1679" s="12" t="s">
        <v>2918</v>
      </c>
      <c r="C1679" s="13" t="s">
        <v>88</v>
      </c>
      <c r="D1679" s="40">
        <v>0</v>
      </c>
    </row>
    <row r="1680" spans="1:4" ht="22.5" customHeight="1" x14ac:dyDescent="0.15">
      <c r="A1680" s="16" t="s">
        <v>2921</v>
      </c>
      <c r="B1680" s="12" t="s">
        <v>2922</v>
      </c>
      <c r="C1680" s="13" t="s">
        <v>136</v>
      </c>
      <c r="D1680" s="40">
        <v>0</v>
      </c>
    </row>
    <row r="1681" spans="1:4" ht="22.5" customHeight="1" x14ac:dyDescent="0.15">
      <c r="A1681" s="16" t="s">
        <v>2219</v>
      </c>
      <c r="B1681" s="12" t="s">
        <v>2923</v>
      </c>
      <c r="C1681" s="13" t="s">
        <v>30</v>
      </c>
      <c r="D1681" s="40">
        <v>0</v>
      </c>
    </row>
    <row r="1682" spans="1:4" ht="22.5" customHeight="1" x14ac:dyDescent="0.15">
      <c r="A1682" s="16" t="s">
        <v>2219</v>
      </c>
      <c r="B1682" s="12" t="s">
        <v>2924</v>
      </c>
      <c r="C1682" s="13" t="s">
        <v>30</v>
      </c>
      <c r="D1682" s="40">
        <v>0</v>
      </c>
    </row>
    <row r="1683" spans="1:4" ht="22.5" customHeight="1" x14ac:dyDescent="0.15">
      <c r="A1683" s="16" t="s">
        <v>2926</v>
      </c>
      <c r="B1683" s="12" t="s">
        <v>2927</v>
      </c>
      <c r="C1683" s="13" t="s">
        <v>83</v>
      </c>
      <c r="D1683" s="40">
        <v>0</v>
      </c>
    </row>
    <row r="1684" spans="1:4" ht="22.5" customHeight="1" x14ac:dyDescent="0.15">
      <c r="A1684" s="16" t="s">
        <v>1103</v>
      </c>
      <c r="B1684" s="12" t="s">
        <v>2852</v>
      </c>
      <c r="C1684" s="13" t="s">
        <v>12</v>
      </c>
      <c r="D1684" s="40">
        <v>0</v>
      </c>
    </row>
    <row r="1685" spans="1:4" ht="22.5" customHeight="1" x14ac:dyDescent="0.15">
      <c r="A1685" s="16" t="s">
        <v>1517</v>
      </c>
      <c r="B1685" s="12" t="s">
        <v>2853</v>
      </c>
      <c r="C1685" s="13" t="s">
        <v>12</v>
      </c>
      <c r="D1685" s="40">
        <v>0</v>
      </c>
    </row>
    <row r="1686" spans="1:4" ht="22.5" customHeight="1" x14ac:dyDescent="0.15">
      <c r="A1686" s="16" t="s">
        <v>1517</v>
      </c>
      <c r="B1686" s="12" t="s">
        <v>2854</v>
      </c>
      <c r="C1686" s="13" t="s">
        <v>136</v>
      </c>
      <c r="D1686" s="40">
        <v>0</v>
      </c>
    </row>
    <row r="1687" spans="1:4" ht="22.5" customHeight="1" x14ac:dyDescent="0.15">
      <c r="A1687" s="16" t="s">
        <v>399</v>
      </c>
      <c r="B1687" s="12" t="s">
        <v>2855</v>
      </c>
      <c r="C1687" s="13" t="s">
        <v>67</v>
      </c>
      <c r="D1687" s="40">
        <v>0</v>
      </c>
    </row>
    <row r="1688" spans="1:4" ht="22.5" customHeight="1" x14ac:dyDescent="0.15">
      <c r="A1688" s="16" t="s">
        <v>399</v>
      </c>
      <c r="B1688" s="12" t="s">
        <v>2857</v>
      </c>
      <c r="C1688" s="13" t="s">
        <v>23</v>
      </c>
      <c r="D1688" s="40">
        <v>0</v>
      </c>
    </row>
    <row r="1689" spans="1:4" ht="22.5" customHeight="1" x14ac:dyDescent="0.15">
      <c r="A1689" s="16" t="s">
        <v>1797</v>
      </c>
      <c r="B1689" s="12" t="s">
        <v>2859</v>
      </c>
      <c r="C1689" s="13" t="s">
        <v>219</v>
      </c>
      <c r="D1689" s="40">
        <v>0</v>
      </c>
    </row>
    <row r="1690" spans="1:4" ht="22.5" customHeight="1" x14ac:dyDescent="0.15">
      <c r="A1690" s="16" t="s">
        <v>1120</v>
      </c>
      <c r="B1690" s="12" t="s">
        <v>2928</v>
      </c>
      <c r="C1690" s="13" t="s">
        <v>83</v>
      </c>
      <c r="D1690" s="40">
        <v>0</v>
      </c>
    </row>
    <row r="1691" spans="1:4" ht="22.5" customHeight="1" x14ac:dyDescent="0.15">
      <c r="A1691" s="16" t="s">
        <v>1127</v>
      </c>
      <c r="B1691" s="12" t="s">
        <v>2929</v>
      </c>
      <c r="C1691" s="13" t="s">
        <v>12</v>
      </c>
      <c r="D1691" s="40">
        <v>0</v>
      </c>
    </row>
    <row r="1692" spans="1:4" ht="22.5" customHeight="1" x14ac:dyDescent="0.15">
      <c r="A1692" s="16" t="s">
        <v>417</v>
      </c>
      <c r="B1692" s="12" t="s">
        <v>2930</v>
      </c>
      <c r="C1692" s="13" t="s">
        <v>23</v>
      </c>
      <c r="D1692" s="40">
        <v>0</v>
      </c>
    </row>
    <row r="1693" spans="1:4" ht="22.5" customHeight="1" x14ac:dyDescent="0.15">
      <c r="A1693" s="16" t="s">
        <v>1155</v>
      </c>
      <c r="B1693" s="12" t="s">
        <v>2864</v>
      </c>
      <c r="C1693" s="13" t="s">
        <v>83</v>
      </c>
      <c r="D1693" s="40">
        <v>0</v>
      </c>
    </row>
    <row r="1694" spans="1:4" ht="22.5" customHeight="1" x14ac:dyDescent="0.15">
      <c r="A1694" s="16" t="s">
        <v>45</v>
      </c>
      <c r="B1694" s="12" t="s">
        <v>2931</v>
      </c>
      <c r="C1694" s="13" t="s">
        <v>30</v>
      </c>
      <c r="D1694" s="40">
        <v>0</v>
      </c>
    </row>
    <row r="1695" spans="1:4" ht="22.5" customHeight="1" x14ac:dyDescent="0.15">
      <c r="A1695" s="16" t="s">
        <v>45</v>
      </c>
      <c r="B1695" s="12" t="s">
        <v>2932</v>
      </c>
      <c r="C1695" s="13" t="s">
        <v>67</v>
      </c>
      <c r="D1695" s="40">
        <v>0</v>
      </c>
    </row>
    <row r="1696" spans="1:4" ht="22.5" customHeight="1" x14ac:dyDescent="0.15">
      <c r="A1696" s="16" t="s">
        <v>1165</v>
      </c>
      <c r="B1696" s="12" t="s">
        <v>2933</v>
      </c>
      <c r="C1696" s="13" t="s">
        <v>83</v>
      </c>
      <c r="D1696" s="40">
        <v>0</v>
      </c>
    </row>
    <row r="1697" spans="1:4" ht="22.5" customHeight="1" x14ac:dyDescent="0.15">
      <c r="A1697" s="16" t="s">
        <v>1165</v>
      </c>
      <c r="B1697" s="12" t="s">
        <v>2934</v>
      </c>
      <c r="C1697" s="13" t="s">
        <v>88</v>
      </c>
      <c r="D1697" s="40">
        <v>0</v>
      </c>
    </row>
    <row r="1698" spans="1:4" ht="22.5" customHeight="1" x14ac:dyDescent="0.15">
      <c r="A1698" s="16" t="s">
        <v>443</v>
      </c>
      <c r="B1698" s="12" t="s">
        <v>2935</v>
      </c>
      <c r="C1698" s="13" t="s">
        <v>23</v>
      </c>
      <c r="D1698" s="40">
        <v>0</v>
      </c>
    </row>
    <row r="1699" spans="1:4" ht="22.5" customHeight="1" x14ac:dyDescent="0.15">
      <c r="A1699" s="16" t="s">
        <v>443</v>
      </c>
      <c r="B1699" s="12" t="s">
        <v>2936</v>
      </c>
      <c r="C1699" s="13" t="s">
        <v>23</v>
      </c>
      <c r="D1699" s="40">
        <v>0</v>
      </c>
    </row>
    <row r="1700" spans="1:4" ht="22.5" customHeight="1" x14ac:dyDescent="0.15">
      <c r="A1700" s="16" t="s">
        <v>463</v>
      </c>
      <c r="B1700" s="12" t="s">
        <v>2937</v>
      </c>
      <c r="C1700" s="13" t="s">
        <v>12</v>
      </c>
      <c r="D1700" s="40">
        <v>0</v>
      </c>
    </row>
    <row r="1701" spans="1:4" ht="22.5" customHeight="1" x14ac:dyDescent="0.15">
      <c r="A1701" s="16" t="s">
        <v>463</v>
      </c>
      <c r="B1701" s="12" t="s">
        <v>2887</v>
      </c>
      <c r="C1701" s="13" t="s">
        <v>12</v>
      </c>
      <c r="D1701" s="40">
        <v>0</v>
      </c>
    </row>
    <row r="1702" spans="1:4" ht="22.5" customHeight="1" x14ac:dyDescent="0.15">
      <c r="A1702" s="16" t="s">
        <v>468</v>
      </c>
      <c r="B1702" s="12" t="s">
        <v>2938</v>
      </c>
      <c r="C1702" s="13" t="s">
        <v>83</v>
      </c>
      <c r="D1702" s="40">
        <v>0</v>
      </c>
    </row>
    <row r="1703" spans="1:4" ht="22.5" customHeight="1" x14ac:dyDescent="0.15">
      <c r="A1703" s="16" t="s">
        <v>49</v>
      </c>
      <c r="B1703" s="12" t="s">
        <v>2939</v>
      </c>
      <c r="C1703" s="13" t="s">
        <v>83</v>
      </c>
      <c r="D1703" s="40">
        <v>0</v>
      </c>
    </row>
    <row r="1704" spans="1:4" ht="22.5" customHeight="1" x14ac:dyDescent="0.15">
      <c r="A1704" s="16" t="s">
        <v>49</v>
      </c>
      <c r="B1704" s="12" t="s">
        <v>2940</v>
      </c>
      <c r="C1704" s="13" t="s">
        <v>88</v>
      </c>
      <c r="D1704" s="40">
        <v>0</v>
      </c>
    </row>
    <row r="1705" spans="1:4" ht="22.5" customHeight="1" x14ac:dyDescent="0.15">
      <c r="A1705" s="16" t="s">
        <v>2943</v>
      </c>
      <c r="B1705" s="12" t="s">
        <v>2944</v>
      </c>
      <c r="C1705" s="13" t="s">
        <v>18</v>
      </c>
      <c r="D1705" s="40">
        <v>0</v>
      </c>
    </row>
    <row r="1706" spans="1:4" ht="22.5" customHeight="1" x14ac:dyDescent="0.15">
      <c r="A1706" s="16" t="s">
        <v>2947</v>
      </c>
      <c r="B1706" s="12" t="s">
        <v>2948</v>
      </c>
      <c r="C1706" s="13" t="s">
        <v>18</v>
      </c>
      <c r="D1706" s="40">
        <v>0</v>
      </c>
    </row>
    <row r="1707" spans="1:4" ht="22.5" customHeight="1" x14ac:dyDescent="0.15">
      <c r="A1707" s="16" t="s">
        <v>493</v>
      </c>
      <c r="B1707" s="12" t="s">
        <v>2949</v>
      </c>
      <c r="C1707" s="13" t="s">
        <v>77</v>
      </c>
      <c r="D1707" s="40">
        <v>0</v>
      </c>
    </row>
    <row r="1708" spans="1:4" ht="22.5" customHeight="1" x14ac:dyDescent="0.15">
      <c r="A1708" s="16" t="s">
        <v>493</v>
      </c>
      <c r="B1708" s="12" t="s">
        <v>2950</v>
      </c>
      <c r="C1708" s="13" t="s">
        <v>23</v>
      </c>
      <c r="D1708" s="40">
        <v>0</v>
      </c>
    </row>
    <row r="1709" spans="1:4" ht="22.5" customHeight="1" x14ac:dyDescent="0.15">
      <c r="A1709" s="16" t="s">
        <v>1548</v>
      </c>
      <c r="B1709" s="12" t="s">
        <v>2951</v>
      </c>
      <c r="C1709" s="13" t="s">
        <v>83</v>
      </c>
      <c r="D1709" s="40">
        <v>0</v>
      </c>
    </row>
    <row r="1710" spans="1:4" ht="22.5" customHeight="1" x14ac:dyDescent="0.15">
      <c r="A1710" s="16" t="s">
        <v>1548</v>
      </c>
      <c r="B1710" s="12" t="s">
        <v>2952</v>
      </c>
      <c r="C1710" s="13" t="s">
        <v>83</v>
      </c>
      <c r="D1710" s="40">
        <v>0</v>
      </c>
    </row>
    <row r="1711" spans="1:4" ht="22.5" customHeight="1" x14ac:dyDescent="0.15">
      <c r="A1711" s="16" t="s">
        <v>57</v>
      </c>
      <c r="B1711" s="12" t="s">
        <v>2953</v>
      </c>
      <c r="C1711" s="13" t="s">
        <v>18</v>
      </c>
      <c r="D1711" s="40">
        <v>0</v>
      </c>
    </row>
    <row r="1712" spans="1:4" ht="22.5" customHeight="1" x14ac:dyDescent="0.15">
      <c r="A1712" s="16" t="s">
        <v>500</v>
      </c>
      <c r="B1712" s="12" t="s">
        <v>2954</v>
      </c>
      <c r="C1712" s="13" t="s">
        <v>18</v>
      </c>
      <c r="D1712" s="40">
        <v>0</v>
      </c>
    </row>
    <row r="1713" spans="1:4" ht="22.5" customHeight="1" x14ac:dyDescent="0.15">
      <c r="A1713" s="16" t="s">
        <v>1563</v>
      </c>
      <c r="B1713" s="12" t="s">
        <v>2955</v>
      </c>
      <c r="C1713" s="13" t="s">
        <v>23</v>
      </c>
      <c r="D1713" s="40">
        <v>0</v>
      </c>
    </row>
    <row r="1714" spans="1:4" ht="22.5" customHeight="1" x14ac:dyDescent="0.15">
      <c r="A1714" s="16" t="s">
        <v>503</v>
      </c>
      <c r="B1714" s="12" t="s">
        <v>2956</v>
      </c>
      <c r="C1714" s="13" t="s">
        <v>83</v>
      </c>
      <c r="D1714" s="40">
        <v>0</v>
      </c>
    </row>
    <row r="1715" spans="1:4" ht="22.5" customHeight="1" x14ac:dyDescent="0.15">
      <c r="A1715" s="16" t="s">
        <v>503</v>
      </c>
      <c r="B1715" s="12" t="s">
        <v>2957</v>
      </c>
      <c r="C1715" s="13" t="s">
        <v>83</v>
      </c>
      <c r="D1715" s="40">
        <v>0</v>
      </c>
    </row>
    <row r="1716" spans="1:4" ht="22.5" customHeight="1" x14ac:dyDescent="0.15">
      <c r="A1716" s="16" t="s">
        <v>2305</v>
      </c>
      <c r="B1716" s="12" t="s">
        <v>2958</v>
      </c>
      <c r="C1716" s="13" t="s">
        <v>136</v>
      </c>
      <c r="D1716" s="40">
        <v>0</v>
      </c>
    </row>
    <row r="1717" spans="1:4" ht="22.5" customHeight="1" x14ac:dyDescent="0.15">
      <c r="A1717" s="16" t="s">
        <v>112</v>
      </c>
      <c r="B1717" s="12" t="s">
        <v>3298</v>
      </c>
      <c r="C1717" s="13" t="s">
        <v>23</v>
      </c>
      <c r="D1717" s="40">
        <v>0</v>
      </c>
    </row>
    <row r="1718" spans="1:4" ht="22.5" customHeight="1" x14ac:dyDescent="0.15">
      <c r="A1718" s="16" t="s">
        <v>2960</v>
      </c>
      <c r="B1718" s="12" t="s">
        <v>2961</v>
      </c>
      <c r="C1718" s="13" t="s">
        <v>30</v>
      </c>
      <c r="D1718" s="40">
        <v>0</v>
      </c>
    </row>
    <row r="1719" spans="1:4" ht="22.5" customHeight="1" x14ac:dyDescent="0.15">
      <c r="A1719" s="16" t="s">
        <v>1625</v>
      </c>
      <c r="B1719" s="12" t="s">
        <v>2962</v>
      </c>
      <c r="C1719" s="13" t="s">
        <v>30</v>
      </c>
      <c r="D1719" s="40">
        <v>0</v>
      </c>
    </row>
    <row r="1720" spans="1:4" ht="22.5" customHeight="1" x14ac:dyDescent="0.15">
      <c r="A1720" s="16" t="s">
        <v>62</v>
      </c>
      <c r="B1720" s="12" t="s">
        <v>2939</v>
      </c>
      <c r="C1720" s="13" t="s">
        <v>83</v>
      </c>
      <c r="D1720" s="40">
        <v>0</v>
      </c>
    </row>
    <row r="1721" spans="1:4" ht="22.5" customHeight="1" x14ac:dyDescent="0.15">
      <c r="A1721" s="16" t="s">
        <v>62</v>
      </c>
      <c r="B1721" s="12" t="s">
        <v>2940</v>
      </c>
      <c r="C1721" s="13" t="s">
        <v>88</v>
      </c>
      <c r="D1721" s="40">
        <v>0</v>
      </c>
    </row>
    <row r="1722" spans="1:4" ht="22.5" customHeight="1" x14ac:dyDescent="0.15">
      <c r="A1722" s="16" t="s">
        <v>523</v>
      </c>
      <c r="B1722" s="12" t="s">
        <v>2963</v>
      </c>
      <c r="C1722" s="13" t="s">
        <v>30</v>
      </c>
      <c r="D1722" s="40">
        <v>0</v>
      </c>
    </row>
    <row r="1723" spans="1:4" ht="22.5" customHeight="1" x14ac:dyDescent="0.15">
      <c r="A1723" s="16" t="s">
        <v>2323</v>
      </c>
      <c r="B1723" s="12" t="s">
        <v>2964</v>
      </c>
      <c r="C1723" s="13" t="s">
        <v>88</v>
      </c>
      <c r="D1723" s="40">
        <v>0</v>
      </c>
    </row>
    <row r="1724" spans="1:4" ht="22.5" customHeight="1" x14ac:dyDescent="0.15">
      <c r="A1724" s="16" t="s">
        <v>534</v>
      </c>
      <c r="B1724" s="12" t="s">
        <v>2965</v>
      </c>
      <c r="C1724" s="13" t="s">
        <v>83</v>
      </c>
      <c r="D1724" s="40">
        <v>0</v>
      </c>
    </row>
    <row r="1725" spans="1:4" ht="22.5" customHeight="1" x14ac:dyDescent="0.15">
      <c r="A1725" s="16" t="s">
        <v>537</v>
      </c>
      <c r="B1725" s="12" t="s">
        <v>2966</v>
      </c>
      <c r="C1725" s="13" t="s">
        <v>18</v>
      </c>
      <c r="D1725" s="40">
        <v>0</v>
      </c>
    </row>
    <row r="1726" spans="1:4" ht="22.5" customHeight="1" x14ac:dyDescent="0.15">
      <c r="A1726" s="16" t="s">
        <v>540</v>
      </c>
      <c r="B1726" s="12" t="s">
        <v>2967</v>
      </c>
      <c r="C1726" s="13" t="s">
        <v>83</v>
      </c>
      <c r="D1726" s="40">
        <v>0</v>
      </c>
    </row>
    <row r="1727" spans="1:4" ht="22.5" customHeight="1" x14ac:dyDescent="0.15">
      <c r="A1727" s="16" t="s">
        <v>549</v>
      </c>
      <c r="B1727" s="12" t="s">
        <v>2968</v>
      </c>
      <c r="C1727" s="13" t="s">
        <v>30</v>
      </c>
      <c r="D1727" s="40">
        <v>0</v>
      </c>
    </row>
    <row r="1728" spans="1:4" ht="22.5" customHeight="1" x14ac:dyDescent="0.15">
      <c r="A1728" s="16" t="s">
        <v>549</v>
      </c>
      <c r="B1728" s="12" t="s">
        <v>2969</v>
      </c>
      <c r="C1728" s="13" t="s">
        <v>88</v>
      </c>
      <c r="D1728" s="40">
        <v>0</v>
      </c>
    </row>
    <row r="1729" spans="1:4" ht="22.5" customHeight="1" x14ac:dyDescent="0.15">
      <c r="A1729" s="16" t="s">
        <v>549</v>
      </c>
      <c r="B1729" s="12" t="s">
        <v>2970</v>
      </c>
      <c r="C1729" s="13" t="s">
        <v>30</v>
      </c>
      <c r="D1729" s="40">
        <v>0</v>
      </c>
    </row>
    <row r="1730" spans="1:4" ht="22.5" customHeight="1" x14ac:dyDescent="0.15">
      <c r="A1730" s="16" t="s">
        <v>2330</v>
      </c>
      <c r="B1730" s="12" t="s">
        <v>2971</v>
      </c>
      <c r="C1730" s="13" t="s">
        <v>88</v>
      </c>
      <c r="D1730" s="40">
        <v>0</v>
      </c>
    </row>
    <row r="1731" spans="1:4" ht="22.5" customHeight="1" x14ac:dyDescent="0.15">
      <c r="A1731" s="16" t="s">
        <v>557</v>
      </c>
      <c r="B1731" s="12" t="s">
        <v>2972</v>
      </c>
      <c r="C1731" s="13" t="s">
        <v>83</v>
      </c>
      <c r="D1731" s="40">
        <v>0</v>
      </c>
    </row>
    <row r="1732" spans="1:4" ht="22.5" customHeight="1" x14ac:dyDescent="0.15">
      <c r="A1732" s="16" t="s">
        <v>663</v>
      </c>
      <c r="B1732" s="12" t="s">
        <v>2973</v>
      </c>
      <c r="C1732" s="13" t="s">
        <v>88</v>
      </c>
      <c r="D1732" s="40">
        <v>0</v>
      </c>
    </row>
    <row r="1733" spans="1:4" ht="22.5" customHeight="1" x14ac:dyDescent="0.15">
      <c r="A1733" s="16" t="s">
        <v>1257</v>
      </c>
      <c r="B1733" s="12" t="s">
        <v>2974</v>
      </c>
      <c r="C1733" s="13" t="s">
        <v>12</v>
      </c>
      <c r="D1733" s="40">
        <v>0</v>
      </c>
    </row>
    <row r="1734" spans="1:4" ht="22.5" customHeight="1" x14ac:dyDescent="0.15">
      <c r="A1734" s="16" t="s">
        <v>1257</v>
      </c>
      <c r="B1734" s="12" t="s">
        <v>2975</v>
      </c>
      <c r="C1734" s="13" t="s">
        <v>18</v>
      </c>
      <c r="D1734" s="40">
        <v>0</v>
      </c>
    </row>
    <row r="1735" spans="1:4" ht="22.5" customHeight="1" x14ac:dyDescent="0.15">
      <c r="A1735" s="16" t="s">
        <v>1265</v>
      </c>
      <c r="B1735" s="12" t="s">
        <v>2976</v>
      </c>
      <c r="C1735" s="13" t="s">
        <v>30</v>
      </c>
      <c r="D1735" s="40">
        <v>0</v>
      </c>
    </row>
    <row r="1736" spans="1:4" ht="22.5" customHeight="1" x14ac:dyDescent="0.15">
      <c r="A1736" s="16" t="s">
        <v>2345</v>
      </c>
      <c r="B1736" s="12" t="s">
        <v>2977</v>
      </c>
      <c r="C1736" s="13" t="s">
        <v>83</v>
      </c>
      <c r="D1736" s="40">
        <v>0</v>
      </c>
    </row>
    <row r="1737" spans="1:4" ht="22.5" customHeight="1" x14ac:dyDescent="0.15">
      <c r="A1737" s="16" t="s">
        <v>572</v>
      </c>
      <c r="B1737" s="12" t="s">
        <v>2978</v>
      </c>
      <c r="C1737" s="13" t="s">
        <v>83</v>
      </c>
      <c r="D1737" s="40">
        <v>0</v>
      </c>
    </row>
    <row r="1738" spans="1:4" ht="22.5" customHeight="1" x14ac:dyDescent="0.15">
      <c r="A1738" s="16" t="s">
        <v>572</v>
      </c>
      <c r="B1738" s="12" t="s">
        <v>2979</v>
      </c>
      <c r="C1738" s="13" t="s">
        <v>83</v>
      </c>
      <c r="D1738" s="40">
        <v>0</v>
      </c>
    </row>
    <row r="1739" spans="1:4" ht="22.5" customHeight="1" x14ac:dyDescent="0.15">
      <c r="A1739" s="16" t="s">
        <v>572</v>
      </c>
      <c r="B1739" s="12" t="s">
        <v>2980</v>
      </c>
      <c r="C1739" s="13" t="s">
        <v>30</v>
      </c>
      <c r="D1739" s="40">
        <v>0</v>
      </c>
    </row>
    <row r="1740" spans="1:4" ht="22.5" customHeight="1" x14ac:dyDescent="0.15">
      <c r="A1740" s="16" t="s">
        <v>577</v>
      </c>
      <c r="B1740" s="12" t="s">
        <v>2981</v>
      </c>
      <c r="C1740" s="13" t="s">
        <v>18</v>
      </c>
      <c r="D1740" s="40">
        <v>0</v>
      </c>
    </row>
    <row r="1741" spans="1:4" ht="22.5" customHeight="1" x14ac:dyDescent="0.15">
      <c r="A1741" s="16" t="s">
        <v>577</v>
      </c>
      <c r="B1741" s="12" t="s">
        <v>2982</v>
      </c>
      <c r="C1741" s="13" t="s">
        <v>115</v>
      </c>
      <c r="D1741" s="40">
        <v>0</v>
      </c>
    </row>
    <row r="1742" spans="1:4" ht="22.5" customHeight="1" x14ac:dyDescent="0.15">
      <c r="A1742" s="16" t="s">
        <v>577</v>
      </c>
      <c r="B1742" s="12" t="s">
        <v>2983</v>
      </c>
      <c r="C1742" s="13" t="s">
        <v>83</v>
      </c>
      <c r="D1742" s="40">
        <v>0</v>
      </c>
    </row>
    <row r="1743" spans="1:4" ht="22.5" customHeight="1" x14ac:dyDescent="0.15">
      <c r="A1743" s="16" t="s">
        <v>577</v>
      </c>
      <c r="B1743" s="12" t="s">
        <v>2984</v>
      </c>
      <c r="C1743" s="13" t="s">
        <v>83</v>
      </c>
      <c r="D1743" s="40">
        <v>0</v>
      </c>
    </row>
    <row r="1744" spans="1:4" ht="22.5" customHeight="1" x14ac:dyDescent="0.15">
      <c r="A1744" s="16" t="s">
        <v>582</v>
      </c>
      <c r="B1744" s="12" t="s">
        <v>2985</v>
      </c>
      <c r="C1744" s="13" t="s">
        <v>83</v>
      </c>
      <c r="D1744" s="40">
        <v>0</v>
      </c>
    </row>
    <row r="1745" spans="1:4" ht="22.5" customHeight="1" x14ac:dyDescent="0.15">
      <c r="A1745" s="16" t="s">
        <v>2988</v>
      </c>
      <c r="B1745" s="12" t="s">
        <v>2989</v>
      </c>
      <c r="C1745" s="13" t="s">
        <v>136</v>
      </c>
      <c r="D1745" s="40">
        <v>0</v>
      </c>
    </row>
    <row r="1746" spans="1:4" ht="22.5" customHeight="1" x14ac:dyDescent="0.15">
      <c r="A1746" s="16" t="s">
        <v>594</v>
      </c>
      <c r="B1746" s="12" t="s">
        <v>2990</v>
      </c>
      <c r="C1746" s="13" t="s">
        <v>23</v>
      </c>
      <c r="D1746" s="40">
        <v>0</v>
      </c>
    </row>
    <row r="1747" spans="1:4" ht="22.5" customHeight="1" x14ac:dyDescent="0.15">
      <c r="A1747" s="16" t="s">
        <v>594</v>
      </c>
      <c r="B1747" s="12" t="s">
        <v>2991</v>
      </c>
      <c r="C1747" s="13" t="s">
        <v>23</v>
      </c>
      <c r="D1747" s="40">
        <v>0</v>
      </c>
    </row>
    <row r="1748" spans="1:4" ht="22.5" customHeight="1" x14ac:dyDescent="0.15">
      <c r="A1748" s="16" t="s">
        <v>597</v>
      </c>
      <c r="B1748" s="12" t="s">
        <v>2992</v>
      </c>
      <c r="C1748" s="13" t="s">
        <v>30</v>
      </c>
      <c r="D1748" s="40">
        <v>0</v>
      </c>
    </row>
    <row r="1749" spans="1:4" ht="22.5" customHeight="1" x14ac:dyDescent="0.15">
      <c r="A1749" s="16" t="s">
        <v>597</v>
      </c>
      <c r="B1749" s="12" t="s">
        <v>2993</v>
      </c>
      <c r="C1749" s="13" t="s">
        <v>30</v>
      </c>
      <c r="D1749" s="40">
        <v>0</v>
      </c>
    </row>
    <row r="1750" spans="1:4" ht="22.5" customHeight="1" x14ac:dyDescent="0.15">
      <c r="A1750" s="16" t="s">
        <v>597</v>
      </c>
      <c r="B1750" s="12" t="s">
        <v>2994</v>
      </c>
      <c r="C1750" s="13" t="s">
        <v>30</v>
      </c>
      <c r="D1750" s="40">
        <v>0</v>
      </c>
    </row>
    <row r="1751" spans="1:4" ht="22.5" customHeight="1" x14ac:dyDescent="0.15">
      <c r="A1751" s="16" t="s">
        <v>560</v>
      </c>
      <c r="B1751" s="12" t="s">
        <v>2995</v>
      </c>
      <c r="C1751" s="13" t="s">
        <v>115</v>
      </c>
      <c r="D1751" s="40">
        <v>0</v>
      </c>
    </row>
    <row r="1752" spans="1:4" ht="22.5" customHeight="1" x14ac:dyDescent="0.15">
      <c r="A1752" s="16" t="s">
        <v>1165</v>
      </c>
      <c r="B1752" s="12" t="s">
        <v>2996</v>
      </c>
      <c r="C1752" s="13" t="s">
        <v>83</v>
      </c>
      <c r="D1752" s="40">
        <v>0</v>
      </c>
    </row>
    <row r="1753" spans="1:4" ht="22.5" customHeight="1" x14ac:dyDescent="0.15">
      <c r="A1753" s="16" t="s">
        <v>1229</v>
      </c>
      <c r="B1753" s="12" t="s">
        <v>2997</v>
      </c>
      <c r="C1753" s="13" t="s">
        <v>18</v>
      </c>
      <c r="D1753" s="40">
        <v>0</v>
      </c>
    </row>
    <row r="1754" spans="1:4" ht="22.5" customHeight="1" x14ac:dyDescent="0.15">
      <c r="A1754" s="16" t="s">
        <v>3000</v>
      </c>
      <c r="B1754" s="12" t="s">
        <v>3001</v>
      </c>
      <c r="C1754" s="13" t="s">
        <v>12</v>
      </c>
      <c r="D1754" s="40">
        <v>0</v>
      </c>
    </row>
    <row r="1755" spans="1:4" ht="22.5" customHeight="1" x14ac:dyDescent="0.15">
      <c r="A1755" s="16" t="s">
        <v>32</v>
      </c>
      <c r="B1755" s="12" t="s">
        <v>3003</v>
      </c>
      <c r="C1755" s="13" t="s">
        <v>88</v>
      </c>
      <c r="D1755" s="40">
        <v>0</v>
      </c>
    </row>
    <row r="1756" spans="1:4" ht="22.5" customHeight="1" x14ac:dyDescent="0.15">
      <c r="A1756" s="16" t="s">
        <v>401</v>
      </c>
      <c r="B1756" s="12" t="s">
        <v>3005</v>
      </c>
      <c r="C1756" s="13" t="s">
        <v>12</v>
      </c>
      <c r="D1756" s="40">
        <v>0</v>
      </c>
    </row>
    <row r="1757" spans="1:4" ht="22.5" customHeight="1" x14ac:dyDescent="0.15">
      <c r="A1757" s="16" t="s">
        <v>401</v>
      </c>
      <c r="B1757" s="12" t="s">
        <v>3006</v>
      </c>
      <c r="C1757" s="13" t="s">
        <v>12</v>
      </c>
      <c r="D1757" s="40">
        <v>0</v>
      </c>
    </row>
    <row r="1758" spans="1:4" ht="22.5" customHeight="1" x14ac:dyDescent="0.15">
      <c r="A1758" s="16" t="s">
        <v>429</v>
      </c>
      <c r="B1758" s="12" t="s">
        <v>3007</v>
      </c>
      <c r="C1758" s="13" t="s">
        <v>30</v>
      </c>
      <c r="D1758" s="40">
        <v>0</v>
      </c>
    </row>
    <row r="1759" spans="1:4" ht="22.5" customHeight="1" x14ac:dyDescent="0.15">
      <c r="A1759" s="16" t="s">
        <v>1185</v>
      </c>
      <c r="B1759" s="12" t="s">
        <v>3008</v>
      </c>
      <c r="C1759" s="13" t="s">
        <v>83</v>
      </c>
      <c r="D1759" s="40">
        <v>0</v>
      </c>
    </row>
    <row r="1760" spans="1:4" ht="22.5" customHeight="1" x14ac:dyDescent="0.15">
      <c r="A1760" s="16" t="s">
        <v>1210</v>
      </c>
      <c r="B1760" s="12" t="s">
        <v>3008</v>
      </c>
      <c r="C1760" s="13" t="s">
        <v>83</v>
      </c>
      <c r="D1760" s="40">
        <v>0</v>
      </c>
    </row>
    <row r="1761" spans="1:4" ht="22.5" customHeight="1" x14ac:dyDescent="0.15">
      <c r="A1761" s="16" t="s">
        <v>497</v>
      </c>
      <c r="B1761" s="12" t="s">
        <v>3009</v>
      </c>
      <c r="C1761" s="13" t="s">
        <v>83</v>
      </c>
      <c r="D1761" s="40">
        <v>0</v>
      </c>
    </row>
    <row r="1762" spans="1:4" ht="22.5" customHeight="1" x14ac:dyDescent="0.15">
      <c r="A1762" s="16" t="s">
        <v>636</v>
      </c>
      <c r="B1762" s="12" t="s">
        <v>3010</v>
      </c>
      <c r="C1762" s="13" t="s">
        <v>83</v>
      </c>
      <c r="D1762" s="40">
        <v>0</v>
      </c>
    </row>
    <row r="1763" spans="1:4" ht="22.5" customHeight="1" x14ac:dyDescent="0.15">
      <c r="A1763" s="16" t="s">
        <v>133</v>
      </c>
      <c r="B1763" s="12" t="s">
        <v>3012</v>
      </c>
      <c r="C1763" s="13" t="s">
        <v>23</v>
      </c>
      <c r="D1763" s="40">
        <v>0</v>
      </c>
    </row>
    <row r="1764" spans="1:4" ht="22.5" customHeight="1" x14ac:dyDescent="0.15">
      <c r="A1764" s="16" t="s">
        <v>170</v>
      </c>
      <c r="B1764" s="12" t="s">
        <v>3013</v>
      </c>
      <c r="C1764" s="13" t="s">
        <v>12</v>
      </c>
      <c r="D1764" s="40">
        <v>0</v>
      </c>
    </row>
    <row r="1765" spans="1:4" ht="22.5" customHeight="1" x14ac:dyDescent="0.15">
      <c r="A1765" s="16" t="s">
        <v>234</v>
      </c>
      <c r="B1765" s="12" t="s">
        <v>3014</v>
      </c>
      <c r="C1765" s="13" t="s">
        <v>83</v>
      </c>
      <c r="D1765" s="40">
        <v>0</v>
      </c>
    </row>
    <row r="1766" spans="1:4" ht="22.5" customHeight="1" x14ac:dyDescent="0.15">
      <c r="A1766" s="16" t="s">
        <v>946</v>
      </c>
      <c r="B1766" s="12" t="s">
        <v>3015</v>
      </c>
      <c r="C1766" s="13" t="s">
        <v>83</v>
      </c>
      <c r="D1766" s="40">
        <v>0</v>
      </c>
    </row>
    <row r="1767" spans="1:4" ht="22.5" customHeight="1" x14ac:dyDescent="0.15">
      <c r="A1767" s="16" t="s">
        <v>327</v>
      </c>
      <c r="B1767" s="12" t="s">
        <v>3016</v>
      </c>
      <c r="C1767" s="13" t="s">
        <v>30</v>
      </c>
      <c r="D1767" s="40">
        <v>0</v>
      </c>
    </row>
    <row r="1768" spans="1:4" ht="22.5" customHeight="1" x14ac:dyDescent="0.15">
      <c r="A1768" s="16" t="s">
        <v>347</v>
      </c>
      <c r="B1768" s="12" t="s">
        <v>3017</v>
      </c>
      <c r="C1768" s="13" t="s">
        <v>23</v>
      </c>
      <c r="D1768" s="40">
        <v>0</v>
      </c>
    </row>
    <row r="1769" spans="1:4" ht="22.5" customHeight="1" x14ac:dyDescent="0.15">
      <c r="A1769" s="16" t="s">
        <v>1013</v>
      </c>
      <c r="B1769" s="12" t="s">
        <v>3018</v>
      </c>
      <c r="C1769" s="13" t="s">
        <v>83</v>
      </c>
      <c r="D1769" s="40">
        <v>0</v>
      </c>
    </row>
    <row r="1770" spans="1:4" ht="22.5" customHeight="1" x14ac:dyDescent="0.15">
      <c r="A1770" s="16" t="s">
        <v>53</v>
      </c>
      <c r="B1770" s="12" t="s">
        <v>3019</v>
      </c>
      <c r="C1770" s="13" t="s">
        <v>83</v>
      </c>
      <c r="D1770" s="40">
        <v>0</v>
      </c>
    </row>
    <row r="1771" spans="1:4" ht="22.5" customHeight="1" x14ac:dyDescent="0.15">
      <c r="A1771" s="16" t="s">
        <v>1557</v>
      </c>
      <c r="B1771" s="12" t="s">
        <v>3019</v>
      </c>
      <c r="C1771" s="13" t="s">
        <v>83</v>
      </c>
      <c r="D1771" s="40">
        <v>0</v>
      </c>
    </row>
    <row r="1772" spans="1:4" ht="22.5" customHeight="1" x14ac:dyDescent="0.15">
      <c r="A1772" s="16" t="s">
        <v>540</v>
      </c>
      <c r="B1772" s="12" t="s">
        <v>3020</v>
      </c>
      <c r="C1772" s="13" t="s">
        <v>83</v>
      </c>
      <c r="D1772" s="40">
        <v>0</v>
      </c>
    </row>
    <row r="1773" spans="1:4" ht="22.5" customHeight="1" x14ac:dyDescent="0.15">
      <c r="A1773" s="16" t="s">
        <v>463</v>
      </c>
      <c r="B1773" s="12" t="s">
        <v>3021</v>
      </c>
      <c r="C1773" s="13" t="s">
        <v>30</v>
      </c>
      <c r="D1773" s="40">
        <v>0</v>
      </c>
    </row>
    <row r="1774" spans="1:4" ht="22.5" customHeight="1" x14ac:dyDescent="0.15">
      <c r="A1774" s="16" t="s">
        <v>347</v>
      </c>
      <c r="B1774" s="12" t="s">
        <v>3023</v>
      </c>
      <c r="C1774" s="13" t="s">
        <v>30</v>
      </c>
      <c r="D1774" s="40">
        <v>0</v>
      </c>
    </row>
    <row r="1775" spans="1:4" ht="22.5" customHeight="1" x14ac:dyDescent="0.15">
      <c r="A1775" s="16" t="s">
        <v>546</v>
      </c>
      <c r="B1775" s="12" t="s">
        <v>3025</v>
      </c>
      <c r="C1775" s="13" t="s">
        <v>30</v>
      </c>
      <c r="D1775" s="40">
        <v>0</v>
      </c>
    </row>
    <row r="1776" spans="1:4" ht="22.5" customHeight="1" x14ac:dyDescent="0.15">
      <c r="A1776" s="16" t="s">
        <v>1300</v>
      </c>
      <c r="B1776" s="12" t="s">
        <v>3026</v>
      </c>
      <c r="C1776" s="13" t="s">
        <v>18</v>
      </c>
      <c r="D1776" s="40">
        <v>0</v>
      </c>
    </row>
    <row r="1777" spans="1:4" ht="22.5" customHeight="1" x14ac:dyDescent="0.15">
      <c r="A1777" s="16" t="s">
        <v>103</v>
      </c>
      <c r="B1777" s="12" t="s">
        <v>3027</v>
      </c>
      <c r="C1777" s="13" t="s">
        <v>136</v>
      </c>
      <c r="D1777" s="40">
        <v>0</v>
      </c>
    </row>
    <row r="1778" spans="1:4" ht="22.5" customHeight="1" x14ac:dyDescent="0.15">
      <c r="A1778" s="16" t="s">
        <v>832</v>
      </c>
      <c r="B1778" s="12" t="s">
        <v>3029</v>
      </c>
      <c r="C1778" s="13" t="s">
        <v>18</v>
      </c>
      <c r="D1778" s="40">
        <v>0</v>
      </c>
    </row>
    <row r="1779" spans="1:4" ht="22.5" customHeight="1" x14ac:dyDescent="0.15">
      <c r="A1779" s="16" t="s">
        <v>133</v>
      </c>
      <c r="B1779" s="12" t="s">
        <v>3030</v>
      </c>
      <c r="C1779" s="13" t="s">
        <v>83</v>
      </c>
      <c r="D1779" s="40">
        <v>0</v>
      </c>
    </row>
    <row r="1780" spans="1:4" ht="22.5" customHeight="1" x14ac:dyDescent="0.15">
      <c r="A1780" s="16" t="s">
        <v>696</v>
      </c>
      <c r="B1780" s="12" t="s">
        <v>3032</v>
      </c>
      <c r="C1780" s="13" t="s">
        <v>12</v>
      </c>
      <c r="D1780" s="40">
        <v>0</v>
      </c>
    </row>
    <row r="1781" spans="1:4" ht="22.5" customHeight="1" x14ac:dyDescent="0.15">
      <c r="A1781" s="16" t="s">
        <v>668</v>
      </c>
      <c r="B1781" s="12" t="s">
        <v>3034</v>
      </c>
      <c r="C1781" s="13" t="s">
        <v>67</v>
      </c>
      <c r="D1781" s="40">
        <v>0</v>
      </c>
    </row>
    <row r="1782" spans="1:4" ht="22.5" customHeight="1" x14ac:dyDescent="0.15">
      <c r="A1782" s="16" t="s">
        <v>45</v>
      </c>
      <c r="B1782" s="12" t="s">
        <v>3035</v>
      </c>
      <c r="C1782" s="13" t="s">
        <v>23</v>
      </c>
      <c r="D1782" s="40">
        <v>0</v>
      </c>
    </row>
    <row r="1783" spans="1:4" ht="22.5" customHeight="1" x14ac:dyDescent="0.15">
      <c r="A1783" s="16" t="s">
        <v>103</v>
      </c>
      <c r="B1783" s="12" t="s">
        <v>3036</v>
      </c>
      <c r="C1783" s="13" t="s">
        <v>136</v>
      </c>
      <c r="D1783" s="40">
        <v>0</v>
      </c>
    </row>
    <row r="1784" spans="1:4" ht="22.5" customHeight="1" x14ac:dyDescent="0.15">
      <c r="A1784" s="16" t="s">
        <v>239</v>
      </c>
      <c r="B1784" s="12" t="s">
        <v>3038</v>
      </c>
      <c r="C1784" s="13" t="s">
        <v>18</v>
      </c>
      <c r="D1784" s="40">
        <v>0</v>
      </c>
    </row>
    <row r="1785" spans="1:4" ht="22.5" customHeight="1" x14ac:dyDescent="0.15">
      <c r="A1785" s="16" t="s">
        <v>249</v>
      </c>
      <c r="B1785" s="12" t="s">
        <v>3039</v>
      </c>
      <c r="C1785" s="13" t="s">
        <v>136</v>
      </c>
      <c r="D1785" s="40">
        <v>0</v>
      </c>
    </row>
    <row r="1786" spans="1:4" ht="22.5" customHeight="1" x14ac:dyDescent="0.15">
      <c r="A1786" s="16" t="s">
        <v>256</v>
      </c>
      <c r="B1786" s="12" t="s">
        <v>3040</v>
      </c>
      <c r="C1786" s="13" t="s">
        <v>136</v>
      </c>
      <c r="D1786" s="40">
        <v>0</v>
      </c>
    </row>
    <row r="1787" spans="1:4" ht="22.5" customHeight="1" x14ac:dyDescent="0.15">
      <c r="A1787" s="16" t="s">
        <v>934</v>
      </c>
      <c r="B1787" s="12" t="s">
        <v>3041</v>
      </c>
      <c r="C1787" s="13" t="s">
        <v>136</v>
      </c>
      <c r="D1787" s="40">
        <v>0</v>
      </c>
    </row>
    <row r="1788" spans="1:4" ht="22.5" customHeight="1" x14ac:dyDescent="0.15">
      <c r="A1788" s="16" t="s">
        <v>934</v>
      </c>
      <c r="B1788" s="12" t="s">
        <v>3041</v>
      </c>
      <c r="C1788" s="13" t="s">
        <v>136</v>
      </c>
      <c r="D1788" s="40">
        <v>0</v>
      </c>
    </row>
    <row r="1789" spans="1:4" ht="22.5" customHeight="1" x14ac:dyDescent="0.15">
      <c r="A1789" s="16" t="s">
        <v>934</v>
      </c>
      <c r="B1789" s="12" t="s">
        <v>3041</v>
      </c>
      <c r="C1789" s="13" t="s">
        <v>136</v>
      </c>
      <c r="D1789" s="40">
        <v>0</v>
      </c>
    </row>
    <row r="1790" spans="1:4" ht="22.5" customHeight="1" x14ac:dyDescent="0.15">
      <c r="A1790" s="16" t="s">
        <v>934</v>
      </c>
      <c r="B1790" s="12" t="s">
        <v>3041</v>
      </c>
      <c r="C1790" s="13" t="s">
        <v>136</v>
      </c>
      <c r="D1790" s="40">
        <v>0</v>
      </c>
    </row>
    <row r="1791" spans="1:4" ht="22.5" customHeight="1" x14ac:dyDescent="0.15">
      <c r="A1791" s="16" t="s">
        <v>950</v>
      </c>
      <c r="B1791" s="12" t="s">
        <v>3042</v>
      </c>
      <c r="C1791" s="13" t="s">
        <v>88</v>
      </c>
      <c r="D1791" s="40">
        <v>0</v>
      </c>
    </row>
    <row r="1792" spans="1:4" ht="22.5" customHeight="1" x14ac:dyDescent="0.15">
      <c r="A1792" s="16" t="s">
        <v>2184</v>
      </c>
      <c r="B1792" s="12" t="s">
        <v>3043</v>
      </c>
      <c r="C1792" s="13" t="s">
        <v>77</v>
      </c>
      <c r="D1792" s="40">
        <v>0</v>
      </c>
    </row>
    <row r="1793" spans="1:4" ht="22.5" customHeight="1" x14ac:dyDescent="0.15">
      <c r="A1793" s="16" t="s">
        <v>1094</v>
      </c>
      <c r="B1793" s="12" t="s">
        <v>3044</v>
      </c>
      <c r="C1793" s="13" t="s">
        <v>23</v>
      </c>
      <c r="D1793" s="40">
        <v>0</v>
      </c>
    </row>
    <row r="1794" spans="1:4" ht="22.5" customHeight="1" x14ac:dyDescent="0.15">
      <c r="A1794" s="16" t="s">
        <v>1517</v>
      </c>
      <c r="B1794" s="12" t="s">
        <v>3038</v>
      </c>
      <c r="C1794" s="13" t="s">
        <v>18</v>
      </c>
      <c r="D1794" s="40">
        <v>0</v>
      </c>
    </row>
    <row r="1795" spans="1:4" ht="22.5" customHeight="1" x14ac:dyDescent="0.15">
      <c r="A1795" s="16" t="s">
        <v>1155</v>
      </c>
      <c r="B1795" s="12" t="s">
        <v>3041</v>
      </c>
      <c r="C1795" s="13" t="s">
        <v>136</v>
      </c>
      <c r="D1795" s="40">
        <v>0</v>
      </c>
    </row>
    <row r="1796" spans="1:4" ht="22.5" customHeight="1" x14ac:dyDescent="0.15">
      <c r="A1796" s="16" t="s">
        <v>1155</v>
      </c>
      <c r="B1796" s="12" t="s">
        <v>3041</v>
      </c>
      <c r="C1796" s="13" t="s">
        <v>136</v>
      </c>
      <c r="D1796" s="40">
        <v>0</v>
      </c>
    </row>
    <row r="1797" spans="1:4" ht="22.5" customHeight="1" x14ac:dyDescent="0.15">
      <c r="A1797" s="16" t="s">
        <v>1155</v>
      </c>
      <c r="B1797" s="12" t="s">
        <v>3041</v>
      </c>
      <c r="C1797" s="13" t="s">
        <v>136</v>
      </c>
      <c r="D1797" s="40">
        <v>0</v>
      </c>
    </row>
    <row r="1798" spans="1:4" ht="22.5" customHeight="1" x14ac:dyDescent="0.15">
      <c r="A1798" s="16" t="s">
        <v>1155</v>
      </c>
      <c r="B1798" s="12" t="s">
        <v>3041</v>
      </c>
      <c r="C1798" s="13" t="s">
        <v>136</v>
      </c>
      <c r="D1798" s="40">
        <v>0</v>
      </c>
    </row>
    <row r="1799" spans="1:4" ht="22.5" customHeight="1" x14ac:dyDescent="0.15">
      <c r="A1799" s="16" t="s">
        <v>1234</v>
      </c>
      <c r="B1799" s="12" t="s">
        <v>3045</v>
      </c>
      <c r="C1799" s="13" t="s">
        <v>88</v>
      </c>
      <c r="D1799" s="40">
        <v>0</v>
      </c>
    </row>
    <row r="1800" spans="1:4" ht="22.5" customHeight="1" x14ac:dyDescent="0.15">
      <c r="A1800" s="16" t="s">
        <v>2323</v>
      </c>
      <c r="B1800" s="12" t="s">
        <v>3046</v>
      </c>
      <c r="C1800" s="13" t="s">
        <v>88</v>
      </c>
      <c r="D1800" s="40">
        <v>0</v>
      </c>
    </row>
    <row r="1801" spans="1:4" ht="22.5" customHeight="1" x14ac:dyDescent="0.15">
      <c r="A1801" s="16" t="s">
        <v>107</v>
      </c>
      <c r="B1801" s="12" t="s">
        <v>3047</v>
      </c>
      <c r="C1801" s="13" t="s">
        <v>18</v>
      </c>
      <c r="D1801" s="40">
        <v>0</v>
      </c>
    </row>
    <row r="1802" spans="1:4" ht="22.5" customHeight="1" x14ac:dyDescent="0.15">
      <c r="A1802" s="16" t="s">
        <v>234</v>
      </c>
      <c r="B1802" s="12" t="s">
        <v>3049</v>
      </c>
      <c r="C1802" s="13" t="s">
        <v>88</v>
      </c>
      <c r="D1802" s="40">
        <v>0</v>
      </c>
    </row>
    <row r="1803" spans="1:4" ht="22.5" customHeight="1" x14ac:dyDescent="0.15">
      <c r="A1803" s="16" t="s">
        <v>950</v>
      </c>
      <c r="B1803" s="12" t="s">
        <v>3051</v>
      </c>
      <c r="C1803" s="13" t="s">
        <v>88</v>
      </c>
      <c r="D1803" s="40">
        <v>0</v>
      </c>
    </row>
    <row r="1804" spans="1:4" ht="22.5" customHeight="1" x14ac:dyDescent="0.15">
      <c r="A1804" s="16" t="s">
        <v>112</v>
      </c>
      <c r="B1804" s="12" t="s">
        <v>3047</v>
      </c>
      <c r="C1804" s="13" t="s">
        <v>18</v>
      </c>
      <c r="D1804" s="40">
        <v>0</v>
      </c>
    </row>
    <row r="1805" spans="1:4" ht="22.5" customHeight="1" x14ac:dyDescent="0.15">
      <c r="A1805" s="16" t="s">
        <v>166</v>
      </c>
      <c r="B1805" s="12" t="s">
        <v>3052</v>
      </c>
      <c r="C1805" s="13" t="s">
        <v>67</v>
      </c>
      <c r="D1805" s="40">
        <v>0</v>
      </c>
    </row>
    <row r="1806" spans="1:4" ht="22.5" customHeight="1" x14ac:dyDescent="0.15">
      <c r="A1806" s="16" t="s">
        <v>170</v>
      </c>
      <c r="B1806" s="12" t="s">
        <v>3053</v>
      </c>
      <c r="C1806" s="13" t="s">
        <v>12</v>
      </c>
      <c r="D1806" s="40">
        <v>0</v>
      </c>
    </row>
    <row r="1807" spans="1:4" ht="22.5" customHeight="1" x14ac:dyDescent="0.15">
      <c r="A1807" s="16" t="s">
        <v>107</v>
      </c>
      <c r="B1807" s="12" t="s">
        <v>3054</v>
      </c>
      <c r="C1807" s="13" t="s">
        <v>18</v>
      </c>
      <c r="D1807" s="40">
        <v>0</v>
      </c>
    </row>
    <row r="1808" spans="1:4" ht="22.5" customHeight="1" x14ac:dyDescent="0.15">
      <c r="A1808" s="16" t="s">
        <v>600</v>
      </c>
      <c r="B1808" s="12" t="s">
        <v>3055</v>
      </c>
      <c r="C1808" s="13" t="s">
        <v>342</v>
      </c>
      <c r="D1808" s="40">
        <v>0</v>
      </c>
    </row>
    <row r="1809" spans="1:4" ht="22.5" customHeight="1" x14ac:dyDescent="0.15">
      <c r="A1809" s="16" t="s">
        <v>822</v>
      </c>
      <c r="B1809" s="12" t="s">
        <v>3056</v>
      </c>
      <c r="C1809" s="13" t="s">
        <v>18</v>
      </c>
      <c r="D1809" s="40">
        <v>0</v>
      </c>
    </row>
    <row r="1810" spans="1:4" ht="22.5" customHeight="1" x14ac:dyDescent="0.15">
      <c r="A1810" s="16" t="s">
        <v>2831</v>
      </c>
      <c r="B1810" s="12" t="s">
        <v>3057</v>
      </c>
      <c r="C1810" s="13" t="s">
        <v>30</v>
      </c>
      <c r="D1810" s="40">
        <v>0</v>
      </c>
    </row>
    <row r="1811" spans="1:4" ht="22.5" customHeight="1" x14ac:dyDescent="0.15">
      <c r="A1811" s="16" t="s">
        <v>230</v>
      </c>
      <c r="B1811" s="12" t="s">
        <v>3058</v>
      </c>
      <c r="C1811" s="13" t="s">
        <v>18</v>
      </c>
      <c r="D1811" s="40">
        <v>0</v>
      </c>
    </row>
    <row r="1812" spans="1:4" ht="22.5" customHeight="1" x14ac:dyDescent="0.15">
      <c r="A1812" s="16" t="s">
        <v>234</v>
      </c>
      <c r="B1812" s="12" t="s">
        <v>3059</v>
      </c>
      <c r="C1812" s="13" t="s">
        <v>88</v>
      </c>
      <c r="D1812" s="40">
        <v>0</v>
      </c>
    </row>
    <row r="1813" spans="1:4" ht="22.5" customHeight="1" x14ac:dyDescent="0.15">
      <c r="A1813" s="16" t="s">
        <v>327</v>
      </c>
      <c r="B1813" s="12" t="s">
        <v>3060</v>
      </c>
      <c r="C1813" s="13" t="s">
        <v>30</v>
      </c>
      <c r="D1813" s="40">
        <v>0</v>
      </c>
    </row>
    <row r="1814" spans="1:4" ht="22.5" customHeight="1" x14ac:dyDescent="0.15">
      <c r="A1814" s="16" t="s">
        <v>1057</v>
      </c>
      <c r="B1814" s="12" t="s">
        <v>3061</v>
      </c>
      <c r="C1814" s="13" t="s">
        <v>342</v>
      </c>
      <c r="D1814" s="40">
        <v>0</v>
      </c>
    </row>
    <row r="1815" spans="1:4" ht="22.5" customHeight="1" x14ac:dyDescent="0.15">
      <c r="A1815" s="16" t="s">
        <v>395</v>
      </c>
      <c r="B1815" s="12" t="s">
        <v>3062</v>
      </c>
      <c r="C1815" s="13" t="s">
        <v>18</v>
      </c>
      <c r="D1815" s="40">
        <v>0</v>
      </c>
    </row>
    <row r="1816" spans="1:4" ht="22.5" customHeight="1" x14ac:dyDescent="0.15">
      <c r="A1816" s="16" t="s">
        <v>395</v>
      </c>
      <c r="B1816" s="12" t="s">
        <v>3063</v>
      </c>
      <c r="C1816" s="13" t="s">
        <v>18</v>
      </c>
      <c r="D1816" s="40">
        <v>0</v>
      </c>
    </row>
    <row r="1817" spans="1:4" ht="22.5" customHeight="1" x14ac:dyDescent="0.15">
      <c r="A1817" s="16" t="s">
        <v>94</v>
      </c>
      <c r="B1817" s="12" t="s">
        <v>3064</v>
      </c>
      <c r="C1817" s="13" t="s">
        <v>30</v>
      </c>
      <c r="D1817" s="40">
        <v>0</v>
      </c>
    </row>
    <row r="1818" spans="1:4" ht="22.5" customHeight="1" x14ac:dyDescent="0.15">
      <c r="A1818" s="16" t="s">
        <v>463</v>
      </c>
      <c r="B1818" s="12" t="s">
        <v>3060</v>
      </c>
      <c r="C1818" s="13" t="s">
        <v>30</v>
      </c>
      <c r="D1818" s="40">
        <v>0</v>
      </c>
    </row>
    <row r="1819" spans="1:4" ht="22.5" customHeight="1" x14ac:dyDescent="0.15">
      <c r="A1819" s="16" t="s">
        <v>703</v>
      </c>
      <c r="B1819" s="12" t="s">
        <v>3065</v>
      </c>
      <c r="C1819" s="13" t="s">
        <v>18</v>
      </c>
      <c r="D1819" s="40">
        <v>602</v>
      </c>
    </row>
    <row r="1820" spans="1:4" ht="22.5" customHeight="1" x14ac:dyDescent="0.15">
      <c r="A1820" s="16" t="s">
        <v>703</v>
      </c>
      <c r="B1820" s="12" t="s">
        <v>3066</v>
      </c>
      <c r="C1820" s="13" t="s">
        <v>18</v>
      </c>
      <c r="D1820" s="40">
        <v>0</v>
      </c>
    </row>
    <row r="1821" spans="1:4" ht="22.5" customHeight="1" x14ac:dyDescent="0.15">
      <c r="A1821" s="16" t="s">
        <v>703</v>
      </c>
      <c r="B1821" s="12" t="s">
        <v>3067</v>
      </c>
      <c r="C1821" s="13" t="s">
        <v>18</v>
      </c>
      <c r="D1821" s="40">
        <v>0</v>
      </c>
    </row>
    <row r="1822" spans="1:4" ht="22.5" customHeight="1" x14ac:dyDescent="0.15">
      <c r="A1822" s="16" t="s">
        <v>703</v>
      </c>
      <c r="B1822" s="12" t="s">
        <v>3068</v>
      </c>
      <c r="C1822" s="13" t="s">
        <v>18</v>
      </c>
      <c r="D1822" s="40">
        <v>0</v>
      </c>
    </row>
    <row r="1823" spans="1:4" ht="22.5" customHeight="1" x14ac:dyDescent="0.15">
      <c r="A1823" s="16" t="s">
        <v>1185</v>
      </c>
      <c r="B1823" s="12" t="s">
        <v>3069</v>
      </c>
      <c r="C1823" s="13" t="s">
        <v>30</v>
      </c>
      <c r="D1823" s="40">
        <v>0</v>
      </c>
    </row>
    <row r="1824" spans="1:4" ht="22.5" customHeight="1" x14ac:dyDescent="0.15">
      <c r="A1824" s="16" t="s">
        <v>1191</v>
      </c>
      <c r="B1824" s="12" t="s">
        <v>3070</v>
      </c>
      <c r="C1824" s="13" t="s">
        <v>23</v>
      </c>
      <c r="D1824" s="40">
        <v>0</v>
      </c>
    </row>
    <row r="1825" spans="1:4" ht="22.5" customHeight="1" x14ac:dyDescent="0.15">
      <c r="A1825" s="16" t="s">
        <v>1207</v>
      </c>
      <c r="B1825" s="12" t="s">
        <v>3071</v>
      </c>
      <c r="C1825" s="13" t="s">
        <v>83</v>
      </c>
      <c r="D1825" s="40">
        <v>0</v>
      </c>
    </row>
    <row r="1826" spans="1:4" ht="22.5" customHeight="1" x14ac:dyDescent="0.15">
      <c r="A1826" s="16" t="s">
        <v>57</v>
      </c>
      <c r="B1826" s="12" t="s">
        <v>3072</v>
      </c>
      <c r="C1826" s="13" t="s">
        <v>136</v>
      </c>
      <c r="D1826" s="40">
        <v>0</v>
      </c>
    </row>
    <row r="1827" spans="1:4" ht="22.5" customHeight="1" x14ac:dyDescent="0.15">
      <c r="A1827" s="16" t="s">
        <v>1563</v>
      </c>
      <c r="B1827" s="12" t="s">
        <v>3073</v>
      </c>
      <c r="C1827" s="13" t="s">
        <v>30</v>
      </c>
      <c r="D1827" s="40">
        <v>0</v>
      </c>
    </row>
    <row r="1828" spans="1:4" ht="22.5" customHeight="1" x14ac:dyDescent="0.15">
      <c r="A1828" s="16" t="s">
        <v>1563</v>
      </c>
      <c r="B1828" s="12" t="s">
        <v>3074</v>
      </c>
      <c r="C1828" s="13" t="s">
        <v>30</v>
      </c>
      <c r="D1828" s="40">
        <v>0</v>
      </c>
    </row>
    <row r="1829" spans="1:4" ht="22.5" customHeight="1" x14ac:dyDescent="0.15">
      <c r="A1829" s="16" t="s">
        <v>112</v>
      </c>
      <c r="B1829" s="12" t="s">
        <v>3054</v>
      </c>
      <c r="C1829" s="13" t="s">
        <v>18</v>
      </c>
      <c r="D1829" s="40">
        <v>0</v>
      </c>
    </row>
    <row r="1830" spans="1:4" ht="22.5" customHeight="1" x14ac:dyDescent="0.15">
      <c r="A1830" s="16" t="s">
        <v>1234</v>
      </c>
      <c r="B1830" s="12" t="s">
        <v>3075</v>
      </c>
      <c r="C1830" s="13" t="s">
        <v>30</v>
      </c>
      <c r="D1830" s="40">
        <v>0</v>
      </c>
    </row>
    <row r="1831" spans="1:4" ht="22.5" customHeight="1" x14ac:dyDescent="0.15">
      <c r="A1831" s="16" t="s">
        <v>1234</v>
      </c>
      <c r="B1831" s="12" t="s">
        <v>3076</v>
      </c>
      <c r="C1831" s="13" t="s">
        <v>136</v>
      </c>
      <c r="D1831" s="40">
        <v>0</v>
      </c>
    </row>
    <row r="1832" spans="1:4" ht="22.5" customHeight="1" x14ac:dyDescent="0.15">
      <c r="A1832" s="16" t="s">
        <v>572</v>
      </c>
      <c r="B1832" s="12" t="s">
        <v>3077</v>
      </c>
      <c r="C1832" s="13" t="s">
        <v>30</v>
      </c>
      <c r="D1832" s="40">
        <v>0</v>
      </c>
    </row>
    <row r="1833" spans="1:4" ht="22.5" customHeight="1" x14ac:dyDescent="0.15">
      <c r="A1833" s="16" t="s">
        <v>120</v>
      </c>
      <c r="B1833" s="12" t="s">
        <v>3078</v>
      </c>
      <c r="C1833" s="13" t="s">
        <v>18</v>
      </c>
      <c r="D1833" s="40">
        <v>0</v>
      </c>
    </row>
    <row r="1834" spans="1:4" ht="22.5" customHeight="1" x14ac:dyDescent="0.15">
      <c r="A1834" s="16" t="s">
        <v>543</v>
      </c>
      <c r="B1834" s="12" t="s">
        <v>3080</v>
      </c>
      <c r="C1834" s="13" t="s">
        <v>18</v>
      </c>
      <c r="D1834" s="40">
        <v>0</v>
      </c>
    </row>
    <row r="1835" spans="1:4" ht="22.5" customHeight="1" x14ac:dyDescent="0.15">
      <c r="A1835" s="16" t="s">
        <v>582</v>
      </c>
      <c r="B1835" s="12" t="s">
        <v>3081</v>
      </c>
      <c r="C1835" s="13" t="s">
        <v>30</v>
      </c>
      <c r="D1835" s="40">
        <v>0</v>
      </c>
    </row>
    <row r="1836" spans="1:4" ht="22.5" customHeight="1" x14ac:dyDescent="0.15">
      <c r="A1836" s="16" t="s">
        <v>234</v>
      </c>
      <c r="B1836" s="12" t="s">
        <v>3082</v>
      </c>
      <c r="C1836" s="13" t="s">
        <v>88</v>
      </c>
      <c r="D1836" s="40">
        <v>0</v>
      </c>
    </row>
    <row r="1837" spans="1:4" ht="22.5" customHeight="1" x14ac:dyDescent="0.15">
      <c r="A1837" s="16" t="s">
        <v>86</v>
      </c>
      <c r="B1837" s="12" t="s">
        <v>3083</v>
      </c>
      <c r="C1837" s="13" t="s">
        <v>18</v>
      </c>
      <c r="D1837" s="40">
        <v>0</v>
      </c>
    </row>
    <row r="1838" spans="1:4" ht="22.5" customHeight="1" x14ac:dyDescent="0.15">
      <c r="A1838" s="16" t="s">
        <v>2345</v>
      </c>
      <c r="B1838" s="12" t="s">
        <v>3084</v>
      </c>
      <c r="C1838" s="13" t="s">
        <v>342</v>
      </c>
      <c r="D1838" s="40">
        <v>0</v>
      </c>
    </row>
    <row r="1839" spans="1:4" ht="22.5" customHeight="1" x14ac:dyDescent="0.15">
      <c r="A1839" s="16" t="s">
        <v>70</v>
      </c>
      <c r="B1839" s="12" t="s">
        <v>3086</v>
      </c>
      <c r="C1839" s="13" t="s">
        <v>12</v>
      </c>
      <c r="D1839" s="40">
        <v>0</v>
      </c>
    </row>
    <row r="1840" spans="1:4" ht="22.5" customHeight="1" x14ac:dyDescent="0.15">
      <c r="A1840" s="16" t="s">
        <v>70</v>
      </c>
      <c r="B1840" s="12" t="s">
        <v>3088</v>
      </c>
      <c r="C1840" s="13" t="s">
        <v>18</v>
      </c>
      <c r="D1840" s="40">
        <v>0</v>
      </c>
    </row>
    <row r="1841" spans="1:4" ht="22.5" customHeight="1" x14ac:dyDescent="0.15">
      <c r="A1841" s="16" t="s">
        <v>70</v>
      </c>
      <c r="B1841" s="12" t="s">
        <v>3089</v>
      </c>
      <c r="C1841" s="13" t="s">
        <v>219</v>
      </c>
      <c r="D1841" s="40">
        <v>0</v>
      </c>
    </row>
    <row r="1842" spans="1:4" ht="22.5" customHeight="1" x14ac:dyDescent="0.15">
      <c r="A1842" s="16" t="s">
        <v>70</v>
      </c>
      <c r="B1842" s="12" t="s">
        <v>3090</v>
      </c>
      <c r="C1842" s="13" t="s">
        <v>219</v>
      </c>
      <c r="D1842" s="40">
        <v>0</v>
      </c>
    </row>
    <row r="1843" spans="1:4" ht="22.5" customHeight="1" x14ac:dyDescent="0.15">
      <c r="A1843" s="16" t="s">
        <v>2742</v>
      </c>
      <c r="B1843" s="12" t="s">
        <v>3091</v>
      </c>
      <c r="C1843" s="13" t="s">
        <v>30</v>
      </c>
      <c r="D1843" s="40">
        <v>0</v>
      </c>
    </row>
    <row r="1844" spans="1:4" ht="22.5" customHeight="1" x14ac:dyDescent="0.15">
      <c r="A1844" s="16" t="s">
        <v>133</v>
      </c>
      <c r="B1844" s="12" t="s">
        <v>3092</v>
      </c>
      <c r="C1844" s="13" t="s">
        <v>30</v>
      </c>
      <c r="D1844" s="40">
        <v>0</v>
      </c>
    </row>
    <row r="1845" spans="1:4" ht="22.5" customHeight="1" x14ac:dyDescent="0.15">
      <c r="A1845" s="16" t="s">
        <v>133</v>
      </c>
      <c r="B1845" s="12" t="s">
        <v>3093</v>
      </c>
      <c r="C1845" s="13" t="s">
        <v>30</v>
      </c>
      <c r="D1845" s="40">
        <v>0</v>
      </c>
    </row>
    <row r="1846" spans="1:4" ht="22.5" customHeight="1" x14ac:dyDescent="0.15">
      <c r="A1846" s="16" t="s">
        <v>142</v>
      </c>
      <c r="B1846" s="12" t="s">
        <v>3094</v>
      </c>
      <c r="C1846" s="13" t="s">
        <v>18</v>
      </c>
      <c r="D1846" s="40">
        <v>0</v>
      </c>
    </row>
    <row r="1847" spans="1:4" ht="22.5" customHeight="1" x14ac:dyDescent="0.15">
      <c r="A1847" s="16" t="s">
        <v>151</v>
      </c>
      <c r="B1847" s="12" t="s">
        <v>3095</v>
      </c>
      <c r="C1847" s="13" t="s">
        <v>23</v>
      </c>
      <c r="D1847" s="40">
        <v>0</v>
      </c>
    </row>
    <row r="1848" spans="1:4" ht="22.5" customHeight="1" x14ac:dyDescent="0.15">
      <c r="A1848" s="16" t="s">
        <v>154</v>
      </c>
      <c r="B1848" s="12" t="s">
        <v>3096</v>
      </c>
      <c r="C1848" s="13" t="s">
        <v>23</v>
      </c>
      <c r="D1848" s="40">
        <v>0</v>
      </c>
    </row>
    <row r="1849" spans="1:4" ht="22.5" customHeight="1" x14ac:dyDescent="0.15">
      <c r="A1849" s="16" t="s">
        <v>154</v>
      </c>
      <c r="B1849" s="12" t="s">
        <v>3097</v>
      </c>
      <c r="C1849" s="13" t="s">
        <v>77</v>
      </c>
      <c r="D1849" s="40">
        <v>0</v>
      </c>
    </row>
    <row r="1850" spans="1:4" ht="22.5" customHeight="1" x14ac:dyDescent="0.15">
      <c r="A1850" s="16" t="s">
        <v>157</v>
      </c>
      <c r="B1850" s="12" t="s">
        <v>3098</v>
      </c>
      <c r="C1850" s="13" t="s">
        <v>88</v>
      </c>
      <c r="D1850" s="40">
        <v>0</v>
      </c>
    </row>
    <row r="1851" spans="1:4" ht="22.5" customHeight="1" x14ac:dyDescent="0.15">
      <c r="A1851" s="16" t="s">
        <v>160</v>
      </c>
      <c r="B1851" s="12" t="s">
        <v>3099</v>
      </c>
      <c r="C1851" s="13" t="s">
        <v>12</v>
      </c>
      <c r="D1851" s="40">
        <v>0</v>
      </c>
    </row>
    <row r="1852" spans="1:4" ht="22.5" customHeight="1" x14ac:dyDescent="0.15">
      <c r="A1852" s="16" t="s">
        <v>166</v>
      </c>
      <c r="B1852" s="12" t="s">
        <v>3100</v>
      </c>
      <c r="C1852" s="13" t="s">
        <v>115</v>
      </c>
      <c r="D1852" s="40">
        <v>0</v>
      </c>
    </row>
    <row r="1853" spans="1:4" ht="22.5" customHeight="1" x14ac:dyDescent="0.15">
      <c r="A1853" s="16" t="s">
        <v>1680</v>
      </c>
      <c r="B1853" s="12" t="s">
        <v>3101</v>
      </c>
      <c r="C1853" s="13" t="s">
        <v>30</v>
      </c>
      <c r="D1853" s="40">
        <v>0</v>
      </c>
    </row>
    <row r="1854" spans="1:4" ht="22.5" customHeight="1" x14ac:dyDescent="0.15">
      <c r="A1854" s="16" t="s">
        <v>175</v>
      </c>
      <c r="B1854" s="12" t="s">
        <v>3102</v>
      </c>
      <c r="C1854" s="13" t="s">
        <v>88</v>
      </c>
      <c r="D1854" s="40">
        <v>0</v>
      </c>
    </row>
    <row r="1855" spans="1:4" ht="22.5" customHeight="1" x14ac:dyDescent="0.15">
      <c r="A1855" s="16" t="s">
        <v>175</v>
      </c>
      <c r="B1855" s="12" t="s">
        <v>3103</v>
      </c>
      <c r="C1855" s="13" t="s">
        <v>342</v>
      </c>
      <c r="D1855" s="40">
        <v>0</v>
      </c>
    </row>
    <row r="1856" spans="1:4" ht="22.5" customHeight="1" x14ac:dyDescent="0.15">
      <c r="A1856" s="16" t="s">
        <v>175</v>
      </c>
      <c r="B1856" s="12" t="s">
        <v>3104</v>
      </c>
      <c r="C1856" s="13" t="s">
        <v>30</v>
      </c>
      <c r="D1856" s="40">
        <v>0</v>
      </c>
    </row>
    <row r="1857" spans="1:4" ht="22.5" customHeight="1" x14ac:dyDescent="0.15">
      <c r="A1857" s="16" t="s">
        <v>193</v>
      </c>
      <c r="B1857" s="12" t="s">
        <v>3105</v>
      </c>
      <c r="C1857" s="13" t="s">
        <v>83</v>
      </c>
      <c r="D1857" s="40">
        <v>0</v>
      </c>
    </row>
    <row r="1858" spans="1:4" ht="22.5" customHeight="1" x14ac:dyDescent="0.15">
      <c r="A1858" s="16" t="s">
        <v>193</v>
      </c>
      <c r="B1858" s="12" t="s">
        <v>3106</v>
      </c>
      <c r="C1858" s="13" t="s">
        <v>88</v>
      </c>
      <c r="D1858" s="40">
        <v>0</v>
      </c>
    </row>
    <row r="1859" spans="1:4" ht="22.5" customHeight="1" x14ac:dyDescent="0.15">
      <c r="A1859" s="16" t="s">
        <v>1456</v>
      </c>
      <c r="B1859" s="12" t="s">
        <v>3107</v>
      </c>
      <c r="C1859" s="13" t="s">
        <v>18</v>
      </c>
      <c r="D1859" s="40">
        <v>0</v>
      </c>
    </row>
    <row r="1860" spans="1:4" ht="22.5" customHeight="1" x14ac:dyDescent="0.15">
      <c r="A1860" s="16" t="s">
        <v>207</v>
      </c>
      <c r="B1860" s="12" t="s">
        <v>3108</v>
      </c>
      <c r="C1860" s="13" t="s">
        <v>88</v>
      </c>
      <c r="D1860" s="40">
        <v>0</v>
      </c>
    </row>
    <row r="1861" spans="1:4" ht="22.5" customHeight="1" x14ac:dyDescent="0.15">
      <c r="A1861" s="16" t="s">
        <v>212</v>
      </c>
      <c r="B1861" s="12" t="s">
        <v>3109</v>
      </c>
      <c r="C1861" s="13" t="s">
        <v>77</v>
      </c>
      <c r="D1861" s="40">
        <v>0</v>
      </c>
    </row>
    <row r="1862" spans="1:4" ht="22.5" customHeight="1" x14ac:dyDescent="0.15">
      <c r="A1862" s="16" t="s">
        <v>9</v>
      </c>
      <c r="B1862" s="12" t="s">
        <v>3110</v>
      </c>
      <c r="C1862" s="13" t="s">
        <v>23</v>
      </c>
      <c r="D1862" s="40">
        <v>0</v>
      </c>
    </row>
    <row r="1863" spans="1:4" ht="22.5" customHeight="1" x14ac:dyDescent="0.15">
      <c r="A1863" s="16" t="s">
        <v>2831</v>
      </c>
      <c r="B1863" s="12" t="s">
        <v>3111</v>
      </c>
      <c r="C1863" s="13" t="s">
        <v>23</v>
      </c>
      <c r="D1863" s="40">
        <v>0</v>
      </c>
    </row>
    <row r="1864" spans="1:4" ht="22.5" customHeight="1" x14ac:dyDescent="0.15">
      <c r="A1864" s="16" t="s">
        <v>15</v>
      </c>
      <c r="B1864" s="12" t="s">
        <v>3112</v>
      </c>
      <c r="C1864" s="13" t="s">
        <v>18</v>
      </c>
      <c r="D1864" s="40">
        <v>0</v>
      </c>
    </row>
    <row r="1865" spans="1:4" ht="22.5" customHeight="1" x14ac:dyDescent="0.15">
      <c r="A1865" s="16" t="s">
        <v>844</v>
      </c>
      <c r="B1865" s="12" t="s">
        <v>3113</v>
      </c>
      <c r="C1865" s="13" t="s">
        <v>12</v>
      </c>
      <c r="D1865" s="40">
        <v>0</v>
      </c>
    </row>
    <row r="1866" spans="1:4" ht="22.5" customHeight="1" x14ac:dyDescent="0.15">
      <c r="A1866" s="16" t="s">
        <v>245</v>
      </c>
      <c r="B1866" s="12" t="s">
        <v>3114</v>
      </c>
      <c r="C1866" s="13" t="s">
        <v>219</v>
      </c>
      <c r="D1866" s="40">
        <v>0</v>
      </c>
    </row>
    <row r="1867" spans="1:4" ht="22.5" customHeight="1" x14ac:dyDescent="0.15">
      <c r="A1867" s="16" t="s">
        <v>1492</v>
      </c>
      <c r="B1867" s="12" t="s">
        <v>3115</v>
      </c>
      <c r="C1867" s="13" t="s">
        <v>18</v>
      </c>
      <c r="D1867" s="40">
        <v>0</v>
      </c>
    </row>
    <row r="1868" spans="1:4" ht="22.5" customHeight="1" x14ac:dyDescent="0.15">
      <c r="A1868" s="16" t="s">
        <v>271</v>
      </c>
      <c r="B1868" s="12" t="s">
        <v>3116</v>
      </c>
      <c r="C1868" s="13" t="s">
        <v>115</v>
      </c>
      <c r="D1868" s="40">
        <v>0</v>
      </c>
    </row>
    <row r="1869" spans="1:4" ht="22.5" customHeight="1" x14ac:dyDescent="0.15">
      <c r="A1869" s="16" t="s">
        <v>306</v>
      </c>
      <c r="B1869" s="12" t="s">
        <v>3117</v>
      </c>
      <c r="C1869" s="13" t="s">
        <v>12</v>
      </c>
      <c r="D1869" s="40">
        <v>0</v>
      </c>
    </row>
    <row r="1870" spans="1:4" ht="22.5" customHeight="1" x14ac:dyDescent="0.15">
      <c r="A1870" s="16" t="s">
        <v>327</v>
      </c>
      <c r="B1870" s="12" t="s">
        <v>3118</v>
      </c>
      <c r="C1870" s="13" t="s">
        <v>30</v>
      </c>
      <c r="D1870" s="40">
        <v>0</v>
      </c>
    </row>
    <row r="1871" spans="1:4" ht="22.5" customHeight="1" x14ac:dyDescent="0.15">
      <c r="A1871" s="16" t="s">
        <v>654</v>
      </c>
      <c r="B1871" s="12" t="s">
        <v>3119</v>
      </c>
      <c r="C1871" s="13" t="s">
        <v>30</v>
      </c>
      <c r="D1871" s="40">
        <v>0</v>
      </c>
    </row>
    <row r="1872" spans="1:4" ht="22.5" customHeight="1" x14ac:dyDescent="0.15">
      <c r="A1872" s="16" t="s">
        <v>359</v>
      </c>
      <c r="B1872" s="12" t="s">
        <v>3120</v>
      </c>
      <c r="C1872" s="13" t="s">
        <v>18</v>
      </c>
      <c r="D1872" s="40">
        <v>0</v>
      </c>
    </row>
    <row r="1873" spans="1:4" ht="22.5" customHeight="1" x14ac:dyDescent="0.15">
      <c r="A1873" s="16" t="s">
        <v>1013</v>
      </c>
      <c r="B1873" s="12" t="s">
        <v>3121</v>
      </c>
      <c r="C1873" s="13" t="s">
        <v>18</v>
      </c>
      <c r="D1873" s="40">
        <v>0</v>
      </c>
    </row>
    <row r="1874" spans="1:4" ht="22.5" customHeight="1" x14ac:dyDescent="0.15">
      <c r="A1874" s="16" t="s">
        <v>86</v>
      </c>
      <c r="B1874" s="12" t="s">
        <v>3122</v>
      </c>
      <c r="C1874" s="13" t="s">
        <v>18</v>
      </c>
      <c r="D1874" s="40">
        <v>0</v>
      </c>
    </row>
    <row r="1875" spans="1:4" ht="22.5" customHeight="1" x14ac:dyDescent="0.15">
      <c r="A1875" s="16" t="s">
        <v>86</v>
      </c>
      <c r="B1875" s="12" t="s">
        <v>3123</v>
      </c>
      <c r="C1875" s="13" t="s">
        <v>18</v>
      </c>
      <c r="D1875" s="40">
        <v>0</v>
      </c>
    </row>
    <row r="1876" spans="1:4" ht="22.5" customHeight="1" x14ac:dyDescent="0.15">
      <c r="A1876" s="16" t="s">
        <v>1057</v>
      </c>
      <c r="B1876" s="12" t="s">
        <v>3110</v>
      </c>
      <c r="C1876" s="13" t="s">
        <v>23</v>
      </c>
      <c r="D1876" s="40">
        <v>0</v>
      </c>
    </row>
    <row r="1877" spans="1:4" ht="22.5" customHeight="1" x14ac:dyDescent="0.15">
      <c r="A1877" s="16" t="s">
        <v>391</v>
      </c>
      <c r="B1877" s="12" t="s">
        <v>3124</v>
      </c>
      <c r="C1877" s="13" t="s">
        <v>23</v>
      </c>
      <c r="D1877" s="40">
        <v>0</v>
      </c>
    </row>
    <row r="1878" spans="1:4" ht="22.5" customHeight="1" x14ac:dyDescent="0.15">
      <c r="A1878" s="16" t="s">
        <v>401</v>
      </c>
      <c r="B1878" s="12" t="s">
        <v>3125</v>
      </c>
      <c r="C1878" s="13" t="s">
        <v>115</v>
      </c>
      <c r="D1878" s="40">
        <v>0</v>
      </c>
    </row>
    <row r="1879" spans="1:4" ht="22.5" customHeight="1" x14ac:dyDescent="0.15">
      <c r="A1879" s="16" t="s">
        <v>401</v>
      </c>
      <c r="B1879" s="12" t="s">
        <v>3126</v>
      </c>
      <c r="C1879" s="13" t="s">
        <v>30</v>
      </c>
      <c r="D1879" s="40">
        <v>0</v>
      </c>
    </row>
    <row r="1880" spans="1:4" ht="22.5" customHeight="1" x14ac:dyDescent="0.15">
      <c r="A1880" s="16" t="s">
        <v>2244</v>
      </c>
      <c r="B1880" s="12" t="s">
        <v>3127</v>
      </c>
      <c r="C1880" s="13" t="s">
        <v>23</v>
      </c>
      <c r="D1880" s="40">
        <v>0</v>
      </c>
    </row>
    <row r="1881" spans="1:4" ht="22.5" customHeight="1" x14ac:dyDescent="0.15">
      <c r="A1881" s="16" t="s">
        <v>425</v>
      </c>
      <c r="B1881" s="12" t="s">
        <v>3128</v>
      </c>
      <c r="C1881" s="13" t="s">
        <v>88</v>
      </c>
      <c r="D1881" s="40">
        <v>0</v>
      </c>
    </row>
    <row r="1882" spans="1:4" ht="22.5" customHeight="1" x14ac:dyDescent="0.15">
      <c r="A1882" s="16" t="s">
        <v>45</v>
      </c>
      <c r="B1882" s="12" t="s">
        <v>3129</v>
      </c>
      <c r="C1882" s="13" t="s">
        <v>23</v>
      </c>
      <c r="D1882" s="40">
        <v>0</v>
      </c>
    </row>
    <row r="1883" spans="1:4" ht="22.5" customHeight="1" x14ac:dyDescent="0.15">
      <c r="A1883" s="16" t="s">
        <v>468</v>
      </c>
      <c r="B1883" s="12" t="s">
        <v>3130</v>
      </c>
      <c r="C1883" s="13" t="s">
        <v>30</v>
      </c>
      <c r="D1883" s="40">
        <v>0</v>
      </c>
    </row>
    <row r="1884" spans="1:4" ht="22.5" customHeight="1" x14ac:dyDescent="0.15">
      <c r="A1884" s="16" t="s">
        <v>468</v>
      </c>
      <c r="B1884" s="12" t="s">
        <v>3131</v>
      </c>
      <c r="C1884" s="13" t="s">
        <v>30</v>
      </c>
      <c r="D1884" s="40">
        <v>0</v>
      </c>
    </row>
    <row r="1885" spans="1:4" ht="22.5" customHeight="1" x14ac:dyDescent="0.15">
      <c r="A1885" s="16" t="s">
        <v>497</v>
      </c>
      <c r="B1885" s="12" t="s">
        <v>3132</v>
      </c>
      <c r="C1885" s="13" t="s">
        <v>88</v>
      </c>
      <c r="D1885" s="40">
        <v>0</v>
      </c>
    </row>
    <row r="1886" spans="1:4" ht="22.5" customHeight="1" x14ac:dyDescent="0.15">
      <c r="A1886" s="16" t="s">
        <v>497</v>
      </c>
      <c r="B1886" s="12" t="s">
        <v>3133</v>
      </c>
      <c r="C1886" s="13" t="s">
        <v>12</v>
      </c>
      <c r="D1886" s="40">
        <v>0</v>
      </c>
    </row>
    <row r="1887" spans="1:4" ht="22.5" customHeight="1" x14ac:dyDescent="0.15">
      <c r="A1887" s="16" t="s">
        <v>500</v>
      </c>
      <c r="B1887" s="12" t="s">
        <v>3134</v>
      </c>
      <c r="C1887" s="13" t="s">
        <v>18</v>
      </c>
      <c r="D1887" s="40">
        <v>0</v>
      </c>
    </row>
    <row r="1888" spans="1:4" ht="22.5" customHeight="1" x14ac:dyDescent="0.15">
      <c r="A1888" s="16" t="s">
        <v>511</v>
      </c>
      <c r="B1888" s="12" t="s">
        <v>3135</v>
      </c>
      <c r="C1888" s="13" t="s">
        <v>136</v>
      </c>
      <c r="D1888" s="40">
        <v>0</v>
      </c>
    </row>
    <row r="1889" spans="1:4" ht="22.5" customHeight="1" x14ac:dyDescent="0.15">
      <c r="A1889" s="16" t="s">
        <v>523</v>
      </c>
      <c r="B1889" s="12" t="s">
        <v>3136</v>
      </c>
      <c r="C1889" s="13" t="s">
        <v>115</v>
      </c>
      <c r="D1889" s="40">
        <v>0</v>
      </c>
    </row>
    <row r="1890" spans="1:4" ht="22.5" customHeight="1" x14ac:dyDescent="0.15">
      <c r="A1890" s="16" t="s">
        <v>523</v>
      </c>
      <c r="B1890" s="12" t="s">
        <v>3137</v>
      </c>
      <c r="C1890" s="13" t="s">
        <v>83</v>
      </c>
      <c r="D1890" s="40">
        <v>0</v>
      </c>
    </row>
    <row r="1891" spans="1:4" ht="22.5" customHeight="1" x14ac:dyDescent="0.15">
      <c r="A1891" s="16" t="s">
        <v>1242</v>
      </c>
      <c r="B1891" s="12" t="s">
        <v>3138</v>
      </c>
      <c r="C1891" s="13" t="s">
        <v>18</v>
      </c>
      <c r="D1891" s="40">
        <v>0</v>
      </c>
    </row>
    <row r="1892" spans="1:4" ht="22.5" customHeight="1" x14ac:dyDescent="0.15">
      <c r="A1892" s="16" t="s">
        <v>557</v>
      </c>
      <c r="B1892" s="12" t="s">
        <v>3139</v>
      </c>
      <c r="C1892" s="13" t="s">
        <v>30</v>
      </c>
      <c r="D1892" s="40">
        <v>0</v>
      </c>
    </row>
    <row r="1893" spans="1:4" ht="22.5" customHeight="1" x14ac:dyDescent="0.15">
      <c r="A1893" s="16" t="s">
        <v>1255</v>
      </c>
      <c r="B1893" s="12" t="s">
        <v>3113</v>
      </c>
      <c r="C1893" s="13" t="s">
        <v>12</v>
      </c>
      <c r="D1893" s="40">
        <v>0</v>
      </c>
    </row>
    <row r="1894" spans="1:4" ht="22.5" customHeight="1" x14ac:dyDescent="0.15">
      <c r="A1894" s="16" t="s">
        <v>65</v>
      </c>
      <c r="B1894" s="12" t="s">
        <v>3140</v>
      </c>
      <c r="C1894" s="13" t="s">
        <v>18</v>
      </c>
      <c r="D1894" s="40">
        <v>0</v>
      </c>
    </row>
    <row r="1895" spans="1:4" ht="22.5" customHeight="1" x14ac:dyDescent="0.15">
      <c r="A1895" s="16" t="s">
        <v>476</v>
      </c>
      <c r="B1895" s="12" t="s">
        <v>3141</v>
      </c>
      <c r="C1895" s="13" t="s">
        <v>30</v>
      </c>
      <c r="D1895" s="40">
        <v>0</v>
      </c>
    </row>
    <row r="1896" spans="1:4" ht="22.5" customHeight="1" x14ac:dyDescent="0.15">
      <c r="A1896" s="16" t="s">
        <v>568</v>
      </c>
      <c r="B1896" s="12" t="s">
        <v>3143</v>
      </c>
      <c r="C1896" s="13" t="s">
        <v>30</v>
      </c>
      <c r="D1896" s="40">
        <v>0</v>
      </c>
    </row>
    <row r="1897" spans="1:4" ht="22.5" customHeight="1" x14ac:dyDescent="0.15">
      <c r="A1897" s="16" t="s">
        <v>133</v>
      </c>
      <c r="B1897" s="12" t="s">
        <v>3144</v>
      </c>
      <c r="C1897" s="13" t="s">
        <v>30</v>
      </c>
      <c r="D1897" s="40">
        <v>0</v>
      </c>
    </row>
    <row r="1898" spans="1:4" ht="22.5" customHeight="1" x14ac:dyDescent="0.15">
      <c r="A1898" s="16" t="s">
        <v>327</v>
      </c>
      <c r="B1898" s="12" t="s">
        <v>3145</v>
      </c>
      <c r="C1898" s="13" t="s">
        <v>23</v>
      </c>
      <c r="D1898" s="40">
        <v>0</v>
      </c>
    </row>
    <row r="1899" spans="1:4" ht="22.5" customHeight="1" x14ac:dyDescent="0.15">
      <c r="A1899" s="16" t="s">
        <v>395</v>
      </c>
      <c r="B1899" s="12" t="s">
        <v>3146</v>
      </c>
      <c r="C1899" s="13" t="s">
        <v>18</v>
      </c>
      <c r="D1899" s="40">
        <v>0</v>
      </c>
    </row>
    <row r="1900" spans="1:4" ht="22.5" customHeight="1" x14ac:dyDescent="0.15">
      <c r="A1900" s="16" t="s">
        <v>463</v>
      </c>
      <c r="B1900" s="12" t="s">
        <v>3145</v>
      </c>
      <c r="C1900" s="13" t="s">
        <v>23</v>
      </c>
      <c r="D1900" s="40">
        <v>0</v>
      </c>
    </row>
    <row r="1901" spans="1:4" ht="22.5" customHeight="1" x14ac:dyDescent="0.15">
      <c r="A1901" s="16" t="s">
        <v>425</v>
      </c>
      <c r="B1901" s="12" t="s">
        <v>3147</v>
      </c>
      <c r="C1901" s="13" t="s">
        <v>88</v>
      </c>
      <c r="D1901" s="40">
        <v>0</v>
      </c>
    </row>
    <row r="1902" spans="1:4" ht="22.5" customHeight="1" x14ac:dyDescent="0.15">
      <c r="A1902" s="16" t="s">
        <v>399</v>
      </c>
      <c r="B1902" s="12" t="s">
        <v>3148</v>
      </c>
      <c r="C1902" s="13" t="s">
        <v>83</v>
      </c>
      <c r="D1902" s="40">
        <v>0</v>
      </c>
    </row>
    <row r="1903" spans="1:4" ht="22.5" customHeight="1" x14ac:dyDescent="0.15">
      <c r="A1903" s="16" t="s">
        <v>395</v>
      </c>
      <c r="B1903" s="12" t="s">
        <v>3149</v>
      </c>
      <c r="C1903" s="13" t="s">
        <v>115</v>
      </c>
      <c r="D1903" s="40">
        <v>0</v>
      </c>
    </row>
    <row r="1904" spans="1:4" ht="22.5" customHeight="1" x14ac:dyDescent="0.15">
      <c r="A1904" s="16" t="s">
        <v>683</v>
      </c>
      <c r="B1904" s="12" t="s">
        <v>3150</v>
      </c>
      <c r="C1904" s="13" t="s">
        <v>88</v>
      </c>
      <c r="D1904" s="40">
        <v>0</v>
      </c>
    </row>
    <row r="1905" spans="1:4" ht="22.5" customHeight="1" x14ac:dyDescent="0.15">
      <c r="A1905" s="16" t="s">
        <v>347</v>
      </c>
      <c r="B1905" s="12" t="s">
        <v>3152</v>
      </c>
      <c r="C1905" s="13" t="s">
        <v>30</v>
      </c>
      <c r="D1905" s="40">
        <v>0</v>
      </c>
    </row>
    <row r="1906" spans="1:4" ht="22.5" customHeight="1" x14ac:dyDescent="0.15">
      <c r="A1906" s="16" t="s">
        <v>668</v>
      </c>
      <c r="B1906" s="12" t="s">
        <v>3153</v>
      </c>
      <c r="C1906" s="13" t="s">
        <v>77</v>
      </c>
      <c r="D1906" s="40">
        <v>0</v>
      </c>
    </row>
    <row r="1907" spans="1:4" ht="22.5" customHeight="1" x14ac:dyDescent="0.15">
      <c r="A1907" s="16" t="s">
        <v>668</v>
      </c>
      <c r="B1907" s="12" t="s">
        <v>3154</v>
      </c>
      <c r="C1907" s="13" t="s">
        <v>12</v>
      </c>
      <c r="D1907" s="40">
        <v>0</v>
      </c>
    </row>
    <row r="1908" spans="1:4" ht="22.5" customHeight="1" x14ac:dyDescent="0.15">
      <c r="A1908" s="16" t="s">
        <v>15</v>
      </c>
      <c r="B1908" s="12" t="s">
        <v>3155</v>
      </c>
      <c r="C1908" s="13" t="s">
        <v>88</v>
      </c>
      <c r="D1908" s="40">
        <v>0</v>
      </c>
    </row>
    <row r="1909" spans="1:4" ht="22.5" customHeight="1" x14ac:dyDescent="0.15">
      <c r="A1909" s="16" t="s">
        <v>696</v>
      </c>
      <c r="B1909" s="12" t="s">
        <v>3156</v>
      </c>
      <c r="C1909" s="13" t="s">
        <v>12</v>
      </c>
      <c r="D1909" s="40">
        <v>0</v>
      </c>
    </row>
    <row r="1910" spans="1:4" ht="22.5" customHeight="1" x14ac:dyDescent="0.15">
      <c r="A1910" s="16" t="s">
        <v>546</v>
      </c>
      <c r="B1910" s="12" t="s">
        <v>3157</v>
      </c>
      <c r="C1910" s="13" t="s">
        <v>88</v>
      </c>
      <c r="D1910" s="40">
        <v>0</v>
      </c>
    </row>
    <row r="1911" spans="1:4" ht="22.5" customHeight="1" x14ac:dyDescent="0.15">
      <c r="A1911" s="16" t="s">
        <v>577</v>
      </c>
      <c r="B1911" s="12" t="s">
        <v>3158</v>
      </c>
      <c r="C1911" s="13" t="s">
        <v>77</v>
      </c>
      <c r="D1911" s="40">
        <v>0</v>
      </c>
    </row>
    <row r="1912" spans="1:4" ht="22.5" customHeight="1" x14ac:dyDescent="0.15">
      <c r="A1912" s="16" t="s">
        <v>154</v>
      </c>
      <c r="B1912" s="12" t="s">
        <v>3159</v>
      </c>
      <c r="C1912" s="13" t="s">
        <v>18</v>
      </c>
      <c r="D1912" s="40">
        <v>0</v>
      </c>
    </row>
    <row r="1913" spans="1:4" ht="22.5" customHeight="1" x14ac:dyDescent="0.15">
      <c r="A1913" s="16" t="s">
        <v>249</v>
      </c>
      <c r="B1913" s="12" t="s">
        <v>3161</v>
      </c>
      <c r="C1913" s="13" t="s">
        <v>18</v>
      </c>
      <c r="D1913" s="40">
        <v>0</v>
      </c>
    </row>
    <row r="1914" spans="1:4" ht="22.5" customHeight="1" x14ac:dyDescent="0.15">
      <c r="A1914" s="16" t="s">
        <v>256</v>
      </c>
      <c r="B1914" s="12" t="s">
        <v>3162</v>
      </c>
      <c r="C1914" s="13" t="s">
        <v>136</v>
      </c>
      <c r="D1914" s="40">
        <v>0</v>
      </c>
    </row>
    <row r="1915" spans="1:4" ht="22.5" customHeight="1" x14ac:dyDescent="0.15">
      <c r="A1915" s="16" t="s">
        <v>3165</v>
      </c>
      <c r="B1915" s="12" t="s">
        <v>3166</v>
      </c>
      <c r="C1915" s="13" t="s">
        <v>136</v>
      </c>
      <c r="D1915" s="40">
        <v>0</v>
      </c>
    </row>
    <row r="1916" spans="1:4" ht="22.5" customHeight="1" x14ac:dyDescent="0.15">
      <c r="A1916" s="16" t="s">
        <v>271</v>
      </c>
      <c r="B1916" s="12" t="s">
        <v>3167</v>
      </c>
      <c r="C1916" s="13" t="s">
        <v>136</v>
      </c>
      <c r="D1916" s="40">
        <v>0</v>
      </c>
    </row>
    <row r="1917" spans="1:4" ht="22.5" customHeight="1" x14ac:dyDescent="0.15">
      <c r="A1917" s="16" t="s">
        <v>955</v>
      </c>
      <c r="B1917" s="12" t="s">
        <v>3168</v>
      </c>
      <c r="C1917" s="13" t="s">
        <v>18</v>
      </c>
      <c r="D1917" s="40">
        <v>0</v>
      </c>
    </row>
    <row r="1918" spans="1:4" ht="22.5" customHeight="1" x14ac:dyDescent="0.15">
      <c r="A1918" s="16" t="s">
        <v>955</v>
      </c>
      <c r="B1918" s="12" t="s">
        <v>3169</v>
      </c>
      <c r="C1918" s="13" t="s">
        <v>18</v>
      </c>
      <c r="D1918" s="40">
        <v>0</v>
      </c>
    </row>
    <row r="1919" spans="1:4" ht="22.5" customHeight="1" x14ac:dyDescent="0.15">
      <c r="A1919" s="16" t="s">
        <v>955</v>
      </c>
      <c r="B1919" s="12" t="s">
        <v>3170</v>
      </c>
      <c r="C1919" s="13" t="s">
        <v>18</v>
      </c>
      <c r="D1919" s="40">
        <v>0</v>
      </c>
    </row>
    <row r="1920" spans="1:4" ht="22.5" customHeight="1" x14ac:dyDescent="0.15">
      <c r="A1920" s="16" t="s">
        <v>399</v>
      </c>
      <c r="B1920" s="12" t="s">
        <v>3161</v>
      </c>
      <c r="C1920" s="13" t="s">
        <v>18</v>
      </c>
      <c r="D1920" s="40">
        <v>0</v>
      </c>
    </row>
    <row r="1921" spans="1:4" ht="22.5" customHeight="1" x14ac:dyDescent="0.15">
      <c r="A1921" s="16" t="s">
        <v>1832</v>
      </c>
      <c r="B1921" s="12" t="s">
        <v>3171</v>
      </c>
      <c r="C1921" s="13" t="s">
        <v>136</v>
      </c>
      <c r="D1921" s="40">
        <v>0</v>
      </c>
    </row>
    <row r="1922" spans="1:4" ht="22.5" customHeight="1" x14ac:dyDescent="0.15">
      <c r="A1922" s="16" t="s">
        <v>577</v>
      </c>
      <c r="B1922" s="12" t="s">
        <v>3172</v>
      </c>
      <c r="C1922" s="13" t="s">
        <v>18</v>
      </c>
      <c r="D1922" s="40">
        <v>0</v>
      </c>
    </row>
    <row r="1923" spans="1:4" ht="22.5" customHeight="1" x14ac:dyDescent="0.15">
      <c r="A1923" s="16" t="s">
        <v>955</v>
      </c>
      <c r="B1923" s="12" t="s">
        <v>3173</v>
      </c>
      <c r="C1923" s="13" t="s">
        <v>18</v>
      </c>
      <c r="D1923" s="40">
        <v>0</v>
      </c>
    </row>
    <row r="1924" spans="1:4" ht="22.5" customHeight="1" x14ac:dyDescent="0.15">
      <c r="A1924" s="16" t="s">
        <v>1242</v>
      </c>
      <c r="B1924" s="12" t="s">
        <v>3175</v>
      </c>
      <c r="C1924" s="13" t="s">
        <v>18</v>
      </c>
      <c r="D1924" s="40">
        <v>0</v>
      </c>
    </row>
    <row r="1925" spans="1:4" ht="22.5" customHeight="1" x14ac:dyDescent="0.15">
      <c r="A1925" s="16" t="s">
        <v>32</v>
      </c>
      <c r="B1925" s="12" t="s">
        <v>3176</v>
      </c>
      <c r="C1925" s="13" t="s">
        <v>18</v>
      </c>
      <c r="D1925" s="40">
        <v>0</v>
      </c>
    </row>
    <row r="1926" spans="1:4" ht="22.5" customHeight="1" x14ac:dyDescent="0.15">
      <c r="A1926" s="16" t="s">
        <v>955</v>
      </c>
      <c r="B1926" s="12" t="s">
        <v>3178</v>
      </c>
      <c r="C1926" s="13" t="s">
        <v>18</v>
      </c>
      <c r="D1926" s="40">
        <v>0</v>
      </c>
    </row>
    <row r="1927" spans="1:4" ht="22.5" customHeight="1" x14ac:dyDescent="0.15">
      <c r="A1927" s="16" t="s">
        <v>955</v>
      </c>
      <c r="B1927" s="12" t="s">
        <v>3179</v>
      </c>
      <c r="C1927" s="13" t="s">
        <v>18</v>
      </c>
      <c r="D1927" s="40">
        <v>0</v>
      </c>
    </row>
    <row r="1928" spans="1:4" ht="22.5" customHeight="1" x14ac:dyDescent="0.15">
      <c r="A1928" s="16" t="s">
        <v>107</v>
      </c>
      <c r="B1928" s="12" t="s">
        <v>3180</v>
      </c>
      <c r="C1928" s="13" t="s">
        <v>18</v>
      </c>
      <c r="D1928" s="40">
        <v>0</v>
      </c>
    </row>
    <row r="1929" spans="1:4" ht="22.5" customHeight="1" x14ac:dyDescent="0.15">
      <c r="A1929" s="16" t="s">
        <v>112</v>
      </c>
      <c r="B1929" s="12" t="s">
        <v>3180</v>
      </c>
      <c r="C1929" s="13" t="s">
        <v>18</v>
      </c>
      <c r="D1929" s="40">
        <v>0</v>
      </c>
    </row>
    <row r="1930" spans="1:4" ht="22.5" customHeight="1" x14ac:dyDescent="0.15">
      <c r="A1930" s="16" t="s">
        <v>154</v>
      </c>
      <c r="B1930" s="12" t="s">
        <v>3182</v>
      </c>
      <c r="C1930" s="13" t="s">
        <v>18</v>
      </c>
      <c r="D1930" s="40">
        <v>0</v>
      </c>
    </row>
    <row r="1931" spans="1:4" ht="22.5" customHeight="1" x14ac:dyDescent="0.15">
      <c r="A1931" s="16" t="s">
        <v>94</v>
      </c>
      <c r="B1931" s="12" t="s">
        <v>3184</v>
      </c>
      <c r="C1931" s="13" t="s">
        <v>136</v>
      </c>
      <c r="D1931" s="40">
        <v>0</v>
      </c>
    </row>
    <row r="1932" spans="1:4" ht="22.5" customHeight="1" x14ac:dyDescent="0.15">
      <c r="A1932" s="16" t="s">
        <v>94</v>
      </c>
      <c r="B1932" s="12" t="s">
        <v>3186</v>
      </c>
      <c r="C1932" s="13" t="s">
        <v>30</v>
      </c>
      <c r="D1932" s="40">
        <v>0</v>
      </c>
    </row>
    <row r="1933" spans="1:4" ht="22.5" customHeight="1" x14ac:dyDescent="0.15">
      <c r="A1933" s="16" t="s">
        <v>249</v>
      </c>
      <c r="B1933" s="12" t="s">
        <v>3187</v>
      </c>
      <c r="C1933" s="13" t="s">
        <v>136</v>
      </c>
      <c r="D1933" s="40">
        <v>0</v>
      </c>
    </row>
    <row r="1934" spans="1:4" ht="22.5" customHeight="1" x14ac:dyDescent="0.15">
      <c r="A1934" s="16" t="s">
        <v>399</v>
      </c>
      <c r="B1934" s="12" t="s">
        <v>3187</v>
      </c>
      <c r="C1934" s="13" t="s">
        <v>136</v>
      </c>
      <c r="D1934" s="40">
        <v>0</v>
      </c>
    </row>
    <row r="1935" spans="1:4" ht="22.5" customHeight="1" x14ac:dyDescent="0.15">
      <c r="A1935" s="16" t="s">
        <v>15</v>
      </c>
      <c r="B1935" s="12" t="s">
        <v>3188</v>
      </c>
      <c r="C1935" s="13" t="s">
        <v>18</v>
      </c>
      <c r="D1935" s="40">
        <v>0</v>
      </c>
    </row>
    <row r="1936" spans="1:4" ht="22.5" customHeight="1" x14ac:dyDescent="0.15">
      <c r="A1936" s="16" t="s">
        <v>1191</v>
      </c>
      <c r="B1936" s="12" t="s">
        <v>3189</v>
      </c>
      <c r="C1936" s="13" t="s">
        <v>18</v>
      </c>
      <c r="D1936" s="40">
        <v>0</v>
      </c>
    </row>
    <row r="1937" spans="1:4" ht="22.5" customHeight="1" x14ac:dyDescent="0.15">
      <c r="A1937" s="16" t="s">
        <v>166</v>
      </c>
      <c r="B1937" s="12" t="s">
        <v>3190</v>
      </c>
      <c r="C1937" s="13" t="s">
        <v>30</v>
      </c>
      <c r="D1937" s="40">
        <v>0</v>
      </c>
    </row>
    <row r="1938" spans="1:4" ht="22.5" customHeight="1" x14ac:dyDescent="0.15">
      <c r="A1938" s="16" t="s">
        <v>166</v>
      </c>
      <c r="B1938" s="12" t="s">
        <v>3191</v>
      </c>
      <c r="C1938" s="13" t="s">
        <v>115</v>
      </c>
      <c r="D1938" s="40">
        <v>0</v>
      </c>
    </row>
    <row r="1939" spans="1:4" ht="22.5" customHeight="1" x14ac:dyDescent="0.15">
      <c r="A1939" s="16" t="s">
        <v>395</v>
      </c>
      <c r="B1939" s="12" t="s">
        <v>3192</v>
      </c>
      <c r="C1939" s="13" t="s">
        <v>30</v>
      </c>
      <c r="D1939" s="40">
        <v>0</v>
      </c>
    </row>
    <row r="1940" spans="1:4" ht="22.5" customHeight="1" x14ac:dyDescent="0.15">
      <c r="A1940" s="16" t="s">
        <v>395</v>
      </c>
      <c r="B1940" s="12" t="s">
        <v>3193</v>
      </c>
      <c r="C1940" s="13" t="s">
        <v>30</v>
      </c>
      <c r="D1940" s="40">
        <v>0</v>
      </c>
    </row>
    <row r="1941" spans="1:4" ht="22.5" customHeight="1" x14ac:dyDescent="0.15">
      <c r="A1941" s="16" t="s">
        <v>395</v>
      </c>
      <c r="B1941" s="12" t="s">
        <v>3194</v>
      </c>
      <c r="C1941" s="13" t="s">
        <v>83</v>
      </c>
      <c r="D1941" s="40">
        <v>0</v>
      </c>
    </row>
    <row r="1942" spans="1:4" ht="22.5" customHeight="1" x14ac:dyDescent="0.15">
      <c r="A1942" s="16" t="s">
        <v>1165</v>
      </c>
      <c r="B1942" s="12" t="s">
        <v>3195</v>
      </c>
      <c r="C1942" s="13" t="s">
        <v>88</v>
      </c>
      <c r="D1942" s="40">
        <v>0</v>
      </c>
    </row>
    <row r="1943" spans="1:4" ht="22.5" customHeight="1" x14ac:dyDescent="0.15">
      <c r="A1943" s="16" t="s">
        <v>166</v>
      </c>
      <c r="B1943" s="12" t="s">
        <v>3196</v>
      </c>
      <c r="C1943" s="13" t="s">
        <v>30</v>
      </c>
      <c r="D1943" s="40">
        <v>0</v>
      </c>
    </row>
  </sheetData>
  <dataValidations count="1">
    <dataValidation type="list" allowBlank="1" sqref="C2:C1943" xr:uid="{00000000-0002-0000-0800-000000000000}">
      <formula1>"Commit&amp;PR rule,Task Execution,Documentation,Coding Pattern,Code Review,Writing Style Preference,Coding Style,Testing,Maintainability,Build &amp; Operation,Performance,Security,Other,NOT_ENOUGH_CONTEXT"</formula1>
    </dataValidation>
  </dataValidations>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2" r:id="rId21" xr:uid="{00000000-0004-0000-0800-000014000000}"/>
    <hyperlink ref="A23" r:id="rId22" xr:uid="{00000000-0004-0000-0800-000015000000}"/>
    <hyperlink ref="A24" r:id="rId23" xr:uid="{00000000-0004-0000-0800-000016000000}"/>
    <hyperlink ref="A25" r:id="rId24" xr:uid="{00000000-0004-0000-0800-000017000000}"/>
    <hyperlink ref="A26" r:id="rId25" xr:uid="{00000000-0004-0000-0800-000018000000}"/>
    <hyperlink ref="A27" r:id="rId26" xr:uid="{00000000-0004-0000-0800-000019000000}"/>
    <hyperlink ref="A28" r:id="rId27" xr:uid="{00000000-0004-0000-0800-00001A000000}"/>
    <hyperlink ref="A29" r:id="rId28" xr:uid="{00000000-0004-0000-0800-00001B000000}"/>
    <hyperlink ref="A30" r:id="rId29" xr:uid="{00000000-0004-0000-0800-00001C000000}"/>
    <hyperlink ref="A31" r:id="rId30" xr:uid="{00000000-0004-0000-0800-00001D000000}"/>
    <hyperlink ref="A32" r:id="rId31" xr:uid="{00000000-0004-0000-0800-00001E000000}"/>
    <hyperlink ref="A33" r:id="rId32" xr:uid="{00000000-0004-0000-0800-00001F000000}"/>
    <hyperlink ref="A34" r:id="rId33" xr:uid="{00000000-0004-0000-0800-000020000000}"/>
    <hyperlink ref="A35" r:id="rId34" xr:uid="{00000000-0004-0000-0800-000021000000}"/>
    <hyperlink ref="A36" r:id="rId35" xr:uid="{00000000-0004-0000-0800-000022000000}"/>
    <hyperlink ref="A37" r:id="rId36" xr:uid="{00000000-0004-0000-0800-000023000000}"/>
    <hyperlink ref="A38" r:id="rId37" xr:uid="{00000000-0004-0000-0800-000024000000}"/>
    <hyperlink ref="A39" r:id="rId38" xr:uid="{00000000-0004-0000-0800-000025000000}"/>
    <hyperlink ref="A40" r:id="rId39" xr:uid="{00000000-0004-0000-0800-000026000000}"/>
    <hyperlink ref="A41" r:id="rId40" xr:uid="{00000000-0004-0000-0800-000027000000}"/>
    <hyperlink ref="A42" r:id="rId41" xr:uid="{00000000-0004-0000-0800-000028000000}"/>
    <hyperlink ref="A43" r:id="rId42" xr:uid="{00000000-0004-0000-0800-000029000000}"/>
    <hyperlink ref="A44" r:id="rId43" xr:uid="{00000000-0004-0000-0800-00002A000000}"/>
    <hyperlink ref="A45" r:id="rId44" xr:uid="{00000000-0004-0000-0800-00002B000000}"/>
    <hyperlink ref="A46" r:id="rId45" xr:uid="{00000000-0004-0000-0800-00002C000000}"/>
    <hyperlink ref="A47" r:id="rId46" xr:uid="{00000000-0004-0000-0800-00002D000000}"/>
    <hyperlink ref="A48" r:id="rId47" xr:uid="{00000000-0004-0000-0800-00002E000000}"/>
    <hyperlink ref="A49" r:id="rId48" xr:uid="{00000000-0004-0000-0800-00002F000000}"/>
    <hyperlink ref="A50" r:id="rId49" xr:uid="{00000000-0004-0000-0800-000030000000}"/>
    <hyperlink ref="A51" r:id="rId50" xr:uid="{00000000-0004-0000-0800-000031000000}"/>
    <hyperlink ref="A52" r:id="rId51" xr:uid="{00000000-0004-0000-0800-000032000000}"/>
    <hyperlink ref="A53" r:id="rId52" xr:uid="{00000000-0004-0000-0800-000033000000}"/>
    <hyperlink ref="A54" r:id="rId53" xr:uid="{00000000-0004-0000-0800-000034000000}"/>
    <hyperlink ref="A55" r:id="rId54" xr:uid="{00000000-0004-0000-0800-000035000000}"/>
    <hyperlink ref="A56" r:id="rId55" xr:uid="{00000000-0004-0000-0800-000036000000}"/>
    <hyperlink ref="A57" r:id="rId56" xr:uid="{00000000-0004-0000-0800-000037000000}"/>
    <hyperlink ref="A58" r:id="rId57" xr:uid="{00000000-0004-0000-0800-000038000000}"/>
    <hyperlink ref="A59" r:id="rId58" xr:uid="{00000000-0004-0000-0800-000039000000}"/>
    <hyperlink ref="A60" r:id="rId59" xr:uid="{00000000-0004-0000-0800-00003A000000}"/>
    <hyperlink ref="A61" r:id="rId60" xr:uid="{00000000-0004-0000-0800-00003B000000}"/>
    <hyperlink ref="A62" r:id="rId61" xr:uid="{00000000-0004-0000-0800-00003C000000}"/>
    <hyperlink ref="A63" r:id="rId62" xr:uid="{00000000-0004-0000-0800-00003D000000}"/>
    <hyperlink ref="A64" r:id="rId63" xr:uid="{00000000-0004-0000-0800-00003E000000}"/>
    <hyperlink ref="A65" r:id="rId64" xr:uid="{00000000-0004-0000-0800-00003F000000}"/>
    <hyperlink ref="A66" r:id="rId65" xr:uid="{00000000-0004-0000-0800-000040000000}"/>
    <hyperlink ref="A67" r:id="rId66" xr:uid="{00000000-0004-0000-0800-000041000000}"/>
    <hyperlink ref="A68" r:id="rId67" xr:uid="{00000000-0004-0000-0800-000042000000}"/>
    <hyperlink ref="A69" r:id="rId68" xr:uid="{00000000-0004-0000-0800-000043000000}"/>
    <hyperlink ref="A70" r:id="rId69" xr:uid="{00000000-0004-0000-0800-000044000000}"/>
    <hyperlink ref="A71" r:id="rId70" xr:uid="{00000000-0004-0000-0800-000045000000}"/>
    <hyperlink ref="A72" r:id="rId71" xr:uid="{00000000-0004-0000-0800-000046000000}"/>
    <hyperlink ref="A73" r:id="rId72" xr:uid="{00000000-0004-0000-0800-000047000000}"/>
    <hyperlink ref="A74" r:id="rId73" xr:uid="{00000000-0004-0000-0800-000048000000}"/>
    <hyperlink ref="A75" r:id="rId74" xr:uid="{00000000-0004-0000-0800-000049000000}"/>
    <hyperlink ref="A76" r:id="rId75" xr:uid="{00000000-0004-0000-0800-00004A000000}"/>
    <hyperlink ref="A77" r:id="rId76" xr:uid="{00000000-0004-0000-0800-00004B000000}"/>
    <hyperlink ref="A78" r:id="rId77" xr:uid="{00000000-0004-0000-0800-00004C000000}"/>
    <hyperlink ref="A79" r:id="rId78" xr:uid="{00000000-0004-0000-0800-00004D000000}"/>
    <hyperlink ref="A80" r:id="rId79" xr:uid="{00000000-0004-0000-0800-00004E000000}"/>
    <hyperlink ref="A81" r:id="rId80" xr:uid="{00000000-0004-0000-0800-00004F000000}"/>
    <hyperlink ref="A82" r:id="rId81" xr:uid="{00000000-0004-0000-0800-000050000000}"/>
    <hyperlink ref="A83" r:id="rId82" xr:uid="{00000000-0004-0000-0800-000051000000}"/>
    <hyperlink ref="A84" r:id="rId83" xr:uid="{00000000-0004-0000-0800-000052000000}"/>
    <hyperlink ref="A85" r:id="rId84" xr:uid="{00000000-0004-0000-0800-000053000000}"/>
    <hyperlink ref="A86" r:id="rId85" xr:uid="{00000000-0004-0000-0800-000054000000}"/>
    <hyperlink ref="A87" r:id="rId86" xr:uid="{00000000-0004-0000-0800-000055000000}"/>
    <hyperlink ref="A88" r:id="rId87" xr:uid="{00000000-0004-0000-0800-000056000000}"/>
    <hyperlink ref="A89" r:id="rId88" xr:uid="{00000000-0004-0000-0800-000057000000}"/>
    <hyperlink ref="A90" r:id="rId89" xr:uid="{00000000-0004-0000-0800-000058000000}"/>
    <hyperlink ref="A91" r:id="rId90" xr:uid="{00000000-0004-0000-0800-000059000000}"/>
    <hyperlink ref="A92" r:id="rId91" xr:uid="{00000000-0004-0000-0800-00005A000000}"/>
    <hyperlink ref="A93" r:id="rId92" xr:uid="{00000000-0004-0000-0800-00005B000000}"/>
    <hyperlink ref="A94" r:id="rId93" xr:uid="{00000000-0004-0000-0800-00005C000000}"/>
    <hyperlink ref="A95" r:id="rId94" xr:uid="{00000000-0004-0000-0800-00005D000000}"/>
    <hyperlink ref="A96" r:id="rId95" xr:uid="{00000000-0004-0000-0800-00005E000000}"/>
    <hyperlink ref="A97" r:id="rId96" xr:uid="{00000000-0004-0000-0800-00005F000000}"/>
    <hyperlink ref="A98" r:id="rId97" xr:uid="{00000000-0004-0000-0800-000060000000}"/>
    <hyperlink ref="A99" r:id="rId98" xr:uid="{00000000-0004-0000-0800-000061000000}"/>
    <hyperlink ref="A100" r:id="rId99" xr:uid="{00000000-0004-0000-0800-000062000000}"/>
    <hyperlink ref="A101" r:id="rId100" xr:uid="{00000000-0004-0000-0800-000063000000}"/>
    <hyperlink ref="A102" r:id="rId101" xr:uid="{00000000-0004-0000-0800-000064000000}"/>
    <hyperlink ref="A103" r:id="rId102" xr:uid="{00000000-0004-0000-0800-000065000000}"/>
    <hyperlink ref="A104" r:id="rId103" xr:uid="{00000000-0004-0000-0800-000066000000}"/>
    <hyperlink ref="A105" r:id="rId104" xr:uid="{00000000-0004-0000-0800-000067000000}"/>
    <hyperlink ref="A106" r:id="rId105" xr:uid="{00000000-0004-0000-0800-000068000000}"/>
    <hyperlink ref="A107" r:id="rId106" xr:uid="{00000000-0004-0000-0800-000069000000}"/>
    <hyperlink ref="A108" r:id="rId107" xr:uid="{00000000-0004-0000-0800-00006A000000}"/>
    <hyperlink ref="A109" r:id="rId108" xr:uid="{00000000-0004-0000-0800-00006B000000}"/>
    <hyperlink ref="A110" r:id="rId109" xr:uid="{00000000-0004-0000-0800-00006C000000}"/>
    <hyperlink ref="A111" r:id="rId110" xr:uid="{00000000-0004-0000-0800-00006D000000}"/>
    <hyperlink ref="A112" r:id="rId111" xr:uid="{00000000-0004-0000-0800-00006E000000}"/>
    <hyperlink ref="A113" r:id="rId112" xr:uid="{00000000-0004-0000-0800-00006F000000}"/>
    <hyperlink ref="A114" r:id="rId113" xr:uid="{00000000-0004-0000-0800-000070000000}"/>
    <hyperlink ref="A115" r:id="rId114" xr:uid="{00000000-0004-0000-0800-000071000000}"/>
    <hyperlink ref="A116" r:id="rId115" xr:uid="{00000000-0004-0000-0800-000072000000}"/>
    <hyperlink ref="A117" r:id="rId116" xr:uid="{00000000-0004-0000-0800-000073000000}"/>
    <hyperlink ref="A118" r:id="rId117" xr:uid="{00000000-0004-0000-0800-000074000000}"/>
    <hyperlink ref="A119" r:id="rId118" xr:uid="{00000000-0004-0000-0800-000075000000}"/>
    <hyperlink ref="A120" r:id="rId119" xr:uid="{00000000-0004-0000-0800-000076000000}"/>
    <hyperlink ref="A121" r:id="rId120" xr:uid="{00000000-0004-0000-0800-000077000000}"/>
    <hyperlink ref="A122" r:id="rId121" xr:uid="{00000000-0004-0000-0800-000078000000}"/>
    <hyperlink ref="A123" r:id="rId122" xr:uid="{00000000-0004-0000-0800-000079000000}"/>
    <hyperlink ref="A124" r:id="rId123" xr:uid="{00000000-0004-0000-0800-00007A000000}"/>
    <hyperlink ref="A125" r:id="rId124" xr:uid="{00000000-0004-0000-0800-00007B000000}"/>
    <hyperlink ref="A126" r:id="rId125" xr:uid="{00000000-0004-0000-0800-00007C000000}"/>
    <hyperlink ref="A127" r:id="rId126" xr:uid="{00000000-0004-0000-0800-00007D000000}"/>
    <hyperlink ref="A128" r:id="rId127" xr:uid="{00000000-0004-0000-0800-00007E000000}"/>
    <hyperlink ref="A129" r:id="rId128" xr:uid="{00000000-0004-0000-0800-00007F000000}"/>
    <hyperlink ref="A130" r:id="rId129" xr:uid="{00000000-0004-0000-0800-000080000000}"/>
    <hyperlink ref="A131" r:id="rId130" xr:uid="{00000000-0004-0000-0800-000081000000}"/>
    <hyperlink ref="A132" r:id="rId131" xr:uid="{00000000-0004-0000-0800-000082000000}"/>
    <hyperlink ref="A133" r:id="rId132" xr:uid="{00000000-0004-0000-0800-000083000000}"/>
    <hyperlink ref="A134" r:id="rId133" xr:uid="{00000000-0004-0000-0800-000084000000}"/>
    <hyperlink ref="A135" r:id="rId134" xr:uid="{00000000-0004-0000-0800-000085000000}"/>
    <hyperlink ref="A136" r:id="rId135" xr:uid="{00000000-0004-0000-0800-000086000000}"/>
    <hyperlink ref="A137" r:id="rId136" xr:uid="{00000000-0004-0000-0800-000087000000}"/>
    <hyperlink ref="A138" r:id="rId137" xr:uid="{00000000-0004-0000-0800-000088000000}"/>
    <hyperlink ref="A139" r:id="rId138" xr:uid="{00000000-0004-0000-0800-000089000000}"/>
    <hyperlink ref="A140" r:id="rId139" xr:uid="{00000000-0004-0000-0800-00008A000000}"/>
    <hyperlink ref="A141" r:id="rId140" xr:uid="{00000000-0004-0000-0800-00008B000000}"/>
    <hyperlink ref="A142" r:id="rId141" xr:uid="{00000000-0004-0000-0800-00008C000000}"/>
    <hyperlink ref="A143" r:id="rId142" xr:uid="{00000000-0004-0000-0800-00008D000000}"/>
    <hyperlink ref="A144" r:id="rId143" xr:uid="{00000000-0004-0000-0800-00008E000000}"/>
    <hyperlink ref="A145" r:id="rId144" xr:uid="{00000000-0004-0000-0800-00008F000000}"/>
    <hyperlink ref="A146" r:id="rId145" xr:uid="{00000000-0004-0000-0800-000090000000}"/>
    <hyperlink ref="A147" r:id="rId146" xr:uid="{00000000-0004-0000-0800-000091000000}"/>
    <hyperlink ref="A148" r:id="rId147" xr:uid="{00000000-0004-0000-0800-000092000000}"/>
    <hyperlink ref="A149" r:id="rId148" xr:uid="{00000000-0004-0000-0800-000093000000}"/>
    <hyperlink ref="A150" r:id="rId149" xr:uid="{00000000-0004-0000-0800-000094000000}"/>
    <hyperlink ref="A151" r:id="rId150" xr:uid="{00000000-0004-0000-0800-000095000000}"/>
    <hyperlink ref="A152" r:id="rId151" xr:uid="{00000000-0004-0000-0800-000096000000}"/>
    <hyperlink ref="A153" r:id="rId152" xr:uid="{00000000-0004-0000-0800-000097000000}"/>
    <hyperlink ref="A154" r:id="rId153" xr:uid="{00000000-0004-0000-0800-000098000000}"/>
    <hyperlink ref="A155" r:id="rId154" xr:uid="{00000000-0004-0000-0800-000099000000}"/>
    <hyperlink ref="A156" r:id="rId155" xr:uid="{00000000-0004-0000-0800-00009A000000}"/>
    <hyperlink ref="A157" r:id="rId156" xr:uid="{00000000-0004-0000-0800-00009B000000}"/>
    <hyperlink ref="A158" r:id="rId157" xr:uid="{00000000-0004-0000-0800-00009C000000}"/>
    <hyperlink ref="A159" r:id="rId158" xr:uid="{00000000-0004-0000-0800-00009D000000}"/>
    <hyperlink ref="A160" r:id="rId159" xr:uid="{00000000-0004-0000-0800-00009E000000}"/>
    <hyperlink ref="A161" r:id="rId160" xr:uid="{00000000-0004-0000-0800-00009F000000}"/>
    <hyperlink ref="A162" r:id="rId161" xr:uid="{00000000-0004-0000-0800-0000A0000000}"/>
    <hyperlink ref="A163" r:id="rId162" xr:uid="{00000000-0004-0000-0800-0000A1000000}"/>
    <hyperlink ref="A164" r:id="rId163" xr:uid="{00000000-0004-0000-0800-0000A2000000}"/>
    <hyperlink ref="A165" r:id="rId164" xr:uid="{00000000-0004-0000-0800-0000A3000000}"/>
    <hyperlink ref="A166" r:id="rId165" xr:uid="{00000000-0004-0000-0800-0000A4000000}"/>
    <hyperlink ref="A167" r:id="rId166" xr:uid="{00000000-0004-0000-0800-0000A5000000}"/>
    <hyperlink ref="A168" r:id="rId167" xr:uid="{00000000-0004-0000-0800-0000A6000000}"/>
    <hyperlink ref="A169" r:id="rId168" xr:uid="{00000000-0004-0000-0800-0000A7000000}"/>
    <hyperlink ref="A170" r:id="rId169" xr:uid="{00000000-0004-0000-0800-0000A8000000}"/>
    <hyperlink ref="A171" r:id="rId170" xr:uid="{00000000-0004-0000-0800-0000A9000000}"/>
    <hyperlink ref="A172" r:id="rId171" xr:uid="{00000000-0004-0000-0800-0000AA000000}"/>
    <hyperlink ref="A173" r:id="rId172" xr:uid="{00000000-0004-0000-0800-0000AB000000}"/>
    <hyperlink ref="A174" r:id="rId173" xr:uid="{00000000-0004-0000-0800-0000AC000000}"/>
    <hyperlink ref="A175" r:id="rId174" xr:uid="{00000000-0004-0000-0800-0000AD000000}"/>
    <hyperlink ref="A176" r:id="rId175" xr:uid="{00000000-0004-0000-0800-0000AE000000}"/>
    <hyperlink ref="A177" r:id="rId176" xr:uid="{00000000-0004-0000-0800-0000AF000000}"/>
    <hyperlink ref="A178" r:id="rId177" xr:uid="{00000000-0004-0000-0800-0000B0000000}"/>
    <hyperlink ref="A179" r:id="rId178" xr:uid="{00000000-0004-0000-0800-0000B1000000}"/>
    <hyperlink ref="A180" r:id="rId179" xr:uid="{00000000-0004-0000-0800-0000B2000000}"/>
    <hyperlink ref="A181" r:id="rId180" xr:uid="{00000000-0004-0000-0800-0000B3000000}"/>
    <hyperlink ref="A182" r:id="rId181" xr:uid="{00000000-0004-0000-0800-0000B4000000}"/>
    <hyperlink ref="A183" r:id="rId182" xr:uid="{00000000-0004-0000-0800-0000B5000000}"/>
    <hyperlink ref="A184" r:id="rId183" xr:uid="{00000000-0004-0000-0800-0000B6000000}"/>
    <hyperlink ref="A185" r:id="rId184" xr:uid="{00000000-0004-0000-0800-0000B7000000}"/>
    <hyperlink ref="A186" r:id="rId185" xr:uid="{00000000-0004-0000-0800-0000B8000000}"/>
    <hyperlink ref="A187" r:id="rId186" xr:uid="{00000000-0004-0000-0800-0000B9000000}"/>
    <hyperlink ref="A188" r:id="rId187" xr:uid="{00000000-0004-0000-0800-0000BA000000}"/>
    <hyperlink ref="A189" r:id="rId188" xr:uid="{00000000-0004-0000-0800-0000BB000000}"/>
    <hyperlink ref="A190" r:id="rId189" xr:uid="{00000000-0004-0000-0800-0000BC000000}"/>
    <hyperlink ref="A191" r:id="rId190" xr:uid="{00000000-0004-0000-0800-0000BD000000}"/>
    <hyperlink ref="A192" r:id="rId191" xr:uid="{00000000-0004-0000-0800-0000BE000000}"/>
    <hyperlink ref="A193" r:id="rId192" xr:uid="{00000000-0004-0000-0800-0000BF000000}"/>
    <hyperlink ref="A194" r:id="rId193" xr:uid="{00000000-0004-0000-0800-0000C0000000}"/>
    <hyperlink ref="A195" r:id="rId194" xr:uid="{00000000-0004-0000-0800-0000C1000000}"/>
    <hyperlink ref="A196" r:id="rId195" xr:uid="{00000000-0004-0000-0800-0000C2000000}"/>
    <hyperlink ref="A197" r:id="rId196" xr:uid="{00000000-0004-0000-0800-0000C3000000}"/>
    <hyperlink ref="A198" r:id="rId197" xr:uid="{00000000-0004-0000-0800-0000C4000000}"/>
    <hyperlink ref="A199" r:id="rId198" xr:uid="{00000000-0004-0000-0800-0000C5000000}"/>
    <hyperlink ref="A200" r:id="rId199" xr:uid="{00000000-0004-0000-0800-0000C6000000}"/>
    <hyperlink ref="A201" r:id="rId200" xr:uid="{00000000-0004-0000-0800-0000C7000000}"/>
    <hyperlink ref="A202" r:id="rId201" xr:uid="{00000000-0004-0000-0800-0000C8000000}"/>
    <hyperlink ref="A203" r:id="rId202" xr:uid="{00000000-0004-0000-0800-0000C9000000}"/>
    <hyperlink ref="A204" r:id="rId203" xr:uid="{00000000-0004-0000-0800-0000CA000000}"/>
    <hyperlink ref="A205" r:id="rId204" xr:uid="{00000000-0004-0000-0800-0000CB000000}"/>
    <hyperlink ref="A206" r:id="rId205" xr:uid="{00000000-0004-0000-0800-0000CC000000}"/>
    <hyperlink ref="A207" r:id="rId206" xr:uid="{00000000-0004-0000-0800-0000CD000000}"/>
    <hyperlink ref="A208" r:id="rId207" xr:uid="{00000000-0004-0000-0800-0000CE000000}"/>
    <hyperlink ref="A209" r:id="rId208" xr:uid="{00000000-0004-0000-0800-0000CF000000}"/>
    <hyperlink ref="A210" r:id="rId209" xr:uid="{00000000-0004-0000-0800-0000D0000000}"/>
    <hyperlink ref="A211" r:id="rId210" xr:uid="{00000000-0004-0000-0800-0000D1000000}"/>
    <hyperlink ref="A212" r:id="rId211" xr:uid="{00000000-0004-0000-0800-0000D2000000}"/>
    <hyperlink ref="A213" r:id="rId212" xr:uid="{00000000-0004-0000-0800-0000D3000000}"/>
    <hyperlink ref="A214" r:id="rId213" xr:uid="{00000000-0004-0000-0800-0000D4000000}"/>
    <hyperlink ref="A215" r:id="rId214" xr:uid="{00000000-0004-0000-0800-0000D5000000}"/>
    <hyperlink ref="A216" r:id="rId215" xr:uid="{00000000-0004-0000-0800-0000D6000000}"/>
    <hyperlink ref="A217" r:id="rId216" xr:uid="{00000000-0004-0000-0800-0000D7000000}"/>
    <hyperlink ref="A218" r:id="rId217" xr:uid="{00000000-0004-0000-0800-0000D8000000}"/>
    <hyperlink ref="A219" r:id="rId218" xr:uid="{00000000-0004-0000-0800-0000D9000000}"/>
    <hyperlink ref="A220" r:id="rId219" xr:uid="{00000000-0004-0000-0800-0000DA000000}"/>
    <hyperlink ref="A221" r:id="rId220" xr:uid="{00000000-0004-0000-0800-0000DB000000}"/>
    <hyperlink ref="A222" r:id="rId221" xr:uid="{00000000-0004-0000-0800-0000DC000000}"/>
    <hyperlink ref="A223" r:id="rId222" xr:uid="{00000000-0004-0000-0800-0000DD000000}"/>
    <hyperlink ref="A224" r:id="rId223" xr:uid="{00000000-0004-0000-0800-0000DE000000}"/>
    <hyperlink ref="A225" r:id="rId224" xr:uid="{00000000-0004-0000-0800-0000DF000000}"/>
    <hyperlink ref="A226" r:id="rId225" xr:uid="{00000000-0004-0000-0800-0000E0000000}"/>
    <hyperlink ref="A227" r:id="rId226" xr:uid="{00000000-0004-0000-0800-0000E1000000}"/>
    <hyperlink ref="A228" r:id="rId227" xr:uid="{00000000-0004-0000-0800-0000E2000000}"/>
    <hyperlink ref="A229" r:id="rId228" xr:uid="{00000000-0004-0000-0800-0000E3000000}"/>
    <hyperlink ref="A230" r:id="rId229" xr:uid="{00000000-0004-0000-0800-0000E4000000}"/>
    <hyperlink ref="A231" r:id="rId230" xr:uid="{00000000-0004-0000-0800-0000E5000000}"/>
    <hyperlink ref="A232" r:id="rId231" xr:uid="{00000000-0004-0000-0800-0000E6000000}"/>
    <hyperlink ref="A233" r:id="rId232" xr:uid="{00000000-0004-0000-0800-0000E7000000}"/>
    <hyperlink ref="A234" r:id="rId233" xr:uid="{00000000-0004-0000-0800-0000E8000000}"/>
    <hyperlink ref="A235" r:id="rId234" xr:uid="{00000000-0004-0000-0800-0000E9000000}"/>
    <hyperlink ref="A236" r:id="rId235" xr:uid="{00000000-0004-0000-0800-0000EA000000}"/>
    <hyperlink ref="A237" r:id="rId236" xr:uid="{00000000-0004-0000-0800-0000EB000000}"/>
    <hyperlink ref="A238" r:id="rId237" xr:uid="{00000000-0004-0000-0800-0000EC000000}"/>
    <hyperlink ref="A239" r:id="rId238" xr:uid="{00000000-0004-0000-0800-0000ED000000}"/>
    <hyperlink ref="A240" r:id="rId239" xr:uid="{00000000-0004-0000-0800-0000EE000000}"/>
    <hyperlink ref="A241" r:id="rId240" xr:uid="{00000000-0004-0000-0800-0000EF000000}"/>
    <hyperlink ref="A242" r:id="rId241" xr:uid="{00000000-0004-0000-0800-0000F0000000}"/>
    <hyperlink ref="A243" r:id="rId242" xr:uid="{00000000-0004-0000-0800-0000F1000000}"/>
    <hyperlink ref="A244" r:id="rId243" xr:uid="{00000000-0004-0000-0800-0000F2000000}"/>
    <hyperlink ref="A245" r:id="rId244" xr:uid="{00000000-0004-0000-0800-0000F3000000}"/>
    <hyperlink ref="A246" r:id="rId245" xr:uid="{00000000-0004-0000-0800-0000F4000000}"/>
    <hyperlink ref="A247" r:id="rId246" xr:uid="{00000000-0004-0000-0800-0000F5000000}"/>
    <hyperlink ref="A248" r:id="rId247" xr:uid="{00000000-0004-0000-0800-0000F6000000}"/>
    <hyperlink ref="A249" r:id="rId248" xr:uid="{00000000-0004-0000-0800-0000F7000000}"/>
    <hyperlink ref="A250" r:id="rId249" xr:uid="{00000000-0004-0000-0800-0000F8000000}"/>
    <hyperlink ref="A251" r:id="rId250" xr:uid="{00000000-0004-0000-0800-0000F9000000}"/>
    <hyperlink ref="A252" r:id="rId251" xr:uid="{00000000-0004-0000-0800-0000FA000000}"/>
    <hyperlink ref="A253" r:id="rId252" xr:uid="{00000000-0004-0000-0800-0000FB000000}"/>
    <hyperlink ref="A254" r:id="rId253" xr:uid="{00000000-0004-0000-0800-0000FC000000}"/>
    <hyperlink ref="A255" r:id="rId254" xr:uid="{00000000-0004-0000-0800-0000FD000000}"/>
    <hyperlink ref="A256" r:id="rId255" xr:uid="{00000000-0004-0000-0800-0000FE000000}"/>
    <hyperlink ref="A257" r:id="rId256" xr:uid="{00000000-0004-0000-0800-0000FF000000}"/>
    <hyperlink ref="A258" r:id="rId257" xr:uid="{00000000-0004-0000-0800-000000010000}"/>
    <hyperlink ref="A259" r:id="rId258" xr:uid="{00000000-0004-0000-0800-000001010000}"/>
    <hyperlink ref="A260" r:id="rId259" xr:uid="{00000000-0004-0000-0800-000002010000}"/>
    <hyperlink ref="A261" r:id="rId260" xr:uid="{00000000-0004-0000-0800-000003010000}"/>
    <hyperlink ref="A262" r:id="rId261" xr:uid="{00000000-0004-0000-0800-000004010000}"/>
    <hyperlink ref="A263" r:id="rId262" xr:uid="{00000000-0004-0000-0800-000005010000}"/>
    <hyperlink ref="A264" r:id="rId263" xr:uid="{00000000-0004-0000-0800-000006010000}"/>
    <hyperlink ref="A265" r:id="rId264" xr:uid="{00000000-0004-0000-0800-000007010000}"/>
    <hyperlink ref="A266" r:id="rId265" xr:uid="{00000000-0004-0000-0800-000008010000}"/>
    <hyperlink ref="A267" r:id="rId266" xr:uid="{00000000-0004-0000-0800-000009010000}"/>
    <hyperlink ref="A268" r:id="rId267" xr:uid="{00000000-0004-0000-0800-00000A010000}"/>
    <hyperlink ref="A269" r:id="rId268" xr:uid="{00000000-0004-0000-0800-00000B010000}"/>
    <hyperlink ref="A270" r:id="rId269" xr:uid="{00000000-0004-0000-0800-00000C010000}"/>
    <hyperlink ref="A271" r:id="rId270" xr:uid="{00000000-0004-0000-0800-00000D010000}"/>
    <hyperlink ref="A272" r:id="rId271" xr:uid="{00000000-0004-0000-0800-00000E010000}"/>
    <hyperlink ref="A273" r:id="rId272" xr:uid="{00000000-0004-0000-0800-00000F010000}"/>
    <hyperlink ref="A274" r:id="rId273" xr:uid="{00000000-0004-0000-0800-000010010000}"/>
    <hyperlink ref="A275" r:id="rId274" xr:uid="{00000000-0004-0000-0800-000011010000}"/>
    <hyperlink ref="A276" r:id="rId275" xr:uid="{00000000-0004-0000-0800-000012010000}"/>
    <hyperlink ref="A277" r:id="rId276" xr:uid="{00000000-0004-0000-0800-000013010000}"/>
    <hyperlink ref="A278" r:id="rId277" xr:uid="{00000000-0004-0000-0800-000014010000}"/>
    <hyperlink ref="A279" r:id="rId278" xr:uid="{00000000-0004-0000-0800-000015010000}"/>
    <hyperlink ref="A280" r:id="rId279" xr:uid="{00000000-0004-0000-0800-000016010000}"/>
    <hyperlink ref="A281" r:id="rId280" xr:uid="{00000000-0004-0000-0800-000017010000}"/>
    <hyperlink ref="A282" r:id="rId281" xr:uid="{00000000-0004-0000-0800-000018010000}"/>
    <hyperlink ref="A283" r:id="rId282" xr:uid="{00000000-0004-0000-0800-000019010000}"/>
    <hyperlink ref="A284" r:id="rId283" xr:uid="{00000000-0004-0000-0800-00001A010000}"/>
    <hyperlink ref="A285" r:id="rId284" xr:uid="{00000000-0004-0000-0800-00001B010000}"/>
    <hyperlink ref="A286" r:id="rId285" xr:uid="{00000000-0004-0000-0800-00001C010000}"/>
    <hyperlink ref="A287" r:id="rId286" xr:uid="{00000000-0004-0000-0800-00001D010000}"/>
    <hyperlink ref="A288" r:id="rId287" xr:uid="{00000000-0004-0000-0800-00001E010000}"/>
    <hyperlink ref="A289" r:id="rId288" xr:uid="{00000000-0004-0000-0800-00001F010000}"/>
    <hyperlink ref="A290" r:id="rId289" xr:uid="{00000000-0004-0000-0800-000020010000}"/>
    <hyperlink ref="A291" r:id="rId290" xr:uid="{00000000-0004-0000-0800-000021010000}"/>
    <hyperlink ref="A292" r:id="rId291" xr:uid="{00000000-0004-0000-0800-000022010000}"/>
    <hyperlink ref="A293" r:id="rId292" xr:uid="{00000000-0004-0000-0800-000023010000}"/>
    <hyperlink ref="A294" r:id="rId293" xr:uid="{00000000-0004-0000-0800-000024010000}"/>
    <hyperlink ref="A295" r:id="rId294" xr:uid="{00000000-0004-0000-0800-000025010000}"/>
    <hyperlink ref="A296" r:id="rId295" xr:uid="{00000000-0004-0000-0800-000026010000}"/>
    <hyperlink ref="A297" r:id="rId296" xr:uid="{00000000-0004-0000-0800-000027010000}"/>
    <hyperlink ref="A298" r:id="rId297" xr:uid="{00000000-0004-0000-0800-000028010000}"/>
    <hyperlink ref="A299" r:id="rId298" xr:uid="{00000000-0004-0000-0800-000029010000}"/>
    <hyperlink ref="A300" r:id="rId299" xr:uid="{00000000-0004-0000-0800-00002A010000}"/>
    <hyperlink ref="A301" r:id="rId300" xr:uid="{00000000-0004-0000-0800-00002B010000}"/>
    <hyperlink ref="A302" r:id="rId301" xr:uid="{00000000-0004-0000-0800-00002C010000}"/>
    <hyperlink ref="A303" r:id="rId302" xr:uid="{00000000-0004-0000-0800-00002D010000}"/>
    <hyperlink ref="A304" r:id="rId303" xr:uid="{00000000-0004-0000-0800-00002E010000}"/>
    <hyperlink ref="A305" r:id="rId304" xr:uid="{00000000-0004-0000-0800-00002F010000}"/>
    <hyperlink ref="A306" r:id="rId305" xr:uid="{00000000-0004-0000-0800-000030010000}"/>
    <hyperlink ref="A307" r:id="rId306" xr:uid="{00000000-0004-0000-0800-000031010000}"/>
    <hyperlink ref="A308" r:id="rId307" xr:uid="{00000000-0004-0000-0800-000032010000}"/>
    <hyperlink ref="A309" r:id="rId308" xr:uid="{00000000-0004-0000-0800-000033010000}"/>
    <hyperlink ref="A310" r:id="rId309" xr:uid="{00000000-0004-0000-0800-000034010000}"/>
    <hyperlink ref="A311" r:id="rId310" xr:uid="{00000000-0004-0000-0800-000035010000}"/>
    <hyperlink ref="A312" r:id="rId311" xr:uid="{00000000-0004-0000-0800-000036010000}"/>
    <hyperlink ref="A313" r:id="rId312" xr:uid="{00000000-0004-0000-0800-000037010000}"/>
    <hyperlink ref="A314" r:id="rId313" xr:uid="{00000000-0004-0000-0800-000038010000}"/>
    <hyperlink ref="A315" r:id="rId314" xr:uid="{00000000-0004-0000-0800-000039010000}"/>
    <hyperlink ref="A316" r:id="rId315" xr:uid="{00000000-0004-0000-0800-00003A010000}"/>
    <hyperlink ref="A317" r:id="rId316" xr:uid="{00000000-0004-0000-0800-00003B010000}"/>
    <hyperlink ref="A318" r:id="rId317" xr:uid="{00000000-0004-0000-0800-00003C010000}"/>
    <hyperlink ref="A319" r:id="rId318" xr:uid="{00000000-0004-0000-0800-00003D010000}"/>
    <hyperlink ref="A320" r:id="rId319" xr:uid="{00000000-0004-0000-0800-00003E010000}"/>
    <hyperlink ref="A321" r:id="rId320" xr:uid="{00000000-0004-0000-0800-00003F010000}"/>
    <hyperlink ref="A322" r:id="rId321" xr:uid="{00000000-0004-0000-0800-000040010000}"/>
    <hyperlink ref="A323" r:id="rId322" xr:uid="{00000000-0004-0000-0800-000041010000}"/>
    <hyperlink ref="A324" r:id="rId323" xr:uid="{00000000-0004-0000-0800-000042010000}"/>
    <hyperlink ref="A325" r:id="rId324" xr:uid="{00000000-0004-0000-0800-000043010000}"/>
    <hyperlink ref="A326" r:id="rId325" xr:uid="{00000000-0004-0000-0800-000044010000}"/>
    <hyperlink ref="A327" r:id="rId326" xr:uid="{00000000-0004-0000-0800-000045010000}"/>
    <hyperlink ref="A328" r:id="rId327" xr:uid="{00000000-0004-0000-0800-000046010000}"/>
    <hyperlink ref="A329" r:id="rId328" xr:uid="{00000000-0004-0000-0800-000047010000}"/>
    <hyperlink ref="A330" r:id="rId329" xr:uid="{00000000-0004-0000-0800-000048010000}"/>
    <hyperlink ref="A331" r:id="rId330" xr:uid="{00000000-0004-0000-0800-000049010000}"/>
    <hyperlink ref="A332" r:id="rId331" xr:uid="{00000000-0004-0000-0800-00004A010000}"/>
    <hyperlink ref="A333" r:id="rId332" xr:uid="{00000000-0004-0000-0800-00004B010000}"/>
    <hyperlink ref="A334" r:id="rId333" xr:uid="{00000000-0004-0000-0800-00004C010000}"/>
    <hyperlink ref="A335" r:id="rId334" xr:uid="{00000000-0004-0000-0800-00004D010000}"/>
    <hyperlink ref="A336" r:id="rId335" xr:uid="{00000000-0004-0000-0800-00004E010000}"/>
    <hyperlink ref="A337" r:id="rId336" xr:uid="{00000000-0004-0000-0800-00004F010000}"/>
    <hyperlink ref="A338" r:id="rId337" xr:uid="{00000000-0004-0000-0800-000050010000}"/>
    <hyperlink ref="A339" r:id="rId338" xr:uid="{00000000-0004-0000-0800-000051010000}"/>
    <hyperlink ref="A340" r:id="rId339" xr:uid="{00000000-0004-0000-0800-000052010000}"/>
    <hyperlink ref="A341" r:id="rId340" xr:uid="{00000000-0004-0000-0800-000053010000}"/>
    <hyperlink ref="A342" r:id="rId341" xr:uid="{00000000-0004-0000-0800-000054010000}"/>
    <hyperlink ref="A343" r:id="rId342" xr:uid="{00000000-0004-0000-0800-000055010000}"/>
    <hyperlink ref="A344" r:id="rId343" xr:uid="{00000000-0004-0000-0800-000056010000}"/>
    <hyperlink ref="A345" r:id="rId344" xr:uid="{00000000-0004-0000-0800-000057010000}"/>
    <hyperlink ref="A346" r:id="rId345" xr:uid="{00000000-0004-0000-0800-000058010000}"/>
    <hyperlink ref="A347" r:id="rId346" xr:uid="{00000000-0004-0000-0800-000059010000}"/>
    <hyperlink ref="A348" r:id="rId347" xr:uid="{00000000-0004-0000-0800-00005A010000}"/>
    <hyperlink ref="A349" r:id="rId348" xr:uid="{00000000-0004-0000-0800-00005B010000}"/>
    <hyperlink ref="A350" r:id="rId349" xr:uid="{00000000-0004-0000-0800-00005C010000}"/>
    <hyperlink ref="A351" r:id="rId350" xr:uid="{00000000-0004-0000-0800-00005D010000}"/>
    <hyperlink ref="A352" r:id="rId351" xr:uid="{00000000-0004-0000-0800-00005E010000}"/>
    <hyperlink ref="A353" r:id="rId352" xr:uid="{00000000-0004-0000-0800-00005F010000}"/>
    <hyperlink ref="A354" r:id="rId353" xr:uid="{00000000-0004-0000-0800-000060010000}"/>
    <hyperlink ref="A355" r:id="rId354" xr:uid="{00000000-0004-0000-0800-000061010000}"/>
    <hyperlink ref="A356" r:id="rId355" xr:uid="{00000000-0004-0000-0800-000062010000}"/>
    <hyperlink ref="A357" r:id="rId356" xr:uid="{00000000-0004-0000-0800-000063010000}"/>
    <hyperlink ref="A358" r:id="rId357" xr:uid="{00000000-0004-0000-0800-000064010000}"/>
    <hyperlink ref="A359" r:id="rId358" xr:uid="{00000000-0004-0000-0800-000065010000}"/>
    <hyperlink ref="A360" r:id="rId359" xr:uid="{00000000-0004-0000-0800-000066010000}"/>
    <hyperlink ref="A361" r:id="rId360" xr:uid="{00000000-0004-0000-0800-000067010000}"/>
    <hyperlink ref="A362" r:id="rId361" xr:uid="{00000000-0004-0000-0800-000068010000}"/>
    <hyperlink ref="A363" r:id="rId362" xr:uid="{00000000-0004-0000-0800-000069010000}"/>
    <hyperlink ref="A364" r:id="rId363" xr:uid="{00000000-0004-0000-0800-00006A010000}"/>
    <hyperlink ref="A365" r:id="rId364" xr:uid="{00000000-0004-0000-0800-00006B010000}"/>
    <hyperlink ref="A366" r:id="rId365" xr:uid="{00000000-0004-0000-0800-00006C010000}"/>
    <hyperlink ref="A367" r:id="rId366" xr:uid="{00000000-0004-0000-0800-00006D010000}"/>
    <hyperlink ref="A368" r:id="rId367" xr:uid="{00000000-0004-0000-0800-00006E010000}"/>
    <hyperlink ref="A369" r:id="rId368" xr:uid="{00000000-0004-0000-0800-00006F010000}"/>
    <hyperlink ref="A370" r:id="rId369" xr:uid="{00000000-0004-0000-0800-000070010000}"/>
    <hyperlink ref="A371" r:id="rId370" xr:uid="{00000000-0004-0000-0800-000071010000}"/>
    <hyperlink ref="A372" r:id="rId371" xr:uid="{00000000-0004-0000-0800-000072010000}"/>
    <hyperlink ref="A373" r:id="rId372" xr:uid="{00000000-0004-0000-0800-000073010000}"/>
    <hyperlink ref="A374" r:id="rId373" xr:uid="{00000000-0004-0000-0800-000074010000}"/>
    <hyperlink ref="A375" r:id="rId374" xr:uid="{00000000-0004-0000-0800-000075010000}"/>
    <hyperlink ref="A376" r:id="rId375" xr:uid="{00000000-0004-0000-0800-000076010000}"/>
    <hyperlink ref="A377" r:id="rId376" xr:uid="{00000000-0004-0000-0800-000077010000}"/>
    <hyperlink ref="A378" r:id="rId377" xr:uid="{00000000-0004-0000-0800-000078010000}"/>
    <hyperlink ref="A379" r:id="rId378" xr:uid="{00000000-0004-0000-0800-000079010000}"/>
    <hyperlink ref="A380" r:id="rId379" xr:uid="{00000000-0004-0000-0800-00007A010000}"/>
    <hyperlink ref="A381" r:id="rId380" xr:uid="{00000000-0004-0000-0800-00007B010000}"/>
    <hyperlink ref="A382" r:id="rId381" xr:uid="{00000000-0004-0000-0800-00007C010000}"/>
    <hyperlink ref="A383" r:id="rId382" xr:uid="{00000000-0004-0000-0800-00007D010000}"/>
    <hyperlink ref="A384" r:id="rId383" xr:uid="{00000000-0004-0000-0800-00007E010000}"/>
    <hyperlink ref="A385" r:id="rId384" xr:uid="{00000000-0004-0000-0800-00007F010000}"/>
    <hyperlink ref="A386" r:id="rId385" xr:uid="{00000000-0004-0000-0800-000080010000}"/>
    <hyperlink ref="A387" r:id="rId386" xr:uid="{00000000-0004-0000-0800-000081010000}"/>
    <hyperlink ref="A388" r:id="rId387" xr:uid="{00000000-0004-0000-0800-000082010000}"/>
    <hyperlink ref="A389" r:id="rId388" xr:uid="{00000000-0004-0000-0800-000083010000}"/>
    <hyperlink ref="A390" r:id="rId389" xr:uid="{00000000-0004-0000-0800-000084010000}"/>
    <hyperlink ref="A391" r:id="rId390" xr:uid="{00000000-0004-0000-0800-000085010000}"/>
    <hyperlink ref="A392" r:id="rId391" xr:uid="{00000000-0004-0000-0800-000086010000}"/>
    <hyperlink ref="A393" r:id="rId392" xr:uid="{00000000-0004-0000-0800-000087010000}"/>
    <hyperlink ref="A394" r:id="rId393" xr:uid="{00000000-0004-0000-0800-000088010000}"/>
    <hyperlink ref="A395" r:id="rId394" xr:uid="{00000000-0004-0000-0800-000089010000}"/>
    <hyperlink ref="A396" r:id="rId395" xr:uid="{00000000-0004-0000-0800-00008A010000}"/>
    <hyperlink ref="A397" r:id="rId396" xr:uid="{00000000-0004-0000-0800-00008B010000}"/>
    <hyperlink ref="A398" r:id="rId397" xr:uid="{00000000-0004-0000-0800-00008C010000}"/>
    <hyperlink ref="A399" r:id="rId398" xr:uid="{00000000-0004-0000-0800-00008D010000}"/>
    <hyperlink ref="A400" r:id="rId399" xr:uid="{00000000-0004-0000-0800-00008E010000}"/>
    <hyperlink ref="A401" r:id="rId400" xr:uid="{00000000-0004-0000-0800-00008F010000}"/>
    <hyperlink ref="A402" r:id="rId401" xr:uid="{00000000-0004-0000-0800-000090010000}"/>
    <hyperlink ref="A403" r:id="rId402" xr:uid="{00000000-0004-0000-0800-000091010000}"/>
    <hyperlink ref="A404" r:id="rId403" xr:uid="{00000000-0004-0000-0800-000092010000}"/>
    <hyperlink ref="A405" r:id="rId404" xr:uid="{00000000-0004-0000-0800-000093010000}"/>
    <hyperlink ref="A406" r:id="rId405" xr:uid="{00000000-0004-0000-0800-000094010000}"/>
    <hyperlink ref="A407" r:id="rId406" xr:uid="{00000000-0004-0000-0800-000095010000}"/>
    <hyperlink ref="A408" r:id="rId407" xr:uid="{00000000-0004-0000-0800-000096010000}"/>
    <hyperlink ref="A409" r:id="rId408" xr:uid="{00000000-0004-0000-0800-000097010000}"/>
    <hyperlink ref="A410" r:id="rId409" xr:uid="{00000000-0004-0000-0800-000098010000}"/>
    <hyperlink ref="A411" r:id="rId410" xr:uid="{00000000-0004-0000-0800-000099010000}"/>
    <hyperlink ref="A412" r:id="rId411" xr:uid="{00000000-0004-0000-0800-00009A010000}"/>
    <hyperlink ref="A413" r:id="rId412" xr:uid="{00000000-0004-0000-0800-00009B010000}"/>
    <hyperlink ref="A414" r:id="rId413" xr:uid="{00000000-0004-0000-0800-00009C010000}"/>
    <hyperlink ref="A415" r:id="rId414" xr:uid="{00000000-0004-0000-0800-00009D010000}"/>
    <hyperlink ref="A416" r:id="rId415" xr:uid="{00000000-0004-0000-0800-00009E010000}"/>
    <hyperlink ref="A417" r:id="rId416" xr:uid="{00000000-0004-0000-0800-00009F010000}"/>
    <hyperlink ref="A418" r:id="rId417" xr:uid="{00000000-0004-0000-0800-0000A0010000}"/>
    <hyperlink ref="A419" r:id="rId418" xr:uid="{00000000-0004-0000-0800-0000A1010000}"/>
    <hyperlink ref="A420" r:id="rId419" xr:uid="{00000000-0004-0000-0800-0000A2010000}"/>
    <hyperlink ref="A421" r:id="rId420" xr:uid="{00000000-0004-0000-0800-0000A3010000}"/>
    <hyperlink ref="A422" r:id="rId421" xr:uid="{00000000-0004-0000-0800-0000A4010000}"/>
    <hyperlink ref="A423" r:id="rId422" xr:uid="{00000000-0004-0000-0800-0000A5010000}"/>
    <hyperlink ref="A424" r:id="rId423" xr:uid="{00000000-0004-0000-0800-0000A6010000}"/>
    <hyperlink ref="A425" r:id="rId424" xr:uid="{00000000-0004-0000-0800-0000A7010000}"/>
    <hyperlink ref="A426" r:id="rId425" xr:uid="{00000000-0004-0000-0800-0000A8010000}"/>
    <hyperlink ref="A427" r:id="rId426" xr:uid="{00000000-0004-0000-0800-0000A9010000}"/>
    <hyperlink ref="A428" r:id="rId427" xr:uid="{00000000-0004-0000-0800-0000AA010000}"/>
    <hyperlink ref="A429" r:id="rId428" xr:uid="{00000000-0004-0000-0800-0000AB010000}"/>
    <hyperlink ref="A430" r:id="rId429" xr:uid="{00000000-0004-0000-0800-0000AC010000}"/>
    <hyperlink ref="A431" r:id="rId430" xr:uid="{00000000-0004-0000-0800-0000AD010000}"/>
    <hyperlink ref="A432" r:id="rId431" xr:uid="{00000000-0004-0000-0800-0000AE010000}"/>
    <hyperlink ref="A433" r:id="rId432" xr:uid="{00000000-0004-0000-0800-0000AF010000}"/>
    <hyperlink ref="A434" r:id="rId433" xr:uid="{00000000-0004-0000-0800-0000B0010000}"/>
    <hyperlink ref="A435" r:id="rId434" xr:uid="{00000000-0004-0000-0800-0000B1010000}"/>
    <hyperlink ref="A436" r:id="rId435" xr:uid="{00000000-0004-0000-0800-0000B2010000}"/>
    <hyperlink ref="A437" r:id="rId436" xr:uid="{00000000-0004-0000-0800-0000B3010000}"/>
    <hyperlink ref="A438" r:id="rId437" xr:uid="{00000000-0004-0000-0800-0000B4010000}"/>
    <hyperlink ref="A439" r:id="rId438" xr:uid="{00000000-0004-0000-0800-0000B5010000}"/>
    <hyperlink ref="A440" r:id="rId439" xr:uid="{00000000-0004-0000-0800-0000B6010000}"/>
    <hyperlink ref="A441" r:id="rId440" xr:uid="{00000000-0004-0000-0800-0000B7010000}"/>
    <hyperlink ref="A442" r:id="rId441" xr:uid="{00000000-0004-0000-0800-0000B8010000}"/>
    <hyperlink ref="A443" r:id="rId442" xr:uid="{00000000-0004-0000-0800-0000B9010000}"/>
    <hyperlink ref="A444" r:id="rId443" xr:uid="{00000000-0004-0000-0800-0000BA010000}"/>
    <hyperlink ref="A445" r:id="rId444" xr:uid="{00000000-0004-0000-0800-0000BB010000}"/>
    <hyperlink ref="A446" r:id="rId445" xr:uid="{00000000-0004-0000-0800-0000BC010000}"/>
    <hyperlink ref="A447" r:id="rId446" xr:uid="{00000000-0004-0000-0800-0000BD010000}"/>
    <hyperlink ref="A448" r:id="rId447" xr:uid="{00000000-0004-0000-0800-0000BE010000}"/>
    <hyperlink ref="A449" r:id="rId448" xr:uid="{00000000-0004-0000-0800-0000BF010000}"/>
    <hyperlink ref="A450" r:id="rId449" xr:uid="{00000000-0004-0000-0800-0000C0010000}"/>
    <hyperlink ref="A451" r:id="rId450" xr:uid="{00000000-0004-0000-0800-0000C1010000}"/>
    <hyperlink ref="A452" r:id="rId451" xr:uid="{00000000-0004-0000-0800-0000C2010000}"/>
    <hyperlink ref="A453" r:id="rId452" xr:uid="{00000000-0004-0000-0800-0000C3010000}"/>
    <hyperlink ref="A454" r:id="rId453" xr:uid="{00000000-0004-0000-0800-0000C4010000}"/>
    <hyperlink ref="A455" r:id="rId454" xr:uid="{00000000-0004-0000-0800-0000C5010000}"/>
    <hyperlink ref="A456" r:id="rId455" xr:uid="{00000000-0004-0000-0800-0000C6010000}"/>
    <hyperlink ref="A457" r:id="rId456" xr:uid="{00000000-0004-0000-0800-0000C7010000}"/>
    <hyperlink ref="A458" r:id="rId457" xr:uid="{00000000-0004-0000-0800-0000C8010000}"/>
    <hyperlink ref="A459" r:id="rId458" xr:uid="{00000000-0004-0000-0800-0000C9010000}"/>
    <hyperlink ref="A460" r:id="rId459" xr:uid="{00000000-0004-0000-0800-0000CA010000}"/>
    <hyperlink ref="A461" r:id="rId460" xr:uid="{00000000-0004-0000-0800-0000CB010000}"/>
    <hyperlink ref="A462" r:id="rId461" xr:uid="{00000000-0004-0000-0800-0000CC010000}"/>
    <hyperlink ref="A463" r:id="rId462" xr:uid="{00000000-0004-0000-0800-0000CD010000}"/>
    <hyperlink ref="A464" r:id="rId463" xr:uid="{00000000-0004-0000-0800-0000CE010000}"/>
    <hyperlink ref="A465" r:id="rId464" xr:uid="{00000000-0004-0000-0800-0000CF010000}"/>
    <hyperlink ref="A466" r:id="rId465" xr:uid="{00000000-0004-0000-0800-0000D0010000}"/>
    <hyperlink ref="A467" r:id="rId466" xr:uid="{00000000-0004-0000-0800-0000D1010000}"/>
    <hyperlink ref="A468" r:id="rId467" xr:uid="{00000000-0004-0000-0800-0000D2010000}"/>
    <hyperlink ref="A469" r:id="rId468" xr:uid="{00000000-0004-0000-0800-0000D3010000}"/>
    <hyperlink ref="A470" r:id="rId469" xr:uid="{00000000-0004-0000-0800-0000D4010000}"/>
    <hyperlink ref="A471" r:id="rId470" xr:uid="{00000000-0004-0000-0800-0000D5010000}"/>
    <hyperlink ref="A472" r:id="rId471" xr:uid="{00000000-0004-0000-0800-0000D6010000}"/>
    <hyperlink ref="A473" r:id="rId472" xr:uid="{00000000-0004-0000-0800-0000D7010000}"/>
    <hyperlink ref="A474" r:id="rId473" xr:uid="{00000000-0004-0000-0800-0000D8010000}"/>
    <hyperlink ref="A475" r:id="rId474" xr:uid="{00000000-0004-0000-0800-0000D9010000}"/>
    <hyperlink ref="A476" r:id="rId475" xr:uid="{00000000-0004-0000-0800-0000DA010000}"/>
    <hyperlink ref="A477" r:id="rId476" xr:uid="{00000000-0004-0000-0800-0000DB010000}"/>
    <hyperlink ref="A478" r:id="rId477" xr:uid="{00000000-0004-0000-0800-0000DC010000}"/>
    <hyperlink ref="A479" r:id="rId478" xr:uid="{00000000-0004-0000-0800-0000DD010000}"/>
    <hyperlink ref="A480" r:id="rId479" xr:uid="{00000000-0004-0000-0800-0000DE010000}"/>
    <hyperlink ref="A481" r:id="rId480" xr:uid="{00000000-0004-0000-0800-0000DF010000}"/>
    <hyperlink ref="A482" r:id="rId481" xr:uid="{00000000-0004-0000-0800-0000E0010000}"/>
    <hyperlink ref="A483" r:id="rId482" xr:uid="{00000000-0004-0000-0800-0000E1010000}"/>
    <hyperlink ref="A484" r:id="rId483" xr:uid="{00000000-0004-0000-0800-0000E2010000}"/>
    <hyperlink ref="A485" r:id="rId484" xr:uid="{00000000-0004-0000-0800-0000E3010000}"/>
    <hyperlink ref="A486" r:id="rId485" xr:uid="{00000000-0004-0000-0800-0000E4010000}"/>
    <hyperlink ref="A487" r:id="rId486" xr:uid="{00000000-0004-0000-0800-0000E5010000}"/>
    <hyperlink ref="A488" r:id="rId487" xr:uid="{00000000-0004-0000-0800-0000E6010000}"/>
    <hyperlink ref="A489" r:id="rId488" xr:uid="{00000000-0004-0000-0800-0000E7010000}"/>
    <hyperlink ref="A490" r:id="rId489" xr:uid="{00000000-0004-0000-0800-0000E8010000}"/>
    <hyperlink ref="A491" r:id="rId490" xr:uid="{00000000-0004-0000-0800-0000E9010000}"/>
    <hyperlink ref="A492" r:id="rId491" xr:uid="{00000000-0004-0000-0800-0000EA010000}"/>
    <hyperlink ref="A493" r:id="rId492" xr:uid="{00000000-0004-0000-0800-0000EB010000}"/>
    <hyperlink ref="A494" r:id="rId493" xr:uid="{00000000-0004-0000-0800-0000EC010000}"/>
    <hyperlink ref="A495" r:id="rId494" xr:uid="{00000000-0004-0000-0800-0000ED010000}"/>
    <hyperlink ref="A496" r:id="rId495" xr:uid="{00000000-0004-0000-0800-0000EE010000}"/>
    <hyperlink ref="A497" r:id="rId496" xr:uid="{00000000-0004-0000-0800-0000EF010000}"/>
    <hyperlink ref="A498" r:id="rId497" xr:uid="{00000000-0004-0000-0800-0000F0010000}"/>
    <hyperlink ref="A499" r:id="rId498" xr:uid="{00000000-0004-0000-0800-0000F1010000}"/>
    <hyperlink ref="A500" r:id="rId499" xr:uid="{00000000-0004-0000-0800-0000F2010000}"/>
    <hyperlink ref="A501" r:id="rId500" xr:uid="{00000000-0004-0000-0800-0000F3010000}"/>
    <hyperlink ref="A502" r:id="rId501" xr:uid="{00000000-0004-0000-0800-0000F4010000}"/>
    <hyperlink ref="A503" r:id="rId502" xr:uid="{00000000-0004-0000-0800-0000F5010000}"/>
    <hyperlink ref="A504" r:id="rId503" xr:uid="{00000000-0004-0000-0800-0000F6010000}"/>
    <hyperlink ref="A505" r:id="rId504" xr:uid="{00000000-0004-0000-0800-0000F7010000}"/>
    <hyperlink ref="A506" r:id="rId505" xr:uid="{00000000-0004-0000-0800-0000F8010000}"/>
    <hyperlink ref="A507" r:id="rId506" xr:uid="{00000000-0004-0000-0800-0000F9010000}"/>
    <hyperlink ref="A508" r:id="rId507" xr:uid="{00000000-0004-0000-0800-0000FA010000}"/>
    <hyperlink ref="A509" r:id="rId508" xr:uid="{00000000-0004-0000-0800-0000FB010000}"/>
    <hyperlink ref="A510" r:id="rId509" xr:uid="{00000000-0004-0000-0800-0000FC010000}"/>
    <hyperlink ref="A511" r:id="rId510" xr:uid="{00000000-0004-0000-0800-0000FD010000}"/>
    <hyperlink ref="A512" r:id="rId511" xr:uid="{00000000-0004-0000-0800-0000FE010000}"/>
    <hyperlink ref="A513" r:id="rId512" xr:uid="{00000000-0004-0000-0800-0000FF010000}"/>
    <hyperlink ref="A514" r:id="rId513" xr:uid="{00000000-0004-0000-0800-000000020000}"/>
    <hyperlink ref="A515" r:id="rId514" xr:uid="{00000000-0004-0000-0800-000001020000}"/>
    <hyperlink ref="A516" r:id="rId515" xr:uid="{00000000-0004-0000-0800-000002020000}"/>
    <hyperlink ref="A517" r:id="rId516" xr:uid="{00000000-0004-0000-0800-000003020000}"/>
    <hyperlink ref="A518" r:id="rId517" xr:uid="{00000000-0004-0000-0800-000004020000}"/>
    <hyperlink ref="A519" r:id="rId518" xr:uid="{00000000-0004-0000-0800-000005020000}"/>
    <hyperlink ref="A520" r:id="rId519" xr:uid="{00000000-0004-0000-0800-000006020000}"/>
    <hyperlink ref="A521" r:id="rId520" xr:uid="{00000000-0004-0000-0800-000007020000}"/>
    <hyperlink ref="A522" r:id="rId521" xr:uid="{00000000-0004-0000-0800-000008020000}"/>
    <hyperlink ref="A523" r:id="rId522" xr:uid="{00000000-0004-0000-0800-000009020000}"/>
    <hyperlink ref="A524" r:id="rId523" xr:uid="{00000000-0004-0000-0800-00000A020000}"/>
    <hyperlink ref="A525" r:id="rId524" xr:uid="{00000000-0004-0000-0800-00000B020000}"/>
    <hyperlink ref="A526" r:id="rId525" xr:uid="{00000000-0004-0000-0800-00000C020000}"/>
    <hyperlink ref="A527" r:id="rId526" xr:uid="{00000000-0004-0000-0800-00000D020000}"/>
    <hyperlink ref="A528" r:id="rId527" xr:uid="{00000000-0004-0000-0800-00000E020000}"/>
    <hyperlink ref="A529" r:id="rId528" xr:uid="{00000000-0004-0000-0800-00000F020000}"/>
    <hyperlink ref="A530" r:id="rId529" xr:uid="{00000000-0004-0000-0800-000010020000}"/>
    <hyperlink ref="A531" r:id="rId530" xr:uid="{00000000-0004-0000-0800-000011020000}"/>
    <hyperlink ref="A532" r:id="rId531" xr:uid="{00000000-0004-0000-0800-000012020000}"/>
    <hyperlink ref="A533" r:id="rId532" xr:uid="{00000000-0004-0000-0800-000013020000}"/>
    <hyperlink ref="A534" r:id="rId533" xr:uid="{00000000-0004-0000-0800-000014020000}"/>
    <hyperlink ref="A535" r:id="rId534" xr:uid="{00000000-0004-0000-0800-000015020000}"/>
    <hyperlink ref="A536" r:id="rId535" xr:uid="{00000000-0004-0000-0800-000016020000}"/>
    <hyperlink ref="A537" r:id="rId536" xr:uid="{00000000-0004-0000-0800-000017020000}"/>
    <hyperlink ref="A538" r:id="rId537" xr:uid="{00000000-0004-0000-0800-000018020000}"/>
    <hyperlink ref="A539" r:id="rId538" xr:uid="{00000000-0004-0000-0800-000019020000}"/>
    <hyperlink ref="A540" r:id="rId539" xr:uid="{00000000-0004-0000-0800-00001A020000}"/>
    <hyperlink ref="A541" r:id="rId540" xr:uid="{00000000-0004-0000-0800-00001B020000}"/>
    <hyperlink ref="A542" r:id="rId541" xr:uid="{00000000-0004-0000-0800-00001C020000}"/>
    <hyperlink ref="A543" r:id="rId542" xr:uid="{00000000-0004-0000-0800-00001D020000}"/>
    <hyperlink ref="A544" r:id="rId543" xr:uid="{00000000-0004-0000-0800-00001E020000}"/>
    <hyperlink ref="A545" r:id="rId544" xr:uid="{00000000-0004-0000-0800-00001F020000}"/>
    <hyperlink ref="A546" r:id="rId545" xr:uid="{00000000-0004-0000-0800-000020020000}"/>
    <hyperlink ref="A547" r:id="rId546" xr:uid="{00000000-0004-0000-0800-000021020000}"/>
    <hyperlink ref="A548" r:id="rId547" xr:uid="{00000000-0004-0000-0800-000022020000}"/>
    <hyperlink ref="A549" r:id="rId548" xr:uid="{00000000-0004-0000-0800-000023020000}"/>
    <hyperlink ref="A550" r:id="rId549" xr:uid="{00000000-0004-0000-0800-000024020000}"/>
    <hyperlink ref="A551" r:id="rId550" xr:uid="{00000000-0004-0000-0800-000025020000}"/>
    <hyperlink ref="A552" r:id="rId551" xr:uid="{00000000-0004-0000-0800-000026020000}"/>
    <hyperlink ref="A553" r:id="rId552" xr:uid="{00000000-0004-0000-0800-000027020000}"/>
    <hyperlink ref="A554" r:id="rId553" xr:uid="{00000000-0004-0000-0800-000028020000}"/>
    <hyperlink ref="A555" r:id="rId554" xr:uid="{00000000-0004-0000-0800-000029020000}"/>
    <hyperlink ref="A556" r:id="rId555" xr:uid="{00000000-0004-0000-0800-00002A020000}"/>
    <hyperlink ref="A557" r:id="rId556" xr:uid="{00000000-0004-0000-0800-00002B020000}"/>
    <hyperlink ref="A558" r:id="rId557" xr:uid="{00000000-0004-0000-0800-00002C020000}"/>
    <hyperlink ref="A559" r:id="rId558" xr:uid="{00000000-0004-0000-0800-00002D020000}"/>
    <hyperlink ref="A560" r:id="rId559" xr:uid="{00000000-0004-0000-0800-00002E020000}"/>
    <hyperlink ref="A561" r:id="rId560" xr:uid="{00000000-0004-0000-0800-00002F020000}"/>
    <hyperlink ref="A562" r:id="rId561" xr:uid="{00000000-0004-0000-0800-000030020000}"/>
    <hyperlink ref="A563" r:id="rId562" xr:uid="{00000000-0004-0000-0800-000031020000}"/>
    <hyperlink ref="A564" r:id="rId563" xr:uid="{00000000-0004-0000-0800-000032020000}"/>
    <hyperlink ref="A565" r:id="rId564" xr:uid="{00000000-0004-0000-0800-000033020000}"/>
    <hyperlink ref="A566" r:id="rId565" xr:uid="{00000000-0004-0000-0800-000034020000}"/>
    <hyperlink ref="A567" r:id="rId566" xr:uid="{00000000-0004-0000-0800-000035020000}"/>
    <hyperlink ref="A568" r:id="rId567" xr:uid="{00000000-0004-0000-0800-000036020000}"/>
    <hyperlink ref="A569" r:id="rId568" xr:uid="{00000000-0004-0000-0800-000037020000}"/>
    <hyperlink ref="A570" r:id="rId569" xr:uid="{00000000-0004-0000-0800-000038020000}"/>
    <hyperlink ref="A571" r:id="rId570" xr:uid="{00000000-0004-0000-0800-000039020000}"/>
    <hyperlink ref="A572" r:id="rId571" xr:uid="{00000000-0004-0000-0800-00003A020000}"/>
    <hyperlink ref="A573" r:id="rId572" xr:uid="{00000000-0004-0000-0800-00003B020000}"/>
    <hyperlink ref="A574" r:id="rId573" xr:uid="{00000000-0004-0000-0800-00003C020000}"/>
    <hyperlink ref="A575" r:id="rId574" xr:uid="{00000000-0004-0000-0800-00003D020000}"/>
    <hyperlink ref="A576" r:id="rId575" xr:uid="{00000000-0004-0000-0800-00003E020000}"/>
    <hyperlink ref="A577" r:id="rId576" xr:uid="{00000000-0004-0000-0800-00003F020000}"/>
    <hyperlink ref="A578" r:id="rId577" xr:uid="{00000000-0004-0000-0800-000040020000}"/>
    <hyperlink ref="A579" r:id="rId578" xr:uid="{00000000-0004-0000-0800-000041020000}"/>
    <hyperlink ref="A580" r:id="rId579" xr:uid="{00000000-0004-0000-0800-000042020000}"/>
    <hyperlink ref="A581" r:id="rId580" xr:uid="{00000000-0004-0000-0800-000043020000}"/>
    <hyperlink ref="A582" r:id="rId581" xr:uid="{00000000-0004-0000-0800-000044020000}"/>
    <hyperlink ref="A583" r:id="rId582" xr:uid="{00000000-0004-0000-0800-000045020000}"/>
    <hyperlink ref="A584" r:id="rId583" xr:uid="{00000000-0004-0000-0800-000046020000}"/>
    <hyperlink ref="A585" r:id="rId584" xr:uid="{00000000-0004-0000-0800-000047020000}"/>
    <hyperlink ref="A586" r:id="rId585" xr:uid="{00000000-0004-0000-0800-000048020000}"/>
    <hyperlink ref="A587" r:id="rId586" xr:uid="{00000000-0004-0000-0800-000049020000}"/>
    <hyperlink ref="A588" r:id="rId587" xr:uid="{00000000-0004-0000-0800-00004A020000}"/>
    <hyperlink ref="A589" r:id="rId588" xr:uid="{00000000-0004-0000-0800-00004B020000}"/>
    <hyperlink ref="A590" r:id="rId589" xr:uid="{00000000-0004-0000-0800-00004C020000}"/>
    <hyperlink ref="A591" r:id="rId590" xr:uid="{00000000-0004-0000-0800-00004D020000}"/>
    <hyperlink ref="A592" r:id="rId591" xr:uid="{00000000-0004-0000-0800-00004E020000}"/>
    <hyperlink ref="A593" r:id="rId592" xr:uid="{00000000-0004-0000-0800-00004F020000}"/>
    <hyperlink ref="A594" r:id="rId593" xr:uid="{00000000-0004-0000-0800-000050020000}"/>
    <hyperlink ref="A595" r:id="rId594" xr:uid="{00000000-0004-0000-0800-000051020000}"/>
    <hyperlink ref="A596" r:id="rId595" xr:uid="{00000000-0004-0000-0800-000052020000}"/>
    <hyperlink ref="A597" r:id="rId596" xr:uid="{00000000-0004-0000-0800-000053020000}"/>
    <hyperlink ref="A598" r:id="rId597" xr:uid="{00000000-0004-0000-0800-000054020000}"/>
    <hyperlink ref="A599" r:id="rId598" xr:uid="{00000000-0004-0000-0800-000055020000}"/>
    <hyperlink ref="A600" r:id="rId599" xr:uid="{00000000-0004-0000-0800-000056020000}"/>
    <hyperlink ref="A601" r:id="rId600" xr:uid="{00000000-0004-0000-0800-000057020000}"/>
    <hyperlink ref="A602" r:id="rId601" xr:uid="{00000000-0004-0000-0800-000058020000}"/>
    <hyperlink ref="A603" r:id="rId602" xr:uid="{00000000-0004-0000-0800-000059020000}"/>
    <hyperlink ref="A604" r:id="rId603" xr:uid="{00000000-0004-0000-0800-00005A020000}"/>
    <hyperlink ref="A605" r:id="rId604" xr:uid="{00000000-0004-0000-0800-00005B020000}"/>
    <hyperlink ref="A606" r:id="rId605" xr:uid="{00000000-0004-0000-0800-00005C020000}"/>
    <hyperlink ref="A607" r:id="rId606" xr:uid="{00000000-0004-0000-0800-00005D020000}"/>
    <hyperlink ref="A608" r:id="rId607" xr:uid="{00000000-0004-0000-0800-00005E020000}"/>
    <hyperlink ref="A609" r:id="rId608" xr:uid="{00000000-0004-0000-0800-00005F020000}"/>
    <hyperlink ref="A610" r:id="rId609" xr:uid="{00000000-0004-0000-0800-000060020000}"/>
    <hyperlink ref="A611" r:id="rId610" xr:uid="{00000000-0004-0000-0800-000061020000}"/>
    <hyperlink ref="A612" r:id="rId611" xr:uid="{00000000-0004-0000-0800-000062020000}"/>
    <hyperlink ref="A613" r:id="rId612" xr:uid="{00000000-0004-0000-0800-000063020000}"/>
    <hyperlink ref="A614" r:id="rId613" xr:uid="{00000000-0004-0000-0800-000064020000}"/>
    <hyperlink ref="A615" r:id="rId614" xr:uid="{00000000-0004-0000-0800-000065020000}"/>
    <hyperlink ref="A616" r:id="rId615" xr:uid="{00000000-0004-0000-0800-000066020000}"/>
    <hyperlink ref="A617" r:id="rId616" xr:uid="{00000000-0004-0000-0800-000067020000}"/>
    <hyperlink ref="A618" r:id="rId617" xr:uid="{00000000-0004-0000-0800-000068020000}"/>
    <hyperlink ref="A619" r:id="rId618" xr:uid="{00000000-0004-0000-0800-000069020000}"/>
    <hyperlink ref="A620" r:id="rId619" xr:uid="{00000000-0004-0000-0800-00006A020000}"/>
    <hyperlink ref="A621" r:id="rId620" xr:uid="{00000000-0004-0000-0800-00006B020000}"/>
    <hyperlink ref="A622" r:id="rId621" xr:uid="{00000000-0004-0000-0800-00006C020000}"/>
    <hyperlink ref="A623" r:id="rId622" xr:uid="{00000000-0004-0000-0800-00006D020000}"/>
    <hyperlink ref="A624" r:id="rId623" xr:uid="{00000000-0004-0000-0800-00006E020000}"/>
    <hyperlink ref="A625" r:id="rId624" xr:uid="{00000000-0004-0000-0800-00006F020000}"/>
    <hyperlink ref="A626" r:id="rId625" xr:uid="{00000000-0004-0000-0800-000070020000}"/>
    <hyperlink ref="A627" r:id="rId626" xr:uid="{00000000-0004-0000-0800-000071020000}"/>
    <hyperlink ref="A628" r:id="rId627" xr:uid="{00000000-0004-0000-0800-000072020000}"/>
    <hyperlink ref="A629" r:id="rId628" xr:uid="{00000000-0004-0000-0800-000073020000}"/>
    <hyperlink ref="A630" r:id="rId629" xr:uid="{00000000-0004-0000-0800-000074020000}"/>
    <hyperlink ref="A631" r:id="rId630" xr:uid="{00000000-0004-0000-0800-000075020000}"/>
    <hyperlink ref="A632" r:id="rId631" xr:uid="{00000000-0004-0000-0800-000076020000}"/>
    <hyperlink ref="A633" r:id="rId632" xr:uid="{00000000-0004-0000-0800-000077020000}"/>
    <hyperlink ref="A634" r:id="rId633" xr:uid="{00000000-0004-0000-0800-000078020000}"/>
    <hyperlink ref="A635" r:id="rId634" xr:uid="{00000000-0004-0000-0800-000079020000}"/>
    <hyperlink ref="A636" r:id="rId635" xr:uid="{00000000-0004-0000-0800-00007A020000}"/>
    <hyperlink ref="A637" r:id="rId636" xr:uid="{00000000-0004-0000-0800-00007B020000}"/>
    <hyperlink ref="A638" r:id="rId637" xr:uid="{00000000-0004-0000-0800-00007C020000}"/>
    <hyperlink ref="A639" r:id="rId638" xr:uid="{00000000-0004-0000-0800-00007D020000}"/>
    <hyperlink ref="A640" r:id="rId639" xr:uid="{00000000-0004-0000-0800-00007E020000}"/>
    <hyperlink ref="A641" r:id="rId640" xr:uid="{00000000-0004-0000-0800-00007F020000}"/>
    <hyperlink ref="A642" r:id="rId641" xr:uid="{00000000-0004-0000-0800-000080020000}"/>
    <hyperlink ref="A643" r:id="rId642" xr:uid="{00000000-0004-0000-0800-000081020000}"/>
    <hyperlink ref="A644" r:id="rId643" xr:uid="{00000000-0004-0000-0800-000082020000}"/>
    <hyperlink ref="A645" r:id="rId644" xr:uid="{00000000-0004-0000-0800-000083020000}"/>
    <hyperlink ref="A646" r:id="rId645" xr:uid="{00000000-0004-0000-0800-000084020000}"/>
    <hyperlink ref="A647" r:id="rId646" xr:uid="{00000000-0004-0000-0800-000085020000}"/>
    <hyperlink ref="A648" r:id="rId647" xr:uid="{00000000-0004-0000-0800-000086020000}"/>
    <hyperlink ref="A649" r:id="rId648" xr:uid="{00000000-0004-0000-0800-000087020000}"/>
    <hyperlink ref="A650" r:id="rId649" xr:uid="{00000000-0004-0000-0800-000088020000}"/>
    <hyperlink ref="A651" r:id="rId650" xr:uid="{00000000-0004-0000-0800-000089020000}"/>
    <hyperlink ref="A652" r:id="rId651" xr:uid="{00000000-0004-0000-0800-00008A020000}"/>
    <hyperlink ref="A653" r:id="rId652" xr:uid="{00000000-0004-0000-0800-00008B020000}"/>
    <hyperlink ref="A654" r:id="rId653" xr:uid="{00000000-0004-0000-0800-00008C020000}"/>
    <hyperlink ref="A655" r:id="rId654" xr:uid="{00000000-0004-0000-0800-00008D020000}"/>
    <hyperlink ref="A656" r:id="rId655" xr:uid="{00000000-0004-0000-0800-00008E020000}"/>
    <hyperlink ref="A657" r:id="rId656" xr:uid="{00000000-0004-0000-0800-00008F020000}"/>
    <hyperlink ref="A658" r:id="rId657" xr:uid="{00000000-0004-0000-0800-000090020000}"/>
    <hyperlink ref="A659" r:id="rId658" xr:uid="{00000000-0004-0000-0800-000091020000}"/>
    <hyperlink ref="A660" r:id="rId659" xr:uid="{00000000-0004-0000-0800-000092020000}"/>
    <hyperlink ref="A661" r:id="rId660" xr:uid="{00000000-0004-0000-0800-000093020000}"/>
    <hyperlink ref="A662" r:id="rId661" xr:uid="{00000000-0004-0000-0800-000094020000}"/>
    <hyperlink ref="A663" r:id="rId662" xr:uid="{00000000-0004-0000-0800-000095020000}"/>
    <hyperlink ref="A664" r:id="rId663" xr:uid="{00000000-0004-0000-0800-000096020000}"/>
    <hyperlink ref="A665" r:id="rId664" xr:uid="{00000000-0004-0000-0800-000097020000}"/>
    <hyperlink ref="A666" r:id="rId665" xr:uid="{00000000-0004-0000-0800-000098020000}"/>
    <hyperlink ref="A667" r:id="rId666" xr:uid="{00000000-0004-0000-0800-000099020000}"/>
    <hyperlink ref="A668" r:id="rId667" xr:uid="{00000000-0004-0000-0800-00009A020000}"/>
    <hyperlink ref="A669" r:id="rId668" xr:uid="{00000000-0004-0000-0800-00009B020000}"/>
    <hyperlink ref="A670" r:id="rId669" xr:uid="{00000000-0004-0000-0800-00009C020000}"/>
    <hyperlink ref="A671" r:id="rId670" xr:uid="{00000000-0004-0000-0800-00009D020000}"/>
    <hyperlink ref="A672" r:id="rId671" xr:uid="{00000000-0004-0000-0800-00009E020000}"/>
    <hyperlink ref="A673" r:id="rId672" xr:uid="{00000000-0004-0000-0800-00009F020000}"/>
    <hyperlink ref="A674" r:id="rId673" xr:uid="{00000000-0004-0000-0800-0000A0020000}"/>
    <hyperlink ref="A675" r:id="rId674" xr:uid="{00000000-0004-0000-0800-0000A1020000}"/>
    <hyperlink ref="A676" r:id="rId675" xr:uid="{00000000-0004-0000-0800-0000A2020000}"/>
    <hyperlink ref="A677" r:id="rId676" xr:uid="{00000000-0004-0000-0800-0000A3020000}"/>
    <hyperlink ref="A678" r:id="rId677" xr:uid="{00000000-0004-0000-0800-0000A4020000}"/>
    <hyperlink ref="A679" r:id="rId678" xr:uid="{00000000-0004-0000-0800-0000A5020000}"/>
    <hyperlink ref="A680" r:id="rId679" xr:uid="{00000000-0004-0000-0800-0000A6020000}"/>
    <hyperlink ref="A681" r:id="rId680" xr:uid="{00000000-0004-0000-0800-0000A7020000}"/>
    <hyperlink ref="A682" r:id="rId681" xr:uid="{00000000-0004-0000-0800-0000A8020000}"/>
    <hyperlink ref="A683" r:id="rId682" xr:uid="{00000000-0004-0000-0800-0000A9020000}"/>
    <hyperlink ref="A684" r:id="rId683" xr:uid="{00000000-0004-0000-0800-0000AA020000}"/>
    <hyperlink ref="A685" r:id="rId684" xr:uid="{00000000-0004-0000-0800-0000AB020000}"/>
    <hyperlink ref="A686" r:id="rId685" xr:uid="{00000000-0004-0000-0800-0000AC020000}"/>
    <hyperlink ref="A687" r:id="rId686" xr:uid="{00000000-0004-0000-0800-0000AD020000}"/>
    <hyperlink ref="A688" r:id="rId687" xr:uid="{00000000-0004-0000-0800-0000AE020000}"/>
    <hyperlink ref="A689" r:id="rId688" xr:uid="{00000000-0004-0000-0800-0000AF020000}"/>
    <hyperlink ref="A690" r:id="rId689" xr:uid="{00000000-0004-0000-0800-0000B0020000}"/>
    <hyperlink ref="A691" r:id="rId690" xr:uid="{00000000-0004-0000-0800-0000B1020000}"/>
    <hyperlink ref="A692" r:id="rId691" xr:uid="{00000000-0004-0000-0800-0000B2020000}"/>
    <hyperlink ref="A693" r:id="rId692" xr:uid="{00000000-0004-0000-0800-0000B3020000}"/>
    <hyperlink ref="A694" r:id="rId693" xr:uid="{00000000-0004-0000-0800-0000B4020000}"/>
    <hyperlink ref="A695" r:id="rId694" xr:uid="{00000000-0004-0000-0800-0000B5020000}"/>
    <hyperlink ref="A696" r:id="rId695" xr:uid="{00000000-0004-0000-0800-0000B6020000}"/>
    <hyperlink ref="A697" r:id="rId696" xr:uid="{00000000-0004-0000-0800-0000B7020000}"/>
    <hyperlink ref="A698" r:id="rId697" xr:uid="{00000000-0004-0000-0800-0000B8020000}"/>
    <hyperlink ref="A699" r:id="rId698" xr:uid="{00000000-0004-0000-0800-0000B9020000}"/>
    <hyperlink ref="A700" r:id="rId699" xr:uid="{00000000-0004-0000-0800-0000BA020000}"/>
    <hyperlink ref="A701" r:id="rId700" xr:uid="{00000000-0004-0000-0800-0000BB020000}"/>
    <hyperlink ref="A702" r:id="rId701" xr:uid="{00000000-0004-0000-0800-0000BC020000}"/>
    <hyperlink ref="A703" r:id="rId702" xr:uid="{00000000-0004-0000-0800-0000BD020000}"/>
    <hyperlink ref="A704" r:id="rId703" xr:uid="{00000000-0004-0000-0800-0000BE020000}"/>
    <hyperlink ref="A705" r:id="rId704" xr:uid="{00000000-0004-0000-0800-0000BF020000}"/>
    <hyperlink ref="A706" r:id="rId705" xr:uid="{00000000-0004-0000-0800-0000C0020000}"/>
    <hyperlink ref="A707" r:id="rId706" xr:uid="{00000000-0004-0000-0800-0000C1020000}"/>
    <hyperlink ref="A708" r:id="rId707" xr:uid="{00000000-0004-0000-0800-0000C2020000}"/>
    <hyperlink ref="A709" r:id="rId708" xr:uid="{00000000-0004-0000-0800-0000C3020000}"/>
    <hyperlink ref="A710" r:id="rId709" xr:uid="{00000000-0004-0000-0800-0000C4020000}"/>
    <hyperlink ref="A711" r:id="rId710" xr:uid="{00000000-0004-0000-0800-0000C5020000}"/>
    <hyperlink ref="A712" r:id="rId711" xr:uid="{00000000-0004-0000-0800-0000C6020000}"/>
    <hyperlink ref="A713" r:id="rId712" xr:uid="{00000000-0004-0000-0800-0000C7020000}"/>
    <hyperlink ref="A714" r:id="rId713" xr:uid="{00000000-0004-0000-0800-0000C8020000}"/>
    <hyperlink ref="A715" r:id="rId714" xr:uid="{00000000-0004-0000-0800-0000C9020000}"/>
    <hyperlink ref="A716" r:id="rId715" xr:uid="{00000000-0004-0000-0800-0000CA020000}"/>
    <hyperlink ref="A717" r:id="rId716" xr:uid="{00000000-0004-0000-0800-0000CB020000}"/>
    <hyperlink ref="A718" r:id="rId717" xr:uid="{00000000-0004-0000-0800-0000CC020000}"/>
    <hyperlink ref="A719" r:id="rId718" xr:uid="{00000000-0004-0000-0800-0000CD020000}"/>
    <hyperlink ref="A720" r:id="rId719" xr:uid="{00000000-0004-0000-0800-0000CE020000}"/>
    <hyperlink ref="A721" r:id="rId720" xr:uid="{00000000-0004-0000-0800-0000CF020000}"/>
    <hyperlink ref="A722" r:id="rId721" xr:uid="{00000000-0004-0000-0800-0000D0020000}"/>
    <hyperlink ref="A723" r:id="rId722" xr:uid="{00000000-0004-0000-0800-0000D1020000}"/>
    <hyperlink ref="A724" r:id="rId723" xr:uid="{00000000-0004-0000-0800-0000D2020000}"/>
    <hyperlink ref="A725" r:id="rId724" xr:uid="{00000000-0004-0000-0800-0000D3020000}"/>
    <hyperlink ref="A726" r:id="rId725" xr:uid="{00000000-0004-0000-0800-0000D4020000}"/>
    <hyperlink ref="A727" r:id="rId726" xr:uid="{00000000-0004-0000-0800-0000D5020000}"/>
    <hyperlink ref="A728" r:id="rId727" xr:uid="{00000000-0004-0000-0800-0000D6020000}"/>
    <hyperlink ref="A729" r:id="rId728" xr:uid="{00000000-0004-0000-0800-0000D7020000}"/>
    <hyperlink ref="A730" r:id="rId729" xr:uid="{00000000-0004-0000-0800-0000D8020000}"/>
    <hyperlink ref="A731" r:id="rId730" xr:uid="{00000000-0004-0000-0800-0000D9020000}"/>
    <hyperlink ref="A732" r:id="rId731" xr:uid="{00000000-0004-0000-0800-0000DA020000}"/>
    <hyperlink ref="A733" r:id="rId732" xr:uid="{00000000-0004-0000-0800-0000DB020000}"/>
    <hyperlink ref="A734" r:id="rId733" xr:uid="{00000000-0004-0000-0800-0000DC020000}"/>
    <hyperlink ref="A735" r:id="rId734" xr:uid="{00000000-0004-0000-0800-0000DD020000}"/>
    <hyperlink ref="A736" r:id="rId735" xr:uid="{00000000-0004-0000-0800-0000DE020000}"/>
    <hyperlink ref="A737" r:id="rId736" xr:uid="{00000000-0004-0000-0800-0000DF020000}"/>
    <hyperlink ref="A738" r:id="rId737" xr:uid="{00000000-0004-0000-0800-0000E0020000}"/>
    <hyperlink ref="A739" r:id="rId738" xr:uid="{00000000-0004-0000-0800-0000E1020000}"/>
    <hyperlink ref="A740" r:id="rId739" xr:uid="{00000000-0004-0000-0800-0000E2020000}"/>
    <hyperlink ref="A741" r:id="rId740" xr:uid="{00000000-0004-0000-0800-0000E3020000}"/>
    <hyperlink ref="A742" r:id="rId741" xr:uid="{00000000-0004-0000-0800-0000E4020000}"/>
    <hyperlink ref="A743" r:id="rId742" xr:uid="{00000000-0004-0000-0800-0000E5020000}"/>
    <hyperlink ref="A744" r:id="rId743" xr:uid="{00000000-0004-0000-0800-0000E6020000}"/>
    <hyperlink ref="A745" r:id="rId744" xr:uid="{00000000-0004-0000-0800-0000E7020000}"/>
    <hyperlink ref="A746" r:id="rId745" xr:uid="{00000000-0004-0000-0800-0000E8020000}"/>
    <hyperlink ref="A747" r:id="rId746" xr:uid="{00000000-0004-0000-0800-0000E9020000}"/>
    <hyperlink ref="A748" r:id="rId747" xr:uid="{00000000-0004-0000-0800-0000EA020000}"/>
    <hyperlink ref="A749" r:id="rId748" xr:uid="{00000000-0004-0000-0800-0000EB020000}"/>
    <hyperlink ref="A750" r:id="rId749" xr:uid="{00000000-0004-0000-0800-0000EC020000}"/>
    <hyperlink ref="A751" r:id="rId750" xr:uid="{00000000-0004-0000-0800-0000ED020000}"/>
    <hyperlink ref="A752" r:id="rId751" xr:uid="{00000000-0004-0000-0800-0000EE020000}"/>
    <hyperlink ref="A753" r:id="rId752" xr:uid="{00000000-0004-0000-0800-0000EF020000}"/>
    <hyperlink ref="A754" r:id="rId753" xr:uid="{00000000-0004-0000-0800-0000F0020000}"/>
    <hyperlink ref="A755" r:id="rId754" xr:uid="{00000000-0004-0000-0800-0000F1020000}"/>
    <hyperlink ref="A756" r:id="rId755" xr:uid="{00000000-0004-0000-0800-0000F2020000}"/>
    <hyperlink ref="A757" r:id="rId756" xr:uid="{00000000-0004-0000-0800-0000F3020000}"/>
    <hyperlink ref="A758" r:id="rId757" xr:uid="{00000000-0004-0000-0800-0000F4020000}"/>
    <hyperlink ref="A759" r:id="rId758" xr:uid="{00000000-0004-0000-0800-0000F5020000}"/>
    <hyperlink ref="A760" r:id="rId759" xr:uid="{00000000-0004-0000-0800-0000F6020000}"/>
    <hyperlink ref="A761" r:id="rId760" xr:uid="{00000000-0004-0000-0800-0000F7020000}"/>
    <hyperlink ref="A762" r:id="rId761" xr:uid="{00000000-0004-0000-0800-0000F8020000}"/>
    <hyperlink ref="A763" r:id="rId762" xr:uid="{00000000-0004-0000-0800-0000F9020000}"/>
    <hyperlink ref="A764" r:id="rId763" xr:uid="{00000000-0004-0000-0800-0000FA020000}"/>
    <hyperlink ref="A765" r:id="rId764" xr:uid="{00000000-0004-0000-0800-0000FB020000}"/>
    <hyperlink ref="A766" r:id="rId765" xr:uid="{00000000-0004-0000-0800-0000FC020000}"/>
    <hyperlink ref="A767" r:id="rId766" xr:uid="{00000000-0004-0000-0800-0000FD020000}"/>
    <hyperlink ref="A768" r:id="rId767" xr:uid="{00000000-0004-0000-0800-0000FE020000}"/>
    <hyperlink ref="A769" r:id="rId768" xr:uid="{00000000-0004-0000-0800-0000FF020000}"/>
    <hyperlink ref="A770" r:id="rId769" xr:uid="{00000000-0004-0000-0800-000000030000}"/>
    <hyperlink ref="A771" r:id="rId770" xr:uid="{00000000-0004-0000-0800-000001030000}"/>
    <hyperlink ref="A772" r:id="rId771" xr:uid="{00000000-0004-0000-0800-000002030000}"/>
    <hyperlink ref="A773" r:id="rId772" xr:uid="{00000000-0004-0000-0800-000003030000}"/>
    <hyperlink ref="A774" r:id="rId773" xr:uid="{00000000-0004-0000-0800-000004030000}"/>
    <hyperlink ref="A775" r:id="rId774" xr:uid="{00000000-0004-0000-0800-000005030000}"/>
    <hyperlink ref="A776" r:id="rId775" xr:uid="{00000000-0004-0000-0800-000006030000}"/>
    <hyperlink ref="A777" r:id="rId776" xr:uid="{00000000-0004-0000-0800-000007030000}"/>
    <hyperlink ref="A778" r:id="rId777" xr:uid="{00000000-0004-0000-0800-000008030000}"/>
    <hyperlink ref="A779" r:id="rId778" xr:uid="{00000000-0004-0000-0800-000009030000}"/>
    <hyperlink ref="A780" r:id="rId779" xr:uid="{00000000-0004-0000-0800-00000A030000}"/>
    <hyperlink ref="A781" r:id="rId780" xr:uid="{00000000-0004-0000-0800-00000B030000}"/>
    <hyperlink ref="A782" r:id="rId781" xr:uid="{00000000-0004-0000-0800-00000C030000}"/>
    <hyperlink ref="A783" r:id="rId782" xr:uid="{00000000-0004-0000-0800-00000D030000}"/>
    <hyperlink ref="A784" r:id="rId783" xr:uid="{00000000-0004-0000-0800-00000E030000}"/>
    <hyperlink ref="A785" r:id="rId784" xr:uid="{00000000-0004-0000-0800-00000F030000}"/>
    <hyperlink ref="A786" r:id="rId785" xr:uid="{00000000-0004-0000-0800-000010030000}"/>
    <hyperlink ref="A787" r:id="rId786" xr:uid="{00000000-0004-0000-0800-000011030000}"/>
    <hyperlink ref="A788" r:id="rId787" xr:uid="{00000000-0004-0000-0800-000012030000}"/>
    <hyperlink ref="A789" r:id="rId788" xr:uid="{00000000-0004-0000-0800-000013030000}"/>
    <hyperlink ref="A790" r:id="rId789" xr:uid="{00000000-0004-0000-0800-000014030000}"/>
    <hyperlink ref="A791" r:id="rId790" xr:uid="{00000000-0004-0000-0800-000015030000}"/>
    <hyperlink ref="A792" r:id="rId791" xr:uid="{00000000-0004-0000-0800-000016030000}"/>
    <hyperlink ref="A793" r:id="rId792" xr:uid="{00000000-0004-0000-0800-000017030000}"/>
    <hyperlink ref="A794" r:id="rId793" xr:uid="{00000000-0004-0000-0800-000018030000}"/>
    <hyperlink ref="A795" r:id="rId794" xr:uid="{00000000-0004-0000-0800-000019030000}"/>
    <hyperlink ref="A796" r:id="rId795" xr:uid="{00000000-0004-0000-0800-00001A030000}"/>
    <hyperlink ref="A797" r:id="rId796" xr:uid="{00000000-0004-0000-0800-00001B030000}"/>
    <hyperlink ref="A798" r:id="rId797" xr:uid="{00000000-0004-0000-0800-00001C030000}"/>
    <hyperlink ref="A799" r:id="rId798" xr:uid="{00000000-0004-0000-0800-00001D030000}"/>
    <hyperlink ref="A800" r:id="rId799" xr:uid="{00000000-0004-0000-0800-00001E030000}"/>
    <hyperlink ref="A801" r:id="rId800" xr:uid="{00000000-0004-0000-0800-00001F030000}"/>
    <hyperlink ref="A802" r:id="rId801" xr:uid="{00000000-0004-0000-0800-000020030000}"/>
    <hyperlink ref="A803" r:id="rId802" xr:uid="{00000000-0004-0000-0800-000021030000}"/>
    <hyperlink ref="A804" r:id="rId803" xr:uid="{00000000-0004-0000-0800-000022030000}"/>
    <hyperlink ref="A805" r:id="rId804" xr:uid="{00000000-0004-0000-0800-000023030000}"/>
    <hyperlink ref="A806" r:id="rId805" xr:uid="{00000000-0004-0000-0800-000024030000}"/>
    <hyperlink ref="A807" r:id="rId806" xr:uid="{00000000-0004-0000-0800-000025030000}"/>
    <hyperlink ref="A808" r:id="rId807" xr:uid="{00000000-0004-0000-0800-000026030000}"/>
    <hyperlink ref="A809" r:id="rId808" xr:uid="{00000000-0004-0000-0800-000027030000}"/>
    <hyperlink ref="A810" r:id="rId809" xr:uid="{00000000-0004-0000-0800-000028030000}"/>
    <hyperlink ref="A811" r:id="rId810" xr:uid="{00000000-0004-0000-0800-000029030000}"/>
    <hyperlink ref="A812" r:id="rId811" xr:uid="{00000000-0004-0000-0800-00002A030000}"/>
    <hyperlink ref="A813" r:id="rId812" xr:uid="{00000000-0004-0000-0800-00002B030000}"/>
    <hyperlink ref="A814" r:id="rId813" xr:uid="{00000000-0004-0000-0800-00002C030000}"/>
    <hyperlink ref="A815" r:id="rId814" xr:uid="{00000000-0004-0000-0800-00002D030000}"/>
    <hyperlink ref="A816" r:id="rId815" xr:uid="{00000000-0004-0000-0800-00002E030000}"/>
    <hyperlink ref="A817" r:id="rId816" xr:uid="{00000000-0004-0000-0800-00002F030000}"/>
    <hyperlink ref="A818" r:id="rId817" xr:uid="{00000000-0004-0000-0800-000030030000}"/>
    <hyperlink ref="A819" r:id="rId818" xr:uid="{00000000-0004-0000-0800-000031030000}"/>
    <hyperlink ref="A820" r:id="rId819" xr:uid="{00000000-0004-0000-0800-000032030000}"/>
    <hyperlink ref="A821" r:id="rId820" xr:uid="{00000000-0004-0000-0800-000033030000}"/>
    <hyperlink ref="A822" r:id="rId821" xr:uid="{00000000-0004-0000-0800-000034030000}"/>
    <hyperlink ref="A823" r:id="rId822" xr:uid="{00000000-0004-0000-0800-000035030000}"/>
    <hyperlink ref="A824" r:id="rId823" xr:uid="{00000000-0004-0000-0800-000036030000}"/>
    <hyperlink ref="A825" r:id="rId824" xr:uid="{00000000-0004-0000-0800-000037030000}"/>
    <hyperlink ref="A826" r:id="rId825" xr:uid="{00000000-0004-0000-0800-000038030000}"/>
    <hyperlink ref="A827" r:id="rId826" xr:uid="{00000000-0004-0000-0800-000039030000}"/>
    <hyperlink ref="A828" r:id="rId827" xr:uid="{00000000-0004-0000-0800-00003A030000}"/>
    <hyperlink ref="A829" r:id="rId828" xr:uid="{00000000-0004-0000-0800-00003B030000}"/>
    <hyperlink ref="A830" r:id="rId829" xr:uid="{00000000-0004-0000-0800-00003C030000}"/>
    <hyperlink ref="A831" r:id="rId830" xr:uid="{00000000-0004-0000-0800-00003D030000}"/>
    <hyperlink ref="A832" r:id="rId831" xr:uid="{00000000-0004-0000-0800-00003E030000}"/>
    <hyperlink ref="A833" r:id="rId832" xr:uid="{00000000-0004-0000-0800-00003F030000}"/>
    <hyperlink ref="A834" r:id="rId833" xr:uid="{00000000-0004-0000-0800-000040030000}"/>
    <hyperlink ref="A835" r:id="rId834" xr:uid="{00000000-0004-0000-0800-000041030000}"/>
    <hyperlink ref="A836" r:id="rId835" xr:uid="{00000000-0004-0000-0800-000042030000}"/>
    <hyperlink ref="A837" r:id="rId836" xr:uid="{00000000-0004-0000-0800-000043030000}"/>
    <hyperlink ref="A838" r:id="rId837" xr:uid="{00000000-0004-0000-0800-000044030000}"/>
    <hyperlink ref="A839" r:id="rId838" xr:uid="{00000000-0004-0000-0800-000045030000}"/>
    <hyperlink ref="A840" r:id="rId839" xr:uid="{00000000-0004-0000-0800-000046030000}"/>
    <hyperlink ref="A841" r:id="rId840" xr:uid="{00000000-0004-0000-0800-000047030000}"/>
    <hyperlink ref="A842" r:id="rId841" xr:uid="{00000000-0004-0000-0800-000048030000}"/>
    <hyperlink ref="A843" r:id="rId842" xr:uid="{00000000-0004-0000-0800-000049030000}"/>
    <hyperlink ref="A844" r:id="rId843" xr:uid="{00000000-0004-0000-0800-00004A030000}"/>
    <hyperlink ref="A845" r:id="rId844" xr:uid="{00000000-0004-0000-0800-00004B030000}"/>
    <hyperlink ref="A846" r:id="rId845" xr:uid="{00000000-0004-0000-0800-00004C030000}"/>
    <hyperlink ref="A847" r:id="rId846" xr:uid="{00000000-0004-0000-0800-00004D030000}"/>
    <hyperlink ref="A848" r:id="rId847" xr:uid="{00000000-0004-0000-0800-00004E030000}"/>
    <hyperlink ref="A849" r:id="rId848" xr:uid="{00000000-0004-0000-0800-00004F030000}"/>
    <hyperlink ref="A850" r:id="rId849" xr:uid="{00000000-0004-0000-0800-000050030000}"/>
    <hyperlink ref="A851" r:id="rId850" xr:uid="{00000000-0004-0000-0800-000051030000}"/>
    <hyperlink ref="A852" r:id="rId851" xr:uid="{00000000-0004-0000-0800-000052030000}"/>
    <hyperlink ref="A853" r:id="rId852" xr:uid="{00000000-0004-0000-0800-000053030000}"/>
    <hyperlink ref="A854" r:id="rId853" xr:uid="{00000000-0004-0000-0800-000054030000}"/>
    <hyperlink ref="A855" r:id="rId854" xr:uid="{00000000-0004-0000-0800-000055030000}"/>
    <hyperlink ref="A856" r:id="rId855" xr:uid="{00000000-0004-0000-0800-000056030000}"/>
    <hyperlink ref="A857" r:id="rId856" xr:uid="{00000000-0004-0000-0800-000057030000}"/>
    <hyperlink ref="A858" r:id="rId857" xr:uid="{00000000-0004-0000-0800-000058030000}"/>
    <hyperlink ref="A859" r:id="rId858" xr:uid="{00000000-0004-0000-0800-000059030000}"/>
    <hyperlink ref="A860" r:id="rId859" xr:uid="{00000000-0004-0000-0800-00005A030000}"/>
    <hyperlink ref="A861" r:id="rId860" xr:uid="{00000000-0004-0000-0800-00005B030000}"/>
    <hyperlink ref="A862" r:id="rId861" xr:uid="{00000000-0004-0000-0800-00005C030000}"/>
    <hyperlink ref="A863" r:id="rId862" xr:uid="{00000000-0004-0000-0800-00005D030000}"/>
    <hyperlink ref="A864" r:id="rId863" xr:uid="{00000000-0004-0000-0800-00005E030000}"/>
    <hyperlink ref="A865" r:id="rId864" xr:uid="{00000000-0004-0000-0800-00005F030000}"/>
    <hyperlink ref="A866" r:id="rId865" xr:uid="{00000000-0004-0000-0800-000060030000}"/>
    <hyperlink ref="A867" r:id="rId866" xr:uid="{00000000-0004-0000-0800-000061030000}"/>
    <hyperlink ref="A868" r:id="rId867" xr:uid="{00000000-0004-0000-0800-000062030000}"/>
    <hyperlink ref="A869" r:id="rId868" xr:uid="{00000000-0004-0000-0800-000063030000}"/>
    <hyperlink ref="A870" r:id="rId869" xr:uid="{00000000-0004-0000-0800-000064030000}"/>
    <hyperlink ref="A871" r:id="rId870" xr:uid="{00000000-0004-0000-0800-000065030000}"/>
    <hyperlink ref="A872" r:id="rId871" xr:uid="{00000000-0004-0000-0800-000066030000}"/>
    <hyperlink ref="A873" r:id="rId872" xr:uid="{00000000-0004-0000-0800-000067030000}"/>
    <hyperlink ref="A874" r:id="rId873" xr:uid="{00000000-0004-0000-0800-000068030000}"/>
    <hyperlink ref="A875" r:id="rId874" xr:uid="{00000000-0004-0000-0800-000069030000}"/>
    <hyperlink ref="A876" r:id="rId875" xr:uid="{00000000-0004-0000-0800-00006A030000}"/>
    <hyperlink ref="A877" r:id="rId876" xr:uid="{00000000-0004-0000-0800-00006B030000}"/>
    <hyperlink ref="A878" r:id="rId877" xr:uid="{00000000-0004-0000-0800-00006C030000}"/>
    <hyperlink ref="A879" r:id="rId878" xr:uid="{00000000-0004-0000-0800-00006D030000}"/>
    <hyperlink ref="A880" r:id="rId879" xr:uid="{00000000-0004-0000-0800-00006E030000}"/>
    <hyperlink ref="A881" r:id="rId880" xr:uid="{00000000-0004-0000-0800-00006F030000}"/>
    <hyperlink ref="A882" r:id="rId881" xr:uid="{00000000-0004-0000-0800-000070030000}"/>
    <hyperlink ref="A883" r:id="rId882" xr:uid="{00000000-0004-0000-0800-000071030000}"/>
    <hyperlink ref="A884" r:id="rId883" xr:uid="{00000000-0004-0000-0800-000072030000}"/>
    <hyperlink ref="A885" r:id="rId884" xr:uid="{00000000-0004-0000-0800-000073030000}"/>
    <hyperlink ref="A886" r:id="rId885" xr:uid="{00000000-0004-0000-0800-000074030000}"/>
    <hyperlink ref="A887" r:id="rId886" xr:uid="{00000000-0004-0000-0800-000075030000}"/>
    <hyperlink ref="A888" r:id="rId887" xr:uid="{00000000-0004-0000-0800-000076030000}"/>
    <hyperlink ref="A889" r:id="rId888" xr:uid="{00000000-0004-0000-0800-000077030000}"/>
    <hyperlink ref="A890" r:id="rId889" xr:uid="{00000000-0004-0000-0800-000078030000}"/>
    <hyperlink ref="A891" r:id="rId890" xr:uid="{00000000-0004-0000-0800-000079030000}"/>
    <hyperlink ref="A892" r:id="rId891" xr:uid="{00000000-0004-0000-0800-00007A030000}"/>
    <hyperlink ref="A893" r:id="rId892" xr:uid="{00000000-0004-0000-0800-00007B030000}"/>
    <hyperlink ref="A894" r:id="rId893" xr:uid="{00000000-0004-0000-0800-00007C030000}"/>
    <hyperlink ref="A895" r:id="rId894" xr:uid="{00000000-0004-0000-0800-00007D030000}"/>
    <hyperlink ref="A896" r:id="rId895" xr:uid="{00000000-0004-0000-0800-00007E030000}"/>
    <hyperlink ref="A897" r:id="rId896" xr:uid="{00000000-0004-0000-0800-00007F030000}"/>
    <hyperlink ref="A898" r:id="rId897" xr:uid="{00000000-0004-0000-0800-000080030000}"/>
    <hyperlink ref="A899" r:id="rId898" xr:uid="{00000000-0004-0000-0800-000081030000}"/>
    <hyperlink ref="A900" r:id="rId899" xr:uid="{00000000-0004-0000-0800-000082030000}"/>
    <hyperlink ref="A901" r:id="rId900" xr:uid="{00000000-0004-0000-0800-000083030000}"/>
    <hyperlink ref="A902" r:id="rId901" xr:uid="{00000000-0004-0000-0800-000084030000}"/>
    <hyperlink ref="A903" r:id="rId902" xr:uid="{00000000-0004-0000-0800-000085030000}"/>
    <hyperlink ref="A904" r:id="rId903" xr:uid="{00000000-0004-0000-0800-000086030000}"/>
    <hyperlink ref="A905" r:id="rId904" xr:uid="{00000000-0004-0000-0800-000087030000}"/>
    <hyperlink ref="A906" r:id="rId905" xr:uid="{00000000-0004-0000-0800-000088030000}"/>
    <hyperlink ref="A907" r:id="rId906" xr:uid="{00000000-0004-0000-0800-000089030000}"/>
    <hyperlink ref="A908" r:id="rId907" xr:uid="{00000000-0004-0000-0800-00008A030000}"/>
    <hyperlink ref="A909" r:id="rId908" xr:uid="{00000000-0004-0000-0800-00008B030000}"/>
    <hyperlink ref="A910" r:id="rId909" xr:uid="{00000000-0004-0000-0800-00008C030000}"/>
    <hyperlink ref="A911" r:id="rId910" xr:uid="{00000000-0004-0000-0800-00008D030000}"/>
    <hyperlink ref="A912" r:id="rId911" xr:uid="{00000000-0004-0000-0800-00008E030000}"/>
    <hyperlink ref="A913" r:id="rId912" xr:uid="{00000000-0004-0000-0800-00008F030000}"/>
    <hyperlink ref="A914" r:id="rId913" xr:uid="{00000000-0004-0000-0800-000090030000}"/>
    <hyperlink ref="A915" r:id="rId914" xr:uid="{00000000-0004-0000-0800-000091030000}"/>
    <hyperlink ref="A916" r:id="rId915" xr:uid="{00000000-0004-0000-0800-000092030000}"/>
    <hyperlink ref="A917" r:id="rId916" xr:uid="{00000000-0004-0000-0800-000093030000}"/>
    <hyperlink ref="A918" r:id="rId917" xr:uid="{00000000-0004-0000-0800-000094030000}"/>
    <hyperlink ref="A919" r:id="rId918" xr:uid="{00000000-0004-0000-0800-000095030000}"/>
    <hyperlink ref="A920" r:id="rId919" xr:uid="{00000000-0004-0000-0800-000096030000}"/>
    <hyperlink ref="A921" r:id="rId920" xr:uid="{00000000-0004-0000-0800-000097030000}"/>
    <hyperlink ref="A922" r:id="rId921" xr:uid="{00000000-0004-0000-0800-000098030000}"/>
    <hyperlink ref="A923" r:id="rId922" xr:uid="{00000000-0004-0000-0800-000099030000}"/>
    <hyperlink ref="A924" r:id="rId923" xr:uid="{00000000-0004-0000-0800-00009A030000}"/>
    <hyperlink ref="A925" r:id="rId924" xr:uid="{00000000-0004-0000-0800-00009B030000}"/>
    <hyperlink ref="A926" r:id="rId925" xr:uid="{00000000-0004-0000-0800-00009C030000}"/>
    <hyperlink ref="A927" r:id="rId926" xr:uid="{00000000-0004-0000-0800-00009D030000}"/>
    <hyperlink ref="A928" r:id="rId927" xr:uid="{00000000-0004-0000-0800-00009E030000}"/>
    <hyperlink ref="A929" r:id="rId928" xr:uid="{00000000-0004-0000-0800-00009F030000}"/>
    <hyperlink ref="A930" r:id="rId929" xr:uid="{00000000-0004-0000-0800-0000A0030000}"/>
    <hyperlink ref="A931" r:id="rId930" xr:uid="{00000000-0004-0000-0800-0000A1030000}"/>
    <hyperlink ref="A932" r:id="rId931" xr:uid="{00000000-0004-0000-0800-0000A2030000}"/>
    <hyperlink ref="A933" r:id="rId932" xr:uid="{00000000-0004-0000-0800-0000A3030000}"/>
    <hyperlink ref="A934" r:id="rId933" xr:uid="{00000000-0004-0000-0800-0000A4030000}"/>
    <hyperlink ref="A935" r:id="rId934" xr:uid="{00000000-0004-0000-0800-0000A5030000}"/>
    <hyperlink ref="A936" r:id="rId935" xr:uid="{00000000-0004-0000-0800-0000A6030000}"/>
    <hyperlink ref="A937" r:id="rId936" xr:uid="{00000000-0004-0000-0800-0000A7030000}"/>
    <hyperlink ref="A938" r:id="rId937" xr:uid="{00000000-0004-0000-0800-0000A8030000}"/>
    <hyperlink ref="A939" r:id="rId938" xr:uid="{00000000-0004-0000-0800-0000A9030000}"/>
    <hyperlink ref="A940" r:id="rId939" xr:uid="{00000000-0004-0000-0800-0000AA030000}"/>
    <hyperlink ref="A941" r:id="rId940" xr:uid="{00000000-0004-0000-0800-0000AB030000}"/>
    <hyperlink ref="A942" r:id="rId941" xr:uid="{00000000-0004-0000-0800-0000AC030000}"/>
    <hyperlink ref="A943" r:id="rId942" xr:uid="{00000000-0004-0000-0800-0000AD030000}"/>
    <hyperlink ref="A944" r:id="rId943" xr:uid="{00000000-0004-0000-0800-0000AE030000}"/>
    <hyperlink ref="A945" r:id="rId944" xr:uid="{00000000-0004-0000-0800-0000AF030000}"/>
    <hyperlink ref="A946" r:id="rId945" xr:uid="{00000000-0004-0000-0800-0000B0030000}"/>
    <hyperlink ref="A947" r:id="rId946" xr:uid="{00000000-0004-0000-0800-0000B1030000}"/>
    <hyperlink ref="A948" r:id="rId947" xr:uid="{00000000-0004-0000-0800-0000B2030000}"/>
    <hyperlink ref="A949" r:id="rId948" xr:uid="{00000000-0004-0000-0800-0000B3030000}"/>
    <hyperlink ref="A950" r:id="rId949" xr:uid="{00000000-0004-0000-0800-0000B4030000}"/>
    <hyperlink ref="A951" r:id="rId950" xr:uid="{00000000-0004-0000-0800-0000B5030000}"/>
    <hyperlink ref="A952" r:id="rId951" xr:uid="{00000000-0004-0000-0800-0000B6030000}"/>
    <hyperlink ref="A953" r:id="rId952" xr:uid="{00000000-0004-0000-0800-0000B7030000}"/>
    <hyperlink ref="A954" r:id="rId953" xr:uid="{00000000-0004-0000-0800-0000B8030000}"/>
    <hyperlink ref="A955" r:id="rId954" xr:uid="{00000000-0004-0000-0800-0000B9030000}"/>
    <hyperlink ref="A956" r:id="rId955" xr:uid="{00000000-0004-0000-0800-0000BA030000}"/>
    <hyperlink ref="A957" r:id="rId956" xr:uid="{00000000-0004-0000-0800-0000BB030000}"/>
    <hyperlink ref="A958" r:id="rId957" xr:uid="{00000000-0004-0000-0800-0000BC030000}"/>
    <hyperlink ref="A959" r:id="rId958" xr:uid="{00000000-0004-0000-0800-0000BD030000}"/>
    <hyperlink ref="A960" r:id="rId959" xr:uid="{00000000-0004-0000-0800-0000BE030000}"/>
    <hyperlink ref="A961" r:id="rId960" xr:uid="{00000000-0004-0000-0800-0000BF030000}"/>
    <hyperlink ref="A962" r:id="rId961" xr:uid="{00000000-0004-0000-0800-0000C0030000}"/>
    <hyperlink ref="A963" r:id="rId962" xr:uid="{00000000-0004-0000-0800-0000C1030000}"/>
    <hyperlink ref="A964" r:id="rId963" xr:uid="{00000000-0004-0000-0800-0000C2030000}"/>
    <hyperlink ref="A965" r:id="rId964" xr:uid="{00000000-0004-0000-0800-0000C3030000}"/>
    <hyperlink ref="A966" r:id="rId965" xr:uid="{00000000-0004-0000-0800-0000C4030000}"/>
    <hyperlink ref="A967" r:id="rId966" xr:uid="{00000000-0004-0000-0800-0000C5030000}"/>
    <hyperlink ref="A968" r:id="rId967" xr:uid="{00000000-0004-0000-0800-0000C6030000}"/>
    <hyperlink ref="A969" r:id="rId968" xr:uid="{00000000-0004-0000-0800-0000C7030000}"/>
    <hyperlink ref="A970" r:id="rId969" xr:uid="{00000000-0004-0000-0800-0000C8030000}"/>
    <hyperlink ref="A971" r:id="rId970" xr:uid="{00000000-0004-0000-0800-0000C9030000}"/>
    <hyperlink ref="A972" r:id="rId971" xr:uid="{00000000-0004-0000-0800-0000CA030000}"/>
    <hyperlink ref="A973" r:id="rId972" xr:uid="{00000000-0004-0000-0800-0000CB030000}"/>
    <hyperlink ref="A974" r:id="rId973" xr:uid="{00000000-0004-0000-0800-0000CC030000}"/>
    <hyperlink ref="A975" r:id="rId974" xr:uid="{00000000-0004-0000-0800-0000CD030000}"/>
    <hyperlink ref="A976" r:id="rId975" xr:uid="{00000000-0004-0000-0800-0000CE030000}"/>
    <hyperlink ref="A977" r:id="rId976" xr:uid="{00000000-0004-0000-0800-0000CF030000}"/>
    <hyperlink ref="A978" r:id="rId977" xr:uid="{00000000-0004-0000-0800-0000D0030000}"/>
    <hyperlink ref="A979" r:id="rId978" xr:uid="{00000000-0004-0000-0800-0000D1030000}"/>
    <hyperlink ref="A980" r:id="rId979" xr:uid="{00000000-0004-0000-0800-0000D2030000}"/>
    <hyperlink ref="A981" r:id="rId980" xr:uid="{00000000-0004-0000-0800-0000D3030000}"/>
    <hyperlink ref="A982" r:id="rId981" xr:uid="{00000000-0004-0000-0800-0000D4030000}"/>
    <hyperlink ref="A983" r:id="rId982" xr:uid="{00000000-0004-0000-0800-0000D5030000}"/>
    <hyperlink ref="A984" r:id="rId983" xr:uid="{00000000-0004-0000-0800-0000D6030000}"/>
    <hyperlink ref="A985" r:id="rId984" xr:uid="{00000000-0004-0000-0800-0000D7030000}"/>
    <hyperlink ref="A986" r:id="rId985" xr:uid="{00000000-0004-0000-0800-0000D8030000}"/>
    <hyperlink ref="A987" r:id="rId986" xr:uid="{00000000-0004-0000-0800-0000D9030000}"/>
    <hyperlink ref="A988" r:id="rId987" xr:uid="{00000000-0004-0000-0800-0000DA030000}"/>
    <hyperlink ref="A989" r:id="rId988" xr:uid="{00000000-0004-0000-0800-0000DB030000}"/>
    <hyperlink ref="A990" r:id="rId989" xr:uid="{00000000-0004-0000-0800-0000DC030000}"/>
    <hyperlink ref="A991" r:id="rId990" xr:uid="{00000000-0004-0000-0800-0000DD030000}"/>
    <hyperlink ref="A992" r:id="rId991" xr:uid="{00000000-0004-0000-0800-0000DE030000}"/>
    <hyperlink ref="A993" r:id="rId992" xr:uid="{00000000-0004-0000-0800-0000DF030000}"/>
    <hyperlink ref="A994" r:id="rId993" xr:uid="{00000000-0004-0000-0800-0000E0030000}"/>
    <hyperlink ref="A995" r:id="rId994" xr:uid="{00000000-0004-0000-0800-0000E1030000}"/>
    <hyperlink ref="A996" r:id="rId995" xr:uid="{00000000-0004-0000-0800-0000E2030000}"/>
    <hyperlink ref="A997" r:id="rId996" xr:uid="{00000000-0004-0000-0800-0000E3030000}"/>
    <hyperlink ref="A998" r:id="rId997" xr:uid="{00000000-0004-0000-0800-0000E4030000}"/>
    <hyperlink ref="A999" r:id="rId998" xr:uid="{00000000-0004-0000-0800-0000E5030000}"/>
    <hyperlink ref="A1000" r:id="rId999" xr:uid="{00000000-0004-0000-0800-0000E6030000}"/>
    <hyperlink ref="A1001" r:id="rId1000" xr:uid="{00000000-0004-0000-0800-0000E7030000}"/>
    <hyperlink ref="A1002" r:id="rId1001" xr:uid="{00000000-0004-0000-0800-0000E8030000}"/>
    <hyperlink ref="A1003" r:id="rId1002" xr:uid="{00000000-0004-0000-0800-0000E9030000}"/>
    <hyperlink ref="A1004" r:id="rId1003" xr:uid="{00000000-0004-0000-0800-0000EA030000}"/>
    <hyperlink ref="A1005" r:id="rId1004" xr:uid="{00000000-0004-0000-0800-0000EB030000}"/>
    <hyperlink ref="A1006" r:id="rId1005" xr:uid="{00000000-0004-0000-0800-0000EC030000}"/>
    <hyperlink ref="A1007" r:id="rId1006" xr:uid="{00000000-0004-0000-0800-0000ED030000}"/>
    <hyperlink ref="A1008" r:id="rId1007" xr:uid="{00000000-0004-0000-0800-0000EE030000}"/>
    <hyperlink ref="A1009" r:id="rId1008" xr:uid="{00000000-0004-0000-0800-0000EF030000}"/>
    <hyperlink ref="A1010" r:id="rId1009" xr:uid="{00000000-0004-0000-0800-0000F0030000}"/>
    <hyperlink ref="A1011" r:id="rId1010" xr:uid="{00000000-0004-0000-0800-0000F1030000}"/>
    <hyperlink ref="A1012" r:id="rId1011" xr:uid="{00000000-0004-0000-0800-0000F2030000}"/>
    <hyperlink ref="A1013" r:id="rId1012" xr:uid="{00000000-0004-0000-0800-0000F3030000}"/>
    <hyperlink ref="A1014" r:id="rId1013" xr:uid="{00000000-0004-0000-0800-0000F4030000}"/>
    <hyperlink ref="A1015" r:id="rId1014" xr:uid="{00000000-0004-0000-0800-0000F5030000}"/>
    <hyperlink ref="A1016" r:id="rId1015" xr:uid="{00000000-0004-0000-0800-0000F6030000}"/>
    <hyperlink ref="A1017" r:id="rId1016" xr:uid="{00000000-0004-0000-0800-0000F7030000}"/>
    <hyperlink ref="A1018" r:id="rId1017" xr:uid="{00000000-0004-0000-0800-0000F8030000}"/>
    <hyperlink ref="A1019" r:id="rId1018" xr:uid="{00000000-0004-0000-0800-0000F9030000}"/>
    <hyperlink ref="A1020" r:id="rId1019" xr:uid="{00000000-0004-0000-0800-0000FA030000}"/>
    <hyperlink ref="A1021" r:id="rId1020" xr:uid="{00000000-0004-0000-0800-0000FB030000}"/>
    <hyperlink ref="A1022" r:id="rId1021" xr:uid="{00000000-0004-0000-0800-0000FC030000}"/>
    <hyperlink ref="A1023" r:id="rId1022" xr:uid="{00000000-0004-0000-0800-0000FD030000}"/>
    <hyperlink ref="A1024" r:id="rId1023" xr:uid="{00000000-0004-0000-0800-0000FE030000}"/>
    <hyperlink ref="A1025" r:id="rId1024" xr:uid="{00000000-0004-0000-0800-0000FF030000}"/>
    <hyperlink ref="A1026" r:id="rId1025" xr:uid="{00000000-0004-0000-0800-000000040000}"/>
    <hyperlink ref="A1027" r:id="rId1026" xr:uid="{00000000-0004-0000-0800-000001040000}"/>
    <hyperlink ref="A1028" r:id="rId1027" xr:uid="{00000000-0004-0000-0800-000002040000}"/>
    <hyperlink ref="A1029" r:id="rId1028" xr:uid="{00000000-0004-0000-0800-000003040000}"/>
    <hyperlink ref="A1030" r:id="rId1029" xr:uid="{00000000-0004-0000-0800-000004040000}"/>
    <hyperlink ref="A1031" r:id="rId1030" xr:uid="{00000000-0004-0000-0800-000005040000}"/>
    <hyperlink ref="A1032" r:id="rId1031" xr:uid="{00000000-0004-0000-0800-000006040000}"/>
    <hyperlink ref="A1033" r:id="rId1032" xr:uid="{00000000-0004-0000-0800-000007040000}"/>
    <hyperlink ref="A1034" r:id="rId1033" xr:uid="{00000000-0004-0000-0800-000008040000}"/>
    <hyperlink ref="A1035" r:id="rId1034" xr:uid="{00000000-0004-0000-0800-000009040000}"/>
    <hyperlink ref="A1036" r:id="rId1035" xr:uid="{00000000-0004-0000-0800-00000A040000}"/>
    <hyperlink ref="A1037" r:id="rId1036" xr:uid="{00000000-0004-0000-0800-00000B040000}"/>
    <hyperlink ref="A1038" r:id="rId1037" xr:uid="{00000000-0004-0000-0800-00000C040000}"/>
    <hyperlink ref="A1039" r:id="rId1038" xr:uid="{00000000-0004-0000-0800-00000D040000}"/>
    <hyperlink ref="A1040" r:id="rId1039" xr:uid="{00000000-0004-0000-0800-00000E040000}"/>
    <hyperlink ref="A1041" r:id="rId1040" xr:uid="{00000000-0004-0000-0800-00000F040000}"/>
    <hyperlink ref="A1042" r:id="rId1041" xr:uid="{00000000-0004-0000-0800-000010040000}"/>
    <hyperlink ref="A1043" r:id="rId1042" xr:uid="{00000000-0004-0000-0800-000011040000}"/>
    <hyperlink ref="A1044" r:id="rId1043" xr:uid="{00000000-0004-0000-0800-000012040000}"/>
    <hyperlink ref="A1045" r:id="rId1044" xr:uid="{00000000-0004-0000-0800-000013040000}"/>
    <hyperlink ref="A1046" r:id="rId1045" xr:uid="{00000000-0004-0000-0800-000014040000}"/>
    <hyperlink ref="A1047" r:id="rId1046" xr:uid="{00000000-0004-0000-0800-000015040000}"/>
    <hyperlink ref="A1048" r:id="rId1047" xr:uid="{00000000-0004-0000-0800-000016040000}"/>
    <hyperlink ref="A1049" r:id="rId1048" xr:uid="{00000000-0004-0000-0800-000017040000}"/>
    <hyperlink ref="A1050" r:id="rId1049" xr:uid="{00000000-0004-0000-0800-000018040000}"/>
    <hyperlink ref="A1051" r:id="rId1050" xr:uid="{00000000-0004-0000-0800-000019040000}"/>
    <hyperlink ref="A1052" r:id="rId1051" xr:uid="{00000000-0004-0000-0800-00001A040000}"/>
    <hyperlink ref="A1053" r:id="rId1052" xr:uid="{00000000-0004-0000-0800-00001B040000}"/>
    <hyperlink ref="A1054" r:id="rId1053" xr:uid="{00000000-0004-0000-0800-00001C040000}"/>
    <hyperlink ref="A1055" r:id="rId1054" xr:uid="{00000000-0004-0000-0800-00001D040000}"/>
    <hyperlink ref="A1056" r:id="rId1055" xr:uid="{00000000-0004-0000-0800-00001E040000}"/>
    <hyperlink ref="A1057" r:id="rId1056" xr:uid="{00000000-0004-0000-0800-00001F040000}"/>
    <hyperlink ref="A1058" r:id="rId1057" xr:uid="{00000000-0004-0000-0800-000020040000}"/>
    <hyperlink ref="A1059" r:id="rId1058" xr:uid="{00000000-0004-0000-0800-000021040000}"/>
    <hyperlink ref="A1060" r:id="rId1059" xr:uid="{00000000-0004-0000-0800-000022040000}"/>
    <hyperlink ref="A1061" r:id="rId1060" xr:uid="{00000000-0004-0000-0800-000023040000}"/>
    <hyperlink ref="A1062" r:id="rId1061" xr:uid="{00000000-0004-0000-0800-000024040000}"/>
    <hyperlink ref="A1063" r:id="rId1062" xr:uid="{00000000-0004-0000-0800-000025040000}"/>
    <hyperlink ref="A1064" r:id="rId1063" xr:uid="{00000000-0004-0000-0800-000026040000}"/>
    <hyperlink ref="A1065" r:id="rId1064" xr:uid="{00000000-0004-0000-0800-000027040000}"/>
    <hyperlink ref="A1066" r:id="rId1065" xr:uid="{00000000-0004-0000-0800-000028040000}"/>
    <hyperlink ref="A1067" r:id="rId1066" xr:uid="{00000000-0004-0000-0800-000029040000}"/>
    <hyperlink ref="A1068" r:id="rId1067" xr:uid="{00000000-0004-0000-0800-00002A040000}"/>
    <hyperlink ref="A1069" r:id="rId1068" xr:uid="{00000000-0004-0000-0800-00002B040000}"/>
    <hyperlink ref="A1070" r:id="rId1069" xr:uid="{00000000-0004-0000-0800-00002C040000}"/>
    <hyperlink ref="A1071" r:id="rId1070" xr:uid="{00000000-0004-0000-0800-00002D040000}"/>
    <hyperlink ref="A1072" r:id="rId1071" xr:uid="{00000000-0004-0000-0800-00002E040000}"/>
    <hyperlink ref="A1073" r:id="rId1072" xr:uid="{00000000-0004-0000-0800-00002F040000}"/>
    <hyperlink ref="A1074" r:id="rId1073" xr:uid="{00000000-0004-0000-0800-000030040000}"/>
    <hyperlink ref="A1075" r:id="rId1074" xr:uid="{00000000-0004-0000-0800-000031040000}"/>
    <hyperlink ref="A1076" r:id="rId1075" xr:uid="{00000000-0004-0000-0800-000032040000}"/>
    <hyperlink ref="A1077" r:id="rId1076" xr:uid="{00000000-0004-0000-0800-000033040000}"/>
    <hyperlink ref="A1078" r:id="rId1077" xr:uid="{00000000-0004-0000-0800-000034040000}"/>
    <hyperlink ref="A1079" r:id="rId1078" xr:uid="{00000000-0004-0000-0800-000035040000}"/>
    <hyperlink ref="A1080" r:id="rId1079" xr:uid="{00000000-0004-0000-0800-000036040000}"/>
    <hyperlink ref="A1081" r:id="rId1080" xr:uid="{00000000-0004-0000-0800-000037040000}"/>
    <hyperlink ref="A1082" r:id="rId1081" xr:uid="{00000000-0004-0000-0800-000038040000}"/>
    <hyperlink ref="A1083" r:id="rId1082" xr:uid="{00000000-0004-0000-0800-000039040000}"/>
    <hyperlink ref="A1084" r:id="rId1083" xr:uid="{00000000-0004-0000-0800-00003A040000}"/>
    <hyperlink ref="A1085" r:id="rId1084" xr:uid="{00000000-0004-0000-0800-00003B040000}"/>
    <hyperlink ref="A1086" r:id="rId1085" xr:uid="{00000000-0004-0000-0800-00003C040000}"/>
    <hyperlink ref="A1087" r:id="rId1086" xr:uid="{00000000-0004-0000-0800-00003D040000}"/>
    <hyperlink ref="A1088" r:id="rId1087" xr:uid="{00000000-0004-0000-0800-00003E040000}"/>
    <hyperlink ref="A1089" r:id="rId1088" xr:uid="{00000000-0004-0000-0800-00003F040000}"/>
    <hyperlink ref="A1090" r:id="rId1089" xr:uid="{00000000-0004-0000-0800-000040040000}"/>
    <hyperlink ref="A1091" r:id="rId1090" xr:uid="{00000000-0004-0000-0800-000041040000}"/>
    <hyperlink ref="A1092" r:id="rId1091" xr:uid="{00000000-0004-0000-0800-000042040000}"/>
    <hyperlink ref="A1093" r:id="rId1092" xr:uid="{00000000-0004-0000-0800-000043040000}"/>
    <hyperlink ref="A1094" r:id="rId1093" xr:uid="{00000000-0004-0000-0800-000044040000}"/>
    <hyperlink ref="A1095" r:id="rId1094" xr:uid="{00000000-0004-0000-0800-000045040000}"/>
    <hyperlink ref="A1096" r:id="rId1095" xr:uid="{00000000-0004-0000-0800-000046040000}"/>
    <hyperlink ref="A1097" r:id="rId1096" xr:uid="{00000000-0004-0000-0800-000047040000}"/>
    <hyperlink ref="A1098" r:id="rId1097" xr:uid="{00000000-0004-0000-0800-000048040000}"/>
    <hyperlink ref="A1099" r:id="rId1098" xr:uid="{00000000-0004-0000-0800-000049040000}"/>
    <hyperlink ref="A1100" r:id="rId1099" xr:uid="{00000000-0004-0000-0800-00004A040000}"/>
    <hyperlink ref="A1101" r:id="rId1100" xr:uid="{00000000-0004-0000-0800-00004B040000}"/>
    <hyperlink ref="A1102" r:id="rId1101" xr:uid="{00000000-0004-0000-0800-00004C040000}"/>
    <hyperlink ref="A1103" r:id="rId1102" xr:uid="{00000000-0004-0000-0800-00004D040000}"/>
    <hyperlink ref="A1104" r:id="rId1103" xr:uid="{00000000-0004-0000-0800-00004E040000}"/>
    <hyperlink ref="A1105" r:id="rId1104" xr:uid="{00000000-0004-0000-0800-00004F040000}"/>
    <hyperlink ref="A1106" r:id="rId1105" xr:uid="{00000000-0004-0000-0800-000050040000}"/>
    <hyperlink ref="A1107" r:id="rId1106" xr:uid="{00000000-0004-0000-0800-000051040000}"/>
    <hyperlink ref="A1108" r:id="rId1107" xr:uid="{00000000-0004-0000-0800-000052040000}"/>
    <hyperlink ref="A1109" r:id="rId1108" xr:uid="{00000000-0004-0000-0800-000053040000}"/>
    <hyperlink ref="A1110" r:id="rId1109" xr:uid="{00000000-0004-0000-0800-000054040000}"/>
    <hyperlink ref="A1111" r:id="rId1110" xr:uid="{00000000-0004-0000-0800-000055040000}"/>
    <hyperlink ref="A1112" r:id="rId1111" xr:uid="{00000000-0004-0000-0800-000056040000}"/>
    <hyperlink ref="A1113" r:id="rId1112" xr:uid="{00000000-0004-0000-0800-000057040000}"/>
    <hyperlink ref="A1114" r:id="rId1113" xr:uid="{00000000-0004-0000-0800-000058040000}"/>
    <hyperlink ref="A1115" r:id="rId1114" xr:uid="{00000000-0004-0000-0800-000059040000}"/>
    <hyperlink ref="A1116" r:id="rId1115" xr:uid="{00000000-0004-0000-0800-00005A040000}"/>
    <hyperlink ref="A1117" r:id="rId1116" xr:uid="{00000000-0004-0000-0800-00005B040000}"/>
    <hyperlink ref="A1118" r:id="rId1117" xr:uid="{00000000-0004-0000-0800-00005C040000}"/>
    <hyperlink ref="A1119" r:id="rId1118" xr:uid="{00000000-0004-0000-0800-00005D040000}"/>
    <hyperlink ref="A1120" r:id="rId1119" xr:uid="{00000000-0004-0000-0800-00005E040000}"/>
    <hyperlink ref="A1121" r:id="rId1120" xr:uid="{00000000-0004-0000-0800-00005F040000}"/>
    <hyperlink ref="A1122" r:id="rId1121" xr:uid="{00000000-0004-0000-0800-000060040000}"/>
    <hyperlink ref="A1123" r:id="rId1122" xr:uid="{00000000-0004-0000-0800-000061040000}"/>
    <hyperlink ref="A1124" r:id="rId1123" xr:uid="{00000000-0004-0000-0800-000062040000}"/>
    <hyperlink ref="A1125" r:id="rId1124" xr:uid="{00000000-0004-0000-0800-000063040000}"/>
    <hyperlink ref="A1126" r:id="rId1125" xr:uid="{00000000-0004-0000-0800-000064040000}"/>
    <hyperlink ref="A1127" r:id="rId1126" xr:uid="{00000000-0004-0000-0800-000065040000}"/>
    <hyperlink ref="A1128" r:id="rId1127" xr:uid="{00000000-0004-0000-0800-000066040000}"/>
    <hyperlink ref="A1129" r:id="rId1128" xr:uid="{00000000-0004-0000-0800-000067040000}"/>
    <hyperlink ref="A1130" r:id="rId1129" xr:uid="{00000000-0004-0000-0800-000068040000}"/>
    <hyperlink ref="A1131" r:id="rId1130" xr:uid="{00000000-0004-0000-0800-000069040000}"/>
    <hyperlink ref="A1132" r:id="rId1131" xr:uid="{00000000-0004-0000-0800-00006A040000}"/>
    <hyperlink ref="A1133" r:id="rId1132" xr:uid="{00000000-0004-0000-0800-00006B040000}"/>
    <hyperlink ref="A1134" r:id="rId1133" xr:uid="{00000000-0004-0000-0800-00006C040000}"/>
    <hyperlink ref="A1135" r:id="rId1134" xr:uid="{00000000-0004-0000-0800-00006D040000}"/>
    <hyperlink ref="A1136" r:id="rId1135" xr:uid="{00000000-0004-0000-0800-00006E040000}"/>
    <hyperlink ref="A1137" r:id="rId1136" xr:uid="{00000000-0004-0000-0800-00006F040000}"/>
    <hyperlink ref="A1138" r:id="rId1137" xr:uid="{00000000-0004-0000-0800-000070040000}"/>
    <hyperlink ref="A1139" r:id="rId1138" xr:uid="{00000000-0004-0000-0800-000071040000}"/>
    <hyperlink ref="A1140" r:id="rId1139" xr:uid="{00000000-0004-0000-0800-000072040000}"/>
    <hyperlink ref="A1141" r:id="rId1140" xr:uid="{00000000-0004-0000-0800-000073040000}"/>
    <hyperlink ref="A1142" r:id="rId1141" xr:uid="{00000000-0004-0000-0800-000074040000}"/>
    <hyperlink ref="A1143" r:id="rId1142" xr:uid="{00000000-0004-0000-0800-000075040000}"/>
    <hyperlink ref="A1144" r:id="rId1143" xr:uid="{00000000-0004-0000-0800-000076040000}"/>
    <hyperlink ref="A1145" r:id="rId1144" xr:uid="{00000000-0004-0000-0800-000077040000}"/>
    <hyperlink ref="A1146" r:id="rId1145" xr:uid="{00000000-0004-0000-0800-000078040000}"/>
    <hyperlink ref="A1147" r:id="rId1146" xr:uid="{00000000-0004-0000-0800-000079040000}"/>
    <hyperlink ref="A1148" r:id="rId1147" xr:uid="{00000000-0004-0000-0800-00007A040000}"/>
    <hyperlink ref="A1149" r:id="rId1148" xr:uid="{00000000-0004-0000-0800-00007B040000}"/>
    <hyperlink ref="A1150" r:id="rId1149" xr:uid="{00000000-0004-0000-0800-00007C040000}"/>
    <hyperlink ref="A1151" r:id="rId1150" xr:uid="{00000000-0004-0000-0800-00007D040000}"/>
    <hyperlink ref="A1152" r:id="rId1151" xr:uid="{00000000-0004-0000-0800-00007E040000}"/>
    <hyperlink ref="A1153" r:id="rId1152" xr:uid="{00000000-0004-0000-0800-00007F040000}"/>
    <hyperlink ref="A1154" r:id="rId1153" xr:uid="{00000000-0004-0000-0800-000080040000}"/>
    <hyperlink ref="A1155" r:id="rId1154" xr:uid="{00000000-0004-0000-0800-000081040000}"/>
    <hyperlink ref="A1156" r:id="rId1155" xr:uid="{00000000-0004-0000-0800-000082040000}"/>
    <hyperlink ref="A1157" r:id="rId1156" xr:uid="{00000000-0004-0000-0800-000083040000}"/>
    <hyperlink ref="A1158" r:id="rId1157" xr:uid="{00000000-0004-0000-0800-000084040000}"/>
    <hyperlink ref="A1159" r:id="rId1158" xr:uid="{00000000-0004-0000-0800-000085040000}"/>
    <hyperlink ref="A1160" r:id="rId1159" xr:uid="{00000000-0004-0000-0800-000086040000}"/>
    <hyperlink ref="A1161" r:id="rId1160" xr:uid="{00000000-0004-0000-0800-000087040000}"/>
    <hyperlink ref="A1162" r:id="rId1161" xr:uid="{00000000-0004-0000-0800-000088040000}"/>
    <hyperlink ref="A1163" r:id="rId1162" xr:uid="{00000000-0004-0000-0800-000089040000}"/>
    <hyperlink ref="A1164" r:id="rId1163" xr:uid="{00000000-0004-0000-0800-00008A040000}"/>
    <hyperlink ref="A1165" r:id="rId1164" xr:uid="{00000000-0004-0000-0800-00008B040000}"/>
    <hyperlink ref="A1166" r:id="rId1165" xr:uid="{00000000-0004-0000-0800-00008C040000}"/>
    <hyperlink ref="A1167" r:id="rId1166" xr:uid="{00000000-0004-0000-0800-00008D040000}"/>
    <hyperlink ref="A1168" r:id="rId1167" xr:uid="{00000000-0004-0000-0800-00008E040000}"/>
    <hyperlink ref="A1169" r:id="rId1168" xr:uid="{00000000-0004-0000-0800-00008F040000}"/>
    <hyperlink ref="A1170" r:id="rId1169" xr:uid="{00000000-0004-0000-0800-000090040000}"/>
    <hyperlink ref="A1171" r:id="rId1170" xr:uid="{00000000-0004-0000-0800-000091040000}"/>
    <hyperlink ref="A1172" r:id="rId1171" xr:uid="{00000000-0004-0000-0800-000092040000}"/>
    <hyperlink ref="A1173" r:id="rId1172" xr:uid="{00000000-0004-0000-0800-000093040000}"/>
    <hyperlink ref="A1174" r:id="rId1173" xr:uid="{00000000-0004-0000-0800-000094040000}"/>
    <hyperlink ref="A1175" r:id="rId1174" xr:uid="{00000000-0004-0000-0800-000095040000}"/>
    <hyperlink ref="A1176" r:id="rId1175" xr:uid="{00000000-0004-0000-0800-000096040000}"/>
    <hyperlink ref="A1177" r:id="rId1176" xr:uid="{00000000-0004-0000-0800-000097040000}"/>
    <hyperlink ref="A1178" r:id="rId1177" xr:uid="{00000000-0004-0000-0800-000098040000}"/>
    <hyperlink ref="A1179" r:id="rId1178" xr:uid="{00000000-0004-0000-0800-000099040000}"/>
    <hyperlink ref="A1180" r:id="rId1179" xr:uid="{00000000-0004-0000-0800-00009A040000}"/>
    <hyperlink ref="A1181" r:id="rId1180" xr:uid="{00000000-0004-0000-0800-00009B040000}"/>
    <hyperlink ref="A1182" r:id="rId1181" xr:uid="{00000000-0004-0000-0800-00009C040000}"/>
    <hyperlink ref="A1183" r:id="rId1182" xr:uid="{00000000-0004-0000-0800-00009D040000}"/>
    <hyperlink ref="A1184" r:id="rId1183" xr:uid="{00000000-0004-0000-0800-00009E040000}"/>
    <hyperlink ref="A1185" r:id="rId1184" xr:uid="{00000000-0004-0000-0800-00009F040000}"/>
    <hyperlink ref="A1186" r:id="rId1185" xr:uid="{00000000-0004-0000-0800-0000A0040000}"/>
    <hyperlink ref="A1187" r:id="rId1186" xr:uid="{00000000-0004-0000-0800-0000A1040000}"/>
    <hyperlink ref="A1188" r:id="rId1187" xr:uid="{00000000-0004-0000-0800-0000A2040000}"/>
    <hyperlink ref="A1189" r:id="rId1188" xr:uid="{00000000-0004-0000-0800-0000A3040000}"/>
    <hyperlink ref="A1190" r:id="rId1189" xr:uid="{00000000-0004-0000-0800-0000A4040000}"/>
    <hyperlink ref="A1191" r:id="rId1190" xr:uid="{00000000-0004-0000-0800-0000A5040000}"/>
    <hyperlink ref="A1192" r:id="rId1191" xr:uid="{00000000-0004-0000-0800-0000A6040000}"/>
    <hyperlink ref="A1193" r:id="rId1192" xr:uid="{00000000-0004-0000-0800-0000A7040000}"/>
    <hyperlink ref="A1194" r:id="rId1193" xr:uid="{00000000-0004-0000-0800-0000A8040000}"/>
    <hyperlink ref="A1195" r:id="rId1194" xr:uid="{00000000-0004-0000-0800-0000A9040000}"/>
    <hyperlink ref="A1196" r:id="rId1195" xr:uid="{00000000-0004-0000-0800-0000AA040000}"/>
    <hyperlink ref="A1197" r:id="rId1196" xr:uid="{00000000-0004-0000-0800-0000AB040000}"/>
    <hyperlink ref="A1198" r:id="rId1197" xr:uid="{00000000-0004-0000-0800-0000AC040000}"/>
    <hyperlink ref="A1199" r:id="rId1198" xr:uid="{00000000-0004-0000-0800-0000AD040000}"/>
    <hyperlink ref="A1200" r:id="rId1199" xr:uid="{00000000-0004-0000-0800-0000AE040000}"/>
    <hyperlink ref="A1201" r:id="rId1200" xr:uid="{00000000-0004-0000-0800-0000AF040000}"/>
    <hyperlink ref="A1202" r:id="rId1201" xr:uid="{00000000-0004-0000-0800-0000B0040000}"/>
    <hyperlink ref="A1203" r:id="rId1202" xr:uid="{00000000-0004-0000-0800-0000B1040000}"/>
    <hyperlink ref="A1204" r:id="rId1203" xr:uid="{00000000-0004-0000-0800-0000B2040000}"/>
    <hyperlink ref="A1205" r:id="rId1204" xr:uid="{00000000-0004-0000-0800-0000B3040000}"/>
    <hyperlink ref="A1206" r:id="rId1205" xr:uid="{00000000-0004-0000-0800-0000B4040000}"/>
    <hyperlink ref="A1207" r:id="rId1206" xr:uid="{00000000-0004-0000-0800-0000B5040000}"/>
    <hyperlink ref="A1208" r:id="rId1207" xr:uid="{00000000-0004-0000-0800-0000B6040000}"/>
    <hyperlink ref="A1209" r:id="rId1208" xr:uid="{00000000-0004-0000-0800-0000B7040000}"/>
    <hyperlink ref="A1210" r:id="rId1209" xr:uid="{00000000-0004-0000-0800-0000B8040000}"/>
    <hyperlink ref="A1211" r:id="rId1210" xr:uid="{00000000-0004-0000-0800-0000B9040000}"/>
    <hyperlink ref="A1212" r:id="rId1211" xr:uid="{00000000-0004-0000-0800-0000BA040000}"/>
    <hyperlink ref="A1213" r:id="rId1212" xr:uid="{00000000-0004-0000-0800-0000BB040000}"/>
    <hyperlink ref="A1214" r:id="rId1213" xr:uid="{00000000-0004-0000-0800-0000BC040000}"/>
    <hyperlink ref="A1215" r:id="rId1214" xr:uid="{00000000-0004-0000-0800-0000BD040000}"/>
    <hyperlink ref="A1216" r:id="rId1215" xr:uid="{00000000-0004-0000-0800-0000BE040000}"/>
    <hyperlink ref="A1217" r:id="rId1216" xr:uid="{00000000-0004-0000-0800-0000BF040000}"/>
    <hyperlink ref="A1218" r:id="rId1217" xr:uid="{00000000-0004-0000-0800-0000C0040000}"/>
    <hyperlink ref="A1219" r:id="rId1218" xr:uid="{00000000-0004-0000-0800-0000C1040000}"/>
    <hyperlink ref="A1220" r:id="rId1219" xr:uid="{00000000-0004-0000-0800-0000C2040000}"/>
    <hyperlink ref="A1221" r:id="rId1220" xr:uid="{00000000-0004-0000-0800-0000C3040000}"/>
    <hyperlink ref="A1222" r:id="rId1221" xr:uid="{00000000-0004-0000-0800-0000C4040000}"/>
    <hyperlink ref="A1223" r:id="rId1222" xr:uid="{00000000-0004-0000-0800-0000C5040000}"/>
    <hyperlink ref="A1224" r:id="rId1223" xr:uid="{00000000-0004-0000-0800-0000C6040000}"/>
    <hyperlink ref="A1225" r:id="rId1224" xr:uid="{00000000-0004-0000-0800-0000C7040000}"/>
    <hyperlink ref="A1226" r:id="rId1225" xr:uid="{00000000-0004-0000-0800-0000C8040000}"/>
    <hyperlink ref="A1227" r:id="rId1226" xr:uid="{00000000-0004-0000-0800-0000C9040000}"/>
    <hyperlink ref="A1228" r:id="rId1227" xr:uid="{00000000-0004-0000-0800-0000CA040000}"/>
    <hyperlink ref="A1229" r:id="rId1228" xr:uid="{00000000-0004-0000-0800-0000CB040000}"/>
    <hyperlink ref="A1230" r:id="rId1229" xr:uid="{00000000-0004-0000-0800-0000CC040000}"/>
    <hyperlink ref="A1231" r:id="rId1230" xr:uid="{00000000-0004-0000-0800-0000CD040000}"/>
    <hyperlink ref="A1232" r:id="rId1231" xr:uid="{00000000-0004-0000-0800-0000CE040000}"/>
    <hyperlink ref="A1233" r:id="rId1232" xr:uid="{00000000-0004-0000-0800-0000CF040000}"/>
    <hyperlink ref="A1234" r:id="rId1233" xr:uid="{00000000-0004-0000-0800-0000D0040000}"/>
    <hyperlink ref="A1235" r:id="rId1234" xr:uid="{00000000-0004-0000-0800-0000D1040000}"/>
    <hyperlink ref="A1236" r:id="rId1235" xr:uid="{00000000-0004-0000-0800-0000D2040000}"/>
    <hyperlink ref="A1237" r:id="rId1236" xr:uid="{00000000-0004-0000-0800-0000D3040000}"/>
    <hyperlink ref="A1238" r:id="rId1237" xr:uid="{00000000-0004-0000-0800-0000D4040000}"/>
    <hyperlink ref="A1239" r:id="rId1238" xr:uid="{00000000-0004-0000-0800-0000D5040000}"/>
    <hyperlink ref="A1240" r:id="rId1239" xr:uid="{00000000-0004-0000-0800-0000D6040000}"/>
    <hyperlink ref="A1241" r:id="rId1240" xr:uid="{00000000-0004-0000-0800-0000D7040000}"/>
    <hyperlink ref="A1242" r:id="rId1241" xr:uid="{00000000-0004-0000-0800-0000D8040000}"/>
    <hyperlink ref="A1243" r:id="rId1242" xr:uid="{00000000-0004-0000-0800-0000D9040000}"/>
    <hyperlink ref="A1244" r:id="rId1243" xr:uid="{00000000-0004-0000-0800-0000DA040000}"/>
    <hyperlink ref="A1245" r:id="rId1244" xr:uid="{00000000-0004-0000-0800-0000DB040000}"/>
    <hyperlink ref="A1246" r:id="rId1245" xr:uid="{00000000-0004-0000-0800-0000DC040000}"/>
    <hyperlink ref="A1247" r:id="rId1246" xr:uid="{00000000-0004-0000-0800-0000DD040000}"/>
    <hyperlink ref="A1248" r:id="rId1247" xr:uid="{00000000-0004-0000-0800-0000DE040000}"/>
    <hyperlink ref="A1249" r:id="rId1248" xr:uid="{00000000-0004-0000-0800-0000DF040000}"/>
    <hyperlink ref="A1250" r:id="rId1249" xr:uid="{00000000-0004-0000-0800-0000E0040000}"/>
    <hyperlink ref="A1251" r:id="rId1250" xr:uid="{00000000-0004-0000-0800-0000E1040000}"/>
    <hyperlink ref="A1252" r:id="rId1251" xr:uid="{00000000-0004-0000-0800-0000E2040000}"/>
    <hyperlink ref="A1253" r:id="rId1252" xr:uid="{00000000-0004-0000-0800-0000E3040000}"/>
    <hyperlink ref="A1254" r:id="rId1253" xr:uid="{00000000-0004-0000-0800-0000E4040000}"/>
    <hyperlink ref="A1255" r:id="rId1254" xr:uid="{00000000-0004-0000-0800-0000E5040000}"/>
    <hyperlink ref="A1256" r:id="rId1255" xr:uid="{00000000-0004-0000-0800-0000E6040000}"/>
    <hyperlink ref="A1257" r:id="rId1256" xr:uid="{00000000-0004-0000-0800-0000E7040000}"/>
    <hyperlink ref="A1258" r:id="rId1257" xr:uid="{00000000-0004-0000-0800-0000E8040000}"/>
    <hyperlink ref="A1259" r:id="rId1258" xr:uid="{00000000-0004-0000-0800-0000E9040000}"/>
    <hyperlink ref="A1260" r:id="rId1259" xr:uid="{00000000-0004-0000-0800-0000EA040000}"/>
    <hyperlink ref="A1261" r:id="rId1260" xr:uid="{00000000-0004-0000-0800-0000EB040000}"/>
    <hyperlink ref="A1262" r:id="rId1261" xr:uid="{00000000-0004-0000-0800-0000EC040000}"/>
    <hyperlink ref="A1263" r:id="rId1262" xr:uid="{00000000-0004-0000-0800-0000ED040000}"/>
    <hyperlink ref="A1264" r:id="rId1263" xr:uid="{00000000-0004-0000-0800-0000EE040000}"/>
    <hyperlink ref="A1265" r:id="rId1264" xr:uid="{00000000-0004-0000-0800-0000EF040000}"/>
    <hyperlink ref="A1266" r:id="rId1265" xr:uid="{00000000-0004-0000-0800-0000F0040000}"/>
    <hyperlink ref="A1267" r:id="rId1266" xr:uid="{00000000-0004-0000-0800-0000F1040000}"/>
    <hyperlink ref="A1268" r:id="rId1267" xr:uid="{00000000-0004-0000-0800-0000F2040000}"/>
    <hyperlink ref="A1269" r:id="rId1268" xr:uid="{00000000-0004-0000-0800-0000F3040000}"/>
    <hyperlink ref="A1270" r:id="rId1269" xr:uid="{00000000-0004-0000-0800-0000F4040000}"/>
    <hyperlink ref="A1271" r:id="rId1270" xr:uid="{00000000-0004-0000-0800-0000F5040000}"/>
    <hyperlink ref="A1272" r:id="rId1271" xr:uid="{00000000-0004-0000-0800-0000F6040000}"/>
    <hyperlink ref="A1273" r:id="rId1272" xr:uid="{00000000-0004-0000-0800-0000F7040000}"/>
    <hyperlink ref="A1274" r:id="rId1273" xr:uid="{00000000-0004-0000-0800-0000F8040000}"/>
    <hyperlink ref="A1275" r:id="rId1274" xr:uid="{00000000-0004-0000-0800-0000F9040000}"/>
    <hyperlink ref="A1276" r:id="rId1275" xr:uid="{00000000-0004-0000-0800-0000FA040000}"/>
    <hyperlink ref="A1277" r:id="rId1276" xr:uid="{00000000-0004-0000-0800-0000FB040000}"/>
    <hyperlink ref="A1278" r:id="rId1277" xr:uid="{00000000-0004-0000-0800-0000FC040000}"/>
    <hyperlink ref="A1279" r:id="rId1278" xr:uid="{00000000-0004-0000-0800-0000FD040000}"/>
    <hyperlink ref="A1280" r:id="rId1279" xr:uid="{00000000-0004-0000-0800-0000FE040000}"/>
    <hyperlink ref="A1281" r:id="rId1280" xr:uid="{00000000-0004-0000-0800-0000FF040000}"/>
    <hyperlink ref="A1282" r:id="rId1281" xr:uid="{00000000-0004-0000-0800-000000050000}"/>
    <hyperlink ref="A1283" r:id="rId1282" xr:uid="{00000000-0004-0000-0800-000001050000}"/>
    <hyperlink ref="A1284" r:id="rId1283" xr:uid="{00000000-0004-0000-0800-000002050000}"/>
    <hyperlink ref="A1285" r:id="rId1284" xr:uid="{00000000-0004-0000-0800-000003050000}"/>
    <hyperlink ref="A1286" r:id="rId1285" xr:uid="{00000000-0004-0000-0800-000004050000}"/>
    <hyperlink ref="A1287" r:id="rId1286" xr:uid="{00000000-0004-0000-0800-000005050000}"/>
    <hyperlink ref="A1288" r:id="rId1287" xr:uid="{00000000-0004-0000-0800-000006050000}"/>
    <hyperlink ref="A1289" r:id="rId1288" xr:uid="{00000000-0004-0000-0800-000007050000}"/>
    <hyperlink ref="A1290" r:id="rId1289" xr:uid="{00000000-0004-0000-0800-000008050000}"/>
    <hyperlink ref="A1291" r:id="rId1290" xr:uid="{00000000-0004-0000-0800-000009050000}"/>
    <hyperlink ref="A1292" r:id="rId1291" xr:uid="{00000000-0004-0000-0800-00000A050000}"/>
    <hyperlink ref="A1293" r:id="rId1292" xr:uid="{00000000-0004-0000-0800-00000B050000}"/>
    <hyperlink ref="A1294" r:id="rId1293" xr:uid="{00000000-0004-0000-0800-00000C050000}"/>
    <hyperlink ref="A1295" r:id="rId1294" xr:uid="{00000000-0004-0000-0800-00000D050000}"/>
    <hyperlink ref="A1296" r:id="rId1295" xr:uid="{00000000-0004-0000-0800-00000E050000}"/>
    <hyperlink ref="A1297" r:id="rId1296" xr:uid="{00000000-0004-0000-0800-00000F050000}"/>
    <hyperlink ref="A1298" r:id="rId1297" xr:uid="{00000000-0004-0000-0800-000010050000}"/>
    <hyperlink ref="A1299" r:id="rId1298" xr:uid="{00000000-0004-0000-0800-000011050000}"/>
    <hyperlink ref="A1300" r:id="rId1299" xr:uid="{00000000-0004-0000-0800-000012050000}"/>
    <hyperlink ref="A1301" r:id="rId1300" xr:uid="{00000000-0004-0000-0800-000013050000}"/>
    <hyperlink ref="A1302" r:id="rId1301" xr:uid="{00000000-0004-0000-0800-000014050000}"/>
    <hyperlink ref="A1303" r:id="rId1302" xr:uid="{00000000-0004-0000-0800-000015050000}"/>
    <hyperlink ref="A1304" r:id="rId1303" xr:uid="{00000000-0004-0000-0800-000016050000}"/>
    <hyperlink ref="A1305" r:id="rId1304" xr:uid="{00000000-0004-0000-0800-000017050000}"/>
    <hyperlink ref="A1306" r:id="rId1305" xr:uid="{00000000-0004-0000-0800-000018050000}"/>
    <hyperlink ref="A1307" r:id="rId1306" xr:uid="{00000000-0004-0000-0800-000019050000}"/>
    <hyperlink ref="A1308" r:id="rId1307" xr:uid="{00000000-0004-0000-0800-00001A050000}"/>
    <hyperlink ref="A1309" r:id="rId1308" xr:uid="{00000000-0004-0000-0800-00001B050000}"/>
    <hyperlink ref="A1310" r:id="rId1309" xr:uid="{00000000-0004-0000-0800-00001C050000}"/>
    <hyperlink ref="A1311" r:id="rId1310" xr:uid="{00000000-0004-0000-0800-00001D050000}"/>
    <hyperlink ref="A1312" r:id="rId1311" xr:uid="{00000000-0004-0000-0800-00001E050000}"/>
    <hyperlink ref="A1313" r:id="rId1312" xr:uid="{00000000-0004-0000-0800-00001F050000}"/>
    <hyperlink ref="A1314" r:id="rId1313" xr:uid="{00000000-0004-0000-0800-000020050000}"/>
    <hyperlink ref="A1315" r:id="rId1314" xr:uid="{00000000-0004-0000-0800-000021050000}"/>
    <hyperlink ref="A1316" r:id="rId1315" xr:uid="{00000000-0004-0000-0800-000022050000}"/>
    <hyperlink ref="A1317" r:id="rId1316" xr:uid="{00000000-0004-0000-0800-000023050000}"/>
    <hyperlink ref="A1318" r:id="rId1317" xr:uid="{00000000-0004-0000-0800-000024050000}"/>
    <hyperlink ref="A1319" r:id="rId1318" xr:uid="{00000000-0004-0000-0800-000025050000}"/>
    <hyperlink ref="A1320" r:id="rId1319" xr:uid="{00000000-0004-0000-0800-000026050000}"/>
    <hyperlink ref="A1321" r:id="rId1320" xr:uid="{00000000-0004-0000-0800-000027050000}"/>
    <hyperlink ref="A1322" r:id="rId1321" xr:uid="{00000000-0004-0000-0800-000028050000}"/>
    <hyperlink ref="A1323" r:id="rId1322" xr:uid="{00000000-0004-0000-0800-000029050000}"/>
    <hyperlink ref="A1324" r:id="rId1323" xr:uid="{00000000-0004-0000-0800-00002A050000}"/>
    <hyperlink ref="A1325" r:id="rId1324" xr:uid="{00000000-0004-0000-0800-00002B050000}"/>
    <hyperlink ref="A1326" r:id="rId1325" xr:uid="{00000000-0004-0000-0800-00002C050000}"/>
    <hyperlink ref="A1327" r:id="rId1326" xr:uid="{00000000-0004-0000-0800-00002D050000}"/>
    <hyperlink ref="A1328" r:id="rId1327" xr:uid="{00000000-0004-0000-0800-00002E050000}"/>
    <hyperlink ref="A1329" r:id="rId1328" xr:uid="{00000000-0004-0000-0800-00002F050000}"/>
    <hyperlink ref="A1330" r:id="rId1329" xr:uid="{00000000-0004-0000-0800-000030050000}"/>
    <hyperlink ref="A1331" r:id="rId1330" xr:uid="{00000000-0004-0000-0800-000031050000}"/>
    <hyperlink ref="A1332" r:id="rId1331" xr:uid="{00000000-0004-0000-0800-000032050000}"/>
    <hyperlink ref="A1333" r:id="rId1332" xr:uid="{00000000-0004-0000-0800-000033050000}"/>
    <hyperlink ref="A1334" r:id="rId1333" xr:uid="{00000000-0004-0000-0800-000034050000}"/>
    <hyperlink ref="A1335" r:id="rId1334" xr:uid="{00000000-0004-0000-0800-000035050000}"/>
    <hyperlink ref="A1336" r:id="rId1335" xr:uid="{00000000-0004-0000-0800-000036050000}"/>
    <hyperlink ref="A1337" r:id="rId1336" xr:uid="{00000000-0004-0000-0800-000037050000}"/>
    <hyperlink ref="A1338" r:id="rId1337" xr:uid="{00000000-0004-0000-0800-000038050000}"/>
    <hyperlink ref="A1339" r:id="rId1338" xr:uid="{00000000-0004-0000-0800-000039050000}"/>
    <hyperlink ref="A1340" r:id="rId1339" xr:uid="{00000000-0004-0000-0800-00003A050000}"/>
    <hyperlink ref="A1341" r:id="rId1340" xr:uid="{00000000-0004-0000-0800-00003B050000}"/>
    <hyperlink ref="A1342" r:id="rId1341" xr:uid="{00000000-0004-0000-0800-00003C050000}"/>
    <hyperlink ref="A1343" r:id="rId1342" xr:uid="{00000000-0004-0000-0800-00003D050000}"/>
    <hyperlink ref="A1344" r:id="rId1343" xr:uid="{00000000-0004-0000-0800-00003E050000}"/>
    <hyperlink ref="A1345" r:id="rId1344" xr:uid="{00000000-0004-0000-0800-00003F050000}"/>
    <hyperlink ref="A1346" r:id="rId1345" xr:uid="{00000000-0004-0000-0800-000040050000}"/>
    <hyperlink ref="A1347" r:id="rId1346" xr:uid="{00000000-0004-0000-0800-000041050000}"/>
    <hyperlink ref="A1348" r:id="rId1347" xr:uid="{00000000-0004-0000-0800-000042050000}"/>
    <hyperlink ref="A1349" r:id="rId1348" xr:uid="{00000000-0004-0000-0800-000043050000}"/>
    <hyperlink ref="A1350" r:id="rId1349" xr:uid="{00000000-0004-0000-0800-000044050000}"/>
    <hyperlink ref="A1351" r:id="rId1350" xr:uid="{00000000-0004-0000-0800-000045050000}"/>
    <hyperlink ref="A1352" r:id="rId1351" xr:uid="{00000000-0004-0000-0800-000046050000}"/>
    <hyperlink ref="A1353" r:id="rId1352" xr:uid="{00000000-0004-0000-0800-000047050000}"/>
    <hyperlink ref="A1354" r:id="rId1353" xr:uid="{00000000-0004-0000-0800-000048050000}"/>
    <hyperlink ref="A1355" r:id="rId1354" xr:uid="{00000000-0004-0000-0800-000049050000}"/>
    <hyperlink ref="A1356" r:id="rId1355" xr:uid="{00000000-0004-0000-0800-00004A050000}"/>
    <hyperlink ref="A1357" r:id="rId1356" xr:uid="{00000000-0004-0000-0800-00004B050000}"/>
    <hyperlink ref="A1358" r:id="rId1357" xr:uid="{00000000-0004-0000-0800-00004C050000}"/>
    <hyperlink ref="A1359" r:id="rId1358" xr:uid="{00000000-0004-0000-0800-00004D050000}"/>
    <hyperlink ref="A1360" r:id="rId1359" xr:uid="{00000000-0004-0000-0800-00004E050000}"/>
    <hyperlink ref="A1361" r:id="rId1360" xr:uid="{00000000-0004-0000-0800-00004F050000}"/>
    <hyperlink ref="A1362" r:id="rId1361" xr:uid="{00000000-0004-0000-0800-000050050000}"/>
    <hyperlink ref="A1363" r:id="rId1362" xr:uid="{00000000-0004-0000-0800-000051050000}"/>
    <hyperlink ref="A1364" r:id="rId1363" xr:uid="{00000000-0004-0000-0800-000052050000}"/>
    <hyperlink ref="A1365" r:id="rId1364" xr:uid="{00000000-0004-0000-0800-000053050000}"/>
    <hyperlink ref="A1366" r:id="rId1365" xr:uid="{00000000-0004-0000-0800-000054050000}"/>
    <hyperlink ref="A1367" r:id="rId1366" xr:uid="{00000000-0004-0000-0800-000055050000}"/>
    <hyperlink ref="A1368" r:id="rId1367" xr:uid="{00000000-0004-0000-0800-000056050000}"/>
    <hyperlink ref="A1369" r:id="rId1368" xr:uid="{00000000-0004-0000-0800-000057050000}"/>
    <hyperlink ref="A1370" r:id="rId1369" xr:uid="{00000000-0004-0000-0800-000058050000}"/>
    <hyperlink ref="A1371" r:id="rId1370" xr:uid="{00000000-0004-0000-0800-000059050000}"/>
    <hyperlink ref="A1372" r:id="rId1371" xr:uid="{00000000-0004-0000-0800-00005A050000}"/>
    <hyperlink ref="A1373" r:id="rId1372" xr:uid="{00000000-0004-0000-0800-00005B050000}"/>
    <hyperlink ref="A1374" r:id="rId1373" xr:uid="{00000000-0004-0000-0800-00005C050000}"/>
    <hyperlink ref="A1375" r:id="rId1374" xr:uid="{00000000-0004-0000-0800-00005D050000}"/>
    <hyperlink ref="A1376" r:id="rId1375" xr:uid="{00000000-0004-0000-0800-00005E050000}"/>
    <hyperlink ref="A1377" r:id="rId1376" xr:uid="{00000000-0004-0000-0800-00005F050000}"/>
    <hyperlink ref="A1378" r:id="rId1377" xr:uid="{00000000-0004-0000-0800-000060050000}"/>
    <hyperlink ref="A1379" r:id="rId1378" xr:uid="{00000000-0004-0000-0800-000061050000}"/>
    <hyperlink ref="A1380" r:id="rId1379" xr:uid="{00000000-0004-0000-0800-000062050000}"/>
    <hyperlink ref="A1381" r:id="rId1380" xr:uid="{00000000-0004-0000-0800-000063050000}"/>
    <hyperlink ref="A1382" r:id="rId1381" xr:uid="{00000000-0004-0000-0800-000064050000}"/>
    <hyperlink ref="A1383" r:id="rId1382" xr:uid="{00000000-0004-0000-0800-000065050000}"/>
    <hyperlink ref="A1384" r:id="rId1383" xr:uid="{00000000-0004-0000-0800-000066050000}"/>
    <hyperlink ref="A1385" r:id="rId1384" xr:uid="{00000000-0004-0000-0800-000067050000}"/>
    <hyperlink ref="A1386" r:id="rId1385" xr:uid="{00000000-0004-0000-0800-000068050000}"/>
    <hyperlink ref="A1387" r:id="rId1386" xr:uid="{00000000-0004-0000-0800-000069050000}"/>
    <hyperlink ref="A1388" r:id="rId1387" xr:uid="{00000000-0004-0000-0800-00006A050000}"/>
    <hyperlink ref="A1389" r:id="rId1388" xr:uid="{00000000-0004-0000-0800-00006B050000}"/>
    <hyperlink ref="A1390" r:id="rId1389" xr:uid="{00000000-0004-0000-0800-00006C050000}"/>
    <hyperlink ref="A1391" r:id="rId1390" xr:uid="{00000000-0004-0000-0800-00006D050000}"/>
    <hyperlink ref="A1392" r:id="rId1391" xr:uid="{00000000-0004-0000-0800-00006E050000}"/>
    <hyperlink ref="A1393" r:id="rId1392" xr:uid="{00000000-0004-0000-0800-00006F050000}"/>
    <hyperlink ref="A1394" r:id="rId1393" xr:uid="{00000000-0004-0000-0800-000070050000}"/>
    <hyperlink ref="A1395" r:id="rId1394" xr:uid="{00000000-0004-0000-0800-000071050000}"/>
    <hyperlink ref="A1396" r:id="rId1395" xr:uid="{00000000-0004-0000-0800-000072050000}"/>
    <hyperlink ref="A1397" r:id="rId1396" xr:uid="{00000000-0004-0000-0800-000073050000}"/>
    <hyperlink ref="A1398" r:id="rId1397" xr:uid="{00000000-0004-0000-0800-000074050000}"/>
    <hyperlink ref="A1399" r:id="rId1398" xr:uid="{00000000-0004-0000-0800-000075050000}"/>
    <hyperlink ref="A1400" r:id="rId1399" xr:uid="{00000000-0004-0000-0800-000076050000}"/>
    <hyperlink ref="A1401" r:id="rId1400" xr:uid="{00000000-0004-0000-0800-000077050000}"/>
    <hyperlink ref="A1402" r:id="rId1401" xr:uid="{00000000-0004-0000-0800-000078050000}"/>
    <hyperlink ref="A1403" r:id="rId1402" xr:uid="{00000000-0004-0000-0800-000079050000}"/>
    <hyperlink ref="A1404" r:id="rId1403" xr:uid="{00000000-0004-0000-0800-00007A050000}"/>
    <hyperlink ref="A1405" r:id="rId1404" xr:uid="{00000000-0004-0000-0800-00007B050000}"/>
    <hyperlink ref="A1406" r:id="rId1405" xr:uid="{00000000-0004-0000-0800-00007C050000}"/>
    <hyperlink ref="A1407" r:id="rId1406" xr:uid="{00000000-0004-0000-0800-00007D050000}"/>
    <hyperlink ref="A1408" r:id="rId1407" xr:uid="{00000000-0004-0000-0800-00007E050000}"/>
    <hyperlink ref="A1409" r:id="rId1408" xr:uid="{00000000-0004-0000-0800-00007F050000}"/>
    <hyperlink ref="A1410" r:id="rId1409" xr:uid="{00000000-0004-0000-0800-000080050000}"/>
    <hyperlink ref="A1411" r:id="rId1410" xr:uid="{00000000-0004-0000-0800-000081050000}"/>
    <hyperlink ref="A1412" r:id="rId1411" xr:uid="{00000000-0004-0000-0800-000082050000}"/>
    <hyperlink ref="A1413" r:id="rId1412" xr:uid="{00000000-0004-0000-0800-000083050000}"/>
    <hyperlink ref="A1414" r:id="rId1413" xr:uid="{00000000-0004-0000-0800-000084050000}"/>
    <hyperlink ref="A1415" r:id="rId1414" xr:uid="{00000000-0004-0000-0800-000085050000}"/>
    <hyperlink ref="A1416" r:id="rId1415" xr:uid="{00000000-0004-0000-0800-000086050000}"/>
    <hyperlink ref="A1417" r:id="rId1416" xr:uid="{00000000-0004-0000-0800-000087050000}"/>
    <hyperlink ref="A1418" r:id="rId1417" xr:uid="{00000000-0004-0000-0800-000088050000}"/>
    <hyperlink ref="A1419" r:id="rId1418" xr:uid="{00000000-0004-0000-0800-000089050000}"/>
    <hyperlink ref="A1420" r:id="rId1419" xr:uid="{00000000-0004-0000-0800-00008A050000}"/>
    <hyperlink ref="A1421" r:id="rId1420" xr:uid="{00000000-0004-0000-0800-00008B050000}"/>
    <hyperlink ref="A1422" r:id="rId1421" xr:uid="{00000000-0004-0000-0800-00008C050000}"/>
    <hyperlink ref="A1423" r:id="rId1422" xr:uid="{00000000-0004-0000-0800-00008D050000}"/>
    <hyperlink ref="A1424" r:id="rId1423" xr:uid="{00000000-0004-0000-0800-00008E050000}"/>
    <hyperlink ref="A1425" r:id="rId1424" xr:uid="{00000000-0004-0000-0800-00008F050000}"/>
    <hyperlink ref="A1426" r:id="rId1425" xr:uid="{00000000-0004-0000-0800-000090050000}"/>
    <hyperlink ref="A1427" r:id="rId1426" xr:uid="{00000000-0004-0000-0800-000091050000}"/>
    <hyperlink ref="A1428" r:id="rId1427" xr:uid="{00000000-0004-0000-0800-000092050000}"/>
    <hyperlink ref="A1429" r:id="rId1428" xr:uid="{00000000-0004-0000-0800-000093050000}"/>
    <hyperlink ref="A1430" r:id="rId1429" xr:uid="{00000000-0004-0000-0800-000094050000}"/>
    <hyperlink ref="A1431" r:id="rId1430" xr:uid="{00000000-0004-0000-0800-000095050000}"/>
    <hyperlink ref="A1432" r:id="rId1431" xr:uid="{00000000-0004-0000-0800-000096050000}"/>
    <hyperlink ref="A1433" r:id="rId1432" xr:uid="{00000000-0004-0000-0800-000097050000}"/>
    <hyperlink ref="A1434" r:id="rId1433" xr:uid="{00000000-0004-0000-0800-000098050000}"/>
    <hyperlink ref="A1435" r:id="rId1434" xr:uid="{00000000-0004-0000-0800-000099050000}"/>
    <hyperlink ref="A1436" r:id="rId1435" xr:uid="{00000000-0004-0000-0800-00009A050000}"/>
    <hyperlink ref="A1437" r:id="rId1436" xr:uid="{00000000-0004-0000-0800-00009B050000}"/>
    <hyperlink ref="A1438" r:id="rId1437" xr:uid="{00000000-0004-0000-0800-00009C050000}"/>
    <hyperlink ref="A1439" r:id="rId1438" xr:uid="{00000000-0004-0000-0800-00009D050000}"/>
    <hyperlink ref="A1440" r:id="rId1439" xr:uid="{00000000-0004-0000-0800-00009E050000}"/>
    <hyperlink ref="A1441" r:id="rId1440" xr:uid="{00000000-0004-0000-0800-00009F050000}"/>
    <hyperlink ref="A1442" r:id="rId1441" xr:uid="{00000000-0004-0000-0800-0000A0050000}"/>
    <hyperlink ref="A1443" r:id="rId1442" xr:uid="{00000000-0004-0000-0800-0000A1050000}"/>
    <hyperlink ref="A1444" r:id="rId1443" xr:uid="{00000000-0004-0000-0800-0000A2050000}"/>
    <hyperlink ref="A1445" r:id="rId1444" xr:uid="{00000000-0004-0000-0800-0000A3050000}"/>
    <hyperlink ref="A1446" r:id="rId1445" xr:uid="{00000000-0004-0000-0800-0000A4050000}"/>
    <hyperlink ref="A1447" r:id="rId1446" xr:uid="{00000000-0004-0000-0800-0000A5050000}"/>
    <hyperlink ref="A1448" r:id="rId1447" xr:uid="{00000000-0004-0000-0800-0000A6050000}"/>
    <hyperlink ref="A1449" r:id="rId1448" xr:uid="{00000000-0004-0000-0800-0000A7050000}"/>
    <hyperlink ref="A1450" r:id="rId1449" xr:uid="{00000000-0004-0000-0800-0000A8050000}"/>
    <hyperlink ref="A1451" r:id="rId1450" xr:uid="{00000000-0004-0000-0800-0000A9050000}"/>
    <hyperlink ref="A1452" r:id="rId1451" xr:uid="{00000000-0004-0000-0800-0000AA050000}"/>
    <hyperlink ref="A1453" r:id="rId1452" xr:uid="{00000000-0004-0000-0800-0000AB050000}"/>
    <hyperlink ref="A1454" r:id="rId1453" xr:uid="{00000000-0004-0000-0800-0000AC050000}"/>
    <hyperlink ref="A1455" r:id="rId1454" xr:uid="{00000000-0004-0000-0800-0000AD050000}"/>
    <hyperlink ref="A1456" r:id="rId1455" xr:uid="{00000000-0004-0000-0800-0000AE050000}"/>
    <hyperlink ref="A1457" r:id="rId1456" xr:uid="{00000000-0004-0000-0800-0000AF050000}"/>
    <hyperlink ref="A1458" r:id="rId1457" xr:uid="{00000000-0004-0000-0800-0000B0050000}"/>
    <hyperlink ref="A1459" r:id="rId1458" xr:uid="{00000000-0004-0000-0800-0000B1050000}"/>
    <hyperlink ref="A1460" r:id="rId1459" xr:uid="{00000000-0004-0000-0800-0000B2050000}"/>
    <hyperlink ref="A1461" r:id="rId1460" xr:uid="{00000000-0004-0000-0800-0000B3050000}"/>
    <hyperlink ref="A1462" r:id="rId1461" xr:uid="{00000000-0004-0000-0800-0000B4050000}"/>
    <hyperlink ref="A1463" r:id="rId1462" xr:uid="{00000000-0004-0000-0800-0000B5050000}"/>
    <hyperlink ref="A1464" r:id="rId1463" xr:uid="{00000000-0004-0000-0800-0000B6050000}"/>
    <hyperlink ref="A1465" r:id="rId1464" xr:uid="{00000000-0004-0000-0800-0000B7050000}"/>
    <hyperlink ref="A1466" r:id="rId1465" xr:uid="{00000000-0004-0000-0800-0000B8050000}"/>
    <hyperlink ref="A1467" r:id="rId1466" xr:uid="{00000000-0004-0000-0800-0000B9050000}"/>
    <hyperlink ref="A1468" r:id="rId1467" xr:uid="{00000000-0004-0000-0800-0000BA050000}"/>
    <hyperlink ref="A1469" r:id="rId1468" xr:uid="{00000000-0004-0000-0800-0000BB050000}"/>
    <hyperlink ref="A1470" r:id="rId1469" xr:uid="{00000000-0004-0000-0800-0000BC050000}"/>
    <hyperlink ref="A1471" r:id="rId1470" xr:uid="{00000000-0004-0000-0800-0000BD050000}"/>
    <hyperlink ref="A1472" r:id="rId1471" xr:uid="{00000000-0004-0000-0800-0000BE050000}"/>
    <hyperlink ref="A1473" r:id="rId1472" xr:uid="{00000000-0004-0000-0800-0000BF050000}"/>
    <hyperlink ref="A1474" r:id="rId1473" xr:uid="{00000000-0004-0000-0800-0000C0050000}"/>
    <hyperlink ref="A1475" r:id="rId1474" xr:uid="{00000000-0004-0000-0800-0000C1050000}"/>
    <hyperlink ref="A1476" r:id="rId1475" xr:uid="{00000000-0004-0000-0800-0000C2050000}"/>
    <hyperlink ref="A1477" r:id="rId1476" xr:uid="{00000000-0004-0000-0800-0000C3050000}"/>
    <hyperlink ref="A1478" r:id="rId1477" xr:uid="{00000000-0004-0000-0800-0000C4050000}"/>
    <hyperlink ref="A1479" r:id="rId1478" xr:uid="{00000000-0004-0000-0800-0000C5050000}"/>
    <hyperlink ref="A1480" r:id="rId1479" xr:uid="{00000000-0004-0000-0800-0000C6050000}"/>
    <hyperlink ref="A1481" r:id="rId1480" xr:uid="{00000000-0004-0000-0800-0000C7050000}"/>
    <hyperlink ref="A1482" r:id="rId1481" xr:uid="{00000000-0004-0000-0800-0000C8050000}"/>
    <hyperlink ref="A1483" r:id="rId1482" xr:uid="{00000000-0004-0000-0800-0000C9050000}"/>
    <hyperlink ref="A1484" r:id="rId1483" xr:uid="{00000000-0004-0000-0800-0000CA050000}"/>
    <hyperlink ref="A1485" r:id="rId1484" xr:uid="{00000000-0004-0000-0800-0000CB050000}"/>
    <hyperlink ref="A1486" r:id="rId1485" xr:uid="{00000000-0004-0000-0800-0000CC050000}"/>
    <hyperlink ref="A1487" r:id="rId1486" xr:uid="{00000000-0004-0000-0800-0000CD050000}"/>
    <hyperlink ref="A1488" r:id="rId1487" xr:uid="{00000000-0004-0000-0800-0000CE050000}"/>
    <hyperlink ref="A1489" r:id="rId1488" xr:uid="{00000000-0004-0000-0800-0000CF050000}"/>
    <hyperlink ref="A1490" r:id="rId1489" xr:uid="{00000000-0004-0000-0800-0000D0050000}"/>
    <hyperlink ref="A1491" r:id="rId1490" xr:uid="{00000000-0004-0000-0800-0000D1050000}"/>
    <hyperlink ref="A1492" r:id="rId1491" xr:uid="{00000000-0004-0000-0800-0000D2050000}"/>
    <hyperlink ref="A1493" r:id="rId1492" xr:uid="{00000000-0004-0000-0800-0000D3050000}"/>
    <hyperlink ref="A1494" r:id="rId1493" xr:uid="{00000000-0004-0000-0800-0000D4050000}"/>
    <hyperlink ref="A1495" r:id="rId1494" xr:uid="{00000000-0004-0000-0800-0000D5050000}"/>
    <hyperlink ref="A1496" r:id="rId1495" xr:uid="{00000000-0004-0000-0800-0000D6050000}"/>
    <hyperlink ref="A1497" r:id="rId1496" xr:uid="{00000000-0004-0000-0800-0000D7050000}"/>
    <hyperlink ref="A1498" r:id="rId1497" xr:uid="{00000000-0004-0000-0800-0000D8050000}"/>
    <hyperlink ref="A1499" r:id="rId1498" xr:uid="{00000000-0004-0000-0800-0000D9050000}"/>
    <hyperlink ref="A1500" r:id="rId1499" xr:uid="{00000000-0004-0000-0800-0000DA050000}"/>
    <hyperlink ref="A1501" r:id="rId1500" xr:uid="{00000000-0004-0000-0800-0000DB050000}"/>
    <hyperlink ref="A1502" r:id="rId1501" xr:uid="{00000000-0004-0000-0800-0000DC050000}"/>
    <hyperlink ref="A1503" r:id="rId1502" xr:uid="{00000000-0004-0000-0800-0000DD050000}"/>
    <hyperlink ref="A1504" r:id="rId1503" xr:uid="{00000000-0004-0000-0800-0000DE050000}"/>
    <hyperlink ref="A1505" r:id="rId1504" xr:uid="{00000000-0004-0000-0800-0000DF050000}"/>
    <hyperlink ref="A1506" r:id="rId1505" xr:uid="{00000000-0004-0000-0800-0000E0050000}"/>
    <hyperlink ref="A1507" r:id="rId1506" xr:uid="{00000000-0004-0000-0800-0000E1050000}"/>
    <hyperlink ref="A1508" r:id="rId1507" xr:uid="{00000000-0004-0000-0800-0000E2050000}"/>
    <hyperlink ref="A1509" r:id="rId1508" xr:uid="{00000000-0004-0000-0800-0000E3050000}"/>
    <hyperlink ref="A1510" r:id="rId1509" xr:uid="{00000000-0004-0000-0800-0000E4050000}"/>
    <hyperlink ref="A1511" r:id="rId1510" xr:uid="{00000000-0004-0000-0800-0000E5050000}"/>
    <hyperlink ref="A1512" r:id="rId1511" xr:uid="{00000000-0004-0000-0800-0000E6050000}"/>
    <hyperlink ref="A1513" r:id="rId1512" xr:uid="{00000000-0004-0000-0800-0000E7050000}"/>
    <hyperlink ref="A1514" r:id="rId1513" xr:uid="{00000000-0004-0000-0800-0000E8050000}"/>
    <hyperlink ref="A1515" r:id="rId1514" xr:uid="{00000000-0004-0000-0800-0000E9050000}"/>
    <hyperlink ref="A1516" r:id="rId1515" xr:uid="{00000000-0004-0000-0800-0000EA050000}"/>
    <hyperlink ref="A1517" r:id="rId1516" xr:uid="{00000000-0004-0000-0800-0000EB050000}"/>
    <hyperlink ref="A1518" r:id="rId1517" xr:uid="{00000000-0004-0000-0800-0000EC050000}"/>
    <hyperlink ref="A1519" r:id="rId1518" xr:uid="{00000000-0004-0000-0800-0000ED050000}"/>
    <hyperlink ref="A1520" r:id="rId1519" xr:uid="{00000000-0004-0000-0800-0000EE050000}"/>
    <hyperlink ref="A1521" r:id="rId1520" xr:uid="{00000000-0004-0000-0800-0000EF050000}"/>
    <hyperlink ref="A1522" r:id="rId1521" xr:uid="{00000000-0004-0000-0800-0000F0050000}"/>
    <hyperlink ref="A1523" r:id="rId1522" xr:uid="{00000000-0004-0000-0800-0000F1050000}"/>
    <hyperlink ref="A1524" r:id="rId1523" xr:uid="{00000000-0004-0000-0800-0000F2050000}"/>
    <hyperlink ref="A1525" r:id="rId1524" xr:uid="{00000000-0004-0000-0800-0000F3050000}"/>
    <hyperlink ref="A1526" r:id="rId1525" xr:uid="{00000000-0004-0000-0800-0000F4050000}"/>
    <hyperlink ref="A1527" r:id="rId1526" xr:uid="{00000000-0004-0000-0800-0000F5050000}"/>
    <hyperlink ref="A1528" r:id="rId1527" xr:uid="{00000000-0004-0000-0800-0000F6050000}"/>
    <hyperlink ref="A1529" r:id="rId1528" xr:uid="{00000000-0004-0000-0800-0000F7050000}"/>
    <hyperlink ref="A1530" r:id="rId1529" xr:uid="{00000000-0004-0000-0800-0000F8050000}"/>
    <hyperlink ref="A1531" r:id="rId1530" xr:uid="{00000000-0004-0000-0800-0000F9050000}"/>
    <hyperlink ref="A1532" r:id="rId1531" xr:uid="{00000000-0004-0000-0800-0000FA050000}"/>
    <hyperlink ref="A1533" r:id="rId1532" xr:uid="{00000000-0004-0000-0800-0000FB050000}"/>
    <hyperlink ref="A1534" r:id="rId1533" xr:uid="{00000000-0004-0000-0800-0000FC050000}"/>
    <hyperlink ref="A1535" r:id="rId1534" xr:uid="{00000000-0004-0000-0800-0000FD050000}"/>
    <hyperlink ref="A1536" r:id="rId1535" xr:uid="{00000000-0004-0000-0800-0000FE050000}"/>
    <hyperlink ref="A1537" r:id="rId1536" xr:uid="{00000000-0004-0000-0800-0000FF050000}"/>
    <hyperlink ref="A1538" r:id="rId1537" xr:uid="{00000000-0004-0000-0800-000000060000}"/>
    <hyperlink ref="A1539" r:id="rId1538" xr:uid="{00000000-0004-0000-0800-000001060000}"/>
    <hyperlink ref="A1540" r:id="rId1539" xr:uid="{00000000-0004-0000-0800-000002060000}"/>
    <hyperlink ref="A1541" r:id="rId1540" xr:uid="{00000000-0004-0000-0800-000003060000}"/>
    <hyperlink ref="A1542" r:id="rId1541" xr:uid="{00000000-0004-0000-0800-000004060000}"/>
    <hyperlink ref="A1543" r:id="rId1542" xr:uid="{00000000-0004-0000-0800-000005060000}"/>
    <hyperlink ref="A1544" r:id="rId1543" xr:uid="{00000000-0004-0000-0800-000006060000}"/>
    <hyperlink ref="A1545" r:id="rId1544" xr:uid="{00000000-0004-0000-0800-000007060000}"/>
    <hyperlink ref="A1546" r:id="rId1545" xr:uid="{00000000-0004-0000-0800-000008060000}"/>
    <hyperlink ref="A1547" r:id="rId1546" xr:uid="{00000000-0004-0000-0800-000009060000}"/>
    <hyperlink ref="A1548" r:id="rId1547" xr:uid="{00000000-0004-0000-0800-00000A060000}"/>
    <hyperlink ref="A1549" r:id="rId1548" xr:uid="{00000000-0004-0000-0800-00000B060000}"/>
    <hyperlink ref="A1550" r:id="rId1549" xr:uid="{00000000-0004-0000-0800-00000C060000}"/>
    <hyperlink ref="A1551" r:id="rId1550" xr:uid="{00000000-0004-0000-0800-00000D060000}"/>
    <hyperlink ref="A1552" r:id="rId1551" xr:uid="{00000000-0004-0000-0800-00000E060000}"/>
    <hyperlink ref="A1553" r:id="rId1552" xr:uid="{00000000-0004-0000-0800-00000F060000}"/>
    <hyperlink ref="A1554" r:id="rId1553" xr:uid="{00000000-0004-0000-0800-000010060000}"/>
    <hyperlink ref="A1555" r:id="rId1554" xr:uid="{00000000-0004-0000-0800-000011060000}"/>
    <hyperlink ref="A1556" r:id="rId1555" xr:uid="{00000000-0004-0000-0800-000012060000}"/>
    <hyperlink ref="A1557" r:id="rId1556" xr:uid="{00000000-0004-0000-0800-000013060000}"/>
    <hyperlink ref="A1558" r:id="rId1557" xr:uid="{00000000-0004-0000-0800-000014060000}"/>
    <hyperlink ref="A1559" r:id="rId1558" xr:uid="{00000000-0004-0000-0800-000015060000}"/>
    <hyperlink ref="A1560" r:id="rId1559" xr:uid="{00000000-0004-0000-0800-000016060000}"/>
    <hyperlink ref="A1561" r:id="rId1560" xr:uid="{00000000-0004-0000-0800-000017060000}"/>
    <hyperlink ref="A1562" r:id="rId1561" xr:uid="{00000000-0004-0000-0800-000018060000}"/>
    <hyperlink ref="A1563" r:id="rId1562" xr:uid="{00000000-0004-0000-0800-000019060000}"/>
    <hyperlink ref="A1564" r:id="rId1563" xr:uid="{00000000-0004-0000-0800-00001A060000}"/>
    <hyperlink ref="A1565" r:id="rId1564" xr:uid="{00000000-0004-0000-0800-00001B060000}"/>
    <hyperlink ref="A1566" r:id="rId1565" xr:uid="{00000000-0004-0000-0800-00001C060000}"/>
    <hyperlink ref="A1567" r:id="rId1566" xr:uid="{00000000-0004-0000-0800-00001D060000}"/>
    <hyperlink ref="A1568" r:id="rId1567" xr:uid="{00000000-0004-0000-0800-00001E060000}"/>
    <hyperlink ref="A1569" r:id="rId1568" xr:uid="{00000000-0004-0000-0800-00001F060000}"/>
    <hyperlink ref="A1570" r:id="rId1569" xr:uid="{00000000-0004-0000-0800-000020060000}"/>
    <hyperlink ref="A1571" r:id="rId1570" xr:uid="{00000000-0004-0000-0800-000021060000}"/>
    <hyperlink ref="A1572" r:id="rId1571" xr:uid="{00000000-0004-0000-0800-000022060000}"/>
    <hyperlink ref="A1573" r:id="rId1572" xr:uid="{00000000-0004-0000-0800-000023060000}"/>
    <hyperlink ref="A1574" r:id="rId1573" xr:uid="{00000000-0004-0000-0800-000024060000}"/>
    <hyperlink ref="A1575" r:id="rId1574" xr:uid="{00000000-0004-0000-0800-000025060000}"/>
    <hyperlink ref="A1576" r:id="rId1575" xr:uid="{00000000-0004-0000-0800-000026060000}"/>
    <hyperlink ref="A1577" r:id="rId1576" xr:uid="{00000000-0004-0000-0800-000027060000}"/>
    <hyperlink ref="A1578" r:id="rId1577" xr:uid="{00000000-0004-0000-0800-000028060000}"/>
    <hyperlink ref="A1579" r:id="rId1578" xr:uid="{00000000-0004-0000-0800-000029060000}"/>
    <hyperlink ref="A1580" r:id="rId1579" xr:uid="{00000000-0004-0000-0800-00002A060000}"/>
    <hyperlink ref="A1581" r:id="rId1580" xr:uid="{00000000-0004-0000-0800-00002B060000}"/>
    <hyperlink ref="A1582" r:id="rId1581" xr:uid="{00000000-0004-0000-0800-00002C060000}"/>
    <hyperlink ref="A1583" r:id="rId1582" xr:uid="{00000000-0004-0000-0800-00002D060000}"/>
    <hyperlink ref="A1584" r:id="rId1583" xr:uid="{00000000-0004-0000-0800-00002E060000}"/>
    <hyperlink ref="A1585" r:id="rId1584" xr:uid="{00000000-0004-0000-0800-00002F060000}"/>
    <hyperlink ref="A1586" r:id="rId1585" xr:uid="{00000000-0004-0000-0800-000030060000}"/>
    <hyperlink ref="A1587" r:id="rId1586" xr:uid="{00000000-0004-0000-0800-000031060000}"/>
    <hyperlink ref="A1588" r:id="rId1587" xr:uid="{00000000-0004-0000-0800-000032060000}"/>
    <hyperlink ref="A1589" r:id="rId1588" xr:uid="{00000000-0004-0000-0800-000033060000}"/>
    <hyperlink ref="A1590" r:id="rId1589" xr:uid="{00000000-0004-0000-0800-000034060000}"/>
    <hyperlink ref="A1591" r:id="rId1590" xr:uid="{00000000-0004-0000-0800-000035060000}"/>
    <hyperlink ref="A1592" r:id="rId1591" xr:uid="{00000000-0004-0000-0800-000036060000}"/>
    <hyperlink ref="A1593" r:id="rId1592" xr:uid="{00000000-0004-0000-0800-000037060000}"/>
    <hyperlink ref="A1594" r:id="rId1593" xr:uid="{00000000-0004-0000-0800-000038060000}"/>
    <hyperlink ref="A1595" r:id="rId1594" xr:uid="{00000000-0004-0000-0800-000039060000}"/>
    <hyperlink ref="A1596" r:id="rId1595" xr:uid="{00000000-0004-0000-0800-00003A060000}"/>
    <hyperlink ref="A1597" r:id="rId1596" xr:uid="{00000000-0004-0000-0800-00003B060000}"/>
    <hyperlink ref="A1598" r:id="rId1597" xr:uid="{00000000-0004-0000-0800-00003C060000}"/>
    <hyperlink ref="A1599" r:id="rId1598" xr:uid="{00000000-0004-0000-0800-00003D060000}"/>
    <hyperlink ref="A1600" r:id="rId1599" xr:uid="{00000000-0004-0000-0800-00003E060000}"/>
    <hyperlink ref="A1601" r:id="rId1600" xr:uid="{00000000-0004-0000-0800-00003F060000}"/>
    <hyperlink ref="A1602" r:id="rId1601" xr:uid="{00000000-0004-0000-0800-000040060000}"/>
    <hyperlink ref="A1603" r:id="rId1602" xr:uid="{00000000-0004-0000-0800-000041060000}"/>
    <hyperlink ref="A1604" r:id="rId1603" xr:uid="{00000000-0004-0000-0800-000042060000}"/>
    <hyperlink ref="A1605" r:id="rId1604" xr:uid="{00000000-0004-0000-0800-000043060000}"/>
    <hyperlink ref="A1606" r:id="rId1605" xr:uid="{00000000-0004-0000-0800-000044060000}"/>
    <hyperlink ref="A1607" r:id="rId1606" xr:uid="{00000000-0004-0000-0800-000045060000}"/>
    <hyperlink ref="A1608" r:id="rId1607" xr:uid="{00000000-0004-0000-0800-000046060000}"/>
    <hyperlink ref="A1609" r:id="rId1608" xr:uid="{00000000-0004-0000-0800-000047060000}"/>
    <hyperlink ref="A1610" r:id="rId1609" xr:uid="{00000000-0004-0000-0800-000048060000}"/>
    <hyperlink ref="A1611" r:id="rId1610" xr:uid="{00000000-0004-0000-0800-000049060000}"/>
    <hyperlink ref="A1612" r:id="rId1611" xr:uid="{00000000-0004-0000-0800-00004A060000}"/>
    <hyperlink ref="A1613" r:id="rId1612" xr:uid="{00000000-0004-0000-0800-00004B060000}"/>
    <hyperlink ref="A1614" r:id="rId1613" xr:uid="{00000000-0004-0000-0800-00004C060000}"/>
    <hyperlink ref="A1615" r:id="rId1614" xr:uid="{00000000-0004-0000-0800-00004D060000}"/>
    <hyperlink ref="A1616" r:id="rId1615" xr:uid="{00000000-0004-0000-0800-00004E060000}"/>
    <hyperlink ref="A1617" r:id="rId1616" xr:uid="{00000000-0004-0000-0800-00004F060000}"/>
    <hyperlink ref="A1618" r:id="rId1617" xr:uid="{00000000-0004-0000-0800-000050060000}"/>
    <hyperlink ref="A1619" r:id="rId1618" xr:uid="{00000000-0004-0000-0800-000051060000}"/>
    <hyperlink ref="A1620" r:id="rId1619" xr:uid="{00000000-0004-0000-0800-000052060000}"/>
    <hyperlink ref="A1621" r:id="rId1620" xr:uid="{00000000-0004-0000-0800-000053060000}"/>
    <hyperlink ref="A1622" r:id="rId1621" xr:uid="{00000000-0004-0000-0800-000054060000}"/>
    <hyperlink ref="A1623" r:id="rId1622" xr:uid="{00000000-0004-0000-0800-000055060000}"/>
    <hyperlink ref="A1624" r:id="rId1623" xr:uid="{00000000-0004-0000-0800-000056060000}"/>
    <hyperlink ref="A1625" r:id="rId1624" xr:uid="{00000000-0004-0000-0800-000057060000}"/>
    <hyperlink ref="A1626" r:id="rId1625" xr:uid="{00000000-0004-0000-0800-000058060000}"/>
    <hyperlink ref="A1627" r:id="rId1626" xr:uid="{00000000-0004-0000-0800-000059060000}"/>
    <hyperlink ref="A1628" r:id="rId1627" xr:uid="{00000000-0004-0000-0800-00005A060000}"/>
    <hyperlink ref="A1629" r:id="rId1628" xr:uid="{00000000-0004-0000-0800-00005B060000}"/>
    <hyperlink ref="A1630" r:id="rId1629" xr:uid="{00000000-0004-0000-0800-00005C060000}"/>
    <hyperlink ref="A1631" r:id="rId1630" xr:uid="{00000000-0004-0000-0800-00005D060000}"/>
    <hyperlink ref="A1632" r:id="rId1631" xr:uid="{00000000-0004-0000-0800-00005E060000}"/>
    <hyperlink ref="A1633" r:id="rId1632" xr:uid="{00000000-0004-0000-0800-00005F060000}"/>
    <hyperlink ref="A1634" r:id="rId1633" xr:uid="{00000000-0004-0000-0800-000060060000}"/>
    <hyperlink ref="A1635" r:id="rId1634" xr:uid="{00000000-0004-0000-0800-000061060000}"/>
    <hyperlink ref="A1636" r:id="rId1635" xr:uid="{00000000-0004-0000-0800-000062060000}"/>
    <hyperlink ref="A1637" r:id="rId1636" xr:uid="{00000000-0004-0000-0800-000063060000}"/>
    <hyperlink ref="A1638" r:id="rId1637" xr:uid="{00000000-0004-0000-0800-000064060000}"/>
    <hyperlink ref="A1639" r:id="rId1638" xr:uid="{00000000-0004-0000-0800-000065060000}"/>
    <hyperlink ref="A1640" r:id="rId1639" xr:uid="{00000000-0004-0000-0800-000066060000}"/>
    <hyperlink ref="A1641" r:id="rId1640" xr:uid="{00000000-0004-0000-0800-000067060000}"/>
    <hyperlink ref="A1642" r:id="rId1641" xr:uid="{00000000-0004-0000-0800-000068060000}"/>
    <hyperlink ref="A1643" r:id="rId1642" xr:uid="{00000000-0004-0000-0800-000069060000}"/>
    <hyperlink ref="A1644" r:id="rId1643" xr:uid="{00000000-0004-0000-0800-00006A060000}"/>
    <hyperlink ref="A1645" r:id="rId1644" xr:uid="{00000000-0004-0000-0800-00006B060000}"/>
    <hyperlink ref="A1646" r:id="rId1645" xr:uid="{00000000-0004-0000-0800-00006C060000}"/>
    <hyperlink ref="A1647" r:id="rId1646" xr:uid="{00000000-0004-0000-0800-00006D060000}"/>
    <hyperlink ref="A1648" r:id="rId1647" xr:uid="{00000000-0004-0000-0800-00006E060000}"/>
    <hyperlink ref="A1649" r:id="rId1648" xr:uid="{00000000-0004-0000-0800-00006F060000}"/>
    <hyperlink ref="A1650" r:id="rId1649" xr:uid="{00000000-0004-0000-0800-000070060000}"/>
    <hyperlink ref="A1651" r:id="rId1650" xr:uid="{00000000-0004-0000-0800-000071060000}"/>
    <hyperlink ref="A1652" r:id="rId1651" xr:uid="{00000000-0004-0000-0800-000072060000}"/>
    <hyperlink ref="A1653" r:id="rId1652" xr:uid="{00000000-0004-0000-0800-000073060000}"/>
    <hyperlink ref="A1654" r:id="rId1653" xr:uid="{00000000-0004-0000-0800-000074060000}"/>
    <hyperlink ref="A1655" r:id="rId1654" xr:uid="{00000000-0004-0000-0800-000075060000}"/>
    <hyperlink ref="A1656" r:id="rId1655" xr:uid="{00000000-0004-0000-0800-000076060000}"/>
    <hyperlink ref="A1657" r:id="rId1656" xr:uid="{00000000-0004-0000-0800-000077060000}"/>
    <hyperlink ref="A1658" r:id="rId1657" xr:uid="{00000000-0004-0000-0800-000078060000}"/>
    <hyperlink ref="A1659" r:id="rId1658" xr:uid="{00000000-0004-0000-0800-000079060000}"/>
    <hyperlink ref="A1660" r:id="rId1659" xr:uid="{00000000-0004-0000-0800-00007A060000}"/>
    <hyperlink ref="A1661" r:id="rId1660" xr:uid="{00000000-0004-0000-0800-00007B060000}"/>
    <hyperlink ref="A1662" r:id="rId1661" xr:uid="{00000000-0004-0000-0800-00007C060000}"/>
    <hyperlink ref="A1663" r:id="rId1662" xr:uid="{00000000-0004-0000-0800-00007D060000}"/>
    <hyperlink ref="A1664" r:id="rId1663" xr:uid="{00000000-0004-0000-0800-00007E060000}"/>
    <hyperlink ref="A1665" r:id="rId1664" xr:uid="{00000000-0004-0000-0800-00007F060000}"/>
    <hyperlink ref="A1666" r:id="rId1665" xr:uid="{00000000-0004-0000-0800-000080060000}"/>
    <hyperlink ref="A1667" r:id="rId1666" xr:uid="{00000000-0004-0000-0800-000081060000}"/>
    <hyperlink ref="A1668" r:id="rId1667" xr:uid="{00000000-0004-0000-0800-000082060000}"/>
    <hyperlink ref="A1669" r:id="rId1668" xr:uid="{00000000-0004-0000-0800-000083060000}"/>
    <hyperlink ref="A1670" r:id="rId1669" xr:uid="{00000000-0004-0000-0800-000084060000}"/>
    <hyperlink ref="A1671" r:id="rId1670" xr:uid="{00000000-0004-0000-0800-000085060000}"/>
    <hyperlink ref="A1672" r:id="rId1671" xr:uid="{00000000-0004-0000-0800-000086060000}"/>
    <hyperlink ref="A1673" r:id="rId1672" xr:uid="{00000000-0004-0000-0800-000087060000}"/>
    <hyperlink ref="A1674" r:id="rId1673" xr:uid="{00000000-0004-0000-0800-000088060000}"/>
    <hyperlink ref="A1675" r:id="rId1674" xr:uid="{00000000-0004-0000-0800-000089060000}"/>
    <hyperlink ref="A1676" r:id="rId1675" xr:uid="{00000000-0004-0000-0800-00008A060000}"/>
    <hyperlink ref="A1677" r:id="rId1676" xr:uid="{00000000-0004-0000-0800-00008B060000}"/>
    <hyperlink ref="A1678" r:id="rId1677" xr:uid="{00000000-0004-0000-0800-00008C060000}"/>
    <hyperlink ref="A1679" r:id="rId1678" xr:uid="{00000000-0004-0000-0800-00008D060000}"/>
    <hyperlink ref="A1680" r:id="rId1679" xr:uid="{00000000-0004-0000-0800-00008E060000}"/>
    <hyperlink ref="A1681" r:id="rId1680" xr:uid="{00000000-0004-0000-0800-00008F060000}"/>
    <hyperlink ref="A1682" r:id="rId1681" xr:uid="{00000000-0004-0000-0800-000090060000}"/>
    <hyperlink ref="A1683" r:id="rId1682" xr:uid="{00000000-0004-0000-0800-000091060000}"/>
    <hyperlink ref="A1684" r:id="rId1683" xr:uid="{00000000-0004-0000-0800-000092060000}"/>
    <hyperlink ref="A1685" r:id="rId1684" xr:uid="{00000000-0004-0000-0800-000093060000}"/>
    <hyperlink ref="A1686" r:id="rId1685" xr:uid="{00000000-0004-0000-0800-000094060000}"/>
    <hyperlink ref="A1687" r:id="rId1686" xr:uid="{00000000-0004-0000-0800-000095060000}"/>
    <hyperlink ref="A1688" r:id="rId1687" xr:uid="{00000000-0004-0000-0800-000096060000}"/>
    <hyperlink ref="A1689" r:id="rId1688" xr:uid="{00000000-0004-0000-0800-000097060000}"/>
    <hyperlink ref="A1690" r:id="rId1689" xr:uid="{00000000-0004-0000-0800-000098060000}"/>
    <hyperlink ref="A1691" r:id="rId1690" xr:uid="{00000000-0004-0000-0800-000099060000}"/>
    <hyperlink ref="A1692" r:id="rId1691" xr:uid="{00000000-0004-0000-0800-00009A060000}"/>
    <hyperlink ref="A1693" r:id="rId1692" xr:uid="{00000000-0004-0000-0800-00009B060000}"/>
    <hyperlink ref="A1694" r:id="rId1693" xr:uid="{00000000-0004-0000-0800-00009C060000}"/>
    <hyperlink ref="A1695" r:id="rId1694" xr:uid="{00000000-0004-0000-0800-00009D060000}"/>
    <hyperlink ref="A1696" r:id="rId1695" xr:uid="{00000000-0004-0000-0800-00009E060000}"/>
    <hyperlink ref="A1697" r:id="rId1696" xr:uid="{00000000-0004-0000-0800-00009F060000}"/>
    <hyperlink ref="A1698" r:id="rId1697" xr:uid="{00000000-0004-0000-0800-0000A0060000}"/>
    <hyperlink ref="A1699" r:id="rId1698" xr:uid="{00000000-0004-0000-0800-0000A1060000}"/>
    <hyperlink ref="A1700" r:id="rId1699" xr:uid="{00000000-0004-0000-0800-0000A2060000}"/>
    <hyperlink ref="A1701" r:id="rId1700" xr:uid="{00000000-0004-0000-0800-0000A3060000}"/>
    <hyperlink ref="A1702" r:id="rId1701" xr:uid="{00000000-0004-0000-0800-0000A4060000}"/>
    <hyperlink ref="A1703" r:id="rId1702" xr:uid="{00000000-0004-0000-0800-0000A5060000}"/>
    <hyperlink ref="A1704" r:id="rId1703" xr:uid="{00000000-0004-0000-0800-0000A6060000}"/>
    <hyperlink ref="A1705" r:id="rId1704" xr:uid="{00000000-0004-0000-0800-0000A7060000}"/>
    <hyperlink ref="A1706" r:id="rId1705" xr:uid="{00000000-0004-0000-0800-0000A8060000}"/>
    <hyperlink ref="A1707" r:id="rId1706" xr:uid="{00000000-0004-0000-0800-0000A9060000}"/>
    <hyperlink ref="A1708" r:id="rId1707" xr:uid="{00000000-0004-0000-0800-0000AA060000}"/>
    <hyperlink ref="A1709" r:id="rId1708" xr:uid="{00000000-0004-0000-0800-0000AB060000}"/>
    <hyperlink ref="A1710" r:id="rId1709" xr:uid="{00000000-0004-0000-0800-0000AC060000}"/>
    <hyperlink ref="A1711" r:id="rId1710" xr:uid="{00000000-0004-0000-0800-0000AD060000}"/>
    <hyperlink ref="A1712" r:id="rId1711" xr:uid="{00000000-0004-0000-0800-0000AE060000}"/>
    <hyperlink ref="A1713" r:id="rId1712" xr:uid="{00000000-0004-0000-0800-0000AF060000}"/>
    <hyperlink ref="A1714" r:id="rId1713" xr:uid="{00000000-0004-0000-0800-0000B0060000}"/>
    <hyperlink ref="A1715" r:id="rId1714" xr:uid="{00000000-0004-0000-0800-0000B1060000}"/>
    <hyperlink ref="A1716" r:id="rId1715" xr:uid="{00000000-0004-0000-0800-0000B2060000}"/>
    <hyperlink ref="A1717" r:id="rId1716" xr:uid="{00000000-0004-0000-0800-0000B3060000}"/>
    <hyperlink ref="A1718" r:id="rId1717" xr:uid="{00000000-0004-0000-0800-0000B4060000}"/>
    <hyperlink ref="A1719" r:id="rId1718" xr:uid="{00000000-0004-0000-0800-0000B5060000}"/>
    <hyperlink ref="A1720" r:id="rId1719" xr:uid="{00000000-0004-0000-0800-0000B6060000}"/>
    <hyperlink ref="A1721" r:id="rId1720" xr:uid="{00000000-0004-0000-0800-0000B7060000}"/>
    <hyperlink ref="A1722" r:id="rId1721" xr:uid="{00000000-0004-0000-0800-0000B8060000}"/>
    <hyperlink ref="A1723" r:id="rId1722" xr:uid="{00000000-0004-0000-0800-0000B9060000}"/>
    <hyperlink ref="A1724" r:id="rId1723" xr:uid="{00000000-0004-0000-0800-0000BA060000}"/>
    <hyperlink ref="A1725" r:id="rId1724" xr:uid="{00000000-0004-0000-0800-0000BB060000}"/>
    <hyperlink ref="A1726" r:id="rId1725" xr:uid="{00000000-0004-0000-0800-0000BC060000}"/>
    <hyperlink ref="A1727" r:id="rId1726" xr:uid="{00000000-0004-0000-0800-0000BD060000}"/>
    <hyperlink ref="A1728" r:id="rId1727" xr:uid="{00000000-0004-0000-0800-0000BE060000}"/>
    <hyperlink ref="A1729" r:id="rId1728" xr:uid="{00000000-0004-0000-0800-0000BF060000}"/>
    <hyperlink ref="A1730" r:id="rId1729" xr:uid="{00000000-0004-0000-0800-0000C0060000}"/>
    <hyperlink ref="A1731" r:id="rId1730" xr:uid="{00000000-0004-0000-0800-0000C1060000}"/>
    <hyperlink ref="A1732" r:id="rId1731" xr:uid="{00000000-0004-0000-0800-0000C2060000}"/>
    <hyperlink ref="A1733" r:id="rId1732" xr:uid="{00000000-0004-0000-0800-0000C3060000}"/>
    <hyperlink ref="A1734" r:id="rId1733" xr:uid="{00000000-0004-0000-0800-0000C4060000}"/>
    <hyperlink ref="A1735" r:id="rId1734" xr:uid="{00000000-0004-0000-0800-0000C5060000}"/>
    <hyperlink ref="A1736" r:id="rId1735" xr:uid="{00000000-0004-0000-0800-0000C6060000}"/>
    <hyperlink ref="A1737" r:id="rId1736" xr:uid="{00000000-0004-0000-0800-0000C7060000}"/>
    <hyperlink ref="A1738" r:id="rId1737" xr:uid="{00000000-0004-0000-0800-0000C8060000}"/>
    <hyperlink ref="A1739" r:id="rId1738" xr:uid="{00000000-0004-0000-0800-0000C9060000}"/>
    <hyperlink ref="A1740" r:id="rId1739" xr:uid="{00000000-0004-0000-0800-0000CA060000}"/>
    <hyperlink ref="A1741" r:id="rId1740" xr:uid="{00000000-0004-0000-0800-0000CB060000}"/>
    <hyperlink ref="A1742" r:id="rId1741" xr:uid="{00000000-0004-0000-0800-0000CC060000}"/>
    <hyperlink ref="A1743" r:id="rId1742" xr:uid="{00000000-0004-0000-0800-0000CD060000}"/>
    <hyperlink ref="A1744" r:id="rId1743" xr:uid="{00000000-0004-0000-0800-0000CE060000}"/>
    <hyperlink ref="A1745" r:id="rId1744" xr:uid="{00000000-0004-0000-0800-0000CF060000}"/>
    <hyperlink ref="A1746" r:id="rId1745" xr:uid="{00000000-0004-0000-0800-0000D0060000}"/>
    <hyperlink ref="A1747" r:id="rId1746" xr:uid="{00000000-0004-0000-0800-0000D1060000}"/>
    <hyperlink ref="A1748" r:id="rId1747" xr:uid="{00000000-0004-0000-0800-0000D2060000}"/>
    <hyperlink ref="A1749" r:id="rId1748" xr:uid="{00000000-0004-0000-0800-0000D3060000}"/>
    <hyperlink ref="A1750" r:id="rId1749" xr:uid="{00000000-0004-0000-0800-0000D4060000}"/>
    <hyperlink ref="A1751" r:id="rId1750" xr:uid="{00000000-0004-0000-0800-0000D5060000}"/>
    <hyperlink ref="A1752" r:id="rId1751" xr:uid="{00000000-0004-0000-0800-0000D6060000}"/>
    <hyperlink ref="A1753" r:id="rId1752" xr:uid="{00000000-0004-0000-0800-0000D7060000}"/>
    <hyperlink ref="A1754" r:id="rId1753" xr:uid="{00000000-0004-0000-0800-0000D8060000}"/>
    <hyperlink ref="A1755" r:id="rId1754" xr:uid="{00000000-0004-0000-0800-0000D9060000}"/>
    <hyperlink ref="A1756" r:id="rId1755" xr:uid="{00000000-0004-0000-0800-0000DA060000}"/>
    <hyperlink ref="A1757" r:id="rId1756" xr:uid="{00000000-0004-0000-0800-0000DB060000}"/>
    <hyperlink ref="A1758" r:id="rId1757" xr:uid="{00000000-0004-0000-0800-0000DC060000}"/>
    <hyperlink ref="A1759" r:id="rId1758" xr:uid="{00000000-0004-0000-0800-0000DD060000}"/>
    <hyperlink ref="A1760" r:id="rId1759" xr:uid="{00000000-0004-0000-0800-0000DE060000}"/>
    <hyperlink ref="A1761" r:id="rId1760" xr:uid="{00000000-0004-0000-0800-0000DF060000}"/>
    <hyperlink ref="A1762" r:id="rId1761" xr:uid="{00000000-0004-0000-0800-0000E0060000}"/>
    <hyperlink ref="A1763" r:id="rId1762" xr:uid="{00000000-0004-0000-0800-0000E1060000}"/>
    <hyperlink ref="A1764" r:id="rId1763" xr:uid="{00000000-0004-0000-0800-0000E2060000}"/>
    <hyperlink ref="A1765" r:id="rId1764" xr:uid="{00000000-0004-0000-0800-0000E3060000}"/>
    <hyperlink ref="A1766" r:id="rId1765" xr:uid="{00000000-0004-0000-0800-0000E4060000}"/>
    <hyperlink ref="A1767" r:id="rId1766" xr:uid="{00000000-0004-0000-0800-0000E5060000}"/>
    <hyperlink ref="A1768" r:id="rId1767" xr:uid="{00000000-0004-0000-0800-0000E6060000}"/>
    <hyperlink ref="A1769" r:id="rId1768" xr:uid="{00000000-0004-0000-0800-0000E7060000}"/>
    <hyperlink ref="A1770" r:id="rId1769" xr:uid="{00000000-0004-0000-0800-0000E8060000}"/>
    <hyperlink ref="A1771" r:id="rId1770" xr:uid="{00000000-0004-0000-0800-0000E9060000}"/>
    <hyperlink ref="A1772" r:id="rId1771" xr:uid="{00000000-0004-0000-0800-0000EA060000}"/>
    <hyperlink ref="A1773" r:id="rId1772" xr:uid="{00000000-0004-0000-0800-0000EB060000}"/>
    <hyperlink ref="A1774" r:id="rId1773" xr:uid="{00000000-0004-0000-0800-0000EC060000}"/>
    <hyperlink ref="A1775" r:id="rId1774" xr:uid="{00000000-0004-0000-0800-0000ED060000}"/>
    <hyperlink ref="A1776" r:id="rId1775" xr:uid="{00000000-0004-0000-0800-0000EE060000}"/>
    <hyperlink ref="A1777" r:id="rId1776" xr:uid="{00000000-0004-0000-0800-0000EF060000}"/>
    <hyperlink ref="A1778" r:id="rId1777" xr:uid="{00000000-0004-0000-0800-0000F0060000}"/>
    <hyperlink ref="A1779" r:id="rId1778" xr:uid="{00000000-0004-0000-0800-0000F1060000}"/>
    <hyperlink ref="A1780" r:id="rId1779" xr:uid="{00000000-0004-0000-0800-0000F2060000}"/>
    <hyperlink ref="A1781" r:id="rId1780" xr:uid="{00000000-0004-0000-0800-0000F3060000}"/>
    <hyperlink ref="A1782" r:id="rId1781" xr:uid="{00000000-0004-0000-0800-0000F4060000}"/>
    <hyperlink ref="A1783" r:id="rId1782" xr:uid="{00000000-0004-0000-0800-0000F5060000}"/>
    <hyperlink ref="A1784" r:id="rId1783" xr:uid="{00000000-0004-0000-0800-0000F6060000}"/>
    <hyperlink ref="A1785" r:id="rId1784" xr:uid="{00000000-0004-0000-0800-0000F7060000}"/>
    <hyperlink ref="A1786" r:id="rId1785" xr:uid="{00000000-0004-0000-0800-0000F8060000}"/>
    <hyperlink ref="A1787" r:id="rId1786" xr:uid="{00000000-0004-0000-0800-0000F9060000}"/>
    <hyperlink ref="A1788" r:id="rId1787" xr:uid="{00000000-0004-0000-0800-0000FA060000}"/>
    <hyperlink ref="A1789" r:id="rId1788" xr:uid="{00000000-0004-0000-0800-0000FB060000}"/>
    <hyperlink ref="A1790" r:id="rId1789" xr:uid="{00000000-0004-0000-0800-0000FC060000}"/>
    <hyperlink ref="A1791" r:id="rId1790" xr:uid="{00000000-0004-0000-0800-0000FD060000}"/>
    <hyperlink ref="A1792" r:id="rId1791" xr:uid="{00000000-0004-0000-0800-0000FE060000}"/>
    <hyperlink ref="A1793" r:id="rId1792" xr:uid="{00000000-0004-0000-0800-0000FF060000}"/>
    <hyperlink ref="A1794" r:id="rId1793" xr:uid="{00000000-0004-0000-0800-000000070000}"/>
    <hyperlink ref="A1795" r:id="rId1794" xr:uid="{00000000-0004-0000-0800-000001070000}"/>
    <hyperlink ref="A1796" r:id="rId1795" xr:uid="{00000000-0004-0000-0800-000002070000}"/>
    <hyperlink ref="A1797" r:id="rId1796" xr:uid="{00000000-0004-0000-0800-000003070000}"/>
    <hyperlink ref="A1798" r:id="rId1797" xr:uid="{00000000-0004-0000-0800-000004070000}"/>
    <hyperlink ref="A1799" r:id="rId1798" xr:uid="{00000000-0004-0000-0800-000005070000}"/>
    <hyperlink ref="A1800" r:id="rId1799" xr:uid="{00000000-0004-0000-0800-000006070000}"/>
    <hyperlink ref="A1801" r:id="rId1800" xr:uid="{00000000-0004-0000-0800-000007070000}"/>
    <hyperlink ref="A1802" r:id="rId1801" xr:uid="{00000000-0004-0000-0800-000008070000}"/>
    <hyperlink ref="A1803" r:id="rId1802" xr:uid="{00000000-0004-0000-0800-000009070000}"/>
    <hyperlink ref="A1804" r:id="rId1803" xr:uid="{00000000-0004-0000-0800-00000A070000}"/>
    <hyperlink ref="A1805" r:id="rId1804" xr:uid="{00000000-0004-0000-0800-00000B070000}"/>
    <hyperlink ref="A1806" r:id="rId1805" xr:uid="{00000000-0004-0000-0800-00000C070000}"/>
    <hyperlink ref="A1807" r:id="rId1806" xr:uid="{00000000-0004-0000-0800-00000D070000}"/>
    <hyperlink ref="A1808" r:id="rId1807" xr:uid="{00000000-0004-0000-0800-00000E070000}"/>
    <hyperlink ref="A1809" r:id="rId1808" xr:uid="{00000000-0004-0000-0800-00000F070000}"/>
    <hyperlink ref="A1810" r:id="rId1809" xr:uid="{00000000-0004-0000-0800-000010070000}"/>
    <hyperlink ref="A1811" r:id="rId1810" xr:uid="{00000000-0004-0000-0800-000011070000}"/>
    <hyperlink ref="A1812" r:id="rId1811" xr:uid="{00000000-0004-0000-0800-000012070000}"/>
    <hyperlink ref="A1813" r:id="rId1812" xr:uid="{00000000-0004-0000-0800-000013070000}"/>
    <hyperlink ref="A1814" r:id="rId1813" xr:uid="{00000000-0004-0000-0800-000014070000}"/>
    <hyperlink ref="A1815" r:id="rId1814" xr:uid="{00000000-0004-0000-0800-000015070000}"/>
    <hyperlink ref="A1816" r:id="rId1815" xr:uid="{00000000-0004-0000-0800-000016070000}"/>
    <hyperlink ref="A1817" r:id="rId1816" xr:uid="{00000000-0004-0000-0800-000017070000}"/>
    <hyperlink ref="A1818" r:id="rId1817" xr:uid="{00000000-0004-0000-0800-000018070000}"/>
    <hyperlink ref="A1819" r:id="rId1818" xr:uid="{00000000-0004-0000-0800-000019070000}"/>
    <hyperlink ref="A1820" r:id="rId1819" xr:uid="{00000000-0004-0000-0800-00001A070000}"/>
    <hyperlink ref="A1821" r:id="rId1820" xr:uid="{00000000-0004-0000-0800-00001B070000}"/>
    <hyperlink ref="A1822" r:id="rId1821" xr:uid="{00000000-0004-0000-0800-00001C070000}"/>
    <hyperlink ref="A1823" r:id="rId1822" xr:uid="{00000000-0004-0000-0800-00001D070000}"/>
    <hyperlink ref="A1824" r:id="rId1823" xr:uid="{00000000-0004-0000-0800-00001E070000}"/>
    <hyperlink ref="A1825" r:id="rId1824" xr:uid="{00000000-0004-0000-0800-00001F070000}"/>
    <hyperlink ref="A1826" r:id="rId1825" xr:uid="{00000000-0004-0000-0800-000020070000}"/>
    <hyperlink ref="A1827" r:id="rId1826" xr:uid="{00000000-0004-0000-0800-000021070000}"/>
    <hyperlink ref="A1828" r:id="rId1827" xr:uid="{00000000-0004-0000-0800-000022070000}"/>
    <hyperlink ref="A1829" r:id="rId1828" xr:uid="{00000000-0004-0000-0800-000023070000}"/>
    <hyperlink ref="A1830" r:id="rId1829" xr:uid="{00000000-0004-0000-0800-000024070000}"/>
    <hyperlink ref="A1831" r:id="rId1830" xr:uid="{00000000-0004-0000-0800-000025070000}"/>
    <hyperlink ref="A1832" r:id="rId1831" xr:uid="{00000000-0004-0000-0800-000026070000}"/>
    <hyperlink ref="A1833" r:id="rId1832" xr:uid="{00000000-0004-0000-0800-000027070000}"/>
    <hyperlink ref="A1834" r:id="rId1833" xr:uid="{00000000-0004-0000-0800-000028070000}"/>
    <hyperlink ref="A1835" r:id="rId1834" xr:uid="{00000000-0004-0000-0800-000029070000}"/>
    <hyperlink ref="A1836" r:id="rId1835" xr:uid="{00000000-0004-0000-0800-00002A070000}"/>
    <hyperlink ref="A1837" r:id="rId1836" xr:uid="{00000000-0004-0000-0800-00002B070000}"/>
    <hyperlink ref="A1838" r:id="rId1837" xr:uid="{00000000-0004-0000-0800-00002C070000}"/>
    <hyperlink ref="A1839" r:id="rId1838" xr:uid="{00000000-0004-0000-0800-00002D070000}"/>
    <hyperlink ref="A1840" r:id="rId1839" xr:uid="{00000000-0004-0000-0800-00002E070000}"/>
    <hyperlink ref="A1841" r:id="rId1840" xr:uid="{00000000-0004-0000-0800-00002F070000}"/>
    <hyperlink ref="A1842" r:id="rId1841" xr:uid="{00000000-0004-0000-0800-000030070000}"/>
    <hyperlink ref="A1843" r:id="rId1842" xr:uid="{00000000-0004-0000-0800-000031070000}"/>
    <hyperlink ref="A1844" r:id="rId1843" xr:uid="{00000000-0004-0000-0800-000032070000}"/>
    <hyperlink ref="A1845" r:id="rId1844" xr:uid="{00000000-0004-0000-0800-000033070000}"/>
    <hyperlink ref="A1846" r:id="rId1845" xr:uid="{00000000-0004-0000-0800-000034070000}"/>
    <hyperlink ref="A1847" r:id="rId1846" xr:uid="{00000000-0004-0000-0800-000035070000}"/>
    <hyperlink ref="A1848" r:id="rId1847" xr:uid="{00000000-0004-0000-0800-000036070000}"/>
    <hyperlink ref="A1849" r:id="rId1848" xr:uid="{00000000-0004-0000-0800-000037070000}"/>
    <hyperlink ref="A1850" r:id="rId1849" xr:uid="{00000000-0004-0000-0800-000038070000}"/>
    <hyperlink ref="A1851" r:id="rId1850" xr:uid="{00000000-0004-0000-0800-000039070000}"/>
    <hyperlink ref="A1852" r:id="rId1851" xr:uid="{00000000-0004-0000-0800-00003A070000}"/>
    <hyperlink ref="A1853" r:id="rId1852" xr:uid="{00000000-0004-0000-0800-00003B070000}"/>
    <hyperlink ref="A1854" r:id="rId1853" xr:uid="{00000000-0004-0000-0800-00003C070000}"/>
    <hyperlink ref="A1855" r:id="rId1854" xr:uid="{00000000-0004-0000-0800-00003D070000}"/>
    <hyperlink ref="A1856" r:id="rId1855" xr:uid="{00000000-0004-0000-0800-00003E070000}"/>
    <hyperlink ref="A1857" r:id="rId1856" xr:uid="{00000000-0004-0000-0800-00003F070000}"/>
    <hyperlink ref="A1858" r:id="rId1857" xr:uid="{00000000-0004-0000-0800-000040070000}"/>
    <hyperlink ref="A1859" r:id="rId1858" xr:uid="{00000000-0004-0000-0800-000041070000}"/>
    <hyperlink ref="A1860" r:id="rId1859" xr:uid="{00000000-0004-0000-0800-000042070000}"/>
    <hyperlink ref="A1861" r:id="rId1860" xr:uid="{00000000-0004-0000-0800-000043070000}"/>
    <hyperlink ref="A1862" r:id="rId1861" xr:uid="{00000000-0004-0000-0800-000044070000}"/>
    <hyperlink ref="A1863" r:id="rId1862" xr:uid="{00000000-0004-0000-0800-000045070000}"/>
    <hyperlink ref="A1864" r:id="rId1863" xr:uid="{00000000-0004-0000-0800-000046070000}"/>
    <hyperlink ref="A1865" r:id="rId1864" xr:uid="{00000000-0004-0000-0800-000047070000}"/>
    <hyperlink ref="A1866" r:id="rId1865" xr:uid="{00000000-0004-0000-0800-000048070000}"/>
    <hyperlink ref="A1867" r:id="rId1866" xr:uid="{00000000-0004-0000-0800-000049070000}"/>
    <hyperlink ref="A1868" r:id="rId1867" xr:uid="{00000000-0004-0000-0800-00004A070000}"/>
    <hyperlink ref="A1869" r:id="rId1868" xr:uid="{00000000-0004-0000-0800-00004B070000}"/>
    <hyperlink ref="A1870" r:id="rId1869" xr:uid="{00000000-0004-0000-0800-00004C070000}"/>
    <hyperlink ref="A1871" r:id="rId1870" xr:uid="{00000000-0004-0000-0800-00004D070000}"/>
    <hyperlink ref="A1872" r:id="rId1871" xr:uid="{00000000-0004-0000-0800-00004E070000}"/>
    <hyperlink ref="A1873" r:id="rId1872" xr:uid="{00000000-0004-0000-0800-00004F070000}"/>
    <hyperlink ref="A1874" r:id="rId1873" xr:uid="{00000000-0004-0000-0800-000050070000}"/>
    <hyperlink ref="A1875" r:id="rId1874" xr:uid="{00000000-0004-0000-0800-000051070000}"/>
    <hyperlink ref="A1876" r:id="rId1875" xr:uid="{00000000-0004-0000-0800-000052070000}"/>
    <hyperlink ref="A1877" r:id="rId1876" xr:uid="{00000000-0004-0000-0800-000053070000}"/>
    <hyperlink ref="A1878" r:id="rId1877" xr:uid="{00000000-0004-0000-0800-000054070000}"/>
    <hyperlink ref="A1879" r:id="rId1878" xr:uid="{00000000-0004-0000-0800-000055070000}"/>
    <hyperlink ref="A1880" r:id="rId1879" xr:uid="{00000000-0004-0000-0800-000056070000}"/>
    <hyperlink ref="A1881" r:id="rId1880" xr:uid="{00000000-0004-0000-0800-000057070000}"/>
    <hyperlink ref="A1882" r:id="rId1881" xr:uid="{00000000-0004-0000-0800-000058070000}"/>
    <hyperlink ref="A1883" r:id="rId1882" xr:uid="{00000000-0004-0000-0800-000059070000}"/>
    <hyperlink ref="A1884" r:id="rId1883" xr:uid="{00000000-0004-0000-0800-00005A070000}"/>
    <hyperlink ref="A1885" r:id="rId1884" xr:uid="{00000000-0004-0000-0800-00005B070000}"/>
    <hyperlink ref="A1886" r:id="rId1885" xr:uid="{00000000-0004-0000-0800-00005C070000}"/>
    <hyperlink ref="A1887" r:id="rId1886" xr:uid="{00000000-0004-0000-0800-00005D070000}"/>
    <hyperlink ref="A1888" r:id="rId1887" xr:uid="{00000000-0004-0000-0800-00005E070000}"/>
    <hyperlink ref="A1889" r:id="rId1888" xr:uid="{00000000-0004-0000-0800-00005F070000}"/>
    <hyperlink ref="A1890" r:id="rId1889" xr:uid="{00000000-0004-0000-0800-000060070000}"/>
    <hyperlink ref="A1891" r:id="rId1890" xr:uid="{00000000-0004-0000-0800-000061070000}"/>
    <hyperlink ref="A1892" r:id="rId1891" xr:uid="{00000000-0004-0000-0800-000062070000}"/>
    <hyperlink ref="A1893" r:id="rId1892" xr:uid="{00000000-0004-0000-0800-000063070000}"/>
    <hyperlink ref="A1894" r:id="rId1893" xr:uid="{00000000-0004-0000-0800-000064070000}"/>
    <hyperlink ref="A1895" r:id="rId1894" xr:uid="{00000000-0004-0000-0800-000065070000}"/>
    <hyperlink ref="A1896" r:id="rId1895" xr:uid="{00000000-0004-0000-0800-000066070000}"/>
    <hyperlink ref="A1897" r:id="rId1896" xr:uid="{00000000-0004-0000-0800-000067070000}"/>
    <hyperlink ref="A1898" r:id="rId1897" xr:uid="{00000000-0004-0000-0800-000068070000}"/>
    <hyperlink ref="A1899" r:id="rId1898" xr:uid="{00000000-0004-0000-0800-000069070000}"/>
    <hyperlink ref="A1900" r:id="rId1899" xr:uid="{00000000-0004-0000-0800-00006A070000}"/>
    <hyperlink ref="A1901" r:id="rId1900" xr:uid="{00000000-0004-0000-0800-00006B070000}"/>
    <hyperlink ref="A1902" r:id="rId1901" xr:uid="{00000000-0004-0000-0800-00006C070000}"/>
    <hyperlink ref="A1903" r:id="rId1902" xr:uid="{00000000-0004-0000-0800-00006D070000}"/>
    <hyperlink ref="A1904" r:id="rId1903" xr:uid="{00000000-0004-0000-0800-00006E070000}"/>
    <hyperlink ref="A1905" r:id="rId1904" xr:uid="{00000000-0004-0000-0800-00006F070000}"/>
    <hyperlink ref="A1906" r:id="rId1905" xr:uid="{00000000-0004-0000-0800-000070070000}"/>
    <hyperlink ref="A1907" r:id="rId1906" xr:uid="{00000000-0004-0000-0800-000071070000}"/>
    <hyperlink ref="A1908" r:id="rId1907" xr:uid="{00000000-0004-0000-0800-000072070000}"/>
    <hyperlink ref="A1909" r:id="rId1908" xr:uid="{00000000-0004-0000-0800-000073070000}"/>
    <hyperlink ref="A1910" r:id="rId1909" xr:uid="{00000000-0004-0000-0800-000074070000}"/>
    <hyperlink ref="A1911" r:id="rId1910" xr:uid="{00000000-0004-0000-0800-000075070000}"/>
    <hyperlink ref="A1912" r:id="rId1911" xr:uid="{00000000-0004-0000-0800-000076070000}"/>
    <hyperlink ref="A1913" r:id="rId1912" xr:uid="{00000000-0004-0000-0800-000077070000}"/>
    <hyperlink ref="A1914" r:id="rId1913" xr:uid="{00000000-0004-0000-0800-000078070000}"/>
    <hyperlink ref="A1915" r:id="rId1914" xr:uid="{00000000-0004-0000-0800-000079070000}"/>
    <hyperlink ref="A1916" r:id="rId1915" xr:uid="{00000000-0004-0000-0800-00007A070000}"/>
    <hyperlink ref="A1917" r:id="rId1916" xr:uid="{00000000-0004-0000-0800-00007B070000}"/>
    <hyperlink ref="A1918" r:id="rId1917" xr:uid="{00000000-0004-0000-0800-00007C070000}"/>
    <hyperlink ref="A1919" r:id="rId1918" xr:uid="{00000000-0004-0000-0800-00007D070000}"/>
    <hyperlink ref="A1920" r:id="rId1919" xr:uid="{00000000-0004-0000-0800-00007E070000}"/>
    <hyperlink ref="A1921" r:id="rId1920" xr:uid="{00000000-0004-0000-0800-00007F070000}"/>
    <hyperlink ref="A1922" r:id="rId1921" xr:uid="{00000000-0004-0000-0800-000080070000}"/>
    <hyperlink ref="A1923" r:id="rId1922" xr:uid="{00000000-0004-0000-0800-000081070000}"/>
    <hyperlink ref="A1924" r:id="rId1923" xr:uid="{00000000-0004-0000-0800-000082070000}"/>
    <hyperlink ref="A1925" r:id="rId1924" xr:uid="{00000000-0004-0000-0800-000083070000}"/>
    <hyperlink ref="A1926" r:id="rId1925" xr:uid="{00000000-0004-0000-0800-000084070000}"/>
    <hyperlink ref="A1927" r:id="rId1926" xr:uid="{00000000-0004-0000-0800-000085070000}"/>
    <hyperlink ref="A1928" r:id="rId1927" xr:uid="{00000000-0004-0000-0800-000086070000}"/>
    <hyperlink ref="A1929" r:id="rId1928" xr:uid="{00000000-0004-0000-0800-000087070000}"/>
    <hyperlink ref="A1930" r:id="rId1929" xr:uid="{00000000-0004-0000-0800-000088070000}"/>
    <hyperlink ref="A1931" r:id="rId1930" xr:uid="{00000000-0004-0000-0800-000089070000}"/>
    <hyperlink ref="A1932" r:id="rId1931" xr:uid="{00000000-0004-0000-0800-00008A070000}"/>
    <hyperlink ref="A1933" r:id="rId1932" xr:uid="{00000000-0004-0000-0800-00008B070000}"/>
    <hyperlink ref="A1934" r:id="rId1933" xr:uid="{00000000-0004-0000-0800-00008C070000}"/>
    <hyperlink ref="A1935" r:id="rId1934" xr:uid="{00000000-0004-0000-0800-00008D070000}"/>
    <hyperlink ref="A1936" r:id="rId1935" xr:uid="{00000000-0004-0000-0800-00008E070000}"/>
    <hyperlink ref="A1937" r:id="rId1936" xr:uid="{00000000-0004-0000-0800-00008F070000}"/>
    <hyperlink ref="A1938" r:id="rId1937" xr:uid="{00000000-0004-0000-0800-000090070000}"/>
    <hyperlink ref="A1939" r:id="rId1938" xr:uid="{00000000-0004-0000-0800-000091070000}"/>
    <hyperlink ref="A1940" r:id="rId1939" xr:uid="{00000000-0004-0000-0800-000092070000}"/>
    <hyperlink ref="A1941" r:id="rId1940" xr:uid="{00000000-0004-0000-0800-000093070000}"/>
    <hyperlink ref="A1942" r:id="rId1941" xr:uid="{00000000-0004-0000-0800-000094070000}"/>
    <hyperlink ref="A1943" r:id="rId1942" xr:uid="{00000000-0004-0000-0800-000095070000}"/>
  </hyperlinks>
  <pageMargins left="0.7" right="0.7" top="0.75" bottom="0.75" header="0.3" footer="0.3"/>
  <tableParts count="1">
    <tablePart r:id="rId194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943"/>
  <sheetViews>
    <sheetView topLeftCell="B1" workbookViewId="0"/>
  </sheetViews>
  <sheetFormatPr baseColWidth="10" defaultColWidth="12.6640625" defaultRowHeight="15.75" customHeight="1" x14ac:dyDescent="0.15"/>
  <cols>
    <col min="1" max="1" width="25.6640625" customWidth="1"/>
    <col min="2" max="2" width="105" customWidth="1"/>
    <col min="3" max="3" width="13.6640625" customWidth="1"/>
    <col min="4" max="4" width="16.1640625" customWidth="1"/>
    <col min="6" max="6" width="16.5" customWidth="1"/>
  </cols>
  <sheetData>
    <row r="1" spans="1:7" ht="15.75" customHeight="1" x14ac:dyDescent="0.15">
      <c r="A1" s="6" t="s">
        <v>3289</v>
      </c>
      <c r="B1" s="8" t="s">
        <v>3243</v>
      </c>
      <c r="C1" s="6" t="s">
        <v>3291</v>
      </c>
      <c r="D1" s="6" t="s">
        <v>3292</v>
      </c>
      <c r="F1" s="30" t="s">
        <v>3299</v>
      </c>
    </row>
    <row r="2" spans="1:7" ht="15.75" customHeight="1" x14ac:dyDescent="0.15">
      <c r="A2" s="6" t="s">
        <v>1088</v>
      </c>
      <c r="B2" s="6" t="s">
        <v>1090</v>
      </c>
      <c r="C2" s="6" t="str">
        <f>'Ann1 - Step 3'!C2</f>
        <v>Documentation</v>
      </c>
      <c r="D2" s="6" t="str">
        <f>'Ann2 - Step 3'!C2</f>
        <v>Documentation</v>
      </c>
      <c r="E2" s="6" t="b">
        <f t="shared" ref="E2:E256" si="0">IF(C2=D2, FALSE, TRUE)</f>
        <v>0</v>
      </c>
      <c r="F2" s="6"/>
      <c r="G2" s="6" t="str">
        <f t="shared" ref="G2:G256" si="1">IF(E2=TRUE,F2,D2)</f>
        <v>Documentation</v>
      </c>
    </row>
    <row r="3" spans="1:7" ht="15.75" customHeight="1" x14ac:dyDescent="0.15">
      <c r="A3" s="6" t="s">
        <v>1088</v>
      </c>
      <c r="B3" s="6" t="s">
        <v>1091</v>
      </c>
      <c r="C3" s="6" t="str">
        <f>'Ann1 - Step 3'!C3</f>
        <v>Coding Pattern</v>
      </c>
      <c r="D3" s="6" t="str">
        <f>'Ann2 - Step 3'!C3</f>
        <v>Coding Pattern</v>
      </c>
      <c r="E3" s="6" t="b">
        <f t="shared" si="0"/>
        <v>0</v>
      </c>
      <c r="F3" s="6"/>
      <c r="G3" s="6" t="str">
        <f t="shared" si="1"/>
        <v>Coding Pattern</v>
      </c>
    </row>
    <row r="4" spans="1:7" ht="15.75" customHeight="1" x14ac:dyDescent="0.15">
      <c r="A4" s="31" t="s">
        <v>1088</v>
      </c>
      <c r="B4" s="6" t="s">
        <v>1092</v>
      </c>
      <c r="C4" s="6" t="str">
        <f>'Ann1 - Step 3'!C4</f>
        <v>Testing</v>
      </c>
      <c r="D4" s="6" t="str">
        <f>'Ann2 - Step 3'!C4</f>
        <v>Testing</v>
      </c>
      <c r="E4" s="6" t="b">
        <f t="shared" si="0"/>
        <v>0</v>
      </c>
      <c r="F4" s="6"/>
      <c r="G4" s="6" t="str">
        <f t="shared" si="1"/>
        <v>Testing</v>
      </c>
    </row>
    <row r="5" spans="1:7" ht="15.75" customHeight="1" x14ac:dyDescent="0.15">
      <c r="A5" s="6" t="s">
        <v>1094</v>
      </c>
      <c r="B5" s="6" t="s">
        <v>1095</v>
      </c>
      <c r="C5" s="6" t="str">
        <f>'Ann1 - Step 3'!C5</f>
        <v>Documentation</v>
      </c>
      <c r="D5" s="6" t="str">
        <f>'Ann2 - Step 3'!C5</f>
        <v>Documentation</v>
      </c>
      <c r="E5" s="6" t="b">
        <f t="shared" si="0"/>
        <v>0</v>
      </c>
      <c r="F5" s="6"/>
      <c r="G5" s="6" t="str">
        <f t="shared" si="1"/>
        <v>Documentation</v>
      </c>
    </row>
    <row r="6" spans="1:7" ht="15.75" customHeight="1" x14ac:dyDescent="0.15">
      <c r="A6" s="6" t="s">
        <v>1094</v>
      </c>
      <c r="B6" s="6" t="s">
        <v>1096</v>
      </c>
      <c r="C6" s="6" t="str">
        <f>'Ann1 - Step 3'!C6</f>
        <v>Documentation</v>
      </c>
      <c r="D6" s="6" t="str">
        <f>'Ann2 - Step 3'!C6</f>
        <v>Documentation</v>
      </c>
      <c r="E6" s="6" t="b">
        <f t="shared" si="0"/>
        <v>0</v>
      </c>
      <c r="F6" s="6"/>
      <c r="G6" s="6" t="str">
        <f t="shared" si="1"/>
        <v>Documentation</v>
      </c>
    </row>
    <row r="7" spans="1:7" ht="15.75" customHeight="1" x14ac:dyDescent="0.15">
      <c r="A7" s="6" t="s">
        <v>1094</v>
      </c>
      <c r="B7" s="6" t="s">
        <v>1097</v>
      </c>
      <c r="C7" s="6" t="str">
        <f>'Ann1 - Step 3'!C7</f>
        <v>Documentation</v>
      </c>
      <c r="D7" s="6" t="str">
        <f>'Ann2 - Step 3'!C7</f>
        <v>Documentation</v>
      </c>
      <c r="E7" s="6" t="b">
        <f t="shared" si="0"/>
        <v>0</v>
      </c>
      <c r="F7" s="6"/>
      <c r="G7" s="6" t="str">
        <f t="shared" si="1"/>
        <v>Documentation</v>
      </c>
    </row>
    <row r="8" spans="1:7" ht="15.75" customHeight="1" x14ac:dyDescent="0.15">
      <c r="A8" s="6" t="s">
        <v>1094</v>
      </c>
      <c r="B8" s="6" t="s">
        <v>1098</v>
      </c>
      <c r="C8" s="6" t="str">
        <f>'Ann1 - Step 3'!C8</f>
        <v>Documentation</v>
      </c>
      <c r="D8" s="6" t="str">
        <f>'Ann2 - Step 3'!C8</f>
        <v>Documentation</v>
      </c>
      <c r="E8" s="6" t="b">
        <f t="shared" si="0"/>
        <v>0</v>
      </c>
      <c r="F8" s="6"/>
      <c r="G8" s="6" t="str">
        <f t="shared" si="1"/>
        <v>Documentation</v>
      </c>
    </row>
    <row r="9" spans="1:7" ht="15.75" customHeight="1" x14ac:dyDescent="0.15">
      <c r="A9" s="6" t="s">
        <v>1101</v>
      </c>
      <c r="B9" s="6" t="s">
        <v>1102</v>
      </c>
      <c r="C9" s="6" t="str">
        <f>'Ann1 - Step 3'!C9</f>
        <v>Task Execution</v>
      </c>
      <c r="D9" s="6" t="str">
        <f>'Ann2 - Step 3'!C9</f>
        <v>Task Execution</v>
      </c>
      <c r="E9" s="6" t="b">
        <f t="shared" si="0"/>
        <v>0</v>
      </c>
      <c r="F9" s="6"/>
      <c r="G9" s="6" t="str">
        <f t="shared" si="1"/>
        <v>Task Execution</v>
      </c>
    </row>
    <row r="10" spans="1:7" ht="15.75" customHeight="1" x14ac:dyDescent="0.15">
      <c r="A10" s="6" t="s">
        <v>1103</v>
      </c>
      <c r="B10" s="6" t="s">
        <v>870</v>
      </c>
      <c r="C10" s="6" t="str">
        <f>'Ann1 - Step 3'!C10</f>
        <v>Commit&amp;PR rule</v>
      </c>
      <c r="D10" s="6" t="str">
        <f>'Ann2 - Step 3'!C10</f>
        <v>Commit&amp;PR rule</v>
      </c>
      <c r="E10" s="6" t="b">
        <f t="shared" si="0"/>
        <v>0</v>
      </c>
      <c r="F10" s="6"/>
      <c r="G10" s="6" t="str">
        <f t="shared" si="1"/>
        <v>Commit&amp;PR rule</v>
      </c>
    </row>
    <row r="11" spans="1:7" ht="15.75" customHeight="1" x14ac:dyDescent="0.15">
      <c r="A11" s="6" t="s">
        <v>1103</v>
      </c>
      <c r="B11" s="6" t="s">
        <v>871</v>
      </c>
      <c r="C11" s="6" t="str">
        <f>'Ann1 - Step 3'!C11</f>
        <v>Coding Pattern</v>
      </c>
      <c r="D11" s="6" t="str">
        <f>'Ann2 - Step 3'!C11</f>
        <v>Coding Pattern</v>
      </c>
      <c r="E11" s="6" t="b">
        <f t="shared" si="0"/>
        <v>0</v>
      </c>
      <c r="F11" s="6"/>
      <c r="G11" s="6" t="str">
        <f t="shared" si="1"/>
        <v>Coding Pattern</v>
      </c>
    </row>
    <row r="12" spans="1:7" ht="15.75" customHeight="1" x14ac:dyDescent="0.15">
      <c r="A12" s="6" t="s">
        <v>1103</v>
      </c>
      <c r="B12" s="6" t="s">
        <v>872</v>
      </c>
      <c r="C12" s="6" t="str">
        <f>'Ann1 - Step 3'!C12</f>
        <v>Coding Pattern</v>
      </c>
      <c r="D12" s="6" t="str">
        <f>'Ann2 - Step 3'!C12</f>
        <v>Coding Pattern</v>
      </c>
      <c r="E12" s="6" t="b">
        <f t="shared" si="0"/>
        <v>0</v>
      </c>
      <c r="F12" s="6"/>
      <c r="G12" s="6" t="str">
        <f t="shared" si="1"/>
        <v>Coding Pattern</v>
      </c>
    </row>
    <row r="13" spans="1:7" ht="15.75" customHeight="1" x14ac:dyDescent="0.15">
      <c r="A13" s="6" t="s">
        <v>1103</v>
      </c>
      <c r="B13" s="6" t="s">
        <v>873</v>
      </c>
      <c r="C13" s="6" t="str">
        <f>'Ann1 - Step 3'!C13</f>
        <v>Documentation</v>
      </c>
      <c r="D13" s="6" t="str">
        <f>'Ann2 - Step 3'!C13</f>
        <v>Documentation</v>
      </c>
      <c r="E13" s="6" t="b">
        <f t="shared" si="0"/>
        <v>0</v>
      </c>
      <c r="F13" s="6"/>
      <c r="G13" s="6" t="str">
        <f t="shared" si="1"/>
        <v>Documentation</v>
      </c>
    </row>
    <row r="14" spans="1:7" ht="15.75" customHeight="1" x14ac:dyDescent="0.15">
      <c r="A14" s="6" t="s">
        <v>399</v>
      </c>
      <c r="B14" s="6" t="s">
        <v>877</v>
      </c>
      <c r="C14" s="6" t="str">
        <f>'Ann1 - Step 3'!C14</f>
        <v>Coding Pattern</v>
      </c>
      <c r="D14" s="6" t="str">
        <f>'Ann2 - Step 3'!C14</f>
        <v>Coding Pattern</v>
      </c>
      <c r="E14" s="6" t="b">
        <f t="shared" si="0"/>
        <v>0</v>
      </c>
      <c r="F14" s="6"/>
      <c r="G14" s="6" t="str">
        <f t="shared" si="1"/>
        <v>Coding Pattern</v>
      </c>
    </row>
    <row r="15" spans="1:7" ht="15.75" customHeight="1" x14ac:dyDescent="0.15">
      <c r="A15" s="6" t="s">
        <v>399</v>
      </c>
      <c r="B15" s="6" t="s">
        <v>878</v>
      </c>
      <c r="C15" s="6" t="str">
        <f>'Ann1 - Step 3'!C15</f>
        <v>Coding Pattern</v>
      </c>
      <c r="D15" s="6" t="str">
        <f>'Ann2 - Step 3'!C15</f>
        <v>Coding Pattern</v>
      </c>
      <c r="E15" s="6" t="b">
        <f t="shared" si="0"/>
        <v>0</v>
      </c>
      <c r="F15" s="6"/>
      <c r="G15" s="6" t="str">
        <f t="shared" si="1"/>
        <v>Coding Pattern</v>
      </c>
    </row>
    <row r="16" spans="1:7" ht="15.75" customHeight="1" x14ac:dyDescent="0.15">
      <c r="A16" s="6" t="s">
        <v>399</v>
      </c>
      <c r="B16" s="6" t="s">
        <v>879</v>
      </c>
      <c r="C16" s="6" t="str">
        <f>'Ann1 - Step 3'!C16</f>
        <v>Coding Pattern</v>
      </c>
      <c r="D16" s="6" t="str">
        <f>'Ann2 - Step 3'!C16</f>
        <v>Coding Pattern</v>
      </c>
      <c r="E16" s="6" t="b">
        <f t="shared" si="0"/>
        <v>0</v>
      </c>
      <c r="F16" s="6"/>
      <c r="G16" s="6" t="str">
        <f t="shared" si="1"/>
        <v>Coding Pattern</v>
      </c>
    </row>
    <row r="17" spans="1:7" ht="15.75" customHeight="1" x14ac:dyDescent="0.15">
      <c r="A17" s="6" t="s">
        <v>399</v>
      </c>
      <c r="B17" s="6" t="s">
        <v>880</v>
      </c>
      <c r="C17" s="6" t="str">
        <f>'Ann1 - Step 3'!C17</f>
        <v>Coding Pattern</v>
      </c>
      <c r="D17" s="6" t="str">
        <f>'Ann2 - Step 3'!C17</f>
        <v>Coding Pattern</v>
      </c>
      <c r="E17" s="6" t="b">
        <f t="shared" si="0"/>
        <v>0</v>
      </c>
      <c r="F17" s="6"/>
      <c r="G17" s="6" t="str">
        <f t="shared" si="1"/>
        <v>Coding Pattern</v>
      </c>
    </row>
    <row r="18" spans="1:7" ht="15.75" customHeight="1" x14ac:dyDescent="0.15">
      <c r="A18" s="6" t="s">
        <v>399</v>
      </c>
      <c r="B18" s="6" t="s">
        <v>881</v>
      </c>
      <c r="C18" s="6" t="str">
        <f>'Ann1 - Step 3'!C18</f>
        <v>Coding Pattern</v>
      </c>
      <c r="D18" s="6" t="str">
        <f>'Ann2 - Step 3'!C18</f>
        <v>Coding Pattern</v>
      </c>
      <c r="E18" s="6" t="b">
        <f t="shared" si="0"/>
        <v>0</v>
      </c>
      <c r="F18" s="6"/>
      <c r="G18" s="6" t="str">
        <f t="shared" si="1"/>
        <v>Coding Pattern</v>
      </c>
    </row>
    <row r="19" spans="1:7" ht="15.75" customHeight="1" x14ac:dyDescent="0.15">
      <c r="A19" s="6" t="s">
        <v>399</v>
      </c>
      <c r="B19" s="6" t="s">
        <v>882</v>
      </c>
      <c r="C19" s="6" t="str">
        <f>'Ann1 - Step 3'!C19</f>
        <v>Coding Pattern</v>
      </c>
      <c r="D19" s="6" t="str">
        <f>'Ann2 - Step 3'!C19</f>
        <v>Coding Pattern</v>
      </c>
      <c r="E19" s="6" t="b">
        <f t="shared" si="0"/>
        <v>0</v>
      </c>
      <c r="F19" s="6"/>
      <c r="G19" s="6" t="str">
        <f t="shared" si="1"/>
        <v>Coding Pattern</v>
      </c>
    </row>
    <row r="20" spans="1:7" ht="15.75" customHeight="1" x14ac:dyDescent="0.15">
      <c r="A20" s="6" t="s">
        <v>399</v>
      </c>
      <c r="B20" s="6" t="s">
        <v>883</v>
      </c>
      <c r="C20" s="6" t="str">
        <f>'Ann1 - Step 3'!C20</f>
        <v>Coding Pattern</v>
      </c>
      <c r="D20" s="6" t="str">
        <f>'Ann2 - Step 3'!C20</f>
        <v>Coding Pattern</v>
      </c>
      <c r="E20" s="6" t="b">
        <f t="shared" si="0"/>
        <v>0</v>
      </c>
      <c r="F20" s="6"/>
      <c r="G20" s="6" t="str">
        <f t="shared" si="1"/>
        <v>Coding Pattern</v>
      </c>
    </row>
    <row r="21" spans="1:7" ht="15.75" customHeight="1" x14ac:dyDescent="0.15">
      <c r="A21" s="6" t="s">
        <v>399</v>
      </c>
      <c r="B21" s="6" t="s">
        <v>884</v>
      </c>
      <c r="C21" s="6" t="str">
        <f>'Ann1 - Step 3'!C21</f>
        <v>Testing</v>
      </c>
      <c r="D21" s="6" t="str">
        <f>'Ann2 - Step 3'!C21</f>
        <v>Testing</v>
      </c>
      <c r="E21" s="6" t="b">
        <f t="shared" si="0"/>
        <v>0</v>
      </c>
      <c r="F21" s="6"/>
      <c r="G21" s="6" t="str">
        <f t="shared" si="1"/>
        <v>Testing</v>
      </c>
    </row>
    <row r="22" spans="1:7" ht="15.75" customHeight="1" x14ac:dyDescent="0.15">
      <c r="A22" s="6" t="s">
        <v>401</v>
      </c>
      <c r="B22" s="6" t="s">
        <v>1104</v>
      </c>
      <c r="C22" s="6" t="str">
        <f>'Ann1 - Step 3'!C22</f>
        <v>Build &amp; Operation</v>
      </c>
      <c r="D22" s="6" t="str">
        <f>'Ann2 - Step 3'!C22</f>
        <v>Build &amp; Operation</v>
      </c>
      <c r="E22" s="6" t="b">
        <f t="shared" si="0"/>
        <v>0</v>
      </c>
      <c r="F22" s="6"/>
      <c r="G22" s="6" t="str">
        <f t="shared" si="1"/>
        <v>Build &amp; Operation</v>
      </c>
    </row>
    <row r="23" spans="1:7" ht="15.75" customHeight="1" x14ac:dyDescent="0.15">
      <c r="A23" s="6" t="s">
        <v>401</v>
      </c>
      <c r="B23" s="6" t="s">
        <v>1105</v>
      </c>
      <c r="C23" s="6" t="str">
        <f>'Ann1 - Step 3'!C23</f>
        <v>Coding Pattern</v>
      </c>
      <c r="D23" s="6" t="str">
        <f>'Ann2 - Step 3'!C23</f>
        <v>Coding Pattern</v>
      </c>
      <c r="E23" s="6" t="b">
        <f t="shared" si="0"/>
        <v>0</v>
      </c>
      <c r="F23" s="6"/>
      <c r="G23" s="6" t="str">
        <f t="shared" si="1"/>
        <v>Coding Pattern</v>
      </c>
    </row>
    <row r="24" spans="1:7" ht="15.75" customHeight="1" x14ac:dyDescent="0.15">
      <c r="A24" s="6" t="s">
        <v>401</v>
      </c>
      <c r="B24" s="6" t="s">
        <v>1106</v>
      </c>
      <c r="C24" s="6" t="str">
        <f>'Ann1 - Step 3'!C24</f>
        <v>Coding Pattern</v>
      </c>
      <c r="D24" s="6" t="str">
        <f>'Ann2 - Step 3'!C24</f>
        <v>Coding Pattern</v>
      </c>
      <c r="E24" s="6" t="b">
        <f t="shared" si="0"/>
        <v>0</v>
      </c>
      <c r="F24" s="6"/>
      <c r="G24" s="6" t="str">
        <f t="shared" si="1"/>
        <v>Coding Pattern</v>
      </c>
    </row>
    <row r="25" spans="1:7" ht="15.75" customHeight="1" x14ac:dyDescent="0.15">
      <c r="A25" s="6" t="s">
        <v>401</v>
      </c>
      <c r="B25" s="6" t="s">
        <v>1107</v>
      </c>
      <c r="C25" s="6" t="str">
        <f>'Ann1 - Step 3'!C25</f>
        <v>Coding Pattern</v>
      </c>
      <c r="D25" s="6" t="str">
        <f>'Ann2 - Step 3'!C25</f>
        <v>Coding Pattern</v>
      </c>
      <c r="E25" s="6" t="b">
        <f t="shared" si="0"/>
        <v>0</v>
      </c>
      <c r="F25" s="6"/>
      <c r="G25" s="6" t="str">
        <f t="shared" si="1"/>
        <v>Coding Pattern</v>
      </c>
    </row>
    <row r="26" spans="1:7" ht="15.75" customHeight="1" x14ac:dyDescent="0.15">
      <c r="A26" s="6" t="s">
        <v>94</v>
      </c>
      <c r="B26" s="6" t="s">
        <v>1108</v>
      </c>
      <c r="C26" s="6" t="str">
        <f>'Ann1 - Step 3'!C26</f>
        <v>Task Execution</v>
      </c>
      <c r="D26" s="6" t="str">
        <f>'Ann2 - Step 3'!C26</f>
        <v>Task Execution</v>
      </c>
      <c r="E26" s="6" t="b">
        <f t="shared" si="0"/>
        <v>0</v>
      </c>
      <c r="F26" s="6"/>
      <c r="G26" s="6" t="str">
        <f t="shared" si="1"/>
        <v>Task Execution</v>
      </c>
    </row>
    <row r="27" spans="1:7" ht="15.75" customHeight="1" x14ac:dyDescent="0.15">
      <c r="A27" s="31" t="s">
        <v>94</v>
      </c>
      <c r="B27" s="6" t="s">
        <v>1109</v>
      </c>
      <c r="C27" s="6" t="str">
        <f>'Ann1 - Step 3'!C27</f>
        <v>Task Execution</v>
      </c>
      <c r="D27" s="6" t="str">
        <f>'Ann2 - Step 3'!C27</f>
        <v>Task Execution</v>
      </c>
      <c r="E27" s="6" t="b">
        <f t="shared" si="0"/>
        <v>0</v>
      </c>
      <c r="F27" s="6"/>
      <c r="G27" s="6" t="str">
        <f t="shared" si="1"/>
        <v>Task Execution</v>
      </c>
    </row>
    <row r="28" spans="1:7" ht="15.75" customHeight="1" x14ac:dyDescent="0.15">
      <c r="A28" s="6" t="s">
        <v>94</v>
      </c>
      <c r="B28" s="6" t="s">
        <v>1110</v>
      </c>
      <c r="C28" s="6" t="str">
        <f>'Ann1 - Step 3'!C28</f>
        <v>Coding Pattern</v>
      </c>
      <c r="D28" s="6" t="str">
        <f>'Ann2 - Step 3'!C28</f>
        <v>Coding Pattern</v>
      </c>
      <c r="E28" s="6" t="b">
        <f t="shared" si="0"/>
        <v>0</v>
      </c>
      <c r="F28" s="6"/>
      <c r="G28" s="6" t="str">
        <f t="shared" si="1"/>
        <v>Coding Pattern</v>
      </c>
    </row>
    <row r="29" spans="1:7" ht="15.75" customHeight="1" x14ac:dyDescent="0.15">
      <c r="A29" s="6" t="s">
        <v>94</v>
      </c>
      <c r="B29" s="6" t="s">
        <v>1111</v>
      </c>
      <c r="C29" s="6" t="str">
        <f>'Ann1 - Step 3'!C29</f>
        <v>Coding Pattern</v>
      </c>
      <c r="D29" s="6" t="str">
        <f>'Ann2 - Step 3'!C29</f>
        <v>Coding Pattern</v>
      </c>
      <c r="E29" s="6" t="b">
        <f t="shared" si="0"/>
        <v>0</v>
      </c>
      <c r="F29" s="6"/>
      <c r="G29" s="6" t="str">
        <f t="shared" si="1"/>
        <v>Coding Pattern</v>
      </c>
    </row>
    <row r="30" spans="1:7" ht="15.75" customHeight="1" x14ac:dyDescent="0.15">
      <c r="A30" s="6" t="s">
        <v>94</v>
      </c>
      <c r="B30" s="6" t="s">
        <v>1112</v>
      </c>
      <c r="C30" s="6" t="str">
        <f>'Ann1 - Step 3'!C30</f>
        <v>Coding Pattern</v>
      </c>
      <c r="D30" s="6" t="str">
        <f>'Ann2 - Step 3'!C30</f>
        <v>Coding Pattern</v>
      </c>
      <c r="E30" s="6" t="b">
        <f t="shared" si="0"/>
        <v>0</v>
      </c>
      <c r="F30" s="6"/>
      <c r="G30" s="6" t="str">
        <f t="shared" si="1"/>
        <v>Coding Pattern</v>
      </c>
    </row>
    <row r="31" spans="1:7" ht="15.75" customHeight="1" x14ac:dyDescent="0.15">
      <c r="A31" s="6" t="s">
        <v>94</v>
      </c>
      <c r="B31" s="6" t="s">
        <v>1113</v>
      </c>
      <c r="C31" s="6" t="str">
        <f>'Ann1 - Step 3'!C31</f>
        <v>Coding Pattern</v>
      </c>
      <c r="D31" s="6" t="str">
        <f>'Ann2 - Step 3'!C31</f>
        <v>Coding Pattern</v>
      </c>
      <c r="E31" s="6" t="b">
        <f t="shared" si="0"/>
        <v>0</v>
      </c>
      <c r="F31" s="6"/>
      <c r="G31" s="6" t="str">
        <f t="shared" si="1"/>
        <v>Coding Pattern</v>
      </c>
    </row>
    <row r="32" spans="1:7" ht="15.75" customHeight="1" x14ac:dyDescent="0.15">
      <c r="A32" s="6" t="s">
        <v>94</v>
      </c>
      <c r="B32" s="6" t="s">
        <v>1114</v>
      </c>
      <c r="C32" s="6" t="str">
        <f>'Ann1 - Step 3'!C32</f>
        <v>Coding Pattern</v>
      </c>
      <c r="D32" s="6" t="str">
        <f>'Ann2 - Step 3'!C32</f>
        <v>Coding Pattern</v>
      </c>
      <c r="E32" s="6" t="b">
        <f t="shared" si="0"/>
        <v>0</v>
      </c>
      <c r="F32" s="6"/>
      <c r="G32" s="6" t="str">
        <f t="shared" si="1"/>
        <v>Coding Pattern</v>
      </c>
    </row>
    <row r="33" spans="1:7" ht="15.75" customHeight="1" x14ac:dyDescent="0.15">
      <c r="A33" s="6" t="s">
        <v>94</v>
      </c>
      <c r="B33" s="6" t="s">
        <v>1115</v>
      </c>
      <c r="C33" s="6" t="str">
        <f>'Ann1 - Step 3'!C33</f>
        <v>Coding Pattern</v>
      </c>
      <c r="D33" s="6" t="str">
        <f>'Ann2 - Step 3'!C33</f>
        <v>Coding Pattern</v>
      </c>
      <c r="E33" s="6" t="b">
        <f t="shared" si="0"/>
        <v>0</v>
      </c>
      <c r="F33" s="6"/>
      <c r="G33" s="6" t="str">
        <f t="shared" si="1"/>
        <v>Coding Pattern</v>
      </c>
    </row>
    <row r="34" spans="1:7" ht="15.75" customHeight="1" x14ac:dyDescent="0.15">
      <c r="A34" s="6" t="s">
        <v>94</v>
      </c>
      <c r="B34" s="6" t="s">
        <v>1116</v>
      </c>
      <c r="C34" s="6" t="str">
        <f>'Ann1 - Step 3'!C34</f>
        <v>Coding Style</v>
      </c>
      <c r="D34" s="6" t="str">
        <f>'Ann2 - Step 3'!C34</f>
        <v>Coding Style</v>
      </c>
      <c r="E34" s="6" t="b">
        <f t="shared" si="0"/>
        <v>0</v>
      </c>
      <c r="F34" s="6"/>
      <c r="G34" s="6" t="str">
        <f t="shared" si="1"/>
        <v>Coding Style</v>
      </c>
    </row>
    <row r="35" spans="1:7" ht="15.75" customHeight="1" x14ac:dyDescent="0.15">
      <c r="A35" s="6" t="s">
        <v>94</v>
      </c>
      <c r="B35" s="6" t="s">
        <v>1117</v>
      </c>
      <c r="C35" s="6" t="str">
        <f>'Ann1 - Step 3'!C35</f>
        <v>Build &amp; Operation</v>
      </c>
      <c r="D35" s="6" t="str">
        <f>'Ann2 - Step 3'!C35</f>
        <v>Build &amp; Operation</v>
      </c>
      <c r="E35" s="6" t="b">
        <f t="shared" si="0"/>
        <v>0</v>
      </c>
      <c r="F35" s="6"/>
      <c r="G35" s="6" t="str">
        <f t="shared" si="1"/>
        <v>Build &amp; Operation</v>
      </c>
    </row>
    <row r="36" spans="1:7" ht="15.75" customHeight="1" x14ac:dyDescent="0.15">
      <c r="A36" s="6" t="s">
        <v>1120</v>
      </c>
      <c r="B36" s="6" t="s">
        <v>1121</v>
      </c>
      <c r="C36" s="6" t="str">
        <f>'Ann1 - Step 3'!C36</f>
        <v>Task Execution</v>
      </c>
      <c r="D36" s="6" t="str">
        <f>'Ann2 - Step 3'!C36</f>
        <v>Task Execution</v>
      </c>
      <c r="E36" s="6" t="b">
        <f t="shared" si="0"/>
        <v>0</v>
      </c>
      <c r="F36" s="6"/>
      <c r="G36" s="6" t="str">
        <f t="shared" si="1"/>
        <v>Task Execution</v>
      </c>
    </row>
    <row r="37" spans="1:7" ht="15.75" customHeight="1" x14ac:dyDescent="0.15">
      <c r="A37" s="6" t="s">
        <v>1120</v>
      </c>
      <c r="B37" s="6" t="s">
        <v>1122</v>
      </c>
      <c r="C37" s="6" t="str">
        <f>'Ann1 - Step 3'!C37</f>
        <v>Coding Style</v>
      </c>
      <c r="D37" s="6" t="str">
        <f>'Ann2 - Step 3'!C37</f>
        <v>Coding Style</v>
      </c>
      <c r="E37" s="6" t="b">
        <f t="shared" si="0"/>
        <v>0</v>
      </c>
      <c r="F37" s="6"/>
      <c r="G37" s="6" t="str">
        <f t="shared" si="1"/>
        <v>Coding Style</v>
      </c>
    </row>
    <row r="38" spans="1:7" ht="15.75" customHeight="1" x14ac:dyDescent="0.15">
      <c r="A38" s="6" t="s">
        <v>1120</v>
      </c>
      <c r="B38" s="6" t="s">
        <v>1123</v>
      </c>
      <c r="C38" s="6" t="str">
        <f>'Ann1 - Step 3'!C38</f>
        <v>Documentation</v>
      </c>
      <c r="D38" s="6" t="str">
        <f>'Ann2 - Step 3'!C38</f>
        <v>Documentation</v>
      </c>
      <c r="E38" s="6" t="b">
        <f t="shared" si="0"/>
        <v>0</v>
      </c>
      <c r="F38" s="6"/>
      <c r="G38" s="6" t="str">
        <f t="shared" si="1"/>
        <v>Documentation</v>
      </c>
    </row>
    <row r="39" spans="1:7" ht="15.75" customHeight="1" x14ac:dyDescent="0.15">
      <c r="A39" s="31" t="s">
        <v>1120</v>
      </c>
      <c r="B39" s="6" t="s">
        <v>1124</v>
      </c>
      <c r="C39" s="6" t="str">
        <f>'Ann1 - Step 3'!C39</f>
        <v>Documentation</v>
      </c>
      <c r="D39" s="6" t="str">
        <f>'Ann2 - Step 3'!C39</f>
        <v>Task Execution</v>
      </c>
      <c r="E39" s="6" t="b">
        <f t="shared" si="0"/>
        <v>1</v>
      </c>
      <c r="F39" s="30" t="s">
        <v>23</v>
      </c>
      <c r="G39" s="6" t="str">
        <f t="shared" si="1"/>
        <v>Documentation</v>
      </c>
    </row>
    <row r="40" spans="1:7" ht="15.75" customHeight="1" x14ac:dyDescent="0.15">
      <c r="A40" s="6" t="s">
        <v>1127</v>
      </c>
      <c r="B40" s="6" t="s">
        <v>1128</v>
      </c>
      <c r="C40" s="6" t="str">
        <f>'Ann1 - Step 3'!C40</f>
        <v>Coding Pattern</v>
      </c>
      <c r="D40" s="6" t="str">
        <f>'Ann2 - Step 3'!C40</f>
        <v>Coding Pattern</v>
      </c>
      <c r="E40" s="6" t="b">
        <f t="shared" si="0"/>
        <v>0</v>
      </c>
      <c r="F40" s="6"/>
      <c r="G40" s="6" t="str">
        <f t="shared" si="1"/>
        <v>Coding Pattern</v>
      </c>
    </row>
    <row r="41" spans="1:7" ht="15.75" customHeight="1" x14ac:dyDescent="0.15">
      <c r="A41" s="6" t="s">
        <v>714</v>
      </c>
      <c r="B41" s="6" t="s">
        <v>1129</v>
      </c>
      <c r="C41" s="6" t="str">
        <f>'Ann1 - Step 3'!C41</f>
        <v>Commit&amp;PR rule</v>
      </c>
      <c r="D41" s="6" t="str">
        <f>'Ann2 - Step 3'!C41</f>
        <v>Commit&amp;PR rule</v>
      </c>
      <c r="E41" s="6" t="b">
        <f t="shared" si="0"/>
        <v>0</v>
      </c>
      <c r="F41" s="6"/>
      <c r="G41" s="6" t="str">
        <f t="shared" si="1"/>
        <v>Commit&amp;PR rule</v>
      </c>
    </row>
    <row r="42" spans="1:7" ht="15.75" customHeight="1" x14ac:dyDescent="0.15">
      <c r="A42" s="6" t="s">
        <v>714</v>
      </c>
      <c r="B42" s="6" t="s">
        <v>1130</v>
      </c>
      <c r="C42" s="6" t="str">
        <f>'Ann1 - Step 3'!C42</f>
        <v>Build &amp; Operation</v>
      </c>
      <c r="D42" s="6" t="str">
        <f>'Ann2 - Step 3'!C42</f>
        <v>Build &amp; Operation</v>
      </c>
      <c r="E42" s="6" t="b">
        <f t="shared" si="0"/>
        <v>0</v>
      </c>
      <c r="F42" s="6"/>
      <c r="G42" s="6" t="str">
        <f t="shared" si="1"/>
        <v>Build &amp; Operation</v>
      </c>
    </row>
    <row r="43" spans="1:7" ht="15.75" customHeight="1" x14ac:dyDescent="0.15">
      <c r="A43" s="31" t="s">
        <v>714</v>
      </c>
      <c r="B43" s="6" t="s">
        <v>1131</v>
      </c>
      <c r="C43" s="6" t="str">
        <f>'Ann1 - Step 3'!C43</f>
        <v>Task Execution</v>
      </c>
      <c r="D43" s="6" t="str">
        <f>'Ann2 - Step 3'!C43</f>
        <v>Build &amp; Operation</v>
      </c>
      <c r="E43" s="6" t="b">
        <f t="shared" si="0"/>
        <v>1</v>
      </c>
      <c r="F43" s="30" t="s">
        <v>18</v>
      </c>
      <c r="G43" s="6" t="str">
        <f t="shared" si="1"/>
        <v>Task Execution</v>
      </c>
    </row>
    <row r="44" spans="1:7" ht="15.75" customHeight="1" x14ac:dyDescent="0.15">
      <c r="A44" s="6" t="s">
        <v>714</v>
      </c>
      <c r="B44" s="6" t="s">
        <v>1132</v>
      </c>
      <c r="C44" s="6" t="str">
        <f>'Ann1 - Step 3'!C44</f>
        <v>Coding Style</v>
      </c>
      <c r="D44" s="6" t="str">
        <f>'Ann2 - Step 3'!C44</f>
        <v>Coding Style</v>
      </c>
      <c r="E44" s="6" t="b">
        <f t="shared" si="0"/>
        <v>0</v>
      </c>
      <c r="F44" s="6"/>
      <c r="G44" s="6" t="str">
        <f t="shared" si="1"/>
        <v>Coding Style</v>
      </c>
    </row>
    <row r="45" spans="1:7" ht="15.75" customHeight="1" x14ac:dyDescent="0.15">
      <c r="A45" s="6" t="s">
        <v>1135</v>
      </c>
      <c r="B45" s="6" t="s">
        <v>1136</v>
      </c>
      <c r="C45" s="6" t="str">
        <f>'Ann1 - Step 3'!C45</f>
        <v>Task Execution</v>
      </c>
      <c r="D45" s="6" t="str">
        <f>'Ann2 - Step 3'!C45</f>
        <v>Task Execution</v>
      </c>
      <c r="E45" s="6" t="b">
        <f t="shared" si="0"/>
        <v>0</v>
      </c>
      <c r="F45" s="6"/>
      <c r="G45" s="6" t="str">
        <f t="shared" si="1"/>
        <v>Task Execution</v>
      </c>
    </row>
    <row r="46" spans="1:7" ht="15.75" customHeight="1" x14ac:dyDescent="0.15">
      <c r="A46" s="6" t="s">
        <v>1135</v>
      </c>
      <c r="B46" s="6" t="s">
        <v>1136</v>
      </c>
      <c r="C46" s="6" t="str">
        <f>'Ann1 - Step 3'!C46</f>
        <v>Task Execution</v>
      </c>
      <c r="D46" s="6" t="str">
        <f>'Ann2 - Step 3'!C46</f>
        <v>Task Execution</v>
      </c>
      <c r="E46" s="6" t="b">
        <f t="shared" si="0"/>
        <v>0</v>
      </c>
      <c r="F46" s="6"/>
      <c r="G46" s="6" t="str">
        <f t="shared" si="1"/>
        <v>Task Execution</v>
      </c>
    </row>
    <row r="47" spans="1:7" ht="15.75" customHeight="1" x14ac:dyDescent="0.15">
      <c r="A47" s="6" t="s">
        <v>1135</v>
      </c>
      <c r="B47" s="6" t="s">
        <v>1136</v>
      </c>
      <c r="C47" s="6" t="str">
        <f>'Ann1 - Step 3'!C47</f>
        <v>Task Execution</v>
      </c>
      <c r="D47" s="6" t="str">
        <f>'Ann2 - Step 3'!C47</f>
        <v>Task Execution</v>
      </c>
      <c r="E47" s="6" t="b">
        <f t="shared" si="0"/>
        <v>0</v>
      </c>
      <c r="F47" s="6"/>
      <c r="G47" s="6" t="str">
        <f t="shared" si="1"/>
        <v>Task Execution</v>
      </c>
    </row>
    <row r="48" spans="1:7" ht="15.75" customHeight="1" x14ac:dyDescent="0.15">
      <c r="A48" s="6" t="s">
        <v>1135</v>
      </c>
      <c r="B48" s="6" t="s">
        <v>1136</v>
      </c>
      <c r="C48" s="6" t="str">
        <f>'Ann1 - Step 3'!C48</f>
        <v>Task Execution</v>
      </c>
      <c r="D48" s="6" t="str">
        <f>'Ann2 - Step 3'!C48</f>
        <v>Task Execution</v>
      </c>
      <c r="E48" s="6" t="b">
        <f t="shared" si="0"/>
        <v>0</v>
      </c>
      <c r="F48" s="6"/>
      <c r="G48" s="6" t="str">
        <f t="shared" si="1"/>
        <v>Task Execution</v>
      </c>
    </row>
    <row r="49" spans="1:7" ht="15.75" customHeight="1" x14ac:dyDescent="0.15">
      <c r="A49" s="6" t="s">
        <v>1135</v>
      </c>
      <c r="B49" s="6" t="s">
        <v>1137</v>
      </c>
      <c r="C49" s="6" t="str">
        <f>'Ann1 - Step 3'!C49</f>
        <v>Coding Pattern</v>
      </c>
      <c r="D49" s="6" t="str">
        <f>'Ann2 - Step 3'!C49</f>
        <v>Coding Pattern</v>
      </c>
      <c r="E49" s="6" t="b">
        <f t="shared" si="0"/>
        <v>0</v>
      </c>
      <c r="F49" s="6"/>
      <c r="G49" s="6" t="str">
        <f t="shared" si="1"/>
        <v>Coding Pattern</v>
      </c>
    </row>
    <row r="50" spans="1:7" ht="15.75" customHeight="1" x14ac:dyDescent="0.15">
      <c r="A50" s="6" t="s">
        <v>1139</v>
      </c>
      <c r="B50" s="6" t="s">
        <v>1136</v>
      </c>
      <c r="C50" s="6" t="str">
        <f>'Ann1 - Step 3'!C50</f>
        <v>Task Execution</v>
      </c>
      <c r="D50" s="6" t="str">
        <f>'Ann2 - Step 3'!C50</f>
        <v>Task Execution</v>
      </c>
      <c r="E50" s="6" t="b">
        <f t="shared" si="0"/>
        <v>0</v>
      </c>
      <c r="F50" s="6"/>
      <c r="G50" s="6" t="str">
        <f t="shared" si="1"/>
        <v>Task Execution</v>
      </c>
    </row>
    <row r="51" spans="1:7" ht="15.75" customHeight="1" x14ac:dyDescent="0.15">
      <c r="A51" s="6" t="s">
        <v>1139</v>
      </c>
      <c r="B51" s="6" t="s">
        <v>1136</v>
      </c>
      <c r="C51" s="6" t="str">
        <f>'Ann1 - Step 3'!C51</f>
        <v>Task Execution</v>
      </c>
      <c r="D51" s="6" t="str">
        <f>'Ann2 - Step 3'!C51</f>
        <v>Task Execution</v>
      </c>
      <c r="E51" s="6" t="b">
        <f t="shared" si="0"/>
        <v>0</v>
      </c>
      <c r="F51" s="6"/>
      <c r="G51" s="6" t="str">
        <f t="shared" si="1"/>
        <v>Task Execution</v>
      </c>
    </row>
    <row r="52" spans="1:7" ht="13" x14ac:dyDescent="0.15">
      <c r="A52" s="6" t="s">
        <v>1139</v>
      </c>
      <c r="B52" s="6" t="s">
        <v>1136</v>
      </c>
      <c r="C52" s="6" t="str">
        <f>'Ann1 - Step 3'!C52</f>
        <v>Task Execution</v>
      </c>
      <c r="D52" s="6" t="str">
        <f>'Ann2 - Step 3'!C52</f>
        <v>Task Execution</v>
      </c>
      <c r="E52" s="6" t="b">
        <f t="shared" si="0"/>
        <v>0</v>
      </c>
      <c r="F52" s="6"/>
      <c r="G52" s="6" t="str">
        <f t="shared" si="1"/>
        <v>Task Execution</v>
      </c>
    </row>
    <row r="53" spans="1:7" ht="13" x14ac:dyDescent="0.15">
      <c r="A53" s="6" t="s">
        <v>406</v>
      </c>
      <c r="B53" s="6" t="s">
        <v>1140</v>
      </c>
      <c r="C53" s="6" t="str">
        <f>'Ann1 - Step 3'!C53</f>
        <v>Maintainability</v>
      </c>
      <c r="D53" s="6" t="str">
        <f>'Ann2 - Step 3'!C53</f>
        <v>Maintainability</v>
      </c>
      <c r="E53" s="6" t="b">
        <f t="shared" si="0"/>
        <v>0</v>
      </c>
      <c r="F53" s="6"/>
      <c r="G53" s="6" t="str">
        <f t="shared" si="1"/>
        <v>Maintainability</v>
      </c>
    </row>
    <row r="54" spans="1:7" ht="13" x14ac:dyDescent="0.15">
      <c r="A54" s="6" t="s">
        <v>406</v>
      </c>
      <c r="B54" s="6" t="s">
        <v>1141</v>
      </c>
      <c r="C54" s="6" t="str">
        <f>'Ann1 - Step 3'!C54</f>
        <v>Coding Pattern</v>
      </c>
      <c r="D54" s="6" t="str">
        <f>'Ann2 - Step 3'!C54</f>
        <v>Coding Pattern</v>
      </c>
      <c r="E54" s="6" t="b">
        <f t="shared" si="0"/>
        <v>0</v>
      </c>
      <c r="F54" s="6"/>
      <c r="G54" s="6" t="str">
        <f t="shared" si="1"/>
        <v>Coding Pattern</v>
      </c>
    </row>
    <row r="55" spans="1:7" ht="13" x14ac:dyDescent="0.15">
      <c r="A55" s="6" t="s">
        <v>410</v>
      </c>
      <c r="B55" s="6" t="s">
        <v>1142</v>
      </c>
      <c r="C55" s="6" t="str">
        <f>'Ann1 - Step 3'!C55</f>
        <v>Coding Pattern</v>
      </c>
      <c r="D55" s="6" t="str">
        <f>'Ann2 - Step 3'!C55</f>
        <v>Coding Pattern</v>
      </c>
      <c r="E55" s="6" t="b">
        <f t="shared" si="0"/>
        <v>0</v>
      </c>
      <c r="F55" s="6"/>
      <c r="G55" s="6" t="str">
        <f t="shared" si="1"/>
        <v>Coding Pattern</v>
      </c>
    </row>
    <row r="56" spans="1:7" ht="13" x14ac:dyDescent="0.15">
      <c r="A56" s="6" t="s">
        <v>410</v>
      </c>
      <c r="B56" s="6" t="s">
        <v>1143</v>
      </c>
      <c r="C56" s="6" t="str">
        <f>'Ann1 - Step 3'!C56</f>
        <v>Coding Pattern</v>
      </c>
      <c r="D56" s="6" t="str">
        <f>'Ann2 - Step 3'!C56</f>
        <v>Coding Pattern</v>
      </c>
      <c r="E56" s="6" t="b">
        <f t="shared" si="0"/>
        <v>0</v>
      </c>
      <c r="F56" s="6"/>
      <c r="G56" s="6" t="str">
        <f t="shared" si="1"/>
        <v>Coding Pattern</v>
      </c>
    </row>
    <row r="57" spans="1:7" ht="13" x14ac:dyDescent="0.15">
      <c r="A57" s="6" t="s">
        <v>417</v>
      </c>
      <c r="B57" s="6" t="s">
        <v>1144</v>
      </c>
      <c r="C57" s="6" t="str">
        <f>'Ann1 - Step 3'!C57</f>
        <v>Task Execution</v>
      </c>
      <c r="D57" s="6" t="str">
        <f>'Ann2 - Step 3'!C57</f>
        <v>Task Execution</v>
      </c>
      <c r="E57" s="6" t="b">
        <f t="shared" si="0"/>
        <v>0</v>
      </c>
      <c r="F57" s="6"/>
      <c r="G57" s="6" t="str">
        <f t="shared" si="1"/>
        <v>Task Execution</v>
      </c>
    </row>
    <row r="58" spans="1:7" ht="13" x14ac:dyDescent="0.15">
      <c r="A58" s="6" t="s">
        <v>417</v>
      </c>
      <c r="B58" s="6" t="s">
        <v>1145</v>
      </c>
      <c r="C58" s="6" t="str">
        <f>'Ann1 - Step 3'!C58</f>
        <v>Commit&amp;PR rule</v>
      </c>
      <c r="D58" s="6" t="str">
        <f>'Ann2 - Step 3'!C58</f>
        <v>Commit&amp;PR rule</v>
      </c>
      <c r="E58" s="6" t="b">
        <f t="shared" si="0"/>
        <v>0</v>
      </c>
      <c r="F58" s="6"/>
      <c r="G58" s="6" t="str">
        <f t="shared" si="1"/>
        <v>Commit&amp;PR rule</v>
      </c>
    </row>
    <row r="59" spans="1:7" ht="13" x14ac:dyDescent="0.15">
      <c r="A59" s="6" t="s">
        <v>417</v>
      </c>
      <c r="B59" s="6" t="s">
        <v>1146</v>
      </c>
      <c r="C59" s="6" t="str">
        <f>'Ann1 - Step 3'!C59</f>
        <v>Commit&amp;PR rule</v>
      </c>
      <c r="D59" s="6" t="str">
        <f>'Ann2 - Step 3'!C59</f>
        <v>Writing Style Preference</v>
      </c>
      <c r="E59" s="6" t="b">
        <f t="shared" si="0"/>
        <v>1</v>
      </c>
      <c r="F59" s="30" t="s">
        <v>12</v>
      </c>
      <c r="G59" s="6" t="str">
        <f t="shared" si="1"/>
        <v>Commit&amp;PR rule</v>
      </c>
    </row>
    <row r="60" spans="1:7" ht="13" x14ac:dyDescent="0.15">
      <c r="A60" s="6" t="s">
        <v>425</v>
      </c>
      <c r="B60" s="6" t="s">
        <v>1147</v>
      </c>
      <c r="C60" s="6" t="str">
        <f>'Ann1 - Step 3'!C60</f>
        <v>Testing</v>
      </c>
      <c r="D60" s="6" t="str">
        <f>'Ann2 - Step 3'!C60</f>
        <v>Testing</v>
      </c>
      <c r="E60" s="6" t="b">
        <f t="shared" si="0"/>
        <v>0</v>
      </c>
      <c r="F60" s="6"/>
      <c r="G60" s="6" t="str">
        <f t="shared" si="1"/>
        <v>Testing</v>
      </c>
    </row>
    <row r="61" spans="1:7" ht="13" x14ac:dyDescent="0.15">
      <c r="A61" s="6" t="s">
        <v>1150</v>
      </c>
      <c r="B61" s="6" t="s">
        <v>1151</v>
      </c>
      <c r="C61" s="6" t="str">
        <f>'Ann1 - Step 3'!C61</f>
        <v>Documentation</v>
      </c>
      <c r="D61" s="6" t="str">
        <f>'Ann2 - Step 3'!C61</f>
        <v>Documentation</v>
      </c>
      <c r="E61" s="6" t="b">
        <f t="shared" si="0"/>
        <v>0</v>
      </c>
      <c r="F61" s="6"/>
      <c r="G61" s="6" t="str">
        <f t="shared" si="1"/>
        <v>Documentation</v>
      </c>
    </row>
    <row r="62" spans="1:7" ht="13" x14ac:dyDescent="0.15">
      <c r="A62" s="6" t="s">
        <v>429</v>
      </c>
      <c r="B62" s="6" t="s">
        <v>1152</v>
      </c>
      <c r="C62" s="6" t="str">
        <f>'Ann1 - Step 3'!C62</f>
        <v>Build &amp; Operation</v>
      </c>
      <c r="D62" s="6" t="str">
        <f>'Ann2 - Step 3'!C62</f>
        <v>Build &amp; Operation</v>
      </c>
      <c r="E62" s="6" t="b">
        <f t="shared" si="0"/>
        <v>0</v>
      </c>
      <c r="F62" s="6"/>
      <c r="G62" s="6" t="str">
        <f t="shared" si="1"/>
        <v>Build &amp; Operation</v>
      </c>
    </row>
    <row r="63" spans="1:7" ht="13" x14ac:dyDescent="0.15">
      <c r="A63" s="6" t="s">
        <v>429</v>
      </c>
      <c r="B63" s="6" t="s">
        <v>1153</v>
      </c>
      <c r="C63" s="6" t="str">
        <f>'Ann1 - Step 3'!C63</f>
        <v>Coding Pattern</v>
      </c>
      <c r="D63" s="6" t="str">
        <f>'Ann2 - Step 3'!C63</f>
        <v>Coding Pattern</v>
      </c>
      <c r="E63" s="6" t="b">
        <f t="shared" si="0"/>
        <v>0</v>
      </c>
      <c r="F63" s="6"/>
      <c r="G63" s="6" t="str">
        <f t="shared" si="1"/>
        <v>Coding Pattern</v>
      </c>
    </row>
    <row r="64" spans="1:7" ht="13" x14ac:dyDescent="0.15">
      <c r="A64" s="6" t="s">
        <v>434</v>
      </c>
      <c r="B64" s="6" t="s">
        <v>1154</v>
      </c>
      <c r="C64" s="6" t="str">
        <f>'Ann1 - Step 3'!C64</f>
        <v>Commit&amp;PR rule</v>
      </c>
      <c r="D64" s="6" t="str">
        <f>'Ann2 - Step 3'!C64</f>
        <v>Commit&amp;PR rule</v>
      </c>
      <c r="E64" s="6" t="b">
        <f t="shared" si="0"/>
        <v>0</v>
      </c>
      <c r="F64" s="6"/>
      <c r="G64" s="6" t="str">
        <f t="shared" si="1"/>
        <v>Commit&amp;PR rule</v>
      </c>
    </row>
    <row r="65" spans="1:7" ht="13" x14ac:dyDescent="0.15">
      <c r="A65" s="6" t="s">
        <v>1155</v>
      </c>
      <c r="B65" s="6" t="s">
        <v>935</v>
      </c>
      <c r="C65" s="6" t="str">
        <f>'Ann1 - Step 3'!C65</f>
        <v>Testing</v>
      </c>
      <c r="D65" s="6" t="str">
        <f>'Ann2 - Step 3'!C65</f>
        <v>Testing</v>
      </c>
      <c r="E65" s="6" t="b">
        <f t="shared" si="0"/>
        <v>0</v>
      </c>
      <c r="F65" s="6"/>
      <c r="G65" s="6" t="str">
        <f t="shared" si="1"/>
        <v>Testing</v>
      </c>
    </row>
    <row r="66" spans="1:7" ht="13" x14ac:dyDescent="0.15">
      <c r="A66" s="6" t="s">
        <v>1155</v>
      </c>
      <c r="B66" s="6" t="s">
        <v>936</v>
      </c>
      <c r="C66" s="6" t="str">
        <f>'Ann1 - Step 3'!C66</f>
        <v>Commit&amp;PR rule</v>
      </c>
      <c r="D66" s="6" t="str">
        <f>'Ann2 - Step 3'!C66</f>
        <v>Commit&amp;PR rule</v>
      </c>
      <c r="E66" s="6" t="b">
        <f t="shared" si="0"/>
        <v>0</v>
      </c>
      <c r="F66" s="6"/>
      <c r="G66" s="6" t="str">
        <f t="shared" si="1"/>
        <v>Commit&amp;PR rule</v>
      </c>
    </row>
    <row r="67" spans="1:7" ht="13" x14ac:dyDescent="0.15">
      <c r="A67" s="6" t="s">
        <v>1155</v>
      </c>
      <c r="B67" s="6" t="s">
        <v>937</v>
      </c>
      <c r="C67" s="6" t="str">
        <f>'Ann1 - Step 3'!C67</f>
        <v>Coding Pattern</v>
      </c>
      <c r="D67" s="6" t="str">
        <f>'Ann2 - Step 3'!C67</f>
        <v>Coding Pattern</v>
      </c>
      <c r="E67" s="6" t="b">
        <f t="shared" si="0"/>
        <v>0</v>
      </c>
      <c r="F67" s="6"/>
      <c r="G67" s="6" t="str">
        <f t="shared" si="1"/>
        <v>Coding Pattern</v>
      </c>
    </row>
    <row r="68" spans="1:7" ht="13" x14ac:dyDescent="0.15">
      <c r="A68" s="6" t="s">
        <v>1155</v>
      </c>
      <c r="B68" s="6" t="s">
        <v>938</v>
      </c>
      <c r="C68" s="6" t="str">
        <f>'Ann1 - Step 3'!C68</f>
        <v>Commit&amp;PR rule</v>
      </c>
      <c r="D68" s="6" t="str">
        <f>'Ann2 - Step 3'!C68</f>
        <v>Commit&amp;PR rule</v>
      </c>
      <c r="E68" s="6" t="b">
        <f t="shared" si="0"/>
        <v>0</v>
      </c>
      <c r="F68" s="6"/>
      <c r="G68" s="6" t="str">
        <f t="shared" si="1"/>
        <v>Commit&amp;PR rule</v>
      </c>
    </row>
    <row r="69" spans="1:7" ht="13" x14ac:dyDescent="0.15">
      <c r="A69" s="6" t="s">
        <v>1155</v>
      </c>
      <c r="B69" s="6" t="s">
        <v>939</v>
      </c>
      <c r="C69" s="6" t="str">
        <f>'Ann1 - Step 3'!C69</f>
        <v>Performance</v>
      </c>
      <c r="D69" s="6" t="str">
        <f>'Ann2 - Step 3'!C69</f>
        <v>Performance</v>
      </c>
      <c r="E69" s="6" t="b">
        <f t="shared" si="0"/>
        <v>0</v>
      </c>
      <c r="F69" s="6"/>
      <c r="G69" s="6" t="str">
        <f t="shared" si="1"/>
        <v>Performance</v>
      </c>
    </row>
    <row r="70" spans="1:7" ht="13" x14ac:dyDescent="0.15">
      <c r="A70" s="6" t="s">
        <v>1155</v>
      </c>
      <c r="B70" s="6" t="s">
        <v>940</v>
      </c>
      <c r="C70" s="6" t="str">
        <f>'Ann1 - Step 3'!C70</f>
        <v>Coding Pattern</v>
      </c>
      <c r="D70" s="6" t="str">
        <f>'Ann2 - Step 3'!C70</f>
        <v>Coding Pattern</v>
      </c>
      <c r="E70" s="6" t="b">
        <f t="shared" si="0"/>
        <v>0</v>
      </c>
      <c r="F70" s="6"/>
      <c r="G70" s="6" t="str">
        <f t="shared" si="1"/>
        <v>Coding Pattern</v>
      </c>
    </row>
    <row r="71" spans="1:7" ht="13" x14ac:dyDescent="0.15">
      <c r="A71" s="6" t="s">
        <v>45</v>
      </c>
      <c r="B71" s="6" t="s">
        <v>1156</v>
      </c>
      <c r="C71" s="6" t="str">
        <f>'Ann1 - Step 3'!C71</f>
        <v>Coding Pattern</v>
      </c>
      <c r="D71" s="6" t="str">
        <f>'Ann2 - Step 3'!C71</f>
        <v>Coding Pattern</v>
      </c>
      <c r="E71" s="6" t="b">
        <f t="shared" si="0"/>
        <v>0</v>
      </c>
      <c r="F71" s="6"/>
      <c r="G71" s="6" t="str">
        <f t="shared" si="1"/>
        <v>Coding Pattern</v>
      </c>
    </row>
    <row r="72" spans="1:7" ht="13" x14ac:dyDescent="0.15">
      <c r="A72" s="6" t="s">
        <v>45</v>
      </c>
      <c r="B72" s="6" t="s">
        <v>1157</v>
      </c>
      <c r="C72" s="6" t="str">
        <f>'Ann1 - Step 3'!C72</f>
        <v>Task Execution</v>
      </c>
      <c r="D72" s="6" t="str">
        <f>'Ann2 - Step 3'!C72</f>
        <v>Task Execution</v>
      </c>
      <c r="E72" s="6" t="b">
        <f t="shared" si="0"/>
        <v>0</v>
      </c>
      <c r="F72" s="6"/>
      <c r="G72" s="6" t="str">
        <f t="shared" si="1"/>
        <v>Task Execution</v>
      </c>
    </row>
    <row r="73" spans="1:7" ht="13" x14ac:dyDescent="0.15">
      <c r="A73" s="6" t="s">
        <v>45</v>
      </c>
      <c r="B73" s="6" t="s">
        <v>1158</v>
      </c>
      <c r="C73" s="6" t="str">
        <f>'Ann1 - Step 3'!C73</f>
        <v>Task Execution</v>
      </c>
      <c r="D73" s="6" t="str">
        <f>'Ann2 - Step 3'!C73</f>
        <v>Task Execution</v>
      </c>
      <c r="E73" s="6" t="b">
        <f t="shared" si="0"/>
        <v>0</v>
      </c>
      <c r="F73" s="6"/>
      <c r="G73" s="6" t="str">
        <f t="shared" si="1"/>
        <v>Task Execution</v>
      </c>
    </row>
    <row r="74" spans="1:7" ht="13" x14ac:dyDescent="0.15">
      <c r="A74" s="6" t="s">
        <v>1161</v>
      </c>
      <c r="B74" s="6" t="s">
        <v>1162</v>
      </c>
      <c r="C74" s="6" t="str">
        <f>'Ann1 - Step 3'!C74</f>
        <v>Task Execution</v>
      </c>
      <c r="D74" s="6" t="str">
        <f>'Ann2 - Step 3'!C74</f>
        <v>Task Execution</v>
      </c>
      <c r="E74" s="6" t="b">
        <f t="shared" si="0"/>
        <v>0</v>
      </c>
      <c r="F74" s="6"/>
      <c r="G74" s="6" t="str">
        <f t="shared" si="1"/>
        <v>Task Execution</v>
      </c>
    </row>
    <row r="75" spans="1:7" ht="13" x14ac:dyDescent="0.15">
      <c r="A75" s="6" t="s">
        <v>1165</v>
      </c>
      <c r="B75" s="6" t="s">
        <v>1166</v>
      </c>
      <c r="C75" s="6" t="str">
        <f>'Ann1 - Step 3'!C75</f>
        <v>Testing</v>
      </c>
      <c r="D75" s="6" t="str">
        <f>'Ann2 - Step 3'!C75</f>
        <v>Build &amp; Operation</v>
      </c>
      <c r="E75" s="6" t="b">
        <f t="shared" si="0"/>
        <v>1</v>
      </c>
      <c r="F75" s="30" t="s">
        <v>88</v>
      </c>
      <c r="G75" s="6" t="str">
        <f t="shared" si="1"/>
        <v>Testing</v>
      </c>
    </row>
    <row r="76" spans="1:7" ht="13" x14ac:dyDescent="0.15">
      <c r="A76" s="6" t="s">
        <v>1165</v>
      </c>
      <c r="B76" s="6" t="s">
        <v>1167</v>
      </c>
      <c r="C76" s="6" t="str">
        <f>'Ann1 - Step 3'!C76</f>
        <v>Build &amp; Operation</v>
      </c>
      <c r="D76" s="6" t="str">
        <f>'Ann2 - Step 3'!C76</f>
        <v>Testing</v>
      </c>
      <c r="E76" s="6" t="b">
        <f t="shared" si="0"/>
        <v>1</v>
      </c>
      <c r="F76" s="30" t="s">
        <v>88</v>
      </c>
      <c r="G76" s="6" t="str">
        <f t="shared" si="1"/>
        <v>Testing</v>
      </c>
    </row>
    <row r="77" spans="1:7" ht="13" x14ac:dyDescent="0.15">
      <c r="A77" s="6" t="s">
        <v>439</v>
      </c>
      <c r="B77" s="6" t="s">
        <v>1168</v>
      </c>
      <c r="C77" s="6" t="str">
        <f>'Ann1 - Step 3'!C77</f>
        <v>Performance</v>
      </c>
      <c r="D77" s="6" t="str">
        <f>'Ann2 - Step 3'!C77</f>
        <v>Performance</v>
      </c>
      <c r="E77" s="6" t="b">
        <f t="shared" si="0"/>
        <v>0</v>
      </c>
      <c r="F77" s="6"/>
      <c r="G77" s="6" t="str">
        <f t="shared" si="1"/>
        <v>Performance</v>
      </c>
    </row>
    <row r="78" spans="1:7" ht="13" x14ac:dyDescent="0.15">
      <c r="A78" s="6" t="s">
        <v>443</v>
      </c>
      <c r="B78" s="6" t="s">
        <v>1169</v>
      </c>
      <c r="C78" s="6" t="str">
        <f>'Ann1 - Step 3'!C78</f>
        <v>Task Execution</v>
      </c>
      <c r="D78" s="6" t="str">
        <f>'Ann2 - Step 3'!C78</f>
        <v>Task Execution</v>
      </c>
      <c r="E78" s="6" t="b">
        <f t="shared" si="0"/>
        <v>0</v>
      </c>
      <c r="F78" s="6"/>
      <c r="G78" s="6" t="str">
        <f t="shared" si="1"/>
        <v>Task Execution</v>
      </c>
    </row>
    <row r="79" spans="1:7" ht="13" x14ac:dyDescent="0.15">
      <c r="A79" s="6" t="s">
        <v>443</v>
      </c>
      <c r="B79" s="6" t="s">
        <v>1170</v>
      </c>
      <c r="C79" s="6" t="str">
        <f>'Ann1 - Step 3'!C79</f>
        <v>Build &amp; Operation</v>
      </c>
      <c r="D79" s="6" t="str">
        <f>'Ann2 - Step 3'!C79</f>
        <v>Task Execution</v>
      </c>
      <c r="E79" s="6" t="b">
        <f t="shared" si="0"/>
        <v>1</v>
      </c>
      <c r="F79" s="30" t="s">
        <v>18</v>
      </c>
      <c r="G79" s="6" t="str">
        <f t="shared" si="1"/>
        <v>Task Execution</v>
      </c>
    </row>
    <row r="80" spans="1:7" ht="13" x14ac:dyDescent="0.15">
      <c r="A80" s="6" t="s">
        <v>443</v>
      </c>
      <c r="B80" s="6" t="s">
        <v>1171</v>
      </c>
      <c r="C80" s="6" t="str">
        <f>'Ann1 - Step 3'!C80</f>
        <v>Task Execution</v>
      </c>
      <c r="D80" s="6" t="str">
        <f>'Ann2 - Step 3'!C80</f>
        <v>Task Execution</v>
      </c>
      <c r="E80" s="6" t="b">
        <f t="shared" si="0"/>
        <v>0</v>
      </c>
      <c r="F80" s="6"/>
      <c r="G80" s="6" t="str">
        <f t="shared" si="1"/>
        <v>Task Execution</v>
      </c>
    </row>
    <row r="81" spans="1:7" ht="13" x14ac:dyDescent="0.15">
      <c r="A81" s="6" t="s">
        <v>443</v>
      </c>
      <c r="B81" s="6" t="s">
        <v>1172</v>
      </c>
      <c r="C81" s="6" t="str">
        <f>'Ann1 - Step 3'!C81</f>
        <v>Task Execution</v>
      </c>
      <c r="D81" s="6" t="str">
        <f>'Ann2 - Step 3'!C81</f>
        <v>Task Execution</v>
      </c>
      <c r="E81" s="6" t="b">
        <f t="shared" si="0"/>
        <v>0</v>
      </c>
      <c r="F81" s="6"/>
      <c r="G81" s="6" t="str">
        <f t="shared" si="1"/>
        <v>Task Execution</v>
      </c>
    </row>
    <row r="82" spans="1:7" ht="13" x14ac:dyDescent="0.15">
      <c r="A82" s="6" t="s">
        <v>447</v>
      </c>
      <c r="B82" s="6" t="s">
        <v>1173</v>
      </c>
      <c r="C82" s="6" t="str">
        <f>'Ann1 - Step 3'!C82</f>
        <v>Coding Pattern</v>
      </c>
      <c r="D82" s="6" t="str">
        <f>'Ann2 - Step 3'!C82</f>
        <v>Coding Pattern</v>
      </c>
      <c r="E82" s="6" t="b">
        <f t="shared" si="0"/>
        <v>0</v>
      </c>
      <c r="F82" s="6"/>
      <c r="G82" s="6" t="str">
        <f t="shared" si="1"/>
        <v>Coding Pattern</v>
      </c>
    </row>
    <row r="83" spans="1:7" ht="13" x14ac:dyDescent="0.15">
      <c r="A83" s="6" t="s">
        <v>447</v>
      </c>
      <c r="B83" s="6" t="s">
        <v>1174</v>
      </c>
      <c r="C83" s="6" t="str">
        <f>'Ann1 - Step 3'!C83</f>
        <v>Coding Pattern</v>
      </c>
      <c r="D83" s="6" t="str">
        <f>'Ann2 - Step 3'!C83</f>
        <v>Coding Pattern</v>
      </c>
      <c r="E83" s="6" t="b">
        <f t="shared" si="0"/>
        <v>0</v>
      </c>
      <c r="F83" s="6"/>
      <c r="G83" s="6" t="str">
        <f t="shared" si="1"/>
        <v>Coding Pattern</v>
      </c>
    </row>
    <row r="84" spans="1:7" ht="13" x14ac:dyDescent="0.15">
      <c r="A84" s="6" t="s">
        <v>447</v>
      </c>
      <c r="B84" s="6" t="s">
        <v>1175</v>
      </c>
      <c r="C84" s="6" t="str">
        <f>'Ann1 - Step 3'!C84</f>
        <v>Coding Pattern</v>
      </c>
      <c r="D84" s="6" t="str">
        <f>'Ann2 - Step 3'!C84</f>
        <v>Coding Pattern</v>
      </c>
      <c r="E84" s="6" t="b">
        <f t="shared" si="0"/>
        <v>0</v>
      </c>
      <c r="F84" s="6"/>
      <c r="G84" s="6" t="str">
        <f t="shared" si="1"/>
        <v>Coding Pattern</v>
      </c>
    </row>
    <row r="85" spans="1:7" ht="13" x14ac:dyDescent="0.15">
      <c r="A85" s="6" t="s">
        <v>456</v>
      </c>
      <c r="B85" s="6" t="s">
        <v>1173</v>
      </c>
      <c r="C85" s="6" t="str">
        <f>'Ann1 - Step 3'!C85</f>
        <v>Coding Pattern</v>
      </c>
      <c r="D85" s="6" t="str">
        <f>'Ann2 - Step 3'!C85</f>
        <v>Coding Pattern</v>
      </c>
      <c r="E85" s="6" t="b">
        <f t="shared" si="0"/>
        <v>0</v>
      </c>
      <c r="F85" s="6"/>
      <c r="G85" s="6" t="str">
        <f t="shared" si="1"/>
        <v>Coding Pattern</v>
      </c>
    </row>
    <row r="86" spans="1:7" ht="14" x14ac:dyDescent="0.15">
      <c r="A86" s="6" t="s">
        <v>456</v>
      </c>
      <c r="B86" s="8" t="s">
        <v>1174</v>
      </c>
      <c r="C86" s="6" t="str">
        <f>'Ann1 - Step 3'!C86</f>
        <v>Coding Pattern</v>
      </c>
      <c r="D86" s="6" t="str">
        <f>'Ann2 - Step 3'!C86</f>
        <v>Coding Pattern</v>
      </c>
      <c r="E86" s="6" t="b">
        <f t="shared" si="0"/>
        <v>0</v>
      </c>
      <c r="F86" s="6"/>
      <c r="G86" s="6" t="str">
        <f t="shared" si="1"/>
        <v>Coding Pattern</v>
      </c>
    </row>
    <row r="87" spans="1:7" ht="13" x14ac:dyDescent="0.15">
      <c r="A87" s="6" t="s">
        <v>456</v>
      </c>
      <c r="B87" s="6" t="s">
        <v>1175</v>
      </c>
      <c r="C87" s="6" t="str">
        <f>'Ann1 - Step 3'!C87</f>
        <v>Coding Pattern</v>
      </c>
      <c r="D87" s="6" t="str">
        <f>'Ann2 - Step 3'!C87</f>
        <v>Coding Pattern</v>
      </c>
      <c r="E87" s="6" t="b">
        <f t="shared" si="0"/>
        <v>0</v>
      </c>
      <c r="F87" s="6"/>
      <c r="G87" s="6" t="str">
        <f t="shared" si="1"/>
        <v>Coding Pattern</v>
      </c>
    </row>
    <row r="88" spans="1:7" ht="14" x14ac:dyDescent="0.15">
      <c r="A88" s="6" t="s">
        <v>460</v>
      </c>
      <c r="B88" s="8" t="s">
        <v>1176</v>
      </c>
      <c r="C88" s="6" t="str">
        <f>'Ann1 - Step 3'!C88</f>
        <v>Build &amp; Operation</v>
      </c>
      <c r="D88" s="6" t="str">
        <f>'Ann2 - Step 3'!C88</f>
        <v>Build &amp; Operation</v>
      </c>
      <c r="E88" s="6" t="b">
        <f t="shared" si="0"/>
        <v>0</v>
      </c>
      <c r="F88" s="6"/>
      <c r="G88" s="6" t="str">
        <f t="shared" si="1"/>
        <v>Build &amp; Operation</v>
      </c>
    </row>
    <row r="89" spans="1:7" ht="14" x14ac:dyDescent="0.15">
      <c r="A89" s="6" t="s">
        <v>463</v>
      </c>
      <c r="B89" s="8" t="s">
        <v>1177</v>
      </c>
      <c r="C89" s="6" t="str">
        <f>'Ann1 - Step 3'!C89</f>
        <v>Coding Style</v>
      </c>
      <c r="D89" s="6" t="str">
        <f>'Ann2 - Step 3'!C89</f>
        <v>Coding Style</v>
      </c>
      <c r="E89" s="6" t="b">
        <f t="shared" si="0"/>
        <v>0</v>
      </c>
      <c r="F89" s="6"/>
      <c r="G89" s="6" t="str">
        <f t="shared" si="1"/>
        <v>Coding Style</v>
      </c>
    </row>
    <row r="90" spans="1:7" ht="13" x14ac:dyDescent="0.15">
      <c r="A90" s="6" t="s">
        <v>463</v>
      </c>
      <c r="B90" s="6" t="s">
        <v>959</v>
      </c>
      <c r="C90" s="6" t="str">
        <f>'Ann1 - Step 3'!C90</f>
        <v>Testing</v>
      </c>
      <c r="D90" s="6" t="str">
        <f>'Ann2 - Step 3'!C90</f>
        <v>Testing</v>
      </c>
      <c r="E90" s="6" t="b">
        <f t="shared" si="0"/>
        <v>0</v>
      </c>
      <c r="F90" s="6"/>
      <c r="G90" s="6" t="str">
        <f t="shared" si="1"/>
        <v>Testing</v>
      </c>
    </row>
    <row r="91" spans="1:7" ht="13" x14ac:dyDescent="0.15">
      <c r="A91" s="6" t="s">
        <v>473</v>
      </c>
      <c r="B91" s="6" t="s">
        <v>1178</v>
      </c>
      <c r="C91" s="6" t="str">
        <f>'Ann1 - Step 3'!C91</f>
        <v>Coding Style</v>
      </c>
      <c r="D91" s="6" t="str">
        <f>'Ann2 - Step 3'!C91</f>
        <v>Coding Style</v>
      </c>
      <c r="E91" s="6" t="b">
        <f t="shared" si="0"/>
        <v>0</v>
      </c>
      <c r="F91" s="6"/>
      <c r="G91" s="6" t="str">
        <f t="shared" si="1"/>
        <v>Coding Style</v>
      </c>
    </row>
    <row r="92" spans="1:7" ht="13" x14ac:dyDescent="0.15">
      <c r="A92" s="6" t="s">
        <v>1181</v>
      </c>
      <c r="B92" s="6" t="s">
        <v>1182</v>
      </c>
      <c r="C92" s="6" t="str">
        <f>'Ann1 - Step 3'!C92</f>
        <v>Testing</v>
      </c>
      <c r="D92" s="6" t="str">
        <f>'Ann2 - Step 3'!C92</f>
        <v>Testing</v>
      </c>
      <c r="E92" s="6" t="b">
        <f t="shared" si="0"/>
        <v>0</v>
      </c>
      <c r="F92" s="6"/>
      <c r="G92" s="6" t="str">
        <f t="shared" si="1"/>
        <v>Testing</v>
      </c>
    </row>
    <row r="93" spans="1:7" ht="14" x14ac:dyDescent="0.15">
      <c r="A93" s="6" t="s">
        <v>703</v>
      </c>
      <c r="B93" s="8" t="s">
        <v>1183</v>
      </c>
      <c r="C93" s="6" t="str">
        <f>'Ann1 - Step 3'!C93</f>
        <v>Build &amp; Operation</v>
      </c>
      <c r="D93" s="6" t="str">
        <f>'Ann2 - Step 3'!C93</f>
        <v>Build &amp; Operation</v>
      </c>
      <c r="E93" s="6" t="b">
        <f t="shared" si="0"/>
        <v>0</v>
      </c>
      <c r="F93" s="6"/>
      <c r="G93" s="6" t="str">
        <f t="shared" si="1"/>
        <v>Build &amp; Operation</v>
      </c>
    </row>
    <row r="94" spans="1:7" ht="13" x14ac:dyDescent="0.15">
      <c r="A94" s="6" t="s">
        <v>1185</v>
      </c>
      <c r="B94" s="6" t="s">
        <v>1186</v>
      </c>
      <c r="C94" s="6" t="str">
        <f>'Ann1 - Step 3'!C94</f>
        <v>Testing</v>
      </c>
      <c r="D94" s="6" t="str">
        <f>'Ann2 - Step 3'!C94</f>
        <v>Testing</v>
      </c>
      <c r="E94" s="6" t="b">
        <f t="shared" si="0"/>
        <v>0</v>
      </c>
      <c r="F94" s="6"/>
      <c r="G94" s="6" t="str">
        <f t="shared" si="1"/>
        <v>Testing</v>
      </c>
    </row>
    <row r="95" spans="1:7" ht="28" x14ac:dyDescent="0.15">
      <c r="A95" s="6" t="s">
        <v>1185</v>
      </c>
      <c r="B95" s="8" t="s">
        <v>1187</v>
      </c>
      <c r="C95" s="6" t="str">
        <f>'Ann1 - Step 3'!C95</f>
        <v>Testing</v>
      </c>
      <c r="D95" s="6" t="str">
        <f>'Ann2 - Step 3'!C95</f>
        <v>Testing</v>
      </c>
      <c r="E95" s="6" t="b">
        <f t="shared" si="0"/>
        <v>0</v>
      </c>
      <c r="F95" s="6"/>
      <c r="G95" s="6" t="str">
        <f t="shared" si="1"/>
        <v>Testing</v>
      </c>
    </row>
    <row r="96" spans="1:7" ht="28" x14ac:dyDescent="0.15">
      <c r="A96" s="6" t="s">
        <v>1185</v>
      </c>
      <c r="B96" s="8" t="s">
        <v>1188</v>
      </c>
      <c r="C96" s="6" t="str">
        <f>'Ann1 - Step 3'!C96</f>
        <v>Coding Pattern</v>
      </c>
      <c r="D96" s="6" t="str">
        <f>'Ann2 - Step 3'!C96</f>
        <v>Coding Pattern</v>
      </c>
      <c r="E96" s="6" t="b">
        <f t="shared" si="0"/>
        <v>0</v>
      </c>
      <c r="F96" s="6"/>
      <c r="G96" s="6" t="str">
        <f t="shared" si="1"/>
        <v>Coding Pattern</v>
      </c>
    </row>
    <row r="97" spans="1:7" ht="14" x14ac:dyDescent="0.15">
      <c r="A97" s="6" t="s">
        <v>1185</v>
      </c>
      <c r="B97" s="8" t="s">
        <v>1189</v>
      </c>
      <c r="C97" s="6" t="str">
        <f>'Ann1 - Step 3'!C97</f>
        <v>Coding Pattern</v>
      </c>
      <c r="D97" s="6" t="str">
        <f>'Ann2 - Step 3'!C97</f>
        <v>Coding Pattern</v>
      </c>
      <c r="E97" s="6" t="b">
        <f t="shared" si="0"/>
        <v>0</v>
      </c>
      <c r="F97" s="6"/>
      <c r="G97" s="6" t="str">
        <f t="shared" si="1"/>
        <v>Coding Pattern</v>
      </c>
    </row>
    <row r="98" spans="1:7" ht="13" x14ac:dyDescent="0.15">
      <c r="A98" s="6" t="s">
        <v>1191</v>
      </c>
      <c r="B98" s="6" t="s">
        <v>1192</v>
      </c>
      <c r="C98" s="6" t="str">
        <f>'Ann1 - Step 3'!C98</f>
        <v>Task Execution</v>
      </c>
      <c r="D98" s="6" t="str">
        <f>'Ann2 - Step 3'!C98</f>
        <v>Task Execution</v>
      </c>
      <c r="E98" s="6" t="b">
        <f t="shared" si="0"/>
        <v>0</v>
      </c>
      <c r="F98" s="6"/>
      <c r="G98" s="6" t="str">
        <f t="shared" si="1"/>
        <v>Task Execution</v>
      </c>
    </row>
    <row r="99" spans="1:7" ht="13" x14ac:dyDescent="0.15">
      <c r="A99" s="6" t="s">
        <v>1194</v>
      </c>
      <c r="B99" s="6" t="s">
        <v>1195</v>
      </c>
      <c r="C99" s="6" t="str">
        <f>'Ann1 - Step 3'!C99</f>
        <v>Task Execution</v>
      </c>
      <c r="D99" s="6" t="str">
        <f>'Ann2 - Step 3'!C99</f>
        <v>Task Execution</v>
      </c>
      <c r="E99" s="6" t="b">
        <f t="shared" si="0"/>
        <v>0</v>
      </c>
      <c r="F99" s="6"/>
      <c r="G99" s="6" t="str">
        <f t="shared" si="1"/>
        <v>Task Execution</v>
      </c>
    </row>
    <row r="100" spans="1:7" ht="13" x14ac:dyDescent="0.15">
      <c r="A100" s="6" t="s">
        <v>485</v>
      </c>
      <c r="B100" s="6" t="s">
        <v>1196</v>
      </c>
      <c r="C100" s="6" t="str">
        <f>'Ann1 - Step 3'!C100</f>
        <v>Coding Pattern</v>
      </c>
      <c r="D100" s="6" t="str">
        <f>'Ann2 - Step 3'!C100</f>
        <v>Coding Pattern</v>
      </c>
      <c r="E100" s="6" t="b">
        <f t="shared" si="0"/>
        <v>0</v>
      </c>
      <c r="F100" s="6"/>
      <c r="G100" s="6" t="str">
        <f t="shared" si="1"/>
        <v>Coding Pattern</v>
      </c>
    </row>
    <row r="101" spans="1:7" ht="13" x14ac:dyDescent="0.15">
      <c r="A101" s="6" t="s">
        <v>1199</v>
      </c>
      <c r="B101" s="6" t="s">
        <v>1200</v>
      </c>
      <c r="C101" s="6" t="str">
        <f>'Ann1 - Step 3'!C101</f>
        <v>Build &amp; Operation</v>
      </c>
      <c r="D101" s="6" t="str">
        <f>'Ann2 - Step 3'!C101</f>
        <v>Build &amp; Operation</v>
      </c>
      <c r="E101" s="6" t="b">
        <f t="shared" si="0"/>
        <v>0</v>
      </c>
      <c r="F101" s="6"/>
      <c r="G101" s="6" t="str">
        <f t="shared" si="1"/>
        <v>Build &amp; Operation</v>
      </c>
    </row>
    <row r="102" spans="1:7" ht="13" x14ac:dyDescent="0.15">
      <c r="A102" s="6" t="s">
        <v>1203</v>
      </c>
      <c r="B102" s="6" t="s">
        <v>1204</v>
      </c>
      <c r="C102" s="6" t="str">
        <f>'Ann1 - Step 3'!C102</f>
        <v>Coding Style</v>
      </c>
      <c r="D102" s="6" t="str">
        <f>'Ann2 - Step 3'!C102</f>
        <v>Coding Style</v>
      </c>
      <c r="E102" s="6" t="b">
        <f t="shared" si="0"/>
        <v>0</v>
      </c>
      <c r="F102" s="6"/>
      <c r="G102" s="6" t="str">
        <f t="shared" si="1"/>
        <v>Coding Style</v>
      </c>
    </row>
    <row r="103" spans="1:7" ht="13" x14ac:dyDescent="0.15">
      <c r="A103" s="6" t="s">
        <v>1207</v>
      </c>
      <c r="B103" s="6" t="s">
        <v>1208</v>
      </c>
      <c r="C103" s="6" t="str">
        <f>'Ann1 - Step 3'!C103</f>
        <v>Coding Style</v>
      </c>
      <c r="D103" s="6" t="str">
        <f>'Ann2 - Step 3'!C103</f>
        <v>Coding Style</v>
      </c>
      <c r="E103" s="6" t="b">
        <f t="shared" si="0"/>
        <v>0</v>
      </c>
      <c r="F103" s="6"/>
      <c r="G103" s="6" t="str">
        <f t="shared" si="1"/>
        <v>Coding Style</v>
      </c>
    </row>
    <row r="104" spans="1:7" ht="13" x14ac:dyDescent="0.15">
      <c r="A104" s="6" t="s">
        <v>1210</v>
      </c>
      <c r="B104" s="6" t="s">
        <v>1186</v>
      </c>
      <c r="C104" s="6" t="str">
        <f>'Ann1 - Step 3'!C104</f>
        <v>Testing</v>
      </c>
      <c r="D104" s="6" t="str">
        <f>'Ann2 - Step 3'!C104</f>
        <v>Testing</v>
      </c>
      <c r="E104" s="6" t="b">
        <f t="shared" si="0"/>
        <v>0</v>
      </c>
      <c r="F104" s="6"/>
      <c r="G104" s="6" t="str">
        <f t="shared" si="1"/>
        <v>Testing</v>
      </c>
    </row>
    <row r="105" spans="1:7" ht="14" x14ac:dyDescent="0.15">
      <c r="A105" s="6" t="s">
        <v>1211</v>
      </c>
      <c r="B105" s="23" t="s">
        <v>1212</v>
      </c>
      <c r="C105" s="6" t="str">
        <f>'Ann1 - Step 3'!C105</f>
        <v>Documentation</v>
      </c>
      <c r="D105" s="6" t="str">
        <f>'Ann2 - Step 3'!C105</f>
        <v>Build &amp; Operation</v>
      </c>
      <c r="E105" s="6" t="b">
        <f t="shared" si="0"/>
        <v>1</v>
      </c>
      <c r="F105" s="30" t="s">
        <v>23</v>
      </c>
      <c r="G105" s="6" t="str">
        <f t="shared" si="1"/>
        <v>Documentation</v>
      </c>
    </row>
    <row r="106" spans="1:7" ht="13" x14ac:dyDescent="0.15">
      <c r="A106" s="6" t="s">
        <v>1211</v>
      </c>
      <c r="B106" s="6" t="s">
        <v>1213</v>
      </c>
      <c r="C106" s="6" t="str">
        <f>'Ann1 - Step 3'!C106</f>
        <v>Task Execution</v>
      </c>
      <c r="D106" s="6" t="str">
        <f>'Ann2 - Step 3'!C106</f>
        <v>Task Execution</v>
      </c>
      <c r="E106" s="6" t="b">
        <f t="shared" si="0"/>
        <v>0</v>
      </c>
      <c r="F106" s="6"/>
      <c r="G106" s="6" t="str">
        <f t="shared" si="1"/>
        <v>Task Execution</v>
      </c>
    </row>
    <row r="107" spans="1:7" ht="14" x14ac:dyDescent="0.15">
      <c r="A107" s="6" t="s">
        <v>57</v>
      </c>
      <c r="B107" s="8" t="s">
        <v>1214</v>
      </c>
      <c r="C107" s="6" t="str">
        <f>'Ann1 - Step 3'!C107</f>
        <v>Commit&amp;PR rule</v>
      </c>
      <c r="D107" s="6" t="str">
        <f>'Ann2 - Step 3'!C107</f>
        <v>Build &amp; Operation</v>
      </c>
      <c r="E107" s="6" t="b">
        <f t="shared" si="0"/>
        <v>1</v>
      </c>
      <c r="F107" s="30" t="s">
        <v>12</v>
      </c>
      <c r="G107" s="6" t="str">
        <f t="shared" si="1"/>
        <v>Commit&amp;PR rule</v>
      </c>
    </row>
    <row r="108" spans="1:7" ht="28" x14ac:dyDescent="0.15">
      <c r="A108" s="6" t="s">
        <v>57</v>
      </c>
      <c r="B108" s="8" t="s">
        <v>1215</v>
      </c>
      <c r="C108" s="6" t="str">
        <f>'Ann1 - Step 3'!C108</f>
        <v>Testing</v>
      </c>
      <c r="D108" s="6" t="str">
        <f>'Ann2 - Step 3'!C108</f>
        <v>Testing</v>
      </c>
      <c r="E108" s="6" t="b">
        <f t="shared" si="0"/>
        <v>0</v>
      </c>
      <c r="F108" s="6"/>
      <c r="G108" s="6" t="str">
        <f t="shared" si="1"/>
        <v>Testing</v>
      </c>
    </row>
    <row r="109" spans="1:7" ht="13" x14ac:dyDescent="0.15">
      <c r="A109" s="6" t="s">
        <v>57</v>
      </c>
      <c r="B109" s="6" t="s">
        <v>1216</v>
      </c>
      <c r="C109" s="6" t="str">
        <f>'Ann1 - Step 3'!C109</f>
        <v>Build &amp; Operation</v>
      </c>
      <c r="D109" s="6" t="str">
        <f>'Ann2 - Step 3'!C109</f>
        <v>Build &amp; Operation</v>
      </c>
      <c r="E109" s="6" t="b">
        <f t="shared" si="0"/>
        <v>0</v>
      </c>
      <c r="F109" s="6"/>
      <c r="G109" s="6" t="str">
        <f t="shared" si="1"/>
        <v>Build &amp; Operation</v>
      </c>
    </row>
    <row r="110" spans="1:7" ht="14" x14ac:dyDescent="0.15">
      <c r="A110" s="6" t="s">
        <v>57</v>
      </c>
      <c r="B110" s="8" t="s">
        <v>1217</v>
      </c>
      <c r="C110" s="6" t="str">
        <f>'Ann1 - Step 3'!C110</f>
        <v>Commit&amp;PR rule</v>
      </c>
      <c r="D110" s="6" t="str">
        <f>'Ann2 - Step 3'!C110</f>
        <v>Commit&amp;PR rule</v>
      </c>
      <c r="E110" s="6" t="b">
        <f t="shared" si="0"/>
        <v>0</v>
      </c>
      <c r="F110" s="6"/>
      <c r="G110" s="6" t="str">
        <f t="shared" si="1"/>
        <v>Commit&amp;PR rule</v>
      </c>
    </row>
    <row r="111" spans="1:7" ht="14" x14ac:dyDescent="0.15">
      <c r="A111" s="6" t="s">
        <v>57</v>
      </c>
      <c r="B111" s="8" t="s">
        <v>1218</v>
      </c>
      <c r="C111" s="6" t="str">
        <f>'Ann1 - Step 3'!C111</f>
        <v>Testing</v>
      </c>
      <c r="D111" s="6" t="str">
        <f>'Ann2 - Step 3'!C111</f>
        <v>Testing</v>
      </c>
      <c r="E111" s="6" t="b">
        <f t="shared" si="0"/>
        <v>0</v>
      </c>
      <c r="F111" s="6"/>
      <c r="G111" s="6" t="str">
        <f t="shared" si="1"/>
        <v>Testing</v>
      </c>
    </row>
    <row r="112" spans="1:7" ht="14" x14ac:dyDescent="0.15">
      <c r="A112" s="6" t="s">
        <v>57</v>
      </c>
      <c r="B112" s="8" t="s">
        <v>1219</v>
      </c>
      <c r="C112" s="6" t="str">
        <f>'Ann1 - Step 3'!C112</f>
        <v>Task Execution</v>
      </c>
      <c r="D112" s="6" t="str">
        <f>'Ann2 - Step 3'!C112</f>
        <v>Task Execution</v>
      </c>
      <c r="E112" s="6" t="b">
        <f t="shared" si="0"/>
        <v>0</v>
      </c>
      <c r="F112" s="6"/>
      <c r="G112" s="6" t="str">
        <f t="shared" si="1"/>
        <v>Task Execution</v>
      </c>
    </row>
    <row r="113" spans="1:7" ht="14" x14ac:dyDescent="0.15">
      <c r="A113" s="6" t="s">
        <v>57</v>
      </c>
      <c r="B113" s="8" t="s">
        <v>1218</v>
      </c>
      <c r="C113" s="6" t="str">
        <f>'Ann1 - Step 3'!C113</f>
        <v>Testing</v>
      </c>
      <c r="D113" s="6" t="str">
        <f>'Ann2 - Step 3'!C113</f>
        <v>Testing</v>
      </c>
      <c r="E113" s="6" t="b">
        <f t="shared" si="0"/>
        <v>0</v>
      </c>
      <c r="F113" s="6"/>
      <c r="G113" s="6" t="str">
        <f t="shared" si="1"/>
        <v>Testing</v>
      </c>
    </row>
    <row r="114" spans="1:7" ht="13" x14ac:dyDescent="0.15">
      <c r="A114" s="6" t="s">
        <v>57</v>
      </c>
      <c r="B114" s="6" t="s">
        <v>1220</v>
      </c>
      <c r="C114" s="6" t="str">
        <f>'Ann1 - Step 3'!C114</f>
        <v>Task Execution</v>
      </c>
      <c r="D114" s="6" t="str">
        <f>'Ann2 - Step 3'!C114</f>
        <v>Task Execution</v>
      </c>
      <c r="E114" s="6" t="b">
        <f t="shared" si="0"/>
        <v>0</v>
      </c>
      <c r="F114" s="6"/>
      <c r="G114" s="6" t="str">
        <f t="shared" si="1"/>
        <v>Task Execution</v>
      </c>
    </row>
    <row r="115" spans="1:7" ht="14" x14ac:dyDescent="0.15">
      <c r="A115" s="6" t="s">
        <v>497</v>
      </c>
      <c r="B115" s="8" t="s">
        <v>1221</v>
      </c>
      <c r="C115" s="6" t="str">
        <f>'Ann1 - Step 3'!C115</f>
        <v>Testing</v>
      </c>
      <c r="D115" s="6" t="str">
        <f>'Ann2 - Step 3'!C115</f>
        <v>Testing</v>
      </c>
      <c r="E115" s="6" t="b">
        <f t="shared" si="0"/>
        <v>0</v>
      </c>
      <c r="F115" s="6"/>
      <c r="G115" s="6" t="str">
        <f t="shared" si="1"/>
        <v>Testing</v>
      </c>
    </row>
    <row r="116" spans="1:7" ht="14" x14ac:dyDescent="0.15">
      <c r="A116" s="6" t="s">
        <v>497</v>
      </c>
      <c r="B116" s="8" t="s">
        <v>1222</v>
      </c>
      <c r="C116" s="6" t="str">
        <f>'Ann1 - Step 3'!C116</f>
        <v>Testing</v>
      </c>
      <c r="D116" s="6" t="str">
        <f>'Ann2 - Step 3'!C116</f>
        <v>Testing</v>
      </c>
      <c r="E116" s="6" t="b">
        <f t="shared" si="0"/>
        <v>0</v>
      </c>
      <c r="F116" s="6"/>
      <c r="G116" s="6" t="str">
        <f t="shared" si="1"/>
        <v>Testing</v>
      </c>
    </row>
    <row r="117" spans="1:7" ht="14" x14ac:dyDescent="0.15">
      <c r="A117" s="6" t="s">
        <v>497</v>
      </c>
      <c r="B117" s="8" t="s">
        <v>1223</v>
      </c>
      <c r="C117" s="6" t="str">
        <f>'Ann1 - Step 3'!C117</f>
        <v>Testing</v>
      </c>
      <c r="D117" s="6" t="str">
        <f>'Ann2 - Step 3'!C117</f>
        <v>Testing</v>
      </c>
      <c r="E117" s="6" t="b">
        <f t="shared" si="0"/>
        <v>0</v>
      </c>
      <c r="F117" s="6"/>
      <c r="G117" s="6" t="str">
        <f t="shared" si="1"/>
        <v>Testing</v>
      </c>
    </row>
    <row r="118" spans="1:7" ht="13" x14ac:dyDescent="0.15">
      <c r="A118" s="6" t="s">
        <v>500</v>
      </c>
      <c r="B118" s="6" t="s">
        <v>1224</v>
      </c>
      <c r="C118" s="6" t="str">
        <f>'Ann1 - Step 3'!C118</f>
        <v>Coding Style</v>
      </c>
      <c r="D118" s="6" t="str">
        <f>'Ann2 - Step 3'!C118</f>
        <v>Build &amp; Operation</v>
      </c>
      <c r="E118" s="6" t="b">
        <f t="shared" si="0"/>
        <v>1</v>
      </c>
      <c r="F118" s="30" t="s">
        <v>30</v>
      </c>
      <c r="G118" s="6" t="str">
        <f t="shared" si="1"/>
        <v>Coding Pattern</v>
      </c>
    </row>
    <row r="119" spans="1:7" ht="14" x14ac:dyDescent="0.15">
      <c r="A119" s="6" t="s">
        <v>503</v>
      </c>
      <c r="B119" s="8" t="s">
        <v>1225</v>
      </c>
      <c r="C119" s="6" t="str">
        <f>'Ann1 - Step 3'!C119</f>
        <v>Security</v>
      </c>
      <c r="D119" s="6" t="str">
        <f>'Ann2 - Step 3'!C119</f>
        <v>Security</v>
      </c>
      <c r="E119" s="6" t="b">
        <f t="shared" si="0"/>
        <v>0</v>
      </c>
      <c r="F119" s="6"/>
      <c r="G119" s="6" t="str">
        <f t="shared" si="1"/>
        <v>Security</v>
      </c>
    </row>
    <row r="120" spans="1:7" ht="13" x14ac:dyDescent="0.15">
      <c r="A120" s="6" t="s">
        <v>511</v>
      </c>
      <c r="B120" s="6" t="s">
        <v>1226</v>
      </c>
      <c r="C120" s="6" t="str">
        <f>'Ann1 - Step 3'!C120</f>
        <v>Task Execution</v>
      </c>
      <c r="D120" s="6" t="str">
        <f>'Ann2 - Step 3'!C120</f>
        <v>Task Execution</v>
      </c>
      <c r="E120" s="6" t="b">
        <f t="shared" si="0"/>
        <v>0</v>
      </c>
      <c r="F120" s="6"/>
      <c r="G120" s="6" t="str">
        <f t="shared" si="1"/>
        <v>Task Execution</v>
      </c>
    </row>
    <row r="121" spans="1:7" ht="13" x14ac:dyDescent="0.15">
      <c r="A121" s="6" t="s">
        <v>112</v>
      </c>
      <c r="B121" s="6" t="s">
        <v>783</v>
      </c>
      <c r="C121" s="6" t="str">
        <f>'Ann1 - Step 3'!C121</f>
        <v>Task Execution</v>
      </c>
      <c r="D121" s="6" t="str">
        <f>'Ann2 - Step 3'!C121</f>
        <v>Task Execution</v>
      </c>
      <c r="E121" s="6" t="b">
        <f t="shared" si="0"/>
        <v>0</v>
      </c>
      <c r="F121" s="6"/>
      <c r="G121" s="6" t="str">
        <f t="shared" si="1"/>
        <v>Task Execution</v>
      </c>
    </row>
    <row r="122" spans="1:7" ht="13" x14ac:dyDescent="0.15">
      <c r="A122" s="6" t="s">
        <v>1229</v>
      </c>
      <c r="B122" s="6" t="s">
        <v>1230</v>
      </c>
      <c r="C122" s="6" t="str">
        <f>'Ann1 - Step 3'!C122</f>
        <v>Task Execution</v>
      </c>
      <c r="D122" s="6" t="str">
        <f>'Ann2 - Step 3'!C122</f>
        <v>Task Execution</v>
      </c>
      <c r="E122" s="6" t="b">
        <f t="shared" si="0"/>
        <v>0</v>
      </c>
      <c r="F122" s="6"/>
      <c r="G122" s="6" t="str">
        <f t="shared" si="1"/>
        <v>Task Execution</v>
      </c>
    </row>
    <row r="123" spans="1:7" ht="13" x14ac:dyDescent="0.15">
      <c r="A123" s="6" t="s">
        <v>1229</v>
      </c>
      <c r="B123" s="6" t="s">
        <v>1231</v>
      </c>
      <c r="C123" s="6" t="str">
        <f>'Ann1 - Step 3'!C123</f>
        <v>Coding Pattern</v>
      </c>
      <c r="D123" s="6" t="str">
        <f>'Ann2 - Step 3'!C123</f>
        <v>Coding Pattern</v>
      </c>
      <c r="E123" s="6" t="b">
        <f t="shared" si="0"/>
        <v>0</v>
      </c>
      <c r="F123" s="6"/>
      <c r="G123" s="6" t="str">
        <f t="shared" si="1"/>
        <v>Coding Pattern</v>
      </c>
    </row>
    <row r="124" spans="1:7" ht="14" x14ac:dyDescent="0.15">
      <c r="A124" s="6" t="s">
        <v>617</v>
      </c>
      <c r="B124" s="8" t="s">
        <v>1232</v>
      </c>
      <c r="C124" s="6" t="str">
        <f>'Ann1 - Step 3'!C124</f>
        <v>Testing</v>
      </c>
      <c r="D124" s="6" t="str">
        <f>'Ann2 - Step 3'!C124</f>
        <v>Testing</v>
      </c>
      <c r="E124" s="6" t="b">
        <f t="shared" si="0"/>
        <v>0</v>
      </c>
      <c r="F124" s="6"/>
      <c r="G124" s="6" t="str">
        <f t="shared" si="1"/>
        <v>Testing</v>
      </c>
    </row>
    <row r="125" spans="1:7" ht="13" x14ac:dyDescent="0.15">
      <c r="A125" s="6" t="s">
        <v>1234</v>
      </c>
      <c r="B125" s="6" t="s">
        <v>1235</v>
      </c>
      <c r="C125" s="6" t="str">
        <f>'Ann1 - Step 3'!C125</f>
        <v>Testing</v>
      </c>
      <c r="D125" s="6" t="str">
        <f>'Ann2 - Step 3'!C125</f>
        <v>Testing</v>
      </c>
      <c r="E125" s="6" t="b">
        <f t="shared" si="0"/>
        <v>0</v>
      </c>
      <c r="F125" s="6"/>
      <c r="G125" s="6" t="str">
        <f t="shared" si="1"/>
        <v>Testing</v>
      </c>
    </row>
    <row r="126" spans="1:7" ht="14" x14ac:dyDescent="0.15">
      <c r="A126" s="6" t="s">
        <v>1234</v>
      </c>
      <c r="B126" s="8" t="s">
        <v>1236</v>
      </c>
      <c r="C126" s="6" t="str">
        <f>'Ann1 - Step 3'!C126</f>
        <v>Documentation</v>
      </c>
      <c r="D126" s="6" t="str">
        <f>'Ann2 - Step 3'!C126</f>
        <v>Documentation</v>
      </c>
      <c r="E126" s="6" t="b">
        <f t="shared" si="0"/>
        <v>0</v>
      </c>
      <c r="F126" s="6"/>
      <c r="G126" s="6" t="str">
        <f t="shared" si="1"/>
        <v>Documentation</v>
      </c>
    </row>
    <row r="127" spans="1:7" ht="14" x14ac:dyDescent="0.15">
      <c r="A127" s="6" t="s">
        <v>523</v>
      </c>
      <c r="B127" s="8" t="s">
        <v>1237</v>
      </c>
      <c r="C127" s="6" t="str">
        <f>'Ann1 - Step 3'!C127</f>
        <v>Performance</v>
      </c>
      <c r="D127" s="6" t="str">
        <f>'Ann2 - Step 3'!C127</f>
        <v>Performance</v>
      </c>
      <c r="E127" s="6" t="b">
        <f t="shared" si="0"/>
        <v>0</v>
      </c>
      <c r="F127" s="6"/>
      <c r="G127" s="6" t="str">
        <f t="shared" si="1"/>
        <v>Performance</v>
      </c>
    </row>
    <row r="128" spans="1:7" ht="14" x14ac:dyDescent="0.15">
      <c r="A128" s="6" t="s">
        <v>523</v>
      </c>
      <c r="B128" s="8" t="s">
        <v>1238</v>
      </c>
      <c r="C128" s="6" t="str">
        <f>'Ann1 - Step 3'!C128</f>
        <v>Performance</v>
      </c>
      <c r="D128" s="6" t="str">
        <f>'Ann2 - Step 3'!C128</f>
        <v>Performance</v>
      </c>
      <c r="E128" s="6" t="b">
        <f t="shared" si="0"/>
        <v>0</v>
      </c>
      <c r="F128" s="6"/>
      <c r="G128" s="6" t="str">
        <f t="shared" si="1"/>
        <v>Performance</v>
      </c>
    </row>
    <row r="129" spans="1:7" ht="13" x14ac:dyDescent="0.15">
      <c r="A129" s="6" t="s">
        <v>523</v>
      </c>
      <c r="B129" s="6" t="s">
        <v>1239</v>
      </c>
      <c r="C129" s="6" t="str">
        <f>'Ann1 - Step 3'!C129</f>
        <v>Performance</v>
      </c>
      <c r="D129" s="6" t="str">
        <f>'Ann2 - Step 3'!C129</f>
        <v>Performance</v>
      </c>
      <c r="E129" s="6" t="b">
        <f t="shared" si="0"/>
        <v>0</v>
      </c>
      <c r="F129" s="6"/>
      <c r="G129" s="6" t="str">
        <f t="shared" si="1"/>
        <v>Performance</v>
      </c>
    </row>
    <row r="130" spans="1:7" ht="14" x14ac:dyDescent="0.15">
      <c r="A130" s="6" t="s">
        <v>523</v>
      </c>
      <c r="B130" s="8" t="s">
        <v>1240</v>
      </c>
      <c r="C130" s="6" t="str">
        <f>'Ann1 - Step 3'!C130</f>
        <v>Testing</v>
      </c>
      <c r="D130" s="6" t="str">
        <f>'Ann2 - Step 3'!C130</f>
        <v>Testing</v>
      </c>
      <c r="E130" s="6" t="b">
        <f t="shared" si="0"/>
        <v>0</v>
      </c>
      <c r="F130" s="6"/>
      <c r="G130" s="6" t="str">
        <f t="shared" si="1"/>
        <v>Testing</v>
      </c>
    </row>
    <row r="131" spans="1:7" ht="14" x14ac:dyDescent="0.15">
      <c r="A131" s="6" t="s">
        <v>1242</v>
      </c>
      <c r="B131" s="8" t="s">
        <v>1243</v>
      </c>
      <c r="C131" s="6" t="str">
        <f>'Ann1 - Step 3'!C131</f>
        <v>Task Execution</v>
      </c>
      <c r="D131" s="6" t="str">
        <f>'Ann2 - Step 3'!C131</f>
        <v>Task Execution</v>
      </c>
      <c r="E131" s="6" t="b">
        <f t="shared" si="0"/>
        <v>0</v>
      </c>
      <c r="F131" s="6"/>
      <c r="G131" s="6" t="str">
        <f t="shared" si="1"/>
        <v>Task Execution</v>
      </c>
    </row>
    <row r="132" spans="1:7" ht="28" x14ac:dyDescent="0.15">
      <c r="A132" s="6" t="s">
        <v>1242</v>
      </c>
      <c r="B132" s="8" t="s">
        <v>1244</v>
      </c>
      <c r="C132" s="6" t="str">
        <f>'Ann1 - Step 3'!C132</f>
        <v>Task Execution</v>
      </c>
      <c r="D132" s="6" t="str">
        <f>'Ann2 - Step 3'!C132</f>
        <v>Task Execution</v>
      </c>
      <c r="E132" s="6" t="b">
        <f t="shared" si="0"/>
        <v>0</v>
      </c>
      <c r="F132" s="6"/>
      <c r="G132" s="6" t="str">
        <f t="shared" si="1"/>
        <v>Task Execution</v>
      </c>
    </row>
    <row r="133" spans="1:7" ht="13" x14ac:dyDescent="0.15">
      <c r="A133" s="6" t="s">
        <v>1242</v>
      </c>
      <c r="B133" s="6" t="s">
        <v>1245</v>
      </c>
      <c r="C133" s="6" t="str">
        <f>'Ann1 - Step 3'!C133</f>
        <v>Task Execution</v>
      </c>
      <c r="D133" s="6" t="str">
        <f>'Ann2 - Step 3'!C133</f>
        <v>Task Execution</v>
      </c>
      <c r="E133" s="6" t="b">
        <f t="shared" si="0"/>
        <v>0</v>
      </c>
      <c r="F133" s="6"/>
      <c r="G133" s="6" t="str">
        <f t="shared" si="1"/>
        <v>Task Execution</v>
      </c>
    </row>
    <row r="134" spans="1:7" ht="14" x14ac:dyDescent="0.15">
      <c r="A134" s="6" t="s">
        <v>696</v>
      </c>
      <c r="B134" s="8" t="s">
        <v>1246</v>
      </c>
      <c r="C134" s="6" t="str">
        <f>'Ann1 - Step 3'!C134</f>
        <v>Task Execution</v>
      </c>
      <c r="D134" s="6" t="str">
        <f>'Ann2 - Step 3'!C134</f>
        <v>Task Execution</v>
      </c>
      <c r="E134" s="6" t="b">
        <f t="shared" si="0"/>
        <v>0</v>
      </c>
      <c r="F134" s="6"/>
      <c r="G134" s="6" t="str">
        <f t="shared" si="1"/>
        <v>Task Execution</v>
      </c>
    </row>
    <row r="135" spans="1:7" ht="14" x14ac:dyDescent="0.15">
      <c r="A135" s="6" t="s">
        <v>696</v>
      </c>
      <c r="B135" s="8" t="s">
        <v>1247</v>
      </c>
      <c r="C135" s="6" t="str">
        <f>'Ann1 - Step 3'!C135</f>
        <v>Build &amp; Operation</v>
      </c>
      <c r="D135" s="6" t="str">
        <f>'Ann2 - Step 3'!C135</f>
        <v>Build &amp; Operation</v>
      </c>
      <c r="E135" s="6" t="b">
        <f t="shared" si="0"/>
        <v>0</v>
      </c>
      <c r="F135" s="6"/>
      <c r="G135" s="6" t="str">
        <f t="shared" si="1"/>
        <v>Build &amp; Operation</v>
      </c>
    </row>
    <row r="136" spans="1:7" ht="13" x14ac:dyDescent="0.15">
      <c r="A136" s="31" t="s">
        <v>696</v>
      </c>
      <c r="B136" s="6" t="s">
        <v>1248</v>
      </c>
      <c r="C136" s="6" t="str">
        <f>'Ann1 - Step 3'!C136</f>
        <v>Documentation</v>
      </c>
      <c r="D136" s="6" t="str">
        <f>'Ann2 - Step 3'!C136</f>
        <v>Commit&amp;PR rule</v>
      </c>
      <c r="E136" s="6" t="b">
        <f t="shared" si="0"/>
        <v>1</v>
      </c>
      <c r="F136" s="30" t="s">
        <v>12</v>
      </c>
      <c r="G136" s="6" t="str">
        <f t="shared" si="1"/>
        <v>Commit&amp;PR rule</v>
      </c>
    </row>
    <row r="137" spans="1:7" ht="13" x14ac:dyDescent="0.15">
      <c r="A137" s="6" t="s">
        <v>553</v>
      </c>
      <c r="B137" s="6" t="s">
        <v>1249</v>
      </c>
      <c r="C137" s="6" t="str">
        <f>'Ann1 - Step 3'!C137</f>
        <v>Coding Pattern</v>
      </c>
      <c r="D137" s="6" t="str">
        <f>'Ann2 - Step 3'!C137</f>
        <v>Coding Pattern</v>
      </c>
      <c r="E137" s="6" t="b">
        <f t="shared" si="0"/>
        <v>0</v>
      </c>
      <c r="F137" s="6"/>
      <c r="G137" s="6" t="str">
        <f t="shared" si="1"/>
        <v>Coding Pattern</v>
      </c>
    </row>
    <row r="138" spans="1:7" ht="14" x14ac:dyDescent="0.15">
      <c r="A138" s="6" t="s">
        <v>553</v>
      </c>
      <c r="B138" s="8" t="s">
        <v>1250</v>
      </c>
      <c r="C138" s="6" t="str">
        <f>'Ann1 - Step 3'!C138</f>
        <v>Coding Pattern</v>
      </c>
      <c r="D138" s="6" t="str">
        <f>'Ann2 - Step 3'!C138</f>
        <v>Coding Pattern</v>
      </c>
      <c r="E138" s="6" t="b">
        <f t="shared" si="0"/>
        <v>0</v>
      </c>
      <c r="F138" s="6"/>
      <c r="G138" s="6" t="str">
        <f t="shared" si="1"/>
        <v>Coding Pattern</v>
      </c>
    </row>
    <row r="139" spans="1:7" ht="13" x14ac:dyDescent="0.15">
      <c r="A139" s="6" t="s">
        <v>553</v>
      </c>
      <c r="B139" s="6" t="s">
        <v>1251</v>
      </c>
      <c r="C139" s="6" t="str">
        <f>'Ann1 - Step 3'!C139</f>
        <v>Coding Pattern</v>
      </c>
      <c r="D139" s="6" t="str">
        <f>'Ann2 - Step 3'!C139</f>
        <v>Coding Pattern</v>
      </c>
      <c r="E139" s="6" t="b">
        <f t="shared" si="0"/>
        <v>0</v>
      </c>
      <c r="F139" s="6"/>
      <c r="G139" s="6" t="str">
        <f t="shared" si="1"/>
        <v>Coding Pattern</v>
      </c>
    </row>
    <row r="140" spans="1:7" ht="13" x14ac:dyDescent="0.15">
      <c r="A140" s="6" t="s">
        <v>553</v>
      </c>
      <c r="B140" s="6" t="s">
        <v>1252</v>
      </c>
      <c r="C140" s="6" t="str">
        <f>'Ann1 - Step 3'!C140</f>
        <v>Coding Pattern</v>
      </c>
      <c r="D140" s="6" t="str">
        <f>'Ann2 - Step 3'!C140</f>
        <v>Coding Pattern</v>
      </c>
      <c r="E140" s="6" t="b">
        <f t="shared" si="0"/>
        <v>0</v>
      </c>
      <c r="F140" s="6"/>
      <c r="G140" s="6" t="str">
        <f t="shared" si="1"/>
        <v>Coding Pattern</v>
      </c>
    </row>
    <row r="141" spans="1:7" ht="13" x14ac:dyDescent="0.15">
      <c r="A141" s="6" t="s">
        <v>553</v>
      </c>
      <c r="B141" s="6" t="s">
        <v>1253</v>
      </c>
      <c r="C141" s="6" t="str">
        <f>'Ann1 - Step 3'!C141</f>
        <v>Coding Pattern</v>
      </c>
      <c r="D141" s="6" t="str">
        <f>'Ann2 - Step 3'!C141</f>
        <v>Coding Pattern</v>
      </c>
      <c r="E141" s="6" t="b">
        <f t="shared" si="0"/>
        <v>0</v>
      </c>
      <c r="F141" s="6"/>
      <c r="G141" s="6" t="str">
        <f t="shared" si="1"/>
        <v>Coding Pattern</v>
      </c>
    </row>
    <row r="142" spans="1:7" ht="14" x14ac:dyDescent="0.15">
      <c r="A142" s="6" t="s">
        <v>553</v>
      </c>
      <c r="B142" s="8" t="s">
        <v>1254</v>
      </c>
      <c r="C142" s="6" t="str">
        <f>'Ann1 - Step 3'!C142</f>
        <v>Coding Pattern</v>
      </c>
      <c r="D142" s="6" t="str">
        <f>'Ann2 - Step 3'!C142</f>
        <v>Coding Pattern</v>
      </c>
      <c r="E142" s="6" t="b">
        <f t="shared" si="0"/>
        <v>0</v>
      </c>
      <c r="F142" s="6"/>
      <c r="G142" s="6" t="str">
        <f t="shared" si="1"/>
        <v>Coding Pattern</v>
      </c>
    </row>
    <row r="143" spans="1:7" ht="14" x14ac:dyDescent="0.15">
      <c r="A143" s="6" t="s">
        <v>1255</v>
      </c>
      <c r="B143" s="8" t="s">
        <v>845</v>
      </c>
      <c r="C143" s="6" t="str">
        <f>'Ann1 - Step 3'!C143</f>
        <v>Task Execution</v>
      </c>
      <c r="D143" s="6" t="str">
        <f>'Ann2 - Step 3'!C143</f>
        <v>Task Execution</v>
      </c>
      <c r="E143" s="6" t="b">
        <f t="shared" si="0"/>
        <v>0</v>
      </c>
      <c r="F143" s="6"/>
      <c r="G143" s="6" t="str">
        <f t="shared" si="1"/>
        <v>Task Execution</v>
      </c>
    </row>
    <row r="144" spans="1:7" ht="14" x14ac:dyDescent="0.15">
      <c r="A144" s="6" t="s">
        <v>1255</v>
      </c>
      <c r="B144" s="8" t="s">
        <v>783</v>
      </c>
      <c r="C144" s="6" t="str">
        <f>'Ann1 - Step 3'!C144</f>
        <v>Task Execution</v>
      </c>
      <c r="D144" s="6" t="str">
        <f>'Ann2 - Step 3'!C144</f>
        <v>Task Execution</v>
      </c>
      <c r="E144" s="6" t="b">
        <f t="shared" si="0"/>
        <v>0</v>
      </c>
      <c r="F144" s="6"/>
      <c r="G144" s="6" t="str">
        <f t="shared" si="1"/>
        <v>Task Execution</v>
      </c>
    </row>
    <row r="145" spans="1:7" ht="13" x14ac:dyDescent="0.15">
      <c r="A145" s="6" t="s">
        <v>563</v>
      </c>
      <c r="B145" s="6" t="s">
        <v>874</v>
      </c>
      <c r="C145" s="6" t="str">
        <f>'Ann1 - Step 3'!C145</f>
        <v>Coding Pattern</v>
      </c>
      <c r="D145" s="6" t="str">
        <f>'Ann2 - Step 3'!C145</f>
        <v>Coding Pattern</v>
      </c>
      <c r="E145" s="6" t="b">
        <f t="shared" si="0"/>
        <v>0</v>
      </c>
      <c r="F145" s="6"/>
      <c r="G145" s="6" t="str">
        <f t="shared" si="1"/>
        <v>Coding Pattern</v>
      </c>
    </row>
    <row r="146" spans="1:7" ht="14" x14ac:dyDescent="0.15">
      <c r="A146" s="6" t="s">
        <v>1257</v>
      </c>
      <c r="B146" s="8" t="s">
        <v>1258</v>
      </c>
      <c r="C146" s="6" t="str">
        <f>'Ann1 - Step 3'!C146</f>
        <v>Build &amp; Operation</v>
      </c>
      <c r="D146" s="6" t="str">
        <f>'Ann2 - Step 3'!C146</f>
        <v>Commit&amp;PR rule</v>
      </c>
      <c r="E146" s="6" t="b">
        <f t="shared" si="0"/>
        <v>1</v>
      </c>
      <c r="F146" s="30" t="s">
        <v>18</v>
      </c>
      <c r="G146" s="6" t="str">
        <f t="shared" si="1"/>
        <v>Task Execution</v>
      </c>
    </row>
    <row r="147" spans="1:7" ht="13" x14ac:dyDescent="0.15">
      <c r="A147" s="6" t="s">
        <v>1257</v>
      </c>
      <c r="B147" s="6" t="s">
        <v>1259</v>
      </c>
      <c r="C147" s="6" t="str">
        <f>'Ann1 - Step 3'!C147</f>
        <v>Build &amp; Operation</v>
      </c>
      <c r="D147" s="6" t="str">
        <f>'Ann2 - Step 3'!C147</f>
        <v>Build &amp; Operation</v>
      </c>
      <c r="E147" s="6" t="b">
        <f t="shared" si="0"/>
        <v>0</v>
      </c>
      <c r="F147" s="6"/>
      <c r="G147" s="6" t="str">
        <f t="shared" si="1"/>
        <v>Build &amp; Operation</v>
      </c>
    </row>
    <row r="148" spans="1:7" ht="13" x14ac:dyDescent="0.15">
      <c r="A148" s="6" t="s">
        <v>1257</v>
      </c>
      <c r="B148" s="6" t="s">
        <v>1260</v>
      </c>
      <c r="C148" s="6" t="str">
        <f>'Ann1 - Step 3'!C148</f>
        <v>Build &amp; Operation</v>
      </c>
      <c r="D148" s="6" t="str">
        <f>'Ann2 - Step 3'!C148</f>
        <v>Build &amp; Operation</v>
      </c>
      <c r="E148" s="6" t="b">
        <f t="shared" si="0"/>
        <v>0</v>
      </c>
      <c r="F148" s="6"/>
      <c r="G148" s="6" t="str">
        <f t="shared" si="1"/>
        <v>Build &amp; Operation</v>
      </c>
    </row>
    <row r="149" spans="1:7" ht="14" x14ac:dyDescent="0.15">
      <c r="A149" s="6" t="s">
        <v>103</v>
      </c>
      <c r="B149" s="8" t="s">
        <v>1261</v>
      </c>
      <c r="C149" s="6" t="str">
        <f>'Ann1 - Step 3'!C149</f>
        <v>Documentation</v>
      </c>
      <c r="D149" s="6" t="str">
        <f>'Ann2 - Step 3'!C149</f>
        <v>Documentation</v>
      </c>
      <c r="E149" s="6" t="b">
        <f t="shared" si="0"/>
        <v>0</v>
      </c>
      <c r="F149" s="6"/>
      <c r="G149" s="6" t="str">
        <f t="shared" si="1"/>
        <v>Documentation</v>
      </c>
    </row>
    <row r="150" spans="1:7" ht="13" x14ac:dyDescent="0.15">
      <c r="A150" s="31" t="s">
        <v>103</v>
      </c>
      <c r="B150" s="6" t="s">
        <v>1262</v>
      </c>
      <c r="C150" s="6" t="str">
        <f>'Ann1 - Step 3'!C150</f>
        <v>Build &amp; Operation</v>
      </c>
      <c r="D150" s="6" t="str">
        <f>'Ann2 - Step 3'!C150</f>
        <v>Build &amp; Operation</v>
      </c>
      <c r="E150" s="6" t="b">
        <f t="shared" si="0"/>
        <v>0</v>
      </c>
      <c r="F150" s="6"/>
      <c r="G150" s="6" t="str">
        <f t="shared" si="1"/>
        <v>Build &amp; Operation</v>
      </c>
    </row>
    <row r="151" spans="1:7" ht="13" x14ac:dyDescent="0.15">
      <c r="A151" s="6" t="s">
        <v>1265</v>
      </c>
      <c r="B151" s="6" t="s">
        <v>1266</v>
      </c>
      <c r="C151" s="6" t="str">
        <f>'Ann1 - Step 3'!C151</f>
        <v>Coding Style</v>
      </c>
      <c r="D151" s="6" t="str">
        <f>'Ann2 - Step 3'!C151</f>
        <v>Coding Style</v>
      </c>
      <c r="E151" s="6" t="b">
        <f t="shared" si="0"/>
        <v>0</v>
      </c>
      <c r="F151" s="6"/>
      <c r="G151" s="6" t="str">
        <f t="shared" si="1"/>
        <v>Coding Style</v>
      </c>
    </row>
    <row r="152" spans="1:7" ht="14" x14ac:dyDescent="0.15">
      <c r="A152" s="6" t="s">
        <v>1265</v>
      </c>
      <c r="B152" s="8" t="s">
        <v>1267</v>
      </c>
      <c r="C152" s="6" t="str">
        <f>'Ann1 - Step 3'!C152</f>
        <v>Coding Style</v>
      </c>
      <c r="D152" s="6" t="str">
        <f>'Ann2 - Step 3'!C152</f>
        <v>Coding Style</v>
      </c>
      <c r="E152" s="6" t="b">
        <f t="shared" si="0"/>
        <v>0</v>
      </c>
      <c r="F152" s="6"/>
      <c r="G152" s="6" t="str">
        <f t="shared" si="1"/>
        <v>Coding Style</v>
      </c>
    </row>
    <row r="153" spans="1:7" ht="13" x14ac:dyDescent="0.15">
      <c r="A153" s="6" t="s">
        <v>1265</v>
      </c>
      <c r="B153" s="6" t="s">
        <v>1268</v>
      </c>
      <c r="C153" s="6" t="str">
        <f>'Ann1 - Step 3'!C153</f>
        <v>Maintainability</v>
      </c>
      <c r="D153" s="6" t="str">
        <f>'Ann2 - Step 3'!C153</f>
        <v>Coding Style</v>
      </c>
      <c r="E153" s="6" t="b">
        <f t="shared" si="0"/>
        <v>1</v>
      </c>
      <c r="F153" s="30" t="s">
        <v>83</v>
      </c>
      <c r="G153" s="6" t="str">
        <f t="shared" si="1"/>
        <v>Coding Style</v>
      </c>
    </row>
    <row r="154" spans="1:7" ht="28" x14ac:dyDescent="0.15">
      <c r="A154" s="6" t="s">
        <v>1271</v>
      </c>
      <c r="B154" s="8" t="s">
        <v>1272</v>
      </c>
      <c r="C154" s="6" t="str">
        <f>'Ann1 - Step 3'!C154</f>
        <v>Task Execution</v>
      </c>
      <c r="D154" s="6" t="str">
        <f>'Ann2 - Step 3'!C154</f>
        <v>Task Execution</v>
      </c>
      <c r="E154" s="6" t="b">
        <f t="shared" si="0"/>
        <v>0</v>
      </c>
      <c r="F154" s="6"/>
      <c r="G154" s="6" t="str">
        <f t="shared" si="1"/>
        <v>Task Execution</v>
      </c>
    </row>
    <row r="155" spans="1:7" ht="14" x14ac:dyDescent="0.15">
      <c r="A155" s="6" t="s">
        <v>1271</v>
      </c>
      <c r="B155" s="8" t="s">
        <v>1273</v>
      </c>
      <c r="C155" s="6" t="str">
        <f>'Ann1 - Step 3'!C155</f>
        <v>Task Execution</v>
      </c>
      <c r="D155" s="6" t="str">
        <f>'Ann2 - Step 3'!C155</f>
        <v>Task Execution</v>
      </c>
      <c r="E155" s="6" t="b">
        <f t="shared" si="0"/>
        <v>0</v>
      </c>
      <c r="F155" s="6"/>
      <c r="G155" s="6" t="str">
        <f t="shared" si="1"/>
        <v>Task Execution</v>
      </c>
    </row>
    <row r="156" spans="1:7" ht="14" x14ac:dyDescent="0.15">
      <c r="A156" s="6" t="s">
        <v>1271</v>
      </c>
      <c r="B156" s="8" t="s">
        <v>1274</v>
      </c>
      <c r="C156" s="6" t="str">
        <f>'Ann1 - Step 3'!C156</f>
        <v>Documentation</v>
      </c>
      <c r="D156" s="6" t="str">
        <f>'Ann2 - Step 3'!C156</f>
        <v>Documentation</v>
      </c>
      <c r="E156" s="6" t="b">
        <f t="shared" si="0"/>
        <v>0</v>
      </c>
      <c r="F156" s="6"/>
      <c r="G156" s="6" t="str">
        <f t="shared" si="1"/>
        <v>Documentation</v>
      </c>
    </row>
    <row r="157" spans="1:7" ht="13" x14ac:dyDescent="0.15">
      <c r="A157" s="6" t="s">
        <v>572</v>
      </c>
      <c r="B157" s="6" t="s">
        <v>1275</v>
      </c>
      <c r="C157" s="6" t="str">
        <f>'Ann1 - Step 3'!C157</f>
        <v>Maintainability</v>
      </c>
      <c r="D157" s="6" t="str">
        <f>'Ann2 - Step 3'!C157</f>
        <v>Maintainability</v>
      </c>
      <c r="E157" s="6" t="b">
        <f t="shared" si="0"/>
        <v>0</v>
      </c>
      <c r="F157" s="6"/>
      <c r="G157" s="6" t="str">
        <f t="shared" si="1"/>
        <v>Maintainability</v>
      </c>
    </row>
    <row r="158" spans="1:7" ht="13" x14ac:dyDescent="0.15">
      <c r="A158" s="6" t="s">
        <v>572</v>
      </c>
      <c r="B158" s="6" t="s">
        <v>1276</v>
      </c>
      <c r="C158" s="6" t="str">
        <f>'Ann1 - Step 3'!C158</f>
        <v>Coding Pattern</v>
      </c>
      <c r="D158" s="6" t="str">
        <f>'Ann2 - Step 3'!C158</f>
        <v>Coding Pattern</v>
      </c>
      <c r="E158" s="6" t="b">
        <f t="shared" si="0"/>
        <v>0</v>
      </c>
      <c r="F158" s="6"/>
      <c r="G158" s="6" t="str">
        <f t="shared" si="1"/>
        <v>Coding Pattern</v>
      </c>
    </row>
    <row r="159" spans="1:7" ht="14" x14ac:dyDescent="0.15">
      <c r="A159" s="6" t="s">
        <v>572</v>
      </c>
      <c r="B159" s="8" t="s">
        <v>1277</v>
      </c>
      <c r="C159" s="6" t="str">
        <f>'Ann1 - Step 3'!C159</f>
        <v>Coding Style</v>
      </c>
      <c r="D159" s="6" t="str">
        <f>'Ann2 - Step 3'!C159</f>
        <v>Coding Style</v>
      </c>
      <c r="E159" s="6" t="b">
        <f t="shared" si="0"/>
        <v>0</v>
      </c>
      <c r="F159" s="6"/>
      <c r="G159" s="6" t="str">
        <f t="shared" si="1"/>
        <v>Coding Style</v>
      </c>
    </row>
    <row r="160" spans="1:7" ht="14" x14ac:dyDescent="0.15">
      <c r="A160" s="6" t="s">
        <v>572</v>
      </c>
      <c r="B160" s="8" t="s">
        <v>1278</v>
      </c>
      <c r="C160" s="6" t="str">
        <f>'Ann1 - Step 3'!C160</f>
        <v>Coding Style</v>
      </c>
      <c r="D160" s="6" t="str">
        <f>'Ann2 - Step 3'!C160</f>
        <v>Coding Style</v>
      </c>
      <c r="E160" s="6" t="b">
        <f t="shared" si="0"/>
        <v>0</v>
      </c>
      <c r="F160" s="6"/>
      <c r="G160" s="6" t="str">
        <f t="shared" si="1"/>
        <v>Coding Style</v>
      </c>
    </row>
    <row r="161" spans="1:7" ht="13" x14ac:dyDescent="0.15">
      <c r="A161" s="6" t="s">
        <v>572</v>
      </c>
      <c r="B161" s="6" t="s">
        <v>1279</v>
      </c>
      <c r="C161" s="6" t="str">
        <f>'Ann1 - Step 3'!C161</f>
        <v>Coding Style</v>
      </c>
      <c r="D161" s="6" t="str">
        <f>'Ann2 - Step 3'!C161</f>
        <v>Coding Style</v>
      </c>
      <c r="E161" s="6" t="b">
        <f t="shared" si="0"/>
        <v>0</v>
      </c>
      <c r="F161" s="6"/>
      <c r="G161" s="6" t="str">
        <f t="shared" si="1"/>
        <v>Coding Style</v>
      </c>
    </row>
    <row r="162" spans="1:7" ht="13" x14ac:dyDescent="0.15">
      <c r="A162" s="6" t="s">
        <v>572</v>
      </c>
      <c r="B162" s="6" t="s">
        <v>1277</v>
      </c>
      <c r="C162" s="6" t="str">
        <f>'Ann1 - Step 3'!C162</f>
        <v>Coding Style</v>
      </c>
      <c r="D162" s="6" t="str">
        <f>'Ann2 - Step 3'!C162</f>
        <v>Coding Style</v>
      </c>
      <c r="E162" s="6" t="b">
        <f t="shared" si="0"/>
        <v>0</v>
      </c>
      <c r="F162" s="6"/>
      <c r="G162" s="6" t="str">
        <f t="shared" si="1"/>
        <v>Coding Style</v>
      </c>
    </row>
    <row r="163" spans="1:7" ht="14" x14ac:dyDescent="0.15">
      <c r="A163" s="6" t="s">
        <v>572</v>
      </c>
      <c r="B163" s="8" t="s">
        <v>1280</v>
      </c>
      <c r="C163" s="6" t="str">
        <f>'Ann1 - Step 3'!C163</f>
        <v>Coding Pattern</v>
      </c>
      <c r="D163" s="6" t="str">
        <f>'Ann2 - Step 3'!C163</f>
        <v>Coding Pattern</v>
      </c>
      <c r="E163" s="6" t="b">
        <f t="shared" si="0"/>
        <v>0</v>
      </c>
      <c r="F163" s="6"/>
      <c r="G163" s="6" t="str">
        <f t="shared" si="1"/>
        <v>Coding Pattern</v>
      </c>
    </row>
    <row r="164" spans="1:7" ht="13" x14ac:dyDescent="0.15">
      <c r="A164" s="6" t="s">
        <v>577</v>
      </c>
      <c r="B164" s="6" t="s">
        <v>1281</v>
      </c>
      <c r="C164" s="6" t="str">
        <f>'Ann1 - Step 3'!C164</f>
        <v>Documentation</v>
      </c>
      <c r="D164" s="6" t="str">
        <f>'Ann2 - Step 3'!C164</f>
        <v>Documentation</v>
      </c>
      <c r="E164" s="6" t="b">
        <f t="shared" si="0"/>
        <v>0</v>
      </c>
      <c r="F164" s="6"/>
      <c r="G164" s="6" t="str">
        <f t="shared" si="1"/>
        <v>Documentation</v>
      </c>
    </row>
    <row r="165" spans="1:7" ht="14" x14ac:dyDescent="0.15">
      <c r="A165" s="31" t="s">
        <v>577</v>
      </c>
      <c r="B165" s="8" t="s">
        <v>1282</v>
      </c>
      <c r="C165" s="6" t="str">
        <f>'Ann1 - Step 3'!C165</f>
        <v>Task Execution</v>
      </c>
      <c r="D165" s="6" t="str">
        <f>'Ann2 - Step 3'!C165</f>
        <v>Task Execution</v>
      </c>
      <c r="E165" s="6" t="b">
        <f t="shared" si="0"/>
        <v>0</v>
      </c>
      <c r="F165" s="6"/>
      <c r="G165" s="6" t="str">
        <f t="shared" si="1"/>
        <v>Task Execution</v>
      </c>
    </row>
    <row r="166" spans="1:7" ht="14" x14ac:dyDescent="0.15">
      <c r="A166" s="6" t="s">
        <v>577</v>
      </c>
      <c r="B166" s="8" t="s">
        <v>1283</v>
      </c>
      <c r="C166" s="6" t="str">
        <f>'Ann1 - Step 3'!C166</f>
        <v>Writing Style Preference</v>
      </c>
      <c r="D166" s="6" t="str">
        <f>'Ann2 - Step 3'!C166</f>
        <v>Task Execution</v>
      </c>
      <c r="E166" s="6" t="b">
        <f t="shared" si="0"/>
        <v>1</v>
      </c>
      <c r="F166" s="30" t="s">
        <v>18</v>
      </c>
      <c r="G166" s="6" t="str">
        <f t="shared" si="1"/>
        <v>Task Execution</v>
      </c>
    </row>
    <row r="167" spans="1:7" ht="14" x14ac:dyDescent="0.15">
      <c r="A167" s="6" t="s">
        <v>577</v>
      </c>
      <c r="B167" s="8" t="s">
        <v>1284</v>
      </c>
      <c r="C167" s="6" t="str">
        <f>'Ann1 - Step 3'!C167</f>
        <v>Task Execution</v>
      </c>
      <c r="D167" s="6" t="str">
        <f>'Ann2 - Step 3'!C167</f>
        <v>Task Execution</v>
      </c>
      <c r="E167" s="6" t="b">
        <f t="shared" si="0"/>
        <v>0</v>
      </c>
      <c r="F167" s="6"/>
      <c r="G167" s="6" t="str">
        <f t="shared" si="1"/>
        <v>Task Execution</v>
      </c>
    </row>
    <row r="168" spans="1:7" ht="13" x14ac:dyDescent="0.15">
      <c r="A168" s="6" t="s">
        <v>577</v>
      </c>
      <c r="B168" s="6" t="s">
        <v>1285</v>
      </c>
      <c r="C168" s="6" t="str">
        <f>'Ann1 - Step 3'!C168</f>
        <v>Task Execution</v>
      </c>
      <c r="D168" s="6" t="str">
        <f>'Ann2 - Step 3'!C168</f>
        <v>Task Execution</v>
      </c>
      <c r="E168" s="6" t="b">
        <f t="shared" si="0"/>
        <v>0</v>
      </c>
      <c r="F168" s="6"/>
      <c r="G168" s="6" t="str">
        <f t="shared" si="1"/>
        <v>Task Execution</v>
      </c>
    </row>
    <row r="169" spans="1:7" ht="13" x14ac:dyDescent="0.15">
      <c r="A169" s="6" t="s">
        <v>577</v>
      </c>
      <c r="B169" s="6" t="s">
        <v>1286</v>
      </c>
      <c r="C169" s="6" t="str">
        <f>'Ann1 - Step 3'!C169</f>
        <v>Task Execution</v>
      </c>
      <c r="D169" s="6" t="str">
        <f>'Ann2 - Step 3'!C169</f>
        <v>Task Execution</v>
      </c>
      <c r="E169" s="6" t="b">
        <f t="shared" si="0"/>
        <v>0</v>
      </c>
      <c r="F169" s="6"/>
      <c r="G169" s="6" t="str">
        <f t="shared" si="1"/>
        <v>Task Execution</v>
      </c>
    </row>
    <row r="170" spans="1:7" ht="13" x14ac:dyDescent="0.15">
      <c r="A170" s="6" t="s">
        <v>577</v>
      </c>
      <c r="B170" s="6" t="s">
        <v>1287</v>
      </c>
      <c r="C170" s="6" t="str">
        <f>'Ann1 - Step 3'!C170</f>
        <v>Task Execution</v>
      </c>
      <c r="D170" s="6" t="str">
        <f>'Ann2 - Step 3'!C170</f>
        <v>Task Execution</v>
      </c>
      <c r="E170" s="6" t="b">
        <f t="shared" si="0"/>
        <v>0</v>
      </c>
      <c r="F170" s="6"/>
      <c r="G170" s="6" t="str">
        <f t="shared" si="1"/>
        <v>Task Execution</v>
      </c>
    </row>
    <row r="171" spans="1:7" ht="13" x14ac:dyDescent="0.15">
      <c r="A171" s="6" t="s">
        <v>577</v>
      </c>
      <c r="B171" s="6" t="s">
        <v>1288</v>
      </c>
      <c r="C171" s="6" t="str">
        <f>'Ann1 - Step 3'!C171</f>
        <v>Task Execution</v>
      </c>
      <c r="D171" s="6" t="str">
        <f>'Ann2 - Step 3'!C171</f>
        <v>Task Execution</v>
      </c>
      <c r="E171" s="6" t="b">
        <f t="shared" si="0"/>
        <v>0</v>
      </c>
      <c r="F171" s="6"/>
      <c r="G171" s="6" t="str">
        <f t="shared" si="1"/>
        <v>Task Execution</v>
      </c>
    </row>
    <row r="172" spans="1:7" ht="28" x14ac:dyDescent="0.15">
      <c r="A172" s="6" t="s">
        <v>577</v>
      </c>
      <c r="B172" s="8" t="s">
        <v>1289</v>
      </c>
      <c r="C172" s="6" t="str">
        <f>'Ann1 - Step 3'!C172</f>
        <v>Task Execution</v>
      </c>
      <c r="D172" s="6" t="str">
        <f>'Ann2 - Step 3'!C172</f>
        <v>Task Execution</v>
      </c>
      <c r="E172" s="6" t="b">
        <f t="shared" si="0"/>
        <v>0</v>
      </c>
      <c r="F172" s="6"/>
      <c r="G172" s="6" t="str">
        <f t="shared" si="1"/>
        <v>Task Execution</v>
      </c>
    </row>
    <row r="173" spans="1:7" ht="13" x14ac:dyDescent="0.15">
      <c r="A173" s="6" t="s">
        <v>577</v>
      </c>
      <c r="B173" s="6" t="s">
        <v>1290</v>
      </c>
      <c r="C173" s="6" t="str">
        <f>'Ann1 - Step 3'!C173</f>
        <v>Task Execution</v>
      </c>
      <c r="D173" s="6" t="str">
        <f>'Ann2 - Step 3'!C173</f>
        <v>Task Execution</v>
      </c>
      <c r="E173" s="6" t="b">
        <f t="shared" si="0"/>
        <v>0</v>
      </c>
      <c r="F173" s="6"/>
      <c r="G173" s="6" t="str">
        <f t="shared" si="1"/>
        <v>Task Execution</v>
      </c>
    </row>
    <row r="174" spans="1:7" ht="14" x14ac:dyDescent="0.15">
      <c r="A174" s="6" t="s">
        <v>577</v>
      </c>
      <c r="B174" s="8" t="s">
        <v>1291</v>
      </c>
      <c r="C174" s="6" t="str">
        <f>'Ann1 - Step 3'!C174</f>
        <v>Task Execution</v>
      </c>
      <c r="D174" s="6" t="str">
        <f>'Ann2 - Step 3'!C174</f>
        <v>Task Execution</v>
      </c>
      <c r="E174" s="6" t="b">
        <f t="shared" si="0"/>
        <v>0</v>
      </c>
      <c r="F174" s="6"/>
      <c r="G174" s="6" t="str">
        <f t="shared" si="1"/>
        <v>Task Execution</v>
      </c>
    </row>
    <row r="175" spans="1:7" ht="14" x14ac:dyDescent="0.15">
      <c r="A175" s="6" t="s">
        <v>577</v>
      </c>
      <c r="B175" s="8" t="s">
        <v>1292</v>
      </c>
      <c r="C175" s="6" t="str">
        <f>'Ann1 - Step 3'!C175</f>
        <v>Commit&amp;PR rule</v>
      </c>
      <c r="D175" s="6" t="str">
        <f>'Ann2 - Step 3'!C175</f>
        <v>Commit&amp;PR rule</v>
      </c>
      <c r="E175" s="6" t="b">
        <f t="shared" si="0"/>
        <v>0</v>
      </c>
      <c r="F175" s="6"/>
      <c r="G175" s="6" t="str">
        <f t="shared" si="1"/>
        <v>Commit&amp;PR rule</v>
      </c>
    </row>
    <row r="176" spans="1:7" ht="14" x14ac:dyDescent="0.15">
      <c r="A176" s="6" t="s">
        <v>577</v>
      </c>
      <c r="B176" s="8" t="s">
        <v>1293</v>
      </c>
      <c r="C176" s="6" t="str">
        <f>'Ann1 - Step 3'!C176</f>
        <v>Task Execution</v>
      </c>
      <c r="D176" s="6" t="str">
        <f>'Ann2 - Step 3'!C176</f>
        <v>Task Execution</v>
      </c>
      <c r="E176" s="6" t="b">
        <f t="shared" si="0"/>
        <v>0</v>
      </c>
      <c r="F176" s="6"/>
      <c r="G176" s="6" t="str">
        <f t="shared" si="1"/>
        <v>Task Execution</v>
      </c>
    </row>
    <row r="177" spans="1:7" ht="13" x14ac:dyDescent="0.15">
      <c r="A177" s="6" t="s">
        <v>577</v>
      </c>
      <c r="B177" s="6" t="s">
        <v>1294</v>
      </c>
      <c r="C177" s="6" t="str">
        <f>'Ann1 - Step 3'!C177</f>
        <v>Documentation</v>
      </c>
      <c r="D177" s="6" t="str">
        <f>'Ann2 - Step 3'!C177</f>
        <v>Documentation</v>
      </c>
      <c r="E177" s="6" t="b">
        <f t="shared" si="0"/>
        <v>0</v>
      </c>
      <c r="F177" s="6"/>
      <c r="G177" s="6" t="str">
        <f t="shared" si="1"/>
        <v>Documentation</v>
      </c>
    </row>
    <row r="178" spans="1:7" ht="13" x14ac:dyDescent="0.15">
      <c r="A178" s="6" t="s">
        <v>577</v>
      </c>
      <c r="B178" s="6" t="s">
        <v>1295</v>
      </c>
      <c r="C178" s="6" t="str">
        <f>'Ann1 - Step 3'!C178</f>
        <v>Documentation</v>
      </c>
      <c r="D178" s="6" t="str">
        <f>'Ann2 - Step 3'!C178</f>
        <v>Documentation</v>
      </c>
      <c r="E178" s="6" t="b">
        <f t="shared" si="0"/>
        <v>0</v>
      </c>
      <c r="F178" s="6"/>
      <c r="G178" s="6" t="str">
        <f t="shared" si="1"/>
        <v>Documentation</v>
      </c>
    </row>
    <row r="179" spans="1:7" ht="13" x14ac:dyDescent="0.15">
      <c r="A179" s="6" t="s">
        <v>577</v>
      </c>
      <c r="B179" s="6" t="s">
        <v>1296</v>
      </c>
      <c r="C179" s="6" t="str">
        <f>'Ann1 - Step 3'!C179</f>
        <v>Task Execution</v>
      </c>
      <c r="D179" s="6" t="str">
        <f>'Ann2 - Step 3'!C179</f>
        <v>Task Execution</v>
      </c>
      <c r="E179" s="6" t="b">
        <f t="shared" si="0"/>
        <v>0</v>
      </c>
      <c r="F179" s="6"/>
      <c r="G179" s="6" t="str">
        <f t="shared" si="1"/>
        <v>Task Execution</v>
      </c>
    </row>
    <row r="180" spans="1:7" ht="14" x14ac:dyDescent="0.15">
      <c r="A180" s="6" t="s">
        <v>577</v>
      </c>
      <c r="B180" s="8" t="s">
        <v>1297</v>
      </c>
      <c r="C180" s="6" t="str">
        <f>'Ann1 - Step 3'!C180</f>
        <v>Build &amp; Operation</v>
      </c>
      <c r="D180" s="6" t="str">
        <f>'Ann2 - Step 3'!C180</f>
        <v>Build &amp; Operation</v>
      </c>
      <c r="E180" s="6" t="b">
        <f t="shared" si="0"/>
        <v>0</v>
      </c>
      <c r="F180" s="6"/>
      <c r="G180" s="6" t="str">
        <f t="shared" si="1"/>
        <v>Build &amp; Operation</v>
      </c>
    </row>
    <row r="181" spans="1:7" ht="13" x14ac:dyDescent="0.15">
      <c r="A181" s="6" t="s">
        <v>1300</v>
      </c>
      <c r="B181" s="6" t="s">
        <v>1301</v>
      </c>
      <c r="C181" s="6" t="str">
        <f>'Ann1 - Step 3'!C181</f>
        <v>Task Execution</v>
      </c>
      <c r="D181" s="6" t="str">
        <f>'Ann2 - Step 3'!C181</f>
        <v>Task Execution</v>
      </c>
      <c r="E181" s="6" t="b">
        <f t="shared" si="0"/>
        <v>0</v>
      </c>
      <c r="F181" s="6"/>
      <c r="G181" s="6" t="str">
        <f t="shared" si="1"/>
        <v>Task Execution</v>
      </c>
    </row>
    <row r="182" spans="1:7" ht="14" x14ac:dyDescent="0.15">
      <c r="A182" s="6" t="s">
        <v>1300</v>
      </c>
      <c r="B182" s="8" t="s">
        <v>1302</v>
      </c>
      <c r="C182" s="6" t="str">
        <f>'Ann1 - Step 3'!C182</f>
        <v>Build &amp; Operation</v>
      </c>
      <c r="D182" s="6" t="str">
        <f>'Ann2 - Step 3'!C182</f>
        <v>Build &amp; Operation</v>
      </c>
      <c r="E182" s="6" t="b">
        <f t="shared" si="0"/>
        <v>0</v>
      </c>
      <c r="F182" s="6"/>
      <c r="G182" s="6" t="str">
        <f t="shared" si="1"/>
        <v>Build &amp; Operation</v>
      </c>
    </row>
    <row r="183" spans="1:7" ht="14" x14ac:dyDescent="0.15">
      <c r="A183" s="6" t="s">
        <v>1300</v>
      </c>
      <c r="B183" s="8" t="s">
        <v>1303</v>
      </c>
      <c r="C183" s="6" t="str">
        <f>'Ann1 - Step 3'!C183</f>
        <v>Task Execution</v>
      </c>
      <c r="D183" s="6" t="str">
        <f>'Ann2 - Step 3'!C183</f>
        <v>Task Execution</v>
      </c>
      <c r="E183" s="6" t="b">
        <f t="shared" si="0"/>
        <v>0</v>
      </c>
      <c r="F183" s="6"/>
      <c r="G183" s="6" t="str">
        <f t="shared" si="1"/>
        <v>Task Execution</v>
      </c>
    </row>
    <row r="184" spans="1:7" ht="14" x14ac:dyDescent="0.15">
      <c r="A184" s="6" t="s">
        <v>1300</v>
      </c>
      <c r="B184" s="8" t="s">
        <v>1304</v>
      </c>
      <c r="C184" s="6" t="str">
        <f>'Ann1 - Step 3'!C184</f>
        <v>Build &amp; Operation</v>
      </c>
      <c r="D184" s="6" t="str">
        <f>'Ann2 - Step 3'!C184</f>
        <v>Build &amp; Operation</v>
      </c>
      <c r="E184" s="6" t="b">
        <f t="shared" si="0"/>
        <v>0</v>
      </c>
      <c r="F184" s="6"/>
      <c r="G184" s="6" t="str">
        <f t="shared" si="1"/>
        <v>Build &amp; Operation</v>
      </c>
    </row>
    <row r="185" spans="1:7" ht="14" x14ac:dyDescent="0.15">
      <c r="A185" s="6" t="s">
        <v>1300</v>
      </c>
      <c r="B185" s="8" t="s">
        <v>1305</v>
      </c>
      <c r="C185" s="6" t="str">
        <f>'Ann1 - Step 3'!C185</f>
        <v>Documentation</v>
      </c>
      <c r="D185" s="6" t="str">
        <f>'Ann2 - Step 3'!C185</f>
        <v>Documentation</v>
      </c>
      <c r="E185" s="6" t="b">
        <f t="shared" si="0"/>
        <v>0</v>
      </c>
      <c r="F185" s="6"/>
      <c r="G185" s="6" t="str">
        <f t="shared" si="1"/>
        <v>Documentation</v>
      </c>
    </row>
    <row r="186" spans="1:7" ht="14" x14ac:dyDescent="0.15">
      <c r="A186" s="6" t="s">
        <v>1300</v>
      </c>
      <c r="B186" s="8" t="s">
        <v>1306</v>
      </c>
      <c r="C186" s="6" t="str">
        <f>'Ann1 - Step 3'!C186</f>
        <v>Writing Style Preference</v>
      </c>
      <c r="D186" s="6" t="str">
        <f>'Ann2 - Step 3'!C186</f>
        <v>Writing Style Preference</v>
      </c>
      <c r="E186" s="6" t="b">
        <f t="shared" si="0"/>
        <v>0</v>
      </c>
      <c r="F186" s="6"/>
      <c r="G186" s="6" t="str">
        <f t="shared" si="1"/>
        <v>Writing Style Preference</v>
      </c>
    </row>
    <row r="187" spans="1:7" ht="13" x14ac:dyDescent="0.15">
      <c r="A187" s="6" t="s">
        <v>65</v>
      </c>
      <c r="B187" s="6" t="s">
        <v>1307</v>
      </c>
      <c r="C187" s="6" t="str">
        <f>'Ann1 - Step 3'!C187</f>
        <v>Writing Style Preference</v>
      </c>
      <c r="D187" s="6" t="str">
        <f>'Ann2 - Step 3'!C187</f>
        <v>Writing Style Preference</v>
      </c>
      <c r="E187" s="6" t="b">
        <f t="shared" si="0"/>
        <v>0</v>
      </c>
      <c r="F187" s="6"/>
      <c r="G187" s="6" t="str">
        <f t="shared" si="1"/>
        <v>Writing Style Preference</v>
      </c>
    </row>
    <row r="188" spans="1:7" ht="28" x14ac:dyDescent="0.15">
      <c r="A188" s="6" t="s">
        <v>594</v>
      </c>
      <c r="B188" s="8" t="s">
        <v>1308</v>
      </c>
      <c r="C188" s="6" t="str">
        <f>'Ann1 - Step 3'!C188</f>
        <v>Maintainability</v>
      </c>
      <c r="D188" s="6" t="str">
        <f>'Ann2 - Step 3'!C188</f>
        <v>Maintainability</v>
      </c>
      <c r="E188" s="6" t="b">
        <f t="shared" si="0"/>
        <v>0</v>
      </c>
      <c r="F188" s="6"/>
      <c r="G188" s="6" t="str">
        <f t="shared" si="1"/>
        <v>Maintainability</v>
      </c>
    </row>
    <row r="189" spans="1:7" ht="13" x14ac:dyDescent="0.15">
      <c r="A189" s="6" t="s">
        <v>594</v>
      </c>
      <c r="B189" s="6" t="s">
        <v>1309</v>
      </c>
      <c r="C189" s="6" t="str">
        <f>'Ann1 - Step 3'!C189</f>
        <v>Testing</v>
      </c>
      <c r="D189" s="6" t="str">
        <f>'Ann2 - Step 3'!C189</f>
        <v>Testing</v>
      </c>
      <c r="E189" s="6" t="b">
        <f t="shared" si="0"/>
        <v>0</v>
      </c>
      <c r="F189" s="6"/>
      <c r="G189" s="6" t="str">
        <f t="shared" si="1"/>
        <v>Testing</v>
      </c>
    </row>
    <row r="190" spans="1:7" ht="13" x14ac:dyDescent="0.15">
      <c r="A190" s="6" t="s">
        <v>594</v>
      </c>
      <c r="B190" s="6" t="s">
        <v>1310</v>
      </c>
      <c r="C190" s="6" t="str">
        <f>'Ann1 - Step 3'!C190</f>
        <v>Testing</v>
      </c>
      <c r="D190" s="6" t="str">
        <f>'Ann2 - Step 3'!C190</f>
        <v>Testing</v>
      </c>
      <c r="E190" s="6" t="b">
        <f t="shared" si="0"/>
        <v>0</v>
      </c>
      <c r="F190" s="6"/>
      <c r="G190" s="6" t="str">
        <f t="shared" si="1"/>
        <v>Testing</v>
      </c>
    </row>
    <row r="191" spans="1:7" ht="14" x14ac:dyDescent="0.15">
      <c r="A191" s="6" t="s">
        <v>175</v>
      </c>
      <c r="B191" s="8" t="s">
        <v>1311</v>
      </c>
      <c r="C191" s="6" t="str">
        <f>'Ann1 - Step 3'!C191</f>
        <v>Maintainability</v>
      </c>
      <c r="D191" s="6" t="str">
        <f>'Ann2 - Step 3'!C191</f>
        <v>Coding Pattern</v>
      </c>
      <c r="E191" s="6" t="b">
        <f t="shared" si="0"/>
        <v>1</v>
      </c>
      <c r="F191" s="30" t="s">
        <v>30</v>
      </c>
      <c r="G191" s="6" t="str">
        <f t="shared" si="1"/>
        <v>Coding Pattern</v>
      </c>
    </row>
    <row r="192" spans="1:7" ht="28" x14ac:dyDescent="0.15">
      <c r="A192" s="6" t="s">
        <v>351</v>
      </c>
      <c r="B192" s="8" t="s">
        <v>1313</v>
      </c>
      <c r="C192" s="6" t="str">
        <f>'Ann1 - Step 3'!C192</f>
        <v>Coding Pattern</v>
      </c>
      <c r="D192" s="6" t="str">
        <f>'Ann2 - Step 3'!C192</f>
        <v>Coding Pattern</v>
      </c>
      <c r="E192" s="6" t="b">
        <f t="shared" si="0"/>
        <v>0</v>
      </c>
      <c r="F192" s="6"/>
      <c r="G192" s="6" t="str">
        <f t="shared" si="1"/>
        <v>Coding Pattern</v>
      </c>
    </row>
    <row r="193" spans="1:7" ht="13" x14ac:dyDescent="0.15">
      <c r="A193" s="6" t="s">
        <v>500</v>
      </c>
      <c r="B193" s="6" t="s">
        <v>1315</v>
      </c>
      <c r="C193" s="6" t="str">
        <f>'Ann1 - Step 3'!C193</f>
        <v>Commit&amp;PR rule</v>
      </c>
      <c r="D193" s="6" t="str">
        <f>'Ann2 - Step 3'!C193</f>
        <v>Commit&amp;PR rule</v>
      </c>
      <c r="E193" s="6" t="b">
        <f t="shared" si="0"/>
        <v>0</v>
      </c>
      <c r="F193" s="6"/>
      <c r="G193" s="6" t="str">
        <f t="shared" si="1"/>
        <v>Commit&amp;PR rule</v>
      </c>
    </row>
    <row r="194" spans="1:7" ht="14" x14ac:dyDescent="0.15">
      <c r="A194" s="6" t="s">
        <v>1265</v>
      </c>
      <c r="B194" s="8" t="s">
        <v>1316</v>
      </c>
      <c r="C194" s="6" t="str">
        <f>'Ann1 - Step 3'!C194</f>
        <v>Maintainability</v>
      </c>
      <c r="D194" s="6" t="str">
        <f>'Ann2 - Step 3'!C194</f>
        <v>Maintainability</v>
      </c>
      <c r="E194" s="6" t="b">
        <f t="shared" si="0"/>
        <v>0</v>
      </c>
      <c r="F194" s="6"/>
      <c r="G194" s="6" t="str">
        <f t="shared" si="1"/>
        <v>Maintainability</v>
      </c>
    </row>
    <row r="195" spans="1:7" ht="13" x14ac:dyDescent="0.15">
      <c r="A195" s="31" t="s">
        <v>142</v>
      </c>
      <c r="B195" s="6" t="s">
        <v>1317</v>
      </c>
      <c r="C195" s="6" t="str">
        <f>'Ann1 - Step 3'!C195</f>
        <v>Coding Pattern</v>
      </c>
      <c r="D195" s="6" t="str">
        <f>'Ann2 - Step 3'!C195</f>
        <v>Coding Pattern</v>
      </c>
      <c r="E195" s="6" t="b">
        <f t="shared" si="0"/>
        <v>0</v>
      </c>
      <c r="F195" s="6"/>
      <c r="G195" s="6" t="str">
        <f t="shared" si="1"/>
        <v>Coding Pattern</v>
      </c>
    </row>
    <row r="196" spans="1:7" ht="14" x14ac:dyDescent="0.15">
      <c r="A196" s="6" t="s">
        <v>256</v>
      </c>
      <c r="B196" s="8" t="s">
        <v>1319</v>
      </c>
      <c r="C196" s="6" t="str">
        <f>'Ann1 - Step 3'!C196</f>
        <v>Build &amp; Operation</v>
      </c>
      <c r="D196" s="6" t="str">
        <f>'Ann2 - Step 3'!C196</f>
        <v>Build &amp; Operation</v>
      </c>
      <c r="E196" s="6" t="b">
        <f t="shared" si="0"/>
        <v>0</v>
      </c>
      <c r="F196" s="6"/>
      <c r="G196" s="6" t="str">
        <f t="shared" si="1"/>
        <v>Build &amp; Operation</v>
      </c>
    </row>
    <row r="197" spans="1:7" ht="13" x14ac:dyDescent="0.15">
      <c r="A197" s="6" t="s">
        <v>160</v>
      </c>
      <c r="B197" s="6" t="s">
        <v>1321</v>
      </c>
      <c r="C197" s="6" t="str">
        <f>'Ann1 - Step 3'!C197</f>
        <v>Task Execution</v>
      </c>
      <c r="D197" s="6" t="str">
        <f>'Ann2 - Step 3'!C197</f>
        <v>Task Execution</v>
      </c>
      <c r="E197" s="6" t="b">
        <f t="shared" si="0"/>
        <v>0</v>
      </c>
      <c r="F197" s="6"/>
      <c r="G197" s="6" t="str">
        <f t="shared" si="1"/>
        <v>Task Execution</v>
      </c>
    </row>
    <row r="198" spans="1:7" ht="13" x14ac:dyDescent="0.15">
      <c r="A198" s="31" t="s">
        <v>166</v>
      </c>
      <c r="B198" s="6" t="s">
        <v>1322</v>
      </c>
      <c r="C198" s="6" t="str">
        <f>'Ann1 - Step 3'!C198</f>
        <v>Coding Pattern</v>
      </c>
      <c r="D198" s="6" t="str">
        <f>'Ann2 - Step 3'!C198</f>
        <v>Coding Pattern</v>
      </c>
      <c r="E198" s="6" t="b">
        <f t="shared" si="0"/>
        <v>0</v>
      </c>
      <c r="F198" s="6"/>
      <c r="G198" s="6" t="str">
        <f t="shared" si="1"/>
        <v>Coding Pattern</v>
      </c>
    </row>
    <row r="199" spans="1:7" ht="14" x14ac:dyDescent="0.15">
      <c r="A199" s="6" t="s">
        <v>1013</v>
      </c>
      <c r="B199" s="8" t="s">
        <v>1323</v>
      </c>
      <c r="C199" s="6" t="str">
        <f>'Ann1 - Step 3'!C199</f>
        <v>Task Execution</v>
      </c>
      <c r="D199" s="6" t="str">
        <f>'Ann2 - Step 3'!C199</f>
        <v>Task Execution</v>
      </c>
      <c r="E199" s="6" t="b">
        <f t="shared" si="0"/>
        <v>0</v>
      </c>
      <c r="F199" s="6"/>
      <c r="G199" s="6" t="str">
        <f t="shared" si="1"/>
        <v>Task Execution</v>
      </c>
    </row>
    <row r="200" spans="1:7" ht="13" x14ac:dyDescent="0.15">
      <c r="A200" s="6" t="s">
        <v>94</v>
      </c>
      <c r="B200" s="6" t="s">
        <v>1324</v>
      </c>
      <c r="C200" s="6" t="str">
        <f>'Ann1 - Step 3'!C200</f>
        <v>Coding Style</v>
      </c>
      <c r="D200" s="6" t="str">
        <f>'Ann2 - Step 3'!C200</f>
        <v>Coding Style</v>
      </c>
      <c r="E200" s="6" t="b">
        <f t="shared" si="0"/>
        <v>0</v>
      </c>
      <c r="F200" s="6"/>
      <c r="G200" s="6" t="str">
        <f t="shared" si="1"/>
        <v>Coding Style</v>
      </c>
    </row>
    <row r="201" spans="1:7" ht="13" x14ac:dyDescent="0.15">
      <c r="A201" s="6" t="s">
        <v>497</v>
      </c>
      <c r="B201" s="6" t="s">
        <v>1325</v>
      </c>
      <c r="C201" s="6" t="str">
        <f>'Ann1 - Step 3'!C201</f>
        <v>Testing</v>
      </c>
      <c r="D201" s="6" t="str">
        <f>'Ann2 - Step 3'!C201</f>
        <v>Testing</v>
      </c>
      <c r="E201" s="6" t="b">
        <f t="shared" si="0"/>
        <v>0</v>
      </c>
      <c r="F201" s="6"/>
      <c r="G201" s="6" t="str">
        <f t="shared" si="1"/>
        <v>Testing</v>
      </c>
    </row>
    <row r="202" spans="1:7" ht="13" x14ac:dyDescent="0.15">
      <c r="A202" s="6" t="s">
        <v>621</v>
      </c>
      <c r="B202" s="6" t="s">
        <v>1326</v>
      </c>
      <c r="C202" s="6" t="str">
        <f>'Ann1 - Step 3'!C202</f>
        <v>Coding Pattern</v>
      </c>
      <c r="D202" s="6" t="str">
        <f>'Ann2 - Step 3'!C202</f>
        <v>Coding Pattern</v>
      </c>
      <c r="E202" s="6" t="b">
        <f t="shared" si="0"/>
        <v>0</v>
      </c>
      <c r="F202" s="6"/>
      <c r="G202" s="6" t="str">
        <f t="shared" si="1"/>
        <v>Coding Pattern</v>
      </c>
    </row>
    <row r="203" spans="1:7" ht="28" x14ac:dyDescent="0.15">
      <c r="A203" s="6" t="s">
        <v>142</v>
      </c>
      <c r="B203" s="8" t="s">
        <v>1327</v>
      </c>
      <c r="C203" s="6" t="str">
        <f>'Ann1 - Step 3'!C203</f>
        <v>Testing</v>
      </c>
      <c r="D203" s="6" t="str">
        <f>'Ann2 - Step 3'!C203</f>
        <v>Testing</v>
      </c>
      <c r="E203" s="6" t="b">
        <f t="shared" si="0"/>
        <v>0</v>
      </c>
      <c r="F203" s="6"/>
      <c r="G203" s="6" t="str">
        <f t="shared" si="1"/>
        <v>Testing</v>
      </c>
    </row>
    <row r="204" spans="1:7" ht="13" x14ac:dyDescent="0.15">
      <c r="A204" s="6" t="s">
        <v>654</v>
      </c>
      <c r="B204" s="6" t="s">
        <v>1328</v>
      </c>
      <c r="C204" s="6" t="str">
        <f>'Ann1 - Step 3'!C204</f>
        <v>Maintainability</v>
      </c>
      <c r="D204" s="6" t="str">
        <f>'Ann2 - Step 3'!C204</f>
        <v>Maintainability</v>
      </c>
      <c r="E204" s="6" t="b">
        <f t="shared" si="0"/>
        <v>0</v>
      </c>
      <c r="F204" s="6"/>
      <c r="G204" s="6" t="str">
        <f t="shared" si="1"/>
        <v>Maintainability</v>
      </c>
    </row>
    <row r="205" spans="1:7" ht="13" x14ac:dyDescent="0.15">
      <c r="A205" s="6" t="s">
        <v>166</v>
      </c>
      <c r="B205" s="6" t="s">
        <v>1330</v>
      </c>
      <c r="C205" s="6" t="str">
        <f>'Ann1 - Step 3'!C205</f>
        <v>Coding Pattern</v>
      </c>
      <c r="D205" s="6" t="str">
        <f>'Ann2 - Step 3'!C205</f>
        <v>Coding Pattern</v>
      </c>
      <c r="E205" s="6" t="b">
        <f t="shared" si="0"/>
        <v>0</v>
      </c>
      <c r="F205" s="6"/>
      <c r="G205" s="6" t="str">
        <f t="shared" si="1"/>
        <v>Coding Pattern</v>
      </c>
    </row>
    <row r="206" spans="1:7" ht="14" x14ac:dyDescent="0.15">
      <c r="A206" s="6" t="s">
        <v>133</v>
      </c>
      <c r="B206" s="8" t="s">
        <v>1331</v>
      </c>
      <c r="C206" s="6" t="str">
        <f>'Ann1 - Step 3'!C206</f>
        <v>Task Execution</v>
      </c>
      <c r="D206" s="6" t="str">
        <f>'Ann2 - Step 3'!C206</f>
        <v>Task Execution</v>
      </c>
      <c r="E206" s="6" t="b">
        <f t="shared" si="0"/>
        <v>0</v>
      </c>
      <c r="F206" s="6"/>
      <c r="G206" s="6" t="str">
        <f t="shared" si="1"/>
        <v>Task Execution</v>
      </c>
    </row>
    <row r="207" spans="1:7" ht="13" x14ac:dyDescent="0.15">
      <c r="A207" s="6" t="s">
        <v>120</v>
      </c>
      <c r="B207" s="6" t="s">
        <v>1332</v>
      </c>
      <c r="C207" s="6" t="str">
        <f>'Ann1 - Step 3'!C207</f>
        <v>Coding Pattern</v>
      </c>
      <c r="D207" s="6" t="str">
        <f>'Ann2 - Step 3'!C207</f>
        <v>Coding Pattern</v>
      </c>
      <c r="E207" s="6" t="b">
        <f t="shared" si="0"/>
        <v>0</v>
      </c>
      <c r="F207" s="6"/>
      <c r="G207" s="6" t="str">
        <f t="shared" si="1"/>
        <v>Coding Pattern</v>
      </c>
    </row>
    <row r="208" spans="1:7" ht="13" x14ac:dyDescent="0.15">
      <c r="A208" s="6" t="s">
        <v>94</v>
      </c>
      <c r="B208" s="6" t="s">
        <v>1333</v>
      </c>
      <c r="C208" s="6" t="str">
        <f>'Ann1 - Step 3'!C208</f>
        <v>Task Execution</v>
      </c>
      <c r="D208" s="6" t="str">
        <f>'Ann2 - Step 3'!C208</f>
        <v>Task Execution</v>
      </c>
      <c r="E208" s="6" t="b">
        <f t="shared" si="0"/>
        <v>0</v>
      </c>
      <c r="F208" s="6"/>
      <c r="G208" s="6" t="str">
        <f t="shared" si="1"/>
        <v>Task Execution</v>
      </c>
    </row>
    <row r="209" spans="1:7" ht="28" x14ac:dyDescent="0.15">
      <c r="A209" s="6" t="s">
        <v>347</v>
      </c>
      <c r="B209" s="8" t="s">
        <v>1335</v>
      </c>
      <c r="C209" s="6" t="str">
        <f>'Ann1 - Step 3'!C209</f>
        <v>Task Execution</v>
      </c>
      <c r="D209" s="6" t="str">
        <f>'Ann2 - Step 3'!C209</f>
        <v>Task Execution</v>
      </c>
      <c r="E209" s="6" t="b">
        <f t="shared" si="0"/>
        <v>0</v>
      </c>
      <c r="F209" s="6"/>
      <c r="G209" s="6" t="str">
        <f t="shared" si="1"/>
        <v>Task Execution</v>
      </c>
    </row>
    <row r="210" spans="1:7" ht="13" x14ac:dyDescent="0.15">
      <c r="A210" s="6" t="s">
        <v>133</v>
      </c>
      <c r="B210" s="6" t="s">
        <v>1336</v>
      </c>
      <c r="C210" s="6" t="str">
        <f>'Ann1 - Step 3'!C210</f>
        <v>Task Execution</v>
      </c>
      <c r="D210" s="6" t="str">
        <f>'Ann2 - Step 3'!C210</f>
        <v>Task Execution</v>
      </c>
      <c r="E210" s="6" t="b">
        <f t="shared" si="0"/>
        <v>0</v>
      </c>
      <c r="F210" s="6"/>
      <c r="G210" s="6" t="str">
        <f t="shared" si="1"/>
        <v>Task Execution</v>
      </c>
    </row>
    <row r="211" spans="1:7" ht="13" x14ac:dyDescent="0.15">
      <c r="A211" s="6" t="s">
        <v>347</v>
      </c>
      <c r="B211" s="6" t="s">
        <v>1337</v>
      </c>
      <c r="C211" s="6" t="str">
        <f>'Ann1 - Step 3'!C211</f>
        <v>Task Execution</v>
      </c>
      <c r="D211" s="6" t="str">
        <f>'Ann2 - Step 3'!C211</f>
        <v>Task Execution</v>
      </c>
      <c r="E211" s="6" t="b">
        <f t="shared" si="0"/>
        <v>0</v>
      </c>
      <c r="F211" s="6"/>
      <c r="G211" s="6" t="str">
        <f t="shared" si="1"/>
        <v>Task Execution</v>
      </c>
    </row>
    <row r="212" spans="1:7" ht="13" x14ac:dyDescent="0.15">
      <c r="A212" s="6" t="s">
        <v>668</v>
      </c>
      <c r="B212" s="6" t="s">
        <v>1338</v>
      </c>
      <c r="C212" s="6" t="str">
        <f>'Ann1 - Step 3'!C212</f>
        <v>Commit&amp;PR rule</v>
      </c>
      <c r="D212" s="6" t="str">
        <f>'Ann2 - Step 3'!C212</f>
        <v>Commit&amp;PR rule</v>
      </c>
      <c r="E212" s="6" t="b">
        <f t="shared" si="0"/>
        <v>0</v>
      </c>
      <c r="F212" s="6"/>
      <c r="G212" s="6" t="str">
        <f t="shared" si="1"/>
        <v>Commit&amp;PR rule</v>
      </c>
    </row>
    <row r="213" spans="1:7" ht="14" x14ac:dyDescent="0.15">
      <c r="A213" s="6" t="s">
        <v>443</v>
      </c>
      <c r="B213" s="8" t="s">
        <v>1340</v>
      </c>
      <c r="C213" s="6" t="str">
        <f>'Ann1 - Step 3'!C213</f>
        <v>Coding Style</v>
      </c>
      <c r="D213" s="6" t="str">
        <f>'Ann2 - Step 3'!C213</f>
        <v>Coding Style</v>
      </c>
      <c r="E213" s="6" t="b">
        <f t="shared" si="0"/>
        <v>0</v>
      </c>
      <c r="F213" s="6"/>
      <c r="G213" s="6" t="str">
        <f t="shared" si="1"/>
        <v>Coding Style</v>
      </c>
    </row>
    <row r="214" spans="1:7" ht="13" x14ac:dyDescent="0.15">
      <c r="A214" s="6" t="s">
        <v>572</v>
      </c>
      <c r="B214" s="6" t="s">
        <v>1341</v>
      </c>
      <c r="C214" s="6" t="str">
        <f>'Ann1 - Step 3'!C214</f>
        <v>Coding Pattern</v>
      </c>
      <c r="D214" s="6" t="str">
        <f>'Ann2 - Step 3'!C214</f>
        <v>Coding Pattern</v>
      </c>
      <c r="E214" s="6" t="b">
        <f t="shared" si="0"/>
        <v>0</v>
      </c>
      <c r="F214" s="6"/>
      <c r="G214" s="6" t="str">
        <f t="shared" si="1"/>
        <v>Coding Pattern</v>
      </c>
    </row>
    <row r="215" spans="1:7" ht="13" x14ac:dyDescent="0.15">
      <c r="A215" s="6" t="s">
        <v>70</v>
      </c>
      <c r="B215" s="6" t="s">
        <v>1342</v>
      </c>
      <c r="C215" s="6" t="str">
        <f>'Ann1 - Step 3'!C215</f>
        <v>Commit&amp;PR rule</v>
      </c>
      <c r="D215" s="6" t="str">
        <f>'Ann2 - Step 3'!C215</f>
        <v>Commit&amp;PR rule</v>
      </c>
      <c r="E215" s="6" t="b">
        <f t="shared" si="0"/>
        <v>0</v>
      </c>
      <c r="F215" s="6"/>
      <c r="G215" s="6" t="str">
        <f t="shared" si="1"/>
        <v>Commit&amp;PR rule</v>
      </c>
    </row>
    <row r="216" spans="1:7" ht="28" x14ac:dyDescent="0.15">
      <c r="A216" s="6" t="s">
        <v>672</v>
      </c>
      <c r="B216" s="8" t="s">
        <v>1344</v>
      </c>
      <c r="C216" s="6" t="str">
        <f>'Ann1 - Step 3'!C216</f>
        <v>Commit&amp;PR rule</v>
      </c>
      <c r="D216" s="6" t="str">
        <f>'Ann2 - Step 3'!C216</f>
        <v>Commit&amp;PR rule</v>
      </c>
      <c r="E216" s="6" t="b">
        <f t="shared" si="0"/>
        <v>0</v>
      </c>
      <c r="F216" s="6"/>
      <c r="G216" s="6" t="str">
        <f t="shared" si="1"/>
        <v>Commit&amp;PR rule</v>
      </c>
    </row>
    <row r="217" spans="1:7" ht="13" x14ac:dyDescent="0.15">
      <c r="A217" s="6" t="s">
        <v>853</v>
      </c>
      <c r="B217" s="6" t="s">
        <v>1345</v>
      </c>
      <c r="C217" s="6" t="str">
        <f>'Ann1 - Step 3'!C217</f>
        <v>Commit&amp;PR rule</v>
      </c>
      <c r="D217" s="6" t="str">
        <f>'Ann2 - Step 3'!C217</f>
        <v>Commit&amp;PR rule</v>
      </c>
      <c r="E217" s="6" t="b">
        <f t="shared" si="0"/>
        <v>0</v>
      </c>
      <c r="F217" s="6"/>
      <c r="G217" s="6" t="str">
        <f t="shared" si="1"/>
        <v>Commit&amp;PR rule</v>
      </c>
    </row>
    <row r="218" spans="1:7" ht="13" x14ac:dyDescent="0.15">
      <c r="A218" s="6" t="s">
        <v>1165</v>
      </c>
      <c r="B218" s="6" t="s">
        <v>1346</v>
      </c>
      <c r="C218" s="6" t="str">
        <f>'Ann1 - Step 3'!C218</f>
        <v>Security</v>
      </c>
      <c r="D218" s="6" t="str">
        <f>'Ann2 - Step 3'!C218</f>
        <v>Security</v>
      </c>
      <c r="E218" s="6" t="b">
        <f t="shared" si="0"/>
        <v>0</v>
      </c>
      <c r="F218" s="6"/>
      <c r="G218" s="6" t="str">
        <f t="shared" si="1"/>
        <v>Security</v>
      </c>
    </row>
    <row r="219" spans="1:7" ht="14" x14ac:dyDescent="0.15">
      <c r="A219" s="6" t="s">
        <v>497</v>
      </c>
      <c r="B219" s="8" t="s">
        <v>1347</v>
      </c>
      <c r="C219" s="6" t="str">
        <f>'Ann1 - Step 3'!C219</f>
        <v>Build &amp; Operation</v>
      </c>
      <c r="D219" s="6" t="str">
        <f>'Ann2 - Step 3'!C219</f>
        <v>Build &amp; Operation</v>
      </c>
      <c r="E219" s="6" t="b">
        <f t="shared" si="0"/>
        <v>0</v>
      </c>
      <c r="F219" s="6"/>
      <c r="G219" s="6" t="str">
        <f t="shared" si="1"/>
        <v>Build &amp; Operation</v>
      </c>
    </row>
    <row r="220" spans="1:7" ht="13" x14ac:dyDescent="0.15">
      <c r="A220" s="6" t="s">
        <v>65</v>
      </c>
      <c r="B220" s="6" t="s">
        <v>1348</v>
      </c>
      <c r="C220" s="6" t="str">
        <f>'Ann1 - Step 3'!C220</f>
        <v>Commit&amp;PR rule</v>
      </c>
      <c r="D220" s="6" t="str">
        <f>'Ann2 - Step 3'!C220</f>
        <v>Commit&amp;PR rule</v>
      </c>
      <c r="E220" s="6" t="b">
        <f t="shared" si="0"/>
        <v>0</v>
      </c>
      <c r="F220" s="6"/>
      <c r="G220" s="6" t="str">
        <f t="shared" si="1"/>
        <v>Commit&amp;PR rule</v>
      </c>
    </row>
    <row r="221" spans="1:7" ht="13" x14ac:dyDescent="0.15">
      <c r="A221" s="6" t="s">
        <v>395</v>
      </c>
      <c r="B221" s="6" t="s">
        <v>1349</v>
      </c>
      <c r="C221" s="6" t="str">
        <f>'Ann1 - Step 3'!C221</f>
        <v>Build &amp; Operation</v>
      </c>
      <c r="D221" s="6" t="str">
        <f>'Ann2 - Step 3'!C221</f>
        <v>Build &amp; Operation</v>
      </c>
      <c r="E221" s="6" t="b">
        <f t="shared" si="0"/>
        <v>0</v>
      </c>
      <c r="F221" s="6"/>
      <c r="G221" s="6" t="str">
        <f t="shared" si="1"/>
        <v>Build &amp; Operation</v>
      </c>
    </row>
    <row r="222" spans="1:7" ht="13" x14ac:dyDescent="0.15">
      <c r="A222" s="6" t="s">
        <v>1229</v>
      </c>
      <c r="B222" s="6" t="s">
        <v>1350</v>
      </c>
      <c r="C222" s="6" t="str">
        <f>'Ann1 - Step 3'!C222</f>
        <v>Documentation</v>
      </c>
      <c r="D222" s="6" t="str">
        <f>'Ann2 - Step 3'!C222</f>
        <v>Documentation</v>
      </c>
      <c r="E222" s="6" t="b">
        <f t="shared" si="0"/>
        <v>0</v>
      </c>
      <c r="F222" s="6"/>
      <c r="G222" s="6" t="str">
        <f t="shared" si="1"/>
        <v>Documentation</v>
      </c>
    </row>
    <row r="223" spans="1:7" ht="13" x14ac:dyDescent="0.15">
      <c r="A223" s="6" t="s">
        <v>57</v>
      </c>
      <c r="B223" s="6" t="s">
        <v>1351</v>
      </c>
      <c r="C223" s="6" t="str">
        <f>'Ann1 - Step 3'!C223</f>
        <v>Commit&amp;PR rule</v>
      </c>
      <c r="D223" s="6" t="str">
        <f>'Ann2 - Step 3'!C223</f>
        <v>Commit&amp;PR rule</v>
      </c>
      <c r="E223" s="6" t="b">
        <f t="shared" si="0"/>
        <v>0</v>
      </c>
      <c r="F223" s="6"/>
      <c r="G223" s="6" t="str">
        <f t="shared" si="1"/>
        <v>Commit&amp;PR rule</v>
      </c>
    </row>
    <row r="224" spans="1:7" ht="13" x14ac:dyDescent="0.15">
      <c r="A224" s="6" t="s">
        <v>395</v>
      </c>
      <c r="B224" s="6" t="s">
        <v>1352</v>
      </c>
      <c r="C224" s="6" t="str">
        <f>'Ann1 - Step 3'!C224</f>
        <v>Task Execution</v>
      </c>
      <c r="D224" s="6" t="str">
        <f>'Ann2 - Step 3'!C224</f>
        <v>Task Execution</v>
      </c>
      <c r="E224" s="6" t="b">
        <f t="shared" si="0"/>
        <v>0</v>
      </c>
      <c r="F224" s="6"/>
      <c r="G224" s="6" t="str">
        <f t="shared" si="1"/>
        <v>Task Execution</v>
      </c>
    </row>
    <row r="225" spans="1:7" ht="14" x14ac:dyDescent="0.15">
      <c r="A225" s="6" t="s">
        <v>725</v>
      </c>
      <c r="B225" s="8" t="s">
        <v>1353</v>
      </c>
      <c r="C225" s="6" t="str">
        <f>'Ann1 - Step 3'!C225</f>
        <v>Commit&amp;PR rule</v>
      </c>
      <c r="D225" s="6" t="str">
        <f>'Ann2 - Step 3'!C225</f>
        <v>Commit&amp;PR rule</v>
      </c>
      <c r="E225" s="6" t="b">
        <f t="shared" si="0"/>
        <v>0</v>
      </c>
      <c r="F225" s="6"/>
      <c r="G225" s="6" t="str">
        <f t="shared" si="1"/>
        <v>Commit&amp;PR rule</v>
      </c>
    </row>
    <row r="226" spans="1:7" ht="14" x14ac:dyDescent="0.15">
      <c r="A226" s="6" t="s">
        <v>170</v>
      </c>
      <c r="B226" s="8" t="s">
        <v>1354</v>
      </c>
      <c r="C226" s="6" t="str">
        <f>'Ann1 - Step 3'!C226</f>
        <v>Task Execution</v>
      </c>
      <c r="D226" s="6" t="str">
        <f>'Ann2 - Step 3'!C226</f>
        <v>Task Execution</v>
      </c>
      <c r="E226" s="6" t="b">
        <f t="shared" si="0"/>
        <v>0</v>
      </c>
      <c r="F226" s="6"/>
      <c r="G226" s="6" t="str">
        <f t="shared" si="1"/>
        <v>Task Execution</v>
      </c>
    </row>
    <row r="227" spans="1:7" ht="13" x14ac:dyDescent="0.15">
      <c r="A227" s="31" t="s">
        <v>827</v>
      </c>
      <c r="B227" s="6" t="s">
        <v>1355</v>
      </c>
      <c r="C227" s="6" t="str">
        <f>'Ann1 - Step 3'!C227</f>
        <v>Documentation</v>
      </c>
      <c r="D227" s="6" t="str">
        <f>'Ann2 - Step 3'!C227</f>
        <v>Documentation</v>
      </c>
      <c r="E227" s="6" t="b">
        <f t="shared" si="0"/>
        <v>0</v>
      </c>
      <c r="F227" s="6"/>
      <c r="G227" s="6" t="str">
        <f t="shared" si="1"/>
        <v>Documentation</v>
      </c>
    </row>
    <row r="228" spans="1:7" ht="13" x14ac:dyDescent="0.15">
      <c r="A228" s="6" t="s">
        <v>832</v>
      </c>
      <c r="B228" s="6" t="s">
        <v>1356</v>
      </c>
      <c r="C228" s="6" t="str">
        <f>'Ann1 - Step 3'!C228</f>
        <v>Task Execution</v>
      </c>
      <c r="D228" s="6" t="str">
        <f>'Ann2 - Step 3'!C228</f>
        <v>Task Execution</v>
      </c>
      <c r="E228" s="6" t="b">
        <f t="shared" si="0"/>
        <v>0</v>
      </c>
      <c r="F228" s="6"/>
      <c r="G228" s="6" t="str">
        <f t="shared" si="1"/>
        <v>Task Execution</v>
      </c>
    </row>
    <row r="229" spans="1:7" ht="14" x14ac:dyDescent="0.15">
      <c r="A229" s="6" t="s">
        <v>832</v>
      </c>
      <c r="B229" s="8" t="s">
        <v>1357</v>
      </c>
      <c r="C229" s="6" t="str">
        <f>'Ann1 - Step 3'!C229</f>
        <v>Task Execution</v>
      </c>
      <c r="D229" s="6" t="str">
        <f>'Ann2 - Step 3'!C229</f>
        <v>Task Execution</v>
      </c>
      <c r="E229" s="6" t="b">
        <f t="shared" si="0"/>
        <v>0</v>
      </c>
      <c r="F229" s="6"/>
      <c r="G229" s="6" t="str">
        <f t="shared" si="1"/>
        <v>Task Execution</v>
      </c>
    </row>
    <row r="230" spans="1:7" ht="13" x14ac:dyDescent="0.15">
      <c r="A230" s="6" t="s">
        <v>249</v>
      </c>
      <c r="B230" s="6" t="s">
        <v>1358</v>
      </c>
      <c r="C230" s="6" t="str">
        <f>'Ann1 - Step 3'!C230</f>
        <v>Coding Pattern</v>
      </c>
      <c r="D230" s="6" t="str">
        <f>'Ann2 - Step 3'!C230</f>
        <v>Coding Pattern</v>
      </c>
      <c r="E230" s="6" t="b">
        <f t="shared" si="0"/>
        <v>0</v>
      </c>
      <c r="F230" s="6"/>
      <c r="G230" s="6" t="str">
        <f t="shared" si="1"/>
        <v>Coding Pattern</v>
      </c>
    </row>
    <row r="231" spans="1:7" ht="13" x14ac:dyDescent="0.15">
      <c r="A231" s="6" t="s">
        <v>395</v>
      </c>
      <c r="B231" s="6" t="s">
        <v>1359</v>
      </c>
      <c r="C231" s="6" t="str">
        <f>'Ann1 - Step 3'!C231</f>
        <v>Testing</v>
      </c>
      <c r="D231" s="6" t="str">
        <f>'Ann2 - Step 3'!C231</f>
        <v>Testing</v>
      </c>
      <c r="E231" s="6" t="b">
        <f t="shared" si="0"/>
        <v>0</v>
      </c>
      <c r="F231" s="6"/>
      <c r="G231" s="6" t="str">
        <f t="shared" si="1"/>
        <v>Testing</v>
      </c>
    </row>
    <row r="232" spans="1:7" ht="13" x14ac:dyDescent="0.15">
      <c r="A232" s="6" t="s">
        <v>399</v>
      </c>
      <c r="B232" s="6" t="s">
        <v>1358</v>
      </c>
      <c r="C232" s="6" t="str">
        <f>'Ann1 - Step 3'!C232</f>
        <v>Coding Pattern</v>
      </c>
      <c r="D232" s="6" t="str">
        <f>'Ann2 - Step 3'!C232</f>
        <v>Coding Pattern</v>
      </c>
      <c r="E232" s="6" t="b">
        <f t="shared" si="0"/>
        <v>0</v>
      </c>
      <c r="F232" s="6"/>
      <c r="G232" s="6" t="str">
        <f t="shared" si="1"/>
        <v>Coding Pattern</v>
      </c>
    </row>
    <row r="233" spans="1:7" ht="13" x14ac:dyDescent="0.15">
      <c r="A233" s="6" t="s">
        <v>1120</v>
      </c>
      <c r="B233" s="6" t="s">
        <v>1360</v>
      </c>
      <c r="C233" s="6" t="str">
        <f>'Ann1 - Step 3'!C233</f>
        <v>Build &amp; Operation</v>
      </c>
      <c r="D233" s="6" t="str">
        <f>'Ann2 - Step 3'!C233</f>
        <v>Build &amp; Operation</v>
      </c>
      <c r="E233" s="6" t="b">
        <f t="shared" si="0"/>
        <v>0</v>
      </c>
      <c r="F233" s="6"/>
      <c r="G233" s="6" t="str">
        <f t="shared" si="1"/>
        <v>Build &amp; Operation</v>
      </c>
    </row>
    <row r="234" spans="1:7" ht="13" x14ac:dyDescent="0.15">
      <c r="A234" s="6" t="s">
        <v>417</v>
      </c>
      <c r="B234" s="6" t="s">
        <v>1361</v>
      </c>
      <c r="C234" s="6" t="str">
        <f>'Ann1 - Step 3'!C234</f>
        <v>Task Execution</v>
      </c>
      <c r="D234" s="6" t="str">
        <f>'Ann2 - Step 3'!C234</f>
        <v>Task Execution</v>
      </c>
      <c r="E234" s="6" t="b">
        <f t="shared" si="0"/>
        <v>0</v>
      </c>
      <c r="F234" s="6"/>
      <c r="G234" s="6" t="str">
        <f t="shared" si="1"/>
        <v>Task Execution</v>
      </c>
    </row>
    <row r="235" spans="1:7" ht="13" x14ac:dyDescent="0.15">
      <c r="A235" s="6" t="s">
        <v>417</v>
      </c>
      <c r="B235" s="6" t="s">
        <v>1362</v>
      </c>
      <c r="C235" s="6" t="str">
        <f>'Ann1 - Step 3'!C235</f>
        <v>Testing</v>
      </c>
      <c r="D235" s="6" t="str">
        <f>'Ann2 - Step 3'!C235</f>
        <v>Maintainability</v>
      </c>
      <c r="E235" s="6" t="b">
        <f t="shared" si="0"/>
        <v>1</v>
      </c>
      <c r="F235" s="30" t="s">
        <v>115</v>
      </c>
      <c r="G235" s="6" t="str">
        <f t="shared" si="1"/>
        <v>Maintainability</v>
      </c>
    </row>
    <row r="236" spans="1:7" ht="13" x14ac:dyDescent="0.15">
      <c r="A236" s="6" t="s">
        <v>1207</v>
      </c>
      <c r="B236" s="6" t="s">
        <v>1363</v>
      </c>
      <c r="C236" s="6" t="str">
        <f>'Ann1 - Step 3'!C236</f>
        <v>Coding Pattern</v>
      </c>
      <c r="D236" s="6" t="str">
        <f>'Ann2 - Step 3'!C236</f>
        <v>Coding Pattern</v>
      </c>
      <c r="E236" s="6" t="b">
        <f t="shared" si="0"/>
        <v>0</v>
      </c>
      <c r="F236" s="6"/>
      <c r="G236" s="6" t="str">
        <f t="shared" si="1"/>
        <v>Coding Pattern</v>
      </c>
    </row>
    <row r="237" spans="1:7" ht="14" x14ac:dyDescent="0.15">
      <c r="A237" s="6" t="s">
        <v>523</v>
      </c>
      <c r="B237" s="8" t="s">
        <v>1364</v>
      </c>
      <c r="C237" s="6" t="str">
        <f>'Ann1 - Step 3'!C237</f>
        <v>Commit&amp;PR rule</v>
      </c>
      <c r="D237" s="6" t="str">
        <f>'Ann2 - Step 3'!C237</f>
        <v>Commit&amp;PR rule</v>
      </c>
      <c r="E237" s="6" t="b">
        <f t="shared" si="0"/>
        <v>0</v>
      </c>
      <c r="F237" s="6"/>
      <c r="G237" s="6" t="str">
        <f t="shared" si="1"/>
        <v>Commit&amp;PR rule</v>
      </c>
    </row>
    <row r="238" spans="1:7" ht="28" x14ac:dyDescent="0.15">
      <c r="A238" s="6" t="s">
        <v>1242</v>
      </c>
      <c r="B238" s="22" t="s">
        <v>1365</v>
      </c>
      <c r="C238" s="6" t="str">
        <f>'Ann1 - Step 3'!C238</f>
        <v>Task Execution</v>
      </c>
      <c r="D238" s="6" t="str">
        <f>'Ann2 - Step 3'!C238</f>
        <v>Task Execution</v>
      </c>
      <c r="E238" s="6" t="b">
        <f t="shared" si="0"/>
        <v>0</v>
      </c>
      <c r="F238" s="6"/>
      <c r="G238" s="6" t="str">
        <f t="shared" si="1"/>
        <v>Task Execution</v>
      </c>
    </row>
    <row r="239" spans="1:7" ht="28" x14ac:dyDescent="0.15">
      <c r="A239" s="6" t="s">
        <v>1271</v>
      </c>
      <c r="B239" s="8" t="s">
        <v>1365</v>
      </c>
      <c r="C239" s="6" t="str">
        <f>'Ann1 - Step 3'!C239</f>
        <v>Task Execution</v>
      </c>
      <c r="D239" s="6" t="str">
        <f>'Ann2 - Step 3'!C239</f>
        <v>Task Execution</v>
      </c>
      <c r="E239" s="6" t="b">
        <f t="shared" si="0"/>
        <v>0</v>
      </c>
      <c r="F239" s="6"/>
      <c r="G239" s="6" t="str">
        <f t="shared" si="1"/>
        <v>Task Execution</v>
      </c>
    </row>
    <row r="240" spans="1:7" ht="14" x14ac:dyDescent="0.15">
      <c r="A240" s="6" t="s">
        <v>572</v>
      </c>
      <c r="B240" s="22" t="s">
        <v>1366</v>
      </c>
      <c r="C240" s="6" t="str">
        <f>'Ann1 - Step 3'!C240</f>
        <v>Coding Style</v>
      </c>
      <c r="D240" s="6" t="str">
        <f>'Ann2 - Step 3'!C240</f>
        <v>Coding Style</v>
      </c>
      <c r="E240" s="6" t="b">
        <f t="shared" si="0"/>
        <v>0</v>
      </c>
      <c r="F240" s="6"/>
      <c r="G240" s="6" t="str">
        <f t="shared" si="1"/>
        <v>Coding Style</v>
      </c>
    </row>
    <row r="241" spans="1:7" ht="14" x14ac:dyDescent="0.15">
      <c r="A241" s="6" t="s">
        <v>1300</v>
      </c>
      <c r="B241" s="8" t="s">
        <v>1367</v>
      </c>
      <c r="C241" s="6" t="str">
        <f>'Ann1 - Step 3'!C241</f>
        <v>Build &amp; Operation</v>
      </c>
      <c r="D241" s="6" t="str">
        <f>'Ann2 - Step 3'!C241</f>
        <v>Build &amp; Operation</v>
      </c>
      <c r="E241" s="6" t="b">
        <f t="shared" si="0"/>
        <v>0</v>
      </c>
      <c r="F241" s="6"/>
      <c r="G241" s="6" t="str">
        <f t="shared" si="1"/>
        <v>Build &amp; Operation</v>
      </c>
    </row>
    <row r="242" spans="1:7" ht="28" x14ac:dyDescent="0.15">
      <c r="A242" s="6" t="s">
        <v>672</v>
      </c>
      <c r="B242" s="8" t="s">
        <v>1368</v>
      </c>
      <c r="C242" s="6" t="str">
        <f>'Ann1 - Step 3'!C242</f>
        <v>Commit&amp;PR rule</v>
      </c>
      <c r="D242" s="6" t="str">
        <f>'Ann2 - Step 3'!C242</f>
        <v>Commit&amp;PR rule</v>
      </c>
      <c r="E242" s="6" t="b">
        <f t="shared" si="0"/>
        <v>0</v>
      </c>
      <c r="F242" s="6"/>
      <c r="G242" s="6" t="str">
        <f t="shared" si="1"/>
        <v>Commit&amp;PR rule</v>
      </c>
    </row>
    <row r="243" spans="1:7" ht="14" x14ac:dyDescent="0.15">
      <c r="A243" s="6" t="s">
        <v>600</v>
      </c>
      <c r="B243" s="8" t="s">
        <v>1370</v>
      </c>
      <c r="C243" s="6" t="str">
        <f>'Ann1 - Step 3'!C243</f>
        <v>Security</v>
      </c>
      <c r="D243" s="6" t="str">
        <f>'Ann2 - Step 3'!C243</f>
        <v>Security</v>
      </c>
      <c r="E243" s="6" t="b">
        <f t="shared" si="0"/>
        <v>0</v>
      </c>
      <c r="F243" s="6"/>
      <c r="G243" s="6" t="str">
        <f t="shared" si="1"/>
        <v>Security</v>
      </c>
    </row>
    <row r="244" spans="1:7" ht="13" x14ac:dyDescent="0.15">
      <c r="A244" s="6" t="s">
        <v>94</v>
      </c>
      <c r="B244" s="6" t="s">
        <v>1372</v>
      </c>
      <c r="C244" s="6" t="str">
        <f>'Ann1 - Step 3'!C244</f>
        <v>Coding Style</v>
      </c>
      <c r="D244" s="6" t="str">
        <f>'Ann2 - Step 3'!C244</f>
        <v>Coding Style</v>
      </c>
      <c r="E244" s="6" t="b">
        <f t="shared" si="0"/>
        <v>0</v>
      </c>
      <c r="F244" s="6"/>
      <c r="G244" s="6" t="str">
        <f t="shared" si="1"/>
        <v>Coding Style</v>
      </c>
    </row>
    <row r="245" spans="1:7" ht="13" x14ac:dyDescent="0.15">
      <c r="A245" s="6" t="s">
        <v>500</v>
      </c>
      <c r="B245" s="6" t="s">
        <v>1373</v>
      </c>
      <c r="C245" s="6" t="str">
        <f>'Ann1 - Step 3'!C245</f>
        <v>Documentation</v>
      </c>
      <c r="D245" s="6" t="str">
        <f>'Ann2 - Step 3'!C245</f>
        <v>Documentation</v>
      </c>
      <c r="E245" s="6" t="b">
        <f t="shared" si="0"/>
        <v>0</v>
      </c>
      <c r="F245" s="6"/>
      <c r="G245" s="6" t="str">
        <f t="shared" si="1"/>
        <v>Documentation</v>
      </c>
    </row>
    <row r="246" spans="1:7" ht="13" x14ac:dyDescent="0.15">
      <c r="A246" s="6" t="s">
        <v>1375</v>
      </c>
      <c r="B246" s="6" t="s">
        <v>1376</v>
      </c>
      <c r="C246" s="6" t="str">
        <f>'Ann1 - Step 3'!C246</f>
        <v>Task Execution</v>
      </c>
      <c r="D246" s="6" t="str">
        <f>'Ann2 - Step 3'!C246</f>
        <v>Task Execution</v>
      </c>
      <c r="E246" s="6" t="b">
        <f t="shared" si="0"/>
        <v>0</v>
      </c>
      <c r="F246" s="6"/>
      <c r="G246" s="6" t="str">
        <f t="shared" si="1"/>
        <v>Task Execution</v>
      </c>
    </row>
    <row r="247" spans="1:7" ht="14" x14ac:dyDescent="0.15">
      <c r="A247" s="6" t="s">
        <v>1088</v>
      </c>
      <c r="B247" s="8" t="s">
        <v>1377</v>
      </c>
      <c r="C247" s="6" t="str">
        <f>'Ann1 - Step 3'!C247</f>
        <v>Task Execution</v>
      </c>
      <c r="D247" s="6" t="str">
        <f>'Ann2 - Step 3'!C247</f>
        <v>Task Execution</v>
      </c>
      <c r="E247" s="6" t="b">
        <f t="shared" si="0"/>
        <v>0</v>
      </c>
      <c r="F247" s="6"/>
      <c r="G247" s="6" t="str">
        <f t="shared" si="1"/>
        <v>Task Execution</v>
      </c>
    </row>
    <row r="248" spans="1:7" ht="14" x14ac:dyDescent="0.15">
      <c r="A248" s="6" t="s">
        <v>703</v>
      </c>
      <c r="B248" s="8" t="s">
        <v>1378</v>
      </c>
      <c r="C248" s="6" t="str">
        <f>'Ann1 - Step 3'!C248</f>
        <v>Testing</v>
      </c>
      <c r="D248" s="6" t="str">
        <f>'Ann2 - Step 3'!C248</f>
        <v>Testing</v>
      </c>
      <c r="E248" s="6" t="b">
        <f t="shared" si="0"/>
        <v>0</v>
      </c>
      <c r="F248" s="6"/>
      <c r="G248" s="6" t="str">
        <f t="shared" si="1"/>
        <v>Testing</v>
      </c>
    </row>
    <row r="249" spans="1:7" ht="14" x14ac:dyDescent="0.15">
      <c r="A249" s="6" t="s">
        <v>703</v>
      </c>
      <c r="B249" s="22" t="s">
        <v>1378</v>
      </c>
      <c r="C249" s="6" t="str">
        <f>'Ann1 - Step 3'!C249</f>
        <v>Testing</v>
      </c>
      <c r="D249" s="6" t="str">
        <f>'Ann2 - Step 3'!C249</f>
        <v>Testing</v>
      </c>
      <c r="E249" s="6" t="b">
        <f t="shared" si="0"/>
        <v>0</v>
      </c>
      <c r="F249" s="6"/>
      <c r="G249" s="6" t="str">
        <f t="shared" si="1"/>
        <v>Testing</v>
      </c>
    </row>
    <row r="250" spans="1:7" ht="14" x14ac:dyDescent="0.15">
      <c r="A250" s="6" t="s">
        <v>703</v>
      </c>
      <c r="B250" s="22" t="s">
        <v>1378</v>
      </c>
      <c r="C250" s="6" t="str">
        <f>'Ann1 - Step 3'!C250</f>
        <v>Testing</v>
      </c>
      <c r="D250" s="6" t="str">
        <f>'Ann2 - Step 3'!C250</f>
        <v>Testing</v>
      </c>
      <c r="E250" s="6" t="b">
        <f t="shared" si="0"/>
        <v>0</v>
      </c>
      <c r="F250" s="6"/>
      <c r="G250" s="6" t="str">
        <f t="shared" si="1"/>
        <v>Testing</v>
      </c>
    </row>
    <row r="251" spans="1:7" ht="13" x14ac:dyDescent="0.15">
      <c r="A251" s="6" t="s">
        <v>703</v>
      </c>
      <c r="B251" s="6" t="s">
        <v>1378</v>
      </c>
      <c r="C251" s="6" t="str">
        <f>'Ann1 - Step 3'!C251</f>
        <v>Testing</v>
      </c>
      <c r="D251" s="6" t="str">
        <f>'Ann2 - Step 3'!C251</f>
        <v>Testing</v>
      </c>
      <c r="E251" s="6" t="b">
        <f t="shared" si="0"/>
        <v>0</v>
      </c>
      <c r="F251" s="6"/>
      <c r="G251" s="6" t="str">
        <f t="shared" si="1"/>
        <v>Testing</v>
      </c>
    </row>
    <row r="252" spans="1:7" ht="13" x14ac:dyDescent="0.15">
      <c r="A252" s="31" t="s">
        <v>537</v>
      </c>
      <c r="B252" s="6" t="s">
        <v>1379</v>
      </c>
      <c r="C252" s="6" t="str">
        <f>'Ann1 - Step 3'!C252</f>
        <v>Coding Pattern</v>
      </c>
      <c r="D252" s="6" t="str">
        <f>'Ann2 - Step 3'!C252</f>
        <v>Coding Pattern</v>
      </c>
      <c r="E252" s="6" t="b">
        <f t="shared" si="0"/>
        <v>0</v>
      </c>
      <c r="F252" s="6"/>
      <c r="G252" s="6" t="str">
        <f t="shared" si="1"/>
        <v>Coding Pattern</v>
      </c>
    </row>
    <row r="253" spans="1:7" ht="14" x14ac:dyDescent="0.15">
      <c r="A253" s="6" t="s">
        <v>1375</v>
      </c>
      <c r="B253" s="8" t="s">
        <v>1380</v>
      </c>
      <c r="C253" s="6" t="str">
        <f>'Ann1 - Step 3'!C253</f>
        <v>Task Execution</v>
      </c>
      <c r="D253" s="6" t="str">
        <f>'Ann2 - Step 3'!C253</f>
        <v>Task Execution</v>
      </c>
      <c r="E253" s="6" t="b">
        <f t="shared" si="0"/>
        <v>0</v>
      </c>
      <c r="F253" s="6"/>
      <c r="G253" s="6" t="str">
        <f t="shared" si="1"/>
        <v>Task Execution</v>
      </c>
    </row>
    <row r="254" spans="1:7" ht="14" x14ac:dyDescent="0.15">
      <c r="A254" s="6" t="s">
        <v>832</v>
      </c>
      <c r="B254" s="22" t="s">
        <v>1381</v>
      </c>
      <c r="C254" s="6" t="str">
        <f>'Ann1 - Step 3'!C254</f>
        <v>Security</v>
      </c>
      <c r="D254" s="6" t="str">
        <f>'Ann2 - Step 3'!C254</f>
        <v>Security</v>
      </c>
      <c r="E254" s="6" t="b">
        <f t="shared" si="0"/>
        <v>0</v>
      </c>
      <c r="F254" s="6"/>
      <c r="G254" s="6" t="str">
        <f t="shared" si="1"/>
        <v>Security</v>
      </c>
    </row>
    <row r="255" spans="1:7" ht="14" x14ac:dyDescent="0.15">
      <c r="A255" s="6" t="s">
        <v>1013</v>
      </c>
      <c r="B255" s="8" t="s">
        <v>1382</v>
      </c>
      <c r="C255" s="6" t="str">
        <f>'Ann1 - Step 3'!C255</f>
        <v>Task Execution</v>
      </c>
      <c r="D255" s="6" t="str">
        <f>'Ann2 - Step 3'!C255</f>
        <v>Task Execution</v>
      </c>
      <c r="E255" s="6" t="b">
        <f t="shared" si="0"/>
        <v>0</v>
      </c>
      <c r="F255" s="6"/>
      <c r="G255" s="6" t="str">
        <f t="shared" si="1"/>
        <v>Task Execution</v>
      </c>
    </row>
    <row r="256" spans="1:7" ht="28" x14ac:dyDescent="0.15">
      <c r="A256" s="6" t="s">
        <v>1013</v>
      </c>
      <c r="B256" s="8" t="s">
        <v>1383</v>
      </c>
      <c r="C256" s="6" t="str">
        <f>'Ann1 - Step 3'!C256</f>
        <v>Build &amp; Operation</v>
      </c>
      <c r="D256" s="6" t="str">
        <f>'Ann2 - Step 3'!C256</f>
        <v>Build &amp; Operation</v>
      </c>
      <c r="E256" s="6" t="b">
        <f t="shared" si="0"/>
        <v>0</v>
      </c>
      <c r="F256" s="6"/>
      <c r="G256" s="6" t="str">
        <f t="shared" si="1"/>
        <v>Build &amp; Operation</v>
      </c>
    </row>
    <row r="257" spans="1:7" ht="14" x14ac:dyDescent="0.15">
      <c r="A257" s="6" t="s">
        <v>86</v>
      </c>
      <c r="B257" s="8" t="s">
        <v>1384</v>
      </c>
      <c r="C257" s="6" t="str">
        <f>'Ann1 - Step 3'!C257</f>
        <v>Documentation</v>
      </c>
      <c r="D257" s="6" t="str">
        <f>'Ann2 - Step 3'!C257</f>
        <v>Documentation</v>
      </c>
      <c r="E257" s="6" t="b">
        <f t="shared" ref="E257:E511" si="2">IF(C257=D257, FALSE, TRUE)</f>
        <v>0</v>
      </c>
      <c r="F257" s="6"/>
      <c r="G257" s="6" t="str">
        <f t="shared" ref="G257:G511" si="3">IF(E257=TRUE,F257,D257)</f>
        <v>Documentation</v>
      </c>
    </row>
    <row r="258" spans="1:7" ht="14" x14ac:dyDescent="0.15">
      <c r="A258" s="6" t="s">
        <v>391</v>
      </c>
      <c r="B258" s="8" t="s">
        <v>1385</v>
      </c>
      <c r="C258" s="6" t="str">
        <f>'Ann1 - Step 3'!C258</f>
        <v>Build &amp; Operation</v>
      </c>
      <c r="D258" s="6" t="str">
        <f>'Ann2 - Step 3'!C258</f>
        <v>Build &amp; Operation</v>
      </c>
      <c r="E258" s="6" t="b">
        <f t="shared" si="2"/>
        <v>0</v>
      </c>
      <c r="F258" s="6"/>
      <c r="G258" s="6" t="str">
        <f t="shared" si="3"/>
        <v>Build &amp; Operation</v>
      </c>
    </row>
    <row r="259" spans="1:7" ht="14" x14ac:dyDescent="0.15">
      <c r="A259" s="6" t="s">
        <v>1094</v>
      </c>
      <c r="B259" s="8" t="s">
        <v>1386</v>
      </c>
      <c r="C259" s="6" t="str">
        <f>'Ann1 - Step 3'!C259</f>
        <v>Task Execution</v>
      </c>
      <c r="D259" s="6" t="str">
        <f>'Ann2 - Step 3'!C259</f>
        <v>Task Execution</v>
      </c>
      <c r="E259" s="6" t="b">
        <f t="shared" si="2"/>
        <v>0</v>
      </c>
      <c r="F259" s="6"/>
      <c r="G259" s="6" t="str">
        <f t="shared" si="3"/>
        <v>Task Execution</v>
      </c>
    </row>
    <row r="260" spans="1:7" ht="14" x14ac:dyDescent="0.15">
      <c r="A260" s="6" t="s">
        <v>1094</v>
      </c>
      <c r="B260" s="8" t="s">
        <v>1387</v>
      </c>
      <c r="C260" s="6" t="str">
        <f>'Ann1 - Step 3'!C260</f>
        <v>Task Execution</v>
      </c>
      <c r="D260" s="6" t="str">
        <f>'Ann2 - Step 3'!C260</f>
        <v>Task Execution</v>
      </c>
      <c r="E260" s="6" t="b">
        <f t="shared" si="2"/>
        <v>0</v>
      </c>
      <c r="F260" s="6"/>
      <c r="G260" s="6" t="str">
        <f t="shared" si="3"/>
        <v>Task Execution</v>
      </c>
    </row>
    <row r="261" spans="1:7" ht="28" x14ac:dyDescent="0.15">
      <c r="A261" s="6" t="s">
        <v>497</v>
      </c>
      <c r="B261" s="8" t="s">
        <v>1388</v>
      </c>
      <c r="C261" s="6" t="str">
        <f>'Ann1 - Step 3'!C261</f>
        <v>Testing</v>
      </c>
      <c r="D261" s="6" t="str">
        <f>'Ann2 - Step 3'!C261</f>
        <v>Testing</v>
      </c>
      <c r="E261" s="6" t="b">
        <f t="shared" si="2"/>
        <v>0</v>
      </c>
      <c r="F261" s="6"/>
      <c r="G261" s="6" t="str">
        <f t="shared" si="3"/>
        <v>Testing</v>
      </c>
    </row>
    <row r="262" spans="1:7" ht="14" x14ac:dyDescent="0.15">
      <c r="A262" s="6" t="s">
        <v>572</v>
      </c>
      <c r="B262" s="8" t="s">
        <v>1389</v>
      </c>
      <c r="C262" s="6" t="str">
        <f>'Ann1 - Step 3'!C262</f>
        <v>Coding Pattern</v>
      </c>
      <c r="D262" s="6" t="str">
        <f>'Ann2 - Step 3'!C262</f>
        <v>Coding Pattern</v>
      </c>
      <c r="E262" s="6" t="b">
        <f t="shared" si="2"/>
        <v>0</v>
      </c>
      <c r="F262" s="6"/>
      <c r="G262" s="6" t="str">
        <f t="shared" si="3"/>
        <v>Coding Pattern</v>
      </c>
    </row>
    <row r="263" spans="1:7" ht="13" x14ac:dyDescent="0.15">
      <c r="A263" s="6" t="s">
        <v>572</v>
      </c>
      <c r="B263" s="6" t="s">
        <v>1390</v>
      </c>
      <c r="C263" s="6" t="str">
        <f>'Ann1 - Step 3'!C263</f>
        <v>Coding Pattern</v>
      </c>
      <c r="D263" s="6" t="str">
        <f>'Ann2 - Step 3'!C263</f>
        <v>Coding Pattern</v>
      </c>
      <c r="E263" s="6" t="b">
        <f t="shared" si="2"/>
        <v>0</v>
      </c>
      <c r="F263" s="6"/>
      <c r="G263" s="6" t="str">
        <f t="shared" si="3"/>
        <v>Coding Pattern</v>
      </c>
    </row>
    <row r="264" spans="1:7" ht="28" x14ac:dyDescent="0.15">
      <c r="A264" s="6" t="s">
        <v>577</v>
      </c>
      <c r="B264" s="8" t="s">
        <v>1391</v>
      </c>
      <c r="C264" s="6" t="str">
        <f>'Ann1 - Step 3'!C264</f>
        <v>Coding Style</v>
      </c>
      <c r="D264" s="6" t="str">
        <f>'Ann2 - Step 3'!C264</f>
        <v>Coding Style</v>
      </c>
      <c r="E264" s="6" t="b">
        <f t="shared" si="2"/>
        <v>0</v>
      </c>
      <c r="F264" s="6"/>
      <c r="G264" s="6" t="str">
        <f t="shared" si="3"/>
        <v>Coding Style</v>
      </c>
    </row>
    <row r="265" spans="1:7" ht="13" x14ac:dyDescent="0.15">
      <c r="A265" s="6" t="s">
        <v>395</v>
      </c>
      <c r="B265" s="6" t="s">
        <v>1392</v>
      </c>
      <c r="C265" s="6" t="str">
        <f>'Ann1 - Step 3'!C265</f>
        <v>Testing</v>
      </c>
      <c r="D265" s="6" t="str">
        <f>'Ann2 - Step 3'!C265</f>
        <v>Testing</v>
      </c>
      <c r="E265" s="6" t="b">
        <f t="shared" si="2"/>
        <v>0</v>
      </c>
      <c r="F265" s="6"/>
      <c r="G265" s="6" t="str">
        <f t="shared" si="3"/>
        <v>Testing</v>
      </c>
    </row>
    <row r="266" spans="1:7" ht="14" x14ac:dyDescent="0.15">
      <c r="A266" s="6" t="s">
        <v>57</v>
      </c>
      <c r="B266" s="8" t="s">
        <v>1393</v>
      </c>
      <c r="C266" s="6" t="str">
        <f>'Ann1 - Step 3'!C266</f>
        <v>Task Execution</v>
      </c>
      <c r="D266" s="6" t="str">
        <f>'Ann2 - Step 3'!C266</f>
        <v>Task Execution</v>
      </c>
      <c r="E266" s="6" t="b">
        <f t="shared" si="2"/>
        <v>0</v>
      </c>
      <c r="F266" s="6"/>
      <c r="G266" s="6" t="str">
        <f t="shared" si="3"/>
        <v>Task Execution</v>
      </c>
    </row>
    <row r="267" spans="1:7" ht="14" x14ac:dyDescent="0.15">
      <c r="A267" s="6" t="s">
        <v>621</v>
      </c>
      <c r="B267" s="8" t="s">
        <v>1394</v>
      </c>
      <c r="C267" s="6" t="str">
        <f>'Ann1 - Step 3'!C267</f>
        <v>Task Execution</v>
      </c>
      <c r="D267" s="6" t="str">
        <f>'Ann2 - Step 3'!C267</f>
        <v>Task Execution</v>
      </c>
      <c r="E267" s="6" t="b">
        <f t="shared" si="2"/>
        <v>0</v>
      </c>
      <c r="F267" s="6"/>
      <c r="G267" s="6" t="str">
        <f t="shared" si="3"/>
        <v>Task Execution</v>
      </c>
    </row>
    <row r="268" spans="1:7" ht="14" x14ac:dyDescent="0.15">
      <c r="A268" s="6" t="s">
        <v>107</v>
      </c>
      <c r="B268" s="8" t="s">
        <v>1395</v>
      </c>
      <c r="C268" s="6" t="str">
        <f>'Ann1 - Step 3'!C268</f>
        <v>Task Execution</v>
      </c>
      <c r="D268" s="6" t="str">
        <f>'Ann2 - Step 3'!C268</f>
        <v>Task Execution</v>
      </c>
      <c r="E268" s="6" t="b">
        <f t="shared" si="2"/>
        <v>0</v>
      </c>
      <c r="F268" s="6"/>
      <c r="G268" s="6" t="str">
        <f t="shared" si="3"/>
        <v>Task Execution</v>
      </c>
    </row>
    <row r="269" spans="1:7" ht="14" x14ac:dyDescent="0.15">
      <c r="A269" s="6" t="s">
        <v>1088</v>
      </c>
      <c r="B269" s="8" t="s">
        <v>1396</v>
      </c>
      <c r="C269" s="6" t="str">
        <f>'Ann1 - Step 3'!C269</f>
        <v>Testing</v>
      </c>
      <c r="D269" s="6" t="str">
        <f>'Ann2 - Step 3'!C269</f>
        <v>Testing</v>
      </c>
      <c r="E269" s="6" t="b">
        <f t="shared" si="2"/>
        <v>0</v>
      </c>
      <c r="F269" s="6"/>
      <c r="G269" s="6" t="str">
        <f t="shared" si="3"/>
        <v>Testing</v>
      </c>
    </row>
    <row r="270" spans="1:7" ht="14" x14ac:dyDescent="0.15">
      <c r="A270" s="6" t="s">
        <v>112</v>
      </c>
      <c r="B270" s="8" t="s">
        <v>1395</v>
      </c>
      <c r="C270" s="6" t="str">
        <f>'Ann1 - Step 3'!C270</f>
        <v>Task Execution</v>
      </c>
      <c r="D270" s="6" t="str">
        <f>'Ann2 - Step 3'!C270</f>
        <v>Task Execution</v>
      </c>
      <c r="E270" s="6" t="b">
        <f t="shared" si="2"/>
        <v>0</v>
      </c>
      <c r="F270" s="6"/>
      <c r="G270" s="6" t="str">
        <f t="shared" si="3"/>
        <v>Task Execution</v>
      </c>
    </row>
    <row r="271" spans="1:7" ht="28" x14ac:dyDescent="0.15">
      <c r="A271" s="6" t="s">
        <v>654</v>
      </c>
      <c r="B271" s="8" t="s">
        <v>1397</v>
      </c>
      <c r="C271" s="6" t="str">
        <f>'Ann1 - Step 3'!C271</f>
        <v>Commit&amp;PR rule</v>
      </c>
      <c r="D271" s="6" t="str">
        <f>'Ann2 - Step 3'!C271</f>
        <v>Commit&amp;PR rule</v>
      </c>
      <c r="E271" s="6" t="b">
        <f t="shared" si="2"/>
        <v>0</v>
      </c>
      <c r="F271" s="6"/>
      <c r="G271" s="6" t="str">
        <f t="shared" si="3"/>
        <v>Commit&amp;PR rule</v>
      </c>
    </row>
    <row r="272" spans="1:7" ht="14" x14ac:dyDescent="0.15">
      <c r="A272" s="6" t="s">
        <v>70</v>
      </c>
      <c r="B272" s="8" t="s">
        <v>1399</v>
      </c>
      <c r="C272" s="6" t="str">
        <f>'Ann1 - Step 3'!C272</f>
        <v>Task Execution</v>
      </c>
      <c r="D272" s="6" t="str">
        <f>'Ann2 - Step 3'!C272</f>
        <v>Task Execution</v>
      </c>
      <c r="E272" s="6" t="b">
        <f t="shared" si="2"/>
        <v>0</v>
      </c>
      <c r="F272" s="6"/>
      <c r="G272" s="6" t="str">
        <f t="shared" si="3"/>
        <v>Task Execution</v>
      </c>
    </row>
    <row r="273" spans="1:7" ht="14" x14ac:dyDescent="0.15">
      <c r="A273" s="6" t="s">
        <v>70</v>
      </c>
      <c r="B273" s="8" t="s">
        <v>1401</v>
      </c>
      <c r="C273" s="6" t="str">
        <f>'Ann1 - Step 3'!C273</f>
        <v>Maintainability</v>
      </c>
      <c r="D273" s="6" t="str">
        <f>'Ann2 - Step 3'!C273</f>
        <v>Task Execution</v>
      </c>
      <c r="E273" s="6" t="b">
        <f t="shared" si="2"/>
        <v>1</v>
      </c>
      <c r="F273" s="30" t="s">
        <v>18</v>
      </c>
      <c r="G273" s="6" t="str">
        <f t="shared" si="3"/>
        <v>Task Execution</v>
      </c>
    </row>
    <row r="274" spans="1:7" ht="14" x14ac:dyDescent="0.15">
      <c r="A274" s="6" t="s">
        <v>1404</v>
      </c>
      <c r="B274" s="8" t="s">
        <v>1405</v>
      </c>
      <c r="C274" s="6" t="str">
        <f>'Ann1 - Step 3'!C274</f>
        <v>Documentation</v>
      </c>
      <c r="D274" s="6" t="str">
        <f>'Ann2 - Step 3'!C274</f>
        <v>Documentation</v>
      </c>
      <c r="E274" s="6" t="b">
        <f t="shared" si="2"/>
        <v>0</v>
      </c>
      <c r="F274" s="6"/>
      <c r="G274" s="6" t="str">
        <f t="shared" si="3"/>
        <v>Documentation</v>
      </c>
    </row>
    <row r="275" spans="1:7" ht="14" x14ac:dyDescent="0.15">
      <c r="A275" s="6" t="s">
        <v>129</v>
      </c>
      <c r="B275" s="8" t="s">
        <v>1406</v>
      </c>
      <c r="C275" s="6" t="str">
        <f>'Ann1 - Step 3'!C275</f>
        <v>Coding Pattern</v>
      </c>
      <c r="D275" s="6" t="str">
        <f>'Ann2 - Step 3'!C275</f>
        <v>Task Execution</v>
      </c>
      <c r="E275" s="6" t="b">
        <f t="shared" si="2"/>
        <v>1</v>
      </c>
      <c r="F275" s="30" t="s">
        <v>30</v>
      </c>
      <c r="G275" s="6" t="str">
        <f t="shared" si="3"/>
        <v>Coding Pattern</v>
      </c>
    </row>
    <row r="276" spans="1:7" ht="13" x14ac:dyDescent="0.15">
      <c r="A276" s="6" t="s">
        <v>129</v>
      </c>
      <c r="B276" s="6" t="s">
        <v>1407</v>
      </c>
      <c r="C276" s="6" t="str">
        <f>'Ann1 - Step 3'!C276</f>
        <v>Coding Pattern</v>
      </c>
      <c r="D276" s="6" t="str">
        <f>'Ann2 - Step 3'!C276</f>
        <v>Coding Style</v>
      </c>
      <c r="E276" s="6" t="b">
        <f t="shared" si="2"/>
        <v>1</v>
      </c>
      <c r="F276" s="30" t="s">
        <v>30</v>
      </c>
      <c r="G276" s="6" t="str">
        <f t="shared" si="3"/>
        <v>Coding Pattern</v>
      </c>
    </row>
    <row r="277" spans="1:7" ht="14" x14ac:dyDescent="0.15">
      <c r="A277" s="6" t="s">
        <v>129</v>
      </c>
      <c r="B277" s="8" t="s">
        <v>1408</v>
      </c>
      <c r="C277" s="6" t="str">
        <f>'Ann1 - Step 3'!C277</f>
        <v>Task Execution</v>
      </c>
      <c r="D277" s="6" t="str">
        <f>'Ann2 - Step 3'!C277</f>
        <v>Task Execution</v>
      </c>
      <c r="E277" s="6" t="b">
        <f t="shared" si="2"/>
        <v>0</v>
      </c>
      <c r="F277" s="6"/>
      <c r="G277" s="6" t="str">
        <f t="shared" si="3"/>
        <v>Task Execution</v>
      </c>
    </row>
    <row r="278" spans="1:7" ht="13" x14ac:dyDescent="0.15">
      <c r="A278" s="6" t="s">
        <v>1410</v>
      </c>
      <c r="B278" s="6" t="s">
        <v>1411</v>
      </c>
      <c r="C278" s="6" t="str">
        <f>'Ann1 - Step 3'!C278</f>
        <v>Writing Style Preference</v>
      </c>
      <c r="D278" s="6" t="str">
        <f>'Ann2 - Step 3'!C278</f>
        <v>Writing Style Preference</v>
      </c>
      <c r="E278" s="6" t="b">
        <f t="shared" si="2"/>
        <v>0</v>
      </c>
      <c r="F278" s="6"/>
      <c r="G278" s="6" t="str">
        <f t="shared" si="3"/>
        <v>Writing Style Preference</v>
      </c>
    </row>
    <row r="279" spans="1:7" ht="13" x14ac:dyDescent="0.15">
      <c r="A279" s="6" t="s">
        <v>1410</v>
      </c>
      <c r="B279" s="6" t="s">
        <v>1412</v>
      </c>
      <c r="C279" s="6" t="str">
        <f>'Ann1 - Step 3'!C279</f>
        <v>Writing Style Preference</v>
      </c>
      <c r="D279" s="6" t="str">
        <f>'Ann2 - Step 3'!C279</f>
        <v>Writing Style Preference</v>
      </c>
      <c r="E279" s="6" t="b">
        <f t="shared" si="2"/>
        <v>0</v>
      </c>
      <c r="F279" s="6"/>
      <c r="G279" s="6" t="str">
        <f t="shared" si="3"/>
        <v>Writing Style Preference</v>
      </c>
    </row>
    <row r="280" spans="1:7" ht="14" x14ac:dyDescent="0.15">
      <c r="A280" s="6" t="s">
        <v>1410</v>
      </c>
      <c r="B280" s="22" t="s">
        <v>1413</v>
      </c>
      <c r="C280" s="6" t="str">
        <f>'Ann1 - Step 3'!C280</f>
        <v>Writing Style Preference</v>
      </c>
      <c r="D280" s="6" t="str">
        <f>'Ann2 - Step 3'!C280</f>
        <v>Writing Style Preference</v>
      </c>
      <c r="E280" s="6" t="b">
        <f t="shared" si="2"/>
        <v>0</v>
      </c>
      <c r="F280" s="6"/>
      <c r="G280" s="6" t="str">
        <f t="shared" si="3"/>
        <v>Writing Style Preference</v>
      </c>
    </row>
    <row r="281" spans="1:7" ht="13" x14ac:dyDescent="0.15">
      <c r="A281" s="6" t="s">
        <v>142</v>
      </c>
      <c r="B281" s="6" t="s">
        <v>1414</v>
      </c>
      <c r="C281" s="6" t="str">
        <f>'Ann1 - Step 3'!C281</f>
        <v>Commit&amp;PR rule</v>
      </c>
      <c r="D281" s="6" t="str">
        <f>'Ann2 - Step 3'!C281</f>
        <v>Commit&amp;PR rule</v>
      </c>
      <c r="E281" s="6" t="b">
        <f t="shared" si="2"/>
        <v>0</v>
      </c>
      <c r="F281" s="6"/>
      <c r="G281" s="6" t="str">
        <f t="shared" si="3"/>
        <v>Commit&amp;PR rule</v>
      </c>
    </row>
    <row r="282" spans="1:7" ht="13" x14ac:dyDescent="0.15">
      <c r="A282" s="6" t="s">
        <v>142</v>
      </c>
      <c r="B282" s="6" t="s">
        <v>1415</v>
      </c>
      <c r="C282" s="6" t="str">
        <f>'Ann1 - Step 3'!C282</f>
        <v>Maintainability</v>
      </c>
      <c r="D282" s="6" t="str">
        <f>'Ann2 - Step 3'!C282</f>
        <v>Maintainability</v>
      </c>
      <c r="E282" s="6" t="b">
        <f t="shared" si="2"/>
        <v>0</v>
      </c>
      <c r="F282" s="6"/>
      <c r="G282" s="6" t="str">
        <f t="shared" si="3"/>
        <v>Maintainability</v>
      </c>
    </row>
    <row r="283" spans="1:7" ht="13" x14ac:dyDescent="0.15">
      <c r="A283" s="6" t="s">
        <v>151</v>
      </c>
      <c r="B283" s="6" t="s">
        <v>1416</v>
      </c>
      <c r="C283" s="6" t="str">
        <f>'Ann1 - Step 3'!C283</f>
        <v>Commit&amp;PR rule</v>
      </c>
      <c r="D283" s="6" t="str">
        <f>'Ann2 - Step 3'!C283</f>
        <v>Commit&amp;PR rule</v>
      </c>
      <c r="E283" s="6" t="b">
        <f t="shared" si="2"/>
        <v>0</v>
      </c>
      <c r="F283" s="6"/>
      <c r="G283" s="6" t="str">
        <f t="shared" si="3"/>
        <v>Commit&amp;PR rule</v>
      </c>
    </row>
    <row r="284" spans="1:7" ht="13" x14ac:dyDescent="0.15">
      <c r="A284" s="6" t="s">
        <v>154</v>
      </c>
      <c r="B284" s="6" t="s">
        <v>1417</v>
      </c>
      <c r="C284" s="6" t="str">
        <f>'Ann1 - Step 3'!C284</f>
        <v>Task Execution</v>
      </c>
      <c r="D284" s="6" t="str">
        <f>'Ann2 - Step 3'!C284</f>
        <v>Maintainability</v>
      </c>
      <c r="E284" s="6" t="b">
        <f t="shared" si="2"/>
        <v>1</v>
      </c>
      <c r="F284" s="30" t="s">
        <v>18</v>
      </c>
      <c r="G284" s="6" t="str">
        <f t="shared" si="3"/>
        <v>Task Execution</v>
      </c>
    </row>
    <row r="285" spans="1:7" ht="14" x14ac:dyDescent="0.15">
      <c r="A285" s="6" t="s">
        <v>154</v>
      </c>
      <c r="B285" s="8" t="s">
        <v>1418</v>
      </c>
      <c r="C285" s="6" t="str">
        <f>'Ann1 - Step 3'!C285</f>
        <v>Task Execution</v>
      </c>
      <c r="D285" s="6" t="str">
        <f>'Ann2 - Step 3'!C285</f>
        <v>Task Execution</v>
      </c>
      <c r="E285" s="6" t="b">
        <f t="shared" si="2"/>
        <v>0</v>
      </c>
      <c r="F285" s="6"/>
      <c r="G285" s="6" t="str">
        <f t="shared" si="3"/>
        <v>Task Execution</v>
      </c>
    </row>
    <row r="286" spans="1:7" ht="13" x14ac:dyDescent="0.15">
      <c r="A286" s="6" t="s">
        <v>154</v>
      </c>
      <c r="B286" s="6" t="s">
        <v>1419</v>
      </c>
      <c r="C286" s="6" t="str">
        <f>'Ann1 - Step 3'!C286</f>
        <v>Build &amp; Operation</v>
      </c>
      <c r="D286" s="6" t="str">
        <f>'Ann2 - Step 3'!C286</f>
        <v>Build &amp; Operation</v>
      </c>
      <c r="E286" s="6" t="b">
        <f t="shared" si="2"/>
        <v>0</v>
      </c>
      <c r="F286" s="6"/>
      <c r="G286" s="6" t="str">
        <f t="shared" si="3"/>
        <v>Build &amp; Operation</v>
      </c>
    </row>
    <row r="287" spans="1:7" ht="14" x14ac:dyDescent="0.15">
      <c r="A287" s="6" t="s">
        <v>154</v>
      </c>
      <c r="B287" s="8" t="s">
        <v>1420</v>
      </c>
      <c r="C287" s="6" t="str">
        <f>'Ann1 - Step 3'!C287</f>
        <v>Commit&amp;PR rule</v>
      </c>
      <c r="D287" s="6" t="str">
        <f>'Ann2 - Step 3'!C287</f>
        <v>Commit&amp;PR rule</v>
      </c>
      <c r="E287" s="6" t="b">
        <f t="shared" si="2"/>
        <v>0</v>
      </c>
      <c r="F287" s="6"/>
      <c r="G287" s="6" t="str">
        <f t="shared" si="3"/>
        <v>Commit&amp;PR rule</v>
      </c>
    </row>
    <row r="288" spans="1:7" ht="13" x14ac:dyDescent="0.15">
      <c r="A288" s="6" t="s">
        <v>154</v>
      </c>
      <c r="B288" s="6" t="s">
        <v>1421</v>
      </c>
      <c r="C288" s="6" t="str">
        <f>'Ann1 - Step 3'!C288</f>
        <v>Task Execution</v>
      </c>
      <c r="D288" s="6" t="str">
        <f>'Ann2 - Step 3'!C288</f>
        <v>Task Execution</v>
      </c>
      <c r="E288" s="6" t="b">
        <f t="shared" si="2"/>
        <v>0</v>
      </c>
      <c r="F288" s="6"/>
      <c r="G288" s="6" t="str">
        <f t="shared" si="3"/>
        <v>Task Execution</v>
      </c>
    </row>
    <row r="289" spans="1:7" ht="14" x14ac:dyDescent="0.15">
      <c r="A289" s="6" t="s">
        <v>154</v>
      </c>
      <c r="B289" s="8" t="s">
        <v>1422</v>
      </c>
      <c r="C289" s="6" t="str">
        <f>'Ann1 - Step 3'!C289</f>
        <v>Documentation</v>
      </c>
      <c r="D289" s="6" t="str">
        <f>'Ann2 - Step 3'!C289</f>
        <v>Documentation</v>
      </c>
      <c r="E289" s="6" t="b">
        <f t="shared" si="2"/>
        <v>0</v>
      </c>
      <c r="F289" s="6"/>
      <c r="G289" s="6" t="str">
        <f t="shared" si="3"/>
        <v>Documentation</v>
      </c>
    </row>
    <row r="290" spans="1:7" ht="14" x14ac:dyDescent="0.15">
      <c r="A290" s="6" t="s">
        <v>154</v>
      </c>
      <c r="B290" s="22" t="s">
        <v>1423</v>
      </c>
      <c r="C290" s="6" t="str">
        <f>'Ann1 - Step 3'!C290</f>
        <v>Documentation</v>
      </c>
      <c r="D290" s="6" t="str">
        <f>'Ann2 - Step 3'!C290</f>
        <v>Documentation</v>
      </c>
      <c r="E290" s="6" t="b">
        <f t="shared" si="2"/>
        <v>0</v>
      </c>
      <c r="F290" s="6"/>
      <c r="G290" s="6" t="str">
        <f t="shared" si="3"/>
        <v>Documentation</v>
      </c>
    </row>
    <row r="291" spans="1:7" ht="14" x14ac:dyDescent="0.15">
      <c r="A291" s="6" t="s">
        <v>154</v>
      </c>
      <c r="B291" s="22" t="s">
        <v>1424</v>
      </c>
      <c r="C291" s="6" t="str">
        <f>'Ann1 - Step 3'!C291</f>
        <v>Testing</v>
      </c>
      <c r="D291" s="6" t="str">
        <f>'Ann2 - Step 3'!C291</f>
        <v>Testing</v>
      </c>
      <c r="E291" s="6" t="b">
        <f t="shared" si="2"/>
        <v>0</v>
      </c>
      <c r="F291" s="6"/>
      <c r="G291" s="6" t="str">
        <f t="shared" si="3"/>
        <v>Testing</v>
      </c>
    </row>
    <row r="292" spans="1:7" ht="14" x14ac:dyDescent="0.15">
      <c r="A292" s="6" t="s">
        <v>668</v>
      </c>
      <c r="B292" s="8" t="s">
        <v>1425</v>
      </c>
      <c r="C292" s="6" t="str">
        <f>'Ann1 - Step 3'!C292</f>
        <v>Coding Pattern</v>
      </c>
      <c r="D292" s="6" t="str">
        <f>'Ann2 - Step 3'!C292</f>
        <v>Coding Pattern</v>
      </c>
      <c r="E292" s="6" t="b">
        <f t="shared" si="2"/>
        <v>0</v>
      </c>
      <c r="F292" s="6"/>
      <c r="G292" s="6" t="str">
        <f t="shared" si="3"/>
        <v>Coding Pattern</v>
      </c>
    </row>
    <row r="293" spans="1:7" ht="13" x14ac:dyDescent="0.15">
      <c r="A293" s="6" t="s">
        <v>668</v>
      </c>
      <c r="B293" s="6" t="s">
        <v>1426</v>
      </c>
      <c r="C293" s="6" t="str">
        <f>'Ann1 - Step 3'!C293</f>
        <v>Task Execution</v>
      </c>
      <c r="D293" s="6" t="str">
        <f>'Ann2 - Step 3'!C293</f>
        <v>Task Execution</v>
      </c>
      <c r="E293" s="6" t="b">
        <f t="shared" si="2"/>
        <v>0</v>
      </c>
      <c r="F293" s="6"/>
      <c r="G293" s="6" t="str">
        <f t="shared" si="3"/>
        <v>Task Execution</v>
      </c>
    </row>
    <row r="294" spans="1:7" ht="13" x14ac:dyDescent="0.15">
      <c r="A294" s="6" t="s">
        <v>668</v>
      </c>
      <c r="B294" s="6" t="s">
        <v>1427</v>
      </c>
      <c r="C294" s="6" t="str">
        <f>'Ann1 - Step 3'!C294</f>
        <v>Writing Style Preference</v>
      </c>
      <c r="D294" s="6" t="str">
        <f>'Ann2 - Step 3'!C294</f>
        <v>Writing Style Preference</v>
      </c>
      <c r="E294" s="6" t="b">
        <f t="shared" si="2"/>
        <v>0</v>
      </c>
      <c r="F294" s="6"/>
      <c r="G294" s="6" t="str">
        <f t="shared" si="3"/>
        <v>Writing Style Preference</v>
      </c>
    </row>
    <row r="295" spans="1:7" ht="14" x14ac:dyDescent="0.15">
      <c r="A295" s="6" t="s">
        <v>668</v>
      </c>
      <c r="B295" s="8" t="s">
        <v>1428</v>
      </c>
      <c r="C295" s="6" t="str">
        <f>'Ann1 - Step 3'!C295</f>
        <v>Writing Style Preference</v>
      </c>
      <c r="D295" s="6" t="str">
        <f>'Ann2 - Step 3'!C295</f>
        <v>Writing Style Preference</v>
      </c>
      <c r="E295" s="6" t="b">
        <f t="shared" si="2"/>
        <v>0</v>
      </c>
      <c r="F295" s="6"/>
      <c r="G295" s="6" t="str">
        <f t="shared" si="3"/>
        <v>Writing Style Preference</v>
      </c>
    </row>
    <row r="296" spans="1:7" ht="13" x14ac:dyDescent="0.15">
      <c r="A296" s="6" t="s">
        <v>668</v>
      </c>
      <c r="B296" s="6" t="s">
        <v>1429</v>
      </c>
      <c r="C296" s="6" t="str">
        <f>'Ann1 - Step 3'!C296</f>
        <v>Writing Style Preference</v>
      </c>
      <c r="D296" s="6" t="str">
        <f>'Ann2 - Step 3'!C296</f>
        <v>Writing Style Preference</v>
      </c>
      <c r="E296" s="6" t="b">
        <f t="shared" si="2"/>
        <v>0</v>
      </c>
      <c r="F296" s="6"/>
      <c r="G296" s="6" t="str">
        <f t="shared" si="3"/>
        <v>Writing Style Preference</v>
      </c>
    </row>
    <row r="297" spans="1:7" ht="13" x14ac:dyDescent="0.15">
      <c r="A297" s="6" t="s">
        <v>668</v>
      </c>
      <c r="B297" s="6" t="s">
        <v>1430</v>
      </c>
      <c r="C297" s="6" t="str">
        <f>'Ann1 - Step 3'!C297</f>
        <v>Writing Style Preference</v>
      </c>
      <c r="D297" s="6" t="str">
        <f>'Ann2 - Step 3'!C297</f>
        <v>Writing Style Preference</v>
      </c>
      <c r="E297" s="6" t="b">
        <f t="shared" si="2"/>
        <v>0</v>
      </c>
      <c r="F297" s="6"/>
      <c r="G297" s="6" t="str">
        <f t="shared" si="3"/>
        <v>Writing Style Preference</v>
      </c>
    </row>
    <row r="298" spans="1:7" ht="14" x14ac:dyDescent="0.15">
      <c r="A298" s="6" t="s">
        <v>668</v>
      </c>
      <c r="B298" s="8" t="s">
        <v>1431</v>
      </c>
      <c r="C298" s="6" t="str">
        <f>'Ann1 - Step 3'!C298</f>
        <v>Commit&amp;PR rule</v>
      </c>
      <c r="D298" s="6" t="str">
        <f>'Ann2 - Step 3'!C298</f>
        <v>Commit&amp;PR rule</v>
      </c>
      <c r="E298" s="6" t="b">
        <f t="shared" si="2"/>
        <v>0</v>
      </c>
      <c r="F298" s="6"/>
      <c r="G298" s="6" t="str">
        <f t="shared" si="3"/>
        <v>Commit&amp;PR rule</v>
      </c>
    </row>
    <row r="299" spans="1:7" ht="14" x14ac:dyDescent="0.15">
      <c r="A299" s="6" t="s">
        <v>672</v>
      </c>
      <c r="B299" s="22" t="s">
        <v>1432</v>
      </c>
      <c r="C299" s="6" t="str">
        <f>'Ann1 - Step 3'!C299</f>
        <v>Task Execution</v>
      </c>
      <c r="D299" s="6" t="str">
        <f>'Ann2 - Step 3'!C299</f>
        <v>Task Execution</v>
      </c>
      <c r="E299" s="6" t="b">
        <f t="shared" si="2"/>
        <v>0</v>
      </c>
      <c r="F299" s="6"/>
      <c r="G299" s="6" t="str">
        <f t="shared" si="3"/>
        <v>Task Execution</v>
      </c>
    </row>
    <row r="300" spans="1:7" ht="14" x14ac:dyDescent="0.15">
      <c r="A300" s="6" t="s">
        <v>672</v>
      </c>
      <c r="B300" s="22" t="s">
        <v>1433</v>
      </c>
      <c r="C300" s="6" t="str">
        <f>'Ann1 - Step 3'!C300</f>
        <v>Task Execution</v>
      </c>
      <c r="D300" s="6" t="str">
        <f>'Ann2 - Step 3'!C300</f>
        <v>Task Execution</v>
      </c>
      <c r="E300" s="6" t="b">
        <f t="shared" si="2"/>
        <v>0</v>
      </c>
      <c r="F300" s="6"/>
      <c r="G300" s="6" t="str">
        <f t="shared" si="3"/>
        <v>Task Execution</v>
      </c>
    </row>
    <row r="301" spans="1:7" ht="14" x14ac:dyDescent="0.15">
      <c r="A301" s="6" t="s">
        <v>672</v>
      </c>
      <c r="B301" s="8" t="s">
        <v>1434</v>
      </c>
      <c r="C301" s="6" t="str">
        <f>'Ann1 - Step 3'!C301</f>
        <v>Task Execution</v>
      </c>
      <c r="D301" s="6" t="str">
        <f>'Ann2 - Step 3'!C301</f>
        <v>Task Execution</v>
      </c>
      <c r="E301" s="6" t="b">
        <f t="shared" si="2"/>
        <v>0</v>
      </c>
      <c r="F301" s="6"/>
      <c r="G301" s="6" t="str">
        <f t="shared" si="3"/>
        <v>Task Execution</v>
      </c>
    </row>
    <row r="302" spans="1:7" ht="14" x14ac:dyDescent="0.15">
      <c r="A302" s="6" t="s">
        <v>157</v>
      </c>
      <c r="B302" s="8" t="s">
        <v>1435</v>
      </c>
      <c r="C302" s="6" t="str">
        <f>'Ann1 - Step 3'!C302</f>
        <v>Documentation</v>
      </c>
      <c r="D302" s="6" t="str">
        <f>'Ann2 - Step 3'!C302</f>
        <v>Documentation</v>
      </c>
      <c r="E302" s="6" t="b">
        <f t="shared" si="2"/>
        <v>0</v>
      </c>
      <c r="F302" s="6"/>
      <c r="G302" s="6" t="str">
        <f t="shared" si="3"/>
        <v>Documentation</v>
      </c>
    </row>
    <row r="303" spans="1:7" ht="14" x14ac:dyDescent="0.15">
      <c r="A303" s="6" t="s">
        <v>157</v>
      </c>
      <c r="B303" s="8" t="s">
        <v>1436</v>
      </c>
      <c r="C303" s="6" t="str">
        <f>'Ann1 - Step 3'!C303</f>
        <v>Documentation</v>
      </c>
      <c r="D303" s="6" t="str">
        <f>'Ann2 - Step 3'!C303</f>
        <v>Documentation</v>
      </c>
      <c r="E303" s="6" t="b">
        <f t="shared" si="2"/>
        <v>0</v>
      </c>
      <c r="F303" s="6"/>
      <c r="G303" s="6" t="str">
        <f t="shared" si="3"/>
        <v>Documentation</v>
      </c>
    </row>
    <row r="304" spans="1:7" ht="14" x14ac:dyDescent="0.15">
      <c r="A304" s="6" t="s">
        <v>160</v>
      </c>
      <c r="B304" s="32" t="s">
        <v>1437</v>
      </c>
      <c r="C304" s="6" t="str">
        <f>'Ann1 - Step 3'!C304</f>
        <v>Writing Style Preference</v>
      </c>
      <c r="D304" s="6" t="str">
        <f>'Ann2 - Step 3'!C304</f>
        <v>Documentation</v>
      </c>
      <c r="E304" s="6" t="b">
        <f t="shared" si="2"/>
        <v>1</v>
      </c>
      <c r="F304" s="30" t="s">
        <v>77</v>
      </c>
      <c r="G304" s="6" t="str">
        <f t="shared" si="3"/>
        <v>Writing Style Preference</v>
      </c>
    </row>
    <row r="305" spans="1:7" ht="13" x14ac:dyDescent="0.15">
      <c r="A305" s="6" t="s">
        <v>160</v>
      </c>
      <c r="B305" s="6" t="s">
        <v>1438</v>
      </c>
      <c r="C305" s="6" t="str">
        <f>'Ann1 - Step 3'!C305</f>
        <v>Task Execution</v>
      </c>
      <c r="D305" s="6" t="str">
        <f>'Ann2 - Step 3'!C305</f>
        <v>Documentation</v>
      </c>
      <c r="E305" s="6" t="b">
        <f t="shared" si="2"/>
        <v>1</v>
      </c>
      <c r="F305" s="30" t="s">
        <v>18</v>
      </c>
      <c r="G305" s="6" t="str">
        <f t="shared" si="3"/>
        <v>Task Execution</v>
      </c>
    </row>
    <row r="306" spans="1:7" ht="14" x14ac:dyDescent="0.15">
      <c r="A306" s="6" t="s">
        <v>160</v>
      </c>
      <c r="B306" s="22" t="s">
        <v>1439</v>
      </c>
      <c r="C306" s="6" t="str">
        <f>'Ann1 - Step 3'!C306</f>
        <v>Documentation</v>
      </c>
      <c r="D306" s="6" t="str">
        <f>'Ann2 - Step 3'!C306</f>
        <v>Documentation</v>
      </c>
      <c r="E306" s="6" t="b">
        <f t="shared" si="2"/>
        <v>0</v>
      </c>
      <c r="F306" s="6"/>
      <c r="G306" s="6" t="str">
        <f t="shared" si="3"/>
        <v>Documentation</v>
      </c>
    </row>
    <row r="307" spans="1:7" ht="13" x14ac:dyDescent="0.15">
      <c r="A307" s="6" t="s">
        <v>166</v>
      </c>
      <c r="B307" s="6" t="s">
        <v>1440</v>
      </c>
      <c r="C307" s="6" t="str">
        <f>'Ann1 - Step 3'!C307</f>
        <v>Maintainability</v>
      </c>
      <c r="D307" s="6" t="str">
        <f>'Ann2 - Step 3'!C307</f>
        <v>Maintainability</v>
      </c>
      <c r="E307" s="6" t="b">
        <f t="shared" si="2"/>
        <v>0</v>
      </c>
      <c r="F307" s="6"/>
      <c r="G307" s="6" t="str">
        <f t="shared" si="3"/>
        <v>Maintainability</v>
      </c>
    </row>
    <row r="308" spans="1:7" ht="13" x14ac:dyDescent="0.15">
      <c r="A308" s="6" t="s">
        <v>166</v>
      </c>
      <c r="B308" s="6" t="s">
        <v>1441</v>
      </c>
      <c r="C308" s="6" t="str">
        <f>'Ann1 - Step 3'!C308</f>
        <v>Coding Pattern</v>
      </c>
      <c r="D308" s="6" t="str">
        <f>'Ann2 - Step 3'!C308</f>
        <v>Coding Pattern</v>
      </c>
      <c r="E308" s="6" t="b">
        <f t="shared" si="2"/>
        <v>0</v>
      </c>
      <c r="F308" s="6"/>
      <c r="G308" s="6" t="str">
        <f t="shared" si="3"/>
        <v>Coding Pattern</v>
      </c>
    </row>
    <row r="309" spans="1:7" ht="14" x14ac:dyDescent="0.15">
      <c r="A309" s="6" t="s">
        <v>166</v>
      </c>
      <c r="B309" s="8" t="s">
        <v>1442</v>
      </c>
      <c r="C309" s="6" t="str">
        <f>'Ann1 - Step 3'!C309</f>
        <v>Maintainability</v>
      </c>
      <c r="D309" s="6" t="str">
        <f>'Ann2 - Step 3'!C309</f>
        <v>Maintainability</v>
      </c>
      <c r="E309" s="6" t="b">
        <f t="shared" si="2"/>
        <v>0</v>
      </c>
      <c r="F309" s="6"/>
      <c r="G309" s="6" t="str">
        <f t="shared" si="3"/>
        <v>Maintainability</v>
      </c>
    </row>
    <row r="310" spans="1:7" ht="14" x14ac:dyDescent="0.15">
      <c r="A310" s="6" t="s">
        <v>166</v>
      </c>
      <c r="B310" s="8" t="s">
        <v>1443</v>
      </c>
      <c r="C310" s="6" t="str">
        <f>'Ann1 - Step 3'!C310</f>
        <v>Coding Pattern</v>
      </c>
      <c r="D310" s="6" t="str">
        <f>'Ann2 - Step 3'!C310</f>
        <v>Coding Pattern</v>
      </c>
      <c r="E310" s="6" t="b">
        <f t="shared" si="2"/>
        <v>0</v>
      </c>
      <c r="F310" s="6"/>
      <c r="G310" s="6" t="str">
        <f t="shared" si="3"/>
        <v>Coding Pattern</v>
      </c>
    </row>
    <row r="311" spans="1:7" ht="14" x14ac:dyDescent="0.15">
      <c r="A311" s="6" t="s">
        <v>781</v>
      </c>
      <c r="B311" s="22" t="s">
        <v>1444</v>
      </c>
      <c r="C311" s="6" t="str">
        <f>'Ann1 - Step 3'!C311</f>
        <v>Coding Pattern</v>
      </c>
      <c r="D311" s="6" t="str">
        <f>'Ann2 - Step 3'!C311</f>
        <v>Coding Pattern</v>
      </c>
      <c r="E311" s="6" t="b">
        <f t="shared" si="2"/>
        <v>0</v>
      </c>
      <c r="F311" s="6"/>
      <c r="G311" s="6" t="str">
        <f t="shared" si="3"/>
        <v>Coding Pattern</v>
      </c>
    </row>
    <row r="312" spans="1:7" ht="13" x14ac:dyDescent="0.15">
      <c r="A312" s="6" t="s">
        <v>781</v>
      </c>
      <c r="B312" s="6" t="s">
        <v>1445</v>
      </c>
      <c r="C312" s="6" t="str">
        <f>'Ann1 - Step 3'!C312</f>
        <v>Coding Pattern</v>
      </c>
      <c r="D312" s="6" t="str">
        <f>'Ann2 - Step 3'!C312</f>
        <v>Coding Pattern</v>
      </c>
      <c r="E312" s="6" t="b">
        <f t="shared" si="2"/>
        <v>0</v>
      </c>
      <c r="F312" s="6"/>
      <c r="G312" s="6" t="str">
        <f t="shared" si="3"/>
        <v>Coding Pattern</v>
      </c>
    </row>
    <row r="313" spans="1:7" ht="13" x14ac:dyDescent="0.15">
      <c r="A313" s="31" t="s">
        <v>683</v>
      </c>
      <c r="B313" s="6" t="s">
        <v>1446</v>
      </c>
      <c r="C313" s="6" t="str">
        <f>'Ann1 - Step 3'!C313</f>
        <v>Writing Style Preference</v>
      </c>
      <c r="D313" s="6" t="str">
        <f>'Ann2 - Step 3'!C313</f>
        <v>Documentation</v>
      </c>
      <c r="E313" s="6" t="b">
        <f t="shared" si="2"/>
        <v>1</v>
      </c>
      <c r="F313" s="30" t="s">
        <v>77</v>
      </c>
      <c r="G313" s="6" t="str">
        <f t="shared" si="3"/>
        <v>Writing Style Preference</v>
      </c>
    </row>
    <row r="314" spans="1:7" ht="13" x14ac:dyDescent="0.15">
      <c r="A314" s="31" t="s">
        <v>683</v>
      </c>
      <c r="B314" s="6" t="s">
        <v>1447</v>
      </c>
      <c r="C314" s="6" t="str">
        <f>'Ann1 - Step 3'!C314</f>
        <v>Testing</v>
      </c>
      <c r="D314" s="6" t="str">
        <f>'Ann2 - Step 3'!C314</f>
        <v>Testing</v>
      </c>
      <c r="E314" s="6" t="b">
        <f t="shared" si="2"/>
        <v>0</v>
      </c>
      <c r="F314" s="6"/>
      <c r="G314" s="6" t="str">
        <f t="shared" si="3"/>
        <v>Testing</v>
      </c>
    </row>
    <row r="315" spans="1:7" ht="13" x14ac:dyDescent="0.15">
      <c r="A315" s="6" t="s">
        <v>107</v>
      </c>
      <c r="B315" s="6" t="s">
        <v>1448</v>
      </c>
      <c r="C315" s="6" t="str">
        <f>'Ann1 - Step 3'!C315</f>
        <v>Commit&amp;PR rule</v>
      </c>
      <c r="D315" s="6" t="str">
        <f>'Ann2 - Step 3'!C315</f>
        <v>Commit&amp;PR rule</v>
      </c>
      <c r="E315" s="6" t="b">
        <f t="shared" si="2"/>
        <v>0</v>
      </c>
      <c r="F315" s="6"/>
      <c r="G315" s="6" t="str">
        <f t="shared" si="3"/>
        <v>Commit&amp;PR rule</v>
      </c>
    </row>
    <row r="316" spans="1:7" ht="14" x14ac:dyDescent="0.15">
      <c r="A316" s="6" t="s">
        <v>107</v>
      </c>
      <c r="B316" s="22" t="s">
        <v>1449</v>
      </c>
      <c r="C316" s="6" t="str">
        <f>'Ann1 - Step 3'!C316</f>
        <v>Commit&amp;PR rule</v>
      </c>
      <c r="D316" s="6" t="str">
        <f>'Ann2 - Step 3'!C316</f>
        <v>Commit&amp;PR rule</v>
      </c>
      <c r="E316" s="6" t="b">
        <f t="shared" si="2"/>
        <v>0</v>
      </c>
      <c r="F316" s="6"/>
      <c r="G316" s="6" t="str">
        <f t="shared" si="3"/>
        <v>Commit&amp;PR rule</v>
      </c>
    </row>
    <row r="317" spans="1:7" ht="13" x14ac:dyDescent="0.15">
      <c r="A317" s="6" t="s">
        <v>75</v>
      </c>
      <c r="B317" s="6" t="s">
        <v>1450</v>
      </c>
      <c r="C317" s="6" t="str">
        <f>'Ann1 - Step 3'!C317</f>
        <v>Coding Pattern</v>
      </c>
      <c r="D317" s="6" t="str">
        <f>'Ann2 - Step 3'!C317</f>
        <v>Coding Pattern</v>
      </c>
      <c r="E317" s="6" t="b">
        <f t="shared" si="2"/>
        <v>0</v>
      </c>
      <c r="F317" s="6"/>
      <c r="G317" s="6" t="str">
        <f t="shared" si="3"/>
        <v>Coding Pattern</v>
      </c>
    </row>
    <row r="318" spans="1:7" ht="13" x14ac:dyDescent="0.15">
      <c r="A318" s="6" t="s">
        <v>75</v>
      </c>
      <c r="B318" s="6" t="s">
        <v>1451</v>
      </c>
      <c r="C318" s="6" t="str">
        <f>'Ann1 - Step 3'!C318</f>
        <v>Coding Pattern</v>
      </c>
      <c r="D318" s="6" t="str">
        <f>'Ann2 - Step 3'!C318</f>
        <v>Coding Pattern</v>
      </c>
      <c r="E318" s="6" t="b">
        <f t="shared" si="2"/>
        <v>0</v>
      </c>
      <c r="F318" s="6"/>
      <c r="G318" s="6" t="str">
        <f t="shared" si="3"/>
        <v>Coding Pattern</v>
      </c>
    </row>
    <row r="319" spans="1:7" ht="13" x14ac:dyDescent="0.15">
      <c r="A319" s="6" t="s">
        <v>75</v>
      </c>
      <c r="B319" s="6" t="s">
        <v>1452</v>
      </c>
      <c r="C319" s="6" t="str">
        <f>'Ann1 - Step 3'!C319</f>
        <v>Coding Pattern</v>
      </c>
      <c r="D319" s="6" t="str">
        <f>'Ann2 - Step 3'!C319</f>
        <v>Coding Pattern</v>
      </c>
      <c r="E319" s="6" t="b">
        <f t="shared" si="2"/>
        <v>0</v>
      </c>
      <c r="F319" s="6"/>
      <c r="G319" s="6" t="str">
        <f t="shared" si="3"/>
        <v>Coding Pattern</v>
      </c>
    </row>
    <row r="320" spans="1:7" ht="14" x14ac:dyDescent="0.15">
      <c r="A320" s="6" t="s">
        <v>75</v>
      </c>
      <c r="B320" s="8" t="s">
        <v>1453</v>
      </c>
      <c r="C320" s="6" t="str">
        <f>'Ann1 - Step 3'!C320</f>
        <v>Performance</v>
      </c>
      <c r="D320" s="6" t="str">
        <f>'Ann2 - Step 3'!C320</f>
        <v>Performance</v>
      </c>
      <c r="E320" s="6" t="b">
        <f t="shared" si="2"/>
        <v>0</v>
      </c>
      <c r="F320" s="6"/>
      <c r="G320" s="6" t="str">
        <f t="shared" si="3"/>
        <v>Performance</v>
      </c>
    </row>
    <row r="321" spans="1:7" ht="14" x14ac:dyDescent="0.15">
      <c r="A321" s="6" t="s">
        <v>1456</v>
      </c>
      <c r="B321" s="8" t="s">
        <v>1457</v>
      </c>
      <c r="C321" s="6" t="str">
        <f>'Ann1 - Step 3'!C321</f>
        <v>Testing</v>
      </c>
      <c r="D321" s="6" t="str">
        <f>'Ann2 - Step 3'!C321</f>
        <v>Testing</v>
      </c>
      <c r="E321" s="6" t="b">
        <f t="shared" si="2"/>
        <v>0</v>
      </c>
      <c r="F321" s="6"/>
      <c r="G321" s="6" t="str">
        <f t="shared" si="3"/>
        <v>Testing</v>
      </c>
    </row>
    <row r="322" spans="1:7" ht="13" x14ac:dyDescent="0.15">
      <c r="A322" s="6" t="s">
        <v>223</v>
      </c>
      <c r="B322" s="6" t="s">
        <v>1458</v>
      </c>
      <c r="C322" s="6" t="str">
        <f>'Ann1 - Step 3'!C322</f>
        <v>Build &amp; Operation</v>
      </c>
      <c r="D322" s="6" t="str">
        <f>'Ann2 - Step 3'!C322</f>
        <v>Build &amp; Operation</v>
      </c>
      <c r="E322" s="6" t="b">
        <f t="shared" si="2"/>
        <v>0</v>
      </c>
      <c r="F322" s="6"/>
      <c r="G322" s="6" t="str">
        <f t="shared" si="3"/>
        <v>Build &amp; Operation</v>
      </c>
    </row>
    <row r="323" spans="1:7" ht="14" x14ac:dyDescent="0.15">
      <c r="A323" s="6" t="s">
        <v>223</v>
      </c>
      <c r="B323" s="8" t="s">
        <v>1459</v>
      </c>
      <c r="C323" s="6" t="str">
        <f>'Ann1 - Step 3'!C323</f>
        <v>Coding Pattern</v>
      </c>
      <c r="D323" s="6" t="str">
        <f>'Ann2 - Step 3'!C323</f>
        <v>Testing</v>
      </c>
      <c r="E323" s="6" t="b">
        <f t="shared" si="2"/>
        <v>1</v>
      </c>
      <c r="F323" s="30" t="s">
        <v>30</v>
      </c>
      <c r="G323" s="6" t="str">
        <f t="shared" si="3"/>
        <v>Coding Pattern</v>
      </c>
    </row>
    <row r="324" spans="1:7" ht="13" x14ac:dyDescent="0.15">
      <c r="A324" s="6" t="s">
        <v>223</v>
      </c>
      <c r="B324" s="6" t="s">
        <v>1460</v>
      </c>
      <c r="C324" s="6" t="str">
        <f>'Ann1 - Step 3'!C324</f>
        <v>Coding Pattern</v>
      </c>
      <c r="D324" s="6" t="str">
        <f>'Ann2 - Step 3'!C324</f>
        <v>Coding Pattern</v>
      </c>
      <c r="E324" s="6" t="b">
        <f t="shared" si="2"/>
        <v>0</v>
      </c>
      <c r="F324" s="6"/>
      <c r="G324" s="6" t="str">
        <f t="shared" si="3"/>
        <v>Coding Pattern</v>
      </c>
    </row>
    <row r="325" spans="1:7" ht="13" x14ac:dyDescent="0.15">
      <c r="A325" s="6" t="s">
        <v>1463</v>
      </c>
      <c r="B325" s="6" t="s">
        <v>1464</v>
      </c>
      <c r="C325" s="6" t="str">
        <f>'Ann1 - Step 3'!C325</f>
        <v>Coding Pattern</v>
      </c>
      <c r="D325" s="6" t="str">
        <f>'Ann2 - Step 3'!C325</f>
        <v>Coding Pattern</v>
      </c>
      <c r="E325" s="6" t="b">
        <f t="shared" si="2"/>
        <v>0</v>
      </c>
      <c r="F325" s="6"/>
      <c r="G325" s="6" t="str">
        <f t="shared" si="3"/>
        <v>Coding Pattern</v>
      </c>
    </row>
    <row r="326" spans="1:7" ht="13" x14ac:dyDescent="0.15">
      <c r="A326" s="6" t="s">
        <v>15</v>
      </c>
      <c r="B326" s="6" t="s">
        <v>1465</v>
      </c>
      <c r="C326" s="6" t="str">
        <f>'Ann1 - Step 3'!C326</f>
        <v>Maintainability</v>
      </c>
      <c r="D326" s="6" t="str">
        <f>'Ann2 - Step 3'!C326</f>
        <v>Maintainability</v>
      </c>
      <c r="E326" s="6" t="b">
        <f t="shared" si="2"/>
        <v>0</v>
      </c>
      <c r="F326" s="6"/>
      <c r="G326" s="6" t="str">
        <f t="shared" si="3"/>
        <v>Maintainability</v>
      </c>
    </row>
    <row r="327" spans="1:7" ht="13" x14ac:dyDescent="0.15">
      <c r="A327" s="6" t="s">
        <v>230</v>
      </c>
      <c r="B327" s="6" t="s">
        <v>1466</v>
      </c>
      <c r="C327" s="6" t="str">
        <f>'Ann1 - Step 3'!C327</f>
        <v>Commit&amp;PR rule</v>
      </c>
      <c r="D327" s="6" t="str">
        <f>'Ann2 - Step 3'!C327</f>
        <v>Commit&amp;PR rule</v>
      </c>
      <c r="E327" s="6" t="b">
        <f t="shared" si="2"/>
        <v>0</v>
      </c>
      <c r="F327" s="6"/>
      <c r="G327" s="6" t="str">
        <f t="shared" si="3"/>
        <v>Commit&amp;PR rule</v>
      </c>
    </row>
    <row r="328" spans="1:7" ht="14" x14ac:dyDescent="0.15">
      <c r="A328" s="31" t="s">
        <v>230</v>
      </c>
      <c r="B328" s="8" t="s">
        <v>1467</v>
      </c>
      <c r="C328" s="6" t="str">
        <f>'Ann1 - Step 3'!C328</f>
        <v>Task Execution</v>
      </c>
      <c r="D328" s="6" t="str">
        <f>'Ann2 - Step 3'!C328</f>
        <v>Build &amp; Operation</v>
      </c>
      <c r="E328" s="6" t="b">
        <f t="shared" si="2"/>
        <v>1</v>
      </c>
      <c r="F328" s="30" t="s">
        <v>136</v>
      </c>
      <c r="G328" s="6" t="str">
        <f t="shared" si="3"/>
        <v>Build &amp; Operation</v>
      </c>
    </row>
    <row r="329" spans="1:7" ht="13" x14ac:dyDescent="0.15">
      <c r="A329" s="6" t="s">
        <v>230</v>
      </c>
      <c r="B329" s="6" t="s">
        <v>1468</v>
      </c>
      <c r="C329" s="6" t="str">
        <f>'Ann1 - Step 3'!C329</f>
        <v>Task Execution</v>
      </c>
      <c r="D329" s="6" t="str">
        <f>'Ann2 - Step 3'!C329</f>
        <v>Build &amp; Operation</v>
      </c>
      <c r="E329" s="6" t="b">
        <f t="shared" si="2"/>
        <v>1</v>
      </c>
      <c r="F329" s="30" t="s">
        <v>18</v>
      </c>
      <c r="G329" s="6" t="str">
        <f t="shared" si="3"/>
        <v>Task Execution</v>
      </c>
    </row>
    <row r="330" spans="1:7" ht="13" x14ac:dyDescent="0.15">
      <c r="A330" s="6" t="s">
        <v>848</v>
      </c>
      <c r="B330" s="6" t="s">
        <v>1469</v>
      </c>
      <c r="C330" s="6" t="str">
        <f>'Ann1 - Step 3'!C330</f>
        <v>Testing</v>
      </c>
      <c r="D330" s="6" t="str">
        <f>'Ann2 - Step 3'!C330</f>
        <v>Testing</v>
      </c>
      <c r="E330" s="6" t="b">
        <f t="shared" si="2"/>
        <v>0</v>
      </c>
      <c r="F330" s="6"/>
      <c r="G330" s="6" t="str">
        <f t="shared" si="3"/>
        <v>Testing</v>
      </c>
    </row>
    <row r="331" spans="1:7" ht="14" x14ac:dyDescent="0.15">
      <c r="A331" s="6" t="s">
        <v>848</v>
      </c>
      <c r="B331" s="8" t="s">
        <v>1470</v>
      </c>
      <c r="C331" s="6" t="str">
        <f>'Ann1 - Step 3'!C331</f>
        <v>Commit&amp;PR rule</v>
      </c>
      <c r="D331" s="6" t="str">
        <f>'Ann2 - Step 3'!C331</f>
        <v>Commit&amp;PR rule</v>
      </c>
      <c r="E331" s="6" t="b">
        <f t="shared" si="2"/>
        <v>0</v>
      </c>
      <c r="F331" s="6"/>
      <c r="G331" s="6" t="str">
        <f t="shared" si="3"/>
        <v>Commit&amp;PR rule</v>
      </c>
    </row>
    <row r="332" spans="1:7" ht="13" x14ac:dyDescent="0.15">
      <c r="A332" s="6" t="s">
        <v>234</v>
      </c>
      <c r="B332" s="6" t="s">
        <v>1471</v>
      </c>
      <c r="C332" s="6" t="str">
        <f>'Ann1 - Step 3'!C332</f>
        <v>Coding Pattern</v>
      </c>
      <c r="D332" s="6" t="str">
        <f>'Ann2 - Step 3'!C332</f>
        <v>Coding Pattern</v>
      </c>
      <c r="E332" s="6" t="b">
        <f t="shared" si="2"/>
        <v>0</v>
      </c>
      <c r="F332" s="6"/>
      <c r="G332" s="6" t="str">
        <f t="shared" si="3"/>
        <v>Coding Pattern</v>
      </c>
    </row>
    <row r="333" spans="1:7" ht="13" x14ac:dyDescent="0.15">
      <c r="A333" s="6" t="s">
        <v>234</v>
      </c>
      <c r="B333" s="6" t="s">
        <v>1472</v>
      </c>
      <c r="C333" s="6" t="str">
        <f>'Ann1 - Step 3'!C333</f>
        <v>Testing</v>
      </c>
      <c r="D333" s="6" t="str">
        <f>'Ann2 - Step 3'!C333</f>
        <v>Testing</v>
      </c>
      <c r="E333" s="6" t="b">
        <f t="shared" si="2"/>
        <v>0</v>
      </c>
      <c r="F333" s="6"/>
      <c r="G333" s="6" t="str">
        <f t="shared" si="3"/>
        <v>Testing</v>
      </c>
    </row>
    <row r="334" spans="1:7" ht="13" x14ac:dyDescent="0.15">
      <c r="A334" s="31" t="s">
        <v>234</v>
      </c>
      <c r="B334" s="6" t="s">
        <v>1473</v>
      </c>
      <c r="C334" s="6" t="str">
        <f>'Ann1 - Step 3'!C334</f>
        <v>Testing</v>
      </c>
      <c r="D334" s="6" t="str">
        <f>'Ann2 - Step 3'!C334</f>
        <v>Task Execution</v>
      </c>
      <c r="E334" s="6" t="b">
        <f t="shared" si="2"/>
        <v>1</v>
      </c>
      <c r="F334" s="30" t="s">
        <v>18</v>
      </c>
      <c r="G334" s="6" t="str">
        <f t="shared" si="3"/>
        <v>Task Execution</v>
      </c>
    </row>
    <row r="335" spans="1:7" ht="13" x14ac:dyDescent="0.15">
      <c r="A335" s="6" t="s">
        <v>239</v>
      </c>
      <c r="B335" s="6" t="s">
        <v>1474</v>
      </c>
      <c r="C335" s="6" t="str">
        <f>'Ann1 - Step 3'!C335</f>
        <v>Task Execution</v>
      </c>
      <c r="D335" s="6" t="str">
        <f>'Ann2 - Step 3'!C335</f>
        <v>Task Execution</v>
      </c>
      <c r="E335" s="6" t="b">
        <f t="shared" si="2"/>
        <v>0</v>
      </c>
      <c r="F335" s="6"/>
      <c r="G335" s="6" t="str">
        <f t="shared" si="3"/>
        <v>Task Execution</v>
      </c>
    </row>
    <row r="336" spans="1:7" ht="13" x14ac:dyDescent="0.15">
      <c r="A336" s="6" t="s">
        <v>1477</v>
      </c>
      <c r="B336" s="6" t="s">
        <v>1478</v>
      </c>
      <c r="C336" s="6" t="str">
        <f>'Ann1 - Step 3'!C336</f>
        <v>Documentation</v>
      </c>
      <c r="D336" s="6" t="str">
        <f>'Ann2 - Step 3'!C336</f>
        <v>Documentation</v>
      </c>
      <c r="E336" s="6" t="b">
        <f t="shared" si="2"/>
        <v>0</v>
      </c>
      <c r="F336" s="6"/>
      <c r="G336" s="6" t="str">
        <f t="shared" si="3"/>
        <v>Documentation</v>
      </c>
    </row>
    <row r="337" spans="1:7" ht="13" x14ac:dyDescent="0.15">
      <c r="A337" s="6" t="s">
        <v>81</v>
      </c>
      <c r="B337" s="6" t="s">
        <v>1479</v>
      </c>
      <c r="C337" s="6" t="str">
        <f>'Ann1 - Step 3'!C337</f>
        <v>NOT_ENOUGH_CONTEXT</v>
      </c>
      <c r="D337" s="6" t="str">
        <f>'Ann2 - Step 3'!C337</f>
        <v>NOT_ENOUGH_CONTEXT</v>
      </c>
      <c r="E337" s="6" t="b">
        <f t="shared" si="2"/>
        <v>0</v>
      </c>
      <c r="F337" s="6"/>
      <c r="G337" s="6" t="str">
        <f t="shared" si="3"/>
        <v>NOT_ENOUGH_CONTEXT</v>
      </c>
    </row>
    <row r="338" spans="1:7" ht="13" x14ac:dyDescent="0.15">
      <c r="A338" s="6" t="s">
        <v>249</v>
      </c>
      <c r="B338" s="6" t="s">
        <v>1480</v>
      </c>
      <c r="C338" s="6" t="str">
        <f>'Ann1 - Step 3'!C338</f>
        <v>Coding Pattern</v>
      </c>
      <c r="D338" s="6" t="str">
        <f>'Ann2 - Step 3'!C338</f>
        <v>Coding Pattern</v>
      </c>
      <c r="E338" s="6" t="b">
        <f t="shared" si="2"/>
        <v>0</v>
      </c>
      <c r="F338" s="6"/>
      <c r="G338" s="6" t="str">
        <f t="shared" si="3"/>
        <v>Coding Pattern</v>
      </c>
    </row>
    <row r="339" spans="1:7" ht="13" x14ac:dyDescent="0.15">
      <c r="A339" s="6" t="s">
        <v>249</v>
      </c>
      <c r="B339" s="6" t="s">
        <v>1481</v>
      </c>
      <c r="C339" s="6" t="str">
        <f>'Ann1 - Step 3'!C339</f>
        <v>Coding Style</v>
      </c>
      <c r="D339" s="6" t="str">
        <f>'Ann2 - Step 3'!C339</f>
        <v>Coding Style</v>
      </c>
      <c r="E339" s="6" t="b">
        <f t="shared" si="2"/>
        <v>0</v>
      </c>
      <c r="F339" s="6"/>
      <c r="G339" s="6" t="str">
        <f t="shared" si="3"/>
        <v>Coding Style</v>
      </c>
    </row>
    <row r="340" spans="1:7" ht="14" x14ac:dyDescent="0.15">
      <c r="A340" s="6" t="s">
        <v>249</v>
      </c>
      <c r="B340" s="8" t="s">
        <v>1482</v>
      </c>
      <c r="C340" s="6" t="str">
        <f>'Ann1 - Step 3'!C340</f>
        <v>Task Execution</v>
      </c>
      <c r="D340" s="6" t="str">
        <f>'Ann2 - Step 3'!C340</f>
        <v>Task Execution</v>
      </c>
      <c r="E340" s="6" t="b">
        <f t="shared" si="2"/>
        <v>0</v>
      </c>
      <c r="F340" s="6"/>
      <c r="G340" s="6" t="str">
        <f t="shared" si="3"/>
        <v>Task Execution</v>
      </c>
    </row>
    <row r="341" spans="1:7" ht="13" x14ac:dyDescent="0.15">
      <c r="A341" s="6" t="s">
        <v>1485</v>
      </c>
      <c r="B341" s="6" t="s">
        <v>1486</v>
      </c>
      <c r="C341" s="6" t="str">
        <f>'Ann1 - Step 3'!C341</f>
        <v>Task Execution</v>
      </c>
      <c r="D341" s="6" t="str">
        <f>'Ann2 - Step 3'!C341</f>
        <v>Task Execution</v>
      </c>
      <c r="E341" s="6" t="b">
        <f t="shared" si="2"/>
        <v>0</v>
      </c>
      <c r="F341" s="6"/>
      <c r="G341" s="6" t="str">
        <f t="shared" si="3"/>
        <v>Task Execution</v>
      </c>
    </row>
    <row r="342" spans="1:7" ht="14" x14ac:dyDescent="0.15">
      <c r="A342" s="6" t="s">
        <v>887</v>
      </c>
      <c r="B342" s="8" t="s">
        <v>1487</v>
      </c>
      <c r="C342" s="6" t="str">
        <f>'Ann1 - Step 3'!C342</f>
        <v>Build &amp; Operation</v>
      </c>
      <c r="D342" s="6" t="str">
        <f>'Ann2 - Step 3'!C342</f>
        <v>Build &amp; Operation</v>
      </c>
      <c r="E342" s="6" t="b">
        <f t="shared" si="2"/>
        <v>0</v>
      </c>
      <c r="F342" s="6"/>
      <c r="G342" s="6" t="str">
        <f t="shared" si="3"/>
        <v>Build &amp; Operation</v>
      </c>
    </row>
    <row r="343" spans="1:7" ht="14" x14ac:dyDescent="0.15">
      <c r="A343" s="6" t="s">
        <v>256</v>
      </c>
      <c r="B343" s="8" t="s">
        <v>1488</v>
      </c>
      <c r="C343" s="6" t="str">
        <f>'Ann1 - Step 3'!C343</f>
        <v>Build &amp; Operation</v>
      </c>
      <c r="D343" s="6" t="str">
        <f>'Ann2 - Step 3'!C343</f>
        <v>Build &amp; Operation</v>
      </c>
      <c r="E343" s="6" t="b">
        <f t="shared" si="2"/>
        <v>0</v>
      </c>
      <c r="F343" s="6"/>
      <c r="G343" s="6" t="str">
        <f t="shared" si="3"/>
        <v>Build &amp; Operation</v>
      </c>
    </row>
    <row r="344" spans="1:7" ht="13" x14ac:dyDescent="0.15">
      <c r="A344" s="6" t="s">
        <v>256</v>
      </c>
      <c r="B344" s="6" t="s">
        <v>1489</v>
      </c>
      <c r="C344" s="6" t="str">
        <f>'Ann1 - Step 3'!C344</f>
        <v>Writing Style Preference</v>
      </c>
      <c r="D344" s="6" t="str">
        <f>'Ann2 - Step 3'!C344</f>
        <v>Coding Pattern</v>
      </c>
      <c r="E344" s="6" t="b">
        <f t="shared" si="2"/>
        <v>1</v>
      </c>
      <c r="F344" s="30" t="s">
        <v>77</v>
      </c>
      <c r="G344" s="6" t="str">
        <f t="shared" si="3"/>
        <v>Writing Style Preference</v>
      </c>
    </row>
    <row r="345" spans="1:7" ht="13" x14ac:dyDescent="0.15">
      <c r="A345" s="6" t="s">
        <v>1492</v>
      </c>
      <c r="B345" s="6" t="s">
        <v>1493</v>
      </c>
      <c r="C345" s="6" t="str">
        <f>'Ann1 - Step 3'!C345</f>
        <v>NOT_ENOUGH_CONTEXT</v>
      </c>
      <c r="D345" s="6" t="str">
        <f>'Ann2 - Step 3'!C345</f>
        <v>NOT_ENOUGH_CONTEXT</v>
      </c>
      <c r="E345" s="6" t="b">
        <f t="shared" si="2"/>
        <v>0</v>
      </c>
      <c r="F345" s="6"/>
      <c r="G345" s="6" t="str">
        <f t="shared" si="3"/>
        <v>NOT_ENOUGH_CONTEXT</v>
      </c>
    </row>
    <row r="346" spans="1:7" ht="13" x14ac:dyDescent="0.15">
      <c r="A346" s="6" t="s">
        <v>1492</v>
      </c>
      <c r="B346" s="6" t="s">
        <v>1494</v>
      </c>
      <c r="C346" s="6" t="str">
        <f>'Ann1 - Step 3'!C346</f>
        <v>Coding Pattern</v>
      </c>
      <c r="D346" s="6" t="str">
        <f>'Ann2 - Step 3'!C346</f>
        <v>Coding Pattern</v>
      </c>
      <c r="E346" s="6" t="b">
        <f t="shared" si="2"/>
        <v>0</v>
      </c>
      <c r="F346" s="6"/>
      <c r="G346" s="6" t="str">
        <f t="shared" si="3"/>
        <v>Coding Pattern</v>
      </c>
    </row>
    <row r="347" spans="1:7" ht="13" x14ac:dyDescent="0.15">
      <c r="A347" s="6" t="s">
        <v>1492</v>
      </c>
      <c r="B347" s="6" t="s">
        <v>1495</v>
      </c>
      <c r="C347" s="6" t="str">
        <f>'Ann1 - Step 3'!C347</f>
        <v>Coding Pattern</v>
      </c>
      <c r="D347" s="6" t="str">
        <f>'Ann2 - Step 3'!C347</f>
        <v>Coding Pattern</v>
      </c>
      <c r="E347" s="6" t="b">
        <f t="shared" si="2"/>
        <v>0</v>
      </c>
      <c r="F347" s="6"/>
      <c r="G347" s="6" t="str">
        <f t="shared" si="3"/>
        <v>Coding Pattern</v>
      </c>
    </row>
    <row r="348" spans="1:7" ht="14" x14ac:dyDescent="0.15">
      <c r="A348" s="31" t="s">
        <v>1492</v>
      </c>
      <c r="B348" s="8" t="s">
        <v>1496</v>
      </c>
      <c r="C348" s="6" t="str">
        <f>'Ann1 - Step 3'!C348</f>
        <v>Build &amp; Operation</v>
      </c>
      <c r="D348" s="6" t="str">
        <f>'Ann2 - Step 3'!C348</f>
        <v>Coding Pattern</v>
      </c>
      <c r="E348" s="6" t="b">
        <f t="shared" si="2"/>
        <v>1</v>
      </c>
      <c r="F348" s="30" t="s">
        <v>18</v>
      </c>
      <c r="G348" s="6" t="str">
        <f t="shared" si="3"/>
        <v>Task Execution</v>
      </c>
    </row>
    <row r="349" spans="1:7" ht="14" x14ac:dyDescent="0.15">
      <c r="A349" s="6" t="s">
        <v>267</v>
      </c>
      <c r="B349" s="22" t="s">
        <v>1497</v>
      </c>
      <c r="C349" s="6" t="str">
        <f>'Ann1 - Step 3'!C349</f>
        <v>Commit&amp;PR rule</v>
      </c>
      <c r="D349" s="6" t="str">
        <f>'Ann2 - Step 3'!C349</f>
        <v>Commit&amp;PR rule</v>
      </c>
      <c r="E349" s="6" t="b">
        <f t="shared" si="2"/>
        <v>0</v>
      </c>
      <c r="F349" s="6"/>
      <c r="G349" s="6" t="str">
        <f t="shared" si="3"/>
        <v>Commit&amp;PR rule</v>
      </c>
    </row>
    <row r="350" spans="1:7" ht="13" x14ac:dyDescent="0.15">
      <c r="A350" s="6" t="s">
        <v>293</v>
      </c>
      <c r="B350" s="6" t="s">
        <v>1498</v>
      </c>
      <c r="C350" s="6" t="str">
        <f>'Ann1 - Step 3'!C350</f>
        <v>Build &amp; Operation</v>
      </c>
      <c r="D350" s="6" t="str">
        <f>'Ann2 - Step 3'!C350</f>
        <v>Build &amp; Operation</v>
      </c>
      <c r="E350" s="6" t="b">
        <f t="shared" si="2"/>
        <v>0</v>
      </c>
      <c r="F350" s="6"/>
      <c r="G350" s="6" t="str">
        <f t="shared" si="3"/>
        <v>Build &amp; Operation</v>
      </c>
    </row>
    <row r="351" spans="1:7" ht="13" x14ac:dyDescent="0.15">
      <c r="A351" s="6" t="s">
        <v>293</v>
      </c>
      <c r="B351" s="6" t="s">
        <v>1499</v>
      </c>
      <c r="C351" s="6" t="str">
        <f>'Ann1 - Step 3'!C351</f>
        <v>Testing</v>
      </c>
      <c r="D351" s="6" t="str">
        <f>'Ann2 - Step 3'!C351</f>
        <v>Testing</v>
      </c>
      <c r="E351" s="6" t="b">
        <f t="shared" si="2"/>
        <v>0</v>
      </c>
      <c r="F351" s="6"/>
      <c r="G351" s="6" t="str">
        <f t="shared" si="3"/>
        <v>Testing</v>
      </c>
    </row>
    <row r="352" spans="1:7" ht="14" x14ac:dyDescent="0.15">
      <c r="A352" s="6" t="s">
        <v>950</v>
      </c>
      <c r="B352" s="8" t="s">
        <v>1500</v>
      </c>
      <c r="C352" s="6" t="str">
        <f>'Ann1 - Step 3'!C352</f>
        <v>Documentation</v>
      </c>
      <c r="D352" s="6" t="str">
        <f>'Ann2 - Step 3'!C352</f>
        <v>Documentation</v>
      </c>
      <c r="E352" s="6" t="b">
        <f t="shared" si="2"/>
        <v>0</v>
      </c>
      <c r="F352" s="6"/>
      <c r="G352" s="6" t="str">
        <f t="shared" si="3"/>
        <v>Documentation</v>
      </c>
    </row>
    <row r="353" spans="1:7" ht="13" x14ac:dyDescent="0.15">
      <c r="A353" s="6" t="s">
        <v>955</v>
      </c>
      <c r="B353" s="6" t="s">
        <v>1501</v>
      </c>
      <c r="C353" s="6" t="str">
        <f>'Ann1 - Step 3'!C353</f>
        <v>Security</v>
      </c>
      <c r="D353" s="6" t="str">
        <f>'Ann2 - Step 3'!C353</f>
        <v>Security</v>
      </c>
      <c r="E353" s="6" t="b">
        <f t="shared" si="2"/>
        <v>0</v>
      </c>
      <c r="F353" s="6"/>
      <c r="G353" s="6" t="str">
        <f t="shared" si="3"/>
        <v>Security</v>
      </c>
    </row>
    <row r="354" spans="1:7" ht="14" x14ac:dyDescent="0.15">
      <c r="A354" s="6" t="s">
        <v>327</v>
      </c>
      <c r="B354" s="22" t="s">
        <v>1502</v>
      </c>
      <c r="C354" s="6" t="str">
        <f>'Ann1 - Step 3'!C354</f>
        <v>Coding Pattern</v>
      </c>
      <c r="D354" s="6" t="str">
        <f>'Ann2 - Step 3'!C354</f>
        <v>Coding Pattern</v>
      </c>
      <c r="E354" s="6" t="b">
        <f t="shared" si="2"/>
        <v>0</v>
      </c>
      <c r="F354" s="6"/>
      <c r="G354" s="6" t="str">
        <f t="shared" si="3"/>
        <v>Coding Pattern</v>
      </c>
    </row>
    <row r="355" spans="1:7" ht="14" x14ac:dyDescent="0.15">
      <c r="A355" s="6" t="s">
        <v>327</v>
      </c>
      <c r="B355" s="22" t="s">
        <v>1503</v>
      </c>
      <c r="C355" s="6" t="str">
        <f>'Ann1 - Step 3'!C355</f>
        <v>Writing Style Preference</v>
      </c>
      <c r="D355" s="6" t="str">
        <f>'Ann2 - Step 3'!C355</f>
        <v>Writing Style Preference</v>
      </c>
      <c r="E355" s="6" t="b">
        <f t="shared" si="2"/>
        <v>0</v>
      </c>
      <c r="F355" s="6"/>
      <c r="G355" s="6" t="str">
        <f t="shared" si="3"/>
        <v>Writing Style Preference</v>
      </c>
    </row>
    <row r="356" spans="1:7" ht="13" x14ac:dyDescent="0.15">
      <c r="A356" s="6" t="s">
        <v>327</v>
      </c>
      <c r="B356" s="33" t="s">
        <v>1504</v>
      </c>
      <c r="C356" s="6" t="str">
        <f>'Ann1 - Step 3'!C356</f>
        <v>Maintainability</v>
      </c>
      <c r="D356" s="6" t="str">
        <f>'Ann2 - Step 3'!C356</f>
        <v>Maintainability</v>
      </c>
      <c r="E356" s="6" t="b">
        <f t="shared" si="2"/>
        <v>0</v>
      </c>
      <c r="F356" s="6"/>
      <c r="G356" s="6" t="str">
        <f t="shared" si="3"/>
        <v>Maintainability</v>
      </c>
    </row>
    <row r="357" spans="1:7" ht="14" x14ac:dyDescent="0.15">
      <c r="A357" s="6" t="s">
        <v>971</v>
      </c>
      <c r="B357" s="22" t="s">
        <v>1505</v>
      </c>
      <c r="C357" s="6" t="str">
        <f>'Ann1 - Step 3'!C357</f>
        <v>Coding Pattern</v>
      </c>
      <c r="D357" s="6" t="str">
        <f>'Ann2 - Step 3'!C357</f>
        <v>Coding Pattern</v>
      </c>
      <c r="E357" s="6" t="b">
        <f t="shared" si="2"/>
        <v>0</v>
      </c>
      <c r="F357" s="6"/>
      <c r="G357" s="6" t="str">
        <f t="shared" si="3"/>
        <v>Coding Pattern</v>
      </c>
    </row>
    <row r="358" spans="1:7" ht="14" x14ac:dyDescent="0.15">
      <c r="A358" s="6" t="s">
        <v>347</v>
      </c>
      <c r="B358" s="22" t="s">
        <v>1506</v>
      </c>
      <c r="C358" s="6" t="str">
        <f>'Ann1 - Step 3'!C358</f>
        <v>Coding Pattern</v>
      </c>
      <c r="D358" s="6" t="str">
        <f>'Ann2 - Step 3'!C358</f>
        <v>Coding Pattern</v>
      </c>
      <c r="E358" s="6" t="b">
        <f t="shared" si="2"/>
        <v>0</v>
      </c>
      <c r="F358" s="6"/>
      <c r="G358" s="6" t="str">
        <f t="shared" si="3"/>
        <v>Coding Pattern</v>
      </c>
    </row>
    <row r="359" spans="1:7" ht="13" x14ac:dyDescent="0.15">
      <c r="A359" s="6" t="s">
        <v>359</v>
      </c>
      <c r="B359" s="33" t="s">
        <v>1507</v>
      </c>
      <c r="C359" s="6" t="str">
        <f>'Ann1 - Step 3'!C359</f>
        <v>Writing Style Preference</v>
      </c>
      <c r="D359" s="6" t="str">
        <f>'Ann2 - Step 3'!C359</f>
        <v>Writing Style Preference</v>
      </c>
      <c r="E359" s="6" t="b">
        <f t="shared" si="2"/>
        <v>0</v>
      </c>
      <c r="F359" s="6"/>
      <c r="G359" s="6" t="str">
        <f t="shared" si="3"/>
        <v>Writing Style Preference</v>
      </c>
    </row>
    <row r="360" spans="1:7" ht="13" x14ac:dyDescent="0.15">
      <c r="A360" s="6" t="s">
        <v>359</v>
      </c>
      <c r="B360" s="33" t="s">
        <v>1508</v>
      </c>
      <c r="C360" s="6" t="str">
        <f>'Ann1 - Step 3'!C360</f>
        <v>Performance</v>
      </c>
      <c r="D360" s="6" t="str">
        <f>'Ann2 - Step 3'!C360</f>
        <v>Performance</v>
      </c>
      <c r="E360" s="6" t="b">
        <f t="shared" si="2"/>
        <v>0</v>
      </c>
      <c r="F360" s="6"/>
      <c r="G360" s="6" t="str">
        <f t="shared" si="3"/>
        <v>Performance</v>
      </c>
    </row>
    <row r="361" spans="1:7" ht="14" x14ac:dyDescent="0.15">
      <c r="A361" s="31" t="s">
        <v>1003</v>
      </c>
      <c r="B361" s="22" t="s">
        <v>1509</v>
      </c>
      <c r="C361" s="6" t="str">
        <f>'Ann1 - Step 3'!C361</f>
        <v>Documentation</v>
      </c>
      <c r="D361" s="6" t="str">
        <f>'Ann2 - Step 3'!C361</f>
        <v>Documentation</v>
      </c>
      <c r="E361" s="6" t="b">
        <f t="shared" si="2"/>
        <v>0</v>
      </c>
      <c r="F361" s="6"/>
      <c r="G361" s="6" t="str">
        <f t="shared" si="3"/>
        <v>Documentation</v>
      </c>
    </row>
    <row r="362" spans="1:7" ht="14" x14ac:dyDescent="0.15">
      <c r="A362" s="6" t="s">
        <v>1013</v>
      </c>
      <c r="B362" s="22" t="s">
        <v>1510</v>
      </c>
      <c r="C362" s="6" t="str">
        <f>'Ann1 - Step 3'!C362</f>
        <v>Testing</v>
      </c>
      <c r="D362" s="6" t="str">
        <f>'Ann2 - Step 3'!C362</f>
        <v>Testing</v>
      </c>
      <c r="E362" s="6" t="b">
        <f t="shared" si="2"/>
        <v>0</v>
      </c>
      <c r="F362" s="6"/>
      <c r="G362" s="6" t="str">
        <f t="shared" si="3"/>
        <v>Testing</v>
      </c>
    </row>
    <row r="363" spans="1:7" ht="14" x14ac:dyDescent="0.15">
      <c r="A363" s="31" t="s">
        <v>1025</v>
      </c>
      <c r="B363" s="22" t="s">
        <v>1511</v>
      </c>
      <c r="C363" s="6" t="str">
        <f>'Ann1 - Step 3'!C363</f>
        <v>Coding Style</v>
      </c>
      <c r="D363" s="6" t="str">
        <f>'Ann2 - Step 3'!C363</f>
        <v>Coding Style</v>
      </c>
      <c r="E363" s="6" t="b">
        <f t="shared" si="2"/>
        <v>0</v>
      </c>
      <c r="F363" s="6"/>
      <c r="G363" s="6" t="str">
        <f t="shared" si="3"/>
        <v>Coding Style</v>
      </c>
    </row>
    <row r="364" spans="1:7" ht="13" x14ac:dyDescent="0.15">
      <c r="A364" s="6" t="s">
        <v>1514</v>
      </c>
      <c r="B364" s="33" t="s">
        <v>1515</v>
      </c>
      <c r="C364" s="6" t="str">
        <f>'Ann1 - Step 3'!C364</f>
        <v>Documentation</v>
      </c>
      <c r="D364" s="6" t="str">
        <f>'Ann2 - Step 3'!C364</f>
        <v>Documentation</v>
      </c>
      <c r="E364" s="6" t="b">
        <f t="shared" si="2"/>
        <v>0</v>
      </c>
      <c r="F364" s="6"/>
      <c r="G364" s="6" t="str">
        <f t="shared" si="3"/>
        <v>Documentation</v>
      </c>
    </row>
    <row r="365" spans="1:7" ht="13" x14ac:dyDescent="0.15">
      <c r="A365" s="6" t="s">
        <v>1088</v>
      </c>
      <c r="B365" s="33" t="s">
        <v>1516</v>
      </c>
      <c r="C365" s="6" t="str">
        <f>'Ann1 - Step 3'!C365</f>
        <v>Coding Pattern</v>
      </c>
      <c r="D365" s="6" t="str">
        <f>'Ann2 - Step 3'!C365</f>
        <v>Coding Pattern</v>
      </c>
      <c r="E365" s="6" t="b">
        <f t="shared" si="2"/>
        <v>0</v>
      </c>
      <c r="F365" s="6"/>
      <c r="G365" s="6" t="str">
        <f t="shared" si="3"/>
        <v>Coding Pattern</v>
      </c>
    </row>
    <row r="366" spans="1:7" ht="14" x14ac:dyDescent="0.15">
      <c r="A366" s="6" t="s">
        <v>1517</v>
      </c>
      <c r="B366" s="22" t="s">
        <v>1474</v>
      </c>
      <c r="C366" s="6" t="str">
        <f>'Ann1 - Step 3'!C366</f>
        <v>Task Execution</v>
      </c>
      <c r="D366" s="6" t="str">
        <f>'Ann2 - Step 3'!C366</f>
        <v>Task Execution</v>
      </c>
      <c r="E366" s="6" t="b">
        <f t="shared" si="2"/>
        <v>0</v>
      </c>
      <c r="F366" s="6"/>
      <c r="G366" s="6" t="str">
        <f t="shared" si="3"/>
        <v>Task Execution</v>
      </c>
    </row>
    <row r="367" spans="1:7" ht="13" x14ac:dyDescent="0.15">
      <c r="A367" s="6" t="s">
        <v>399</v>
      </c>
      <c r="B367" s="33" t="s">
        <v>1480</v>
      </c>
      <c r="C367" s="6" t="str">
        <f>'Ann1 - Step 3'!C367</f>
        <v>Coding Pattern</v>
      </c>
      <c r="D367" s="6" t="str">
        <f>'Ann2 - Step 3'!C367</f>
        <v>Coding Pattern</v>
      </c>
      <c r="E367" s="6" t="b">
        <f t="shared" si="2"/>
        <v>0</v>
      </c>
      <c r="F367" s="6"/>
      <c r="G367" s="6" t="str">
        <f t="shared" si="3"/>
        <v>Coding Pattern</v>
      </c>
    </row>
    <row r="368" spans="1:7" ht="13" x14ac:dyDescent="0.15">
      <c r="A368" s="6" t="s">
        <v>399</v>
      </c>
      <c r="B368" s="33" t="s">
        <v>1481</v>
      </c>
      <c r="C368" s="6" t="str">
        <f>'Ann1 - Step 3'!C368</f>
        <v>Coding Style</v>
      </c>
      <c r="D368" s="6" t="str">
        <f>'Ann2 - Step 3'!C368</f>
        <v>Coding Style</v>
      </c>
      <c r="E368" s="6" t="b">
        <f t="shared" si="2"/>
        <v>0</v>
      </c>
      <c r="F368" s="6"/>
      <c r="G368" s="6" t="str">
        <f t="shared" si="3"/>
        <v>Coding Style</v>
      </c>
    </row>
    <row r="369" spans="1:7" ht="13" x14ac:dyDescent="0.15">
      <c r="A369" s="6" t="s">
        <v>399</v>
      </c>
      <c r="B369" s="33" t="s">
        <v>1482</v>
      </c>
      <c r="C369" s="6" t="str">
        <f>'Ann1 - Step 3'!C369</f>
        <v>Task Execution</v>
      </c>
      <c r="D369" s="6" t="str">
        <f>'Ann2 - Step 3'!C369</f>
        <v>Task Execution</v>
      </c>
      <c r="E369" s="6" t="b">
        <f t="shared" si="2"/>
        <v>0</v>
      </c>
      <c r="F369" s="6"/>
      <c r="G369" s="6" t="str">
        <f t="shared" si="3"/>
        <v>Task Execution</v>
      </c>
    </row>
    <row r="370" spans="1:7" ht="28" x14ac:dyDescent="0.15">
      <c r="A370" s="6" t="s">
        <v>401</v>
      </c>
      <c r="B370" s="22" t="s">
        <v>1518</v>
      </c>
      <c r="C370" s="6" t="str">
        <f>'Ann1 - Step 3'!C370</f>
        <v>Coding Pattern</v>
      </c>
      <c r="D370" s="6" t="str">
        <f>'Ann2 - Step 3'!C370</f>
        <v>Coding Pattern</v>
      </c>
      <c r="E370" s="6" t="b">
        <f t="shared" si="2"/>
        <v>0</v>
      </c>
      <c r="F370" s="6"/>
      <c r="G370" s="6" t="str">
        <f t="shared" si="3"/>
        <v>Coding Pattern</v>
      </c>
    </row>
    <row r="371" spans="1:7" ht="14" x14ac:dyDescent="0.15">
      <c r="A371" s="6" t="s">
        <v>401</v>
      </c>
      <c r="B371" s="22" t="s">
        <v>1519</v>
      </c>
      <c r="C371" s="6" t="str">
        <f>'Ann1 - Step 3'!C371</f>
        <v>Documentation</v>
      </c>
      <c r="D371" s="6" t="str">
        <f>'Ann2 - Step 3'!C371</f>
        <v>Documentation</v>
      </c>
      <c r="E371" s="6" t="b">
        <f t="shared" si="2"/>
        <v>0</v>
      </c>
      <c r="F371" s="6"/>
      <c r="G371" s="6" t="str">
        <f t="shared" si="3"/>
        <v>Documentation</v>
      </c>
    </row>
    <row r="372" spans="1:7" ht="14" x14ac:dyDescent="0.15">
      <c r="A372" s="6" t="s">
        <v>401</v>
      </c>
      <c r="B372" s="22" t="s">
        <v>1520</v>
      </c>
      <c r="C372" s="6" t="str">
        <f>'Ann1 - Step 3'!C372</f>
        <v>Testing</v>
      </c>
      <c r="D372" s="6" t="str">
        <f>'Ann2 - Step 3'!C372</f>
        <v>Testing</v>
      </c>
      <c r="E372" s="6" t="b">
        <f t="shared" si="2"/>
        <v>0</v>
      </c>
      <c r="F372" s="6"/>
      <c r="G372" s="6" t="str">
        <f t="shared" si="3"/>
        <v>Testing</v>
      </c>
    </row>
    <row r="373" spans="1:7" ht="14" x14ac:dyDescent="0.15">
      <c r="A373" s="6" t="s">
        <v>401</v>
      </c>
      <c r="B373" s="22" t="s">
        <v>1521</v>
      </c>
      <c r="C373" s="6" t="str">
        <f>'Ann1 - Step 3'!C373</f>
        <v>Testing</v>
      </c>
      <c r="D373" s="6" t="str">
        <f>'Ann2 - Step 3'!C373</f>
        <v>Testing</v>
      </c>
      <c r="E373" s="6" t="b">
        <f t="shared" si="2"/>
        <v>0</v>
      </c>
      <c r="F373" s="6"/>
      <c r="G373" s="6" t="str">
        <f t="shared" si="3"/>
        <v>Testing</v>
      </c>
    </row>
    <row r="374" spans="1:7" ht="14" x14ac:dyDescent="0.15">
      <c r="A374" s="6" t="s">
        <v>401</v>
      </c>
      <c r="B374" s="22" t="s">
        <v>1522</v>
      </c>
      <c r="C374" s="6" t="str">
        <f>'Ann1 - Step 3'!C374</f>
        <v>Documentation</v>
      </c>
      <c r="D374" s="6" t="str">
        <f>'Ann2 - Step 3'!C374</f>
        <v>Documentation</v>
      </c>
      <c r="E374" s="6" t="b">
        <f t="shared" si="2"/>
        <v>0</v>
      </c>
      <c r="F374" s="6"/>
      <c r="G374" s="6" t="str">
        <f t="shared" si="3"/>
        <v>Documentation</v>
      </c>
    </row>
    <row r="375" spans="1:7" ht="28" x14ac:dyDescent="0.15">
      <c r="A375" s="6" t="s">
        <v>401</v>
      </c>
      <c r="B375" s="22" t="s">
        <v>1523</v>
      </c>
      <c r="C375" s="6" t="str">
        <f>'Ann1 - Step 3'!C375</f>
        <v>Testing</v>
      </c>
      <c r="D375" s="6" t="str">
        <f>'Ann2 - Step 3'!C375</f>
        <v>Testing</v>
      </c>
      <c r="E375" s="6" t="b">
        <f t="shared" si="2"/>
        <v>0</v>
      </c>
      <c r="F375" s="6"/>
      <c r="G375" s="6" t="str">
        <f t="shared" si="3"/>
        <v>Testing</v>
      </c>
    </row>
    <row r="376" spans="1:7" ht="14" x14ac:dyDescent="0.15">
      <c r="A376" s="31" t="s">
        <v>401</v>
      </c>
      <c r="B376" s="22" t="s">
        <v>1524</v>
      </c>
      <c r="C376" s="6" t="str">
        <f>'Ann1 - Step 3'!C376</f>
        <v>Performance</v>
      </c>
      <c r="D376" s="6" t="str">
        <f>'Ann2 - Step 3'!C376</f>
        <v>Performance</v>
      </c>
      <c r="E376" s="6" t="b">
        <f t="shared" si="2"/>
        <v>0</v>
      </c>
      <c r="F376" s="6"/>
      <c r="G376" s="6" t="str">
        <f t="shared" si="3"/>
        <v>Performance</v>
      </c>
    </row>
    <row r="377" spans="1:7" ht="28" x14ac:dyDescent="0.15">
      <c r="A377" s="6" t="s">
        <v>401</v>
      </c>
      <c r="B377" s="22" t="s">
        <v>1525</v>
      </c>
      <c r="C377" s="6" t="str">
        <f>'Ann1 - Step 3'!C377</f>
        <v>Coding Pattern</v>
      </c>
      <c r="D377" s="6" t="str">
        <f>'Ann2 - Step 3'!C377</f>
        <v>Coding Pattern</v>
      </c>
      <c r="E377" s="6" t="b">
        <f t="shared" si="2"/>
        <v>0</v>
      </c>
      <c r="F377" s="6"/>
      <c r="G377" s="6" t="str">
        <f t="shared" si="3"/>
        <v>Coding Pattern</v>
      </c>
    </row>
    <row r="378" spans="1:7" ht="14" x14ac:dyDescent="0.15">
      <c r="A378" s="6" t="s">
        <v>1120</v>
      </c>
      <c r="B378" s="22" t="s">
        <v>1526</v>
      </c>
      <c r="C378" s="6" t="str">
        <f>'Ann1 - Step 3'!C378</f>
        <v>Documentation</v>
      </c>
      <c r="D378" s="6" t="str">
        <f>'Ann2 - Step 3'!C378</f>
        <v>Documentation</v>
      </c>
      <c r="E378" s="6" t="b">
        <f t="shared" si="2"/>
        <v>0</v>
      </c>
      <c r="F378" s="6"/>
      <c r="G378" s="6" t="str">
        <f t="shared" si="3"/>
        <v>Documentation</v>
      </c>
    </row>
    <row r="379" spans="1:7" ht="14" x14ac:dyDescent="0.15">
      <c r="A379" s="6" t="s">
        <v>714</v>
      </c>
      <c r="B379" s="22" t="s">
        <v>1527</v>
      </c>
      <c r="C379" s="6" t="str">
        <f>'Ann1 - Step 3'!C379</f>
        <v>Commit&amp;PR rule</v>
      </c>
      <c r="D379" s="6" t="str">
        <f>'Ann2 - Step 3'!C379</f>
        <v>Commit&amp;PR rule</v>
      </c>
      <c r="E379" s="6" t="b">
        <f t="shared" si="2"/>
        <v>0</v>
      </c>
      <c r="F379" s="6"/>
      <c r="G379" s="6" t="str">
        <f t="shared" si="3"/>
        <v>Commit&amp;PR rule</v>
      </c>
    </row>
    <row r="380" spans="1:7" ht="14" x14ac:dyDescent="0.15">
      <c r="A380" s="6" t="s">
        <v>714</v>
      </c>
      <c r="B380" s="22" t="s">
        <v>1528</v>
      </c>
      <c r="C380" s="6" t="str">
        <f>'Ann1 - Step 3'!C380</f>
        <v>Commit&amp;PR rule</v>
      </c>
      <c r="D380" s="6" t="str">
        <f>'Ann2 - Step 3'!C380</f>
        <v>Commit&amp;PR rule</v>
      </c>
      <c r="E380" s="6" t="b">
        <f t="shared" si="2"/>
        <v>0</v>
      </c>
      <c r="F380" s="6"/>
      <c r="G380" s="6" t="str">
        <f t="shared" si="3"/>
        <v>Commit&amp;PR rule</v>
      </c>
    </row>
    <row r="381" spans="1:7" ht="13" x14ac:dyDescent="0.15">
      <c r="A381" s="6" t="s">
        <v>714</v>
      </c>
      <c r="B381" s="33" t="s">
        <v>1529</v>
      </c>
      <c r="C381" s="6" t="str">
        <f>'Ann1 - Step 3'!C381</f>
        <v>Commit&amp;PR rule</v>
      </c>
      <c r="D381" s="6" t="str">
        <f>'Ann2 - Step 3'!C381</f>
        <v>Commit&amp;PR rule</v>
      </c>
      <c r="E381" s="6" t="b">
        <f t="shared" si="2"/>
        <v>0</v>
      </c>
      <c r="F381" s="6"/>
      <c r="G381" s="6" t="str">
        <f t="shared" si="3"/>
        <v>Commit&amp;PR rule</v>
      </c>
    </row>
    <row r="382" spans="1:7" ht="14" x14ac:dyDescent="0.15">
      <c r="A382" s="6" t="s">
        <v>714</v>
      </c>
      <c r="B382" s="22" t="s">
        <v>1530</v>
      </c>
      <c r="C382" s="6" t="str">
        <f>'Ann1 - Step 3'!C382</f>
        <v>Coding Pattern</v>
      </c>
      <c r="D382" s="6" t="str">
        <f>'Ann2 - Step 3'!C382</f>
        <v>Coding Pattern</v>
      </c>
      <c r="E382" s="6" t="b">
        <f t="shared" si="2"/>
        <v>0</v>
      </c>
      <c r="F382" s="6"/>
      <c r="G382" s="6" t="str">
        <f t="shared" si="3"/>
        <v>Coding Pattern</v>
      </c>
    </row>
    <row r="383" spans="1:7" ht="14" x14ac:dyDescent="0.15">
      <c r="A383" s="6" t="s">
        <v>425</v>
      </c>
      <c r="B383" s="22" t="s">
        <v>1531</v>
      </c>
      <c r="C383" s="6" t="str">
        <f>'Ann1 - Step 3'!C383</f>
        <v>Testing</v>
      </c>
      <c r="D383" s="6" t="str">
        <f>'Ann2 - Step 3'!C383</f>
        <v>Testing</v>
      </c>
      <c r="E383" s="6" t="b">
        <f t="shared" si="2"/>
        <v>0</v>
      </c>
      <c r="F383" s="6"/>
      <c r="G383" s="6" t="str">
        <f t="shared" si="3"/>
        <v>Testing</v>
      </c>
    </row>
    <row r="384" spans="1:7" ht="13" x14ac:dyDescent="0.15">
      <c r="A384" s="6" t="s">
        <v>429</v>
      </c>
      <c r="B384" s="33" t="s">
        <v>1532</v>
      </c>
      <c r="C384" s="6" t="str">
        <f>'Ann1 - Step 3'!C384</f>
        <v>Build &amp; Operation</v>
      </c>
      <c r="D384" s="6" t="str">
        <f>'Ann2 - Step 3'!C384</f>
        <v>Build &amp; Operation</v>
      </c>
      <c r="E384" s="6" t="b">
        <f t="shared" si="2"/>
        <v>0</v>
      </c>
      <c r="F384" s="6"/>
      <c r="G384" s="6" t="str">
        <f t="shared" si="3"/>
        <v>Build &amp; Operation</v>
      </c>
    </row>
    <row r="385" spans="1:7" ht="13" x14ac:dyDescent="0.15">
      <c r="A385" s="6" t="s">
        <v>429</v>
      </c>
      <c r="B385" s="33" t="s">
        <v>1533</v>
      </c>
      <c r="C385" s="6" t="str">
        <f>'Ann1 - Step 3'!C385</f>
        <v>Coding Pattern</v>
      </c>
      <c r="D385" s="6" t="str">
        <f>'Ann2 - Step 3'!C385</f>
        <v>Coding Pattern</v>
      </c>
      <c r="E385" s="6" t="b">
        <f t="shared" si="2"/>
        <v>0</v>
      </c>
      <c r="F385" s="6"/>
      <c r="G385" s="6" t="str">
        <f t="shared" si="3"/>
        <v>Coding Pattern</v>
      </c>
    </row>
    <row r="386" spans="1:7" ht="13" x14ac:dyDescent="0.15">
      <c r="A386" s="6" t="s">
        <v>429</v>
      </c>
      <c r="B386" s="33" t="s">
        <v>1534</v>
      </c>
      <c r="C386" s="6" t="str">
        <f>'Ann1 - Step 3'!C386</f>
        <v>Coding Pattern</v>
      </c>
      <c r="D386" s="6" t="str">
        <f>'Ann2 - Step 3'!C386</f>
        <v>Coding Pattern</v>
      </c>
      <c r="E386" s="6" t="b">
        <f t="shared" si="2"/>
        <v>0</v>
      </c>
      <c r="F386" s="6"/>
      <c r="G386" s="6" t="str">
        <f t="shared" si="3"/>
        <v>Coding Pattern</v>
      </c>
    </row>
    <row r="387" spans="1:7" ht="13" x14ac:dyDescent="0.15">
      <c r="A387" s="6" t="s">
        <v>1537</v>
      </c>
      <c r="B387" s="33" t="s">
        <v>1538</v>
      </c>
      <c r="C387" s="6" t="str">
        <f>'Ann1 - Step 3'!C387</f>
        <v>Commit&amp;PR rule</v>
      </c>
      <c r="D387" s="6" t="str">
        <f>'Ann2 - Step 3'!C387</f>
        <v>Commit&amp;PR rule</v>
      </c>
      <c r="E387" s="6" t="b">
        <f t="shared" si="2"/>
        <v>0</v>
      </c>
      <c r="F387" s="6"/>
      <c r="G387" s="6" t="str">
        <f t="shared" si="3"/>
        <v>Commit&amp;PR rule</v>
      </c>
    </row>
    <row r="388" spans="1:7" ht="13" x14ac:dyDescent="0.15">
      <c r="A388" s="6" t="s">
        <v>443</v>
      </c>
      <c r="B388" s="33" t="s">
        <v>1539</v>
      </c>
      <c r="C388" s="6" t="str">
        <f>'Ann1 - Step 3'!C388</f>
        <v>Maintainability</v>
      </c>
      <c r="D388" s="6" t="str">
        <f>'Ann2 - Step 3'!C388</f>
        <v>Maintainability</v>
      </c>
      <c r="E388" s="6" t="b">
        <f t="shared" si="2"/>
        <v>0</v>
      </c>
      <c r="F388" s="6"/>
      <c r="G388" s="6" t="str">
        <f t="shared" si="3"/>
        <v>Maintainability</v>
      </c>
    </row>
    <row r="389" spans="1:7" ht="13" x14ac:dyDescent="0.15">
      <c r="A389" s="6" t="s">
        <v>463</v>
      </c>
      <c r="B389" s="33" t="s">
        <v>1502</v>
      </c>
      <c r="C389" s="6" t="str">
        <f>'Ann1 - Step 3'!C389</f>
        <v>Coding Pattern</v>
      </c>
      <c r="D389" s="6" t="str">
        <f>'Ann2 - Step 3'!C389</f>
        <v>Coding Pattern</v>
      </c>
      <c r="E389" s="6" t="b">
        <f t="shared" si="2"/>
        <v>0</v>
      </c>
      <c r="F389" s="6"/>
      <c r="G389" s="6" t="str">
        <f t="shared" si="3"/>
        <v>Coding Pattern</v>
      </c>
    </row>
    <row r="390" spans="1:7" ht="13" x14ac:dyDescent="0.15">
      <c r="A390" s="6" t="s">
        <v>463</v>
      </c>
      <c r="B390" s="33" t="s">
        <v>1504</v>
      </c>
      <c r="C390" s="6" t="str">
        <f>'Ann1 - Step 3'!C390</f>
        <v>Maintainability</v>
      </c>
      <c r="D390" s="6" t="str">
        <f>'Ann2 - Step 3'!C390</f>
        <v>Maintainability</v>
      </c>
      <c r="E390" s="6" t="b">
        <f t="shared" si="2"/>
        <v>0</v>
      </c>
      <c r="F390" s="6"/>
      <c r="G390" s="6" t="str">
        <f t="shared" si="3"/>
        <v>Maintainability</v>
      </c>
    </row>
    <row r="391" spans="1:7" ht="13" x14ac:dyDescent="0.15">
      <c r="A391" s="6" t="s">
        <v>1181</v>
      </c>
      <c r="B391" s="33" t="s">
        <v>1540</v>
      </c>
      <c r="C391" s="6" t="str">
        <f>'Ann1 - Step 3'!C391</f>
        <v>Testing</v>
      </c>
      <c r="D391" s="6" t="str">
        <f>'Ann2 - Step 3'!C391</f>
        <v>Testing</v>
      </c>
      <c r="E391" s="6" t="b">
        <f t="shared" si="2"/>
        <v>0</v>
      </c>
      <c r="F391" s="6"/>
      <c r="G391" s="6" t="str">
        <f t="shared" si="3"/>
        <v>Testing</v>
      </c>
    </row>
    <row r="392" spans="1:7" ht="13" x14ac:dyDescent="0.15">
      <c r="A392" s="6" t="s">
        <v>476</v>
      </c>
      <c r="B392" s="33" t="s">
        <v>1541</v>
      </c>
      <c r="C392" s="6" t="str">
        <f>'Ann1 - Step 3'!C392</f>
        <v>Task Execution</v>
      </c>
      <c r="D392" s="6" t="str">
        <f>'Ann2 - Step 3'!C392</f>
        <v>Task Execution</v>
      </c>
      <c r="E392" s="6" t="b">
        <f t="shared" si="2"/>
        <v>0</v>
      </c>
      <c r="F392" s="6"/>
      <c r="G392" s="6" t="str">
        <f t="shared" si="3"/>
        <v>Task Execution</v>
      </c>
    </row>
    <row r="393" spans="1:7" ht="14" x14ac:dyDescent="0.15">
      <c r="A393" s="6" t="s">
        <v>703</v>
      </c>
      <c r="B393" s="22" t="s">
        <v>1542</v>
      </c>
      <c r="C393" s="6" t="str">
        <f>'Ann1 - Step 3'!C393</f>
        <v>Task Execution</v>
      </c>
      <c r="D393" s="6" t="str">
        <f>'Ann2 - Step 3'!C393</f>
        <v>Task Execution</v>
      </c>
      <c r="E393" s="6" t="b">
        <f t="shared" si="2"/>
        <v>0</v>
      </c>
      <c r="F393" s="6"/>
      <c r="G393" s="6" t="str">
        <f t="shared" si="3"/>
        <v>Task Execution</v>
      </c>
    </row>
    <row r="394" spans="1:7" ht="13" x14ac:dyDescent="0.15">
      <c r="A394" s="6" t="s">
        <v>1544</v>
      </c>
      <c r="B394" s="33" t="s">
        <v>1545</v>
      </c>
      <c r="C394" s="6" t="str">
        <f>'Ann1 - Step 3'!C394</f>
        <v>Build &amp; Operation</v>
      </c>
      <c r="D394" s="6" t="str">
        <f>'Ann2 - Step 3'!C394</f>
        <v>Build &amp; Operation</v>
      </c>
      <c r="E394" s="6" t="b">
        <f t="shared" si="2"/>
        <v>0</v>
      </c>
      <c r="F394" s="6"/>
      <c r="G394" s="6" t="str">
        <f t="shared" si="3"/>
        <v>Build &amp; Operation</v>
      </c>
    </row>
    <row r="395" spans="1:7" ht="13" x14ac:dyDescent="0.15">
      <c r="A395" s="6" t="s">
        <v>485</v>
      </c>
      <c r="B395" s="33" t="s">
        <v>1493</v>
      </c>
      <c r="C395" s="6" t="str">
        <f>'Ann1 - Step 3'!C395</f>
        <v>NOT_ENOUGH_CONTEXT</v>
      </c>
      <c r="D395" s="6" t="str">
        <f>'Ann2 - Step 3'!C395</f>
        <v>NOT_ENOUGH_CONTEXT</v>
      </c>
      <c r="E395" s="6" t="b">
        <f t="shared" si="2"/>
        <v>0</v>
      </c>
      <c r="F395" s="6"/>
      <c r="G395" s="6" t="str">
        <f t="shared" si="3"/>
        <v>NOT_ENOUGH_CONTEXT</v>
      </c>
    </row>
    <row r="396" spans="1:7" ht="13" x14ac:dyDescent="0.15">
      <c r="A396" s="6" t="s">
        <v>489</v>
      </c>
      <c r="B396" s="33" t="s">
        <v>1546</v>
      </c>
      <c r="C396" s="6" t="str">
        <f>'Ann1 - Step 3'!C396</f>
        <v>Coding Pattern</v>
      </c>
      <c r="D396" s="6" t="str">
        <f>'Ann2 - Step 3'!C396</f>
        <v>Coding Pattern</v>
      </c>
      <c r="E396" s="6" t="b">
        <f t="shared" si="2"/>
        <v>0</v>
      </c>
      <c r="F396" s="6"/>
      <c r="G396" s="6" t="str">
        <f t="shared" si="3"/>
        <v>Coding Pattern</v>
      </c>
    </row>
    <row r="397" spans="1:7" ht="13" x14ac:dyDescent="0.15">
      <c r="A397" s="6" t="s">
        <v>1548</v>
      </c>
      <c r="B397" s="6" t="s">
        <v>1549</v>
      </c>
      <c r="C397" s="6" t="str">
        <f>'Ann1 - Step 3'!C397</f>
        <v>Task Execution</v>
      </c>
      <c r="D397" s="6" t="str">
        <f>'Ann2 - Step 3'!C397</f>
        <v>Task Execution</v>
      </c>
      <c r="E397" s="6" t="b">
        <f t="shared" si="2"/>
        <v>0</v>
      </c>
      <c r="F397" s="6"/>
      <c r="G397" s="6" t="str">
        <f t="shared" si="3"/>
        <v>Task Execution</v>
      </c>
    </row>
    <row r="398" spans="1:7" ht="13" x14ac:dyDescent="0.15">
      <c r="A398" s="31" t="s">
        <v>1548</v>
      </c>
      <c r="B398" s="34" t="s">
        <v>1550</v>
      </c>
      <c r="C398" s="6" t="str">
        <f>'Ann1 - Step 3'!C398</f>
        <v>Build &amp; Operation</v>
      </c>
      <c r="D398" s="6" t="str">
        <f>'Ann2 - Step 3'!C398</f>
        <v>Documentation</v>
      </c>
      <c r="E398" s="6" t="b">
        <f t="shared" si="2"/>
        <v>1</v>
      </c>
      <c r="F398" s="30" t="s">
        <v>23</v>
      </c>
      <c r="G398" s="6" t="str">
        <f t="shared" si="3"/>
        <v>Documentation</v>
      </c>
    </row>
    <row r="399" spans="1:7" ht="13" x14ac:dyDescent="0.15">
      <c r="A399" s="6" t="s">
        <v>1548</v>
      </c>
      <c r="B399" s="6" t="s">
        <v>1551</v>
      </c>
      <c r="C399" s="6" t="str">
        <f>'Ann1 - Step 3'!C399</f>
        <v>Documentation</v>
      </c>
      <c r="D399" s="6" t="str">
        <f>'Ann2 - Step 3'!C399</f>
        <v>Documentation</v>
      </c>
      <c r="E399" s="6" t="b">
        <f t="shared" si="2"/>
        <v>0</v>
      </c>
      <c r="F399" s="6"/>
      <c r="G399" s="6" t="str">
        <f t="shared" si="3"/>
        <v>Documentation</v>
      </c>
    </row>
    <row r="400" spans="1:7" ht="13" x14ac:dyDescent="0.15">
      <c r="A400" s="6" t="s">
        <v>1548</v>
      </c>
      <c r="B400" s="6" t="s">
        <v>1552</v>
      </c>
      <c r="C400" s="6" t="str">
        <f>'Ann1 - Step 3'!C400</f>
        <v>Writing Style Preference</v>
      </c>
      <c r="D400" s="6" t="str">
        <f>'Ann2 - Step 3'!C400</f>
        <v>Writing Style Preference</v>
      </c>
      <c r="E400" s="6" t="b">
        <f t="shared" si="2"/>
        <v>0</v>
      </c>
      <c r="F400" s="6"/>
      <c r="G400" s="6" t="str">
        <f t="shared" si="3"/>
        <v>Writing Style Preference</v>
      </c>
    </row>
    <row r="401" spans="1:7" ht="13" x14ac:dyDescent="0.15">
      <c r="A401" s="6" t="s">
        <v>1554</v>
      </c>
      <c r="B401" s="6" t="s">
        <v>1555</v>
      </c>
      <c r="C401" s="6" t="str">
        <f>'Ann1 - Step 3'!C401</f>
        <v>Writing Style Preference</v>
      </c>
      <c r="D401" s="6" t="str">
        <f>'Ann2 - Step 3'!C401</f>
        <v>Writing Style Preference</v>
      </c>
      <c r="E401" s="6" t="b">
        <f t="shared" si="2"/>
        <v>0</v>
      </c>
      <c r="F401" s="6"/>
      <c r="G401" s="6" t="str">
        <f t="shared" si="3"/>
        <v>Writing Style Preference</v>
      </c>
    </row>
    <row r="402" spans="1:7" ht="13" x14ac:dyDescent="0.15">
      <c r="A402" s="6" t="s">
        <v>1557</v>
      </c>
      <c r="B402" s="6" t="s">
        <v>1558</v>
      </c>
      <c r="C402" s="6" t="str">
        <f>'Ann1 - Step 3'!C402</f>
        <v>Code Review</v>
      </c>
      <c r="D402" s="6" t="str">
        <f>'Ann2 - Step 3'!C402</f>
        <v>Code Review</v>
      </c>
      <c r="E402" s="6" t="b">
        <f t="shared" si="2"/>
        <v>0</v>
      </c>
      <c r="F402" s="6"/>
      <c r="G402" s="6" t="str">
        <f t="shared" si="3"/>
        <v>Code Review</v>
      </c>
    </row>
    <row r="403" spans="1:7" ht="13" x14ac:dyDescent="0.15">
      <c r="A403" s="6" t="s">
        <v>1557</v>
      </c>
      <c r="B403" s="6" t="s">
        <v>1559</v>
      </c>
      <c r="C403" s="6" t="str">
        <f>'Ann1 - Step 3'!C403</f>
        <v>Coding Pattern</v>
      </c>
      <c r="D403" s="6" t="str">
        <f>'Ann2 - Step 3'!C403</f>
        <v>Coding Pattern</v>
      </c>
      <c r="E403" s="6" t="b">
        <f t="shared" si="2"/>
        <v>0</v>
      </c>
      <c r="F403" s="6"/>
      <c r="G403" s="6" t="str">
        <f t="shared" si="3"/>
        <v>Coding Pattern</v>
      </c>
    </row>
    <row r="404" spans="1:7" ht="13" x14ac:dyDescent="0.15">
      <c r="A404" s="6" t="s">
        <v>1557</v>
      </c>
      <c r="B404" s="6" t="s">
        <v>1560</v>
      </c>
      <c r="C404" s="6" t="str">
        <f>'Ann1 - Step 3'!C404</f>
        <v>Coding Pattern</v>
      </c>
      <c r="D404" s="6" t="str">
        <f>'Ann2 - Step 3'!C404</f>
        <v>Coding Pattern</v>
      </c>
      <c r="E404" s="6" t="b">
        <f t="shared" si="2"/>
        <v>0</v>
      </c>
      <c r="F404" s="6"/>
      <c r="G404" s="6" t="str">
        <f t="shared" si="3"/>
        <v>Coding Pattern</v>
      </c>
    </row>
    <row r="405" spans="1:7" ht="13" x14ac:dyDescent="0.15">
      <c r="A405" s="6" t="s">
        <v>1563</v>
      </c>
      <c r="B405" s="6" t="s">
        <v>1564</v>
      </c>
      <c r="C405" s="6" t="str">
        <f>'Ann1 - Step 3'!C405</f>
        <v>Maintainability</v>
      </c>
      <c r="D405" s="6" t="str">
        <f>'Ann2 - Step 3'!C405</f>
        <v>Maintainability</v>
      </c>
      <c r="E405" s="6" t="b">
        <f t="shared" si="2"/>
        <v>0</v>
      </c>
      <c r="F405" s="6"/>
      <c r="G405" s="6" t="str">
        <f t="shared" si="3"/>
        <v>Maintainability</v>
      </c>
    </row>
    <row r="406" spans="1:7" ht="13" x14ac:dyDescent="0.15">
      <c r="A406" s="6" t="s">
        <v>511</v>
      </c>
      <c r="B406" s="6" t="s">
        <v>1565</v>
      </c>
      <c r="C406" s="6" t="str">
        <f>'Ann1 - Step 3'!C406</f>
        <v>Testing</v>
      </c>
      <c r="D406" s="6" t="str">
        <f>'Ann2 - Step 3'!C406</f>
        <v>Testing</v>
      </c>
      <c r="E406" s="6" t="b">
        <f t="shared" si="2"/>
        <v>0</v>
      </c>
      <c r="F406" s="6"/>
      <c r="G406" s="6" t="str">
        <f t="shared" si="3"/>
        <v>Testing</v>
      </c>
    </row>
    <row r="407" spans="1:7" ht="13" x14ac:dyDescent="0.15">
      <c r="A407" s="6" t="s">
        <v>112</v>
      </c>
      <c r="B407" s="6" t="s">
        <v>1448</v>
      </c>
      <c r="C407" s="6" t="str">
        <f>'Ann1 - Step 3'!C407</f>
        <v>Commit&amp;PR rule</v>
      </c>
      <c r="D407" s="6" t="str">
        <f>'Ann2 - Step 3'!C407</f>
        <v>Commit&amp;PR rule</v>
      </c>
      <c r="E407" s="6" t="b">
        <f t="shared" si="2"/>
        <v>0</v>
      </c>
      <c r="F407" s="6"/>
      <c r="G407" s="6" t="str">
        <f t="shared" si="3"/>
        <v>Commit&amp;PR rule</v>
      </c>
    </row>
    <row r="408" spans="1:7" ht="13" x14ac:dyDescent="0.15">
      <c r="A408" s="6" t="s">
        <v>112</v>
      </c>
      <c r="B408" s="6" t="s">
        <v>1449</v>
      </c>
      <c r="C408" s="6" t="str">
        <f>'Ann1 - Step 3'!C408</f>
        <v>Commit&amp;PR rule</v>
      </c>
      <c r="D408" s="6" t="str">
        <f>'Ann2 - Step 3'!C408</f>
        <v>Commit&amp;PR rule</v>
      </c>
      <c r="E408" s="6" t="b">
        <f t="shared" si="2"/>
        <v>0</v>
      </c>
      <c r="F408" s="6"/>
      <c r="G408" s="6" t="str">
        <f t="shared" si="3"/>
        <v>Commit&amp;PR rule</v>
      </c>
    </row>
    <row r="409" spans="1:7" ht="13" x14ac:dyDescent="0.15">
      <c r="A409" s="6" t="s">
        <v>617</v>
      </c>
      <c r="B409" s="6" t="s">
        <v>1566</v>
      </c>
      <c r="C409" s="6" t="str">
        <f>'Ann1 - Step 3'!C409</f>
        <v>Coding Pattern</v>
      </c>
      <c r="D409" s="6" t="str">
        <f>'Ann2 - Step 3'!C409</f>
        <v>Coding Pattern</v>
      </c>
      <c r="E409" s="6" t="b">
        <f t="shared" si="2"/>
        <v>0</v>
      </c>
      <c r="F409" s="6"/>
      <c r="G409" s="6" t="str">
        <f t="shared" si="3"/>
        <v>Coding Pattern</v>
      </c>
    </row>
    <row r="410" spans="1:7" ht="13" x14ac:dyDescent="0.15">
      <c r="A410" s="6" t="s">
        <v>617</v>
      </c>
      <c r="B410" s="6" t="s">
        <v>1567</v>
      </c>
      <c r="C410" s="6" t="str">
        <f>'Ann1 - Step 3'!C410</f>
        <v>Maintainability</v>
      </c>
      <c r="D410" s="6" t="str">
        <f>'Ann2 - Step 3'!C410</f>
        <v>Maintainability</v>
      </c>
      <c r="E410" s="6" t="b">
        <f t="shared" si="2"/>
        <v>0</v>
      </c>
      <c r="F410" s="6"/>
      <c r="G410" s="6" t="str">
        <f t="shared" si="3"/>
        <v>Maintainability</v>
      </c>
    </row>
    <row r="411" spans="1:7" ht="13" x14ac:dyDescent="0.15">
      <c r="A411" s="6" t="s">
        <v>523</v>
      </c>
      <c r="B411" s="6" t="s">
        <v>1568</v>
      </c>
      <c r="C411" s="6" t="str">
        <f>'Ann1 - Step 3'!C411</f>
        <v>Performance</v>
      </c>
      <c r="D411" s="6" t="str">
        <f>'Ann2 - Step 3'!C411</f>
        <v>Performance</v>
      </c>
      <c r="E411" s="6" t="b">
        <f t="shared" si="2"/>
        <v>0</v>
      </c>
      <c r="F411" s="6"/>
      <c r="G411" s="6" t="str">
        <f t="shared" si="3"/>
        <v>Performance</v>
      </c>
    </row>
    <row r="412" spans="1:7" ht="13" x14ac:dyDescent="0.15">
      <c r="A412" s="6" t="s">
        <v>523</v>
      </c>
      <c r="B412" s="6" t="s">
        <v>1569</v>
      </c>
      <c r="C412" s="6" t="str">
        <f>'Ann1 - Step 3'!C412</f>
        <v>Security</v>
      </c>
      <c r="D412" s="6" t="str">
        <f>'Ann2 - Step 3'!C412</f>
        <v>Security</v>
      </c>
      <c r="E412" s="6" t="b">
        <f t="shared" si="2"/>
        <v>0</v>
      </c>
      <c r="F412" s="6"/>
      <c r="G412" s="6" t="str">
        <f t="shared" si="3"/>
        <v>Security</v>
      </c>
    </row>
    <row r="413" spans="1:7" ht="13" x14ac:dyDescent="0.15">
      <c r="A413" s="6" t="s">
        <v>534</v>
      </c>
      <c r="B413" s="6" t="s">
        <v>1570</v>
      </c>
      <c r="C413" s="6" t="str">
        <f>'Ann1 - Step 3'!C413</f>
        <v>Coding Pattern</v>
      </c>
      <c r="D413" s="6" t="str">
        <f>'Ann2 - Step 3'!C413</f>
        <v>Coding Pattern</v>
      </c>
      <c r="E413" s="6" t="b">
        <f t="shared" si="2"/>
        <v>0</v>
      </c>
      <c r="F413" s="6"/>
      <c r="G413" s="6" t="str">
        <f t="shared" si="3"/>
        <v>Coding Pattern</v>
      </c>
    </row>
    <row r="414" spans="1:7" ht="13" x14ac:dyDescent="0.15">
      <c r="A414" s="6" t="s">
        <v>557</v>
      </c>
      <c r="B414" s="6" t="s">
        <v>1559</v>
      </c>
      <c r="C414" s="6" t="str">
        <f>'Ann1 - Step 3'!C414</f>
        <v>Coding Pattern</v>
      </c>
      <c r="D414" s="6" t="str">
        <f>'Ann2 - Step 3'!C414</f>
        <v>Coding Pattern</v>
      </c>
      <c r="E414" s="6" t="b">
        <f t="shared" si="2"/>
        <v>0</v>
      </c>
      <c r="F414" s="6"/>
      <c r="G414" s="6" t="str">
        <f t="shared" si="3"/>
        <v>Coding Pattern</v>
      </c>
    </row>
    <row r="415" spans="1:7" ht="13" x14ac:dyDescent="0.15">
      <c r="A415" s="6" t="s">
        <v>557</v>
      </c>
      <c r="B415" s="6" t="s">
        <v>1571</v>
      </c>
      <c r="C415" s="6" t="str">
        <f>'Ann1 - Step 3'!C415</f>
        <v>Build &amp; Operation</v>
      </c>
      <c r="D415" s="6" t="str">
        <f>'Ann2 - Step 3'!C415</f>
        <v>Build &amp; Operation</v>
      </c>
      <c r="E415" s="6" t="b">
        <f t="shared" si="2"/>
        <v>0</v>
      </c>
      <c r="F415" s="6"/>
      <c r="G415" s="6" t="str">
        <f t="shared" si="3"/>
        <v>Build &amp; Operation</v>
      </c>
    </row>
    <row r="416" spans="1:7" ht="14" x14ac:dyDescent="0.15">
      <c r="A416" s="6" t="s">
        <v>560</v>
      </c>
      <c r="B416" s="8" t="s">
        <v>1572</v>
      </c>
      <c r="C416" s="6" t="str">
        <f>'Ann1 - Step 3'!C416</f>
        <v>Coding Pattern</v>
      </c>
      <c r="D416" s="6" t="str">
        <f>'Ann2 - Step 3'!C416</f>
        <v>Coding Pattern</v>
      </c>
      <c r="E416" s="6" t="b">
        <f t="shared" si="2"/>
        <v>0</v>
      </c>
      <c r="F416" s="6"/>
      <c r="G416" s="6" t="str">
        <f t="shared" si="3"/>
        <v>Coding Pattern</v>
      </c>
    </row>
    <row r="417" spans="1:8" ht="14" x14ac:dyDescent="0.15">
      <c r="A417" s="6" t="s">
        <v>560</v>
      </c>
      <c r="B417" s="8" t="s">
        <v>1573</v>
      </c>
      <c r="C417" s="6" t="str">
        <f>'Ann1 - Step 3'!C417</f>
        <v>Coding Pattern</v>
      </c>
      <c r="D417" s="6" t="str">
        <f>'Ann2 - Step 3'!C417</f>
        <v>Coding Pattern</v>
      </c>
      <c r="E417" s="6" t="b">
        <f t="shared" si="2"/>
        <v>0</v>
      </c>
      <c r="F417" s="6"/>
      <c r="G417" s="6" t="str">
        <f t="shared" si="3"/>
        <v>Coding Pattern</v>
      </c>
    </row>
    <row r="418" spans="1:8" ht="14" x14ac:dyDescent="0.15">
      <c r="A418" s="6" t="s">
        <v>1257</v>
      </c>
      <c r="B418" s="8" t="s">
        <v>1574</v>
      </c>
      <c r="C418" s="6" t="str">
        <f>'Ann1 - Step 3'!C418</f>
        <v>Writing Style Preference</v>
      </c>
      <c r="D418" s="6" t="str">
        <f>'Ann2 - Step 3'!C418</f>
        <v>Writing Style Preference</v>
      </c>
      <c r="E418" s="6" t="b">
        <f t="shared" si="2"/>
        <v>0</v>
      </c>
      <c r="F418" s="6"/>
      <c r="G418" s="6" t="str">
        <f t="shared" si="3"/>
        <v>Writing Style Preference</v>
      </c>
    </row>
    <row r="419" spans="1:8" ht="14" x14ac:dyDescent="0.15">
      <c r="A419" s="31" t="s">
        <v>103</v>
      </c>
      <c r="B419" s="8" t="s">
        <v>1575</v>
      </c>
      <c r="C419" s="6" t="str">
        <f>'Ann1 - Step 3'!C419</f>
        <v>Coding Style</v>
      </c>
      <c r="D419" s="6" t="str">
        <f>'Ann2 - Step 3'!C419</f>
        <v>Coding Style</v>
      </c>
      <c r="E419" s="6" t="b">
        <f t="shared" si="2"/>
        <v>0</v>
      </c>
      <c r="F419" s="6"/>
      <c r="G419" s="6" t="str">
        <f t="shared" si="3"/>
        <v>Coding Style</v>
      </c>
    </row>
    <row r="420" spans="1:8" ht="28" x14ac:dyDescent="0.15">
      <c r="A420" s="6" t="s">
        <v>1271</v>
      </c>
      <c r="B420" s="25" t="s">
        <v>1576</v>
      </c>
      <c r="C420" s="6" t="str">
        <f>'Ann1 - Step 3'!C420</f>
        <v>Task Execution</v>
      </c>
      <c r="D420" s="6" t="str">
        <f>'Ann2 - Step 3'!C420</f>
        <v>Task Execution</v>
      </c>
      <c r="E420" s="6" t="b">
        <f t="shared" si="2"/>
        <v>0</v>
      </c>
      <c r="F420" s="6"/>
      <c r="G420" s="6" t="str">
        <f t="shared" si="3"/>
        <v>Task Execution</v>
      </c>
    </row>
    <row r="421" spans="1:8" ht="14" x14ac:dyDescent="0.15">
      <c r="A421" s="6" t="s">
        <v>568</v>
      </c>
      <c r="B421" s="25" t="s">
        <v>1577</v>
      </c>
      <c r="C421" s="6" t="str">
        <f>'Ann1 - Step 3'!C421</f>
        <v>Documentation</v>
      </c>
      <c r="D421" s="6" t="str">
        <f>'Ann2 - Step 3'!C421</f>
        <v>Documentation</v>
      </c>
      <c r="E421" s="6" t="b">
        <f t="shared" si="2"/>
        <v>0</v>
      </c>
      <c r="F421" s="6"/>
      <c r="G421" s="6" t="str">
        <f t="shared" si="3"/>
        <v>Documentation</v>
      </c>
    </row>
    <row r="422" spans="1:8" ht="14" x14ac:dyDescent="0.15">
      <c r="A422" s="6" t="s">
        <v>572</v>
      </c>
      <c r="B422" s="8" t="s">
        <v>1578</v>
      </c>
      <c r="C422" s="6" t="str">
        <f>'Ann1 - Step 3'!C422</f>
        <v>Coding Pattern</v>
      </c>
      <c r="D422" s="6" t="str">
        <f>'Ann2 - Step 3'!C422</f>
        <v>Coding Pattern</v>
      </c>
      <c r="E422" s="6" t="b">
        <f t="shared" si="2"/>
        <v>0</v>
      </c>
      <c r="F422" s="6"/>
      <c r="G422" s="6" t="str">
        <f t="shared" si="3"/>
        <v>Coding Pattern</v>
      </c>
    </row>
    <row r="423" spans="1:8" ht="14" x14ac:dyDescent="0.15">
      <c r="A423" s="6" t="s">
        <v>572</v>
      </c>
      <c r="B423" s="8" t="s">
        <v>1579</v>
      </c>
      <c r="C423" s="6" t="str">
        <f>'Ann1 - Step 3'!C423</f>
        <v>Coding Pattern</v>
      </c>
      <c r="D423" s="6" t="str">
        <f>'Ann2 - Step 3'!C423</f>
        <v>Coding Pattern</v>
      </c>
      <c r="E423" s="6" t="b">
        <f t="shared" si="2"/>
        <v>0</v>
      </c>
      <c r="F423" s="6"/>
      <c r="G423" s="6" t="str">
        <f t="shared" si="3"/>
        <v>Coding Pattern</v>
      </c>
    </row>
    <row r="424" spans="1:8" ht="13" x14ac:dyDescent="0.15">
      <c r="A424" s="6" t="s">
        <v>70</v>
      </c>
      <c r="B424" s="34" t="s">
        <v>1580</v>
      </c>
      <c r="C424" s="6" t="str">
        <f>'Ann1 - Step 3'!C424</f>
        <v>Coding Pattern</v>
      </c>
      <c r="D424" s="6" t="str">
        <f>'Ann2 - Step 3'!C424</f>
        <v>Maintainability</v>
      </c>
      <c r="E424" s="6" t="b">
        <f t="shared" si="2"/>
        <v>1</v>
      </c>
      <c r="F424" s="30" t="s">
        <v>115</v>
      </c>
      <c r="G424" s="6" t="str">
        <f t="shared" si="3"/>
        <v>Maintainability</v>
      </c>
    </row>
    <row r="425" spans="1:8" ht="13" x14ac:dyDescent="0.15">
      <c r="A425" s="6" t="s">
        <v>70</v>
      </c>
      <c r="B425" s="6" t="s">
        <v>1582</v>
      </c>
      <c r="C425" s="6" t="str">
        <f>'Ann1 - Step 3'!C425</f>
        <v>Coding Pattern</v>
      </c>
      <c r="D425" s="6" t="str">
        <f>'Ann2 - Step 3'!C425</f>
        <v>Coding Pattern</v>
      </c>
      <c r="E425" s="6" t="b">
        <f t="shared" si="2"/>
        <v>0</v>
      </c>
      <c r="F425" s="6"/>
      <c r="G425" s="6" t="str">
        <f t="shared" si="3"/>
        <v>Coding Pattern</v>
      </c>
    </row>
    <row r="426" spans="1:8" ht="13" x14ac:dyDescent="0.15">
      <c r="A426" s="6" t="s">
        <v>70</v>
      </c>
      <c r="B426" s="6" t="s">
        <v>1583</v>
      </c>
      <c r="C426" s="6" t="str">
        <f>'Ann1 - Step 3'!C426</f>
        <v>Coding Pattern</v>
      </c>
      <c r="D426" s="6" t="str">
        <f>'Ann2 - Step 3'!C426</f>
        <v>Coding Pattern</v>
      </c>
      <c r="E426" s="6" t="b">
        <f t="shared" si="2"/>
        <v>0</v>
      </c>
      <c r="F426" s="6"/>
      <c r="G426" s="6" t="str">
        <f t="shared" si="3"/>
        <v>Coding Pattern</v>
      </c>
    </row>
    <row r="427" spans="1:8" ht="13" x14ac:dyDescent="0.15">
      <c r="A427" s="6" t="s">
        <v>133</v>
      </c>
      <c r="B427" s="6" t="s">
        <v>1584</v>
      </c>
      <c r="C427" s="6" t="str">
        <f>'Ann1 - Step 3'!C427</f>
        <v>Coding Style</v>
      </c>
      <c r="D427" s="6" t="str">
        <f>'Ann2 - Step 3'!C427</f>
        <v>Coding Style</v>
      </c>
      <c r="E427" s="6" t="b">
        <f t="shared" si="2"/>
        <v>0</v>
      </c>
      <c r="F427" s="6"/>
      <c r="G427" s="6" t="str">
        <f t="shared" si="3"/>
        <v>Coding Style</v>
      </c>
    </row>
    <row r="428" spans="1:8" ht="13" x14ac:dyDescent="0.15">
      <c r="A428" s="6" t="s">
        <v>81</v>
      </c>
      <c r="B428" s="6" t="s">
        <v>1585</v>
      </c>
      <c r="C428" s="6" t="str">
        <f>'Ann1 - Step 3'!C428</f>
        <v>Documentation</v>
      </c>
      <c r="D428" s="6" t="str">
        <f>'Ann2 - Step 3'!C428</f>
        <v>Documentation</v>
      </c>
      <c r="E428" s="6" t="b">
        <f t="shared" si="2"/>
        <v>0</v>
      </c>
      <c r="F428" s="6"/>
      <c r="G428" s="6" t="str">
        <f t="shared" si="3"/>
        <v>Documentation</v>
      </c>
    </row>
    <row r="429" spans="1:8" ht="13" x14ac:dyDescent="0.15">
      <c r="A429" s="6" t="s">
        <v>347</v>
      </c>
      <c r="B429" s="6" t="s">
        <v>1584</v>
      </c>
      <c r="C429" s="6" t="str">
        <f>'Ann1 - Step 3'!C429</f>
        <v>Coding Style</v>
      </c>
      <c r="D429" s="6" t="str">
        <f>'Ann2 - Step 3'!C429</f>
        <v>Coding Style</v>
      </c>
      <c r="E429" s="6" t="b">
        <f t="shared" si="2"/>
        <v>0</v>
      </c>
      <c r="F429" s="6"/>
      <c r="G429" s="6" t="str">
        <f t="shared" si="3"/>
        <v>Coding Style</v>
      </c>
    </row>
    <row r="430" spans="1:8" ht="13" x14ac:dyDescent="0.15">
      <c r="A430" s="31" t="s">
        <v>249</v>
      </c>
      <c r="B430" s="6" t="s">
        <v>1586</v>
      </c>
      <c r="C430" s="6" t="str">
        <f>'Ann1 - Step 3'!C430</f>
        <v>Writing Style Preference</v>
      </c>
      <c r="D430" s="6" t="str">
        <f>'Ann2 - Step 3'!C430</f>
        <v>Coding Pattern</v>
      </c>
      <c r="E430" s="6" t="b">
        <f t="shared" si="2"/>
        <v>1</v>
      </c>
      <c r="F430" s="30" t="s">
        <v>77</v>
      </c>
      <c r="G430" s="6" t="str">
        <f t="shared" si="3"/>
        <v>Writing Style Preference</v>
      </c>
      <c r="H430" s="31" t="s">
        <v>3300</v>
      </c>
    </row>
    <row r="431" spans="1:8" ht="13" x14ac:dyDescent="0.15">
      <c r="A431" s="6" t="s">
        <v>399</v>
      </c>
      <c r="B431" s="6" t="s">
        <v>1586</v>
      </c>
      <c r="C431" s="6" t="str">
        <f>'Ann1 - Step 3'!C431</f>
        <v>Writing Style Preference</v>
      </c>
      <c r="D431" s="6" t="str">
        <f>'Ann2 - Step 3'!C431</f>
        <v>Coding Pattern</v>
      </c>
      <c r="E431" s="6" t="b">
        <f t="shared" si="2"/>
        <v>1</v>
      </c>
      <c r="F431" s="30" t="s">
        <v>77</v>
      </c>
      <c r="G431" s="6" t="str">
        <f t="shared" si="3"/>
        <v>Writing Style Preference</v>
      </c>
    </row>
    <row r="432" spans="1:8" ht="13" x14ac:dyDescent="0.15">
      <c r="A432" s="6" t="s">
        <v>142</v>
      </c>
      <c r="B432" s="6" t="s">
        <v>1588</v>
      </c>
      <c r="C432" s="6" t="str">
        <f>'Ann1 - Step 3'!C432</f>
        <v>Coding Pattern</v>
      </c>
      <c r="D432" s="6" t="str">
        <f>'Ann2 - Step 3'!C432</f>
        <v>Coding Pattern</v>
      </c>
      <c r="E432" s="6" t="b">
        <f t="shared" si="2"/>
        <v>0</v>
      </c>
      <c r="F432" s="6"/>
      <c r="G432" s="6" t="str">
        <f t="shared" si="3"/>
        <v>Coding Pattern</v>
      </c>
    </row>
    <row r="433" spans="1:7" ht="13" x14ac:dyDescent="0.15">
      <c r="A433" s="6" t="s">
        <v>166</v>
      </c>
      <c r="B433" s="6" t="s">
        <v>1590</v>
      </c>
      <c r="C433" s="6" t="str">
        <f>'Ann1 - Step 3'!C433</f>
        <v>Documentation</v>
      </c>
      <c r="D433" s="6" t="str">
        <f>'Ann2 - Step 3'!C433</f>
        <v>Documentation</v>
      </c>
      <c r="E433" s="6" t="b">
        <f t="shared" si="2"/>
        <v>0</v>
      </c>
      <c r="F433" s="6"/>
      <c r="G433" s="6" t="str">
        <f t="shared" si="3"/>
        <v>Documentation</v>
      </c>
    </row>
    <row r="434" spans="1:7" ht="13" x14ac:dyDescent="0.15">
      <c r="A434" s="31" t="s">
        <v>166</v>
      </c>
      <c r="B434" s="6" t="s">
        <v>1591</v>
      </c>
      <c r="C434" s="6" t="str">
        <f>'Ann1 - Step 3'!C434</f>
        <v>Maintainability</v>
      </c>
      <c r="D434" s="6" t="str">
        <f>'Ann2 - Step 3'!C434</f>
        <v>Maintainability</v>
      </c>
      <c r="E434" s="6" t="b">
        <f t="shared" si="2"/>
        <v>0</v>
      </c>
      <c r="F434" s="6"/>
      <c r="G434" s="6" t="str">
        <f t="shared" si="3"/>
        <v>Maintainability</v>
      </c>
    </row>
    <row r="435" spans="1:7" ht="13" x14ac:dyDescent="0.15">
      <c r="A435" s="6" t="s">
        <v>81</v>
      </c>
      <c r="B435" s="6" t="s">
        <v>1592</v>
      </c>
      <c r="C435" s="6" t="str">
        <f>'Ann1 - Step 3'!C435</f>
        <v>Performance</v>
      </c>
      <c r="D435" s="6" t="str">
        <f>'Ann2 - Step 3'!C435</f>
        <v>Performance</v>
      </c>
      <c r="E435" s="6" t="b">
        <f t="shared" si="2"/>
        <v>0</v>
      </c>
      <c r="F435" s="6"/>
      <c r="G435" s="6" t="str">
        <f t="shared" si="3"/>
        <v>Performance</v>
      </c>
    </row>
    <row r="436" spans="1:7" ht="13" x14ac:dyDescent="0.15">
      <c r="A436" s="6" t="s">
        <v>1595</v>
      </c>
      <c r="B436" s="6" t="s">
        <v>1596</v>
      </c>
      <c r="C436" s="6" t="str">
        <f>'Ann1 - Step 3'!C436</f>
        <v>Task Execution</v>
      </c>
      <c r="D436" s="6" t="str">
        <f>'Ann2 - Step 3'!C436</f>
        <v>Task Execution</v>
      </c>
      <c r="E436" s="6" t="b">
        <f t="shared" si="2"/>
        <v>0</v>
      </c>
      <c r="F436" s="6"/>
      <c r="G436" s="6" t="str">
        <f t="shared" si="3"/>
        <v>Task Execution</v>
      </c>
    </row>
    <row r="437" spans="1:7" ht="14" x14ac:dyDescent="0.15">
      <c r="A437" s="6" t="s">
        <v>75</v>
      </c>
      <c r="B437" s="8" t="s">
        <v>1597</v>
      </c>
      <c r="C437" s="6" t="str">
        <f>'Ann1 - Step 3'!C437</f>
        <v>Task Execution</v>
      </c>
      <c r="D437" s="6" t="str">
        <f>'Ann2 - Step 3'!C437</f>
        <v>Task Execution</v>
      </c>
      <c r="E437" s="6" t="b">
        <f t="shared" si="2"/>
        <v>0</v>
      </c>
      <c r="F437" s="6"/>
      <c r="G437" s="6" t="str">
        <f t="shared" si="3"/>
        <v>Task Execution</v>
      </c>
    </row>
    <row r="438" spans="1:7" ht="14" x14ac:dyDescent="0.15">
      <c r="A438" s="6" t="s">
        <v>1563</v>
      </c>
      <c r="B438" s="22" t="s">
        <v>1598</v>
      </c>
      <c r="C438" s="6" t="str">
        <f>'Ann1 - Step 3'!C438</f>
        <v>Task Execution</v>
      </c>
      <c r="D438" s="6" t="str">
        <f>'Ann2 - Step 3'!C438</f>
        <v>Task Execution</v>
      </c>
      <c r="E438" s="6" t="b">
        <f t="shared" si="2"/>
        <v>0</v>
      </c>
      <c r="F438" s="6"/>
      <c r="G438" s="6" t="str">
        <f t="shared" si="3"/>
        <v>Task Execution</v>
      </c>
    </row>
    <row r="439" spans="1:7" ht="13" x14ac:dyDescent="0.15">
      <c r="A439" s="6" t="s">
        <v>523</v>
      </c>
      <c r="B439" s="6" t="s">
        <v>1599</v>
      </c>
      <c r="C439" s="6" t="str">
        <f>'Ann1 - Step 3'!C439</f>
        <v>Task Execution</v>
      </c>
      <c r="D439" s="6" t="str">
        <f>'Ann2 - Step 3'!C439</f>
        <v>Task Execution</v>
      </c>
      <c r="E439" s="6" t="b">
        <f t="shared" si="2"/>
        <v>0</v>
      </c>
      <c r="F439" s="6"/>
      <c r="G439" s="6" t="str">
        <f t="shared" si="3"/>
        <v>Task Execution</v>
      </c>
    </row>
    <row r="440" spans="1:7" ht="13" x14ac:dyDescent="0.15">
      <c r="A440" s="6" t="s">
        <v>359</v>
      </c>
      <c r="B440" s="6" t="s">
        <v>1600</v>
      </c>
      <c r="C440" s="6" t="str">
        <f>'Ann1 - Step 3'!C440</f>
        <v>Documentation</v>
      </c>
      <c r="D440" s="6" t="str">
        <f>'Ann2 - Step 3'!C440</f>
        <v>Documentation</v>
      </c>
      <c r="E440" s="6" t="b">
        <f t="shared" si="2"/>
        <v>0</v>
      </c>
      <c r="F440" s="6"/>
      <c r="G440" s="6" t="str">
        <f t="shared" si="3"/>
        <v>Documentation</v>
      </c>
    </row>
    <row r="441" spans="1:7" ht="13" x14ac:dyDescent="0.15">
      <c r="A441" s="6" t="s">
        <v>107</v>
      </c>
      <c r="B441" s="6" t="s">
        <v>1602</v>
      </c>
      <c r="C441" s="6" t="str">
        <f>'Ann1 - Step 3'!C441</f>
        <v>Writing Style Preference</v>
      </c>
      <c r="D441" s="6" t="str">
        <f>'Ann2 - Step 3'!C441</f>
        <v>Writing Style Preference</v>
      </c>
      <c r="E441" s="6" t="b">
        <f t="shared" si="2"/>
        <v>0</v>
      </c>
      <c r="F441" s="6"/>
      <c r="G441" s="6" t="str">
        <f t="shared" si="3"/>
        <v>Writing Style Preference</v>
      </c>
    </row>
    <row r="442" spans="1:7" ht="13" x14ac:dyDescent="0.15">
      <c r="A442" s="6" t="s">
        <v>1606</v>
      </c>
      <c r="B442" s="6" t="s">
        <v>1607</v>
      </c>
      <c r="C442" s="6" t="str">
        <f>'Ann1 - Step 3'!C442</f>
        <v>Documentation</v>
      </c>
      <c r="D442" s="6" t="str">
        <f>'Ann2 - Step 3'!C442</f>
        <v>Documentation</v>
      </c>
      <c r="E442" s="6" t="b">
        <f t="shared" si="2"/>
        <v>0</v>
      </c>
      <c r="F442" s="6"/>
      <c r="G442" s="6" t="str">
        <f t="shared" si="3"/>
        <v>Documentation</v>
      </c>
    </row>
    <row r="443" spans="1:7" ht="14" x14ac:dyDescent="0.15">
      <c r="A443" s="6" t="s">
        <v>955</v>
      </c>
      <c r="B443" s="8" t="s">
        <v>1608</v>
      </c>
      <c r="C443" s="6" t="str">
        <f>'Ann1 - Step 3'!C443</f>
        <v>Task Execution</v>
      </c>
      <c r="D443" s="6" t="str">
        <f>'Ann2 - Step 3'!C443</f>
        <v>Task Execution</v>
      </c>
      <c r="E443" s="6" t="b">
        <f t="shared" si="2"/>
        <v>0</v>
      </c>
      <c r="F443" s="6"/>
      <c r="G443" s="6" t="str">
        <f t="shared" si="3"/>
        <v>Task Execution</v>
      </c>
    </row>
    <row r="444" spans="1:7" ht="14" x14ac:dyDescent="0.15">
      <c r="A444" s="6" t="s">
        <v>112</v>
      </c>
      <c r="B444" s="8" t="s">
        <v>1602</v>
      </c>
      <c r="C444" s="6" t="str">
        <f>'Ann1 - Step 3'!C444</f>
        <v>Writing Style Preference</v>
      </c>
      <c r="D444" s="6" t="str">
        <f>'Ann2 - Step 3'!C444</f>
        <v>Writing Style Preference</v>
      </c>
      <c r="E444" s="6" t="b">
        <f t="shared" si="2"/>
        <v>0</v>
      </c>
      <c r="F444" s="6"/>
      <c r="G444" s="6" t="str">
        <f t="shared" si="3"/>
        <v>Writing Style Preference</v>
      </c>
    </row>
    <row r="445" spans="1:7" ht="14" x14ac:dyDescent="0.15">
      <c r="A445" s="6" t="s">
        <v>107</v>
      </c>
      <c r="B445" s="8" t="s">
        <v>1609</v>
      </c>
      <c r="C445" s="6" t="str">
        <f>'Ann1 - Step 3'!C445</f>
        <v>Commit&amp;PR rule</v>
      </c>
      <c r="D445" s="6" t="str">
        <f>'Ann2 - Step 3'!C445</f>
        <v>Commit&amp;PR rule</v>
      </c>
      <c r="E445" s="6" t="b">
        <f t="shared" si="2"/>
        <v>0</v>
      </c>
      <c r="F445" s="6"/>
      <c r="G445" s="6" t="str">
        <f t="shared" si="3"/>
        <v>Commit&amp;PR rule</v>
      </c>
    </row>
    <row r="446" spans="1:7" ht="14" x14ac:dyDescent="0.15">
      <c r="A446" s="6" t="s">
        <v>401</v>
      </c>
      <c r="B446" s="8" t="s">
        <v>1611</v>
      </c>
      <c r="C446" s="6" t="str">
        <f>'Ann1 - Step 3'!C446</f>
        <v>Writing Style Preference</v>
      </c>
      <c r="D446" s="6" t="str">
        <f>'Ann2 - Step 3'!C446</f>
        <v>Documentation</v>
      </c>
      <c r="E446" s="6" t="b">
        <f t="shared" si="2"/>
        <v>1</v>
      </c>
      <c r="F446" s="30" t="s">
        <v>77</v>
      </c>
      <c r="G446" s="6" t="str">
        <f t="shared" si="3"/>
        <v>Writing Style Preference</v>
      </c>
    </row>
    <row r="447" spans="1:7" ht="13" x14ac:dyDescent="0.15">
      <c r="A447" s="6" t="s">
        <v>112</v>
      </c>
      <c r="B447" s="6" t="s">
        <v>1609</v>
      </c>
      <c r="C447" s="6" t="str">
        <f>'Ann1 - Step 3'!C447</f>
        <v>Commit&amp;PR rule</v>
      </c>
      <c r="D447" s="6" t="str">
        <f>'Ann2 - Step 3'!C447</f>
        <v>Commit&amp;PR rule</v>
      </c>
      <c r="E447" s="6" t="b">
        <f t="shared" si="2"/>
        <v>0</v>
      </c>
      <c r="F447" s="6"/>
      <c r="G447" s="6" t="str">
        <f t="shared" si="3"/>
        <v>Commit&amp;PR rule</v>
      </c>
    </row>
    <row r="448" spans="1:7" ht="13" x14ac:dyDescent="0.15">
      <c r="A448" s="6" t="s">
        <v>86</v>
      </c>
      <c r="B448" s="6" t="s">
        <v>1613</v>
      </c>
      <c r="C448" s="6" t="str">
        <f>'Ann1 - Step 3'!C448</f>
        <v>Task Execution</v>
      </c>
      <c r="D448" s="6" t="str">
        <f>'Ann2 - Step 3'!C448</f>
        <v>Task Execution</v>
      </c>
      <c r="E448" s="6" t="b">
        <f t="shared" si="2"/>
        <v>0</v>
      </c>
      <c r="F448" s="6"/>
      <c r="G448" s="6" t="str">
        <f t="shared" si="3"/>
        <v>Task Execution</v>
      </c>
    </row>
    <row r="449" spans="1:7" ht="13" x14ac:dyDescent="0.15">
      <c r="A449" s="6" t="s">
        <v>1185</v>
      </c>
      <c r="B449" s="6" t="s">
        <v>1615</v>
      </c>
      <c r="C449" s="6" t="str">
        <f>'Ann1 - Step 3'!C449</f>
        <v>Coding Pattern</v>
      </c>
      <c r="D449" s="6" t="str">
        <f>'Ann2 - Step 3'!C449</f>
        <v>Coding Pattern</v>
      </c>
      <c r="E449" s="6" t="b">
        <f t="shared" si="2"/>
        <v>0</v>
      </c>
      <c r="F449" s="6"/>
      <c r="G449" s="6" t="str">
        <f t="shared" si="3"/>
        <v>Coding Pattern</v>
      </c>
    </row>
    <row r="450" spans="1:7" ht="13" x14ac:dyDescent="0.15">
      <c r="A450" s="6" t="s">
        <v>1210</v>
      </c>
      <c r="B450" s="6" t="s">
        <v>1615</v>
      </c>
      <c r="C450" s="6" t="str">
        <f>'Ann1 - Step 3'!C450</f>
        <v>Coding Pattern</v>
      </c>
      <c r="D450" s="6" t="str">
        <f>'Ann2 - Step 3'!C450</f>
        <v>Coding Pattern</v>
      </c>
      <c r="E450" s="6" t="b">
        <f t="shared" si="2"/>
        <v>0</v>
      </c>
      <c r="F450" s="6"/>
      <c r="G450" s="6" t="str">
        <f t="shared" si="3"/>
        <v>Coding Pattern</v>
      </c>
    </row>
    <row r="451" spans="1:7" ht="13" x14ac:dyDescent="0.15">
      <c r="A451" s="6" t="s">
        <v>497</v>
      </c>
      <c r="B451" s="6" t="s">
        <v>1617</v>
      </c>
      <c r="C451" s="6" t="str">
        <f>'Ann1 - Step 3'!C451</f>
        <v>Coding Pattern</v>
      </c>
      <c r="D451" s="6" t="str">
        <f>'Ann2 - Step 3'!C451</f>
        <v>Coding Pattern</v>
      </c>
      <c r="E451" s="6" t="b">
        <f t="shared" si="2"/>
        <v>0</v>
      </c>
      <c r="F451" s="6"/>
      <c r="G451" s="6" t="str">
        <f t="shared" si="3"/>
        <v>Coding Pattern</v>
      </c>
    </row>
    <row r="452" spans="1:7" ht="13" x14ac:dyDescent="0.15">
      <c r="A452" s="6" t="s">
        <v>175</v>
      </c>
      <c r="B452" s="6" t="s">
        <v>1618</v>
      </c>
      <c r="C452" s="6" t="str">
        <f>'Ann1 - Step 3'!C452</f>
        <v>Testing</v>
      </c>
      <c r="D452" s="6" t="str">
        <f>'Ann2 - Step 3'!C452</f>
        <v>Testing</v>
      </c>
      <c r="E452" s="6" t="b">
        <f t="shared" si="2"/>
        <v>0</v>
      </c>
      <c r="F452" s="6"/>
      <c r="G452" s="6" t="str">
        <f t="shared" si="3"/>
        <v>Testing</v>
      </c>
    </row>
    <row r="453" spans="1:7" ht="28" x14ac:dyDescent="0.15">
      <c r="A453" s="6" t="s">
        <v>175</v>
      </c>
      <c r="B453" s="22" t="s">
        <v>1619</v>
      </c>
      <c r="C453" s="6" t="str">
        <f>'Ann1 - Step 3'!C453</f>
        <v>Testing</v>
      </c>
      <c r="D453" s="6" t="str">
        <f>'Ann2 - Step 3'!C453</f>
        <v>Testing</v>
      </c>
      <c r="E453" s="6" t="b">
        <f t="shared" si="2"/>
        <v>0</v>
      </c>
      <c r="F453" s="6"/>
      <c r="G453" s="6" t="str">
        <f t="shared" si="3"/>
        <v>Testing</v>
      </c>
    </row>
    <row r="454" spans="1:7" ht="13" x14ac:dyDescent="0.15">
      <c r="A454" s="6" t="s">
        <v>1456</v>
      </c>
      <c r="B454" s="6" t="s">
        <v>1620</v>
      </c>
      <c r="C454" s="6" t="str">
        <f>'Ann1 - Step 3'!C454</f>
        <v>Build &amp; Operation</v>
      </c>
      <c r="D454" s="6" t="str">
        <f>'Ann2 - Step 3'!C454</f>
        <v>Build &amp; Operation</v>
      </c>
      <c r="E454" s="6" t="b">
        <f t="shared" si="2"/>
        <v>0</v>
      </c>
      <c r="F454" s="6"/>
      <c r="G454" s="6" t="str">
        <f t="shared" si="3"/>
        <v>Build &amp; Operation</v>
      </c>
    </row>
    <row r="455" spans="1:7" ht="13" x14ac:dyDescent="0.15">
      <c r="A455" s="6" t="s">
        <v>166</v>
      </c>
      <c r="B455" s="6" t="s">
        <v>1621</v>
      </c>
      <c r="C455" s="6" t="str">
        <f>'Ann1 - Step 3'!C455</f>
        <v>Coding Pattern</v>
      </c>
      <c r="D455" s="6" t="str">
        <f>'Ann2 - Step 3'!C455</f>
        <v>Coding Pattern</v>
      </c>
      <c r="E455" s="6" t="b">
        <f t="shared" si="2"/>
        <v>0</v>
      </c>
      <c r="F455" s="6"/>
      <c r="G455" s="6" t="str">
        <f t="shared" si="3"/>
        <v>Coding Pattern</v>
      </c>
    </row>
    <row r="456" spans="1:7" ht="13" x14ac:dyDescent="0.15">
      <c r="A456" s="6" t="s">
        <v>714</v>
      </c>
      <c r="B456" s="6" t="s">
        <v>1622</v>
      </c>
      <c r="C456" s="6" t="str">
        <f>'Ann1 - Step 3'!C456</f>
        <v>Coding Pattern</v>
      </c>
      <c r="D456" s="6" t="str">
        <f>'Ann2 - Step 3'!C456</f>
        <v>Coding Pattern</v>
      </c>
      <c r="E456" s="6" t="b">
        <f t="shared" si="2"/>
        <v>0</v>
      </c>
      <c r="F456" s="6"/>
      <c r="G456" s="6" t="str">
        <f t="shared" si="3"/>
        <v>Coding Pattern</v>
      </c>
    </row>
    <row r="457" spans="1:7" ht="13" x14ac:dyDescent="0.15">
      <c r="A457" s="6" t="s">
        <v>1625</v>
      </c>
      <c r="B457" s="6" t="s">
        <v>1626</v>
      </c>
      <c r="C457" s="6" t="str">
        <f>'Ann1 - Step 3'!C457</f>
        <v>Coding Pattern</v>
      </c>
      <c r="D457" s="6" t="str">
        <f>'Ann2 - Step 3'!C457</f>
        <v>Coding Pattern</v>
      </c>
      <c r="E457" s="6" t="b">
        <f t="shared" si="2"/>
        <v>0</v>
      </c>
      <c r="F457" s="6"/>
      <c r="G457" s="6" t="str">
        <f t="shared" si="3"/>
        <v>Coding Pattern</v>
      </c>
    </row>
    <row r="458" spans="1:7" ht="14" x14ac:dyDescent="0.15">
      <c r="A458" s="6" t="s">
        <v>489</v>
      </c>
      <c r="B458" s="8" t="s">
        <v>1627</v>
      </c>
      <c r="C458" s="6" t="str">
        <f>'Ann1 - Step 3'!C458</f>
        <v>Testing</v>
      </c>
      <c r="D458" s="6" t="str">
        <f>'Ann2 - Step 3'!C458</f>
        <v>Testing</v>
      </c>
      <c r="E458" s="6" t="b">
        <f t="shared" si="2"/>
        <v>0</v>
      </c>
      <c r="F458" s="6"/>
      <c r="G458" s="6" t="str">
        <f t="shared" si="3"/>
        <v>Testing</v>
      </c>
    </row>
    <row r="459" spans="1:7" ht="13" x14ac:dyDescent="0.15">
      <c r="A459" s="6" t="s">
        <v>1021</v>
      </c>
      <c r="B459" s="6" t="s">
        <v>1629</v>
      </c>
      <c r="C459" s="6" t="str">
        <f>'Ann1 - Step 3'!C459</f>
        <v>Task Execution</v>
      </c>
      <c r="D459" s="6" t="str">
        <f>'Ann2 - Step 3'!C459</f>
        <v>Task Execution</v>
      </c>
      <c r="E459" s="6" t="b">
        <f t="shared" si="2"/>
        <v>0</v>
      </c>
      <c r="F459" s="6"/>
      <c r="G459" s="6" t="str">
        <f t="shared" si="3"/>
        <v>Task Execution</v>
      </c>
    </row>
    <row r="460" spans="1:7" ht="14" x14ac:dyDescent="0.15">
      <c r="A460" s="6" t="s">
        <v>617</v>
      </c>
      <c r="B460" s="23" t="s">
        <v>1630</v>
      </c>
      <c r="C460" s="6" t="str">
        <f>'Ann1 - Step 3'!C460</f>
        <v>Maintainability</v>
      </c>
      <c r="D460" s="6" t="str">
        <f>'Ann2 - Step 3'!C460</f>
        <v>Coding Pattern</v>
      </c>
      <c r="E460" s="6" t="b">
        <f t="shared" si="2"/>
        <v>1</v>
      </c>
      <c r="F460" s="30" t="s">
        <v>30</v>
      </c>
      <c r="G460" s="6" t="str">
        <f t="shared" si="3"/>
        <v>Coding Pattern</v>
      </c>
    </row>
    <row r="461" spans="1:7" ht="13" x14ac:dyDescent="0.15">
      <c r="A461" s="6" t="s">
        <v>668</v>
      </c>
      <c r="B461" s="6" t="s">
        <v>1631</v>
      </c>
      <c r="C461" s="6" t="str">
        <f>'Ann1 - Step 3'!C461</f>
        <v>Testing</v>
      </c>
      <c r="D461" s="6" t="str">
        <f>'Ann2 - Step 3'!C461</f>
        <v>Testing</v>
      </c>
      <c r="E461" s="6" t="b">
        <f t="shared" si="2"/>
        <v>0</v>
      </c>
      <c r="F461" s="6"/>
      <c r="G461" s="6" t="str">
        <f t="shared" si="3"/>
        <v>Testing</v>
      </c>
    </row>
    <row r="462" spans="1:7" ht="13" x14ac:dyDescent="0.15">
      <c r="A462" s="6" t="s">
        <v>223</v>
      </c>
      <c r="B462" s="6" t="s">
        <v>1632</v>
      </c>
      <c r="C462" s="6" t="str">
        <f>'Ann1 - Step 3'!C462</f>
        <v>Coding Pattern</v>
      </c>
      <c r="D462" s="6" t="str">
        <f>'Ann2 - Step 3'!C462</f>
        <v>Coding Pattern</v>
      </c>
      <c r="E462" s="6" t="b">
        <f t="shared" si="2"/>
        <v>0</v>
      </c>
      <c r="F462" s="6"/>
      <c r="G462" s="6" t="str">
        <f t="shared" si="3"/>
        <v>Coding Pattern</v>
      </c>
    </row>
    <row r="463" spans="1:7" ht="13" x14ac:dyDescent="0.15">
      <c r="A463" s="6" t="s">
        <v>703</v>
      </c>
      <c r="B463" s="6" t="s">
        <v>1633</v>
      </c>
      <c r="C463" s="6" t="str">
        <f>'Ann1 - Step 3'!C463</f>
        <v>Task Execution</v>
      </c>
      <c r="D463" s="6" t="str">
        <f>'Ann2 - Step 3'!C463</f>
        <v>Task Execution</v>
      </c>
      <c r="E463" s="6" t="b">
        <f t="shared" si="2"/>
        <v>0</v>
      </c>
      <c r="F463" s="6"/>
      <c r="G463" s="6" t="str">
        <f t="shared" si="3"/>
        <v>Task Execution</v>
      </c>
    </row>
    <row r="464" spans="1:7" ht="13" x14ac:dyDescent="0.15">
      <c r="A464" s="6" t="s">
        <v>179</v>
      </c>
      <c r="B464" s="6" t="s">
        <v>1634</v>
      </c>
      <c r="C464" s="6" t="str">
        <f>'Ann1 - Step 3'!C464</f>
        <v>Coding Pattern</v>
      </c>
      <c r="D464" s="6" t="str">
        <f>'Ann2 - Step 3'!C464</f>
        <v>Coding Pattern</v>
      </c>
      <c r="E464" s="6" t="b">
        <f t="shared" si="2"/>
        <v>0</v>
      </c>
      <c r="F464" s="6"/>
      <c r="G464" s="6" t="str">
        <f t="shared" si="3"/>
        <v>Coding Pattern</v>
      </c>
    </row>
    <row r="465" spans="1:7" ht="13" x14ac:dyDescent="0.15">
      <c r="A465" s="6" t="s">
        <v>401</v>
      </c>
      <c r="B465" s="6" t="s">
        <v>1636</v>
      </c>
      <c r="C465" s="6" t="str">
        <f>'Ann1 - Step 3'!C465</f>
        <v>Testing</v>
      </c>
      <c r="D465" s="6" t="str">
        <f>'Ann2 - Step 3'!C465</f>
        <v>Testing</v>
      </c>
      <c r="E465" s="6" t="b">
        <f t="shared" si="2"/>
        <v>0</v>
      </c>
      <c r="F465" s="6"/>
      <c r="G465" s="6" t="str">
        <f t="shared" si="3"/>
        <v>Testing</v>
      </c>
    </row>
    <row r="466" spans="1:7" ht="14" x14ac:dyDescent="0.15">
      <c r="A466" s="6" t="s">
        <v>401</v>
      </c>
      <c r="B466" s="22" t="s">
        <v>1637</v>
      </c>
      <c r="C466" s="6" t="str">
        <f>'Ann1 - Step 3'!C466</f>
        <v>Task Execution</v>
      </c>
      <c r="D466" s="6" t="str">
        <f>'Ann2 - Step 3'!C466</f>
        <v>Task Execution</v>
      </c>
      <c r="E466" s="6" t="b">
        <f t="shared" si="2"/>
        <v>0</v>
      </c>
      <c r="F466" s="6"/>
      <c r="G466" s="6" t="str">
        <f t="shared" si="3"/>
        <v>Task Execution</v>
      </c>
    </row>
    <row r="467" spans="1:7" ht="13" x14ac:dyDescent="0.15">
      <c r="A467" s="6" t="s">
        <v>572</v>
      </c>
      <c r="B467" s="6" t="s">
        <v>1638</v>
      </c>
      <c r="C467" s="6" t="str">
        <f>'Ann1 - Step 3'!C467</f>
        <v>Coding Pattern</v>
      </c>
      <c r="D467" s="6" t="str">
        <f>'Ann2 - Step 3'!C467</f>
        <v>Coding Pattern</v>
      </c>
      <c r="E467" s="6" t="b">
        <f t="shared" si="2"/>
        <v>0</v>
      </c>
      <c r="F467" s="6"/>
      <c r="G467" s="6" t="str">
        <f t="shared" si="3"/>
        <v>Coding Pattern</v>
      </c>
    </row>
    <row r="468" spans="1:7" ht="13" x14ac:dyDescent="0.15">
      <c r="A468" s="6" t="s">
        <v>511</v>
      </c>
      <c r="B468" s="6" t="s">
        <v>1639</v>
      </c>
      <c r="C468" s="6" t="str">
        <f>'Ann1 - Step 3'!C468</f>
        <v>Coding Pattern</v>
      </c>
      <c r="D468" s="6" t="str">
        <f>'Ann2 - Step 3'!C468</f>
        <v>Coding Pattern</v>
      </c>
      <c r="E468" s="6" t="b">
        <f t="shared" si="2"/>
        <v>0</v>
      </c>
      <c r="F468" s="6"/>
      <c r="G468" s="6" t="str">
        <f t="shared" si="3"/>
        <v>Coding Pattern</v>
      </c>
    </row>
    <row r="469" spans="1:7" ht="14" x14ac:dyDescent="0.15">
      <c r="A469" s="6" t="s">
        <v>154</v>
      </c>
      <c r="B469" s="22" t="s">
        <v>1640</v>
      </c>
      <c r="C469" s="6" t="str">
        <f>'Ann1 - Step 3'!C469</f>
        <v>Task Execution</v>
      </c>
      <c r="D469" s="6" t="str">
        <f>'Ann2 - Step 3'!C469</f>
        <v>Task Execution</v>
      </c>
      <c r="E469" s="6" t="b">
        <f t="shared" si="2"/>
        <v>0</v>
      </c>
      <c r="F469" s="6"/>
      <c r="G469" s="6" t="str">
        <f t="shared" si="3"/>
        <v>Task Execution</v>
      </c>
    </row>
    <row r="470" spans="1:7" ht="13" x14ac:dyDescent="0.15">
      <c r="A470" s="6" t="s">
        <v>170</v>
      </c>
      <c r="B470" s="6" t="s">
        <v>1641</v>
      </c>
      <c r="C470" s="6" t="str">
        <f>'Ann1 - Step 3'!C470</f>
        <v>Build &amp; Operation</v>
      </c>
      <c r="D470" s="6" t="str">
        <f>'Ann2 - Step 3'!C470</f>
        <v>Build &amp; Operation</v>
      </c>
      <c r="E470" s="6" t="b">
        <f t="shared" si="2"/>
        <v>0</v>
      </c>
      <c r="F470" s="6"/>
      <c r="G470" s="6" t="str">
        <f t="shared" si="3"/>
        <v>Build &amp; Operation</v>
      </c>
    </row>
    <row r="471" spans="1:7" ht="13" x14ac:dyDescent="0.15">
      <c r="A471" s="6" t="s">
        <v>853</v>
      </c>
      <c r="B471" s="6" t="s">
        <v>1643</v>
      </c>
      <c r="C471" s="6" t="str">
        <f>'Ann1 - Step 3'!C471</f>
        <v>Coding Pattern</v>
      </c>
      <c r="D471" s="6" t="str">
        <f>'Ann2 - Step 3'!C471</f>
        <v>Coding Pattern</v>
      </c>
      <c r="E471" s="6" t="b">
        <f t="shared" si="2"/>
        <v>0</v>
      </c>
      <c r="F471" s="6"/>
      <c r="G471" s="6" t="str">
        <f t="shared" si="3"/>
        <v>Coding Pattern</v>
      </c>
    </row>
    <row r="472" spans="1:7" ht="14" x14ac:dyDescent="0.15">
      <c r="A472" s="31" t="s">
        <v>577</v>
      </c>
      <c r="B472" s="8" t="s">
        <v>1644</v>
      </c>
      <c r="C472" s="6" t="str">
        <f>'Ann1 - Step 3'!C472</f>
        <v>Writing Style Preference</v>
      </c>
      <c r="D472" s="6" t="str">
        <f>'Ann2 - Step 3'!C472</f>
        <v>Task Execution</v>
      </c>
      <c r="E472" s="6" t="b">
        <f t="shared" si="2"/>
        <v>1</v>
      </c>
      <c r="F472" s="30" t="s">
        <v>18</v>
      </c>
      <c r="G472" s="6" t="str">
        <f t="shared" si="3"/>
        <v>Task Execution</v>
      </c>
    </row>
    <row r="473" spans="1:7" ht="14" x14ac:dyDescent="0.15">
      <c r="A473" s="6" t="s">
        <v>577</v>
      </c>
      <c r="B473" s="8" t="s">
        <v>1645</v>
      </c>
      <c r="C473" s="6" t="str">
        <f>'Ann1 - Step 3'!C473</f>
        <v>Task Execution</v>
      </c>
      <c r="D473" s="6" t="str">
        <f>'Ann2 - Step 3'!C473</f>
        <v>Task Execution</v>
      </c>
      <c r="E473" s="6" t="b">
        <f t="shared" si="2"/>
        <v>0</v>
      </c>
      <c r="F473" s="6"/>
      <c r="G473" s="6" t="str">
        <f t="shared" si="3"/>
        <v>Task Execution</v>
      </c>
    </row>
    <row r="474" spans="1:7" ht="13" x14ac:dyDescent="0.15">
      <c r="A474" s="6" t="s">
        <v>15</v>
      </c>
      <c r="B474" s="6" t="s">
        <v>1646</v>
      </c>
      <c r="C474" s="6" t="str">
        <f>'Ann1 - Step 3'!C474</f>
        <v>Coding Pattern</v>
      </c>
      <c r="D474" s="6" t="str">
        <f>'Ann2 - Step 3'!C474</f>
        <v>Coding Pattern</v>
      </c>
      <c r="E474" s="6" t="b">
        <f t="shared" si="2"/>
        <v>0</v>
      </c>
      <c r="F474" s="6"/>
      <c r="G474" s="6" t="str">
        <f t="shared" si="3"/>
        <v>Coding Pattern</v>
      </c>
    </row>
    <row r="475" spans="1:7" ht="13" x14ac:dyDescent="0.15">
      <c r="A475" s="6" t="s">
        <v>70</v>
      </c>
      <c r="B475" s="6" t="s">
        <v>1647</v>
      </c>
      <c r="C475" s="6" t="str">
        <f>'Ann1 - Step 3'!C475</f>
        <v>Coding Pattern</v>
      </c>
      <c r="D475" s="6" t="str">
        <f>'Ann2 - Step 3'!C475</f>
        <v>Coding Pattern</v>
      </c>
      <c r="E475" s="6" t="b">
        <f t="shared" si="2"/>
        <v>0</v>
      </c>
      <c r="F475" s="6"/>
      <c r="G475" s="6" t="str">
        <f t="shared" si="3"/>
        <v>Coding Pattern</v>
      </c>
    </row>
    <row r="476" spans="1:7" ht="13" x14ac:dyDescent="0.15">
      <c r="A476" s="6" t="s">
        <v>70</v>
      </c>
      <c r="B476" s="6" t="s">
        <v>1648</v>
      </c>
      <c r="C476" s="6" t="str">
        <f>'Ann1 - Step 3'!C476</f>
        <v>Coding Pattern</v>
      </c>
      <c r="D476" s="6" t="str">
        <f>'Ann2 - Step 3'!C476</f>
        <v>Coding Pattern</v>
      </c>
      <c r="E476" s="6" t="b">
        <f t="shared" si="2"/>
        <v>0</v>
      </c>
      <c r="F476" s="6"/>
      <c r="G476" s="6" t="str">
        <f t="shared" si="3"/>
        <v>Coding Pattern</v>
      </c>
    </row>
    <row r="477" spans="1:7" ht="13" x14ac:dyDescent="0.15">
      <c r="A477" s="6" t="s">
        <v>1404</v>
      </c>
      <c r="B477" s="6" t="s">
        <v>1649</v>
      </c>
      <c r="C477" s="6" t="str">
        <f>'Ann1 - Step 3'!C477</f>
        <v>Testing</v>
      </c>
      <c r="D477" s="6" t="str">
        <f>'Ann2 - Step 3'!C477</f>
        <v>Testing</v>
      </c>
      <c r="E477" s="6" t="b">
        <f t="shared" si="2"/>
        <v>0</v>
      </c>
      <c r="F477" s="6"/>
      <c r="G477" s="6" t="str">
        <f t="shared" si="3"/>
        <v>Testing</v>
      </c>
    </row>
    <row r="478" spans="1:7" ht="13" x14ac:dyDescent="0.15">
      <c r="A478" s="6" t="s">
        <v>1404</v>
      </c>
      <c r="B478" s="6" t="s">
        <v>1650</v>
      </c>
      <c r="C478" s="6" t="str">
        <f>'Ann1 - Step 3'!C478</f>
        <v>Coding Style</v>
      </c>
      <c r="D478" s="6" t="str">
        <f>'Ann2 - Step 3'!C478</f>
        <v>Coding Style</v>
      </c>
      <c r="E478" s="6" t="b">
        <f t="shared" si="2"/>
        <v>0</v>
      </c>
      <c r="F478" s="6"/>
      <c r="G478" s="6" t="str">
        <f t="shared" si="3"/>
        <v>Coding Style</v>
      </c>
    </row>
    <row r="479" spans="1:7" ht="14" x14ac:dyDescent="0.15">
      <c r="A479" s="6" t="s">
        <v>725</v>
      </c>
      <c r="B479" s="8" t="s">
        <v>1651</v>
      </c>
      <c r="C479" s="6" t="str">
        <f>'Ann1 - Step 3'!C479</f>
        <v>Build &amp; Operation</v>
      </c>
      <c r="D479" s="6" t="str">
        <f>'Ann2 - Step 3'!C479</f>
        <v>Build &amp; Operation</v>
      </c>
      <c r="E479" s="6" t="b">
        <f t="shared" si="2"/>
        <v>0</v>
      </c>
      <c r="F479" s="6"/>
      <c r="G479" s="6" t="str">
        <f t="shared" si="3"/>
        <v>Build &amp; Operation</v>
      </c>
    </row>
    <row r="480" spans="1:7" ht="14" x14ac:dyDescent="0.15">
      <c r="A480" s="6" t="s">
        <v>725</v>
      </c>
      <c r="B480" s="8" t="s">
        <v>1652</v>
      </c>
      <c r="C480" s="6" t="str">
        <f>'Ann1 - Step 3'!C480</f>
        <v>Build &amp; Operation</v>
      </c>
      <c r="D480" s="6" t="str">
        <f>'Ann2 - Step 3'!C480</f>
        <v>Build &amp; Operation</v>
      </c>
      <c r="E480" s="6" t="b">
        <f t="shared" si="2"/>
        <v>0</v>
      </c>
      <c r="F480" s="6"/>
      <c r="G480" s="6" t="str">
        <f t="shared" si="3"/>
        <v>Build &amp; Operation</v>
      </c>
    </row>
    <row r="481" spans="1:7" ht="14" x14ac:dyDescent="0.15">
      <c r="A481" s="6" t="s">
        <v>725</v>
      </c>
      <c r="B481" s="8" t="s">
        <v>1653</v>
      </c>
      <c r="C481" s="6" t="str">
        <f>'Ann1 - Step 3'!C481</f>
        <v>Task Execution</v>
      </c>
      <c r="D481" s="6" t="str">
        <f>'Ann2 - Step 3'!C481</f>
        <v>Task Execution</v>
      </c>
      <c r="E481" s="6" t="b">
        <f t="shared" si="2"/>
        <v>0</v>
      </c>
      <c r="F481" s="6"/>
      <c r="G481" s="6" t="str">
        <f t="shared" si="3"/>
        <v>Task Execution</v>
      </c>
    </row>
    <row r="482" spans="1:7" ht="13" x14ac:dyDescent="0.15">
      <c r="A482" s="6" t="s">
        <v>621</v>
      </c>
      <c r="B482" s="6" t="s">
        <v>1654</v>
      </c>
      <c r="C482" s="6" t="str">
        <f>'Ann1 - Step 3'!C482</f>
        <v>Coding Pattern</v>
      </c>
      <c r="D482" s="6" t="str">
        <f>'Ann2 - Step 3'!C482</f>
        <v>Coding Pattern</v>
      </c>
      <c r="E482" s="6" t="b">
        <f t="shared" si="2"/>
        <v>0</v>
      </c>
      <c r="F482" s="6"/>
      <c r="G482" s="6" t="str">
        <f t="shared" si="3"/>
        <v>Coding Pattern</v>
      </c>
    </row>
    <row r="483" spans="1:7" ht="28" x14ac:dyDescent="0.15">
      <c r="A483" s="6" t="s">
        <v>621</v>
      </c>
      <c r="B483" s="8" t="s">
        <v>1655</v>
      </c>
      <c r="C483" s="6" t="str">
        <f>'Ann1 - Step 3'!C483</f>
        <v>Coding Pattern</v>
      </c>
      <c r="D483" s="6" t="str">
        <f>'Ann2 - Step 3'!C483</f>
        <v>Coding Pattern</v>
      </c>
      <c r="E483" s="6" t="b">
        <f t="shared" si="2"/>
        <v>0</v>
      </c>
      <c r="F483" s="6"/>
      <c r="G483" s="6" t="str">
        <f t="shared" si="3"/>
        <v>Coding Pattern</v>
      </c>
    </row>
    <row r="484" spans="1:7" ht="14" x14ac:dyDescent="0.15">
      <c r="A484" s="31" t="s">
        <v>636</v>
      </c>
      <c r="B484" s="8" t="s">
        <v>1656</v>
      </c>
      <c r="C484" s="6" t="str">
        <f>'Ann1 - Step 3'!C484</f>
        <v>Coding Pattern</v>
      </c>
      <c r="D484" s="6" t="str">
        <f>'Ann2 - Step 3'!C484</f>
        <v>Coding Pattern</v>
      </c>
      <c r="E484" s="6" t="b">
        <f t="shared" si="2"/>
        <v>0</v>
      </c>
      <c r="F484" s="6"/>
      <c r="G484" s="6" t="str">
        <f t="shared" si="3"/>
        <v>Coding Pattern</v>
      </c>
    </row>
    <row r="485" spans="1:7" ht="28" x14ac:dyDescent="0.15">
      <c r="A485" s="31" t="s">
        <v>1659</v>
      </c>
      <c r="B485" s="22" t="s">
        <v>1660</v>
      </c>
      <c r="C485" s="6" t="str">
        <f>'Ann1 - Step 3'!C485</f>
        <v>Task Execution</v>
      </c>
      <c r="D485" s="6" t="str">
        <f>'Ann2 - Step 3'!C485</f>
        <v>Task Execution</v>
      </c>
      <c r="E485" s="6" t="b">
        <f t="shared" si="2"/>
        <v>0</v>
      </c>
      <c r="F485" s="6"/>
      <c r="G485" s="6" t="str">
        <f t="shared" si="3"/>
        <v>Task Execution</v>
      </c>
    </row>
    <row r="486" spans="1:7" ht="14" x14ac:dyDescent="0.15">
      <c r="A486" s="6" t="s">
        <v>129</v>
      </c>
      <c r="B486" s="22" t="s">
        <v>1661</v>
      </c>
      <c r="C486" s="6" t="str">
        <f>'Ann1 - Step 3'!C486</f>
        <v>Coding Pattern</v>
      </c>
      <c r="D486" s="6" t="str">
        <f>'Ann2 - Step 3'!C486</f>
        <v>Coding Pattern</v>
      </c>
      <c r="E486" s="6" t="b">
        <f t="shared" si="2"/>
        <v>0</v>
      </c>
      <c r="F486" s="6"/>
      <c r="G486" s="6" t="str">
        <f t="shared" si="3"/>
        <v>Coding Pattern</v>
      </c>
    </row>
    <row r="487" spans="1:7" ht="14" x14ac:dyDescent="0.15">
      <c r="A487" s="6" t="s">
        <v>1410</v>
      </c>
      <c r="B487" s="22" t="s">
        <v>1662</v>
      </c>
      <c r="C487" s="6" t="str">
        <f>'Ann1 - Step 3'!C487</f>
        <v>Coding Style</v>
      </c>
      <c r="D487" s="6" t="str">
        <f>'Ann2 - Step 3'!C487</f>
        <v>Coding Style</v>
      </c>
      <c r="E487" s="6" t="b">
        <f t="shared" si="2"/>
        <v>0</v>
      </c>
      <c r="F487" s="6"/>
      <c r="G487" s="6" t="str">
        <f t="shared" si="3"/>
        <v>Coding Style</v>
      </c>
    </row>
    <row r="488" spans="1:7" ht="14" x14ac:dyDescent="0.15">
      <c r="A488" s="6" t="s">
        <v>1410</v>
      </c>
      <c r="B488" s="22" t="s">
        <v>1663</v>
      </c>
      <c r="C488" s="6" t="str">
        <f>'Ann1 - Step 3'!C488</f>
        <v>Coding Pattern</v>
      </c>
      <c r="D488" s="6" t="str">
        <f>'Ann2 - Step 3'!C488</f>
        <v>Coding Pattern</v>
      </c>
      <c r="E488" s="6" t="b">
        <f t="shared" si="2"/>
        <v>0</v>
      </c>
      <c r="F488" s="6"/>
      <c r="G488" s="6" t="str">
        <f t="shared" si="3"/>
        <v>Coding Pattern</v>
      </c>
    </row>
    <row r="489" spans="1:7" ht="14" x14ac:dyDescent="0.15">
      <c r="A489" s="6" t="s">
        <v>1410</v>
      </c>
      <c r="B489" s="22" t="s">
        <v>1664</v>
      </c>
      <c r="C489" s="6" t="str">
        <f>'Ann1 - Step 3'!C489</f>
        <v>Testing</v>
      </c>
      <c r="D489" s="6" t="str">
        <f>'Ann2 - Step 3'!C489</f>
        <v>Testing</v>
      </c>
      <c r="E489" s="6" t="b">
        <f t="shared" si="2"/>
        <v>0</v>
      </c>
      <c r="F489" s="6"/>
      <c r="G489" s="6" t="str">
        <f t="shared" si="3"/>
        <v>Testing</v>
      </c>
    </row>
    <row r="490" spans="1:7" ht="13" x14ac:dyDescent="0.15">
      <c r="A490" s="6" t="s">
        <v>1410</v>
      </c>
      <c r="B490" s="33" t="s">
        <v>1665</v>
      </c>
      <c r="C490" s="6" t="str">
        <f>'Ann1 - Step 3'!C490</f>
        <v>Build &amp; Operation</v>
      </c>
      <c r="D490" s="6" t="str">
        <f>'Ann2 - Step 3'!C490</f>
        <v>Build &amp; Operation</v>
      </c>
      <c r="E490" s="6" t="b">
        <f t="shared" si="2"/>
        <v>0</v>
      </c>
      <c r="F490" s="6"/>
      <c r="G490" s="6" t="str">
        <f t="shared" si="3"/>
        <v>Build &amp; Operation</v>
      </c>
    </row>
    <row r="491" spans="1:7" ht="13" x14ac:dyDescent="0.15">
      <c r="A491" s="6" t="s">
        <v>133</v>
      </c>
      <c r="B491" s="33" t="s">
        <v>1666</v>
      </c>
      <c r="C491" s="6" t="str">
        <f>'Ann1 - Step 3'!C491</f>
        <v>Coding Pattern</v>
      </c>
      <c r="D491" s="6" t="str">
        <f>'Ann2 - Step 3'!C491</f>
        <v>Coding Pattern</v>
      </c>
      <c r="E491" s="6" t="b">
        <f t="shared" si="2"/>
        <v>0</v>
      </c>
      <c r="F491" s="6"/>
      <c r="G491" s="6" t="str">
        <f t="shared" si="3"/>
        <v>Coding Pattern</v>
      </c>
    </row>
    <row r="492" spans="1:7" ht="13" x14ac:dyDescent="0.15">
      <c r="A492" s="6" t="s">
        <v>133</v>
      </c>
      <c r="B492" s="33" t="s">
        <v>1667</v>
      </c>
      <c r="C492" s="6" t="str">
        <f>'Ann1 - Step 3'!C492</f>
        <v>Coding Pattern</v>
      </c>
      <c r="D492" s="6" t="str">
        <f>'Ann2 - Step 3'!C492</f>
        <v>Coding Pattern</v>
      </c>
      <c r="E492" s="6" t="b">
        <f t="shared" si="2"/>
        <v>0</v>
      </c>
      <c r="F492" s="6"/>
      <c r="G492" s="6" t="str">
        <f t="shared" si="3"/>
        <v>Coding Pattern</v>
      </c>
    </row>
    <row r="493" spans="1:7" ht="13" x14ac:dyDescent="0.15">
      <c r="A493" s="6" t="s">
        <v>142</v>
      </c>
      <c r="B493" s="33" t="s">
        <v>1668</v>
      </c>
      <c r="C493" s="6" t="str">
        <f>'Ann1 - Step 3'!C493</f>
        <v>Task Execution</v>
      </c>
      <c r="D493" s="6" t="str">
        <f>'Ann2 - Step 3'!C493</f>
        <v>Task Execution</v>
      </c>
      <c r="E493" s="6" t="b">
        <f t="shared" si="2"/>
        <v>0</v>
      </c>
      <c r="F493" s="6"/>
      <c r="G493" s="6" t="str">
        <f t="shared" si="3"/>
        <v>Task Execution</v>
      </c>
    </row>
    <row r="494" spans="1:7" ht="14" x14ac:dyDescent="0.15">
      <c r="A494" s="6" t="s">
        <v>142</v>
      </c>
      <c r="B494" s="22" t="s">
        <v>1669</v>
      </c>
      <c r="C494" s="6" t="str">
        <f>'Ann1 - Step 3'!C494</f>
        <v>Task Execution</v>
      </c>
      <c r="D494" s="6" t="str">
        <f>'Ann2 - Step 3'!C494</f>
        <v>Task Execution</v>
      </c>
      <c r="E494" s="6" t="b">
        <f t="shared" si="2"/>
        <v>0</v>
      </c>
      <c r="F494" s="6"/>
      <c r="G494" s="6" t="str">
        <f t="shared" si="3"/>
        <v>Task Execution</v>
      </c>
    </row>
    <row r="495" spans="1:7" ht="14" x14ac:dyDescent="0.15">
      <c r="A495" s="6" t="s">
        <v>142</v>
      </c>
      <c r="B495" s="22" t="s">
        <v>1670</v>
      </c>
      <c r="C495" s="6" t="str">
        <f>'Ann1 - Step 3'!C495</f>
        <v>Coding Pattern</v>
      </c>
      <c r="D495" s="6" t="str">
        <f>'Ann2 - Step 3'!C495</f>
        <v>Coding Pattern</v>
      </c>
      <c r="E495" s="6" t="b">
        <f t="shared" si="2"/>
        <v>0</v>
      </c>
      <c r="F495" s="6"/>
      <c r="G495" s="6" t="str">
        <f t="shared" si="3"/>
        <v>Coding Pattern</v>
      </c>
    </row>
    <row r="496" spans="1:7" ht="14" x14ac:dyDescent="0.15">
      <c r="A496" s="6" t="s">
        <v>142</v>
      </c>
      <c r="B496" s="22" t="s">
        <v>1671</v>
      </c>
      <c r="C496" s="6" t="str">
        <f>'Ann1 - Step 3'!C496</f>
        <v>Documentation</v>
      </c>
      <c r="D496" s="6" t="str">
        <f>'Ann2 - Step 3'!C496</f>
        <v>Documentation</v>
      </c>
      <c r="E496" s="6" t="b">
        <f t="shared" si="2"/>
        <v>0</v>
      </c>
      <c r="F496" s="6"/>
      <c r="G496" s="6" t="str">
        <f t="shared" si="3"/>
        <v>Documentation</v>
      </c>
    </row>
    <row r="497" spans="1:7" ht="14" x14ac:dyDescent="0.15">
      <c r="A497" s="6" t="s">
        <v>142</v>
      </c>
      <c r="B497" s="8" t="s">
        <v>1672</v>
      </c>
      <c r="C497" s="6" t="str">
        <f>'Ann1 - Step 3'!C497</f>
        <v>Coding Pattern</v>
      </c>
      <c r="D497" s="6" t="str">
        <f>'Ann2 - Step 3'!C497</f>
        <v>Coding Pattern</v>
      </c>
      <c r="E497" s="6" t="b">
        <f t="shared" si="2"/>
        <v>0</v>
      </c>
      <c r="F497" s="6"/>
      <c r="G497" s="6" t="str">
        <f t="shared" si="3"/>
        <v>Coding Pattern</v>
      </c>
    </row>
    <row r="498" spans="1:7" ht="14" x14ac:dyDescent="0.15">
      <c r="A498" s="6" t="s">
        <v>154</v>
      </c>
      <c r="B498" s="8" t="s">
        <v>1673</v>
      </c>
      <c r="C498" s="6" t="str">
        <f>'Ann1 - Step 3'!C498</f>
        <v>Coding Pattern</v>
      </c>
      <c r="D498" s="6" t="str">
        <f>'Ann2 - Step 3'!C498</f>
        <v>Coding Pattern</v>
      </c>
      <c r="E498" s="6" t="b">
        <f t="shared" si="2"/>
        <v>0</v>
      </c>
      <c r="F498" s="6"/>
      <c r="G498" s="6" t="str">
        <f t="shared" si="3"/>
        <v>Coding Pattern</v>
      </c>
    </row>
    <row r="499" spans="1:7" ht="14" x14ac:dyDescent="0.15">
      <c r="A499" s="6" t="s">
        <v>668</v>
      </c>
      <c r="B499" s="8" t="s">
        <v>1674</v>
      </c>
      <c r="C499" s="6" t="str">
        <f>'Ann1 - Step 3'!C499</f>
        <v>Task Execution</v>
      </c>
      <c r="D499" s="6" t="str">
        <f>'Ann2 - Step 3'!C499</f>
        <v>Task Execution</v>
      </c>
      <c r="E499" s="6" t="b">
        <f t="shared" si="2"/>
        <v>0</v>
      </c>
      <c r="F499" s="6"/>
      <c r="G499" s="6" t="str">
        <f t="shared" si="3"/>
        <v>Task Execution</v>
      </c>
    </row>
    <row r="500" spans="1:7" ht="14" x14ac:dyDescent="0.15">
      <c r="A500" s="6" t="s">
        <v>160</v>
      </c>
      <c r="B500" s="8" t="s">
        <v>1675</v>
      </c>
      <c r="C500" s="6" t="str">
        <f>'Ann1 - Step 3'!C500</f>
        <v>Coding Style</v>
      </c>
      <c r="D500" s="6" t="str">
        <f>'Ann2 - Step 3'!C500</f>
        <v>Coding Style</v>
      </c>
      <c r="E500" s="6" t="b">
        <f t="shared" si="2"/>
        <v>0</v>
      </c>
      <c r="F500" s="6"/>
      <c r="G500" s="6" t="str">
        <f t="shared" si="3"/>
        <v>Coding Style</v>
      </c>
    </row>
    <row r="501" spans="1:7" ht="14" x14ac:dyDescent="0.15">
      <c r="A501" s="6" t="s">
        <v>160</v>
      </c>
      <c r="B501" s="8" t="s">
        <v>1676</v>
      </c>
      <c r="C501" s="6" t="str">
        <f>'Ann1 - Step 3'!C501</f>
        <v>Coding Style</v>
      </c>
      <c r="D501" s="6" t="str">
        <f>'Ann2 - Step 3'!C501</f>
        <v>Coding Style</v>
      </c>
      <c r="E501" s="6" t="b">
        <f t="shared" si="2"/>
        <v>0</v>
      </c>
      <c r="F501" s="6"/>
      <c r="G501" s="6" t="str">
        <f t="shared" si="3"/>
        <v>Coding Style</v>
      </c>
    </row>
    <row r="502" spans="1:7" ht="14" x14ac:dyDescent="0.15">
      <c r="A502" s="6" t="s">
        <v>166</v>
      </c>
      <c r="B502" s="8" t="s">
        <v>1677</v>
      </c>
      <c r="C502" s="6" t="str">
        <f>'Ann1 - Step 3'!C502</f>
        <v>Coding Style</v>
      </c>
      <c r="D502" s="6" t="str">
        <f>'Ann2 - Step 3'!C502</f>
        <v>Coding Style</v>
      </c>
      <c r="E502" s="6" t="b">
        <f t="shared" si="2"/>
        <v>0</v>
      </c>
      <c r="F502" s="6"/>
      <c r="G502" s="6" t="str">
        <f t="shared" si="3"/>
        <v>Coding Style</v>
      </c>
    </row>
    <row r="503" spans="1:7" ht="28" x14ac:dyDescent="0.15">
      <c r="A503" s="6" t="s">
        <v>166</v>
      </c>
      <c r="B503" s="8" t="s">
        <v>1678</v>
      </c>
      <c r="C503" s="6" t="str">
        <f>'Ann1 - Step 3'!C503</f>
        <v>Coding Pattern</v>
      </c>
      <c r="D503" s="6" t="str">
        <f>'Ann2 - Step 3'!C503</f>
        <v>Coding Pattern</v>
      </c>
      <c r="E503" s="6" t="b">
        <f t="shared" si="2"/>
        <v>0</v>
      </c>
      <c r="F503" s="6"/>
      <c r="G503" s="6" t="str">
        <f t="shared" si="3"/>
        <v>Coding Pattern</v>
      </c>
    </row>
    <row r="504" spans="1:7" ht="14" x14ac:dyDescent="0.15">
      <c r="A504" s="6" t="s">
        <v>166</v>
      </c>
      <c r="B504" s="8" t="s">
        <v>1679</v>
      </c>
      <c r="C504" s="6" t="str">
        <f>'Ann1 - Step 3'!C504</f>
        <v>Coding Pattern</v>
      </c>
      <c r="D504" s="6" t="str">
        <f>'Ann2 - Step 3'!C504</f>
        <v>Coding Pattern</v>
      </c>
      <c r="E504" s="6" t="b">
        <f t="shared" si="2"/>
        <v>0</v>
      </c>
      <c r="F504" s="6"/>
      <c r="G504" s="6" t="str">
        <f t="shared" si="3"/>
        <v>Coding Pattern</v>
      </c>
    </row>
    <row r="505" spans="1:7" ht="14" x14ac:dyDescent="0.15">
      <c r="A505" s="6" t="s">
        <v>1680</v>
      </c>
      <c r="B505" s="8" t="s">
        <v>1681</v>
      </c>
      <c r="C505" s="6" t="str">
        <f>'Ann1 - Step 3'!C505</f>
        <v>Coding Pattern</v>
      </c>
      <c r="D505" s="6" t="str">
        <f>'Ann2 - Step 3'!C505</f>
        <v>Coding Pattern</v>
      </c>
      <c r="E505" s="6" t="b">
        <f t="shared" si="2"/>
        <v>0</v>
      </c>
      <c r="F505" s="6"/>
      <c r="G505" s="6" t="str">
        <f t="shared" si="3"/>
        <v>Coding Pattern</v>
      </c>
    </row>
    <row r="506" spans="1:7" ht="14" x14ac:dyDescent="0.15">
      <c r="A506" s="6" t="s">
        <v>683</v>
      </c>
      <c r="B506" s="8" t="s">
        <v>1682</v>
      </c>
      <c r="C506" s="6" t="str">
        <f>'Ann1 - Step 3'!C506</f>
        <v>Coding Style</v>
      </c>
      <c r="D506" s="6" t="str">
        <f>'Ann2 - Step 3'!C506</f>
        <v>Coding Style</v>
      </c>
      <c r="E506" s="6" t="b">
        <f t="shared" si="2"/>
        <v>0</v>
      </c>
      <c r="F506" s="6"/>
      <c r="G506" s="6" t="str">
        <f t="shared" si="3"/>
        <v>Coding Style</v>
      </c>
    </row>
    <row r="507" spans="1:7" ht="14" x14ac:dyDescent="0.15">
      <c r="A507" s="6" t="s">
        <v>683</v>
      </c>
      <c r="B507" s="8" t="s">
        <v>1683</v>
      </c>
      <c r="C507" s="6" t="str">
        <f>'Ann1 - Step 3'!C507</f>
        <v>Testing</v>
      </c>
      <c r="D507" s="6" t="str">
        <f>'Ann2 - Step 3'!C507</f>
        <v>Testing</v>
      </c>
      <c r="E507" s="6" t="b">
        <f t="shared" si="2"/>
        <v>0</v>
      </c>
      <c r="F507" s="6"/>
      <c r="G507" s="6" t="str">
        <f t="shared" si="3"/>
        <v>Testing</v>
      </c>
    </row>
    <row r="508" spans="1:7" ht="14" x14ac:dyDescent="0.15">
      <c r="A508" s="6" t="s">
        <v>683</v>
      </c>
      <c r="B508" s="8" t="s">
        <v>1684</v>
      </c>
      <c r="C508" s="6" t="str">
        <f>'Ann1 - Step 3'!C508</f>
        <v>Task Execution</v>
      </c>
      <c r="D508" s="6" t="str">
        <f>'Ann2 - Step 3'!C508</f>
        <v>Task Execution</v>
      </c>
      <c r="E508" s="6" t="b">
        <f t="shared" si="2"/>
        <v>0</v>
      </c>
      <c r="F508" s="6"/>
      <c r="G508" s="6" t="str">
        <f t="shared" si="3"/>
        <v>Task Execution</v>
      </c>
    </row>
    <row r="509" spans="1:7" ht="14" x14ac:dyDescent="0.15">
      <c r="A509" s="6" t="s">
        <v>1687</v>
      </c>
      <c r="B509" s="8" t="s">
        <v>1688</v>
      </c>
      <c r="C509" s="6" t="str">
        <f>'Ann1 - Step 3'!C509</f>
        <v>Performance</v>
      </c>
      <c r="D509" s="6" t="str">
        <f>'Ann2 - Step 3'!C509</f>
        <v>Performance</v>
      </c>
      <c r="E509" s="6" t="b">
        <f t="shared" si="2"/>
        <v>0</v>
      </c>
      <c r="F509" s="6"/>
      <c r="G509" s="6" t="str">
        <f t="shared" si="3"/>
        <v>Performance</v>
      </c>
    </row>
    <row r="510" spans="1:7" ht="14" x14ac:dyDescent="0.15">
      <c r="A510" s="6" t="s">
        <v>175</v>
      </c>
      <c r="B510" s="8" t="s">
        <v>1689</v>
      </c>
      <c r="C510" s="6" t="str">
        <f>'Ann1 - Step 3'!C510</f>
        <v>Coding Pattern</v>
      </c>
      <c r="D510" s="6" t="str">
        <f>'Ann2 - Step 3'!C510</f>
        <v>Coding Pattern</v>
      </c>
      <c r="E510" s="6" t="b">
        <f t="shared" si="2"/>
        <v>0</v>
      </c>
      <c r="F510" s="6"/>
      <c r="G510" s="6" t="str">
        <f t="shared" si="3"/>
        <v>Coding Pattern</v>
      </c>
    </row>
    <row r="511" spans="1:7" ht="14" x14ac:dyDescent="0.15">
      <c r="A511" s="6" t="s">
        <v>175</v>
      </c>
      <c r="B511" s="8" t="s">
        <v>1690</v>
      </c>
      <c r="C511" s="6" t="str">
        <f>'Ann1 - Step 3'!C511</f>
        <v>Coding Pattern</v>
      </c>
      <c r="D511" s="6" t="str">
        <f>'Ann2 - Step 3'!C511</f>
        <v>Coding Pattern</v>
      </c>
      <c r="E511" s="6" t="b">
        <f t="shared" si="2"/>
        <v>0</v>
      </c>
      <c r="F511" s="6"/>
      <c r="G511" s="6" t="str">
        <f t="shared" si="3"/>
        <v>Coding Pattern</v>
      </c>
    </row>
    <row r="512" spans="1:7" ht="14" x14ac:dyDescent="0.15">
      <c r="A512" s="31" t="s">
        <v>1693</v>
      </c>
      <c r="B512" s="8" t="s">
        <v>1694</v>
      </c>
      <c r="C512" s="6" t="str">
        <f>'Ann1 - Step 3'!C512</f>
        <v>Writing Style Preference</v>
      </c>
      <c r="D512" s="6" t="str">
        <f>'Ann2 - Step 3'!C512</f>
        <v>Task Execution</v>
      </c>
      <c r="E512" s="6" t="b">
        <f t="shared" ref="E512:E766" si="4">IF(C512=D512, FALSE, TRUE)</f>
        <v>1</v>
      </c>
      <c r="F512" s="30" t="s">
        <v>77</v>
      </c>
      <c r="G512" s="6" t="str">
        <f t="shared" ref="G512:G766" si="5">IF(E512=TRUE,F512,D512)</f>
        <v>Writing Style Preference</v>
      </c>
    </row>
    <row r="513" spans="1:7" ht="14" x14ac:dyDescent="0.15">
      <c r="A513" s="6" t="s">
        <v>1697</v>
      </c>
      <c r="B513" s="8" t="s">
        <v>1698</v>
      </c>
      <c r="C513" s="6" t="str">
        <f>'Ann1 - Step 3'!C513</f>
        <v>Performance</v>
      </c>
      <c r="D513" s="6" t="str">
        <f>'Ann2 - Step 3'!C513</f>
        <v>Performance</v>
      </c>
      <c r="E513" s="6" t="b">
        <f t="shared" si="4"/>
        <v>0</v>
      </c>
      <c r="F513" s="6"/>
      <c r="G513" s="6" t="str">
        <f t="shared" si="5"/>
        <v>Performance</v>
      </c>
    </row>
    <row r="514" spans="1:7" ht="14" x14ac:dyDescent="0.15">
      <c r="A514" s="6" t="s">
        <v>193</v>
      </c>
      <c r="B514" s="8" t="s">
        <v>1699</v>
      </c>
      <c r="C514" s="6" t="str">
        <f>'Ann1 - Step 3'!C514</f>
        <v>Build &amp; Operation</v>
      </c>
      <c r="D514" s="6" t="str">
        <f>'Ann2 - Step 3'!C514</f>
        <v>Build &amp; Operation</v>
      </c>
      <c r="E514" s="6" t="b">
        <f t="shared" si="4"/>
        <v>0</v>
      </c>
      <c r="F514" s="6"/>
      <c r="G514" s="6" t="str">
        <f t="shared" si="5"/>
        <v>Build &amp; Operation</v>
      </c>
    </row>
    <row r="515" spans="1:7" ht="14" x14ac:dyDescent="0.15">
      <c r="A515" s="6" t="s">
        <v>75</v>
      </c>
      <c r="B515" s="8" t="s">
        <v>1700</v>
      </c>
      <c r="C515" s="6" t="str">
        <f>'Ann1 - Step 3'!C515</f>
        <v>Writing Style Preference</v>
      </c>
      <c r="D515" s="6" t="str">
        <f>'Ann2 - Step 3'!C515</f>
        <v>Writing Style Preference</v>
      </c>
      <c r="E515" s="6" t="b">
        <f t="shared" si="4"/>
        <v>0</v>
      </c>
      <c r="F515" s="6"/>
      <c r="G515" s="6" t="str">
        <f t="shared" si="5"/>
        <v>Writing Style Preference</v>
      </c>
    </row>
    <row r="516" spans="1:7" ht="14" x14ac:dyDescent="0.15">
      <c r="A516" s="6" t="s">
        <v>75</v>
      </c>
      <c r="B516" s="8" t="s">
        <v>1701</v>
      </c>
      <c r="C516" s="6" t="str">
        <f>'Ann1 - Step 3'!C516</f>
        <v>Writing Style Preference</v>
      </c>
      <c r="D516" s="6" t="str">
        <f>'Ann2 - Step 3'!C516</f>
        <v>Writing Style Preference</v>
      </c>
      <c r="E516" s="6" t="b">
        <f t="shared" si="4"/>
        <v>0</v>
      </c>
      <c r="F516" s="6"/>
      <c r="G516" s="6" t="str">
        <f t="shared" si="5"/>
        <v>Writing Style Preference</v>
      </c>
    </row>
    <row r="517" spans="1:7" ht="14" x14ac:dyDescent="0.15">
      <c r="A517" s="6" t="s">
        <v>1456</v>
      </c>
      <c r="B517" s="8" t="s">
        <v>1702</v>
      </c>
      <c r="C517" s="6" t="str">
        <f>'Ann1 - Step 3'!C517</f>
        <v>Coding Pattern</v>
      </c>
      <c r="D517" s="6" t="str">
        <f>'Ann2 - Step 3'!C517</f>
        <v>Coding Pattern</v>
      </c>
      <c r="E517" s="6" t="b">
        <f t="shared" si="4"/>
        <v>0</v>
      </c>
      <c r="F517" s="6"/>
      <c r="G517" s="6" t="str">
        <f t="shared" si="5"/>
        <v>Coding Pattern</v>
      </c>
    </row>
    <row r="518" spans="1:7" ht="14" x14ac:dyDescent="0.15">
      <c r="A518" s="6" t="s">
        <v>1456</v>
      </c>
      <c r="B518" s="8" t="s">
        <v>1703</v>
      </c>
      <c r="C518" s="6" t="str">
        <f>'Ann1 - Step 3'!C518</f>
        <v>Testing</v>
      </c>
      <c r="D518" s="6" t="str">
        <f>'Ann2 - Step 3'!C518</f>
        <v>Testing</v>
      </c>
      <c r="E518" s="6" t="b">
        <f t="shared" si="4"/>
        <v>0</v>
      </c>
      <c r="F518" s="6"/>
      <c r="G518" s="6" t="str">
        <f t="shared" si="5"/>
        <v>Testing</v>
      </c>
    </row>
    <row r="519" spans="1:7" ht="14" x14ac:dyDescent="0.15">
      <c r="A519" s="6" t="s">
        <v>203</v>
      </c>
      <c r="B519" s="8" t="s">
        <v>1704</v>
      </c>
      <c r="C519" s="6" t="str">
        <f>'Ann1 - Step 3'!C519</f>
        <v>Task Execution</v>
      </c>
      <c r="D519" s="6" t="str">
        <f>'Ann2 - Step 3'!C519</f>
        <v>Task Execution</v>
      </c>
      <c r="E519" s="6" t="b">
        <f t="shared" si="4"/>
        <v>0</v>
      </c>
      <c r="F519" s="6"/>
      <c r="G519" s="6" t="str">
        <f t="shared" si="5"/>
        <v>Task Execution</v>
      </c>
    </row>
    <row r="520" spans="1:7" ht="28" x14ac:dyDescent="0.15">
      <c r="A520" s="6" t="s">
        <v>212</v>
      </c>
      <c r="B520" s="8" t="s">
        <v>1705</v>
      </c>
      <c r="C520" s="6" t="str">
        <f>'Ann1 - Step 3'!C520</f>
        <v>Writing Style Preference</v>
      </c>
      <c r="D520" s="6" t="str">
        <f>'Ann2 - Step 3'!C520</f>
        <v>Writing Style Preference</v>
      </c>
      <c r="E520" s="6" t="b">
        <f t="shared" si="4"/>
        <v>0</v>
      </c>
      <c r="F520" s="6"/>
      <c r="G520" s="6" t="str">
        <f t="shared" si="5"/>
        <v>Writing Style Preference</v>
      </c>
    </row>
    <row r="521" spans="1:7" ht="14" x14ac:dyDescent="0.15">
      <c r="A521" s="6" t="s">
        <v>1708</v>
      </c>
      <c r="B521" s="8" t="s">
        <v>1709</v>
      </c>
      <c r="C521" s="6" t="str">
        <f>'Ann1 - Step 3'!C521</f>
        <v>Build &amp; Operation</v>
      </c>
      <c r="D521" s="6" t="str">
        <f>'Ann2 - Step 3'!C521</f>
        <v>Build &amp; Operation</v>
      </c>
      <c r="E521" s="6" t="b">
        <f t="shared" si="4"/>
        <v>0</v>
      </c>
      <c r="F521" s="6"/>
      <c r="G521" s="6" t="str">
        <f t="shared" si="5"/>
        <v>Build &amp; Operation</v>
      </c>
    </row>
    <row r="522" spans="1:7" ht="14" x14ac:dyDescent="0.15">
      <c r="A522" s="6" t="s">
        <v>810</v>
      </c>
      <c r="B522" s="8" t="s">
        <v>1710</v>
      </c>
      <c r="C522" s="6" t="str">
        <f>'Ann1 - Step 3'!C522</f>
        <v>Testing</v>
      </c>
      <c r="D522" s="6" t="str">
        <f>'Ann2 - Step 3'!C522</f>
        <v>Testing</v>
      </c>
      <c r="E522" s="6" t="b">
        <f t="shared" si="4"/>
        <v>0</v>
      </c>
      <c r="F522" s="6"/>
      <c r="G522" s="6" t="str">
        <f t="shared" si="5"/>
        <v>Testing</v>
      </c>
    </row>
    <row r="523" spans="1:7" ht="14" x14ac:dyDescent="0.15">
      <c r="A523" s="6" t="s">
        <v>813</v>
      </c>
      <c r="B523" s="8" t="s">
        <v>1711</v>
      </c>
      <c r="C523" s="6" t="str">
        <f>'Ann1 - Step 3'!C523</f>
        <v>Testing</v>
      </c>
      <c r="D523" s="6" t="str">
        <f>'Ann2 - Step 3'!C523</f>
        <v>Testing</v>
      </c>
      <c r="E523" s="6" t="b">
        <f t="shared" si="4"/>
        <v>0</v>
      </c>
      <c r="F523" s="6"/>
      <c r="G523" s="6" t="str">
        <f t="shared" si="5"/>
        <v>Testing</v>
      </c>
    </row>
    <row r="524" spans="1:7" ht="14" x14ac:dyDescent="0.15">
      <c r="A524" s="6" t="s">
        <v>1463</v>
      </c>
      <c r="B524" s="8" t="s">
        <v>1712</v>
      </c>
      <c r="C524" s="6" t="str">
        <f>'Ann1 - Step 3'!C524</f>
        <v>Coding Style</v>
      </c>
      <c r="D524" s="6" t="str">
        <f>'Ann2 - Step 3'!C524</f>
        <v>Coding Style</v>
      </c>
      <c r="E524" s="6" t="b">
        <f t="shared" si="4"/>
        <v>0</v>
      </c>
      <c r="F524" s="6"/>
      <c r="G524" s="6" t="str">
        <f t="shared" si="5"/>
        <v>Coding Style</v>
      </c>
    </row>
    <row r="525" spans="1:7" ht="14" x14ac:dyDescent="0.15">
      <c r="A525" s="6" t="s">
        <v>832</v>
      </c>
      <c r="B525" s="8" t="s">
        <v>1713</v>
      </c>
      <c r="C525" s="6" t="str">
        <f>'Ann1 - Step 3'!C525</f>
        <v>Security</v>
      </c>
      <c r="D525" s="6" t="str">
        <f>'Ann2 - Step 3'!C525</f>
        <v>Security</v>
      </c>
      <c r="E525" s="6" t="b">
        <f t="shared" si="4"/>
        <v>0</v>
      </c>
      <c r="F525" s="6"/>
      <c r="G525" s="6" t="str">
        <f t="shared" si="5"/>
        <v>Security</v>
      </c>
    </row>
    <row r="526" spans="1:7" ht="28" x14ac:dyDescent="0.15">
      <c r="A526" s="31" t="s">
        <v>832</v>
      </c>
      <c r="B526" s="8" t="s">
        <v>1714</v>
      </c>
      <c r="C526" s="6" t="str">
        <f>'Ann1 - Step 3'!C526</f>
        <v>Security</v>
      </c>
      <c r="D526" s="6" t="str">
        <f>'Ann2 - Step 3'!C526</f>
        <v>Other</v>
      </c>
      <c r="E526" s="6" t="b">
        <f t="shared" si="4"/>
        <v>1</v>
      </c>
      <c r="F526" s="30" t="s">
        <v>18</v>
      </c>
      <c r="G526" s="6" t="str">
        <f t="shared" si="5"/>
        <v>Task Execution</v>
      </c>
    </row>
    <row r="527" spans="1:7" ht="14" x14ac:dyDescent="0.15">
      <c r="A527" s="6" t="s">
        <v>230</v>
      </c>
      <c r="B527" s="8" t="s">
        <v>1715</v>
      </c>
      <c r="C527" s="6" t="str">
        <f>'Ann1 - Step 3'!C527</f>
        <v>Task Execution</v>
      </c>
      <c r="D527" s="6" t="str">
        <f>'Ann2 - Step 3'!C527</f>
        <v>Task Execution</v>
      </c>
      <c r="E527" s="6" t="b">
        <f t="shared" si="4"/>
        <v>0</v>
      </c>
      <c r="F527" s="6"/>
      <c r="G527" s="6" t="str">
        <f t="shared" si="5"/>
        <v>Task Execution</v>
      </c>
    </row>
    <row r="528" spans="1:7" ht="14" x14ac:dyDescent="0.15">
      <c r="A528" s="6" t="s">
        <v>230</v>
      </c>
      <c r="B528" s="8" t="s">
        <v>1652</v>
      </c>
      <c r="C528" s="6" t="str">
        <f>'Ann1 - Step 3'!C528</f>
        <v>Build &amp; Operation</v>
      </c>
      <c r="D528" s="6" t="str">
        <f>'Ann2 - Step 3'!C528</f>
        <v>Build &amp; Operation</v>
      </c>
      <c r="E528" s="6" t="b">
        <f t="shared" si="4"/>
        <v>0</v>
      </c>
      <c r="F528" s="6"/>
      <c r="G528" s="6" t="str">
        <f t="shared" si="5"/>
        <v>Build &amp; Operation</v>
      </c>
    </row>
    <row r="529" spans="1:7" ht="14" x14ac:dyDescent="0.15">
      <c r="A529" s="6" t="s">
        <v>1717</v>
      </c>
      <c r="B529" s="8" t="s">
        <v>1718</v>
      </c>
      <c r="C529" s="6" t="str">
        <f>'Ann1 - Step 3'!C529</f>
        <v>Testing</v>
      </c>
      <c r="D529" s="6" t="str">
        <f>'Ann2 - Step 3'!C529</f>
        <v>Testing</v>
      </c>
      <c r="E529" s="6" t="b">
        <f t="shared" si="4"/>
        <v>0</v>
      </c>
      <c r="F529" s="6"/>
      <c r="G529" s="6" t="str">
        <f t="shared" si="5"/>
        <v>Testing</v>
      </c>
    </row>
    <row r="530" spans="1:7" ht="14" x14ac:dyDescent="0.15">
      <c r="A530" s="6" t="s">
        <v>1717</v>
      </c>
      <c r="B530" s="8" t="s">
        <v>1719</v>
      </c>
      <c r="C530" s="6" t="str">
        <f>'Ann1 - Step 3'!C530</f>
        <v>Build &amp; Operation</v>
      </c>
      <c r="D530" s="6" t="str">
        <f>'Ann2 - Step 3'!C530</f>
        <v>Build &amp; Operation</v>
      </c>
      <c r="E530" s="6" t="b">
        <f t="shared" si="4"/>
        <v>0</v>
      </c>
      <c r="F530" s="6"/>
      <c r="G530" s="6" t="str">
        <f t="shared" si="5"/>
        <v>Build &amp; Operation</v>
      </c>
    </row>
    <row r="531" spans="1:7" ht="14" x14ac:dyDescent="0.15">
      <c r="A531" s="6" t="s">
        <v>1717</v>
      </c>
      <c r="B531" s="22" t="s">
        <v>1720</v>
      </c>
      <c r="C531" s="6" t="str">
        <f>'Ann1 - Step 3'!C531</f>
        <v>Commit&amp;PR rule</v>
      </c>
      <c r="D531" s="6" t="str">
        <f>'Ann2 - Step 3'!C531</f>
        <v>Build &amp; Operation</v>
      </c>
      <c r="E531" s="6" t="b">
        <f t="shared" si="4"/>
        <v>1</v>
      </c>
      <c r="F531" s="30" t="s">
        <v>136</v>
      </c>
      <c r="G531" s="6" t="str">
        <f t="shared" si="5"/>
        <v>Build &amp; Operation</v>
      </c>
    </row>
    <row r="532" spans="1:7" ht="14" x14ac:dyDescent="0.15">
      <c r="A532" s="6" t="s">
        <v>234</v>
      </c>
      <c r="B532" s="8" t="s">
        <v>1721</v>
      </c>
      <c r="C532" s="6" t="str">
        <f>'Ann1 - Step 3'!C532</f>
        <v>Coding Pattern</v>
      </c>
      <c r="D532" s="6" t="str">
        <f>'Ann2 - Step 3'!C532</f>
        <v>Coding Pattern</v>
      </c>
      <c r="E532" s="6" t="b">
        <f t="shared" si="4"/>
        <v>0</v>
      </c>
      <c r="F532" s="6"/>
      <c r="G532" s="6" t="str">
        <f t="shared" si="5"/>
        <v>Coding Pattern</v>
      </c>
    </row>
    <row r="533" spans="1:7" ht="14" x14ac:dyDescent="0.15">
      <c r="A533" s="6" t="s">
        <v>234</v>
      </c>
      <c r="B533" s="8" t="s">
        <v>1722</v>
      </c>
      <c r="C533" s="6" t="str">
        <f>'Ann1 - Step 3'!C533</f>
        <v>Coding Pattern</v>
      </c>
      <c r="D533" s="6" t="str">
        <f>'Ann2 - Step 3'!C533</f>
        <v>Coding Style</v>
      </c>
      <c r="E533" s="6" t="b">
        <f t="shared" si="4"/>
        <v>1</v>
      </c>
      <c r="F533" s="30" t="s">
        <v>30</v>
      </c>
      <c r="G533" s="6" t="str">
        <f t="shared" si="5"/>
        <v>Coding Pattern</v>
      </c>
    </row>
    <row r="534" spans="1:7" ht="14" x14ac:dyDescent="0.15">
      <c r="A534" s="6" t="s">
        <v>234</v>
      </c>
      <c r="B534" s="8" t="s">
        <v>1723</v>
      </c>
      <c r="C534" s="6" t="str">
        <f>'Ann1 - Step 3'!C534</f>
        <v>Testing</v>
      </c>
      <c r="D534" s="6" t="str">
        <f>'Ann2 - Step 3'!C534</f>
        <v>Testing</v>
      </c>
      <c r="E534" s="6" t="b">
        <f t="shared" si="4"/>
        <v>0</v>
      </c>
      <c r="F534" s="6"/>
      <c r="G534" s="6" t="str">
        <f t="shared" si="5"/>
        <v>Testing</v>
      </c>
    </row>
    <row r="535" spans="1:7" ht="14" x14ac:dyDescent="0.15">
      <c r="A535" s="6" t="s">
        <v>234</v>
      </c>
      <c r="B535" s="8" t="s">
        <v>1724</v>
      </c>
      <c r="C535" s="6" t="str">
        <f>'Ann1 - Step 3'!C535</f>
        <v>Testing</v>
      </c>
      <c r="D535" s="6" t="str">
        <f>'Ann2 - Step 3'!C535</f>
        <v>Testing</v>
      </c>
      <c r="E535" s="6" t="b">
        <f t="shared" si="4"/>
        <v>0</v>
      </c>
      <c r="F535" s="6"/>
      <c r="G535" s="6" t="str">
        <f t="shared" si="5"/>
        <v>Testing</v>
      </c>
    </row>
    <row r="536" spans="1:7" ht="14" x14ac:dyDescent="0.15">
      <c r="A536" s="6" t="s">
        <v>234</v>
      </c>
      <c r="B536" s="8" t="s">
        <v>1725</v>
      </c>
      <c r="C536" s="6" t="str">
        <f>'Ann1 - Step 3'!C536</f>
        <v>Testing</v>
      </c>
      <c r="D536" s="6" t="str">
        <f>'Ann2 - Step 3'!C536</f>
        <v>Testing</v>
      </c>
      <c r="E536" s="6" t="b">
        <f t="shared" si="4"/>
        <v>0</v>
      </c>
      <c r="F536" s="6"/>
      <c r="G536" s="6" t="str">
        <f t="shared" si="5"/>
        <v>Testing</v>
      </c>
    </row>
    <row r="537" spans="1:7" ht="14" x14ac:dyDescent="0.15">
      <c r="A537" s="6" t="s">
        <v>234</v>
      </c>
      <c r="B537" s="8" t="s">
        <v>1726</v>
      </c>
      <c r="C537" s="6" t="str">
        <f>'Ann1 - Step 3'!C537</f>
        <v>Testing</v>
      </c>
      <c r="D537" s="6" t="str">
        <f>'Ann2 - Step 3'!C537</f>
        <v>Testing</v>
      </c>
      <c r="E537" s="6" t="b">
        <f t="shared" si="4"/>
        <v>0</v>
      </c>
      <c r="F537" s="6"/>
      <c r="G537" s="6" t="str">
        <f t="shared" si="5"/>
        <v>Testing</v>
      </c>
    </row>
    <row r="538" spans="1:7" ht="42" x14ac:dyDescent="0.15">
      <c r="A538" s="6" t="s">
        <v>234</v>
      </c>
      <c r="B538" s="8" t="s">
        <v>1727</v>
      </c>
      <c r="C538" s="6" t="str">
        <f>'Ann1 - Step 3'!C538</f>
        <v>Coding Pattern</v>
      </c>
      <c r="D538" s="6" t="str">
        <f>'Ann2 - Step 3'!C538</f>
        <v>Coding Pattern</v>
      </c>
      <c r="E538" s="6" t="b">
        <f t="shared" si="4"/>
        <v>0</v>
      </c>
      <c r="F538" s="6"/>
      <c r="G538" s="6" t="str">
        <f t="shared" si="5"/>
        <v>Coding Pattern</v>
      </c>
    </row>
    <row r="539" spans="1:7" ht="14" x14ac:dyDescent="0.15">
      <c r="A539" s="6" t="s">
        <v>234</v>
      </c>
      <c r="B539" s="8" t="s">
        <v>1728</v>
      </c>
      <c r="C539" s="6" t="str">
        <f>'Ann1 - Step 3'!C539</f>
        <v>Coding Pattern</v>
      </c>
      <c r="D539" s="6" t="str">
        <f>'Ann2 - Step 3'!C539</f>
        <v>Coding Pattern</v>
      </c>
      <c r="E539" s="6" t="b">
        <f t="shared" si="4"/>
        <v>0</v>
      </c>
      <c r="F539" s="6"/>
      <c r="G539" s="6" t="str">
        <f t="shared" si="5"/>
        <v>Coding Pattern</v>
      </c>
    </row>
    <row r="540" spans="1:7" ht="14" x14ac:dyDescent="0.15">
      <c r="A540" s="6" t="s">
        <v>239</v>
      </c>
      <c r="B540" s="8" t="s">
        <v>1729</v>
      </c>
      <c r="C540" s="6" t="str">
        <f>'Ann1 - Step 3'!C540</f>
        <v>Performance</v>
      </c>
      <c r="D540" s="6" t="str">
        <f>'Ann2 - Step 3'!C540</f>
        <v>Performance</v>
      </c>
      <c r="E540" s="6" t="b">
        <f t="shared" si="4"/>
        <v>0</v>
      </c>
      <c r="F540" s="6"/>
      <c r="G540" s="6" t="str">
        <f t="shared" si="5"/>
        <v>Performance</v>
      </c>
    </row>
    <row r="541" spans="1:7" ht="14" x14ac:dyDescent="0.15">
      <c r="A541" s="6" t="s">
        <v>27</v>
      </c>
      <c r="B541" s="8" t="s">
        <v>1730</v>
      </c>
      <c r="C541" s="6" t="str">
        <f>'Ann1 - Step 3'!C541</f>
        <v>Coding Style</v>
      </c>
      <c r="D541" s="6" t="str">
        <f>'Ann2 - Step 3'!C541</f>
        <v>Coding Style</v>
      </c>
      <c r="E541" s="6" t="b">
        <f t="shared" si="4"/>
        <v>0</v>
      </c>
      <c r="F541" s="6"/>
      <c r="G541" s="6" t="str">
        <f t="shared" si="5"/>
        <v>Coding Style</v>
      </c>
    </row>
    <row r="542" spans="1:7" ht="14" x14ac:dyDescent="0.15">
      <c r="A542" s="6" t="s">
        <v>1477</v>
      </c>
      <c r="B542" s="8" t="s">
        <v>1731</v>
      </c>
      <c r="C542" s="6" t="str">
        <f>'Ann1 - Step 3'!C542</f>
        <v>Coding Style</v>
      </c>
      <c r="D542" s="6" t="str">
        <f>'Ann2 - Step 3'!C542</f>
        <v>Coding Style</v>
      </c>
      <c r="E542" s="6" t="b">
        <f t="shared" si="4"/>
        <v>0</v>
      </c>
      <c r="F542" s="6"/>
      <c r="G542" s="6" t="str">
        <f t="shared" si="5"/>
        <v>Coding Style</v>
      </c>
    </row>
    <row r="543" spans="1:7" ht="14" x14ac:dyDescent="0.15">
      <c r="A543" s="6" t="s">
        <v>81</v>
      </c>
      <c r="B543" s="8" t="s">
        <v>1732</v>
      </c>
      <c r="C543" s="6" t="str">
        <f>'Ann1 - Step 3'!C543</f>
        <v>Coding Pattern</v>
      </c>
      <c r="D543" s="6" t="str">
        <f>'Ann2 - Step 3'!C543</f>
        <v>Coding Pattern</v>
      </c>
      <c r="E543" s="6" t="b">
        <f t="shared" si="4"/>
        <v>0</v>
      </c>
      <c r="F543" s="6"/>
      <c r="G543" s="6" t="str">
        <f t="shared" si="5"/>
        <v>Coding Pattern</v>
      </c>
    </row>
    <row r="544" spans="1:7" ht="14" x14ac:dyDescent="0.15">
      <c r="A544" s="6" t="s">
        <v>249</v>
      </c>
      <c r="B544" s="8" t="s">
        <v>1733</v>
      </c>
      <c r="C544" s="6" t="str">
        <f>'Ann1 - Step 3'!C544</f>
        <v>Build &amp; Operation</v>
      </c>
      <c r="D544" s="6" t="str">
        <f>'Ann2 - Step 3'!C544</f>
        <v>Build &amp; Operation</v>
      </c>
      <c r="E544" s="6" t="b">
        <f t="shared" si="4"/>
        <v>0</v>
      </c>
      <c r="F544" s="6"/>
      <c r="G544" s="6" t="str">
        <f t="shared" si="5"/>
        <v>Build &amp; Operation</v>
      </c>
    </row>
    <row r="545" spans="1:7" ht="14" x14ac:dyDescent="0.15">
      <c r="A545" s="6" t="s">
        <v>1485</v>
      </c>
      <c r="B545" s="8" t="s">
        <v>1734</v>
      </c>
      <c r="C545" s="6" t="str">
        <f>'Ann1 - Step 3'!C545</f>
        <v>Coding Style</v>
      </c>
      <c r="D545" s="6" t="str">
        <f>'Ann2 - Step 3'!C545</f>
        <v>Coding Style</v>
      </c>
      <c r="E545" s="6" t="b">
        <f t="shared" si="4"/>
        <v>0</v>
      </c>
      <c r="F545" s="6"/>
      <c r="G545" s="6" t="str">
        <f t="shared" si="5"/>
        <v>Coding Style</v>
      </c>
    </row>
    <row r="546" spans="1:7" ht="14" x14ac:dyDescent="0.15">
      <c r="A546" s="6" t="s">
        <v>1485</v>
      </c>
      <c r="B546" s="8" t="s">
        <v>1735</v>
      </c>
      <c r="C546" s="6" t="str">
        <f>'Ann1 - Step 3'!C546</f>
        <v>Coding Style</v>
      </c>
      <c r="D546" s="6" t="str">
        <f>'Ann2 - Step 3'!C546</f>
        <v>Coding Style</v>
      </c>
      <c r="E546" s="6" t="b">
        <f t="shared" si="4"/>
        <v>0</v>
      </c>
      <c r="F546" s="6"/>
      <c r="G546" s="6" t="str">
        <f t="shared" si="5"/>
        <v>Coding Style</v>
      </c>
    </row>
    <row r="547" spans="1:7" ht="14" x14ac:dyDescent="0.15">
      <c r="A547" s="6" t="s">
        <v>1485</v>
      </c>
      <c r="B547" s="8" t="s">
        <v>1736</v>
      </c>
      <c r="C547" s="6" t="str">
        <f>'Ann1 - Step 3'!C547</f>
        <v>Coding Style</v>
      </c>
      <c r="D547" s="6" t="str">
        <f>'Ann2 - Step 3'!C547</f>
        <v>Coding Style</v>
      </c>
      <c r="E547" s="6" t="b">
        <f t="shared" si="4"/>
        <v>0</v>
      </c>
      <c r="F547" s="6"/>
      <c r="G547" s="6" t="str">
        <f t="shared" si="5"/>
        <v>Coding Style</v>
      </c>
    </row>
    <row r="548" spans="1:7" ht="14" x14ac:dyDescent="0.15">
      <c r="A548" s="6" t="s">
        <v>1739</v>
      </c>
      <c r="B548" s="8" t="s">
        <v>1740</v>
      </c>
      <c r="C548" s="6" t="str">
        <f>'Ann1 - Step 3'!C548</f>
        <v>Coding Pattern</v>
      </c>
      <c r="D548" s="6" t="str">
        <f>'Ann2 - Step 3'!C548</f>
        <v>Coding Pattern</v>
      </c>
      <c r="E548" s="6" t="b">
        <f t="shared" si="4"/>
        <v>0</v>
      </c>
      <c r="F548" s="6"/>
      <c r="G548" s="6" t="str">
        <f t="shared" si="5"/>
        <v>Coding Pattern</v>
      </c>
    </row>
    <row r="549" spans="1:7" ht="14" x14ac:dyDescent="0.15">
      <c r="A549" s="6" t="s">
        <v>893</v>
      </c>
      <c r="B549" s="8" t="s">
        <v>1741</v>
      </c>
      <c r="C549" s="6" t="str">
        <f>'Ann1 - Step 3'!C549</f>
        <v>Coding Pattern</v>
      </c>
      <c r="D549" s="6" t="str">
        <f>'Ann2 - Step 3'!C549</f>
        <v>Coding Pattern</v>
      </c>
      <c r="E549" s="6" t="b">
        <f t="shared" si="4"/>
        <v>0</v>
      </c>
      <c r="F549" s="6"/>
      <c r="G549" s="6" t="str">
        <f t="shared" si="5"/>
        <v>Coding Pattern</v>
      </c>
    </row>
    <row r="550" spans="1:7" ht="14" x14ac:dyDescent="0.15">
      <c r="A550" s="6" t="s">
        <v>893</v>
      </c>
      <c r="B550" s="8" t="s">
        <v>1742</v>
      </c>
      <c r="C550" s="6" t="str">
        <f>'Ann1 - Step 3'!C550</f>
        <v>Coding Pattern</v>
      </c>
      <c r="D550" s="6" t="str">
        <f>'Ann2 - Step 3'!C550</f>
        <v>Coding Pattern</v>
      </c>
      <c r="E550" s="6" t="b">
        <f t="shared" si="4"/>
        <v>0</v>
      </c>
      <c r="F550" s="6"/>
      <c r="G550" s="6" t="str">
        <f t="shared" si="5"/>
        <v>Coding Pattern</v>
      </c>
    </row>
    <row r="551" spans="1:7" ht="14" x14ac:dyDescent="0.15">
      <c r="A551" s="6" t="s">
        <v>256</v>
      </c>
      <c r="B551" s="8" t="s">
        <v>1743</v>
      </c>
      <c r="C551" s="6" t="str">
        <f>'Ann1 - Step 3'!C551</f>
        <v>Coding Pattern</v>
      </c>
      <c r="D551" s="6" t="str">
        <f>'Ann2 - Step 3'!C551</f>
        <v>Coding Pattern</v>
      </c>
      <c r="E551" s="6" t="b">
        <f t="shared" si="4"/>
        <v>0</v>
      </c>
      <c r="F551" s="6"/>
      <c r="G551" s="6" t="str">
        <f t="shared" si="5"/>
        <v>Coding Pattern</v>
      </c>
    </row>
    <row r="552" spans="1:7" ht="14" x14ac:dyDescent="0.15">
      <c r="A552" s="6" t="s">
        <v>256</v>
      </c>
      <c r="B552" s="8" t="s">
        <v>1744</v>
      </c>
      <c r="C552" s="6" t="str">
        <f>'Ann1 - Step 3'!C552</f>
        <v>Coding Pattern</v>
      </c>
      <c r="D552" s="6" t="str">
        <f>'Ann2 - Step 3'!C552</f>
        <v>Coding Pattern</v>
      </c>
      <c r="E552" s="6" t="b">
        <f t="shared" si="4"/>
        <v>0</v>
      </c>
      <c r="F552" s="6"/>
      <c r="G552" s="6" t="str">
        <f t="shared" si="5"/>
        <v>Coding Pattern</v>
      </c>
    </row>
    <row r="553" spans="1:7" ht="14" x14ac:dyDescent="0.15">
      <c r="A553" s="6" t="s">
        <v>256</v>
      </c>
      <c r="B553" s="8" t="s">
        <v>1745</v>
      </c>
      <c r="C553" s="6" t="str">
        <f>'Ann1 - Step 3'!C553</f>
        <v>Task Execution</v>
      </c>
      <c r="D553" s="6" t="str">
        <f>'Ann2 - Step 3'!C553</f>
        <v>Task Execution</v>
      </c>
      <c r="E553" s="6" t="b">
        <f t="shared" si="4"/>
        <v>0</v>
      </c>
      <c r="F553" s="6"/>
      <c r="G553" s="6" t="str">
        <f t="shared" si="5"/>
        <v>Task Execution</v>
      </c>
    </row>
    <row r="554" spans="1:7" ht="14" x14ac:dyDescent="0.15">
      <c r="A554" s="6" t="s">
        <v>916</v>
      </c>
      <c r="B554" s="8" t="s">
        <v>1746</v>
      </c>
      <c r="C554" s="6" t="str">
        <f>'Ann1 - Step 3'!C554</f>
        <v>Coding Pattern</v>
      </c>
      <c r="D554" s="6" t="str">
        <f>'Ann2 - Step 3'!C554</f>
        <v>Coding Pattern</v>
      </c>
      <c r="E554" s="6" t="b">
        <f t="shared" si="4"/>
        <v>0</v>
      </c>
      <c r="F554" s="6"/>
      <c r="G554" s="6" t="str">
        <f t="shared" si="5"/>
        <v>Coding Pattern</v>
      </c>
    </row>
    <row r="555" spans="1:7" ht="14" x14ac:dyDescent="0.15">
      <c r="A555" s="6" t="s">
        <v>32</v>
      </c>
      <c r="B555" s="8" t="s">
        <v>1747</v>
      </c>
      <c r="C555" s="6" t="str">
        <f>'Ann1 - Step 3'!C555</f>
        <v>Coding Pattern</v>
      </c>
      <c r="D555" s="6" t="str">
        <f>'Ann2 - Step 3'!C555</f>
        <v>Coding Pattern</v>
      </c>
      <c r="E555" s="6" t="b">
        <f t="shared" si="4"/>
        <v>0</v>
      </c>
      <c r="F555" s="6"/>
      <c r="G555" s="6" t="str">
        <f t="shared" si="5"/>
        <v>Coding Pattern</v>
      </c>
    </row>
    <row r="556" spans="1:7" ht="14" x14ac:dyDescent="0.15">
      <c r="A556" s="6" t="s">
        <v>32</v>
      </c>
      <c r="B556" s="8" t="s">
        <v>1748</v>
      </c>
      <c r="C556" s="6" t="str">
        <f>'Ann1 - Step 3'!C556</f>
        <v>Coding Pattern</v>
      </c>
      <c r="D556" s="6" t="str">
        <f>'Ann2 - Step 3'!C556</f>
        <v>Coding Pattern</v>
      </c>
      <c r="E556" s="6" t="b">
        <f t="shared" si="4"/>
        <v>0</v>
      </c>
      <c r="F556" s="6"/>
      <c r="G556" s="6" t="str">
        <f t="shared" si="5"/>
        <v>Coding Pattern</v>
      </c>
    </row>
    <row r="557" spans="1:7" ht="28" x14ac:dyDescent="0.15">
      <c r="A557" s="6" t="s">
        <v>32</v>
      </c>
      <c r="B557" s="8" t="s">
        <v>1749</v>
      </c>
      <c r="C557" s="6" t="str">
        <f>'Ann1 - Step 3'!C557</f>
        <v>Testing</v>
      </c>
      <c r="D557" s="6" t="str">
        <f>'Ann2 - Step 3'!C557</f>
        <v>Testing</v>
      </c>
      <c r="E557" s="6" t="b">
        <f t="shared" si="4"/>
        <v>0</v>
      </c>
      <c r="F557" s="6"/>
      <c r="G557" s="6" t="str">
        <f t="shared" si="5"/>
        <v>Testing</v>
      </c>
    </row>
    <row r="558" spans="1:7" ht="28" x14ac:dyDescent="0.15">
      <c r="A558" s="6" t="s">
        <v>32</v>
      </c>
      <c r="B558" s="8" t="s">
        <v>1750</v>
      </c>
      <c r="C558" s="6" t="str">
        <f>'Ann1 - Step 3'!C558</f>
        <v>Coding Pattern</v>
      </c>
      <c r="D558" s="6" t="str">
        <f>'Ann2 - Step 3'!C558</f>
        <v>Coding Pattern</v>
      </c>
      <c r="E558" s="6" t="b">
        <f t="shared" si="4"/>
        <v>0</v>
      </c>
      <c r="F558" s="6"/>
      <c r="G558" s="6" t="str">
        <f t="shared" si="5"/>
        <v>Coding Pattern</v>
      </c>
    </row>
    <row r="559" spans="1:7" ht="14" x14ac:dyDescent="0.15">
      <c r="A559" s="6" t="s">
        <v>928</v>
      </c>
      <c r="B559" s="8" t="s">
        <v>1751</v>
      </c>
      <c r="C559" s="6" t="str">
        <f>'Ann1 - Step 3'!C559</f>
        <v>Coding Style</v>
      </c>
      <c r="D559" s="6" t="str">
        <f>'Ann2 - Step 3'!C559</f>
        <v>Coding Style</v>
      </c>
      <c r="E559" s="6" t="b">
        <f t="shared" si="4"/>
        <v>0</v>
      </c>
      <c r="F559" s="6"/>
      <c r="G559" s="6" t="str">
        <f t="shared" si="5"/>
        <v>Coding Style</v>
      </c>
    </row>
    <row r="560" spans="1:7" ht="14" x14ac:dyDescent="0.15">
      <c r="A560" s="6" t="s">
        <v>928</v>
      </c>
      <c r="B560" s="8" t="s">
        <v>1752</v>
      </c>
      <c r="C560" s="6" t="str">
        <f>'Ann1 - Step 3'!C560</f>
        <v>Coding Style</v>
      </c>
      <c r="D560" s="6" t="str">
        <f>'Ann2 - Step 3'!C560</f>
        <v>Coding Style</v>
      </c>
      <c r="E560" s="6" t="b">
        <f t="shared" si="4"/>
        <v>0</v>
      </c>
      <c r="F560" s="6"/>
      <c r="G560" s="6" t="str">
        <f t="shared" si="5"/>
        <v>Coding Style</v>
      </c>
    </row>
    <row r="561" spans="1:7" ht="14" x14ac:dyDescent="0.15">
      <c r="A561" s="6" t="s">
        <v>928</v>
      </c>
      <c r="B561" s="8" t="s">
        <v>1753</v>
      </c>
      <c r="C561" s="6" t="str">
        <f>'Ann1 - Step 3'!C561</f>
        <v>Coding Style</v>
      </c>
      <c r="D561" s="6" t="str">
        <f>'Ann2 - Step 3'!C561</f>
        <v>Coding Style</v>
      </c>
      <c r="E561" s="6" t="b">
        <f t="shared" si="4"/>
        <v>0</v>
      </c>
      <c r="F561" s="6"/>
      <c r="G561" s="6" t="str">
        <f t="shared" si="5"/>
        <v>Coding Style</v>
      </c>
    </row>
    <row r="562" spans="1:7" ht="14" x14ac:dyDescent="0.15">
      <c r="A562" s="6" t="s">
        <v>928</v>
      </c>
      <c r="B562" s="8" t="s">
        <v>1754</v>
      </c>
      <c r="C562" s="6" t="str">
        <f>'Ann1 - Step 3'!C562</f>
        <v>Coding Style</v>
      </c>
      <c r="D562" s="6" t="str">
        <f>'Ann2 - Step 3'!C562</f>
        <v>Coding Style</v>
      </c>
      <c r="E562" s="6" t="b">
        <f t="shared" si="4"/>
        <v>0</v>
      </c>
      <c r="F562" s="6"/>
      <c r="G562" s="6" t="str">
        <f t="shared" si="5"/>
        <v>Coding Style</v>
      </c>
    </row>
    <row r="563" spans="1:7" ht="14" x14ac:dyDescent="0.15">
      <c r="A563" s="6" t="s">
        <v>928</v>
      </c>
      <c r="B563" s="8" t="s">
        <v>1755</v>
      </c>
      <c r="C563" s="6" t="str">
        <f>'Ann1 - Step 3'!C563</f>
        <v>Coding Pattern</v>
      </c>
      <c r="D563" s="6" t="str">
        <f>'Ann2 - Step 3'!C563</f>
        <v>Coding Pattern</v>
      </c>
      <c r="E563" s="6" t="b">
        <f t="shared" si="4"/>
        <v>0</v>
      </c>
      <c r="F563" s="6"/>
      <c r="G563" s="6" t="str">
        <f t="shared" si="5"/>
        <v>Coding Pattern</v>
      </c>
    </row>
    <row r="564" spans="1:7" ht="14" x14ac:dyDescent="0.15">
      <c r="A564" s="6" t="s">
        <v>928</v>
      </c>
      <c r="B564" s="8" t="s">
        <v>1756</v>
      </c>
      <c r="C564" s="6" t="str">
        <f>'Ann1 - Step 3'!C564</f>
        <v>Coding Pattern</v>
      </c>
      <c r="D564" s="6" t="str">
        <f>'Ann2 - Step 3'!C564</f>
        <v>Coding Pattern</v>
      </c>
      <c r="E564" s="6" t="b">
        <f t="shared" si="4"/>
        <v>0</v>
      </c>
      <c r="F564" s="6"/>
      <c r="G564" s="6" t="str">
        <f t="shared" si="5"/>
        <v>Coding Pattern</v>
      </c>
    </row>
    <row r="565" spans="1:7" ht="14" x14ac:dyDescent="0.15">
      <c r="A565" s="6" t="s">
        <v>928</v>
      </c>
      <c r="B565" s="8" t="s">
        <v>1757</v>
      </c>
      <c r="C565" s="6" t="str">
        <f>'Ann1 - Step 3'!C565</f>
        <v>Coding Style</v>
      </c>
      <c r="D565" s="6" t="str">
        <f>'Ann2 - Step 3'!C565</f>
        <v>Coding Style</v>
      </c>
      <c r="E565" s="6" t="b">
        <f t="shared" si="4"/>
        <v>0</v>
      </c>
      <c r="F565" s="6"/>
      <c r="G565" s="6" t="str">
        <f t="shared" si="5"/>
        <v>Coding Style</v>
      </c>
    </row>
    <row r="566" spans="1:7" ht="14" x14ac:dyDescent="0.15">
      <c r="A566" s="6" t="s">
        <v>267</v>
      </c>
      <c r="B566" s="8" t="s">
        <v>1758</v>
      </c>
      <c r="C566" s="6" t="str">
        <f>'Ann1 - Step 3'!C566</f>
        <v>Writing Style Preference</v>
      </c>
      <c r="D566" s="6" t="str">
        <f>'Ann2 - Step 3'!C566</f>
        <v>Writing Style Preference</v>
      </c>
      <c r="E566" s="6" t="b">
        <f t="shared" si="4"/>
        <v>0</v>
      </c>
      <c r="F566" s="6"/>
      <c r="G566" s="6" t="str">
        <f t="shared" si="5"/>
        <v>Writing Style Preference</v>
      </c>
    </row>
    <row r="567" spans="1:7" ht="14" x14ac:dyDescent="0.15">
      <c r="A567" s="6" t="s">
        <v>934</v>
      </c>
      <c r="B567" s="8" t="s">
        <v>1759</v>
      </c>
      <c r="C567" s="6" t="str">
        <f>'Ann1 - Step 3'!C567</f>
        <v>Build &amp; Operation</v>
      </c>
      <c r="D567" s="6" t="str">
        <f>'Ann2 - Step 3'!C567</f>
        <v>Build &amp; Operation</v>
      </c>
      <c r="E567" s="6" t="b">
        <f t="shared" si="4"/>
        <v>0</v>
      </c>
      <c r="F567" s="6"/>
      <c r="G567" s="6" t="str">
        <f t="shared" si="5"/>
        <v>Build &amp; Operation</v>
      </c>
    </row>
    <row r="568" spans="1:7" ht="14" x14ac:dyDescent="0.15">
      <c r="A568" s="6" t="s">
        <v>289</v>
      </c>
      <c r="B568" s="8" t="s">
        <v>1760</v>
      </c>
      <c r="C568" s="6" t="str">
        <f>'Ann1 - Step 3'!C568</f>
        <v>Coding Pattern</v>
      </c>
      <c r="D568" s="6" t="str">
        <f>'Ann2 - Step 3'!C568</f>
        <v>Build &amp; Operation</v>
      </c>
      <c r="E568" s="6" t="b">
        <f t="shared" si="4"/>
        <v>1</v>
      </c>
      <c r="F568" s="30" t="s">
        <v>30</v>
      </c>
      <c r="G568" s="6" t="str">
        <f t="shared" si="5"/>
        <v>Coding Pattern</v>
      </c>
    </row>
    <row r="569" spans="1:7" ht="14" x14ac:dyDescent="0.15">
      <c r="A569" s="6" t="s">
        <v>289</v>
      </c>
      <c r="B569" s="8" t="s">
        <v>1761</v>
      </c>
      <c r="C569" s="6" t="str">
        <f>'Ann1 - Step 3'!C569</f>
        <v>Task Execution</v>
      </c>
      <c r="D569" s="6" t="str">
        <f>'Ann2 - Step 3'!C569</f>
        <v>Task Execution</v>
      </c>
      <c r="E569" s="6" t="b">
        <f t="shared" si="4"/>
        <v>0</v>
      </c>
      <c r="F569" s="6"/>
      <c r="G569" s="6" t="str">
        <f t="shared" si="5"/>
        <v>Task Execution</v>
      </c>
    </row>
    <row r="570" spans="1:7" ht="14" x14ac:dyDescent="0.15">
      <c r="A570" s="6" t="s">
        <v>289</v>
      </c>
      <c r="B570" s="8" t="s">
        <v>1762</v>
      </c>
      <c r="C570" s="6" t="str">
        <f>'Ann1 - Step 3'!C570</f>
        <v>Testing</v>
      </c>
      <c r="D570" s="6" t="str">
        <f>'Ann2 - Step 3'!C570</f>
        <v>Testing</v>
      </c>
      <c r="E570" s="6" t="b">
        <f t="shared" si="4"/>
        <v>0</v>
      </c>
      <c r="F570" s="6"/>
      <c r="G570" s="6" t="str">
        <f t="shared" si="5"/>
        <v>Testing</v>
      </c>
    </row>
    <row r="571" spans="1:7" ht="28" x14ac:dyDescent="0.15">
      <c r="A571" s="6" t="s">
        <v>293</v>
      </c>
      <c r="B571" s="8" t="s">
        <v>1763</v>
      </c>
      <c r="C571" s="6" t="str">
        <f>'Ann1 - Step 3'!C571</f>
        <v>Coding Pattern</v>
      </c>
      <c r="D571" s="6" t="str">
        <f>'Ann2 - Step 3'!C571</f>
        <v>Coding Pattern</v>
      </c>
      <c r="E571" s="6" t="b">
        <f t="shared" si="4"/>
        <v>0</v>
      </c>
      <c r="F571" s="6"/>
      <c r="G571" s="6" t="str">
        <f t="shared" si="5"/>
        <v>Coding Pattern</v>
      </c>
    </row>
    <row r="572" spans="1:7" ht="14" x14ac:dyDescent="0.15">
      <c r="A572" s="6" t="s">
        <v>293</v>
      </c>
      <c r="B572" s="8" t="s">
        <v>1764</v>
      </c>
      <c r="C572" s="6" t="str">
        <f>'Ann1 - Step 3'!C572</f>
        <v>Coding Pattern</v>
      </c>
      <c r="D572" s="6" t="str">
        <f>'Ann2 - Step 3'!C572</f>
        <v>Coding Pattern</v>
      </c>
      <c r="E572" s="6" t="b">
        <f t="shared" si="4"/>
        <v>0</v>
      </c>
      <c r="F572" s="6"/>
      <c r="G572" s="6" t="str">
        <f t="shared" si="5"/>
        <v>Coding Pattern</v>
      </c>
    </row>
    <row r="573" spans="1:7" ht="14" x14ac:dyDescent="0.15">
      <c r="A573" s="6" t="s">
        <v>293</v>
      </c>
      <c r="B573" s="8" t="s">
        <v>1765</v>
      </c>
      <c r="C573" s="6" t="str">
        <f>'Ann1 - Step 3'!C573</f>
        <v>Coding Pattern</v>
      </c>
      <c r="D573" s="6" t="str">
        <f>'Ann2 - Step 3'!C573</f>
        <v>Coding Pattern</v>
      </c>
      <c r="E573" s="6" t="b">
        <f t="shared" si="4"/>
        <v>0</v>
      </c>
      <c r="F573" s="6"/>
      <c r="G573" s="6" t="str">
        <f t="shared" si="5"/>
        <v>Coding Pattern</v>
      </c>
    </row>
    <row r="574" spans="1:7" ht="14" x14ac:dyDescent="0.15">
      <c r="A574" s="6" t="s">
        <v>293</v>
      </c>
      <c r="B574" s="8" t="s">
        <v>1766</v>
      </c>
      <c r="C574" s="6" t="str">
        <f>'Ann1 - Step 3'!C574</f>
        <v>Coding Pattern</v>
      </c>
      <c r="D574" s="6" t="str">
        <f>'Ann2 - Step 3'!C574</f>
        <v>Coding Pattern</v>
      </c>
      <c r="E574" s="6" t="b">
        <f t="shared" si="4"/>
        <v>0</v>
      </c>
      <c r="F574" s="6"/>
      <c r="G574" s="6" t="str">
        <f t="shared" si="5"/>
        <v>Coding Pattern</v>
      </c>
    </row>
    <row r="575" spans="1:7" ht="14" x14ac:dyDescent="0.15">
      <c r="A575" s="6" t="s">
        <v>293</v>
      </c>
      <c r="B575" s="8" t="s">
        <v>1767</v>
      </c>
      <c r="C575" s="6" t="str">
        <f>'Ann1 - Step 3'!C575</f>
        <v>Coding Pattern</v>
      </c>
      <c r="D575" s="6" t="str">
        <f>'Ann2 - Step 3'!C575</f>
        <v>Coding Pattern</v>
      </c>
      <c r="E575" s="6" t="b">
        <f t="shared" si="4"/>
        <v>0</v>
      </c>
      <c r="F575" s="6"/>
      <c r="G575" s="6" t="str">
        <f t="shared" si="5"/>
        <v>Coding Pattern</v>
      </c>
    </row>
    <row r="576" spans="1:7" ht="14" x14ac:dyDescent="0.15">
      <c r="A576" s="6" t="s">
        <v>946</v>
      </c>
      <c r="B576" s="8" t="s">
        <v>1768</v>
      </c>
      <c r="C576" s="6" t="str">
        <f>'Ann1 - Step 3'!C576</f>
        <v>Coding Pattern</v>
      </c>
      <c r="D576" s="6" t="str">
        <f>'Ann2 - Step 3'!C576</f>
        <v>Coding Pattern</v>
      </c>
      <c r="E576" s="6" t="b">
        <f t="shared" si="4"/>
        <v>0</v>
      </c>
      <c r="F576" s="6"/>
      <c r="G576" s="6" t="str">
        <f t="shared" si="5"/>
        <v>Coding Pattern</v>
      </c>
    </row>
    <row r="577" spans="1:7" ht="14" x14ac:dyDescent="0.15">
      <c r="A577" s="6" t="s">
        <v>298</v>
      </c>
      <c r="B577" s="8" t="s">
        <v>1769</v>
      </c>
      <c r="C577" s="6" t="str">
        <f>'Ann1 - Step 3'!C577</f>
        <v>Testing</v>
      </c>
      <c r="D577" s="6" t="str">
        <f>'Ann2 - Step 3'!C577</f>
        <v>Testing</v>
      </c>
      <c r="E577" s="6" t="b">
        <f t="shared" si="4"/>
        <v>0</v>
      </c>
      <c r="F577" s="6"/>
      <c r="G577" s="6" t="str">
        <f t="shared" si="5"/>
        <v>Testing</v>
      </c>
    </row>
    <row r="578" spans="1:7" ht="14" x14ac:dyDescent="0.15">
      <c r="A578" s="6" t="s">
        <v>306</v>
      </c>
      <c r="B578" s="8" t="s">
        <v>1770</v>
      </c>
      <c r="C578" s="6" t="str">
        <f>'Ann1 - Step 3'!C578</f>
        <v>Coding Style</v>
      </c>
      <c r="D578" s="6" t="str">
        <f>'Ann2 - Step 3'!C578</f>
        <v>Coding Style</v>
      </c>
      <c r="E578" s="6" t="b">
        <f t="shared" si="4"/>
        <v>0</v>
      </c>
      <c r="F578" s="6"/>
      <c r="G578" s="6" t="str">
        <f t="shared" si="5"/>
        <v>Coding Style</v>
      </c>
    </row>
    <row r="579" spans="1:7" ht="28" x14ac:dyDescent="0.15">
      <c r="A579" s="6" t="s">
        <v>37</v>
      </c>
      <c r="B579" s="8" t="s">
        <v>1771</v>
      </c>
      <c r="C579" s="6" t="str">
        <f>'Ann1 - Step 3'!C579</f>
        <v>Build &amp; Operation</v>
      </c>
      <c r="D579" s="6" t="str">
        <f>'Ann2 - Step 3'!C579</f>
        <v>Build &amp; Operation</v>
      </c>
      <c r="E579" s="6" t="b">
        <f t="shared" si="4"/>
        <v>0</v>
      </c>
      <c r="F579" s="6"/>
      <c r="G579" s="6" t="str">
        <f t="shared" si="5"/>
        <v>Build &amp; Operation</v>
      </c>
    </row>
    <row r="580" spans="1:7" ht="28" x14ac:dyDescent="0.15">
      <c r="A580" s="6" t="s">
        <v>37</v>
      </c>
      <c r="B580" s="8" t="s">
        <v>1772</v>
      </c>
      <c r="C580" s="6" t="str">
        <f>'Ann1 - Step 3'!C580</f>
        <v>Coding Pattern</v>
      </c>
      <c r="D580" s="6" t="str">
        <f>'Ann2 - Step 3'!C580</f>
        <v>Coding Pattern</v>
      </c>
      <c r="E580" s="6" t="b">
        <f t="shared" si="4"/>
        <v>0</v>
      </c>
      <c r="F580" s="6"/>
      <c r="G580" s="6" t="str">
        <f t="shared" si="5"/>
        <v>Coding Pattern</v>
      </c>
    </row>
    <row r="581" spans="1:7" ht="14" x14ac:dyDescent="0.15">
      <c r="A581" s="6" t="s">
        <v>37</v>
      </c>
      <c r="B581" s="8" t="s">
        <v>1773</v>
      </c>
      <c r="C581" s="6" t="str">
        <f>'Ann1 - Step 3'!C581</f>
        <v>Build &amp; Operation</v>
      </c>
      <c r="D581" s="6" t="str">
        <f>'Ann2 - Step 3'!C581</f>
        <v>Build &amp; Operation</v>
      </c>
      <c r="E581" s="6" t="b">
        <f t="shared" si="4"/>
        <v>0</v>
      </c>
      <c r="F581" s="6"/>
      <c r="G581" s="6" t="str">
        <f t="shared" si="5"/>
        <v>Build &amp; Operation</v>
      </c>
    </row>
    <row r="582" spans="1:7" ht="14" x14ac:dyDescent="0.15">
      <c r="A582" s="6" t="s">
        <v>327</v>
      </c>
      <c r="B582" s="8" t="s">
        <v>1774</v>
      </c>
      <c r="C582" s="6" t="str">
        <f>'Ann1 - Step 3'!C582</f>
        <v>Coding Pattern</v>
      </c>
      <c r="D582" s="6" t="str">
        <f>'Ann2 - Step 3'!C582</f>
        <v>Coding Pattern</v>
      </c>
      <c r="E582" s="6" t="b">
        <f t="shared" si="4"/>
        <v>0</v>
      </c>
      <c r="F582" s="6"/>
      <c r="G582" s="6" t="str">
        <f t="shared" si="5"/>
        <v>Coding Pattern</v>
      </c>
    </row>
    <row r="583" spans="1:7" ht="28" x14ac:dyDescent="0.15">
      <c r="A583" s="6" t="s">
        <v>347</v>
      </c>
      <c r="B583" s="8" t="s">
        <v>1775</v>
      </c>
      <c r="C583" s="6" t="str">
        <f>'Ann1 - Step 3'!C583</f>
        <v>Coding Pattern</v>
      </c>
      <c r="D583" s="6" t="str">
        <f>'Ann2 - Step 3'!C583</f>
        <v>Coding Pattern</v>
      </c>
      <c r="E583" s="6" t="b">
        <f t="shared" si="4"/>
        <v>0</v>
      </c>
      <c r="F583" s="6"/>
      <c r="G583" s="6" t="str">
        <f t="shared" si="5"/>
        <v>Coding Pattern</v>
      </c>
    </row>
    <row r="584" spans="1:7" ht="14" x14ac:dyDescent="0.15">
      <c r="A584" s="6" t="s">
        <v>658</v>
      </c>
      <c r="B584" s="8" t="s">
        <v>1776</v>
      </c>
      <c r="C584" s="6" t="str">
        <f>'Ann1 - Step 3'!C584</f>
        <v>Testing</v>
      </c>
      <c r="D584" s="6" t="str">
        <f>'Ann2 - Step 3'!C584</f>
        <v>Testing</v>
      </c>
      <c r="E584" s="6" t="b">
        <f t="shared" si="4"/>
        <v>0</v>
      </c>
      <c r="F584" s="6"/>
      <c r="G584" s="6" t="str">
        <f t="shared" si="5"/>
        <v>Testing</v>
      </c>
    </row>
    <row r="585" spans="1:7" ht="14" x14ac:dyDescent="0.15">
      <c r="A585" s="6" t="s">
        <v>368</v>
      </c>
      <c r="B585" s="8" t="s">
        <v>1777</v>
      </c>
      <c r="C585" s="6" t="str">
        <f>'Ann1 - Step 3'!C585</f>
        <v>Coding Pattern</v>
      </c>
      <c r="D585" s="6" t="str">
        <f>'Ann2 - Step 3'!C585</f>
        <v>Coding Pattern</v>
      </c>
      <c r="E585" s="6" t="b">
        <f t="shared" si="4"/>
        <v>0</v>
      </c>
      <c r="F585" s="6"/>
      <c r="G585" s="6" t="str">
        <f t="shared" si="5"/>
        <v>Coding Pattern</v>
      </c>
    </row>
    <row r="586" spans="1:7" ht="28" x14ac:dyDescent="0.15">
      <c r="A586" s="31" t="s">
        <v>1779</v>
      </c>
      <c r="B586" s="8" t="s">
        <v>1780</v>
      </c>
      <c r="C586" s="6" t="str">
        <f>'Ann1 - Step 3'!C586</f>
        <v>Coding Pattern</v>
      </c>
      <c r="D586" s="6" t="str">
        <f>'Ann2 - Step 3'!C586</f>
        <v>Testing</v>
      </c>
      <c r="E586" s="6" t="b">
        <f t="shared" si="4"/>
        <v>1</v>
      </c>
      <c r="F586" s="30" t="s">
        <v>30</v>
      </c>
      <c r="G586" s="6" t="str">
        <f t="shared" si="5"/>
        <v>Coding Pattern</v>
      </c>
    </row>
    <row r="587" spans="1:7" ht="28" x14ac:dyDescent="0.15">
      <c r="A587" s="6" t="s">
        <v>1013</v>
      </c>
      <c r="B587" s="8" t="s">
        <v>1781</v>
      </c>
      <c r="C587" s="6" t="str">
        <f>'Ann1 - Step 3'!C587</f>
        <v>Coding Pattern</v>
      </c>
      <c r="D587" s="6" t="str">
        <f>'Ann2 - Step 3'!C587</f>
        <v>Coding Pattern</v>
      </c>
      <c r="E587" s="6" t="b">
        <f t="shared" si="4"/>
        <v>0</v>
      </c>
      <c r="F587" s="6"/>
      <c r="G587" s="6" t="str">
        <f t="shared" si="5"/>
        <v>Coding Pattern</v>
      </c>
    </row>
    <row r="588" spans="1:7" ht="14" x14ac:dyDescent="0.15">
      <c r="A588" s="6" t="s">
        <v>1021</v>
      </c>
      <c r="B588" s="8" t="s">
        <v>1782</v>
      </c>
      <c r="C588" s="6" t="str">
        <f>'Ann1 - Step 3'!C588</f>
        <v>Task Execution</v>
      </c>
      <c r="D588" s="6" t="str">
        <f>'Ann2 - Step 3'!C588</f>
        <v>Task Execution</v>
      </c>
      <c r="E588" s="6" t="b">
        <f t="shared" si="4"/>
        <v>0</v>
      </c>
      <c r="F588" s="6"/>
      <c r="G588" s="6" t="str">
        <f t="shared" si="5"/>
        <v>Task Execution</v>
      </c>
    </row>
    <row r="589" spans="1:7" ht="14" x14ac:dyDescent="0.15">
      <c r="A589" s="6" t="s">
        <v>384</v>
      </c>
      <c r="B589" s="8" t="s">
        <v>1783</v>
      </c>
      <c r="C589" s="6" t="str">
        <f>'Ann1 - Step 3'!C589</f>
        <v>Coding Style</v>
      </c>
      <c r="D589" s="6" t="str">
        <f>'Ann2 - Step 3'!C589</f>
        <v>Coding Style</v>
      </c>
      <c r="E589" s="6" t="b">
        <f t="shared" si="4"/>
        <v>0</v>
      </c>
      <c r="F589" s="6"/>
      <c r="G589" s="6" t="str">
        <f t="shared" si="5"/>
        <v>Coding Style</v>
      </c>
    </row>
    <row r="590" spans="1:7" ht="14" x14ac:dyDescent="0.15">
      <c r="A590" s="6" t="s">
        <v>86</v>
      </c>
      <c r="B590" s="8" t="s">
        <v>1784</v>
      </c>
      <c r="C590" s="6" t="str">
        <f>'Ann1 - Step 3'!C590</f>
        <v>Coding Style</v>
      </c>
      <c r="D590" s="6" t="str">
        <f>'Ann2 - Step 3'!C590</f>
        <v>Coding Style</v>
      </c>
      <c r="E590" s="6" t="b">
        <f t="shared" si="4"/>
        <v>0</v>
      </c>
      <c r="F590" s="6"/>
      <c r="G590" s="6" t="str">
        <f t="shared" si="5"/>
        <v>Coding Style</v>
      </c>
    </row>
    <row r="591" spans="1:7" ht="14" x14ac:dyDescent="0.15">
      <c r="A591" s="6" t="s">
        <v>391</v>
      </c>
      <c r="B591" s="8" t="s">
        <v>1785</v>
      </c>
      <c r="C591" s="6" t="str">
        <f>'Ann1 - Step 3'!C591</f>
        <v>Task Execution</v>
      </c>
      <c r="D591" s="6" t="str">
        <f>'Ann2 - Step 3'!C591</f>
        <v>Task Execution</v>
      </c>
      <c r="E591" s="6" t="b">
        <f t="shared" si="4"/>
        <v>0</v>
      </c>
      <c r="F591" s="6"/>
      <c r="G591" s="6" t="str">
        <f t="shared" si="5"/>
        <v>Task Execution</v>
      </c>
    </row>
    <row r="592" spans="1:7" ht="14" x14ac:dyDescent="0.15">
      <c r="A592" s="6" t="s">
        <v>1065</v>
      </c>
      <c r="B592" s="8" t="s">
        <v>1652</v>
      </c>
      <c r="C592" s="6" t="str">
        <f>'Ann1 - Step 3'!C592</f>
        <v>Build &amp; Operation</v>
      </c>
      <c r="D592" s="6" t="str">
        <f>'Ann2 - Step 3'!C592</f>
        <v>Build &amp; Operation</v>
      </c>
      <c r="E592" s="6" t="b">
        <f t="shared" si="4"/>
        <v>0</v>
      </c>
      <c r="F592" s="6"/>
      <c r="G592" s="6" t="str">
        <f t="shared" si="5"/>
        <v>Build &amp; Operation</v>
      </c>
    </row>
    <row r="593" spans="1:7" ht="14" x14ac:dyDescent="0.15">
      <c r="A593" s="6" t="s">
        <v>1065</v>
      </c>
      <c r="B593" s="8" t="s">
        <v>1653</v>
      </c>
      <c r="C593" s="6" t="str">
        <f>'Ann1 - Step 3'!C593</f>
        <v>Task Execution</v>
      </c>
      <c r="D593" s="6" t="str">
        <f>'Ann2 - Step 3'!C593</f>
        <v>Build &amp; Operation</v>
      </c>
      <c r="E593" s="6" t="b">
        <f t="shared" si="4"/>
        <v>1</v>
      </c>
      <c r="F593" s="30" t="s">
        <v>136</v>
      </c>
      <c r="G593" s="6" t="str">
        <f t="shared" si="5"/>
        <v>Build &amp; Operation</v>
      </c>
    </row>
    <row r="594" spans="1:7" ht="28" x14ac:dyDescent="0.15">
      <c r="A594" s="6" t="s">
        <v>395</v>
      </c>
      <c r="B594" s="8" t="s">
        <v>1786</v>
      </c>
      <c r="C594" s="6" t="str">
        <f>'Ann1 - Step 3'!C594</f>
        <v>Task Execution</v>
      </c>
      <c r="D594" s="6" t="str">
        <f>'Ann2 - Step 3'!C594</f>
        <v>Task Execution</v>
      </c>
      <c r="E594" s="6" t="b">
        <f t="shared" si="4"/>
        <v>0</v>
      </c>
      <c r="F594" s="6"/>
      <c r="G594" s="6" t="str">
        <f t="shared" si="5"/>
        <v>Task Execution</v>
      </c>
    </row>
    <row r="595" spans="1:7" ht="14" x14ac:dyDescent="0.15">
      <c r="A595" s="6" t="s">
        <v>395</v>
      </c>
      <c r="B595" s="8" t="s">
        <v>1787</v>
      </c>
      <c r="C595" s="6" t="str">
        <f>'Ann1 - Step 3'!C595</f>
        <v>Documentation</v>
      </c>
      <c r="D595" s="6" t="str">
        <f>'Ann2 - Step 3'!C595</f>
        <v>Documentation</v>
      </c>
      <c r="E595" s="6" t="b">
        <f t="shared" si="4"/>
        <v>0</v>
      </c>
      <c r="F595" s="6"/>
      <c r="G595" s="6" t="str">
        <f t="shared" si="5"/>
        <v>Documentation</v>
      </c>
    </row>
    <row r="596" spans="1:7" ht="28" x14ac:dyDescent="0.15">
      <c r="A596" s="6" t="s">
        <v>395</v>
      </c>
      <c r="B596" s="8" t="s">
        <v>1788</v>
      </c>
      <c r="C596" s="6" t="str">
        <f>'Ann1 - Step 3'!C596</f>
        <v>Task Execution</v>
      </c>
      <c r="D596" s="6" t="str">
        <f>'Ann2 - Step 3'!C596</f>
        <v>Task Execution</v>
      </c>
      <c r="E596" s="6" t="b">
        <f t="shared" si="4"/>
        <v>0</v>
      </c>
      <c r="F596" s="6"/>
      <c r="G596" s="6" t="str">
        <f t="shared" si="5"/>
        <v>Task Execution</v>
      </c>
    </row>
    <row r="597" spans="1:7" ht="28" x14ac:dyDescent="0.15">
      <c r="A597" s="6" t="s">
        <v>395</v>
      </c>
      <c r="B597" s="8" t="s">
        <v>1789</v>
      </c>
      <c r="C597" s="6" t="str">
        <f>'Ann1 - Step 3'!C597</f>
        <v>Build &amp; Operation</v>
      </c>
      <c r="D597" s="6" t="str">
        <f>'Ann2 - Step 3'!C597</f>
        <v>Build &amp; Operation</v>
      </c>
      <c r="E597" s="6" t="b">
        <f t="shared" si="4"/>
        <v>0</v>
      </c>
      <c r="F597" s="6"/>
      <c r="G597" s="6" t="str">
        <f t="shared" si="5"/>
        <v>Build &amp; Operation</v>
      </c>
    </row>
    <row r="598" spans="1:7" ht="28" x14ac:dyDescent="0.15">
      <c r="A598" s="6" t="s">
        <v>395</v>
      </c>
      <c r="B598" s="23" t="s">
        <v>1790</v>
      </c>
      <c r="C598" s="6" t="str">
        <f>'Ann1 - Step 3'!C598</f>
        <v>Build &amp; Operation</v>
      </c>
      <c r="D598" s="6" t="str">
        <f>'Ann2 - Step 3'!C598</f>
        <v>Maintainability</v>
      </c>
      <c r="E598" s="6" t="b">
        <f t="shared" si="4"/>
        <v>1</v>
      </c>
      <c r="F598" s="30" t="s">
        <v>115</v>
      </c>
      <c r="G598" s="6" t="str">
        <f t="shared" si="5"/>
        <v>Maintainability</v>
      </c>
    </row>
    <row r="599" spans="1:7" ht="14" x14ac:dyDescent="0.15">
      <c r="A599" s="6" t="s">
        <v>1088</v>
      </c>
      <c r="B599" s="8" t="s">
        <v>1791</v>
      </c>
      <c r="C599" s="6" t="str">
        <f>'Ann1 - Step 3'!C599</f>
        <v>Coding Pattern</v>
      </c>
      <c r="D599" s="6" t="str">
        <f>'Ann2 - Step 3'!C599</f>
        <v>Coding Pattern</v>
      </c>
      <c r="E599" s="6" t="b">
        <f t="shared" si="4"/>
        <v>0</v>
      </c>
      <c r="F599" s="6"/>
      <c r="G599" s="6" t="str">
        <f t="shared" si="5"/>
        <v>Coding Pattern</v>
      </c>
    </row>
    <row r="600" spans="1:7" ht="14" x14ac:dyDescent="0.15">
      <c r="A600" s="6" t="s">
        <v>1088</v>
      </c>
      <c r="B600" s="8" t="s">
        <v>1792</v>
      </c>
      <c r="C600" s="6" t="str">
        <f>'Ann1 - Step 3'!C600</f>
        <v>Coding Pattern</v>
      </c>
      <c r="D600" s="6" t="str">
        <f>'Ann2 - Step 3'!C600</f>
        <v>Coding Pattern</v>
      </c>
      <c r="E600" s="6" t="b">
        <f t="shared" si="4"/>
        <v>0</v>
      </c>
      <c r="F600" s="6"/>
      <c r="G600" s="6" t="str">
        <f t="shared" si="5"/>
        <v>Coding Pattern</v>
      </c>
    </row>
    <row r="601" spans="1:7" ht="14" x14ac:dyDescent="0.15">
      <c r="A601" s="6" t="s">
        <v>1088</v>
      </c>
      <c r="B601" s="8" t="s">
        <v>1793</v>
      </c>
      <c r="C601" s="6" t="str">
        <f>'Ann1 - Step 3'!C601</f>
        <v>Coding Pattern</v>
      </c>
      <c r="D601" s="6" t="str">
        <f>'Ann2 - Step 3'!C601</f>
        <v>Coding Pattern</v>
      </c>
      <c r="E601" s="6" t="b">
        <f t="shared" si="4"/>
        <v>0</v>
      </c>
      <c r="F601" s="6"/>
      <c r="G601" s="6" t="str">
        <f t="shared" si="5"/>
        <v>Coding Pattern</v>
      </c>
    </row>
    <row r="602" spans="1:7" ht="14" x14ac:dyDescent="0.15">
      <c r="A602" s="6" t="s">
        <v>1088</v>
      </c>
      <c r="B602" s="8" t="s">
        <v>1794</v>
      </c>
      <c r="C602" s="6" t="str">
        <f>'Ann1 - Step 3'!C602</f>
        <v>Task Execution</v>
      </c>
      <c r="D602" s="6" t="str">
        <f>'Ann2 - Step 3'!C602</f>
        <v>Task Execution</v>
      </c>
      <c r="E602" s="6" t="b">
        <f t="shared" si="4"/>
        <v>0</v>
      </c>
      <c r="F602" s="6"/>
      <c r="G602" s="6" t="str">
        <f t="shared" si="5"/>
        <v>Task Execution</v>
      </c>
    </row>
    <row r="603" spans="1:7" ht="14" x14ac:dyDescent="0.15">
      <c r="A603" s="6" t="s">
        <v>1517</v>
      </c>
      <c r="B603" s="8" t="s">
        <v>1729</v>
      </c>
      <c r="C603" s="6" t="str">
        <f>'Ann1 - Step 3'!C603</f>
        <v>Performance</v>
      </c>
      <c r="D603" s="6" t="str">
        <f>'Ann2 - Step 3'!C603</f>
        <v>Performance</v>
      </c>
      <c r="E603" s="6" t="b">
        <f t="shared" si="4"/>
        <v>0</v>
      </c>
      <c r="F603" s="6"/>
      <c r="G603" s="6" t="str">
        <f t="shared" si="5"/>
        <v>Performance</v>
      </c>
    </row>
    <row r="604" spans="1:7" ht="14" x14ac:dyDescent="0.15">
      <c r="A604" s="6" t="s">
        <v>399</v>
      </c>
      <c r="B604" s="8" t="s">
        <v>1733</v>
      </c>
      <c r="C604" s="6" t="str">
        <f>'Ann1 - Step 3'!C604</f>
        <v>Build &amp; Operation</v>
      </c>
      <c r="D604" s="6" t="str">
        <f>'Ann2 - Step 3'!C604</f>
        <v>Build &amp; Operation</v>
      </c>
      <c r="E604" s="6" t="b">
        <f t="shared" si="4"/>
        <v>0</v>
      </c>
      <c r="F604" s="6"/>
      <c r="G604" s="6" t="str">
        <f t="shared" si="5"/>
        <v>Build &amp; Operation</v>
      </c>
    </row>
    <row r="605" spans="1:7" ht="14" x14ac:dyDescent="0.15">
      <c r="A605" s="6" t="s">
        <v>401</v>
      </c>
      <c r="B605" s="8" t="s">
        <v>1795</v>
      </c>
      <c r="C605" s="6" t="str">
        <f>'Ann1 - Step 3'!C605</f>
        <v>Coding Pattern</v>
      </c>
      <c r="D605" s="6" t="str">
        <f>'Ann2 - Step 3'!C605</f>
        <v>Coding Pattern</v>
      </c>
      <c r="E605" s="6" t="b">
        <f t="shared" si="4"/>
        <v>0</v>
      </c>
      <c r="F605" s="6"/>
      <c r="G605" s="6" t="str">
        <f t="shared" si="5"/>
        <v>Coding Pattern</v>
      </c>
    </row>
    <row r="606" spans="1:7" ht="28" x14ac:dyDescent="0.15">
      <c r="A606" s="6" t="s">
        <v>401</v>
      </c>
      <c r="B606" s="8" t="s">
        <v>1796</v>
      </c>
      <c r="C606" s="6" t="str">
        <f>'Ann1 - Step 3'!C606</f>
        <v>Coding Style</v>
      </c>
      <c r="D606" s="6" t="str">
        <f>'Ann2 - Step 3'!C606</f>
        <v>Coding Style</v>
      </c>
      <c r="E606" s="6" t="b">
        <f t="shared" si="4"/>
        <v>0</v>
      </c>
      <c r="F606" s="6"/>
      <c r="G606" s="6" t="str">
        <f t="shared" si="5"/>
        <v>Coding Style</v>
      </c>
    </row>
    <row r="607" spans="1:7" ht="14" x14ac:dyDescent="0.15">
      <c r="A607" s="6" t="s">
        <v>1797</v>
      </c>
      <c r="B607" s="8" t="s">
        <v>1740</v>
      </c>
      <c r="C607" s="6" t="str">
        <f>'Ann1 - Step 3'!C607</f>
        <v>Coding Pattern</v>
      </c>
      <c r="D607" s="6" t="str">
        <f>'Ann2 - Step 3'!C607</f>
        <v>Coding Pattern</v>
      </c>
      <c r="E607" s="6" t="b">
        <f t="shared" si="4"/>
        <v>0</v>
      </c>
      <c r="F607" s="6"/>
      <c r="G607" s="6" t="str">
        <f t="shared" si="5"/>
        <v>Coding Pattern</v>
      </c>
    </row>
    <row r="608" spans="1:7" ht="14" x14ac:dyDescent="0.15">
      <c r="A608" s="6" t="s">
        <v>94</v>
      </c>
      <c r="B608" s="8" t="s">
        <v>1798</v>
      </c>
      <c r="C608" s="6" t="str">
        <f>'Ann1 - Step 3'!C608</f>
        <v>Build &amp; Operation</v>
      </c>
      <c r="D608" s="6" t="str">
        <f>'Ann2 - Step 3'!C608</f>
        <v>Build &amp; Operation</v>
      </c>
      <c r="E608" s="6" t="b">
        <f t="shared" si="4"/>
        <v>0</v>
      </c>
      <c r="F608" s="6"/>
      <c r="G608" s="6" t="str">
        <f t="shared" si="5"/>
        <v>Build &amp; Operation</v>
      </c>
    </row>
    <row r="609" spans="1:8" ht="14" x14ac:dyDescent="0.15">
      <c r="A609" s="6" t="s">
        <v>1127</v>
      </c>
      <c r="B609" s="8" t="s">
        <v>1799</v>
      </c>
      <c r="C609" s="6" t="str">
        <f>'Ann1 - Step 3'!C609</f>
        <v>Commit&amp;PR rule</v>
      </c>
      <c r="D609" s="6" t="str">
        <f>'Ann2 - Step 3'!C609</f>
        <v>Commit&amp;PR rule</v>
      </c>
      <c r="E609" s="6" t="b">
        <f t="shared" si="4"/>
        <v>0</v>
      </c>
      <c r="F609" s="6"/>
      <c r="G609" s="6" t="str">
        <f t="shared" si="5"/>
        <v>Commit&amp;PR rule</v>
      </c>
    </row>
    <row r="610" spans="1:8" ht="14" x14ac:dyDescent="0.15">
      <c r="A610" s="6" t="s">
        <v>410</v>
      </c>
      <c r="B610" s="8" t="s">
        <v>1800</v>
      </c>
      <c r="C610" s="6" t="str">
        <f>'Ann1 - Step 3'!C610</f>
        <v>Coding Pattern</v>
      </c>
      <c r="D610" s="6" t="str">
        <f>'Ann2 - Step 3'!C610</f>
        <v>Coding Pattern</v>
      </c>
      <c r="E610" s="6" t="b">
        <f t="shared" si="4"/>
        <v>0</v>
      </c>
      <c r="F610" s="6"/>
      <c r="G610" s="6" t="str">
        <f t="shared" si="5"/>
        <v>Coding Pattern</v>
      </c>
    </row>
    <row r="611" spans="1:8" ht="14" x14ac:dyDescent="0.15">
      <c r="A611" s="6" t="s">
        <v>417</v>
      </c>
      <c r="B611" s="8" t="s">
        <v>1801</v>
      </c>
      <c r="C611" s="6" t="str">
        <f>'Ann1 - Step 3'!C611</f>
        <v>Commit&amp;PR rule</v>
      </c>
      <c r="D611" s="6" t="str">
        <f>'Ann2 - Step 3'!C611</f>
        <v>Commit&amp;PR rule</v>
      </c>
      <c r="E611" s="6" t="b">
        <f t="shared" si="4"/>
        <v>0</v>
      </c>
      <c r="F611" s="6"/>
      <c r="G611" s="6" t="str">
        <f t="shared" si="5"/>
        <v>Commit&amp;PR rule</v>
      </c>
    </row>
    <row r="612" spans="1:8" ht="14" x14ac:dyDescent="0.15">
      <c r="A612" s="6" t="s">
        <v>417</v>
      </c>
      <c r="B612" s="8" t="s">
        <v>1802</v>
      </c>
      <c r="C612" s="6" t="str">
        <f>'Ann1 - Step 3'!C612</f>
        <v>Commit&amp;PR rule</v>
      </c>
      <c r="D612" s="6" t="str">
        <f>'Ann2 - Step 3'!C612</f>
        <v>Commit&amp;PR rule</v>
      </c>
      <c r="E612" s="6" t="b">
        <f t="shared" si="4"/>
        <v>0</v>
      </c>
      <c r="F612" s="6"/>
      <c r="G612" s="6" t="str">
        <f t="shared" si="5"/>
        <v>Commit&amp;PR rule</v>
      </c>
    </row>
    <row r="613" spans="1:8" ht="14" x14ac:dyDescent="0.15">
      <c r="A613" s="6" t="s">
        <v>425</v>
      </c>
      <c r="B613" s="8" t="s">
        <v>1803</v>
      </c>
      <c r="C613" s="6" t="str">
        <f>'Ann1 - Step 3'!C613</f>
        <v>Testing</v>
      </c>
      <c r="D613" s="6" t="str">
        <f>'Ann2 - Step 3'!C613</f>
        <v>Testing</v>
      </c>
      <c r="E613" s="6" t="b">
        <f t="shared" si="4"/>
        <v>0</v>
      </c>
      <c r="F613" s="6"/>
      <c r="G613" s="6" t="str">
        <f t="shared" si="5"/>
        <v>Testing</v>
      </c>
    </row>
    <row r="614" spans="1:8" ht="14" x14ac:dyDescent="0.15">
      <c r="A614" s="6" t="s">
        <v>429</v>
      </c>
      <c r="B614" s="8" t="s">
        <v>1804</v>
      </c>
      <c r="C614" s="6" t="str">
        <f>'Ann1 - Step 3'!C614</f>
        <v>Coding Pattern</v>
      </c>
      <c r="D614" s="6" t="str">
        <f>'Ann2 - Step 3'!C614</f>
        <v>Coding Pattern</v>
      </c>
      <c r="E614" s="6" t="b">
        <f t="shared" si="4"/>
        <v>0</v>
      </c>
      <c r="F614" s="6"/>
      <c r="G614" s="6" t="str">
        <f t="shared" si="5"/>
        <v>Coding Pattern</v>
      </c>
    </row>
    <row r="615" spans="1:8" ht="14" x14ac:dyDescent="0.15">
      <c r="A615" s="6" t="s">
        <v>429</v>
      </c>
      <c r="B615" s="8" t="s">
        <v>1805</v>
      </c>
      <c r="C615" s="6" t="str">
        <f>'Ann1 - Step 3'!C615</f>
        <v>Coding Pattern</v>
      </c>
      <c r="D615" s="6" t="str">
        <f>'Ann2 - Step 3'!C615</f>
        <v>Coding Pattern</v>
      </c>
      <c r="E615" s="6" t="b">
        <f t="shared" si="4"/>
        <v>0</v>
      </c>
      <c r="F615" s="6"/>
      <c r="G615" s="6" t="str">
        <f t="shared" si="5"/>
        <v>Coding Pattern</v>
      </c>
    </row>
    <row r="616" spans="1:8" ht="14" x14ac:dyDescent="0.15">
      <c r="A616" s="6" t="s">
        <v>429</v>
      </c>
      <c r="B616" s="8" t="s">
        <v>1806</v>
      </c>
      <c r="C616" s="6" t="str">
        <f>'Ann1 - Step 3'!C616</f>
        <v>Coding Pattern</v>
      </c>
      <c r="D616" s="6" t="str">
        <f>'Ann2 - Step 3'!C616</f>
        <v>Coding Pattern</v>
      </c>
      <c r="E616" s="6" t="b">
        <f t="shared" si="4"/>
        <v>0</v>
      </c>
      <c r="F616" s="6"/>
      <c r="G616" s="6" t="str">
        <f t="shared" si="5"/>
        <v>Coding Pattern</v>
      </c>
    </row>
    <row r="617" spans="1:8" ht="14" x14ac:dyDescent="0.15">
      <c r="A617" s="6" t="s">
        <v>429</v>
      </c>
      <c r="B617" s="8" t="s">
        <v>1807</v>
      </c>
      <c r="C617" s="6" t="str">
        <f>'Ann1 - Step 3'!C617</f>
        <v>Coding Pattern</v>
      </c>
      <c r="D617" s="6" t="str">
        <f>'Ann2 - Step 3'!C617</f>
        <v>Coding Pattern</v>
      </c>
      <c r="E617" s="6" t="b">
        <f t="shared" si="4"/>
        <v>0</v>
      </c>
      <c r="F617" s="6"/>
      <c r="G617" s="6" t="str">
        <f t="shared" si="5"/>
        <v>Coding Pattern</v>
      </c>
    </row>
    <row r="618" spans="1:8" ht="14" x14ac:dyDescent="0.15">
      <c r="A618" s="6" t="s">
        <v>1155</v>
      </c>
      <c r="B618" s="8" t="s">
        <v>1759</v>
      </c>
      <c r="C618" s="6" t="str">
        <f>'Ann1 - Step 3'!C618</f>
        <v>Build &amp; Operation</v>
      </c>
      <c r="D618" s="6" t="str">
        <f>'Ann2 - Step 3'!C618</f>
        <v>Build &amp; Operation</v>
      </c>
      <c r="E618" s="6" t="b">
        <f t="shared" si="4"/>
        <v>0</v>
      </c>
      <c r="F618" s="6"/>
      <c r="G618" s="6" t="str">
        <f t="shared" si="5"/>
        <v>Build &amp; Operation</v>
      </c>
    </row>
    <row r="619" spans="1:8" ht="28" x14ac:dyDescent="0.15">
      <c r="A619" s="6" t="s">
        <v>439</v>
      </c>
      <c r="B619" s="8" t="s">
        <v>1808</v>
      </c>
      <c r="C619" s="6" t="str">
        <f>'Ann1 - Step 3'!C619</f>
        <v>Coding Pattern</v>
      </c>
      <c r="D619" s="6" t="str">
        <f>'Ann2 - Step 3'!C619</f>
        <v>Coding Pattern</v>
      </c>
      <c r="E619" s="6" t="b">
        <f t="shared" si="4"/>
        <v>0</v>
      </c>
      <c r="F619" s="6"/>
      <c r="G619" s="6" t="str">
        <f t="shared" si="5"/>
        <v>Coding Pattern</v>
      </c>
    </row>
    <row r="620" spans="1:8" ht="14" x14ac:dyDescent="0.15">
      <c r="A620" s="6" t="s">
        <v>443</v>
      </c>
      <c r="B620" s="8" t="s">
        <v>1809</v>
      </c>
      <c r="C620" s="6" t="str">
        <f>'Ann1 - Step 3'!C620</f>
        <v>Task Execution</v>
      </c>
      <c r="D620" s="6" t="str">
        <f>'Ann2 - Step 3'!C620</f>
        <v>Task Execution</v>
      </c>
      <c r="E620" s="6" t="b">
        <f t="shared" si="4"/>
        <v>0</v>
      </c>
      <c r="F620" s="6"/>
      <c r="G620" s="6" t="str">
        <f t="shared" si="5"/>
        <v>Task Execution</v>
      </c>
    </row>
    <row r="621" spans="1:8" ht="14" x14ac:dyDescent="0.15">
      <c r="A621" s="31" t="s">
        <v>447</v>
      </c>
      <c r="B621" s="23" t="s">
        <v>1810</v>
      </c>
      <c r="C621" s="6" t="str">
        <f>'Ann1 - Step 3'!C621</f>
        <v>Coding Pattern</v>
      </c>
      <c r="D621" s="6" t="str">
        <f>'Ann2 - Step 3'!C621</f>
        <v>Other</v>
      </c>
      <c r="E621" s="6" t="b">
        <f t="shared" si="4"/>
        <v>1</v>
      </c>
      <c r="F621" s="30" t="s">
        <v>30</v>
      </c>
      <c r="G621" s="6" t="str">
        <f t="shared" si="5"/>
        <v>Coding Pattern</v>
      </c>
      <c r="H621" s="6" t="s">
        <v>3301</v>
      </c>
    </row>
    <row r="622" spans="1:8" ht="14" x14ac:dyDescent="0.15">
      <c r="A622" s="6" t="s">
        <v>456</v>
      </c>
      <c r="B622" s="23" t="s">
        <v>1810</v>
      </c>
      <c r="C622" s="6" t="str">
        <f>'Ann1 - Step 3'!C622</f>
        <v>Coding Pattern</v>
      </c>
      <c r="D622" s="6" t="str">
        <f>'Ann2 - Step 3'!C622</f>
        <v>Other</v>
      </c>
      <c r="E622" s="6" t="b">
        <f t="shared" si="4"/>
        <v>1</v>
      </c>
      <c r="F622" s="30" t="s">
        <v>30</v>
      </c>
      <c r="G622" s="6" t="str">
        <f t="shared" si="5"/>
        <v>Coding Pattern</v>
      </c>
      <c r="H622" s="6" t="s">
        <v>3301</v>
      </c>
    </row>
    <row r="623" spans="1:8" ht="14" x14ac:dyDescent="0.15">
      <c r="A623" s="6" t="s">
        <v>463</v>
      </c>
      <c r="B623" s="8" t="s">
        <v>1774</v>
      </c>
      <c r="C623" s="6" t="str">
        <f>'Ann1 - Step 3'!C623</f>
        <v>Coding Pattern</v>
      </c>
      <c r="D623" s="6" t="str">
        <f>'Ann2 - Step 3'!C623</f>
        <v>Coding Pattern</v>
      </c>
      <c r="E623" s="6" t="b">
        <f t="shared" si="4"/>
        <v>0</v>
      </c>
      <c r="F623" s="6"/>
      <c r="G623" s="6" t="str">
        <f t="shared" si="5"/>
        <v>Coding Pattern</v>
      </c>
    </row>
    <row r="624" spans="1:8" ht="28" x14ac:dyDescent="0.15">
      <c r="A624" s="6" t="s">
        <v>463</v>
      </c>
      <c r="B624" s="8" t="s">
        <v>1811</v>
      </c>
      <c r="C624" s="6" t="str">
        <f>'Ann1 - Step 3'!C624</f>
        <v>Coding Pattern</v>
      </c>
      <c r="D624" s="6" t="str">
        <f>'Ann2 - Step 3'!C624</f>
        <v>Coding Pattern</v>
      </c>
      <c r="E624" s="6" t="b">
        <f t="shared" si="4"/>
        <v>0</v>
      </c>
      <c r="F624" s="6"/>
      <c r="G624" s="6" t="str">
        <f t="shared" si="5"/>
        <v>Coding Pattern</v>
      </c>
    </row>
    <row r="625" spans="1:7" ht="14" x14ac:dyDescent="0.15">
      <c r="A625" s="6" t="s">
        <v>1185</v>
      </c>
      <c r="B625" s="8" t="s">
        <v>1812</v>
      </c>
      <c r="C625" s="6" t="str">
        <f>'Ann1 - Step 3'!C625</f>
        <v>Coding Pattern</v>
      </c>
      <c r="D625" s="6" t="str">
        <f>'Ann2 - Step 3'!C625</f>
        <v>Coding Pattern</v>
      </c>
      <c r="E625" s="6" t="b">
        <f t="shared" si="4"/>
        <v>0</v>
      </c>
      <c r="F625" s="6"/>
      <c r="G625" s="6" t="str">
        <f t="shared" si="5"/>
        <v>Coding Pattern</v>
      </c>
    </row>
    <row r="626" spans="1:7" ht="28" x14ac:dyDescent="0.15">
      <c r="A626" s="6" t="s">
        <v>489</v>
      </c>
      <c r="B626" s="8" t="s">
        <v>1813</v>
      </c>
      <c r="C626" s="6" t="str">
        <f>'Ann1 - Step 3'!C626</f>
        <v>Testing</v>
      </c>
      <c r="D626" s="6" t="str">
        <f>'Ann2 - Step 3'!C626</f>
        <v>Testing</v>
      </c>
      <c r="E626" s="6" t="b">
        <f t="shared" si="4"/>
        <v>0</v>
      </c>
      <c r="F626" s="6"/>
      <c r="G626" s="6" t="str">
        <f t="shared" si="5"/>
        <v>Testing</v>
      </c>
    </row>
    <row r="627" spans="1:7" ht="14" x14ac:dyDescent="0.15">
      <c r="A627" s="6" t="s">
        <v>1210</v>
      </c>
      <c r="B627" s="8" t="s">
        <v>1812</v>
      </c>
      <c r="C627" s="6" t="str">
        <f>'Ann1 - Step 3'!C627</f>
        <v>Coding Pattern</v>
      </c>
      <c r="D627" s="6" t="str">
        <f>'Ann2 - Step 3'!C627</f>
        <v>Coding Pattern</v>
      </c>
      <c r="E627" s="6" t="b">
        <f t="shared" si="4"/>
        <v>0</v>
      </c>
      <c r="F627" s="6"/>
      <c r="G627" s="6" t="str">
        <f t="shared" si="5"/>
        <v>Coding Pattern</v>
      </c>
    </row>
    <row r="628" spans="1:7" ht="14" x14ac:dyDescent="0.15">
      <c r="A628" s="6" t="s">
        <v>493</v>
      </c>
      <c r="B628" s="8" t="s">
        <v>1814</v>
      </c>
      <c r="C628" s="6" t="str">
        <f>'Ann1 - Step 3'!C628</f>
        <v>Writing Style Preference</v>
      </c>
      <c r="D628" s="6" t="str">
        <f>'Ann2 - Step 3'!C628</f>
        <v>Writing Style Preference</v>
      </c>
      <c r="E628" s="6" t="b">
        <f t="shared" si="4"/>
        <v>0</v>
      </c>
      <c r="F628" s="6"/>
      <c r="G628" s="6" t="str">
        <f t="shared" si="5"/>
        <v>Writing Style Preference</v>
      </c>
    </row>
    <row r="629" spans="1:7" ht="14" x14ac:dyDescent="0.15">
      <c r="A629" s="6" t="s">
        <v>493</v>
      </c>
      <c r="B629" s="8" t="s">
        <v>1815</v>
      </c>
      <c r="C629" s="6" t="str">
        <f>'Ann1 - Step 3'!C629</f>
        <v>Writing Style Preference</v>
      </c>
      <c r="D629" s="6" t="str">
        <f>'Ann2 - Step 3'!C629</f>
        <v>Writing Style Preference</v>
      </c>
      <c r="E629" s="6" t="b">
        <f t="shared" si="4"/>
        <v>0</v>
      </c>
      <c r="F629" s="6"/>
      <c r="G629" s="6" t="str">
        <f t="shared" si="5"/>
        <v>Writing Style Preference</v>
      </c>
    </row>
    <row r="630" spans="1:7" ht="14" x14ac:dyDescent="0.15">
      <c r="A630" s="6" t="s">
        <v>1548</v>
      </c>
      <c r="B630" s="8" t="s">
        <v>1816</v>
      </c>
      <c r="C630" s="6" t="str">
        <f>'Ann1 - Step 3'!C630</f>
        <v>Writing Style Preference</v>
      </c>
      <c r="D630" s="6" t="str">
        <f>'Ann2 - Step 3'!C630</f>
        <v>Writing Style Preference</v>
      </c>
      <c r="E630" s="6" t="b">
        <f t="shared" si="4"/>
        <v>0</v>
      </c>
      <c r="F630" s="6"/>
      <c r="G630" s="6" t="str">
        <f t="shared" si="5"/>
        <v>Writing Style Preference</v>
      </c>
    </row>
    <row r="631" spans="1:7" ht="14" x14ac:dyDescent="0.15">
      <c r="A631" s="6" t="s">
        <v>53</v>
      </c>
      <c r="B631" s="8" t="s">
        <v>1817</v>
      </c>
      <c r="C631" s="6" t="str">
        <f>'Ann1 - Step 3'!C631</f>
        <v>Coding Pattern</v>
      </c>
      <c r="D631" s="6" t="str">
        <f>'Ann2 - Step 3'!C631</f>
        <v>Coding Pattern</v>
      </c>
      <c r="E631" s="6" t="b">
        <f t="shared" si="4"/>
        <v>0</v>
      </c>
      <c r="F631" s="6"/>
      <c r="G631" s="6" t="str">
        <f t="shared" si="5"/>
        <v>Coding Pattern</v>
      </c>
    </row>
    <row r="632" spans="1:7" ht="14" x14ac:dyDescent="0.15">
      <c r="A632" s="6" t="s">
        <v>57</v>
      </c>
      <c r="B632" s="8" t="s">
        <v>1818</v>
      </c>
      <c r="C632" s="6" t="str">
        <f>'Ann1 - Step 3'!C632</f>
        <v>Testing</v>
      </c>
      <c r="D632" s="6" t="str">
        <f>'Ann2 - Step 3'!C632</f>
        <v>Testing</v>
      </c>
      <c r="E632" s="6" t="b">
        <f t="shared" si="4"/>
        <v>0</v>
      </c>
      <c r="F632" s="6"/>
      <c r="G632" s="6" t="str">
        <f t="shared" si="5"/>
        <v>Testing</v>
      </c>
    </row>
    <row r="633" spans="1:7" ht="14" x14ac:dyDescent="0.15">
      <c r="A633" s="6" t="s">
        <v>497</v>
      </c>
      <c r="B633" s="8" t="s">
        <v>1819</v>
      </c>
      <c r="C633" s="6" t="str">
        <f>'Ann1 - Step 3'!C633</f>
        <v>Coding Pattern</v>
      </c>
      <c r="D633" s="6" t="str">
        <f>'Ann2 - Step 3'!C633</f>
        <v>Coding Pattern</v>
      </c>
      <c r="E633" s="6" t="b">
        <f t="shared" si="4"/>
        <v>0</v>
      </c>
      <c r="F633" s="6"/>
      <c r="G633" s="6" t="str">
        <f t="shared" si="5"/>
        <v>Coding Pattern</v>
      </c>
    </row>
    <row r="634" spans="1:7" ht="14" x14ac:dyDescent="0.15">
      <c r="A634" s="6" t="s">
        <v>497</v>
      </c>
      <c r="B634" s="8" t="s">
        <v>1820</v>
      </c>
      <c r="C634" s="6" t="str">
        <f>'Ann1 - Step 3'!C634</f>
        <v>Build &amp; Operation</v>
      </c>
      <c r="D634" s="6" t="str">
        <f>'Ann2 - Step 3'!C634</f>
        <v>Build &amp; Operation</v>
      </c>
      <c r="E634" s="6" t="b">
        <f t="shared" si="4"/>
        <v>0</v>
      </c>
      <c r="F634" s="6"/>
      <c r="G634" s="6" t="str">
        <f t="shared" si="5"/>
        <v>Build &amp; Operation</v>
      </c>
    </row>
    <row r="635" spans="1:7" ht="14" x14ac:dyDescent="0.15">
      <c r="A635" s="6" t="s">
        <v>497</v>
      </c>
      <c r="B635" s="8" t="s">
        <v>1821</v>
      </c>
      <c r="C635" s="6" t="str">
        <f>'Ann1 - Step 3'!C635</f>
        <v>Build &amp; Operation</v>
      </c>
      <c r="D635" s="6" t="str">
        <f>'Ann2 - Step 3'!C635</f>
        <v>Build &amp; Operation</v>
      </c>
      <c r="E635" s="6" t="b">
        <f t="shared" si="4"/>
        <v>0</v>
      </c>
      <c r="F635" s="6"/>
      <c r="G635" s="6" t="str">
        <f t="shared" si="5"/>
        <v>Build &amp; Operation</v>
      </c>
    </row>
    <row r="636" spans="1:7" ht="28" x14ac:dyDescent="0.15">
      <c r="A636" s="6" t="s">
        <v>500</v>
      </c>
      <c r="B636" s="8" t="s">
        <v>1822</v>
      </c>
      <c r="C636" s="6" t="str">
        <f>'Ann1 - Step 3'!C636</f>
        <v>Testing</v>
      </c>
      <c r="D636" s="6" t="str">
        <f>'Ann2 - Step 3'!C636</f>
        <v>Testing</v>
      </c>
      <c r="E636" s="6" t="b">
        <f t="shared" si="4"/>
        <v>0</v>
      </c>
      <c r="F636" s="6"/>
      <c r="G636" s="6" t="str">
        <f t="shared" si="5"/>
        <v>Testing</v>
      </c>
    </row>
    <row r="637" spans="1:7" ht="28" x14ac:dyDescent="0.15">
      <c r="A637" s="6" t="s">
        <v>1825</v>
      </c>
      <c r="B637" s="8" t="s">
        <v>1826</v>
      </c>
      <c r="C637" s="6" t="str">
        <f>'Ann1 - Step 3'!C637</f>
        <v>Coding Pattern</v>
      </c>
      <c r="D637" s="6" t="str">
        <f>'Ann2 - Step 3'!C637</f>
        <v>Coding Pattern</v>
      </c>
      <c r="E637" s="6" t="b">
        <f t="shared" si="4"/>
        <v>0</v>
      </c>
      <c r="F637" s="6"/>
      <c r="G637" s="6" t="str">
        <f t="shared" si="5"/>
        <v>Coding Pattern</v>
      </c>
    </row>
    <row r="638" spans="1:7" ht="14" x14ac:dyDescent="0.15">
      <c r="A638" s="6" t="s">
        <v>503</v>
      </c>
      <c r="B638" s="8" t="s">
        <v>1827</v>
      </c>
      <c r="C638" s="6" t="str">
        <f>'Ann1 - Step 3'!C638</f>
        <v>Coding Pattern</v>
      </c>
      <c r="D638" s="6" t="str">
        <f>'Ann2 - Step 3'!C638</f>
        <v>Coding Pattern</v>
      </c>
      <c r="E638" s="6" t="b">
        <f t="shared" si="4"/>
        <v>0</v>
      </c>
      <c r="F638" s="6"/>
      <c r="G638" s="6" t="str">
        <f t="shared" si="5"/>
        <v>Coding Pattern</v>
      </c>
    </row>
    <row r="639" spans="1:7" ht="28" x14ac:dyDescent="0.15">
      <c r="A639" s="6" t="s">
        <v>503</v>
      </c>
      <c r="B639" s="8" t="s">
        <v>1828</v>
      </c>
      <c r="C639" s="6" t="str">
        <f>'Ann1 - Step 3'!C639</f>
        <v>Coding Pattern</v>
      </c>
      <c r="D639" s="6" t="str">
        <f>'Ann2 - Step 3'!C639</f>
        <v>Coding Pattern</v>
      </c>
      <c r="E639" s="6" t="b">
        <f t="shared" si="4"/>
        <v>0</v>
      </c>
      <c r="F639" s="6"/>
      <c r="G639" s="6" t="str">
        <f t="shared" si="5"/>
        <v>Coding Pattern</v>
      </c>
    </row>
    <row r="640" spans="1:7" ht="14" x14ac:dyDescent="0.15">
      <c r="A640" s="6" t="s">
        <v>1229</v>
      </c>
      <c r="B640" s="8" t="s">
        <v>1829</v>
      </c>
      <c r="C640" s="6" t="str">
        <f>'Ann1 - Step 3'!C640</f>
        <v>Coding Style</v>
      </c>
      <c r="D640" s="6" t="str">
        <f>'Ann2 - Step 3'!C640</f>
        <v>Coding Style</v>
      </c>
      <c r="E640" s="6" t="b">
        <f t="shared" si="4"/>
        <v>0</v>
      </c>
      <c r="F640" s="6"/>
      <c r="G640" s="6" t="str">
        <f t="shared" si="5"/>
        <v>Coding Style</v>
      </c>
    </row>
    <row r="641" spans="1:7" ht="14" x14ac:dyDescent="0.15">
      <c r="A641" s="6" t="s">
        <v>1832</v>
      </c>
      <c r="B641" s="8" t="s">
        <v>1833</v>
      </c>
      <c r="C641" s="6" t="str">
        <f>'Ann1 - Step 3'!C641</f>
        <v>Build &amp; Operation</v>
      </c>
      <c r="D641" s="6" t="str">
        <f>'Ann2 - Step 3'!C641</f>
        <v>Build &amp; Operation</v>
      </c>
      <c r="E641" s="6" t="b">
        <f t="shared" si="4"/>
        <v>0</v>
      </c>
      <c r="F641" s="6"/>
      <c r="G641" s="6" t="str">
        <f t="shared" si="5"/>
        <v>Build &amp; Operation</v>
      </c>
    </row>
    <row r="642" spans="1:7" ht="14" x14ac:dyDescent="0.15">
      <c r="A642" s="6" t="s">
        <v>523</v>
      </c>
      <c r="B642" s="8" t="s">
        <v>1834</v>
      </c>
      <c r="C642" s="6" t="str">
        <f>'Ann1 - Step 3'!C642</f>
        <v>Coding Pattern</v>
      </c>
      <c r="D642" s="6" t="str">
        <f>'Ann2 - Step 3'!C642</f>
        <v>Coding Pattern</v>
      </c>
      <c r="E642" s="6" t="b">
        <f t="shared" si="4"/>
        <v>0</v>
      </c>
      <c r="F642" s="6"/>
      <c r="G642" s="6" t="str">
        <f t="shared" si="5"/>
        <v>Coding Pattern</v>
      </c>
    </row>
    <row r="643" spans="1:7" ht="14" x14ac:dyDescent="0.15">
      <c r="A643" s="6" t="s">
        <v>523</v>
      </c>
      <c r="B643" s="8" t="s">
        <v>1835</v>
      </c>
      <c r="C643" s="6" t="str">
        <f>'Ann1 - Step 3'!C643</f>
        <v>Coding Pattern</v>
      </c>
      <c r="D643" s="6" t="str">
        <f>'Ann2 - Step 3'!C643</f>
        <v>Coding Pattern</v>
      </c>
      <c r="E643" s="6" t="b">
        <f t="shared" si="4"/>
        <v>0</v>
      </c>
      <c r="F643" s="6"/>
      <c r="G643" s="6" t="str">
        <f t="shared" si="5"/>
        <v>Coding Pattern</v>
      </c>
    </row>
    <row r="644" spans="1:7" ht="14" x14ac:dyDescent="0.15">
      <c r="A644" s="6" t="s">
        <v>523</v>
      </c>
      <c r="B644" s="8" t="s">
        <v>1836</v>
      </c>
      <c r="C644" s="6" t="str">
        <f>'Ann1 - Step 3'!C644</f>
        <v>Coding Pattern</v>
      </c>
      <c r="D644" s="6" t="str">
        <f>'Ann2 - Step 3'!C644</f>
        <v>Coding Pattern</v>
      </c>
      <c r="E644" s="6" t="b">
        <f t="shared" si="4"/>
        <v>0</v>
      </c>
      <c r="F644" s="6"/>
      <c r="G644" s="6" t="str">
        <f t="shared" si="5"/>
        <v>Coding Pattern</v>
      </c>
    </row>
    <row r="645" spans="1:7" ht="14" x14ac:dyDescent="0.15">
      <c r="A645" s="6" t="s">
        <v>523</v>
      </c>
      <c r="B645" s="8" t="s">
        <v>1837</v>
      </c>
      <c r="C645" s="6" t="str">
        <f>'Ann1 - Step 3'!C645</f>
        <v>Coding Pattern</v>
      </c>
      <c r="D645" s="6" t="str">
        <f>'Ann2 - Step 3'!C645</f>
        <v>Coding Pattern</v>
      </c>
      <c r="E645" s="6" t="b">
        <f t="shared" si="4"/>
        <v>0</v>
      </c>
      <c r="F645" s="6"/>
      <c r="G645" s="6" t="str">
        <f t="shared" si="5"/>
        <v>Coding Pattern</v>
      </c>
    </row>
    <row r="646" spans="1:7" ht="14" x14ac:dyDescent="0.15">
      <c r="A646" s="6" t="s">
        <v>523</v>
      </c>
      <c r="B646" s="8" t="s">
        <v>1838</v>
      </c>
      <c r="C646" s="6" t="str">
        <f>'Ann1 - Step 3'!C646</f>
        <v>Testing</v>
      </c>
      <c r="D646" s="6" t="str">
        <f>'Ann2 - Step 3'!C646</f>
        <v>Testing</v>
      </c>
      <c r="E646" s="6" t="b">
        <f t="shared" si="4"/>
        <v>0</v>
      </c>
      <c r="F646" s="6"/>
      <c r="G646" s="6" t="str">
        <f t="shared" si="5"/>
        <v>Testing</v>
      </c>
    </row>
    <row r="647" spans="1:7" ht="28" x14ac:dyDescent="0.15">
      <c r="A647" s="6" t="s">
        <v>523</v>
      </c>
      <c r="B647" s="8" t="s">
        <v>1839</v>
      </c>
      <c r="C647" s="6" t="str">
        <f>'Ann1 - Step 3'!C647</f>
        <v>Coding Pattern</v>
      </c>
      <c r="D647" s="6" t="str">
        <f>'Ann2 - Step 3'!C647</f>
        <v>Testing</v>
      </c>
      <c r="E647" s="6" t="b">
        <f t="shared" si="4"/>
        <v>1</v>
      </c>
      <c r="F647" s="30" t="s">
        <v>88</v>
      </c>
      <c r="G647" s="6" t="str">
        <f t="shared" si="5"/>
        <v>Testing</v>
      </c>
    </row>
    <row r="648" spans="1:7" ht="14" x14ac:dyDescent="0.15">
      <c r="A648" s="6" t="s">
        <v>523</v>
      </c>
      <c r="B648" s="8" t="s">
        <v>1840</v>
      </c>
      <c r="C648" s="6" t="str">
        <f>'Ann1 - Step 3'!C648</f>
        <v>Testing</v>
      </c>
      <c r="D648" s="6" t="str">
        <f>'Ann2 - Step 3'!C648</f>
        <v>Testing</v>
      </c>
      <c r="E648" s="6" t="b">
        <f t="shared" si="4"/>
        <v>0</v>
      </c>
      <c r="F648" s="6"/>
      <c r="G648" s="6" t="str">
        <f t="shared" si="5"/>
        <v>Testing</v>
      </c>
    </row>
    <row r="649" spans="1:7" ht="14" x14ac:dyDescent="0.15">
      <c r="A649" s="6" t="s">
        <v>523</v>
      </c>
      <c r="B649" s="8" t="s">
        <v>1841</v>
      </c>
      <c r="C649" s="6" t="str">
        <f>'Ann1 - Step 3'!C649</f>
        <v>Coding Pattern</v>
      </c>
      <c r="D649" s="6" t="str">
        <f>'Ann2 - Step 3'!C649</f>
        <v>Coding Pattern</v>
      </c>
      <c r="E649" s="6" t="b">
        <f t="shared" si="4"/>
        <v>0</v>
      </c>
      <c r="F649" s="6"/>
      <c r="G649" s="6" t="str">
        <f t="shared" si="5"/>
        <v>Coding Pattern</v>
      </c>
    </row>
    <row r="650" spans="1:7" ht="14" x14ac:dyDescent="0.15">
      <c r="A650" s="6" t="s">
        <v>1843</v>
      </c>
      <c r="B650" s="8" t="s">
        <v>1844</v>
      </c>
      <c r="C650" s="6" t="str">
        <f>'Ann1 - Step 3'!C650</f>
        <v>Coding Pattern</v>
      </c>
      <c r="D650" s="6" t="str">
        <f>'Ann2 - Step 3'!C650</f>
        <v>Coding Pattern</v>
      </c>
      <c r="E650" s="6" t="b">
        <f t="shared" si="4"/>
        <v>0</v>
      </c>
      <c r="F650" s="6"/>
      <c r="G650" s="6" t="str">
        <f t="shared" si="5"/>
        <v>Coding Pattern</v>
      </c>
    </row>
    <row r="651" spans="1:7" ht="14" x14ac:dyDescent="0.15">
      <c r="A651" s="6" t="s">
        <v>543</v>
      </c>
      <c r="B651" s="8" t="s">
        <v>1845</v>
      </c>
      <c r="C651" s="6" t="str">
        <f>'Ann1 - Step 3'!C651</f>
        <v>Testing</v>
      </c>
      <c r="D651" s="6" t="str">
        <f>'Ann2 - Step 3'!C651</f>
        <v>Testing</v>
      </c>
      <c r="E651" s="6" t="b">
        <f t="shared" si="4"/>
        <v>0</v>
      </c>
      <c r="F651" s="6"/>
      <c r="G651" s="6" t="str">
        <f t="shared" si="5"/>
        <v>Testing</v>
      </c>
    </row>
    <row r="652" spans="1:7" ht="14" x14ac:dyDescent="0.15">
      <c r="A652" s="6" t="s">
        <v>696</v>
      </c>
      <c r="B652" s="8" t="s">
        <v>1846</v>
      </c>
      <c r="C652" s="6" t="str">
        <f>'Ann1 - Step 3'!C652</f>
        <v>Commit&amp;PR rule</v>
      </c>
      <c r="D652" s="6" t="str">
        <f>'Ann2 - Step 3'!C652</f>
        <v>Commit&amp;PR rule</v>
      </c>
      <c r="E652" s="6" t="b">
        <f t="shared" si="4"/>
        <v>0</v>
      </c>
      <c r="F652" s="6"/>
      <c r="G652" s="6" t="str">
        <f t="shared" si="5"/>
        <v>Commit&amp;PR rule</v>
      </c>
    </row>
    <row r="653" spans="1:7" ht="14" x14ac:dyDescent="0.15">
      <c r="A653" s="6" t="s">
        <v>546</v>
      </c>
      <c r="B653" s="8" t="s">
        <v>1847</v>
      </c>
      <c r="C653" s="6" t="str">
        <f>'Ann1 - Step 3'!C653</f>
        <v>Coding Style</v>
      </c>
      <c r="D653" s="6" t="str">
        <f>'Ann2 - Step 3'!C653</f>
        <v>Coding Style</v>
      </c>
      <c r="E653" s="6" t="b">
        <f t="shared" si="4"/>
        <v>0</v>
      </c>
      <c r="F653" s="6"/>
      <c r="G653" s="6" t="str">
        <f t="shared" si="5"/>
        <v>Coding Style</v>
      </c>
    </row>
    <row r="654" spans="1:7" ht="14" x14ac:dyDescent="0.15">
      <c r="A654" s="6" t="s">
        <v>553</v>
      </c>
      <c r="B654" s="8" t="s">
        <v>1848</v>
      </c>
      <c r="C654" s="6" t="str">
        <f>'Ann1 - Step 3'!C654</f>
        <v>Coding Pattern</v>
      </c>
      <c r="D654" s="6" t="str">
        <f>'Ann2 - Step 3'!C654</f>
        <v>Coding Pattern</v>
      </c>
      <c r="E654" s="6" t="b">
        <f t="shared" si="4"/>
        <v>0</v>
      </c>
      <c r="F654" s="6"/>
      <c r="G654" s="6" t="str">
        <f t="shared" si="5"/>
        <v>Coding Pattern</v>
      </c>
    </row>
    <row r="655" spans="1:7" ht="14" x14ac:dyDescent="0.15">
      <c r="A655" s="6" t="s">
        <v>553</v>
      </c>
      <c r="B655" s="8" t="s">
        <v>1849</v>
      </c>
      <c r="C655" s="6" t="str">
        <f>'Ann1 - Step 3'!C655</f>
        <v>Coding Pattern</v>
      </c>
      <c r="D655" s="6" t="str">
        <f>'Ann2 - Step 3'!C655</f>
        <v>Coding Pattern</v>
      </c>
      <c r="E655" s="6" t="b">
        <f t="shared" si="4"/>
        <v>0</v>
      </c>
      <c r="F655" s="6"/>
      <c r="G655" s="6" t="str">
        <f t="shared" si="5"/>
        <v>Coding Pattern</v>
      </c>
    </row>
    <row r="656" spans="1:7" ht="14" x14ac:dyDescent="0.15">
      <c r="A656" s="6" t="s">
        <v>553</v>
      </c>
      <c r="B656" s="8" t="s">
        <v>1850</v>
      </c>
      <c r="C656" s="6" t="str">
        <f>'Ann1 - Step 3'!C656</f>
        <v>Coding Pattern</v>
      </c>
      <c r="D656" s="6" t="str">
        <f>'Ann2 - Step 3'!C656</f>
        <v>Coding Pattern</v>
      </c>
      <c r="E656" s="6" t="b">
        <f t="shared" si="4"/>
        <v>0</v>
      </c>
      <c r="F656" s="6"/>
      <c r="G656" s="6" t="str">
        <f t="shared" si="5"/>
        <v>Coding Pattern</v>
      </c>
    </row>
    <row r="657" spans="1:7" ht="14" x14ac:dyDescent="0.15">
      <c r="A657" s="6" t="s">
        <v>553</v>
      </c>
      <c r="B657" s="8" t="s">
        <v>1851</v>
      </c>
      <c r="C657" s="6" t="str">
        <f>'Ann1 - Step 3'!C657</f>
        <v>Coding Pattern</v>
      </c>
      <c r="D657" s="6" t="str">
        <f>'Ann2 - Step 3'!C657</f>
        <v>Coding Pattern</v>
      </c>
      <c r="E657" s="6" t="b">
        <f t="shared" si="4"/>
        <v>0</v>
      </c>
      <c r="F657" s="6"/>
      <c r="G657" s="6" t="str">
        <f t="shared" si="5"/>
        <v>Coding Pattern</v>
      </c>
    </row>
    <row r="658" spans="1:7" ht="14" x14ac:dyDescent="0.15">
      <c r="A658" s="6" t="s">
        <v>1854</v>
      </c>
      <c r="B658" s="8" t="s">
        <v>1855</v>
      </c>
      <c r="C658" s="6" t="str">
        <f>'Ann1 - Step 3'!C658</f>
        <v>Task Execution</v>
      </c>
      <c r="D658" s="6" t="str">
        <f>'Ann2 - Step 3'!C658</f>
        <v>Task Execution</v>
      </c>
      <c r="E658" s="6" t="b">
        <f t="shared" si="4"/>
        <v>0</v>
      </c>
      <c r="F658" s="6"/>
      <c r="G658" s="6" t="str">
        <f t="shared" si="5"/>
        <v>Task Execution</v>
      </c>
    </row>
    <row r="659" spans="1:7" ht="28" x14ac:dyDescent="0.15">
      <c r="A659" s="6" t="s">
        <v>560</v>
      </c>
      <c r="B659" s="8" t="s">
        <v>1856</v>
      </c>
      <c r="C659" s="6" t="str">
        <f>'Ann1 - Step 3'!C659</f>
        <v>Build &amp; Operation</v>
      </c>
      <c r="D659" s="6" t="str">
        <f>'Ann2 - Step 3'!C659</f>
        <v>Build &amp; Operation</v>
      </c>
      <c r="E659" s="6" t="b">
        <f t="shared" si="4"/>
        <v>0</v>
      </c>
      <c r="F659" s="6"/>
      <c r="G659" s="6" t="str">
        <f t="shared" si="5"/>
        <v>Build &amp; Operation</v>
      </c>
    </row>
    <row r="660" spans="1:7" ht="14" x14ac:dyDescent="0.15">
      <c r="A660" s="6" t="s">
        <v>560</v>
      </c>
      <c r="B660" s="8" t="s">
        <v>1857</v>
      </c>
      <c r="C660" s="6" t="str">
        <f>'Ann1 - Step 3'!C660</f>
        <v>Build &amp; Operation</v>
      </c>
      <c r="D660" s="6" t="str">
        <f>'Ann2 - Step 3'!C660</f>
        <v>Build &amp; Operation</v>
      </c>
      <c r="E660" s="6" t="b">
        <f t="shared" si="4"/>
        <v>0</v>
      </c>
      <c r="F660" s="6"/>
      <c r="G660" s="6" t="str">
        <f t="shared" si="5"/>
        <v>Build &amp; Operation</v>
      </c>
    </row>
    <row r="661" spans="1:7" ht="14" x14ac:dyDescent="0.15">
      <c r="A661" s="6" t="s">
        <v>563</v>
      </c>
      <c r="B661" s="8" t="s">
        <v>1730</v>
      </c>
      <c r="C661" s="6" t="str">
        <f>'Ann1 - Step 3'!C661</f>
        <v>Coding Style</v>
      </c>
      <c r="D661" s="6" t="str">
        <f>'Ann2 - Step 3'!C661</f>
        <v>Coding Style</v>
      </c>
      <c r="E661" s="6" t="b">
        <f t="shared" si="4"/>
        <v>0</v>
      </c>
      <c r="F661" s="6"/>
      <c r="G661" s="6" t="str">
        <f t="shared" si="5"/>
        <v>Coding Style</v>
      </c>
    </row>
    <row r="662" spans="1:7" ht="14" x14ac:dyDescent="0.15">
      <c r="A662" s="6" t="s">
        <v>103</v>
      </c>
      <c r="B662" s="8" t="s">
        <v>1858</v>
      </c>
      <c r="C662" s="6" t="str">
        <f>'Ann1 - Step 3'!C662</f>
        <v>Task Execution</v>
      </c>
      <c r="D662" s="6" t="str">
        <f>'Ann2 - Step 3'!C662</f>
        <v>Task Execution</v>
      </c>
      <c r="E662" s="6" t="b">
        <f t="shared" si="4"/>
        <v>0</v>
      </c>
      <c r="F662" s="6"/>
      <c r="G662" s="6" t="str">
        <f t="shared" si="5"/>
        <v>Task Execution</v>
      </c>
    </row>
    <row r="663" spans="1:7" ht="14" x14ac:dyDescent="0.15">
      <c r="A663" s="6" t="s">
        <v>103</v>
      </c>
      <c r="B663" s="8" t="s">
        <v>1859</v>
      </c>
      <c r="C663" s="6" t="str">
        <f>'Ann1 - Step 3'!C663</f>
        <v>Task Execution</v>
      </c>
      <c r="D663" s="6" t="str">
        <f>'Ann2 - Step 3'!C663</f>
        <v>Task Execution</v>
      </c>
      <c r="E663" s="6" t="b">
        <f t="shared" si="4"/>
        <v>0</v>
      </c>
      <c r="F663" s="6"/>
      <c r="G663" s="6" t="str">
        <f t="shared" si="5"/>
        <v>Task Execution</v>
      </c>
    </row>
    <row r="664" spans="1:7" ht="14" x14ac:dyDescent="0.15">
      <c r="A664" s="31" t="s">
        <v>103</v>
      </c>
      <c r="B664" s="8" t="s">
        <v>1860</v>
      </c>
      <c r="C664" s="6" t="str">
        <f>'Ann1 - Step 3'!C664</f>
        <v>Task Execution</v>
      </c>
      <c r="D664" s="6" t="str">
        <f>'Ann2 - Step 3'!C664</f>
        <v>Documentation</v>
      </c>
      <c r="E664" s="6" t="b">
        <f t="shared" si="4"/>
        <v>1</v>
      </c>
      <c r="F664" s="30" t="s">
        <v>23</v>
      </c>
      <c r="G664" s="6" t="str">
        <f t="shared" si="5"/>
        <v>Documentation</v>
      </c>
    </row>
    <row r="665" spans="1:7" ht="14" x14ac:dyDescent="0.15">
      <c r="A665" s="6" t="s">
        <v>1861</v>
      </c>
      <c r="B665" s="8" t="s">
        <v>1862</v>
      </c>
      <c r="C665" s="6" t="str">
        <f>'Ann1 - Step 3'!C665</f>
        <v>Coding Pattern</v>
      </c>
      <c r="D665" s="6" t="str">
        <f>'Ann2 - Step 3'!C665</f>
        <v>Coding Pattern</v>
      </c>
      <c r="E665" s="6" t="b">
        <f t="shared" si="4"/>
        <v>0</v>
      </c>
      <c r="F665" s="6"/>
      <c r="G665" s="6" t="str">
        <f t="shared" si="5"/>
        <v>Coding Pattern</v>
      </c>
    </row>
    <row r="666" spans="1:7" ht="14" x14ac:dyDescent="0.15">
      <c r="A666" s="6" t="s">
        <v>568</v>
      </c>
      <c r="B666" s="8" t="s">
        <v>1863</v>
      </c>
      <c r="C666" s="6" t="str">
        <f>'Ann1 - Step 3'!C666</f>
        <v>Coding Pattern</v>
      </c>
      <c r="D666" s="6" t="str">
        <f>'Ann2 - Step 3'!C666</f>
        <v>Coding Pattern</v>
      </c>
      <c r="E666" s="6" t="b">
        <f t="shared" si="4"/>
        <v>0</v>
      </c>
      <c r="F666" s="6"/>
      <c r="G666" s="6" t="str">
        <f t="shared" si="5"/>
        <v>Coding Pattern</v>
      </c>
    </row>
    <row r="667" spans="1:7" ht="14" x14ac:dyDescent="0.15">
      <c r="A667" s="6" t="s">
        <v>572</v>
      </c>
      <c r="B667" s="8" t="s">
        <v>1864</v>
      </c>
      <c r="C667" s="6" t="str">
        <f>'Ann1 - Step 3'!C667</f>
        <v>Coding Pattern</v>
      </c>
      <c r="D667" s="6" t="str">
        <f>'Ann2 - Step 3'!C667</f>
        <v>Coding Pattern</v>
      </c>
      <c r="E667" s="6" t="b">
        <f t="shared" si="4"/>
        <v>0</v>
      </c>
      <c r="F667" s="6"/>
      <c r="G667" s="6" t="str">
        <f t="shared" si="5"/>
        <v>Coding Pattern</v>
      </c>
    </row>
    <row r="668" spans="1:7" ht="28" x14ac:dyDescent="0.15">
      <c r="A668" s="6" t="s">
        <v>572</v>
      </c>
      <c r="B668" s="8" t="s">
        <v>1865</v>
      </c>
      <c r="C668" s="6" t="str">
        <f>'Ann1 - Step 3'!C668</f>
        <v>Coding Pattern</v>
      </c>
      <c r="D668" s="6" t="str">
        <f>'Ann2 - Step 3'!C668</f>
        <v>Coding Pattern</v>
      </c>
      <c r="E668" s="6" t="b">
        <f t="shared" si="4"/>
        <v>0</v>
      </c>
      <c r="F668" s="6"/>
      <c r="G668" s="6" t="str">
        <f t="shared" si="5"/>
        <v>Coding Pattern</v>
      </c>
    </row>
    <row r="669" spans="1:7" ht="28" x14ac:dyDescent="0.15">
      <c r="A669" s="6" t="s">
        <v>577</v>
      </c>
      <c r="B669" s="8" t="s">
        <v>1866</v>
      </c>
      <c r="C669" s="6" t="str">
        <f>'Ann1 - Step 3'!C669</f>
        <v>Task Execution</v>
      </c>
      <c r="D669" s="6" t="str">
        <f>'Ann2 - Step 3'!C669</f>
        <v>Task Execution</v>
      </c>
      <c r="E669" s="6" t="b">
        <f t="shared" si="4"/>
        <v>0</v>
      </c>
      <c r="F669" s="6"/>
      <c r="G669" s="6" t="str">
        <f t="shared" si="5"/>
        <v>Task Execution</v>
      </c>
    </row>
    <row r="670" spans="1:7" ht="14" x14ac:dyDescent="0.15">
      <c r="A670" s="6" t="s">
        <v>588</v>
      </c>
      <c r="B670" s="8" t="s">
        <v>1867</v>
      </c>
      <c r="C670" s="6" t="str">
        <f>'Ann1 - Step 3'!C670</f>
        <v>Coding Pattern</v>
      </c>
      <c r="D670" s="6" t="str">
        <f>'Ann2 - Step 3'!C670</f>
        <v>Coding Pattern</v>
      </c>
      <c r="E670" s="6" t="b">
        <f t="shared" si="4"/>
        <v>0</v>
      </c>
      <c r="F670" s="6"/>
      <c r="G670" s="6" t="str">
        <f t="shared" si="5"/>
        <v>Coding Pattern</v>
      </c>
    </row>
    <row r="671" spans="1:7" ht="14" x14ac:dyDescent="0.15">
      <c r="A671" s="6" t="s">
        <v>594</v>
      </c>
      <c r="B671" s="8" t="s">
        <v>1868</v>
      </c>
      <c r="C671" s="6" t="str">
        <f>'Ann1 - Step 3'!C671</f>
        <v>Testing</v>
      </c>
      <c r="D671" s="6" t="str">
        <f>'Ann2 - Step 3'!C671</f>
        <v>Testing</v>
      </c>
      <c r="E671" s="6" t="b">
        <f t="shared" si="4"/>
        <v>0</v>
      </c>
      <c r="F671" s="6"/>
      <c r="G671" s="6" t="str">
        <f t="shared" si="5"/>
        <v>Testing</v>
      </c>
    </row>
    <row r="672" spans="1:7" ht="14" x14ac:dyDescent="0.15">
      <c r="A672" s="6" t="s">
        <v>597</v>
      </c>
      <c r="B672" s="8" t="s">
        <v>1869</v>
      </c>
      <c r="C672" s="6" t="str">
        <f>'Ann1 - Step 3'!C672</f>
        <v>Maintainability</v>
      </c>
      <c r="D672" s="6" t="str">
        <f>'Ann2 - Step 3'!C672</f>
        <v>Maintainability</v>
      </c>
      <c r="E672" s="6" t="b">
        <f t="shared" si="4"/>
        <v>0</v>
      </c>
      <c r="F672" s="6"/>
      <c r="G672" s="6" t="str">
        <f t="shared" si="5"/>
        <v>Maintainability</v>
      </c>
    </row>
    <row r="673" spans="1:7" ht="14" x14ac:dyDescent="0.15">
      <c r="A673" s="6" t="s">
        <v>597</v>
      </c>
      <c r="B673" s="8" t="s">
        <v>1870</v>
      </c>
      <c r="C673" s="6" t="str">
        <f>'Ann1 - Step 3'!C673</f>
        <v>Coding Pattern</v>
      </c>
      <c r="D673" s="6" t="str">
        <f>'Ann2 - Step 3'!C673</f>
        <v>Coding Pattern</v>
      </c>
      <c r="E673" s="6" t="b">
        <f t="shared" si="4"/>
        <v>0</v>
      </c>
      <c r="F673" s="6"/>
      <c r="G673" s="6" t="str">
        <f t="shared" si="5"/>
        <v>Coding Pattern</v>
      </c>
    </row>
    <row r="674" spans="1:7" ht="14" x14ac:dyDescent="0.15">
      <c r="A674" s="6" t="s">
        <v>597</v>
      </c>
      <c r="B674" s="8" t="s">
        <v>1871</v>
      </c>
      <c r="C674" s="6" t="str">
        <f>'Ann1 - Step 3'!C674</f>
        <v>Coding Pattern</v>
      </c>
      <c r="D674" s="6" t="str">
        <f>'Ann2 - Step 3'!C674</f>
        <v>Coding Pattern</v>
      </c>
      <c r="E674" s="6" t="b">
        <f t="shared" si="4"/>
        <v>0</v>
      </c>
      <c r="F674" s="6"/>
      <c r="G674" s="6" t="str">
        <f t="shared" si="5"/>
        <v>Coding Pattern</v>
      </c>
    </row>
    <row r="675" spans="1:7" ht="28" x14ac:dyDescent="0.15">
      <c r="A675" s="6" t="s">
        <v>1410</v>
      </c>
      <c r="B675" s="8" t="s">
        <v>1872</v>
      </c>
      <c r="C675" s="6" t="str">
        <f>'Ann1 - Step 3'!C675</f>
        <v>Task Execution</v>
      </c>
      <c r="D675" s="6" t="str">
        <f>'Ann2 - Step 3'!C675</f>
        <v>Task Execution</v>
      </c>
      <c r="E675" s="6" t="b">
        <f t="shared" si="4"/>
        <v>0</v>
      </c>
      <c r="F675" s="6"/>
      <c r="G675" s="6" t="str">
        <f t="shared" si="5"/>
        <v>Task Execution</v>
      </c>
    </row>
    <row r="676" spans="1:7" ht="14" x14ac:dyDescent="0.15">
      <c r="A676" s="6" t="s">
        <v>351</v>
      </c>
      <c r="B676" s="8" t="s">
        <v>1873</v>
      </c>
      <c r="C676" s="6" t="str">
        <f>'Ann1 - Step 3'!C676</f>
        <v>Build &amp; Operation</v>
      </c>
      <c r="D676" s="6" t="str">
        <f>'Ann2 - Step 3'!C676</f>
        <v>Testing</v>
      </c>
      <c r="E676" s="6" t="b">
        <f t="shared" si="4"/>
        <v>1</v>
      </c>
      <c r="F676" s="30" t="s">
        <v>88</v>
      </c>
      <c r="G676" s="6" t="str">
        <f t="shared" si="5"/>
        <v>Testing</v>
      </c>
    </row>
    <row r="677" spans="1:7" ht="14" x14ac:dyDescent="0.15">
      <c r="A677" s="6" t="s">
        <v>94</v>
      </c>
      <c r="B677" s="8" t="s">
        <v>1874</v>
      </c>
      <c r="C677" s="6" t="str">
        <f>'Ann1 - Step 3'!C677</f>
        <v>Task Execution</v>
      </c>
      <c r="D677" s="6" t="str">
        <f>'Ann2 - Step 3'!C677</f>
        <v>Task Execution</v>
      </c>
      <c r="E677" s="6" t="b">
        <f t="shared" si="4"/>
        <v>0</v>
      </c>
      <c r="F677" s="6"/>
      <c r="G677" s="6" t="str">
        <f t="shared" si="5"/>
        <v>Task Execution</v>
      </c>
    </row>
    <row r="678" spans="1:7" ht="14" x14ac:dyDescent="0.15">
      <c r="A678" s="31" t="s">
        <v>1300</v>
      </c>
      <c r="B678" s="8" t="s">
        <v>1875</v>
      </c>
      <c r="C678" s="6" t="str">
        <f>'Ann1 - Step 3'!C678</f>
        <v>Build &amp; Operation</v>
      </c>
      <c r="D678" s="6" t="str">
        <f>'Ann2 - Step 3'!C678</f>
        <v>Build &amp; Operation</v>
      </c>
      <c r="E678" s="6" t="b">
        <f t="shared" si="4"/>
        <v>0</v>
      </c>
      <c r="F678" s="6"/>
      <c r="G678" s="6" t="str">
        <f t="shared" si="5"/>
        <v>Build &amp; Operation</v>
      </c>
    </row>
    <row r="679" spans="1:7" ht="28" x14ac:dyDescent="0.15">
      <c r="A679" s="6" t="s">
        <v>129</v>
      </c>
      <c r="B679" s="8" t="s">
        <v>1876</v>
      </c>
      <c r="C679" s="6" t="str">
        <f>'Ann1 - Step 3'!C679</f>
        <v>Performance</v>
      </c>
      <c r="D679" s="6" t="str">
        <f>'Ann2 - Step 3'!C679</f>
        <v>Performance</v>
      </c>
      <c r="E679" s="6" t="b">
        <f t="shared" si="4"/>
        <v>0</v>
      </c>
      <c r="F679" s="6"/>
      <c r="G679" s="6" t="str">
        <f t="shared" si="5"/>
        <v>Performance</v>
      </c>
    </row>
    <row r="680" spans="1:7" ht="14" x14ac:dyDescent="0.15">
      <c r="A680" s="6" t="s">
        <v>142</v>
      </c>
      <c r="B680" s="8" t="s">
        <v>1877</v>
      </c>
      <c r="C680" s="6" t="str">
        <f>'Ann1 - Step 3'!C680</f>
        <v>Testing</v>
      </c>
      <c r="D680" s="6" t="str">
        <f>'Ann2 - Step 3'!C680</f>
        <v>Testing</v>
      </c>
      <c r="E680" s="6" t="b">
        <f t="shared" si="4"/>
        <v>0</v>
      </c>
      <c r="F680" s="6"/>
      <c r="G680" s="6" t="str">
        <f t="shared" si="5"/>
        <v>Testing</v>
      </c>
    </row>
    <row r="681" spans="1:7" ht="14" x14ac:dyDescent="0.15">
      <c r="A681" s="31" t="s">
        <v>950</v>
      </c>
      <c r="B681" s="8" t="s">
        <v>1878</v>
      </c>
      <c r="C681" s="6" t="str">
        <f>'Ann1 - Step 3'!C681</f>
        <v>Testing</v>
      </c>
      <c r="D681" s="6" t="str">
        <f>'Ann2 - Step 3'!C681</f>
        <v>Commit&amp;PR rule</v>
      </c>
      <c r="E681" s="6" t="b">
        <f t="shared" si="4"/>
        <v>1</v>
      </c>
      <c r="F681" s="30" t="s">
        <v>12</v>
      </c>
      <c r="G681" s="6" t="str">
        <f t="shared" si="5"/>
        <v>Commit&amp;PR rule</v>
      </c>
    </row>
    <row r="682" spans="1:7" ht="28" x14ac:dyDescent="0.15">
      <c r="A682" s="6" t="s">
        <v>577</v>
      </c>
      <c r="B682" s="8" t="s">
        <v>1879</v>
      </c>
      <c r="C682" s="6" t="str">
        <f>'Ann1 - Step 3'!C682</f>
        <v>Documentation</v>
      </c>
      <c r="D682" s="6" t="str">
        <f>'Ann2 - Step 3'!C682</f>
        <v>Documentation</v>
      </c>
      <c r="E682" s="6" t="b">
        <f t="shared" si="4"/>
        <v>0</v>
      </c>
      <c r="F682" s="6"/>
      <c r="G682" s="6" t="str">
        <f t="shared" si="5"/>
        <v>Documentation</v>
      </c>
    </row>
    <row r="683" spans="1:7" ht="14" x14ac:dyDescent="0.15">
      <c r="A683" s="31" t="s">
        <v>15</v>
      </c>
      <c r="B683" s="8" t="s">
        <v>1880</v>
      </c>
      <c r="C683" s="6" t="str">
        <f>'Ann1 - Step 3'!C683</f>
        <v>Task Execution</v>
      </c>
      <c r="D683" s="6" t="str">
        <f>'Ann2 - Step 3'!C683</f>
        <v>Task Execution</v>
      </c>
      <c r="E683" s="6" t="b">
        <f t="shared" si="4"/>
        <v>0</v>
      </c>
      <c r="F683" s="6"/>
      <c r="G683" s="6" t="str">
        <f t="shared" si="5"/>
        <v>Task Execution</v>
      </c>
    </row>
    <row r="684" spans="1:7" ht="14" x14ac:dyDescent="0.15">
      <c r="A684" s="6" t="s">
        <v>160</v>
      </c>
      <c r="B684" s="8" t="s">
        <v>1881</v>
      </c>
      <c r="C684" s="6" t="str">
        <f>'Ann1 - Step 3'!C684</f>
        <v>Task Execution</v>
      </c>
      <c r="D684" s="6" t="str">
        <f>'Ann2 - Step 3'!C684</f>
        <v>Task Execution</v>
      </c>
      <c r="E684" s="6" t="b">
        <f t="shared" si="4"/>
        <v>0</v>
      </c>
      <c r="F684" s="6"/>
      <c r="G684" s="6" t="str">
        <f t="shared" si="5"/>
        <v>Task Execution</v>
      </c>
    </row>
    <row r="685" spans="1:7" ht="14" x14ac:dyDescent="0.15">
      <c r="A685" s="6" t="s">
        <v>827</v>
      </c>
      <c r="B685" s="8" t="s">
        <v>1883</v>
      </c>
      <c r="C685" s="6" t="str">
        <f>'Ann1 - Step 3'!C685</f>
        <v>Coding Pattern</v>
      </c>
      <c r="D685" s="6" t="str">
        <f>'Ann2 - Step 3'!C685</f>
        <v>Coding Pattern</v>
      </c>
      <c r="E685" s="6" t="b">
        <f t="shared" si="4"/>
        <v>0</v>
      </c>
      <c r="F685" s="6"/>
      <c r="G685" s="6" t="str">
        <f t="shared" si="5"/>
        <v>Coding Pattern</v>
      </c>
    </row>
    <row r="686" spans="1:7" ht="14" x14ac:dyDescent="0.15">
      <c r="A686" s="6" t="s">
        <v>157</v>
      </c>
      <c r="B686" s="8" t="s">
        <v>1884</v>
      </c>
      <c r="C686" s="6" t="str">
        <f>'Ann1 - Step 3'!C686</f>
        <v>Coding Pattern</v>
      </c>
      <c r="D686" s="6" t="str">
        <f>'Ann2 - Step 3'!C686</f>
        <v>Coding Pattern</v>
      </c>
      <c r="E686" s="6" t="b">
        <f t="shared" si="4"/>
        <v>0</v>
      </c>
      <c r="F686" s="6"/>
      <c r="G686" s="6" t="str">
        <f t="shared" si="5"/>
        <v>Coding Pattern</v>
      </c>
    </row>
    <row r="687" spans="1:7" ht="14" x14ac:dyDescent="0.15">
      <c r="A687" s="6" t="s">
        <v>1888</v>
      </c>
      <c r="B687" s="8" t="s">
        <v>1889</v>
      </c>
      <c r="C687" s="6" t="str">
        <f>'Ann1 - Step 3'!C687</f>
        <v>Build &amp; Operation</v>
      </c>
      <c r="D687" s="6" t="str">
        <f>'Ann2 - Step 3'!C687</f>
        <v>Build &amp; Operation</v>
      </c>
      <c r="E687" s="6" t="b">
        <f t="shared" si="4"/>
        <v>0</v>
      </c>
      <c r="F687" s="6"/>
      <c r="G687" s="6" t="str">
        <f t="shared" si="5"/>
        <v>Build &amp; Operation</v>
      </c>
    </row>
    <row r="688" spans="1:7" ht="14" x14ac:dyDescent="0.15">
      <c r="A688" s="6" t="s">
        <v>832</v>
      </c>
      <c r="B688" s="8" t="s">
        <v>1890</v>
      </c>
      <c r="C688" s="6" t="str">
        <f>'Ann1 - Step 3'!C688</f>
        <v>Task Execution</v>
      </c>
      <c r="D688" s="6" t="str">
        <f>'Ann2 - Step 3'!C688</f>
        <v>Task Execution</v>
      </c>
      <c r="E688" s="6" t="b">
        <f t="shared" si="4"/>
        <v>0</v>
      </c>
      <c r="F688" s="6"/>
      <c r="G688" s="6" t="str">
        <f t="shared" si="5"/>
        <v>Task Execution</v>
      </c>
    </row>
    <row r="689" spans="1:7" ht="14" x14ac:dyDescent="0.15">
      <c r="A689" s="6" t="s">
        <v>832</v>
      </c>
      <c r="B689" s="8" t="s">
        <v>1891</v>
      </c>
      <c r="C689" s="6" t="str">
        <f>'Ann1 - Step 3'!C689</f>
        <v>Task Execution</v>
      </c>
      <c r="D689" s="6" t="str">
        <f>'Ann2 - Step 3'!C689</f>
        <v>Task Execution</v>
      </c>
      <c r="E689" s="6" t="b">
        <f t="shared" si="4"/>
        <v>0</v>
      </c>
      <c r="F689" s="6"/>
      <c r="G689" s="6" t="str">
        <f t="shared" si="5"/>
        <v>Task Execution</v>
      </c>
    </row>
    <row r="690" spans="1:7" ht="14" x14ac:dyDescent="0.15">
      <c r="A690" s="6" t="s">
        <v>832</v>
      </c>
      <c r="B690" s="8" t="s">
        <v>1892</v>
      </c>
      <c r="C690" s="6" t="str">
        <f>'Ann1 - Step 3'!C690</f>
        <v>Task Execution</v>
      </c>
      <c r="D690" s="6" t="str">
        <f>'Ann2 - Step 3'!C690</f>
        <v>Task Execution</v>
      </c>
      <c r="E690" s="6" t="b">
        <f t="shared" si="4"/>
        <v>0</v>
      </c>
      <c r="F690" s="6"/>
      <c r="G690" s="6" t="str">
        <f t="shared" si="5"/>
        <v>Task Execution</v>
      </c>
    </row>
    <row r="691" spans="1:7" ht="14" x14ac:dyDescent="0.15">
      <c r="A691" s="6" t="s">
        <v>853</v>
      </c>
      <c r="B691" s="8" t="s">
        <v>1893</v>
      </c>
      <c r="C691" s="6" t="str">
        <f>'Ann1 - Step 3'!C691</f>
        <v>Security</v>
      </c>
      <c r="D691" s="6" t="str">
        <f>'Ann2 - Step 3'!C691</f>
        <v>Security</v>
      </c>
      <c r="E691" s="6" t="b">
        <f t="shared" si="4"/>
        <v>0</v>
      </c>
      <c r="F691" s="6"/>
      <c r="G691" s="6" t="str">
        <f t="shared" si="5"/>
        <v>Security</v>
      </c>
    </row>
    <row r="692" spans="1:7" ht="14" x14ac:dyDescent="0.15">
      <c r="A692" s="6" t="s">
        <v>1477</v>
      </c>
      <c r="B692" s="8" t="s">
        <v>1894</v>
      </c>
      <c r="C692" s="6" t="str">
        <f>'Ann1 - Step 3'!C692</f>
        <v>Testing</v>
      </c>
      <c r="D692" s="6" t="str">
        <f>'Ann2 - Step 3'!C692</f>
        <v>Testing</v>
      </c>
      <c r="E692" s="6" t="b">
        <f t="shared" si="4"/>
        <v>0</v>
      </c>
      <c r="F692" s="6"/>
      <c r="G692" s="6" t="str">
        <f t="shared" si="5"/>
        <v>Testing</v>
      </c>
    </row>
    <row r="693" spans="1:7" ht="14" x14ac:dyDescent="0.15">
      <c r="A693" s="6" t="s">
        <v>249</v>
      </c>
      <c r="B693" s="8" t="s">
        <v>1895</v>
      </c>
      <c r="C693" s="6" t="str">
        <f>'Ann1 - Step 3'!C693</f>
        <v>Coding Pattern</v>
      </c>
      <c r="D693" s="6" t="str">
        <f>'Ann2 - Step 3'!C693</f>
        <v>Coding Pattern</v>
      </c>
      <c r="E693" s="6" t="b">
        <f t="shared" si="4"/>
        <v>0</v>
      </c>
      <c r="F693" s="6"/>
      <c r="G693" s="6" t="str">
        <f t="shared" si="5"/>
        <v>Coding Pattern</v>
      </c>
    </row>
    <row r="694" spans="1:7" ht="14" x14ac:dyDescent="0.15">
      <c r="A694" s="6" t="s">
        <v>339</v>
      </c>
      <c r="B694" s="8" t="s">
        <v>1896</v>
      </c>
      <c r="C694" s="6" t="str">
        <f>'Ann1 - Step 3'!C694</f>
        <v>Security</v>
      </c>
      <c r="D694" s="6" t="str">
        <f>'Ann2 - Step 3'!C694</f>
        <v>Security</v>
      </c>
      <c r="E694" s="6" t="b">
        <f t="shared" si="4"/>
        <v>0</v>
      </c>
      <c r="F694" s="6"/>
      <c r="G694" s="6" t="str">
        <f t="shared" si="5"/>
        <v>Security</v>
      </c>
    </row>
    <row r="695" spans="1:7" ht="14" x14ac:dyDescent="0.15">
      <c r="A695" s="31" t="s">
        <v>359</v>
      </c>
      <c r="B695" s="8" t="s">
        <v>1897</v>
      </c>
      <c r="C695" s="6" t="str">
        <f>'Ann1 - Step 3'!C695</f>
        <v>Coding Pattern</v>
      </c>
      <c r="D695" s="6" t="str">
        <f>'Ann2 - Step 3'!C695</f>
        <v>Testing</v>
      </c>
      <c r="E695" s="6" t="b">
        <f t="shared" si="4"/>
        <v>1</v>
      </c>
      <c r="F695" s="30" t="s">
        <v>88</v>
      </c>
      <c r="G695" s="6" t="str">
        <f t="shared" si="5"/>
        <v>Testing</v>
      </c>
    </row>
    <row r="696" spans="1:7" ht="14" x14ac:dyDescent="0.15">
      <c r="A696" s="6" t="s">
        <v>384</v>
      </c>
      <c r="B696" s="8" t="s">
        <v>1898</v>
      </c>
      <c r="C696" s="6" t="str">
        <f>'Ann1 - Step 3'!C696</f>
        <v>Coding Pattern</v>
      </c>
      <c r="D696" s="6" t="str">
        <f>'Ann2 - Step 3'!C696</f>
        <v>Coding Pattern</v>
      </c>
      <c r="E696" s="6" t="b">
        <f t="shared" si="4"/>
        <v>0</v>
      </c>
      <c r="F696" s="6"/>
      <c r="G696" s="6" t="str">
        <f t="shared" si="5"/>
        <v>Coding Pattern</v>
      </c>
    </row>
    <row r="697" spans="1:7" ht="14" x14ac:dyDescent="0.15">
      <c r="A697" s="6" t="s">
        <v>384</v>
      </c>
      <c r="B697" s="8" t="s">
        <v>1899</v>
      </c>
      <c r="C697" s="6" t="str">
        <f>'Ann1 - Step 3'!C697</f>
        <v>Coding Pattern</v>
      </c>
      <c r="D697" s="6" t="str">
        <f>'Ann2 - Step 3'!C697</f>
        <v>Coding Pattern</v>
      </c>
      <c r="E697" s="6" t="b">
        <f t="shared" si="4"/>
        <v>0</v>
      </c>
      <c r="F697" s="6"/>
      <c r="G697" s="6" t="str">
        <f t="shared" si="5"/>
        <v>Coding Pattern</v>
      </c>
    </row>
    <row r="698" spans="1:7" ht="14" x14ac:dyDescent="0.15">
      <c r="A698" s="6" t="s">
        <v>384</v>
      </c>
      <c r="B698" s="8" t="s">
        <v>1900</v>
      </c>
      <c r="C698" s="6" t="str">
        <f>'Ann1 - Step 3'!C698</f>
        <v>Coding Pattern</v>
      </c>
      <c r="D698" s="6" t="str">
        <f>'Ann2 - Step 3'!C698</f>
        <v>Coding Pattern</v>
      </c>
      <c r="E698" s="6" t="b">
        <f t="shared" si="4"/>
        <v>0</v>
      </c>
      <c r="F698" s="6"/>
      <c r="G698" s="6" t="str">
        <f t="shared" si="5"/>
        <v>Coding Pattern</v>
      </c>
    </row>
    <row r="699" spans="1:7" ht="14" x14ac:dyDescent="0.15">
      <c r="A699" s="6" t="s">
        <v>399</v>
      </c>
      <c r="B699" s="8" t="s">
        <v>1895</v>
      </c>
      <c r="C699" s="6" t="str">
        <f>'Ann1 - Step 3'!C699</f>
        <v>Coding Pattern</v>
      </c>
      <c r="D699" s="6" t="str">
        <f>'Ann2 - Step 3'!C699</f>
        <v>Coding Pattern</v>
      </c>
      <c r="E699" s="6" t="b">
        <f t="shared" si="4"/>
        <v>0</v>
      </c>
      <c r="F699" s="6"/>
      <c r="G699" s="6" t="str">
        <f t="shared" si="5"/>
        <v>Coding Pattern</v>
      </c>
    </row>
    <row r="700" spans="1:7" ht="14" x14ac:dyDescent="0.15">
      <c r="A700" s="6" t="s">
        <v>1127</v>
      </c>
      <c r="B700" s="8" t="s">
        <v>1901</v>
      </c>
      <c r="C700" s="6" t="str">
        <f>'Ann1 - Step 3'!C700</f>
        <v>Testing</v>
      </c>
      <c r="D700" s="6" t="str">
        <f>'Ann2 - Step 3'!C700</f>
        <v>Testing</v>
      </c>
      <c r="E700" s="6" t="b">
        <f t="shared" si="4"/>
        <v>0</v>
      </c>
      <c r="F700" s="6"/>
      <c r="G700" s="6" t="str">
        <f t="shared" si="5"/>
        <v>Testing</v>
      </c>
    </row>
    <row r="701" spans="1:7" ht="14" x14ac:dyDescent="0.15">
      <c r="A701" s="6" t="s">
        <v>57</v>
      </c>
      <c r="B701" s="8" t="s">
        <v>1902</v>
      </c>
      <c r="C701" s="6" t="str">
        <f>'Ann1 - Step 3'!C701</f>
        <v>Commit&amp;PR rule</v>
      </c>
      <c r="D701" s="6" t="str">
        <f>'Ann2 - Step 3'!C701</f>
        <v>Commit&amp;PR rule</v>
      </c>
      <c r="E701" s="6" t="b">
        <f t="shared" si="4"/>
        <v>0</v>
      </c>
      <c r="F701" s="6"/>
      <c r="G701" s="6" t="str">
        <f t="shared" si="5"/>
        <v>Commit&amp;PR rule</v>
      </c>
    </row>
    <row r="702" spans="1:7" ht="14" x14ac:dyDescent="0.15">
      <c r="A702" s="6" t="s">
        <v>497</v>
      </c>
      <c r="B702" s="8" t="s">
        <v>1903</v>
      </c>
      <c r="C702" s="6" t="str">
        <f>'Ann1 - Step 3'!C702</f>
        <v>Task Execution</v>
      </c>
      <c r="D702" s="6" t="str">
        <f>'Ann2 - Step 3'!C702</f>
        <v>Task Execution</v>
      </c>
      <c r="E702" s="6" t="b">
        <f t="shared" si="4"/>
        <v>0</v>
      </c>
      <c r="F702" s="6"/>
      <c r="G702" s="6" t="str">
        <f t="shared" si="5"/>
        <v>Task Execution</v>
      </c>
    </row>
    <row r="703" spans="1:7" ht="14" x14ac:dyDescent="0.15">
      <c r="A703" s="6" t="s">
        <v>617</v>
      </c>
      <c r="B703" s="8" t="s">
        <v>1904</v>
      </c>
      <c r="C703" s="6" t="str">
        <f>'Ann1 - Step 3'!C703</f>
        <v>Coding Pattern</v>
      </c>
      <c r="D703" s="6" t="str">
        <f>'Ann2 - Step 3'!C703</f>
        <v>Coding Pattern</v>
      </c>
      <c r="E703" s="6" t="b">
        <f t="shared" si="4"/>
        <v>0</v>
      </c>
      <c r="F703" s="6"/>
      <c r="G703" s="6" t="str">
        <f t="shared" si="5"/>
        <v>Coding Pattern</v>
      </c>
    </row>
    <row r="704" spans="1:7" ht="14" x14ac:dyDescent="0.15">
      <c r="A704" s="6" t="s">
        <v>1234</v>
      </c>
      <c r="B704" s="8" t="s">
        <v>1905</v>
      </c>
      <c r="C704" s="6" t="str">
        <f>'Ann1 - Step 3'!C704</f>
        <v>Coding Pattern</v>
      </c>
      <c r="D704" s="6" t="str">
        <f>'Ann2 - Step 3'!C704</f>
        <v>Coding Pattern</v>
      </c>
      <c r="E704" s="6" t="b">
        <f t="shared" si="4"/>
        <v>0</v>
      </c>
      <c r="F704" s="6"/>
      <c r="G704" s="6" t="str">
        <f t="shared" si="5"/>
        <v>Coding Pattern</v>
      </c>
    </row>
    <row r="705" spans="1:7" ht="14" x14ac:dyDescent="0.15">
      <c r="A705" s="6" t="s">
        <v>553</v>
      </c>
      <c r="B705" s="8" t="s">
        <v>1906</v>
      </c>
      <c r="C705" s="6" t="str">
        <f>'Ann1 - Step 3'!C705</f>
        <v>Coding Pattern</v>
      </c>
      <c r="D705" s="6" t="str">
        <f>'Ann2 - Step 3'!C705</f>
        <v>Coding Pattern</v>
      </c>
      <c r="E705" s="6" t="b">
        <f t="shared" si="4"/>
        <v>0</v>
      </c>
      <c r="F705" s="6"/>
      <c r="G705" s="6" t="str">
        <f t="shared" si="5"/>
        <v>Coding Pattern</v>
      </c>
    </row>
    <row r="706" spans="1:7" ht="28" x14ac:dyDescent="0.15">
      <c r="A706" s="6" t="s">
        <v>129</v>
      </c>
      <c r="B706" s="8" t="s">
        <v>1907</v>
      </c>
      <c r="C706" s="6" t="str">
        <f>'Ann1 - Step 3'!C706</f>
        <v>Performance</v>
      </c>
      <c r="D706" s="6" t="str">
        <f>'Ann2 - Step 3'!C706</f>
        <v>Performance</v>
      </c>
      <c r="E706" s="6" t="b">
        <f t="shared" si="4"/>
        <v>0</v>
      </c>
      <c r="F706" s="6"/>
      <c r="G706" s="6" t="str">
        <f t="shared" si="5"/>
        <v>Performance</v>
      </c>
    </row>
    <row r="707" spans="1:7" ht="14" x14ac:dyDescent="0.15">
      <c r="A707" s="6" t="s">
        <v>869</v>
      </c>
      <c r="B707" s="8" t="s">
        <v>1908</v>
      </c>
      <c r="C707" s="6" t="str">
        <f>'Ann1 - Step 3'!C707</f>
        <v>Coding Pattern</v>
      </c>
      <c r="D707" s="6" t="str">
        <f>'Ann2 - Step 3'!C707</f>
        <v>Coding Pattern</v>
      </c>
      <c r="E707" s="6" t="b">
        <f t="shared" si="4"/>
        <v>0</v>
      </c>
      <c r="F707" s="6"/>
      <c r="G707" s="6" t="str">
        <f t="shared" si="5"/>
        <v>Coding Pattern</v>
      </c>
    </row>
    <row r="708" spans="1:7" ht="14" x14ac:dyDescent="0.15">
      <c r="A708" s="6" t="s">
        <v>1103</v>
      </c>
      <c r="B708" s="8" t="s">
        <v>1908</v>
      </c>
      <c r="C708" s="6" t="str">
        <f>'Ann1 - Step 3'!C708</f>
        <v>Coding Pattern</v>
      </c>
      <c r="D708" s="6" t="str">
        <f>'Ann2 - Step 3'!C708</f>
        <v>Coding Pattern</v>
      </c>
      <c r="E708" s="6" t="b">
        <f t="shared" si="4"/>
        <v>0</v>
      </c>
      <c r="F708" s="6"/>
      <c r="G708" s="6" t="str">
        <f t="shared" si="5"/>
        <v>Coding Pattern</v>
      </c>
    </row>
    <row r="709" spans="1:7" ht="28" x14ac:dyDescent="0.15">
      <c r="A709" s="6" t="s">
        <v>45</v>
      </c>
      <c r="B709" s="8" t="s">
        <v>1909</v>
      </c>
      <c r="C709" s="6" t="str">
        <f>'Ann1 - Step 3'!C709</f>
        <v>Task Execution</v>
      </c>
      <c r="D709" s="6" t="str">
        <f>'Ann2 - Step 3'!C709</f>
        <v>Task Execution</v>
      </c>
      <c r="E709" s="6" t="b">
        <f t="shared" si="4"/>
        <v>0</v>
      </c>
      <c r="F709" s="6"/>
      <c r="G709" s="6" t="str">
        <f t="shared" si="5"/>
        <v>Task Execution</v>
      </c>
    </row>
    <row r="710" spans="1:7" ht="28" x14ac:dyDescent="0.15">
      <c r="A710" s="6" t="s">
        <v>476</v>
      </c>
      <c r="B710" s="8" t="s">
        <v>1910</v>
      </c>
      <c r="C710" s="6" t="str">
        <f>'Ann1 - Step 3'!C710</f>
        <v>Maintainability</v>
      </c>
      <c r="D710" s="6" t="str">
        <f>'Ann2 - Step 3'!C710</f>
        <v>Coding Pattern</v>
      </c>
      <c r="E710" s="6" t="b">
        <f t="shared" si="4"/>
        <v>1</v>
      </c>
      <c r="F710" s="30" t="s">
        <v>30</v>
      </c>
      <c r="G710" s="6" t="str">
        <f t="shared" si="5"/>
        <v>Coding Pattern</v>
      </c>
    </row>
    <row r="711" spans="1:7" ht="28" x14ac:dyDescent="0.15">
      <c r="A711" s="6" t="s">
        <v>359</v>
      </c>
      <c r="B711" s="8" t="s">
        <v>1911</v>
      </c>
      <c r="C711" s="6" t="str">
        <f>'Ann1 - Step 3'!C711</f>
        <v>Maintainability</v>
      </c>
      <c r="D711" s="6" t="str">
        <f>'Ann2 - Step 3'!C711</f>
        <v>Coding Pattern</v>
      </c>
      <c r="E711" s="6" t="b">
        <f t="shared" si="4"/>
        <v>1</v>
      </c>
      <c r="F711" s="30" t="s">
        <v>30</v>
      </c>
      <c r="G711" s="6" t="str">
        <f t="shared" si="5"/>
        <v>Coding Pattern</v>
      </c>
    </row>
    <row r="712" spans="1:7" ht="14" x14ac:dyDescent="0.15">
      <c r="A712" s="6" t="s">
        <v>658</v>
      </c>
      <c r="B712" s="8" t="s">
        <v>1912</v>
      </c>
      <c r="C712" s="6" t="str">
        <f>'Ann1 - Step 3'!C712</f>
        <v>Task Execution</v>
      </c>
      <c r="D712" s="6" t="str">
        <f>'Ann2 - Step 3'!C712</f>
        <v>Task Execution</v>
      </c>
      <c r="E712" s="6" t="b">
        <f t="shared" si="4"/>
        <v>0</v>
      </c>
      <c r="F712" s="6"/>
      <c r="G712" s="6" t="str">
        <f t="shared" si="5"/>
        <v>Task Execution</v>
      </c>
    </row>
    <row r="713" spans="1:7" ht="14" x14ac:dyDescent="0.15">
      <c r="A713" s="31" t="s">
        <v>70</v>
      </c>
      <c r="B713" s="8" t="s">
        <v>1913</v>
      </c>
      <c r="C713" s="6" t="str">
        <f>'Ann1 - Step 3'!C713</f>
        <v>Coding Style</v>
      </c>
      <c r="D713" s="6" t="str">
        <f>'Ann2 - Step 3'!C713</f>
        <v>Security</v>
      </c>
      <c r="E713" s="6" t="b">
        <f t="shared" si="4"/>
        <v>1</v>
      </c>
      <c r="F713" s="30" t="s">
        <v>83</v>
      </c>
      <c r="G713" s="6" t="str">
        <f t="shared" si="5"/>
        <v>Coding Style</v>
      </c>
    </row>
    <row r="714" spans="1:7" ht="14" x14ac:dyDescent="0.15">
      <c r="A714" s="6" t="s">
        <v>70</v>
      </c>
      <c r="B714" s="8" t="s">
        <v>1915</v>
      </c>
      <c r="C714" s="6" t="str">
        <f>'Ann1 - Step 3'!C714</f>
        <v>Coding Pattern</v>
      </c>
      <c r="D714" s="6" t="str">
        <f>'Ann2 - Step 3'!C714</f>
        <v>Coding Pattern</v>
      </c>
      <c r="E714" s="6" t="b">
        <f t="shared" si="4"/>
        <v>0</v>
      </c>
      <c r="F714" s="6"/>
      <c r="G714" s="6" t="str">
        <f t="shared" si="5"/>
        <v>Coding Pattern</v>
      </c>
    </row>
    <row r="715" spans="1:7" ht="14" x14ac:dyDescent="0.15">
      <c r="A715" s="6" t="s">
        <v>70</v>
      </c>
      <c r="B715" s="8" t="s">
        <v>1916</v>
      </c>
      <c r="C715" s="6" t="str">
        <f>'Ann1 - Step 3'!C715</f>
        <v>Coding Pattern</v>
      </c>
      <c r="D715" s="6" t="str">
        <f>'Ann2 - Step 3'!C715</f>
        <v>Coding Pattern</v>
      </c>
      <c r="E715" s="6" t="b">
        <f t="shared" si="4"/>
        <v>0</v>
      </c>
      <c r="F715" s="6"/>
      <c r="G715" s="6" t="str">
        <f t="shared" si="5"/>
        <v>Coding Pattern</v>
      </c>
    </row>
    <row r="716" spans="1:7" ht="14" x14ac:dyDescent="0.15">
      <c r="A716" s="6" t="s">
        <v>70</v>
      </c>
      <c r="B716" s="8" t="s">
        <v>1917</v>
      </c>
      <c r="C716" s="6" t="str">
        <f>'Ann1 - Step 3'!C716</f>
        <v>Build &amp; Operation</v>
      </c>
      <c r="D716" s="6" t="str">
        <f>'Ann2 - Step 3'!C716</f>
        <v>Build &amp; Operation</v>
      </c>
      <c r="E716" s="6" t="b">
        <f t="shared" si="4"/>
        <v>0</v>
      </c>
      <c r="F716" s="6"/>
      <c r="G716" s="6" t="str">
        <f t="shared" si="5"/>
        <v>Build &amp; Operation</v>
      </c>
    </row>
    <row r="717" spans="1:7" ht="14" x14ac:dyDescent="0.15">
      <c r="A717" s="6" t="s">
        <v>70</v>
      </c>
      <c r="B717" s="8" t="s">
        <v>1918</v>
      </c>
      <c r="C717" s="6" t="str">
        <f>'Ann1 - Step 3'!C717</f>
        <v>Task Execution</v>
      </c>
      <c r="D717" s="6" t="str">
        <f>'Ann2 - Step 3'!C717</f>
        <v>Task Execution</v>
      </c>
      <c r="E717" s="6" t="b">
        <f t="shared" si="4"/>
        <v>0</v>
      </c>
      <c r="F717" s="6"/>
      <c r="G717" s="6" t="str">
        <f t="shared" si="5"/>
        <v>Task Execution</v>
      </c>
    </row>
    <row r="718" spans="1:7" ht="14" x14ac:dyDescent="0.15">
      <c r="A718" s="6" t="s">
        <v>70</v>
      </c>
      <c r="B718" s="8" t="s">
        <v>1919</v>
      </c>
      <c r="C718" s="6" t="str">
        <f>'Ann1 - Step 3'!C718</f>
        <v>Task Execution</v>
      </c>
      <c r="D718" s="6" t="str">
        <f>'Ann2 - Step 3'!C718</f>
        <v>Task Execution</v>
      </c>
      <c r="E718" s="6" t="b">
        <f t="shared" si="4"/>
        <v>0</v>
      </c>
      <c r="F718" s="6"/>
      <c r="G718" s="6" t="str">
        <f t="shared" si="5"/>
        <v>Task Execution</v>
      </c>
    </row>
    <row r="719" spans="1:7" ht="14" x14ac:dyDescent="0.15">
      <c r="A719" s="6" t="s">
        <v>70</v>
      </c>
      <c r="B719" s="8" t="s">
        <v>1913</v>
      </c>
      <c r="C719" s="6" t="str">
        <f>'Ann1 - Step 3'!C719</f>
        <v>Coding Style</v>
      </c>
      <c r="D719" s="6" t="str">
        <f>'Ann2 - Step 3'!C719</f>
        <v>Security</v>
      </c>
      <c r="E719" s="6" t="b">
        <f t="shared" si="4"/>
        <v>1</v>
      </c>
      <c r="F719" s="30" t="s">
        <v>83</v>
      </c>
      <c r="G719" s="6" t="str">
        <f t="shared" si="5"/>
        <v>Coding Style</v>
      </c>
    </row>
    <row r="720" spans="1:7" ht="14" x14ac:dyDescent="0.15">
      <c r="A720" s="6" t="s">
        <v>70</v>
      </c>
      <c r="B720" s="8" t="s">
        <v>1915</v>
      </c>
      <c r="C720" s="6" t="str">
        <f>'Ann1 - Step 3'!C720</f>
        <v>Coding Pattern</v>
      </c>
      <c r="D720" s="6" t="str">
        <f>'Ann2 - Step 3'!C720</f>
        <v>Coding Pattern</v>
      </c>
      <c r="E720" s="6" t="b">
        <f t="shared" si="4"/>
        <v>0</v>
      </c>
      <c r="F720" s="6"/>
      <c r="G720" s="6" t="str">
        <f t="shared" si="5"/>
        <v>Coding Pattern</v>
      </c>
    </row>
    <row r="721" spans="1:7" ht="14" x14ac:dyDescent="0.15">
      <c r="A721" s="6" t="s">
        <v>70</v>
      </c>
      <c r="B721" s="8" t="s">
        <v>1916</v>
      </c>
      <c r="C721" s="6" t="str">
        <f>'Ann1 - Step 3'!C721</f>
        <v>Coding Pattern</v>
      </c>
      <c r="D721" s="6" t="str">
        <f>'Ann2 - Step 3'!C721</f>
        <v>Coding Pattern</v>
      </c>
      <c r="E721" s="6" t="b">
        <f t="shared" si="4"/>
        <v>0</v>
      </c>
      <c r="F721" s="6"/>
      <c r="G721" s="6" t="str">
        <f t="shared" si="5"/>
        <v>Coding Pattern</v>
      </c>
    </row>
    <row r="722" spans="1:7" ht="14" x14ac:dyDescent="0.15">
      <c r="A722" s="6" t="s">
        <v>70</v>
      </c>
      <c r="B722" s="8" t="s">
        <v>1920</v>
      </c>
      <c r="C722" s="6" t="str">
        <f>'Ann1 - Step 3'!C722</f>
        <v>Coding Style</v>
      </c>
      <c r="D722" s="6" t="str">
        <f>'Ann2 - Step 3'!C722</f>
        <v>Coding Style</v>
      </c>
      <c r="E722" s="6" t="b">
        <f t="shared" si="4"/>
        <v>0</v>
      </c>
      <c r="F722" s="6"/>
      <c r="G722" s="6" t="str">
        <f t="shared" si="5"/>
        <v>Coding Style</v>
      </c>
    </row>
    <row r="723" spans="1:7" ht="14" x14ac:dyDescent="0.15">
      <c r="A723" s="6" t="s">
        <v>70</v>
      </c>
      <c r="B723" s="8" t="s">
        <v>1921</v>
      </c>
      <c r="C723" s="6" t="str">
        <f>'Ann1 - Step 3'!C723</f>
        <v>Coding Style</v>
      </c>
      <c r="D723" s="6" t="str">
        <f>'Ann2 - Step 3'!C723</f>
        <v>Coding Style</v>
      </c>
      <c r="E723" s="6" t="b">
        <f t="shared" si="4"/>
        <v>0</v>
      </c>
      <c r="F723" s="6"/>
      <c r="G723" s="6" t="str">
        <f t="shared" si="5"/>
        <v>Coding Style</v>
      </c>
    </row>
    <row r="724" spans="1:7" ht="14" x14ac:dyDescent="0.15">
      <c r="A724" s="6" t="s">
        <v>70</v>
      </c>
      <c r="B724" s="8" t="s">
        <v>1922</v>
      </c>
      <c r="C724" s="6" t="str">
        <f>'Ann1 - Step 3'!C724</f>
        <v>Commit&amp;PR rule</v>
      </c>
      <c r="D724" s="6" t="str">
        <f>'Ann2 - Step 3'!C724</f>
        <v>Commit&amp;PR rule</v>
      </c>
      <c r="E724" s="6" t="b">
        <f t="shared" si="4"/>
        <v>0</v>
      </c>
      <c r="F724" s="6"/>
      <c r="G724" s="6" t="str">
        <f t="shared" si="5"/>
        <v>Commit&amp;PR rule</v>
      </c>
    </row>
    <row r="725" spans="1:7" ht="14" x14ac:dyDescent="0.15">
      <c r="A725" s="6" t="s">
        <v>1925</v>
      </c>
      <c r="B725" s="8" t="s">
        <v>1926</v>
      </c>
      <c r="C725" s="6" t="str">
        <f>'Ann1 - Step 3'!C725</f>
        <v>Commit&amp;PR rule</v>
      </c>
      <c r="D725" s="6" t="str">
        <f>'Ann2 - Step 3'!C725</f>
        <v>Commit&amp;PR rule</v>
      </c>
      <c r="E725" s="6" t="b">
        <f t="shared" si="4"/>
        <v>0</v>
      </c>
      <c r="F725" s="6"/>
      <c r="G725" s="6" t="str">
        <f t="shared" si="5"/>
        <v>Commit&amp;PR rule</v>
      </c>
    </row>
    <row r="726" spans="1:7" ht="14" x14ac:dyDescent="0.15">
      <c r="A726" s="6" t="s">
        <v>120</v>
      </c>
      <c r="B726" s="8" t="s">
        <v>1927</v>
      </c>
      <c r="C726" s="6" t="str">
        <f>'Ann1 - Step 3'!C726</f>
        <v>Task Execution</v>
      </c>
      <c r="D726" s="6" t="str">
        <f>'Ann2 - Step 3'!C726</f>
        <v>Task Execution</v>
      </c>
      <c r="E726" s="6" t="b">
        <f t="shared" si="4"/>
        <v>0</v>
      </c>
      <c r="F726" s="6"/>
      <c r="G726" s="6" t="str">
        <f t="shared" si="5"/>
        <v>Task Execution</v>
      </c>
    </row>
    <row r="727" spans="1:7" ht="14" x14ac:dyDescent="0.15">
      <c r="A727" s="6" t="s">
        <v>120</v>
      </c>
      <c r="B727" s="8" t="s">
        <v>1928</v>
      </c>
      <c r="C727" s="6" t="str">
        <f>'Ann1 - Step 3'!C727</f>
        <v>Documentation</v>
      </c>
      <c r="D727" s="6" t="str">
        <f>'Ann2 - Step 3'!C727</f>
        <v>Documentation</v>
      </c>
      <c r="E727" s="6" t="b">
        <f t="shared" si="4"/>
        <v>0</v>
      </c>
      <c r="F727" s="6"/>
      <c r="G727" s="6" t="str">
        <f t="shared" si="5"/>
        <v>Documentation</v>
      </c>
    </row>
    <row r="728" spans="1:7" ht="14" x14ac:dyDescent="0.15">
      <c r="A728" s="6" t="s">
        <v>1404</v>
      </c>
      <c r="B728" s="8" t="s">
        <v>1929</v>
      </c>
      <c r="C728" s="6" t="str">
        <f>'Ann1 - Step 3'!C728</f>
        <v>Coding Pattern</v>
      </c>
      <c r="D728" s="6" t="str">
        <f>'Ann2 - Step 3'!C728</f>
        <v>Coding Pattern</v>
      </c>
      <c r="E728" s="6" t="b">
        <f t="shared" si="4"/>
        <v>0</v>
      </c>
      <c r="F728" s="6"/>
      <c r="G728" s="6" t="str">
        <f t="shared" si="5"/>
        <v>Coding Pattern</v>
      </c>
    </row>
    <row r="729" spans="1:7" ht="14" x14ac:dyDescent="0.15">
      <c r="A729" s="6" t="s">
        <v>1404</v>
      </c>
      <c r="B729" s="8" t="s">
        <v>1930</v>
      </c>
      <c r="C729" s="6" t="str">
        <f>'Ann1 - Step 3'!C729</f>
        <v>Coding Style</v>
      </c>
      <c r="D729" s="6" t="str">
        <f>'Ann2 - Step 3'!C729</f>
        <v>Coding Style</v>
      </c>
      <c r="E729" s="6" t="b">
        <f t="shared" si="4"/>
        <v>0</v>
      </c>
      <c r="F729" s="6"/>
      <c r="G729" s="6" t="str">
        <f t="shared" si="5"/>
        <v>Coding Style</v>
      </c>
    </row>
    <row r="730" spans="1:7" ht="14" x14ac:dyDescent="0.15">
      <c r="A730" s="6" t="s">
        <v>725</v>
      </c>
      <c r="B730" s="8" t="s">
        <v>1931</v>
      </c>
      <c r="C730" s="6" t="str">
        <f>'Ann1 - Step 3'!C730</f>
        <v>Build &amp; Operation</v>
      </c>
      <c r="D730" s="6" t="str">
        <f>'Ann2 - Step 3'!C730</f>
        <v>Build &amp; Operation</v>
      </c>
      <c r="E730" s="6" t="b">
        <f t="shared" si="4"/>
        <v>0</v>
      </c>
      <c r="F730" s="6"/>
      <c r="G730" s="6" t="str">
        <f t="shared" si="5"/>
        <v>Build &amp; Operation</v>
      </c>
    </row>
    <row r="731" spans="1:7" ht="14" x14ac:dyDescent="0.15">
      <c r="A731" s="6" t="s">
        <v>1933</v>
      </c>
      <c r="B731" s="8" t="s">
        <v>1934</v>
      </c>
      <c r="C731" s="6" t="str">
        <f>'Ann1 - Step 3'!C731</f>
        <v>Documentation</v>
      </c>
      <c r="D731" s="6" t="str">
        <f>'Ann2 - Step 3'!C731</f>
        <v>Documentation</v>
      </c>
      <c r="E731" s="6" t="b">
        <f t="shared" si="4"/>
        <v>0</v>
      </c>
      <c r="F731" s="6"/>
      <c r="G731" s="6" t="str">
        <f t="shared" si="5"/>
        <v>Documentation</v>
      </c>
    </row>
    <row r="732" spans="1:7" ht="14" x14ac:dyDescent="0.15">
      <c r="A732" s="6" t="s">
        <v>1933</v>
      </c>
      <c r="B732" s="8" t="s">
        <v>1935</v>
      </c>
      <c r="C732" s="6" t="str">
        <f>'Ann1 - Step 3'!C732</f>
        <v>Task Execution</v>
      </c>
      <c r="D732" s="6" t="str">
        <f>'Ann2 - Step 3'!C732</f>
        <v>Task Execution</v>
      </c>
      <c r="E732" s="6" t="b">
        <f t="shared" si="4"/>
        <v>0</v>
      </c>
      <c r="F732" s="6"/>
      <c r="G732" s="6" t="str">
        <f t="shared" si="5"/>
        <v>Task Execution</v>
      </c>
    </row>
    <row r="733" spans="1:7" ht="14" x14ac:dyDescent="0.15">
      <c r="A733" s="6" t="s">
        <v>1933</v>
      </c>
      <c r="B733" s="8" t="s">
        <v>1936</v>
      </c>
      <c r="C733" s="6" t="str">
        <f>'Ann1 - Step 3'!C733</f>
        <v>Commit&amp;PR rule</v>
      </c>
      <c r="D733" s="6" t="str">
        <f>'Ann2 - Step 3'!C733</f>
        <v>Commit&amp;PR rule</v>
      </c>
      <c r="E733" s="6" t="b">
        <f t="shared" si="4"/>
        <v>0</v>
      </c>
      <c r="F733" s="6"/>
      <c r="G733" s="6" t="str">
        <f t="shared" si="5"/>
        <v>Commit&amp;PR rule</v>
      </c>
    </row>
    <row r="734" spans="1:7" ht="14" x14ac:dyDescent="0.15">
      <c r="A734" s="6" t="s">
        <v>621</v>
      </c>
      <c r="B734" s="8" t="s">
        <v>1937</v>
      </c>
      <c r="C734" s="6" t="str">
        <f>'Ann1 - Step 3'!C734</f>
        <v>Coding Style</v>
      </c>
      <c r="D734" s="6" t="str">
        <f>'Ann2 - Step 3'!C734</f>
        <v>Coding Style</v>
      </c>
      <c r="E734" s="6" t="b">
        <f t="shared" si="4"/>
        <v>0</v>
      </c>
      <c r="F734" s="6"/>
      <c r="G734" s="6" t="str">
        <f t="shared" si="5"/>
        <v>Coding Style</v>
      </c>
    </row>
    <row r="735" spans="1:7" ht="14" x14ac:dyDescent="0.15">
      <c r="A735" s="6" t="s">
        <v>621</v>
      </c>
      <c r="B735" s="8" t="s">
        <v>1938</v>
      </c>
      <c r="C735" s="6" t="str">
        <f>'Ann1 - Step 3'!C735</f>
        <v>Coding Pattern</v>
      </c>
      <c r="D735" s="6" t="str">
        <f>'Ann2 - Step 3'!C735</f>
        <v>Coding Pattern</v>
      </c>
      <c r="E735" s="6" t="b">
        <f t="shared" si="4"/>
        <v>0</v>
      </c>
      <c r="F735" s="6"/>
      <c r="G735" s="6" t="str">
        <f t="shared" si="5"/>
        <v>Coding Pattern</v>
      </c>
    </row>
    <row r="736" spans="1:7" ht="14" x14ac:dyDescent="0.15">
      <c r="A736" s="6" t="s">
        <v>621</v>
      </c>
      <c r="B736" s="8" t="s">
        <v>1939</v>
      </c>
      <c r="C736" s="6" t="str">
        <f>'Ann1 - Step 3'!C736</f>
        <v>Coding Pattern</v>
      </c>
      <c r="D736" s="6" t="str">
        <f>'Ann2 - Step 3'!C736</f>
        <v>Coding Pattern</v>
      </c>
      <c r="E736" s="6" t="b">
        <f t="shared" si="4"/>
        <v>0</v>
      </c>
      <c r="F736" s="6"/>
      <c r="G736" s="6" t="str">
        <f t="shared" si="5"/>
        <v>Coding Pattern</v>
      </c>
    </row>
    <row r="737" spans="1:7" ht="14" x14ac:dyDescent="0.15">
      <c r="A737" s="6" t="s">
        <v>125</v>
      </c>
      <c r="B737" s="8" t="s">
        <v>1940</v>
      </c>
      <c r="C737" s="6" t="str">
        <f>'Ann1 - Step 3'!C737</f>
        <v>Coding Pattern</v>
      </c>
      <c r="D737" s="6" t="str">
        <f>'Ann2 - Step 3'!C737</f>
        <v>Coding Pattern</v>
      </c>
      <c r="E737" s="6" t="b">
        <f t="shared" si="4"/>
        <v>0</v>
      </c>
      <c r="F737" s="6"/>
      <c r="G737" s="6" t="str">
        <f t="shared" si="5"/>
        <v>Coding Pattern</v>
      </c>
    </row>
    <row r="738" spans="1:7" ht="14" x14ac:dyDescent="0.15">
      <c r="A738" s="6" t="s">
        <v>129</v>
      </c>
      <c r="B738" s="8" t="s">
        <v>1941</v>
      </c>
      <c r="C738" s="6" t="str">
        <f>'Ann1 - Step 3'!C738</f>
        <v>Coding Pattern</v>
      </c>
      <c r="D738" s="6" t="str">
        <f>'Ann2 - Step 3'!C738</f>
        <v>Coding Pattern</v>
      </c>
      <c r="E738" s="6" t="b">
        <f t="shared" si="4"/>
        <v>0</v>
      </c>
      <c r="F738" s="6"/>
      <c r="G738" s="6" t="str">
        <f t="shared" si="5"/>
        <v>Coding Pattern</v>
      </c>
    </row>
    <row r="739" spans="1:7" ht="14" x14ac:dyDescent="0.15">
      <c r="A739" s="6" t="s">
        <v>129</v>
      </c>
      <c r="B739" s="8" t="s">
        <v>1942</v>
      </c>
      <c r="C739" s="6" t="str">
        <f>'Ann1 - Step 3'!C739</f>
        <v>Coding Pattern</v>
      </c>
      <c r="D739" s="6" t="str">
        <f>'Ann2 - Step 3'!C739</f>
        <v>Coding Pattern</v>
      </c>
      <c r="E739" s="6" t="b">
        <f t="shared" si="4"/>
        <v>0</v>
      </c>
      <c r="F739" s="6"/>
      <c r="G739" s="6" t="str">
        <f t="shared" si="5"/>
        <v>Coding Pattern</v>
      </c>
    </row>
    <row r="740" spans="1:7" ht="14" x14ac:dyDescent="0.15">
      <c r="A740" s="6" t="s">
        <v>129</v>
      </c>
      <c r="B740" s="8" t="s">
        <v>1943</v>
      </c>
      <c r="C740" s="6" t="str">
        <f>'Ann1 - Step 3'!C740</f>
        <v>Coding Pattern</v>
      </c>
      <c r="D740" s="6" t="str">
        <f>'Ann2 - Step 3'!C740</f>
        <v>Coding Pattern</v>
      </c>
      <c r="E740" s="6" t="b">
        <f t="shared" si="4"/>
        <v>0</v>
      </c>
      <c r="F740" s="6"/>
      <c r="G740" s="6" t="str">
        <f t="shared" si="5"/>
        <v>Coding Pattern</v>
      </c>
    </row>
    <row r="741" spans="1:7" ht="14" x14ac:dyDescent="0.15">
      <c r="A741" s="6" t="s">
        <v>129</v>
      </c>
      <c r="B741" s="8" t="s">
        <v>1944</v>
      </c>
      <c r="C741" s="6" t="str">
        <f>'Ann1 - Step 3'!C741</f>
        <v>Coding Pattern</v>
      </c>
      <c r="D741" s="6" t="str">
        <f>'Ann2 - Step 3'!C741</f>
        <v>Coding Pattern</v>
      </c>
      <c r="E741" s="6" t="b">
        <f t="shared" si="4"/>
        <v>0</v>
      </c>
      <c r="F741" s="6"/>
      <c r="G741" s="6" t="str">
        <f t="shared" si="5"/>
        <v>Coding Pattern</v>
      </c>
    </row>
    <row r="742" spans="1:7" ht="14" x14ac:dyDescent="0.15">
      <c r="A742" s="6" t="s">
        <v>129</v>
      </c>
      <c r="B742" s="8" t="s">
        <v>1945</v>
      </c>
      <c r="C742" s="6" t="str">
        <f>'Ann1 - Step 3'!C742</f>
        <v>Security</v>
      </c>
      <c r="D742" s="6" t="str">
        <f>'Ann2 - Step 3'!C742</f>
        <v>Security</v>
      </c>
      <c r="E742" s="6" t="b">
        <f t="shared" si="4"/>
        <v>0</v>
      </c>
      <c r="F742" s="6"/>
      <c r="G742" s="6" t="str">
        <f t="shared" si="5"/>
        <v>Security</v>
      </c>
    </row>
    <row r="743" spans="1:7" ht="14" x14ac:dyDescent="0.15">
      <c r="A743" s="6" t="s">
        <v>1410</v>
      </c>
      <c r="B743" s="8" t="s">
        <v>1946</v>
      </c>
      <c r="C743" s="6" t="str">
        <f>'Ann1 - Step 3'!C743</f>
        <v>Testing</v>
      </c>
      <c r="D743" s="6" t="str">
        <f>'Ann2 - Step 3'!C743</f>
        <v>Testing</v>
      </c>
      <c r="E743" s="6" t="b">
        <f t="shared" si="4"/>
        <v>0</v>
      </c>
      <c r="F743" s="6"/>
      <c r="G743" s="6" t="str">
        <f t="shared" si="5"/>
        <v>Testing</v>
      </c>
    </row>
    <row r="744" spans="1:7" ht="14" x14ac:dyDescent="0.15">
      <c r="A744" s="6" t="s">
        <v>1410</v>
      </c>
      <c r="B744" s="8" t="s">
        <v>1947</v>
      </c>
      <c r="C744" s="6" t="str">
        <f>'Ann1 - Step 3'!C744</f>
        <v>Task Execution</v>
      </c>
      <c r="D744" s="6" t="str">
        <f>'Ann2 - Step 3'!C744</f>
        <v>Task Execution</v>
      </c>
      <c r="E744" s="6" t="b">
        <f t="shared" si="4"/>
        <v>0</v>
      </c>
      <c r="F744" s="6"/>
      <c r="G744" s="6" t="str">
        <f t="shared" si="5"/>
        <v>Task Execution</v>
      </c>
    </row>
    <row r="745" spans="1:7" ht="14" x14ac:dyDescent="0.15">
      <c r="A745" s="6" t="s">
        <v>1410</v>
      </c>
      <c r="B745" s="8" t="s">
        <v>1948</v>
      </c>
      <c r="C745" s="6" t="str">
        <f>'Ann1 - Step 3'!C745</f>
        <v>Task Execution</v>
      </c>
      <c r="D745" s="6" t="str">
        <f>'Ann2 - Step 3'!C745</f>
        <v>Task Execution</v>
      </c>
      <c r="E745" s="6" t="b">
        <f t="shared" si="4"/>
        <v>0</v>
      </c>
      <c r="F745" s="6"/>
      <c r="G745" s="6" t="str">
        <f t="shared" si="5"/>
        <v>Task Execution</v>
      </c>
    </row>
    <row r="746" spans="1:7" ht="14" x14ac:dyDescent="0.15">
      <c r="A746" s="6" t="s">
        <v>1410</v>
      </c>
      <c r="B746" s="8" t="s">
        <v>1949</v>
      </c>
      <c r="C746" s="6" t="str">
        <f>'Ann1 - Step 3'!C746</f>
        <v>Documentation</v>
      </c>
      <c r="D746" s="6" t="str">
        <f>'Ann2 - Step 3'!C746</f>
        <v>Documentation</v>
      </c>
      <c r="E746" s="6" t="b">
        <f t="shared" si="4"/>
        <v>0</v>
      </c>
      <c r="F746" s="6"/>
      <c r="G746" s="6" t="str">
        <f t="shared" si="5"/>
        <v>Documentation</v>
      </c>
    </row>
    <row r="747" spans="1:7" ht="14" x14ac:dyDescent="0.15">
      <c r="A747" s="6" t="s">
        <v>133</v>
      </c>
      <c r="B747" s="8" t="s">
        <v>1950</v>
      </c>
      <c r="C747" s="6" t="str">
        <f>'Ann1 - Step 3'!C747</f>
        <v>Documentation</v>
      </c>
      <c r="D747" s="6" t="str">
        <f>'Ann2 - Step 3'!C747</f>
        <v>Documentation</v>
      </c>
      <c r="E747" s="6" t="b">
        <f t="shared" si="4"/>
        <v>0</v>
      </c>
      <c r="F747" s="6"/>
      <c r="G747" s="6" t="str">
        <f t="shared" si="5"/>
        <v>Documentation</v>
      </c>
    </row>
    <row r="748" spans="1:7" ht="14" x14ac:dyDescent="0.15">
      <c r="A748" s="6" t="s">
        <v>133</v>
      </c>
      <c r="B748" s="8" t="s">
        <v>1951</v>
      </c>
      <c r="C748" s="6" t="str">
        <f>'Ann1 - Step 3'!C748</f>
        <v>Build &amp; Operation</v>
      </c>
      <c r="D748" s="6" t="str">
        <f>'Ann2 - Step 3'!C748</f>
        <v>Build &amp; Operation</v>
      </c>
      <c r="E748" s="6" t="b">
        <f t="shared" si="4"/>
        <v>0</v>
      </c>
      <c r="F748" s="6"/>
      <c r="G748" s="6" t="str">
        <f t="shared" si="5"/>
        <v>Build &amp; Operation</v>
      </c>
    </row>
    <row r="749" spans="1:7" ht="14" x14ac:dyDescent="0.15">
      <c r="A749" s="6" t="s">
        <v>133</v>
      </c>
      <c r="B749" s="8" t="s">
        <v>1952</v>
      </c>
      <c r="C749" s="6" t="str">
        <f>'Ann1 - Step 3'!C749</f>
        <v>Coding Style</v>
      </c>
      <c r="D749" s="6" t="str">
        <f>'Ann2 - Step 3'!C749</f>
        <v>Coding Style</v>
      </c>
      <c r="E749" s="6" t="b">
        <f t="shared" si="4"/>
        <v>0</v>
      </c>
      <c r="F749" s="6"/>
      <c r="G749" s="6" t="str">
        <f t="shared" si="5"/>
        <v>Coding Style</v>
      </c>
    </row>
    <row r="750" spans="1:7" ht="14" x14ac:dyDescent="0.15">
      <c r="A750" s="6" t="s">
        <v>133</v>
      </c>
      <c r="B750" s="8" t="s">
        <v>1953</v>
      </c>
      <c r="C750" s="6" t="str">
        <f>'Ann1 - Step 3'!C750</f>
        <v>Build &amp; Operation</v>
      </c>
      <c r="D750" s="6" t="str">
        <f>'Ann2 - Step 3'!C750</f>
        <v>Task Execution</v>
      </c>
      <c r="E750" s="6" t="b">
        <f t="shared" si="4"/>
        <v>1</v>
      </c>
      <c r="F750" s="30" t="s">
        <v>136</v>
      </c>
      <c r="G750" s="6" t="str">
        <f t="shared" si="5"/>
        <v>Build &amp; Operation</v>
      </c>
    </row>
    <row r="751" spans="1:7" ht="14" x14ac:dyDescent="0.15">
      <c r="A751" s="6" t="s">
        <v>133</v>
      </c>
      <c r="B751" s="8" t="s">
        <v>1954</v>
      </c>
      <c r="C751" s="6" t="str">
        <f>'Ann1 - Step 3'!C751</f>
        <v>Task Execution</v>
      </c>
      <c r="D751" s="6" t="str">
        <f>'Ann2 - Step 3'!C751</f>
        <v>Task Execution</v>
      </c>
      <c r="E751" s="6" t="b">
        <f t="shared" si="4"/>
        <v>0</v>
      </c>
      <c r="F751" s="6"/>
      <c r="G751" s="6" t="str">
        <f t="shared" si="5"/>
        <v>Task Execution</v>
      </c>
    </row>
    <row r="752" spans="1:7" ht="14" x14ac:dyDescent="0.15">
      <c r="A752" s="6" t="s">
        <v>133</v>
      </c>
      <c r="B752" s="8" t="s">
        <v>1955</v>
      </c>
      <c r="C752" s="6" t="str">
        <f>'Ann1 - Step 3'!C752</f>
        <v>Task Execution</v>
      </c>
      <c r="D752" s="6" t="str">
        <f>'Ann2 - Step 3'!C752</f>
        <v>Task Execution</v>
      </c>
      <c r="E752" s="6" t="b">
        <f t="shared" si="4"/>
        <v>0</v>
      </c>
      <c r="F752" s="6"/>
      <c r="G752" s="6" t="str">
        <f t="shared" si="5"/>
        <v>Task Execution</v>
      </c>
    </row>
    <row r="753" spans="1:7" ht="28" x14ac:dyDescent="0.15">
      <c r="A753" s="6" t="s">
        <v>133</v>
      </c>
      <c r="B753" s="8" t="s">
        <v>1956</v>
      </c>
      <c r="C753" s="6" t="str">
        <f>'Ann1 - Step 3'!C753</f>
        <v>Coding Pattern</v>
      </c>
      <c r="D753" s="6" t="str">
        <f>'Ann2 - Step 3'!C753</f>
        <v>Coding Pattern</v>
      </c>
      <c r="E753" s="6" t="b">
        <f t="shared" si="4"/>
        <v>0</v>
      </c>
      <c r="F753" s="6"/>
      <c r="G753" s="6" t="str">
        <f t="shared" si="5"/>
        <v>Coding Pattern</v>
      </c>
    </row>
    <row r="754" spans="1:7" ht="14" x14ac:dyDescent="0.15">
      <c r="A754" s="6" t="s">
        <v>142</v>
      </c>
      <c r="B754" s="8" t="s">
        <v>1957</v>
      </c>
      <c r="C754" s="6" t="str">
        <f>'Ann1 - Step 3'!C754</f>
        <v>Task Execution</v>
      </c>
      <c r="D754" s="6" t="str">
        <f>'Ann2 - Step 3'!C754</f>
        <v>Task Execution</v>
      </c>
      <c r="E754" s="6" t="b">
        <f t="shared" si="4"/>
        <v>0</v>
      </c>
      <c r="F754" s="6"/>
      <c r="G754" s="6" t="str">
        <f t="shared" si="5"/>
        <v>Task Execution</v>
      </c>
    </row>
    <row r="755" spans="1:7" ht="28" x14ac:dyDescent="0.15">
      <c r="A755" s="6" t="s">
        <v>142</v>
      </c>
      <c r="B755" s="8" t="s">
        <v>1958</v>
      </c>
      <c r="C755" s="6" t="str">
        <f>'Ann1 - Step 3'!C755</f>
        <v>Task Execution</v>
      </c>
      <c r="D755" s="6" t="str">
        <f>'Ann2 - Step 3'!C755</f>
        <v>Task Execution</v>
      </c>
      <c r="E755" s="6" t="b">
        <f t="shared" si="4"/>
        <v>0</v>
      </c>
      <c r="F755" s="6"/>
      <c r="G755" s="6" t="str">
        <f t="shared" si="5"/>
        <v>Task Execution</v>
      </c>
    </row>
    <row r="756" spans="1:7" ht="14" x14ac:dyDescent="0.15">
      <c r="A756" s="6" t="s">
        <v>142</v>
      </c>
      <c r="B756" s="8" t="s">
        <v>1959</v>
      </c>
      <c r="C756" s="6" t="str">
        <f>'Ann1 - Step 3'!C756</f>
        <v>Task Execution</v>
      </c>
      <c r="D756" s="6" t="str">
        <f>'Ann2 - Step 3'!C756</f>
        <v>Task Execution</v>
      </c>
      <c r="E756" s="6" t="b">
        <f t="shared" si="4"/>
        <v>0</v>
      </c>
      <c r="F756" s="6"/>
      <c r="G756" s="6" t="str">
        <f t="shared" si="5"/>
        <v>Task Execution</v>
      </c>
    </row>
    <row r="757" spans="1:7" ht="14" x14ac:dyDescent="0.15">
      <c r="A757" s="6" t="s">
        <v>142</v>
      </c>
      <c r="B757" s="8" t="s">
        <v>1960</v>
      </c>
      <c r="C757" s="6" t="str">
        <f>'Ann1 - Step 3'!C757</f>
        <v>Task Execution</v>
      </c>
      <c r="D757" s="6" t="str">
        <f>'Ann2 - Step 3'!C757</f>
        <v>Task Execution</v>
      </c>
      <c r="E757" s="6" t="b">
        <f t="shared" si="4"/>
        <v>0</v>
      </c>
      <c r="F757" s="6"/>
      <c r="G757" s="6" t="str">
        <f t="shared" si="5"/>
        <v>Task Execution</v>
      </c>
    </row>
    <row r="758" spans="1:7" ht="14" x14ac:dyDescent="0.15">
      <c r="A758" s="6" t="s">
        <v>142</v>
      </c>
      <c r="B758" s="8" t="s">
        <v>1961</v>
      </c>
      <c r="C758" s="6" t="str">
        <f>'Ann1 - Step 3'!C758</f>
        <v>Coding Pattern</v>
      </c>
      <c r="D758" s="6" t="str">
        <f>'Ann2 - Step 3'!C758</f>
        <v>Coding Pattern</v>
      </c>
      <c r="E758" s="6" t="b">
        <f t="shared" si="4"/>
        <v>0</v>
      </c>
      <c r="F758" s="6"/>
      <c r="G758" s="6" t="str">
        <f t="shared" si="5"/>
        <v>Coding Pattern</v>
      </c>
    </row>
    <row r="759" spans="1:7" ht="14" x14ac:dyDescent="0.15">
      <c r="A759" s="6" t="s">
        <v>142</v>
      </c>
      <c r="B759" s="8" t="s">
        <v>1962</v>
      </c>
      <c r="C759" s="6" t="str">
        <f>'Ann1 - Step 3'!C759</f>
        <v>Testing</v>
      </c>
      <c r="D759" s="6" t="str">
        <f>'Ann2 - Step 3'!C759</f>
        <v>Testing</v>
      </c>
      <c r="E759" s="6" t="b">
        <f t="shared" si="4"/>
        <v>0</v>
      </c>
      <c r="F759" s="6"/>
      <c r="G759" s="6" t="str">
        <f t="shared" si="5"/>
        <v>Testing</v>
      </c>
    </row>
    <row r="760" spans="1:7" ht="28" x14ac:dyDescent="0.15">
      <c r="A760" s="6" t="s">
        <v>142</v>
      </c>
      <c r="B760" s="8" t="s">
        <v>1963</v>
      </c>
      <c r="C760" s="6" t="str">
        <f>'Ann1 - Step 3'!C760</f>
        <v>Testing</v>
      </c>
      <c r="D760" s="6" t="str">
        <f>'Ann2 - Step 3'!C760</f>
        <v>Testing</v>
      </c>
      <c r="E760" s="6" t="b">
        <f t="shared" si="4"/>
        <v>0</v>
      </c>
      <c r="F760" s="6"/>
      <c r="G760" s="6" t="str">
        <f t="shared" si="5"/>
        <v>Testing</v>
      </c>
    </row>
    <row r="761" spans="1:7" ht="14" x14ac:dyDescent="0.15">
      <c r="A761" s="6" t="s">
        <v>142</v>
      </c>
      <c r="B761" s="8" t="s">
        <v>1964</v>
      </c>
      <c r="C761" s="6" t="str">
        <f>'Ann1 - Step 3'!C761</f>
        <v>Testing</v>
      </c>
      <c r="D761" s="6" t="str">
        <f>'Ann2 - Step 3'!C761</f>
        <v>Testing</v>
      </c>
      <c r="E761" s="6" t="b">
        <f t="shared" si="4"/>
        <v>0</v>
      </c>
      <c r="F761" s="6"/>
      <c r="G761" s="6" t="str">
        <f t="shared" si="5"/>
        <v>Testing</v>
      </c>
    </row>
    <row r="762" spans="1:7" ht="14" x14ac:dyDescent="0.15">
      <c r="A762" s="6" t="s">
        <v>142</v>
      </c>
      <c r="B762" s="8" t="s">
        <v>1965</v>
      </c>
      <c r="C762" s="6" t="str">
        <f>'Ann1 - Step 3'!C762</f>
        <v>Testing</v>
      </c>
      <c r="D762" s="6" t="str">
        <f>'Ann2 - Step 3'!C762</f>
        <v>Testing</v>
      </c>
      <c r="E762" s="6" t="b">
        <f t="shared" si="4"/>
        <v>0</v>
      </c>
      <c r="F762" s="6"/>
      <c r="G762" s="6" t="str">
        <f t="shared" si="5"/>
        <v>Testing</v>
      </c>
    </row>
    <row r="763" spans="1:7" ht="14" x14ac:dyDescent="0.15">
      <c r="A763" s="6" t="s">
        <v>142</v>
      </c>
      <c r="B763" s="8" t="s">
        <v>1966</v>
      </c>
      <c r="C763" s="6" t="str">
        <f>'Ann1 - Step 3'!C763</f>
        <v>Testing</v>
      </c>
      <c r="D763" s="6" t="str">
        <f>'Ann2 - Step 3'!C763</f>
        <v>Testing</v>
      </c>
      <c r="E763" s="6" t="b">
        <f t="shared" si="4"/>
        <v>0</v>
      </c>
      <c r="F763" s="6"/>
      <c r="G763" s="6" t="str">
        <f t="shared" si="5"/>
        <v>Testing</v>
      </c>
    </row>
    <row r="764" spans="1:7" ht="14" x14ac:dyDescent="0.15">
      <c r="A764" s="6" t="s">
        <v>142</v>
      </c>
      <c r="B764" s="8" t="s">
        <v>1967</v>
      </c>
      <c r="C764" s="6" t="str">
        <f>'Ann1 - Step 3'!C764</f>
        <v>Testing</v>
      </c>
      <c r="D764" s="6" t="str">
        <f>'Ann2 - Step 3'!C764</f>
        <v>Testing</v>
      </c>
      <c r="E764" s="6" t="b">
        <f t="shared" si="4"/>
        <v>0</v>
      </c>
      <c r="F764" s="6"/>
      <c r="G764" s="6" t="str">
        <f t="shared" si="5"/>
        <v>Testing</v>
      </c>
    </row>
    <row r="765" spans="1:7" ht="14" x14ac:dyDescent="0.15">
      <c r="A765" s="6" t="s">
        <v>142</v>
      </c>
      <c r="B765" s="8" t="s">
        <v>1968</v>
      </c>
      <c r="C765" s="6" t="str">
        <f>'Ann1 - Step 3'!C765</f>
        <v>Coding Pattern</v>
      </c>
      <c r="D765" s="6" t="str">
        <f>'Ann2 - Step 3'!C765</f>
        <v>Coding Pattern</v>
      </c>
      <c r="E765" s="6" t="b">
        <f t="shared" si="4"/>
        <v>0</v>
      </c>
      <c r="F765" s="6"/>
      <c r="G765" s="6" t="str">
        <f t="shared" si="5"/>
        <v>Coding Pattern</v>
      </c>
    </row>
    <row r="766" spans="1:7" ht="14" x14ac:dyDescent="0.15">
      <c r="A766" s="6" t="s">
        <v>142</v>
      </c>
      <c r="B766" s="8" t="s">
        <v>1969</v>
      </c>
      <c r="C766" s="6" t="str">
        <f>'Ann1 - Step 3'!C766</f>
        <v>Coding Pattern</v>
      </c>
      <c r="D766" s="6" t="str">
        <f>'Ann2 - Step 3'!C766</f>
        <v>Coding Pattern</v>
      </c>
      <c r="E766" s="6" t="b">
        <f t="shared" si="4"/>
        <v>0</v>
      </c>
      <c r="F766" s="6"/>
      <c r="G766" s="6" t="str">
        <f t="shared" si="5"/>
        <v>Coding Pattern</v>
      </c>
    </row>
    <row r="767" spans="1:7" ht="14" x14ac:dyDescent="0.15">
      <c r="A767" s="6" t="s">
        <v>142</v>
      </c>
      <c r="B767" s="8" t="s">
        <v>1970</v>
      </c>
      <c r="C767" s="6" t="str">
        <f>'Ann1 - Step 3'!C767</f>
        <v>Coding Pattern</v>
      </c>
      <c r="D767" s="6" t="str">
        <f>'Ann2 - Step 3'!C767</f>
        <v>Coding Pattern</v>
      </c>
      <c r="E767" s="6" t="b">
        <f t="shared" ref="E767:E1021" si="6">IF(C767=D767, FALSE, TRUE)</f>
        <v>0</v>
      </c>
      <c r="F767" s="6"/>
      <c r="G767" s="6" t="str">
        <f t="shared" ref="G767:G1021" si="7">IF(E767=TRUE,F767,D767)</f>
        <v>Coding Pattern</v>
      </c>
    </row>
    <row r="768" spans="1:7" ht="28" x14ac:dyDescent="0.15">
      <c r="A768" s="6" t="s">
        <v>142</v>
      </c>
      <c r="B768" s="8" t="s">
        <v>1971</v>
      </c>
      <c r="C768" s="6" t="str">
        <f>'Ann1 - Step 3'!C768</f>
        <v>Coding Pattern</v>
      </c>
      <c r="D768" s="6" t="str">
        <f>'Ann2 - Step 3'!C768</f>
        <v>Coding Pattern</v>
      </c>
      <c r="E768" s="6" t="b">
        <f t="shared" si="6"/>
        <v>0</v>
      </c>
      <c r="F768" s="6"/>
      <c r="G768" s="6" t="str">
        <f t="shared" si="7"/>
        <v>Coding Pattern</v>
      </c>
    </row>
    <row r="769" spans="1:7" ht="14" x14ac:dyDescent="0.15">
      <c r="A769" s="6" t="s">
        <v>142</v>
      </c>
      <c r="B769" s="8" t="s">
        <v>1972</v>
      </c>
      <c r="C769" s="6" t="str">
        <f>'Ann1 - Step 3'!C769</f>
        <v>Testing</v>
      </c>
      <c r="D769" s="6" t="str">
        <f>'Ann2 - Step 3'!C769</f>
        <v>Testing</v>
      </c>
      <c r="E769" s="6" t="b">
        <f t="shared" si="6"/>
        <v>0</v>
      </c>
      <c r="F769" s="6"/>
      <c r="G769" s="6" t="str">
        <f t="shared" si="7"/>
        <v>Testing</v>
      </c>
    </row>
    <row r="770" spans="1:7" ht="14" x14ac:dyDescent="0.15">
      <c r="A770" s="6" t="s">
        <v>142</v>
      </c>
      <c r="B770" s="8" t="s">
        <v>1973</v>
      </c>
      <c r="C770" s="6" t="str">
        <f>'Ann1 - Step 3'!C770</f>
        <v>Security</v>
      </c>
      <c r="D770" s="6" t="str">
        <f>'Ann2 - Step 3'!C770</f>
        <v>Security</v>
      </c>
      <c r="E770" s="6" t="b">
        <f t="shared" si="6"/>
        <v>0</v>
      </c>
      <c r="F770" s="6"/>
      <c r="G770" s="6" t="str">
        <f t="shared" si="7"/>
        <v>Security</v>
      </c>
    </row>
    <row r="771" spans="1:7" ht="14" x14ac:dyDescent="0.15">
      <c r="A771" s="6" t="s">
        <v>142</v>
      </c>
      <c r="B771" s="8" t="s">
        <v>1974</v>
      </c>
      <c r="C771" s="6" t="str">
        <f>'Ann1 - Step 3'!C771</f>
        <v>Commit&amp;PR rule</v>
      </c>
      <c r="D771" s="6" t="str">
        <f>'Ann2 - Step 3'!C771</f>
        <v>Build &amp; Operation</v>
      </c>
      <c r="E771" s="6" t="b">
        <f t="shared" si="6"/>
        <v>1</v>
      </c>
      <c r="F771" s="30" t="s">
        <v>136</v>
      </c>
      <c r="G771" s="6" t="str">
        <f t="shared" si="7"/>
        <v>Build &amp; Operation</v>
      </c>
    </row>
    <row r="772" spans="1:7" ht="14" x14ac:dyDescent="0.15">
      <c r="A772" s="6" t="s">
        <v>154</v>
      </c>
      <c r="B772" s="8" t="s">
        <v>1975</v>
      </c>
      <c r="C772" s="6" t="str">
        <f>'Ann1 - Step 3'!C772</f>
        <v>Task Execution</v>
      </c>
      <c r="D772" s="6" t="str">
        <f>'Ann2 - Step 3'!C772</f>
        <v>Task Execution</v>
      </c>
      <c r="E772" s="6" t="b">
        <f t="shared" si="6"/>
        <v>0</v>
      </c>
      <c r="F772" s="6"/>
      <c r="G772" s="6" t="str">
        <f t="shared" si="7"/>
        <v>Task Execution</v>
      </c>
    </row>
    <row r="773" spans="1:7" ht="14" x14ac:dyDescent="0.15">
      <c r="A773" s="6" t="s">
        <v>154</v>
      </c>
      <c r="B773" s="8" t="s">
        <v>1976</v>
      </c>
      <c r="C773" s="6" t="str">
        <f>'Ann1 - Step 3'!C773</f>
        <v>Commit&amp;PR rule</v>
      </c>
      <c r="D773" s="6" t="str">
        <f>'Ann2 - Step 3'!C773</f>
        <v>Commit&amp;PR rule</v>
      </c>
      <c r="E773" s="6" t="b">
        <f t="shared" si="6"/>
        <v>0</v>
      </c>
      <c r="F773" s="6"/>
      <c r="G773" s="6" t="str">
        <f t="shared" si="7"/>
        <v>Commit&amp;PR rule</v>
      </c>
    </row>
    <row r="774" spans="1:7" ht="14" x14ac:dyDescent="0.15">
      <c r="A774" s="6" t="s">
        <v>154</v>
      </c>
      <c r="B774" s="8" t="s">
        <v>1977</v>
      </c>
      <c r="C774" s="6" t="str">
        <f>'Ann1 - Step 3'!C774</f>
        <v>Testing</v>
      </c>
      <c r="D774" s="6" t="str">
        <f>'Ann2 - Step 3'!C774</f>
        <v>Testing</v>
      </c>
      <c r="E774" s="6" t="b">
        <f t="shared" si="6"/>
        <v>0</v>
      </c>
      <c r="F774" s="6"/>
      <c r="G774" s="6" t="str">
        <f t="shared" si="7"/>
        <v>Testing</v>
      </c>
    </row>
    <row r="775" spans="1:7" ht="14" x14ac:dyDescent="0.15">
      <c r="A775" s="6" t="s">
        <v>154</v>
      </c>
      <c r="B775" s="8" t="s">
        <v>1978</v>
      </c>
      <c r="C775" s="6" t="str">
        <f>'Ann1 - Step 3'!C775</f>
        <v>Testing</v>
      </c>
      <c r="D775" s="6" t="str">
        <f>'Ann2 - Step 3'!C775</f>
        <v>Testing</v>
      </c>
      <c r="E775" s="6" t="b">
        <f t="shared" si="6"/>
        <v>0</v>
      </c>
      <c r="F775" s="6"/>
      <c r="G775" s="6" t="str">
        <f t="shared" si="7"/>
        <v>Testing</v>
      </c>
    </row>
    <row r="776" spans="1:7" ht="14" x14ac:dyDescent="0.15">
      <c r="A776" s="6" t="s">
        <v>668</v>
      </c>
      <c r="B776" s="8" t="s">
        <v>1979</v>
      </c>
      <c r="C776" s="6" t="str">
        <f>'Ann1 - Step 3'!C776</f>
        <v>Testing</v>
      </c>
      <c r="D776" s="6" t="str">
        <f>'Ann2 - Step 3'!C776</f>
        <v>Testing</v>
      </c>
      <c r="E776" s="6" t="b">
        <f t="shared" si="6"/>
        <v>0</v>
      </c>
      <c r="F776" s="6"/>
      <c r="G776" s="6" t="str">
        <f t="shared" si="7"/>
        <v>Testing</v>
      </c>
    </row>
    <row r="777" spans="1:7" ht="14" x14ac:dyDescent="0.15">
      <c r="A777" s="6" t="s">
        <v>668</v>
      </c>
      <c r="B777" s="8" t="s">
        <v>1980</v>
      </c>
      <c r="C777" s="6" t="str">
        <f>'Ann1 - Step 3'!C777</f>
        <v>Build &amp; Operation</v>
      </c>
      <c r="D777" s="6" t="str">
        <f>'Ann2 - Step 3'!C777</f>
        <v>Build &amp; Operation</v>
      </c>
      <c r="E777" s="6" t="b">
        <f t="shared" si="6"/>
        <v>0</v>
      </c>
      <c r="F777" s="6"/>
      <c r="G777" s="6" t="str">
        <f t="shared" si="7"/>
        <v>Build &amp; Operation</v>
      </c>
    </row>
    <row r="778" spans="1:7" ht="28" x14ac:dyDescent="0.15">
      <c r="A778" s="6" t="s">
        <v>668</v>
      </c>
      <c r="B778" s="8" t="s">
        <v>1981</v>
      </c>
      <c r="C778" s="6" t="str">
        <f>'Ann1 - Step 3'!C778</f>
        <v>Commit&amp;PR rule</v>
      </c>
      <c r="D778" s="6" t="str">
        <f>'Ann2 - Step 3'!C778</f>
        <v>Commit&amp;PR rule</v>
      </c>
      <c r="E778" s="6" t="b">
        <f t="shared" si="6"/>
        <v>0</v>
      </c>
      <c r="F778" s="6"/>
      <c r="G778" s="6" t="str">
        <f t="shared" si="7"/>
        <v>Commit&amp;PR rule</v>
      </c>
    </row>
    <row r="779" spans="1:7" ht="14" x14ac:dyDescent="0.15">
      <c r="A779" s="6" t="s">
        <v>672</v>
      </c>
      <c r="B779" s="8" t="s">
        <v>1982</v>
      </c>
      <c r="C779" s="6" t="str">
        <f>'Ann1 - Step 3'!C779</f>
        <v>Commit&amp;PR rule</v>
      </c>
      <c r="D779" s="6" t="str">
        <f>'Ann2 - Step 3'!C779</f>
        <v>Commit&amp;PR rule</v>
      </c>
      <c r="E779" s="6" t="b">
        <f t="shared" si="6"/>
        <v>0</v>
      </c>
      <c r="F779" s="6"/>
      <c r="G779" s="6" t="str">
        <f t="shared" si="7"/>
        <v>Commit&amp;PR rule</v>
      </c>
    </row>
    <row r="780" spans="1:7" ht="28" x14ac:dyDescent="0.15">
      <c r="A780" s="6" t="s">
        <v>672</v>
      </c>
      <c r="B780" s="8" t="s">
        <v>1983</v>
      </c>
      <c r="C780" s="6" t="str">
        <f>'Ann1 - Step 3'!C780</f>
        <v>Commit&amp;PR rule</v>
      </c>
      <c r="D780" s="6" t="str">
        <f>'Ann2 - Step 3'!C780</f>
        <v>Commit&amp;PR rule</v>
      </c>
      <c r="E780" s="6" t="b">
        <f t="shared" si="6"/>
        <v>0</v>
      </c>
      <c r="F780" s="6"/>
      <c r="G780" s="6" t="str">
        <f t="shared" si="7"/>
        <v>Commit&amp;PR rule</v>
      </c>
    </row>
    <row r="781" spans="1:7" ht="14" x14ac:dyDescent="0.15">
      <c r="A781" s="31" t="s">
        <v>672</v>
      </c>
      <c r="B781" s="8" t="s">
        <v>1984</v>
      </c>
      <c r="C781" s="6" t="str">
        <f>'Ann1 - Step 3'!C781</f>
        <v>Documentation</v>
      </c>
      <c r="D781" s="6" t="str">
        <f>'Ann2 - Step 3'!C781</f>
        <v>Documentation</v>
      </c>
      <c r="E781" s="6" t="b">
        <f t="shared" si="6"/>
        <v>0</v>
      </c>
      <c r="F781" s="6"/>
      <c r="G781" s="6" t="str">
        <f t="shared" si="7"/>
        <v>Documentation</v>
      </c>
    </row>
    <row r="782" spans="1:7" ht="14" x14ac:dyDescent="0.15">
      <c r="A782" s="6" t="s">
        <v>157</v>
      </c>
      <c r="B782" s="8" t="s">
        <v>1985</v>
      </c>
      <c r="C782" s="6" t="str">
        <f>'Ann1 - Step 3'!C782</f>
        <v>Commit&amp;PR rule</v>
      </c>
      <c r="D782" s="6" t="str">
        <f>'Ann2 - Step 3'!C782</f>
        <v>Commit&amp;PR rule</v>
      </c>
      <c r="E782" s="6" t="b">
        <f t="shared" si="6"/>
        <v>0</v>
      </c>
      <c r="F782" s="6"/>
      <c r="G782" s="6" t="str">
        <f t="shared" si="7"/>
        <v>Commit&amp;PR rule</v>
      </c>
    </row>
    <row r="783" spans="1:7" ht="14" x14ac:dyDescent="0.15">
      <c r="A783" s="6" t="s">
        <v>157</v>
      </c>
      <c r="B783" s="8" t="s">
        <v>1986</v>
      </c>
      <c r="C783" s="6" t="str">
        <f>'Ann1 - Step 3'!C783</f>
        <v>Commit&amp;PR rule</v>
      </c>
      <c r="D783" s="6" t="str">
        <f>'Ann2 - Step 3'!C783</f>
        <v>Commit&amp;PR rule</v>
      </c>
      <c r="E783" s="6" t="b">
        <f t="shared" si="6"/>
        <v>0</v>
      </c>
      <c r="F783" s="6"/>
      <c r="G783" s="6" t="str">
        <f t="shared" si="7"/>
        <v>Commit&amp;PR rule</v>
      </c>
    </row>
    <row r="784" spans="1:7" ht="28" x14ac:dyDescent="0.15">
      <c r="A784" s="6" t="s">
        <v>157</v>
      </c>
      <c r="B784" s="8" t="s">
        <v>1987</v>
      </c>
      <c r="C784" s="6" t="str">
        <f>'Ann1 - Step 3'!C784</f>
        <v>Coding Pattern</v>
      </c>
      <c r="D784" s="6" t="str">
        <f>'Ann2 - Step 3'!C784</f>
        <v>Coding Pattern</v>
      </c>
      <c r="E784" s="6" t="b">
        <f t="shared" si="6"/>
        <v>0</v>
      </c>
      <c r="F784" s="6"/>
      <c r="G784" s="6" t="str">
        <f t="shared" si="7"/>
        <v>Coding Pattern</v>
      </c>
    </row>
    <row r="785" spans="1:7" ht="14" x14ac:dyDescent="0.15">
      <c r="A785" s="6" t="s">
        <v>160</v>
      </c>
      <c r="B785" s="8" t="s">
        <v>1988</v>
      </c>
      <c r="C785" s="6" t="str">
        <f>'Ann1 - Step 3'!C785</f>
        <v>Build &amp; Operation</v>
      </c>
      <c r="D785" s="6" t="str">
        <f>'Ann2 - Step 3'!C785</f>
        <v>Build &amp; Operation</v>
      </c>
      <c r="E785" s="6" t="b">
        <f t="shared" si="6"/>
        <v>0</v>
      </c>
      <c r="F785" s="6"/>
      <c r="G785" s="6" t="str">
        <f t="shared" si="7"/>
        <v>Build &amp; Operation</v>
      </c>
    </row>
    <row r="786" spans="1:7" ht="14" x14ac:dyDescent="0.15">
      <c r="A786" s="6" t="s">
        <v>160</v>
      </c>
      <c r="B786" s="8" t="s">
        <v>1989</v>
      </c>
      <c r="C786" s="6" t="str">
        <f>'Ann1 - Step 3'!C786</f>
        <v>Coding Pattern</v>
      </c>
      <c r="D786" s="6" t="str">
        <f>'Ann2 - Step 3'!C786</f>
        <v>Coding Pattern</v>
      </c>
      <c r="E786" s="6" t="b">
        <f t="shared" si="6"/>
        <v>0</v>
      </c>
      <c r="F786" s="6"/>
      <c r="G786" s="6" t="str">
        <f t="shared" si="7"/>
        <v>Coding Pattern</v>
      </c>
    </row>
    <row r="787" spans="1:7" ht="14" x14ac:dyDescent="0.15">
      <c r="A787" s="6" t="s">
        <v>160</v>
      </c>
      <c r="B787" s="8" t="s">
        <v>1990</v>
      </c>
      <c r="C787" s="6" t="str">
        <f>'Ann1 - Step 3'!C787</f>
        <v>Coding Pattern</v>
      </c>
      <c r="D787" s="6" t="str">
        <f>'Ann2 - Step 3'!C787</f>
        <v>Coding Pattern</v>
      </c>
      <c r="E787" s="6" t="b">
        <f t="shared" si="6"/>
        <v>0</v>
      </c>
      <c r="F787" s="6"/>
      <c r="G787" s="6" t="str">
        <f t="shared" si="7"/>
        <v>Coding Pattern</v>
      </c>
    </row>
    <row r="788" spans="1:7" ht="14" x14ac:dyDescent="0.15">
      <c r="A788" s="6" t="s">
        <v>166</v>
      </c>
      <c r="B788" s="8" t="s">
        <v>1991</v>
      </c>
      <c r="C788" s="6" t="str">
        <f>'Ann1 - Step 3'!C788</f>
        <v>Coding Pattern</v>
      </c>
      <c r="D788" s="6" t="str">
        <f>'Ann2 - Step 3'!C788</f>
        <v>Coding Pattern</v>
      </c>
      <c r="E788" s="6" t="b">
        <f t="shared" si="6"/>
        <v>0</v>
      </c>
      <c r="F788" s="6"/>
      <c r="G788" s="6" t="str">
        <f t="shared" si="7"/>
        <v>Coding Pattern</v>
      </c>
    </row>
    <row r="789" spans="1:7" ht="28" x14ac:dyDescent="0.15">
      <c r="A789" s="6" t="s">
        <v>166</v>
      </c>
      <c r="B789" s="8" t="s">
        <v>1992</v>
      </c>
      <c r="C789" s="6" t="str">
        <f>'Ann1 - Step 3'!C789</f>
        <v>Performance</v>
      </c>
      <c r="D789" s="6" t="str">
        <f>'Ann2 - Step 3'!C789</f>
        <v>Performance</v>
      </c>
      <c r="E789" s="6" t="b">
        <f t="shared" si="6"/>
        <v>0</v>
      </c>
      <c r="F789" s="6"/>
      <c r="G789" s="6" t="str">
        <f t="shared" si="7"/>
        <v>Performance</v>
      </c>
    </row>
    <row r="790" spans="1:7" ht="28" x14ac:dyDescent="0.15">
      <c r="A790" s="6" t="s">
        <v>166</v>
      </c>
      <c r="B790" s="8" t="s">
        <v>1993</v>
      </c>
      <c r="C790" s="6" t="str">
        <f>'Ann1 - Step 3'!C790</f>
        <v>Maintainability</v>
      </c>
      <c r="D790" s="6" t="str">
        <f>'Ann2 - Step 3'!C790</f>
        <v>Maintainability</v>
      </c>
      <c r="E790" s="6" t="b">
        <f t="shared" si="6"/>
        <v>0</v>
      </c>
      <c r="F790" s="6"/>
      <c r="G790" s="6" t="str">
        <f t="shared" si="7"/>
        <v>Maintainability</v>
      </c>
    </row>
    <row r="791" spans="1:7" ht="14" x14ac:dyDescent="0.15">
      <c r="A791" s="6" t="s">
        <v>166</v>
      </c>
      <c r="B791" s="8" t="s">
        <v>1994</v>
      </c>
      <c r="C791" s="6" t="str">
        <f>'Ann1 - Step 3'!C791</f>
        <v>Coding Pattern</v>
      </c>
      <c r="D791" s="6" t="str">
        <f>'Ann2 - Step 3'!C791</f>
        <v>Coding Pattern</v>
      </c>
      <c r="E791" s="6" t="b">
        <f t="shared" si="6"/>
        <v>0</v>
      </c>
      <c r="F791" s="6"/>
      <c r="G791" s="6" t="str">
        <f t="shared" si="7"/>
        <v>Coding Pattern</v>
      </c>
    </row>
    <row r="792" spans="1:7" ht="28" x14ac:dyDescent="0.15">
      <c r="A792" s="6" t="s">
        <v>166</v>
      </c>
      <c r="B792" s="8" t="s">
        <v>1995</v>
      </c>
      <c r="C792" s="6" t="str">
        <f>'Ann1 - Step 3'!C792</f>
        <v>Coding Pattern</v>
      </c>
      <c r="D792" s="6" t="str">
        <f>'Ann2 - Step 3'!C792</f>
        <v>Coding Pattern</v>
      </c>
      <c r="E792" s="6" t="b">
        <f t="shared" si="6"/>
        <v>0</v>
      </c>
      <c r="F792" s="6"/>
      <c r="G792" s="6" t="str">
        <f t="shared" si="7"/>
        <v>Coding Pattern</v>
      </c>
    </row>
    <row r="793" spans="1:7" ht="28" x14ac:dyDescent="0.15">
      <c r="A793" s="6" t="s">
        <v>166</v>
      </c>
      <c r="B793" s="8" t="s">
        <v>1996</v>
      </c>
      <c r="C793" s="6" t="str">
        <f>'Ann1 - Step 3'!C793</f>
        <v>Coding Pattern</v>
      </c>
      <c r="D793" s="6" t="str">
        <f>'Ann2 - Step 3'!C793</f>
        <v>Coding Pattern</v>
      </c>
      <c r="E793" s="6" t="b">
        <f t="shared" si="6"/>
        <v>0</v>
      </c>
      <c r="F793" s="6"/>
      <c r="G793" s="6" t="str">
        <f t="shared" si="7"/>
        <v>Coding Pattern</v>
      </c>
    </row>
    <row r="794" spans="1:7" ht="28" x14ac:dyDescent="0.15">
      <c r="A794" s="6" t="s">
        <v>166</v>
      </c>
      <c r="B794" s="8" t="s">
        <v>1997</v>
      </c>
      <c r="C794" s="6" t="str">
        <f>'Ann1 - Step 3'!C794</f>
        <v>Coding Pattern</v>
      </c>
      <c r="D794" s="6" t="str">
        <f>'Ann2 - Step 3'!C794</f>
        <v>Coding Pattern</v>
      </c>
      <c r="E794" s="6" t="b">
        <f t="shared" si="6"/>
        <v>0</v>
      </c>
      <c r="F794" s="6"/>
      <c r="G794" s="6" t="str">
        <f t="shared" si="7"/>
        <v>Coding Pattern</v>
      </c>
    </row>
    <row r="795" spans="1:7" ht="14" x14ac:dyDescent="0.15">
      <c r="A795" s="6" t="s">
        <v>781</v>
      </c>
      <c r="B795" s="8" t="s">
        <v>1998</v>
      </c>
      <c r="C795" s="6" t="str">
        <f>'Ann1 - Step 3'!C795</f>
        <v>Build &amp; Operation</v>
      </c>
      <c r="D795" s="6" t="str">
        <f>'Ann2 - Step 3'!C795</f>
        <v>Build &amp; Operation</v>
      </c>
      <c r="E795" s="6" t="b">
        <f t="shared" si="6"/>
        <v>0</v>
      </c>
      <c r="F795" s="6"/>
      <c r="G795" s="6" t="str">
        <f t="shared" si="7"/>
        <v>Build &amp; Operation</v>
      </c>
    </row>
    <row r="796" spans="1:7" ht="28" x14ac:dyDescent="0.15">
      <c r="A796" s="6" t="s">
        <v>781</v>
      </c>
      <c r="B796" s="8" t="s">
        <v>1999</v>
      </c>
      <c r="C796" s="6" t="str">
        <f>'Ann1 - Step 3'!C796</f>
        <v>Coding Pattern</v>
      </c>
      <c r="D796" s="6" t="str">
        <f>'Ann2 - Step 3'!C796</f>
        <v>Coding Pattern</v>
      </c>
      <c r="E796" s="6" t="b">
        <f t="shared" si="6"/>
        <v>0</v>
      </c>
      <c r="F796" s="6"/>
      <c r="G796" s="6" t="str">
        <f t="shared" si="7"/>
        <v>Coding Pattern</v>
      </c>
    </row>
    <row r="797" spans="1:7" ht="14" x14ac:dyDescent="0.15">
      <c r="A797" s="6" t="s">
        <v>2002</v>
      </c>
      <c r="B797" s="8" t="s">
        <v>2003</v>
      </c>
      <c r="C797" s="6" t="str">
        <f>'Ann1 - Step 3'!C797</f>
        <v>Coding Pattern</v>
      </c>
      <c r="D797" s="6" t="str">
        <f>'Ann2 - Step 3'!C797</f>
        <v>Coding Pattern</v>
      </c>
      <c r="E797" s="6" t="b">
        <f t="shared" si="6"/>
        <v>0</v>
      </c>
      <c r="F797" s="6"/>
      <c r="G797" s="6" t="str">
        <f t="shared" si="7"/>
        <v>Coding Pattern</v>
      </c>
    </row>
    <row r="798" spans="1:7" ht="14" x14ac:dyDescent="0.15">
      <c r="A798" s="6" t="s">
        <v>2002</v>
      </c>
      <c r="B798" s="8" t="s">
        <v>2004</v>
      </c>
      <c r="C798" s="6" t="str">
        <f>'Ann1 - Step 3'!C798</f>
        <v>Documentation</v>
      </c>
      <c r="D798" s="6" t="str">
        <f>'Ann2 - Step 3'!C798</f>
        <v>Documentation</v>
      </c>
      <c r="E798" s="6" t="b">
        <f t="shared" si="6"/>
        <v>0</v>
      </c>
      <c r="F798" s="6"/>
      <c r="G798" s="6" t="str">
        <f t="shared" si="7"/>
        <v>Documentation</v>
      </c>
    </row>
    <row r="799" spans="1:7" ht="14" x14ac:dyDescent="0.15">
      <c r="A799" s="6" t="s">
        <v>2002</v>
      </c>
      <c r="B799" s="8" t="s">
        <v>2005</v>
      </c>
      <c r="C799" s="6" t="str">
        <f>'Ann1 - Step 3'!C799</f>
        <v>Security</v>
      </c>
      <c r="D799" s="6" t="str">
        <f>'Ann2 - Step 3'!C799</f>
        <v>Security</v>
      </c>
      <c r="E799" s="6" t="b">
        <f t="shared" si="6"/>
        <v>0</v>
      </c>
      <c r="F799" s="6"/>
      <c r="G799" s="6" t="str">
        <f t="shared" si="7"/>
        <v>Security</v>
      </c>
    </row>
    <row r="800" spans="1:7" ht="14" x14ac:dyDescent="0.15">
      <c r="A800" s="6" t="s">
        <v>2008</v>
      </c>
      <c r="B800" s="8" t="s">
        <v>2009</v>
      </c>
      <c r="C800" s="6" t="str">
        <f>'Ann1 - Step 3'!C800</f>
        <v>Coding Pattern</v>
      </c>
      <c r="D800" s="6" t="str">
        <f>'Ann2 - Step 3'!C800</f>
        <v>Coding Pattern</v>
      </c>
      <c r="E800" s="6" t="b">
        <f t="shared" si="6"/>
        <v>0</v>
      </c>
      <c r="F800" s="6"/>
      <c r="G800" s="6" t="str">
        <f t="shared" si="7"/>
        <v>Coding Pattern</v>
      </c>
    </row>
    <row r="801" spans="1:7" ht="14" x14ac:dyDescent="0.15">
      <c r="A801" s="6" t="s">
        <v>683</v>
      </c>
      <c r="B801" s="8" t="s">
        <v>2010</v>
      </c>
      <c r="C801" s="6" t="str">
        <f>'Ann1 - Step 3'!C801</f>
        <v>Build &amp; Operation</v>
      </c>
      <c r="D801" s="6" t="str">
        <f>'Ann2 - Step 3'!C801</f>
        <v>Build &amp; Operation</v>
      </c>
      <c r="E801" s="6" t="b">
        <f t="shared" si="6"/>
        <v>0</v>
      </c>
      <c r="F801" s="6"/>
      <c r="G801" s="6" t="str">
        <f t="shared" si="7"/>
        <v>Build &amp; Operation</v>
      </c>
    </row>
    <row r="802" spans="1:7" ht="14" x14ac:dyDescent="0.15">
      <c r="A802" s="6" t="s">
        <v>683</v>
      </c>
      <c r="B802" s="8" t="s">
        <v>2011</v>
      </c>
      <c r="C802" s="6" t="str">
        <f>'Ann1 - Step 3'!C802</f>
        <v>Testing</v>
      </c>
      <c r="D802" s="6" t="str">
        <f>'Ann2 - Step 3'!C802</f>
        <v>Testing</v>
      </c>
      <c r="E802" s="6" t="b">
        <f t="shared" si="6"/>
        <v>0</v>
      </c>
      <c r="F802" s="6"/>
      <c r="G802" s="6" t="str">
        <f t="shared" si="7"/>
        <v>Testing</v>
      </c>
    </row>
    <row r="803" spans="1:7" ht="14" x14ac:dyDescent="0.15">
      <c r="A803" s="6" t="s">
        <v>170</v>
      </c>
      <c r="B803" s="8" t="s">
        <v>2012</v>
      </c>
      <c r="C803" s="6" t="str">
        <f>'Ann1 - Step 3'!C803</f>
        <v>Build &amp; Operation</v>
      </c>
      <c r="D803" s="6" t="str">
        <f>'Ann2 - Step 3'!C803</f>
        <v>Build &amp; Operation</v>
      </c>
      <c r="E803" s="6" t="b">
        <f t="shared" si="6"/>
        <v>0</v>
      </c>
      <c r="F803" s="6"/>
      <c r="G803" s="6" t="str">
        <f t="shared" si="7"/>
        <v>Build &amp; Operation</v>
      </c>
    </row>
    <row r="804" spans="1:7" ht="14" x14ac:dyDescent="0.15">
      <c r="A804" s="6" t="s">
        <v>170</v>
      </c>
      <c r="B804" s="8" t="s">
        <v>2013</v>
      </c>
      <c r="C804" s="6" t="str">
        <f>'Ann1 - Step 3'!C804</f>
        <v>Commit&amp;PR rule</v>
      </c>
      <c r="D804" s="6" t="str">
        <f>'Ann2 - Step 3'!C804</f>
        <v>Commit&amp;PR rule</v>
      </c>
      <c r="E804" s="6" t="b">
        <f t="shared" si="6"/>
        <v>0</v>
      </c>
      <c r="F804" s="6"/>
      <c r="G804" s="6" t="str">
        <f t="shared" si="7"/>
        <v>Commit&amp;PR rule</v>
      </c>
    </row>
    <row r="805" spans="1:7" ht="14" x14ac:dyDescent="0.15">
      <c r="A805" s="6" t="s">
        <v>170</v>
      </c>
      <c r="B805" s="8" t="s">
        <v>2014</v>
      </c>
      <c r="C805" s="6" t="str">
        <f>'Ann1 - Step 3'!C805</f>
        <v>Commit&amp;PR rule</v>
      </c>
      <c r="D805" s="6" t="str">
        <f>'Ann2 - Step 3'!C805</f>
        <v>Commit&amp;PR rule</v>
      </c>
      <c r="E805" s="6" t="b">
        <f t="shared" si="6"/>
        <v>0</v>
      </c>
      <c r="F805" s="6"/>
      <c r="G805" s="6" t="str">
        <f t="shared" si="7"/>
        <v>Commit&amp;PR rule</v>
      </c>
    </row>
    <row r="806" spans="1:7" ht="14" x14ac:dyDescent="0.15">
      <c r="A806" s="6" t="s">
        <v>170</v>
      </c>
      <c r="B806" s="8" t="s">
        <v>2015</v>
      </c>
      <c r="C806" s="6" t="str">
        <f>'Ann1 - Step 3'!C806</f>
        <v>Commit&amp;PR rule</v>
      </c>
      <c r="D806" s="6" t="str">
        <f>'Ann2 - Step 3'!C806</f>
        <v>Commit&amp;PR rule</v>
      </c>
      <c r="E806" s="6" t="b">
        <f t="shared" si="6"/>
        <v>0</v>
      </c>
      <c r="F806" s="6"/>
      <c r="G806" s="6" t="str">
        <f t="shared" si="7"/>
        <v>Commit&amp;PR rule</v>
      </c>
    </row>
    <row r="807" spans="1:7" ht="14" x14ac:dyDescent="0.15">
      <c r="A807" s="6" t="s">
        <v>170</v>
      </c>
      <c r="B807" s="8" t="s">
        <v>2016</v>
      </c>
      <c r="C807" s="6" t="str">
        <f>'Ann1 - Step 3'!C807</f>
        <v>Task Execution</v>
      </c>
      <c r="D807" s="6" t="str">
        <f>'Ann2 - Step 3'!C807</f>
        <v>Task Execution</v>
      </c>
      <c r="E807" s="6" t="b">
        <f t="shared" si="6"/>
        <v>0</v>
      </c>
      <c r="F807" s="6"/>
      <c r="G807" s="6" t="str">
        <f t="shared" si="7"/>
        <v>Task Execution</v>
      </c>
    </row>
    <row r="808" spans="1:7" ht="14" x14ac:dyDescent="0.15">
      <c r="A808" s="6" t="s">
        <v>170</v>
      </c>
      <c r="B808" s="8" t="s">
        <v>2017</v>
      </c>
      <c r="C808" s="6" t="str">
        <f>'Ann1 - Step 3'!C808</f>
        <v>Build &amp; Operation</v>
      </c>
      <c r="D808" s="6" t="str">
        <f>'Ann2 - Step 3'!C808</f>
        <v>Build &amp; Operation</v>
      </c>
      <c r="E808" s="6" t="b">
        <f t="shared" si="6"/>
        <v>0</v>
      </c>
      <c r="F808" s="6"/>
      <c r="G808" s="6" t="str">
        <f t="shared" si="7"/>
        <v>Build &amp; Operation</v>
      </c>
    </row>
    <row r="809" spans="1:7" ht="14" x14ac:dyDescent="0.15">
      <c r="A809" s="31" t="s">
        <v>175</v>
      </c>
      <c r="B809" s="8" t="s">
        <v>2018</v>
      </c>
      <c r="C809" s="6" t="str">
        <f>'Ann1 - Step 3'!C809</f>
        <v>Coding Pattern</v>
      </c>
      <c r="D809" s="6" t="str">
        <f>'Ann2 - Step 3'!C809</f>
        <v>Coding Pattern</v>
      </c>
      <c r="E809" s="6" t="b">
        <f t="shared" si="6"/>
        <v>0</v>
      </c>
      <c r="F809" s="6"/>
      <c r="G809" s="6" t="str">
        <f t="shared" si="7"/>
        <v>Coding Pattern</v>
      </c>
    </row>
    <row r="810" spans="1:7" ht="14" x14ac:dyDescent="0.15">
      <c r="A810" s="6" t="s">
        <v>175</v>
      </c>
      <c r="B810" s="8" t="s">
        <v>2019</v>
      </c>
      <c r="C810" s="6" t="str">
        <f>'Ann1 - Step 3'!C810</f>
        <v>Coding Pattern</v>
      </c>
      <c r="D810" s="6" t="str">
        <f>'Ann2 - Step 3'!C810</f>
        <v>Coding Pattern</v>
      </c>
      <c r="E810" s="6" t="b">
        <f t="shared" si="6"/>
        <v>0</v>
      </c>
      <c r="F810" s="6"/>
      <c r="G810" s="6" t="str">
        <f t="shared" si="7"/>
        <v>Coding Pattern</v>
      </c>
    </row>
    <row r="811" spans="1:7" ht="14" x14ac:dyDescent="0.15">
      <c r="A811" s="6" t="s">
        <v>175</v>
      </c>
      <c r="B811" s="8" t="s">
        <v>2020</v>
      </c>
      <c r="C811" s="6" t="str">
        <f>'Ann1 - Step 3'!C811</f>
        <v>Security</v>
      </c>
      <c r="D811" s="6" t="str">
        <f>'Ann2 - Step 3'!C811</f>
        <v>Security</v>
      </c>
      <c r="E811" s="6" t="b">
        <f t="shared" si="6"/>
        <v>0</v>
      </c>
      <c r="F811" s="6"/>
      <c r="G811" s="6" t="str">
        <f t="shared" si="7"/>
        <v>Security</v>
      </c>
    </row>
    <row r="812" spans="1:7" ht="14" x14ac:dyDescent="0.15">
      <c r="A812" s="6" t="s">
        <v>107</v>
      </c>
      <c r="B812" s="8" t="s">
        <v>2021</v>
      </c>
      <c r="C812" s="6" t="str">
        <f>'Ann1 - Step 3'!C812</f>
        <v>Task Execution</v>
      </c>
      <c r="D812" s="6" t="str">
        <f>'Ann2 - Step 3'!C812</f>
        <v>Task Execution</v>
      </c>
      <c r="E812" s="6" t="b">
        <f t="shared" si="6"/>
        <v>0</v>
      </c>
      <c r="F812" s="6"/>
      <c r="G812" s="6" t="str">
        <f t="shared" si="7"/>
        <v>Task Execution</v>
      </c>
    </row>
    <row r="813" spans="1:7" ht="14" x14ac:dyDescent="0.15">
      <c r="A813" s="6" t="s">
        <v>107</v>
      </c>
      <c r="B813" s="8" t="s">
        <v>2022</v>
      </c>
      <c r="C813" s="6" t="str">
        <f>'Ann1 - Step 3'!C813</f>
        <v>Task Execution</v>
      </c>
      <c r="D813" s="6" t="str">
        <f>'Ann2 - Step 3'!C813</f>
        <v>Task Execution</v>
      </c>
      <c r="E813" s="6" t="b">
        <f t="shared" si="6"/>
        <v>0</v>
      </c>
      <c r="F813" s="6"/>
      <c r="G813" s="6" t="str">
        <f t="shared" si="7"/>
        <v>Task Execution</v>
      </c>
    </row>
    <row r="814" spans="1:7" ht="14" x14ac:dyDescent="0.15">
      <c r="A814" s="6" t="s">
        <v>107</v>
      </c>
      <c r="B814" s="8" t="s">
        <v>2023</v>
      </c>
      <c r="C814" s="6" t="str">
        <f>'Ann1 - Step 3'!C814</f>
        <v>Task Execution</v>
      </c>
      <c r="D814" s="6" t="str">
        <f>'Ann2 - Step 3'!C814</f>
        <v>Task Execution</v>
      </c>
      <c r="E814" s="6" t="b">
        <f t="shared" si="6"/>
        <v>0</v>
      </c>
      <c r="F814" s="6"/>
      <c r="G814" s="6" t="str">
        <f t="shared" si="7"/>
        <v>Task Execution</v>
      </c>
    </row>
    <row r="815" spans="1:7" ht="14" x14ac:dyDescent="0.15">
      <c r="A815" s="6" t="s">
        <v>107</v>
      </c>
      <c r="B815" s="8" t="s">
        <v>2024</v>
      </c>
      <c r="C815" s="6" t="str">
        <f>'Ann1 - Step 3'!C815</f>
        <v>Task Execution</v>
      </c>
      <c r="D815" s="6" t="str">
        <f>'Ann2 - Step 3'!C815</f>
        <v>Task Execution</v>
      </c>
      <c r="E815" s="6" t="b">
        <f t="shared" si="6"/>
        <v>0</v>
      </c>
      <c r="F815" s="6"/>
      <c r="G815" s="6" t="str">
        <f t="shared" si="7"/>
        <v>Task Execution</v>
      </c>
    </row>
    <row r="816" spans="1:7" ht="14" x14ac:dyDescent="0.15">
      <c r="A816" s="6" t="s">
        <v>107</v>
      </c>
      <c r="B816" s="8" t="s">
        <v>2025</v>
      </c>
      <c r="C816" s="6" t="str">
        <f>'Ann1 - Step 3'!C816</f>
        <v>Task Execution</v>
      </c>
      <c r="D816" s="6" t="str">
        <f>'Ann2 - Step 3'!C816</f>
        <v>Task Execution</v>
      </c>
      <c r="E816" s="6" t="b">
        <f t="shared" si="6"/>
        <v>0</v>
      </c>
      <c r="F816" s="6"/>
      <c r="G816" s="6" t="str">
        <f t="shared" si="7"/>
        <v>Task Execution</v>
      </c>
    </row>
    <row r="817" spans="1:7" ht="14" x14ac:dyDescent="0.15">
      <c r="A817" s="6" t="s">
        <v>107</v>
      </c>
      <c r="B817" s="8" t="s">
        <v>2026</v>
      </c>
      <c r="C817" s="6" t="str">
        <f>'Ann1 - Step 3'!C817</f>
        <v>Task Execution</v>
      </c>
      <c r="D817" s="6" t="str">
        <f>'Ann2 - Step 3'!C817</f>
        <v>Task Execution</v>
      </c>
      <c r="E817" s="6" t="b">
        <f t="shared" si="6"/>
        <v>0</v>
      </c>
      <c r="F817" s="6"/>
      <c r="G817" s="6" t="str">
        <f t="shared" si="7"/>
        <v>Task Execution</v>
      </c>
    </row>
    <row r="818" spans="1:7" ht="14" x14ac:dyDescent="0.15">
      <c r="A818" s="6" t="s">
        <v>107</v>
      </c>
      <c r="B818" s="8" t="s">
        <v>2027</v>
      </c>
      <c r="C818" s="6" t="str">
        <f>'Ann1 - Step 3'!C818</f>
        <v>Task Execution</v>
      </c>
      <c r="D818" s="6" t="str">
        <f>'Ann2 - Step 3'!C818</f>
        <v>Task Execution</v>
      </c>
      <c r="E818" s="6" t="b">
        <f t="shared" si="6"/>
        <v>0</v>
      </c>
      <c r="F818" s="6"/>
      <c r="G818" s="6" t="str">
        <f t="shared" si="7"/>
        <v>Task Execution</v>
      </c>
    </row>
    <row r="819" spans="1:7" ht="14" x14ac:dyDescent="0.15">
      <c r="A819" s="6" t="s">
        <v>107</v>
      </c>
      <c r="B819" s="8" t="s">
        <v>2028</v>
      </c>
      <c r="C819" s="6" t="str">
        <f>'Ann1 - Step 3'!C819</f>
        <v>Task Execution</v>
      </c>
      <c r="D819" s="6" t="str">
        <f>'Ann2 - Step 3'!C819</f>
        <v>Task Execution</v>
      </c>
      <c r="E819" s="6" t="b">
        <f t="shared" si="6"/>
        <v>0</v>
      </c>
      <c r="F819" s="6"/>
      <c r="G819" s="6" t="str">
        <f t="shared" si="7"/>
        <v>Task Execution</v>
      </c>
    </row>
    <row r="820" spans="1:7" ht="14" x14ac:dyDescent="0.15">
      <c r="A820" s="6" t="s">
        <v>107</v>
      </c>
      <c r="B820" s="8" t="s">
        <v>2029</v>
      </c>
      <c r="C820" s="6" t="str">
        <f>'Ann1 - Step 3'!C820</f>
        <v>Task Execution</v>
      </c>
      <c r="D820" s="6" t="str">
        <f>'Ann2 - Step 3'!C820</f>
        <v>Task Execution</v>
      </c>
      <c r="E820" s="6" t="b">
        <f t="shared" si="6"/>
        <v>0</v>
      </c>
      <c r="F820" s="6"/>
      <c r="G820" s="6" t="str">
        <f t="shared" si="7"/>
        <v>Task Execution</v>
      </c>
    </row>
    <row r="821" spans="1:7" ht="14" x14ac:dyDescent="0.15">
      <c r="A821" s="6" t="s">
        <v>107</v>
      </c>
      <c r="B821" s="8" t="s">
        <v>2030</v>
      </c>
      <c r="C821" s="6" t="str">
        <f>'Ann1 - Step 3'!C821</f>
        <v>Task Execution</v>
      </c>
      <c r="D821" s="6" t="str">
        <f>'Ann2 - Step 3'!C821</f>
        <v>Task Execution</v>
      </c>
      <c r="E821" s="6" t="b">
        <f t="shared" si="6"/>
        <v>0</v>
      </c>
      <c r="F821" s="6"/>
      <c r="G821" s="6" t="str">
        <f t="shared" si="7"/>
        <v>Task Execution</v>
      </c>
    </row>
    <row r="822" spans="1:7" ht="14" x14ac:dyDescent="0.15">
      <c r="A822" s="6" t="s">
        <v>183</v>
      </c>
      <c r="B822" s="8" t="s">
        <v>2031</v>
      </c>
      <c r="C822" s="6" t="str">
        <f>'Ann1 - Step 3'!C822</f>
        <v>Documentation</v>
      </c>
      <c r="D822" s="6" t="str">
        <f>'Ann2 - Step 3'!C822</f>
        <v>Documentation</v>
      </c>
      <c r="E822" s="6" t="b">
        <f t="shared" si="6"/>
        <v>0</v>
      </c>
      <c r="F822" s="6"/>
      <c r="G822" s="6" t="str">
        <f t="shared" si="7"/>
        <v>Documentation</v>
      </c>
    </row>
    <row r="823" spans="1:7" ht="14" x14ac:dyDescent="0.15">
      <c r="A823" s="6" t="s">
        <v>187</v>
      </c>
      <c r="B823" s="8" t="s">
        <v>2032</v>
      </c>
      <c r="C823" s="6" t="str">
        <f>'Ann1 - Step 3'!C823</f>
        <v>Commit&amp;PR rule</v>
      </c>
      <c r="D823" s="6" t="str">
        <f>'Ann2 - Step 3'!C823</f>
        <v>Commit&amp;PR rule</v>
      </c>
      <c r="E823" s="6" t="b">
        <f t="shared" si="6"/>
        <v>0</v>
      </c>
      <c r="F823" s="6"/>
      <c r="G823" s="6" t="str">
        <f t="shared" si="7"/>
        <v>Commit&amp;PR rule</v>
      </c>
    </row>
    <row r="824" spans="1:7" ht="14" x14ac:dyDescent="0.15">
      <c r="A824" s="6" t="s">
        <v>190</v>
      </c>
      <c r="B824" s="8" t="s">
        <v>2033</v>
      </c>
      <c r="C824" s="6" t="str">
        <f>'Ann1 - Step 3'!C824</f>
        <v>Build &amp; Operation</v>
      </c>
      <c r="D824" s="6" t="str">
        <f>'Ann2 - Step 3'!C824</f>
        <v>Build &amp; Operation</v>
      </c>
      <c r="E824" s="6" t="b">
        <f t="shared" si="6"/>
        <v>0</v>
      </c>
      <c r="F824" s="6"/>
      <c r="G824" s="6" t="str">
        <f t="shared" si="7"/>
        <v>Build &amp; Operation</v>
      </c>
    </row>
    <row r="825" spans="1:7" ht="14" x14ac:dyDescent="0.15">
      <c r="A825" s="6" t="s">
        <v>190</v>
      </c>
      <c r="B825" s="8" t="s">
        <v>2034</v>
      </c>
      <c r="C825" s="6" t="str">
        <f>'Ann1 - Step 3'!C825</f>
        <v>Commit&amp;PR rule</v>
      </c>
      <c r="D825" s="6" t="str">
        <f>'Ann2 - Step 3'!C825</f>
        <v>Commit&amp;PR rule</v>
      </c>
      <c r="E825" s="6" t="b">
        <f t="shared" si="6"/>
        <v>0</v>
      </c>
      <c r="F825" s="6"/>
      <c r="G825" s="6" t="str">
        <f t="shared" si="7"/>
        <v>Commit&amp;PR rule</v>
      </c>
    </row>
    <row r="826" spans="1:7" ht="14" x14ac:dyDescent="0.15">
      <c r="A826" s="6" t="s">
        <v>190</v>
      </c>
      <c r="B826" s="8" t="s">
        <v>2035</v>
      </c>
      <c r="C826" s="6" t="str">
        <f>'Ann1 - Step 3'!C826</f>
        <v>Build &amp; Operation</v>
      </c>
      <c r="D826" s="6" t="str">
        <f>'Ann2 - Step 3'!C826</f>
        <v>Build &amp; Operation</v>
      </c>
      <c r="E826" s="6" t="b">
        <f t="shared" si="6"/>
        <v>0</v>
      </c>
      <c r="F826" s="6"/>
      <c r="G826" s="6" t="str">
        <f t="shared" si="7"/>
        <v>Build &amp; Operation</v>
      </c>
    </row>
    <row r="827" spans="1:7" ht="14" x14ac:dyDescent="0.15">
      <c r="A827" s="6" t="s">
        <v>190</v>
      </c>
      <c r="B827" s="8" t="s">
        <v>2036</v>
      </c>
      <c r="C827" s="6" t="str">
        <f>'Ann1 - Step 3'!C827</f>
        <v>Commit&amp;PR rule</v>
      </c>
      <c r="D827" s="6" t="str">
        <f>'Ann2 - Step 3'!C827</f>
        <v>Commit&amp;PR rule</v>
      </c>
      <c r="E827" s="6" t="b">
        <f t="shared" si="6"/>
        <v>0</v>
      </c>
      <c r="F827" s="6"/>
      <c r="G827" s="6" t="str">
        <f t="shared" si="7"/>
        <v>Commit&amp;PR rule</v>
      </c>
    </row>
    <row r="828" spans="1:7" ht="14" x14ac:dyDescent="0.15">
      <c r="A828" s="31" t="s">
        <v>190</v>
      </c>
      <c r="B828" s="23" t="s">
        <v>2037</v>
      </c>
      <c r="C828" s="6" t="str">
        <f>'Ann1 - Step 3'!C828</f>
        <v>Coding Pattern</v>
      </c>
      <c r="D828" s="6" t="str">
        <f>'Ann2 - Step 3'!C828</f>
        <v>Task Execution</v>
      </c>
      <c r="E828" s="6" t="b">
        <f t="shared" si="6"/>
        <v>1</v>
      </c>
      <c r="F828" s="30" t="s">
        <v>30</v>
      </c>
      <c r="G828" s="6" t="str">
        <f t="shared" si="7"/>
        <v>Coding Pattern</v>
      </c>
    </row>
    <row r="829" spans="1:7" ht="14" x14ac:dyDescent="0.15">
      <c r="A829" s="6" t="s">
        <v>190</v>
      </c>
      <c r="B829" s="8" t="s">
        <v>2038</v>
      </c>
      <c r="C829" s="6" t="str">
        <f>'Ann1 - Step 3'!C829</f>
        <v>Build &amp; Operation</v>
      </c>
      <c r="D829" s="6" t="str">
        <f>'Ann2 - Step 3'!C829</f>
        <v>Build &amp; Operation</v>
      </c>
      <c r="E829" s="6" t="b">
        <f t="shared" si="6"/>
        <v>0</v>
      </c>
      <c r="F829" s="6"/>
      <c r="G829" s="6" t="str">
        <f t="shared" si="7"/>
        <v>Build &amp; Operation</v>
      </c>
    </row>
    <row r="830" spans="1:7" ht="14" x14ac:dyDescent="0.15">
      <c r="A830" s="6" t="s">
        <v>190</v>
      </c>
      <c r="B830" s="8" t="s">
        <v>2039</v>
      </c>
      <c r="C830" s="6" t="str">
        <f>'Ann1 - Step 3'!C830</f>
        <v>Build &amp; Operation</v>
      </c>
      <c r="D830" s="6" t="str">
        <f>'Ann2 - Step 3'!C830</f>
        <v>Build &amp; Operation</v>
      </c>
      <c r="E830" s="6" t="b">
        <f t="shared" si="6"/>
        <v>0</v>
      </c>
      <c r="F830" s="6"/>
      <c r="G830" s="6" t="str">
        <f t="shared" si="7"/>
        <v>Build &amp; Operation</v>
      </c>
    </row>
    <row r="831" spans="1:7" ht="14" x14ac:dyDescent="0.15">
      <c r="A831" s="6" t="s">
        <v>190</v>
      </c>
      <c r="B831" s="8" t="s">
        <v>2040</v>
      </c>
      <c r="C831" s="6" t="str">
        <f>'Ann1 - Step 3'!C831</f>
        <v>Security</v>
      </c>
      <c r="D831" s="6" t="str">
        <f>'Ann2 - Step 3'!C831</f>
        <v>Security</v>
      </c>
      <c r="E831" s="6" t="b">
        <f t="shared" si="6"/>
        <v>0</v>
      </c>
      <c r="F831" s="6"/>
      <c r="G831" s="6" t="str">
        <f t="shared" si="7"/>
        <v>Security</v>
      </c>
    </row>
    <row r="832" spans="1:7" ht="14" x14ac:dyDescent="0.15">
      <c r="A832" s="6" t="s">
        <v>2041</v>
      </c>
      <c r="B832" s="8" t="s">
        <v>2042</v>
      </c>
      <c r="C832" s="6" t="str">
        <f>'Ann1 - Step 3'!C832</f>
        <v>Security</v>
      </c>
      <c r="D832" s="6" t="str">
        <f>'Ann2 - Step 3'!C832</f>
        <v>Security</v>
      </c>
      <c r="E832" s="6" t="b">
        <f t="shared" si="6"/>
        <v>0</v>
      </c>
      <c r="F832" s="6"/>
      <c r="G832" s="6" t="str">
        <f t="shared" si="7"/>
        <v>Security</v>
      </c>
    </row>
    <row r="833" spans="1:7" ht="14" x14ac:dyDescent="0.15">
      <c r="A833" s="6" t="s">
        <v>1697</v>
      </c>
      <c r="B833" s="8" t="s">
        <v>2043</v>
      </c>
      <c r="C833" s="6" t="str">
        <f>'Ann1 - Step 3'!C833</f>
        <v>Coding Pattern</v>
      </c>
      <c r="D833" s="6" t="str">
        <f>'Ann2 - Step 3'!C833</f>
        <v>Coding Pattern</v>
      </c>
      <c r="E833" s="6" t="b">
        <f t="shared" si="6"/>
        <v>0</v>
      </c>
      <c r="F833" s="6"/>
      <c r="G833" s="6" t="str">
        <f t="shared" si="7"/>
        <v>Coding Pattern</v>
      </c>
    </row>
    <row r="834" spans="1:7" ht="14" x14ac:dyDescent="0.15">
      <c r="A834" s="6" t="s">
        <v>75</v>
      </c>
      <c r="B834" s="8" t="s">
        <v>2044</v>
      </c>
      <c r="C834" s="6" t="str">
        <f>'Ann1 - Step 3'!C834</f>
        <v>Build &amp; Operation</v>
      </c>
      <c r="D834" s="6" t="str">
        <f>'Ann2 - Step 3'!C834</f>
        <v>Build &amp; Operation</v>
      </c>
      <c r="E834" s="6" t="b">
        <f t="shared" si="6"/>
        <v>0</v>
      </c>
      <c r="F834" s="6"/>
      <c r="G834" s="6" t="str">
        <f t="shared" si="7"/>
        <v>Build &amp; Operation</v>
      </c>
    </row>
    <row r="835" spans="1:7" ht="14" x14ac:dyDescent="0.15">
      <c r="A835" s="6" t="s">
        <v>75</v>
      </c>
      <c r="B835" s="8" t="s">
        <v>2045</v>
      </c>
      <c r="C835" s="6" t="str">
        <f>'Ann1 - Step 3'!C835</f>
        <v>Security</v>
      </c>
      <c r="D835" s="6" t="str">
        <f>'Ann2 - Step 3'!C835</f>
        <v>Security</v>
      </c>
      <c r="E835" s="6" t="b">
        <f t="shared" si="6"/>
        <v>0</v>
      </c>
      <c r="F835" s="6"/>
      <c r="G835" s="6" t="str">
        <f t="shared" si="7"/>
        <v>Security</v>
      </c>
    </row>
    <row r="836" spans="1:7" ht="14" x14ac:dyDescent="0.15">
      <c r="A836" s="6" t="s">
        <v>75</v>
      </c>
      <c r="B836" s="8" t="s">
        <v>2046</v>
      </c>
      <c r="C836" s="6" t="str">
        <f>'Ann1 - Step 3'!C836</f>
        <v>Writing Style Preference</v>
      </c>
      <c r="D836" s="6" t="str">
        <f>'Ann2 - Step 3'!C836</f>
        <v>Writing Style Preference</v>
      </c>
      <c r="E836" s="6" t="b">
        <f t="shared" si="6"/>
        <v>0</v>
      </c>
      <c r="F836" s="6"/>
      <c r="G836" s="6" t="str">
        <f t="shared" si="7"/>
        <v>Writing Style Preference</v>
      </c>
    </row>
    <row r="837" spans="1:7" ht="14" x14ac:dyDescent="0.15">
      <c r="A837" s="31" t="s">
        <v>75</v>
      </c>
      <c r="B837" s="8" t="s">
        <v>2047</v>
      </c>
      <c r="C837" s="6" t="str">
        <f>'Ann1 - Step 3'!C837</f>
        <v>Writing Style Preference</v>
      </c>
      <c r="D837" s="6" t="str">
        <f>'Ann2 - Step 3'!C837</f>
        <v>Writing Style Preference</v>
      </c>
      <c r="E837" s="6" t="b">
        <f t="shared" si="6"/>
        <v>0</v>
      </c>
      <c r="F837" s="6"/>
      <c r="G837" s="6" t="str">
        <f t="shared" si="7"/>
        <v>Writing Style Preference</v>
      </c>
    </row>
    <row r="838" spans="1:7" ht="14" x14ac:dyDescent="0.15">
      <c r="A838" s="6" t="s">
        <v>2050</v>
      </c>
      <c r="B838" s="8" t="s">
        <v>2051</v>
      </c>
      <c r="C838" s="6" t="str">
        <f>'Ann1 - Step 3'!C838</f>
        <v>Testing</v>
      </c>
      <c r="D838" s="6" t="str">
        <f>'Ann2 - Step 3'!C838</f>
        <v>Testing</v>
      </c>
      <c r="E838" s="6" t="b">
        <f t="shared" si="6"/>
        <v>0</v>
      </c>
      <c r="F838" s="6"/>
      <c r="G838" s="6" t="str">
        <f t="shared" si="7"/>
        <v>Testing</v>
      </c>
    </row>
    <row r="839" spans="1:7" ht="14" x14ac:dyDescent="0.15">
      <c r="A839" s="6" t="s">
        <v>217</v>
      </c>
      <c r="B839" s="8" t="s">
        <v>2052</v>
      </c>
      <c r="C839" s="6" t="str">
        <f>'Ann1 - Step 3'!C839</f>
        <v>Coding Pattern</v>
      </c>
      <c r="D839" s="6" t="str">
        <f>'Ann2 - Step 3'!C839</f>
        <v>Coding Pattern</v>
      </c>
      <c r="E839" s="6" t="b">
        <f t="shared" si="6"/>
        <v>0</v>
      </c>
      <c r="F839" s="6"/>
      <c r="G839" s="6" t="str">
        <f t="shared" si="7"/>
        <v>Coding Pattern</v>
      </c>
    </row>
    <row r="840" spans="1:7" ht="14" x14ac:dyDescent="0.15">
      <c r="A840" s="6" t="s">
        <v>217</v>
      </c>
      <c r="B840" s="8" t="s">
        <v>2053</v>
      </c>
      <c r="C840" s="6" t="str">
        <f>'Ann1 - Step 3'!C840</f>
        <v>Testing</v>
      </c>
      <c r="D840" s="6" t="str">
        <f>'Ann2 - Step 3'!C840</f>
        <v>Testing</v>
      </c>
      <c r="E840" s="6" t="b">
        <f t="shared" si="6"/>
        <v>0</v>
      </c>
      <c r="F840" s="6"/>
      <c r="G840" s="6" t="str">
        <f t="shared" si="7"/>
        <v>Testing</v>
      </c>
    </row>
    <row r="841" spans="1:7" ht="14" x14ac:dyDescent="0.15">
      <c r="A841" s="6" t="s">
        <v>223</v>
      </c>
      <c r="B841" s="8" t="s">
        <v>2054</v>
      </c>
      <c r="C841" s="6" t="str">
        <f>'Ann1 - Step 3'!C841</f>
        <v>Security</v>
      </c>
      <c r="D841" s="6" t="str">
        <f>'Ann2 - Step 3'!C841</f>
        <v>Security</v>
      </c>
      <c r="E841" s="6" t="b">
        <f t="shared" si="6"/>
        <v>0</v>
      </c>
      <c r="F841" s="6"/>
      <c r="G841" s="6" t="str">
        <f t="shared" si="7"/>
        <v>Security</v>
      </c>
    </row>
    <row r="842" spans="1:7" ht="14" x14ac:dyDescent="0.15">
      <c r="A842" s="6" t="s">
        <v>223</v>
      </c>
      <c r="B842" s="8" t="s">
        <v>2055</v>
      </c>
      <c r="C842" s="6" t="str">
        <f>'Ann1 - Step 3'!C842</f>
        <v>Testing</v>
      </c>
      <c r="D842" s="6" t="str">
        <f>'Ann2 - Step 3'!C842</f>
        <v>Testing</v>
      </c>
      <c r="E842" s="6" t="b">
        <f t="shared" si="6"/>
        <v>0</v>
      </c>
      <c r="F842" s="6"/>
      <c r="G842" s="6" t="str">
        <f t="shared" si="7"/>
        <v>Testing</v>
      </c>
    </row>
    <row r="843" spans="1:7" ht="14" x14ac:dyDescent="0.15">
      <c r="A843" s="6" t="s">
        <v>600</v>
      </c>
      <c r="B843" s="8" t="s">
        <v>2056</v>
      </c>
      <c r="C843" s="6" t="str">
        <f>'Ann1 - Step 3'!C843</f>
        <v>Task Execution</v>
      </c>
      <c r="D843" s="6" t="str">
        <f>'Ann2 - Step 3'!C843</f>
        <v>Task Execution</v>
      </c>
      <c r="E843" s="6" t="b">
        <f t="shared" si="6"/>
        <v>0</v>
      </c>
      <c r="F843" s="6"/>
      <c r="G843" s="6" t="str">
        <f t="shared" si="7"/>
        <v>Task Execution</v>
      </c>
    </row>
    <row r="844" spans="1:7" ht="14" x14ac:dyDescent="0.15">
      <c r="A844" s="6" t="s">
        <v>600</v>
      </c>
      <c r="B844" s="8" t="s">
        <v>2057</v>
      </c>
      <c r="C844" s="6" t="str">
        <f>'Ann1 - Step 3'!C844</f>
        <v>Build &amp; Operation</v>
      </c>
      <c r="D844" s="6" t="str">
        <f>'Ann2 - Step 3'!C844</f>
        <v>Build &amp; Operation</v>
      </c>
      <c r="E844" s="6" t="b">
        <f t="shared" si="6"/>
        <v>0</v>
      </c>
      <c r="F844" s="6"/>
      <c r="G844" s="6" t="str">
        <f t="shared" si="7"/>
        <v>Build &amp; Operation</v>
      </c>
    </row>
    <row r="845" spans="1:7" ht="14" x14ac:dyDescent="0.15">
      <c r="A845" s="6" t="s">
        <v>600</v>
      </c>
      <c r="B845" s="8" t="s">
        <v>2058</v>
      </c>
      <c r="C845" s="6" t="str">
        <f>'Ann1 - Step 3'!C845</f>
        <v>Coding Pattern</v>
      </c>
      <c r="D845" s="6" t="str">
        <f>'Ann2 - Step 3'!C845</f>
        <v>Coding Pattern</v>
      </c>
      <c r="E845" s="6" t="b">
        <f t="shared" si="6"/>
        <v>0</v>
      </c>
      <c r="F845" s="6"/>
      <c r="G845" s="6" t="str">
        <f t="shared" si="7"/>
        <v>Coding Pattern</v>
      </c>
    </row>
    <row r="846" spans="1:7" ht="14" x14ac:dyDescent="0.15">
      <c r="A846" s="6" t="s">
        <v>600</v>
      </c>
      <c r="B846" s="8" t="s">
        <v>2059</v>
      </c>
      <c r="C846" s="6" t="str">
        <f>'Ann1 - Step 3'!C846</f>
        <v>Coding Pattern</v>
      </c>
      <c r="D846" s="6" t="str">
        <f>'Ann2 - Step 3'!C846</f>
        <v>Coding Pattern</v>
      </c>
      <c r="E846" s="6" t="b">
        <f t="shared" si="6"/>
        <v>0</v>
      </c>
      <c r="F846" s="6"/>
      <c r="G846" s="6" t="str">
        <f t="shared" si="7"/>
        <v>Coding Pattern</v>
      </c>
    </row>
    <row r="847" spans="1:7" ht="14" x14ac:dyDescent="0.15">
      <c r="A847" s="6" t="s">
        <v>822</v>
      </c>
      <c r="B847" s="8" t="s">
        <v>2060</v>
      </c>
      <c r="C847" s="6" t="str">
        <f>'Ann1 - Step 3'!C847</f>
        <v>Build &amp; Operation</v>
      </c>
      <c r="D847" s="6" t="str">
        <f>'Ann2 - Step 3'!C847</f>
        <v>Build &amp; Operation</v>
      </c>
      <c r="E847" s="6" t="b">
        <f t="shared" si="6"/>
        <v>0</v>
      </c>
      <c r="F847" s="6"/>
      <c r="G847" s="6" t="str">
        <f t="shared" si="7"/>
        <v>Build &amp; Operation</v>
      </c>
    </row>
    <row r="848" spans="1:7" ht="14" x14ac:dyDescent="0.15">
      <c r="A848" s="6" t="s">
        <v>15</v>
      </c>
      <c r="B848" s="8" t="s">
        <v>2061</v>
      </c>
      <c r="C848" s="6" t="str">
        <f>'Ann1 - Step 3'!C848</f>
        <v>Security</v>
      </c>
      <c r="D848" s="6" t="str">
        <f>'Ann2 - Step 3'!C848</f>
        <v>Security</v>
      </c>
      <c r="E848" s="6" t="b">
        <f t="shared" si="6"/>
        <v>0</v>
      </c>
      <c r="F848" s="6"/>
      <c r="G848" s="6" t="str">
        <f t="shared" si="7"/>
        <v>Security</v>
      </c>
    </row>
    <row r="849" spans="1:7" ht="14" x14ac:dyDescent="0.15">
      <c r="A849" s="6" t="s">
        <v>15</v>
      </c>
      <c r="B849" s="8" t="s">
        <v>2062</v>
      </c>
      <c r="C849" s="6" t="str">
        <f>'Ann1 - Step 3'!C849</f>
        <v>Build &amp; Operation</v>
      </c>
      <c r="D849" s="6" t="str">
        <f>'Ann2 - Step 3'!C849</f>
        <v>Build &amp; Operation</v>
      </c>
      <c r="E849" s="6" t="b">
        <f t="shared" si="6"/>
        <v>0</v>
      </c>
      <c r="F849" s="6"/>
      <c r="G849" s="6" t="str">
        <f t="shared" si="7"/>
        <v>Build &amp; Operation</v>
      </c>
    </row>
    <row r="850" spans="1:7" ht="14" x14ac:dyDescent="0.15">
      <c r="A850" s="6" t="s">
        <v>15</v>
      </c>
      <c r="B850" s="8" t="s">
        <v>2063</v>
      </c>
      <c r="C850" s="6" t="str">
        <f>'Ann1 - Step 3'!C850</f>
        <v>Security</v>
      </c>
      <c r="D850" s="6" t="str">
        <f>'Ann2 - Step 3'!C850</f>
        <v>Security</v>
      </c>
      <c r="E850" s="6" t="b">
        <f t="shared" si="6"/>
        <v>0</v>
      </c>
      <c r="F850" s="6"/>
      <c r="G850" s="6" t="str">
        <f t="shared" si="7"/>
        <v>Security</v>
      </c>
    </row>
    <row r="851" spans="1:7" ht="14" x14ac:dyDescent="0.15">
      <c r="A851" s="6" t="s">
        <v>832</v>
      </c>
      <c r="B851" s="8" t="s">
        <v>2064</v>
      </c>
      <c r="C851" s="6" t="str">
        <f>'Ann1 - Step 3'!C851</f>
        <v>Security</v>
      </c>
      <c r="D851" s="6" t="str">
        <f>'Ann2 - Step 3'!C851</f>
        <v>Security</v>
      </c>
      <c r="E851" s="6" t="b">
        <f t="shared" si="6"/>
        <v>0</v>
      </c>
      <c r="F851" s="6"/>
      <c r="G851" s="6" t="str">
        <f t="shared" si="7"/>
        <v>Security</v>
      </c>
    </row>
    <row r="852" spans="1:7" ht="14" x14ac:dyDescent="0.15">
      <c r="A852" s="6" t="s">
        <v>832</v>
      </c>
      <c r="B852" s="8" t="s">
        <v>2065</v>
      </c>
      <c r="C852" s="6" t="str">
        <f>'Ann1 - Step 3'!C852</f>
        <v>Documentation</v>
      </c>
      <c r="D852" s="6" t="str">
        <f>'Ann2 - Step 3'!C852</f>
        <v>Task Execution</v>
      </c>
      <c r="E852" s="6" t="b">
        <f t="shared" si="6"/>
        <v>1</v>
      </c>
      <c r="F852" s="30" t="s">
        <v>23</v>
      </c>
      <c r="G852" s="6" t="str">
        <f t="shared" si="7"/>
        <v>Documentation</v>
      </c>
    </row>
    <row r="853" spans="1:7" ht="14" x14ac:dyDescent="0.15">
      <c r="A853" s="6" t="s">
        <v>832</v>
      </c>
      <c r="B853" s="8" t="s">
        <v>2066</v>
      </c>
      <c r="C853" s="6" t="str">
        <f>'Ann1 - Step 3'!C853</f>
        <v>Documentation</v>
      </c>
      <c r="D853" s="6" t="str">
        <f>'Ann2 - Step 3'!C853</f>
        <v>Documentation</v>
      </c>
      <c r="E853" s="6" t="b">
        <f t="shared" si="6"/>
        <v>0</v>
      </c>
      <c r="F853" s="6"/>
      <c r="G853" s="6" t="str">
        <f t="shared" si="7"/>
        <v>Documentation</v>
      </c>
    </row>
    <row r="854" spans="1:7" ht="14" x14ac:dyDescent="0.15">
      <c r="A854" s="6" t="s">
        <v>832</v>
      </c>
      <c r="B854" s="8" t="s">
        <v>2067</v>
      </c>
      <c r="C854" s="6" t="str">
        <f>'Ann1 - Step 3'!C854</f>
        <v>Task Execution</v>
      </c>
      <c r="D854" s="6" t="str">
        <f>'Ann2 - Step 3'!C854</f>
        <v>Task Execution</v>
      </c>
      <c r="E854" s="6" t="b">
        <f t="shared" si="6"/>
        <v>0</v>
      </c>
      <c r="F854" s="6"/>
      <c r="G854" s="6" t="str">
        <f t="shared" si="7"/>
        <v>Task Execution</v>
      </c>
    </row>
    <row r="855" spans="1:7" ht="14" x14ac:dyDescent="0.15">
      <c r="A855" s="6" t="s">
        <v>832</v>
      </c>
      <c r="B855" s="8" t="s">
        <v>2068</v>
      </c>
      <c r="C855" s="6" t="str">
        <f>'Ann1 - Step 3'!C855</f>
        <v>Documentation</v>
      </c>
      <c r="D855" s="6" t="str">
        <f>'Ann2 - Step 3'!C855</f>
        <v>Documentation</v>
      </c>
      <c r="E855" s="6" t="b">
        <f t="shared" si="6"/>
        <v>0</v>
      </c>
      <c r="F855" s="6"/>
      <c r="G855" s="6" t="str">
        <f t="shared" si="7"/>
        <v>Documentation</v>
      </c>
    </row>
    <row r="856" spans="1:7" ht="28" x14ac:dyDescent="0.15">
      <c r="A856" s="6" t="s">
        <v>832</v>
      </c>
      <c r="B856" s="8" t="s">
        <v>2069</v>
      </c>
      <c r="C856" s="6" t="str">
        <f>'Ann1 - Step 3'!C856</f>
        <v>Security</v>
      </c>
      <c r="D856" s="6" t="str">
        <f>'Ann2 - Step 3'!C856</f>
        <v>Security</v>
      </c>
      <c r="E856" s="6" t="b">
        <f t="shared" si="6"/>
        <v>0</v>
      </c>
      <c r="F856" s="6"/>
      <c r="G856" s="6" t="str">
        <f t="shared" si="7"/>
        <v>Security</v>
      </c>
    </row>
    <row r="857" spans="1:7" ht="14" x14ac:dyDescent="0.15">
      <c r="A857" s="6" t="s">
        <v>832</v>
      </c>
      <c r="B857" s="8" t="s">
        <v>2070</v>
      </c>
      <c r="C857" s="6" t="str">
        <f>'Ann1 - Step 3'!C857</f>
        <v>Security</v>
      </c>
      <c r="D857" s="6" t="str">
        <f>'Ann2 - Step 3'!C857</f>
        <v>Security</v>
      </c>
      <c r="E857" s="6" t="b">
        <f t="shared" si="6"/>
        <v>0</v>
      </c>
      <c r="F857" s="6"/>
      <c r="G857" s="6" t="str">
        <f t="shared" si="7"/>
        <v>Security</v>
      </c>
    </row>
    <row r="858" spans="1:7" ht="14" x14ac:dyDescent="0.15">
      <c r="A858" s="6" t="s">
        <v>2073</v>
      </c>
      <c r="B858" s="8" t="s">
        <v>2074</v>
      </c>
      <c r="C858" s="6" t="str">
        <f>'Ann1 - Step 3'!C858</f>
        <v>Documentation</v>
      </c>
      <c r="D858" s="6" t="str">
        <f>'Ann2 - Step 3'!C858</f>
        <v>Documentation</v>
      </c>
      <c r="E858" s="6" t="b">
        <f t="shared" si="6"/>
        <v>0</v>
      </c>
      <c r="F858" s="6"/>
      <c r="G858" s="6" t="str">
        <f t="shared" si="7"/>
        <v>Documentation</v>
      </c>
    </row>
    <row r="859" spans="1:7" ht="14" x14ac:dyDescent="0.15">
      <c r="A859" s="6" t="s">
        <v>230</v>
      </c>
      <c r="B859" s="8" t="s">
        <v>2075</v>
      </c>
      <c r="C859" s="6" t="str">
        <f>'Ann1 - Step 3'!C859</f>
        <v>Task Execution</v>
      </c>
      <c r="D859" s="6" t="str">
        <f>'Ann2 - Step 3'!C859</f>
        <v>Task Execution</v>
      </c>
      <c r="E859" s="6" t="b">
        <f t="shared" si="6"/>
        <v>0</v>
      </c>
      <c r="F859" s="6"/>
      <c r="G859" s="6" t="str">
        <f t="shared" si="7"/>
        <v>Task Execution</v>
      </c>
    </row>
    <row r="860" spans="1:7" ht="14" x14ac:dyDescent="0.15">
      <c r="A860" s="6" t="s">
        <v>844</v>
      </c>
      <c r="B860" s="8" t="s">
        <v>2076</v>
      </c>
      <c r="C860" s="6" t="str">
        <f>'Ann1 - Step 3'!C860</f>
        <v>Task Execution</v>
      </c>
      <c r="D860" s="6" t="str">
        <f>'Ann2 - Step 3'!C860</f>
        <v>Task Execution</v>
      </c>
      <c r="E860" s="6" t="b">
        <f t="shared" si="6"/>
        <v>0</v>
      </c>
      <c r="F860" s="6"/>
      <c r="G860" s="6" t="str">
        <f t="shared" si="7"/>
        <v>Task Execution</v>
      </c>
    </row>
    <row r="861" spans="1:7" ht="14" x14ac:dyDescent="0.15">
      <c r="A861" s="6" t="s">
        <v>844</v>
      </c>
      <c r="B861" s="8" t="s">
        <v>2023</v>
      </c>
      <c r="C861" s="6" t="str">
        <f>'Ann1 - Step 3'!C861</f>
        <v>Task Execution</v>
      </c>
      <c r="D861" s="6" t="str">
        <f>'Ann2 - Step 3'!C861</f>
        <v>Task Execution</v>
      </c>
      <c r="E861" s="6" t="b">
        <f t="shared" si="6"/>
        <v>0</v>
      </c>
      <c r="F861" s="6"/>
      <c r="G861" s="6" t="str">
        <f t="shared" si="7"/>
        <v>Task Execution</v>
      </c>
    </row>
    <row r="862" spans="1:7" ht="14" x14ac:dyDescent="0.15">
      <c r="A862" s="6" t="s">
        <v>848</v>
      </c>
      <c r="B862" s="8" t="s">
        <v>2077</v>
      </c>
      <c r="C862" s="6" t="str">
        <f>'Ann1 - Step 3'!C862</f>
        <v>Testing</v>
      </c>
      <c r="D862" s="6" t="str">
        <f>'Ann2 - Step 3'!C862</f>
        <v>Maintainability</v>
      </c>
      <c r="E862" s="6" t="b">
        <f t="shared" si="6"/>
        <v>1</v>
      </c>
      <c r="F862" s="30" t="s">
        <v>88</v>
      </c>
      <c r="G862" s="6" t="str">
        <f t="shared" si="7"/>
        <v>Testing</v>
      </c>
    </row>
    <row r="863" spans="1:7" ht="28" x14ac:dyDescent="0.15">
      <c r="A863" s="6" t="s">
        <v>853</v>
      </c>
      <c r="B863" s="8" t="s">
        <v>2078</v>
      </c>
      <c r="C863" s="6" t="str">
        <f>'Ann1 - Step 3'!C863</f>
        <v>Coding Pattern</v>
      </c>
      <c r="D863" s="6" t="str">
        <f>'Ann2 - Step 3'!C863</f>
        <v>Coding Pattern</v>
      </c>
      <c r="E863" s="6" t="b">
        <f t="shared" si="6"/>
        <v>0</v>
      </c>
      <c r="F863" s="6"/>
      <c r="G863" s="6" t="str">
        <f t="shared" si="7"/>
        <v>Coding Pattern</v>
      </c>
    </row>
    <row r="864" spans="1:7" ht="14" x14ac:dyDescent="0.15">
      <c r="A864" s="6" t="s">
        <v>853</v>
      </c>
      <c r="B864" s="8" t="s">
        <v>2079</v>
      </c>
      <c r="C864" s="6" t="str">
        <f>'Ann1 - Step 3'!C864</f>
        <v>Coding Style</v>
      </c>
      <c r="D864" s="6" t="str">
        <f>'Ann2 - Step 3'!C864</f>
        <v>Coding Pattern</v>
      </c>
      <c r="E864" s="6" t="b">
        <f t="shared" si="6"/>
        <v>1</v>
      </c>
      <c r="F864" s="30" t="s">
        <v>30</v>
      </c>
      <c r="G864" s="6" t="str">
        <f t="shared" si="7"/>
        <v>Coding Pattern</v>
      </c>
    </row>
    <row r="865" spans="1:7" ht="14" x14ac:dyDescent="0.15">
      <c r="A865" s="6" t="s">
        <v>853</v>
      </c>
      <c r="B865" s="8" t="s">
        <v>2080</v>
      </c>
      <c r="C865" s="6" t="str">
        <f>'Ann1 - Step 3'!C865</f>
        <v>Coding Pattern</v>
      </c>
      <c r="D865" s="6" t="str">
        <f>'Ann2 - Step 3'!C865</f>
        <v>Coding Pattern</v>
      </c>
      <c r="E865" s="6" t="b">
        <f t="shared" si="6"/>
        <v>0</v>
      </c>
      <c r="F865" s="6"/>
      <c r="G865" s="6" t="str">
        <f t="shared" si="7"/>
        <v>Coding Pattern</v>
      </c>
    </row>
    <row r="866" spans="1:7" ht="14" x14ac:dyDescent="0.15">
      <c r="A866" s="6" t="s">
        <v>853</v>
      </c>
      <c r="B866" s="8" t="s">
        <v>2081</v>
      </c>
      <c r="C866" s="6" t="str">
        <f>'Ann1 - Step 3'!C866</f>
        <v>Build &amp; Operation</v>
      </c>
      <c r="D866" s="6" t="str">
        <f>'Ann2 - Step 3'!C866</f>
        <v>Task Execution</v>
      </c>
      <c r="E866" s="6" t="b">
        <f t="shared" si="6"/>
        <v>1</v>
      </c>
      <c r="F866" s="30" t="s">
        <v>30</v>
      </c>
      <c r="G866" s="6" t="str">
        <f t="shared" si="7"/>
        <v>Coding Pattern</v>
      </c>
    </row>
    <row r="867" spans="1:7" ht="14" x14ac:dyDescent="0.15">
      <c r="A867" s="6" t="s">
        <v>853</v>
      </c>
      <c r="B867" s="8" t="s">
        <v>2082</v>
      </c>
      <c r="C867" s="6" t="str">
        <f>'Ann1 - Step 3'!C867</f>
        <v>Commit&amp;PR rule</v>
      </c>
      <c r="D867" s="6" t="str">
        <f>'Ann2 - Step 3'!C867</f>
        <v>Commit&amp;PR rule</v>
      </c>
      <c r="E867" s="6" t="b">
        <f t="shared" si="6"/>
        <v>0</v>
      </c>
      <c r="F867" s="6"/>
      <c r="G867" s="6" t="str">
        <f t="shared" si="7"/>
        <v>Commit&amp;PR rule</v>
      </c>
    </row>
    <row r="868" spans="1:7" ht="14" x14ac:dyDescent="0.15">
      <c r="A868" s="6" t="s">
        <v>853</v>
      </c>
      <c r="B868" s="8" t="s">
        <v>2083</v>
      </c>
      <c r="C868" s="6" t="str">
        <f>'Ann1 - Step 3'!C868</f>
        <v>Commit&amp;PR rule</v>
      </c>
      <c r="D868" s="6" t="str">
        <f>'Ann2 - Step 3'!C868</f>
        <v>Commit&amp;PR rule</v>
      </c>
      <c r="E868" s="6" t="b">
        <f t="shared" si="6"/>
        <v>0</v>
      </c>
      <c r="F868" s="6"/>
      <c r="G868" s="6" t="str">
        <f t="shared" si="7"/>
        <v>Commit&amp;PR rule</v>
      </c>
    </row>
    <row r="869" spans="1:7" ht="14" x14ac:dyDescent="0.15">
      <c r="A869" s="6" t="s">
        <v>234</v>
      </c>
      <c r="B869" s="8" t="s">
        <v>2084</v>
      </c>
      <c r="C869" s="6" t="str">
        <f>'Ann1 - Step 3'!C869</f>
        <v>Coding Style</v>
      </c>
      <c r="D869" s="6" t="str">
        <f>'Ann2 - Step 3'!C869</f>
        <v>Coding Pattern</v>
      </c>
      <c r="E869" s="6" t="b">
        <f t="shared" si="6"/>
        <v>1</v>
      </c>
      <c r="F869" s="30" t="s">
        <v>83</v>
      </c>
      <c r="G869" s="6" t="str">
        <f t="shared" si="7"/>
        <v>Coding Style</v>
      </c>
    </row>
    <row r="870" spans="1:7" ht="14" x14ac:dyDescent="0.15">
      <c r="A870" s="6" t="s">
        <v>234</v>
      </c>
      <c r="B870" s="8" t="s">
        <v>2085</v>
      </c>
      <c r="C870" s="6" t="str">
        <f>'Ann1 - Step 3'!C870</f>
        <v>Security</v>
      </c>
      <c r="D870" s="6" t="str">
        <f>'Ann2 - Step 3'!C870</f>
        <v>Security</v>
      </c>
      <c r="E870" s="6" t="b">
        <f t="shared" si="6"/>
        <v>0</v>
      </c>
      <c r="F870" s="6"/>
      <c r="G870" s="6" t="str">
        <f t="shared" si="7"/>
        <v>Security</v>
      </c>
    </row>
    <row r="871" spans="1:7" ht="14" x14ac:dyDescent="0.15">
      <c r="A871" s="6" t="s">
        <v>234</v>
      </c>
      <c r="B871" s="8" t="s">
        <v>2086</v>
      </c>
      <c r="C871" s="6" t="str">
        <f>'Ann1 - Step 3'!C871</f>
        <v>Documentation</v>
      </c>
      <c r="D871" s="6" t="str">
        <f>'Ann2 - Step 3'!C871</f>
        <v>Documentation</v>
      </c>
      <c r="E871" s="6" t="b">
        <f t="shared" si="6"/>
        <v>0</v>
      </c>
      <c r="F871" s="6"/>
      <c r="G871" s="6" t="str">
        <f t="shared" si="7"/>
        <v>Documentation</v>
      </c>
    </row>
    <row r="872" spans="1:7" ht="14" x14ac:dyDescent="0.15">
      <c r="A872" s="31" t="s">
        <v>234</v>
      </c>
      <c r="B872" s="8" t="s">
        <v>2087</v>
      </c>
      <c r="C872" s="6" t="str">
        <f>'Ann1 - Step 3'!C872</f>
        <v>Documentation</v>
      </c>
      <c r="D872" s="6" t="str">
        <f>'Ann2 - Step 3'!C872</f>
        <v>Documentation</v>
      </c>
      <c r="E872" s="6" t="b">
        <f t="shared" si="6"/>
        <v>0</v>
      </c>
      <c r="F872" s="6"/>
      <c r="G872" s="6" t="str">
        <f t="shared" si="7"/>
        <v>Documentation</v>
      </c>
    </row>
    <row r="873" spans="1:7" ht="14" x14ac:dyDescent="0.15">
      <c r="A873" s="6" t="s">
        <v>234</v>
      </c>
      <c r="B873" s="8" t="s">
        <v>2088</v>
      </c>
      <c r="C873" s="6" t="str">
        <f>'Ann1 - Step 3'!C873</f>
        <v>Coding Style</v>
      </c>
      <c r="D873" s="6" t="str">
        <f>'Ann2 - Step 3'!C873</f>
        <v>Coding Style</v>
      </c>
      <c r="E873" s="6" t="b">
        <f t="shared" si="6"/>
        <v>0</v>
      </c>
      <c r="F873" s="6"/>
      <c r="G873" s="6" t="str">
        <f t="shared" si="7"/>
        <v>Coding Style</v>
      </c>
    </row>
    <row r="874" spans="1:7" ht="14" x14ac:dyDescent="0.15">
      <c r="A874" s="6" t="s">
        <v>234</v>
      </c>
      <c r="B874" s="8" t="s">
        <v>2089</v>
      </c>
      <c r="C874" s="6" t="str">
        <f>'Ann1 - Step 3'!C874</f>
        <v>Coding Pattern</v>
      </c>
      <c r="D874" s="6" t="str">
        <f>'Ann2 - Step 3'!C874</f>
        <v>Coding Pattern</v>
      </c>
      <c r="E874" s="6" t="b">
        <f t="shared" si="6"/>
        <v>0</v>
      </c>
      <c r="F874" s="6"/>
      <c r="G874" s="6" t="str">
        <f t="shared" si="7"/>
        <v>Coding Pattern</v>
      </c>
    </row>
    <row r="875" spans="1:7" ht="14" x14ac:dyDescent="0.15">
      <c r="A875" s="6" t="s">
        <v>234</v>
      </c>
      <c r="B875" s="8" t="s">
        <v>2090</v>
      </c>
      <c r="C875" s="6" t="str">
        <f>'Ann1 - Step 3'!C875</f>
        <v>Coding Pattern</v>
      </c>
      <c r="D875" s="6" t="str">
        <f>'Ann2 - Step 3'!C875</f>
        <v>Coding Pattern</v>
      </c>
      <c r="E875" s="6" t="b">
        <f t="shared" si="6"/>
        <v>0</v>
      </c>
      <c r="F875" s="6"/>
      <c r="G875" s="6" t="str">
        <f t="shared" si="7"/>
        <v>Coding Pattern</v>
      </c>
    </row>
    <row r="876" spans="1:7" ht="14" x14ac:dyDescent="0.15">
      <c r="A876" s="6" t="s">
        <v>234</v>
      </c>
      <c r="B876" s="8" t="s">
        <v>2091</v>
      </c>
      <c r="C876" s="6" t="str">
        <f>'Ann1 - Step 3'!C876</f>
        <v>Coding Pattern</v>
      </c>
      <c r="D876" s="6" t="str">
        <f>'Ann2 - Step 3'!C876</f>
        <v>Coding Pattern</v>
      </c>
      <c r="E876" s="6" t="b">
        <f t="shared" si="6"/>
        <v>0</v>
      </c>
      <c r="F876" s="6"/>
      <c r="G876" s="6" t="str">
        <f t="shared" si="7"/>
        <v>Coding Pattern</v>
      </c>
    </row>
    <row r="877" spans="1:7" ht="14" x14ac:dyDescent="0.15">
      <c r="A877" s="6" t="s">
        <v>234</v>
      </c>
      <c r="B877" s="8" t="s">
        <v>2092</v>
      </c>
      <c r="C877" s="6" t="str">
        <f>'Ann1 - Step 3'!C877</f>
        <v>Testing</v>
      </c>
      <c r="D877" s="6" t="str">
        <f>'Ann2 - Step 3'!C877</f>
        <v>Testing</v>
      </c>
      <c r="E877" s="6" t="b">
        <f t="shared" si="6"/>
        <v>0</v>
      </c>
      <c r="F877" s="6"/>
      <c r="G877" s="6" t="str">
        <f t="shared" si="7"/>
        <v>Testing</v>
      </c>
    </row>
    <row r="878" spans="1:7" ht="14" x14ac:dyDescent="0.15">
      <c r="A878" s="6" t="s">
        <v>234</v>
      </c>
      <c r="B878" s="8" t="s">
        <v>2093</v>
      </c>
      <c r="C878" s="6" t="str">
        <f>'Ann1 - Step 3'!C878</f>
        <v>Coding Pattern</v>
      </c>
      <c r="D878" s="6" t="str">
        <f>'Ann2 - Step 3'!C878</f>
        <v>Coding Pattern</v>
      </c>
      <c r="E878" s="6" t="b">
        <f t="shared" si="6"/>
        <v>0</v>
      </c>
      <c r="F878" s="6"/>
      <c r="G878" s="6" t="str">
        <f t="shared" si="7"/>
        <v>Coding Pattern</v>
      </c>
    </row>
    <row r="879" spans="1:7" ht="14" x14ac:dyDescent="0.15">
      <c r="A879" s="6" t="s">
        <v>239</v>
      </c>
      <c r="B879" s="8" t="s">
        <v>2094</v>
      </c>
      <c r="C879" s="6" t="str">
        <f>'Ann1 - Step 3'!C879</f>
        <v>Commit&amp;PR rule</v>
      </c>
      <c r="D879" s="6" t="str">
        <f>'Ann2 - Step 3'!C879</f>
        <v>Commit&amp;PR rule</v>
      </c>
      <c r="E879" s="6" t="b">
        <f t="shared" si="6"/>
        <v>0</v>
      </c>
      <c r="F879" s="6"/>
      <c r="G879" s="6" t="str">
        <f t="shared" si="7"/>
        <v>Commit&amp;PR rule</v>
      </c>
    </row>
    <row r="880" spans="1:7" ht="14" x14ac:dyDescent="0.15">
      <c r="A880" s="6" t="s">
        <v>239</v>
      </c>
      <c r="B880" s="8" t="s">
        <v>2095</v>
      </c>
      <c r="C880" s="6" t="str">
        <f>'Ann1 - Step 3'!C880</f>
        <v>Commit&amp;PR rule</v>
      </c>
      <c r="D880" s="6" t="str">
        <f>'Ann2 - Step 3'!C880</f>
        <v>Commit&amp;PR rule</v>
      </c>
      <c r="E880" s="6" t="b">
        <f t="shared" si="6"/>
        <v>0</v>
      </c>
      <c r="F880" s="6"/>
      <c r="G880" s="6" t="str">
        <f t="shared" si="7"/>
        <v>Commit&amp;PR rule</v>
      </c>
    </row>
    <row r="881" spans="1:7" ht="14" x14ac:dyDescent="0.15">
      <c r="A881" s="6" t="s">
        <v>1477</v>
      </c>
      <c r="B881" s="8" t="s">
        <v>2096</v>
      </c>
      <c r="C881" s="6" t="str">
        <f>'Ann1 - Step 3'!C881</f>
        <v>Testing</v>
      </c>
      <c r="D881" s="6" t="str">
        <f>'Ann2 - Step 3'!C881</f>
        <v>Testing</v>
      </c>
      <c r="E881" s="6" t="b">
        <f t="shared" si="6"/>
        <v>0</v>
      </c>
      <c r="F881" s="6"/>
      <c r="G881" s="6" t="str">
        <f t="shared" si="7"/>
        <v>Testing</v>
      </c>
    </row>
    <row r="882" spans="1:7" ht="14" x14ac:dyDescent="0.15">
      <c r="A882" s="6" t="s">
        <v>1477</v>
      </c>
      <c r="B882" s="8" t="s">
        <v>2097</v>
      </c>
      <c r="C882" s="6" t="str">
        <f>'Ann1 - Step 3'!C882</f>
        <v>Task Execution</v>
      </c>
      <c r="D882" s="6" t="str">
        <f>'Ann2 - Step 3'!C882</f>
        <v>Task Execution</v>
      </c>
      <c r="E882" s="6" t="b">
        <f t="shared" si="6"/>
        <v>0</v>
      </c>
      <c r="F882" s="6"/>
      <c r="G882" s="6" t="str">
        <f t="shared" si="7"/>
        <v>Task Execution</v>
      </c>
    </row>
    <row r="883" spans="1:7" ht="14" x14ac:dyDescent="0.15">
      <c r="A883" s="6" t="s">
        <v>1477</v>
      </c>
      <c r="B883" s="8" t="s">
        <v>2098</v>
      </c>
      <c r="C883" s="6" t="str">
        <f>'Ann1 - Step 3'!C883</f>
        <v>Documentation</v>
      </c>
      <c r="D883" s="6" t="str">
        <f>'Ann2 - Step 3'!C883</f>
        <v>Documentation</v>
      </c>
      <c r="E883" s="6" t="b">
        <f t="shared" si="6"/>
        <v>0</v>
      </c>
      <c r="F883" s="6"/>
      <c r="G883" s="6" t="str">
        <f t="shared" si="7"/>
        <v>Documentation</v>
      </c>
    </row>
    <row r="884" spans="1:7" ht="14" x14ac:dyDescent="0.15">
      <c r="A884" s="6" t="s">
        <v>1477</v>
      </c>
      <c r="B884" s="8" t="s">
        <v>2099</v>
      </c>
      <c r="C884" s="6" t="str">
        <f>'Ann1 - Step 3'!C884</f>
        <v>Coding Pattern</v>
      </c>
      <c r="D884" s="6" t="str">
        <f>'Ann2 - Step 3'!C884</f>
        <v>Coding Pattern</v>
      </c>
      <c r="E884" s="6" t="b">
        <f t="shared" si="6"/>
        <v>0</v>
      </c>
      <c r="F884" s="6"/>
      <c r="G884" s="6" t="str">
        <f t="shared" si="7"/>
        <v>Coding Pattern</v>
      </c>
    </row>
    <row r="885" spans="1:7" ht="14" x14ac:dyDescent="0.15">
      <c r="A885" s="6" t="s">
        <v>1477</v>
      </c>
      <c r="B885" s="8" t="s">
        <v>2100</v>
      </c>
      <c r="C885" s="6" t="str">
        <f>'Ann1 - Step 3'!C885</f>
        <v>Coding Pattern</v>
      </c>
      <c r="D885" s="6" t="str">
        <f>'Ann2 - Step 3'!C885</f>
        <v>Coding Pattern</v>
      </c>
      <c r="E885" s="6" t="b">
        <f t="shared" si="6"/>
        <v>0</v>
      </c>
      <c r="F885" s="6"/>
      <c r="G885" s="6" t="str">
        <f t="shared" si="7"/>
        <v>Coding Pattern</v>
      </c>
    </row>
    <row r="886" spans="1:7" ht="14" x14ac:dyDescent="0.15">
      <c r="A886" s="6" t="s">
        <v>1477</v>
      </c>
      <c r="B886" s="8" t="s">
        <v>2101</v>
      </c>
      <c r="C886" s="6" t="str">
        <f>'Ann1 - Step 3'!C886</f>
        <v>Testing</v>
      </c>
      <c r="D886" s="6" t="str">
        <f>'Ann2 - Step 3'!C886</f>
        <v>Testing</v>
      </c>
      <c r="E886" s="6" t="b">
        <f t="shared" si="6"/>
        <v>0</v>
      </c>
      <c r="F886" s="6"/>
      <c r="G886" s="6" t="str">
        <f t="shared" si="7"/>
        <v>Testing</v>
      </c>
    </row>
    <row r="887" spans="1:7" ht="14" x14ac:dyDescent="0.15">
      <c r="A887" s="6" t="s">
        <v>81</v>
      </c>
      <c r="B887" s="8" t="s">
        <v>2102</v>
      </c>
      <c r="C887" s="6" t="str">
        <f>'Ann1 - Step 3'!C887</f>
        <v>Task Execution</v>
      </c>
      <c r="D887" s="6" t="str">
        <f>'Ann2 - Step 3'!C887</f>
        <v>Task Execution</v>
      </c>
      <c r="E887" s="6" t="b">
        <f t="shared" si="6"/>
        <v>0</v>
      </c>
      <c r="F887" s="6"/>
      <c r="G887" s="6" t="str">
        <f t="shared" si="7"/>
        <v>Task Execution</v>
      </c>
    </row>
    <row r="888" spans="1:7" ht="14" x14ac:dyDescent="0.15">
      <c r="A888" s="6" t="s">
        <v>2105</v>
      </c>
      <c r="B888" s="8" t="s">
        <v>2106</v>
      </c>
      <c r="C888" s="6" t="str">
        <f>'Ann1 - Step 3'!C888</f>
        <v>Commit&amp;PR rule</v>
      </c>
      <c r="D888" s="6" t="str">
        <f>'Ann2 - Step 3'!C888</f>
        <v>Commit&amp;PR rule</v>
      </c>
      <c r="E888" s="6" t="b">
        <f t="shared" si="6"/>
        <v>0</v>
      </c>
      <c r="F888" s="6"/>
      <c r="G888" s="6" t="str">
        <f t="shared" si="7"/>
        <v>Commit&amp;PR rule</v>
      </c>
    </row>
    <row r="889" spans="1:7" ht="14" x14ac:dyDescent="0.15">
      <c r="A889" s="31" t="s">
        <v>2105</v>
      </c>
      <c r="B889" s="8" t="s">
        <v>2107</v>
      </c>
      <c r="C889" s="6" t="str">
        <f>'Ann1 - Step 3'!C889</f>
        <v>Commit&amp;PR rule</v>
      </c>
      <c r="D889" s="6" t="str">
        <f>'Ann2 - Step 3'!C889</f>
        <v>Commit&amp;PR rule</v>
      </c>
      <c r="E889" s="6" t="b">
        <f t="shared" si="6"/>
        <v>0</v>
      </c>
      <c r="F889" s="6"/>
      <c r="G889" s="6" t="str">
        <f t="shared" si="7"/>
        <v>Commit&amp;PR rule</v>
      </c>
    </row>
    <row r="890" spans="1:7" ht="14" x14ac:dyDescent="0.15">
      <c r="A890" s="6" t="s">
        <v>249</v>
      </c>
      <c r="B890" s="8" t="s">
        <v>2108</v>
      </c>
      <c r="C890" s="6" t="str">
        <f>'Ann1 - Step 3'!C890</f>
        <v>Testing</v>
      </c>
      <c r="D890" s="6" t="str">
        <f>'Ann2 - Step 3'!C890</f>
        <v>Testing</v>
      </c>
      <c r="E890" s="6" t="b">
        <f t="shared" si="6"/>
        <v>0</v>
      </c>
      <c r="F890" s="6"/>
      <c r="G890" s="6" t="str">
        <f t="shared" si="7"/>
        <v>Testing</v>
      </c>
    </row>
    <row r="891" spans="1:7" ht="14" x14ac:dyDescent="0.15">
      <c r="A891" s="6" t="s">
        <v>249</v>
      </c>
      <c r="B891" s="8" t="s">
        <v>2109</v>
      </c>
      <c r="C891" s="6" t="str">
        <f>'Ann1 - Step 3'!C891</f>
        <v>Coding Pattern</v>
      </c>
      <c r="D891" s="6" t="str">
        <f>'Ann2 - Step 3'!C891</f>
        <v>Coding Pattern</v>
      </c>
      <c r="E891" s="6" t="b">
        <f t="shared" si="6"/>
        <v>0</v>
      </c>
      <c r="F891" s="6"/>
      <c r="G891" s="6" t="str">
        <f t="shared" si="7"/>
        <v>Coding Pattern</v>
      </c>
    </row>
    <row r="892" spans="1:7" ht="14" x14ac:dyDescent="0.15">
      <c r="A892" s="6" t="s">
        <v>249</v>
      </c>
      <c r="B892" s="8" t="s">
        <v>2110</v>
      </c>
      <c r="C892" s="6" t="str">
        <f>'Ann1 - Step 3'!C892</f>
        <v>Coding Pattern</v>
      </c>
      <c r="D892" s="6" t="str">
        <f>'Ann2 - Step 3'!C892</f>
        <v>Coding Pattern</v>
      </c>
      <c r="E892" s="6" t="b">
        <f t="shared" si="6"/>
        <v>0</v>
      </c>
      <c r="F892" s="6"/>
      <c r="G892" s="6" t="str">
        <f t="shared" si="7"/>
        <v>Coding Pattern</v>
      </c>
    </row>
    <row r="893" spans="1:7" ht="14" x14ac:dyDescent="0.15">
      <c r="A893" s="6" t="s">
        <v>249</v>
      </c>
      <c r="B893" s="8" t="s">
        <v>2111</v>
      </c>
      <c r="C893" s="6" t="str">
        <f>'Ann1 - Step 3'!C893</f>
        <v>Testing</v>
      </c>
      <c r="D893" s="6" t="str">
        <f>'Ann2 - Step 3'!C893</f>
        <v>Testing</v>
      </c>
      <c r="E893" s="6" t="b">
        <f t="shared" si="6"/>
        <v>0</v>
      </c>
      <c r="F893" s="6"/>
      <c r="G893" s="6" t="str">
        <f t="shared" si="7"/>
        <v>Testing</v>
      </c>
    </row>
    <row r="894" spans="1:7" ht="14" x14ac:dyDescent="0.15">
      <c r="A894" s="6" t="s">
        <v>249</v>
      </c>
      <c r="B894" s="8" t="s">
        <v>2112</v>
      </c>
      <c r="C894" s="6" t="str">
        <f>'Ann1 - Step 3'!C894</f>
        <v>Testing</v>
      </c>
      <c r="D894" s="6" t="str">
        <f>'Ann2 - Step 3'!C894</f>
        <v>Testing</v>
      </c>
      <c r="E894" s="6" t="b">
        <f t="shared" si="6"/>
        <v>0</v>
      </c>
      <c r="F894" s="6"/>
      <c r="G894" s="6" t="str">
        <f t="shared" si="7"/>
        <v>Testing</v>
      </c>
    </row>
    <row r="895" spans="1:7" ht="14" x14ac:dyDescent="0.15">
      <c r="A895" s="6" t="s">
        <v>249</v>
      </c>
      <c r="B895" s="8" t="s">
        <v>2113</v>
      </c>
      <c r="C895" s="6" t="str">
        <f>'Ann1 - Step 3'!C895</f>
        <v>Testing</v>
      </c>
      <c r="D895" s="6" t="str">
        <f>'Ann2 - Step 3'!C895</f>
        <v>Testing</v>
      </c>
      <c r="E895" s="6" t="b">
        <f t="shared" si="6"/>
        <v>0</v>
      </c>
      <c r="F895" s="6"/>
      <c r="G895" s="6" t="str">
        <f t="shared" si="7"/>
        <v>Testing</v>
      </c>
    </row>
    <row r="896" spans="1:7" ht="14" x14ac:dyDescent="0.15">
      <c r="A896" s="6" t="s">
        <v>249</v>
      </c>
      <c r="B896" s="8" t="s">
        <v>2114</v>
      </c>
      <c r="C896" s="6" t="str">
        <f>'Ann1 - Step 3'!C896</f>
        <v>Testing</v>
      </c>
      <c r="D896" s="6" t="str">
        <f>'Ann2 - Step 3'!C896</f>
        <v>Testing</v>
      </c>
      <c r="E896" s="6" t="b">
        <f t="shared" si="6"/>
        <v>0</v>
      </c>
      <c r="F896" s="6"/>
      <c r="G896" s="6" t="str">
        <f t="shared" si="7"/>
        <v>Testing</v>
      </c>
    </row>
    <row r="897" spans="1:7" ht="14" x14ac:dyDescent="0.15">
      <c r="A897" s="6" t="s">
        <v>249</v>
      </c>
      <c r="B897" s="8" t="s">
        <v>2115</v>
      </c>
      <c r="C897" s="6" t="str">
        <f>'Ann1 - Step 3'!C897</f>
        <v>Testing</v>
      </c>
      <c r="D897" s="6" t="str">
        <f>'Ann2 - Step 3'!C897</f>
        <v>Testing</v>
      </c>
      <c r="E897" s="6" t="b">
        <f t="shared" si="6"/>
        <v>0</v>
      </c>
      <c r="F897" s="6"/>
      <c r="G897" s="6" t="str">
        <f t="shared" si="7"/>
        <v>Testing</v>
      </c>
    </row>
    <row r="898" spans="1:7" ht="14" x14ac:dyDescent="0.15">
      <c r="A898" s="6" t="s">
        <v>249</v>
      </c>
      <c r="B898" s="8" t="s">
        <v>2116</v>
      </c>
      <c r="C898" s="6" t="str">
        <f>'Ann1 - Step 3'!C898</f>
        <v>Testing</v>
      </c>
      <c r="D898" s="6" t="str">
        <f>'Ann2 - Step 3'!C898</f>
        <v>Testing</v>
      </c>
      <c r="E898" s="6" t="b">
        <f t="shared" si="6"/>
        <v>0</v>
      </c>
      <c r="F898" s="6"/>
      <c r="G898" s="6" t="str">
        <f t="shared" si="7"/>
        <v>Testing</v>
      </c>
    </row>
    <row r="899" spans="1:7" ht="14" x14ac:dyDescent="0.15">
      <c r="A899" s="6" t="s">
        <v>1739</v>
      </c>
      <c r="B899" s="8" t="s">
        <v>2117</v>
      </c>
      <c r="C899" s="6" t="str">
        <f>'Ann1 - Step 3'!C899</f>
        <v>Coding Style</v>
      </c>
      <c r="D899" s="6" t="str">
        <f>'Ann2 - Step 3'!C899</f>
        <v>Coding Style</v>
      </c>
      <c r="E899" s="6" t="b">
        <f t="shared" si="6"/>
        <v>0</v>
      </c>
      <c r="F899" s="6"/>
      <c r="G899" s="6" t="str">
        <f t="shared" si="7"/>
        <v>Coding Style</v>
      </c>
    </row>
    <row r="900" spans="1:7" ht="14" x14ac:dyDescent="0.15">
      <c r="A900" s="31" t="s">
        <v>1739</v>
      </c>
      <c r="B900" s="8" t="s">
        <v>2118</v>
      </c>
      <c r="C900" s="6" t="str">
        <f>'Ann1 - Step 3'!C900</f>
        <v>Coding Style</v>
      </c>
      <c r="D900" s="6" t="str">
        <f>'Ann2 - Step 3'!C900</f>
        <v>Writing Style Preference</v>
      </c>
      <c r="E900" s="6" t="b">
        <f t="shared" si="6"/>
        <v>1</v>
      </c>
      <c r="F900" s="30" t="s">
        <v>77</v>
      </c>
      <c r="G900" s="6" t="str">
        <f t="shared" si="7"/>
        <v>Writing Style Preference</v>
      </c>
    </row>
    <row r="901" spans="1:7" ht="14" x14ac:dyDescent="0.15">
      <c r="A901" s="6" t="s">
        <v>1739</v>
      </c>
      <c r="B901" s="8" t="s">
        <v>2119</v>
      </c>
      <c r="C901" s="6" t="str">
        <f>'Ann1 - Step 3'!C901</f>
        <v>Coding Style</v>
      </c>
      <c r="D901" s="6" t="str">
        <f>'Ann2 - Step 3'!C901</f>
        <v>Writing Style Preference</v>
      </c>
      <c r="E901" s="6" t="b">
        <f t="shared" si="6"/>
        <v>1</v>
      </c>
      <c r="F901" s="30" t="s">
        <v>77</v>
      </c>
      <c r="G901" s="6" t="str">
        <f t="shared" si="7"/>
        <v>Writing Style Preference</v>
      </c>
    </row>
    <row r="902" spans="1:7" ht="14" x14ac:dyDescent="0.15">
      <c r="A902" s="6" t="s">
        <v>893</v>
      </c>
      <c r="B902" s="8" t="s">
        <v>2120</v>
      </c>
      <c r="C902" s="6" t="str">
        <f>'Ann1 - Step 3'!C902</f>
        <v>Commit&amp;PR rule</v>
      </c>
      <c r="D902" s="6" t="str">
        <f>'Ann2 - Step 3'!C902</f>
        <v>Commit&amp;PR rule</v>
      </c>
      <c r="E902" s="6" t="b">
        <f t="shared" si="6"/>
        <v>0</v>
      </c>
      <c r="F902" s="6"/>
      <c r="G902" s="6" t="str">
        <f t="shared" si="7"/>
        <v>Commit&amp;PR rule</v>
      </c>
    </row>
    <row r="903" spans="1:7" ht="14" x14ac:dyDescent="0.15">
      <c r="A903" s="6" t="s">
        <v>256</v>
      </c>
      <c r="B903" s="8" t="s">
        <v>2121</v>
      </c>
      <c r="C903" s="6" t="str">
        <f>'Ann1 - Step 3'!C903</f>
        <v>Coding Pattern</v>
      </c>
      <c r="D903" s="6" t="str">
        <f>'Ann2 - Step 3'!C903</f>
        <v>Coding Pattern</v>
      </c>
      <c r="E903" s="6" t="b">
        <f t="shared" si="6"/>
        <v>0</v>
      </c>
      <c r="F903" s="6"/>
      <c r="G903" s="6" t="str">
        <f t="shared" si="7"/>
        <v>Coding Pattern</v>
      </c>
    </row>
    <row r="904" spans="1:7" ht="14" x14ac:dyDescent="0.15">
      <c r="A904" s="6" t="s">
        <v>256</v>
      </c>
      <c r="B904" s="8" t="s">
        <v>2122</v>
      </c>
      <c r="C904" s="6" t="str">
        <f>'Ann1 - Step 3'!C904</f>
        <v>Coding Pattern</v>
      </c>
      <c r="D904" s="6" t="str">
        <f>'Ann2 - Step 3'!C904</f>
        <v>Coding Pattern</v>
      </c>
      <c r="E904" s="6" t="b">
        <f t="shared" si="6"/>
        <v>0</v>
      </c>
      <c r="F904" s="6"/>
      <c r="G904" s="6" t="str">
        <f t="shared" si="7"/>
        <v>Coding Pattern</v>
      </c>
    </row>
    <row r="905" spans="1:7" ht="14" x14ac:dyDescent="0.15">
      <c r="A905" s="6" t="s">
        <v>256</v>
      </c>
      <c r="B905" s="8" t="s">
        <v>2123</v>
      </c>
      <c r="C905" s="6" t="str">
        <f>'Ann1 - Step 3'!C905</f>
        <v>Task Execution</v>
      </c>
      <c r="D905" s="6" t="str">
        <f>'Ann2 - Step 3'!C905</f>
        <v>Task Execution</v>
      </c>
      <c r="E905" s="6" t="b">
        <f t="shared" si="6"/>
        <v>0</v>
      </c>
      <c r="F905" s="6"/>
      <c r="G905" s="6" t="str">
        <f t="shared" si="7"/>
        <v>Task Execution</v>
      </c>
    </row>
    <row r="906" spans="1:7" ht="14" x14ac:dyDescent="0.15">
      <c r="A906" s="6" t="s">
        <v>256</v>
      </c>
      <c r="B906" s="8" t="s">
        <v>2124</v>
      </c>
      <c r="C906" s="6" t="str">
        <f>'Ann1 - Step 3'!C906</f>
        <v>Build &amp; Operation</v>
      </c>
      <c r="D906" s="6" t="str">
        <f>'Ann2 - Step 3'!C906</f>
        <v>Task Execution</v>
      </c>
      <c r="E906" s="6" t="b">
        <f t="shared" si="6"/>
        <v>1</v>
      </c>
      <c r="F906" s="30" t="s">
        <v>136</v>
      </c>
      <c r="G906" s="6" t="str">
        <f t="shared" si="7"/>
        <v>Build &amp; Operation</v>
      </c>
    </row>
    <row r="907" spans="1:7" ht="14" x14ac:dyDescent="0.15">
      <c r="A907" s="6" t="s">
        <v>256</v>
      </c>
      <c r="B907" s="8" t="s">
        <v>2125</v>
      </c>
      <c r="C907" s="6" t="str">
        <f>'Ann1 - Step 3'!C907</f>
        <v>Coding Pattern</v>
      </c>
      <c r="D907" s="6" t="str">
        <f>'Ann2 - Step 3'!C907</f>
        <v>Coding Pattern</v>
      </c>
      <c r="E907" s="6" t="b">
        <f t="shared" si="6"/>
        <v>0</v>
      </c>
      <c r="F907" s="6"/>
      <c r="G907" s="6" t="str">
        <f t="shared" si="7"/>
        <v>Coding Pattern</v>
      </c>
    </row>
    <row r="908" spans="1:7" ht="14" x14ac:dyDescent="0.15">
      <c r="A908" s="6" t="s">
        <v>256</v>
      </c>
      <c r="B908" s="8" t="s">
        <v>2126</v>
      </c>
      <c r="C908" s="6" t="str">
        <f>'Ann1 - Step 3'!C908</f>
        <v>Build &amp; Operation</v>
      </c>
      <c r="D908" s="6" t="str">
        <f>'Ann2 - Step 3'!C908</f>
        <v>Build &amp; Operation</v>
      </c>
      <c r="E908" s="6" t="b">
        <f t="shared" si="6"/>
        <v>0</v>
      </c>
      <c r="F908" s="6"/>
      <c r="G908" s="6" t="str">
        <f t="shared" si="7"/>
        <v>Build &amp; Operation</v>
      </c>
    </row>
    <row r="909" spans="1:7" ht="14" x14ac:dyDescent="0.15">
      <c r="A909" s="6" t="s">
        <v>256</v>
      </c>
      <c r="B909" s="8" t="s">
        <v>2127</v>
      </c>
      <c r="C909" s="6" t="str">
        <f>'Ann1 - Step 3'!C909</f>
        <v>Coding Pattern</v>
      </c>
      <c r="D909" s="6" t="str">
        <f>'Ann2 - Step 3'!C909</f>
        <v>Coding Pattern</v>
      </c>
      <c r="E909" s="6" t="b">
        <f t="shared" si="6"/>
        <v>0</v>
      </c>
      <c r="F909" s="6"/>
      <c r="G909" s="6" t="str">
        <f t="shared" si="7"/>
        <v>Coding Pattern</v>
      </c>
    </row>
    <row r="910" spans="1:7" ht="28" x14ac:dyDescent="0.15">
      <c r="A910" s="6" t="s">
        <v>256</v>
      </c>
      <c r="B910" s="8" t="s">
        <v>2128</v>
      </c>
      <c r="C910" s="6" t="str">
        <f>'Ann1 - Step 3'!C910</f>
        <v>Task Execution</v>
      </c>
      <c r="D910" s="6" t="str">
        <f>'Ann2 - Step 3'!C910</f>
        <v>Task Execution</v>
      </c>
      <c r="E910" s="6" t="b">
        <f t="shared" si="6"/>
        <v>0</v>
      </c>
      <c r="F910" s="6"/>
      <c r="G910" s="6" t="str">
        <f t="shared" si="7"/>
        <v>Task Execution</v>
      </c>
    </row>
    <row r="911" spans="1:7" ht="14" x14ac:dyDescent="0.15">
      <c r="A911" s="6" t="s">
        <v>2131</v>
      </c>
      <c r="B911" s="8" t="s">
        <v>2132</v>
      </c>
      <c r="C911" s="6" t="str">
        <f>'Ann1 - Step 3'!C911</f>
        <v>Commit&amp;PR rule</v>
      </c>
      <c r="D911" s="6" t="str">
        <f>'Ann2 - Step 3'!C911</f>
        <v>Commit&amp;PR rule</v>
      </c>
      <c r="E911" s="6" t="b">
        <f t="shared" si="6"/>
        <v>0</v>
      </c>
      <c r="F911" s="6"/>
      <c r="G911" s="6" t="str">
        <f t="shared" si="7"/>
        <v>Commit&amp;PR rule</v>
      </c>
    </row>
    <row r="912" spans="1:7" ht="14" x14ac:dyDescent="0.15">
      <c r="A912" s="6" t="s">
        <v>1492</v>
      </c>
      <c r="B912" s="8" t="s">
        <v>2133</v>
      </c>
      <c r="C912" s="6" t="str">
        <f>'Ann1 - Step 3'!C912</f>
        <v>Security</v>
      </c>
      <c r="D912" s="6" t="str">
        <f>'Ann2 - Step 3'!C912</f>
        <v>Security</v>
      </c>
      <c r="E912" s="6" t="b">
        <f t="shared" si="6"/>
        <v>0</v>
      </c>
      <c r="F912" s="6"/>
      <c r="G912" s="6" t="str">
        <f t="shared" si="7"/>
        <v>Security</v>
      </c>
    </row>
    <row r="913" spans="1:7" ht="14" x14ac:dyDescent="0.15">
      <c r="A913" s="31" t="s">
        <v>1492</v>
      </c>
      <c r="B913" s="8" t="s">
        <v>2134</v>
      </c>
      <c r="C913" s="6" t="str">
        <f>'Ann1 - Step 3'!C913</f>
        <v>Security</v>
      </c>
      <c r="D913" s="6" t="str">
        <f>'Ann2 - Step 3'!C913</f>
        <v>Security</v>
      </c>
      <c r="E913" s="6" t="b">
        <f t="shared" si="6"/>
        <v>0</v>
      </c>
      <c r="F913" s="6"/>
      <c r="G913" s="6" t="str">
        <f t="shared" si="7"/>
        <v>Security</v>
      </c>
    </row>
    <row r="914" spans="1:7" ht="14" x14ac:dyDescent="0.15">
      <c r="A914" s="6" t="s">
        <v>32</v>
      </c>
      <c r="B914" s="8" t="s">
        <v>2135</v>
      </c>
      <c r="C914" s="6" t="str">
        <f>'Ann1 - Step 3'!C914</f>
        <v>Coding Pattern</v>
      </c>
      <c r="D914" s="6" t="str">
        <f>'Ann2 - Step 3'!C914</f>
        <v>Coding Pattern</v>
      </c>
      <c r="E914" s="6" t="b">
        <f t="shared" si="6"/>
        <v>0</v>
      </c>
      <c r="F914" s="6"/>
      <c r="G914" s="6" t="str">
        <f t="shared" si="7"/>
        <v>Coding Pattern</v>
      </c>
    </row>
    <row r="915" spans="1:7" ht="14" x14ac:dyDescent="0.15">
      <c r="A915" s="6" t="s">
        <v>924</v>
      </c>
      <c r="B915" s="8" t="s">
        <v>2136</v>
      </c>
      <c r="C915" s="6" t="str">
        <f>'Ann1 - Step 3'!C915</f>
        <v>Documentation</v>
      </c>
      <c r="D915" s="6" t="str">
        <f>'Ann2 - Step 3'!C915</f>
        <v>Documentation</v>
      </c>
      <c r="E915" s="6" t="b">
        <f t="shared" si="6"/>
        <v>0</v>
      </c>
      <c r="F915" s="6"/>
      <c r="G915" s="6" t="str">
        <f t="shared" si="7"/>
        <v>Documentation</v>
      </c>
    </row>
    <row r="916" spans="1:7" ht="14" x14ac:dyDescent="0.15">
      <c r="A916" s="6" t="s">
        <v>924</v>
      </c>
      <c r="B916" s="8" t="s">
        <v>2137</v>
      </c>
      <c r="C916" s="6" t="str">
        <f>'Ann1 - Step 3'!C916</f>
        <v>Build &amp; Operation</v>
      </c>
      <c r="D916" s="6" t="str">
        <f>'Ann2 - Step 3'!C916</f>
        <v>Build &amp; Operation</v>
      </c>
      <c r="E916" s="6" t="b">
        <f t="shared" si="6"/>
        <v>0</v>
      </c>
      <c r="F916" s="6"/>
      <c r="G916" s="6" t="str">
        <f t="shared" si="7"/>
        <v>Build &amp; Operation</v>
      </c>
    </row>
    <row r="917" spans="1:7" ht="14" x14ac:dyDescent="0.15">
      <c r="A917" s="6" t="s">
        <v>924</v>
      </c>
      <c r="B917" s="8" t="s">
        <v>2138</v>
      </c>
      <c r="C917" s="6" t="str">
        <f>'Ann1 - Step 3'!C917</f>
        <v>Coding Pattern</v>
      </c>
      <c r="D917" s="6" t="str">
        <f>'Ann2 - Step 3'!C917</f>
        <v>Coding Pattern</v>
      </c>
      <c r="E917" s="6" t="b">
        <f t="shared" si="6"/>
        <v>0</v>
      </c>
      <c r="F917" s="6"/>
      <c r="G917" s="6" t="str">
        <f t="shared" si="7"/>
        <v>Coding Pattern</v>
      </c>
    </row>
    <row r="918" spans="1:7" ht="14" x14ac:dyDescent="0.15">
      <c r="A918" s="6" t="s">
        <v>924</v>
      </c>
      <c r="B918" s="8" t="s">
        <v>2139</v>
      </c>
      <c r="C918" s="6" t="str">
        <f>'Ann1 - Step 3'!C918</f>
        <v>Coding Pattern</v>
      </c>
      <c r="D918" s="6" t="str">
        <f>'Ann2 - Step 3'!C918</f>
        <v>Coding Pattern</v>
      </c>
      <c r="E918" s="6" t="b">
        <f t="shared" si="6"/>
        <v>0</v>
      </c>
      <c r="F918" s="6"/>
      <c r="G918" s="6" t="str">
        <f t="shared" si="7"/>
        <v>Coding Pattern</v>
      </c>
    </row>
    <row r="919" spans="1:7" ht="28" x14ac:dyDescent="0.15">
      <c r="A919" s="6" t="s">
        <v>924</v>
      </c>
      <c r="B919" s="8" t="s">
        <v>2140</v>
      </c>
      <c r="C919" s="6" t="str">
        <f>'Ann1 - Step 3'!C919</f>
        <v>Coding Pattern</v>
      </c>
      <c r="D919" s="6" t="str">
        <f>'Ann2 - Step 3'!C919</f>
        <v>Coding Pattern</v>
      </c>
      <c r="E919" s="6" t="b">
        <f t="shared" si="6"/>
        <v>0</v>
      </c>
      <c r="F919" s="6"/>
      <c r="G919" s="6" t="str">
        <f t="shared" si="7"/>
        <v>Coding Pattern</v>
      </c>
    </row>
    <row r="920" spans="1:7" ht="14" x14ac:dyDescent="0.15">
      <c r="A920" s="6" t="s">
        <v>271</v>
      </c>
      <c r="B920" s="8" t="s">
        <v>2141</v>
      </c>
      <c r="C920" s="6" t="str">
        <f>'Ann1 - Step 3'!C920</f>
        <v>Security</v>
      </c>
      <c r="D920" s="6" t="str">
        <f>'Ann2 - Step 3'!C920</f>
        <v>Security</v>
      </c>
      <c r="E920" s="6" t="b">
        <f t="shared" si="6"/>
        <v>0</v>
      </c>
      <c r="F920" s="6"/>
      <c r="G920" s="6" t="str">
        <f t="shared" si="7"/>
        <v>Security</v>
      </c>
    </row>
    <row r="921" spans="1:7" ht="14" x14ac:dyDescent="0.15">
      <c r="A921" s="6" t="s">
        <v>934</v>
      </c>
      <c r="B921" s="8" t="s">
        <v>2142</v>
      </c>
      <c r="C921" s="6" t="str">
        <f>'Ann1 - Step 3'!C921</f>
        <v>Coding Pattern</v>
      </c>
      <c r="D921" s="6" t="str">
        <f>'Ann2 - Step 3'!C921</f>
        <v>Coding Pattern</v>
      </c>
      <c r="E921" s="6" t="b">
        <f t="shared" si="6"/>
        <v>0</v>
      </c>
      <c r="F921" s="6"/>
      <c r="G921" s="6" t="str">
        <f t="shared" si="7"/>
        <v>Coding Pattern</v>
      </c>
    </row>
    <row r="922" spans="1:7" ht="28" x14ac:dyDescent="0.15">
      <c r="A922" s="6" t="s">
        <v>934</v>
      </c>
      <c r="B922" s="8" t="s">
        <v>2143</v>
      </c>
      <c r="C922" s="6" t="str">
        <f>'Ann1 - Step 3'!C922</f>
        <v>Build &amp; Operation</v>
      </c>
      <c r="D922" s="6" t="str">
        <f>'Ann2 - Step 3'!C922</f>
        <v>Commit&amp;PR rule</v>
      </c>
      <c r="E922" s="6" t="b">
        <f t="shared" si="6"/>
        <v>1</v>
      </c>
      <c r="F922" s="30" t="s">
        <v>12</v>
      </c>
      <c r="G922" s="6" t="str">
        <f t="shared" si="7"/>
        <v>Commit&amp;PR rule</v>
      </c>
    </row>
    <row r="923" spans="1:7" ht="14" x14ac:dyDescent="0.15">
      <c r="A923" s="6" t="s">
        <v>934</v>
      </c>
      <c r="B923" s="8" t="s">
        <v>2144</v>
      </c>
      <c r="C923" s="6" t="str">
        <f>'Ann1 - Step 3'!C923</f>
        <v>Coding Pattern</v>
      </c>
      <c r="D923" s="6" t="str">
        <f>'Ann2 - Step 3'!C923</f>
        <v>Coding Pattern</v>
      </c>
      <c r="E923" s="6" t="b">
        <f t="shared" si="6"/>
        <v>0</v>
      </c>
      <c r="F923" s="6"/>
      <c r="G923" s="6" t="str">
        <f t="shared" si="7"/>
        <v>Coding Pattern</v>
      </c>
    </row>
    <row r="924" spans="1:7" ht="14" x14ac:dyDescent="0.15">
      <c r="A924" s="6" t="s">
        <v>934</v>
      </c>
      <c r="B924" s="8" t="s">
        <v>2145</v>
      </c>
      <c r="C924" s="6" t="str">
        <f>'Ann1 - Step 3'!C924</f>
        <v>Coding Pattern</v>
      </c>
      <c r="D924" s="6" t="str">
        <f>'Ann2 - Step 3'!C924</f>
        <v>Coding Pattern</v>
      </c>
      <c r="E924" s="6" t="b">
        <f t="shared" si="6"/>
        <v>0</v>
      </c>
      <c r="F924" s="6"/>
      <c r="G924" s="6" t="str">
        <f t="shared" si="7"/>
        <v>Coding Pattern</v>
      </c>
    </row>
    <row r="925" spans="1:7" ht="14" x14ac:dyDescent="0.15">
      <c r="A925" s="6" t="s">
        <v>934</v>
      </c>
      <c r="B925" s="8" t="s">
        <v>2146</v>
      </c>
      <c r="C925" s="6" t="str">
        <f>'Ann1 - Step 3'!C925</f>
        <v>Coding Pattern</v>
      </c>
      <c r="D925" s="6" t="str">
        <f>'Ann2 - Step 3'!C925</f>
        <v>Coding Pattern</v>
      </c>
      <c r="E925" s="6" t="b">
        <f t="shared" si="6"/>
        <v>0</v>
      </c>
      <c r="F925" s="6"/>
      <c r="G925" s="6" t="str">
        <f t="shared" si="7"/>
        <v>Coding Pattern</v>
      </c>
    </row>
    <row r="926" spans="1:7" ht="14" x14ac:dyDescent="0.15">
      <c r="A926" s="6" t="s">
        <v>934</v>
      </c>
      <c r="B926" s="8" t="s">
        <v>2147</v>
      </c>
      <c r="C926" s="6" t="str">
        <f>'Ann1 - Step 3'!C926</f>
        <v>Testing</v>
      </c>
      <c r="D926" s="6" t="str">
        <f>'Ann2 - Step 3'!C926</f>
        <v>Testing</v>
      </c>
      <c r="E926" s="6" t="b">
        <f t="shared" si="6"/>
        <v>0</v>
      </c>
      <c r="F926" s="6"/>
      <c r="G926" s="6" t="str">
        <f t="shared" si="7"/>
        <v>Testing</v>
      </c>
    </row>
    <row r="927" spans="1:7" ht="14" x14ac:dyDescent="0.15">
      <c r="A927" s="6" t="s">
        <v>281</v>
      </c>
      <c r="B927" s="8" t="s">
        <v>2148</v>
      </c>
      <c r="C927" s="6" t="str">
        <f>'Ann1 - Step 3'!C927</f>
        <v>Security</v>
      </c>
      <c r="D927" s="6" t="str">
        <f>'Ann2 - Step 3'!C927</f>
        <v>Security</v>
      </c>
      <c r="E927" s="6" t="b">
        <f t="shared" si="6"/>
        <v>0</v>
      </c>
      <c r="F927" s="6"/>
      <c r="G927" s="6" t="str">
        <f t="shared" si="7"/>
        <v>Security</v>
      </c>
    </row>
    <row r="928" spans="1:7" ht="14" x14ac:dyDescent="0.15">
      <c r="A928" s="6" t="s">
        <v>289</v>
      </c>
      <c r="B928" s="8" t="s">
        <v>2149</v>
      </c>
      <c r="C928" s="6" t="str">
        <f>'Ann1 - Step 3'!C928</f>
        <v>Coding Pattern</v>
      </c>
      <c r="D928" s="6" t="str">
        <f>'Ann2 - Step 3'!C928</f>
        <v>Coding Pattern</v>
      </c>
      <c r="E928" s="6" t="b">
        <f t="shared" si="6"/>
        <v>0</v>
      </c>
      <c r="F928" s="6"/>
      <c r="G928" s="6" t="str">
        <f t="shared" si="7"/>
        <v>Coding Pattern</v>
      </c>
    </row>
    <row r="929" spans="1:7" ht="14" x14ac:dyDescent="0.15">
      <c r="A929" s="6" t="s">
        <v>2152</v>
      </c>
      <c r="B929" s="8" t="s">
        <v>2153</v>
      </c>
      <c r="C929" s="6" t="str">
        <f>'Ann1 - Step 3'!C929</f>
        <v>Security</v>
      </c>
      <c r="D929" s="6" t="str">
        <f>'Ann2 - Step 3'!C929</f>
        <v>Security</v>
      </c>
      <c r="E929" s="6" t="b">
        <f t="shared" si="6"/>
        <v>0</v>
      </c>
      <c r="F929" s="6"/>
      <c r="G929" s="6" t="str">
        <f t="shared" si="7"/>
        <v>Security</v>
      </c>
    </row>
    <row r="930" spans="1:7" ht="14" x14ac:dyDescent="0.15">
      <c r="A930" s="6" t="s">
        <v>2156</v>
      </c>
      <c r="B930" s="8" t="s">
        <v>2157</v>
      </c>
      <c r="C930" s="6" t="str">
        <f>'Ann1 - Step 3'!C930</f>
        <v>Security</v>
      </c>
      <c r="D930" s="6" t="str">
        <f>'Ann2 - Step 3'!C930</f>
        <v>Security</v>
      </c>
      <c r="E930" s="6" t="b">
        <f t="shared" si="6"/>
        <v>0</v>
      </c>
      <c r="F930" s="6"/>
      <c r="G930" s="6" t="str">
        <f t="shared" si="7"/>
        <v>Security</v>
      </c>
    </row>
    <row r="931" spans="1:7" ht="14" x14ac:dyDescent="0.15">
      <c r="A931" s="6" t="s">
        <v>293</v>
      </c>
      <c r="B931" s="8" t="s">
        <v>2158</v>
      </c>
      <c r="C931" s="6" t="str">
        <f>'Ann1 - Step 3'!C931</f>
        <v>Testing</v>
      </c>
      <c r="D931" s="6" t="str">
        <f>'Ann2 - Step 3'!C931</f>
        <v>Testing</v>
      </c>
      <c r="E931" s="6" t="b">
        <f t="shared" si="6"/>
        <v>0</v>
      </c>
      <c r="F931" s="6"/>
      <c r="G931" s="6" t="str">
        <f t="shared" si="7"/>
        <v>Testing</v>
      </c>
    </row>
    <row r="932" spans="1:7" ht="14" x14ac:dyDescent="0.15">
      <c r="A932" s="6" t="s">
        <v>293</v>
      </c>
      <c r="B932" s="8" t="s">
        <v>2159</v>
      </c>
      <c r="C932" s="6" t="str">
        <f>'Ann1 - Step 3'!C932</f>
        <v>Testing</v>
      </c>
      <c r="D932" s="6" t="str">
        <f>'Ann2 - Step 3'!C932</f>
        <v>Testing</v>
      </c>
      <c r="E932" s="6" t="b">
        <f t="shared" si="6"/>
        <v>0</v>
      </c>
      <c r="F932" s="6"/>
      <c r="G932" s="6" t="str">
        <f t="shared" si="7"/>
        <v>Testing</v>
      </c>
    </row>
    <row r="933" spans="1:7" ht="14" x14ac:dyDescent="0.15">
      <c r="A933" s="31" t="s">
        <v>946</v>
      </c>
      <c r="B933" s="8" t="s">
        <v>2160</v>
      </c>
      <c r="C933" s="6" t="str">
        <f>'Ann1 - Step 3'!C933</f>
        <v>Maintainability</v>
      </c>
      <c r="D933" s="6" t="str">
        <f>'Ann2 - Step 3'!C933</f>
        <v>Build &amp; Operation</v>
      </c>
      <c r="E933" s="6" t="b">
        <f t="shared" si="6"/>
        <v>1</v>
      </c>
      <c r="F933" s="30" t="s">
        <v>136</v>
      </c>
      <c r="G933" s="6" t="str">
        <f t="shared" si="7"/>
        <v>Build &amp; Operation</v>
      </c>
    </row>
    <row r="934" spans="1:7" ht="14" x14ac:dyDescent="0.15">
      <c r="A934" s="6" t="s">
        <v>950</v>
      </c>
      <c r="B934" s="8" t="s">
        <v>2161</v>
      </c>
      <c r="C934" s="6" t="str">
        <f>'Ann1 - Step 3'!C934</f>
        <v>NOT_ENOUGH_CONTEXT</v>
      </c>
      <c r="D934" s="6" t="str">
        <f>'Ann2 - Step 3'!C934</f>
        <v>Coding Pattern</v>
      </c>
      <c r="E934" s="6" t="b">
        <f t="shared" si="6"/>
        <v>1</v>
      </c>
      <c r="F934" s="30" t="s">
        <v>513</v>
      </c>
      <c r="G934" s="6" t="str">
        <f t="shared" si="7"/>
        <v>NOT_ENOUGH_CONTEXT</v>
      </c>
    </row>
    <row r="935" spans="1:7" ht="14" x14ac:dyDescent="0.15">
      <c r="A935" s="6" t="s">
        <v>298</v>
      </c>
      <c r="B935" s="8" t="s">
        <v>2162</v>
      </c>
      <c r="C935" s="6" t="str">
        <f>'Ann1 - Step 3'!C935</f>
        <v>Commit&amp;PR rule</v>
      </c>
      <c r="D935" s="6" t="str">
        <f>'Ann2 - Step 3'!C935</f>
        <v>Commit&amp;PR rule</v>
      </c>
      <c r="E935" s="6" t="b">
        <f t="shared" si="6"/>
        <v>0</v>
      </c>
      <c r="F935" s="6"/>
      <c r="G935" s="6" t="str">
        <f t="shared" si="7"/>
        <v>Commit&amp;PR rule</v>
      </c>
    </row>
    <row r="936" spans="1:7" ht="14" x14ac:dyDescent="0.15">
      <c r="A936" s="6" t="s">
        <v>298</v>
      </c>
      <c r="B936" s="8" t="s">
        <v>2163</v>
      </c>
      <c r="C936" s="6" t="str">
        <f>'Ann1 - Step 3'!C936</f>
        <v>Testing</v>
      </c>
      <c r="D936" s="6" t="str">
        <f>'Ann2 - Step 3'!C936</f>
        <v>Testing</v>
      </c>
      <c r="E936" s="6" t="b">
        <f t="shared" si="6"/>
        <v>0</v>
      </c>
      <c r="F936" s="6"/>
      <c r="G936" s="6" t="str">
        <f t="shared" si="7"/>
        <v>Testing</v>
      </c>
    </row>
    <row r="937" spans="1:7" ht="14" x14ac:dyDescent="0.15">
      <c r="A937" s="6" t="s">
        <v>955</v>
      </c>
      <c r="B937" s="8" t="s">
        <v>2164</v>
      </c>
      <c r="C937" s="6" t="str">
        <f>'Ann1 - Step 3'!C937</f>
        <v>Documentation</v>
      </c>
      <c r="D937" s="6" t="str">
        <f>'Ann2 - Step 3'!C937</f>
        <v>Documentation</v>
      </c>
      <c r="E937" s="6" t="b">
        <f t="shared" si="6"/>
        <v>0</v>
      </c>
      <c r="F937" s="6"/>
      <c r="G937" s="6" t="str">
        <f t="shared" si="7"/>
        <v>Documentation</v>
      </c>
    </row>
    <row r="938" spans="1:7" ht="14" x14ac:dyDescent="0.15">
      <c r="A938" s="6" t="s">
        <v>955</v>
      </c>
      <c r="B938" s="8" t="s">
        <v>2165</v>
      </c>
      <c r="C938" s="6" t="str">
        <f>'Ann1 - Step 3'!C938</f>
        <v>Build &amp; Operation</v>
      </c>
      <c r="D938" s="6" t="str">
        <f>'Ann2 - Step 3'!C938</f>
        <v>Build &amp; Operation</v>
      </c>
      <c r="E938" s="6" t="b">
        <f t="shared" si="6"/>
        <v>0</v>
      </c>
      <c r="F938" s="6"/>
      <c r="G938" s="6" t="str">
        <f t="shared" si="7"/>
        <v>Build &amp; Operation</v>
      </c>
    </row>
    <row r="939" spans="1:7" ht="14" x14ac:dyDescent="0.15">
      <c r="A939" s="6" t="s">
        <v>955</v>
      </c>
      <c r="B939" s="8" t="s">
        <v>2166</v>
      </c>
      <c r="C939" s="6" t="str">
        <f>'Ann1 - Step 3'!C939</f>
        <v>Build &amp; Operation</v>
      </c>
      <c r="D939" s="6" t="str">
        <f>'Ann2 - Step 3'!C939</f>
        <v>Build &amp; Operation</v>
      </c>
      <c r="E939" s="6" t="b">
        <f t="shared" si="6"/>
        <v>0</v>
      </c>
      <c r="F939" s="6"/>
      <c r="G939" s="6" t="str">
        <f t="shared" si="7"/>
        <v>Build &amp; Operation</v>
      </c>
    </row>
    <row r="940" spans="1:7" ht="14" x14ac:dyDescent="0.15">
      <c r="A940" s="6" t="s">
        <v>955</v>
      </c>
      <c r="B940" s="8" t="s">
        <v>2167</v>
      </c>
      <c r="C940" s="6" t="str">
        <f>'Ann1 - Step 3'!C940</f>
        <v>Testing</v>
      </c>
      <c r="D940" s="6" t="str">
        <f>'Ann2 - Step 3'!C940</f>
        <v>Commit&amp;PR rule</v>
      </c>
      <c r="E940" s="6" t="b">
        <f t="shared" si="6"/>
        <v>1</v>
      </c>
      <c r="F940" s="30" t="s">
        <v>12</v>
      </c>
      <c r="G940" s="6" t="str">
        <f t="shared" si="7"/>
        <v>Commit&amp;PR rule</v>
      </c>
    </row>
    <row r="941" spans="1:7" ht="14" x14ac:dyDescent="0.15">
      <c r="A941" s="6" t="s">
        <v>955</v>
      </c>
      <c r="B941" s="8" t="s">
        <v>2168</v>
      </c>
      <c r="C941" s="6" t="str">
        <f>'Ann1 - Step 3'!C941</f>
        <v>Build &amp; Operation</v>
      </c>
      <c r="D941" s="6" t="str">
        <f>'Ann2 - Step 3'!C941</f>
        <v>Build &amp; Operation</v>
      </c>
      <c r="E941" s="6" t="b">
        <f t="shared" si="6"/>
        <v>0</v>
      </c>
      <c r="F941" s="6"/>
      <c r="G941" s="6" t="str">
        <f t="shared" si="7"/>
        <v>Build &amp; Operation</v>
      </c>
    </row>
    <row r="942" spans="1:7" ht="14" x14ac:dyDescent="0.15">
      <c r="A942" s="6" t="s">
        <v>955</v>
      </c>
      <c r="B942" s="8" t="s">
        <v>2169</v>
      </c>
      <c r="C942" s="6" t="str">
        <f>'Ann1 - Step 3'!C942</f>
        <v>Coding Pattern</v>
      </c>
      <c r="D942" s="6" t="str">
        <f>'Ann2 - Step 3'!C942</f>
        <v>Coding Pattern</v>
      </c>
      <c r="E942" s="6" t="b">
        <f t="shared" si="6"/>
        <v>0</v>
      </c>
      <c r="F942" s="6"/>
      <c r="G942" s="6" t="str">
        <f t="shared" si="7"/>
        <v>Coding Pattern</v>
      </c>
    </row>
    <row r="943" spans="1:7" ht="14" x14ac:dyDescent="0.15">
      <c r="A943" s="6" t="s">
        <v>955</v>
      </c>
      <c r="B943" s="8" t="s">
        <v>2170</v>
      </c>
      <c r="C943" s="6" t="str">
        <f>'Ann1 - Step 3'!C943</f>
        <v>Coding Pattern</v>
      </c>
      <c r="D943" s="6" t="str">
        <f>'Ann2 - Step 3'!C943</f>
        <v>Coding Pattern</v>
      </c>
      <c r="E943" s="6" t="b">
        <f t="shared" si="6"/>
        <v>0</v>
      </c>
      <c r="F943" s="6"/>
      <c r="G943" s="6" t="str">
        <f t="shared" si="7"/>
        <v>Coding Pattern</v>
      </c>
    </row>
    <row r="944" spans="1:7" ht="14" x14ac:dyDescent="0.15">
      <c r="A944" s="6" t="s">
        <v>955</v>
      </c>
      <c r="B944" s="8" t="s">
        <v>2171</v>
      </c>
      <c r="C944" s="6" t="str">
        <f>'Ann1 - Step 3'!C944</f>
        <v>Coding Style</v>
      </c>
      <c r="D944" s="6" t="str">
        <f>'Ann2 - Step 3'!C944</f>
        <v>Coding Style</v>
      </c>
      <c r="E944" s="6" t="b">
        <f t="shared" si="6"/>
        <v>0</v>
      </c>
      <c r="F944" s="6"/>
      <c r="G944" s="6" t="str">
        <f t="shared" si="7"/>
        <v>Coding Style</v>
      </c>
    </row>
    <row r="945" spans="1:7" ht="14" x14ac:dyDescent="0.15">
      <c r="A945" s="6" t="s">
        <v>955</v>
      </c>
      <c r="B945" s="8" t="s">
        <v>2172</v>
      </c>
      <c r="C945" s="6" t="str">
        <f>'Ann1 - Step 3'!C945</f>
        <v>Task Execution</v>
      </c>
      <c r="D945" s="6" t="str">
        <f>'Ann2 - Step 3'!C945</f>
        <v>Task Execution</v>
      </c>
      <c r="E945" s="6" t="b">
        <f t="shared" si="6"/>
        <v>0</v>
      </c>
      <c r="F945" s="6"/>
      <c r="G945" s="6" t="str">
        <f t="shared" si="7"/>
        <v>Task Execution</v>
      </c>
    </row>
    <row r="946" spans="1:7" ht="14" x14ac:dyDescent="0.15">
      <c r="A946" s="6" t="s">
        <v>37</v>
      </c>
      <c r="B946" s="8" t="s">
        <v>2173</v>
      </c>
      <c r="C946" s="6" t="str">
        <f>'Ann1 - Step 3'!C946</f>
        <v>Coding Pattern</v>
      </c>
      <c r="D946" s="6" t="str">
        <f>'Ann2 - Step 3'!C946</f>
        <v>Coding Pattern</v>
      </c>
      <c r="E946" s="6" t="b">
        <f t="shared" si="6"/>
        <v>0</v>
      </c>
      <c r="F946" s="6"/>
      <c r="G946" s="6" t="str">
        <f t="shared" si="7"/>
        <v>Coding Pattern</v>
      </c>
    </row>
    <row r="947" spans="1:7" ht="28" x14ac:dyDescent="0.15">
      <c r="A947" s="6" t="s">
        <v>327</v>
      </c>
      <c r="B947" s="8" t="s">
        <v>2174</v>
      </c>
      <c r="C947" s="6" t="str">
        <f>'Ann1 - Step 3'!C947</f>
        <v>Coding Pattern</v>
      </c>
      <c r="D947" s="6" t="str">
        <f>'Ann2 - Step 3'!C947</f>
        <v>Coding Pattern</v>
      </c>
      <c r="E947" s="6" t="b">
        <f t="shared" si="6"/>
        <v>0</v>
      </c>
      <c r="F947" s="6"/>
      <c r="G947" s="6" t="str">
        <f t="shared" si="7"/>
        <v>Coding Pattern</v>
      </c>
    </row>
    <row r="948" spans="1:7" ht="14" x14ac:dyDescent="0.15">
      <c r="A948" s="6" t="s">
        <v>327</v>
      </c>
      <c r="B948" s="8" t="s">
        <v>2175</v>
      </c>
      <c r="C948" s="6" t="str">
        <f>'Ann1 - Step 3'!C948</f>
        <v>Security</v>
      </c>
      <c r="D948" s="6" t="str">
        <f>'Ann2 - Step 3'!C948</f>
        <v>Security</v>
      </c>
      <c r="E948" s="6" t="b">
        <f t="shared" si="6"/>
        <v>0</v>
      </c>
      <c r="F948" s="6"/>
      <c r="G948" s="6" t="str">
        <f t="shared" si="7"/>
        <v>Security</v>
      </c>
    </row>
    <row r="949" spans="1:7" ht="14" x14ac:dyDescent="0.15">
      <c r="A949" s="6" t="s">
        <v>327</v>
      </c>
      <c r="B949" s="8" t="s">
        <v>2176</v>
      </c>
      <c r="C949" s="6" t="str">
        <f>'Ann1 - Step 3'!C949</f>
        <v>Maintainability</v>
      </c>
      <c r="D949" s="6" t="str">
        <f>'Ann2 - Step 3'!C949</f>
        <v>Task Execution</v>
      </c>
      <c r="E949" s="6" t="b">
        <f t="shared" si="6"/>
        <v>1</v>
      </c>
      <c r="F949" s="30" t="s">
        <v>18</v>
      </c>
      <c r="G949" s="6" t="str">
        <f t="shared" si="7"/>
        <v>Task Execution</v>
      </c>
    </row>
    <row r="950" spans="1:7" ht="14" x14ac:dyDescent="0.15">
      <c r="A950" s="6" t="s">
        <v>2177</v>
      </c>
      <c r="B950" s="8" t="s">
        <v>2178</v>
      </c>
      <c r="C950" s="6" t="str">
        <f>'Ann1 - Step 3'!C950</f>
        <v>Coding Pattern</v>
      </c>
      <c r="D950" s="6" t="str">
        <f>'Ann2 - Step 3'!C950</f>
        <v>Coding Pattern</v>
      </c>
      <c r="E950" s="6" t="b">
        <f t="shared" si="6"/>
        <v>0</v>
      </c>
      <c r="F950" s="6"/>
      <c r="G950" s="6" t="str">
        <f t="shared" si="7"/>
        <v>Coding Pattern</v>
      </c>
    </row>
    <row r="951" spans="1:7" ht="14" x14ac:dyDescent="0.15">
      <c r="A951" s="6" t="s">
        <v>654</v>
      </c>
      <c r="B951" s="8" t="s">
        <v>2179</v>
      </c>
      <c r="C951" s="6" t="str">
        <f>'Ann1 - Step 3'!C951</f>
        <v>Task Execution</v>
      </c>
      <c r="D951" s="6" t="str">
        <f>'Ann2 - Step 3'!C951</f>
        <v>Task Execution</v>
      </c>
      <c r="E951" s="6" t="b">
        <f t="shared" si="6"/>
        <v>0</v>
      </c>
      <c r="F951" s="6"/>
      <c r="G951" s="6" t="str">
        <f t="shared" si="7"/>
        <v>Task Execution</v>
      </c>
    </row>
    <row r="952" spans="1:7" ht="14" x14ac:dyDescent="0.15">
      <c r="A952" s="6" t="s">
        <v>966</v>
      </c>
      <c r="B952" s="8" t="s">
        <v>2180</v>
      </c>
      <c r="C952" s="6" t="str">
        <f>'Ann1 - Step 3'!C952</f>
        <v>Build &amp; Operation</v>
      </c>
      <c r="D952" s="6" t="str">
        <f>'Ann2 - Step 3'!C952</f>
        <v>Build &amp; Operation</v>
      </c>
      <c r="E952" s="6" t="b">
        <f t="shared" si="6"/>
        <v>0</v>
      </c>
      <c r="F952" s="6"/>
      <c r="G952" s="6" t="str">
        <f t="shared" si="7"/>
        <v>Build &amp; Operation</v>
      </c>
    </row>
    <row r="953" spans="1:7" ht="14" x14ac:dyDescent="0.15">
      <c r="A953" s="6" t="s">
        <v>966</v>
      </c>
      <c r="B953" s="8" t="s">
        <v>2181</v>
      </c>
      <c r="C953" s="6" t="str">
        <f>'Ann1 - Step 3'!C953</f>
        <v>Task Execution</v>
      </c>
      <c r="D953" s="6" t="str">
        <f>'Ann2 - Step 3'!C953</f>
        <v>Task Execution</v>
      </c>
      <c r="E953" s="6" t="b">
        <f t="shared" si="6"/>
        <v>0</v>
      </c>
      <c r="F953" s="6"/>
      <c r="G953" s="6" t="str">
        <f t="shared" si="7"/>
        <v>Task Execution</v>
      </c>
    </row>
    <row r="954" spans="1:7" ht="14" x14ac:dyDescent="0.15">
      <c r="A954" s="6" t="s">
        <v>2184</v>
      </c>
      <c r="B954" s="8" t="s">
        <v>2185</v>
      </c>
      <c r="C954" s="6" t="str">
        <f>'Ann1 - Step 3'!C954</f>
        <v>Commit&amp;PR rule</v>
      </c>
      <c r="D954" s="6" t="str">
        <f>'Ann2 - Step 3'!C954</f>
        <v>Commit&amp;PR rule</v>
      </c>
      <c r="E954" s="6" t="b">
        <f t="shared" si="6"/>
        <v>0</v>
      </c>
      <c r="F954" s="6"/>
      <c r="G954" s="6" t="str">
        <f t="shared" si="7"/>
        <v>Commit&amp;PR rule</v>
      </c>
    </row>
    <row r="955" spans="1:7" ht="14" x14ac:dyDescent="0.15">
      <c r="A955" s="31" t="s">
        <v>2184</v>
      </c>
      <c r="B955" s="8" t="s">
        <v>2186</v>
      </c>
      <c r="C955" s="6" t="str">
        <f>'Ann1 - Step 3'!C955</f>
        <v>Writing Style Preference</v>
      </c>
      <c r="D955" s="6" t="str">
        <f>'Ann2 - Step 3'!C955</f>
        <v>Commit&amp;PR rule</v>
      </c>
      <c r="E955" s="6" t="b">
        <f t="shared" si="6"/>
        <v>1</v>
      </c>
      <c r="F955" s="30" t="s">
        <v>77</v>
      </c>
      <c r="G955" s="6" t="str">
        <f t="shared" si="7"/>
        <v>Writing Style Preference</v>
      </c>
    </row>
    <row r="956" spans="1:7" ht="14" x14ac:dyDescent="0.15">
      <c r="A956" s="6" t="s">
        <v>2184</v>
      </c>
      <c r="B956" s="8" t="s">
        <v>2187</v>
      </c>
      <c r="C956" s="6" t="str">
        <f>'Ann1 - Step 3'!C956</f>
        <v>Commit&amp;PR rule</v>
      </c>
      <c r="D956" s="6" t="str">
        <f>'Ann2 - Step 3'!C956</f>
        <v>Commit&amp;PR rule</v>
      </c>
      <c r="E956" s="6" t="b">
        <f t="shared" si="6"/>
        <v>0</v>
      </c>
      <c r="F956" s="6"/>
      <c r="G956" s="6" t="str">
        <f t="shared" si="7"/>
        <v>Commit&amp;PR rule</v>
      </c>
    </row>
    <row r="957" spans="1:7" ht="28" x14ac:dyDescent="0.15">
      <c r="A957" s="6" t="s">
        <v>347</v>
      </c>
      <c r="B957" s="23" t="s">
        <v>2188</v>
      </c>
      <c r="C957" s="6" t="str">
        <f>'Ann1 - Step 3'!C957</f>
        <v>Build &amp; Operation</v>
      </c>
      <c r="D957" s="6" t="str">
        <f>'Ann2 - Step 3'!C957</f>
        <v>Task Execution</v>
      </c>
      <c r="E957" s="6" t="b">
        <f t="shared" si="6"/>
        <v>1</v>
      </c>
      <c r="F957" s="30" t="s">
        <v>18</v>
      </c>
      <c r="G957" s="6" t="str">
        <f t="shared" si="7"/>
        <v>Task Execution</v>
      </c>
    </row>
    <row r="958" spans="1:7" ht="14" x14ac:dyDescent="0.15">
      <c r="A958" s="6" t="s">
        <v>347</v>
      </c>
      <c r="B958" s="8" t="s">
        <v>2189</v>
      </c>
      <c r="C958" s="6" t="str">
        <f>'Ann1 - Step 3'!C958</f>
        <v>Build &amp; Operation</v>
      </c>
      <c r="D958" s="6" t="str">
        <f>'Ann2 - Step 3'!C958</f>
        <v>Build &amp; Operation</v>
      </c>
      <c r="E958" s="6" t="b">
        <f t="shared" si="6"/>
        <v>0</v>
      </c>
      <c r="F958" s="6"/>
      <c r="G958" s="6" t="str">
        <f t="shared" si="7"/>
        <v>Build &amp; Operation</v>
      </c>
    </row>
    <row r="959" spans="1:7" ht="14" x14ac:dyDescent="0.15">
      <c r="A959" s="6" t="s">
        <v>347</v>
      </c>
      <c r="B959" s="8" t="s">
        <v>2190</v>
      </c>
      <c r="C959" s="6" t="str">
        <f>'Ann1 - Step 3'!C959</f>
        <v>Coding Style</v>
      </c>
      <c r="D959" s="6" t="str">
        <f>'Ann2 - Step 3'!C959</f>
        <v>Coding Style</v>
      </c>
      <c r="E959" s="6" t="b">
        <f t="shared" si="6"/>
        <v>0</v>
      </c>
      <c r="F959" s="6"/>
      <c r="G959" s="6" t="str">
        <f t="shared" si="7"/>
        <v>Coding Style</v>
      </c>
    </row>
    <row r="960" spans="1:7" ht="14" x14ac:dyDescent="0.15">
      <c r="A960" s="6" t="s">
        <v>351</v>
      </c>
      <c r="B960" s="8" t="s">
        <v>2191</v>
      </c>
      <c r="C960" s="6" t="str">
        <f>'Ann1 - Step 3'!C960</f>
        <v>Coding Pattern</v>
      </c>
      <c r="D960" s="6" t="str">
        <f>'Ann2 - Step 3'!C960</f>
        <v>Coding Pattern</v>
      </c>
      <c r="E960" s="6" t="b">
        <f t="shared" si="6"/>
        <v>0</v>
      </c>
      <c r="F960" s="6"/>
      <c r="G960" s="6" t="str">
        <f t="shared" si="7"/>
        <v>Coding Pattern</v>
      </c>
    </row>
    <row r="961" spans="1:8" ht="14" x14ac:dyDescent="0.15">
      <c r="A961" s="6" t="s">
        <v>351</v>
      </c>
      <c r="B961" s="8" t="s">
        <v>2192</v>
      </c>
      <c r="C961" s="6" t="str">
        <f>'Ann1 - Step 3'!C961</f>
        <v>Coding Pattern</v>
      </c>
      <c r="D961" s="6" t="str">
        <f>'Ann2 - Step 3'!C961</f>
        <v>Coding Pattern</v>
      </c>
      <c r="E961" s="6" t="b">
        <f t="shared" si="6"/>
        <v>0</v>
      </c>
      <c r="F961" s="6"/>
      <c r="G961" s="6" t="str">
        <f t="shared" si="7"/>
        <v>Coding Pattern</v>
      </c>
    </row>
    <row r="962" spans="1:8" ht="14" x14ac:dyDescent="0.15">
      <c r="A962" s="6" t="s">
        <v>351</v>
      </c>
      <c r="B962" s="8" t="s">
        <v>2193</v>
      </c>
      <c r="C962" s="6" t="str">
        <f>'Ann1 - Step 3'!C962</f>
        <v>Security</v>
      </c>
      <c r="D962" s="6" t="str">
        <f>'Ann2 - Step 3'!C962</f>
        <v>Security</v>
      </c>
      <c r="E962" s="6" t="b">
        <f t="shared" si="6"/>
        <v>0</v>
      </c>
      <c r="F962" s="6"/>
      <c r="G962" s="6" t="str">
        <f t="shared" si="7"/>
        <v>Security</v>
      </c>
    </row>
    <row r="963" spans="1:8" ht="14" x14ac:dyDescent="0.15">
      <c r="A963" s="6" t="s">
        <v>351</v>
      </c>
      <c r="B963" s="8" t="s">
        <v>2194</v>
      </c>
      <c r="C963" s="6" t="str">
        <f>'Ann1 - Step 3'!C963</f>
        <v>Coding Pattern</v>
      </c>
      <c r="D963" s="6" t="str">
        <f>'Ann2 - Step 3'!C963</f>
        <v>Coding Pattern</v>
      </c>
      <c r="E963" s="6" t="b">
        <f t="shared" si="6"/>
        <v>0</v>
      </c>
      <c r="F963" s="6"/>
      <c r="G963" s="6" t="str">
        <f t="shared" si="7"/>
        <v>Coding Pattern</v>
      </c>
    </row>
    <row r="964" spans="1:8" ht="14" x14ac:dyDescent="0.15">
      <c r="A964" s="31" t="s">
        <v>351</v>
      </c>
      <c r="B964" s="8" t="s">
        <v>2195</v>
      </c>
      <c r="C964" s="6" t="str">
        <f>'Ann1 - Step 3'!C964</f>
        <v>Coding Pattern</v>
      </c>
      <c r="D964" s="6" t="str">
        <f>'Ann2 - Step 3'!C964</f>
        <v>Coding Pattern</v>
      </c>
      <c r="E964" s="6" t="b">
        <f t="shared" si="6"/>
        <v>0</v>
      </c>
      <c r="F964" s="6"/>
      <c r="G964" s="6" t="str">
        <f t="shared" si="7"/>
        <v>Coding Pattern</v>
      </c>
    </row>
    <row r="965" spans="1:8" ht="14" x14ac:dyDescent="0.15">
      <c r="A965" s="6" t="s">
        <v>351</v>
      </c>
      <c r="B965" s="8" t="s">
        <v>2196</v>
      </c>
      <c r="C965" s="6" t="str">
        <f>'Ann1 - Step 3'!C965</f>
        <v>Coding Pattern</v>
      </c>
      <c r="D965" s="6" t="str">
        <f>'Ann2 - Step 3'!C965</f>
        <v>Coding Pattern</v>
      </c>
      <c r="E965" s="6" t="b">
        <f t="shared" si="6"/>
        <v>0</v>
      </c>
      <c r="F965" s="6"/>
      <c r="G965" s="6" t="str">
        <f t="shared" si="7"/>
        <v>Coding Pattern</v>
      </c>
    </row>
    <row r="966" spans="1:8" ht="14" x14ac:dyDescent="0.15">
      <c r="A966" s="6" t="s">
        <v>355</v>
      </c>
      <c r="B966" s="8" t="s">
        <v>2197</v>
      </c>
      <c r="C966" s="6" t="str">
        <f>'Ann1 - Step 3'!C966</f>
        <v>Security</v>
      </c>
      <c r="D966" s="6" t="str">
        <f>'Ann2 - Step 3'!C966</f>
        <v>Security</v>
      </c>
      <c r="E966" s="6" t="b">
        <f t="shared" si="6"/>
        <v>0</v>
      </c>
      <c r="F966" s="6"/>
      <c r="G966" s="6" t="str">
        <f t="shared" si="7"/>
        <v>Security</v>
      </c>
    </row>
    <row r="967" spans="1:8" ht="14" x14ac:dyDescent="0.15">
      <c r="A967" s="6" t="s">
        <v>359</v>
      </c>
      <c r="B967" s="8" t="s">
        <v>2198</v>
      </c>
      <c r="C967" s="6" t="str">
        <f>'Ann1 - Step 3'!C967</f>
        <v>Coding Style</v>
      </c>
      <c r="D967" s="6" t="str">
        <f>'Ann2 - Step 3'!C967</f>
        <v>Coding Style</v>
      </c>
      <c r="E967" s="6" t="b">
        <f t="shared" si="6"/>
        <v>0</v>
      </c>
      <c r="F967" s="6"/>
      <c r="G967" s="6" t="str">
        <f t="shared" si="7"/>
        <v>Coding Style</v>
      </c>
    </row>
    <row r="968" spans="1:8" ht="14" x14ac:dyDescent="0.15">
      <c r="A968" s="31" t="s">
        <v>1003</v>
      </c>
      <c r="B968" s="8" t="s">
        <v>2199</v>
      </c>
      <c r="C968" s="6" t="str">
        <f>'Ann1 - Step 3'!C968</f>
        <v>NOT_ENOUGH_CONTEXT</v>
      </c>
      <c r="D968" s="6" t="str">
        <f>'Ann2 - Step 3'!C968</f>
        <v>Build &amp; Operation</v>
      </c>
      <c r="E968" s="6" t="b">
        <f t="shared" si="6"/>
        <v>1</v>
      </c>
      <c r="F968" s="30" t="s">
        <v>136</v>
      </c>
      <c r="G968" s="6" t="str">
        <f t="shared" si="7"/>
        <v>Build &amp; Operation</v>
      </c>
    </row>
    <row r="969" spans="1:8" ht="14" x14ac:dyDescent="0.15">
      <c r="A969" s="6" t="s">
        <v>1003</v>
      </c>
      <c r="B969" s="8" t="s">
        <v>2200</v>
      </c>
      <c r="C969" s="6" t="str">
        <f>'Ann1 - Step 3'!C969</f>
        <v>Security</v>
      </c>
      <c r="D969" s="6" t="str">
        <f>'Ann2 - Step 3'!C969</f>
        <v>Security</v>
      </c>
      <c r="E969" s="6" t="b">
        <f t="shared" si="6"/>
        <v>0</v>
      </c>
      <c r="F969" s="6"/>
      <c r="G969" s="6" t="str">
        <f t="shared" si="7"/>
        <v>Security</v>
      </c>
    </row>
    <row r="970" spans="1:8" ht="14" x14ac:dyDescent="0.15">
      <c r="A970" s="6" t="s">
        <v>658</v>
      </c>
      <c r="B970" s="8" t="s">
        <v>2201</v>
      </c>
      <c r="C970" s="6" t="str">
        <f>'Ann1 - Step 3'!C970</f>
        <v>Security</v>
      </c>
      <c r="D970" s="6" t="str">
        <f>'Ann2 - Step 3'!C970</f>
        <v>Security</v>
      </c>
      <c r="E970" s="6" t="b">
        <f t="shared" si="6"/>
        <v>0</v>
      </c>
      <c r="F970" s="6"/>
      <c r="G970" s="6" t="str">
        <f t="shared" si="7"/>
        <v>Security</v>
      </c>
    </row>
    <row r="971" spans="1:8" ht="14" x14ac:dyDescent="0.15">
      <c r="A971" s="6" t="s">
        <v>1779</v>
      </c>
      <c r="B971" s="8" t="s">
        <v>2042</v>
      </c>
      <c r="C971" s="6" t="str">
        <f>'Ann1 - Step 3'!C971</f>
        <v>Security</v>
      </c>
      <c r="D971" s="6" t="str">
        <f>'Ann2 - Step 3'!C971</f>
        <v>Security</v>
      </c>
      <c r="E971" s="6" t="b">
        <f t="shared" si="6"/>
        <v>0</v>
      </c>
      <c r="F971" s="6"/>
      <c r="G971" s="6" t="str">
        <f t="shared" si="7"/>
        <v>Security</v>
      </c>
    </row>
    <row r="972" spans="1:8" ht="14" x14ac:dyDescent="0.15">
      <c r="A972" s="6" t="s">
        <v>1013</v>
      </c>
      <c r="B972" s="23" t="s">
        <v>2202</v>
      </c>
      <c r="C972" s="6" t="str">
        <f>'Ann1 - Step 3'!C972</f>
        <v>Build &amp; Operation</v>
      </c>
      <c r="D972" s="6" t="str">
        <f>'Ann2 - Step 3'!C972</f>
        <v>Task Execution</v>
      </c>
      <c r="E972" s="6" t="b">
        <f t="shared" si="6"/>
        <v>1</v>
      </c>
      <c r="F972" s="30" t="s">
        <v>18</v>
      </c>
      <c r="G972" s="6" t="str">
        <f t="shared" si="7"/>
        <v>Task Execution</v>
      </c>
      <c r="H972" s="6" t="s">
        <v>3302</v>
      </c>
    </row>
    <row r="973" spans="1:8" ht="14" x14ac:dyDescent="0.15">
      <c r="A973" s="6" t="s">
        <v>384</v>
      </c>
      <c r="B973" s="8" t="s">
        <v>2203</v>
      </c>
      <c r="C973" s="6" t="str">
        <f>'Ann1 - Step 3'!C973</f>
        <v>Maintainability</v>
      </c>
      <c r="D973" s="6" t="str">
        <f>'Ann2 - Step 3'!C973</f>
        <v>Maintainability</v>
      </c>
      <c r="E973" s="6" t="b">
        <f t="shared" si="6"/>
        <v>0</v>
      </c>
      <c r="F973" s="6"/>
      <c r="G973" s="6" t="str">
        <f t="shared" si="7"/>
        <v>Maintainability</v>
      </c>
    </row>
    <row r="974" spans="1:8" ht="28" x14ac:dyDescent="0.15">
      <c r="A974" s="31" t="s">
        <v>391</v>
      </c>
      <c r="B974" s="23" t="s">
        <v>2204</v>
      </c>
      <c r="C974" s="6" t="str">
        <f>'Ann1 - Step 3'!C974</f>
        <v>Build &amp; Operation</v>
      </c>
      <c r="D974" s="6" t="str">
        <f>'Ann2 - Step 3'!C974</f>
        <v>Task Execution</v>
      </c>
      <c r="E974" s="6" t="b">
        <f t="shared" si="6"/>
        <v>1</v>
      </c>
      <c r="F974" s="30" t="s">
        <v>18</v>
      </c>
      <c r="G974" s="6" t="str">
        <f t="shared" si="7"/>
        <v>Task Execution</v>
      </c>
    </row>
    <row r="975" spans="1:8" ht="14" x14ac:dyDescent="0.15">
      <c r="A975" s="6" t="s">
        <v>391</v>
      </c>
      <c r="B975" s="23" t="s">
        <v>2205</v>
      </c>
      <c r="C975" s="6" t="str">
        <f>'Ann1 - Step 3'!C975</f>
        <v>Build &amp; Operation</v>
      </c>
      <c r="D975" s="6" t="str">
        <f>'Ann2 - Step 3'!C975</f>
        <v>Task Execution</v>
      </c>
      <c r="E975" s="6" t="b">
        <f t="shared" si="6"/>
        <v>1</v>
      </c>
      <c r="F975" s="30" t="s">
        <v>18</v>
      </c>
      <c r="G975" s="6" t="str">
        <f t="shared" si="7"/>
        <v>Task Execution</v>
      </c>
    </row>
    <row r="976" spans="1:8" ht="14" x14ac:dyDescent="0.15">
      <c r="A976" s="6" t="s">
        <v>391</v>
      </c>
      <c r="B976" s="8" t="s">
        <v>2206</v>
      </c>
      <c r="C976" s="6" t="str">
        <f>'Ann1 - Step 3'!C976</f>
        <v>Security</v>
      </c>
      <c r="D976" s="6" t="str">
        <f>'Ann2 - Step 3'!C976</f>
        <v>Security</v>
      </c>
      <c r="E976" s="6" t="b">
        <f t="shared" si="6"/>
        <v>0</v>
      </c>
      <c r="F976" s="6"/>
      <c r="G976" s="6" t="str">
        <f t="shared" si="7"/>
        <v>Security</v>
      </c>
    </row>
    <row r="977" spans="1:7" ht="14" x14ac:dyDescent="0.15">
      <c r="A977" s="6" t="s">
        <v>710</v>
      </c>
      <c r="B977" s="8" t="s">
        <v>2207</v>
      </c>
      <c r="C977" s="6" t="str">
        <f>'Ann1 - Step 3'!C977</f>
        <v>Build &amp; Operation</v>
      </c>
      <c r="D977" s="6" t="str">
        <f>'Ann2 - Step 3'!C977</f>
        <v>Build &amp; Operation</v>
      </c>
      <c r="E977" s="6" t="b">
        <f t="shared" si="6"/>
        <v>0</v>
      </c>
      <c r="F977" s="6"/>
      <c r="G977" s="6" t="str">
        <f t="shared" si="7"/>
        <v>Build &amp; Operation</v>
      </c>
    </row>
    <row r="978" spans="1:7" ht="14" x14ac:dyDescent="0.15">
      <c r="A978" s="6" t="s">
        <v>710</v>
      </c>
      <c r="B978" s="8" t="s">
        <v>2208</v>
      </c>
      <c r="C978" s="6" t="str">
        <f>'Ann1 - Step 3'!C978</f>
        <v>Coding Pattern</v>
      </c>
      <c r="D978" s="6" t="str">
        <f>'Ann2 - Step 3'!C978</f>
        <v>Coding Pattern</v>
      </c>
      <c r="E978" s="6" t="b">
        <f t="shared" si="6"/>
        <v>0</v>
      </c>
      <c r="F978" s="6"/>
      <c r="G978" s="6" t="str">
        <f t="shared" si="7"/>
        <v>Coding Pattern</v>
      </c>
    </row>
    <row r="979" spans="1:7" ht="14" x14ac:dyDescent="0.15">
      <c r="A979" s="6" t="s">
        <v>710</v>
      </c>
      <c r="B979" s="8" t="s">
        <v>2209</v>
      </c>
      <c r="C979" s="6" t="str">
        <f>'Ann1 - Step 3'!C979</f>
        <v>Coding Pattern</v>
      </c>
      <c r="D979" s="6" t="str">
        <f>'Ann2 - Step 3'!C979</f>
        <v>Coding Pattern</v>
      </c>
      <c r="E979" s="6" t="b">
        <f t="shared" si="6"/>
        <v>0</v>
      </c>
      <c r="F979" s="6"/>
      <c r="G979" s="6" t="str">
        <f t="shared" si="7"/>
        <v>Coding Pattern</v>
      </c>
    </row>
    <row r="980" spans="1:7" ht="28" x14ac:dyDescent="0.15">
      <c r="A980" s="6" t="s">
        <v>395</v>
      </c>
      <c r="B980" s="8" t="s">
        <v>2210</v>
      </c>
      <c r="C980" s="6" t="str">
        <f>'Ann1 - Step 3'!C980</f>
        <v>Build &amp; Operation</v>
      </c>
      <c r="D980" s="6" t="str">
        <f>'Ann2 - Step 3'!C980</f>
        <v>Build &amp; Operation</v>
      </c>
      <c r="E980" s="6" t="b">
        <f t="shared" si="6"/>
        <v>0</v>
      </c>
      <c r="F980" s="6"/>
      <c r="G980" s="6" t="str">
        <f t="shared" si="7"/>
        <v>Build &amp; Operation</v>
      </c>
    </row>
    <row r="981" spans="1:7" ht="14" x14ac:dyDescent="0.15">
      <c r="A981" s="6" t="s">
        <v>395</v>
      </c>
      <c r="B981" s="8" t="s">
        <v>2211</v>
      </c>
      <c r="C981" s="6" t="str">
        <f>'Ann1 - Step 3'!C981</f>
        <v>Coding Style</v>
      </c>
      <c r="D981" s="6" t="str">
        <f>'Ann2 - Step 3'!C981</f>
        <v>Coding Style</v>
      </c>
      <c r="E981" s="6" t="b">
        <f t="shared" si="6"/>
        <v>0</v>
      </c>
      <c r="F981" s="6"/>
      <c r="G981" s="6" t="str">
        <f t="shared" si="7"/>
        <v>Coding Style</v>
      </c>
    </row>
    <row r="982" spans="1:7" ht="14" x14ac:dyDescent="0.15">
      <c r="A982" s="31" t="s">
        <v>395</v>
      </c>
      <c r="B982" s="8" t="s">
        <v>2212</v>
      </c>
      <c r="C982" s="6" t="str">
        <f>'Ann1 - Step 3'!C982</f>
        <v>Maintainability</v>
      </c>
      <c r="D982" s="6" t="str">
        <f>'Ann2 - Step 3'!C982</f>
        <v>Task Execution</v>
      </c>
      <c r="E982" s="6" t="b">
        <f t="shared" si="6"/>
        <v>1</v>
      </c>
      <c r="F982" s="30" t="s">
        <v>115</v>
      </c>
      <c r="G982" s="6" t="str">
        <f t="shared" si="7"/>
        <v>Maintainability</v>
      </c>
    </row>
    <row r="983" spans="1:7" ht="28" x14ac:dyDescent="0.15">
      <c r="A983" s="6" t="s">
        <v>1088</v>
      </c>
      <c r="B983" s="8" t="s">
        <v>2213</v>
      </c>
      <c r="C983" s="6" t="str">
        <f>'Ann1 - Step 3'!C983</f>
        <v>Performance</v>
      </c>
      <c r="D983" s="6" t="str">
        <f>'Ann2 - Step 3'!C983</f>
        <v>Task Execution</v>
      </c>
      <c r="E983" s="6" t="b">
        <f t="shared" si="6"/>
        <v>1</v>
      </c>
      <c r="F983" s="30" t="s">
        <v>219</v>
      </c>
      <c r="G983" s="6" t="str">
        <f t="shared" si="7"/>
        <v>Performance</v>
      </c>
    </row>
    <row r="984" spans="1:7" ht="14" x14ac:dyDescent="0.15">
      <c r="A984" s="6" t="s">
        <v>1088</v>
      </c>
      <c r="B984" s="8" t="s">
        <v>2214</v>
      </c>
      <c r="C984" s="6" t="str">
        <f>'Ann1 - Step 3'!C984</f>
        <v>Writing Style Preference</v>
      </c>
      <c r="D984" s="6" t="str">
        <f>'Ann2 - Step 3'!C984</f>
        <v>Task Execution</v>
      </c>
      <c r="E984" s="6" t="b">
        <f t="shared" si="6"/>
        <v>1</v>
      </c>
      <c r="F984" s="30" t="s">
        <v>77</v>
      </c>
      <c r="G984" s="6" t="str">
        <f t="shared" si="7"/>
        <v>Writing Style Preference</v>
      </c>
    </row>
    <row r="985" spans="1:7" ht="14" x14ac:dyDescent="0.15">
      <c r="A985" s="6" t="s">
        <v>1088</v>
      </c>
      <c r="B985" s="8" t="s">
        <v>2215</v>
      </c>
      <c r="C985" s="6" t="str">
        <f>'Ann1 - Step 3'!C985</f>
        <v>Commit&amp;PR rule</v>
      </c>
      <c r="D985" s="6" t="str">
        <f>'Ann2 - Step 3'!C985</f>
        <v>Commit&amp;PR rule</v>
      </c>
      <c r="E985" s="6" t="b">
        <f t="shared" si="6"/>
        <v>0</v>
      </c>
      <c r="F985" s="6"/>
      <c r="G985" s="6" t="str">
        <f t="shared" si="7"/>
        <v>Commit&amp;PR rule</v>
      </c>
    </row>
    <row r="986" spans="1:7" ht="14" x14ac:dyDescent="0.15">
      <c r="A986" s="6" t="s">
        <v>1088</v>
      </c>
      <c r="B986" s="8" t="s">
        <v>2216</v>
      </c>
      <c r="C986" s="6" t="str">
        <f>'Ann1 - Step 3'!C986</f>
        <v>Coding Pattern</v>
      </c>
      <c r="D986" s="6" t="str">
        <f>'Ann2 - Step 3'!C986</f>
        <v>Coding Pattern</v>
      </c>
      <c r="E986" s="6" t="b">
        <f t="shared" si="6"/>
        <v>0</v>
      </c>
      <c r="F986" s="6"/>
      <c r="G986" s="6" t="str">
        <f t="shared" si="7"/>
        <v>Coding Pattern</v>
      </c>
    </row>
    <row r="987" spans="1:7" ht="14" x14ac:dyDescent="0.15">
      <c r="A987" s="6" t="s">
        <v>2219</v>
      </c>
      <c r="B987" s="8" t="s">
        <v>2220</v>
      </c>
      <c r="C987" s="6" t="str">
        <f>'Ann1 - Step 3'!C987</f>
        <v>Coding Pattern</v>
      </c>
      <c r="D987" s="6" t="str">
        <f>'Ann2 - Step 3'!C987</f>
        <v>Coding Pattern</v>
      </c>
      <c r="E987" s="6" t="b">
        <f t="shared" si="6"/>
        <v>0</v>
      </c>
      <c r="F987" s="6"/>
      <c r="G987" s="6" t="str">
        <f t="shared" si="7"/>
        <v>Coding Pattern</v>
      </c>
    </row>
    <row r="988" spans="1:7" ht="14" x14ac:dyDescent="0.15">
      <c r="A988" s="6" t="s">
        <v>2219</v>
      </c>
      <c r="B988" s="8" t="s">
        <v>2221</v>
      </c>
      <c r="C988" s="6" t="str">
        <f>'Ann1 - Step 3'!C988</f>
        <v>Maintainability</v>
      </c>
      <c r="D988" s="6" t="str">
        <f>'Ann2 - Step 3'!C988</f>
        <v>Coding Pattern</v>
      </c>
      <c r="E988" s="6" t="b">
        <f t="shared" si="6"/>
        <v>1</v>
      </c>
      <c r="F988" s="30" t="s">
        <v>30</v>
      </c>
      <c r="G988" s="6" t="str">
        <f t="shared" si="7"/>
        <v>Coding Pattern</v>
      </c>
    </row>
    <row r="989" spans="1:7" ht="14" x14ac:dyDescent="0.15">
      <c r="A989" s="31" t="s">
        <v>2219</v>
      </c>
      <c r="B989" s="8" t="s">
        <v>2222</v>
      </c>
      <c r="C989" s="6" t="str">
        <f>'Ann1 - Step 3'!C989</f>
        <v>NOT_ENOUGH_CONTEXT</v>
      </c>
      <c r="D989" s="6" t="str">
        <f>'Ann2 - Step 3'!C989</f>
        <v>Coding Pattern</v>
      </c>
      <c r="E989" s="6" t="b">
        <f t="shared" si="6"/>
        <v>1</v>
      </c>
      <c r="F989" s="30" t="s">
        <v>513</v>
      </c>
      <c r="G989" s="6" t="str">
        <f t="shared" si="7"/>
        <v>NOT_ENOUGH_CONTEXT</v>
      </c>
    </row>
    <row r="990" spans="1:7" ht="14" x14ac:dyDescent="0.15">
      <c r="A990" s="6" t="s">
        <v>2225</v>
      </c>
      <c r="B990" s="8" t="s">
        <v>2226</v>
      </c>
      <c r="C990" s="6" t="str">
        <f>'Ann1 - Step 3'!C990</f>
        <v>Task Execution</v>
      </c>
      <c r="D990" s="6" t="str">
        <f>'Ann2 - Step 3'!C990</f>
        <v>Task Execution</v>
      </c>
      <c r="E990" s="6" t="b">
        <f t="shared" si="6"/>
        <v>0</v>
      </c>
      <c r="F990" s="6"/>
      <c r="G990" s="6" t="str">
        <f t="shared" si="7"/>
        <v>Task Execution</v>
      </c>
    </row>
    <row r="991" spans="1:7" ht="14" x14ac:dyDescent="0.15">
      <c r="A991" s="6" t="s">
        <v>1517</v>
      </c>
      <c r="B991" s="8" t="s">
        <v>2094</v>
      </c>
      <c r="C991" s="6" t="str">
        <f>'Ann1 - Step 3'!C991</f>
        <v>Commit&amp;PR rule</v>
      </c>
      <c r="D991" s="6" t="str">
        <f>'Ann2 - Step 3'!C991</f>
        <v>Commit&amp;PR rule</v>
      </c>
      <c r="E991" s="6" t="b">
        <f t="shared" si="6"/>
        <v>0</v>
      </c>
      <c r="F991" s="6"/>
      <c r="G991" s="6" t="str">
        <f t="shared" si="7"/>
        <v>Commit&amp;PR rule</v>
      </c>
    </row>
    <row r="992" spans="1:7" ht="14" x14ac:dyDescent="0.15">
      <c r="A992" s="6" t="s">
        <v>1517</v>
      </c>
      <c r="B992" s="8" t="s">
        <v>2095</v>
      </c>
      <c r="C992" s="6" t="str">
        <f>'Ann1 - Step 3'!C992</f>
        <v>Commit&amp;PR rule</v>
      </c>
      <c r="D992" s="6" t="str">
        <f>'Ann2 - Step 3'!C992</f>
        <v>Commit&amp;PR rule</v>
      </c>
      <c r="E992" s="6" t="b">
        <f t="shared" si="6"/>
        <v>0</v>
      </c>
      <c r="F992" s="6"/>
      <c r="G992" s="6" t="str">
        <f t="shared" si="7"/>
        <v>Commit&amp;PR rule</v>
      </c>
    </row>
    <row r="993" spans="1:7" ht="14" x14ac:dyDescent="0.15">
      <c r="A993" s="6" t="s">
        <v>399</v>
      </c>
      <c r="B993" s="8" t="s">
        <v>2108</v>
      </c>
      <c r="C993" s="6" t="str">
        <f>'Ann1 - Step 3'!C993</f>
        <v>Testing</v>
      </c>
      <c r="D993" s="6" t="str">
        <f>'Ann2 - Step 3'!C993</f>
        <v>Testing</v>
      </c>
      <c r="E993" s="6" t="b">
        <f t="shared" si="6"/>
        <v>0</v>
      </c>
      <c r="F993" s="6"/>
      <c r="G993" s="6" t="str">
        <f t="shared" si="7"/>
        <v>Testing</v>
      </c>
    </row>
    <row r="994" spans="1:7" ht="14" x14ac:dyDescent="0.15">
      <c r="A994" s="6" t="s">
        <v>399</v>
      </c>
      <c r="B994" s="8" t="s">
        <v>2109</v>
      </c>
      <c r="C994" s="6" t="str">
        <f>'Ann1 - Step 3'!C994</f>
        <v>Coding Pattern</v>
      </c>
      <c r="D994" s="6" t="str">
        <f>'Ann2 - Step 3'!C994</f>
        <v>Coding Pattern</v>
      </c>
      <c r="E994" s="6" t="b">
        <f t="shared" si="6"/>
        <v>0</v>
      </c>
      <c r="F994" s="6"/>
      <c r="G994" s="6" t="str">
        <f t="shared" si="7"/>
        <v>Coding Pattern</v>
      </c>
    </row>
    <row r="995" spans="1:7" ht="14" x14ac:dyDescent="0.15">
      <c r="A995" s="6" t="s">
        <v>399</v>
      </c>
      <c r="B995" s="8" t="s">
        <v>2110</v>
      </c>
      <c r="C995" s="6" t="str">
        <f>'Ann1 - Step 3'!C995</f>
        <v>Coding Pattern</v>
      </c>
      <c r="D995" s="6" t="str">
        <f>'Ann2 - Step 3'!C995</f>
        <v>Coding Pattern</v>
      </c>
      <c r="E995" s="6" t="b">
        <f t="shared" si="6"/>
        <v>0</v>
      </c>
      <c r="F995" s="6"/>
      <c r="G995" s="6" t="str">
        <f t="shared" si="7"/>
        <v>Coding Pattern</v>
      </c>
    </row>
    <row r="996" spans="1:7" ht="14" x14ac:dyDescent="0.15">
      <c r="A996" s="6" t="s">
        <v>399</v>
      </c>
      <c r="B996" s="8" t="s">
        <v>2111</v>
      </c>
      <c r="C996" s="6" t="str">
        <f>'Ann1 - Step 3'!C996</f>
        <v>Testing</v>
      </c>
      <c r="D996" s="6" t="str">
        <f>'Ann2 - Step 3'!C996</f>
        <v>Testing</v>
      </c>
      <c r="E996" s="6" t="b">
        <f t="shared" si="6"/>
        <v>0</v>
      </c>
      <c r="F996" s="6"/>
      <c r="G996" s="6" t="str">
        <f t="shared" si="7"/>
        <v>Testing</v>
      </c>
    </row>
    <row r="997" spans="1:7" ht="14" x14ac:dyDescent="0.15">
      <c r="A997" s="6" t="s">
        <v>399</v>
      </c>
      <c r="B997" s="8" t="s">
        <v>2112</v>
      </c>
      <c r="C997" s="6" t="str">
        <f>'Ann1 - Step 3'!C997</f>
        <v>Testing</v>
      </c>
      <c r="D997" s="6" t="str">
        <f>'Ann2 - Step 3'!C997</f>
        <v>Testing</v>
      </c>
      <c r="E997" s="6" t="b">
        <f t="shared" si="6"/>
        <v>0</v>
      </c>
      <c r="F997" s="6"/>
      <c r="G997" s="6" t="str">
        <f t="shared" si="7"/>
        <v>Testing</v>
      </c>
    </row>
    <row r="998" spans="1:7" ht="14" x14ac:dyDescent="0.15">
      <c r="A998" s="6" t="s">
        <v>399</v>
      </c>
      <c r="B998" s="8" t="s">
        <v>2113</v>
      </c>
      <c r="C998" s="6" t="str">
        <f>'Ann1 - Step 3'!C998</f>
        <v>Testing</v>
      </c>
      <c r="D998" s="6" t="str">
        <f>'Ann2 - Step 3'!C998</f>
        <v>Testing</v>
      </c>
      <c r="E998" s="6" t="b">
        <f t="shared" si="6"/>
        <v>0</v>
      </c>
      <c r="F998" s="6"/>
      <c r="G998" s="6" t="str">
        <f t="shared" si="7"/>
        <v>Testing</v>
      </c>
    </row>
    <row r="999" spans="1:7" ht="14" x14ac:dyDescent="0.15">
      <c r="A999" s="6" t="s">
        <v>399</v>
      </c>
      <c r="B999" s="8" t="s">
        <v>2114</v>
      </c>
      <c r="C999" s="6" t="str">
        <f>'Ann1 - Step 3'!C999</f>
        <v>Testing</v>
      </c>
      <c r="D999" s="6" t="str">
        <f>'Ann2 - Step 3'!C999</f>
        <v>Testing</v>
      </c>
      <c r="E999" s="6" t="b">
        <f t="shared" si="6"/>
        <v>0</v>
      </c>
      <c r="F999" s="6"/>
      <c r="G999" s="6" t="str">
        <f t="shared" si="7"/>
        <v>Testing</v>
      </c>
    </row>
    <row r="1000" spans="1:7" ht="14" x14ac:dyDescent="0.15">
      <c r="A1000" s="6" t="s">
        <v>399</v>
      </c>
      <c r="B1000" s="8" t="s">
        <v>2115</v>
      </c>
      <c r="C1000" s="6" t="str">
        <f>'Ann1 - Step 3'!C1000</f>
        <v>Testing</v>
      </c>
      <c r="D1000" s="6" t="str">
        <f>'Ann2 - Step 3'!C1000</f>
        <v>Testing</v>
      </c>
      <c r="E1000" s="6" t="b">
        <f t="shared" si="6"/>
        <v>0</v>
      </c>
      <c r="F1000" s="6"/>
      <c r="G1000" s="6" t="str">
        <f t="shared" si="7"/>
        <v>Testing</v>
      </c>
    </row>
    <row r="1001" spans="1:7" ht="14" x14ac:dyDescent="0.15">
      <c r="A1001" s="6" t="s">
        <v>399</v>
      </c>
      <c r="B1001" s="8" t="s">
        <v>2116</v>
      </c>
      <c r="C1001" s="6" t="str">
        <f>'Ann1 - Step 3'!C1001</f>
        <v>Testing</v>
      </c>
      <c r="D1001" s="6" t="str">
        <f>'Ann2 - Step 3'!C1001</f>
        <v>Testing</v>
      </c>
      <c r="E1001" s="6" t="b">
        <f t="shared" si="6"/>
        <v>0</v>
      </c>
      <c r="F1001" s="6"/>
      <c r="G1001" s="6" t="str">
        <f t="shared" si="7"/>
        <v>Testing</v>
      </c>
    </row>
    <row r="1002" spans="1:7" ht="14" x14ac:dyDescent="0.15">
      <c r="A1002" s="6" t="s">
        <v>401</v>
      </c>
      <c r="B1002" s="8" t="s">
        <v>2227</v>
      </c>
      <c r="C1002" s="6" t="str">
        <f>'Ann1 - Step 3'!C1002</f>
        <v>Commit&amp;PR rule</v>
      </c>
      <c r="D1002" s="6" t="str">
        <f>'Ann2 - Step 3'!C1002</f>
        <v>Commit&amp;PR rule</v>
      </c>
      <c r="E1002" s="6" t="b">
        <f t="shared" si="6"/>
        <v>0</v>
      </c>
      <c r="F1002" s="6"/>
      <c r="G1002" s="6" t="str">
        <f t="shared" si="7"/>
        <v>Commit&amp;PR rule</v>
      </c>
    </row>
    <row r="1003" spans="1:7" ht="14" x14ac:dyDescent="0.15">
      <c r="A1003" s="6" t="s">
        <v>401</v>
      </c>
      <c r="B1003" s="8" t="s">
        <v>2228</v>
      </c>
      <c r="C1003" s="6" t="str">
        <f>'Ann1 - Step 3'!C1003</f>
        <v>Commit&amp;PR rule</v>
      </c>
      <c r="D1003" s="6" t="str">
        <f>'Ann2 - Step 3'!C1003</f>
        <v>Commit&amp;PR rule</v>
      </c>
      <c r="E1003" s="6" t="b">
        <f t="shared" si="6"/>
        <v>0</v>
      </c>
      <c r="F1003" s="6"/>
      <c r="G1003" s="6" t="str">
        <f t="shared" si="7"/>
        <v>Commit&amp;PR rule</v>
      </c>
    </row>
    <row r="1004" spans="1:7" ht="14" x14ac:dyDescent="0.15">
      <c r="A1004" s="6" t="s">
        <v>401</v>
      </c>
      <c r="B1004" s="8" t="s">
        <v>2229</v>
      </c>
      <c r="C1004" s="6" t="str">
        <f>'Ann1 - Step 3'!C1004</f>
        <v>Coding Pattern</v>
      </c>
      <c r="D1004" s="6" t="str">
        <f>'Ann2 - Step 3'!C1004</f>
        <v>Coding Pattern</v>
      </c>
      <c r="E1004" s="6" t="b">
        <f t="shared" si="6"/>
        <v>0</v>
      </c>
      <c r="F1004" s="6"/>
      <c r="G1004" s="6" t="str">
        <f t="shared" si="7"/>
        <v>Coding Pattern</v>
      </c>
    </row>
    <row r="1005" spans="1:7" ht="14" x14ac:dyDescent="0.15">
      <c r="A1005" s="6" t="s">
        <v>1797</v>
      </c>
      <c r="B1005" s="8" t="s">
        <v>2117</v>
      </c>
      <c r="C1005" s="6" t="str">
        <f>'Ann1 - Step 3'!C1005</f>
        <v>Coding Style</v>
      </c>
      <c r="D1005" s="6" t="str">
        <f>'Ann2 - Step 3'!C1005</f>
        <v>Coding Style</v>
      </c>
      <c r="E1005" s="6" t="b">
        <f t="shared" si="6"/>
        <v>0</v>
      </c>
      <c r="F1005" s="6"/>
      <c r="G1005" s="6" t="str">
        <f t="shared" si="7"/>
        <v>Coding Style</v>
      </c>
    </row>
    <row r="1006" spans="1:7" ht="14" x14ac:dyDescent="0.15">
      <c r="A1006" s="6" t="s">
        <v>1797</v>
      </c>
      <c r="B1006" s="8" t="s">
        <v>2118</v>
      </c>
      <c r="C1006" s="6" t="str">
        <f>'Ann1 - Step 3'!C1006</f>
        <v>Coding Style</v>
      </c>
      <c r="D1006" s="6" t="str">
        <f>'Ann2 - Step 3'!C1006</f>
        <v>Coding Style</v>
      </c>
      <c r="E1006" s="6" t="b">
        <f t="shared" si="6"/>
        <v>0</v>
      </c>
      <c r="F1006" s="6"/>
      <c r="G1006" s="6" t="str">
        <f t="shared" si="7"/>
        <v>Coding Style</v>
      </c>
    </row>
    <row r="1007" spans="1:7" ht="14" x14ac:dyDescent="0.15">
      <c r="A1007" s="6" t="s">
        <v>1797</v>
      </c>
      <c r="B1007" s="8" t="s">
        <v>2119</v>
      </c>
      <c r="C1007" s="6" t="str">
        <f>'Ann1 - Step 3'!C1007</f>
        <v>Coding Style</v>
      </c>
      <c r="D1007" s="6" t="str">
        <f>'Ann2 - Step 3'!C1007</f>
        <v>Coding Style</v>
      </c>
      <c r="E1007" s="6" t="b">
        <f t="shared" si="6"/>
        <v>0</v>
      </c>
      <c r="F1007" s="6"/>
      <c r="G1007" s="6" t="str">
        <f t="shared" si="7"/>
        <v>Coding Style</v>
      </c>
    </row>
    <row r="1008" spans="1:7" ht="14" x14ac:dyDescent="0.15">
      <c r="A1008" s="31" t="s">
        <v>94</v>
      </c>
      <c r="B1008" s="8" t="s">
        <v>2230</v>
      </c>
      <c r="C1008" s="6" t="str">
        <f>'Ann1 - Step 3'!C1008</f>
        <v>Build &amp; Operation</v>
      </c>
      <c r="D1008" s="6" t="str">
        <f>'Ann2 - Step 3'!C1008</f>
        <v>Build &amp; Operation</v>
      </c>
      <c r="E1008" s="6" t="b">
        <f t="shared" si="6"/>
        <v>0</v>
      </c>
      <c r="F1008" s="6"/>
      <c r="G1008" s="6" t="str">
        <f t="shared" si="7"/>
        <v>Build &amp; Operation</v>
      </c>
    </row>
    <row r="1009" spans="1:7" ht="14" x14ac:dyDescent="0.15">
      <c r="A1009" s="31" t="s">
        <v>94</v>
      </c>
      <c r="B1009" s="8" t="s">
        <v>2231</v>
      </c>
      <c r="C1009" s="6" t="str">
        <f>'Ann1 - Step 3'!C1009</f>
        <v>Coding Style</v>
      </c>
      <c r="D1009" s="6" t="str">
        <f>'Ann2 - Step 3'!C1009</f>
        <v>Coding Style</v>
      </c>
      <c r="E1009" s="6" t="b">
        <f t="shared" si="6"/>
        <v>0</v>
      </c>
      <c r="F1009" s="6"/>
      <c r="G1009" s="6" t="str">
        <f t="shared" si="7"/>
        <v>Coding Style</v>
      </c>
    </row>
    <row r="1010" spans="1:7" ht="14" x14ac:dyDescent="0.15">
      <c r="A1010" s="6" t="s">
        <v>94</v>
      </c>
      <c r="B1010" s="8" t="s">
        <v>2232</v>
      </c>
      <c r="C1010" s="6" t="str">
        <f>'Ann1 - Step 3'!C1010</f>
        <v>Coding Style</v>
      </c>
      <c r="D1010" s="6" t="str">
        <f>'Ann2 - Step 3'!C1010</f>
        <v>Coding Pattern</v>
      </c>
      <c r="E1010" s="6" t="b">
        <f t="shared" si="6"/>
        <v>1</v>
      </c>
      <c r="F1010" s="30" t="s">
        <v>30</v>
      </c>
      <c r="G1010" s="6" t="str">
        <f t="shared" si="7"/>
        <v>Coding Pattern</v>
      </c>
    </row>
    <row r="1011" spans="1:7" ht="14" x14ac:dyDescent="0.15">
      <c r="A1011" s="6" t="s">
        <v>1120</v>
      </c>
      <c r="B1011" s="8" t="s">
        <v>2233</v>
      </c>
      <c r="C1011" s="6" t="str">
        <f>'Ann1 - Step 3'!C1011</f>
        <v>Commit&amp;PR rule</v>
      </c>
      <c r="D1011" s="6" t="str">
        <f>'Ann2 - Step 3'!C1011</f>
        <v>Commit&amp;PR rule</v>
      </c>
      <c r="E1011" s="6" t="b">
        <f t="shared" si="6"/>
        <v>0</v>
      </c>
      <c r="F1011" s="6"/>
      <c r="G1011" s="6" t="str">
        <f t="shared" si="7"/>
        <v>Commit&amp;PR rule</v>
      </c>
    </row>
    <row r="1012" spans="1:7" ht="14" x14ac:dyDescent="0.15">
      <c r="A1012" s="31" t="s">
        <v>1120</v>
      </c>
      <c r="B1012" s="8" t="s">
        <v>2234</v>
      </c>
      <c r="C1012" s="6" t="str">
        <f>'Ann1 - Step 3'!C1012</f>
        <v>Documentation</v>
      </c>
      <c r="D1012" s="6" t="str">
        <f>'Ann2 - Step 3'!C1012</f>
        <v>Coding Pattern</v>
      </c>
      <c r="E1012" s="6" t="b">
        <f t="shared" si="6"/>
        <v>1</v>
      </c>
      <c r="F1012" s="30" t="s">
        <v>77</v>
      </c>
      <c r="G1012" s="6" t="str">
        <f t="shared" si="7"/>
        <v>Writing Style Preference</v>
      </c>
    </row>
    <row r="1013" spans="1:7" ht="14" x14ac:dyDescent="0.15">
      <c r="A1013" s="6" t="s">
        <v>1120</v>
      </c>
      <c r="B1013" s="8" t="s">
        <v>2235</v>
      </c>
      <c r="C1013" s="6" t="str">
        <f>'Ann1 - Step 3'!C1013</f>
        <v>Documentation</v>
      </c>
      <c r="D1013" s="6" t="str">
        <f>'Ann2 - Step 3'!C1013</f>
        <v>Coding Pattern</v>
      </c>
      <c r="E1013" s="6" t="b">
        <f t="shared" si="6"/>
        <v>1</v>
      </c>
      <c r="F1013" s="30" t="s">
        <v>23</v>
      </c>
      <c r="G1013" s="6" t="str">
        <f t="shared" si="7"/>
        <v>Documentation</v>
      </c>
    </row>
    <row r="1014" spans="1:7" ht="14" x14ac:dyDescent="0.15">
      <c r="A1014" s="6" t="s">
        <v>1127</v>
      </c>
      <c r="B1014" s="8" t="s">
        <v>2236</v>
      </c>
      <c r="C1014" s="6" t="str">
        <f>'Ann1 - Step 3'!C1014</f>
        <v>Writing Style Preference</v>
      </c>
      <c r="D1014" s="6" t="str">
        <f>'Ann2 - Step 3'!C1014</f>
        <v>Writing Style Preference</v>
      </c>
      <c r="E1014" s="6" t="b">
        <f t="shared" si="6"/>
        <v>0</v>
      </c>
      <c r="F1014" s="6"/>
      <c r="G1014" s="6" t="str">
        <f t="shared" si="7"/>
        <v>Writing Style Preference</v>
      </c>
    </row>
    <row r="1015" spans="1:7" ht="14" x14ac:dyDescent="0.15">
      <c r="A1015" s="6" t="s">
        <v>1127</v>
      </c>
      <c r="B1015" s="8" t="s">
        <v>2237</v>
      </c>
      <c r="C1015" s="6" t="str">
        <f>'Ann1 - Step 3'!C1015</f>
        <v>Security</v>
      </c>
      <c r="D1015" s="6" t="str">
        <f>'Ann2 - Step 3'!C1015</f>
        <v>Security</v>
      </c>
      <c r="E1015" s="6" t="b">
        <f t="shared" si="6"/>
        <v>0</v>
      </c>
      <c r="F1015" s="6"/>
      <c r="G1015" s="6" t="str">
        <f t="shared" si="7"/>
        <v>Security</v>
      </c>
    </row>
    <row r="1016" spans="1:7" ht="14" x14ac:dyDescent="0.15">
      <c r="A1016" s="6" t="s">
        <v>1127</v>
      </c>
      <c r="B1016" s="8" t="s">
        <v>2238</v>
      </c>
      <c r="C1016" s="6" t="str">
        <f>'Ann1 - Step 3'!C1016</f>
        <v>Coding Pattern</v>
      </c>
      <c r="D1016" s="6" t="str">
        <f>'Ann2 - Step 3'!C1016</f>
        <v>Coding Pattern</v>
      </c>
      <c r="E1016" s="6" t="b">
        <f t="shared" si="6"/>
        <v>0</v>
      </c>
      <c r="F1016" s="6"/>
      <c r="G1016" s="6" t="str">
        <f t="shared" si="7"/>
        <v>Coding Pattern</v>
      </c>
    </row>
    <row r="1017" spans="1:7" ht="14" x14ac:dyDescent="0.15">
      <c r="A1017" s="6" t="s">
        <v>1127</v>
      </c>
      <c r="B1017" s="8" t="s">
        <v>2237</v>
      </c>
      <c r="C1017" s="6" t="str">
        <f>'Ann1 - Step 3'!C1017</f>
        <v>Security</v>
      </c>
      <c r="D1017" s="6" t="str">
        <f>'Ann2 - Step 3'!C1017</f>
        <v>Security</v>
      </c>
      <c r="E1017" s="6" t="b">
        <f t="shared" si="6"/>
        <v>0</v>
      </c>
      <c r="F1017" s="6"/>
      <c r="G1017" s="6" t="str">
        <f t="shared" si="7"/>
        <v>Security</v>
      </c>
    </row>
    <row r="1018" spans="1:7" ht="14" x14ac:dyDescent="0.15">
      <c r="A1018" s="6" t="s">
        <v>714</v>
      </c>
      <c r="B1018" s="8" t="s">
        <v>2239</v>
      </c>
      <c r="C1018" s="6" t="str">
        <f>'Ann1 - Step 3'!C1018</f>
        <v>Build &amp; Operation</v>
      </c>
      <c r="D1018" s="6" t="str">
        <f>'Ann2 - Step 3'!C1018</f>
        <v>Build &amp; Operation</v>
      </c>
      <c r="E1018" s="6" t="b">
        <f t="shared" si="6"/>
        <v>0</v>
      </c>
      <c r="F1018" s="6"/>
      <c r="G1018" s="6" t="str">
        <f t="shared" si="7"/>
        <v>Build &amp; Operation</v>
      </c>
    </row>
    <row r="1019" spans="1:7" ht="14" x14ac:dyDescent="0.15">
      <c r="A1019" s="6" t="s">
        <v>714</v>
      </c>
      <c r="B1019" s="8" t="s">
        <v>2240</v>
      </c>
      <c r="C1019" s="6" t="str">
        <f>'Ann1 - Step 3'!C1019</f>
        <v>Commit&amp;PR rule</v>
      </c>
      <c r="D1019" s="6" t="str">
        <f>'Ann2 - Step 3'!C1019</f>
        <v>Commit&amp;PR rule</v>
      </c>
      <c r="E1019" s="6" t="b">
        <f t="shared" si="6"/>
        <v>0</v>
      </c>
      <c r="F1019" s="6"/>
      <c r="G1019" s="6" t="str">
        <f t="shared" si="7"/>
        <v>Commit&amp;PR rule</v>
      </c>
    </row>
    <row r="1020" spans="1:7" ht="14" x14ac:dyDescent="0.15">
      <c r="A1020" s="6" t="s">
        <v>714</v>
      </c>
      <c r="B1020" s="8" t="s">
        <v>2241</v>
      </c>
      <c r="C1020" s="6" t="str">
        <f>'Ann1 - Step 3'!C1020</f>
        <v>Commit&amp;PR rule</v>
      </c>
      <c r="D1020" s="6" t="str">
        <f>'Ann2 - Step 3'!C1020</f>
        <v>Commit&amp;PR rule</v>
      </c>
      <c r="E1020" s="6" t="b">
        <f t="shared" si="6"/>
        <v>0</v>
      </c>
      <c r="F1020" s="6"/>
      <c r="G1020" s="6" t="str">
        <f t="shared" si="7"/>
        <v>Commit&amp;PR rule</v>
      </c>
    </row>
    <row r="1021" spans="1:7" ht="14" x14ac:dyDescent="0.15">
      <c r="A1021" s="6" t="s">
        <v>2244</v>
      </c>
      <c r="B1021" s="8" t="s">
        <v>2245</v>
      </c>
      <c r="C1021" s="6" t="str">
        <f>'Ann1 - Step 3'!C1021</f>
        <v>Documentation</v>
      </c>
      <c r="D1021" s="6" t="str">
        <f>'Ann2 - Step 3'!C1021</f>
        <v>Documentation</v>
      </c>
      <c r="E1021" s="6" t="b">
        <f t="shared" si="6"/>
        <v>0</v>
      </c>
      <c r="F1021" s="6"/>
      <c r="G1021" s="6" t="str">
        <f t="shared" si="7"/>
        <v>Documentation</v>
      </c>
    </row>
    <row r="1022" spans="1:7" ht="14" x14ac:dyDescent="0.15">
      <c r="A1022" s="6" t="s">
        <v>417</v>
      </c>
      <c r="B1022" s="8" t="s">
        <v>2246</v>
      </c>
      <c r="C1022" s="6" t="str">
        <f>'Ann1 - Step 3'!C1022</f>
        <v>Security</v>
      </c>
      <c r="D1022" s="6" t="str">
        <f>'Ann2 - Step 3'!C1022</f>
        <v>Security</v>
      </c>
      <c r="E1022" s="6" t="b">
        <f t="shared" ref="E1022:E1276" si="8">IF(C1022=D1022, FALSE, TRUE)</f>
        <v>0</v>
      </c>
      <c r="F1022" s="6"/>
      <c r="G1022" s="6" t="str">
        <f t="shared" ref="G1022:G1276" si="9">IF(E1022=TRUE,F1022,D1022)</f>
        <v>Security</v>
      </c>
    </row>
    <row r="1023" spans="1:7" ht="14" x14ac:dyDescent="0.15">
      <c r="A1023" s="6" t="s">
        <v>429</v>
      </c>
      <c r="B1023" s="8" t="s">
        <v>2247</v>
      </c>
      <c r="C1023" s="6" t="str">
        <f>'Ann1 - Step 3'!C1023</f>
        <v>Build &amp; Operation</v>
      </c>
      <c r="D1023" s="6" t="str">
        <f>'Ann2 - Step 3'!C1023</f>
        <v>Build &amp; Operation</v>
      </c>
      <c r="E1023" s="6" t="b">
        <f t="shared" si="8"/>
        <v>0</v>
      </c>
      <c r="F1023" s="6"/>
      <c r="G1023" s="6" t="str">
        <f t="shared" si="9"/>
        <v>Build &amp; Operation</v>
      </c>
    </row>
    <row r="1024" spans="1:7" ht="14" x14ac:dyDescent="0.15">
      <c r="A1024" s="6" t="s">
        <v>429</v>
      </c>
      <c r="B1024" s="8" t="s">
        <v>2248</v>
      </c>
      <c r="C1024" s="6" t="str">
        <f>'Ann1 - Step 3'!C1024</f>
        <v>Build &amp; Operation</v>
      </c>
      <c r="D1024" s="6" t="str">
        <f>'Ann2 - Step 3'!C1024</f>
        <v>Build &amp; Operation</v>
      </c>
      <c r="E1024" s="6" t="b">
        <f t="shared" si="8"/>
        <v>0</v>
      </c>
      <c r="F1024" s="6"/>
      <c r="G1024" s="6" t="str">
        <f t="shared" si="9"/>
        <v>Build &amp; Operation</v>
      </c>
    </row>
    <row r="1025" spans="1:7" ht="14" x14ac:dyDescent="0.15">
      <c r="A1025" s="6" t="s">
        <v>429</v>
      </c>
      <c r="B1025" s="8" t="s">
        <v>2249</v>
      </c>
      <c r="C1025" s="6" t="str">
        <f>'Ann1 - Step 3'!C1025</f>
        <v>Coding Pattern</v>
      </c>
      <c r="D1025" s="6" t="str">
        <f>'Ann2 - Step 3'!C1025</f>
        <v>Coding Pattern</v>
      </c>
      <c r="E1025" s="6" t="b">
        <f t="shared" si="8"/>
        <v>0</v>
      </c>
      <c r="F1025" s="6"/>
      <c r="G1025" s="6" t="str">
        <f t="shared" si="9"/>
        <v>Coding Pattern</v>
      </c>
    </row>
    <row r="1026" spans="1:7" ht="14" x14ac:dyDescent="0.15">
      <c r="A1026" s="6" t="s">
        <v>1155</v>
      </c>
      <c r="B1026" s="8" t="s">
        <v>2142</v>
      </c>
      <c r="C1026" s="6" t="str">
        <f>'Ann1 - Step 3'!C1026</f>
        <v>Coding Pattern</v>
      </c>
      <c r="D1026" s="6" t="str">
        <f>'Ann2 - Step 3'!C1026</f>
        <v>Coding Pattern</v>
      </c>
      <c r="E1026" s="6" t="b">
        <f t="shared" si="8"/>
        <v>0</v>
      </c>
      <c r="F1026" s="6"/>
      <c r="G1026" s="6" t="str">
        <f t="shared" si="9"/>
        <v>Coding Pattern</v>
      </c>
    </row>
    <row r="1027" spans="1:7" ht="28" x14ac:dyDescent="0.15">
      <c r="A1027" s="6" t="s">
        <v>1155</v>
      </c>
      <c r="B1027" s="8" t="s">
        <v>2143</v>
      </c>
      <c r="C1027" s="6" t="str">
        <f>'Ann1 - Step 3'!C1027</f>
        <v>Build &amp; Operation</v>
      </c>
      <c r="D1027" s="6" t="str">
        <f>'Ann2 - Step 3'!C1027</f>
        <v>Commit&amp;PR rule</v>
      </c>
      <c r="E1027" s="6" t="b">
        <f t="shared" si="8"/>
        <v>1</v>
      </c>
      <c r="F1027" s="30" t="s">
        <v>12</v>
      </c>
      <c r="G1027" s="6" t="str">
        <f t="shared" si="9"/>
        <v>Commit&amp;PR rule</v>
      </c>
    </row>
    <row r="1028" spans="1:7" ht="14" x14ac:dyDescent="0.15">
      <c r="A1028" s="6" t="s">
        <v>1155</v>
      </c>
      <c r="B1028" s="8" t="s">
        <v>2144</v>
      </c>
      <c r="C1028" s="6" t="str">
        <f>'Ann1 - Step 3'!C1028</f>
        <v>Coding Pattern</v>
      </c>
      <c r="D1028" s="6" t="str">
        <f>'Ann2 - Step 3'!C1028</f>
        <v>Coding Pattern</v>
      </c>
      <c r="E1028" s="6" t="b">
        <f t="shared" si="8"/>
        <v>0</v>
      </c>
      <c r="F1028" s="6"/>
      <c r="G1028" s="6" t="str">
        <f t="shared" si="9"/>
        <v>Coding Pattern</v>
      </c>
    </row>
    <row r="1029" spans="1:7" ht="14" x14ac:dyDescent="0.15">
      <c r="A1029" s="6" t="s">
        <v>1155</v>
      </c>
      <c r="B1029" s="8" t="s">
        <v>2145</v>
      </c>
      <c r="C1029" s="6" t="str">
        <f>'Ann1 - Step 3'!C1029</f>
        <v>Coding Pattern</v>
      </c>
      <c r="D1029" s="6" t="str">
        <f>'Ann2 - Step 3'!C1029</f>
        <v>Coding Pattern</v>
      </c>
      <c r="E1029" s="6" t="b">
        <f t="shared" si="8"/>
        <v>0</v>
      </c>
      <c r="F1029" s="6"/>
      <c r="G1029" s="6" t="str">
        <f t="shared" si="9"/>
        <v>Coding Pattern</v>
      </c>
    </row>
    <row r="1030" spans="1:7" ht="14" x14ac:dyDescent="0.15">
      <c r="A1030" s="6" t="s">
        <v>1155</v>
      </c>
      <c r="B1030" s="8" t="s">
        <v>2146</v>
      </c>
      <c r="C1030" s="6" t="str">
        <f>'Ann1 - Step 3'!C1030</f>
        <v>Coding Pattern</v>
      </c>
      <c r="D1030" s="6" t="str">
        <f>'Ann2 - Step 3'!C1030</f>
        <v>Coding Pattern</v>
      </c>
      <c r="E1030" s="6" t="b">
        <f t="shared" si="8"/>
        <v>0</v>
      </c>
      <c r="F1030" s="6"/>
      <c r="G1030" s="6" t="str">
        <f t="shared" si="9"/>
        <v>Coding Pattern</v>
      </c>
    </row>
    <row r="1031" spans="1:7" ht="14" x14ac:dyDescent="0.15">
      <c r="A1031" s="6" t="s">
        <v>1155</v>
      </c>
      <c r="B1031" s="8" t="s">
        <v>2147</v>
      </c>
      <c r="C1031" s="6" t="str">
        <f>'Ann1 - Step 3'!C1031</f>
        <v>Testing</v>
      </c>
      <c r="D1031" s="6" t="str">
        <f>'Ann2 - Step 3'!C1031</f>
        <v>Testing</v>
      </c>
      <c r="E1031" s="6" t="b">
        <f t="shared" si="8"/>
        <v>0</v>
      </c>
      <c r="F1031" s="6"/>
      <c r="G1031" s="6" t="str">
        <f t="shared" si="9"/>
        <v>Testing</v>
      </c>
    </row>
    <row r="1032" spans="1:7" ht="14" x14ac:dyDescent="0.15">
      <c r="A1032" s="6" t="s">
        <v>1161</v>
      </c>
      <c r="B1032" s="8" t="s">
        <v>2250</v>
      </c>
      <c r="C1032" s="6" t="str">
        <f>'Ann1 - Step 3'!C1032</f>
        <v>Security</v>
      </c>
      <c r="D1032" s="6" t="str">
        <f>'Ann2 - Step 3'!C1032</f>
        <v>Security</v>
      </c>
      <c r="E1032" s="6" t="b">
        <f t="shared" si="8"/>
        <v>0</v>
      </c>
      <c r="F1032" s="6"/>
      <c r="G1032" s="6" t="str">
        <f t="shared" si="9"/>
        <v>Security</v>
      </c>
    </row>
    <row r="1033" spans="1:7" ht="14" x14ac:dyDescent="0.15">
      <c r="A1033" s="6" t="s">
        <v>443</v>
      </c>
      <c r="B1033" s="8" t="s">
        <v>2251</v>
      </c>
      <c r="C1033" s="6" t="str">
        <f>'Ann1 - Step 3'!C1033</f>
        <v>Build &amp; Operation</v>
      </c>
      <c r="D1033" s="6" t="str">
        <f>'Ann2 - Step 3'!C1033</f>
        <v>Build &amp; Operation</v>
      </c>
      <c r="E1033" s="6" t="b">
        <f t="shared" si="8"/>
        <v>0</v>
      </c>
      <c r="F1033" s="6"/>
      <c r="G1033" s="6" t="str">
        <f t="shared" si="9"/>
        <v>Build &amp; Operation</v>
      </c>
    </row>
    <row r="1034" spans="1:7" ht="14" x14ac:dyDescent="0.15">
      <c r="A1034" s="6" t="s">
        <v>443</v>
      </c>
      <c r="B1034" s="8" t="s">
        <v>2252</v>
      </c>
      <c r="C1034" s="6" t="str">
        <f>'Ann1 - Step 3'!C1034</f>
        <v>Build &amp; Operation</v>
      </c>
      <c r="D1034" s="6" t="str">
        <f>'Ann2 - Step 3'!C1034</f>
        <v>Build &amp; Operation</v>
      </c>
      <c r="E1034" s="6" t="b">
        <f t="shared" si="8"/>
        <v>0</v>
      </c>
      <c r="F1034" s="6"/>
      <c r="G1034" s="6" t="str">
        <f t="shared" si="9"/>
        <v>Build &amp; Operation</v>
      </c>
    </row>
    <row r="1035" spans="1:7" ht="14" x14ac:dyDescent="0.15">
      <c r="A1035" s="6" t="s">
        <v>443</v>
      </c>
      <c r="B1035" s="8" t="s">
        <v>2253</v>
      </c>
      <c r="C1035" s="6" t="str">
        <f>'Ann1 - Step 3'!C1035</f>
        <v>Build &amp; Operation</v>
      </c>
      <c r="D1035" s="6" t="str">
        <f>'Ann2 - Step 3'!C1035</f>
        <v>Build &amp; Operation</v>
      </c>
      <c r="E1035" s="6" t="b">
        <f t="shared" si="8"/>
        <v>0</v>
      </c>
      <c r="F1035" s="6"/>
      <c r="G1035" s="6" t="str">
        <f t="shared" si="9"/>
        <v>Build &amp; Operation</v>
      </c>
    </row>
    <row r="1036" spans="1:7" ht="14" x14ac:dyDescent="0.15">
      <c r="A1036" s="6" t="s">
        <v>443</v>
      </c>
      <c r="B1036" s="8" t="s">
        <v>2254</v>
      </c>
      <c r="C1036" s="6" t="str">
        <f>'Ann1 - Step 3'!C1036</f>
        <v>Build &amp; Operation</v>
      </c>
      <c r="D1036" s="6" t="str">
        <f>'Ann2 - Step 3'!C1036</f>
        <v>Build &amp; Operation</v>
      </c>
      <c r="E1036" s="6" t="b">
        <f t="shared" si="8"/>
        <v>0</v>
      </c>
      <c r="F1036" s="6"/>
      <c r="G1036" s="6" t="str">
        <f t="shared" si="9"/>
        <v>Build &amp; Operation</v>
      </c>
    </row>
    <row r="1037" spans="1:7" ht="14" x14ac:dyDescent="0.15">
      <c r="A1037" s="6" t="s">
        <v>447</v>
      </c>
      <c r="B1037" s="8" t="s">
        <v>2255</v>
      </c>
      <c r="C1037" s="6" t="str">
        <f>'Ann1 - Step 3'!C1037</f>
        <v>Coding Pattern</v>
      </c>
      <c r="D1037" s="6" t="str">
        <f>'Ann2 - Step 3'!C1037</f>
        <v>Coding Pattern</v>
      </c>
      <c r="E1037" s="6" t="b">
        <f t="shared" si="8"/>
        <v>0</v>
      </c>
      <c r="F1037" s="6"/>
      <c r="G1037" s="6" t="str">
        <f t="shared" si="9"/>
        <v>Coding Pattern</v>
      </c>
    </row>
    <row r="1038" spans="1:7" ht="14" x14ac:dyDescent="0.15">
      <c r="A1038" s="6" t="s">
        <v>456</v>
      </c>
      <c r="B1038" s="8" t="s">
        <v>2255</v>
      </c>
      <c r="C1038" s="6" t="str">
        <f>'Ann1 - Step 3'!C1038</f>
        <v>Coding Pattern</v>
      </c>
      <c r="D1038" s="6" t="str">
        <f>'Ann2 - Step 3'!C1038</f>
        <v>Coding Pattern</v>
      </c>
      <c r="E1038" s="6" t="b">
        <f t="shared" si="8"/>
        <v>0</v>
      </c>
      <c r="F1038" s="6"/>
      <c r="G1038" s="6" t="str">
        <f t="shared" si="9"/>
        <v>Coding Pattern</v>
      </c>
    </row>
    <row r="1039" spans="1:7" ht="14" x14ac:dyDescent="0.15">
      <c r="A1039" s="6" t="s">
        <v>628</v>
      </c>
      <c r="B1039" s="8" t="s">
        <v>2256</v>
      </c>
      <c r="C1039" s="6" t="str">
        <f>'Ann1 - Step 3'!C1039</f>
        <v>Security</v>
      </c>
      <c r="D1039" s="6" t="str">
        <f>'Ann2 - Step 3'!C1039</f>
        <v>Security</v>
      </c>
      <c r="E1039" s="6" t="b">
        <f t="shared" si="8"/>
        <v>0</v>
      </c>
      <c r="F1039" s="6"/>
      <c r="G1039" s="6" t="str">
        <f t="shared" si="9"/>
        <v>Security</v>
      </c>
    </row>
    <row r="1040" spans="1:7" ht="28" x14ac:dyDescent="0.15">
      <c r="A1040" s="6" t="s">
        <v>463</v>
      </c>
      <c r="B1040" s="8" t="s">
        <v>2257</v>
      </c>
      <c r="C1040" s="6" t="str">
        <f>'Ann1 - Step 3'!C1040</f>
        <v>Coding Pattern</v>
      </c>
      <c r="D1040" s="6" t="str">
        <f>'Ann2 - Step 3'!C1040</f>
        <v>Coding Pattern</v>
      </c>
      <c r="E1040" s="6" t="b">
        <f t="shared" si="8"/>
        <v>0</v>
      </c>
      <c r="F1040" s="6"/>
      <c r="G1040" s="6" t="str">
        <f t="shared" si="9"/>
        <v>Coding Pattern</v>
      </c>
    </row>
    <row r="1041" spans="1:7" ht="14" x14ac:dyDescent="0.15">
      <c r="A1041" s="6" t="s">
        <v>463</v>
      </c>
      <c r="B1041" s="8" t="s">
        <v>2175</v>
      </c>
      <c r="C1041" s="6" t="str">
        <f>'Ann1 - Step 3'!C1041</f>
        <v>Security</v>
      </c>
      <c r="D1041" s="6" t="str">
        <f>'Ann2 - Step 3'!C1041</f>
        <v>Security</v>
      </c>
      <c r="E1041" s="6" t="b">
        <f t="shared" si="8"/>
        <v>0</v>
      </c>
      <c r="F1041" s="6"/>
      <c r="G1041" s="6" t="str">
        <f t="shared" si="9"/>
        <v>Security</v>
      </c>
    </row>
    <row r="1042" spans="1:7" ht="14" x14ac:dyDescent="0.15">
      <c r="A1042" s="6" t="s">
        <v>463</v>
      </c>
      <c r="B1042" s="8" t="s">
        <v>2176</v>
      </c>
      <c r="C1042" s="6" t="str">
        <f>'Ann1 - Step 3'!C1042</f>
        <v>Maintainability</v>
      </c>
      <c r="D1042" s="6" t="str">
        <f>'Ann2 - Step 3'!C1042</f>
        <v>Task Execution</v>
      </c>
      <c r="E1042" s="6" t="b">
        <f t="shared" si="8"/>
        <v>1</v>
      </c>
      <c r="F1042" s="30" t="s">
        <v>18</v>
      </c>
      <c r="G1042" s="6" t="str">
        <f t="shared" si="9"/>
        <v>Task Execution</v>
      </c>
    </row>
    <row r="1043" spans="1:7" ht="14" x14ac:dyDescent="0.15">
      <c r="A1043" s="6" t="s">
        <v>2260</v>
      </c>
      <c r="B1043" s="8" t="s">
        <v>2261</v>
      </c>
      <c r="C1043" s="6" t="str">
        <f>'Ann1 - Step 3'!C1043</f>
        <v>NOT_ENOUGH_CONTEXT</v>
      </c>
      <c r="D1043" s="6" t="str">
        <f>'Ann2 - Step 3'!C1043</f>
        <v>NOT_ENOUGH_CONTEXT</v>
      </c>
      <c r="E1043" s="6" t="b">
        <f t="shared" si="8"/>
        <v>0</v>
      </c>
      <c r="F1043" s="6"/>
      <c r="G1043" s="6" t="str">
        <f t="shared" si="9"/>
        <v>NOT_ENOUGH_CONTEXT</v>
      </c>
    </row>
    <row r="1044" spans="1:7" ht="14" x14ac:dyDescent="0.15">
      <c r="A1044" s="6" t="s">
        <v>2260</v>
      </c>
      <c r="B1044" s="8" t="s">
        <v>2262</v>
      </c>
      <c r="C1044" s="6" t="str">
        <f>'Ann1 - Step 3'!C1044</f>
        <v>Build &amp; Operation</v>
      </c>
      <c r="D1044" s="6" t="str">
        <f>'Ann2 - Step 3'!C1044</f>
        <v>Build &amp; Operation</v>
      </c>
      <c r="E1044" s="6" t="b">
        <f t="shared" si="8"/>
        <v>0</v>
      </c>
      <c r="F1044" s="6"/>
      <c r="G1044" s="6" t="str">
        <f t="shared" si="9"/>
        <v>Build &amp; Operation</v>
      </c>
    </row>
    <row r="1045" spans="1:7" ht="14" x14ac:dyDescent="0.15">
      <c r="A1045" s="6" t="s">
        <v>2260</v>
      </c>
      <c r="B1045" s="8" t="s">
        <v>2263</v>
      </c>
      <c r="C1045" s="6" t="str">
        <f>'Ann1 - Step 3'!C1045</f>
        <v>Testing</v>
      </c>
      <c r="D1045" s="6" t="str">
        <f>'Ann2 - Step 3'!C1045</f>
        <v>Testing</v>
      </c>
      <c r="E1045" s="6" t="b">
        <f t="shared" si="8"/>
        <v>0</v>
      </c>
      <c r="F1045" s="6"/>
      <c r="G1045" s="6" t="str">
        <f t="shared" si="9"/>
        <v>Testing</v>
      </c>
    </row>
    <row r="1046" spans="1:7" ht="14" x14ac:dyDescent="0.15">
      <c r="A1046" s="6" t="s">
        <v>2260</v>
      </c>
      <c r="B1046" s="8" t="s">
        <v>2264</v>
      </c>
      <c r="C1046" s="6" t="str">
        <f>'Ann1 - Step 3'!C1046</f>
        <v>Build &amp; Operation</v>
      </c>
      <c r="D1046" s="6" t="str">
        <f>'Ann2 - Step 3'!C1046</f>
        <v>Build &amp; Operation</v>
      </c>
      <c r="E1046" s="6" t="b">
        <f t="shared" si="8"/>
        <v>0</v>
      </c>
      <c r="F1046" s="6"/>
      <c r="G1046" s="6" t="str">
        <f t="shared" si="9"/>
        <v>Build &amp; Operation</v>
      </c>
    </row>
    <row r="1047" spans="1:7" ht="14" x14ac:dyDescent="0.15">
      <c r="A1047" s="6" t="s">
        <v>2260</v>
      </c>
      <c r="B1047" s="8" t="s">
        <v>2265</v>
      </c>
      <c r="C1047" s="6" t="str">
        <f>'Ann1 - Step 3'!C1047</f>
        <v>Build &amp; Operation</v>
      </c>
      <c r="D1047" s="6" t="str">
        <f>'Ann2 - Step 3'!C1047</f>
        <v>Build &amp; Operation</v>
      </c>
      <c r="E1047" s="6" t="b">
        <f t="shared" si="8"/>
        <v>0</v>
      </c>
      <c r="F1047" s="6"/>
      <c r="G1047" s="6" t="str">
        <f t="shared" si="9"/>
        <v>Build &amp; Operation</v>
      </c>
    </row>
    <row r="1048" spans="1:7" ht="14" x14ac:dyDescent="0.15">
      <c r="A1048" s="6" t="s">
        <v>2260</v>
      </c>
      <c r="B1048" s="8" t="s">
        <v>2266</v>
      </c>
      <c r="C1048" s="6" t="str">
        <f>'Ann1 - Step 3'!C1048</f>
        <v>Build &amp; Operation</v>
      </c>
      <c r="D1048" s="6" t="str">
        <f>'Ann2 - Step 3'!C1048</f>
        <v>Build &amp; Operation</v>
      </c>
      <c r="E1048" s="6" t="b">
        <f t="shared" si="8"/>
        <v>0</v>
      </c>
      <c r="F1048" s="6"/>
      <c r="G1048" s="6" t="str">
        <f t="shared" si="9"/>
        <v>Build &amp; Operation</v>
      </c>
    </row>
    <row r="1049" spans="1:7" ht="14" x14ac:dyDescent="0.15">
      <c r="A1049" s="6" t="s">
        <v>2260</v>
      </c>
      <c r="B1049" s="8" t="s">
        <v>2267</v>
      </c>
      <c r="C1049" s="6" t="str">
        <f>'Ann1 - Step 3'!C1049</f>
        <v>Build &amp; Operation</v>
      </c>
      <c r="D1049" s="6" t="str">
        <f>'Ann2 - Step 3'!C1049</f>
        <v>Build &amp; Operation</v>
      </c>
      <c r="E1049" s="6" t="b">
        <f t="shared" si="8"/>
        <v>0</v>
      </c>
      <c r="F1049" s="6"/>
      <c r="G1049" s="6" t="str">
        <f t="shared" si="9"/>
        <v>Build &amp; Operation</v>
      </c>
    </row>
    <row r="1050" spans="1:7" ht="14" x14ac:dyDescent="0.15">
      <c r="A1050" s="6" t="s">
        <v>2269</v>
      </c>
      <c r="B1050" s="8" t="s">
        <v>2270</v>
      </c>
      <c r="C1050" s="6" t="str">
        <f>'Ann1 - Step 3'!C1050</f>
        <v>Build &amp; Operation</v>
      </c>
      <c r="D1050" s="6" t="str">
        <f>'Ann2 - Step 3'!C1050</f>
        <v>Build &amp; Operation</v>
      </c>
      <c r="E1050" s="6" t="b">
        <f t="shared" si="8"/>
        <v>0</v>
      </c>
      <c r="F1050" s="6"/>
      <c r="G1050" s="6" t="str">
        <f t="shared" si="9"/>
        <v>Build &amp; Operation</v>
      </c>
    </row>
    <row r="1051" spans="1:7" ht="14" x14ac:dyDescent="0.15">
      <c r="A1051" s="6" t="s">
        <v>2269</v>
      </c>
      <c r="B1051" s="8" t="s">
        <v>2271</v>
      </c>
      <c r="C1051" s="6" t="str">
        <f>'Ann1 - Step 3'!C1051</f>
        <v>Build &amp; Operation</v>
      </c>
      <c r="D1051" s="6" t="str">
        <f>'Ann2 - Step 3'!C1051</f>
        <v>Build &amp; Operation</v>
      </c>
      <c r="E1051" s="6" t="b">
        <f t="shared" si="8"/>
        <v>0</v>
      </c>
      <c r="F1051" s="6"/>
      <c r="G1051" s="6" t="str">
        <f t="shared" si="9"/>
        <v>Build &amp; Operation</v>
      </c>
    </row>
    <row r="1052" spans="1:7" ht="14" x14ac:dyDescent="0.15">
      <c r="A1052" s="31" t="s">
        <v>2269</v>
      </c>
      <c r="B1052" s="8" t="s">
        <v>2270</v>
      </c>
      <c r="C1052" s="6" t="str">
        <f>'Ann1 - Step 3'!C1052</f>
        <v>Build &amp; Operation</v>
      </c>
      <c r="D1052" s="6" t="str">
        <f>'Ann2 - Step 3'!C1052</f>
        <v>Build &amp; Operation</v>
      </c>
      <c r="E1052" s="6" t="b">
        <f t="shared" si="8"/>
        <v>0</v>
      </c>
      <c r="F1052" s="6"/>
      <c r="G1052" s="6" t="str">
        <f t="shared" si="9"/>
        <v>Build &amp; Operation</v>
      </c>
    </row>
    <row r="1053" spans="1:7" ht="14" x14ac:dyDescent="0.15">
      <c r="A1053" s="6" t="s">
        <v>2269</v>
      </c>
      <c r="B1053" s="8" t="s">
        <v>2272</v>
      </c>
      <c r="C1053" s="6" t="str">
        <f>'Ann1 - Step 3'!C1053</f>
        <v>Build &amp; Operation</v>
      </c>
      <c r="D1053" s="6" t="str">
        <f>'Ann2 - Step 3'!C1053</f>
        <v>Build &amp; Operation</v>
      </c>
      <c r="E1053" s="6" t="b">
        <f t="shared" si="8"/>
        <v>0</v>
      </c>
      <c r="F1053" s="6"/>
      <c r="G1053" s="6" t="str">
        <f t="shared" si="9"/>
        <v>Build &amp; Operation</v>
      </c>
    </row>
    <row r="1054" spans="1:7" ht="14" x14ac:dyDescent="0.15">
      <c r="A1054" s="6" t="s">
        <v>2269</v>
      </c>
      <c r="B1054" s="8" t="s">
        <v>2273</v>
      </c>
      <c r="C1054" s="6" t="str">
        <f>'Ann1 - Step 3'!C1054</f>
        <v>Build &amp; Operation</v>
      </c>
      <c r="D1054" s="6" t="str">
        <f>'Ann2 - Step 3'!C1054</f>
        <v>Build &amp; Operation</v>
      </c>
      <c r="E1054" s="6" t="b">
        <f t="shared" si="8"/>
        <v>0</v>
      </c>
      <c r="F1054" s="6"/>
      <c r="G1054" s="6" t="str">
        <f t="shared" si="9"/>
        <v>Build &amp; Operation</v>
      </c>
    </row>
    <row r="1055" spans="1:7" ht="14" x14ac:dyDescent="0.15">
      <c r="A1055" s="6" t="s">
        <v>2269</v>
      </c>
      <c r="B1055" s="8" t="s">
        <v>2273</v>
      </c>
      <c r="C1055" s="6" t="str">
        <f>'Ann1 - Step 3'!C1055</f>
        <v>Build &amp; Operation</v>
      </c>
      <c r="D1055" s="6" t="str">
        <f>'Ann2 - Step 3'!C1055</f>
        <v>Build &amp; Operation</v>
      </c>
      <c r="E1055" s="6" t="b">
        <f t="shared" si="8"/>
        <v>0</v>
      </c>
      <c r="F1055" s="6"/>
      <c r="G1055" s="6" t="str">
        <f t="shared" si="9"/>
        <v>Build &amp; Operation</v>
      </c>
    </row>
    <row r="1056" spans="1:7" ht="14" x14ac:dyDescent="0.15">
      <c r="A1056" s="6" t="s">
        <v>2269</v>
      </c>
      <c r="B1056" s="8" t="s">
        <v>2274</v>
      </c>
      <c r="C1056" s="6" t="str">
        <f>'Ann1 - Step 3'!C1056</f>
        <v>Testing</v>
      </c>
      <c r="D1056" s="6" t="str">
        <f>'Ann2 - Step 3'!C1056</f>
        <v>Build &amp; Operation</v>
      </c>
      <c r="E1056" s="6" t="b">
        <f t="shared" si="8"/>
        <v>1</v>
      </c>
      <c r="F1056" s="30" t="s">
        <v>513</v>
      </c>
      <c r="G1056" s="6" t="str">
        <f t="shared" si="9"/>
        <v>NOT_ENOUGH_CONTEXT</v>
      </c>
    </row>
    <row r="1057" spans="1:7" ht="14" x14ac:dyDescent="0.15">
      <c r="A1057" s="6" t="s">
        <v>2269</v>
      </c>
      <c r="B1057" s="8" t="s">
        <v>2272</v>
      </c>
      <c r="C1057" s="6" t="str">
        <f>'Ann1 - Step 3'!C1057</f>
        <v>Build &amp; Operation</v>
      </c>
      <c r="D1057" s="6" t="str">
        <f>'Ann2 - Step 3'!C1057</f>
        <v>Build &amp; Operation</v>
      </c>
      <c r="E1057" s="6" t="b">
        <f t="shared" si="8"/>
        <v>0</v>
      </c>
      <c r="F1057" s="6"/>
      <c r="G1057" s="6" t="str">
        <f t="shared" si="9"/>
        <v>Build &amp; Operation</v>
      </c>
    </row>
    <row r="1058" spans="1:7" ht="14" x14ac:dyDescent="0.15">
      <c r="A1058" s="6" t="s">
        <v>2269</v>
      </c>
      <c r="B1058" s="8" t="s">
        <v>2275</v>
      </c>
      <c r="C1058" s="6" t="str">
        <f>'Ann1 - Step 3'!C1058</f>
        <v>Build &amp; Operation</v>
      </c>
      <c r="D1058" s="6" t="str">
        <f>'Ann2 - Step 3'!C1058</f>
        <v>Build &amp; Operation</v>
      </c>
      <c r="E1058" s="6" t="b">
        <f t="shared" si="8"/>
        <v>0</v>
      </c>
      <c r="F1058" s="6"/>
      <c r="G1058" s="6" t="str">
        <f t="shared" si="9"/>
        <v>Build &amp; Operation</v>
      </c>
    </row>
    <row r="1059" spans="1:7" ht="14" x14ac:dyDescent="0.15">
      <c r="A1059" s="6" t="s">
        <v>1181</v>
      </c>
      <c r="B1059" s="8" t="s">
        <v>2261</v>
      </c>
      <c r="C1059" s="6" t="str">
        <f>'Ann1 - Step 3'!C1059</f>
        <v>NOT_ENOUGH_CONTEXT</v>
      </c>
      <c r="D1059" s="6" t="str">
        <f>'Ann2 - Step 3'!C1059</f>
        <v>Build &amp; Operation</v>
      </c>
      <c r="E1059" s="6" t="b">
        <f t="shared" si="8"/>
        <v>1</v>
      </c>
      <c r="F1059" s="30" t="s">
        <v>513</v>
      </c>
      <c r="G1059" s="6" t="str">
        <f t="shared" si="9"/>
        <v>NOT_ENOUGH_CONTEXT</v>
      </c>
    </row>
    <row r="1060" spans="1:7" ht="14" x14ac:dyDescent="0.15">
      <c r="A1060" s="6" t="s">
        <v>1181</v>
      </c>
      <c r="B1060" s="8" t="s">
        <v>2261</v>
      </c>
      <c r="C1060" s="6" t="str">
        <f>'Ann1 - Step 3'!C1060</f>
        <v>NOT_ENOUGH_CONTEXT</v>
      </c>
      <c r="D1060" s="6" t="str">
        <f>'Ann2 - Step 3'!C1060</f>
        <v>Build &amp; Operation</v>
      </c>
      <c r="E1060" s="6" t="b">
        <f t="shared" si="8"/>
        <v>1</v>
      </c>
      <c r="F1060" s="30" t="s">
        <v>513</v>
      </c>
      <c r="G1060" s="6" t="str">
        <f t="shared" si="9"/>
        <v>NOT_ENOUGH_CONTEXT</v>
      </c>
    </row>
    <row r="1061" spans="1:7" ht="14" x14ac:dyDescent="0.15">
      <c r="A1061" s="6" t="s">
        <v>1181</v>
      </c>
      <c r="B1061" s="8" t="s">
        <v>2261</v>
      </c>
      <c r="C1061" s="6" t="str">
        <f>'Ann1 - Step 3'!C1061</f>
        <v>NOT_ENOUGH_CONTEXT</v>
      </c>
      <c r="D1061" s="6" t="str">
        <f>'Ann2 - Step 3'!C1061</f>
        <v>Build &amp; Operation</v>
      </c>
      <c r="E1061" s="6" t="b">
        <f t="shared" si="8"/>
        <v>1</v>
      </c>
      <c r="F1061" s="30" t="s">
        <v>513</v>
      </c>
      <c r="G1061" s="6" t="str">
        <f t="shared" si="9"/>
        <v>NOT_ENOUGH_CONTEXT</v>
      </c>
    </row>
    <row r="1062" spans="1:7" ht="14" x14ac:dyDescent="0.15">
      <c r="A1062" s="6" t="s">
        <v>703</v>
      </c>
      <c r="B1062" s="8" t="s">
        <v>2261</v>
      </c>
      <c r="C1062" s="6" t="str">
        <f>'Ann1 - Step 3'!C1062</f>
        <v>NOT_ENOUGH_CONTEXT</v>
      </c>
      <c r="D1062" s="6" t="str">
        <f>'Ann2 - Step 3'!C1062</f>
        <v>Build &amp; Operation</v>
      </c>
      <c r="E1062" s="6" t="b">
        <f t="shared" si="8"/>
        <v>1</v>
      </c>
      <c r="F1062" s="30" t="s">
        <v>513</v>
      </c>
      <c r="G1062" s="6" t="str">
        <f t="shared" si="9"/>
        <v>NOT_ENOUGH_CONTEXT</v>
      </c>
    </row>
    <row r="1063" spans="1:7" ht="14" x14ac:dyDescent="0.15">
      <c r="A1063" s="6" t="s">
        <v>703</v>
      </c>
      <c r="B1063" s="8" t="s">
        <v>2261</v>
      </c>
      <c r="C1063" s="6" t="str">
        <f>'Ann1 - Step 3'!C1063</f>
        <v>NOT_ENOUGH_CONTEXT</v>
      </c>
      <c r="D1063" s="6" t="str">
        <f>'Ann2 - Step 3'!C1063</f>
        <v>Build &amp; Operation</v>
      </c>
      <c r="E1063" s="6" t="b">
        <f t="shared" si="8"/>
        <v>1</v>
      </c>
      <c r="F1063" s="30" t="s">
        <v>513</v>
      </c>
      <c r="G1063" s="6" t="str">
        <f t="shared" si="9"/>
        <v>NOT_ENOUGH_CONTEXT</v>
      </c>
    </row>
    <row r="1064" spans="1:7" ht="14" x14ac:dyDescent="0.15">
      <c r="A1064" s="6" t="s">
        <v>703</v>
      </c>
      <c r="B1064" s="8" t="s">
        <v>2261</v>
      </c>
      <c r="C1064" s="6" t="str">
        <f>'Ann1 - Step 3'!C1064</f>
        <v>NOT_ENOUGH_CONTEXT</v>
      </c>
      <c r="D1064" s="6" t="str">
        <f>'Ann2 - Step 3'!C1064</f>
        <v>Build &amp; Operation</v>
      </c>
      <c r="E1064" s="6" t="b">
        <f t="shared" si="8"/>
        <v>1</v>
      </c>
      <c r="F1064" s="30" t="s">
        <v>513</v>
      </c>
      <c r="G1064" s="6" t="str">
        <f t="shared" si="9"/>
        <v>NOT_ENOUGH_CONTEXT</v>
      </c>
    </row>
    <row r="1065" spans="1:7" ht="14" x14ac:dyDescent="0.15">
      <c r="A1065" s="6" t="s">
        <v>703</v>
      </c>
      <c r="B1065" s="8" t="s">
        <v>2261</v>
      </c>
      <c r="C1065" s="6" t="str">
        <f>'Ann1 - Step 3'!C1065</f>
        <v>NOT_ENOUGH_CONTEXT</v>
      </c>
      <c r="D1065" s="6" t="str">
        <f>'Ann2 - Step 3'!C1065</f>
        <v>Build &amp; Operation</v>
      </c>
      <c r="E1065" s="6" t="b">
        <f t="shared" si="8"/>
        <v>1</v>
      </c>
      <c r="F1065" s="30" t="s">
        <v>513</v>
      </c>
      <c r="G1065" s="6" t="str">
        <f t="shared" si="9"/>
        <v>NOT_ENOUGH_CONTEXT</v>
      </c>
    </row>
    <row r="1066" spans="1:7" ht="14" x14ac:dyDescent="0.15">
      <c r="A1066" s="6" t="s">
        <v>703</v>
      </c>
      <c r="B1066" s="8" t="s">
        <v>2261</v>
      </c>
      <c r="C1066" s="6" t="str">
        <f>'Ann1 - Step 3'!C1066</f>
        <v>NOT_ENOUGH_CONTEXT</v>
      </c>
      <c r="D1066" s="6" t="str">
        <f>'Ann2 - Step 3'!C1066</f>
        <v>Build &amp; Operation</v>
      </c>
      <c r="E1066" s="6" t="b">
        <f t="shared" si="8"/>
        <v>1</v>
      </c>
      <c r="F1066" s="30" t="s">
        <v>513</v>
      </c>
      <c r="G1066" s="6" t="str">
        <f t="shared" si="9"/>
        <v>NOT_ENOUGH_CONTEXT</v>
      </c>
    </row>
    <row r="1067" spans="1:7" ht="14" x14ac:dyDescent="0.15">
      <c r="A1067" s="6" t="s">
        <v>703</v>
      </c>
      <c r="B1067" s="8" t="s">
        <v>2261</v>
      </c>
      <c r="C1067" s="6" t="str">
        <f>'Ann1 - Step 3'!C1067</f>
        <v>NOT_ENOUGH_CONTEXT</v>
      </c>
      <c r="D1067" s="6" t="str">
        <f>'Ann2 - Step 3'!C1067</f>
        <v>Build &amp; Operation</v>
      </c>
      <c r="E1067" s="6" t="b">
        <f t="shared" si="8"/>
        <v>1</v>
      </c>
      <c r="F1067" s="30" t="s">
        <v>513</v>
      </c>
      <c r="G1067" s="6" t="str">
        <f t="shared" si="9"/>
        <v>NOT_ENOUGH_CONTEXT</v>
      </c>
    </row>
    <row r="1068" spans="1:7" ht="14" x14ac:dyDescent="0.15">
      <c r="A1068" s="6" t="s">
        <v>703</v>
      </c>
      <c r="B1068" s="8" t="s">
        <v>2261</v>
      </c>
      <c r="C1068" s="6" t="str">
        <f>'Ann1 - Step 3'!C1068</f>
        <v>NOT_ENOUGH_CONTEXT</v>
      </c>
      <c r="D1068" s="6" t="str">
        <f>'Ann2 - Step 3'!C1068</f>
        <v>Build &amp; Operation</v>
      </c>
      <c r="E1068" s="6" t="b">
        <f t="shared" si="8"/>
        <v>1</v>
      </c>
      <c r="F1068" s="30" t="s">
        <v>513</v>
      </c>
      <c r="G1068" s="6" t="str">
        <f t="shared" si="9"/>
        <v>NOT_ENOUGH_CONTEXT</v>
      </c>
    </row>
    <row r="1069" spans="1:7" ht="14" x14ac:dyDescent="0.15">
      <c r="A1069" s="6" t="s">
        <v>703</v>
      </c>
      <c r="B1069" s="8" t="s">
        <v>2261</v>
      </c>
      <c r="C1069" s="6" t="str">
        <f>'Ann1 - Step 3'!C1069</f>
        <v>NOT_ENOUGH_CONTEXT</v>
      </c>
      <c r="D1069" s="6" t="str">
        <f>'Ann2 - Step 3'!C1069</f>
        <v>Build &amp; Operation</v>
      </c>
      <c r="E1069" s="6" t="b">
        <f t="shared" si="8"/>
        <v>1</v>
      </c>
      <c r="F1069" s="30" t="s">
        <v>513</v>
      </c>
      <c r="G1069" s="6" t="str">
        <f t="shared" si="9"/>
        <v>NOT_ENOUGH_CONTEXT</v>
      </c>
    </row>
    <row r="1070" spans="1:7" ht="14" x14ac:dyDescent="0.15">
      <c r="A1070" s="6" t="s">
        <v>703</v>
      </c>
      <c r="B1070" s="8" t="s">
        <v>2261</v>
      </c>
      <c r="C1070" s="6" t="str">
        <f>'Ann1 - Step 3'!C1070</f>
        <v>NOT_ENOUGH_CONTEXT</v>
      </c>
      <c r="D1070" s="6" t="str">
        <f>'Ann2 - Step 3'!C1070</f>
        <v>Build &amp; Operation</v>
      </c>
      <c r="E1070" s="6" t="b">
        <f t="shared" si="8"/>
        <v>1</v>
      </c>
      <c r="F1070" s="30" t="s">
        <v>513</v>
      </c>
      <c r="G1070" s="6" t="str">
        <f t="shared" si="9"/>
        <v>NOT_ENOUGH_CONTEXT</v>
      </c>
    </row>
    <row r="1071" spans="1:7" ht="14" x14ac:dyDescent="0.15">
      <c r="A1071" s="6" t="s">
        <v>703</v>
      </c>
      <c r="B1071" s="8" t="s">
        <v>2261</v>
      </c>
      <c r="C1071" s="6" t="str">
        <f>'Ann1 - Step 3'!C1071</f>
        <v>NOT_ENOUGH_CONTEXT</v>
      </c>
      <c r="D1071" s="6" t="str">
        <f>'Ann2 - Step 3'!C1071</f>
        <v>Build &amp; Operation</v>
      </c>
      <c r="E1071" s="6" t="b">
        <f t="shared" si="8"/>
        <v>1</v>
      </c>
      <c r="F1071" s="30" t="s">
        <v>513</v>
      </c>
      <c r="G1071" s="6" t="str">
        <f t="shared" si="9"/>
        <v>NOT_ENOUGH_CONTEXT</v>
      </c>
    </row>
    <row r="1072" spans="1:7" ht="14" x14ac:dyDescent="0.15">
      <c r="A1072" s="6" t="s">
        <v>703</v>
      </c>
      <c r="B1072" s="8" t="s">
        <v>2261</v>
      </c>
      <c r="C1072" s="6" t="str">
        <f>'Ann1 - Step 3'!C1072</f>
        <v>NOT_ENOUGH_CONTEXT</v>
      </c>
      <c r="D1072" s="6" t="str">
        <f>'Ann2 - Step 3'!C1072</f>
        <v>Build &amp; Operation</v>
      </c>
      <c r="E1072" s="6" t="b">
        <f t="shared" si="8"/>
        <v>1</v>
      </c>
      <c r="F1072" s="30" t="s">
        <v>513</v>
      </c>
      <c r="G1072" s="6" t="str">
        <f t="shared" si="9"/>
        <v>NOT_ENOUGH_CONTEXT</v>
      </c>
    </row>
    <row r="1073" spans="1:7" ht="14" x14ac:dyDescent="0.15">
      <c r="A1073" s="6" t="s">
        <v>703</v>
      </c>
      <c r="B1073" s="8" t="s">
        <v>2261</v>
      </c>
      <c r="C1073" s="6" t="str">
        <f>'Ann1 - Step 3'!C1073</f>
        <v>NOT_ENOUGH_CONTEXT</v>
      </c>
      <c r="D1073" s="6" t="str">
        <f>'Ann2 - Step 3'!C1073</f>
        <v>Build &amp; Operation</v>
      </c>
      <c r="E1073" s="6" t="b">
        <f t="shared" si="8"/>
        <v>1</v>
      </c>
      <c r="F1073" s="30" t="s">
        <v>513</v>
      </c>
      <c r="G1073" s="6" t="str">
        <f t="shared" si="9"/>
        <v>NOT_ENOUGH_CONTEXT</v>
      </c>
    </row>
    <row r="1074" spans="1:7" ht="14" x14ac:dyDescent="0.15">
      <c r="A1074" s="6" t="s">
        <v>1185</v>
      </c>
      <c r="B1074" s="23" t="s">
        <v>2276</v>
      </c>
      <c r="C1074" s="6" t="str">
        <f>'Ann1 - Step 3'!C1074</f>
        <v>Build &amp; Operation</v>
      </c>
      <c r="D1074" s="6" t="str">
        <f>'Ann2 - Step 3'!C1074</f>
        <v>Task Execution</v>
      </c>
      <c r="E1074" s="6" t="b">
        <f t="shared" si="8"/>
        <v>1</v>
      </c>
      <c r="F1074" s="30" t="s">
        <v>18</v>
      </c>
      <c r="G1074" s="6" t="str">
        <f t="shared" si="9"/>
        <v>Task Execution</v>
      </c>
    </row>
    <row r="1075" spans="1:7" ht="14" x14ac:dyDescent="0.15">
      <c r="A1075" s="6" t="s">
        <v>1185</v>
      </c>
      <c r="B1075" s="23" t="s">
        <v>2277</v>
      </c>
      <c r="C1075" s="6" t="str">
        <f>'Ann1 - Step 3'!C1075</f>
        <v>Build &amp; Operation</v>
      </c>
      <c r="D1075" s="6" t="str">
        <f>'Ann2 - Step 3'!C1075</f>
        <v>Task Execution</v>
      </c>
      <c r="E1075" s="6" t="b">
        <f t="shared" si="8"/>
        <v>1</v>
      </c>
      <c r="F1075" s="30" t="s">
        <v>18</v>
      </c>
      <c r="G1075" s="6" t="str">
        <f t="shared" si="9"/>
        <v>Task Execution</v>
      </c>
    </row>
    <row r="1076" spans="1:7" ht="14" x14ac:dyDescent="0.15">
      <c r="A1076" s="6" t="s">
        <v>1185</v>
      </c>
      <c r="B1076" s="23" t="s">
        <v>2278</v>
      </c>
      <c r="C1076" s="6" t="str">
        <f>'Ann1 - Step 3'!C1076</f>
        <v>Build &amp; Operation</v>
      </c>
      <c r="D1076" s="6" t="str">
        <f>'Ann2 - Step 3'!C1076</f>
        <v>Task Execution</v>
      </c>
      <c r="E1076" s="6" t="b">
        <f t="shared" si="8"/>
        <v>1</v>
      </c>
      <c r="F1076" s="30" t="s">
        <v>18</v>
      </c>
      <c r="G1076" s="6" t="str">
        <f t="shared" si="9"/>
        <v>Task Execution</v>
      </c>
    </row>
    <row r="1077" spans="1:7" ht="14" x14ac:dyDescent="0.15">
      <c r="A1077" s="6" t="s">
        <v>2281</v>
      </c>
      <c r="B1077" s="8" t="s">
        <v>2282</v>
      </c>
      <c r="C1077" s="6" t="str">
        <f>'Ann1 - Step 3'!C1077</f>
        <v>Build &amp; Operation</v>
      </c>
      <c r="D1077" s="6" t="str">
        <f>'Ann2 - Step 3'!C1077</f>
        <v>Build &amp; Operation</v>
      </c>
      <c r="E1077" s="6" t="b">
        <f t="shared" si="8"/>
        <v>0</v>
      </c>
      <c r="F1077" s="6"/>
      <c r="G1077" s="6" t="str">
        <f t="shared" si="9"/>
        <v>Build &amp; Operation</v>
      </c>
    </row>
    <row r="1078" spans="1:7" ht="14" x14ac:dyDescent="0.15">
      <c r="A1078" s="6" t="s">
        <v>2281</v>
      </c>
      <c r="B1078" s="8" t="s">
        <v>2283</v>
      </c>
      <c r="C1078" s="6" t="str">
        <f>'Ann1 - Step 3'!C1078</f>
        <v>Build &amp; Operation</v>
      </c>
      <c r="D1078" s="6" t="str">
        <f>'Ann2 - Step 3'!C1078</f>
        <v>Build &amp; Operation</v>
      </c>
      <c r="E1078" s="6" t="b">
        <f t="shared" si="8"/>
        <v>0</v>
      </c>
      <c r="F1078" s="6"/>
      <c r="G1078" s="6" t="str">
        <f t="shared" si="9"/>
        <v>Build &amp; Operation</v>
      </c>
    </row>
    <row r="1079" spans="1:7" ht="14" x14ac:dyDescent="0.15">
      <c r="A1079" s="6" t="s">
        <v>2281</v>
      </c>
      <c r="B1079" s="8" t="s">
        <v>2284</v>
      </c>
      <c r="C1079" s="6" t="str">
        <f>'Ann1 - Step 3'!C1079</f>
        <v>Build &amp; Operation</v>
      </c>
      <c r="D1079" s="6" t="str">
        <f>'Ann2 - Step 3'!C1079</f>
        <v>Build &amp; Operation</v>
      </c>
      <c r="E1079" s="6" t="b">
        <f t="shared" si="8"/>
        <v>0</v>
      </c>
      <c r="F1079" s="6"/>
      <c r="G1079" s="6" t="str">
        <f t="shared" si="9"/>
        <v>Build &amp; Operation</v>
      </c>
    </row>
    <row r="1080" spans="1:7" ht="14" x14ac:dyDescent="0.15">
      <c r="A1080" s="6" t="s">
        <v>1199</v>
      </c>
      <c r="B1080" s="8" t="s">
        <v>2285</v>
      </c>
      <c r="C1080" s="6" t="str">
        <f>'Ann1 - Step 3'!C1080</f>
        <v>Build &amp; Operation</v>
      </c>
      <c r="D1080" s="6" t="str">
        <f>'Ann2 - Step 3'!C1080</f>
        <v>Build &amp; Operation</v>
      </c>
      <c r="E1080" s="6" t="b">
        <f t="shared" si="8"/>
        <v>0</v>
      </c>
      <c r="F1080" s="6"/>
      <c r="G1080" s="6" t="str">
        <f t="shared" si="9"/>
        <v>Build &amp; Operation</v>
      </c>
    </row>
    <row r="1081" spans="1:7" ht="14" x14ac:dyDescent="0.15">
      <c r="A1081" s="6" t="s">
        <v>1199</v>
      </c>
      <c r="B1081" s="8" t="s">
        <v>2286</v>
      </c>
      <c r="C1081" s="6" t="str">
        <f>'Ann1 - Step 3'!C1081</f>
        <v>Testing</v>
      </c>
      <c r="D1081" s="6" t="str">
        <f>'Ann2 - Step 3'!C1081</f>
        <v>Testing</v>
      </c>
      <c r="E1081" s="6" t="b">
        <f t="shared" si="8"/>
        <v>0</v>
      </c>
      <c r="F1081" s="6"/>
      <c r="G1081" s="6" t="str">
        <f t="shared" si="9"/>
        <v>Testing</v>
      </c>
    </row>
    <row r="1082" spans="1:7" ht="14" x14ac:dyDescent="0.15">
      <c r="A1082" s="6" t="s">
        <v>1199</v>
      </c>
      <c r="B1082" s="8" t="s">
        <v>2287</v>
      </c>
      <c r="C1082" s="6" t="str">
        <f>'Ann1 - Step 3'!C1082</f>
        <v>Testing</v>
      </c>
      <c r="D1082" s="6" t="str">
        <f>'Ann2 - Step 3'!C1082</f>
        <v>Testing</v>
      </c>
      <c r="E1082" s="6" t="b">
        <f t="shared" si="8"/>
        <v>0</v>
      </c>
      <c r="F1082" s="6"/>
      <c r="G1082" s="6" t="str">
        <f t="shared" si="9"/>
        <v>Testing</v>
      </c>
    </row>
    <row r="1083" spans="1:7" ht="14" x14ac:dyDescent="0.15">
      <c r="A1083" s="6" t="s">
        <v>1199</v>
      </c>
      <c r="B1083" s="8" t="s">
        <v>2288</v>
      </c>
      <c r="C1083" s="6" t="str">
        <f>'Ann1 - Step 3'!C1083</f>
        <v>Build &amp; Operation</v>
      </c>
      <c r="D1083" s="6" t="str">
        <f>'Ann2 - Step 3'!C1083</f>
        <v>Testing</v>
      </c>
      <c r="E1083" s="6" t="b">
        <f t="shared" si="8"/>
        <v>1</v>
      </c>
      <c r="F1083" s="30" t="s">
        <v>513</v>
      </c>
      <c r="G1083" s="6" t="str">
        <f t="shared" si="9"/>
        <v>NOT_ENOUGH_CONTEXT</v>
      </c>
    </row>
    <row r="1084" spans="1:7" ht="14" x14ac:dyDescent="0.15">
      <c r="A1084" s="6" t="s">
        <v>1199</v>
      </c>
      <c r="B1084" s="8" t="s">
        <v>2289</v>
      </c>
      <c r="C1084" s="6" t="str">
        <f>'Ann1 - Step 3'!C1084</f>
        <v>Build &amp; Operation</v>
      </c>
      <c r="D1084" s="6" t="str">
        <f>'Ann2 - Step 3'!C1084</f>
        <v>Build &amp; Operation</v>
      </c>
      <c r="E1084" s="6" t="b">
        <f t="shared" si="8"/>
        <v>0</v>
      </c>
      <c r="F1084" s="6"/>
      <c r="G1084" s="6" t="str">
        <f t="shared" si="9"/>
        <v>Build &amp; Operation</v>
      </c>
    </row>
    <row r="1085" spans="1:7" ht="14" x14ac:dyDescent="0.15">
      <c r="A1085" s="6" t="s">
        <v>1199</v>
      </c>
      <c r="B1085" s="8" t="s">
        <v>2290</v>
      </c>
      <c r="C1085" s="6" t="str">
        <f>'Ann1 - Step 3'!C1085</f>
        <v>Build &amp; Operation</v>
      </c>
      <c r="D1085" s="6" t="str">
        <f>'Ann2 - Step 3'!C1085</f>
        <v>Build &amp; Operation</v>
      </c>
      <c r="E1085" s="6" t="b">
        <f t="shared" si="8"/>
        <v>0</v>
      </c>
      <c r="F1085" s="6"/>
      <c r="G1085" s="6" t="str">
        <f t="shared" si="9"/>
        <v>Build &amp; Operation</v>
      </c>
    </row>
    <row r="1086" spans="1:7" ht="28" x14ac:dyDescent="0.15">
      <c r="A1086" s="6" t="s">
        <v>1199</v>
      </c>
      <c r="B1086" s="8" t="s">
        <v>2291</v>
      </c>
      <c r="C1086" s="6" t="str">
        <f>'Ann1 - Step 3'!C1086</f>
        <v>Build &amp; Operation</v>
      </c>
      <c r="D1086" s="6" t="str">
        <f>'Ann2 - Step 3'!C1086</f>
        <v>Build &amp; Operation</v>
      </c>
      <c r="E1086" s="6" t="b">
        <f t="shared" si="8"/>
        <v>0</v>
      </c>
      <c r="F1086" s="6"/>
      <c r="G1086" s="6" t="str">
        <f t="shared" si="9"/>
        <v>Build &amp; Operation</v>
      </c>
    </row>
    <row r="1087" spans="1:7" ht="14" x14ac:dyDescent="0.15">
      <c r="A1087" s="6" t="s">
        <v>2294</v>
      </c>
      <c r="B1087" s="23" t="s">
        <v>2295</v>
      </c>
      <c r="C1087" s="6" t="str">
        <f>'Ann1 - Step 3'!C1087</f>
        <v>Build &amp; Operation</v>
      </c>
      <c r="D1087" s="6" t="str">
        <f>'Ann2 - Step 3'!C1087</f>
        <v>Task Execution</v>
      </c>
      <c r="E1087" s="6" t="b">
        <f t="shared" si="8"/>
        <v>1</v>
      </c>
      <c r="F1087" s="30" t="s">
        <v>18</v>
      </c>
      <c r="G1087" s="6" t="str">
        <f t="shared" si="9"/>
        <v>Task Execution</v>
      </c>
    </row>
    <row r="1088" spans="1:7" ht="14" x14ac:dyDescent="0.15">
      <c r="A1088" s="6" t="s">
        <v>1210</v>
      </c>
      <c r="B1088" s="23" t="s">
        <v>2276</v>
      </c>
      <c r="C1088" s="6" t="str">
        <f>'Ann1 - Step 3'!C1088</f>
        <v>Build &amp; Operation</v>
      </c>
      <c r="D1088" s="6" t="str">
        <f>'Ann2 - Step 3'!C1088</f>
        <v>Task Execution</v>
      </c>
      <c r="E1088" s="6" t="b">
        <f t="shared" si="8"/>
        <v>1</v>
      </c>
      <c r="F1088" s="30" t="s">
        <v>18</v>
      </c>
      <c r="G1088" s="6" t="str">
        <f t="shared" si="9"/>
        <v>Task Execution</v>
      </c>
    </row>
    <row r="1089" spans="1:7" ht="14" x14ac:dyDescent="0.15">
      <c r="A1089" s="6" t="s">
        <v>1210</v>
      </c>
      <c r="B1089" s="23" t="s">
        <v>2277</v>
      </c>
      <c r="C1089" s="6" t="str">
        <f>'Ann1 - Step 3'!C1089</f>
        <v>Build &amp; Operation</v>
      </c>
      <c r="D1089" s="6" t="str">
        <f>'Ann2 - Step 3'!C1089</f>
        <v>Task Execution</v>
      </c>
      <c r="E1089" s="6" t="b">
        <f t="shared" si="8"/>
        <v>1</v>
      </c>
      <c r="F1089" s="30" t="s">
        <v>18</v>
      </c>
      <c r="G1089" s="6" t="str">
        <f t="shared" si="9"/>
        <v>Task Execution</v>
      </c>
    </row>
    <row r="1090" spans="1:7" ht="14" x14ac:dyDescent="0.15">
      <c r="A1090" s="6" t="s">
        <v>1210</v>
      </c>
      <c r="B1090" s="23" t="s">
        <v>2278</v>
      </c>
      <c r="C1090" s="6" t="str">
        <f>'Ann1 - Step 3'!C1090</f>
        <v>Build &amp; Operation</v>
      </c>
      <c r="D1090" s="6" t="str">
        <f>'Ann2 - Step 3'!C1090</f>
        <v>Task Execution</v>
      </c>
      <c r="E1090" s="6" t="b">
        <f t="shared" si="8"/>
        <v>1</v>
      </c>
      <c r="F1090" s="30" t="s">
        <v>18</v>
      </c>
      <c r="G1090" s="6" t="str">
        <f t="shared" si="9"/>
        <v>Task Execution</v>
      </c>
    </row>
    <row r="1091" spans="1:7" ht="14" x14ac:dyDescent="0.15">
      <c r="A1091" s="6" t="s">
        <v>1211</v>
      </c>
      <c r="B1091" s="8" t="s">
        <v>2296</v>
      </c>
      <c r="C1091" s="6" t="str">
        <f>'Ann1 - Step 3'!C1091</f>
        <v>Build &amp; Operation</v>
      </c>
      <c r="D1091" s="6" t="str">
        <f>'Ann2 - Step 3'!C1091</f>
        <v>Build &amp; Operation</v>
      </c>
      <c r="E1091" s="6" t="b">
        <f t="shared" si="8"/>
        <v>0</v>
      </c>
      <c r="F1091" s="6"/>
      <c r="G1091" s="6" t="str">
        <f t="shared" si="9"/>
        <v>Build &amp; Operation</v>
      </c>
    </row>
    <row r="1092" spans="1:7" ht="14" x14ac:dyDescent="0.15">
      <c r="A1092" s="6" t="s">
        <v>1211</v>
      </c>
      <c r="B1092" s="8" t="s">
        <v>2297</v>
      </c>
      <c r="C1092" s="6" t="str">
        <f>'Ann1 - Step 3'!C1092</f>
        <v>Task Execution</v>
      </c>
      <c r="D1092" s="6" t="str">
        <f>'Ann2 - Step 3'!C1092</f>
        <v>Task Execution</v>
      </c>
      <c r="E1092" s="6" t="b">
        <f t="shared" si="8"/>
        <v>0</v>
      </c>
      <c r="F1092" s="6"/>
      <c r="G1092" s="6" t="str">
        <f t="shared" si="9"/>
        <v>Task Execution</v>
      </c>
    </row>
    <row r="1093" spans="1:7" ht="14" x14ac:dyDescent="0.15">
      <c r="A1093" s="6" t="s">
        <v>57</v>
      </c>
      <c r="B1093" s="8" t="s">
        <v>2298</v>
      </c>
      <c r="C1093" s="6" t="str">
        <f>'Ann1 - Step 3'!C1093</f>
        <v>Commit&amp;PR rule</v>
      </c>
      <c r="D1093" s="6" t="str">
        <f>'Ann2 - Step 3'!C1093</f>
        <v>Commit&amp;PR rule</v>
      </c>
      <c r="E1093" s="6" t="b">
        <f t="shared" si="8"/>
        <v>0</v>
      </c>
      <c r="F1093" s="6"/>
      <c r="G1093" s="6" t="str">
        <f t="shared" si="9"/>
        <v>Commit&amp;PR rule</v>
      </c>
    </row>
    <row r="1094" spans="1:7" ht="14" x14ac:dyDescent="0.15">
      <c r="A1094" s="6" t="s">
        <v>497</v>
      </c>
      <c r="B1094" s="8" t="s">
        <v>2299</v>
      </c>
      <c r="C1094" s="6" t="str">
        <f>'Ann1 - Step 3'!C1094</f>
        <v>Commit&amp;PR rule</v>
      </c>
      <c r="D1094" s="6" t="str">
        <f>'Ann2 - Step 3'!C1094</f>
        <v>Commit&amp;PR rule</v>
      </c>
      <c r="E1094" s="6" t="b">
        <f t="shared" si="8"/>
        <v>0</v>
      </c>
      <c r="F1094" s="6"/>
      <c r="G1094" s="6" t="str">
        <f t="shared" si="9"/>
        <v>Commit&amp;PR rule</v>
      </c>
    </row>
    <row r="1095" spans="1:7" ht="14" x14ac:dyDescent="0.15">
      <c r="A1095" s="6" t="s">
        <v>497</v>
      </c>
      <c r="B1095" s="8" t="s">
        <v>2300</v>
      </c>
      <c r="C1095" s="6" t="str">
        <f>'Ann1 - Step 3'!C1095</f>
        <v>Commit&amp;PR rule</v>
      </c>
      <c r="D1095" s="6" t="str">
        <f>'Ann2 - Step 3'!C1095</f>
        <v>Commit&amp;PR rule</v>
      </c>
      <c r="E1095" s="6" t="b">
        <f t="shared" si="8"/>
        <v>0</v>
      </c>
      <c r="F1095" s="6"/>
      <c r="G1095" s="6" t="str">
        <f t="shared" si="9"/>
        <v>Commit&amp;PR rule</v>
      </c>
    </row>
    <row r="1096" spans="1:7" ht="28" x14ac:dyDescent="0.15">
      <c r="A1096" s="6" t="s">
        <v>503</v>
      </c>
      <c r="B1096" s="8" t="s">
        <v>2301</v>
      </c>
      <c r="C1096" s="6" t="str">
        <f>'Ann1 - Step 3'!C1096</f>
        <v>Testing</v>
      </c>
      <c r="D1096" s="6" t="str">
        <f>'Ann2 - Step 3'!C1096</f>
        <v>Testing</v>
      </c>
      <c r="E1096" s="6" t="b">
        <f t="shared" si="8"/>
        <v>0</v>
      </c>
      <c r="F1096" s="6"/>
      <c r="G1096" s="6" t="str">
        <f t="shared" si="9"/>
        <v>Testing</v>
      </c>
    </row>
    <row r="1097" spans="1:7" ht="14" x14ac:dyDescent="0.15">
      <c r="A1097" s="6" t="s">
        <v>503</v>
      </c>
      <c r="B1097" s="8" t="s">
        <v>2302</v>
      </c>
      <c r="C1097" s="6" t="str">
        <f>'Ann1 - Step 3'!C1097</f>
        <v>Coding Pattern</v>
      </c>
      <c r="D1097" s="6" t="str">
        <f>'Ann2 - Step 3'!C1097</f>
        <v>Coding Pattern</v>
      </c>
      <c r="E1097" s="6" t="b">
        <f t="shared" si="8"/>
        <v>0</v>
      </c>
      <c r="F1097" s="6"/>
      <c r="G1097" s="6" t="str">
        <f t="shared" si="9"/>
        <v>Coding Pattern</v>
      </c>
    </row>
    <row r="1098" spans="1:7" ht="14" x14ac:dyDescent="0.15">
      <c r="A1098" s="6" t="s">
        <v>2305</v>
      </c>
      <c r="B1098" s="8" t="s">
        <v>2306</v>
      </c>
      <c r="C1098" s="6" t="str">
        <f>'Ann1 - Step 3'!C1098</f>
        <v>Task Execution</v>
      </c>
      <c r="D1098" s="6" t="str">
        <f>'Ann2 - Step 3'!C1098</f>
        <v>Task Execution</v>
      </c>
      <c r="E1098" s="6" t="b">
        <f t="shared" si="8"/>
        <v>0</v>
      </c>
      <c r="F1098" s="6"/>
      <c r="G1098" s="6" t="str">
        <f t="shared" si="9"/>
        <v>Task Execution</v>
      </c>
    </row>
    <row r="1099" spans="1:7" ht="14" x14ac:dyDescent="0.15">
      <c r="A1099" s="6" t="s">
        <v>511</v>
      </c>
      <c r="B1099" s="8" t="s">
        <v>2307</v>
      </c>
      <c r="C1099" s="6" t="str">
        <f>'Ann1 - Step 3'!C1099</f>
        <v>Task Execution</v>
      </c>
      <c r="D1099" s="6" t="str">
        <f>'Ann2 - Step 3'!C1099</f>
        <v>Task Execution</v>
      </c>
      <c r="E1099" s="6" t="b">
        <f t="shared" si="8"/>
        <v>0</v>
      </c>
      <c r="F1099" s="6"/>
      <c r="G1099" s="6" t="str">
        <f t="shared" si="9"/>
        <v>Task Execution</v>
      </c>
    </row>
    <row r="1100" spans="1:7" ht="14" x14ac:dyDescent="0.15">
      <c r="A1100" s="6" t="s">
        <v>511</v>
      </c>
      <c r="B1100" s="8" t="s">
        <v>2308</v>
      </c>
      <c r="C1100" s="6" t="str">
        <f>'Ann1 - Step 3'!C1100</f>
        <v>Task Execution</v>
      </c>
      <c r="D1100" s="6" t="str">
        <f>'Ann2 - Step 3'!C1100</f>
        <v>Task Execution</v>
      </c>
      <c r="E1100" s="6" t="b">
        <f t="shared" si="8"/>
        <v>0</v>
      </c>
      <c r="F1100" s="6"/>
      <c r="G1100" s="6" t="str">
        <f t="shared" si="9"/>
        <v>Task Execution</v>
      </c>
    </row>
    <row r="1101" spans="1:7" ht="14" x14ac:dyDescent="0.15">
      <c r="A1101" s="6" t="s">
        <v>112</v>
      </c>
      <c r="B1101" s="8" t="s">
        <v>2309</v>
      </c>
      <c r="C1101" s="6" t="str">
        <f>'Ann1 - Step 3'!C1101</f>
        <v>NOT_ENOUGH_CONTEXT</v>
      </c>
      <c r="D1101" s="6" t="str">
        <f>'Ann2 - Step 3'!C1101</f>
        <v>NOT_ENOUGH_CONTEXT</v>
      </c>
      <c r="E1101" s="6" t="b">
        <f t="shared" si="8"/>
        <v>0</v>
      </c>
      <c r="F1101" s="6"/>
      <c r="G1101" s="6" t="str">
        <f t="shared" si="9"/>
        <v>NOT_ENOUGH_CONTEXT</v>
      </c>
    </row>
    <row r="1102" spans="1:7" ht="14" x14ac:dyDescent="0.15">
      <c r="A1102" s="6" t="s">
        <v>112</v>
      </c>
      <c r="B1102" s="8" t="s">
        <v>2021</v>
      </c>
      <c r="C1102" s="6" t="str">
        <f>'Ann1 - Step 3'!C1102</f>
        <v>Task Execution</v>
      </c>
      <c r="D1102" s="6" t="str">
        <f>'Ann2 - Step 3'!C1102</f>
        <v>Task Execution</v>
      </c>
      <c r="E1102" s="6" t="b">
        <f t="shared" si="8"/>
        <v>0</v>
      </c>
      <c r="F1102" s="6"/>
      <c r="G1102" s="6" t="str">
        <f t="shared" si="9"/>
        <v>Task Execution</v>
      </c>
    </row>
    <row r="1103" spans="1:7" ht="14" x14ac:dyDescent="0.15">
      <c r="A1103" s="6" t="s">
        <v>112</v>
      </c>
      <c r="B1103" s="8" t="s">
        <v>2022</v>
      </c>
      <c r="C1103" s="6" t="str">
        <f>'Ann1 - Step 3'!C1103</f>
        <v>Task Execution</v>
      </c>
      <c r="D1103" s="6" t="str">
        <f>'Ann2 - Step 3'!C1103</f>
        <v>Task Execution</v>
      </c>
      <c r="E1103" s="6" t="b">
        <f t="shared" si="8"/>
        <v>0</v>
      </c>
      <c r="F1103" s="6"/>
      <c r="G1103" s="6" t="str">
        <f t="shared" si="9"/>
        <v>Task Execution</v>
      </c>
    </row>
    <row r="1104" spans="1:7" ht="14" x14ac:dyDescent="0.15">
      <c r="A1104" s="6" t="s">
        <v>112</v>
      </c>
      <c r="B1104" s="8" t="s">
        <v>2023</v>
      </c>
      <c r="C1104" s="6" t="str">
        <f>'Ann1 - Step 3'!C1104</f>
        <v>Task Execution</v>
      </c>
      <c r="D1104" s="6" t="str">
        <f>'Ann2 - Step 3'!C1104</f>
        <v>Task Execution</v>
      </c>
      <c r="E1104" s="6" t="b">
        <f t="shared" si="8"/>
        <v>0</v>
      </c>
      <c r="F1104" s="6"/>
      <c r="G1104" s="6" t="str">
        <f t="shared" si="9"/>
        <v>Task Execution</v>
      </c>
    </row>
    <row r="1105" spans="1:7" ht="14" x14ac:dyDescent="0.15">
      <c r="A1105" s="6" t="s">
        <v>112</v>
      </c>
      <c r="B1105" s="8" t="s">
        <v>2024</v>
      </c>
      <c r="C1105" s="6" t="str">
        <f>'Ann1 - Step 3'!C1105</f>
        <v>Task Execution</v>
      </c>
      <c r="D1105" s="6" t="str">
        <f>'Ann2 - Step 3'!C1105</f>
        <v>Task Execution</v>
      </c>
      <c r="E1105" s="6" t="b">
        <f t="shared" si="8"/>
        <v>0</v>
      </c>
      <c r="F1105" s="6"/>
      <c r="G1105" s="6" t="str">
        <f t="shared" si="9"/>
        <v>Task Execution</v>
      </c>
    </row>
    <row r="1106" spans="1:7" ht="14" x14ac:dyDescent="0.15">
      <c r="A1106" s="6" t="s">
        <v>112</v>
      </c>
      <c r="B1106" s="8" t="s">
        <v>2025</v>
      </c>
      <c r="C1106" s="6" t="str">
        <f>'Ann1 - Step 3'!C1106</f>
        <v>Task Execution</v>
      </c>
      <c r="D1106" s="6" t="str">
        <f>'Ann2 - Step 3'!C1106</f>
        <v>Task Execution</v>
      </c>
      <c r="E1106" s="6" t="b">
        <f t="shared" si="8"/>
        <v>0</v>
      </c>
      <c r="F1106" s="6"/>
      <c r="G1106" s="6" t="str">
        <f t="shared" si="9"/>
        <v>Task Execution</v>
      </c>
    </row>
    <row r="1107" spans="1:7" ht="14" x14ac:dyDescent="0.15">
      <c r="A1107" s="6" t="s">
        <v>112</v>
      </c>
      <c r="B1107" s="8" t="s">
        <v>2026</v>
      </c>
      <c r="C1107" s="6" t="str">
        <f>'Ann1 - Step 3'!C1107</f>
        <v>Task Execution</v>
      </c>
      <c r="D1107" s="6" t="str">
        <f>'Ann2 - Step 3'!C1107</f>
        <v>Task Execution</v>
      </c>
      <c r="E1107" s="6" t="b">
        <f t="shared" si="8"/>
        <v>0</v>
      </c>
      <c r="F1107" s="6"/>
      <c r="G1107" s="6" t="str">
        <f t="shared" si="9"/>
        <v>Task Execution</v>
      </c>
    </row>
    <row r="1108" spans="1:7" ht="14" x14ac:dyDescent="0.15">
      <c r="A1108" s="6" t="s">
        <v>112</v>
      </c>
      <c r="B1108" s="8" t="s">
        <v>2027</v>
      </c>
      <c r="C1108" s="6" t="str">
        <f>'Ann1 - Step 3'!C1108</f>
        <v>Task Execution</v>
      </c>
      <c r="D1108" s="6" t="str">
        <f>'Ann2 - Step 3'!C1108</f>
        <v>Task Execution</v>
      </c>
      <c r="E1108" s="6" t="b">
        <f t="shared" si="8"/>
        <v>0</v>
      </c>
      <c r="F1108" s="6"/>
      <c r="G1108" s="6" t="str">
        <f t="shared" si="9"/>
        <v>Task Execution</v>
      </c>
    </row>
    <row r="1109" spans="1:7" ht="14" x14ac:dyDescent="0.15">
      <c r="A1109" s="6" t="s">
        <v>112</v>
      </c>
      <c r="B1109" s="8" t="s">
        <v>2028</v>
      </c>
      <c r="C1109" s="6" t="str">
        <f>'Ann1 - Step 3'!C1109</f>
        <v>Task Execution</v>
      </c>
      <c r="D1109" s="6" t="str">
        <f>'Ann2 - Step 3'!C1109</f>
        <v>Task Execution</v>
      </c>
      <c r="E1109" s="6" t="b">
        <f t="shared" si="8"/>
        <v>0</v>
      </c>
      <c r="F1109" s="6"/>
      <c r="G1109" s="6" t="str">
        <f t="shared" si="9"/>
        <v>Task Execution</v>
      </c>
    </row>
    <row r="1110" spans="1:7" ht="14" x14ac:dyDescent="0.15">
      <c r="A1110" s="6" t="s">
        <v>112</v>
      </c>
      <c r="B1110" s="8" t="s">
        <v>2029</v>
      </c>
      <c r="C1110" s="6" t="str">
        <f>'Ann1 - Step 3'!C1110</f>
        <v>Task Execution</v>
      </c>
      <c r="D1110" s="6" t="str">
        <f>'Ann2 - Step 3'!C1110</f>
        <v>Task Execution</v>
      </c>
      <c r="E1110" s="6" t="b">
        <f t="shared" si="8"/>
        <v>0</v>
      </c>
      <c r="F1110" s="6"/>
      <c r="G1110" s="6" t="str">
        <f t="shared" si="9"/>
        <v>Task Execution</v>
      </c>
    </row>
    <row r="1111" spans="1:7" ht="14" x14ac:dyDescent="0.15">
      <c r="A1111" s="6" t="s">
        <v>112</v>
      </c>
      <c r="B1111" s="8" t="s">
        <v>2030</v>
      </c>
      <c r="C1111" s="6" t="str">
        <f>'Ann1 - Step 3'!C1111</f>
        <v>Task Execution</v>
      </c>
      <c r="D1111" s="6" t="str">
        <f>'Ann2 - Step 3'!C1111</f>
        <v>Task Execution</v>
      </c>
      <c r="E1111" s="6" t="b">
        <f t="shared" si="8"/>
        <v>0</v>
      </c>
      <c r="F1111" s="6"/>
      <c r="G1111" s="6" t="str">
        <f t="shared" si="9"/>
        <v>Task Execution</v>
      </c>
    </row>
    <row r="1112" spans="1:7" ht="14" x14ac:dyDescent="0.15">
      <c r="A1112" s="6" t="s">
        <v>1229</v>
      </c>
      <c r="B1112" s="8" t="s">
        <v>2310</v>
      </c>
      <c r="C1112" s="6" t="str">
        <f>'Ann1 - Step 3'!C1112</f>
        <v>Task Execution</v>
      </c>
      <c r="D1112" s="6" t="str">
        <f>'Ann2 - Step 3'!C1112</f>
        <v>Task Execution</v>
      </c>
      <c r="E1112" s="6" t="b">
        <f t="shared" si="8"/>
        <v>0</v>
      </c>
      <c r="F1112" s="6"/>
      <c r="G1112" s="6" t="str">
        <f t="shared" si="9"/>
        <v>Task Execution</v>
      </c>
    </row>
    <row r="1113" spans="1:7" ht="14" x14ac:dyDescent="0.15">
      <c r="A1113" s="6" t="s">
        <v>1234</v>
      </c>
      <c r="B1113" s="8" t="s">
        <v>2311</v>
      </c>
      <c r="C1113" s="6" t="str">
        <f>'Ann1 - Step 3'!C1113</f>
        <v>Coding Pattern</v>
      </c>
      <c r="D1113" s="6" t="str">
        <f>'Ann2 - Step 3'!C1113</f>
        <v>Coding Pattern</v>
      </c>
      <c r="E1113" s="6" t="b">
        <f t="shared" si="8"/>
        <v>0</v>
      </c>
      <c r="F1113" s="6"/>
      <c r="G1113" s="6" t="str">
        <f t="shared" si="9"/>
        <v>Coding Pattern</v>
      </c>
    </row>
    <row r="1114" spans="1:7" ht="14" x14ac:dyDescent="0.15">
      <c r="A1114" s="31" t="s">
        <v>2314</v>
      </c>
      <c r="B1114" s="8" t="s">
        <v>2261</v>
      </c>
      <c r="C1114" s="6" t="str">
        <f>'Ann1 - Step 3'!C1114</f>
        <v>Task Execution</v>
      </c>
      <c r="D1114" s="6" t="str">
        <f>'Ann2 - Step 3'!C1114</f>
        <v>NOT_ENOUGH_CONTEXT</v>
      </c>
      <c r="E1114" s="6" t="b">
        <f t="shared" si="8"/>
        <v>1</v>
      </c>
      <c r="F1114" s="30" t="s">
        <v>513</v>
      </c>
      <c r="G1114" s="6" t="str">
        <f t="shared" si="9"/>
        <v>NOT_ENOUGH_CONTEXT</v>
      </c>
    </row>
    <row r="1115" spans="1:7" ht="14" x14ac:dyDescent="0.15">
      <c r="A1115" s="6" t="s">
        <v>2314</v>
      </c>
      <c r="B1115" s="8" t="s">
        <v>2315</v>
      </c>
      <c r="C1115" s="6" t="str">
        <f>'Ann1 - Step 3'!C1115</f>
        <v>Build &amp; Operation</v>
      </c>
      <c r="D1115" s="6" t="str">
        <f>'Ann2 - Step 3'!C1115</f>
        <v>Build &amp; Operation</v>
      </c>
      <c r="E1115" s="6" t="b">
        <f t="shared" si="8"/>
        <v>0</v>
      </c>
      <c r="F1115" s="6"/>
      <c r="G1115" s="6" t="str">
        <f t="shared" si="9"/>
        <v>Build &amp; Operation</v>
      </c>
    </row>
    <row r="1116" spans="1:7" ht="14" x14ac:dyDescent="0.15">
      <c r="A1116" s="6" t="s">
        <v>2314</v>
      </c>
      <c r="B1116" s="8" t="s">
        <v>2316</v>
      </c>
      <c r="C1116" s="6" t="str">
        <f>'Ann1 - Step 3'!C1116</f>
        <v>Build &amp; Operation</v>
      </c>
      <c r="D1116" s="6" t="str">
        <f>'Ann2 - Step 3'!C1116</f>
        <v>Build &amp; Operation</v>
      </c>
      <c r="E1116" s="6" t="b">
        <f t="shared" si="8"/>
        <v>0</v>
      </c>
      <c r="F1116" s="6"/>
      <c r="G1116" s="6" t="str">
        <f t="shared" si="9"/>
        <v>Build &amp; Operation</v>
      </c>
    </row>
    <row r="1117" spans="1:7" ht="14" x14ac:dyDescent="0.15">
      <c r="A1117" s="6" t="s">
        <v>2314</v>
      </c>
      <c r="B1117" s="8" t="s">
        <v>2317</v>
      </c>
      <c r="C1117" s="6" t="str">
        <f>'Ann1 - Step 3'!C1117</f>
        <v>Testing</v>
      </c>
      <c r="D1117" s="6" t="str">
        <f>'Ann2 - Step 3'!C1117</f>
        <v>Testing</v>
      </c>
      <c r="E1117" s="6" t="b">
        <f t="shared" si="8"/>
        <v>0</v>
      </c>
      <c r="F1117" s="6"/>
      <c r="G1117" s="6" t="str">
        <f t="shared" si="9"/>
        <v>Testing</v>
      </c>
    </row>
    <row r="1118" spans="1:7" ht="14" x14ac:dyDescent="0.15">
      <c r="A1118" s="6" t="s">
        <v>2314</v>
      </c>
      <c r="B1118" s="8" t="s">
        <v>2318</v>
      </c>
      <c r="C1118" s="6" t="str">
        <f>'Ann1 - Step 3'!C1118</f>
        <v>Testing</v>
      </c>
      <c r="D1118" s="6" t="str">
        <f>'Ann2 - Step 3'!C1118</f>
        <v>Testing</v>
      </c>
      <c r="E1118" s="6" t="b">
        <f t="shared" si="8"/>
        <v>0</v>
      </c>
      <c r="F1118" s="6"/>
      <c r="G1118" s="6" t="str">
        <f t="shared" si="9"/>
        <v>Testing</v>
      </c>
    </row>
    <row r="1119" spans="1:7" ht="14" x14ac:dyDescent="0.15">
      <c r="A1119" s="6" t="s">
        <v>1832</v>
      </c>
      <c r="B1119" s="8" t="s">
        <v>2319</v>
      </c>
      <c r="C1119" s="6" t="str">
        <f>'Ann1 - Step 3'!C1119</f>
        <v>Build &amp; Operation</v>
      </c>
      <c r="D1119" s="6" t="str">
        <f>'Ann2 - Step 3'!C1119</f>
        <v>Build &amp; Operation</v>
      </c>
      <c r="E1119" s="6" t="b">
        <f t="shared" si="8"/>
        <v>0</v>
      </c>
      <c r="F1119" s="6"/>
      <c r="G1119" s="6" t="str">
        <f t="shared" si="9"/>
        <v>Build &amp; Operation</v>
      </c>
    </row>
    <row r="1120" spans="1:7" ht="14" x14ac:dyDescent="0.15">
      <c r="A1120" s="6" t="s">
        <v>1832</v>
      </c>
      <c r="B1120" s="8" t="s">
        <v>2261</v>
      </c>
      <c r="C1120" s="6" t="str">
        <f>'Ann1 - Step 3'!C1120</f>
        <v>NOT_ENOUGH_CONTEXT</v>
      </c>
      <c r="D1120" s="6" t="str">
        <f>'Ann2 - Step 3'!C1120</f>
        <v>NOT_ENOUGH_CONTEXT</v>
      </c>
      <c r="E1120" s="6" t="b">
        <f t="shared" si="8"/>
        <v>0</v>
      </c>
      <c r="F1120" s="6"/>
      <c r="G1120" s="6" t="str">
        <f t="shared" si="9"/>
        <v>NOT_ENOUGH_CONTEXT</v>
      </c>
    </row>
    <row r="1121" spans="1:7" ht="14" x14ac:dyDescent="0.15">
      <c r="A1121" s="6" t="s">
        <v>1832</v>
      </c>
      <c r="B1121" s="8" t="s">
        <v>2261</v>
      </c>
      <c r="C1121" s="6" t="str">
        <f>'Ann1 - Step 3'!C1121</f>
        <v>NOT_ENOUGH_CONTEXT</v>
      </c>
      <c r="D1121" s="6" t="str">
        <f>'Ann2 - Step 3'!C1121</f>
        <v>NOT_ENOUGH_CONTEXT</v>
      </c>
      <c r="E1121" s="6" t="b">
        <f t="shared" si="8"/>
        <v>0</v>
      </c>
      <c r="F1121" s="6"/>
      <c r="G1121" s="6" t="str">
        <f t="shared" si="9"/>
        <v>NOT_ENOUGH_CONTEXT</v>
      </c>
    </row>
    <row r="1122" spans="1:7" ht="14" x14ac:dyDescent="0.15">
      <c r="A1122" s="6" t="s">
        <v>1832</v>
      </c>
      <c r="B1122" s="8" t="s">
        <v>2261</v>
      </c>
      <c r="C1122" s="6" t="str">
        <f>'Ann1 - Step 3'!C1122</f>
        <v>NOT_ENOUGH_CONTEXT</v>
      </c>
      <c r="D1122" s="6" t="str">
        <f>'Ann2 - Step 3'!C1122</f>
        <v>NOT_ENOUGH_CONTEXT</v>
      </c>
      <c r="E1122" s="6" t="b">
        <f t="shared" si="8"/>
        <v>0</v>
      </c>
      <c r="F1122" s="6"/>
      <c r="G1122" s="6" t="str">
        <f t="shared" si="9"/>
        <v>NOT_ENOUGH_CONTEXT</v>
      </c>
    </row>
    <row r="1123" spans="1:7" ht="14" x14ac:dyDescent="0.15">
      <c r="A1123" s="6" t="s">
        <v>523</v>
      </c>
      <c r="B1123" s="8" t="s">
        <v>2320</v>
      </c>
      <c r="C1123" s="6" t="str">
        <f>'Ann1 - Step 3'!C1123</f>
        <v>Coding Pattern</v>
      </c>
      <c r="D1123" s="6" t="str">
        <f>'Ann2 - Step 3'!C1123</f>
        <v>Coding Pattern</v>
      </c>
      <c r="E1123" s="6" t="b">
        <f t="shared" si="8"/>
        <v>0</v>
      </c>
      <c r="F1123" s="6"/>
      <c r="G1123" s="6" t="str">
        <f t="shared" si="9"/>
        <v>Coding Pattern</v>
      </c>
    </row>
    <row r="1124" spans="1:7" ht="14" x14ac:dyDescent="0.15">
      <c r="A1124" s="6" t="s">
        <v>523</v>
      </c>
      <c r="B1124" s="8" t="s">
        <v>2321</v>
      </c>
      <c r="C1124" s="6" t="str">
        <f>'Ann1 - Step 3'!C1124</f>
        <v>Security</v>
      </c>
      <c r="D1124" s="6" t="str">
        <f>'Ann2 - Step 3'!C1124</f>
        <v>Security</v>
      </c>
      <c r="E1124" s="6" t="b">
        <f t="shared" si="8"/>
        <v>0</v>
      </c>
      <c r="F1124" s="6"/>
      <c r="G1124" s="6" t="str">
        <f t="shared" si="9"/>
        <v>Security</v>
      </c>
    </row>
    <row r="1125" spans="1:7" ht="14" x14ac:dyDescent="0.15">
      <c r="A1125" s="6" t="s">
        <v>2323</v>
      </c>
      <c r="B1125" s="8" t="s">
        <v>2324</v>
      </c>
      <c r="C1125" s="6" t="str">
        <f>'Ann1 - Step 3'!C1125</f>
        <v>Task Execution</v>
      </c>
      <c r="D1125" s="6" t="str">
        <f>'Ann2 - Step 3'!C1125</f>
        <v>Task Execution</v>
      </c>
      <c r="E1125" s="6" t="b">
        <f t="shared" si="8"/>
        <v>0</v>
      </c>
      <c r="F1125" s="6"/>
      <c r="G1125" s="6" t="str">
        <f t="shared" si="9"/>
        <v>Task Execution</v>
      </c>
    </row>
    <row r="1126" spans="1:7" ht="14" x14ac:dyDescent="0.15">
      <c r="A1126" s="6" t="s">
        <v>1843</v>
      </c>
      <c r="B1126" s="8" t="s">
        <v>2261</v>
      </c>
      <c r="C1126" s="6" t="str">
        <f>'Ann1 - Step 3'!C1126</f>
        <v>NOT_ENOUGH_CONTEXT</v>
      </c>
      <c r="D1126" s="6" t="str">
        <f>'Ann2 - Step 3'!C1126</f>
        <v>NOT_ENOUGH_CONTEXT</v>
      </c>
      <c r="E1126" s="6" t="b">
        <f t="shared" si="8"/>
        <v>0</v>
      </c>
      <c r="F1126" s="6"/>
      <c r="G1126" s="6" t="str">
        <f t="shared" si="9"/>
        <v>NOT_ENOUGH_CONTEXT</v>
      </c>
    </row>
    <row r="1127" spans="1:7" ht="14" x14ac:dyDescent="0.15">
      <c r="A1127" s="6" t="s">
        <v>1843</v>
      </c>
      <c r="B1127" s="8" t="s">
        <v>2261</v>
      </c>
      <c r="C1127" s="6" t="str">
        <f>'Ann1 - Step 3'!C1127</f>
        <v>NOT_ENOUGH_CONTEXT</v>
      </c>
      <c r="D1127" s="6" t="str">
        <f>'Ann2 - Step 3'!C1127</f>
        <v>NOT_ENOUGH_CONTEXT</v>
      </c>
      <c r="E1127" s="6" t="b">
        <f t="shared" si="8"/>
        <v>0</v>
      </c>
      <c r="F1127" s="6"/>
      <c r="G1127" s="6" t="str">
        <f t="shared" si="9"/>
        <v>NOT_ENOUGH_CONTEXT</v>
      </c>
    </row>
    <row r="1128" spans="1:7" ht="14" x14ac:dyDescent="0.15">
      <c r="A1128" s="6" t="s">
        <v>1843</v>
      </c>
      <c r="B1128" s="8" t="s">
        <v>2325</v>
      </c>
      <c r="C1128" s="6" t="str">
        <f>'Ann1 - Step 3'!C1128</f>
        <v>Build &amp; Operation</v>
      </c>
      <c r="D1128" s="6" t="str">
        <f>'Ann2 - Step 3'!C1128</f>
        <v>Build &amp; Operation</v>
      </c>
      <c r="E1128" s="6" t="b">
        <f t="shared" si="8"/>
        <v>0</v>
      </c>
      <c r="F1128" s="6"/>
      <c r="G1128" s="6" t="str">
        <f t="shared" si="9"/>
        <v>Build &amp; Operation</v>
      </c>
    </row>
    <row r="1129" spans="1:7" ht="14" x14ac:dyDescent="0.15">
      <c r="A1129" s="6" t="s">
        <v>1242</v>
      </c>
      <c r="B1129" s="8" t="s">
        <v>2326</v>
      </c>
      <c r="C1129" s="6" t="str">
        <f>'Ann1 - Step 3'!C1129</f>
        <v>Task Execution</v>
      </c>
      <c r="D1129" s="6" t="str">
        <f>'Ann2 - Step 3'!C1129</f>
        <v>Task Execution</v>
      </c>
      <c r="E1129" s="6" t="b">
        <f t="shared" si="8"/>
        <v>0</v>
      </c>
      <c r="F1129" s="6"/>
      <c r="G1129" s="6" t="str">
        <f t="shared" si="9"/>
        <v>Task Execution</v>
      </c>
    </row>
    <row r="1130" spans="1:7" ht="14" x14ac:dyDescent="0.15">
      <c r="A1130" s="6" t="s">
        <v>696</v>
      </c>
      <c r="B1130" s="8" t="s">
        <v>2327</v>
      </c>
      <c r="C1130" s="6" t="str">
        <f>'Ann1 - Step 3'!C1130</f>
        <v>Build &amp; Operation</v>
      </c>
      <c r="D1130" s="6" t="str">
        <f>'Ann2 - Step 3'!C1130</f>
        <v>Build &amp; Operation</v>
      </c>
      <c r="E1130" s="6" t="b">
        <f t="shared" si="8"/>
        <v>0</v>
      </c>
      <c r="F1130" s="6"/>
      <c r="G1130" s="6" t="str">
        <f t="shared" si="9"/>
        <v>Build &amp; Operation</v>
      </c>
    </row>
    <row r="1131" spans="1:7" ht="14" x14ac:dyDescent="0.15">
      <c r="A1131" s="6" t="s">
        <v>696</v>
      </c>
      <c r="B1131" s="8" t="s">
        <v>2328</v>
      </c>
      <c r="C1131" s="6" t="str">
        <f>'Ann1 - Step 3'!C1131</f>
        <v>Build &amp; Operation</v>
      </c>
      <c r="D1131" s="6" t="str">
        <f>'Ann2 - Step 3'!C1131</f>
        <v>Build &amp; Operation</v>
      </c>
      <c r="E1131" s="6" t="b">
        <f t="shared" si="8"/>
        <v>0</v>
      </c>
      <c r="F1131" s="6"/>
      <c r="G1131" s="6" t="str">
        <f t="shared" si="9"/>
        <v>Build &amp; Operation</v>
      </c>
    </row>
    <row r="1132" spans="1:7" ht="14" x14ac:dyDescent="0.15">
      <c r="A1132" s="6" t="s">
        <v>696</v>
      </c>
      <c r="B1132" s="8" t="s">
        <v>2329</v>
      </c>
      <c r="C1132" s="6" t="str">
        <f>'Ann1 - Step 3'!C1132</f>
        <v>Build &amp; Operation</v>
      </c>
      <c r="D1132" s="6" t="str">
        <f>'Ann2 - Step 3'!C1132</f>
        <v>Build &amp; Operation</v>
      </c>
      <c r="E1132" s="6" t="b">
        <f t="shared" si="8"/>
        <v>0</v>
      </c>
      <c r="F1132" s="6"/>
      <c r="G1132" s="6" t="str">
        <f t="shared" si="9"/>
        <v>Build &amp; Operation</v>
      </c>
    </row>
    <row r="1133" spans="1:7" ht="14" x14ac:dyDescent="0.15">
      <c r="A1133" s="6" t="s">
        <v>2330</v>
      </c>
      <c r="B1133" s="8" t="s">
        <v>2331</v>
      </c>
      <c r="C1133" s="6" t="str">
        <f>'Ann1 - Step 3'!C1133</f>
        <v>Task Execution</v>
      </c>
      <c r="D1133" s="6" t="str">
        <f>'Ann2 - Step 3'!C1133</f>
        <v>Task Execution</v>
      </c>
      <c r="E1133" s="6" t="b">
        <f t="shared" si="8"/>
        <v>0</v>
      </c>
      <c r="F1133" s="6"/>
      <c r="G1133" s="6" t="str">
        <f t="shared" si="9"/>
        <v>Task Execution</v>
      </c>
    </row>
    <row r="1134" spans="1:7" ht="14" x14ac:dyDescent="0.15">
      <c r="A1134" s="6" t="s">
        <v>557</v>
      </c>
      <c r="B1134" s="8" t="s">
        <v>2332</v>
      </c>
      <c r="C1134" s="6" t="str">
        <f>'Ann1 - Step 3'!C1134</f>
        <v>Coding Pattern</v>
      </c>
      <c r="D1134" s="6" t="str">
        <f>'Ann2 - Step 3'!C1134</f>
        <v>Coding Pattern</v>
      </c>
      <c r="E1134" s="6" t="b">
        <f t="shared" si="8"/>
        <v>0</v>
      </c>
      <c r="F1134" s="6"/>
      <c r="G1134" s="6" t="str">
        <f t="shared" si="9"/>
        <v>Coding Pattern</v>
      </c>
    </row>
    <row r="1135" spans="1:7" ht="14" x14ac:dyDescent="0.15">
      <c r="A1135" s="6" t="s">
        <v>557</v>
      </c>
      <c r="B1135" s="8" t="s">
        <v>2333</v>
      </c>
      <c r="C1135" s="6" t="str">
        <f>'Ann1 - Step 3'!C1135</f>
        <v>Security</v>
      </c>
      <c r="D1135" s="6" t="str">
        <f>'Ann2 - Step 3'!C1135</f>
        <v>Build &amp; Operation</v>
      </c>
      <c r="E1135" s="6" t="b">
        <f t="shared" si="8"/>
        <v>1</v>
      </c>
      <c r="F1135" s="30" t="s">
        <v>30</v>
      </c>
      <c r="G1135" s="6" t="str">
        <f t="shared" si="9"/>
        <v>Coding Pattern</v>
      </c>
    </row>
    <row r="1136" spans="1:7" ht="14" x14ac:dyDescent="0.15">
      <c r="A1136" s="6" t="s">
        <v>1255</v>
      </c>
      <c r="B1136" s="8" t="s">
        <v>2076</v>
      </c>
      <c r="C1136" s="6" t="str">
        <f>'Ann1 - Step 3'!C1136</f>
        <v>Task Execution</v>
      </c>
      <c r="D1136" s="6" t="str">
        <f>'Ann2 - Step 3'!C1136</f>
        <v>Task Execution</v>
      </c>
      <c r="E1136" s="6" t="b">
        <f t="shared" si="8"/>
        <v>0</v>
      </c>
      <c r="F1136" s="6"/>
      <c r="G1136" s="6" t="str">
        <f t="shared" si="9"/>
        <v>Task Execution</v>
      </c>
    </row>
    <row r="1137" spans="1:7" ht="14" x14ac:dyDescent="0.15">
      <c r="A1137" s="6" t="s">
        <v>1255</v>
      </c>
      <c r="B1137" s="8" t="s">
        <v>2023</v>
      </c>
      <c r="C1137" s="6" t="str">
        <f>'Ann1 - Step 3'!C1137</f>
        <v>Task Execution</v>
      </c>
      <c r="D1137" s="6" t="str">
        <f>'Ann2 - Step 3'!C1137</f>
        <v>Task Execution</v>
      </c>
      <c r="E1137" s="6" t="b">
        <f t="shared" si="8"/>
        <v>0</v>
      </c>
      <c r="F1137" s="6"/>
      <c r="G1137" s="6" t="str">
        <f t="shared" si="9"/>
        <v>Task Execution</v>
      </c>
    </row>
    <row r="1138" spans="1:7" ht="14" x14ac:dyDescent="0.15">
      <c r="A1138" s="6" t="s">
        <v>663</v>
      </c>
      <c r="B1138" s="8" t="s">
        <v>2334</v>
      </c>
      <c r="C1138" s="6" t="str">
        <f>'Ann1 - Step 3'!C1138</f>
        <v>Documentation</v>
      </c>
      <c r="D1138" s="6" t="str">
        <f>'Ann2 - Step 3'!C1138</f>
        <v>Documentation</v>
      </c>
      <c r="E1138" s="6" t="b">
        <f t="shared" si="8"/>
        <v>0</v>
      </c>
      <c r="F1138" s="6"/>
      <c r="G1138" s="6" t="str">
        <f t="shared" si="9"/>
        <v>Documentation</v>
      </c>
    </row>
    <row r="1139" spans="1:7" ht="14" x14ac:dyDescent="0.15">
      <c r="A1139" s="6" t="s">
        <v>663</v>
      </c>
      <c r="B1139" s="23" t="s">
        <v>2335</v>
      </c>
      <c r="C1139" s="6" t="str">
        <f>'Ann1 - Step 3'!C1139</f>
        <v>Build &amp; Operation</v>
      </c>
      <c r="D1139" s="6" t="str">
        <f>'Ann2 - Step 3'!C1139</f>
        <v>Task Execution</v>
      </c>
      <c r="E1139" s="6" t="b">
        <f t="shared" si="8"/>
        <v>1</v>
      </c>
      <c r="F1139" s="30" t="s">
        <v>18</v>
      </c>
      <c r="G1139" s="6" t="str">
        <f t="shared" si="9"/>
        <v>Task Execution</v>
      </c>
    </row>
    <row r="1140" spans="1:7" ht="14" x14ac:dyDescent="0.15">
      <c r="A1140" s="6" t="s">
        <v>663</v>
      </c>
      <c r="B1140" s="23" t="s">
        <v>2336</v>
      </c>
      <c r="C1140" s="6" t="str">
        <f>'Ann1 - Step 3'!C1140</f>
        <v>Build &amp; Operation</v>
      </c>
      <c r="D1140" s="6" t="str">
        <f>'Ann2 - Step 3'!C1140</f>
        <v>Task Execution</v>
      </c>
      <c r="E1140" s="6" t="b">
        <f t="shared" si="8"/>
        <v>1</v>
      </c>
      <c r="F1140" s="30" t="s">
        <v>18</v>
      </c>
      <c r="G1140" s="6" t="str">
        <f t="shared" si="9"/>
        <v>Task Execution</v>
      </c>
    </row>
    <row r="1141" spans="1:7" ht="14" x14ac:dyDescent="0.15">
      <c r="A1141" s="6" t="s">
        <v>1257</v>
      </c>
      <c r="B1141" s="8" t="s">
        <v>2337</v>
      </c>
      <c r="C1141" s="6" t="str">
        <f>'Ann1 - Step 3'!C1141</f>
        <v>Commit&amp;PR rule</v>
      </c>
      <c r="D1141" s="6" t="str">
        <f>'Ann2 - Step 3'!C1141</f>
        <v>Commit&amp;PR rule</v>
      </c>
      <c r="E1141" s="6" t="b">
        <f t="shared" si="8"/>
        <v>0</v>
      </c>
      <c r="F1141" s="6"/>
      <c r="G1141" s="6" t="str">
        <f t="shared" si="9"/>
        <v>Commit&amp;PR rule</v>
      </c>
    </row>
    <row r="1142" spans="1:7" ht="14" x14ac:dyDescent="0.15">
      <c r="A1142" s="6" t="s">
        <v>2340</v>
      </c>
      <c r="B1142" s="8" t="s">
        <v>2261</v>
      </c>
      <c r="C1142" s="6" t="str">
        <f>'Ann1 - Step 3'!C1142</f>
        <v>NOT_ENOUGH_CONTEXT</v>
      </c>
      <c r="D1142" s="6" t="str">
        <f>'Ann2 - Step 3'!C1142</f>
        <v>NOT_ENOUGH_CONTEXT</v>
      </c>
      <c r="E1142" s="6" t="b">
        <f t="shared" si="8"/>
        <v>0</v>
      </c>
      <c r="F1142" s="6"/>
      <c r="G1142" s="6" t="str">
        <f t="shared" si="9"/>
        <v>NOT_ENOUGH_CONTEXT</v>
      </c>
    </row>
    <row r="1143" spans="1:7" ht="14" x14ac:dyDescent="0.15">
      <c r="A1143" s="6" t="s">
        <v>2340</v>
      </c>
      <c r="B1143" s="8" t="s">
        <v>2261</v>
      </c>
      <c r="C1143" s="6" t="str">
        <f>'Ann1 - Step 3'!C1143</f>
        <v>NOT_ENOUGH_CONTEXT</v>
      </c>
      <c r="D1143" s="6" t="str">
        <f>'Ann2 - Step 3'!C1143</f>
        <v>NOT_ENOUGH_CONTEXT</v>
      </c>
      <c r="E1143" s="6" t="b">
        <f t="shared" si="8"/>
        <v>0</v>
      </c>
      <c r="F1143" s="6"/>
      <c r="G1143" s="6" t="str">
        <f t="shared" si="9"/>
        <v>NOT_ENOUGH_CONTEXT</v>
      </c>
    </row>
    <row r="1144" spans="1:7" ht="14" x14ac:dyDescent="0.15">
      <c r="A1144" s="6" t="s">
        <v>2340</v>
      </c>
      <c r="B1144" s="8" t="s">
        <v>2341</v>
      </c>
      <c r="C1144" s="6" t="str">
        <f>'Ann1 - Step 3'!C1144</f>
        <v>Build &amp; Operation</v>
      </c>
      <c r="D1144" s="6" t="str">
        <f>'Ann2 - Step 3'!C1144</f>
        <v>Build &amp; Operation</v>
      </c>
      <c r="E1144" s="6" t="b">
        <f t="shared" si="8"/>
        <v>0</v>
      </c>
      <c r="F1144" s="6"/>
      <c r="G1144" s="6" t="str">
        <f t="shared" si="9"/>
        <v>Build &amp; Operation</v>
      </c>
    </row>
    <row r="1145" spans="1:7" ht="14" x14ac:dyDescent="0.15">
      <c r="A1145" s="6" t="s">
        <v>1265</v>
      </c>
      <c r="B1145" s="8" t="s">
        <v>2261</v>
      </c>
      <c r="C1145" s="6" t="str">
        <f>'Ann1 - Step 3'!C1145</f>
        <v>NOT_ENOUGH_CONTEXT</v>
      </c>
      <c r="D1145" s="6" t="str">
        <f>'Ann2 - Step 3'!C1145</f>
        <v>NOT_ENOUGH_CONTEXT</v>
      </c>
      <c r="E1145" s="6" t="b">
        <f t="shared" si="8"/>
        <v>0</v>
      </c>
      <c r="F1145" s="6"/>
      <c r="G1145" s="6" t="str">
        <f t="shared" si="9"/>
        <v>NOT_ENOUGH_CONTEXT</v>
      </c>
    </row>
    <row r="1146" spans="1:7" ht="14" x14ac:dyDescent="0.15">
      <c r="A1146" s="6" t="s">
        <v>1265</v>
      </c>
      <c r="B1146" s="8" t="s">
        <v>2261</v>
      </c>
      <c r="C1146" s="6" t="str">
        <f>'Ann1 - Step 3'!C1146</f>
        <v>NOT_ENOUGH_CONTEXT</v>
      </c>
      <c r="D1146" s="6" t="str">
        <f>'Ann2 - Step 3'!C1146</f>
        <v>NOT_ENOUGH_CONTEXT</v>
      </c>
      <c r="E1146" s="6" t="b">
        <f t="shared" si="8"/>
        <v>0</v>
      </c>
      <c r="F1146" s="6"/>
      <c r="G1146" s="6" t="str">
        <f t="shared" si="9"/>
        <v>NOT_ENOUGH_CONTEXT</v>
      </c>
    </row>
    <row r="1147" spans="1:7" ht="14" x14ac:dyDescent="0.15">
      <c r="A1147" s="6" t="s">
        <v>1265</v>
      </c>
      <c r="B1147" s="8" t="s">
        <v>2342</v>
      </c>
      <c r="C1147" s="6" t="str">
        <f>'Ann1 - Step 3'!C1147</f>
        <v>Build &amp; Operation</v>
      </c>
      <c r="D1147" s="6" t="str">
        <f>'Ann2 - Step 3'!C1147</f>
        <v>Build &amp; Operation</v>
      </c>
      <c r="E1147" s="6" t="b">
        <f t="shared" si="8"/>
        <v>0</v>
      </c>
      <c r="F1147" s="6"/>
      <c r="G1147" s="6" t="str">
        <f t="shared" si="9"/>
        <v>Build &amp; Operation</v>
      </c>
    </row>
    <row r="1148" spans="1:7" ht="14" x14ac:dyDescent="0.15">
      <c r="A1148" s="6" t="s">
        <v>2345</v>
      </c>
      <c r="B1148" s="8" t="s">
        <v>2346</v>
      </c>
      <c r="C1148" s="6" t="str">
        <f>'Ann1 - Step 3'!C1148</f>
        <v>Coding Pattern</v>
      </c>
      <c r="D1148" s="6" t="str">
        <f>'Ann2 - Step 3'!C1148</f>
        <v>Coding Pattern</v>
      </c>
      <c r="E1148" s="6" t="b">
        <f t="shared" si="8"/>
        <v>0</v>
      </c>
      <c r="F1148" s="6"/>
      <c r="G1148" s="6" t="str">
        <f t="shared" si="9"/>
        <v>Coding Pattern</v>
      </c>
    </row>
    <row r="1149" spans="1:7" ht="14" x14ac:dyDescent="0.15">
      <c r="A1149" s="6" t="s">
        <v>2345</v>
      </c>
      <c r="B1149" s="8" t="s">
        <v>2347</v>
      </c>
      <c r="C1149" s="6" t="str">
        <f>'Ann1 - Step 3'!C1149</f>
        <v>Coding Pattern</v>
      </c>
      <c r="D1149" s="6" t="str">
        <f>'Ann2 - Step 3'!C1149</f>
        <v>Coding Pattern</v>
      </c>
      <c r="E1149" s="6" t="b">
        <f t="shared" si="8"/>
        <v>0</v>
      </c>
      <c r="F1149" s="6"/>
      <c r="G1149" s="6" t="str">
        <f t="shared" si="9"/>
        <v>Coding Pattern</v>
      </c>
    </row>
    <row r="1150" spans="1:7" ht="14" x14ac:dyDescent="0.15">
      <c r="A1150" s="6" t="s">
        <v>568</v>
      </c>
      <c r="B1150" s="8" t="s">
        <v>2348</v>
      </c>
      <c r="C1150" s="6" t="str">
        <f>'Ann1 - Step 3'!C1150</f>
        <v>Coding Style</v>
      </c>
      <c r="D1150" s="6" t="str">
        <f>'Ann2 - Step 3'!C1150</f>
        <v>Coding Pattern</v>
      </c>
      <c r="E1150" s="6" t="b">
        <f t="shared" si="8"/>
        <v>1</v>
      </c>
      <c r="F1150" s="30" t="s">
        <v>83</v>
      </c>
      <c r="G1150" s="6" t="str">
        <f t="shared" si="9"/>
        <v>Coding Style</v>
      </c>
    </row>
    <row r="1151" spans="1:7" ht="14" x14ac:dyDescent="0.15">
      <c r="A1151" s="6" t="s">
        <v>572</v>
      </c>
      <c r="B1151" s="8" t="s">
        <v>2349</v>
      </c>
      <c r="C1151" s="6" t="str">
        <f>'Ann1 - Step 3'!C1151</f>
        <v>Coding Pattern</v>
      </c>
      <c r="D1151" s="6" t="str">
        <f>'Ann2 - Step 3'!C1151</f>
        <v>Coding Pattern</v>
      </c>
      <c r="E1151" s="6" t="b">
        <f t="shared" si="8"/>
        <v>0</v>
      </c>
      <c r="F1151" s="6"/>
      <c r="G1151" s="6" t="str">
        <f t="shared" si="9"/>
        <v>Coding Pattern</v>
      </c>
    </row>
    <row r="1152" spans="1:7" ht="14" x14ac:dyDescent="0.15">
      <c r="A1152" s="6" t="s">
        <v>577</v>
      </c>
      <c r="B1152" s="8" t="s">
        <v>2350</v>
      </c>
      <c r="C1152" s="6" t="str">
        <f>'Ann1 - Step 3'!C1152</f>
        <v>Build &amp; Operation</v>
      </c>
      <c r="D1152" s="6" t="str">
        <f>'Ann2 - Step 3'!C1152</f>
        <v>Task Execution</v>
      </c>
      <c r="E1152" s="6" t="b">
        <f t="shared" si="8"/>
        <v>1</v>
      </c>
      <c r="F1152" s="30" t="s">
        <v>136</v>
      </c>
      <c r="G1152" s="6" t="str">
        <f t="shared" si="9"/>
        <v>Build &amp; Operation</v>
      </c>
    </row>
    <row r="1153" spans="1:7" ht="14" x14ac:dyDescent="0.15">
      <c r="A1153" s="6" t="s">
        <v>577</v>
      </c>
      <c r="B1153" s="8" t="s">
        <v>2351</v>
      </c>
      <c r="C1153" s="6" t="str">
        <f>'Ann1 - Step 3'!C1153</f>
        <v>Task Execution</v>
      </c>
      <c r="D1153" s="6" t="str">
        <f>'Ann2 - Step 3'!C1153</f>
        <v>Task Execution</v>
      </c>
      <c r="E1153" s="6" t="b">
        <f t="shared" si="8"/>
        <v>0</v>
      </c>
      <c r="F1153" s="6"/>
      <c r="G1153" s="6" t="str">
        <f t="shared" si="9"/>
        <v>Task Execution</v>
      </c>
    </row>
    <row r="1154" spans="1:7" ht="14" x14ac:dyDescent="0.15">
      <c r="A1154" s="6" t="s">
        <v>577</v>
      </c>
      <c r="B1154" s="8" t="s">
        <v>2352</v>
      </c>
      <c r="C1154" s="6" t="str">
        <f>'Ann1 - Step 3'!C1154</f>
        <v>Documentation</v>
      </c>
      <c r="D1154" s="6" t="str">
        <f>'Ann2 - Step 3'!C1154</f>
        <v>Documentation</v>
      </c>
      <c r="E1154" s="6" t="b">
        <f t="shared" si="8"/>
        <v>0</v>
      </c>
      <c r="F1154" s="6"/>
      <c r="G1154" s="6" t="str">
        <f t="shared" si="9"/>
        <v>Documentation</v>
      </c>
    </row>
    <row r="1155" spans="1:7" ht="14" x14ac:dyDescent="0.15">
      <c r="A1155" s="6" t="s">
        <v>577</v>
      </c>
      <c r="B1155" s="8" t="s">
        <v>2353</v>
      </c>
      <c r="C1155" s="6" t="str">
        <f>'Ann1 - Step 3'!C1155</f>
        <v>Commit&amp;PR rule</v>
      </c>
      <c r="D1155" s="6" t="str">
        <f>'Ann2 - Step 3'!C1155</f>
        <v>Commit&amp;PR rule</v>
      </c>
      <c r="E1155" s="6" t="b">
        <f t="shared" si="8"/>
        <v>0</v>
      </c>
      <c r="F1155" s="6"/>
      <c r="G1155" s="6" t="str">
        <f t="shared" si="9"/>
        <v>Commit&amp;PR rule</v>
      </c>
    </row>
    <row r="1156" spans="1:7" ht="14" x14ac:dyDescent="0.15">
      <c r="A1156" s="6" t="s">
        <v>65</v>
      </c>
      <c r="B1156" s="8" t="s">
        <v>2354</v>
      </c>
      <c r="C1156" s="6" t="str">
        <f>'Ann1 - Step 3'!C1156</f>
        <v>Task Execution</v>
      </c>
      <c r="D1156" s="6" t="str">
        <f>'Ann2 - Step 3'!C1156</f>
        <v>Task Execution</v>
      </c>
      <c r="E1156" s="6" t="b">
        <f t="shared" si="8"/>
        <v>0</v>
      </c>
      <c r="F1156" s="6"/>
      <c r="G1156" s="6" t="str">
        <f t="shared" si="9"/>
        <v>Task Execution</v>
      </c>
    </row>
    <row r="1157" spans="1:7" ht="14" x14ac:dyDescent="0.15">
      <c r="A1157" s="6" t="s">
        <v>65</v>
      </c>
      <c r="B1157" s="23" t="s">
        <v>2355</v>
      </c>
      <c r="C1157" s="6" t="str">
        <f>'Ann1 - Step 3'!C1157</f>
        <v>Build &amp; Operation</v>
      </c>
      <c r="D1157" s="6" t="str">
        <f>'Ann2 - Step 3'!C1157</f>
        <v>Task Execution</v>
      </c>
      <c r="E1157" s="6" t="b">
        <f t="shared" si="8"/>
        <v>1</v>
      </c>
      <c r="F1157" s="30" t="s">
        <v>18</v>
      </c>
      <c r="G1157" s="6" t="str">
        <f t="shared" si="9"/>
        <v>Task Execution</v>
      </c>
    </row>
    <row r="1158" spans="1:7" ht="14" x14ac:dyDescent="0.15">
      <c r="A1158" s="6" t="s">
        <v>65</v>
      </c>
      <c r="B1158" s="23" t="s">
        <v>2356</v>
      </c>
      <c r="C1158" s="6" t="str">
        <f>'Ann1 - Step 3'!C1158</f>
        <v>Build &amp; Operation</v>
      </c>
      <c r="D1158" s="6" t="str">
        <f>'Ann2 - Step 3'!C1158</f>
        <v>Task Execution</v>
      </c>
      <c r="E1158" s="6" t="b">
        <f t="shared" si="8"/>
        <v>1</v>
      </c>
      <c r="F1158" s="30" t="s">
        <v>18</v>
      </c>
      <c r="G1158" s="6" t="str">
        <f t="shared" si="9"/>
        <v>Task Execution</v>
      </c>
    </row>
    <row r="1159" spans="1:7" ht="14" x14ac:dyDescent="0.15">
      <c r="A1159" s="6" t="s">
        <v>594</v>
      </c>
      <c r="B1159" s="23" t="s">
        <v>2357</v>
      </c>
      <c r="C1159" s="6" t="str">
        <f>'Ann1 - Step 3'!C1159</f>
        <v>Build &amp; Operation</v>
      </c>
      <c r="D1159" s="6" t="str">
        <f>'Ann2 - Step 3'!C1159</f>
        <v>Task Execution</v>
      </c>
      <c r="E1159" s="6" t="b">
        <f t="shared" si="8"/>
        <v>1</v>
      </c>
      <c r="F1159" s="30" t="s">
        <v>18</v>
      </c>
      <c r="G1159" s="6" t="str">
        <f t="shared" si="9"/>
        <v>Task Execution</v>
      </c>
    </row>
    <row r="1160" spans="1:7" ht="14" x14ac:dyDescent="0.15">
      <c r="A1160" s="6" t="s">
        <v>594</v>
      </c>
      <c r="B1160" s="8" t="s">
        <v>2358</v>
      </c>
      <c r="C1160" s="6" t="str">
        <f>'Ann1 - Step 3'!C1160</f>
        <v>Documentation</v>
      </c>
      <c r="D1160" s="6" t="str">
        <f>'Ann2 - Step 3'!C1160</f>
        <v>Documentation</v>
      </c>
      <c r="E1160" s="6" t="b">
        <f t="shared" si="8"/>
        <v>0</v>
      </c>
      <c r="F1160" s="6"/>
      <c r="G1160" s="6" t="str">
        <f t="shared" si="9"/>
        <v>Documentation</v>
      </c>
    </row>
    <row r="1161" spans="1:7" ht="14" x14ac:dyDescent="0.15">
      <c r="A1161" s="6" t="s">
        <v>597</v>
      </c>
      <c r="B1161" s="8" t="s">
        <v>2359</v>
      </c>
      <c r="C1161" s="6" t="str">
        <f>'Ann1 - Step 3'!C1161</f>
        <v>Coding Pattern</v>
      </c>
      <c r="D1161" s="6" t="str">
        <f>'Ann2 - Step 3'!C1161</f>
        <v>Coding Pattern</v>
      </c>
      <c r="E1161" s="6" t="b">
        <f t="shared" si="8"/>
        <v>0</v>
      </c>
      <c r="F1161" s="6"/>
      <c r="G1161" s="6" t="str">
        <f t="shared" si="9"/>
        <v>Coding Pattern</v>
      </c>
    </row>
    <row r="1162" spans="1:7" ht="14" x14ac:dyDescent="0.15">
      <c r="A1162" s="6" t="s">
        <v>597</v>
      </c>
      <c r="B1162" s="8" t="s">
        <v>2360</v>
      </c>
      <c r="C1162" s="6" t="str">
        <f>'Ann1 - Step 3'!C1162</f>
        <v>Build &amp; Operation</v>
      </c>
      <c r="D1162" s="6" t="str">
        <f>'Ann2 - Step 3'!C1162</f>
        <v>Build &amp; Operation</v>
      </c>
      <c r="E1162" s="6" t="b">
        <f t="shared" si="8"/>
        <v>0</v>
      </c>
      <c r="F1162" s="6"/>
      <c r="G1162" s="6" t="str">
        <f t="shared" si="9"/>
        <v>Build &amp; Operation</v>
      </c>
    </row>
    <row r="1163" spans="1:7" ht="14" x14ac:dyDescent="0.15">
      <c r="A1163" s="6" t="s">
        <v>597</v>
      </c>
      <c r="B1163" s="8" t="s">
        <v>2361</v>
      </c>
      <c r="C1163" s="6" t="str">
        <f>'Ann1 - Step 3'!C1163</f>
        <v>Testing</v>
      </c>
      <c r="D1163" s="6" t="str">
        <f>'Ann2 - Step 3'!C1163</f>
        <v>Testing</v>
      </c>
      <c r="E1163" s="6" t="b">
        <f t="shared" si="8"/>
        <v>0</v>
      </c>
      <c r="F1163" s="6"/>
      <c r="G1163" s="6" t="str">
        <f t="shared" si="9"/>
        <v>Testing</v>
      </c>
    </row>
    <row r="1164" spans="1:7" ht="14" x14ac:dyDescent="0.15">
      <c r="A1164" s="6" t="s">
        <v>597</v>
      </c>
      <c r="B1164" s="8" t="s">
        <v>2362</v>
      </c>
      <c r="C1164" s="6" t="str">
        <f>'Ann1 - Step 3'!C1164</f>
        <v>Build &amp; Operation</v>
      </c>
      <c r="D1164" s="6" t="str">
        <f>'Ann2 - Step 3'!C1164</f>
        <v>Build &amp; Operation</v>
      </c>
      <c r="E1164" s="6" t="b">
        <f t="shared" si="8"/>
        <v>0</v>
      </c>
      <c r="F1164" s="6"/>
      <c r="G1164" s="6" t="str">
        <f t="shared" si="9"/>
        <v>Build &amp; Operation</v>
      </c>
    </row>
    <row r="1165" spans="1:7" ht="14" x14ac:dyDescent="0.15">
      <c r="A1165" s="6" t="s">
        <v>70</v>
      </c>
      <c r="B1165" s="8" t="s">
        <v>2363</v>
      </c>
      <c r="C1165" s="6" t="str">
        <f>'Ann1 - Step 3'!C1165</f>
        <v>Coding Pattern</v>
      </c>
      <c r="D1165" s="6" t="str">
        <f>'Ann2 - Step 3'!C1165</f>
        <v>Coding Pattern</v>
      </c>
      <c r="E1165" s="6" t="b">
        <f t="shared" si="8"/>
        <v>0</v>
      </c>
      <c r="F1165" s="6"/>
      <c r="G1165" s="6" t="str">
        <f t="shared" si="9"/>
        <v>Coding Pattern</v>
      </c>
    </row>
    <row r="1166" spans="1:7" ht="14" x14ac:dyDescent="0.15">
      <c r="A1166" s="6" t="s">
        <v>853</v>
      </c>
      <c r="B1166" s="8" t="s">
        <v>2365</v>
      </c>
      <c r="C1166" s="6" t="str">
        <f>'Ann1 - Step 3'!C1166</f>
        <v>Security</v>
      </c>
      <c r="D1166" s="6" t="str">
        <f>'Ann2 - Step 3'!C1166</f>
        <v>Security</v>
      </c>
      <c r="E1166" s="6" t="b">
        <f t="shared" si="8"/>
        <v>0</v>
      </c>
      <c r="F1166" s="6"/>
      <c r="G1166" s="6" t="str">
        <f t="shared" si="9"/>
        <v>Security</v>
      </c>
    </row>
    <row r="1167" spans="1:7" ht="14" x14ac:dyDescent="0.15">
      <c r="A1167" s="6" t="s">
        <v>853</v>
      </c>
      <c r="B1167" s="8" t="s">
        <v>2366</v>
      </c>
      <c r="C1167" s="6" t="str">
        <f>'Ann1 - Step 3'!C1167</f>
        <v>Security</v>
      </c>
      <c r="D1167" s="6" t="str">
        <f>'Ann2 - Step 3'!C1167</f>
        <v>Security</v>
      </c>
      <c r="E1167" s="6" t="b">
        <f t="shared" si="8"/>
        <v>0</v>
      </c>
      <c r="F1167" s="6"/>
      <c r="G1167" s="6" t="str">
        <f t="shared" si="9"/>
        <v>Security</v>
      </c>
    </row>
    <row r="1168" spans="1:7" ht="14" x14ac:dyDescent="0.15">
      <c r="A1168" s="6" t="s">
        <v>853</v>
      </c>
      <c r="B1168" s="8" t="s">
        <v>2367</v>
      </c>
      <c r="C1168" s="6" t="str">
        <f>'Ann1 - Step 3'!C1168</f>
        <v>Security</v>
      </c>
      <c r="D1168" s="6" t="str">
        <f>'Ann2 - Step 3'!C1168</f>
        <v>Security</v>
      </c>
      <c r="E1168" s="6" t="b">
        <f t="shared" si="8"/>
        <v>0</v>
      </c>
      <c r="F1168" s="6"/>
      <c r="G1168" s="6" t="str">
        <f t="shared" si="9"/>
        <v>Security</v>
      </c>
    </row>
    <row r="1169" spans="1:7" ht="14" x14ac:dyDescent="0.15">
      <c r="A1169" s="6" t="s">
        <v>853</v>
      </c>
      <c r="B1169" s="8" t="s">
        <v>2368</v>
      </c>
      <c r="C1169" s="6" t="str">
        <f>'Ann1 - Step 3'!C1169</f>
        <v>Security</v>
      </c>
      <c r="D1169" s="6" t="str">
        <f>'Ann2 - Step 3'!C1169</f>
        <v>Security</v>
      </c>
      <c r="E1169" s="6" t="b">
        <f t="shared" si="8"/>
        <v>0</v>
      </c>
      <c r="F1169" s="6"/>
      <c r="G1169" s="6" t="str">
        <f t="shared" si="9"/>
        <v>Security</v>
      </c>
    </row>
    <row r="1170" spans="1:7" ht="14" x14ac:dyDescent="0.15">
      <c r="A1170" s="6" t="s">
        <v>853</v>
      </c>
      <c r="B1170" s="8" t="s">
        <v>2369</v>
      </c>
      <c r="C1170" s="6" t="str">
        <f>'Ann1 - Step 3'!C1170</f>
        <v>Coding Pattern</v>
      </c>
      <c r="D1170" s="6" t="str">
        <f>'Ann2 - Step 3'!C1170</f>
        <v>Coding Pattern</v>
      </c>
      <c r="E1170" s="6" t="b">
        <f t="shared" si="8"/>
        <v>0</v>
      </c>
      <c r="F1170" s="6"/>
      <c r="G1170" s="6" t="str">
        <f t="shared" si="9"/>
        <v>Coding Pattern</v>
      </c>
    </row>
    <row r="1171" spans="1:7" ht="14" x14ac:dyDescent="0.15">
      <c r="A1171" s="6" t="s">
        <v>853</v>
      </c>
      <c r="B1171" s="8" t="s">
        <v>2370</v>
      </c>
      <c r="C1171" s="6" t="str">
        <f>'Ann1 - Step 3'!C1171</f>
        <v>Coding Pattern</v>
      </c>
      <c r="D1171" s="6" t="str">
        <f>'Ann2 - Step 3'!C1171</f>
        <v>Coding Pattern</v>
      </c>
      <c r="E1171" s="6" t="b">
        <f t="shared" si="8"/>
        <v>0</v>
      </c>
      <c r="F1171" s="6"/>
      <c r="G1171" s="6" t="str">
        <f t="shared" si="9"/>
        <v>Coding Pattern</v>
      </c>
    </row>
    <row r="1172" spans="1:7" ht="14" x14ac:dyDescent="0.15">
      <c r="A1172" s="6" t="s">
        <v>853</v>
      </c>
      <c r="B1172" s="8" t="s">
        <v>2371</v>
      </c>
      <c r="C1172" s="6" t="str">
        <f>'Ann1 - Step 3'!C1172</f>
        <v>Coding Pattern</v>
      </c>
      <c r="D1172" s="6" t="str">
        <f>'Ann2 - Step 3'!C1172</f>
        <v>Coding Pattern</v>
      </c>
      <c r="E1172" s="6" t="b">
        <f t="shared" si="8"/>
        <v>0</v>
      </c>
      <c r="F1172" s="6"/>
      <c r="G1172" s="6" t="str">
        <f t="shared" si="9"/>
        <v>Coding Pattern</v>
      </c>
    </row>
    <row r="1173" spans="1:7" ht="14" x14ac:dyDescent="0.15">
      <c r="A1173" s="6" t="s">
        <v>853</v>
      </c>
      <c r="B1173" s="8" t="s">
        <v>2372</v>
      </c>
      <c r="C1173" s="6" t="str">
        <f>'Ann1 - Step 3'!C1173</f>
        <v>Task Execution</v>
      </c>
      <c r="D1173" s="6" t="str">
        <f>'Ann2 - Step 3'!C1173</f>
        <v>Task Execution</v>
      </c>
      <c r="E1173" s="6" t="b">
        <f t="shared" si="8"/>
        <v>0</v>
      </c>
      <c r="F1173" s="6"/>
      <c r="G1173" s="6" t="str">
        <f t="shared" si="9"/>
        <v>Task Execution</v>
      </c>
    </row>
    <row r="1174" spans="1:7" ht="14" x14ac:dyDescent="0.15">
      <c r="A1174" s="6" t="s">
        <v>853</v>
      </c>
      <c r="B1174" s="8" t="s">
        <v>2373</v>
      </c>
      <c r="C1174" s="6" t="str">
        <f>'Ann1 - Step 3'!C1174</f>
        <v>Commit&amp;PR rule</v>
      </c>
      <c r="D1174" s="6" t="str">
        <f>'Ann2 - Step 3'!C1174</f>
        <v>Commit&amp;PR rule</v>
      </c>
      <c r="E1174" s="6" t="b">
        <f t="shared" si="8"/>
        <v>0</v>
      </c>
      <c r="F1174" s="6"/>
      <c r="G1174" s="6" t="str">
        <f t="shared" si="9"/>
        <v>Commit&amp;PR rule</v>
      </c>
    </row>
    <row r="1175" spans="1:7" ht="28" x14ac:dyDescent="0.15">
      <c r="A1175" s="31" t="s">
        <v>853</v>
      </c>
      <c r="B1175" s="8" t="s">
        <v>2374</v>
      </c>
      <c r="C1175" s="6" t="str">
        <f>'Ann1 - Step 3'!C1175</f>
        <v>Security</v>
      </c>
      <c r="D1175" s="6" t="str">
        <f>'Ann2 - Step 3'!C1175</f>
        <v>Coding Pattern</v>
      </c>
      <c r="E1175" s="6" t="b">
        <f t="shared" si="8"/>
        <v>1</v>
      </c>
      <c r="F1175" s="30" t="s">
        <v>30</v>
      </c>
      <c r="G1175" s="6" t="str">
        <f t="shared" si="9"/>
        <v>Coding Pattern</v>
      </c>
    </row>
    <row r="1176" spans="1:7" ht="14" x14ac:dyDescent="0.15">
      <c r="A1176" s="6" t="s">
        <v>395</v>
      </c>
      <c r="B1176" s="8" t="s">
        <v>2375</v>
      </c>
      <c r="C1176" s="6" t="str">
        <f>'Ann1 - Step 3'!C1176</f>
        <v>Coding Pattern</v>
      </c>
      <c r="D1176" s="6" t="str">
        <f>'Ann2 - Step 3'!C1176</f>
        <v>Coding Pattern</v>
      </c>
      <c r="E1176" s="6" t="b">
        <f t="shared" si="8"/>
        <v>0</v>
      </c>
      <c r="F1176" s="6"/>
      <c r="G1176" s="6" t="str">
        <f t="shared" si="9"/>
        <v>Coding Pattern</v>
      </c>
    </row>
    <row r="1177" spans="1:7" ht="14" x14ac:dyDescent="0.15">
      <c r="A1177" s="31" t="s">
        <v>1165</v>
      </c>
      <c r="B1177" s="8" t="s">
        <v>2376</v>
      </c>
      <c r="C1177" s="6" t="str">
        <f>'Ann1 - Step 3'!C1177</f>
        <v>NOT_ENOUGH_CONTEXT</v>
      </c>
      <c r="D1177" s="6" t="str">
        <f>'Ann2 - Step 3'!C1177</f>
        <v>Coding Style</v>
      </c>
      <c r="E1177" s="6" t="b">
        <f t="shared" si="8"/>
        <v>1</v>
      </c>
      <c r="F1177" s="30" t="s">
        <v>513</v>
      </c>
      <c r="G1177" s="6" t="str">
        <f t="shared" si="9"/>
        <v>NOT_ENOUGH_CONTEXT</v>
      </c>
    </row>
    <row r="1178" spans="1:7" ht="14" x14ac:dyDescent="0.15">
      <c r="A1178" s="6" t="s">
        <v>175</v>
      </c>
      <c r="B1178" s="8" t="s">
        <v>2377</v>
      </c>
      <c r="C1178" s="6" t="str">
        <f>'Ann1 - Step 3'!C1178</f>
        <v>Testing</v>
      </c>
      <c r="D1178" s="6" t="str">
        <f>'Ann2 - Step 3'!C1178</f>
        <v>Testing</v>
      </c>
      <c r="E1178" s="6" t="b">
        <f t="shared" si="8"/>
        <v>0</v>
      </c>
      <c r="F1178" s="6"/>
      <c r="G1178" s="6" t="str">
        <f t="shared" si="9"/>
        <v>Testing</v>
      </c>
    </row>
    <row r="1179" spans="1:7" ht="28" x14ac:dyDescent="0.15">
      <c r="A1179" s="6" t="s">
        <v>175</v>
      </c>
      <c r="B1179" s="8" t="s">
        <v>2379</v>
      </c>
      <c r="C1179" s="6" t="str">
        <f>'Ann1 - Step 3'!C1179</f>
        <v>Testing</v>
      </c>
      <c r="D1179" s="6" t="str">
        <f>'Ann2 - Step 3'!C1179</f>
        <v>Testing</v>
      </c>
      <c r="E1179" s="6" t="b">
        <f t="shared" si="8"/>
        <v>0</v>
      </c>
      <c r="F1179" s="6"/>
      <c r="G1179" s="6" t="str">
        <f t="shared" si="9"/>
        <v>Testing</v>
      </c>
    </row>
    <row r="1180" spans="1:7" ht="14" x14ac:dyDescent="0.15">
      <c r="A1180" s="6" t="s">
        <v>955</v>
      </c>
      <c r="B1180" s="8" t="s">
        <v>2380</v>
      </c>
      <c r="C1180" s="6" t="str">
        <f>'Ann1 - Step 3'!C1180</f>
        <v>Coding Pattern</v>
      </c>
      <c r="D1180" s="6" t="str">
        <f>'Ann2 - Step 3'!C1180</f>
        <v>Coding Pattern</v>
      </c>
      <c r="E1180" s="6" t="b">
        <f t="shared" si="8"/>
        <v>0</v>
      </c>
      <c r="F1180" s="6"/>
      <c r="G1180" s="6" t="str">
        <f t="shared" si="9"/>
        <v>Coding Pattern</v>
      </c>
    </row>
    <row r="1181" spans="1:7" ht="14" x14ac:dyDescent="0.15">
      <c r="A1181" s="6" t="s">
        <v>1088</v>
      </c>
      <c r="B1181" s="8" t="s">
        <v>2381</v>
      </c>
      <c r="C1181" s="6" t="str">
        <f>'Ann1 - Step 3'!C1181</f>
        <v>Coding Pattern</v>
      </c>
      <c r="D1181" s="6" t="str">
        <f>'Ann2 - Step 3'!C1181</f>
        <v>Coding Pattern</v>
      </c>
      <c r="E1181" s="6" t="b">
        <f t="shared" si="8"/>
        <v>0</v>
      </c>
      <c r="F1181" s="6"/>
      <c r="G1181" s="6" t="str">
        <f t="shared" si="9"/>
        <v>Coding Pattern</v>
      </c>
    </row>
    <row r="1182" spans="1:7" ht="28" x14ac:dyDescent="0.15">
      <c r="A1182" s="6" t="s">
        <v>429</v>
      </c>
      <c r="B1182" s="8" t="s">
        <v>2382</v>
      </c>
      <c r="C1182" s="6" t="str">
        <f>'Ann1 - Step 3'!C1182</f>
        <v>Coding Pattern</v>
      </c>
      <c r="D1182" s="6" t="str">
        <f>'Ann2 - Step 3'!C1182</f>
        <v>Coding Pattern</v>
      </c>
      <c r="E1182" s="6" t="b">
        <f t="shared" si="8"/>
        <v>0</v>
      </c>
      <c r="F1182" s="6"/>
      <c r="G1182" s="6" t="str">
        <f t="shared" si="9"/>
        <v>Coding Pattern</v>
      </c>
    </row>
    <row r="1183" spans="1:7" ht="14" x14ac:dyDescent="0.15">
      <c r="A1183" s="6" t="s">
        <v>2384</v>
      </c>
      <c r="B1183" s="8" t="s">
        <v>2385</v>
      </c>
      <c r="C1183" s="6" t="str">
        <f>'Ann1 - Step 3'!C1183</f>
        <v>Coding Pattern</v>
      </c>
      <c r="D1183" s="6" t="str">
        <f>'Ann2 - Step 3'!C1183</f>
        <v>Coding Pattern</v>
      </c>
      <c r="E1183" s="6" t="b">
        <f t="shared" si="8"/>
        <v>0</v>
      </c>
      <c r="F1183" s="6"/>
      <c r="G1183" s="6" t="str">
        <f t="shared" si="9"/>
        <v>Coding Pattern</v>
      </c>
    </row>
    <row r="1184" spans="1:7" ht="14" x14ac:dyDescent="0.15">
      <c r="A1184" s="6" t="s">
        <v>401</v>
      </c>
      <c r="B1184" s="8" t="s">
        <v>2386</v>
      </c>
      <c r="C1184" s="6" t="str">
        <f>'Ann1 - Step 3'!C1184</f>
        <v>Coding Pattern</v>
      </c>
      <c r="D1184" s="6" t="str">
        <f>'Ann2 - Step 3'!C1184</f>
        <v>Coding Pattern</v>
      </c>
      <c r="E1184" s="6" t="b">
        <f t="shared" si="8"/>
        <v>0</v>
      </c>
      <c r="F1184" s="6"/>
      <c r="G1184" s="6" t="str">
        <f t="shared" si="9"/>
        <v>Coding Pattern</v>
      </c>
    </row>
    <row r="1185" spans="1:7" ht="14" x14ac:dyDescent="0.15">
      <c r="A1185" s="6" t="s">
        <v>429</v>
      </c>
      <c r="B1185" s="8" t="s">
        <v>2388</v>
      </c>
      <c r="C1185" s="6" t="str">
        <f>'Ann1 - Step 3'!C1185</f>
        <v>Coding Pattern</v>
      </c>
      <c r="D1185" s="6" t="str">
        <f>'Ann2 - Step 3'!C1185</f>
        <v>Coding Pattern</v>
      </c>
      <c r="E1185" s="6" t="b">
        <f t="shared" si="8"/>
        <v>0</v>
      </c>
      <c r="F1185" s="6"/>
      <c r="G1185" s="6" t="str">
        <f t="shared" si="9"/>
        <v>Coding Pattern</v>
      </c>
    </row>
    <row r="1186" spans="1:7" ht="14" x14ac:dyDescent="0.15">
      <c r="A1186" s="6" t="s">
        <v>447</v>
      </c>
      <c r="B1186" s="8" t="s">
        <v>2389</v>
      </c>
      <c r="C1186" s="6" t="str">
        <f>'Ann1 - Step 3'!C1186</f>
        <v>Maintainability</v>
      </c>
      <c r="D1186" s="6" t="str">
        <f>'Ann2 - Step 3'!C1186</f>
        <v>Coding Pattern</v>
      </c>
      <c r="E1186" s="6" t="b">
        <f t="shared" si="8"/>
        <v>1</v>
      </c>
      <c r="F1186" s="30" t="s">
        <v>30</v>
      </c>
      <c r="G1186" s="6" t="str">
        <f t="shared" si="9"/>
        <v>Coding Pattern</v>
      </c>
    </row>
    <row r="1187" spans="1:7" ht="14" x14ac:dyDescent="0.15">
      <c r="A1187" s="6" t="s">
        <v>456</v>
      </c>
      <c r="B1187" s="8" t="s">
        <v>2389</v>
      </c>
      <c r="C1187" s="6" t="str">
        <f>'Ann1 - Step 3'!C1187</f>
        <v>Maintainability</v>
      </c>
      <c r="D1187" s="6" t="str">
        <f>'Ann2 - Step 3'!C1187</f>
        <v>Coding Pattern</v>
      </c>
      <c r="E1187" s="6" t="b">
        <f t="shared" si="8"/>
        <v>1</v>
      </c>
      <c r="F1187" s="30" t="s">
        <v>30</v>
      </c>
      <c r="G1187" s="6" t="str">
        <f t="shared" si="9"/>
        <v>Coding Pattern</v>
      </c>
    </row>
    <row r="1188" spans="1:7" ht="14" x14ac:dyDescent="0.15">
      <c r="A1188" s="6" t="s">
        <v>429</v>
      </c>
      <c r="B1188" s="8" t="s">
        <v>2390</v>
      </c>
      <c r="C1188" s="6" t="str">
        <f>'Ann1 - Step 3'!C1188</f>
        <v>Coding Pattern</v>
      </c>
      <c r="D1188" s="6" t="str">
        <f>'Ann2 - Step 3'!C1188</f>
        <v>Coding Pattern</v>
      </c>
      <c r="E1188" s="6" t="b">
        <f t="shared" si="8"/>
        <v>0</v>
      </c>
      <c r="F1188" s="6"/>
      <c r="G1188" s="6" t="str">
        <f t="shared" si="9"/>
        <v>Coding Pattern</v>
      </c>
    </row>
    <row r="1189" spans="1:7" ht="14" x14ac:dyDescent="0.15">
      <c r="A1189" s="6" t="s">
        <v>154</v>
      </c>
      <c r="B1189" s="8" t="s">
        <v>2391</v>
      </c>
      <c r="C1189" s="6" t="str">
        <f>'Ann1 - Step 3'!C1189</f>
        <v>Commit&amp;PR rule</v>
      </c>
      <c r="D1189" s="6" t="str">
        <f>'Ann2 - Step 3'!C1189</f>
        <v>Commit&amp;PR rule</v>
      </c>
      <c r="E1189" s="6" t="b">
        <f t="shared" si="8"/>
        <v>0</v>
      </c>
      <c r="F1189" s="6"/>
      <c r="G1189" s="6" t="str">
        <f t="shared" si="9"/>
        <v>Commit&amp;PR rule</v>
      </c>
    </row>
    <row r="1190" spans="1:7" ht="14" x14ac:dyDescent="0.15">
      <c r="A1190" s="31" t="s">
        <v>57</v>
      </c>
      <c r="B1190" s="8" t="s">
        <v>2392</v>
      </c>
      <c r="C1190" s="6" t="str">
        <f>'Ann1 - Step 3'!C1190</f>
        <v>Testing</v>
      </c>
      <c r="D1190" s="6" t="str">
        <f>'Ann2 - Step 3'!C1190</f>
        <v>Task Execution</v>
      </c>
      <c r="E1190" s="6" t="b">
        <f t="shared" si="8"/>
        <v>1</v>
      </c>
      <c r="F1190" s="30" t="s">
        <v>18</v>
      </c>
      <c r="G1190" s="6" t="str">
        <f t="shared" si="9"/>
        <v>Task Execution</v>
      </c>
    </row>
    <row r="1191" spans="1:7" ht="14" x14ac:dyDescent="0.15">
      <c r="A1191" s="31" t="s">
        <v>142</v>
      </c>
      <c r="B1191" s="8" t="s">
        <v>2393</v>
      </c>
      <c r="C1191" s="6" t="str">
        <f>'Ann1 - Step 3'!C1191</f>
        <v>Coding Pattern</v>
      </c>
      <c r="D1191" s="6" t="str">
        <f>'Ann2 - Step 3'!C1191</f>
        <v>Coding Pattern</v>
      </c>
      <c r="E1191" s="6" t="b">
        <f t="shared" si="8"/>
        <v>0</v>
      </c>
      <c r="F1191" s="6"/>
      <c r="G1191" s="6" t="str">
        <f t="shared" si="9"/>
        <v>Coding Pattern</v>
      </c>
    </row>
    <row r="1192" spans="1:7" ht="14" x14ac:dyDescent="0.15">
      <c r="A1192" s="6" t="s">
        <v>142</v>
      </c>
      <c r="B1192" s="8" t="s">
        <v>2394</v>
      </c>
      <c r="C1192" s="6" t="str">
        <f>'Ann1 - Step 3'!C1192</f>
        <v>Testing</v>
      </c>
      <c r="D1192" s="6" t="str">
        <f>'Ann2 - Step 3'!C1192</f>
        <v>Testing</v>
      </c>
      <c r="E1192" s="6" t="b">
        <f t="shared" si="8"/>
        <v>0</v>
      </c>
      <c r="F1192" s="6"/>
      <c r="G1192" s="6" t="str">
        <f t="shared" si="9"/>
        <v>Testing</v>
      </c>
    </row>
    <row r="1193" spans="1:7" ht="14" x14ac:dyDescent="0.15">
      <c r="A1193" s="6" t="s">
        <v>683</v>
      </c>
      <c r="B1193" s="8" t="s">
        <v>2396</v>
      </c>
      <c r="C1193" s="6" t="str">
        <f>'Ann1 - Step 3'!C1193</f>
        <v>Testing</v>
      </c>
      <c r="D1193" s="6" t="str">
        <f>'Ann2 - Step 3'!C1193</f>
        <v>Testing</v>
      </c>
      <c r="E1193" s="6" t="b">
        <f t="shared" si="8"/>
        <v>0</v>
      </c>
      <c r="F1193" s="6"/>
      <c r="G1193" s="6" t="str">
        <f t="shared" si="9"/>
        <v>Testing</v>
      </c>
    </row>
    <row r="1194" spans="1:7" ht="14" x14ac:dyDescent="0.15">
      <c r="A1194" s="6" t="s">
        <v>600</v>
      </c>
      <c r="B1194" s="8" t="s">
        <v>2397</v>
      </c>
      <c r="C1194" s="6" t="str">
        <f>'Ann1 - Step 3'!C1194</f>
        <v>Coding Pattern</v>
      </c>
      <c r="D1194" s="6" t="str">
        <f>'Ann2 - Step 3'!C1194</f>
        <v>Coding Pattern</v>
      </c>
      <c r="E1194" s="6" t="b">
        <f t="shared" si="8"/>
        <v>0</v>
      </c>
      <c r="F1194" s="6"/>
      <c r="G1194" s="6" t="str">
        <f t="shared" si="9"/>
        <v>Coding Pattern</v>
      </c>
    </row>
    <row r="1195" spans="1:7" ht="14" x14ac:dyDescent="0.15">
      <c r="A1195" s="6" t="s">
        <v>86</v>
      </c>
      <c r="B1195" s="8" t="s">
        <v>2398</v>
      </c>
      <c r="C1195" s="6" t="str">
        <f>'Ann1 - Step 3'!C1195</f>
        <v>Code Review</v>
      </c>
      <c r="D1195" s="6" t="str">
        <f>'Ann2 - Step 3'!C1195</f>
        <v>Code Review</v>
      </c>
      <c r="E1195" s="6" t="b">
        <f t="shared" si="8"/>
        <v>0</v>
      </c>
      <c r="F1195" s="6"/>
      <c r="G1195" s="6" t="str">
        <f t="shared" si="9"/>
        <v>Code Review</v>
      </c>
    </row>
    <row r="1196" spans="1:7" ht="14" x14ac:dyDescent="0.15">
      <c r="A1196" s="6" t="s">
        <v>429</v>
      </c>
      <c r="B1196" s="8" t="s">
        <v>2399</v>
      </c>
      <c r="C1196" s="6" t="str">
        <f>'Ann1 - Step 3'!C1196</f>
        <v>Coding Pattern</v>
      </c>
      <c r="D1196" s="6" t="str">
        <f>'Ann2 - Step 3'!C1196</f>
        <v>Coding Pattern</v>
      </c>
      <c r="E1196" s="6" t="b">
        <f t="shared" si="8"/>
        <v>0</v>
      </c>
      <c r="F1196" s="6"/>
      <c r="G1196" s="6" t="str">
        <f t="shared" si="9"/>
        <v>Coding Pattern</v>
      </c>
    </row>
    <row r="1197" spans="1:7" ht="14" x14ac:dyDescent="0.15">
      <c r="A1197" s="6" t="s">
        <v>429</v>
      </c>
      <c r="B1197" s="8" t="s">
        <v>2400</v>
      </c>
      <c r="C1197" s="6" t="str">
        <f>'Ann1 - Step 3'!C1197</f>
        <v>Commit&amp;PR rule</v>
      </c>
      <c r="D1197" s="6" t="str">
        <f>'Ann2 - Step 3'!C1197</f>
        <v>Commit&amp;PR rule</v>
      </c>
      <c r="E1197" s="6" t="b">
        <f t="shared" si="8"/>
        <v>0</v>
      </c>
      <c r="F1197" s="6"/>
      <c r="G1197" s="6" t="str">
        <f t="shared" si="9"/>
        <v>Commit&amp;PR rule</v>
      </c>
    </row>
    <row r="1198" spans="1:7" ht="14" x14ac:dyDescent="0.15">
      <c r="A1198" s="6" t="s">
        <v>142</v>
      </c>
      <c r="B1198" s="8" t="s">
        <v>2401</v>
      </c>
      <c r="C1198" s="6" t="str">
        <f>'Ann1 - Step 3'!C1198</f>
        <v>Coding Pattern</v>
      </c>
      <c r="D1198" s="6" t="str">
        <f>'Ann2 - Step 3'!C1198</f>
        <v>Coding Pattern</v>
      </c>
      <c r="E1198" s="6" t="b">
        <f t="shared" si="8"/>
        <v>0</v>
      </c>
      <c r="F1198" s="6"/>
      <c r="G1198" s="6" t="str">
        <f t="shared" si="9"/>
        <v>Coding Pattern</v>
      </c>
    </row>
    <row r="1199" spans="1:7" ht="14" x14ac:dyDescent="0.15">
      <c r="A1199" s="6" t="s">
        <v>853</v>
      </c>
      <c r="B1199" s="8" t="s">
        <v>2403</v>
      </c>
      <c r="C1199" s="6" t="str">
        <f>'Ann1 - Step 3'!C1199</f>
        <v>NOT_ENOUGH_CONTEXT</v>
      </c>
      <c r="D1199" s="6" t="str">
        <f>'Ann2 - Step 3'!C1199</f>
        <v>NOT_ENOUGH_CONTEXT</v>
      </c>
      <c r="E1199" s="6" t="b">
        <f t="shared" si="8"/>
        <v>0</v>
      </c>
      <c r="F1199" s="6"/>
      <c r="G1199" s="6" t="str">
        <f t="shared" si="9"/>
        <v>NOT_ENOUGH_CONTEXT</v>
      </c>
    </row>
    <row r="1200" spans="1:7" ht="28" x14ac:dyDescent="0.15">
      <c r="A1200" s="6" t="s">
        <v>249</v>
      </c>
      <c r="B1200" s="8" t="s">
        <v>2404</v>
      </c>
      <c r="C1200" s="6" t="str">
        <f>'Ann1 - Step 3'!C1200</f>
        <v>Coding Pattern</v>
      </c>
      <c r="D1200" s="6" t="str">
        <f>'Ann2 - Step 3'!C1200</f>
        <v>Coding Pattern</v>
      </c>
      <c r="E1200" s="6" t="b">
        <f t="shared" si="8"/>
        <v>0</v>
      </c>
      <c r="F1200" s="6"/>
      <c r="G1200" s="6" t="str">
        <f t="shared" si="9"/>
        <v>Coding Pattern</v>
      </c>
    </row>
    <row r="1201" spans="1:7" ht="14" x14ac:dyDescent="0.15">
      <c r="A1201" s="6" t="s">
        <v>256</v>
      </c>
      <c r="B1201" s="8" t="s">
        <v>2405</v>
      </c>
      <c r="C1201" s="6" t="str">
        <f>'Ann1 - Step 3'!C1201</f>
        <v>Commit&amp;PR rule</v>
      </c>
      <c r="D1201" s="6" t="str">
        <f>'Ann2 - Step 3'!C1201</f>
        <v>Commit&amp;PR rule</v>
      </c>
      <c r="E1201" s="6" t="b">
        <f t="shared" si="8"/>
        <v>0</v>
      </c>
      <c r="F1201" s="6"/>
      <c r="G1201" s="6" t="str">
        <f t="shared" si="9"/>
        <v>Commit&amp;PR rule</v>
      </c>
    </row>
    <row r="1202" spans="1:7" ht="28" x14ac:dyDescent="0.15">
      <c r="A1202" s="6" t="s">
        <v>399</v>
      </c>
      <c r="B1202" s="8" t="s">
        <v>2404</v>
      </c>
      <c r="C1202" s="6" t="str">
        <f>'Ann1 - Step 3'!C1202</f>
        <v>Coding Pattern</v>
      </c>
      <c r="D1202" s="6" t="str">
        <f>'Ann2 - Step 3'!C1202</f>
        <v>Coding Pattern</v>
      </c>
      <c r="E1202" s="6" t="b">
        <f t="shared" si="8"/>
        <v>0</v>
      </c>
      <c r="F1202" s="6"/>
      <c r="G1202" s="6" t="str">
        <f t="shared" si="9"/>
        <v>Coding Pattern</v>
      </c>
    </row>
    <row r="1203" spans="1:7" ht="28" x14ac:dyDescent="0.15">
      <c r="A1203" s="6" t="s">
        <v>86</v>
      </c>
      <c r="B1203" s="23" t="s">
        <v>2406</v>
      </c>
      <c r="C1203" s="6" t="str">
        <f>'Ann1 - Step 3'!C1203</f>
        <v>Build &amp; Operation</v>
      </c>
      <c r="D1203" s="6" t="str">
        <f>'Ann2 - Step 3'!C1203</f>
        <v>Task Execution</v>
      </c>
      <c r="E1203" s="6" t="b">
        <f t="shared" si="8"/>
        <v>1</v>
      </c>
      <c r="F1203" s="30" t="s">
        <v>18</v>
      </c>
      <c r="G1203" s="6" t="str">
        <f t="shared" si="9"/>
        <v>Task Execution</v>
      </c>
    </row>
    <row r="1204" spans="1:7" ht="14" x14ac:dyDescent="0.15">
      <c r="A1204" s="6" t="s">
        <v>853</v>
      </c>
      <c r="B1204" s="8" t="s">
        <v>2407</v>
      </c>
      <c r="C1204" s="6" t="str">
        <f>'Ann1 - Step 3'!C1204</f>
        <v>Coding Pattern</v>
      </c>
      <c r="D1204" s="6" t="str">
        <f>'Ann2 - Step 3'!C1204</f>
        <v>Coding Pattern</v>
      </c>
      <c r="E1204" s="6" t="b">
        <f t="shared" si="8"/>
        <v>0</v>
      </c>
      <c r="F1204" s="6"/>
      <c r="G1204" s="6" t="str">
        <f t="shared" si="9"/>
        <v>Coding Pattern</v>
      </c>
    </row>
    <row r="1205" spans="1:7" ht="14" x14ac:dyDescent="0.15">
      <c r="A1205" s="6" t="s">
        <v>37</v>
      </c>
      <c r="B1205" s="23" t="s">
        <v>2408</v>
      </c>
      <c r="C1205" s="6" t="str">
        <f>'Ann1 - Step 3'!C1205</f>
        <v>Coding Pattern</v>
      </c>
      <c r="D1205" s="6" t="str">
        <f>'Ann2 - Step 3'!C1205</f>
        <v>Task Execution</v>
      </c>
      <c r="E1205" s="6" t="b">
        <f t="shared" si="8"/>
        <v>1</v>
      </c>
      <c r="F1205" s="30" t="s">
        <v>18</v>
      </c>
      <c r="G1205" s="6" t="str">
        <f t="shared" si="9"/>
        <v>Task Execution</v>
      </c>
    </row>
    <row r="1206" spans="1:7" ht="14" x14ac:dyDescent="0.15">
      <c r="A1206" s="6" t="s">
        <v>94</v>
      </c>
      <c r="B1206" s="8" t="s">
        <v>2410</v>
      </c>
      <c r="C1206" s="6" t="str">
        <f>'Ann1 - Step 3'!C1206</f>
        <v>Coding Pattern</v>
      </c>
      <c r="D1206" s="6" t="str">
        <f>'Ann2 - Step 3'!C1206</f>
        <v>Coding Pattern</v>
      </c>
      <c r="E1206" s="6" t="b">
        <f t="shared" si="8"/>
        <v>0</v>
      </c>
      <c r="F1206" s="6"/>
      <c r="G1206" s="6" t="str">
        <f t="shared" si="9"/>
        <v>Coding Pattern</v>
      </c>
    </row>
    <row r="1207" spans="1:7" ht="28" x14ac:dyDescent="0.15">
      <c r="A1207" s="6" t="s">
        <v>129</v>
      </c>
      <c r="B1207" s="8" t="s">
        <v>2411</v>
      </c>
      <c r="C1207" s="6" t="str">
        <f>'Ann1 - Step 3'!C1207</f>
        <v>Coding Pattern</v>
      </c>
      <c r="D1207" s="6" t="str">
        <f>'Ann2 - Step 3'!C1207</f>
        <v>Coding Pattern</v>
      </c>
      <c r="E1207" s="6" t="b">
        <f t="shared" si="8"/>
        <v>0</v>
      </c>
      <c r="F1207" s="6"/>
      <c r="G1207" s="6" t="str">
        <f t="shared" si="9"/>
        <v>Coding Pattern</v>
      </c>
    </row>
    <row r="1208" spans="1:7" ht="14" x14ac:dyDescent="0.15">
      <c r="A1208" s="6" t="s">
        <v>129</v>
      </c>
      <c r="B1208" s="8" t="s">
        <v>2413</v>
      </c>
      <c r="C1208" s="6" t="str">
        <f>'Ann1 - Step 3'!C1208</f>
        <v>Coding Pattern</v>
      </c>
      <c r="D1208" s="6" t="str">
        <f>'Ann2 - Step 3'!C1208</f>
        <v>Coding Pattern</v>
      </c>
      <c r="E1208" s="6" t="b">
        <f t="shared" si="8"/>
        <v>0</v>
      </c>
      <c r="F1208" s="6"/>
      <c r="G1208" s="6" t="str">
        <f t="shared" si="9"/>
        <v>Coding Pattern</v>
      </c>
    </row>
    <row r="1209" spans="1:7" ht="14" x14ac:dyDescent="0.15">
      <c r="A1209" s="6" t="s">
        <v>133</v>
      </c>
      <c r="B1209" s="23" t="s">
        <v>2415</v>
      </c>
      <c r="C1209" s="6" t="str">
        <f>'Ann1 - Step 3'!C1209</f>
        <v>Build &amp; Operation</v>
      </c>
      <c r="D1209" s="6" t="str">
        <f>'Ann2 - Step 3'!C1209</f>
        <v>Task Execution</v>
      </c>
      <c r="E1209" s="6" t="b">
        <f t="shared" si="8"/>
        <v>1</v>
      </c>
      <c r="F1209" s="30" t="s">
        <v>18</v>
      </c>
      <c r="G1209" s="6" t="str">
        <f t="shared" si="9"/>
        <v>Task Execution</v>
      </c>
    </row>
    <row r="1210" spans="1:7" ht="14" x14ac:dyDescent="0.15">
      <c r="A1210" s="6" t="s">
        <v>2417</v>
      </c>
      <c r="B1210" s="8" t="s">
        <v>2418</v>
      </c>
      <c r="C1210" s="6" t="str">
        <f>'Ann1 - Step 3'!C1210</f>
        <v>Security</v>
      </c>
      <c r="D1210" s="6" t="str">
        <f>'Ann2 - Step 3'!C1210</f>
        <v>Security</v>
      </c>
      <c r="E1210" s="6" t="b">
        <f t="shared" si="8"/>
        <v>0</v>
      </c>
      <c r="F1210" s="6"/>
      <c r="G1210" s="6" t="str">
        <f t="shared" si="9"/>
        <v>Security</v>
      </c>
    </row>
    <row r="1211" spans="1:7" ht="14" x14ac:dyDescent="0.15">
      <c r="A1211" s="6" t="s">
        <v>239</v>
      </c>
      <c r="B1211" s="8" t="s">
        <v>2419</v>
      </c>
      <c r="C1211" s="6" t="str">
        <f>'Ann1 - Step 3'!C1211</f>
        <v>Maintainability</v>
      </c>
      <c r="D1211" s="6" t="str">
        <f>'Ann2 - Step 3'!C1211</f>
        <v>Coding Pattern</v>
      </c>
      <c r="E1211" s="6" t="b">
        <f t="shared" si="8"/>
        <v>1</v>
      </c>
      <c r="F1211" s="30" t="s">
        <v>30</v>
      </c>
      <c r="G1211" s="6" t="str">
        <f t="shared" si="9"/>
        <v>Coding Pattern</v>
      </c>
    </row>
    <row r="1212" spans="1:7" ht="28" x14ac:dyDescent="0.15">
      <c r="A1212" s="6" t="s">
        <v>710</v>
      </c>
      <c r="B1212" s="8" t="s">
        <v>2420</v>
      </c>
      <c r="C1212" s="6" t="str">
        <f>'Ann1 - Step 3'!C1212</f>
        <v>Maintainability</v>
      </c>
      <c r="D1212" s="6" t="str">
        <f>'Ann2 - Step 3'!C1212</f>
        <v>Task Execution</v>
      </c>
      <c r="E1212" s="6" t="b">
        <f t="shared" si="8"/>
        <v>1</v>
      </c>
      <c r="F1212" s="30" t="s">
        <v>30</v>
      </c>
      <c r="G1212" s="6" t="str">
        <f t="shared" si="9"/>
        <v>Coding Pattern</v>
      </c>
    </row>
    <row r="1213" spans="1:7" ht="14" x14ac:dyDescent="0.15">
      <c r="A1213" s="6" t="s">
        <v>1517</v>
      </c>
      <c r="B1213" s="8" t="s">
        <v>2419</v>
      </c>
      <c r="C1213" s="6" t="str">
        <f>'Ann1 - Step 3'!C1213</f>
        <v>Maintainability</v>
      </c>
      <c r="D1213" s="6" t="str">
        <f>'Ann2 - Step 3'!C1213</f>
        <v>Task Execution</v>
      </c>
      <c r="E1213" s="6" t="b">
        <f t="shared" si="8"/>
        <v>1</v>
      </c>
      <c r="F1213" s="30" t="s">
        <v>30</v>
      </c>
      <c r="G1213" s="6" t="str">
        <f t="shared" si="9"/>
        <v>Coding Pattern</v>
      </c>
    </row>
    <row r="1214" spans="1:7" ht="14" x14ac:dyDescent="0.15">
      <c r="A1214" s="6" t="s">
        <v>2294</v>
      </c>
      <c r="B1214" s="8" t="s">
        <v>2421</v>
      </c>
      <c r="C1214" s="6" t="str">
        <f>'Ann1 - Step 3'!C1214</f>
        <v>Commit&amp;PR rule</v>
      </c>
      <c r="D1214" s="6" t="str">
        <f>'Ann2 - Step 3'!C1214</f>
        <v>Commit&amp;PR rule</v>
      </c>
      <c r="E1214" s="6" t="b">
        <f t="shared" si="8"/>
        <v>0</v>
      </c>
      <c r="F1214" s="6"/>
      <c r="G1214" s="6" t="str">
        <f t="shared" si="9"/>
        <v>Commit&amp;PR rule</v>
      </c>
    </row>
    <row r="1215" spans="1:7" ht="14" x14ac:dyDescent="0.15">
      <c r="A1215" s="6" t="s">
        <v>1255</v>
      </c>
      <c r="B1215" s="8" t="s">
        <v>2422</v>
      </c>
      <c r="C1215" s="6" t="str">
        <f>'Ann1 - Step 3'!C1215</f>
        <v>Coding Pattern</v>
      </c>
      <c r="D1215" s="6" t="str">
        <f>'Ann2 - Step 3'!C1215</f>
        <v>Coding Pattern</v>
      </c>
      <c r="E1215" s="6" t="b">
        <f t="shared" si="8"/>
        <v>0</v>
      </c>
      <c r="F1215" s="6"/>
      <c r="G1215" s="6" t="str">
        <f t="shared" si="9"/>
        <v>Coding Pattern</v>
      </c>
    </row>
    <row r="1216" spans="1:7" ht="14" x14ac:dyDescent="0.15">
      <c r="A1216" s="6" t="s">
        <v>395</v>
      </c>
      <c r="B1216" s="8" t="s">
        <v>2423</v>
      </c>
      <c r="C1216" s="6" t="str">
        <f>'Ann1 - Step 3'!C1216</f>
        <v>Coding Pattern</v>
      </c>
      <c r="D1216" s="6" t="str">
        <f>'Ann2 - Step 3'!C1216</f>
        <v>Coding Pattern</v>
      </c>
      <c r="E1216" s="6" t="b">
        <f t="shared" si="8"/>
        <v>0</v>
      </c>
      <c r="F1216" s="6"/>
      <c r="G1216" s="6" t="str">
        <f t="shared" si="9"/>
        <v>Coding Pattern</v>
      </c>
    </row>
    <row r="1217" spans="1:8" ht="14" x14ac:dyDescent="0.15">
      <c r="A1217" s="6" t="s">
        <v>364</v>
      </c>
      <c r="B1217" s="8" t="s">
        <v>2425</v>
      </c>
      <c r="C1217" s="6" t="str">
        <f>'Ann1 - Step 3'!C1217</f>
        <v>Coding Pattern</v>
      </c>
      <c r="D1217" s="6" t="str">
        <f>'Ann2 - Step 3'!C1217</f>
        <v>Coding Pattern</v>
      </c>
      <c r="E1217" s="6" t="b">
        <f t="shared" si="8"/>
        <v>0</v>
      </c>
      <c r="F1217" s="6"/>
      <c r="G1217" s="6" t="str">
        <f t="shared" si="9"/>
        <v>Coding Pattern</v>
      </c>
    </row>
    <row r="1218" spans="1:8" ht="28" x14ac:dyDescent="0.15">
      <c r="A1218" s="6" t="s">
        <v>70</v>
      </c>
      <c r="B1218" s="8" t="s">
        <v>2427</v>
      </c>
      <c r="C1218" s="6" t="str">
        <f>'Ann1 - Step 3'!C1218</f>
        <v>Commit&amp;PR rule</v>
      </c>
      <c r="D1218" s="6" t="str">
        <f>'Ann2 - Step 3'!C1218</f>
        <v>Commit&amp;PR rule</v>
      </c>
      <c r="E1218" s="6" t="b">
        <f t="shared" si="8"/>
        <v>0</v>
      </c>
      <c r="F1218" s="6"/>
      <c r="G1218" s="6" t="str">
        <f t="shared" si="9"/>
        <v>Commit&amp;PR rule</v>
      </c>
    </row>
    <row r="1219" spans="1:8" ht="14" x14ac:dyDescent="0.15">
      <c r="A1219" s="6" t="s">
        <v>154</v>
      </c>
      <c r="B1219" s="8" t="s">
        <v>2429</v>
      </c>
      <c r="C1219" s="6" t="str">
        <f>'Ann1 - Step 3'!C1219</f>
        <v>Writing Style Preference</v>
      </c>
      <c r="D1219" s="6" t="str">
        <f>'Ann2 - Step 3'!C1219</f>
        <v>Task Execution</v>
      </c>
      <c r="E1219" s="6" t="b">
        <f t="shared" si="8"/>
        <v>1</v>
      </c>
      <c r="F1219" s="30" t="s">
        <v>77</v>
      </c>
      <c r="G1219" s="6" t="str">
        <f t="shared" si="9"/>
        <v>Writing Style Preference</v>
      </c>
    </row>
    <row r="1220" spans="1:8" ht="14" x14ac:dyDescent="0.15">
      <c r="A1220" s="6" t="s">
        <v>668</v>
      </c>
      <c r="B1220" s="8" t="s">
        <v>2430</v>
      </c>
      <c r="C1220" s="6" t="str">
        <f>'Ann1 - Step 3'!C1220</f>
        <v>Code Review</v>
      </c>
      <c r="D1220" s="6" t="str">
        <f>'Ann2 - Step 3'!C1220</f>
        <v>Task Execution</v>
      </c>
      <c r="E1220" s="6" t="b">
        <f t="shared" si="8"/>
        <v>1</v>
      </c>
      <c r="F1220" s="30" t="s">
        <v>67</v>
      </c>
      <c r="G1220" s="6" t="str">
        <f t="shared" si="9"/>
        <v>Code Review</v>
      </c>
    </row>
    <row r="1221" spans="1:8" ht="28" x14ac:dyDescent="0.15">
      <c r="A1221" s="6" t="s">
        <v>175</v>
      </c>
      <c r="B1221" s="8" t="s">
        <v>2431</v>
      </c>
      <c r="C1221" s="6" t="str">
        <f>'Ann1 - Step 3'!C1221</f>
        <v>Testing</v>
      </c>
      <c r="D1221" s="6" t="str">
        <f>'Ann2 - Step 3'!C1221</f>
        <v>Testing</v>
      </c>
      <c r="E1221" s="6" t="b">
        <f t="shared" si="8"/>
        <v>0</v>
      </c>
      <c r="F1221" s="6"/>
      <c r="G1221" s="6" t="str">
        <f t="shared" si="9"/>
        <v>Testing</v>
      </c>
    </row>
    <row r="1222" spans="1:8" ht="14" x14ac:dyDescent="0.15">
      <c r="A1222" s="6" t="s">
        <v>1477</v>
      </c>
      <c r="B1222" s="8" t="s">
        <v>2432</v>
      </c>
      <c r="C1222" s="6" t="str">
        <f>'Ann1 - Step 3'!C1222</f>
        <v>Task Execution</v>
      </c>
      <c r="D1222" s="6" t="str">
        <f>'Ann2 - Step 3'!C1222</f>
        <v>Task Execution</v>
      </c>
      <c r="E1222" s="6" t="b">
        <f t="shared" si="8"/>
        <v>0</v>
      </c>
      <c r="F1222" s="6"/>
      <c r="G1222" s="6" t="str">
        <f t="shared" si="9"/>
        <v>Task Execution</v>
      </c>
    </row>
    <row r="1223" spans="1:8" ht="14" x14ac:dyDescent="0.15">
      <c r="A1223" s="6" t="s">
        <v>256</v>
      </c>
      <c r="B1223" s="8" t="s">
        <v>2433</v>
      </c>
      <c r="C1223" s="6" t="str">
        <f>'Ann1 - Step 3'!C1223</f>
        <v>Task Execution</v>
      </c>
      <c r="D1223" s="6" t="str">
        <f>'Ann2 - Step 3'!C1223</f>
        <v>Task Execution</v>
      </c>
      <c r="E1223" s="6" t="b">
        <f t="shared" si="8"/>
        <v>0</v>
      </c>
      <c r="F1223" s="6"/>
      <c r="G1223" s="6" t="str">
        <f t="shared" si="9"/>
        <v>Task Execution</v>
      </c>
    </row>
    <row r="1224" spans="1:8" ht="14" x14ac:dyDescent="0.15">
      <c r="A1224" s="6" t="s">
        <v>32</v>
      </c>
      <c r="B1224" s="8" t="s">
        <v>2434</v>
      </c>
      <c r="C1224" s="6" t="str">
        <f>'Ann1 - Step 3'!C1224</f>
        <v>Coding Pattern</v>
      </c>
      <c r="D1224" s="6" t="str">
        <f>'Ann2 - Step 3'!C1224</f>
        <v>Coding Pattern</v>
      </c>
      <c r="E1224" s="6" t="b">
        <f t="shared" si="8"/>
        <v>0</v>
      </c>
      <c r="F1224" s="6"/>
      <c r="G1224" s="6" t="str">
        <f t="shared" si="9"/>
        <v>Coding Pattern</v>
      </c>
    </row>
    <row r="1225" spans="1:8" ht="14" x14ac:dyDescent="0.15">
      <c r="A1225" s="6" t="s">
        <v>1242</v>
      </c>
      <c r="B1225" s="8" t="s">
        <v>2435</v>
      </c>
      <c r="C1225" s="6" t="str">
        <f>'Ann1 - Step 3'!C1225</f>
        <v>Task Execution</v>
      </c>
      <c r="D1225" s="6" t="str">
        <f>'Ann2 - Step 3'!C1225</f>
        <v>Task Execution</v>
      </c>
      <c r="E1225" s="6" t="b">
        <f t="shared" si="8"/>
        <v>0</v>
      </c>
      <c r="F1225" s="6"/>
      <c r="G1225" s="6" t="str">
        <f t="shared" si="9"/>
        <v>Task Execution</v>
      </c>
    </row>
    <row r="1226" spans="1:8" ht="14" x14ac:dyDescent="0.15">
      <c r="A1226" s="6" t="s">
        <v>822</v>
      </c>
      <c r="B1226" s="8" t="s">
        <v>2436</v>
      </c>
      <c r="C1226" s="6" t="str">
        <f>'Ann1 - Step 3'!C1226</f>
        <v>Build &amp; Operation</v>
      </c>
      <c r="D1226" s="6" t="str">
        <f>'Ann2 - Step 3'!C1226</f>
        <v>Build &amp; Operation</v>
      </c>
      <c r="E1226" s="6" t="b">
        <f t="shared" si="8"/>
        <v>0</v>
      </c>
      <c r="F1226" s="6"/>
      <c r="G1226" s="6" t="str">
        <f t="shared" si="9"/>
        <v>Build &amp; Operation</v>
      </c>
    </row>
    <row r="1227" spans="1:8" ht="14" x14ac:dyDescent="0.15">
      <c r="A1227" s="6" t="s">
        <v>672</v>
      </c>
      <c r="B1227" s="8" t="s">
        <v>2438</v>
      </c>
      <c r="C1227" s="6" t="str">
        <f>'Ann1 - Step 3'!C1227</f>
        <v>Task Execution</v>
      </c>
      <c r="D1227" s="6" t="str">
        <f>'Ann2 - Step 3'!C1227</f>
        <v>Task Execution</v>
      </c>
      <c r="E1227" s="6" t="b">
        <f t="shared" si="8"/>
        <v>0</v>
      </c>
      <c r="F1227" s="6"/>
      <c r="G1227" s="6" t="str">
        <f t="shared" si="9"/>
        <v>Task Execution</v>
      </c>
    </row>
    <row r="1228" spans="1:8" ht="28" x14ac:dyDescent="0.15">
      <c r="A1228" s="6" t="s">
        <v>621</v>
      </c>
      <c r="B1228" s="8" t="s">
        <v>2439</v>
      </c>
      <c r="C1228" s="6" t="str">
        <f>'Ann1 - Step 3'!C1228</f>
        <v>Coding Style</v>
      </c>
      <c r="D1228" s="6" t="str">
        <f>'Ann2 - Step 3'!C1228</f>
        <v>Other</v>
      </c>
      <c r="E1228" s="6" t="b">
        <f t="shared" si="8"/>
        <v>1</v>
      </c>
      <c r="F1228" s="30" t="s">
        <v>30</v>
      </c>
      <c r="G1228" s="6" t="str">
        <f t="shared" si="9"/>
        <v>Coding Pattern</v>
      </c>
      <c r="H1228" s="6" t="s">
        <v>3303</v>
      </c>
    </row>
    <row r="1229" spans="1:8" ht="14" x14ac:dyDescent="0.15">
      <c r="A1229" s="6" t="s">
        <v>621</v>
      </c>
      <c r="B1229" s="8" t="s">
        <v>2440</v>
      </c>
      <c r="C1229" s="6" t="str">
        <f>'Ann1 - Step 3'!C1229</f>
        <v>Coding Style</v>
      </c>
      <c r="D1229" s="6" t="str">
        <f>'Ann2 - Step 3'!C1229</f>
        <v>Coding Pattern</v>
      </c>
      <c r="E1229" s="6" t="b">
        <f t="shared" si="8"/>
        <v>1</v>
      </c>
      <c r="F1229" s="30" t="s">
        <v>30</v>
      </c>
      <c r="G1229" s="6" t="str">
        <f t="shared" si="9"/>
        <v>Coding Pattern</v>
      </c>
    </row>
    <row r="1230" spans="1:8" ht="14" x14ac:dyDescent="0.15">
      <c r="A1230" s="6" t="s">
        <v>129</v>
      </c>
      <c r="B1230" s="8" t="s">
        <v>2441</v>
      </c>
      <c r="C1230" s="6" t="str">
        <f>'Ann1 - Step 3'!C1230</f>
        <v>Security</v>
      </c>
      <c r="D1230" s="6" t="str">
        <f>'Ann2 - Step 3'!C1230</f>
        <v>Security</v>
      </c>
      <c r="E1230" s="6" t="b">
        <f t="shared" si="8"/>
        <v>0</v>
      </c>
      <c r="F1230" s="6"/>
      <c r="G1230" s="6" t="str">
        <f t="shared" si="9"/>
        <v>Security</v>
      </c>
    </row>
    <row r="1231" spans="1:8" ht="28" x14ac:dyDescent="0.15">
      <c r="A1231" s="6" t="s">
        <v>1410</v>
      </c>
      <c r="B1231" s="8" t="s">
        <v>2442</v>
      </c>
      <c r="C1231" s="6" t="str">
        <f>'Ann1 - Step 3'!C1231</f>
        <v>Testing</v>
      </c>
      <c r="D1231" s="6" t="str">
        <f>'Ann2 - Step 3'!C1231</f>
        <v>Testing</v>
      </c>
      <c r="E1231" s="6" t="b">
        <f t="shared" si="8"/>
        <v>0</v>
      </c>
      <c r="F1231" s="6"/>
      <c r="G1231" s="6" t="str">
        <f t="shared" si="9"/>
        <v>Testing</v>
      </c>
    </row>
    <row r="1232" spans="1:8" ht="14" x14ac:dyDescent="0.15">
      <c r="A1232" s="6" t="s">
        <v>142</v>
      </c>
      <c r="B1232" s="8" t="s">
        <v>2443</v>
      </c>
      <c r="C1232" s="6" t="str">
        <f>'Ann1 - Step 3'!C1232</f>
        <v>Documentation</v>
      </c>
      <c r="D1232" s="6" t="str">
        <f>'Ann2 - Step 3'!C1232</f>
        <v>Documentation</v>
      </c>
      <c r="E1232" s="6" t="b">
        <f t="shared" si="8"/>
        <v>0</v>
      </c>
      <c r="F1232" s="6"/>
      <c r="G1232" s="6" t="str">
        <f t="shared" si="9"/>
        <v>Documentation</v>
      </c>
    </row>
    <row r="1233" spans="1:7" ht="14" x14ac:dyDescent="0.15">
      <c r="A1233" s="6" t="s">
        <v>2417</v>
      </c>
      <c r="B1233" s="8" t="s">
        <v>2444</v>
      </c>
      <c r="C1233" s="6" t="str">
        <f>'Ann1 - Step 3'!C1233</f>
        <v>Coding Pattern</v>
      </c>
      <c r="D1233" s="6" t="str">
        <f>'Ann2 - Step 3'!C1233</f>
        <v>Coding Pattern</v>
      </c>
      <c r="E1233" s="6" t="b">
        <f t="shared" si="8"/>
        <v>0</v>
      </c>
      <c r="F1233" s="6"/>
      <c r="G1233" s="6" t="str">
        <f t="shared" si="9"/>
        <v>Coding Pattern</v>
      </c>
    </row>
    <row r="1234" spans="1:7" ht="14" x14ac:dyDescent="0.15">
      <c r="A1234" s="6" t="s">
        <v>2417</v>
      </c>
      <c r="B1234" s="8" t="s">
        <v>2445</v>
      </c>
      <c r="C1234" s="6" t="str">
        <f>'Ann1 - Step 3'!C1234</f>
        <v>Build &amp; Operation</v>
      </c>
      <c r="D1234" s="6" t="str">
        <f>'Ann2 - Step 3'!C1234</f>
        <v>Build &amp; Operation</v>
      </c>
      <c r="E1234" s="6" t="b">
        <f t="shared" si="8"/>
        <v>0</v>
      </c>
      <c r="F1234" s="6"/>
      <c r="G1234" s="6" t="str">
        <f t="shared" si="9"/>
        <v>Build &amp; Operation</v>
      </c>
    </row>
    <row r="1235" spans="1:7" ht="14" x14ac:dyDescent="0.15">
      <c r="A1235" s="6" t="s">
        <v>175</v>
      </c>
      <c r="B1235" s="8" t="s">
        <v>2446</v>
      </c>
      <c r="C1235" s="6" t="str">
        <f>'Ann1 - Step 3'!C1235</f>
        <v>Coding Pattern</v>
      </c>
      <c r="D1235" s="6" t="str">
        <f>'Ann2 - Step 3'!C1235</f>
        <v>Task Execution</v>
      </c>
      <c r="E1235" s="6" t="b">
        <f t="shared" si="8"/>
        <v>1</v>
      </c>
      <c r="F1235" s="30" t="s">
        <v>30</v>
      </c>
      <c r="G1235" s="6" t="str">
        <f t="shared" si="9"/>
        <v>Coding Pattern</v>
      </c>
    </row>
    <row r="1236" spans="1:7" ht="28" x14ac:dyDescent="0.15">
      <c r="A1236" s="6" t="s">
        <v>107</v>
      </c>
      <c r="B1236" s="8" t="s">
        <v>2447</v>
      </c>
      <c r="C1236" s="6" t="str">
        <f>'Ann1 - Step 3'!C1236</f>
        <v>Coding Pattern</v>
      </c>
      <c r="D1236" s="6" t="str">
        <f>'Ann2 - Step 3'!C1236</f>
        <v>Coding Pattern</v>
      </c>
      <c r="E1236" s="6" t="b">
        <f t="shared" si="8"/>
        <v>0</v>
      </c>
      <c r="F1236" s="6"/>
      <c r="G1236" s="6" t="str">
        <f t="shared" si="9"/>
        <v>Coding Pattern</v>
      </c>
    </row>
    <row r="1237" spans="1:7" ht="42" x14ac:dyDescent="0.15">
      <c r="A1237" s="6" t="s">
        <v>832</v>
      </c>
      <c r="B1237" s="8" t="s">
        <v>2448</v>
      </c>
      <c r="C1237" s="6" t="str">
        <f>'Ann1 - Step 3'!C1237</f>
        <v>Security</v>
      </c>
      <c r="D1237" s="6" t="str">
        <f>'Ann2 - Step 3'!C1237</f>
        <v>Security</v>
      </c>
      <c r="E1237" s="6" t="b">
        <f t="shared" si="8"/>
        <v>0</v>
      </c>
      <c r="F1237" s="6"/>
      <c r="G1237" s="6" t="str">
        <f t="shared" si="9"/>
        <v>Security</v>
      </c>
    </row>
    <row r="1238" spans="1:7" ht="14" x14ac:dyDescent="0.15">
      <c r="A1238" s="6" t="s">
        <v>239</v>
      </c>
      <c r="B1238" s="8" t="s">
        <v>2449</v>
      </c>
      <c r="C1238" s="6" t="str">
        <f>'Ann1 - Step 3'!C1238</f>
        <v>Build &amp; Operation</v>
      </c>
      <c r="D1238" s="6" t="str">
        <f>'Ann2 - Step 3'!C1238</f>
        <v>Build &amp; Operation</v>
      </c>
      <c r="E1238" s="6" t="b">
        <f t="shared" si="8"/>
        <v>0</v>
      </c>
      <c r="F1238" s="6"/>
      <c r="G1238" s="6" t="str">
        <f t="shared" si="9"/>
        <v>Build &amp; Operation</v>
      </c>
    </row>
    <row r="1239" spans="1:7" ht="14" x14ac:dyDescent="0.15">
      <c r="A1239" s="6" t="s">
        <v>934</v>
      </c>
      <c r="B1239" s="8" t="s">
        <v>2450</v>
      </c>
      <c r="C1239" s="6" t="str">
        <f>'Ann1 - Step 3'!C1239</f>
        <v>Task Execution</v>
      </c>
      <c r="D1239" s="6" t="str">
        <f>'Ann2 - Step 3'!C1239</f>
        <v>Task Execution</v>
      </c>
      <c r="E1239" s="6" t="b">
        <f t="shared" si="8"/>
        <v>0</v>
      </c>
      <c r="F1239" s="6"/>
      <c r="G1239" s="6" t="str">
        <f t="shared" si="9"/>
        <v>Task Execution</v>
      </c>
    </row>
    <row r="1240" spans="1:7" ht="14" x14ac:dyDescent="0.15">
      <c r="A1240" s="6" t="s">
        <v>934</v>
      </c>
      <c r="B1240" s="8" t="s">
        <v>2451</v>
      </c>
      <c r="C1240" s="6" t="str">
        <f>'Ann1 - Step 3'!C1240</f>
        <v>Commit&amp;PR rule</v>
      </c>
      <c r="D1240" s="6" t="str">
        <f>'Ann2 - Step 3'!C1240</f>
        <v>Commit&amp;PR rule</v>
      </c>
      <c r="E1240" s="6" t="b">
        <f t="shared" si="8"/>
        <v>0</v>
      </c>
      <c r="F1240" s="6"/>
      <c r="G1240" s="6" t="str">
        <f t="shared" si="9"/>
        <v>Commit&amp;PR rule</v>
      </c>
    </row>
    <row r="1241" spans="1:7" ht="14" x14ac:dyDescent="0.15">
      <c r="A1241" s="6" t="s">
        <v>281</v>
      </c>
      <c r="B1241" s="8" t="s">
        <v>2452</v>
      </c>
      <c r="C1241" s="6" t="str">
        <f>'Ann1 - Step 3'!C1241</f>
        <v>Coding Pattern</v>
      </c>
      <c r="D1241" s="6" t="str">
        <f>'Ann2 - Step 3'!C1241</f>
        <v>Coding Pattern</v>
      </c>
      <c r="E1241" s="6" t="b">
        <f t="shared" si="8"/>
        <v>0</v>
      </c>
      <c r="F1241" s="6"/>
      <c r="G1241" s="6" t="str">
        <f t="shared" si="9"/>
        <v>Coding Pattern</v>
      </c>
    </row>
    <row r="1242" spans="1:7" ht="14" x14ac:dyDescent="0.15">
      <c r="A1242" s="6" t="s">
        <v>2152</v>
      </c>
      <c r="B1242" s="8" t="s">
        <v>2453</v>
      </c>
      <c r="C1242" s="6" t="str">
        <f>'Ann1 - Step 3'!C1242</f>
        <v>Security</v>
      </c>
      <c r="D1242" s="6" t="str">
        <f>'Ann2 - Step 3'!C1242</f>
        <v>Security</v>
      </c>
      <c r="E1242" s="6" t="b">
        <f t="shared" si="8"/>
        <v>0</v>
      </c>
      <c r="F1242" s="6"/>
      <c r="G1242" s="6" t="str">
        <f t="shared" si="9"/>
        <v>Security</v>
      </c>
    </row>
    <row r="1243" spans="1:7" ht="28" x14ac:dyDescent="0.15">
      <c r="A1243" s="6" t="s">
        <v>2177</v>
      </c>
      <c r="B1243" s="8" t="s">
        <v>2454</v>
      </c>
      <c r="C1243" s="6" t="str">
        <f>'Ann1 - Step 3'!C1243</f>
        <v>Coding Pattern</v>
      </c>
      <c r="D1243" s="6" t="str">
        <f>'Ann2 - Step 3'!C1243</f>
        <v>Coding Pattern</v>
      </c>
      <c r="E1243" s="6" t="b">
        <f t="shared" si="8"/>
        <v>0</v>
      </c>
      <c r="F1243" s="6"/>
      <c r="G1243" s="6" t="str">
        <f t="shared" si="9"/>
        <v>Coding Pattern</v>
      </c>
    </row>
    <row r="1244" spans="1:7" ht="14" x14ac:dyDescent="0.15">
      <c r="A1244" s="6" t="s">
        <v>1517</v>
      </c>
      <c r="B1244" s="8" t="s">
        <v>2449</v>
      </c>
      <c r="C1244" s="6" t="str">
        <f>'Ann1 - Step 3'!C1244</f>
        <v>Build &amp; Operation</v>
      </c>
      <c r="D1244" s="6" t="str">
        <f>'Ann2 - Step 3'!C1244</f>
        <v>Build &amp; Operation</v>
      </c>
      <c r="E1244" s="6" t="b">
        <f t="shared" si="8"/>
        <v>0</v>
      </c>
      <c r="F1244" s="6"/>
      <c r="G1244" s="6" t="str">
        <f t="shared" si="9"/>
        <v>Build &amp; Operation</v>
      </c>
    </row>
    <row r="1245" spans="1:7" ht="14" x14ac:dyDescent="0.15">
      <c r="A1245" s="6" t="s">
        <v>1155</v>
      </c>
      <c r="B1245" s="8" t="s">
        <v>2450</v>
      </c>
      <c r="C1245" s="6" t="str">
        <f>'Ann1 - Step 3'!C1245</f>
        <v>Task Execution</v>
      </c>
      <c r="D1245" s="6" t="str">
        <f>'Ann2 - Step 3'!C1245</f>
        <v>Task Execution</v>
      </c>
      <c r="E1245" s="6" t="b">
        <f t="shared" si="8"/>
        <v>0</v>
      </c>
      <c r="F1245" s="6"/>
      <c r="G1245" s="6" t="str">
        <f t="shared" si="9"/>
        <v>Task Execution</v>
      </c>
    </row>
    <row r="1246" spans="1:7" ht="14" x14ac:dyDescent="0.15">
      <c r="A1246" s="6" t="s">
        <v>1155</v>
      </c>
      <c r="B1246" s="8" t="s">
        <v>2451</v>
      </c>
      <c r="C1246" s="6" t="str">
        <f>'Ann1 - Step 3'!C1246</f>
        <v>Commit&amp;PR rule</v>
      </c>
      <c r="D1246" s="6" t="str">
        <f>'Ann2 - Step 3'!C1246</f>
        <v>Commit&amp;PR rule</v>
      </c>
      <c r="E1246" s="6" t="b">
        <f t="shared" si="8"/>
        <v>0</v>
      </c>
      <c r="F1246" s="6"/>
      <c r="G1246" s="6" t="str">
        <f t="shared" si="9"/>
        <v>Commit&amp;PR rule</v>
      </c>
    </row>
    <row r="1247" spans="1:7" ht="14" x14ac:dyDescent="0.15">
      <c r="A1247" s="6" t="s">
        <v>57</v>
      </c>
      <c r="B1247" s="8" t="s">
        <v>2455</v>
      </c>
      <c r="C1247" s="6" t="str">
        <f>'Ann1 - Step 3'!C1247</f>
        <v>Commit&amp;PR rule</v>
      </c>
      <c r="D1247" s="6" t="str">
        <f>'Ann2 - Step 3'!C1247</f>
        <v>Commit&amp;PR rule</v>
      </c>
      <c r="E1247" s="6" t="b">
        <f t="shared" si="8"/>
        <v>0</v>
      </c>
      <c r="F1247" s="6"/>
      <c r="G1247" s="6" t="str">
        <f t="shared" si="9"/>
        <v>Commit&amp;PR rule</v>
      </c>
    </row>
    <row r="1248" spans="1:7" ht="14" x14ac:dyDescent="0.15">
      <c r="A1248" s="6" t="s">
        <v>57</v>
      </c>
      <c r="B1248" s="8" t="s">
        <v>2456</v>
      </c>
      <c r="C1248" s="6" t="str">
        <f>'Ann1 - Step 3'!C1248</f>
        <v>Commit&amp;PR rule</v>
      </c>
      <c r="D1248" s="6" t="str">
        <f>'Ann2 - Step 3'!C1248</f>
        <v>Commit&amp;PR rule</v>
      </c>
      <c r="E1248" s="6" t="b">
        <f t="shared" si="8"/>
        <v>0</v>
      </c>
      <c r="F1248" s="6"/>
      <c r="G1248" s="6" t="str">
        <f t="shared" si="9"/>
        <v>Commit&amp;PR rule</v>
      </c>
    </row>
    <row r="1249" spans="1:7" ht="28" x14ac:dyDescent="0.15">
      <c r="A1249" s="6" t="s">
        <v>112</v>
      </c>
      <c r="B1249" s="8" t="s">
        <v>2447</v>
      </c>
      <c r="C1249" s="6" t="str">
        <f>'Ann1 - Step 3'!C1249</f>
        <v>Coding Pattern</v>
      </c>
      <c r="D1249" s="6" t="str">
        <f>'Ann2 - Step 3'!C1249</f>
        <v>Coding Pattern</v>
      </c>
      <c r="E1249" s="6" t="b">
        <f t="shared" si="8"/>
        <v>0</v>
      </c>
      <c r="F1249" s="6"/>
      <c r="G1249" s="6" t="str">
        <f t="shared" si="9"/>
        <v>Coding Pattern</v>
      </c>
    </row>
    <row r="1250" spans="1:7" ht="14" x14ac:dyDescent="0.15">
      <c r="A1250" s="31" t="s">
        <v>663</v>
      </c>
      <c r="B1250" s="8" t="s">
        <v>2457</v>
      </c>
      <c r="C1250" s="6" t="str">
        <f>'Ann1 - Step 3'!C1250</f>
        <v>Maintainability</v>
      </c>
      <c r="D1250" s="6" t="str">
        <f>'Ann2 - Step 3'!C1250</f>
        <v>Coding Pattern</v>
      </c>
      <c r="E1250" s="6" t="b">
        <f t="shared" si="8"/>
        <v>1</v>
      </c>
      <c r="F1250" s="30" t="s">
        <v>30</v>
      </c>
      <c r="G1250" s="6" t="str">
        <f t="shared" si="9"/>
        <v>Coding Pattern</v>
      </c>
    </row>
    <row r="1251" spans="1:7" ht="28" x14ac:dyDescent="0.15">
      <c r="A1251" s="6" t="s">
        <v>1257</v>
      </c>
      <c r="B1251" s="8" t="s">
        <v>2458</v>
      </c>
      <c r="C1251" s="6" t="str">
        <f>'Ann1 - Step 3'!C1251</f>
        <v>Commit&amp;PR rule</v>
      </c>
      <c r="D1251" s="6" t="str">
        <f>'Ann2 - Step 3'!C1251</f>
        <v>Commit&amp;PR rule</v>
      </c>
      <c r="E1251" s="6" t="b">
        <f t="shared" si="8"/>
        <v>0</v>
      </c>
      <c r="F1251" s="6"/>
      <c r="G1251" s="6" t="str">
        <f t="shared" si="9"/>
        <v>Commit&amp;PR rule</v>
      </c>
    </row>
    <row r="1252" spans="1:7" ht="14" x14ac:dyDescent="0.15">
      <c r="A1252" s="6" t="s">
        <v>2461</v>
      </c>
      <c r="B1252" s="8" t="s">
        <v>2462</v>
      </c>
      <c r="C1252" s="6" t="str">
        <f>'Ann1 - Step 3'!C1252</f>
        <v>Build &amp; Operation</v>
      </c>
      <c r="D1252" s="6" t="str">
        <f>'Ann2 - Step 3'!C1252</f>
        <v>Build &amp; Operation</v>
      </c>
      <c r="E1252" s="6" t="b">
        <f t="shared" si="8"/>
        <v>0</v>
      </c>
      <c r="F1252" s="6"/>
      <c r="G1252" s="6" t="str">
        <f t="shared" si="9"/>
        <v>Build &amp; Operation</v>
      </c>
    </row>
    <row r="1253" spans="1:7" ht="14" x14ac:dyDescent="0.15">
      <c r="A1253" s="6" t="s">
        <v>853</v>
      </c>
      <c r="B1253" s="8" t="s">
        <v>2463</v>
      </c>
      <c r="C1253" s="6" t="str">
        <f>'Ann1 - Step 3'!C1253</f>
        <v>Coding Pattern</v>
      </c>
      <c r="D1253" s="6" t="str">
        <f>'Ann2 - Step 3'!C1253</f>
        <v>Coding Pattern</v>
      </c>
      <c r="E1253" s="6" t="b">
        <f t="shared" si="8"/>
        <v>0</v>
      </c>
      <c r="F1253" s="6"/>
      <c r="G1253" s="6" t="str">
        <f t="shared" si="9"/>
        <v>Coding Pattern</v>
      </c>
    </row>
    <row r="1254" spans="1:7" ht="14" x14ac:dyDescent="0.15">
      <c r="A1254" s="6" t="s">
        <v>193</v>
      </c>
      <c r="B1254" s="8" t="s">
        <v>2464</v>
      </c>
      <c r="C1254" s="6" t="str">
        <f>'Ann1 - Step 3'!C1254</f>
        <v>Coding Pattern</v>
      </c>
      <c r="D1254" s="6" t="str">
        <f>'Ann2 - Step 3'!C1254</f>
        <v>Coding Pattern</v>
      </c>
      <c r="E1254" s="6" t="b">
        <f t="shared" si="8"/>
        <v>0</v>
      </c>
      <c r="F1254" s="6"/>
      <c r="G1254" s="6" t="str">
        <f t="shared" si="9"/>
        <v>Coding Pattern</v>
      </c>
    </row>
    <row r="1255" spans="1:7" ht="14" x14ac:dyDescent="0.15">
      <c r="A1255" s="6" t="s">
        <v>503</v>
      </c>
      <c r="B1255" s="8" t="s">
        <v>2466</v>
      </c>
      <c r="C1255" s="6" t="str">
        <f>'Ann1 - Step 3'!C1255</f>
        <v>Coding Pattern</v>
      </c>
      <c r="D1255" s="6" t="str">
        <f>'Ann2 - Step 3'!C1255</f>
        <v>Coding Pattern</v>
      </c>
      <c r="E1255" s="6" t="b">
        <f t="shared" si="8"/>
        <v>0</v>
      </c>
      <c r="F1255" s="6"/>
      <c r="G1255" s="6" t="str">
        <f t="shared" si="9"/>
        <v>Coding Pattern</v>
      </c>
    </row>
    <row r="1256" spans="1:7" ht="14" x14ac:dyDescent="0.15">
      <c r="A1256" s="6" t="s">
        <v>476</v>
      </c>
      <c r="B1256" s="8" t="s">
        <v>2467</v>
      </c>
      <c r="C1256" s="6" t="str">
        <f>'Ann1 - Step 3'!C1256</f>
        <v>Coding Pattern</v>
      </c>
      <c r="D1256" s="6" t="str">
        <f>'Ann2 - Step 3'!C1256</f>
        <v>Coding Pattern</v>
      </c>
      <c r="E1256" s="6" t="b">
        <f t="shared" si="8"/>
        <v>0</v>
      </c>
      <c r="F1256" s="6"/>
      <c r="G1256" s="6" t="str">
        <f t="shared" si="9"/>
        <v>Coding Pattern</v>
      </c>
    </row>
    <row r="1257" spans="1:7" ht="14" x14ac:dyDescent="0.15">
      <c r="A1257" s="6" t="s">
        <v>154</v>
      </c>
      <c r="B1257" s="8" t="s">
        <v>2468</v>
      </c>
      <c r="C1257" s="6" t="str">
        <f>'Ann1 - Step 3'!C1257</f>
        <v>Task Execution</v>
      </c>
      <c r="D1257" s="6" t="str">
        <f>'Ann2 - Step 3'!C1257</f>
        <v>Task Execution</v>
      </c>
      <c r="E1257" s="6" t="b">
        <f t="shared" si="8"/>
        <v>0</v>
      </c>
      <c r="F1257" s="6"/>
      <c r="G1257" s="6" t="str">
        <f t="shared" si="9"/>
        <v>Task Execution</v>
      </c>
    </row>
    <row r="1258" spans="1:7" ht="14" x14ac:dyDescent="0.15">
      <c r="A1258" s="6" t="s">
        <v>203</v>
      </c>
      <c r="B1258" s="8" t="s">
        <v>2469</v>
      </c>
      <c r="C1258" s="6" t="str">
        <f>'Ann1 - Step 3'!C1258</f>
        <v>Maintainability</v>
      </c>
      <c r="D1258" s="6" t="str">
        <f>'Ann2 - Step 3'!C1258</f>
        <v>Task Execution</v>
      </c>
      <c r="E1258" s="6" t="b">
        <f t="shared" si="8"/>
        <v>1</v>
      </c>
      <c r="F1258" s="30" t="s">
        <v>18</v>
      </c>
      <c r="G1258" s="6" t="str">
        <f t="shared" si="9"/>
        <v>Task Execution</v>
      </c>
    </row>
    <row r="1259" spans="1:7" ht="14" x14ac:dyDescent="0.15">
      <c r="A1259" s="6" t="s">
        <v>65</v>
      </c>
      <c r="B1259" s="8" t="s">
        <v>2470</v>
      </c>
      <c r="C1259" s="6" t="str">
        <f>'Ann1 - Step 3'!C1259</f>
        <v>Build &amp; Operation</v>
      </c>
      <c r="D1259" s="6" t="str">
        <f>'Ann2 - Step 3'!C1259</f>
        <v>Build &amp; Operation</v>
      </c>
      <c r="E1259" s="6" t="b">
        <f t="shared" si="8"/>
        <v>0</v>
      </c>
      <c r="F1259" s="6"/>
      <c r="G1259" s="6" t="str">
        <f t="shared" si="9"/>
        <v>Build &amp; Operation</v>
      </c>
    </row>
    <row r="1260" spans="1:7" ht="14" x14ac:dyDescent="0.15">
      <c r="A1260" s="6" t="s">
        <v>1257</v>
      </c>
      <c r="B1260" s="8" t="s">
        <v>2471</v>
      </c>
      <c r="C1260" s="6" t="str">
        <f>'Ann1 - Step 3'!C1260</f>
        <v>Task Execution</v>
      </c>
      <c r="D1260" s="6" t="str">
        <f>'Ann2 - Step 3'!C1260</f>
        <v>Task Execution</v>
      </c>
      <c r="E1260" s="6" t="b">
        <f t="shared" si="8"/>
        <v>0</v>
      </c>
      <c r="F1260" s="6"/>
      <c r="G1260" s="6" t="str">
        <f t="shared" si="9"/>
        <v>Task Execution</v>
      </c>
    </row>
    <row r="1261" spans="1:7" ht="14" x14ac:dyDescent="0.15">
      <c r="A1261" s="6" t="s">
        <v>1088</v>
      </c>
      <c r="B1261" s="8" t="s">
        <v>2472</v>
      </c>
      <c r="C1261" s="6" t="str">
        <f>'Ann1 - Step 3'!C1261</f>
        <v>Task Execution</v>
      </c>
      <c r="D1261" s="6" t="str">
        <f>'Ann2 - Step 3'!C1261</f>
        <v>Build &amp; Operation</v>
      </c>
      <c r="E1261" s="6" t="b">
        <f t="shared" si="8"/>
        <v>1</v>
      </c>
      <c r="F1261" s="30" t="s">
        <v>136</v>
      </c>
      <c r="G1261" s="6" t="str">
        <f t="shared" si="9"/>
        <v>Build &amp; Operation</v>
      </c>
    </row>
    <row r="1262" spans="1:7" ht="14" x14ac:dyDescent="0.15">
      <c r="A1262" s="6" t="s">
        <v>1933</v>
      </c>
      <c r="B1262" s="8" t="s">
        <v>2474</v>
      </c>
      <c r="C1262" s="6" t="str">
        <f>'Ann1 - Step 3'!C1262</f>
        <v>Commit&amp;PR rule</v>
      </c>
      <c r="D1262" s="6" t="str">
        <f>'Ann2 - Step 3'!C1262</f>
        <v>Commit&amp;PR rule</v>
      </c>
      <c r="E1262" s="6" t="b">
        <f t="shared" si="8"/>
        <v>0</v>
      </c>
      <c r="F1262" s="6"/>
      <c r="G1262" s="6" t="str">
        <f t="shared" si="9"/>
        <v>Commit&amp;PR rule</v>
      </c>
    </row>
    <row r="1263" spans="1:7" ht="14" x14ac:dyDescent="0.15">
      <c r="A1263" s="6" t="s">
        <v>1933</v>
      </c>
      <c r="B1263" s="8" t="s">
        <v>2475</v>
      </c>
      <c r="C1263" s="6" t="str">
        <f>'Ann1 - Step 3'!C1263</f>
        <v>Commit&amp;PR rule</v>
      </c>
      <c r="D1263" s="6" t="str">
        <f>'Ann2 - Step 3'!C1263</f>
        <v>Commit&amp;PR rule</v>
      </c>
      <c r="E1263" s="6" t="b">
        <f t="shared" si="8"/>
        <v>0</v>
      </c>
      <c r="F1263" s="6"/>
      <c r="G1263" s="6" t="str">
        <f t="shared" si="9"/>
        <v>Commit&amp;PR rule</v>
      </c>
    </row>
    <row r="1264" spans="1:7" ht="14" x14ac:dyDescent="0.15">
      <c r="A1264" s="6" t="s">
        <v>142</v>
      </c>
      <c r="B1264" s="8" t="s">
        <v>2476</v>
      </c>
      <c r="C1264" s="6" t="str">
        <f>'Ann1 - Step 3'!C1264</f>
        <v>Commit&amp;PR rule</v>
      </c>
      <c r="D1264" s="6" t="str">
        <f>'Ann2 - Step 3'!C1264</f>
        <v>Commit&amp;PR rule</v>
      </c>
      <c r="E1264" s="6" t="b">
        <f t="shared" si="8"/>
        <v>0</v>
      </c>
      <c r="F1264" s="6"/>
      <c r="G1264" s="6" t="str">
        <f t="shared" si="9"/>
        <v>Commit&amp;PR rule</v>
      </c>
    </row>
    <row r="1265" spans="1:7" ht="14" x14ac:dyDescent="0.15">
      <c r="A1265" s="6" t="s">
        <v>142</v>
      </c>
      <c r="B1265" s="8" t="s">
        <v>2477</v>
      </c>
      <c r="C1265" s="6" t="str">
        <f>'Ann1 - Step 3'!C1265</f>
        <v>Documentation</v>
      </c>
      <c r="D1265" s="6" t="str">
        <f>'Ann2 - Step 3'!C1265</f>
        <v>Documentation</v>
      </c>
      <c r="E1265" s="6" t="b">
        <f t="shared" si="8"/>
        <v>0</v>
      </c>
      <c r="F1265" s="6"/>
      <c r="G1265" s="6" t="str">
        <f t="shared" si="9"/>
        <v>Documentation</v>
      </c>
    </row>
    <row r="1266" spans="1:7" ht="14" x14ac:dyDescent="0.15">
      <c r="A1266" s="6" t="s">
        <v>142</v>
      </c>
      <c r="B1266" s="8" t="s">
        <v>2478</v>
      </c>
      <c r="C1266" s="6" t="str">
        <f>'Ann1 - Step 3'!C1266</f>
        <v>Commit&amp;PR rule</v>
      </c>
      <c r="D1266" s="6" t="str">
        <f>'Ann2 - Step 3'!C1266</f>
        <v>Commit&amp;PR rule</v>
      </c>
      <c r="E1266" s="6" t="b">
        <f t="shared" si="8"/>
        <v>0</v>
      </c>
      <c r="F1266" s="6"/>
      <c r="G1266" s="6" t="str">
        <f t="shared" si="9"/>
        <v>Commit&amp;PR rule</v>
      </c>
    </row>
    <row r="1267" spans="1:7" ht="14" x14ac:dyDescent="0.15">
      <c r="A1267" s="6" t="s">
        <v>15</v>
      </c>
      <c r="B1267" s="8" t="s">
        <v>2479</v>
      </c>
      <c r="C1267" s="6" t="str">
        <f>'Ann1 - Step 3'!C1267</f>
        <v>Maintainability</v>
      </c>
      <c r="D1267" s="6" t="str">
        <f>'Ann2 - Step 3'!C1267</f>
        <v>Coding Pattern</v>
      </c>
      <c r="E1267" s="6" t="b">
        <f t="shared" si="8"/>
        <v>1</v>
      </c>
      <c r="F1267" s="30" t="s">
        <v>30</v>
      </c>
      <c r="G1267" s="6" t="str">
        <f t="shared" si="9"/>
        <v>Coding Pattern</v>
      </c>
    </row>
    <row r="1268" spans="1:7" ht="14" x14ac:dyDescent="0.15">
      <c r="A1268" s="6" t="s">
        <v>1477</v>
      </c>
      <c r="B1268" s="8" t="s">
        <v>2480</v>
      </c>
      <c r="C1268" s="6" t="str">
        <f>'Ann1 - Step 3'!C1268</f>
        <v>Performance</v>
      </c>
      <c r="D1268" s="6" t="str">
        <f>'Ann2 - Step 3'!C1268</f>
        <v>Build &amp; Operation</v>
      </c>
      <c r="E1268" s="6" t="b">
        <f t="shared" si="8"/>
        <v>1</v>
      </c>
      <c r="F1268" s="30" t="s">
        <v>136</v>
      </c>
      <c r="G1268" s="6" t="str">
        <f t="shared" si="9"/>
        <v>Build &amp; Operation</v>
      </c>
    </row>
    <row r="1269" spans="1:7" ht="14" x14ac:dyDescent="0.15">
      <c r="A1269" s="6" t="s">
        <v>249</v>
      </c>
      <c r="B1269" s="8" t="s">
        <v>2481</v>
      </c>
      <c r="C1269" s="6" t="str">
        <f>'Ann1 - Step 3'!C1269</f>
        <v>Coding Pattern</v>
      </c>
      <c r="D1269" s="6" t="str">
        <f>'Ann2 - Step 3'!C1269</f>
        <v>Coding Pattern</v>
      </c>
      <c r="E1269" s="6" t="b">
        <f t="shared" si="8"/>
        <v>0</v>
      </c>
      <c r="F1269" s="6"/>
      <c r="G1269" s="6" t="str">
        <f t="shared" si="9"/>
        <v>Coding Pattern</v>
      </c>
    </row>
    <row r="1270" spans="1:7" ht="14" x14ac:dyDescent="0.15">
      <c r="A1270" s="6" t="s">
        <v>256</v>
      </c>
      <c r="B1270" s="8" t="s">
        <v>2482</v>
      </c>
      <c r="C1270" s="6" t="str">
        <f>'Ann1 - Step 3'!C1270</f>
        <v>Commit&amp;PR rule</v>
      </c>
      <c r="D1270" s="6" t="str">
        <f>'Ann2 - Step 3'!C1270</f>
        <v>Commit&amp;PR rule</v>
      </c>
      <c r="E1270" s="6" t="b">
        <f t="shared" si="8"/>
        <v>0</v>
      </c>
      <c r="F1270" s="6"/>
      <c r="G1270" s="6" t="str">
        <f t="shared" si="9"/>
        <v>Commit&amp;PR rule</v>
      </c>
    </row>
    <row r="1271" spans="1:7" ht="14" x14ac:dyDescent="0.15">
      <c r="A1271" s="6" t="s">
        <v>256</v>
      </c>
      <c r="B1271" s="8" t="s">
        <v>2483</v>
      </c>
      <c r="C1271" s="6" t="str">
        <f>'Ann1 - Step 3'!C1271</f>
        <v>Task Execution</v>
      </c>
      <c r="D1271" s="6" t="str">
        <f>'Ann2 - Step 3'!C1271</f>
        <v>Task Execution</v>
      </c>
      <c r="E1271" s="6" t="b">
        <f t="shared" si="8"/>
        <v>0</v>
      </c>
      <c r="F1271" s="6"/>
      <c r="G1271" s="6" t="str">
        <f t="shared" si="9"/>
        <v>Task Execution</v>
      </c>
    </row>
    <row r="1272" spans="1:7" ht="14" x14ac:dyDescent="0.15">
      <c r="A1272" s="31" t="s">
        <v>1492</v>
      </c>
      <c r="B1272" s="8" t="s">
        <v>2484</v>
      </c>
      <c r="C1272" s="6" t="str">
        <f>'Ann1 - Step 3'!C1272</f>
        <v>Performance</v>
      </c>
      <c r="D1272" s="6" t="str">
        <f>'Ann2 - Step 3'!C1272</f>
        <v>Performance</v>
      </c>
      <c r="E1272" s="6" t="b">
        <f t="shared" si="8"/>
        <v>0</v>
      </c>
      <c r="F1272" s="6"/>
      <c r="G1272" s="6" t="str">
        <f t="shared" si="9"/>
        <v>Performance</v>
      </c>
    </row>
    <row r="1273" spans="1:7" ht="14" x14ac:dyDescent="0.15">
      <c r="A1273" s="6" t="s">
        <v>306</v>
      </c>
      <c r="B1273" s="8" t="s">
        <v>2485</v>
      </c>
      <c r="C1273" s="6" t="str">
        <f>'Ann1 - Step 3'!C1273</f>
        <v>Commit&amp;PR rule</v>
      </c>
      <c r="D1273" s="6" t="str">
        <f>'Ann2 - Step 3'!C1273</f>
        <v>Commit&amp;PR rule</v>
      </c>
      <c r="E1273" s="6" t="b">
        <f t="shared" si="8"/>
        <v>0</v>
      </c>
      <c r="F1273" s="6"/>
      <c r="G1273" s="6" t="str">
        <f t="shared" si="9"/>
        <v>Commit&amp;PR rule</v>
      </c>
    </row>
    <row r="1274" spans="1:7" ht="14" x14ac:dyDescent="0.15">
      <c r="A1274" s="6" t="s">
        <v>654</v>
      </c>
      <c r="B1274" s="8" t="s">
        <v>2486</v>
      </c>
      <c r="C1274" s="6" t="str">
        <f>'Ann1 - Step 3'!C1274</f>
        <v>Commit&amp;PR rule</v>
      </c>
      <c r="D1274" s="6" t="str">
        <f>'Ann2 - Step 3'!C1274</f>
        <v>Commit&amp;PR rule</v>
      </c>
      <c r="E1274" s="6" t="b">
        <f t="shared" si="8"/>
        <v>0</v>
      </c>
      <c r="F1274" s="6"/>
      <c r="G1274" s="6" t="str">
        <f t="shared" si="9"/>
        <v>Commit&amp;PR rule</v>
      </c>
    </row>
    <row r="1275" spans="1:7" ht="14" x14ac:dyDescent="0.15">
      <c r="A1275" s="6" t="s">
        <v>384</v>
      </c>
      <c r="B1275" s="8" t="s">
        <v>2487</v>
      </c>
      <c r="C1275" s="6" t="str">
        <f>'Ann1 - Step 3'!C1275</f>
        <v>Testing</v>
      </c>
      <c r="D1275" s="6" t="str">
        <f>'Ann2 - Step 3'!C1275</f>
        <v>Testing</v>
      </c>
      <c r="E1275" s="6" t="b">
        <f t="shared" si="8"/>
        <v>0</v>
      </c>
      <c r="F1275" s="6"/>
      <c r="G1275" s="6" t="str">
        <f t="shared" si="9"/>
        <v>Testing</v>
      </c>
    </row>
    <row r="1276" spans="1:7" ht="14" x14ac:dyDescent="0.15">
      <c r="A1276" s="6" t="s">
        <v>399</v>
      </c>
      <c r="B1276" s="8" t="s">
        <v>2481</v>
      </c>
      <c r="C1276" s="6" t="str">
        <f>'Ann1 - Step 3'!C1276</f>
        <v>Coding Pattern</v>
      </c>
      <c r="D1276" s="6" t="str">
        <f>'Ann2 - Step 3'!C1276</f>
        <v>Coding Pattern</v>
      </c>
      <c r="E1276" s="6" t="b">
        <f t="shared" si="8"/>
        <v>0</v>
      </c>
      <c r="F1276" s="6"/>
      <c r="G1276" s="6" t="str">
        <f t="shared" si="9"/>
        <v>Coding Pattern</v>
      </c>
    </row>
    <row r="1277" spans="1:7" ht="14" x14ac:dyDescent="0.15">
      <c r="A1277" s="6" t="s">
        <v>429</v>
      </c>
      <c r="B1277" s="8" t="s">
        <v>2488</v>
      </c>
      <c r="C1277" s="6" t="str">
        <f>'Ann1 - Step 3'!C1277</f>
        <v>Maintainability</v>
      </c>
      <c r="D1277" s="6" t="str">
        <f>'Ann2 - Step 3'!C1277</f>
        <v>Maintainability</v>
      </c>
      <c r="E1277" s="6" t="b">
        <f t="shared" ref="E1277:E1292" si="10">IF(C1277=D1277, FALSE, TRUE)</f>
        <v>0</v>
      </c>
      <c r="F1277" s="6"/>
      <c r="G1277" s="6" t="str">
        <f t="shared" ref="G1277:G1531" si="11">IF(E1277=TRUE,F1277,D1277)</f>
        <v>Maintainability</v>
      </c>
    </row>
    <row r="1278" spans="1:7" ht="14" x14ac:dyDescent="0.15">
      <c r="A1278" s="6" t="s">
        <v>447</v>
      </c>
      <c r="B1278" s="8" t="s">
        <v>2489</v>
      </c>
      <c r="C1278" s="6" t="str">
        <f>'Ann1 - Step 3'!C1278</f>
        <v>Coding Pattern</v>
      </c>
      <c r="D1278" s="6" t="str">
        <f>'Ann2 - Step 3'!C1278</f>
        <v>Coding Pattern</v>
      </c>
      <c r="E1278" s="6" t="b">
        <f t="shared" si="10"/>
        <v>0</v>
      </c>
      <c r="F1278" s="6"/>
      <c r="G1278" s="6" t="str">
        <f t="shared" si="11"/>
        <v>Coding Pattern</v>
      </c>
    </row>
    <row r="1279" spans="1:7" ht="14" x14ac:dyDescent="0.15">
      <c r="A1279" s="6" t="s">
        <v>456</v>
      </c>
      <c r="B1279" s="8" t="s">
        <v>2489</v>
      </c>
      <c r="C1279" s="6" t="str">
        <f>'Ann1 - Step 3'!C1279</f>
        <v>Coding Pattern</v>
      </c>
      <c r="D1279" s="6" t="str">
        <f>'Ann2 - Step 3'!C1279</f>
        <v>Coding Pattern</v>
      </c>
      <c r="E1279" s="6" t="b">
        <f t="shared" si="10"/>
        <v>0</v>
      </c>
      <c r="F1279" s="6"/>
      <c r="G1279" s="6" t="str">
        <f t="shared" si="11"/>
        <v>Coding Pattern</v>
      </c>
    </row>
    <row r="1280" spans="1:7" ht="14" x14ac:dyDescent="0.15">
      <c r="A1280" s="6" t="s">
        <v>497</v>
      </c>
      <c r="B1280" s="8" t="s">
        <v>2490</v>
      </c>
      <c r="C1280" s="6" t="str">
        <f>'Ann1 - Step 3'!C1280</f>
        <v>Commit&amp;PR rule</v>
      </c>
      <c r="D1280" s="6" t="str">
        <f>'Ann2 - Step 3'!C1280</f>
        <v>Commit&amp;PR rule</v>
      </c>
      <c r="E1280" s="6" t="b">
        <f t="shared" si="10"/>
        <v>0</v>
      </c>
      <c r="F1280" s="6"/>
      <c r="G1280" s="6" t="str">
        <f t="shared" si="11"/>
        <v>Commit&amp;PR rule</v>
      </c>
    </row>
    <row r="1281" spans="1:7" ht="14" x14ac:dyDescent="0.15">
      <c r="A1281" s="6" t="s">
        <v>853</v>
      </c>
      <c r="B1281" s="8" t="s">
        <v>2491</v>
      </c>
      <c r="C1281" s="6" t="str">
        <f>'Ann1 - Step 3'!C1281</f>
        <v>Security</v>
      </c>
      <c r="D1281" s="6" t="str">
        <f>'Ann2 - Step 3'!C1281</f>
        <v>Security</v>
      </c>
      <c r="E1281" s="6" t="b">
        <f t="shared" si="10"/>
        <v>0</v>
      </c>
      <c r="F1281" s="6"/>
      <c r="G1281" s="6" t="str">
        <f t="shared" si="11"/>
        <v>Security</v>
      </c>
    </row>
    <row r="1282" spans="1:7" ht="14" x14ac:dyDescent="0.15">
      <c r="A1282" s="6" t="s">
        <v>1933</v>
      </c>
      <c r="B1282" s="8" t="s">
        <v>2492</v>
      </c>
      <c r="C1282" s="6" t="str">
        <f>'Ann1 - Step 3'!C1282</f>
        <v>Commit&amp;PR rule</v>
      </c>
      <c r="D1282" s="6" t="str">
        <f>'Ann2 - Step 3'!C1282</f>
        <v>Commit&amp;PR rule</v>
      </c>
      <c r="E1282" s="6" t="b">
        <f t="shared" si="10"/>
        <v>0</v>
      </c>
      <c r="F1282" s="6"/>
      <c r="G1282" s="6" t="str">
        <f t="shared" si="11"/>
        <v>Commit&amp;PR rule</v>
      </c>
    </row>
    <row r="1283" spans="1:7" ht="14" x14ac:dyDescent="0.15">
      <c r="A1283" s="6" t="s">
        <v>636</v>
      </c>
      <c r="B1283" s="8" t="s">
        <v>2494</v>
      </c>
      <c r="C1283" s="6" t="str">
        <f>'Ann1 - Step 3'!C1283</f>
        <v>Coding Pattern</v>
      </c>
      <c r="D1283" s="6" t="str">
        <f>'Ann2 - Step 3'!C1283</f>
        <v>Coding Pattern</v>
      </c>
      <c r="E1283" s="6" t="b">
        <f t="shared" si="10"/>
        <v>0</v>
      </c>
      <c r="F1283" s="6"/>
      <c r="G1283" s="6" t="str">
        <f t="shared" si="11"/>
        <v>Coding Pattern</v>
      </c>
    </row>
    <row r="1284" spans="1:7" ht="14" x14ac:dyDescent="0.15">
      <c r="A1284" s="6" t="s">
        <v>636</v>
      </c>
      <c r="B1284" s="8" t="s">
        <v>2495</v>
      </c>
      <c r="C1284" s="6" t="str">
        <f>'Ann1 - Step 3'!C1284</f>
        <v>Coding Pattern</v>
      </c>
      <c r="D1284" s="6" t="str">
        <f>'Ann2 - Step 3'!C1284</f>
        <v>Coding Pattern</v>
      </c>
      <c r="E1284" s="6" t="b">
        <f t="shared" si="10"/>
        <v>0</v>
      </c>
      <c r="F1284" s="6"/>
      <c r="G1284" s="6" t="str">
        <f t="shared" si="11"/>
        <v>Coding Pattern</v>
      </c>
    </row>
    <row r="1285" spans="1:7" ht="14" x14ac:dyDescent="0.15">
      <c r="A1285" s="6" t="s">
        <v>129</v>
      </c>
      <c r="B1285" s="8" t="s">
        <v>2496</v>
      </c>
      <c r="C1285" s="6" t="str">
        <f>'Ann1 - Step 3'!C1285</f>
        <v>Coding Pattern</v>
      </c>
      <c r="D1285" s="6" t="str">
        <f>'Ann2 - Step 3'!C1285</f>
        <v>Coding Pattern</v>
      </c>
      <c r="E1285" s="6" t="b">
        <f t="shared" si="10"/>
        <v>0</v>
      </c>
      <c r="F1285" s="6"/>
      <c r="G1285" s="6" t="str">
        <f t="shared" si="11"/>
        <v>Coding Pattern</v>
      </c>
    </row>
    <row r="1286" spans="1:7" ht="14" x14ac:dyDescent="0.15">
      <c r="A1286" s="6" t="s">
        <v>133</v>
      </c>
      <c r="B1286" s="8" t="s">
        <v>2497</v>
      </c>
      <c r="C1286" s="6" t="str">
        <f>'Ann1 - Step 3'!C1286</f>
        <v>Coding Pattern</v>
      </c>
      <c r="D1286" s="6" t="str">
        <f>'Ann2 - Step 3'!C1286</f>
        <v>Coding Pattern</v>
      </c>
      <c r="E1286" s="6" t="b">
        <f t="shared" si="10"/>
        <v>0</v>
      </c>
      <c r="F1286" s="6"/>
      <c r="G1286" s="6" t="str">
        <f t="shared" si="11"/>
        <v>Coding Pattern</v>
      </c>
    </row>
    <row r="1287" spans="1:7" ht="14" x14ac:dyDescent="0.15">
      <c r="A1287" s="6" t="s">
        <v>668</v>
      </c>
      <c r="B1287" s="8" t="s">
        <v>2498</v>
      </c>
      <c r="C1287" s="6" t="str">
        <f>'Ann1 - Step 3'!C1287</f>
        <v>Coding Pattern</v>
      </c>
      <c r="D1287" s="6" t="str">
        <f>'Ann2 - Step 3'!C1287</f>
        <v>Coding Pattern</v>
      </c>
      <c r="E1287" s="6" t="b">
        <f t="shared" si="10"/>
        <v>0</v>
      </c>
      <c r="F1287" s="6"/>
      <c r="G1287" s="6" t="str">
        <f t="shared" si="11"/>
        <v>Coding Pattern</v>
      </c>
    </row>
    <row r="1288" spans="1:7" ht="14" x14ac:dyDescent="0.15">
      <c r="A1288" s="6" t="s">
        <v>668</v>
      </c>
      <c r="B1288" s="8" t="s">
        <v>2499</v>
      </c>
      <c r="C1288" s="6" t="str">
        <f>'Ann1 - Step 3'!C1288</f>
        <v>Documentation</v>
      </c>
      <c r="D1288" s="6" t="str">
        <f>'Ann2 - Step 3'!C1288</f>
        <v>Documentation</v>
      </c>
      <c r="E1288" s="6" t="b">
        <f t="shared" si="10"/>
        <v>0</v>
      </c>
      <c r="F1288" s="6"/>
      <c r="G1288" s="6" t="str">
        <f t="shared" si="11"/>
        <v>Documentation</v>
      </c>
    </row>
    <row r="1289" spans="1:7" ht="28" x14ac:dyDescent="0.15">
      <c r="A1289" s="6" t="s">
        <v>668</v>
      </c>
      <c r="B1289" s="8" t="s">
        <v>2500</v>
      </c>
      <c r="C1289" s="6" t="str">
        <f>'Ann1 - Step 3'!C1289</f>
        <v>Writing Style Preference</v>
      </c>
      <c r="D1289" s="6" t="str">
        <f>'Ann2 - Step 3'!C1289</f>
        <v>Writing Style Preference</v>
      </c>
      <c r="E1289" s="6" t="b">
        <f t="shared" si="10"/>
        <v>0</v>
      </c>
      <c r="F1289" s="6"/>
      <c r="G1289" s="6" t="str">
        <f t="shared" si="11"/>
        <v>Writing Style Preference</v>
      </c>
    </row>
    <row r="1290" spans="1:7" ht="28" x14ac:dyDescent="0.15">
      <c r="A1290" s="6" t="s">
        <v>668</v>
      </c>
      <c r="B1290" s="8" t="s">
        <v>2501</v>
      </c>
      <c r="C1290" s="6" t="str">
        <f>'Ann1 - Step 3'!C1290</f>
        <v>Writing Style Preference</v>
      </c>
      <c r="D1290" s="6" t="str">
        <f>'Ann2 - Step 3'!C1290</f>
        <v>Writing Style Preference</v>
      </c>
      <c r="E1290" s="6" t="b">
        <f t="shared" si="10"/>
        <v>0</v>
      </c>
      <c r="F1290" s="6"/>
      <c r="G1290" s="6" t="str">
        <f t="shared" si="11"/>
        <v>Writing Style Preference</v>
      </c>
    </row>
    <row r="1291" spans="1:7" ht="14" x14ac:dyDescent="0.15">
      <c r="A1291" s="6" t="s">
        <v>672</v>
      </c>
      <c r="B1291" s="8" t="s">
        <v>2502</v>
      </c>
      <c r="C1291" s="6" t="str">
        <f>'Ann1 - Step 3'!C1291</f>
        <v>Security</v>
      </c>
      <c r="D1291" s="6" t="str">
        <f>'Ann2 - Step 3'!C1291</f>
        <v>Security</v>
      </c>
      <c r="E1291" s="6" t="b">
        <f t="shared" si="10"/>
        <v>0</v>
      </c>
      <c r="F1291" s="6"/>
      <c r="G1291" s="6" t="str">
        <f t="shared" si="11"/>
        <v>Security</v>
      </c>
    </row>
    <row r="1292" spans="1:7" ht="14" x14ac:dyDescent="0.15">
      <c r="A1292" s="31" t="s">
        <v>672</v>
      </c>
      <c r="B1292" s="8" t="s">
        <v>2503</v>
      </c>
      <c r="C1292" s="6" t="str">
        <f>'Ann1 - Step 3'!C1292</f>
        <v>Security</v>
      </c>
      <c r="D1292" s="6" t="str">
        <f>'Ann2 - Step 3'!C1292</f>
        <v>Coding Pattern</v>
      </c>
      <c r="E1292" s="6" t="b">
        <f t="shared" si="10"/>
        <v>1</v>
      </c>
      <c r="F1292" s="30" t="s">
        <v>30</v>
      </c>
      <c r="G1292" s="6" t="str">
        <f t="shared" si="11"/>
        <v>Coding Pattern</v>
      </c>
    </row>
    <row r="1293" spans="1:7" ht="14" x14ac:dyDescent="0.15">
      <c r="A1293" s="6" t="s">
        <v>157</v>
      </c>
      <c r="B1293" s="8" t="s">
        <v>2504</v>
      </c>
      <c r="C1293" s="6" t="str">
        <f>'Ann1 - Step 3'!C1293</f>
        <v>Coding Pattern</v>
      </c>
      <c r="D1293" s="6" t="str">
        <f>'Ann2 - Step 3'!C1293</f>
        <v>Coding Pattern</v>
      </c>
      <c r="E1293" s="6" t="b">
        <f>IF(C1293=D1292, FALSE, TRUE)</f>
        <v>0</v>
      </c>
      <c r="F1293" s="6"/>
      <c r="G1293" s="6" t="str">
        <f t="shared" si="11"/>
        <v>Coding Pattern</v>
      </c>
    </row>
    <row r="1294" spans="1:7" ht="14" x14ac:dyDescent="0.15">
      <c r="A1294" s="6" t="s">
        <v>157</v>
      </c>
      <c r="B1294" s="8" t="s">
        <v>2505</v>
      </c>
      <c r="C1294" s="6" t="str">
        <f>'Ann1 - Step 3'!C1294</f>
        <v>Coding Style</v>
      </c>
      <c r="D1294" s="6" t="str">
        <f>'Ann2 - Step 3'!C1294</f>
        <v>Coding Pattern</v>
      </c>
      <c r="E1294" s="6" t="b">
        <f t="shared" ref="E1294:E1548" si="12">IF(C1294=D1294, FALSE, TRUE)</f>
        <v>1</v>
      </c>
      <c r="F1294" s="30" t="s">
        <v>30</v>
      </c>
      <c r="G1294" s="6" t="str">
        <f t="shared" si="11"/>
        <v>Coding Pattern</v>
      </c>
    </row>
    <row r="1295" spans="1:7" ht="14" x14ac:dyDescent="0.15">
      <c r="A1295" s="6" t="s">
        <v>160</v>
      </c>
      <c r="B1295" s="8" t="s">
        <v>2506</v>
      </c>
      <c r="C1295" s="6" t="str">
        <f>'Ann1 - Step 3'!C1295</f>
        <v>Coding Style</v>
      </c>
      <c r="D1295" s="6" t="str">
        <f>'Ann2 - Step 3'!C1295</f>
        <v>Maintainability</v>
      </c>
      <c r="E1295" s="6" t="b">
        <f t="shared" si="12"/>
        <v>1</v>
      </c>
      <c r="F1295" s="30" t="s">
        <v>30</v>
      </c>
      <c r="G1295" s="6" t="str">
        <f t="shared" si="11"/>
        <v>Coding Pattern</v>
      </c>
    </row>
    <row r="1296" spans="1:7" ht="14" x14ac:dyDescent="0.15">
      <c r="A1296" s="6" t="s">
        <v>160</v>
      </c>
      <c r="B1296" s="8" t="s">
        <v>2507</v>
      </c>
      <c r="C1296" s="6" t="str">
        <f>'Ann1 - Step 3'!C1296</f>
        <v>Task Execution</v>
      </c>
      <c r="D1296" s="6" t="str">
        <f>'Ann2 - Step 3'!C1296</f>
        <v>Task Execution</v>
      </c>
      <c r="E1296" s="6" t="b">
        <f t="shared" si="12"/>
        <v>0</v>
      </c>
      <c r="F1296" s="6"/>
      <c r="G1296" s="6" t="str">
        <f t="shared" si="11"/>
        <v>Task Execution</v>
      </c>
    </row>
    <row r="1297" spans="1:7" ht="14" x14ac:dyDescent="0.15">
      <c r="A1297" s="6" t="s">
        <v>781</v>
      </c>
      <c r="B1297" s="8" t="s">
        <v>2508</v>
      </c>
      <c r="C1297" s="6" t="str">
        <f>'Ann1 - Step 3'!C1297</f>
        <v>Coding Pattern</v>
      </c>
      <c r="D1297" s="6" t="str">
        <f>'Ann2 - Step 3'!C1297</f>
        <v>Coding Pattern</v>
      </c>
      <c r="E1297" s="6" t="b">
        <f t="shared" si="12"/>
        <v>0</v>
      </c>
      <c r="F1297" s="6"/>
      <c r="G1297" s="6" t="str">
        <f t="shared" si="11"/>
        <v>Coding Pattern</v>
      </c>
    </row>
    <row r="1298" spans="1:7" ht="14" x14ac:dyDescent="0.15">
      <c r="A1298" s="6" t="s">
        <v>781</v>
      </c>
      <c r="B1298" s="8" t="s">
        <v>2509</v>
      </c>
      <c r="C1298" s="6" t="str">
        <f>'Ann1 - Step 3'!C1298</f>
        <v>Coding Style</v>
      </c>
      <c r="D1298" s="6" t="str">
        <f>'Ann2 - Step 3'!C1298</f>
        <v>Coding Pattern</v>
      </c>
      <c r="E1298" s="6" t="b">
        <f t="shared" si="12"/>
        <v>1</v>
      </c>
      <c r="F1298" s="30" t="s">
        <v>30</v>
      </c>
      <c r="G1298" s="6" t="str">
        <f t="shared" si="11"/>
        <v>Coding Pattern</v>
      </c>
    </row>
    <row r="1299" spans="1:7" ht="14" x14ac:dyDescent="0.15">
      <c r="A1299" s="6" t="s">
        <v>683</v>
      </c>
      <c r="B1299" s="8" t="s">
        <v>2510</v>
      </c>
      <c r="C1299" s="6" t="str">
        <f>'Ann1 - Step 3'!C1299</f>
        <v>Task Execution</v>
      </c>
      <c r="D1299" s="6" t="str">
        <f>'Ann2 - Step 3'!C1299</f>
        <v>Task Execution</v>
      </c>
      <c r="E1299" s="6" t="b">
        <f t="shared" si="12"/>
        <v>0</v>
      </c>
      <c r="F1299" s="6"/>
      <c r="G1299" s="6" t="str">
        <f t="shared" si="11"/>
        <v>Task Execution</v>
      </c>
    </row>
    <row r="1300" spans="1:7" ht="14" x14ac:dyDescent="0.15">
      <c r="A1300" s="6" t="s">
        <v>683</v>
      </c>
      <c r="B1300" s="8" t="s">
        <v>2510</v>
      </c>
      <c r="C1300" s="6" t="str">
        <f>'Ann1 - Step 3'!C1300</f>
        <v>Task Execution</v>
      </c>
      <c r="D1300" s="6" t="str">
        <f>'Ann2 - Step 3'!C1300</f>
        <v>Task Execution</v>
      </c>
      <c r="E1300" s="6" t="b">
        <f t="shared" si="12"/>
        <v>0</v>
      </c>
      <c r="F1300" s="6"/>
      <c r="G1300" s="6" t="str">
        <f t="shared" si="11"/>
        <v>Task Execution</v>
      </c>
    </row>
    <row r="1301" spans="1:7" ht="14" x14ac:dyDescent="0.15">
      <c r="A1301" s="6" t="s">
        <v>175</v>
      </c>
      <c r="B1301" s="8" t="s">
        <v>2511</v>
      </c>
      <c r="C1301" s="6" t="str">
        <f>'Ann1 - Step 3'!C1301</f>
        <v>Build &amp; Operation</v>
      </c>
      <c r="D1301" s="6" t="str">
        <f>'Ann2 - Step 3'!C1301</f>
        <v>Build &amp; Operation</v>
      </c>
      <c r="E1301" s="6" t="b">
        <f t="shared" si="12"/>
        <v>0</v>
      </c>
      <c r="F1301" s="6"/>
      <c r="G1301" s="6" t="str">
        <f t="shared" si="11"/>
        <v>Build &amp; Operation</v>
      </c>
    </row>
    <row r="1302" spans="1:7" ht="14" x14ac:dyDescent="0.15">
      <c r="A1302" s="6" t="s">
        <v>175</v>
      </c>
      <c r="B1302" s="8" t="s">
        <v>2512</v>
      </c>
      <c r="C1302" s="6" t="str">
        <f>'Ann1 - Step 3'!C1302</f>
        <v>Coding Pattern</v>
      </c>
      <c r="D1302" s="6" t="str">
        <f>'Ann2 - Step 3'!C1302</f>
        <v>Coding Pattern</v>
      </c>
      <c r="E1302" s="6" t="b">
        <f t="shared" si="12"/>
        <v>0</v>
      </c>
      <c r="F1302" s="6"/>
      <c r="G1302" s="6" t="str">
        <f t="shared" si="11"/>
        <v>Coding Pattern</v>
      </c>
    </row>
    <row r="1303" spans="1:7" ht="14" x14ac:dyDescent="0.15">
      <c r="A1303" s="6" t="s">
        <v>175</v>
      </c>
      <c r="B1303" s="8" t="s">
        <v>2513</v>
      </c>
      <c r="C1303" s="6" t="str">
        <f>'Ann1 - Step 3'!C1303</f>
        <v>Coding Pattern</v>
      </c>
      <c r="D1303" s="6" t="str">
        <f>'Ann2 - Step 3'!C1303</f>
        <v>Coding Pattern</v>
      </c>
      <c r="E1303" s="6" t="b">
        <f t="shared" si="12"/>
        <v>0</v>
      </c>
      <c r="F1303" s="6"/>
      <c r="G1303" s="6" t="str">
        <f t="shared" si="11"/>
        <v>Coding Pattern</v>
      </c>
    </row>
    <row r="1304" spans="1:7" ht="14" x14ac:dyDescent="0.15">
      <c r="A1304" s="6" t="s">
        <v>175</v>
      </c>
      <c r="B1304" s="8" t="s">
        <v>2514</v>
      </c>
      <c r="C1304" s="6" t="str">
        <f>'Ann1 - Step 3'!C1304</f>
        <v>Coding Pattern</v>
      </c>
      <c r="D1304" s="6" t="str">
        <f>'Ann2 - Step 3'!C1304</f>
        <v>Coding Pattern</v>
      </c>
      <c r="E1304" s="6" t="b">
        <f t="shared" si="12"/>
        <v>0</v>
      </c>
      <c r="F1304" s="6"/>
      <c r="G1304" s="6" t="str">
        <f t="shared" si="11"/>
        <v>Coding Pattern</v>
      </c>
    </row>
    <row r="1305" spans="1:7" ht="14" x14ac:dyDescent="0.15">
      <c r="A1305" s="6" t="s">
        <v>175</v>
      </c>
      <c r="B1305" s="8" t="s">
        <v>2515</v>
      </c>
      <c r="C1305" s="6" t="str">
        <f>'Ann1 - Step 3'!C1305</f>
        <v>Coding Pattern</v>
      </c>
      <c r="D1305" s="6" t="str">
        <f>'Ann2 - Step 3'!C1305</f>
        <v>Coding Pattern</v>
      </c>
      <c r="E1305" s="6" t="b">
        <f t="shared" si="12"/>
        <v>0</v>
      </c>
      <c r="F1305" s="6"/>
      <c r="G1305" s="6" t="str">
        <f t="shared" si="11"/>
        <v>Coding Pattern</v>
      </c>
    </row>
    <row r="1306" spans="1:7" ht="14" x14ac:dyDescent="0.15">
      <c r="A1306" s="6" t="s">
        <v>175</v>
      </c>
      <c r="B1306" s="8" t="s">
        <v>2516</v>
      </c>
      <c r="C1306" s="6" t="str">
        <f>'Ann1 - Step 3'!C1306</f>
        <v>Coding Pattern</v>
      </c>
      <c r="D1306" s="6" t="str">
        <f>'Ann2 - Step 3'!C1306</f>
        <v>Coding Pattern</v>
      </c>
      <c r="E1306" s="6" t="b">
        <f t="shared" si="12"/>
        <v>0</v>
      </c>
      <c r="F1306" s="6"/>
      <c r="G1306" s="6" t="str">
        <f t="shared" si="11"/>
        <v>Coding Pattern</v>
      </c>
    </row>
    <row r="1307" spans="1:7" ht="14" x14ac:dyDescent="0.15">
      <c r="A1307" s="6" t="s">
        <v>107</v>
      </c>
      <c r="B1307" s="8" t="s">
        <v>2517</v>
      </c>
      <c r="C1307" s="6" t="str">
        <f>'Ann1 - Step 3'!C1307</f>
        <v>Writing Style Preference</v>
      </c>
      <c r="D1307" s="6" t="str">
        <f>'Ann2 - Step 3'!C1307</f>
        <v>Writing Style Preference</v>
      </c>
      <c r="E1307" s="6" t="b">
        <f t="shared" si="12"/>
        <v>0</v>
      </c>
      <c r="F1307" s="6"/>
      <c r="G1307" s="6" t="str">
        <f t="shared" si="11"/>
        <v>Writing Style Preference</v>
      </c>
    </row>
    <row r="1308" spans="1:7" ht="14" x14ac:dyDescent="0.15">
      <c r="A1308" s="6" t="s">
        <v>187</v>
      </c>
      <c r="B1308" s="8" t="s">
        <v>2518</v>
      </c>
      <c r="C1308" s="6" t="str">
        <f>'Ann1 - Step 3'!C1308</f>
        <v>Writing Style Preference</v>
      </c>
      <c r="D1308" s="6" t="str">
        <f>'Ann2 - Step 3'!C1308</f>
        <v>Writing Style Preference</v>
      </c>
      <c r="E1308" s="6" t="b">
        <f t="shared" si="12"/>
        <v>0</v>
      </c>
      <c r="F1308" s="6"/>
      <c r="G1308" s="6" t="str">
        <f t="shared" si="11"/>
        <v>Writing Style Preference</v>
      </c>
    </row>
    <row r="1309" spans="1:7" ht="14" x14ac:dyDescent="0.15">
      <c r="A1309" s="6" t="s">
        <v>187</v>
      </c>
      <c r="B1309" s="8" t="s">
        <v>2519</v>
      </c>
      <c r="C1309" s="6" t="str">
        <f>'Ann1 - Step 3'!C1309</f>
        <v>Commit&amp;PR rule</v>
      </c>
      <c r="D1309" s="6" t="str">
        <f>'Ann2 - Step 3'!C1309</f>
        <v>Commit&amp;PR rule</v>
      </c>
      <c r="E1309" s="6" t="b">
        <f t="shared" si="12"/>
        <v>0</v>
      </c>
      <c r="F1309" s="6"/>
      <c r="G1309" s="6" t="str">
        <f t="shared" si="11"/>
        <v>Commit&amp;PR rule</v>
      </c>
    </row>
    <row r="1310" spans="1:7" ht="14" x14ac:dyDescent="0.15">
      <c r="A1310" s="6" t="s">
        <v>2522</v>
      </c>
      <c r="B1310" s="8" t="s">
        <v>2523</v>
      </c>
      <c r="C1310" s="6" t="str">
        <f>'Ann1 - Step 3'!C1310</f>
        <v>Build &amp; Operation</v>
      </c>
      <c r="D1310" s="6" t="str">
        <f>'Ann2 - Step 3'!C1310</f>
        <v>Build &amp; Operation</v>
      </c>
      <c r="E1310" s="6" t="b">
        <f t="shared" si="12"/>
        <v>0</v>
      </c>
      <c r="F1310" s="6"/>
      <c r="G1310" s="6" t="str">
        <f t="shared" si="11"/>
        <v>Build &amp; Operation</v>
      </c>
    </row>
    <row r="1311" spans="1:7" ht="14" x14ac:dyDescent="0.15">
      <c r="A1311" s="6" t="s">
        <v>75</v>
      </c>
      <c r="B1311" s="8" t="s">
        <v>2524</v>
      </c>
      <c r="C1311" s="6" t="str">
        <f>'Ann1 - Step 3'!C1311</f>
        <v>Coding Pattern</v>
      </c>
      <c r="D1311" s="6" t="str">
        <f>'Ann2 - Step 3'!C1311</f>
        <v>Coding Pattern</v>
      </c>
      <c r="E1311" s="6" t="b">
        <f t="shared" si="12"/>
        <v>0</v>
      </c>
      <c r="F1311" s="6"/>
      <c r="G1311" s="6" t="str">
        <f t="shared" si="11"/>
        <v>Coding Pattern</v>
      </c>
    </row>
    <row r="1312" spans="1:7" ht="14" x14ac:dyDescent="0.15">
      <c r="A1312" s="6" t="s">
        <v>75</v>
      </c>
      <c r="B1312" s="8" t="s">
        <v>2525</v>
      </c>
      <c r="C1312" s="6" t="str">
        <f>'Ann1 - Step 3'!C1312</f>
        <v>Coding Pattern</v>
      </c>
      <c r="D1312" s="6" t="str">
        <f>'Ann2 - Step 3'!C1312</f>
        <v>Coding Style</v>
      </c>
      <c r="E1312" s="6" t="b">
        <f t="shared" si="12"/>
        <v>1</v>
      </c>
      <c r="F1312" s="30" t="s">
        <v>30</v>
      </c>
      <c r="G1312" s="6" t="str">
        <f t="shared" si="11"/>
        <v>Coding Pattern</v>
      </c>
    </row>
    <row r="1313" spans="1:7" ht="14" x14ac:dyDescent="0.15">
      <c r="A1313" s="6" t="s">
        <v>75</v>
      </c>
      <c r="B1313" s="8" t="s">
        <v>2526</v>
      </c>
      <c r="C1313" s="6" t="str">
        <f>'Ann1 - Step 3'!C1313</f>
        <v>Coding Style</v>
      </c>
      <c r="D1313" s="6" t="str">
        <f>'Ann2 - Step 3'!C1313</f>
        <v>Coding Style</v>
      </c>
      <c r="E1313" s="6" t="b">
        <f t="shared" si="12"/>
        <v>0</v>
      </c>
      <c r="F1313" s="6"/>
      <c r="G1313" s="6" t="str">
        <f t="shared" si="11"/>
        <v>Coding Style</v>
      </c>
    </row>
    <row r="1314" spans="1:7" ht="14" x14ac:dyDescent="0.15">
      <c r="A1314" s="6" t="s">
        <v>75</v>
      </c>
      <c r="B1314" s="8" t="s">
        <v>2527</v>
      </c>
      <c r="C1314" s="6" t="str">
        <f>'Ann1 - Step 3'!C1314</f>
        <v>Code Review</v>
      </c>
      <c r="D1314" s="6" t="str">
        <f>'Ann2 - Step 3'!C1314</f>
        <v>Code Review</v>
      </c>
      <c r="E1314" s="6" t="b">
        <f t="shared" si="12"/>
        <v>0</v>
      </c>
      <c r="F1314" s="6"/>
      <c r="G1314" s="6" t="str">
        <f t="shared" si="11"/>
        <v>Code Review</v>
      </c>
    </row>
    <row r="1315" spans="1:7" ht="14" x14ac:dyDescent="0.15">
      <c r="A1315" s="6" t="s">
        <v>75</v>
      </c>
      <c r="B1315" s="8" t="s">
        <v>2528</v>
      </c>
      <c r="C1315" s="6" t="str">
        <f>'Ann1 - Step 3'!C1315</f>
        <v>Code Review</v>
      </c>
      <c r="D1315" s="6" t="str">
        <f>'Ann2 - Step 3'!C1315</f>
        <v>Code Review</v>
      </c>
      <c r="E1315" s="6" t="b">
        <f t="shared" si="12"/>
        <v>0</v>
      </c>
      <c r="F1315" s="6"/>
      <c r="G1315" s="6" t="str">
        <f t="shared" si="11"/>
        <v>Code Review</v>
      </c>
    </row>
    <row r="1316" spans="1:7" ht="14" x14ac:dyDescent="0.15">
      <c r="A1316" s="6" t="s">
        <v>1456</v>
      </c>
      <c r="B1316" s="8" t="s">
        <v>2529</v>
      </c>
      <c r="C1316" s="6" t="str">
        <f>'Ann1 - Step 3'!C1316</f>
        <v>Testing</v>
      </c>
      <c r="D1316" s="6" t="str">
        <f>'Ann2 - Step 3'!C1316</f>
        <v>Testing</v>
      </c>
      <c r="E1316" s="6" t="b">
        <f t="shared" si="12"/>
        <v>0</v>
      </c>
      <c r="F1316" s="6"/>
      <c r="G1316" s="6" t="str">
        <f t="shared" si="11"/>
        <v>Testing</v>
      </c>
    </row>
    <row r="1317" spans="1:7" ht="14" x14ac:dyDescent="0.15">
      <c r="A1317" s="6" t="s">
        <v>2532</v>
      </c>
      <c r="B1317" s="8" t="s">
        <v>2533</v>
      </c>
      <c r="C1317" s="6" t="str">
        <f>'Ann1 - Step 3'!C1317</f>
        <v>Build &amp; Operation</v>
      </c>
      <c r="D1317" s="6" t="str">
        <f>'Ann2 - Step 3'!C1317</f>
        <v>Build &amp; Operation</v>
      </c>
      <c r="E1317" s="6" t="b">
        <f t="shared" si="12"/>
        <v>0</v>
      </c>
      <c r="F1317" s="6"/>
      <c r="G1317" s="6" t="str">
        <f t="shared" si="11"/>
        <v>Build &amp; Operation</v>
      </c>
    </row>
    <row r="1318" spans="1:7" ht="14" x14ac:dyDescent="0.15">
      <c r="A1318" s="6" t="s">
        <v>207</v>
      </c>
      <c r="B1318" s="8" t="s">
        <v>2534</v>
      </c>
      <c r="C1318" s="6" t="str">
        <f>'Ann1 - Step 3'!C1318</f>
        <v>Coding Style</v>
      </c>
      <c r="D1318" s="6" t="str">
        <f>'Ann2 - Step 3'!C1318</f>
        <v>Coding Style</v>
      </c>
      <c r="E1318" s="6" t="b">
        <f t="shared" si="12"/>
        <v>0</v>
      </c>
      <c r="F1318" s="6"/>
      <c r="G1318" s="6" t="str">
        <f t="shared" si="11"/>
        <v>Coding Style</v>
      </c>
    </row>
    <row r="1319" spans="1:7" ht="14" x14ac:dyDescent="0.15">
      <c r="A1319" s="6" t="s">
        <v>217</v>
      </c>
      <c r="B1319" s="8" t="s">
        <v>2535</v>
      </c>
      <c r="C1319" s="6" t="str">
        <f>'Ann1 - Step 3'!C1319</f>
        <v>Commit&amp;PR rule</v>
      </c>
      <c r="D1319" s="6" t="str">
        <f>'Ann2 - Step 3'!C1319</f>
        <v>Commit&amp;PR rule</v>
      </c>
      <c r="E1319" s="6" t="b">
        <f t="shared" si="12"/>
        <v>0</v>
      </c>
      <c r="F1319" s="6"/>
      <c r="G1319" s="6" t="str">
        <f t="shared" si="11"/>
        <v>Commit&amp;PR rule</v>
      </c>
    </row>
    <row r="1320" spans="1:7" ht="14" x14ac:dyDescent="0.15">
      <c r="A1320" s="6" t="s">
        <v>9</v>
      </c>
      <c r="B1320" s="8" t="s">
        <v>2536</v>
      </c>
      <c r="C1320" s="6" t="str">
        <f>'Ann1 - Step 3'!C1320</f>
        <v>Testing</v>
      </c>
      <c r="D1320" s="6" t="str">
        <f>'Ann2 - Step 3'!C1320</f>
        <v>Testing</v>
      </c>
      <c r="E1320" s="6" t="b">
        <f t="shared" si="12"/>
        <v>0</v>
      </c>
      <c r="F1320" s="6"/>
      <c r="G1320" s="6" t="str">
        <f t="shared" si="11"/>
        <v>Testing</v>
      </c>
    </row>
    <row r="1321" spans="1:7" ht="14" x14ac:dyDescent="0.15">
      <c r="A1321" s="6" t="s">
        <v>9</v>
      </c>
      <c r="B1321" s="8" t="s">
        <v>2537</v>
      </c>
      <c r="C1321" s="6" t="str">
        <f>'Ann1 - Step 3'!C1321</f>
        <v>Security</v>
      </c>
      <c r="D1321" s="6" t="str">
        <f>'Ann2 - Step 3'!C1321</f>
        <v>Security</v>
      </c>
      <c r="E1321" s="6" t="b">
        <f t="shared" si="12"/>
        <v>0</v>
      </c>
      <c r="F1321" s="6"/>
      <c r="G1321" s="6" t="str">
        <f t="shared" si="11"/>
        <v>Security</v>
      </c>
    </row>
    <row r="1322" spans="1:7" ht="14" x14ac:dyDescent="0.15">
      <c r="A1322" s="6" t="s">
        <v>9</v>
      </c>
      <c r="B1322" s="8" t="s">
        <v>2538</v>
      </c>
      <c r="C1322" s="6" t="str">
        <f>'Ann1 - Step 3'!C1322</f>
        <v>Security</v>
      </c>
      <c r="D1322" s="6" t="str">
        <f>'Ann2 - Step 3'!C1322</f>
        <v>Coding Pattern</v>
      </c>
      <c r="E1322" s="6" t="b">
        <f t="shared" si="12"/>
        <v>1</v>
      </c>
      <c r="F1322" s="30" t="s">
        <v>30</v>
      </c>
      <c r="G1322" s="6" t="str">
        <f t="shared" si="11"/>
        <v>Coding Pattern</v>
      </c>
    </row>
    <row r="1323" spans="1:7" ht="14" x14ac:dyDescent="0.15">
      <c r="A1323" s="6" t="s">
        <v>810</v>
      </c>
      <c r="B1323" s="8" t="s">
        <v>2539</v>
      </c>
      <c r="C1323" s="6" t="str">
        <f>'Ann1 - Step 3'!C1323</f>
        <v>Security</v>
      </c>
      <c r="D1323" s="6" t="str">
        <f>'Ann2 - Step 3'!C1323</f>
        <v>Security</v>
      </c>
      <c r="E1323" s="6" t="b">
        <f t="shared" si="12"/>
        <v>0</v>
      </c>
      <c r="F1323" s="6"/>
      <c r="G1323" s="6" t="str">
        <f t="shared" si="11"/>
        <v>Security</v>
      </c>
    </row>
    <row r="1324" spans="1:7" ht="14" x14ac:dyDescent="0.15">
      <c r="A1324" s="6" t="s">
        <v>810</v>
      </c>
      <c r="B1324" s="8" t="s">
        <v>2540</v>
      </c>
      <c r="C1324" s="6" t="str">
        <f>'Ann1 - Step 3'!C1324</f>
        <v>Security</v>
      </c>
      <c r="D1324" s="6" t="str">
        <f>'Ann2 - Step 3'!C1324</f>
        <v>Security</v>
      </c>
      <c r="E1324" s="6" t="b">
        <f t="shared" si="12"/>
        <v>0</v>
      </c>
      <c r="F1324" s="6"/>
      <c r="G1324" s="6" t="str">
        <f t="shared" si="11"/>
        <v>Security</v>
      </c>
    </row>
    <row r="1325" spans="1:7" ht="14" x14ac:dyDescent="0.15">
      <c r="A1325" s="6" t="s">
        <v>810</v>
      </c>
      <c r="B1325" s="8" t="s">
        <v>2541</v>
      </c>
      <c r="C1325" s="6" t="str">
        <f>'Ann1 - Step 3'!C1325</f>
        <v>Testing</v>
      </c>
      <c r="D1325" s="6" t="str">
        <f>'Ann2 - Step 3'!C1325</f>
        <v>Testing</v>
      </c>
      <c r="E1325" s="6" t="b">
        <f t="shared" si="12"/>
        <v>0</v>
      </c>
      <c r="F1325" s="6"/>
      <c r="G1325" s="6" t="str">
        <f t="shared" si="11"/>
        <v>Testing</v>
      </c>
    </row>
    <row r="1326" spans="1:7" ht="14" x14ac:dyDescent="0.15">
      <c r="A1326" s="6" t="s">
        <v>600</v>
      </c>
      <c r="B1326" s="8" t="s">
        <v>2542</v>
      </c>
      <c r="C1326" s="6" t="str">
        <f>'Ann1 - Step 3'!C1326</f>
        <v>Coding Pattern</v>
      </c>
      <c r="D1326" s="6" t="str">
        <f>'Ann2 - Step 3'!C1326</f>
        <v>Coding Pattern</v>
      </c>
      <c r="E1326" s="6" t="b">
        <f t="shared" si="12"/>
        <v>0</v>
      </c>
      <c r="F1326" s="6"/>
      <c r="G1326" s="6" t="str">
        <f t="shared" si="11"/>
        <v>Coding Pattern</v>
      </c>
    </row>
    <row r="1327" spans="1:7" ht="14" x14ac:dyDescent="0.15">
      <c r="A1327" s="6" t="s">
        <v>15</v>
      </c>
      <c r="B1327" s="8" t="s">
        <v>2543</v>
      </c>
      <c r="C1327" s="6" t="str">
        <f>'Ann1 - Step 3'!C1327</f>
        <v>Task Execution</v>
      </c>
      <c r="D1327" s="6" t="str">
        <f>'Ann2 - Step 3'!C1327</f>
        <v>Task Execution</v>
      </c>
      <c r="E1327" s="6" t="b">
        <f t="shared" si="12"/>
        <v>0</v>
      </c>
      <c r="F1327" s="6"/>
      <c r="G1327" s="6" t="str">
        <f t="shared" si="11"/>
        <v>Task Execution</v>
      </c>
    </row>
    <row r="1328" spans="1:7" ht="14" x14ac:dyDescent="0.15">
      <c r="A1328" s="31" t="s">
        <v>844</v>
      </c>
      <c r="B1328" s="8" t="s">
        <v>2545</v>
      </c>
      <c r="C1328" s="6" t="str">
        <f>'Ann1 - Step 3'!C1328</f>
        <v>Task Execution</v>
      </c>
      <c r="D1328" s="6" t="str">
        <f>'Ann2 - Step 3'!C1328</f>
        <v>Maintainability</v>
      </c>
      <c r="E1328" s="6" t="b">
        <f t="shared" si="12"/>
        <v>1</v>
      </c>
      <c r="F1328" s="30" t="s">
        <v>18</v>
      </c>
      <c r="G1328" s="6" t="str">
        <f t="shared" si="11"/>
        <v>Task Execution</v>
      </c>
    </row>
    <row r="1329" spans="1:7" ht="14" x14ac:dyDescent="0.15">
      <c r="A1329" s="6" t="s">
        <v>853</v>
      </c>
      <c r="B1329" s="8" t="s">
        <v>2546</v>
      </c>
      <c r="C1329" s="6" t="str">
        <f>'Ann1 - Step 3'!C1329</f>
        <v>Task Execution</v>
      </c>
      <c r="D1329" s="6" t="str">
        <f>'Ann2 - Step 3'!C1329</f>
        <v>Build &amp; Operation</v>
      </c>
      <c r="E1329" s="6" t="b">
        <f t="shared" si="12"/>
        <v>1</v>
      </c>
      <c r="F1329" s="30" t="s">
        <v>136</v>
      </c>
      <c r="G1329" s="6" t="str">
        <f t="shared" si="11"/>
        <v>Build &amp; Operation</v>
      </c>
    </row>
    <row r="1330" spans="1:7" ht="14" x14ac:dyDescent="0.15">
      <c r="A1330" s="31" t="s">
        <v>2549</v>
      </c>
      <c r="B1330" s="8" t="s">
        <v>2550</v>
      </c>
      <c r="C1330" s="6" t="str">
        <f>'Ann1 - Step 3'!C1330</f>
        <v>Coding Style</v>
      </c>
      <c r="D1330" s="6" t="str">
        <f>'Ann2 - Step 3'!C1330</f>
        <v>Coding Pattern</v>
      </c>
      <c r="E1330" s="6" t="b">
        <f t="shared" si="12"/>
        <v>1</v>
      </c>
      <c r="F1330" s="30" t="s">
        <v>30</v>
      </c>
      <c r="G1330" s="6" t="str">
        <f t="shared" si="11"/>
        <v>Coding Pattern</v>
      </c>
    </row>
    <row r="1331" spans="1:7" ht="14" x14ac:dyDescent="0.15">
      <c r="A1331" s="6" t="s">
        <v>234</v>
      </c>
      <c r="B1331" s="8" t="s">
        <v>2551</v>
      </c>
      <c r="C1331" s="6" t="str">
        <f>'Ann1 - Step 3'!C1331</f>
        <v>Coding Style</v>
      </c>
      <c r="D1331" s="6" t="str">
        <f>'Ann2 - Step 3'!C1331</f>
        <v>Coding Style</v>
      </c>
      <c r="E1331" s="6" t="b">
        <f t="shared" si="12"/>
        <v>0</v>
      </c>
      <c r="F1331" s="6"/>
      <c r="G1331" s="6" t="str">
        <f t="shared" si="11"/>
        <v>Coding Style</v>
      </c>
    </row>
    <row r="1332" spans="1:7" ht="14" x14ac:dyDescent="0.15">
      <c r="A1332" s="6" t="s">
        <v>234</v>
      </c>
      <c r="B1332" s="8" t="s">
        <v>2552</v>
      </c>
      <c r="C1332" s="6" t="str">
        <f>'Ann1 - Step 3'!C1332</f>
        <v>Coding Style</v>
      </c>
      <c r="D1332" s="6" t="str">
        <f>'Ann2 - Step 3'!C1332</f>
        <v>Coding Pattern</v>
      </c>
      <c r="E1332" s="6" t="b">
        <f t="shared" si="12"/>
        <v>1</v>
      </c>
      <c r="F1332" s="30" t="s">
        <v>30</v>
      </c>
      <c r="G1332" s="6" t="str">
        <f t="shared" si="11"/>
        <v>Coding Pattern</v>
      </c>
    </row>
    <row r="1333" spans="1:7" ht="14" x14ac:dyDescent="0.15">
      <c r="A1333" s="6" t="s">
        <v>234</v>
      </c>
      <c r="B1333" s="8" t="s">
        <v>2553</v>
      </c>
      <c r="C1333" s="6" t="str">
        <f>'Ann1 - Step 3'!C1333</f>
        <v>Coding Pattern</v>
      </c>
      <c r="D1333" s="6" t="str">
        <f>'Ann2 - Step 3'!C1333</f>
        <v>Coding Pattern</v>
      </c>
      <c r="E1333" s="6" t="b">
        <f t="shared" si="12"/>
        <v>0</v>
      </c>
      <c r="F1333" s="6"/>
      <c r="G1333" s="6" t="str">
        <f t="shared" si="11"/>
        <v>Coding Pattern</v>
      </c>
    </row>
    <row r="1334" spans="1:7" ht="14" x14ac:dyDescent="0.15">
      <c r="A1334" s="6" t="s">
        <v>234</v>
      </c>
      <c r="B1334" s="8" t="s">
        <v>2554</v>
      </c>
      <c r="C1334" s="6" t="str">
        <f>'Ann1 - Step 3'!C1334</f>
        <v>Coding Pattern</v>
      </c>
      <c r="D1334" s="6" t="str">
        <f>'Ann2 - Step 3'!C1334</f>
        <v>Coding Pattern</v>
      </c>
      <c r="E1334" s="6" t="b">
        <f t="shared" si="12"/>
        <v>0</v>
      </c>
      <c r="F1334" s="6"/>
      <c r="G1334" s="6" t="str">
        <f t="shared" si="11"/>
        <v>Coding Pattern</v>
      </c>
    </row>
    <row r="1335" spans="1:7" ht="14" x14ac:dyDescent="0.15">
      <c r="A1335" s="6" t="s">
        <v>234</v>
      </c>
      <c r="B1335" s="8" t="s">
        <v>2555</v>
      </c>
      <c r="C1335" s="6" t="str">
        <f>'Ann1 - Step 3'!C1335</f>
        <v>Coding Pattern</v>
      </c>
      <c r="D1335" s="6" t="str">
        <f>'Ann2 - Step 3'!C1335</f>
        <v>Coding Pattern</v>
      </c>
      <c r="E1335" s="6" t="b">
        <f t="shared" si="12"/>
        <v>0</v>
      </c>
      <c r="F1335" s="6"/>
      <c r="G1335" s="6" t="str">
        <f t="shared" si="11"/>
        <v>Coding Pattern</v>
      </c>
    </row>
    <row r="1336" spans="1:7" ht="14" x14ac:dyDescent="0.15">
      <c r="A1336" s="6" t="s">
        <v>234</v>
      </c>
      <c r="B1336" s="8" t="s">
        <v>2556</v>
      </c>
      <c r="C1336" s="6" t="str">
        <f>'Ann1 - Step 3'!C1336</f>
        <v>Coding Pattern</v>
      </c>
      <c r="D1336" s="6" t="str">
        <f>'Ann2 - Step 3'!C1336</f>
        <v>Coding Pattern</v>
      </c>
      <c r="E1336" s="6" t="b">
        <f t="shared" si="12"/>
        <v>0</v>
      </c>
      <c r="F1336" s="6"/>
      <c r="G1336" s="6" t="str">
        <f t="shared" si="11"/>
        <v>Coding Pattern</v>
      </c>
    </row>
    <row r="1337" spans="1:7" ht="14" x14ac:dyDescent="0.15">
      <c r="A1337" s="6" t="s">
        <v>234</v>
      </c>
      <c r="B1337" s="8" t="s">
        <v>2557</v>
      </c>
      <c r="C1337" s="6" t="str">
        <f>'Ann1 - Step 3'!C1337</f>
        <v>Documentation</v>
      </c>
      <c r="D1337" s="6" t="str">
        <f>'Ann2 - Step 3'!C1337</f>
        <v>Commit&amp;PR rule</v>
      </c>
      <c r="E1337" s="6" t="b">
        <f t="shared" si="12"/>
        <v>1</v>
      </c>
      <c r="F1337" s="30" t="s">
        <v>30</v>
      </c>
      <c r="G1337" s="6" t="str">
        <f t="shared" si="11"/>
        <v>Coding Pattern</v>
      </c>
    </row>
    <row r="1338" spans="1:7" ht="14" x14ac:dyDescent="0.15">
      <c r="A1338" s="6" t="s">
        <v>234</v>
      </c>
      <c r="B1338" s="8" t="s">
        <v>2558</v>
      </c>
      <c r="C1338" s="6" t="str">
        <f>'Ann1 - Step 3'!C1338</f>
        <v>Coding Style</v>
      </c>
      <c r="D1338" s="6" t="str">
        <f>'Ann2 - Step 3'!C1338</f>
        <v>Coding Style</v>
      </c>
      <c r="E1338" s="6" t="b">
        <f t="shared" si="12"/>
        <v>0</v>
      </c>
      <c r="F1338" s="6"/>
      <c r="G1338" s="6" t="str">
        <f t="shared" si="11"/>
        <v>Coding Style</v>
      </c>
    </row>
    <row r="1339" spans="1:7" ht="14" x14ac:dyDescent="0.15">
      <c r="A1339" s="6" t="s">
        <v>234</v>
      </c>
      <c r="B1339" s="8" t="s">
        <v>2559</v>
      </c>
      <c r="C1339" s="6" t="str">
        <f>'Ann1 - Step 3'!C1339</f>
        <v>Coding Pattern</v>
      </c>
      <c r="D1339" s="6" t="str">
        <f>'Ann2 - Step 3'!C1339</f>
        <v>Coding Pattern</v>
      </c>
      <c r="E1339" s="6" t="b">
        <f t="shared" si="12"/>
        <v>0</v>
      </c>
      <c r="F1339" s="6"/>
      <c r="G1339" s="6" t="str">
        <f t="shared" si="11"/>
        <v>Coding Pattern</v>
      </c>
    </row>
    <row r="1340" spans="1:7" ht="14" x14ac:dyDescent="0.15">
      <c r="A1340" s="6" t="s">
        <v>234</v>
      </c>
      <c r="B1340" s="8" t="s">
        <v>2560</v>
      </c>
      <c r="C1340" s="6" t="str">
        <f>'Ann1 - Step 3'!C1340</f>
        <v>Coding Pattern</v>
      </c>
      <c r="D1340" s="6" t="str">
        <f>'Ann2 - Step 3'!C1340</f>
        <v>Testing</v>
      </c>
      <c r="E1340" s="6" t="b">
        <f t="shared" si="12"/>
        <v>1</v>
      </c>
      <c r="F1340" s="30" t="s">
        <v>30</v>
      </c>
      <c r="G1340" s="6" t="str">
        <f t="shared" si="11"/>
        <v>Coding Pattern</v>
      </c>
    </row>
    <row r="1341" spans="1:7" ht="14" x14ac:dyDescent="0.15">
      <c r="A1341" s="6" t="s">
        <v>234</v>
      </c>
      <c r="B1341" s="8" t="s">
        <v>2561</v>
      </c>
      <c r="C1341" s="6" t="str">
        <f>'Ann1 - Step 3'!C1341</f>
        <v>Commit&amp;PR rule</v>
      </c>
      <c r="D1341" s="6" t="str">
        <f>'Ann2 - Step 3'!C1341</f>
        <v>Coding Pattern</v>
      </c>
      <c r="E1341" s="6" t="b">
        <f t="shared" si="12"/>
        <v>1</v>
      </c>
      <c r="F1341" s="30" t="s">
        <v>30</v>
      </c>
      <c r="G1341" s="6" t="str">
        <f t="shared" si="11"/>
        <v>Coding Pattern</v>
      </c>
    </row>
    <row r="1342" spans="1:7" ht="14" x14ac:dyDescent="0.15">
      <c r="A1342" s="6" t="s">
        <v>239</v>
      </c>
      <c r="B1342" s="8" t="s">
        <v>2562</v>
      </c>
      <c r="C1342" s="6" t="str">
        <f>'Ann1 - Step 3'!C1342</f>
        <v>Coding Pattern</v>
      </c>
      <c r="D1342" s="6" t="str">
        <f>'Ann2 - Step 3'!C1342</f>
        <v>Coding Pattern</v>
      </c>
      <c r="E1342" s="6" t="b">
        <f t="shared" si="12"/>
        <v>0</v>
      </c>
      <c r="F1342" s="6"/>
      <c r="G1342" s="6" t="str">
        <f t="shared" si="11"/>
        <v>Coding Pattern</v>
      </c>
    </row>
    <row r="1343" spans="1:7" ht="14" x14ac:dyDescent="0.15">
      <c r="A1343" s="6" t="s">
        <v>239</v>
      </c>
      <c r="B1343" s="8" t="s">
        <v>2563</v>
      </c>
      <c r="C1343" s="6" t="str">
        <f>'Ann1 - Step 3'!C1343</f>
        <v>Coding Pattern</v>
      </c>
      <c r="D1343" s="6" t="str">
        <f>'Ann2 - Step 3'!C1343</f>
        <v>Coding Pattern</v>
      </c>
      <c r="E1343" s="6" t="b">
        <f t="shared" si="12"/>
        <v>0</v>
      </c>
      <c r="F1343" s="6"/>
      <c r="G1343" s="6" t="str">
        <f t="shared" si="11"/>
        <v>Coding Pattern</v>
      </c>
    </row>
    <row r="1344" spans="1:7" ht="14" x14ac:dyDescent="0.15">
      <c r="A1344" s="31" t="s">
        <v>256</v>
      </c>
      <c r="B1344" s="8" t="s">
        <v>2564</v>
      </c>
      <c r="C1344" s="6" t="str">
        <f>'Ann1 - Step 3'!C1344</f>
        <v>Coding Pattern</v>
      </c>
      <c r="D1344" s="6" t="str">
        <f>'Ann2 - Step 3'!C1344</f>
        <v>Coding Pattern</v>
      </c>
      <c r="E1344" s="6" t="b">
        <f t="shared" si="12"/>
        <v>0</v>
      </c>
      <c r="F1344" s="30"/>
      <c r="G1344" s="6" t="str">
        <f t="shared" si="11"/>
        <v>Coding Pattern</v>
      </c>
    </row>
    <row r="1345" spans="1:7" ht="14" x14ac:dyDescent="0.15">
      <c r="A1345" s="6" t="s">
        <v>256</v>
      </c>
      <c r="B1345" s="8" t="s">
        <v>2565</v>
      </c>
      <c r="C1345" s="6" t="str">
        <f>'Ann1 - Step 3'!C1345</f>
        <v>Coding Style</v>
      </c>
      <c r="D1345" s="6" t="str">
        <f>'Ann2 - Step 3'!C1345</f>
        <v>Coding Style</v>
      </c>
      <c r="E1345" s="6" t="b">
        <f t="shared" si="12"/>
        <v>0</v>
      </c>
      <c r="F1345" s="6"/>
      <c r="G1345" s="6" t="str">
        <f t="shared" si="11"/>
        <v>Coding Style</v>
      </c>
    </row>
    <row r="1346" spans="1:7" ht="14" x14ac:dyDescent="0.15">
      <c r="A1346" s="6" t="s">
        <v>256</v>
      </c>
      <c r="B1346" s="8" t="s">
        <v>2566</v>
      </c>
      <c r="C1346" s="6" t="str">
        <f>'Ann1 - Step 3'!C1346</f>
        <v>Coding Style</v>
      </c>
      <c r="D1346" s="6" t="str">
        <f>'Ann2 - Step 3'!C1346</f>
        <v>Coding Style</v>
      </c>
      <c r="E1346" s="6" t="b">
        <f t="shared" si="12"/>
        <v>0</v>
      </c>
      <c r="F1346" s="6"/>
      <c r="G1346" s="6" t="str">
        <f t="shared" si="11"/>
        <v>Coding Style</v>
      </c>
    </row>
    <row r="1347" spans="1:7" ht="14" x14ac:dyDescent="0.15">
      <c r="A1347" s="6" t="s">
        <v>256</v>
      </c>
      <c r="B1347" s="8" t="s">
        <v>2567</v>
      </c>
      <c r="C1347" s="6" t="str">
        <f>'Ann1 - Step 3'!C1347</f>
        <v>Coding Pattern</v>
      </c>
      <c r="D1347" s="6" t="str">
        <f>'Ann2 - Step 3'!C1347</f>
        <v>Task Execution</v>
      </c>
      <c r="E1347" s="6" t="b">
        <f t="shared" si="12"/>
        <v>1</v>
      </c>
      <c r="F1347" s="30" t="s">
        <v>30</v>
      </c>
      <c r="G1347" s="6" t="str">
        <f t="shared" si="11"/>
        <v>Coding Pattern</v>
      </c>
    </row>
    <row r="1348" spans="1:7" ht="14" x14ac:dyDescent="0.15">
      <c r="A1348" s="6" t="s">
        <v>256</v>
      </c>
      <c r="B1348" s="8" t="s">
        <v>2568</v>
      </c>
      <c r="C1348" s="6" t="str">
        <f>'Ann1 - Step 3'!C1348</f>
        <v>Coding Pattern</v>
      </c>
      <c r="D1348" s="6" t="str">
        <f>'Ann2 - Step 3'!C1348</f>
        <v>Testing</v>
      </c>
      <c r="E1348" s="6" t="b">
        <f t="shared" si="12"/>
        <v>1</v>
      </c>
      <c r="F1348" s="30" t="s">
        <v>88</v>
      </c>
      <c r="G1348" s="6" t="str">
        <f t="shared" si="11"/>
        <v>Testing</v>
      </c>
    </row>
    <row r="1349" spans="1:7" ht="14" x14ac:dyDescent="0.15">
      <c r="A1349" s="6" t="s">
        <v>2571</v>
      </c>
      <c r="B1349" s="8" t="s">
        <v>2572</v>
      </c>
      <c r="C1349" s="6" t="str">
        <f>'Ann1 - Step 3'!C1349</f>
        <v>Coding Pattern</v>
      </c>
      <c r="D1349" s="6" t="str">
        <f>'Ann2 - Step 3'!C1349</f>
        <v>Coding Pattern</v>
      </c>
      <c r="E1349" s="6" t="b">
        <f t="shared" si="12"/>
        <v>0</v>
      </c>
      <c r="F1349" s="6"/>
      <c r="G1349" s="6" t="str">
        <f t="shared" si="11"/>
        <v>Coding Pattern</v>
      </c>
    </row>
    <row r="1350" spans="1:7" ht="14" x14ac:dyDescent="0.15">
      <c r="A1350" s="6" t="s">
        <v>2571</v>
      </c>
      <c r="B1350" s="8" t="s">
        <v>2573</v>
      </c>
      <c r="C1350" s="6" t="str">
        <f>'Ann1 - Step 3'!C1350</f>
        <v>Coding Pattern</v>
      </c>
      <c r="D1350" s="6" t="str">
        <f>'Ann2 - Step 3'!C1350</f>
        <v>Coding Pattern</v>
      </c>
      <c r="E1350" s="6" t="b">
        <f t="shared" si="12"/>
        <v>0</v>
      </c>
      <c r="F1350" s="6"/>
      <c r="G1350" s="6" t="str">
        <f t="shared" si="11"/>
        <v>Coding Pattern</v>
      </c>
    </row>
    <row r="1351" spans="1:7" ht="14" x14ac:dyDescent="0.15">
      <c r="A1351" s="6" t="s">
        <v>916</v>
      </c>
      <c r="B1351" s="8" t="s">
        <v>2574</v>
      </c>
      <c r="C1351" s="6" t="str">
        <f>'Ann1 - Step 3'!C1351</f>
        <v>Coding Pattern</v>
      </c>
      <c r="D1351" s="6" t="str">
        <f>'Ann2 - Step 3'!C1351</f>
        <v>Coding Pattern</v>
      </c>
      <c r="E1351" s="6" t="b">
        <f t="shared" si="12"/>
        <v>0</v>
      </c>
      <c r="F1351" s="6"/>
      <c r="G1351" s="6" t="str">
        <f t="shared" si="11"/>
        <v>Coding Pattern</v>
      </c>
    </row>
    <row r="1352" spans="1:7" ht="14" x14ac:dyDescent="0.15">
      <c r="A1352" s="6" t="s">
        <v>277</v>
      </c>
      <c r="B1352" s="8" t="s">
        <v>2575</v>
      </c>
      <c r="C1352" s="6" t="str">
        <f>'Ann1 - Step 3'!C1352</f>
        <v>Coding Pattern</v>
      </c>
      <c r="D1352" s="6" t="str">
        <f>'Ann2 - Step 3'!C1352</f>
        <v>Coding Pattern</v>
      </c>
      <c r="E1352" s="6" t="b">
        <f t="shared" si="12"/>
        <v>0</v>
      </c>
      <c r="F1352" s="6"/>
      <c r="G1352" s="6" t="str">
        <f t="shared" si="11"/>
        <v>Coding Pattern</v>
      </c>
    </row>
    <row r="1353" spans="1:7" ht="14" x14ac:dyDescent="0.15">
      <c r="A1353" s="6" t="s">
        <v>934</v>
      </c>
      <c r="B1353" s="8" t="s">
        <v>2576</v>
      </c>
      <c r="C1353" s="6" t="str">
        <f>'Ann1 - Step 3'!C1353</f>
        <v>Documentation</v>
      </c>
      <c r="D1353" s="6" t="str">
        <f>'Ann2 - Step 3'!C1353</f>
        <v>Documentation</v>
      </c>
      <c r="E1353" s="6" t="b">
        <f t="shared" si="12"/>
        <v>0</v>
      </c>
      <c r="F1353" s="30"/>
      <c r="G1353" s="6" t="str">
        <f t="shared" si="11"/>
        <v>Documentation</v>
      </c>
    </row>
    <row r="1354" spans="1:7" ht="14" x14ac:dyDescent="0.15">
      <c r="A1354" s="6" t="s">
        <v>289</v>
      </c>
      <c r="B1354" s="8" t="s">
        <v>2577</v>
      </c>
      <c r="C1354" s="6" t="str">
        <f>'Ann1 - Step 3'!C1354</f>
        <v>Coding Style</v>
      </c>
      <c r="D1354" s="6" t="str">
        <f>'Ann2 - Step 3'!C1354</f>
        <v>Coding Style</v>
      </c>
      <c r="E1354" s="6" t="b">
        <f t="shared" si="12"/>
        <v>0</v>
      </c>
      <c r="F1354" s="6"/>
      <c r="G1354" s="6" t="str">
        <f t="shared" si="11"/>
        <v>Coding Style</v>
      </c>
    </row>
    <row r="1355" spans="1:7" ht="14" x14ac:dyDescent="0.15">
      <c r="A1355" s="6" t="s">
        <v>289</v>
      </c>
      <c r="B1355" s="8" t="s">
        <v>2578</v>
      </c>
      <c r="C1355" s="6" t="str">
        <f>'Ann1 - Step 3'!C1355</f>
        <v>Task Execution</v>
      </c>
      <c r="D1355" s="6" t="str">
        <f>'Ann2 - Step 3'!C1355</f>
        <v>Task Execution</v>
      </c>
      <c r="E1355" s="6" t="b">
        <f t="shared" si="12"/>
        <v>0</v>
      </c>
      <c r="F1355" s="6"/>
      <c r="G1355" s="6" t="str">
        <f t="shared" si="11"/>
        <v>Task Execution</v>
      </c>
    </row>
    <row r="1356" spans="1:7" ht="14" x14ac:dyDescent="0.15">
      <c r="A1356" s="6" t="s">
        <v>2156</v>
      </c>
      <c r="B1356" s="8" t="s">
        <v>2579</v>
      </c>
      <c r="C1356" s="6" t="str">
        <f>'Ann1 - Step 3'!C1356</f>
        <v>Build &amp; Operation</v>
      </c>
      <c r="D1356" s="6" t="str">
        <f>'Ann2 - Step 3'!C1356</f>
        <v>Build &amp; Operation</v>
      </c>
      <c r="E1356" s="6" t="b">
        <f t="shared" si="12"/>
        <v>0</v>
      </c>
      <c r="F1356" s="6"/>
      <c r="G1356" s="6" t="str">
        <f t="shared" si="11"/>
        <v>Build &amp; Operation</v>
      </c>
    </row>
    <row r="1357" spans="1:7" ht="14" x14ac:dyDescent="0.15">
      <c r="A1357" s="6" t="s">
        <v>293</v>
      </c>
      <c r="B1357" s="8" t="s">
        <v>2580</v>
      </c>
      <c r="C1357" s="6" t="str">
        <f>'Ann1 - Step 3'!C1357</f>
        <v>Coding Pattern</v>
      </c>
      <c r="D1357" s="6" t="str">
        <f>'Ann2 - Step 3'!C1357</f>
        <v>Coding Pattern</v>
      </c>
      <c r="E1357" s="6" t="b">
        <f t="shared" si="12"/>
        <v>0</v>
      </c>
      <c r="F1357" s="6"/>
      <c r="G1357" s="6" t="str">
        <f t="shared" si="11"/>
        <v>Coding Pattern</v>
      </c>
    </row>
    <row r="1358" spans="1:7" ht="14" x14ac:dyDescent="0.15">
      <c r="A1358" s="6" t="s">
        <v>306</v>
      </c>
      <c r="B1358" s="8" t="s">
        <v>2581</v>
      </c>
      <c r="C1358" s="6" t="str">
        <f>'Ann1 - Step 3'!C1358</f>
        <v>Coding Pattern</v>
      </c>
      <c r="D1358" s="6" t="str">
        <f>'Ann2 - Step 3'!C1358</f>
        <v>Coding Pattern</v>
      </c>
      <c r="E1358" s="6" t="b">
        <f t="shared" si="12"/>
        <v>0</v>
      </c>
      <c r="F1358" s="6"/>
      <c r="G1358" s="6" t="str">
        <f t="shared" si="11"/>
        <v>Coding Pattern</v>
      </c>
    </row>
    <row r="1359" spans="1:7" ht="14" x14ac:dyDescent="0.15">
      <c r="A1359" s="6" t="s">
        <v>955</v>
      </c>
      <c r="B1359" s="8" t="s">
        <v>2582</v>
      </c>
      <c r="C1359" s="6" t="str">
        <f>'Ann1 - Step 3'!C1359</f>
        <v>Task Execution</v>
      </c>
      <c r="D1359" s="6" t="str">
        <f>'Ann2 - Step 3'!C1359</f>
        <v>Task Execution</v>
      </c>
      <c r="E1359" s="6" t="b">
        <f t="shared" si="12"/>
        <v>0</v>
      </c>
      <c r="F1359" s="30"/>
      <c r="G1359" s="6" t="str">
        <f t="shared" si="11"/>
        <v>Task Execution</v>
      </c>
    </row>
    <row r="1360" spans="1:7" ht="14" x14ac:dyDescent="0.15">
      <c r="A1360" s="31" t="s">
        <v>955</v>
      </c>
      <c r="B1360" s="8" t="s">
        <v>2583</v>
      </c>
      <c r="C1360" s="6" t="str">
        <f>'Ann1 - Step 3'!C1360</f>
        <v>Coding Style</v>
      </c>
      <c r="D1360" s="6" t="str">
        <f>'Ann2 - Step 3'!C1360</f>
        <v>Coding Pattern</v>
      </c>
      <c r="E1360" s="6" t="b">
        <f t="shared" si="12"/>
        <v>1</v>
      </c>
      <c r="F1360" s="30" t="s">
        <v>30</v>
      </c>
      <c r="G1360" s="6" t="str">
        <f t="shared" si="11"/>
        <v>Coding Pattern</v>
      </c>
    </row>
    <row r="1361" spans="1:7" ht="14" x14ac:dyDescent="0.15">
      <c r="A1361" s="6" t="s">
        <v>37</v>
      </c>
      <c r="B1361" s="8" t="s">
        <v>2584</v>
      </c>
      <c r="C1361" s="6" t="str">
        <f>'Ann1 - Step 3'!C1361</f>
        <v>Coding Style</v>
      </c>
      <c r="D1361" s="6" t="str">
        <f>'Ann2 - Step 3'!C1361</f>
        <v>Coding Style</v>
      </c>
      <c r="E1361" s="6" t="b">
        <f t="shared" si="12"/>
        <v>0</v>
      </c>
      <c r="F1361" s="6"/>
      <c r="G1361" s="6" t="str">
        <f t="shared" si="11"/>
        <v>Coding Style</v>
      </c>
    </row>
    <row r="1362" spans="1:7" ht="14" x14ac:dyDescent="0.15">
      <c r="A1362" s="6" t="s">
        <v>327</v>
      </c>
      <c r="B1362" s="8" t="s">
        <v>2585</v>
      </c>
      <c r="C1362" s="6" t="str">
        <f>'Ann1 - Step 3'!C1362</f>
        <v>Commit&amp;PR rule</v>
      </c>
      <c r="D1362" s="6" t="str">
        <f>'Ann2 - Step 3'!C1362</f>
        <v>Commit&amp;PR rule</v>
      </c>
      <c r="E1362" s="6" t="b">
        <f t="shared" si="12"/>
        <v>0</v>
      </c>
      <c r="F1362" s="6"/>
      <c r="G1362" s="6" t="str">
        <f t="shared" si="11"/>
        <v>Commit&amp;PR rule</v>
      </c>
    </row>
    <row r="1363" spans="1:7" ht="14" x14ac:dyDescent="0.15">
      <c r="A1363" s="31" t="s">
        <v>327</v>
      </c>
      <c r="B1363" s="8" t="s">
        <v>2586</v>
      </c>
      <c r="C1363" s="6" t="str">
        <f>'Ann1 - Step 3'!C1363</f>
        <v>Build &amp; Operation</v>
      </c>
      <c r="D1363" s="6" t="str">
        <f>'Ann2 - Step 3'!C1363</f>
        <v>Coding Pattern</v>
      </c>
      <c r="E1363" s="6" t="b">
        <f t="shared" si="12"/>
        <v>1</v>
      </c>
      <c r="F1363" s="30" t="s">
        <v>30</v>
      </c>
      <c r="G1363" s="6" t="str">
        <f t="shared" si="11"/>
        <v>Coding Pattern</v>
      </c>
    </row>
    <row r="1364" spans="1:7" ht="14" x14ac:dyDescent="0.15">
      <c r="A1364" s="6" t="s">
        <v>327</v>
      </c>
      <c r="B1364" s="8" t="s">
        <v>2587</v>
      </c>
      <c r="C1364" s="6" t="str">
        <f>'Ann1 - Step 3'!C1364</f>
        <v>Build &amp; Operation</v>
      </c>
      <c r="D1364" s="6" t="str">
        <f>'Ann2 - Step 3'!C1364</f>
        <v>Coding Pattern</v>
      </c>
      <c r="E1364" s="6" t="b">
        <f t="shared" si="12"/>
        <v>1</v>
      </c>
      <c r="F1364" s="30" t="s">
        <v>30</v>
      </c>
      <c r="G1364" s="6" t="str">
        <f t="shared" si="11"/>
        <v>Coding Pattern</v>
      </c>
    </row>
    <row r="1365" spans="1:7" ht="14" x14ac:dyDescent="0.15">
      <c r="A1365" s="6" t="s">
        <v>327</v>
      </c>
      <c r="B1365" s="8" t="s">
        <v>2588</v>
      </c>
      <c r="C1365" s="6" t="str">
        <f>'Ann1 - Step 3'!C1365</f>
        <v>Coding Pattern</v>
      </c>
      <c r="D1365" s="6" t="str">
        <f>'Ann2 - Step 3'!C1365</f>
        <v>Coding Pattern</v>
      </c>
      <c r="E1365" s="6" t="b">
        <f t="shared" si="12"/>
        <v>0</v>
      </c>
      <c r="F1365" s="30"/>
      <c r="G1365" s="6" t="str">
        <f t="shared" si="11"/>
        <v>Coding Pattern</v>
      </c>
    </row>
    <row r="1366" spans="1:7" ht="14" x14ac:dyDescent="0.15">
      <c r="A1366" s="6" t="s">
        <v>345</v>
      </c>
      <c r="B1366" s="8" t="s">
        <v>2589</v>
      </c>
      <c r="C1366" s="6" t="str">
        <f>'Ann1 - Step 3'!C1366</f>
        <v>Task Execution</v>
      </c>
      <c r="D1366" s="6" t="str">
        <f>'Ann2 - Step 3'!C1366</f>
        <v>Build &amp; Operation</v>
      </c>
      <c r="E1366" s="6" t="b">
        <f t="shared" si="12"/>
        <v>1</v>
      </c>
      <c r="F1366" s="30" t="s">
        <v>30</v>
      </c>
      <c r="G1366" s="6" t="str">
        <f t="shared" si="11"/>
        <v>Coding Pattern</v>
      </c>
    </row>
    <row r="1367" spans="1:7" ht="14" x14ac:dyDescent="0.15">
      <c r="A1367" s="6" t="s">
        <v>2184</v>
      </c>
      <c r="B1367" s="8" t="s">
        <v>2590</v>
      </c>
      <c r="C1367" s="6" t="str">
        <f>'Ann1 - Step 3'!C1367</f>
        <v>Writing Style Preference</v>
      </c>
      <c r="D1367" s="6" t="str">
        <f>'Ann2 - Step 3'!C1367</f>
        <v>Writing Style Preference</v>
      </c>
      <c r="E1367" s="6" t="b">
        <f t="shared" si="12"/>
        <v>0</v>
      </c>
      <c r="F1367" s="6"/>
      <c r="G1367" s="6" t="str">
        <f t="shared" si="11"/>
        <v>Writing Style Preference</v>
      </c>
    </row>
    <row r="1368" spans="1:7" ht="14" x14ac:dyDescent="0.15">
      <c r="A1368" s="6" t="s">
        <v>2184</v>
      </c>
      <c r="B1368" s="8" t="s">
        <v>2591</v>
      </c>
      <c r="C1368" s="6" t="str">
        <f>'Ann1 - Step 3'!C1368</f>
        <v>Writing Style Preference</v>
      </c>
      <c r="D1368" s="6" t="str">
        <f>'Ann2 - Step 3'!C1368</f>
        <v>Writing Style Preference</v>
      </c>
      <c r="E1368" s="6" t="b">
        <f t="shared" si="12"/>
        <v>0</v>
      </c>
      <c r="F1368" s="6"/>
      <c r="G1368" s="6" t="str">
        <f t="shared" si="11"/>
        <v>Writing Style Preference</v>
      </c>
    </row>
    <row r="1369" spans="1:7" ht="14" x14ac:dyDescent="0.15">
      <c r="A1369" s="6" t="s">
        <v>2184</v>
      </c>
      <c r="B1369" s="8" t="s">
        <v>2592</v>
      </c>
      <c r="C1369" s="6" t="str">
        <f>'Ann1 - Step 3'!C1369</f>
        <v>Writing Style Preference</v>
      </c>
      <c r="D1369" s="6" t="str">
        <f>'Ann2 - Step 3'!C1369</f>
        <v>Writing Style Preference</v>
      </c>
      <c r="E1369" s="6" t="b">
        <f t="shared" si="12"/>
        <v>0</v>
      </c>
      <c r="F1369" s="6"/>
      <c r="G1369" s="6" t="str">
        <f t="shared" si="11"/>
        <v>Writing Style Preference</v>
      </c>
    </row>
    <row r="1370" spans="1:7" ht="28" x14ac:dyDescent="0.15">
      <c r="A1370" s="6" t="s">
        <v>347</v>
      </c>
      <c r="B1370" s="8" t="s">
        <v>2593</v>
      </c>
      <c r="C1370" s="6" t="str">
        <f>'Ann1 - Step 3'!C1370</f>
        <v>Task Execution</v>
      </c>
      <c r="D1370" s="6" t="str">
        <f>'Ann2 - Step 3'!C1370</f>
        <v>Task Execution</v>
      </c>
      <c r="E1370" s="6" t="b">
        <f t="shared" si="12"/>
        <v>0</v>
      </c>
      <c r="F1370" s="6"/>
      <c r="G1370" s="6" t="str">
        <f t="shared" si="11"/>
        <v>Task Execution</v>
      </c>
    </row>
    <row r="1371" spans="1:7" ht="14" x14ac:dyDescent="0.15">
      <c r="A1371" s="6" t="s">
        <v>351</v>
      </c>
      <c r="B1371" s="8" t="s">
        <v>2594</v>
      </c>
      <c r="C1371" s="6" t="str">
        <f>'Ann1 - Step 3'!C1371</f>
        <v>Coding Pattern</v>
      </c>
      <c r="D1371" s="6" t="str">
        <f>'Ann2 - Step 3'!C1371</f>
        <v>Coding Pattern</v>
      </c>
      <c r="E1371" s="6" t="b">
        <f t="shared" si="12"/>
        <v>0</v>
      </c>
      <c r="F1371" s="6"/>
      <c r="G1371" s="6" t="str">
        <f t="shared" si="11"/>
        <v>Coding Pattern</v>
      </c>
    </row>
    <row r="1372" spans="1:7" ht="14" x14ac:dyDescent="0.15">
      <c r="A1372" s="6" t="s">
        <v>351</v>
      </c>
      <c r="B1372" s="8" t="s">
        <v>2595</v>
      </c>
      <c r="C1372" s="6" t="str">
        <f>'Ann1 - Step 3'!C1372</f>
        <v>Security</v>
      </c>
      <c r="D1372" s="6" t="str">
        <f>'Ann2 - Step 3'!C1372</f>
        <v>Security</v>
      </c>
      <c r="E1372" s="6" t="b">
        <f t="shared" si="12"/>
        <v>0</v>
      </c>
      <c r="F1372" s="6"/>
      <c r="G1372" s="6" t="str">
        <f t="shared" si="11"/>
        <v>Security</v>
      </c>
    </row>
    <row r="1373" spans="1:7" ht="14" x14ac:dyDescent="0.15">
      <c r="A1373" s="6" t="s">
        <v>2598</v>
      </c>
      <c r="B1373" s="8" t="s">
        <v>2599</v>
      </c>
      <c r="C1373" s="6" t="str">
        <f>'Ann1 - Step 3'!C1373</f>
        <v>Task Execution</v>
      </c>
      <c r="D1373" s="6" t="str">
        <f>'Ann2 - Step 3'!C1373</f>
        <v>Coding Pattern</v>
      </c>
      <c r="E1373" s="6" t="b">
        <f t="shared" si="12"/>
        <v>1</v>
      </c>
      <c r="F1373" s="30" t="s">
        <v>30</v>
      </c>
      <c r="G1373" s="6" t="str">
        <f t="shared" si="11"/>
        <v>Coding Pattern</v>
      </c>
    </row>
    <row r="1374" spans="1:7" ht="14" x14ac:dyDescent="0.15">
      <c r="A1374" s="6" t="s">
        <v>359</v>
      </c>
      <c r="B1374" s="8" t="s">
        <v>2600</v>
      </c>
      <c r="C1374" s="6" t="str">
        <f>'Ann1 - Step 3'!C1374</f>
        <v>NOT_ENOUGH_CONTEXT</v>
      </c>
      <c r="D1374" s="6" t="str">
        <f>'Ann2 - Step 3'!C1374</f>
        <v>NOT_ENOUGH_CONTEXT</v>
      </c>
      <c r="E1374" s="6" t="b">
        <f t="shared" si="12"/>
        <v>0</v>
      </c>
      <c r="F1374" s="6"/>
      <c r="G1374" s="6" t="str">
        <f t="shared" si="11"/>
        <v>NOT_ENOUGH_CONTEXT</v>
      </c>
    </row>
    <row r="1375" spans="1:7" ht="14" x14ac:dyDescent="0.15">
      <c r="A1375" s="6" t="s">
        <v>364</v>
      </c>
      <c r="B1375" s="8" t="s">
        <v>2601</v>
      </c>
      <c r="C1375" s="6" t="str">
        <f>'Ann1 - Step 3'!C1375</f>
        <v>Build &amp; Operation</v>
      </c>
      <c r="D1375" s="6" t="str">
        <f>'Ann2 - Step 3'!C1375</f>
        <v>Coding Style</v>
      </c>
      <c r="E1375" s="6" t="b">
        <f t="shared" si="12"/>
        <v>1</v>
      </c>
      <c r="F1375" s="30" t="s">
        <v>30</v>
      </c>
      <c r="G1375" s="6" t="str">
        <f t="shared" si="11"/>
        <v>Coding Pattern</v>
      </c>
    </row>
    <row r="1376" spans="1:7" ht="14" x14ac:dyDescent="0.15">
      <c r="A1376" s="6" t="s">
        <v>2604</v>
      </c>
      <c r="B1376" s="8" t="s">
        <v>2605</v>
      </c>
      <c r="C1376" s="6" t="str">
        <f>'Ann1 - Step 3'!C1376</f>
        <v>Build &amp; Operation</v>
      </c>
      <c r="D1376" s="6" t="str">
        <f>'Ann2 - Step 3'!C1376</f>
        <v>Build &amp; Operation</v>
      </c>
      <c r="E1376" s="6" t="b">
        <f t="shared" si="12"/>
        <v>0</v>
      </c>
      <c r="F1376" s="6"/>
      <c r="G1376" s="6" t="str">
        <f t="shared" si="11"/>
        <v>Build &amp; Operation</v>
      </c>
    </row>
    <row r="1377" spans="1:7" ht="14" x14ac:dyDescent="0.15">
      <c r="A1377" s="6" t="s">
        <v>379</v>
      </c>
      <c r="B1377" s="8" t="s">
        <v>2606</v>
      </c>
      <c r="C1377" s="6" t="str">
        <f>'Ann1 - Step 3'!C1377</f>
        <v>Task Execution</v>
      </c>
      <c r="D1377" s="6" t="str">
        <f>'Ann2 - Step 3'!C1377</f>
        <v>Coding Pattern</v>
      </c>
      <c r="E1377" s="6" t="b">
        <f t="shared" si="12"/>
        <v>1</v>
      </c>
      <c r="F1377" s="30" t="s">
        <v>18</v>
      </c>
      <c r="G1377" s="6" t="str">
        <f t="shared" si="11"/>
        <v>Task Execution</v>
      </c>
    </row>
    <row r="1378" spans="1:7" ht="14" x14ac:dyDescent="0.15">
      <c r="A1378" s="6" t="s">
        <v>379</v>
      </c>
      <c r="B1378" s="8" t="s">
        <v>2607</v>
      </c>
      <c r="C1378" s="6" t="str">
        <f>'Ann1 - Step 3'!C1378</f>
        <v>Coding Pattern</v>
      </c>
      <c r="D1378" s="6" t="str">
        <f>'Ann2 - Step 3'!C1378</f>
        <v>Coding Pattern</v>
      </c>
      <c r="E1378" s="6" t="b">
        <f t="shared" si="12"/>
        <v>0</v>
      </c>
      <c r="F1378" s="6"/>
      <c r="G1378" s="6" t="str">
        <f t="shared" si="11"/>
        <v>Coding Pattern</v>
      </c>
    </row>
    <row r="1379" spans="1:7" ht="14" x14ac:dyDescent="0.15">
      <c r="A1379" s="6" t="s">
        <v>1021</v>
      </c>
      <c r="B1379" s="8" t="s">
        <v>2608</v>
      </c>
      <c r="C1379" s="6" t="str">
        <f>'Ann1 - Step 3'!C1379</f>
        <v>Task Execution</v>
      </c>
      <c r="D1379" s="6" t="str">
        <f>'Ann2 - Step 3'!C1379</f>
        <v>Task Execution</v>
      </c>
      <c r="E1379" s="6" t="b">
        <f t="shared" si="12"/>
        <v>0</v>
      </c>
      <c r="F1379" s="6"/>
      <c r="G1379" s="6" t="str">
        <f t="shared" si="11"/>
        <v>Task Execution</v>
      </c>
    </row>
    <row r="1380" spans="1:7" ht="14" x14ac:dyDescent="0.15">
      <c r="A1380" s="6" t="s">
        <v>1021</v>
      </c>
      <c r="B1380" s="8" t="s">
        <v>2609</v>
      </c>
      <c r="C1380" s="6" t="str">
        <f>'Ann1 - Step 3'!C1380</f>
        <v>Coding Style</v>
      </c>
      <c r="D1380" s="6" t="str">
        <f>'Ann2 - Step 3'!C1380</f>
        <v>Coding Style</v>
      </c>
      <c r="E1380" s="6" t="b">
        <f t="shared" si="12"/>
        <v>0</v>
      </c>
      <c r="F1380" s="30"/>
      <c r="G1380" s="6" t="str">
        <f t="shared" si="11"/>
        <v>Coding Style</v>
      </c>
    </row>
    <row r="1381" spans="1:7" ht="28" x14ac:dyDescent="0.15">
      <c r="A1381" s="6" t="s">
        <v>1021</v>
      </c>
      <c r="B1381" s="8" t="s">
        <v>2610</v>
      </c>
      <c r="C1381" s="6" t="str">
        <f>'Ann1 - Step 3'!C1381</f>
        <v>Security</v>
      </c>
      <c r="D1381" s="6" t="str">
        <f>'Ann2 - Step 3'!C1381</f>
        <v>Coding Pattern</v>
      </c>
      <c r="E1381" s="6" t="b">
        <f t="shared" si="12"/>
        <v>1</v>
      </c>
      <c r="F1381" s="30" t="s">
        <v>30</v>
      </c>
      <c r="G1381" s="6" t="str">
        <f t="shared" si="11"/>
        <v>Coding Pattern</v>
      </c>
    </row>
    <row r="1382" spans="1:7" ht="14" x14ac:dyDescent="0.15">
      <c r="A1382" s="6" t="s">
        <v>384</v>
      </c>
      <c r="B1382" s="8" t="s">
        <v>2611</v>
      </c>
      <c r="C1382" s="6" t="str">
        <f>'Ann1 - Step 3'!C1382</f>
        <v>Build &amp; Operation</v>
      </c>
      <c r="D1382" s="6" t="str">
        <f>'Ann2 - Step 3'!C1382</f>
        <v>Build &amp; Operation</v>
      </c>
      <c r="E1382" s="6" t="b">
        <f t="shared" si="12"/>
        <v>0</v>
      </c>
      <c r="F1382" s="6"/>
      <c r="G1382" s="6" t="str">
        <f t="shared" si="11"/>
        <v>Build &amp; Operation</v>
      </c>
    </row>
    <row r="1383" spans="1:7" ht="14" x14ac:dyDescent="0.15">
      <c r="A1383" s="6" t="s">
        <v>384</v>
      </c>
      <c r="B1383" s="8" t="s">
        <v>2612</v>
      </c>
      <c r="C1383" s="6" t="str">
        <f>'Ann1 - Step 3'!C1383</f>
        <v>Coding Pattern</v>
      </c>
      <c r="D1383" s="6" t="str">
        <f>'Ann2 - Step 3'!C1383</f>
        <v>Coding Pattern</v>
      </c>
      <c r="E1383" s="6" t="b">
        <f t="shared" si="12"/>
        <v>0</v>
      </c>
      <c r="F1383" s="6"/>
      <c r="G1383" s="6" t="str">
        <f t="shared" si="11"/>
        <v>Coding Pattern</v>
      </c>
    </row>
    <row r="1384" spans="1:7" ht="14" x14ac:dyDescent="0.15">
      <c r="A1384" s="6" t="s">
        <v>384</v>
      </c>
      <c r="B1384" s="8" t="s">
        <v>2613</v>
      </c>
      <c r="C1384" s="6" t="str">
        <f>'Ann1 - Step 3'!C1384</f>
        <v>Coding Pattern</v>
      </c>
      <c r="D1384" s="6" t="str">
        <f>'Ann2 - Step 3'!C1384</f>
        <v>Coding Pattern</v>
      </c>
      <c r="E1384" s="6" t="b">
        <f t="shared" si="12"/>
        <v>0</v>
      </c>
      <c r="F1384" s="6"/>
      <c r="G1384" s="6" t="str">
        <f t="shared" si="11"/>
        <v>Coding Pattern</v>
      </c>
    </row>
    <row r="1385" spans="1:7" ht="14" x14ac:dyDescent="0.15">
      <c r="A1385" s="6" t="s">
        <v>384</v>
      </c>
      <c r="B1385" s="8" t="s">
        <v>2614</v>
      </c>
      <c r="C1385" s="6" t="str">
        <f>'Ann1 - Step 3'!C1385</f>
        <v>Coding Pattern</v>
      </c>
      <c r="D1385" s="6" t="str">
        <f>'Ann2 - Step 3'!C1385</f>
        <v>Coding Style</v>
      </c>
      <c r="E1385" s="6" t="b">
        <f t="shared" si="12"/>
        <v>1</v>
      </c>
      <c r="F1385" s="30" t="s">
        <v>30</v>
      </c>
      <c r="G1385" s="6" t="str">
        <f t="shared" si="11"/>
        <v>Coding Pattern</v>
      </c>
    </row>
    <row r="1386" spans="1:7" ht="14" x14ac:dyDescent="0.15">
      <c r="A1386" s="6" t="s">
        <v>384</v>
      </c>
      <c r="B1386" s="8" t="s">
        <v>2615</v>
      </c>
      <c r="C1386" s="6" t="str">
        <f>'Ann1 - Step 3'!C1386</f>
        <v>Coding Style</v>
      </c>
      <c r="D1386" s="6" t="str">
        <f>'Ann2 - Step 3'!C1386</f>
        <v>Coding Style</v>
      </c>
      <c r="E1386" s="6" t="b">
        <f t="shared" si="12"/>
        <v>0</v>
      </c>
      <c r="F1386" s="6"/>
      <c r="G1386" s="6" t="str">
        <f t="shared" si="11"/>
        <v>Coding Style</v>
      </c>
    </row>
    <row r="1387" spans="1:7" ht="14" x14ac:dyDescent="0.15">
      <c r="A1387" s="6" t="s">
        <v>384</v>
      </c>
      <c r="B1387" s="8" t="s">
        <v>2616</v>
      </c>
      <c r="C1387" s="6" t="str">
        <f>'Ann1 - Step 3'!C1387</f>
        <v>Commit&amp;PR rule</v>
      </c>
      <c r="D1387" s="6" t="str">
        <f>'Ann2 - Step 3'!C1387</f>
        <v>Writing Style Preference</v>
      </c>
      <c r="E1387" s="6" t="b">
        <f t="shared" si="12"/>
        <v>1</v>
      </c>
      <c r="F1387" s="30" t="s">
        <v>77</v>
      </c>
      <c r="G1387" s="6" t="str">
        <f t="shared" si="11"/>
        <v>Writing Style Preference</v>
      </c>
    </row>
    <row r="1388" spans="1:7" ht="14" x14ac:dyDescent="0.15">
      <c r="A1388" s="6" t="s">
        <v>1514</v>
      </c>
      <c r="B1388" s="8" t="s">
        <v>2617</v>
      </c>
      <c r="C1388" s="6" t="str">
        <f>'Ann1 - Step 3'!C1388</f>
        <v>Task Execution</v>
      </c>
      <c r="D1388" s="6" t="str">
        <f>'Ann2 - Step 3'!C1388</f>
        <v>Commit&amp;PR rule</v>
      </c>
      <c r="E1388" s="6" t="b">
        <f t="shared" si="12"/>
        <v>1</v>
      </c>
      <c r="F1388" s="30" t="s">
        <v>12</v>
      </c>
      <c r="G1388" s="6" t="str">
        <f t="shared" si="11"/>
        <v>Commit&amp;PR rule</v>
      </c>
    </row>
    <row r="1389" spans="1:7" ht="14" x14ac:dyDescent="0.15">
      <c r="A1389" s="6" t="s">
        <v>1057</v>
      </c>
      <c r="B1389" s="8" t="s">
        <v>2536</v>
      </c>
      <c r="C1389" s="6" t="str">
        <f>'Ann1 - Step 3'!C1389</f>
        <v>Testing</v>
      </c>
      <c r="D1389" s="6" t="str">
        <f>'Ann2 - Step 3'!C1389</f>
        <v>Testing</v>
      </c>
      <c r="E1389" s="6" t="b">
        <f t="shared" si="12"/>
        <v>0</v>
      </c>
      <c r="F1389" s="6"/>
      <c r="G1389" s="6" t="str">
        <f t="shared" si="11"/>
        <v>Testing</v>
      </c>
    </row>
    <row r="1390" spans="1:7" ht="14" x14ac:dyDescent="0.15">
      <c r="A1390" s="6" t="s">
        <v>1057</v>
      </c>
      <c r="B1390" s="8" t="s">
        <v>2537</v>
      </c>
      <c r="C1390" s="6" t="str">
        <f>'Ann1 - Step 3'!C1390</f>
        <v>Security</v>
      </c>
      <c r="D1390" s="6" t="str">
        <f>'Ann2 - Step 3'!C1390</f>
        <v>Security</v>
      </c>
      <c r="E1390" s="6" t="b">
        <f t="shared" si="12"/>
        <v>0</v>
      </c>
      <c r="F1390" s="6"/>
      <c r="G1390" s="6" t="str">
        <f t="shared" si="11"/>
        <v>Security</v>
      </c>
    </row>
    <row r="1391" spans="1:7" ht="14" x14ac:dyDescent="0.15">
      <c r="A1391" s="6" t="s">
        <v>1057</v>
      </c>
      <c r="B1391" s="8" t="s">
        <v>2538</v>
      </c>
      <c r="C1391" s="6" t="str">
        <f>'Ann1 - Step 3'!C1391</f>
        <v>Security</v>
      </c>
      <c r="D1391" s="6" t="str">
        <f>'Ann2 - Step 3'!C1391</f>
        <v>Coding Pattern</v>
      </c>
      <c r="E1391" s="6" t="b">
        <f t="shared" si="12"/>
        <v>1</v>
      </c>
      <c r="F1391" s="30" t="s">
        <v>30</v>
      </c>
      <c r="G1391" s="6" t="str">
        <f t="shared" si="11"/>
        <v>Coding Pattern</v>
      </c>
    </row>
    <row r="1392" spans="1:7" ht="14" x14ac:dyDescent="0.15">
      <c r="A1392" s="6" t="s">
        <v>391</v>
      </c>
      <c r="B1392" s="8" t="s">
        <v>2618</v>
      </c>
      <c r="C1392" s="6" t="str">
        <f>'Ann1 - Step 3'!C1392</f>
        <v>Build &amp; Operation</v>
      </c>
      <c r="D1392" s="6" t="str">
        <f>'Ann2 - Step 3'!C1392</f>
        <v>Coding Pattern</v>
      </c>
      <c r="E1392" s="6" t="b">
        <f t="shared" si="12"/>
        <v>1</v>
      </c>
      <c r="F1392" s="30" t="s">
        <v>30</v>
      </c>
      <c r="G1392" s="6" t="str">
        <f t="shared" si="11"/>
        <v>Coding Pattern</v>
      </c>
    </row>
    <row r="1393" spans="1:7" ht="14" x14ac:dyDescent="0.15">
      <c r="A1393" s="6" t="s">
        <v>710</v>
      </c>
      <c r="B1393" s="8" t="s">
        <v>2619</v>
      </c>
      <c r="C1393" s="6" t="str">
        <f>'Ann1 - Step 3'!C1393</f>
        <v>Coding Pattern</v>
      </c>
      <c r="D1393" s="6" t="str">
        <f>'Ann2 - Step 3'!C1393</f>
        <v>Coding Pattern</v>
      </c>
      <c r="E1393" s="6" t="b">
        <f t="shared" si="12"/>
        <v>0</v>
      </c>
      <c r="F1393" s="6"/>
      <c r="G1393" s="6" t="str">
        <f t="shared" si="11"/>
        <v>Coding Pattern</v>
      </c>
    </row>
    <row r="1394" spans="1:7" ht="14" x14ac:dyDescent="0.15">
      <c r="A1394" s="6" t="s">
        <v>710</v>
      </c>
      <c r="B1394" s="8" t="s">
        <v>2620</v>
      </c>
      <c r="C1394" s="6" t="str">
        <f>'Ann1 - Step 3'!C1394</f>
        <v>Coding Pattern</v>
      </c>
      <c r="D1394" s="6" t="str">
        <f>'Ann2 - Step 3'!C1394</f>
        <v>Coding Pattern</v>
      </c>
      <c r="E1394" s="6" t="b">
        <f t="shared" si="12"/>
        <v>0</v>
      </c>
      <c r="F1394" s="6"/>
      <c r="G1394" s="6" t="str">
        <f t="shared" si="11"/>
        <v>Coding Pattern</v>
      </c>
    </row>
    <row r="1395" spans="1:7" ht="14" x14ac:dyDescent="0.15">
      <c r="A1395" s="6" t="s">
        <v>395</v>
      </c>
      <c r="B1395" s="8" t="s">
        <v>2621</v>
      </c>
      <c r="C1395" s="6" t="str">
        <f>'Ann1 - Step 3'!C1395</f>
        <v>Coding Pattern</v>
      </c>
      <c r="D1395" s="6" t="str">
        <f>'Ann2 - Step 3'!C1395</f>
        <v>Coding Pattern</v>
      </c>
      <c r="E1395" s="6" t="b">
        <f t="shared" si="12"/>
        <v>0</v>
      </c>
      <c r="F1395" s="6"/>
      <c r="G1395" s="6" t="str">
        <f t="shared" si="11"/>
        <v>Coding Pattern</v>
      </c>
    </row>
    <row r="1396" spans="1:7" ht="14" x14ac:dyDescent="0.15">
      <c r="A1396" s="6" t="s">
        <v>1088</v>
      </c>
      <c r="B1396" s="8" t="s">
        <v>2622</v>
      </c>
      <c r="C1396" s="6" t="str">
        <f>'Ann1 - Step 3'!C1396</f>
        <v>Build &amp; Operation</v>
      </c>
      <c r="D1396" s="6" t="str">
        <f>'Ann2 - Step 3'!C1396</f>
        <v>Coding Pattern</v>
      </c>
      <c r="E1396" s="6" t="b">
        <f t="shared" si="12"/>
        <v>1</v>
      </c>
      <c r="F1396" s="30" t="s">
        <v>30</v>
      </c>
      <c r="G1396" s="6" t="str">
        <f t="shared" si="11"/>
        <v>Coding Pattern</v>
      </c>
    </row>
    <row r="1397" spans="1:7" ht="14" x14ac:dyDescent="0.15">
      <c r="A1397" s="6" t="s">
        <v>1088</v>
      </c>
      <c r="B1397" s="8" t="s">
        <v>2623</v>
      </c>
      <c r="C1397" s="6" t="str">
        <f>'Ann1 - Step 3'!C1397</f>
        <v>Coding Style</v>
      </c>
      <c r="D1397" s="6" t="str">
        <f>'Ann2 - Step 3'!C1397</f>
        <v>Coding Pattern</v>
      </c>
      <c r="E1397" s="6" t="b">
        <f t="shared" si="12"/>
        <v>1</v>
      </c>
      <c r="F1397" s="30" t="s">
        <v>30</v>
      </c>
      <c r="G1397" s="6" t="str">
        <f t="shared" si="11"/>
        <v>Coding Pattern</v>
      </c>
    </row>
    <row r="1398" spans="1:7" ht="14" x14ac:dyDescent="0.15">
      <c r="A1398" s="6" t="s">
        <v>1088</v>
      </c>
      <c r="B1398" s="8" t="s">
        <v>2624</v>
      </c>
      <c r="C1398" s="6" t="str">
        <f>'Ann1 - Step 3'!C1398</f>
        <v>Task Execution</v>
      </c>
      <c r="D1398" s="6" t="str">
        <f>'Ann2 - Step 3'!C1398</f>
        <v>Coding Pattern</v>
      </c>
      <c r="E1398" s="6" t="b">
        <f t="shared" si="12"/>
        <v>1</v>
      </c>
      <c r="F1398" s="30" t="s">
        <v>30</v>
      </c>
      <c r="G1398" s="6" t="str">
        <f t="shared" si="11"/>
        <v>Coding Pattern</v>
      </c>
    </row>
    <row r="1399" spans="1:7" ht="14" x14ac:dyDescent="0.15">
      <c r="A1399" s="6" t="s">
        <v>1088</v>
      </c>
      <c r="B1399" s="8" t="s">
        <v>2625</v>
      </c>
      <c r="C1399" s="6" t="str">
        <f>'Ann1 - Step 3'!C1399</f>
        <v>Coding Style</v>
      </c>
      <c r="D1399" s="6" t="str">
        <f>'Ann2 - Step 3'!C1399</f>
        <v>Coding Style</v>
      </c>
      <c r="E1399" s="6" t="b">
        <f t="shared" si="12"/>
        <v>0</v>
      </c>
      <c r="F1399" s="6"/>
      <c r="G1399" s="6" t="str">
        <f t="shared" si="11"/>
        <v>Coding Style</v>
      </c>
    </row>
    <row r="1400" spans="1:7" ht="14" x14ac:dyDescent="0.15">
      <c r="A1400" s="6" t="s">
        <v>1088</v>
      </c>
      <c r="B1400" s="8" t="s">
        <v>2626</v>
      </c>
      <c r="C1400" s="6" t="str">
        <f>'Ann1 - Step 3'!C1400</f>
        <v>Coding Style</v>
      </c>
      <c r="D1400" s="6" t="str">
        <f>'Ann2 - Step 3'!C1400</f>
        <v>Coding Style</v>
      </c>
      <c r="E1400" s="6" t="b">
        <f t="shared" si="12"/>
        <v>0</v>
      </c>
      <c r="F1400" s="6"/>
      <c r="G1400" s="6" t="str">
        <f t="shared" si="11"/>
        <v>Coding Style</v>
      </c>
    </row>
    <row r="1401" spans="1:7" ht="14" x14ac:dyDescent="0.15">
      <c r="A1401" s="6" t="s">
        <v>1088</v>
      </c>
      <c r="B1401" s="8" t="s">
        <v>2627</v>
      </c>
      <c r="C1401" s="6" t="str">
        <f>'Ann1 - Step 3'!C1401</f>
        <v>Coding Style</v>
      </c>
      <c r="D1401" s="6" t="str">
        <f>'Ann2 - Step 3'!C1401</f>
        <v>Coding Style</v>
      </c>
      <c r="E1401" s="6" t="b">
        <f t="shared" si="12"/>
        <v>0</v>
      </c>
      <c r="F1401" s="6"/>
      <c r="G1401" s="6" t="str">
        <f t="shared" si="11"/>
        <v>Coding Style</v>
      </c>
    </row>
    <row r="1402" spans="1:7" ht="14" x14ac:dyDescent="0.15">
      <c r="A1402" s="6" t="s">
        <v>1088</v>
      </c>
      <c r="B1402" s="8" t="s">
        <v>2628</v>
      </c>
      <c r="C1402" s="6" t="str">
        <f>'Ann1 - Step 3'!C1402</f>
        <v>Coding Pattern</v>
      </c>
      <c r="D1402" s="6" t="str">
        <f>'Ann2 - Step 3'!C1402</f>
        <v>Coding Pattern</v>
      </c>
      <c r="E1402" s="6" t="b">
        <f t="shared" si="12"/>
        <v>0</v>
      </c>
      <c r="F1402" s="6"/>
      <c r="G1402" s="6" t="str">
        <f t="shared" si="11"/>
        <v>Coding Pattern</v>
      </c>
    </row>
    <row r="1403" spans="1:7" ht="14" x14ac:dyDescent="0.15">
      <c r="A1403" s="6" t="s">
        <v>1088</v>
      </c>
      <c r="B1403" s="8" t="s">
        <v>2629</v>
      </c>
      <c r="C1403" s="6" t="str">
        <f>'Ann1 - Step 3'!C1403</f>
        <v>Coding Pattern</v>
      </c>
      <c r="D1403" s="6" t="str">
        <f>'Ann2 - Step 3'!C1403</f>
        <v>Coding Pattern</v>
      </c>
      <c r="E1403" s="6" t="b">
        <f t="shared" si="12"/>
        <v>0</v>
      </c>
      <c r="F1403" s="6"/>
      <c r="G1403" s="6" t="str">
        <f t="shared" si="11"/>
        <v>Coding Pattern</v>
      </c>
    </row>
    <row r="1404" spans="1:7" ht="14" x14ac:dyDescent="0.15">
      <c r="A1404" s="6" t="s">
        <v>1088</v>
      </c>
      <c r="B1404" s="8" t="s">
        <v>2630</v>
      </c>
      <c r="C1404" s="6" t="str">
        <f>'Ann1 - Step 3'!C1404</f>
        <v>Coding Pattern</v>
      </c>
      <c r="D1404" s="6" t="str">
        <f>'Ann2 - Step 3'!C1404</f>
        <v>Coding Pattern</v>
      </c>
      <c r="E1404" s="6" t="b">
        <f t="shared" si="12"/>
        <v>0</v>
      </c>
      <c r="F1404" s="6"/>
      <c r="G1404" s="6" t="str">
        <f t="shared" si="11"/>
        <v>Coding Pattern</v>
      </c>
    </row>
    <row r="1405" spans="1:7" ht="14" x14ac:dyDescent="0.15">
      <c r="A1405" s="6" t="s">
        <v>1088</v>
      </c>
      <c r="B1405" s="8" t="s">
        <v>2631</v>
      </c>
      <c r="C1405" s="6" t="str">
        <f>'Ann1 - Step 3'!C1405</f>
        <v>Testing</v>
      </c>
      <c r="D1405" s="6" t="str">
        <f>'Ann2 - Step 3'!C1405</f>
        <v>Testing</v>
      </c>
      <c r="E1405" s="6" t="b">
        <f t="shared" si="12"/>
        <v>0</v>
      </c>
      <c r="F1405" s="6"/>
      <c r="G1405" s="6" t="str">
        <f t="shared" si="11"/>
        <v>Testing</v>
      </c>
    </row>
    <row r="1406" spans="1:7" ht="14" x14ac:dyDescent="0.15">
      <c r="A1406" s="6" t="s">
        <v>1088</v>
      </c>
      <c r="B1406" s="8" t="s">
        <v>2632</v>
      </c>
      <c r="C1406" s="6" t="str">
        <f>'Ann1 - Step 3'!C1406</f>
        <v>Testing</v>
      </c>
      <c r="D1406" s="6" t="str">
        <f>'Ann2 - Step 3'!C1406</f>
        <v>Testing</v>
      </c>
      <c r="E1406" s="6" t="b">
        <f t="shared" si="12"/>
        <v>0</v>
      </c>
      <c r="F1406" s="6"/>
      <c r="G1406" s="6" t="str">
        <f t="shared" si="11"/>
        <v>Testing</v>
      </c>
    </row>
    <row r="1407" spans="1:7" ht="28" x14ac:dyDescent="0.15">
      <c r="A1407" s="31" t="s">
        <v>2635</v>
      </c>
      <c r="B1407" s="8" t="s">
        <v>2636</v>
      </c>
      <c r="C1407" s="6" t="str">
        <f>'Ann1 - Step 3'!C1407</f>
        <v>Documentation</v>
      </c>
      <c r="D1407" s="6" t="str">
        <f>'Ann2 - Step 3'!C1407</f>
        <v>Documentation</v>
      </c>
      <c r="E1407" s="6" t="b">
        <f t="shared" si="12"/>
        <v>0</v>
      </c>
      <c r="F1407" s="30"/>
      <c r="G1407" s="6" t="str">
        <f t="shared" si="11"/>
        <v>Documentation</v>
      </c>
    </row>
    <row r="1408" spans="1:7" ht="14" x14ac:dyDescent="0.15">
      <c r="A1408" s="6" t="s">
        <v>2638</v>
      </c>
      <c r="B1408" s="8" t="s">
        <v>2639</v>
      </c>
      <c r="C1408" s="6" t="str">
        <f>'Ann1 - Step 3'!C1408</f>
        <v>Security</v>
      </c>
      <c r="D1408" s="6" t="str">
        <f>'Ann2 - Step 3'!C1408</f>
        <v>Security</v>
      </c>
      <c r="E1408" s="6" t="b">
        <f t="shared" si="12"/>
        <v>0</v>
      </c>
      <c r="F1408" s="30"/>
      <c r="G1408" s="6" t="str">
        <f t="shared" si="11"/>
        <v>Security</v>
      </c>
    </row>
    <row r="1409" spans="1:7" ht="14" x14ac:dyDescent="0.15">
      <c r="A1409" s="6" t="s">
        <v>2638</v>
      </c>
      <c r="B1409" s="8" t="s">
        <v>2640</v>
      </c>
      <c r="C1409" s="6" t="str">
        <f>'Ann1 - Step 3'!C1409</f>
        <v>Performance</v>
      </c>
      <c r="D1409" s="6" t="str">
        <f>'Ann2 - Step 3'!C1409</f>
        <v>Performance</v>
      </c>
      <c r="E1409" s="6" t="b">
        <f t="shared" si="12"/>
        <v>0</v>
      </c>
      <c r="F1409" s="30"/>
      <c r="G1409" s="6" t="str">
        <f t="shared" si="11"/>
        <v>Performance</v>
      </c>
    </row>
    <row r="1410" spans="1:7" ht="14" x14ac:dyDescent="0.15">
      <c r="A1410" s="6" t="s">
        <v>1094</v>
      </c>
      <c r="B1410" s="8" t="s">
        <v>2641</v>
      </c>
      <c r="C1410" s="6" t="str">
        <f>'Ann1 - Step 3'!C1410</f>
        <v>Build &amp; Operation</v>
      </c>
      <c r="D1410" s="6" t="str">
        <f>'Ann2 - Step 3'!C1410</f>
        <v>Build &amp; Operation</v>
      </c>
      <c r="E1410" s="6" t="b">
        <f t="shared" si="12"/>
        <v>0</v>
      </c>
      <c r="F1410" s="6"/>
      <c r="G1410" s="6" t="str">
        <f t="shared" si="11"/>
        <v>Build &amp; Operation</v>
      </c>
    </row>
    <row r="1411" spans="1:7" ht="14" x14ac:dyDescent="0.15">
      <c r="A1411" s="6" t="s">
        <v>2219</v>
      </c>
      <c r="B1411" s="8" t="s">
        <v>2642</v>
      </c>
      <c r="C1411" s="6" t="str">
        <f>'Ann1 - Step 3'!C1411</f>
        <v>Code Review</v>
      </c>
      <c r="D1411" s="6" t="str">
        <f>'Ann2 - Step 3'!C1411</f>
        <v>Build &amp; Operation</v>
      </c>
      <c r="E1411" s="6" t="b">
        <f t="shared" si="12"/>
        <v>1</v>
      </c>
      <c r="F1411" s="30" t="s">
        <v>67</v>
      </c>
      <c r="G1411" s="6" t="str">
        <f t="shared" si="11"/>
        <v>Code Review</v>
      </c>
    </row>
    <row r="1412" spans="1:7" ht="14" x14ac:dyDescent="0.15">
      <c r="A1412" s="6" t="s">
        <v>2219</v>
      </c>
      <c r="B1412" s="8" t="s">
        <v>2643</v>
      </c>
      <c r="C1412" s="6" t="str">
        <f>'Ann1 - Step 3'!C1412</f>
        <v>Coding Pattern</v>
      </c>
      <c r="D1412" s="6" t="str">
        <f>'Ann2 - Step 3'!C1412</f>
        <v>Coding Pattern</v>
      </c>
      <c r="E1412" s="6" t="b">
        <f t="shared" si="12"/>
        <v>0</v>
      </c>
      <c r="F1412" s="30" t="s">
        <v>30</v>
      </c>
      <c r="G1412" s="6" t="str">
        <f t="shared" si="11"/>
        <v>Coding Pattern</v>
      </c>
    </row>
    <row r="1413" spans="1:7" ht="14" x14ac:dyDescent="0.15">
      <c r="A1413" s="6" t="s">
        <v>2219</v>
      </c>
      <c r="B1413" s="8" t="s">
        <v>2644</v>
      </c>
      <c r="C1413" s="6" t="str">
        <f>'Ann1 - Step 3'!C1413</f>
        <v>Build &amp; Operation</v>
      </c>
      <c r="D1413" s="6" t="str">
        <f>'Ann2 - Step 3'!C1413</f>
        <v>Build &amp; Operation</v>
      </c>
      <c r="E1413" s="6" t="b">
        <f t="shared" si="12"/>
        <v>0</v>
      </c>
      <c r="F1413" s="6"/>
      <c r="G1413" s="6" t="str">
        <f t="shared" si="11"/>
        <v>Build &amp; Operation</v>
      </c>
    </row>
    <row r="1414" spans="1:7" ht="14" x14ac:dyDescent="0.15">
      <c r="A1414" s="6" t="s">
        <v>1517</v>
      </c>
      <c r="B1414" s="8" t="s">
        <v>2562</v>
      </c>
      <c r="C1414" s="6" t="str">
        <f>'Ann1 - Step 3'!C1414</f>
        <v>Coding Pattern</v>
      </c>
      <c r="D1414" s="6" t="str">
        <f>'Ann2 - Step 3'!C1414</f>
        <v>Coding Pattern</v>
      </c>
      <c r="E1414" s="6" t="b">
        <f t="shared" si="12"/>
        <v>0</v>
      </c>
      <c r="F1414" s="6"/>
      <c r="G1414" s="6" t="str">
        <f t="shared" si="11"/>
        <v>Coding Pattern</v>
      </c>
    </row>
    <row r="1415" spans="1:7" ht="14" x14ac:dyDescent="0.15">
      <c r="A1415" s="6" t="s">
        <v>1517</v>
      </c>
      <c r="B1415" s="8" t="s">
        <v>2563</v>
      </c>
      <c r="C1415" s="6" t="str">
        <f>'Ann1 - Step 3'!C1415</f>
        <v>Coding Pattern</v>
      </c>
      <c r="D1415" s="6" t="str">
        <f>'Ann2 - Step 3'!C1415</f>
        <v>Coding Pattern</v>
      </c>
      <c r="E1415" s="6" t="b">
        <f t="shared" si="12"/>
        <v>0</v>
      </c>
      <c r="F1415" s="6"/>
      <c r="G1415" s="6" t="str">
        <f t="shared" si="11"/>
        <v>Coding Pattern</v>
      </c>
    </row>
    <row r="1416" spans="1:7" ht="14" x14ac:dyDescent="0.15">
      <c r="A1416" s="31" t="s">
        <v>399</v>
      </c>
      <c r="B1416" s="8" t="s">
        <v>2645</v>
      </c>
      <c r="C1416" s="6" t="str">
        <f>'Ann1 - Step 3'!C1416</f>
        <v>Task Execution</v>
      </c>
      <c r="D1416" s="6" t="str">
        <f>'Ann2 - Step 3'!C1416</f>
        <v>Coding Pattern</v>
      </c>
      <c r="E1416" s="6" t="b">
        <f t="shared" si="12"/>
        <v>1</v>
      </c>
      <c r="F1416" s="30" t="s">
        <v>18</v>
      </c>
      <c r="G1416" s="6" t="str">
        <f t="shared" si="11"/>
        <v>Task Execution</v>
      </c>
    </row>
    <row r="1417" spans="1:7" ht="28" x14ac:dyDescent="0.15">
      <c r="A1417" s="6" t="s">
        <v>94</v>
      </c>
      <c r="B1417" s="8" t="s">
        <v>2646</v>
      </c>
      <c r="C1417" s="6" t="str">
        <f>'Ann1 - Step 3'!C1417</f>
        <v>Build &amp; Operation</v>
      </c>
      <c r="D1417" s="6" t="str">
        <f>'Ann2 - Step 3'!C1417</f>
        <v>Build &amp; Operation</v>
      </c>
      <c r="E1417" s="6" t="b">
        <f t="shared" si="12"/>
        <v>0</v>
      </c>
      <c r="F1417" s="6"/>
      <c r="G1417" s="6" t="str">
        <f t="shared" si="11"/>
        <v>Build &amp; Operation</v>
      </c>
    </row>
    <row r="1418" spans="1:7" ht="14" x14ac:dyDescent="0.15">
      <c r="A1418" s="31" t="s">
        <v>1120</v>
      </c>
      <c r="B1418" s="8" t="s">
        <v>2647</v>
      </c>
      <c r="C1418" s="6" t="str">
        <f>'Ann1 - Step 3'!C1418</f>
        <v>Documentation</v>
      </c>
      <c r="D1418" s="6" t="str">
        <f>'Ann2 - Step 3'!C1418</f>
        <v>Documentation</v>
      </c>
      <c r="E1418" s="6" t="b">
        <f t="shared" si="12"/>
        <v>0</v>
      </c>
      <c r="F1418" s="30"/>
      <c r="G1418" s="6" t="str">
        <f t="shared" si="11"/>
        <v>Documentation</v>
      </c>
    </row>
    <row r="1419" spans="1:7" ht="14" x14ac:dyDescent="0.15">
      <c r="A1419" s="6" t="s">
        <v>1127</v>
      </c>
      <c r="B1419" s="8" t="s">
        <v>2648</v>
      </c>
      <c r="C1419" s="6" t="str">
        <f>'Ann1 - Step 3'!C1419</f>
        <v>Documentation</v>
      </c>
      <c r="D1419" s="6" t="str">
        <f>'Ann2 - Step 3'!C1419</f>
        <v>Documentation</v>
      </c>
      <c r="E1419" s="6" t="b">
        <f t="shared" si="12"/>
        <v>0</v>
      </c>
      <c r="F1419" s="30"/>
      <c r="G1419" s="6" t="str">
        <f t="shared" si="11"/>
        <v>Documentation</v>
      </c>
    </row>
    <row r="1420" spans="1:7" ht="14" x14ac:dyDescent="0.15">
      <c r="A1420" s="6" t="s">
        <v>1127</v>
      </c>
      <c r="B1420" s="8" t="s">
        <v>2649</v>
      </c>
      <c r="C1420" s="6" t="str">
        <f>'Ann1 - Step 3'!C1420</f>
        <v>Coding Pattern</v>
      </c>
      <c r="D1420" s="6" t="str">
        <f>'Ann2 - Step 3'!C1420</f>
        <v>Coding Pattern</v>
      </c>
      <c r="E1420" s="6" t="b">
        <f t="shared" si="12"/>
        <v>0</v>
      </c>
      <c r="F1420" s="6"/>
      <c r="G1420" s="6" t="str">
        <f t="shared" si="11"/>
        <v>Coding Pattern</v>
      </c>
    </row>
    <row r="1421" spans="1:7" ht="14" x14ac:dyDescent="0.15">
      <c r="A1421" s="6" t="s">
        <v>1127</v>
      </c>
      <c r="B1421" s="8" t="s">
        <v>2650</v>
      </c>
      <c r="C1421" s="6" t="str">
        <f>'Ann1 - Step 3'!C1421</f>
        <v>Documentation</v>
      </c>
      <c r="D1421" s="6" t="str">
        <f>'Ann2 - Step 3'!C1421</f>
        <v>Documentation</v>
      </c>
      <c r="E1421" s="6" t="b">
        <f t="shared" si="12"/>
        <v>0</v>
      </c>
      <c r="F1421" s="30"/>
      <c r="G1421" s="6" t="str">
        <f t="shared" si="11"/>
        <v>Documentation</v>
      </c>
    </row>
    <row r="1422" spans="1:7" ht="14" x14ac:dyDescent="0.15">
      <c r="A1422" s="6" t="s">
        <v>1127</v>
      </c>
      <c r="B1422" s="8" t="s">
        <v>2651</v>
      </c>
      <c r="C1422" s="6" t="str">
        <f>'Ann1 - Step 3'!C1422</f>
        <v>Security</v>
      </c>
      <c r="D1422" s="6" t="str">
        <f>'Ann2 - Step 3'!C1422</f>
        <v>Security</v>
      </c>
      <c r="E1422" s="6" t="b">
        <f t="shared" si="12"/>
        <v>0</v>
      </c>
      <c r="F1422" s="6"/>
      <c r="G1422" s="6" t="str">
        <f t="shared" si="11"/>
        <v>Security</v>
      </c>
    </row>
    <row r="1423" spans="1:7" ht="14" x14ac:dyDescent="0.15">
      <c r="A1423" s="6" t="s">
        <v>1139</v>
      </c>
      <c r="B1423" s="8" t="s">
        <v>2652</v>
      </c>
      <c r="C1423" s="6" t="str">
        <f>'Ann1 - Step 3'!C1423</f>
        <v>Build &amp; Operation</v>
      </c>
      <c r="D1423" s="6" t="str">
        <f>'Ann2 - Step 3'!C1423</f>
        <v>Build &amp; Operation</v>
      </c>
      <c r="E1423" s="6" t="b">
        <f t="shared" si="12"/>
        <v>0</v>
      </c>
      <c r="F1423" s="6"/>
      <c r="G1423" s="6" t="str">
        <f t="shared" si="11"/>
        <v>Build &amp; Operation</v>
      </c>
    </row>
    <row r="1424" spans="1:7" ht="14" x14ac:dyDescent="0.15">
      <c r="A1424" s="6" t="s">
        <v>2654</v>
      </c>
      <c r="B1424" s="8" t="s">
        <v>2655</v>
      </c>
      <c r="C1424" s="6" t="str">
        <f>'Ann1 - Step 3'!C1424</f>
        <v>Coding Pattern</v>
      </c>
      <c r="D1424" s="6" t="str">
        <f>'Ann2 - Step 3'!C1424</f>
        <v>Coding Pattern</v>
      </c>
      <c r="E1424" s="6" t="b">
        <f t="shared" si="12"/>
        <v>0</v>
      </c>
      <c r="F1424" s="6"/>
      <c r="G1424" s="6" t="str">
        <f t="shared" si="11"/>
        <v>Coding Pattern</v>
      </c>
    </row>
    <row r="1425" spans="1:7" ht="14" x14ac:dyDescent="0.15">
      <c r="A1425" s="6" t="s">
        <v>2654</v>
      </c>
      <c r="B1425" s="8" t="s">
        <v>2656</v>
      </c>
      <c r="C1425" s="6" t="str">
        <f>'Ann1 - Step 3'!C1425</f>
        <v>Coding Pattern</v>
      </c>
      <c r="D1425" s="6" t="str">
        <f>'Ann2 - Step 3'!C1425</f>
        <v>Coding Pattern</v>
      </c>
      <c r="E1425" s="6" t="b">
        <f t="shared" si="12"/>
        <v>0</v>
      </c>
      <c r="F1425" s="6"/>
      <c r="G1425" s="6" t="str">
        <f t="shared" si="11"/>
        <v>Coding Pattern</v>
      </c>
    </row>
    <row r="1426" spans="1:7" ht="14" x14ac:dyDescent="0.15">
      <c r="A1426" s="6" t="s">
        <v>2654</v>
      </c>
      <c r="B1426" s="8" t="s">
        <v>2657</v>
      </c>
      <c r="C1426" s="6" t="str">
        <f>'Ann1 - Step 3'!C1426</f>
        <v>Coding Pattern</v>
      </c>
      <c r="D1426" s="6" t="str">
        <f>'Ann2 - Step 3'!C1426</f>
        <v>Coding Pattern</v>
      </c>
      <c r="E1426" s="6" t="b">
        <f t="shared" si="12"/>
        <v>0</v>
      </c>
      <c r="F1426" s="6"/>
      <c r="G1426" s="6" t="str">
        <f t="shared" si="11"/>
        <v>Coding Pattern</v>
      </c>
    </row>
    <row r="1427" spans="1:7" ht="14" x14ac:dyDescent="0.15">
      <c r="A1427" s="6" t="s">
        <v>2654</v>
      </c>
      <c r="B1427" s="8" t="s">
        <v>2658</v>
      </c>
      <c r="C1427" s="6" t="str">
        <f>'Ann1 - Step 3'!C1427</f>
        <v>Coding Pattern</v>
      </c>
      <c r="D1427" s="6" t="str">
        <f>'Ann2 - Step 3'!C1427</f>
        <v>Coding Pattern</v>
      </c>
      <c r="E1427" s="6" t="b">
        <f t="shared" si="12"/>
        <v>0</v>
      </c>
      <c r="F1427" s="6"/>
      <c r="G1427" s="6" t="str">
        <f t="shared" si="11"/>
        <v>Coding Pattern</v>
      </c>
    </row>
    <row r="1428" spans="1:7" ht="14" x14ac:dyDescent="0.15">
      <c r="A1428" s="6" t="s">
        <v>1150</v>
      </c>
      <c r="B1428" s="8" t="s">
        <v>2659</v>
      </c>
      <c r="C1428" s="6" t="str">
        <f>'Ann1 - Step 3'!C1428</f>
        <v>Testing</v>
      </c>
      <c r="D1428" s="6" t="str">
        <f>'Ann2 - Step 3'!C1428</f>
        <v>Testing</v>
      </c>
      <c r="E1428" s="6" t="b">
        <f t="shared" si="12"/>
        <v>0</v>
      </c>
      <c r="F1428" s="6"/>
      <c r="G1428" s="6" t="str">
        <f t="shared" si="11"/>
        <v>Testing</v>
      </c>
    </row>
    <row r="1429" spans="1:7" ht="14" x14ac:dyDescent="0.15">
      <c r="A1429" s="6" t="s">
        <v>1155</v>
      </c>
      <c r="B1429" s="8" t="s">
        <v>2576</v>
      </c>
      <c r="C1429" s="6" t="str">
        <f>'Ann1 - Step 3'!C1429</f>
        <v>Documentation</v>
      </c>
      <c r="D1429" s="6" t="str">
        <f>'Ann2 - Step 3'!C1429</f>
        <v>Documentation</v>
      </c>
      <c r="E1429" s="6" t="b">
        <f t="shared" si="12"/>
        <v>0</v>
      </c>
      <c r="F1429" s="30"/>
      <c r="G1429" s="6" t="str">
        <f t="shared" si="11"/>
        <v>Documentation</v>
      </c>
    </row>
    <row r="1430" spans="1:7" ht="14" x14ac:dyDescent="0.15">
      <c r="A1430" s="31" t="s">
        <v>45</v>
      </c>
      <c r="B1430" s="8" t="s">
        <v>2660</v>
      </c>
      <c r="C1430" s="6" t="str">
        <f>'Ann1 - Step 3'!C1430</f>
        <v>NOT_ENOUGH_CONTEXT</v>
      </c>
      <c r="D1430" s="6" t="str">
        <f>'Ann2 - Step 3'!C1430</f>
        <v>NOT_ENOUGH_CONTEXT</v>
      </c>
      <c r="E1430" s="6" t="b">
        <f t="shared" si="12"/>
        <v>0</v>
      </c>
      <c r="F1430" s="30"/>
      <c r="G1430" s="6" t="str">
        <f t="shared" si="11"/>
        <v>NOT_ENOUGH_CONTEXT</v>
      </c>
    </row>
    <row r="1431" spans="1:7" ht="14" x14ac:dyDescent="0.15">
      <c r="A1431" s="6" t="s">
        <v>1161</v>
      </c>
      <c r="B1431" s="8" t="s">
        <v>2661</v>
      </c>
      <c r="C1431" s="6" t="str">
        <f>'Ann1 - Step 3'!C1431</f>
        <v>Security</v>
      </c>
      <c r="D1431" s="6" t="str">
        <f>'Ann2 - Step 3'!C1431</f>
        <v>Security</v>
      </c>
      <c r="E1431" s="6" t="b">
        <f t="shared" si="12"/>
        <v>0</v>
      </c>
      <c r="F1431" s="30"/>
      <c r="G1431" s="6" t="str">
        <f t="shared" si="11"/>
        <v>Security</v>
      </c>
    </row>
    <row r="1432" spans="1:7" ht="14" x14ac:dyDescent="0.15">
      <c r="A1432" s="6" t="s">
        <v>447</v>
      </c>
      <c r="B1432" s="8" t="s">
        <v>2662</v>
      </c>
      <c r="C1432" s="6" t="str">
        <f>'Ann1 - Step 3'!C1432</f>
        <v>Coding Pattern</v>
      </c>
      <c r="D1432" s="6" t="str">
        <f>'Ann2 - Step 3'!C1432</f>
        <v>Coding Pattern</v>
      </c>
      <c r="E1432" s="6" t="b">
        <f t="shared" si="12"/>
        <v>0</v>
      </c>
      <c r="F1432" s="6"/>
      <c r="G1432" s="6" t="str">
        <f t="shared" si="11"/>
        <v>Coding Pattern</v>
      </c>
    </row>
    <row r="1433" spans="1:7" ht="14" x14ac:dyDescent="0.15">
      <c r="A1433" s="6" t="s">
        <v>447</v>
      </c>
      <c r="B1433" s="8" t="s">
        <v>2663</v>
      </c>
      <c r="C1433" s="6" t="str">
        <f>'Ann1 - Step 3'!C1433</f>
        <v>Coding Pattern</v>
      </c>
      <c r="D1433" s="6" t="str">
        <f>'Ann2 - Step 3'!C1433</f>
        <v>Coding Pattern</v>
      </c>
      <c r="E1433" s="6" t="b">
        <f t="shared" si="12"/>
        <v>0</v>
      </c>
      <c r="F1433" s="6"/>
      <c r="G1433" s="6" t="str">
        <f t="shared" si="11"/>
        <v>Coding Pattern</v>
      </c>
    </row>
    <row r="1434" spans="1:7" ht="14" x14ac:dyDescent="0.15">
      <c r="A1434" s="6" t="s">
        <v>447</v>
      </c>
      <c r="B1434" s="8" t="s">
        <v>2664</v>
      </c>
      <c r="C1434" s="6" t="str">
        <f>'Ann1 - Step 3'!C1434</f>
        <v>Coding Pattern</v>
      </c>
      <c r="D1434" s="6" t="str">
        <f>'Ann2 - Step 3'!C1434</f>
        <v>Coding Pattern</v>
      </c>
      <c r="E1434" s="6" t="b">
        <f t="shared" si="12"/>
        <v>0</v>
      </c>
      <c r="F1434" s="6"/>
      <c r="G1434" s="6" t="str">
        <f t="shared" si="11"/>
        <v>Coding Pattern</v>
      </c>
    </row>
    <row r="1435" spans="1:7" ht="14" x14ac:dyDescent="0.15">
      <c r="A1435" s="6" t="s">
        <v>456</v>
      </c>
      <c r="B1435" s="8" t="s">
        <v>2662</v>
      </c>
      <c r="C1435" s="6" t="str">
        <f>'Ann1 - Step 3'!C1435</f>
        <v>Coding Pattern</v>
      </c>
      <c r="D1435" s="6" t="str">
        <f>'Ann2 - Step 3'!C1435</f>
        <v>Coding Pattern</v>
      </c>
      <c r="E1435" s="6" t="b">
        <f t="shared" si="12"/>
        <v>0</v>
      </c>
      <c r="F1435" s="6"/>
      <c r="G1435" s="6" t="str">
        <f t="shared" si="11"/>
        <v>Coding Pattern</v>
      </c>
    </row>
    <row r="1436" spans="1:7" ht="14" x14ac:dyDescent="0.15">
      <c r="A1436" s="6" t="s">
        <v>456</v>
      </c>
      <c r="B1436" s="8" t="s">
        <v>2663</v>
      </c>
      <c r="C1436" s="6" t="str">
        <f>'Ann1 - Step 3'!C1436</f>
        <v>Coding Pattern</v>
      </c>
      <c r="D1436" s="6" t="str">
        <f>'Ann2 - Step 3'!C1436</f>
        <v>Coding Pattern</v>
      </c>
      <c r="E1436" s="6" t="b">
        <f t="shared" si="12"/>
        <v>0</v>
      </c>
      <c r="F1436" s="6"/>
      <c r="G1436" s="6" t="str">
        <f t="shared" si="11"/>
        <v>Coding Pattern</v>
      </c>
    </row>
    <row r="1437" spans="1:7" ht="14" x14ac:dyDescent="0.15">
      <c r="A1437" s="6" t="s">
        <v>456</v>
      </c>
      <c r="B1437" s="8" t="s">
        <v>2664</v>
      </c>
      <c r="C1437" s="6" t="str">
        <f>'Ann1 - Step 3'!C1437</f>
        <v>Coding Pattern</v>
      </c>
      <c r="D1437" s="6" t="str">
        <f>'Ann2 - Step 3'!C1437</f>
        <v>Coding Pattern</v>
      </c>
      <c r="E1437" s="6" t="b">
        <f t="shared" si="12"/>
        <v>0</v>
      </c>
      <c r="F1437" s="6"/>
      <c r="G1437" s="6" t="str">
        <f t="shared" si="11"/>
        <v>Coding Pattern</v>
      </c>
    </row>
    <row r="1438" spans="1:7" ht="14" x14ac:dyDescent="0.15">
      <c r="A1438" s="6" t="s">
        <v>2667</v>
      </c>
      <c r="B1438" s="8" t="s">
        <v>2668</v>
      </c>
      <c r="C1438" s="6" t="str">
        <f>'Ann1 - Step 3'!C1438</f>
        <v>Testing</v>
      </c>
      <c r="D1438" s="6" t="str">
        <f>'Ann2 - Step 3'!C1438</f>
        <v>Testing</v>
      </c>
      <c r="E1438" s="6" t="b">
        <f t="shared" si="12"/>
        <v>0</v>
      </c>
      <c r="F1438" s="6"/>
      <c r="G1438" s="6" t="str">
        <f t="shared" si="11"/>
        <v>Testing</v>
      </c>
    </row>
    <row r="1439" spans="1:7" ht="14" x14ac:dyDescent="0.15">
      <c r="A1439" s="6" t="s">
        <v>2667</v>
      </c>
      <c r="B1439" s="8" t="s">
        <v>2669</v>
      </c>
      <c r="C1439" s="6" t="str">
        <f>'Ann1 - Step 3'!C1439</f>
        <v>Build &amp; Operation</v>
      </c>
      <c r="D1439" s="6" t="str">
        <f>'Ann2 - Step 3'!C1439</f>
        <v>Build &amp; Operation</v>
      </c>
      <c r="E1439" s="6" t="b">
        <f t="shared" si="12"/>
        <v>0</v>
      </c>
      <c r="F1439" s="6"/>
      <c r="G1439" s="6" t="str">
        <f t="shared" si="11"/>
        <v>Build &amp; Operation</v>
      </c>
    </row>
    <row r="1440" spans="1:7" ht="14" x14ac:dyDescent="0.15">
      <c r="A1440" s="6" t="s">
        <v>463</v>
      </c>
      <c r="B1440" s="8" t="s">
        <v>2670</v>
      </c>
      <c r="C1440" s="6" t="str">
        <f>'Ann1 - Step 3'!C1440</f>
        <v>Task Execution</v>
      </c>
      <c r="D1440" s="6" t="str">
        <f>'Ann2 - Step 3'!C1440</f>
        <v>Coding Pattern</v>
      </c>
      <c r="E1440" s="6" t="b">
        <f t="shared" si="12"/>
        <v>1</v>
      </c>
      <c r="F1440" s="30" t="s">
        <v>30</v>
      </c>
      <c r="G1440" s="6" t="str">
        <f t="shared" si="11"/>
        <v>Coding Pattern</v>
      </c>
    </row>
    <row r="1441" spans="1:7" ht="14" x14ac:dyDescent="0.15">
      <c r="A1441" s="6" t="s">
        <v>463</v>
      </c>
      <c r="B1441" s="8" t="s">
        <v>2585</v>
      </c>
      <c r="C1441" s="6" t="str">
        <f>'Ann1 - Step 3'!C1441</f>
        <v>Commit&amp;PR rule</v>
      </c>
      <c r="D1441" s="6" t="str">
        <f>'Ann2 - Step 3'!C1441</f>
        <v>Commit&amp;PR rule</v>
      </c>
      <c r="E1441" s="6" t="b">
        <f t="shared" si="12"/>
        <v>0</v>
      </c>
      <c r="F1441" s="6"/>
      <c r="G1441" s="6" t="str">
        <f t="shared" si="11"/>
        <v>Commit&amp;PR rule</v>
      </c>
    </row>
    <row r="1442" spans="1:7" ht="14" x14ac:dyDescent="0.15">
      <c r="A1442" s="6" t="s">
        <v>463</v>
      </c>
      <c r="B1442" s="8" t="s">
        <v>2671</v>
      </c>
      <c r="C1442" s="6" t="str">
        <f>'Ann1 - Step 3'!C1442</f>
        <v>Build &amp; Operation</v>
      </c>
      <c r="D1442" s="6" t="str">
        <f>'Ann2 - Step 3'!C1442</f>
        <v>Coding Pattern</v>
      </c>
      <c r="E1442" s="6" t="b">
        <f t="shared" si="12"/>
        <v>1</v>
      </c>
      <c r="F1442" s="30" t="s">
        <v>30</v>
      </c>
      <c r="G1442" s="6" t="str">
        <f t="shared" si="11"/>
        <v>Coding Pattern</v>
      </c>
    </row>
    <row r="1443" spans="1:7" ht="14" x14ac:dyDescent="0.15">
      <c r="A1443" s="6" t="s">
        <v>463</v>
      </c>
      <c r="B1443" s="8" t="s">
        <v>2672</v>
      </c>
      <c r="C1443" s="6" t="str">
        <f>'Ann1 - Step 3'!C1443</f>
        <v>Build &amp; Operation</v>
      </c>
      <c r="D1443" s="6" t="str">
        <f>'Ann2 - Step 3'!C1443</f>
        <v>Coding Pattern</v>
      </c>
      <c r="E1443" s="6" t="b">
        <f t="shared" si="12"/>
        <v>1</v>
      </c>
      <c r="F1443" s="30" t="s">
        <v>30</v>
      </c>
      <c r="G1443" s="6" t="str">
        <f t="shared" si="11"/>
        <v>Coding Pattern</v>
      </c>
    </row>
    <row r="1444" spans="1:7" ht="14" x14ac:dyDescent="0.15">
      <c r="A1444" s="6" t="s">
        <v>463</v>
      </c>
      <c r="B1444" s="8" t="s">
        <v>2673</v>
      </c>
      <c r="C1444" s="6" t="str">
        <f>'Ann1 - Step 3'!C1444</f>
        <v>Coding Pattern</v>
      </c>
      <c r="D1444" s="6" t="str">
        <f>'Ann2 - Step 3'!C1444</f>
        <v>Coding Pattern</v>
      </c>
      <c r="E1444" s="6" t="b">
        <f t="shared" si="12"/>
        <v>0</v>
      </c>
      <c r="F1444" s="30"/>
      <c r="G1444" s="6" t="str">
        <f t="shared" si="11"/>
        <v>Coding Pattern</v>
      </c>
    </row>
    <row r="1445" spans="1:7" ht="14" x14ac:dyDescent="0.15">
      <c r="A1445" s="6" t="s">
        <v>468</v>
      </c>
      <c r="B1445" s="8" t="s">
        <v>2674</v>
      </c>
      <c r="C1445" s="6" t="str">
        <f>'Ann1 - Step 3'!C1445</f>
        <v>Coding Pattern</v>
      </c>
      <c r="D1445" s="6" t="str">
        <f>'Ann2 - Step 3'!C1445</f>
        <v>Coding Pattern</v>
      </c>
      <c r="E1445" s="6" t="b">
        <f t="shared" si="12"/>
        <v>0</v>
      </c>
      <c r="F1445" s="6"/>
      <c r="G1445" s="6" t="str">
        <f t="shared" si="11"/>
        <v>Coding Pattern</v>
      </c>
    </row>
    <row r="1446" spans="1:7" ht="14" x14ac:dyDescent="0.15">
      <c r="A1446" s="6" t="s">
        <v>2260</v>
      </c>
      <c r="B1446" s="8" t="s">
        <v>2675</v>
      </c>
      <c r="C1446" s="6" t="str">
        <f>'Ann1 - Step 3'!C1446</f>
        <v>Build &amp; Operation</v>
      </c>
      <c r="D1446" s="6" t="str">
        <f>'Ann2 - Step 3'!C1446</f>
        <v>Build &amp; Operation</v>
      </c>
      <c r="E1446" s="6" t="b">
        <f t="shared" si="12"/>
        <v>0</v>
      </c>
      <c r="F1446" s="6"/>
      <c r="G1446" s="6" t="str">
        <f t="shared" si="11"/>
        <v>Build &amp; Operation</v>
      </c>
    </row>
    <row r="1447" spans="1:7" ht="14" x14ac:dyDescent="0.15">
      <c r="A1447" s="6" t="s">
        <v>493</v>
      </c>
      <c r="B1447" s="8" t="s">
        <v>2676</v>
      </c>
      <c r="C1447" s="6" t="str">
        <f>'Ann1 - Step 3'!C1447</f>
        <v>Writing Style Preference</v>
      </c>
      <c r="D1447" s="6" t="str">
        <f>'Ann2 - Step 3'!C1447</f>
        <v>Writing Style Preference</v>
      </c>
      <c r="E1447" s="6" t="b">
        <f t="shared" si="12"/>
        <v>0</v>
      </c>
      <c r="F1447" s="30"/>
      <c r="G1447" s="6" t="str">
        <f t="shared" si="11"/>
        <v>Writing Style Preference</v>
      </c>
    </row>
    <row r="1448" spans="1:7" ht="14" x14ac:dyDescent="0.15">
      <c r="A1448" s="6" t="s">
        <v>503</v>
      </c>
      <c r="B1448" s="8" t="s">
        <v>2677</v>
      </c>
      <c r="C1448" s="6" t="str">
        <f>'Ann1 - Step 3'!C1448</f>
        <v>Coding Style</v>
      </c>
      <c r="D1448" s="6" t="str">
        <f>'Ann2 - Step 3'!C1448</f>
        <v>Writing Style Preference</v>
      </c>
      <c r="E1448" s="6" t="b">
        <f t="shared" si="12"/>
        <v>1</v>
      </c>
      <c r="F1448" s="30" t="s">
        <v>83</v>
      </c>
      <c r="G1448" s="6" t="str">
        <f t="shared" si="11"/>
        <v>Coding Style</v>
      </c>
    </row>
    <row r="1449" spans="1:7" ht="14" x14ac:dyDescent="0.15">
      <c r="A1449" s="31" t="s">
        <v>2305</v>
      </c>
      <c r="B1449" s="8" t="s">
        <v>2678</v>
      </c>
      <c r="C1449" s="6" t="str">
        <f>'Ann1 - Step 3'!C1449</f>
        <v>Task Execution</v>
      </c>
      <c r="D1449" s="6" t="str">
        <f>'Ann2 - Step 3'!C1449</f>
        <v>Task Execution</v>
      </c>
      <c r="E1449" s="6" t="b">
        <f t="shared" si="12"/>
        <v>0</v>
      </c>
      <c r="F1449" s="30"/>
      <c r="G1449" s="6" t="str">
        <f t="shared" si="11"/>
        <v>Task Execution</v>
      </c>
    </row>
    <row r="1450" spans="1:7" ht="14" x14ac:dyDescent="0.15">
      <c r="A1450" s="6" t="s">
        <v>2305</v>
      </c>
      <c r="B1450" s="8" t="s">
        <v>2679</v>
      </c>
      <c r="C1450" s="6" t="str">
        <f>'Ann1 - Step 3'!C1450</f>
        <v>Task Execution</v>
      </c>
      <c r="D1450" s="6" t="str">
        <f>'Ann2 - Step 3'!C1450</f>
        <v>Task Execution</v>
      </c>
      <c r="E1450" s="6" t="b">
        <f t="shared" si="12"/>
        <v>0</v>
      </c>
      <c r="F1450" s="30"/>
      <c r="G1450" s="6" t="str">
        <f t="shared" si="11"/>
        <v>Task Execution</v>
      </c>
    </row>
    <row r="1451" spans="1:7" ht="14" x14ac:dyDescent="0.15">
      <c r="A1451" s="6" t="s">
        <v>511</v>
      </c>
      <c r="B1451" s="8" t="s">
        <v>2680</v>
      </c>
      <c r="C1451" s="6" t="str">
        <f>'Ann1 - Step 3'!C1451</f>
        <v>Testing</v>
      </c>
      <c r="D1451" s="6" t="str">
        <f>'Ann2 - Step 3'!C1451</f>
        <v>Testing</v>
      </c>
      <c r="E1451" s="6" t="b">
        <f t="shared" si="12"/>
        <v>0</v>
      </c>
      <c r="F1451" s="6"/>
      <c r="G1451" s="6" t="str">
        <f t="shared" si="11"/>
        <v>Testing</v>
      </c>
    </row>
    <row r="1452" spans="1:7" ht="14" x14ac:dyDescent="0.15">
      <c r="A1452" s="6" t="s">
        <v>112</v>
      </c>
      <c r="B1452" s="8" t="s">
        <v>2517</v>
      </c>
      <c r="C1452" s="6" t="str">
        <f>'Ann1 - Step 3'!C1452</f>
        <v>Writing Style Preference</v>
      </c>
      <c r="D1452" s="6" t="str">
        <f>'Ann2 - Step 3'!C1452</f>
        <v>Writing Style Preference</v>
      </c>
      <c r="E1452" s="6" t="b">
        <f t="shared" si="12"/>
        <v>0</v>
      </c>
      <c r="F1452" s="6"/>
      <c r="G1452" s="6" t="str">
        <f t="shared" si="11"/>
        <v>Writing Style Preference</v>
      </c>
    </row>
    <row r="1453" spans="1:7" ht="14" x14ac:dyDescent="0.15">
      <c r="A1453" s="6" t="s">
        <v>2682</v>
      </c>
      <c r="B1453" s="8" t="s">
        <v>2683</v>
      </c>
      <c r="C1453" s="6" t="str">
        <f>'Ann1 - Step 3'!C1453</f>
        <v>Commit&amp;PR rule</v>
      </c>
      <c r="D1453" s="6" t="str">
        <f>'Ann2 - Step 3'!C1453</f>
        <v>Commit&amp;PR rule</v>
      </c>
      <c r="E1453" s="6" t="b">
        <f t="shared" si="12"/>
        <v>0</v>
      </c>
      <c r="F1453" s="6"/>
      <c r="G1453" s="6" t="str">
        <f t="shared" si="11"/>
        <v>Commit&amp;PR rule</v>
      </c>
    </row>
    <row r="1454" spans="1:7" ht="14" x14ac:dyDescent="0.15">
      <c r="A1454" s="6" t="s">
        <v>2682</v>
      </c>
      <c r="B1454" s="8" t="s">
        <v>2684</v>
      </c>
      <c r="C1454" s="6" t="str">
        <f>'Ann1 - Step 3'!C1454</f>
        <v>Coding Pattern</v>
      </c>
      <c r="D1454" s="6" t="str">
        <f>'Ann2 - Step 3'!C1454</f>
        <v>Coding Pattern</v>
      </c>
      <c r="E1454" s="6" t="b">
        <f t="shared" si="12"/>
        <v>0</v>
      </c>
      <c r="F1454" s="30"/>
      <c r="G1454" s="6" t="str">
        <f t="shared" si="11"/>
        <v>Coding Pattern</v>
      </c>
    </row>
    <row r="1455" spans="1:7" ht="14" x14ac:dyDescent="0.15">
      <c r="A1455" s="6" t="s">
        <v>540</v>
      </c>
      <c r="B1455" s="8" t="s">
        <v>2685</v>
      </c>
      <c r="C1455" s="6" t="str">
        <f>'Ann1 - Step 3'!C1455</f>
        <v>Coding Style</v>
      </c>
      <c r="D1455" s="6" t="str">
        <f>'Ann2 - Step 3'!C1455</f>
        <v>Coding Style</v>
      </c>
      <c r="E1455" s="6" t="b">
        <f t="shared" si="12"/>
        <v>0</v>
      </c>
      <c r="F1455" s="6"/>
      <c r="G1455" s="6" t="str">
        <f t="shared" si="11"/>
        <v>Coding Style</v>
      </c>
    </row>
    <row r="1456" spans="1:7" ht="14" x14ac:dyDescent="0.15">
      <c r="A1456" s="6" t="s">
        <v>2330</v>
      </c>
      <c r="B1456" s="8" t="s">
        <v>2686</v>
      </c>
      <c r="C1456" s="6" t="str">
        <f>'Ann1 - Step 3'!C1456</f>
        <v>Coding Pattern</v>
      </c>
      <c r="D1456" s="6" t="str">
        <f>'Ann2 - Step 3'!C1456</f>
        <v>Coding Pattern</v>
      </c>
      <c r="E1456" s="6" t="b">
        <f t="shared" si="12"/>
        <v>0</v>
      </c>
      <c r="F1456" s="6"/>
      <c r="G1456" s="6" t="str">
        <f t="shared" si="11"/>
        <v>Coding Pattern</v>
      </c>
    </row>
    <row r="1457" spans="1:7" ht="14" x14ac:dyDescent="0.15">
      <c r="A1457" s="31" t="s">
        <v>1854</v>
      </c>
      <c r="B1457" s="8" t="s">
        <v>2687</v>
      </c>
      <c r="C1457" s="6" t="str">
        <f>'Ann1 - Step 3'!C1457</f>
        <v>Coding Pattern</v>
      </c>
      <c r="D1457" s="6" t="str">
        <f>'Ann2 - Step 3'!C1457</f>
        <v>Documentation</v>
      </c>
      <c r="E1457" s="6" t="b">
        <f t="shared" si="12"/>
        <v>1</v>
      </c>
      <c r="F1457" s="30" t="s">
        <v>23</v>
      </c>
      <c r="G1457" s="6" t="str">
        <f t="shared" si="11"/>
        <v>Documentation</v>
      </c>
    </row>
    <row r="1458" spans="1:7" ht="14" x14ac:dyDescent="0.15">
      <c r="A1458" s="31" t="s">
        <v>1255</v>
      </c>
      <c r="B1458" s="8" t="s">
        <v>2688</v>
      </c>
      <c r="C1458" s="6" t="str">
        <f>'Ann1 - Step 3'!C1458</f>
        <v>Coding Pattern</v>
      </c>
      <c r="D1458" s="6" t="str">
        <f>'Ann2 - Step 3'!C1458</f>
        <v>Documentation</v>
      </c>
      <c r="E1458" s="6" t="b">
        <f t="shared" si="12"/>
        <v>1</v>
      </c>
      <c r="F1458" s="30" t="s">
        <v>83</v>
      </c>
      <c r="G1458" s="6" t="str">
        <f t="shared" si="11"/>
        <v>Coding Style</v>
      </c>
    </row>
    <row r="1459" spans="1:7" ht="14" x14ac:dyDescent="0.15">
      <c r="A1459" s="31" t="s">
        <v>103</v>
      </c>
      <c r="B1459" s="8" t="s">
        <v>2689</v>
      </c>
      <c r="C1459" s="6" t="str">
        <f>'Ann1 - Step 3'!C1459</f>
        <v>Task Execution</v>
      </c>
      <c r="D1459" s="6" t="str">
        <f>'Ann2 - Step 3'!C1459</f>
        <v>Coding Pattern</v>
      </c>
      <c r="E1459" s="6" t="b">
        <f t="shared" si="12"/>
        <v>1</v>
      </c>
      <c r="F1459" s="30" t="s">
        <v>30</v>
      </c>
      <c r="G1459" s="6" t="str">
        <f t="shared" si="11"/>
        <v>Coding Pattern</v>
      </c>
    </row>
    <row r="1460" spans="1:7" ht="14" x14ac:dyDescent="0.15">
      <c r="A1460" s="6" t="s">
        <v>2345</v>
      </c>
      <c r="B1460" s="8" t="s">
        <v>2690</v>
      </c>
      <c r="C1460" s="6" t="str">
        <f>'Ann1 - Step 3'!C1460</f>
        <v>Coding Pattern</v>
      </c>
      <c r="D1460" s="6" t="str">
        <f>'Ann2 - Step 3'!C1460</f>
        <v>Coding Pattern</v>
      </c>
      <c r="E1460" s="6" t="b">
        <f t="shared" si="12"/>
        <v>0</v>
      </c>
      <c r="F1460" s="6"/>
      <c r="G1460" s="6" t="str">
        <f t="shared" si="11"/>
        <v>Coding Pattern</v>
      </c>
    </row>
    <row r="1461" spans="1:7" ht="14" x14ac:dyDescent="0.15">
      <c r="A1461" s="6" t="s">
        <v>588</v>
      </c>
      <c r="B1461" s="8" t="s">
        <v>2691</v>
      </c>
      <c r="C1461" s="6" t="str">
        <f>'Ann1 - Step 3'!C1461</f>
        <v>Coding Pattern</v>
      </c>
      <c r="D1461" s="6" t="str">
        <f>'Ann2 - Step 3'!C1461</f>
        <v>Coding Pattern</v>
      </c>
      <c r="E1461" s="6" t="b">
        <f t="shared" si="12"/>
        <v>0</v>
      </c>
      <c r="F1461" s="6"/>
      <c r="G1461" s="6" t="str">
        <f t="shared" si="11"/>
        <v>Coding Pattern</v>
      </c>
    </row>
    <row r="1462" spans="1:7" ht="14" x14ac:dyDescent="0.15">
      <c r="A1462" s="6" t="s">
        <v>597</v>
      </c>
      <c r="B1462" s="8" t="s">
        <v>2692</v>
      </c>
      <c r="C1462" s="6" t="str">
        <f>'Ann1 - Step 3'!C1462</f>
        <v>Coding Style</v>
      </c>
      <c r="D1462" s="6" t="str">
        <f>'Ann2 - Step 3'!C1462</f>
        <v>Coding Pattern</v>
      </c>
      <c r="E1462" s="6" t="b">
        <f t="shared" si="12"/>
        <v>1</v>
      </c>
      <c r="F1462" s="30" t="s">
        <v>30</v>
      </c>
      <c r="G1462" s="6" t="str">
        <f t="shared" si="11"/>
        <v>Coding Pattern</v>
      </c>
    </row>
    <row r="1463" spans="1:7" ht="14" x14ac:dyDescent="0.15">
      <c r="A1463" s="6" t="s">
        <v>183</v>
      </c>
      <c r="B1463" s="8" t="s">
        <v>2693</v>
      </c>
      <c r="C1463" s="6" t="str">
        <f>'Ann1 - Step 3'!C1463</f>
        <v>Coding Pattern</v>
      </c>
      <c r="D1463" s="6" t="str">
        <f>'Ann2 - Step 3'!C1463</f>
        <v>Coding Pattern</v>
      </c>
      <c r="E1463" s="6" t="b">
        <f t="shared" si="12"/>
        <v>0</v>
      </c>
      <c r="F1463" s="6"/>
      <c r="G1463" s="6" t="str">
        <f t="shared" si="11"/>
        <v>Coding Pattern</v>
      </c>
    </row>
    <row r="1464" spans="1:7" ht="14" x14ac:dyDescent="0.15">
      <c r="A1464" s="6" t="s">
        <v>9</v>
      </c>
      <c r="B1464" s="8" t="s">
        <v>2695</v>
      </c>
      <c r="C1464" s="6" t="str">
        <f>'Ann1 - Step 3'!C1464</f>
        <v>Testing</v>
      </c>
      <c r="D1464" s="6" t="str">
        <f>'Ann2 - Step 3'!C1464</f>
        <v>Testing</v>
      </c>
      <c r="E1464" s="6" t="b">
        <f t="shared" si="12"/>
        <v>0</v>
      </c>
      <c r="F1464" s="6"/>
      <c r="G1464" s="6" t="str">
        <f t="shared" si="11"/>
        <v>Testing</v>
      </c>
    </row>
    <row r="1465" spans="1:7" ht="14" x14ac:dyDescent="0.15">
      <c r="A1465" s="6" t="s">
        <v>946</v>
      </c>
      <c r="B1465" s="8" t="s">
        <v>2696</v>
      </c>
      <c r="C1465" s="6" t="str">
        <f>'Ann1 - Step 3'!C1465</f>
        <v>Coding Pattern</v>
      </c>
      <c r="D1465" s="6" t="str">
        <f>'Ann2 - Step 3'!C1465</f>
        <v>Coding Pattern</v>
      </c>
      <c r="E1465" s="6" t="b">
        <f t="shared" si="12"/>
        <v>0</v>
      </c>
      <c r="F1465" s="6"/>
      <c r="G1465" s="6" t="str">
        <f t="shared" si="11"/>
        <v>Coding Pattern</v>
      </c>
    </row>
    <row r="1466" spans="1:7" ht="14" x14ac:dyDescent="0.15">
      <c r="A1466" s="6" t="s">
        <v>1057</v>
      </c>
      <c r="B1466" s="8" t="s">
        <v>2695</v>
      </c>
      <c r="C1466" s="6" t="str">
        <f>'Ann1 - Step 3'!C1466</f>
        <v>Testing</v>
      </c>
      <c r="D1466" s="6" t="str">
        <f>'Ann2 - Step 3'!C1466</f>
        <v>Testing</v>
      </c>
      <c r="E1466" s="6" t="b">
        <f t="shared" si="12"/>
        <v>0</v>
      </c>
      <c r="F1466" s="6"/>
      <c r="G1466" s="6" t="str">
        <f t="shared" si="11"/>
        <v>Testing</v>
      </c>
    </row>
    <row r="1467" spans="1:7" ht="14" x14ac:dyDescent="0.15">
      <c r="A1467" s="6" t="s">
        <v>277</v>
      </c>
      <c r="B1467" s="8" t="s">
        <v>2697</v>
      </c>
      <c r="C1467" s="6" t="str">
        <f>'Ann1 - Step 3'!C1467</f>
        <v>Security</v>
      </c>
      <c r="D1467" s="6" t="str">
        <f>'Ann2 - Step 3'!C1467</f>
        <v>Security</v>
      </c>
      <c r="E1467" s="6" t="b">
        <f t="shared" si="12"/>
        <v>0</v>
      </c>
      <c r="F1467" s="6"/>
      <c r="G1467" s="6" t="str">
        <f t="shared" si="11"/>
        <v>Security</v>
      </c>
    </row>
    <row r="1468" spans="1:7" ht="14" x14ac:dyDescent="0.15">
      <c r="A1468" s="6" t="s">
        <v>1161</v>
      </c>
      <c r="B1468" s="8" t="s">
        <v>2699</v>
      </c>
      <c r="C1468" s="6" t="str">
        <f>'Ann1 - Step 3'!C1468</f>
        <v>Commit&amp;PR rule</v>
      </c>
      <c r="D1468" s="6" t="str">
        <f>'Ann2 - Step 3'!C1468</f>
        <v>Commit&amp;PR rule</v>
      </c>
      <c r="E1468" s="6" t="b">
        <f t="shared" si="12"/>
        <v>0</v>
      </c>
      <c r="F1468" s="6"/>
      <c r="G1468" s="6" t="str">
        <f t="shared" si="11"/>
        <v>Commit&amp;PR rule</v>
      </c>
    </row>
    <row r="1469" spans="1:7" ht="14" x14ac:dyDescent="0.15">
      <c r="A1469" s="6" t="s">
        <v>384</v>
      </c>
      <c r="B1469" s="8" t="s">
        <v>2700</v>
      </c>
      <c r="C1469" s="6" t="str">
        <f>'Ann1 - Step 3'!C1469</f>
        <v>Documentation</v>
      </c>
      <c r="D1469" s="6" t="str">
        <f>'Ann2 - Step 3'!C1469</f>
        <v>Coding Style</v>
      </c>
      <c r="E1469" s="6" t="b">
        <f t="shared" si="12"/>
        <v>1</v>
      </c>
      <c r="F1469" s="30" t="s">
        <v>30</v>
      </c>
      <c r="G1469" s="6" t="str">
        <f t="shared" si="11"/>
        <v>Coding Pattern</v>
      </c>
    </row>
    <row r="1470" spans="1:7" ht="14" x14ac:dyDescent="0.15">
      <c r="A1470" s="6" t="s">
        <v>955</v>
      </c>
      <c r="B1470" s="8" t="s">
        <v>2701</v>
      </c>
      <c r="C1470" s="6" t="str">
        <f>'Ann1 - Step 3'!C1470</f>
        <v>Task Execution</v>
      </c>
      <c r="D1470" s="6" t="str">
        <f>'Ann2 - Step 3'!C1470</f>
        <v>Task Execution</v>
      </c>
      <c r="E1470" s="6" t="b">
        <f t="shared" si="12"/>
        <v>0</v>
      </c>
      <c r="F1470" s="6"/>
      <c r="G1470" s="6" t="str">
        <f t="shared" si="11"/>
        <v>Task Execution</v>
      </c>
    </row>
    <row r="1471" spans="1:7" ht="14" x14ac:dyDescent="0.15">
      <c r="A1471" s="6" t="s">
        <v>668</v>
      </c>
      <c r="B1471" s="8" t="s">
        <v>2702</v>
      </c>
      <c r="C1471" s="6" t="str">
        <f>'Ann1 - Step 3'!C1471</f>
        <v>Task Execution</v>
      </c>
      <c r="D1471" s="6" t="str">
        <f>'Ann2 - Step 3'!C1471</f>
        <v>Task Execution</v>
      </c>
      <c r="E1471" s="6" t="b">
        <f t="shared" si="12"/>
        <v>0</v>
      </c>
      <c r="F1471" s="30"/>
      <c r="G1471" s="6" t="str">
        <f t="shared" si="11"/>
        <v>Task Execution</v>
      </c>
    </row>
    <row r="1472" spans="1:7" ht="28" x14ac:dyDescent="0.15">
      <c r="A1472" s="6" t="s">
        <v>781</v>
      </c>
      <c r="B1472" s="8" t="s">
        <v>2703</v>
      </c>
      <c r="C1472" s="6" t="str">
        <f>'Ann1 - Step 3'!C1472</f>
        <v>Coding Pattern</v>
      </c>
      <c r="D1472" s="6" t="str">
        <f>'Ann2 - Step 3'!C1472</f>
        <v>Coding Style</v>
      </c>
      <c r="E1472" s="6" t="b">
        <f t="shared" si="12"/>
        <v>1</v>
      </c>
      <c r="F1472" s="30" t="s">
        <v>30</v>
      </c>
      <c r="G1472" s="6" t="str">
        <f t="shared" si="11"/>
        <v>Coding Pattern</v>
      </c>
    </row>
    <row r="1473" spans="1:7" ht="14" x14ac:dyDescent="0.15">
      <c r="A1473" s="6" t="s">
        <v>175</v>
      </c>
      <c r="B1473" s="8" t="s">
        <v>2704</v>
      </c>
      <c r="C1473" s="6" t="str">
        <f>'Ann1 - Step 3'!C1473</f>
        <v>Security</v>
      </c>
      <c r="D1473" s="6" t="str">
        <f>'Ann2 - Step 3'!C1473</f>
        <v>Security</v>
      </c>
      <c r="E1473" s="6" t="b">
        <f t="shared" si="12"/>
        <v>0</v>
      </c>
      <c r="F1473" s="6"/>
      <c r="G1473" s="6" t="str">
        <f t="shared" si="11"/>
        <v>Security</v>
      </c>
    </row>
    <row r="1474" spans="1:7" ht="14" x14ac:dyDescent="0.15">
      <c r="A1474" s="6" t="s">
        <v>1463</v>
      </c>
      <c r="B1474" s="8" t="s">
        <v>2705</v>
      </c>
      <c r="C1474" s="6" t="str">
        <f>'Ann1 - Step 3'!C1474</f>
        <v>Coding Pattern</v>
      </c>
      <c r="D1474" s="6" t="str">
        <f>'Ann2 - Step 3'!C1474</f>
        <v>Coding Style</v>
      </c>
      <c r="E1474" s="6" t="b">
        <f t="shared" si="12"/>
        <v>1</v>
      </c>
      <c r="F1474" s="30" t="s">
        <v>30</v>
      </c>
      <c r="G1474" s="6" t="str">
        <f t="shared" si="11"/>
        <v>Coding Pattern</v>
      </c>
    </row>
    <row r="1475" spans="1:7" ht="14" x14ac:dyDescent="0.15">
      <c r="A1475" s="6" t="s">
        <v>832</v>
      </c>
      <c r="B1475" s="8" t="s">
        <v>2706</v>
      </c>
      <c r="C1475" s="6" t="str">
        <f>'Ann1 - Step 3'!C1475</f>
        <v>Task Execution</v>
      </c>
      <c r="D1475" s="6" t="str">
        <f>'Ann2 - Step 3'!C1475</f>
        <v>Security</v>
      </c>
      <c r="E1475" s="6" t="b">
        <f t="shared" si="12"/>
        <v>1</v>
      </c>
      <c r="F1475" s="30" t="s">
        <v>18</v>
      </c>
      <c r="G1475" s="6" t="str">
        <f t="shared" si="11"/>
        <v>Task Execution</v>
      </c>
    </row>
    <row r="1476" spans="1:7" ht="14" x14ac:dyDescent="0.15">
      <c r="A1476" s="6" t="s">
        <v>234</v>
      </c>
      <c r="B1476" s="8" t="s">
        <v>2707</v>
      </c>
      <c r="C1476" s="6" t="str">
        <f>'Ann1 - Step 3'!C1476</f>
        <v>Coding Pattern</v>
      </c>
      <c r="D1476" s="6" t="str">
        <f>'Ann2 - Step 3'!C1476</f>
        <v>Coding Pattern</v>
      </c>
      <c r="E1476" s="6" t="b">
        <f t="shared" si="12"/>
        <v>0</v>
      </c>
      <c r="F1476" s="6"/>
      <c r="G1476" s="6" t="str">
        <f t="shared" si="11"/>
        <v>Coding Pattern</v>
      </c>
    </row>
    <row r="1477" spans="1:7" ht="14" x14ac:dyDescent="0.15">
      <c r="A1477" s="6" t="s">
        <v>234</v>
      </c>
      <c r="B1477" s="8" t="s">
        <v>2708</v>
      </c>
      <c r="C1477" s="6" t="str">
        <f>'Ann1 - Step 3'!C1477</f>
        <v>Testing</v>
      </c>
      <c r="D1477" s="6" t="str">
        <f>'Ann2 - Step 3'!C1477</f>
        <v>Testing</v>
      </c>
      <c r="E1477" s="6" t="b">
        <f t="shared" si="12"/>
        <v>0</v>
      </c>
      <c r="F1477" s="6"/>
      <c r="G1477" s="6" t="str">
        <f t="shared" si="11"/>
        <v>Testing</v>
      </c>
    </row>
    <row r="1478" spans="1:7" ht="14" x14ac:dyDescent="0.15">
      <c r="A1478" s="6" t="s">
        <v>281</v>
      </c>
      <c r="B1478" s="8" t="s">
        <v>2709</v>
      </c>
      <c r="C1478" s="6" t="str">
        <f>'Ann1 - Step 3'!C1478</f>
        <v>Coding Pattern</v>
      </c>
      <c r="D1478" s="6" t="str">
        <f>'Ann2 - Step 3'!C1478</f>
        <v>Coding Pattern</v>
      </c>
      <c r="E1478" s="6" t="b">
        <f t="shared" si="12"/>
        <v>0</v>
      </c>
      <c r="F1478" s="6"/>
      <c r="G1478" s="6" t="str">
        <f t="shared" si="11"/>
        <v>Coding Pattern</v>
      </c>
    </row>
    <row r="1479" spans="1:7" ht="14" x14ac:dyDescent="0.15">
      <c r="A1479" s="6" t="s">
        <v>946</v>
      </c>
      <c r="B1479" s="8" t="s">
        <v>2710</v>
      </c>
      <c r="C1479" s="6" t="str">
        <f>'Ann1 - Step 3'!C1479</f>
        <v>Coding Pattern</v>
      </c>
      <c r="D1479" s="6" t="str">
        <f>'Ann2 - Step 3'!C1479</f>
        <v>Coding Pattern</v>
      </c>
      <c r="E1479" s="6" t="b">
        <f t="shared" si="12"/>
        <v>0</v>
      </c>
      <c r="F1479" s="6"/>
      <c r="G1479" s="6" t="str">
        <f t="shared" si="11"/>
        <v>Coding Pattern</v>
      </c>
    </row>
    <row r="1480" spans="1:7" ht="14" x14ac:dyDescent="0.15">
      <c r="A1480" s="6" t="s">
        <v>946</v>
      </c>
      <c r="B1480" s="8" t="s">
        <v>2711</v>
      </c>
      <c r="C1480" s="6" t="str">
        <f>'Ann1 - Step 3'!C1480</f>
        <v>Coding Pattern</v>
      </c>
      <c r="D1480" s="6" t="str">
        <f>'Ann2 - Step 3'!C1480</f>
        <v>Coding Style</v>
      </c>
      <c r="E1480" s="6" t="b">
        <f t="shared" si="12"/>
        <v>1</v>
      </c>
      <c r="F1480" s="30" t="s">
        <v>30</v>
      </c>
      <c r="G1480" s="6" t="str">
        <f t="shared" si="11"/>
        <v>Coding Pattern</v>
      </c>
    </row>
    <row r="1481" spans="1:7" ht="14" x14ac:dyDescent="0.15">
      <c r="A1481" s="6" t="s">
        <v>2598</v>
      </c>
      <c r="B1481" s="8" t="s">
        <v>2712</v>
      </c>
      <c r="C1481" s="6" t="str">
        <f>'Ann1 - Step 3'!C1481</f>
        <v>Coding Pattern</v>
      </c>
      <c r="D1481" s="6" t="str">
        <f>'Ann2 - Step 3'!C1481</f>
        <v>Coding Pattern</v>
      </c>
      <c r="E1481" s="6" t="b">
        <f t="shared" si="12"/>
        <v>0</v>
      </c>
      <c r="F1481" s="6"/>
      <c r="G1481" s="6" t="str">
        <f t="shared" si="11"/>
        <v>Coding Pattern</v>
      </c>
    </row>
    <row r="1482" spans="1:7" ht="14" x14ac:dyDescent="0.15">
      <c r="A1482" s="6" t="s">
        <v>658</v>
      </c>
      <c r="B1482" s="8" t="s">
        <v>2713</v>
      </c>
      <c r="C1482" s="6" t="str">
        <f>'Ann1 - Step 3'!C1482</f>
        <v>Coding Pattern</v>
      </c>
      <c r="D1482" s="6" t="str">
        <f>'Ann2 - Step 3'!C1482</f>
        <v>Coding Pattern</v>
      </c>
      <c r="E1482" s="6" t="b">
        <f t="shared" si="12"/>
        <v>0</v>
      </c>
      <c r="F1482" s="6"/>
      <c r="G1482" s="6" t="str">
        <f t="shared" si="11"/>
        <v>Coding Pattern</v>
      </c>
    </row>
    <row r="1483" spans="1:7" ht="14" x14ac:dyDescent="0.15">
      <c r="A1483" s="6" t="s">
        <v>368</v>
      </c>
      <c r="B1483" s="8" t="s">
        <v>2714</v>
      </c>
      <c r="C1483" s="6" t="str">
        <f>'Ann1 - Step 3'!C1483</f>
        <v>Testing</v>
      </c>
      <c r="D1483" s="6" t="str">
        <f>'Ann2 - Step 3'!C1483</f>
        <v>Coding Pattern</v>
      </c>
      <c r="E1483" s="6" t="b">
        <f t="shared" si="12"/>
        <v>1</v>
      </c>
      <c r="F1483" s="30" t="s">
        <v>30</v>
      </c>
      <c r="G1483" s="6" t="str">
        <f t="shared" si="11"/>
        <v>Coding Pattern</v>
      </c>
    </row>
    <row r="1484" spans="1:7" ht="14" x14ac:dyDescent="0.15">
      <c r="A1484" s="6" t="s">
        <v>1013</v>
      </c>
      <c r="B1484" s="8" t="s">
        <v>2715</v>
      </c>
      <c r="C1484" s="6" t="str">
        <f>'Ann1 - Step 3'!C1484</f>
        <v>Coding Style</v>
      </c>
      <c r="D1484" s="6" t="str">
        <f>'Ann2 - Step 3'!C1484</f>
        <v>Coding Pattern</v>
      </c>
      <c r="E1484" s="6" t="b">
        <f t="shared" si="12"/>
        <v>1</v>
      </c>
      <c r="F1484" s="30" t="s">
        <v>30</v>
      </c>
      <c r="G1484" s="6" t="str">
        <f t="shared" si="11"/>
        <v>Coding Pattern</v>
      </c>
    </row>
    <row r="1485" spans="1:7" ht="14" x14ac:dyDescent="0.15">
      <c r="A1485" s="6" t="s">
        <v>1013</v>
      </c>
      <c r="B1485" s="8" t="s">
        <v>2716</v>
      </c>
      <c r="C1485" s="6" t="str">
        <f>'Ann1 - Step 3'!C1485</f>
        <v>Coding Style</v>
      </c>
      <c r="D1485" s="6" t="str">
        <f>'Ann2 - Step 3'!C1485</f>
        <v>Coding Style</v>
      </c>
      <c r="E1485" s="6" t="b">
        <f t="shared" si="12"/>
        <v>0</v>
      </c>
      <c r="F1485" s="6"/>
      <c r="G1485" s="6" t="str">
        <f t="shared" si="11"/>
        <v>Coding Style</v>
      </c>
    </row>
    <row r="1486" spans="1:7" ht="14" x14ac:dyDescent="0.15">
      <c r="A1486" s="6" t="s">
        <v>1013</v>
      </c>
      <c r="B1486" s="8" t="s">
        <v>2717</v>
      </c>
      <c r="C1486" s="6" t="str">
        <f>'Ann1 - Step 3'!C1486</f>
        <v>Coding Style</v>
      </c>
      <c r="D1486" s="6" t="str">
        <f>'Ann2 - Step 3'!C1486</f>
        <v>Coding Style</v>
      </c>
      <c r="E1486" s="6" t="b">
        <f t="shared" si="12"/>
        <v>0</v>
      </c>
      <c r="F1486" s="6"/>
      <c r="G1486" s="6" t="str">
        <f t="shared" si="11"/>
        <v>Coding Style</v>
      </c>
    </row>
    <row r="1487" spans="1:7" ht="14" x14ac:dyDescent="0.15">
      <c r="A1487" s="6" t="s">
        <v>710</v>
      </c>
      <c r="B1487" s="8" t="s">
        <v>2718</v>
      </c>
      <c r="C1487" s="6" t="str">
        <f>'Ann1 - Step 3'!C1487</f>
        <v>Coding Pattern</v>
      </c>
      <c r="D1487" s="6" t="str">
        <f>'Ann2 - Step 3'!C1487</f>
        <v>Coding Pattern</v>
      </c>
      <c r="E1487" s="6" t="b">
        <f t="shared" si="12"/>
        <v>0</v>
      </c>
      <c r="F1487" s="6"/>
      <c r="G1487" s="6" t="str">
        <f t="shared" si="11"/>
        <v>Coding Pattern</v>
      </c>
    </row>
    <row r="1488" spans="1:7" ht="14" x14ac:dyDescent="0.15">
      <c r="A1488" s="6" t="s">
        <v>2219</v>
      </c>
      <c r="B1488" s="8" t="s">
        <v>2719</v>
      </c>
      <c r="C1488" s="6" t="str">
        <f>'Ann1 - Step 3'!C1488</f>
        <v>Coding Pattern</v>
      </c>
      <c r="D1488" s="6" t="str">
        <f>'Ann2 - Step 3'!C1488</f>
        <v>Build &amp; Operation</v>
      </c>
      <c r="E1488" s="6" t="b">
        <f t="shared" si="12"/>
        <v>1</v>
      </c>
      <c r="F1488" s="30" t="s">
        <v>30</v>
      </c>
      <c r="G1488" s="6" t="str">
        <f t="shared" si="11"/>
        <v>Coding Pattern</v>
      </c>
    </row>
    <row r="1489" spans="1:7" ht="14" x14ac:dyDescent="0.15">
      <c r="A1489" s="6" t="s">
        <v>1127</v>
      </c>
      <c r="B1489" s="8" t="s">
        <v>2720</v>
      </c>
      <c r="C1489" s="6" t="str">
        <f>'Ann1 - Step 3'!C1489</f>
        <v>Coding Pattern</v>
      </c>
      <c r="D1489" s="6" t="str">
        <f>'Ann2 - Step 3'!C1489</f>
        <v>Coding Pattern</v>
      </c>
      <c r="E1489" s="6" t="b">
        <f t="shared" si="12"/>
        <v>0</v>
      </c>
      <c r="F1489" s="6"/>
      <c r="G1489" s="6" t="str">
        <f t="shared" si="11"/>
        <v>Coding Pattern</v>
      </c>
    </row>
    <row r="1490" spans="1:7" ht="14" x14ac:dyDescent="0.15">
      <c r="A1490" s="6" t="s">
        <v>410</v>
      </c>
      <c r="B1490" s="8" t="s">
        <v>2721</v>
      </c>
      <c r="C1490" s="6" t="str">
        <f>'Ann1 - Step 3'!C1490</f>
        <v>Coding Pattern</v>
      </c>
      <c r="D1490" s="6" t="str">
        <f>'Ann2 - Step 3'!C1490</f>
        <v>Coding Pattern</v>
      </c>
      <c r="E1490" s="6" t="b">
        <f t="shared" si="12"/>
        <v>0</v>
      </c>
      <c r="F1490" s="6"/>
      <c r="G1490" s="6" t="str">
        <f t="shared" si="11"/>
        <v>Coding Pattern</v>
      </c>
    </row>
    <row r="1491" spans="1:7" ht="14" x14ac:dyDescent="0.15">
      <c r="A1491" s="6" t="s">
        <v>447</v>
      </c>
      <c r="B1491" s="8" t="s">
        <v>2722</v>
      </c>
      <c r="C1491" s="6" t="str">
        <f>'Ann1 - Step 3'!C1491</f>
        <v>Coding Pattern</v>
      </c>
      <c r="D1491" s="6" t="str">
        <f>'Ann2 - Step 3'!C1491</f>
        <v>Build &amp; Operation</v>
      </c>
      <c r="E1491" s="6" t="b">
        <f t="shared" si="12"/>
        <v>1</v>
      </c>
      <c r="F1491" s="30" t="s">
        <v>30</v>
      </c>
      <c r="G1491" s="6" t="str">
        <f t="shared" si="11"/>
        <v>Coding Pattern</v>
      </c>
    </row>
    <row r="1492" spans="1:7" ht="14" x14ac:dyDescent="0.15">
      <c r="A1492" s="6" t="s">
        <v>456</v>
      </c>
      <c r="B1492" s="8" t="s">
        <v>2722</v>
      </c>
      <c r="C1492" s="6" t="str">
        <f>'Ann1 - Step 3'!C1492</f>
        <v>Coding Pattern</v>
      </c>
      <c r="D1492" s="6" t="str">
        <f>'Ann2 - Step 3'!C1492</f>
        <v>Build &amp; Operation</v>
      </c>
      <c r="E1492" s="6" t="b">
        <f t="shared" si="12"/>
        <v>1</v>
      </c>
      <c r="F1492" s="30" t="s">
        <v>30</v>
      </c>
      <c r="G1492" s="6" t="str">
        <f t="shared" si="11"/>
        <v>Coding Pattern</v>
      </c>
    </row>
    <row r="1493" spans="1:7" ht="14" x14ac:dyDescent="0.15">
      <c r="A1493" s="6" t="s">
        <v>476</v>
      </c>
      <c r="B1493" s="8" t="s">
        <v>2723</v>
      </c>
      <c r="C1493" s="6" t="str">
        <f>'Ann1 - Step 3'!C1493</f>
        <v>Documentation</v>
      </c>
      <c r="D1493" s="6" t="str">
        <f>'Ann2 - Step 3'!C1493</f>
        <v>Documentation</v>
      </c>
      <c r="E1493" s="6" t="b">
        <f t="shared" si="12"/>
        <v>0</v>
      </c>
      <c r="F1493" s="6"/>
      <c r="G1493" s="6" t="str">
        <f t="shared" si="11"/>
        <v>Documentation</v>
      </c>
    </row>
    <row r="1494" spans="1:7" ht="14" x14ac:dyDescent="0.15">
      <c r="A1494" s="6" t="s">
        <v>2330</v>
      </c>
      <c r="B1494" s="8" t="s">
        <v>2724</v>
      </c>
      <c r="C1494" s="6" t="str">
        <f>'Ann1 - Step 3'!C1494</f>
        <v>Build &amp; Operation</v>
      </c>
      <c r="D1494" s="6" t="str">
        <f>'Ann2 - Step 3'!C1494</f>
        <v>Build &amp; Operation</v>
      </c>
      <c r="E1494" s="6" t="b">
        <f t="shared" si="12"/>
        <v>0</v>
      </c>
      <c r="F1494" s="6"/>
      <c r="G1494" s="6" t="str">
        <f t="shared" si="11"/>
        <v>Build &amp; Operation</v>
      </c>
    </row>
    <row r="1495" spans="1:7" ht="14" x14ac:dyDescent="0.15">
      <c r="A1495" s="6" t="s">
        <v>2330</v>
      </c>
      <c r="B1495" s="8" t="s">
        <v>2725</v>
      </c>
      <c r="C1495" s="6" t="str">
        <f>'Ann1 - Step 3'!C1495</f>
        <v>Testing</v>
      </c>
      <c r="D1495" s="6" t="str">
        <f>'Ann2 - Step 3'!C1495</f>
        <v>Testing</v>
      </c>
      <c r="E1495" s="6" t="b">
        <f t="shared" si="12"/>
        <v>0</v>
      </c>
      <c r="F1495" s="6"/>
      <c r="G1495" s="6" t="str">
        <f t="shared" si="11"/>
        <v>Testing</v>
      </c>
    </row>
    <row r="1496" spans="1:7" ht="14" x14ac:dyDescent="0.15">
      <c r="A1496" s="31" t="s">
        <v>179</v>
      </c>
      <c r="B1496" s="8" t="s">
        <v>2726</v>
      </c>
      <c r="C1496" s="6" t="str">
        <f>'Ann1 - Step 3'!C1496</f>
        <v>Coding Pattern</v>
      </c>
      <c r="D1496" s="6" t="str">
        <f>'Ann2 - Step 3'!C1496</f>
        <v>Security</v>
      </c>
      <c r="E1496" s="6" t="b">
        <f t="shared" si="12"/>
        <v>1</v>
      </c>
      <c r="F1496" s="30" t="s">
        <v>342</v>
      </c>
      <c r="G1496" s="6" t="str">
        <f t="shared" si="11"/>
        <v>Security</v>
      </c>
    </row>
    <row r="1497" spans="1:7" ht="14" x14ac:dyDescent="0.15">
      <c r="A1497" s="6" t="s">
        <v>15</v>
      </c>
      <c r="B1497" s="8" t="s">
        <v>2727</v>
      </c>
      <c r="C1497" s="6" t="str">
        <f>'Ann1 - Step 3'!C1497</f>
        <v>Task Execution</v>
      </c>
      <c r="D1497" s="6" t="str">
        <f>'Ann2 - Step 3'!C1497</f>
        <v>Task Execution</v>
      </c>
      <c r="E1497" s="6" t="b">
        <f t="shared" si="12"/>
        <v>0</v>
      </c>
      <c r="F1497" s="6"/>
      <c r="G1497" s="6" t="str">
        <f t="shared" si="11"/>
        <v>Task Execution</v>
      </c>
    </row>
    <row r="1498" spans="1:7" ht="14" x14ac:dyDescent="0.15">
      <c r="A1498" s="6" t="s">
        <v>234</v>
      </c>
      <c r="B1498" s="8" t="s">
        <v>2728</v>
      </c>
      <c r="C1498" s="6" t="str">
        <f>'Ann1 - Step 3'!C1498</f>
        <v>Task Execution</v>
      </c>
      <c r="D1498" s="6" t="str">
        <f>'Ann2 - Step 3'!C1498</f>
        <v>Task Execution</v>
      </c>
      <c r="E1498" s="6" t="b">
        <f t="shared" si="12"/>
        <v>0</v>
      </c>
      <c r="F1498" s="6"/>
      <c r="G1498" s="6" t="str">
        <f t="shared" si="11"/>
        <v>Task Execution</v>
      </c>
    </row>
    <row r="1499" spans="1:7" ht="14" x14ac:dyDescent="0.15">
      <c r="A1499" s="6" t="s">
        <v>351</v>
      </c>
      <c r="B1499" s="8" t="s">
        <v>2729</v>
      </c>
      <c r="C1499" s="6" t="str">
        <f>'Ann1 - Step 3'!C1499</f>
        <v>Coding Pattern</v>
      </c>
      <c r="D1499" s="6" t="str">
        <f>'Ann2 - Step 3'!C1499</f>
        <v>Coding Pattern</v>
      </c>
      <c r="E1499" s="6" t="b">
        <f t="shared" si="12"/>
        <v>0</v>
      </c>
      <c r="F1499" s="6"/>
      <c r="G1499" s="6" t="str">
        <f t="shared" si="11"/>
        <v>Coding Pattern</v>
      </c>
    </row>
    <row r="1500" spans="1:7" ht="14" x14ac:dyDescent="0.15">
      <c r="A1500" s="6" t="s">
        <v>493</v>
      </c>
      <c r="B1500" s="8" t="s">
        <v>2730</v>
      </c>
      <c r="C1500" s="6" t="str">
        <f>'Ann1 - Step 3'!C1500</f>
        <v>Writing Style Preference</v>
      </c>
      <c r="D1500" s="6" t="str">
        <f>'Ann2 - Step 3'!C1500</f>
        <v>Writing Style Preference</v>
      </c>
      <c r="E1500" s="6" t="b">
        <f t="shared" si="12"/>
        <v>0</v>
      </c>
      <c r="F1500" s="6"/>
      <c r="G1500" s="6" t="str">
        <f t="shared" si="11"/>
        <v>Writing Style Preference</v>
      </c>
    </row>
    <row r="1501" spans="1:7" ht="14" x14ac:dyDescent="0.15">
      <c r="A1501" s="6" t="s">
        <v>103</v>
      </c>
      <c r="B1501" s="8" t="s">
        <v>2731</v>
      </c>
      <c r="C1501" s="6" t="str">
        <f>'Ann1 - Step 3'!C1501</f>
        <v>Code Review</v>
      </c>
      <c r="D1501" s="6" t="str">
        <f>'Ann2 - Step 3'!C1501</f>
        <v>Code Review</v>
      </c>
      <c r="E1501" s="6" t="b">
        <f t="shared" si="12"/>
        <v>0</v>
      </c>
      <c r="F1501" s="6"/>
      <c r="G1501" s="6" t="str">
        <f t="shared" si="11"/>
        <v>Code Review</v>
      </c>
    </row>
    <row r="1502" spans="1:7" ht="14" x14ac:dyDescent="0.15">
      <c r="A1502" s="6" t="s">
        <v>256</v>
      </c>
      <c r="B1502" s="8" t="s">
        <v>2732</v>
      </c>
      <c r="C1502" s="6" t="str">
        <f>'Ann1 - Step 3'!C1502</f>
        <v>Coding Pattern</v>
      </c>
      <c r="D1502" s="6" t="str">
        <f>'Ann2 - Step 3'!C1502</f>
        <v>Coding Pattern</v>
      </c>
      <c r="E1502" s="6" t="b">
        <f t="shared" si="12"/>
        <v>0</v>
      </c>
      <c r="F1502" s="6"/>
      <c r="G1502" s="6" t="str">
        <f t="shared" si="11"/>
        <v>Coding Pattern</v>
      </c>
    </row>
    <row r="1503" spans="1:7" ht="14" x14ac:dyDescent="0.15">
      <c r="A1503" s="6" t="s">
        <v>70</v>
      </c>
      <c r="B1503" s="8" t="s">
        <v>2733</v>
      </c>
      <c r="C1503" s="6" t="str">
        <f>'Ann1 - Step 3'!C1503</f>
        <v>Coding Pattern</v>
      </c>
      <c r="D1503" s="6" t="str">
        <f>'Ann2 - Step 3'!C1503</f>
        <v>Coding Pattern</v>
      </c>
      <c r="E1503" s="6" t="b">
        <f t="shared" si="12"/>
        <v>0</v>
      </c>
      <c r="F1503" s="6"/>
      <c r="G1503" s="6" t="str">
        <f t="shared" si="11"/>
        <v>Coding Pattern</v>
      </c>
    </row>
    <row r="1504" spans="1:7" ht="14" x14ac:dyDescent="0.15">
      <c r="A1504" s="6" t="s">
        <v>70</v>
      </c>
      <c r="B1504" s="8" t="s">
        <v>2735</v>
      </c>
      <c r="C1504" s="6" t="str">
        <f>'Ann1 - Step 3'!C1504</f>
        <v>Coding Pattern</v>
      </c>
      <c r="D1504" s="6" t="str">
        <f>'Ann2 - Step 3'!C1504</f>
        <v>Coding Pattern</v>
      </c>
      <c r="E1504" s="6" t="b">
        <f t="shared" si="12"/>
        <v>0</v>
      </c>
      <c r="F1504" s="6"/>
      <c r="G1504" s="6" t="str">
        <f t="shared" si="11"/>
        <v>Coding Pattern</v>
      </c>
    </row>
    <row r="1505" spans="1:7" ht="14" x14ac:dyDescent="0.15">
      <c r="A1505" s="6" t="s">
        <v>70</v>
      </c>
      <c r="B1505" s="8" t="s">
        <v>2737</v>
      </c>
      <c r="C1505" s="6" t="str">
        <f>'Ann1 - Step 3'!C1505</f>
        <v>Coding Style</v>
      </c>
      <c r="D1505" s="6" t="str">
        <f>'Ann2 - Step 3'!C1505</f>
        <v>Coding Style</v>
      </c>
      <c r="E1505" s="6" t="b">
        <f t="shared" si="12"/>
        <v>0</v>
      </c>
      <c r="F1505" s="30"/>
      <c r="G1505" s="6" t="str">
        <f t="shared" si="11"/>
        <v>Coding Style</v>
      </c>
    </row>
    <row r="1506" spans="1:7" ht="14" x14ac:dyDescent="0.15">
      <c r="A1506" s="6" t="s">
        <v>70</v>
      </c>
      <c r="B1506" s="8" t="s">
        <v>2738</v>
      </c>
      <c r="C1506" s="6" t="str">
        <f>'Ann1 - Step 3'!C1506</f>
        <v>Coding Pattern</v>
      </c>
      <c r="D1506" s="6" t="str">
        <f>'Ann2 - Step 3'!C1506</f>
        <v>Coding Pattern</v>
      </c>
      <c r="E1506" s="6" t="b">
        <f t="shared" si="12"/>
        <v>0</v>
      </c>
      <c r="F1506" s="6"/>
      <c r="G1506" s="6" t="str">
        <f t="shared" si="11"/>
        <v>Coding Pattern</v>
      </c>
    </row>
    <row r="1507" spans="1:7" ht="14" x14ac:dyDescent="0.15">
      <c r="A1507" s="6" t="s">
        <v>70</v>
      </c>
      <c r="B1507" s="8" t="s">
        <v>2739</v>
      </c>
      <c r="C1507" s="6" t="str">
        <f>'Ann1 - Step 3'!C1507</f>
        <v>Coding Style</v>
      </c>
      <c r="D1507" s="6" t="str">
        <f>'Ann2 - Step 3'!C1507</f>
        <v>Coding Style</v>
      </c>
      <c r="E1507" s="6" t="b">
        <f t="shared" si="12"/>
        <v>0</v>
      </c>
      <c r="F1507" s="6"/>
      <c r="G1507" s="6" t="str">
        <f t="shared" si="11"/>
        <v>Coding Style</v>
      </c>
    </row>
    <row r="1508" spans="1:7" ht="14" x14ac:dyDescent="0.15">
      <c r="A1508" s="6" t="s">
        <v>2742</v>
      </c>
      <c r="B1508" s="8" t="s">
        <v>2743</v>
      </c>
      <c r="C1508" s="6" t="str">
        <f>'Ann1 - Step 3'!C1508</f>
        <v>Commit&amp;PR rule</v>
      </c>
      <c r="D1508" s="6" t="str">
        <f>'Ann2 - Step 3'!C1508</f>
        <v>Commit&amp;PR rule</v>
      </c>
      <c r="E1508" s="6" t="b">
        <f t="shared" si="12"/>
        <v>0</v>
      </c>
      <c r="F1508" s="6"/>
      <c r="G1508" s="6" t="str">
        <f t="shared" si="11"/>
        <v>Commit&amp;PR rule</v>
      </c>
    </row>
    <row r="1509" spans="1:7" ht="14" x14ac:dyDescent="0.15">
      <c r="A1509" s="6" t="s">
        <v>1925</v>
      </c>
      <c r="B1509" s="8" t="s">
        <v>2744</v>
      </c>
      <c r="C1509" s="6" t="str">
        <f>'Ann1 - Step 3'!C1509</f>
        <v>Coding Pattern</v>
      </c>
      <c r="D1509" s="6" t="str">
        <f>'Ann2 - Step 3'!C1509</f>
        <v>Coding Pattern</v>
      </c>
      <c r="E1509" s="6" t="b">
        <f t="shared" si="12"/>
        <v>0</v>
      </c>
      <c r="F1509" s="6"/>
      <c r="G1509" s="6" t="str">
        <f t="shared" si="11"/>
        <v>Coding Pattern</v>
      </c>
    </row>
    <row r="1510" spans="1:7" ht="14" x14ac:dyDescent="0.15">
      <c r="A1510" s="6" t="s">
        <v>120</v>
      </c>
      <c r="B1510" s="8" t="s">
        <v>2745</v>
      </c>
      <c r="C1510" s="6" t="str">
        <f>'Ann1 - Step 3'!C1510</f>
        <v>Coding Style</v>
      </c>
      <c r="D1510" s="6" t="str">
        <f>'Ann2 - Step 3'!C1510</f>
        <v>Coding Style</v>
      </c>
      <c r="E1510" s="6" t="b">
        <f t="shared" si="12"/>
        <v>0</v>
      </c>
      <c r="F1510" s="30"/>
      <c r="G1510" s="6" t="str">
        <f t="shared" si="11"/>
        <v>Coding Style</v>
      </c>
    </row>
    <row r="1511" spans="1:7" ht="14" x14ac:dyDescent="0.15">
      <c r="A1511" s="6" t="s">
        <v>1404</v>
      </c>
      <c r="B1511" s="8" t="s">
        <v>2746</v>
      </c>
      <c r="C1511" s="6" t="str">
        <f>'Ann1 - Step 3'!C1511</f>
        <v>Testing</v>
      </c>
      <c r="D1511" s="6" t="str">
        <f>'Ann2 - Step 3'!C1511</f>
        <v>Testing</v>
      </c>
      <c r="E1511" s="6" t="b">
        <f t="shared" si="12"/>
        <v>0</v>
      </c>
      <c r="F1511" s="6"/>
      <c r="G1511" s="6" t="str">
        <f t="shared" si="11"/>
        <v>Testing</v>
      </c>
    </row>
    <row r="1512" spans="1:7" ht="28" x14ac:dyDescent="0.15">
      <c r="A1512" s="6" t="s">
        <v>1404</v>
      </c>
      <c r="B1512" s="8" t="s">
        <v>2747</v>
      </c>
      <c r="C1512" s="6" t="str">
        <f>'Ann1 - Step 3'!C1512</f>
        <v>Testing</v>
      </c>
      <c r="D1512" s="6" t="str">
        <f>'Ann2 - Step 3'!C1512</f>
        <v>Testing</v>
      </c>
      <c r="E1512" s="6" t="b">
        <f t="shared" si="12"/>
        <v>0</v>
      </c>
      <c r="F1512" s="6"/>
      <c r="G1512" s="6" t="str">
        <f t="shared" si="11"/>
        <v>Testing</v>
      </c>
    </row>
    <row r="1513" spans="1:7" ht="14" x14ac:dyDescent="0.15">
      <c r="A1513" s="6" t="s">
        <v>725</v>
      </c>
      <c r="B1513" s="8" t="s">
        <v>2748</v>
      </c>
      <c r="C1513" s="6" t="str">
        <f>'Ann1 - Step 3'!C1513</f>
        <v>Build &amp; Operation</v>
      </c>
      <c r="D1513" s="6" t="str">
        <f>'Ann2 - Step 3'!C1513</f>
        <v>Build &amp; Operation</v>
      </c>
      <c r="E1513" s="6" t="b">
        <f t="shared" si="12"/>
        <v>0</v>
      </c>
      <c r="F1513" s="6"/>
      <c r="G1513" s="6" t="str">
        <f t="shared" si="11"/>
        <v>Build &amp; Operation</v>
      </c>
    </row>
    <row r="1514" spans="1:7" ht="14" x14ac:dyDescent="0.15">
      <c r="A1514" s="6" t="s">
        <v>725</v>
      </c>
      <c r="B1514" s="8" t="s">
        <v>2749</v>
      </c>
      <c r="C1514" s="6" t="str">
        <f>'Ann1 - Step 3'!C1514</f>
        <v>Build &amp; Operation</v>
      </c>
      <c r="D1514" s="6" t="str">
        <f>'Ann2 - Step 3'!C1514</f>
        <v>Build &amp; Operation</v>
      </c>
      <c r="E1514" s="6" t="b">
        <f t="shared" si="12"/>
        <v>0</v>
      </c>
      <c r="F1514" s="6"/>
      <c r="G1514" s="6" t="str">
        <f t="shared" si="11"/>
        <v>Build &amp; Operation</v>
      </c>
    </row>
    <row r="1515" spans="1:7" ht="14" x14ac:dyDescent="0.15">
      <c r="A1515" s="6" t="s">
        <v>1933</v>
      </c>
      <c r="B1515" s="8" t="s">
        <v>2750</v>
      </c>
      <c r="C1515" s="6" t="str">
        <f>'Ann1 - Step 3'!C1515</f>
        <v>Documentation</v>
      </c>
      <c r="D1515" s="6" t="str">
        <f>'Ann2 - Step 3'!C1515</f>
        <v>Documentation</v>
      </c>
      <c r="E1515" s="6" t="b">
        <f t="shared" si="12"/>
        <v>0</v>
      </c>
      <c r="F1515" s="6"/>
      <c r="G1515" s="6" t="str">
        <f t="shared" si="11"/>
        <v>Documentation</v>
      </c>
    </row>
    <row r="1516" spans="1:7" ht="14" x14ac:dyDescent="0.15">
      <c r="A1516" s="6" t="s">
        <v>621</v>
      </c>
      <c r="B1516" s="8" t="s">
        <v>2751</v>
      </c>
      <c r="C1516" s="6" t="str">
        <f>'Ann1 - Step 3'!C1516</f>
        <v>Coding Style</v>
      </c>
      <c r="D1516" s="6" t="str">
        <f>'Ann2 - Step 3'!C1516</f>
        <v>Coding Style</v>
      </c>
      <c r="E1516" s="6" t="b">
        <f t="shared" si="12"/>
        <v>0</v>
      </c>
      <c r="F1516" s="6"/>
      <c r="G1516" s="6" t="str">
        <f t="shared" si="11"/>
        <v>Coding Style</v>
      </c>
    </row>
    <row r="1517" spans="1:7" ht="14" x14ac:dyDescent="0.15">
      <c r="A1517" s="6" t="s">
        <v>621</v>
      </c>
      <c r="B1517" s="8" t="s">
        <v>2752</v>
      </c>
      <c r="C1517" s="6" t="str">
        <f>'Ann1 - Step 3'!C1517</f>
        <v>Coding Pattern</v>
      </c>
      <c r="D1517" s="6" t="str">
        <f>'Ann2 - Step 3'!C1517</f>
        <v>Coding Pattern</v>
      </c>
      <c r="E1517" s="6" t="b">
        <f t="shared" si="12"/>
        <v>0</v>
      </c>
      <c r="F1517" s="30"/>
      <c r="G1517" s="6" t="str">
        <f t="shared" si="11"/>
        <v>Coding Pattern</v>
      </c>
    </row>
    <row r="1518" spans="1:7" ht="14" x14ac:dyDescent="0.15">
      <c r="A1518" s="6" t="s">
        <v>621</v>
      </c>
      <c r="B1518" s="8" t="s">
        <v>2753</v>
      </c>
      <c r="C1518" s="6" t="str">
        <f>'Ann1 - Step 3'!C1518</f>
        <v>Coding Pattern</v>
      </c>
      <c r="D1518" s="6" t="str">
        <f>'Ann2 - Step 3'!C1518</f>
        <v>Coding Style</v>
      </c>
      <c r="E1518" s="6" t="b">
        <f t="shared" si="12"/>
        <v>1</v>
      </c>
      <c r="F1518" s="30" t="s">
        <v>30</v>
      </c>
      <c r="G1518" s="6" t="str">
        <f t="shared" si="11"/>
        <v>Coding Pattern</v>
      </c>
    </row>
    <row r="1519" spans="1:7" ht="14" x14ac:dyDescent="0.15">
      <c r="A1519" s="6" t="s">
        <v>636</v>
      </c>
      <c r="B1519" s="8" t="s">
        <v>2754</v>
      </c>
      <c r="C1519" s="6" t="str">
        <f>'Ann1 - Step 3'!C1519</f>
        <v>Coding Pattern</v>
      </c>
      <c r="D1519" s="6" t="str">
        <f>'Ann2 - Step 3'!C1519</f>
        <v>Coding Pattern</v>
      </c>
      <c r="E1519" s="6" t="b">
        <f t="shared" si="12"/>
        <v>0</v>
      </c>
      <c r="F1519" s="6"/>
      <c r="G1519" s="6" t="str">
        <f t="shared" si="11"/>
        <v>Coding Pattern</v>
      </c>
    </row>
    <row r="1520" spans="1:7" ht="14" x14ac:dyDescent="0.15">
      <c r="A1520" s="6" t="s">
        <v>636</v>
      </c>
      <c r="B1520" s="8" t="s">
        <v>2755</v>
      </c>
      <c r="C1520" s="6" t="str">
        <f>'Ann1 - Step 3'!C1520</f>
        <v>Coding Style</v>
      </c>
      <c r="D1520" s="6" t="str">
        <f>'Ann2 - Step 3'!C1520</f>
        <v>Coding Style</v>
      </c>
      <c r="E1520" s="6" t="b">
        <f t="shared" si="12"/>
        <v>0</v>
      </c>
      <c r="F1520" s="6"/>
      <c r="G1520" s="6" t="str">
        <f t="shared" si="11"/>
        <v>Coding Style</v>
      </c>
    </row>
    <row r="1521" spans="1:7" ht="28" x14ac:dyDescent="0.15">
      <c r="A1521" s="6" t="s">
        <v>129</v>
      </c>
      <c r="B1521" s="8" t="s">
        <v>2756</v>
      </c>
      <c r="C1521" s="6" t="str">
        <f>'Ann1 - Step 3'!C1521</f>
        <v>Coding Pattern</v>
      </c>
      <c r="D1521" s="6" t="str">
        <f>'Ann2 - Step 3'!C1521</f>
        <v>Coding Pattern</v>
      </c>
      <c r="E1521" s="6" t="b">
        <f t="shared" si="12"/>
        <v>0</v>
      </c>
      <c r="F1521" s="6"/>
      <c r="G1521" s="6" t="str">
        <f t="shared" si="11"/>
        <v>Coding Pattern</v>
      </c>
    </row>
    <row r="1522" spans="1:7" ht="14" x14ac:dyDescent="0.15">
      <c r="A1522" s="6" t="s">
        <v>129</v>
      </c>
      <c r="B1522" s="8" t="s">
        <v>2757</v>
      </c>
      <c r="C1522" s="6" t="str">
        <f>'Ann1 - Step 3'!C1522</f>
        <v>Coding Pattern</v>
      </c>
      <c r="D1522" s="6" t="str">
        <f>'Ann2 - Step 3'!C1522</f>
        <v>Coding Pattern</v>
      </c>
      <c r="E1522" s="6" t="b">
        <f t="shared" si="12"/>
        <v>0</v>
      </c>
      <c r="F1522" s="6"/>
      <c r="G1522" s="6" t="str">
        <f t="shared" si="11"/>
        <v>Coding Pattern</v>
      </c>
    </row>
    <row r="1523" spans="1:7" ht="14" x14ac:dyDescent="0.15">
      <c r="A1523" s="6" t="s">
        <v>129</v>
      </c>
      <c r="B1523" s="8" t="s">
        <v>2758</v>
      </c>
      <c r="C1523" s="6" t="str">
        <f>'Ann1 - Step 3'!C1523</f>
        <v>Performance</v>
      </c>
      <c r="D1523" s="6" t="str">
        <f>'Ann2 - Step 3'!C1523</f>
        <v>Performance</v>
      </c>
      <c r="E1523" s="6" t="b">
        <f t="shared" si="12"/>
        <v>0</v>
      </c>
      <c r="F1523" s="6"/>
      <c r="G1523" s="6" t="str">
        <f t="shared" si="11"/>
        <v>Performance</v>
      </c>
    </row>
    <row r="1524" spans="1:7" ht="14" x14ac:dyDescent="0.15">
      <c r="A1524" s="6" t="s">
        <v>129</v>
      </c>
      <c r="B1524" s="8" t="s">
        <v>2759</v>
      </c>
      <c r="C1524" s="6" t="str">
        <f>'Ann1 - Step 3'!C1524</f>
        <v>Task Execution</v>
      </c>
      <c r="D1524" s="6" t="str">
        <f>'Ann2 - Step 3'!C1524</f>
        <v>Build &amp; Operation</v>
      </c>
      <c r="E1524" s="6" t="b">
        <f t="shared" si="12"/>
        <v>1</v>
      </c>
      <c r="F1524" s="30" t="s">
        <v>136</v>
      </c>
      <c r="G1524" s="6" t="str">
        <f t="shared" si="11"/>
        <v>Build &amp; Operation</v>
      </c>
    </row>
    <row r="1525" spans="1:7" ht="14" x14ac:dyDescent="0.15">
      <c r="A1525" s="6" t="s">
        <v>1410</v>
      </c>
      <c r="B1525" s="8" t="s">
        <v>2760</v>
      </c>
      <c r="C1525" s="6" t="str">
        <f>'Ann1 - Step 3'!C1525</f>
        <v>Coding Style</v>
      </c>
      <c r="D1525" s="6" t="str">
        <f>'Ann2 - Step 3'!C1525</f>
        <v>Coding Style</v>
      </c>
      <c r="E1525" s="6" t="b">
        <f t="shared" si="12"/>
        <v>0</v>
      </c>
      <c r="F1525" s="6"/>
      <c r="G1525" s="6" t="str">
        <f t="shared" si="11"/>
        <v>Coding Style</v>
      </c>
    </row>
    <row r="1526" spans="1:7" ht="14" x14ac:dyDescent="0.15">
      <c r="A1526" s="6" t="s">
        <v>133</v>
      </c>
      <c r="B1526" s="8" t="s">
        <v>2761</v>
      </c>
      <c r="C1526" s="6" t="str">
        <f>'Ann1 - Step 3'!C1526</f>
        <v>Coding Style</v>
      </c>
      <c r="D1526" s="6" t="str">
        <f>'Ann2 - Step 3'!C1526</f>
        <v>Coding Style</v>
      </c>
      <c r="E1526" s="6" t="b">
        <f t="shared" si="12"/>
        <v>0</v>
      </c>
      <c r="F1526" s="6"/>
      <c r="G1526" s="6" t="str">
        <f t="shared" si="11"/>
        <v>Coding Style</v>
      </c>
    </row>
    <row r="1527" spans="1:7" ht="14" x14ac:dyDescent="0.15">
      <c r="A1527" s="6" t="s">
        <v>142</v>
      </c>
      <c r="B1527" s="8" t="s">
        <v>2762</v>
      </c>
      <c r="C1527" s="6" t="str">
        <f>'Ann1 - Step 3'!C1527</f>
        <v>Testing</v>
      </c>
      <c r="D1527" s="6" t="str">
        <f>'Ann2 - Step 3'!C1527</f>
        <v>Testing</v>
      </c>
      <c r="E1527" s="6" t="b">
        <f t="shared" si="12"/>
        <v>0</v>
      </c>
      <c r="F1527" s="6"/>
      <c r="G1527" s="6" t="str">
        <f t="shared" si="11"/>
        <v>Testing</v>
      </c>
    </row>
    <row r="1528" spans="1:7" ht="28" x14ac:dyDescent="0.15">
      <c r="A1528" s="6" t="s">
        <v>142</v>
      </c>
      <c r="B1528" s="8" t="s">
        <v>2763</v>
      </c>
      <c r="C1528" s="6" t="str">
        <f>'Ann1 - Step 3'!C1528</f>
        <v>Testing</v>
      </c>
      <c r="D1528" s="6" t="str">
        <f>'Ann2 - Step 3'!C1528</f>
        <v>Testing</v>
      </c>
      <c r="E1528" s="6" t="b">
        <f t="shared" si="12"/>
        <v>0</v>
      </c>
      <c r="F1528" s="6"/>
      <c r="G1528" s="6" t="str">
        <f t="shared" si="11"/>
        <v>Testing</v>
      </c>
    </row>
    <row r="1529" spans="1:7" ht="14" x14ac:dyDescent="0.15">
      <c r="A1529" s="6" t="s">
        <v>668</v>
      </c>
      <c r="B1529" s="8" t="s">
        <v>2764</v>
      </c>
      <c r="C1529" s="6" t="str">
        <f>'Ann1 - Step 3'!C1529</f>
        <v>Documentation</v>
      </c>
      <c r="D1529" s="6" t="str">
        <f>'Ann2 - Step 3'!C1529</f>
        <v>Documentation</v>
      </c>
      <c r="E1529" s="6" t="b">
        <f t="shared" si="12"/>
        <v>0</v>
      </c>
      <c r="F1529" s="30"/>
      <c r="G1529" s="6" t="str">
        <f t="shared" si="11"/>
        <v>Documentation</v>
      </c>
    </row>
    <row r="1530" spans="1:7" ht="14" x14ac:dyDescent="0.15">
      <c r="A1530" s="6" t="s">
        <v>668</v>
      </c>
      <c r="B1530" s="8" t="s">
        <v>2765</v>
      </c>
      <c r="C1530" s="6" t="str">
        <f>'Ann1 - Step 3'!C1530</f>
        <v>Writing Style Preference</v>
      </c>
      <c r="D1530" s="6" t="str">
        <f>'Ann2 - Step 3'!C1530</f>
        <v>Writing Style Preference</v>
      </c>
      <c r="E1530" s="6" t="b">
        <f t="shared" si="12"/>
        <v>0</v>
      </c>
      <c r="F1530" s="6"/>
      <c r="G1530" s="6" t="str">
        <f t="shared" si="11"/>
        <v>Writing Style Preference</v>
      </c>
    </row>
    <row r="1531" spans="1:7" ht="14" x14ac:dyDescent="0.15">
      <c r="A1531" s="6" t="s">
        <v>668</v>
      </c>
      <c r="B1531" s="8" t="s">
        <v>2766</v>
      </c>
      <c r="C1531" s="6" t="str">
        <f>'Ann1 - Step 3'!C1531</f>
        <v>Writing Style Preference</v>
      </c>
      <c r="D1531" s="6" t="str">
        <f>'Ann2 - Step 3'!C1531</f>
        <v>Writing Style Preference</v>
      </c>
      <c r="E1531" s="6" t="b">
        <f t="shared" si="12"/>
        <v>0</v>
      </c>
      <c r="F1531" s="6"/>
      <c r="G1531" s="6" t="str">
        <f t="shared" si="11"/>
        <v>Writing Style Preference</v>
      </c>
    </row>
    <row r="1532" spans="1:7" ht="28" x14ac:dyDescent="0.15">
      <c r="A1532" s="6" t="s">
        <v>668</v>
      </c>
      <c r="B1532" s="8" t="s">
        <v>2767</v>
      </c>
      <c r="C1532" s="6" t="str">
        <f>'Ann1 - Step 3'!C1532</f>
        <v>Writing Style Preference</v>
      </c>
      <c r="D1532" s="6" t="str">
        <f>'Ann2 - Step 3'!C1532</f>
        <v>Writing Style Preference</v>
      </c>
      <c r="E1532" s="6" t="b">
        <f t="shared" si="12"/>
        <v>0</v>
      </c>
      <c r="F1532" s="6"/>
      <c r="G1532" s="6" t="str">
        <f t="shared" ref="G1532:G1786" si="13">IF(E1532=TRUE,F1532,D1532)</f>
        <v>Writing Style Preference</v>
      </c>
    </row>
    <row r="1533" spans="1:7" ht="14" x14ac:dyDescent="0.15">
      <c r="A1533" s="31" t="s">
        <v>668</v>
      </c>
      <c r="B1533" s="8" t="s">
        <v>2768</v>
      </c>
      <c r="C1533" s="6" t="str">
        <f>'Ann1 - Step 3'!C1533</f>
        <v>Writing Style Preference</v>
      </c>
      <c r="D1533" s="6" t="str">
        <f>'Ann2 - Step 3'!C1533</f>
        <v>Task Execution</v>
      </c>
      <c r="E1533" s="6" t="b">
        <f t="shared" si="12"/>
        <v>1</v>
      </c>
      <c r="F1533" s="30" t="s">
        <v>18</v>
      </c>
      <c r="G1533" s="6" t="str">
        <f t="shared" si="13"/>
        <v>Task Execution</v>
      </c>
    </row>
    <row r="1534" spans="1:7" ht="14" x14ac:dyDescent="0.15">
      <c r="A1534" s="6" t="s">
        <v>668</v>
      </c>
      <c r="B1534" s="8" t="s">
        <v>2769</v>
      </c>
      <c r="C1534" s="6" t="str">
        <f>'Ann1 - Step 3'!C1534</f>
        <v>Task Execution</v>
      </c>
      <c r="D1534" s="6" t="str">
        <f>'Ann2 - Step 3'!C1534</f>
        <v>Commit&amp;PR rule</v>
      </c>
      <c r="E1534" s="6" t="b">
        <f t="shared" si="12"/>
        <v>1</v>
      </c>
      <c r="F1534" s="30" t="s">
        <v>12</v>
      </c>
      <c r="G1534" s="6" t="str">
        <f t="shared" si="13"/>
        <v>Commit&amp;PR rule</v>
      </c>
    </row>
    <row r="1535" spans="1:7" ht="14" x14ac:dyDescent="0.15">
      <c r="A1535" s="6" t="s">
        <v>672</v>
      </c>
      <c r="B1535" s="8" t="s">
        <v>2770</v>
      </c>
      <c r="C1535" s="6" t="str">
        <f>'Ann1 - Step 3'!C1535</f>
        <v>Performance</v>
      </c>
      <c r="D1535" s="6" t="str">
        <f>'Ann2 - Step 3'!C1535</f>
        <v>Testing</v>
      </c>
      <c r="E1535" s="6" t="b">
        <f t="shared" si="12"/>
        <v>1</v>
      </c>
      <c r="F1535" s="30" t="s">
        <v>88</v>
      </c>
      <c r="G1535" s="6" t="str">
        <f t="shared" si="13"/>
        <v>Testing</v>
      </c>
    </row>
    <row r="1536" spans="1:7" ht="14" x14ac:dyDescent="0.15">
      <c r="A1536" s="6" t="s">
        <v>672</v>
      </c>
      <c r="B1536" s="8" t="s">
        <v>2771</v>
      </c>
      <c r="C1536" s="6" t="str">
        <f>'Ann1 - Step 3'!C1536</f>
        <v>Documentation</v>
      </c>
      <c r="D1536" s="6" t="str">
        <f>'Ann2 - Step 3'!C1536</f>
        <v>Documentation</v>
      </c>
      <c r="E1536" s="6" t="b">
        <f t="shared" si="12"/>
        <v>0</v>
      </c>
      <c r="F1536" s="6"/>
      <c r="G1536" s="6" t="str">
        <f t="shared" si="13"/>
        <v>Documentation</v>
      </c>
    </row>
    <row r="1537" spans="1:7" ht="14" x14ac:dyDescent="0.15">
      <c r="A1537" s="6" t="s">
        <v>672</v>
      </c>
      <c r="B1537" s="8" t="s">
        <v>2772</v>
      </c>
      <c r="C1537" s="6" t="str">
        <f>'Ann1 - Step 3'!C1537</f>
        <v>Task Execution</v>
      </c>
      <c r="D1537" s="6" t="str">
        <f>'Ann2 - Step 3'!C1537</f>
        <v>Task Execution</v>
      </c>
      <c r="E1537" s="6" t="b">
        <f t="shared" si="12"/>
        <v>0</v>
      </c>
      <c r="F1537" s="6"/>
      <c r="G1537" s="6" t="str">
        <f t="shared" si="13"/>
        <v>Task Execution</v>
      </c>
    </row>
    <row r="1538" spans="1:7" ht="14" x14ac:dyDescent="0.15">
      <c r="A1538" s="31" t="s">
        <v>672</v>
      </c>
      <c r="B1538" s="8" t="s">
        <v>2774</v>
      </c>
      <c r="C1538" s="6" t="str">
        <f>'Ann1 - Step 3'!C1538</f>
        <v>Task Execution</v>
      </c>
      <c r="D1538" s="6" t="str">
        <f>'Ann2 - Step 3'!C1538</f>
        <v>Maintainability</v>
      </c>
      <c r="E1538" s="6" t="b">
        <f t="shared" si="12"/>
        <v>1</v>
      </c>
      <c r="F1538" s="30" t="s">
        <v>18</v>
      </c>
      <c r="G1538" s="6" t="str">
        <f t="shared" si="13"/>
        <v>Task Execution</v>
      </c>
    </row>
    <row r="1539" spans="1:7" ht="14" x14ac:dyDescent="0.15">
      <c r="A1539" s="6" t="s">
        <v>157</v>
      </c>
      <c r="B1539" s="8" t="s">
        <v>2775</v>
      </c>
      <c r="C1539" s="6" t="str">
        <f>'Ann1 - Step 3'!C1539</f>
        <v>Documentation</v>
      </c>
      <c r="D1539" s="6" t="str">
        <f>'Ann2 - Step 3'!C1539</f>
        <v>Documentation</v>
      </c>
      <c r="E1539" s="6" t="b">
        <f t="shared" si="12"/>
        <v>0</v>
      </c>
      <c r="F1539" s="30"/>
      <c r="G1539" s="6" t="str">
        <f t="shared" si="13"/>
        <v>Documentation</v>
      </c>
    </row>
    <row r="1540" spans="1:7" ht="14" x14ac:dyDescent="0.15">
      <c r="A1540" s="6" t="s">
        <v>157</v>
      </c>
      <c r="B1540" s="8" t="s">
        <v>2776</v>
      </c>
      <c r="C1540" s="6" t="str">
        <f>'Ann1 - Step 3'!C1540</f>
        <v>Testing</v>
      </c>
      <c r="D1540" s="6" t="str">
        <f>'Ann2 - Step 3'!C1540</f>
        <v>Testing</v>
      </c>
      <c r="E1540" s="6" t="b">
        <f t="shared" si="12"/>
        <v>0</v>
      </c>
      <c r="F1540" s="6"/>
      <c r="G1540" s="6" t="str">
        <f t="shared" si="13"/>
        <v>Testing</v>
      </c>
    </row>
    <row r="1541" spans="1:7" ht="14" x14ac:dyDescent="0.15">
      <c r="A1541" s="6" t="s">
        <v>160</v>
      </c>
      <c r="B1541" s="8" t="s">
        <v>2777</v>
      </c>
      <c r="C1541" s="6" t="str">
        <f>'Ann1 - Step 3'!C1541</f>
        <v>Testing</v>
      </c>
      <c r="D1541" s="6" t="str">
        <f>'Ann2 - Step 3'!C1541</f>
        <v>Testing</v>
      </c>
      <c r="E1541" s="6" t="b">
        <f t="shared" si="12"/>
        <v>0</v>
      </c>
      <c r="F1541" s="6"/>
      <c r="G1541" s="6" t="str">
        <f t="shared" si="13"/>
        <v>Testing</v>
      </c>
    </row>
    <row r="1542" spans="1:7" ht="14" x14ac:dyDescent="0.15">
      <c r="A1542" s="6" t="s">
        <v>166</v>
      </c>
      <c r="B1542" s="8" t="s">
        <v>2778</v>
      </c>
      <c r="C1542" s="6" t="str">
        <f>'Ann1 - Step 3'!C1542</f>
        <v>Testing</v>
      </c>
      <c r="D1542" s="6" t="str">
        <f>'Ann2 - Step 3'!C1542</f>
        <v>Testing</v>
      </c>
      <c r="E1542" s="6" t="b">
        <f t="shared" si="12"/>
        <v>0</v>
      </c>
      <c r="F1542" s="6"/>
      <c r="G1542" s="6" t="str">
        <f t="shared" si="13"/>
        <v>Testing</v>
      </c>
    </row>
    <row r="1543" spans="1:7" ht="14" x14ac:dyDescent="0.15">
      <c r="A1543" s="6" t="s">
        <v>166</v>
      </c>
      <c r="B1543" s="8" t="s">
        <v>2779</v>
      </c>
      <c r="C1543" s="6" t="str">
        <f>'Ann1 - Step 3'!C1543</f>
        <v>Coding Style</v>
      </c>
      <c r="D1543" s="6" t="str">
        <f>'Ann2 - Step 3'!C1543</f>
        <v>Coding Style</v>
      </c>
      <c r="E1543" s="6" t="b">
        <f t="shared" si="12"/>
        <v>0</v>
      </c>
      <c r="F1543" s="6"/>
      <c r="G1543" s="6" t="str">
        <f t="shared" si="13"/>
        <v>Coding Style</v>
      </c>
    </row>
    <row r="1544" spans="1:7" ht="14" x14ac:dyDescent="0.15">
      <c r="A1544" s="6" t="s">
        <v>166</v>
      </c>
      <c r="B1544" s="8" t="s">
        <v>2780</v>
      </c>
      <c r="C1544" s="6" t="str">
        <f>'Ann1 - Step 3'!C1544</f>
        <v>Testing</v>
      </c>
      <c r="D1544" s="6" t="str">
        <f>'Ann2 - Step 3'!C1544</f>
        <v>Testing</v>
      </c>
      <c r="E1544" s="6" t="b">
        <f t="shared" si="12"/>
        <v>0</v>
      </c>
      <c r="F1544" s="6"/>
      <c r="G1544" s="6" t="str">
        <f t="shared" si="13"/>
        <v>Testing</v>
      </c>
    </row>
    <row r="1545" spans="1:7" ht="14" x14ac:dyDescent="0.15">
      <c r="A1545" s="6" t="s">
        <v>2417</v>
      </c>
      <c r="B1545" s="8" t="s">
        <v>2781</v>
      </c>
      <c r="C1545" s="6" t="str">
        <f>'Ann1 - Step 3'!C1545</f>
        <v>Coding Style</v>
      </c>
      <c r="D1545" s="6" t="str">
        <f>'Ann2 - Step 3'!C1545</f>
        <v>Coding Style</v>
      </c>
      <c r="E1545" s="6" t="b">
        <f t="shared" si="12"/>
        <v>0</v>
      </c>
      <c r="F1545" s="6"/>
      <c r="G1545" s="6" t="str">
        <f t="shared" si="13"/>
        <v>Coding Style</v>
      </c>
    </row>
    <row r="1546" spans="1:7" ht="14" x14ac:dyDescent="0.15">
      <c r="A1546" s="6" t="s">
        <v>2417</v>
      </c>
      <c r="B1546" s="8" t="s">
        <v>2782</v>
      </c>
      <c r="C1546" s="6" t="str">
        <f>'Ann1 - Step 3'!C1546</f>
        <v>Coding Pattern</v>
      </c>
      <c r="D1546" s="6" t="str">
        <f>'Ann2 - Step 3'!C1546</f>
        <v>Coding Pattern</v>
      </c>
      <c r="E1546" s="6" t="b">
        <f t="shared" si="12"/>
        <v>0</v>
      </c>
      <c r="F1546" s="6"/>
      <c r="G1546" s="6" t="str">
        <f t="shared" si="13"/>
        <v>Coding Pattern</v>
      </c>
    </row>
    <row r="1547" spans="1:7" ht="14" x14ac:dyDescent="0.15">
      <c r="A1547" s="6" t="s">
        <v>2417</v>
      </c>
      <c r="B1547" s="8" t="s">
        <v>2783</v>
      </c>
      <c r="C1547" s="6" t="str">
        <f>'Ann1 - Step 3'!C1547</f>
        <v>Coding Style</v>
      </c>
      <c r="D1547" s="6" t="str">
        <f>'Ann2 - Step 3'!C1547</f>
        <v>Coding Style</v>
      </c>
      <c r="E1547" s="6" t="b">
        <f t="shared" si="12"/>
        <v>0</v>
      </c>
      <c r="F1547" s="6"/>
      <c r="G1547" s="6" t="str">
        <f t="shared" si="13"/>
        <v>Coding Style</v>
      </c>
    </row>
    <row r="1548" spans="1:7" ht="14" x14ac:dyDescent="0.15">
      <c r="A1548" s="6" t="s">
        <v>2417</v>
      </c>
      <c r="B1548" s="8" t="s">
        <v>2784</v>
      </c>
      <c r="C1548" s="6" t="str">
        <f>'Ann1 - Step 3'!C1548</f>
        <v>Task Execution</v>
      </c>
      <c r="D1548" s="6" t="str">
        <f>'Ann2 - Step 3'!C1548</f>
        <v>Documentation</v>
      </c>
      <c r="E1548" s="6" t="b">
        <f t="shared" si="12"/>
        <v>1</v>
      </c>
      <c r="F1548" s="30" t="s">
        <v>23</v>
      </c>
      <c r="G1548" s="6" t="str">
        <f t="shared" si="13"/>
        <v>Documentation</v>
      </c>
    </row>
    <row r="1549" spans="1:7" ht="14" x14ac:dyDescent="0.15">
      <c r="A1549" s="6" t="s">
        <v>781</v>
      </c>
      <c r="B1549" s="8" t="s">
        <v>2785</v>
      </c>
      <c r="C1549" s="6" t="str">
        <f>'Ann1 - Step 3'!C1549</f>
        <v>Testing</v>
      </c>
      <c r="D1549" s="6" t="str">
        <f>'Ann2 - Step 3'!C1549</f>
        <v>Testing</v>
      </c>
      <c r="E1549" s="6" t="b">
        <f t="shared" ref="E1549:E1764" si="14">IF(C1549=D1549, FALSE, TRUE)</f>
        <v>0</v>
      </c>
      <c r="F1549" s="6"/>
      <c r="G1549" s="6" t="str">
        <f t="shared" si="13"/>
        <v>Testing</v>
      </c>
    </row>
    <row r="1550" spans="1:7" ht="14" x14ac:dyDescent="0.15">
      <c r="A1550" s="6" t="s">
        <v>781</v>
      </c>
      <c r="B1550" s="8" t="s">
        <v>2786</v>
      </c>
      <c r="C1550" s="6" t="str">
        <f>'Ann1 - Step 3'!C1550</f>
        <v>Writing Style Preference</v>
      </c>
      <c r="D1550" s="6" t="str">
        <f>'Ann2 - Step 3'!C1550</f>
        <v>Writing Style Preference</v>
      </c>
      <c r="E1550" s="6" t="b">
        <f t="shared" si="14"/>
        <v>0</v>
      </c>
      <c r="F1550" s="6"/>
      <c r="G1550" s="6" t="str">
        <f t="shared" si="13"/>
        <v>Writing Style Preference</v>
      </c>
    </row>
    <row r="1551" spans="1:7" ht="14" x14ac:dyDescent="0.15">
      <c r="A1551" s="6" t="s">
        <v>781</v>
      </c>
      <c r="B1551" s="8" t="s">
        <v>2787</v>
      </c>
      <c r="C1551" s="6" t="str">
        <f>'Ann1 - Step 3'!C1551</f>
        <v>Documentation</v>
      </c>
      <c r="D1551" s="6" t="str">
        <f>'Ann2 - Step 3'!C1551</f>
        <v>Documentation</v>
      </c>
      <c r="E1551" s="6" t="b">
        <f t="shared" si="14"/>
        <v>0</v>
      </c>
      <c r="F1551" s="6"/>
      <c r="G1551" s="6" t="str">
        <f t="shared" si="13"/>
        <v>Documentation</v>
      </c>
    </row>
    <row r="1552" spans="1:7" ht="14" x14ac:dyDescent="0.15">
      <c r="A1552" s="6" t="s">
        <v>2008</v>
      </c>
      <c r="B1552" s="8" t="s">
        <v>2788</v>
      </c>
      <c r="C1552" s="6" t="str">
        <f>'Ann1 - Step 3'!C1552</f>
        <v>Coding Pattern</v>
      </c>
      <c r="D1552" s="6" t="str">
        <f>'Ann2 - Step 3'!C1552</f>
        <v>Coding Pattern</v>
      </c>
      <c r="E1552" s="6" t="b">
        <f t="shared" si="14"/>
        <v>0</v>
      </c>
      <c r="F1552" s="6"/>
      <c r="G1552" s="6" t="str">
        <f t="shared" si="13"/>
        <v>Coding Pattern</v>
      </c>
    </row>
    <row r="1553" spans="1:7" ht="14" x14ac:dyDescent="0.15">
      <c r="A1553" s="6" t="s">
        <v>683</v>
      </c>
      <c r="B1553" s="8" t="s">
        <v>2789</v>
      </c>
      <c r="C1553" s="6" t="str">
        <f>'Ann1 - Step 3'!C1553</f>
        <v>Testing</v>
      </c>
      <c r="D1553" s="6" t="str">
        <f>'Ann2 - Step 3'!C1553</f>
        <v>Testing</v>
      </c>
      <c r="E1553" s="6" t="b">
        <f t="shared" si="14"/>
        <v>0</v>
      </c>
      <c r="F1553" s="6"/>
      <c r="G1553" s="6" t="str">
        <f t="shared" si="13"/>
        <v>Testing</v>
      </c>
    </row>
    <row r="1554" spans="1:7" ht="14" x14ac:dyDescent="0.15">
      <c r="A1554" s="6" t="s">
        <v>683</v>
      </c>
      <c r="B1554" s="8" t="s">
        <v>2790</v>
      </c>
      <c r="C1554" s="6" t="str">
        <f>'Ann1 - Step 3'!C1554</f>
        <v>Testing</v>
      </c>
      <c r="D1554" s="6" t="str">
        <f>'Ann2 - Step 3'!C1554</f>
        <v>Testing</v>
      </c>
      <c r="E1554" s="6" t="b">
        <f t="shared" si="14"/>
        <v>0</v>
      </c>
      <c r="F1554" s="6"/>
      <c r="G1554" s="6" t="str">
        <f t="shared" si="13"/>
        <v>Testing</v>
      </c>
    </row>
    <row r="1555" spans="1:7" ht="14" x14ac:dyDescent="0.15">
      <c r="A1555" s="6" t="s">
        <v>1888</v>
      </c>
      <c r="B1555" s="8" t="s">
        <v>2791</v>
      </c>
      <c r="C1555" s="6" t="str">
        <f>'Ann1 - Step 3'!C1555</f>
        <v>Build &amp; Operation</v>
      </c>
      <c r="D1555" s="6" t="str">
        <f>'Ann2 - Step 3'!C1555</f>
        <v>Build &amp; Operation</v>
      </c>
      <c r="E1555" s="6" t="b">
        <f t="shared" si="14"/>
        <v>0</v>
      </c>
      <c r="F1555" s="6"/>
      <c r="G1555" s="6" t="str">
        <f t="shared" si="13"/>
        <v>Build &amp; Operation</v>
      </c>
    </row>
    <row r="1556" spans="1:7" ht="14" x14ac:dyDescent="0.15">
      <c r="A1556" s="6" t="s">
        <v>170</v>
      </c>
      <c r="B1556" s="8" t="s">
        <v>2792</v>
      </c>
      <c r="C1556" s="6" t="str">
        <f>'Ann1 - Step 3'!C1556</f>
        <v>Task Execution</v>
      </c>
      <c r="D1556" s="6" t="str">
        <f>'Ann2 - Step 3'!C1556</f>
        <v>Build &amp; Operation</v>
      </c>
      <c r="E1556" s="6" t="b">
        <f t="shared" si="14"/>
        <v>1</v>
      </c>
      <c r="F1556" s="30" t="s">
        <v>136</v>
      </c>
      <c r="G1556" s="6" t="str">
        <f t="shared" si="13"/>
        <v>Build &amp; Operation</v>
      </c>
    </row>
    <row r="1557" spans="1:7" ht="14" x14ac:dyDescent="0.15">
      <c r="A1557" s="6" t="s">
        <v>170</v>
      </c>
      <c r="B1557" s="8" t="s">
        <v>2793</v>
      </c>
      <c r="C1557" s="6" t="str">
        <f>'Ann1 - Step 3'!C1557</f>
        <v>Commit&amp;PR rule</v>
      </c>
      <c r="D1557" s="6" t="str">
        <f>'Ann2 - Step 3'!C1557</f>
        <v>Commit&amp;PR rule</v>
      </c>
      <c r="E1557" s="6" t="b">
        <f t="shared" si="14"/>
        <v>0</v>
      </c>
      <c r="F1557" s="6"/>
      <c r="G1557" s="6" t="str">
        <f t="shared" si="13"/>
        <v>Commit&amp;PR rule</v>
      </c>
    </row>
    <row r="1558" spans="1:7" ht="14" x14ac:dyDescent="0.15">
      <c r="A1558" s="6" t="s">
        <v>1687</v>
      </c>
      <c r="B1558" s="8" t="s">
        <v>2794</v>
      </c>
      <c r="C1558" s="6" t="str">
        <f>'Ann1 - Step 3'!C1558</f>
        <v>Testing</v>
      </c>
      <c r="D1558" s="6" t="str">
        <f>'Ann2 - Step 3'!C1558</f>
        <v>Testing</v>
      </c>
      <c r="E1558" s="6" t="b">
        <f t="shared" si="14"/>
        <v>0</v>
      </c>
      <c r="F1558" s="6"/>
      <c r="G1558" s="6" t="str">
        <f t="shared" si="13"/>
        <v>Testing</v>
      </c>
    </row>
    <row r="1559" spans="1:7" ht="14" x14ac:dyDescent="0.15">
      <c r="A1559" s="31" t="s">
        <v>175</v>
      </c>
      <c r="B1559" s="8" t="s">
        <v>2795</v>
      </c>
      <c r="C1559" s="6" t="str">
        <f>'Ann1 - Step 3'!C1559</f>
        <v>Task Execution</v>
      </c>
      <c r="D1559" s="6" t="str">
        <f>'Ann2 - Step 3'!C1559</f>
        <v>Build &amp; Operation</v>
      </c>
      <c r="E1559" s="6" t="b">
        <f t="shared" si="14"/>
        <v>1</v>
      </c>
      <c r="F1559" s="30" t="s">
        <v>18</v>
      </c>
      <c r="G1559" s="6" t="str">
        <f t="shared" si="13"/>
        <v>Task Execution</v>
      </c>
    </row>
    <row r="1560" spans="1:7" ht="14" x14ac:dyDescent="0.15">
      <c r="A1560" s="6" t="s">
        <v>179</v>
      </c>
      <c r="B1560" s="8" t="s">
        <v>2796</v>
      </c>
      <c r="C1560" s="6" t="str">
        <f>'Ann1 - Step 3'!C1560</f>
        <v>Performance</v>
      </c>
      <c r="D1560" s="6" t="str">
        <f>'Ann2 - Step 3'!C1560</f>
        <v>Performance</v>
      </c>
      <c r="E1560" s="6" t="b">
        <f t="shared" si="14"/>
        <v>0</v>
      </c>
      <c r="F1560" s="6"/>
      <c r="G1560" s="6" t="str">
        <f t="shared" si="13"/>
        <v>Performance</v>
      </c>
    </row>
    <row r="1561" spans="1:7" ht="14" x14ac:dyDescent="0.15">
      <c r="A1561" s="6" t="s">
        <v>107</v>
      </c>
      <c r="B1561" s="8" t="s">
        <v>2797</v>
      </c>
      <c r="C1561" s="6" t="str">
        <f>'Ann1 - Step 3'!C1561</f>
        <v>Testing</v>
      </c>
      <c r="D1561" s="6" t="str">
        <f>'Ann2 - Step 3'!C1561</f>
        <v>Testing</v>
      </c>
      <c r="E1561" s="6" t="b">
        <f t="shared" si="14"/>
        <v>0</v>
      </c>
      <c r="F1561" s="6"/>
      <c r="G1561" s="6" t="str">
        <f t="shared" si="13"/>
        <v>Testing</v>
      </c>
    </row>
    <row r="1562" spans="1:7" ht="28" x14ac:dyDescent="0.15">
      <c r="A1562" s="6" t="s">
        <v>107</v>
      </c>
      <c r="B1562" s="8" t="s">
        <v>2798</v>
      </c>
      <c r="C1562" s="6" t="str">
        <f>'Ann1 - Step 3'!C1562</f>
        <v>Task Execution</v>
      </c>
      <c r="D1562" s="6" t="str">
        <f>'Ann2 - Step 3'!C1562</f>
        <v>Documentation</v>
      </c>
      <c r="E1562" s="6" t="b">
        <f t="shared" si="14"/>
        <v>1</v>
      </c>
      <c r="F1562" s="30" t="s">
        <v>18</v>
      </c>
      <c r="G1562" s="6" t="str">
        <f t="shared" si="13"/>
        <v>Task Execution</v>
      </c>
    </row>
    <row r="1563" spans="1:7" ht="14" x14ac:dyDescent="0.15">
      <c r="A1563" s="6" t="s">
        <v>107</v>
      </c>
      <c r="B1563" s="8" t="s">
        <v>2799</v>
      </c>
      <c r="C1563" s="6" t="str">
        <f>'Ann1 - Step 3'!C1563</f>
        <v>Task Execution</v>
      </c>
      <c r="D1563" s="6" t="str">
        <f>'Ann2 - Step 3'!C1563</f>
        <v>Documentation</v>
      </c>
      <c r="E1563" s="6" t="b">
        <f t="shared" si="14"/>
        <v>1</v>
      </c>
      <c r="F1563" s="30" t="s">
        <v>18</v>
      </c>
      <c r="G1563" s="6" t="str">
        <f t="shared" si="13"/>
        <v>Task Execution</v>
      </c>
    </row>
    <row r="1564" spans="1:7" ht="14" x14ac:dyDescent="0.15">
      <c r="A1564" s="6" t="s">
        <v>107</v>
      </c>
      <c r="B1564" s="8" t="s">
        <v>2800</v>
      </c>
      <c r="C1564" s="6" t="str">
        <f>'Ann1 - Step 3'!C1564</f>
        <v>Coding Style</v>
      </c>
      <c r="D1564" s="6" t="str">
        <f>'Ann2 - Step 3'!C1564</f>
        <v>Coding Style</v>
      </c>
      <c r="E1564" s="6" t="b">
        <f t="shared" si="14"/>
        <v>0</v>
      </c>
      <c r="F1564" s="6"/>
      <c r="G1564" s="6" t="str">
        <f t="shared" si="13"/>
        <v>Coding Style</v>
      </c>
    </row>
    <row r="1565" spans="1:7" ht="14" x14ac:dyDescent="0.15">
      <c r="A1565" s="6" t="s">
        <v>183</v>
      </c>
      <c r="B1565" s="8" t="s">
        <v>2801</v>
      </c>
      <c r="C1565" s="6" t="str">
        <f>'Ann1 - Step 3'!C1565</f>
        <v>Coding Pattern</v>
      </c>
      <c r="D1565" s="6" t="str">
        <f>'Ann2 - Step 3'!C1565</f>
        <v>Coding Pattern</v>
      </c>
      <c r="E1565" s="6" t="b">
        <f t="shared" si="14"/>
        <v>0</v>
      </c>
      <c r="F1565" s="6"/>
      <c r="G1565" s="6" t="str">
        <f t="shared" si="13"/>
        <v>Coding Pattern</v>
      </c>
    </row>
    <row r="1566" spans="1:7" ht="14" x14ac:dyDescent="0.15">
      <c r="A1566" s="6" t="s">
        <v>190</v>
      </c>
      <c r="B1566" s="8" t="s">
        <v>2802</v>
      </c>
      <c r="C1566" s="6" t="str">
        <f>'Ann1 - Step 3'!C1566</f>
        <v>Commit&amp;PR rule</v>
      </c>
      <c r="D1566" s="6" t="str">
        <f>'Ann2 - Step 3'!C1566</f>
        <v>Commit&amp;PR rule</v>
      </c>
      <c r="E1566" s="6" t="b">
        <f t="shared" si="14"/>
        <v>0</v>
      </c>
      <c r="F1566" s="6"/>
      <c r="G1566" s="6" t="str">
        <f t="shared" si="13"/>
        <v>Commit&amp;PR rule</v>
      </c>
    </row>
    <row r="1567" spans="1:7" ht="14" x14ac:dyDescent="0.15">
      <c r="A1567" s="6" t="s">
        <v>190</v>
      </c>
      <c r="B1567" s="8" t="s">
        <v>2803</v>
      </c>
      <c r="C1567" s="6" t="str">
        <f>'Ann1 - Step 3'!C1567</f>
        <v>Build &amp; Operation</v>
      </c>
      <c r="D1567" s="6" t="str">
        <f>'Ann2 - Step 3'!C1567</f>
        <v>Build &amp; Operation</v>
      </c>
      <c r="E1567" s="6" t="b">
        <f t="shared" si="14"/>
        <v>0</v>
      </c>
      <c r="F1567" s="6"/>
      <c r="G1567" s="6" t="str">
        <f t="shared" si="13"/>
        <v>Build &amp; Operation</v>
      </c>
    </row>
    <row r="1568" spans="1:7" ht="14" x14ac:dyDescent="0.15">
      <c r="A1568" s="6" t="s">
        <v>788</v>
      </c>
      <c r="B1568" s="8" t="s">
        <v>2804</v>
      </c>
      <c r="C1568" s="6" t="str">
        <f>'Ann1 - Step 3'!C1568</f>
        <v>Documentation</v>
      </c>
      <c r="D1568" s="6" t="str">
        <f>'Ann2 - Step 3'!C1568</f>
        <v>Documentation</v>
      </c>
      <c r="E1568" s="6" t="b">
        <f t="shared" si="14"/>
        <v>0</v>
      </c>
      <c r="F1568" s="6"/>
      <c r="G1568" s="6" t="str">
        <f t="shared" si="13"/>
        <v>Documentation</v>
      </c>
    </row>
    <row r="1569" spans="1:7" ht="14" x14ac:dyDescent="0.15">
      <c r="A1569" s="6" t="s">
        <v>788</v>
      </c>
      <c r="B1569" s="8" t="s">
        <v>2805</v>
      </c>
      <c r="C1569" s="6" t="str">
        <f>'Ann1 - Step 3'!C1569</f>
        <v>Build &amp; Operation</v>
      </c>
      <c r="D1569" s="6" t="str">
        <f>'Ann2 - Step 3'!C1569</f>
        <v>Build &amp; Operation</v>
      </c>
      <c r="E1569" s="6" t="b">
        <f t="shared" si="14"/>
        <v>0</v>
      </c>
      <c r="F1569" s="6"/>
      <c r="G1569" s="6" t="str">
        <f t="shared" si="13"/>
        <v>Build &amp; Operation</v>
      </c>
    </row>
    <row r="1570" spans="1:7" ht="14" x14ac:dyDescent="0.15">
      <c r="A1570" s="6" t="s">
        <v>1697</v>
      </c>
      <c r="B1570" s="8" t="s">
        <v>2806</v>
      </c>
      <c r="C1570" s="6" t="str">
        <f>'Ann1 - Step 3'!C1570</f>
        <v>Coding Pattern</v>
      </c>
      <c r="D1570" s="6" t="str">
        <f>'Ann2 - Step 3'!C1570</f>
        <v>Coding Pattern</v>
      </c>
      <c r="E1570" s="6" t="b">
        <f t="shared" si="14"/>
        <v>0</v>
      </c>
      <c r="F1570" s="6"/>
      <c r="G1570" s="6" t="str">
        <f t="shared" si="13"/>
        <v>Coding Pattern</v>
      </c>
    </row>
    <row r="1571" spans="1:7" ht="14" x14ac:dyDescent="0.15">
      <c r="A1571" s="6" t="s">
        <v>2809</v>
      </c>
      <c r="B1571" s="8" t="s">
        <v>2810</v>
      </c>
      <c r="C1571" s="6" t="str">
        <f>'Ann1 - Step 3'!C1571</f>
        <v>Coding Pattern</v>
      </c>
      <c r="D1571" s="6" t="str">
        <f>'Ann2 - Step 3'!C1571</f>
        <v>Coding Style</v>
      </c>
      <c r="E1571" s="6" t="b">
        <f t="shared" si="14"/>
        <v>1</v>
      </c>
      <c r="F1571" s="30" t="s">
        <v>30</v>
      </c>
      <c r="G1571" s="6" t="str">
        <f t="shared" si="13"/>
        <v>Coding Pattern</v>
      </c>
    </row>
    <row r="1572" spans="1:7" ht="14" x14ac:dyDescent="0.15">
      <c r="A1572" s="6" t="s">
        <v>75</v>
      </c>
      <c r="B1572" s="8" t="s">
        <v>2811</v>
      </c>
      <c r="C1572" s="6" t="str">
        <f>'Ann1 - Step 3'!C1572</f>
        <v>Coding Pattern</v>
      </c>
      <c r="D1572" s="6" t="str">
        <f>'Ann2 - Step 3'!C1572</f>
        <v>Task Execution</v>
      </c>
      <c r="E1572" s="6" t="b">
        <f t="shared" si="14"/>
        <v>1</v>
      </c>
      <c r="F1572" s="30" t="s">
        <v>30</v>
      </c>
      <c r="G1572" s="6" t="str">
        <f t="shared" si="13"/>
        <v>Coding Pattern</v>
      </c>
    </row>
    <row r="1573" spans="1:7" ht="14" x14ac:dyDescent="0.15">
      <c r="A1573" s="6" t="s">
        <v>75</v>
      </c>
      <c r="B1573" s="8" t="s">
        <v>2812</v>
      </c>
      <c r="C1573" s="6" t="str">
        <f>'Ann1 - Step 3'!C1573</f>
        <v>Writing Style Preference</v>
      </c>
      <c r="D1573" s="6" t="str">
        <f>'Ann2 - Step 3'!C1573</f>
        <v>Writing Style Preference</v>
      </c>
      <c r="E1573" s="6" t="b">
        <f t="shared" si="14"/>
        <v>0</v>
      </c>
      <c r="F1573" s="30"/>
      <c r="G1573" s="6" t="str">
        <f t="shared" si="13"/>
        <v>Writing Style Preference</v>
      </c>
    </row>
    <row r="1574" spans="1:7" ht="14" x14ac:dyDescent="0.15">
      <c r="A1574" s="6" t="s">
        <v>75</v>
      </c>
      <c r="B1574" s="8" t="s">
        <v>2813</v>
      </c>
      <c r="C1574" s="6" t="str">
        <f>'Ann1 - Step 3'!C1574</f>
        <v>Writing Style Preference</v>
      </c>
      <c r="D1574" s="6" t="str">
        <f>'Ann2 - Step 3'!C1574</f>
        <v>Writing Style Preference</v>
      </c>
      <c r="E1574" s="6" t="b">
        <f t="shared" si="14"/>
        <v>0</v>
      </c>
      <c r="F1574" s="6"/>
      <c r="G1574" s="6" t="str">
        <f t="shared" si="13"/>
        <v>Writing Style Preference</v>
      </c>
    </row>
    <row r="1575" spans="1:7" ht="14" x14ac:dyDescent="0.15">
      <c r="A1575" s="6" t="s">
        <v>2814</v>
      </c>
      <c r="B1575" s="8" t="s">
        <v>2815</v>
      </c>
      <c r="C1575" s="6" t="str">
        <f>'Ann1 - Step 3'!C1575</f>
        <v>Testing</v>
      </c>
      <c r="D1575" s="6" t="str">
        <f>'Ann2 - Step 3'!C1575</f>
        <v>Testing</v>
      </c>
      <c r="E1575" s="6" t="b">
        <f t="shared" si="14"/>
        <v>0</v>
      </c>
      <c r="F1575" s="6"/>
      <c r="G1575" s="6" t="str">
        <f t="shared" si="13"/>
        <v>Testing</v>
      </c>
    </row>
    <row r="1576" spans="1:7" ht="14" x14ac:dyDescent="0.15">
      <c r="A1576" s="6" t="s">
        <v>2814</v>
      </c>
      <c r="B1576" s="8" t="s">
        <v>2816</v>
      </c>
      <c r="C1576" s="6" t="str">
        <f>'Ann1 - Step 3'!C1576</f>
        <v>Testing</v>
      </c>
      <c r="D1576" s="6" t="str">
        <f>'Ann2 - Step 3'!C1576</f>
        <v>Testing</v>
      </c>
      <c r="E1576" s="6" t="b">
        <f t="shared" si="14"/>
        <v>0</v>
      </c>
      <c r="F1576" s="6"/>
      <c r="G1576" s="6" t="str">
        <f t="shared" si="13"/>
        <v>Testing</v>
      </c>
    </row>
    <row r="1577" spans="1:7" ht="14" x14ac:dyDescent="0.15">
      <c r="A1577" s="6" t="s">
        <v>207</v>
      </c>
      <c r="B1577" s="8" t="s">
        <v>2817</v>
      </c>
      <c r="C1577" s="6" t="str">
        <f>'Ann1 - Step 3'!C1577</f>
        <v>Writing Style Preference</v>
      </c>
      <c r="D1577" s="6" t="str">
        <f>'Ann2 - Step 3'!C1577</f>
        <v>Writing Style Preference</v>
      </c>
      <c r="E1577" s="6" t="b">
        <f t="shared" si="14"/>
        <v>0</v>
      </c>
      <c r="F1577" s="6"/>
      <c r="G1577" s="6" t="str">
        <f t="shared" si="13"/>
        <v>Writing Style Preference</v>
      </c>
    </row>
    <row r="1578" spans="1:7" ht="14" x14ac:dyDescent="0.15">
      <c r="A1578" s="6" t="s">
        <v>217</v>
      </c>
      <c r="B1578" s="8" t="s">
        <v>2818</v>
      </c>
      <c r="C1578" s="6" t="str">
        <f>'Ann1 - Step 3'!C1578</f>
        <v>Testing</v>
      </c>
      <c r="D1578" s="6" t="str">
        <f>'Ann2 - Step 3'!C1578</f>
        <v>Testing</v>
      </c>
      <c r="E1578" s="6" t="b">
        <f t="shared" si="14"/>
        <v>0</v>
      </c>
      <c r="F1578" s="6"/>
      <c r="G1578" s="6" t="str">
        <f t="shared" si="13"/>
        <v>Testing</v>
      </c>
    </row>
    <row r="1579" spans="1:7" ht="14" x14ac:dyDescent="0.15">
      <c r="A1579" s="6" t="s">
        <v>217</v>
      </c>
      <c r="B1579" s="8" t="s">
        <v>2819</v>
      </c>
      <c r="C1579" s="6" t="str">
        <f>'Ann1 - Step 3'!C1579</f>
        <v>Commit&amp;PR rule</v>
      </c>
      <c r="D1579" s="6" t="str">
        <f>'Ann2 - Step 3'!C1579</f>
        <v>Commit&amp;PR rule</v>
      </c>
      <c r="E1579" s="6" t="b">
        <f t="shared" si="14"/>
        <v>0</v>
      </c>
      <c r="F1579" s="6"/>
      <c r="G1579" s="6" t="str">
        <f t="shared" si="13"/>
        <v>Commit&amp;PR rule</v>
      </c>
    </row>
    <row r="1580" spans="1:7" ht="14" x14ac:dyDescent="0.15">
      <c r="A1580" s="6" t="s">
        <v>9</v>
      </c>
      <c r="B1580" s="8" t="s">
        <v>2820</v>
      </c>
      <c r="C1580" s="6" t="str">
        <f>'Ann1 - Step 3'!C1580</f>
        <v>Documentation</v>
      </c>
      <c r="D1580" s="6" t="str">
        <f>'Ann2 - Step 3'!C1580</f>
        <v>Documentation</v>
      </c>
      <c r="E1580" s="6" t="b">
        <f t="shared" si="14"/>
        <v>0</v>
      </c>
      <c r="F1580" s="6"/>
      <c r="G1580" s="6" t="str">
        <f t="shared" si="13"/>
        <v>Documentation</v>
      </c>
    </row>
    <row r="1581" spans="1:7" ht="14" x14ac:dyDescent="0.15">
      <c r="A1581" s="6" t="s">
        <v>9</v>
      </c>
      <c r="B1581" s="8" t="s">
        <v>2821</v>
      </c>
      <c r="C1581" s="6" t="str">
        <f>'Ann1 - Step 3'!C1581</f>
        <v>Writing Style Preference</v>
      </c>
      <c r="D1581" s="6" t="str">
        <f>'Ann2 - Step 3'!C1581</f>
        <v>Task Execution</v>
      </c>
      <c r="E1581" s="6" t="b">
        <f t="shared" si="14"/>
        <v>1</v>
      </c>
      <c r="F1581" s="30" t="s">
        <v>77</v>
      </c>
      <c r="G1581" s="6" t="str">
        <f t="shared" si="13"/>
        <v>Writing Style Preference</v>
      </c>
    </row>
    <row r="1582" spans="1:7" ht="14" x14ac:dyDescent="0.15">
      <c r="A1582" s="6" t="s">
        <v>9</v>
      </c>
      <c r="B1582" s="8" t="s">
        <v>2822</v>
      </c>
      <c r="C1582" s="6" t="str">
        <f>'Ann1 - Step 3'!C1582</f>
        <v>Task Execution</v>
      </c>
      <c r="D1582" s="6" t="str">
        <f>'Ann2 - Step 3'!C1582</f>
        <v>Build &amp; Operation</v>
      </c>
      <c r="E1582" s="6" t="b">
        <f t="shared" si="14"/>
        <v>1</v>
      </c>
      <c r="F1582" s="30" t="s">
        <v>136</v>
      </c>
      <c r="G1582" s="6" t="str">
        <f t="shared" si="13"/>
        <v>Build &amp; Operation</v>
      </c>
    </row>
    <row r="1583" spans="1:7" ht="14" x14ac:dyDescent="0.15">
      <c r="A1583" s="6" t="s">
        <v>810</v>
      </c>
      <c r="B1583" s="8" t="s">
        <v>2823</v>
      </c>
      <c r="C1583" s="6" t="str">
        <f>'Ann1 - Step 3'!C1583</f>
        <v>Task Execution</v>
      </c>
      <c r="D1583" s="6" t="str">
        <f>'Ann2 - Step 3'!C1583</f>
        <v>Task Execution</v>
      </c>
      <c r="E1583" s="6" t="b">
        <f t="shared" si="14"/>
        <v>0</v>
      </c>
      <c r="F1583" s="6"/>
      <c r="G1583" s="6" t="str">
        <f t="shared" si="13"/>
        <v>Task Execution</v>
      </c>
    </row>
    <row r="1584" spans="1:7" ht="14" x14ac:dyDescent="0.15">
      <c r="A1584" s="6" t="s">
        <v>822</v>
      </c>
      <c r="B1584" s="8" t="s">
        <v>2824</v>
      </c>
      <c r="C1584" s="6" t="str">
        <f>'Ann1 - Step 3'!C1584</f>
        <v>Build &amp; Operation</v>
      </c>
      <c r="D1584" s="6" t="str">
        <f>'Ann2 - Step 3'!C1584</f>
        <v>Coding Pattern</v>
      </c>
      <c r="E1584" s="6" t="b">
        <f t="shared" si="14"/>
        <v>1</v>
      </c>
      <c r="F1584" s="30" t="s">
        <v>30</v>
      </c>
      <c r="G1584" s="6" t="str">
        <f t="shared" si="13"/>
        <v>Coding Pattern</v>
      </c>
    </row>
    <row r="1585" spans="1:7" ht="14" x14ac:dyDescent="0.15">
      <c r="A1585" s="6" t="s">
        <v>822</v>
      </c>
      <c r="B1585" s="8" t="s">
        <v>2825</v>
      </c>
      <c r="C1585" s="6" t="str">
        <f>'Ann1 - Step 3'!C1585</f>
        <v>Build &amp; Operation</v>
      </c>
      <c r="D1585" s="6" t="str">
        <f>'Ann2 - Step 3'!C1585</f>
        <v>Build &amp; Operation</v>
      </c>
      <c r="E1585" s="6" t="b">
        <f t="shared" si="14"/>
        <v>0</v>
      </c>
      <c r="F1585" s="6"/>
      <c r="G1585" s="6" t="str">
        <f t="shared" si="13"/>
        <v>Build &amp; Operation</v>
      </c>
    </row>
    <row r="1586" spans="1:7" ht="14" x14ac:dyDescent="0.15">
      <c r="A1586" s="6" t="s">
        <v>827</v>
      </c>
      <c r="B1586" s="8" t="s">
        <v>2826</v>
      </c>
      <c r="C1586" s="6" t="str">
        <f>'Ann1 - Step 3'!C1586</f>
        <v>Task Execution</v>
      </c>
      <c r="D1586" s="6" t="str">
        <f>'Ann2 - Step 3'!C1586</f>
        <v>Coding Pattern</v>
      </c>
      <c r="E1586" s="6" t="b">
        <f t="shared" si="14"/>
        <v>1</v>
      </c>
      <c r="F1586" s="30" t="s">
        <v>18</v>
      </c>
      <c r="G1586" s="6" t="str">
        <f t="shared" si="13"/>
        <v>Task Execution</v>
      </c>
    </row>
    <row r="1587" spans="1:7" ht="14" x14ac:dyDescent="0.15">
      <c r="A1587" s="6" t="s">
        <v>827</v>
      </c>
      <c r="B1587" s="8" t="s">
        <v>2827</v>
      </c>
      <c r="C1587" s="6" t="str">
        <f>'Ann1 - Step 3'!C1587</f>
        <v>Testing</v>
      </c>
      <c r="D1587" s="6" t="str">
        <f>'Ann2 - Step 3'!C1587</f>
        <v>Testing</v>
      </c>
      <c r="E1587" s="6" t="b">
        <f t="shared" si="14"/>
        <v>0</v>
      </c>
      <c r="F1587" s="6"/>
      <c r="G1587" s="6" t="str">
        <f t="shared" si="13"/>
        <v>Testing</v>
      </c>
    </row>
    <row r="1588" spans="1:7" ht="14" x14ac:dyDescent="0.15">
      <c r="A1588" s="6" t="s">
        <v>827</v>
      </c>
      <c r="B1588" s="8" t="s">
        <v>2828</v>
      </c>
      <c r="C1588" s="6" t="str">
        <f>'Ann1 - Step 3'!C1588</f>
        <v>Task Execution</v>
      </c>
      <c r="D1588" s="6" t="str">
        <f>'Ann2 - Step 3'!C1588</f>
        <v>Commit&amp;PR rule</v>
      </c>
      <c r="E1588" s="6" t="b">
        <f t="shared" si="14"/>
        <v>1</v>
      </c>
      <c r="F1588" s="30" t="s">
        <v>18</v>
      </c>
      <c r="G1588" s="6" t="str">
        <f t="shared" si="13"/>
        <v>Task Execution</v>
      </c>
    </row>
    <row r="1589" spans="1:7" ht="14" x14ac:dyDescent="0.15">
      <c r="A1589" s="6" t="s">
        <v>2831</v>
      </c>
      <c r="B1589" s="8" t="s">
        <v>2832</v>
      </c>
      <c r="C1589" s="6" t="str">
        <f>'Ann1 - Step 3'!C1589</f>
        <v>Coding Style</v>
      </c>
      <c r="D1589" s="6" t="str">
        <f>'Ann2 - Step 3'!C1589</f>
        <v>Coding Style</v>
      </c>
      <c r="E1589" s="6" t="b">
        <f t="shared" si="14"/>
        <v>0</v>
      </c>
      <c r="F1589" s="6"/>
      <c r="G1589" s="6" t="str">
        <f t="shared" si="13"/>
        <v>Coding Style</v>
      </c>
    </row>
    <row r="1590" spans="1:7" ht="14" x14ac:dyDescent="0.15">
      <c r="A1590" s="6" t="s">
        <v>2831</v>
      </c>
      <c r="B1590" s="8" t="s">
        <v>2833</v>
      </c>
      <c r="C1590" s="6" t="str">
        <f>'Ann1 - Step 3'!C1590</f>
        <v>Coding Pattern</v>
      </c>
      <c r="D1590" s="6" t="str">
        <f>'Ann2 - Step 3'!C1590</f>
        <v>Coding Pattern</v>
      </c>
      <c r="E1590" s="6" t="b">
        <f t="shared" si="14"/>
        <v>0</v>
      </c>
      <c r="F1590" s="6"/>
      <c r="G1590" s="6" t="str">
        <f t="shared" si="13"/>
        <v>Coding Pattern</v>
      </c>
    </row>
    <row r="1591" spans="1:7" ht="14" x14ac:dyDescent="0.15">
      <c r="A1591" s="6" t="s">
        <v>15</v>
      </c>
      <c r="B1591" s="8" t="s">
        <v>2834</v>
      </c>
      <c r="C1591" s="6" t="str">
        <f>'Ann1 - Step 3'!C1591</f>
        <v>Task Execution</v>
      </c>
      <c r="D1591" s="6" t="str">
        <f>'Ann2 - Step 3'!C1591</f>
        <v>Task Execution</v>
      </c>
      <c r="E1591" s="6" t="b">
        <f t="shared" si="14"/>
        <v>0</v>
      </c>
      <c r="F1591" s="6"/>
      <c r="G1591" s="6" t="str">
        <f t="shared" si="13"/>
        <v>Task Execution</v>
      </c>
    </row>
    <row r="1592" spans="1:7" ht="14" x14ac:dyDescent="0.15">
      <c r="A1592" s="6" t="s">
        <v>832</v>
      </c>
      <c r="B1592" s="8" t="s">
        <v>2835</v>
      </c>
      <c r="C1592" s="6" t="str">
        <f>'Ann1 - Step 3'!C1592</f>
        <v>Task Execution</v>
      </c>
      <c r="D1592" s="6" t="str">
        <f>'Ann2 - Step 3'!C1592</f>
        <v>Documentation</v>
      </c>
      <c r="E1592" s="6" t="b">
        <f t="shared" si="14"/>
        <v>1</v>
      </c>
      <c r="F1592" s="30" t="s">
        <v>23</v>
      </c>
      <c r="G1592" s="6" t="str">
        <f t="shared" si="13"/>
        <v>Documentation</v>
      </c>
    </row>
    <row r="1593" spans="1:7" ht="14" x14ac:dyDescent="0.15">
      <c r="A1593" s="6" t="s">
        <v>848</v>
      </c>
      <c r="B1593" s="8" t="s">
        <v>2836</v>
      </c>
      <c r="C1593" s="6" t="str">
        <f>'Ann1 - Step 3'!C1593</f>
        <v>Testing</v>
      </c>
      <c r="D1593" s="6" t="str">
        <f>'Ann2 - Step 3'!C1593</f>
        <v>Testing</v>
      </c>
      <c r="E1593" s="6" t="b">
        <f t="shared" si="14"/>
        <v>0</v>
      </c>
      <c r="F1593" s="6"/>
      <c r="G1593" s="6" t="str">
        <f t="shared" si="13"/>
        <v>Testing</v>
      </c>
    </row>
    <row r="1594" spans="1:7" ht="14" x14ac:dyDescent="0.15">
      <c r="A1594" s="6" t="s">
        <v>853</v>
      </c>
      <c r="B1594" s="8" t="s">
        <v>2837</v>
      </c>
      <c r="C1594" s="6" t="str">
        <f>'Ann1 - Step 3'!C1594</f>
        <v>Commit&amp;PR rule</v>
      </c>
      <c r="D1594" s="6" t="str">
        <f>'Ann2 - Step 3'!C1594</f>
        <v>Commit&amp;PR rule</v>
      </c>
      <c r="E1594" s="6" t="b">
        <f t="shared" si="14"/>
        <v>0</v>
      </c>
      <c r="F1594" s="6"/>
      <c r="G1594" s="6" t="str">
        <f t="shared" si="13"/>
        <v>Commit&amp;PR rule</v>
      </c>
    </row>
    <row r="1595" spans="1:7" ht="14" x14ac:dyDescent="0.15">
      <c r="A1595" s="6" t="s">
        <v>234</v>
      </c>
      <c r="B1595" s="8" t="s">
        <v>2838</v>
      </c>
      <c r="C1595" s="6" t="str">
        <f>'Ann1 - Step 3'!C1595</f>
        <v>Task Execution</v>
      </c>
      <c r="D1595" s="6" t="str">
        <f>'Ann2 - Step 3'!C1595</f>
        <v>Task Execution</v>
      </c>
      <c r="E1595" s="6" t="b">
        <f t="shared" si="14"/>
        <v>0</v>
      </c>
      <c r="F1595" s="6"/>
      <c r="G1595" s="6" t="str">
        <f t="shared" si="13"/>
        <v>Task Execution</v>
      </c>
    </row>
    <row r="1596" spans="1:7" ht="14" x14ac:dyDescent="0.15">
      <c r="A1596" s="6" t="s">
        <v>234</v>
      </c>
      <c r="B1596" s="8" t="s">
        <v>2839</v>
      </c>
      <c r="C1596" s="6" t="str">
        <f>'Ann1 - Step 3'!C1596</f>
        <v>Task Execution</v>
      </c>
      <c r="D1596" s="6" t="str">
        <f>'Ann2 - Step 3'!C1596</f>
        <v>Build &amp; Operation</v>
      </c>
      <c r="E1596" s="6" t="b">
        <f t="shared" si="14"/>
        <v>1</v>
      </c>
      <c r="F1596" s="30" t="s">
        <v>136</v>
      </c>
      <c r="G1596" s="6" t="str">
        <f t="shared" si="13"/>
        <v>Build &amp; Operation</v>
      </c>
    </row>
    <row r="1597" spans="1:7" ht="14" x14ac:dyDescent="0.15">
      <c r="A1597" s="6" t="s">
        <v>234</v>
      </c>
      <c r="B1597" s="8" t="s">
        <v>2840</v>
      </c>
      <c r="C1597" s="6" t="str">
        <f>'Ann1 - Step 3'!C1597</f>
        <v>Coding Pattern</v>
      </c>
      <c r="D1597" s="6" t="str">
        <f>'Ann2 - Step 3'!C1597</f>
        <v>Coding Pattern</v>
      </c>
      <c r="E1597" s="6" t="b">
        <f t="shared" si="14"/>
        <v>0</v>
      </c>
      <c r="F1597" s="6"/>
      <c r="G1597" s="6" t="str">
        <f t="shared" si="13"/>
        <v>Coding Pattern</v>
      </c>
    </row>
    <row r="1598" spans="1:7" ht="14" x14ac:dyDescent="0.15">
      <c r="A1598" s="6" t="s">
        <v>234</v>
      </c>
      <c r="B1598" s="8" t="s">
        <v>2841</v>
      </c>
      <c r="C1598" s="6" t="str">
        <f>'Ann1 - Step 3'!C1598</f>
        <v>Coding Pattern</v>
      </c>
      <c r="D1598" s="6" t="str">
        <f>'Ann2 - Step 3'!C1598</f>
        <v>Coding Pattern</v>
      </c>
      <c r="E1598" s="6" t="b">
        <f t="shared" si="14"/>
        <v>0</v>
      </c>
      <c r="F1598" s="6"/>
      <c r="G1598" s="6" t="str">
        <f t="shared" si="13"/>
        <v>Coding Pattern</v>
      </c>
    </row>
    <row r="1599" spans="1:7" ht="14" x14ac:dyDescent="0.15">
      <c r="A1599" s="6" t="s">
        <v>234</v>
      </c>
      <c r="B1599" s="8" t="s">
        <v>2842</v>
      </c>
      <c r="C1599" s="6" t="str">
        <f>'Ann1 - Step 3'!C1599</f>
        <v>Writing Style Preference</v>
      </c>
      <c r="D1599" s="6" t="str">
        <f>'Ann2 - Step 3'!C1599</f>
        <v>Coding Style</v>
      </c>
      <c r="E1599" s="6" t="b">
        <f t="shared" si="14"/>
        <v>1</v>
      </c>
      <c r="F1599" s="30" t="s">
        <v>30</v>
      </c>
      <c r="G1599" s="6" t="str">
        <f t="shared" si="13"/>
        <v>Coding Pattern</v>
      </c>
    </row>
    <row r="1600" spans="1:7" ht="14" x14ac:dyDescent="0.15">
      <c r="A1600" s="6" t="s">
        <v>234</v>
      </c>
      <c r="B1600" s="8" t="s">
        <v>2843</v>
      </c>
      <c r="C1600" s="6" t="str">
        <f>'Ann1 - Step 3'!C1600</f>
        <v>Task Execution</v>
      </c>
      <c r="D1600" s="6" t="str">
        <f>'Ann2 - Step 3'!C1600</f>
        <v>Task Execution</v>
      </c>
      <c r="E1600" s="6" t="b">
        <f t="shared" si="14"/>
        <v>0</v>
      </c>
      <c r="F1600" s="6"/>
      <c r="G1600" s="6" t="str">
        <f t="shared" si="13"/>
        <v>Task Execution</v>
      </c>
    </row>
    <row r="1601" spans="1:7" ht="14" x14ac:dyDescent="0.15">
      <c r="A1601" s="6" t="s">
        <v>234</v>
      </c>
      <c r="B1601" s="8" t="s">
        <v>2844</v>
      </c>
      <c r="C1601" s="6" t="str">
        <f>'Ann1 - Step 3'!C1601</f>
        <v>Coding Style</v>
      </c>
      <c r="D1601" s="6" t="str">
        <f>'Ann2 - Step 3'!C1601</f>
        <v>Coding Style</v>
      </c>
      <c r="E1601" s="6" t="b">
        <f t="shared" si="14"/>
        <v>0</v>
      </c>
      <c r="F1601" s="6"/>
      <c r="G1601" s="6" t="str">
        <f t="shared" si="13"/>
        <v>Coding Style</v>
      </c>
    </row>
    <row r="1602" spans="1:7" ht="14" x14ac:dyDescent="0.15">
      <c r="A1602" s="6" t="s">
        <v>234</v>
      </c>
      <c r="B1602" s="8" t="s">
        <v>2845</v>
      </c>
      <c r="C1602" s="6" t="str">
        <f>'Ann1 - Step 3'!C1602</f>
        <v>Coding Style</v>
      </c>
      <c r="D1602" s="6" t="str">
        <f>'Ann2 - Step 3'!C1602</f>
        <v>Coding Style</v>
      </c>
      <c r="E1602" s="6" t="b">
        <f t="shared" si="14"/>
        <v>0</v>
      </c>
      <c r="F1602" s="6"/>
      <c r="G1602" s="6" t="str">
        <f t="shared" si="13"/>
        <v>Coding Style</v>
      </c>
    </row>
    <row r="1603" spans="1:7" ht="14" x14ac:dyDescent="0.15">
      <c r="A1603" s="6" t="s">
        <v>234</v>
      </c>
      <c r="B1603" s="8" t="s">
        <v>2846</v>
      </c>
      <c r="C1603" s="6" t="str">
        <f>'Ann1 - Step 3'!C1603</f>
        <v>Documentation</v>
      </c>
      <c r="D1603" s="6" t="str">
        <f>'Ann2 - Step 3'!C1603</f>
        <v>Documentation</v>
      </c>
      <c r="E1603" s="6" t="b">
        <f t="shared" si="14"/>
        <v>0</v>
      </c>
      <c r="F1603" s="6"/>
      <c r="G1603" s="6" t="str">
        <f t="shared" si="13"/>
        <v>Documentation</v>
      </c>
    </row>
    <row r="1604" spans="1:7" ht="14" x14ac:dyDescent="0.15">
      <c r="A1604" s="6" t="s">
        <v>234</v>
      </c>
      <c r="B1604" s="8" t="s">
        <v>2847</v>
      </c>
      <c r="C1604" s="6" t="str">
        <f>'Ann1 - Step 3'!C1604</f>
        <v>Testing</v>
      </c>
      <c r="D1604" s="6" t="str">
        <f>'Ann2 - Step 3'!C1604</f>
        <v>Build &amp; Operation</v>
      </c>
      <c r="E1604" s="6" t="b">
        <f t="shared" si="14"/>
        <v>1</v>
      </c>
      <c r="F1604" s="30" t="s">
        <v>30</v>
      </c>
      <c r="G1604" s="6" t="str">
        <f t="shared" si="13"/>
        <v>Coding Pattern</v>
      </c>
    </row>
    <row r="1605" spans="1:7" ht="14" x14ac:dyDescent="0.15">
      <c r="A1605" s="6" t="s">
        <v>234</v>
      </c>
      <c r="B1605" s="8" t="s">
        <v>2848</v>
      </c>
      <c r="C1605" s="6" t="str">
        <f>'Ann1 - Step 3'!C1605</f>
        <v>Testing</v>
      </c>
      <c r="D1605" s="6" t="str">
        <f>'Ann2 - Step 3'!C1605</f>
        <v>Testing</v>
      </c>
      <c r="E1605" s="6" t="b">
        <f t="shared" si="14"/>
        <v>0</v>
      </c>
      <c r="F1605" s="6"/>
      <c r="G1605" s="6" t="str">
        <f t="shared" si="13"/>
        <v>Testing</v>
      </c>
    </row>
    <row r="1606" spans="1:7" ht="14" x14ac:dyDescent="0.15">
      <c r="A1606" s="6" t="s">
        <v>234</v>
      </c>
      <c r="B1606" s="8" t="s">
        <v>2849</v>
      </c>
      <c r="C1606" s="6" t="str">
        <f>'Ann1 - Step 3'!C1606</f>
        <v>Task Execution</v>
      </c>
      <c r="D1606" s="6" t="str">
        <f>'Ann2 - Step 3'!C1606</f>
        <v>Coding Pattern</v>
      </c>
      <c r="E1606" s="6" t="b">
        <f t="shared" si="14"/>
        <v>1</v>
      </c>
      <c r="F1606" s="30" t="s">
        <v>18</v>
      </c>
      <c r="G1606" s="6" t="str">
        <f t="shared" si="13"/>
        <v>Task Execution</v>
      </c>
    </row>
    <row r="1607" spans="1:7" ht="28" x14ac:dyDescent="0.15">
      <c r="A1607" s="6" t="s">
        <v>234</v>
      </c>
      <c r="B1607" s="8" t="s">
        <v>2850</v>
      </c>
      <c r="C1607" s="6" t="str">
        <f>'Ann1 - Step 3'!C1607</f>
        <v>Task Execution</v>
      </c>
      <c r="D1607" s="6" t="str">
        <f>'Ann2 - Step 3'!C1607</f>
        <v>Security</v>
      </c>
      <c r="E1607" s="6" t="b">
        <f t="shared" si="14"/>
        <v>1</v>
      </c>
      <c r="F1607" s="30" t="s">
        <v>18</v>
      </c>
      <c r="G1607" s="6" t="str">
        <f t="shared" si="13"/>
        <v>Task Execution</v>
      </c>
    </row>
    <row r="1608" spans="1:7" ht="14" x14ac:dyDescent="0.15">
      <c r="A1608" s="6" t="s">
        <v>234</v>
      </c>
      <c r="B1608" s="8" t="s">
        <v>2851</v>
      </c>
      <c r="C1608" s="6" t="str">
        <f>'Ann1 - Step 3'!C1608</f>
        <v>Testing</v>
      </c>
      <c r="D1608" s="6" t="str">
        <f>'Ann2 - Step 3'!C1608</f>
        <v>Testing</v>
      </c>
      <c r="E1608" s="6" t="b">
        <f t="shared" si="14"/>
        <v>0</v>
      </c>
      <c r="F1608" s="6"/>
      <c r="G1608" s="6" t="str">
        <f t="shared" si="13"/>
        <v>Testing</v>
      </c>
    </row>
    <row r="1609" spans="1:7" ht="14" x14ac:dyDescent="0.15">
      <c r="A1609" s="6" t="s">
        <v>869</v>
      </c>
      <c r="B1609" s="8" t="s">
        <v>2852</v>
      </c>
      <c r="C1609" s="6" t="str">
        <f>'Ann1 - Step 3'!C1609</f>
        <v>Commit&amp;PR rule</v>
      </c>
      <c r="D1609" s="6" t="str">
        <f>'Ann2 - Step 3'!C1609</f>
        <v>Build &amp; Operation</v>
      </c>
      <c r="E1609" s="6" t="b">
        <f t="shared" si="14"/>
        <v>1</v>
      </c>
      <c r="F1609" s="30" t="s">
        <v>12</v>
      </c>
      <c r="G1609" s="6" t="str">
        <f t="shared" si="13"/>
        <v>Commit&amp;PR rule</v>
      </c>
    </row>
    <row r="1610" spans="1:7" ht="14" x14ac:dyDescent="0.15">
      <c r="A1610" s="6" t="s">
        <v>239</v>
      </c>
      <c r="B1610" s="8" t="s">
        <v>2853</v>
      </c>
      <c r="C1610" s="6" t="str">
        <f>'Ann1 - Step 3'!C1610</f>
        <v>Commit&amp;PR rule</v>
      </c>
      <c r="D1610" s="6" t="str">
        <f>'Ann2 - Step 3'!C1610</f>
        <v>Commit&amp;PR rule</v>
      </c>
      <c r="E1610" s="6" t="b">
        <f t="shared" si="14"/>
        <v>0</v>
      </c>
      <c r="F1610" s="6"/>
      <c r="G1610" s="6" t="str">
        <f t="shared" si="13"/>
        <v>Commit&amp;PR rule</v>
      </c>
    </row>
    <row r="1611" spans="1:7" ht="14" x14ac:dyDescent="0.15">
      <c r="A1611" s="6" t="s">
        <v>239</v>
      </c>
      <c r="B1611" s="8" t="s">
        <v>2854</v>
      </c>
      <c r="C1611" s="6" t="str">
        <f>'Ann1 - Step 3'!C1611</f>
        <v>Build &amp; Operation</v>
      </c>
      <c r="D1611" s="6" t="str">
        <f>'Ann2 - Step 3'!C1611</f>
        <v>Build &amp; Operation</v>
      </c>
      <c r="E1611" s="6" t="b">
        <f t="shared" si="14"/>
        <v>0</v>
      </c>
      <c r="F1611" s="6"/>
      <c r="G1611" s="6" t="str">
        <f t="shared" si="13"/>
        <v>Build &amp; Operation</v>
      </c>
    </row>
    <row r="1612" spans="1:7" ht="28" x14ac:dyDescent="0.15">
      <c r="A1612" s="6" t="s">
        <v>249</v>
      </c>
      <c r="B1612" s="8" t="s">
        <v>2855</v>
      </c>
      <c r="C1612" s="6" t="str">
        <f>'Ann1 - Step 3'!C1612</f>
        <v>Code Review</v>
      </c>
      <c r="D1612" s="6" t="str">
        <f>'Ann2 - Step 3'!C1612</f>
        <v>Code Review</v>
      </c>
      <c r="E1612" s="6" t="b">
        <f t="shared" si="14"/>
        <v>0</v>
      </c>
      <c r="F1612" s="6"/>
      <c r="G1612" s="6" t="str">
        <f t="shared" si="13"/>
        <v>Code Review</v>
      </c>
    </row>
    <row r="1613" spans="1:7" ht="14" x14ac:dyDescent="0.15">
      <c r="A1613" s="6" t="s">
        <v>249</v>
      </c>
      <c r="B1613" s="8" t="s">
        <v>2856</v>
      </c>
      <c r="C1613" s="6" t="str">
        <f>'Ann1 - Step 3'!C1613</f>
        <v>Testing</v>
      </c>
      <c r="D1613" s="6" t="str">
        <f>'Ann2 - Step 3'!C1613</f>
        <v>Testing</v>
      </c>
      <c r="E1613" s="6" t="b">
        <f t="shared" si="14"/>
        <v>0</v>
      </c>
      <c r="F1613" s="6"/>
      <c r="G1613" s="6" t="str">
        <f t="shared" si="13"/>
        <v>Testing</v>
      </c>
    </row>
    <row r="1614" spans="1:7" ht="14" x14ac:dyDescent="0.15">
      <c r="A1614" s="6" t="s">
        <v>249</v>
      </c>
      <c r="B1614" s="8" t="s">
        <v>2857</v>
      </c>
      <c r="C1614" s="6" t="str">
        <f>'Ann1 - Step 3'!C1614</f>
        <v>Documentation</v>
      </c>
      <c r="D1614" s="6" t="str">
        <f>'Ann2 - Step 3'!C1614</f>
        <v>Testing</v>
      </c>
      <c r="E1614" s="6" t="b">
        <f t="shared" si="14"/>
        <v>1</v>
      </c>
      <c r="F1614" s="30" t="s">
        <v>23</v>
      </c>
      <c r="G1614" s="6" t="str">
        <f t="shared" si="13"/>
        <v>Documentation</v>
      </c>
    </row>
    <row r="1615" spans="1:7" ht="14" x14ac:dyDescent="0.15">
      <c r="A1615" s="6" t="s">
        <v>1485</v>
      </c>
      <c r="B1615" s="8" t="s">
        <v>2858</v>
      </c>
      <c r="C1615" s="6" t="str">
        <f>'Ann1 - Step 3'!C1615</f>
        <v>Task Execution</v>
      </c>
      <c r="D1615" s="6" t="str">
        <f>'Ann2 - Step 3'!C1615</f>
        <v>Performance</v>
      </c>
      <c r="E1615" s="6" t="b">
        <f t="shared" si="14"/>
        <v>1</v>
      </c>
      <c r="F1615" s="30" t="s">
        <v>18</v>
      </c>
      <c r="G1615" s="6" t="str">
        <f t="shared" si="13"/>
        <v>Task Execution</v>
      </c>
    </row>
    <row r="1616" spans="1:7" ht="14" x14ac:dyDescent="0.15">
      <c r="A1616" s="6" t="s">
        <v>1739</v>
      </c>
      <c r="B1616" s="8" t="s">
        <v>2859</v>
      </c>
      <c r="C1616" s="6" t="str">
        <f>'Ann1 - Step 3'!C1616</f>
        <v>Coding Pattern</v>
      </c>
      <c r="D1616" s="6" t="str">
        <f>'Ann2 - Step 3'!C1616</f>
        <v>Performance</v>
      </c>
      <c r="E1616" s="6" t="b">
        <f t="shared" si="14"/>
        <v>1</v>
      </c>
      <c r="F1616" s="30" t="s">
        <v>30</v>
      </c>
      <c r="G1616" s="6" t="str">
        <f t="shared" si="13"/>
        <v>Coding Pattern</v>
      </c>
    </row>
    <row r="1617" spans="1:7" ht="14" x14ac:dyDescent="0.15">
      <c r="A1617" s="6" t="s">
        <v>256</v>
      </c>
      <c r="B1617" s="8" t="s">
        <v>2860</v>
      </c>
      <c r="C1617" s="6" t="str">
        <f>'Ann1 - Step 3'!C1617</f>
        <v>Task Execution</v>
      </c>
      <c r="D1617" s="6" t="str">
        <f>'Ann2 - Step 3'!C1617</f>
        <v>Build &amp; Operation</v>
      </c>
      <c r="E1617" s="6" t="b">
        <f t="shared" si="14"/>
        <v>1</v>
      </c>
      <c r="F1617" s="30" t="s">
        <v>136</v>
      </c>
      <c r="G1617" s="6" t="str">
        <f t="shared" si="13"/>
        <v>Build &amp; Operation</v>
      </c>
    </row>
    <row r="1618" spans="1:7" ht="14" x14ac:dyDescent="0.15">
      <c r="A1618" s="6" t="s">
        <v>256</v>
      </c>
      <c r="B1618" s="8" t="s">
        <v>2861</v>
      </c>
      <c r="C1618" s="6" t="str">
        <f>'Ann1 - Step 3'!C1618</f>
        <v>Task Execution</v>
      </c>
      <c r="D1618" s="6" t="str">
        <f>'Ann2 - Step 3'!C1618</f>
        <v>Task Execution</v>
      </c>
      <c r="E1618" s="6" t="b">
        <f t="shared" si="14"/>
        <v>0</v>
      </c>
      <c r="F1618" s="6"/>
      <c r="G1618" s="6" t="str">
        <f t="shared" si="13"/>
        <v>Task Execution</v>
      </c>
    </row>
    <row r="1619" spans="1:7" ht="14" x14ac:dyDescent="0.15">
      <c r="A1619" s="31" t="s">
        <v>32</v>
      </c>
      <c r="B1619" s="8" t="s">
        <v>2862</v>
      </c>
      <c r="C1619" s="6" t="str">
        <f>'Ann1 - Step 3'!C1619</f>
        <v>Testing</v>
      </c>
      <c r="D1619" s="6" t="str">
        <f>'Ann2 - Step 3'!C1619</f>
        <v>Testing</v>
      </c>
      <c r="E1619" s="6" t="b">
        <f t="shared" si="14"/>
        <v>0</v>
      </c>
      <c r="F1619" s="30"/>
      <c r="G1619" s="6" t="str">
        <f t="shared" si="13"/>
        <v>Testing</v>
      </c>
    </row>
    <row r="1620" spans="1:7" ht="14" x14ac:dyDescent="0.15">
      <c r="A1620" s="6" t="s">
        <v>32</v>
      </c>
      <c r="B1620" s="8" t="s">
        <v>2863</v>
      </c>
      <c r="C1620" s="6" t="str">
        <f>'Ann1 - Step 3'!C1620</f>
        <v>Task Execution</v>
      </c>
      <c r="D1620" s="6" t="str">
        <f>'Ann2 - Step 3'!C1620</f>
        <v>Coding Pattern</v>
      </c>
      <c r="E1620" s="6" t="b">
        <f t="shared" si="14"/>
        <v>1</v>
      </c>
      <c r="F1620" s="30" t="s">
        <v>30</v>
      </c>
      <c r="G1620" s="6" t="str">
        <f t="shared" si="13"/>
        <v>Coding Pattern</v>
      </c>
    </row>
    <row r="1621" spans="1:7" ht="14" x14ac:dyDescent="0.15">
      <c r="A1621" s="6" t="s">
        <v>934</v>
      </c>
      <c r="B1621" s="8" t="s">
        <v>2864</v>
      </c>
      <c r="C1621" s="6" t="str">
        <f>'Ann1 - Step 3'!C1621</f>
        <v>Coding Style</v>
      </c>
      <c r="D1621" s="6" t="str">
        <f>'Ann2 - Step 3'!C1621</f>
        <v>Coding Style</v>
      </c>
      <c r="E1621" s="6" t="b">
        <f t="shared" si="14"/>
        <v>0</v>
      </c>
      <c r="F1621" s="6"/>
      <c r="G1621" s="6" t="str">
        <f t="shared" si="13"/>
        <v>Coding Style</v>
      </c>
    </row>
    <row r="1622" spans="1:7" ht="14" x14ac:dyDescent="0.15">
      <c r="A1622" s="6" t="s">
        <v>289</v>
      </c>
      <c r="B1622" s="8" t="s">
        <v>2865</v>
      </c>
      <c r="C1622" s="6" t="str">
        <f>'Ann1 - Step 3'!C1622</f>
        <v>Coding Pattern</v>
      </c>
      <c r="D1622" s="6" t="str">
        <f>'Ann2 - Step 3'!C1622</f>
        <v>Coding Pattern</v>
      </c>
      <c r="E1622" s="6" t="b">
        <f t="shared" si="14"/>
        <v>0</v>
      </c>
      <c r="F1622" s="6"/>
      <c r="G1622" s="6" t="str">
        <f t="shared" si="13"/>
        <v>Coding Pattern</v>
      </c>
    </row>
    <row r="1623" spans="1:7" ht="14" x14ac:dyDescent="0.15">
      <c r="A1623" s="6" t="s">
        <v>946</v>
      </c>
      <c r="B1623" s="8" t="s">
        <v>2866</v>
      </c>
      <c r="C1623" s="6" t="str">
        <f>'Ann1 - Step 3'!C1623</f>
        <v>Coding Style</v>
      </c>
      <c r="D1623" s="6" t="str">
        <f>'Ann2 - Step 3'!C1623</f>
        <v>Coding Style</v>
      </c>
      <c r="E1623" s="6" t="b">
        <f t="shared" si="14"/>
        <v>0</v>
      </c>
      <c r="F1623" s="6"/>
      <c r="G1623" s="6" t="str">
        <f t="shared" si="13"/>
        <v>Coding Style</v>
      </c>
    </row>
    <row r="1624" spans="1:7" ht="14" x14ac:dyDescent="0.15">
      <c r="A1624" s="6" t="s">
        <v>946</v>
      </c>
      <c r="B1624" s="8" t="s">
        <v>2867</v>
      </c>
      <c r="C1624" s="6" t="str">
        <f>'Ann1 - Step 3'!C1624</f>
        <v>Documentation</v>
      </c>
      <c r="D1624" s="6" t="str">
        <f>'Ann2 - Step 3'!C1624</f>
        <v>Documentation</v>
      </c>
      <c r="E1624" s="6" t="b">
        <f t="shared" si="14"/>
        <v>0</v>
      </c>
      <c r="F1624" s="30"/>
      <c r="G1624" s="6" t="str">
        <f t="shared" si="13"/>
        <v>Documentation</v>
      </c>
    </row>
    <row r="1625" spans="1:7" ht="14" x14ac:dyDescent="0.15">
      <c r="A1625" s="31" t="s">
        <v>946</v>
      </c>
      <c r="B1625" s="8" t="s">
        <v>2868</v>
      </c>
      <c r="C1625" s="6" t="str">
        <f>'Ann1 - Step 3'!C1625</f>
        <v>Documentation</v>
      </c>
      <c r="D1625" s="6" t="str">
        <f>'Ann2 - Step 3'!C1625</f>
        <v>Documentation</v>
      </c>
      <c r="E1625" s="6" t="b">
        <f t="shared" si="14"/>
        <v>0</v>
      </c>
      <c r="F1625" s="30"/>
      <c r="G1625" s="6" t="str">
        <f t="shared" si="13"/>
        <v>Documentation</v>
      </c>
    </row>
    <row r="1626" spans="1:7" ht="14" x14ac:dyDescent="0.15">
      <c r="A1626" s="6" t="s">
        <v>946</v>
      </c>
      <c r="B1626" s="8" t="s">
        <v>2869</v>
      </c>
      <c r="C1626" s="6" t="str">
        <f>'Ann1 - Step 3'!C1626</f>
        <v>Documentation</v>
      </c>
      <c r="D1626" s="6" t="str">
        <f>'Ann2 - Step 3'!C1626</f>
        <v>Documentation</v>
      </c>
      <c r="E1626" s="6" t="b">
        <f t="shared" si="14"/>
        <v>0</v>
      </c>
      <c r="F1626" s="30"/>
      <c r="G1626" s="6" t="str">
        <f t="shared" si="13"/>
        <v>Documentation</v>
      </c>
    </row>
    <row r="1627" spans="1:7" ht="14" x14ac:dyDescent="0.15">
      <c r="A1627" s="6" t="s">
        <v>946</v>
      </c>
      <c r="B1627" s="8" t="s">
        <v>2870</v>
      </c>
      <c r="C1627" s="6" t="str">
        <f>'Ann1 - Step 3'!C1627</f>
        <v>Testing</v>
      </c>
      <c r="D1627" s="6" t="str">
        <f>'Ann2 - Step 3'!C1627</f>
        <v>Testing</v>
      </c>
      <c r="E1627" s="6" t="b">
        <f t="shared" si="14"/>
        <v>0</v>
      </c>
      <c r="F1627" s="6"/>
      <c r="G1627" s="6" t="str">
        <f t="shared" si="13"/>
        <v>Testing</v>
      </c>
    </row>
    <row r="1628" spans="1:7" ht="14" x14ac:dyDescent="0.15">
      <c r="A1628" s="6" t="s">
        <v>950</v>
      </c>
      <c r="B1628" s="8" t="s">
        <v>2871</v>
      </c>
      <c r="C1628" s="6" t="str">
        <f>'Ann1 - Step 3'!C1628</f>
        <v>Coding Style</v>
      </c>
      <c r="D1628" s="6" t="str">
        <f>'Ann2 - Step 3'!C1628</f>
        <v>Coding Style</v>
      </c>
      <c r="E1628" s="6" t="b">
        <f t="shared" si="14"/>
        <v>0</v>
      </c>
      <c r="F1628" s="6"/>
      <c r="G1628" s="6" t="str">
        <f t="shared" si="13"/>
        <v>Coding Style</v>
      </c>
    </row>
    <row r="1629" spans="1:7" ht="14" x14ac:dyDescent="0.15">
      <c r="A1629" s="31" t="s">
        <v>950</v>
      </c>
      <c r="B1629" s="8" t="s">
        <v>2872</v>
      </c>
      <c r="C1629" s="6" t="str">
        <f>'Ann1 - Step 3'!C1629</f>
        <v>Commit&amp;PR rule</v>
      </c>
      <c r="D1629" s="6" t="str">
        <f>'Ann2 - Step 3'!C1629</f>
        <v>Commit&amp;PR rule</v>
      </c>
      <c r="E1629" s="6" t="b">
        <f t="shared" si="14"/>
        <v>0</v>
      </c>
      <c r="F1629" s="30"/>
      <c r="G1629" s="6" t="str">
        <f t="shared" si="13"/>
        <v>Commit&amp;PR rule</v>
      </c>
    </row>
    <row r="1630" spans="1:7" ht="14" x14ac:dyDescent="0.15">
      <c r="A1630" s="6" t="s">
        <v>950</v>
      </c>
      <c r="B1630" s="8" t="s">
        <v>2873</v>
      </c>
      <c r="C1630" s="6" t="str">
        <f>'Ann1 - Step 3'!C1630</f>
        <v>Coding Pattern</v>
      </c>
      <c r="D1630" s="6" t="str">
        <f>'Ann2 - Step 3'!C1630</f>
        <v>Coding Pattern</v>
      </c>
      <c r="E1630" s="6" t="b">
        <f t="shared" si="14"/>
        <v>0</v>
      </c>
      <c r="F1630" s="30"/>
      <c r="G1630" s="6" t="str">
        <f t="shared" si="13"/>
        <v>Coding Pattern</v>
      </c>
    </row>
    <row r="1631" spans="1:7" ht="14" x14ac:dyDescent="0.15">
      <c r="A1631" s="6" t="s">
        <v>298</v>
      </c>
      <c r="B1631" s="8" t="s">
        <v>2874</v>
      </c>
      <c r="C1631" s="6" t="str">
        <f>'Ann1 - Step 3'!C1631</f>
        <v>Commit&amp;PR rule</v>
      </c>
      <c r="D1631" s="6" t="str">
        <f>'Ann2 - Step 3'!C1631</f>
        <v>Writing Style Preference</v>
      </c>
      <c r="E1631" s="6" t="b">
        <f t="shared" si="14"/>
        <v>1</v>
      </c>
      <c r="F1631" s="30" t="s">
        <v>77</v>
      </c>
      <c r="G1631" s="6" t="str">
        <f t="shared" si="13"/>
        <v>Writing Style Preference</v>
      </c>
    </row>
    <row r="1632" spans="1:7" ht="14" x14ac:dyDescent="0.15">
      <c r="A1632" s="6" t="s">
        <v>298</v>
      </c>
      <c r="B1632" s="8" t="s">
        <v>2875</v>
      </c>
      <c r="C1632" s="6" t="str">
        <f>'Ann1 - Step 3'!C1632</f>
        <v>Commit&amp;PR rule</v>
      </c>
      <c r="D1632" s="6" t="str">
        <f>'Ann2 - Step 3'!C1632</f>
        <v>Commit&amp;PR rule</v>
      </c>
      <c r="E1632" s="6" t="b">
        <f t="shared" si="14"/>
        <v>0</v>
      </c>
      <c r="F1632" s="6"/>
      <c r="G1632" s="6" t="str">
        <f t="shared" si="13"/>
        <v>Commit&amp;PR rule</v>
      </c>
    </row>
    <row r="1633" spans="1:7" ht="14" x14ac:dyDescent="0.15">
      <c r="A1633" s="6" t="s">
        <v>298</v>
      </c>
      <c r="B1633" s="8" t="s">
        <v>2876</v>
      </c>
      <c r="C1633" s="6" t="str">
        <f>'Ann1 - Step 3'!C1633</f>
        <v>Testing</v>
      </c>
      <c r="D1633" s="6" t="str">
        <f>'Ann2 - Step 3'!C1633</f>
        <v>Testing</v>
      </c>
      <c r="E1633" s="6" t="b">
        <f t="shared" si="14"/>
        <v>0</v>
      </c>
      <c r="F1633" s="6"/>
      <c r="G1633" s="6" t="str">
        <f t="shared" si="13"/>
        <v>Testing</v>
      </c>
    </row>
    <row r="1634" spans="1:7" ht="14" x14ac:dyDescent="0.15">
      <c r="A1634" s="6" t="s">
        <v>298</v>
      </c>
      <c r="B1634" s="8" t="s">
        <v>2877</v>
      </c>
      <c r="C1634" s="6" t="str">
        <f>'Ann1 - Step 3'!C1634</f>
        <v>Task Execution</v>
      </c>
      <c r="D1634" s="6" t="str">
        <f>'Ann2 - Step 3'!C1634</f>
        <v>Build &amp; Operation</v>
      </c>
      <c r="E1634" s="6" t="b">
        <f t="shared" si="14"/>
        <v>1</v>
      </c>
      <c r="F1634" s="30" t="s">
        <v>18</v>
      </c>
      <c r="G1634" s="6" t="str">
        <f t="shared" si="13"/>
        <v>Task Execution</v>
      </c>
    </row>
    <row r="1635" spans="1:7" ht="14" x14ac:dyDescent="0.15">
      <c r="A1635" s="6" t="s">
        <v>298</v>
      </c>
      <c r="B1635" s="8" t="s">
        <v>2878</v>
      </c>
      <c r="C1635" s="6" t="str">
        <f>'Ann1 - Step 3'!C1635</f>
        <v>Testing</v>
      </c>
      <c r="D1635" s="6" t="str">
        <f>'Ann2 - Step 3'!C1635</f>
        <v>Testing</v>
      </c>
      <c r="E1635" s="6" t="b">
        <f t="shared" si="14"/>
        <v>0</v>
      </c>
      <c r="F1635" s="6"/>
      <c r="G1635" s="6" t="str">
        <f t="shared" si="13"/>
        <v>Testing</v>
      </c>
    </row>
    <row r="1636" spans="1:7" ht="14" x14ac:dyDescent="0.15">
      <c r="A1636" s="6" t="s">
        <v>303</v>
      </c>
      <c r="B1636" s="8" t="s">
        <v>2879</v>
      </c>
      <c r="C1636" s="6" t="str">
        <f>'Ann1 - Step 3'!C1636</f>
        <v>Coding Style</v>
      </c>
      <c r="D1636" s="6" t="str">
        <f>'Ann2 - Step 3'!C1636</f>
        <v>Coding Style</v>
      </c>
      <c r="E1636" s="6" t="b">
        <f t="shared" si="14"/>
        <v>0</v>
      </c>
      <c r="F1636" s="6"/>
      <c r="G1636" s="6" t="str">
        <f t="shared" si="13"/>
        <v>Coding Style</v>
      </c>
    </row>
    <row r="1637" spans="1:7" ht="14" x14ac:dyDescent="0.15">
      <c r="A1637" s="6" t="s">
        <v>303</v>
      </c>
      <c r="B1637" s="8" t="s">
        <v>2880</v>
      </c>
      <c r="C1637" s="6" t="str">
        <f>'Ann1 - Step 3'!C1637</f>
        <v>Commit&amp;PR rule</v>
      </c>
      <c r="D1637" s="6" t="str">
        <f>'Ann2 - Step 3'!C1637</f>
        <v>Commit&amp;PR rule</v>
      </c>
      <c r="E1637" s="6" t="b">
        <f t="shared" si="14"/>
        <v>0</v>
      </c>
      <c r="F1637" s="6"/>
      <c r="G1637" s="6" t="str">
        <f t="shared" si="13"/>
        <v>Commit&amp;PR rule</v>
      </c>
    </row>
    <row r="1638" spans="1:7" ht="14" x14ac:dyDescent="0.15">
      <c r="A1638" s="6" t="s">
        <v>955</v>
      </c>
      <c r="B1638" s="8" t="s">
        <v>2881</v>
      </c>
      <c r="C1638" s="6" t="str">
        <f>'Ann1 - Step 3'!C1638</f>
        <v>Task Execution</v>
      </c>
      <c r="D1638" s="6" t="str">
        <f>'Ann2 - Step 3'!C1638</f>
        <v>Task Execution</v>
      </c>
      <c r="E1638" s="6" t="b">
        <f t="shared" si="14"/>
        <v>0</v>
      </c>
      <c r="F1638" s="6"/>
      <c r="G1638" s="6" t="str">
        <f t="shared" si="13"/>
        <v>Task Execution</v>
      </c>
    </row>
    <row r="1639" spans="1:7" ht="14" x14ac:dyDescent="0.15">
      <c r="A1639" s="6" t="s">
        <v>955</v>
      </c>
      <c r="B1639" s="8" t="s">
        <v>2882</v>
      </c>
      <c r="C1639" s="6" t="str">
        <f>'Ann1 - Step 3'!C1639</f>
        <v>Task Execution</v>
      </c>
      <c r="D1639" s="6" t="str">
        <f>'Ann2 - Step 3'!C1639</f>
        <v>Task Execution</v>
      </c>
      <c r="E1639" s="6" t="b">
        <f t="shared" si="14"/>
        <v>0</v>
      </c>
      <c r="F1639" s="6"/>
      <c r="G1639" s="6" t="str">
        <f t="shared" si="13"/>
        <v>Task Execution</v>
      </c>
    </row>
    <row r="1640" spans="1:7" ht="14" x14ac:dyDescent="0.15">
      <c r="A1640" s="6" t="s">
        <v>955</v>
      </c>
      <c r="B1640" s="8" t="s">
        <v>2883</v>
      </c>
      <c r="C1640" s="6" t="str">
        <f>'Ann1 - Step 3'!C1640</f>
        <v>Coding Pattern</v>
      </c>
      <c r="D1640" s="6" t="str">
        <f>'Ann2 - Step 3'!C1640</f>
        <v>Coding Pattern</v>
      </c>
      <c r="E1640" s="6" t="b">
        <f t="shared" si="14"/>
        <v>0</v>
      </c>
      <c r="F1640" s="6"/>
      <c r="G1640" s="6" t="str">
        <f t="shared" si="13"/>
        <v>Coding Pattern</v>
      </c>
    </row>
    <row r="1641" spans="1:7" ht="14" x14ac:dyDescent="0.15">
      <c r="A1641" s="6" t="s">
        <v>955</v>
      </c>
      <c r="B1641" s="8" t="s">
        <v>2884</v>
      </c>
      <c r="C1641" s="6" t="str">
        <f>'Ann1 - Step 3'!C1641</f>
        <v>Build &amp; Operation</v>
      </c>
      <c r="D1641" s="6" t="str">
        <f>'Ann2 - Step 3'!C1641</f>
        <v>Build &amp; Operation</v>
      </c>
      <c r="E1641" s="6" t="b">
        <f t="shared" si="14"/>
        <v>0</v>
      </c>
      <c r="F1641" s="6"/>
      <c r="G1641" s="6" t="str">
        <f t="shared" si="13"/>
        <v>Build &amp; Operation</v>
      </c>
    </row>
    <row r="1642" spans="1:7" ht="14" x14ac:dyDescent="0.15">
      <c r="A1642" s="31" t="s">
        <v>37</v>
      </c>
      <c r="B1642" s="8" t="s">
        <v>2885</v>
      </c>
      <c r="C1642" s="6" t="str">
        <f>'Ann1 - Step 3'!C1642</f>
        <v>Task Execution</v>
      </c>
      <c r="D1642" s="6" t="str">
        <f>'Ann2 - Step 3'!C1642</f>
        <v>Task Execution</v>
      </c>
      <c r="E1642" s="6" t="b">
        <f t="shared" si="14"/>
        <v>0</v>
      </c>
      <c r="F1642" s="30"/>
      <c r="G1642" s="6" t="str">
        <f t="shared" si="13"/>
        <v>Task Execution</v>
      </c>
    </row>
    <row r="1643" spans="1:7" ht="14" x14ac:dyDescent="0.15">
      <c r="A1643" s="6" t="s">
        <v>37</v>
      </c>
      <c r="B1643" s="8" t="s">
        <v>2886</v>
      </c>
      <c r="C1643" s="6" t="str">
        <f>'Ann1 - Step 3'!C1643</f>
        <v>Task Execution</v>
      </c>
      <c r="D1643" s="6" t="str">
        <f>'Ann2 - Step 3'!C1643</f>
        <v>Task Execution</v>
      </c>
      <c r="E1643" s="6" t="b">
        <f t="shared" si="14"/>
        <v>0</v>
      </c>
      <c r="F1643" s="6"/>
      <c r="G1643" s="6" t="str">
        <f t="shared" si="13"/>
        <v>Task Execution</v>
      </c>
    </row>
    <row r="1644" spans="1:7" ht="14" x14ac:dyDescent="0.15">
      <c r="A1644" s="6" t="s">
        <v>327</v>
      </c>
      <c r="B1644" s="8" t="s">
        <v>2887</v>
      </c>
      <c r="C1644" s="6" t="str">
        <f>'Ann1 - Step 3'!C1644</f>
        <v>Commit&amp;PR rule</v>
      </c>
      <c r="D1644" s="6" t="str">
        <f>'Ann2 - Step 3'!C1644</f>
        <v>Writing Style Preference</v>
      </c>
      <c r="E1644" s="6" t="b">
        <f t="shared" si="14"/>
        <v>1</v>
      </c>
      <c r="F1644" s="30" t="s">
        <v>77</v>
      </c>
      <c r="G1644" s="6" t="str">
        <f t="shared" si="13"/>
        <v>Writing Style Preference</v>
      </c>
    </row>
    <row r="1645" spans="1:7" ht="14" x14ac:dyDescent="0.15">
      <c r="A1645" s="6" t="s">
        <v>971</v>
      </c>
      <c r="B1645" s="8" t="s">
        <v>2888</v>
      </c>
      <c r="C1645" s="6" t="str">
        <f>'Ann1 - Step 3'!C1645</f>
        <v>Coding Style</v>
      </c>
      <c r="D1645" s="6" t="str">
        <f>'Ann2 - Step 3'!C1645</f>
        <v>Coding Pattern</v>
      </c>
      <c r="E1645" s="6" t="b">
        <f t="shared" si="14"/>
        <v>1</v>
      </c>
      <c r="F1645" s="30" t="s">
        <v>30</v>
      </c>
      <c r="G1645" s="6" t="str">
        <f t="shared" si="13"/>
        <v>Coding Pattern</v>
      </c>
    </row>
    <row r="1646" spans="1:7" ht="14" x14ac:dyDescent="0.15">
      <c r="A1646" s="6" t="s">
        <v>347</v>
      </c>
      <c r="B1646" s="8" t="s">
        <v>2761</v>
      </c>
      <c r="C1646" s="6" t="str">
        <f>'Ann1 - Step 3'!C1646</f>
        <v>Coding Style</v>
      </c>
      <c r="D1646" s="6" t="str">
        <f>'Ann2 - Step 3'!C1646</f>
        <v>Coding Style</v>
      </c>
      <c r="E1646" s="6" t="b">
        <f t="shared" si="14"/>
        <v>0</v>
      </c>
      <c r="F1646" s="6"/>
      <c r="G1646" s="6" t="str">
        <f t="shared" si="13"/>
        <v>Coding Style</v>
      </c>
    </row>
    <row r="1647" spans="1:7" ht="14" x14ac:dyDescent="0.15">
      <c r="A1647" s="6" t="s">
        <v>351</v>
      </c>
      <c r="B1647" s="8" t="s">
        <v>2889</v>
      </c>
      <c r="C1647" s="6" t="str">
        <f>'Ann1 - Step 3'!C1647</f>
        <v>Build &amp; Operation</v>
      </c>
      <c r="D1647" s="6" t="str">
        <f>'Ann2 - Step 3'!C1647</f>
        <v>Build &amp; Operation</v>
      </c>
      <c r="E1647" s="6" t="b">
        <f t="shared" si="14"/>
        <v>0</v>
      </c>
      <c r="F1647" s="6"/>
      <c r="G1647" s="6" t="str">
        <f t="shared" si="13"/>
        <v>Build &amp; Operation</v>
      </c>
    </row>
    <row r="1648" spans="1:7" ht="14" x14ac:dyDescent="0.15">
      <c r="A1648" s="6" t="s">
        <v>351</v>
      </c>
      <c r="B1648" s="8" t="s">
        <v>2890</v>
      </c>
      <c r="C1648" s="6" t="str">
        <f>'Ann1 - Step 3'!C1648</f>
        <v>Build &amp; Operation</v>
      </c>
      <c r="D1648" s="6" t="str">
        <f>'Ann2 - Step 3'!C1648</f>
        <v>Build &amp; Operation</v>
      </c>
      <c r="E1648" s="6" t="b">
        <f t="shared" si="14"/>
        <v>0</v>
      </c>
      <c r="F1648" s="6"/>
      <c r="G1648" s="6" t="str">
        <f t="shared" si="13"/>
        <v>Build &amp; Operation</v>
      </c>
    </row>
    <row r="1649" spans="1:7" ht="14" x14ac:dyDescent="0.15">
      <c r="A1649" s="6" t="s">
        <v>359</v>
      </c>
      <c r="B1649" s="8" t="s">
        <v>2891</v>
      </c>
      <c r="C1649" s="6" t="str">
        <f>'Ann1 - Step 3'!C1649</f>
        <v>Coding Style</v>
      </c>
      <c r="D1649" s="6" t="str">
        <f>'Ann2 - Step 3'!C1649</f>
        <v>Coding Style</v>
      </c>
      <c r="E1649" s="6" t="b">
        <f t="shared" si="14"/>
        <v>0</v>
      </c>
      <c r="F1649" s="6"/>
      <c r="G1649" s="6" t="str">
        <f t="shared" si="13"/>
        <v>Coding Style</v>
      </c>
    </row>
    <row r="1650" spans="1:7" ht="14" x14ac:dyDescent="0.15">
      <c r="A1650" s="6" t="s">
        <v>359</v>
      </c>
      <c r="B1650" s="8" t="s">
        <v>2892</v>
      </c>
      <c r="C1650" s="6" t="str">
        <f>'Ann1 - Step 3'!C1650</f>
        <v>Code Review</v>
      </c>
      <c r="D1650" s="6" t="str">
        <f>'Ann2 - Step 3'!C1650</f>
        <v>Code Review</v>
      </c>
      <c r="E1650" s="6" t="b">
        <f t="shared" si="14"/>
        <v>0</v>
      </c>
      <c r="F1650" s="6"/>
      <c r="G1650" s="6" t="str">
        <f t="shared" si="13"/>
        <v>Code Review</v>
      </c>
    </row>
    <row r="1651" spans="1:7" ht="14" x14ac:dyDescent="0.15">
      <c r="A1651" s="6" t="s">
        <v>359</v>
      </c>
      <c r="B1651" s="8" t="s">
        <v>2893</v>
      </c>
      <c r="C1651" s="6" t="str">
        <f>'Ann1 - Step 3'!C1651</f>
        <v>Task Execution</v>
      </c>
      <c r="D1651" s="6" t="str">
        <f>'Ann2 - Step 3'!C1651</f>
        <v>Code Review</v>
      </c>
      <c r="E1651" s="6" t="b">
        <f t="shared" si="14"/>
        <v>1</v>
      </c>
      <c r="F1651" s="30" t="s">
        <v>67</v>
      </c>
      <c r="G1651" s="6" t="str">
        <f t="shared" si="13"/>
        <v>Code Review</v>
      </c>
    </row>
    <row r="1652" spans="1:7" ht="14" x14ac:dyDescent="0.15">
      <c r="A1652" s="6" t="s">
        <v>359</v>
      </c>
      <c r="B1652" s="8" t="s">
        <v>2894</v>
      </c>
      <c r="C1652" s="6" t="str">
        <f>'Ann1 - Step 3'!C1652</f>
        <v>Documentation</v>
      </c>
      <c r="D1652" s="6" t="str">
        <f>'Ann2 - Step 3'!C1652</f>
        <v>Documentation</v>
      </c>
      <c r="E1652" s="6" t="b">
        <f t="shared" si="14"/>
        <v>0</v>
      </c>
      <c r="F1652" s="6"/>
      <c r="G1652" s="6" t="str">
        <f t="shared" si="13"/>
        <v>Documentation</v>
      </c>
    </row>
    <row r="1653" spans="1:7" ht="14" x14ac:dyDescent="0.15">
      <c r="A1653" s="6" t="s">
        <v>1003</v>
      </c>
      <c r="B1653" s="8" t="s">
        <v>2895</v>
      </c>
      <c r="C1653" s="6" t="str">
        <f>'Ann1 - Step 3'!C1653</f>
        <v>Task Execution</v>
      </c>
      <c r="D1653" s="6" t="str">
        <f>'Ann2 - Step 3'!C1653</f>
        <v>Task Execution</v>
      </c>
      <c r="E1653" s="6" t="b">
        <f t="shared" si="14"/>
        <v>0</v>
      </c>
      <c r="F1653" s="6"/>
      <c r="G1653" s="6" t="str">
        <f t="shared" si="13"/>
        <v>Task Execution</v>
      </c>
    </row>
    <row r="1654" spans="1:7" ht="14" x14ac:dyDescent="0.15">
      <c r="A1654" s="6" t="s">
        <v>1003</v>
      </c>
      <c r="B1654" s="8" t="s">
        <v>2896</v>
      </c>
      <c r="C1654" s="6" t="str">
        <f>'Ann1 - Step 3'!C1654</f>
        <v>Testing</v>
      </c>
      <c r="D1654" s="6" t="str">
        <f>'Ann2 - Step 3'!C1654</f>
        <v>Testing</v>
      </c>
      <c r="E1654" s="6" t="b">
        <f t="shared" si="14"/>
        <v>0</v>
      </c>
      <c r="F1654" s="6"/>
      <c r="G1654" s="6" t="str">
        <f t="shared" si="13"/>
        <v>Testing</v>
      </c>
    </row>
    <row r="1655" spans="1:7" ht="14" x14ac:dyDescent="0.15">
      <c r="A1655" s="6" t="s">
        <v>1003</v>
      </c>
      <c r="B1655" s="8" t="s">
        <v>2897</v>
      </c>
      <c r="C1655" s="6" t="str">
        <f>'Ann1 - Step 3'!C1655</f>
        <v>Commit&amp;PR rule</v>
      </c>
      <c r="D1655" s="6" t="str">
        <f>'Ann2 - Step 3'!C1655</f>
        <v>Commit&amp;PR rule</v>
      </c>
      <c r="E1655" s="6" t="b">
        <f t="shared" si="14"/>
        <v>0</v>
      </c>
      <c r="F1655" s="6"/>
      <c r="G1655" s="6" t="str">
        <f t="shared" si="13"/>
        <v>Commit&amp;PR rule</v>
      </c>
    </row>
    <row r="1656" spans="1:7" ht="14" x14ac:dyDescent="0.15">
      <c r="A1656" s="6" t="s">
        <v>1003</v>
      </c>
      <c r="B1656" s="8" t="s">
        <v>2898</v>
      </c>
      <c r="C1656" s="6" t="str">
        <f>'Ann1 - Step 3'!C1656</f>
        <v>Build &amp; Operation</v>
      </c>
      <c r="D1656" s="6" t="str">
        <f>'Ann2 - Step 3'!C1656</f>
        <v>Build &amp; Operation</v>
      </c>
      <c r="E1656" s="6" t="b">
        <f t="shared" si="14"/>
        <v>0</v>
      </c>
      <c r="F1656" s="30"/>
      <c r="G1656" s="6" t="str">
        <f t="shared" si="13"/>
        <v>Build &amp; Operation</v>
      </c>
    </row>
    <row r="1657" spans="1:7" ht="14" x14ac:dyDescent="0.15">
      <c r="A1657" s="6" t="s">
        <v>2604</v>
      </c>
      <c r="B1657" s="8" t="s">
        <v>2899</v>
      </c>
      <c r="C1657" s="6" t="str">
        <f>'Ann1 - Step 3'!C1657</f>
        <v>Build &amp; Operation</v>
      </c>
      <c r="D1657" s="6" t="str">
        <f>'Ann2 - Step 3'!C1657</f>
        <v>Build &amp; Operation</v>
      </c>
      <c r="E1657" s="6" t="b">
        <f t="shared" si="14"/>
        <v>0</v>
      </c>
      <c r="F1657" s="6"/>
      <c r="G1657" s="6" t="str">
        <f t="shared" si="13"/>
        <v>Build &amp; Operation</v>
      </c>
    </row>
    <row r="1658" spans="1:7" ht="14" x14ac:dyDescent="0.15">
      <c r="A1658" s="6" t="s">
        <v>384</v>
      </c>
      <c r="B1658" s="8" t="s">
        <v>2900</v>
      </c>
      <c r="C1658" s="6" t="str">
        <f>'Ann1 - Step 3'!C1658</f>
        <v>Coding Pattern</v>
      </c>
      <c r="D1658" s="6" t="str">
        <f>'Ann2 - Step 3'!C1658</f>
        <v>Coding Pattern</v>
      </c>
      <c r="E1658" s="6" t="b">
        <f t="shared" si="14"/>
        <v>0</v>
      </c>
      <c r="F1658" s="6"/>
      <c r="G1658" s="6" t="str">
        <f t="shared" si="13"/>
        <v>Coding Pattern</v>
      </c>
    </row>
    <row r="1659" spans="1:7" ht="14" x14ac:dyDescent="0.15">
      <c r="A1659" s="6" t="s">
        <v>384</v>
      </c>
      <c r="B1659" s="8" t="s">
        <v>2901</v>
      </c>
      <c r="C1659" s="6" t="str">
        <f>'Ann1 - Step 3'!C1659</f>
        <v>Coding Pattern</v>
      </c>
      <c r="D1659" s="6" t="str">
        <f>'Ann2 - Step 3'!C1659</f>
        <v>Coding Pattern</v>
      </c>
      <c r="E1659" s="6" t="b">
        <f t="shared" si="14"/>
        <v>0</v>
      </c>
      <c r="F1659" s="30"/>
      <c r="G1659" s="6" t="str">
        <f t="shared" si="13"/>
        <v>Coding Pattern</v>
      </c>
    </row>
    <row r="1660" spans="1:7" ht="28" x14ac:dyDescent="0.15">
      <c r="A1660" s="6" t="s">
        <v>384</v>
      </c>
      <c r="B1660" s="8" t="s">
        <v>2902</v>
      </c>
      <c r="C1660" s="6" t="str">
        <f>'Ann1 - Step 3'!C1660</f>
        <v>Coding Pattern</v>
      </c>
      <c r="D1660" s="6" t="str">
        <f>'Ann2 - Step 3'!C1660</f>
        <v>Coding Style</v>
      </c>
      <c r="E1660" s="6" t="b">
        <f t="shared" si="14"/>
        <v>1</v>
      </c>
      <c r="F1660" s="30" t="s">
        <v>30</v>
      </c>
      <c r="G1660" s="6" t="str">
        <f t="shared" si="13"/>
        <v>Coding Pattern</v>
      </c>
    </row>
    <row r="1661" spans="1:7" ht="14" x14ac:dyDescent="0.15">
      <c r="A1661" s="6" t="s">
        <v>384</v>
      </c>
      <c r="B1661" s="8" t="s">
        <v>2903</v>
      </c>
      <c r="C1661" s="6" t="str">
        <f>'Ann1 - Step 3'!C1661</f>
        <v>Testing</v>
      </c>
      <c r="D1661" s="6" t="str">
        <f>'Ann2 - Step 3'!C1661</f>
        <v>Testing</v>
      </c>
      <c r="E1661" s="6" t="b">
        <f t="shared" si="14"/>
        <v>0</v>
      </c>
      <c r="F1661" s="6"/>
      <c r="G1661" s="6" t="str">
        <f t="shared" si="13"/>
        <v>Testing</v>
      </c>
    </row>
    <row r="1662" spans="1:7" ht="14" x14ac:dyDescent="0.15">
      <c r="A1662" s="31" t="s">
        <v>384</v>
      </c>
      <c r="B1662" s="8" t="s">
        <v>2904</v>
      </c>
      <c r="C1662" s="6" t="str">
        <f>'Ann1 - Step 3'!C1662</f>
        <v>Commit&amp;PR rule</v>
      </c>
      <c r="D1662" s="6" t="str">
        <f>'Ann2 - Step 3'!C1662</f>
        <v>Commit&amp;PR rule</v>
      </c>
      <c r="E1662" s="6" t="b">
        <f t="shared" si="14"/>
        <v>0</v>
      </c>
      <c r="F1662" s="30"/>
      <c r="G1662" s="6" t="str">
        <f t="shared" si="13"/>
        <v>Commit&amp;PR rule</v>
      </c>
    </row>
    <row r="1663" spans="1:7" ht="14" x14ac:dyDescent="0.15">
      <c r="A1663" s="6" t="s">
        <v>86</v>
      </c>
      <c r="B1663" s="8" t="s">
        <v>2905</v>
      </c>
      <c r="C1663" s="6" t="str">
        <f>'Ann1 - Step 3'!C1663</f>
        <v>Coding Pattern</v>
      </c>
      <c r="D1663" s="6" t="str">
        <f>'Ann2 - Step 3'!C1663</f>
        <v>Coding Pattern</v>
      </c>
      <c r="E1663" s="6" t="b">
        <f t="shared" si="14"/>
        <v>0</v>
      </c>
      <c r="F1663" s="6"/>
      <c r="G1663" s="6" t="str">
        <f t="shared" si="13"/>
        <v>Coding Pattern</v>
      </c>
    </row>
    <row r="1664" spans="1:7" ht="14" x14ac:dyDescent="0.15">
      <c r="A1664" s="6" t="s">
        <v>86</v>
      </c>
      <c r="B1664" s="8" t="s">
        <v>2906</v>
      </c>
      <c r="C1664" s="6" t="str">
        <f>'Ann1 - Step 3'!C1664</f>
        <v>Coding Pattern</v>
      </c>
      <c r="D1664" s="6" t="str">
        <f>'Ann2 - Step 3'!C1664</f>
        <v>Testing</v>
      </c>
      <c r="E1664" s="6" t="b">
        <f t="shared" si="14"/>
        <v>1</v>
      </c>
      <c r="F1664" s="30" t="s">
        <v>88</v>
      </c>
      <c r="G1664" s="6" t="str">
        <f t="shared" si="13"/>
        <v>Testing</v>
      </c>
    </row>
    <row r="1665" spans="1:7" ht="14" x14ac:dyDescent="0.15">
      <c r="A1665" s="6" t="s">
        <v>1514</v>
      </c>
      <c r="B1665" s="8" t="s">
        <v>2907</v>
      </c>
      <c r="C1665" s="6" t="str">
        <f>'Ann1 - Step 3'!C1665</f>
        <v>Build &amp; Operation</v>
      </c>
      <c r="D1665" s="6" t="str">
        <f>'Ann2 - Step 3'!C1665</f>
        <v>Build &amp; Operation</v>
      </c>
      <c r="E1665" s="6" t="b">
        <f t="shared" si="14"/>
        <v>0</v>
      </c>
      <c r="F1665" s="6"/>
      <c r="G1665" s="6" t="str">
        <f t="shared" si="13"/>
        <v>Build &amp; Operation</v>
      </c>
    </row>
    <row r="1666" spans="1:7" ht="14" x14ac:dyDescent="0.15">
      <c r="A1666" s="6" t="s">
        <v>1514</v>
      </c>
      <c r="B1666" s="8" t="s">
        <v>2908</v>
      </c>
      <c r="C1666" s="6" t="str">
        <f>'Ann1 - Step 3'!C1666</f>
        <v>Build &amp; Operation</v>
      </c>
      <c r="D1666" s="6" t="str">
        <f>'Ann2 - Step 3'!C1666</f>
        <v>Build &amp; Operation</v>
      </c>
      <c r="E1666" s="6" t="b">
        <f t="shared" si="14"/>
        <v>0</v>
      </c>
      <c r="F1666" s="6"/>
      <c r="G1666" s="6" t="str">
        <f t="shared" si="13"/>
        <v>Build &amp; Operation</v>
      </c>
    </row>
    <row r="1667" spans="1:7" ht="14" x14ac:dyDescent="0.15">
      <c r="A1667" s="6" t="s">
        <v>1057</v>
      </c>
      <c r="B1667" s="8" t="s">
        <v>2820</v>
      </c>
      <c r="C1667" s="6" t="str">
        <f>'Ann1 - Step 3'!C1667</f>
        <v>Documentation</v>
      </c>
      <c r="D1667" s="6" t="str">
        <f>'Ann2 - Step 3'!C1667</f>
        <v>Documentation</v>
      </c>
      <c r="E1667" s="6" t="b">
        <f t="shared" si="14"/>
        <v>0</v>
      </c>
      <c r="F1667" s="6"/>
      <c r="G1667" s="6" t="str">
        <f t="shared" si="13"/>
        <v>Documentation</v>
      </c>
    </row>
    <row r="1668" spans="1:7" ht="14" x14ac:dyDescent="0.15">
      <c r="A1668" s="6" t="s">
        <v>1057</v>
      </c>
      <c r="B1668" s="8" t="s">
        <v>2821</v>
      </c>
      <c r="C1668" s="6" t="str">
        <f>'Ann1 - Step 3'!C1668</f>
        <v>Writing Style Preference</v>
      </c>
      <c r="D1668" s="6" t="str">
        <f>'Ann2 - Step 3'!C1668</f>
        <v>Writing Style Preference</v>
      </c>
      <c r="E1668" s="6" t="b">
        <f t="shared" si="14"/>
        <v>0</v>
      </c>
      <c r="F1668" s="6"/>
      <c r="G1668" s="6" t="str">
        <f t="shared" si="13"/>
        <v>Writing Style Preference</v>
      </c>
    </row>
    <row r="1669" spans="1:7" ht="14" x14ac:dyDescent="0.15">
      <c r="A1669" s="6" t="s">
        <v>1057</v>
      </c>
      <c r="B1669" s="8" t="s">
        <v>2909</v>
      </c>
      <c r="C1669" s="6" t="str">
        <f>'Ann1 - Step 3'!C1669</f>
        <v>Documentation</v>
      </c>
      <c r="D1669" s="6" t="str">
        <f>'Ann2 - Step 3'!C1669</f>
        <v>Documentation</v>
      </c>
      <c r="E1669" s="6" t="b">
        <f t="shared" si="14"/>
        <v>0</v>
      </c>
      <c r="F1669" s="6"/>
      <c r="G1669" s="6" t="str">
        <f t="shared" si="13"/>
        <v>Documentation</v>
      </c>
    </row>
    <row r="1670" spans="1:7" ht="14" x14ac:dyDescent="0.15">
      <c r="A1670" s="6" t="s">
        <v>1057</v>
      </c>
      <c r="B1670" s="8" t="s">
        <v>2822</v>
      </c>
      <c r="C1670" s="6" t="str">
        <f>'Ann1 - Step 3'!C1670</f>
        <v>Task Execution</v>
      </c>
      <c r="D1670" s="6" t="str">
        <f>'Ann2 - Step 3'!C1670</f>
        <v>Build &amp; Operation</v>
      </c>
      <c r="E1670" s="6" t="b">
        <f t="shared" si="14"/>
        <v>1</v>
      </c>
      <c r="F1670" s="30" t="s">
        <v>136</v>
      </c>
      <c r="G1670" s="6" t="str">
        <f t="shared" si="13"/>
        <v>Build &amp; Operation</v>
      </c>
    </row>
    <row r="1671" spans="1:7" ht="14" x14ac:dyDescent="0.15">
      <c r="A1671" s="6" t="s">
        <v>710</v>
      </c>
      <c r="B1671" s="8" t="s">
        <v>2910</v>
      </c>
      <c r="C1671" s="6" t="str">
        <f>'Ann1 - Step 3'!C1671</f>
        <v>Task Execution</v>
      </c>
      <c r="D1671" s="6" t="str">
        <f>'Ann2 - Step 3'!C1671</f>
        <v>Coding Pattern</v>
      </c>
      <c r="E1671" s="6" t="b">
        <f t="shared" si="14"/>
        <v>1</v>
      </c>
      <c r="F1671" s="30" t="s">
        <v>18</v>
      </c>
      <c r="G1671" s="6" t="str">
        <f t="shared" si="13"/>
        <v>Task Execution</v>
      </c>
    </row>
    <row r="1672" spans="1:7" ht="28" x14ac:dyDescent="0.15">
      <c r="A1672" s="6" t="s">
        <v>395</v>
      </c>
      <c r="B1672" s="8" t="s">
        <v>2911</v>
      </c>
      <c r="C1672" s="6" t="str">
        <f>'Ann1 - Step 3'!C1672</f>
        <v>Task Execution</v>
      </c>
      <c r="D1672" s="6" t="str">
        <f>'Ann2 - Step 3'!C1672</f>
        <v>Task Execution</v>
      </c>
      <c r="E1672" s="6" t="b">
        <f t="shared" si="14"/>
        <v>0</v>
      </c>
      <c r="F1672" s="6"/>
      <c r="G1672" s="6" t="str">
        <f t="shared" si="13"/>
        <v>Task Execution</v>
      </c>
    </row>
    <row r="1673" spans="1:7" ht="14" x14ac:dyDescent="0.15">
      <c r="A1673" s="6" t="s">
        <v>395</v>
      </c>
      <c r="B1673" s="8" t="s">
        <v>2912</v>
      </c>
      <c r="C1673" s="6" t="str">
        <f>'Ann1 - Step 3'!C1673</f>
        <v>Task Execution</v>
      </c>
      <c r="D1673" s="6" t="str">
        <f>'Ann2 - Step 3'!C1673</f>
        <v>Task Execution</v>
      </c>
      <c r="E1673" s="6" t="b">
        <f t="shared" si="14"/>
        <v>0</v>
      </c>
      <c r="F1673" s="6"/>
      <c r="G1673" s="6" t="str">
        <f t="shared" si="13"/>
        <v>Task Execution</v>
      </c>
    </row>
    <row r="1674" spans="1:7" ht="28" x14ac:dyDescent="0.15">
      <c r="A1674" s="6" t="s">
        <v>395</v>
      </c>
      <c r="B1674" s="8" t="s">
        <v>2913</v>
      </c>
      <c r="C1674" s="6" t="str">
        <f>'Ann1 - Step 3'!C1674</f>
        <v>Task Execution</v>
      </c>
      <c r="D1674" s="6" t="str">
        <f>'Ann2 - Step 3'!C1674</f>
        <v>Task Execution</v>
      </c>
      <c r="E1674" s="6" t="b">
        <f t="shared" si="14"/>
        <v>0</v>
      </c>
      <c r="F1674" s="6"/>
      <c r="G1674" s="6" t="str">
        <f t="shared" si="13"/>
        <v>Task Execution</v>
      </c>
    </row>
    <row r="1675" spans="1:7" ht="14" x14ac:dyDescent="0.15">
      <c r="A1675" s="6" t="s">
        <v>395</v>
      </c>
      <c r="B1675" s="8" t="s">
        <v>2914</v>
      </c>
      <c r="C1675" s="6" t="str">
        <f>'Ann1 - Step 3'!C1675</f>
        <v>Task Execution</v>
      </c>
      <c r="D1675" s="6" t="str">
        <f>'Ann2 - Step 3'!C1675</f>
        <v>Build &amp; Operation</v>
      </c>
      <c r="E1675" s="6" t="b">
        <f t="shared" si="14"/>
        <v>1</v>
      </c>
      <c r="F1675" s="30" t="s">
        <v>136</v>
      </c>
      <c r="G1675" s="6" t="str">
        <f t="shared" si="13"/>
        <v>Build &amp; Operation</v>
      </c>
    </row>
    <row r="1676" spans="1:7" ht="14" x14ac:dyDescent="0.15">
      <c r="A1676" s="6" t="s">
        <v>395</v>
      </c>
      <c r="B1676" s="8" t="s">
        <v>2915</v>
      </c>
      <c r="C1676" s="6" t="str">
        <f>'Ann1 - Step 3'!C1676</f>
        <v>Task Execution</v>
      </c>
      <c r="D1676" s="6" t="str">
        <f>'Ann2 - Step 3'!C1676</f>
        <v>Maintainability</v>
      </c>
      <c r="E1676" s="6" t="b">
        <f t="shared" si="14"/>
        <v>1</v>
      </c>
      <c r="F1676" s="30" t="s">
        <v>18</v>
      </c>
      <c r="G1676" s="6" t="str">
        <f t="shared" si="13"/>
        <v>Task Execution</v>
      </c>
    </row>
    <row r="1677" spans="1:7" ht="14" x14ac:dyDescent="0.15">
      <c r="A1677" s="6" t="s">
        <v>1088</v>
      </c>
      <c r="B1677" s="8" t="s">
        <v>2916</v>
      </c>
      <c r="C1677" s="6" t="str">
        <f>'Ann1 - Step 3'!C1677</f>
        <v>Coding Pattern</v>
      </c>
      <c r="D1677" s="6" t="str">
        <f>'Ann2 - Step 3'!C1677</f>
        <v>Coding Pattern</v>
      </c>
      <c r="E1677" s="6" t="b">
        <f t="shared" si="14"/>
        <v>0</v>
      </c>
      <c r="F1677" s="6"/>
      <c r="G1677" s="6" t="str">
        <f t="shared" si="13"/>
        <v>Coding Pattern</v>
      </c>
    </row>
    <row r="1678" spans="1:7" ht="14" x14ac:dyDescent="0.15">
      <c r="A1678" s="6" t="s">
        <v>1088</v>
      </c>
      <c r="B1678" s="8" t="s">
        <v>2917</v>
      </c>
      <c r="C1678" s="6" t="str">
        <f>'Ann1 - Step 3'!C1678</f>
        <v>Coding Pattern</v>
      </c>
      <c r="D1678" s="6" t="str">
        <f>'Ann2 - Step 3'!C1678</f>
        <v>Coding Pattern</v>
      </c>
      <c r="E1678" s="6" t="b">
        <f t="shared" si="14"/>
        <v>0</v>
      </c>
      <c r="F1678" s="6"/>
      <c r="G1678" s="6" t="str">
        <f t="shared" si="13"/>
        <v>Coding Pattern</v>
      </c>
    </row>
    <row r="1679" spans="1:7" ht="14" x14ac:dyDescent="0.15">
      <c r="A1679" s="6" t="s">
        <v>1088</v>
      </c>
      <c r="B1679" s="8" t="s">
        <v>2918</v>
      </c>
      <c r="C1679" s="6" t="str">
        <f>'Ann1 - Step 3'!C1679</f>
        <v>Testing</v>
      </c>
      <c r="D1679" s="6" t="str">
        <f>'Ann2 - Step 3'!C1679</f>
        <v>Testing</v>
      </c>
      <c r="E1679" s="6" t="b">
        <f t="shared" si="14"/>
        <v>0</v>
      </c>
      <c r="F1679" s="6"/>
      <c r="G1679" s="6" t="str">
        <f t="shared" si="13"/>
        <v>Testing</v>
      </c>
    </row>
    <row r="1680" spans="1:7" ht="14" x14ac:dyDescent="0.15">
      <c r="A1680" s="6" t="s">
        <v>2921</v>
      </c>
      <c r="B1680" s="8" t="s">
        <v>2922</v>
      </c>
      <c r="C1680" s="6" t="str">
        <f>'Ann1 - Step 3'!C1680</f>
        <v>Build &amp; Operation</v>
      </c>
      <c r="D1680" s="6" t="str">
        <f>'Ann2 - Step 3'!C1680</f>
        <v>Build &amp; Operation</v>
      </c>
      <c r="E1680" s="6" t="b">
        <f t="shared" si="14"/>
        <v>0</v>
      </c>
      <c r="F1680" s="30"/>
      <c r="G1680" s="6" t="str">
        <f t="shared" si="13"/>
        <v>Build &amp; Operation</v>
      </c>
    </row>
    <row r="1681" spans="1:7" ht="14" x14ac:dyDescent="0.15">
      <c r="A1681" s="6" t="s">
        <v>2219</v>
      </c>
      <c r="B1681" s="8" t="s">
        <v>2923</v>
      </c>
      <c r="C1681" s="6" t="str">
        <f>'Ann1 - Step 3'!C1681</f>
        <v>Coding Pattern</v>
      </c>
      <c r="D1681" s="6" t="str">
        <f>'Ann2 - Step 3'!C1681</f>
        <v>Coding Pattern</v>
      </c>
      <c r="E1681" s="6" t="b">
        <f t="shared" si="14"/>
        <v>0</v>
      </c>
      <c r="F1681" s="6"/>
      <c r="G1681" s="6" t="str">
        <f t="shared" si="13"/>
        <v>Coding Pattern</v>
      </c>
    </row>
    <row r="1682" spans="1:7" ht="14" x14ac:dyDescent="0.15">
      <c r="A1682" s="31" t="s">
        <v>2219</v>
      </c>
      <c r="B1682" s="8" t="s">
        <v>2924</v>
      </c>
      <c r="C1682" s="6" t="str">
        <f>'Ann1 - Step 3'!C1682</f>
        <v>Coding Pattern</v>
      </c>
      <c r="D1682" s="6" t="str">
        <f>'Ann2 - Step 3'!C1682</f>
        <v>Coding Pattern</v>
      </c>
      <c r="E1682" s="6" t="b">
        <f t="shared" si="14"/>
        <v>0</v>
      </c>
      <c r="F1682" s="30"/>
      <c r="G1682" s="6" t="str">
        <f t="shared" si="13"/>
        <v>Coding Pattern</v>
      </c>
    </row>
    <row r="1683" spans="1:7" ht="14" x14ac:dyDescent="0.15">
      <c r="A1683" s="6" t="s">
        <v>2926</v>
      </c>
      <c r="B1683" s="8" t="s">
        <v>2927</v>
      </c>
      <c r="C1683" s="6" t="str">
        <f>'Ann1 - Step 3'!C1683</f>
        <v>Coding Style</v>
      </c>
      <c r="D1683" s="6" t="str">
        <f>'Ann2 - Step 3'!C1683</f>
        <v>Coding Style</v>
      </c>
      <c r="E1683" s="6" t="b">
        <f t="shared" si="14"/>
        <v>0</v>
      </c>
      <c r="F1683" s="6"/>
      <c r="G1683" s="6" t="str">
        <f t="shared" si="13"/>
        <v>Coding Style</v>
      </c>
    </row>
    <row r="1684" spans="1:7" ht="14" x14ac:dyDescent="0.15">
      <c r="A1684" s="6" t="s">
        <v>1103</v>
      </c>
      <c r="B1684" s="8" t="s">
        <v>2852</v>
      </c>
      <c r="C1684" s="6" t="str">
        <f>'Ann1 - Step 3'!C1684</f>
        <v>Commit&amp;PR rule</v>
      </c>
      <c r="D1684" s="6" t="str">
        <f>'Ann2 - Step 3'!C1684</f>
        <v>Commit&amp;PR rule</v>
      </c>
      <c r="E1684" s="6" t="b">
        <f t="shared" si="14"/>
        <v>0</v>
      </c>
      <c r="F1684" s="6"/>
      <c r="G1684" s="6" t="str">
        <f t="shared" si="13"/>
        <v>Commit&amp;PR rule</v>
      </c>
    </row>
    <row r="1685" spans="1:7" ht="14" x14ac:dyDescent="0.15">
      <c r="A1685" s="6" t="s">
        <v>1517</v>
      </c>
      <c r="B1685" s="8" t="s">
        <v>2853</v>
      </c>
      <c r="C1685" s="6" t="str">
        <f>'Ann1 - Step 3'!C1685</f>
        <v>Commit&amp;PR rule</v>
      </c>
      <c r="D1685" s="6" t="str">
        <f>'Ann2 - Step 3'!C1685</f>
        <v>Commit&amp;PR rule</v>
      </c>
      <c r="E1685" s="6" t="b">
        <f t="shared" si="14"/>
        <v>0</v>
      </c>
      <c r="F1685" s="6"/>
      <c r="G1685" s="6" t="str">
        <f t="shared" si="13"/>
        <v>Commit&amp;PR rule</v>
      </c>
    </row>
    <row r="1686" spans="1:7" ht="14" x14ac:dyDescent="0.15">
      <c r="A1686" s="6" t="s">
        <v>1517</v>
      </c>
      <c r="B1686" s="8" t="s">
        <v>2854</v>
      </c>
      <c r="C1686" s="6" t="str">
        <f>'Ann1 - Step 3'!C1686</f>
        <v>Build &amp; Operation</v>
      </c>
      <c r="D1686" s="6" t="str">
        <f>'Ann2 - Step 3'!C1686</f>
        <v>Build &amp; Operation</v>
      </c>
      <c r="E1686" s="6" t="b">
        <f t="shared" si="14"/>
        <v>0</v>
      </c>
      <c r="F1686" s="6"/>
      <c r="G1686" s="6" t="str">
        <f t="shared" si="13"/>
        <v>Build &amp; Operation</v>
      </c>
    </row>
    <row r="1687" spans="1:7" ht="28" x14ac:dyDescent="0.15">
      <c r="A1687" s="6" t="s">
        <v>399</v>
      </c>
      <c r="B1687" s="8" t="s">
        <v>2855</v>
      </c>
      <c r="C1687" s="6" t="str">
        <f>'Ann1 - Step 3'!C1687</f>
        <v>Code Review</v>
      </c>
      <c r="D1687" s="6" t="str">
        <f>'Ann2 - Step 3'!C1687</f>
        <v>Code Review</v>
      </c>
      <c r="E1687" s="6" t="b">
        <f t="shared" si="14"/>
        <v>0</v>
      </c>
      <c r="F1687" s="6"/>
      <c r="G1687" s="6" t="str">
        <f t="shared" si="13"/>
        <v>Code Review</v>
      </c>
    </row>
    <row r="1688" spans="1:7" ht="14" x14ac:dyDescent="0.15">
      <c r="A1688" s="6" t="s">
        <v>399</v>
      </c>
      <c r="B1688" s="8" t="s">
        <v>2857</v>
      </c>
      <c r="C1688" s="6" t="str">
        <f>'Ann1 - Step 3'!C1688</f>
        <v>Documentation</v>
      </c>
      <c r="D1688" s="6" t="str">
        <f>'Ann2 - Step 3'!C1688</f>
        <v>Documentation</v>
      </c>
      <c r="E1688" s="6" t="b">
        <f t="shared" si="14"/>
        <v>0</v>
      </c>
      <c r="F1688" s="6"/>
      <c r="G1688" s="6" t="str">
        <f t="shared" si="13"/>
        <v>Documentation</v>
      </c>
    </row>
    <row r="1689" spans="1:7" ht="14" x14ac:dyDescent="0.15">
      <c r="A1689" s="6" t="s">
        <v>1797</v>
      </c>
      <c r="B1689" s="8" t="s">
        <v>2859</v>
      </c>
      <c r="C1689" s="6" t="str">
        <f>'Ann1 - Step 3'!C1689</f>
        <v>Coding Pattern</v>
      </c>
      <c r="D1689" s="6" t="str">
        <f>'Ann2 - Step 3'!C1689</f>
        <v>Performance</v>
      </c>
      <c r="E1689" s="6" t="b">
        <f t="shared" si="14"/>
        <v>1</v>
      </c>
      <c r="F1689" s="30" t="s">
        <v>219</v>
      </c>
      <c r="G1689" s="6" t="str">
        <f t="shared" si="13"/>
        <v>Performance</v>
      </c>
    </row>
    <row r="1690" spans="1:7" ht="14" x14ac:dyDescent="0.15">
      <c r="A1690" s="6" t="s">
        <v>1120</v>
      </c>
      <c r="B1690" s="8" t="s">
        <v>2928</v>
      </c>
      <c r="C1690" s="6" t="str">
        <f>'Ann1 - Step 3'!C1690</f>
        <v>Coding Style</v>
      </c>
      <c r="D1690" s="6" t="str">
        <f>'Ann2 - Step 3'!C1690</f>
        <v>Coding Style</v>
      </c>
      <c r="E1690" s="6" t="b">
        <f t="shared" si="14"/>
        <v>0</v>
      </c>
      <c r="F1690" s="6"/>
      <c r="G1690" s="6" t="str">
        <f t="shared" si="13"/>
        <v>Coding Style</v>
      </c>
    </row>
    <row r="1691" spans="1:7" ht="14" x14ac:dyDescent="0.15">
      <c r="A1691" s="6" t="s">
        <v>1127</v>
      </c>
      <c r="B1691" s="8" t="s">
        <v>2929</v>
      </c>
      <c r="C1691" s="6" t="str">
        <f>'Ann1 - Step 3'!C1691</f>
        <v>Commit&amp;PR rule</v>
      </c>
      <c r="D1691" s="6" t="str">
        <f>'Ann2 - Step 3'!C1691</f>
        <v>Commit&amp;PR rule</v>
      </c>
      <c r="E1691" s="6" t="b">
        <f t="shared" si="14"/>
        <v>0</v>
      </c>
      <c r="F1691" s="6"/>
      <c r="G1691" s="6" t="str">
        <f t="shared" si="13"/>
        <v>Commit&amp;PR rule</v>
      </c>
    </row>
    <row r="1692" spans="1:7" ht="14" x14ac:dyDescent="0.15">
      <c r="A1692" s="6" t="s">
        <v>417</v>
      </c>
      <c r="B1692" s="8" t="s">
        <v>2930</v>
      </c>
      <c r="C1692" s="6" t="str">
        <f>'Ann1 - Step 3'!C1692</f>
        <v>Coding Pattern</v>
      </c>
      <c r="D1692" s="6" t="str">
        <f>'Ann2 - Step 3'!C1692</f>
        <v>Documentation</v>
      </c>
      <c r="E1692" s="6" t="b">
        <f t="shared" si="14"/>
        <v>1</v>
      </c>
      <c r="F1692" s="30" t="s">
        <v>136</v>
      </c>
      <c r="G1692" s="6" t="str">
        <f t="shared" si="13"/>
        <v>Build &amp; Operation</v>
      </c>
    </row>
    <row r="1693" spans="1:7" ht="14" x14ac:dyDescent="0.15">
      <c r="A1693" s="6" t="s">
        <v>1155</v>
      </c>
      <c r="B1693" s="8" t="s">
        <v>2864</v>
      </c>
      <c r="C1693" s="6" t="str">
        <f>'Ann1 - Step 3'!C1693</f>
        <v>Coding Style</v>
      </c>
      <c r="D1693" s="6" t="str">
        <f>'Ann2 - Step 3'!C1693</f>
        <v>Coding Style</v>
      </c>
      <c r="E1693" s="6" t="b">
        <f t="shared" si="14"/>
        <v>0</v>
      </c>
      <c r="F1693" s="6"/>
      <c r="G1693" s="6" t="str">
        <f t="shared" si="13"/>
        <v>Coding Style</v>
      </c>
    </row>
    <row r="1694" spans="1:7" ht="14" x14ac:dyDescent="0.15">
      <c r="A1694" s="6" t="s">
        <v>45</v>
      </c>
      <c r="B1694" s="8" t="s">
        <v>2931</v>
      </c>
      <c r="C1694" s="6" t="str">
        <f>'Ann1 - Step 3'!C1694</f>
        <v>Coding Pattern</v>
      </c>
      <c r="D1694" s="6" t="str">
        <f>'Ann2 - Step 3'!C1694</f>
        <v>Coding Pattern</v>
      </c>
      <c r="E1694" s="6" t="b">
        <f t="shared" si="14"/>
        <v>0</v>
      </c>
      <c r="F1694" s="6"/>
      <c r="G1694" s="6" t="str">
        <f t="shared" si="13"/>
        <v>Coding Pattern</v>
      </c>
    </row>
    <row r="1695" spans="1:7" ht="14" x14ac:dyDescent="0.15">
      <c r="A1695" s="6" t="s">
        <v>45</v>
      </c>
      <c r="B1695" s="8" t="s">
        <v>2932</v>
      </c>
      <c r="C1695" s="6" t="str">
        <f>'Ann1 - Step 3'!C1695</f>
        <v>Code Review</v>
      </c>
      <c r="D1695" s="6" t="str">
        <f>'Ann2 - Step 3'!C1695</f>
        <v>Code Review</v>
      </c>
      <c r="E1695" s="6" t="b">
        <f t="shared" si="14"/>
        <v>0</v>
      </c>
      <c r="F1695" s="6"/>
      <c r="G1695" s="6" t="str">
        <f t="shared" si="13"/>
        <v>Code Review</v>
      </c>
    </row>
    <row r="1696" spans="1:7" ht="14" x14ac:dyDescent="0.15">
      <c r="A1696" s="6" t="s">
        <v>1165</v>
      </c>
      <c r="B1696" s="8" t="s">
        <v>2933</v>
      </c>
      <c r="C1696" s="6" t="str">
        <f>'Ann1 - Step 3'!C1696</f>
        <v>Build &amp; Operation</v>
      </c>
      <c r="D1696" s="6" t="str">
        <f>'Ann2 - Step 3'!C1696</f>
        <v>Coding Style</v>
      </c>
      <c r="E1696" s="6" t="b">
        <f t="shared" si="14"/>
        <v>1</v>
      </c>
      <c r="F1696" s="30" t="s">
        <v>30</v>
      </c>
      <c r="G1696" s="6" t="str">
        <f t="shared" si="13"/>
        <v>Coding Pattern</v>
      </c>
    </row>
    <row r="1697" spans="1:7" ht="14" x14ac:dyDescent="0.15">
      <c r="A1697" s="6" t="s">
        <v>1165</v>
      </c>
      <c r="B1697" s="8" t="s">
        <v>2934</v>
      </c>
      <c r="C1697" s="6" t="str">
        <f>'Ann1 - Step 3'!C1697</f>
        <v>Testing</v>
      </c>
      <c r="D1697" s="6" t="str">
        <f>'Ann2 - Step 3'!C1697</f>
        <v>Testing</v>
      </c>
      <c r="E1697" s="6" t="b">
        <f t="shared" si="14"/>
        <v>0</v>
      </c>
      <c r="F1697" s="6"/>
      <c r="G1697" s="6" t="str">
        <f t="shared" si="13"/>
        <v>Testing</v>
      </c>
    </row>
    <row r="1698" spans="1:7" ht="14" x14ac:dyDescent="0.15">
      <c r="A1698" s="6" t="s">
        <v>443</v>
      </c>
      <c r="B1698" s="8" t="s">
        <v>2935</v>
      </c>
      <c r="C1698" s="6" t="str">
        <f>'Ann1 - Step 3'!C1698</f>
        <v>Documentation</v>
      </c>
      <c r="D1698" s="6" t="str">
        <f>'Ann2 - Step 3'!C1698</f>
        <v>Documentation</v>
      </c>
      <c r="E1698" s="6" t="b">
        <f t="shared" si="14"/>
        <v>0</v>
      </c>
      <c r="F1698" s="6"/>
      <c r="G1698" s="6" t="str">
        <f t="shared" si="13"/>
        <v>Documentation</v>
      </c>
    </row>
    <row r="1699" spans="1:7" ht="28" x14ac:dyDescent="0.15">
      <c r="A1699" s="6" t="s">
        <v>443</v>
      </c>
      <c r="B1699" s="8" t="s">
        <v>2936</v>
      </c>
      <c r="C1699" s="6" t="str">
        <f>'Ann1 - Step 3'!C1699</f>
        <v>Documentation</v>
      </c>
      <c r="D1699" s="6" t="str">
        <f>'Ann2 - Step 3'!C1699</f>
        <v>Documentation</v>
      </c>
      <c r="E1699" s="6" t="b">
        <f t="shared" si="14"/>
        <v>0</v>
      </c>
      <c r="F1699" s="6"/>
      <c r="G1699" s="6" t="str">
        <f t="shared" si="13"/>
        <v>Documentation</v>
      </c>
    </row>
    <row r="1700" spans="1:7" ht="14" x14ac:dyDescent="0.15">
      <c r="A1700" s="6" t="s">
        <v>463</v>
      </c>
      <c r="B1700" s="8" t="s">
        <v>2937</v>
      </c>
      <c r="C1700" s="6" t="str">
        <f>'Ann1 - Step 3'!C1700</f>
        <v>Commit&amp;PR rule</v>
      </c>
      <c r="D1700" s="6" t="str">
        <f>'Ann2 - Step 3'!C1700</f>
        <v>Commit&amp;PR rule</v>
      </c>
      <c r="E1700" s="6" t="b">
        <f t="shared" si="14"/>
        <v>0</v>
      </c>
      <c r="F1700" s="6"/>
      <c r="G1700" s="6" t="str">
        <f t="shared" si="13"/>
        <v>Commit&amp;PR rule</v>
      </c>
    </row>
    <row r="1701" spans="1:7" ht="14" x14ac:dyDescent="0.15">
      <c r="A1701" s="6" t="s">
        <v>463</v>
      </c>
      <c r="B1701" s="8" t="s">
        <v>2887</v>
      </c>
      <c r="C1701" s="6" t="str">
        <f>'Ann1 - Step 3'!C1701</f>
        <v>Commit&amp;PR rule</v>
      </c>
      <c r="D1701" s="6" t="str">
        <f>'Ann2 - Step 3'!C1701</f>
        <v>Commit&amp;PR rule</v>
      </c>
      <c r="E1701" s="6" t="b">
        <f t="shared" si="14"/>
        <v>0</v>
      </c>
      <c r="F1701" s="6"/>
      <c r="G1701" s="6" t="str">
        <f t="shared" si="13"/>
        <v>Commit&amp;PR rule</v>
      </c>
    </row>
    <row r="1702" spans="1:7" ht="14" x14ac:dyDescent="0.15">
      <c r="A1702" s="6" t="s">
        <v>468</v>
      </c>
      <c r="B1702" s="8" t="s">
        <v>2938</v>
      </c>
      <c r="C1702" s="6" t="str">
        <f>'Ann1 - Step 3'!C1702</f>
        <v>Coding Style</v>
      </c>
      <c r="D1702" s="6" t="str">
        <f>'Ann2 - Step 3'!C1702</f>
        <v>Coding Style</v>
      </c>
      <c r="E1702" s="6" t="b">
        <f t="shared" si="14"/>
        <v>0</v>
      </c>
      <c r="F1702" s="6"/>
      <c r="G1702" s="6" t="str">
        <f t="shared" si="13"/>
        <v>Coding Style</v>
      </c>
    </row>
    <row r="1703" spans="1:7" ht="14" x14ac:dyDescent="0.15">
      <c r="A1703" s="6" t="s">
        <v>49</v>
      </c>
      <c r="B1703" s="8" t="s">
        <v>2939</v>
      </c>
      <c r="C1703" s="6" t="str">
        <f>'Ann1 - Step 3'!C1703</f>
        <v>Testing</v>
      </c>
      <c r="D1703" s="6" t="str">
        <f>'Ann2 - Step 3'!C1703</f>
        <v>Coding Style</v>
      </c>
      <c r="E1703" s="6" t="b">
        <f t="shared" si="14"/>
        <v>1</v>
      </c>
      <c r="F1703" s="30" t="s">
        <v>83</v>
      </c>
      <c r="G1703" s="6" t="str">
        <f t="shared" si="13"/>
        <v>Coding Style</v>
      </c>
    </row>
    <row r="1704" spans="1:7" ht="14" x14ac:dyDescent="0.15">
      <c r="A1704" s="6" t="s">
        <v>49</v>
      </c>
      <c r="B1704" s="8" t="s">
        <v>2940</v>
      </c>
      <c r="C1704" s="6" t="str">
        <f>'Ann1 - Step 3'!C1704</f>
        <v>Testing</v>
      </c>
      <c r="D1704" s="6" t="str">
        <f>'Ann2 - Step 3'!C1704</f>
        <v>Testing</v>
      </c>
      <c r="E1704" s="6" t="b">
        <f t="shared" si="14"/>
        <v>0</v>
      </c>
      <c r="F1704" s="6"/>
      <c r="G1704" s="6" t="str">
        <f t="shared" si="13"/>
        <v>Testing</v>
      </c>
    </row>
    <row r="1705" spans="1:7" ht="14" x14ac:dyDescent="0.15">
      <c r="A1705" s="6" t="s">
        <v>2943</v>
      </c>
      <c r="B1705" s="8" t="s">
        <v>2944</v>
      </c>
      <c r="C1705" s="6" t="str">
        <f>'Ann1 - Step 3'!C1705</f>
        <v>Task Execution</v>
      </c>
      <c r="D1705" s="6" t="str">
        <f>'Ann2 - Step 3'!C1705</f>
        <v>Task Execution</v>
      </c>
      <c r="E1705" s="6" t="b">
        <f t="shared" si="14"/>
        <v>0</v>
      </c>
      <c r="F1705" s="6"/>
      <c r="G1705" s="6" t="str">
        <f t="shared" si="13"/>
        <v>Task Execution</v>
      </c>
    </row>
    <row r="1706" spans="1:7" ht="14" x14ac:dyDescent="0.15">
      <c r="A1706" s="6" t="s">
        <v>2947</v>
      </c>
      <c r="B1706" s="8" t="s">
        <v>2948</v>
      </c>
      <c r="C1706" s="6" t="str">
        <f>'Ann1 - Step 3'!C1706</f>
        <v>Task Execution</v>
      </c>
      <c r="D1706" s="6" t="str">
        <f>'Ann2 - Step 3'!C1706</f>
        <v>Task Execution</v>
      </c>
      <c r="E1706" s="6" t="b">
        <f t="shared" si="14"/>
        <v>0</v>
      </c>
      <c r="F1706" s="6"/>
      <c r="G1706" s="6" t="str">
        <f t="shared" si="13"/>
        <v>Task Execution</v>
      </c>
    </row>
    <row r="1707" spans="1:7" ht="14" x14ac:dyDescent="0.15">
      <c r="A1707" s="6" t="s">
        <v>493</v>
      </c>
      <c r="B1707" s="8" t="s">
        <v>2949</v>
      </c>
      <c r="C1707" s="6" t="str">
        <f>'Ann1 - Step 3'!C1707</f>
        <v>Writing Style Preference</v>
      </c>
      <c r="D1707" s="6" t="str">
        <f>'Ann2 - Step 3'!C1707</f>
        <v>Writing Style Preference</v>
      </c>
      <c r="E1707" s="6" t="b">
        <f t="shared" si="14"/>
        <v>0</v>
      </c>
      <c r="F1707" s="6"/>
      <c r="G1707" s="6" t="str">
        <f t="shared" si="13"/>
        <v>Writing Style Preference</v>
      </c>
    </row>
    <row r="1708" spans="1:7" ht="14" x14ac:dyDescent="0.15">
      <c r="A1708" s="6" t="s">
        <v>493</v>
      </c>
      <c r="B1708" s="8" t="s">
        <v>2950</v>
      </c>
      <c r="C1708" s="6" t="str">
        <f>'Ann1 - Step 3'!C1708</f>
        <v>Writing Style Preference</v>
      </c>
      <c r="D1708" s="6" t="str">
        <f>'Ann2 - Step 3'!C1708</f>
        <v>Documentation</v>
      </c>
      <c r="E1708" s="6" t="b">
        <f t="shared" si="14"/>
        <v>1</v>
      </c>
      <c r="F1708" s="30" t="s">
        <v>77</v>
      </c>
      <c r="G1708" s="6" t="str">
        <f t="shared" si="13"/>
        <v>Writing Style Preference</v>
      </c>
    </row>
    <row r="1709" spans="1:7" ht="14" x14ac:dyDescent="0.15">
      <c r="A1709" s="6" t="s">
        <v>1548</v>
      </c>
      <c r="B1709" s="8" t="s">
        <v>2951</v>
      </c>
      <c r="C1709" s="6" t="str">
        <f>'Ann1 - Step 3'!C1709</f>
        <v>Writing Style Preference</v>
      </c>
      <c r="D1709" s="6" t="str">
        <f>'Ann2 - Step 3'!C1709</f>
        <v>Coding Style</v>
      </c>
      <c r="E1709" s="6" t="b">
        <f t="shared" si="14"/>
        <v>1</v>
      </c>
      <c r="F1709" s="30" t="s">
        <v>83</v>
      </c>
      <c r="G1709" s="6" t="str">
        <f t="shared" si="13"/>
        <v>Coding Style</v>
      </c>
    </row>
    <row r="1710" spans="1:7" ht="14" x14ac:dyDescent="0.15">
      <c r="A1710" s="6" t="s">
        <v>1548</v>
      </c>
      <c r="B1710" s="8" t="s">
        <v>2952</v>
      </c>
      <c r="C1710" s="6" t="str">
        <f>'Ann1 - Step 3'!C1710</f>
        <v>Writing Style Preference</v>
      </c>
      <c r="D1710" s="6" t="str">
        <f>'Ann2 - Step 3'!C1710</f>
        <v>Coding Style</v>
      </c>
      <c r="E1710" s="6" t="b">
        <f t="shared" si="14"/>
        <v>1</v>
      </c>
      <c r="F1710" s="30" t="s">
        <v>83</v>
      </c>
      <c r="G1710" s="6" t="str">
        <f t="shared" si="13"/>
        <v>Coding Style</v>
      </c>
    </row>
    <row r="1711" spans="1:7" ht="14" x14ac:dyDescent="0.15">
      <c r="A1711" s="6" t="s">
        <v>57</v>
      </c>
      <c r="B1711" s="8" t="s">
        <v>2953</v>
      </c>
      <c r="C1711" s="6" t="str">
        <f>'Ann1 - Step 3'!C1711</f>
        <v>Task Execution</v>
      </c>
      <c r="D1711" s="6" t="str">
        <f>'Ann2 - Step 3'!C1711</f>
        <v>Task Execution</v>
      </c>
      <c r="E1711" s="6" t="b">
        <f t="shared" si="14"/>
        <v>0</v>
      </c>
      <c r="F1711" s="6"/>
      <c r="G1711" s="6" t="str">
        <f t="shared" si="13"/>
        <v>Task Execution</v>
      </c>
    </row>
    <row r="1712" spans="1:7" ht="28" x14ac:dyDescent="0.15">
      <c r="A1712" s="6" t="s">
        <v>500</v>
      </c>
      <c r="B1712" s="8" t="s">
        <v>2954</v>
      </c>
      <c r="C1712" s="6" t="str">
        <f>'Ann1 - Step 3'!C1712</f>
        <v>Task Execution</v>
      </c>
      <c r="D1712" s="6" t="str">
        <f>'Ann2 - Step 3'!C1712</f>
        <v>Task Execution</v>
      </c>
      <c r="E1712" s="6" t="b">
        <f t="shared" si="14"/>
        <v>0</v>
      </c>
      <c r="F1712" s="6"/>
      <c r="G1712" s="6" t="str">
        <f t="shared" si="13"/>
        <v>Task Execution</v>
      </c>
    </row>
    <row r="1713" spans="1:7" ht="14" x14ac:dyDescent="0.15">
      <c r="A1713" s="6" t="s">
        <v>1563</v>
      </c>
      <c r="B1713" s="8" t="s">
        <v>2955</v>
      </c>
      <c r="C1713" s="6" t="str">
        <f>'Ann1 - Step 3'!C1713</f>
        <v>Documentation</v>
      </c>
      <c r="D1713" s="6" t="str">
        <f>'Ann2 - Step 3'!C1713</f>
        <v>Documentation</v>
      </c>
      <c r="E1713" s="6" t="b">
        <f t="shared" si="14"/>
        <v>0</v>
      </c>
      <c r="F1713" s="6"/>
      <c r="G1713" s="6" t="str">
        <f t="shared" si="13"/>
        <v>Documentation</v>
      </c>
    </row>
    <row r="1714" spans="1:7" ht="14" x14ac:dyDescent="0.15">
      <c r="A1714" s="6" t="s">
        <v>503</v>
      </c>
      <c r="B1714" s="8" t="s">
        <v>2956</v>
      </c>
      <c r="C1714" s="6" t="str">
        <f>'Ann1 - Step 3'!C1714</f>
        <v>Coding Style</v>
      </c>
      <c r="D1714" s="6" t="str">
        <f>'Ann2 - Step 3'!C1714</f>
        <v>Coding Style</v>
      </c>
      <c r="E1714" s="6" t="b">
        <f t="shared" si="14"/>
        <v>0</v>
      </c>
      <c r="F1714" s="6"/>
      <c r="G1714" s="6" t="str">
        <f t="shared" si="13"/>
        <v>Coding Style</v>
      </c>
    </row>
    <row r="1715" spans="1:7" ht="14" x14ac:dyDescent="0.15">
      <c r="A1715" s="6" t="s">
        <v>503</v>
      </c>
      <c r="B1715" s="8" t="s">
        <v>2957</v>
      </c>
      <c r="C1715" s="6" t="str">
        <f>'Ann1 - Step 3'!C1715</f>
        <v>Coding Style</v>
      </c>
      <c r="D1715" s="6" t="str">
        <f>'Ann2 - Step 3'!C1715</f>
        <v>Coding Style</v>
      </c>
      <c r="E1715" s="6" t="b">
        <f t="shared" si="14"/>
        <v>0</v>
      </c>
      <c r="F1715" s="6"/>
      <c r="G1715" s="6" t="str">
        <f t="shared" si="13"/>
        <v>Coding Style</v>
      </c>
    </row>
    <row r="1716" spans="1:7" ht="14" x14ac:dyDescent="0.15">
      <c r="A1716" s="6" t="s">
        <v>2305</v>
      </c>
      <c r="B1716" s="8" t="s">
        <v>2958</v>
      </c>
      <c r="C1716" s="6" t="str">
        <f>'Ann1 - Step 3'!C1716</f>
        <v>Build &amp; Operation</v>
      </c>
      <c r="D1716" s="6" t="str">
        <f>'Ann2 - Step 3'!C1716</f>
        <v>Build &amp; Operation</v>
      </c>
      <c r="E1716" s="6" t="b">
        <f t="shared" si="14"/>
        <v>0</v>
      </c>
      <c r="F1716" s="6"/>
      <c r="G1716" s="6" t="str">
        <f t="shared" si="13"/>
        <v>Build &amp; Operation</v>
      </c>
    </row>
    <row r="1717" spans="1:7" ht="14" x14ac:dyDescent="0.15">
      <c r="A1717" s="6" t="s">
        <v>112</v>
      </c>
      <c r="B1717" s="8" t="s">
        <v>2799</v>
      </c>
      <c r="C1717" s="6" t="str">
        <f>'Ann1 - Step 3'!C1717</f>
        <v>Task Execution</v>
      </c>
      <c r="D1717" s="6" t="str">
        <f>'Ann2 - Step 3'!C1717</f>
        <v>Documentation</v>
      </c>
      <c r="E1717" s="6" t="b">
        <f t="shared" si="14"/>
        <v>1</v>
      </c>
      <c r="F1717" s="30" t="s">
        <v>18</v>
      </c>
      <c r="G1717" s="6" t="str">
        <f t="shared" si="13"/>
        <v>Task Execution</v>
      </c>
    </row>
    <row r="1718" spans="1:7" ht="14" x14ac:dyDescent="0.15">
      <c r="A1718" s="6" t="s">
        <v>2960</v>
      </c>
      <c r="B1718" s="8" t="s">
        <v>2961</v>
      </c>
      <c r="C1718" s="6" t="str">
        <f>'Ann1 - Step 3'!C1718</f>
        <v>Coding Pattern</v>
      </c>
      <c r="D1718" s="6" t="str">
        <f>'Ann2 - Step 3'!C1718</f>
        <v>Coding Pattern</v>
      </c>
      <c r="E1718" s="6" t="b">
        <f t="shared" si="14"/>
        <v>0</v>
      </c>
      <c r="F1718" s="6"/>
      <c r="G1718" s="6" t="str">
        <f t="shared" si="13"/>
        <v>Coding Pattern</v>
      </c>
    </row>
    <row r="1719" spans="1:7" ht="14" x14ac:dyDescent="0.15">
      <c r="A1719" s="6" t="s">
        <v>1625</v>
      </c>
      <c r="B1719" s="8" t="s">
        <v>2962</v>
      </c>
      <c r="C1719" s="6" t="str">
        <f>'Ann1 - Step 3'!C1719</f>
        <v>Coding Pattern</v>
      </c>
      <c r="D1719" s="6" t="str">
        <f>'Ann2 - Step 3'!C1719</f>
        <v>Coding Pattern</v>
      </c>
      <c r="E1719" s="6" t="b">
        <f t="shared" si="14"/>
        <v>0</v>
      </c>
      <c r="F1719" s="6"/>
      <c r="G1719" s="6" t="str">
        <f t="shared" si="13"/>
        <v>Coding Pattern</v>
      </c>
    </row>
    <row r="1720" spans="1:7" ht="14" x14ac:dyDescent="0.15">
      <c r="A1720" s="6" t="s">
        <v>62</v>
      </c>
      <c r="B1720" s="8" t="s">
        <v>2939</v>
      </c>
      <c r="C1720" s="6" t="str">
        <f>'Ann1 - Step 3'!C1720</f>
        <v>Testing</v>
      </c>
      <c r="D1720" s="6" t="str">
        <f>'Ann2 - Step 3'!C1720</f>
        <v>Coding Style</v>
      </c>
      <c r="E1720" s="6" t="b">
        <f t="shared" si="14"/>
        <v>1</v>
      </c>
      <c r="F1720" s="30" t="s">
        <v>83</v>
      </c>
      <c r="G1720" s="6" t="str">
        <f t="shared" si="13"/>
        <v>Coding Style</v>
      </c>
    </row>
    <row r="1721" spans="1:7" ht="14" x14ac:dyDescent="0.15">
      <c r="A1721" s="6" t="s">
        <v>62</v>
      </c>
      <c r="B1721" s="8" t="s">
        <v>2940</v>
      </c>
      <c r="C1721" s="6" t="str">
        <f>'Ann1 - Step 3'!C1721</f>
        <v>Testing</v>
      </c>
      <c r="D1721" s="6" t="str">
        <f>'Ann2 - Step 3'!C1721</f>
        <v>Testing</v>
      </c>
      <c r="E1721" s="6" t="b">
        <f t="shared" si="14"/>
        <v>0</v>
      </c>
      <c r="F1721" s="6"/>
      <c r="G1721" s="6" t="str">
        <f t="shared" si="13"/>
        <v>Testing</v>
      </c>
    </row>
    <row r="1722" spans="1:7" ht="14" x14ac:dyDescent="0.15">
      <c r="A1722" s="6" t="s">
        <v>523</v>
      </c>
      <c r="B1722" s="8" t="s">
        <v>2963</v>
      </c>
      <c r="C1722" s="6" t="str">
        <f>'Ann1 - Step 3'!C1722</f>
        <v>Coding Style</v>
      </c>
      <c r="D1722" s="6" t="str">
        <f>'Ann2 - Step 3'!C1722</f>
        <v>Coding Pattern</v>
      </c>
      <c r="E1722" s="6" t="b">
        <f t="shared" si="14"/>
        <v>1</v>
      </c>
      <c r="F1722" s="30" t="s">
        <v>30</v>
      </c>
      <c r="G1722" s="6" t="str">
        <f t="shared" si="13"/>
        <v>Coding Pattern</v>
      </c>
    </row>
    <row r="1723" spans="1:7" ht="14" x14ac:dyDescent="0.15">
      <c r="A1723" s="6" t="s">
        <v>2323</v>
      </c>
      <c r="B1723" s="8" t="s">
        <v>2964</v>
      </c>
      <c r="C1723" s="6" t="str">
        <f>'Ann1 - Step 3'!C1723</f>
        <v>Coding Pattern</v>
      </c>
      <c r="D1723" s="6" t="str">
        <f>'Ann2 - Step 3'!C1723</f>
        <v>Testing</v>
      </c>
      <c r="E1723" s="6" t="b">
        <f t="shared" si="14"/>
        <v>1</v>
      </c>
      <c r="F1723" s="30" t="s">
        <v>30</v>
      </c>
      <c r="G1723" s="6" t="str">
        <f t="shared" si="13"/>
        <v>Coding Pattern</v>
      </c>
    </row>
    <row r="1724" spans="1:7" ht="14" x14ac:dyDescent="0.15">
      <c r="A1724" s="6" t="s">
        <v>534</v>
      </c>
      <c r="B1724" s="8" t="s">
        <v>2965</v>
      </c>
      <c r="C1724" s="6" t="str">
        <f>'Ann1 - Step 3'!C1724</f>
        <v>Coding Style</v>
      </c>
      <c r="D1724" s="6" t="str">
        <f>'Ann2 - Step 3'!C1724</f>
        <v>Coding Style</v>
      </c>
      <c r="E1724" s="6" t="b">
        <f t="shared" si="14"/>
        <v>0</v>
      </c>
      <c r="F1724" s="6"/>
      <c r="G1724" s="6" t="str">
        <f t="shared" si="13"/>
        <v>Coding Style</v>
      </c>
    </row>
    <row r="1725" spans="1:7" ht="14" x14ac:dyDescent="0.15">
      <c r="A1725" s="6" t="s">
        <v>537</v>
      </c>
      <c r="B1725" s="8" t="s">
        <v>2966</v>
      </c>
      <c r="C1725" s="6" t="str">
        <f>'Ann1 - Step 3'!C1725</f>
        <v>Task Execution</v>
      </c>
      <c r="D1725" s="6" t="str">
        <f>'Ann2 - Step 3'!C1725</f>
        <v>Task Execution</v>
      </c>
      <c r="E1725" s="6" t="b">
        <f t="shared" si="14"/>
        <v>0</v>
      </c>
      <c r="F1725" s="6"/>
      <c r="G1725" s="6" t="str">
        <f t="shared" si="13"/>
        <v>Task Execution</v>
      </c>
    </row>
    <row r="1726" spans="1:7" ht="14" x14ac:dyDescent="0.15">
      <c r="A1726" s="6" t="s">
        <v>540</v>
      </c>
      <c r="B1726" s="8" t="s">
        <v>2967</v>
      </c>
      <c r="C1726" s="6" t="str">
        <f>'Ann1 - Step 3'!C1726</f>
        <v>Coding Style</v>
      </c>
      <c r="D1726" s="6" t="str">
        <f>'Ann2 - Step 3'!C1726</f>
        <v>Coding Style</v>
      </c>
      <c r="E1726" s="6" t="b">
        <f t="shared" si="14"/>
        <v>0</v>
      </c>
      <c r="F1726" s="6"/>
      <c r="G1726" s="6" t="str">
        <f t="shared" si="13"/>
        <v>Coding Style</v>
      </c>
    </row>
    <row r="1727" spans="1:7" ht="14" x14ac:dyDescent="0.15">
      <c r="A1727" s="6" t="s">
        <v>549</v>
      </c>
      <c r="B1727" s="8" t="s">
        <v>2968</v>
      </c>
      <c r="C1727" s="6" t="str">
        <f>'Ann1 - Step 3'!C1727</f>
        <v>Coding Pattern</v>
      </c>
      <c r="D1727" s="6" t="str">
        <f>'Ann2 - Step 3'!C1727</f>
        <v>Coding Pattern</v>
      </c>
      <c r="E1727" s="6" t="b">
        <f t="shared" si="14"/>
        <v>0</v>
      </c>
      <c r="F1727" s="6"/>
      <c r="G1727" s="6" t="str">
        <f t="shared" si="13"/>
        <v>Coding Pattern</v>
      </c>
    </row>
    <row r="1728" spans="1:7" ht="14" x14ac:dyDescent="0.15">
      <c r="A1728" s="6" t="s">
        <v>549</v>
      </c>
      <c r="B1728" s="8" t="s">
        <v>2969</v>
      </c>
      <c r="C1728" s="6" t="str">
        <f>'Ann1 - Step 3'!C1728</f>
        <v>Testing</v>
      </c>
      <c r="D1728" s="6" t="str">
        <f>'Ann2 - Step 3'!C1728</f>
        <v>Testing</v>
      </c>
      <c r="E1728" s="6" t="b">
        <f t="shared" si="14"/>
        <v>0</v>
      </c>
      <c r="F1728" s="6"/>
      <c r="G1728" s="6" t="str">
        <f t="shared" si="13"/>
        <v>Testing</v>
      </c>
    </row>
    <row r="1729" spans="1:7" ht="14" x14ac:dyDescent="0.15">
      <c r="A1729" s="6" t="s">
        <v>549</v>
      </c>
      <c r="B1729" s="8" t="s">
        <v>2970</v>
      </c>
      <c r="C1729" s="6" t="str">
        <f>'Ann1 - Step 3'!C1729</f>
        <v>Coding Pattern</v>
      </c>
      <c r="D1729" s="6" t="str">
        <f>'Ann2 - Step 3'!C1729</f>
        <v>Coding Pattern</v>
      </c>
      <c r="E1729" s="6" t="b">
        <f t="shared" si="14"/>
        <v>0</v>
      </c>
      <c r="F1729" s="6"/>
      <c r="G1729" s="6" t="str">
        <f t="shared" si="13"/>
        <v>Coding Pattern</v>
      </c>
    </row>
    <row r="1730" spans="1:7" ht="14" x14ac:dyDescent="0.15">
      <c r="A1730" s="6" t="s">
        <v>2330</v>
      </c>
      <c r="B1730" s="8" t="s">
        <v>2971</v>
      </c>
      <c r="C1730" s="6" t="str">
        <f>'Ann1 - Step 3'!C1730</f>
        <v>Testing</v>
      </c>
      <c r="D1730" s="6" t="str">
        <f>'Ann2 - Step 3'!C1730</f>
        <v>Testing</v>
      </c>
      <c r="E1730" s="6" t="b">
        <f t="shared" si="14"/>
        <v>0</v>
      </c>
      <c r="F1730" s="6"/>
      <c r="G1730" s="6" t="str">
        <f t="shared" si="13"/>
        <v>Testing</v>
      </c>
    </row>
    <row r="1731" spans="1:7" ht="14" x14ac:dyDescent="0.15">
      <c r="A1731" s="6" t="s">
        <v>557</v>
      </c>
      <c r="B1731" s="8" t="s">
        <v>2972</v>
      </c>
      <c r="C1731" s="6" t="str">
        <f>'Ann1 - Step 3'!C1731</f>
        <v>Coding Style</v>
      </c>
      <c r="D1731" s="6" t="str">
        <f>'Ann2 - Step 3'!C1731</f>
        <v>Coding Style</v>
      </c>
      <c r="E1731" s="6" t="b">
        <f t="shared" si="14"/>
        <v>0</v>
      </c>
      <c r="F1731" s="6"/>
      <c r="G1731" s="6" t="str">
        <f t="shared" si="13"/>
        <v>Coding Style</v>
      </c>
    </row>
    <row r="1732" spans="1:7" ht="14" x14ac:dyDescent="0.15">
      <c r="A1732" s="6" t="s">
        <v>663</v>
      </c>
      <c r="B1732" s="8" t="s">
        <v>2973</v>
      </c>
      <c r="C1732" s="6" t="str">
        <f>'Ann1 - Step 3'!C1732</f>
        <v>Testing</v>
      </c>
      <c r="D1732" s="6" t="str">
        <f>'Ann2 - Step 3'!C1732</f>
        <v>Testing</v>
      </c>
      <c r="E1732" s="6" t="b">
        <f t="shared" si="14"/>
        <v>0</v>
      </c>
      <c r="F1732" s="6"/>
      <c r="G1732" s="6" t="str">
        <f t="shared" si="13"/>
        <v>Testing</v>
      </c>
    </row>
    <row r="1733" spans="1:7" ht="14" x14ac:dyDescent="0.15">
      <c r="A1733" s="6" t="s">
        <v>1257</v>
      </c>
      <c r="B1733" s="8" t="s">
        <v>2974</v>
      </c>
      <c r="C1733" s="6" t="str">
        <f>'Ann1 - Step 3'!C1733</f>
        <v>Commit&amp;PR rule</v>
      </c>
      <c r="D1733" s="6" t="str">
        <f>'Ann2 - Step 3'!C1733</f>
        <v>Commit&amp;PR rule</v>
      </c>
      <c r="E1733" s="6" t="b">
        <f t="shared" si="14"/>
        <v>0</v>
      </c>
      <c r="F1733" s="6"/>
      <c r="G1733" s="6" t="str">
        <f t="shared" si="13"/>
        <v>Commit&amp;PR rule</v>
      </c>
    </row>
    <row r="1734" spans="1:7" ht="28" x14ac:dyDescent="0.15">
      <c r="A1734" s="6" t="s">
        <v>1257</v>
      </c>
      <c r="B1734" s="8" t="s">
        <v>2975</v>
      </c>
      <c r="C1734" s="6" t="str">
        <f>'Ann1 - Step 3'!C1734</f>
        <v>Task Execution</v>
      </c>
      <c r="D1734" s="6" t="str">
        <f>'Ann2 - Step 3'!C1734</f>
        <v>Task Execution</v>
      </c>
      <c r="E1734" s="6" t="b">
        <f t="shared" si="14"/>
        <v>0</v>
      </c>
      <c r="F1734" s="6"/>
      <c r="G1734" s="6" t="str">
        <f t="shared" si="13"/>
        <v>Task Execution</v>
      </c>
    </row>
    <row r="1735" spans="1:7" ht="14" x14ac:dyDescent="0.15">
      <c r="A1735" s="6" t="s">
        <v>1265</v>
      </c>
      <c r="B1735" s="8" t="s">
        <v>2976</v>
      </c>
      <c r="C1735" s="6" t="str">
        <f>'Ann1 - Step 3'!C1735</f>
        <v>Coding Pattern</v>
      </c>
      <c r="D1735" s="6" t="str">
        <f>'Ann2 - Step 3'!C1735</f>
        <v>Coding Pattern</v>
      </c>
      <c r="E1735" s="6" t="b">
        <f t="shared" si="14"/>
        <v>0</v>
      </c>
      <c r="F1735" s="6"/>
      <c r="G1735" s="6" t="str">
        <f t="shared" si="13"/>
        <v>Coding Pattern</v>
      </c>
    </row>
    <row r="1736" spans="1:7" ht="14" x14ac:dyDescent="0.15">
      <c r="A1736" s="6" t="s">
        <v>2345</v>
      </c>
      <c r="B1736" s="8" t="s">
        <v>2977</v>
      </c>
      <c r="C1736" s="6" t="str">
        <f>'Ann1 - Step 3'!C1736</f>
        <v>Coding Pattern</v>
      </c>
      <c r="D1736" s="6" t="str">
        <f>'Ann2 - Step 3'!C1736</f>
        <v>Coding Style</v>
      </c>
      <c r="E1736" s="6" t="b">
        <f t="shared" si="14"/>
        <v>1</v>
      </c>
      <c r="F1736" s="30" t="s">
        <v>30</v>
      </c>
      <c r="G1736" s="6" t="str">
        <f t="shared" si="13"/>
        <v>Coding Pattern</v>
      </c>
    </row>
    <row r="1737" spans="1:7" ht="14" x14ac:dyDescent="0.15">
      <c r="A1737" s="6" t="s">
        <v>572</v>
      </c>
      <c r="B1737" s="8" t="s">
        <v>2978</v>
      </c>
      <c r="C1737" s="6" t="str">
        <f>'Ann1 - Step 3'!C1737</f>
        <v>Coding Style</v>
      </c>
      <c r="D1737" s="6" t="str">
        <f>'Ann2 - Step 3'!C1737</f>
        <v>Coding Style</v>
      </c>
      <c r="E1737" s="6" t="b">
        <f t="shared" si="14"/>
        <v>0</v>
      </c>
      <c r="F1737" s="6"/>
      <c r="G1737" s="6" t="str">
        <f t="shared" si="13"/>
        <v>Coding Style</v>
      </c>
    </row>
    <row r="1738" spans="1:7" ht="28" x14ac:dyDescent="0.15">
      <c r="A1738" s="6" t="s">
        <v>572</v>
      </c>
      <c r="B1738" s="8" t="s">
        <v>2979</v>
      </c>
      <c r="C1738" s="6" t="str">
        <f>'Ann1 - Step 3'!C1738</f>
        <v>Coding Style</v>
      </c>
      <c r="D1738" s="6" t="str">
        <f>'Ann2 - Step 3'!C1738</f>
        <v>Coding Style</v>
      </c>
      <c r="E1738" s="6" t="b">
        <f t="shared" si="14"/>
        <v>0</v>
      </c>
      <c r="F1738" s="6"/>
      <c r="G1738" s="6" t="str">
        <f t="shared" si="13"/>
        <v>Coding Style</v>
      </c>
    </row>
    <row r="1739" spans="1:7" ht="28" x14ac:dyDescent="0.15">
      <c r="A1739" s="6" t="s">
        <v>572</v>
      </c>
      <c r="B1739" s="8" t="s">
        <v>2980</v>
      </c>
      <c r="C1739" s="6" t="str">
        <f>'Ann1 - Step 3'!C1739</f>
        <v>Coding Pattern</v>
      </c>
      <c r="D1739" s="6" t="str">
        <f>'Ann2 - Step 3'!C1739</f>
        <v>Coding Pattern</v>
      </c>
      <c r="E1739" s="6" t="b">
        <f t="shared" si="14"/>
        <v>0</v>
      </c>
      <c r="F1739" s="30"/>
      <c r="G1739" s="6" t="str">
        <f t="shared" si="13"/>
        <v>Coding Pattern</v>
      </c>
    </row>
    <row r="1740" spans="1:7" ht="14" x14ac:dyDescent="0.15">
      <c r="A1740" s="6" t="s">
        <v>577</v>
      </c>
      <c r="B1740" s="8" t="s">
        <v>2981</v>
      </c>
      <c r="C1740" s="6" t="str">
        <f>'Ann1 - Step 3'!C1740</f>
        <v>Task Execution</v>
      </c>
      <c r="D1740" s="6" t="str">
        <f>'Ann2 - Step 3'!C1740</f>
        <v>Task Execution</v>
      </c>
      <c r="E1740" s="6" t="b">
        <f t="shared" si="14"/>
        <v>0</v>
      </c>
      <c r="F1740" s="6"/>
      <c r="G1740" s="6" t="str">
        <f t="shared" si="13"/>
        <v>Task Execution</v>
      </c>
    </row>
    <row r="1741" spans="1:7" ht="14" x14ac:dyDescent="0.15">
      <c r="A1741" s="6" t="s">
        <v>577</v>
      </c>
      <c r="B1741" s="8" t="s">
        <v>2982</v>
      </c>
      <c r="C1741" s="6" t="str">
        <f>'Ann1 - Step 3'!C1741</f>
        <v>Task Execution</v>
      </c>
      <c r="D1741" s="6" t="str">
        <f>'Ann2 - Step 3'!C1741</f>
        <v>Maintainability</v>
      </c>
      <c r="E1741" s="6" t="b">
        <f t="shared" si="14"/>
        <v>1</v>
      </c>
      <c r="F1741" s="30" t="s">
        <v>18</v>
      </c>
      <c r="G1741" s="6" t="str">
        <f t="shared" si="13"/>
        <v>Task Execution</v>
      </c>
    </row>
    <row r="1742" spans="1:7" ht="14" x14ac:dyDescent="0.15">
      <c r="A1742" s="6" t="s">
        <v>577</v>
      </c>
      <c r="B1742" s="8" t="s">
        <v>2983</v>
      </c>
      <c r="C1742" s="6" t="str">
        <f>'Ann1 - Step 3'!C1742</f>
        <v>Coding Style</v>
      </c>
      <c r="D1742" s="6" t="str">
        <f>'Ann2 - Step 3'!C1742</f>
        <v>Coding Style</v>
      </c>
      <c r="E1742" s="6" t="b">
        <f t="shared" si="14"/>
        <v>0</v>
      </c>
      <c r="F1742" s="6"/>
      <c r="G1742" s="6" t="str">
        <f t="shared" si="13"/>
        <v>Coding Style</v>
      </c>
    </row>
    <row r="1743" spans="1:7" ht="14" x14ac:dyDescent="0.15">
      <c r="A1743" s="6" t="s">
        <v>577</v>
      </c>
      <c r="B1743" s="8" t="s">
        <v>2984</v>
      </c>
      <c r="C1743" s="6" t="str">
        <f>'Ann1 - Step 3'!C1743</f>
        <v>Coding Style</v>
      </c>
      <c r="D1743" s="6" t="str">
        <f>'Ann2 - Step 3'!C1743</f>
        <v>Coding Style</v>
      </c>
      <c r="E1743" s="6" t="b">
        <f t="shared" si="14"/>
        <v>0</v>
      </c>
      <c r="F1743" s="6"/>
      <c r="G1743" s="6" t="str">
        <f t="shared" si="13"/>
        <v>Coding Style</v>
      </c>
    </row>
    <row r="1744" spans="1:7" ht="14" x14ac:dyDescent="0.15">
      <c r="A1744" s="6" t="s">
        <v>582</v>
      </c>
      <c r="B1744" s="8" t="s">
        <v>2985</v>
      </c>
      <c r="C1744" s="6" t="str">
        <f>'Ann1 - Step 3'!C1744</f>
        <v>Coding Style</v>
      </c>
      <c r="D1744" s="6" t="str">
        <f>'Ann2 - Step 3'!C1744</f>
        <v>Coding Style</v>
      </c>
      <c r="E1744" s="6" t="b">
        <f t="shared" si="14"/>
        <v>0</v>
      </c>
      <c r="F1744" s="6"/>
      <c r="G1744" s="6" t="str">
        <f t="shared" si="13"/>
        <v>Coding Style</v>
      </c>
    </row>
    <row r="1745" spans="1:7" ht="14" x14ac:dyDescent="0.15">
      <c r="A1745" s="6" t="s">
        <v>2988</v>
      </c>
      <c r="B1745" s="8" t="s">
        <v>2989</v>
      </c>
      <c r="C1745" s="6" t="str">
        <f>'Ann1 - Step 3'!C1745</f>
        <v>Build &amp; Operation</v>
      </c>
      <c r="D1745" s="6" t="str">
        <f>'Ann2 - Step 3'!C1745</f>
        <v>Build &amp; Operation</v>
      </c>
      <c r="E1745" s="6" t="b">
        <f t="shared" si="14"/>
        <v>0</v>
      </c>
      <c r="F1745" s="6"/>
      <c r="G1745" s="6" t="str">
        <f t="shared" si="13"/>
        <v>Build &amp; Operation</v>
      </c>
    </row>
    <row r="1746" spans="1:7" ht="14" x14ac:dyDescent="0.15">
      <c r="A1746" s="6" t="s">
        <v>594</v>
      </c>
      <c r="B1746" s="8" t="s">
        <v>2990</v>
      </c>
      <c r="C1746" s="6" t="str">
        <f>'Ann1 - Step 3'!C1746</f>
        <v>Documentation</v>
      </c>
      <c r="D1746" s="6" t="str">
        <f>'Ann2 - Step 3'!C1746</f>
        <v>Documentation</v>
      </c>
      <c r="E1746" s="6" t="b">
        <f t="shared" si="14"/>
        <v>0</v>
      </c>
      <c r="F1746" s="6"/>
      <c r="G1746" s="6" t="str">
        <f t="shared" si="13"/>
        <v>Documentation</v>
      </c>
    </row>
    <row r="1747" spans="1:7" ht="14" x14ac:dyDescent="0.15">
      <c r="A1747" s="6" t="s">
        <v>594</v>
      </c>
      <c r="B1747" s="8" t="s">
        <v>2991</v>
      </c>
      <c r="C1747" s="6" t="str">
        <f>'Ann1 - Step 3'!C1747</f>
        <v>Documentation</v>
      </c>
      <c r="D1747" s="6" t="str">
        <f>'Ann2 - Step 3'!C1747</f>
        <v>Documentation</v>
      </c>
      <c r="E1747" s="6" t="b">
        <f t="shared" si="14"/>
        <v>0</v>
      </c>
      <c r="F1747" s="6"/>
      <c r="G1747" s="6" t="str">
        <f t="shared" si="13"/>
        <v>Documentation</v>
      </c>
    </row>
    <row r="1748" spans="1:7" ht="14" x14ac:dyDescent="0.15">
      <c r="A1748" s="6" t="s">
        <v>597</v>
      </c>
      <c r="B1748" s="8" t="s">
        <v>2992</v>
      </c>
      <c r="C1748" s="6" t="str">
        <f>'Ann1 - Step 3'!C1748</f>
        <v>Coding Pattern</v>
      </c>
      <c r="D1748" s="6" t="str">
        <f>'Ann2 - Step 3'!C1748</f>
        <v>Coding Pattern</v>
      </c>
      <c r="E1748" s="6" t="b">
        <f t="shared" si="14"/>
        <v>0</v>
      </c>
      <c r="F1748" s="6"/>
      <c r="G1748" s="6" t="str">
        <f t="shared" si="13"/>
        <v>Coding Pattern</v>
      </c>
    </row>
    <row r="1749" spans="1:7" ht="14" x14ac:dyDescent="0.15">
      <c r="A1749" s="6" t="s">
        <v>597</v>
      </c>
      <c r="B1749" s="8" t="s">
        <v>2993</v>
      </c>
      <c r="C1749" s="6" t="str">
        <f>'Ann1 - Step 3'!C1749</f>
        <v>Coding Pattern</v>
      </c>
      <c r="D1749" s="6" t="str">
        <f>'Ann2 - Step 3'!C1749</f>
        <v>Coding Pattern</v>
      </c>
      <c r="E1749" s="6" t="b">
        <f t="shared" si="14"/>
        <v>0</v>
      </c>
      <c r="F1749" s="6"/>
      <c r="G1749" s="6" t="str">
        <f t="shared" si="13"/>
        <v>Coding Pattern</v>
      </c>
    </row>
    <row r="1750" spans="1:7" ht="14" x14ac:dyDescent="0.15">
      <c r="A1750" s="6" t="s">
        <v>597</v>
      </c>
      <c r="B1750" s="8" t="s">
        <v>2994</v>
      </c>
      <c r="C1750" s="6" t="str">
        <f>'Ann1 - Step 3'!C1750</f>
        <v>Coding Pattern</v>
      </c>
      <c r="D1750" s="6" t="str">
        <f>'Ann2 - Step 3'!C1750</f>
        <v>Coding Pattern</v>
      </c>
      <c r="E1750" s="6" t="b">
        <f t="shared" si="14"/>
        <v>0</v>
      </c>
      <c r="F1750" s="6"/>
      <c r="G1750" s="6" t="str">
        <f t="shared" si="13"/>
        <v>Coding Pattern</v>
      </c>
    </row>
    <row r="1751" spans="1:7" ht="14" x14ac:dyDescent="0.15">
      <c r="A1751" s="6" t="s">
        <v>560</v>
      </c>
      <c r="B1751" s="8" t="s">
        <v>2995</v>
      </c>
      <c r="C1751" s="6" t="str">
        <f>'Ann1 - Step 3'!C1751</f>
        <v>Coding Pattern</v>
      </c>
      <c r="D1751" s="6" t="str">
        <f>'Ann2 - Step 3'!C1751</f>
        <v>Maintainability</v>
      </c>
      <c r="E1751" s="6" t="b">
        <f t="shared" si="14"/>
        <v>1</v>
      </c>
      <c r="F1751" s="30" t="s">
        <v>115</v>
      </c>
      <c r="G1751" s="6" t="str">
        <f t="shared" si="13"/>
        <v>Maintainability</v>
      </c>
    </row>
    <row r="1752" spans="1:7" ht="28" x14ac:dyDescent="0.15">
      <c r="A1752" s="6" t="s">
        <v>1165</v>
      </c>
      <c r="B1752" s="8" t="s">
        <v>2996</v>
      </c>
      <c r="C1752" s="6" t="str">
        <f>'Ann1 - Step 3'!C1752</f>
        <v>Task Execution</v>
      </c>
      <c r="D1752" s="6" t="str">
        <f>'Ann2 - Step 3'!C1752</f>
        <v>Coding Style</v>
      </c>
      <c r="E1752" s="6" t="b">
        <f t="shared" si="14"/>
        <v>1</v>
      </c>
      <c r="F1752" s="30" t="s">
        <v>83</v>
      </c>
      <c r="G1752" s="6" t="str">
        <f t="shared" si="13"/>
        <v>Coding Style</v>
      </c>
    </row>
    <row r="1753" spans="1:7" ht="14" x14ac:dyDescent="0.15">
      <c r="A1753" s="6" t="s">
        <v>1229</v>
      </c>
      <c r="B1753" s="8" t="s">
        <v>2997</v>
      </c>
      <c r="C1753" s="6" t="str">
        <f>'Ann1 - Step 3'!C1753</f>
        <v>Task Execution</v>
      </c>
      <c r="D1753" s="6" t="str">
        <f>'Ann2 - Step 3'!C1753</f>
        <v>Task Execution</v>
      </c>
      <c r="E1753" s="6" t="b">
        <f t="shared" si="14"/>
        <v>0</v>
      </c>
      <c r="F1753" s="6"/>
      <c r="G1753" s="6" t="str">
        <f t="shared" si="13"/>
        <v>Task Execution</v>
      </c>
    </row>
    <row r="1754" spans="1:7" ht="14" x14ac:dyDescent="0.15">
      <c r="A1754" s="6" t="s">
        <v>3000</v>
      </c>
      <c r="B1754" s="8" t="s">
        <v>3001</v>
      </c>
      <c r="C1754" s="6" t="str">
        <f>'Ann1 - Step 3'!C1754</f>
        <v>Commit&amp;PR rule</v>
      </c>
      <c r="D1754" s="6" t="str">
        <f>'Ann2 - Step 3'!C1754</f>
        <v>Commit&amp;PR rule</v>
      </c>
      <c r="E1754" s="6" t="b">
        <f t="shared" si="14"/>
        <v>0</v>
      </c>
      <c r="F1754" s="6"/>
      <c r="G1754" s="6" t="str">
        <f t="shared" si="13"/>
        <v>Commit&amp;PR rule</v>
      </c>
    </row>
    <row r="1755" spans="1:7" ht="14" x14ac:dyDescent="0.15">
      <c r="A1755" s="6" t="s">
        <v>32</v>
      </c>
      <c r="B1755" s="8" t="s">
        <v>3003</v>
      </c>
      <c r="C1755" s="6" t="str">
        <f>'Ann1 - Step 3'!C1755</f>
        <v>Coding Pattern</v>
      </c>
      <c r="D1755" s="6" t="str">
        <f>'Ann2 - Step 3'!C1755</f>
        <v>Testing</v>
      </c>
      <c r="E1755" s="6" t="b">
        <f t="shared" si="14"/>
        <v>1</v>
      </c>
      <c r="F1755" s="30" t="s">
        <v>30</v>
      </c>
      <c r="G1755" s="6" t="str">
        <f t="shared" si="13"/>
        <v>Coding Pattern</v>
      </c>
    </row>
    <row r="1756" spans="1:7" ht="28" x14ac:dyDescent="0.15">
      <c r="A1756" s="6" t="s">
        <v>401</v>
      </c>
      <c r="B1756" s="8" t="s">
        <v>3005</v>
      </c>
      <c r="C1756" s="6" t="str">
        <f>'Ann1 - Step 3'!C1756</f>
        <v>Commit&amp;PR rule</v>
      </c>
      <c r="D1756" s="6" t="str">
        <f>'Ann2 - Step 3'!C1756</f>
        <v>Commit&amp;PR rule</v>
      </c>
      <c r="E1756" s="6" t="b">
        <f t="shared" si="14"/>
        <v>0</v>
      </c>
      <c r="F1756" s="6"/>
      <c r="G1756" s="6" t="str">
        <f t="shared" si="13"/>
        <v>Commit&amp;PR rule</v>
      </c>
    </row>
    <row r="1757" spans="1:7" ht="28" x14ac:dyDescent="0.15">
      <c r="A1757" s="6" t="s">
        <v>401</v>
      </c>
      <c r="B1757" s="8" t="s">
        <v>3006</v>
      </c>
      <c r="C1757" s="6" t="str">
        <f>'Ann1 - Step 3'!C1757</f>
        <v>Commit&amp;PR rule</v>
      </c>
      <c r="D1757" s="6" t="str">
        <f>'Ann2 - Step 3'!C1757</f>
        <v>Commit&amp;PR rule</v>
      </c>
      <c r="E1757" s="6" t="b">
        <f t="shared" si="14"/>
        <v>0</v>
      </c>
      <c r="F1757" s="6"/>
      <c r="G1757" s="6" t="str">
        <f t="shared" si="13"/>
        <v>Commit&amp;PR rule</v>
      </c>
    </row>
    <row r="1758" spans="1:7" ht="28" x14ac:dyDescent="0.15">
      <c r="A1758" s="6" t="s">
        <v>429</v>
      </c>
      <c r="B1758" s="8" t="s">
        <v>3007</v>
      </c>
      <c r="C1758" s="6" t="str">
        <f>'Ann1 - Step 3'!C1758</f>
        <v>Coding Style</v>
      </c>
      <c r="D1758" s="6" t="str">
        <f>'Ann2 - Step 3'!C1758</f>
        <v>Coding Pattern</v>
      </c>
      <c r="E1758" s="6" t="b">
        <f t="shared" si="14"/>
        <v>1</v>
      </c>
      <c r="F1758" s="30" t="s">
        <v>30</v>
      </c>
      <c r="G1758" s="6" t="str">
        <f t="shared" si="13"/>
        <v>Coding Pattern</v>
      </c>
    </row>
    <row r="1759" spans="1:7" ht="14" x14ac:dyDescent="0.15">
      <c r="A1759" s="6" t="s">
        <v>1185</v>
      </c>
      <c r="B1759" s="8" t="s">
        <v>3008</v>
      </c>
      <c r="C1759" s="6" t="str">
        <f>'Ann1 - Step 3'!C1759</f>
        <v>Coding Style</v>
      </c>
      <c r="D1759" s="6" t="str">
        <f>'Ann2 - Step 3'!C1759</f>
        <v>Coding Style</v>
      </c>
      <c r="E1759" s="6" t="b">
        <f t="shared" si="14"/>
        <v>0</v>
      </c>
      <c r="F1759" s="6"/>
      <c r="G1759" s="6" t="str">
        <f t="shared" si="13"/>
        <v>Coding Style</v>
      </c>
    </row>
    <row r="1760" spans="1:7" ht="14" x14ac:dyDescent="0.15">
      <c r="A1760" s="6" t="s">
        <v>1210</v>
      </c>
      <c r="B1760" s="8" t="s">
        <v>3008</v>
      </c>
      <c r="C1760" s="6" t="str">
        <f>'Ann1 - Step 3'!C1760</f>
        <v>Coding Style</v>
      </c>
      <c r="D1760" s="6" t="str">
        <f>'Ann2 - Step 3'!C1760</f>
        <v>Coding Style</v>
      </c>
      <c r="E1760" s="6" t="b">
        <f t="shared" si="14"/>
        <v>0</v>
      </c>
      <c r="F1760" s="6"/>
      <c r="G1760" s="6" t="str">
        <f t="shared" si="13"/>
        <v>Coding Style</v>
      </c>
    </row>
    <row r="1761" spans="1:7" ht="14" x14ac:dyDescent="0.15">
      <c r="A1761" s="6" t="s">
        <v>497</v>
      </c>
      <c r="B1761" s="8" t="s">
        <v>3009</v>
      </c>
      <c r="C1761" s="6" t="str">
        <f>'Ann1 - Step 3'!C1761</f>
        <v>Coding Style</v>
      </c>
      <c r="D1761" s="6" t="str">
        <f>'Ann2 - Step 3'!C1761</f>
        <v>Coding Style</v>
      </c>
      <c r="E1761" s="6" t="b">
        <f t="shared" si="14"/>
        <v>0</v>
      </c>
      <c r="F1761" s="6"/>
      <c r="G1761" s="6" t="str">
        <f t="shared" si="13"/>
        <v>Coding Style</v>
      </c>
    </row>
    <row r="1762" spans="1:7" ht="14" x14ac:dyDescent="0.15">
      <c r="A1762" s="6" t="s">
        <v>636</v>
      </c>
      <c r="B1762" s="8" t="s">
        <v>3010</v>
      </c>
      <c r="C1762" s="6" t="str">
        <f>'Ann1 - Step 3'!C1762</f>
        <v>Coding Style</v>
      </c>
      <c r="D1762" s="6" t="str">
        <f>'Ann2 - Step 3'!C1762</f>
        <v>Coding Style</v>
      </c>
      <c r="E1762" s="6" t="b">
        <f t="shared" si="14"/>
        <v>0</v>
      </c>
      <c r="F1762" s="6"/>
      <c r="G1762" s="6" t="str">
        <f t="shared" si="13"/>
        <v>Coding Style</v>
      </c>
    </row>
    <row r="1763" spans="1:7" ht="14" x14ac:dyDescent="0.15">
      <c r="A1763" s="6" t="s">
        <v>133</v>
      </c>
      <c r="B1763" s="8" t="s">
        <v>3012</v>
      </c>
      <c r="C1763" s="6" t="str">
        <f>'Ann1 - Step 3'!C1763</f>
        <v>Documentation</v>
      </c>
      <c r="D1763" s="6" t="str">
        <f>'Ann2 - Step 3'!C1763</f>
        <v>Documentation</v>
      </c>
      <c r="E1763" s="6" t="b">
        <f t="shared" si="14"/>
        <v>0</v>
      </c>
      <c r="F1763" s="30"/>
      <c r="G1763" s="6" t="str">
        <f t="shared" si="13"/>
        <v>Documentation</v>
      </c>
    </row>
    <row r="1764" spans="1:7" ht="28" x14ac:dyDescent="0.15">
      <c r="A1764" s="6" t="s">
        <v>170</v>
      </c>
      <c r="B1764" s="8" t="s">
        <v>3013</v>
      </c>
      <c r="C1764" s="6" t="str">
        <f>'Ann1 - Step 3'!C1764</f>
        <v>Commit&amp;PR rule</v>
      </c>
      <c r="D1764" s="6" t="str">
        <f>'Ann2 - Step 3'!C1764</f>
        <v>Commit&amp;PR rule</v>
      </c>
      <c r="E1764" s="6" t="b">
        <f t="shared" si="14"/>
        <v>0</v>
      </c>
      <c r="F1764" s="6"/>
      <c r="G1764" s="6" t="str">
        <f t="shared" si="13"/>
        <v>Commit&amp;PR rule</v>
      </c>
    </row>
    <row r="1765" spans="1:7" ht="14" x14ac:dyDescent="0.15">
      <c r="A1765" s="6" t="s">
        <v>234</v>
      </c>
      <c r="B1765" s="8" t="s">
        <v>3014</v>
      </c>
      <c r="C1765" s="6" t="str">
        <f>'Ann1 - Step 3'!C1765</f>
        <v>Coding Style</v>
      </c>
      <c r="D1765" s="6" t="str">
        <f>'Ann2 - Step 3'!C1765</f>
        <v>Coding Style</v>
      </c>
      <c r="E1765" s="6" t="b">
        <f>IF(C1765=D1764, FALSE, TRUE)</f>
        <v>1</v>
      </c>
      <c r="F1765" s="30" t="s">
        <v>83</v>
      </c>
      <c r="G1765" s="6" t="str">
        <f t="shared" si="13"/>
        <v>Coding Style</v>
      </c>
    </row>
    <row r="1766" spans="1:7" ht="14" x14ac:dyDescent="0.15">
      <c r="A1766" s="6" t="s">
        <v>946</v>
      </c>
      <c r="B1766" s="8" t="s">
        <v>3015</v>
      </c>
      <c r="C1766" s="6" t="str">
        <f>'Ann1 - Step 3'!C1766</f>
        <v>Coding Style</v>
      </c>
      <c r="D1766" s="6" t="str">
        <f>'Ann2 - Step 3'!C1766</f>
        <v>Coding Style</v>
      </c>
      <c r="E1766" s="6" t="b">
        <f t="shared" ref="E1766:E1943" si="15">IF(C1766=D1766, FALSE, TRUE)</f>
        <v>0</v>
      </c>
      <c r="F1766" s="6"/>
      <c r="G1766" s="6" t="str">
        <f t="shared" si="13"/>
        <v>Coding Style</v>
      </c>
    </row>
    <row r="1767" spans="1:7" ht="14" x14ac:dyDescent="0.15">
      <c r="A1767" s="6" t="s">
        <v>327</v>
      </c>
      <c r="B1767" s="8" t="s">
        <v>3016</v>
      </c>
      <c r="C1767" s="6" t="str">
        <f>'Ann1 - Step 3'!C1767</f>
        <v>Task Execution</v>
      </c>
      <c r="D1767" s="6" t="str">
        <f>'Ann2 - Step 3'!C1767</f>
        <v>Coding Pattern</v>
      </c>
      <c r="E1767" s="6" t="b">
        <f t="shared" si="15"/>
        <v>1</v>
      </c>
      <c r="F1767" s="30" t="s">
        <v>30</v>
      </c>
      <c r="G1767" s="6" t="str">
        <f t="shared" si="13"/>
        <v>Coding Pattern</v>
      </c>
    </row>
    <row r="1768" spans="1:7" ht="14" x14ac:dyDescent="0.15">
      <c r="A1768" s="6" t="s">
        <v>347</v>
      </c>
      <c r="B1768" s="8" t="s">
        <v>3017</v>
      </c>
      <c r="C1768" s="6" t="str">
        <f>'Ann1 - Step 3'!C1768</f>
        <v>Documentation</v>
      </c>
      <c r="D1768" s="6" t="str">
        <f>'Ann2 - Step 3'!C1768</f>
        <v>Documentation</v>
      </c>
      <c r="E1768" s="6" t="b">
        <f t="shared" si="15"/>
        <v>0</v>
      </c>
      <c r="F1768" s="30"/>
      <c r="G1768" s="6" t="str">
        <f t="shared" si="13"/>
        <v>Documentation</v>
      </c>
    </row>
    <row r="1769" spans="1:7" ht="28" x14ac:dyDescent="0.15">
      <c r="A1769" s="6" t="s">
        <v>1013</v>
      </c>
      <c r="B1769" s="8" t="s">
        <v>3018</v>
      </c>
      <c r="C1769" s="6" t="str">
        <f>'Ann1 - Step 3'!C1769</f>
        <v>Coding Style</v>
      </c>
      <c r="D1769" s="6" t="str">
        <f>'Ann2 - Step 3'!C1769</f>
        <v>Coding Style</v>
      </c>
      <c r="E1769" s="6" t="b">
        <f t="shared" si="15"/>
        <v>0</v>
      </c>
      <c r="F1769" s="6"/>
      <c r="G1769" s="6" t="str">
        <f t="shared" si="13"/>
        <v>Coding Style</v>
      </c>
    </row>
    <row r="1770" spans="1:7" ht="14" x14ac:dyDescent="0.15">
      <c r="A1770" s="6" t="s">
        <v>53</v>
      </c>
      <c r="B1770" s="8" t="s">
        <v>3019</v>
      </c>
      <c r="C1770" s="6" t="str">
        <f>'Ann1 - Step 3'!C1770</f>
        <v>Coding Style</v>
      </c>
      <c r="D1770" s="6" t="str">
        <f>'Ann2 - Step 3'!C1770</f>
        <v>Coding Style</v>
      </c>
      <c r="E1770" s="6" t="b">
        <f t="shared" si="15"/>
        <v>0</v>
      </c>
      <c r="F1770" s="6"/>
      <c r="G1770" s="6" t="str">
        <f t="shared" si="13"/>
        <v>Coding Style</v>
      </c>
    </row>
    <row r="1771" spans="1:7" ht="14" x14ac:dyDescent="0.15">
      <c r="A1771" s="6" t="s">
        <v>1557</v>
      </c>
      <c r="B1771" s="8" t="s">
        <v>3019</v>
      </c>
      <c r="C1771" s="6" t="str">
        <f>'Ann1 - Step 3'!C1771</f>
        <v>Coding Style</v>
      </c>
      <c r="D1771" s="6" t="str">
        <f>'Ann2 - Step 3'!C1771</f>
        <v>Coding Style</v>
      </c>
      <c r="E1771" s="6" t="b">
        <f t="shared" si="15"/>
        <v>0</v>
      </c>
      <c r="F1771" s="6"/>
      <c r="G1771" s="6" t="str">
        <f t="shared" si="13"/>
        <v>Coding Style</v>
      </c>
    </row>
    <row r="1772" spans="1:7" ht="14" x14ac:dyDescent="0.15">
      <c r="A1772" s="6" t="s">
        <v>540</v>
      </c>
      <c r="B1772" s="8" t="s">
        <v>3020</v>
      </c>
      <c r="C1772" s="6" t="str">
        <f>'Ann1 - Step 3'!C1772</f>
        <v>Coding Style</v>
      </c>
      <c r="D1772" s="6" t="str">
        <f>'Ann2 - Step 3'!C1772</f>
        <v>Coding Style</v>
      </c>
      <c r="E1772" s="6" t="b">
        <f t="shared" si="15"/>
        <v>0</v>
      </c>
      <c r="F1772" s="6"/>
      <c r="G1772" s="6" t="str">
        <f t="shared" si="13"/>
        <v>Coding Style</v>
      </c>
    </row>
    <row r="1773" spans="1:7" ht="14" x14ac:dyDescent="0.15">
      <c r="A1773" s="6" t="s">
        <v>463</v>
      </c>
      <c r="B1773" s="8" t="s">
        <v>3021</v>
      </c>
      <c r="C1773" s="6" t="str">
        <f>'Ann1 - Step 3'!C1773</f>
        <v>Coding Pattern</v>
      </c>
      <c r="D1773" s="6" t="str">
        <f>'Ann2 - Step 3'!C1773</f>
        <v>Coding Pattern</v>
      </c>
      <c r="E1773" s="6" t="b">
        <f t="shared" si="15"/>
        <v>0</v>
      </c>
      <c r="F1773" s="6"/>
      <c r="G1773" s="6" t="str">
        <f t="shared" si="13"/>
        <v>Coding Pattern</v>
      </c>
    </row>
    <row r="1774" spans="1:7" ht="42" x14ac:dyDescent="0.15">
      <c r="A1774" s="6" t="s">
        <v>347</v>
      </c>
      <c r="B1774" s="8" t="s">
        <v>3023</v>
      </c>
      <c r="C1774" s="6" t="str">
        <f>'Ann1 - Step 3'!C1774</f>
        <v>Coding Pattern</v>
      </c>
      <c r="D1774" s="6" t="str">
        <f>'Ann2 - Step 3'!C1774</f>
        <v>Coding Pattern</v>
      </c>
      <c r="E1774" s="6" t="b">
        <f t="shared" si="15"/>
        <v>0</v>
      </c>
      <c r="F1774" s="6"/>
      <c r="G1774" s="6" t="str">
        <f t="shared" si="13"/>
        <v>Coding Pattern</v>
      </c>
    </row>
    <row r="1775" spans="1:7" ht="14" x14ac:dyDescent="0.15">
      <c r="A1775" s="6" t="s">
        <v>546</v>
      </c>
      <c r="B1775" s="8" t="s">
        <v>3025</v>
      </c>
      <c r="C1775" s="6" t="str">
        <f>'Ann1 - Step 3'!C1775</f>
        <v>Coding Pattern</v>
      </c>
      <c r="D1775" s="6" t="str">
        <f>'Ann2 - Step 3'!C1775</f>
        <v>Coding Pattern</v>
      </c>
      <c r="E1775" s="6" t="b">
        <f t="shared" si="15"/>
        <v>0</v>
      </c>
      <c r="F1775" s="6"/>
      <c r="G1775" s="6" t="str">
        <f t="shared" si="13"/>
        <v>Coding Pattern</v>
      </c>
    </row>
    <row r="1776" spans="1:7" ht="14" x14ac:dyDescent="0.15">
      <c r="A1776" s="6" t="s">
        <v>1300</v>
      </c>
      <c r="B1776" s="8" t="s">
        <v>3026</v>
      </c>
      <c r="C1776" s="6" t="str">
        <f>'Ann1 - Step 3'!C1776</f>
        <v>Task Execution</v>
      </c>
      <c r="D1776" s="6" t="str">
        <f>'Ann2 - Step 3'!C1776</f>
        <v>Task Execution</v>
      </c>
      <c r="E1776" s="6" t="b">
        <f t="shared" si="15"/>
        <v>0</v>
      </c>
      <c r="F1776" s="6"/>
      <c r="G1776" s="6" t="str">
        <f t="shared" si="13"/>
        <v>Task Execution</v>
      </c>
    </row>
    <row r="1777" spans="1:7" ht="28" x14ac:dyDescent="0.15">
      <c r="A1777" s="6" t="s">
        <v>103</v>
      </c>
      <c r="B1777" s="8" t="s">
        <v>3027</v>
      </c>
      <c r="C1777" s="6" t="str">
        <f>'Ann1 - Step 3'!C1777</f>
        <v>Build &amp; Operation</v>
      </c>
      <c r="D1777" s="6" t="str">
        <f>'Ann2 - Step 3'!C1777</f>
        <v>Build &amp; Operation</v>
      </c>
      <c r="E1777" s="6" t="b">
        <f t="shared" si="15"/>
        <v>0</v>
      </c>
      <c r="F1777" s="6"/>
      <c r="G1777" s="6" t="str">
        <f t="shared" si="13"/>
        <v>Build &amp; Operation</v>
      </c>
    </row>
    <row r="1778" spans="1:7" ht="14" x14ac:dyDescent="0.15">
      <c r="A1778" s="6" t="s">
        <v>832</v>
      </c>
      <c r="B1778" s="8" t="s">
        <v>3029</v>
      </c>
      <c r="C1778" s="6" t="str">
        <f>'Ann1 - Step 3'!C1778</f>
        <v>Task Execution</v>
      </c>
      <c r="D1778" s="6" t="str">
        <f>'Ann2 - Step 3'!C1778</f>
        <v>Task Execution</v>
      </c>
      <c r="E1778" s="6" t="b">
        <f t="shared" si="15"/>
        <v>0</v>
      </c>
      <c r="F1778" s="6"/>
      <c r="G1778" s="6" t="str">
        <f t="shared" si="13"/>
        <v>Task Execution</v>
      </c>
    </row>
    <row r="1779" spans="1:7" ht="14" x14ac:dyDescent="0.15">
      <c r="A1779" s="6" t="s">
        <v>133</v>
      </c>
      <c r="B1779" s="8" t="s">
        <v>3030</v>
      </c>
      <c r="C1779" s="6" t="str">
        <f>'Ann1 - Step 3'!C1779</f>
        <v>Testing</v>
      </c>
      <c r="D1779" s="6" t="str">
        <f>'Ann2 - Step 3'!C1779</f>
        <v>Coding Style</v>
      </c>
      <c r="E1779" s="6" t="b">
        <f t="shared" si="15"/>
        <v>1</v>
      </c>
      <c r="F1779" s="30" t="s">
        <v>30</v>
      </c>
      <c r="G1779" s="6" t="str">
        <f t="shared" si="13"/>
        <v>Coding Pattern</v>
      </c>
    </row>
    <row r="1780" spans="1:7" ht="14" x14ac:dyDescent="0.15">
      <c r="A1780" s="6" t="s">
        <v>696</v>
      </c>
      <c r="B1780" s="8" t="s">
        <v>3032</v>
      </c>
      <c r="C1780" s="6" t="str">
        <f>'Ann1 - Step 3'!C1780</f>
        <v>Commit&amp;PR rule</v>
      </c>
      <c r="D1780" s="6" t="str">
        <f>'Ann2 - Step 3'!C1780</f>
        <v>Commit&amp;PR rule</v>
      </c>
      <c r="E1780" s="6" t="b">
        <f t="shared" si="15"/>
        <v>0</v>
      </c>
      <c r="F1780" s="6"/>
      <c r="G1780" s="6" t="str">
        <f t="shared" si="13"/>
        <v>Commit&amp;PR rule</v>
      </c>
    </row>
    <row r="1781" spans="1:7" ht="14" x14ac:dyDescent="0.15">
      <c r="A1781" s="31" t="s">
        <v>668</v>
      </c>
      <c r="B1781" s="8" t="s">
        <v>3034</v>
      </c>
      <c r="C1781" s="6" t="str">
        <f>'Ann1 - Step 3'!C1781</f>
        <v>Commit&amp;PR rule</v>
      </c>
      <c r="D1781" s="6" t="str">
        <f>'Ann2 - Step 3'!C1781</f>
        <v>Code Review</v>
      </c>
      <c r="E1781" s="6" t="b">
        <f t="shared" si="15"/>
        <v>1</v>
      </c>
      <c r="F1781" s="30" t="s">
        <v>67</v>
      </c>
      <c r="G1781" s="6" t="str">
        <f t="shared" si="13"/>
        <v>Code Review</v>
      </c>
    </row>
    <row r="1782" spans="1:7" ht="14" x14ac:dyDescent="0.15">
      <c r="A1782" s="6" t="s">
        <v>45</v>
      </c>
      <c r="B1782" s="8" t="s">
        <v>3035</v>
      </c>
      <c r="C1782" s="6" t="str">
        <f>'Ann1 - Step 3'!C1782</f>
        <v>Documentation</v>
      </c>
      <c r="D1782" s="6" t="str">
        <f>'Ann2 - Step 3'!C1782</f>
        <v>Documentation</v>
      </c>
      <c r="E1782" s="6" t="b">
        <f t="shared" si="15"/>
        <v>0</v>
      </c>
      <c r="F1782" s="6"/>
      <c r="G1782" s="6" t="str">
        <f t="shared" si="13"/>
        <v>Documentation</v>
      </c>
    </row>
    <row r="1783" spans="1:7" ht="14" x14ac:dyDescent="0.15">
      <c r="A1783" s="6" t="s">
        <v>103</v>
      </c>
      <c r="B1783" s="8" t="s">
        <v>3036</v>
      </c>
      <c r="C1783" s="6" t="str">
        <f>'Ann1 - Step 3'!C1783</f>
        <v>Build &amp; Operation</v>
      </c>
      <c r="D1783" s="6" t="str">
        <f>'Ann2 - Step 3'!C1783</f>
        <v>Build &amp; Operation</v>
      </c>
      <c r="E1783" s="6" t="b">
        <f t="shared" si="15"/>
        <v>0</v>
      </c>
      <c r="F1783" s="6"/>
      <c r="G1783" s="6" t="str">
        <f t="shared" si="13"/>
        <v>Build &amp; Operation</v>
      </c>
    </row>
    <row r="1784" spans="1:7" ht="28" x14ac:dyDescent="0.15">
      <c r="A1784" s="6" t="s">
        <v>239</v>
      </c>
      <c r="B1784" s="8" t="s">
        <v>3038</v>
      </c>
      <c r="C1784" s="6" t="str">
        <f>'Ann1 - Step 3'!C1784</f>
        <v>Task Execution</v>
      </c>
      <c r="D1784" s="6" t="str">
        <f>'Ann2 - Step 3'!C1784</f>
        <v>Task Execution</v>
      </c>
      <c r="E1784" s="6" t="b">
        <f t="shared" si="15"/>
        <v>0</v>
      </c>
      <c r="F1784" s="6"/>
      <c r="G1784" s="6" t="str">
        <f t="shared" si="13"/>
        <v>Task Execution</v>
      </c>
    </row>
    <row r="1785" spans="1:7" ht="14" x14ac:dyDescent="0.15">
      <c r="A1785" s="31" t="s">
        <v>249</v>
      </c>
      <c r="B1785" s="8" t="s">
        <v>3039</v>
      </c>
      <c r="C1785" s="6" t="str">
        <f>'Ann1 - Step 3'!C1785</f>
        <v>Task Execution</v>
      </c>
      <c r="D1785" s="6" t="str">
        <f>'Ann2 - Step 3'!C1785</f>
        <v>Build &amp; Operation</v>
      </c>
      <c r="E1785" s="6" t="b">
        <f t="shared" si="15"/>
        <v>1</v>
      </c>
      <c r="F1785" s="30" t="s">
        <v>136</v>
      </c>
      <c r="G1785" s="6" t="str">
        <f t="shared" si="13"/>
        <v>Build &amp; Operation</v>
      </c>
    </row>
    <row r="1786" spans="1:7" ht="14" x14ac:dyDescent="0.15">
      <c r="A1786" s="6" t="s">
        <v>256</v>
      </c>
      <c r="B1786" s="8" t="s">
        <v>3040</v>
      </c>
      <c r="C1786" s="6" t="str">
        <f>'Ann1 - Step 3'!C1786</f>
        <v>Task Execution</v>
      </c>
      <c r="D1786" s="6" t="str">
        <f>'Ann2 - Step 3'!C1786</f>
        <v>Build &amp; Operation</v>
      </c>
      <c r="E1786" s="6" t="b">
        <f t="shared" si="15"/>
        <v>1</v>
      </c>
      <c r="F1786" s="30" t="s">
        <v>136</v>
      </c>
      <c r="G1786" s="6" t="str">
        <f t="shared" si="13"/>
        <v>Build &amp; Operation</v>
      </c>
    </row>
    <row r="1787" spans="1:7" ht="14" x14ac:dyDescent="0.15">
      <c r="A1787" s="6" t="s">
        <v>934</v>
      </c>
      <c r="B1787" s="8" t="s">
        <v>3041</v>
      </c>
      <c r="C1787" s="6" t="str">
        <f>'Ann1 - Step 3'!C1787</f>
        <v>Build &amp; Operation</v>
      </c>
      <c r="D1787" s="6" t="str">
        <f>'Ann2 - Step 3'!C1787</f>
        <v>Build &amp; Operation</v>
      </c>
      <c r="E1787" s="6" t="b">
        <f t="shared" si="15"/>
        <v>0</v>
      </c>
      <c r="F1787" s="6"/>
      <c r="G1787" s="6" t="str">
        <f t="shared" ref="G1787:G1943" si="16">IF(E1787=TRUE,F1787,D1787)</f>
        <v>Build &amp; Operation</v>
      </c>
    </row>
    <row r="1788" spans="1:7" ht="14" x14ac:dyDescent="0.15">
      <c r="A1788" s="6" t="s">
        <v>934</v>
      </c>
      <c r="B1788" s="8" t="s">
        <v>3041</v>
      </c>
      <c r="C1788" s="6" t="str">
        <f>'Ann1 - Step 3'!C1788</f>
        <v>Build &amp; Operation</v>
      </c>
      <c r="D1788" s="6" t="str">
        <f>'Ann2 - Step 3'!C1788</f>
        <v>Build &amp; Operation</v>
      </c>
      <c r="E1788" s="6" t="b">
        <f t="shared" si="15"/>
        <v>0</v>
      </c>
      <c r="F1788" s="6"/>
      <c r="G1788" s="6" t="str">
        <f t="shared" si="16"/>
        <v>Build &amp; Operation</v>
      </c>
    </row>
    <row r="1789" spans="1:7" ht="14" x14ac:dyDescent="0.15">
      <c r="A1789" s="6" t="s">
        <v>934</v>
      </c>
      <c r="B1789" s="8" t="s">
        <v>3041</v>
      </c>
      <c r="C1789" s="6" t="str">
        <f>'Ann1 - Step 3'!C1789</f>
        <v>Build &amp; Operation</v>
      </c>
      <c r="D1789" s="6" t="str">
        <f>'Ann2 - Step 3'!C1789</f>
        <v>Build &amp; Operation</v>
      </c>
      <c r="E1789" s="6" t="b">
        <f t="shared" si="15"/>
        <v>0</v>
      </c>
      <c r="F1789" s="6"/>
      <c r="G1789" s="6" t="str">
        <f t="shared" si="16"/>
        <v>Build &amp; Operation</v>
      </c>
    </row>
    <row r="1790" spans="1:7" ht="14" x14ac:dyDescent="0.15">
      <c r="A1790" s="6" t="s">
        <v>934</v>
      </c>
      <c r="B1790" s="8" t="s">
        <v>3041</v>
      </c>
      <c r="C1790" s="6" t="str">
        <f>'Ann1 - Step 3'!C1790</f>
        <v>Build &amp; Operation</v>
      </c>
      <c r="D1790" s="6" t="str">
        <f>'Ann2 - Step 3'!C1790</f>
        <v>Build &amp; Operation</v>
      </c>
      <c r="E1790" s="6" t="b">
        <f t="shared" si="15"/>
        <v>0</v>
      </c>
      <c r="F1790" s="6"/>
      <c r="G1790" s="6" t="str">
        <f t="shared" si="16"/>
        <v>Build &amp; Operation</v>
      </c>
    </row>
    <row r="1791" spans="1:7" ht="14" x14ac:dyDescent="0.15">
      <c r="A1791" s="6" t="s">
        <v>950</v>
      </c>
      <c r="B1791" s="8" t="s">
        <v>3042</v>
      </c>
      <c r="C1791" s="6" t="str">
        <f>'Ann1 - Step 3'!C1791</f>
        <v>Testing</v>
      </c>
      <c r="D1791" s="6" t="str">
        <f>'Ann2 - Step 3'!C1791</f>
        <v>Testing</v>
      </c>
      <c r="E1791" s="6" t="b">
        <f t="shared" si="15"/>
        <v>0</v>
      </c>
      <c r="F1791" s="6"/>
      <c r="G1791" s="6" t="str">
        <f t="shared" si="16"/>
        <v>Testing</v>
      </c>
    </row>
    <row r="1792" spans="1:7" ht="14" x14ac:dyDescent="0.15">
      <c r="A1792" s="6" t="s">
        <v>2184</v>
      </c>
      <c r="B1792" s="8" t="s">
        <v>3043</v>
      </c>
      <c r="C1792" s="6" t="str">
        <f>'Ann1 - Step 3'!C1792</f>
        <v>Writing Style Preference</v>
      </c>
      <c r="D1792" s="6" t="str">
        <f>'Ann2 - Step 3'!C1792</f>
        <v>Writing Style Preference</v>
      </c>
      <c r="E1792" s="6" t="b">
        <f t="shared" si="15"/>
        <v>0</v>
      </c>
      <c r="F1792" s="6"/>
      <c r="G1792" s="6" t="str">
        <f t="shared" si="16"/>
        <v>Writing Style Preference</v>
      </c>
    </row>
    <row r="1793" spans="1:7" ht="14" x14ac:dyDescent="0.15">
      <c r="A1793" s="6" t="s">
        <v>1094</v>
      </c>
      <c r="B1793" s="8" t="s">
        <v>3044</v>
      </c>
      <c r="C1793" s="6" t="str">
        <f>'Ann1 - Step 3'!C1793</f>
        <v>Documentation</v>
      </c>
      <c r="D1793" s="6" t="str">
        <f>'Ann2 - Step 3'!C1793</f>
        <v>Documentation</v>
      </c>
      <c r="E1793" s="6" t="b">
        <f t="shared" si="15"/>
        <v>0</v>
      </c>
      <c r="F1793" s="30"/>
      <c r="G1793" s="6" t="str">
        <f t="shared" si="16"/>
        <v>Documentation</v>
      </c>
    </row>
    <row r="1794" spans="1:7" ht="28" x14ac:dyDescent="0.15">
      <c r="A1794" s="6" t="s">
        <v>1517</v>
      </c>
      <c r="B1794" s="8" t="s">
        <v>3038</v>
      </c>
      <c r="C1794" s="6" t="str">
        <f>'Ann1 - Step 3'!C1794</f>
        <v>Task Execution</v>
      </c>
      <c r="D1794" s="6" t="str">
        <f>'Ann2 - Step 3'!C1794</f>
        <v>Task Execution</v>
      </c>
      <c r="E1794" s="6" t="b">
        <f t="shared" si="15"/>
        <v>0</v>
      </c>
      <c r="F1794" s="6"/>
      <c r="G1794" s="6" t="str">
        <f t="shared" si="16"/>
        <v>Task Execution</v>
      </c>
    </row>
    <row r="1795" spans="1:7" ht="14" x14ac:dyDescent="0.15">
      <c r="A1795" s="6" t="s">
        <v>1155</v>
      </c>
      <c r="B1795" s="8" t="s">
        <v>3041</v>
      </c>
      <c r="C1795" s="6" t="str">
        <f>'Ann1 - Step 3'!C1795</f>
        <v>Build &amp; Operation</v>
      </c>
      <c r="D1795" s="6" t="str">
        <f>'Ann2 - Step 3'!C1795</f>
        <v>Build &amp; Operation</v>
      </c>
      <c r="E1795" s="6" t="b">
        <f t="shared" si="15"/>
        <v>0</v>
      </c>
      <c r="F1795" s="6"/>
      <c r="G1795" s="6" t="str">
        <f t="shared" si="16"/>
        <v>Build &amp; Operation</v>
      </c>
    </row>
    <row r="1796" spans="1:7" ht="14" x14ac:dyDescent="0.15">
      <c r="A1796" s="6" t="s">
        <v>1155</v>
      </c>
      <c r="B1796" s="8" t="s">
        <v>3041</v>
      </c>
      <c r="C1796" s="6" t="str">
        <f>'Ann1 - Step 3'!C1796</f>
        <v>Build &amp; Operation</v>
      </c>
      <c r="D1796" s="6" t="str">
        <f>'Ann2 - Step 3'!C1796</f>
        <v>Build &amp; Operation</v>
      </c>
      <c r="E1796" s="6" t="b">
        <f t="shared" si="15"/>
        <v>0</v>
      </c>
      <c r="F1796" s="6"/>
      <c r="G1796" s="6" t="str">
        <f t="shared" si="16"/>
        <v>Build &amp; Operation</v>
      </c>
    </row>
    <row r="1797" spans="1:7" ht="14" x14ac:dyDescent="0.15">
      <c r="A1797" s="6" t="s">
        <v>1155</v>
      </c>
      <c r="B1797" s="8" t="s">
        <v>3041</v>
      </c>
      <c r="C1797" s="6" t="str">
        <f>'Ann1 - Step 3'!C1797</f>
        <v>Build &amp; Operation</v>
      </c>
      <c r="D1797" s="6" t="str">
        <f>'Ann2 - Step 3'!C1797</f>
        <v>Build &amp; Operation</v>
      </c>
      <c r="E1797" s="6" t="b">
        <f t="shared" si="15"/>
        <v>0</v>
      </c>
      <c r="F1797" s="6"/>
      <c r="G1797" s="6" t="str">
        <f t="shared" si="16"/>
        <v>Build &amp; Operation</v>
      </c>
    </row>
    <row r="1798" spans="1:7" ht="14" x14ac:dyDescent="0.15">
      <c r="A1798" s="6" t="s">
        <v>1155</v>
      </c>
      <c r="B1798" s="8" t="s">
        <v>3041</v>
      </c>
      <c r="C1798" s="6" t="str">
        <f>'Ann1 - Step 3'!C1798</f>
        <v>Build &amp; Operation</v>
      </c>
      <c r="D1798" s="6" t="str">
        <f>'Ann2 - Step 3'!C1798</f>
        <v>Build &amp; Operation</v>
      </c>
      <c r="E1798" s="6" t="b">
        <f t="shared" si="15"/>
        <v>0</v>
      </c>
      <c r="F1798" s="6"/>
      <c r="G1798" s="6" t="str">
        <f t="shared" si="16"/>
        <v>Build &amp; Operation</v>
      </c>
    </row>
    <row r="1799" spans="1:7" ht="28" x14ac:dyDescent="0.15">
      <c r="A1799" s="6" t="s">
        <v>1234</v>
      </c>
      <c r="B1799" s="8" t="s">
        <v>3045</v>
      </c>
      <c r="C1799" s="6" t="str">
        <f>'Ann1 - Step 3'!C1799</f>
        <v>Testing</v>
      </c>
      <c r="D1799" s="6" t="str">
        <f>'Ann2 - Step 3'!C1799</f>
        <v>Testing</v>
      </c>
      <c r="E1799" s="6" t="b">
        <f t="shared" si="15"/>
        <v>0</v>
      </c>
      <c r="F1799" s="6"/>
      <c r="G1799" s="6" t="str">
        <f t="shared" si="16"/>
        <v>Testing</v>
      </c>
    </row>
    <row r="1800" spans="1:7" ht="14" x14ac:dyDescent="0.15">
      <c r="A1800" s="6" t="s">
        <v>2323</v>
      </c>
      <c r="B1800" s="8" t="s">
        <v>3046</v>
      </c>
      <c r="C1800" s="6" t="str">
        <f>'Ann1 - Step 3'!C1800</f>
        <v>Coding Pattern</v>
      </c>
      <c r="D1800" s="6" t="str">
        <f>'Ann2 - Step 3'!C1800</f>
        <v>Testing</v>
      </c>
      <c r="E1800" s="6" t="b">
        <f t="shared" si="15"/>
        <v>1</v>
      </c>
      <c r="F1800" s="30" t="s">
        <v>30</v>
      </c>
      <c r="G1800" s="6" t="str">
        <f t="shared" si="16"/>
        <v>Coding Pattern</v>
      </c>
    </row>
    <row r="1801" spans="1:7" ht="28" x14ac:dyDescent="0.15">
      <c r="A1801" s="6" t="s">
        <v>107</v>
      </c>
      <c r="B1801" s="8" t="s">
        <v>3047</v>
      </c>
      <c r="C1801" s="6" t="str">
        <f>'Ann1 - Step 3'!C1801</f>
        <v>Task Execution</v>
      </c>
      <c r="D1801" s="6" t="str">
        <f>'Ann2 - Step 3'!C1801</f>
        <v>Task Execution</v>
      </c>
      <c r="E1801" s="6" t="b">
        <f t="shared" si="15"/>
        <v>0</v>
      </c>
      <c r="F1801" s="6"/>
      <c r="G1801" s="6" t="str">
        <f t="shared" si="16"/>
        <v>Task Execution</v>
      </c>
    </row>
    <row r="1802" spans="1:7" ht="28" x14ac:dyDescent="0.15">
      <c r="A1802" s="6" t="s">
        <v>234</v>
      </c>
      <c r="B1802" s="8" t="s">
        <v>3049</v>
      </c>
      <c r="C1802" s="6" t="str">
        <f>'Ann1 - Step 3'!C1802</f>
        <v>Testing</v>
      </c>
      <c r="D1802" s="6" t="str">
        <f>'Ann2 - Step 3'!C1802</f>
        <v>Testing</v>
      </c>
      <c r="E1802" s="6" t="b">
        <f t="shared" si="15"/>
        <v>0</v>
      </c>
      <c r="F1802" s="6"/>
      <c r="G1802" s="6" t="str">
        <f t="shared" si="16"/>
        <v>Testing</v>
      </c>
    </row>
    <row r="1803" spans="1:7" ht="14" x14ac:dyDescent="0.15">
      <c r="A1803" s="6" t="s">
        <v>950</v>
      </c>
      <c r="B1803" s="8" t="s">
        <v>3051</v>
      </c>
      <c r="C1803" s="6" t="str">
        <f>'Ann1 - Step 3'!C1803</f>
        <v>Testing</v>
      </c>
      <c r="D1803" s="6" t="str">
        <f>'Ann2 - Step 3'!C1803</f>
        <v>Testing</v>
      </c>
      <c r="E1803" s="6" t="b">
        <f t="shared" si="15"/>
        <v>0</v>
      </c>
      <c r="F1803" s="6"/>
      <c r="G1803" s="6" t="str">
        <f t="shared" si="16"/>
        <v>Testing</v>
      </c>
    </row>
    <row r="1804" spans="1:7" ht="28" x14ac:dyDescent="0.15">
      <c r="A1804" s="6" t="s">
        <v>112</v>
      </c>
      <c r="B1804" s="8" t="s">
        <v>3047</v>
      </c>
      <c r="C1804" s="6" t="str">
        <f>'Ann1 - Step 3'!C1804</f>
        <v>Task Execution</v>
      </c>
      <c r="D1804" s="6" t="str">
        <f>'Ann2 - Step 3'!C1804</f>
        <v>Task Execution</v>
      </c>
      <c r="E1804" s="6" t="b">
        <f t="shared" si="15"/>
        <v>0</v>
      </c>
      <c r="F1804" s="6"/>
      <c r="G1804" s="6" t="str">
        <f t="shared" si="16"/>
        <v>Task Execution</v>
      </c>
    </row>
    <row r="1805" spans="1:7" ht="14" x14ac:dyDescent="0.15">
      <c r="A1805" s="6" t="s">
        <v>166</v>
      </c>
      <c r="B1805" s="8" t="s">
        <v>3052</v>
      </c>
      <c r="C1805" s="6" t="str">
        <f>'Ann1 - Step 3'!C1805</f>
        <v>Commit&amp;PR rule</v>
      </c>
      <c r="D1805" s="6" t="str">
        <f>'Ann2 - Step 3'!C1805</f>
        <v>Code Review</v>
      </c>
      <c r="E1805" s="6" t="b">
        <f t="shared" si="15"/>
        <v>1</v>
      </c>
      <c r="F1805" s="30" t="s">
        <v>67</v>
      </c>
      <c r="G1805" s="6" t="str">
        <f t="shared" si="16"/>
        <v>Code Review</v>
      </c>
    </row>
    <row r="1806" spans="1:7" ht="14" x14ac:dyDescent="0.15">
      <c r="A1806" s="6" t="s">
        <v>170</v>
      </c>
      <c r="B1806" s="8" t="s">
        <v>3053</v>
      </c>
      <c r="C1806" s="6" t="str">
        <f>'Ann1 - Step 3'!C1806</f>
        <v>Commit&amp;PR rule</v>
      </c>
      <c r="D1806" s="6" t="str">
        <f>'Ann2 - Step 3'!C1806</f>
        <v>Commit&amp;PR rule</v>
      </c>
      <c r="E1806" s="6" t="b">
        <f t="shared" si="15"/>
        <v>0</v>
      </c>
      <c r="F1806" s="6"/>
      <c r="G1806" s="6" t="str">
        <f t="shared" si="16"/>
        <v>Commit&amp;PR rule</v>
      </c>
    </row>
    <row r="1807" spans="1:7" ht="14" x14ac:dyDescent="0.15">
      <c r="A1807" s="6" t="s">
        <v>107</v>
      </c>
      <c r="B1807" s="8" t="s">
        <v>3054</v>
      </c>
      <c r="C1807" s="6" t="str">
        <f>'Ann1 - Step 3'!C1807</f>
        <v>Task Execution</v>
      </c>
      <c r="D1807" s="6" t="str">
        <f>'Ann2 - Step 3'!C1807</f>
        <v>Task Execution</v>
      </c>
      <c r="E1807" s="6" t="b">
        <f t="shared" si="15"/>
        <v>0</v>
      </c>
      <c r="F1807" s="6"/>
      <c r="G1807" s="6" t="str">
        <f t="shared" si="16"/>
        <v>Task Execution</v>
      </c>
    </row>
    <row r="1808" spans="1:7" ht="28" x14ac:dyDescent="0.15">
      <c r="A1808" s="6" t="s">
        <v>600</v>
      </c>
      <c r="B1808" s="8" t="s">
        <v>3055</v>
      </c>
      <c r="C1808" s="6" t="str">
        <f>'Ann1 - Step 3'!C1808</f>
        <v>Security</v>
      </c>
      <c r="D1808" s="6" t="str">
        <f>'Ann2 - Step 3'!C1808</f>
        <v>Security</v>
      </c>
      <c r="E1808" s="6" t="b">
        <f t="shared" si="15"/>
        <v>0</v>
      </c>
      <c r="F1808" s="6"/>
      <c r="G1808" s="6" t="str">
        <f t="shared" si="16"/>
        <v>Security</v>
      </c>
    </row>
    <row r="1809" spans="1:7" ht="14" x14ac:dyDescent="0.15">
      <c r="A1809" s="6" t="s">
        <v>822</v>
      </c>
      <c r="B1809" s="8" t="s">
        <v>3056</v>
      </c>
      <c r="C1809" s="6" t="str">
        <f>'Ann1 - Step 3'!C1809</f>
        <v>Task Execution</v>
      </c>
      <c r="D1809" s="6" t="str">
        <f>'Ann2 - Step 3'!C1809</f>
        <v>Task Execution</v>
      </c>
      <c r="E1809" s="6" t="b">
        <f t="shared" si="15"/>
        <v>0</v>
      </c>
      <c r="F1809" s="6"/>
      <c r="G1809" s="6" t="str">
        <f t="shared" si="16"/>
        <v>Task Execution</v>
      </c>
    </row>
    <row r="1810" spans="1:7" ht="14" x14ac:dyDescent="0.15">
      <c r="A1810" s="31" t="s">
        <v>2831</v>
      </c>
      <c r="B1810" s="8" t="s">
        <v>3057</v>
      </c>
      <c r="C1810" s="6" t="str">
        <f>'Ann1 - Step 3'!C1810</f>
        <v>Task Execution</v>
      </c>
      <c r="D1810" s="6" t="str">
        <f>'Ann2 - Step 3'!C1810</f>
        <v>Coding Pattern</v>
      </c>
      <c r="E1810" s="6" t="b">
        <f t="shared" si="15"/>
        <v>1</v>
      </c>
      <c r="F1810" s="30" t="s">
        <v>18</v>
      </c>
      <c r="G1810" s="6" t="str">
        <f t="shared" si="16"/>
        <v>Task Execution</v>
      </c>
    </row>
    <row r="1811" spans="1:7" ht="14" x14ac:dyDescent="0.15">
      <c r="A1811" s="6" t="s">
        <v>230</v>
      </c>
      <c r="B1811" s="8" t="s">
        <v>3058</v>
      </c>
      <c r="C1811" s="6" t="str">
        <f>'Ann1 - Step 3'!C1811</f>
        <v>Task Execution</v>
      </c>
      <c r="D1811" s="6" t="str">
        <f>'Ann2 - Step 3'!C1811</f>
        <v>Task Execution</v>
      </c>
      <c r="E1811" s="6" t="b">
        <f t="shared" si="15"/>
        <v>0</v>
      </c>
      <c r="F1811" s="6"/>
      <c r="G1811" s="6" t="str">
        <f t="shared" si="16"/>
        <v>Task Execution</v>
      </c>
    </row>
    <row r="1812" spans="1:7" ht="14" x14ac:dyDescent="0.15">
      <c r="A1812" s="6" t="s">
        <v>234</v>
      </c>
      <c r="B1812" s="8" t="s">
        <v>3059</v>
      </c>
      <c r="C1812" s="6" t="str">
        <f>'Ann1 - Step 3'!C1812</f>
        <v>Coding Pattern</v>
      </c>
      <c r="D1812" s="6" t="str">
        <f>'Ann2 - Step 3'!C1812</f>
        <v>Testing</v>
      </c>
      <c r="E1812" s="6" t="b">
        <f t="shared" si="15"/>
        <v>1</v>
      </c>
      <c r="F1812" s="30" t="s">
        <v>88</v>
      </c>
      <c r="G1812" s="6" t="str">
        <f t="shared" si="16"/>
        <v>Testing</v>
      </c>
    </row>
    <row r="1813" spans="1:7" ht="14" x14ac:dyDescent="0.15">
      <c r="A1813" s="6" t="s">
        <v>327</v>
      </c>
      <c r="B1813" s="8" t="s">
        <v>3060</v>
      </c>
      <c r="C1813" s="6" t="str">
        <f>'Ann1 - Step 3'!C1813</f>
        <v>Coding Pattern</v>
      </c>
      <c r="D1813" s="6" t="str">
        <f>'Ann2 - Step 3'!C1813</f>
        <v>Coding Pattern</v>
      </c>
      <c r="E1813" s="6" t="b">
        <f t="shared" si="15"/>
        <v>0</v>
      </c>
      <c r="F1813" s="6"/>
      <c r="G1813" s="6" t="str">
        <f t="shared" si="16"/>
        <v>Coding Pattern</v>
      </c>
    </row>
    <row r="1814" spans="1:7" ht="14" x14ac:dyDescent="0.15">
      <c r="A1814" s="6" t="s">
        <v>1057</v>
      </c>
      <c r="B1814" s="8" t="s">
        <v>3061</v>
      </c>
      <c r="C1814" s="6" t="str">
        <f>'Ann1 - Step 3'!C1814</f>
        <v>Security</v>
      </c>
      <c r="D1814" s="6" t="str">
        <f>'Ann2 - Step 3'!C1814</f>
        <v>Security</v>
      </c>
      <c r="E1814" s="6" t="b">
        <f t="shared" si="15"/>
        <v>0</v>
      </c>
      <c r="F1814" s="6"/>
      <c r="G1814" s="6" t="str">
        <f t="shared" si="16"/>
        <v>Security</v>
      </c>
    </row>
    <row r="1815" spans="1:7" ht="14" x14ac:dyDescent="0.15">
      <c r="A1815" s="31" t="s">
        <v>395</v>
      </c>
      <c r="B1815" s="8" t="s">
        <v>3062</v>
      </c>
      <c r="C1815" s="6" t="str">
        <f>'Ann1 - Step 3'!C1815</f>
        <v>Commit&amp;PR rule</v>
      </c>
      <c r="D1815" s="6" t="str">
        <f>'Ann2 - Step 3'!C1815</f>
        <v>Task Execution</v>
      </c>
      <c r="E1815" s="6" t="b">
        <f t="shared" si="15"/>
        <v>1</v>
      </c>
      <c r="F1815" s="30" t="s">
        <v>12</v>
      </c>
      <c r="G1815" s="6" t="str">
        <f t="shared" si="16"/>
        <v>Commit&amp;PR rule</v>
      </c>
    </row>
    <row r="1816" spans="1:7" ht="14" x14ac:dyDescent="0.15">
      <c r="A1816" s="31" t="s">
        <v>395</v>
      </c>
      <c r="B1816" s="8" t="s">
        <v>3063</v>
      </c>
      <c r="C1816" s="6" t="str">
        <f>'Ann1 - Step 3'!C1816</f>
        <v>Task Execution</v>
      </c>
      <c r="D1816" s="6" t="str">
        <f>'Ann2 - Step 3'!C1816</f>
        <v>Task Execution</v>
      </c>
      <c r="E1816" s="6" t="b">
        <f t="shared" si="15"/>
        <v>0</v>
      </c>
      <c r="F1816" s="30"/>
      <c r="G1816" s="6" t="str">
        <f t="shared" si="16"/>
        <v>Task Execution</v>
      </c>
    </row>
    <row r="1817" spans="1:7" ht="14" x14ac:dyDescent="0.15">
      <c r="A1817" s="6" t="s">
        <v>94</v>
      </c>
      <c r="B1817" s="8" t="s">
        <v>3064</v>
      </c>
      <c r="C1817" s="6" t="str">
        <f>'Ann1 - Step 3'!C1817</f>
        <v>Coding Pattern</v>
      </c>
      <c r="D1817" s="6" t="str">
        <f>'Ann2 - Step 3'!C1817</f>
        <v>Coding Pattern</v>
      </c>
      <c r="E1817" s="6" t="b">
        <f t="shared" si="15"/>
        <v>0</v>
      </c>
      <c r="F1817" s="6"/>
      <c r="G1817" s="6" t="str">
        <f t="shared" si="16"/>
        <v>Coding Pattern</v>
      </c>
    </row>
    <row r="1818" spans="1:7" ht="14" x14ac:dyDescent="0.15">
      <c r="A1818" s="6" t="s">
        <v>463</v>
      </c>
      <c r="B1818" s="8" t="s">
        <v>3060</v>
      </c>
      <c r="C1818" s="6" t="str">
        <f>'Ann1 - Step 3'!C1818</f>
        <v>Coding Pattern</v>
      </c>
      <c r="D1818" s="6" t="str">
        <f>'Ann2 - Step 3'!C1818</f>
        <v>Coding Pattern</v>
      </c>
      <c r="E1818" s="6" t="b">
        <f t="shared" si="15"/>
        <v>0</v>
      </c>
      <c r="F1818" s="6"/>
      <c r="G1818" s="6" t="str">
        <f t="shared" si="16"/>
        <v>Coding Pattern</v>
      </c>
    </row>
    <row r="1819" spans="1:7" ht="28" x14ac:dyDescent="0.15">
      <c r="A1819" s="6" t="s">
        <v>703</v>
      </c>
      <c r="B1819" s="8" t="s">
        <v>3065</v>
      </c>
      <c r="C1819" s="6" t="str">
        <f>'Ann1 - Step 3'!C1819</f>
        <v>Task Execution</v>
      </c>
      <c r="D1819" s="6" t="str">
        <f>'Ann2 - Step 3'!C1819</f>
        <v>Task Execution</v>
      </c>
      <c r="E1819" s="6" t="b">
        <f t="shared" si="15"/>
        <v>0</v>
      </c>
      <c r="F1819" s="6"/>
      <c r="G1819" s="6" t="str">
        <f t="shared" si="16"/>
        <v>Task Execution</v>
      </c>
    </row>
    <row r="1820" spans="1:7" ht="28" x14ac:dyDescent="0.15">
      <c r="A1820" s="6" t="s">
        <v>703</v>
      </c>
      <c r="B1820" s="8" t="s">
        <v>3066</v>
      </c>
      <c r="C1820" s="6" t="str">
        <f>'Ann1 - Step 3'!C1820</f>
        <v>Task Execution</v>
      </c>
      <c r="D1820" s="6" t="str">
        <f>'Ann2 - Step 3'!C1820</f>
        <v>Task Execution</v>
      </c>
      <c r="E1820" s="6" t="b">
        <f t="shared" si="15"/>
        <v>0</v>
      </c>
      <c r="F1820" s="6"/>
      <c r="G1820" s="6" t="str">
        <f t="shared" si="16"/>
        <v>Task Execution</v>
      </c>
    </row>
    <row r="1821" spans="1:7" ht="14" x14ac:dyDescent="0.15">
      <c r="A1821" s="6" t="s">
        <v>703</v>
      </c>
      <c r="B1821" s="8" t="s">
        <v>3067</v>
      </c>
      <c r="C1821" s="6" t="str">
        <f>'Ann1 - Step 3'!C1821</f>
        <v>Task Execution</v>
      </c>
      <c r="D1821" s="6" t="str">
        <f>'Ann2 - Step 3'!C1821</f>
        <v>Task Execution</v>
      </c>
      <c r="E1821" s="6" t="b">
        <f t="shared" si="15"/>
        <v>0</v>
      </c>
      <c r="F1821" s="6"/>
      <c r="G1821" s="6" t="str">
        <f t="shared" si="16"/>
        <v>Task Execution</v>
      </c>
    </row>
    <row r="1822" spans="1:7" ht="14" x14ac:dyDescent="0.15">
      <c r="A1822" s="6" t="s">
        <v>703</v>
      </c>
      <c r="B1822" s="8" t="s">
        <v>3068</v>
      </c>
      <c r="C1822" s="6" t="str">
        <f>'Ann1 - Step 3'!C1822</f>
        <v>Build &amp; Operation</v>
      </c>
      <c r="D1822" s="6" t="str">
        <f>'Ann2 - Step 3'!C1822</f>
        <v>Task Execution</v>
      </c>
      <c r="E1822" s="6" t="b">
        <f t="shared" si="15"/>
        <v>1</v>
      </c>
      <c r="F1822" s="30" t="s">
        <v>18</v>
      </c>
      <c r="G1822" s="6" t="str">
        <f t="shared" si="16"/>
        <v>Task Execution</v>
      </c>
    </row>
    <row r="1823" spans="1:7" ht="14" x14ac:dyDescent="0.15">
      <c r="A1823" s="6" t="s">
        <v>1185</v>
      </c>
      <c r="B1823" s="8" t="s">
        <v>3069</v>
      </c>
      <c r="C1823" s="6" t="str">
        <f>'Ann1 - Step 3'!C1823</f>
        <v>Build &amp; Operation</v>
      </c>
      <c r="D1823" s="6" t="str">
        <f>'Ann2 - Step 3'!C1823</f>
        <v>Coding Pattern</v>
      </c>
      <c r="E1823" s="6" t="b">
        <f t="shared" si="15"/>
        <v>1</v>
      </c>
      <c r="F1823" s="30" t="s">
        <v>30</v>
      </c>
      <c r="G1823" s="6" t="str">
        <f t="shared" si="16"/>
        <v>Coding Pattern</v>
      </c>
    </row>
    <row r="1824" spans="1:7" ht="14" x14ac:dyDescent="0.15">
      <c r="A1824" s="6" t="s">
        <v>1191</v>
      </c>
      <c r="B1824" s="8" t="s">
        <v>3070</v>
      </c>
      <c r="C1824" s="6" t="str">
        <f>'Ann1 - Step 3'!C1824</f>
        <v>Task Execution</v>
      </c>
      <c r="D1824" s="6" t="str">
        <f>'Ann2 - Step 3'!C1824</f>
        <v>Documentation</v>
      </c>
      <c r="E1824" s="6" t="b">
        <f t="shared" si="15"/>
        <v>1</v>
      </c>
      <c r="F1824" s="30" t="s">
        <v>23</v>
      </c>
      <c r="G1824" s="6" t="str">
        <f t="shared" si="16"/>
        <v>Documentation</v>
      </c>
    </row>
    <row r="1825" spans="1:7" ht="14" x14ac:dyDescent="0.15">
      <c r="A1825" s="6" t="s">
        <v>1207</v>
      </c>
      <c r="B1825" s="8" t="s">
        <v>3071</v>
      </c>
      <c r="C1825" s="6" t="str">
        <f>'Ann1 - Step 3'!C1825</f>
        <v>Coding Style</v>
      </c>
      <c r="D1825" s="6" t="str">
        <f>'Ann2 - Step 3'!C1825</f>
        <v>Coding Style</v>
      </c>
      <c r="E1825" s="6" t="b">
        <f t="shared" si="15"/>
        <v>0</v>
      </c>
      <c r="F1825" s="6"/>
      <c r="G1825" s="6" t="str">
        <f t="shared" si="16"/>
        <v>Coding Style</v>
      </c>
    </row>
    <row r="1826" spans="1:7" ht="14" x14ac:dyDescent="0.15">
      <c r="A1826" s="6" t="s">
        <v>57</v>
      </c>
      <c r="B1826" s="8" t="s">
        <v>3072</v>
      </c>
      <c r="C1826" s="6" t="str">
        <f>'Ann1 - Step 3'!C1826</f>
        <v>Build &amp; Operation</v>
      </c>
      <c r="D1826" s="6" t="str">
        <f>'Ann2 - Step 3'!C1826</f>
        <v>Build &amp; Operation</v>
      </c>
      <c r="E1826" s="6" t="b">
        <f t="shared" si="15"/>
        <v>0</v>
      </c>
      <c r="F1826" s="6"/>
      <c r="G1826" s="6" t="str">
        <f t="shared" si="16"/>
        <v>Build &amp; Operation</v>
      </c>
    </row>
    <row r="1827" spans="1:7" ht="14" x14ac:dyDescent="0.15">
      <c r="A1827" s="6" t="s">
        <v>1563</v>
      </c>
      <c r="B1827" s="8" t="s">
        <v>3073</v>
      </c>
      <c r="C1827" s="6" t="str">
        <f>'Ann1 - Step 3'!C1827</f>
        <v>Coding Pattern</v>
      </c>
      <c r="D1827" s="6" t="str">
        <f>'Ann2 - Step 3'!C1827</f>
        <v>Coding Pattern</v>
      </c>
      <c r="E1827" s="6" t="b">
        <f t="shared" si="15"/>
        <v>0</v>
      </c>
      <c r="F1827" s="6"/>
      <c r="G1827" s="6" t="str">
        <f t="shared" si="16"/>
        <v>Coding Pattern</v>
      </c>
    </row>
    <row r="1828" spans="1:7" ht="14" x14ac:dyDescent="0.15">
      <c r="A1828" s="6" t="s">
        <v>1563</v>
      </c>
      <c r="B1828" s="8" t="s">
        <v>3074</v>
      </c>
      <c r="C1828" s="6" t="str">
        <f>'Ann1 - Step 3'!C1828</f>
        <v>Coding Pattern</v>
      </c>
      <c r="D1828" s="6" t="str">
        <f>'Ann2 - Step 3'!C1828</f>
        <v>Coding Pattern</v>
      </c>
      <c r="E1828" s="6" t="b">
        <f t="shared" si="15"/>
        <v>0</v>
      </c>
      <c r="F1828" s="6"/>
      <c r="G1828" s="6" t="str">
        <f t="shared" si="16"/>
        <v>Coding Pattern</v>
      </c>
    </row>
    <row r="1829" spans="1:7" ht="14" x14ac:dyDescent="0.15">
      <c r="A1829" s="6" t="s">
        <v>112</v>
      </c>
      <c r="B1829" s="8" t="s">
        <v>3054</v>
      </c>
      <c r="C1829" s="6" t="str">
        <f>'Ann1 - Step 3'!C1829</f>
        <v>Task Execution</v>
      </c>
      <c r="D1829" s="6" t="str">
        <f>'Ann2 - Step 3'!C1829</f>
        <v>Task Execution</v>
      </c>
      <c r="E1829" s="6" t="b">
        <f t="shared" si="15"/>
        <v>0</v>
      </c>
      <c r="F1829" s="6"/>
      <c r="G1829" s="6" t="str">
        <f t="shared" si="16"/>
        <v>Task Execution</v>
      </c>
    </row>
    <row r="1830" spans="1:7" ht="14" x14ac:dyDescent="0.15">
      <c r="A1830" s="6" t="s">
        <v>1234</v>
      </c>
      <c r="B1830" s="8" t="s">
        <v>3075</v>
      </c>
      <c r="C1830" s="6" t="str">
        <f>'Ann1 - Step 3'!C1830</f>
        <v>Coding Pattern</v>
      </c>
      <c r="D1830" s="6" t="str">
        <f>'Ann2 - Step 3'!C1830</f>
        <v>Coding Pattern</v>
      </c>
      <c r="E1830" s="6" t="b">
        <f t="shared" si="15"/>
        <v>0</v>
      </c>
      <c r="F1830" s="6"/>
      <c r="G1830" s="6" t="str">
        <f t="shared" si="16"/>
        <v>Coding Pattern</v>
      </c>
    </row>
    <row r="1831" spans="1:7" ht="28" x14ac:dyDescent="0.15">
      <c r="A1831" s="6" t="s">
        <v>1234</v>
      </c>
      <c r="B1831" s="8" t="s">
        <v>3076</v>
      </c>
      <c r="C1831" s="6" t="str">
        <f>'Ann1 - Step 3'!C1831</f>
        <v>Coding Pattern</v>
      </c>
      <c r="D1831" s="6" t="str">
        <f>'Ann2 - Step 3'!C1831</f>
        <v>Build &amp; Operation</v>
      </c>
      <c r="E1831" s="6" t="b">
        <f t="shared" si="15"/>
        <v>1</v>
      </c>
      <c r="F1831" s="30" t="s">
        <v>30</v>
      </c>
      <c r="G1831" s="6" t="str">
        <f t="shared" si="16"/>
        <v>Coding Pattern</v>
      </c>
    </row>
    <row r="1832" spans="1:7" ht="14" x14ac:dyDescent="0.15">
      <c r="A1832" s="6" t="s">
        <v>572</v>
      </c>
      <c r="B1832" s="8" t="s">
        <v>3077</v>
      </c>
      <c r="C1832" s="6" t="str">
        <f>'Ann1 - Step 3'!C1832</f>
        <v>Coding Style</v>
      </c>
      <c r="D1832" s="6" t="str">
        <f>'Ann2 - Step 3'!C1832</f>
        <v>Coding Pattern</v>
      </c>
      <c r="E1832" s="6" t="b">
        <f t="shared" si="15"/>
        <v>1</v>
      </c>
      <c r="F1832" s="30" t="s">
        <v>30</v>
      </c>
      <c r="G1832" s="6" t="str">
        <f t="shared" si="16"/>
        <v>Coding Pattern</v>
      </c>
    </row>
    <row r="1833" spans="1:7" ht="28" x14ac:dyDescent="0.15">
      <c r="A1833" s="6" t="s">
        <v>120</v>
      </c>
      <c r="B1833" s="8" t="s">
        <v>3078</v>
      </c>
      <c r="C1833" s="6" t="str">
        <f>'Ann1 - Step 3'!C1833</f>
        <v>Task Execution</v>
      </c>
      <c r="D1833" s="6" t="str">
        <f>'Ann2 - Step 3'!C1833</f>
        <v>Task Execution</v>
      </c>
      <c r="E1833" s="6" t="b">
        <f t="shared" si="15"/>
        <v>0</v>
      </c>
      <c r="F1833" s="6"/>
      <c r="G1833" s="6" t="str">
        <f t="shared" si="16"/>
        <v>Task Execution</v>
      </c>
    </row>
    <row r="1834" spans="1:7" ht="14" x14ac:dyDescent="0.15">
      <c r="A1834" s="6" t="s">
        <v>543</v>
      </c>
      <c r="B1834" s="8" t="s">
        <v>3080</v>
      </c>
      <c r="C1834" s="6" t="str">
        <f>'Ann1 - Step 3'!C1834</f>
        <v>Task Execution</v>
      </c>
      <c r="D1834" s="6" t="str">
        <f>'Ann2 - Step 3'!C1834</f>
        <v>Task Execution</v>
      </c>
      <c r="E1834" s="6" t="b">
        <f t="shared" si="15"/>
        <v>0</v>
      </c>
      <c r="F1834" s="6"/>
      <c r="G1834" s="6" t="str">
        <f t="shared" si="16"/>
        <v>Task Execution</v>
      </c>
    </row>
    <row r="1835" spans="1:7" ht="14" x14ac:dyDescent="0.15">
      <c r="A1835" s="6" t="s">
        <v>582</v>
      </c>
      <c r="B1835" s="8" t="s">
        <v>3081</v>
      </c>
      <c r="C1835" s="6" t="str">
        <f>'Ann1 - Step 3'!C1835</f>
        <v>Coding Style</v>
      </c>
      <c r="D1835" s="6" t="str">
        <f>'Ann2 - Step 3'!C1835</f>
        <v>Coding Pattern</v>
      </c>
      <c r="E1835" s="6" t="b">
        <f t="shared" si="15"/>
        <v>1</v>
      </c>
      <c r="F1835" s="30" t="s">
        <v>30</v>
      </c>
      <c r="G1835" s="6" t="str">
        <f t="shared" si="16"/>
        <v>Coding Pattern</v>
      </c>
    </row>
    <row r="1836" spans="1:7" ht="28" x14ac:dyDescent="0.15">
      <c r="A1836" s="6" t="s">
        <v>234</v>
      </c>
      <c r="B1836" s="8" t="s">
        <v>3082</v>
      </c>
      <c r="C1836" s="6" t="str">
        <f>'Ann1 - Step 3'!C1836</f>
        <v>Testing</v>
      </c>
      <c r="D1836" s="6" t="str">
        <f>'Ann2 - Step 3'!C1836</f>
        <v>Testing</v>
      </c>
      <c r="E1836" s="6" t="b">
        <f t="shared" si="15"/>
        <v>0</v>
      </c>
      <c r="F1836" s="6"/>
      <c r="G1836" s="6" t="str">
        <f t="shared" si="16"/>
        <v>Testing</v>
      </c>
    </row>
    <row r="1837" spans="1:7" ht="28" x14ac:dyDescent="0.15">
      <c r="A1837" s="6" t="s">
        <v>86</v>
      </c>
      <c r="B1837" s="8" t="s">
        <v>3083</v>
      </c>
      <c r="C1837" s="6" t="str">
        <f>'Ann1 - Step 3'!C1837</f>
        <v>Testing</v>
      </c>
      <c r="D1837" s="6" t="str">
        <f>'Ann2 - Step 3'!C1837</f>
        <v>Task Execution</v>
      </c>
      <c r="E1837" s="6" t="b">
        <f t="shared" si="15"/>
        <v>1</v>
      </c>
      <c r="F1837" s="30" t="s">
        <v>18</v>
      </c>
      <c r="G1837" s="6" t="str">
        <f t="shared" si="16"/>
        <v>Task Execution</v>
      </c>
    </row>
    <row r="1838" spans="1:7" ht="14" x14ac:dyDescent="0.15">
      <c r="A1838" s="6" t="s">
        <v>2345</v>
      </c>
      <c r="B1838" s="8" t="s">
        <v>3084</v>
      </c>
      <c r="C1838" s="6" t="str">
        <f>'Ann1 - Step 3'!C1838</f>
        <v>Security</v>
      </c>
      <c r="D1838" s="6" t="str">
        <f>'Ann2 - Step 3'!C1838</f>
        <v>Security</v>
      </c>
      <c r="E1838" s="6" t="b">
        <f t="shared" si="15"/>
        <v>0</v>
      </c>
      <c r="F1838" s="6"/>
      <c r="G1838" s="6" t="str">
        <f t="shared" si="16"/>
        <v>Security</v>
      </c>
    </row>
    <row r="1839" spans="1:7" ht="14" x14ac:dyDescent="0.15">
      <c r="A1839" s="31" t="s">
        <v>70</v>
      </c>
      <c r="B1839" s="8" t="s">
        <v>3086</v>
      </c>
      <c r="C1839" s="6" t="str">
        <f>'Ann1 - Step 3'!C1839</f>
        <v>Commit&amp;PR rule</v>
      </c>
      <c r="D1839" s="6" t="str">
        <f>'Ann2 - Step 3'!C1839</f>
        <v>Commit&amp;PR rule</v>
      </c>
      <c r="E1839" s="6" t="b">
        <f t="shared" si="15"/>
        <v>0</v>
      </c>
      <c r="F1839" s="30"/>
      <c r="G1839" s="6" t="str">
        <f t="shared" si="16"/>
        <v>Commit&amp;PR rule</v>
      </c>
    </row>
    <row r="1840" spans="1:7" ht="14" x14ac:dyDescent="0.15">
      <c r="A1840" s="6" t="s">
        <v>70</v>
      </c>
      <c r="B1840" s="8" t="s">
        <v>3088</v>
      </c>
      <c r="C1840" s="6" t="str">
        <f>'Ann1 - Step 3'!C1840</f>
        <v>Task Execution</v>
      </c>
      <c r="D1840" s="6" t="str">
        <f>'Ann2 - Step 3'!C1840</f>
        <v>Task Execution</v>
      </c>
      <c r="E1840" s="6" t="b">
        <f t="shared" si="15"/>
        <v>0</v>
      </c>
      <c r="F1840" s="6"/>
      <c r="G1840" s="6" t="str">
        <f t="shared" si="16"/>
        <v>Task Execution</v>
      </c>
    </row>
    <row r="1841" spans="1:7" ht="14" x14ac:dyDescent="0.15">
      <c r="A1841" s="31" t="s">
        <v>70</v>
      </c>
      <c r="B1841" s="8" t="s">
        <v>3089</v>
      </c>
      <c r="C1841" s="6" t="str">
        <f>'Ann1 - Step 3'!C1841</f>
        <v>Task Execution</v>
      </c>
      <c r="D1841" s="6" t="str">
        <f>'Ann2 - Step 3'!C1841</f>
        <v>Performance</v>
      </c>
      <c r="E1841" s="6" t="b">
        <f t="shared" si="15"/>
        <v>1</v>
      </c>
      <c r="F1841" s="30" t="s">
        <v>219</v>
      </c>
      <c r="G1841" s="6" t="str">
        <f t="shared" si="16"/>
        <v>Performance</v>
      </c>
    </row>
    <row r="1842" spans="1:7" ht="14" x14ac:dyDescent="0.15">
      <c r="A1842" s="6" t="s">
        <v>70</v>
      </c>
      <c r="B1842" s="8" t="s">
        <v>3090</v>
      </c>
      <c r="C1842" s="6" t="str">
        <f>'Ann1 - Step 3'!C1842</f>
        <v>Task Execution</v>
      </c>
      <c r="D1842" s="6" t="str">
        <f>'Ann2 - Step 3'!C1842</f>
        <v>Performance</v>
      </c>
      <c r="E1842" s="6" t="b">
        <f t="shared" si="15"/>
        <v>1</v>
      </c>
      <c r="F1842" s="30" t="s">
        <v>219</v>
      </c>
      <c r="G1842" s="6" t="str">
        <f t="shared" si="16"/>
        <v>Performance</v>
      </c>
    </row>
    <row r="1843" spans="1:7" ht="14" x14ac:dyDescent="0.15">
      <c r="A1843" s="6" t="s">
        <v>2742</v>
      </c>
      <c r="B1843" s="8" t="s">
        <v>3091</v>
      </c>
      <c r="C1843" s="6" t="str">
        <f>'Ann1 - Step 3'!C1843</f>
        <v>Coding Pattern</v>
      </c>
      <c r="D1843" s="6" t="str">
        <f>'Ann2 - Step 3'!C1843</f>
        <v>Coding Pattern</v>
      </c>
      <c r="E1843" s="6" t="b">
        <f t="shared" si="15"/>
        <v>0</v>
      </c>
      <c r="F1843" s="6"/>
      <c r="G1843" s="6" t="str">
        <f t="shared" si="16"/>
        <v>Coding Pattern</v>
      </c>
    </row>
    <row r="1844" spans="1:7" ht="14" x14ac:dyDescent="0.15">
      <c r="A1844" s="6" t="s">
        <v>133</v>
      </c>
      <c r="B1844" s="8" t="s">
        <v>3092</v>
      </c>
      <c r="C1844" s="6" t="str">
        <f>'Ann1 - Step 3'!C1844</f>
        <v>Coding Pattern</v>
      </c>
      <c r="D1844" s="6" t="str">
        <f>'Ann2 - Step 3'!C1844</f>
        <v>Coding Pattern</v>
      </c>
      <c r="E1844" s="6" t="b">
        <f t="shared" si="15"/>
        <v>0</v>
      </c>
      <c r="F1844" s="6"/>
      <c r="G1844" s="6" t="str">
        <f t="shared" si="16"/>
        <v>Coding Pattern</v>
      </c>
    </row>
    <row r="1845" spans="1:7" ht="28" x14ac:dyDescent="0.15">
      <c r="A1845" s="6" t="s">
        <v>133</v>
      </c>
      <c r="B1845" s="8" t="s">
        <v>3093</v>
      </c>
      <c r="C1845" s="6" t="str">
        <f>'Ann1 - Step 3'!C1845</f>
        <v>Coding Pattern</v>
      </c>
      <c r="D1845" s="6" t="str">
        <f>'Ann2 - Step 3'!C1845</f>
        <v>Coding Pattern</v>
      </c>
      <c r="E1845" s="6" t="b">
        <f t="shared" si="15"/>
        <v>0</v>
      </c>
      <c r="F1845" s="6"/>
      <c r="G1845" s="6" t="str">
        <f t="shared" si="16"/>
        <v>Coding Pattern</v>
      </c>
    </row>
    <row r="1846" spans="1:7" ht="14" x14ac:dyDescent="0.15">
      <c r="A1846" s="6" t="s">
        <v>142</v>
      </c>
      <c r="B1846" s="8" t="s">
        <v>3094</v>
      </c>
      <c r="C1846" s="6" t="str">
        <f>'Ann1 - Step 3'!C1846</f>
        <v>Task Execution</v>
      </c>
      <c r="D1846" s="6" t="str">
        <f>'Ann2 - Step 3'!C1846</f>
        <v>Task Execution</v>
      </c>
      <c r="E1846" s="6" t="b">
        <f t="shared" si="15"/>
        <v>0</v>
      </c>
      <c r="F1846" s="6"/>
      <c r="G1846" s="6" t="str">
        <f t="shared" si="16"/>
        <v>Task Execution</v>
      </c>
    </row>
    <row r="1847" spans="1:7" ht="14" x14ac:dyDescent="0.15">
      <c r="A1847" s="6" t="s">
        <v>151</v>
      </c>
      <c r="B1847" s="8" t="s">
        <v>3095</v>
      </c>
      <c r="C1847" s="6" t="str">
        <f>'Ann1 - Step 3'!C1847</f>
        <v>Documentation</v>
      </c>
      <c r="D1847" s="6" t="str">
        <f>'Ann2 - Step 3'!C1847</f>
        <v>Documentation</v>
      </c>
      <c r="E1847" s="6" t="b">
        <f t="shared" si="15"/>
        <v>0</v>
      </c>
      <c r="F1847" s="6"/>
      <c r="G1847" s="6" t="str">
        <f t="shared" si="16"/>
        <v>Documentation</v>
      </c>
    </row>
    <row r="1848" spans="1:7" ht="14" x14ac:dyDescent="0.15">
      <c r="A1848" s="6" t="s">
        <v>154</v>
      </c>
      <c r="B1848" s="8" t="s">
        <v>3096</v>
      </c>
      <c r="C1848" s="6" t="str">
        <f>'Ann1 - Step 3'!C1848</f>
        <v>Documentation</v>
      </c>
      <c r="D1848" s="6" t="str">
        <f>'Ann2 - Step 3'!C1848</f>
        <v>Documentation</v>
      </c>
      <c r="E1848" s="6" t="b">
        <f t="shared" si="15"/>
        <v>0</v>
      </c>
      <c r="F1848" s="6"/>
      <c r="G1848" s="6" t="str">
        <f t="shared" si="16"/>
        <v>Documentation</v>
      </c>
    </row>
    <row r="1849" spans="1:7" ht="14" x14ac:dyDescent="0.15">
      <c r="A1849" s="6" t="s">
        <v>154</v>
      </c>
      <c r="B1849" s="8" t="s">
        <v>3097</v>
      </c>
      <c r="C1849" s="6" t="str">
        <f>'Ann1 - Step 3'!C1849</f>
        <v>Writing Style Preference</v>
      </c>
      <c r="D1849" s="6" t="str">
        <f>'Ann2 - Step 3'!C1849</f>
        <v>Writing Style Preference</v>
      </c>
      <c r="E1849" s="6" t="b">
        <f t="shared" si="15"/>
        <v>0</v>
      </c>
      <c r="F1849" s="6"/>
      <c r="G1849" s="6" t="str">
        <f t="shared" si="16"/>
        <v>Writing Style Preference</v>
      </c>
    </row>
    <row r="1850" spans="1:7" ht="14" x14ac:dyDescent="0.15">
      <c r="A1850" s="6" t="s">
        <v>157</v>
      </c>
      <c r="B1850" s="8" t="s">
        <v>3098</v>
      </c>
      <c r="C1850" s="6" t="str">
        <f>'Ann1 - Step 3'!C1850</f>
        <v>Testing</v>
      </c>
      <c r="D1850" s="6" t="str">
        <f>'Ann2 - Step 3'!C1850</f>
        <v>Testing</v>
      </c>
      <c r="E1850" s="6" t="b">
        <f t="shared" si="15"/>
        <v>0</v>
      </c>
      <c r="F1850" s="6"/>
      <c r="G1850" s="6" t="str">
        <f t="shared" si="16"/>
        <v>Testing</v>
      </c>
    </row>
    <row r="1851" spans="1:7" ht="14" x14ac:dyDescent="0.15">
      <c r="A1851" s="6" t="s">
        <v>160</v>
      </c>
      <c r="B1851" s="8" t="s">
        <v>3099</v>
      </c>
      <c r="C1851" s="6" t="str">
        <f>'Ann1 - Step 3'!C1851</f>
        <v>Commit&amp;PR rule</v>
      </c>
      <c r="D1851" s="6" t="str">
        <f>'Ann2 - Step 3'!C1851</f>
        <v>Commit&amp;PR rule</v>
      </c>
      <c r="E1851" s="6" t="b">
        <f t="shared" si="15"/>
        <v>0</v>
      </c>
      <c r="F1851" s="6"/>
      <c r="G1851" s="6" t="str">
        <f t="shared" si="16"/>
        <v>Commit&amp;PR rule</v>
      </c>
    </row>
    <row r="1852" spans="1:7" ht="14" x14ac:dyDescent="0.15">
      <c r="A1852" s="6" t="s">
        <v>166</v>
      </c>
      <c r="B1852" s="8" t="s">
        <v>3100</v>
      </c>
      <c r="C1852" s="6" t="str">
        <f>'Ann1 - Step 3'!C1852</f>
        <v>Maintainability</v>
      </c>
      <c r="D1852" s="6" t="str">
        <f>'Ann2 - Step 3'!C1852</f>
        <v>Maintainability</v>
      </c>
      <c r="E1852" s="6" t="b">
        <f t="shared" si="15"/>
        <v>0</v>
      </c>
      <c r="F1852" s="6"/>
      <c r="G1852" s="6" t="str">
        <f t="shared" si="16"/>
        <v>Maintainability</v>
      </c>
    </row>
    <row r="1853" spans="1:7" ht="14" x14ac:dyDescent="0.15">
      <c r="A1853" s="6" t="s">
        <v>1680</v>
      </c>
      <c r="B1853" s="8" t="s">
        <v>3101</v>
      </c>
      <c r="C1853" s="6" t="str">
        <f>'Ann1 - Step 3'!C1853</f>
        <v>Coding Pattern</v>
      </c>
      <c r="D1853" s="6" t="str">
        <f>'Ann2 - Step 3'!C1853</f>
        <v>Coding Pattern</v>
      </c>
      <c r="E1853" s="6" t="b">
        <f t="shared" si="15"/>
        <v>0</v>
      </c>
      <c r="F1853" s="6"/>
      <c r="G1853" s="6" t="str">
        <f t="shared" si="16"/>
        <v>Coding Pattern</v>
      </c>
    </row>
    <row r="1854" spans="1:7" ht="28" x14ac:dyDescent="0.15">
      <c r="A1854" s="6" t="s">
        <v>175</v>
      </c>
      <c r="B1854" s="8" t="s">
        <v>3102</v>
      </c>
      <c r="C1854" s="6" t="str">
        <f>'Ann1 - Step 3'!C1854</f>
        <v>Testing</v>
      </c>
      <c r="D1854" s="6" t="str">
        <f>'Ann2 - Step 3'!C1854</f>
        <v>Testing</v>
      </c>
      <c r="E1854" s="6" t="b">
        <f t="shared" si="15"/>
        <v>0</v>
      </c>
      <c r="F1854" s="6"/>
      <c r="G1854" s="6" t="str">
        <f t="shared" si="16"/>
        <v>Testing</v>
      </c>
    </row>
    <row r="1855" spans="1:7" ht="14" x14ac:dyDescent="0.15">
      <c r="A1855" s="6" t="s">
        <v>175</v>
      </c>
      <c r="B1855" s="8" t="s">
        <v>3103</v>
      </c>
      <c r="C1855" s="6" t="str">
        <f>'Ann1 - Step 3'!C1855</f>
        <v>Security</v>
      </c>
      <c r="D1855" s="6" t="str">
        <f>'Ann2 - Step 3'!C1855</f>
        <v>Security</v>
      </c>
      <c r="E1855" s="6" t="b">
        <f t="shared" si="15"/>
        <v>0</v>
      </c>
      <c r="F1855" s="6"/>
      <c r="G1855" s="6" t="str">
        <f t="shared" si="16"/>
        <v>Security</v>
      </c>
    </row>
    <row r="1856" spans="1:7" ht="14" x14ac:dyDescent="0.15">
      <c r="A1856" s="6" t="s">
        <v>175</v>
      </c>
      <c r="B1856" s="8" t="s">
        <v>3104</v>
      </c>
      <c r="C1856" s="6" t="str">
        <f>'Ann1 - Step 3'!C1856</f>
        <v>Coding Pattern</v>
      </c>
      <c r="D1856" s="6" t="str">
        <f>'Ann2 - Step 3'!C1856</f>
        <v>Coding Pattern</v>
      </c>
      <c r="E1856" s="6" t="b">
        <f t="shared" si="15"/>
        <v>0</v>
      </c>
      <c r="F1856" s="6"/>
      <c r="G1856" s="6" t="str">
        <f t="shared" si="16"/>
        <v>Coding Pattern</v>
      </c>
    </row>
    <row r="1857" spans="1:7" ht="14" x14ac:dyDescent="0.15">
      <c r="A1857" s="6" t="s">
        <v>193</v>
      </c>
      <c r="B1857" s="8" t="s">
        <v>3105</v>
      </c>
      <c r="C1857" s="6" t="str">
        <f>'Ann1 - Step 3'!C1857</f>
        <v>Coding Style</v>
      </c>
      <c r="D1857" s="6" t="str">
        <f>'Ann2 - Step 3'!C1857</f>
        <v>Coding Style</v>
      </c>
      <c r="E1857" s="6" t="b">
        <f t="shared" si="15"/>
        <v>0</v>
      </c>
      <c r="F1857" s="6"/>
      <c r="G1857" s="6" t="str">
        <f t="shared" si="16"/>
        <v>Coding Style</v>
      </c>
    </row>
    <row r="1858" spans="1:7" ht="14" x14ac:dyDescent="0.15">
      <c r="A1858" s="6" t="s">
        <v>193</v>
      </c>
      <c r="B1858" s="8" t="s">
        <v>3106</v>
      </c>
      <c r="C1858" s="6" t="str">
        <f>'Ann1 - Step 3'!C1858</f>
        <v>Testing</v>
      </c>
      <c r="D1858" s="6" t="str">
        <f>'Ann2 - Step 3'!C1858</f>
        <v>Testing</v>
      </c>
      <c r="E1858" s="6" t="b">
        <f t="shared" si="15"/>
        <v>0</v>
      </c>
      <c r="F1858" s="6"/>
      <c r="G1858" s="6" t="str">
        <f t="shared" si="16"/>
        <v>Testing</v>
      </c>
    </row>
    <row r="1859" spans="1:7" ht="14" x14ac:dyDescent="0.15">
      <c r="A1859" s="6" t="s">
        <v>1456</v>
      </c>
      <c r="B1859" s="8" t="s">
        <v>3107</v>
      </c>
      <c r="C1859" s="6" t="str">
        <f>'Ann1 - Step 3'!C1859</f>
        <v>Task Execution</v>
      </c>
      <c r="D1859" s="6" t="str">
        <f>'Ann2 - Step 3'!C1859</f>
        <v>Task Execution</v>
      </c>
      <c r="E1859" s="6" t="b">
        <f t="shared" si="15"/>
        <v>0</v>
      </c>
      <c r="F1859" s="6"/>
      <c r="G1859" s="6" t="str">
        <f t="shared" si="16"/>
        <v>Task Execution</v>
      </c>
    </row>
    <row r="1860" spans="1:7" ht="14" x14ac:dyDescent="0.15">
      <c r="A1860" s="6" t="s">
        <v>207</v>
      </c>
      <c r="B1860" s="8" t="s">
        <v>3108</v>
      </c>
      <c r="C1860" s="6" t="str">
        <f>'Ann1 - Step 3'!C1860</f>
        <v>Testing</v>
      </c>
      <c r="D1860" s="6" t="str">
        <f>'Ann2 - Step 3'!C1860</f>
        <v>Testing</v>
      </c>
      <c r="E1860" s="6" t="b">
        <f t="shared" si="15"/>
        <v>0</v>
      </c>
      <c r="F1860" s="6"/>
      <c r="G1860" s="6" t="str">
        <f t="shared" si="16"/>
        <v>Testing</v>
      </c>
    </row>
    <row r="1861" spans="1:7" ht="28" x14ac:dyDescent="0.15">
      <c r="A1861" s="6" t="s">
        <v>212</v>
      </c>
      <c r="B1861" s="8" t="s">
        <v>3109</v>
      </c>
      <c r="C1861" s="6" t="str">
        <f>'Ann1 - Step 3'!C1861</f>
        <v>Writing Style Preference</v>
      </c>
      <c r="D1861" s="6" t="str">
        <f>'Ann2 - Step 3'!C1861</f>
        <v>Writing Style Preference</v>
      </c>
      <c r="E1861" s="6" t="b">
        <f t="shared" si="15"/>
        <v>0</v>
      </c>
      <c r="F1861" s="6"/>
      <c r="G1861" s="6" t="str">
        <f t="shared" si="16"/>
        <v>Writing Style Preference</v>
      </c>
    </row>
    <row r="1862" spans="1:7" ht="14" x14ac:dyDescent="0.15">
      <c r="A1862" s="31" t="s">
        <v>9</v>
      </c>
      <c r="B1862" s="8" t="s">
        <v>3110</v>
      </c>
      <c r="C1862" s="6" t="str">
        <f>'Ann1 - Step 3'!C1862</f>
        <v>Documentation</v>
      </c>
      <c r="D1862" s="6" t="str">
        <f>'Ann2 - Step 3'!C1862</f>
        <v>Documentation</v>
      </c>
      <c r="E1862" s="6" t="b">
        <f t="shared" si="15"/>
        <v>0</v>
      </c>
      <c r="F1862" s="30"/>
      <c r="G1862" s="6" t="str">
        <f t="shared" si="16"/>
        <v>Documentation</v>
      </c>
    </row>
    <row r="1863" spans="1:7" ht="14" x14ac:dyDescent="0.15">
      <c r="A1863" s="6" t="s">
        <v>2831</v>
      </c>
      <c r="B1863" s="8" t="s">
        <v>3111</v>
      </c>
      <c r="C1863" s="6" t="str">
        <f>'Ann1 - Step 3'!C1863</f>
        <v>Documentation</v>
      </c>
      <c r="D1863" s="6" t="str">
        <f>'Ann2 - Step 3'!C1863</f>
        <v>Documentation</v>
      </c>
      <c r="E1863" s="6" t="b">
        <f t="shared" si="15"/>
        <v>0</v>
      </c>
      <c r="F1863" s="6"/>
      <c r="G1863" s="6" t="str">
        <f t="shared" si="16"/>
        <v>Documentation</v>
      </c>
    </row>
    <row r="1864" spans="1:7" ht="14" x14ac:dyDescent="0.15">
      <c r="A1864" s="6" t="s">
        <v>15</v>
      </c>
      <c r="B1864" s="8" t="s">
        <v>3112</v>
      </c>
      <c r="C1864" s="6" t="str">
        <f>'Ann1 - Step 3'!C1864</f>
        <v>Task Execution</v>
      </c>
      <c r="D1864" s="6" t="str">
        <f>'Ann2 - Step 3'!C1864</f>
        <v>Task Execution</v>
      </c>
      <c r="E1864" s="6" t="b">
        <f t="shared" si="15"/>
        <v>0</v>
      </c>
      <c r="F1864" s="6"/>
      <c r="G1864" s="6" t="str">
        <f t="shared" si="16"/>
        <v>Task Execution</v>
      </c>
    </row>
    <row r="1865" spans="1:7" ht="28" x14ac:dyDescent="0.15">
      <c r="A1865" s="6" t="s">
        <v>844</v>
      </c>
      <c r="B1865" s="8" t="s">
        <v>3113</v>
      </c>
      <c r="C1865" s="6" t="str">
        <f>'Ann1 - Step 3'!C1865</f>
        <v>Commit&amp;PR rule</v>
      </c>
      <c r="D1865" s="6" t="str">
        <f>'Ann2 - Step 3'!C1865</f>
        <v>Commit&amp;PR rule</v>
      </c>
      <c r="E1865" s="6" t="b">
        <f t="shared" si="15"/>
        <v>0</v>
      </c>
      <c r="F1865" s="6"/>
      <c r="G1865" s="6" t="str">
        <f t="shared" si="16"/>
        <v>Commit&amp;PR rule</v>
      </c>
    </row>
    <row r="1866" spans="1:7" ht="14" x14ac:dyDescent="0.15">
      <c r="A1866" s="6" t="s">
        <v>245</v>
      </c>
      <c r="B1866" s="8" t="s">
        <v>3114</v>
      </c>
      <c r="C1866" s="6" t="str">
        <f>'Ann1 - Step 3'!C1866</f>
        <v>Performance</v>
      </c>
      <c r="D1866" s="6" t="str">
        <f>'Ann2 - Step 3'!C1866</f>
        <v>Performance</v>
      </c>
      <c r="E1866" s="6" t="b">
        <f t="shared" si="15"/>
        <v>0</v>
      </c>
      <c r="F1866" s="6"/>
      <c r="G1866" s="6" t="str">
        <f t="shared" si="16"/>
        <v>Performance</v>
      </c>
    </row>
    <row r="1867" spans="1:7" ht="14" x14ac:dyDescent="0.15">
      <c r="A1867" s="6" t="s">
        <v>1492</v>
      </c>
      <c r="B1867" s="8" t="s">
        <v>3115</v>
      </c>
      <c r="C1867" s="6" t="str">
        <f>'Ann1 - Step 3'!C1867</f>
        <v>Task Execution</v>
      </c>
      <c r="D1867" s="6" t="str">
        <f>'Ann2 - Step 3'!C1867</f>
        <v>Task Execution</v>
      </c>
      <c r="E1867" s="6" t="b">
        <f t="shared" si="15"/>
        <v>0</v>
      </c>
      <c r="F1867" s="6"/>
      <c r="G1867" s="6" t="str">
        <f t="shared" si="16"/>
        <v>Task Execution</v>
      </c>
    </row>
    <row r="1868" spans="1:7" ht="14" x14ac:dyDescent="0.15">
      <c r="A1868" s="6" t="s">
        <v>271</v>
      </c>
      <c r="B1868" s="8" t="s">
        <v>3116</v>
      </c>
      <c r="C1868" s="6" t="str">
        <f>'Ann1 - Step 3'!C1868</f>
        <v>Task Execution</v>
      </c>
      <c r="D1868" s="6" t="str">
        <f>'Ann2 - Step 3'!C1868</f>
        <v>Maintainability</v>
      </c>
      <c r="E1868" s="6" t="b">
        <f t="shared" si="15"/>
        <v>1</v>
      </c>
      <c r="F1868" s="30" t="s">
        <v>18</v>
      </c>
      <c r="G1868" s="6" t="str">
        <f t="shared" si="16"/>
        <v>Task Execution</v>
      </c>
    </row>
    <row r="1869" spans="1:7" ht="14" x14ac:dyDescent="0.15">
      <c r="A1869" s="31" t="s">
        <v>306</v>
      </c>
      <c r="B1869" s="8" t="s">
        <v>3117</v>
      </c>
      <c r="C1869" s="6" t="str">
        <f>'Ann1 - Step 3'!C1869</f>
        <v>Commit&amp;PR rule</v>
      </c>
      <c r="D1869" s="6" t="str">
        <f>'Ann2 - Step 3'!C1869</f>
        <v>Commit&amp;PR rule</v>
      </c>
      <c r="E1869" s="6" t="b">
        <f t="shared" si="15"/>
        <v>0</v>
      </c>
      <c r="F1869" s="30"/>
      <c r="G1869" s="6" t="str">
        <f t="shared" si="16"/>
        <v>Commit&amp;PR rule</v>
      </c>
    </row>
    <row r="1870" spans="1:7" ht="28" x14ac:dyDescent="0.15">
      <c r="A1870" s="6" t="s">
        <v>327</v>
      </c>
      <c r="B1870" s="8" t="s">
        <v>3118</v>
      </c>
      <c r="C1870" s="6" t="str">
        <f>'Ann1 - Step 3'!C1870</f>
        <v>Coding Pattern</v>
      </c>
      <c r="D1870" s="6" t="str">
        <f>'Ann2 - Step 3'!C1870</f>
        <v>Coding Pattern</v>
      </c>
      <c r="E1870" s="6" t="b">
        <f t="shared" si="15"/>
        <v>0</v>
      </c>
      <c r="F1870" s="6"/>
      <c r="G1870" s="6" t="str">
        <f t="shared" si="16"/>
        <v>Coding Pattern</v>
      </c>
    </row>
    <row r="1871" spans="1:7" ht="28" x14ac:dyDescent="0.15">
      <c r="A1871" s="6" t="s">
        <v>654</v>
      </c>
      <c r="B1871" s="8" t="s">
        <v>3119</v>
      </c>
      <c r="C1871" s="6" t="str">
        <f>'Ann1 - Step 3'!C1871</f>
        <v>Coding Pattern</v>
      </c>
      <c r="D1871" s="6" t="str">
        <f>'Ann2 - Step 3'!C1871</f>
        <v>Coding Pattern</v>
      </c>
      <c r="E1871" s="6" t="b">
        <f t="shared" si="15"/>
        <v>0</v>
      </c>
      <c r="F1871" s="6"/>
      <c r="G1871" s="6" t="str">
        <f t="shared" si="16"/>
        <v>Coding Pattern</v>
      </c>
    </row>
    <row r="1872" spans="1:7" ht="28" x14ac:dyDescent="0.15">
      <c r="A1872" s="31" t="s">
        <v>359</v>
      </c>
      <c r="B1872" s="8" t="s">
        <v>3120</v>
      </c>
      <c r="C1872" s="6" t="str">
        <f>'Ann1 - Step 3'!C1872</f>
        <v>Coding Pattern</v>
      </c>
      <c r="D1872" s="6" t="str">
        <f>'Ann2 - Step 3'!C1872</f>
        <v>Task Execution</v>
      </c>
      <c r="E1872" s="6" t="b">
        <f t="shared" si="15"/>
        <v>1</v>
      </c>
      <c r="F1872" s="30" t="s">
        <v>18</v>
      </c>
      <c r="G1872" s="6" t="str">
        <f t="shared" si="16"/>
        <v>Task Execution</v>
      </c>
    </row>
    <row r="1873" spans="1:8" ht="28" x14ac:dyDescent="0.15">
      <c r="A1873" s="6" t="s">
        <v>1013</v>
      </c>
      <c r="B1873" s="8" t="s">
        <v>3121</v>
      </c>
      <c r="C1873" s="6" t="str">
        <f>'Ann1 - Step 3'!C1873</f>
        <v>Task Execution</v>
      </c>
      <c r="D1873" s="6" t="str">
        <f>'Ann2 - Step 3'!C1873</f>
        <v>Task Execution</v>
      </c>
      <c r="E1873" s="6" t="b">
        <f t="shared" si="15"/>
        <v>0</v>
      </c>
      <c r="F1873" s="6"/>
      <c r="G1873" s="6" t="str">
        <f t="shared" si="16"/>
        <v>Task Execution</v>
      </c>
    </row>
    <row r="1874" spans="1:8" ht="28" x14ac:dyDescent="0.15">
      <c r="A1874" s="6" t="s">
        <v>86</v>
      </c>
      <c r="B1874" s="8" t="s">
        <v>3122</v>
      </c>
      <c r="C1874" s="6" t="str">
        <f>'Ann1 - Step 3'!C1874</f>
        <v>Task Execution</v>
      </c>
      <c r="D1874" s="6" t="str">
        <f>'Ann2 - Step 3'!C1874</f>
        <v>Task Execution</v>
      </c>
      <c r="E1874" s="6" t="b">
        <f t="shared" si="15"/>
        <v>0</v>
      </c>
      <c r="F1874" s="6"/>
      <c r="G1874" s="6" t="str">
        <f t="shared" si="16"/>
        <v>Task Execution</v>
      </c>
    </row>
    <row r="1875" spans="1:8" ht="28" x14ac:dyDescent="0.15">
      <c r="A1875" s="6" t="s">
        <v>86</v>
      </c>
      <c r="B1875" s="8" t="s">
        <v>3123</v>
      </c>
      <c r="C1875" s="6" t="str">
        <f>'Ann1 - Step 3'!C1875</f>
        <v>Task Execution</v>
      </c>
      <c r="D1875" s="6" t="str">
        <f>'Ann2 - Step 3'!C1875</f>
        <v>Task Execution</v>
      </c>
      <c r="E1875" s="6" t="b">
        <f t="shared" si="15"/>
        <v>0</v>
      </c>
      <c r="F1875" s="6"/>
      <c r="G1875" s="6" t="str">
        <f t="shared" si="16"/>
        <v>Task Execution</v>
      </c>
    </row>
    <row r="1876" spans="1:8" ht="14" x14ac:dyDescent="0.15">
      <c r="A1876" s="6" t="s">
        <v>1057</v>
      </c>
      <c r="B1876" s="8" t="s">
        <v>3110</v>
      </c>
      <c r="C1876" s="6" t="str">
        <f>'Ann1 - Step 3'!C1876</f>
        <v>Documentation</v>
      </c>
      <c r="D1876" s="6" t="str">
        <f>'Ann2 - Step 3'!C1876</f>
        <v>Documentation</v>
      </c>
      <c r="E1876" s="6" t="b">
        <f t="shared" si="15"/>
        <v>0</v>
      </c>
      <c r="F1876" s="30"/>
      <c r="G1876" s="6" t="str">
        <f t="shared" si="16"/>
        <v>Documentation</v>
      </c>
    </row>
    <row r="1877" spans="1:8" ht="14" x14ac:dyDescent="0.15">
      <c r="A1877" s="6" t="s">
        <v>391</v>
      </c>
      <c r="B1877" s="8" t="s">
        <v>3124</v>
      </c>
      <c r="C1877" s="6" t="str">
        <f>'Ann1 - Step 3'!C1877</f>
        <v>Documentation</v>
      </c>
      <c r="D1877" s="6" t="str">
        <f>'Ann2 - Step 3'!C1877</f>
        <v>Documentation</v>
      </c>
      <c r="E1877" s="6" t="b">
        <f t="shared" si="15"/>
        <v>0</v>
      </c>
      <c r="F1877" s="6"/>
      <c r="G1877" s="6" t="str">
        <f t="shared" si="16"/>
        <v>Documentation</v>
      </c>
    </row>
    <row r="1878" spans="1:8" ht="14" x14ac:dyDescent="0.15">
      <c r="A1878" s="6" t="s">
        <v>401</v>
      </c>
      <c r="B1878" s="8" t="s">
        <v>3125</v>
      </c>
      <c r="C1878" s="6" t="str">
        <f>'Ann1 - Step 3'!C1878</f>
        <v>Coding Pattern</v>
      </c>
      <c r="D1878" s="6" t="str">
        <f>'Ann2 - Step 3'!C1878</f>
        <v>Maintainability</v>
      </c>
      <c r="E1878" s="6" t="b">
        <f t="shared" si="15"/>
        <v>1</v>
      </c>
      <c r="F1878" s="30" t="s">
        <v>115</v>
      </c>
      <c r="G1878" s="6" t="str">
        <f t="shared" si="16"/>
        <v>Maintainability</v>
      </c>
      <c r="H1878" s="6" t="s">
        <v>3303</v>
      </c>
    </row>
    <row r="1879" spans="1:8" ht="14" x14ac:dyDescent="0.15">
      <c r="A1879" s="6" t="s">
        <v>401</v>
      </c>
      <c r="B1879" s="8" t="s">
        <v>3126</v>
      </c>
      <c r="C1879" s="6" t="str">
        <f>'Ann1 - Step 3'!C1879</f>
        <v>Coding Pattern</v>
      </c>
      <c r="D1879" s="6" t="str">
        <f>'Ann2 - Step 3'!C1879</f>
        <v>Coding Pattern</v>
      </c>
      <c r="E1879" s="6" t="b">
        <f t="shared" si="15"/>
        <v>0</v>
      </c>
      <c r="F1879" s="30"/>
      <c r="G1879" s="6" t="str">
        <f t="shared" si="16"/>
        <v>Coding Pattern</v>
      </c>
    </row>
    <row r="1880" spans="1:8" ht="14" x14ac:dyDescent="0.15">
      <c r="A1880" s="6" t="s">
        <v>2244</v>
      </c>
      <c r="B1880" s="8" t="s">
        <v>3127</v>
      </c>
      <c r="C1880" s="6" t="str">
        <f>'Ann1 - Step 3'!C1880</f>
        <v>Documentation</v>
      </c>
      <c r="D1880" s="6" t="str">
        <f>'Ann2 - Step 3'!C1880</f>
        <v>Documentation</v>
      </c>
      <c r="E1880" s="6" t="b">
        <f t="shared" si="15"/>
        <v>0</v>
      </c>
      <c r="F1880" s="6"/>
      <c r="G1880" s="6" t="str">
        <f t="shared" si="16"/>
        <v>Documentation</v>
      </c>
    </row>
    <row r="1881" spans="1:8" ht="14" x14ac:dyDescent="0.15">
      <c r="A1881" s="6" t="s">
        <v>425</v>
      </c>
      <c r="B1881" s="8" t="s">
        <v>3128</v>
      </c>
      <c r="C1881" s="6" t="str">
        <f>'Ann1 - Step 3'!C1881</f>
        <v>Testing</v>
      </c>
      <c r="D1881" s="6" t="str">
        <f>'Ann2 - Step 3'!C1881</f>
        <v>Testing</v>
      </c>
      <c r="E1881" s="6" t="b">
        <f t="shared" si="15"/>
        <v>0</v>
      </c>
      <c r="F1881" s="6"/>
      <c r="G1881" s="6" t="str">
        <f t="shared" si="16"/>
        <v>Testing</v>
      </c>
    </row>
    <row r="1882" spans="1:8" ht="14" x14ac:dyDescent="0.15">
      <c r="A1882" s="6" t="s">
        <v>45</v>
      </c>
      <c r="B1882" s="8" t="s">
        <v>3129</v>
      </c>
      <c r="C1882" s="6" t="str">
        <f>'Ann1 - Step 3'!C1882</f>
        <v>Documentation</v>
      </c>
      <c r="D1882" s="6" t="str">
        <f>'Ann2 - Step 3'!C1882</f>
        <v>Documentation</v>
      </c>
      <c r="E1882" s="6" t="b">
        <f t="shared" si="15"/>
        <v>0</v>
      </c>
      <c r="F1882" s="6"/>
      <c r="G1882" s="6" t="str">
        <f t="shared" si="16"/>
        <v>Documentation</v>
      </c>
    </row>
    <row r="1883" spans="1:8" ht="14" x14ac:dyDescent="0.15">
      <c r="A1883" s="6" t="s">
        <v>468</v>
      </c>
      <c r="B1883" s="8" t="s">
        <v>3130</v>
      </c>
      <c r="C1883" s="6" t="str">
        <f>'Ann1 - Step 3'!C1883</f>
        <v>Coding Pattern</v>
      </c>
      <c r="D1883" s="6" t="str">
        <f>'Ann2 - Step 3'!C1883</f>
        <v>Coding Pattern</v>
      </c>
      <c r="E1883" s="6" t="b">
        <f t="shared" si="15"/>
        <v>0</v>
      </c>
      <c r="F1883" s="6"/>
      <c r="G1883" s="6" t="str">
        <f t="shared" si="16"/>
        <v>Coding Pattern</v>
      </c>
    </row>
    <row r="1884" spans="1:8" ht="14" x14ac:dyDescent="0.15">
      <c r="A1884" s="6" t="s">
        <v>468</v>
      </c>
      <c r="B1884" s="8" t="s">
        <v>3131</v>
      </c>
      <c r="C1884" s="6" t="str">
        <f>'Ann1 - Step 3'!C1884</f>
        <v>Coding Pattern</v>
      </c>
      <c r="D1884" s="6" t="str">
        <f>'Ann2 - Step 3'!C1884</f>
        <v>Coding Pattern</v>
      </c>
      <c r="E1884" s="6" t="b">
        <f t="shared" si="15"/>
        <v>0</v>
      </c>
      <c r="F1884" s="6"/>
      <c r="G1884" s="6" t="str">
        <f t="shared" si="16"/>
        <v>Coding Pattern</v>
      </c>
    </row>
    <row r="1885" spans="1:8" ht="14" x14ac:dyDescent="0.15">
      <c r="A1885" s="6" t="s">
        <v>497</v>
      </c>
      <c r="B1885" s="8" t="s">
        <v>3132</v>
      </c>
      <c r="C1885" s="6" t="str">
        <f>'Ann1 - Step 3'!C1885</f>
        <v>Testing</v>
      </c>
      <c r="D1885" s="6" t="str">
        <f>'Ann2 - Step 3'!C1885</f>
        <v>Testing</v>
      </c>
      <c r="E1885" s="6" t="b">
        <f t="shared" si="15"/>
        <v>0</v>
      </c>
      <c r="F1885" s="6"/>
      <c r="G1885" s="6" t="str">
        <f t="shared" si="16"/>
        <v>Testing</v>
      </c>
    </row>
    <row r="1886" spans="1:8" ht="14" x14ac:dyDescent="0.15">
      <c r="A1886" s="6" t="s">
        <v>497</v>
      </c>
      <c r="B1886" s="8" t="s">
        <v>3133</v>
      </c>
      <c r="C1886" s="6" t="str">
        <f>'Ann1 - Step 3'!C1886</f>
        <v>Task Execution</v>
      </c>
      <c r="D1886" s="6" t="str">
        <f>'Ann2 - Step 3'!C1886</f>
        <v>Commit&amp;PR rule</v>
      </c>
      <c r="E1886" s="6" t="b">
        <f t="shared" si="15"/>
        <v>1</v>
      </c>
      <c r="F1886" s="30" t="s">
        <v>12</v>
      </c>
      <c r="G1886" s="6" t="str">
        <f t="shared" si="16"/>
        <v>Commit&amp;PR rule</v>
      </c>
    </row>
    <row r="1887" spans="1:8" ht="28" x14ac:dyDescent="0.15">
      <c r="A1887" s="6" t="s">
        <v>500</v>
      </c>
      <c r="B1887" s="8" t="s">
        <v>3134</v>
      </c>
      <c r="C1887" s="6" t="str">
        <f>'Ann1 - Step 3'!C1887</f>
        <v>Task Execution</v>
      </c>
      <c r="D1887" s="6" t="str">
        <f>'Ann2 - Step 3'!C1887</f>
        <v>Task Execution</v>
      </c>
      <c r="E1887" s="6" t="b">
        <f t="shared" si="15"/>
        <v>0</v>
      </c>
      <c r="F1887" s="6"/>
      <c r="G1887" s="6" t="str">
        <f t="shared" si="16"/>
        <v>Task Execution</v>
      </c>
    </row>
    <row r="1888" spans="1:8" ht="14" x14ac:dyDescent="0.15">
      <c r="A1888" s="6" t="s">
        <v>511</v>
      </c>
      <c r="B1888" s="8" t="s">
        <v>3135</v>
      </c>
      <c r="C1888" s="6" t="str">
        <f>'Ann1 - Step 3'!C1888</f>
        <v>Task Execution</v>
      </c>
      <c r="D1888" s="6" t="str">
        <f>'Ann2 - Step 3'!C1888</f>
        <v>Build &amp; Operation</v>
      </c>
      <c r="E1888" s="6" t="b">
        <f t="shared" si="15"/>
        <v>1</v>
      </c>
      <c r="F1888" s="30" t="s">
        <v>18</v>
      </c>
      <c r="G1888" s="6" t="str">
        <f t="shared" si="16"/>
        <v>Task Execution</v>
      </c>
    </row>
    <row r="1889" spans="1:7" ht="14" x14ac:dyDescent="0.15">
      <c r="A1889" s="6" t="s">
        <v>523</v>
      </c>
      <c r="B1889" s="8" t="s">
        <v>3136</v>
      </c>
      <c r="C1889" s="6" t="str">
        <f>'Ann1 - Step 3'!C1889</f>
        <v>Task Execution</v>
      </c>
      <c r="D1889" s="6" t="str">
        <f>'Ann2 - Step 3'!C1889</f>
        <v>Maintainability</v>
      </c>
      <c r="E1889" s="6" t="b">
        <f t="shared" si="15"/>
        <v>1</v>
      </c>
      <c r="F1889" s="30" t="s">
        <v>30</v>
      </c>
      <c r="G1889" s="6" t="str">
        <f t="shared" si="16"/>
        <v>Coding Pattern</v>
      </c>
    </row>
    <row r="1890" spans="1:7" ht="14" x14ac:dyDescent="0.15">
      <c r="A1890" s="6" t="s">
        <v>523</v>
      </c>
      <c r="B1890" s="8" t="s">
        <v>3137</v>
      </c>
      <c r="C1890" s="6" t="str">
        <f>'Ann1 - Step 3'!C1890</f>
        <v>Coding Pattern</v>
      </c>
      <c r="D1890" s="6" t="str">
        <f>'Ann2 - Step 3'!C1890</f>
        <v>Coding Style</v>
      </c>
      <c r="E1890" s="6" t="b">
        <f t="shared" si="15"/>
        <v>1</v>
      </c>
      <c r="F1890" s="30" t="s">
        <v>30</v>
      </c>
      <c r="G1890" s="6" t="str">
        <f t="shared" si="16"/>
        <v>Coding Pattern</v>
      </c>
    </row>
    <row r="1891" spans="1:7" ht="14" x14ac:dyDescent="0.15">
      <c r="A1891" s="6" t="s">
        <v>1242</v>
      </c>
      <c r="B1891" s="8" t="s">
        <v>3138</v>
      </c>
      <c r="C1891" s="6" t="str">
        <f>'Ann1 - Step 3'!C1891</f>
        <v>Task Execution</v>
      </c>
      <c r="D1891" s="6" t="str">
        <f>'Ann2 - Step 3'!C1891</f>
        <v>Task Execution</v>
      </c>
      <c r="E1891" s="6" t="b">
        <f t="shared" si="15"/>
        <v>0</v>
      </c>
      <c r="F1891" s="6"/>
      <c r="G1891" s="6" t="str">
        <f t="shared" si="16"/>
        <v>Task Execution</v>
      </c>
    </row>
    <row r="1892" spans="1:7" ht="14" x14ac:dyDescent="0.15">
      <c r="A1892" s="6" t="s">
        <v>557</v>
      </c>
      <c r="B1892" s="8" t="s">
        <v>3139</v>
      </c>
      <c r="C1892" s="6" t="str">
        <f>'Ann1 - Step 3'!C1892</f>
        <v>Coding Pattern</v>
      </c>
      <c r="D1892" s="6" t="str">
        <f>'Ann2 - Step 3'!C1892</f>
        <v>Coding Pattern</v>
      </c>
      <c r="E1892" s="6" t="b">
        <f t="shared" si="15"/>
        <v>0</v>
      </c>
      <c r="F1892" s="6"/>
      <c r="G1892" s="6" t="str">
        <f t="shared" si="16"/>
        <v>Coding Pattern</v>
      </c>
    </row>
    <row r="1893" spans="1:7" ht="28" x14ac:dyDescent="0.15">
      <c r="A1893" s="6" t="s">
        <v>1255</v>
      </c>
      <c r="B1893" s="8" t="s">
        <v>3113</v>
      </c>
      <c r="C1893" s="6" t="str">
        <f>'Ann1 - Step 3'!C1893</f>
        <v>Commit&amp;PR rule</v>
      </c>
      <c r="D1893" s="6" t="str">
        <f>'Ann2 - Step 3'!C1893</f>
        <v>Commit&amp;PR rule</v>
      </c>
      <c r="E1893" s="6" t="b">
        <f t="shared" si="15"/>
        <v>0</v>
      </c>
      <c r="F1893" s="6"/>
      <c r="G1893" s="6" t="str">
        <f t="shared" si="16"/>
        <v>Commit&amp;PR rule</v>
      </c>
    </row>
    <row r="1894" spans="1:7" ht="14" x14ac:dyDescent="0.15">
      <c r="A1894" s="6" t="s">
        <v>65</v>
      </c>
      <c r="B1894" s="8" t="s">
        <v>3140</v>
      </c>
      <c r="C1894" s="6" t="str">
        <f>'Ann1 - Step 3'!C1894</f>
        <v>Task Execution</v>
      </c>
      <c r="D1894" s="6" t="str">
        <f>'Ann2 - Step 3'!C1894</f>
        <v>Task Execution</v>
      </c>
      <c r="E1894" s="6" t="b">
        <f t="shared" si="15"/>
        <v>0</v>
      </c>
      <c r="F1894" s="6"/>
      <c r="G1894" s="6" t="str">
        <f t="shared" si="16"/>
        <v>Task Execution</v>
      </c>
    </row>
    <row r="1895" spans="1:7" ht="14" x14ac:dyDescent="0.15">
      <c r="A1895" s="6" t="s">
        <v>476</v>
      </c>
      <c r="B1895" s="8" t="s">
        <v>3141</v>
      </c>
      <c r="C1895" s="6" t="str">
        <f>'Ann1 - Step 3'!C1895</f>
        <v>Coding Pattern</v>
      </c>
      <c r="D1895" s="6" t="str">
        <f>'Ann2 - Step 3'!C1895</f>
        <v>Coding Pattern</v>
      </c>
      <c r="E1895" s="6" t="b">
        <f t="shared" si="15"/>
        <v>0</v>
      </c>
      <c r="F1895" s="6"/>
      <c r="G1895" s="6" t="str">
        <f t="shared" si="16"/>
        <v>Coding Pattern</v>
      </c>
    </row>
    <row r="1896" spans="1:7" ht="14" x14ac:dyDescent="0.15">
      <c r="A1896" s="6" t="s">
        <v>568</v>
      </c>
      <c r="B1896" s="8" t="s">
        <v>3143</v>
      </c>
      <c r="C1896" s="6" t="str">
        <f>'Ann1 - Step 3'!C1896</f>
        <v>Coding Pattern</v>
      </c>
      <c r="D1896" s="6" t="str">
        <f>'Ann2 - Step 3'!C1896</f>
        <v>Coding Pattern</v>
      </c>
      <c r="E1896" s="6" t="b">
        <f t="shared" si="15"/>
        <v>0</v>
      </c>
      <c r="F1896" s="6"/>
      <c r="G1896" s="6" t="str">
        <f t="shared" si="16"/>
        <v>Coding Pattern</v>
      </c>
    </row>
    <row r="1897" spans="1:7" ht="28" x14ac:dyDescent="0.15">
      <c r="A1897" s="6" t="s">
        <v>133</v>
      </c>
      <c r="B1897" s="8" t="s">
        <v>3144</v>
      </c>
      <c r="C1897" s="6" t="str">
        <f>'Ann1 - Step 3'!C1897</f>
        <v>Coding Pattern</v>
      </c>
      <c r="D1897" s="6" t="str">
        <f>'Ann2 - Step 3'!C1897</f>
        <v>Coding Pattern</v>
      </c>
      <c r="E1897" s="6" t="b">
        <f t="shared" si="15"/>
        <v>0</v>
      </c>
      <c r="F1897" s="6"/>
      <c r="G1897" s="6" t="str">
        <f t="shared" si="16"/>
        <v>Coding Pattern</v>
      </c>
    </row>
    <row r="1898" spans="1:7" ht="28" x14ac:dyDescent="0.15">
      <c r="A1898" s="6" t="s">
        <v>327</v>
      </c>
      <c r="B1898" s="8" t="s">
        <v>3145</v>
      </c>
      <c r="C1898" s="6" t="str">
        <f>'Ann1 - Step 3'!C1898</f>
        <v>Documentation</v>
      </c>
      <c r="D1898" s="6" t="str">
        <f>'Ann2 - Step 3'!C1898</f>
        <v>Documentation</v>
      </c>
      <c r="E1898" s="6" t="b">
        <f t="shared" si="15"/>
        <v>0</v>
      </c>
      <c r="F1898" s="6"/>
      <c r="G1898" s="6" t="str">
        <f t="shared" si="16"/>
        <v>Documentation</v>
      </c>
    </row>
    <row r="1899" spans="1:7" ht="28" x14ac:dyDescent="0.15">
      <c r="A1899" s="6" t="s">
        <v>395</v>
      </c>
      <c r="B1899" s="8" t="s">
        <v>3146</v>
      </c>
      <c r="C1899" s="6" t="str">
        <f>'Ann1 - Step 3'!C1899</f>
        <v>Task Execution</v>
      </c>
      <c r="D1899" s="6" t="str">
        <f>'Ann2 - Step 3'!C1899</f>
        <v>Task Execution</v>
      </c>
      <c r="E1899" s="6" t="b">
        <f t="shared" si="15"/>
        <v>0</v>
      </c>
      <c r="F1899" s="6"/>
      <c r="G1899" s="6" t="str">
        <f t="shared" si="16"/>
        <v>Task Execution</v>
      </c>
    </row>
    <row r="1900" spans="1:7" ht="28" x14ac:dyDescent="0.15">
      <c r="A1900" s="6" t="s">
        <v>463</v>
      </c>
      <c r="B1900" s="8" t="s">
        <v>3145</v>
      </c>
      <c r="C1900" s="6" t="str">
        <f>'Ann1 - Step 3'!C1900</f>
        <v>Documentation</v>
      </c>
      <c r="D1900" s="6" t="str">
        <f>'Ann2 - Step 3'!C1900</f>
        <v>Documentation</v>
      </c>
      <c r="E1900" s="6" t="b">
        <f t="shared" si="15"/>
        <v>0</v>
      </c>
      <c r="F1900" s="6"/>
      <c r="G1900" s="6" t="str">
        <f t="shared" si="16"/>
        <v>Documentation</v>
      </c>
    </row>
    <row r="1901" spans="1:7" ht="14" x14ac:dyDescent="0.15">
      <c r="A1901" s="6" t="s">
        <v>425</v>
      </c>
      <c r="B1901" s="8" t="s">
        <v>3147</v>
      </c>
      <c r="C1901" s="6" t="str">
        <f>'Ann1 - Step 3'!C1901</f>
        <v>Testing</v>
      </c>
      <c r="D1901" s="6" t="str">
        <f>'Ann2 - Step 3'!C1901</f>
        <v>Testing</v>
      </c>
      <c r="E1901" s="6" t="b">
        <f t="shared" si="15"/>
        <v>0</v>
      </c>
      <c r="F1901" s="6"/>
      <c r="G1901" s="6" t="str">
        <f t="shared" si="16"/>
        <v>Testing</v>
      </c>
    </row>
    <row r="1902" spans="1:7" ht="28" x14ac:dyDescent="0.15">
      <c r="A1902" s="6" t="s">
        <v>399</v>
      </c>
      <c r="B1902" s="8" t="s">
        <v>3148</v>
      </c>
      <c r="C1902" s="6" t="str">
        <f>'Ann1 - Step 3'!C1902</f>
        <v>Coding Style</v>
      </c>
      <c r="D1902" s="6" t="str">
        <f>'Ann2 - Step 3'!C1902</f>
        <v>Coding Style</v>
      </c>
      <c r="E1902" s="6" t="b">
        <f t="shared" si="15"/>
        <v>0</v>
      </c>
      <c r="F1902" s="6"/>
      <c r="G1902" s="6" t="str">
        <f t="shared" si="16"/>
        <v>Coding Style</v>
      </c>
    </row>
    <row r="1903" spans="1:7" ht="14" x14ac:dyDescent="0.15">
      <c r="A1903" s="6" t="s">
        <v>395</v>
      </c>
      <c r="B1903" s="8" t="s">
        <v>3149</v>
      </c>
      <c r="C1903" s="6" t="str">
        <f>'Ann1 - Step 3'!C1903</f>
        <v>Coding Pattern</v>
      </c>
      <c r="D1903" s="6" t="str">
        <f>'Ann2 - Step 3'!C1903</f>
        <v>Maintainability</v>
      </c>
      <c r="E1903" s="6" t="b">
        <f t="shared" si="15"/>
        <v>1</v>
      </c>
      <c r="F1903" s="30" t="s">
        <v>30</v>
      </c>
      <c r="G1903" s="6" t="str">
        <f t="shared" si="16"/>
        <v>Coding Pattern</v>
      </c>
    </row>
    <row r="1904" spans="1:7" ht="14" x14ac:dyDescent="0.15">
      <c r="A1904" s="6" t="s">
        <v>683</v>
      </c>
      <c r="B1904" s="8" t="s">
        <v>3150</v>
      </c>
      <c r="C1904" s="6" t="str">
        <f>'Ann1 - Step 3'!C1904</f>
        <v>Testing</v>
      </c>
      <c r="D1904" s="6" t="str">
        <f>'Ann2 - Step 3'!C1904</f>
        <v>Testing</v>
      </c>
      <c r="E1904" s="6" t="b">
        <f t="shared" si="15"/>
        <v>0</v>
      </c>
      <c r="F1904" s="6"/>
      <c r="G1904" s="6" t="str">
        <f t="shared" si="16"/>
        <v>Testing</v>
      </c>
    </row>
    <row r="1905" spans="1:7" ht="28" x14ac:dyDescent="0.15">
      <c r="A1905" s="6" t="s">
        <v>347</v>
      </c>
      <c r="B1905" s="8" t="s">
        <v>3152</v>
      </c>
      <c r="C1905" s="6" t="str">
        <f>'Ann1 - Step 3'!C1905</f>
        <v>Coding Pattern</v>
      </c>
      <c r="D1905" s="6" t="str">
        <f>'Ann2 - Step 3'!C1905</f>
        <v>Coding Pattern</v>
      </c>
      <c r="E1905" s="6" t="b">
        <f t="shared" si="15"/>
        <v>0</v>
      </c>
      <c r="F1905" s="6"/>
      <c r="G1905" s="6" t="str">
        <f t="shared" si="16"/>
        <v>Coding Pattern</v>
      </c>
    </row>
    <row r="1906" spans="1:7" ht="28" x14ac:dyDescent="0.15">
      <c r="A1906" s="6" t="s">
        <v>668</v>
      </c>
      <c r="B1906" s="8" t="s">
        <v>3153</v>
      </c>
      <c r="C1906" s="6" t="str">
        <f>'Ann1 - Step 3'!C1906</f>
        <v>Writing Style Preference</v>
      </c>
      <c r="D1906" s="6" t="str">
        <f>'Ann2 - Step 3'!C1906</f>
        <v>Writing Style Preference</v>
      </c>
      <c r="E1906" s="6" t="b">
        <f t="shared" si="15"/>
        <v>0</v>
      </c>
      <c r="F1906" s="6"/>
      <c r="G1906" s="6" t="str">
        <f t="shared" si="16"/>
        <v>Writing Style Preference</v>
      </c>
    </row>
    <row r="1907" spans="1:7" ht="14" x14ac:dyDescent="0.15">
      <c r="A1907" s="6" t="s">
        <v>668</v>
      </c>
      <c r="B1907" s="8" t="s">
        <v>3154</v>
      </c>
      <c r="C1907" s="6" t="str">
        <f>'Ann1 - Step 3'!C1907</f>
        <v>Commit&amp;PR rule</v>
      </c>
      <c r="D1907" s="6" t="str">
        <f>'Ann2 - Step 3'!C1907</f>
        <v>Commit&amp;PR rule</v>
      </c>
      <c r="E1907" s="6" t="b">
        <f t="shared" si="15"/>
        <v>0</v>
      </c>
      <c r="F1907" s="6"/>
      <c r="G1907" s="6" t="str">
        <f t="shared" si="16"/>
        <v>Commit&amp;PR rule</v>
      </c>
    </row>
    <row r="1908" spans="1:7" ht="14" x14ac:dyDescent="0.15">
      <c r="A1908" s="6" t="s">
        <v>15</v>
      </c>
      <c r="B1908" s="8" t="s">
        <v>3155</v>
      </c>
      <c r="C1908" s="6" t="str">
        <f>'Ann1 - Step 3'!C1908</f>
        <v>Testing</v>
      </c>
      <c r="D1908" s="6" t="str">
        <f>'Ann2 - Step 3'!C1908</f>
        <v>Testing</v>
      </c>
      <c r="E1908" s="6" t="b">
        <f t="shared" si="15"/>
        <v>0</v>
      </c>
      <c r="F1908" s="6"/>
      <c r="G1908" s="6" t="str">
        <f t="shared" si="16"/>
        <v>Testing</v>
      </c>
    </row>
    <row r="1909" spans="1:7" ht="28" x14ac:dyDescent="0.15">
      <c r="A1909" s="6" t="s">
        <v>696</v>
      </c>
      <c r="B1909" s="8" t="s">
        <v>3156</v>
      </c>
      <c r="C1909" s="6" t="str">
        <f>'Ann1 - Step 3'!C1909</f>
        <v>Commit&amp;PR rule</v>
      </c>
      <c r="D1909" s="6" t="str">
        <f>'Ann2 - Step 3'!C1909</f>
        <v>Commit&amp;PR rule</v>
      </c>
      <c r="E1909" s="6" t="b">
        <f t="shared" si="15"/>
        <v>0</v>
      </c>
      <c r="F1909" s="6"/>
      <c r="G1909" s="6" t="str">
        <f t="shared" si="16"/>
        <v>Commit&amp;PR rule</v>
      </c>
    </row>
    <row r="1910" spans="1:7" ht="14" x14ac:dyDescent="0.15">
      <c r="A1910" s="6" t="s">
        <v>546</v>
      </c>
      <c r="B1910" s="8" t="s">
        <v>3157</v>
      </c>
      <c r="C1910" s="6" t="str">
        <f>'Ann1 - Step 3'!C1910</f>
        <v>Testing</v>
      </c>
      <c r="D1910" s="6" t="str">
        <f>'Ann2 - Step 3'!C1910</f>
        <v>Testing</v>
      </c>
      <c r="E1910" s="6" t="b">
        <f t="shared" si="15"/>
        <v>0</v>
      </c>
      <c r="F1910" s="6"/>
      <c r="G1910" s="6" t="str">
        <f t="shared" si="16"/>
        <v>Testing</v>
      </c>
    </row>
    <row r="1911" spans="1:7" ht="14" x14ac:dyDescent="0.15">
      <c r="A1911" s="6" t="s">
        <v>577</v>
      </c>
      <c r="B1911" s="8" t="s">
        <v>3158</v>
      </c>
      <c r="C1911" s="6" t="str">
        <f>'Ann1 - Step 3'!C1911</f>
        <v>Writing Style Preference</v>
      </c>
      <c r="D1911" s="6" t="str">
        <f>'Ann2 - Step 3'!C1911</f>
        <v>Writing Style Preference</v>
      </c>
      <c r="E1911" s="6" t="b">
        <f t="shared" si="15"/>
        <v>0</v>
      </c>
      <c r="F1911" s="6"/>
      <c r="G1911" s="6" t="str">
        <f t="shared" si="16"/>
        <v>Writing Style Preference</v>
      </c>
    </row>
    <row r="1912" spans="1:7" ht="14" x14ac:dyDescent="0.15">
      <c r="A1912" s="6" t="s">
        <v>154</v>
      </c>
      <c r="B1912" s="8" t="s">
        <v>3159</v>
      </c>
      <c r="C1912" s="6" t="str">
        <f>'Ann1 - Step 3'!C1912</f>
        <v>Task Execution</v>
      </c>
      <c r="D1912" s="6" t="str">
        <f>'Ann2 - Step 3'!C1912</f>
        <v>Task Execution</v>
      </c>
      <c r="E1912" s="6" t="b">
        <f t="shared" si="15"/>
        <v>0</v>
      </c>
      <c r="F1912" s="6"/>
      <c r="G1912" s="6" t="str">
        <f t="shared" si="16"/>
        <v>Task Execution</v>
      </c>
    </row>
    <row r="1913" spans="1:7" ht="14" x14ac:dyDescent="0.15">
      <c r="A1913" s="6" t="s">
        <v>249</v>
      </c>
      <c r="B1913" s="8" t="s">
        <v>3161</v>
      </c>
      <c r="C1913" s="6" t="str">
        <f>'Ann1 - Step 3'!C1913</f>
        <v>Task Execution</v>
      </c>
      <c r="D1913" s="6" t="str">
        <f>'Ann2 - Step 3'!C1913</f>
        <v>Task Execution</v>
      </c>
      <c r="E1913" s="6" t="b">
        <f t="shared" si="15"/>
        <v>0</v>
      </c>
      <c r="F1913" s="6"/>
      <c r="G1913" s="6" t="str">
        <f t="shared" si="16"/>
        <v>Task Execution</v>
      </c>
    </row>
    <row r="1914" spans="1:7" ht="14" x14ac:dyDescent="0.15">
      <c r="A1914" s="6" t="s">
        <v>256</v>
      </c>
      <c r="B1914" s="8" t="s">
        <v>3162</v>
      </c>
      <c r="C1914" s="6" t="str">
        <f>'Ann1 - Step 3'!C1914</f>
        <v>Build &amp; Operation</v>
      </c>
      <c r="D1914" s="6" t="str">
        <f>'Ann2 - Step 3'!C1914</f>
        <v>Build &amp; Operation</v>
      </c>
      <c r="E1914" s="6" t="b">
        <f t="shared" si="15"/>
        <v>0</v>
      </c>
      <c r="F1914" s="6"/>
      <c r="G1914" s="6" t="str">
        <f t="shared" si="16"/>
        <v>Build &amp; Operation</v>
      </c>
    </row>
    <row r="1915" spans="1:7" ht="14" x14ac:dyDescent="0.15">
      <c r="A1915" s="6" t="s">
        <v>3165</v>
      </c>
      <c r="B1915" s="8" t="s">
        <v>3166</v>
      </c>
      <c r="C1915" s="6" t="str">
        <f>'Ann1 - Step 3'!C1915</f>
        <v>Build &amp; Operation</v>
      </c>
      <c r="D1915" s="6" t="str">
        <f>'Ann2 - Step 3'!C1915</f>
        <v>Build &amp; Operation</v>
      </c>
      <c r="E1915" s="6" t="b">
        <f t="shared" si="15"/>
        <v>0</v>
      </c>
      <c r="F1915" s="6"/>
      <c r="G1915" s="6" t="str">
        <f t="shared" si="16"/>
        <v>Build &amp; Operation</v>
      </c>
    </row>
    <row r="1916" spans="1:7" ht="28" x14ac:dyDescent="0.15">
      <c r="A1916" s="6" t="s">
        <v>271</v>
      </c>
      <c r="B1916" s="8" t="s">
        <v>3167</v>
      </c>
      <c r="C1916" s="6" t="str">
        <f>'Ann1 - Step 3'!C1916</f>
        <v>Build &amp; Operation</v>
      </c>
      <c r="D1916" s="6" t="str">
        <f>'Ann2 - Step 3'!C1916</f>
        <v>Build &amp; Operation</v>
      </c>
      <c r="E1916" s="6" t="b">
        <f t="shared" si="15"/>
        <v>0</v>
      </c>
      <c r="F1916" s="6"/>
      <c r="G1916" s="6" t="str">
        <f t="shared" si="16"/>
        <v>Build &amp; Operation</v>
      </c>
    </row>
    <row r="1917" spans="1:7" ht="14" x14ac:dyDescent="0.15">
      <c r="A1917" s="6" t="s">
        <v>955</v>
      </c>
      <c r="B1917" s="8" t="s">
        <v>3168</v>
      </c>
      <c r="C1917" s="6" t="str">
        <f>'Ann1 - Step 3'!C1917</f>
        <v>Task Execution</v>
      </c>
      <c r="D1917" s="6" t="str">
        <f>'Ann2 - Step 3'!C1917</f>
        <v>Task Execution</v>
      </c>
      <c r="E1917" s="6" t="b">
        <f t="shared" si="15"/>
        <v>0</v>
      </c>
      <c r="F1917" s="6"/>
      <c r="G1917" s="6" t="str">
        <f t="shared" si="16"/>
        <v>Task Execution</v>
      </c>
    </row>
    <row r="1918" spans="1:7" ht="14" x14ac:dyDescent="0.15">
      <c r="A1918" s="6" t="s">
        <v>955</v>
      </c>
      <c r="B1918" s="8" t="s">
        <v>3169</v>
      </c>
      <c r="C1918" s="6" t="str">
        <f>'Ann1 - Step 3'!C1918</f>
        <v>Task Execution</v>
      </c>
      <c r="D1918" s="6" t="str">
        <f>'Ann2 - Step 3'!C1918</f>
        <v>Task Execution</v>
      </c>
      <c r="E1918" s="6" t="b">
        <f t="shared" si="15"/>
        <v>0</v>
      </c>
      <c r="F1918" s="6"/>
      <c r="G1918" s="6" t="str">
        <f t="shared" si="16"/>
        <v>Task Execution</v>
      </c>
    </row>
    <row r="1919" spans="1:7" ht="14" x14ac:dyDescent="0.15">
      <c r="A1919" s="6" t="s">
        <v>955</v>
      </c>
      <c r="B1919" s="8" t="s">
        <v>3170</v>
      </c>
      <c r="C1919" s="6" t="str">
        <f>'Ann1 - Step 3'!C1919</f>
        <v>Task Execution</v>
      </c>
      <c r="D1919" s="6" t="str">
        <f>'Ann2 - Step 3'!C1919</f>
        <v>Task Execution</v>
      </c>
      <c r="E1919" s="6" t="b">
        <f t="shared" si="15"/>
        <v>0</v>
      </c>
      <c r="F1919" s="6"/>
      <c r="G1919" s="6" t="str">
        <f t="shared" si="16"/>
        <v>Task Execution</v>
      </c>
    </row>
    <row r="1920" spans="1:7" ht="14" x14ac:dyDescent="0.15">
      <c r="A1920" s="6" t="s">
        <v>399</v>
      </c>
      <c r="B1920" s="8" t="s">
        <v>3161</v>
      </c>
      <c r="C1920" s="6" t="str">
        <f>'Ann1 - Step 3'!C1920</f>
        <v>Task Execution</v>
      </c>
      <c r="D1920" s="6" t="str">
        <f>'Ann2 - Step 3'!C1920</f>
        <v>Task Execution</v>
      </c>
      <c r="E1920" s="6" t="b">
        <f t="shared" si="15"/>
        <v>0</v>
      </c>
      <c r="F1920" s="6"/>
      <c r="G1920" s="6" t="str">
        <f t="shared" si="16"/>
        <v>Task Execution</v>
      </c>
    </row>
    <row r="1921" spans="1:7" ht="14" x14ac:dyDescent="0.15">
      <c r="A1921" s="6" t="s">
        <v>1832</v>
      </c>
      <c r="B1921" s="8" t="s">
        <v>3171</v>
      </c>
      <c r="C1921" s="6" t="str">
        <f>'Ann1 - Step 3'!C1921</f>
        <v>Build &amp; Operation</v>
      </c>
      <c r="D1921" s="6" t="str">
        <f>'Ann2 - Step 3'!C1921</f>
        <v>Build &amp; Operation</v>
      </c>
      <c r="E1921" s="6" t="b">
        <f t="shared" si="15"/>
        <v>0</v>
      </c>
      <c r="F1921" s="6"/>
      <c r="G1921" s="6" t="str">
        <f t="shared" si="16"/>
        <v>Build &amp; Operation</v>
      </c>
    </row>
    <row r="1922" spans="1:7" ht="14" x14ac:dyDescent="0.15">
      <c r="A1922" s="6" t="s">
        <v>577</v>
      </c>
      <c r="B1922" s="8" t="s">
        <v>3172</v>
      </c>
      <c r="C1922" s="6" t="str">
        <f>'Ann1 - Step 3'!C1922</f>
        <v>Task Execution</v>
      </c>
      <c r="D1922" s="6" t="str">
        <f>'Ann2 - Step 3'!C1922</f>
        <v>Task Execution</v>
      </c>
      <c r="E1922" s="6" t="b">
        <f t="shared" si="15"/>
        <v>0</v>
      </c>
      <c r="F1922" s="6"/>
      <c r="G1922" s="6" t="str">
        <f t="shared" si="16"/>
        <v>Task Execution</v>
      </c>
    </row>
    <row r="1923" spans="1:7" ht="28" x14ac:dyDescent="0.15">
      <c r="A1923" s="6" t="s">
        <v>955</v>
      </c>
      <c r="B1923" s="8" t="s">
        <v>3173</v>
      </c>
      <c r="C1923" s="6" t="str">
        <f>'Ann1 - Step 3'!C1923</f>
        <v>Task Execution</v>
      </c>
      <c r="D1923" s="6" t="str">
        <f>'Ann2 - Step 3'!C1923</f>
        <v>Task Execution</v>
      </c>
      <c r="E1923" s="6" t="b">
        <f t="shared" si="15"/>
        <v>0</v>
      </c>
      <c r="F1923" s="6"/>
      <c r="G1923" s="6" t="str">
        <f t="shared" si="16"/>
        <v>Task Execution</v>
      </c>
    </row>
    <row r="1924" spans="1:7" ht="14" x14ac:dyDescent="0.15">
      <c r="A1924" s="6" t="s">
        <v>1242</v>
      </c>
      <c r="B1924" s="8" t="s">
        <v>3175</v>
      </c>
      <c r="C1924" s="6" t="str">
        <f>'Ann1 - Step 3'!C1924</f>
        <v>Task Execution</v>
      </c>
      <c r="D1924" s="6" t="str">
        <f>'Ann2 - Step 3'!C1924</f>
        <v>Task Execution</v>
      </c>
      <c r="E1924" s="6" t="b">
        <f t="shared" si="15"/>
        <v>0</v>
      </c>
      <c r="F1924" s="6"/>
      <c r="G1924" s="6" t="str">
        <f t="shared" si="16"/>
        <v>Task Execution</v>
      </c>
    </row>
    <row r="1925" spans="1:7" ht="14" x14ac:dyDescent="0.15">
      <c r="A1925" s="6" t="s">
        <v>32</v>
      </c>
      <c r="B1925" s="8" t="s">
        <v>3176</v>
      </c>
      <c r="C1925" s="6" t="str">
        <f>'Ann1 - Step 3'!C1925</f>
        <v>Task Execution</v>
      </c>
      <c r="D1925" s="6" t="str">
        <f>'Ann2 - Step 3'!C1925</f>
        <v>Task Execution</v>
      </c>
      <c r="E1925" s="6" t="b">
        <f t="shared" si="15"/>
        <v>0</v>
      </c>
      <c r="F1925" s="6"/>
      <c r="G1925" s="6" t="str">
        <f t="shared" si="16"/>
        <v>Task Execution</v>
      </c>
    </row>
    <row r="1926" spans="1:7" ht="14" x14ac:dyDescent="0.15">
      <c r="A1926" s="6" t="s">
        <v>955</v>
      </c>
      <c r="B1926" s="8" t="s">
        <v>3178</v>
      </c>
      <c r="C1926" s="6" t="str">
        <f>'Ann1 - Step 3'!C1926</f>
        <v>Task Execution</v>
      </c>
      <c r="D1926" s="6" t="str">
        <f>'Ann2 - Step 3'!C1926</f>
        <v>Task Execution</v>
      </c>
      <c r="E1926" s="6" t="b">
        <f t="shared" si="15"/>
        <v>0</v>
      </c>
      <c r="F1926" s="6"/>
      <c r="G1926" s="6" t="str">
        <f t="shared" si="16"/>
        <v>Task Execution</v>
      </c>
    </row>
    <row r="1927" spans="1:7" ht="14" x14ac:dyDescent="0.15">
      <c r="A1927" s="6" t="s">
        <v>955</v>
      </c>
      <c r="B1927" s="8" t="s">
        <v>3179</v>
      </c>
      <c r="C1927" s="6" t="str">
        <f>'Ann1 - Step 3'!C1927</f>
        <v>Task Execution</v>
      </c>
      <c r="D1927" s="6" t="str">
        <f>'Ann2 - Step 3'!C1927</f>
        <v>Task Execution</v>
      </c>
      <c r="E1927" s="6" t="b">
        <f t="shared" si="15"/>
        <v>0</v>
      </c>
      <c r="F1927" s="6"/>
      <c r="G1927" s="6" t="str">
        <f t="shared" si="16"/>
        <v>Task Execution</v>
      </c>
    </row>
    <row r="1928" spans="1:7" ht="28" x14ac:dyDescent="0.15">
      <c r="A1928" s="6" t="s">
        <v>107</v>
      </c>
      <c r="B1928" s="8" t="s">
        <v>3180</v>
      </c>
      <c r="C1928" s="6" t="str">
        <f>'Ann1 - Step 3'!C1928</f>
        <v>Task Execution</v>
      </c>
      <c r="D1928" s="6" t="str">
        <f>'Ann2 - Step 3'!C1928</f>
        <v>Task Execution</v>
      </c>
      <c r="E1928" s="6" t="b">
        <f t="shared" si="15"/>
        <v>0</v>
      </c>
      <c r="F1928" s="6"/>
      <c r="G1928" s="6" t="str">
        <f t="shared" si="16"/>
        <v>Task Execution</v>
      </c>
    </row>
    <row r="1929" spans="1:7" ht="28" x14ac:dyDescent="0.15">
      <c r="A1929" s="6" t="s">
        <v>112</v>
      </c>
      <c r="B1929" s="8" t="s">
        <v>3180</v>
      </c>
      <c r="C1929" s="6" t="str">
        <f>'Ann1 - Step 3'!C1929</f>
        <v>Task Execution</v>
      </c>
      <c r="D1929" s="6" t="str">
        <f>'Ann2 - Step 3'!C1929</f>
        <v>Task Execution</v>
      </c>
      <c r="E1929" s="6" t="b">
        <f t="shared" si="15"/>
        <v>0</v>
      </c>
      <c r="F1929" s="6"/>
      <c r="G1929" s="6" t="str">
        <f t="shared" si="16"/>
        <v>Task Execution</v>
      </c>
    </row>
    <row r="1930" spans="1:7" ht="14" x14ac:dyDescent="0.15">
      <c r="A1930" s="6" t="s">
        <v>154</v>
      </c>
      <c r="B1930" s="8" t="s">
        <v>3182</v>
      </c>
      <c r="C1930" s="6" t="str">
        <f>'Ann1 - Step 3'!C1930</f>
        <v>Task Execution</v>
      </c>
      <c r="D1930" s="6" t="str">
        <f>'Ann2 - Step 3'!C1930</f>
        <v>Task Execution</v>
      </c>
      <c r="E1930" s="6" t="b">
        <f t="shared" si="15"/>
        <v>0</v>
      </c>
      <c r="F1930" s="6"/>
      <c r="G1930" s="6" t="str">
        <f t="shared" si="16"/>
        <v>Task Execution</v>
      </c>
    </row>
    <row r="1931" spans="1:7" ht="14" x14ac:dyDescent="0.15">
      <c r="A1931" s="6" t="s">
        <v>94</v>
      </c>
      <c r="B1931" s="8" t="s">
        <v>3184</v>
      </c>
      <c r="C1931" s="6" t="str">
        <f>'Ann1 - Step 3'!C1931</f>
        <v>Build &amp; Operation</v>
      </c>
      <c r="D1931" s="6" t="str">
        <f>'Ann2 - Step 3'!C1931</f>
        <v>Build &amp; Operation</v>
      </c>
      <c r="E1931" s="6" t="b">
        <f t="shared" si="15"/>
        <v>0</v>
      </c>
      <c r="F1931" s="6"/>
      <c r="G1931" s="6" t="str">
        <f t="shared" si="16"/>
        <v>Build &amp; Operation</v>
      </c>
    </row>
    <row r="1932" spans="1:7" ht="14" x14ac:dyDescent="0.15">
      <c r="A1932" s="6" t="s">
        <v>94</v>
      </c>
      <c r="B1932" s="8" t="s">
        <v>3186</v>
      </c>
      <c r="C1932" s="6" t="str">
        <f>'Ann1 - Step 3'!C1932</f>
        <v>Coding Pattern</v>
      </c>
      <c r="D1932" s="6" t="str">
        <f>'Ann2 - Step 3'!C1932</f>
        <v>Coding Pattern</v>
      </c>
      <c r="E1932" s="6" t="b">
        <f t="shared" si="15"/>
        <v>0</v>
      </c>
      <c r="F1932" s="30"/>
      <c r="G1932" s="6" t="str">
        <f t="shared" si="16"/>
        <v>Coding Pattern</v>
      </c>
    </row>
    <row r="1933" spans="1:7" ht="14" x14ac:dyDescent="0.15">
      <c r="A1933" s="6" t="s">
        <v>249</v>
      </c>
      <c r="B1933" s="8" t="s">
        <v>3187</v>
      </c>
      <c r="C1933" s="6" t="str">
        <f>'Ann1 - Step 3'!C1933</f>
        <v>Build &amp; Operation</v>
      </c>
      <c r="D1933" s="6" t="str">
        <f>'Ann2 - Step 3'!C1933</f>
        <v>Build &amp; Operation</v>
      </c>
      <c r="E1933" s="6" t="b">
        <f t="shared" si="15"/>
        <v>0</v>
      </c>
      <c r="F1933" s="6"/>
      <c r="G1933" s="6" t="str">
        <f t="shared" si="16"/>
        <v>Build &amp; Operation</v>
      </c>
    </row>
    <row r="1934" spans="1:7" ht="14" x14ac:dyDescent="0.15">
      <c r="A1934" s="6" t="s">
        <v>399</v>
      </c>
      <c r="B1934" s="8" t="s">
        <v>3187</v>
      </c>
      <c r="C1934" s="6" t="str">
        <f>'Ann1 - Step 3'!C1934</f>
        <v>Build &amp; Operation</v>
      </c>
      <c r="D1934" s="6" t="str">
        <f>'Ann2 - Step 3'!C1934</f>
        <v>Build &amp; Operation</v>
      </c>
      <c r="E1934" s="6" t="b">
        <f t="shared" si="15"/>
        <v>0</v>
      </c>
      <c r="F1934" s="6"/>
      <c r="G1934" s="6" t="str">
        <f t="shared" si="16"/>
        <v>Build &amp; Operation</v>
      </c>
    </row>
    <row r="1935" spans="1:7" ht="14" x14ac:dyDescent="0.15">
      <c r="A1935" s="6" t="s">
        <v>15</v>
      </c>
      <c r="B1935" s="8" t="s">
        <v>3188</v>
      </c>
      <c r="C1935" s="6" t="str">
        <f>'Ann1 - Step 3'!C1935</f>
        <v>Task Execution</v>
      </c>
      <c r="D1935" s="6" t="str">
        <f>'Ann2 - Step 3'!C1935</f>
        <v>Task Execution</v>
      </c>
      <c r="E1935" s="6" t="b">
        <f t="shared" si="15"/>
        <v>0</v>
      </c>
      <c r="F1935" s="6"/>
      <c r="G1935" s="6" t="str">
        <f t="shared" si="16"/>
        <v>Task Execution</v>
      </c>
    </row>
    <row r="1936" spans="1:7" ht="14" x14ac:dyDescent="0.15">
      <c r="A1936" s="6" t="s">
        <v>1191</v>
      </c>
      <c r="B1936" s="8" t="s">
        <v>3189</v>
      </c>
      <c r="C1936" s="6" t="str">
        <f>'Ann1 - Step 3'!C1936</f>
        <v>Task Execution</v>
      </c>
      <c r="D1936" s="6" t="str">
        <f>'Ann2 - Step 3'!C1936</f>
        <v>Task Execution</v>
      </c>
      <c r="E1936" s="6" t="b">
        <f t="shared" si="15"/>
        <v>0</v>
      </c>
      <c r="F1936" s="6"/>
      <c r="G1936" s="6" t="str">
        <f t="shared" si="16"/>
        <v>Task Execution</v>
      </c>
    </row>
    <row r="1937" spans="1:7" ht="14" x14ac:dyDescent="0.15">
      <c r="A1937" s="31" t="s">
        <v>166</v>
      </c>
      <c r="B1937" s="8" t="s">
        <v>3190</v>
      </c>
      <c r="C1937" s="6" t="str">
        <f>'Ann1 - Step 3'!C1937</f>
        <v>Coding Pattern</v>
      </c>
      <c r="D1937" s="6" t="str">
        <f>'Ann2 - Step 3'!C1937</f>
        <v>Coding Pattern</v>
      </c>
      <c r="E1937" s="6" t="b">
        <f t="shared" si="15"/>
        <v>0</v>
      </c>
      <c r="F1937" s="30"/>
      <c r="G1937" s="6" t="str">
        <f t="shared" si="16"/>
        <v>Coding Pattern</v>
      </c>
    </row>
    <row r="1938" spans="1:7" ht="14" x14ac:dyDescent="0.15">
      <c r="A1938" s="6" t="s">
        <v>166</v>
      </c>
      <c r="B1938" s="8" t="s">
        <v>3191</v>
      </c>
      <c r="C1938" s="6" t="str">
        <f>'Ann1 - Step 3'!C1938</f>
        <v>Maintainability</v>
      </c>
      <c r="D1938" s="6" t="str">
        <f>'Ann2 - Step 3'!C1938</f>
        <v>Maintainability</v>
      </c>
      <c r="E1938" s="6" t="b">
        <f t="shared" si="15"/>
        <v>0</v>
      </c>
      <c r="F1938" s="6"/>
      <c r="G1938" s="6" t="str">
        <f t="shared" si="16"/>
        <v>Maintainability</v>
      </c>
    </row>
    <row r="1939" spans="1:7" ht="14" x14ac:dyDescent="0.15">
      <c r="A1939" s="6" t="s">
        <v>395</v>
      </c>
      <c r="B1939" s="8" t="s">
        <v>3192</v>
      </c>
      <c r="C1939" s="6" t="str">
        <f>'Ann1 - Step 3'!C1939</f>
        <v>Coding Pattern</v>
      </c>
      <c r="D1939" s="6" t="str">
        <f>'Ann2 - Step 3'!C1939</f>
        <v>Coding Pattern</v>
      </c>
      <c r="E1939" s="6" t="b">
        <f t="shared" si="15"/>
        <v>0</v>
      </c>
      <c r="F1939" s="6"/>
      <c r="G1939" s="6" t="str">
        <f t="shared" si="16"/>
        <v>Coding Pattern</v>
      </c>
    </row>
    <row r="1940" spans="1:7" ht="14" x14ac:dyDescent="0.15">
      <c r="A1940" s="6" t="s">
        <v>395</v>
      </c>
      <c r="B1940" s="8" t="s">
        <v>3193</v>
      </c>
      <c r="C1940" s="6" t="str">
        <f>'Ann1 - Step 3'!C1940</f>
        <v>Coding Pattern</v>
      </c>
      <c r="D1940" s="6" t="str">
        <f>'Ann2 - Step 3'!C1940</f>
        <v>Coding Pattern</v>
      </c>
      <c r="E1940" s="6" t="b">
        <f t="shared" si="15"/>
        <v>0</v>
      </c>
      <c r="F1940" s="6"/>
      <c r="G1940" s="6" t="str">
        <f t="shared" si="16"/>
        <v>Coding Pattern</v>
      </c>
    </row>
    <row r="1941" spans="1:7" ht="14" x14ac:dyDescent="0.15">
      <c r="A1941" s="6" t="s">
        <v>395</v>
      </c>
      <c r="B1941" s="8" t="s">
        <v>3194</v>
      </c>
      <c r="C1941" s="6" t="str">
        <f>'Ann1 - Step 3'!C1941</f>
        <v>Coding Style</v>
      </c>
      <c r="D1941" s="6" t="str">
        <f>'Ann2 - Step 3'!C1941</f>
        <v>Coding Style</v>
      </c>
      <c r="E1941" s="6" t="b">
        <f t="shared" si="15"/>
        <v>0</v>
      </c>
      <c r="F1941" s="6"/>
      <c r="G1941" s="6" t="str">
        <f t="shared" si="16"/>
        <v>Coding Style</v>
      </c>
    </row>
    <row r="1942" spans="1:7" ht="14" x14ac:dyDescent="0.15">
      <c r="A1942" s="6" t="s">
        <v>1165</v>
      </c>
      <c r="B1942" s="8" t="s">
        <v>3195</v>
      </c>
      <c r="C1942" s="6" t="str">
        <f>'Ann1 - Step 3'!C1942</f>
        <v>Testing</v>
      </c>
      <c r="D1942" s="6" t="str">
        <f>'Ann2 - Step 3'!C1942</f>
        <v>Testing</v>
      </c>
      <c r="E1942" s="6" t="b">
        <f t="shared" si="15"/>
        <v>0</v>
      </c>
      <c r="F1942" s="6"/>
      <c r="G1942" s="6" t="str">
        <f t="shared" si="16"/>
        <v>Testing</v>
      </c>
    </row>
    <row r="1943" spans="1:7" ht="14" x14ac:dyDescent="0.15">
      <c r="A1943" s="6" t="s">
        <v>166</v>
      </c>
      <c r="B1943" s="8" t="s">
        <v>3196</v>
      </c>
      <c r="C1943" s="6" t="str">
        <f>'Ann1 - Step 3'!C1943</f>
        <v>Coding Pattern</v>
      </c>
      <c r="D1943" s="6" t="str">
        <f>'Ann2 - Step 3'!C1943</f>
        <v>Coding Pattern</v>
      </c>
      <c r="E1943" s="6" t="b">
        <f t="shared" si="15"/>
        <v>0</v>
      </c>
      <c r="F1943" s="6"/>
      <c r="G1943" s="6" t="str">
        <f t="shared" si="16"/>
        <v>Coding Pattern</v>
      </c>
    </row>
  </sheetData>
  <autoFilter ref="A1:W1943" xr:uid="{00000000-0009-0000-0000-000009000000}"/>
  <hyperlinks>
    <hyperlink ref="A4" r:id="rId1" xr:uid="{00000000-0004-0000-0900-000000000000}"/>
    <hyperlink ref="A27" r:id="rId2" xr:uid="{00000000-0004-0000-0900-000001000000}"/>
    <hyperlink ref="A39" r:id="rId3" xr:uid="{00000000-0004-0000-0900-000002000000}"/>
    <hyperlink ref="A43" r:id="rId4" xr:uid="{00000000-0004-0000-0900-000003000000}"/>
    <hyperlink ref="A136" r:id="rId5" xr:uid="{00000000-0004-0000-0900-000004000000}"/>
    <hyperlink ref="A150" r:id="rId6" xr:uid="{00000000-0004-0000-0900-000005000000}"/>
    <hyperlink ref="A165" r:id="rId7" xr:uid="{00000000-0004-0000-0900-000006000000}"/>
    <hyperlink ref="A195" r:id="rId8" xr:uid="{00000000-0004-0000-0900-000007000000}"/>
    <hyperlink ref="A198" r:id="rId9" xr:uid="{00000000-0004-0000-0900-000008000000}"/>
    <hyperlink ref="A227" r:id="rId10" xr:uid="{00000000-0004-0000-0900-000009000000}"/>
    <hyperlink ref="A252" r:id="rId11" xr:uid="{00000000-0004-0000-0900-00000A000000}"/>
    <hyperlink ref="A313" r:id="rId12" xr:uid="{00000000-0004-0000-0900-00000B000000}"/>
    <hyperlink ref="A314" r:id="rId13" xr:uid="{00000000-0004-0000-0900-00000C000000}"/>
    <hyperlink ref="A328" r:id="rId14" xr:uid="{00000000-0004-0000-0900-00000D000000}"/>
    <hyperlink ref="A334" r:id="rId15" xr:uid="{00000000-0004-0000-0900-00000E000000}"/>
    <hyperlink ref="A348" r:id="rId16" xr:uid="{00000000-0004-0000-0900-00000F000000}"/>
    <hyperlink ref="A361" r:id="rId17" xr:uid="{00000000-0004-0000-0900-000010000000}"/>
    <hyperlink ref="A363" r:id="rId18" xr:uid="{00000000-0004-0000-0900-000011000000}"/>
    <hyperlink ref="A376" r:id="rId19" xr:uid="{00000000-0004-0000-0900-000012000000}"/>
    <hyperlink ref="A398" r:id="rId20" xr:uid="{00000000-0004-0000-0900-000013000000}"/>
    <hyperlink ref="A419" r:id="rId21" xr:uid="{00000000-0004-0000-0900-000014000000}"/>
    <hyperlink ref="A430" r:id="rId22" xr:uid="{00000000-0004-0000-0900-000015000000}"/>
    <hyperlink ref="H430" r:id="rId23" xr:uid="{00000000-0004-0000-0900-000016000000}"/>
    <hyperlink ref="A434" r:id="rId24" xr:uid="{00000000-0004-0000-0900-000017000000}"/>
    <hyperlink ref="A472" r:id="rId25" xr:uid="{00000000-0004-0000-0900-000018000000}"/>
    <hyperlink ref="A484" r:id="rId26" xr:uid="{00000000-0004-0000-0900-000019000000}"/>
    <hyperlink ref="A485" r:id="rId27" xr:uid="{00000000-0004-0000-0900-00001A000000}"/>
    <hyperlink ref="A512" r:id="rId28" xr:uid="{00000000-0004-0000-0900-00001B000000}"/>
    <hyperlink ref="A526" r:id="rId29" xr:uid="{00000000-0004-0000-0900-00001C000000}"/>
    <hyperlink ref="A586" r:id="rId30" xr:uid="{00000000-0004-0000-0900-00001D000000}"/>
    <hyperlink ref="A621" r:id="rId31" xr:uid="{00000000-0004-0000-0900-00001E000000}"/>
    <hyperlink ref="A664" r:id="rId32" xr:uid="{00000000-0004-0000-0900-00001F000000}"/>
    <hyperlink ref="A678" r:id="rId33" xr:uid="{00000000-0004-0000-0900-000020000000}"/>
    <hyperlink ref="A681" r:id="rId34" xr:uid="{00000000-0004-0000-0900-000021000000}"/>
    <hyperlink ref="A683" r:id="rId35" xr:uid="{00000000-0004-0000-0900-000022000000}"/>
    <hyperlink ref="A695" r:id="rId36" xr:uid="{00000000-0004-0000-0900-000023000000}"/>
    <hyperlink ref="A713" r:id="rId37" xr:uid="{00000000-0004-0000-0900-000024000000}"/>
    <hyperlink ref="A781" r:id="rId38" xr:uid="{00000000-0004-0000-0900-000025000000}"/>
    <hyperlink ref="A809" r:id="rId39" xr:uid="{00000000-0004-0000-0900-000026000000}"/>
    <hyperlink ref="A828" r:id="rId40" xr:uid="{00000000-0004-0000-0900-000027000000}"/>
    <hyperlink ref="A837" r:id="rId41" xr:uid="{00000000-0004-0000-0900-000028000000}"/>
    <hyperlink ref="A872" r:id="rId42" xr:uid="{00000000-0004-0000-0900-000029000000}"/>
    <hyperlink ref="A889" r:id="rId43" xr:uid="{00000000-0004-0000-0900-00002A000000}"/>
    <hyperlink ref="A900" r:id="rId44" xr:uid="{00000000-0004-0000-0900-00002B000000}"/>
    <hyperlink ref="A913" r:id="rId45" xr:uid="{00000000-0004-0000-0900-00002C000000}"/>
    <hyperlink ref="A933" r:id="rId46" xr:uid="{00000000-0004-0000-0900-00002D000000}"/>
    <hyperlink ref="A955" r:id="rId47" xr:uid="{00000000-0004-0000-0900-00002E000000}"/>
    <hyperlink ref="A964" r:id="rId48" xr:uid="{00000000-0004-0000-0900-00002F000000}"/>
    <hyperlink ref="A968" r:id="rId49" xr:uid="{00000000-0004-0000-0900-000030000000}"/>
    <hyperlink ref="A974" r:id="rId50" xr:uid="{00000000-0004-0000-0900-000031000000}"/>
    <hyperlink ref="A982" r:id="rId51" xr:uid="{00000000-0004-0000-0900-000032000000}"/>
    <hyperlink ref="A989" r:id="rId52" xr:uid="{00000000-0004-0000-0900-000033000000}"/>
    <hyperlink ref="A1008" r:id="rId53" xr:uid="{00000000-0004-0000-0900-000034000000}"/>
    <hyperlink ref="A1009" r:id="rId54" xr:uid="{00000000-0004-0000-0900-000035000000}"/>
    <hyperlink ref="A1012" r:id="rId55" xr:uid="{00000000-0004-0000-0900-000036000000}"/>
    <hyperlink ref="A1052" r:id="rId56" xr:uid="{00000000-0004-0000-0900-000037000000}"/>
    <hyperlink ref="A1114" r:id="rId57" xr:uid="{00000000-0004-0000-0900-000038000000}"/>
    <hyperlink ref="A1175" r:id="rId58" xr:uid="{00000000-0004-0000-0900-000039000000}"/>
    <hyperlink ref="A1177" r:id="rId59" xr:uid="{00000000-0004-0000-0900-00003A000000}"/>
    <hyperlink ref="A1190" r:id="rId60" xr:uid="{00000000-0004-0000-0900-00003B000000}"/>
    <hyperlink ref="A1191" r:id="rId61" xr:uid="{00000000-0004-0000-0900-00003C000000}"/>
    <hyperlink ref="A1250" r:id="rId62" xr:uid="{00000000-0004-0000-0900-00003D000000}"/>
    <hyperlink ref="A1272" r:id="rId63" xr:uid="{00000000-0004-0000-0900-00003E000000}"/>
    <hyperlink ref="A1292" r:id="rId64" xr:uid="{00000000-0004-0000-0900-00003F000000}"/>
    <hyperlink ref="A1328" r:id="rId65" xr:uid="{00000000-0004-0000-0900-000040000000}"/>
    <hyperlink ref="A1330" r:id="rId66" xr:uid="{00000000-0004-0000-0900-000041000000}"/>
    <hyperlink ref="A1344" r:id="rId67" xr:uid="{00000000-0004-0000-0900-000042000000}"/>
    <hyperlink ref="A1360" r:id="rId68" xr:uid="{00000000-0004-0000-0900-000043000000}"/>
    <hyperlink ref="A1363" r:id="rId69" xr:uid="{00000000-0004-0000-0900-000044000000}"/>
    <hyperlink ref="A1407" r:id="rId70" xr:uid="{00000000-0004-0000-0900-000045000000}"/>
    <hyperlink ref="A1416" r:id="rId71" xr:uid="{00000000-0004-0000-0900-000046000000}"/>
    <hyperlink ref="A1418" r:id="rId72" xr:uid="{00000000-0004-0000-0900-000047000000}"/>
    <hyperlink ref="A1430" r:id="rId73" xr:uid="{00000000-0004-0000-0900-000048000000}"/>
    <hyperlink ref="A1449" r:id="rId74" xr:uid="{00000000-0004-0000-0900-000049000000}"/>
    <hyperlink ref="A1457" r:id="rId75" xr:uid="{00000000-0004-0000-0900-00004A000000}"/>
    <hyperlink ref="A1458" r:id="rId76" xr:uid="{00000000-0004-0000-0900-00004B000000}"/>
    <hyperlink ref="A1459" r:id="rId77" xr:uid="{00000000-0004-0000-0900-00004C000000}"/>
    <hyperlink ref="A1496" r:id="rId78" xr:uid="{00000000-0004-0000-0900-00004D000000}"/>
    <hyperlink ref="A1533" r:id="rId79" xr:uid="{00000000-0004-0000-0900-00004E000000}"/>
    <hyperlink ref="A1538" r:id="rId80" xr:uid="{00000000-0004-0000-0900-00004F000000}"/>
    <hyperlink ref="A1559" r:id="rId81" xr:uid="{00000000-0004-0000-0900-000050000000}"/>
    <hyperlink ref="A1619" r:id="rId82" xr:uid="{00000000-0004-0000-0900-000051000000}"/>
    <hyperlink ref="A1625" r:id="rId83" xr:uid="{00000000-0004-0000-0900-000052000000}"/>
    <hyperlink ref="A1629" r:id="rId84" xr:uid="{00000000-0004-0000-0900-000053000000}"/>
    <hyperlink ref="A1642" r:id="rId85" xr:uid="{00000000-0004-0000-0900-000054000000}"/>
    <hyperlink ref="A1662" r:id="rId86" xr:uid="{00000000-0004-0000-0900-000055000000}"/>
    <hyperlink ref="A1682" r:id="rId87" xr:uid="{00000000-0004-0000-0900-000056000000}"/>
    <hyperlink ref="A1781" r:id="rId88" xr:uid="{00000000-0004-0000-0900-000057000000}"/>
    <hyperlink ref="A1785" r:id="rId89" xr:uid="{00000000-0004-0000-0900-000058000000}"/>
    <hyperlink ref="A1810" r:id="rId90" xr:uid="{00000000-0004-0000-0900-000059000000}"/>
    <hyperlink ref="A1815" r:id="rId91" xr:uid="{00000000-0004-0000-0900-00005A000000}"/>
    <hyperlink ref="A1816" r:id="rId92" xr:uid="{00000000-0004-0000-0900-00005B000000}"/>
    <hyperlink ref="A1839" r:id="rId93" xr:uid="{00000000-0004-0000-0900-00005C000000}"/>
    <hyperlink ref="A1841" r:id="rId94" xr:uid="{00000000-0004-0000-0900-00005D000000}"/>
    <hyperlink ref="A1862" r:id="rId95" xr:uid="{00000000-0004-0000-0900-00005E000000}"/>
    <hyperlink ref="A1869" r:id="rId96" xr:uid="{00000000-0004-0000-0900-00005F000000}"/>
    <hyperlink ref="A1872" r:id="rId97" xr:uid="{00000000-0004-0000-0900-000060000000}"/>
    <hyperlink ref="A1937" r:id="rId98" xr:uid="{00000000-0004-0000-0900-00006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Results!$A$2:$A$20</xm:f>
          </x14:formula1>
          <xm:sqref>F2:F1943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2462"/>
  <sheetViews>
    <sheetView tabSelected="1" workbookViewId="0"/>
  </sheetViews>
  <sheetFormatPr baseColWidth="10" defaultColWidth="12.6640625" defaultRowHeight="15.75" customHeight="1" x14ac:dyDescent="0.15"/>
  <cols>
    <col min="4" max="4" width="16.33203125" customWidth="1"/>
  </cols>
  <sheetData>
    <row r="1" spans="1:10" ht="15.75" customHeight="1" x14ac:dyDescent="0.15">
      <c r="A1" s="6" t="s">
        <v>3291</v>
      </c>
      <c r="B1" s="6" t="s">
        <v>3292</v>
      </c>
      <c r="D1" s="6" t="s">
        <v>3293</v>
      </c>
      <c r="E1" s="6">
        <f ca="1">COUNTA(A2:A2462)</f>
        <v>1942</v>
      </c>
    </row>
    <row r="2" spans="1:10" ht="15.75" customHeight="1" x14ac:dyDescent="0.15">
      <c r="A2" s="6" t="str">
        <f ca="1">IFERROR(__xludf.DUMMYFUNCTION("FILTER(
  {TO_TEXT(IFERROR('Step3 Merge'!C2:C2462,"""")),TO_TEXT(IFERROR('Step3 Merge'!D2:D2462,""""))},
  LEN(TRIM(TO_TEXT(IFERROR('Step3 Merge'!C2:C2462,""""))))&gt;0,
  LEN(TRIM(TO_TEXT(IFERROR('Step3 Merge'!D2:D2462,""""))))&gt;0,
  TO_TEXT(IFERROR('Step3 M"&amp;"erge'!C2:C2462,""""))&lt;&gt;""#REF!"",
  TO_TEXT(IFERROR('Step3 Merge'!D2:D2462,""""))&lt;&gt;""#REF!""
)"),"Documentation")</f>
        <v>Documentation</v>
      </c>
      <c r="B2" s="6" t="str">
        <f ca="1">IFERROR(__xludf.DUMMYFUNCTION("""COMPUTED_VALUE"""),"Documentation")</f>
        <v>Documentation</v>
      </c>
      <c r="D2" s="6" t="s">
        <v>3294</v>
      </c>
      <c r="E2" s="6">
        <f ca="1">SUMPRODUCT((A2:A2462&lt;&gt;"")*(A2:A2462=B2:B2462))/E1</f>
        <v>0.85736354273944382</v>
      </c>
      <c r="G2" s="6" t="str">
        <f ca="1">IFERROR(__xludf.DUMMYFUNCTION("SORT(UNIQUE(FILTER({A2:A2462;B2:B2462},{A2:A2462;B2:B2462}&lt;&gt;"""")))"),"Build &amp; Operation")</f>
        <v>Build &amp; Operation</v>
      </c>
      <c r="H2" s="6">
        <f t="array" aca="1" ref="H2:H2462" ca="1">IF(G2:G2462="",,COUNTIF($A$2:$A2462,G2:G2462)/$E$1)</f>
        <v>0.11277033985581875</v>
      </c>
      <c r="I2" s="6">
        <f t="array" aca="1" ref="I2:I2462" ca="1">IF(G2:G2462="",,COUNTIF($B$2:$B2462,G2:G2462)/$E$1)</f>
        <v>0.11791967044284243</v>
      </c>
      <c r="J2" s="6">
        <f t="array" aca="1" ref="J2:J2462" ca="1">IF(G2:G2462="",,H2:H2462*I2:I2462)</f>
        <v>1.3297841311525485E-2</v>
      </c>
    </row>
    <row r="3" spans="1:10" ht="15.75" customHeight="1" x14ac:dyDescent="0.15">
      <c r="A3" s="6" t="str">
        <f ca="1">IFERROR(__xludf.DUMMYFUNCTION("""COMPUTED_VALUE"""),"Coding Pattern")</f>
        <v>Coding Pattern</v>
      </c>
      <c r="B3" s="6" t="str">
        <f ca="1">IFERROR(__xludf.DUMMYFUNCTION("""COMPUTED_VALUE"""),"Coding Pattern")</f>
        <v>Coding Pattern</v>
      </c>
      <c r="D3" s="6" t="s">
        <v>3295</v>
      </c>
      <c r="E3" s="6">
        <f ca="1">SUM(J2:J2462)</f>
        <v>0.14541714880875994</v>
      </c>
      <c r="G3" s="6" t="str">
        <f ca="1">IFERROR(__xludf.DUMMYFUNCTION("""COMPUTED_VALUE"""),"Code Review")</f>
        <v>Code Review</v>
      </c>
      <c r="H3" s="6">
        <f ca="1"/>
        <v>5.6642636457260552E-3</v>
      </c>
      <c r="I3" s="6">
        <f ca="1"/>
        <v>6.1791967044284241E-3</v>
      </c>
      <c r="J3" s="6">
        <f ca="1"/>
        <v>3.5000599252684174E-5</v>
      </c>
    </row>
    <row r="4" spans="1:10" ht="15.75" customHeight="1" x14ac:dyDescent="0.15">
      <c r="A4" s="6" t="str">
        <f ca="1">IFERROR(__xludf.DUMMYFUNCTION("""COMPUTED_VALUE"""),"Testing")</f>
        <v>Testing</v>
      </c>
      <c r="B4" s="6" t="str">
        <f ca="1">IFERROR(__xludf.DUMMYFUNCTION("""COMPUTED_VALUE"""),"Testing")</f>
        <v>Testing</v>
      </c>
      <c r="D4" s="6" t="s">
        <v>3296</v>
      </c>
      <c r="E4" s="6">
        <f ca="1">IF(1-E3=0,"Kappa undefined",(E2-E3)/(1-E3))</f>
        <v>0.83309230104286658</v>
      </c>
      <c r="G4" s="6" t="str">
        <f ca="1">IFERROR(__xludf.DUMMYFUNCTION("""COMPUTED_VALUE"""),"Coding Pattern")</f>
        <v>Coding Pattern</v>
      </c>
      <c r="H4" s="6">
        <f ca="1"/>
        <v>0.26570545829042225</v>
      </c>
      <c r="I4" s="6">
        <f ca="1"/>
        <v>0.27394438722966014</v>
      </c>
      <c r="J4" s="6">
        <f ca="1"/>
        <v>7.2788518954945744E-2</v>
      </c>
    </row>
    <row r="5" spans="1:10" ht="15.75" customHeight="1" x14ac:dyDescent="0.15">
      <c r="A5" s="6" t="str">
        <f ca="1">IFERROR(__xludf.DUMMYFUNCTION("""COMPUTED_VALUE"""),"Documentation")</f>
        <v>Documentation</v>
      </c>
      <c r="B5" s="6" t="str">
        <f ca="1">IFERROR(__xludf.DUMMYFUNCTION("""COMPUTED_VALUE"""),"Documentation")</f>
        <v>Documentation</v>
      </c>
      <c r="G5" s="6" t="str">
        <f ca="1">IFERROR(__xludf.DUMMYFUNCTION("""COMPUTED_VALUE"""),"Coding Style")</f>
        <v>Coding Style</v>
      </c>
      <c r="H5" s="6">
        <f ca="1"/>
        <v>7.8784757981462408E-2</v>
      </c>
      <c r="I5" s="6">
        <f ca="1"/>
        <v>7.7754891864057679E-2</v>
      </c>
      <c r="J5" s="6">
        <f ca="1"/>
        <v>6.1259003373845648E-3</v>
      </c>
    </row>
    <row r="6" spans="1:10" ht="15.75" customHeight="1" x14ac:dyDescent="0.15">
      <c r="A6" s="6" t="str">
        <f ca="1">IFERROR(__xludf.DUMMYFUNCTION("""COMPUTED_VALUE"""),"Documentation")</f>
        <v>Documentation</v>
      </c>
      <c r="B6" s="6" t="str">
        <f ca="1">IFERROR(__xludf.DUMMYFUNCTION("""COMPUTED_VALUE"""),"Documentation")</f>
        <v>Documentation</v>
      </c>
      <c r="G6" s="6" t="str">
        <f ca="1">IFERROR(__xludf.DUMMYFUNCTION("""COMPUTED_VALUE"""),"Commit&amp;PR rule")</f>
        <v>Commit&amp;PR rule</v>
      </c>
      <c r="H6" s="6">
        <f ca="1"/>
        <v>7.6210092687950565E-2</v>
      </c>
      <c r="I6" s="6">
        <f ca="1"/>
        <v>7.6210092687950565E-2</v>
      </c>
      <c r="J6" s="6">
        <f ca="1"/>
        <v>5.8079782275060159E-3</v>
      </c>
    </row>
    <row r="7" spans="1:10" ht="15.75" customHeight="1" x14ac:dyDescent="0.15">
      <c r="A7" s="6" t="str">
        <f ca="1">IFERROR(__xludf.DUMMYFUNCTION("""COMPUTED_VALUE"""),"Documentation")</f>
        <v>Documentation</v>
      </c>
      <c r="B7" s="6" t="str">
        <f ca="1">IFERROR(__xludf.DUMMYFUNCTION("""COMPUTED_VALUE"""),"Documentation")</f>
        <v>Documentation</v>
      </c>
      <c r="G7" s="6" t="str">
        <f ca="1">IFERROR(__xludf.DUMMYFUNCTION("""COMPUTED_VALUE"""),"Documentation")</f>
        <v>Documentation</v>
      </c>
      <c r="H7" s="6">
        <f ca="1"/>
        <v>5.818743563336766E-2</v>
      </c>
      <c r="I7" s="6">
        <f ca="1"/>
        <v>6.1791967044284246E-2</v>
      </c>
      <c r="J7" s="6">
        <f ca="1"/>
        <v>3.5955161050484651E-3</v>
      </c>
    </row>
    <row r="8" spans="1:10" ht="15.75" customHeight="1" x14ac:dyDescent="0.15">
      <c r="A8" s="6" t="str">
        <f ca="1">IFERROR(__xludf.DUMMYFUNCTION("""COMPUTED_VALUE"""),"Documentation")</f>
        <v>Documentation</v>
      </c>
      <c r="B8" s="6" t="str">
        <f ca="1">IFERROR(__xludf.DUMMYFUNCTION("""COMPUTED_VALUE"""),"Documentation")</f>
        <v>Documentation</v>
      </c>
      <c r="G8" s="6" t="str">
        <f ca="1">IFERROR(__xludf.DUMMYFUNCTION("""COMPUTED_VALUE"""),"Maintainability")</f>
        <v>Maintainability</v>
      </c>
      <c r="H8" s="6">
        <f ca="1"/>
        <v>2.0597322348094749E-2</v>
      </c>
      <c r="I8" s="6">
        <f ca="1"/>
        <v>1.8537590113285273E-2</v>
      </c>
      <c r="J8" s="6">
        <f ca="1"/>
        <v>3.8182471912019103E-4</v>
      </c>
    </row>
    <row r="9" spans="1:10" ht="15.75" customHeight="1" x14ac:dyDescent="0.15">
      <c r="A9" s="6" t="str">
        <f ca="1">IFERROR(__xludf.DUMMYFUNCTION("""COMPUTED_VALUE"""),"Task Execution")</f>
        <v>Task Execution</v>
      </c>
      <c r="B9" s="6" t="str">
        <f ca="1">IFERROR(__xludf.DUMMYFUNCTION("""COMPUTED_VALUE"""),"Task Execution")</f>
        <v>Task Execution</v>
      </c>
      <c r="G9" s="6" t="str">
        <f ca="1">IFERROR(__xludf.DUMMYFUNCTION("""COMPUTED_VALUE"""),"NOT_ENOUGH_CONTEXT")</f>
        <v>NOT_ENOUGH_CONTEXT</v>
      </c>
      <c r="H9" s="6">
        <f ca="1"/>
        <v>1.8537590113285273E-2</v>
      </c>
      <c r="I9" s="6">
        <f ca="1"/>
        <v>9.2687950566426366E-3</v>
      </c>
      <c r="J9" s="6">
        <f ca="1"/>
        <v>1.7182112360408596E-4</v>
      </c>
    </row>
    <row r="10" spans="1:10" ht="15.75" customHeight="1" x14ac:dyDescent="0.15">
      <c r="A10" s="6" t="str">
        <f ca="1">IFERROR(__xludf.DUMMYFUNCTION("""COMPUTED_VALUE"""),"Commit&amp;PR rule")</f>
        <v>Commit&amp;PR rule</v>
      </c>
      <c r="B10" s="6" t="str">
        <f ca="1">IFERROR(__xludf.DUMMYFUNCTION("""COMPUTED_VALUE"""),"Commit&amp;PR rule")</f>
        <v>Commit&amp;PR rule</v>
      </c>
      <c r="G10" s="6" t="str">
        <f ca="1">IFERROR(__xludf.DUMMYFUNCTION("""COMPUTED_VALUE"""),"Other")</f>
        <v>Other</v>
      </c>
      <c r="H10" s="6">
        <f ca="1"/>
        <v>0</v>
      </c>
      <c r="I10" s="6">
        <f ca="1"/>
        <v>2.0597322348094747E-3</v>
      </c>
      <c r="J10" s="6">
        <f ca="1"/>
        <v>0</v>
      </c>
    </row>
    <row r="11" spans="1:10" ht="15.75" customHeight="1" x14ac:dyDescent="0.15">
      <c r="A11" s="6" t="str">
        <f ca="1">IFERROR(__xludf.DUMMYFUNCTION("""COMPUTED_VALUE"""),"Coding Pattern")</f>
        <v>Coding Pattern</v>
      </c>
      <c r="B11" s="6" t="str">
        <f ca="1">IFERROR(__xludf.DUMMYFUNCTION("""COMPUTED_VALUE"""),"Coding Pattern")</f>
        <v>Coding Pattern</v>
      </c>
      <c r="G11" s="6" t="str">
        <f ca="1">IFERROR(__xludf.DUMMYFUNCTION("""COMPUTED_VALUE"""),"Performance")</f>
        <v>Performance</v>
      </c>
      <c r="H11" s="6">
        <f ca="1"/>
        <v>1.2873326467559218E-2</v>
      </c>
      <c r="I11" s="6">
        <f ca="1"/>
        <v>1.3903192584963954E-2</v>
      </c>
      <c r="J11" s="6">
        <f ca="1"/>
        <v>1.7898033708758953E-4</v>
      </c>
    </row>
    <row r="12" spans="1:10" ht="15.75" customHeight="1" x14ac:dyDescent="0.15">
      <c r="A12" s="6" t="str">
        <f ca="1">IFERROR(__xludf.DUMMYFUNCTION("""COMPUTED_VALUE"""),"Coding Pattern")</f>
        <v>Coding Pattern</v>
      </c>
      <c r="B12" s="6" t="str">
        <f ca="1">IFERROR(__xludf.DUMMYFUNCTION("""COMPUTED_VALUE"""),"Coding Pattern")</f>
        <v>Coding Pattern</v>
      </c>
      <c r="G12" s="6" t="str">
        <f ca="1">IFERROR(__xludf.DUMMYFUNCTION("""COMPUTED_VALUE"""),"Security")</f>
        <v>Security</v>
      </c>
      <c r="H12" s="6">
        <f ca="1"/>
        <v>3.8105046343975282E-2</v>
      </c>
      <c r="I12" s="6">
        <f ca="1"/>
        <v>3.7075180226570546E-2</v>
      </c>
      <c r="J12" s="6">
        <f ca="1"/>
        <v>1.4127514607447068E-3</v>
      </c>
    </row>
    <row r="13" spans="1:10" ht="15.75" customHeight="1" x14ac:dyDescent="0.15">
      <c r="A13" s="6" t="str">
        <f ca="1">IFERROR(__xludf.DUMMYFUNCTION("""COMPUTED_VALUE"""),"Documentation")</f>
        <v>Documentation</v>
      </c>
      <c r="B13" s="6" t="str">
        <f ca="1">IFERROR(__xludf.DUMMYFUNCTION("""COMPUTED_VALUE"""),"Documentation")</f>
        <v>Documentation</v>
      </c>
      <c r="G13" s="6" t="str">
        <f ca="1">IFERROR(__xludf.DUMMYFUNCTION("""COMPUTED_VALUE"""),"Task Execution")</f>
        <v>Task Execution</v>
      </c>
      <c r="H13" s="6">
        <f ca="1"/>
        <v>0.17353244078269825</v>
      </c>
      <c r="I13" s="6">
        <f ca="1"/>
        <v>0.17095777548918639</v>
      </c>
      <c r="J13" s="6">
        <f ca="1"/>
        <v>2.9666720051419061E-2</v>
      </c>
    </row>
    <row r="14" spans="1:10" ht="15.75" customHeight="1" x14ac:dyDescent="0.15">
      <c r="A14" s="6" t="str">
        <f ca="1">IFERROR(__xludf.DUMMYFUNCTION("""COMPUTED_VALUE"""),"Coding Pattern")</f>
        <v>Coding Pattern</v>
      </c>
      <c r="B14" s="6" t="str">
        <f ca="1">IFERROR(__xludf.DUMMYFUNCTION("""COMPUTED_VALUE"""),"Coding Pattern")</f>
        <v>Coding Pattern</v>
      </c>
      <c r="G14" s="6" t="str">
        <f ca="1">IFERROR(__xludf.DUMMYFUNCTION("""COMPUTED_VALUE"""),"Testing")</f>
        <v>Testing</v>
      </c>
      <c r="H14" s="6">
        <f ca="1"/>
        <v>0.10401647785787847</v>
      </c>
      <c r="I14" s="6">
        <f ca="1"/>
        <v>0.10504634397528322</v>
      </c>
      <c r="J14" s="6">
        <f ca="1"/>
        <v>1.0926550712156133E-2</v>
      </c>
    </row>
    <row r="15" spans="1:10" ht="15.75" customHeight="1" x14ac:dyDescent="0.15">
      <c r="A15" s="6" t="str">
        <f ca="1">IFERROR(__xludf.DUMMYFUNCTION("""COMPUTED_VALUE"""),"Coding Pattern")</f>
        <v>Coding Pattern</v>
      </c>
      <c r="B15" s="6" t="str">
        <f ca="1">IFERROR(__xludf.DUMMYFUNCTION("""COMPUTED_VALUE"""),"Coding Pattern")</f>
        <v>Coding Pattern</v>
      </c>
      <c r="G15" s="6" t="str">
        <f ca="1">IFERROR(__xludf.DUMMYFUNCTION("""COMPUTED_VALUE"""),"Writing Style Preference")</f>
        <v>Writing Style Preference</v>
      </c>
      <c r="H15" s="6">
        <f ca="1"/>
        <v>3.5015447991761074E-2</v>
      </c>
      <c r="I15" s="6">
        <f ca="1"/>
        <v>2.9351184346035016E-2</v>
      </c>
      <c r="J15" s="6">
        <f ca="1"/>
        <v>1.0277448689651808E-3</v>
      </c>
    </row>
    <row r="16" spans="1:10" ht="15.75" customHeight="1" x14ac:dyDescent="0.15">
      <c r="A16" s="6" t="str">
        <f ca="1">IFERROR(__xludf.DUMMYFUNCTION("""COMPUTED_VALUE"""),"Coding Pattern")</f>
        <v>Coding Pattern</v>
      </c>
      <c r="B16" s="6" t="str">
        <f ca="1">IFERROR(__xludf.DUMMYFUNCTION("""COMPUTED_VALUE"""),"Coding Pattern")</f>
        <v>Coding Pattern</v>
      </c>
      <c r="H16" s="6">
        <f ca="1"/>
        <v>0</v>
      </c>
      <c r="I16" s="6">
        <f ca="1"/>
        <v>0</v>
      </c>
      <c r="J16" s="6">
        <f ca="1"/>
        <v>0</v>
      </c>
    </row>
    <row r="17" spans="1:10" ht="15.75" customHeight="1" x14ac:dyDescent="0.15">
      <c r="A17" s="6" t="str">
        <f ca="1">IFERROR(__xludf.DUMMYFUNCTION("""COMPUTED_VALUE"""),"Coding Pattern")</f>
        <v>Coding Pattern</v>
      </c>
      <c r="B17" s="6" t="str">
        <f ca="1">IFERROR(__xludf.DUMMYFUNCTION("""COMPUTED_VALUE"""),"Coding Pattern")</f>
        <v>Coding Pattern</v>
      </c>
      <c r="H17" s="6">
        <f ca="1"/>
        <v>0</v>
      </c>
      <c r="I17" s="6">
        <f ca="1"/>
        <v>0</v>
      </c>
      <c r="J17" s="6">
        <f ca="1"/>
        <v>0</v>
      </c>
    </row>
    <row r="18" spans="1:10" ht="15.75" customHeight="1" x14ac:dyDescent="0.15">
      <c r="A18" s="6" t="str">
        <f ca="1">IFERROR(__xludf.DUMMYFUNCTION("""COMPUTED_VALUE"""),"Coding Pattern")</f>
        <v>Coding Pattern</v>
      </c>
      <c r="B18" s="6" t="str">
        <f ca="1">IFERROR(__xludf.DUMMYFUNCTION("""COMPUTED_VALUE"""),"Coding Pattern")</f>
        <v>Coding Pattern</v>
      </c>
      <c r="H18" s="6">
        <f ca="1"/>
        <v>0</v>
      </c>
      <c r="I18" s="6">
        <f ca="1"/>
        <v>0</v>
      </c>
      <c r="J18" s="6">
        <f ca="1"/>
        <v>0</v>
      </c>
    </row>
    <row r="19" spans="1:10" ht="15.75" customHeight="1" x14ac:dyDescent="0.15">
      <c r="A19" s="6" t="str">
        <f ca="1">IFERROR(__xludf.DUMMYFUNCTION("""COMPUTED_VALUE"""),"Coding Pattern")</f>
        <v>Coding Pattern</v>
      </c>
      <c r="B19" s="6" t="str">
        <f ca="1">IFERROR(__xludf.DUMMYFUNCTION("""COMPUTED_VALUE"""),"Coding Pattern")</f>
        <v>Coding Pattern</v>
      </c>
      <c r="H19" s="6">
        <f ca="1"/>
        <v>0</v>
      </c>
      <c r="I19" s="6">
        <f ca="1"/>
        <v>0</v>
      </c>
      <c r="J19" s="6">
        <f ca="1"/>
        <v>0</v>
      </c>
    </row>
    <row r="20" spans="1:10" ht="15.75" customHeight="1" x14ac:dyDescent="0.15">
      <c r="A20" s="6" t="str">
        <f ca="1">IFERROR(__xludf.DUMMYFUNCTION("""COMPUTED_VALUE"""),"Coding Pattern")</f>
        <v>Coding Pattern</v>
      </c>
      <c r="B20" s="6" t="str">
        <f ca="1">IFERROR(__xludf.DUMMYFUNCTION("""COMPUTED_VALUE"""),"Coding Pattern")</f>
        <v>Coding Pattern</v>
      </c>
      <c r="H20" s="6">
        <f ca="1"/>
        <v>0</v>
      </c>
      <c r="I20" s="6">
        <f ca="1"/>
        <v>0</v>
      </c>
      <c r="J20" s="6">
        <f ca="1"/>
        <v>0</v>
      </c>
    </row>
    <row r="21" spans="1:10" ht="15.75" customHeight="1" x14ac:dyDescent="0.15">
      <c r="A21" s="6" t="str">
        <f ca="1">IFERROR(__xludf.DUMMYFUNCTION("""COMPUTED_VALUE"""),"Testing")</f>
        <v>Testing</v>
      </c>
      <c r="B21" s="6" t="str">
        <f ca="1">IFERROR(__xludf.DUMMYFUNCTION("""COMPUTED_VALUE"""),"Testing")</f>
        <v>Testing</v>
      </c>
      <c r="H21" s="6">
        <f ca="1"/>
        <v>0</v>
      </c>
      <c r="I21" s="6">
        <f ca="1"/>
        <v>0</v>
      </c>
      <c r="J21" s="6">
        <f ca="1"/>
        <v>0</v>
      </c>
    </row>
    <row r="22" spans="1:10" ht="15.75" customHeight="1" x14ac:dyDescent="0.15">
      <c r="A22" s="6" t="str">
        <f ca="1">IFERROR(__xludf.DUMMYFUNCTION("""COMPUTED_VALUE"""),"Build &amp; Operation")</f>
        <v>Build &amp; Operation</v>
      </c>
      <c r="B22" s="6" t="str">
        <f ca="1">IFERROR(__xludf.DUMMYFUNCTION("""COMPUTED_VALUE"""),"Build &amp; Operation")</f>
        <v>Build &amp; Operation</v>
      </c>
      <c r="H22" s="6">
        <f ca="1"/>
        <v>0</v>
      </c>
      <c r="I22" s="6">
        <f ca="1"/>
        <v>0</v>
      </c>
      <c r="J22" s="6">
        <f ca="1"/>
        <v>0</v>
      </c>
    </row>
    <row r="23" spans="1:10" ht="15.75" customHeight="1" x14ac:dyDescent="0.15">
      <c r="A23" s="6" t="str">
        <f ca="1">IFERROR(__xludf.DUMMYFUNCTION("""COMPUTED_VALUE"""),"Coding Pattern")</f>
        <v>Coding Pattern</v>
      </c>
      <c r="B23" s="6" t="str">
        <f ca="1">IFERROR(__xludf.DUMMYFUNCTION("""COMPUTED_VALUE"""),"Coding Pattern")</f>
        <v>Coding Pattern</v>
      </c>
      <c r="H23" s="6">
        <f ca="1"/>
        <v>0</v>
      </c>
      <c r="I23" s="6">
        <f ca="1"/>
        <v>0</v>
      </c>
      <c r="J23" s="6">
        <f ca="1"/>
        <v>0</v>
      </c>
    </row>
    <row r="24" spans="1:10" ht="15.75" customHeight="1" x14ac:dyDescent="0.15">
      <c r="A24" s="6" t="str">
        <f ca="1">IFERROR(__xludf.DUMMYFUNCTION("""COMPUTED_VALUE"""),"Coding Pattern")</f>
        <v>Coding Pattern</v>
      </c>
      <c r="B24" s="6" t="str">
        <f ca="1">IFERROR(__xludf.DUMMYFUNCTION("""COMPUTED_VALUE"""),"Coding Pattern")</f>
        <v>Coding Pattern</v>
      </c>
      <c r="H24" s="6">
        <f ca="1"/>
        <v>0</v>
      </c>
      <c r="I24" s="6">
        <f ca="1"/>
        <v>0</v>
      </c>
      <c r="J24" s="6">
        <f ca="1"/>
        <v>0</v>
      </c>
    </row>
    <row r="25" spans="1:10" ht="15.75" customHeight="1" x14ac:dyDescent="0.15">
      <c r="A25" s="6" t="str">
        <f ca="1">IFERROR(__xludf.DUMMYFUNCTION("""COMPUTED_VALUE"""),"Coding Pattern")</f>
        <v>Coding Pattern</v>
      </c>
      <c r="B25" s="6" t="str">
        <f ca="1">IFERROR(__xludf.DUMMYFUNCTION("""COMPUTED_VALUE"""),"Coding Pattern")</f>
        <v>Coding Pattern</v>
      </c>
      <c r="H25" s="6">
        <f ca="1"/>
        <v>0</v>
      </c>
      <c r="I25" s="6">
        <f ca="1"/>
        <v>0</v>
      </c>
      <c r="J25" s="6">
        <f ca="1"/>
        <v>0</v>
      </c>
    </row>
    <row r="26" spans="1:10" ht="15.75" customHeight="1" x14ac:dyDescent="0.15">
      <c r="A26" s="6" t="str">
        <f ca="1">IFERROR(__xludf.DUMMYFUNCTION("""COMPUTED_VALUE"""),"Task Execution")</f>
        <v>Task Execution</v>
      </c>
      <c r="B26" s="6" t="str">
        <f ca="1">IFERROR(__xludf.DUMMYFUNCTION("""COMPUTED_VALUE"""),"Task Execution")</f>
        <v>Task Execution</v>
      </c>
      <c r="H26" s="6">
        <f ca="1"/>
        <v>0</v>
      </c>
      <c r="I26" s="6">
        <f ca="1"/>
        <v>0</v>
      </c>
      <c r="J26" s="6">
        <f ca="1"/>
        <v>0</v>
      </c>
    </row>
    <row r="27" spans="1:10" ht="15.75" customHeight="1" x14ac:dyDescent="0.15">
      <c r="A27" s="6" t="str">
        <f ca="1">IFERROR(__xludf.DUMMYFUNCTION("""COMPUTED_VALUE"""),"Task Execution")</f>
        <v>Task Execution</v>
      </c>
      <c r="B27" s="6" t="str">
        <f ca="1">IFERROR(__xludf.DUMMYFUNCTION("""COMPUTED_VALUE"""),"Task Execution")</f>
        <v>Task Execution</v>
      </c>
      <c r="H27" s="6">
        <f ca="1"/>
        <v>0</v>
      </c>
      <c r="I27" s="6">
        <f ca="1"/>
        <v>0</v>
      </c>
      <c r="J27" s="6">
        <f ca="1"/>
        <v>0</v>
      </c>
    </row>
    <row r="28" spans="1:10" ht="15.75" customHeight="1" x14ac:dyDescent="0.15">
      <c r="A28" s="6" t="str">
        <f ca="1">IFERROR(__xludf.DUMMYFUNCTION("""COMPUTED_VALUE"""),"Coding Pattern")</f>
        <v>Coding Pattern</v>
      </c>
      <c r="B28" s="6" t="str">
        <f ca="1">IFERROR(__xludf.DUMMYFUNCTION("""COMPUTED_VALUE"""),"Coding Pattern")</f>
        <v>Coding Pattern</v>
      </c>
      <c r="H28" s="6">
        <f ca="1"/>
        <v>0</v>
      </c>
      <c r="I28" s="6">
        <f ca="1"/>
        <v>0</v>
      </c>
      <c r="J28" s="6">
        <f ca="1"/>
        <v>0</v>
      </c>
    </row>
    <row r="29" spans="1:10" ht="15.75" customHeight="1" x14ac:dyDescent="0.15">
      <c r="A29" s="6" t="str">
        <f ca="1">IFERROR(__xludf.DUMMYFUNCTION("""COMPUTED_VALUE"""),"Coding Pattern")</f>
        <v>Coding Pattern</v>
      </c>
      <c r="B29" s="6" t="str">
        <f ca="1">IFERROR(__xludf.DUMMYFUNCTION("""COMPUTED_VALUE"""),"Coding Pattern")</f>
        <v>Coding Pattern</v>
      </c>
      <c r="H29" s="6">
        <f ca="1"/>
        <v>0</v>
      </c>
      <c r="I29" s="6">
        <f ca="1"/>
        <v>0</v>
      </c>
      <c r="J29" s="6">
        <f ca="1"/>
        <v>0</v>
      </c>
    </row>
    <row r="30" spans="1:10" ht="15.75" customHeight="1" x14ac:dyDescent="0.15">
      <c r="A30" s="6" t="str">
        <f ca="1">IFERROR(__xludf.DUMMYFUNCTION("""COMPUTED_VALUE"""),"Coding Pattern")</f>
        <v>Coding Pattern</v>
      </c>
      <c r="B30" s="6" t="str">
        <f ca="1">IFERROR(__xludf.DUMMYFUNCTION("""COMPUTED_VALUE"""),"Coding Pattern")</f>
        <v>Coding Pattern</v>
      </c>
      <c r="H30" s="6">
        <f ca="1"/>
        <v>0</v>
      </c>
      <c r="I30" s="6">
        <f ca="1"/>
        <v>0</v>
      </c>
      <c r="J30" s="6">
        <f ca="1"/>
        <v>0</v>
      </c>
    </row>
    <row r="31" spans="1:10" ht="15.75" customHeight="1" x14ac:dyDescent="0.15">
      <c r="A31" s="6" t="str">
        <f ca="1">IFERROR(__xludf.DUMMYFUNCTION("""COMPUTED_VALUE"""),"Coding Pattern")</f>
        <v>Coding Pattern</v>
      </c>
      <c r="B31" s="6" t="str">
        <f ca="1">IFERROR(__xludf.DUMMYFUNCTION("""COMPUTED_VALUE"""),"Coding Pattern")</f>
        <v>Coding Pattern</v>
      </c>
      <c r="H31" s="6">
        <f ca="1"/>
        <v>0</v>
      </c>
      <c r="I31" s="6">
        <f ca="1"/>
        <v>0</v>
      </c>
      <c r="J31" s="6">
        <f ca="1"/>
        <v>0</v>
      </c>
    </row>
    <row r="32" spans="1:10" ht="15.75" customHeight="1" x14ac:dyDescent="0.15">
      <c r="A32" s="6" t="str">
        <f ca="1">IFERROR(__xludf.DUMMYFUNCTION("""COMPUTED_VALUE"""),"Coding Pattern")</f>
        <v>Coding Pattern</v>
      </c>
      <c r="B32" s="6" t="str">
        <f ca="1">IFERROR(__xludf.DUMMYFUNCTION("""COMPUTED_VALUE"""),"Coding Pattern")</f>
        <v>Coding Pattern</v>
      </c>
      <c r="H32" s="6">
        <f ca="1"/>
        <v>0</v>
      </c>
      <c r="I32" s="6">
        <f ca="1"/>
        <v>0</v>
      </c>
      <c r="J32" s="6">
        <f ca="1"/>
        <v>0</v>
      </c>
    </row>
    <row r="33" spans="1:10" ht="15.75" customHeight="1" x14ac:dyDescent="0.15">
      <c r="A33" s="6" t="str">
        <f ca="1">IFERROR(__xludf.DUMMYFUNCTION("""COMPUTED_VALUE"""),"Coding Pattern")</f>
        <v>Coding Pattern</v>
      </c>
      <c r="B33" s="6" t="str">
        <f ca="1">IFERROR(__xludf.DUMMYFUNCTION("""COMPUTED_VALUE"""),"Coding Pattern")</f>
        <v>Coding Pattern</v>
      </c>
      <c r="H33" s="6">
        <f ca="1"/>
        <v>0</v>
      </c>
      <c r="I33" s="6">
        <f ca="1"/>
        <v>0</v>
      </c>
      <c r="J33" s="6">
        <f ca="1"/>
        <v>0</v>
      </c>
    </row>
    <row r="34" spans="1:10" ht="15.75" customHeight="1" x14ac:dyDescent="0.15">
      <c r="A34" s="6" t="str">
        <f ca="1">IFERROR(__xludf.DUMMYFUNCTION("""COMPUTED_VALUE"""),"Coding Style")</f>
        <v>Coding Style</v>
      </c>
      <c r="B34" s="6" t="str">
        <f ca="1">IFERROR(__xludf.DUMMYFUNCTION("""COMPUTED_VALUE"""),"Coding Style")</f>
        <v>Coding Style</v>
      </c>
      <c r="H34" s="6">
        <f ca="1"/>
        <v>0</v>
      </c>
      <c r="I34" s="6">
        <f ca="1"/>
        <v>0</v>
      </c>
      <c r="J34" s="6">
        <f ca="1"/>
        <v>0</v>
      </c>
    </row>
    <row r="35" spans="1:10" ht="15.75" customHeight="1" x14ac:dyDescent="0.15">
      <c r="A35" s="6" t="str">
        <f ca="1">IFERROR(__xludf.DUMMYFUNCTION("""COMPUTED_VALUE"""),"Build &amp; Operation")</f>
        <v>Build &amp; Operation</v>
      </c>
      <c r="B35" s="6" t="str">
        <f ca="1">IFERROR(__xludf.DUMMYFUNCTION("""COMPUTED_VALUE"""),"Build &amp; Operation")</f>
        <v>Build &amp; Operation</v>
      </c>
      <c r="H35" s="6">
        <f ca="1"/>
        <v>0</v>
      </c>
      <c r="I35" s="6">
        <f ca="1"/>
        <v>0</v>
      </c>
      <c r="J35" s="6">
        <f ca="1"/>
        <v>0</v>
      </c>
    </row>
    <row r="36" spans="1:10" ht="15.75" customHeight="1" x14ac:dyDescent="0.15">
      <c r="A36" s="6" t="str">
        <f ca="1">IFERROR(__xludf.DUMMYFUNCTION("""COMPUTED_VALUE"""),"Task Execution")</f>
        <v>Task Execution</v>
      </c>
      <c r="B36" s="6" t="str">
        <f ca="1">IFERROR(__xludf.DUMMYFUNCTION("""COMPUTED_VALUE"""),"Task Execution")</f>
        <v>Task Execution</v>
      </c>
      <c r="H36" s="6">
        <f ca="1"/>
        <v>0</v>
      </c>
      <c r="I36" s="6">
        <f ca="1"/>
        <v>0</v>
      </c>
      <c r="J36" s="6">
        <f ca="1"/>
        <v>0</v>
      </c>
    </row>
    <row r="37" spans="1:10" ht="15.75" customHeight="1" x14ac:dyDescent="0.15">
      <c r="A37" s="6" t="str">
        <f ca="1">IFERROR(__xludf.DUMMYFUNCTION("""COMPUTED_VALUE"""),"Coding Style")</f>
        <v>Coding Style</v>
      </c>
      <c r="B37" s="6" t="str">
        <f ca="1">IFERROR(__xludf.DUMMYFUNCTION("""COMPUTED_VALUE"""),"Coding Style")</f>
        <v>Coding Style</v>
      </c>
      <c r="H37" s="6">
        <f ca="1"/>
        <v>0</v>
      </c>
      <c r="I37" s="6">
        <f ca="1"/>
        <v>0</v>
      </c>
      <c r="J37" s="6">
        <f ca="1"/>
        <v>0</v>
      </c>
    </row>
    <row r="38" spans="1:10" ht="15.75" customHeight="1" x14ac:dyDescent="0.15">
      <c r="A38" s="6" t="str">
        <f ca="1">IFERROR(__xludf.DUMMYFUNCTION("""COMPUTED_VALUE"""),"Documentation")</f>
        <v>Documentation</v>
      </c>
      <c r="B38" s="6" t="str">
        <f ca="1">IFERROR(__xludf.DUMMYFUNCTION("""COMPUTED_VALUE"""),"Documentation")</f>
        <v>Documentation</v>
      </c>
      <c r="H38" s="6">
        <f ca="1"/>
        <v>0</v>
      </c>
      <c r="I38" s="6">
        <f ca="1"/>
        <v>0</v>
      </c>
      <c r="J38" s="6">
        <f ca="1"/>
        <v>0</v>
      </c>
    </row>
    <row r="39" spans="1:10" ht="15.75" customHeight="1" x14ac:dyDescent="0.15">
      <c r="A39" s="6" t="str">
        <f ca="1">IFERROR(__xludf.DUMMYFUNCTION("""COMPUTED_VALUE"""),"Documentation")</f>
        <v>Documentation</v>
      </c>
      <c r="B39" s="6" t="str">
        <f ca="1">IFERROR(__xludf.DUMMYFUNCTION("""COMPUTED_VALUE"""),"Task Execution")</f>
        <v>Task Execution</v>
      </c>
      <c r="H39" s="6">
        <f ca="1"/>
        <v>0</v>
      </c>
      <c r="I39" s="6">
        <f ca="1"/>
        <v>0</v>
      </c>
      <c r="J39" s="6">
        <f ca="1"/>
        <v>0</v>
      </c>
    </row>
    <row r="40" spans="1:10" ht="15.75" customHeight="1" x14ac:dyDescent="0.15">
      <c r="A40" s="6" t="str">
        <f ca="1">IFERROR(__xludf.DUMMYFUNCTION("""COMPUTED_VALUE"""),"Coding Pattern")</f>
        <v>Coding Pattern</v>
      </c>
      <c r="B40" s="6" t="str">
        <f ca="1">IFERROR(__xludf.DUMMYFUNCTION("""COMPUTED_VALUE"""),"Coding Pattern")</f>
        <v>Coding Pattern</v>
      </c>
      <c r="H40" s="6">
        <f ca="1"/>
        <v>0</v>
      </c>
      <c r="I40" s="6">
        <f ca="1"/>
        <v>0</v>
      </c>
      <c r="J40" s="6">
        <f ca="1"/>
        <v>0</v>
      </c>
    </row>
    <row r="41" spans="1:10" ht="15.75" customHeight="1" x14ac:dyDescent="0.15">
      <c r="A41" s="6" t="str">
        <f ca="1">IFERROR(__xludf.DUMMYFUNCTION("""COMPUTED_VALUE"""),"Commit&amp;PR rule")</f>
        <v>Commit&amp;PR rule</v>
      </c>
      <c r="B41" s="6" t="str">
        <f ca="1">IFERROR(__xludf.DUMMYFUNCTION("""COMPUTED_VALUE"""),"Commit&amp;PR rule")</f>
        <v>Commit&amp;PR rule</v>
      </c>
      <c r="H41" s="6">
        <f ca="1"/>
        <v>0</v>
      </c>
      <c r="I41" s="6">
        <f ca="1"/>
        <v>0</v>
      </c>
      <c r="J41" s="6">
        <f ca="1"/>
        <v>0</v>
      </c>
    </row>
    <row r="42" spans="1:10" ht="15.75" customHeight="1" x14ac:dyDescent="0.15">
      <c r="A42" s="6" t="str">
        <f ca="1">IFERROR(__xludf.DUMMYFUNCTION("""COMPUTED_VALUE"""),"Build &amp; Operation")</f>
        <v>Build &amp; Operation</v>
      </c>
      <c r="B42" s="6" t="str">
        <f ca="1">IFERROR(__xludf.DUMMYFUNCTION("""COMPUTED_VALUE"""),"Build &amp; Operation")</f>
        <v>Build &amp; Operation</v>
      </c>
      <c r="H42" s="6">
        <f ca="1"/>
        <v>0</v>
      </c>
      <c r="I42" s="6">
        <f ca="1"/>
        <v>0</v>
      </c>
      <c r="J42" s="6">
        <f ca="1"/>
        <v>0</v>
      </c>
    </row>
    <row r="43" spans="1:10" ht="15.75" customHeight="1" x14ac:dyDescent="0.15">
      <c r="A43" s="6" t="str">
        <f ca="1">IFERROR(__xludf.DUMMYFUNCTION("""COMPUTED_VALUE"""),"Task Execution")</f>
        <v>Task Execution</v>
      </c>
      <c r="B43" s="6" t="str">
        <f ca="1">IFERROR(__xludf.DUMMYFUNCTION("""COMPUTED_VALUE"""),"Build &amp; Operation")</f>
        <v>Build &amp; Operation</v>
      </c>
      <c r="H43" s="6">
        <f ca="1"/>
        <v>0</v>
      </c>
      <c r="I43" s="6">
        <f ca="1"/>
        <v>0</v>
      </c>
      <c r="J43" s="6">
        <f ca="1"/>
        <v>0</v>
      </c>
    </row>
    <row r="44" spans="1:10" ht="15.75" customHeight="1" x14ac:dyDescent="0.15">
      <c r="A44" s="6" t="str">
        <f ca="1">IFERROR(__xludf.DUMMYFUNCTION("""COMPUTED_VALUE"""),"Coding Style")</f>
        <v>Coding Style</v>
      </c>
      <c r="B44" s="6" t="str">
        <f ca="1">IFERROR(__xludf.DUMMYFUNCTION("""COMPUTED_VALUE"""),"Coding Style")</f>
        <v>Coding Style</v>
      </c>
      <c r="H44" s="6">
        <f ca="1"/>
        <v>0</v>
      </c>
      <c r="I44" s="6">
        <f ca="1"/>
        <v>0</v>
      </c>
      <c r="J44" s="6">
        <f ca="1"/>
        <v>0</v>
      </c>
    </row>
    <row r="45" spans="1:10" ht="15.75" customHeight="1" x14ac:dyDescent="0.15">
      <c r="A45" s="6" t="str">
        <f ca="1">IFERROR(__xludf.DUMMYFUNCTION("""COMPUTED_VALUE"""),"Task Execution")</f>
        <v>Task Execution</v>
      </c>
      <c r="B45" s="6" t="str">
        <f ca="1">IFERROR(__xludf.DUMMYFUNCTION("""COMPUTED_VALUE"""),"Task Execution")</f>
        <v>Task Execution</v>
      </c>
      <c r="H45" s="6">
        <f ca="1"/>
        <v>0</v>
      </c>
      <c r="I45" s="6">
        <f ca="1"/>
        <v>0</v>
      </c>
      <c r="J45" s="6">
        <f ca="1"/>
        <v>0</v>
      </c>
    </row>
    <row r="46" spans="1:10" ht="15.75" customHeight="1" x14ac:dyDescent="0.15">
      <c r="A46" s="6" t="str">
        <f ca="1">IFERROR(__xludf.DUMMYFUNCTION("""COMPUTED_VALUE"""),"Task Execution")</f>
        <v>Task Execution</v>
      </c>
      <c r="B46" s="6" t="str">
        <f ca="1">IFERROR(__xludf.DUMMYFUNCTION("""COMPUTED_VALUE"""),"Task Execution")</f>
        <v>Task Execution</v>
      </c>
      <c r="H46" s="6">
        <f ca="1"/>
        <v>0</v>
      </c>
      <c r="I46" s="6">
        <f ca="1"/>
        <v>0</v>
      </c>
      <c r="J46" s="6">
        <f ca="1"/>
        <v>0</v>
      </c>
    </row>
    <row r="47" spans="1:10" ht="15.75" customHeight="1" x14ac:dyDescent="0.15">
      <c r="A47" s="6" t="str">
        <f ca="1">IFERROR(__xludf.DUMMYFUNCTION("""COMPUTED_VALUE"""),"Task Execution")</f>
        <v>Task Execution</v>
      </c>
      <c r="B47" s="6" t="str">
        <f ca="1">IFERROR(__xludf.DUMMYFUNCTION("""COMPUTED_VALUE"""),"Task Execution")</f>
        <v>Task Execution</v>
      </c>
      <c r="H47" s="6">
        <f ca="1"/>
        <v>0</v>
      </c>
      <c r="I47" s="6">
        <f ca="1"/>
        <v>0</v>
      </c>
      <c r="J47" s="6">
        <f ca="1"/>
        <v>0</v>
      </c>
    </row>
    <row r="48" spans="1:10" ht="15.75" customHeight="1" x14ac:dyDescent="0.15">
      <c r="A48" s="6" t="str">
        <f ca="1">IFERROR(__xludf.DUMMYFUNCTION("""COMPUTED_VALUE"""),"Task Execution")</f>
        <v>Task Execution</v>
      </c>
      <c r="B48" s="6" t="str">
        <f ca="1">IFERROR(__xludf.DUMMYFUNCTION("""COMPUTED_VALUE"""),"Task Execution")</f>
        <v>Task Execution</v>
      </c>
      <c r="H48" s="6">
        <f ca="1"/>
        <v>0</v>
      </c>
      <c r="I48" s="6">
        <f ca="1"/>
        <v>0</v>
      </c>
      <c r="J48" s="6">
        <f ca="1"/>
        <v>0</v>
      </c>
    </row>
    <row r="49" spans="1:10" ht="15.75" customHeight="1" x14ac:dyDescent="0.15">
      <c r="A49" s="6" t="str">
        <f ca="1">IFERROR(__xludf.DUMMYFUNCTION("""COMPUTED_VALUE"""),"Coding Pattern")</f>
        <v>Coding Pattern</v>
      </c>
      <c r="B49" s="6" t="str">
        <f ca="1">IFERROR(__xludf.DUMMYFUNCTION("""COMPUTED_VALUE"""),"Coding Pattern")</f>
        <v>Coding Pattern</v>
      </c>
      <c r="H49" s="6">
        <f ca="1"/>
        <v>0</v>
      </c>
      <c r="I49" s="6">
        <f ca="1"/>
        <v>0</v>
      </c>
      <c r="J49" s="6">
        <f ca="1"/>
        <v>0</v>
      </c>
    </row>
    <row r="50" spans="1:10" ht="15.75" customHeight="1" x14ac:dyDescent="0.15">
      <c r="A50" s="6" t="str">
        <f ca="1">IFERROR(__xludf.DUMMYFUNCTION("""COMPUTED_VALUE"""),"Task Execution")</f>
        <v>Task Execution</v>
      </c>
      <c r="B50" s="6" t="str">
        <f ca="1">IFERROR(__xludf.DUMMYFUNCTION("""COMPUTED_VALUE"""),"Task Execution")</f>
        <v>Task Execution</v>
      </c>
      <c r="H50" s="6">
        <f ca="1"/>
        <v>0</v>
      </c>
      <c r="I50" s="6">
        <f ca="1"/>
        <v>0</v>
      </c>
      <c r="J50" s="6">
        <f ca="1"/>
        <v>0</v>
      </c>
    </row>
    <row r="51" spans="1:10" ht="15.75" customHeight="1" x14ac:dyDescent="0.15">
      <c r="A51" s="6" t="str">
        <f ca="1">IFERROR(__xludf.DUMMYFUNCTION("""COMPUTED_VALUE"""),"Task Execution")</f>
        <v>Task Execution</v>
      </c>
      <c r="B51" s="6" t="str">
        <f ca="1">IFERROR(__xludf.DUMMYFUNCTION("""COMPUTED_VALUE"""),"Task Execution")</f>
        <v>Task Execution</v>
      </c>
      <c r="H51" s="6">
        <f ca="1"/>
        <v>0</v>
      </c>
      <c r="I51" s="6">
        <f ca="1"/>
        <v>0</v>
      </c>
      <c r="J51" s="6">
        <f ca="1"/>
        <v>0</v>
      </c>
    </row>
    <row r="52" spans="1:10" ht="13" x14ac:dyDescent="0.15">
      <c r="A52" s="6" t="str">
        <f ca="1">IFERROR(__xludf.DUMMYFUNCTION("""COMPUTED_VALUE"""),"Task Execution")</f>
        <v>Task Execution</v>
      </c>
      <c r="B52" s="6" t="str">
        <f ca="1">IFERROR(__xludf.DUMMYFUNCTION("""COMPUTED_VALUE"""),"Task Execution")</f>
        <v>Task Execution</v>
      </c>
      <c r="H52" s="6">
        <f ca="1"/>
        <v>0</v>
      </c>
      <c r="I52" s="6">
        <f ca="1"/>
        <v>0</v>
      </c>
      <c r="J52" s="6">
        <f ca="1"/>
        <v>0</v>
      </c>
    </row>
    <row r="53" spans="1:10" ht="13" x14ac:dyDescent="0.15">
      <c r="A53" s="6" t="str">
        <f ca="1">IFERROR(__xludf.DUMMYFUNCTION("""COMPUTED_VALUE"""),"Maintainability")</f>
        <v>Maintainability</v>
      </c>
      <c r="B53" s="6" t="str">
        <f ca="1">IFERROR(__xludf.DUMMYFUNCTION("""COMPUTED_VALUE"""),"Maintainability")</f>
        <v>Maintainability</v>
      </c>
      <c r="H53" s="6">
        <f ca="1"/>
        <v>0</v>
      </c>
      <c r="I53" s="6">
        <f ca="1"/>
        <v>0</v>
      </c>
      <c r="J53" s="6">
        <f ca="1"/>
        <v>0</v>
      </c>
    </row>
    <row r="54" spans="1:10" ht="13" x14ac:dyDescent="0.15">
      <c r="A54" s="6" t="str">
        <f ca="1">IFERROR(__xludf.DUMMYFUNCTION("""COMPUTED_VALUE"""),"Coding Pattern")</f>
        <v>Coding Pattern</v>
      </c>
      <c r="B54" s="6" t="str">
        <f ca="1">IFERROR(__xludf.DUMMYFUNCTION("""COMPUTED_VALUE"""),"Coding Pattern")</f>
        <v>Coding Pattern</v>
      </c>
      <c r="H54" s="6">
        <f ca="1"/>
        <v>0</v>
      </c>
      <c r="I54" s="6">
        <f ca="1"/>
        <v>0</v>
      </c>
      <c r="J54" s="6">
        <f ca="1"/>
        <v>0</v>
      </c>
    </row>
    <row r="55" spans="1:10" ht="13" x14ac:dyDescent="0.15">
      <c r="A55" s="6" t="str">
        <f ca="1">IFERROR(__xludf.DUMMYFUNCTION("""COMPUTED_VALUE"""),"Coding Pattern")</f>
        <v>Coding Pattern</v>
      </c>
      <c r="B55" s="6" t="str">
        <f ca="1">IFERROR(__xludf.DUMMYFUNCTION("""COMPUTED_VALUE"""),"Coding Pattern")</f>
        <v>Coding Pattern</v>
      </c>
      <c r="H55" s="6">
        <f ca="1"/>
        <v>0</v>
      </c>
      <c r="I55" s="6">
        <f ca="1"/>
        <v>0</v>
      </c>
      <c r="J55" s="6">
        <f ca="1"/>
        <v>0</v>
      </c>
    </row>
    <row r="56" spans="1:10" ht="13" x14ac:dyDescent="0.15">
      <c r="A56" s="6" t="str">
        <f ca="1">IFERROR(__xludf.DUMMYFUNCTION("""COMPUTED_VALUE"""),"Coding Pattern")</f>
        <v>Coding Pattern</v>
      </c>
      <c r="B56" s="6" t="str">
        <f ca="1">IFERROR(__xludf.DUMMYFUNCTION("""COMPUTED_VALUE"""),"Coding Pattern")</f>
        <v>Coding Pattern</v>
      </c>
      <c r="H56" s="6">
        <f ca="1"/>
        <v>0</v>
      </c>
      <c r="I56" s="6">
        <f ca="1"/>
        <v>0</v>
      </c>
      <c r="J56" s="6">
        <f ca="1"/>
        <v>0</v>
      </c>
    </row>
    <row r="57" spans="1:10" ht="13" x14ac:dyDescent="0.15">
      <c r="A57" s="6" t="str">
        <f ca="1">IFERROR(__xludf.DUMMYFUNCTION("""COMPUTED_VALUE"""),"Task Execution")</f>
        <v>Task Execution</v>
      </c>
      <c r="B57" s="6" t="str">
        <f ca="1">IFERROR(__xludf.DUMMYFUNCTION("""COMPUTED_VALUE"""),"Task Execution")</f>
        <v>Task Execution</v>
      </c>
      <c r="H57" s="6">
        <f ca="1"/>
        <v>0</v>
      </c>
      <c r="I57" s="6">
        <f ca="1"/>
        <v>0</v>
      </c>
      <c r="J57" s="6">
        <f ca="1"/>
        <v>0</v>
      </c>
    </row>
    <row r="58" spans="1:10" ht="13" x14ac:dyDescent="0.15">
      <c r="A58" s="6" t="str">
        <f ca="1">IFERROR(__xludf.DUMMYFUNCTION("""COMPUTED_VALUE"""),"Commit&amp;PR rule")</f>
        <v>Commit&amp;PR rule</v>
      </c>
      <c r="B58" s="6" t="str">
        <f ca="1">IFERROR(__xludf.DUMMYFUNCTION("""COMPUTED_VALUE"""),"Commit&amp;PR rule")</f>
        <v>Commit&amp;PR rule</v>
      </c>
      <c r="H58" s="6">
        <f ca="1"/>
        <v>0</v>
      </c>
      <c r="I58" s="6">
        <f ca="1"/>
        <v>0</v>
      </c>
      <c r="J58" s="6">
        <f ca="1"/>
        <v>0</v>
      </c>
    </row>
    <row r="59" spans="1:10" ht="13" x14ac:dyDescent="0.15">
      <c r="A59" s="6" t="str">
        <f ca="1">IFERROR(__xludf.DUMMYFUNCTION("""COMPUTED_VALUE"""),"Commit&amp;PR rule")</f>
        <v>Commit&amp;PR rule</v>
      </c>
      <c r="B59" s="6" t="str">
        <f ca="1">IFERROR(__xludf.DUMMYFUNCTION("""COMPUTED_VALUE"""),"Writing Style Preference")</f>
        <v>Writing Style Preference</v>
      </c>
      <c r="H59" s="6">
        <f ca="1"/>
        <v>0</v>
      </c>
      <c r="I59" s="6">
        <f ca="1"/>
        <v>0</v>
      </c>
      <c r="J59" s="6">
        <f ca="1"/>
        <v>0</v>
      </c>
    </row>
    <row r="60" spans="1:10" ht="13" x14ac:dyDescent="0.15">
      <c r="A60" s="6" t="str">
        <f ca="1">IFERROR(__xludf.DUMMYFUNCTION("""COMPUTED_VALUE"""),"Testing")</f>
        <v>Testing</v>
      </c>
      <c r="B60" s="6" t="str">
        <f ca="1">IFERROR(__xludf.DUMMYFUNCTION("""COMPUTED_VALUE"""),"Testing")</f>
        <v>Testing</v>
      </c>
      <c r="H60" s="6">
        <f ca="1"/>
        <v>0</v>
      </c>
      <c r="I60" s="6">
        <f ca="1"/>
        <v>0</v>
      </c>
      <c r="J60" s="6">
        <f ca="1"/>
        <v>0</v>
      </c>
    </row>
    <row r="61" spans="1:10" ht="13" x14ac:dyDescent="0.15">
      <c r="A61" s="6" t="str">
        <f ca="1">IFERROR(__xludf.DUMMYFUNCTION("""COMPUTED_VALUE"""),"Documentation")</f>
        <v>Documentation</v>
      </c>
      <c r="B61" s="6" t="str">
        <f ca="1">IFERROR(__xludf.DUMMYFUNCTION("""COMPUTED_VALUE"""),"Documentation")</f>
        <v>Documentation</v>
      </c>
      <c r="H61" s="6">
        <f ca="1"/>
        <v>0</v>
      </c>
      <c r="I61" s="6">
        <f ca="1"/>
        <v>0</v>
      </c>
      <c r="J61" s="6">
        <f ca="1"/>
        <v>0</v>
      </c>
    </row>
    <row r="62" spans="1:10" ht="13" x14ac:dyDescent="0.15">
      <c r="A62" s="6" t="str">
        <f ca="1">IFERROR(__xludf.DUMMYFUNCTION("""COMPUTED_VALUE"""),"Build &amp; Operation")</f>
        <v>Build &amp; Operation</v>
      </c>
      <c r="B62" s="6" t="str">
        <f ca="1">IFERROR(__xludf.DUMMYFUNCTION("""COMPUTED_VALUE"""),"Build &amp; Operation")</f>
        <v>Build &amp; Operation</v>
      </c>
      <c r="H62" s="6">
        <f ca="1"/>
        <v>0</v>
      </c>
      <c r="I62" s="6">
        <f ca="1"/>
        <v>0</v>
      </c>
      <c r="J62" s="6">
        <f ca="1"/>
        <v>0</v>
      </c>
    </row>
    <row r="63" spans="1:10" ht="13" x14ac:dyDescent="0.15">
      <c r="A63" s="6" t="str">
        <f ca="1">IFERROR(__xludf.DUMMYFUNCTION("""COMPUTED_VALUE"""),"Coding Pattern")</f>
        <v>Coding Pattern</v>
      </c>
      <c r="B63" s="6" t="str">
        <f ca="1">IFERROR(__xludf.DUMMYFUNCTION("""COMPUTED_VALUE"""),"Coding Pattern")</f>
        <v>Coding Pattern</v>
      </c>
      <c r="H63" s="6">
        <f ca="1"/>
        <v>0</v>
      </c>
      <c r="I63" s="6">
        <f ca="1"/>
        <v>0</v>
      </c>
      <c r="J63" s="6">
        <f ca="1"/>
        <v>0</v>
      </c>
    </row>
    <row r="64" spans="1:10" ht="13" x14ac:dyDescent="0.15">
      <c r="A64" s="6" t="str">
        <f ca="1">IFERROR(__xludf.DUMMYFUNCTION("""COMPUTED_VALUE"""),"Commit&amp;PR rule")</f>
        <v>Commit&amp;PR rule</v>
      </c>
      <c r="B64" s="6" t="str">
        <f ca="1">IFERROR(__xludf.DUMMYFUNCTION("""COMPUTED_VALUE"""),"Commit&amp;PR rule")</f>
        <v>Commit&amp;PR rule</v>
      </c>
      <c r="H64" s="6">
        <f ca="1"/>
        <v>0</v>
      </c>
      <c r="I64" s="6">
        <f ca="1"/>
        <v>0</v>
      </c>
      <c r="J64" s="6">
        <f ca="1"/>
        <v>0</v>
      </c>
    </row>
    <row r="65" spans="1:10" ht="13" x14ac:dyDescent="0.15">
      <c r="A65" s="6" t="str">
        <f ca="1">IFERROR(__xludf.DUMMYFUNCTION("""COMPUTED_VALUE"""),"Testing")</f>
        <v>Testing</v>
      </c>
      <c r="B65" s="6" t="str">
        <f ca="1">IFERROR(__xludf.DUMMYFUNCTION("""COMPUTED_VALUE"""),"Testing")</f>
        <v>Testing</v>
      </c>
      <c r="H65" s="6">
        <f ca="1"/>
        <v>0</v>
      </c>
      <c r="I65" s="6">
        <f ca="1"/>
        <v>0</v>
      </c>
      <c r="J65" s="6">
        <f ca="1"/>
        <v>0</v>
      </c>
    </row>
    <row r="66" spans="1:10" ht="13" x14ac:dyDescent="0.15">
      <c r="A66" s="6" t="str">
        <f ca="1">IFERROR(__xludf.DUMMYFUNCTION("""COMPUTED_VALUE"""),"Commit&amp;PR rule")</f>
        <v>Commit&amp;PR rule</v>
      </c>
      <c r="B66" s="6" t="str">
        <f ca="1">IFERROR(__xludf.DUMMYFUNCTION("""COMPUTED_VALUE"""),"Commit&amp;PR rule")</f>
        <v>Commit&amp;PR rule</v>
      </c>
      <c r="H66" s="6">
        <f ca="1"/>
        <v>0</v>
      </c>
      <c r="I66" s="6">
        <f ca="1"/>
        <v>0</v>
      </c>
      <c r="J66" s="6">
        <f ca="1"/>
        <v>0</v>
      </c>
    </row>
    <row r="67" spans="1:10" ht="13" x14ac:dyDescent="0.15">
      <c r="A67" s="6" t="str">
        <f ca="1">IFERROR(__xludf.DUMMYFUNCTION("""COMPUTED_VALUE"""),"Coding Pattern")</f>
        <v>Coding Pattern</v>
      </c>
      <c r="B67" s="6" t="str">
        <f ca="1">IFERROR(__xludf.DUMMYFUNCTION("""COMPUTED_VALUE"""),"Coding Pattern")</f>
        <v>Coding Pattern</v>
      </c>
      <c r="H67" s="6">
        <f ca="1"/>
        <v>0</v>
      </c>
      <c r="I67" s="6">
        <f ca="1"/>
        <v>0</v>
      </c>
      <c r="J67" s="6">
        <f ca="1"/>
        <v>0</v>
      </c>
    </row>
    <row r="68" spans="1:10" ht="13" x14ac:dyDescent="0.15">
      <c r="A68" s="6" t="str">
        <f ca="1">IFERROR(__xludf.DUMMYFUNCTION("""COMPUTED_VALUE"""),"Commit&amp;PR rule")</f>
        <v>Commit&amp;PR rule</v>
      </c>
      <c r="B68" s="6" t="str">
        <f ca="1">IFERROR(__xludf.DUMMYFUNCTION("""COMPUTED_VALUE"""),"Commit&amp;PR rule")</f>
        <v>Commit&amp;PR rule</v>
      </c>
      <c r="H68" s="6">
        <f ca="1"/>
        <v>0</v>
      </c>
      <c r="I68" s="6">
        <f ca="1"/>
        <v>0</v>
      </c>
      <c r="J68" s="6">
        <f ca="1"/>
        <v>0</v>
      </c>
    </row>
    <row r="69" spans="1:10" ht="13" x14ac:dyDescent="0.15">
      <c r="A69" s="6" t="str">
        <f ca="1">IFERROR(__xludf.DUMMYFUNCTION("""COMPUTED_VALUE"""),"Performance")</f>
        <v>Performance</v>
      </c>
      <c r="B69" s="6" t="str">
        <f ca="1">IFERROR(__xludf.DUMMYFUNCTION("""COMPUTED_VALUE"""),"Performance")</f>
        <v>Performance</v>
      </c>
      <c r="H69" s="6">
        <f ca="1"/>
        <v>0</v>
      </c>
      <c r="I69" s="6">
        <f ca="1"/>
        <v>0</v>
      </c>
      <c r="J69" s="6">
        <f ca="1"/>
        <v>0</v>
      </c>
    </row>
    <row r="70" spans="1:10" ht="13" x14ac:dyDescent="0.15">
      <c r="A70" s="6" t="str">
        <f ca="1">IFERROR(__xludf.DUMMYFUNCTION("""COMPUTED_VALUE"""),"Coding Pattern")</f>
        <v>Coding Pattern</v>
      </c>
      <c r="B70" s="6" t="str">
        <f ca="1">IFERROR(__xludf.DUMMYFUNCTION("""COMPUTED_VALUE"""),"Coding Pattern")</f>
        <v>Coding Pattern</v>
      </c>
      <c r="H70" s="6">
        <f ca="1"/>
        <v>0</v>
      </c>
      <c r="I70" s="6">
        <f ca="1"/>
        <v>0</v>
      </c>
      <c r="J70" s="6">
        <f ca="1"/>
        <v>0</v>
      </c>
    </row>
    <row r="71" spans="1:10" ht="13" x14ac:dyDescent="0.15">
      <c r="A71" s="6" t="str">
        <f ca="1">IFERROR(__xludf.DUMMYFUNCTION("""COMPUTED_VALUE"""),"Coding Pattern")</f>
        <v>Coding Pattern</v>
      </c>
      <c r="B71" s="6" t="str">
        <f ca="1">IFERROR(__xludf.DUMMYFUNCTION("""COMPUTED_VALUE"""),"Coding Pattern")</f>
        <v>Coding Pattern</v>
      </c>
      <c r="H71" s="6">
        <f ca="1"/>
        <v>0</v>
      </c>
      <c r="I71" s="6">
        <f ca="1"/>
        <v>0</v>
      </c>
      <c r="J71" s="6">
        <f ca="1"/>
        <v>0</v>
      </c>
    </row>
    <row r="72" spans="1:10" ht="13" x14ac:dyDescent="0.15">
      <c r="A72" s="6" t="str">
        <f ca="1">IFERROR(__xludf.DUMMYFUNCTION("""COMPUTED_VALUE"""),"Task Execution")</f>
        <v>Task Execution</v>
      </c>
      <c r="B72" s="6" t="str">
        <f ca="1">IFERROR(__xludf.DUMMYFUNCTION("""COMPUTED_VALUE"""),"Task Execution")</f>
        <v>Task Execution</v>
      </c>
      <c r="H72" s="6">
        <f ca="1"/>
        <v>0</v>
      </c>
      <c r="I72" s="6">
        <f ca="1"/>
        <v>0</v>
      </c>
      <c r="J72" s="6">
        <f ca="1"/>
        <v>0</v>
      </c>
    </row>
    <row r="73" spans="1:10" ht="13" x14ac:dyDescent="0.15">
      <c r="A73" s="6" t="str">
        <f ca="1">IFERROR(__xludf.DUMMYFUNCTION("""COMPUTED_VALUE"""),"Task Execution")</f>
        <v>Task Execution</v>
      </c>
      <c r="B73" s="6" t="str">
        <f ca="1">IFERROR(__xludf.DUMMYFUNCTION("""COMPUTED_VALUE"""),"Task Execution")</f>
        <v>Task Execution</v>
      </c>
      <c r="H73" s="6">
        <f ca="1"/>
        <v>0</v>
      </c>
      <c r="I73" s="6">
        <f ca="1"/>
        <v>0</v>
      </c>
      <c r="J73" s="6">
        <f ca="1"/>
        <v>0</v>
      </c>
    </row>
    <row r="74" spans="1:10" ht="13" x14ac:dyDescent="0.15">
      <c r="A74" s="6" t="str">
        <f ca="1">IFERROR(__xludf.DUMMYFUNCTION("""COMPUTED_VALUE"""),"Task Execution")</f>
        <v>Task Execution</v>
      </c>
      <c r="B74" s="6" t="str">
        <f ca="1">IFERROR(__xludf.DUMMYFUNCTION("""COMPUTED_VALUE"""),"Task Execution")</f>
        <v>Task Execution</v>
      </c>
      <c r="H74" s="6">
        <f ca="1"/>
        <v>0</v>
      </c>
      <c r="I74" s="6">
        <f ca="1"/>
        <v>0</v>
      </c>
      <c r="J74" s="6">
        <f ca="1"/>
        <v>0</v>
      </c>
    </row>
    <row r="75" spans="1:10" ht="13" x14ac:dyDescent="0.15">
      <c r="A75" s="6" t="str">
        <f ca="1">IFERROR(__xludf.DUMMYFUNCTION("""COMPUTED_VALUE"""),"Testing")</f>
        <v>Testing</v>
      </c>
      <c r="B75" s="6" t="str">
        <f ca="1">IFERROR(__xludf.DUMMYFUNCTION("""COMPUTED_VALUE"""),"Build &amp; Operation")</f>
        <v>Build &amp; Operation</v>
      </c>
      <c r="H75" s="6">
        <f ca="1"/>
        <v>0</v>
      </c>
      <c r="I75" s="6">
        <f ca="1"/>
        <v>0</v>
      </c>
      <c r="J75" s="6">
        <f ca="1"/>
        <v>0</v>
      </c>
    </row>
    <row r="76" spans="1:10" ht="13" x14ac:dyDescent="0.15">
      <c r="A76" s="6" t="str">
        <f ca="1">IFERROR(__xludf.DUMMYFUNCTION("""COMPUTED_VALUE"""),"Build &amp; Operation")</f>
        <v>Build &amp; Operation</v>
      </c>
      <c r="B76" s="6" t="str">
        <f ca="1">IFERROR(__xludf.DUMMYFUNCTION("""COMPUTED_VALUE"""),"Testing")</f>
        <v>Testing</v>
      </c>
      <c r="H76" s="6">
        <f ca="1"/>
        <v>0</v>
      </c>
      <c r="I76" s="6">
        <f ca="1"/>
        <v>0</v>
      </c>
      <c r="J76" s="6">
        <f ca="1"/>
        <v>0</v>
      </c>
    </row>
    <row r="77" spans="1:10" ht="13" x14ac:dyDescent="0.15">
      <c r="A77" s="6" t="str">
        <f ca="1">IFERROR(__xludf.DUMMYFUNCTION("""COMPUTED_VALUE"""),"Performance")</f>
        <v>Performance</v>
      </c>
      <c r="B77" s="6" t="str">
        <f ca="1">IFERROR(__xludf.DUMMYFUNCTION("""COMPUTED_VALUE"""),"Performance")</f>
        <v>Performance</v>
      </c>
      <c r="H77" s="6">
        <f ca="1"/>
        <v>0</v>
      </c>
      <c r="I77" s="6">
        <f ca="1"/>
        <v>0</v>
      </c>
      <c r="J77" s="6">
        <f ca="1"/>
        <v>0</v>
      </c>
    </row>
    <row r="78" spans="1:10" ht="13" x14ac:dyDescent="0.15">
      <c r="A78" s="6" t="str">
        <f ca="1">IFERROR(__xludf.DUMMYFUNCTION("""COMPUTED_VALUE"""),"Task Execution")</f>
        <v>Task Execution</v>
      </c>
      <c r="B78" s="6" t="str">
        <f ca="1">IFERROR(__xludf.DUMMYFUNCTION("""COMPUTED_VALUE"""),"Task Execution")</f>
        <v>Task Execution</v>
      </c>
      <c r="H78" s="6">
        <f ca="1"/>
        <v>0</v>
      </c>
      <c r="I78" s="6">
        <f ca="1"/>
        <v>0</v>
      </c>
      <c r="J78" s="6">
        <f ca="1"/>
        <v>0</v>
      </c>
    </row>
    <row r="79" spans="1:10" ht="13" x14ac:dyDescent="0.15">
      <c r="A79" s="6" t="str">
        <f ca="1">IFERROR(__xludf.DUMMYFUNCTION("""COMPUTED_VALUE"""),"Build &amp; Operation")</f>
        <v>Build &amp; Operation</v>
      </c>
      <c r="B79" s="6" t="str">
        <f ca="1">IFERROR(__xludf.DUMMYFUNCTION("""COMPUTED_VALUE"""),"Task Execution")</f>
        <v>Task Execution</v>
      </c>
      <c r="H79" s="6">
        <f ca="1"/>
        <v>0</v>
      </c>
      <c r="I79" s="6">
        <f ca="1"/>
        <v>0</v>
      </c>
      <c r="J79" s="6">
        <f ca="1"/>
        <v>0</v>
      </c>
    </row>
    <row r="80" spans="1:10" ht="13" x14ac:dyDescent="0.15">
      <c r="A80" s="6" t="str">
        <f ca="1">IFERROR(__xludf.DUMMYFUNCTION("""COMPUTED_VALUE"""),"Task Execution")</f>
        <v>Task Execution</v>
      </c>
      <c r="B80" s="6" t="str">
        <f ca="1">IFERROR(__xludf.DUMMYFUNCTION("""COMPUTED_VALUE"""),"Task Execution")</f>
        <v>Task Execution</v>
      </c>
      <c r="H80" s="6">
        <f ca="1"/>
        <v>0</v>
      </c>
      <c r="I80" s="6">
        <f ca="1"/>
        <v>0</v>
      </c>
      <c r="J80" s="6">
        <f ca="1"/>
        <v>0</v>
      </c>
    </row>
    <row r="81" spans="1:10" ht="13" x14ac:dyDescent="0.15">
      <c r="A81" s="6" t="str">
        <f ca="1">IFERROR(__xludf.DUMMYFUNCTION("""COMPUTED_VALUE"""),"Task Execution")</f>
        <v>Task Execution</v>
      </c>
      <c r="B81" s="6" t="str">
        <f ca="1">IFERROR(__xludf.DUMMYFUNCTION("""COMPUTED_VALUE"""),"Task Execution")</f>
        <v>Task Execution</v>
      </c>
      <c r="H81" s="6">
        <f ca="1"/>
        <v>0</v>
      </c>
      <c r="I81" s="6">
        <f ca="1"/>
        <v>0</v>
      </c>
      <c r="J81" s="6">
        <f ca="1"/>
        <v>0</v>
      </c>
    </row>
    <row r="82" spans="1:10" ht="13" x14ac:dyDescent="0.15">
      <c r="A82" s="6" t="str">
        <f ca="1">IFERROR(__xludf.DUMMYFUNCTION("""COMPUTED_VALUE"""),"Coding Pattern")</f>
        <v>Coding Pattern</v>
      </c>
      <c r="B82" s="6" t="str">
        <f ca="1">IFERROR(__xludf.DUMMYFUNCTION("""COMPUTED_VALUE"""),"Coding Pattern")</f>
        <v>Coding Pattern</v>
      </c>
      <c r="H82" s="6">
        <f ca="1"/>
        <v>0</v>
      </c>
      <c r="I82" s="6">
        <f ca="1"/>
        <v>0</v>
      </c>
      <c r="J82" s="6">
        <f ca="1"/>
        <v>0</v>
      </c>
    </row>
    <row r="83" spans="1:10" ht="13" x14ac:dyDescent="0.15">
      <c r="A83" s="6" t="str">
        <f ca="1">IFERROR(__xludf.DUMMYFUNCTION("""COMPUTED_VALUE"""),"Coding Pattern")</f>
        <v>Coding Pattern</v>
      </c>
      <c r="B83" s="6" t="str">
        <f ca="1">IFERROR(__xludf.DUMMYFUNCTION("""COMPUTED_VALUE"""),"Coding Pattern")</f>
        <v>Coding Pattern</v>
      </c>
      <c r="H83" s="6">
        <f ca="1"/>
        <v>0</v>
      </c>
      <c r="I83" s="6">
        <f ca="1"/>
        <v>0</v>
      </c>
      <c r="J83" s="6">
        <f ca="1"/>
        <v>0</v>
      </c>
    </row>
    <row r="84" spans="1:10" ht="13" x14ac:dyDescent="0.15">
      <c r="A84" s="6" t="str">
        <f ca="1">IFERROR(__xludf.DUMMYFUNCTION("""COMPUTED_VALUE"""),"Coding Pattern")</f>
        <v>Coding Pattern</v>
      </c>
      <c r="B84" s="6" t="str">
        <f ca="1">IFERROR(__xludf.DUMMYFUNCTION("""COMPUTED_VALUE"""),"Coding Pattern")</f>
        <v>Coding Pattern</v>
      </c>
      <c r="H84" s="6">
        <f ca="1"/>
        <v>0</v>
      </c>
      <c r="I84" s="6">
        <f ca="1"/>
        <v>0</v>
      </c>
      <c r="J84" s="6">
        <f ca="1"/>
        <v>0</v>
      </c>
    </row>
    <row r="85" spans="1:10" ht="13" x14ac:dyDescent="0.15">
      <c r="A85" s="6" t="str">
        <f ca="1">IFERROR(__xludf.DUMMYFUNCTION("""COMPUTED_VALUE"""),"Coding Pattern")</f>
        <v>Coding Pattern</v>
      </c>
      <c r="B85" s="6" t="str">
        <f ca="1">IFERROR(__xludf.DUMMYFUNCTION("""COMPUTED_VALUE"""),"Coding Pattern")</f>
        <v>Coding Pattern</v>
      </c>
      <c r="H85" s="6">
        <f ca="1"/>
        <v>0</v>
      </c>
      <c r="I85" s="6">
        <f ca="1"/>
        <v>0</v>
      </c>
      <c r="J85" s="6">
        <f ca="1"/>
        <v>0</v>
      </c>
    </row>
    <row r="86" spans="1:10" ht="13" x14ac:dyDescent="0.15">
      <c r="A86" s="6" t="str">
        <f ca="1">IFERROR(__xludf.DUMMYFUNCTION("""COMPUTED_VALUE"""),"Coding Pattern")</f>
        <v>Coding Pattern</v>
      </c>
      <c r="B86" s="6" t="str">
        <f ca="1">IFERROR(__xludf.DUMMYFUNCTION("""COMPUTED_VALUE"""),"Coding Pattern")</f>
        <v>Coding Pattern</v>
      </c>
      <c r="H86" s="6">
        <f ca="1"/>
        <v>0</v>
      </c>
      <c r="I86" s="6">
        <f ca="1"/>
        <v>0</v>
      </c>
      <c r="J86" s="6">
        <f ca="1"/>
        <v>0</v>
      </c>
    </row>
    <row r="87" spans="1:10" ht="13" x14ac:dyDescent="0.15">
      <c r="A87" s="6" t="str">
        <f ca="1">IFERROR(__xludf.DUMMYFUNCTION("""COMPUTED_VALUE"""),"Coding Pattern")</f>
        <v>Coding Pattern</v>
      </c>
      <c r="B87" s="6" t="str">
        <f ca="1">IFERROR(__xludf.DUMMYFUNCTION("""COMPUTED_VALUE"""),"Coding Pattern")</f>
        <v>Coding Pattern</v>
      </c>
      <c r="H87" s="6">
        <f ca="1"/>
        <v>0</v>
      </c>
      <c r="I87" s="6">
        <f ca="1"/>
        <v>0</v>
      </c>
      <c r="J87" s="6">
        <f ca="1"/>
        <v>0</v>
      </c>
    </row>
    <row r="88" spans="1:10" ht="13" x14ac:dyDescent="0.15">
      <c r="A88" s="6" t="str">
        <f ca="1">IFERROR(__xludf.DUMMYFUNCTION("""COMPUTED_VALUE"""),"Build &amp; Operation")</f>
        <v>Build &amp; Operation</v>
      </c>
      <c r="B88" s="6" t="str">
        <f ca="1">IFERROR(__xludf.DUMMYFUNCTION("""COMPUTED_VALUE"""),"Build &amp; Operation")</f>
        <v>Build &amp; Operation</v>
      </c>
      <c r="H88" s="6">
        <f ca="1"/>
        <v>0</v>
      </c>
      <c r="I88" s="6">
        <f ca="1"/>
        <v>0</v>
      </c>
      <c r="J88" s="6">
        <f ca="1"/>
        <v>0</v>
      </c>
    </row>
    <row r="89" spans="1:10" ht="13" x14ac:dyDescent="0.15">
      <c r="A89" s="6" t="str">
        <f ca="1">IFERROR(__xludf.DUMMYFUNCTION("""COMPUTED_VALUE"""),"Coding Style")</f>
        <v>Coding Style</v>
      </c>
      <c r="B89" s="6" t="str">
        <f ca="1">IFERROR(__xludf.DUMMYFUNCTION("""COMPUTED_VALUE"""),"Coding Style")</f>
        <v>Coding Style</v>
      </c>
      <c r="H89" s="6">
        <f ca="1"/>
        <v>0</v>
      </c>
      <c r="I89" s="6">
        <f ca="1"/>
        <v>0</v>
      </c>
      <c r="J89" s="6">
        <f ca="1"/>
        <v>0</v>
      </c>
    </row>
    <row r="90" spans="1:10" ht="13" x14ac:dyDescent="0.15">
      <c r="A90" s="6" t="str">
        <f ca="1">IFERROR(__xludf.DUMMYFUNCTION("""COMPUTED_VALUE"""),"Testing")</f>
        <v>Testing</v>
      </c>
      <c r="B90" s="6" t="str">
        <f ca="1">IFERROR(__xludf.DUMMYFUNCTION("""COMPUTED_VALUE"""),"Testing")</f>
        <v>Testing</v>
      </c>
      <c r="H90" s="6">
        <f ca="1"/>
        <v>0</v>
      </c>
      <c r="I90" s="6">
        <f ca="1"/>
        <v>0</v>
      </c>
      <c r="J90" s="6">
        <f ca="1"/>
        <v>0</v>
      </c>
    </row>
    <row r="91" spans="1:10" ht="13" x14ac:dyDescent="0.15">
      <c r="A91" s="6" t="str">
        <f ca="1">IFERROR(__xludf.DUMMYFUNCTION("""COMPUTED_VALUE"""),"Coding Style")</f>
        <v>Coding Style</v>
      </c>
      <c r="B91" s="6" t="str">
        <f ca="1">IFERROR(__xludf.DUMMYFUNCTION("""COMPUTED_VALUE"""),"Coding Style")</f>
        <v>Coding Style</v>
      </c>
      <c r="H91" s="6">
        <f ca="1"/>
        <v>0</v>
      </c>
      <c r="I91" s="6">
        <f ca="1"/>
        <v>0</v>
      </c>
      <c r="J91" s="6">
        <f ca="1"/>
        <v>0</v>
      </c>
    </row>
    <row r="92" spans="1:10" ht="13" x14ac:dyDescent="0.15">
      <c r="A92" s="6" t="str">
        <f ca="1">IFERROR(__xludf.DUMMYFUNCTION("""COMPUTED_VALUE"""),"Testing")</f>
        <v>Testing</v>
      </c>
      <c r="B92" s="6" t="str">
        <f ca="1">IFERROR(__xludf.DUMMYFUNCTION("""COMPUTED_VALUE"""),"Testing")</f>
        <v>Testing</v>
      </c>
      <c r="H92" s="6">
        <f ca="1"/>
        <v>0</v>
      </c>
      <c r="I92" s="6">
        <f ca="1"/>
        <v>0</v>
      </c>
      <c r="J92" s="6">
        <f ca="1"/>
        <v>0</v>
      </c>
    </row>
    <row r="93" spans="1:10" ht="13" x14ac:dyDescent="0.15">
      <c r="A93" s="6" t="str">
        <f ca="1">IFERROR(__xludf.DUMMYFUNCTION("""COMPUTED_VALUE"""),"Build &amp; Operation")</f>
        <v>Build &amp; Operation</v>
      </c>
      <c r="B93" s="6" t="str">
        <f ca="1">IFERROR(__xludf.DUMMYFUNCTION("""COMPUTED_VALUE"""),"Build &amp; Operation")</f>
        <v>Build &amp; Operation</v>
      </c>
      <c r="H93" s="6">
        <f ca="1"/>
        <v>0</v>
      </c>
      <c r="I93" s="6">
        <f ca="1"/>
        <v>0</v>
      </c>
      <c r="J93" s="6">
        <f ca="1"/>
        <v>0</v>
      </c>
    </row>
    <row r="94" spans="1:10" ht="13" x14ac:dyDescent="0.15">
      <c r="A94" s="6" t="str">
        <f ca="1">IFERROR(__xludf.DUMMYFUNCTION("""COMPUTED_VALUE"""),"Testing")</f>
        <v>Testing</v>
      </c>
      <c r="B94" s="6" t="str">
        <f ca="1">IFERROR(__xludf.DUMMYFUNCTION("""COMPUTED_VALUE"""),"Testing")</f>
        <v>Testing</v>
      </c>
      <c r="H94" s="6">
        <f ca="1"/>
        <v>0</v>
      </c>
      <c r="I94" s="6">
        <f ca="1"/>
        <v>0</v>
      </c>
      <c r="J94" s="6">
        <f ca="1"/>
        <v>0</v>
      </c>
    </row>
    <row r="95" spans="1:10" ht="13" x14ac:dyDescent="0.15">
      <c r="A95" s="6" t="str">
        <f ca="1">IFERROR(__xludf.DUMMYFUNCTION("""COMPUTED_VALUE"""),"Testing")</f>
        <v>Testing</v>
      </c>
      <c r="B95" s="6" t="str">
        <f ca="1">IFERROR(__xludf.DUMMYFUNCTION("""COMPUTED_VALUE"""),"Testing")</f>
        <v>Testing</v>
      </c>
      <c r="H95" s="6">
        <f ca="1"/>
        <v>0</v>
      </c>
      <c r="I95" s="6">
        <f ca="1"/>
        <v>0</v>
      </c>
      <c r="J95" s="6">
        <f ca="1"/>
        <v>0</v>
      </c>
    </row>
    <row r="96" spans="1:10" ht="13" x14ac:dyDescent="0.15">
      <c r="A96" s="6" t="str">
        <f ca="1">IFERROR(__xludf.DUMMYFUNCTION("""COMPUTED_VALUE"""),"Coding Pattern")</f>
        <v>Coding Pattern</v>
      </c>
      <c r="B96" s="6" t="str">
        <f ca="1">IFERROR(__xludf.DUMMYFUNCTION("""COMPUTED_VALUE"""),"Coding Pattern")</f>
        <v>Coding Pattern</v>
      </c>
      <c r="H96" s="6">
        <f ca="1"/>
        <v>0</v>
      </c>
      <c r="I96" s="6">
        <f ca="1"/>
        <v>0</v>
      </c>
      <c r="J96" s="6">
        <f ca="1"/>
        <v>0</v>
      </c>
    </row>
    <row r="97" spans="1:10" ht="13" x14ac:dyDescent="0.15">
      <c r="A97" s="6" t="str">
        <f ca="1">IFERROR(__xludf.DUMMYFUNCTION("""COMPUTED_VALUE"""),"Coding Pattern")</f>
        <v>Coding Pattern</v>
      </c>
      <c r="B97" s="6" t="str">
        <f ca="1">IFERROR(__xludf.DUMMYFUNCTION("""COMPUTED_VALUE"""),"Coding Pattern")</f>
        <v>Coding Pattern</v>
      </c>
      <c r="H97" s="6">
        <f ca="1"/>
        <v>0</v>
      </c>
      <c r="I97" s="6">
        <f ca="1"/>
        <v>0</v>
      </c>
      <c r="J97" s="6">
        <f ca="1"/>
        <v>0</v>
      </c>
    </row>
    <row r="98" spans="1:10" ht="13" x14ac:dyDescent="0.15">
      <c r="A98" s="6" t="str">
        <f ca="1">IFERROR(__xludf.DUMMYFUNCTION("""COMPUTED_VALUE"""),"Task Execution")</f>
        <v>Task Execution</v>
      </c>
      <c r="B98" s="6" t="str">
        <f ca="1">IFERROR(__xludf.DUMMYFUNCTION("""COMPUTED_VALUE"""),"Task Execution")</f>
        <v>Task Execution</v>
      </c>
      <c r="H98" s="6">
        <f ca="1"/>
        <v>0</v>
      </c>
      <c r="I98" s="6">
        <f ca="1"/>
        <v>0</v>
      </c>
      <c r="J98" s="6">
        <f ca="1"/>
        <v>0</v>
      </c>
    </row>
    <row r="99" spans="1:10" ht="13" x14ac:dyDescent="0.15">
      <c r="A99" s="6" t="str">
        <f ca="1">IFERROR(__xludf.DUMMYFUNCTION("""COMPUTED_VALUE"""),"Task Execution")</f>
        <v>Task Execution</v>
      </c>
      <c r="B99" s="6" t="str">
        <f ca="1">IFERROR(__xludf.DUMMYFUNCTION("""COMPUTED_VALUE"""),"Task Execution")</f>
        <v>Task Execution</v>
      </c>
      <c r="H99" s="6">
        <f ca="1"/>
        <v>0</v>
      </c>
      <c r="I99" s="6">
        <f ca="1"/>
        <v>0</v>
      </c>
      <c r="J99" s="6">
        <f ca="1"/>
        <v>0</v>
      </c>
    </row>
    <row r="100" spans="1:10" ht="13" x14ac:dyDescent="0.15">
      <c r="A100" s="6" t="str">
        <f ca="1">IFERROR(__xludf.DUMMYFUNCTION("""COMPUTED_VALUE"""),"Coding Pattern")</f>
        <v>Coding Pattern</v>
      </c>
      <c r="B100" s="6" t="str">
        <f ca="1">IFERROR(__xludf.DUMMYFUNCTION("""COMPUTED_VALUE"""),"Coding Pattern")</f>
        <v>Coding Pattern</v>
      </c>
      <c r="H100" s="6">
        <f ca="1"/>
        <v>0</v>
      </c>
      <c r="I100" s="6">
        <f ca="1"/>
        <v>0</v>
      </c>
      <c r="J100" s="6">
        <f ca="1"/>
        <v>0</v>
      </c>
    </row>
    <row r="101" spans="1:10" ht="13" x14ac:dyDescent="0.15">
      <c r="A101" s="6" t="str">
        <f ca="1">IFERROR(__xludf.DUMMYFUNCTION("""COMPUTED_VALUE"""),"Build &amp; Operation")</f>
        <v>Build &amp; Operation</v>
      </c>
      <c r="B101" s="6" t="str">
        <f ca="1">IFERROR(__xludf.DUMMYFUNCTION("""COMPUTED_VALUE"""),"Build &amp; Operation")</f>
        <v>Build &amp; Operation</v>
      </c>
      <c r="H101" s="6">
        <f ca="1"/>
        <v>0</v>
      </c>
      <c r="I101" s="6">
        <f ca="1"/>
        <v>0</v>
      </c>
      <c r="J101" s="6">
        <f ca="1"/>
        <v>0</v>
      </c>
    </row>
    <row r="102" spans="1:10" ht="13" x14ac:dyDescent="0.15">
      <c r="A102" s="6" t="str">
        <f ca="1">IFERROR(__xludf.DUMMYFUNCTION("""COMPUTED_VALUE"""),"Coding Style")</f>
        <v>Coding Style</v>
      </c>
      <c r="B102" s="6" t="str">
        <f ca="1">IFERROR(__xludf.DUMMYFUNCTION("""COMPUTED_VALUE"""),"Coding Style")</f>
        <v>Coding Style</v>
      </c>
      <c r="H102" s="6">
        <f ca="1"/>
        <v>0</v>
      </c>
      <c r="I102" s="6">
        <f ca="1"/>
        <v>0</v>
      </c>
      <c r="J102" s="6">
        <f ca="1"/>
        <v>0</v>
      </c>
    </row>
    <row r="103" spans="1:10" ht="13" x14ac:dyDescent="0.15">
      <c r="A103" s="6" t="str">
        <f ca="1">IFERROR(__xludf.DUMMYFUNCTION("""COMPUTED_VALUE"""),"Coding Style")</f>
        <v>Coding Style</v>
      </c>
      <c r="B103" s="6" t="str">
        <f ca="1">IFERROR(__xludf.DUMMYFUNCTION("""COMPUTED_VALUE"""),"Coding Style")</f>
        <v>Coding Style</v>
      </c>
      <c r="H103" s="6">
        <f ca="1"/>
        <v>0</v>
      </c>
      <c r="I103" s="6">
        <f ca="1"/>
        <v>0</v>
      </c>
      <c r="J103" s="6">
        <f ca="1"/>
        <v>0</v>
      </c>
    </row>
    <row r="104" spans="1:10" ht="13" x14ac:dyDescent="0.15">
      <c r="A104" s="6" t="str">
        <f ca="1">IFERROR(__xludf.DUMMYFUNCTION("""COMPUTED_VALUE"""),"Testing")</f>
        <v>Testing</v>
      </c>
      <c r="B104" s="6" t="str">
        <f ca="1">IFERROR(__xludf.DUMMYFUNCTION("""COMPUTED_VALUE"""),"Testing")</f>
        <v>Testing</v>
      </c>
      <c r="H104" s="6">
        <f ca="1"/>
        <v>0</v>
      </c>
      <c r="I104" s="6">
        <f ca="1"/>
        <v>0</v>
      </c>
      <c r="J104" s="6">
        <f ca="1"/>
        <v>0</v>
      </c>
    </row>
    <row r="105" spans="1:10" ht="13" x14ac:dyDescent="0.15">
      <c r="A105" s="6" t="str">
        <f ca="1">IFERROR(__xludf.DUMMYFUNCTION("""COMPUTED_VALUE"""),"Documentation")</f>
        <v>Documentation</v>
      </c>
      <c r="B105" s="6" t="str">
        <f ca="1">IFERROR(__xludf.DUMMYFUNCTION("""COMPUTED_VALUE"""),"Build &amp; Operation")</f>
        <v>Build &amp; Operation</v>
      </c>
      <c r="H105" s="6">
        <f ca="1"/>
        <v>0</v>
      </c>
      <c r="I105" s="6">
        <f ca="1"/>
        <v>0</v>
      </c>
      <c r="J105" s="6">
        <f ca="1"/>
        <v>0</v>
      </c>
    </row>
    <row r="106" spans="1:10" ht="13" x14ac:dyDescent="0.15">
      <c r="A106" s="6" t="str">
        <f ca="1">IFERROR(__xludf.DUMMYFUNCTION("""COMPUTED_VALUE"""),"Task Execution")</f>
        <v>Task Execution</v>
      </c>
      <c r="B106" s="6" t="str">
        <f ca="1">IFERROR(__xludf.DUMMYFUNCTION("""COMPUTED_VALUE"""),"Task Execution")</f>
        <v>Task Execution</v>
      </c>
      <c r="H106" s="6">
        <f ca="1"/>
        <v>0</v>
      </c>
      <c r="I106" s="6">
        <f ca="1"/>
        <v>0</v>
      </c>
      <c r="J106" s="6">
        <f ca="1"/>
        <v>0</v>
      </c>
    </row>
    <row r="107" spans="1:10" ht="13" x14ac:dyDescent="0.15">
      <c r="A107" s="6" t="str">
        <f ca="1">IFERROR(__xludf.DUMMYFUNCTION("""COMPUTED_VALUE"""),"Commit&amp;PR rule")</f>
        <v>Commit&amp;PR rule</v>
      </c>
      <c r="B107" s="6" t="str">
        <f ca="1">IFERROR(__xludf.DUMMYFUNCTION("""COMPUTED_VALUE"""),"Build &amp; Operation")</f>
        <v>Build &amp; Operation</v>
      </c>
      <c r="H107" s="6">
        <f ca="1"/>
        <v>0</v>
      </c>
      <c r="I107" s="6">
        <f ca="1"/>
        <v>0</v>
      </c>
      <c r="J107" s="6">
        <f ca="1"/>
        <v>0</v>
      </c>
    </row>
    <row r="108" spans="1:10" ht="13" x14ac:dyDescent="0.15">
      <c r="A108" s="6" t="str">
        <f ca="1">IFERROR(__xludf.DUMMYFUNCTION("""COMPUTED_VALUE"""),"Testing")</f>
        <v>Testing</v>
      </c>
      <c r="B108" s="6" t="str">
        <f ca="1">IFERROR(__xludf.DUMMYFUNCTION("""COMPUTED_VALUE"""),"Testing")</f>
        <v>Testing</v>
      </c>
      <c r="H108" s="6">
        <f ca="1"/>
        <v>0</v>
      </c>
      <c r="I108" s="6">
        <f ca="1"/>
        <v>0</v>
      </c>
      <c r="J108" s="6">
        <f ca="1"/>
        <v>0</v>
      </c>
    </row>
    <row r="109" spans="1:10" ht="13" x14ac:dyDescent="0.15">
      <c r="A109" s="6" t="str">
        <f ca="1">IFERROR(__xludf.DUMMYFUNCTION("""COMPUTED_VALUE"""),"Build &amp; Operation")</f>
        <v>Build &amp; Operation</v>
      </c>
      <c r="B109" s="6" t="str">
        <f ca="1">IFERROR(__xludf.DUMMYFUNCTION("""COMPUTED_VALUE"""),"Build &amp; Operation")</f>
        <v>Build &amp; Operation</v>
      </c>
      <c r="H109" s="6">
        <f ca="1"/>
        <v>0</v>
      </c>
      <c r="I109" s="6">
        <f ca="1"/>
        <v>0</v>
      </c>
      <c r="J109" s="6">
        <f ca="1"/>
        <v>0</v>
      </c>
    </row>
    <row r="110" spans="1:10" ht="13" x14ac:dyDescent="0.15">
      <c r="A110" s="6" t="str">
        <f ca="1">IFERROR(__xludf.DUMMYFUNCTION("""COMPUTED_VALUE"""),"Commit&amp;PR rule")</f>
        <v>Commit&amp;PR rule</v>
      </c>
      <c r="B110" s="6" t="str">
        <f ca="1">IFERROR(__xludf.DUMMYFUNCTION("""COMPUTED_VALUE"""),"Commit&amp;PR rule")</f>
        <v>Commit&amp;PR rule</v>
      </c>
      <c r="H110" s="6">
        <f ca="1"/>
        <v>0</v>
      </c>
      <c r="I110" s="6">
        <f ca="1"/>
        <v>0</v>
      </c>
      <c r="J110" s="6">
        <f ca="1"/>
        <v>0</v>
      </c>
    </row>
    <row r="111" spans="1:10" ht="13" x14ac:dyDescent="0.15">
      <c r="A111" s="6" t="str">
        <f ca="1">IFERROR(__xludf.DUMMYFUNCTION("""COMPUTED_VALUE"""),"Testing")</f>
        <v>Testing</v>
      </c>
      <c r="B111" s="6" t="str">
        <f ca="1">IFERROR(__xludf.DUMMYFUNCTION("""COMPUTED_VALUE"""),"Testing")</f>
        <v>Testing</v>
      </c>
      <c r="H111" s="6">
        <f ca="1"/>
        <v>0</v>
      </c>
      <c r="I111" s="6">
        <f ca="1"/>
        <v>0</v>
      </c>
      <c r="J111" s="6">
        <f ca="1"/>
        <v>0</v>
      </c>
    </row>
    <row r="112" spans="1:10" ht="13" x14ac:dyDescent="0.15">
      <c r="A112" s="6" t="str">
        <f ca="1">IFERROR(__xludf.DUMMYFUNCTION("""COMPUTED_VALUE"""),"Task Execution")</f>
        <v>Task Execution</v>
      </c>
      <c r="B112" s="6" t="str">
        <f ca="1">IFERROR(__xludf.DUMMYFUNCTION("""COMPUTED_VALUE"""),"Task Execution")</f>
        <v>Task Execution</v>
      </c>
      <c r="H112" s="6">
        <f ca="1"/>
        <v>0</v>
      </c>
      <c r="I112" s="6">
        <f ca="1"/>
        <v>0</v>
      </c>
      <c r="J112" s="6">
        <f ca="1"/>
        <v>0</v>
      </c>
    </row>
    <row r="113" spans="1:10" ht="13" x14ac:dyDescent="0.15">
      <c r="A113" s="6" t="str">
        <f ca="1">IFERROR(__xludf.DUMMYFUNCTION("""COMPUTED_VALUE"""),"Testing")</f>
        <v>Testing</v>
      </c>
      <c r="B113" s="6" t="str">
        <f ca="1">IFERROR(__xludf.DUMMYFUNCTION("""COMPUTED_VALUE"""),"Testing")</f>
        <v>Testing</v>
      </c>
      <c r="H113" s="6">
        <f ca="1"/>
        <v>0</v>
      </c>
      <c r="I113" s="6">
        <f ca="1"/>
        <v>0</v>
      </c>
      <c r="J113" s="6">
        <f ca="1"/>
        <v>0</v>
      </c>
    </row>
    <row r="114" spans="1:10" ht="13" x14ac:dyDescent="0.15">
      <c r="A114" s="6" t="str">
        <f ca="1">IFERROR(__xludf.DUMMYFUNCTION("""COMPUTED_VALUE"""),"Task Execution")</f>
        <v>Task Execution</v>
      </c>
      <c r="B114" s="6" t="str">
        <f ca="1">IFERROR(__xludf.DUMMYFUNCTION("""COMPUTED_VALUE"""),"Task Execution")</f>
        <v>Task Execution</v>
      </c>
      <c r="H114" s="6">
        <f ca="1"/>
        <v>0</v>
      </c>
      <c r="I114" s="6">
        <f ca="1"/>
        <v>0</v>
      </c>
      <c r="J114" s="6">
        <f ca="1"/>
        <v>0</v>
      </c>
    </row>
    <row r="115" spans="1:10" ht="13" x14ac:dyDescent="0.15">
      <c r="A115" s="6" t="str">
        <f ca="1">IFERROR(__xludf.DUMMYFUNCTION("""COMPUTED_VALUE"""),"Testing")</f>
        <v>Testing</v>
      </c>
      <c r="B115" s="6" t="str">
        <f ca="1">IFERROR(__xludf.DUMMYFUNCTION("""COMPUTED_VALUE"""),"Testing")</f>
        <v>Testing</v>
      </c>
      <c r="H115" s="6">
        <f ca="1"/>
        <v>0</v>
      </c>
      <c r="I115" s="6">
        <f ca="1"/>
        <v>0</v>
      </c>
      <c r="J115" s="6">
        <f ca="1"/>
        <v>0</v>
      </c>
    </row>
    <row r="116" spans="1:10" ht="13" x14ac:dyDescent="0.15">
      <c r="A116" s="6" t="str">
        <f ca="1">IFERROR(__xludf.DUMMYFUNCTION("""COMPUTED_VALUE"""),"Testing")</f>
        <v>Testing</v>
      </c>
      <c r="B116" s="6" t="str">
        <f ca="1">IFERROR(__xludf.DUMMYFUNCTION("""COMPUTED_VALUE"""),"Testing")</f>
        <v>Testing</v>
      </c>
      <c r="H116" s="6">
        <f ca="1"/>
        <v>0</v>
      </c>
      <c r="I116" s="6">
        <f ca="1"/>
        <v>0</v>
      </c>
      <c r="J116" s="6">
        <f ca="1"/>
        <v>0</v>
      </c>
    </row>
    <row r="117" spans="1:10" ht="13" x14ac:dyDescent="0.15">
      <c r="A117" s="6" t="str">
        <f ca="1">IFERROR(__xludf.DUMMYFUNCTION("""COMPUTED_VALUE"""),"Testing")</f>
        <v>Testing</v>
      </c>
      <c r="B117" s="6" t="str">
        <f ca="1">IFERROR(__xludf.DUMMYFUNCTION("""COMPUTED_VALUE"""),"Testing")</f>
        <v>Testing</v>
      </c>
      <c r="H117" s="6">
        <f ca="1"/>
        <v>0</v>
      </c>
      <c r="I117" s="6">
        <f ca="1"/>
        <v>0</v>
      </c>
      <c r="J117" s="6">
        <f ca="1"/>
        <v>0</v>
      </c>
    </row>
    <row r="118" spans="1:10" ht="13" x14ac:dyDescent="0.15">
      <c r="A118" s="6" t="str">
        <f ca="1">IFERROR(__xludf.DUMMYFUNCTION("""COMPUTED_VALUE"""),"Coding Style")</f>
        <v>Coding Style</v>
      </c>
      <c r="B118" s="6" t="str">
        <f ca="1">IFERROR(__xludf.DUMMYFUNCTION("""COMPUTED_VALUE"""),"Build &amp; Operation")</f>
        <v>Build &amp; Operation</v>
      </c>
      <c r="H118" s="6">
        <f ca="1"/>
        <v>0</v>
      </c>
      <c r="I118" s="6">
        <f ca="1"/>
        <v>0</v>
      </c>
      <c r="J118" s="6">
        <f ca="1"/>
        <v>0</v>
      </c>
    </row>
    <row r="119" spans="1:10" ht="13" x14ac:dyDescent="0.15">
      <c r="A119" s="6" t="str">
        <f ca="1">IFERROR(__xludf.DUMMYFUNCTION("""COMPUTED_VALUE"""),"Security")</f>
        <v>Security</v>
      </c>
      <c r="B119" s="6" t="str">
        <f ca="1">IFERROR(__xludf.DUMMYFUNCTION("""COMPUTED_VALUE"""),"Security")</f>
        <v>Security</v>
      </c>
      <c r="H119" s="6">
        <f ca="1"/>
        <v>0</v>
      </c>
      <c r="I119" s="6">
        <f ca="1"/>
        <v>0</v>
      </c>
      <c r="J119" s="6">
        <f ca="1"/>
        <v>0</v>
      </c>
    </row>
    <row r="120" spans="1:10" ht="13" x14ac:dyDescent="0.15">
      <c r="A120" s="6" t="str">
        <f ca="1">IFERROR(__xludf.DUMMYFUNCTION("""COMPUTED_VALUE"""),"Task Execution")</f>
        <v>Task Execution</v>
      </c>
      <c r="B120" s="6" t="str">
        <f ca="1">IFERROR(__xludf.DUMMYFUNCTION("""COMPUTED_VALUE"""),"Task Execution")</f>
        <v>Task Execution</v>
      </c>
      <c r="H120" s="6">
        <f ca="1"/>
        <v>0</v>
      </c>
      <c r="I120" s="6">
        <f ca="1"/>
        <v>0</v>
      </c>
      <c r="J120" s="6">
        <f ca="1"/>
        <v>0</v>
      </c>
    </row>
    <row r="121" spans="1:10" ht="13" x14ac:dyDescent="0.15">
      <c r="A121" s="6" t="str">
        <f ca="1">IFERROR(__xludf.DUMMYFUNCTION("""COMPUTED_VALUE"""),"Task Execution")</f>
        <v>Task Execution</v>
      </c>
      <c r="B121" s="6" t="str">
        <f ca="1">IFERROR(__xludf.DUMMYFUNCTION("""COMPUTED_VALUE"""),"Task Execution")</f>
        <v>Task Execution</v>
      </c>
      <c r="H121" s="6">
        <f ca="1"/>
        <v>0</v>
      </c>
      <c r="I121" s="6">
        <f ca="1"/>
        <v>0</v>
      </c>
      <c r="J121" s="6">
        <f ca="1"/>
        <v>0</v>
      </c>
    </row>
    <row r="122" spans="1:10" ht="13" x14ac:dyDescent="0.15">
      <c r="A122" s="6" t="str">
        <f ca="1">IFERROR(__xludf.DUMMYFUNCTION("""COMPUTED_VALUE"""),"Task Execution")</f>
        <v>Task Execution</v>
      </c>
      <c r="B122" s="6" t="str">
        <f ca="1">IFERROR(__xludf.DUMMYFUNCTION("""COMPUTED_VALUE"""),"Task Execution")</f>
        <v>Task Execution</v>
      </c>
      <c r="H122" s="6">
        <f ca="1"/>
        <v>0</v>
      </c>
      <c r="I122" s="6">
        <f ca="1"/>
        <v>0</v>
      </c>
      <c r="J122" s="6">
        <f ca="1"/>
        <v>0</v>
      </c>
    </row>
    <row r="123" spans="1:10" ht="13" x14ac:dyDescent="0.15">
      <c r="A123" s="6" t="str">
        <f ca="1">IFERROR(__xludf.DUMMYFUNCTION("""COMPUTED_VALUE"""),"Coding Pattern")</f>
        <v>Coding Pattern</v>
      </c>
      <c r="B123" s="6" t="str">
        <f ca="1">IFERROR(__xludf.DUMMYFUNCTION("""COMPUTED_VALUE"""),"Coding Pattern")</f>
        <v>Coding Pattern</v>
      </c>
      <c r="H123" s="6">
        <f ca="1"/>
        <v>0</v>
      </c>
      <c r="I123" s="6">
        <f ca="1"/>
        <v>0</v>
      </c>
      <c r="J123" s="6">
        <f ca="1"/>
        <v>0</v>
      </c>
    </row>
    <row r="124" spans="1:10" ht="13" x14ac:dyDescent="0.15">
      <c r="A124" s="6" t="str">
        <f ca="1">IFERROR(__xludf.DUMMYFUNCTION("""COMPUTED_VALUE"""),"Testing")</f>
        <v>Testing</v>
      </c>
      <c r="B124" s="6" t="str">
        <f ca="1">IFERROR(__xludf.DUMMYFUNCTION("""COMPUTED_VALUE"""),"Testing")</f>
        <v>Testing</v>
      </c>
      <c r="H124" s="6">
        <f ca="1"/>
        <v>0</v>
      </c>
      <c r="I124" s="6">
        <f ca="1"/>
        <v>0</v>
      </c>
      <c r="J124" s="6">
        <f ca="1"/>
        <v>0</v>
      </c>
    </row>
    <row r="125" spans="1:10" ht="13" x14ac:dyDescent="0.15">
      <c r="A125" s="6" t="str">
        <f ca="1">IFERROR(__xludf.DUMMYFUNCTION("""COMPUTED_VALUE"""),"Testing")</f>
        <v>Testing</v>
      </c>
      <c r="B125" s="6" t="str">
        <f ca="1">IFERROR(__xludf.DUMMYFUNCTION("""COMPUTED_VALUE"""),"Testing")</f>
        <v>Testing</v>
      </c>
      <c r="H125" s="6">
        <f ca="1"/>
        <v>0</v>
      </c>
      <c r="I125" s="6">
        <f ca="1"/>
        <v>0</v>
      </c>
      <c r="J125" s="6">
        <f ca="1"/>
        <v>0</v>
      </c>
    </row>
    <row r="126" spans="1:10" ht="13" x14ac:dyDescent="0.15">
      <c r="A126" s="6" t="str">
        <f ca="1">IFERROR(__xludf.DUMMYFUNCTION("""COMPUTED_VALUE"""),"Documentation")</f>
        <v>Documentation</v>
      </c>
      <c r="B126" s="6" t="str">
        <f ca="1">IFERROR(__xludf.DUMMYFUNCTION("""COMPUTED_VALUE"""),"Documentation")</f>
        <v>Documentation</v>
      </c>
      <c r="H126" s="6">
        <f ca="1"/>
        <v>0</v>
      </c>
      <c r="I126" s="6">
        <f ca="1"/>
        <v>0</v>
      </c>
      <c r="J126" s="6">
        <f ca="1"/>
        <v>0</v>
      </c>
    </row>
    <row r="127" spans="1:10" ht="13" x14ac:dyDescent="0.15">
      <c r="A127" s="6" t="str">
        <f ca="1">IFERROR(__xludf.DUMMYFUNCTION("""COMPUTED_VALUE"""),"Performance")</f>
        <v>Performance</v>
      </c>
      <c r="B127" s="6" t="str">
        <f ca="1">IFERROR(__xludf.DUMMYFUNCTION("""COMPUTED_VALUE"""),"Performance")</f>
        <v>Performance</v>
      </c>
      <c r="H127" s="6">
        <f ca="1"/>
        <v>0</v>
      </c>
      <c r="I127" s="6">
        <f ca="1"/>
        <v>0</v>
      </c>
      <c r="J127" s="6">
        <f ca="1"/>
        <v>0</v>
      </c>
    </row>
    <row r="128" spans="1:10" ht="13" x14ac:dyDescent="0.15">
      <c r="A128" s="6" t="str">
        <f ca="1">IFERROR(__xludf.DUMMYFUNCTION("""COMPUTED_VALUE"""),"Performance")</f>
        <v>Performance</v>
      </c>
      <c r="B128" s="6" t="str">
        <f ca="1">IFERROR(__xludf.DUMMYFUNCTION("""COMPUTED_VALUE"""),"Performance")</f>
        <v>Performance</v>
      </c>
      <c r="H128" s="6">
        <f ca="1"/>
        <v>0</v>
      </c>
      <c r="I128" s="6">
        <f ca="1"/>
        <v>0</v>
      </c>
      <c r="J128" s="6">
        <f ca="1"/>
        <v>0</v>
      </c>
    </row>
    <row r="129" spans="1:10" ht="13" x14ac:dyDescent="0.15">
      <c r="A129" s="6" t="str">
        <f ca="1">IFERROR(__xludf.DUMMYFUNCTION("""COMPUTED_VALUE"""),"Performance")</f>
        <v>Performance</v>
      </c>
      <c r="B129" s="6" t="str">
        <f ca="1">IFERROR(__xludf.DUMMYFUNCTION("""COMPUTED_VALUE"""),"Performance")</f>
        <v>Performance</v>
      </c>
      <c r="H129" s="6">
        <f ca="1"/>
        <v>0</v>
      </c>
      <c r="I129" s="6">
        <f ca="1"/>
        <v>0</v>
      </c>
      <c r="J129" s="6">
        <f ca="1"/>
        <v>0</v>
      </c>
    </row>
    <row r="130" spans="1:10" ht="13" x14ac:dyDescent="0.15">
      <c r="A130" s="6" t="str">
        <f ca="1">IFERROR(__xludf.DUMMYFUNCTION("""COMPUTED_VALUE"""),"Testing")</f>
        <v>Testing</v>
      </c>
      <c r="B130" s="6" t="str">
        <f ca="1">IFERROR(__xludf.DUMMYFUNCTION("""COMPUTED_VALUE"""),"Testing")</f>
        <v>Testing</v>
      </c>
      <c r="H130" s="6">
        <f ca="1"/>
        <v>0</v>
      </c>
      <c r="I130" s="6">
        <f ca="1"/>
        <v>0</v>
      </c>
      <c r="J130" s="6">
        <f ca="1"/>
        <v>0</v>
      </c>
    </row>
    <row r="131" spans="1:10" ht="13" x14ac:dyDescent="0.15">
      <c r="A131" s="6" t="str">
        <f ca="1">IFERROR(__xludf.DUMMYFUNCTION("""COMPUTED_VALUE"""),"Task Execution")</f>
        <v>Task Execution</v>
      </c>
      <c r="B131" s="6" t="str">
        <f ca="1">IFERROR(__xludf.DUMMYFUNCTION("""COMPUTED_VALUE"""),"Task Execution")</f>
        <v>Task Execution</v>
      </c>
      <c r="H131" s="6">
        <f ca="1"/>
        <v>0</v>
      </c>
      <c r="I131" s="6">
        <f ca="1"/>
        <v>0</v>
      </c>
      <c r="J131" s="6">
        <f ca="1"/>
        <v>0</v>
      </c>
    </row>
    <row r="132" spans="1:10" ht="13" x14ac:dyDescent="0.15">
      <c r="A132" s="6" t="str">
        <f ca="1">IFERROR(__xludf.DUMMYFUNCTION("""COMPUTED_VALUE"""),"Task Execution")</f>
        <v>Task Execution</v>
      </c>
      <c r="B132" s="6" t="str">
        <f ca="1">IFERROR(__xludf.DUMMYFUNCTION("""COMPUTED_VALUE"""),"Task Execution")</f>
        <v>Task Execution</v>
      </c>
      <c r="H132" s="6">
        <f ca="1"/>
        <v>0</v>
      </c>
      <c r="I132" s="6">
        <f ca="1"/>
        <v>0</v>
      </c>
      <c r="J132" s="6">
        <f ca="1"/>
        <v>0</v>
      </c>
    </row>
    <row r="133" spans="1:10" ht="13" x14ac:dyDescent="0.15">
      <c r="A133" s="6" t="str">
        <f ca="1">IFERROR(__xludf.DUMMYFUNCTION("""COMPUTED_VALUE"""),"Task Execution")</f>
        <v>Task Execution</v>
      </c>
      <c r="B133" s="6" t="str">
        <f ca="1">IFERROR(__xludf.DUMMYFUNCTION("""COMPUTED_VALUE"""),"Task Execution")</f>
        <v>Task Execution</v>
      </c>
      <c r="H133" s="6">
        <f ca="1"/>
        <v>0</v>
      </c>
      <c r="I133" s="6">
        <f ca="1"/>
        <v>0</v>
      </c>
      <c r="J133" s="6">
        <f ca="1"/>
        <v>0</v>
      </c>
    </row>
    <row r="134" spans="1:10" ht="13" x14ac:dyDescent="0.15">
      <c r="A134" s="6" t="str">
        <f ca="1">IFERROR(__xludf.DUMMYFUNCTION("""COMPUTED_VALUE"""),"Task Execution")</f>
        <v>Task Execution</v>
      </c>
      <c r="B134" s="6" t="str">
        <f ca="1">IFERROR(__xludf.DUMMYFUNCTION("""COMPUTED_VALUE"""),"Task Execution")</f>
        <v>Task Execution</v>
      </c>
      <c r="H134" s="6">
        <f ca="1"/>
        <v>0</v>
      </c>
      <c r="I134" s="6">
        <f ca="1"/>
        <v>0</v>
      </c>
      <c r="J134" s="6">
        <f ca="1"/>
        <v>0</v>
      </c>
    </row>
    <row r="135" spans="1:10" ht="13" x14ac:dyDescent="0.15">
      <c r="A135" s="6" t="str">
        <f ca="1">IFERROR(__xludf.DUMMYFUNCTION("""COMPUTED_VALUE"""),"Build &amp; Operation")</f>
        <v>Build &amp; Operation</v>
      </c>
      <c r="B135" s="6" t="str">
        <f ca="1">IFERROR(__xludf.DUMMYFUNCTION("""COMPUTED_VALUE"""),"Build &amp; Operation")</f>
        <v>Build &amp; Operation</v>
      </c>
      <c r="H135" s="6">
        <f ca="1"/>
        <v>0</v>
      </c>
      <c r="I135" s="6">
        <f ca="1"/>
        <v>0</v>
      </c>
      <c r="J135" s="6">
        <f ca="1"/>
        <v>0</v>
      </c>
    </row>
    <row r="136" spans="1:10" ht="13" x14ac:dyDescent="0.15">
      <c r="A136" s="6" t="str">
        <f ca="1">IFERROR(__xludf.DUMMYFUNCTION("""COMPUTED_VALUE"""),"Documentation")</f>
        <v>Documentation</v>
      </c>
      <c r="B136" s="6" t="str">
        <f ca="1">IFERROR(__xludf.DUMMYFUNCTION("""COMPUTED_VALUE"""),"Commit&amp;PR rule")</f>
        <v>Commit&amp;PR rule</v>
      </c>
      <c r="H136" s="6">
        <f ca="1"/>
        <v>0</v>
      </c>
      <c r="I136" s="6">
        <f ca="1"/>
        <v>0</v>
      </c>
      <c r="J136" s="6">
        <f ca="1"/>
        <v>0</v>
      </c>
    </row>
    <row r="137" spans="1:10" ht="13" x14ac:dyDescent="0.15">
      <c r="A137" s="6" t="str">
        <f ca="1">IFERROR(__xludf.DUMMYFUNCTION("""COMPUTED_VALUE"""),"Coding Pattern")</f>
        <v>Coding Pattern</v>
      </c>
      <c r="B137" s="6" t="str">
        <f ca="1">IFERROR(__xludf.DUMMYFUNCTION("""COMPUTED_VALUE"""),"Coding Pattern")</f>
        <v>Coding Pattern</v>
      </c>
      <c r="H137" s="6">
        <f ca="1"/>
        <v>0</v>
      </c>
      <c r="I137" s="6">
        <f ca="1"/>
        <v>0</v>
      </c>
      <c r="J137" s="6">
        <f ca="1"/>
        <v>0</v>
      </c>
    </row>
    <row r="138" spans="1:10" ht="13" x14ac:dyDescent="0.15">
      <c r="A138" s="6" t="str">
        <f ca="1">IFERROR(__xludf.DUMMYFUNCTION("""COMPUTED_VALUE"""),"Coding Pattern")</f>
        <v>Coding Pattern</v>
      </c>
      <c r="B138" s="6" t="str">
        <f ca="1">IFERROR(__xludf.DUMMYFUNCTION("""COMPUTED_VALUE"""),"Coding Pattern")</f>
        <v>Coding Pattern</v>
      </c>
      <c r="H138" s="6">
        <f ca="1"/>
        <v>0</v>
      </c>
      <c r="I138" s="6">
        <f ca="1"/>
        <v>0</v>
      </c>
      <c r="J138" s="6">
        <f ca="1"/>
        <v>0</v>
      </c>
    </row>
    <row r="139" spans="1:10" ht="13" x14ac:dyDescent="0.15">
      <c r="A139" s="6" t="str">
        <f ca="1">IFERROR(__xludf.DUMMYFUNCTION("""COMPUTED_VALUE"""),"Coding Pattern")</f>
        <v>Coding Pattern</v>
      </c>
      <c r="B139" s="6" t="str">
        <f ca="1">IFERROR(__xludf.DUMMYFUNCTION("""COMPUTED_VALUE"""),"Coding Pattern")</f>
        <v>Coding Pattern</v>
      </c>
      <c r="H139" s="6">
        <f ca="1"/>
        <v>0</v>
      </c>
      <c r="I139" s="6">
        <f ca="1"/>
        <v>0</v>
      </c>
      <c r="J139" s="6">
        <f ca="1"/>
        <v>0</v>
      </c>
    </row>
    <row r="140" spans="1:10" ht="13" x14ac:dyDescent="0.15">
      <c r="A140" s="6" t="str">
        <f ca="1">IFERROR(__xludf.DUMMYFUNCTION("""COMPUTED_VALUE"""),"Coding Pattern")</f>
        <v>Coding Pattern</v>
      </c>
      <c r="B140" s="6" t="str">
        <f ca="1">IFERROR(__xludf.DUMMYFUNCTION("""COMPUTED_VALUE"""),"Coding Pattern")</f>
        <v>Coding Pattern</v>
      </c>
      <c r="H140" s="6">
        <f ca="1"/>
        <v>0</v>
      </c>
      <c r="I140" s="6">
        <f ca="1"/>
        <v>0</v>
      </c>
      <c r="J140" s="6">
        <f ca="1"/>
        <v>0</v>
      </c>
    </row>
    <row r="141" spans="1:10" ht="13" x14ac:dyDescent="0.15">
      <c r="A141" s="6" t="str">
        <f ca="1">IFERROR(__xludf.DUMMYFUNCTION("""COMPUTED_VALUE"""),"Coding Pattern")</f>
        <v>Coding Pattern</v>
      </c>
      <c r="B141" s="6" t="str">
        <f ca="1">IFERROR(__xludf.DUMMYFUNCTION("""COMPUTED_VALUE"""),"Coding Pattern")</f>
        <v>Coding Pattern</v>
      </c>
      <c r="H141" s="6">
        <f ca="1"/>
        <v>0</v>
      </c>
      <c r="I141" s="6">
        <f ca="1"/>
        <v>0</v>
      </c>
      <c r="J141" s="6">
        <f ca="1"/>
        <v>0</v>
      </c>
    </row>
    <row r="142" spans="1:10" ht="13" x14ac:dyDescent="0.15">
      <c r="A142" s="6" t="str">
        <f ca="1">IFERROR(__xludf.DUMMYFUNCTION("""COMPUTED_VALUE"""),"Coding Pattern")</f>
        <v>Coding Pattern</v>
      </c>
      <c r="B142" s="6" t="str">
        <f ca="1">IFERROR(__xludf.DUMMYFUNCTION("""COMPUTED_VALUE"""),"Coding Pattern")</f>
        <v>Coding Pattern</v>
      </c>
      <c r="H142" s="6">
        <f ca="1"/>
        <v>0</v>
      </c>
      <c r="I142" s="6">
        <f ca="1"/>
        <v>0</v>
      </c>
      <c r="J142" s="6">
        <f ca="1"/>
        <v>0</v>
      </c>
    </row>
    <row r="143" spans="1:10" ht="13" x14ac:dyDescent="0.15">
      <c r="A143" s="6" t="str">
        <f ca="1">IFERROR(__xludf.DUMMYFUNCTION("""COMPUTED_VALUE"""),"Task Execution")</f>
        <v>Task Execution</v>
      </c>
      <c r="B143" s="6" t="str">
        <f ca="1">IFERROR(__xludf.DUMMYFUNCTION("""COMPUTED_VALUE"""),"Task Execution")</f>
        <v>Task Execution</v>
      </c>
      <c r="H143" s="6">
        <f ca="1"/>
        <v>0</v>
      </c>
      <c r="I143" s="6">
        <f ca="1"/>
        <v>0</v>
      </c>
      <c r="J143" s="6">
        <f ca="1"/>
        <v>0</v>
      </c>
    </row>
    <row r="144" spans="1:10" ht="13" x14ac:dyDescent="0.15">
      <c r="A144" s="6" t="str">
        <f ca="1">IFERROR(__xludf.DUMMYFUNCTION("""COMPUTED_VALUE"""),"Task Execution")</f>
        <v>Task Execution</v>
      </c>
      <c r="B144" s="6" t="str">
        <f ca="1">IFERROR(__xludf.DUMMYFUNCTION("""COMPUTED_VALUE"""),"Task Execution")</f>
        <v>Task Execution</v>
      </c>
      <c r="H144" s="6">
        <f ca="1"/>
        <v>0</v>
      </c>
      <c r="I144" s="6">
        <f ca="1"/>
        <v>0</v>
      </c>
      <c r="J144" s="6">
        <f ca="1"/>
        <v>0</v>
      </c>
    </row>
    <row r="145" spans="1:10" ht="13" x14ac:dyDescent="0.15">
      <c r="A145" s="6" t="str">
        <f ca="1">IFERROR(__xludf.DUMMYFUNCTION("""COMPUTED_VALUE"""),"Coding Pattern")</f>
        <v>Coding Pattern</v>
      </c>
      <c r="B145" s="6" t="str">
        <f ca="1">IFERROR(__xludf.DUMMYFUNCTION("""COMPUTED_VALUE"""),"Coding Pattern")</f>
        <v>Coding Pattern</v>
      </c>
      <c r="H145" s="6">
        <f ca="1"/>
        <v>0</v>
      </c>
      <c r="I145" s="6">
        <f ca="1"/>
        <v>0</v>
      </c>
      <c r="J145" s="6">
        <f ca="1"/>
        <v>0</v>
      </c>
    </row>
    <row r="146" spans="1:10" ht="13" x14ac:dyDescent="0.15">
      <c r="A146" s="6" t="str">
        <f ca="1">IFERROR(__xludf.DUMMYFUNCTION("""COMPUTED_VALUE"""),"Build &amp; Operation")</f>
        <v>Build &amp; Operation</v>
      </c>
      <c r="B146" s="6" t="str">
        <f ca="1">IFERROR(__xludf.DUMMYFUNCTION("""COMPUTED_VALUE"""),"Commit&amp;PR rule")</f>
        <v>Commit&amp;PR rule</v>
      </c>
      <c r="H146" s="6">
        <f ca="1"/>
        <v>0</v>
      </c>
      <c r="I146" s="6">
        <f ca="1"/>
        <v>0</v>
      </c>
      <c r="J146" s="6">
        <f ca="1"/>
        <v>0</v>
      </c>
    </row>
    <row r="147" spans="1:10" ht="13" x14ac:dyDescent="0.15">
      <c r="A147" s="6" t="str">
        <f ca="1">IFERROR(__xludf.DUMMYFUNCTION("""COMPUTED_VALUE"""),"Build &amp; Operation")</f>
        <v>Build &amp; Operation</v>
      </c>
      <c r="B147" s="6" t="str">
        <f ca="1">IFERROR(__xludf.DUMMYFUNCTION("""COMPUTED_VALUE"""),"Build &amp; Operation")</f>
        <v>Build &amp; Operation</v>
      </c>
      <c r="H147" s="6">
        <f ca="1"/>
        <v>0</v>
      </c>
      <c r="I147" s="6">
        <f ca="1"/>
        <v>0</v>
      </c>
      <c r="J147" s="6">
        <f ca="1"/>
        <v>0</v>
      </c>
    </row>
    <row r="148" spans="1:10" ht="13" x14ac:dyDescent="0.15">
      <c r="A148" s="6" t="str">
        <f ca="1">IFERROR(__xludf.DUMMYFUNCTION("""COMPUTED_VALUE"""),"Build &amp; Operation")</f>
        <v>Build &amp; Operation</v>
      </c>
      <c r="B148" s="6" t="str">
        <f ca="1">IFERROR(__xludf.DUMMYFUNCTION("""COMPUTED_VALUE"""),"Build &amp; Operation")</f>
        <v>Build &amp; Operation</v>
      </c>
      <c r="H148" s="6">
        <f ca="1"/>
        <v>0</v>
      </c>
      <c r="I148" s="6">
        <f ca="1"/>
        <v>0</v>
      </c>
      <c r="J148" s="6">
        <f ca="1"/>
        <v>0</v>
      </c>
    </row>
    <row r="149" spans="1:10" ht="13" x14ac:dyDescent="0.15">
      <c r="A149" s="6" t="str">
        <f ca="1">IFERROR(__xludf.DUMMYFUNCTION("""COMPUTED_VALUE"""),"Documentation")</f>
        <v>Documentation</v>
      </c>
      <c r="B149" s="6" t="str">
        <f ca="1">IFERROR(__xludf.DUMMYFUNCTION("""COMPUTED_VALUE"""),"Documentation")</f>
        <v>Documentation</v>
      </c>
      <c r="H149" s="6">
        <f ca="1"/>
        <v>0</v>
      </c>
      <c r="I149" s="6">
        <f ca="1"/>
        <v>0</v>
      </c>
      <c r="J149" s="6">
        <f ca="1"/>
        <v>0</v>
      </c>
    </row>
    <row r="150" spans="1:10" ht="13" x14ac:dyDescent="0.15">
      <c r="A150" s="6" t="str">
        <f ca="1">IFERROR(__xludf.DUMMYFUNCTION("""COMPUTED_VALUE"""),"Build &amp; Operation")</f>
        <v>Build &amp; Operation</v>
      </c>
      <c r="B150" s="6" t="str">
        <f ca="1">IFERROR(__xludf.DUMMYFUNCTION("""COMPUTED_VALUE"""),"Build &amp; Operation")</f>
        <v>Build &amp; Operation</v>
      </c>
      <c r="H150" s="6">
        <f ca="1"/>
        <v>0</v>
      </c>
      <c r="I150" s="6">
        <f ca="1"/>
        <v>0</v>
      </c>
      <c r="J150" s="6">
        <f ca="1"/>
        <v>0</v>
      </c>
    </row>
    <row r="151" spans="1:10" ht="13" x14ac:dyDescent="0.15">
      <c r="A151" s="6" t="str">
        <f ca="1">IFERROR(__xludf.DUMMYFUNCTION("""COMPUTED_VALUE"""),"Coding Style")</f>
        <v>Coding Style</v>
      </c>
      <c r="B151" s="6" t="str">
        <f ca="1">IFERROR(__xludf.DUMMYFUNCTION("""COMPUTED_VALUE"""),"Coding Style")</f>
        <v>Coding Style</v>
      </c>
      <c r="H151" s="6">
        <f ca="1"/>
        <v>0</v>
      </c>
      <c r="I151" s="6">
        <f ca="1"/>
        <v>0</v>
      </c>
      <c r="J151" s="6">
        <f ca="1"/>
        <v>0</v>
      </c>
    </row>
    <row r="152" spans="1:10" ht="13" x14ac:dyDescent="0.15">
      <c r="A152" s="6" t="str">
        <f ca="1">IFERROR(__xludf.DUMMYFUNCTION("""COMPUTED_VALUE"""),"Coding Style")</f>
        <v>Coding Style</v>
      </c>
      <c r="B152" s="6" t="str">
        <f ca="1">IFERROR(__xludf.DUMMYFUNCTION("""COMPUTED_VALUE"""),"Coding Style")</f>
        <v>Coding Style</v>
      </c>
      <c r="H152" s="6">
        <f ca="1"/>
        <v>0</v>
      </c>
      <c r="I152" s="6">
        <f ca="1"/>
        <v>0</v>
      </c>
      <c r="J152" s="6">
        <f ca="1"/>
        <v>0</v>
      </c>
    </row>
    <row r="153" spans="1:10" ht="13" x14ac:dyDescent="0.15">
      <c r="A153" s="6" t="str">
        <f ca="1">IFERROR(__xludf.DUMMYFUNCTION("""COMPUTED_VALUE"""),"Maintainability")</f>
        <v>Maintainability</v>
      </c>
      <c r="B153" s="6" t="str">
        <f ca="1">IFERROR(__xludf.DUMMYFUNCTION("""COMPUTED_VALUE"""),"Coding Style")</f>
        <v>Coding Style</v>
      </c>
      <c r="H153" s="6">
        <f ca="1"/>
        <v>0</v>
      </c>
      <c r="I153" s="6">
        <f ca="1"/>
        <v>0</v>
      </c>
      <c r="J153" s="6">
        <f ca="1"/>
        <v>0</v>
      </c>
    </row>
    <row r="154" spans="1:10" ht="13" x14ac:dyDescent="0.15">
      <c r="A154" s="6" t="str">
        <f ca="1">IFERROR(__xludf.DUMMYFUNCTION("""COMPUTED_VALUE"""),"Task Execution")</f>
        <v>Task Execution</v>
      </c>
      <c r="B154" s="6" t="str">
        <f ca="1">IFERROR(__xludf.DUMMYFUNCTION("""COMPUTED_VALUE"""),"Task Execution")</f>
        <v>Task Execution</v>
      </c>
      <c r="H154" s="6">
        <f ca="1"/>
        <v>0</v>
      </c>
      <c r="I154" s="6">
        <f ca="1"/>
        <v>0</v>
      </c>
      <c r="J154" s="6">
        <f ca="1"/>
        <v>0</v>
      </c>
    </row>
    <row r="155" spans="1:10" ht="13" x14ac:dyDescent="0.15">
      <c r="A155" s="6" t="str">
        <f ca="1">IFERROR(__xludf.DUMMYFUNCTION("""COMPUTED_VALUE"""),"Task Execution")</f>
        <v>Task Execution</v>
      </c>
      <c r="B155" s="6" t="str">
        <f ca="1">IFERROR(__xludf.DUMMYFUNCTION("""COMPUTED_VALUE"""),"Task Execution")</f>
        <v>Task Execution</v>
      </c>
      <c r="H155" s="6">
        <f ca="1"/>
        <v>0</v>
      </c>
      <c r="I155" s="6">
        <f ca="1"/>
        <v>0</v>
      </c>
      <c r="J155" s="6">
        <f ca="1"/>
        <v>0</v>
      </c>
    </row>
    <row r="156" spans="1:10" ht="13" x14ac:dyDescent="0.15">
      <c r="A156" s="6" t="str">
        <f ca="1">IFERROR(__xludf.DUMMYFUNCTION("""COMPUTED_VALUE"""),"Documentation")</f>
        <v>Documentation</v>
      </c>
      <c r="B156" s="6" t="str">
        <f ca="1">IFERROR(__xludf.DUMMYFUNCTION("""COMPUTED_VALUE"""),"Documentation")</f>
        <v>Documentation</v>
      </c>
      <c r="H156" s="6">
        <f ca="1"/>
        <v>0</v>
      </c>
      <c r="I156" s="6">
        <f ca="1"/>
        <v>0</v>
      </c>
      <c r="J156" s="6">
        <f ca="1"/>
        <v>0</v>
      </c>
    </row>
    <row r="157" spans="1:10" ht="13" x14ac:dyDescent="0.15">
      <c r="A157" s="6" t="str">
        <f ca="1">IFERROR(__xludf.DUMMYFUNCTION("""COMPUTED_VALUE"""),"Maintainability")</f>
        <v>Maintainability</v>
      </c>
      <c r="B157" s="6" t="str">
        <f ca="1">IFERROR(__xludf.DUMMYFUNCTION("""COMPUTED_VALUE"""),"Maintainability")</f>
        <v>Maintainability</v>
      </c>
      <c r="H157" s="6">
        <f ca="1"/>
        <v>0</v>
      </c>
      <c r="I157" s="6">
        <f ca="1"/>
        <v>0</v>
      </c>
      <c r="J157" s="6">
        <f ca="1"/>
        <v>0</v>
      </c>
    </row>
    <row r="158" spans="1:10" ht="13" x14ac:dyDescent="0.15">
      <c r="A158" s="6" t="str">
        <f ca="1">IFERROR(__xludf.DUMMYFUNCTION("""COMPUTED_VALUE"""),"Coding Pattern")</f>
        <v>Coding Pattern</v>
      </c>
      <c r="B158" s="6" t="str">
        <f ca="1">IFERROR(__xludf.DUMMYFUNCTION("""COMPUTED_VALUE"""),"Coding Pattern")</f>
        <v>Coding Pattern</v>
      </c>
      <c r="H158" s="6">
        <f ca="1"/>
        <v>0</v>
      </c>
      <c r="I158" s="6">
        <f ca="1"/>
        <v>0</v>
      </c>
      <c r="J158" s="6">
        <f ca="1"/>
        <v>0</v>
      </c>
    </row>
    <row r="159" spans="1:10" ht="13" x14ac:dyDescent="0.15">
      <c r="A159" s="6" t="str">
        <f ca="1">IFERROR(__xludf.DUMMYFUNCTION("""COMPUTED_VALUE"""),"Coding Style")</f>
        <v>Coding Style</v>
      </c>
      <c r="B159" s="6" t="str">
        <f ca="1">IFERROR(__xludf.DUMMYFUNCTION("""COMPUTED_VALUE"""),"Coding Style")</f>
        <v>Coding Style</v>
      </c>
      <c r="H159" s="6">
        <f ca="1"/>
        <v>0</v>
      </c>
      <c r="I159" s="6">
        <f ca="1"/>
        <v>0</v>
      </c>
      <c r="J159" s="6">
        <f ca="1"/>
        <v>0</v>
      </c>
    </row>
    <row r="160" spans="1:10" ht="13" x14ac:dyDescent="0.15">
      <c r="A160" s="6" t="str">
        <f ca="1">IFERROR(__xludf.DUMMYFUNCTION("""COMPUTED_VALUE"""),"Coding Style")</f>
        <v>Coding Style</v>
      </c>
      <c r="B160" s="6" t="str">
        <f ca="1">IFERROR(__xludf.DUMMYFUNCTION("""COMPUTED_VALUE"""),"Coding Style")</f>
        <v>Coding Style</v>
      </c>
      <c r="H160" s="6">
        <f ca="1"/>
        <v>0</v>
      </c>
      <c r="I160" s="6">
        <f ca="1"/>
        <v>0</v>
      </c>
      <c r="J160" s="6">
        <f ca="1"/>
        <v>0</v>
      </c>
    </row>
    <row r="161" spans="1:10" ht="13" x14ac:dyDescent="0.15">
      <c r="A161" s="6" t="str">
        <f ca="1">IFERROR(__xludf.DUMMYFUNCTION("""COMPUTED_VALUE"""),"Coding Style")</f>
        <v>Coding Style</v>
      </c>
      <c r="B161" s="6" t="str">
        <f ca="1">IFERROR(__xludf.DUMMYFUNCTION("""COMPUTED_VALUE"""),"Coding Style")</f>
        <v>Coding Style</v>
      </c>
      <c r="H161" s="6">
        <f ca="1"/>
        <v>0</v>
      </c>
      <c r="I161" s="6">
        <f ca="1"/>
        <v>0</v>
      </c>
      <c r="J161" s="6">
        <f ca="1"/>
        <v>0</v>
      </c>
    </row>
    <row r="162" spans="1:10" ht="13" x14ac:dyDescent="0.15">
      <c r="A162" s="6" t="str">
        <f ca="1">IFERROR(__xludf.DUMMYFUNCTION("""COMPUTED_VALUE"""),"Coding Style")</f>
        <v>Coding Style</v>
      </c>
      <c r="B162" s="6" t="str">
        <f ca="1">IFERROR(__xludf.DUMMYFUNCTION("""COMPUTED_VALUE"""),"Coding Style")</f>
        <v>Coding Style</v>
      </c>
      <c r="H162" s="6">
        <f ca="1"/>
        <v>0</v>
      </c>
      <c r="I162" s="6">
        <f ca="1"/>
        <v>0</v>
      </c>
      <c r="J162" s="6">
        <f ca="1"/>
        <v>0</v>
      </c>
    </row>
    <row r="163" spans="1:10" ht="13" x14ac:dyDescent="0.15">
      <c r="A163" s="6" t="str">
        <f ca="1">IFERROR(__xludf.DUMMYFUNCTION("""COMPUTED_VALUE"""),"Coding Pattern")</f>
        <v>Coding Pattern</v>
      </c>
      <c r="B163" s="6" t="str">
        <f ca="1">IFERROR(__xludf.DUMMYFUNCTION("""COMPUTED_VALUE"""),"Coding Pattern")</f>
        <v>Coding Pattern</v>
      </c>
      <c r="H163" s="6">
        <f ca="1"/>
        <v>0</v>
      </c>
      <c r="I163" s="6">
        <f ca="1"/>
        <v>0</v>
      </c>
      <c r="J163" s="6">
        <f ca="1"/>
        <v>0</v>
      </c>
    </row>
    <row r="164" spans="1:10" ht="13" x14ac:dyDescent="0.15">
      <c r="A164" s="6" t="str">
        <f ca="1">IFERROR(__xludf.DUMMYFUNCTION("""COMPUTED_VALUE"""),"Documentation")</f>
        <v>Documentation</v>
      </c>
      <c r="B164" s="6" t="str">
        <f ca="1">IFERROR(__xludf.DUMMYFUNCTION("""COMPUTED_VALUE"""),"Documentation")</f>
        <v>Documentation</v>
      </c>
      <c r="H164" s="6">
        <f ca="1"/>
        <v>0</v>
      </c>
      <c r="I164" s="6">
        <f ca="1"/>
        <v>0</v>
      </c>
      <c r="J164" s="6">
        <f ca="1"/>
        <v>0</v>
      </c>
    </row>
    <row r="165" spans="1:10" ht="13" x14ac:dyDescent="0.15">
      <c r="A165" s="6" t="str">
        <f ca="1">IFERROR(__xludf.DUMMYFUNCTION("""COMPUTED_VALUE"""),"Task Execution")</f>
        <v>Task Execution</v>
      </c>
      <c r="B165" s="6" t="str">
        <f ca="1">IFERROR(__xludf.DUMMYFUNCTION("""COMPUTED_VALUE"""),"Task Execution")</f>
        <v>Task Execution</v>
      </c>
      <c r="H165" s="6">
        <f ca="1"/>
        <v>0</v>
      </c>
      <c r="I165" s="6">
        <f ca="1"/>
        <v>0</v>
      </c>
      <c r="J165" s="6">
        <f ca="1"/>
        <v>0</v>
      </c>
    </row>
    <row r="166" spans="1:10" ht="13" x14ac:dyDescent="0.15">
      <c r="A166" s="6" t="str">
        <f ca="1">IFERROR(__xludf.DUMMYFUNCTION("""COMPUTED_VALUE"""),"Writing Style Preference")</f>
        <v>Writing Style Preference</v>
      </c>
      <c r="B166" s="6" t="str">
        <f ca="1">IFERROR(__xludf.DUMMYFUNCTION("""COMPUTED_VALUE"""),"Task Execution")</f>
        <v>Task Execution</v>
      </c>
      <c r="H166" s="6">
        <f ca="1"/>
        <v>0</v>
      </c>
      <c r="I166" s="6">
        <f ca="1"/>
        <v>0</v>
      </c>
      <c r="J166" s="6">
        <f ca="1"/>
        <v>0</v>
      </c>
    </row>
    <row r="167" spans="1:10" ht="13" x14ac:dyDescent="0.15">
      <c r="A167" s="6" t="str">
        <f ca="1">IFERROR(__xludf.DUMMYFUNCTION("""COMPUTED_VALUE"""),"Task Execution")</f>
        <v>Task Execution</v>
      </c>
      <c r="B167" s="6" t="str">
        <f ca="1">IFERROR(__xludf.DUMMYFUNCTION("""COMPUTED_VALUE"""),"Task Execution")</f>
        <v>Task Execution</v>
      </c>
      <c r="H167" s="6">
        <f ca="1"/>
        <v>0</v>
      </c>
      <c r="I167" s="6">
        <f ca="1"/>
        <v>0</v>
      </c>
      <c r="J167" s="6">
        <f ca="1"/>
        <v>0</v>
      </c>
    </row>
    <row r="168" spans="1:10" ht="13" x14ac:dyDescent="0.15">
      <c r="A168" s="6" t="str">
        <f ca="1">IFERROR(__xludf.DUMMYFUNCTION("""COMPUTED_VALUE"""),"Task Execution")</f>
        <v>Task Execution</v>
      </c>
      <c r="B168" s="6" t="str">
        <f ca="1">IFERROR(__xludf.DUMMYFUNCTION("""COMPUTED_VALUE"""),"Task Execution")</f>
        <v>Task Execution</v>
      </c>
      <c r="H168" s="6">
        <f ca="1"/>
        <v>0</v>
      </c>
      <c r="I168" s="6">
        <f ca="1"/>
        <v>0</v>
      </c>
      <c r="J168" s="6">
        <f ca="1"/>
        <v>0</v>
      </c>
    </row>
    <row r="169" spans="1:10" ht="13" x14ac:dyDescent="0.15">
      <c r="A169" s="6" t="str">
        <f ca="1">IFERROR(__xludf.DUMMYFUNCTION("""COMPUTED_VALUE"""),"Task Execution")</f>
        <v>Task Execution</v>
      </c>
      <c r="B169" s="6" t="str">
        <f ca="1">IFERROR(__xludf.DUMMYFUNCTION("""COMPUTED_VALUE"""),"Task Execution")</f>
        <v>Task Execution</v>
      </c>
      <c r="H169" s="6">
        <f ca="1"/>
        <v>0</v>
      </c>
      <c r="I169" s="6">
        <f ca="1"/>
        <v>0</v>
      </c>
      <c r="J169" s="6">
        <f ca="1"/>
        <v>0</v>
      </c>
    </row>
    <row r="170" spans="1:10" ht="13" x14ac:dyDescent="0.15">
      <c r="A170" s="6" t="str">
        <f ca="1">IFERROR(__xludf.DUMMYFUNCTION("""COMPUTED_VALUE"""),"Task Execution")</f>
        <v>Task Execution</v>
      </c>
      <c r="B170" s="6" t="str">
        <f ca="1">IFERROR(__xludf.DUMMYFUNCTION("""COMPUTED_VALUE"""),"Task Execution")</f>
        <v>Task Execution</v>
      </c>
      <c r="H170" s="6">
        <f ca="1"/>
        <v>0</v>
      </c>
      <c r="I170" s="6">
        <f ca="1"/>
        <v>0</v>
      </c>
      <c r="J170" s="6">
        <f ca="1"/>
        <v>0</v>
      </c>
    </row>
    <row r="171" spans="1:10" ht="13" x14ac:dyDescent="0.15">
      <c r="A171" s="6" t="str">
        <f ca="1">IFERROR(__xludf.DUMMYFUNCTION("""COMPUTED_VALUE"""),"Task Execution")</f>
        <v>Task Execution</v>
      </c>
      <c r="B171" s="6" t="str">
        <f ca="1">IFERROR(__xludf.DUMMYFUNCTION("""COMPUTED_VALUE"""),"Task Execution")</f>
        <v>Task Execution</v>
      </c>
      <c r="H171" s="6">
        <f ca="1"/>
        <v>0</v>
      </c>
      <c r="I171" s="6">
        <f ca="1"/>
        <v>0</v>
      </c>
      <c r="J171" s="6">
        <f ca="1"/>
        <v>0</v>
      </c>
    </row>
    <row r="172" spans="1:10" ht="13" x14ac:dyDescent="0.15">
      <c r="A172" s="6" t="str">
        <f ca="1">IFERROR(__xludf.DUMMYFUNCTION("""COMPUTED_VALUE"""),"Task Execution")</f>
        <v>Task Execution</v>
      </c>
      <c r="B172" s="6" t="str">
        <f ca="1">IFERROR(__xludf.DUMMYFUNCTION("""COMPUTED_VALUE"""),"Task Execution")</f>
        <v>Task Execution</v>
      </c>
      <c r="H172" s="6">
        <f ca="1"/>
        <v>0</v>
      </c>
      <c r="I172" s="6">
        <f ca="1"/>
        <v>0</v>
      </c>
      <c r="J172" s="6">
        <f ca="1"/>
        <v>0</v>
      </c>
    </row>
    <row r="173" spans="1:10" ht="13" x14ac:dyDescent="0.15">
      <c r="A173" s="6" t="str">
        <f ca="1">IFERROR(__xludf.DUMMYFUNCTION("""COMPUTED_VALUE"""),"Task Execution")</f>
        <v>Task Execution</v>
      </c>
      <c r="B173" s="6" t="str">
        <f ca="1">IFERROR(__xludf.DUMMYFUNCTION("""COMPUTED_VALUE"""),"Task Execution")</f>
        <v>Task Execution</v>
      </c>
      <c r="H173" s="6">
        <f ca="1"/>
        <v>0</v>
      </c>
      <c r="I173" s="6">
        <f ca="1"/>
        <v>0</v>
      </c>
      <c r="J173" s="6">
        <f ca="1"/>
        <v>0</v>
      </c>
    </row>
    <row r="174" spans="1:10" ht="13" x14ac:dyDescent="0.15">
      <c r="A174" s="6" t="str">
        <f ca="1">IFERROR(__xludf.DUMMYFUNCTION("""COMPUTED_VALUE"""),"Task Execution")</f>
        <v>Task Execution</v>
      </c>
      <c r="B174" s="6" t="str">
        <f ca="1">IFERROR(__xludf.DUMMYFUNCTION("""COMPUTED_VALUE"""),"Task Execution")</f>
        <v>Task Execution</v>
      </c>
      <c r="H174" s="6">
        <f ca="1"/>
        <v>0</v>
      </c>
      <c r="I174" s="6">
        <f ca="1"/>
        <v>0</v>
      </c>
      <c r="J174" s="6">
        <f ca="1"/>
        <v>0</v>
      </c>
    </row>
    <row r="175" spans="1:10" ht="13" x14ac:dyDescent="0.15">
      <c r="A175" s="6" t="str">
        <f ca="1">IFERROR(__xludf.DUMMYFUNCTION("""COMPUTED_VALUE"""),"Commit&amp;PR rule")</f>
        <v>Commit&amp;PR rule</v>
      </c>
      <c r="B175" s="6" t="str">
        <f ca="1">IFERROR(__xludf.DUMMYFUNCTION("""COMPUTED_VALUE"""),"Commit&amp;PR rule")</f>
        <v>Commit&amp;PR rule</v>
      </c>
      <c r="H175" s="6">
        <f ca="1"/>
        <v>0</v>
      </c>
      <c r="I175" s="6">
        <f ca="1"/>
        <v>0</v>
      </c>
      <c r="J175" s="6">
        <f ca="1"/>
        <v>0</v>
      </c>
    </row>
    <row r="176" spans="1:10" ht="13" x14ac:dyDescent="0.15">
      <c r="A176" s="6" t="str">
        <f ca="1">IFERROR(__xludf.DUMMYFUNCTION("""COMPUTED_VALUE"""),"Task Execution")</f>
        <v>Task Execution</v>
      </c>
      <c r="B176" s="6" t="str">
        <f ca="1">IFERROR(__xludf.DUMMYFUNCTION("""COMPUTED_VALUE"""),"Task Execution")</f>
        <v>Task Execution</v>
      </c>
      <c r="H176" s="6">
        <f ca="1"/>
        <v>0</v>
      </c>
      <c r="I176" s="6">
        <f ca="1"/>
        <v>0</v>
      </c>
      <c r="J176" s="6">
        <f ca="1"/>
        <v>0</v>
      </c>
    </row>
    <row r="177" spans="1:10" ht="13" x14ac:dyDescent="0.15">
      <c r="A177" s="6" t="str">
        <f ca="1">IFERROR(__xludf.DUMMYFUNCTION("""COMPUTED_VALUE"""),"Documentation")</f>
        <v>Documentation</v>
      </c>
      <c r="B177" s="6" t="str">
        <f ca="1">IFERROR(__xludf.DUMMYFUNCTION("""COMPUTED_VALUE"""),"Documentation")</f>
        <v>Documentation</v>
      </c>
      <c r="H177" s="6">
        <f ca="1"/>
        <v>0</v>
      </c>
      <c r="I177" s="6">
        <f ca="1"/>
        <v>0</v>
      </c>
      <c r="J177" s="6">
        <f ca="1"/>
        <v>0</v>
      </c>
    </row>
    <row r="178" spans="1:10" ht="13" x14ac:dyDescent="0.15">
      <c r="A178" s="6" t="str">
        <f ca="1">IFERROR(__xludf.DUMMYFUNCTION("""COMPUTED_VALUE"""),"Documentation")</f>
        <v>Documentation</v>
      </c>
      <c r="B178" s="6" t="str">
        <f ca="1">IFERROR(__xludf.DUMMYFUNCTION("""COMPUTED_VALUE"""),"Documentation")</f>
        <v>Documentation</v>
      </c>
      <c r="H178" s="6">
        <f ca="1"/>
        <v>0</v>
      </c>
      <c r="I178" s="6">
        <f ca="1"/>
        <v>0</v>
      </c>
      <c r="J178" s="6">
        <f ca="1"/>
        <v>0</v>
      </c>
    </row>
    <row r="179" spans="1:10" ht="13" x14ac:dyDescent="0.15">
      <c r="A179" s="6" t="str">
        <f ca="1">IFERROR(__xludf.DUMMYFUNCTION("""COMPUTED_VALUE"""),"Task Execution")</f>
        <v>Task Execution</v>
      </c>
      <c r="B179" s="6" t="str">
        <f ca="1">IFERROR(__xludf.DUMMYFUNCTION("""COMPUTED_VALUE"""),"Task Execution")</f>
        <v>Task Execution</v>
      </c>
      <c r="H179" s="6">
        <f ca="1"/>
        <v>0</v>
      </c>
      <c r="I179" s="6">
        <f ca="1"/>
        <v>0</v>
      </c>
      <c r="J179" s="6">
        <f ca="1"/>
        <v>0</v>
      </c>
    </row>
    <row r="180" spans="1:10" ht="13" x14ac:dyDescent="0.15">
      <c r="A180" s="6" t="str">
        <f ca="1">IFERROR(__xludf.DUMMYFUNCTION("""COMPUTED_VALUE"""),"Build &amp; Operation")</f>
        <v>Build &amp; Operation</v>
      </c>
      <c r="B180" s="6" t="str">
        <f ca="1">IFERROR(__xludf.DUMMYFUNCTION("""COMPUTED_VALUE"""),"Build &amp; Operation")</f>
        <v>Build &amp; Operation</v>
      </c>
      <c r="H180" s="6">
        <f ca="1"/>
        <v>0</v>
      </c>
      <c r="I180" s="6">
        <f ca="1"/>
        <v>0</v>
      </c>
      <c r="J180" s="6">
        <f ca="1"/>
        <v>0</v>
      </c>
    </row>
    <row r="181" spans="1:10" ht="13" x14ac:dyDescent="0.15">
      <c r="A181" s="6" t="str">
        <f ca="1">IFERROR(__xludf.DUMMYFUNCTION("""COMPUTED_VALUE"""),"Task Execution")</f>
        <v>Task Execution</v>
      </c>
      <c r="B181" s="6" t="str">
        <f ca="1">IFERROR(__xludf.DUMMYFUNCTION("""COMPUTED_VALUE"""),"Task Execution")</f>
        <v>Task Execution</v>
      </c>
      <c r="H181" s="6">
        <f ca="1"/>
        <v>0</v>
      </c>
      <c r="I181" s="6">
        <f ca="1"/>
        <v>0</v>
      </c>
      <c r="J181" s="6">
        <f ca="1"/>
        <v>0</v>
      </c>
    </row>
    <row r="182" spans="1:10" ht="13" x14ac:dyDescent="0.15">
      <c r="A182" s="6" t="str">
        <f ca="1">IFERROR(__xludf.DUMMYFUNCTION("""COMPUTED_VALUE"""),"Build &amp; Operation")</f>
        <v>Build &amp; Operation</v>
      </c>
      <c r="B182" s="6" t="str">
        <f ca="1">IFERROR(__xludf.DUMMYFUNCTION("""COMPUTED_VALUE"""),"Build &amp; Operation")</f>
        <v>Build &amp; Operation</v>
      </c>
      <c r="H182" s="6">
        <f ca="1"/>
        <v>0</v>
      </c>
      <c r="I182" s="6">
        <f ca="1"/>
        <v>0</v>
      </c>
      <c r="J182" s="6">
        <f ca="1"/>
        <v>0</v>
      </c>
    </row>
    <row r="183" spans="1:10" ht="13" x14ac:dyDescent="0.15">
      <c r="A183" s="6" t="str">
        <f ca="1">IFERROR(__xludf.DUMMYFUNCTION("""COMPUTED_VALUE"""),"Task Execution")</f>
        <v>Task Execution</v>
      </c>
      <c r="B183" s="6" t="str">
        <f ca="1">IFERROR(__xludf.DUMMYFUNCTION("""COMPUTED_VALUE"""),"Task Execution")</f>
        <v>Task Execution</v>
      </c>
      <c r="H183" s="6">
        <f ca="1"/>
        <v>0</v>
      </c>
      <c r="I183" s="6">
        <f ca="1"/>
        <v>0</v>
      </c>
      <c r="J183" s="6">
        <f ca="1"/>
        <v>0</v>
      </c>
    </row>
    <row r="184" spans="1:10" ht="13" x14ac:dyDescent="0.15">
      <c r="A184" s="6" t="str">
        <f ca="1">IFERROR(__xludf.DUMMYFUNCTION("""COMPUTED_VALUE"""),"Build &amp; Operation")</f>
        <v>Build &amp; Operation</v>
      </c>
      <c r="B184" s="6" t="str">
        <f ca="1">IFERROR(__xludf.DUMMYFUNCTION("""COMPUTED_VALUE"""),"Build &amp; Operation")</f>
        <v>Build &amp; Operation</v>
      </c>
      <c r="H184" s="6">
        <f ca="1"/>
        <v>0</v>
      </c>
      <c r="I184" s="6">
        <f ca="1"/>
        <v>0</v>
      </c>
      <c r="J184" s="6">
        <f ca="1"/>
        <v>0</v>
      </c>
    </row>
    <row r="185" spans="1:10" ht="13" x14ac:dyDescent="0.15">
      <c r="A185" s="6" t="str">
        <f ca="1">IFERROR(__xludf.DUMMYFUNCTION("""COMPUTED_VALUE"""),"Documentation")</f>
        <v>Documentation</v>
      </c>
      <c r="B185" s="6" t="str">
        <f ca="1">IFERROR(__xludf.DUMMYFUNCTION("""COMPUTED_VALUE"""),"Documentation")</f>
        <v>Documentation</v>
      </c>
      <c r="H185" s="6">
        <f ca="1"/>
        <v>0</v>
      </c>
      <c r="I185" s="6">
        <f ca="1"/>
        <v>0</v>
      </c>
      <c r="J185" s="6">
        <f ca="1"/>
        <v>0</v>
      </c>
    </row>
    <row r="186" spans="1:10" ht="13" x14ac:dyDescent="0.15">
      <c r="A186" s="6" t="str">
        <f ca="1">IFERROR(__xludf.DUMMYFUNCTION("""COMPUTED_VALUE"""),"Writing Style Preference")</f>
        <v>Writing Style Preference</v>
      </c>
      <c r="B186" s="6" t="str">
        <f ca="1">IFERROR(__xludf.DUMMYFUNCTION("""COMPUTED_VALUE"""),"Writing Style Preference")</f>
        <v>Writing Style Preference</v>
      </c>
      <c r="H186" s="6">
        <f ca="1"/>
        <v>0</v>
      </c>
      <c r="I186" s="6">
        <f ca="1"/>
        <v>0</v>
      </c>
      <c r="J186" s="6">
        <f ca="1"/>
        <v>0</v>
      </c>
    </row>
    <row r="187" spans="1:10" ht="13" x14ac:dyDescent="0.15">
      <c r="A187" s="6" t="str">
        <f ca="1">IFERROR(__xludf.DUMMYFUNCTION("""COMPUTED_VALUE"""),"Writing Style Preference")</f>
        <v>Writing Style Preference</v>
      </c>
      <c r="B187" s="6" t="str">
        <f ca="1">IFERROR(__xludf.DUMMYFUNCTION("""COMPUTED_VALUE"""),"Writing Style Preference")</f>
        <v>Writing Style Preference</v>
      </c>
      <c r="H187" s="6">
        <f ca="1"/>
        <v>0</v>
      </c>
      <c r="I187" s="6">
        <f ca="1"/>
        <v>0</v>
      </c>
      <c r="J187" s="6">
        <f ca="1"/>
        <v>0</v>
      </c>
    </row>
    <row r="188" spans="1:10" ht="13" x14ac:dyDescent="0.15">
      <c r="A188" s="6" t="str">
        <f ca="1">IFERROR(__xludf.DUMMYFUNCTION("""COMPUTED_VALUE"""),"Maintainability")</f>
        <v>Maintainability</v>
      </c>
      <c r="B188" s="6" t="str">
        <f ca="1">IFERROR(__xludf.DUMMYFUNCTION("""COMPUTED_VALUE"""),"Maintainability")</f>
        <v>Maintainability</v>
      </c>
      <c r="H188" s="6">
        <f ca="1"/>
        <v>0</v>
      </c>
      <c r="I188" s="6">
        <f ca="1"/>
        <v>0</v>
      </c>
      <c r="J188" s="6">
        <f ca="1"/>
        <v>0</v>
      </c>
    </row>
    <row r="189" spans="1:10" ht="13" x14ac:dyDescent="0.15">
      <c r="A189" s="6" t="str">
        <f ca="1">IFERROR(__xludf.DUMMYFUNCTION("""COMPUTED_VALUE"""),"Testing")</f>
        <v>Testing</v>
      </c>
      <c r="B189" s="6" t="str">
        <f ca="1">IFERROR(__xludf.DUMMYFUNCTION("""COMPUTED_VALUE"""),"Testing")</f>
        <v>Testing</v>
      </c>
      <c r="H189" s="6">
        <f ca="1"/>
        <v>0</v>
      </c>
      <c r="I189" s="6">
        <f ca="1"/>
        <v>0</v>
      </c>
      <c r="J189" s="6">
        <f ca="1"/>
        <v>0</v>
      </c>
    </row>
    <row r="190" spans="1:10" ht="13" x14ac:dyDescent="0.15">
      <c r="A190" s="6" t="str">
        <f ca="1">IFERROR(__xludf.DUMMYFUNCTION("""COMPUTED_VALUE"""),"Testing")</f>
        <v>Testing</v>
      </c>
      <c r="B190" s="6" t="str">
        <f ca="1">IFERROR(__xludf.DUMMYFUNCTION("""COMPUTED_VALUE"""),"Testing")</f>
        <v>Testing</v>
      </c>
      <c r="H190" s="6">
        <f ca="1"/>
        <v>0</v>
      </c>
      <c r="I190" s="6">
        <f ca="1"/>
        <v>0</v>
      </c>
      <c r="J190" s="6">
        <f ca="1"/>
        <v>0</v>
      </c>
    </row>
    <row r="191" spans="1:10" ht="13" x14ac:dyDescent="0.15">
      <c r="A191" s="6" t="str">
        <f ca="1">IFERROR(__xludf.DUMMYFUNCTION("""COMPUTED_VALUE"""),"Maintainability")</f>
        <v>Maintainability</v>
      </c>
      <c r="B191" s="6" t="str">
        <f ca="1">IFERROR(__xludf.DUMMYFUNCTION("""COMPUTED_VALUE"""),"Coding Pattern")</f>
        <v>Coding Pattern</v>
      </c>
      <c r="H191" s="6">
        <f ca="1"/>
        <v>0</v>
      </c>
      <c r="I191" s="6">
        <f ca="1"/>
        <v>0</v>
      </c>
      <c r="J191" s="6">
        <f ca="1"/>
        <v>0</v>
      </c>
    </row>
    <row r="192" spans="1:10" ht="13" x14ac:dyDescent="0.15">
      <c r="A192" s="6" t="str">
        <f ca="1">IFERROR(__xludf.DUMMYFUNCTION("""COMPUTED_VALUE"""),"Coding Pattern")</f>
        <v>Coding Pattern</v>
      </c>
      <c r="B192" s="6" t="str">
        <f ca="1">IFERROR(__xludf.DUMMYFUNCTION("""COMPUTED_VALUE"""),"Coding Pattern")</f>
        <v>Coding Pattern</v>
      </c>
      <c r="H192" s="6">
        <f ca="1"/>
        <v>0</v>
      </c>
      <c r="I192" s="6">
        <f ca="1"/>
        <v>0</v>
      </c>
      <c r="J192" s="6">
        <f ca="1"/>
        <v>0</v>
      </c>
    </row>
    <row r="193" spans="1:10" ht="13" x14ac:dyDescent="0.15">
      <c r="A193" s="6" t="str">
        <f ca="1">IFERROR(__xludf.DUMMYFUNCTION("""COMPUTED_VALUE"""),"Commit&amp;PR rule")</f>
        <v>Commit&amp;PR rule</v>
      </c>
      <c r="B193" s="6" t="str">
        <f ca="1">IFERROR(__xludf.DUMMYFUNCTION("""COMPUTED_VALUE"""),"Commit&amp;PR rule")</f>
        <v>Commit&amp;PR rule</v>
      </c>
      <c r="H193" s="6">
        <f ca="1"/>
        <v>0</v>
      </c>
      <c r="I193" s="6">
        <f ca="1"/>
        <v>0</v>
      </c>
      <c r="J193" s="6">
        <f ca="1"/>
        <v>0</v>
      </c>
    </row>
    <row r="194" spans="1:10" ht="13" x14ac:dyDescent="0.15">
      <c r="A194" s="6" t="str">
        <f ca="1">IFERROR(__xludf.DUMMYFUNCTION("""COMPUTED_VALUE"""),"Maintainability")</f>
        <v>Maintainability</v>
      </c>
      <c r="B194" s="6" t="str">
        <f ca="1">IFERROR(__xludf.DUMMYFUNCTION("""COMPUTED_VALUE"""),"Maintainability")</f>
        <v>Maintainability</v>
      </c>
      <c r="H194" s="6">
        <f ca="1"/>
        <v>0</v>
      </c>
      <c r="I194" s="6">
        <f ca="1"/>
        <v>0</v>
      </c>
      <c r="J194" s="6">
        <f ca="1"/>
        <v>0</v>
      </c>
    </row>
    <row r="195" spans="1:10" ht="13" x14ac:dyDescent="0.15">
      <c r="A195" s="6" t="str">
        <f ca="1">IFERROR(__xludf.DUMMYFUNCTION("""COMPUTED_VALUE"""),"Coding Pattern")</f>
        <v>Coding Pattern</v>
      </c>
      <c r="B195" s="6" t="str">
        <f ca="1">IFERROR(__xludf.DUMMYFUNCTION("""COMPUTED_VALUE"""),"Coding Pattern")</f>
        <v>Coding Pattern</v>
      </c>
      <c r="H195" s="6">
        <f ca="1"/>
        <v>0</v>
      </c>
      <c r="I195" s="6">
        <f ca="1"/>
        <v>0</v>
      </c>
      <c r="J195" s="6">
        <f ca="1"/>
        <v>0</v>
      </c>
    </row>
    <row r="196" spans="1:10" ht="13" x14ac:dyDescent="0.15">
      <c r="A196" s="6" t="str">
        <f ca="1">IFERROR(__xludf.DUMMYFUNCTION("""COMPUTED_VALUE"""),"Build &amp; Operation")</f>
        <v>Build &amp; Operation</v>
      </c>
      <c r="B196" s="6" t="str">
        <f ca="1">IFERROR(__xludf.DUMMYFUNCTION("""COMPUTED_VALUE"""),"Build &amp; Operation")</f>
        <v>Build &amp; Operation</v>
      </c>
      <c r="H196" s="6">
        <f ca="1"/>
        <v>0</v>
      </c>
      <c r="I196" s="6">
        <f ca="1"/>
        <v>0</v>
      </c>
      <c r="J196" s="6">
        <f ca="1"/>
        <v>0</v>
      </c>
    </row>
    <row r="197" spans="1:10" ht="13" x14ac:dyDescent="0.15">
      <c r="A197" s="6" t="str">
        <f ca="1">IFERROR(__xludf.DUMMYFUNCTION("""COMPUTED_VALUE"""),"Task Execution")</f>
        <v>Task Execution</v>
      </c>
      <c r="B197" s="6" t="str">
        <f ca="1">IFERROR(__xludf.DUMMYFUNCTION("""COMPUTED_VALUE"""),"Task Execution")</f>
        <v>Task Execution</v>
      </c>
      <c r="H197" s="6">
        <f ca="1"/>
        <v>0</v>
      </c>
      <c r="I197" s="6">
        <f ca="1"/>
        <v>0</v>
      </c>
      <c r="J197" s="6">
        <f ca="1"/>
        <v>0</v>
      </c>
    </row>
    <row r="198" spans="1:10" ht="13" x14ac:dyDescent="0.15">
      <c r="A198" s="6" t="str">
        <f ca="1">IFERROR(__xludf.DUMMYFUNCTION("""COMPUTED_VALUE"""),"Coding Pattern")</f>
        <v>Coding Pattern</v>
      </c>
      <c r="B198" s="6" t="str">
        <f ca="1">IFERROR(__xludf.DUMMYFUNCTION("""COMPUTED_VALUE"""),"Coding Pattern")</f>
        <v>Coding Pattern</v>
      </c>
      <c r="H198" s="6">
        <f ca="1"/>
        <v>0</v>
      </c>
      <c r="I198" s="6">
        <f ca="1"/>
        <v>0</v>
      </c>
      <c r="J198" s="6">
        <f ca="1"/>
        <v>0</v>
      </c>
    </row>
    <row r="199" spans="1:10" ht="13" x14ac:dyDescent="0.15">
      <c r="A199" s="6" t="str">
        <f ca="1">IFERROR(__xludf.DUMMYFUNCTION("""COMPUTED_VALUE"""),"Task Execution")</f>
        <v>Task Execution</v>
      </c>
      <c r="B199" s="6" t="str">
        <f ca="1">IFERROR(__xludf.DUMMYFUNCTION("""COMPUTED_VALUE"""),"Task Execution")</f>
        <v>Task Execution</v>
      </c>
      <c r="H199" s="6">
        <f ca="1"/>
        <v>0</v>
      </c>
      <c r="I199" s="6">
        <f ca="1"/>
        <v>0</v>
      </c>
      <c r="J199" s="6">
        <f ca="1"/>
        <v>0</v>
      </c>
    </row>
    <row r="200" spans="1:10" ht="13" x14ac:dyDescent="0.15">
      <c r="A200" s="6" t="str">
        <f ca="1">IFERROR(__xludf.DUMMYFUNCTION("""COMPUTED_VALUE"""),"Coding Style")</f>
        <v>Coding Style</v>
      </c>
      <c r="B200" s="6" t="str">
        <f ca="1">IFERROR(__xludf.DUMMYFUNCTION("""COMPUTED_VALUE"""),"Coding Style")</f>
        <v>Coding Style</v>
      </c>
      <c r="H200" s="6">
        <f ca="1"/>
        <v>0</v>
      </c>
      <c r="I200" s="6">
        <f ca="1"/>
        <v>0</v>
      </c>
      <c r="J200" s="6">
        <f ca="1"/>
        <v>0</v>
      </c>
    </row>
    <row r="201" spans="1:10" ht="13" x14ac:dyDescent="0.15">
      <c r="A201" s="6" t="str">
        <f ca="1">IFERROR(__xludf.DUMMYFUNCTION("""COMPUTED_VALUE"""),"Testing")</f>
        <v>Testing</v>
      </c>
      <c r="B201" s="6" t="str">
        <f ca="1">IFERROR(__xludf.DUMMYFUNCTION("""COMPUTED_VALUE"""),"Testing")</f>
        <v>Testing</v>
      </c>
      <c r="H201" s="6">
        <f ca="1"/>
        <v>0</v>
      </c>
      <c r="I201" s="6">
        <f ca="1"/>
        <v>0</v>
      </c>
      <c r="J201" s="6">
        <f ca="1"/>
        <v>0</v>
      </c>
    </row>
    <row r="202" spans="1:10" ht="13" x14ac:dyDescent="0.15">
      <c r="A202" s="6" t="str">
        <f ca="1">IFERROR(__xludf.DUMMYFUNCTION("""COMPUTED_VALUE"""),"Coding Pattern")</f>
        <v>Coding Pattern</v>
      </c>
      <c r="B202" s="6" t="str">
        <f ca="1">IFERROR(__xludf.DUMMYFUNCTION("""COMPUTED_VALUE"""),"Coding Pattern")</f>
        <v>Coding Pattern</v>
      </c>
      <c r="H202" s="6">
        <f ca="1"/>
        <v>0</v>
      </c>
      <c r="I202" s="6">
        <f ca="1"/>
        <v>0</v>
      </c>
      <c r="J202" s="6">
        <f ca="1"/>
        <v>0</v>
      </c>
    </row>
    <row r="203" spans="1:10" ht="13" x14ac:dyDescent="0.15">
      <c r="A203" s="6" t="str">
        <f ca="1">IFERROR(__xludf.DUMMYFUNCTION("""COMPUTED_VALUE"""),"Testing")</f>
        <v>Testing</v>
      </c>
      <c r="B203" s="6" t="str">
        <f ca="1">IFERROR(__xludf.DUMMYFUNCTION("""COMPUTED_VALUE"""),"Testing")</f>
        <v>Testing</v>
      </c>
      <c r="H203" s="6">
        <f ca="1"/>
        <v>0</v>
      </c>
      <c r="I203" s="6">
        <f ca="1"/>
        <v>0</v>
      </c>
      <c r="J203" s="6">
        <f ca="1"/>
        <v>0</v>
      </c>
    </row>
    <row r="204" spans="1:10" ht="13" x14ac:dyDescent="0.15">
      <c r="A204" s="6" t="str">
        <f ca="1">IFERROR(__xludf.DUMMYFUNCTION("""COMPUTED_VALUE"""),"Maintainability")</f>
        <v>Maintainability</v>
      </c>
      <c r="B204" s="6" t="str">
        <f ca="1">IFERROR(__xludf.DUMMYFUNCTION("""COMPUTED_VALUE"""),"Maintainability")</f>
        <v>Maintainability</v>
      </c>
      <c r="H204" s="6">
        <f ca="1"/>
        <v>0</v>
      </c>
      <c r="I204" s="6">
        <f ca="1"/>
        <v>0</v>
      </c>
      <c r="J204" s="6">
        <f ca="1"/>
        <v>0</v>
      </c>
    </row>
    <row r="205" spans="1:10" ht="13" x14ac:dyDescent="0.15">
      <c r="A205" s="6" t="str">
        <f ca="1">IFERROR(__xludf.DUMMYFUNCTION("""COMPUTED_VALUE"""),"Coding Pattern")</f>
        <v>Coding Pattern</v>
      </c>
      <c r="B205" s="6" t="str">
        <f ca="1">IFERROR(__xludf.DUMMYFUNCTION("""COMPUTED_VALUE"""),"Coding Pattern")</f>
        <v>Coding Pattern</v>
      </c>
      <c r="H205" s="6">
        <f ca="1"/>
        <v>0</v>
      </c>
      <c r="I205" s="6">
        <f ca="1"/>
        <v>0</v>
      </c>
      <c r="J205" s="6">
        <f ca="1"/>
        <v>0</v>
      </c>
    </row>
    <row r="206" spans="1:10" ht="13" x14ac:dyDescent="0.15">
      <c r="A206" s="6" t="str">
        <f ca="1">IFERROR(__xludf.DUMMYFUNCTION("""COMPUTED_VALUE"""),"Task Execution")</f>
        <v>Task Execution</v>
      </c>
      <c r="B206" s="6" t="str">
        <f ca="1">IFERROR(__xludf.DUMMYFUNCTION("""COMPUTED_VALUE"""),"Task Execution")</f>
        <v>Task Execution</v>
      </c>
      <c r="H206" s="6">
        <f ca="1"/>
        <v>0</v>
      </c>
      <c r="I206" s="6">
        <f ca="1"/>
        <v>0</v>
      </c>
      <c r="J206" s="6">
        <f ca="1"/>
        <v>0</v>
      </c>
    </row>
    <row r="207" spans="1:10" ht="13" x14ac:dyDescent="0.15">
      <c r="A207" s="6" t="str">
        <f ca="1">IFERROR(__xludf.DUMMYFUNCTION("""COMPUTED_VALUE"""),"Coding Pattern")</f>
        <v>Coding Pattern</v>
      </c>
      <c r="B207" s="6" t="str">
        <f ca="1">IFERROR(__xludf.DUMMYFUNCTION("""COMPUTED_VALUE"""),"Coding Pattern")</f>
        <v>Coding Pattern</v>
      </c>
      <c r="H207" s="6">
        <f ca="1"/>
        <v>0</v>
      </c>
      <c r="I207" s="6">
        <f ca="1"/>
        <v>0</v>
      </c>
      <c r="J207" s="6">
        <f ca="1"/>
        <v>0</v>
      </c>
    </row>
    <row r="208" spans="1:10" ht="13" x14ac:dyDescent="0.15">
      <c r="A208" s="6" t="str">
        <f ca="1">IFERROR(__xludf.DUMMYFUNCTION("""COMPUTED_VALUE"""),"Task Execution")</f>
        <v>Task Execution</v>
      </c>
      <c r="B208" s="6" t="str">
        <f ca="1">IFERROR(__xludf.DUMMYFUNCTION("""COMPUTED_VALUE"""),"Task Execution")</f>
        <v>Task Execution</v>
      </c>
      <c r="H208" s="6">
        <f ca="1"/>
        <v>0</v>
      </c>
      <c r="I208" s="6">
        <f ca="1"/>
        <v>0</v>
      </c>
      <c r="J208" s="6">
        <f ca="1"/>
        <v>0</v>
      </c>
    </row>
    <row r="209" spans="1:10" ht="13" x14ac:dyDescent="0.15">
      <c r="A209" s="6" t="str">
        <f ca="1">IFERROR(__xludf.DUMMYFUNCTION("""COMPUTED_VALUE"""),"Task Execution")</f>
        <v>Task Execution</v>
      </c>
      <c r="B209" s="6" t="str">
        <f ca="1">IFERROR(__xludf.DUMMYFUNCTION("""COMPUTED_VALUE"""),"Task Execution")</f>
        <v>Task Execution</v>
      </c>
      <c r="H209" s="6">
        <f ca="1"/>
        <v>0</v>
      </c>
      <c r="I209" s="6">
        <f ca="1"/>
        <v>0</v>
      </c>
      <c r="J209" s="6">
        <f ca="1"/>
        <v>0</v>
      </c>
    </row>
    <row r="210" spans="1:10" ht="13" x14ac:dyDescent="0.15">
      <c r="A210" s="6" t="str">
        <f ca="1">IFERROR(__xludf.DUMMYFUNCTION("""COMPUTED_VALUE"""),"Task Execution")</f>
        <v>Task Execution</v>
      </c>
      <c r="B210" s="6" t="str">
        <f ca="1">IFERROR(__xludf.DUMMYFUNCTION("""COMPUTED_VALUE"""),"Task Execution")</f>
        <v>Task Execution</v>
      </c>
      <c r="H210" s="6">
        <f ca="1"/>
        <v>0</v>
      </c>
      <c r="I210" s="6">
        <f ca="1"/>
        <v>0</v>
      </c>
      <c r="J210" s="6">
        <f ca="1"/>
        <v>0</v>
      </c>
    </row>
    <row r="211" spans="1:10" ht="13" x14ac:dyDescent="0.15">
      <c r="A211" s="6" t="str">
        <f ca="1">IFERROR(__xludf.DUMMYFUNCTION("""COMPUTED_VALUE"""),"Task Execution")</f>
        <v>Task Execution</v>
      </c>
      <c r="B211" s="6" t="str">
        <f ca="1">IFERROR(__xludf.DUMMYFUNCTION("""COMPUTED_VALUE"""),"Task Execution")</f>
        <v>Task Execution</v>
      </c>
      <c r="H211" s="6">
        <f ca="1"/>
        <v>0</v>
      </c>
      <c r="I211" s="6">
        <f ca="1"/>
        <v>0</v>
      </c>
      <c r="J211" s="6">
        <f ca="1"/>
        <v>0</v>
      </c>
    </row>
    <row r="212" spans="1:10" ht="13" x14ac:dyDescent="0.15">
      <c r="A212" s="6" t="str">
        <f ca="1">IFERROR(__xludf.DUMMYFUNCTION("""COMPUTED_VALUE"""),"Commit&amp;PR rule")</f>
        <v>Commit&amp;PR rule</v>
      </c>
      <c r="B212" s="6" t="str">
        <f ca="1">IFERROR(__xludf.DUMMYFUNCTION("""COMPUTED_VALUE"""),"Commit&amp;PR rule")</f>
        <v>Commit&amp;PR rule</v>
      </c>
      <c r="H212" s="6">
        <f ca="1"/>
        <v>0</v>
      </c>
      <c r="I212" s="6">
        <f ca="1"/>
        <v>0</v>
      </c>
      <c r="J212" s="6">
        <f ca="1"/>
        <v>0</v>
      </c>
    </row>
    <row r="213" spans="1:10" ht="13" x14ac:dyDescent="0.15">
      <c r="A213" s="6" t="str">
        <f ca="1">IFERROR(__xludf.DUMMYFUNCTION("""COMPUTED_VALUE"""),"Coding Style")</f>
        <v>Coding Style</v>
      </c>
      <c r="B213" s="6" t="str">
        <f ca="1">IFERROR(__xludf.DUMMYFUNCTION("""COMPUTED_VALUE"""),"Coding Style")</f>
        <v>Coding Style</v>
      </c>
      <c r="H213" s="6">
        <f ca="1"/>
        <v>0</v>
      </c>
      <c r="I213" s="6">
        <f ca="1"/>
        <v>0</v>
      </c>
      <c r="J213" s="6">
        <f ca="1"/>
        <v>0</v>
      </c>
    </row>
    <row r="214" spans="1:10" ht="13" x14ac:dyDescent="0.15">
      <c r="A214" s="6" t="str">
        <f ca="1">IFERROR(__xludf.DUMMYFUNCTION("""COMPUTED_VALUE"""),"Coding Pattern")</f>
        <v>Coding Pattern</v>
      </c>
      <c r="B214" s="6" t="str">
        <f ca="1">IFERROR(__xludf.DUMMYFUNCTION("""COMPUTED_VALUE"""),"Coding Pattern")</f>
        <v>Coding Pattern</v>
      </c>
      <c r="H214" s="6">
        <f ca="1"/>
        <v>0</v>
      </c>
      <c r="I214" s="6">
        <f ca="1"/>
        <v>0</v>
      </c>
      <c r="J214" s="6">
        <f ca="1"/>
        <v>0</v>
      </c>
    </row>
    <row r="215" spans="1:10" ht="13" x14ac:dyDescent="0.15">
      <c r="A215" s="6" t="str">
        <f ca="1">IFERROR(__xludf.DUMMYFUNCTION("""COMPUTED_VALUE"""),"Commit&amp;PR rule")</f>
        <v>Commit&amp;PR rule</v>
      </c>
      <c r="B215" s="6" t="str">
        <f ca="1">IFERROR(__xludf.DUMMYFUNCTION("""COMPUTED_VALUE"""),"Commit&amp;PR rule")</f>
        <v>Commit&amp;PR rule</v>
      </c>
      <c r="H215" s="6">
        <f ca="1"/>
        <v>0</v>
      </c>
      <c r="I215" s="6">
        <f ca="1"/>
        <v>0</v>
      </c>
      <c r="J215" s="6">
        <f ca="1"/>
        <v>0</v>
      </c>
    </row>
    <row r="216" spans="1:10" ht="13" x14ac:dyDescent="0.15">
      <c r="A216" s="6" t="str">
        <f ca="1">IFERROR(__xludf.DUMMYFUNCTION("""COMPUTED_VALUE"""),"Commit&amp;PR rule")</f>
        <v>Commit&amp;PR rule</v>
      </c>
      <c r="B216" s="6" t="str">
        <f ca="1">IFERROR(__xludf.DUMMYFUNCTION("""COMPUTED_VALUE"""),"Commit&amp;PR rule")</f>
        <v>Commit&amp;PR rule</v>
      </c>
      <c r="H216" s="6">
        <f ca="1"/>
        <v>0</v>
      </c>
      <c r="I216" s="6">
        <f ca="1"/>
        <v>0</v>
      </c>
      <c r="J216" s="6">
        <f ca="1"/>
        <v>0</v>
      </c>
    </row>
    <row r="217" spans="1:10" ht="13" x14ac:dyDescent="0.15">
      <c r="A217" s="6" t="str">
        <f ca="1">IFERROR(__xludf.DUMMYFUNCTION("""COMPUTED_VALUE"""),"Commit&amp;PR rule")</f>
        <v>Commit&amp;PR rule</v>
      </c>
      <c r="B217" s="6" t="str">
        <f ca="1">IFERROR(__xludf.DUMMYFUNCTION("""COMPUTED_VALUE"""),"Commit&amp;PR rule")</f>
        <v>Commit&amp;PR rule</v>
      </c>
      <c r="H217" s="6">
        <f ca="1"/>
        <v>0</v>
      </c>
      <c r="I217" s="6">
        <f ca="1"/>
        <v>0</v>
      </c>
      <c r="J217" s="6">
        <f ca="1"/>
        <v>0</v>
      </c>
    </row>
    <row r="218" spans="1:10" ht="13" x14ac:dyDescent="0.15">
      <c r="A218" s="6" t="str">
        <f ca="1">IFERROR(__xludf.DUMMYFUNCTION("""COMPUTED_VALUE"""),"Security")</f>
        <v>Security</v>
      </c>
      <c r="B218" s="6" t="str">
        <f ca="1">IFERROR(__xludf.DUMMYFUNCTION("""COMPUTED_VALUE"""),"Security")</f>
        <v>Security</v>
      </c>
      <c r="H218" s="6">
        <f ca="1"/>
        <v>0</v>
      </c>
      <c r="I218" s="6">
        <f ca="1"/>
        <v>0</v>
      </c>
      <c r="J218" s="6">
        <f ca="1"/>
        <v>0</v>
      </c>
    </row>
    <row r="219" spans="1:10" ht="13" x14ac:dyDescent="0.15">
      <c r="A219" s="6" t="str">
        <f ca="1">IFERROR(__xludf.DUMMYFUNCTION("""COMPUTED_VALUE"""),"Build &amp; Operation")</f>
        <v>Build &amp; Operation</v>
      </c>
      <c r="B219" s="6" t="str">
        <f ca="1">IFERROR(__xludf.DUMMYFUNCTION("""COMPUTED_VALUE"""),"Build &amp; Operation")</f>
        <v>Build &amp; Operation</v>
      </c>
      <c r="H219" s="6">
        <f ca="1"/>
        <v>0</v>
      </c>
      <c r="I219" s="6">
        <f ca="1"/>
        <v>0</v>
      </c>
      <c r="J219" s="6">
        <f ca="1"/>
        <v>0</v>
      </c>
    </row>
    <row r="220" spans="1:10" ht="13" x14ac:dyDescent="0.15">
      <c r="A220" s="6" t="str">
        <f ca="1">IFERROR(__xludf.DUMMYFUNCTION("""COMPUTED_VALUE"""),"Commit&amp;PR rule")</f>
        <v>Commit&amp;PR rule</v>
      </c>
      <c r="B220" s="6" t="str">
        <f ca="1">IFERROR(__xludf.DUMMYFUNCTION("""COMPUTED_VALUE"""),"Commit&amp;PR rule")</f>
        <v>Commit&amp;PR rule</v>
      </c>
      <c r="H220" s="6">
        <f ca="1"/>
        <v>0</v>
      </c>
      <c r="I220" s="6">
        <f ca="1"/>
        <v>0</v>
      </c>
      <c r="J220" s="6">
        <f ca="1"/>
        <v>0</v>
      </c>
    </row>
    <row r="221" spans="1:10" ht="13" x14ac:dyDescent="0.15">
      <c r="A221" s="6" t="str">
        <f ca="1">IFERROR(__xludf.DUMMYFUNCTION("""COMPUTED_VALUE"""),"Build &amp; Operation")</f>
        <v>Build &amp; Operation</v>
      </c>
      <c r="B221" s="6" t="str">
        <f ca="1">IFERROR(__xludf.DUMMYFUNCTION("""COMPUTED_VALUE"""),"Build &amp; Operation")</f>
        <v>Build &amp; Operation</v>
      </c>
      <c r="H221" s="6">
        <f ca="1"/>
        <v>0</v>
      </c>
      <c r="I221" s="6">
        <f ca="1"/>
        <v>0</v>
      </c>
      <c r="J221" s="6">
        <f ca="1"/>
        <v>0</v>
      </c>
    </row>
    <row r="222" spans="1:10" ht="13" x14ac:dyDescent="0.15">
      <c r="A222" s="6" t="str">
        <f ca="1">IFERROR(__xludf.DUMMYFUNCTION("""COMPUTED_VALUE"""),"Documentation")</f>
        <v>Documentation</v>
      </c>
      <c r="B222" s="6" t="str">
        <f ca="1">IFERROR(__xludf.DUMMYFUNCTION("""COMPUTED_VALUE"""),"Documentation")</f>
        <v>Documentation</v>
      </c>
      <c r="H222" s="6">
        <f ca="1"/>
        <v>0</v>
      </c>
      <c r="I222" s="6">
        <f ca="1"/>
        <v>0</v>
      </c>
      <c r="J222" s="6">
        <f ca="1"/>
        <v>0</v>
      </c>
    </row>
    <row r="223" spans="1:10" ht="13" x14ac:dyDescent="0.15">
      <c r="A223" s="6" t="str">
        <f ca="1">IFERROR(__xludf.DUMMYFUNCTION("""COMPUTED_VALUE"""),"Commit&amp;PR rule")</f>
        <v>Commit&amp;PR rule</v>
      </c>
      <c r="B223" s="6" t="str">
        <f ca="1">IFERROR(__xludf.DUMMYFUNCTION("""COMPUTED_VALUE"""),"Commit&amp;PR rule")</f>
        <v>Commit&amp;PR rule</v>
      </c>
      <c r="H223" s="6">
        <f ca="1"/>
        <v>0</v>
      </c>
      <c r="I223" s="6">
        <f ca="1"/>
        <v>0</v>
      </c>
      <c r="J223" s="6">
        <f ca="1"/>
        <v>0</v>
      </c>
    </row>
    <row r="224" spans="1:10" ht="13" x14ac:dyDescent="0.15">
      <c r="A224" s="6" t="str">
        <f ca="1">IFERROR(__xludf.DUMMYFUNCTION("""COMPUTED_VALUE"""),"Task Execution")</f>
        <v>Task Execution</v>
      </c>
      <c r="B224" s="6" t="str">
        <f ca="1">IFERROR(__xludf.DUMMYFUNCTION("""COMPUTED_VALUE"""),"Task Execution")</f>
        <v>Task Execution</v>
      </c>
      <c r="H224" s="6">
        <f ca="1"/>
        <v>0</v>
      </c>
      <c r="I224" s="6">
        <f ca="1"/>
        <v>0</v>
      </c>
      <c r="J224" s="6">
        <f ca="1"/>
        <v>0</v>
      </c>
    </row>
    <row r="225" spans="1:10" ht="13" x14ac:dyDescent="0.15">
      <c r="A225" s="6" t="str">
        <f ca="1">IFERROR(__xludf.DUMMYFUNCTION("""COMPUTED_VALUE"""),"Commit&amp;PR rule")</f>
        <v>Commit&amp;PR rule</v>
      </c>
      <c r="B225" s="6" t="str">
        <f ca="1">IFERROR(__xludf.DUMMYFUNCTION("""COMPUTED_VALUE"""),"Commit&amp;PR rule")</f>
        <v>Commit&amp;PR rule</v>
      </c>
      <c r="H225" s="6">
        <f ca="1"/>
        <v>0</v>
      </c>
      <c r="I225" s="6">
        <f ca="1"/>
        <v>0</v>
      </c>
      <c r="J225" s="6">
        <f ca="1"/>
        <v>0</v>
      </c>
    </row>
    <row r="226" spans="1:10" ht="13" x14ac:dyDescent="0.15">
      <c r="A226" s="6" t="str">
        <f ca="1">IFERROR(__xludf.DUMMYFUNCTION("""COMPUTED_VALUE"""),"Task Execution")</f>
        <v>Task Execution</v>
      </c>
      <c r="B226" s="6" t="str">
        <f ca="1">IFERROR(__xludf.DUMMYFUNCTION("""COMPUTED_VALUE"""),"Task Execution")</f>
        <v>Task Execution</v>
      </c>
      <c r="H226" s="6">
        <f ca="1"/>
        <v>0</v>
      </c>
      <c r="I226" s="6">
        <f ca="1"/>
        <v>0</v>
      </c>
      <c r="J226" s="6">
        <f ca="1"/>
        <v>0</v>
      </c>
    </row>
    <row r="227" spans="1:10" ht="13" x14ac:dyDescent="0.15">
      <c r="A227" s="6" t="str">
        <f ca="1">IFERROR(__xludf.DUMMYFUNCTION("""COMPUTED_VALUE"""),"Documentation")</f>
        <v>Documentation</v>
      </c>
      <c r="B227" s="6" t="str">
        <f ca="1">IFERROR(__xludf.DUMMYFUNCTION("""COMPUTED_VALUE"""),"Documentation")</f>
        <v>Documentation</v>
      </c>
      <c r="H227" s="6">
        <f ca="1"/>
        <v>0</v>
      </c>
      <c r="I227" s="6">
        <f ca="1"/>
        <v>0</v>
      </c>
      <c r="J227" s="6">
        <f ca="1"/>
        <v>0</v>
      </c>
    </row>
    <row r="228" spans="1:10" ht="13" x14ac:dyDescent="0.15">
      <c r="A228" s="6" t="str">
        <f ca="1">IFERROR(__xludf.DUMMYFUNCTION("""COMPUTED_VALUE"""),"Task Execution")</f>
        <v>Task Execution</v>
      </c>
      <c r="B228" s="6" t="str">
        <f ca="1">IFERROR(__xludf.DUMMYFUNCTION("""COMPUTED_VALUE"""),"Task Execution")</f>
        <v>Task Execution</v>
      </c>
      <c r="H228" s="6">
        <f ca="1"/>
        <v>0</v>
      </c>
      <c r="I228" s="6">
        <f ca="1"/>
        <v>0</v>
      </c>
      <c r="J228" s="6">
        <f ca="1"/>
        <v>0</v>
      </c>
    </row>
    <row r="229" spans="1:10" ht="13" x14ac:dyDescent="0.15">
      <c r="A229" s="6" t="str">
        <f ca="1">IFERROR(__xludf.DUMMYFUNCTION("""COMPUTED_VALUE"""),"Task Execution")</f>
        <v>Task Execution</v>
      </c>
      <c r="B229" s="6" t="str">
        <f ca="1">IFERROR(__xludf.DUMMYFUNCTION("""COMPUTED_VALUE"""),"Task Execution")</f>
        <v>Task Execution</v>
      </c>
      <c r="H229" s="6">
        <f ca="1"/>
        <v>0</v>
      </c>
      <c r="I229" s="6">
        <f ca="1"/>
        <v>0</v>
      </c>
      <c r="J229" s="6">
        <f ca="1"/>
        <v>0</v>
      </c>
    </row>
    <row r="230" spans="1:10" ht="13" x14ac:dyDescent="0.15">
      <c r="A230" s="6" t="str">
        <f ca="1">IFERROR(__xludf.DUMMYFUNCTION("""COMPUTED_VALUE"""),"Coding Pattern")</f>
        <v>Coding Pattern</v>
      </c>
      <c r="B230" s="6" t="str">
        <f ca="1">IFERROR(__xludf.DUMMYFUNCTION("""COMPUTED_VALUE"""),"Coding Pattern")</f>
        <v>Coding Pattern</v>
      </c>
      <c r="H230" s="6">
        <f ca="1"/>
        <v>0</v>
      </c>
      <c r="I230" s="6">
        <f ca="1"/>
        <v>0</v>
      </c>
      <c r="J230" s="6">
        <f ca="1"/>
        <v>0</v>
      </c>
    </row>
    <row r="231" spans="1:10" ht="13" x14ac:dyDescent="0.15">
      <c r="A231" s="6" t="str">
        <f ca="1">IFERROR(__xludf.DUMMYFUNCTION("""COMPUTED_VALUE"""),"Testing")</f>
        <v>Testing</v>
      </c>
      <c r="B231" s="6" t="str">
        <f ca="1">IFERROR(__xludf.DUMMYFUNCTION("""COMPUTED_VALUE"""),"Testing")</f>
        <v>Testing</v>
      </c>
      <c r="H231" s="6">
        <f ca="1"/>
        <v>0</v>
      </c>
      <c r="I231" s="6">
        <f ca="1"/>
        <v>0</v>
      </c>
      <c r="J231" s="6">
        <f ca="1"/>
        <v>0</v>
      </c>
    </row>
    <row r="232" spans="1:10" ht="13" x14ac:dyDescent="0.15">
      <c r="A232" s="6" t="str">
        <f ca="1">IFERROR(__xludf.DUMMYFUNCTION("""COMPUTED_VALUE"""),"Coding Pattern")</f>
        <v>Coding Pattern</v>
      </c>
      <c r="B232" s="6" t="str">
        <f ca="1">IFERROR(__xludf.DUMMYFUNCTION("""COMPUTED_VALUE"""),"Coding Pattern")</f>
        <v>Coding Pattern</v>
      </c>
      <c r="H232" s="6">
        <f ca="1"/>
        <v>0</v>
      </c>
      <c r="I232" s="6">
        <f ca="1"/>
        <v>0</v>
      </c>
      <c r="J232" s="6">
        <f ca="1"/>
        <v>0</v>
      </c>
    </row>
    <row r="233" spans="1:10" ht="13" x14ac:dyDescent="0.15">
      <c r="A233" s="6" t="str">
        <f ca="1">IFERROR(__xludf.DUMMYFUNCTION("""COMPUTED_VALUE"""),"Build &amp; Operation")</f>
        <v>Build &amp; Operation</v>
      </c>
      <c r="B233" s="6" t="str">
        <f ca="1">IFERROR(__xludf.DUMMYFUNCTION("""COMPUTED_VALUE"""),"Build &amp; Operation")</f>
        <v>Build &amp; Operation</v>
      </c>
      <c r="H233" s="6">
        <f ca="1"/>
        <v>0</v>
      </c>
      <c r="I233" s="6">
        <f ca="1"/>
        <v>0</v>
      </c>
      <c r="J233" s="6">
        <f ca="1"/>
        <v>0</v>
      </c>
    </row>
    <row r="234" spans="1:10" ht="13" x14ac:dyDescent="0.15">
      <c r="A234" s="6" t="str">
        <f ca="1">IFERROR(__xludf.DUMMYFUNCTION("""COMPUTED_VALUE"""),"Task Execution")</f>
        <v>Task Execution</v>
      </c>
      <c r="B234" s="6" t="str">
        <f ca="1">IFERROR(__xludf.DUMMYFUNCTION("""COMPUTED_VALUE"""),"Task Execution")</f>
        <v>Task Execution</v>
      </c>
      <c r="H234" s="6">
        <f ca="1"/>
        <v>0</v>
      </c>
      <c r="I234" s="6">
        <f ca="1"/>
        <v>0</v>
      </c>
      <c r="J234" s="6">
        <f ca="1"/>
        <v>0</v>
      </c>
    </row>
    <row r="235" spans="1:10" ht="13" x14ac:dyDescent="0.15">
      <c r="A235" s="6" t="str">
        <f ca="1">IFERROR(__xludf.DUMMYFUNCTION("""COMPUTED_VALUE"""),"Testing")</f>
        <v>Testing</v>
      </c>
      <c r="B235" s="6" t="str">
        <f ca="1">IFERROR(__xludf.DUMMYFUNCTION("""COMPUTED_VALUE"""),"Maintainability")</f>
        <v>Maintainability</v>
      </c>
      <c r="H235" s="6">
        <f ca="1"/>
        <v>0</v>
      </c>
      <c r="I235" s="6">
        <f ca="1"/>
        <v>0</v>
      </c>
      <c r="J235" s="6">
        <f ca="1"/>
        <v>0</v>
      </c>
    </row>
    <row r="236" spans="1:10" ht="13" x14ac:dyDescent="0.15">
      <c r="A236" s="6" t="str">
        <f ca="1">IFERROR(__xludf.DUMMYFUNCTION("""COMPUTED_VALUE"""),"Coding Pattern")</f>
        <v>Coding Pattern</v>
      </c>
      <c r="B236" s="6" t="str">
        <f ca="1">IFERROR(__xludf.DUMMYFUNCTION("""COMPUTED_VALUE"""),"Coding Pattern")</f>
        <v>Coding Pattern</v>
      </c>
      <c r="H236" s="6">
        <f ca="1"/>
        <v>0</v>
      </c>
      <c r="I236" s="6">
        <f ca="1"/>
        <v>0</v>
      </c>
      <c r="J236" s="6">
        <f ca="1"/>
        <v>0</v>
      </c>
    </row>
    <row r="237" spans="1:10" ht="13" x14ac:dyDescent="0.15">
      <c r="A237" s="6" t="str">
        <f ca="1">IFERROR(__xludf.DUMMYFUNCTION("""COMPUTED_VALUE"""),"Commit&amp;PR rule")</f>
        <v>Commit&amp;PR rule</v>
      </c>
      <c r="B237" s="6" t="str">
        <f ca="1">IFERROR(__xludf.DUMMYFUNCTION("""COMPUTED_VALUE"""),"Commit&amp;PR rule")</f>
        <v>Commit&amp;PR rule</v>
      </c>
      <c r="H237" s="6">
        <f ca="1"/>
        <v>0</v>
      </c>
      <c r="I237" s="6">
        <f ca="1"/>
        <v>0</v>
      </c>
      <c r="J237" s="6">
        <f ca="1"/>
        <v>0</v>
      </c>
    </row>
    <row r="238" spans="1:10" ht="13" x14ac:dyDescent="0.15">
      <c r="A238" s="6" t="str">
        <f ca="1">IFERROR(__xludf.DUMMYFUNCTION("""COMPUTED_VALUE"""),"Task Execution")</f>
        <v>Task Execution</v>
      </c>
      <c r="B238" s="6" t="str">
        <f ca="1">IFERROR(__xludf.DUMMYFUNCTION("""COMPUTED_VALUE"""),"Task Execution")</f>
        <v>Task Execution</v>
      </c>
      <c r="H238" s="6">
        <f ca="1"/>
        <v>0</v>
      </c>
      <c r="I238" s="6">
        <f ca="1"/>
        <v>0</v>
      </c>
      <c r="J238" s="6">
        <f ca="1"/>
        <v>0</v>
      </c>
    </row>
    <row r="239" spans="1:10" ht="13" x14ac:dyDescent="0.15">
      <c r="A239" s="6" t="str">
        <f ca="1">IFERROR(__xludf.DUMMYFUNCTION("""COMPUTED_VALUE"""),"Task Execution")</f>
        <v>Task Execution</v>
      </c>
      <c r="B239" s="6" t="str">
        <f ca="1">IFERROR(__xludf.DUMMYFUNCTION("""COMPUTED_VALUE"""),"Task Execution")</f>
        <v>Task Execution</v>
      </c>
      <c r="H239" s="6">
        <f ca="1"/>
        <v>0</v>
      </c>
      <c r="I239" s="6">
        <f ca="1"/>
        <v>0</v>
      </c>
      <c r="J239" s="6">
        <f ca="1"/>
        <v>0</v>
      </c>
    </row>
    <row r="240" spans="1:10" ht="13" x14ac:dyDescent="0.15">
      <c r="A240" s="6" t="str">
        <f ca="1">IFERROR(__xludf.DUMMYFUNCTION("""COMPUTED_VALUE"""),"Coding Style")</f>
        <v>Coding Style</v>
      </c>
      <c r="B240" s="6" t="str">
        <f ca="1">IFERROR(__xludf.DUMMYFUNCTION("""COMPUTED_VALUE"""),"Coding Style")</f>
        <v>Coding Style</v>
      </c>
      <c r="H240" s="6">
        <f ca="1"/>
        <v>0</v>
      </c>
      <c r="I240" s="6">
        <f ca="1"/>
        <v>0</v>
      </c>
      <c r="J240" s="6">
        <f ca="1"/>
        <v>0</v>
      </c>
    </row>
    <row r="241" spans="1:10" ht="13" x14ac:dyDescent="0.15">
      <c r="A241" s="6" t="str">
        <f ca="1">IFERROR(__xludf.DUMMYFUNCTION("""COMPUTED_VALUE"""),"Build &amp; Operation")</f>
        <v>Build &amp; Operation</v>
      </c>
      <c r="B241" s="6" t="str">
        <f ca="1">IFERROR(__xludf.DUMMYFUNCTION("""COMPUTED_VALUE"""),"Build &amp; Operation")</f>
        <v>Build &amp; Operation</v>
      </c>
      <c r="H241" s="6">
        <f ca="1"/>
        <v>0</v>
      </c>
      <c r="I241" s="6">
        <f ca="1"/>
        <v>0</v>
      </c>
      <c r="J241" s="6">
        <f ca="1"/>
        <v>0</v>
      </c>
    </row>
    <row r="242" spans="1:10" ht="13" x14ac:dyDescent="0.15">
      <c r="A242" s="6" t="str">
        <f ca="1">IFERROR(__xludf.DUMMYFUNCTION("""COMPUTED_VALUE"""),"Commit&amp;PR rule")</f>
        <v>Commit&amp;PR rule</v>
      </c>
      <c r="B242" s="6" t="str">
        <f ca="1">IFERROR(__xludf.DUMMYFUNCTION("""COMPUTED_VALUE"""),"Commit&amp;PR rule")</f>
        <v>Commit&amp;PR rule</v>
      </c>
      <c r="H242" s="6">
        <f ca="1"/>
        <v>0</v>
      </c>
      <c r="I242" s="6">
        <f ca="1"/>
        <v>0</v>
      </c>
      <c r="J242" s="6">
        <f ca="1"/>
        <v>0</v>
      </c>
    </row>
    <row r="243" spans="1:10" ht="13" x14ac:dyDescent="0.15">
      <c r="A243" s="6" t="str">
        <f ca="1">IFERROR(__xludf.DUMMYFUNCTION("""COMPUTED_VALUE"""),"Security")</f>
        <v>Security</v>
      </c>
      <c r="B243" s="6" t="str">
        <f ca="1">IFERROR(__xludf.DUMMYFUNCTION("""COMPUTED_VALUE"""),"Security")</f>
        <v>Security</v>
      </c>
      <c r="H243" s="6">
        <f ca="1"/>
        <v>0</v>
      </c>
      <c r="I243" s="6">
        <f ca="1"/>
        <v>0</v>
      </c>
      <c r="J243" s="6">
        <f ca="1"/>
        <v>0</v>
      </c>
    </row>
    <row r="244" spans="1:10" ht="13" x14ac:dyDescent="0.15">
      <c r="A244" s="6" t="str">
        <f ca="1">IFERROR(__xludf.DUMMYFUNCTION("""COMPUTED_VALUE"""),"Coding Style")</f>
        <v>Coding Style</v>
      </c>
      <c r="B244" s="6" t="str">
        <f ca="1">IFERROR(__xludf.DUMMYFUNCTION("""COMPUTED_VALUE"""),"Coding Style")</f>
        <v>Coding Style</v>
      </c>
      <c r="H244" s="6">
        <f ca="1"/>
        <v>0</v>
      </c>
      <c r="I244" s="6">
        <f ca="1"/>
        <v>0</v>
      </c>
      <c r="J244" s="6">
        <f ca="1"/>
        <v>0</v>
      </c>
    </row>
    <row r="245" spans="1:10" ht="13" x14ac:dyDescent="0.15">
      <c r="A245" s="6" t="str">
        <f ca="1">IFERROR(__xludf.DUMMYFUNCTION("""COMPUTED_VALUE"""),"Documentation")</f>
        <v>Documentation</v>
      </c>
      <c r="B245" s="6" t="str">
        <f ca="1">IFERROR(__xludf.DUMMYFUNCTION("""COMPUTED_VALUE"""),"Documentation")</f>
        <v>Documentation</v>
      </c>
      <c r="H245" s="6">
        <f ca="1"/>
        <v>0</v>
      </c>
      <c r="I245" s="6">
        <f ca="1"/>
        <v>0</v>
      </c>
      <c r="J245" s="6">
        <f ca="1"/>
        <v>0</v>
      </c>
    </row>
    <row r="246" spans="1:10" ht="13" x14ac:dyDescent="0.15">
      <c r="A246" s="6" t="str">
        <f ca="1">IFERROR(__xludf.DUMMYFUNCTION("""COMPUTED_VALUE"""),"Task Execution")</f>
        <v>Task Execution</v>
      </c>
      <c r="B246" s="6" t="str">
        <f ca="1">IFERROR(__xludf.DUMMYFUNCTION("""COMPUTED_VALUE"""),"Task Execution")</f>
        <v>Task Execution</v>
      </c>
      <c r="H246" s="6">
        <f ca="1"/>
        <v>0</v>
      </c>
      <c r="I246" s="6">
        <f ca="1"/>
        <v>0</v>
      </c>
      <c r="J246" s="6">
        <f ca="1"/>
        <v>0</v>
      </c>
    </row>
    <row r="247" spans="1:10" ht="13" x14ac:dyDescent="0.15">
      <c r="A247" s="6" t="str">
        <f ca="1">IFERROR(__xludf.DUMMYFUNCTION("""COMPUTED_VALUE"""),"Task Execution")</f>
        <v>Task Execution</v>
      </c>
      <c r="B247" s="6" t="str">
        <f ca="1">IFERROR(__xludf.DUMMYFUNCTION("""COMPUTED_VALUE"""),"Task Execution")</f>
        <v>Task Execution</v>
      </c>
      <c r="H247" s="6">
        <f ca="1"/>
        <v>0</v>
      </c>
      <c r="I247" s="6">
        <f ca="1"/>
        <v>0</v>
      </c>
      <c r="J247" s="6">
        <f ca="1"/>
        <v>0</v>
      </c>
    </row>
    <row r="248" spans="1:10" ht="13" x14ac:dyDescent="0.15">
      <c r="A248" s="6" t="str">
        <f ca="1">IFERROR(__xludf.DUMMYFUNCTION("""COMPUTED_VALUE"""),"Testing")</f>
        <v>Testing</v>
      </c>
      <c r="B248" s="6" t="str">
        <f ca="1">IFERROR(__xludf.DUMMYFUNCTION("""COMPUTED_VALUE"""),"Testing")</f>
        <v>Testing</v>
      </c>
      <c r="H248" s="6">
        <f ca="1"/>
        <v>0</v>
      </c>
      <c r="I248" s="6">
        <f ca="1"/>
        <v>0</v>
      </c>
      <c r="J248" s="6">
        <f ca="1"/>
        <v>0</v>
      </c>
    </row>
    <row r="249" spans="1:10" ht="13" x14ac:dyDescent="0.15">
      <c r="A249" s="6" t="str">
        <f ca="1">IFERROR(__xludf.DUMMYFUNCTION("""COMPUTED_VALUE"""),"Testing")</f>
        <v>Testing</v>
      </c>
      <c r="B249" s="6" t="str">
        <f ca="1">IFERROR(__xludf.DUMMYFUNCTION("""COMPUTED_VALUE"""),"Testing")</f>
        <v>Testing</v>
      </c>
      <c r="H249" s="6">
        <f ca="1"/>
        <v>0</v>
      </c>
      <c r="I249" s="6">
        <f ca="1"/>
        <v>0</v>
      </c>
      <c r="J249" s="6">
        <f ca="1"/>
        <v>0</v>
      </c>
    </row>
    <row r="250" spans="1:10" ht="13" x14ac:dyDescent="0.15">
      <c r="A250" s="6" t="str">
        <f ca="1">IFERROR(__xludf.DUMMYFUNCTION("""COMPUTED_VALUE"""),"Testing")</f>
        <v>Testing</v>
      </c>
      <c r="B250" s="6" t="str">
        <f ca="1">IFERROR(__xludf.DUMMYFUNCTION("""COMPUTED_VALUE"""),"Testing")</f>
        <v>Testing</v>
      </c>
      <c r="H250" s="6">
        <f ca="1"/>
        <v>0</v>
      </c>
      <c r="I250" s="6">
        <f ca="1"/>
        <v>0</v>
      </c>
      <c r="J250" s="6">
        <f ca="1"/>
        <v>0</v>
      </c>
    </row>
    <row r="251" spans="1:10" ht="13" x14ac:dyDescent="0.15">
      <c r="A251" s="6" t="str">
        <f ca="1">IFERROR(__xludf.DUMMYFUNCTION("""COMPUTED_VALUE"""),"Testing")</f>
        <v>Testing</v>
      </c>
      <c r="B251" s="6" t="str">
        <f ca="1">IFERROR(__xludf.DUMMYFUNCTION("""COMPUTED_VALUE"""),"Testing")</f>
        <v>Testing</v>
      </c>
      <c r="H251" s="6">
        <f ca="1"/>
        <v>0</v>
      </c>
      <c r="I251" s="6">
        <f ca="1"/>
        <v>0</v>
      </c>
      <c r="J251" s="6">
        <f ca="1"/>
        <v>0</v>
      </c>
    </row>
    <row r="252" spans="1:10" ht="13" x14ac:dyDescent="0.15">
      <c r="A252" s="6" t="str">
        <f ca="1">IFERROR(__xludf.DUMMYFUNCTION("""COMPUTED_VALUE"""),"Coding Pattern")</f>
        <v>Coding Pattern</v>
      </c>
      <c r="B252" s="6" t="str">
        <f ca="1">IFERROR(__xludf.DUMMYFUNCTION("""COMPUTED_VALUE"""),"Coding Pattern")</f>
        <v>Coding Pattern</v>
      </c>
      <c r="H252" s="6">
        <f ca="1"/>
        <v>0</v>
      </c>
      <c r="I252" s="6">
        <f ca="1"/>
        <v>0</v>
      </c>
      <c r="J252" s="6">
        <f ca="1"/>
        <v>0</v>
      </c>
    </row>
    <row r="253" spans="1:10" ht="13" x14ac:dyDescent="0.15">
      <c r="A253" s="6" t="str">
        <f ca="1">IFERROR(__xludf.DUMMYFUNCTION("""COMPUTED_VALUE"""),"Task Execution")</f>
        <v>Task Execution</v>
      </c>
      <c r="B253" s="6" t="str">
        <f ca="1">IFERROR(__xludf.DUMMYFUNCTION("""COMPUTED_VALUE"""),"Task Execution")</f>
        <v>Task Execution</v>
      </c>
      <c r="H253" s="6">
        <f ca="1"/>
        <v>0</v>
      </c>
      <c r="I253" s="6">
        <f ca="1"/>
        <v>0</v>
      </c>
      <c r="J253" s="6">
        <f ca="1"/>
        <v>0</v>
      </c>
    </row>
    <row r="254" spans="1:10" ht="13" x14ac:dyDescent="0.15">
      <c r="A254" s="6" t="str">
        <f ca="1">IFERROR(__xludf.DUMMYFUNCTION("""COMPUTED_VALUE"""),"Security")</f>
        <v>Security</v>
      </c>
      <c r="B254" s="6" t="str">
        <f ca="1">IFERROR(__xludf.DUMMYFUNCTION("""COMPUTED_VALUE"""),"Security")</f>
        <v>Security</v>
      </c>
      <c r="H254" s="6">
        <f ca="1"/>
        <v>0</v>
      </c>
      <c r="I254" s="6">
        <f ca="1"/>
        <v>0</v>
      </c>
      <c r="J254" s="6">
        <f ca="1"/>
        <v>0</v>
      </c>
    </row>
    <row r="255" spans="1:10" ht="13" x14ac:dyDescent="0.15">
      <c r="A255" s="6" t="str">
        <f ca="1">IFERROR(__xludf.DUMMYFUNCTION("""COMPUTED_VALUE"""),"Task Execution")</f>
        <v>Task Execution</v>
      </c>
      <c r="B255" s="6" t="str">
        <f ca="1">IFERROR(__xludf.DUMMYFUNCTION("""COMPUTED_VALUE"""),"Task Execution")</f>
        <v>Task Execution</v>
      </c>
      <c r="H255" s="6">
        <f ca="1"/>
        <v>0</v>
      </c>
      <c r="I255" s="6">
        <f ca="1"/>
        <v>0</v>
      </c>
      <c r="J255" s="6">
        <f ca="1"/>
        <v>0</v>
      </c>
    </row>
    <row r="256" spans="1:10" ht="13" x14ac:dyDescent="0.15">
      <c r="A256" s="6" t="str">
        <f ca="1">IFERROR(__xludf.DUMMYFUNCTION("""COMPUTED_VALUE"""),"Build &amp; Operation")</f>
        <v>Build &amp; Operation</v>
      </c>
      <c r="B256" s="6" t="str">
        <f ca="1">IFERROR(__xludf.DUMMYFUNCTION("""COMPUTED_VALUE"""),"Build &amp; Operation")</f>
        <v>Build &amp; Operation</v>
      </c>
      <c r="H256" s="6">
        <f ca="1"/>
        <v>0</v>
      </c>
      <c r="I256" s="6">
        <f ca="1"/>
        <v>0</v>
      </c>
      <c r="J256" s="6">
        <f ca="1"/>
        <v>0</v>
      </c>
    </row>
    <row r="257" spans="1:10" ht="13" x14ac:dyDescent="0.15">
      <c r="A257" s="6" t="str">
        <f ca="1">IFERROR(__xludf.DUMMYFUNCTION("""COMPUTED_VALUE"""),"Documentation")</f>
        <v>Documentation</v>
      </c>
      <c r="B257" s="6" t="str">
        <f ca="1">IFERROR(__xludf.DUMMYFUNCTION("""COMPUTED_VALUE"""),"Documentation")</f>
        <v>Documentation</v>
      </c>
      <c r="H257" s="6">
        <f ca="1"/>
        <v>0</v>
      </c>
      <c r="I257" s="6">
        <f ca="1"/>
        <v>0</v>
      </c>
      <c r="J257" s="6">
        <f ca="1"/>
        <v>0</v>
      </c>
    </row>
    <row r="258" spans="1:10" ht="13" x14ac:dyDescent="0.15">
      <c r="A258" s="6" t="str">
        <f ca="1">IFERROR(__xludf.DUMMYFUNCTION("""COMPUTED_VALUE"""),"Build &amp; Operation")</f>
        <v>Build &amp; Operation</v>
      </c>
      <c r="B258" s="6" t="str">
        <f ca="1">IFERROR(__xludf.DUMMYFUNCTION("""COMPUTED_VALUE"""),"Build &amp; Operation")</f>
        <v>Build &amp; Operation</v>
      </c>
      <c r="H258" s="6">
        <f ca="1"/>
        <v>0</v>
      </c>
      <c r="I258" s="6">
        <f ca="1"/>
        <v>0</v>
      </c>
      <c r="J258" s="6">
        <f ca="1"/>
        <v>0</v>
      </c>
    </row>
    <row r="259" spans="1:10" ht="13" x14ac:dyDescent="0.15">
      <c r="A259" s="6" t="str">
        <f ca="1">IFERROR(__xludf.DUMMYFUNCTION("""COMPUTED_VALUE"""),"Task Execution")</f>
        <v>Task Execution</v>
      </c>
      <c r="B259" s="6" t="str">
        <f ca="1">IFERROR(__xludf.DUMMYFUNCTION("""COMPUTED_VALUE"""),"Task Execution")</f>
        <v>Task Execution</v>
      </c>
      <c r="H259" s="6">
        <f ca="1"/>
        <v>0</v>
      </c>
      <c r="I259" s="6">
        <f ca="1"/>
        <v>0</v>
      </c>
      <c r="J259" s="6">
        <f ca="1"/>
        <v>0</v>
      </c>
    </row>
    <row r="260" spans="1:10" ht="13" x14ac:dyDescent="0.15">
      <c r="A260" s="6" t="str">
        <f ca="1">IFERROR(__xludf.DUMMYFUNCTION("""COMPUTED_VALUE"""),"Task Execution")</f>
        <v>Task Execution</v>
      </c>
      <c r="B260" s="6" t="str">
        <f ca="1">IFERROR(__xludf.DUMMYFUNCTION("""COMPUTED_VALUE"""),"Task Execution")</f>
        <v>Task Execution</v>
      </c>
      <c r="H260" s="6">
        <f ca="1"/>
        <v>0</v>
      </c>
      <c r="I260" s="6">
        <f ca="1"/>
        <v>0</v>
      </c>
      <c r="J260" s="6">
        <f ca="1"/>
        <v>0</v>
      </c>
    </row>
    <row r="261" spans="1:10" ht="13" x14ac:dyDescent="0.15">
      <c r="A261" s="6" t="str">
        <f ca="1">IFERROR(__xludf.DUMMYFUNCTION("""COMPUTED_VALUE"""),"Testing")</f>
        <v>Testing</v>
      </c>
      <c r="B261" s="6" t="str">
        <f ca="1">IFERROR(__xludf.DUMMYFUNCTION("""COMPUTED_VALUE"""),"Testing")</f>
        <v>Testing</v>
      </c>
      <c r="H261" s="6">
        <f ca="1"/>
        <v>0</v>
      </c>
      <c r="I261" s="6">
        <f ca="1"/>
        <v>0</v>
      </c>
      <c r="J261" s="6">
        <f ca="1"/>
        <v>0</v>
      </c>
    </row>
    <row r="262" spans="1:10" ht="13" x14ac:dyDescent="0.15">
      <c r="A262" s="6" t="str">
        <f ca="1">IFERROR(__xludf.DUMMYFUNCTION("""COMPUTED_VALUE"""),"Coding Pattern")</f>
        <v>Coding Pattern</v>
      </c>
      <c r="B262" s="6" t="str">
        <f ca="1">IFERROR(__xludf.DUMMYFUNCTION("""COMPUTED_VALUE"""),"Coding Pattern")</f>
        <v>Coding Pattern</v>
      </c>
      <c r="H262" s="6">
        <f ca="1"/>
        <v>0</v>
      </c>
      <c r="I262" s="6">
        <f ca="1"/>
        <v>0</v>
      </c>
      <c r="J262" s="6">
        <f ca="1"/>
        <v>0</v>
      </c>
    </row>
    <row r="263" spans="1:10" ht="13" x14ac:dyDescent="0.15">
      <c r="A263" s="6" t="str">
        <f ca="1">IFERROR(__xludf.DUMMYFUNCTION("""COMPUTED_VALUE"""),"Coding Pattern")</f>
        <v>Coding Pattern</v>
      </c>
      <c r="B263" s="6" t="str">
        <f ca="1">IFERROR(__xludf.DUMMYFUNCTION("""COMPUTED_VALUE"""),"Coding Pattern")</f>
        <v>Coding Pattern</v>
      </c>
      <c r="H263" s="6">
        <f ca="1"/>
        <v>0</v>
      </c>
      <c r="I263" s="6">
        <f ca="1"/>
        <v>0</v>
      </c>
      <c r="J263" s="6">
        <f ca="1"/>
        <v>0</v>
      </c>
    </row>
    <row r="264" spans="1:10" ht="13" x14ac:dyDescent="0.15">
      <c r="A264" s="6" t="str">
        <f ca="1">IFERROR(__xludf.DUMMYFUNCTION("""COMPUTED_VALUE"""),"Coding Style")</f>
        <v>Coding Style</v>
      </c>
      <c r="B264" s="6" t="str">
        <f ca="1">IFERROR(__xludf.DUMMYFUNCTION("""COMPUTED_VALUE"""),"Coding Style")</f>
        <v>Coding Style</v>
      </c>
      <c r="H264" s="6">
        <f ca="1"/>
        <v>0</v>
      </c>
      <c r="I264" s="6">
        <f ca="1"/>
        <v>0</v>
      </c>
      <c r="J264" s="6">
        <f ca="1"/>
        <v>0</v>
      </c>
    </row>
    <row r="265" spans="1:10" ht="13" x14ac:dyDescent="0.15">
      <c r="A265" s="6" t="str">
        <f ca="1">IFERROR(__xludf.DUMMYFUNCTION("""COMPUTED_VALUE"""),"Testing")</f>
        <v>Testing</v>
      </c>
      <c r="B265" s="6" t="str">
        <f ca="1">IFERROR(__xludf.DUMMYFUNCTION("""COMPUTED_VALUE"""),"Testing")</f>
        <v>Testing</v>
      </c>
      <c r="H265" s="6">
        <f ca="1"/>
        <v>0</v>
      </c>
      <c r="I265" s="6">
        <f ca="1"/>
        <v>0</v>
      </c>
      <c r="J265" s="6">
        <f ca="1"/>
        <v>0</v>
      </c>
    </row>
    <row r="266" spans="1:10" ht="13" x14ac:dyDescent="0.15">
      <c r="A266" s="6" t="str">
        <f ca="1">IFERROR(__xludf.DUMMYFUNCTION("""COMPUTED_VALUE"""),"Task Execution")</f>
        <v>Task Execution</v>
      </c>
      <c r="B266" s="6" t="str">
        <f ca="1">IFERROR(__xludf.DUMMYFUNCTION("""COMPUTED_VALUE"""),"Task Execution")</f>
        <v>Task Execution</v>
      </c>
      <c r="H266" s="6">
        <f ca="1"/>
        <v>0</v>
      </c>
      <c r="I266" s="6">
        <f ca="1"/>
        <v>0</v>
      </c>
      <c r="J266" s="6">
        <f ca="1"/>
        <v>0</v>
      </c>
    </row>
    <row r="267" spans="1:10" ht="13" x14ac:dyDescent="0.15">
      <c r="A267" s="6" t="str">
        <f ca="1">IFERROR(__xludf.DUMMYFUNCTION("""COMPUTED_VALUE"""),"Task Execution")</f>
        <v>Task Execution</v>
      </c>
      <c r="B267" s="6" t="str">
        <f ca="1">IFERROR(__xludf.DUMMYFUNCTION("""COMPUTED_VALUE"""),"Task Execution")</f>
        <v>Task Execution</v>
      </c>
      <c r="H267" s="6">
        <f ca="1"/>
        <v>0</v>
      </c>
      <c r="I267" s="6">
        <f ca="1"/>
        <v>0</v>
      </c>
      <c r="J267" s="6">
        <f ca="1"/>
        <v>0</v>
      </c>
    </row>
    <row r="268" spans="1:10" ht="13" x14ac:dyDescent="0.15">
      <c r="A268" s="6" t="str">
        <f ca="1">IFERROR(__xludf.DUMMYFUNCTION("""COMPUTED_VALUE"""),"Task Execution")</f>
        <v>Task Execution</v>
      </c>
      <c r="B268" s="6" t="str">
        <f ca="1">IFERROR(__xludf.DUMMYFUNCTION("""COMPUTED_VALUE"""),"Task Execution")</f>
        <v>Task Execution</v>
      </c>
      <c r="H268" s="6">
        <f ca="1"/>
        <v>0</v>
      </c>
      <c r="I268" s="6">
        <f ca="1"/>
        <v>0</v>
      </c>
      <c r="J268" s="6">
        <f ca="1"/>
        <v>0</v>
      </c>
    </row>
    <row r="269" spans="1:10" ht="13" x14ac:dyDescent="0.15">
      <c r="A269" s="6" t="str">
        <f ca="1">IFERROR(__xludf.DUMMYFUNCTION("""COMPUTED_VALUE"""),"Testing")</f>
        <v>Testing</v>
      </c>
      <c r="B269" s="6" t="str">
        <f ca="1">IFERROR(__xludf.DUMMYFUNCTION("""COMPUTED_VALUE"""),"Testing")</f>
        <v>Testing</v>
      </c>
      <c r="H269" s="6">
        <f ca="1"/>
        <v>0</v>
      </c>
      <c r="I269" s="6">
        <f ca="1"/>
        <v>0</v>
      </c>
      <c r="J269" s="6">
        <f ca="1"/>
        <v>0</v>
      </c>
    </row>
    <row r="270" spans="1:10" ht="13" x14ac:dyDescent="0.15">
      <c r="A270" s="6" t="str">
        <f ca="1">IFERROR(__xludf.DUMMYFUNCTION("""COMPUTED_VALUE"""),"Task Execution")</f>
        <v>Task Execution</v>
      </c>
      <c r="B270" s="6" t="str">
        <f ca="1">IFERROR(__xludf.DUMMYFUNCTION("""COMPUTED_VALUE"""),"Task Execution")</f>
        <v>Task Execution</v>
      </c>
      <c r="H270" s="6">
        <f ca="1"/>
        <v>0</v>
      </c>
      <c r="I270" s="6">
        <f ca="1"/>
        <v>0</v>
      </c>
      <c r="J270" s="6">
        <f ca="1"/>
        <v>0</v>
      </c>
    </row>
    <row r="271" spans="1:10" ht="13" x14ac:dyDescent="0.15">
      <c r="A271" s="6" t="str">
        <f ca="1">IFERROR(__xludf.DUMMYFUNCTION("""COMPUTED_VALUE"""),"Commit&amp;PR rule")</f>
        <v>Commit&amp;PR rule</v>
      </c>
      <c r="B271" s="6" t="str">
        <f ca="1">IFERROR(__xludf.DUMMYFUNCTION("""COMPUTED_VALUE"""),"Commit&amp;PR rule")</f>
        <v>Commit&amp;PR rule</v>
      </c>
      <c r="H271" s="6">
        <f ca="1"/>
        <v>0</v>
      </c>
      <c r="I271" s="6">
        <f ca="1"/>
        <v>0</v>
      </c>
      <c r="J271" s="6">
        <f ca="1"/>
        <v>0</v>
      </c>
    </row>
    <row r="272" spans="1:10" ht="13" x14ac:dyDescent="0.15">
      <c r="A272" s="6" t="str">
        <f ca="1">IFERROR(__xludf.DUMMYFUNCTION("""COMPUTED_VALUE"""),"Task Execution")</f>
        <v>Task Execution</v>
      </c>
      <c r="B272" s="6" t="str">
        <f ca="1">IFERROR(__xludf.DUMMYFUNCTION("""COMPUTED_VALUE"""),"Task Execution")</f>
        <v>Task Execution</v>
      </c>
      <c r="H272" s="6">
        <f ca="1"/>
        <v>0</v>
      </c>
      <c r="I272" s="6">
        <f ca="1"/>
        <v>0</v>
      </c>
      <c r="J272" s="6">
        <f ca="1"/>
        <v>0</v>
      </c>
    </row>
    <row r="273" spans="1:10" ht="13" x14ac:dyDescent="0.15">
      <c r="A273" s="6" t="str">
        <f ca="1">IFERROR(__xludf.DUMMYFUNCTION("""COMPUTED_VALUE"""),"Maintainability")</f>
        <v>Maintainability</v>
      </c>
      <c r="B273" s="6" t="str">
        <f ca="1">IFERROR(__xludf.DUMMYFUNCTION("""COMPUTED_VALUE"""),"Task Execution")</f>
        <v>Task Execution</v>
      </c>
      <c r="H273" s="6">
        <f ca="1"/>
        <v>0</v>
      </c>
      <c r="I273" s="6">
        <f ca="1"/>
        <v>0</v>
      </c>
      <c r="J273" s="6">
        <f ca="1"/>
        <v>0</v>
      </c>
    </row>
    <row r="274" spans="1:10" ht="13" x14ac:dyDescent="0.15">
      <c r="A274" s="6" t="str">
        <f ca="1">IFERROR(__xludf.DUMMYFUNCTION("""COMPUTED_VALUE"""),"Documentation")</f>
        <v>Documentation</v>
      </c>
      <c r="B274" s="6" t="str">
        <f ca="1">IFERROR(__xludf.DUMMYFUNCTION("""COMPUTED_VALUE"""),"Documentation")</f>
        <v>Documentation</v>
      </c>
      <c r="H274" s="6">
        <f ca="1"/>
        <v>0</v>
      </c>
      <c r="I274" s="6">
        <f ca="1"/>
        <v>0</v>
      </c>
      <c r="J274" s="6">
        <f ca="1"/>
        <v>0</v>
      </c>
    </row>
    <row r="275" spans="1:10" ht="13" x14ac:dyDescent="0.15">
      <c r="A275" s="6" t="str">
        <f ca="1">IFERROR(__xludf.DUMMYFUNCTION("""COMPUTED_VALUE"""),"Coding Pattern")</f>
        <v>Coding Pattern</v>
      </c>
      <c r="B275" s="6" t="str">
        <f ca="1">IFERROR(__xludf.DUMMYFUNCTION("""COMPUTED_VALUE"""),"Task Execution")</f>
        <v>Task Execution</v>
      </c>
      <c r="H275" s="6">
        <f ca="1"/>
        <v>0</v>
      </c>
      <c r="I275" s="6">
        <f ca="1"/>
        <v>0</v>
      </c>
      <c r="J275" s="6">
        <f ca="1"/>
        <v>0</v>
      </c>
    </row>
    <row r="276" spans="1:10" ht="13" x14ac:dyDescent="0.15">
      <c r="A276" s="6" t="str">
        <f ca="1">IFERROR(__xludf.DUMMYFUNCTION("""COMPUTED_VALUE"""),"Coding Pattern")</f>
        <v>Coding Pattern</v>
      </c>
      <c r="B276" s="6" t="str">
        <f ca="1">IFERROR(__xludf.DUMMYFUNCTION("""COMPUTED_VALUE"""),"Coding Style")</f>
        <v>Coding Style</v>
      </c>
      <c r="H276" s="6">
        <f ca="1"/>
        <v>0</v>
      </c>
      <c r="I276" s="6">
        <f ca="1"/>
        <v>0</v>
      </c>
      <c r="J276" s="6">
        <f ca="1"/>
        <v>0</v>
      </c>
    </row>
    <row r="277" spans="1:10" ht="13" x14ac:dyDescent="0.15">
      <c r="A277" s="6" t="str">
        <f ca="1">IFERROR(__xludf.DUMMYFUNCTION("""COMPUTED_VALUE"""),"Task Execution")</f>
        <v>Task Execution</v>
      </c>
      <c r="B277" s="6" t="str">
        <f ca="1">IFERROR(__xludf.DUMMYFUNCTION("""COMPUTED_VALUE"""),"Task Execution")</f>
        <v>Task Execution</v>
      </c>
      <c r="H277" s="6">
        <f ca="1"/>
        <v>0</v>
      </c>
      <c r="I277" s="6">
        <f ca="1"/>
        <v>0</v>
      </c>
      <c r="J277" s="6">
        <f ca="1"/>
        <v>0</v>
      </c>
    </row>
    <row r="278" spans="1:10" ht="13" x14ac:dyDescent="0.15">
      <c r="A278" s="6" t="str">
        <f ca="1">IFERROR(__xludf.DUMMYFUNCTION("""COMPUTED_VALUE"""),"Writing Style Preference")</f>
        <v>Writing Style Preference</v>
      </c>
      <c r="B278" s="6" t="str">
        <f ca="1">IFERROR(__xludf.DUMMYFUNCTION("""COMPUTED_VALUE"""),"Writing Style Preference")</f>
        <v>Writing Style Preference</v>
      </c>
      <c r="H278" s="6">
        <f ca="1"/>
        <v>0</v>
      </c>
      <c r="I278" s="6">
        <f ca="1"/>
        <v>0</v>
      </c>
      <c r="J278" s="6">
        <f ca="1"/>
        <v>0</v>
      </c>
    </row>
    <row r="279" spans="1:10" ht="13" x14ac:dyDescent="0.15">
      <c r="A279" s="6" t="str">
        <f ca="1">IFERROR(__xludf.DUMMYFUNCTION("""COMPUTED_VALUE"""),"Writing Style Preference")</f>
        <v>Writing Style Preference</v>
      </c>
      <c r="B279" s="6" t="str">
        <f ca="1">IFERROR(__xludf.DUMMYFUNCTION("""COMPUTED_VALUE"""),"Writing Style Preference")</f>
        <v>Writing Style Preference</v>
      </c>
      <c r="H279" s="6">
        <f ca="1"/>
        <v>0</v>
      </c>
      <c r="I279" s="6">
        <f ca="1"/>
        <v>0</v>
      </c>
      <c r="J279" s="6">
        <f ca="1"/>
        <v>0</v>
      </c>
    </row>
    <row r="280" spans="1:10" ht="13" x14ac:dyDescent="0.15">
      <c r="A280" s="6" t="str">
        <f ca="1">IFERROR(__xludf.DUMMYFUNCTION("""COMPUTED_VALUE"""),"Writing Style Preference")</f>
        <v>Writing Style Preference</v>
      </c>
      <c r="B280" s="6" t="str">
        <f ca="1">IFERROR(__xludf.DUMMYFUNCTION("""COMPUTED_VALUE"""),"Writing Style Preference")</f>
        <v>Writing Style Preference</v>
      </c>
      <c r="H280" s="6">
        <f ca="1"/>
        <v>0</v>
      </c>
      <c r="I280" s="6">
        <f ca="1"/>
        <v>0</v>
      </c>
      <c r="J280" s="6">
        <f ca="1"/>
        <v>0</v>
      </c>
    </row>
    <row r="281" spans="1:10" ht="13" x14ac:dyDescent="0.15">
      <c r="A281" s="6" t="str">
        <f ca="1">IFERROR(__xludf.DUMMYFUNCTION("""COMPUTED_VALUE"""),"Commit&amp;PR rule")</f>
        <v>Commit&amp;PR rule</v>
      </c>
      <c r="B281" s="6" t="str">
        <f ca="1">IFERROR(__xludf.DUMMYFUNCTION("""COMPUTED_VALUE"""),"Commit&amp;PR rule")</f>
        <v>Commit&amp;PR rule</v>
      </c>
      <c r="H281" s="6">
        <f ca="1"/>
        <v>0</v>
      </c>
      <c r="I281" s="6">
        <f ca="1"/>
        <v>0</v>
      </c>
      <c r="J281" s="6">
        <f ca="1"/>
        <v>0</v>
      </c>
    </row>
    <row r="282" spans="1:10" ht="13" x14ac:dyDescent="0.15">
      <c r="A282" s="6" t="str">
        <f ca="1">IFERROR(__xludf.DUMMYFUNCTION("""COMPUTED_VALUE"""),"Maintainability")</f>
        <v>Maintainability</v>
      </c>
      <c r="B282" s="6" t="str">
        <f ca="1">IFERROR(__xludf.DUMMYFUNCTION("""COMPUTED_VALUE"""),"Maintainability")</f>
        <v>Maintainability</v>
      </c>
      <c r="H282" s="6">
        <f ca="1"/>
        <v>0</v>
      </c>
      <c r="I282" s="6">
        <f ca="1"/>
        <v>0</v>
      </c>
      <c r="J282" s="6">
        <f ca="1"/>
        <v>0</v>
      </c>
    </row>
    <row r="283" spans="1:10" ht="13" x14ac:dyDescent="0.15">
      <c r="A283" s="6" t="str">
        <f ca="1">IFERROR(__xludf.DUMMYFUNCTION("""COMPUTED_VALUE"""),"Commit&amp;PR rule")</f>
        <v>Commit&amp;PR rule</v>
      </c>
      <c r="B283" s="6" t="str">
        <f ca="1">IFERROR(__xludf.DUMMYFUNCTION("""COMPUTED_VALUE"""),"Commit&amp;PR rule")</f>
        <v>Commit&amp;PR rule</v>
      </c>
      <c r="H283" s="6">
        <f ca="1"/>
        <v>0</v>
      </c>
      <c r="I283" s="6">
        <f ca="1"/>
        <v>0</v>
      </c>
      <c r="J283" s="6">
        <f ca="1"/>
        <v>0</v>
      </c>
    </row>
    <row r="284" spans="1:10" ht="13" x14ac:dyDescent="0.15">
      <c r="A284" s="6" t="str">
        <f ca="1">IFERROR(__xludf.DUMMYFUNCTION("""COMPUTED_VALUE"""),"Task Execution")</f>
        <v>Task Execution</v>
      </c>
      <c r="B284" s="6" t="str">
        <f ca="1">IFERROR(__xludf.DUMMYFUNCTION("""COMPUTED_VALUE"""),"Maintainability")</f>
        <v>Maintainability</v>
      </c>
      <c r="H284" s="6">
        <f ca="1"/>
        <v>0</v>
      </c>
      <c r="I284" s="6">
        <f ca="1"/>
        <v>0</v>
      </c>
      <c r="J284" s="6">
        <f ca="1"/>
        <v>0</v>
      </c>
    </row>
    <row r="285" spans="1:10" ht="13" x14ac:dyDescent="0.15">
      <c r="A285" s="6" t="str">
        <f ca="1">IFERROR(__xludf.DUMMYFUNCTION("""COMPUTED_VALUE"""),"Task Execution")</f>
        <v>Task Execution</v>
      </c>
      <c r="B285" s="6" t="str">
        <f ca="1">IFERROR(__xludf.DUMMYFUNCTION("""COMPUTED_VALUE"""),"Task Execution")</f>
        <v>Task Execution</v>
      </c>
      <c r="H285" s="6">
        <f ca="1"/>
        <v>0</v>
      </c>
      <c r="I285" s="6">
        <f ca="1"/>
        <v>0</v>
      </c>
      <c r="J285" s="6">
        <f ca="1"/>
        <v>0</v>
      </c>
    </row>
    <row r="286" spans="1:10" ht="13" x14ac:dyDescent="0.15">
      <c r="A286" s="6" t="str">
        <f ca="1">IFERROR(__xludf.DUMMYFUNCTION("""COMPUTED_VALUE"""),"Build &amp; Operation")</f>
        <v>Build &amp; Operation</v>
      </c>
      <c r="B286" s="6" t="str">
        <f ca="1">IFERROR(__xludf.DUMMYFUNCTION("""COMPUTED_VALUE"""),"Build &amp; Operation")</f>
        <v>Build &amp; Operation</v>
      </c>
      <c r="H286" s="6">
        <f ca="1"/>
        <v>0</v>
      </c>
      <c r="I286" s="6">
        <f ca="1"/>
        <v>0</v>
      </c>
      <c r="J286" s="6">
        <f ca="1"/>
        <v>0</v>
      </c>
    </row>
    <row r="287" spans="1:10" ht="13" x14ac:dyDescent="0.15">
      <c r="A287" s="6" t="str">
        <f ca="1">IFERROR(__xludf.DUMMYFUNCTION("""COMPUTED_VALUE"""),"Commit&amp;PR rule")</f>
        <v>Commit&amp;PR rule</v>
      </c>
      <c r="B287" s="6" t="str">
        <f ca="1">IFERROR(__xludf.DUMMYFUNCTION("""COMPUTED_VALUE"""),"Commit&amp;PR rule")</f>
        <v>Commit&amp;PR rule</v>
      </c>
      <c r="H287" s="6">
        <f ca="1"/>
        <v>0</v>
      </c>
      <c r="I287" s="6">
        <f ca="1"/>
        <v>0</v>
      </c>
      <c r="J287" s="6">
        <f ca="1"/>
        <v>0</v>
      </c>
    </row>
    <row r="288" spans="1:10" ht="13" x14ac:dyDescent="0.15">
      <c r="A288" s="6" t="str">
        <f ca="1">IFERROR(__xludf.DUMMYFUNCTION("""COMPUTED_VALUE"""),"Task Execution")</f>
        <v>Task Execution</v>
      </c>
      <c r="B288" s="6" t="str">
        <f ca="1">IFERROR(__xludf.DUMMYFUNCTION("""COMPUTED_VALUE"""),"Task Execution")</f>
        <v>Task Execution</v>
      </c>
      <c r="H288" s="6">
        <f ca="1"/>
        <v>0</v>
      </c>
      <c r="I288" s="6">
        <f ca="1"/>
        <v>0</v>
      </c>
      <c r="J288" s="6">
        <f ca="1"/>
        <v>0</v>
      </c>
    </row>
    <row r="289" spans="1:10" ht="13" x14ac:dyDescent="0.15">
      <c r="A289" s="6" t="str">
        <f ca="1">IFERROR(__xludf.DUMMYFUNCTION("""COMPUTED_VALUE"""),"Documentation")</f>
        <v>Documentation</v>
      </c>
      <c r="B289" s="6" t="str">
        <f ca="1">IFERROR(__xludf.DUMMYFUNCTION("""COMPUTED_VALUE"""),"Documentation")</f>
        <v>Documentation</v>
      </c>
      <c r="H289" s="6">
        <f ca="1"/>
        <v>0</v>
      </c>
      <c r="I289" s="6">
        <f ca="1"/>
        <v>0</v>
      </c>
      <c r="J289" s="6">
        <f ca="1"/>
        <v>0</v>
      </c>
    </row>
    <row r="290" spans="1:10" ht="13" x14ac:dyDescent="0.15">
      <c r="A290" s="6" t="str">
        <f ca="1">IFERROR(__xludf.DUMMYFUNCTION("""COMPUTED_VALUE"""),"Documentation")</f>
        <v>Documentation</v>
      </c>
      <c r="B290" s="6" t="str">
        <f ca="1">IFERROR(__xludf.DUMMYFUNCTION("""COMPUTED_VALUE"""),"Documentation")</f>
        <v>Documentation</v>
      </c>
      <c r="H290" s="6">
        <f ca="1"/>
        <v>0</v>
      </c>
      <c r="I290" s="6">
        <f ca="1"/>
        <v>0</v>
      </c>
      <c r="J290" s="6">
        <f ca="1"/>
        <v>0</v>
      </c>
    </row>
    <row r="291" spans="1:10" ht="13" x14ac:dyDescent="0.15">
      <c r="A291" s="6" t="str">
        <f ca="1">IFERROR(__xludf.DUMMYFUNCTION("""COMPUTED_VALUE"""),"Testing")</f>
        <v>Testing</v>
      </c>
      <c r="B291" s="6" t="str">
        <f ca="1">IFERROR(__xludf.DUMMYFUNCTION("""COMPUTED_VALUE"""),"Testing")</f>
        <v>Testing</v>
      </c>
      <c r="H291" s="6">
        <f ca="1"/>
        <v>0</v>
      </c>
      <c r="I291" s="6">
        <f ca="1"/>
        <v>0</v>
      </c>
      <c r="J291" s="6">
        <f ca="1"/>
        <v>0</v>
      </c>
    </row>
    <row r="292" spans="1:10" ht="13" x14ac:dyDescent="0.15">
      <c r="A292" s="6" t="str">
        <f ca="1">IFERROR(__xludf.DUMMYFUNCTION("""COMPUTED_VALUE"""),"Coding Pattern")</f>
        <v>Coding Pattern</v>
      </c>
      <c r="B292" s="6" t="str">
        <f ca="1">IFERROR(__xludf.DUMMYFUNCTION("""COMPUTED_VALUE"""),"Coding Pattern")</f>
        <v>Coding Pattern</v>
      </c>
      <c r="H292" s="6">
        <f ca="1"/>
        <v>0</v>
      </c>
      <c r="I292" s="6">
        <f ca="1"/>
        <v>0</v>
      </c>
      <c r="J292" s="6">
        <f ca="1"/>
        <v>0</v>
      </c>
    </row>
    <row r="293" spans="1:10" ht="13" x14ac:dyDescent="0.15">
      <c r="A293" s="6" t="str">
        <f ca="1">IFERROR(__xludf.DUMMYFUNCTION("""COMPUTED_VALUE"""),"Task Execution")</f>
        <v>Task Execution</v>
      </c>
      <c r="B293" s="6" t="str">
        <f ca="1">IFERROR(__xludf.DUMMYFUNCTION("""COMPUTED_VALUE"""),"Task Execution")</f>
        <v>Task Execution</v>
      </c>
      <c r="H293" s="6">
        <f ca="1"/>
        <v>0</v>
      </c>
      <c r="I293" s="6">
        <f ca="1"/>
        <v>0</v>
      </c>
      <c r="J293" s="6">
        <f ca="1"/>
        <v>0</v>
      </c>
    </row>
    <row r="294" spans="1:10" ht="13" x14ac:dyDescent="0.15">
      <c r="A294" s="6" t="str">
        <f ca="1">IFERROR(__xludf.DUMMYFUNCTION("""COMPUTED_VALUE"""),"Writing Style Preference")</f>
        <v>Writing Style Preference</v>
      </c>
      <c r="B294" s="6" t="str">
        <f ca="1">IFERROR(__xludf.DUMMYFUNCTION("""COMPUTED_VALUE"""),"Writing Style Preference")</f>
        <v>Writing Style Preference</v>
      </c>
      <c r="H294" s="6">
        <f ca="1"/>
        <v>0</v>
      </c>
      <c r="I294" s="6">
        <f ca="1"/>
        <v>0</v>
      </c>
      <c r="J294" s="6">
        <f ca="1"/>
        <v>0</v>
      </c>
    </row>
    <row r="295" spans="1:10" ht="13" x14ac:dyDescent="0.15">
      <c r="A295" s="6" t="str">
        <f ca="1">IFERROR(__xludf.DUMMYFUNCTION("""COMPUTED_VALUE"""),"Writing Style Preference")</f>
        <v>Writing Style Preference</v>
      </c>
      <c r="B295" s="6" t="str">
        <f ca="1">IFERROR(__xludf.DUMMYFUNCTION("""COMPUTED_VALUE"""),"Writing Style Preference")</f>
        <v>Writing Style Preference</v>
      </c>
      <c r="H295" s="6">
        <f ca="1"/>
        <v>0</v>
      </c>
      <c r="I295" s="6">
        <f ca="1"/>
        <v>0</v>
      </c>
      <c r="J295" s="6">
        <f ca="1"/>
        <v>0</v>
      </c>
    </row>
    <row r="296" spans="1:10" ht="13" x14ac:dyDescent="0.15">
      <c r="A296" s="6" t="str">
        <f ca="1">IFERROR(__xludf.DUMMYFUNCTION("""COMPUTED_VALUE"""),"Writing Style Preference")</f>
        <v>Writing Style Preference</v>
      </c>
      <c r="B296" s="6" t="str">
        <f ca="1">IFERROR(__xludf.DUMMYFUNCTION("""COMPUTED_VALUE"""),"Writing Style Preference")</f>
        <v>Writing Style Preference</v>
      </c>
      <c r="H296" s="6">
        <f ca="1"/>
        <v>0</v>
      </c>
      <c r="I296" s="6">
        <f ca="1"/>
        <v>0</v>
      </c>
      <c r="J296" s="6">
        <f ca="1"/>
        <v>0</v>
      </c>
    </row>
    <row r="297" spans="1:10" ht="13" x14ac:dyDescent="0.15">
      <c r="A297" s="6" t="str">
        <f ca="1">IFERROR(__xludf.DUMMYFUNCTION("""COMPUTED_VALUE"""),"Writing Style Preference")</f>
        <v>Writing Style Preference</v>
      </c>
      <c r="B297" s="6" t="str">
        <f ca="1">IFERROR(__xludf.DUMMYFUNCTION("""COMPUTED_VALUE"""),"Writing Style Preference")</f>
        <v>Writing Style Preference</v>
      </c>
      <c r="H297" s="6">
        <f ca="1"/>
        <v>0</v>
      </c>
      <c r="I297" s="6">
        <f ca="1"/>
        <v>0</v>
      </c>
      <c r="J297" s="6">
        <f ca="1"/>
        <v>0</v>
      </c>
    </row>
    <row r="298" spans="1:10" ht="13" x14ac:dyDescent="0.15">
      <c r="A298" s="6" t="str">
        <f ca="1">IFERROR(__xludf.DUMMYFUNCTION("""COMPUTED_VALUE"""),"Commit&amp;PR rule")</f>
        <v>Commit&amp;PR rule</v>
      </c>
      <c r="B298" s="6" t="str">
        <f ca="1">IFERROR(__xludf.DUMMYFUNCTION("""COMPUTED_VALUE"""),"Commit&amp;PR rule")</f>
        <v>Commit&amp;PR rule</v>
      </c>
      <c r="H298" s="6">
        <f ca="1"/>
        <v>0</v>
      </c>
      <c r="I298" s="6">
        <f ca="1"/>
        <v>0</v>
      </c>
      <c r="J298" s="6">
        <f ca="1"/>
        <v>0</v>
      </c>
    </row>
    <row r="299" spans="1:10" ht="13" x14ac:dyDescent="0.15">
      <c r="A299" s="6" t="str">
        <f ca="1">IFERROR(__xludf.DUMMYFUNCTION("""COMPUTED_VALUE"""),"Task Execution")</f>
        <v>Task Execution</v>
      </c>
      <c r="B299" s="6" t="str">
        <f ca="1">IFERROR(__xludf.DUMMYFUNCTION("""COMPUTED_VALUE"""),"Task Execution")</f>
        <v>Task Execution</v>
      </c>
      <c r="H299" s="6">
        <f ca="1"/>
        <v>0</v>
      </c>
      <c r="I299" s="6">
        <f ca="1"/>
        <v>0</v>
      </c>
      <c r="J299" s="6">
        <f ca="1"/>
        <v>0</v>
      </c>
    </row>
    <row r="300" spans="1:10" ht="13" x14ac:dyDescent="0.15">
      <c r="A300" s="6" t="str">
        <f ca="1">IFERROR(__xludf.DUMMYFUNCTION("""COMPUTED_VALUE"""),"Task Execution")</f>
        <v>Task Execution</v>
      </c>
      <c r="B300" s="6" t="str">
        <f ca="1">IFERROR(__xludf.DUMMYFUNCTION("""COMPUTED_VALUE"""),"Task Execution")</f>
        <v>Task Execution</v>
      </c>
      <c r="H300" s="6">
        <f ca="1"/>
        <v>0</v>
      </c>
      <c r="I300" s="6">
        <f ca="1"/>
        <v>0</v>
      </c>
      <c r="J300" s="6">
        <f ca="1"/>
        <v>0</v>
      </c>
    </row>
    <row r="301" spans="1:10" ht="13" x14ac:dyDescent="0.15">
      <c r="A301" s="6" t="str">
        <f ca="1">IFERROR(__xludf.DUMMYFUNCTION("""COMPUTED_VALUE"""),"Task Execution")</f>
        <v>Task Execution</v>
      </c>
      <c r="B301" s="6" t="str">
        <f ca="1">IFERROR(__xludf.DUMMYFUNCTION("""COMPUTED_VALUE"""),"Task Execution")</f>
        <v>Task Execution</v>
      </c>
      <c r="H301" s="6">
        <f ca="1"/>
        <v>0</v>
      </c>
      <c r="I301" s="6">
        <f ca="1"/>
        <v>0</v>
      </c>
      <c r="J301" s="6">
        <f ca="1"/>
        <v>0</v>
      </c>
    </row>
    <row r="302" spans="1:10" ht="13" x14ac:dyDescent="0.15">
      <c r="A302" s="6" t="str">
        <f ca="1">IFERROR(__xludf.DUMMYFUNCTION("""COMPUTED_VALUE"""),"Documentation")</f>
        <v>Documentation</v>
      </c>
      <c r="B302" s="6" t="str">
        <f ca="1">IFERROR(__xludf.DUMMYFUNCTION("""COMPUTED_VALUE"""),"Documentation")</f>
        <v>Documentation</v>
      </c>
      <c r="H302" s="6">
        <f ca="1"/>
        <v>0</v>
      </c>
      <c r="I302" s="6">
        <f ca="1"/>
        <v>0</v>
      </c>
      <c r="J302" s="6">
        <f ca="1"/>
        <v>0</v>
      </c>
    </row>
    <row r="303" spans="1:10" ht="13" x14ac:dyDescent="0.15">
      <c r="A303" s="6" t="str">
        <f ca="1">IFERROR(__xludf.DUMMYFUNCTION("""COMPUTED_VALUE"""),"Documentation")</f>
        <v>Documentation</v>
      </c>
      <c r="B303" s="6" t="str">
        <f ca="1">IFERROR(__xludf.DUMMYFUNCTION("""COMPUTED_VALUE"""),"Documentation")</f>
        <v>Documentation</v>
      </c>
      <c r="H303" s="6">
        <f ca="1"/>
        <v>0</v>
      </c>
      <c r="I303" s="6">
        <f ca="1"/>
        <v>0</v>
      </c>
      <c r="J303" s="6">
        <f ca="1"/>
        <v>0</v>
      </c>
    </row>
    <row r="304" spans="1:10" ht="13" x14ac:dyDescent="0.15">
      <c r="A304" s="6" t="str">
        <f ca="1">IFERROR(__xludf.DUMMYFUNCTION("""COMPUTED_VALUE"""),"Writing Style Preference")</f>
        <v>Writing Style Preference</v>
      </c>
      <c r="B304" s="6" t="str">
        <f ca="1">IFERROR(__xludf.DUMMYFUNCTION("""COMPUTED_VALUE"""),"Documentation")</f>
        <v>Documentation</v>
      </c>
      <c r="H304" s="6">
        <f ca="1"/>
        <v>0</v>
      </c>
      <c r="I304" s="6">
        <f ca="1"/>
        <v>0</v>
      </c>
      <c r="J304" s="6">
        <f ca="1"/>
        <v>0</v>
      </c>
    </row>
    <row r="305" spans="1:10" ht="13" x14ac:dyDescent="0.15">
      <c r="A305" s="6" t="str">
        <f ca="1">IFERROR(__xludf.DUMMYFUNCTION("""COMPUTED_VALUE"""),"Task Execution")</f>
        <v>Task Execution</v>
      </c>
      <c r="B305" s="6" t="str">
        <f ca="1">IFERROR(__xludf.DUMMYFUNCTION("""COMPUTED_VALUE"""),"Documentation")</f>
        <v>Documentation</v>
      </c>
      <c r="H305" s="6">
        <f ca="1"/>
        <v>0</v>
      </c>
      <c r="I305" s="6">
        <f ca="1"/>
        <v>0</v>
      </c>
      <c r="J305" s="6">
        <f ca="1"/>
        <v>0</v>
      </c>
    </row>
    <row r="306" spans="1:10" ht="13" x14ac:dyDescent="0.15">
      <c r="A306" s="6" t="str">
        <f ca="1">IFERROR(__xludf.DUMMYFUNCTION("""COMPUTED_VALUE"""),"Documentation")</f>
        <v>Documentation</v>
      </c>
      <c r="B306" s="6" t="str">
        <f ca="1">IFERROR(__xludf.DUMMYFUNCTION("""COMPUTED_VALUE"""),"Documentation")</f>
        <v>Documentation</v>
      </c>
      <c r="H306" s="6">
        <f ca="1"/>
        <v>0</v>
      </c>
      <c r="I306" s="6">
        <f ca="1"/>
        <v>0</v>
      </c>
      <c r="J306" s="6">
        <f ca="1"/>
        <v>0</v>
      </c>
    </row>
    <row r="307" spans="1:10" ht="13" x14ac:dyDescent="0.15">
      <c r="A307" s="6" t="str">
        <f ca="1">IFERROR(__xludf.DUMMYFUNCTION("""COMPUTED_VALUE"""),"Maintainability")</f>
        <v>Maintainability</v>
      </c>
      <c r="B307" s="6" t="str">
        <f ca="1">IFERROR(__xludf.DUMMYFUNCTION("""COMPUTED_VALUE"""),"Maintainability")</f>
        <v>Maintainability</v>
      </c>
      <c r="H307" s="6">
        <f ca="1"/>
        <v>0</v>
      </c>
      <c r="I307" s="6">
        <f ca="1"/>
        <v>0</v>
      </c>
      <c r="J307" s="6">
        <f ca="1"/>
        <v>0</v>
      </c>
    </row>
    <row r="308" spans="1:10" ht="13" x14ac:dyDescent="0.15">
      <c r="A308" s="6" t="str">
        <f ca="1">IFERROR(__xludf.DUMMYFUNCTION("""COMPUTED_VALUE"""),"Coding Pattern")</f>
        <v>Coding Pattern</v>
      </c>
      <c r="B308" s="6" t="str">
        <f ca="1">IFERROR(__xludf.DUMMYFUNCTION("""COMPUTED_VALUE"""),"Coding Pattern")</f>
        <v>Coding Pattern</v>
      </c>
      <c r="H308" s="6">
        <f ca="1"/>
        <v>0</v>
      </c>
      <c r="I308" s="6">
        <f ca="1"/>
        <v>0</v>
      </c>
      <c r="J308" s="6">
        <f ca="1"/>
        <v>0</v>
      </c>
    </row>
    <row r="309" spans="1:10" ht="13" x14ac:dyDescent="0.15">
      <c r="A309" s="6" t="str">
        <f ca="1">IFERROR(__xludf.DUMMYFUNCTION("""COMPUTED_VALUE"""),"Maintainability")</f>
        <v>Maintainability</v>
      </c>
      <c r="B309" s="6" t="str">
        <f ca="1">IFERROR(__xludf.DUMMYFUNCTION("""COMPUTED_VALUE"""),"Maintainability")</f>
        <v>Maintainability</v>
      </c>
      <c r="H309" s="6">
        <f ca="1"/>
        <v>0</v>
      </c>
      <c r="I309" s="6">
        <f ca="1"/>
        <v>0</v>
      </c>
      <c r="J309" s="6">
        <f ca="1"/>
        <v>0</v>
      </c>
    </row>
    <row r="310" spans="1:10" ht="13" x14ac:dyDescent="0.15">
      <c r="A310" s="6" t="str">
        <f ca="1">IFERROR(__xludf.DUMMYFUNCTION("""COMPUTED_VALUE"""),"Coding Pattern")</f>
        <v>Coding Pattern</v>
      </c>
      <c r="B310" s="6" t="str">
        <f ca="1">IFERROR(__xludf.DUMMYFUNCTION("""COMPUTED_VALUE"""),"Coding Pattern")</f>
        <v>Coding Pattern</v>
      </c>
      <c r="H310" s="6">
        <f ca="1"/>
        <v>0</v>
      </c>
      <c r="I310" s="6">
        <f ca="1"/>
        <v>0</v>
      </c>
      <c r="J310" s="6">
        <f ca="1"/>
        <v>0</v>
      </c>
    </row>
    <row r="311" spans="1:10" ht="13" x14ac:dyDescent="0.15">
      <c r="A311" s="6" t="str">
        <f ca="1">IFERROR(__xludf.DUMMYFUNCTION("""COMPUTED_VALUE"""),"Coding Pattern")</f>
        <v>Coding Pattern</v>
      </c>
      <c r="B311" s="6" t="str">
        <f ca="1">IFERROR(__xludf.DUMMYFUNCTION("""COMPUTED_VALUE"""),"Coding Pattern")</f>
        <v>Coding Pattern</v>
      </c>
      <c r="H311" s="6">
        <f ca="1"/>
        <v>0</v>
      </c>
      <c r="I311" s="6">
        <f ca="1"/>
        <v>0</v>
      </c>
      <c r="J311" s="6">
        <f ca="1"/>
        <v>0</v>
      </c>
    </row>
    <row r="312" spans="1:10" ht="13" x14ac:dyDescent="0.15">
      <c r="A312" s="6" t="str">
        <f ca="1">IFERROR(__xludf.DUMMYFUNCTION("""COMPUTED_VALUE"""),"Coding Pattern")</f>
        <v>Coding Pattern</v>
      </c>
      <c r="B312" s="6" t="str">
        <f ca="1">IFERROR(__xludf.DUMMYFUNCTION("""COMPUTED_VALUE"""),"Coding Pattern")</f>
        <v>Coding Pattern</v>
      </c>
      <c r="H312" s="6">
        <f ca="1"/>
        <v>0</v>
      </c>
      <c r="I312" s="6">
        <f ca="1"/>
        <v>0</v>
      </c>
      <c r="J312" s="6">
        <f ca="1"/>
        <v>0</v>
      </c>
    </row>
    <row r="313" spans="1:10" ht="13" x14ac:dyDescent="0.15">
      <c r="A313" s="6" t="str">
        <f ca="1">IFERROR(__xludf.DUMMYFUNCTION("""COMPUTED_VALUE"""),"Writing Style Preference")</f>
        <v>Writing Style Preference</v>
      </c>
      <c r="B313" s="6" t="str">
        <f ca="1">IFERROR(__xludf.DUMMYFUNCTION("""COMPUTED_VALUE"""),"Documentation")</f>
        <v>Documentation</v>
      </c>
      <c r="H313" s="6">
        <f ca="1"/>
        <v>0</v>
      </c>
      <c r="I313" s="6">
        <f ca="1"/>
        <v>0</v>
      </c>
      <c r="J313" s="6">
        <f ca="1"/>
        <v>0</v>
      </c>
    </row>
    <row r="314" spans="1:10" ht="13" x14ac:dyDescent="0.15">
      <c r="A314" s="6" t="str">
        <f ca="1">IFERROR(__xludf.DUMMYFUNCTION("""COMPUTED_VALUE"""),"Testing")</f>
        <v>Testing</v>
      </c>
      <c r="B314" s="6" t="str">
        <f ca="1">IFERROR(__xludf.DUMMYFUNCTION("""COMPUTED_VALUE"""),"Testing")</f>
        <v>Testing</v>
      </c>
      <c r="H314" s="6">
        <f ca="1"/>
        <v>0</v>
      </c>
      <c r="I314" s="6">
        <f ca="1"/>
        <v>0</v>
      </c>
      <c r="J314" s="6">
        <f ca="1"/>
        <v>0</v>
      </c>
    </row>
    <row r="315" spans="1:10" ht="13" x14ac:dyDescent="0.15">
      <c r="A315" s="6" t="str">
        <f ca="1">IFERROR(__xludf.DUMMYFUNCTION("""COMPUTED_VALUE"""),"Commit&amp;PR rule")</f>
        <v>Commit&amp;PR rule</v>
      </c>
      <c r="B315" s="6" t="str">
        <f ca="1">IFERROR(__xludf.DUMMYFUNCTION("""COMPUTED_VALUE"""),"Commit&amp;PR rule")</f>
        <v>Commit&amp;PR rule</v>
      </c>
      <c r="H315" s="6">
        <f ca="1"/>
        <v>0</v>
      </c>
      <c r="I315" s="6">
        <f ca="1"/>
        <v>0</v>
      </c>
      <c r="J315" s="6">
        <f ca="1"/>
        <v>0</v>
      </c>
    </row>
    <row r="316" spans="1:10" ht="13" x14ac:dyDescent="0.15">
      <c r="A316" s="6" t="str">
        <f ca="1">IFERROR(__xludf.DUMMYFUNCTION("""COMPUTED_VALUE"""),"Commit&amp;PR rule")</f>
        <v>Commit&amp;PR rule</v>
      </c>
      <c r="B316" s="6" t="str">
        <f ca="1">IFERROR(__xludf.DUMMYFUNCTION("""COMPUTED_VALUE"""),"Commit&amp;PR rule")</f>
        <v>Commit&amp;PR rule</v>
      </c>
      <c r="H316" s="6">
        <f ca="1"/>
        <v>0</v>
      </c>
      <c r="I316" s="6">
        <f ca="1"/>
        <v>0</v>
      </c>
      <c r="J316" s="6">
        <f ca="1"/>
        <v>0</v>
      </c>
    </row>
    <row r="317" spans="1:10" ht="13" x14ac:dyDescent="0.15">
      <c r="A317" s="6" t="str">
        <f ca="1">IFERROR(__xludf.DUMMYFUNCTION("""COMPUTED_VALUE"""),"Coding Pattern")</f>
        <v>Coding Pattern</v>
      </c>
      <c r="B317" s="6" t="str">
        <f ca="1">IFERROR(__xludf.DUMMYFUNCTION("""COMPUTED_VALUE"""),"Coding Pattern")</f>
        <v>Coding Pattern</v>
      </c>
      <c r="H317" s="6">
        <f ca="1"/>
        <v>0</v>
      </c>
      <c r="I317" s="6">
        <f ca="1"/>
        <v>0</v>
      </c>
      <c r="J317" s="6">
        <f ca="1"/>
        <v>0</v>
      </c>
    </row>
    <row r="318" spans="1:10" ht="13" x14ac:dyDescent="0.15">
      <c r="A318" s="6" t="str">
        <f ca="1">IFERROR(__xludf.DUMMYFUNCTION("""COMPUTED_VALUE"""),"Coding Pattern")</f>
        <v>Coding Pattern</v>
      </c>
      <c r="B318" s="6" t="str">
        <f ca="1">IFERROR(__xludf.DUMMYFUNCTION("""COMPUTED_VALUE"""),"Coding Pattern")</f>
        <v>Coding Pattern</v>
      </c>
      <c r="H318" s="6">
        <f ca="1"/>
        <v>0</v>
      </c>
      <c r="I318" s="6">
        <f ca="1"/>
        <v>0</v>
      </c>
      <c r="J318" s="6">
        <f ca="1"/>
        <v>0</v>
      </c>
    </row>
    <row r="319" spans="1:10" ht="13" x14ac:dyDescent="0.15">
      <c r="A319" s="6" t="str">
        <f ca="1">IFERROR(__xludf.DUMMYFUNCTION("""COMPUTED_VALUE"""),"Coding Pattern")</f>
        <v>Coding Pattern</v>
      </c>
      <c r="B319" s="6" t="str">
        <f ca="1">IFERROR(__xludf.DUMMYFUNCTION("""COMPUTED_VALUE"""),"Coding Pattern")</f>
        <v>Coding Pattern</v>
      </c>
      <c r="H319" s="6">
        <f ca="1"/>
        <v>0</v>
      </c>
      <c r="I319" s="6">
        <f ca="1"/>
        <v>0</v>
      </c>
      <c r="J319" s="6">
        <f ca="1"/>
        <v>0</v>
      </c>
    </row>
    <row r="320" spans="1:10" ht="13" x14ac:dyDescent="0.15">
      <c r="A320" s="6" t="str">
        <f ca="1">IFERROR(__xludf.DUMMYFUNCTION("""COMPUTED_VALUE"""),"Performance")</f>
        <v>Performance</v>
      </c>
      <c r="B320" s="6" t="str">
        <f ca="1">IFERROR(__xludf.DUMMYFUNCTION("""COMPUTED_VALUE"""),"Performance")</f>
        <v>Performance</v>
      </c>
      <c r="H320" s="6">
        <f ca="1"/>
        <v>0</v>
      </c>
      <c r="I320" s="6">
        <f ca="1"/>
        <v>0</v>
      </c>
      <c r="J320" s="6">
        <f ca="1"/>
        <v>0</v>
      </c>
    </row>
    <row r="321" spans="1:10" ht="13" x14ac:dyDescent="0.15">
      <c r="A321" s="6" t="str">
        <f ca="1">IFERROR(__xludf.DUMMYFUNCTION("""COMPUTED_VALUE"""),"Testing")</f>
        <v>Testing</v>
      </c>
      <c r="B321" s="6" t="str">
        <f ca="1">IFERROR(__xludf.DUMMYFUNCTION("""COMPUTED_VALUE"""),"Testing")</f>
        <v>Testing</v>
      </c>
      <c r="H321" s="6">
        <f ca="1"/>
        <v>0</v>
      </c>
      <c r="I321" s="6">
        <f ca="1"/>
        <v>0</v>
      </c>
      <c r="J321" s="6">
        <f ca="1"/>
        <v>0</v>
      </c>
    </row>
    <row r="322" spans="1:10" ht="13" x14ac:dyDescent="0.15">
      <c r="A322" s="6" t="str">
        <f ca="1">IFERROR(__xludf.DUMMYFUNCTION("""COMPUTED_VALUE"""),"Build &amp; Operation")</f>
        <v>Build &amp; Operation</v>
      </c>
      <c r="B322" s="6" t="str">
        <f ca="1">IFERROR(__xludf.DUMMYFUNCTION("""COMPUTED_VALUE"""),"Build &amp; Operation")</f>
        <v>Build &amp; Operation</v>
      </c>
      <c r="H322" s="6">
        <f ca="1"/>
        <v>0</v>
      </c>
      <c r="I322" s="6">
        <f ca="1"/>
        <v>0</v>
      </c>
      <c r="J322" s="6">
        <f ca="1"/>
        <v>0</v>
      </c>
    </row>
    <row r="323" spans="1:10" ht="13" x14ac:dyDescent="0.15">
      <c r="A323" s="6" t="str">
        <f ca="1">IFERROR(__xludf.DUMMYFUNCTION("""COMPUTED_VALUE"""),"Coding Pattern")</f>
        <v>Coding Pattern</v>
      </c>
      <c r="B323" s="6" t="str">
        <f ca="1">IFERROR(__xludf.DUMMYFUNCTION("""COMPUTED_VALUE"""),"Testing")</f>
        <v>Testing</v>
      </c>
      <c r="H323" s="6">
        <f ca="1"/>
        <v>0</v>
      </c>
      <c r="I323" s="6">
        <f ca="1"/>
        <v>0</v>
      </c>
      <c r="J323" s="6">
        <f ca="1"/>
        <v>0</v>
      </c>
    </row>
    <row r="324" spans="1:10" ht="13" x14ac:dyDescent="0.15">
      <c r="A324" s="6" t="str">
        <f ca="1">IFERROR(__xludf.DUMMYFUNCTION("""COMPUTED_VALUE"""),"Coding Pattern")</f>
        <v>Coding Pattern</v>
      </c>
      <c r="B324" s="6" t="str">
        <f ca="1">IFERROR(__xludf.DUMMYFUNCTION("""COMPUTED_VALUE"""),"Coding Pattern")</f>
        <v>Coding Pattern</v>
      </c>
      <c r="H324" s="6">
        <f ca="1"/>
        <v>0</v>
      </c>
      <c r="I324" s="6">
        <f ca="1"/>
        <v>0</v>
      </c>
      <c r="J324" s="6">
        <f ca="1"/>
        <v>0</v>
      </c>
    </row>
    <row r="325" spans="1:10" ht="13" x14ac:dyDescent="0.15">
      <c r="A325" s="6" t="str">
        <f ca="1">IFERROR(__xludf.DUMMYFUNCTION("""COMPUTED_VALUE"""),"Coding Pattern")</f>
        <v>Coding Pattern</v>
      </c>
      <c r="B325" s="6" t="str">
        <f ca="1">IFERROR(__xludf.DUMMYFUNCTION("""COMPUTED_VALUE"""),"Coding Pattern")</f>
        <v>Coding Pattern</v>
      </c>
      <c r="H325" s="6">
        <f ca="1"/>
        <v>0</v>
      </c>
      <c r="I325" s="6">
        <f ca="1"/>
        <v>0</v>
      </c>
      <c r="J325" s="6">
        <f ca="1"/>
        <v>0</v>
      </c>
    </row>
    <row r="326" spans="1:10" ht="13" x14ac:dyDescent="0.15">
      <c r="A326" s="6" t="str">
        <f ca="1">IFERROR(__xludf.DUMMYFUNCTION("""COMPUTED_VALUE"""),"Maintainability")</f>
        <v>Maintainability</v>
      </c>
      <c r="B326" s="6" t="str">
        <f ca="1">IFERROR(__xludf.DUMMYFUNCTION("""COMPUTED_VALUE"""),"Maintainability")</f>
        <v>Maintainability</v>
      </c>
      <c r="H326" s="6">
        <f ca="1"/>
        <v>0</v>
      </c>
      <c r="I326" s="6">
        <f ca="1"/>
        <v>0</v>
      </c>
      <c r="J326" s="6">
        <f ca="1"/>
        <v>0</v>
      </c>
    </row>
    <row r="327" spans="1:10" ht="13" x14ac:dyDescent="0.15">
      <c r="A327" s="6" t="str">
        <f ca="1">IFERROR(__xludf.DUMMYFUNCTION("""COMPUTED_VALUE"""),"Commit&amp;PR rule")</f>
        <v>Commit&amp;PR rule</v>
      </c>
      <c r="B327" s="6" t="str">
        <f ca="1">IFERROR(__xludf.DUMMYFUNCTION("""COMPUTED_VALUE"""),"Commit&amp;PR rule")</f>
        <v>Commit&amp;PR rule</v>
      </c>
      <c r="H327" s="6">
        <f ca="1"/>
        <v>0</v>
      </c>
      <c r="I327" s="6">
        <f ca="1"/>
        <v>0</v>
      </c>
      <c r="J327" s="6">
        <f ca="1"/>
        <v>0</v>
      </c>
    </row>
    <row r="328" spans="1:10" ht="13" x14ac:dyDescent="0.15">
      <c r="A328" s="6" t="str">
        <f ca="1">IFERROR(__xludf.DUMMYFUNCTION("""COMPUTED_VALUE"""),"Task Execution")</f>
        <v>Task Execution</v>
      </c>
      <c r="B328" s="6" t="str">
        <f ca="1">IFERROR(__xludf.DUMMYFUNCTION("""COMPUTED_VALUE"""),"Build &amp; Operation")</f>
        <v>Build &amp; Operation</v>
      </c>
      <c r="H328" s="6">
        <f ca="1"/>
        <v>0</v>
      </c>
      <c r="I328" s="6">
        <f ca="1"/>
        <v>0</v>
      </c>
      <c r="J328" s="6">
        <f ca="1"/>
        <v>0</v>
      </c>
    </row>
    <row r="329" spans="1:10" ht="13" x14ac:dyDescent="0.15">
      <c r="A329" s="6" t="str">
        <f ca="1">IFERROR(__xludf.DUMMYFUNCTION("""COMPUTED_VALUE"""),"Task Execution")</f>
        <v>Task Execution</v>
      </c>
      <c r="B329" s="6" t="str">
        <f ca="1">IFERROR(__xludf.DUMMYFUNCTION("""COMPUTED_VALUE"""),"Build &amp; Operation")</f>
        <v>Build &amp; Operation</v>
      </c>
      <c r="H329" s="6">
        <f ca="1"/>
        <v>0</v>
      </c>
      <c r="I329" s="6">
        <f ca="1"/>
        <v>0</v>
      </c>
      <c r="J329" s="6">
        <f ca="1"/>
        <v>0</v>
      </c>
    </row>
    <row r="330" spans="1:10" ht="13" x14ac:dyDescent="0.15">
      <c r="A330" s="6" t="str">
        <f ca="1">IFERROR(__xludf.DUMMYFUNCTION("""COMPUTED_VALUE"""),"Testing")</f>
        <v>Testing</v>
      </c>
      <c r="B330" s="6" t="str">
        <f ca="1">IFERROR(__xludf.DUMMYFUNCTION("""COMPUTED_VALUE"""),"Testing")</f>
        <v>Testing</v>
      </c>
      <c r="H330" s="6">
        <f ca="1"/>
        <v>0</v>
      </c>
      <c r="I330" s="6">
        <f ca="1"/>
        <v>0</v>
      </c>
      <c r="J330" s="6">
        <f ca="1"/>
        <v>0</v>
      </c>
    </row>
    <row r="331" spans="1:10" ht="13" x14ac:dyDescent="0.15">
      <c r="A331" s="6" t="str">
        <f ca="1">IFERROR(__xludf.DUMMYFUNCTION("""COMPUTED_VALUE"""),"Commit&amp;PR rule")</f>
        <v>Commit&amp;PR rule</v>
      </c>
      <c r="B331" s="6" t="str">
        <f ca="1">IFERROR(__xludf.DUMMYFUNCTION("""COMPUTED_VALUE"""),"Commit&amp;PR rule")</f>
        <v>Commit&amp;PR rule</v>
      </c>
      <c r="H331" s="6">
        <f ca="1"/>
        <v>0</v>
      </c>
      <c r="I331" s="6">
        <f ca="1"/>
        <v>0</v>
      </c>
      <c r="J331" s="6">
        <f ca="1"/>
        <v>0</v>
      </c>
    </row>
    <row r="332" spans="1:10" ht="13" x14ac:dyDescent="0.15">
      <c r="A332" s="6" t="str">
        <f ca="1">IFERROR(__xludf.DUMMYFUNCTION("""COMPUTED_VALUE"""),"Coding Pattern")</f>
        <v>Coding Pattern</v>
      </c>
      <c r="B332" s="6" t="str">
        <f ca="1">IFERROR(__xludf.DUMMYFUNCTION("""COMPUTED_VALUE"""),"Coding Pattern")</f>
        <v>Coding Pattern</v>
      </c>
      <c r="H332" s="6">
        <f ca="1"/>
        <v>0</v>
      </c>
      <c r="I332" s="6">
        <f ca="1"/>
        <v>0</v>
      </c>
      <c r="J332" s="6">
        <f ca="1"/>
        <v>0</v>
      </c>
    </row>
    <row r="333" spans="1:10" ht="13" x14ac:dyDescent="0.15">
      <c r="A333" s="6" t="str">
        <f ca="1">IFERROR(__xludf.DUMMYFUNCTION("""COMPUTED_VALUE"""),"Testing")</f>
        <v>Testing</v>
      </c>
      <c r="B333" s="6" t="str">
        <f ca="1">IFERROR(__xludf.DUMMYFUNCTION("""COMPUTED_VALUE"""),"Testing")</f>
        <v>Testing</v>
      </c>
      <c r="H333" s="6">
        <f ca="1"/>
        <v>0</v>
      </c>
      <c r="I333" s="6">
        <f ca="1"/>
        <v>0</v>
      </c>
      <c r="J333" s="6">
        <f ca="1"/>
        <v>0</v>
      </c>
    </row>
    <row r="334" spans="1:10" ht="13" x14ac:dyDescent="0.15">
      <c r="A334" s="6" t="str">
        <f ca="1">IFERROR(__xludf.DUMMYFUNCTION("""COMPUTED_VALUE"""),"Testing")</f>
        <v>Testing</v>
      </c>
      <c r="B334" s="6" t="str">
        <f ca="1">IFERROR(__xludf.DUMMYFUNCTION("""COMPUTED_VALUE"""),"Task Execution")</f>
        <v>Task Execution</v>
      </c>
      <c r="H334" s="6">
        <f ca="1"/>
        <v>0</v>
      </c>
      <c r="I334" s="6">
        <f ca="1"/>
        <v>0</v>
      </c>
      <c r="J334" s="6">
        <f ca="1"/>
        <v>0</v>
      </c>
    </row>
    <row r="335" spans="1:10" ht="13" x14ac:dyDescent="0.15">
      <c r="A335" s="6" t="str">
        <f ca="1">IFERROR(__xludf.DUMMYFUNCTION("""COMPUTED_VALUE"""),"Task Execution")</f>
        <v>Task Execution</v>
      </c>
      <c r="B335" s="6" t="str">
        <f ca="1">IFERROR(__xludf.DUMMYFUNCTION("""COMPUTED_VALUE"""),"Task Execution")</f>
        <v>Task Execution</v>
      </c>
      <c r="H335" s="6">
        <f ca="1"/>
        <v>0</v>
      </c>
      <c r="I335" s="6">
        <f ca="1"/>
        <v>0</v>
      </c>
      <c r="J335" s="6">
        <f ca="1"/>
        <v>0</v>
      </c>
    </row>
    <row r="336" spans="1:10" ht="13" x14ac:dyDescent="0.15">
      <c r="A336" s="6" t="str">
        <f ca="1">IFERROR(__xludf.DUMMYFUNCTION("""COMPUTED_VALUE"""),"Documentation")</f>
        <v>Documentation</v>
      </c>
      <c r="B336" s="6" t="str">
        <f ca="1">IFERROR(__xludf.DUMMYFUNCTION("""COMPUTED_VALUE"""),"Documentation")</f>
        <v>Documentation</v>
      </c>
      <c r="H336" s="6">
        <f ca="1"/>
        <v>0</v>
      </c>
      <c r="I336" s="6">
        <f ca="1"/>
        <v>0</v>
      </c>
      <c r="J336" s="6">
        <f ca="1"/>
        <v>0</v>
      </c>
    </row>
    <row r="337" spans="1:10" ht="13" x14ac:dyDescent="0.15">
      <c r="A337" s="6" t="str">
        <f ca="1">IFERROR(__xludf.DUMMYFUNCTION("""COMPUTED_VALUE"""),"NOT_ENOUGH_CONTEXT")</f>
        <v>NOT_ENOUGH_CONTEXT</v>
      </c>
      <c r="B337" s="6" t="str">
        <f ca="1">IFERROR(__xludf.DUMMYFUNCTION("""COMPUTED_VALUE"""),"NOT_ENOUGH_CONTEXT")</f>
        <v>NOT_ENOUGH_CONTEXT</v>
      </c>
      <c r="H337" s="6">
        <f ca="1"/>
        <v>0</v>
      </c>
      <c r="I337" s="6">
        <f ca="1"/>
        <v>0</v>
      </c>
      <c r="J337" s="6">
        <f ca="1"/>
        <v>0</v>
      </c>
    </row>
    <row r="338" spans="1:10" ht="13" x14ac:dyDescent="0.15">
      <c r="A338" s="6" t="str">
        <f ca="1">IFERROR(__xludf.DUMMYFUNCTION("""COMPUTED_VALUE"""),"Coding Pattern")</f>
        <v>Coding Pattern</v>
      </c>
      <c r="B338" s="6" t="str">
        <f ca="1">IFERROR(__xludf.DUMMYFUNCTION("""COMPUTED_VALUE"""),"Coding Pattern")</f>
        <v>Coding Pattern</v>
      </c>
      <c r="H338" s="6">
        <f ca="1"/>
        <v>0</v>
      </c>
      <c r="I338" s="6">
        <f ca="1"/>
        <v>0</v>
      </c>
      <c r="J338" s="6">
        <f ca="1"/>
        <v>0</v>
      </c>
    </row>
    <row r="339" spans="1:10" ht="13" x14ac:dyDescent="0.15">
      <c r="A339" s="6" t="str">
        <f ca="1">IFERROR(__xludf.DUMMYFUNCTION("""COMPUTED_VALUE"""),"Coding Style")</f>
        <v>Coding Style</v>
      </c>
      <c r="B339" s="6" t="str">
        <f ca="1">IFERROR(__xludf.DUMMYFUNCTION("""COMPUTED_VALUE"""),"Coding Style")</f>
        <v>Coding Style</v>
      </c>
      <c r="H339" s="6">
        <f ca="1"/>
        <v>0</v>
      </c>
      <c r="I339" s="6">
        <f ca="1"/>
        <v>0</v>
      </c>
      <c r="J339" s="6">
        <f ca="1"/>
        <v>0</v>
      </c>
    </row>
    <row r="340" spans="1:10" ht="13" x14ac:dyDescent="0.15">
      <c r="A340" s="6" t="str">
        <f ca="1">IFERROR(__xludf.DUMMYFUNCTION("""COMPUTED_VALUE"""),"Task Execution")</f>
        <v>Task Execution</v>
      </c>
      <c r="B340" s="6" t="str">
        <f ca="1">IFERROR(__xludf.DUMMYFUNCTION("""COMPUTED_VALUE"""),"Task Execution")</f>
        <v>Task Execution</v>
      </c>
      <c r="H340" s="6">
        <f ca="1"/>
        <v>0</v>
      </c>
      <c r="I340" s="6">
        <f ca="1"/>
        <v>0</v>
      </c>
      <c r="J340" s="6">
        <f ca="1"/>
        <v>0</v>
      </c>
    </row>
    <row r="341" spans="1:10" ht="13" x14ac:dyDescent="0.15">
      <c r="A341" s="6" t="str">
        <f ca="1">IFERROR(__xludf.DUMMYFUNCTION("""COMPUTED_VALUE"""),"Task Execution")</f>
        <v>Task Execution</v>
      </c>
      <c r="B341" s="6" t="str">
        <f ca="1">IFERROR(__xludf.DUMMYFUNCTION("""COMPUTED_VALUE"""),"Task Execution")</f>
        <v>Task Execution</v>
      </c>
      <c r="H341" s="6">
        <f ca="1"/>
        <v>0</v>
      </c>
      <c r="I341" s="6">
        <f ca="1"/>
        <v>0</v>
      </c>
      <c r="J341" s="6">
        <f ca="1"/>
        <v>0</v>
      </c>
    </row>
    <row r="342" spans="1:10" ht="13" x14ac:dyDescent="0.15">
      <c r="A342" s="6" t="str">
        <f ca="1">IFERROR(__xludf.DUMMYFUNCTION("""COMPUTED_VALUE"""),"Build &amp; Operation")</f>
        <v>Build &amp; Operation</v>
      </c>
      <c r="B342" s="6" t="str">
        <f ca="1">IFERROR(__xludf.DUMMYFUNCTION("""COMPUTED_VALUE"""),"Build &amp; Operation")</f>
        <v>Build &amp; Operation</v>
      </c>
      <c r="H342" s="6">
        <f ca="1"/>
        <v>0</v>
      </c>
      <c r="I342" s="6">
        <f ca="1"/>
        <v>0</v>
      </c>
      <c r="J342" s="6">
        <f ca="1"/>
        <v>0</v>
      </c>
    </row>
    <row r="343" spans="1:10" ht="13" x14ac:dyDescent="0.15">
      <c r="A343" s="6" t="str">
        <f ca="1">IFERROR(__xludf.DUMMYFUNCTION("""COMPUTED_VALUE"""),"Build &amp; Operation")</f>
        <v>Build &amp; Operation</v>
      </c>
      <c r="B343" s="6" t="str">
        <f ca="1">IFERROR(__xludf.DUMMYFUNCTION("""COMPUTED_VALUE"""),"Build &amp; Operation")</f>
        <v>Build &amp; Operation</v>
      </c>
      <c r="H343" s="6">
        <f ca="1"/>
        <v>0</v>
      </c>
      <c r="I343" s="6">
        <f ca="1"/>
        <v>0</v>
      </c>
      <c r="J343" s="6">
        <f ca="1"/>
        <v>0</v>
      </c>
    </row>
    <row r="344" spans="1:10" ht="13" x14ac:dyDescent="0.15">
      <c r="A344" s="6" t="str">
        <f ca="1">IFERROR(__xludf.DUMMYFUNCTION("""COMPUTED_VALUE"""),"Writing Style Preference")</f>
        <v>Writing Style Preference</v>
      </c>
      <c r="B344" s="6" t="str">
        <f ca="1">IFERROR(__xludf.DUMMYFUNCTION("""COMPUTED_VALUE"""),"Coding Pattern")</f>
        <v>Coding Pattern</v>
      </c>
      <c r="H344" s="6">
        <f ca="1"/>
        <v>0</v>
      </c>
      <c r="I344" s="6">
        <f ca="1"/>
        <v>0</v>
      </c>
      <c r="J344" s="6">
        <f ca="1"/>
        <v>0</v>
      </c>
    </row>
    <row r="345" spans="1:10" ht="13" x14ac:dyDescent="0.15">
      <c r="A345" s="6" t="str">
        <f ca="1">IFERROR(__xludf.DUMMYFUNCTION("""COMPUTED_VALUE"""),"NOT_ENOUGH_CONTEXT")</f>
        <v>NOT_ENOUGH_CONTEXT</v>
      </c>
      <c r="B345" s="6" t="str">
        <f ca="1">IFERROR(__xludf.DUMMYFUNCTION("""COMPUTED_VALUE"""),"NOT_ENOUGH_CONTEXT")</f>
        <v>NOT_ENOUGH_CONTEXT</v>
      </c>
      <c r="H345" s="6">
        <f ca="1"/>
        <v>0</v>
      </c>
      <c r="I345" s="6">
        <f ca="1"/>
        <v>0</v>
      </c>
      <c r="J345" s="6">
        <f ca="1"/>
        <v>0</v>
      </c>
    </row>
    <row r="346" spans="1:10" ht="13" x14ac:dyDescent="0.15">
      <c r="A346" s="6" t="str">
        <f ca="1">IFERROR(__xludf.DUMMYFUNCTION("""COMPUTED_VALUE"""),"Coding Pattern")</f>
        <v>Coding Pattern</v>
      </c>
      <c r="B346" s="6" t="str">
        <f ca="1">IFERROR(__xludf.DUMMYFUNCTION("""COMPUTED_VALUE"""),"Coding Pattern")</f>
        <v>Coding Pattern</v>
      </c>
      <c r="H346" s="6">
        <f ca="1"/>
        <v>0</v>
      </c>
      <c r="I346" s="6">
        <f ca="1"/>
        <v>0</v>
      </c>
      <c r="J346" s="6">
        <f ca="1"/>
        <v>0</v>
      </c>
    </row>
    <row r="347" spans="1:10" ht="13" x14ac:dyDescent="0.15">
      <c r="A347" s="6" t="str">
        <f ca="1">IFERROR(__xludf.DUMMYFUNCTION("""COMPUTED_VALUE"""),"Coding Pattern")</f>
        <v>Coding Pattern</v>
      </c>
      <c r="B347" s="6" t="str">
        <f ca="1">IFERROR(__xludf.DUMMYFUNCTION("""COMPUTED_VALUE"""),"Coding Pattern")</f>
        <v>Coding Pattern</v>
      </c>
      <c r="H347" s="6">
        <f ca="1"/>
        <v>0</v>
      </c>
      <c r="I347" s="6">
        <f ca="1"/>
        <v>0</v>
      </c>
      <c r="J347" s="6">
        <f ca="1"/>
        <v>0</v>
      </c>
    </row>
    <row r="348" spans="1:10" ht="13" x14ac:dyDescent="0.15">
      <c r="A348" s="6" t="str">
        <f ca="1">IFERROR(__xludf.DUMMYFUNCTION("""COMPUTED_VALUE"""),"Build &amp; Operation")</f>
        <v>Build &amp; Operation</v>
      </c>
      <c r="B348" s="6" t="str">
        <f ca="1">IFERROR(__xludf.DUMMYFUNCTION("""COMPUTED_VALUE"""),"Coding Pattern")</f>
        <v>Coding Pattern</v>
      </c>
      <c r="H348" s="6">
        <f ca="1"/>
        <v>0</v>
      </c>
      <c r="I348" s="6">
        <f ca="1"/>
        <v>0</v>
      </c>
      <c r="J348" s="6">
        <f ca="1"/>
        <v>0</v>
      </c>
    </row>
    <row r="349" spans="1:10" ht="13" x14ac:dyDescent="0.15">
      <c r="A349" s="6" t="str">
        <f ca="1">IFERROR(__xludf.DUMMYFUNCTION("""COMPUTED_VALUE"""),"Commit&amp;PR rule")</f>
        <v>Commit&amp;PR rule</v>
      </c>
      <c r="B349" s="6" t="str">
        <f ca="1">IFERROR(__xludf.DUMMYFUNCTION("""COMPUTED_VALUE"""),"Commit&amp;PR rule")</f>
        <v>Commit&amp;PR rule</v>
      </c>
      <c r="H349" s="6">
        <f ca="1"/>
        <v>0</v>
      </c>
      <c r="I349" s="6">
        <f ca="1"/>
        <v>0</v>
      </c>
      <c r="J349" s="6">
        <f ca="1"/>
        <v>0</v>
      </c>
    </row>
    <row r="350" spans="1:10" ht="13" x14ac:dyDescent="0.15">
      <c r="A350" s="6" t="str">
        <f ca="1">IFERROR(__xludf.DUMMYFUNCTION("""COMPUTED_VALUE"""),"Build &amp; Operation")</f>
        <v>Build &amp; Operation</v>
      </c>
      <c r="B350" s="6" t="str">
        <f ca="1">IFERROR(__xludf.DUMMYFUNCTION("""COMPUTED_VALUE"""),"Build &amp; Operation")</f>
        <v>Build &amp; Operation</v>
      </c>
      <c r="H350" s="6">
        <f ca="1"/>
        <v>0</v>
      </c>
      <c r="I350" s="6">
        <f ca="1"/>
        <v>0</v>
      </c>
      <c r="J350" s="6">
        <f ca="1"/>
        <v>0</v>
      </c>
    </row>
    <row r="351" spans="1:10" ht="13" x14ac:dyDescent="0.15">
      <c r="A351" s="6" t="str">
        <f ca="1">IFERROR(__xludf.DUMMYFUNCTION("""COMPUTED_VALUE"""),"Testing")</f>
        <v>Testing</v>
      </c>
      <c r="B351" s="6" t="str">
        <f ca="1">IFERROR(__xludf.DUMMYFUNCTION("""COMPUTED_VALUE"""),"Testing")</f>
        <v>Testing</v>
      </c>
      <c r="H351" s="6">
        <f ca="1"/>
        <v>0</v>
      </c>
      <c r="I351" s="6">
        <f ca="1"/>
        <v>0</v>
      </c>
      <c r="J351" s="6">
        <f ca="1"/>
        <v>0</v>
      </c>
    </row>
    <row r="352" spans="1:10" ht="13" x14ac:dyDescent="0.15">
      <c r="A352" s="6" t="str">
        <f ca="1">IFERROR(__xludf.DUMMYFUNCTION("""COMPUTED_VALUE"""),"Documentation")</f>
        <v>Documentation</v>
      </c>
      <c r="B352" s="6" t="str">
        <f ca="1">IFERROR(__xludf.DUMMYFUNCTION("""COMPUTED_VALUE"""),"Documentation")</f>
        <v>Documentation</v>
      </c>
      <c r="H352" s="6">
        <f ca="1"/>
        <v>0</v>
      </c>
      <c r="I352" s="6">
        <f ca="1"/>
        <v>0</v>
      </c>
      <c r="J352" s="6">
        <f ca="1"/>
        <v>0</v>
      </c>
    </row>
    <row r="353" spans="1:10" ht="13" x14ac:dyDescent="0.15">
      <c r="A353" s="6" t="str">
        <f ca="1">IFERROR(__xludf.DUMMYFUNCTION("""COMPUTED_VALUE"""),"Security")</f>
        <v>Security</v>
      </c>
      <c r="B353" s="6" t="str">
        <f ca="1">IFERROR(__xludf.DUMMYFUNCTION("""COMPUTED_VALUE"""),"Security")</f>
        <v>Security</v>
      </c>
      <c r="H353" s="6">
        <f ca="1"/>
        <v>0</v>
      </c>
      <c r="I353" s="6">
        <f ca="1"/>
        <v>0</v>
      </c>
      <c r="J353" s="6">
        <f ca="1"/>
        <v>0</v>
      </c>
    </row>
    <row r="354" spans="1:10" ht="13" x14ac:dyDescent="0.15">
      <c r="A354" s="6" t="str">
        <f ca="1">IFERROR(__xludf.DUMMYFUNCTION("""COMPUTED_VALUE"""),"Coding Pattern")</f>
        <v>Coding Pattern</v>
      </c>
      <c r="B354" s="6" t="str">
        <f ca="1">IFERROR(__xludf.DUMMYFUNCTION("""COMPUTED_VALUE"""),"Coding Pattern")</f>
        <v>Coding Pattern</v>
      </c>
      <c r="H354" s="6">
        <f ca="1"/>
        <v>0</v>
      </c>
      <c r="I354" s="6">
        <f ca="1"/>
        <v>0</v>
      </c>
      <c r="J354" s="6">
        <f ca="1"/>
        <v>0</v>
      </c>
    </row>
    <row r="355" spans="1:10" ht="13" x14ac:dyDescent="0.15">
      <c r="A355" s="6" t="str">
        <f ca="1">IFERROR(__xludf.DUMMYFUNCTION("""COMPUTED_VALUE"""),"Writing Style Preference")</f>
        <v>Writing Style Preference</v>
      </c>
      <c r="B355" s="6" t="str">
        <f ca="1">IFERROR(__xludf.DUMMYFUNCTION("""COMPUTED_VALUE"""),"Writing Style Preference")</f>
        <v>Writing Style Preference</v>
      </c>
      <c r="H355" s="6">
        <f ca="1"/>
        <v>0</v>
      </c>
      <c r="I355" s="6">
        <f ca="1"/>
        <v>0</v>
      </c>
      <c r="J355" s="6">
        <f ca="1"/>
        <v>0</v>
      </c>
    </row>
    <row r="356" spans="1:10" ht="13" x14ac:dyDescent="0.15">
      <c r="A356" s="6" t="str">
        <f ca="1">IFERROR(__xludf.DUMMYFUNCTION("""COMPUTED_VALUE"""),"Maintainability")</f>
        <v>Maintainability</v>
      </c>
      <c r="B356" s="6" t="str">
        <f ca="1">IFERROR(__xludf.DUMMYFUNCTION("""COMPUTED_VALUE"""),"Maintainability")</f>
        <v>Maintainability</v>
      </c>
      <c r="H356" s="6">
        <f ca="1"/>
        <v>0</v>
      </c>
      <c r="I356" s="6">
        <f ca="1"/>
        <v>0</v>
      </c>
      <c r="J356" s="6">
        <f ca="1"/>
        <v>0</v>
      </c>
    </row>
    <row r="357" spans="1:10" ht="13" x14ac:dyDescent="0.15">
      <c r="A357" s="6" t="str">
        <f ca="1">IFERROR(__xludf.DUMMYFUNCTION("""COMPUTED_VALUE"""),"Coding Pattern")</f>
        <v>Coding Pattern</v>
      </c>
      <c r="B357" s="6" t="str">
        <f ca="1">IFERROR(__xludf.DUMMYFUNCTION("""COMPUTED_VALUE"""),"Coding Pattern")</f>
        <v>Coding Pattern</v>
      </c>
      <c r="H357" s="6">
        <f ca="1"/>
        <v>0</v>
      </c>
      <c r="I357" s="6">
        <f ca="1"/>
        <v>0</v>
      </c>
      <c r="J357" s="6">
        <f ca="1"/>
        <v>0</v>
      </c>
    </row>
    <row r="358" spans="1:10" ht="13" x14ac:dyDescent="0.15">
      <c r="A358" s="6" t="str">
        <f ca="1">IFERROR(__xludf.DUMMYFUNCTION("""COMPUTED_VALUE"""),"Coding Pattern")</f>
        <v>Coding Pattern</v>
      </c>
      <c r="B358" s="6" t="str">
        <f ca="1">IFERROR(__xludf.DUMMYFUNCTION("""COMPUTED_VALUE"""),"Coding Pattern")</f>
        <v>Coding Pattern</v>
      </c>
      <c r="H358" s="6">
        <f ca="1"/>
        <v>0</v>
      </c>
      <c r="I358" s="6">
        <f ca="1"/>
        <v>0</v>
      </c>
      <c r="J358" s="6">
        <f ca="1"/>
        <v>0</v>
      </c>
    </row>
    <row r="359" spans="1:10" ht="13" x14ac:dyDescent="0.15">
      <c r="A359" s="6" t="str">
        <f ca="1">IFERROR(__xludf.DUMMYFUNCTION("""COMPUTED_VALUE"""),"Writing Style Preference")</f>
        <v>Writing Style Preference</v>
      </c>
      <c r="B359" s="6" t="str">
        <f ca="1">IFERROR(__xludf.DUMMYFUNCTION("""COMPUTED_VALUE"""),"Writing Style Preference")</f>
        <v>Writing Style Preference</v>
      </c>
      <c r="H359" s="6">
        <f ca="1"/>
        <v>0</v>
      </c>
      <c r="I359" s="6">
        <f ca="1"/>
        <v>0</v>
      </c>
      <c r="J359" s="6">
        <f ca="1"/>
        <v>0</v>
      </c>
    </row>
    <row r="360" spans="1:10" ht="13" x14ac:dyDescent="0.15">
      <c r="A360" s="6" t="str">
        <f ca="1">IFERROR(__xludf.DUMMYFUNCTION("""COMPUTED_VALUE"""),"Performance")</f>
        <v>Performance</v>
      </c>
      <c r="B360" s="6" t="str">
        <f ca="1">IFERROR(__xludf.DUMMYFUNCTION("""COMPUTED_VALUE"""),"Performance")</f>
        <v>Performance</v>
      </c>
      <c r="H360" s="6">
        <f ca="1"/>
        <v>0</v>
      </c>
      <c r="I360" s="6">
        <f ca="1"/>
        <v>0</v>
      </c>
      <c r="J360" s="6">
        <f ca="1"/>
        <v>0</v>
      </c>
    </row>
    <row r="361" spans="1:10" ht="13" x14ac:dyDescent="0.15">
      <c r="A361" s="6" t="str">
        <f ca="1">IFERROR(__xludf.DUMMYFUNCTION("""COMPUTED_VALUE"""),"Documentation")</f>
        <v>Documentation</v>
      </c>
      <c r="B361" s="6" t="str">
        <f ca="1">IFERROR(__xludf.DUMMYFUNCTION("""COMPUTED_VALUE"""),"Documentation")</f>
        <v>Documentation</v>
      </c>
      <c r="H361" s="6">
        <f ca="1"/>
        <v>0</v>
      </c>
      <c r="I361" s="6">
        <f ca="1"/>
        <v>0</v>
      </c>
      <c r="J361" s="6">
        <f ca="1"/>
        <v>0</v>
      </c>
    </row>
    <row r="362" spans="1:10" ht="13" x14ac:dyDescent="0.15">
      <c r="A362" s="6" t="str">
        <f ca="1">IFERROR(__xludf.DUMMYFUNCTION("""COMPUTED_VALUE"""),"Testing")</f>
        <v>Testing</v>
      </c>
      <c r="B362" s="6" t="str">
        <f ca="1">IFERROR(__xludf.DUMMYFUNCTION("""COMPUTED_VALUE"""),"Testing")</f>
        <v>Testing</v>
      </c>
      <c r="H362" s="6">
        <f ca="1"/>
        <v>0</v>
      </c>
      <c r="I362" s="6">
        <f ca="1"/>
        <v>0</v>
      </c>
      <c r="J362" s="6">
        <f ca="1"/>
        <v>0</v>
      </c>
    </row>
    <row r="363" spans="1:10" ht="13" x14ac:dyDescent="0.15">
      <c r="A363" s="6" t="str">
        <f ca="1">IFERROR(__xludf.DUMMYFUNCTION("""COMPUTED_VALUE"""),"Coding Style")</f>
        <v>Coding Style</v>
      </c>
      <c r="B363" s="6" t="str">
        <f ca="1">IFERROR(__xludf.DUMMYFUNCTION("""COMPUTED_VALUE"""),"Coding Style")</f>
        <v>Coding Style</v>
      </c>
      <c r="H363" s="6">
        <f ca="1"/>
        <v>0</v>
      </c>
      <c r="I363" s="6">
        <f ca="1"/>
        <v>0</v>
      </c>
      <c r="J363" s="6">
        <f ca="1"/>
        <v>0</v>
      </c>
    </row>
    <row r="364" spans="1:10" ht="13" x14ac:dyDescent="0.15">
      <c r="A364" s="6" t="str">
        <f ca="1">IFERROR(__xludf.DUMMYFUNCTION("""COMPUTED_VALUE"""),"Documentation")</f>
        <v>Documentation</v>
      </c>
      <c r="B364" s="6" t="str">
        <f ca="1">IFERROR(__xludf.DUMMYFUNCTION("""COMPUTED_VALUE"""),"Documentation")</f>
        <v>Documentation</v>
      </c>
      <c r="H364" s="6">
        <f ca="1"/>
        <v>0</v>
      </c>
      <c r="I364" s="6">
        <f ca="1"/>
        <v>0</v>
      </c>
      <c r="J364" s="6">
        <f ca="1"/>
        <v>0</v>
      </c>
    </row>
    <row r="365" spans="1:10" ht="13" x14ac:dyDescent="0.15">
      <c r="A365" s="6" t="str">
        <f ca="1">IFERROR(__xludf.DUMMYFUNCTION("""COMPUTED_VALUE"""),"Coding Pattern")</f>
        <v>Coding Pattern</v>
      </c>
      <c r="B365" s="6" t="str">
        <f ca="1">IFERROR(__xludf.DUMMYFUNCTION("""COMPUTED_VALUE"""),"Coding Pattern")</f>
        <v>Coding Pattern</v>
      </c>
      <c r="H365" s="6">
        <f ca="1"/>
        <v>0</v>
      </c>
      <c r="I365" s="6">
        <f ca="1"/>
        <v>0</v>
      </c>
      <c r="J365" s="6">
        <f ca="1"/>
        <v>0</v>
      </c>
    </row>
    <row r="366" spans="1:10" ht="13" x14ac:dyDescent="0.15">
      <c r="A366" s="6" t="str">
        <f ca="1">IFERROR(__xludf.DUMMYFUNCTION("""COMPUTED_VALUE"""),"Task Execution")</f>
        <v>Task Execution</v>
      </c>
      <c r="B366" s="6" t="str">
        <f ca="1">IFERROR(__xludf.DUMMYFUNCTION("""COMPUTED_VALUE"""),"Task Execution")</f>
        <v>Task Execution</v>
      </c>
      <c r="H366" s="6">
        <f ca="1"/>
        <v>0</v>
      </c>
      <c r="I366" s="6">
        <f ca="1"/>
        <v>0</v>
      </c>
      <c r="J366" s="6">
        <f ca="1"/>
        <v>0</v>
      </c>
    </row>
    <row r="367" spans="1:10" ht="13" x14ac:dyDescent="0.15">
      <c r="A367" s="6" t="str">
        <f ca="1">IFERROR(__xludf.DUMMYFUNCTION("""COMPUTED_VALUE"""),"Coding Pattern")</f>
        <v>Coding Pattern</v>
      </c>
      <c r="B367" s="6" t="str">
        <f ca="1">IFERROR(__xludf.DUMMYFUNCTION("""COMPUTED_VALUE"""),"Coding Pattern")</f>
        <v>Coding Pattern</v>
      </c>
      <c r="H367" s="6">
        <f ca="1"/>
        <v>0</v>
      </c>
      <c r="I367" s="6">
        <f ca="1"/>
        <v>0</v>
      </c>
      <c r="J367" s="6">
        <f ca="1"/>
        <v>0</v>
      </c>
    </row>
    <row r="368" spans="1:10" ht="13" x14ac:dyDescent="0.15">
      <c r="A368" s="6" t="str">
        <f ca="1">IFERROR(__xludf.DUMMYFUNCTION("""COMPUTED_VALUE"""),"Coding Style")</f>
        <v>Coding Style</v>
      </c>
      <c r="B368" s="6" t="str">
        <f ca="1">IFERROR(__xludf.DUMMYFUNCTION("""COMPUTED_VALUE"""),"Coding Style")</f>
        <v>Coding Style</v>
      </c>
      <c r="H368" s="6">
        <f ca="1"/>
        <v>0</v>
      </c>
      <c r="I368" s="6">
        <f ca="1"/>
        <v>0</v>
      </c>
      <c r="J368" s="6">
        <f ca="1"/>
        <v>0</v>
      </c>
    </row>
    <row r="369" spans="1:10" ht="13" x14ac:dyDescent="0.15">
      <c r="A369" s="6" t="str">
        <f ca="1">IFERROR(__xludf.DUMMYFUNCTION("""COMPUTED_VALUE"""),"Task Execution")</f>
        <v>Task Execution</v>
      </c>
      <c r="B369" s="6" t="str">
        <f ca="1">IFERROR(__xludf.DUMMYFUNCTION("""COMPUTED_VALUE"""),"Task Execution")</f>
        <v>Task Execution</v>
      </c>
      <c r="H369" s="6">
        <f ca="1"/>
        <v>0</v>
      </c>
      <c r="I369" s="6">
        <f ca="1"/>
        <v>0</v>
      </c>
      <c r="J369" s="6">
        <f ca="1"/>
        <v>0</v>
      </c>
    </row>
    <row r="370" spans="1:10" ht="13" x14ac:dyDescent="0.15">
      <c r="A370" s="6" t="str">
        <f ca="1">IFERROR(__xludf.DUMMYFUNCTION("""COMPUTED_VALUE"""),"Coding Pattern")</f>
        <v>Coding Pattern</v>
      </c>
      <c r="B370" s="6" t="str">
        <f ca="1">IFERROR(__xludf.DUMMYFUNCTION("""COMPUTED_VALUE"""),"Coding Pattern")</f>
        <v>Coding Pattern</v>
      </c>
      <c r="H370" s="6">
        <f ca="1"/>
        <v>0</v>
      </c>
      <c r="I370" s="6">
        <f ca="1"/>
        <v>0</v>
      </c>
      <c r="J370" s="6">
        <f ca="1"/>
        <v>0</v>
      </c>
    </row>
    <row r="371" spans="1:10" ht="13" x14ac:dyDescent="0.15">
      <c r="A371" s="6" t="str">
        <f ca="1">IFERROR(__xludf.DUMMYFUNCTION("""COMPUTED_VALUE"""),"Documentation")</f>
        <v>Documentation</v>
      </c>
      <c r="B371" s="6" t="str">
        <f ca="1">IFERROR(__xludf.DUMMYFUNCTION("""COMPUTED_VALUE"""),"Documentation")</f>
        <v>Documentation</v>
      </c>
      <c r="H371" s="6">
        <f ca="1"/>
        <v>0</v>
      </c>
      <c r="I371" s="6">
        <f ca="1"/>
        <v>0</v>
      </c>
      <c r="J371" s="6">
        <f ca="1"/>
        <v>0</v>
      </c>
    </row>
    <row r="372" spans="1:10" ht="13" x14ac:dyDescent="0.15">
      <c r="A372" s="6" t="str">
        <f ca="1">IFERROR(__xludf.DUMMYFUNCTION("""COMPUTED_VALUE"""),"Testing")</f>
        <v>Testing</v>
      </c>
      <c r="B372" s="6" t="str">
        <f ca="1">IFERROR(__xludf.DUMMYFUNCTION("""COMPUTED_VALUE"""),"Testing")</f>
        <v>Testing</v>
      </c>
      <c r="H372" s="6">
        <f ca="1"/>
        <v>0</v>
      </c>
      <c r="I372" s="6">
        <f ca="1"/>
        <v>0</v>
      </c>
      <c r="J372" s="6">
        <f ca="1"/>
        <v>0</v>
      </c>
    </row>
    <row r="373" spans="1:10" ht="13" x14ac:dyDescent="0.15">
      <c r="A373" s="6" t="str">
        <f ca="1">IFERROR(__xludf.DUMMYFUNCTION("""COMPUTED_VALUE"""),"Testing")</f>
        <v>Testing</v>
      </c>
      <c r="B373" s="6" t="str">
        <f ca="1">IFERROR(__xludf.DUMMYFUNCTION("""COMPUTED_VALUE"""),"Testing")</f>
        <v>Testing</v>
      </c>
      <c r="H373" s="6">
        <f ca="1"/>
        <v>0</v>
      </c>
      <c r="I373" s="6">
        <f ca="1"/>
        <v>0</v>
      </c>
      <c r="J373" s="6">
        <f ca="1"/>
        <v>0</v>
      </c>
    </row>
    <row r="374" spans="1:10" ht="13" x14ac:dyDescent="0.15">
      <c r="A374" s="6" t="str">
        <f ca="1">IFERROR(__xludf.DUMMYFUNCTION("""COMPUTED_VALUE"""),"Documentation")</f>
        <v>Documentation</v>
      </c>
      <c r="B374" s="6" t="str">
        <f ca="1">IFERROR(__xludf.DUMMYFUNCTION("""COMPUTED_VALUE"""),"Documentation")</f>
        <v>Documentation</v>
      </c>
      <c r="H374" s="6">
        <f ca="1"/>
        <v>0</v>
      </c>
      <c r="I374" s="6">
        <f ca="1"/>
        <v>0</v>
      </c>
      <c r="J374" s="6">
        <f ca="1"/>
        <v>0</v>
      </c>
    </row>
    <row r="375" spans="1:10" ht="13" x14ac:dyDescent="0.15">
      <c r="A375" s="6" t="str">
        <f ca="1">IFERROR(__xludf.DUMMYFUNCTION("""COMPUTED_VALUE"""),"Testing")</f>
        <v>Testing</v>
      </c>
      <c r="B375" s="6" t="str">
        <f ca="1">IFERROR(__xludf.DUMMYFUNCTION("""COMPUTED_VALUE"""),"Testing")</f>
        <v>Testing</v>
      </c>
      <c r="H375" s="6">
        <f ca="1"/>
        <v>0</v>
      </c>
      <c r="I375" s="6">
        <f ca="1"/>
        <v>0</v>
      </c>
      <c r="J375" s="6">
        <f ca="1"/>
        <v>0</v>
      </c>
    </row>
    <row r="376" spans="1:10" ht="13" x14ac:dyDescent="0.15">
      <c r="A376" s="6" t="str">
        <f ca="1">IFERROR(__xludf.DUMMYFUNCTION("""COMPUTED_VALUE"""),"Performance")</f>
        <v>Performance</v>
      </c>
      <c r="B376" s="6" t="str">
        <f ca="1">IFERROR(__xludf.DUMMYFUNCTION("""COMPUTED_VALUE"""),"Performance")</f>
        <v>Performance</v>
      </c>
      <c r="H376" s="6">
        <f ca="1"/>
        <v>0</v>
      </c>
      <c r="I376" s="6">
        <f ca="1"/>
        <v>0</v>
      </c>
      <c r="J376" s="6">
        <f ca="1"/>
        <v>0</v>
      </c>
    </row>
    <row r="377" spans="1:10" ht="13" x14ac:dyDescent="0.15">
      <c r="A377" s="6" t="str">
        <f ca="1">IFERROR(__xludf.DUMMYFUNCTION("""COMPUTED_VALUE"""),"Coding Pattern")</f>
        <v>Coding Pattern</v>
      </c>
      <c r="B377" s="6" t="str">
        <f ca="1">IFERROR(__xludf.DUMMYFUNCTION("""COMPUTED_VALUE"""),"Coding Pattern")</f>
        <v>Coding Pattern</v>
      </c>
      <c r="H377" s="6">
        <f ca="1"/>
        <v>0</v>
      </c>
      <c r="I377" s="6">
        <f ca="1"/>
        <v>0</v>
      </c>
      <c r="J377" s="6">
        <f ca="1"/>
        <v>0</v>
      </c>
    </row>
    <row r="378" spans="1:10" ht="13" x14ac:dyDescent="0.15">
      <c r="A378" s="6" t="str">
        <f ca="1">IFERROR(__xludf.DUMMYFUNCTION("""COMPUTED_VALUE"""),"Documentation")</f>
        <v>Documentation</v>
      </c>
      <c r="B378" s="6" t="str">
        <f ca="1">IFERROR(__xludf.DUMMYFUNCTION("""COMPUTED_VALUE"""),"Documentation")</f>
        <v>Documentation</v>
      </c>
      <c r="H378" s="6">
        <f ca="1"/>
        <v>0</v>
      </c>
      <c r="I378" s="6">
        <f ca="1"/>
        <v>0</v>
      </c>
      <c r="J378" s="6">
        <f ca="1"/>
        <v>0</v>
      </c>
    </row>
    <row r="379" spans="1:10" ht="13" x14ac:dyDescent="0.15">
      <c r="A379" s="6" t="str">
        <f ca="1">IFERROR(__xludf.DUMMYFUNCTION("""COMPUTED_VALUE"""),"Commit&amp;PR rule")</f>
        <v>Commit&amp;PR rule</v>
      </c>
      <c r="B379" s="6" t="str">
        <f ca="1">IFERROR(__xludf.DUMMYFUNCTION("""COMPUTED_VALUE"""),"Commit&amp;PR rule")</f>
        <v>Commit&amp;PR rule</v>
      </c>
      <c r="H379" s="6">
        <f ca="1"/>
        <v>0</v>
      </c>
      <c r="I379" s="6">
        <f ca="1"/>
        <v>0</v>
      </c>
      <c r="J379" s="6">
        <f ca="1"/>
        <v>0</v>
      </c>
    </row>
    <row r="380" spans="1:10" ht="13" x14ac:dyDescent="0.15">
      <c r="A380" s="6" t="str">
        <f ca="1">IFERROR(__xludf.DUMMYFUNCTION("""COMPUTED_VALUE"""),"Commit&amp;PR rule")</f>
        <v>Commit&amp;PR rule</v>
      </c>
      <c r="B380" s="6" t="str">
        <f ca="1">IFERROR(__xludf.DUMMYFUNCTION("""COMPUTED_VALUE"""),"Commit&amp;PR rule")</f>
        <v>Commit&amp;PR rule</v>
      </c>
      <c r="H380" s="6">
        <f ca="1"/>
        <v>0</v>
      </c>
      <c r="I380" s="6">
        <f ca="1"/>
        <v>0</v>
      </c>
      <c r="J380" s="6">
        <f ca="1"/>
        <v>0</v>
      </c>
    </row>
    <row r="381" spans="1:10" ht="13" x14ac:dyDescent="0.15">
      <c r="A381" s="6" t="str">
        <f ca="1">IFERROR(__xludf.DUMMYFUNCTION("""COMPUTED_VALUE"""),"Commit&amp;PR rule")</f>
        <v>Commit&amp;PR rule</v>
      </c>
      <c r="B381" s="6" t="str">
        <f ca="1">IFERROR(__xludf.DUMMYFUNCTION("""COMPUTED_VALUE"""),"Commit&amp;PR rule")</f>
        <v>Commit&amp;PR rule</v>
      </c>
      <c r="H381" s="6">
        <f ca="1"/>
        <v>0</v>
      </c>
      <c r="I381" s="6">
        <f ca="1"/>
        <v>0</v>
      </c>
      <c r="J381" s="6">
        <f ca="1"/>
        <v>0</v>
      </c>
    </row>
    <row r="382" spans="1:10" ht="13" x14ac:dyDescent="0.15">
      <c r="A382" s="6" t="str">
        <f ca="1">IFERROR(__xludf.DUMMYFUNCTION("""COMPUTED_VALUE"""),"Coding Pattern")</f>
        <v>Coding Pattern</v>
      </c>
      <c r="B382" s="6" t="str">
        <f ca="1">IFERROR(__xludf.DUMMYFUNCTION("""COMPUTED_VALUE"""),"Coding Pattern")</f>
        <v>Coding Pattern</v>
      </c>
      <c r="H382" s="6">
        <f ca="1"/>
        <v>0</v>
      </c>
      <c r="I382" s="6">
        <f ca="1"/>
        <v>0</v>
      </c>
      <c r="J382" s="6">
        <f ca="1"/>
        <v>0</v>
      </c>
    </row>
    <row r="383" spans="1:10" ht="13" x14ac:dyDescent="0.15">
      <c r="A383" s="6" t="str">
        <f ca="1">IFERROR(__xludf.DUMMYFUNCTION("""COMPUTED_VALUE"""),"Testing")</f>
        <v>Testing</v>
      </c>
      <c r="B383" s="6" t="str">
        <f ca="1">IFERROR(__xludf.DUMMYFUNCTION("""COMPUTED_VALUE"""),"Testing")</f>
        <v>Testing</v>
      </c>
      <c r="H383" s="6">
        <f ca="1"/>
        <v>0</v>
      </c>
      <c r="I383" s="6">
        <f ca="1"/>
        <v>0</v>
      </c>
      <c r="J383" s="6">
        <f ca="1"/>
        <v>0</v>
      </c>
    </row>
    <row r="384" spans="1:10" ht="13" x14ac:dyDescent="0.15">
      <c r="A384" s="6" t="str">
        <f ca="1">IFERROR(__xludf.DUMMYFUNCTION("""COMPUTED_VALUE"""),"Build &amp; Operation")</f>
        <v>Build &amp; Operation</v>
      </c>
      <c r="B384" s="6" t="str">
        <f ca="1">IFERROR(__xludf.DUMMYFUNCTION("""COMPUTED_VALUE"""),"Build &amp; Operation")</f>
        <v>Build &amp; Operation</v>
      </c>
      <c r="H384" s="6">
        <f ca="1"/>
        <v>0</v>
      </c>
      <c r="I384" s="6">
        <f ca="1"/>
        <v>0</v>
      </c>
      <c r="J384" s="6">
        <f ca="1"/>
        <v>0</v>
      </c>
    </row>
    <row r="385" spans="1:10" ht="13" x14ac:dyDescent="0.15">
      <c r="A385" s="6" t="str">
        <f ca="1">IFERROR(__xludf.DUMMYFUNCTION("""COMPUTED_VALUE"""),"Coding Pattern")</f>
        <v>Coding Pattern</v>
      </c>
      <c r="B385" s="6" t="str">
        <f ca="1">IFERROR(__xludf.DUMMYFUNCTION("""COMPUTED_VALUE"""),"Coding Pattern")</f>
        <v>Coding Pattern</v>
      </c>
      <c r="H385" s="6">
        <f ca="1"/>
        <v>0</v>
      </c>
      <c r="I385" s="6">
        <f ca="1"/>
        <v>0</v>
      </c>
      <c r="J385" s="6">
        <f ca="1"/>
        <v>0</v>
      </c>
    </row>
    <row r="386" spans="1:10" ht="13" x14ac:dyDescent="0.15">
      <c r="A386" s="6" t="str">
        <f ca="1">IFERROR(__xludf.DUMMYFUNCTION("""COMPUTED_VALUE"""),"Coding Pattern")</f>
        <v>Coding Pattern</v>
      </c>
      <c r="B386" s="6" t="str">
        <f ca="1">IFERROR(__xludf.DUMMYFUNCTION("""COMPUTED_VALUE"""),"Coding Pattern")</f>
        <v>Coding Pattern</v>
      </c>
      <c r="H386" s="6">
        <f ca="1"/>
        <v>0</v>
      </c>
      <c r="I386" s="6">
        <f ca="1"/>
        <v>0</v>
      </c>
      <c r="J386" s="6">
        <f ca="1"/>
        <v>0</v>
      </c>
    </row>
    <row r="387" spans="1:10" ht="13" x14ac:dyDescent="0.15">
      <c r="A387" s="6" t="str">
        <f ca="1">IFERROR(__xludf.DUMMYFUNCTION("""COMPUTED_VALUE"""),"Commit&amp;PR rule")</f>
        <v>Commit&amp;PR rule</v>
      </c>
      <c r="B387" s="6" t="str">
        <f ca="1">IFERROR(__xludf.DUMMYFUNCTION("""COMPUTED_VALUE"""),"Commit&amp;PR rule")</f>
        <v>Commit&amp;PR rule</v>
      </c>
      <c r="H387" s="6">
        <f ca="1"/>
        <v>0</v>
      </c>
      <c r="I387" s="6">
        <f ca="1"/>
        <v>0</v>
      </c>
      <c r="J387" s="6">
        <f ca="1"/>
        <v>0</v>
      </c>
    </row>
    <row r="388" spans="1:10" ht="13" x14ac:dyDescent="0.15">
      <c r="A388" s="6" t="str">
        <f ca="1">IFERROR(__xludf.DUMMYFUNCTION("""COMPUTED_VALUE"""),"Maintainability")</f>
        <v>Maintainability</v>
      </c>
      <c r="B388" s="6" t="str">
        <f ca="1">IFERROR(__xludf.DUMMYFUNCTION("""COMPUTED_VALUE"""),"Maintainability")</f>
        <v>Maintainability</v>
      </c>
      <c r="H388" s="6">
        <f ca="1"/>
        <v>0</v>
      </c>
      <c r="I388" s="6">
        <f ca="1"/>
        <v>0</v>
      </c>
      <c r="J388" s="6">
        <f ca="1"/>
        <v>0</v>
      </c>
    </row>
    <row r="389" spans="1:10" ht="13" x14ac:dyDescent="0.15">
      <c r="A389" s="6" t="str">
        <f ca="1">IFERROR(__xludf.DUMMYFUNCTION("""COMPUTED_VALUE"""),"Coding Pattern")</f>
        <v>Coding Pattern</v>
      </c>
      <c r="B389" s="6" t="str">
        <f ca="1">IFERROR(__xludf.DUMMYFUNCTION("""COMPUTED_VALUE"""),"Coding Pattern")</f>
        <v>Coding Pattern</v>
      </c>
      <c r="H389" s="6">
        <f ca="1"/>
        <v>0</v>
      </c>
      <c r="I389" s="6">
        <f ca="1"/>
        <v>0</v>
      </c>
      <c r="J389" s="6">
        <f ca="1"/>
        <v>0</v>
      </c>
    </row>
    <row r="390" spans="1:10" ht="13" x14ac:dyDescent="0.15">
      <c r="A390" s="6" t="str">
        <f ca="1">IFERROR(__xludf.DUMMYFUNCTION("""COMPUTED_VALUE"""),"Maintainability")</f>
        <v>Maintainability</v>
      </c>
      <c r="B390" s="6" t="str">
        <f ca="1">IFERROR(__xludf.DUMMYFUNCTION("""COMPUTED_VALUE"""),"Maintainability")</f>
        <v>Maintainability</v>
      </c>
      <c r="H390" s="6">
        <f ca="1"/>
        <v>0</v>
      </c>
      <c r="I390" s="6">
        <f ca="1"/>
        <v>0</v>
      </c>
      <c r="J390" s="6">
        <f ca="1"/>
        <v>0</v>
      </c>
    </row>
    <row r="391" spans="1:10" ht="13" x14ac:dyDescent="0.15">
      <c r="A391" s="6" t="str">
        <f ca="1">IFERROR(__xludf.DUMMYFUNCTION("""COMPUTED_VALUE"""),"Testing")</f>
        <v>Testing</v>
      </c>
      <c r="B391" s="6" t="str">
        <f ca="1">IFERROR(__xludf.DUMMYFUNCTION("""COMPUTED_VALUE"""),"Testing")</f>
        <v>Testing</v>
      </c>
      <c r="H391" s="6">
        <f ca="1"/>
        <v>0</v>
      </c>
      <c r="I391" s="6">
        <f ca="1"/>
        <v>0</v>
      </c>
      <c r="J391" s="6">
        <f ca="1"/>
        <v>0</v>
      </c>
    </row>
    <row r="392" spans="1:10" ht="13" x14ac:dyDescent="0.15">
      <c r="A392" s="6" t="str">
        <f ca="1">IFERROR(__xludf.DUMMYFUNCTION("""COMPUTED_VALUE"""),"Task Execution")</f>
        <v>Task Execution</v>
      </c>
      <c r="B392" s="6" t="str">
        <f ca="1">IFERROR(__xludf.DUMMYFUNCTION("""COMPUTED_VALUE"""),"Task Execution")</f>
        <v>Task Execution</v>
      </c>
      <c r="H392" s="6">
        <f ca="1"/>
        <v>0</v>
      </c>
      <c r="I392" s="6">
        <f ca="1"/>
        <v>0</v>
      </c>
      <c r="J392" s="6">
        <f ca="1"/>
        <v>0</v>
      </c>
    </row>
    <row r="393" spans="1:10" ht="13" x14ac:dyDescent="0.15">
      <c r="A393" s="6" t="str">
        <f ca="1">IFERROR(__xludf.DUMMYFUNCTION("""COMPUTED_VALUE"""),"Task Execution")</f>
        <v>Task Execution</v>
      </c>
      <c r="B393" s="6" t="str">
        <f ca="1">IFERROR(__xludf.DUMMYFUNCTION("""COMPUTED_VALUE"""),"Task Execution")</f>
        <v>Task Execution</v>
      </c>
      <c r="H393" s="6">
        <f ca="1"/>
        <v>0</v>
      </c>
      <c r="I393" s="6">
        <f ca="1"/>
        <v>0</v>
      </c>
      <c r="J393" s="6">
        <f ca="1"/>
        <v>0</v>
      </c>
    </row>
    <row r="394" spans="1:10" ht="13" x14ac:dyDescent="0.15">
      <c r="A394" s="6" t="str">
        <f ca="1">IFERROR(__xludf.DUMMYFUNCTION("""COMPUTED_VALUE"""),"Build &amp; Operation")</f>
        <v>Build &amp; Operation</v>
      </c>
      <c r="B394" s="6" t="str">
        <f ca="1">IFERROR(__xludf.DUMMYFUNCTION("""COMPUTED_VALUE"""),"Build &amp; Operation")</f>
        <v>Build &amp; Operation</v>
      </c>
      <c r="H394" s="6">
        <f ca="1"/>
        <v>0</v>
      </c>
      <c r="I394" s="6">
        <f ca="1"/>
        <v>0</v>
      </c>
      <c r="J394" s="6">
        <f ca="1"/>
        <v>0</v>
      </c>
    </row>
    <row r="395" spans="1:10" ht="13" x14ac:dyDescent="0.15">
      <c r="A395" s="6" t="str">
        <f ca="1">IFERROR(__xludf.DUMMYFUNCTION("""COMPUTED_VALUE"""),"NOT_ENOUGH_CONTEXT")</f>
        <v>NOT_ENOUGH_CONTEXT</v>
      </c>
      <c r="B395" s="6" t="str">
        <f ca="1">IFERROR(__xludf.DUMMYFUNCTION("""COMPUTED_VALUE"""),"NOT_ENOUGH_CONTEXT")</f>
        <v>NOT_ENOUGH_CONTEXT</v>
      </c>
      <c r="H395" s="6">
        <f ca="1"/>
        <v>0</v>
      </c>
      <c r="I395" s="6">
        <f ca="1"/>
        <v>0</v>
      </c>
      <c r="J395" s="6">
        <f ca="1"/>
        <v>0</v>
      </c>
    </row>
    <row r="396" spans="1:10" ht="13" x14ac:dyDescent="0.15">
      <c r="A396" s="6" t="str">
        <f ca="1">IFERROR(__xludf.DUMMYFUNCTION("""COMPUTED_VALUE"""),"Coding Pattern")</f>
        <v>Coding Pattern</v>
      </c>
      <c r="B396" s="6" t="str">
        <f ca="1">IFERROR(__xludf.DUMMYFUNCTION("""COMPUTED_VALUE"""),"Coding Pattern")</f>
        <v>Coding Pattern</v>
      </c>
      <c r="H396" s="6">
        <f ca="1"/>
        <v>0</v>
      </c>
      <c r="I396" s="6">
        <f ca="1"/>
        <v>0</v>
      </c>
      <c r="J396" s="6">
        <f ca="1"/>
        <v>0</v>
      </c>
    </row>
    <row r="397" spans="1:10" ht="13" x14ac:dyDescent="0.15">
      <c r="A397" s="6" t="str">
        <f ca="1">IFERROR(__xludf.DUMMYFUNCTION("""COMPUTED_VALUE"""),"Task Execution")</f>
        <v>Task Execution</v>
      </c>
      <c r="B397" s="6" t="str">
        <f ca="1">IFERROR(__xludf.DUMMYFUNCTION("""COMPUTED_VALUE"""),"Task Execution")</f>
        <v>Task Execution</v>
      </c>
      <c r="H397" s="6">
        <f ca="1"/>
        <v>0</v>
      </c>
      <c r="I397" s="6">
        <f ca="1"/>
        <v>0</v>
      </c>
      <c r="J397" s="6">
        <f ca="1"/>
        <v>0</v>
      </c>
    </row>
    <row r="398" spans="1:10" ht="13" x14ac:dyDescent="0.15">
      <c r="A398" s="6" t="str">
        <f ca="1">IFERROR(__xludf.DUMMYFUNCTION("""COMPUTED_VALUE"""),"Build &amp; Operation")</f>
        <v>Build &amp; Operation</v>
      </c>
      <c r="B398" s="6" t="str">
        <f ca="1">IFERROR(__xludf.DUMMYFUNCTION("""COMPUTED_VALUE"""),"Documentation")</f>
        <v>Documentation</v>
      </c>
      <c r="H398" s="6">
        <f ca="1"/>
        <v>0</v>
      </c>
      <c r="I398" s="6">
        <f ca="1"/>
        <v>0</v>
      </c>
      <c r="J398" s="6">
        <f ca="1"/>
        <v>0</v>
      </c>
    </row>
    <row r="399" spans="1:10" ht="13" x14ac:dyDescent="0.15">
      <c r="A399" s="6" t="str">
        <f ca="1">IFERROR(__xludf.DUMMYFUNCTION("""COMPUTED_VALUE"""),"Documentation")</f>
        <v>Documentation</v>
      </c>
      <c r="B399" s="6" t="str">
        <f ca="1">IFERROR(__xludf.DUMMYFUNCTION("""COMPUTED_VALUE"""),"Documentation")</f>
        <v>Documentation</v>
      </c>
      <c r="H399" s="6">
        <f ca="1"/>
        <v>0</v>
      </c>
      <c r="I399" s="6">
        <f ca="1"/>
        <v>0</v>
      </c>
      <c r="J399" s="6">
        <f ca="1"/>
        <v>0</v>
      </c>
    </row>
    <row r="400" spans="1:10" ht="13" x14ac:dyDescent="0.15">
      <c r="A400" s="6" t="str">
        <f ca="1">IFERROR(__xludf.DUMMYFUNCTION("""COMPUTED_VALUE"""),"Writing Style Preference")</f>
        <v>Writing Style Preference</v>
      </c>
      <c r="B400" s="6" t="str">
        <f ca="1">IFERROR(__xludf.DUMMYFUNCTION("""COMPUTED_VALUE"""),"Writing Style Preference")</f>
        <v>Writing Style Preference</v>
      </c>
      <c r="H400" s="6">
        <f ca="1"/>
        <v>0</v>
      </c>
      <c r="I400" s="6">
        <f ca="1"/>
        <v>0</v>
      </c>
      <c r="J400" s="6">
        <f ca="1"/>
        <v>0</v>
      </c>
    </row>
    <row r="401" spans="1:10" ht="13" x14ac:dyDescent="0.15">
      <c r="A401" s="6" t="str">
        <f ca="1">IFERROR(__xludf.DUMMYFUNCTION("""COMPUTED_VALUE"""),"Writing Style Preference")</f>
        <v>Writing Style Preference</v>
      </c>
      <c r="B401" s="6" t="str">
        <f ca="1">IFERROR(__xludf.DUMMYFUNCTION("""COMPUTED_VALUE"""),"Writing Style Preference")</f>
        <v>Writing Style Preference</v>
      </c>
      <c r="H401" s="6">
        <f ca="1"/>
        <v>0</v>
      </c>
      <c r="I401" s="6">
        <f ca="1"/>
        <v>0</v>
      </c>
      <c r="J401" s="6">
        <f ca="1"/>
        <v>0</v>
      </c>
    </row>
    <row r="402" spans="1:10" ht="13" x14ac:dyDescent="0.15">
      <c r="A402" s="6" t="str">
        <f ca="1">IFERROR(__xludf.DUMMYFUNCTION("""COMPUTED_VALUE"""),"Code Review")</f>
        <v>Code Review</v>
      </c>
      <c r="B402" s="6" t="str">
        <f ca="1">IFERROR(__xludf.DUMMYFUNCTION("""COMPUTED_VALUE"""),"Code Review")</f>
        <v>Code Review</v>
      </c>
      <c r="H402" s="6">
        <f ca="1"/>
        <v>0</v>
      </c>
      <c r="I402" s="6">
        <f ca="1"/>
        <v>0</v>
      </c>
      <c r="J402" s="6">
        <f ca="1"/>
        <v>0</v>
      </c>
    </row>
    <row r="403" spans="1:10" ht="13" x14ac:dyDescent="0.15">
      <c r="A403" s="6" t="str">
        <f ca="1">IFERROR(__xludf.DUMMYFUNCTION("""COMPUTED_VALUE"""),"Coding Pattern")</f>
        <v>Coding Pattern</v>
      </c>
      <c r="B403" s="6" t="str">
        <f ca="1">IFERROR(__xludf.DUMMYFUNCTION("""COMPUTED_VALUE"""),"Coding Pattern")</f>
        <v>Coding Pattern</v>
      </c>
      <c r="H403" s="6">
        <f ca="1"/>
        <v>0</v>
      </c>
      <c r="I403" s="6">
        <f ca="1"/>
        <v>0</v>
      </c>
      <c r="J403" s="6">
        <f ca="1"/>
        <v>0</v>
      </c>
    </row>
    <row r="404" spans="1:10" ht="13" x14ac:dyDescent="0.15">
      <c r="A404" s="6" t="str">
        <f ca="1">IFERROR(__xludf.DUMMYFUNCTION("""COMPUTED_VALUE"""),"Coding Pattern")</f>
        <v>Coding Pattern</v>
      </c>
      <c r="B404" s="6" t="str">
        <f ca="1">IFERROR(__xludf.DUMMYFUNCTION("""COMPUTED_VALUE"""),"Coding Pattern")</f>
        <v>Coding Pattern</v>
      </c>
      <c r="H404" s="6">
        <f ca="1"/>
        <v>0</v>
      </c>
      <c r="I404" s="6">
        <f ca="1"/>
        <v>0</v>
      </c>
      <c r="J404" s="6">
        <f ca="1"/>
        <v>0</v>
      </c>
    </row>
    <row r="405" spans="1:10" ht="13" x14ac:dyDescent="0.15">
      <c r="A405" s="6" t="str">
        <f ca="1">IFERROR(__xludf.DUMMYFUNCTION("""COMPUTED_VALUE"""),"Maintainability")</f>
        <v>Maintainability</v>
      </c>
      <c r="B405" s="6" t="str">
        <f ca="1">IFERROR(__xludf.DUMMYFUNCTION("""COMPUTED_VALUE"""),"Maintainability")</f>
        <v>Maintainability</v>
      </c>
      <c r="H405" s="6">
        <f ca="1"/>
        <v>0</v>
      </c>
      <c r="I405" s="6">
        <f ca="1"/>
        <v>0</v>
      </c>
      <c r="J405" s="6">
        <f ca="1"/>
        <v>0</v>
      </c>
    </row>
    <row r="406" spans="1:10" ht="13" x14ac:dyDescent="0.15">
      <c r="A406" s="6" t="str">
        <f ca="1">IFERROR(__xludf.DUMMYFUNCTION("""COMPUTED_VALUE"""),"Testing")</f>
        <v>Testing</v>
      </c>
      <c r="B406" s="6" t="str">
        <f ca="1">IFERROR(__xludf.DUMMYFUNCTION("""COMPUTED_VALUE"""),"Testing")</f>
        <v>Testing</v>
      </c>
      <c r="H406" s="6">
        <f ca="1"/>
        <v>0</v>
      </c>
      <c r="I406" s="6">
        <f ca="1"/>
        <v>0</v>
      </c>
      <c r="J406" s="6">
        <f ca="1"/>
        <v>0</v>
      </c>
    </row>
    <row r="407" spans="1:10" ht="13" x14ac:dyDescent="0.15">
      <c r="A407" s="6" t="str">
        <f ca="1">IFERROR(__xludf.DUMMYFUNCTION("""COMPUTED_VALUE"""),"Commit&amp;PR rule")</f>
        <v>Commit&amp;PR rule</v>
      </c>
      <c r="B407" s="6" t="str">
        <f ca="1">IFERROR(__xludf.DUMMYFUNCTION("""COMPUTED_VALUE"""),"Commit&amp;PR rule")</f>
        <v>Commit&amp;PR rule</v>
      </c>
      <c r="H407" s="6">
        <f ca="1"/>
        <v>0</v>
      </c>
      <c r="I407" s="6">
        <f ca="1"/>
        <v>0</v>
      </c>
      <c r="J407" s="6">
        <f ca="1"/>
        <v>0</v>
      </c>
    </row>
    <row r="408" spans="1:10" ht="13" x14ac:dyDescent="0.15">
      <c r="A408" s="6" t="str">
        <f ca="1">IFERROR(__xludf.DUMMYFUNCTION("""COMPUTED_VALUE"""),"Commit&amp;PR rule")</f>
        <v>Commit&amp;PR rule</v>
      </c>
      <c r="B408" s="6" t="str">
        <f ca="1">IFERROR(__xludf.DUMMYFUNCTION("""COMPUTED_VALUE"""),"Commit&amp;PR rule")</f>
        <v>Commit&amp;PR rule</v>
      </c>
      <c r="H408" s="6">
        <f ca="1"/>
        <v>0</v>
      </c>
      <c r="I408" s="6">
        <f ca="1"/>
        <v>0</v>
      </c>
      <c r="J408" s="6">
        <f ca="1"/>
        <v>0</v>
      </c>
    </row>
    <row r="409" spans="1:10" ht="13" x14ac:dyDescent="0.15">
      <c r="A409" s="6" t="str">
        <f ca="1">IFERROR(__xludf.DUMMYFUNCTION("""COMPUTED_VALUE"""),"Coding Pattern")</f>
        <v>Coding Pattern</v>
      </c>
      <c r="B409" s="6" t="str">
        <f ca="1">IFERROR(__xludf.DUMMYFUNCTION("""COMPUTED_VALUE"""),"Coding Pattern")</f>
        <v>Coding Pattern</v>
      </c>
      <c r="H409" s="6">
        <f ca="1"/>
        <v>0</v>
      </c>
      <c r="I409" s="6">
        <f ca="1"/>
        <v>0</v>
      </c>
      <c r="J409" s="6">
        <f ca="1"/>
        <v>0</v>
      </c>
    </row>
    <row r="410" spans="1:10" ht="13" x14ac:dyDescent="0.15">
      <c r="A410" s="6" t="str">
        <f ca="1">IFERROR(__xludf.DUMMYFUNCTION("""COMPUTED_VALUE"""),"Maintainability")</f>
        <v>Maintainability</v>
      </c>
      <c r="B410" s="6" t="str">
        <f ca="1">IFERROR(__xludf.DUMMYFUNCTION("""COMPUTED_VALUE"""),"Maintainability")</f>
        <v>Maintainability</v>
      </c>
      <c r="H410" s="6">
        <f ca="1"/>
        <v>0</v>
      </c>
      <c r="I410" s="6">
        <f ca="1"/>
        <v>0</v>
      </c>
      <c r="J410" s="6">
        <f ca="1"/>
        <v>0</v>
      </c>
    </row>
    <row r="411" spans="1:10" ht="13" x14ac:dyDescent="0.15">
      <c r="A411" s="6" t="str">
        <f ca="1">IFERROR(__xludf.DUMMYFUNCTION("""COMPUTED_VALUE"""),"Performance")</f>
        <v>Performance</v>
      </c>
      <c r="B411" s="6" t="str">
        <f ca="1">IFERROR(__xludf.DUMMYFUNCTION("""COMPUTED_VALUE"""),"Performance")</f>
        <v>Performance</v>
      </c>
      <c r="H411" s="6">
        <f ca="1"/>
        <v>0</v>
      </c>
      <c r="I411" s="6">
        <f ca="1"/>
        <v>0</v>
      </c>
      <c r="J411" s="6">
        <f ca="1"/>
        <v>0</v>
      </c>
    </row>
    <row r="412" spans="1:10" ht="13" x14ac:dyDescent="0.15">
      <c r="A412" s="6" t="str">
        <f ca="1">IFERROR(__xludf.DUMMYFUNCTION("""COMPUTED_VALUE"""),"Security")</f>
        <v>Security</v>
      </c>
      <c r="B412" s="6" t="str">
        <f ca="1">IFERROR(__xludf.DUMMYFUNCTION("""COMPUTED_VALUE"""),"Security")</f>
        <v>Security</v>
      </c>
      <c r="H412" s="6">
        <f ca="1"/>
        <v>0</v>
      </c>
      <c r="I412" s="6">
        <f ca="1"/>
        <v>0</v>
      </c>
      <c r="J412" s="6">
        <f ca="1"/>
        <v>0</v>
      </c>
    </row>
    <row r="413" spans="1:10" ht="13" x14ac:dyDescent="0.15">
      <c r="A413" s="6" t="str">
        <f ca="1">IFERROR(__xludf.DUMMYFUNCTION("""COMPUTED_VALUE"""),"Coding Pattern")</f>
        <v>Coding Pattern</v>
      </c>
      <c r="B413" s="6" t="str">
        <f ca="1">IFERROR(__xludf.DUMMYFUNCTION("""COMPUTED_VALUE"""),"Coding Pattern")</f>
        <v>Coding Pattern</v>
      </c>
      <c r="H413" s="6">
        <f ca="1"/>
        <v>0</v>
      </c>
      <c r="I413" s="6">
        <f ca="1"/>
        <v>0</v>
      </c>
      <c r="J413" s="6">
        <f ca="1"/>
        <v>0</v>
      </c>
    </row>
    <row r="414" spans="1:10" ht="13" x14ac:dyDescent="0.15">
      <c r="A414" s="6" t="str">
        <f ca="1">IFERROR(__xludf.DUMMYFUNCTION("""COMPUTED_VALUE"""),"Coding Pattern")</f>
        <v>Coding Pattern</v>
      </c>
      <c r="B414" s="6" t="str">
        <f ca="1">IFERROR(__xludf.DUMMYFUNCTION("""COMPUTED_VALUE"""),"Coding Pattern")</f>
        <v>Coding Pattern</v>
      </c>
      <c r="H414" s="6">
        <f ca="1"/>
        <v>0</v>
      </c>
      <c r="I414" s="6">
        <f ca="1"/>
        <v>0</v>
      </c>
      <c r="J414" s="6">
        <f ca="1"/>
        <v>0</v>
      </c>
    </row>
    <row r="415" spans="1:10" ht="13" x14ac:dyDescent="0.15">
      <c r="A415" s="6" t="str">
        <f ca="1">IFERROR(__xludf.DUMMYFUNCTION("""COMPUTED_VALUE"""),"Build &amp; Operation")</f>
        <v>Build &amp; Operation</v>
      </c>
      <c r="B415" s="6" t="str">
        <f ca="1">IFERROR(__xludf.DUMMYFUNCTION("""COMPUTED_VALUE"""),"Build &amp; Operation")</f>
        <v>Build &amp; Operation</v>
      </c>
      <c r="H415" s="6">
        <f ca="1"/>
        <v>0</v>
      </c>
      <c r="I415" s="6">
        <f ca="1"/>
        <v>0</v>
      </c>
      <c r="J415" s="6">
        <f ca="1"/>
        <v>0</v>
      </c>
    </row>
    <row r="416" spans="1:10" ht="13" x14ac:dyDescent="0.15">
      <c r="A416" s="6" t="str">
        <f ca="1">IFERROR(__xludf.DUMMYFUNCTION("""COMPUTED_VALUE"""),"Coding Pattern")</f>
        <v>Coding Pattern</v>
      </c>
      <c r="B416" s="6" t="str">
        <f ca="1">IFERROR(__xludf.DUMMYFUNCTION("""COMPUTED_VALUE"""),"Coding Pattern")</f>
        <v>Coding Pattern</v>
      </c>
      <c r="H416" s="6">
        <f ca="1"/>
        <v>0</v>
      </c>
      <c r="I416" s="6">
        <f ca="1"/>
        <v>0</v>
      </c>
      <c r="J416" s="6">
        <f ca="1"/>
        <v>0</v>
      </c>
    </row>
    <row r="417" spans="1:10" ht="13" x14ac:dyDescent="0.15">
      <c r="A417" s="6" t="str">
        <f ca="1">IFERROR(__xludf.DUMMYFUNCTION("""COMPUTED_VALUE"""),"Coding Pattern")</f>
        <v>Coding Pattern</v>
      </c>
      <c r="B417" s="6" t="str">
        <f ca="1">IFERROR(__xludf.DUMMYFUNCTION("""COMPUTED_VALUE"""),"Coding Pattern")</f>
        <v>Coding Pattern</v>
      </c>
      <c r="H417" s="6">
        <f ca="1"/>
        <v>0</v>
      </c>
      <c r="I417" s="6">
        <f ca="1"/>
        <v>0</v>
      </c>
      <c r="J417" s="6">
        <f ca="1"/>
        <v>0</v>
      </c>
    </row>
    <row r="418" spans="1:10" ht="13" x14ac:dyDescent="0.15">
      <c r="A418" s="6" t="str">
        <f ca="1">IFERROR(__xludf.DUMMYFUNCTION("""COMPUTED_VALUE"""),"Writing Style Preference")</f>
        <v>Writing Style Preference</v>
      </c>
      <c r="B418" s="6" t="str">
        <f ca="1">IFERROR(__xludf.DUMMYFUNCTION("""COMPUTED_VALUE"""),"Writing Style Preference")</f>
        <v>Writing Style Preference</v>
      </c>
      <c r="H418" s="6">
        <f ca="1"/>
        <v>0</v>
      </c>
      <c r="I418" s="6">
        <f ca="1"/>
        <v>0</v>
      </c>
      <c r="J418" s="6">
        <f ca="1"/>
        <v>0</v>
      </c>
    </row>
    <row r="419" spans="1:10" ht="13" x14ac:dyDescent="0.15">
      <c r="A419" s="6" t="str">
        <f ca="1">IFERROR(__xludf.DUMMYFUNCTION("""COMPUTED_VALUE"""),"Coding Style")</f>
        <v>Coding Style</v>
      </c>
      <c r="B419" s="6" t="str">
        <f ca="1">IFERROR(__xludf.DUMMYFUNCTION("""COMPUTED_VALUE"""),"Coding Style")</f>
        <v>Coding Style</v>
      </c>
      <c r="H419" s="6">
        <f ca="1"/>
        <v>0</v>
      </c>
      <c r="I419" s="6">
        <f ca="1"/>
        <v>0</v>
      </c>
      <c r="J419" s="6">
        <f ca="1"/>
        <v>0</v>
      </c>
    </row>
    <row r="420" spans="1:10" ht="13" x14ac:dyDescent="0.15">
      <c r="A420" s="6" t="str">
        <f ca="1">IFERROR(__xludf.DUMMYFUNCTION("""COMPUTED_VALUE"""),"Task Execution")</f>
        <v>Task Execution</v>
      </c>
      <c r="B420" s="6" t="str">
        <f ca="1">IFERROR(__xludf.DUMMYFUNCTION("""COMPUTED_VALUE"""),"Task Execution")</f>
        <v>Task Execution</v>
      </c>
      <c r="H420" s="6">
        <f ca="1"/>
        <v>0</v>
      </c>
      <c r="I420" s="6">
        <f ca="1"/>
        <v>0</v>
      </c>
      <c r="J420" s="6">
        <f ca="1"/>
        <v>0</v>
      </c>
    </row>
    <row r="421" spans="1:10" ht="13" x14ac:dyDescent="0.15">
      <c r="A421" s="6" t="str">
        <f ca="1">IFERROR(__xludf.DUMMYFUNCTION("""COMPUTED_VALUE"""),"Documentation")</f>
        <v>Documentation</v>
      </c>
      <c r="B421" s="6" t="str">
        <f ca="1">IFERROR(__xludf.DUMMYFUNCTION("""COMPUTED_VALUE"""),"Documentation")</f>
        <v>Documentation</v>
      </c>
      <c r="H421" s="6">
        <f ca="1"/>
        <v>0</v>
      </c>
      <c r="I421" s="6">
        <f ca="1"/>
        <v>0</v>
      </c>
      <c r="J421" s="6">
        <f ca="1"/>
        <v>0</v>
      </c>
    </row>
    <row r="422" spans="1:10" ht="13" x14ac:dyDescent="0.15">
      <c r="A422" s="6" t="str">
        <f ca="1">IFERROR(__xludf.DUMMYFUNCTION("""COMPUTED_VALUE"""),"Coding Pattern")</f>
        <v>Coding Pattern</v>
      </c>
      <c r="B422" s="6" t="str">
        <f ca="1">IFERROR(__xludf.DUMMYFUNCTION("""COMPUTED_VALUE"""),"Coding Pattern")</f>
        <v>Coding Pattern</v>
      </c>
      <c r="H422" s="6">
        <f ca="1"/>
        <v>0</v>
      </c>
      <c r="I422" s="6">
        <f ca="1"/>
        <v>0</v>
      </c>
      <c r="J422" s="6">
        <f ca="1"/>
        <v>0</v>
      </c>
    </row>
    <row r="423" spans="1:10" ht="13" x14ac:dyDescent="0.15">
      <c r="A423" s="6" t="str">
        <f ca="1">IFERROR(__xludf.DUMMYFUNCTION("""COMPUTED_VALUE"""),"Coding Pattern")</f>
        <v>Coding Pattern</v>
      </c>
      <c r="B423" s="6" t="str">
        <f ca="1">IFERROR(__xludf.DUMMYFUNCTION("""COMPUTED_VALUE"""),"Coding Pattern")</f>
        <v>Coding Pattern</v>
      </c>
      <c r="H423" s="6">
        <f ca="1"/>
        <v>0</v>
      </c>
      <c r="I423" s="6">
        <f ca="1"/>
        <v>0</v>
      </c>
      <c r="J423" s="6">
        <f ca="1"/>
        <v>0</v>
      </c>
    </row>
    <row r="424" spans="1:10" ht="13" x14ac:dyDescent="0.15">
      <c r="A424" s="6" t="str">
        <f ca="1">IFERROR(__xludf.DUMMYFUNCTION("""COMPUTED_VALUE"""),"Coding Pattern")</f>
        <v>Coding Pattern</v>
      </c>
      <c r="B424" s="6" t="str">
        <f ca="1">IFERROR(__xludf.DUMMYFUNCTION("""COMPUTED_VALUE"""),"Maintainability")</f>
        <v>Maintainability</v>
      </c>
      <c r="H424" s="6">
        <f ca="1"/>
        <v>0</v>
      </c>
      <c r="I424" s="6">
        <f ca="1"/>
        <v>0</v>
      </c>
      <c r="J424" s="6">
        <f ca="1"/>
        <v>0</v>
      </c>
    </row>
    <row r="425" spans="1:10" ht="13" x14ac:dyDescent="0.15">
      <c r="A425" s="6" t="str">
        <f ca="1">IFERROR(__xludf.DUMMYFUNCTION("""COMPUTED_VALUE"""),"Coding Pattern")</f>
        <v>Coding Pattern</v>
      </c>
      <c r="B425" s="6" t="str">
        <f ca="1">IFERROR(__xludf.DUMMYFUNCTION("""COMPUTED_VALUE"""),"Coding Pattern")</f>
        <v>Coding Pattern</v>
      </c>
      <c r="H425" s="6">
        <f ca="1"/>
        <v>0</v>
      </c>
      <c r="I425" s="6">
        <f ca="1"/>
        <v>0</v>
      </c>
      <c r="J425" s="6">
        <f ca="1"/>
        <v>0</v>
      </c>
    </row>
    <row r="426" spans="1:10" ht="13" x14ac:dyDescent="0.15">
      <c r="A426" s="6" t="str">
        <f ca="1">IFERROR(__xludf.DUMMYFUNCTION("""COMPUTED_VALUE"""),"Coding Pattern")</f>
        <v>Coding Pattern</v>
      </c>
      <c r="B426" s="6" t="str">
        <f ca="1">IFERROR(__xludf.DUMMYFUNCTION("""COMPUTED_VALUE"""),"Coding Pattern")</f>
        <v>Coding Pattern</v>
      </c>
      <c r="H426" s="6">
        <f ca="1"/>
        <v>0</v>
      </c>
      <c r="I426" s="6">
        <f ca="1"/>
        <v>0</v>
      </c>
      <c r="J426" s="6">
        <f ca="1"/>
        <v>0</v>
      </c>
    </row>
    <row r="427" spans="1:10" ht="13" x14ac:dyDescent="0.15">
      <c r="A427" s="6" t="str">
        <f ca="1">IFERROR(__xludf.DUMMYFUNCTION("""COMPUTED_VALUE"""),"Coding Style")</f>
        <v>Coding Style</v>
      </c>
      <c r="B427" s="6" t="str">
        <f ca="1">IFERROR(__xludf.DUMMYFUNCTION("""COMPUTED_VALUE"""),"Coding Style")</f>
        <v>Coding Style</v>
      </c>
      <c r="H427" s="6">
        <f ca="1"/>
        <v>0</v>
      </c>
      <c r="I427" s="6">
        <f ca="1"/>
        <v>0</v>
      </c>
      <c r="J427" s="6">
        <f ca="1"/>
        <v>0</v>
      </c>
    </row>
    <row r="428" spans="1:10" ht="13" x14ac:dyDescent="0.15">
      <c r="A428" s="6" t="str">
        <f ca="1">IFERROR(__xludf.DUMMYFUNCTION("""COMPUTED_VALUE"""),"Documentation")</f>
        <v>Documentation</v>
      </c>
      <c r="B428" s="6" t="str">
        <f ca="1">IFERROR(__xludf.DUMMYFUNCTION("""COMPUTED_VALUE"""),"Documentation")</f>
        <v>Documentation</v>
      </c>
      <c r="H428" s="6">
        <f ca="1"/>
        <v>0</v>
      </c>
      <c r="I428" s="6">
        <f ca="1"/>
        <v>0</v>
      </c>
      <c r="J428" s="6">
        <f ca="1"/>
        <v>0</v>
      </c>
    </row>
    <row r="429" spans="1:10" ht="13" x14ac:dyDescent="0.15">
      <c r="A429" s="6" t="str">
        <f ca="1">IFERROR(__xludf.DUMMYFUNCTION("""COMPUTED_VALUE"""),"Coding Style")</f>
        <v>Coding Style</v>
      </c>
      <c r="B429" s="6" t="str">
        <f ca="1">IFERROR(__xludf.DUMMYFUNCTION("""COMPUTED_VALUE"""),"Coding Style")</f>
        <v>Coding Style</v>
      </c>
      <c r="H429" s="6">
        <f ca="1"/>
        <v>0</v>
      </c>
      <c r="I429" s="6">
        <f ca="1"/>
        <v>0</v>
      </c>
      <c r="J429" s="6">
        <f ca="1"/>
        <v>0</v>
      </c>
    </row>
    <row r="430" spans="1:10" ht="13" x14ac:dyDescent="0.15">
      <c r="A430" s="6" t="str">
        <f ca="1">IFERROR(__xludf.DUMMYFUNCTION("""COMPUTED_VALUE"""),"Writing Style Preference")</f>
        <v>Writing Style Preference</v>
      </c>
      <c r="B430" s="6" t="str">
        <f ca="1">IFERROR(__xludf.DUMMYFUNCTION("""COMPUTED_VALUE"""),"Coding Pattern")</f>
        <v>Coding Pattern</v>
      </c>
      <c r="H430" s="6">
        <f ca="1"/>
        <v>0</v>
      </c>
      <c r="I430" s="6">
        <f ca="1"/>
        <v>0</v>
      </c>
      <c r="J430" s="6">
        <f ca="1"/>
        <v>0</v>
      </c>
    </row>
    <row r="431" spans="1:10" ht="13" x14ac:dyDescent="0.15">
      <c r="A431" s="6" t="str">
        <f ca="1">IFERROR(__xludf.DUMMYFUNCTION("""COMPUTED_VALUE"""),"Writing Style Preference")</f>
        <v>Writing Style Preference</v>
      </c>
      <c r="B431" s="6" t="str">
        <f ca="1">IFERROR(__xludf.DUMMYFUNCTION("""COMPUTED_VALUE"""),"Coding Pattern")</f>
        <v>Coding Pattern</v>
      </c>
      <c r="H431" s="6">
        <f ca="1"/>
        <v>0</v>
      </c>
      <c r="I431" s="6">
        <f ca="1"/>
        <v>0</v>
      </c>
      <c r="J431" s="6">
        <f ca="1"/>
        <v>0</v>
      </c>
    </row>
    <row r="432" spans="1:10" ht="13" x14ac:dyDescent="0.15">
      <c r="A432" s="6" t="str">
        <f ca="1">IFERROR(__xludf.DUMMYFUNCTION("""COMPUTED_VALUE"""),"Coding Pattern")</f>
        <v>Coding Pattern</v>
      </c>
      <c r="B432" s="6" t="str">
        <f ca="1">IFERROR(__xludf.DUMMYFUNCTION("""COMPUTED_VALUE"""),"Coding Pattern")</f>
        <v>Coding Pattern</v>
      </c>
      <c r="H432" s="6">
        <f ca="1"/>
        <v>0</v>
      </c>
      <c r="I432" s="6">
        <f ca="1"/>
        <v>0</v>
      </c>
      <c r="J432" s="6">
        <f ca="1"/>
        <v>0</v>
      </c>
    </row>
    <row r="433" spans="1:10" ht="13" x14ac:dyDescent="0.15">
      <c r="A433" s="6" t="str">
        <f ca="1">IFERROR(__xludf.DUMMYFUNCTION("""COMPUTED_VALUE"""),"Documentation")</f>
        <v>Documentation</v>
      </c>
      <c r="B433" s="6" t="str">
        <f ca="1">IFERROR(__xludf.DUMMYFUNCTION("""COMPUTED_VALUE"""),"Documentation")</f>
        <v>Documentation</v>
      </c>
      <c r="H433" s="6">
        <f ca="1"/>
        <v>0</v>
      </c>
      <c r="I433" s="6">
        <f ca="1"/>
        <v>0</v>
      </c>
      <c r="J433" s="6">
        <f ca="1"/>
        <v>0</v>
      </c>
    </row>
    <row r="434" spans="1:10" ht="13" x14ac:dyDescent="0.15">
      <c r="A434" s="6" t="str">
        <f ca="1">IFERROR(__xludf.DUMMYFUNCTION("""COMPUTED_VALUE"""),"Maintainability")</f>
        <v>Maintainability</v>
      </c>
      <c r="B434" s="6" t="str">
        <f ca="1">IFERROR(__xludf.DUMMYFUNCTION("""COMPUTED_VALUE"""),"Maintainability")</f>
        <v>Maintainability</v>
      </c>
      <c r="H434" s="6">
        <f ca="1"/>
        <v>0</v>
      </c>
      <c r="I434" s="6">
        <f ca="1"/>
        <v>0</v>
      </c>
      <c r="J434" s="6">
        <f ca="1"/>
        <v>0</v>
      </c>
    </row>
    <row r="435" spans="1:10" ht="13" x14ac:dyDescent="0.15">
      <c r="A435" s="6" t="str">
        <f ca="1">IFERROR(__xludf.DUMMYFUNCTION("""COMPUTED_VALUE"""),"Performance")</f>
        <v>Performance</v>
      </c>
      <c r="B435" s="6" t="str">
        <f ca="1">IFERROR(__xludf.DUMMYFUNCTION("""COMPUTED_VALUE"""),"Performance")</f>
        <v>Performance</v>
      </c>
      <c r="H435" s="6">
        <f ca="1"/>
        <v>0</v>
      </c>
      <c r="I435" s="6">
        <f ca="1"/>
        <v>0</v>
      </c>
      <c r="J435" s="6">
        <f ca="1"/>
        <v>0</v>
      </c>
    </row>
    <row r="436" spans="1:10" ht="13" x14ac:dyDescent="0.15">
      <c r="A436" s="6" t="str">
        <f ca="1">IFERROR(__xludf.DUMMYFUNCTION("""COMPUTED_VALUE"""),"Task Execution")</f>
        <v>Task Execution</v>
      </c>
      <c r="B436" s="6" t="str">
        <f ca="1">IFERROR(__xludf.DUMMYFUNCTION("""COMPUTED_VALUE"""),"Task Execution")</f>
        <v>Task Execution</v>
      </c>
      <c r="H436" s="6">
        <f ca="1"/>
        <v>0</v>
      </c>
      <c r="I436" s="6">
        <f ca="1"/>
        <v>0</v>
      </c>
      <c r="J436" s="6">
        <f ca="1"/>
        <v>0</v>
      </c>
    </row>
    <row r="437" spans="1:10" ht="13" x14ac:dyDescent="0.15">
      <c r="A437" s="6" t="str">
        <f ca="1">IFERROR(__xludf.DUMMYFUNCTION("""COMPUTED_VALUE"""),"Task Execution")</f>
        <v>Task Execution</v>
      </c>
      <c r="B437" s="6" t="str">
        <f ca="1">IFERROR(__xludf.DUMMYFUNCTION("""COMPUTED_VALUE"""),"Task Execution")</f>
        <v>Task Execution</v>
      </c>
      <c r="H437" s="6">
        <f ca="1"/>
        <v>0</v>
      </c>
      <c r="I437" s="6">
        <f ca="1"/>
        <v>0</v>
      </c>
      <c r="J437" s="6">
        <f ca="1"/>
        <v>0</v>
      </c>
    </row>
    <row r="438" spans="1:10" ht="13" x14ac:dyDescent="0.15">
      <c r="A438" s="6" t="str">
        <f ca="1">IFERROR(__xludf.DUMMYFUNCTION("""COMPUTED_VALUE"""),"Task Execution")</f>
        <v>Task Execution</v>
      </c>
      <c r="B438" s="6" t="str">
        <f ca="1">IFERROR(__xludf.DUMMYFUNCTION("""COMPUTED_VALUE"""),"Task Execution")</f>
        <v>Task Execution</v>
      </c>
      <c r="H438" s="6">
        <f ca="1"/>
        <v>0</v>
      </c>
      <c r="I438" s="6">
        <f ca="1"/>
        <v>0</v>
      </c>
      <c r="J438" s="6">
        <f ca="1"/>
        <v>0</v>
      </c>
    </row>
    <row r="439" spans="1:10" ht="13" x14ac:dyDescent="0.15">
      <c r="A439" s="6" t="str">
        <f ca="1">IFERROR(__xludf.DUMMYFUNCTION("""COMPUTED_VALUE"""),"Task Execution")</f>
        <v>Task Execution</v>
      </c>
      <c r="B439" s="6" t="str">
        <f ca="1">IFERROR(__xludf.DUMMYFUNCTION("""COMPUTED_VALUE"""),"Task Execution")</f>
        <v>Task Execution</v>
      </c>
      <c r="H439" s="6">
        <f ca="1"/>
        <v>0</v>
      </c>
      <c r="I439" s="6">
        <f ca="1"/>
        <v>0</v>
      </c>
      <c r="J439" s="6">
        <f ca="1"/>
        <v>0</v>
      </c>
    </row>
    <row r="440" spans="1:10" ht="13" x14ac:dyDescent="0.15">
      <c r="A440" s="6" t="str">
        <f ca="1">IFERROR(__xludf.DUMMYFUNCTION("""COMPUTED_VALUE"""),"Documentation")</f>
        <v>Documentation</v>
      </c>
      <c r="B440" s="6" t="str">
        <f ca="1">IFERROR(__xludf.DUMMYFUNCTION("""COMPUTED_VALUE"""),"Documentation")</f>
        <v>Documentation</v>
      </c>
      <c r="H440" s="6">
        <f ca="1"/>
        <v>0</v>
      </c>
      <c r="I440" s="6">
        <f ca="1"/>
        <v>0</v>
      </c>
      <c r="J440" s="6">
        <f ca="1"/>
        <v>0</v>
      </c>
    </row>
    <row r="441" spans="1:10" ht="13" x14ac:dyDescent="0.15">
      <c r="A441" s="6" t="str">
        <f ca="1">IFERROR(__xludf.DUMMYFUNCTION("""COMPUTED_VALUE"""),"Writing Style Preference")</f>
        <v>Writing Style Preference</v>
      </c>
      <c r="B441" s="6" t="str">
        <f ca="1">IFERROR(__xludf.DUMMYFUNCTION("""COMPUTED_VALUE"""),"Writing Style Preference")</f>
        <v>Writing Style Preference</v>
      </c>
      <c r="H441" s="6">
        <f ca="1"/>
        <v>0</v>
      </c>
      <c r="I441" s="6">
        <f ca="1"/>
        <v>0</v>
      </c>
      <c r="J441" s="6">
        <f ca="1"/>
        <v>0</v>
      </c>
    </row>
    <row r="442" spans="1:10" ht="13" x14ac:dyDescent="0.15">
      <c r="A442" s="6" t="str">
        <f ca="1">IFERROR(__xludf.DUMMYFUNCTION("""COMPUTED_VALUE"""),"Documentation")</f>
        <v>Documentation</v>
      </c>
      <c r="B442" s="6" t="str">
        <f ca="1">IFERROR(__xludf.DUMMYFUNCTION("""COMPUTED_VALUE"""),"Documentation")</f>
        <v>Documentation</v>
      </c>
      <c r="H442" s="6">
        <f ca="1"/>
        <v>0</v>
      </c>
      <c r="I442" s="6">
        <f ca="1"/>
        <v>0</v>
      </c>
      <c r="J442" s="6">
        <f ca="1"/>
        <v>0</v>
      </c>
    </row>
    <row r="443" spans="1:10" ht="13" x14ac:dyDescent="0.15">
      <c r="A443" s="6" t="str">
        <f ca="1">IFERROR(__xludf.DUMMYFUNCTION("""COMPUTED_VALUE"""),"Task Execution")</f>
        <v>Task Execution</v>
      </c>
      <c r="B443" s="6" t="str">
        <f ca="1">IFERROR(__xludf.DUMMYFUNCTION("""COMPUTED_VALUE"""),"Task Execution")</f>
        <v>Task Execution</v>
      </c>
      <c r="H443" s="6">
        <f ca="1"/>
        <v>0</v>
      </c>
      <c r="I443" s="6">
        <f ca="1"/>
        <v>0</v>
      </c>
      <c r="J443" s="6">
        <f ca="1"/>
        <v>0</v>
      </c>
    </row>
    <row r="444" spans="1:10" ht="13" x14ac:dyDescent="0.15">
      <c r="A444" s="6" t="str">
        <f ca="1">IFERROR(__xludf.DUMMYFUNCTION("""COMPUTED_VALUE"""),"Writing Style Preference")</f>
        <v>Writing Style Preference</v>
      </c>
      <c r="B444" s="6" t="str">
        <f ca="1">IFERROR(__xludf.DUMMYFUNCTION("""COMPUTED_VALUE"""),"Writing Style Preference")</f>
        <v>Writing Style Preference</v>
      </c>
      <c r="H444" s="6">
        <f ca="1"/>
        <v>0</v>
      </c>
      <c r="I444" s="6">
        <f ca="1"/>
        <v>0</v>
      </c>
      <c r="J444" s="6">
        <f ca="1"/>
        <v>0</v>
      </c>
    </row>
    <row r="445" spans="1:10" ht="13" x14ac:dyDescent="0.15">
      <c r="A445" s="6" t="str">
        <f ca="1">IFERROR(__xludf.DUMMYFUNCTION("""COMPUTED_VALUE"""),"Commit&amp;PR rule")</f>
        <v>Commit&amp;PR rule</v>
      </c>
      <c r="B445" s="6" t="str">
        <f ca="1">IFERROR(__xludf.DUMMYFUNCTION("""COMPUTED_VALUE"""),"Commit&amp;PR rule")</f>
        <v>Commit&amp;PR rule</v>
      </c>
      <c r="H445" s="6">
        <f ca="1"/>
        <v>0</v>
      </c>
      <c r="I445" s="6">
        <f ca="1"/>
        <v>0</v>
      </c>
      <c r="J445" s="6">
        <f ca="1"/>
        <v>0</v>
      </c>
    </row>
    <row r="446" spans="1:10" ht="13" x14ac:dyDescent="0.15">
      <c r="A446" s="6" t="str">
        <f ca="1">IFERROR(__xludf.DUMMYFUNCTION("""COMPUTED_VALUE"""),"Writing Style Preference")</f>
        <v>Writing Style Preference</v>
      </c>
      <c r="B446" s="6" t="str">
        <f ca="1">IFERROR(__xludf.DUMMYFUNCTION("""COMPUTED_VALUE"""),"Documentation")</f>
        <v>Documentation</v>
      </c>
      <c r="H446" s="6">
        <f ca="1"/>
        <v>0</v>
      </c>
      <c r="I446" s="6">
        <f ca="1"/>
        <v>0</v>
      </c>
      <c r="J446" s="6">
        <f ca="1"/>
        <v>0</v>
      </c>
    </row>
    <row r="447" spans="1:10" ht="13" x14ac:dyDescent="0.15">
      <c r="A447" s="6" t="str">
        <f ca="1">IFERROR(__xludf.DUMMYFUNCTION("""COMPUTED_VALUE"""),"Commit&amp;PR rule")</f>
        <v>Commit&amp;PR rule</v>
      </c>
      <c r="B447" s="6" t="str">
        <f ca="1">IFERROR(__xludf.DUMMYFUNCTION("""COMPUTED_VALUE"""),"Commit&amp;PR rule")</f>
        <v>Commit&amp;PR rule</v>
      </c>
      <c r="H447" s="6">
        <f ca="1"/>
        <v>0</v>
      </c>
      <c r="I447" s="6">
        <f ca="1"/>
        <v>0</v>
      </c>
      <c r="J447" s="6">
        <f ca="1"/>
        <v>0</v>
      </c>
    </row>
    <row r="448" spans="1:10" ht="13" x14ac:dyDescent="0.15">
      <c r="A448" s="6" t="str">
        <f ca="1">IFERROR(__xludf.DUMMYFUNCTION("""COMPUTED_VALUE"""),"Task Execution")</f>
        <v>Task Execution</v>
      </c>
      <c r="B448" s="6" t="str">
        <f ca="1">IFERROR(__xludf.DUMMYFUNCTION("""COMPUTED_VALUE"""),"Task Execution")</f>
        <v>Task Execution</v>
      </c>
      <c r="H448" s="6">
        <f ca="1"/>
        <v>0</v>
      </c>
      <c r="I448" s="6">
        <f ca="1"/>
        <v>0</v>
      </c>
      <c r="J448" s="6">
        <f ca="1"/>
        <v>0</v>
      </c>
    </row>
    <row r="449" spans="1:10" ht="13" x14ac:dyDescent="0.15">
      <c r="A449" s="6" t="str">
        <f ca="1">IFERROR(__xludf.DUMMYFUNCTION("""COMPUTED_VALUE"""),"Coding Pattern")</f>
        <v>Coding Pattern</v>
      </c>
      <c r="B449" s="6" t="str">
        <f ca="1">IFERROR(__xludf.DUMMYFUNCTION("""COMPUTED_VALUE"""),"Coding Pattern")</f>
        <v>Coding Pattern</v>
      </c>
      <c r="H449" s="6">
        <f ca="1"/>
        <v>0</v>
      </c>
      <c r="I449" s="6">
        <f ca="1"/>
        <v>0</v>
      </c>
      <c r="J449" s="6">
        <f ca="1"/>
        <v>0</v>
      </c>
    </row>
    <row r="450" spans="1:10" ht="13" x14ac:dyDescent="0.15">
      <c r="A450" s="6" t="str">
        <f ca="1">IFERROR(__xludf.DUMMYFUNCTION("""COMPUTED_VALUE"""),"Coding Pattern")</f>
        <v>Coding Pattern</v>
      </c>
      <c r="B450" s="6" t="str">
        <f ca="1">IFERROR(__xludf.DUMMYFUNCTION("""COMPUTED_VALUE"""),"Coding Pattern")</f>
        <v>Coding Pattern</v>
      </c>
      <c r="H450" s="6">
        <f ca="1"/>
        <v>0</v>
      </c>
      <c r="I450" s="6">
        <f ca="1"/>
        <v>0</v>
      </c>
      <c r="J450" s="6">
        <f ca="1"/>
        <v>0</v>
      </c>
    </row>
    <row r="451" spans="1:10" ht="13" x14ac:dyDescent="0.15">
      <c r="A451" s="6" t="str">
        <f ca="1">IFERROR(__xludf.DUMMYFUNCTION("""COMPUTED_VALUE"""),"Coding Pattern")</f>
        <v>Coding Pattern</v>
      </c>
      <c r="B451" s="6" t="str">
        <f ca="1">IFERROR(__xludf.DUMMYFUNCTION("""COMPUTED_VALUE"""),"Coding Pattern")</f>
        <v>Coding Pattern</v>
      </c>
      <c r="H451" s="6">
        <f ca="1"/>
        <v>0</v>
      </c>
      <c r="I451" s="6">
        <f ca="1"/>
        <v>0</v>
      </c>
      <c r="J451" s="6">
        <f ca="1"/>
        <v>0</v>
      </c>
    </row>
    <row r="452" spans="1:10" ht="13" x14ac:dyDescent="0.15">
      <c r="A452" s="6" t="str">
        <f ca="1">IFERROR(__xludf.DUMMYFUNCTION("""COMPUTED_VALUE"""),"Testing")</f>
        <v>Testing</v>
      </c>
      <c r="B452" s="6" t="str">
        <f ca="1">IFERROR(__xludf.DUMMYFUNCTION("""COMPUTED_VALUE"""),"Testing")</f>
        <v>Testing</v>
      </c>
      <c r="H452" s="6">
        <f ca="1"/>
        <v>0</v>
      </c>
      <c r="I452" s="6">
        <f ca="1"/>
        <v>0</v>
      </c>
      <c r="J452" s="6">
        <f ca="1"/>
        <v>0</v>
      </c>
    </row>
    <row r="453" spans="1:10" ht="13" x14ac:dyDescent="0.15">
      <c r="A453" s="6" t="str">
        <f ca="1">IFERROR(__xludf.DUMMYFUNCTION("""COMPUTED_VALUE"""),"Testing")</f>
        <v>Testing</v>
      </c>
      <c r="B453" s="6" t="str">
        <f ca="1">IFERROR(__xludf.DUMMYFUNCTION("""COMPUTED_VALUE"""),"Testing")</f>
        <v>Testing</v>
      </c>
      <c r="H453" s="6">
        <f ca="1"/>
        <v>0</v>
      </c>
      <c r="I453" s="6">
        <f ca="1"/>
        <v>0</v>
      </c>
      <c r="J453" s="6">
        <f ca="1"/>
        <v>0</v>
      </c>
    </row>
    <row r="454" spans="1:10" ht="13" x14ac:dyDescent="0.15">
      <c r="A454" s="6" t="str">
        <f ca="1">IFERROR(__xludf.DUMMYFUNCTION("""COMPUTED_VALUE"""),"Build &amp; Operation")</f>
        <v>Build &amp; Operation</v>
      </c>
      <c r="B454" s="6" t="str">
        <f ca="1">IFERROR(__xludf.DUMMYFUNCTION("""COMPUTED_VALUE"""),"Build &amp; Operation")</f>
        <v>Build &amp; Operation</v>
      </c>
      <c r="H454" s="6">
        <f ca="1"/>
        <v>0</v>
      </c>
      <c r="I454" s="6">
        <f ca="1"/>
        <v>0</v>
      </c>
      <c r="J454" s="6">
        <f ca="1"/>
        <v>0</v>
      </c>
    </row>
    <row r="455" spans="1:10" ht="13" x14ac:dyDescent="0.15">
      <c r="A455" s="6" t="str">
        <f ca="1">IFERROR(__xludf.DUMMYFUNCTION("""COMPUTED_VALUE"""),"Coding Pattern")</f>
        <v>Coding Pattern</v>
      </c>
      <c r="B455" s="6" t="str">
        <f ca="1">IFERROR(__xludf.DUMMYFUNCTION("""COMPUTED_VALUE"""),"Coding Pattern")</f>
        <v>Coding Pattern</v>
      </c>
      <c r="H455" s="6">
        <f ca="1"/>
        <v>0</v>
      </c>
      <c r="I455" s="6">
        <f ca="1"/>
        <v>0</v>
      </c>
      <c r="J455" s="6">
        <f ca="1"/>
        <v>0</v>
      </c>
    </row>
    <row r="456" spans="1:10" ht="13" x14ac:dyDescent="0.15">
      <c r="A456" s="6" t="str">
        <f ca="1">IFERROR(__xludf.DUMMYFUNCTION("""COMPUTED_VALUE"""),"Coding Pattern")</f>
        <v>Coding Pattern</v>
      </c>
      <c r="B456" s="6" t="str">
        <f ca="1">IFERROR(__xludf.DUMMYFUNCTION("""COMPUTED_VALUE"""),"Coding Pattern")</f>
        <v>Coding Pattern</v>
      </c>
      <c r="H456" s="6">
        <f ca="1"/>
        <v>0</v>
      </c>
      <c r="I456" s="6">
        <f ca="1"/>
        <v>0</v>
      </c>
      <c r="J456" s="6">
        <f ca="1"/>
        <v>0</v>
      </c>
    </row>
    <row r="457" spans="1:10" ht="13" x14ac:dyDescent="0.15">
      <c r="A457" s="6" t="str">
        <f ca="1">IFERROR(__xludf.DUMMYFUNCTION("""COMPUTED_VALUE"""),"Coding Pattern")</f>
        <v>Coding Pattern</v>
      </c>
      <c r="B457" s="6" t="str">
        <f ca="1">IFERROR(__xludf.DUMMYFUNCTION("""COMPUTED_VALUE"""),"Coding Pattern")</f>
        <v>Coding Pattern</v>
      </c>
      <c r="H457" s="6">
        <f ca="1"/>
        <v>0</v>
      </c>
      <c r="I457" s="6">
        <f ca="1"/>
        <v>0</v>
      </c>
      <c r="J457" s="6">
        <f ca="1"/>
        <v>0</v>
      </c>
    </row>
    <row r="458" spans="1:10" ht="13" x14ac:dyDescent="0.15">
      <c r="A458" s="6" t="str">
        <f ca="1">IFERROR(__xludf.DUMMYFUNCTION("""COMPUTED_VALUE"""),"Testing")</f>
        <v>Testing</v>
      </c>
      <c r="B458" s="6" t="str">
        <f ca="1">IFERROR(__xludf.DUMMYFUNCTION("""COMPUTED_VALUE"""),"Testing")</f>
        <v>Testing</v>
      </c>
      <c r="H458" s="6">
        <f ca="1"/>
        <v>0</v>
      </c>
      <c r="I458" s="6">
        <f ca="1"/>
        <v>0</v>
      </c>
      <c r="J458" s="6">
        <f ca="1"/>
        <v>0</v>
      </c>
    </row>
    <row r="459" spans="1:10" ht="13" x14ac:dyDescent="0.15">
      <c r="A459" s="6" t="str">
        <f ca="1">IFERROR(__xludf.DUMMYFUNCTION("""COMPUTED_VALUE"""),"Task Execution")</f>
        <v>Task Execution</v>
      </c>
      <c r="B459" s="6" t="str">
        <f ca="1">IFERROR(__xludf.DUMMYFUNCTION("""COMPUTED_VALUE"""),"Task Execution")</f>
        <v>Task Execution</v>
      </c>
      <c r="H459" s="6">
        <f ca="1"/>
        <v>0</v>
      </c>
      <c r="I459" s="6">
        <f ca="1"/>
        <v>0</v>
      </c>
      <c r="J459" s="6">
        <f ca="1"/>
        <v>0</v>
      </c>
    </row>
    <row r="460" spans="1:10" ht="13" x14ac:dyDescent="0.15">
      <c r="A460" s="6" t="str">
        <f ca="1">IFERROR(__xludf.DUMMYFUNCTION("""COMPUTED_VALUE"""),"Maintainability")</f>
        <v>Maintainability</v>
      </c>
      <c r="B460" s="6" t="str">
        <f ca="1">IFERROR(__xludf.DUMMYFUNCTION("""COMPUTED_VALUE"""),"Coding Pattern")</f>
        <v>Coding Pattern</v>
      </c>
      <c r="H460" s="6">
        <f ca="1"/>
        <v>0</v>
      </c>
      <c r="I460" s="6">
        <f ca="1"/>
        <v>0</v>
      </c>
      <c r="J460" s="6">
        <f ca="1"/>
        <v>0</v>
      </c>
    </row>
    <row r="461" spans="1:10" ht="13" x14ac:dyDescent="0.15">
      <c r="A461" s="6" t="str">
        <f ca="1">IFERROR(__xludf.DUMMYFUNCTION("""COMPUTED_VALUE"""),"Testing")</f>
        <v>Testing</v>
      </c>
      <c r="B461" s="6" t="str">
        <f ca="1">IFERROR(__xludf.DUMMYFUNCTION("""COMPUTED_VALUE"""),"Testing")</f>
        <v>Testing</v>
      </c>
      <c r="H461" s="6">
        <f ca="1"/>
        <v>0</v>
      </c>
      <c r="I461" s="6">
        <f ca="1"/>
        <v>0</v>
      </c>
      <c r="J461" s="6">
        <f ca="1"/>
        <v>0</v>
      </c>
    </row>
    <row r="462" spans="1:10" ht="13" x14ac:dyDescent="0.15">
      <c r="A462" s="6" t="str">
        <f ca="1">IFERROR(__xludf.DUMMYFUNCTION("""COMPUTED_VALUE"""),"Coding Pattern")</f>
        <v>Coding Pattern</v>
      </c>
      <c r="B462" s="6" t="str">
        <f ca="1">IFERROR(__xludf.DUMMYFUNCTION("""COMPUTED_VALUE"""),"Coding Pattern")</f>
        <v>Coding Pattern</v>
      </c>
      <c r="H462" s="6">
        <f ca="1"/>
        <v>0</v>
      </c>
      <c r="I462" s="6">
        <f ca="1"/>
        <v>0</v>
      </c>
      <c r="J462" s="6">
        <f ca="1"/>
        <v>0</v>
      </c>
    </row>
    <row r="463" spans="1:10" ht="13" x14ac:dyDescent="0.15">
      <c r="A463" s="6" t="str">
        <f ca="1">IFERROR(__xludf.DUMMYFUNCTION("""COMPUTED_VALUE"""),"Task Execution")</f>
        <v>Task Execution</v>
      </c>
      <c r="B463" s="6" t="str">
        <f ca="1">IFERROR(__xludf.DUMMYFUNCTION("""COMPUTED_VALUE"""),"Task Execution")</f>
        <v>Task Execution</v>
      </c>
      <c r="H463" s="6">
        <f ca="1"/>
        <v>0</v>
      </c>
      <c r="I463" s="6">
        <f ca="1"/>
        <v>0</v>
      </c>
      <c r="J463" s="6">
        <f ca="1"/>
        <v>0</v>
      </c>
    </row>
    <row r="464" spans="1:10" ht="13" x14ac:dyDescent="0.15">
      <c r="A464" s="6" t="str">
        <f ca="1">IFERROR(__xludf.DUMMYFUNCTION("""COMPUTED_VALUE"""),"Coding Pattern")</f>
        <v>Coding Pattern</v>
      </c>
      <c r="B464" s="6" t="str">
        <f ca="1">IFERROR(__xludf.DUMMYFUNCTION("""COMPUTED_VALUE"""),"Coding Pattern")</f>
        <v>Coding Pattern</v>
      </c>
      <c r="H464" s="6">
        <f ca="1"/>
        <v>0</v>
      </c>
      <c r="I464" s="6">
        <f ca="1"/>
        <v>0</v>
      </c>
      <c r="J464" s="6">
        <f ca="1"/>
        <v>0</v>
      </c>
    </row>
    <row r="465" spans="1:10" ht="13" x14ac:dyDescent="0.15">
      <c r="A465" s="6" t="str">
        <f ca="1">IFERROR(__xludf.DUMMYFUNCTION("""COMPUTED_VALUE"""),"Testing")</f>
        <v>Testing</v>
      </c>
      <c r="B465" s="6" t="str">
        <f ca="1">IFERROR(__xludf.DUMMYFUNCTION("""COMPUTED_VALUE"""),"Testing")</f>
        <v>Testing</v>
      </c>
      <c r="H465" s="6">
        <f ca="1"/>
        <v>0</v>
      </c>
      <c r="I465" s="6">
        <f ca="1"/>
        <v>0</v>
      </c>
      <c r="J465" s="6">
        <f ca="1"/>
        <v>0</v>
      </c>
    </row>
    <row r="466" spans="1:10" ht="13" x14ac:dyDescent="0.15">
      <c r="A466" s="6" t="str">
        <f ca="1">IFERROR(__xludf.DUMMYFUNCTION("""COMPUTED_VALUE"""),"Task Execution")</f>
        <v>Task Execution</v>
      </c>
      <c r="B466" s="6" t="str">
        <f ca="1">IFERROR(__xludf.DUMMYFUNCTION("""COMPUTED_VALUE"""),"Task Execution")</f>
        <v>Task Execution</v>
      </c>
      <c r="H466" s="6">
        <f ca="1"/>
        <v>0</v>
      </c>
      <c r="I466" s="6">
        <f ca="1"/>
        <v>0</v>
      </c>
      <c r="J466" s="6">
        <f ca="1"/>
        <v>0</v>
      </c>
    </row>
    <row r="467" spans="1:10" ht="13" x14ac:dyDescent="0.15">
      <c r="A467" s="6" t="str">
        <f ca="1">IFERROR(__xludf.DUMMYFUNCTION("""COMPUTED_VALUE"""),"Coding Pattern")</f>
        <v>Coding Pattern</v>
      </c>
      <c r="B467" s="6" t="str">
        <f ca="1">IFERROR(__xludf.DUMMYFUNCTION("""COMPUTED_VALUE"""),"Coding Pattern")</f>
        <v>Coding Pattern</v>
      </c>
      <c r="H467" s="6">
        <f ca="1"/>
        <v>0</v>
      </c>
      <c r="I467" s="6">
        <f ca="1"/>
        <v>0</v>
      </c>
      <c r="J467" s="6">
        <f ca="1"/>
        <v>0</v>
      </c>
    </row>
    <row r="468" spans="1:10" ht="13" x14ac:dyDescent="0.15">
      <c r="A468" s="6" t="str">
        <f ca="1">IFERROR(__xludf.DUMMYFUNCTION("""COMPUTED_VALUE"""),"Coding Pattern")</f>
        <v>Coding Pattern</v>
      </c>
      <c r="B468" s="6" t="str">
        <f ca="1">IFERROR(__xludf.DUMMYFUNCTION("""COMPUTED_VALUE"""),"Coding Pattern")</f>
        <v>Coding Pattern</v>
      </c>
      <c r="H468" s="6">
        <f ca="1"/>
        <v>0</v>
      </c>
      <c r="I468" s="6">
        <f ca="1"/>
        <v>0</v>
      </c>
      <c r="J468" s="6">
        <f ca="1"/>
        <v>0</v>
      </c>
    </row>
    <row r="469" spans="1:10" ht="13" x14ac:dyDescent="0.15">
      <c r="A469" s="6" t="str">
        <f ca="1">IFERROR(__xludf.DUMMYFUNCTION("""COMPUTED_VALUE"""),"Task Execution")</f>
        <v>Task Execution</v>
      </c>
      <c r="B469" s="6" t="str">
        <f ca="1">IFERROR(__xludf.DUMMYFUNCTION("""COMPUTED_VALUE"""),"Task Execution")</f>
        <v>Task Execution</v>
      </c>
      <c r="H469" s="6">
        <f ca="1"/>
        <v>0</v>
      </c>
      <c r="I469" s="6">
        <f ca="1"/>
        <v>0</v>
      </c>
      <c r="J469" s="6">
        <f ca="1"/>
        <v>0</v>
      </c>
    </row>
    <row r="470" spans="1:10" ht="13" x14ac:dyDescent="0.15">
      <c r="A470" s="6" t="str">
        <f ca="1">IFERROR(__xludf.DUMMYFUNCTION("""COMPUTED_VALUE"""),"Build &amp; Operation")</f>
        <v>Build &amp; Operation</v>
      </c>
      <c r="B470" s="6" t="str">
        <f ca="1">IFERROR(__xludf.DUMMYFUNCTION("""COMPUTED_VALUE"""),"Build &amp; Operation")</f>
        <v>Build &amp; Operation</v>
      </c>
      <c r="H470" s="6">
        <f ca="1"/>
        <v>0</v>
      </c>
      <c r="I470" s="6">
        <f ca="1"/>
        <v>0</v>
      </c>
      <c r="J470" s="6">
        <f ca="1"/>
        <v>0</v>
      </c>
    </row>
    <row r="471" spans="1:10" ht="13" x14ac:dyDescent="0.15">
      <c r="A471" s="6" t="str">
        <f ca="1">IFERROR(__xludf.DUMMYFUNCTION("""COMPUTED_VALUE"""),"Coding Pattern")</f>
        <v>Coding Pattern</v>
      </c>
      <c r="B471" s="6" t="str">
        <f ca="1">IFERROR(__xludf.DUMMYFUNCTION("""COMPUTED_VALUE"""),"Coding Pattern")</f>
        <v>Coding Pattern</v>
      </c>
      <c r="H471" s="6">
        <f ca="1"/>
        <v>0</v>
      </c>
      <c r="I471" s="6">
        <f ca="1"/>
        <v>0</v>
      </c>
      <c r="J471" s="6">
        <f ca="1"/>
        <v>0</v>
      </c>
    </row>
    <row r="472" spans="1:10" ht="13" x14ac:dyDescent="0.15">
      <c r="A472" s="6" t="str">
        <f ca="1">IFERROR(__xludf.DUMMYFUNCTION("""COMPUTED_VALUE"""),"Writing Style Preference")</f>
        <v>Writing Style Preference</v>
      </c>
      <c r="B472" s="6" t="str">
        <f ca="1">IFERROR(__xludf.DUMMYFUNCTION("""COMPUTED_VALUE"""),"Task Execution")</f>
        <v>Task Execution</v>
      </c>
      <c r="H472" s="6">
        <f ca="1"/>
        <v>0</v>
      </c>
      <c r="I472" s="6">
        <f ca="1"/>
        <v>0</v>
      </c>
      <c r="J472" s="6">
        <f ca="1"/>
        <v>0</v>
      </c>
    </row>
    <row r="473" spans="1:10" ht="13" x14ac:dyDescent="0.15">
      <c r="A473" s="6" t="str">
        <f ca="1">IFERROR(__xludf.DUMMYFUNCTION("""COMPUTED_VALUE"""),"Task Execution")</f>
        <v>Task Execution</v>
      </c>
      <c r="B473" s="6" t="str">
        <f ca="1">IFERROR(__xludf.DUMMYFUNCTION("""COMPUTED_VALUE"""),"Task Execution")</f>
        <v>Task Execution</v>
      </c>
      <c r="H473" s="6">
        <f ca="1"/>
        <v>0</v>
      </c>
      <c r="I473" s="6">
        <f ca="1"/>
        <v>0</v>
      </c>
      <c r="J473" s="6">
        <f ca="1"/>
        <v>0</v>
      </c>
    </row>
    <row r="474" spans="1:10" ht="13" x14ac:dyDescent="0.15">
      <c r="A474" s="6" t="str">
        <f ca="1">IFERROR(__xludf.DUMMYFUNCTION("""COMPUTED_VALUE"""),"Coding Pattern")</f>
        <v>Coding Pattern</v>
      </c>
      <c r="B474" s="6" t="str">
        <f ca="1">IFERROR(__xludf.DUMMYFUNCTION("""COMPUTED_VALUE"""),"Coding Pattern")</f>
        <v>Coding Pattern</v>
      </c>
      <c r="H474" s="6">
        <f ca="1"/>
        <v>0</v>
      </c>
      <c r="I474" s="6">
        <f ca="1"/>
        <v>0</v>
      </c>
      <c r="J474" s="6">
        <f ca="1"/>
        <v>0</v>
      </c>
    </row>
    <row r="475" spans="1:10" ht="13" x14ac:dyDescent="0.15">
      <c r="A475" s="6" t="str">
        <f ca="1">IFERROR(__xludf.DUMMYFUNCTION("""COMPUTED_VALUE"""),"Coding Pattern")</f>
        <v>Coding Pattern</v>
      </c>
      <c r="B475" s="6" t="str">
        <f ca="1">IFERROR(__xludf.DUMMYFUNCTION("""COMPUTED_VALUE"""),"Coding Pattern")</f>
        <v>Coding Pattern</v>
      </c>
      <c r="H475" s="6">
        <f ca="1"/>
        <v>0</v>
      </c>
      <c r="I475" s="6">
        <f ca="1"/>
        <v>0</v>
      </c>
      <c r="J475" s="6">
        <f ca="1"/>
        <v>0</v>
      </c>
    </row>
    <row r="476" spans="1:10" ht="13" x14ac:dyDescent="0.15">
      <c r="A476" s="6" t="str">
        <f ca="1">IFERROR(__xludf.DUMMYFUNCTION("""COMPUTED_VALUE"""),"Coding Pattern")</f>
        <v>Coding Pattern</v>
      </c>
      <c r="B476" s="6" t="str">
        <f ca="1">IFERROR(__xludf.DUMMYFUNCTION("""COMPUTED_VALUE"""),"Coding Pattern")</f>
        <v>Coding Pattern</v>
      </c>
      <c r="H476" s="6">
        <f ca="1"/>
        <v>0</v>
      </c>
      <c r="I476" s="6">
        <f ca="1"/>
        <v>0</v>
      </c>
      <c r="J476" s="6">
        <f ca="1"/>
        <v>0</v>
      </c>
    </row>
    <row r="477" spans="1:10" ht="13" x14ac:dyDescent="0.15">
      <c r="A477" s="6" t="str">
        <f ca="1">IFERROR(__xludf.DUMMYFUNCTION("""COMPUTED_VALUE"""),"Testing")</f>
        <v>Testing</v>
      </c>
      <c r="B477" s="6" t="str">
        <f ca="1">IFERROR(__xludf.DUMMYFUNCTION("""COMPUTED_VALUE"""),"Testing")</f>
        <v>Testing</v>
      </c>
      <c r="H477" s="6">
        <f ca="1"/>
        <v>0</v>
      </c>
      <c r="I477" s="6">
        <f ca="1"/>
        <v>0</v>
      </c>
      <c r="J477" s="6">
        <f ca="1"/>
        <v>0</v>
      </c>
    </row>
    <row r="478" spans="1:10" ht="13" x14ac:dyDescent="0.15">
      <c r="A478" s="6" t="str">
        <f ca="1">IFERROR(__xludf.DUMMYFUNCTION("""COMPUTED_VALUE"""),"Coding Style")</f>
        <v>Coding Style</v>
      </c>
      <c r="B478" s="6" t="str">
        <f ca="1">IFERROR(__xludf.DUMMYFUNCTION("""COMPUTED_VALUE"""),"Coding Style")</f>
        <v>Coding Style</v>
      </c>
      <c r="H478" s="6">
        <f ca="1"/>
        <v>0</v>
      </c>
      <c r="I478" s="6">
        <f ca="1"/>
        <v>0</v>
      </c>
      <c r="J478" s="6">
        <f ca="1"/>
        <v>0</v>
      </c>
    </row>
    <row r="479" spans="1:10" ht="13" x14ac:dyDescent="0.15">
      <c r="A479" s="6" t="str">
        <f ca="1">IFERROR(__xludf.DUMMYFUNCTION("""COMPUTED_VALUE"""),"Build &amp; Operation")</f>
        <v>Build &amp; Operation</v>
      </c>
      <c r="B479" s="6" t="str">
        <f ca="1">IFERROR(__xludf.DUMMYFUNCTION("""COMPUTED_VALUE"""),"Build &amp; Operation")</f>
        <v>Build &amp; Operation</v>
      </c>
      <c r="H479" s="6">
        <f ca="1"/>
        <v>0</v>
      </c>
      <c r="I479" s="6">
        <f ca="1"/>
        <v>0</v>
      </c>
      <c r="J479" s="6">
        <f ca="1"/>
        <v>0</v>
      </c>
    </row>
    <row r="480" spans="1:10" ht="13" x14ac:dyDescent="0.15">
      <c r="A480" s="6" t="str">
        <f ca="1">IFERROR(__xludf.DUMMYFUNCTION("""COMPUTED_VALUE"""),"Build &amp; Operation")</f>
        <v>Build &amp; Operation</v>
      </c>
      <c r="B480" s="6" t="str">
        <f ca="1">IFERROR(__xludf.DUMMYFUNCTION("""COMPUTED_VALUE"""),"Build &amp; Operation")</f>
        <v>Build &amp; Operation</v>
      </c>
      <c r="H480" s="6">
        <f ca="1"/>
        <v>0</v>
      </c>
      <c r="I480" s="6">
        <f ca="1"/>
        <v>0</v>
      </c>
      <c r="J480" s="6">
        <f ca="1"/>
        <v>0</v>
      </c>
    </row>
    <row r="481" spans="1:10" ht="13" x14ac:dyDescent="0.15">
      <c r="A481" s="6" t="str">
        <f ca="1">IFERROR(__xludf.DUMMYFUNCTION("""COMPUTED_VALUE"""),"Task Execution")</f>
        <v>Task Execution</v>
      </c>
      <c r="B481" s="6" t="str">
        <f ca="1">IFERROR(__xludf.DUMMYFUNCTION("""COMPUTED_VALUE"""),"Task Execution")</f>
        <v>Task Execution</v>
      </c>
      <c r="H481" s="6">
        <f ca="1"/>
        <v>0</v>
      </c>
      <c r="I481" s="6">
        <f ca="1"/>
        <v>0</v>
      </c>
      <c r="J481" s="6">
        <f ca="1"/>
        <v>0</v>
      </c>
    </row>
    <row r="482" spans="1:10" ht="13" x14ac:dyDescent="0.15">
      <c r="A482" s="6" t="str">
        <f ca="1">IFERROR(__xludf.DUMMYFUNCTION("""COMPUTED_VALUE"""),"Coding Pattern")</f>
        <v>Coding Pattern</v>
      </c>
      <c r="B482" s="6" t="str">
        <f ca="1">IFERROR(__xludf.DUMMYFUNCTION("""COMPUTED_VALUE"""),"Coding Pattern")</f>
        <v>Coding Pattern</v>
      </c>
      <c r="H482" s="6">
        <f ca="1"/>
        <v>0</v>
      </c>
      <c r="I482" s="6">
        <f ca="1"/>
        <v>0</v>
      </c>
      <c r="J482" s="6">
        <f ca="1"/>
        <v>0</v>
      </c>
    </row>
    <row r="483" spans="1:10" ht="13" x14ac:dyDescent="0.15">
      <c r="A483" s="6" t="str">
        <f ca="1">IFERROR(__xludf.DUMMYFUNCTION("""COMPUTED_VALUE"""),"Coding Pattern")</f>
        <v>Coding Pattern</v>
      </c>
      <c r="B483" s="6" t="str">
        <f ca="1">IFERROR(__xludf.DUMMYFUNCTION("""COMPUTED_VALUE"""),"Coding Pattern")</f>
        <v>Coding Pattern</v>
      </c>
      <c r="H483" s="6">
        <f ca="1"/>
        <v>0</v>
      </c>
      <c r="I483" s="6">
        <f ca="1"/>
        <v>0</v>
      </c>
      <c r="J483" s="6">
        <f ca="1"/>
        <v>0</v>
      </c>
    </row>
    <row r="484" spans="1:10" ht="13" x14ac:dyDescent="0.15">
      <c r="A484" s="6" t="str">
        <f ca="1">IFERROR(__xludf.DUMMYFUNCTION("""COMPUTED_VALUE"""),"Coding Pattern")</f>
        <v>Coding Pattern</v>
      </c>
      <c r="B484" s="6" t="str">
        <f ca="1">IFERROR(__xludf.DUMMYFUNCTION("""COMPUTED_VALUE"""),"Coding Pattern")</f>
        <v>Coding Pattern</v>
      </c>
      <c r="H484" s="6">
        <f ca="1"/>
        <v>0</v>
      </c>
      <c r="I484" s="6">
        <f ca="1"/>
        <v>0</v>
      </c>
      <c r="J484" s="6">
        <f ca="1"/>
        <v>0</v>
      </c>
    </row>
    <row r="485" spans="1:10" ht="13" x14ac:dyDescent="0.15">
      <c r="A485" s="6" t="str">
        <f ca="1">IFERROR(__xludf.DUMMYFUNCTION("""COMPUTED_VALUE"""),"Task Execution")</f>
        <v>Task Execution</v>
      </c>
      <c r="B485" s="6" t="str">
        <f ca="1">IFERROR(__xludf.DUMMYFUNCTION("""COMPUTED_VALUE"""),"Task Execution")</f>
        <v>Task Execution</v>
      </c>
      <c r="H485" s="6">
        <f ca="1"/>
        <v>0</v>
      </c>
      <c r="I485" s="6">
        <f ca="1"/>
        <v>0</v>
      </c>
      <c r="J485" s="6">
        <f ca="1"/>
        <v>0</v>
      </c>
    </row>
    <row r="486" spans="1:10" ht="13" x14ac:dyDescent="0.15">
      <c r="A486" s="6" t="str">
        <f ca="1">IFERROR(__xludf.DUMMYFUNCTION("""COMPUTED_VALUE"""),"Coding Pattern")</f>
        <v>Coding Pattern</v>
      </c>
      <c r="B486" s="6" t="str">
        <f ca="1">IFERROR(__xludf.DUMMYFUNCTION("""COMPUTED_VALUE"""),"Coding Pattern")</f>
        <v>Coding Pattern</v>
      </c>
      <c r="H486" s="6">
        <f ca="1"/>
        <v>0</v>
      </c>
      <c r="I486" s="6">
        <f ca="1"/>
        <v>0</v>
      </c>
      <c r="J486" s="6">
        <f ca="1"/>
        <v>0</v>
      </c>
    </row>
    <row r="487" spans="1:10" ht="13" x14ac:dyDescent="0.15">
      <c r="A487" s="6" t="str">
        <f ca="1">IFERROR(__xludf.DUMMYFUNCTION("""COMPUTED_VALUE"""),"Coding Style")</f>
        <v>Coding Style</v>
      </c>
      <c r="B487" s="6" t="str">
        <f ca="1">IFERROR(__xludf.DUMMYFUNCTION("""COMPUTED_VALUE"""),"Coding Style")</f>
        <v>Coding Style</v>
      </c>
      <c r="H487" s="6">
        <f ca="1"/>
        <v>0</v>
      </c>
      <c r="I487" s="6">
        <f ca="1"/>
        <v>0</v>
      </c>
      <c r="J487" s="6">
        <f ca="1"/>
        <v>0</v>
      </c>
    </row>
    <row r="488" spans="1:10" ht="13" x14ac:dyDescent="0.15">
      <c r="A488" s="6" t="str">
        <f ca="1">IFERROR(__xludf.DUMMYFUNCTION("""COMPUTED_VALUE"""),"Coding Pattern")</f>
        <v>Coding Pattern</v>
      </c>
      <c r="B488" s="6" t="str">
        <f ca="1">IFERROR(__xludf.DUMMYFUNCTION("""COMPUTED_VALUE"""),"Coding Pattern")</f>
        <v>Coding Pattern</v>
      </c>
      <c r="H488" s="6">
        <f ca="1"/>
        <v>0</v>
      </c>
      <c r="I488" s="6">
        <f ca="1"/>
        <v>0</v>
      </c>
      <c r="J488" s="6">
        <f ca="1"/>
        <v>0</v>
      </c>
    </row>
    <row r="489" spans="1:10" ht="13" x14ac:dyDescent="0.15">
      <c r="A489" s="6" t="str">
        <f ca="1">IFERROR(__xludf.DUMMYFUNCTION("""COMPUTED_VALUE"""),"Testing")</f>
        <v>Testing</v>
      </c>
      <c r="B489" s="6" t="str">
        <f ca="1">IFERROR(__xludf.DUMMYFUNCTION("""COMPUTED_VALUE"""),"Testing")</f>
        <v>Testing</v>
      </c>
      <c r="H489" s="6">
        <f ca="1"/>
        <v>0</v>
      </c>
      <c r="I489" s="6">
        <f ca="1"/>
        <v>0</v>
      </c>
      <c r="J489" s="6">
        <f ca="1"/>
        <v>0</v>
      </c>
    </row>
    <row r="490" spans="1:10" ht="13" x14ac:dyDescent="0.15">
      <c r="A490" s="6" t="str">
        <f ca="1">IFERROR(__xludf.DUMMYFUNCTION("""COMPUTED_VALUE"""),"Build &amp; Operation")</f>
        <v>Build &amp; Operation</v>
      </c>
      <c r="B490" s="6" t="str">
        <f ca="1">IFERROR(__xludf.DUMMYFUNCTION("""COMPUTED_VALUE"""),"Build &amp; Operation")</f>
        <v>Build &amp; Operation</v>
      </c>
      <c r="H490" s="6">
        <f ca="1"/>
        <v>0</v>
      </c>
      <c r="I490" s="6">
        <f ca="1"/>
        <v>0</v>
      </c>
      <c r="J490" s="6">
        <f ca="1"/>
        <v>0</v>
      </c>
    </row>
    <row r="491" spans="1:10" ht="13" x14ac:dyDescent="0.15">
      <c r="A491" s="6" t="str">
        <f ca="1">IFERROR(__xludf.DUMMYFUNCTION("""COMPUTED_VALUE"""),"Coding Pattern")</f>
        <v>Coding Pattern</v>
      </c>
      <c r="B491" s="6" t="str">
        <f ca="1">IFERROR(__xludf.DUMMYFUNCTION("""COMPUTED_VALUE"""),"Coding Pattern")</f>
        <v>Coding Pattern</v>
      </c>
      <c r="H491" s="6">
        <f ca="1"/>
        <v>0</v>
      </c>
      <c r="I491" s="6">
        <f ca="1"/>
        <v>0</v>
      </c>
      <c r="J491" s="6">
        <f ca="1"/>
        <v>0</v>
      </c>
    </row>
    <row r="492" spans="1:10" ht="13" x14ac:dyDescent="0.15">
      <c r="A492" s="6" t="str">
        <f ca="1">IFERROR(__xludf.DUMMYFUNCTION("""COMPUTED_VALUE"""),"Coding Pattern")</f>
        <v>Coding Pattern</v>
      </c>
      <c r="B492" s="6" t="str">
        <f ca="1">IFERROR(__xludf.DUMMYFUNCTION("""COMPUTED_VALUE"""),"Coding Pattern")</f>
        <v>Coding Pattern</v>
      </c>
      <c r="H492" s="6">
        <f ca="1"/>
        <v>0</v>
      </c>
      <c r="I492" s="6">
        <f ca="1"/>
        <v>0</v>
      </c>
      <c r="J492" s="6">
        <f ca="1"/>
        <v>0</v>
      </c>
    </row>
    <row r="493" spans="1:10" ht="13" x14ac:dyDescent="0.15">
      <c r="A493" s="6" t="str">
        <f ca="1">IFERROR(__xludf.DUMMYFUNCTION("""COMPUTED_VALUE"""),"Task Execution")</f>
        <v>Task Execution</v>
      </c>
      <c r="B493" s="6" t="str">
        <f ca="1">IFERROR(__xludf.DUMMYFUNCTION("""COMPUTED_VALUE"""),"Task Execution")</f>
        <v>Task Execution</v>
      </c>
      <c r="H493" s="6">
        <f ca="1"/>
        <v>0</v>
      </c>
      <c r="I493" s="6">
        <f ca="1"/>
        <v>0</v>
      </c>
      <c r="J493" s="6">
        <f ca="1"/>
        <v>0</v>
      </c>
    </row>
    <row r="494" spans="1:10" ht="13" x14ac:dyDescent="0.15">
      <c r="A494" s="6" t="str">
        <f ca="1">IFERROR(__xludf.DUMMYFUNCTION("""COMPUTED_VALUE"""),"Task Execution")</f>
        <v>Task Execution</v>
      </c>
      <c r="B494" s="6" t="str">
        <f ca="1">IFERROR(__xludf.DUMMYFUNCTION("""COMPUTED_VALUE"""),"Task Execution")</f>
        <v>Task Execution</v>
      </c>
      <c r="H494" s="6">
        <f ca="1"/>
        <v>0</v>
      </c>
      <c r="I494" s="6">
        <f ca="1"/>
        <v>0</v>
      </c>
      <c r="J494" s="6">
        <f ca="1"/>
        <v>0</v>
      </c>
    </row>
    <row r="495" spans="1:10" ht="13" x14ac:dyDescent="0.15">
      <c r="A495" s="6" t="str">
        <f ca="1">IFERROR(__xludf.DUMMYFUNCTION("""COMPUTED_VALUE"""),"Coding Pattern")</f>
        <v>Coding Pattern</v>
      </c>
      <c r="B495" s="6" t="str">
        <f ca="1">IFERROR(__xludf.DUMMYFUNCTION("""COMPUTED_VALUE"""),"Coding Pattern")</f>
        <v>Coding Pattern</v>
      </c>
      <c r="H495" s="6">
        <f ca="1"/>
        <v>0</v>
      </c>
      <c r="I495" s="6">
        <f ca="1"/>
        <v>0</v>
      </c>
      <c r="J495" s="6">
        <f ca="1"/>
        <v>0</v>
      </c>
    </row>
    <row r="496" spans="1:10" ht="13" x14ac:dyDescent="0.15">
      <c r="A496" s="6" t="str">
        <f ca="1">IFERROR(__xludf.DUMMYFUNCTION("""COMPUTED_VALUE"""),"Documentation")</f>
        <v>Documentation</v>
      </c>
      <c r="B496" s="6" t="str">
        <f ca="1">IFERROR(__xludf.DUMMYFUNCTION("""COMPUTED_VALUE"""),"Documentation")</f>
        <v>Documentation</v>
      </c>
      <c r="H496" s="6">
        <f ca="1"/>
        <v>0</v>
      </c>
      <c r="I496" s="6">
        <f ca="1"/>
        <v>0</v>
      </c>
      <c r="J496" s="6">
        <f ca="1"/>
        <v>0</v>
      </c>
    </row>
    <row r="497" spans="1:10" ht="13" x14ac:dyDescent="0.15">
      <c r="A497" s="6" t="str">
        <f ca="1">IFERROR(__xludf.DUMMYFUNCTION("""COMPUTED_VALUE"""),"Coding Pattern")</f>
        <v>Coding Pattern</v>
      </c>
      <c r="B497" s="6" t="str">
        <f ca="1">IFERROR(__xludf.DUMMYFUNCTION("""COMPUTED_VALUE"""),"Coding Pattern")</f>
        <v>Coding Pattern</v>
      </c>
      <c r="H497" s="6">
        <f ca="1"/>
        <v>0</v>
      </c>
      <c r="I497" s="6">
        <f ca="1"/>
        <v>0</v>
      </c>
      <c r="J497" s="6">
        <f ca="1"/>
        <v>0</v>
      </c>
    </row>
    <row r="498" spans="1:10" ht="13" x14ac:dyDescent="0.15">
      <c r="A498" s="6" t="str">
        <f ca="1">IFERROR(__xludf.DUMMYFUNCTION("""COMPUTED_VALUE"""),"Coding Pattern")</f>
        <v>Coding Pattern</v>
      </c>
      <c r="B498" s="6" t="str">
        <f ca="1">IFERROR(__xludf.DUMMYFUNCTION("""COMPUTED_VALUE"""),"Coding Pattern")</f>
        <v>Coding Pattern</v>
      </c>
      <c r="H498" s="6">
        <f ca="1"/>
        <v>0</v>
      </c>
      <c r="I498" s="6">
        <f ca="1"/>
        <v>0</v>
      </c>
      <c r="J498" s="6">
        <f ca="1"/>
        <v>0</v>
      </c>
    </row>
    <row r="499" spans="1:10" ht="13" x14ac:dyDescent="0.15">
      <c r="A499" s="6" t="str">
        <f ca="1">IFERROR(__xludf.DUMMYFUNCTION("""COMPUTED_VALUE"""),"Task Execution")</f>
        <v>Task Execution</v>
      </c>
      <c r="B499" s="6" t="str">
        <f ca="1">IFERROR(__xludf.DUMMYFUNCTION("""COMPUTED_VALUE"""),"Task Execution")</f>
        <v>Task Execution</v>
      </c>
      <c r="H499" s="6">
        <f ca="1"/>
        <v>0</v>
      </c>
      <c r="I499" s="6">
        <f ca="1"/>
        <v>0</v>
      </c>
      <c r="J499" s="6">
        <f ca="1"/>
        <v>0</v>
      </c>
    </row>
    <row r="500" spans="1:10" ht="13" x14ac:dyDescent="0.15">
      <c r="A500" s="6" t="str">
        <f ca="1">IFERROR(__xludf.DUMMYFUNCTION("""COMPUTED_VALUE"""),"Coding Style")</f>
        <v>Coding Style</v>
      </c>
      <c r="B500" s="6" t="str">
        <f ca="1">IFERROR(__xludf.DUMMYFUNCTION("""COMPUTED_VALUE"""),"Coding Style")</f>
        <v>Coding Style</v>
      </c>
      <c r="H500" s="6">
        <f ca="1"/>
        <v>0</v>
      </c>
      <c r="I500" s="6">
        <f ca="1"/>
        <v>0</v>
      </c>
      <c r="J500" s="6">
        <f ca="1"/>
        <v>0</v>
      </c>
    </row>
    <row r="501" spans="1:10" ht="13" x14ac:dyDescent="0.15">
      <c r="A501" s="6" t="str">
        <f ca="1">IFERROR(__xludf.DUMMYFUNCTION("""COMPUTED_VALUE"""),"Coding Style")</f>
        <v>Coding Style</v>
      </c>
      <c r="B501" s="6" t="str">
        <f ca="1">IFERROR(__xludf.DUMMYFUNCTION("""COMPUTED_VALUE"""),"Coding Style")</f>
        <v>Coding Style</v>
      </c>
      <c r="H501" s="6">
        <f ca="1"/>
        <v>0</v>
      </c>
      <c r="I501" s="6">
        <f ca="1"/>
        <v>0</v>
      </c>
      <c r="J501" s="6">
        <f ca="1"/>
        <v>0</v>
      </c>
    </row>
    <row r="502" spans="1:10" ht="13" x14ac:dyDescent="0.15">
      <c r="A502" s="6" t="str">
        <f ca="1">IFERROR(__xludf.DUMMYFUNCTION("""COMPUTED_VALUE"""),"Coding Style")</f>
        <v>Coding Style</v>
      </c>
      <c r="B502" s="6" t="str">
        <f ca="1">IFERROR(__xludf.DUMMYFUNCTION("""COMPUTED_VALUE"""),"Coding Style")</f>
        <v>Coding Style</v>
      </c>
      <c r="H502" s="6">
        <f ca="1"/>
        <v>0</v>
      </c>
      <c r="I502" s="6">
        <f ca="1"/>
        <v>0</v>
      </c>
      <c r="J502" s="6">
        <f ca="1"/>
        <v>0</v>
      </c>
    </row>
    <row r="503" spans="1:10" ht="13" x14ac:dyDescent="0.15">
      <c r="A503" s="6" t="str">
        <f ca="1">IFERROR(__xludf.DUMMYFUNCTION("""COMPUTED_VALUE"""),"Coding Pattern")</f>
        <v>Coding Pattern</v>
      </c>
      <c r="B503" s="6" t="str">
        <f ca="1">IFERROR(__xludf.DUMMYFUNCTION("""COMPUTED_VALUE"""),"Coding Pattern")</f>
        <v>Coding Pattern</v>
      </c>
      <c r="H503" s="6">
        <f ca="1"/>
        <v>0</v>
      </c>
      <c r="I503" s="6">
        <f ca="1"/>
        <v>0</v>
      </c>
      <c r="J503" s="6">
        <f ca="1"/>
        <v>0</v>
      </c>
    </row>
    <row r="504" spans="1:10" ht="13" x14ac:dyDescent="0.15">
      <c r="A504" s="6" t="str">
        <f ca="1">IFERROR(__xludf.DUMMYFUNCTION("""COMPUTED_VALUE"""),"Coding Pattern")</f>
        <v>Coding Pattern</v>
      </c>
      <c r="B504" s="6" t="str">
        <f ca="1">IFERROR(__xludf.DUMMYFUNCTION("""COMPUTED_VALUE"""),"Coding Pattern")</f>
        <v>Coding Pattern</v>
      </c>
      <c r="H504" s="6">
        <f ca="1"/>
        <v>0</v>
      </c>
      <c r="I504" s="6">
        <f ca="1"/>
        <v>0</v>
      </c>
      <c r="J504" s="6">
        <f ca="1"/>
        <v>0</v>
      </c>
    </row>
    <row r="505" spans="1:10" ht="13" x14ac:dyDescent="0.15">
      <c r="A505" s="6" t="str">
        <f ca="1">IFERROR(__xludf.DUMMYFUNCTION("""COMPUTED_VALUE"""),"Coding Pattern")</f>
        <v>Coding Pattern</v>
      </c>
      <c r="B505" s="6" t="str">
        <f ca="1">IFERROR(__xludf.DUMMYFUNCTION("""COMPUTED_VALUE"""),"Coding Pattern")</f>
        <v>Coding Pattern</v>
      </c>
      <c r="H505" s="6">
        <f ca="1"/>
        <v>0</v>
      </c>
      <c r="I505" s="6">
        <f ca="1"/>
        <v>0</v>
      </c>
      <c r="J505" s="6">
        <f ca="1"/>
        <v>0</v>
      </c>
    </row>
    <row r="506" spans="1:10" ht="13" x14ac:dyDescent="0.15">
      <c r="A506" s="6" t="str">
        <f ca="1">IFERROR(__xludf.DUMMYFUNCTION("""COMPUTED_VALUE"""),"Coding Style")</f>
        <v>Coding Style</v>
      </c>
      <c r="B506" s="6" t="str">
        <f ca="1">IFERROR(__xludf.DUMMYFUNCTION("""COMPUTED_VALUE"""),"Coding Style")</f>
        <v>Coding Style</v>
      </c>
      <c r="H506" s="6">
        <f ca="1"/>
        <v>0</v>
      </c>
      <c r="I506" s="6">
        <f ca="1"/>
        <v>0</v>
      </c>
      <c r="J506" s="6">
        <f ca="1"/>
        <v>0</v>
      </c>
    </row>
    <row r="507" spans="1:10" ht="13" x14ac:dyDescent="0.15">
      <c r="A507" s="6" t="str">
        <f ca="1">IFERROR(__xludf.DUMMYFUNCTION("""COMPUTED_VALUE"""),"Testing")</f>
        <v>Testing</v>
      </c>
      <c r="B507" s="6" t="str">
        <f ca="1">IFERROR(__xludf.DUMMYFUNCTION("""COMPUTED_VALUE"""),"Testing")</f>
        <v>Testing</v>
      </c>
      <c r="H507" s="6">
        <f ca="1"/>
        <v>0</v>
      </c>
      <c r="I507" s="6">
        <f ca="1"/>
        <v>0</v>
      </c>
      <c r="J507" s="6">
        <f ca="1"/>
        <v>0</v>
      </c>
    </row>
    <row r="508" spans="1:10" ht="13" x14ac:dyDescent="0.15">
      <c r="A508" s="6" t="str">
        <f ca="1">IFERROR(__xludf.DUMMYFUNCTION("""COMPUTED_VALUE"""),"Task Execution")</f>
        <v>Task Execution</v>
      </c>
      <c r="B508" s="6" t="str">
        <f ca="1">IFERROR(__xludf.DUMMYFUNCTION("""COMPUTED_VALUE"""),"Task Execution")</f>
        <v>Task Execution</v>
      </c>
      <c r="H508" s="6">
        <f ca="1"/>
        <v>0</v>
      </c>
      <c r="I508" s="6">
        <f ca="1"/>
        <v>0</v>
      </c>
      <c r="J508" s="6">
        <f ca="1"/>
        <v>0</v>
      </c>
    </row>
    <row r="509" spans="1:10" ht="13" x14ac:dyDescent="0.15">
      <c r="A509" s="6" t="str">
        <f ca="1">IFERROR(__xludf.DUMMYFUNCTION("""COMPUTED_VALUE"""),"Performance")</f>
        <v>Performance</v>
      </c>
      <c r="B509" s="6" t="str">
        <f ca="1">IFERROR(__xludf.DUMMYFUNCTION("""COMPUTED_VALUE"""),"Performance")</f>
        <v>Performance</v>
      </c>
      <c r="H509" s="6">
        <f ca="1"/>
        <v>0</v>
      </c>
      <c r="I509" s="6">
        <f ca="1"/>
        <v>0</v>
      </c>
      <c r="J509" s="6">
        <f ca="1"/>
        <v>0</v>
      </c>
    </row>
    <row r="510" spans="1:10" ht="13" x14ac:dyDescent="0.15">
      <c r="A510" s="6" t="str">
        <f ca="1">IFERROR(__xludf.DUMMYFUNCTION("""COMPUTED_VALUE"""),"Coding Pattern")</f>
        <v>Coding Pattern</v>
      </c>
      <c r="B510" s="6" t="str">
        <f ca="1">IFERROR(__xludf.DUMMYFUNCTION("""COMPUTED_VALUE"""),"Coding Pattern")</f>
        <v>Coding Pattern</v>
      </c>
      <c r="H510" s="6">
        <f ca="1"/>
        <v>0</v>
      </c>
      <c r="I510" s="6">
        <f ca="1"/>
        <v>0</v>
      </c>
      <c r="J510" s="6">
        <f ca="1"/>
        <v>0</v>
      </c>
    </row>
    <row r="511" spans="1:10" ht="13" x14ac:dyDescent="0.15">
      <c r="A511" s="6" t="str">
        <f ca="1">IFERROR(__xludf.DUMMYFUNCTION("""COMPUTED_VALUE"""),"Coding Pattern")</f>
        <v>Coding Pattern</v>
      </c>
      <c r="B511" s="6" t="str">
        <f ca="1">IFERROR(__xludf.DUMMYFUNCTION("""COMPUTED_VALUE"""),"Coding Pattern")</f>
        <v>Coding Pattern</v>
      </c>
      <c r="H511" s="6">
        <f ca="1"/>
        <v>0</v>
      </c>
      <c r="I511" s="6">
        <f ca="1"/>
        <v>0</v>
      </c>
      <c r="J511" s="6">
        <f ca="1"/>
        <v>0</v>
      </c>
    </row>
    <row r="512" spans="1:10" ht="13" x14ac:dyDescent="0.15">
      <c r="A512" s="6" t="str">
        <f ca="1">IFERROR(__xludf.DUMMYFUNCTION("""COMPUTED_VALUE"""),"Writing Style Preference")</f>
        <v>Writing Style Preference</v>
      </c>
      <c r="B512" s="6" t="str">
        <f ca="1">IFERROR(__xludf.DUMMYFUNCTION("""COMPUTED_VALUE"""),"Task Execution")</f>
        <v>Task Execution</v>
      </c>
      <c r="H512" s="6">
        <f ca="1"/>
        <v>0</v>
      </c>
      <c r="I512" s="6">
        <f ca="1"/>
        <v>0</v>
      </c>
      <c r="J512" s="6">
        <f ca="1"/>
        <v>0</v>
      </c>
    </row>
    <row r="513" spans="1:10" ht="13" x14ac:dyDescent="0.15">
      <c r="A513" s="6" t="str">
        <f ca="1">IFERROR(__xludf.DUMMYFUNCTION("""COMPUTED_VALUE"""),"Performance")</f>
        <v>Performance</v>
      </c>
      <c r="B513" s="6" t="str">
        <f ca="1">IFERROR(__xludf.DUMMYFUNCTION("""COMPUTED_VALUE"""),"Performance")</f>
        <v>Performance</v>
      </c>
      <c r="H513" s="6">
        <f ca="1"/>
        <v>0</v>
      </c>
      <c r="I513" s="6">
        <f ca="1"/>
        <v>0</v>
      </c>
      <c r="J513" s="6">
        <f ca="1"/>
        <v>0</v>
      </c>
    </row>
    <row r="514" spans="1:10" ht="13" x14ac:dyDescent="0.15">
      <c r="A514" s="6" t="str">
        <f ca="1">IFERROR(__xludf.DUMMYFUNCTION("""COMPUTED_VALUE"""),"Build &amp; Operation")</f>
        <v>Build &amp; Operation</v>
      </c>
      <c r="B514" s="6" t="str">
        <f ca="1">IFERROR(__xludf.DUMMYFUNCTION("""COMPUTED_VALUE"""),"Build &amp; Operation")</f>
        <v>Build &amp; Operation</v>
      </c>
      <c r="H514" s="6">
        <f ca="1"/>
        <v>0</v>
      </c>
      <c r="I514" s="6">
        <f ca="1"/>
        <v>0</v>
      </c>
      <c r="J514" s="6">
        <f ca="1"/>
        <v>0</v>
      </c>
    </row>
    <row r="515" spans="1:10" ht="13" x14ac:dyDescent="0.15">
      <c r="A515" s="6" t="str">
        <f ca="1">IFERROR(__xludf.DUMMYFUNCTION("""COMPUTED_VALUE"""),"Writing Style Preference")</f>
        <v>Writing Style Preference</v>
      </c>
      <c r="B515" s="6" t="str">
        <f ca="1">IFERROR(__xludf.DUMMYFUNCTION("""COMPUTED_VALUE"""),"Writing Style Preference")</f>
        <v>Writing Style Preference</v>
      </c>
      <c r="H515" s="6">
        <f ca="1"/>
        <v>0</v>
      </c>
      <c r="I515" s="6">
        <f ca="1"/>
        <v>0</v>
      </c>
      <c r="J515" s="6">
        <f ca="1"/>
        <v>0</v>
      </c>
    </row>
    <row r="516" spans="1:10" ht="13" x14ac:dyDescent="0.15">
      <c r="A516" s="6" t="str">
        <f ca="1">IFERROR(__xludf.DUMMYFUNCTION("""COMPUTED_VALUE"""),"Writing Style Preference")</f>
        <v>Writing Style Preference</v>
      </c>
      <c r="B516" s="6" t="str">
        <f ca="1">IFERROR(__xludf.DUMMYFUNCTION("""COMPUTED_VALUE"""),"Writing Style Preference")</f>
        <v>Writing Style Preference</v>
      </c>
      <c r="H516" s="6">
        <f ca="1"/>
        <v>0</v>
      </c>
      <c r="I516" s="6">
        <f ca="1"/>
        <v>0</v>
      </c>
      <c r="J516" s="6">
        <f ca="1"/>
        <v>0</v>
      </c>
    </row>
    <row r="517" spans="1:10" ht="13" x14ac:dyDescent="0.15">
      <c r="A517" s="6" t="str">
        <f ca="1">IFERROR(__xludf.DUMMYFUNCTION("""COMPUTED_VALUE"""),"Coding Pattern")</f>
        <v>Coding Pattern</v>
      </c>
      <c r="B517" s="6" t="str">
        <f ca="1">IFERROR(__xludf.DUMMYFUNCTION("""COMPUTED_VALUE"""),"Coding Pattern")</f>
        <v>Coding Pattern</v>
      </c>
      <c r="H517" s="6">
        <f ca="1"/>
        <v>0</v>
      </c>
      <c r="I517" s="6">
        <f ca="1"/>
        <v>0</v>
      </c>
      <c r="J517" s="6">
        <f ca="1"/>
        <v>0</v>
      </c>
    </row>
    <row r="518" spans="1:10" ht="13" x14ac:dyDescent="0.15">
      <c r="A518" s="6" t="str">
        <f ca="1">IFERROR(__xludf.DUMMYFUNCTION("""COMPUTED_VALUE"""),"Testing")</f>
        <v>Testing</v>
      </c>
      <c r="B518" s="6" t="str">
        <f ca="1">IFERROR(__xludf.DUMMYFUNCTION("""COMPUTED_VALUE"""),"Testing")</f>
        <v>Testing</v>
      </c>
      <c r="H518" s="6">
        <f ca="1"/>
        <v>0</v>
      </c>
      <c r="I518" s="6">
        <f ca="1"/>
        <v>0</v>
      </c>
      <c r="J518" s="6">
        <f ca="1"/>
        <v>0</v>
      </c>
    </row>
    <row r="519" spans="1:10" ht="13" x14ac:dyDescent="0.15">
      <c r="A519" s="6" t="str">
        <f ca="1">IFERROR(__xludf.DUMMYFUNCTION("""COMPUTED_VALUE"""),"Task Execution")</f>
        <v>Task Execution</v>
      </c>
      <c r="B519" s="6" t="str">
        <f ca="1">IFERROR(__xludf.DUMMYFUNCTION("""COMPUTED_VALUE"""),"Task Execution")</f>
        <v>Task Execution</v>
      </c>
      <c r="H519" s="6">
        <f ca="1"/>
        <v>0</v>
      </c>
      <c r="I519" s="6">
        <f ca="1"/>
        <v>0</v>
      </c>
      <c r="J519" s="6">
        <f ca="1"/>
        <v>0</v>
      </c>
    </row>
    <row r="520" spans="1:10" ht="13" x14ac:dyDescent="0.15">
      <c r="A520" s="6" t="str">
        <f ca="1">IFERROR(__xludf.DUMMYFUNCTION("""COMPUTED_VALUE"""),"Writing Style Preference")</f>
        <v>Writing Style Preference</v>
      </c>
      <c r="B520" s="6" t="str">
        <f ca="1">IFERROR(__xludf.DUMMYFUNCTION("""COMPUTED_VALUE"""),"Writing Style Preference")</f>
        <v>Writing Style Preference</v>
      </c>
      <c r="H520" s="6">
        <f ca="1"/>
        <v>0</v>
      </c>
      <c r="I520" s="6">
        <f ca="1"/>
        <v>0</v>
      </c>
      <c r="J520" s="6">
        <f ca="1"/>
        <v>0</v>
      </c>
    </row>
    <row r="521" spans="1:10" ht="13" x14ac:dyDescent="0.15">
      <c r="A521" s="6" t="str">
        <f ca="1">IFERROR(__xludf.DUMMYFUNCTION("""COMPUTED_VALUE"""),"Build &amp; Operation")</f>
        <v>Build &amp; Operation</v>
      </c>
      <c r="B521" s="6" t="str">
        <f ca="1">IFERROR(__xludf.DUMMYFUNCTION("""COMPUTED_VALUE"""),"Build &amp; Operation")</f>
        <v>Build &amp; Operation</v>
      </c>
      <c r="H521" s="6">
        <f ca="1"/>
        <v>0</v>
      </c>
      <c r="I521" s="6">
        <f ca="1"/>
        <v>0</v>
      </c>
      <c r="J521" s="6">
        <f ca="1"/>
        <v>0</v>
      </c>
    </row>
    <row r="522" spans="1:10" ht="13" x14ac:dyDescent="0.15">
      <c r="A522" s="6" t="str">
        <f ca="1">IFERROR(__xludf.DUMMYFUNCTION("""COMPUTED_VALUE"""),"Testing")</f>
        <v>Testing</v>
      </c>
      <c r="B522" s="6" t="str">
        <f ca="1">IFERROR(__xludf.DUMMYFUNCTION("""COMPUTED_VALUE"""),"Testing")</f>
        <v>Testing</v>
      </c>
      <c r="H522" s="6">
        <f ca="1"/>
        <v>0</v>
      </c>
      <c r="I522" s="6">
        <f ca="1"/>
        <v>0</v>
      </c>
      <c r="J522" s="6">
        <f ca="1"/>
        <v>0</v>
      </c>
    </row>
    <row r="523" spans="1:10" ht="13" x14ac:dyDescent="0.15">
      <c r="A523" s="6" t="str">
        <f ca="1">IFERROR(__xludf.DUMMYFUNCTION("""COMPUTED_VALUE"""),"Testing")</f>
        <v>Testing</v>
      </c>
      <c r="B523" s="6" t="str">
        <f ca="1">IFERROR(__xludf.DUMMYFUNCTION("""COMPUTED_VALUE"""),"Testing")</f>
        <v>Testing</v>
      </c>
      <c r="H523" s="6">
        <f ca="1"/>
        <v>0</v>
      </c>
      <c r="I523" s="6">
        <f ca="1"/>
        <v>0</v>
      </c>
      <c r="J523" s="6">
        <f ca="1"/>
        <v>0</v>
      </c>
    </row>
    <row r="524" spans="1:10" ht="13" x14ac:dyDescent="0.15">
      <c r="A524" s="6" t="str">
        <f ca="1">IFERROR(__xludf.DUMMYFUNCTION("""COMPUTED_VALUE"""),"Coding Style")</f>
        <v>Coding Style</v>
      </c>
      <c r="B524" s="6" t="str">
        <f ca="1">IFERROR(__xludf.DUMMYFUNCTION("""COMPUTED_VALUE"""),"Coding Style")</f>
        <v>Coding Style</v>
      </c>
      <c r="H524" s="6">
        <f ca="1"/>
        <v>0</v>
      </c>
      <c r="I524" s="6">
        <f ca="1"/>
        <v>0</v>
      </c>
      <c r="J524" s="6">
        <f ca="1"/>
        <v>0</v>
      </c>
    </row>
    <row r="525" spans="1:10" ht="13" x14ac:dyDescent="0.15">
      <c r="A525" s="6" t="str">
        <f ca="1">IFERROR(__xludf.DUMMYFUNCTION("""COMPUTED_VALUE"""),"Security")</f>
        <v>Security</v>
      </c>
      <c r="B525" s="6" t="str">
        <f ca="1">IFERROR(__xludf.DUMMYFUNCTION("""COMPUTED_VALUE"""),"Security")</f>
        <v>Security</v>
      </c>
      <c r="H525" s="6">
        <f ca="1"/>
        <v>0</v>
      </c>
      <c r="I525" s="6">
        <f ca="1"/>
        <v>0</v>
      </c>
      <c r="J525" s="6">
        <f ca="1"/>
        <v>0</v>
      </c>
    </row>
    <row r="526" spans="1:10" ht="13" x14ac:dyDescent="0.15">
      <c r="A526" s="6" t="str">
        <f ca="1">IFERROR(__xludf.DUMMYFUNCTION("""COMPUTED_VALUE"""),"Security")</f>
        <v>Security</v>
      </c>
      <c r="B526" s="6" t="str">
        <f ca="1">IFERROR(__xludf.DUMMYFUNCTION("""COMPUTED_VALUE"""),"Other")</f>
        <v>Other</v>
      </c>
      <c r="H526" s="6">
        <f ca="1"/>
        <v>0</v>
      </c>
      <c r="I526" s="6">
        <f ca="1"/>
        <v>0</v>
      </c>
      <c r="J526" s="6">
        <f ca="1"/>
        <v>0</v>
      </c>
    </row>
    <row r="527" spans="1:10" ht="13" x14ac:dyDescent="0.15">
      <c r="A527" s="6" t="str">
        <f ca="1">IFERROR(__xludf.DUMMYFUNCTION("""COMPUTED_VALUE"""),"Task Execution")</f>
        <v>Task Execution</v>
      </c>
      <c r="B527" s="6" t="str">
        <f ca="1">IFERROR(__xludf.DUMMYFUNCTION("""COMPUTED_VALUE"""),"Task Execution")</f>
        <v>Task Execution</v>
      </c>
      <c r="H527" s="6">
        <f ca="1"/>
        <v>0</v>
      </c>
      <c r="I527" s="6">
        <f ca="1"/>
        <v>0</v>
      </c>
      <c r="J527" s="6">
        <f ca="1"/>
        <v>0</v>
      </c>
    </row>
    <row r="528" spans="1:10" ht="13" x14ac:dyDescent="0.15">
      <c r="A528" s="6" t="str">
        <f ca="1">IFERROR(__xludf.DUMMYFUNCTION("""COMPUTED_VALUE"""),"Build &amp; Operation")</f>
        <v>Build &amp; Operation</v>
      </c>
      <c r="B528" s="6" t="str">
        <f ca="1">IFERROR(__xludf.DUMMYFUNCTION("""COMPUTED_VALUE"""),"Build &amp; Operation")</f>
        <v>Build &amp; Operation</v>
      </c>
      <c r="H528" s="6">
        <f ca="1"/>
        <v>0</v>
      </c>
      <c r="I528" s="6">
        <f ca="1"/>
        <v>0</v>
      </c>
      <c r="J528" s="6">
        <f ca="1"/>
        <v>0</v>
      </c>
    </row>
    <row r="529" spans="1:10" ht="13" x14ac:dyDescent="0.15">
      <c r="A529" s="6" t="str">
        <f ca="1">IFERROR(__xludf.DUMMYFUNCTION("""COMPUTED_VALUE"""),"Testing")</f>
        <v>Testing</v>
      </c>
      <c r="B529" s="6" t="str">
        <f ca="1">IFERROR(__xludf.DUMMYFUNCTION("""COMPUTED_VALUE"""),"Testing")</f>
        <v>Testing</v>
      </c>
      <c r="H529" s="6">
        <f ca="1"/>
        <v>0</v>
      </c>
      <c r="I529" s="6">
        <f ca="1"/>
        <v>0</v>
      </c>
      <c r="J529" s="6">
        <f ca="1"/>
        <v>0</v>
      </c>
    </row>
    <row r="530" spans="1:10" ht="13" x14ac:dyDescent="0.15">
      <c r="A530" s="6" t="str">
        <f ca="1">IFERROR(__xludf.DUMMYFUNCTION("""COMPUTED_VALUE"""),"Build &amp; Operation")</f>
        <v>Build &amp; Operation</v>
      </c>
      <c r="B530" s="6" t="str">
        <f ca="1">IFERROR(__xludf.DUMMYFUNCTION("""COMPUTED_VALUE"""),"Build &amp; Operation")</f>
        <v>Build &amp; Operation</v>
      </c>
      <c r="H530" s="6">
        <f ca="1"/>
        <v>0</v>
      </c>
      <c r="I530" s="6">
        <f ca="1"/>
        <v>0</v>
      </c>
      <c r="J530" s="6">
        <f ca="1"/>
        <v>0</v>
      </c>
    </row>
    <row r="531" spans="1:10" ht="13" x14ac:dyDescent="0.15">
      <c r="A531" s="6" t="str">
        <f ca="1">IFERROR(__xludf.DUMMYFUNCTION("""COMPUTED_VALUE"""),"Commit&amp;PR rule")</f>
        <v>Commit&amp;PR rule</v>
      </c>
      <c r="B531" s="6" t="str">
        <f ca="1">IFERROR(__xludf.DUMMYFUNCTION("""COMPUTED_VALUE"""),"Build &amp; Operation")</f>
        <v>Build &amp; Operation</v>
      </c>
      <c r="H531" s="6">
        <f ca="1"/>
        <v>0</v>
      </c>
      <c r="I531" s="6">
        <f ca="1"/>
        <v>0</v>
      </c>
      <c r="J531" s="6">
        <f ca="1"/>
        <v>0</v>
      </c>
    </row>
    <row r="532" spans="1:10" ht="13" x14ac:dyDescent="0.15">
      <c r="A532" s="6" t="str">
        <f ca="1">IFERROR(__xludf.DUMMYFUNCTION("""COMPUTED_VALUE"""),"Coding Pattern")</f>
        <v>Coding Pattern</v>
      </c>
      <c r="B532" s="6" t="str">
        <f ca="1">IFERROR(__xludf.DUMMYFUNCTION("""COMPUTED_VALUE"""),"Coding Pattern")</f>
        <v>Coding Pattern</v>
      </c>
      <c r="H532" s="6">
        <f ca="1"/>
        <v>0</v>
      </c>
      <c r="I532" s="6">
        <f ca="1"/>
        <v>0</v>
      </c>
      <c r="J532" s="6">
        <f ca="1"/>
        <v>0</v>
      </c>
    </row>
    <row r="533" spans="1:10" ht="13" x14ac:dyDescent="0.15">
      <c r="A533" s="6" t="str">
        <f ca="1">IFERROR(__xludf.DUMMYFUNCTION("""COMPUTED_VALUE"""),"Coding Pattern")</f>
        <v>Coding Pattern</v>
      </c>
      <c r="B533" s="6" t="str">
        <f ca="1">IFERROR(__xludf.DUMMYFUNCTION("""COMPUTED_VALUE"""),"Coding Style")</f>
        <v>Coding Style</v>
      </c>
      <c r="H533" s="6">
        <f ca="1"/>
        <v>0</v>
      </c>
      <c r="I533" s="6">
        <f ca="1"/>
        <v>0</v>
      </c>
      <c r="J533" s="6">
        <f ca="1"/>
        <v>0</v>
      </c>
    </row>
    <row r="534" spans="1:10" ht="13" x14ac:dyDescent="0.15">
      <c r="A534" s="6" t="str">
        <f ca="1">IFERROR(__xludf.DUMMYFUNCTION("""COMPUTED_VALUE"""),"Testing")</f>
        <v>Testing</v>
      </c>
      <c r="B534" s="6" t="str">
        <f ca="1">IFERROR(__xludf.DUMMYFUNCTION("""COMPUTED_VALUE"""),"Testing")</f>
        <v>Testing</v>
      </c>
      <c r="H534" s="6">
        <f ca="1"/>
        <v>0</v>
      </c>
      <c r="I534" s="6">
        <f ca="1"/>
        <v>0</v>
      </c>
      <c r="J534" s="6">
        <f ca="1"/>
        <v>0</v>
      </c>
    </row>
    <row r="535" spans="1:10" ht="13" x14ac:dyDescent="0.15">
      <c r="A535" s="6" t="str">
        <f ca="1">IFERROR(__xludf.DUMMYFUNCTION("""COMPUTED_VALUE"""),"Testing")</f>
        <v>Testing</v>
      </c>
      <c r="B535" s="6" t="str">
        <f ca="1">IFERROR(__xludf.DUMMYFUNCTION("""COMPUTED_VALUE"""),"Testing")</f>
        <v>Testing</v>
      </c>
      <c r="H535" s="6">
        <f ca="1"/>
        <v>0</v>
      </c>
      <c r="I535" s="6">
        <f ca="1"/>
        <v>0</v>
      </c>
      <c r="J535" s="6">
        <f ca="1"/>
        <v>0</v>
      </c>
    </row>
    <row r="536" spans="1:10" ht="13" x14ac:dyDescent="0.15">
      <c r="A536" s="6" t="str">
        <f ca="1">IFERROR(__xludf.DUMMYFUNCTION("""COMPUTED_VALUE"""),"Testing")</f>
        <v>Testing</v>
      </c>
      <c r="B536" s="6" t="str">
        <f ca="1">IFERROR(__xludf.DUMMYFUNCTION("""COMPUTED_VALUE"""),"Testing")</f>
        <v>Testing</v>
      </c>
      <c r="H536" s="6">
        <f ca="1"/>
        <v>0</v>
      </c>
      <c r="I536" s="6">
        <f ca="1"/>
        <v>0</v>
      </c>
      <c r="J536" s="6">
        <f ca="1"/>
        <v>0</v>
      </c>
    </row>
    <row r="537" spans="1:10" ht="13" x14ac:dyDescent="0.15">
      <c r="A537" s="6" t="str">
        <f ca="1">IFERROR(__xludf.DUMMYFUNCTION("""COMPUTED_VALUE"""),"Testing")</f>
        <v>Testing</v>
      </c>
      <c r="B537" s="6" t="str">
        <f ca="1">IFERROR(__xludf.DUMMYFUNCTION("""COMPUTED_VALUE"""),"Testing")</f>
        <v>Testing</v>
      </c>
      <c r="H537" s="6">
        <f ca="1"/>
        <v>0</v>
      </c>
      <c r="I537" s="6">
        <f ca="1"/>
        <v>0</v>
      </c>
      <c r="J537" s="6">
        <f ca="1"/>
        <v>0</v>
      </c>
    </row>
    <row r="538" spans="1:10" ht="13" x14ac:dyDescent="0.15">
      <c r="A538" s="6" t="str">
        <f ca="1">IFERROR(__xludf.DUMMYFUNCTION("""COMPUTED_VALUE"""),"Coding Pattern")</f>
        <v>Coding Pattern</v>
      </c>
      <c r="B538" s="6" t="str">
        <f ca="1">IFERROR(__xludf.DUMMYFUNCTION("""COMPUTED_VALUE"""),"Coding Pattern")</f>
        <v>Coding Pattern</v>
      </c>
      <c r="H538" s="6">
        <f ca="1"/>
        <v>0</v>
      </c>
      <c r="I538" s="6">
        <f ca="1"/>
        <v>0</v>
      </c>
      <c r="J538" s="6">
        <f ca="1"/>
        <v>0</v>
      </c>
    </row>
    <row r="539" spans="1:10" ht="13" x14ac:dyDescent="0.15">
      <c r="A539" s="6" t="str">
        <f ca="1">IFERROR(__xludf.DUMMYFUNCTION("""COMPUTED_VALUE"""),"Coding Pattern")</f>
        <v>Coding Pattern</v>
      </c>
      <c r="B539" s="6" t="str">
        <f ca="1">IFERROR(__xludf.DUMMYFUNCTION("""COMPUTED_VALUE"""),"Coding Pattern")</f>
        <v>Coding Pattern</v>
      </c>
      <c r="H539" s="6">
        <f ca="1"/>
        <v>0</v>
      </c>
      <c r="I539" s="6">
        <f ca="1"/>
        <v>0</v>
      </c>
      <c r="J539" s="6">
        <f ca="1"/>
        <v>0</v>
      </c>
    </row>
    <row r="540" spans="1:10" ht="13" x14ac:dyDescent="0.15">
      <c r="A540" s="6" t="str">
        <f ca="1">IFERROR(__xludf.DUMMYFUNCTION("""COMPUTED_VALUE"""),"Performance")</f>
        <v>Performance</v>
      </c>
      <c r="B540" s="6" t="str">
        <f ca="1">IFERROR(__xludf.DUMMYFUNCTION("""COMPUTED_VALUE"""),"Performance")</f>
        <v>Performance</v>
      </c>
      <c r="H540" s="6">
        <f ca="1"/>
        <v>0</v>
      </c>
      <c r="I540" s="6">
        <f ca="1"/>
        <v>0</v>
      </c>
      <c r="J540" s="6">
        <f ca="1"/>
        <v>0</v>
      </c>
    </row>
    <row r="541" spans="1:10" ht="13" x14ac:dyDescent="0.15">
      <c r="A541" s="6" t="str">
        <f ca="1">IFERROR(__xludf.DUMMYFUNCTION("""COMPUTED_VALUE"""),"Coding Style")</f>
        <v>Coding Style</v>
      </c>
      <c r="B541" s="6" t="str">
        <f ca="1">IFERROR(__xludf.DUMMYFUNCTION("""COMPUTED_VALUE"""),"Coding Style")</f>
        <v>Coding Style</v>
      </c>
      <c r="H541" s="6">
        <f ca="1"/>
        <v>0</v>
      </c>
      <c r="I541" s="6">
        <f ca="1"/>
        <v>0</v>
      </c>
      <c r="J541" s="6">
        <f ca="1"/>
        <v>0</v>
      </c>
    </row>
    <row r="542" spans="1:10" ht="13" x14ac:dyDescent="0.15">
      <c r="A542" s="6" t="str">
        <f ca="1">IFERROR(__xludf.DUMMYFUNCTION("""COMPUTED_VALUE"""),"Coding Style")</f>
        <v>Coding Style</v>
      </c>
      <c r="B542" s="6" t="str">
        <f ca="1">IFERROR(__xludf.DUMMYFUNCTION("""COMPUTED_VALUE"""),"Coding Style")</f>
        <v>Coding Style</v>
      </c>
      <c r="H542" s="6">
        <f ca="1"/>
        <v>0</v>
      </c>
      <c r="I542" s="6">
        <f ca="1"/>
        <v>0</v>
      </c>
      <c r="J542" s="6">
        <f ca="1"/>
        <v>0</v>
      </c>
    </row>
    <row r="543" spans="1:10" ht="13" x14ac:dyDescent="0.15">
      <c r="A543" s="6" t="str">
        <f ca="1">IFERROR(__xludf.DUMMYFUNCTION("""COMPUTED_VALUE"""),"Coding Pattern")</f>
        <v>Coding Pattern</v>
      </c>
      <c r="B543" s="6" t="str">
        <f ca="1">IFERROR(__xludf.DUMMYFUNCTION("""COMPUTED_VALUE"""),"Coding Pattern")</f>
        <v>Coding Pattern</v>
      </c>
      <c r="H543" s="6">
        <f ca="1"/>
        <v>0</v>
      </c>
      <c r="I543" s="6">
        <f ca="1"/>
        <v>0</v>
      </c>
      <c r="J543" s="6">
        <f ca="1"/>
        <v>0</v>
      </c>
    </row>
    <row r="544" spans="1:10" ht="13" x14ac:dyDescent="0.15">
      <c r="A544" s="6" t="str">
        <f ca="1">IFERROR(__xludf.DUMMYFUNCTION("""COMPUTED_VALUE"""),"Build &amp; Operation")</f>
        <v>Build &amp; Operation</v>
      </c>
      <c r="B544" s="6" t="str">
        <f ca="1">IFERROR(__xludf.DUMMYFUNCTION("""COMPUTED_VALUE"""),"Build &amp; Operation")</f>
        <v>Build &amp; Operation</v>
      </c>
      <c r="H544" s="6">
        <f ca="1"/>
        <v>0</v>
      </c>
      <c r="I544" s="6">
        <f ca="1"/>
        <v>0</v>
      </c>
      <c r="J544" s="6">
        <f ca="1"/>
        <v>0</v>
      </c>
    </row>
    <row r="545" spans="1:10" ht="13" x14ac:dyDescent="0.15">
      <c r="A545" s="6" t="str">
        <f ca="1">IFERROR(__xludf.DUMMYFUNCTION("""COMPUTED_VALUE"""),"Coding Style")</f>
        <v>Coding Style</v>
      </c>
      <c r="B545" s="6" t="str">
        <f ca="1">IFERROR(__xludf.DUMMYFUNCTION("""COMPUTED_VALUE"""),"Coding Style")</f>
        <v>Coding Style</v>
      </c>
      <c r="H545" s="6">
        <f ca="1"/>
        <v>0</v>
      </c>
      <c r="I545" s="6">
        <f ca="1"/>
        <v>0</v>
      </c>
      <c r="J545" s="6">
        <f ca="1"/>
        <v>0</v>
      </c>
    </row>
    <row r="546" spans="1:10" ht="13" x14ac:dyDescent="0.15">
      <c r="A546" s="6" t="str">
        <f ca="1">IFERROR(__xludf.DUMMYFUNCTION("""COMPUTED_VALUE"""),"Coding Style")</f>
        <v>Coding Style</v>
      </c>
      <c r="B546" s="6" t="str">
        <f ca="1">IFERROR(__xludf.DUMMYFUNCTION("""COMPUTED_VALUE"""),"Coding Style")</f>
        <v>Coding Style</v>
      </c>
      <c r="H546" s="6">
        <f ca="1"/>
        <v>0</v>
      </c>
      <c r="I546" s="6">
        <f ca="1"/>
        <v>0</v>
      </c>
      <c r="J546" s="6">
        <f ca="1"/>
        <v>0</v>
      </c>
    </row>
    <row r="547" spans="1:10" ht="13" x14ac:dyDescent="0.15">
      <c r="A547" s="6" t="str">
        <f ca="1">IFERROR(__xludf.DUMMYFUNCTION("""COMPUTED_VALUE"""),"Coding Style")</f>
        <v>Coding Style</v>
      </c>
      <c r="B547" s="6" t="str">
        <f ca="1">IFERROR(__xludf.DUMMYFUNCTION("""COMPUTED_VALUE"""),"Coding Style")</f>
        <v>Coding Style</v>
      </c>
      <c r="H547" s="6">
        <f ca="1"/>
        <v>0</v>
      </c>
      <c r="I547" s="6">
        <f ca="1"/>
        <v>0</v>
      </c>
      <c r="J547" s="6">
        <f ca="1"/>
        <v>0</v>
      </c>
    </row>
    <row r="548" spans="1:10" ht="13" x14ac:dyDescent="0.15">
      <c r="A548" s="6" t="str">
        <f ca="1">IFERROR(__xludf.DUMMYFUNCTION("""COMPUTED_VALUE"""),"Coding Pattern")</f>
        <v>Coding Pattern</v>
      </c>
      <c r="B548" s="6" t="str">
        <f ca="1">IFERROR(__xludf.DUMMYFUNCTION("""COMPUTED_VALUE"""),"Coding Pattern")</f>
        <v>Coding Pattern</v>
      </c>
      <c r="H548" s="6">
        <f ca="1"/>
        <v>0</v>
      </c>
      <c r="I548" s="6">
        <f ca="1"/>
        <v>0</v>
      </c>
      <c r="J548" s="6">
        <f ca="1"/>
        <v>0</v>
      </c>
    </row>
    <row r="549" spans="1:10" ht="13" x14ac:dyDescent="0.15">
      <c r="A549" s="6" t="str">
        <f ca="1">IFERROR(__xludf.DUMMYFUNCTION("""COMPUTED_VALUE"""),"Coding Pattern")</f>
        <v>Coding Pattern</v>
      </c>
      <c r="B549" s="6" t="str">
        <f ca="1">IFERROR(__xludf.DUMMYFUNCTION("""COMPUTED_VALUE"""),"Coding Pattern")</f>
        <v>Coding Pattern</v>
      </c>
      <c r="H549" s="6">
        <f ca="1"/>
        <v>0</v>
      </c>
      <c r="I549" s="6">
        <f ca="1"/>
        <v>0</v>
      </c>
      <c r="J549" s="6">
        <f ca="1"/>
        <v>0</v>
      </c>
    </row>
    <row r="550" spans="1:10" ht="13" x14ac:dyDescent="0.15">
      <c r="A550" s="6" t="str">
        <f ca="1">IFERROR(__xludf.DUMMYFUNCTION("""COMPUTED_VALUE"""),"Coding Pattern")</f>
        <v>Coding Pattern</v>
      </c>
      <c r="B550" s="6" t="str">
        <f ca="1">IFERROR(__xludf.DUMMYFUNCTION("""COMPUTED_VALUE"""),"Coding Pattern")</f>
        <v>Coding Pattern</v>
      </c>
      <c r="H550" s="6">
        <f ca="1"/>
        <v>0</v>
      </c>
      <c r="I550" s="6">
        <f ca="1"/>
        <v>0</v>
      </c>
      <c r="J550" s="6">
        <f ca="1"/>
        <v>0</v>
      </c>
    </row>
    <row r="551" spans="1:10" ht="13" x14ac:dyDescent="0.15">
      <c r="A551" s="6" t="str">
        <f ca="1">IFERROR(__xludf.DUMMYFUNCTION("""COMPUTED_VALUE"""),"Coding Pattern")</f>
        <v>Coding Pattern</v>
      </c>
      <c r="B551" s="6" t="str">
        <f ca="1">IFERROR(__xludf.DUMMYFUNCTION("""COMPUTED_VALUE"""),"Coding Pattern")</f>
        <v>Coding Pattern</v>
      </c>
      <c r="H551" s="6">
        <f ca="1"/>
        <v>0</v>
      </c>
      <c r="I551" s="6">
        <f ca="1"/>
        <v>0</v>
      </c>
      <c r="J551" s="6">
        <f ca="1"/>
        <v>0</v>
      </c>
    </row>
    <row r="552" spans="1:10" ht="13" x14ac:dyDescent="0.15">
      <c r="A552" s="6" t="str">
        <f ca="1">IFERROR(__xludf.DUMMYFUNCTION("""COMPUTED_VALUE"""),"Coding Pattern")</f>
        <v>Coding Pattern</v>
      </c>
      <c r="B552" s="6" t="str">
        <f ca="1">IFERROR(__xludf.DUMMYFUNCTION("""COMPUTED_VALUE"""),"Coding Pattern")</f>
        <v>Coding Pattern</v>
      </c>
      <c r="H552" s="6">
        <f ca="1"/>
        <v>0</v>
      </c>
      <c r="I552" s="6">
        <f ca="1"/>
        <v>0</v>
      </c>
      <c r="J552" s="6">
        <f ca="1"/>
        <v>0</v>
      </c>
    </row>
    <row r="553" spans="1:10" ht="13" x14ac:dyDescent="0.15">
      <c r="A553" s="6" t="str">
        <f ca="1">IFERROR(__xludf.DUMMYFUNCTION("""COMPUTED_VALUE"""),"Task Execution")</f>
        <v>Task Execution</v>
      </c>
      <c r="B553" s="6" t="str">
        <f ca="1">IFERROR(__xludf.DUMMYFUNCTION("""COMPUTED_VALUE"""),"Task Execution")</f>
        <v>Task Execution</v>
      </c>
      <c r="H553" s="6">
        <f ca="1"/>
        <v>0</v>
      </c>
      <c r="I553" s="6">
        <f ca="1"/>
        <v>0</v>
      </c>
      <c r="J553" s="6">
        <f ca="1"/>
        <v>0</v>
      </c>
    </row>
    <row r="554" spans="1:10" ht="13" x14ac:dyDescent="0.15">
      <c r="A554" s="6" t="str">
        <f ca="1">IFERROR(__xludf.DUMMYFUNCTION("""COMPUTED_VALUE"""),"Coding Pattern")</f>
        <v>Coding Pattern</v>
      </c>
      <c r="B554" s="6" t="str">
        <f ca="1">IFERROR(__xludf.DUMMYFUNCTION("""COMPUTED_VALUE"""),"Coding Pattern")</f>
        <v>Coding Pattern</v>
      </c>
      <c r="H554" s="6">
        <f ca="1"/>
        <v>0</v>
      </c>
      <c r="I554" s="6">
        <f ca="1"/>
        <v>0</v>
      </c>
      <c r="J554" s="6">
        <f ca="1"/>
        <v>0</v>
      </c>
    </row>
    <row r="555" spans="1:10" ht="13" x14ac:dyDescent="0.15">
      <c r="A555" s="6" t="str">
        <f ca="1">IFERROR(__xludf.DUMMYFUNCTION("""COMPUTED_VALUE"""),"Coding Pattern")</f>
        <v>Coding Pattern</v>
      </c>
      <c r="B555" s="6" t="str">
        <f ca="1">IFERROR(__xludf.DUMMYFUNCTION("""COMPUTED_VALUE"""),"Coding Pattern")</f>
        <v>Coding Pattern</v>
      </c>
      <c r="H555" s="6">
        <f ca="1"/>
        <v>0</v>
      </c>
      <c r="I555" s="6">
        <f ca="1"/>
        <v>0</v>
      </c>
      <c r="J555" s="6">
        <f ca="1"/>
        <v>0</v>
      </c>
    </row>
    <row r="556" spans="1:10" ht="13" x14ac:dyDescent="0.15">
      <c r="A556" s="6" t="str">
        <f ca="1">IFERROR(__xludf.DUMMYFUNCTION("""COMPUTED_VALUE"""),"Coding Pattern")</f>
        <v>Coding Pattern</v>
      </c>
      <c r="B556" s="6" t="str">
        <f ca="1">IFERROR(__xludf.DUMMYFUNCTION("""COMPUTED_VALUE"""),"Coding Pattern")</f>
        <v>Coding Pattern</v>
      </c>
      <c r="H556" s="6">
        <f ca="1"/>
        <v>0</v>
      </c>
      <c r="I556" s="6">
        <f ca="1"/>
        <v>0</v>
      </c>
      <c r="J556" s="6">
        <f ca="1"/>
        <v>0</v>
      </c>
    </row>
    <row r="557" spans="1:10" ht="13" x14ac:dyDescent="0.15">
      <c r="A557" s="6" t="str">
        <f ca="1">IFERROR(__xludf.DUMMYFUNCTION("""COMPUTED_VALUE"""),"Testing")</f>
        <v>Testing</v>
      </c>
      <c r="B557" s="6" t="str">
        <f ca="1">IFERROR(__xludf.DUMMYFUNCTION("""COMPUTED_VALUE"""),"Testing")</f>
        <v>Testing</v>
      </c>
      <c r="H557" s="6">
        <f ca="1"/>
        <v>0</v>
      </c>
      <c r="I557" s="6">
        <f ca="1"/>
        <v>0</v>
      </c>
      <c r="J557" s="6">
        <f ca="1"/>
        <v>0</v>
      </c>
    </row>
    <row r="558" spans="1:10" ht="13" x14ac:dyDescent="0.15">
      <c r="A558" s="6" t="str">
        <f ca="1">IFERROR(__xludf.DUMMYFUNCTION("""COMPUTED_VALUE"""),"Coding Pattern")</f>
        <v>Coding Pattern</v>
      </c>
      <c r="B558" s="6" t="str">
        <f ca="1">IFERROR(__xludf.DUMMYFUNCTION("""COMPUTED_VALUE"""),"Coding Pattern")</f>
        <v>Coding Pattern</v>
      </c>
      <c r="H558" s="6">
        <f ca="1"/>
        <v>0</v>
      </c>
      <c r="I558" s="6">
        <f ca="1"/>
        <v>0</v>
      </c>
      <c r="J558" s="6">
        <f ca="1"/>
        <v>0</v>
      </c>
    </row>
    <row r="559" spans="1:10" ht="13" x14ac:dyDescent="0.15">
      <c r="A559" s="6" t="str">
        <f ca="1">IFERROR(__xludf.DUMMYFUNCTION("""COMPUTED_VALUE"""),"Coding Style")</f>
        <v>Coding Style</v>
      </c>
      <c r="B559" s="6" t="str">
        <f ca="1">IFERROR(__xludf.DUMMYFUNCTION("""COMPUTED_VALUE"""),"Coding Style")</f>
        <v>Coding Style</v>
      </c>
      <c r="H559" s="6">
        <f ca="1"/>
        <v>0</v>
      </c>
      <c r="I559" s="6">
        <f ca="1"/>
        <v>0</v>
      </c>
      <c r="J559" s="6">
        <f ca="1"/>
        <v>0</v>
      </c>
    </row>
    <row r="560" spans="1:10" ht="13" x14ac:dyDescent="0.15">
      <c r="A560" s="6" t="str">
        <f ca="1">IFERROR(__xludf.DUMMYFUNCTION("""COMPUTED_VALUE"""),"Coding Style")</f>
        <v>Coding Style</v>
      </c>
      <c r="B560" s="6" t="str">
        <f ca="1">IFERROR(__xludf.DUMMYFUNCTION("""COMPUTED_VALUE"""),"Coding Style")</f>
        <v>Coding Style</v>
      </c>
      <c r="H560" s="6">
        <f ca="1"/>
        <v>0</v>
      </c>
      <c r="I560" s="6">
        <f ca="1"/>
        <v>0</v>
      </c>
      <c r="J560" s="6">
        <f ca="1"/>
        <v>0</v>
      </c>
    </row>
    <row r="561" spans="1:10" ht="13" x14ac:dyDescent="0.15">
      <c r="A561" s="6" t="str">
        <f ca="1">IFERROR(__xludf.DUMMYFUNCTION("""COMPUTED_VALUE"""),"Coding Style")</f>
        <v>Coding Style</v>
      </c>
      <c r="B561" s="6" t="str">
        <f ca="1">IFERROR(__xludf.DUMMYFUNCTION("""COMPUTED_VALUE"""),"Coding Style")</f>
        <v>Coding Style</v>
      </c>
      <c r="H561" s="6">
        <f ca="1"/>
        <v>0</v>
      </c>
      <c r="I561" s="6">
        <f ca="1"/>
        <v>0</v>
      </c>
      <c r="J561" s="6">
        <f ca="1"/>
        <v>0</v>
      </c>
    </row>
    <row r="562" spans="1:10" ht="13" x14ac:dyDescent="0.15">
      <c r="A562" s="6" t="str">
        <f ca="1">IFERROR(__xludf.DUMMYFUNCTION("""COMPUTED_VALUE"""),"Coding Style")</f>
        <v>Coding Style</v>
      </c>
      <c r="B562" s="6" t="str">
        <f ca="1">IFERROR(__xludf.DUMMYFUNCTION("""COMPUTED_VALUE"""),"Coding Style")</f>
        <v>Coding Style</v>
      </c>
      <c r="H562" s="6">
        <f ca="1"/>
        <v>0</v>
      </c>
      <c r="I562" s="6">
        <f ca="1"/>
        <v>0</v>
      </c>
      <c r="J562" s="6">
        <f ca="1"/>
        <v>0</v>
      </c>
    </row>
    <row r="563" spans="1:10" ht="13" x14ac:dyDescent="0.15">
      <c r="A563" s="6" t="str">
        <f ca="1">IFERROR(__xludf.DUMMYFUNCTION("""COMPUTED_VALUE"""),"Coding Pattern")</f>
        <v>Coding Pattern</v>
      </c>
      <c r="B563" s="6" t="str">
        <f ca="1">IFERROR(__xludf.DUMMYFUNCTION("""COMPUTED_VALUE"""),"Coding Pattern")</f>
        <v>Coding Pattern</v>
      </c>
      <c r="H563" s="6">
        <f ca="1"/>
        <v>0</v>
      </c>
      <c r="I563" s="6">
        <f ca="1"/>
        <v>0</v>
      </c>
      <c r="J563" s="6">
        <f ca="1"/>
        <v>0</v>
      </c>
    </row>
    <row r="564" spans="1:10" ht="13" x14ac:dyDescent="0.15">
      <c r="A564" s="6" t="str">
        <f ca="1">IFERROR(__xludf.DUMMYFUNCTION("""COMPUTED_VALUE"""),"Coding Pattern")</f>
        <v>Coding Pattern</v>
      </c>
      <c r="B564" s="6" t="str">
        <f ca="1">IFERROR(__xludf.DUMMYFUNCTION("""COMPUTED_VALUE"""),"Coding Pattern")</f>
        <v>Coding Pattern</v>
      </c>
      <c r="H564" s="6">
        <f ca="1"/>
        <v>0</v>
      </c>
      <c r="I564" s="6">
        <f ca="1"/>
        <v>0</v>
      </c>
      <c r="J564" s="6">
        <f ca="1"/>
        <v>0</v>
      </c>
    </row>
    <row r="565" spans="1:10" ht="13" x14ac:dyDescent="0.15">
      <c r="A565" s="6" t="str">
        <f ca="1">IFERROR(__xludf.DUMMYFUNCTION("""COMPUTED_VALUE"""),"Coding Style")</f>
        <v>Coding Style</v>
      </c>
      <c r="B565" s="6" t="str">
        <f ca="1">IFERROR(__xludf.DUMMYFUNCTION("""COMPUTED_VALUE"""),"Coding Style")</f>
        <v>Coding Style</v>
      </c>
      <c r="H565" s="6">
        <f ca="1"/>
        <v>0</v>
      </c>
      <c r="I565" s="6">
        <f ca="1"/>
        <v>0</v>
      </c>
      <c r="J565" s="6">
        <f ca="1"/>
        <v>0</v>
      </c>
    </row>
    <row r="566" spans="1:10" ht="13" x14ac:dyDescent="0.15">
      <c r="A566" s="6" t="str">
        <f ca="1">IFERROR(__xludf.DUMMYFUNCTION("""COMPUTED_VALUE"""),"Writing Style Preference")</f>
        <v>Writing Style Preference</v>
      </c>
      <c r="B566" s="6" t="str">
        <f ca="1">IFERROR(__xludf.DUMMYFUNCTION("""COMPUTED_VALUE"""),"Writing Style Preference")</f>
        <v>Writing Style Preference</v>
      </c>
      <c r="H566" s="6">
        <f ca="1"/>
        <v>0</v>
      </c>
      <c r="I566" s="6">
        <f ca="1"/>
        <v>0</v>
      </c>
      <c r="J566" s="6">
        <f ca="1"/>
        <v>0</v>
      </c>
    </row>
    <row r="567" spans="1:10" ht="13" x14ac:dyDescent="0.15">
      <c r="A567" s="6" t="str">
        <f ca="1">IFERROR(__xludf.DUMMYFUNCTION("""COMPUTED_VALUE"""),"Build &amp; Operation")</f>
        <v>Build &amp; Operation</v>
      </c>
      <c r="B567" s="6" t="str">
        <f ca="1">IFERROR(__xludf.DUMMYFUNCTION("""COMPUTED_VALUE"""),"Build &amp; Operation")</f>
        <v>Build &amp; Operation</v>
      </c>
      <c r="H567" s="6">
        <f ca="1"/>
        <v>0</v>
      </c>
      <c r="I567" s="6">
        <f ca="1"/>
        <v>0</v>
      </c>
      <c r="J567" s="6">
        <f ca="1"/>
        <v>0</v>
      </c>
    </row>
    <row r="568" spans="1:10" ht="13" x14ac:dyDescent="0.15">
      <c r="A568" s="6" t="str">
        <f ca="1">IFERROR(__xludf.DUMMYFUNCTION("""COMPUTED_VALUE"""),"Coding Pattern")</f>
        <v>Coding Pattern</v>
      </c>
      <c r="B568" s="6" t="str">
        <f ca="1">IFERROR(__xludf.DUMMYFUNCTION("""COMPUTED_VALUE"""),"Build &amp; Operation")</f>
        <v>Build &amp; Operation</v>
      </c>
      <c r="H568" s="6">
        <f ca="1"/>
        <v>0</v>
      </c>
      <c r="I568" s="6">
        <f ca="1"/>
        <v>0</v>
      </c>
      <c r="J568" s="6">
        <f ca="1"/>
        <v>0</v>
      </c>
    </row>
    <row r="569" spans="1:10" ht="13" x14ac:dyDescent="0.15">
      <c r="A569" s="6" t="str">
        <f ca="1">IFERROR(__xludf.DUMMYFUNCTION("""COMPUTED_VALUE"""),"Task Execution")</f>
        <v>Task Execution</v>
      </c>
      <c r="B569" s="6" t="str">
        <f ca="1">IFERROR(__xludf.DUMMYFUNCTION("""COMPUTED_VALUE"""),"Task Execution")</f>
        <v>Task Execution</v>
      </c>
      <c r="H569" s="6">
        <f ca="1"/>
        <v>0</v>
      </c>
      <c r="I569" s="6">
        <f ca="1"/>
        <v>0</v>
      </c>
      <c r="J569" s="6">
        <f ca="1"/>
        <v>0</v>
      </c>
    </row>
    <row r="570" spans="1:10" ht="13" x14ac:dyDescent="0.15">
      <c r="A570" s="6" t="str">
        <f ca="1">IFERROR(__xludf.DUMMYFUNCTION("""COMPUTED_VALUE"""),"Testing")</f>
        <v>Testing</v>
      </c>
      <c r="B570" s="6" t="str">
        <f ca="1">IFERROR(__xludf.DUMMYFUNCTION("""COMPUTED_VALUE"""),"Testing")</f>
        <v>Testing</v>
      </c>
      <c r="H570" s="6">
        <f ca="1"/>
        <v>0</v>
      </c>
      <c r="I570" s="6">
        <f ca="1"/>
        <v>0</v>
      </c>
      <c r="J570" s="6">
        <f ca="1"/>
        <v>0</v>
      </c>
    </row>
    <row r="571" spans="1:10" ht="13" x14ac:dyDescent="0.15">
      <c r="A571" s="6" t="str">
        <f ca="1">IFERROR(__xludf.DUMMYFUNCTION("""COMPUTED_VALUE"""),"Coding Pattern")</f>
        <v>Coding Pattern</v>
      </c>
      <c r="B571" s="6" t="str">
        <f ca="1">IFERROR(__xludf.DUMMYFUNCTION("""COMPUTED_VALUE"""),"Coding Pattern")</f>
        <v>Coding Pattern</v>
      </c>
      <c r="H571" s="6">
        <f ca="1"/>
        <v>0</v>
      </c>
      <c r="I571" s="6">
        <f ca="1"/>
        <v>0</v>
      </c>
      <c r="J571" s="6">
        <f ca="1"/>
        <v>0</v>
      </c>
    </row>
    <row r="572" spans="1:10" ht="13" x14ac:dyDescent="0.15">
      <c r="A572" s="6" t="str">
        <f ca="1">IFERROR(__xludf.DUMMYFUNCTION("""COMPUTED_VALUE"""),"Coding Pattern")</f>
        <v>Coding Pattern</v>
      </c>
      <c r="B572" s="6" t="str">
        <f ca="1">IFERROR(__xludf.DUMMYFUNCTION("""COMPUTED_VALUE"""),"Coding Pattern")</f>
        <v>Coding Pattern</v>
      </c>
      <c r="H572" s="6">
        <f ca="1"/>
        <v>0</v>
      </c>
      <c r="I572" s="6">
        <f ca="1"/>
        <v>0</v>
      </c>
      <c r="J572" s="6">
        <f ca="1"/>
        <v>0</v>
      </c>
    </row>
    <row r="573" spans="1:10" ht="13" x14ac:dyDescent="0.15">
      <c r="A573" s="6" t="str">
        <f ca="1">IFERROR(__xludf.DUMMYFUNCTION("""COMPUTED_VALUE"""),"Coding Pattern")</f>
        <v>Coding Pattern</v>
      </c>
      <c r="B573" s="6" t="str">
        <f ca="1">IFERROR(__xludf.DUMMYFUNCTION("""COMPUTED_VALUE"""),"Coding Pattern")</f>
        <v>Coding Pattern</v>
      </c>
      <c r="H573" s="6">
        <f ca="1"/>
        <v>0</v>
      </c>
      <c r="I573" s="6">
        <f ca="1"/>
        <v>0</v>
      </c>
      <c r="J573" s="6">
        <f ca="1"/>
        <v>0</v>
      </c>
    </row>
    <row r="574" spans="1:10" ht="13" x14ac:dyDescent="0.15">
      <c r="A574" s="6" t="str">
        <f ca="1">IFERROR(__xludf.DUMMYFUNCTION("""COMPUTED_VALUE"""),"Coding Pattern")</f>
        <v>Coding Pattern</v>
      </c>
      <c r="B574" s="6" t="str">
        <f ca="1">IFERROR(__xludf.DUMMYFUNCTION("""COMPUTED_VALUE"""),"Coding Pattern")</f>
        <v>Coding Pattern</v>
      </c>
      <c r="H574" s="6">
        <f ca="1"/>
        <v>0</v>
      </c>
      <c r="I574" s="6">
        <f ca="1"/>
        <v>0</v>
      </c>
      <c r="J574" s="6">
        <f ca="1"/>
        <v>0</v>
      </c>
    </row>
    <row r="575" spans="1:10" ht="13" x14ac:dyDescent="0.15">
      <c r="A575" s="6" t="str">
        <f ca="1">IFERROR(__xludf.DUMMYFUNCTION("""COMPUTED_VALUE"""),"Coding Pattern")</f>
        <v>Coding Pattern</v>
      </c>
      <c r="B575" s="6" t="str">
        <f ca="1">IFERROR(__xludf.DUMMYFUNCTION("""COMPUTED_VALUE"""),"Coding Pattern")</f>
        <v>Coding Pattern</v>
      </c>
      <c r="H575" s="6">
        <f ca="1"/>
        <v>0</v>
      </c>
      <c r="I575" s="6">
        <f ca="1"/>
        <v>0</v>
      </c>
      <c r="J575" s="6">
        <f ca="1"/>
        <v>0</v>
      </c>
    </row>
    <row r="576" spans="1:10" ht="13" x14ac:dyDescent="0.15">
      <c r="A576" s="6" t="str">
        <f ca="1">IFERROR(__xludf.DUMMYFUNCTION("""COMPUTED_VALUE"""),"Coding Pattern")</f>
        <v>Coding Pattern</v>
      </c>
      <c r="B576" s="6" t="str">
        <f ca="1">IFERROR(__xludf.DUMMYFUNCTION("""COMPUTED_VALUE"""),"Coding Pattern")</f>
        <v>Coding Pattern</v>
      </c>
      <c r="H576" s="6">
        <f ca="1"/>
        <v>0</v>
      </c>
      <c r="I576" s="6">
        <f ca="1"/>
        <v>0</v>
      </c>
      <c r="J576" s="6">
        <f ca="1"/>
        <v>0</v>
      </c>
    </row>
    <row r="577" spans="1:10" ht="13" x14ac:dyDescent="0.15">
      <c r="A577" s="6" t="str">
        <f ca="1">IFERROR(__xludf.DUMMYFUNCTION("""COMPUTED_VALUE"""),"Testing")</f>
        <v>Testing</v>
      </c>
      <c r="B577" s="6" t="str">
        <f ca="1">IFERROR(__xludf.DUMMYFUNCTION("""COMPUTED_VALUE"""),"Testing")</f>
        <v>Testing</v>
      </c>
      <c r="H577" s="6">
        <f ca="1"/>
        <v>0</v>
      </c>
      <c r="I577" s="6">
        <f ca="1"/>
        <v>0</v>
      </c>
      <c r="J577" s="6">
        <f ca="1"/>
        <v>0</v>
      </c>
    </row>
    <row r="578" spans="1:10" ht="13" x14ac:dyDescent="0.15">
      <c r="A578" s="6" t="str">
        <f ca="1">IFERROR(__xludf.DUMMYFUNCTION("""COMPUTED_VALUE"""),"Coding Style")</f>
        <v>Coding Style</v>
      </c>
      <c r="B578" s="6" t="str">
        <f ca="1">IFERROR(__xludf.DUMMYFUNCTION("""COMPUTED_VALUE"""),"Coding Style")</f>
        <v>Coding Style</v>
      </c>
      <c r="H578" s="6">
        <f ca="1"/>
        <v>0</v>
      </c>
      <c r="I578" s="6">
        <f ca="1"/>
        <v>0</v>
      </c>
      <c r="J578" s="6">
        <f ca="1"/>
        <v>0</v>
      </c>
    </row>
    <row r="579" spans="1:10" ht="13" x14ac:dyDescent="0.15">
      <c r="A579" s="6" t="str">
        <f ca="1">IFERROR(__xludf.DUMMYFUNCTION("""COMPUTED_VALUE"""),"Build &amp; Operation")</f>
        <v>Build &amp; Operation</v>
      </c>
      <c r="B579" s="6" t="str">
        <f ca="1">IFERROR(__xludf.DUMMYFUNCTION("""COMPUTED_VALUE"""),"Build &amp; Operation")</f>
        <v>Build &amp; Operation</v>
      </c>
      <c r="H579" s="6">
        <f ca="1"/>
        <v>0</v>
      </c>
      <c r="I579" s="6">
        <f ca="1"/>
        <v>0</v>
      </c>
      <c r="J579" s="6">
        <f ca="1"/>
        <v>0</v>
      </c>
    </row>
    <row r="580" spans="1:10" ht="13" x14ac:dyDescent="0.15">
      <c r="A580" s="6" t="str">
        <f ca="1">IFERROR(__xludf.DUMMYFUNCTION("""COMPUTED_VALUE"""),"Coding Pattern")</f>
        <v>Coding Pattern</v>
      </c>
      <c r="B580" s="6" t="str">
        <f ca="1">IFERROR(__xludf.DUMMYFUNCTION("""COMPUTED_VALUE"""),"Coding Pattern")</f>
        <v>Coding Pattern</v>
      </c>
      <c r="H580" s="6">
        <f ca="1"/>
        <v>0</v>
      </c>
      <c r="I580" s="6">
        <f ca="1"/>
        <v>0</v>
      </c>
      <c r="J580" s="6">
        <f ca="1"/>
        <v>0</v>
      </c>
    </row>
    <row r="581" spans="1:10" ht="13" x14ac:dyDescent="0.15">
      <c r="A581" s="6" t="str">
        <f ca="1">IFERROR(__xludf.DUMMYFUNCTION("""COMPUTED_VALUE"""),"Build &amp; Operation")</f>
        <v>Build &amp; Operation</v>
      </c>
      <c r="B581" s="6" t="str">
        <f ca="1">IFERROR(__xludf.DUMMYFUNCTION("""COMPUTED_VALUE"""),"Build &amp; Operation")</f>
        <v>Build &amp; Operation</v>
      </c>
      <c r="H581" s="6">
        <f ca="1"/>
        <v>0</v>
      </c>
      <c r="I581" s="6">
        <f ca="1"/>
        <v>0</v>
      </c>
      <c r="J581" s="6">
        <f ca="1"/>
        <v>0</v>
      </c>
    </row>
    <row r="582" spans="1:10" ht="13" x14ac:dyDescent="0.15">
      <c r="A582" s="6" t="str">
        <f ca="1">IFERROR(__xludf.DUMMYFUNCTION("""COMPUTED_VALUE"""),"Coding Pattern")</f>
        <v>Coding Pattern</v>
      </c>
      <c r="B582" s="6" t="str">
        <f ca="1">IFERROR(__xludf.DUMMYFUNCTION("""COMPUTED_VALUE"""),"Coding Pattern")</f>
        <v>Coding Pattern</v>
      </c>
      <c r="H582" s="6">
        <f ca="1"/>
        <v>0</v>
      </c>
      <c r="I582" s="6">
        <f ca="1"/>
        <v>0</v>
      </c>
      <c r="J582" s="6">
        <f ca="1"/>
        <v>0</v>
      </c>
    </row>
    <row r="583" spans="1:10" ht="13" x14ac:dyDescent="0.15">
      <c r="A583" s="6" t="str">
        <f ca="1">IFERROR(__xludf.DUMMYFUNCTION("""COMPUTED_VALUE"""),"Coding Pattern")</f>
        <v>Coding Pattern</v>
      </c>
      <c r="B583" s="6" t="str">
        <f ca="1">IFERROR(__xludf.DUMMYFUNCTION("""COMPUTED_VALUE"""),"Coding Pattern")</f>
        <v>Coding Pattern</v>
      </c>
      <c r="H583" s="6">
        <f ca="1"/>
        <v>0</v>
      </c>
      <c r="I583" s="6">
        <f ca="1"/>
        <v>0</v>
      </c>
      <c r="J583" s="6">
        <f ca="1"/>
        <v>0</v>
      </c>
    </row>
    <row r="584" spans="1:10" ht="13" x14ac:dyDescent="0.15">
      <c r="A584" s="6" t="str">
        <f ca="1">IFERROR(__xludf.DUMMYFUNCTION("""COMPUTED_VALUE"""),"Testing")</f>
        <v>Testing</v>
      </c>
      <c r="B584" s="6" t="str">
        <f ca="1">IFERROR(__xludf.DUMMYFUNCTION("""COMPUTED_VALUE"""),"Testing")</f>
        <v>Testing</v>
      </c>
      <c r="H584" s="6">
        <f ca="1"/>
        <v>0</v>
      </c>
      <c r="I584" s="6">
        <f ca="1"/>
        <v>0</v>
      </c>
      <c r="J584" s="6">
        <f ca="1"/>
        <v>0</v>
      </c>
    </row>
    <row r="585" spans="1:10" ht="13" x14ac:dyDescent="0.15">
      <c r="A585" s="6" t="str">
        <f ca="1">IFERROR(__xludf.DUMMYFUNCTION("""COMPUTED_VALUE"""),"Coding Pattern")</f>
        <v>Coding Pattern</v>
      </c>
      <c r="B585" s="6" t="str">
        <f ca="1">IFERROR(__xludf.DUMMYFUNCTION("""COMPUTED_VALUE"""),"Coding Pattern")</f>
        <v>Coding Pattern</v>
      </c>
      <c r="H585" s="6">
        <f ca="1"/>
        <v>0</v>
      </c>
      <c r="I585" s="6">
        <f ca="1"/>
        <v>0</v>
      </c>
      <c r="J585" s="6">
        <f ca="1"/>
        <v>0</v>
      </c>
    </row>
    <row r="586" spans="1:10" ht="13" x14ac:dyDescent="0.15">
      <c r="A586" s="6" t="str">
        <f ca="1">IFERROR(__xludf.DUMMYFUNCTION("""COMPUTED_VALUE"""),"Coding Pattern")</f>
        <v>Coding Pattern</v>
      </c>
      <c r="B586" s="6" t="str">
        <f ca="1">IFERROR(__xludf.DUMMYFUNCTION("""COMPUTED_VALUE"""),"Testing")</f>
        <v>Testing</v>
      </c>
      <c r="H586" s="6">
        <f ca="1"/>
        <v>0</v>
      </c>
      <c r="I586" s="6">
        <f ca="1"/>
        <v>0</v>
      </c>
      <c r="J586" s="6">
        <f ca="1"/>
        <v>0</v>
      </c>
    </row>
    <row r="587" spans="1:10" ht="13" x14ac:dyDescent="0.15">
      <c r="A587" s="6" t="str">
        <f ca="1">IFERROR(__xludf.DUMMYFUNCTION("""COMPUTED_VALUE"""),"Coding Pattern")</f>
        <v>Coding Pattern</v>
      </c>
      <c r="B587" s="6" t="str">
        <f ca="1">IFERROR(__xludf.DUMMYFUNCTION("""COMPUTED_VALUE"""),"Coding Pattern")</f>
        <v>Coding Pattern</v>
      </c>
      <c r="H587" s="6">
        <f ca="1"/>
        <v>0</v>
      </c>
      <c r="I587" s="6">
        <f ca="1"/>
        <v>0</v>
      </c>
      <c r="J587" s="6">
        <f ca="1"/>
        <v>0</v>
      </c>
    </row>
    <row r="588" spans="1:10" ht="13" x14ac:dyDescent="0.15">
      <c r="A588" s="6" t="str">
        <f ca="1">IFERROR(__xludf.DUMMYFUNCTION("""COMPUTED_VALUE"""),"Task Execution")</f>
        <v>Task Execution</v>
      </c>
      <c r="B588" s="6" t="str">
        <f ca="1">IFERROR(__xludf.DUMMYFUNCTION("""COMPUTED_VALUE"""),"Task Execution")</f>
        <v>Task Execution</v>
      </c>
      <c r="H588" s="6">
        <f ca="1"/>
        <v>0</v>
      </c>
      <c r="I588" s="6">
        <f ca="1"/>
        <v>0</v>
      </c>
      <c r="J588" s="6">
        <f ca="1"/>
        <v>0</v>
      </c>
    </row>
    <row r="589" spans="1:10" ht="13" x14ac:dyDescent="0.15">
      <c r="A589" s="6" t="str">
        <f ca="1">IFERROR(__xludf.DUMMYFUNCTION("""COMPUTED_VALUE"""),"Coding Style")</f>
        <v>Coding Style</v>
      </c>
      <c r="B589" s="6" t="str">
        <f ca="1">IFERROR(__xludf.DUMMYFUNCTION("""COMPUTED_VALUE"""),"Coding Style")</f>
        <v>Coding Style</v>
      </c>
      <c r="H589" s="6">
        <f ca="1"/>
        <v>0</v>
      </c>
      <c r="I589" s="6">
        <f ca="1"/>
        <v>0</v>
      </c>
      <c r="J589" s="6">
        <f ca="1"/>
        <v>0</v>
      </c>
    </row>
    <row r="590" spans="1:10" ht="13" x14ac:dyDescent="0.15">
      <c r="A590" s="6" t="str">
        <f ca="1">IFERROR(__xludf.DUMMYFUNCTION("""COMPUTED_VALUE"""),"Coding Style")</f>
        <v>Coding Style</v>
      </c>
      <c r="B590" s="6" t="str">
        <f ca="1">IFERROR(__xludf.DUMMYFUNCTION("""COMPUTED_VALUE"""),"Coding Style")</f>
        <v>Coding Style</v>
      </c>
      <c r="H590" s="6">
        <f ca="1"/>
        <v>0</v>
      </c>
      <c r="I590" s="6">
        <f ca="1"/>
        <v>0</v>
      </c>
      <c r="J590" s="6">
        <f ca="1"/>
        <v>0</v>
      </c>
    </row>
    <row r="591" spans="1:10" ht="13" x14ac:dyDescent="0.15">
      <c r="A591" s="6" t="str">
        <f ca="1">IFERROR(__xludf.DUMMYFUNCTION("""COMPUTED_VALUE"""),"Task Execution")</f>
        <v>Task Execution</v>
      </c>
      <c r="B591" s="6" t="str">
        <f ca="1">IFERROR(__xludf.DUMMYFUNCTION("""COMPUTED_VALUE"""),"Task Execution")</f>
        <v>Task Execution</v>
      </c>
      <c r="H591" s="6">
        <f ca="1"/>
        <v>0</v>
      </c>
      <c r="I591" s="6">
        <f ca="1"/>
        <v>0</v>
      </c>
      <c r="J591" s="6">
        <f ca="1"/>
        <v>0</v>
      </c>
    </row>
    <row r="592" spans="1:10" ht="13" x14ac:dyDescent="0.15">
      <c r="A592" s="6" t="str">
        <f ca="1">IFERROR(__xludf.DUMMYFUNCTION("""COMPUTED_VALUE"""),"Build &amp; Operation")</f>
        <v>Build &amp; Operation</v>
      </c>
      <c r="B592" s="6" t="str">
        <f ca="1">IFERROR(__xludf.DUMMYFUNCTION("""COMPUTED_VALUE"""),"Build &amp; Operation")</f>
        <v>Build &amp; Operation</v>
      </c>
      <c r="H592" s="6">
        <f ca="1"/>
        <v>0</v>
      </c>
      <c r="I592" s="6">
        <f ca="1"/>
        <v>0</v>
      </c>
      <c r="J592" s="6">
        <f ca="1"/>
        <v>0</v>
      </c>
    </row>
    <row r="593" spans="1:10" ht="13" x14ac:dyDescent="0.15">
      <c r="A593" s="6" t="str">
        <f ca="1">IFERROR(__xludf.DUMMYFUNCTION("""COMPUTED_VALUE"""),"Task Execution")</f>
        <v>Task Execution</v>
      </c>
      <c r="B593" s="6" t="str">
        <f ca="1">IFERROR(__xludf.DUMMYFUNCTION("""COMPUTED_VALUE"""),"Build &amp; Operation")</f>
        <v>Build &amp; Operation</v>
      </c>
      <c r="H593" s="6">
        <f ca="1"/>
        <v>0</v>
      </c>
      <c r="I593" s="6">
        <f ca="1"/>
        <v>0</v>
      </c>
      <c r="J593" s="6">
        <f ca="1"/>
        <v>0</v>
      </c>
    </row>
    <row r="594" spans="1:10" ht="13" x14ac:dyDescent="0.15">
      <c r="A594" s="6" t="str">
        <f ca="1">IFERROR(__xludf.DUMMYFUNCTION("""COMPUTED_VALUE"""),"Task Execution")</f>
        <v>Task Execution</v>
      </c>
      <c r="B594" s="6" t="str">
        <f ca="1">IFERROR(__xludf.DUMMYFUNCTION("""COMPUTED_VALUE"""),"Task Execution")</f>
        <v>Task Execution</v>
      </c>
      <c r="H594" s="6">
        <f ca="1"/>
        <v>0</v>
      </c>
      <c r="I594" s="6">
        <f ca="1"/>
        <v>0</v>
      </c>
      <c r="J594" s="6">
        <f ca="1"/>
        <v>0</v>
      </c>
    </row>
    <row r="595" spans="1:10" ht="13" x14ac:dyDescent="0.15">
      <c r="A595" s="6" t="str">
        <f ca="1">IFERROR(__xludf.DUMMYFUNCTION("""COMPUTED_VALUE"""),"Documentation")</f>
        <v>Documentation</v>
      </c>
      <c r="B595" s="6" t="str">
        <f ca="1">IFERROR(__xludf.DUMMYFUNCTION("""COMPUTED_VALUE"""),"Documentation")</f>
        <v>Documentation</v>
      </c>
      <c r="H595" s="6">
        <f ca="1"/>
        <v>0</v>
      </c>
      <c r="I595" s="6">
        <f ca="1"/>
        <v>0</v>
      </c>
      <c r="J595" s="6">
        <f ca="1"/>
        <v>0</v>
      </c>
    </row>
    <row r="596" spans="1:10" ht="13" x14ac:dyDescent="0.15">
      <c r="A596" s="6" t="str">
        <f ca="1">IFERROR(__xludf.DUMMYFUNCTION("""COMPUTED_VALUE"""),"Task Execution")</f>
        <v>Task Execution</v>
      </c>
      <c r="B596" s="6" t="str">
        <f ca="1">IFERROR(__xludf.DUMMYFUNCTION("""COMPUTED_VALUE"""),"Task Execution")</f>
        <v>Task Execution</v>
      </c>
      <c r="H596" s="6">
        <f ca="1"/>
        <v>0</v>
      </c>
      <c r="I596" s="6">
        <f ca="1"/>
        <v>0</v>
      </c>
      <c r="J596" s="6">
        <f ca="1"/>
        <v>0</v>
      </c>
    </row>
    <row r="597" spans="1:10" ht="13" x14ac:dyDescent="0.15">
      <c r="A597" s="6" t="str">
        <f ca="1">IFERROR(__xludf.DUMMYFUNCTION("""COMPUTED_VALUE"""),"Build &amp; Operation")</f>
        <v>Build &amp; Operation</v>
      </c>
      <c r="B597" s="6" t="str">
        <f ca="1">IFERROR(__xludf.DUMMYFUNCTION("""COMPUTED_VALUE"""),"Build &amp; Operation")</f>
        <v>Build &amp; Operation</v>
      </c>
      <c r="H597" s="6">
        <f ca="1"/>
        <v>0</v>
      </c>
      <c r="I597" s="6">
        <f ca="1"/>
        <v>0</v>
      </c>
      <c r="J597" s="6">
        <f ca="1"/>
        <v>0</v>
      </c>
    </row>
    <row r="598" spans="1:10" ht="13" x14ac:dyDescent="0.15">
      <c r="A598" s="6" t="str">
        <f ca="1">IFERROR(__xludf.DUMMYFUNCTION("""COMPUTED_VALUE"""),"Build &amp; Operation")</f>
        <v>Build &amp; Operation</v>
      </c>
      <c r="B598" s="6" t="str">
        <f ca="1">IFERROR(__xludf.DUMMYFUNCTION("""COMPUTED_VALUE"""),"Maintainability")</f>
        <v>Maintainability</v>
      </c>
      <c r="H598" s="6">
        <f ca="1"/>
        <v>0</v>
      </c>
      <c r="I598" s="6">
        <f ca="1"/>
        <v>0</v>
      </c>
      <c r="J598" s="6">
        <f ca="1"/>
        <v>0</v>
      </c>
    </row>
    <row r="599" spans="1:10" ht="13" x14ac:dyDescent="0.15">
      <c r="A599" s="6" t="str">
        <f ca="1">IFERROR(__xludf.DUMMYFUNCTION("""COMPUTED_VALUE"""),"Coding Pattern")</f>
        <v>Coding Pattern</v>
      </c>
      <c r="B599" s="6" t="str">
        <f ca="1">IFERROR(__xludf.DUMMYFUNCTION("""COMPUTED_VALUE"""),"Coding Pattern")</f>
        <v>Coding Pattern</v>
      </c>
      <c r="H599" s="6">
        <f ca="1"/>
        <v>0</v>
      </c>
      <c r="I599" s="6">
        <f ca="1"/>
        <v>0</v>
      </c>
      <c r="J599" s="6">
        <f ca="1"/>
        <v>0</v>
      </c>
    </row>
    <row r="600" spans="1:10" ht="13" x14ac:dyDescent="0.15">
      <c r="A600" s="6" t="str">
        <f ca="1">IFERROR(__xludf.DUMMYFUNCTION("""COMPUTED_VALUE"""),"Coding Pattern")</f>
        <v>Coding Pattern</v>
      </c>
      <c r="B600" s="6" t="str">
        <f ca="1">IFERROR(__xludf.DUMMYFUNCTION("""COMPUTED_VALUE"""),"Coding Pattern")</f>
        <v>Coding Pattern</v>
      </c>
      <c r="H600" s="6">
        <f ca="1"/>
        <v>0</v>
      </c>
      <c r="I600" s="6">
        <f ca="1"/>
        <v>0</v>
      </c>
      <c r="J600" s="6">
        <f ca="1"/>
        <v>0</v>
      </c>
    </row>
    <row r="601" spans="1:10" ht="13" x14ac:dyDescent="0.15">
      <c r="A601" s="6" t="str">
        <f ca="1">IFERROR(__xludf.DUMMYFUNCTION("""COMPUTED_VALUE"""),"Coding Pattern")</f>
        <v>Coding Pattern</v>
      </c>
      <c r="B601" s="6" t="str">
        <f ca="1">IFERROR(__xludf.DUMMYFUNCTION("""COMPUTED_VALUE"""),"Coding Pattern")</f>
        <v>Coding Pattern</v>
      </c>
      <c r="H601" s="6">
        <f ca="1"/>
        <v>0</v>
      </c>
      <c r="I601" s="6">
        <f ca="1"/>
        <v>0</v>
      </c>
      <c r="J601" s="6">
        <f ca="1"/>
        <v>0</v>
      </c>
    </row>
    <row r="602" spans="1:10" ht="13" x14ac:dyDescent="0.15">
      <c r="A602" s="6" t="str">
        <f ca="1">IFERROR(__xludf.DUMMYFUNCTION("""COMPUTED_VALUE"""),"Task Execution")</f>
        <v>Task Execution</v>
      </c>
      <c r="B602" s="6" t="str">
        <f ca="1">IFERROR(__xludf.DUMMYFUNCTION("""COMPUTED_VALUE"""),"Task Execution")</f>
        <v>Task Execution</v>
      </c>
      <c r="H602" s="6">
        <f ca="1"/>
        <v>0</v>
      </c>
      <c r="I602" s="6">
        <f ca="1"/>
        <v>0</v>
      </c>
      <c r="J602" s="6">
        <f ca="1"/>
        <v>0</v>
      </c>
    </row>
    <row r="603" spans="1:10" ht="13" x14ac:dyDescent="0.15">
      <c r="A603" s="6" t="str">
        <f ca="1">IFERROR(__xludf.DUMMYFUNCTION("""COMPUTED_VALUE"""),"Performance")</f>
        <v>Performance</v>
      </c>
      <c r="B603" s="6" t="str">
        <f ca="1">IFERROR(__xludf.DUMMYFUNCTION("""COMPUTED_VALUE"""),"Performance")</f>
        <v>Performance</v>
      </c>
      <c r="H603" s="6">
        <f ca="1"/>
        <v>0</v>
      </c>
      <c r="I603" s="6">
        <f ca="1"/>
        <v>0</v>
      </c>
      <c r="J603" s="6">
        <f ca="1"/>
        <v>0</v>
      </c>
    </row>
    <row r="604" spans="1:10" ht="13" x14ac:dyDescent="0.15">
      <c r="A604" s="6" t="str">
        <f ca="1">IFERROR(__xludf.DUMMYFUNCTION("""COMPUTED_VALUE"""),"Build &amp; Operation")</f>
        <v>Build &amp; Operation</v>
      </c>
      <c r="B604" s="6" t="str">
        <f ca="1">IFERROR(__xludf.DUMMYFUNCTION("""COMPUTED_VALUE"""),"Build &amp; Operation")</f>
        <v>Build &amp; Operation</v>
      </c>
      <c r="H604" s="6">
        <f ca="1"/>
        <v>0</v>
      </c>
      <c r="I604" s="6">
        <f ca="1"/>
        <v>0</v>
      </c>
      <c r="J604" s="6">
        <f ca="1"/>
        <v>0</v>
      </c>
    </row>
    <row r="605" spans="1:10" ht="13" x14ac:dyDescent="0.15">
      <c r="A605" s="6" t="str">
        <f ca="1">IFERROR(__xludf.DUMMYFUNCTION("""COMPUTED_VALUE"""),"Coding Pattern")</f>
        <v>Coding Pattern</v>
      </c>
      <c r="B605" s="6" t="str">
        <f ca="1">IFERROR(__xludf.DUMMYFUNCTION("""COMPUTED_VALUE"""),"Coding Pattern")</f>
        <v>Coding Pattern</v>
      </c>
      <c r="H605" s="6">
        <f ca="1"/>
        <v>0</v>
      </c>
      <c r="I605" s="6">
        <f ca="1"/>
        <v>0</v>
      </c>
      <c r="J605" s="6">
        <f ca="1"/>
        <v>0</v>
      </c>
    </row>
    <row r="606" spans="1:10" ht="13" x14ac:dyDescent="0.15">
      <c r="A606" s="6" t="str">
        <f ca="1">IFERROR(__xludf.DUMMYFUNCTION("""COMPUTED_VALUE"""),"Coding Style")</f>
        <v>Coding Style</v>
      </c>
      <c r="B606" s="6" t="str">
        <f ca="1">IFERROR(__xludf.DUMMYFUNCTION("""COMPUTED_VALUE"""),"Coding Style")</f>
        <v>Coding Style</v>
      </c>
      <c r="H606" s="6">
        <f ca="1"/>
        <v>0</v>
      </c>
      <c r="I606" s="6">
        <f ca="1"/>
        <v>0</v>
      </c>
      <c r="J606" s="6">
        <f ca="1"/>
        <v>0</v>
      </c>
    </row>
    <row r="607" spans="1:10" ht="13" x14ac:dyDescent="0.15">
      <c r="A607" s="6" t="str">
        <f ca="1">IFERROR(__xludf.DUMMYFUNCTION("""COMPUTED_VALUE"""),"Coding Pattern")</f>
        <v>Coding Pattern</v>
      </c>
      <c r="B607" s="6" t="str">
        <f ca="1">IFERROR(__xludf.DUMMYFUNCTION("""COMPUTED_VALUE"""),"Coding Pattern")</f>
        <v>Coding Pattern</v>
      </c>
      <c r="H607" s="6">
        <f ca="1"/>
        <v>0</v>
      </c>
      <c r="I607" s="6">
        <f ca="1"/>
        <v>0</v>
      </c>
      <c r="J607" s="6">
        <f ca="1"/>
        <v>0</v>
      </c>
    </row>
    <row r="608" spans="1:10" ht="13" x14ac:dyDescent="0.15">
      <c r="A608" s="6" t="str">
        <f ca="1">IFERROR(__xludf.DUMMYFUNCTION("""COMPUTED_VALUE"""),"Build &amp; Operation")</f>
        <v>Build &amp; Operation</v>
      </c>
      <c r="B608" s="6" t="str">
        <f ca="1">IFERROR(__xludf.DUMMYFUNCTION("""COMPUTED_VALUE"""),"Build &amp; Operation")</f>
        <v>Build &amp; Operation</v>
      </c>
      <c r="H608" s="6">
        <f ca="1"/>
        <v>0</v>
      </c>
      <c r="I608" s="6">
        <f ca="1"/>
        <v>0</v>
      </c>
      <c r="J608" s="6">
        <f ca="1"/>
        <v>0</v>
      </c>
    </row>
    <row r="609" spans="1:10" ht="13" x14ac:dyDescent="0.15">
      <c r="A609" s="6" t="str">
        <f ca="1">IFERROR(__xludf.DUMMYFUNCTION("""COMPUTED_VALUE"""),"Commit&amp;PR rule")</f>
        <v>Commit&amp;PR rule</v>
      </c>
      <c r="B609" s="6" t="str">
        <f ca="1">IFERROR(__xludf.DUMMYFUNCTION("""COMPUTED_VALUE"""),"Commit&amp;PR rule")</f>
        <v>Commit&amp;PR rule</v>
      </c>
      <c r="H609" s="6">
        <f ca="1"/>
        <v>0</v>
      </c>
      <c r="I609" s="6">
        <f ca="1"/>
        <v>0</v>
      </c>
      <c r="J609" s="6">
        <f ca="1"/>
        <v>0</v>
      </c>
    </row>
    <row r="610" spans="1:10" ht="13" x14ac:dyDescent="0.15">
      <c r="A610" s="6" t="str">
        <f ca="1">IFERROR(__xludf.DUMMYFUNCTION("""COMPUTED_VALUE"""),"Coding Pattern")</f>
        <v>Coding Pattern</v>
      </c>
      <c r="B610" s="6" t="str">
        <f ca="1">IFERROR(__xludf.DUMMYFUNCTION("""COMPUTED_VALUE"""),"Coding Pattern")</f>
        <v>Coding Pattern</v>
      </c>
      <c r="H610" s="6">
        <f ca="1"/>
        <v>0</v>
      </c>
      <c r="I610" s="6">
        <f ca="1"/>
        <v>0</v>
      </c>
      <c r="J610" s="6">
        <f ca="1"/>
        <v>0</v>
      </c>
    </row>
    <row r="611" spans="1:10" ht="13" x14ac:dyDescent="0.15">
      <c r="A611" s="6" t="str">
        <f ca="1">IFERROR(__xludf.DUMMYFUNCTION("""COMPUTED_VALUE"""),"Commit&amp;PR rule")</f>
        <v>Commit&amp;PR rule</v>
      </c>
      <c r="B611" s="6" t="str">
        <f ca="1">IFERROR(__xludf.DUMMYFUNCTION("""COMPUTED_VALUE"""),"Commit&amp;PR rule")</f>
        <v>Commit&amp;PR rule</v>
      </c>
      <c r="H611" s="6">
        <f ca="1"/>
        <v>0</v>
      </c>
      <c r="I611" s="6">
        <f ca="1"/>
        <v>0</v>
      </c>
      <c r="J611" s="6">
        <f ca="1"/>
        <v>0</v>
      </c>
    </row>
    <row r="612" spans="1:10" ht="13" x14ac:dyDescent="0.15">
      <c r="A612" s="6" t="str">
        <f ca="1">IFERROR(__xludf.DUMMYFUNCTION("""COMPUTED_VALUE"""),"Commit&amp;PR rule")</f>
        <v>Commit&amp;PR rule</v>
      </c>
      <c r="B612" s="6" t="str">
        <f ca="1">IFERROR(__xludf.DUMMYFUNCTION("""COMPUTED_VALUE"""),"Commit&amp;PR rule")</f>
        <v>Commit&amp;PR rule</v>
      </c>
      <c r="H612" s="6">
        <f ca="1"/>
        <v>0</v>
      </c>
      <c r="I612" s="6">
        <f ca="1"/>
        <v>0</v>
      </c>
      <c r="J612" s="6">
        <f ca="1"/>
        <v>0</v>
      </c>
    </row>
    <row r="613" spans="1:10" ht="13" x14ac:dyDescent="0.15">
      <c r="A613" s="6" t="str">
        <f ca="1">IFERROR(__xludf.DUMMYFUNCTION("""COMPUTED_VALUE"""),"Testing")</f>
        <v>Testing</v>
      </c>
      <c r="B613" s="6" t="str">
        <f ca="1">IFERROR(__xludf.DUMMYFUNCTION("""COMPUTED_VALUE"""),"Testing")</f>
        <v>Testing</v>
      </c>
      <c r="H613" s="6">
        <f ca="1"/>
        <v>0</v>
      </c>
      <c r="I613" s="6">
        <f ca="1"/>
        <v>0</v>
      </c>
      <c r="J613" s="6">
        <f ca="1"/>
        <v>0</v>
      </c>
    </row>
    <row r="614" spans="1:10" ht="13" x14ac:dyDescent="0.15">
      <c r="A614" s="6" t="str">
        <f ca="1">IFERROR(__xludf.DUMMYFUNCTION("""COMPUTED_VALUE"""),"Coding Pattern")</f>
        <v>Coding Pattern</v>
      </c>
      <c r="B614" s="6" t="str">
        <f ca="1">IFERROR(__xludf.DUMMYFUNCTION("""COMPUTED_VALUE"""),"Coding Pattern")</f>
        <v>Coding Pattern</v>
      </c>
      <c r="H614" s="6">
        <f ca="1"/>
        <v>0</v>
      </c>
      <c r="I614" s="6">
        <f ca="1"/>
        <v>0</v>
      </c>
      <c r="J614" s="6">
        <f ca="1"/>
        <v>0</v>
      </c>
    </row>
    <row r="615" spans="1:10" ht="13" x14ac:dyDescent="0.15">
      <c r="A615" s="6" t="str">
        <f ca="1">IFERROR(__xludf.DUMMYFUNCTION("""COMPUTED_VALUE"""),"Coding Pattern")</f>
        <v>Coding Pattern</v>
      </c>
      <c r="B615" s="6" t="str">
        <f ca="1">IFERROR(__xludf.DUMMYFUNCTION("""COMPUTED_VALUE"""),"Coding Pattern")</f>
        <v>Coding Pattern</v>
      </c>
      <c r="H615" s="6">
        <f ca="1"/>
        <v>0</v>
      </c>
      <c r="I615" s="6">
        <f ca="1"/>
        <v>0</v>
      </c>
      <c r="J615" s="6">
        <f ca="1"/>
        <v>0</v>
      </c>
    </row>
    <row r="616" spans="1:10" ht="13" x14ac:dyDescent="0.15">
      <c r="A616" s="6" t="str">
        <f ca="1">IFERROR(__xludf.DUMMYFUNCTION("""COMPUTED_VALUE"""),"Coding Pattern")</f>
        <v>Coding Pattern</v>
      </c>
      <c r="B616" s="6" t="str">
        <f ca="1">IFERROR(__xludf.DUMMYFUNCTION("""COMPUTED_VALUE"""),"Coding Pattern")</f>
        <v>Coding Pattern</v>
      </c>
      <c r="H616" s="6">
        <f ca="1"/>
        <v>0</v>
      </c>
      <c r="I616" s="6">
        <f ca="1"/>
        <v>0</v>
      </c>
      <c r="J616" s="6">
        <f ca="1"/>
        <v>0</v>
      </c>
    </row>
    <row r="617" spans="1:10" ht="13" x14ac:dyDescent="0.15">
      <c r="A617" s="6" t="str">
        <f ca="1">IFERROR(__xludf.DUMMYFUNCTION("""COMPUTED_VALUE"""),"Coding Pattern")</f>
        <v>Coding Pattern</v>
      </c>
      <c r="B617" s="6" t="str">
        <f ca="1">IFERROR(__xludf.DUMMYFUNCTION("""COMPUTED_VALUE"""),"Coding Pattern")</f>
        <v>Coding Pattern</v>
      </c>
      <c r="H617" s="6">
        <f ca="1"/>
        <v>0</v>
      </c>
      <c r="I617" s="6">
        <f ca="1"/>
        <v>0</v>
      </c>
      <c r="J617" s="6">
        <f ca="1"/>
        <v>0</v>
      </c>
    </row>
    <row r="618" spans="1:10" ht="13" x14ac:dyDescent="0.15">
      <c r="A618" s="6" t="str">
        <f ca="1">IFERROR(__xludf.DUMMYFUNCTION("""COMPUTED_VALUE"""),"Build &amp; Operation")</f>
        <v>Build &amp; Operation</v>
      </c>
      <c r="B618" s="6" t="str">
        <f ca="1">IFERROR(__xludf.DUMMYFUNCTION("""COMPUTED_VALUE"""),"Build &amp; Operation")</f>
        <v>Build &amp; Operation</v>
      </c>
      <c r="H618" s="6">
        <f ca="1"/>
        <v>0</v>
      </c>
      <c r="I618" s="6">
        <f ca="1"/>
        <v>0</v>
      </c>
      <c r="J618" s="6">
        <f ca="1"/>
        <v>0</v>
      </c>
    </row>
    <row r="619" spans="1:10" ht="13" x14ac:dyDescent="0.15">
      <c r="A619" s="6" t="str">
        <f ca="1">IFERROR(__xludf.DUMMYFUNCTION("""COMPUTED_VALUE"""),"Coding Pattern")</f>
        <v>Coding Pattern</v>
      </c>
      <c r="B619" s="6" t="str">
        <f ca="1">IFERROR(__xludf.DUMMYFUNCTION("""COMPUTED_VALUE"""),"Coding Pattern")</f>
        <v>Coding Pattern</v>
      </c>
      <c r="H619" s="6">
        <f ca="1"/>
        <v>0</v>
      </c>
      <c r="I619" s="6">
        <f ca="1"/>
        <v>0</v>
      </c>
      <c r="J619" s="6">
        <f ca="1"/>
        <v>0</v>
      </c>
    </row>
    <row r="620" spans="1:10" ht="13" x14ac:dyDescent="0.15">
      <c r="A620" s="6" t="str">
        <f ca="1">IFERROR(__xludf.DUMMYFUNCTION("""COMPUTED_VALUE"""),"Task Execution")</f>
        <v>Task Execution</v>
      </c>
      <c r="B620" s="6" t="str">
        <f ca="1">IFERROR(__xludf.DUMMYFUNCTION("""COMPUTED_VALUE"""),"Task Execution")</f>
        <v>Task Execution</v>
      </c>
      <c r="H620" s="6">
        <f ca="1"/>
        <v>0</v>
      </c>
      <c r="I620" s="6">
        <f ca="1"/>
        <v>0</v>
      </c>
      <c r="J620" s="6">
        <f ca="1"/>
        <v>0</v>
      </c>
    </row>
    <row r="621" spans="1:10" ht="13" x14ac:dyDescent="0.15">
      <c r="A621" s="6" t="str">
        <f ca="1">IFERROR(__xludf.DUMMYFUNCTION("""COMPUTED_VALUE"""),"Coding Pattern")</f>
        <v>Coding Pattern</v>
      </c>
      <c r="B621" s="6" t="str">
        <f ca="1">IFERROR(__xludf.DUMMYFUNCTION("""COMPUTED_VALUE"""),"Other")</f>
        <v>Other</v>
      </c>
      <c r="H621" s="6">
        <f ca="1"/>
        <v>0</v>
      </c>
      <c r="I621" s="6">
        <f ca="1"/>
        <v>0</v>
      </c>
      <c r="J621" s="6">
        <f ca="1"/>
        <v>0</v>
      </c>
    </row>
    <row r="622" spans="1:10" ht="13" x14ac:dyDescent="0.15">
      <c r="A622" s="6" t="str">
        <f ca="1">IFERROR(__xludf.DUMMYFUNCTION("""COMPUTED_VALUE"""),"Coding Pattern")</f>
        <v>Coding Pattern</v>
      </c>
      <c r="B622" s="6" t="str">
        <f ca="1">IFERROR(__xludf.DUMMYFUNCTION("""COMPUTED_VALUE"""),"Other")</f>
        <v>Other</v>
      </c>
      <c r="H622" s="6">
        <f ca="1"/>
        <v>0</v>
      </c>
      <c r="I622" s="6">
        <f ca="1"/>
        <v>0</v>
      </c>
      <c r="J622" s="6">
        <f ca="1"/>
        <v>0</v>
      </c>
    </row>
    <row r="623" spans="1:10" ht="13" x14ac:dyDescent="0.15">
      <c r="A623" s="6" t="str">
        <f ca="1">IFERROR(__xludf.DUMMYFUNCTION("""COMPUTED_VALUE"""),"Coding Pattern")</f>
        <v>Coding Pattern</v>
      </c>
      <c r="B623" s="6" t="str">
        <f ca="1">IFERROR(__xludf.DUMMYFUNCTION("""COMPUTED_VALUE"""),"Coding Pattern")</f>
        <v>Coding Pattern</v>
      </c>
      <c r="H623" s="6">
        <f ca="1"/>
        <v>0</v>
      </c>
      <c r="I623" s="6">
        <f ca="1"/>
        <v>0</v>
      </c>
      <c r="J623" s="6">
        <f ca="1"/>
        <v>0</v>
      </c>
    </row>
    <row r="624" spans="1:10" ht="13" x14ac:dyDescent="0.15">
      <c r="A624" s="6" t="str">
        <f ca="1">IFERROR(__xludf.DUMMYFUNCTION("""COMPUTED_VALUE"""),"Coding Pattern")</f>
        <v>Coding Pattern</v>
      </c>
      <c r="B624" s="6" t="str">
        <f ca="1">IFERROR(__xludf.DUMMYFUNCTION("""COMPUTED_VALUE"""),"Coding Pattern")</f>
        <v>Coding Pattern</v>
      </c>
      <c r="H624" s="6">
        <f ca="1"/>
        <v>0</v>
      </c>
      <c r="I624" s="6">
        <f ca="1"/>
        <v>0</v>
      </c>
      <c r="J624" s="6">
        <f ca="1"/>
        <v>0</v>
      </c>
    </row>
    <row r="625" spans="1:10" ht="13" x14ac:dyDescent="0.15">
      <c r="A625" s="6" t="str">
        <f ca="1">IFERROR(__xludf.DUMMYFUNCTION("""COMPUTED_VALUE"""),"Coding Pattern")</f>
        <v>Coding Pattern</v>
      </c>
      <c r="B625" s="6" t="str">
        <f ca="1">IFERROR(__xludf.DUMMYFUNCTION("""COMPUTED_VALUE"""),"Coding Pattern")</f>
        <v>Coding Pattern</v>
      </c>
      <c r="H625" s="6">
        <f ca="1"/>
        <v>0</v>
      </c>
      <c r="I625" s="6">
        <f ca="1"/>
        <v>0</v>
      </c>
      <c r="J625" s="6">
        <f ca="1"/>
        <v>0</v>
      </c>
    </row>
    <row r="626" spans="1:10" ht="13" x14ac:dyDescent="0.15">
      <c r="A626" s="6" t="str">
        <f ca="1">IFERROR(__xludf.DUMMYFUNCTION("""COMPUTED_VALUE"""),"Testing")</f>
        <v>Testing</v>
      </c>
      <c r="B626" s="6" t="str">
        <f ca="1">IFERROR(__xludf.DUMMYFUNCTION("""COMPUTED_VALUE"""),"Testing")</f>
        <v>Testing</v>
      </c>
      <c r="H626" s="6">
        <f ca="1"/>
        <v>0</v>
      </c>
      <c r="I626" s="6">
        <f ca="1"/>
        <v>0</v>
      </c>
      <c r="J626" s="6">
        <f ca="1"/>
        <v>0</v>
      </c>
    </row>
    <row r="627" spans="1:10" ht="13" x14ac:dyDescent="0.15">
      <c r="A627" s="6" t="str">
        <f ca="1">IFERROR(__xludf.DUMMYFUNCTION("""COMPUTED_VALUE"""),"Coding Pattern")</f>
        <v>Coding Pattern</v>
      </c>
      <c r="B627" s="6" t="str">
        <f ca="1">IFERROR(__xludf.DUMMYFUNCTION("""COMPUTED_VALUE"""),"Coding Pattern")</f>
        <v>Coding Pattern</v>
      </c>
      <c r="H627" s="6">
        <f ca="1"/>
        <v>0</v>
      </c>
      <c r="I627" s="6">
        <f ca="1"/>
        <v>0</v>
      </c>
      <c r="J627" s="6">
        <f ca="1"/>
        <v>0</v>
      </c>
    </row>
    <row r="628" spans="1:10" ht="13" x14ac:dyDescent="0.15">
      <c r="A628" s="6" t="str">
        <f ca="1">IFERROR(__xludf.DUMMYFUNCTION("""COMPUTED_VALUE"""),"Writing Style Preference")</f>
        <v>Writing Style Preference</v>
      </c>
      <c r="B628" s="6" t="str">
        <f ca="1">IFERROR(__xludf.DUMMYFUNCTION("""COMPUTED_VALUE"""),"Writing Style Preference")</f>
        <v>Writing Style Preference</v>
      </c>
      <c r="H628" s="6">
        <f ca="1"/>
        <v>0</v>
      </c>
      <c r="I628" s="6">
        <f ca="1"/>
        <v>0</v>
      </c>
      <c r="J628" s="6">
        <f ca="1"/>
        <v>0</v>
      </c>
    </row>
    <row r="629" spans="1:10" ht="13" x14ac:dyDescent="0.15">
      <c r="A629" s="6" t="str">
        <f ca="1">IFERROR(__xludf.DUMMYFUNCTION("""COMPUTED_VALUE"""),"Writing Style Preference")</f>
        <v>Writing Style Preference</v>
      </c>
      <c r="B629" s="6" t="str">
        <f ca="1">IFERROR(__xludf.DUMMYFUNCTION("""COMPUTED_VALUE"""),"Writing Style Preference")</f>
        <v>Writing Style Preference</v>
      </c>
      <c r="H629" s="6">
        <f ca="1"/>
        <v>0</v>
      </c>
      <c r="I629" s="6">
        <f ca="1"/>
        <v>0</v>
      </c>
      <c r="J629" s="6">
        <f ca="1"/>
        <v>0</v>
      </c>
    </row>
    <row r="630" spans="1:10" ht="13" x14ac:dyDescent="0.15">
      <c r="A630" s="6" t="str">
        <f ca="1">IFERROR(__xludf.DUMMYFUNCTION("""COMPUTED_VALUE"""),"Writing Style Preference")</f>
        <v>Writing Style Preference</v>
      </c>
      <c r="B630" s="6" t="str">
        <f ca="1">IFERROR(__xludf.DUMMYFUNCTION("""COMPUTED_VALUE"""),"Writing Style Preference")</f>
        <v>Writing Style Preference</v>
      </c>
      <c r="H630" s="6">
        <f ca="1"/>
        <v>0</v>
      </c>
      <c r="I630" s="6">
        <f ca="1"/>
        <v>0</v>
      </c>
      <c r="J630" s="6">
        <f ca="1"/>
        <v>0</v>
      </c>
    </row>
    <row r="631" spans="1:10" ht="13" x14ac:dyDescent="0.15">
      <c r="A631" s="6" t="str">
        <f ca="1">IFERROR(__xludf.DUMMYFUNCTION("""COMPUTED_VALUE"""),"Coding Pattern")</f>
        <v>Coding Pattern</v>
      </c>
      <c r="B631" s="6" t="str">
        <f ca="1">IFERROR(__xludf.DUMMYFUNCTION("""COMPUTED_VALUE"""),"Coding Pattern")</f>
        <v>Coding Pattern</v>
      </c>
      <c r="H631" s="6">
        <f ca="1"/>
        <v>0</v>
      </c>
      <c r="I631" s="6">
        <f ca="1"/>
        <v>0</v>
      </c>
      <c r="J631" s="6">
        <f ca="1"/>
        <v>0</v>
      </c>
    </row>
    <row r="632" spans="1:10" ht="13" x14ac:dyDescent="0.15">
      <c r="A632" s="6" t="str">
        <f ca="1">IFERROR(__xludf.DUMMYFUNCTION("""COMPUTED_VALUE"""),"Testing")</f>
        <v>Testing</v>
      </c>
      <c r="B632" s="6" t="str">
        <f ca="1">IFERROR(__xludf.DUMMYFUNCTION("""COMPUTED_VALUE"""),"Testing")</f>
        <v>Testing</v>
      </c>
      <c r="H632" s="6">
        <f ca="1"/>
        <v>0</v>
      </c>
      <c r="I632" s="6">
        <f ca="1"/>
        <v>0</v>
      </c>
      <c r="J632" s="6">
        <f ca="1"/>
        <v>0</v>
      </c>
    </row>
    <row r="633" spans="1:10" ht="13" x14ac:dyDescent="0.15">
      <c r="A633" s="6" t="str">
        <f ca="1">IFERROR(__xludf.DUMMYFUNCTION("""COMPUTED_VALUE"""),"Coding Pattern")</f>
        <v>Coding Pattern</v>
      </c>
      <c r="B633" s="6" t="str">
        <f ca="1">IFERROR(__xludf.DUMMYFUNCTION("""COMPUTED_VALUE"""),"Coding Pattern")</f>
        <v>Coding Pattern</v>
      </c>
      <c r="H633" s="6">
        <f ca="1"/>
        <v>0</v>
      </c>
      <c r="I633" s="6">
        <f ca="1"/>
        <v>0</v>
      </c>
      <c r="J633" s="6">
        <f ca="1"/>
        <v>0</v>
      </c>
    </row>
    <row r="634" spans="1:10" ht="13" x14ac:dyDescent="0.15">
      <c r="A634" s="6" t="str">
        <f ca="1">IFERROR(__xludf.DUMMYFUNCTION("""COMPUTED_VALUE"""),"Build &amp; Operation")</f>
        <v>Build &amp; Operation</v>
      </c>
      <c r="B634" s="6" t="str">
        <f ca="1">IFERROR(__xludf.DUMMYFUNCTION("""COMPUTED_VALUE"""),"Build &amp; Operation")</f>
        <v>Build &amp; Operation</v>
      </c>
      <c r="H634" s="6">
        <f ca="1"/>
        <v>0</v>
      </c>
      <c r="I634" s="6">
        <f ca="1"/>
        <v>0</v>
      </c>
      <c r="J634" s="6">
        <f ca="1"/>
        <v>0</v>
      </c>
    </row>
    <row r="635" spans="1:10" ht="13" x14ac:dyDescent="0.15">
      <c r="A635" s="6" t="str">
        <f ca="1">IFERROR(__xludf.DUMMYFUNCTION("""COMPUTED_VALUE"""),"Build &amp; Operation")</f>
        <v>Build &amp; Operation</v>
      </c>
      <c r="B635" s="6" t="str">
        <f ca="1">IFERROR(__xludf.DUMMYFUNCTION("""COMPUTED_VALUE"""),"Build &amp; Operation")</f>
        <v>Build &amp; Operation</v>
      </c>
      <c r="H635" s="6">
        <f ca="1"/>
        <v>0</v>
      </c>
      <c r="I635" s="6">
        <f ca="1"/>
        <v>0</v>
      </c>
      <c r="J635" s="6">
        <f ca="1"/>
        <v>0</v>
      </c>
    </row>
    <row r="636" spans="1:10" ht="13" x14ac:dyDescent="0.15">
      <c r="A636" s="6" t="str">
        <f ca="1">IFERROR(__xludf.DUMMYFUNCTION("""COMPUTED_VALUE"""),"Testing")</f>
        <v>Testing</v>
      </c>
      <c r="B636" s="6" t="str">
        <f ca="1">IFERROR(__xludf.DUMMYFUNCTION("""COMPUTED_VALUE"""),"Testing")</f>
        <v>Testing</v>
      </c>
      <c r="H636" s="6">
        <f ca="1"/>
        <v>0</v>
      </c>
      <c r="I636" s="6">
        <f ca="1"/>
        <v>0</v>
      </c>
      <c r="J636" s="6">
        <f ca="1"/>
        <v>0</v>
      </c>
    </row>
    <row r="637" spans="1:10" ht="13" x14ac:dyDescent="0.15">
      <c r="A637" s="6" t="str">
        <f ca="1">IFERROR(__xludf.DUMMYFUNCTION("""COMPUTED_VALUE"""),"Coding Pattern")</f>
        <v>Coding Pattern</v>
      </c>
      <c r="B637" s="6" t="str">
        <f ca="1">IFERROR(__xludf.DUMMYFUNCTION("""COMPUTED_VALUE"""),"Coding Pattern")</f>
        <v>Coding Pattern</v>
      </c>
      <c r="H637" s="6">
        <f ca="1"/>
        <v>0</v>
      </c>
      <c r="I637" s="6">
        <f ca="1"/>
        <v>0</v>
      </c>
      <c r="J637" s="6">
        <f ca="1"/>
        <v>0</v>
      </c>
    </row>
    <row r="638" spans="1:10" ht="13" x14ac:dyDescent="0.15">
      <c r="A638" s="6" t="str">
        <f ca="1">IFERROR(__xludf.DUMMYFUNCTION("""COMPUTED_VALUE"""),"Coding Pattern")</f>
        <v>Coding Pattern</v>
      </c>
      <c r="B638" s="6" t="str">
        <f ca="1">IFERROR(__xludf.DUMMYFUNCTION("""COMPUTED_VALUE"""),"Coding Pattern")</f>
        <v>Coding Pattern</v>
      </c>
      <c r="H638" s="6">
        <f ca="1"/>
        <v>0</v>
      </c>
      <c r="I638" s="6">
        <f ca="1"/>
        <v>0</v>
      </c>
      <c r="J638" s="6">
        <f ca="1"/>
        <v>0</v>
      </c>
    </row>
    <row r="639" spans="1:10" ht="13" x14ac:dyDescent="0.15">
      <c r="A639" s="6" t="str">
        <f ca="1">IFERROR(__xludf.DUMMYFUNCTION("""COMPUTED_VALUE"""),"Coding Pattern")</f>
        <v>Coding Pattern</v>
      </c>
      <c r="B639" s="6" t="str">
        <f ca="1">IFERROR(__xludf.DUMMYFUNCTION("""COMPUTED_VALUE"""),"Coding Pattern")</f>
        <v>Coding Pattern</v>
      </c>
      <c r="H639" s="6">
        <f ca="1"/>
        <v>0</v>
      </c>
      <c r="I639" s="6">
        <f ca="1"/>
        <v>0</v>
      </c>
      <c r="J639" s="6">
        <f ca="1"/>
        <v>0</v>
      </c>
    </row>
    <row r="640" spans="1:10" ht="13" x14ac:dyDescent="0.15">
      <c r="A640" s="6" t="str">
        <f ca="1">IFERROR(__xludf.DUMMYFUNCTION("""COMPUTED_VALUE"""),"Coding Style")</f>
        <v>Coding Style</v>
      </c>
      <c r="B640" s="6" t="str">
        <f ca="1">IFERROR(__xludf.DUMMYFUNCTION("""COMPUTED_VALUE"""),"Coding Style")</f>
        <v>Coding Style</v>
      </c>
      <c r="H640" s="6">
        <f ca="1"/>
        <v>0</v>
      </c>
      <c r="I640" s="6">
        <f ca="1"/>
        <v>0</v>
      </c>
      <c r="J640" s="6">
        <f ca="1"/>
        <v>0</v>
      </c>
    </row>
    <row r="641" spans="1:10" ht="13" x14ac:dyDescent="0.15">
      <c r="A641" s="6" t="str">
        <f ca="1">IFERROR(__xludf.DUMMYFUNCTION("""COMPUTED_VALUE"""),"Build &amp; Operation")</f>
        <v>Build &amp; Operation</v>
      </c>
      <c r="B641" s="6" t="str">
        <f ca="1">IFERROR(__xludf.DUMMYFUNCTION("""COMPUTED_VALUE"""),"Build &amp; Operation")</f>
        <v>Build &amp; Operation</v>
      </c>
      <c r="H641" s="6">
        <f ca="1"/>
        <v>0</v>
      </c>
      <c r="I641" s="6">
        <f ca="1"/>
        <v>0</v>
      </c>
      <c r="J641" s="6">
        <f ca="1"/>
        <v>0</v>
      </c>
    </row>
    <row r="642" spans="1:10" ht="13" x14ac:dyDescent="0.15">
      <c r="A642" s="6" t="str">
        <f ca="1">IFERROR(__xludf.DUMMYFUNCTION("""COMPUTED_VALUE"""),"Coding Pattern")</f>
        <v>Coding Pattern</v>
      </c>
      <c r="B642" s="6" t="str">
        <f ca="1">IFERROR(__xludf.DUMMYFUNCTION("""COMPUTED_VALUE"""),"Coding Pattern")</f>
        <v>Coding Pattern</v>
      </c>
      <c r="H642" s="6">
        <f ca="1"/>
        <v>0</v>
      </c>
      <c r="I642" s="6">
        <f ca="1"/>
        <v>0</v>
      </c>
      <c r="J642" s="6">
        <f ca="1"/>
        <v>0</v>
      </c>
    </row>
    <row r="643" spans="1:10" ht="13" x14ac:dyDescent="0.15">
      <c r="A643" s="6" t="str">
        <f ca="1">IFERROR(__xludf.DUMMYFUNCTION("""COMPUTED_VALUE"""),"Coding Pattern")</f>
        <v>Coding Pattern</v>
      </c>
      <c r="B643" s="6" t="str">
        <f ca="1">IFERROR(__xludf.DUMMYFUNCTION("""COMPUTED_VALUE"""),"Coding Pattern")</f>
        <v>Coding Pattern</v>
      </c>
      <c r="H643" s="6">
        <f ca="1"/>
        <v>0</v>
      </c>
      <c r="I643" s="6">
        <f ca="1"/>
        <v>0</v>
      </c>
      <c r="J643" s="6">
        <f ca="1"/>
        <v>0</v>
      </c>
    </row>
    <row r="644" spans="1:10" ht="13" x14ac:dyDescent="0.15">
      <c r="A644" s="6" t="str">
        <f ca="1">IFERROR(__xludf.DUMMYFUNCTION("""COMPUTED_VALUE"""),"Coding Pattern")</f>
        <v>Coding Pattern</v>
      </c>
      <c r="B644" s="6" t="str">
        <f ca="1">IFERROR(__xludf.DUMMYFUNCTION("""COMPUTED_VALUE"""),"Coding Pattern")</f>
        <v>Coding Pattern</v>
      </c>
      <c r="H644" s="6">
        <f ca="1"/>
        <v>0</v>
      </c>
      <c r="I644" s="6">
        <f ca="1"/>
        <v>0</v>
      </c>
      <c r="J644" s="6">
        <f ca="1"/>
        <v>0</v>
      </c>
    </row>
    <row r="645" spans="1:10" ht="13" x14ac:dyDescent="0.15">
      <c r="A645" s="6" t="str">
        <f ca="1">IFERROR(__xludf.DUMMYFUNCTION("""COMPUTED_VALUE"""),"Coding Pattern")</f>
        <v>Coding Pattern</v>
      </c>
      <c r="B645" s="6" t="str">
        <f ca="1">IFERROR(__xludf.DUMMYFUNCTION("""COMPUTED_VALUE"""),"Coding Pattern")</f>
        <v>Coding Pattern</v>
      </c>
      <c r="H645" s="6">
        <f ca="1"/>
        <v>0</v>
      </c>
      <c r="I645" s="6">
        <f ca="1"/>
        <v>0</v>
      </c>
      <c r="J645" s="6">
        <f ca="1"/>
        <v>0</v>
      </c>
    </row>
    <row r="646" spans="1:10" ht="13" x14ac:dyDescent="0.15">
      <c r="A646" s="6" t="str">
        <f ca="1">IFERROR(__xludf.DUMMYFUNCTION("""COMPUTED_VALUE"""),"Testing")</f>
        <v>Testing</v>
      </c>
      <c r="B646" s="6" t="str">
        <f ca="1">IFERROR(__xludf.DUMMYFUNCTION("""COMPUTED_VALUE"""),"Testing")</f>
        <v>Testing</v>
      </c>
      <c r="H646" s="6">
        <f ca="1"/>
        <v>0</v>
      </c>
      <c r="I646" s="6">
        <f ca="1"/>
        <v>0</v>
      </c>
      <c r="J646" s="6">
        <f ca="1"/>
        <v>0</v>
      </c>
    </row>
    <row r="647" spans="1:10" ht="13" x14ac:dyDescent="0.15">
      <c r="A647" s="6" t="str">
        <f ca="1">IFERROR(__xludf.DUMMYFUNCTION("""COMPUTED_VALUE"""),"Coding Pattern")</f>
        <v>Coding Pattern</v>
      </c>
      <c r="B647" s="6" t="str">
        <f ca="1">IFERROR(__xludf.DUMMYFUNCTION("""COMPUTED_VALUE"""),"Testing")</f>
        <v>Testing</v>
      </c>
      <c r="H647" s="6">
        <f ca="1"/>
        <v>0</v>
      </c>
      <c r="I647" s="6">
        <f ca="1"/>
        <v>0</v>
      </c>
      <c r="J647" s="6">
        <f ca="1"/>
        <v>0</v>
      </c>
    </row>
    <row r="648" spans="1:10" ht="13" x14ac:dyDescent="0.15">
      <c r="A648" s="6" t="str">
        <f ca="1">IFERROR(__xludf.DUMMYFUNCTION("""COMPUTED_VALUE"""),"Testing")</f>
        <v>Testing</v>
      </c>
      <c r="B648" s="6" t="str">
        <f ca="1">IFERROR(__xludf.DUMMYFUNCTION("""COMPUTED_VALUE"""),"Testing")</f>
        <v>Testing</v>
      </c>
      <c r="H648" s="6">
        <f ca="1"/>
        <v>0</v>
      </c>
      <c r="I648" s="6">
        <f ca="1"/>
        <v>0</v>
      </c>
      <c r="J648" s="6">
        <f ca="1"/>
        <v>0</v>
      </c>
    </row>
    <row r="649" spans="1:10" ht="13" x14ac:dyDescent="0.15">
      <c r="A649" s="6" t="str">
        <f ca="1">IFERROR(__xludf.DUMMYFUNCTION("""COMPUTED_VALUE"""),"Coding Pattern")</f>
        <v>Coding Pattern</v>
      </c>
      <c r="B649" s="6" t="str">
        <f ca="1">IFERROR(__xludf.DUMMYFUNCTION("""COMPUTED_VALUE"""),"Coding Pattern")</f>
        <v>Coding Pattern</v>
      </c>
      <c r="H649" s="6">
        <f ca="1"/>
        <v>0</v>
      </c>
      <c r="I649" s="6">
        <f ca="1"/>
        <v>0</v>
      </c>
      <c r="J649" s="6">
        <f ca="1"/>
        <v>0</v>
      </c>
    </row>
    <row r="650" spans="1:10" ht="13" x14ac:dyDescent="0.15">
      <c r="A650" s="6" t="str">
        <f ca="1">IFERROR(__xludf.DUMMYFUNCTION("""COMPUTED_VALUE"""),"Coding Pattern")</f>
        <v>Coding Pattern</v>
      </c>
      <c r="B650" s="6" t="str">
        <f ca="1">IFERROR(__xludf.DUMMYFUNCTION("""COMPUTED_VALUE"""),"Coding Pattern")</f>
        <v>Coding Pattern</v>
      </c>
      <c r="H650" s="6">
        <f ca="1"/>
        <v>0</v>
      </c>
      <c r="I650" s="6">
        <f ca="1"/>
        <v>0</v>
      </c>
      <c r="J650" s="6">
        <f ca="1"/>
        <v>0</v>
      </c>
    </row>
    <row r="651" spans="1:10" ht="13" x14ac:dyDescent="0.15">
      <c r="A651" s="6" t="str">
        <f ca="1">IFERROR(__xludf.DUMMYFUNCTION("""COMPUTED_VALUE"""),"Testing")</f>
        <v>Testing</v>
      </c>
      <c r="B651" s="6" t="str">
        <f ca="1">IFERROR(__xludf.DUMMYFUNCTION("""COMPUTED_VALUE"""),"Testing")</f>
        <v>Testing</v>
      </c>
      <c r="H651" s="6">
        <f ca="1"/>
        <v>0</v>
      </c>
      <c r="I651" s="6">
        <f ca="1"/>
        <v>0</v>
      </c>
      <c r="J651" s="6">
        <f ca="1"/>
        <v>0</v>
      </c>
    </row>
    <row r="652" spans="1:10" ht="13" x14ac:dyDescent="0.15">
      <c r="A652" s="6" t="str">
        <f ca="1">IFERROR(__xludf.DUMMYFUNCTION("""COMPUTED_VALUE"""),"Commit&amp;PR rule")</f>
        <v>Commit&amp;PR rule</v>
      </c>
      <c r="B652" s="6" t="str">
        <f ca="1">IFERROR(__xludf.DUMMYFUNCTION("""COMPUTED_VALUE"""),"Commit&amp;PR rule")</f>
        <v>Commit&amp;PR rule</v>
      </c>
      <c r="H652" s="6">
        <f ca="1"/>
        <v>0</v>
      </c>
      <c r="I652" s="6">
        <f ca="1"/>
        <v>0</v>
      </c>
      <c r="J652" s="6">
        <f ca="1"/>
        <v>0</v>
      </c>
    </row>
    <row r="653" spans="1:10" ht="13" x14ac:dyDescent="0.15">
      <c r="A653" s="6" t="str">
        <f ca="1">IFERROR(__xludf.DUMMYFUNCTION("""COMPUTED_VALUE"""),"Coding Style")</f>
        <v>Coding Style</v>
      </c>
      <c r="B653" s="6" t="str">
        <f ca="1">IFERROR(__xludf.DUMMYFUNCTION("""COMPUTED_VALUE"""),"Coding Style")</f>
        <v>Coding Style</v>
      </c>
      <c r="H653" s="6">
        <f ca="1"/>
        <v>0</v>
      </c>
      <c r="I653" s="6">
        <f ca="1"/>
        <v>0</v>
      </c>
      <c r="J653" s="6">
        <f ca="1"/>
        <v>0</v>
      </c>
    </row>
    <row r="654" spans="1:10" ht="13" x14ac:dyDescent="0.15">
      <c r="A654" s="6" t="str">
        <f ca="1">IFERROR(__xludf.DUMMYFUNCTION("""COMPUTED_VALUE"""),"Coding Pattern")</f>
        <v>Coding Pattern</v>
      </c>
      <c r="B654" s="6" t="str">
        <f ca="1">IFERROR(__xludf.DUMMYFUNCTION("""COMPUTED_VALUE"""),"Coding Pattern")</f>
        <v>Coding Pattern</v>
      </c>
      <c r="H654" s="6">
        <f ca="1"/>
        <v>0</v>
      </c>
      <c r="I654" s="6">
        <f ca="1"/>
        <v>0</v>
      </c>
      <c r="J654" s="6">
        <f ca="1"/>
        <v>0</v>
      </c>
    </row>
    <row r="655" spans="1:10" ht="13" x14ac:dyDescent="0.15">
      <c r="A655" s="6" t="str">
        <f ca="1">IFERROR(__xludf.DUMMYFUNCTION("""COMPUTED_VALUE"""),"Coding Pattern")</f>
        <v>Coding Pattern</v>
      </c>
      <c r="B655" s="6" t="str">
        <f ca="1">IFERROR(__xludf.DUMMYFUNCTION("""COMPUTED_VALUE"""),"Coding Pattern")</f>
        <v>Coding Pattern</v>
      </c>
      <c r="H655" s="6">
        <f ca="1"/>
        <v>0</v>
      </c>
      <c r="I655" s="6">
        <f ca="1"/>
        <v>0</v>
      </c>
      <c r="J655" s="6">
        <f ca="1"/>
        <v>0</v>
      </c>
    </row>
    <row r="656" spans="1:10" ht="13" x14ac:dyDescent="0.15">
      <c r="A656" s="6" t="str">
        <f ca="1">IFERROR(__xludf.DUMMYFUNCTION("""COMPUTED_VALUE"""),"Coding Pattern")</f>
        <v>Coding Pattern</v>
      </c>
      <c r="B656" s="6" t="str">
        <f ca="1">IFERROR(__xludf.DUMMYFUNCTION("""COMPUTED_VALUE"""),"Coding Pattern")</f>
        <v>Coding Pattern</v>
      </c>
      <c r="H656" s="6">
        <f ca="1"/>
        <v>0</v>
      </c>
      <c r="I656" s="6">
        <f ca="1"/>
        <v>0</v>
      </c>
      <c r="J656" s="6">
        <f ca="1"/>
        <v>0</v>
      </c>
    </row>
    <row r="657" spans="1:10" ht="13" x14ac:dyDescent="0.15">
      <c r="A657" s="6" t="str">
        <f ca="1">IFERROR(__xludf.DUMMYFUNCTION("""COMPUTED_VALUE"""),"Coding Pattern")</f>
        <v>Coding Pattern</v>
      </c>
      <c r="B657" s="6" t="str">
        <f ca="1">IFERROR(__xludf.DUMMYFUNCTION("""COMPUTED_VALUE"""),"Coding Pattern")</f>
        <v>Coding Pattern</v>
      </c>
      <c r="H657" s="6">
        <f ca="1"/>
        <v>0</v>
      </c>
      <c r="I657" s="6">
        <f ca="1"/>
        <v>0</v>
      </c>
      <c r="J657" s="6">
        <f ca="1"/>
        <v>0</v>
      </c>
    </row>
    <row r="658" spans="1:10" ht="13" x14ac:dyDescent="0.15">
      <c r="A658" s="6" t="str">
        <f ca="1">IFERROR(__xludf.DUMMYFUNCTION("""COMPUTED_VALUE"""),"Task Execution")</f>
        <v>Task Execution</v>
      </c>
      <c r="B658" s="6" t="str">
        <f ca="1">IFERROR(__xludf.DUMMYFUNCTION("""COMPUTED_VALUE"""),"Task Execution")</f>
        <v>Task Execution</v>
      </c>
      <c r="H658" s="6">
        <f ca="1"/>
        <v>0</v>
      </c>
      <c r="I658" s="6">
        <f ca="1"/>
        <v>0</v>
      </c>
      <c r="J658" s="6">
        <f ca="1"/>
        <v>0</v>
      </c>
    </row>
    <row r="659" spans="1:10" ht="13" x14ac:dyDescent="0.15">
      <c r="A659" s="6" t="str">
        <f ca="1">IFERROR(__xludf.DUMMYFUNCTION("""COMPUTED_VALUE"""),"Build &amp; Operation")</f>
        <v>Build &amp; Operation</v>
      </c>
      <c r="B659" s="6" t="str">
        <f ca="1">IFERROR(__xludf.DUMMYFUNCTION("""COMPUTED_VALUE"""),"Build &amp; Operation")</f>
        <v>Build &amp; Operation</v>
      </c>
      <c r="H659" s="6">
        <f ca="1"/>
        <v>0</v>
      </c>
      <c r="I659" s="6">
        <f ca="1"/>
        <v>0</v>
      </c>
      <c r="J659" s="6">
        <f ca="1"/>
        <v>0</v>
      </c>
    </row>
    <row r="660" spans="1:10" ht="13" x14ac:dyDescent="0.15">
      <c r="A660" s="6" t="str">
        <f ca="1">IFERROR(__xludf.DUMMYFUNCTION("""COMPUTED_VALUE"""),"Build &amp; Operation")</f>
        <v>Build &amp; Operation</v>
      </c>
      <c r="B660" s="6" t="str">
        <f ca="1">IFERROR(__xludf.DUMMYFUNCTION("""COMPUTED_VALUE"""),"Build &amp; Operation")</f>
        <v>Build &amp; Operation</v>
      </c>
      <c r="H660" s="6">
        <f ca="1"/>
        <v>0</v>
      </c>
      <c r="I660" s="6">
        <f ca="1"/>
        <v>0</v>
      </c>
      <c r="J660" s="6">
        <f ca="1"/>
        <v>0</v>
      </c>
    </row>
    <row r="661" spans="1:10" ht="13" x14ac:dyDescent="0.15">
      <c r="A661" s="6" t="str">
        <f ca="1">IFERROR(__xludf.DUMMYFUNCTION("""COMPUTED_VALUE"""),"Coding Style")</f>
        <v>Coding Style</v>
      </c>
      <c r="B661" s="6" t="str">
        <f ca="1">IFERROR(__xludf.DUMMYFUNCTION("""COMPUTED_VALUE"""),"Coding Style")</f>
        <v>Coding Style</v>
      </c>
      <c r="H661" s="6">
        <f ca="1"/>
        <v>0</v>
      </c>
      <c r="I661" s="6">
        <f ca="1"/>
        <v>0</v>
      </c>
      <c r="J661" s="6">
        <f ca="1"/>
        <v>0</v>
      </c>
    </row>
    <row r="662" spans="1:10" ht="13" x14ac:dyDescent="0.15">
      <c r="A662" s="6" t="str">
        <f ca="1">IFERROR(__xludf.DUMMYFUNCTION("""COMPUTED_VALUE"""),"Task Execution")</f>
        <v>Task Execution</v>
      </c>
      <c r="B662" s="6" t="str">
        <f ca="1">IFERROR(__xludf.DUMMYFUNCTION("""COMPUTED_VALUE"""),"Task Execution")</f>
        <v>Task Execution</v>
      </c>
      <c r="H662" s="6">
        <f ca="1"/>
        <v>0</v>
      </c>
      <c r="I662" s="6">
        <f ca="1"/>
        <v>0</v>
      </c>
      <c r="J662" s="6">
        <f ca="1"/>
        <v>0</v>
      </c>
    </row>
    <row r="663" spans="1:10" ht="13" x14ac:dyDescent="0.15">
      <c r="A663" s="6" t="str">
        <f ca="1">IFERROR(__xludf.DUMMYFUNCTION("""COMPUTED_VALUE"""),"Task Execution")</f>
        <v>Task Execution</v>
      </c>
      <c r="B663" s="6" t="str">
        <f ca="1">IFERROR(__xludf.DUMMYFUNCTION("""COMPUTED_VALUE"""),"Task Execution")</f>
        <v>Task Execution</v>
      </c>
      <c r="H663" s="6">
        <f ca="1"/>
        <v>0</v>
      </c>
      <c r="I663" s="6">
        <f ca="1"/>
        <v>0</v>
      </c>
      <c r="J663" s="6">
        <f ca="1"/>
        <v>0</v>
      </c>
    </row>
    <row r="664" spans="1:10" ht="13" x14ac:dyDescent="0.15">
      <c r="A664" s="6" t="str">
        <f ca="1">IFERROR(__xludf.DUMMYFUNCTION("""COMPUTED_VALUE"""),"Task Execution")</f>
        <v>Task Execution</v>
      </c>
      <c r="B664" s="6" t="str">
        <f ca="1">IFERROR(__xludf.DUMMYFUNCTION("""COMPUTED_VALUE"""),"Documentation")</f>
        <v>Documentation</v>
      </c>
      <c r="H664" s="6">
        <f ca="1"/>
        <v>0</v>
      </c>
      <c r="I664" s="6">
        <f ca="1"/>
        <v>0</v>
      </c>
      <c r="J664" s="6">
        <f ca="1"/>
        <v>0</v>
      </c>
    </row>
    <row r="665" spans="1:10" ht="13" x14ac:dyDescent="0.15">
      <c r="A665" s="6" t="str">
        <f ca="1">IFERROR(__xludf.DUMMYFUNCTION("""COMPUTED_VALUE"""),"Coding Pattern")</f>
        <v>Coding Pattern</v>
      </c>
      <c r="B665" s="6" t="str">
        <f ca="1">IFERROR(__xludf.DUMMYFUNCTION("""COMPUTED_VALUE"""),"Coding Pattern")</f>
        <v>Coding Pattern</v>
      </c>
      <c r="H665" s="6">
        <f ca="1"/>
        <v>0</v>
      </c>
      <c r="I665" s="6">
        <f ca="1"/>
        <v>0</v>
      </c>
      <c r="J665" s="6">
        <f ca="1"/>
        <v>0</v>
      </c>
    </row>
    <row r="666" spans="1:10" ht="13" x14ac:dyDescent="0.15">
      <c r="A666" s="6" t="str">
        <f ca="1">IFERROR(__xludf.DUMMYFUNCTION("""COMPUTED_VALUE"""),"Coding Pattern")</f>
        <v>Coding Pattern</v>
      </c>
      <c r="B666" s="6" t="str">
        <f ca="1">IFERROR(__xludf.DUMMYFUNCTION("""COMPUTED_VALUE"""),"Coding Pattern")</f>
        <v>Coding Pattern</v>
      </c>
      <c r="H666" s="6">
        <f ca="1"/>
        <v>0</v>
      </c>
      <c r="I666" s="6">
        <f ca="1"/>
        <v>0</v>
      </c>
      <c r="J666" s="6">
        <f ca="1"/>
        <v>0</v>
      </c>
    </row>
    <row r="667" spans="1:10" ht="13" x14ac:dyDescent="0.15">
      <c r="A667" s="6" t="str">
        <f ca="1">IFERROR(__xludf.DUMMYFUNCTION("""COMPUTED_VALUE"""),"Coding Pattern")</f>
        <v>Coding Pattern</v>
      </c>
      <c r="B667" s="6" t="str">
        <f ca="1">IFERROR(__xludf.DUMMYFUNCTION("""COMPUTED_VALUE"""),"Coding Pattern")</f>
        <v>Coding Pattern</v>
      </c>
      <c r="H667" s="6">
        <f ca="1"/>
        <v>0</v>
      </c>
      <c r="I667" s="6">
        <f ca="1"/>
        <v>0</v>
      </c>
      <c r="J667" s="6">
        <f ca="1"/>
        <v>0</v>
      </c>
    </row>
    <row r="668" spans="1:10" ht="13" x14ac:dyDescent="0.15">
      <c r="A668" s="6" t="str">
        <f ca="1">IFERROR(__xludf.DUMMYFUNCTION("""COMPUTED_VALUE"""),"Coding Pattern")</f>
        <v>Coding Pattern</v>
      </c>
      <c r="B668" s="6" t="str">
        <f ca="1">IFERROR(__xludf.DUMMYFUNCTION("""COMPUTED_VALUE"""),"Coding Pattern")</f>
        <v>Coding Pattern</v>
      </c>
      <c r="H668" s="6">
        <f ca="1"/>
        <v>0</v>
      </c>
      <c r="I668" s="6">
        <f ca="1"/>
        <v>0</v>
      </c>
      <c r="J668" s="6">
        <f ca="1"/>
        <v>0</v>
      </c>
    </row>
    <row r="669" spans="1:10" ht="13" x14ac:dyDescent="0.15">
      <c r="A669" s="6" t="str">
        <f ca="1">IFERROR(__xludf.DUMMYFUNCTION("""COMPUTED_VALUE"""),"Task Execution")</f>
        <v>Task Execution</v>
      </c>
      <c r="B669" s="6" t="str">
        <f ca="1">IFERROR(__xludf.DUMMYFUNCTION("""COMPUTED_VALUE"""),"Task Execution")</f>
        <v>Task Execution</v>
      </c>
      <c r="H669" s="6">
        <f ca="1"/>
        <v>0</v>
      </c>
      <c r="I669" s="6">
        <f ca="1"/>
        <v>0</v>
      </c>
      <c r="J669" s="6">
        <f ca="1"/>
        <v>0</v>
      </c>
    </row>
    <row r="670" spans="1:10" ht="13" x14ac:dyDescent="0.15">
      <c r="A670" s="6" t="str">
        <f ca="1">IFERROR(__xludf.DUMMYFUNCTION("""COMPUTED_VALUE"""),"Coding Pattern")</f>
        <v>Coding Pattern</v>
      </c>
      <c r="B670" s="6" t="str">
        <f ca="1">IFERROR(__xludf.DUMMYFUNCTION("""COMPUTED_VALUE"""),"Coding Pattern")</f>
        <v>Coding Pattern</v>
      </c>
      <c r="H670" s="6">
        <f ca="1"/>
        <v>0</v>
      </c>
      <c r="I670" s="6">
        <f ca="1"/>
        <v>0</v>
      </c>
      <c r="J670" s="6">
        <f ca="1"/>
        <v>0</v>
      </c>
    </row>
    <row r="671" spans="1:10" ht="13" x14ac:dyDescent="0.15">
      <c r="A671" s="6" t="str">
        <f ca="1">IFERROR(__xludf.DUMMYFUNCTION("""COMPUTED_VALUE"""),"Testing")</f>
        <v>Testing</v>
      </c>
      <c r="B671" s="6" t="str">
        <f ca="1">IFERROR(__xludf.DUMMYFUNCTION("""COMPUTED_VALUE"""),"Testing")</f>
        <v>Testing</v>
      </c>
      <c r="H671" s="6">
        <f ca="1"/>
        <v>0</v>
      </c>
      <c r="I671" s="6">
        <f ca="1"/>
        <v>0</v>
      </c>
      <c r="J671" s="6">
        <f ca="1"/>
        <v>0</v>
      </c>
    </row>
    <row r="672" spans="1:10" ht="13" x14ac:dyDescent="0.15">
      <c r="A672" s="6" t="str">
        <f ca="1">IFERROR(__xludf.DUMMYFUNCTION("""COMPUTED_VALUE"""),"Maintainability")</f>
        <v>Maintainability</v>
      </c>
      <c r="B672" s="6" t="str">
        <f ca="1">IFERROR(__xludf.DUMMYFUNCTION("""COMPUTED_VALUE"""),"Maintainability")</f>
        <v>Maintainability</v>
      </c>
      <c r="H672" s="6">
        <f ca="1"/>
        <v>0</v>
      </c>
      <c r="I672" s="6">
        <f ca="1"/>
        <v>0</v>
      </c>
      <c r="J672" s="6">
        <f ca="1"/>
        <v>0</v>
      </c>
    </row>
    <row r="673" spans="1:10" ht="13" x14ac:dyDescent="0.15">
      <c r="A673" s="6" t="str">
        <f ca="1">IFERROR(__xludf.DUMMYFUNCTION("""COMPUTED_VALUE"""),"Coding Pattern")</f>
        <v>Coding Pattern</v>
      </c>
      <c r="B673" s="6" t="str">
        <f ca="1">IFERROR(__xludf.DUMMYFUNCTION("""COMPUTED_VALUE"""),"Coding Pattern")</f>
        <v>Coding Pattern</v>
      </c>
      <c r="H673" s="6">
        <f ca="1"/>
        <v>0</v>
      </c>
      <c r="I673" s="6">
        <f ca="1"/>
        <v>0</v>
      </c>
      <c r="J673" s="6">
        <f ca="1"/>
        <v>0</v>
      </c>
    </row>
    <row r="674" spans="1:10" ht="13" x14ac:dyDescent="0.15">
      <c r="A674" s="6" t="str">
        <f ca="1">IFERROR(__xludf.DUMMYFUNCTION("""COMPUTED_VALUE"""),"Coding Pattern")</f>
        <v>Coding Pattern</v>
      </c>
      <c r="B674" s="6" t="str">
        <f ca="1">IFERROR(__xludf.DUMMYFUNCTION("""COMPUTED_VALUE"""),"Coding Pattern")</f>
        <v>Coding Pattern</v>
      </c>
      <c r="H674" s="6">
        <f ca="1"/>
        <v>0</v>
      </c>
      <c r="I674" s="6">
        <f ca="1"/>
        <v>0</v>
      </c>
      <c r="J674" s="6">
        <f ca="1"/>
        <v>0</v>
      </c>
    </row>
    <row r="675" spans="1:10" ht="13" x14ac:dyDescent="0.15">
      <c r="A675" s="6" t="str">
        <f ca="1">IFERROR(__xludf.DUMMYFUNCTION("""COMPUTED_VALUE"""),"Task Execution")</f>
        <v>Task Execution</v>
      </c>
      <c r="B675" s="6" t="str">
        <f ca="1">IFERROR(__xludf.DUMMYFUNCTION("""COMPUTED_VALUE"""),"Task Execution")</f>
        <v>Task Execution</v>
      </c>
      <c r="H675" s="6">
        <f ca="1"/>
        <v>0</v>
      </c>
      <c r="I675" s="6">
        <f ca="1"/>
        <v>0</v>
      </c>
      <c r="J675" s="6">
        <f ca="1"/>
        <v>0</v>
      </c>
    </row>
    <row r="676" spans="1:10" ht="13" x14ac:dyDescent="0.15">
      <c r="A676" s="6" t="str">
        <f ca="1">IFERROR(__xludf.DUMMYFUNCTION("""COMPUTED_VALUE"""),"Build &amp; Operation")</f>
        <v>Build &amp; Operation</v>
      </c>
      <c r="B676" s="6" t="str">
        <f ca="1">IFERROR(__xludf.DUMMYFUNCTION("""COMPUTED_VALUE"""),"Testing")</f>
        <v>Testing</v>
      </c>
      <c r="H676" s="6">
        <f ca="1"/>
        <v>0</v>
      </c>
      <c r="I676" s="6">
        <f ca="1"/>
        <v>0</v>
      </c>
      <c r="J676" s="6">
        <f ca="1"/>
        <v>0</v>
      </c>
    </row>
    <row r="677" spans="1:10" ht="13" x14ac:dyDescent="0.15">
      <c r="A677" s="6" t="str">
        <f ca="1">IFERROR(__xludf.DUMMYFUNCTION("""COMPUTED_VALUE"""),"Task Execution")</f>
        <v>Task Execution</v>
      </c>
      <c r="B677" s="6" t="str">
        <f ca="1">IFERROR(__xludf.DUMMYFUNCTION("""COMPUTED_VALUE"""),"Task Execution")</f>
        <v>Task Execution</v>
      </c>
      <c r="H677" s="6">
        <f ca="1"/>
        <v>0</v>
      </c>
      <c r="I677" s="6">
        <f ca="1"/>
        <v>0</v>
      </c>
      <c r="J677" s="6">
        <f ca="1"/>
        <v>0</v>
      </c>
    </row>
    <row r="678" spans="1:10" ht="13" x14ac:dyDescent="0.15">
      <c r="A678" s="6" t="str">
        <f ca="1">IFERROR(__xludf.DUMMYFUNCTION("""COMPUTED_VALUE"""),"Build &amp; Operation")</f>
        <v>Build &amp; Operation</v>
      </c>
      <c r="B678" s="6" t="str">
        <f ca="1">IFERROR(__xludf.DUMMYFUNCTION("""COMPUTED_VALUE"""),"Build &amp; Operation")</f>
        <v>Build &amp; Operation</v>
      </c>
      <c r="H678" s="6">
        <f ca="1"/>
        <v>0</v>
      </c>
      <c r="I678" s="6">
        <f ca="1"/>
        <v>0</v>
      </c>
      <c r="J678" s="6">
        <f ca="1"/>
        <v>0</v>
      </c>
    </row>
    <row r="679" spans="1:10" ht="13" x14ac:dyDescent="0.15">
      <c r="A679" s="6" t="str">
        <f ca="1">IFERROR(__xludf.DUMMYFUNCTION("""COMPUTED_VALUE"""),"Performance")</f>
        <v>Performance</v>
      </c>
      <c r="B679" s="6" t="str">
        <f ca="1">IFERROR(__xludf.DUMMYFUNCTION("""COMPUTED_VALUE"""),"Performance")</f>
        <v>Performance</v>
      </c>
      <c r="H679" s="6">
        <f ca="1"/>
        <v>0</v>
      </c>
      <c r="I679" s="6">
        <f ca="1"/>
        <v>0</v>
      </c>
      <c r="J679" s="6">
        <f ca="1"/>
        <v>0</v>
      </c>
    </row>
    <row r="680" spans="1:10" ht="13" x14ac:dyDescent="0.15">
      <c r="A680" s="6" t="str">
        <f ca="1">IFERROR(__xludf.DUMMYFUNCTION("""COMPUTED_VALUE"""),"Testing")</f>
        <v>Testing</v>
      </c>
      <c r="B680" s="6" t="str">
        <f ca="1">IFERROR(__xludf.DUMMYFUNCTION("""COMPUTED_VALUE"""),"Testing")</f>
        <v>Testing</v>
      </c>
      <c r="H680" s="6">
        <f ca="1"/>
        <v>0</v>
      </c>
      <c r="I680" s="6">
        <f ca="1"/>
        <v>0</v>
      </c>
      <c r="J680" s="6">
        <f ca="1"/>
        <v>0</v>
      </c>
    </row>
    <row r="681" spans="1:10" ht="13" x14ac:dyDescent="0.15">
      <c r="A681" s="6" t="str">
        <f ca="1">IFERROR(__xludf.DUMMYFUNCTION("""COMPUTED_VALUE"""),"Testing")</f>
        <v>Testing</v>
      </c>
      <c r="B681" s="6" t="str">
        <f ca="1">IFERROR(__xludf.DUMMYFUNCTION("""COMPUTED_VALUE"""),"Commit&amp;PR rule")</f>
        <v>Commit&amp;PR rule</v>
      </c>
      <c r="H681" s="6">
        <f ca="1"/>
        <v>0</v>
      </c>
      <c r="I681" s="6">
        <f ca="1"/>
        <v>0</v>
      </c>
      <c r="J681" s="6">
        <f ca="1"/>
        <v>0</v>
      </c>
    </row>
    <row r="682" spans="1:10" ht="13" x14ac:dyDescent="0.15">
      <c r="A682" s="6" t="str">
        <f ca="1">IFERROR(__xludf.DUMMYFUNCTION("""COMPUTED_VALUE"""),"Documentation")</f>
        <v>Documentation</v>
      </c>
      <c r="B682" s="6" t="str">
        <f ca="1">IFERROR(__xludf.DUMMYFUNCTION("""COMPUTED_VALUE"""),"Documentation")</f>
        <v>Documentation</v>
      </c>
      <c r="H682" s="6">
        <f ca="1"/>
        <v>0</v>
      </c>
      <c r="I682" s="6">
        <f ca="1"/>
        <v>0</v>
      </c>
      <c r="J682" s="6">
        <f ca="1"/>
        <v>0</v>
      </c>
    </row>
    <row r="683" spans="1:10" ht="13" x14ac:dyDescent="0.15">
      <c r="A683" s="6" t="str">
        <f ca="1">IFERROR(__xludf.DUMMYFUNCTION("""COMPUTED_VALUE"""),"Task Execution")</f>
        <v>Task Execution</v>
      </c>
      <c r="B683" s="6" t="str">
        <f ca="1">IFERROR(__xludf.DUMMYFUNCTION("""COMPUTED_VALUE"""),"Task Execution")</f>
        <v>Task Execution</v>
      </c>
      <c r="H683" s="6">
        <f ca="1"/>
        <v>0</v>
      </c>
      <c r="I683" s="6">
        <f ca="1"/>
        <v>0</v>
      </c>
      <c r="J683" s="6">
        <f ca="1"/>
        <v>0</v>
      </c>
    </row>
    <row r="684" spans="1:10" ht="13" x14ac:dyDescent="0.15">
      <c r="A684" s="6" t="str">
        <f ca="1">IFERROR(__xludf.DUMMYFUNCTION("""COMPUTED_VALUE"""),"Task Execution")</f>
        <v>Task Execution</v>
      </c>
      <c r="B684" s="6" t="str">
        <f ca="1">IFERROR(__xludf.DUMMYFUNCTION("""COMPUTED_VALUE"""),"Task Execution")</f>
        <v>Task Execution</v>
      </c>
      <c r="H684" s="6">
        <f ca="1"/>
        <v>0</v>
      </c>
      <c r="I684" s="6">
        <f ca="1"/>
        <v>0</v>
      </c>
      <c r="J684" s="6">
        <f ca="1"/>
        <v>0</v>
      </c>
    </row>
    <row r="685" spans="1:10" ht="13" x14ac:dyDescent="0.15">
      <c r="A685" s="6" t="str">
        <f ca="1">IFERROR(__xludf.DUMMYFUNCTION("""COMPUTED_VALUE"""),"Coding Pattern")</f>
        <v>Coding Pattern</v>
      </c>
      <c r="B685" s="6" t="str">
        <f ca="1">IFERROR(__xludf.DUMMYFUNCTION("""COMPUTED_VALUE"""),"Coding Pattern")</f>
        <v>Coding Pattern</v>
      </c>
      <c r="H685" s="6">
        <f ca="1"/>
        <v>0</v>
      </c>
      <c r="I685" s="6">
        <f ca="1"/>
        <v>0</v>
      </c>
      <c r="J685" s="6">
        <f ca="1"/>
        <v>0</v>
      </c>
    </row>
    <row r="686" spans="1:10" ht="13" x14ac:dyDescent="0.15">
      <c r="A686" s="6" t="str">
        <f ca="1">IFERROR(__xludf.DUMMYFUNCTION("""COMPUTED_VALUE"""),"Coding Pattern")</f>
        <v>Coding Pattern</v>
      </c>
      <c r="B686" s="6" t="str">
        <f ca="1">IFERROR(__xludf.DUMMYFUNCTION("""COMPUTED_VALUE"""),"Coding Pattern")</f>
        <v>Coding Pattern</v>
      </c>
      <c r="H686" s="6">
        <f ca="1"/>
        <v>0</v>
      </c>
      <c r="I686" s="6">
        <f ca="1"/>
        <v>0</v>
      </c>
      <c r="J686" s="6">
        <f ca="1"/>
        <v>0</v>
      </c>
    </row>
    <row r="687" spans="1:10" ht="13" x14ac:dyDescent="0.15">
      <c r="A687" s="6" t="str">
        <f ca="1">IFERROR(__xludf.DUMMYFUNCTION("""COMPUTED_VALUE"""),"Build &amp; Operation")</f>
        <v>Build &amp; Operation</v>
      </c>
      <c r="B687" s="6" t="str">
        <f ca="1">IFERROR(__xludf.DUMMYFUNCTION("""COMPUTED_VALUE"""),"Build &amp; Operation")</f>
        <v>Build &amp; Operation</v>
      </c>
      <c r="H687" s="6">
        <f ca="1"/>
        <v>0</v>
      </c>
      <c r="I687" s="6">
        <f ca="1"/>
        <v>0</v>
      </c>
      <c r="J687" s="6">
        <f ca="1"/>
        <v>0</v>
      </c>
    </row>
    <row r="688" spans="1:10" ht="13" x14ac:dyDescent="0.15">
      <c r="A688" s="6" t="str">
        <f ca="1">IFERROR(__xludf.DUMMYFUNCTION("""COMPUTED_VALUE"""),"Task Execution")</f>
        <v>Task Execution</v>
      </c>
      <c r="B688" s="6" t="str">
        <f ca="1">IFERROR(__xludf.DUMMYFUNCTION("""COMPUTED_VALUE"""),"Task Execution")</f>
        <v>Task Execution</v>
      </c>
      <c r="H688" s="6">
        <f ca="1"/>
        <v>0</v>
      </c>
      <c r="I688" s="6">
        <f ca="1"/>
        <v>0</v>
      </c>
      <c r="J688" s="6">
        <f ca="1"/>
        <v>0</v>
      </c>
    </row>
    <row r="689" spans="1:10" ht="13" x14ac:dyDescent="0.15">
      <c r="A689" s="6" t="str">
        <f ca="1">IFERROR(__xludf.DUMMYFUNCTION("""COMPUTED_VALUE"""),"Task Execution")</f>
        <v>Task Execution</v>
      </c>
      <c r="B689" s="6" t="str">
        <f ca="1">IFERROR(__xludf.DUMMYFUNCTION("""COMPUTED_VALUE"""),"Task Execution")</f>
        <v>Task Execution</v>
      </c>
      <c r="H689" s="6">
        <f ca="1"/>
        <v>0</v>
      </c>
      <c r="I689" s="6">
        <f ca="1"/>
        <v>0</v>
      </c>
      <c r="J689" s="6">
        <f ca="1"/>
        <v>0</v>
      </c>
    </row>
    <row r="690" spans="1:10" ht="13" x14ac:dyDescent="0.15">
      <c r="A690" s="6" t="str">
        <f ca="1">IFERROR(__xludf.DUMMYFUNCTION("""COMPUTED_VALUE"""),"Task Execution")</f>
        <v>Task Execution</v>
      </c>
      <c r="B690" s="6" t="str">
        <f ca="1">IFERROR(__xludf.DUMMYFUNCTION("""COMPUTED_VALUE"""),"Task Execution")</f>
        <v>Task Execution</v>
      </c>
      <c r="H690" s="6">
        <f ca="1"/>
        <v>0</v>
      </c>
      <c r="I690" s="6">
        <f ca="1"/>
        <v>0</v>
      </c>
      <c r="J690" s="6">
        <f ca="1"/>
        <v>0</v>
      </c>
    </row>
    <row r="691" spans="1:10" ht="13" x14ac:dyDescent="0.15">
      <c r="A691" s="6" t="str">
        <f ca="1">IFERROR(__xludf.DUMMYFUNCTION("""COMPUTED_VALUE"""),"Security")</f>
        <v>Security</v>
      </c>
      <c r="B691" s="6" t="str">
        <f ca="1">IFERROR(__xludf.DUMMYFUNCTION("""COMPUTED_VALUE"""),"Security")</f>
        <v>Security</v>
      </c>
      <c r="H691" s="6">
        <f ca="1"/>
        <v>0</v>
      </c>
      <c r="I691" s="6">
        <f ca="1"/>
        <v>0</v>
      </c>
      <c r="J691" s="6">
        <f ca="1"/>
        <v>0</v>
      </c>
    </row>
    <row r="692" spans="1:10" ht="13" x14ac:dyDescent="0.15">
      <c r="A692" s="6" t="str">
        <f ca="1">IFERROR(__xludf.DUMMYFUNCTION("""COMPUTED_VALUE"""),"Testing")</f>
        <v>Testing</v>
      </c>
      <c r="B692" s="6" t="str">
        <f ca="1">IFERROR(__xludf.DUMMYFUNCTION("""COMPUTED_VALUE"""),"Testing")</f>
        <v>Testing</v>
      </c>
      <c r="H692" s="6">
        <f ca="1"/>
        <v>0</v>
      </c>
      <c r="I692" s="6">
        <f ca="1"/>
        <v>0</v>
      </c>
      <c r="J692" s="6">
        <f ca="1"/>
        <v>0</v>
      </c>
    </row>
    <row r="693" spans="1:10" ht="13" x14ac:dyDescent="0.15">
      <c r="A693" s="6" t="str">
        <f ca="1">IFERROR(__xludf.DUMMYFUNCTION("""COMPUTED_VALUE"""),"Coding Pattern")</f>
        <v>Coding Pattern</v>
      </c>
      <c r="B693" s="6" t="str">
        <f ca="1">IFERROR(__xludf.DUMMYFUNCTION("""COMPUTED_VALUE"""),"Coding Pattern")</f>
        <v>Coding Pattern</v>
      </c>
      <c r="H693" s="6">
        <f ca="1"/>
        <v>0</v>
      </c>
      <c r="I693" s="6">
        <f ca="1"/>
        <v>0</v>
      </c>
      <c r="J693" s="6">
        <f ca="1"/>
        <v>0</v>
      </c>
    </row>
    <row r="694" spans="1:10" ht="13" x14ac:dyDescent="0.15">
      <c r="A694" s="6" t="str">
        <f ca="1">IFERROR(__xludf.DUMMYFUNCTION("""COMPUTED_VALUE"""),"Security")</f>
        <v>Security</v>
      </c>
      <c r="B694" s="6" t="str">
        <f ca="1">IFERROR(__xludf.DUMMYFUNCTION("""COMPUTED_VALUE"""),"Security")</f>
        <v>Security</v>
      </c>
      <c r="H694" s="6">
        <f ca="1"/>
        <v>0</v>
      </c>
      <c r="I694" s="6">
        <f ca="1"/>
        <v>0</v>
      </c>
      <c r="J694" s="6">
        <f ca="1"/>
        <v>0</v>
      </c>
    </row>
    <row r="695" spans="1:10" ht="13" x14ac:dyDescent="0.15">
      <c r="A695" s="6" t="str">
        <f ca="1">IFERROR(__xludf.DUMMYFUNCTION("""COMPUTED_VALUE"""),"Coding Pattern")</f>
        <v>Coding Pattern</v>
      </c>
      <c r="B695" s="6" t="str">
        <f ca="1">IFERROR(__xludf.DUMMYFUNCTION("""COMPUTED_VALUE"""),"Testing")</f>
        <v>Testing</v>
      </c>
      <c r="H695" s="6">
        <f ca="1"/>
        <v>0</v>
      </c>
      <c r="I695" s="6">
        <f ca="1"/>
        <v>0</v>
      </c>
      <c r="J695" s="6">
        <f ca="1"/>
        <v>0</v>
      </c>
    </row>
    <row r="696" spans="1:10" ht="13" x14ac:dyDescent="0.15">
      <c r="A696" s="6" t="str">
        <f ca="1">IFERROR(__xludf.DUMMYFUNCTION("""COMPUTED_VALUE"""),"Coding Pattern")</f>
        <v>Coding Pattern</v>
      </c>
      <c r="B696" s="6" t="str">
        <f ca="1">IFERROR(__xludf.DUMMYFUNCTION("""COMPUTED_VALUE"""),"Coding Pattern")</f>
        <v>Coding Pattern</v>
      </c>
      <c r="H696" s="6">
        <f ca="1"/>
        <v>0</v>
      </c>
      <c r="I696" s="6">
        <f ca="1"/>
        <v>0</v>
      </c>
      <c r="J696" s="6">
        <f ca="1"/>
        <v>0</v>
      </c>
    </row>
    <row r="697" spans="1:10" ht="13" x14ac:dyDescent="0.15">
      <c r="A697" s="6" t="str">
        <f ca="1">IFERROR(__xludf.DUMMYFUNCTION("""COMPUTED_VALUE"""),"Coding Pattern")</f>
        <v>Coding Pattern</v>
      </c>
      <c r="B697" s="6" t="str">
        <f ca="1">IFERROR(__xludf.DUMMYFUNCTION("""COMPUTED_VALUE"""),"Coding Pattern")</f>
        <v>Coding Pattern</v>
      </c>
      <c r="H697" s="6">
        <f ca="1"/>
        <v>0</v>
      </c>
      <c r="I697" s="6">
        <f ca="1"/>
        <v>0</v>
      </c>
      <c r="J697" s="6">
        <f ca="1"/>
        <v>0</v>
      </c>
    </row>
    <row r="698" spans="1:10" ht="13" x14ac:dyDescent="0.15">
      <c r="A698" s="6" t="str">
        <f ca="1">IFERROR(__xludf.DUMMYFUNCTION("""COMPUTED_VALUE"""),"Coding Pattern")</f>
        <v>Coding Pattern</v>
      </c>
      <c r="B698" s="6" t="str">
        <f ca="1">IFERROR(__xludf.DUMMYFUNCTION("""COMPUTED_VALUE"""),"Coding Pattern")</f>
        <v>Coding Pattern</v>
      </c>
      <c r="H698" s="6">
        <f ca="1"/>
        <v>0</v>
      </c>
      <c r="I698" s="6">
        <f ca="1"/>
        <v>0</v>
      </c>
      <c r="J698" s="6">
        <f ca="1"/>
        <v>0</v>
      </c>
    </row>
    <row r="699" spans="1:10" ht="13" x14ac:dyDescent="0.15">
      <c r="A699" s="6" t="str">
        <f ca="1">IFERROR(__xludf.DUMMYFUNCTION("""COMPUTED_VALUE"""),"Coding Pattern")</f>
        <v>Coding Pattern</v>
      </c>
      <c r="B699" s="6" t="str">
        <f ca="1">IFERROR(__xludf.DUMMYFUNCTION("""COMPUTED_VALUE"""),"Coding Pattern")</f>
        <v>Coding Pattern</v>
      </c>
      <c r="H699" s="6">
        <f ca="1"/>
        <v>0</v>
      </c>
      <c r="I699" s="6">
        <f ca="1"/>
        <v>0</v>
      </c>
      <c r="J699" s="6">
        <f ca="1"/>
        <v>0</v>
      </c>
    </row>
    <row r="700" spans="1:10" ht="13" x14ac:dyDescent="0.15">
      <c r="A700" s="6" t="str">
        <f ca="1">IFERROR(__xludf.DUMMYFUNCTION("""COMPUTED_VALUE"""),"Testing")</f>
        <v>Testing</v>
      </c>
      <c r="B700" s="6" t="str">
        <f ca="1">IFERROR(__xludf.DUMMYFUNCTION("""COMPUTED_VALUE"""),"Testing")</f>
        <v>Testing</v>
      </c>
      <c r="H700" s="6">
        <f ca="1"/>
        <v>0</v>
      </c>
      <c r="I700" s="6">
        <f ca="1"/>
        <v>0</v>
      </c>
      <c r="J700" s="6">
        <f ca="1"/>
        <v>0</v>
      </c>
    </row>
    <row r="701" spans="1:10" ht="13" x14ac:dyDescent="0.15">
      <c r="A701" s="6" t="str">
        <f ca="1">IFERROR(__xludf.DUMMYFUNCTION("""COMPUTED_VALUE"""),"Commit&amp;PR rule")</f>
        <v>Commit&amp;PR rule</v>
      </c>
      <c r="B701" s="6" t="str">
        <f ca="1">IFERROR(__xludf.DUMMYFUNCTION("""COMPUTED_VALUE"""),"Commit&amp;PR rule")</f>
        <v>Commit&amp;PR rule</v>
      </c>
      <c r="H701" s="6">
        <f ca="1"/>
        <v>0</v>
      </c>
      <c r="I701" s="6">
        <f ca="1"/>
        <v>0</v>
      </c>
      <c r="J701" s="6">
        <f ca="1"/>
        <v>0</v>
      </c>
    </row>
    <row r="702" spans="1:10" ht="13" x14ac:dyDescent="0.15">
      <c r="A702" s="6" t="str">
        <f ca="1">IFERROR(__xludf.DUMMYFUNCTION("""COMPUTED_VALUE"""),"Task Execution")</f>
        <v>Task Execution</v>
      </c>
      <c r="B702" s="6" t="str">
        <f ca="1">IFERROR(__xludf.DUMMYFUNCTION("""COMPUTED_VALUE"""),"Task Execution")</f>
        <v>Task Execution</v>
      </c>
      <c r="H702" s="6">
        <f ca="1"/>
        <v>0</v>
      </c>
      <c r="I702" s="6">
        <f ca="1"/>
        <v>0</v>
      </c>
      <c r="J702" s="6">
        <f ca="1"/>
        <v>0</v>
      </c>
    </row>
    <row r="703" spans="1:10" ht="13" x14ac:dyDescent="0.15">
      <c r="A703" s="6" t="str">
        <f ca="1">IFERROR(__xludf.DUMMYFUNCTION("""COMPUTED_VALUE"""),"Coding Pattern")</f>
        <v>Coding Pattern</v>
      </c>
      <c r="B703" s="6" t="str">
        <f ca="1">IFERROR(__xludf.DUMMYFUNCTION("""COMPUTED_VALUE"""),"Coding Pattern")</f>
        <v>Coding Pattern</v>
      </c>
      <c r="H703" s="6">
        <f ca="1"/>
        <v>0</v>
      </c>
      <c r="I703" s="6">
        <f ca="1"/>
        <v>0</v>
      </c>
      <c r="J703" s="6">
        <f ca="1"/>
        <v>0</v>
      </c>
    </row>
    <row r="704" spans="1:10" ht="13" x14ac:dyDescent="0.15">
      <c r="A704" s="6" t="str">
        <f ca="1">IFERROR(__xludf.DUMMYFUNCTION("""COMPUTED_VALUE"""),"Coding Pattern")</f>
        <v>Coding Pattern</v>
      </c>
      <c r="B704" s="6" t="str">
        <f ca="1">IFERROR(__xludf.DUMMYFUNCTION("""COMPUTED_VALUE"""),"Coding Pattern")</f>
        <v>Coding Pattern</v>
      </c>
      <c r="H704" s="6">
        <f ca="1"/>
        <v>0</v>
      </c>
      <c r="I704" s="6">
        <f ca="1"/>
        <v>0</v>
      </c>
      <c r="J704" s="6">
        <f ca="1"/>
        <v>0</v>
      </c>
    </row>
    <row r="705" spans="1:10" ht="13" x14ac:dyDescent="0.15">
      <c r="A705" s="6" t="str">
        <f ca="1">IFERROR(__xludf.DUMMYFUNCTION("""COMPUTED_VALUE"""),"Coding Pattern")</f>
        <v>Coding Pattern</v>
      </c>
      <c r="B705" s="6" t="str">
        <f ca="1">IFERROR(__xludf.DUMMYFUNCTION("""COMPUTED_VALUE"""),"Coding Pattern")</f>
        <v>Coding Pattern</v>
      </c>
      <c r="H705" s="6">
        <f ca="1"/>
        <v>0</v>
      </c>
      <c r="I705" s="6">
        <f ca="1"/>
        <v>0</v>
      </c>
      <c r="J705" s="6">
        <f ca="1"/>
        <v>0</v>
      </c>
    </row>
    <row r="706" spans="1:10" ht="13" x14ac:dyDescent="0.15">
      <c r="A706" s="6" t="str">
        <f ca="1">IFERROR(__xludf.DUMMYFUNCTION("""COMPUTED_VALUE"""),"Performance")</f>
        <v>Performance</v>
      </c>
      <c r="B706" s="6" t="str">
        <f ca="1">IFERROR(__xludf.DUMMYFUNCTION("""COMPUTED_VALUE"""),"Performance")</f>
        <v>Performance</v>
      </c>
      <c r="H706" s="6">
        <f ca="1"/>
        <v>0</v>
      </c>
      <c r="I706" s="6">
        <f ca="1"/>
        <v>0</v>
      </c>
      <c r="J706" s="6">
        <f ca="1"/>
        <v>0</v>
      </c>
    </row>
    <row r="707" spans="1:10" ht="13" x14ac:dyDescent="0.15">
      <c r="A707" s="6" t="str">
        <f ca="1">IFERROR(__xludf.DUMMYFUNCTION("""COMPUTED_VALUE"""),"Coding Pattern")</f>
        <v>Coding Pattern</v>
      </c>
      <c r="B707" s="6" t="str">
        <f ca="1">IFERROR(__xludf.DUMMYFUNCTION("""COMPUTED_VALUE"""),"Coding Pattern")</f>
        <v>Coding Pattern</v>
      </c>
      <c r="H707" s="6">
        <f ca="1"/>
        <v>0</v>
      </c>
      <c r="I707" s="6">
        <f ca="1"/>
        <v>0</v>
      </c>
      <c r="J707" s="6">
        <f ca="1"/>
        <v>0</v>
      </c>
    </row>
    <row r="708" spans="1:10" ht="13" x14ac:dyDescent="0.15">
      <c r="A708" s="6" t="str">
        <f ca="1">IFERROR(__xludf.DUMMYFUNCTION("""COMPUTED_VALUE"""),"Coding Pattern")</f>
        <v>Coding Pattern</v>
      </c>
      <c r="B708" s="6" t="str">
        <f ca="1">IFERROR(__xludf.DUMMYFUNCTION("""COMPUTED_VALUE"""),"Coding Pattern")</f>
        <v>Coding Pattern</v>
      </c>
      <c r="H708" s="6">
        <f ca="1"/>
        <v>0</v>
      </c>
      <c r="I708" s="6">
        <f ca="1"/>
        <v>0</v>
      </c>
      <c r="J708" s="6">
        <f ca="1"/>
        <v>0</v>
      </c>
    </row>
    <row r="709" spans="1:10" ht="13" x14ac:dyDescent="0.15">
      <c r="A709" s="6" t="str">
        <f ca="1">IFERROR(__xludf.DUMMYFUNCTION("""COMPUTED_VALUE"""),"Task Execution")</f>
        <v>Task Execution</v>
      </c>
      <c r="B709" s="6" t="str">
        <f ca="1">IFERROR(__xludf.DUMMYFUNCTION("""COMPUTED_VALUE"""),"Task Execution")</f>
        <v>Task Execution</v>
      </c>
      <c r="H709" s="6">
        <f ca="1"/>
        <v>0</v>
      </c>
      <c r="I709" s="6">
        <f ca="1"/>
        <v>0</v>
      </c>
      <c r="J709" s="6">
        <f ca="1"/>
        <v>0</v>
      </c>
    </row>
    <row r="710" spans="1:10" ht="13" x14ac:dyDescent="0.15">
      <c r="A710" s="6" t="str">
        <f ca="1">IFERROR(__xludf.DUMMYFUNCTION("""COMPUTED_VALUE"""),"Maintainability")</f>
        <v>Maintainability</v>
      </c>
      <c r="B710" s="6" t="str">
        <f ca="1">IFERROR(__xludf.DUMMYFUNCTION("""COMPUTED_VALUE"""),"Coding Pattern")</f>
        <v>Coding Pattern</v>
      </c>
      <c r="H710" s="6">
        <f ca="1"/>
        <v>0</v>
      </c>
      <c r="I710" s="6">
        <f ca="1"/>
        <v>0</v>
      </c>
      <c r="J710" s="6">
        <f ca="1"/>
        <v>0</v>
      </c>
    </row>
    <row r="711" spans="1:10" ht="13" x14ac:dyDescent="0.15">
      <c r="A711" s="6" t="str">
        <f ca="1">IFERROR(__xludf.DUMMYFUNCTION("""COMPUTED_VALUE"""),"Maintainability")</f>
        <v>Maintainability</v>
      </c>
      <c r="B711" s="6" t="str">
        <f ca="1">IFERROR(__xludf.DUMMYFUNCTION("""COMPUTED_VALUE"""),"Coding Pattern")</f>
        <v>Coding Pattern</v>
      </c>
      <c r="H711" s="6">
        <f ca="1"/>
        <v>0</v>
      </c>
      <c r="I711" s="6">
        <f ca="1"/>
        <v>0</v>
      </c>
      <c r="J711" s="6">
        <f ca="1"/>
        <v>0</v>
      </c>
    </row>
    <row r="712" spans="1:10" ht="13" x14ac:dyDescent="0.15">
      <c r="A712" s="6" t="str">
        <f ca="1">IFERROR(__xludf.DUMMYFUNCTION("""COMPUTED_VALUE"""),"Task Execution")</f>
        <v>Task Execution</v>
      </c>
      <c r="B712" s="6" t="str">
        <f ca="1">IFERROR(__xludf.DUMMYFUNCTION("""COMPUTED_VALUE"""),"Task Execution")</f>
        <v>Task Execution</v>
      </c>
      <c r="H712" s="6">
        <f ca="1"/>
        <v>0</v>
      </c>
      <c r="I712" s="6">
        <f ca="1"/>
        <v>0</v>
      </c>
      <c r="J712" s="6">
        <f ca="1"/>
        <v>0</v>
      </c>
    </row>
    <row r="713" spans="1:10" ht="13" x14ac:dyDescent="0.15">
      <c r="A713" s="6" t="str">
        <f ca="1">IFERROR(__xludf.DUMMYFUNCTION("""COMPUTED_VALUE"""),"Coding Style")</f>
        <v>Coding Style</v>
      </c>
      <c r="B713" s="6" t="str">
        <f ca="1">IFERROR(__xludf.DUMMYFUNCTION("""COMPUTED_VALUE"""),"Security")</f>
        <v>Security</v>
      </c>
      <c r="H713" s="6">
        <f ca="1"/>
        <v>0</v>
      </c>
      <c r="I713" s="6">
        <f ca="1"/>
        <v>0</v>
      </c>
      <c r="J713" s="6">
        <f ca="1"/>
        <v>0</v>
      </c>
    </row>
    <row r="714" spans="1:10" ht="13" x14ac:dyDescent="0.15">
      <c r="A714" s="6" t="str">
        <f ca="1">IFERROR(__xludf.DUMMYFUNCTION("""COMPUTED_VALUE"""),"Coding Pattern")</f>
        <v>Coding Pattern</v>
      </c>
      <c r="B714" s="6" t="str">
        <f ca="1">IFERROR(__xludf.DUMMYFUNCTION("""COMPUTED_VALUE"""),"Coding Pattern")</f>
        <v>Coding Pattern</v>
      </c>
      <c r="H714" s="6">
        <f ca="1"/>
        <v>0</v>
      </c>
      <c r="I714" s="6">
        <f ca="1"/>
        <v>0</v>
      </c>
      <c r="J714" s="6">
        <f ca="1"/>
        <v>0</v>
      </c>
    </row>
    <row r="715" spans="1:10" ht="13" x14ac:dyDescent="0.15">
      <c r="A715" s="6" t="str">
        <f ca="1">IFERROR(__xludf.DUMMYFUNCTION("""COMPUTED_VALUE"""),"Coding Pattern")</f>
        <v>Coding Pattern</v>
      </c>
      <c r="B715" s="6" t="str">
        <f ca="1">IFERROR(__xludf.DUMMYFUNCTION("""COMPUTED_VALUE"""),"Coding Pattern")</f>
        <v>Coding Pattern</v>
      </c>
      <c r="H715" s="6">
        <f ca="1"/>
        <v>0</v>
      </c>
      <c r="I715" s="6">
        <f ca="1"/>
        <v>0</v>
      </c>
      <c r="J715" s="6">
        <f ca="1"/>
        <v>0</v>
      </c>
    </row>
    <row r="716" spans="1:10" ht="13" x14ac:dyDescent="0.15">
      <c r="A716" s="6" t="str">
        <f ca="1">IFERROR(__xludf.DUMMYFUNCTION("""COMPUTED_VALUE"""),"Build &amp; Operation")</f>
        <v>Build &amp; Operation</v>
      </c>
      <c r="B716" s="6" t="str">
        <f ca="1">IFERROR(__xludf.DUMMYFUNCTION("""COMPUTED_VALUE"""),"Build &amp; Operation")</f>
        <v>Build &amp; Operation</v>
      </c>
      <c r="H716" s="6">
        <f ca="1"/>
        <v>0</v>
      </c>
      <c r="I716" s="6">
        <f ca="1"/>
        <v>0</v>
      </c>
      <c r="J716" s="6">
        <f ca="1"/>
        <v>0</v>
      </c>
    </row>
    <row r="717" spans="1:10" ht="13" x14ac:dyDescent="0.15">
      <c r="A717" s="6" t="str">
        <f ca="1">IFERROR(__xludf.DUMMYFUNCTION("""COMPUTED_VALUE"""),"Task Execution")</f>
        <v>Task Execution</v>
      </c>
      <c r="B717" s="6" t="str">
        <f ca="1">IFERROR(__xludf.DUMMYFUNCTION("""COMPUTED_VALUE"""),"Task Execution")</f>
        <v>Task Execution</v>
      </c>
      <c r="H717" s="6">
        <f ca="1"/>
        <v>0</v>
      </c>
      <c r="I717" s="6">
        <f ca="1"/>
        <v>0</v>
      </c>
      <c r="J717" s="6">
        <f ca="1"/>
        <v>0</v>
      </c>
    </row>
    <row r="718" spans="1:10" ht="13" x14ac:dyDescent="0.15">
      <c r="A718" s="6" t="str">
        <f ca="1">IFERROR(__xludf.DUMMYFUNCTION("""COMPUTED_VALUE"""),"Task Execution")</f>
        <v>Task Execution</v>
      </c>
      <c r="B718" s="6" t="str">
        <f ca="1">IFERROR(__xludf.DUMMYFUNCTION("""COMPUTED_VALUE"""),"Task Execution")</f>
        <v>Task Execution</v>
      </c>
      <c r="H718" s="6">
        <f ca="1"/>
        <v>0</v>
      </c>
      <c r="I718" s="6">
        <f ca="1"/>
        <v>0</v>
      </c>
      <c r="J718" s="6">
        <f ca="1"/>
        <v>0</v>
      </c>
    </row>
    <row r="719" spans="1:10" ht="13" x14ac:dyDescent="0.15">
      <c r="A719" s="6" t="str">
        <f ca="1">IFERROR(__xludf.DUMMYFUNCTION("""COMPUTED_VALUE"""),"Coding Style")</f>
        <v>Coding Style</v>
      </c>
      <c r="B719" s="6" t="str">
        <f ca="1">IFERROR(__xludf.DUMMYFUNCTION("""COMPUTED_VALUE"""),"Security")</f>
        <v>Security</v>
      </c>
      <c r="H719" s="6">
        <f ca="1"/>
        <v>0</v>
      </c>
      <c r="I719" s="6">
        <f ca="1"/>
        <v>0</v>
      </c>
      <c r="J719" s="6">
        <f ca="1"/>
        <v>0</v>
      </c>
    </row>
    <row r="720" spans="1:10" ht="13" x14ac:dyDescent="0.15">
      <c r="A720" s="6" t="str">
        <f ca="1">IFERROR(__xludf.DUMMYFUNCTION("""COMPUTED_VALUE"""),"Coding Pattern")</f>
        <v>Coding Pattern</v>
      </c>
      <c r="B720" s="6" t="str">
        <f ca="1">IFERROR(__xludf.DUMMYFUNCTION("""COMPUTED_VALUE"""),"Coding Pattern")</f>
        <v>Coding Pattern</v>
      </c>
      <c r="H720" s="6">
        <f ca="1"/>
        <v>0</v>
      </c>
      <c r="I720" s="6">
        <f ca="1"/>
        <v>0</v>
      </c>
      <c r="J720" s="6">
        <f ca="1"/>
        <v>0</v>
      </c>
    </row>
    <row r="721" spans="1:10" ht="13" x14ac:dyDescent="0.15">
      <c r="A721" s="6" t="str">
        <f ca="1">IFERROR(__xludf.DUMMYFUNCTION("""COMPUTED_VALUE"""),"Coding Pattern")</f>
        <v>Coding Pattern</v>
      </c>
      <c r="B721" s="6" t="str">
        <f ca="1">IFERROR(__xludf.DUMMYFUNCTION("""COMPUTED_VALUE"""),"Coding Pattern")</f>
        <v>Coding Pattern</v>
      </c>
      <c r="H721" s="6">
        <f ca="1"/>
        <v>0</v>
      </c>
      <c r="I721" s="6">
        <f ca="1"/>
        <v>0</v>
      </c>
      <c r="J721" s="6">
        <f ca="1"/>
        <v>0</v>
      </c>
    </row>
    <row r="722" spans="1:10" ht="13" x14ac:dyDescent="0.15">
      <c r="A722" s="6" t="str">
        <f ca="1">IFERROR(__xludf.DUMMYFUNCTION("""COMPUTED_VALUE"""),"Coding Style")</f>
        <v>Coding Style</v>
      </c>
      <c r="B722" s="6" t="str">
        <f ca="1">IFERROR(__xludf.DUMMYFUNCTION("""COMPUTED_VALUE"""),"Coding Style")</f>
        <v>Coding Style</v>
      </c>
      <c r="H722" s="6">
        <f ca="1"/>
        <v>0</v>
      </c>
      <c r="I722" s="6">
        <f ca="1"/>
        <v>0</v>
      </c>
      <c r="J722" s="6">
        <f ca="1"/>
        <v>0</v>
      </c>
    </row>
    <row r="723" spans="1:10" ht="13" x14ac:dyDescent="0.15">
      <c r="A723" s="6" t="str">
        <f ca="1">IFERROR(__xludf.DUMMYFUNCTION("""COMPUTED_VALUE"""),"Coding Style")</f>
        <v>Coding Style</v>
      </c>
      <c r="B723" s="6" t="str">
        <f ca="1">IFERROR(__xludf.DUMMYFUNCTION("""COMPUTED_VALUE"""),"Coding Style")</f>
        <v>Coding Style</v>
      </c>
      <c r="H723" s="6">
        <f ca="1"/>
        <v>0</v>
      </c>
      <c r="I723" s="6">
        <f ca="1"/>
        <v>0</v>
      </c>
      <c r="J723" s="6">
        <f ca="1"/>
        <v>0</v>
      </c>
    </row>
    <row r="724" spans="1:10" ht="13" x14ac:dyDescent="0.15">
      <c r="A724" s="6" t="str">
        <f ca="1">IFERROR(__xludf.DUMMYFUNCTION("""COMPUTED_VALUE"""),"Commit&amp;PR rule")</f>
        <v>Commit&amp;PR rule</v>
      </c>
      <c r="B724" s="6" t="str">
        <f ca="1">IFERROR(__xludf.DUMMYFUNCTION("""COMPUTED_VALUE"""),"Commit&amp;PR rule")</f>
        <v>Commit&amp;PR rule</v>
      </c>
      <c r="H724" s="6">
        <f ca="1"/>
        <v>0</v>
      </c>
      <c r="I724" s="6">
        <f ca="1"/>
        <v>0</v>
      </c>
      <c r="J724" s="6">
        <f ca="1"/>
        <v>0</v>
      </c>
    </row>
    <row r="725" spans="1:10" ht="13" x14ac:dyDescent="0.15">
      <c r="A725" s="6" t="str">
        <f ca="1">IFERROR(__xludf.DUMMYFUNCTION("""COMPUTED_VALUE"""),"Commit&amp;PR rule")</f>
        <v>Commit&amp;PR rule</v>
      </c>
      <c r="B725" s="6" t="str">
        <f ca="1">IFERROR(__xludf.DUMMYFUNCTION("""COMPUTED_VALUE"""),"Commit&amp;PR rule")</f>
        <v>Commit&amp;PR rule</v>
      </c>
      <c r="H725" s="6">
        <f ca="1"/>
        <v>0</v>
      </c>
      <c r="I725" s="6">
        <f ca="1"/>
        <v>0</v>
      </c>
      <c r="J725" s="6">
        <f ca="1"/>
        <v>0</v>
      </c>
    </row>
    <row r="726" spans="1:10" ht="13" x14ac:dyDescent="0.15">
      <c r="A726" s="6" t="str">
        <f ca="1">IFERROR(__xludf.DUMMYFUNCTION("""COMPUTED_VALUE"""),"Task Execution")</f>
        <v>Task Execution</v>
      </c>
      <c r="B726" s="6" t="str">
        <f ca="1">IFERROR(__xludf.DUMMYFUNCTION("""COMPUTED_VALUE"""),"Task Execution")</f>
        <v>Task Execution</v>
      </c>
      <c r="H726" s="6">
        <f ca="1"/>
        <v>0</v>
      </c>
      <c r="I726" s="6">
        <f ca="1"/>
        <v>0</v>
      </c>
      <c r="J726" s="6">
        <f ca="1"/>
        <v>0</v>
      </c>
    </row>
    <row r="727" spans="1:10" ht="13" x14ac:dyDescent="0.15">
      <c r="A727" s="6" t="str">
        <f ca="1">IFERROR(__xludf.DUMMYFUNCTION("""COMPUTED_VALUE"""),"Documentation")</f>
        <v>Documentation</v>
      </c>
      <c r="B727" s="6" t="str">
        <f ca="1">IFERROR(__xludf.DUMMYFUNCTION("""COMPUTED_VALUE"""),"Documentation")</f>
        <v>Documentation</v>
      </c>
      <c r="H727" s="6">
        <f ca="1"/>
        <v>0</v>
      </c>
      <c r="I727" s="6">
        <f ca="1"/>
        <v>0</v>
      </c>
      <c r="J727" s="6">
        <f ca="1"/>
        <v>0</v>
      </c>
    </row>
    <row r="728" spans="1:10" ht="13" x14ac:dyDescent="0.15">
      <c r="A728" s="6" t="str">
        <f ca="1">IFERROR(__xludf.DUMMYFUNCTION("""COMPUTED_VALUE"""),"Coding Pattern")</f>
        <v>Coding Pattern</v>
      </c>
      <c r="B728" s="6" t="str">
        <f ca="1">IFERROR(__xludf.DUMMYFUNCTION("""COMPUTED_VALUE"""),"Coding Pattern")</f>
        <v>Coding Pattern</v>
      </c>
      <c r="H728" s="6">
        <f ca="1"/>
        <v>0</v>
      </c>
      <c r="I728" s="6">
        <f ca="1"/>
        <v>0</v>
      </c>
      <c r="J728" s="6">
        <f ca="1"/>
        <v>0</v>
      </c>
    </row>
    <row r="729" spans="1:10" ht="13" x14ac:dyDescent="0.15">
      <c r="A729" s="6" t="str">
        <f ca="1">IFERROR(__xludf.DUMMYFUNCTION("""COMPUTED_VALUE"""),"Coding Style")</f>
        <v>Coding Style</v>
      </c>
      <c r="B729" s="6" t="str">
        <f ca="1">IFERROR(__xludf.DUMMYFUNCTION("""COMPUTED_VALUE"""),"Coding Style")</f>
        <v>Coding Style</v>
      </c>
      <c r="H729" s="6">
        <f ca="1"/>
        <v>0</v>
      </c>
      <c r="I729" s="6">
        <f ca="1"/>
        <v>0</v>
      </c>
      <c r="J729" s="6">
        <f ca="1"/>
        <v>0</v>
      </c>
    </row>
    <row r="730" spans="1:10" ht="13" x14ac:dyDescent="0.15">
      <c r="A730" s="6" t="str">
        <f ca="1">IFERROR(__xludf.DUMMYFUNCTION("""COMPUTED_VALUE"""),"Build &amp; Operation")</f>
        <v>Build &amp; Operation</v>
      </c>
      <c r="B730" s="6" t="str">
        <f ca="1">IFERROR(__xludf.DUMMYFUNCTION("""COMPUTED_VALUE"""),"Build &amp; Operation")</f>
        <v>Build &amp; Operation</v>
      </c>
      <c r="H730" s="6">
        <f ca="1"/>
        <v>0</v>
      </c>
      <c r="I730" s="6">
        <f ca="1"/>
        <v>0</v>
      </c>
      <c r="J730" s="6">
        <f ca="1"/>
        <v>0</v>
      </c>
    </row>
    <row r="731" spans="1:10" ht="13" x14ac:dyDescent="0.15">
      <c r="A731" s="6" t="str">
        <f ca="1">IFERROR(__xludf.DUMMYFUNCTION("""COMPUTED_VALUE"""),"Documentation")</f>
        <v>Documentation</v>
      </c>
      <c r="B731" s="6" t="str">
        <f ca="1">IFERROR(__xludf.DUMMYFUNCTION("""COMPUTED_VALUE"""),"Documentation")</f>
        <v>Documentation</v>
      </c>
      <c r="H731" s="6">
        <f ca="1"/>
        <v>0</v>
      </c>
      <c r="I731" s="6">
        <f ca="1"/>
        <v>0</v>
      </c>
      <c r="J731" s="6">
        <f ca="1"/>
        <v>0</v>
      </c>
    </row>
    <row r="732" spans="1:10" ht="13" x14ac:dyDescent="0.15">
      <c r="A732" s="6" t="str">
        <f ca="1">IFERROR(__xludf.DUMMYFUNCTION("""COMPUTED_VALUE"""),"Task Execution")</f>
        <v>Task Execution</v>
      </c>
      <c r="B732" s="6" t="str">
        <f ca="1">IFERROR(__xludf.DUMMYFUNCTION("""COMPUTED_VALUE"""),"Task Execution")</f>
        <v>Task Execution</v>
      </c>
      <c r="H732" s="6">
        <f ca="1"/>
        <v>0</v>
      </c>
      <c r="I732" s="6">
        <f ca="1"/>
        <v>0</v>
      </c>
      <c r="J732" s="6">
        <f ca="1"/>
        <v>0</v>
      </c>
    </row>
    <row r="733" spans="1:10" ht="13" x14ac:dyDescent="0.15">
      <c r="A733" s="6" t="str">
        <f ca="1">IFERROR(__xludf.DUMMYFUNCTION("""COMPUTED_VALUE"""),"Commit&amp;PR rule")</f>
        <v>Commit&amp;PR rule</v>
      </c>
      <c r="B733" s="6" t="str">
        <f ca="1">IFERROR(__xludf.DUMMYFUNCTION("""COMPUTED_VALUE"""),"Commit&amp;PR rule")</f>
        <v>Commit&amp;PR rule</v>
      </c>
      <c r="H733" s="6">
        <f ca="1"/>
        <v>0</v>
      </c>
      <c r="I733" s="6">
        <f ca="1"/>
        <v>0</v>
      </c>
      <c r="J733" s="6">
        <f ca="1"/>
        <v>0</v>
      </c>
    </row>
    <row r="734" spans="1:10" ht="13" x14ac:dyDescent="0.15">
      <c r="A734" s="6" t="str">
        <f ca="1">IFERROR(__xludf.DUMMYFUNCTION("""COMPUTED_VALUE"""),"Coding Style")</f>
        <v>Coding Style</v>
      </c>
      <c r="B734" s="6" t="str">
        <f ca="1">IFERROR(__xludf.DUMMYFUNCTION("""COMPUTED_VALUE"""),"Coding Style")</f>
        <v>Coding Style</v>
      </c>
      <c r="H734" s="6">
        <f ca="1"/>
        <v>0</v>
      </c>
      <c r="I734" s="6">
        <f ca="1"/>
        <v>0</v>
      </c>
      <c r="J734" s="6">
        <f ca="1"/>
        <v>0</v>
      </c>
    </row>
    <row r="735" spans="1:10" ht="13" x14ac:dyDescent="0.15">
      <c r="A735" s="6" t="str">
        <f ca="1">IFERROR(__xludf.DUMMYFUNCTION("""COMPUTED_VALUE"""),"Coding Pattern")</f>
        <v>Coding Pattern</v>
      </c>
      <c r="B735" s="6" t="str">
        <f ca="1">IFERROR(__xludf.DUMMYFUNCTION("""COMPUTED_VALUE"""),"Coding Pattern")</f>
        <v>Coding Pattern</v>
      </c>
      <c r="H735" s="6">
        <f ca="1"/>
        <v>0</v>
      </c>
      <c r="I735" s="6">
        <f ca="1"/>
        <v>0</v>
      </c>
      <c r="J735" s="6">
        <f ca="1"/>
        <v>0</v>
      </c>
    </row>
    <row r="736" spans="1:10" ht="13" x14ac:dyDescent="0.15">
      <c r="A736" s="6" t="str">
        <f ca="1">IFERROR(__xludf.DUMMYFUNCTION("""COMPUTED_VALUE"""),"Coding Pattern")</f>
        <v>Coding Pattern</v>
      </c>
      <c r="B736" s="6" t="str">
        <f ca="1">IFERROR(__xludf.DUMMYFUNCTION("""COMPUTED_VALUE"""),"Coding Pattern")</f>
        <v>Coding Pattern</v>
      </c>
      <c r="H736" s="6">
        <f ca="1"/>
        <v>0</v>
      </c>
      <c r="I736" s="6">
        <f ca="1"/>
        <v>0</v>
      </c>
      <c r="J736" s="6">
        <f ca="1"/>
        <v>0</v>
      </c>
    </row>
    <row r="737" spans="1:10" ht="13" x14ac:dyDescent="0.15">
      <c r="A737" s="6" t="str">
        <f ca="1">IFERROR(__xludf.DUMMYFUNCTION("""COMPUTED_VALUE"""),"Coding Pattern")</f>
        <v>Coding Pattern</v>
      </c>
      <c r="B737" s="6" t="str">
        <f ca="1">IFERROR(__xludf.DUMMYFUNCTION("""COMPUTED_VALUE"""),"Coding Pattern")</f>
        <v>Coding Pattern</v>
      </c>
      <c r="H737" s="6">
        <f ca="1"/>
        <v>0</v>
      </c>
      <c r="I737" s="6">
        <f ca="1"/>
        <v>0</v>
      </c>
      <c r="J737" s="6">
        <f ca="1"/>
        <v>0</v>
      </c>
    </row>
    <row r="738" spans="1:10" ht="13" x14ac:dyDescent="0.15">
      <c r="A738" s="6" t="str">
        <f ca="1">IFERROR(__xludf.DUMMYFUNCTION("""COMPUTED_VALUE"""),"Coding Pattern")</f>
        <v>Coding Pattern</v>
      </c>
      <c r="B738" s="6" t="str">
        <f ca="1">IFERROR(__xludf.DUMMYFUNCTION("""COMPUTED_VALUE"""),"Coding Pattern")</f>
        <v>Coding Pattern</v>
      </c>
      <c r="H738" s="6">
        <f ca="1"/>
        <v>0</v>
      </c>
      <c r="I738" s="6">
        <f ca="1"/>
        <v>0</v>
      </c>
      <c r="J738" s="6">
        <f ca="1"/>
        <v>0</v>
      </c>
    </row>
    <row r="739" spans="1:10" ht="13" x14ac:dyDescent="0.15">
      <c r="A739" s="6" t="str">
        <f ca="1">IFERROR(__xludf.DUMMYFUNCTION("""COMPUTED_VALUE"""),"Coding Pattern")</f>
        <v>Coding Pattern</v>
      </c>
      <c r="B739" s="6" t="str">
        <f ca="1">IFERROR(__xludf.DUMMYFUNCTION("""COMPUTED_VALUE"""),"Coding Pattern")</f>
        <v>Coding Pattern</v>
      </c>
      <c r="H739" s="6">
        <f ca="1"/>
        <v>0</v>
      </c>
      <c r="I739" s="6">
        <f ca="1"/>
        <v>0</v>
      </c>
      <c r="J739" s="6">
        <f ca="1"/>
        <v>0</v>
      </c>
    </row>
    <row r="740" spans="1:10" ht="13" x14ac:dyDescent="0.15">
      <c r="A740" s="6" t="str">
        <f ca="1">IFERROR(__xludf.DUMMYFUNCTION("""COMPUTED_VALUE"""),"Coding Pattern")</f>
        <v>Coding Pattern</v>
      </c>
      <c r="B740" s="6" t="str">
        <f ca="1">IFERROR(__xludf.DUMMYFUNCTION("""COMPUTED_VALUE"""),"Coding Pattern")</f>
        <v>Coding Pattern</v>
      </c>
      <c r="H740" s="6">
        <f ca="1"/>
        <v>0</v>
      </c>
      <c r="I740" s="6">
        <f ca="1"/>
        <v>0</v>
      </c>
      <c r="J740" s="6">
        <f ca="1"/>
        <v>0</v>
      </c>
    </row>
    <row r="741" spans="1:10" ht="13" x14ac:dyDescent="0.15">
      <c r="A741" s="6" t="str">
        <f ca="1">IFERROR(__xludf.DUMMYFUNCTION("""COMPUTED_VALUE"""),"Coding Pattern")</f>
        <v>Coding Pattern</v>
      </c>
      <c r="B741" s="6" t="str">
        <f ca="1">IFERROR(__xludf.DUMMYFUNCTION("""COMPUTED_VALUE"""),"Coding Pattern")</f>
        <v>Coding Pattern</v>
      </c>
      <c r="H741" s="6">
        <f ca="1"/>
        <v>0</v>
      </c>
      <c r="I741" s="6">
        <f ca="1"/>
        <v>0</v>
      </c>
      <c r="J741" s="6">
        <f ca="1"/>
        <v>0</v>
      </c>
    </row>
    <row r="742" spans="1:10" ht="13" x14ac:dyDescent="0.15">
      <c r="A742" s="6" t="str">
        <f ca="1">IFERROR(__xludf.DUMMYFUNCTION("""COMPUTED_VALUE"""),"Security")</f>
        <v>Security</v>
      </c>
      <c r="B742" s="6" t="str">
        <f ca="1">IFERROR(__xludf.DUMMYFUNCTION("""COMPUTED_VALUE"""),"Security")</f>
        <v>Security</v>
      </c>
      <c r="H742" s="6">
        <f ca="1"/>
        <v>0</v>
      </c>
      <c r="I742" s="6">
        <f ca="1"/>
        <v>0</v>
      </c>
      <c r="J742" s="6">
        <f ca="1"/>
        <v>0</v>
      </c>
    </row>
    <row r="743" spans="1:10" ht="13" x14ac:dyDescent="0.15">
      <c r="A743" s="6" t="str">
        <f ca="1">IFERROR(__xludf.DUMMYFUNCTION("""COMPUTED_VALUE"""),"Testing")</f>
        <v>Testing</v>
      </c>
      <c r="B743" s="6" t="str">
        <f ca="1">IFERROR(__xludf.DUMMYFUNCTION("""COMPUTED_VALUE"""),"Testing")</f>
        <v>Testing</v>
      </c>
      <c r="H743" s="6">
        <f ca="1"/>
        <v>0</v>
      </c>
      <c r="I743" s="6">
        <f ca="1"/>
        <v>0</v>
      </c>
      <c r="J743" s="6">
        <f ca="1"/>
        <v>0</v>
      </c>
    </row>
    <row r="744" spans="1:10" ht="13" x14ac:dyDescent="0.15">
      <c r="A744" s="6" t="str">
        <f ca="1">IFERROR(__xludf.DUMMYFUNCTION("""COMPUTED_VALUE"""),"Task Execution")</f>
        <v>Task Execution</v>
      </c>
      <c r="B744" s="6" t="str">
        <f ca="1">IFERROR(__xludf.DUMMYFUNCTION("""COMPUTED_VALUE"""),"Task Execution")</f>
        <v>Task Execution</v>
      </c>
      <c r="H744" s="6">
        <f ca="1"/>
        <v>0</v>
      </c>
      <c r="I744" s="6">
        <f ca="1"/>
        <v>0</v>
      </c>
      <c r="J744" s="6">
        <f ca="1"/>
        <v>0</v>
      </c>
    </row>
    <row r="745" spans="1:10" ht="13" x14ac:dyDescent="0.15">
      <c r="A745" s="6" t="str">
        <f ca="1">IFERROR(__xludf.DUMMYFUNCTION("""COMPUTED_VALUE"""),"Task Execution")</f>
        <v>Task Execution</v>
      </c>
      <c r="B745" s="6" t="str">
        <f ca="1">IFERROR(__xludf.DUMMYFUNCTION("""COMPUTED_VALUE"""),"Task Execution")</f>
        <v>Task Execution</v>
      </c>
      <c r="H745" s="6">
        <f ca="1"/>
        <v>0</v>
      </c>
      <c r="I745" s="6">
        <f ca="1"/>
        <v>0</v>
      </c>
      <c r="J745" s="6">
        <f ca="1"/>
        <v>0</v>
      </c>
    </row>
    <row r="746" spans="1:10" ht="13" x14ac:dyDescent="0.15">
      <c r="A746" s="6" t="str">
        <f ca="1">IFERROR(__xludf.DUMMYFUNCTION("""COMPUTED_VALUE"""),"Documentation")</f>
        <v>Documentation</v>
      </c>
      <c r="B746" s="6" t="str">
        <f ca="1">IFERROR(__xludf.DUMMYFUNCTION("""COMPUTED_VALUE"""),"Documentation")</f>
        <v>Documentation</v>
      </c>
      <c r="H746" s="6">
        <f ca="1"/>
        <v>0</v>
      </c>
      <c r="I746" s="6">
        <f ca="1"/>
        <v>0</v>
      </c>
      <c r="J746" s="6">
        <f ca="1"/>
        <v>0</v>
      </c>
    </row>
    <row r="747" spans="1:10" ht="13" x14ac:dyDescent="0.15">
      <c r="A747" s="6" t="str">
        <f ca="1">IFERROR(__xludf.DUMMYFUNCTION("""COMPUTED_VALUE"""),"Documentation")</f>
        <v>Documentation</v>
      </c>
      <c r="B747" s="6" t="str">
        <f ca="1">IFERROR(__xludf.DUMMYFUNCTION("""COMPUTED_VALUE"""),"Documentation")</f>
        <v>Documentation</v>
      </c>
      <c r="H747" s="6">
        <f ca="1"/>
        <v>0</v>
      </c>
      <c r="I747" s="6">
        <f ca="1"/>
        <v>0</v>
      </c>
      <c r="J747" s="6">
        <f ca="1"/>
        <v>0</v>
      </c>
    </row>
    <row r="748" spans="1:10" ht="13" x14ac:dyDescent="0.15">
      <c r="A748" s="6" t="str">
        <f ca="1">IFERROR(__xludf.DUMMYFUNCTION("""COMPUTED_VALUE"""),"Build &amp; Operation")</f>
        <v>Build &amp; Operation</v>
      </c>
      <c r="B748" s="6" t="str">
        <f ca="1">IFERROR(__xludf.DUMMYFUNCTION("""COMPUTED_VALUE"""),"Build &amp; Operation")</f>
        <v>Build &amp; Operation</v>
      </c>
      <c r="H748" s="6">
        <f ca="1"/>
        <v>0</v>
      </c>
      <c r="I748" s="6">
        <f ca="1"/>
        <v>0</v>
      </c>
      <c r="J748" s="6">
        <f ca="1"/>
        <v>0</v>
      </c>
    </row>
    <row r="749" spans="1:10" ht="13" x14ac:dyDescent="0.15">
      <c r="A749" s="6" t="str">
        <f ca="1">IFERROR(__xludf.DUMMYFUNCTION("""COMPUTED_VALUE"""),"Coding Style")</f>
        <v>Coding Style</v>
      </c>
      <c r="B749" s="6" t="str">
        <f ca="1">IFERROR(__xludf.DUMMYFUNCTION("""COMPUTED_VALUE"""),"Coding Style")</f>
        <v>Coding Style</v>
      </c>
      <c r="H749" s="6">
        <f ca="1"/>
        <v>0</v>
      </c>
      <c r="I749" s="6">
        <f ca="1"/>
        <v>0</v>
      </c>
      <c r="J749" s="6">
        <f ca="1"/>
        <v>0</v>
      </c>
    </row>
    <row r="750" spans="1:10" ht="13" x14ac:dyDescent="0.15">
      <c r="A750" s="6" t="str">
        <f ca="1">IFERROR(__xludf.DUMMYFUNCTION("""COMPUTED_VALUE"""),"Build &amp; Operation")</f>
        <v>Build &amp; Operation</v>
      </c>
      <c r="B750" s="6" t="str">
        <f ca="1">IFERROR(__xludf.DUMMYFUNCTION("""COMPUTED_VALUE"""),"Task Execution")</f>
        <v>Task Execution</v>
      </c>
      <c r="H750" s="6">
        <f ca="1"/>
        <v>0</v>
      </c>
      <c r="I750" s="6">
        <f ca="1"/>
        <v>0</v>
      </c>
      <c r="J750" s="6">
        <f ca="1"/>
        <v>0</v>
      </c>
    </row>
    <row r="751" spans="1:10" ht="13" x14ac:dyDescent="0.15">
      <c r="A751" s="6" t="str">
        <f ca="1">IFERROR(__xludf.DUMMYFUNCTION("""COMPUTED_VALUE"""),"Task Execution")</f>
        <v>Task Execution</v>
      </c>
      <c r="B751" s="6" t="str">
        <f ca="1">IFERROR(__xludf.DUMMYFUNCTION("""COMPUTED_VALUE"""),"Task Execution")</f>
        <v>Task Execution</v>
      </c>
      <c r="H751" s="6">
        <f ca="1"/>
        <v>0</v>
      </c>
      <c r="I751" s="6">
        <f ca="1"/>
        <v>0</v>
      </c>
      <c r="J751" s="6">
        <f ca="1"/>
        <v>0</v>
      </c>
    </row>
    <row r="752" spans="1:10" ht="13" x14ac:dyDescent="0.15">
      <c r="A752" s="6" t="str">
        <f ca="1">IFERROR(__xludf.DUMMYFUNCTION("""COMPUTED_VALUE"""),"Task Execution")</f>
        <v>Task Execution</v>
      </c>
      <c r="B752" s="6" t="str">
        <f ca="1">IFERROR(__xludf.DUMMYFUNCTION("""COMPUTED_VALUE"""),"Task Execution")</f>
        <v>Task Execution</v>
      </c>
      <c r="H752" s="6">
        <f ca="1"/>
        <v>0</v>
      </c>
      <c r="I752" s="6">
        <f ca="1"/>
        <v>0</v>
      </c>
      <c r="J752" s="6">
        <f ca="1"/>
        <v>0</v>
      </c>
    </row>
    <row r="753" spans="1:10" ht="13" x14ac:dyDescent="0.15">
      <c r="A753" s="6" t="str">
        <f ca="1">IFERROR(__xludf.DUMMYFUNCTION("""COMPUTED_VALUE"""),"Coding Pattern")</f>
        <v>Coding Pattern</v>
      </c>
      <c r="B753" s="6" t="str">
        <f ca="1">IFERROR(__xludf.DUMMYFUNCTION("""COMPUTED_VALUE"""),"Coding Pattern")</f>
        <v>Coding Pattern</v>
      </c>
      <c r="H753" s="6">
        <f ca="1"/>
        <v>0</v>
      </c>
      <c r="I753" s="6">
        <f ca="1"/>
        <v>0</v>
      </c>
      <c r="J753" s="6">
        <f ca="1"/>
        <v>0</v>
      </c>
    </row>
    <row r="754" spans="1:10" ht="13" x14ac:dyDescent="0.15">
      <c r="A754" s="6" t="str">
        <f ca="1">IFERROR(__xludf.DUMMYFUNCTION("""COMPUTED_VALUE"""),"Task Execution")</f>
        <v>Task Execution</v>
      </c>
      <c r="B754" s="6" t="str">
        <f ca="1">IFERROR(__xludf.DUMMYFUNCTION("""COMPUTED_VALUE"""),"Task Execution")</f>
        <v>Task Execution</v>
      </c>
      <c r="H754" s="6">
        <f ca="1"/>
        <v>0</v>
      </c>
      <c r="I754" s="6">
        <f ca="1"/>
        <v>0</v>
      </c>
      <c r="J754" s="6">
        <f ca="1"/>
        <v>0</v>
      </c>
    </row>
    <row r="755" spans="1:10" ht="13" x14ac:dyDescent="0.15">
      <c r="A755" s="6" t="str">
        <f ca="1">IFERROR(__xludf.DUMMYFUNCTION("""COMPUTED_VALUE"""),"Task Execution")</f>
        <v>Task Execution</v>
      </c>
      <c r="B755" s="6" t="str">
        <f ca="1">IFERROR(__xludf.DUMMYFUNCTION("""COMPUTED_VALUE"""),"Task Execution")</f>
        <v>Task Execution</v>
      </c>
      <c r="H755" s="6">
        <f ca="1"/>
        <v>0</v>
      </c>
      <c r="I755" s="6">
        <f ca="1"/>
        <v>0</v>
      </c>
      <c r="J755" s="6">
        <f ca="1"/>
        <v>0</v>
      </c>
    </row>
    <row r="756" spans="1:10" ht="13" x14ac:dyDescent="0.15">
      <c r="A756" s="6" t="str">
        <f ca="1">IFERROR(__xludf.DUMMYFUNCTION("""COMPUTED_VALUE"""),"Task Execution")</f>
        <v>Task Execution</v>
      </c>
      <c r="B756" s="6" t="str">
        <f ca="1">IFERROR(__xludf.DUMMYFUNCTION("""COMPUTED_VALUE"""),"Task Execution")</f>
        <v>Task Execution</v>
      </c>
      <c r="H756" s="6">
        <f ca="1"/>
        <v>0</v>
      </c>
      <c r="I756" s="6">
        <f ca="1"/>
        <v>0</v>
      </c>
      <c r="J756" s="6">
        <f ca="1"/>
        <v>0</v>
      </c>
    </row>
    <row r="757" spans="1:10" ht="13" x14ac:dyDescent="0.15">
      <c r="A757" s="6" t="str">
        <f ca="1">IFERROR(__xludf.DUMMYFUNCTION("""COMPUTED_VALUE"""),"Task Execution")</f>
        <v>Task Execution</v>
      </c>
      <c r="B757" s="6" t="str">
        <f ca="1">IFERROR(__xludf.DUMMYFUNCTION("""COMPUTED_VALUE"""),"Task Execution")</f>
        <v>Task Execution</v>
      </c>
      <c r="H757" s="6">
        <f ca="1"/>
        <v>0</v>
      </c>
      <c r="I757" s="6">
        <f ca="1"/>
        <v>0</v>
      </c>
      <c r="J757" s="6">
        <f ca="1"/>
        <v>0</v>
      </c>
    </row>
    <row r="758" spans="1:10" ht="13" x14ac:dyDescent="0.15">
      <c r="A758" s="6" t="str">
        <f ca="1">IFERROR(__xludf.DUMMYFUNCTION("""COMPUTED_VALUE"""),"Coding Pattern")</f>
        <v>Coding Pattern</v>
      </c>
      <c r="B758" s="6" t="str">
        <f ca="1">IFERROR(__xludf.DUMMYFUNCTION("""COMPUTED_VALUE"""),"Coding Pattern")</f>
        <v>Coding Pattern</v>
      </c>
      <c r="H758" s="6">
        <f ca="1"/>
        <v>0</v>
      </c>
      <c r="I758" s="6">
        <f ca="1"/>
        <v>0</v>
      </c>
      <c r="J758" s="6">
        <f ca="1"/>
        <v>0</v>
      </c>
    </row>
    <row r="759" spans="1:10" ht="13" x14ac:dyDescent="0.15">
      <c r="A759" s="6" t="str">
        <f ca="1">IFERROR(__xludf.DUMMYFUNCTION("""COMPUTED_VALUE"""),"Testing")</f>
        <v>Testing</v>
      </c>
      <c r="B759" s="6" t="str">
        <f ca="1">IFERROR(__xludf.DUMMYFUNCTION("""COMPUTED_VALUE"""),"Testing")</f>
        <v>Testing</v>
      </c>
      <c r="H759" s="6">
        <f ca="1"/>
        <v>0</v>
      </c>
      <c r="I759" s="6">
        <f ca="1"/>
        <v>0</v>
      </c>
      <c r="J759" s="6">
        <f ca="1"/>
        <v>0</v>
      </c>
    </row>
    <row r="760" spans="1:10" ht="13" x14ac:dyDescent="0.15">
      <c r="A760" s="6" t="str">
        <f ca="1">IFERROR(__xludf.DUMMYFUNCTION("""COMPUTED_VALUE"""),"Testing")</f>
        <v>Testing</v>
      </c>
      <c r="B760" s="6" t="str">
        <f ca="1">IFERROR(__xludf.DUMMYFUNCTION("""COMPUTED_VALUE"""),"Testing")</f>
        <v>Testing</v>
      </c>
      <c r="H760" s="6">
        <f ca="1"/>
        <v>0</v>
      </c>
      <c r="I760" s="6">
        <f ca="1"/>
        <v>0</v>
      </c>
      <c r="J760" s="6">
        <f ca="1"/>
        <v>0</v>
      </c>
    </row>
    <row r="761" spans="1:10" ht="13" x14ac:dyDescent="0.15">
      <c r="A761" s="6" t="str">
        <f ca="1">IFERROR(__xludf.DUMMYFUNCTION("""COMPUTED_VALUE"""),"Testing")</f>
        <v>Testing</v>
      </c>
      <c r="B761" s="6" t="str">
        <f ca="1">IFERROR(__xludf.DUMMYFUNCTION("""COMPUTED_VALUE"""),"Testing")</f>
        <v>Testing</v>
      </c>
      <c r="H761" s="6">
        <f ca="1"/>
        <v>0</v>
      </c>
      <c r="I761" s="6">
        <f ca="1"/>
        <v>0</v>
      </c>
      <c r="J761" s="6">
        <f ca="1"/>
        <v>0</v>
      </c>
    </row>
    <row r="762" spans="1:10" ht="13" x14ac:dyDescent="0.15">
      <c r="A762" s="6" t="str">
        <f ca="1">IFERROR(__xludf.DUMMYFUNCTION("""COMPUTED_VALUE"""),"Testing")</f>
        <v>Testing</v>
      </c>
      <c r="B762" s="6" t="str">
        <f ca="1">IFERROR(__xludf.DUMMYFUNCTION("""COMPUTED_VALUE"""),"Testing")</f>
        <v>Testing</v>
      </c>
      <c r="H762" s="6">
        <f ca="1"/>
        <v>0</v>
      </c>
      <c r="I762" s="6">
        <f ca="1"/>
        <v>0</v>
      </c>
      <c r="J762" s="6">
        <f ca="1"/>
        <v>0</v>
      </c>
    </row>
    <row r="763" spans="1:10" ht="13" x14ac:dyDescent="0.15">
      <c r="A763" s="6" t="str">
        <f ca="1">IFERROR(__xludf.DUMMYFUNCTION("""COMPUTED_VALUE"""),"Testing")</f>
        <v>Testing</v>
      </c>
      <c r="B763" s="6" t="str">
        <f ca="1">IFERROR(__xludf.DUMMYFUNCTION("""COMPUTED_VALUE"""),"Testing")</f>
        <v>Testing</v>
      </c>
      <c r="H763" s="6">
        <f ca="1"/>
        <v>0</v>
      </c>
      <c r="I763" s="6">
        <f ca="1"/>
        <v>0</v>
      </c>
      <c r="J763" s="6">
        <f ca="1"/>
        <v>0</v>
      </c>
    </row>
    <row r="764" spans="1:10" ht="13" x14ac:dyDescent="0.15">
      <c r="A764" s="6" t="str">
        <f ca="1">IFERROR(__xludf.DUMMYFUNCTION("""COMPUTED_VALUE"""),"Testing")</f>
        <v>Testing</v>
      </c>
      <c r="B764" s="6" t="str">
        <f ca="1">IFERROR(__xludf.DUMMYFUNCTION("""COMPUTED_VALUE"""),"Testing")</f>
        <v>Testing</v>
      </c>
      <c r="H764" s="6">
        <f ca="1"/>
        <v>0</v>
      </c>
      <c r="I764" s="6">
        <f ca="1"/>
        <v>0</v>
      </c>
      <c r="J764" s="6">
        <f ca="1"/>
        <v>0</v>
      </c>
    </row>
    <row r="765" spans="1:10" ht="13" x14ac:dyDescent="0.15">
      <c r="A765" s="6" t="str">
        <f ca="1">IFERROR(__xludf.DUMMYFUNCTION("""COMPUTED_VALUE"""),"Coding Pattern")</f>
        <v>Coding Pattern</v>
      </c>
      <c r="B765" s="6" t="str">
        <f ca="1">IFERROR(__xludf.DUMMYFUNCTION("""COMPUTED_VALUE"""),"Coding Pattern")</f>
        <v>Coding Pattern</v>
      </c>
      <c r="H765" s="6">
        <f ca="1"/>
        <v>0</v>
      </c>
      <c r="I765" s="6">
        <f ca="1"/>
        <v>0</v>
      </c>
      <c r="J765" s="6">
        <f ca="1"/>
        <v>0</v>
      </c>
    </row>
    <row r="766" spans="1:10" ht="13" x14ac:dyDescent="0.15">
      <c r="A766" s="6" t="str">
        <f ca="1">IFERROR(__xludf.DUMMYFUNCTION("""COMPUTED_VALUE"""),"Coding Pattern")</f>
        <v>Coding Pattern</v>
      </c>
      <c r="B766" s="6" t="str">
        <f ca="1">IFERROR(__xludf.DUMMYFUNCTION("""COMPUTED_VALUE"""),"Coding Pattern")</f>
        <v>Coding Pattern</v>
      </c>
      <c r="H766" s="6">
        <f ca="1"/>
        <v>0</v>
      </c>
      <c r="I766" s="6">
        <f ca="1"/>
        <v>0</v>
      </c>
      <c r="J766" s="6">
        <f ca="1"/>
        <v>0</v>
      </c>
    </row>
    <row r="767" spans="1:10" ht="13" x14ac:dyDescent="0.15">
      <c r="A767" s="6" t="str">
        <f ca="1">IFERROR(__xludf.DUMMYFUNCTION("""COMPUTED_VALUE"""),"Coding Pattern")</f>
        <v>Coding Pattern</v>
      </c>
      <c r="B767" s="6" t="str">
        <f ca="1">IFERROR(__xludf.DUMMYFUNCTION("""COMPUTED_VALUE"""),"Coding Pattern")</f>
        <v>Coding Pattern</v>
      </c>
      <c r="H767" s="6">
        <f ca="1"/>
        <v>0</v>
      </c>
      <c r="I767" s="6">
        <f ca="1"/>
        <v>0</v>
      </c>
      <c r="J767" s="6">
        <f ca="1"/>
        <v>0</v>
      </c>
    </row>
    <row r="768" spans="1:10" ht="13" x14ac:dyDescent="0.15">
      <c r="A768" s="6" t="str">
        <f ca="1">IFERROR(__xludf.DUMMYFUNCTION("""COMPUTED_VALUE"""),"Coding Pattern")</f>
        <v>Coding Pattern</v>
      </c>
      <c r="B768" s="6" t="str">
        <f ca="1">IFERROR(__xludf.DUMMYFUNCTION("""COMPUTED_VALUE"""),"Coding Pattern")</f>
        <v>Coding Pattern</v>
      </c>
      <c r="H768" s="6">
        <f ca="1"/>
        <v>0</v>
      </c>
      <c r="I768" s="6">
        <f ca="1"/>
        <v>0</v>
      </c>
      <c r="J768" s="6">
        <f ca="1"/>
        <v>0</v>
      </c>
    </row>
    <row r="769" spans="1:10" ht="13" x14ac:dyDescent="0.15">
      <c r="A769" s="6" t="str">
        <f ca="1">IFERROR(__xludf.DUMMYFUNCTION("""COMPUTED_VALUE"""),"Testing")</f>
        <v>Testing</v>
      </c>
      <c r="B769" s="6" t="str">
        <f ca="1">IFERROR(__xludf.DUMMYFUNCTION("""COMPUTED_VALUE"""),"Testing")</f>
        <v>Testing</v>
      </c>
      <c r="H769" s="6">
        <f ca="1"/>
        <v>0</v>
      </c>
      <c r="I769" s="6">
        <f ca="1"/>
        <v>0</v>
      </c>
      <c r="J769" s="6">
        <f ca="1"/>
        <v>0</v>
      </c>
    </row>
    <row r="770" spans="1:10" ht="13" x14ac:dyDescent="0.15">
      <c r="A770" s="6" t="str">
        <f ca="1">IFERROR(__xludf.DUMMYFUNCTION("""COMPUTED_VALUE"""),"Security")</f>
        <v>Security</v>
      </c>
      <c r="B770" s="6" t="str">
        <f ca="1">IFERROR(__xludf.DUMMYFUNCTION("""COMPUTED_VALUE"""),"Security")</f>
        <v>Security</v>
      </c>
      <c r="H770" s="6">
        <f ca="1"/>
        <v>0</v>
      </c>
      <c r="I770" s="6">
        <f ca="1"/>
        <v>0</v>
      </c>
      <c r="J770" s="6">
        <f ca="1"/>
        <v>0</v>
      </c>
    </row>
    <row r="771" spans="1:10" ht="13" x14ac:dyDescent="0.15">
      <c r="A771" s="6" t="str">
        <f ca="1">IFERROR(__xludf.DUMMYFUNCTION("""COMPUTED_VALUE"""),"Commit&amp;PR rule")</f>
        <v>Commit&amp;PR rule</v>
      </c>
      <c r="B771" s="6" t="str">
        <f ca="1">IFERROR(__xludf.DUMMYFUNCTION("""COMPUTED_VALUE"""),"Build &amp; Operation")</f>
        <v>Build &amp; Operation</v>
      </c>
      <c r="H771" s="6">
        <f ca="1"/>
        <v>0</v>
      </c>
      <c r="I771" s="6">
        <f ca="1"/>
        <v>0</v>
      </c>
      <c r="J771" s="6">
        <f ca="1"/>
        <v>0</v>
      </c>
    </row>
    <row r="772" spans="1:10" ht="13" x14ac:dyDescent="0.15">
      <c r="A772" s="6" t="str">
        <f ca="1">IFERROR(__xludf.DUMMYFUNCTION("""COMPUTED_VALUE"""),"Task Execution")</f>
        <v>Task Execution</v>
      </c>
      <c r="B772" s="6" t="str">
        <f ca="1">IFERROR(__xludf.DUMMYFUNCTION("""COMPUTED_VALUE"""),"Task Execution")</f>
        <v>Task Execution</v>
      </c>
      <c r="H772" s="6">
        <f ca="1"/>
        <v>0</v>
      </c>
      <c r="I772" s="6">
        <f ca="1"/>
        <v>0</v>
      </c>
      <c r="J772" s="6">
        <f ca="1"/>
        <v>0</v>
      </c>
    </row>
    <row r="773" spans="1:10" ht="13" x14ac:dyDescent="0.15">
      <c r="A773" s="6" t="str">
        <f ca="1">IFERROR(__xludf.DUMMYFUNCTION("""COMPUTED_VALUE"""),"Commit&amp;PR rule")</f>
        <v>Commit&amp;PR rule</v>
      </c>
      <c r="B773" s="6" t="str">
        <f ca="1">IFERROR(__xludf.DUMMYFUNCTION("""COMPUTED_VALUE"""),"Commit&amp;PR rule")</f>
        <v>Commit&amp;PR rule</v>
      </c>
      <c r="H773" s="6">
        <f ca="1"/>
        <v>0</v>
      </c>
      <c r="I773" s="6">
        <f ca="1"/>
        <v>0</v>
      </c>
      <c r="J773" s="6">
        <f ca="1"/>
        <v>0</v>
      </c>
    </row>
    <row r="774" spans="1:10" ht="13" x14ac:dyDescent="0.15">
      <c r="A774" s="6" t="str">
        <f ca="1">IFERROR(__xludf.DUMMYFUNCTION("""COMPUTED_VALUE"""),"Testing")</f>
        <v>Testing</v>
      </c>
      <c r="B774" s="6" t="str">
        <f ca="1">IFERROR(__xludf.DUMMYFUNCTION("""COMPUTED_VALUE"""),"Testing")</f>
        <v>Testing</v>
      </c>
      <c r="H774" s="6">
        <f ca="1"/>
        <v>0</v>
      </c>
      <c r="I774" s="6">
        <f ca="1"/>
        <v>0</v>
      </c>
      <c r="J774" s="6">
        <f ca="1"/>
        <v>0</v>
      </c>
    </row>
    <row r="775" spans="1:10" ht="13" x14ac:dyDescent="0.15">
      <c r="A775" s="6" t="str">
        <f ca="1">IFERROR(__xludf.DUMMYFUNCTION("""COMPUTED_VALUE"""),"Testing")</f>
        <v>Testing</v>
      </c>
      <c r="B775" s="6" t="str">
        <f ca="1">IFERROR(__xludf.DUMMYFUNCTION("""COMPUTED_VALUE"""),"Testing")</f>
        <v>Testing</v>
      </c>
      <c r="H775" s="6">
        <f ca="1"/>
        <v>0</v>
      </c>
      <c r="I775" s="6">
        <f ca="1"/>
        <v>0</v>
      </c>
      <c r="J775" s="6">
        <f ca="1"/>
        <v>0</v>
      </c>
    </row>
    <row r="776" spans="1:10" ht="13" x14ac:dyDescent="0.15">
      <c r="A776" s="6" t="str">
        <f ca="1">IFERROR(__xludf.DUMMYFUNCTION("""COMPUTED_VALUE"""),"Testing")</f>
        <v>Testing</v>
      </c>
      <c r="B776" s="6" t="str">
        <f ca="1">IFERROR(__xludf.DUMMYFUNCTION("""COMPUTED_VALUE"""),"Testing")</f>
        <v>Testing</v>
      </c>
      <c r="H776" s="6">
        <f ca="1"/>
        <v>0</v>
      </c>
      <c r="I776" s="6">
        <f ca="1"/>
        <v>0</v>
      </c>
      <c r="J776" s="6">
        <f ca="1"/>
        <v>0</v>
      </c>
    </row>
    <row r="777" spans="1:10" ht="13" x14ac:dyDescent="0.15">
      <c r="A777" s="6" t="str">
        <f ca="1">IFERROR(__xludf.DUMMYFUNCTION("""COMPUTED_VALUE"""),"Build &amp; Operation")</f>
        <v>Build &amp; Operation</v>
      </c>
      <c r="B777" s="6" t="str">
        <f ca="1">IFERROR(__xludf.DUMMYFUNCTION("""COMPUTED_VALUE"""),"Build &amp; Operation")</f>
        <v>Build &amp; Operation</v>
      </c>
      <c r="H777" s="6">
        <f ca="1"/>
        <v>0</v>
      </c>
      <c r="I777" s="6">
        <f ca="1"/>
        <v>0</v>
      </c>
      <c r="J777" s="6">
        <f ca="1"/>
        <v>0</v>
      </c>
    </row>
    <row r="778" spans="1:10" ht="13" x14ac:dyDescent="0.15">
      <c r="A778" s="6" t="str">
        <f ca="1">IFERROR(__xludf.DUMMYFUNCTION("""COMPUTED_VALUE"""),"Commit&amp;PR rule")</f>
        <v>Commit&amp;PR rule</v>
      </c>
      <c r="B778" s="6" t="str">
        <f ca="1">IFERROR(__xludf.DUMMYFUNCTION("""COMPUTED_VALUE"""),"Commit&amp;PR rule")</f>
        <v>Commit&amp;PR rule</v>
      </c>
      <c r="H778" s="6">
        <f ca="1"/>
        <v>0</v>
      </c>
      <c r="I778" s="6">
        <f ca="1"/>
        <v>0</v>
      </c>
      <c r="J778" s="6">
        <f ca="1"/>
        <v>0</v>
      </c>
    </row>
    <row r="779" spans="1:10" ht="13" x14ac:dyDescent="0.15">
      <c r="A779" s="6" t="str">
        <f ca="1">IFERROR(__xludf.DUMMYFUNCTION("""COMPUTED_VALUE"""),"Commit&amp;PR rule")</f>
        <v>Commit&amp;PR rule</v>
      </c>
      <c r="B779" s="6" t="str">
        <f ca="1">IFERROR(__xludf.DUMMYFUNCTION("""COMPUTED_VALUE"""),"Commit&amp;PR rule")</f>
        <v>Commit&amp;PR rule</v>
      </c>
      <c r="H779" s="6">
        <f ca="1"/>
        <v>0</v>
      </c>
      <c r="I779" s="6">
        <f ca="1"/>
        <v>0</v>
      </c>
      <c r="J779" s="6">
        <f ca="1"/>
        <v>0</v>
      </c>
    </row>
    <row r="780" spans="1:10" ht="13" x14ac:dyDescent="0.15">
      <c r="A780" s="6" t="str">
        <f ca="1">IFERROR(__xludf.DUMMYFUNCTION("""COMPUTED_VALUE"""),"Commit&amp;PR rule")</f>
        <v>Commit&amp;PR rule</v>
      </c>
      <c r="B780" s="6" t="str">
        <f ca="1">IFERROR(__xludf.DUMMYFUNCTION("""COMPUTED_VALUE"""),"Commit&amp;PR rule")</f>
        <v>Commit&amp;PR rule</v>
      </c>
      <c r="H780" s="6">
        <f ca="1"/>
        <v>0</v>
      </c>
      <c r="I780" s="6">
        <f ca="1"/>
        <v>0</v>
      </c>
      <c r="J780" s="6">
        <f ca="1"/>
        <v>0</v>
      </c>
    </row>
    <row r="781" spans="1:10" ht="13" x14ac:dyDescent="0.15">
      <c r="A781" s="6" t="str">
        <f ca="1">IFERROR(__xludf.DUMMYFUNCTION("""COMPUTED_VALUE"""),"Documentation")</f>
        <v>Documentation</v>
      </c>
      <c r="B781" s="6" t="str">
        <f ca="1">IFERROR(__xludf.DUMMYFUNCTION("""COMPUTED_VALUE"""),"Documentation")</f>
        <v>Documentation</v>
      </c>
      <c r="H781" s="6">
        <f ca="1"/>
        <v>0</v>
      </c>
      <c r="I781" s="6">
        <f ca="1"/>
        <v>0</v>
      </c>
      <c r="J781" s="6">
        <f ca="1"/>
        <v>0</v>
      </c>
    </row>
    <row r="782" spans="1:10" ht="13" x14ac:dyDescent="0.15">
      <c r="A782" s="6" t="str">
        <f ca="1">IFERROR(__xludf.DUMMYFUNCTION("""COMPUTED_VALUE"""),"Commit&amp;PR rule")</f>
        <v>Commit&amp;PR rule</v>
      </c>
      <c r="B782" s="6" t="str">
        <f ca="1">IFERROR(__xludf.DUMMYFUNCTION("""COMPUTED_VALUE"""),"Commit&amp;PR rule")</f>
        <v>Commit&amp;PR rule</v>
      </c>
      <c r="H782" s="6">
        <f ca="1"/>
        <v>0</v>
      </c>
      <c r="I782" s="6">
        <f ca="1"/>
        <v>0</v>
      </c>
      <c r="J782" s="6">
        <f ca="1"/>
        <v>0</v>
      </c>
    </row>
    <row r="783" spans="1:10" ht="13" x14ac:dyDescent="0.15">
      <c r="A783" s="6" t="str">
        <f ca="1">IFERROR(__xludf.DUMMYFUNCTION("""COMPUTED_VALUE"""),"Commit&amp;PR rule")</f>
        <v>Commit&amp;PR rule</v>
      </c>
      <c r="B783" s="6" t="str">
        <f ca="1">IFERROR(__xludf.DUMMYFUNCTION("""COMPUTED_VALUE"""),"Commit&amp;PR rule")</f>
        <v>Commit&amp;PR rule</v>
      </c>
      <c r="H783" s="6">
        <f ca="1"/>
        <v>0</v>
      </c>
      <c r="I783" s="6">
        <f ca="1"/>
        <v>0</v>
      </c>
      <c r="J783" s="6">
        <f ca="1"/>
        <v>0</v>
      </c>
    </row>
    <row r="784" spans="1:10" ht="13" x14ac:dyDescent="0.15">
      <c r="A784" s="6" t="str">
        <f ca="1">IFERROR(__xludf.DUMMYFUNCTION("""COMPUTED_VALUE"""),"Coding Pattern")</f>
        <v>Coding Pattern</v>
      </c>
      <c r="B784" s="6" t="str">
        <f ca="1">IFERROR(__xludf.DUMMYFUNCTION("""COMPUTED_VALUE"""),"Coding Pattern")</f>
        <v>Coding Pattern</v>
      </c>
      <c r="H784" s="6">
        <f ca="1"/>
        <v>0</v>
      </c>
      <c r="I784" s="6">
        <f ca="1"/>
        <v>0</v>
      </c>
      <c r="J784" s="6">
        <f ca="1"/>
        <v>0</v>
      </c>
    </row>
    <row r="785" spans="1:10" ht="13" x14ac:dyDescent="0.15">
      <c r="A785" s="6" t="str">
        <f ca="1">IFERROR(__xludf.DUMMYFUNCTION("""COMPUTED_VALUE"""),"Build &amp; Operation")</f>
        <v>Build &amp; Operation</v>
      </c>
      <c r="B785" s="6" t="str">
        <f ca="1">IFERROR(__xludf.DUMMYFUNCTION("""COMPUTED_VALUE"""),"Build &amp; Operation")</f>
        <v>Build &amp; Operation</v>
      </c>
      <c r="H785" s="6">
        <f ca="1"/>
        <v>0</v>
      </c>
      <c r="I785" s="6">
        <f ca="1"/>
        <v>0</v>
      </c>
      <c r="J785" s="6">
        <f ca="1"/>
        <v>0</v>
      </c>
    </row>
    <row r="786" spans="1:10" ht="13" x14ac:dyDescent="0.15">
      <c r="A786" s="6" t="str">
        <f ca="1">IFERROR(__xludf.DUMMYFUNCTION("""COMPUTED_VALUE"""),"Coding Pattern")</f>
        <v>Coding Pattern</v>
      </c>
      <c r="B786" s="6" t="str">
        <f ca="1">IFERROR(__xludf.DUMMYFUNCTION("""COMPUTED_VALUE"""),"Coding Pattern")</f>
        <v>Coding Pattern</v>
      </c>
      <c r="H786" s="6">
        <f ca="1"/>
        <v>0</v>
      </c>
      <c r="I786" s="6">
        <f ca="1"/>
        <v>0</v>
      </c>
      <c r="J786" s="6">
        <f ca="1"/>
        <v>0</v>
      </c>
    </row>
    <row r="787" spans="1:10" ht="13" x14ac:dyDescent="0.15">
      <c r="A787" s="6" t="str">
        <f ca="1">IFERROR(__xludf.DUMMYFUNCTION("""COMPUTED_VALUE"""),"Coding Pattern")</f>
        <v>Coding Pattern</v>
      </c>
      <c r="B787" s="6" t="str">
        <f ca="1">IFERROR(__xludf.DUMMYFUNCTION("""COMPUTED_VALUE"""),"Coding Pattern")</f>
        <v>Coding Pattern</v>
      </c>
      <c r="H787" s="6">
        <f ca="1"/>
        <v>0</v>
      </c>
      <c r="I787" s="6">
        <f ca="1"/>
        <v>0</v>
      </c>
      <c r="J787" s="6">
        <f ca="1"/>
        <v>0</v>
      </c>
    </row>
    <row r="788" spans="1:10" ht="13" x14ac:dyDescent="0.15">
      <c r="A788" s="6" t="str">
        <f ca="1">IFERROR(__xludf.DUMMYFUNCTION("""COMPUTED_VALUE"""),"Coding Pattern")</f>
        <v>Coding Pattern</v>
      </c>
      <c r="B788" s="6" t="str">
        <f ca="1">IFERROR(__xludf.DUMMYFUNCTION("""COMPUTED_VALUE"""),"Coding Pattern")</f>
        <v>Coding Pattern</v>
      </c>
      <c r="H788" s="6">
        <f ca="1"/>
        <v>0</v>
      </c>
      <c r="I788" s="6">
        <f ca="1"/>
        <v>0</v>
      </c>
      <c r="J788" s="6">
        <f ca="1"/>
        <v>0</v>
      </c>
    </row>
    <row r="789" spans="1:10" ht="13" x14ac:dyDescent="0.15">
      <c r="A789" s="6" t="str">
        <f ca="1">IFERROR(__xludf.DUMMYFUNCTION("""COMPUTED_VALUE"""),"Performance")</f>
        <v>Performance</v>
      </c>
      <c r="B789" s="6" t="str">
        <f ca="1">IFERROR(__xludf.DUMMYFUNCTION("""COMPUTED_VALUE"""),"Performance")</f>
        <v>Performance</v>
      </c>
      <c r="H789" s="6">
        <f ca="1"/>
        <v>0</v>
      </c>
      <c r="I789" s="6">
        <f ca="1"/>
        <v>0</v>
      </c>
      <c r="J789" s="6">
        <f ca="1"/>
        <v>0</v>
      </c>
    </row>
    <row r="790" spans="1:10" ht="13" x14ac:dyDescent="0.15">
      <c r="A790" s="6" t="str">
        <f ca="1">IFERROR(__xludf.DUMMYFUNCTION("""COMPUTED_VALUE"""),"Maintainability")</f>
        <v>Maintainability</v>
      </c>
      <c r="B790" s="6" t="str">
        <f ca="1">IFERROR(__xludf.DUMMYFUNCTION("""COMPUTED_VALUE"""),"Maintainability")</f>
        <v>Maintainability</v>
      </c>
      <c r="H790" s="6">
        <f ca="1"/>
        <v>0</v>
      </c>
      <c r="I790" s="6">
        <f ca="1"/>
        <v>0</v>
      </c>
      <c r="J790" s="6">
        <f ca="1"/>
        <v>0</v>
      </c>
    </row>
    <row r="791" spans="1:10" ht="13" x14ac:dyDescent="0.15">
      <c r="A791" s="6" t="str">
        <f ca="1">IFERROR(__xludf.DUMMYFUNCTION("""COMPUTED_VALUE"""),"Coding Pattern")</f>
        <v>Coding Pattern</v>
      </c>
      <c r="B791" s="6" t="str">
        <f ca="1">IFERROR(__xludf.DUMMYFUNCTION("""COMPUTED_VALUE"""),"Coding Pattern")</f>
        <v>Coding Pattern</v>
      </c>
      <c r="H791" s="6">
        <f ca="1"/>
        <v>0</v>
      </c>
      <c r="I791" s="6">
        <f ca="1"/>
        <v>0</v>
      </c>
      <c r="J791" s="6">
        <f ca="1"/>
        <v>0</v>
      </c>
    </row>
    <row r="792" spans="1:10" ht="13" x14ac:dyDescent="0.15">
      <c r="A792" s="6" t="str">
        <f ca="1">IFERROR(__xludf.DUMMYFUNCTION("""COMPUTED_VALUE"""),"Coding Pattern")</f>
        <v>Coding Pattern</v>
      </c>
      <c r="B792" s="6" t="str">
        <f ca="1">IFERROR(__xludf.DUMMYFUNCTION("""COMPUTED_VALUE"""),"Coding Pattern")</f>
        <v>Coding Pattern</v>
      </c>
      <c r="H792" s="6">
        <f ca="1"/>
        <v>0</v>
      </c>
      <c r="I792" s="6">
        <f ca="1"/>
        <v>0</v>
      </c>
      <c r="J792" s="6">
        <f ca="1"/>
        <v>0</v>
      </c>
    </row>
    <row r="793" spans="1:10" ht="13" x14ac:dyDescent="0.15">
      <c r="A793" s="6" t="str">
        <f ca="1">IFERROR(__xludf.DUMMYFUNCTION("""COMPUTED_VALUE"""),"Coding Pattern")</f>
        <v>Coding Pattern</v>
      </c>
      <c r="B793" s="6" t="str">
        <f ca="1">IFERROR(__xludf.DUMMYFUNCTION("""COMPUTED_VALUE"""),"Coding Pattern")</f>
        <v>Coding Pattern</v>
      </c>
      <c r="H793" s="6">
        <f ca="1"/>
        <v>0</v>
      </c>
      <c r="I793" s="6">
        <f ca="1"/>
        <v>0</v>
      </c>
      <c r="J793" s="6">
        <f ca="1"/>
        <v>0</v>
      </c>
    </row>
    <row r="794" spans="1:10" ht="13" x14ac:dyDescent="0.15">
      <c r="A794" s="6" t="str">
        <f ca="1">IFERROR(__xludf.DUMMYFUNCTION("""COMPUTED_VALUE"""),"Coding Pattern")</f>
        <v>Coding Pattern</v>
      </c>
      <c r="B794" s="6" t="str">
        <f ca="1">IFERROR(__xludf.DUMMYFUNCTION("""COMPUTED_VALUE"""),"Coding Pattern")</f>
        <v>Coding Pattern</v>
      </c>
      <c r="H794" s="6">
        <f ca="1"/>
        <v>0</v>
      </c>
      <c r="I794" s="6">
        <f ca="1"/>
        <v>0</v>
      </c>
      <c r="J794" s="6">
        <f ca="1"/>
        <v>0</v>
      </c>
    </row>
    <row r="795" spans="1:10" ht="13" x14ac:dyDescent="0.15">
      <c r="A795" s="6" t="str">
        <f ca="1">IFERROR(__xludf.DUMMYFUNCTION("""COMPUTED_VALUE"""),"Build &amp; Operation")</f>
        <v>Build &amp; Operation</v>
      </c>
      <c r="B795" s="6" t="str">
        <f ca="1">IFERROR(__xludf.DUMMYFUNCTION("""COMPUTED_VALUE"""),"Build &amp; Operation")</f>
        <v>Build &amp; Operation</v>
      </c>
      <c r="H795" s="6">
        <f ca="1"/>
        <v>0</v>
      </c>
      <c r="I795" s="6">
        <f ca="1"/>
        <v>0</v>
      </c>
      <c r="J795" s="6">
        <f ca="1"/>
        <v>0</v>
      </c>
    </row>
    <row r="796" spans="1:10" ht="13" x14ac:dyDescent="0.15">
      <c r="A796" s="6" t="str">
        <f ca="1">IFERROR(__xludf.DUMMYFUNCTION("""COMPUTED_VALUE"""),"Coding Pattern")</f>
        <v>Coding Pattern</v>
      </c>
      <c r="B796" s="6" t="str">
        <f ca="1">IFERROR(__xludf.DUMMYFUNCTION("""COMPUTED_VALUE"""),"Coding Pattern")</f>
        <v>Coding Pattern</v>
      </c>
      <c r="H796" s="6">
        <f ca="1"/>
        <v>0</v>
      </c>
      <c r="I796" s="6">
        <f ca="1"/>
        <v>0</v>
      </c>
      <c r="J796" s="6">
        <f ca="1"/>
        <v>0</v>
      </c>
    </row>
    <row r="797" spans="1:10" ht="13" x14ac:dyDescent="0.15">
      <c r="A797" s="6" t="str">
        <f ca="1">IFERROR(__xludf.DUMMYFUNCTION("""COMPUTED_VALUE"""),"Coding Pattern")</f>
        <v>Coding Pattern</v>
      </c>
      <c r="B797" s="6" t="str">
        <f ca="1">IFERROR(__xludf.DUMMYFUNCTION("""COMPUTED_VALUE"""),"Coding Pattern")</f>
        <v>Coding Pattern</v>
      </c>
      <c r="H797" s="6">
        <f ca="1"/>
        <v>0</v>
      </c>
      <c r="I797" s="6">
        <f ca="1"/>
        <v>0</v>
      </c>
      <c r="J797" s="6">
        <f ca="1"/>
        <v>0</v>
      </c>
    </row>
    <row r="798" spans="1:10" ht="13" x14ac:dyDescent="0.15">
      <c r="A798" s="6" t="str">
        <f ca="1">IFERROR(__xludf.DUMMYFUNCTION("""COMPUTED_VALUE"""),"Documentation")</f>
        <v>Documentation</v>
      </c>
      <c r="B798" s="6" t="str">
        <f ca="1">IFERROR(__xludf.DUMMYFUNCTION("""COMPUTED_VALUE"""),"Documentation")</f>
        <v>Documentation</v>
      </c>
      <c r="H798" s="6">
        <f ca="1"/>
        <v>0</v>
      </c>
      <c r="I798" s="6">
        <f ca="1"/>
        <v>0</v>
      </c>
      <c r="J798" s="6">
        <f ca="1"/>
        <v>0</v>
      </c>
    </row>
    <row r="799" spans="1:10" ht="13" x14ac:dyDescent="0.15">
      <c r="A799" s="6" t="str">
        <f ca="1">IFERROR(__xludf.DUMMYFUNCTION("""COMPUTED_VALUE"""),"Security")</f>
        <v>Security</v>
      </c>
      <c r="B799" s="6" t="str">
        <f ca="1">IFERROR(__xludf.DUMMYFUNCTION("""COMPUTED_VALUE"""),"Security")</f>
        <v>Security</v>
      </c>
      <c r="H799" s="6">
        <f ca="1"/>
        <v>0</v>
      </c>
      <c r="I799" s="6">
        <f ca="1"/>
        <v>0</v>
      </c>
      <c r="J799" s="6">
        <f ca="1"/>
        <v>0</v>
      </c>
    </row>
    <row r="800" spans="1:10" ht="13" x14ac:dyDescent="0.15">
      <c r="A800" s="6" t="str">
        <f ca="1">IFERROR(__xludf.DUMMYFUNCTION("""COMPUTED_VALUE"""),"Coding Pattern")</f>
        <v>Coding Pattern</v>
      </c>
      <c r="B800" s="6" t="str">
        <f ca="1">IFERROR(__xludf.DUMMYFUNCTION("""COMPUTED_VALUE"""),"Coding Pattern")</f>
        <v>Coding Pattern</v>
      </c>
      <c r="H800" s="6">
        <f ca="1"/>
        <v>0</v>
      </c>
      <c r="I800" s="6">
        <f ca="1"/>
        <v>0</v>
      </c>
      <c r="J800" s="6">
        <f ca="1"/>
        <v>0</v>
      </c>
    </row>
    <row r="801" spans="1:10" ht="13" x14ac:dyDescent="0.15">
      <c r="A801" s="6" t="str">
        <f ca="1">IFERROR(__xludf.DUMMYFUNCTION("""COMPUTED_VALUE"""),"Build &amp; Operation")</f>
        <v>Build &amp; Operation</v>
      </c>
      <c r="B801" s="6" t="str">
        <f ca="1">IFERROR(__xludf.DUMMYFUNCTION("""COMPUTED_VALUE"""),"Build &amp; Operation")</f>
        <v>Build &amp; Operation</v>
      </c>
      <c r="H801" s="6">
        <f ca="1"/>
        <v>0</v>
      </c>
      <c r="I801" s="6">
        <f ca="1"/>
        <v>0</v>
      </c>
      <c r="J801" s="6">
        <f ca="1"/>
        <v>0</v>
      </c>
    </row>
    <row r="802" spans="1:10" ht="13" x14ac:dyDescent="0.15">
      <c r="A802" s="6" t="str">
        <f ca="1">IFERROR(__xludf.DUMMYFUNCTION("""COMPUTED_VALUE"""),"Testing")</f>
        <v>Testing</v>
      </c>
      <c r="B802" s="6" t="str">
        <f ca="1">IFERROR(__xludf.DUMMYFUNCTION("""COMPUTED_VALUE"""),"Testing")</f>
        <v>Testing</v>
      </c>
      <c r="H802" s="6">
        <f ca="1"/>
        <v>0</v>
      </c>
      <c r="I802" s="6">
        <f ca="1"/>
        <v>0</v>
      </c>
      <c r="J802" s="6">
        <f ca="1"/>
        <v>0</v>
      </c>
    </row>
    <row r="803" spans="1:10" ht="13" x14ac:dyDescent="0.15">
      <c r="A803" s="6" t="str">
        <f ca="1">IFERROR(__xludf.DUMMYFUNCTION("""COMPUTED_VALUE"""),"Build &amp; Operation")</f>
        <v>Build &amp; Operation</v>
      </c>
      <c r="B803" s="6" t="str">
        <f ca="1">IFERROR(__xludf.DUMMYFUNCTION("""COMPUTED_VALUE"""),"Build &amp; Operation")</f>
        <v>Build &amp; Operation</v>
      </c>
      <c r="H803" s="6">
        <f ca="1"/>
        <v>0</v>
      </c>
      <c r="I803" s="6">
        <f ca="1"/>
        <v>0</v>
      </c>
      <c r="J803" s="6">
        <f ca="1"/>
        <v>0</v>
      </c>
    </row>
    <row r="804" spans="1:10" ht="13" x14ac:dyDescent="0.15">
      <c r="A804" s="6" t="str">
        <f ca="1">IFERROR(__xludf.DUMMYFUNCTION("""COMPUTED_VALUE"""),"Commit&amp;PR rule")</f>
        <v>Commit&amp;PR rule</v>
      </c>
      <c r="B804" s="6" t="str">
        <f ca="1">IFERROR(__xludf.DUMMYFUNCTION("""COMPUTED_VALUE"""),"Commit&amp;PR rule")</f>
        <v>Commit&amp;PR rule</v>
      </c>
      <c r="H804" s="6">
        <f ca="1"/>
        <v>0</v>
      </c>
      <c r="I804" s="6">
        <f ca="1"/>
        <v>0</v>
      </c>
      <c r="J804" s="6">
        <f ca="1"/>
        <v>0</v>
      </c>
    </row>
    <row r="805" spans="1:10" ht="13" x14ac:dyDescent="0.15">
      <c r="A805" s="6" t="str">
        <f ca="1">IFERROR(__xludf.DUMMYFUNCTION("""COMPUTED_VALUE"""),"Commit&amp;PR rule")</f>
        <v>Commit&amp;PR rule</v>
      </c>
      <c r="B805" s="6" t="str">
        <f ca="1">IFERROR(__xludf.DUMMYFUNCTION("""COMPUTED_VALUE"""),"Commit&amp;PR rule")</f>
        <v>Commit&amp;PR rule</v>
      </c>
      <c r="H805" s="6">
        <f ca="1"/>
        <v>0</v>
      </c>
      <c r="I805" s="6">
        <f ca="1"/>
        <v>0</v>
      </c>
      <c r="J805" s="6">
        <f ca="1"/>
        <v>0</v>
      </c>
    </row>
    <row r="806" spans="1:10" ht="13" x14ac:dyDescent="0.15">
      <c r="A806" s="6" t="str">
        <f ca="1">IFERROR(__xludf.DUMMYFUNCTION("""COMPUTED_VALUE"""),"Commit&amp;PR rule")</f>
        <v>Commit&amp;PR rule</v>
      </c>
      <c r="B806" s="6" t="str">
        <f ca="1">IFERROR(__xludf.DUMMYFUNCTION("""COMPUTED_VALUE"""),"Commit&amp;PR rule")</f>
        <v>Commit&amp;PR rule</v>
      </c>
      <c r="H806" s="6">
        <f ca="1"/>
        <v>0</v>
      </c>
      <c r="I806" s="6">
        <f ca="1"/>
        <v>0</v>
      </c>
      <c r="J806" s="6">
        <f ca="1"/>
        <v>0</v>
      </c>
    </row>
    <row r="807" spans="1:10" ht="13" x14ac:dyDescent="0.15">
      <c r="A807" s="6" t="str">
        <f ca="1">IFERROR(__xludf.DUMMYFUNCTION("""COMPUTED_VALUE"""),"Task Execution")</f>
        <v>Task Execution</v>
      </c>
      <c r="B807" s="6" t="str">
        <f ca="1">IFERROR(__xludf.DUMMYFUNCTION("""COMPUTED_VALUE"""),"Task Execution")</f>
        <v>Task Execution</v>
      </c>
      <c r="H807" s="6">
        <f ca="1"/>
        <v>0</v>
      </c>
      <c r="I807" s="6">
        <f ca="1"/>
        <v>0</v>
      </c>
      <c r="J807" s="6">
        <f ca="1"/>
        <v>0</v>
      </c>
    </row>
    <row r="808" spans="1:10" ht="13" x14ac:dyDescent="0.15">
      <c r="A808" s="6" t="str">
        <f ca="1">IFERROR(__xludf.DUMMYFUNCTION("""COMPUTED_VALUE"""),"Build &amp; Operation")</f>
        <v>Build &amp; Operation</v>
      </c>
      <c r="B808" s="6" t="str">
        <f ca="1">IFERROR(__xludf.DUMMYFUNCTION("""COMPUTED_VALUE"""),"Build &amp; Operation")</f>
        <v>Build &amp; Operation</v>
      </c>
      <c r="H808" s="6">
        <f ca="1"/>
        <v>0</v>
      </c>
      <c r="I808" s="6">
        <f ca="1"/>
        <v>0</v>
      </c>
      <c r="J808" s="6">
        <f ca="1"/>
        <v>0</v>
      </c>
    </row>
    <row r="809" spans="1:10" ht="13" x14ac:dyDescent="0.15">
      <c r="A809" s="6" t="str">
        <f ca="1">IFERROR(__xludf.DUMMYFUNCTION("""COMPUTED_VALUE"""),"Coding Pattern")</f>
        <v>Coding Pattern</v>
      </c>
      <c r="B809" s="6" t="str">
        <f ca="1">IFERROR(__xludf.DUMMYFUNCTION("""COMPUTED_VALUE"""),"Coding Pattern")</f>
        <v>Coding Pattern</v>
      </c>
      <c r="H809" s="6">
        <f ca="1"/>
        <v>0</v>
      </c>
      <c r="I809" s="6">
        <f ca="1"/>
        <v>0</v>
      </c>
      <c r="J809" s="6">
        <f ca="1"/>
        <v>0</v>
      </c>
    </row>
    <row r="810" spans="1:10" ht="13" x14ac:dyDescent="0.15">
      <c r="A810" s="6" t="str">
        <f ca="1">IFERROR(__xludf.DUMMYFUNCTION("""COMPUTED_VALUE"""),"Coding Pattern")</f>
        <v>Coding Pattern</v>
      </c>
      <c r="B810" s="6" t="str">
        <f ca="1">IFERROR(__xludf.DUMMYFUNCTION("""COMPUTED_VALUE"""),"Coding Pattern")</f>
        <v>Coding Pattern</v>
      </c>
      <c r="H810" s="6">
        <f ca="1"/>
        <v>0</v>
      </c>
      <c r="I810" s="6">
        <f ca="1"/>
        <v>0</v>
      </c>
      <c r="J810" s="6">
        <f ca="1"/>
        <v>0</v>
      </c>
    </row>
    <row r="811" spans="1:10" ht="13" x14ac:dyDescent="0.15">
      <c r="A811" s="6" t="str">
        <f ca="1">IFERROR(__xludf.DUMMYFUNCTION("""COMPUTED_VALUE"""),"Security")</f>
        <v>Security</v>
      </c>
      <c r="B811" s="6" t="str">
        <f ca="1">IFERROR(__xludf.DUMMYFUNCTION("""COMPUTED_VALUE"""),"Security")</f>
        <v>Security</v>
      </c>
      <c r="H811" s="6">
        <f ca="1"/>
        <v>0</v>
      </c>
      <c r="I811" s="6">
        <f ca="1"/>
        <v>0</v>
      </c>
      <c r="J811" s="6">
        <f ca="1"/>
        <v>0</v>
      </c>
    </row>
    <row r="812" spans="1:10" ht="13" x14ac:dyDescent="0.15">
      <c r="A812" s="6" t="str">
        <f ca="1">IFERROR(__xludf.DUMMYFUNCTION("""COMPUTED_VALUE"""),"Task Execution")</f>
        <v>Task Execution</v>
      </c>
      <c r="B812" s="6" t="str">
        <f ca="1">IFERROR(__xludf.DUMMYFUNCTION("""COMPUTED_VALUE"""),"Task Execution")</f>
        <v>Task Execution</v>
      </c>
      <c r="H812" s="6">
        <f ca="1"/>
        <v>0</v>
      </c>
      <c r="I812" s="6">
        <f ca="1"/>
        <v>0</v>
      </c>
      <c r="J812" s="6">
        <f ca="1"/>
        <v>0</v>
      </c>
    </row>
    <row r="813" spans="1:10" ht="13" x14ac:dyDescent="0.15">
      <c r="A813" s="6" t="str">
        <f ca="1">IFERROR(__xludf.DUMMYFUNCTION("""COMPUTED_VALUE"""),"Task Execution")</f>
        <v>Task Execution</v>
      </c>
      <c r="B813" s="6" t="str">
        <f ca="1">IFERROR(__xludf.DUMMYFUNCTION("""COMPUTED_VALUE"""),"Task Execution")</f>
        <v>Task Execution</v>
      </c>
      <c r="H813" s="6">
        <f ca="1"/>
        <v>0</v>
      </c>
      <c r="I813" s="6">
        <f ca="1"/>
        <v>0</v>
      </c>
      <c r="J813" s="6">
        <f ca="1"/>
        <v>0</v>
      </c>
    </row>
    <row r="814" spans="1:10" ht="13" x14ac:dyDescent="0.15">
      <c r="A814" s="6" t="str">
        <f ca="1">IFERROR(__xludf.DUMMYFUNCTION("""COMPUTED_VALUE"""),"Task Execution")</f>
        <v>Task Execution</v>
      </c>
      <c r="B814" s="6" t="str">
        <f ca="1">IFERROR(__xludf.DUMMYFUNCTION("""COMPUTED_VALUE"""),"Task Execution")</f>
        <v>Task Execution</v>
      </c>
      <c r="H814" s="6">
        <f ca="1"/>
        <v>0</v>
      </c>
      <c r="I814" s="6">
        <f ca="1"/>
        <v>0</v>
      </c>
      <c r="J814" s="6">
        <f ca="1"/>
        <v>0</v>
      </c>
    </row>
    <row r="815" spans="1:10" ht="13" x14ac:dyDescent="0.15">
      <c r="A815" s="6" t="str">
        <f ca="1">IFERROR(__xludf.DUMMYFUNCTION("""COMPUTED_VALUE"""),"Task Execution")</f>
        <v>Task Execution</v>
      </c>
      <c r="B815" s="6" t="str">
        <f ca="1">IFERROR(__xludf.DUMMYFUNCTION("""COMPUTED_VALUE"""),"Task Execution")</f>
        <v>Task Execution</v>
      </c>
      <c r="H815" s="6">
        <f ca="1"/>
        <v>0</v>
      </c>
      <c r="I815" s="6">
        <f ca="1"/>
        <v>0</v>
      </c>
      <c r="J815" s="6">
        <f ca="1"/>
        <v>0</v>
      </c>
    </row>
    <row r="816" spans="1:10" ht="13" x14ac:dyDescent="0.15">
      <c r="A816" s="6" t="str">
        <f ca="1">IFERROR(__xludf.DUMMYFUNCTION("""COMPUTED_VALUE"""),"Task Execution")</f>
        <v>Task Execution</v>
      </c>
      <c r="B816" s="6" t="str">
        <f ca="1">IFERROR(__xludf.DUMMYFUNCTION("""COMPUTED_VALUE"""),"Task Execution")</f>
        <v>Task Execution</v>
      </c>
      <c r="H816" s="6">
        <f ca="1"/>
        <v>0</v>
      </c>
      <c r="I816" s="6">
        <f ca="1"/>
        <v>0</v>
      </c>
      <c r="J816" s="6">
        <f ca="1"/>
        <v>0</v>
      </c>
    </row>
    <row r="817" spans="1:10" ht="13" x14ac:dyDescent="0.15">
      <c r="A817" s="6" t="str">
        <f ca="1">IFERROR(__xludf.DUMMYFUNCTION("""COMPUTED_VALUE"""),"Task Execution")</f>
        <v>Task Execution</v>
      </c>
      <c r="B817" s="6" t="str">
        <f ca="1">IFERROR(__xludf.DUMMYFUNCTION("""COMPUTED_VALUE"""),"Task Execution")</f>
        <v>Task Execution</v>
      </c>
      <c r="H817" s="6">
        <f ca="1"/>
        <v>0</v>
      </c>
      <c r="I817" s="6">
        <f ca="1"/>
        <v>0</v>
      </c>
      <c r="J817" s="6">
        <f ca="1"/>
        <v>0</v>
      </c>
    </row>
    <row r="818" spans="1:10" ht="13" x14ac:dyDescent="0.15">
      <c r="A818" s="6" t="str">
        <f ca="1">IFERROR(__xludf.DUMMYFUNCTION("""COMPUTED_VALUE"""),"Task Execution")</f>
        <v>Task Execution</v>
      </c>
      <c r="B818" s="6" t="str">
        <f ca="1">IFERROR(__xludf.DUMMYFUNCTION("""COMPUTED_VALUE"""),"Task Execution")</f>
        <v>Task Execution</v>
      </c>
      <c r="H818" s="6">
        <f ca="1"/>
        <v>0</v>
      </c>
      <c r="I818" s="6">
        <f ca="1"/>
        <v>0</v>
      </c>
      <c r="J818" s="6">
        <f ca="1"/>
        <v>0</v>
      </c>
    </row>
    <row r="819" spans="1:10" ht="13" x14ac:dyDescent="0.15">
      <c r="A819" s="6" t="str">
        <f ca="1">IFERROR(__xludf.DUMMYFUNCTION("""COMPUTED_VALUE"""),"Task Execution")</f>
        <v>Task Execution</v>
      </c>
      <c r="B819" s="6" t="str">
        <f ca="1">IFERROR(__xludf.DUMMYFUNCTION("""COMPUTED_VALUE"""),"Task Execution")</f>
        <v>Task Execution</v>
      </c>
      <c r="H819" s="6">
        <f ca="1"/>
        <v>0</v>
      </c>
      <c r="I819" s="6">
        <f ca="1"/>
        <v>0</v>
      </c>
      <c r="J819" s="6">
        <f ca="1"/>
        <v>0</v>
      </c>
    </row>
    <row r="820" spans="1:10" ht="13" x14ac:dyDescent="0.15">
      <c r="A820" s="6" t="str">
        <f ca="1">IFERROR(__xludf.DUMMYFUNCTION("""COMPUTED_VALUE"""),"Task Execution")</f>
        <v>Task Execution</v>
      </c>
      <c r="B820" s="6" t="str">
        <f ca="1">IFERROR(__xludf.DUMMYFUNCTION("""COMPUTED_VALUE"""),"Task Execution")</f>
        <v>Task Execution</v>
      </c>
      <c r="H820" s="6">
        <f ca="1"/>
        <v>0</v>
      </c>
      <c r="I820" s="6">
        <f ca="1"/>
        <v>0</v>
      </c>
      <c r="J820" s="6">
        <f ca="1"/>
        <v>0</v>
      </c>
    </row>
    <row r="821" spans="1:10" ht="13" x14ac:dyDescent="0.15">
      <c r="A821" s="6" t="str">
        <f ca="1">IFERROR(__xludf.DUMMYFUNCTION("""COMPUTED_VALUE"""),"Task Execution")</f>
        <v>Task Execution</v>
      </c>
      <c r="B821" s="6" t="str">
        <f ca="1">IFERROR(__xludf.DUMMYFUNCTION("""COMPUTED_VALUE"""),"Task Execution")</f>
        <v>Task Execution</v>
      </c>
      <c r="H821" s="6">
        <f ca="1"/>
        <v>0</v>
      </c>
      <c r="I821" s="6">
        <f ca="1"/>
        <v>0</v>
      </c>
      <c r="J821" s="6">
        <f ca="1"/>
        <v>0</v>
      </c>
    </row>
    <row r="822" spans="1:10" ht="13" x14ac:dyDescent="0.15">
      <c r="A822" s="6" t="str">
        <f ca="1">IFERROR(__xludf.DUMMYFUNCTION("""COMPUTED_VALUE"""),"Documentation")</f>
        <v>Documentation</v>
      </c>
      <c r="B822" s="6" t="str">
        <f ca="1">IFERROR(__xludf.DUMMYFUNCTION("""COMPUTED_VALUE"""),"Documentation")</f>
        <v>Documentation</v>
      </c>
      <c r="H822" s="6">
        <f ca="1"/>
        <v>0</v>
      </c>
      <c r="I822" s="6">
        <f ca="1"/>
        <v>0</v>
      </c>
      <c r="J822" s="6">
        <f ca="1"/>
        <v>0</v>
      </c>
    </row>
    <row r="823" spans="1:10" ht="13" x14ac:dyDescent="0.15">
      <c r="A823" s="6" t="str">
        <f ca="1">IFERROR(__xludf.DUMMYFUNCTION("""COMPUTED_VALUE"""),"Commit&amp;PR rule")</f>
        <v>Commit&amp;PR rule</v>
      </c>
      <c r="B823" s="6" t="str">
        <f ca="1">IFERROR(__xludf.DUMMYFUNCTION("""COMPUTED_VALUE"""),"Commit&amp;PR rule")</f>
        <v>Commit&amp;PR rule</v>
      </c>
      <c r="H823" s="6">
        <f ca="1"/>
        <v>0</v>
      </c>
      <c r="I823" s="6">
        <f ca="1"/>
        <v>0</v>
      </c>
      <c r="J823" s="6">
        <f ca="1"/>
        <v>0</v>
      </c>
    </row>
    <row r="824" spans="1:10" ht="13" x14ac:dyDescent="0.15">
      <c r="A824" s="6" t="str">
        <f ca="1">IFERROR(__xludf.DUMMYFUNCTION("""COMPUTED_VALUE"""),"Build &amp; Operation")</f>
        <v>Build &amp; Operation</v>
      </c>
      <c r="B824" s="6" t="str">
        <f ca="1">IFERROR(__xludf.DUMMYFUNCTION("""COMPUTED_VALUE"""),"Build &amp; Operation")</f>
        <v>Build &amp; Operation</v>
      </c>
      <c r="H824" s="6">
        <f ca="1"/>
        <v>0</v>
      </c>
      <c r="I824" s="6">
        <f ca="1"/>
        <v>0</v>
      </c>
      <c r="J824" s="6">
        <f ca="1"/>
        <v>0</v>
      </c>
    </row>
    <row r="825" spans="1:10" ht="13" x14ac:dyDescent="0.15">
      <c r="A825" s="6" t="str">
        <f ca="1">IFERROR(__xludf.DUMMYFUNCTION("""COMPUTED_VALUE"""),"Commit&amp;PR rule")</f>
        <v>Commit&amp;PR rule</v>
      </c>
      <c r="B825" s="6" t="str">
        <f ca="1">IFERROR(__xludf.DUMMYFUNCTION("""COMPUTED_VALUE"""),"Commit&amp;PR rule")</f>
        <v>Commit&amp;PR rule</v>
      </c>
      <c r="H825" s="6">
        <f ca="1"/>
        <v>0</v>
      </c>
      <c r="I825" s="6">
        <f ca="1"/>
        <v>0</v>
      </c>
      <c r="J825" s="6">
        <f ca="1"/>
        <v>0</v>
      </c>
    </row>
    <row r="826" spans="1:10" ht="13" x14ac:dyDescent="0.15">
      <c r="A826" s="6" t="str">
        <f ca="1">IFERROR(__xludf.DUMMYFUNCTION("""COMPUTED_VALUE"""),"Build &amp; Operation")</f>
        <v>Build &amp; Operation</v>
      </c>
      <c r="B826" s="6" t="str">
        <f ca="1">IFERROR(__xludf.DUMMYFUNCTION("""COMPUTED_VALUE"""),"Build &amp; Operation")</f>
        <v>Build &amp; Operation</v>
      </c>
      <c r="H826" s="6">
        <f ca="1"/>
        <v>0</v>
      </c>
      <c r="I826" s="6">
        <f ca="1"/>
        <v>0</v>
      </c>
      <c r="J826" s="6">
        <f ca="1"/>
        <v>0</v>
      </c>
    </row>
    <row r="827" spans="1:10" ht="13" x14ac:dyDescent="0.15">
      <c r="A827" s="6" t="str">
        <f ca="1">IFERROR(__xludf.DUMMYFUNCTION("""COMPUTED_VALUE"""),"Commit&amp;PR rule")</f>
        <v>Commit&amp;PR rule</v>
      </c>
      <c r="B827" s="6" t="str">
        <f ca="1">IFERROR(__xludf.DUMMYFUNCTION("""COMPUTED_VALUE"""),"Commit&amp;PR rule")</f>
        <v>Commit&amp;PR rule</v>
      </c>
      <c r="H827" s="6">
        <f ca="1"/>
        <v>0</v>
      </c>
      <c r="I827" s="6">
        <f ca="1"/>
        <v>0</v>
      </c>
      <c r="J827" s="6">
        <f ca="1"/>
        <v>0</v>
      </c>
    </row>
    <row r="828" spans="1:10" ht="13" x14ac:dyDescent="0.15">
      <c r="A828" s="6" t="str">
        <f ca="1">IFERROR(__xludf.DUMMYFUNCTION("""COMPUTED_VALUE"""),"Coding Pattern")</f>
        <v>Coding Pattern</v>
      </c>
      <c r="B828" s="6" t="str">
        <f ca="1">IFERROR(__xludf.DUMMYFUNCTION("""COMPUTED_VALUE"""),"Task Execution")</f>
        <v>Task Execution</v>
      </c>
      <c r="H828" s="6">
        <f ca="1"/>
        <v>0</v>
      </c>
      <c r="I828" s="6">
        <f ca="1"/>
        <v>0</v>
      </c>
      <c r="J828" s="6">
        <f ca="1"/>
        <v>0</v>
      </c>
    </row>
    <row r="829" spans="1:10" ht="13" x14ac:dyDescent="0.15">
      <c r="A829" s="6" t="str">
        <f ca="1">IFERROR(__xludf.DUMMYFUNCTION("""COMPUTED_VALUE"""),"Build &amp; Operation")</f>
        <v>Build &amp; Operation</v>
      </c>
      <c r="B829" s="6" t="str">
        <f ca="1">IFERROR(__xludf.DUMMYFUNCTION("""COMPUTED_VALUE"""),"Build &amp; Operation")</f>
        <v>Build &amp; Operation</v>
      </c>
      <c r="H829" s="6">
        <f ca="1"/>
        <v>0</v>
      </c>
      <c r="I829" s="6">
        <f ca="1"/>
        <v>0</v>
      </c>
      <c r="J829" s="6">
        <f ca="1"/>
        <v>0</v>
      </c>
    </row>
    <row r="830" spans="1:10" ht="13" x14ac:dyDescent="0.15">
      <c r="A830" s="6" t="str">
        <f ca="1">IFERROR(__xludf.DUMMYFUNCTION("""COMPUTED_VALUE"""),"Build &amp; Operation")</f>
        <v>Build &amp; Operation</v>
      </c>
      <c r="B830" s="6" t="str">
        <f ca="1">IFERROR(__xludf.DUMMYFUNCTION("""COMPUTED_VALUE"""),"Build &amp; Operation")</f>
        <v>Build &amp; Operation</v>
      </c>
      <c r="H830" s="6">
        <f ca="1"/>
        <v>0</v>
      </c>
      <c r="I830" s="6">
        <f ca="1"/>
        <v>0</v>
      </c>
      <c r="J830" s="6">
        <f ca="1"/>
        <v>0</v>
      </c>
    </row>
    <row r="831" spans="1:10" ht="13" x14ac:dyDescent="0.15">
      <c r="A831" s="6" t="str">
        <f ca="1">IFERROR(__xludf.DUMMYFUNCTION("""COMPUTED_VALUE"""),"Security")</f>
        <v>Security</v>
      </c>
      <c r="B831" s="6" t="str">
        <f ca="1">IFERROR(__xludf.DUMMYFUNCTION("""COMPUTED_VALUE"""),"Security")</f>
        <v>Security</v>
      </c>
      <c r="H831" s="6">
        <f ca="1"/>
        <v>0</v>
      </c>
      <c r="I831" s="6">
        <f ca="1"/>
        <v>0</v>
      </c>
      <c r="J831" s="6">
        <f ca="1"/>
        <v>0</v>
      </c>
    </row>
    <row r="832" spans="1:10" ht="13" x14ac:dyDescent="0.15">
      <c r="A832" s="6" t="str">
        <f ca="1">IFERROR(__xludf.DUMMYFUNCTION("""COMPUTED_VALUE"""),"Security")</f>
        <v>Security</v>
      </c>
      <c r="B832" s="6" t="str">
        <f ca="1">IFERROR(__xludf.DUMMYFUNCTION("""COMPUTED_VALUE"""),"Security")</f>
        <v>Security</v>
      </c>
      <c r="H832" s="6">
        <f ca="1"/>
        <v>0</v>
      </c>
      <c r="I832" s="6">
        <f ca="1"/>
        <v>0</v>
      </c>
      <c r="J832" s="6">
        <f ca="1"/>
        <v>0</v>
      </c>
    </row>
    <row r="833" spans="1:10" ht="13" x14ac:dyDescent="0.15">
      <c r="A833" s="6" t="str">
        <f ca="1">IFERROR(__xludf.DUMMYFUNCTION("""COMPUTED_VALUE"""),"Coding Pattern")</f>
        <v>Coding Pattern</v>
      </c>
      <c r="B833" s="6" t="str">
        <f ca="1">IFERROR(__xludf.DUMMYFUNCTION("""COMPUTED_VALUE"""),"Coding Pattern")</f>
        <v>Coding Pattern</v>
      </c>
      <c r="H833" s="6">
        <f ca="1"/>
        <v>0</v>
      </c>
      <c r="I833" s="6">
        <f ca="1"/>
        <v>0</v>
      </c>
      <c r="J833" s="6">
        <f ca="1"/>
        <v>0</v>
      </c>
    </row>
    <row r="834" spans="1:10" ht="13" x14ac:dyDescent="0.15">
      <c r="A834" s="6" t="str">
        <f ca="1">IFERROR(__xludf.DUMMYFUNCTION("""COMPUTED_VALUE"""),"Build &amp; Operation")</f>
        <v>Build &amp; Operation</v>
      </c>
      <c r="B834" s="6" t="str">
        <f ca="1">IFERROR(__xludf.DUMMYFUNCTION("""COMPUTED_VALUE"""),"Build &amp; Operation")</f>
        <v>Build &amp; Operation</v>
      </c>
      <c r="H834" s="6">
        <f ca="1"/>
        <v>0</v>
      </c>
      <c r="I834" s="6">
        <f ca="1"/>
        <v>0</v>
      </c>
      <c r="J834" s="6">
        <f ca="1"/>
        <v>0</v>
      </c>
    </row>
    <row r="835" spans="1:10" ht="13" x14ac:dyDescent="0.15">
      <c r="A835" s="6" t="str">
        <f ca="1">IFERROR(__xludf.DUMMYFUNCTION("""COMPUTED_VALUE"""),"Security")</f>
        <v>Security</v>
      </c>
      <c r="B835" s="6" t="str">
        <f ca="1">IFERROR(__xludf.DUMMYFUNCTION("""COMPUTED_VALUE"""),"Security")</f>
        <v>Security</v>
      </c>
      <c r="H835" s="6">
        <f ca="1"/>
        <v>0</v>
      </c>
      <c r="I835" s="6">
        <f ca="1"/>
        <v>0</v>
      </c>
      <c r="J835" s="6">
        <f ca="1"/>
        <v>0</v>
      </c>
    </row>
    <row r="836" spans="1:10" ht="13" x14ac:dyDescent="0.15">
      <c r="A836" s="6" t="str">
        <f ca="1">IFERROR(__xludf.DUMMYFUNCTION("""COMPUTED_VALUE"""),"Writing Style Preference")</f>
        <v>Writing Style Preference</v>
      </c>
      <c r="B836" s="6" t="str">
        <f ca="1">IFERROR(__xludf.DUMMYFUNCTION("""COMPUTED_VALUE"""),"Writing Style Preference")</f>
        <v>Writing Style Preference</v>
      </c>
      <c r="H836" s="6">
        <f ca="1"/>
        <v>0</v>
      </c>
      <c r="I836" s="6">
        <f ca="1"/>
        <v>0</v>
      </c>
      <c r="J836" s="6">
        <f ca="1"/>
        <v>0</v>
      </c>
    </row>
    <row r="837" spans="1:10" ht="13" x14ac:dyDescent="0.15">
      <c r="A837" s="6" t="str">
        <f ca="1">IFERROR(__xludf.DUMMYFUNCTION("""COMPUTED_VALUE"""),"Writing Style Preference")</f>
        <v>Writing Style Preference</v>
      </c>
      <c r="B837" s="6" t="str">
        <f ca="1">IFERROR(__xludf.DUMMYFUNCTION("""COMPUTED_VALUE"""),"Writing Style Preference")</f>
        <v>Writing Style Preference</v>
      </c>
      <c r="H837" s="6">
        <f ca="1"/>
        <v>0</v>
      </c>
      <c r="I837" s="6">
        <f ca="1"/>
        <v>0</v>
      </c>
      <c r="J837" s="6">
        <f ca="1"/>
        <v>0</v>
      </c>
    </row>
    <row r="838" spans="1:10" ht="13" x14ac:dyDescent="0.15">
      <c r="A838" s="6" t="str">
        <f ca="1">IFERROR(__xludf.DUMMYFUNCTION("""COMPUTED_VALUE"""),"Testing")</f>
        <v>Testing</v>
      </c>
      <c r="B838" s="6" t="str">
        <f ca="1">IFERROR(__xludf.DUMMYFUNCTION("""COMPUTED_VALUE"""),"Testing")</f>
        <v>Testing</v>
      </c>
      <c r="H838" s="6">
        <f ca="1"/>
        <v>0</v>
      </c>
      <c r="I838" s="6">
        <f ca="1"/>
        <v>0</v>
      </c>
      <c r="J838" s="6">
        <f ca="1"/>
        <v>0</v>
      </c>
    </row>
    <row r="839" spans="1:10" ht="13" x14ac:dyDescent="0.15">
      <c r="A839" s="6" t="str">
        <f ca="1">IFERROR(__xludf.DUMMYFUNCTION("""COMPUTED_VALUE"""),"Coding Pattern")</f>
        <v>Coding Pattern</v>
      </c>
      <c r="B839" s="6" t="str">
        <f ca="1">IFERROR(__xludf.DUMMYFUNCTION("""COMPUTED_VALUE"""),"Coding Pattern")</f>
        <v>Coding Pattern</v>
      </c>
      <c r="H839" s="6">
        <f ca="1"/>
        <v>0</v>
      </c>
      <c r="I839" s="6">
        <f ca="1"/>
        <v>0</v>
      </c>
      <c r="J839" s="6">
        <f ca="1"/>
        <v>0</v>
      </c>
    </row>
    <row r="840" spans="1:10" ht="13" x14ac:dyDescent="0.15">
      <c r="A840" s="6" t="str">
        <f ca="1">IFERROR(__xludf.DUMMYFUNCTION("""COMPUTED_VALUE"""),"Testing")</f>
        <v>Testing</v>
      </c>
      <c r="B840" s="6" t="str">
        <f ca="1">IFERROR(__xludf.DUMMYFUNCTION("""COMPUTED_VALUE"""),"Testing")</f>
        <v>Testing</v>
      </c>
      <c r="H840" s="6">
        <f ca="1"/>
        <v>0</v>
      </c>
      <c r="I840" s="6">
        <f ca="1"/>
        <v>0</v>
      </c>
      <c r="J840" s="6">
        <f ca="1"/>
        <v>0</v>
      </c>
    </row>
    <row r="841" spans="1:10" ht="13" x14ac:dyDescent="0.15">
      <c r="A841" s="6" t="str">
        <f ca="1">IFERROR(__xludf.DUMMYFUNCTION("""COMPUTED_VALUE"""),"Security")</f>
        <v>Security</v>
      </c>
      <c r="B841" s="6" t="str">
        <f ca="1">IFERROR(__xludf.DUMMYFUNCTION("""COMPUTED_VALUE"""),"Security")</f>
        <v>Security</v>
      </c>
      <c r="H841" s="6">
        <f ca="1"/>
        <v>0</v>
      </c>
      <c r="I841" s="6">
        <f ca="1"/>
        <v>0</v>
      </c>
      <c r="J841" s="6">
        <f ca="1"/>
        <v>0</v>
      </c>
    </row>
    <row r="842" spans="1:10" ht="13" x14ac:dyDescent="0.15">
      <c r="A842" s="6" t="str">
        <f ca="1">IFERROR(__xludf.DUMMYFUNCTION("""COMPUTED_VALUE"""),"Testing")</f>
        <v>Testing</v>
      </c>
      <c r="B842" s="6" t="str">
        <f ca="1">IFERROR(__xludf.DUMMYFUNCTION("""COMPUTED_VALUE"""),"Testing")</f>
        <v>Testing</v>
      </c>
      <c r="H842" s="6">
        <f ca="1"/>
        <v>0</v>
      </c>
      <c r="I842" s="6">
        <f ca="1"/>
        <v>0</v>
      </c>
      <c r="J842" s="6">
        <f ca="1"/>
        <v>0</v>
      </c>
    </row>
    <row r="843" spans="1:10" ht="13" x14ac:dyDescent="0.15">
      <c r="A843" s="6" t="str">
        <f ca="1">IFERROR(__xludf.DUMMYFUNCTION("""COMPUTED_VALUE"""),"Task Execution")</f>
        <v>Task Execution</v>
      </c>
      <c r="B843" s="6" t="str">
        <f ca="1">IFERROR(__xludf.DUMMYFUNCTION("""COMPUTED_VALUE"""),"Task Execution")</f>
        <v>Task Execution</v>
      </c>
      <c r="H843" s="6">
        <f ca="1"/>
        <v>0</v>
      </c>
      <c r="I843" s="6">
        <f ca="1"/>
        <v>0</v>
      </c>
      <c r="J843" s="6">
        <f ca="1"/>
        <v>0</v>
      </c>
    </row>
    <row r="844" spans="1:10" ht="13" x14ac:dyDescent="0.15">
      <c r="A844" s="6" t="str">
        <f ca="1">IFERROR(__xludf.DUMMYFUNCTION("""COMPUTED_VALUE"""),"Build &amp; Operation")</f>
        <v>Build &amp; Operation</v>
      </c>
      <c r="B844" s="6" t="str">
        <f ca="1">IFERROR(__xludf.DUMMYFUNCTION("""COMPUTED_VALUE"""),"Build &amp; Operation")</f>
        <v>Build &amp; Operation</v>
      </c>
      <c r="H844" s="6">
        <f ca="1"/>
        <v>0</v>
      </c>
      <c r="I844" s="6">
        <f ca="1"/>
        <v>0</v>
      </c>
      <c r="J844" s="6">
        <f ca="1"/>
        <v>0</v>
      </c>
    </row>
    <row r="845" spans="1:10" ht="13" x14ac:dyDescent="0.15">
      <c r="A845" s="6" t="str">
        <f ca="1">IFERROR(__xludf.DUMMYFUNCTION("""COMPUTED_VALUE"""),"Coding Pattern")</f>
        <v>Coding Pattern</v>
      </c>
      <c r="B845" s="6" t="str">
        <f ca="1">IFERROR(__xludf.DUMMYFUNCTION("""COMPUTED_VALUE"""),"Coding Pattern")</f>
        <v>Coding Pattern</v>
      </c>
      <c r="H845" s="6">
        <f ca="1"/>
        <v>0</v>
      </c>
      <c r="I845" s="6">
        <f ca="1"/>
        <v>0</v>
      </c>
      <c r="J845" s="6">
        <f ca="1"/>
        <v>0</v>
      </c>
    </row>
    <row r="846" spans="1:10" ht="13" x14ac:dyDescent="0.15">
      <c r="A846" s="6" t="str">
        <f ca="1">IFERROR(__xludf.DUMMYFUNCTION("""COMPUTED_VALUE"""),"Coding Pattern")</f>
        <v>Coding Pattern</v>
      </c>
      <c r="B846" s="6" t="str">
        <f ca="1">IFERROR(__xludf.DUMMYFUNCTION("""COMPUTED_VALUE"""),"Coding Pattern")</f>
        <v>Coding Pattern</v>
      </c>
      <c r="H846" s="6">
        <f ca="1"/>
        <v>0</v>
      </c>
      <c r="I846" s="6">
        <f ca="1"/>
        <v>0</v>
      </c>
      <c r="J846" s="6">
        <f ca="1"/>
        <v>0</v>
      </c>
    </row>
    <row r="847" spans="1:10" ht="13" x14ac:dyDescent="0.15">
      <c r="A847" s="6" t="str">
        <f ca="1">IFERROR(__xludf.DUMMYFUNCTION("""COMPUTED_VALUE"""),"Build &amp; Operation")</f>
        <v>Build &amp; Operation</v>
      </c>
      <c r="B847" s="6" t="str">
        <f ca="1">IFERROR(__xludf.DUMMYFUNCTION("""COMPUTED_VALUE"""),"Build &amp; Operation")</f>
        <v>Build &amp; Operation</v>
      </c>
      <c r="H847" s="6">
        <f ca="1"/>
        <v>0</v>
      </c>
      <c r="I847" s="6">
        <f ca="1"/>
        <v>0</v>
      </c>
      <c r="J847" s="6">
        <f ca="1"/>
        <v>0</v>
      </c>
    </row>
    <row r="848" spans="1:10" ht="13" x14ac:dyDescent="0.15">
      <c r="A848" s="6" t="str">
        <f ca="1">IFERROR(__xludf.DUMMYFUNCTION("""COMPUTED_VALUE"""),"Security")</f>
        <v>Security</v>
      </c>
      <c r="B848" s="6" t="str">
        <f ca="1">IFERROR(__xludf.DUMMYFUNCTION("""COMPUTED_VALUE"""),"Security")</f>
        <v>Security</v>
      </c>
      <c r="H848" s="6">
        <f ca="1"/>
        <v>0</v>
      </c>
      <c r="I848" s="6">
        <f ca="1"/>
        <v>0</v>
      </c>
      <c r="J848" s="6">
        <f ca="1"/>
        <v>0</v>
      </c>
    </row>
    <row r="849" spans="1:10" ht="13" x14ac:dyDescent="0.15">
      <c r="A849" s="6" t="str">
        <f ca="1">IFERROR(__xludf.DUMMYFUNCTION("""COMPUTED_VALUE"""),"Build &amp; Operation")</f>
        <v>Build &amp; Operation</v>
      </c>
      <c r="B849" s="6" t="str">
        <f ca="1">IFERROR(__xludf.DUMMYFUNCTION("""COMPUTED_VALUE"""),"Build &amp; Operation")</f>
        <v>Build &amp; Operation</v>
      </c>
      <c r="H849" s="6">
        <f ca="1"/>
        <v>0</v>
      </c>
      <c r="I849" s="6">
        <f ca="1"/>
        <v>0</v>
      </c>
      <c r="J849" s="6">
        <f ca="1"/>
        <v>0</v>
      </c>
    </row>
    <row r="850" spans="1:10" ht="13" x14ac:dyDescent="0.15">
      <c r="A850" s="6" t="str">
        <f ca="1">IFERROR(__xludf.DUMMYFUNCTION("""COMPUTED_VALUE"""),"Security")</f>
        <v>Security</v>
      </c>
      <c r="B850" s="6" t="str">
        <f ca="1">IFERROR(__xludf.DUMMYFUNCTION("""COMPUTED_VALUE"""),"Security")</f>
        <v>Security</v>
      </c>
      <c r="H850" s="6">
        <f ca="1"/>
        <v>0</v>
      </c>
      <c r="I850" s="6">
        <f ca="1"/>
        <v>0</v>
      </c>
      <c r="J850" s="6">
        <f ca="1"/>
        <v>0</v>
      </c>
    </row>
    <row r="851" spans="1:10" ht="13" x14ac:dyDescent="0.15">
      <c r="A851" s="6" t="str">
        <f ca="1">IFERROR(__xludf.DUMMYFUNCTION("""COMPUTED_VALUE"""),"Security")</f>
        <v>Security</v>
      </c>
      <c r="B851" s="6" t="str">
        <f ca="1">IFERROR(__xludf.DUMMYFUNCTION("""COMPUTED_VALUE"""),"Security")</f>
        <v>Security</v>
      </c>
      <c r="H851" s="6">
        <f ca="1"/>
        <v>0</v>
      </c>
      <c r="I851" s="6">
        <f ca="1"/>
        <v>0</v>
      </c>
      <c r="J851" s="6">
        <f ca="1"/>
        <v>0</v>
      </c>
    </row>
    <row r="852" spans="1:10" ht="13" x14ac:dyDescent="0.15">
      <c r="A852" s="6" t="str">
        <f ca="1">IFERROR(__xludf.DUMMYFUNCTION("""COMPUTED_VALUE"""),"Documentation")</f>
        <v>Documentation</v>
      </c>
      <c r="B852" s="6" t="str">
        <f ca="1">IFERROR(__xludf.DUMMYFUNCTION("""COMPUTED_VALUE"""),"Task Execution")</f>
        <v>Task Execution</v>
      </c>
      <c r="H852" s="6">
        <f ca="1"/>
        <v>0</v>
      </c>
      <c r="I852" s="6">
        <f ca="1"/>
        <v>0</v>
      </c>
      <c r="J852" s="6">
        <f ca="1"/>
        <v>0</v>
      </c>
    </row>
    <row r="853" spans="1:10" ht="13" x14ac:dyDescent="0.15">
      <c r="A853" s="6" t="str">
        <f ca="1">IFERROR(__xludf.DUMMYFUNCTION("""COMPUTED_VALUE"""),"Documentation")</f>
        <v>Documentation</v>
      </c>
      <c r="B853" s="6" t="str">
        <f ca="1">IFERROR(__xludf.DUMMYFUNCTION("""COMPUTED_VALUE"""),"Documentation")</f>
        <v>Documentation</v>
      </c>
      <c r="H853" s="6">
        <f ca="1"/>
        <v>0</v>
      </c>
      <c r="I853" s="6">
        <f ca="1"/>
        <v>0</v>
      </c>
      <c r="J853" s="6">
        <f ca="1"/>
        <v>0</v>
      </c>
    </row>
    <row r="854" spans="1:10" ht="13" x14ac:dyDescent="0.15">
      <c r="A854" s="6" t="str">
        <f ca="1">IFERROR(__xludf.DUMMYFUNCTION("""COMPUTED_VALUE"""),"Task Execution")</f>
        <v>Task Execution</v>
      </c>
      <c r="B854" s="6" t="str">
        <f ca="1">IFERROR(__xludf.DUMMYFUNCTION("""COMPUTED_VALUE"""),"Task Execution")</f>
        <v>Task Execution</v>
      </c>
      <c r="H854" s="6">
        <f ca="1"/>
        <v>0</v>
      </c>
      <c r="I854" s="6">
        <f ca="1"/>
        <v>0</v>
      </c>
      <c r="J854" s="6">
        <f ca="1"/>
        <v>0</v>
      </c>
    </row>
    <row r="855" spans="1:10" ht="13" x14ac:dyDescent="0.15">
      <c r="A855" s="6" t="str">
        <f ca="1">IFERROR(__xludf.DUMMYFUNCTION("""COMPUTED_VALUE"""),"Documentation")</f>
        <v>Documentation</v>
      </c>
      <c r="B855" s="6" t="str">
        <f ca="1">IFERROR(__xludf.DUMMYFUNCTION("""COMPUTED_VALUE"""),"Documentation")</f>
        <v>Documentation</v>
      </c>
      <c r="H855" s="6">
        <f ca="1"/>
        <v>0</v>
      </c>
      <c r="I855" s="6">
        <f ca="1"/>
        <v>0</v>
      </c>
      <c r="J855" s="6">
        <f ca="1"/>
        <v>0</v>
      </c>
    </row>
    <row r="856" spans="1:10" ht="13" x14ac:dyDescent="0.15">
      <c r="A856" s="6" t="str">
        <f ca="1">IFERROR(__xludf.DUMMYFUNCTION("""COMPUTED_VALUE"""),"Security")</f>
        <v>Security</v>
      </c>
      <c r="B856" s="6" t="str">
        <f ca="1">IFERROR(__xludf.DUMMYFUNCTION("""COMPUTED_VALUE"""),"Security")</f>
        <v>Security</v>
      </c>
      <c r="H856" s="6">
        <f ca="1"/>
        <v>0</v>
      </c>
      <c r="I856" s="6">
        <f ca="1"/>
        <v>0</v>
      </c>
      <c r="J856" s="6">
        <f ca="1"/>
        <v>0</v>
      </c>
    </row>
    <row r="857" spans="1:10" ht="13" x14ac:dyDescent="0.15">
      <c r="A857" s="6" t="str">
        <f ca="1">IFERROR(__xludf.DUMMYFUNCTION("""COMPUTED_VALUE"""),"Security")</f>
        <v>Security</v>
      </c>
      <c r="B857" s="6" t="str">
        <f ca="1">IFERROR(__xludf.DUMMYFUNCTION("""COMPUTED_VALUE"""),"Security")</f>
        <v>Security</v>
      </c>
      <c r="H857" s="6">
        <f ca="1"/>
        <v>0</v>
      </c>
      <c r="I857" s="6">
        <f ca="1"/>
        <v>0</v>
      </c>
      <c r="J857" s="6">
        <f ca="1"/>
        <v>0</v>
      </c>
    </row>
    <row r="858" spans="1:10" ht="13" x14ac:dyDescent="0.15">
      <c r="A858" s="6" t="str">
        <f ca="1">IFERROR(__xludf.DUMMYFUNCTION("""COMPUTED_VALUE"""),"Documentation")</f>
        <v>Documentation</v>
      </c>
      <c r="B858" s="6" t="str">
        <f ca="1">IFERROR(__xludf.DUMMYFUNCTION("""COMPUTED_VALUE"""),"Documentation")</f>
        <v>Documentation</v>
      </c>
      <c r="H858" s="6">
        <f ca="1"/>
        <v>0</v>
      </c>
      <c r="I858" s="6">
        <f ca="1"/>
        <v>0</v>
      </c>
      <c r="J858" s="6">
        <f ca="1"/>
        <v>0</v>
      </c>
    </row>
    <row r="859" spans="1:10" ht="13" x14ac:dyDescent="0.15">
      <c r="A859" s="6" t="str">
        <f ca="1">IFERROR(__xludf.DUMMYFUNCTION("""COMPUTED_VALUE"""),"Task Execution")</f>
        <v>Task Execution</v>
      </c>
      <c r="B859" s="6" t="str">
        <f ca="1">IFERROR(__xludf.DUMMYFUNCTION("""COMPUTED_VALUE"""),"Task Execution")</f>
        <v>Task Execution</v>
      </c>
      <c r="H859" s="6">
        <f ca="1"/>
        <v>0</v>
      </c>
      <c r="I859" s="6">
        <f ca="1"/>
        <v>0</v>
      </c>
      <c r="J859" s="6">
        <f ca="1"/>
        <v>0</v>
      </c>
    </row>
    <row r="860" spans="1:10" ht="13" x14ac:dyDescent="0.15">
      <c r="A860" s="6" t="str">
        <f ca="1">IFERROR(__xludf.DUMMYFUNCTION("""COMPUTED_VALUE"""),"Task Execution")</f>
        <v>Task Execution</v>
      </c>
      <c r="B860" s="6" t="str">
        <f ca="1">IFERROR(__xludf.DUMMYFUNCTION("""COMPUTED_VALUE"""),"Task Execution")</f>
        <v>Task Execution</v>
      </c>
      <c r="H860" s="6">
        <f ca="1"/>
        <v>0</v>
      </c>
      <c r="I860" s="6">
        <f ca="1"/>
        <v>0</v>
      </c>
      <c r="J860" s="6">
        <f ca="1"/>
        <v>0</v>
      </c>
    </row>
    <row r="861" spans="1:10" ht="13" x14ac:dyDescent="0.15">
      <c r="A861" s="6" t="str">
        <f ca="1">IFERROR(__xludf.DUMMYFUNCTION("""COMPUTED_VALUE"""),"Task Execution")</f>
        <v>Task Execution</v>
      </c>
      <c r="B861" s="6" t="str">
        <f ca="1">IFERROR(__xludf.DUMMYFUNCTION("""COMPUTED_VALUE"""),"Task Execution")</f>
        <v>Task Execution</v>
      </c>
      <c r="H861" s="6">
        <f ca="1"/>
        <v>0</v>
      </c>
      <c r="I861" s="6">
        <f ca="1"/>
        <v>0</v>
      </c>
      <c r="J861" s="6">
        <f ca="1"/>
        <v>0</v>
      </c>
    </row>
    <row r="862" spans="1:10" ht="13" x14ac:dyDescent="0.15">
      <c r="A862" s="6" t="str">
        <f ca="1">IFERROR(__xludf.DUMMYFUNCTION("""COMPUTED_VALUE"""),"Testing")</f>
        <v>Testing</v>
      </c>
      <c r="B862" s="6" t="str">
        <f ca="1">IFERROR(__xludf.DUMMYFUNCTION("""COMPUTED_VALUE"""),"Maintainability")</f>
        <v>Maintainability</v>
      </c>
      <c r="H862" s="6">
        <f ca="1"/>
        <v>0</v>
      </c>
      <c r="I862" s="6">
        <f ca="1"/>
        <v>0</v>
      </c>
      <c r="J862" s="6">
        <f ca="1"/>
        <v>0</v>
      </c>
    </row>
    <row r="863" spans="1:10" ht="13" x14ac:dyDescent="0.15">
      <c r="A863" s="6" t="str">
        <f ca="1">IFERROR(__xludf.DUMMYFUNCTION("""COMPUTED_VALUE"""),"Coding Pattern")</f>
        <v>Coding Pattern</v>
      </c>
      <c r="B863" s="6" t="str">
        <f ca="1">IFERROR(__xludf.DUMMYFUNCTION("""COMPUTED_VALUE"""),"Coding Pattern")</f>
        <v>Coding Pattern</v>
      </c>
      <c r="H863" s="6">
        <f ca="1"/>
        <v>0</v>
      </c>
      <c r="I863" s="6">
        <f ca="1"/>
        <v>0</v>
      </c>
      <c r="J863" s="6">
        <f ca="1"/>
        <v>0</v>
      </c>
    </row>
    <row r="864" spans="1:10" ht="13" x14ac:dyDescent="0.15">
      <c r="A864" s="6" t="str">
        <f ca="1">IFERROR(__xludf.DUMMYFUNCTION("""COMPUTED_VALUE"""),"Coding Style")</f>
        <v>Coding Style</v>
      </c>
      <c r="B864" s="6" t="str">
        <f ca="1">IFERROR(__xludf.DUMMYFUNCTION("""COMPUTED_VALUE"""),"Coding Pattern")</f>
        <v>Coding Pattern</v>
      </c>
      <c r="H864" s="6">
        <f ca="1"/>
        <v>0</v>
      </c>
      <c r="I864" s="6">
        <f ca="1"/>
        <v>0</v>
      </c>
      <c r="J864" s="6">
        <f ca="1"/>
        <v>0</v>
      </c>
    </row>
    <row r="865" spans="1:10" ht="13" x14ac:dyDescent="0.15">
      <c r="A865" s="6" t="str">
        <f ca="1">IFERROR(__xludf.DUMMYFUNCTION("""COMPUTED_VALUE"""),"Coding Pattern")</f>
        <v>Coding Pattern</v>
      </c>
      <c r="B865" s="6" t="str">
        <f ca="1">IFERROR(__xludf.DUMMYFUNCTION("""COMPUTED_VALUE"""),"Coding Pattern")</f>
        <v>Coding Pattern</v>
      </c>
      <c r="H865" s="6">
        <f ca="1"/>
        <v>0</v>
      </c>
      <c r="I865" s="6">
        <f ca="1"/>
        <v>0</v>
      </c>
      <c r="J865" s="6">
        <f ca="1"/>
        <v>0</v>
      </c>
    </row>
    <row r="866" spans="1:10" ht="13" x14ac:dyDescent="0.15">
      <c r="A866" s="6" t="str">
        <f ca="1">IFERROR(__xludf.DUMMYFUNCTION("""COMPUTED_VALUE"""),"Build &amp; Operation")</f>
        <v>Build &amp; Operation</v>
      </c>
      <c r="B866" s="6" t="str">
        <f ca="1">IFERROR(__xludf.DUMMYFUNCTION("""COMPUTED_VALUE"""),"Task Execution")</f>
        <v>Task Execution</v>
      </c>
      <c r="H866" s="6">
        <f ca="1"/>
        <v>0</v>
      </c>
      <c r="I866" s="6">
        <f ca="1"/>
        <v>0</v>
      </c>
      <c r="J866" s="6">
        <f ca="1"/>
        <v>0</v>
      </c>
    </row>
    <row r="867" spans="1:10" ht="13" x14ac:dyDescent="0.15">
      <c r="A867" s="6" t="str">
        <f ca="1">IFERROR(__xludf.DUMMYFUNCTION("""COMPUTED_VALUE"""),"Commit&amp;PR rule")</f>
        <v>Commit&amp;PR rule</v>
      </c>
      <c r="B867" s="6" t="str">
        <f ca="1">IFERROR(__xludf.DUMMYFUNCTION("""COMPUTED_VALUE"""),"Commit&amp;PR rule")</f>
        <v>Commit&amp;PR rule</v>
      </c>
      <c r="H867" s="6">
        <f ca="1"/>
        <v>0</v>
      </c>
      <c r="I867" s="6">
        <f ca="1"/>
        <v>0</v>
      </c>
      <c r="J867" s="6">
        <f ca="1"/>
        <v>0</v>
      </c>
    </row>
    <row r="868" spans="1:10" ht="13" x14ac:dyDescent="0.15">
      <c r="A868" s="6" t="str">
        <f ca="1">IFERROR(__xludf.DUMMYFUNCTION("""COMPUTED_VALUE"""),"Commit&amp;PR rule")</f>
        <v>Commit&amp;PR rule</v>
      </c>
      <c r="B868" s="6" t="str">
        <f ca="1">IFERROR(__xludf.DUMMYFUNCTION("""COMPUTED_VALUE"""),"Commit&amp;PR rule")</f>
        <v>Commit&amp;PR rule</v>
      </c>
      <c r="H868" s="6">
        <f ca="1"/>
        <v>0</v>
      </c>
      <c r="I868" s="6">
        <f ca="1"/>
        <v>0</v>
      </c>
      <c r="J868" s="6">
        <f ca="1"/>
        <v>0</v>
      </c>
    </row>
    <row r="869" spans="1:10" ht="13" x14ac:dyDescent="0.15">
      <c r="A869" s="6" t="str">
        <f ca="1">IFERROR(__xludf.DUMMYFUNCTION("""COMPUTED_VALUE"""),"Coding Style")</f>
        <v>Coding Style</v>
      </c>
      <c r="B869" s="6" t="str">
        <f ca="1">IFERROR(__xludf.DUMMYFUNCTION("""COMPUTED_VALUE"""),"Coding Pattern")</f>
        <v>Coding Pattern</v>
      </c>
      <c r="H869" s="6">
        <f ca="1"/>
        <v>0</v>
      </c>
      <c r="I869" s="6">
        <f ca="1"/>
        <v>0</v>
      </c>
      <c r="J869" s="6">
        <f ca="1"/>
        <v>0</v>
      </c>
    </row>
    <row r="870" spans="1:10" ht="13" x14ac:dyDescent="0.15">
      <c r="A870" s="6" t="str">
        <f ca="1">IFERROR(__xludf.DUMMYFUNCTION("""COMPUTED_VALUE"""),"Security")</f>
        <v>Security</v>
      </c>
      <c r="B870" s="6" t="str">
        <f ca="1">IFERROR(__xludf.DUMMYFUNCTION("""COMPUTED_VALUE"""),"Security")</f>
        <v>Security</v>
      </c>
      <c r="H870" s="6">
        <f ca="1"/>
        <v>0</v>
      </c>
      <c r="I870" s="6">
        <f ca="1"/>
        <v>0</v>
      </c>
      <c r="J870" s="6">
        <f ca="1"/>
        <v>0</v>
      </c>
    </row>
    <row r="871" spans="1:10" ht="13" x14ac:dyDescent="0.15">
      <c r="A871" s="6" t="str">
        <f ca="1">IFERROR(__xludf.DUMMYFUNCTION("""COMPUTED_VALUE"""),"Documentation")</f>
        <v>Documentation</v>
      </c>
      <c r="B871" s="6" t="str">
        <f ca="1">IFERROR(__xludf.DUMMYFUNCTION("""COMPUTED_VALUE"""),"Documentation")</f>
        <v>Documentation</v>
      </c>
      <c r="H871" s="6">
        <f ca="1"/>
        <v>0</v>
      </c>
      <c r="I871" s="6">
        <f ca="1"/>
        <v>0</v>
      </c>
      <c r="J871" s="6">
        <f ca="1"/>
        <v>0</v>
      </c>
    </row>
    <row r="872" spans="1:10" ht="13" x14ac:dyDescent="0.15">
      <c r="A872" s="6" t="str">
        <f ca="1">IFERROR(__xludf.DUMMYFUNCTION("""COMPUTED_VALUE"""),"Documentation")</f>
        <v>Documentation</v>
      </c>
      <c r="B872" s="6" t="str">
        <f ca="1">IFERROR(__xludf.DUMMYFUNCTION("""COMPUTED_VALUE"""),"Documentation")</f>
        <v>Documentation</v>
      </c>
      <c r="H872" s="6">
        <f ca="1"/>
        <v>0</v>
      </c>
      <c r="I872" s="6">
        <f ca="1"/>
        <v>0</v>
      </c>
      <c r="J872" s="6">
        <f ca="1"/>
        <v>0</v>
      </c>
    </row>
    <row r="873" spans="1:10" ht="13" x14ac:dyDescent="0.15">
      <c r="A873" s="6" t="str">
        <f ca="1">IFERROR(__xludf.DUMMYFUNCTION("""COMPUTED_VALUE"""),"Coding Style")</f>
        <v>Coding Style</v>
      </c>
      <c r="B873" s="6" t="str">
        <f ca="1">IFERROR(__xludf.DUMMYFUNCTION("""COMPUTED_VALUE"""),"Coding Style")</f>
        <v>Coding Style</v>
      </c>
      <c r="H873" s="6">
        <f ca="1"/>
        <v>0</v>
      </c>
      <c r="I873" s="6">
        <f ca="1"/>
        <v>0</v>
      </c>
      <c r="J873" s="6">
        <f ca="1"/>
        <v>0</v>
      </c>
    </row>
    <row r="874" spans="1:10" ht="13" x14ac:dyDescent="0.15">
      <c r="A874" s="6" t="str">
        <f ca="1">IFERROR(__xludf.DUMMYFUNCTION("""COMPUTED_VALUE"""),"Coding Pattern")</f>
        <v>Coding Pattern</v>
      </c>
      <c r="B874" s="6" t="str">
        <f ca="1">IFERROR(__xludf.DUMMYFUNCTION("""COMPUTED_VALUE"""),"Coding Pattern")</f>
        <v>Coding Pattern</v>
      </c>
      <c r="H874" s="6">
        <f ca="1"/>
        <v>0</v>
      </c>
      <c r="I874" s="6">
        <f ca="1"/>
        <v>0</v>
      </c>
      <c r="J874" s="6">
        <f ca="1"/>
        <v>0</v>
      </c>
    </row>
    <row r="875" spans="1:10" ht="13" x14ac:dyDescent="0.15">
      <c r="A875" s="6" t="str">
        <f ca="1">IFERROR(__xludf.DUMMYFUNCTION("""COMPUTED_VALUE"""),"Coding Pattern")</f>
        <v>Coding Pattern</v>
      </c>
      <c r="B875" s="6" t="str">
        <f ca="1">IFERROR(__xludf.DUMMYFUNCTION("""COMPUTED_VALUE"""),"Coding Pattern")</f>
        <v>Coding Pattern</v>
      </c>
      <c r="H875" s="6">
        <f ca="1"/>
        <v>0</v>
      </c>
      <c r="I875" s="6">
        <f ca="1"/>
        <v>0</v>
      </c>
      <c r="J875" s="6">
        <f ca="1"/>
        <v>0</v>
      </c>
    </row>
    <row r="876" spans="1:10" ht="13" x14ac:dyDescent="0.15">
      <c r="A876" s="6" t="str">
        <f ca="1">IFERROR(__xludf.DUMMYFUNCTION("""COMPUTED_VALUE"""),"Coding Pattern")</f>
        <v>Coding Pattern</v>
      </c>
      <c r="B876" s="6" t="str">
        <f ca="1">IFERROR(__xludf.DUMMYFUNCTION("""COMPUTED_VALUE"""),"Coding Pattern")</f>
        <v>Coding Pattern</v>
      </c>
      <c r="H876" s="6">
        <f ca="1"/>
        <v>0</v>
      </c>
      <c r="I876" s="6">
        <f ca="1"/>
        <v>0</v>
      </c>
      <c r="J876" s="6">
        <f ca="1"/>
        <v>0</v>
      </c>
    </row>
    <row r="877" spans="1:10" ht="13" x14ac:dyDescent="0.15">
      <c r="A877" s="6" t="str">
        <f ca="1">IFERROR(__xludf.DUMMYFUNCTION("""COMPUTED_VALUE"""),"Testing")</f>
        <v>Testing</v>
      </c>
      <c r="B877" s="6" t="str">
        <f ca="1">IFERROR(__xludf.DUMMYFUNCTION("""COMPUTED_VALUE"""),"Testing")</f>
        <v>Testing</v>
      </c>
      <c r="H877" s="6">
        <f ca="1"/>
        <v>0</v>
      </c>
      <c r="I877" s="6">
        <f ca="1"/>
        <v>0</v>
      </c>
      <c r="J877" s="6">
        <f ca="1"/>
        <v>0</v>
      </c>
    </row>
    <row r="878" spans="1:10" ht="13" x14ac:dyDescent="0.15">
      <c r="A878" s="6" t="str">
        <f ca="1">IFERROR(__xludf.DUMMYFUNCTION("""COMPUTED_VALUE"""),"Coding Pattern")</f>
        <v>Coding Pattern</v>
      </c>
      <c r="B878" s="6" t="str">
        <f ca="1">IFERROR(__xludf.DUMMYFUNCTION("""COMPUTED_VALUE"""),"Coding Pattern")</f>
        <v>Coding Pattern</v>
      </c>
      <c r="H878" s="6">
        <f ca="1"/>
        <v>0</v>
      </c>
      <c r="I878" s="6">
        <f ca="1"/>
        <v>0</v>
      </c>
      <c r="J878" s="6">
        <f ca="1"/>
        <v>0</v>
      </c>
    </row>
    <row r="879" spans="1:10" ht="13" x14ac:dyDescent="0.15">
      <c r="A879" s="6" t="str">
        <f ca="1">IFERROR(__xludf.DUMMYFUNCTION("""COMPUTED_VALUE"""),"Commit&amp;PR rule")</f>
        <v>Commit&amp;PR rule</v>
      </c>
      <c r="B879" s="6" t="str">
        <f ca="1">IFERROR(__xludf.DUMMYFUNCTION("""COMPUTED_VALUE"""),"Commit&amp;PR rule")</f>
        <v>Commit&amp;PR rule</v>
      </c>
      <c r="H879" s="6">
        <f ca="1"/>
        <v>0</v>
      </c>
      <c r="I879" s="6">
        <f ca="1"/>
        <v>0</v>
      </c>
      <c r="J879" s="6">
        <f ca="1"/>
        <v>0</v>
      </c>
    </row>
    <row r="880" spans="1:10" ht="13" x14ac:dyDescent="0.15">
      <c r="A880" s="6" t="str">
        <f ca="1">IFERROR(__xludf.DUMMYFUNCTION("""COMPUTED_VALUE"""),"Commit&amp;PR rule")</f>
        <v>Commit&amp;PR rule</v>
      </c>
      <c r="B880" s="6" t="str">
        <f ca="1">IFERROR(__xludf.DUMMYFUNCTION("""COMPUTED_VALUE"""),"Commit&amp;PR rule")</f>
        <v>Commit&amp;PR rule</v>
      </c>
      <c r="H880" s="6">
        <f ca="1"/>
        <v>0</v>
      </c>
      <c r="I880" s="6">
        <f ca="1"/>
        <v>0</v>
      </c>
      <c r="J880" s="6">
        <f ca="1"/>
        <v>0</v>
      </c>
    </row>
    <row r="881" spans="1:10" ht="13" x14ac:dyDescent="0.15">
      <c r="A881" s="6" t="str">
        <f ca="1">IFERROR(__xludf.DUMMYFUNCTION("""COMPUTED_VALUE"""),"Testing")</f>
        <v>Testing</v>
      </c>
      <c r="B881" s="6" t="str">
        <f ca="1">IFERROR(__xludf.DUMMYFUNCTION("""COMPUTED_VALUE"""),"Testing")</f>
        <v>Testing</v>
      </c>
      <c r="H881" s="6">
        <f ca="1"/>
        <v>0</v>
      </c>
      <c r="I881" s="6">
        <f ca="1"/>
        <v>0</v>
      </c>
      <c r="J881" s="6">
        <f ca="1"/>
        <v>0</v>
      </c>
    </row>
    <row r="882" spans="1:10" ht="13" x14ac:dyDescent="0.15">
      <c r="A882" s="6" t="str">
        <f ca="1">IFERROR(__xludf.DUMMYFUNCTION("""COMPUTED_VALUE"""),"Task Execution")</f>
        <v>Task Execution</v>
      </c>
      <c r="B882" s="6" t="str">
        <f ca="1">IFERROR(__xludf.DUMMYFUNCTION("""COMPUTED_VALUE"""),"Task Execution")</f>
        <v>Task Execution</v>
      </c>
      <c r="H882" s="6">
        <f ca="1"/>
        <v>0</v>
      </c>
      <c r="I882" s="6">
        <f ca="1"/>
        <v>0</v>
      </c>
      <c r="J882" s="6">
        <f ca="1"/>
        <v>0</v>
      </c>
    </row>
    <row r="883" spans="1:10" ht="13" x14ac:dyDescent="0.15">
      <c r="A883" s="6" t="str">
        <f ca="1">IFERROR(__xludf.DUMMYFUNCTION("""COMPUTED_VALUE"""),"Documentation")</f>
        <v>Documentation</v>
      </c>
      <c r="B883" s="6" t="str">
        <f ca="1">IFERROR(__xludf.DUMMYFUNCTION("""COMPUTED_VALUE"""),"Documentation")</f>
        <v>Documentation</v>
      </c>
      <c r="H883" s="6">
        <f ca="1"/>
        <v>0</v>
      </c>
      <c r="I883" s="6">
        <f ca="1"/>
        <v>0</v>
      </c>
      <c r="J883" s="6">
        <f ca="1"/>
        <v>0</v>
      </c>
    </row>
    <row r="884" spans="1:10" ht="13" x14ac:dyDescent="0.15">
      <c r="A884" s="6" t="str">
        <f ca="1">IFERROR(__xludf.DUMMYFUNCTION("""COMPUTED_VALUE"""),"Coding Pattern")</f>
        <v>Coding Pattern</v>
      </c>
      <c r="B884" s="6" t="str">
        <f ca="1">IFERROR(__xludf.DUMMYFUNCTION("""COMPUTED_VALUE"""),"Coding Pattern")</f>
        <v>Coding Pattern</v>
      </c>
      <c r="H884" s="6">
        <f ca="1"/>
        <v>0</v>
      </c>
      <c r="I884" s="6">
        <f ca="1"/>
        <v>0</v>
      </c>
      <c r="J884" s="6">
        <f ca="1"/>
        <v>0</v>
      </c>
    </row>
    <row r="885" spans="1:10" ht="13" x14ac:dyDescent="0.15">
      <c r="A885" s="6" t="str">
        <f ca="1">IFERROR(__xludf.DUMMYFUNCTION("""COMPUTED_VALUE"""),"Coding Pattern")</f>
        <v>Coding Pattern</v>
      </c>
      <c r="B885" s="6" t="str">
        <f ca="1">IFERROR(__xludf.DUMMYFUNCTION("""COMPUTED_VALUE"""),"Coding Pattern")</f>
        <v>Coding Pattern</v>
      </c>
      <c r="H885" s="6">
        <f ca="1"/>
        <v>0</v>
      </c>
      <c r="I885" s="6">
        <f ca="1"/>
        <v>0</v>
      </c>
      <c r="J885" s="6">
        <f ca="1"/>
        <v>0</v>
      </c>
    </row>
    <row r="886" spans="1:10" ht="13" x14ac:dyDescent="0.15">
      <c r="A886" s="6" t="str">
        <f ca="1">IFERROR(__xludf.DUMMYFUNCTION("""COMPUTED_VALUE"""),"Testing")</f>
        <v>Testing</v>
      </c>
      <c r="B886" s="6" t="str">
        <f ca="1">IFERROR(__xludf.DUMMYFUNCTION("""COMPUTED_VALUE"""),"Testing")</f>
        <v>Testing</v>
      </c>
      <c r="H886" s="6">
        <f ca="1"/>
        <v>0</v>
      </c>
      <c r="I886" s="6">
        <f ca="1"/>
        <v>0</v>
      </c>
      <c r="J886" s="6">
        <f ca="1"/>
        <v>0</v>
      </c>
    </row>
    <row r="887" spans="1:10" ht="13" x14ac:dyDescent="0.15">
      <c r="A887" s="6" t="str">
        <f ca="1">IFERROR(__xludf.DUMMYFUNCTION("""COMPUTED_VALUE"""),"Task Execution")</f>
        <v>Task Execution</v>
      </c>
      <c r="B887" s="6" t="str">
        <f ca="1">IFERROR(__xludf.DUMMYFUNCTION("""COMPUTED_VALUE"""),"Task Execution")</f>
        <v>Task Execution</v>
      </c>
      <c r="H887" s="6">
        <f ca="1"/>
        <v>0</v>
      </c>
      <c r="I887" s="6">
        <f ca="1"/>
        <v>0</v>
      </c>
      <c r="J887" s="6">
        <f ca="1"/>
        <v>0</v>
      </c>
    </row>
    <row r="888" spans="1:10" ht="13" x14ac:dyDescent="0.15">
      <c r="A888" s="6" t="str">
        <f ca="1">IFERROR(__xludf.DUMMYFUNCTION("""COMPUTED_VALUE"""),"Commit&amp;PR rule")</f>
        <v>Commit&amp;PR rule</v>
      </c>
      <c r="B888" s="6" t="str">
        <f ca="1">IFERROR(__xludf.DUMMYFUNCTION("""COMPUTED_VALUE"""),"Commit&amp;PR rule")</f>
        <v>Commit&amp;PR rule</v>
      </c>
      <c r="H888" s="6">
        <f ca="1"/>
        <v>0</v>
      </c>
      <c r="I888" s="6">
        <f ca="1"/>
        <v>0</v>
      </c>
      <c r="J888" s="6">
        <f ca="1"/>
        <v>0</v>
      </c>
    </row>
    <row r="889" spans="1:10" ht="13" x14ac:dyDescent="0.15">
      <c r="A889" s="6" t="str">
        <f ca="1">IFERROR(__xludf.DUMMYFUNCTION("""COMPUTED_VALUE"""),"Commit&amp;PR rule")</f>
        <v>Commit&amp;PR rule</v>
      </c>
      <c r="B889" s="6" t="str">
        <f ca="1">IFERROR(__xludf.DUMMYFUNCTION("""COMPUTED_VALUE"""),"Commit&amp;PR rule")</f>
        <v>Commit&amp;PR rule</v>
      </c>
      <c r="H889" s="6">
        <f ca="1"/>
        <v>0</v>
      </c>
      <c r="I889" s="6">
        <f ca="1"/>
        <v>0</v>
      </c>
      <c r="J889" s="6">
        <f ca="1"/>
        <v>0</v>
      </c>
    </row>
    <row r="890" spans="1:10" ht="13" x14ac:dyDescent="0.15">
      <c r="A890" s="6" t="str">
        <f ca="1">IFERROR(__xludf.DUMMYFUNCTION("""COMPUTED_VALUE"""),"Testing")</f>
        <v>Testing</v>
      </c>
      <c r="B890" s="6" t="str">
        <f ca="1">IFERROR(__xludf.DUMMYFUNCTION("""COMPUTED_VALUE"""),"Testing")</f>
        <v>Testing</v>
      </c>
      <c r="H890" s="6">
        <f ca="1"/>
        <v>0</v>
      </c>
      <c r="I890" s="6">
        <f ca="1"/>
        <v>0</v>
      </c>
      <c r="J890" s="6">
        <f ca="1"/>
        <v>0</v>
      </c>
    </row>
    <row r="891" spans="1:10" ht="13" x14ac:dyDescent="0.15">
      <c r="A891" s="6" t="str">
        <f ca="1">IFERROR(__xludf.DUMMYFUNCTION("""COMPUTED_VALUE"""),"Coding Pattern")</f>
        <v>Coding Pattern</v>
      </c>
      <c r="B891" s="6" t="str">
        <f ca="1">IFERROR(__xludf.DUMMYFUNCTION("""COMPUTED_VALUE"""),"Coding Pattern")</f>
        <v>Coding Pattern</v>
      </c>
      <c r="H891" s="6">
        <f ca="1"/>
        <v>0</v>
      </c>
      <c r="I891" s="6">
        <f ca="1"/>
        <v>0</v>
      </c>
      <c r="J891" s="6">
        <f ca="1"/>
        <v>0</v>
      </c>
    </row>
    <row r="892" spans="1:10" ht="13" x14ac:dyDescent="0.15">
      <c r="A892" s="6" t="str">
        <f ca="1">IFERROR(__xludf.DUMMYFUNCTION("""COMPUTED_VALUE"""),"Coding Pattern")</f>
        <v>Coding Pattern</v>
      </c>
      <c r="B892" s="6" t="str">
        <f ca="1">IFERROR(__xludf.DUMMYFUNCTION("""COMPUTED_VALUE"""),"Coding Pattern")</f>
        <v>Coding Pattern</v>
      </c>
      <c r="H892" s="6">
        <f ca="1"/>
        <v>0</v>
      </c>
      <c r="I892" s="6">
        <f ca="1"/>
        <v>0</v>
      </c>
      <c r="J892" s="6">
        <f ca="1"/>
        <v>0</v>
      </c>
    </row>
    <row r="893" spans="1:10" ht="13" x14ac:dyDescent="0.15">
      <c r="A893" s="6" t="str">
        <f ca="1">IFERROR(__xludf.DUMMYFUNCTION("""COMPUTED_VALUE"""),"Testing")</f>
        <v>Testing</v>
      </c>
      <c r="B893" s="6" t="str">
        <f ca="1">IFERROR(__xludf.DUMMYFUNCTION("""COMPUTED_VALUE"""),"Testing")</f>
        <v>Testing</v>
      </c>
      <c r="H893" s="6">
        <f ca="1"/>
        <v>0</v>
      </c>
      <c r="I893" s="6">
        <f ca="1"/>
        <v>0</v>
      </c>
      <c r="J893" s="6">
        <f ca="1"/>
        <v>0</v>
      </c>
    </row>
    <row r="894" spans="1:10" ht="13" x14ac:dyDescent="0.15">
      <c r="A894" s="6" t="str">
        <f ca="1">IFERROR(__xludf.DUMMYFUNCTION("""COMPUTED_VALUE"""),"Testing")</f>
        <v>Testing</v>
      </c>
      <c r="B894" s="6" t="str">
        <f ca="1">IFERROR(__xludf.DUMMYFUNCTION("""COMPUTED_VALUE"""),"Testing")</f>
        <v>Testing</v>
      </c>
      <c r="H894" s="6">
        <f ca="1"/>
        <v>0</v>
      </c>
      <c r="I894" s="6">
        <f ca="1"/>
        <v>0</v>
      </c>
      <c r="J894" s="6">
        <f ca="1"/>
        <v>0</v>
      </c>
    </row>
    <row r="895" spans="1:10" ht="13" x14ac:dyDescent="0.15">
      <c r="A895" s="6" t="str">
        <f ca="1">IFERROR(__xludf.DUMMYFUNCTION("""COMPUTED_VALUE"""),"Testing")</f>
        <v>Testing</v>
      </c>
      <c r="B895" s="6" t="str">
        <f ca="1">IFERROR(__xludf.DUMMYFUNCTION("""COMPUTED_VALUE"""),"Testing")</f>
        <v>Testing</v>
      </c>
      <c r="H895" s="6">
        <f ca="1"/>
        <v>0</v>
      </c>
      <c r="I895" s="6">
        <f ca="1"/>
        <v>0</v>
      </c>
      <c r="J895" s="6">
        <f ca="1"/>
        <v>0</v>
      </c>
    </row>
    <row r="896" spans="1:10" ht="13" x14ac:dyDescent="0.15">
      <c r="A896" s="6" t="str">
        <f ca="1">IFERROR(__xludf.DUMMYFUNCTION("""COMPUTED_VALUE"""),"Testing")</f>
        <v>Testing</v>
      </c>
      <c r="B896" s="6" t="str">
        <f ca="1">IFERROR(__xludf.DUMMYFUNCTION("""COMPUTED_VALUE"""),"Testing")</f>
        <v>Testing</v>
      </c>
      <c r="H896" s="6">
        <f ca="1"/>
        <v>0</v>
      </c>
      <c r="I896" s="6">
        <f ca="1"/>
        <v>0</v>
      </c>
      <c r="J896" s="6">
        <f ca="1"/>
        <v>0</v>
      </c>
    </row>
    <row r="897" spans="1:10" ht="13" x14ac:dyDescent="0.15">
      <c r="A897" s="6" t="str">
        <f ca="1">IFERROR(__xludf.DUMMYFUNCTION("""COMPUTED_VALUE"""),"Testing")</f>
        <v>Testing</v>
      </c>
      <c r="B897" s="6" t="str">
        <f ca="1">IFERROR(__xludf.DUMMYFUNCTION("""COMPUTED_VALUE"""),"Testing")</f>
        <v>Testing</v>
      </c>
      <c r="H897" s="6">
        <f ca="1"/>
        <v>0</v>
      </c>
      <c r="I897" s="6">
        <f ca="1"/>
        <v>0</v>
      </c>
      <c r="J897" s="6">
        <f ca="1"/>
        <v>0</v>
      </c>
    </row>
    <row r="898" spans="1:10" ht="13" x14ac:dyDescent="0.15">
      <c r="A898" s="6" t="str">
        <f ca="1">IFERROR(__xludf.DUMMYFUNCTION("""COMPUTED_VALUE"""),"Testing")</f>
        <v>Testing</v>
      </c>
      <c r="B898" s="6" t="str">
        <f ca="1">IFERROR(__xludf.DUMMYFUNCTION("""COMPUTED_VALUE"""),"Testing")</f>
        <v>Testing</v>
      </c>
      <c r="H898" s="6">
        <f ca="1"/>
        <v>0</v>
      </c>
      <c r="I898" s="6">
        <f ca="1"/>
        <v>0</v>
      </c>
      <c r="J898" s="6">
        <f ca="1"/>
        <v>0</v>
      </c>
    </row>
    <row r="899" spans="1:10" ht="13" x14ac:dyDescent="0.15">
      <c r="A899" s="6" t="str">
        <f ca="1">IFERROR(__xludf.DUMMYFUNCTION("""COMPUTED_VALUE"""),"Coding Style")</f>
        <v>Coding Style</v>
      </c>
      <c r="B899" s="6" t="str">
        <f ca="1">IFERROR(__xludf.DUMMYFUNCTION("""COMPUTED_VALUE"""),"Coding Style")</f>
        <v>Coding Style</v>
      </c>
      <c r="H899" s="6">
        <f ca="1"/>
        <v>0</v>
      </c>
      <c r="I899" s="6">
        <f ca="1"/>
        <v>0</v>
      </c>
      <c r="J899" s="6">
        <f ca="1"/>
        <v>0</v>
      </c>
    </row>
    <row r="900" spans="1:10" ht="13" x14ac:dyDescent="0.15">
      <c r="A900" s="6" t="str">
        <f ca="1">IFERROR(__xludf.DUMMYFUNCTION("""COMPUTED_VALUE"""),"Coding Style")</f>
        <v>Coding Style</v>
      </c>
      <c r="B900" s="6" t="str">
        <f ca="1">IFERROR(__xludf.DUMMYFUNCTION("""COMPUTED_VALUE"""),"Writing Style Preference")</f>
        <v>Writing Style Preference</v>
      </c>
      <c r="H900" s="6">
        <f ca="1"/>
        <v>0</v>
      </c>
      <c r="I900" s="6">
        <f ca="1"/>
        <v>0</v>
      </c>
      <c r="J900" s="6">
        <f ca="1"/>
        <v>0</v>
      </c>
    </row>
    <row r="901" spans="1:10" ht="13" x14ac:dyDescent="0.15">
      <c r="A901" s="6" t="str">
        <f ca="1">IFERROR(__xludf.DUMMYFUNCTION("""COMPUTED_VALUE"""),"Coding Style")</f>
        <v>Coding Style</v>
      </c>
      <c r="B901" s="6" t="str">
        <f ca="1">IFERROR(__xludf.DUMMYFUNCTION("""COMPUTED_VALUE"""),"Writing Style Preference")</f>
        <v>Writing Style Preference</v>
      </c>
      <c r="H901" s="6">
        <f ca="1"/>
        <v>0</v>
      </c>
      <c r="I901" s="6">
        <f ca="1"/>
        <v>0</v>
      </c>
      <c r="J901" s="6">
        <f ca="1"/>
        <v>0</v>
      </c>
    </row>
    <row r="902" spans="1:10" ht="13" x14ac:dyDescent="0.15">
      <c r="A902" s="6" t="str">
        <f ca="1">IFERROR(__xludf.DUMMYFUNCTION("""COMPUTED_VALUE"""),"Commit&amp;PR rule")</f>
        <v>Commit&amp;PR rule</v>
      </c>
      <c r="B902" s="6" t="str">
        <f ca="1">IFERROR(__xludf.DUMMYFUNCTION("""COMPUTED_VALUE"""),"Commit&amp;PR rule")</f>
        <v>Commit&amp;PR rule</v>
      </c>
      <c r="H902" s="6">
        <f ca="1"/>
        <v>0</v>
      </c>
      <c r="I902" s="6">
        <f ca="1"/>
        <v>0</v>
      </c>
      <c r="J902" s="6">
        <f ca="1"/>
        <v>0</v>
      </c>
    </row>
    <row r="903" spans="1:10" ht="13" x14ac:dyDescent="0.15">
      <c r="A903" s="6" t="str">
        <f ca="1">IFERROR(__xludf.DUMMYFUNCTION("""COMPUTED_VALUE"""),"Coding Pattern")</f>
        <v>Coding Pattern</v>
      </c>
      <c r="B903" s="6" t="str">
        <f ca="1">IFERROR(__xludf.DUMMYFUNCTION("""COMPUTED_VALUE"""),"Coding Pattern")</f>
        <v>Coding Pattern</v>
      </c>
      <c r="H903" s="6">
        <f ca="1"/>
        <v>0</v>
      </c>
      <c r="I903" s="6">
        <f ca="1"/>
        <v>0</v>
      </c>
      <c r="J903" s="6">
        <f ca="1"/>
        <v>0</v>
      </c>
    </row>
    <row r="904" spans="1:10" ht="13" x14ac:dyDescent="0.15">
      <c r="A904" s="6" t="str">
        <f ca="1">IFERROR(__xludf.DUMMYFUNCTION("""COMPUTED_VALUE"""),"Coding Pattern")</f>
        <v>Coding Pattern</v>
      </c>
      <c r="B904" s="6" t="str">
        <f ca="1">IFERROR(__xludf.DUMMYFUNCTION("""COMPUTED_VALUE"""),"Coding Pattern")</f>
        <v>Coding Pattern</v>
      </c>
      <c r="H904" s="6">
        <f ca="1"/>
        <v>0</v>
      </c>
      <c r="I904" s="6">
        <f ca="1"/>
        <v>0</v>
      </c>
      <c r="J904" s="6">
        <f ca="1"/>
        <v>0</v>
      </c>
    </row>
    <row r="905" spans="1:10" ht="13" x14ac:dyDescent="0.15">
      <c r="A905" s="6" t="str">
        <f ca="1">IFERROR(__xludf.DUMMYFUNCTION("""COMPUTED_VALUE"""),"Task Execution")</f>
        <v>Task Execution</v>
      </c>
      <c r="B905" s="6" t="str">
        <f ca="1">IFERROR(__xludf.DUMMYFUNCTION("""COMPUTED_VALUE"""),"Task Execution")</f>
        <v>Task Execution</v>
      </c>
      <c r="H905" s="6">
        <f ca="1"/>
        <v>0</v>
      </c>
      <c r="I905" s="6">
        <f ca="1"/>
        <v>0</v>
      </c>
      <c r="J905" s="6">
        <f ca="1"/>
        <v>0</v>
      </c>
    </row>
    <row r="906" spans="1:10" ht="13" x14ac:dyDescent="0.15">
      <c r="A906" s="6" t="str">
        <f ca="1">IFERROR(__xludf.DUMMYFUNCTION("""COMPUTED_VALUE"""),"Build &amp; Operation")</f>
        <v>Build &amp; Operation</v>
      </c>
      <c r="B906" s="6" t="str">
        <f ca="1">IFERROR(__xludf.DUMMYFUNCTION("""COMPUTED_VALUE"""),"Task Execution")</f>
        <v>Task Execution</v>
      </c>
      <c r="H906" s="6">
        <f ca="1"/>
        <v>0</v>
      </c>
      <c r="I906" s="6">
        <f ca="1"/>
        <v>0</v>
      </c>
      <c r="J906" s="6">
        <f ca="1"/>
        <v>0</v>
      </c>
    </row>
    <row r="907" spans="1:10" ht="13" x14ac:dyDescent="0.15">
      <c r="A907" s="6" t="str">
        <f ca="1">IFERROR(__xludf.DUMMYFUNCTION("""COMPUTED_VALUE"""),"Coding Pattern")</f>
        <v>Coding Pattern</v>
      </c>
      <c r="B907" s="6" t="str">
        <f ca="1">IFERROR(__xludf.DUMMYFUNCTION("""COMPUTED_VALUE"""),"Coding Pattern")</f>
        <v>Coding Pattern</v>
      </c>
      <c r="H907" s="6">
        <f ca="1"/>
        <v>0</v>
      </c>
      <c r="I907" s="6">
        <f ca="1"/>
        <v>0</v>
      </c>
      <c r="J907" s="6">
        <f ca="1"/>
        <v>0</v>
      </c>
    </row>
    <row r="908" spans="1:10" ht="13" x14ac:dyDescent="0.15">
      <c r="A908" s="6" t="str">
        <f ca="1">IFERROR(__xludf.DUMMYFUNCTION("""COMPUTED_VALUE"""),"Build &amp; Operation")</f>
        <v>Build &amp; Operation</v>
      </c>
      <c r="B908" s="6" t="str">
        <f ca="1">IFERROR(__xludf.DUMMYFUNCTION("""COMPUTED_VALUE"""),"Build &amp; Operation")</f>
        <v>Build &amp; Operation</v>
      </c>
      <c r="H908" s="6">
        <f ca="1"/>
        <v>0</v>
      </c>
      <c r="I908" s="6">
        <f ca="1"/>
        <v>0</v>
      </c>
      <c r="J908" s="6">
        <f ca="1"/>
        <v>0</v>
      </c>
    </row>
    <row r="909" spans="1:10" ht="13" x14ac:dyDescent="0.15">
      <c r="A909" s="6" t="str">
        <f ca="1">IFERROR(__xludf.DUMMYFUNCTION("""COMPUTED_VALUE"""),"Coding Pattern")</f>
        <v>Coding Pattern</v>
      </c>
      <c r="B909" s="6" t="str">
        <f ca="1">IFERROR(__xludf.DUMMYFUNCTION("""COMPUTED_VALUE"""),"Coding Pattern")</f>
        <v>Coding Pattern</v>
      </c>
      <c r="H909" s="6">
        <f ca="1"/>
        <v>0</v>
      </c>
      <c r="I909" s="6">
        <f ca="1"/>
        <v>0</v>
      </c>
      <c r="J909" s="6">
        <f ca="1"/>
        <v>0</v>
      </c>
    </row>
    <row r="910" spans="1:10" ht="13" x14ac:dyDescent="0.15">
      <c r="A910" s="6" t="str">
        <f ca="1">IFERROR(__xludf.DUMMYFUNCTION("""COMPUTED_VALUE"""),"Task Execution")</f>
        <v>Task Execution</v>
      </c>
      <c r="B910" s="6" t="str">
        <f ca="1">IFERROR(__xludf.DUMMYFUNCTION("""COMPUTED_VALUE"""),"Task Execution")</f>
        <v>Task Execution</v>
      </c>
      <c r="H910" s="6">
        <f ca="1"/>
        <v>0</v>
      </c>
      <c r="I910" s="6">
        <f ca="1"/>
        <v>0</v>
      </c>
      <c r="J910" s="6">
        <f ca="1"/>
        <v>0</v>
      </c>
    </row>
    <row r="911" spans="1:10" ht="13" x14ac:dyDescent="0.15">
      <c r="A911" s="6" t="str">
        <f ca="1">IFERROR(__xludf.DUMMYFUNCTION("""COMPUTED_VALUE"""),"Commit&amp;PR rule")</f>
        <v>Commit&amp;PR rule</v>
      </c>
      <c r="B911" s="6" t="str">
        <f ca="1">IFERROR(__xludf.DUMMYFUNCTION("""COMPUTED_VALUE"""),"Commit&amp;PR rule")</f>
        <v>Commit&amp;PR rule</v>
      </c>
      <c r="H911" s="6">
        <f ca="1"/>
        <v>0</v>
      </c>
      <c r="I911" s="6">
        <f ca="1"/>
        <v>0</v>
      </c>
      <c r="J911" s="6">
        <f ca="1"/>
        <v>0</v>
      </c>
    </row>
    <row r="912" spans="1:10" ht="13" x14ac:dyDescent="0.15">
      <c r="A912" s="6" t="str">
        <f ca="1">IFERROR(__xludf.DUMMYFUNCTION("""COMPUTED_VALUE"""),"Security")</f>
        <v>Security</v>
      </c>
      <c r="B912" s="6" t="str">
        <f ca="1">IFERROR(__xludf.DUMMYFUNCTION("""COMPUTED_VALUE"""),"Security")</f>
        <v>Security</v>
      </c>
      <c r="H912" s="6">
        <f ca="1"/>
        <v>0</v>
      </c>
      <c r="I912" s="6">
        <f ca="1"/>
        <v>0</v>
      </c>
      <c r="J912" s="6">
        <f ca="1"/>
        <v>0</v>
      </c>
    </row>
    <row r="913" spans="1:10" ht="13" x14ac:dyDescent="0.15">
      <c r="A913" s="6" t="str">
        <f ca="1">IFERROR(__xludf.DUMMYFUNCTION("""COMPUTED_VALUE"""),"Security")</f>
        <v>Security</v>
      </c>
      <c r="B913" s="6" t="str">
        <f ca="1">IFERROR(__xludf.DUMMYFUNCTION("""COMPUTED_VALUE"""),"Security")</f>
        <v>Security</v>
      </c>
      <c r="H913" s="6">
        <f ca="1"/>
        <v>0</v>
      </c>
      <c r="I913" s="6">
        <f ca="1"/>
        <v>0</v>
      </c>
      <c r="J913" s="6">
        <f ca="1"/>
        <v>0</v>
      </c>
    </row>
    <row r="914" spans="1:10" ht="13" x14ac:dyDescent="0.15">
      <c r="A914" s="6" t="str">
        <f ca="1">IFERROR(__xludf.DUMMYFUNCTION("""COMPUTED_VALUE"""),"Coding Pattern")</f>
        <v>Coding Pattern</v>
      </c>
      <c r="B914" s="6" t="str">
        <f ca="1">IFERROR(__xludf.DUMMYFUNCTION("""COMPUTED_VALUE"""),"Coding Pattern")</f>
        <v>Coding Pattern</v>
      </c>
      <c r="H914" s="6">
        <f ca="1"/>
        <v>0</v>
      </c>
      <c r="I914" s="6">
        <f ca="1"/>
        <v>0</v>
      </c>
      <c r="J914" s="6">
        <f ca="1"/>
        <v>0</v>
      </c>
    </row>
    <row r="915" spans="1:10" ht="13" x14ac:dyDescent="0.15">
      <c r="A915" s="6" t="str">
        <f ca="1">IFERROR(__xludf.DUMMYFUNCTION("""COMPUTED_VALUE"""),"Documentation")</f>
        <v>Documentation</v>
      </c>
      <c r="B915" s="6" t="str">
        <f ca="1">IFERROR(__xludf.DUMMYFUNCTION("""COMPUTED_VALUE"""),"Documentation")</f>
        <v>Documentation</v>
      </c>
      <c r="H915" s="6">
        <f ca="1"/>
        <v>0</v>
      </c>
      <c r="I915" s="6">
        <f ca="1"/>
        <v>0</v>
      </c>
      <c r="J915" s="6">
        <f ca="1"/>
        <v>0</v>
      </c>
    </row>
    <row r="916" spans="1:10" ht="13" x14ac:dyDescent="0.15">
      <c r="A916" s="6" t="str">
        <f ca="1">IFERROR(__xludf.DUMMYFUNCTION("""COMPUTED_VALUE"""),"Build &amp; Operation")</f>
        <v>Build &amp; Operation</v>
      </c>
      <c r="B916" s="6" t="str">
        <f ca="1">IFERROR(__xludf.DUMMYFUNCTION("""COMPUTED_VALUE"""),"Build &amp; Operation")</f>
        <v>Build &amp; Operation</v>
      </c>
      <c r="H916" s="6">
        <f ca="1"/>
        <v>0</v>
      </c>
      <c r="I916" s="6">
        <f ca="1"/>
        <v>0</v>
      </c>
      <c r="J916" s="6">
        <f ca="1"/>
        <v>0</v>
      </c>
    </row>
    <row r="917" spans="1:10" ht="13" x14ac:dyDescent="0.15">
      <c r="A917" s="6" t="str">
        <f ca="1">IFERROR(__xludf.DUMMYFUNCTION("""COMPUTED_VALUE"""),"Coding Pattern")</f>
        <v>Coding Pattern</v>
      </c>
      <c r="B917" s="6" t="str">
        <f ca="1">IFERROR(__xludf.DUMMYFUNCTION("""COMPUTED_VALUE"""),"Coding Pattern")</f>
        <v>Coding Pattern</v>
      </c>
      <c r="H917" s="6">
        <f ca="1"/>
        <v>0</v>
      </c>
      <c r="I917" s="6">
        <f ca="1"/>
        <v>0</v>
      </c>
      <c r="J917" s="6">
        <f ca="1"/>
        <v>0</v>
      </c>
    </row>
    <row r="918" spans="1:10" ht="13" x14ac:dyDescent="0.15">
      <c r="A918" s="6" t="str">
        <f ca="1">IFERROR(__xludf.DUMMYFUNCTION("""COMPUTED_VALUE"""),"Coding Pattern")</f>
        <v>Coding Pattern</v>
      </c>
      <c r="B918" s="6" t="str">
        <f ca="1">IFERROR(__xludf.DUMMYFUNCTION("""COMPUTED_VALUE"""),"Coding Pattern")</f>
        <v>Coding Pattern</v>
      </c>
      <c r="H918" s="6">
        <f ca="1"/>
        <v>0</v>
      </c>
      <c r="I918" s="6">
        <f ca="1"/>
        <v>0</v>
      </c>
      <c r="J918" s="6">
        <f ca="1"/>
        <v>0</v>
      </c>
    </row>
    <row r="919" spans="1:10" ht="13" x14ac:dyDescent="0.15">
      <c r="A919" s="6" t="str">
        <f ca="1">IFERROR(__xludf.DUMMYFUNCTION("""COMPUTED_VALUE"""),"Coding Pattern")</f>
        <v>Coding Pattern</v>
      </c>
      <c r="B919" s="6" t="str">
        <f ca="1">IFERROR(__xludf.DUMMYFUNCTION("""COMPUTED_VALUE"""),"Coding Pattern")</f>
        <v>Coding Pattern</v>
      </c>
      <c r="H919" s="6">
        <f ca="1"/>
        <v>0</v>
      </c>
      <c r="I919" s="6">
        <f ca="1"/>
        <v>0</v>
      </c>
      <c r="J919" s="6">
        <f ca="1"/>
        <v>0</v>
      </c>
    </row>
    <row r="920" spans="1:10" ht="13" x14ac:dyDescent="0.15">
      <c r="A920" s="6" t="str">
        <f ca="1">IFERROR(__xludf.DUMMYFUNCTION("""COMPUTED_VALUE"""),"Security")</f>
        <v>Security</v>
      </c>
      <c r="B920" s="6" t="str">
        <f ca="1">IFERROR(__xludf.DUMMYFUNCTION("""COMPUTED_VALUE"""),"Security")</f>
        <v>Security</v>
      </c>
      <c r="H920" s="6">
        <f ca="1"/>
        <v>0</v>
      </c>
      <c r="I920" s="6">
        <f ca="1"/>
        <v>0</v>
      </c>
      <c r="J920" s="6">
        <f ca="1"/>
        <v>0</v>
      </c>
    </row>
    <row r="921" spans="1:10" ht="13" x14ac:dyDescent="0.15">
      <c r="A921" s="6" t="str">
        <f ca="1">IFERROR(__xludf.DUMMYFUNCTION("""COMPUTED_VALUE"""),"Coding Pattern")</f>
        <v>Coding Pattern</v>
      </c>
      <c r="B921" s="6" t="str">
        <f ca="1">IFERROR(__xludf.DUMMYFUNCTION("""COMPUTED_VALUE"""),"Coding Pattern")</f>
        <v>Coding Pattern</v>
      </c>
      <c r="H921" s="6">
        <f ca="1"/>
        <v>0</v>
      </c>
      <c r="I921" s="6">
        <f ca="1"/>
        <v>0</v>
      </c>
      <c r="J921" s="6">
        <f ca="1"/>
        <v>0</v>
      </c>
    </row>
    <row r="922" spans="1:10" ht="13" x14ac:dyDescent="0.15">
      <c r="A922" s="6" t="str">
        <f ca="1">IFERROR(__xludf.DUMMYFUNCTION("""COMPUTED_VALUE"""),"Build &amp; Operation")</f>
        <v>Build &amp; Operation</v>
      </c>
      <c r="B922" s="6" t="str">
        <f ca="1">IFERROR(__xludf.DUMMYFUNCTION("""COMPUTED_VALUE"""),"Commit&amp;PR rule")</f>
        <v>Commit&amp;PR rule</v>
      </c>
      <c r="H922" s="6">
        <f ca="1"/>
        <v>0</v>
      </c>
      <c r="I922" s="6">
        <f ca="1"/>
        <v>0</v>
      </c>
      <c r="J922" s="6">
        <f ca="1"/>
        <v>0</v>
      </c>
    </row>
    <row r="923" spans="1:10" ht="13" x14ac:dyDescent="0.15">
      <c r="A923" s="6" t="str">
        <f ca="1">IFERROR(__xludf.DUMMYFUNCTION("""COMPUTED_VALUE"""),"Coding Pattern")</f>
        <v>Coding Pattern</v>
      </c>
      <c r="B923" s="6" t="str">
        <f ca="1">IFERROR(__xludf.DUMMYFUNCTION("""COMPUTED_VALUE"""),"Coding Pattern")</f>
        <v>Coding Pattern</v>
      </c>
      <c r="H923" s="6">
        <f ca="1"/>
        <v>0</v>
      </c>
      <c r="I923" s="6">
        <f ca="1"/>
        <v>0</v>
      </c>
      <c r="J923" s="6">
        <f ca="1"/>
        <v>0</v>
      </c>
    </row>
    <row r="924" spans="1:10" ht="13" x14ac:dyDescent="0.15">
      <c r="A924" s="6" t="str">
        <f ca="1">IFERROR(__xludf.DUMMYFUNCTION("""COMPUTED_VALUE"""),"Coding Pattern")</f>
        <v>Coding Pattern</v>
      </c>
      <c r="B924" s="6" t="str">
        <f ca="1">IFERROR(__xludf.DUMMYFUNCTION("""COMPUTED_VALUE"""),"Coding Pattern")</f>
        <v>Coding Pattern</v>
      </c>
      <c r="H924" s="6">
        <f ca="1"/>
        <v>0</v>
      </c>
      <c r="I924" s="6">
        <f ca="1"/>
        <v>0</v>
      </c>
      <c r="J924" s="6">
        <f ca="1"/>
        <v>0</v>
      </c>
    </row>
    <row r="925" spans="1:10" ht="13" x14ac:dyDescent="0.15">
      <c r="A925" s="6" t="str">
        <f ca="1">IFERROR(__xludf.DUMMYFUNCTION("""COMPUTED_VALUE"""),"Coding Pattern")</f>
        <v>Coding Pattern</v>
      </c>
      <c r="B925" s="6" t="str">
        <f ca="1">IFERROR(__xludf.DUMMYFUNCTION("""COMPUTED_VALUE"""),"Coding Pattern")</f>
        <v>Coding Pattern</v>
      </c>
      <c r="H925" s="6">
        <f ca="1"/>
        <v>0</v>
      </c>
      <c r="I925" s="6">
        <f ca="1"/>
        <v>0</v>
      </c>
      <c r="J925" s="6">
        <f ca="1"/>
        <v>0</v>
      </c>
    </row>
    <row r="926" spans="1:10" ht="13" x14ac:dyDescent="0.15">
      <c r="A926" s="6" t="str">
        <f ca="1">IFERROR(__xludf.DUMMYFUNCTION("""COMPUTED_VALUE"""),"Testing")</f>
        <v>Testing</v>
      </c>
      <c r="B926" s="6" t="str">
        <f ca="1">IFERROR(__xludf.DUMMYFUNCTION("""COMPUTED_VALUE"""),"Testing")</f>
        <v>Testing</v>
      </c>
      <c r="H926" s="6">
        <f ca="1"/>
        <v>0</v>
      </c>
      <c r="I926" s="6">
        <f ca="1"/>
        <v>0</v>
      </c>
      <c r="J926" s="6">
        <f ca="1"/>
        <v>0</v>
      </c>
    </row>
    <row r="927" spans="1:10" ht="13" x14ac:dyDescent="0.15">
      <c r="A927" s="6" t="str">
        <f ca="1">IFERROR(__xludf.DUMMYFUNCTION("""COMPUTED_VALUE"""),"Security")</f>
        <v>Security</v>
      </c>
      <c r="B927" s="6" t="str">
        <f ca="1">IFERROR(__xludf.DUMMYFUNCTION("""COMPUTED_VALUE"""),"Security")</f>
        <v>Security</v>
      </c>
      <c r="H927" s="6">
        <f ca="1"/>
        <v>0</v>
      </c>
      <c r="I927" s="6">
        <f ca="1"/>
        <v>0</v>
      </c>
      <c r="J927" s="6">
        <f ca="1"/>
        <v>0</v>
      </c>
    </row>
    <row r="928" spans="1:10" ht="13" x14ac:dyDescent="0.15">
      <c r="A928" s="6" t="str">
        <f ca="1">IFERROR(__xludf.DUMMYFUNCTION("""COMPUTED_VALUE"""),"Coding Pattern")</f>
        <v>Coding Pattern</v>
      </c>
      <c r="B928" s="6" t="str">
        <f ca="1">IFERROR(__xludf.DUMMYFUNCTION("""COMPUTED_VALUE"""),"Coding Pattern")</f>
        <v>Coding Pattern</v>
      </c>
      <c r="H928" s="6">
        <f ca="1"/>
        <v>0</v>
      </c>
      <c r="I928" s="6">
        <f ca="1"/>
        <v>0</v>
      </c>
      <c r="J928" s="6">
        <f ca="1"/>
        <v>0</v>
      </c>
    </row>
    <row r="929" spans="1:10" ht="13" x14ac:dyDescent="0.15">
      <c r="A929" s="6" t="str">
        <f ca="1">IFERROR(__xludf.DUMMYFUNCTION("""COMPUTED_VALUE"""),"Security")</f>
        <v>Security</v>
      </c>
      <c r="B929" s="6" t="str">
        <f ca="1">IFERROR(__xludf.DUMMYFUNCTION("""COMPUTED_VALUE"""),"Security")</f>
        <v>Security</v>
      </c>
      <c r="H929" s="6">
        <f ca="1"/>
        <v>0</v>
      </c>
      <c r="I929" s="6">
        <f ca="1"/>
        <v>0</v>
      </c>
      <c r="J929" s="6">
        <f ca="1"/>
        <v>0</v>
      </c>
    </row>
    <row r="930" spans="1:10" ht="13" x14ac:dyDescent="0.15">
      <c r="A930" s="6" t="str">
        <f ca="1">IFERROR(__xludf.DUMMYFUNCTION("""COMPUTED_VALUE"""),"Security")</f>
        <v>Security</v>
      </c>
      <c r="B930" s="6" t="str">
        <f ca="1">IFERROR(__xludf.DUMMYFUNCTION("""COMPUTED_VALUE"""),"Security")</f>
        <v>Security</v>
      </c>
      <c r="H930" s="6">
        <f ca="1"/>
        <v>0</v>
      </c>
      <c r="I930" s="6">
        <f ca="1"/>
        <v>0</v>
      </c>
      <c r="J930" s="6">
        <f ca="1"/>
        <v>0</v>
      </c>
    </row>
    <row r="931" spans="1:10" ht="13" x14ac:dyDescent="0.15">
      <c r="A931" s="6" t="str">
        <f ca="1">IFERROR(__xludf.DUMMYFUNCTION("""COMPUTED_VALUE"""),"Testing")</f>
        <v>Testing</v>
      </c>
      <c r="B931" s="6" t="str">
        <f ca="1">IFERROR(__xludf.DUMMYFUNCTION("""COMPUTED_VALUE"""),"Testing")</f>
        <v>Testing</v>
      </c>
      <c r="H931" s="6">
        <f ca="1"/>
        <v>0</v>
      </c>
      <c r="I931" s="6">
        <f ca="1"/>
        <v>0</v>
      </c>
      <c r="J931" s="6">
        <f ca="1"/>
        <v>0</v>
      </c>
    </row>
    <row r="932" spans="1:10" ht="13" x14ac:dyDescent="0.15">
      <c r="A932" s="6" t="str">
        <f ca="1">IFERROR(__xludf.DUMMYFUNCTION("""COMPUTED_VALUE"""),"Testing")</f>
        <v>Testing</v>
      </c>
      <c r="B932" s="6" t="str">
        <f ca="1">IFERROR(__xludf.DUMMYFUNCTION("""COMPUTED_VALUE"""),"Testing")</f>
        <v>Testing</v>
      </c>
      <c r="H932" s="6">
        <f ca="1"/>
        <v>0</v>
      </c>
      <c r="I932" s="6">
        <f ca="1"/>
        <v>0</v>
      </c>
      <c r="J932" s="6">
        <f ca="1"/>
        <v>0</v>
      </c>
    </row>
    <row r="933" spans="1:10" ht="13" x14ac:dyDescent="0.15">
      <c r="A933" s="6" t="str">
        <f ca="1">IFERROR(__xludf.DUMMYFUNCTION("""COMPUTED_VALUE"""),"Maintainability")</f>
        <v>Maintainability</v>
      </c>
      <c r="B933" s="6" t="str">
        <f ca="1">IFERROR(__xludf.DUMMYFUNCTION("""COMPUTED_VALUE"""),"Build &amp; Operation")</f>
        <v>Build &amp; Operation</v>
      </c>
      <c r="H933" s="6">
        <f ca="1"/>
        <v>0</v>
      </c>
      <c r="I933" s="6">
        <f ca="1"/>
        <v>0</v>
      </c>
      <c r="J933" s="6">
        <f ca="1"/>
        <v>0</v>
      </c>
    </row>
    <row r="934" spans="1:10" ht="13" x14ac:dyDescent="0.15">
      <c r="A934" s="6" t="str">
        <f ca="1">IFERROR(__xludf.DUMMYFUNCTION("""COMPUTED_VALUE"""),"NOT_ENOUGH_CONTEXT")</f>
        <v>NOT_ENOUGH_CONTEXT</v>
      </c>
      <c r="B934" s="6" t="str">
        <f ca="1">IFERROR(__xludf.DUMMYFUNCTION("""COMPUTED_VALUE"""),"Coding Pattern")</f>
        <v>Coding Pattern</v>
      </c>
      <c r="H934" s="6">
        <f ca="1"/>
        <v>0</v>
      </c>
      <c r="I934" s="6">
        <f ca="1"/>
        <v>0</v>
      </c>
      <c r="J934" s="6">
        <f ca="1"/>
        <v>0</v>
      </c>
    </row>
    <row r="935" spans="1:10" ht="13" x14ac:dyDescent="0.15">
      <c r="A935" s="6" t="str">
        <f ca="1">IFERROR(__xludf.DUMMYFUNCTION("""COMPUTED_VALUE"""),"Commit&amp;PR rule")</f>
        <v>Commit&amp;PR rule</v>
      </c>
      <c r="B935" s="6" t="str">
        <f ca="1">IFERROR(__xludf.DUMMYFUNCTION("""COMPUTED_VALUE"""),"Commit&amp;PR rule")</f>
        <v>Commit&amp;PR rule</v>
      </c>
      <c r="H935" s="6">
        <f ca="1"/>
        <v>0</v>
      </c>
      <c r="I935" s="6">
        <f ca="1"/>
        <v>0</v>
      </c>
      <c r="J935" s="6">
        <f ca="1"/>
        <v>0</v>
      </c>
    </row>
    <row r="936" spans="1:10" ht="13" x14ac:dyDescent="0.15">
      <c r="A936" s="6" t="str">
        <f ca="1">IFERROR(__xludf.DUMMYFUNCTION("""COMPUTED_VALUE"""),"Testing")</f>
        <v>Testing</v>
      </c>
      <c r="B936" s="6" t="str">
        <f ca="1">IFERROR(__xludf.DUMMYFUNCTION("""COMPUTED_VALUE"""),"Testing")</f>
        <v>Testing</v>
      </c>
      <c r="H936" s="6">
        <f ca="1"/>
        <v>0</v>
      </c>
      <c r="I936" s="6">
        <f ca="1"/>
        <v>0</v>
      </c>
      <c r="J936" s="6">
        <f ca="1"/>
        <v>0</v>
      </c>
    </row>
    <row r="937" spans="1:10" ht="13" x14ac:dyDescent="0.15">
      <c r="A937" s="6" t="str">
        <f ca="1">IFERROR(__xludf.DUMMYFUNCTION("""COMPUTED_VALUE"""),"Documentation")</f>
        <v>Documentation</v>
      </c>
      <c r="B937" s="6" t="str">
        <f ca="1">IFERROR(__xludf.DUMMYFUNCTION("""COMPUTED_VALUE"""),"Documentation")</f>
        <v>Documentation</v>
      </c>
      <c r="H937" s="6">
        <f ca="1"/>
        <v>0</v>
      </c>
      <c r="I937" s="6">
        <f ca="1"/>
        <v>0</v>
      </c>
      <c r="J937" s="6">
        <f ca="1"/>
        <v>0</v>
      </c>
    </row>
    <row r="938" spans="1:10" ht="13" x14ac:dyDescent="0.15">
      <c r="A938" s="6" t="str">
        <f ca="1">IFERROR(__xludf.DUMMYFUNCTION("""COMPUTED_VALUE"""),"Build &amp; Operation")</f>
        <v>Build &amp; Operation</v>
      </c>
      <c r="B938" s="6" t="str">
        <f ca="1">IFERROR(__xludf.DUMMYFUNCTION("""COMPUTED_VALUE"""),"Build &amp; Operation")</f>
        <v>Build &amp; Operation</v>
      </c>
      <c r="H938" s="6">
        <f ca="1"/>
        <v>0</v>
      </c>
      <c r="I938" s="6">
        <f ca="1"/>
        <v>0</v>
      </c>
      <c r="J938" s="6">
        <f ca="1"/>
        <v>0</v>
      </c>
    </row>
    <row r="939" spans="1:10" ht="13" x14ac:dyDescent="0.15">
      <c r="A939" s="6" t="str">
        <f ca="1">IFERROR(__xludf.DUMMYFUNCTION("""COMPUTED_VALUE"""),"Build &amp; Operation")</f>
        <v>Build &amp; Operation</v>
      </c>
      <c r="B939" s="6" t="str">
        <f ca="1">IFERROR(__xludf.DUMMYFUNCTION("""COMPUTED_VALUE"""),"Build &amp; Operation")</f>
        <v>Build &amp; Operation</v>
      </c>
      <c r="H939" s="6">
        <f ca="1"/>
        <v>0</v>
      </c>
      <c r="I939" s="6">
        <f ca="1"/>
        <v>0</v>
      </c>
      <c r="J939" s="6">
        <f ca="1"/>
        <v>0</v>
      </c>
    </row>
    <row r="940" spans="1:10" ht="13" x14ac:dyDescent="0.15">
      <c r="A940" s="6" t="str">
        <f ca="1">IFERROR(__xludf.DUMMYFUNCTION("""COMPUTED_VALUE"""),"Testing")</f>
        <v>Testing</v>
      </c>
      <c r="B940" s="6" t="str">
        <f ca="1">IFERROR(__xludf.DUMMYFUNCTION("""COMPUTED_VALUE"""),"Commit&amp;PR rule")</f>
        <v>Commit&amp;PR rule</v>
      </c>
      <c r="H940" s="6">
        <f ca="1"/>
        <v>0</v>
      </c>
      <c r="I940" s="6">
        <f ca="1"/>
        <v>0</v>
      </c>
      <c r="J940" s="6">
        <f ca="1"/>
        <v>0</v>
      </c>
    </row>
    <row r="941" spans="1:10" ht="13" x14ac:dyDescent="0.15">
      <c r="A941" s="6" t="str">
        <f ca="1">IFERROR(__xludf.DUMMYFUNCTION("""COMPUTED_VALUE"""),"Build &amp; Operation")</f>
        <v>Build &amp; Operation</v>
      </c>
      <c r="B941" s="6" t="str">
        <f ca="1">IFERROR(__xludf.DUMMYFUNCTION("""COMPUTED_VALUE"""),"Build &amp; Operation")</f>
        <v>Build &amp; Operation</v>
      </c>
      <c r="H941" s="6">
        <f ca="1"/>
        <v>0</v>
      </c>
      <c r="I941" s="6">
        <f ca="1"/>
        <v>0</v>
      </c>
      <c r="J941" s="6">
        <f ca="1"/>
        <v>0</v>
      </c>
    </row>
    <row r="942" spans="1:10" ht="13" x14ac:dyDescent="0.15">
      <c r="A942" s="6" t="str">
        <f ca="1">IFERROR(__xludf.DUMMYFUNCTION("""COMPUTED_VALUE"""),"Coding Pattern")</f>
        <v>Coding Pattern</v>
      </c>
      <c r="B942" s="6" t="str">
        <f ca="1">IFERROR(__xludf.DUMMYFUNCTION("""COMPUTED_VALUE"""),"Coding Pattern")</f>
        <v>Coding Pattern</v>
      </c>
      <c r="H942" s="6">
        <f ca="1"/>
        <v>0</v>
      </c>
      <c r="I942" s="6">
        <f ca="1"/>
        <v>0</v>
      </c>
      <c r="J942" s="6">
        <f ca="1"/>
        <v>0</v>
      </c>
    </row>
    <row r="943" spans="1:10" ht="13" x14ac:dyDescent="0.15">
      <c r="A943" s="6" t="str">
        <f ca="1">IFERROR(__xludf.DUMMYFUNCTION("""COMPUTED_VALUE"""),"Coding Pattern")</f>
        <v>Coding Pattern</v>
      </c>
      <c r="B943" s="6" t="str">
        <f ca="1">IFERROR(__xludf.DUMMYFUNCTION("""COMPUTED_VALUE"""),"Coding Pattern")</f>
        <v>Coding Pattern</v>
      </c>
      <c r="H943" s="6">
        <f ca="1"/>
        <v>0</v>
      </c>
      <c r="I943" s="6">
        <f ca="1"/>
        <v>0</v>
      </c>
      <c r="J943" s="6">
        <f ca="1"/>
        <v>0</v>
      </c>
    </row>
    <row r="944" spans="1:10" ht="13" x14ac:dyDescent="0.15">
      <c r="A944" s="6" t="str">
        <f ca="1">IFERROR(__xludf.DUMMYFUNCTION("""COMPUTED_VALUE"""),"Coding Style")</f>
        <v>Coding Style</v>
      </c>
      <c r="B944" s="6" t="str">
        <f ca="1">IFERROR(__xludf.DUMMYFUNCTION("""COMPUTED_VALUE"""),"Coding Style")</f>
        <v>Coding Style</v>
      </c>
      <c r="H944" s="6">
        <f ca="1"/>
        <v>0</v>
      </c>
      <c r="I944" s="6">
        <f ca="1"/>
        <v>0</v>
      </c>
      <c r="J944" s="6">
        <f ca="1"/>
        <v>0</v>
      </c>
    </row>
    <row r="945" spans="1:10" ht="13" x14ac:dyDescent="0.15">
      <c r="A945" s="6" t="str">
        <f ca="1">IFERROR(__xludf.DUMMYFUNCTION("""COMPUTED_VALUE"""),"Task Execution")</f>
        <v>Task Execution</v>
      </c>
      <c r="B945" s="6" t="str">
        <f ca="1">IFERROR(__xludf.DUMMYFUNCTION("""COMPUTED_VALUE"""),"Task Execution")</f>
        <v>Task Execution</v>
      </c>
      <c r="H945" s="6">
        <f ca="1"/>
        <v>0</v>
      </c>
      <c r="I945" s="6">
        <f ca="1"/>
        <v>0</v>
      </c>
      <c r="J945" s="6">
        <f ca="1"/>
        <v>0</v>
      </c>
    </row>
    <row r="946" spans="1:10" ht="13" x14ac:dyDescent="0.15">
      <c r="A946" s="6" t="str">
        <f ca="1">IFERROR(__xludf.DUMMYFUNCTION("""COMPUTED_VALUE"""),"Coding Pattern")</f>
        <v>Coding Pattern</v>
      </c>
      <c r="B946" s="6" t="str">
        <f ca="1">IFERROR(__xludf.DUMMYFUNCTION("""COMPUTED_VALUE"""),"Coding Pattern")</f>
        <v>Coding Pattern</v>
      </c>
      <c r="H946" s="6">
        <f ca="1"/>
        <v>0</v>
      </c>
      <c r="I946" s="6">
        <f ca="1"/>
        <v>0</v>
      </c>
      <c r="J946" s="6">
        <f ca="1"/>
        <v>0</v>
      </c>
    </row>
    <row r="947" spans="1:10" ht="13" x14ac:dyDescent="0.15">
      <c r="A947" s="6" t="str">
        <f ca="1">IFERROR(__xludf.DUMMYFUNCTION("""COMPUTED_VALUE"""),"Coding Pattern")</f>
        <v>Coding Pattern</v>
      </c>
      <c r="B947" s="6" t="str">
        <f ca="1">IFERROR(__xludf.DUMMYFUNCTION("""COMPUTED_VALUE"""),"Coding Pattern")</f>
        <v>Coding Pattern</v>
      </c>
      <c r="H947" s="6">
        <f ca="1"/>
        <v>0</v>
      </c>
      <c r="I947" s="6">
        <f ca="1"/>
        <v>0</v>
      </c>
      <c r="J947" s="6">
        <f ca="1"/>
        <v>0</v>
      </c>
    </row>
    <row r="948" spans="1:10" ht="13" x14ac:dyDescent="0.15">
      <c r="A948" s="6" t="str">
        <f ca="1">IFERROR(__xludf.DUMMYFUNCTION("""COMPUTED_VALUE"""),"Security")</f>
        <v>Security</v>
      </c>
      <c r="B948" s="6" t="str">
        <f ca="1">IFERROR(__xludf.DUMMYFUNCTION("""COMPUTED_VALUE"""),"Security")</f>
        <v>Security</v>
      </c>
      <c r="H948" s="6">
        <f ca="1"/>
        <v>0</v>
      </c>
      <c r="I948" s="6">
        <f ca="1"/>
        <v>0</v>
      </c>
      <c r="J948" s="6">
        <f ca="1"/>
        <v>0</v>
      </c>
    </row>
    <row r="949" spans="1:10" ht="13" x14ac:dyDescent="0.15">
      <c r="A949" s="6" t="str">
        <f ca="1">IFERROR(__xludf.DUMMYFUNCTION("""COMPUTED_VALUE"""),"Maintainability")</f>
        <v>Maintainability</v>
      </c>
      <c r="B949" s="6" t="str">
        <f ca="1">IFERROR(__xludf.DUMMYFUNCTION("""COMPUTED_VALUE"""),"Task Execution")</f>
        <v>Task Execution</v>
      </c>
      <c r="H949" s="6">
        <f ca="1"/>
        <v>0</v>
      </c>
      <c r="I949" s="6">
        <f ca="1"/>
        <v>0</v>
      </c>
      <c r="J949" s="6">
        <f ca="1"/>
        <v>0</v>
      </c>
    </row>
    <row r="950" spans="1:10" ht="13" x14ac:dyDescent="0.15">
      <c r="A950" s="6" t="str">
        <f ca="1">IFERROR(__xludf.DUMMYFUNCTION("""COMPUTED_VALUE"""),"Coding Pattern")</f>
        <v>Coding Pattern</v>
      </c>
      <c r="B950" s="6" t="str">
        <f ca="1">IFERROR(__xludf.DUMMYFUNCTION("""COMPUTED_VALUE"""),"Coding Pattern")</f>
        <v>Coding Pattern</v>
      </c>
      <c r="H950" s="6">
        <f ca="1"/>
        <v>0</v>
      </c>
      <c r="I950" s="6">
        <f ca="1"/>
        <v>0</v>
      </c>
      <c r="J950" s="6">
        <f ca="1"/>
        <v>0</v>
      </c>
    </row>
    <row r="951" spans="1:10" ht="13" x14ac:dyDescent="0.15">
      <c r="A951" s="6" t="str">
        <f ca="1">IFERROR(__xludf.DUMMYFUNCTION("""COMPUTED_VALUE"""),"Task Execution")</f>
        <v>Task Execution</v>
      </c>
      <c r="B951" s="6" t="str">
        <f ca="1">IFERROR(__xludf.DUMMYFUNCTION("""COMPUTED_VALUE"""),"Task Execution")</f>
        <v>Task Execution</v>
      </c>
      <c r="H951" s="6">
        <f ca="1"/>
        <v>0</v>
      </c>
      <c r="I951" s="6">
        <f ca="1"/>
        <v>0</v>
      </c>
      <c r="J951" s="6">
        <f ca="1"/>
        <v>0</v>
      </c>
    </row>
    <row r="952" spans="1:10" ht="13" x14ac:dyDescent="0.15">
      <c r="A952" s="6" t="str">
        <f ca="1">IFERROR(__xludf.DUMMYFUNCTION("""COMPUTED_VALUE"""),"Build &amp; Operation")</f>
        <v>Build &amp; Operation</v>
      </c>
      <c r="B952" s="6" t="str">
        <f ca="1">IFERROR(__xludf.DUMMYFUNCTION("""COMPUTED_VALUE"""),"Build &amp; Operation")</f>
        <v>Build &amp; Operation</v>
      </c>
      <c r="H952" s="6">
        <f ca="1"/>
        <v>0</v>
      </c>
      <c r="I952" s="6">
        <f ca="1"/>
        <v>0</v>
      </c>
      <c r="J952" s="6">
        <f ca="1"/>
        <v>0</v>
      </c>
    </row>
    <row r="953" spans="1:10" ht="13" x14ac:dyDescent="0.15">
      <c r="A953" s="6" t="str">
        <f ca="1">IFERROR(__xludf.DUMMYFUNCTION("""COMPUTED_VALUE"""),"Task Execution")</f>
        <v>Task Execution</v>
      </c>
      <c r="B953" s="6" t="str">
        <f ca="1">IFERROR(__xludf.DUMMYFUNCTION("""COMPUTED_VALUE"""),"Task Execution")</f>
        <v>Task Execution</v>
      </c>
      <c r="H953" s="6">
        <f ca="1"/>
        <v>0</v>
      </c>
      <c r="I953" s="6">
        <f ca="1"/>
        <v>0</v>
      </c>
      <c r="J953" s="6">
        <f ca="1"/>
        <v>0</v>
      </c>
    </row>
    <row r="954" spans="1:10" ht="13" x14ac:dyDescent="0.15">
      <c r="A954" s="6" t="str">
        <f ca="1">IFERROR(__xludf.DUMMYFUNCTION("""COMPUTED_VALUE"""),"Commit&amp;PR rule")</f>
        <v>Commit&amp;PR rule</v>
      </c>
      <c r="B954" s="6" t="str">
        <f ca="1">IFERROR(__xludf.DUMMYFUNCTION("""COMPUTED_VALUE"""),"Commit&amp;PR rule")</f>
        <v>Commit&amp;PR rule</v>
      </c>
      <c r="H954" s="6">
        <f ca="1"/>
        <v>0</v>
      </c>
      <c r="I954" s="6">
        <f ca="1"/>
        <v>0</v>
      </c>
      <c r="J954" s="6">
        <f ca="1"/>
        <v>0</v>
      </c>
    </row>
    <row r="955" spans="1:10" ht="13" x14ac:dyDescent="0.15">
      <c r="A955" s="6" t="str">
        <f ca="1">IFERROR(__xludf.DUMMYFUNCTION("""COMPUTED_VALUE"""),"Writing Style Preference")</f>
        <v>Writing Style Preference</v>
      </c>
      <c r="B955" s="6" t="str">
        <f ca="1">IFERROR(__xludf.DUMMYFUNCTION("""COMPUTED_VALUE"""),"Commit&amp;PR rule")</f>
        <v>Commit&amp;PR rule</v>
      </c>
      <c r="H955" s="6">
        <f ca="1"/>
        <v>0</v>
      </c>
      <c r="I955" s="6">
        <f ca="1"/>
        <v>0</v>
      </c>
      <c r="J955" s="6">
        <f ca="1"/>
        <v>0</v>
      </c>
    </row>
    <row r="956" spans="1:10" ht="13" x14ac:dyDescent="0.15">
      <c r="A956" s="6" t="str">
        <f ca="1">IFERROR(__xludf.DUMMYFUNCTION("""COMPUTED_VALUE"""),"Commit&amp;PR rule")</f>
        <v>Commit&amp;PR rule</v>
      </c>
      <c r="B956" s="6" t="str">
        <f ca="1">IFERROR(__xludf.DUMMYFUNCTION("""COMPUTED_VALUE"""),"Commit&amp;PR rule")</f>
        <v>Commit&amp;PR rule</v>
      </c>
      <c r="H956" s="6">
        <f ca="1"/>
        <v>0</v>
      </c>
      <c r="I956" s="6">
        <f ca="1"/>
        <v>0</v>
      </c>
      <c r="J956" s="6">
        <f ca="1"/>
        <v>0</v>
      </c>
    </row>
    <row r="957" spans="1:10" ht="13" x14ac:dyDescent="0.15">
      <c r="A957" s="6" t="str">
        <f ca="1">IFERROR(__xludf.DUMMYFUNCTION("""COMPUTED_VALUE"""),"Build &amp; Operation")</f>
        <v>Build &amp; Operation</v>
      </c>
      <c r="B957" s="6" t="str">
        <f ca="1">IFERROR(__xludf.DUMMYFUNCTION("""COMPUTED_VALUE"""),"Task Execution")</f>
        <v>Task Execution</v>
      </c>
      <c r="H957" s="6">
        <f ca="1"/>
        <v>0</v>
      </c>
      <c r="I957" s="6">
        <f ca="1"/>
        <v>0</v>
      </c>
      <c r="J957" s="6">
        <f ca="1"/>
        <v>0</v>
      </c>
    </row>
    <row r="958" spans="1:10" ht="13" x14ac:dyDescent="0.15">
      <c r="A958" s="6" t="str">
        <f ca="1">IFERROR(__xludf.DUMMYFUNCTION("""COMPUTED_VALUE"""),"Build &amp; Operation")</f>
        <v>Build &amp; Operation</v>
      </c>
      <c r="B958" s="6" t="str">
        <f ca="1">IFERROR(__xludf.DUMMYFUNCTION("""COMPUTED_VALUE"""),"Build &amp; Operation")</f>
        <v>Build &amp; Operation</v>
      </c>
      <c r="H958" s="6">
        <f ca="1"/>
        <v>0</v>
      </c>
      <c r="I958" s="6">
        <f ca="1"/>
        <v>0</v>
      </c>
      <c r="J958" s="6">
        <f ca="1"/>
        <v>0</v>
      </c>
    </row>
    <row r="959" spans="1:10" ht="13" x14ac:dyDescent="0.15">
      <c r="A959" s="6" t="str">
        <f ca="1">IFERROR(__xludf.DUMMYFUNCTION("""COMPUTED_VALUE"""),"Coding Style")</f>
        <v>Coding Style</v>
      </c>
      <c r="B959" s="6" t="str">
        <f ca="1">IFERROR(__xludf.DUMMYFUNCTION("""COMPUTED_VALUE"""),"Coding Style")</f>
        <v>Coding Style</v>
      </c>
      <c r="H959" s="6">
        <f ca="1"/>
        <v>0</v>
      </c>
      <c r="I959" s="6">
        <f ca="1"/>
        <v>0</v>
      </c>
      <c r="J959" s="6">
        <f ca="1"/>
        <v>0</v>
      </c>
    </row>
    <row r="960" spans="1:10" ht="13" x14ac:dyDescent="0.15">
      <c r="A960" s="6" t="str">
        <f ca="1">IFERROR(__xludf.DUMMYFUNCTION("""COMPUTED_VALUE"""),"Coding Pattern")</f>
        <v>Coding Pattern</v>
      </c>
      <c r="B960" s="6" t="str">
        <f ca="1">IFERROR(__xludf.DUMMYFUNCTION("""COMPUTED_VALUE"""),"Coding Pattern")</f>
        <v>Coding Pattern</v>
      </c>
      <c r="H960" s="6">
        <f ca="1"/>
        <v>0</v>
      </c>
      <c r="I960" s="6">
        <f ca="1"/>
        <v>0</v>
      </c>
      <c r="J960" s="6">
        <f ca="1"/>
        <v>0</v>
      </c>
    </row>
    <row r="961" spans="1:10" ht="13" x14ac:dyDescent="0.15">
      <c r="A961" s="6" t="str">
        <f ca="1">IFERROR(__xludf.DUMMYFUNCTION("""COMPUTED_VALUE"""),"Coding Pattern")</f>
        <v>Coding Pattern</v>
      </c>
      <c r="B961" s="6" t="str">
        <f ca="1">IFERROR(__xludf.DUMMYFUNCTION("""COMPUTED_VALUE"""),"Coding Pattern")</f>
        <v>Coding Pattern</v>
      </c>
      <c r="H961" s="6">
        <f ca="1"/>
        <v>0</v>
      </c>
      <c r="I961" s="6">
        <f ca="1"/>
        <v>0</v>
      </c>
      <c r="J961" s="6">
        <f ca="1"/>
        <v>0</v>
      </c>
    </row>
    <row r="962" spans="1:10" ht="13" x14ac:dyDescent="0.15">
      <c r="A962" s="6" t="str">
        <f ca="1">IFERROR(__xludf.DUMMYFUNCTION("""COMPUTED_VALUE"""),"Security")</f>
        <v>Security</v>
      </c>
      <c r="B962" s="6" t="str">
        <f ca="1">IFERROR(__xludf.DUMMYFUNCTION("""COMPUTED_VALUE"""),"Security")</f>
        <v>Security</v>
      </c>
      <c r="H962" s="6">
        <f ca="1"/>
        <v>0</v>
      </c>
      <c r="I962" s="6">
        <f ca="1"/>
        <v>0</v>
      </c>
      <c r="J962" s="6">
        <f ca="1"/>
        <v>0</v>
      </c>
    </row>
    <row r="963" spans="1:10" ht="13" x14ac:dyDescent="0.15">
      <c r="A963" s="6" t="str">
        <f ca="1">IFERROR(__xludf.DUMMYFUNCTION("""COMPUTED_VALUE"""),"Coding Pattern")</f>
        <v>Coding Pattern</v>
      </c>
      <c r="B963" s="6" t="str">
        <f ca="1">IFERROR(__xludf.DUMMYFUNCTION("""COMPUTED_VALUE"""),"Coding Pattern")</f>
        <v>Coding Pattern</v>
      </c>
      <c r="H963" s="6">
        <f ca="1"/>
        <v>0</v>
      </c>
      <c r="I963" s="6">
        <f ca="1"/>
        <v>0</v>
      </c>
      <c r="J963" s="6">
        <f ca="1"/>
        <v>0</v>
      </c>
    </row>
    <row r="964" spans="1:10" ht="13" x14ac:dyDescent="0.15">
      <c r="A964" s="6" t="str">
        <f ca="1">IFERROR(__xludf.DUMMYFUNCTION("""COMPUTED_VALUE"""),"Coding Pattern")</f>
        <v>Coding Pattern</v>
      </c>
      <c r="B964" s="6" t="str">
        <f ca="1">IFERROR(__xludf.DUMMYFUNCTION("""COMPUTED_VALUE"""),"Coding Pattern")</f>
        <v>Coding Pattern</v>
      </c>
      <c r="H964" s="6">
        <f ca="1"/>
        <v>0</v>
      </c>
      <c r="I964" s="6">
        <f ca="1"/>
        <v>0</v>
      </c>
      <c r="J964" s="6">
        <f ca="1"/>
        <v>0</v>
      </c>
    </row>
    <row r="965" spans="1:10" ht="13" x14ac:dyDescent="0.15">
      <c r="A965" s="6" t="str">
        <f ca="1">IFERROR(__xludf.DUMMYFUNCTION("""COMPUTED_VALUE"""),"Coding Pattern")</f>
        <v>Coding Pattern</v>
      </c>
      <c r="B965" s="6" t="str">
        <f ca="1">IFERROR(__xludf.DUMMYFUNCTION("""COMPUTED_VALUE"""),"Coding Pattern")</f>
        <v>Coding Pattern</v>
      </c>
      <c r="H965" s="6">
        <f ca="1"/>
        <v>0</v>
      </c>
      <c r="I965" s="6">
        <f ca="1"/>
        <v>0</v>
      </c>
      <c r="J965" s="6">
        <f ca="1"/>
        <v>0</v>
      </c>
    </row>
    <row r="966" spans="1:10" ht="13" x14ac:dyDescent="0.15">
      <c r="A966" s="6" t="str">
        <f ca="1">IFERROR(__xludf.DUMMYFUNCTION("""COMPUTED_VALUE"""),"Security")</f>
        <v>Security</v>
      </c>
      <c r="B966" s="6" t="str">
        <f ca="1">IFERROR(__xludf.DUMMYFUNCTION("""COMPUTED_VALUE"""),"Security")</f>
        <v>Security</v>
      </c>
      <c r="H966" s="6">
        <f ca="1"/>
        <v>0</v>
      </c>
      <c r="I966" s="6">
        <f ca="1"/>
        <v>0</v>
      </c>
      <c r="J966" s="6">
        <f ca="1"/>
        <v>0</v>
      </c>
    </row>
    <row r="967" spans="1:10" ht="13" x14ac:dyDescent="0.15">
      <c r="A967" s="6" t="str">
        <f ca="1">IFERROR(__xludf.DUMMYFUNCTION("""COMPUTED_VALUE"""),"Coding Style")</f>
        <v>Coding Style</v>
      </c>
      <c r="B967" s="6" t="str">
        <f ca="1">IFERROR(__xludf.DUMMYFUNCTION("""COMPUTED_VALUE"""),"Coding Style")</f>
        <v>Coding Style</v>
      </c>
      <c r="H967" s="6">
        <f ca="1"/>
        <v>0</v>
      </c>
      <c r="I967" s="6">
        <f ca="1"/>
        <v>0</v>
      </c>
      <c r="J967" s="6">
        <f ca="1"/>
        <v>0</v>
      </c>
    </row>
    <row r="968" spans="1:10" ht="13" x14ac:dyDescent="0.15">
      <c r="A968" s="6" t="str">
        <f ca="1">IFERROR(__xludf.DUMMYFUNCTION("""COMPUTED_VALUE"""),"NOT_ENOUGH_CONTEXT")</f>
        <v>NOT_ENOUGH_CONTEXT</v>
      </c>
      <c r="B968" s="6" t="str">
        <f ca="1">IFERROR(__xludf.DUMMYFUNCTION("""COMPUTED_VALUE"""),"Build &amp; Operation")</f>
        <v>Build &amp; Operation</v>
      </c>
      <c r="H968" s="6">
        <f ca="1"/>
        <v>0</v>
      </c>
      <c r="I968" s="6">
        <f ca="1"/>
        <v>0</v>
      </c>
      <c r="J968" s="6">
        <f ca="1"/>
        <v>0</v>
      </c>
    </row>
    <row r="969" spans="1:10" ht="13" x14ac:dyDescent="0.15">
      <c r="A969" s="6" t="str">
        <f ca="1">IFERROR(__xludf.DUMMYFUNCTION("""COMPUTED_VALUE"""),"Security")</f>
        <v>Security</v>
      </c>
      <c r="B969" s="6" t="str">
        <f ca="1">IFERROR(__xludf.DUMMYFUNCTION("""COMPUTED_VALUE"""),"Security")</f>
        <v>Security</v>
      </c>
      <c r="H969" s="6">
        <f ca="1"/>
        <v>0</v>
      </c>
      <c r="I969" s="6">
        <f ca="1"/>
        <v>0</v>
      </c>
      <c r="J969" s="6">
        <f ca="1"/>
        <v>0</v>
      </c>
    </row>
    <row r="970" spans="1:10" ht="13" x14ac:dyDescent="0.15">
      <c r="A970" s="6" t="str">
        <f ca="1">IFERROR(__xludf.DUMMYFUNCTION("""COMPUTED_VALUE"""),"Security")</f>
        <v>Security</v>
      </c>
      <c r="B970" s="6" t="str">
        <f ca="1">IFERROR(__xludf.DUMMYFUNCTION("""COMPUTED_VALUE"""),"Security")</f>
        <v>Security</v>
      </c>
      <c r="H970" s="6">
        <f ca="1"/>
        <v>0</v>
      </c>
      <c r="I970" s="6">
        <f ca="1"/>
        <v>0</v>
      </c>
      <c r="J970" s="6">
        <f ca="1"/>
        <v>0</v>
      </c>
    </row>
    <row r="971" spans="1:10" ht="13" x14ac:dyDescent="0.15">
      <c r="A971" s="6" t="str">
        <f ca="1">IFERROR(__xludf.DUMMYFUNCTION("""COMPUTED_VALUE"""),"Security")</f>
        <v>Security</v>
      </c>
      <c r="B971" s="6" t="str">
        <f ca="1">IFERROR(__xludf.DUMMYFUNCTION("""COMPUTED_VALUE"""),"Security")</f>
        <v>Security</v>
      </c>
      <c r="H971" s="6">
        <f ca="1"/>
        <v>0</v>
      </c>
      <c r="I971" s="6">
        <f ca="1"/>
        <v>0</v>
      </c>
      <c r="J971" s="6">
        <f ca="1"/>
        <v>0</v>
      </c>
    </row>
    <row r="972" spans="1:10" ht="13" x14ac:dyDescent="0.15">
      <c r="A972" s="6" t="str">
        <f ca="1">IFERROR(__xludf.DUMMYFUNCTION("""COMPUTED_VALUE"""),"Build &amp; Operation")</f>
        <v>Build &amp; Operation</v>
      </c>
      <c r="B972" s="6" t="str">
        <f ca="1">IFERROR(__xludf.DUMMYFUNCTION("""COMPUTED_VALUE"""),"Task Execution")</f>
        <v>Task Execution</v>
      </c>
      <c r="H972" s="6">
        <f ca="1"/>
        <v>0</v>
      </c>
      <c r="I972" s="6">
        <f ca="1"/>
        <v>0</v>
      </c>
      <c r="J972" s="6">
        <f ca="1"/>
        <v>0</v>
      </c>
    </row>
    <row r="973" spans="1:10" ht="13" x14ac:dyDescent="0.15">
      <c r="A973" s="6" t="str">
        <f ca="1">IFERROR(__xludf.DUMMYFUNCTION("""COMPUTED_VALUE"""),"Maintainability")</f>
        <v>Maintainability</v>
      </c>
      <c r="B973" s="6" t="str">
        <f ca="1">IFERROR(__xludf.DUMMYFUNCTION("""COMPUTED_VALUE"""),"Maintainability")</f>
        <v>Maintainability</v>
      </c>
      <c r="H973" s="6">
        <f ca="1"/>
        <v>0</v>
      </c>
      <c r="I973" s="6">
        <f ca="1"/>
        <v>0</v>
      </c>
      <c r="J973" s="6">
        <f ca="1"/>
        <v>0</v>
      </c>
    </row>
    <row r="974" spans="1:10" ht="13" x14ac:dyDescent="0.15">
      <c r="A974" s="6" t="str">
        <f ca="1">IFERROR(__xludf.DUMMYFUNCTION("""COMPUTED_VALUE"""),"Build &amp; Operation")</f>
        <v>Build &amp; Operation</v>
      </c>
      <c r="B974" s="6" t="str">
        <f ca="1">IFERROR(__xludf.DUMMYFUNCTION("""COMPUTED_VALUE"""),"Task Execution")</f>
        <v>Task Execution</v>
      </c>
      <c r="H974" s="6">
        <f ca="1"/>
        <v>0</v>
      </c>
      <c r="I974" s="6">
        <f ca="1"/>
        <v>0</v>
      </c>
      <c r="J974" s="6">
        <f ca="1"/>
        <v>0</v>
      </c>
    </row>
    <row r="975" spans="1:10" ht="13" x14ac:dyDescent="0.15">
      <c r="A975" s="6" t="str">
        <f ca="1">IFERROR(__xludf.DUMMYFUNCTION("""COMPUTED_VALUE"""),"Build &amp; Operation")</f>
        <v>Build &amp; Operation</v>
      </c>
      <c r="B975" s="6" t="str">
        <f ca="1">IFERROR(__xludf.DUMMYFUNCTION("""COMPUTED_VALUE"""),"Task Execution")</f>
        <v>Task Execution</v>
      </c>
      <c r="H975" s="6">
        <f ca="1"/>
        <v>0</v>
      </c>
      <c r="I975" s="6">
        <f ca="1"/>
        <v>0</v>
      </c>
      <c r="J975" s="6">
        <f ca="1"/>
        <v>0</v>
      </c>
    </row>
    <row r="976" spans="1:10" ht="13" x14ac:dyDescent="0.15">
      <c r="A976" s="6" t="str">
        <f ca="1">IFERROR(__xludf.DUMMYFUNCTION("""COMPUTED_VALUE"""),"Security")</f>
        <v>Security</v>
      </c>
      <c r="B976" s="6" t="str">
        <f ca="1">IFERROR(__xludf.DUMMYFUNCTION("""COMPUTED_VALUE"""),"Security")</f>
        <v>Security</v>
      </c>
      <c r="H976" s="6">
        <f ca="1"/>
        <v>0</v>
      </c>
      <c r="I976" s="6">
        <f ca="1"/>
        <v>0</v>
      </c>
      <c r="J976" s="6">
        <f ca="1"/>
        <v>0</v>
      </c>
    </row>
    <row r="977" spans="1:10" ht="13" x14ac:dyDescent="0.15">
      <c r="A977" s="6" t="str">
        <f ca="1">IFERROR(__xludf.DUMMYFUNCTION("""COMPUTED_VALUE"""),"Build &amp; Operation")</f>
        <v>Build &amp; Operation</v>
      </c>
      <c r="B977" s="6" t="str">
        <f ca="1">IFERROR(__xludf.DUMMYFUNCTION("""COMPUTED_VALUE"""),"Build &amp; Operation")</f>
        <v>Build &amp; Operation</v>
      </c>
      <c r="H977" s="6">
        <f ca="1"/>
        <v>0</v>
      </c>
      <c r="I977" s="6">
        <f ca="1"/>
        <v>0</v>
      </c>
      <c r="J977" s="6">
        <f ca="1"/>
        <v>0</v>
      </c>
    </row>
    <row r="978" spans="1:10" ht="13" x14ac:dyDescent="0.15">
      <c r="A978" s="6" t="str">
        <f ca="1">IFERROR(__xludf.DUMMYFUNCTION("""COMPUTED_VALUE"""),"Coding Pattern")</f>
        <v>Coding Pattern</v>
      </c>
      <c r="B978" s="6" t="str">
        <f ca="1">IFERROR(__xludf.DUMMYFUNCTION("""COMPUTED_VALUE"""),"Coding Pattern")</f>
        <v>Coding Pattern</v>
      </c>
      <c r="H978" s="6">
        <f ca="1"/>
        <v>0</v>
      </c>
      <c r="I978" s="6">
        <f ca="1"/>
        <v>0</v>
      </c>
      <c r="J978" s="6">
        <f ca="1"/>
        <v>0</v>
      </c>
    </row>
    <row r="979" spans="1:10" ht="13" x14ac:dyDescent="0.15">
      <c r="A979" s="6" t="str">
        <f ca="1">IFERROR(__xludf.DUMMYFUNCTION("""COMPUTED_VALUE"""),"Coding Pattern")</f>
        <v>Coding Pattern</v>
      </c>
      <c r="B979" s="6" t="str">
        <f ca="1">IFERROR(__xludf.DUMMYFUNCTION("""COMPUTED_VALUE"""),"Coding Pattern")</f>
        <v>Coding Pattern</v>
      </c>
      <c r="H979" s="6">
        <f ca="1"/>
        <v>0</v>
      </c>
      <c r="I979" s="6">
        <f ca="1"/>
        <v>0</v>
      </c>
      <c r="J979" s="6">
        <f ca="1"/>
        <v>0</v>
      </c>
    </row>
    <row r="980" spans="1:10" ht="13" x14ac:dyDescent="0.15">
      <c r="A980" s="6" t="str">
        <f ca="1">IFERROR(__xludf.DUMMYFUNCTION("""COMPUTED_VALUE"""),"Build &amp; Operation")</f>
        <v>Build &amp; Operation</v>
      </c>
      <c r="B980" s="6" t="str">
        <f ca="1">IFERROR(__xludf.DUMMYFUNCTION("""COMPUTED_VALUE"""),"Build &amp; Operation")</f>
        <v>Build &amp; Operation</v>
      </c>
      <c r="H980" s="6">
        <f ca="1"/>
        <v>0</v>
      </c>
      <c r="I980" s="6">
        <f ca="1"/>
        <v>0</v>
      </c>
      <c r="J980" s="6">
        <f ca="1"/>
        <v>0</v>
      </c>
    </row>
    <row r="981" spans="1:10" ht="13" x14ac:dyDescent="0.15">
      <c r="A981" s="6" t="str">
        <f ca="1">IFERROR(__xludf.DUMMYFUNCTION("""COMPUTED_VALUE"""),"Coding Style")</f>
        <v>Coding Style</v>
      </c>
      <c r="B981" s="6" t="str">
        <f ca="1">IFERROR(__xludf.DUMMYFUNCTION("""COMPUTED_VALUE"""),"Coding Style")</f>
        <v>Coding Style</v>
      </c>
      <c r="H981" s="6">
        <f ca="1"/>
        <v>0</v>
      </c>
      <c r="I981" s="6">
        <f ca="1"/>
        <v>0</v>
      </c>
      <c r="J981" s="6">
        <f ca="1"/>
        <v>0</v>
      </c>
    </row>
    <row r="982" spans="1:10" ht="13" x14ac:dyDescent="0.15">
      <c r="A982" s="6" t="str">
        <f ca="1">IFERROR(__xludf.DUMMYFUNCTION("""COMPUTED_VALUE"""),"Maintainability")</f>
        <v>Maintainability</v>
      </c>
      <c r="B982" s="6" t="str">
        <f ca="1">IFERROR(__xludf.DUMMYFUNCTION("""COMPUTED_VALUE"""),"Task Execution")</f>
        <v>Task Execution</v>
      </c>
      <c r="H982" s="6">
        <f ca="1"/>
        <v>0</v>
      </c>
      <c r="I982" s="6">
        <f ca="1"/>
        <v>0</v>
      </c>
      <c r="J982" s="6">
        <f ca="1"/>
        <v>0</v>
      </c>
    </row>
    <row r="983" spans="1:10" ht="13" x14ac:dyDescent="0.15">
      <c r="A983" s="6" t="str">
        <f ca="1">IFERROR(__xludf.DUMMYFUNCTION("""COMPUTED_VALUE"""),"Performance")</f>
        <v>Performance</v>
      </c>
      <c r="B983" s="6" t="str">
        <f ca="1">IFERROR(__xludf.DUMMYFUNCTION("""COMPUTED_VALUE"""),"Task Execution")</f>
        <v>Task Execution</v>
      </c>
      <c r="H983" s="6">
        <f ca="1"/>
        <v>0</v>
      </c>
      <c r="I983" s="6">
        <f ca="1"/>
        <v>0</v>
      </c>
      <c r="J983" s="6">
        <f ca="1"/>
        <v>0</v>
      </c>
    </row>
    <row r="984" spans="1:10" ht="13" x14ac:dyDescent="0.15">
      <c r="A984" s="6" t="str">
        <f ca="1">IFERROR(__xludf.DUMMYFUNCTION("""COMPUTED_VALUE"""),"Writing Style Preference")</f>
        <v>Writing Style Preference</v>
      </c>
      <c r="B984" s="6" t="str">
        <f ca="1">IFERROR(__xludf.DUMMYFUNCTION("""COMPUTED_VALUE"""),"Task Execution")</f>
        <v>Task Execution</v>
      </c>
      <c r="H984" s="6">
        <f ca="1"/>
        <v>0</v>
      </c>
      <c r="I984" s="6">
        <f ca="1"/>
        <v>0</v>
      </c>
      <c r="J984" s="6">
        <f ca="1"/>
        <v>0</v>
      </c>
    </row>
    <row r="985" spans="1:10" ht="13" x14ac:dyDescent="0.15">
      <c r="A985" s="6" t="str">
        <f ca="1">IFERROR(__xludf.DUMMYFUNCTION("""COMPUTED_VALUE"""),"Commit&amp;PR rule")</f>
        <v>Commit&amp;PR rule</v>
      </c>
      <c r="B985" s="6" t="str">
        <f ca="1">IFERROR(__xludf.DUMMYFUNCTION("""COMPUTED_VALUE"""),"Commit&amp;PR rule")</f>
        <v>Commit&amp;PR rule</v>
      </c>
      <c r="H985" s="6">
        <f ca="1"/>
        <v>0</v>
      </c>
      <c r="I985" s="6">
        <f ca="1"/>
        <v>0</v>
      </c>
      <c r="J985" s="6">
        <f ca="1"/>
        <v>0</v>
      </c>
    </row>
    <row r="986" spans="1:10" ht="13" x14ac:dyDescent="0.15">
      <c r="A986" s="6" t="str">
        <f ca="1">IFERROR(__xludf.DUMMYFUNCTION("""COMPUTED_VALUE"""),"Coding Pattern")</f>
        <v>Coding Pattern</v>
      </c>
      <c r="B986" s="6" t="str">
        <f ca="1">IFERROR(__xludf.DUMMYFUNCTION("""COMPUTED_VALUE"""),"Coding Pattern")</f>
        <v>Coding Pattern</v>
      </c>
      <c r="H986" s="6">
        <f ca="1"/>
        <v>0</v>
      </c>
      <c r="I986" s="6">
        <f ca="1"/>
        <v>0</v>
      </c>
      <c r="J986" s="6">
        <f ca="1"/>
        <v>0</v>
      </c>
    </row>
    <row r="987" spans="1:10" ht="13" x14ac:dyDescent="0.15">
      <c r="A987" s="6" t="str">
        <f ca="1">IFERROR(__xludf.DUMMYFUNCTION("""COMPUTED_VALUE"""),"Coding Pattern")</f>
        <v>Coding Pattern</v>
      </c>
      <c r="B987" s="6" t="str">
        <f ca="1">IFERROR(__xludf.DUMMYFUNCTION("""COMPUTED_VALUE"""),"Coding Pattern")</f>
        <v>Coding Pattern</v>
      </c>
      <c r="H987" s="6">
        <f ca="1"/>
        <v>0</v>
      </c>
      <c r="I987" s="6">
        <f ca="1"/>
        <v>0</v>
      </c>
      <c r="J987" s="6">
        <f ca="1"/>
        <v>0</v>
      </c>
    </row>
    <row r="988" spans="1:10" ht="13" x14ac:dyDescent="0.15">
      <c r="A988" s="6" t="str">
        <f ca="1">IFERROR(__xludf.DUMMYFUNCTION("""COMPUTED_VALUE"""),"Maintainability")</f>
        <v>Maintainability</v>
      </c>
      <c r="B988" s="6" t="str">
        <f ca="1">IFERROR(__xludf.DUMMYFUNCTION("""COMPUTED_VALUE"""),"Coding Pattern")</f>
        <v>Coding Pattern</v>
      </c>
      <c r="H988" s="6">
        <f ca="1"/>
        <v>0</v>
      </c>
      <c r="I988" s="6">
        <f ca="1"/>
        <v>0</v>
      </c>
      <c r="J988" s="6">
        <f ca="1"/>
        <v>0</v>
      </c>
    </row>
    <row r="989" spans="1:10" ht="13" x14ac:dyDescent="0.15">
      <c r="A989" s="6" t="str">
        <f ca="1">IFERROR(__xludf.DUMMYFUNCTION("""COMPUTED_VALUE"""),"NOT_ENOUGH_CONTEXT")</f>
        <v>NOT_ENOUGH_CONTEXT</v>
      </c>
      <c r="B989" s="6" t="str">
        <f ca="1">IFERROR(__xludf.DUMMYFUNCTION("""COMPUTED_VALUE"""),"Coding Pattern")</f>
        <v>Coding Pattern</v>
      </c>
      <c r="H989" s="6">
        <f ca="1"/>
        <v>0</v>
      </c>
      <c r="I989" s="6">
        <f ca="1"/>
        <v>0</v>
      </c>
      <c r="J989" s="6">
        <f ca="1"/>
        <v>0</v>
      </c>
    </row>
    <row r="990" spans="1:10" ht="13" x14ac:dyDescent="0.15">
      <c r="A990" s="6" t="str">
        <f ca="1">IFERROR(__xludf.DUMMYFUNCTION("""COMPUTED_VALUE"""),"Task Execution")</f>
        <v>Task Execution</v>
      </c>
      <c r="B990" s="6" t="str">
        <f ca="1">IFERROR(__xludf.DUMMYFUNCTION("""COMPUTED_VALUE"""),"Task Execution")</f>
        <v>Task Execution</v>
      </c>
      <c r="H990" s="6">
        <f ca="1"/>
        <v>0</v>
      </c>
      <c r="I990" s="6">
        <f ca="1"/>
        <v>0</v>
      </c>
      <c r="J990" s="6">
        <f ca="1"/>
        <v>0</v>
      </c>
    </row>
    <row r="991" spans="1:10" ht="13" x14ac:dyDescent="0.15">
      <c r="A991" s="6" t="str">
        <f ca="1">IFERROR(__xludf.DUMMYFUNCTION("""COMPUTED_VALUE"""),"Commit&amp;PR rule")</f>
        <v>Commit&amp;PR rule</v>
      </c>
      <c r="B991" s="6" t="str">
        <f ca="1">IFERROR(__xludf.DUMMYFUNCTION("""COMPUTED_VALUE"""),"Commit&amp;PR rule")</f>
        <v>Commit&amp;PR rule</v>
      </c>
      <c r="H991" s="6">
        <f ca="1"/>
        <v>0</v>
      </c>
      <c r="I991" s="6">
        <f ca="1"/>
        <v>0</v>
      </c>
      <c r="J991" s="6">
        <f ca="1"/>
        <v>0</v>
      </c>
    </row>
    <row r="992" spans="1:10" ht="13" x14ac:dyDescent="0.15">
      <c r="A992" s="6" t="str">
        <f ca="1">IFERROR(__xludf.DUMMYFUNCTION("""COMPUTED_VALUE"""),"Commit&amp;PR rule")</f>
        <v>Commit&amp;PR rule</v>
      </c>
      <c r="B992" s="6" t="str">
        <f ca="1">IFERROR(__xludf.DUMMYFUNCTION("""COMPUTED_VALUE"""),"Commit&amp;PR rule")</f>
        <v>Commit&amp;PR rule</v>
      </c>
      <c r="H992" s="6">
        <f ca="1"/>
        <v>0</v>
      </c>
      <c r="I992" s="6">
        <f ca="1"/>
        <v>0</v>
      </c>
      <c r="J992" s="6">
        <f ca="1"/>
        <v>0</v>
      </c>
    </row>
    <row r="993" spans="1:10" ht="13" x14ac:dyDescent="0.15">
      <c r="A993" s="6" t="str">
        <f ca="1">IFERROR(__xludf.DUMMYFUNCTION("""COMPUTED_VALUE"""),"Testing")</f>
        <v>Testing</v>
      </c>
      <c r="B993" s="6" t="str">
        <f ca="1">IFERROR(__xludf.DUMMYFUNCTION("""COMPUTED_VALUE"""),"Testing")</f>
        <v>Testing</v>
      </c>
      <c r="H993" s="6">
        <f ca="1"/>
        <v>0</v>
      </c>
      <c r="I993" s="6">
        <f ca="1"/>
        <v>0</v>
      </c>
      <c r="J993" s="6">
        <f ca="1"/>
        <v>0</v>
      </c>
    </row>
    <row r="994" spans="1:10" ht="13" x14ac:dyDescent="0.15">
      <c r="A994" s="6" t="str">
        <f ca="1">IFERROR(__xludf.DUMMYFUNCTION("""COMPUTED_VALUE"""),"Coding Pattern")</f>
        <v>Coding Pattern</v>
      </c>
      <c r="B994" s="6" t="str">
        <f ca="1">IFERROR(__xludf.DUMMYFUNCTION("""COMPUTED_VALUE"""),"Coding Pattern")</f>
        <v>Coding Pattern</v>
      </c>
      <c r="H994" s="6">
        <f ca="1"/>
        <v>0</v>
      </c>
      <c r="I994" s="6">
        <f ca="1"/>
        <v>0</v>
      </c>
      <c r="J994" s="6">
        <f ca="1"/>
        <v>0</v>
      </c>
    </row>
    <row r="995" spans="1:10" ht="13" x14ac:dyDescent="0.15">
      <c r="A995" s="6" t="str">
        <f ca="1">IFERROR(__xludf.DUMMYFUNCTION("""COMPUTED_VALUE"""),"Coding Pattern")</f>
        <v>Coding Pattern</v>
      </c>
      <c r="B995" s="6" t="str">
        <f ca="1">IFERROR(__xludf.DUMMYFUNCTION("""COMPUTED_VALUE"""),"Coding Pattern")</f>
        <v>Coding Pattern</v>
      </c>
      <c r="H995" s="6">
        <f ca="1"/>
        <v>0</v>
      </c>
      <c r="I995" s="6">
        <f ca="1"/>
        <v>0</v>
      </c>
      <c r="J995" s="6">
        <f ca="1"/>
        <v>0</v>
      </c>
    </row>
    <row r="996" spans="1:10" ht="13" x14ac:dyDescent="0.15">
      <c r="A996" s="6" t="str">
        <f ca="1">IFERROR(__xludf.DUMMYFUNCTION("""COMPUTED_VALUE"""),"Testing")</f>
        <v>Testing</v>
      </c>
      <c r="B996" s="6" t="str">
        <f ca="1">IFERROR(__xludf.DUMMYFUNCTION("""COMPUTED_VALUE"""),"Testing")</f>
        <v>Testing</v>
      </c>
      <c r="H996" s="6">
        <f ca="1"/>
        <v>0</v>
      </c>
      <c r="I996" s="6">
        <f ca="1"/>
        <v>0</v>
      </c>
      <c r="J996" s="6">
        <f ca="1"/>
        <v>0</v>
      </c>
    </row>
    <row r="997" spans="1:10" ht="13" x14ac:dyDescent="0.15">
      <c r="A997" s="6" t="str">
        <f ca="1">IFERROR(__xludf.DUMMYFUNCTION("""COMPUTED_VALUE"""),"Testing")</f>
        <v>Testing</v>
      </c>
      <c r="B997" s="6" t="str">
        <f ca="1">IFERROR(__xludf.DUMMYFUNCTION("""COMPUTED_VALUE"""),"Testing")</f>
        <v>Testing</v>
      </c>
      <c r="H997" s="6">
        <f ca="1"/>
        <v>0</v>
      </c>
      <c r="I997" s="6">
        <f ca="1"/>
        <v>0</v>
      </c>
      <c r="J997" s="6">
        <f ca="1"/>
        <v>0</v>
      </c>
    </row>
    <row r="998" spans="1:10" ht="13" x14ac:dyDescent="0.15">
      <c r="A998" s="6" t="str">
        <f ca="1">IFERROR(__xludf.DUMMYFUNCTION("""COMPUTED_VALUE"""),"Testing")</f>
        <v>Testing</v>
      </c>
      <c r="B998" s="6" t="str">
        <f ca="1">IFERROR(__xludf.DUMMYFUNCTION("""COMPUTED_VALUE"""),"Testing")</f>
        <v>Testing</v>
      </c>
      <c r="H998" s="6">
        <f ca="1"/>
        <v>0</v>
      </c>
      <c r="I998" s="6">
        <f ca="1"/>
        <v>0</v>
      </c>
      <c r="J998" s="6">
        <f ca="1"/>
        <v>0</v>
      </c>
    </row>
    <row r="999" spans="1:10" ht="13" x14ac:dyDescent="0.15">
      <c r="A999" s="6" t="str">
        <f ca="1">IFERROR(__xludf.DUMMYFUNCTION("""COMPUTED_VALUE"""),"Testing")</f>
        <v>Testing</v>
      </c>
      <c r="B999" s="6" t="str">
        <f ca="1">IFERROR(__xludf.DUMMYFUNCTION("""COMPUTED_VALUE"""),"Testing")</f>
        <v>Testing</v>
      </c>
      <c r="H999" s="6">
        <f ca="1"/>
        <v>0</v>
      </c>
      <c r="I999" s="6">
        <f ca="1"/>
        <v>0</v>
      </c>
      <c r="J999" s="6">
        <f ca="1"/>
        <v>0</v>
      </c>
    </row>
    <row r="1000" spans="1:10" ht="13" x14ac:dyDescent="0.15">
      <c r="A1000" s="6" t="str">
        <f ca="1">IFERROR(__xludf.DUMMYFUNCTION("""COMPUTED_VALUE"""),"Testing")</f>
        <v>Testing</v>
      </c>
      <c r="B1000" s="6" t="str">
        <f ca="1">IFERROR(__xludf.DUMMYFUNCTION("""COMPUTED_VALUE"""),"Testing")</f>
        <v>Testing</v>
      </c>
      <c r="H1000" s="6">
        <f ca="1"/>
        <v>0</v>
      </c>
      <c r="I1000" s="6">
        <f ca="1"/>
        <v>0</v>
      </c>
      <c r="J1000" s="6">
        <f ca="1"/>
        <v>0</v>
      </c>
    </row>
    <row r="1001" spans="1:10" ht="13" x14ac:dyDescent="0.15">
      <c r="A1001" s="6" t="str">
        <f ca="1">IFERROR(__xludf.DUMMYFUNCTION("""COMPUTED_VALUE"""),"Testing")</f>
        <v>Testing</v>
      </c>
      <c r="B1001" s="6" t="str">
        <f ca="1">IFERROR(__xludf.DUMMYFUNCTION("""COMPUTED_VALUE"""),"Testing")</f>
        <v>Testing</v>
      </c>
      <c r="H1001" s="6">
        <f ca="1"/>
        <v>0</v>
      </c>
      <c r="I1001" s="6">
        <f ca="1"/>
        <v>0</v>
      </c>
      <c r="J1001" s="6">
        <f ca="1"/>
        <v>0</v>
      </c>
    </row>
    <row r="1002" spans="1:10" ht="13" x14ac:dyDescent="0.15">
      <c r="A1002" s="6" t="str">
        <f ca="1">IFERROR(__xludf.DUMMYFUNCTION("""COMPUTED_VALUE"""),"Commit&amp;PR rule")</f>
        <v>Commit&amp;PR rule</v>
      </c>
      <c r="B1002" s="6" t="str">
        <f ca="1">IFERROR(__xludf.DUMMYFUNCTION("""COMPUTED_VALUE"""),"Commit&amp;PR rule")</f>
        <v>Commit&amp;PR rule</v>
      </c>
      <c r="H1002" s="6">
        <f ca="1"/>
        <v>0</v>
      </c>
      <c r="I1002" s="6">
        <f ca="1"/>
        <v>0</v>
      </c>
      <c r="J1002" s="6">
        <f ca="1"/>
        <v>0</v>
      </c>
    </row>
    <row r="1003" spans="1:10" ht="13" x14ac:dyDescent="0.15">
      <c r="A1003" s="6" t="str">
        <f ca="1">IFERROR(__xludf.DUMMYFUNCTION("""COMPUTED_VALUE"""),"Commit&amp;PR rule")</f>
        <v>Commit&amp;PR rule</v>
      </c>
      <c r="B1003" s="6" t="str">
        <f ca="1">IFERROR(__xludf.DUMMYFUNCTION("""COMPUTED_VALUE"""),"Commit&amp;PR rule")</f>
        <v>Commit&amp;PR rule</v>
      </c>
      <c r="H1003" s="6">
        <f ca="1"/>
        <v>0</v>
      </c>
      <c r="I1003" s="6">
        <f ca="1"/>
        <v>0</v>
      </c>
      <c r="J1003" s="6">
        <f ca="1"/>
        <v>0</v>
      </c>
    </row>
    <row r="1004" spans="1:10" ht="13" x14ac:dyDescent="0.15">
      <c r="A1004" s="6" t="str">
        <f ca="1">IFERROR(__xludf.DUMMYFUNCTION("""COMPUTED_VALUE"""),"Coding Pattern")</f>
        <v>Coding Pattern</v>
      </c>
      <c r="B1004" s="6" t="str">
        <f ca="1">IFERROR(__xludf.DUMMYFUNCTION("""COMPUTED_VALUE"""),"Coding Pattern")</f>
        <v>Coding Pattern</v>
      </c>
      <c r="H1004" s="6">
        <f ca="1"/>
        <v>0</v>
      </c>
      <c r="I1004" s="6">
        <f ca="1"/>
        <v>0</v>
      </c>
      <c r="J1004" s="6">
        <f ca="1"/>
        <v>0</v>
      </c>
    </row>
    <row r="1005" spans="1:10" ht="13" x14ac:dyDescent="0.15">
      <c r="A1005" s="6" t="str">
        <f ca="1">IFERROR(__xludf.DUMMYFUNCTION("""COMPUTED_VALUE"""),"Coding Style")</f>
        <v>Coding Style</v>
      </c>
      <c r="B1005" s="6" t="str">
        <f ca="1">IFERROR(__xludf.DUMMYFUNCTION("""COMPUTED_VALUE"""),"Coding Style")</f>
        <v>Coding Style</v>
      </c>
      <c r="H1005" s="6">
        <f ca="1"/>
        <v>0</v>
      </c>
      <c r="I1005" s="6">
        <f ca="1"/>
        <v>0</v>
      </c>
      <c r="J1005" s="6">
        <f ca="1"/>
        <v>0</v>
      </c>
    </row>
    <row r="1006" spans="1:10" ht="13" x14ac:dyDescent="0.15">
      <c r="A1006" s="6" t="str">
        <f ca="1">IFERROR(__xludf.DUMMYFUNCTION("""COMPUTED_VALUE"""),"Coding Style")</f>
        <v>Coding Style</v>
      </c>
      <c r="B1006" s="6" t="str">
        <f ca="1">IFERROR(__xludf.DUMMYFUNCTION("""COMPUTED_VALUE"""),"Coding Style")</f>
        <v>Coding Style</v>
      </c>
      <c r="H1006" s="6">
        <f ca="1"/>
        <v>0</v>
      </c>
      <c r="I1006" s="6">
        <f ca="1"/>
        <v>0</v>
      </c>
      <c r="J1006" s="6">
        <f ca="1"/>
        <v>0</v>
      </c>
    </row>
    <row r="1007" spans="1:10" ht="13" x14ac:dyDescent="0.15">
      <c r="A1007" s="6" t="str">
        <f ca="1">IFERROR(__xludf.DUMMYFUNCTION("""COMPUTED_VALUE"""),"Coding Style")</f>
        <v>Coding Style</v>
      </c>
      <c r="B1007" s="6" t="str">
        <f ca="1">IFERROR(__xludf.DUMMYFUNCTION("""COMPUTED_VALUE"""),"Coding Style")</f>
        <v>Coding Style</v>
      </c>
      <c r="H1007" s="6">
        <f ca="1"/>
        <v>0</v>
      </c>
      <c r="I1007" s="6">
        <f ca="1"/>
        <v>0</v>
      </c>
      <c r="J1007" s="6">
        <f ca="1"/>
        <v>0</v>
      </c>
    </row>
    <row r="1008" spans="1:10" ht="13" x14ac:dyDescent="0.15">
      <c r="A1008" s="6" t="str">
        <f ca="1">IFERROR(__xludf.DUMMYFUNCTION("""COMPUTED_VALUE"""),"Build &amp; Operation")</f>
        <v>Build &amp; Operation</v>
      </c>
      <c r="B1008" s="6" t="str">
        <f ca="1">IFERROR(__xludf.DUMMYFUNCTION("""COMPUTED_VALUE"""),"Build &amp; Operation")</f>
        <v>Build &amp; Operation</v>
      </c>
      <c r="H1008" s="6">
        <f ca="1"/>
        <v>0</v>
      </c>
      <c r="I1008" s="6">
        <f ca="1"/>
        <v>0</v>
      </c>
      <c r="J1008" s="6">
        <f ca="1"/>
        <v>0</v>
      </c>
    </row>
    <row r="1009" spans="1:10" ht="13" x14ac:dyDescent="0.15">
      <c r="A1009" s="6" t="str">
        <f ca="1">IFERROR(__xludf.DUMMYFUNCTION("""COMPUTED_VALUE"""),"Coding Style")</f>
        <v>Coding Style</v>
      </c>
      <c r="B1009" s="6" t="str">
        <f ca="1">IFERROR(__xludf.DUMMYFUNCTION("""COMPUTED_VALUE"""),"Coding Style")</f>
        <v>Coding Style</v>
      </c>
      <c r="H1009" s="6">
        <f ca="1"/>
        <v>0</v>
      </c>
      <c r="I1009" s="6">
        <f ca="1"/>
        <v>0</v>
      </c>
      <c r="J1009" s="6">
        <f ca="1"/>
        <v>0</v>
      </c>
    </row>
    <row r="1010" spans="1:10" ht="13" x14ac:dyDescent="0.15">
      <c r="A1010" s="6" t="str">
        <f ca="1">IFERROR(__xludf.DUMMYFUNCTION("""COMPUTED_VALUE"""),"Coding Style")</f>
        <v>Coding Style</v>
      </c>
      <c r="B1010" s="6" t="str">
        <f ca="1">IFERROR(__xludf.DUMMYFUNCTION("""COMPUTED_VALUE"""),"Coding Pattern")</f>
        <v>Coding Pattern</v>
      </c>
      <c r="H1010" s="6">
        <f ca="1"/>
        <v>0</v>
      </c>
      <c r="I1010" s="6">
        <f ca="1"/>
        <v>0</v>
      </c>
      <c r="J1010" s="6">
        <f ca="1"/>
        <v>0</v>
      </c>
    </row>
    <row r="1011" spans="1:10" ht="13" x14ac:dyDescent="0.15">
      <c r="A1011" s="6" t="str">
        <f ca="1">IFERROR(__xludf.DUMMYFUNCTION("""COMPUTED_VALUE"""),"Commit&amp;PR rule")</f>
        <v>Commit&amp;PR rule</v>
      </c>
      <c r="B1011" s="6" t="str">
        <f ca="1">IFERROR(__xludf.DUMMYFUNCTION("""COMPUTED_VALUE"""),"Commit&amp;PR rule")</f>
        <v>Commit&amp;PR rule</v>
      </c>
      <c r="H1011" s="6">
        <f ca="1"/>
        <v>0</v>
      </c>
      <c r="I1011" s="6">
        <f ca="1"/>
        <v>0</v>
      </c>
      <c r="J1011" s="6">
        <f ca="1"/>
        <v>0</v>
      </c>
    </row>
    <row r="1012" spans="1:10" ht="13" x14ac:dyDescent="0.15">
      <c r="A1012" s="6" t="str">
        <f ca="1">IFERROR(__xludf.DUMMYFUNCTION("""COMPUTED_VALUE"""),"Documentation")</f>
        <v>Documentation</v>
      </c>
      <c r="B1012" s="6" t="str">
        <f ca="1">IFERROR(__xludf.DUMMYFUNCTION("""COMPUTED_VALUE"""),"Coding Pattern")</f>
        <v>Coding Pattern</v>
      </c>
      <c r="H1012" s="6">
        <f ca="1"/>
        <v>0</v>
      </c>
      <c r="I1012" s="6">
        <f ca="1"/>
        <v>0</v>
      </c>
      <c r="J1012" s="6">
        <f ca="1"/>
        <v>0</v>
      </c>
    </row>
    <row r="1013" spans="1:10" ht="13" x14ac:dyDescent="0.15">
      <c r="A1013" s="6" t="str">
        <f ca="1">IFERROR(__xludf.DUMMYFUNCTION("""COMPUTED_VALUE"""),"Documentation")</f>
        <v>Documentation</v>
      </c>
      <c r="B1013" s="6" t="str">
        <f ca="1">IFERROR(__xludf.DUMMYFUNCTION("""COMPUTED_VALUE"""),"Coding Pattern")</f>
        <v>Coding Pattern</v>
      </c>
      <c r="H1013" s="6">
        <f ca="1"/>
        <v>0</v>
      </c>
      <c r="I1013" s="6">
        <f ca="1"/>
        <v>0</v>
      </c>
      <c r="J1013" s="6">
        <f ca="1"/>
        <v>0</v>
      </c>
    </row>
    <row r="1014" spans="1:10" ht="13" x14ac:dyDescent="0.15">
      <c r="A1014" s="6" t="str">
        <f ca="1">IFERROR(__xludf.DUMMYFUNCTION("""COMPUTED_VALUE"""),"Writing Style Preference")</f>
        <v>Writing Style Preference</v>
      </c>
      <c r="B1014" s="6" t="str">
        <f ca="1">IFERROR(__xludf.DUMMYFUNCTION("""COMPUTED_VALUE"""),"Writing Style Preference")</f>
        <v>Writing Style Preference</v>
      </c>
      <c r="H1014" s="6">
        <f ca="1"/>
        <v>0</v>
      </c>
      <c r="I1014" s="6">
        <f ca="1"/>
        <v>0</v>
      </c>
      <c r="J1014" s="6">
        <f ca="1"/>
        <v>0</v>
      </c>
    </row>
    <row r="1015" spans="1:10" ht="13" x14ac:dyDescent="0.15">
      <c r="A1015" s="6" t="str">
        <f ca="1">IFERROR(__xludf.DUMMYFUNCTION("""COMPUTED_VALUE"""),"Security")</f>
        <v>Security</v>
      </c>
      <c r="B1015" s="6" t="str">
        <f ca="1">IFERROR(__xludf.DUMMYFUNCTION("""COMPUTED_VALUE"""),"Security")</f>
        <v>Security</v>
      </c>
      <c r="H1015" s="6">
        <f ca="1"/>
        <v>0</v>
      </c>
      <c r="I1015" s="6">
        <f ca="1"/>
        <v>0</v>
      </c>
      <c r="J1015" s="6">
        <f ca="1"/>
        <v>0</v>
      </c>
    </row>
    <row r="1016" spans="1:10" ht="13" x14ac:dyDescent="0.15">
      <c r="A1016" s="6" t="str">
        <f ca="1">IFERROR(__xludf.DUMMYFUNCTION("""COMPUTED_VALUE"""),"Coding Pattern")</f>
        <v>Coding Pattern</v>
      </c>
      <c r="B1016" s="6" t="str">
        <f ca="1">IFERROR(__xludf.DUMMYFUNCTION("""COMPUTED_VALUE"""),"Coding Pattern")</f>
        <v>Coding Pattern</v>
      </c>
      <c r="H1016" s="6">
        <f ca="1"/>
        <v>0</v>
      </c>
      <c r="I1016" s="6">
        <f ca="1"/>
        <v>0</v>
      </c>
      <c r="J1016" s="6">
        <f ca="1"/>
        <v>0</v>
      </c>
    </row>
    <row r="1017" spans="1:10" ht="13" x14ac:dyDescent="0.15">
      <c r="A1017" s="6" t="str">
        <f ca="1">IFERROR(__xludf.DUMMYFUNCTION("""COMPUTED_VALUE"""),"Security")</f>
        <v>Security</v>
      </c>
      <c r="B1017" s="6" t="str">
        <f ca="1">IFERROR(__xludf.DUMMYFUNCTION("""COMPUTED_VALUE"""),"Security")</f>
        <v>Security</v>
      </c>
      <c r="H1017" s="6">
        <f ca="1"/>
        <v>0</v>
      </c>
      <c r="I1017" s="6">
        <f ca="1"/>
        <v>0</v>
      </c>
      <c r="J1017" s="6">
        <f ca="1"/>
        <v>0</v>
      </c>
    </row>
    <row r="1018" spans="1:10" ht="13" x14ac:dyDescent="0.15">
      <c r="A1018" s="6" t="str">
        <f ca="1">IFERROR(__xludf.DUMMYFUNCTION("""COMPUTED_VALUE"""),"Build &amp; Operation")</f>
        <v>Build &amp; Operation</v>
      </c>
      <c r="B1018" s="6" t="str">
        <f ca="1">IFERROR(__xludf.DUMMYFUNCTION("""COMPUTED_VALUE"""),"Build &amp; Operation")</f>
        <v>Build &amp; Operation</v>
      </c>
      <c r="H1018" s="6">
        <f ca="1"/>
        <v>0</v>
      </c>
      <c r="I1018" s="6">
        <f ca="1"/>
        <v>0</v>
      </c>
      <c r="J1018" s="6">
        <f ca="1"/>
        <v>0</v>
      </c>
    </row>
    <row r="1019" spans="1:10" ht="13" x14ac:dyDescent="0.15">
      <c r="A1019" s="6" t="str">
        <f ca="1">IFERROR(__xludf.DUMMYFUNCTION("""COMPUTED_VALUE"""),"Commit&amp;PR rule")</f>
        <v>Commit&amp;PR rule</v>
      </c>
      <c r="B1019" s="6" t="str">
        <f ca="1">IFERROR(__xludf.DUMMYFUNCTION("""COMPUTED_VALUE"""),"Commit&amp;PR rule")</f>
        <v>Commit&amp;PR rule</v>
      </c>
      <c r="H1019" s="6">
        <f ca="1"/>
        <v>0</v>
      </c>
      <c r="I1019" s="6">
        <f ca="1"/>
        <v>0</v>
      </c>
      <c r="J1019" s="6">
        <f ca="1"/>
        <v>0</v>
      </c>
    </row>
    <row r="1020" spans="1:10" ht="13" x14ac:dyDescent="0.15">
      <c r="A1020" s="6" t="str">
        <f ca="1">IFERROR(__xludf.DUMMYFUNCTION("""COMPUTED_VALUE"""),"Commit&amp;PR rule")</f>
        <v>Commit&amp;PR rule</v>
      </c>
      <c r="B1020" s="6" t="str">
        <f ca="1">IFERROR(__xludf.DUMMYFUNCTION("""COMPUTED_VALUE"""),"Commit&amp;PR rule")</f>
        <v>Commit&amp;PR rule</v>
      </c>
      <c r="H1020" s="6">
        <f ca="1"/>
        <v>0</v>
      </c>
      <c r="I1020" s="6">
        <f ca="1"/>
        <v>0</v>
      </c>
      <c r="J1020" s="6">
        <f ca="1"/>
        <v>0</v>
      </c>
    </row>
    <row r="1021" spans="1:10" ht="13" x14ac:dyDescent="0.15">
      <c r="A1021" s="6" t="str">
        <f ca="1">IFERROR(__xludf.DUMMYFUNCTION("""COMPUTED_VALUE"""),"Documentation")</f>
        <v>Documentation</v>
      </c>
      <c r="B1021" s="6" t="str">
        <f ca="1">IFERROR(__xludf.DUMMYFUNCTION("""COMPUTED_VALUE"""),"Documentation")</f>
        <v>Documentation</v>
      </c>
      <c r="H1021" s="6">
        <f ca="1"/>
        <v>0</v>
      </c>
      <c r="I1021" s="6">
        <f ca="1"/>
        <v>0</v>
      </c>
      <c r="J1021" s="6">
        <f ca="1"/>
        <v>0</v>
      </c>
    </row>
    <row r="1022" spans="1:10" ht="13" x14ac:dyDescent="0.15">
      <c r="A1022" s="6" t="str">
        <f ca="1">IFERROR(__xludf.DUMMYFUNCTION("""COMPUTED_VALUE"""),"Security")</f>
        <v>Security</v>
      </c>
      <c r="B1022" s="6" t="str">
        <f ca="1">IFERROR(__xludf.DUMMYFUNCTION("""COMPUTED_VALUE"""),"Security")</f>
        <v>Security</v>
      </c>
      <c r="H1022" s="6">
        <f ca="1"/>
        <v>0</v>
      </c>
      <c r="I1022" s="6">
        <f ca="1"/>
        <v>0</v>
      </c>
      <c r="J1022" s="6">
        <f ca="1"/>
        <v>0</v>
      </c>
    </row>
    <row r="1023" spans="1:10" ht="13" x14ac:dyDescent="0.15">
      <c r="A1023" s="6" t="str">
        <f ca="1">IFERROR(__xludf.DUMMYFUNCTION("""COMPUTED_VALUE"""),"Build &amp; Operation")</f>
        <v>Build &amp; Operation</v>
      </c>
      <c r="B1023" s="6" t="str">
        <f ca="1">IFERROR(__xludf.DUMMYFUNCTION("""COMPUTED_VALUE"""),"Build &amp; Operation")</f>
        <v>Build &amp; Operation</v>
      </c>
      <c r="H1023" s="6">
        <f ca="1"/>
        <v>0</v>
      </c>
      <c r="I1023" s="6">
        <f ca="1"/>
        <v>0</v>
      </c>
      <c r="J1023" s="6">
        <f ca="1"/>
        <v>0</v>
      </c>
    </row>
    <row r="1024" spans="1:10" ht="13" x14ac:dyDescent="0.15">
      <c r="A1024" s="6" t="str">
        <f ca="1">IFERROR(__xludf.DUMMYFUNCTION("""COMPUTED_VALUE"""),"Build &amp; Operation")</f>
        <v>Build &amp; Operation</v>
      </c>
      <c r="B1024" s="6" t="str">
        <f ca="1">IFERROR(__xludf.DUMMYFUNCTION("""COMPUTED_VALUE"""),"Build &amp; Operation")</f>
        <v>Build &amp; Operation</v>
      </c>
      <c r="H1024" s="6">
        <f ca="1"/>
        <v>0</v>
      </c>
      <c r="I1024" s="6">
        <f ca="1"/>
        <v>0</v>
      </c>
      <c r="J1024" s="6">
        <f ca="1"/>
        <v>0</v>
      </c>
    </row>
    <row r="1025" spans="1:10" ht="13" x14ac:dyDescent="0.15">
      <c r="A1025" s="6" t="str">
        <f ca="1">IFERROR(__xludf.DUMMYFUNCTION("""COMPUTED_VALUE"""),"Coding Pattern")</f>
        <v>Coding Pattern</v>
      </c>
      <c r="B1025" s="6" t="str">
        <f ca="1">IFERROR(__xludf.DUMMYFUNCTION("""COMPUTED_VALUE"""),"Coding Pattern")</f>
        <v>Coding Pattern</v>
      </c>
      <c r="H1025" s="6">
        <f ca="1"/>
        <v>0</v>
      </c>
      <c r="I1025" s="6">
        <f ca="1"/>
        <v>0</v>
      </c>
      <c r="J1025" s="6">
        <f ca="1"/>
        <v>0</v>
      </c>
    </row>
    <row r="1026" spans="1:10" ht="13" x14ac:dyDescent="0.15">
      <c r="A1026" s="6" t="str">
        <f ca="1">IFERROR(__xludf.DUMMYFUNCTION("""COMPUTED_VALUE"""),"Coding Pattern")</f>
        <v>Coding Pattern</v>
      </c>
      <c r="B1026" s="6" t="str">
        <f ca="1">IFERROR(__xludf.DUMMYFUNCTION("""COMPUTED_VALUE"""),"Coding Pattern")</f>
        <v>Coding Pattern</v>
      </c>
      <c r="H1026" s="6">
        <f ca="1"/>
        <v>0</v>
      </c>
      <c r="I1026" s="6">
        <f ca="1"/>
        <v>0</v>
      </c>
      <c r="J1026" s="6">
        <f ca="1"/>
        <v>0</v>
      </c>
    </row>
    <row r="1027" spans="1:10" ht="13" x14ac:dyDescent="0.15">
      <c r="A1027" s="6" t="str">
        <f ca="1">IFERROR(__xludf.DUMMYFUNCTION("""COMPUTED_VALUE"""),"Build &amp; Operation")</f>
        <v>Build &amp; Operation</v>
      </c>
      <c r="B1027" s="6" t="str">
        <f ca="1">IFERROR(__xludf.DUMMYFUNCTION("""COMPUTED_VALUE"""),"Commit&amp;PR rule")</f>
        <v>Commit&amp;PR rule</v>
      </c>
      <c r="H1027" s="6">
        <f ca="1"/>
        <v>0</v>
      </c>
      <c r="I1027" s="6">
        <f ca="1"/>
        <v>0</v>
      </c>
      <c r="J1027" s="6">
        <f ca="1"/>
        <v>0</v>
      </c>
    </row>
    <row r="1028" spans="1:10" ht="13" x14ac:dyDescent="0.15">
      <c r="A1028" s="6" t="str">
        <f ca="1">IFERROR(__xludf.DUMMYFUNCTION("""COMPUTED_VALUE"""),"Coding Pattern")</f>
        <v>Coding Pattern</v>
      </c>
      <c r="B1028" s="6" t="str">
        <f ca="1">IFERROR(__xludf.DUMMYFUNCTION("""COMPUTED_VALUE"""),"Coding Pattern")</f>
        <v>Coding Pattern</v>
      </c>
      <c r="H1028" s="6">
        <f ca="1"/>
        <v>0</v>
      </c>
      <c r="I1028" s="6">
        <f ca="1"/>
        <v>0</v>
      </c>
      <c r="J1028" s="6">
        <f ca="1"/>
        <v>0</v>
      </c>
    </row>
    <row r="1029" spans="1:10" ht="13" x14ac:dyDescent="0.15">
      <c r="A1029" s="6" t="str">
        <f ca="1">IFERROR(__xludf.DUMMYFUNCTION("""COMPUTED_VALUE"""),"Coding Pattern")</f>
        <v>Coding Pattern</v>
      </c>
      <c r="B1029" s="6" t="str">
        <f ca="1">IFERROR(__xludf.DUMMYFUNCTION("""COMPUTED_VALUE"""),"Coding Pattern")</f>
        <v>Coding Pattern</v>
      </c>
      <c r="H1029" s="6">
        <f ca="1"/>
        <v>0</v>
      </c>
      <c r="I1029" s="6">
        <f ca="1"/>
        <v>0</v>
      </c>
      <c r="J1029" s="6">
        <f ca="1"/>
        <v>0</v>
      </c>
    </row>
    <row r="1030" spans="1:10" ht="13" x14ac:dyDescent="0.15">
      <c r="A1030" s="6" t="str">
        <f ca="1">IFERROR(__xludf.DUMMYFUNCTION("""COMPUTED_VALUE"""),"Coding Pattern")</f>
        <v>Coding Pattern</v>
      </c>
      <c r="B1030" s="6" t="str">
        <f ca="1">IFERROR(__xludf.DUMMYFUNCTION("""COMPUTED_VALUE"""),"Coding Pattern")</f>
        <v>Coding Pattern</v>
      </c>
      <c r="H1030" s="6">
        <f ca="1"/>
        <v>0</v>
      </c>
      <c r="I1030" s="6">
        <f ca="1"/>
        <v>0</v>
      </c>
      <c r="J1030" s="6">
        <f ca="1"/>
        <v>0</v>
      </c>
    </row>
    <row r="1031" spans="1:10" ht="13" x14ac:dyDescent="0.15">
      <c r="A1031" s="6" t="str">
        <f ca="1">IFERROR(__xludf.DUMMYFUNCTION("""COMPUTED_VALUE"""),"Testing")</f>
        <v>Testing</v>
      </c>
      <c r="B1031" s="6" t="str">
        <f ca="1">IFERROR(__xludf.DUMMYFUNCTION("""COMPUTED_VALUE"""),"Testing")</f>
        <v>Testing</v>
      </c>
      <c r="H1031" s="6">
        <f ca="1"/>
        <v>0</v>
      </c>
      <c r="I1031" s="6">
        <f ca="1"/>
        <v>0</v>
      </c>
      <c r="J1031" s="6">
        <f ca="1"/>
        <v>0</v>
      </c>
    </row>
    <row r="1032" spans="1:10" ht="13" x14ac:dyDescent="0.15">
      <c r="A1032" s="6" t="str">
        <f ca="1">IFERROR(__xludf.DUMMYFUNCTION("""COMPUTED_VALUE"""),"Security")</f>
        <v>Security</v>
      </c>
      <c r="B1032" s="6" t="str">
        <f ca="1">IFERROR(__xludf.DUMMYFUNCTION("""COMPUTED_VALUE"""),"Security")</f>
        <v>Security</v>
      </c>
      <c r="H1032" s="6">
        <f ca="1"/>
        <v>0</v>
      </c>
      <c r="I1032" s="6">
        <f ca="1"/>
        <v>0</v>
      </c>
      <c r="J1032" s="6">
        <f ca="1"/>
        <v>0</v>
      </c>
    </row>
    <row r="1033" spans="1:10" ht="13" x14ac:dyDescent="0.15">
      <c r="A1033" s="6" t="str">
        <f ca="1">IFERROR(__xludf.DUMMYFUNCTION("""COMPUTED_VALUE"""),"Build &amp; Operation")</f>
        <v>Build &amp; Operation</v>
      </c>
      <c r="B1033" s="6" t="str">
        <f ca="1">IFERROR(__xludf.DUMMYFUNCTION("""COMPUTED_VALUE"""),"Build &amp; Operation")</f>
        <v>Build &amp; Operation</v>
      </c>
      <c r="H1033" s="6">
        <f ca="1"/>
        <v>0</v>
      </c>
      <c r="I1033" s="6">
        <f ca="1"/>
        <v>0</v>
      </c>
      <c r="J1033" s="6">
        <f ca="1"/>
        <v>0</v>
      </c>
    </row>
    <row r="1034" spans="1:10" ht="13" x14ac:dyDescent="0.15">
      <c r="A1034" s="6" t="str">
        <f ca="1">IFERROR(__xludf.DUMMYFUNCTION("""COMPUTED_VALUE"""),"Build &amp; Operation")</f>
        <v>Build &amp; Operation</v>
      </c>
      <c r="B1034" s="6" t="str">
        <f ca="1">IFERROR(__xludf.DUMMYFUNCTION("""COMPUTED_VALUE"""),"Build &amp; Operation")</f>
        <v>Build &amp; Operation</v>
      </c>
      <c r="H1034" s="6">
        <f ca="1"/>
        <v>0</v>
      </c>
      <c r="I1034" s="6">
        <f ca="1"/>
        <v>0</v>
      </c>
      <c r="J1034" s="6">
        <f ca="1"/>
        <v>0</v>
      </c>
    </row>
    <row r="1035" spans="1:10" ht="13" x14ac:dyDescent="0.15">
      <c r="A1035" s="6" t="str">
        <f ca="1">IFERROR(__xludf.DUMMYFUNCTION("""COMPUTED_VALUE"""),"Build &amp; Operation")</f>
        <v>Build &amp; Operation</v>
      </c>
      <c r="B1035" s="6" t="str">
        <f ca="1">IFERROR(__xludf.DUMMYFUNCTION("""COMPUTED_VALUE"""),"Build &amp; Operation")</f>
        <v>Build &amp; Operation</v>
      </c>
      <c r="H1035" s="6">
        <f ca="1"/>
        <v>0</v>
      </c>
      <c r="I1035" s="6">
        <f ca="1"/>
        <v>0</v>
      </c>
      <c r="J1035" s="6">
        <f ca="1"/>
        <v>0</v>
      </c>
    </row>
    <row r="1036" spans="1:10" ht="13" x14ac:dyDescent="0.15">
      <c r="A1036" s="6" t="str">
        <f ca="1">IFERROR(__xludf.DUMMYFUNCTION("""COMPUTED_VALUE"""),"Build &amp; Operation")</f>
        <v>Build &amp; Operation</v>
      </c>
      <c r="B1036" s="6" t="str">
        <f ca="1">IFERROR(__xludf.DUMMYFUNCTION("""COMPUTED_VALUE"""),"Build &amp; Operation")</f>
        <v>Build &amp; Operation</v>
      </c>
      <c r="H1036" s="6">
        <f ca="1"/>
        <v>0</v>
      </c>
      <c r="I1036" s="6">
        <f ca="1"/>
        <v>0</v>
      </c>
      <c r="J1036" s="6">
        <f ca="1"/>
        <v>0</v>
      </c>
    </row>
    <row r="1037" spans="1:10" ht="13" x14ac:dyDescent="0.15">
      <c r="A1037" s="6" t="str">
        <f ca="1">IFERROR(__xludf.DUMMYFUNCTION("""COMPUTED_VALUE"""),"Coding Pattern")</f>
        <v>Coding Pattern</v>
      </c>
      <c r="B1037" s="6" t="str">
        <f ca="1">IFERROR(__xludf.DUMMYFUNCTION("""COMPUTED_VALUE"""),"Coding Pattern")</f>
        <v>Coding Pattern</v>
      </c>
      <c r="H1037" s="6">
        <f ca="1"/>
        <v>0</v>
      </c>
      <c r="I1037" s="6">
        <f ca="1"/>
        <v>0</v>
      </c>
      <c r="J1037" s="6">
        <f ca="1"/>
        <v>0</v>
      </c>
    </row>
    <row r="1038" spans="1:10" ht="13" x14ac:dyDescent="0.15">
      <c r="A1038" s="6" t="str">
        <f ca="1">IFERROR(__xludf.DUMMYFUNCTION("""COMPUTED_VALUE"""),"Coding Pattern")</f>
        <v>Coding Pattern</v>
      </c>
      <c r="B1038" s="6" t="str">
        <f ca="1">IFERROR(__xludf.DUMMYFUNCTION("""COMPUTED_VALUE"""),"Coding Pattern")</f>
        <v>Coding Pattern</v>
      </c>
      <c r="H1038" s="6">
        <f ca="1"/>
        <v>0</v>
      </c>
      <c r="I1038" s="6">
        <f ca="1"/>
        <v>0</v>
      </c>
      <c r="J1038" s="6">
        <f ca="1"/>
        <v>0</v>
      </c>
    </row>
    <row r="1039" spans="1:10" ht="13" x14ac:dyDescent="0.15">
      <c r="A1039" s="6" t="str">
        <f ca="1">IFERROR(__xludf.DUMMYFUNCTION("""COMPUTED_VALUE"""),"Security")</f>
        <v>Security</v>
      </c>
      <c r="B1039" s="6" t="str">
        <f ca="1">IFERROR(__xludf.DUMMYFUNCTION("""COMPUTED_VALUE"""),"Security")</f>
        <v>Security</v>
      </c>
      <c r="H1039" s="6">
        <f ca="1"/>
        <v>0</v>
      </c>
      <c r="I1039" s="6">
        <f ca="1"/>
        <v>0</v>
      </c>
      <c r="J1039" s="6">
        <f ca="1"/>
        <v>0</v>
      </c>
    </row>
    <row r="1040" spans="1:10" ht="13" x14ac:dyDescent="0.15">
      <c r="A1040" s="6" t="str">
        <f ca="1">IFERROR(__xludf.DUMMYFUNCTION("""COMPUTED_VALUE"""),"Coding Pattern")</f>
        <v>Coding Pattern</v>
      </c>
      <c r="B1040" s="6" t="str">
        <f ca="1">IFERROR(__xludf.DUMMYFUNCTION("""COMPUTED_VALUE"""),"Coding Pattern")</f>
        <v>Coding Pattern</v>
      </c>
      <c r="H1040" s="6">
        <f ca="1"/>
        <v>0</v>
      </c>
      <c r="I1040" s="6">
        <f ca="1"/>
        <v>0</v>
      </c>
      <c r="J1040" s="6">
        <f ca="1"/>
        <v>0</v>
      </c>
    </row>
    <row r="1041" spans="1:10" ht="13" x14ac:dyDescent="0.15">
      <c r="A1041" s="6" t="str">
        <f ca="1">IFERROR(__xludf.DUMMYFUNCTION("""COMPUTED_VALUE"""),"Security")</f>
        <v>Security</v>
      </c>
      <c r="B1041" s="6" t="str">
        <f ca="1">IFERROR(__xludf.DUMMYFUNCTION("""COMPUTED_VALUE"""),"Security")</f>
        <v>Security</v>
      </c>
      <c r="H1041" s="6">
        <f ca="1"/>
        <v>0</v>
      </c>
      <c r="I1041" s="6">
        <f ca="1"/>
        <v>0</v>
      </c>
      <c r="J1041" s="6">
        <f ca="1"/>
        <v>0</v>
      </c>
    </row>
    <row r="1042" spans="1:10" ht="13" x14ac:dyDescent="0.15">
      <c r="A1042" s="6" t="str">
        <f ca="1">IFERROR(__xludf.DUMMYFUNCTION("""COMPUTED_VALUE"""),"Maintainability")</f>
        <v>Maintainability</v>
      </c>
      <c r="B1042" s="6" t="str">
        <f ca="1">IFERROR(__xludf.DUMMYFUNCTION("""COMPUTED_VALUE"""),"Task Execution")</f>
        <v>Task Execution</v>
      </c>
      <c r="H1042" s="6">
        <f ca="1"/>
        <v>0</v>
      </c>
      <c r="I1042" s="6">
        <f ca="1"/>
        <v>0</v>
      </c>
      <c r="J1042" s="6">
        <f ca="1"/>
        <v>0</v>
      </c>
    </row>
    <row r="1043" spans="1:10" ht="13" x14ac:dyDescent="0.15">
      <c r="A1043" s="6" t="str">
        <f ca="1">IFERROR(__xludf.DUMMYFUNCTION("""COMPUTED_VALUE"""),"NOT_ENOUGH_CONTEXT")</f>
        <v>NOT_ENOUGH_CONTEXT</v>
      </c>
      <c r="B1043" s="6" t="str">
        <f ca="1">IFERROR(__xludf.DUMMYFUNCTION("""COMPUTED_VALUE"""),"NOT_ENOUGH_CONTEXT")</f>
        <v>NOT_ENOUGH_CONTEXT</v>
      </c>
      <c r="H1043" s="6">
        <f ca="1"/>
        <v>0</v>
      </c>
      <c r="I1043" s="6">
        <f ca="1"/>
        <v>0</v>
      </c>
      <c r="J1043" s="6">
        <f ca="1"/>
        <v>0</v>
      </c>
    </row>
    <row r="1044" spans="1:10" ht="13" x14ac:dyDescent="0.15">
      <c r="A1044" s="6" t="str">
        <f ca="1">IFERROR(__xludf.DUMMYFUNCTION("""COMPUTED_VALUE"""),"Build &amp; Operation")</f>
        <v>Build &amp; Operation</v>
      </c>
      <c r="B1044" s="6" t="str">
        <f ca="1">IFERROR(__xludf.DUMMYFUNCTION("""COMPUTED_VALUE"""),"Build &amp; Operation")</f>
        <v>Build &amp; Operation</v>
      </c>
      <c r="H1044" s="6">
        <f ca="1"/>
        <v>0</v>
      </c>
      <c r="I1044" s="6">
        <f ca="1"/>
        <v>0</v>
      </c>
      <c r="J1044" s="6">
        <f ca="1"/>
        <v>0</v>
      </c>
    </row>
    <row r="1045" spans="1:10" ht="13" x14ac:dyDescent="0.15">
      <c r="A1045" s="6" t="str">
        <f ca="1">IFERROR(__xludf.DUMMYFUNCTION("""COMPUTED_VALUE"""),"Testing")</f>
        <v>Testing</v>
      </c>
      <c r="B1045" s="6" t="str">
        <f ca="1">IFERROR(__xludf.DUMMYFUNCTION("""COMPUTED_VALUE"""),"Testing")</f>
        <v>Testing</v>
      </c>
      <c r="H1045" s="6">
        <f ca="1"/>
        <v>0</v>
      </c>
      <c r="I1045" s="6">
        <f ca="1"/>
        <v>0</v>
      </c>
      <c r="J1045" s="6">
        <f ca="1"/>
        <v>0</v>
      </c>
    </row>
    <row r="1046" spans="1:10" ht="13" x14ac:dyDescent="0.15">
      <c r="A1046" s="6" t="str">
        <f ca="1">IFERROR(__xludf.DUMMYFUNCTION("""COMPUTED_VALUE"""),"Build &amp; Operation")</f>
        <v>Build &amp; Operation</v>
      </c>
      <c r="B1046" s="6" t="str">
        <f ca="1">IFERROR(__xludf.DUMMYFUNCTION("""COMPUTED_VALUE"""),"Build &amp; Operation")</f>
        <v>Build &amp; Operation</v>
      </c>
      <c r="H1046" s="6">
        <f ca="1"/>
        <v>0</v>
      </c>
      <c r="I1046" s="6">
        <f ca="1"/>
        <v>0</v>
      </c>
      <c r="J1046" s="6">
        <f ca="1"/>
        <v>0</v>
      </c>
    </row>
    <row r="1047" spans="1:10" ht="13" x14ac:dyDescent="0.15">
      <c r="A1047" s="6" t="str">
        <f ca="1">IFERROR(__xludf.DUMMYFUNCTION("""COMPUTED_VALUE"""),"Build &amp; Operation")</f>
        <v>Build &amp; Operation</v>
      </c>
      <c r="B1047" s="6" t="str">
        <f ca="1">IFERROR(__xludf.DUMMYFUNCTION("""COMPUTED_VALUE"""),"Build &amp; Operation")</f>
        <v>Build &amp; Operation</v>
      </c>
      <c r="H1047" s="6">
        <f ca="1"/>
        <v>0</v>
      </c>
      <c r="I1047" s="6">
        <f ca="1"/>
        <v>0</v>
      </c>
      <c r="J1047" s="6">
        <f ca="1"/>
        <v>0</v>
      </c>
    </row>
    <row r="1048" spans="1:10" ht="13" x14ac:dyDescent="0.15">
      <c r="A1048" s="6" t="str">
        <f ca="1">IFERROR(__xludf.DUMMYFUNCTION("""COMPUTED_VALUE"""),"Build &amp; Operation")</f>
        <v>Build &amp; Operation</v>
      </c>
      <c r="B1048" s="6" t="str">
        <f ca="1">IFERROR(__xludf.DUMMYFUNCTION("""COMPUTED_VALUE"""),"Build &amp; Operation")</f>
        <v>Build &amp; Operation</v>
      </c>
      <c r="H1048" s="6">
        <f ca="1"/>
        <v>0</v>
      </c>
      <c r="I1048" s="6">
        <f ca="1"/>
        <v>0</v>
      </c>
      <c r="J1048" s="6">
        <f ca="1"/>
        <v>0</v>
      </c>
    </row>
    <row r="1049" spans="1:10" ht="13" x14ac:dyDescent="0.15">
      <c r="A1049" s="6" t="str">
        <f ca="1">IFERROR(__xludf.DUMMYFUNCTION("""COMPUTED_VALUE"""),"Build &amp; Operation")</f>
        <v>Build &amp; Operation</v>
      </c>
      <c r="B1049" s="6" t="str">
        <f ca="1">IFERROR(__xludf.DUMMYFUNCTION("""COMPUTED_VALUE"""),"Build &amp; Operation")</f>
        <v>Build &amp; Operation</v>
      </c>
      <c r="H1049" s="6">
        <f ca="1"/>
        <v>0</v>
      </c>
      <c r="I1049" s="6">
        <f ca="1"/>
        <v>0</v>
      </c>
      <c r="J1049" s="6">
        <f ca="1"/>
        <v>0</v>
      </c>
    </row>
    <row r="1050" spans="1:10" ht="13" x14ac:dyDescent="0.15">
      <c r="A1050" s="6" t="str">
        <f ca="1">IFERROR(__xludf.DUMMYFUNCTION("""COMPUTED_VALUE"""),"Build &amp; Operation")</f>
        <v>Build &amp; Operation</v>
      </c>
      <c r="B1050" s="6" t="str">
        <f ca="1">IFERROR(__xludf.DUMMYFUNCTION("""COMPUTED_VALUE"""),"Build &amp; Operation")</f>
        <v>Build &amp; Operation</v>
      </c>
      <c r="H1050" s="6">
        <f ca="1"/>
        <v>0</v>
      </c>
      <c r="I1050" s="6">
        <f ca="1"/>
        <v>0</v>
      </c>
      <c r="J1050" s="6">
        <f ca="1"/>
        <v>0</v>
      </c>
    </row>
    <row r="1051" spans="1:10" ht="13" x14ac:dyDescent="0.15">
      <c r="A1051" s="6" t="str">
        <f ca="1">IFERROR(__xludf.DUMMYFUNCTION("""COMPUTED_VALUE"""),"Build &amp; Operation")</f>
        <v>Build &amp; Operation</v>
      </c>
      <c r="B1051" s="6" t="str">
        <f ca="1">IFERROR(__xludf.DUMMYFUNCTION("""COMPUTED_VALUE"""),"Build &amp; Operation")</f>
        <v>Build &amp; Operation</v>
      </c>
      <c r="H1051" s="6">
        <f ca="1"/>
        <v>0</v>
      </c>
      <c r="I1051" s="6">
        <f ca="1"/>
        <v>0</v>
      </c>
      <c r="J1051" s="6">
        <f ca="1"/>
        <v>0</v>
      </c>
    </row>
    <row r="1052" spans="1:10" ht="13" x14ac:dyDescent="0.15">
      <c r="A1052" s="6" t="str">
        <f ca="1">IFERROR(__xludf.DUMMYFUNCTION("""COMPUTED_VALUE"""),"Build &amp; Operation")</f>
        <v>Build &amp; Operation</v>
      </c>
      <c r="B1052" s="6" t="str">
        <f ca="1">IFERROR(__xludf.DUMMYFUNCTION("""COMPUTED_VALUE"""),"Build &amp; Operation")</f>
        <v>Build &amp; Operation</v>
      </c>
      <c r="H1052" s="6">
        <f ca="1"/>
        <v>0</v>
      </c>
      <c r="I1052" s="6">
        <f ca="1"/>
        <v>0</v>
      </c>
      <c r="J1052" s="6">
        <f ca="1"/>
        <v>0</v>
      </c>
    </row>
    <row r="1053" spans="1:10" ht="13" x14ac:dyDescent="0.15">
      <c r="A1053" s="6" t="str">
        <f ca="1">IFERROR(__xludf.DUMMYFUNCTION("""COMPUTED_VALUE"""),"Build &amp; Operation")</f>
        <v>Build &amp; Operation</v>
      </c>
      <c r="B1053" s="6" t="str">
        <f ca="1">IFERROR(__xludf.DUMMYFUNCTION("""COMPUTED_VALUE"""),"Build &amp; Operation")</f>
        <v>Build &amp; Operation</v>
      </c>
      <c r="H1053" s="6">
        <f ca="1"/>
        <v>0</v>
      </c>
      <c r="I1053" s="6">
        <f ca="1"/>
        <v>0</v>
      </c>
      <c r="J1053" s="6">
        <f ca="1"/>
        <v>0</v>
      </c>
    </row>
    <row r="1054" spans="1:10" ht="13" x14ac:dyDescent="0.15">
      <c r="A1054" s="6" t="str">
        <f ca="1">IFERROR(__xludf.DUMMYFUNCTION("""COMPUTED_VALUE"""),"Build &amp; Operation")</f>
        <v>Build &amp; Operation</v>
      </c>
      <c r="B1054" s="6" t="str">
        <f ca="1">IFERROR(__xludf.DUMMYFUNCTION("""COMPUTED_VALUE"""),"Build &amp; Operation")</f>
        <v>Build &amp; Operation</v>
      </c>
      <c r="H1054" s="6">
        <f ca="1"/>
        <v>0</v>
      </c>
      <c r="I1054" s="6">
        <f ca="1"/>
        <v>0</v>
      </c>
      <c r="J1054" s="6">
        <f ca="1"/>
        <v>0</v>
      </c>
    </row>
    <row r="1055" spans="1:10" ht="13" x14ac:dyDescent="0.15">
      <c r="A1055" s="6" t="str">
        <f ca="1">IFERROR(__xludf.DUMMYFUNCTION("""COMPUTED_VALUE"""),"Build &amp; Operation")</f>
        <v>Build &amp; Operation</v>
      </c>
      <c r="B1055" s="6" t="str">
        <f ca="1">IFERROR(__xludf.DUMMYFUNCTION("""COMPUTED_VALUE"""),"Build &amp; Operation")</f>
        <v>Build &amp; Operation</v>
      </c>
      <c r="H1055" s="6">
        <f ca="1"/>
        <v>0</v>
      </c>
      <c r="I1055" s="6">
        <f ca="1"/>
        <v>0</v>
      </c>
      <c r="J1055" s="6">
        <f ca="1"/>
        <v>0</v>
      </c>
    </row>
    <row r="1056" spans="1:10" ht="13" x14ac:dyDescent="0.15">
      <c r="A1056" s="6" t="str">
        <f ca="1">IFERROR(__xludf.DUMMYFUNCTION("""COMPUTED_VALUE"""),"Testing")</f>
        <v>Testing</v>
      </c>
      <c r="B1056" s="6" t="str">
        <f ca="1">IFERROR(__xludf.DUMMYFUNCTION("""COMPUTED_VALUE"""),"Build &amp; Operation")</f>
        <v>Build &amp; Operation</v>
      </c>
      <c r="H1056" s="6">
        <f ca="1"/>
        <v>0</v>
      </c>
      <c r="I1056" s="6">
        <f ca="1"/>
        <v>0</v>
      </c>
      <c r="J1056" s="6">
        <f ca="1"/>
        <v>0</v>
      </c>
    </row>
    <row r="1057" spans="1:10" ht="13" x14ac:dyDescent="0.15">
      <c r="A1057" s="6" t="str">
        <f ca="1">IFERROR(__xludf.DUMMYFUNCTION("""COMPUTED_VALUE"""),"Build &amp; Operation")</f>
        <v>Build &amp; Operation</v>
      </c>
      <c r="B1057" s="6" t="str">
        <f ca="1">IFERROR(__xludf.DUMMYFUNCTION("""COMPUTED_VALUE"""),"Build &amp; Operation")</f>
        <v>Build &amp; Operation</v>
      </c>
      <c r="H1057" s="6">
        <f ca="1"/>
        <v>0</v>
      </c>
      <c r="I1057" s="6">
        <f ca="1"/>
        <v>0</v>
      </c>
      <c r="J1057" s="6">
        <f ca="1"/>
        <v>0</v>
      </c>
    </row>
    <row r="1058" spans="1:10" ht="13" x14ac:dyDescent="0.15">
      <c r="A1058" s="6" t="str">
        <f ca="1">IFERROR(__xludf.DUMMYFUNCTION("""COMPUTED_VALUE"""),"Build &amp; Operation")</f>
        <v>Build &amp; Operation</v>
      </c>
      <c r="B1058" s="6" t="str">
        <f ca="1">IFERROR(__xludf.DUMMYFUNCTION("""COMPUTED_VALUE"""),"Build &amp; Operation")</f>
        <v>Build &amp; Operation</v>
      </c>
      <c r="H1058" s="6">
        <f ca="1"/>
        <v>0</v>
      </c>
      <c r="I1058" s="6">
        <f ca="1"/>
        <v>0</v>
      </c>
      <c r="J1058" s="6">
        <f ca="1"/>
        <v>0</v>
      </c>
    </row>
    <row r="1059" spans="1:10" ht="13" x14ac:dyDescent="0.15">
      <c r="A1059" s="6" t="str">
        <f ca="1">IFERROR(__xludf.DUMMYFUNCTION("""COMPUTED_VALUE"""),"NOT_ENOUGH_CONTEXT")</f>
        <v>NOT_ENOUGH_CONTEXT</v>
      </c>
      <c r="B1059" s="6" t="str">
        <f ca="1">IFERROR(__xludf.DUMMYFUNCTION("""COMPUTED_VALUE"""),"Build &amp; Operation")</f>
        <v>Build &amp; Operation</v>
      </c>
      <c r="H1059" s="6">
        <f ca="1"/>
        <v>0</v>
      </c>
      <c r="I1059" s="6">
        <f ca="1"/>
        <v>0</v>
      </c>
      <c r="J1059" s="6">
        <f ca="1"/>
        <v>0</v>
      </c>
    </row>
    <row r="1060" spans="1:10" ht="13" x14ac:dyDescent="0.15">
      <c r="A1060" s="6" t="str">
        <f ca="1">IFERROR(__xludf.DUMMYFUNCTION("""COMPUTED_VALUE"""),"NOT_ENOUGH_CONTEXT")</f>
        <v>NOT_ENOUGH_CONTEXT</v>
      </c>
      <c r="B1060" s="6" t="str">
        <f ca="1">IFERROR(__xludf.DUMMYFUNCTION("""COMPUTED_VALUE"""),"Build &amp; Operation")</f>
        <v>Build &amp; Operation</v>
      </c>
      <c r="H1060" s="6">
        <f ca="1"/>
        <v>0</v>
      </c>
      <c r="I1060" s="6">
        <f ca="1"/>
        <v>0</v>
      </c>
      <c r="J1060" s="6">
        <f ca="1"/>
        <v>0</v>
      </c>
    </row>
    <row r="1061" spans="1:10" ht="13" x14ac:dyDescent="0.15">
      <c r="A1061" s="6" t="str">
        <f ca="1">IFERROR(__xludf.DUMMYFUNCTION("""COMPUTED_VALUE"""),"NOT_ENOUGH_CONTEXT")</f>
        <v>NOT_ENOUGH_CONTEXT</v>
      </c>
      <c r="B1061" s="6" t="str">
        <f ca="1">IFERROR(__xludf.DUMMYFUNCTION("""COMPUTED_VALUE"""),"Build &amp; Operation")</f>
        <v>Build &amp; Operation</v>
      </c>
      <c r="H1061" s="6">
        <f ca="1"/>
        <v>0</v>
      </c>
      <c r="I1061" s="6">
        <f ca="1"/>
        <v>0</v>
      </c>
      <c r="J1061" s="6">
        <f ca="1"/>
        <v>0</v>
      </c>
    </row>
    <row r="1062" spans="1:10" ht="13" x14ac:dyDescent="0.15">
      <c r="A1062" s="6" t="str">
        <f ca="1">IFERROR(__xludf.DUMMYFUNCTION("""COMPUTED_VALUE"""),"NOT_ENOUGH_CONTEXT")</f>
        <v>NOT_ENOUGH_CONTEXT</v>
      </c>
      <c r="B1062" s="6" t="str">
        <f ca="1">IFERROR(__xludf.DUMMYFUNCTION("""COMPUTED_VALUE"""),"Build &amp; Operation")</f>
        <v>Build &amp; Operation</v>
      </c>
      <c r="H1062" s="6">
        <f ca="1"/>
        <v>0</v>
      </c>
      <c r="I1062" s="6">
        <f ca="1"/>
        <v>0</v>
      </c>
      <c r="J1062" s="6">
        <f ca="1"/>
        <v>0</v>
      </c>
    </row>
    <row r="1063" spans="1:10" ht="13" x14ac:dyDescent="0.15">
      <c r="A1063" s="6" t="str">
        <f ca="1">IFERROR(__xludf.DUMMYFUNCTION("""COMPUTED_VALUE"""),"NOT_ENOUGH_CONTEXT")</f>
        <v>NOT_ENOUGH_CONTEXT</v>
      </c>
      <c r="B1063" s="6" t="str">
        <f ca="1">IFERROR(__xludf.DUMMYFUNCTION("""COMPUTED_VALUE"""),"Build &amp; Operation")</f>
        <v>Build &amp; Operation</v>
      </c>
      <c r="H1063" s="6">
        <f ca="1"/>
        <v>0</v>
      </c>
      <c r="I1063" s="6">
        <f ca="1"/>
        <v>0</v>
      </c>
      <c r="J1063" s="6">
        <f ca="1"/>
        <v>0</v>
      </c>
    </row>
    <row r="1064" spans="1:10" ht="13" x14ac:dyDescent="0.15">
      <c r="A1064" s="6" t="str">
        <f ca="1">IFERROR(__xludf.DUMMYFUNCTION("""COMPUTED_VALUE"""),"NOT_ENOUGH_CONTEXT")</f>
        <v>NOT_ENOUGH_CONTEXT</v>
      </c>
      <c r="B1064" s="6" t="str">
        <f ca="1">IFERROR(__xludf.DUMMYFUNCTION("""COMPUTED_VALUE"""),"Build &amp; Operation")</f>
        <v>Build &amp; Operation</v>
      </c>
      <c r="H1064" s="6">
        <f ca="1"/>
        <v>0</v>
      </c>
      <c r="I1064" s="6">
        <f ca="1"/>
        <v>0</v>
      </c>
      <c r="J1064" s="6">
        <f ca="1"/>
        <v>0</v>
      </c>
    </row>
    <row r="1065" spans="1:10" ht="13" x14ac:dyDescent="0.15">
      <c r="A1065" s="6" t="str">
        <f ca="1">IFERROR(__xludf.DUMMYFUNCTION("""COMPUTED_VALUE"""),"NOT_ENOUGH_CONTEXT")</f>
        <v>NOT_ENOUGH_CONTEXT</v>
      </c>
      <c r="B1065" s="6" t="str">
        <f ca="1">IFERROR(__xludf.DUMMYFUNCTION("""COMPUTED_VALUE"""),"Build &amp; Operation")</f>
        <v>Build &amp; Operation</v>
      </c>
      <c r="H1065" s="6">
        <f ca="1"/>
        <v>0</v>
      </c>
      <c r="I1065" s="6">
        <f ca="1"/>
        <v>0</v>
      </c>
      <c r="J1065" s="6">
        <f ca="1"/>
        <v>0</v>
      </c>
    </row>
    <row r="1066" spans="1:10" ht="13" x14ac:dyDescent="0.15">
      <c r="A1066" s="6" t="str">
        <f ca="1">IFERROR(__xludf.DUMMYFUNCTION("""COMPUTED_VALUE"""),"NOT_ENOUGH_CONTEXT")</f>
        <v>NOT_ENOUGH_CONTEXT</v>
      </c>
      <c r="B1066" s="6" t="str">
        <f ca="1">IFERROR(__xludf.DUMMYFUNCTION("""COMPUTED_VALUE"""),"Build &amp; Operation")</f>
        <v>Build &amp; Operation</v>
      </c>
      <c r="H1066" s="6">
        <f ca="1"/>
        <v>0</v>
      </c>
      <c r="I1066" s="6">
        <f ca="1"/>
        <v>0</v>
      </c>
      <c r="J1066" s="6">
        <f ca="1"/>
        <v>0</v>
      </c>
    </row>
    <row r="1067" spans="1:10" ht="13" x14ac:dyDescent="0.15">
      <c r="A1067" s="6" t="str">
        <f ca="1">IFERROR(__xludf.DUMMYFUNCTION("""COMPUTED_VALUE"""),"NOT_ENOUGH_CONTEXT")</f>
        <v>NOT_ENOUGH_CONTEXT</v>
      </c>
      <c r="B1067" s="6" t="str">
        <f ca="1">IFERROR(__xludf.DUMMYFUNCTION("""COMPUTED_VALUE"""),"Build &amp; Operation")</f>
        <v>Build &amp; Operation</v>
      </c>
      <c r="H1067" s="6">
        <f ca="1"/>
        <v>0</v>
      </c>
      <c r="I1067" s="6">
        <f ca="1"/>
        <v>0</v>
      </c>
      <c r="J1067" s="6">
        <f ca="1"/>
        <v>0</v>
      </c>
    </row>
    <row r="1068" spans="1:10" ht="13" x14ac:dyDescent="0.15">
      <c r="A1068" s="6" t="str">
        <f ca="1">IFERROR(__xludf.DUMMYFUNCTION("""COMPUTED_VALUE"""),"NOT_ENOUGH_CONTEXT")</f>
        <v>NOT_ENOUGH_CONTEXT</v>
      </c>
      <c r="B1068" s="6" t="str">
        <f ca="1">IFERROR(__xludf.DUMMYFUNCTION("""COMPUTED_VALUE"""),"Build &amp; Operation")</f>
        <v>Build &amp; Operation</v>
      </c>
      <c r="H1068" s="6">
        <f ca="1"/>
        <v>0</v>
      </c>
      <c r="I1068" s="6">
        <f ca="1"/>
        <v>0</v>
      </c>
      <c r="J1068" s="6">
        <f ca="1"/>
        <v>0</v>
      </c>
    </row>
    <row r="1069" spans="1:10" ht="13" x14ac:dyDescent="0.15">
      <c r="A1069" s="6" t="str">
        <f ca="1">IFERROR(__xludf.DUMMYFUNCTION("""COMPUTED_VALUE"""),"NOT_ENOUGH_CONTEXT")</f>
        <v>NOT_ENOUGH_CONTEXT</v>
      </c>
      <c r="B1069" s="6" t="str">
        <f ca="1">IFERROR(__xludf.DUMMYFUNCTION("""COMPUTED_VALUE"""),"Build &amp; Operation")</f>
        <v>Build &amp; Operation</v>
      </c>
      <c r="H1069" s="6">
        <f ca="1"/>
        <v>0</v>
      </c>
      <c r="I1069" s="6">
        <f ca="1"/>
        <v>0</v>
      </c>
      <c r="J1069" s="6">
        <f ca="1"/>
        <v>0</v>
      </c>
    </row>
    <row r="1070" spans="1:10" ht="13" x14ac:dyDescent="0.15">
      <c r="A1070" s="6" t="str">
        <f ca="1">IFERROR(__xludf.DUMMYFUNCTION("""COMPUTED_VALUE"""),"NOT_ENOUGH_CONTEXT")</f>
        <v>NOT_ENOUGH_CONTEXT</v>
      </c>
      <c r="B1070" s="6" t="str">
        <f ca="1">IFERROR(__xludf.DUMMYFUNCTION("""COMPUTED_VALUE"""),"Build &amp; Operation")</f>
        <v>Build &amp; Operation</v>
      </c>
      <c r="H1070" s="6">
        <f ca="1"/>
        <v>0</v>
      </c>
      <c r="I1070" s="6">
        <f ca="1"/>
        <v>0</v>
      </c>
      <c r="J1070" s="6">
        <f ca="1"/>
        <v>0</v>
      </c>
    </row>
    <row r="1071" spans="1:10" ht="13" x14ac:dyDescent="0.15">
      <c r="A1071" s="6" t="str">
        <f ca="1">IFERROR(__xludf.DUMMYFUNCTION("""COMPUTED_VALUE"""),"NOT_ENOUGH_CONTEXT")</f>
        <v>NOT_ENOUGH_CONTEXT</v>
      </c>
      <c r="B1071" s="6" t="str">
        <f ca="1">IFERROR(__xludf.DUMMYFUNCTION("""COMPUTED_VALUE"""),"Build &amp; Operation")</f>
        <v>Build &amp; Operation</v>
      </c>
      <c r="H1071" s="6">
        <f ca="1"/>
        <v>0</v>
      </c>
      <c r="I1071" s="6">
        <f ca="1"/>
        <v>0</v>
      </c>
      <c r="J1071" s="6">
        <f ca="1"/>
        <v>0</v>
      </c>
    </row>
    <row r="1072" spans="1:10" ht="13" x14ac:dyDescent="0.15">
      <c r="A1072" s="6" t="str">
        <f ca="1">IFERROR(__xludf.DUMMYFUNCTION("""COMPUTED_VALUE"""),"NOT_ENOUGH_CONTEXT")</f>
        <v>NOT_ENOUGH_CONTEXT</v>
      </c>
      <c r="B1072" s="6" t="str">
        <f ca="1">IFERROR(__xludf.DUMMYFUNCTION("""COMPUTED_VALUE"""),"Build &amp; Operation")</f>
        <v>Build &amp; Operation</v>
      </c>
      <c r="H1072" s="6">
        <f ca="1"/>
        <v>0</v>
      </c>
      <c r="I1072" s="6">
        <f ca="1"/>
        <v>0</v>
      </c>
      <c r="J1072" s="6">
        <f ca="1"/>
        <v>0</v>
      </c>
    </row>
    <row r="1073" spans="1:10" ht="13" x14ac:dyDescent="0.15">
      <c r="A1073" s="6" t="str">
        <f ca="1">IFERROR(__xludf.DUMMYFUNCTION("""COMPUTED_VALUE"""),"NOT_ENOUGH_CONTEXT")</f>
        <v>NOT_ENOUGH_CONTEXT</v>
      </c>
      <c r="B1073" s="6" t="str">
        <f ca="1">IFERROR(__xludf.DUMMYFUNCTION("""COMPUTED_VALUE"""),"Build &amp; Operation")</f>
        <v>Build &amp; Operation</v>
      </c>
      <c r="H1073" s="6">
        <f ca="1"/>
        <v>0</v>
      </c>
      <c r="I1073" s="6">
        <f ca="1"/>
        <v>0</v>
      </c>
      <c r="J1073" s="6">
        <f ca="1"/>
        <v>0</v>
      </c>
    </row>
    <row r="1074" spans="1:10" ht="13" x14ac:dyDescent="0.15">
      <c r="A1074" s="6" t="str">
        <f ca="1">IFERROR(__xludf.DUMMYFUNCTION("""COMPUTED_VALUE"""),"Build &amp; Operation")</f>
        <v>Build &amp; Operation</v>
      </c>
      <c r="B1074" s="6" t="str">
        <f ca="1">IFERROR(__xludf.DUMMYFUNCTION("""COMPUTED_VALUE"""),"Task Execution")</f>
        <v>Task Execution</v>
      </c>
      <c r="H1074" s="6">
        <f ca="1"/>
        <v>0</v>
      </c>
      <c r="I1074" s="6">
        <f ca="1"/>
        <v>0</v>
      </c>
      <c r="J1074" s="6">
        <f ca="1"/>
        <v>0</v>
      </c>
    </row>
    <row r="1075" spans="1:10" ht="13" x14ac:dyDescent="0.15">
      <c r="A1075" s="6" t="str">
        <f ca="1">IFERROR(__xludf.DUMMYFUNCTION("""COMPUTED_VALUE"""),"Build &amp; Operation")</f>
        <v>Build &amp; Operation</v>
      </c>
      <c r="B1075" s="6" t="str">
        <f ca="1">IFERROR(__xludf.DUMMYFUNCTION("""COMPUTED_VALUE"""),"Task Execution")</f>
        <v>Task Execution</v>
      </c>
      <c r="H1075" s="6">
        <f ca="1"/>
        <v>0</v>
      </c>
      <c r="I1075" s="6">
        <f ca="1"/>
        <v>0</v>
      </c>
      <c r="J1075" s="6">
        <f ca="1"/>
        <v>0</v>
      </c>
    </row>
    <row r="1076" spans="1:10" ht="13" x14ac:dyDescent="0.15">
      <c r="A1076" s="6" t="str">
        <f ca="1">IFERROR(__xludf.DUMMYFUNCTION("""COMPUTED_VALUE"""),"Build &amp; Operation")</f>
        <v>Build &amp; Operation</v>
      </c>
      <c r="B1076" s="6" t="str">
        <f ca="1">IFERROR(__xludf.DUMMYFUNCTION("""COMPUTED_VALUE"""),"Task Execution")</f>
        <v>Task Execution</v>
      </c>
      <c r="H1076" s="6">
        <f ca="1"/>
        <v>0</v>
      </c>
      <c r="I1076" s="6">
        <f ca="1"/>
        <v>0</v>
      </c>
      <c r="J1076" s="6">
        <f ca="1"/>
        <v>0</v>
      </c>
    </row>
    <row r="1077" spans="1:10" ht="13" x14ac:dyDescent="0.15">
      <c r="A1077" s="6" t="str">
        <f ca="1">IFERROR(__xludf.DUMMYFUNCTION("""COMPUTED_VALUE"""),"Build &amp; Operation")</f>
        <v>Build &amp; Operation</v>
      </c>
      <c r="B1077" s="6" t="str">
        <f ca="1">IFERROR(__xludf.DUMMYFUNCTION("""COMPUTED_VALUE"""),"Build &amp; Operation")</f>
        <v>Build &amp; Operation</v>
      </c>
      <c r="H1077" s="6">
        <f ca="1"/>
        <v>0</v>
      </c>
      <c r="I1077" s="6">
        <f ca="1"/>
        <v>0</v>
      </c>
      <c r="J1077" s="6">
        <f ca="1"/>
        <v>0</v>
      </c>
    </row>
    <row r="1078" spans="1:10" ht="13" x14ac:dyDescent="0.15">
      <c r="A1078" s="6" t="str">
        <f ca="1">IFERROR(__xludf.DUMMYFUNCTION("""COMPUTED_VALUE"""),"Build &amp; Operation")</f>
        <v>Build &amp; Operation</v>
      </c>
      <c r="B1078" s="6" t="str">
        <f ca="1">IFERROR(__xludf.DUMMYFUNCTION("""COMPUTED_VALUE"""),"Build &amp; Operation")</f>
        <v>Build &amp; Operation</v>
      </c>
      <c r="H1078" s="6">
        <f ca="1"/>
        <v>0</v>
      </c>
      <c r="I1078" s="6">
        <f ca="1"/>
        <v>0</v>
      </c>
      <c r="J1078" s="6">
        <f ca="1"/>
        <v>0</v>
      </c>
    </row>
    <row r="1079" spans="1:10" ht="13" x14ac:dyDescent="0.15">
      <c r="A1079" s="6" t="str">
        <f ca="1">IFERROR(__xludf.DUMMYFUNCTION("""COMPUTED_VALUE"""),"Build &amp; Operation")</f>
        <v>Build &amp; Operation</v>
      </c>
      <c r="B1079" s="6" t="str">
        <f ca="1">IFERROR(__xludf.DUMMYFUNCTION("""COMPUTED_VALUE"""),"Build &amp; Operation")</f>
        <v>Build &amp; Operation</v>
      </c>
      <c r="H1079" s="6">
        <f ca="1"/>
        <v>0</v>
      </c>
      <c r="I1079" s="6">
        <f ca="1"/>
        <v>0</v>
      </c>
      <c r="J1079" s="6">
        <f ca="1"/>
        <v>0</v>
      </c>
    </row>
    <row r="1080" spans="1:10" ht="13" x14ac:dyDescent="0.15">
      <c r="A1080" s="6" t="str">
        <f ca="1">IFERROR(__xludf.DUMMYFUNCTION("""COMPUTED_VALUE"""),"Build &amp; Operation")</f>
        <v>Build &amp; Operation</v>
      </c>
      <c r="B1080" s="6" t="str">
        <f ca="1">IFERROR(__xludf.DUMMYFUNCTION("""COMPUTED_VALUE"""),"Build &amp; Operation")</f>
        <v>Build &amp; Operation</v>
      </c>
      <c r="H1080" s="6">
        <f ca="1"/>
        <v>0</v>
      </c>
      <c r="I1080" s="6">
        <f ca="1"/>
        <v>0</v>
      </c>
      <c r="J1080" s="6">
        <f ca="1"/>
        <v>0</v>
      </c>
    </row>
    <row r="1081" spans="1:10" ht="13" x14ac:dyDescent="0.15">
      <c r="A1081" s="6" t="str">
        <f ca="1">IFERROR(__xludf.DUMMYFUNCTION("""COMPUTED_VALUE"""),"Testing")</f>
        <v>Testing</v>
      </c>
      <c r="B1081" s="6" t="str">
        <f ca="1">IFERROR(__xludf.DUMMYFUNCTION("""COMPUTED_VALUE"""),"Testing")</f>
        <v>Testing</v>
      </c>
      <c r="H1081" s="6">
        <f ca="1"/>
        <v>0</v>
      </c>
      <c r="I1081" s="6">
        <f ca="1"/>
        <v>0</v>
      </c>
      <c r="J1081" s="6">
        <f ca="1"/>
        <v>0</v>
      </c>
    </row>
    <row r="1082" spans="1:10" ht="13" x14ac:dyDescent="0.15">
      <c r="A1082" s="6" t="str">
        <f ca="1">IFERROR(__xludf.DUMMYFUNCTION("""COMPUTED_VALUE"""),"Testing")</f>
        <v>Testing</v>
      </c>
      <c r="B1082" s="6" t="str">
        <f ca="1">IFERROR(__xludf.DUMMYFUNCTION("""COMPUTED_VALUE"""),"Testing")</f>
        <v>Testing</v>
      </c>
      <c r="H1082" s="6">
        <f ca="1"/>
        <v>0</v>
      </c>
      <c r="I1082" s="6">
        <f ca="1"/>
        <v>0</v>
      </c>
      <c r="J1082" s="6">
        <f ca="1"/>
        <v>0</v>
      </c>
    </row>
    <row r="1083" spans="1:10" ht="13" x14ac:dyDescent="0.15">
      <c r="A1083" s="6" t="str">
        <f ca="1">IFERROR(__xludf.DUMMYFUNCTION("""COMPUTED_VALUE"""),"Build &amp; Operation")</f>
        <v>Build &amp; Operation</v>
      </c>
      <c r="B1083" s="6" t="str">
        <f ca="1">IFERROR(__xludf.DUMMYFUNCTION("""COMPUTED_VALUE"""),"Testing")</f>
        <v>Testing</v>
      </c>
      <c r="H1083" s="6">
        <f ca="1"/>
        <v>0</v>
      </c>
      <c r="I1083" s="6">
        <f ca="1"/>
        <v>0</v>
      </c>
      <c r="J1083" s="6">
        <f ca="1"/>
        <v>0</v>
      </c>
    </row>
    <row r="1084" spans="1:10" ht="13" x14ac:dyDescent="0.15">
      <c r="A1084" s="6" t="str">
        <f ca="1">IFERROR(__xludf.DUMMYFUNCTION("""COMPUTED_VALUE"""),"Build &amp; Operation")</f>
        <v>Build &amp; Operation</v>
      </c>
      <c r="B1084" s="6" t="str">
        <f ca="1">IFERROR(__xludf.DUMMYFUNCTION("""COMPUTED_VALUE"""),"Build &amp; Operation")</f>
        <v>Build &amp; Operation</v>
      </c>
      <c r="H1084" s="6">
        <f ca="1"/>
        <v>0</v>
      </c>
      <c r="I1084" s="6">
        <f ca="1"/>
        <v>0</v>
      </c>
      <c r="J1084" s="6">
        <f ca="1"/>
        <v>0</v>
      </c>
    </row>
    <row r="1085" spans="1:10" ht="13" x14ac:dyDescent="0.15">
      <c r="A1085" s="6" t="str">
        <f ca="1">IFERROR(__xludf.DUMMYFUNCTION("""COMPUTED_VALUE"""),"Build &amp; Operation")</f>
        <v>Build &amp; Operation</v>
      </c>
      <c r="B1085" s="6" t="str">
        <f ca="1">IFERROR(__xludf.DUMMYFUNCTION("""COMPUTED_VALUE"""),"Build &amp; Operation")</f>
        <v>Build &amp; Operation</v>
      </c>
      <c r="H1085" s="6">
        <f ca="1"/>
        <v>0</v>
      </c>
      <c r="I1085" s="6">
        <f ca="1"/>
        <v>0</v>
      </c>
      <c r="J1085" s="6">
        <f ca="1"/>
        <v>0</v>
      </c>
    </row>
    <row r="1086" spans="1:10" ht="13" x14ac:dyDescent="0.15">
      <c r="A1086" s="6" t="str">
        <f ca="1">IFERROR(__xludf.DUMMYFUNCTION("""COMPUTED_VALUE"""),"Build &amp; Operation")</f>
        <v>Build &amp; Operation</v>
      </c>
      <c r="B1086" s="6" t="str">
        <f ca="1">IFERROR(__xludf.DUMMYFUNCTION("""COMPUTED_VALUE"""),"Build &amp; Operation")</f>
        <v>Build &amp; Operation</v>
      </c>
      <c r="H1086" s="6">
        <f ca="1"/>
        <v>0</v>
      </c>
      <c r="I1086" s="6">
        <f ca="1"/>
        <v>0</v>
      </c>
      <c r="J1086" s="6">
        <f ca="1"/>
        <v>0</v>
      </c>
    </row>
    <row r="1087" spans="1:10" ht="13" x14ac:dyDescent="0.15">
      <c r="A1087" s="6" t="str">
        <f ca="1">IFERROR(__xludf.DUMMYFUNCTION("""COMPUTED_VALUE"""),"Build &amp; Operation")</f>
        <v>Build &amp; Operation</v>
      </c>
      <c r="B1087" s="6" t="str">
        <f ca="1">IFERROR(__xludf.DUMMYFUNCTION("""COMPUTED_VALUE"""),"Task Execution")</f>
        <v>Task Execution</v>
      </c>
      <c r="H1087" s="6">
        <f ca="1"/>
        <v>0</v>
      </c>
      <c r="I1087" s="6">
        <f ca="1"/>
        <v>0</v>
      </c>
      <c r="J1087" s="6">
        <f ca="1"/>
        <v>0</v>
      </c>
    </row>
    <row r="1088" spans="1:10" ht="13" x14ac:dyDescent="0.15">
      <c r="A1088" s="6" t="str">
        <f ca="1">IFERROR(__xludf.DUMMYFUNCTION("""COMPUTED_VALUE"""),"Build &amp; Operation")</f>
        <v>Build &amp; Operation</v>
      </c>
      <c r="B1088" s="6" t="str">
        <f ca="1">IFERROR(__xludf.DUMMYFUNCTION("""COMPUTED_VALUE"""),"Task Execution")</f>
        <v>Task Execution</v>
      </c>
      <c r="H1088" s="6">
        <f ca="1"/>
        <v>0</v>
      </c>
      <c r="I1088" s="6">
        <f ca="1"/>
        <v>0</v>
      </c>
      <c r="J1088" s="6">
        <f ca="1"/>
        <v>0</v>
      </c>
    </row>
    <row r="1089" spans="1:10" ht="13" x14ac:dyDescent="0.15">
      <c r="A1089" s="6" t="str">
        <f ca="1">IFERROR(__xludf.DUMMYFUNCTION("""COMPUTED_VALUE"""),"Build &amp; Operation")</f>
        <v>Build &amp; Operation</v>
      </c>
      <c r="B1089" s="6" t="str">
        <f ca="1">IFERROR(__xludf.DUMMYFUNCTION("""COMPUTED_VALUE"""),"Task Execution")</f>
        <v>Task Execution</v>
      </c>
      <c r="H1089" s="6">
        <f ca="1"/>
        <v>0</v>
      </c>
      <c r="I1089" s="6">
        <f ca="1"/>
        <v>0</v>
      </c>
      <c r="J1089" s="6">
        <f ca="1"/>
        <v>0</v>
      </c>
    </row>
    <row r="1090" spans="1:10" ht="13" x14ac:dyDescent="0.15">
      <c r="A1090" s="6" t="str">
        <f ca="1">IFERROR(__xludf.DUMMYFUNCTION("""COMPUTED_VALUE"""),"Build &amp; Operation")</f>
        <v>Build &amp; Operation</v>
      </c>
      <c r="B1090" s="6" t="str">
        <f ca="1">IFERROR(__xludf.DUMMYFUNCTION("""COMPUTED_VALUE"""),"Task Execution")</f>
        <v>Task Execution</v>
      </c>
      <c r="H1090" s="6">
        <f ca="1"/>
        <v>0</v>
      </c>
      <c r="I1090" s="6">
        <f ca="1"/>
        <v>0</v>
      </c>
      <c r="J1090" s="6">
        <f ca="1"/>
        <v>0</v>
      </c>
    </row>
    <row r="1091" spans="1:10" ht="13" x14ac:dyDescent="0.15">
      <c r="A1091" s="6" t="str">
        <f ca="1">IFERROR(__xludf.DUMMYFUNCTION("""COMPUTED_VALUE"""),"Build &amp; Operation")</f>
        <v>Build &amp; Operation</v>
      </c>
      <c r="B1091" s="6" t="str">
        <f ca="1">IFERROR(__xludf.DUMMYFUNCTION("""COMPUTED_VALUE"""),"Build &amp; Operation")</f>
        <v>Build &amp; Operation</v>
      </c>
      <c r="H1091" s="6">
        <f ca="1"/>
        <v>0</v>
      </c>
      <c r="I1091" s="6">
        <f ca="1"/>
        <v>0</v>
      </c>
      <c r="J1091" s="6">
        <f ca="1"/>
        <v>0</v>
      </c>
    </row>
    <row r="1092" spans="1:10" ht="13" x14ac:dyDescent="0.15">
      <c r="A1092" s="6" t="str">
        <f ca="1">IFERROR(__xludf.DUMMYFUNCTION("""COMPUTED_VALUE"""),"Task Execution")</f>
        <v>Task Execution</v>
      </c>
      <c r="B1092" s="6" t="str">
        <f ca="1">IFERROR(__xludf.DUMMYFUNCTION("""COMPUTED_VALUE"""),"Task Execution")</f>
        <v>Task Execution</v>
      </c>
      <c r="H1092" s="6">
        <f ca="1"/>
        <v>0</v>
      </c>
      <c r="I1092" s="6">
        <f ca="1"/>
        <v>0</v>
      </c>
      <c r="J1092" s="6">
        <f ca="1"/>
        <v>0</v>
      </c>
    </row>
    <row r="1093" spans="1:10" ht="13" x14ac:dyDescent="0.15">
      <c r="A1093" s="6" t="str">
        <f ca="1">IFERROR(__xludf.DUMMYFUNCTION("""COMPUTED_VALUE"""),"Commit&amp;PR rule")</f>
        <v>Commit&amp;PR rule</v>
      </c>
      <c r="B1093" s="6" t="str">
        <f ca="1">IFERROR(__xludf.DUMMYFUNCTION("""COMPUTED_VALUE"""),"Commit&amp;PR rule")</f>
        <v>Commit&amp;PR rule</v>
      </c>
      <c r="H1093" s="6">
        <f ca="1"/>
        <v>0</v>
      </c>
      <c r="I1093" s="6">
        <f ca="1"/>
        <v>0</v>
      </c>
      <c r="J1093" s="6">
        <f ca="1"/>
        <v>0</v>
      </c>
    </row>
    <row r="1094" spans="1:10" ht="13" x14ac:dyDescent="0.15">
      <c r="A1094" s="6" t="str">
        <f ca="1">IFERROR(__xludf.DUMMYFUNCTION("""COMPUTED_VALUE"""),"Commit&amp;PR rule")</f>
        <v>Commit&amp;PR rule</v>
      </c>
      <c r="B1094" s="6" t="str">
        <f ca="1">IFERROR(__xludf.DUMMYFUNCTION("""COMPUTED_VALUE"""),"Commit&amp;PR rule")</f>
        <v>Commit&amp;PR rule</v>
      </c>
      <c r="H1094" s="6">
        <f ca="1"/>
        <v>0</v>
      </c>
      <c r="I1094" s="6">
        <f ca="1"/>
        <v>0</v>
      </c>
      <c r="J1094" s="6">
        <f ca="1"/>
        <v>0</v>
      </c>
    </row>
    <row r="1095" spans="1:10" ht="13" x14ac:dyDescent="0.15">
      <c r="A1095" s="6" t="str">
        <f ca="1">IFERROR(__xludf.DUMMYFUNCTION("""COMPUTED_VALUE"""),"Commit&amp;PR rule")</f>
        <v>Commit&amp;PR rule</v>
      </c>
      <c r="B1095" s="6" t="str">
        <f ca="1">IFERROR(__xludf.DUMMYFUNCTION("""COMPUTED_VALUE"""),"Commit&amp;PR rule")</f>
        <v>Commit&amp;PR rule</v>
      </c>
      <c r="H1095" s="6">
        <f ca="1"/>
        <v>0</v>
      </c>
      <c r="I1095" s="6">
        <f ca="1"/>
        <v>0</v>
      </c>
      <c r="J1095" s="6">
        <f ca="1"/>
        <v>0</v>
      </c>
    </row>
    <row r="1096" spans="1:10" ht="13" x14ac:dyDescent="0.15">
      <c r="A1096" s="6" t="str">
        <f ca="1">IFERROR(__xludf.DUMMYFUNCTION("""COMPUTED_VALUE"""),"Testing")</f>
        <v>Testing</v>
      </c>
      <c r="B1096" s="6" t="str">
        <f ca="1">IFERROR(__xludf.DUMMYFUNCTION("""COMPUTED_VALUE"""),"Testing")</f>
        <v>Testing</v>
      </c>
      <c r="H1096" s="6">
        <f ca="1"/>
        <v>0</v>
      </c>
      <c r="I1096" s="6">
        <f ca="1"/>
        <v>0</v>
      </c>
      <c r="J1096" s="6">
        <f ca="1"/>
        <v>0</v>
      </c>
    </row>
    <row r="1097" spans="1:10" ht="13" x14ac:dyDescent="0.15">
      <c r="A1097" s="6" t="str">
        <f ca="1">IFERROR(__xludf.DUMMYFUNCTION("""COMPUTED_VALUE"""),"Coding Pattern")</f>
        <v>Coding Pattern</v>
      </c>
      <c r="B1097" s="6" t="str">
        <f ca="1">IFERROR(__xludf.DUMMYFUNCTION("""COMPUTED_VALUE"""),"Coding Pattern")</f>
        <v>Coding Pattern</v>
      </c>
      <c r="H1097" s="6">
        <f ca="1"/>
        <v>0</v>
      </c>
      <c r="I1097" s="6">
        <f ca="1"/>
        <v>0</v>
      </c>
      <c r="J1097" s="6">
        <f ca="1"/>
        <v>0</v>
      </c>
    </row>
    <row r="1098" spans="1:10" ht="13" x14ac:dyDescent="0.15">
      <c r="A1098" s="6" t="str">
        <f ca="1">IFERROR(__xludf.DUMMYFUNCTION("""COMPUTED_VALUE"""),"Task Execution")</f>
        <v>Task Execution</v>
      </c>
      <c r="B1098" s="6" t="str">
        <f ca="1">IFERROR(__xludf.DUMMYFUNCTION("""COMPUTED_VALUE"""),"Task Execution")</f>
        <v>Task Execution</v>
      </c>
      <c r="H1098" s="6">
        <f ca="1"/>
        <v>0</v>
      </c>
      <c r="I1098" s="6">
        <f ca="1"/>
        <v>0</v>
      </c>
      <c r="J1098" s="6">
        <f ca="1"/>
        <v>0</v>
      </c>
    </row>
    <row r="1099" spans="1:10" ht="13" x14ac:dyDescent="0.15">
      <c r="A1099" s="6" t="str">
        <f ca="1">IFERROR(__xludf.DUMMYFUNCTION("""COMPUTED_VALUE"""),"Task Execution")</f>
        <v>Task Execution</v>
      </c>
      <c r="B1099" s="6" t="str">
        <f ca="1">IFERROR(__xludf.DUMMYFUNCTION("""COMPUTED_VALUE"""),"Task Execution")</f>
        <v>Task Execution</v>
      </c>
      <c r="H1099" s="6">
        <f ca="1"/>
        <v>0</v>
      </c>
      <c r="I1099" s="6">
        <f ca="1"/>
        <v>0</v>
      </c>
      <c r="J1099" s="6">
        <f ca="1"/>
        <v>0</v>
      </c>
    </row>
    <row r="1100" spans="1:10" ht="13" x14ac:dyDescent="0.15">
      <c r="A1100" s="6" t="str">
        <f ca="1">IFERROR(__xludf.DUMMYFUNCTION("""COMPUTED_VALUE"""),"Task Execution")</f>
        <v>Task Execution</v>
      </c>
      <c r="B1100" s="6" t="str">
        <f ca="1">IFERROR(__xludf.DUMMYFUNCTION("""COMPUTED_VALUE"""),"Task Execution")</f>
        <v>Task Execution</v>
      </c>
      <c r="H1100" s="6">
        <f ca="1"/>
        <v>0</v>
      </c>
      <c r="I1100" s="6">
        <f ca="1"/>
        <v>0</v>
      </c>
      <c r="J1100" s="6">
        <f ca="1"/>
        <v>0</v>
      </c>
    </row>
    <row r="1101" spans="1:10" ht="13" x14ac:dyDescent="0.15">
      <c r="A1101" s="6" t="str">
        <f ca="1">IFERROR(__xludf.DUMMYFUNCTION("""COMPUTED_VALUE"""),"NOT_ENOUGH_CONTEXT")</f>
        <v>NOT_ENOUGH_CONTEXT</v>
      </c>
      <c r="B1101" s="6" t="str">
        <f ca="1">IFERROR(__xludf.DUMMYFUNCTION("""COMPUTED_VALUE"""),"NOT_ENOUGH_CONTEXT")</f>
        <v>NOT_ENOUGH_CONTEXT</v>
      </c>
      <c r="H1101" s="6">
        <f ca="1"/>
        <v>0</v>
      </c>
      <c r="I1101" s="6">
        <f ca="1"/>
        <v>0</v>
      </c>
      <c r="J1101" s="6">
        <f ca="1"/>
        <v>0</v>
      </c>
    </row>
    <row r="1102" spans="1:10" ht="13" x14ac:dyDescent="0.15">
      <c r="A1102" s="6" t="str">
        <f ca="1">IFERROR(__xludf.DUMMYFUNCTION("""COMPUTED_VALUE"""),"Task Execution")</f>
        <v>Task Execution</v>
      </c>
      <c r="B1102" s="6" t="str">
        <f ca="1">IFERROR(__xludf.DUMMYFUNCTION("""COMPUTED_VALUE"""),"Task Execution")</f>
        <v>Task Execution</v>
      </c>
      <c r="H1102" s="6">
        <f ca="1"/>
        <v>0</v>
      </c>
      <c r="I1102" s="6">
        <f ca="1"/>
        <v>0</v>
      </c>
      <c r="J1102" s="6">
        <f ca="1"/>
        <v>0</v>
      </c>
    </row>
    <row r="1103" spans="1:10" ht="13" x14ac:dyDescent="0.15">
      <c r="A1103" s="6" t="str">
        <f ca="1">IFERROR(__xludf.DUMMYFUNCTION("""COMPUTED_VALUE"""),"Task Execution")</f>
        <v>Task Execution</v>
      </c>
      <c r="B1103" s="6" t="str">
        <f ca="1">IFERROR(__xludf.DUMMYFUNCTION("""COMPUTED_VALUE"""),"Task Execution")</f>
        <v>Task Execution</v>
      </c>
      <c r="H1103" s="6">
        <f ca="1"/>
        <v>0</v>
      </c>
      <c r="I1103" s="6">
        <f ca="1"/>
        <v>0</v>
      </c>
      <c r="J1103" s="6">
        <f ca="1"/>
        <v>0</v>
      </c>
    </row>
    <row r="1104" spans="1:10" ht="13" x14ac:dyDescent="0.15">
      <c r="A1104" s="6" t="str">
        <f ca="1">IFERROR(__xludf.DUMMYFUNCTION("""COMPUTED_VALUE"""),"Task Execution")</f>
        <v>Task Execution</v>
      </c>
      <c r="B1104" s="6" t="str">
        <f ca="1">IFERROR(__xludf.DUMMYFUNCTION("""COMPUTED_VALUE"""),"Task Execution")</f>
        <v>Task Execution</v>
      </c>
      <c r="H1104" s="6">
        <f ca="1"/>
        <v>0</v>
      </c>
      <c r="I1104" s="6">
        <f ca="1"/>
        <v>0</v>
      </c>
      <c r="J1104" s="6">
        <f ca="1"/>
        <v>0</v>
      </c>
    </row>
    <row r="1105" spans="1:10" ht="13" x14ac:dyDescent="0.15">
      <c r="A1105" s="6" t="str">
        <f ca="1">IFERROR(__xludf.DUMMYFUNCTION("""COMPUTED_VALUE"""),"Task Execution")</f>
        <v>Task Execution</v>
      </c>
      <c r="B1105" s="6" t="str">
        <f ca="1">IFERROR(__xludf.DUMMYFUNCTION("""COMPUTED_VALUE"""),"Task Execution")</f>
        <v>Task Execution</v>
      </c>
      <c r="H1105" s="6">
        <f ca="1"/>
        <v>0</v>
      </c>
      <c r="I1105" s="6">
        <f ca="1"/>
        <v>0</v>
      </c>
      <c r="J1105" s="6">
        <f ca="1"/>
        <v>0</v>
      </c>
    </row>
    <row r="1106" spans="1:10" ht="13" x14ac:dyDescent="0.15">
      <c r="A1106" s="6" t="str">
        <f ca="1">IFERROR(__xludf.DUMMYFUNCTION("""COMPUTED_VALUE"""),"Task Execution")</f>
        <v>Task Execution</v>
      </c>
      <c r="B1106" s="6" t="str">
        <f ca="1">IFERROR(__xludf.DUMMYFUNCTION("""COMPUTED_VALUE"""),"Task Execution")</f>
        <v>Task Execution</v>
      </c>
      <c r="H1106" s="6">
        <f ca="1"/>
        <v>0</v>
      </c>
      <c r="I1106" s="6">
        <f ca="1"/>
        <v>0</v>
      </c>
      <c r="J1106" s="6">
        <f ca="1"/>
        <v>0</v>
      </c>
    </row>
    <row r="1107" spans="1:10" ht="13" x14ac:dyDescent="0.15">
      <c r="A1107" s="6" t="str">
        <f ca="1">IFERROR(__xludf.DUMMYFUNCTION("""COMPUTED_VALUE"""),"Task Execution")</f>
        <v>Task Execution</v>
      </c>
      <c r="B1107" s="6" t="str">
        <f ca="1">IFERROR(__xludf.DUMMYFUNCTION("""COMPUTED_VALUE"""),"Task Execution")</f>
        <v>Task Execution</v>
      </c>
      <c r="H1107" s="6">
        <f ca="1"/>
        <v>0</v>
      </c>
      <c r="I1107" s="6">
        <f ca="1"/>
        <v>0</v>
      </c>
      <c r="J1107" s="6">
        <f ca="1"/>
        <v>0</v>
      </c>
    </row>
    <row r="1108" spans="1:10" ht="13" x14ac:dyDescent="0.15">
      <c r="A1108" s="6" t="str">
        <f ca="1">IFERROR(__xludf.DUMMYFUNCTION("""COMPUTED_VALUE"""),"Task Execution")</f>
        <v>Task Execution</v>
      </c>
      <c r="B1108" s="6" t="str">
        <f ca="1">IFERROR(__xludf.DUMMYFUNCTION("""COMPUTED_VALUE"""),"Task Execution")</f>
        <v>Task Execution</v>
      </c>
      <c r="H1108" s="6">
        <f ca="1"/>
        <v>0</v>
      </c>
      <c r="I1108" s="6">
        <f ca="1"/>
        <v>0</v>
      </c>
      <c r="J1108" s="6">
        <f ca="1"/>
        <v>0</v>
      </c>
    </row>
    <row r="1109" spans="1:10" ht="13" x14ac:dyDescent="0.15">
      <c r="A1109" s="6" t="str">
        <f ca="1">IFERROR(__xludf.DUMMYFUNCTION("""COMPUTED_VALUE"""),"Task Execution")</f>
        <v>Task Execution</v>
      </c>
      <c r="B1109" s="6" t="str">
        <f ca="1">IFERROR(__xludf.DUMMYFUNCTION("""COMPUTED_VALUE"""),"Task Execution")</f>
        <v>Task Execution</v>
      </c>
      <c r="H1109" s="6">
        <f ca="1"/>
        <v>0</v>
      </c>
      <c r="I1109" s="6">
        <f ca="1"/>
        <v>0</v>
      </c>
      <c r="J1109" s="6">
        <f ca="1"/>
        <v>0</v>
      </c>
    </row>
    <row r="1110" spans="1:10" ht="13" x14ac:dyDescent="0.15">
      <c r="A1110" s="6" t="str">
        <f ca="1">IFERROR(__xludf.DUMMYFUNCTION("""COMPUTED_VALUE"""),"Task Execution")</f>
        <v>Task Execution</v>
      </c>
      <c r="B1110" s="6" t="str">
        <f ca="1">IFERROR(__xludf.DUMMYFUNCTION("""COMPUTED_VALUE"""),"Task Execution")</f>
        <v>Task Execution</v>
      </c>
      <c r="H1110" s="6">
        <f ca="1"/>
        <v>0</v>
      </c>
      <c r="I1110" s="6">
        <f ca="1"/>
        <v>0</v>
      </c>
      <c r="J1110" s="6">
        <f ca="1"/>
        <v>0</v>
      </c>
    </row>
    <row r="1111" spans="1:10" ht="13" x14ac:dyDescent="0.15">
      <c r="A1111" s="6" t="str">
        <f ca="1">IFERROR(__xludf.DUMMYFUNCTION("""COMPUTED_VALUE"""),"Task Execution")</f>
        <v>Task Execution</v>
      </c>
      <c r="B1111" s="6" t="str">
        <f ca="1">IFERROR(__xludf.DUMMYFUNCTION("""COMPUTED_VALUE"""),"Task Execution")</f>
        <v>Task Execution</v>
      </c>
      <c r="H1111" s="6">
        <f ca="1"/>
        <v>0</v>
      </c>
      <c r="I1111" s="6">
        <f ca="1"/>
        <v>0</v>
      </c>
      <c r="J1111" s="6">
        <f ca="1"/>
        <v>0</v>
      </c>
    </row>
    <row r="1112" spans="1:10" ht="13" x14ac:dyDescent="0.15">
      <c r="A1112" s="6" t="str">
        <f ca="1">IFERROR(__xludf.DUMMYFUNCTION("""COMPUTED_VALUE"""),"Task Execution")</f>
        <v>Task Execution</v>
      </c>
      <c r="B1112" s="6" t="str">
        <f ca="1">IFERROR(__xludf.DUMMYFUNCTION("""COMPUTED_VALUE"""),"Task Execution")</f>
        <v>Task Execution</v>
      </c>
      <c r="H1112" s="6">
        <f ca="1"/>
        <v>0</v>
      </c>
      <c r="I1112" s="6">
        <f ca="1"/>
        <v>0</v>
      </c>
      <c r="J1112" s="6">
        <f ca="1"/>
        <v>0</v>
      </c>
    </row>
    <row r="1113" spans="1:10" ht="13" x14ac:dyDescent="0.15">
      <c r="A1113" s="6" t="str">
        <f ca="1">IFERROR(__xludf.DUMMYFUNCTION("""COMPUTED_VALUE"""),"Coding Pattern")</f>
        <v>Coding Pattern</v>
      </c>
      <c r="B1113" s="6" t="str">
        <f ca="1">IFERROR(__xludf.DUMMYFUNCTION("""COMPUTED_VALUE"""),"Coding Pattern")</f>
        <v>Coding Pattern</v>
      </c>
      <c r="H1113" s="6">
        <f ca="1"/>
        <v>0</v>
      </c>
      <c r="I1113" s="6">
        <f ca="1"/>
        <v>0</v>
      </c>
      <c r="J1113" s="6">
        <f ca="1"/>
        <v>0</v>
      </c>
    </row>
    <row r="1114" spans="1:10" ht="13" x14ac:dyDescent="0.15">
      <c r="A1114" s="6" t="str">
        <f ca="1">IFERROR(__xludf.DUMMYFUNCTION("""COMPUTED_VALUE"""),"Task Execution")</f>
        <v>Task Execution</v>
      </c>
      <c r="B1114" s="6" t="str">
        <f ca="1">IFERROR(__xludf.DUMMYFUNCTION("""COMPUTED_VALUE"""),"NOT_ENOUGH_CONTEXT")</f>
        <v>NOT_ENOUGH_CONTEXT</v>
      </c>
      <c r="H1114" s="6">
        <f ca="1"/>
        <v>0</v>
      </c>
      <c r="I1114" s="6">
        <f ca="1"/>
        <v>0</v>
      </c>
      <c r="J1114" s="6">
        <f ca="1"/>
        <v>0</v>
      </c>
    </row>
    <row r="1115" spans="1:10" ht="13" x14ac:dyDescent="0.15">
      <c r="A1115" s="6" t="str">
        <f ca="1">IFERROR(__xludf.DUMMYFUNCTION("""COMPUTED_VALUE"""),"Build &amp; Operation")</f>
        <v>Build &amp; Operation</v>
      </c>
      <c r="B1115" s="6" t="str">
        <f ca="1">IFERROR(__xludf.DUMMYFUNCTION("""COMPUTED_VALUE"""),"Build &amp; Operation")</f>
        <v>Build &amp; Operation</v>
      </c>
      <c r="H1115" s="6">
        <f ca="1"/>
        <v>0</v>
      </c>
      <c r="I1115" s="6">
        <f ca="1"/>
        <v>0</v>
      </c>
      <c r="J1115" s="6">
        <f ca="1"/>
        <v>0</v>
      </c>
    </row>
    <row r="1116" spans="1:10" ht="13" x14ac:dyDescent="0.15">
      <c r="A1116" s="6" t="str">
        <f ca="1">IFERROR(__xludf.DUMMYFUNCTION("""COMPUTED_VALUE"""),"Build &amp; Operation")</f>
        <v>Build &amp; Operation</v>
      </c>
      <c r="B1116" s="6" t="str">
        <f ca="1">IFERROR(__xludf.DUMMYFUNCTION("""COMPUTED_VALUE"""),"Build &amp; Operation")</f>
        <v>Build &amp; Operation</v>
      </c>
      <c r="H1116" s="6">
        <f ca="1"/>
        <v>0</v>
      </c>
      <c r="I1116" s="6">
        <f ca="1"/>
        <v>0</v>
      </c>
      <c r="J1116" s="6">
        <f ca="1"/>
        <v>0</v>
      </c>
    </row>
    <row r="1117" spans="1:10" ht="13" x14ac:dyDescent="0.15">
      <c r="A1117" s="6" t="str">
        <f ca="1">IFERROR(__xludf.DUMMYFUNCTION("""COMPUTED_VALUE"""),"Testing")</f>
        <v>Testing</v>
      </c>
      <c r="B1117" s="6" t="str">
        <f ca="1">IFERROR(__xludf.DUMMYFUNCTION("""COMPUTED_VALUE"""),"Testing")</f>
        <v>Testing</v>
      </c>
      <c r="H1117" s="6">
        <f ca="1"/>
        <v>0</v>
      </c>
      <c r="I1117" s="6">
        <f ca="1"/>
        <v>0</v>
      </c>
      <c r="J1117" s="6">
        <f ca="1"/>
        <v>0</v>
      </c>
    </row>
    <row r="1118" spans="1:10" ht="13" x14ac:dyDescent="0.15">
      <c r="A1118" s="6" t="str">
        <f ca="1">IFERROR(__xludf.DUMMYFUNCTION("""COMPUTED_VALUE"""),"Testing")</f>
        <v>Testing</v>
      </c>
      <c r="B1118" s="6" t="str">
        <f ca="1">IFERROR(__xludf.DUMMYFUNCTION("""COMPUTED_VALUE"""),"Testing")</f>
        <v>Testing</v>
      </c>
      <c r="H1118" s="6">
        <f ca="1"/>
        <v>0</v>
      </c>
      <c r="I1118" s="6">
        <f ca="1"/>
        <v>0</v>
      </c>
      <c r="J1118" s="6">
        <f ca="1"/>
        <v>0</v>
      </c>
    </row>
    <row r="1119" spans="1:10" ht="13" x14ac:dyDescent="0.15">
      <c r="A1119" s="6" t="str">
        <f ca="1">IFERROR(__xludf.DUMMYFUNCTION("""COMPUTED_VALUE"""),"Build &amp; Operation")</f>
        <v>Build &amp; Operation</v>
      </c>
      <c r="B1119" s="6" t="str">
        <f ca="1">IFERROR(__xludf.DUMMYFUNCTION("""COMPUTED_VALUE"""),"Build &amp; Operation")</f>
        <v>Build &amp; Operation</v>
      </c>
      <c r="H1119" s="6">
        <f ca="1"/>
        <v>0</v>
      </c>
      <c r="I1119" s="6">
        <f ca="1"/>
        <v>0</v>
      </c>
      <c r="J1119" s="6">
        <f ca="1"/>
        <v>0</v>
      </c>
    </row>
    <row r="1120" spans="1:10" ht="13" x14ac:dyDescent="0.15">
      <c r="A1120" s="6" t="str">
        <f ca="1">IFERROR(__xludf.DUMMYFUNCTION("""COMPUTED_VALUE"""),"NOT_ENOUGH_CONTEXT")</f>
        <v>NOT_ENOUGH_CONTEXT</v>
      </c>
      <c r="B1120" s="6" t="str">
        <f ca="1">IFERROR(__xludf.DUMMYFUNCTION("""COMPUTED_VALUE"""),"NOT_ENOUGH_CONTEXT")</f>
        <v>NOT_ENOUGH_CONTEXT</v>
      </c>
      <c r="H1120" s="6">
        <f ca="1"/>
        <v>0</v>
      </c>
      <c r="I1120" s="6">
        <f ca="1"/>
        <v>0</v>
      </c>
      <c r="J1120" s="6">
        <f ca="1"/>
        <v>0</v>
      </c>
    </row>
    <row r="1121" spans="1:10" ht="13" x14ac:dyDescent="0.15">
      <c r="A1121" s="6" t="str">
        <f ca="1">IFERROR(__xludf.DUMMYFUNCTION("""COMPUTED_VALUE"""),"NOT_ENOUGH_CONTEXT")</f>
        <v>NOT_ENOUGH_CONTEXT</v>
      </c>
      <c r="B1121" s="6" t="str">
        <f ca="1">IFERROR(__xludf.DUMMYFUNCTION("""COMPUTED_VALUE"""),"NOT_ENOUGH_CONTEXT")</f>
        <v>NOT_ENOUGH_CONTEXT</v>
      </c>
      <c r="H1121" s="6">
        <f ca="1"/>
        <v>0</v>
      </c>
      <c r="I1121" s="6">
        <f ca="1"/>
        <v>0</v>
      </c>
      <c r="J1121" s="6">
        <f ca="1"/>
        <v>0</v>
      </c>
    </row>
    <row r="1122" spans="1:10" ht="13" x14ac:dyDescent="0.15">
      <c r="A1122" s="6" t="str">
        <f ca="1">IFERROR(__xludf.DUMMYFUNCTION("""COMPUTED_VALUE"""),"NOT_ENOUGH_CONTEXT")</f>
        <v>NOT_ENOUGH_CONTEXT</v>
      </c>
      <c r="B1122" s="6" t="str">
        <f ca="1">IFERROR(__xludf.DUMMYFUNCTION("""COMPUTED_VALUE"""),"NOT_ENOUGH_CONTEXT")</f>
        <v>NOT_ENOUGH_CONTEXT</v>
      </c>
      <c r="H1122" s="6">
        <f ca="1"/>
        <v>0</v>
      </c>
      <c r="I1122" s="6">
        <f ca="1"/>
        <v>0</v>
      </c>
      <c r="J1122" s="6">
        <f ca="1"/>
        <v>0</v>
      </c>
    </row>
    <row r="1123" spans="1:10" ht="13" x14ac:dyDescent="0.15">
      <c r="A1123" s="6" t="str">
        <f ca="1">IFERROR(__xludf.DUMMYFUNCTION("""COMPUTED_VALUE"""),"Coding Pattern")</f>
        <v>Coding Pattern</v>
      </c>
      <c r="B1123" s="6" t="str">
        <f ca="1">IFERROR(__xludf.DUMMYFUNCTION("""COMPUTED_VALUE"""),"Coding Pattern")</f>
        <v>Coding Pattern</v>
      </c>
      <c r="H1123" s="6">
        <f ca="1"/>
        <v>0</v>
      </c>
      <c r="I1123" s="6">
        <f ca="1"/>
        <v>0</v>
      </c>
      <c r="J1123" s="6">
        <f ca="1"/>
        <v>0</v>
      </c>
    </row>
    <row r="1124" spans="1:10" ht="13" x14ac:dyDescent="0.15">
      <c r="A1124" s="6" t="str">
        <f ca="1">IFERROR(__xludf.DUMMYFUNCTION("""COMPUTED_VALUE"""),"Security")</f>
        <v>Security</v>
      </c>
      <c r="B1124" s="6" t="str">
        <f ca="1">IFERROR(__xludf.DUMMYFUNCTION("""COMPUTED_VALUE"""),"Security")</f>
        <v>Security</v>
      </c>
      <c r="H1124" s="6">
        <f ca="1"/>
        <v>0</v>
      </c>
      <c r="I1124" s="6">
        <f ca="1"/>
        <v>0</v>
      </c>
      <c r="J1124" s="6">
        <f ca="1"/>
        <v>0</v>
      </c>
    </row>
    <row r="1125" spans="1:10" ht="13" x14ac:dyDescent="0.15">
      <c r="A1125" s="6" t="str">
        <f ca="1">IFERROR(__xludf.DUMMYFUNCTION("""COMPUTED_VALUE"""),"Task Execution")</f>
        <v>Task Execution</v>
      </c>
      <c r="B1125" s="6" t="str">
        <f ca="1">IFERROR(__xludf.DUMMYFUNCTION("""COMPUTED_VALUE"""),"Task Execution")</f>
        <v>Task Execution</v>
      </c>
      <c r="H1125" s="6">
        <f ca="1"/>
        <v>0</v>
      </c>
      <c r="I1125" s="6">
        <f ca="1"/>
        <v>0</v>
      </c>
      <c r="J1125" s="6">
        <f ca="1"/>
        <v>0</v>
      </c>
    </row>
    <row r="1126" spans="1:10" ht="13" x14ac:dyDescent="0.15">
      <c r="A1126" s="6" t="str">
        <f ca="1">IFERROR(__xludf.DUMMYFUNCTION("""COMPUTED_VALUE"""),"NOT_ENOUGH_CONTEXT")</f>
        <v>NOT_ENOUGH_CONTEXT</v>
      </c>
      <c r="B1126" s="6" t="str">
        <f ca="1">IFERROR(__xludf.DUMMYFUNCTION("""COMPUTED_VALUE"""),"NOT_ENOUGH_CONTEXT")</f>
        <v>NOT_ENOUGH_CONTEXT</v>
      </c>
      <c r="H1126" s="6">
        <f ca="1"/>
        <v>0</v>
      </c>
      <c r="I1126" s="6">
        <f ca="1"/>
        <v>0</v>
      </c>
      <c r="J1126" s="6">
        <f ca="1"/>
        <v>0</v>
      </c>
    </row>
    <row r="1127" spans="1:10" ht="13" x14ac:dyDescent="0.15">
      <c r="A1127" s="6" t="str">
        <f ca="1">IFERROR(__xludf.DUMMYFUNCTION("""COMPUTED_VALUE"""),"NOT_ENOUGH_CONTEXT")</f>
        <v>NOT_ENOUGH_CONTEXT</v>
      </c>
      <c r="B1127" s="6" t="str">
        <f ca="1">IFERROR(__xludf.DUMMYFUNCTION("""COMPUTED_VALUE"""),"NOT_ENOUGH_CONTEXT")</f>
        <v>NOT_ENOUGH_CONTEXT</v>
      </c>
      <c r="H1127" s="6">
        <f ca="1"/>
        <v>0</v>
      </c>
      <c r="I1127" s="6">
        <f ca="1"/>
        <v>0</v>
      </c>
      <c r="J1127" s="6">
        <f ca="1"/>
        <v>0</v>
      </c>
    </row>
    <row r="1128" spans="1:10" ht="13" x14ac:dyDescent="0.15">
      <c r="A1128" s="6" t="str">
        <f ca="1">IFERROR(__xludf.DUMMYFUNCTION("""COMPUTED_VALUE"""),"Build &amp; Operation")</f>
        <v>Build &amp; Operation</v>
      </c>
      <c r="B1128" s="6" t="str">
        <f ca="1">IFERROR(__xludf.DUMMYFUNCTION("""COMPUTED_VALUE"""),"Build &amp; Operation")</f>
        <v>Build &amp; Operation</v>
      </c>
      <c r="H1128" s="6">
        <f ca="1"/>
        <v>0</v>
      </c>
      <c r="I1128" s="6">
        <f ca="1"/>
        <v>0</v>
      </c>
      <c r="J1128" s="6">
        <f ca="1"/>
        <v>0</v>
      </c>
    </row>
    <row r="1129" spans="1:10" ht="13" x14ac:dyDescent="0.15">
      <c r="A1129" s="6" t="str">
        <f ca="1">IFERROR(__xludf.DUMMYFUNCTION("""COMPUTED_VALUE"""),"Task Execution")</f>
        <v>Task Execution</v>
      </c>
      <c r="B1129" s="6" t="str">
        <f ca="1">IFERROR(__xludf.DUMMYFUNCTION("""COMPUTED_VALUE"""),"Task Execution")</f>
        <v>Task Execution</v>
      </c>
      <c r="H1129" s="6">
        <f ca="1"/>
        <v>0</v>
      </c>
      <c r="I1129" s="6">
        <f ca="1"/>
        <v>0</v>
      </c>
      <c r="J1129" s="6">
        <f ca="1"/>
        <v>0</v>
      </c>
    </row>
    <row r="1130" spans="1:10" ht="13" x14ac:dyDescent="0.15">
      <c r="A1130" s="6" t="str">
        <f ca="1">IFERROR(__xludf.DUMMYFUNCTION("""COMPUTED_VALUE"""),"Build &amp; Operation")</f>
        <v>Build &amp; Operation</v>
      </c>
      <c r="B1130" s="6" t="str">
        <f ca="1">IFERROR(__xludf.DUMMYFUNCTION("""COMPUTED_VALUE"""),"Build &amp; Operation")</f>
        <v>Build &amp; Operation</v>
      </c>
      <c r="H1130" s="6">
        <f ca="1"/>
        <v>0</v>
      </c>
      <c r="I1130" s="6">
        <f ca="1"/>
        <v>0</v>
      </c>
      <c r="J1130" s="6">
        <f ca="1"/>
        <v>0</v>
      </c>
    </row>
    <row r="1131" spans="1:10" ht="13" x14ac:dyDescent="0.15">
      <c r="A1131" s="6" t="str">
        <f ca="1">IFERROR(__xludf.DUMMYFUNCTION("""COMPUTED_VALUE"""),"Build &amp; Operation")</f>
        <v>Build &amp; Operation</v>
      </c>
      <c r="B1131" s="6" t="str">
        <f ca="1">IFERROR(__xludf.DUMMYFUNCTION("""COMPUTED_VALUE"""),"Build &amp; Operation")</f>
        <v>Build &amp; Operation</v>
      </c>
      <c r="H1131" s="6">
        <f ca="1"/>
        <v>0</v>
      </c>
      <c r="I1131" s="6">
        <f ca="1"/>
        <v>0</v>
      </c>
      <c r="J1131" s="6">
        <f ca="1"/>
        <v>0</v>
      </c>
    </row>
    <row r="1132" spans="1:10" ht="13" x14ac:dyDescent="0.15">
      <c r="A1132" s="6" t="str">
        <f ca="1">IFERROR(__xludf.DUMMYFUNCTION("""COMPUTED_VALUE"""),"Build &amp; Operation")</f>
        <v>Build &amp; Operation</v>
      </c>
      <c r="B1132" s="6" t="str">
        <f ca="1">IFERROR(__xludf.DUMMYFUNCTION("""COMPUTED_VALUE"""),"Build &amp; Operation")</f>
        <v>Build &amp; Operation</v>
      </c>
      <c r="H1132" s="6">
        <f ca="1"/>
        <v>0</v>
      </c>
      <c r="I1132" s="6">
        <f ca="1"/>
        <v>0</v>
      </c>
      <c r="J1132" s="6">
        <f ca="1"/>
        <v>0</v>
      </c>
    </row>
    <row r="1133" spans="1:10" ht="13" x14ac:dyDescent="0.15">
      <c r="A1133" s="6" t="str">
        <f ca="1">IFERROR(__xludf.DUMMYFUNCTION("""COMPUTED_VALUE"""),"Task Execution")</f>
        <v>Task Execution</v>
      </c>
      <c r="B1133" s="6" t="str">
        <f ca="1">IFERROR(__xludf.DUMMYFUNCTION("""COMPUTED_VALUE"""),"Task Execution")</f>
        <v>Task Execution</v>
      </c>
      <c r="H1133" s="6">
        <f ca="1"/>
        <v>0</v>
      </c>
      <c r="I1133" s="6">
        <f ca="1"/>
        <v>0</v>
      </c>
      <c r="J1133" s="6">
        <f ca="1"/>
        <v>0</v>
      </c>
    </row>
    <row r="1134" spans="1:10" ht="13" x14ac:dyDescent="0.15">
      <c r="A1134" s="6" t="str">
        <f ca="1">IFERROR(__xludf.DUMMYFUNCTION("""COMPUTED_VALUE"""),"Coding Pattern")</f>
        <v>Coding Pattern</v>
      </c>
      <c r="B1134" s="6" t="str">
        <f ca="1">IFERROR(__xludf.DUMMYFUNCTION("""COMPUTED_VALUE"""),"Coding Pattern")</f>
        <v>Coding Pattern</v>
      </c>
      <c r="H1134" s="6">
        <f ca="1"/>
        <v>0</v>
      </c>
      <c r="I1134" s="6">
        <f ca="1"/>
        <v>0</v>
      </c>
      <c r="J1134" s="6">
        <f ca="1"/>
        <v>0</v>
      </c>
    </row>
    <row r="1135" spans="1:10" ht="13" x14ac:dyDescent="0.15">
      <c r="A1135" s="6" t="str">
        <f ca="1">IFERROR(__xludf.DUMMYFUNCTION("""COMPUTED_VALUE"""),"Security")</f>
        <v>Security</v>
      </c>
      <c r="B1135" s="6" t="str">
        <f ca="1">IFERROR(__xludf.DUMMYFUNCTION("""COMPUTED_VALUE"""),"Build &amp; Operation")</f>
        <v>Build &amp; Operation</v>
      </c>
      <c r="H1135" s="6">
        <f ca="1"/>
        <v>0</v>
      </c>
      <c r="I1135" s="6">
        <f ca="1"/>
        <v>0</v>
      </c>
      <c r="J1135" s="6">
        <f ca="1"/>
        <v>0</v>
      </c>
    </row>
    <row r="1136" spans="1:10" ht="13" x14ac:dyDescent="0.15">
      <c r="A1136" s="6" t="str">
        <f ca="1">IFERROR(__xludf.DUMMYFUNCTION("""COMPUTED_VALUE"""),"Task Execution")</f>
        <v>Task Execution</v>
      </c>
      <c r="B1136" s="6" t="str">
        <f ca="1">IFERROR(__xludf.DUMMYFUNCTION("""COMPUTED_VALUE"""),"Task Execution")</f>
        <v>Task Execution</v>
      </c>
      <c r="H1136" s="6">
        <f ca="1"/>
        <v>0</v>
      </c>
      <c r="I1136" s="6">
        <f ca="1"/>
        <v>0</v>
      </c>
      <c r="J1136" s="6">
        <f ca="1"/>
        <v>0</v>
      </c>
    </row>
    <row r="1137" spans="1:10" ht="13" x14ac:dyDescent="0.15">
      <c r="A1137" s="6" t="str">
        <f ca="1">IFERROR(__xludf.DUMMYFUNCTION("""COMPUTED_VALUE"""),"Task Execution")</f>
        <v>Task Execution</v>
      </c>
      <c r="B1137" s="6" t="str">
        <f ca="1">IFERROR(__xludf.DUMMYFUNCTION("""COMPUTED_VALUE"""),"Task Execution")</f>
        <v>Task Execution</v>
      </c>
      <c r="H1137" s="6">
        <f ca="1"/>
        <v>0</v>
      </c>
      <c r="I1137" s="6">
        <f ca="1"/>
        <v>0</v>
      </c>
      <c r="J1137" s="6">
        <f ca="1"/>
        <v>0</v>
      </c>
    </row>
    <row r="1138" spans="1:10" ht="13" x14ac:dyDescent="0.15">
      <c r="A1138" s="6" t="str">
        <f ca="1">IFERROR(__xludf.DUMMYFUNCTION("""COMPUTED_VALUE"""),"Documentation")</f>
        <v>Documentation</v>
      </c>
      <c r="B1138" s="6" t="str">
        <f ca="1">IFERROR(__xludf.DUMMYFUNCTION("""COMPUTED_VALUE"""),"Documentation")</f>
        <v>Documentation</v>
      </c>
      <c r="H1138" s="6">
        <f ca="1"/>
        <v>0</v>
      </c>
      <c r="I1138" s="6">
        <f ca="1"/>
        <v>0</v>
      </c>
      <c r="J1138" s="6">
        <f ca="1"/>
        <v>0</v>
      </c>
    </row>
    <row r="1139" spans="1:10" ht="13" x14ac:dyDescent="0.15">
      <c r="A1139" s="6" t="str">
        <f ca="1">IFERROR(__xludf.DUMMYFUNCTION("""COMPUTED_VALUE"""),"Build &amp; Operation")</f>
        <v>Build &amp; Operation</v>
      </c>
      <c r="B1139" s="6" t="str">
        <f ca="1">IFERROR(__xludf.DUMMYFUNCTION("""COMPUTED_VALUE"""),"Task Execution")</f>
        <v>Task Execution</v>
      </c>
      <c r="H1139" s="6">
        <f ca="1"/>
        <v>0</v>
      </c>
      <c r="I1139" s="6">
        <f ca="1"/>
        <v>0</v>
      </c>
      <c r="J1139" s="6">
        <f ca="1"/>
        <v>0</v>
      </c>
    </row>
    <row r="1140" spans="1:10" ht="13" x14ac:dyDescent="0.15">
      <c r="A1140" s="6" t="str">
        <f ca="1">IFERROR(__xludf.DUMMYFUNCTION("""COMPUTED_VALUE"""),"Build &amp; Operation")</f>
        <v>Build &amp; Operation</v>
      </c>
      <c r="B1140" s="6" t="str">
        <f ca="1">IFERROR(__xludf.DUMMYFUNCTION("""COMPUTED_VALUE"""),"Task Execution")</f>
        <v>Task Execution</v>
      </c>
      <c r="H1140" s="6">
        <f ca="1"/>
        <v>0</v>
      </c>
      <c r="I1140" s="6">
        <f ca="1"/>
        <v>0</v>
      </c>
      <c r="J1140" s="6">
        <f ca="1"/>
        <v>0</v>
      </c>
    </row>
    <row r="1141" spans="1:10" ht="13" x14ac:dyDescent="0.15">
      <c r="A1141" s="6" t="str">
        <f ca="1">IFERROR(__xludf.DUMMYFUNCTION("""COMPUTED_VALUE"""),"Commit&amp;PR rule")</f>
        <v>Commit&amp;PR rule</v>
      </c>
      <c r="B1141" s="6" t="str">
        <f ca="1">IFERROR(__xludf.DUMMYFUNCTION("""COMPUTED_VALUE"""),"Commit&amp;PR rule")</f>
        <v>Commit&amp;PR rule</v>
      </c>
      <c r="H1141" s="6">
        <f ca="1"/>
        <v>0</v>
      </c>
      <c r="I1141" s="6">
        <f ca="1"/>
        <v>0</v>
      </c>
      <c r="J1141" s="6">
        <f ca="1"/>
        <v>0</v>
      </c>
    </row>
    <row r="1142" spans="1:10" ht="13" x14ac:dyDescent="0.15">
      <c r="A1142" s="6" t="str">
        <f ca="1">IFERROR(__xludf.DUMMYFUNCTION("""COMPUTED_VALUE"""),"NOT_ENOUGH_CONTEXT")</f>
        <v>NOT_ENOUGH_CONTEXT</v>
      </c>
      <c r="B1142" s="6" t="str">
        <f ca="1">IFERROR(__xludf.DUMMYFUNCTION("""COMPUTED_VALUE"""),"NOT_ENOUGH_CONTEXT")</f>
        <v>NOT_ENOUGH_CONTEXT</v>
      </c>
      <c r="H1142" s="6">
        <f ca="1"/>
        <v>0</v>
      </c>
      <c r="I1142" s="6">
        <f ca="1"/>
        <v>0</v>
      </c>
      <c r="J1142" s="6">
        <f ca="1"/>
        <v>0</v>
      </c>
    </row>
    <row r="1143" spans="1:10" ht="13" x14ac:dyDescent="0.15">
      <c r="A1143" s="6" t="str">
        <f ca="1">IFERROR(__xludf.DUMMYFUNCTION("""COMPUTED_VALUE"""),"NOT_ENOUGH_CONTEXT")</f>
        <v>NOT_ENOUGH_CONTEXT</v>
      </c>
      <c r="B1143" s="6" t="str">
        <f ca="1">IFERROR(__xludf.DUMMYFUNCTION("""COMPUTED_VALUE"""),"NOT_ENOUGH_CONTEXT")</f>
        <v>NOT_ENOUGH_CONTEXT</v>
      </c>
      <c r="H1143" s="6">
        <f ca="1"/>
        <v>0</v>
      </c>
      <c r="I1143" s="6">
        <f ca="1"/>
        <v>0</v>
      </c>
      <c r="J1143" s="6">
        <f ca="1"/>
        <v>0</v>
      </c>
    </row>
    <row r="1144" spans="1:10" ht="13" x14ac:dyDescent="0.15">
      <c r="A1144" s="6" t="str">
        <f ca="1">IFERROR(__xludf.DUMMYFUNCTION("""COMPUTED_VALUE"""),"Build &amp; Operation")</f>
        <v>Build &amp; Operation</v>
      </c>
      <c r="B1144" s="6" t="str">
        <f ca="1">IFERROR(__xludf.DUMMYFUNCTION("""COMPUTED_VALUE"""),"Build &amp; Operation")</f>
        <v>Build &amp; Operation</v>
      </c>
      <c r="H1144" s="6">
        <f ca="1"/>
        <v>0</v>
      </c>
      <c r="I1144" s="6">
        <f ca="1"/>
        <v>0</v>
      </c>
      <c r="J1144" s="6">
        <f ca="1"/>
        <v>0</v>
      </c>
    </row>
    <row r="1145" spans="1:10" ht="13" x14ac:dyDescent="0.15">
      <c r="A1145" s="6" t="str">
        <f ca="1">IFERROR(__xludf.DUMMYFUNCTION("""COMPUTED_VALUE"""),"NOT_ENOUGH_CONTEXT")</f>
        <v>NOT_ENOUGH_CONTEXT</v>
      </c>
      <c r="B1145" s="6" t="str">
        <f ca="1">IFERROR(__xludf.DUMMYFUNCTION("""COMPUTED_VALUE"""),"NOT_ENOUGH_CONTEXT")</f>
        <v>NOT_ENOUGH_CONTEXT</v>
      </c>
      <c r="H1145" s="6">
        <f ca="1"/>
        <v>0</v>
      </c>
      <c r="I1145" s="6">
        <f ca="1"/>
        <v>0</v>
      </c>
      <c r="J1145" s="6">
        <f ca="1"/>
        <v>0</v>
      </c>
    </row>
    <row r="1146" spans="1:10" ht="13" x14ac:dyDescent="0.15">
      <c r="A1146" s="6" t="str">
        <f ca="1">IFERROR(__xludf.DUMMYFUNCTION("""COMPUTED_VALUE"""),"NOT_ENOUGH_CONTEXT")</f>
        <v>NOT_ENOUGH_CONTEXT</v>
      </c>
      <c r="B1146" s="6" t="str">
        <f ca="1">IFERROR(__xludf.DUMMYFUNCTION("""COMPUTED_VALUE"""),"NOT_ENOUGH_CONTEXT")</f>
        <v>NOT_ENOUGH_CONTEXT</v>
      </c>
      <c r="H1146" s="6">
        <f ca="1"/>
        <v>0</v>
      </c>
      <c r="I1146" s="6">
        <f ca="1"/>
        <v>0</v>
      </c>
      <c r="J1146" s="6">
        <f ca="1"/>
        <v>0</v>
      </c>
    </row>
    <row r="1147" spans="1:10" ht="13" x14ac:dyDescent="0.15">
      <c r="A1147" s="6" t="str">
        <f ca="1">IFERROR(__xludf.DUMMYFUNCTION("""COMPUTED_VALUE"""),"Build &amp; Operation")</f>
        <v>Build &amp; Operation</v>
      </c>
      <c r="B1147" s="6" t="str">
        <f ca="1">IFERROR(__xludf.DUMMYFUNCTION("""COMPUTED_VALUE"""),"Build &amp; Operation")</f>
        <v>Build &amp; Operation</v>
      </c>
      <c r="H1147" s="6">
        <f ca="1"/>
        <v>0</v>
      </c>
      <c r="I1147" s="6">
        <f ca="1"/>
        <v>0</v>
      </c>
      <c r="J1147" s="6">
        <f ca="1"/>
        <v>0</v>
      </c>
    </row>
    <row r="1148" spans="1:10" ht="13" x14ac:dyDescent="0.15">
      <c r="A1148" s="6" t="str">
        <f ca="1">IFERROR(__xludf.DUMMYFUNCTION("""COMPUTED_VALUE"""),"Coding Pattern")</f>
        <v>Coding Pattern</v>
      </c>
      <c r="B1148" s="6" t="str">
        <f ca="1">IFERROR(__xludf.DUMMYFUNCTION("""COMPUTED_VALUE"""),"Coding Pattern")</f>
        <v>Coding Pattern</v>
      </c>
      <c r="H1148" s="6">
        <f ca="1"/>
        <v>0</v>
      </c>
      <c r="I1148" s="6">
        <f ca="1"/>
        <v>0</v>
      </c>
      <c r="J1148" s="6">
        <f ca="1"/>
        <v>0</v>
      </c>
    </row>
    <row r="1149" spans="1:10" ht="13" x14ac:dyDescent="0.15">
      <c r="A1149" s="6" t="str">
        <f ca="1">IFERROR(__xludf.DUMMYFUNCTION("""COMPUTED_VALUE"""),"Coding Pattern")</f>
        <v>Coding Pattern</v>
      </c>
      <c r="B1149" s="6" t="str">
        <f ca="1">IFERROR(__xludf.DUMMYFUNCTION("""COMPUTED_VALUE"""),"Coding Pattern")</f>
        <v>Coding Pattern</v>
      </c>
      <c r="H1149" s="6">
        <f ca="1"/>
        <v>0</v>
      </c>
      <c r="I1149" s="6">
        <f ca="1"/>
        <v>0</v>
      </c>
      <c r="J1149" s="6">
        <f ca="1"/>
        <v>0</v>
      </c>
    </row>
    <row r="1150" spans="1:10" ht="13" x14ac:dyDescent="0.15">
      <c r="A1150" s="6" t="str">
        <f ca="1">IFERROR(__xludf.DUMMYFUNCTION("""COMPUTED_VALUE"""),"Coding Style")</f>
        <v>Coding Style</v>
      </c>
      <c r="B1150" s="6" t="str">
        <f ca="1">IFERROR(__xludf.DUMMYFUNCTION("""COMPUTED_VALUE"""),"Coding Pattern")</f>
        <v>Coding Pattern</v>
      </c>
      <c r="H1150" s="6">
        <f ca="1"/>
        <v>0</v>
      </c>
      <c r="I1150" s="6">
        <f ca="1"/>
        <v>0</v>
      </c>
      <c r="J1150" s="6">
        <f ca="1"/>
        <v>0</v>
      </c>
    </row>
    <row r="1151" spans="1:10" ht="13" x14ac:dyDescent="0.15">
      <c r="A1151" s="6" t="str">
        <f ca="1">IFERROR(__xludf.DUMMYFUNCTION("""COMPUTED_VALUE"""),"Coding Pattern")</f>
        <v>Coding Pattern</v>
      </c>
      <c r="B1151" s="6" t="str">
        <f ca="1">IFERROR(__xludf.DUMMYFUNCTION("""COMPUTED_VALUE"""),"Coding Pattern")</f>
        <v>Coding Pattern</v>
      </c>
      <c r="H1151" s="6">
        <f ca="1"/>
        <v>0</v>
      </c>
      <c r="I1151" s="6">
        <f ca="1"/>
        <v>0</v>
      </c>
      <c r="J1151" s="6">
        <f ca="1"/>
        <v>0</v>
      </c>
    </row>
    <row r="1152" spans="1:10" ht="13" x14ac:dyDescent="0.15">
      <c r="A1152" s="6" t="str">
        <f ca="1">IFERROR(__xludf.DUMMYFUNCTION("""COMPUTED_VALUE"""),"Build &amp; Operation")</f>
        <v>Build &amp; Operation</v>
      </c>
      <c r="B1152" s="6" t="str">
        <f ca="1">IFERROR(__xludf.DUMMYFUNCTION("""COMPUTED_VALUE"""),"Task Execution")</f>
        <v>Task Execution</v>
      </c>
      <c r="H1152" s="6">
        <f ca="1"/>
        <v>0</v>
      </c>
      <c r="I1152" s="6">
        <f ca="1"/>
        <v>0</v>
      </c>
      <c r="J1152" s="6">
        <f ca="1"/>
        <v>0</v>
      </c>
    </row>
    <row r="1153" spans="1:10" ht="13" x14ac:dyDescent="0.15">
      <c r="A1153" s="6" t="str">
        <f ca="1">IFERROR(__xludf.DUMMYFUNCTION("""COMPUTED_VALUE"""),"Task Execution")</f>
        <v>Task Execution</v>
      </c>
      <c r="B1153" s="6" t="str">
        <f ca="1">IFERROR(__xludf.DUMMYFUNCTION("""COMPUTED_VALUE"""),"Task Execution")</f>
        <v>Task Execution</v>
      </c>
      <c r="H1153" s="6">
        <f ca="1"/>
        <v>0</v>
      </c>
      <c r="I1153" s="6">
        <f ca="1"/>
        <v>0</v>
      </c>
      <c r="J1153" s="6">
        <f ca="1"/>
        <v>0</v>
      </c>
    </row>
    <row r="1154" spans="1:10" ht="13" x14ac:dyDescent="0.15">
      <c r="A1154" s="6" t="str">
        <f ca="1">IFERROR(__xludf.DUMMYFUNCTION("""COMPUTED_VALUE"""),"Documentation")</f>
        <v>Documentation</v>
      </c>
      <c r="B1154" s="6" t="str">
        <f ca="1">IFERROR(__xludf.DUMMYFUNCTION("""COMPUTED_VALUE"""),"Documentation")</f>
        <v>Documentation</v>
      </c>
      <c r="H1154" s="6">
        <f ca="1"/>
        <v>0</v>
      </c>
      <c r="I1154" s="6">
        <f ca="1"/>
        <v>0</v>
      </c>
      <c r="J1154" s="6">
        <f ca="1"/>
        <v>0</v>
      </c>
    </row>
    <row r="1155" spans="1:10" ht="13" x14ac:dyDescent="0.15">
      <c r="A1155" s="6" t="str">
        <f ca="1">IFERROR(__xludf.DUMMYFUNCTION("""COMPUTED_VALUE"""),"Commit&amp;PR rule")</f>
        <v>Commit&amp;PR rule</v>
      </c>
      <c r="B1155" s="6" t="str">
        <f ca="1">IFERROR(__xludf.DUMMYFUNCTION("""COMPUTED_VALUE"""),"Commit&amp;PR rule")</f>
        <v>Commit&amp;PR rule</v>
      </c>
      <c r="H1155" s="6">
        <f ca="1"/>
        <v>0</v>
      </c>
      <c r="I1155" s="6">
        <f ca="1"/>
        <v>0</v>
      </c>
      <c r="J1155" s="6">
        <f ca="1"/>
        <v>0</v>
      </c>
    </row>
    <row r="1156" spans="1:10" ht="13" x14ac:dyDescent="0.15">
      <c r="A1156" s="6" t="str">
        <f ca="1">IFERROR(__xludf.DUMMYFUNCTION("""COMPUTED_VALUE"""),"Task Execution")</f>
        <v>Task Execution</v>
      </c>
      <c r="B1156" s="6" t="str">
        <f ca="1">IFERROR(__xludf.DUMMYFUNCTION("""COMPUTED_VALUE"""),"Task Execution")</f>
        <v>Task Execution</v>
      </c>
      <c r="H1156" s="6">
        <f ca="1"/>
        <v>0</v>
      </c>
      <c r="I1156" s="6">
        <f ca="1"/>
        <v>0</v>
      </c>
      <c r="J1156" s="6">
        <f ca="1"/>
        <v>0</v>
      </c>
    </row>
    <row r="1157" spans="1:10" ht="13" x14ac:dyDescent="0.15">
      <c r="A1157" s="6" t="str">
        <f ca="1">IFERROR(__xludf.DUMMYFUNCTION("""COMPUTED_VALUE"""),"Build &amp; Operation")</f>
        <v>Build &amp; Operation</v>
      </c>
      <c r="B1157" s="6" t="str">
        <f ca="1">IFERROR(__xludf.DUMMYFUNCTION("""COMPUTED_VALUE"""),"Task Execution")</f>
        <v>Task Execution</v>
      </c>
      <c r="H1157" s="6">
        <f ca="1"/>
        <v>0</v>
      </c>
      <c r="I1157" s="6">
        <f ca="1"/>
        <v>0</v>
      </c>
      <c r="J1157" s="6">
        <f ca="1"/>
        <v>0</v>
      </c>
    </row>
    <row r="1158" spans="1:10" ht="13" x14ac:dyDescent="0.15">
      <c r="A1158" s="6" t="str">
        <f ca="1">IFERROR(__xludf.DUMMYFUNCTION("""COMPUTED_VALUE"""),"Build &amp; Operation")</f>
        <v>Build &amp; Operation</v>
      </c>
      <c r="B1158" s="6" t="str">
        <f ca="1">IFERROR(__xludf.DUMMYFUNCTION("""COMPUTED_VALUE"""),"Task Execution")</f>
        <v>Task Execution</v>
      </c>
      <c r="H1158" s="6">
        <f ca="1"/>
        <v>0</v>
      </c>
      <c r="I1158" s="6">
        <f ca="1"/>
        <v>0</v>
      </c>
      <c r="J1158" s="6">
        <f ca="1"/>
        <v>0</v>
      </c>
    </row>
    <row r="1159" spans="1:10" ht="13" x14ac:dyDescent="0.15">
      <c r="A1159" s="6" t="str">
        <f ca="1">IFERROR(__xludf.DUMMYFUNCTION("""COMPUTED_VALUE"""),"Build &amp; Operation")</f>
        <v>Build &amp; Operation</v>
      </c>
      <c r="B1159" s="6" t="str">
        <f ca="1">IFERROR(__xludf.DUMMYFUNCTION("""COMPUTED_VALUE"""),"Task Execution")</f>
        <v>Task Execution</v>
      </c>
      <c r="H1159" s="6">
        <f ca="1"/>
        <v>0</v>
      </c>
      <c r="I1159" s="6">
        <f ca="1"/>
        <v>0</v>
      </c>
      <c r="J1159" s="6">
        <f ca="1"/>
        <v>0</v>
      </c>
    </row>
    <row r="1160" spans="1:10" ht="13" x14ac:dyDescent="0.15">
      <c r="A1160" s="6" t="str">
        <f ca="1">IFERROR(__xludf.DUMMYFUNCTION("""COMPUTED_VALUE"""),"Documentation")</f>
        <v>Documentation</v>
      </c>
      <c r="B1160" s="6" t="str">
        <f ca="1">IFERROR(__xludf.DUMMYFUNCTION("""COMPUTED_VALUE"""),"Documentation")</f>
        <v>Documentation</v>
      </c>
      <c r="H1160" s="6">
        <f ca="1"/>
        <v>0</v>
      </c>
      <c r="I1160" s="6">
        <f ca="1"/>
        <v>0</v>
      </c>
      <c r="J1160" s="6">
        <f ca="1"/>
        <v>0</v>
      </c>
    </row>
    <row r="1161" spans="1:10" ht="13" x14ac:dyDescent="0.15">
      <c r="A1161" s="6" t="str">
        <f ca="1">IFERROR(__xludf.DUMMYFUNCTION("""COMPUTED_VALUE"""),"Coding Pattern")</f>
        <v>Coding Pattern</v>
      </c>
      <c r="B1161" s="6" t="str">
        <f ca="1">IFERROR(__xludf.DUMMYFUNCTION("""COMPUTED_VALUE"""),"Coding Pattern")</f>
        <v>Coding Pattern</v>
      </c>
      <c r="H1161" s="6">
        <f ca="1"/>
        <v>0</v>
      </c>
      <c r="I1161" s="6">
        <f ca="1"/>
        <v>0</v>
      </c>
      <c r="J1161" s="6">
        <f ca="1"/>
        <v>0</v>
      </c>
    </row>
    <row r="1162" spans="1:10" ht="13" x14ac:dyDescent="0.15">
      <c r="A1162" s="6" t="str">
        <f ca="1">IFERROR(__xludf.DUMMYFUNCTION("""COMPUTED_VALUE"""),"Build &amp; Operation")</f>
        <v>Build &amp; Operation</v>
      </c>
      <c r="B1162" s="6" t="str">
        <f ca="1">IFERROR(__xludf.DUMMYFUNCTION("""COMPUTED_VALUE"""),"Build &amp; Operation")</f>
        <v>Build &amp; Operation</v>
      </c>
      <c r="H1162" s="6">
        <f ca="1"/>
        <v>0</v>
      </c>
      <c r="I1162" s="6">
        <f ca="1"/>
        <v>0</v>
      </c>
      <c r="J1162" s="6">
        <f ca="1"/>
        <v>0</v>
      </c>
    </row>
    <row r="1163" spans="1:10" ht="13" x14ac:dyDescent="0.15">
      <c r="A1163" s="6" t="str">
        <f ca="1">IFERROR(__xludf.DUMMYFUNCTION("""COMPUTED_VALUE"""),"Testing")</f>
        <v>Testing</v>
      </c>
      <c r="B1163" s="6" t="str">
        <f ca="1">IFERROR(__xludf.DUMMYFUNCTION("""COMPUTED_VALUE"""),"Testing")</f>
        <v>Testing</v>
      </c>
      <c r="H1163" s="6">
        <f ca="1"/>
        <v>0</v>
      </c>
      <c r="I1163" s="6">
        <f ca="1"/>
        <v>0</v>
      </c>
      <c r="J1163" s="6">
        <f ca="1"/>
        <v>0</v>
      </c>
    </row>
    <row r="1164" spans="1:10" ht="13" x14ac:dyDescent="0.15">
      <c r="A1164" s="6" t="str">
        <f ca="1">IFERROR(__xludf.DUMMYFUNCTION("""COMPUTED_VALUE"""),"Build &amp; Operation")</f>
        <v>Build &amp; Operation</v>
      </c>
      <c r="B1164" s="6" t="str">
        <f ca="1">IFERROR(__xludf.DUMMYFUNCTION("""COMPUTED_VALUE"""),"Build &amp; Operation")</f>
        <v>Build &amp; Operation</v>
      </c>
      <c r="H1164" s="6">
        <f ca="1"/>
        <v>0</v>
      </c>
      <c r="I1164" s="6">
        <f ca="1"/>
        <v>0</v>
      </c>
      <c r="J1164" s="6">
        <f ca="1"/>
        <v>0</v>
      </c>
    </row>
    <row r="1165" spans="1:10" ht="13" x14ac:dyDescent="0.15">
      <c r="A1165" s="6" t="str">
        <f ca="1">IFERROR(__xludf.DUMMYFUNCTION("""COMPUTED_VALUE"""),"Coding Pattern")</f>
        <v>Coding Pattern</v>
      </c>
      <c r="B1165" s="6" t="str">
        <f ca="1">IFERROR(__xludf.DUMMYFUNCTION("""COMPUTED_VALUE"""),"Coding Pattern")</f>
        <v>Coding Pattern</v>
      </c>
      <c r="H1165" s="6">
        <f ca="1"/>
        <v>0</v>
      </c>
      <c r="I1165" s="6">
        <f ca="1"/>
        <v>0</v>
      </c>
      <c r="J1165" s="6">
        <f ca="1"/>
        <v>0</v>
      </c>
    </row>
    <row r="1166" spans="1:10" ht="13" x14ac:dyDescent="0.15">
      <c r="A1166" s="6" t="str">
        <f ca="1">IFERROR(__xludf.DUMMYFUNCTION("""COMPUTED_VALUE"""),"Security")</f>
        <v>Security</v>
      </c>
      <c r="B1166" s="6" t="str">
        <f ca="1">IFERROR(__xludf.DUMMYFUNCTION("""COMPUTED_VALUE"""),"Security")</f>
        <v>Security</v>
      </c>
      <c r="H1166" s="6">
        <f ca="1"/>
        <v>0</v>
      </c>
      <c r="I1166" s="6">
        <f ca="1"/>
        <v>0</v>
      </c>
      <c r="J1166" s="6">
        <f ca="1"/>
        <v>0</v>
      </c>
    </row>
    <row r="1167" spans="1:10" ht="13" x14ac:dyDescent="0.15">
      <c r="A1167" s="6" t="str">
        <f ca="1">IFERROR(__xludf.DUMMYFUNCTION("""COMPUTED_VALUE"""),"Security")</f>
        <v>Security</v>
      </c>
      <c r="B1167" s="6" t="str">
        <f ca="1">IFERROR(__xludf.DUMMYFUNCTION("""COMPUTED_VALUE"""),"Security")</f>
        <v>Security</v>
      </c>
      <c r="H1167" s="6">
        <f ca="1"/>
        <v>0</v>
      </c>
      <c r="I1167" s="6">
        <f ca="1"/>
        <v>0</v>
      </c>
      <c r="J1167" s="6">
        <f ca="1"/>
        <v>0</v>
      </c>
    </row>
    <row r="1168" spans="1:10" ht="13" x14ac:dyDescent="0.15">
      <c r="A1168" s="6" t="str">
        <f ca="1">IFERROR(__xludf.DUMMYFUNCTION("""COMPUTED_VALUE"""),"Security")</f>
        <v>Security</v>
      </c>
      <c r="B1168" s="6" t="str">
        <f ca="1">IFERROR(__xludf.DUMMYFUNCTION("""COMPUTED_VALUE"""),"Security")</f>
        <v>Security</v>
      </c>
      <c r="H1168" s="6">
        <f ca="1"/>
        <v>0</v>
      </c>
      <c r="I1168" s="6">
        <f ca="1"/>
        <v>0</v>
      </c>
      <c r="J1168" s="6">
        <f ca="1"/>
        <v>0</v>
      </c>
    </row>
    <row r="1169" spans="1:10" ht="13" x14ac:dyDescent="0.15">
      <c r="A1169" s="6" t="str">
        <f ca="1">IFERROR(__xludf.DUMMYFUNCTION("""COMPUTED_VALUE"""),"Security")</f>
        <v>Security</v>
      </c>
      <c r="B1169" s="6" t="str">
        <f ca="1">IFERROR(__xludf.DUMMYFUNCTION("""COMPUTED_VALUE"""),"Security")</f>
        <v>Security</v>
      </c>
      <c r="H1169" s="6">
        <f ca="1"/>
        <v>0</v>
      </c>
      <c r="I1169" s="6">
        <f ca="1"/>
        <v>0</v>
      </c>
      <c r="J1169" s="6">
        <f ca="1"/>
        <v>0</v>
      </c>
    </row>
    <row r="1170" spans="1:10" ht="13" x14ac:dyDescent="0.15">
      <c r="A1170" s="6" t="str">
        <f ca="1">IFERROR(__xludf.DUMMYFUNCTION("""COMPUTED_VALUE"""),"Coding Pattern")</f>
        <v>Coding Pattern</v>
      </c>
      <c r="B1170" s="6" t="str">
        <f ca="1">IFERROR(__xludf.DUMMYFUNCTION("""COMPUTED_VALUE"""),"Coding Pattern")</f>
        <v>Coding Pattern</v>
      </c>
      <c r="H1170" s="6">
        <f ca="1"/>
        <v>0</v>
      </c>
      <c r="I1170" s="6">
        <f ca="1"/>
        <v>0</v>
      </c>
      <c r="J1170" s="6">
        <f ca="1"/>
        <v>0</v>
      </c>
    </row>
    <row r="1171" spans="1:10" ht="13" x14ac:dyDescent="0.15">
      <c r="A1171" s="6" t="str">
        <f ca="1">IFERROR(__xludf.DUMMYFUNCTION("""COMPUTED_VALUE"""),"Coding Pattern")</f>
        <v>Coding Pattern</v>
      </c>
      <c r="B1171" s="6" t="str">
        <f ca="1">IFERROR(__xludf.DUMMYFUNCTION("""COMPUTED_VALUE"""),"Coding Pattern")</f>
        <v>Coding Pattern</v>
      </c>
      <c r="H1171" s="6">
        <f ca="1"/>
        <v>0</v>
      </c>
      <c r="I1171" s="6">
        <f ca="1"/>
        <v>0</v>
      </c>
      <c r="J1171" s="6">
        <f ca="1"/>
        <v>0</v>
      </c>
    </row>
    <row r="1172" spans="1:10" ht="13" x14ac:dyDescent="0.15">
      <c r="A1172" s="6" t="str">
        <f ca="1">IFERROR(__xludf.DUMMYFUNCTION("""COMPUTED_VALUE"""),"Coding Pattern")</f>
        <v>Coding Pattern</v>
      </c>
      <c r="B1172" s="6" t="str">
        <f ca="1">IFERROR(__xludf.DUMMYFUNCTION("""COMPUTED_VALUE"""),"Coding Pattern")</f>
        <v>Coding Pattern</v>
      </c>
      <c r="H1172" s="6">
        <f ca="1"/>
        <v>0</v>
      </c>
      <c r="I1172" s="6">
        <f ca="1"/>
        <v>0</v>
      </c>
      <c r="J1172" s="6">
        <f ca="1"/>
        <v>0</v>
      </c>
    </row>
    <row r="1173" spans="1:10" ht="13" x14ac:dyDescent="0.15">
      <c r="A1173" s="6" t="str">
        <f ca="1">IFERROR(__xludf.DUMMYFUNCTION("""COMPUTED_VALUE"""),"Task Execution")</f>
        <v>Task Execution</v>
      </c>
      <c r="B1173" s="6" t="str">
        <f ca="1">IFERROR(__xludf.DUMMYFUNCTION("""COMPUTED_VALUE"""),"Task Execution")</f>
        <v>Task Execution</v>
      </c>
      <c r="H1173" s="6">
        <f ca="1"/>
        <v>0</v>
      </c>
      <c r="I1173" s="6">
        <f ca="1"/>
        <v>0</v>
      </c>
      <c r="J1173" s="6">
        <f ca="1"/>
        <v>0</v>
      </c>
    </row>
    <row r="1174" spans="1:10" ht="13" x14ac:dyDescent="0.15">
      <c r="A1174" s="6" t="str">
        <f ca="1">IFERROR(__xludf.DUMMYFUNCTION("""COMPUTED_VALUE"""),"Commit&amp;PR rule")</f>
        <v>Commit&amp;PR rule</v>
      </c>
      <c r="B1174" s="6" t="str">
        <f ca="1">IFERROR(__xludf.DUMMYFUNCTION("""COMPUTED_VALUE"""),"Commit&amp;PR rule")</f>
        <v>Commit&amp;PR rule</v>
      </c>
      <c r="H1174" s="6">
        <f ca="1"/>
        <v>0</v>
      </c>
      <c r="I1174" s="6">
        <f ca="1"/>
        <v>0</v>
      </c>
      <c r="J1174" s="6">
        <f ca="1"/>
        <v>0</v>
      </c>
    </row>
    <row r="1175" spans="1:10" ht="13" x14ac:dyDescent="0.15">
      <c r="A1175" s="6" t="str">
        <f ca="1">IFERROR(__xludf.DUMMYFUNCTION("""COMPUTED_VALUE"""),"Security")</f>
        <v>Security</v>
      </c>
      <c r="B1175" s="6" t="str">
        <f ca="1">IFERROR(__xludf.DUMMYFUNCTION("""COMPUTED_VALUE"""),"Coding Pattern")</f>
        <v>Coding Pattern</v>
      </c>
      <c r="H1175" s="6">
        <f ca="1"/>
        <v>0</v>
      </c>
      <c r="I1175" s="6">
        <f ca="1"/>
        <v>0</v>
      </c>
      <c r="J1175" s="6">
        <f ca="1"/>
        <v>0</v>
      </c>
    </row>
    <row r="1176" spans="1:10" ht="13" x14ac:dyDescent="0.15">
      <c r="A1176" s="6" t="str">
        <f ca="1">IFERROR(__xludf.DUMMYFUNCTION("""COMPUTED_VALUE"""),"Coding Pattern")</f>
        <v>Coding Pattern</v>
      </c>
      <c r="B1176" s="6" t="str">
        <f ca="1">IFERROR(__xludf.DUMMYFUNCTION("""COMPUTED_VALUE"""),"Coding Pattern")</f>
        <v>Coding Pattern</v>
      </c>
      <c r="H1176" s="6">
        <f ca="1"/>
        <v>0</v>
      </c>
      <c r="I1176" s="6">
        <f ca="1"/>
        <v>0</v>
      </c>
      <c r="J1176" s="6">
        <f ca="1"/>
        <v>0</v>
      </c>
    </row>
    <row r="1177" spans="1:10" ht="13" x14ac:dyDescent="0.15">
      <c r="A1177" s="6" t="str">
        <f ca="1">IFERROR(__xludf.DUMMYFUNCTION("""COMPUTED_VALUE"""),"NOT_ENOUGH_CONTEXT")</f>
        <v>NOT_ENOUGH_CONTEXT</v>
      </c>
      <c r="B1177" s="6" t="str">
        <f ca="1">IFERROR(__xludf.DUMMYFUNCTION("""COMPUTED_VALUE"""),"Coding Style")</f>
        <v>Coding Style</v>
      </c>
      <c r="H1177" s="6">
        <f ca="1"/>
        <v>0</v>
      </c>
      <c r="I1177" s="6">
        <f ca="1"/>
        <v>0</v>
      </c>
      <c r="J1177" s="6">
        <f ca="1"/>
        <v>0</v>
      </c>
    </row>
    <row r="1178" spans="1:10" ht="13" x14ac:dyDescent="0.15">
      <c r="A1178" s="6" t="str">
        <f ca="1">IFERROR(__xludf.DUMMYFUNCTION("""COMPUTED_VALUE"""),"Testing")</f>
        <v>Testing</v>
      </c>
      <c r="B1178" s="6" t="str">
        <f ca="1">IFERROR(__xludf.DUMMYFUNCTION("""COMPUTED_VALUE"""),"Testing")</f>
        <v>Testing</v>
      </c>
      <c r="H1178" s="6">
        <f ca="1"/>
        <v>0</v>
      </c>
      <c r="I1178" s="6">
        <f ca="1"/>
        <v>0</v>
      </c>
      <c r="J1178" s="6">
        <f ca="1"/>
        <v>0</v>
      </c>
    </row>
    <row r="1179" spans="1:10" ht="13" x14ac:dyDescent="0.15">
      <c r="A1179" s="6" t="str">
        <f ca="1">IFERROR(__xludf.DUMMYFUNCTION("""COMPUTED_VALUE"""),"Testing")</f>
        <v>Testing</v>
      </c>
      <c r="B1179" s="6" t="str">
        <f ca="1">IFERROR(__xludf.DUMMYFUNCTION("""COMPUTED_VALUE"""),"Testing")</f>
        <v>Testing</v>
      </c>
      <c r="H1179" s="6">
        <f ca="1"/>
        <v>0</v>
      </c>
      <c r="I1179" s="6">
        <f ca="1"/>
        <v>0</v>
      </c>
      <c r="J1179" s="6">
        <f ca="1"/>
        <v>0</v>
      </c>
    </row>
    <row r="1180" spans="1:10" ht="13" x14ac:dyDescent="0.15">
      <c r="A1180" s="6" t="str">
        <f ca="1">IFERROR(__xludf.DUMMYFUNCTION("""COMPUTED_VALUE"""),"Coding Pattern")</f>
        <v>Coding Pattern</v>
      </c>
      <c r="B1180" s="6" t="str">
        <f ca="1">IFERROR(__xludf.DUMMYFUNCTION("""COMPUTED_VALUE"""),"Coding Pattern")</f>
        <v>Coding Pattern</v>
      </c>
      <c r="H1180" s="6">
        <f ca="1"/>
        <v>0</v>
      </c>
      <c r="I1180" s="6">
        <f ca="1"/>
        <v>0</v>
      </c>
      <c r="J1180" s="6">
        <f ca="1"/>
        <v>0</v>
      </c>
    </row>
    <row r="1181" spans="1:10" ht="13" x14ac:dyDescent="0.15">
      <c r="A1181" s="6" t="str">
        <f ca="1">IFERROR(__xludf.DUMMYFUNCTION("""COMPUTED_VALUE"""),"Coding Pattern")</f>
        <v>Coding Pattern</v>
      </c>
      <c r="B1181" s="6" t="str">
        <f ca="1">IFERROR(__xludf.DUMMYFUNCTION("""COMPUTED_VALUE"""),"Coding Pattern")</f>
        <v>Coding Pattern</v>
      </c>
      <c r="H1181" s="6">
        <f ca="1"/>
        <v>0</v>
      </c>
      <c r="I1181" s="6">
        <f ca="1"/>
        <v>0</v>
      </c>
      <c r="J1181" s="6">
        <f ca="1"/>
        <v>0</v>
      </c>
    </row>
    <row r="1182" spans="1:10" ht="13" x14ac:dyDescent="0.15">
      <c r="A1182" s="6" t="str">
        <f ca="1">IFERROR(__xludf.DUMMYFUNCTION("""COMPUTED_VALUE"""),"Coding Pattern")</f>
        <v>Coding Pattern</v>
      </c>
      <c r="B1182" s="6" t="str">
        <f ca="1">IFERROR(__xludf.DUMMYFUNCTION("""COMPUTED_VALUE"""),"Coding Pattern")</f>
        <v>Coding Pattern</v>
      </c>
      <c r="H1182" s="6">
        <f ca="1"/>
        <v>0</v>
      </c>
      <c r="I1182" s="6">
        <f ca="1"/>
        <v>0</v>
      </c>
      <c r="J1182" s="6">
        <f ca="1"/>
        <v>0</v>
      </c>
    </row>
    <row r="1183" spans="1:10" ht="13" x14ac:dyDescent="0.15">
      <c r="A1183" s="6" t="str">
        <f ca="1">IFERROR(__xludf.DUMMYFUNCTION("""COMPUTED_VALUE"""),"Coding Pattern")</f>
        <v>Coding Pattern</v>
      </c>
      <c r="B1183" s="6" t="str">
        <f ca="1">IFERROR(__xludf.DUMMYFUNCTION("""COMPUTED_VALUE"""),"Coding Pattern")</f>
        <v>Coding Pattern</v>
      </c>
      <c r="H1183" s="6">
        <f ca="1"/>
        <v>0</v>
      </c>
      <c r="I1183" s="6">
        <f ca="1"/>
        <v>0</v>
      </c>
      <c r="J1183" s="6">
        <f ca="1"/>
        <v>0</v>
      </c>
    </row>
    <row r="1184" spans="1:10" ht="13" x14ac:dyDescent="0.15">
      <c r="A1184" s="6" t="str">
        <f ca="1">IFERROR(__xludf.DUMMYFUNCTION("""COMPUTED_VALUE"""),"Coding Pattern")</f>
        <v>Coding Pattern</v>
      </c>
      <c r="B1184" s="6" t="str">
        <f ca="1">IFERROR(__xludf.DUMMYFUNCTION("""COMPUTED_VALUE"""),"Coding Pattern")</f>
        <v>Coding Pattern</v>
      </c>
      <c r="H1184" s="6">
        <f ca="1"/>
        <v>0</v>
      </c>
      <c r="I1184" s="6">
        <f ca="1"/>
        <v>0</v>
      </c>
      <c r="J1184" s="6">
        <f ca="1"/>
        <v>0</v>
      </c>
    </row>
    <row r="1185" spans="1:10" ht="13" x14ac:dyDescent="0.15">
      <c r="A1185" s="6" t="str">
        <f ca="1">IFERROR(__xludf.DUMMYFUNCTION("""COMPUTED_VALUE"""),"Coding Pattern")</f>
        <v>Coding Pattern</v>
      </c>
      <c r="B1185" s="6" t="str">
        <f ca="1">IFERROR(__xludf.DUMMYFUNCTION("""COMPUTED_VALUE"""),"Coding Pattern")</f>
        <v>Coding Pattern</v>
      </c>
      <c r="H1185" s="6">
        <f ca="1"/>
        <v>0</v>
      </c>
      <c r="I1185" s="6">
        <f ca="1"/>
        <v>0</v>
      </c>
      <c r="J1185" s="6">
        <f ca="1"/>
        <v>0</v>
      </c>
    </row>
    <row r="1186" spans="1:10" ht="13" x14ac:dyDescent="0.15">
      <c r="A1186" s="6" t="str">
        <f ca="1">IFERROR(__xludf.DUMMYFUNCTION("""COMPUTED_VALUE"""),"Maintainability")</f>
        <v>Maintainability</v>
      </c>
      <c r="B1186" s="6" t="str">
        <f ca="1">IFERROR(__xludf.DUMMYFUNCTION("""COMPUTED_VALUE"""),"Coding Pattern")</f>
        <v>Coding Pattern</v>
      </c>
      <c r="H1186" s="6">
        <f ca="1"/>
        <v>0</v>
      </c>
      <c r="I1186" s="6">
        <f ca="1"/>
        <v>0</v>
      </c>
      <c r="J1186" s="6">
        <f ca="1"/>
        <v>0</v>
      </c>
    </row>
    <row r="1187" spans="1:10" ht="13" x14ac:dyDescent="0.15">
      <c r="A1187" s="6" t="str">
        <f ca="1">IFERROR(__xludf.DUMMYFUNCTION("""COMPUTED_VALUE"""),"Maintainability")</f>
        <v>Maintainability</v>
      </c>
      <c r="B1187" s="6" t="str">
        <f ca="1">IFERROR(__xludf.DUMMYFUNCTION("""COMPUTED_VALUE"""),"Coding Pattern")</f>
        <v>Coding Pattern</v>
      </c>
      <c r="H1187" s="6">
        <f ca="1"/>
        <v>0</v>
      </c>
      <c r="I1187" s="6">
        <f ca="1"/>
        <v>0</v>
      </c>
      <c r="J1187" s="6">
        <f ca="1"/>
        <v>0</v>
      </c>
    </row>
    <row r="1188" spans="1:10" ht="13" x14ac:dyDescent="0.15">
      <c r="A1188" s="6" t="str">
        <f ca="1">IFERROR(__xludf.DUMMYFUNCTION("""COMPUTED_VALUE"""),"Coding Pattern")</f>
        <v>Coding Pattern</v>
      </c>
      <c r="B1188" s="6" t="str">
        <f ca="1">IFERROR(__xludf.DUMMYFUNCTION("""COMPUTED_VALUE"""),"Coding Pattern")</f>
        <v>Coding Pattern</v>
      </c>
      <c r="H1188" s="6">
        <f ca="1"/>
        <v>0</v>
      </c>
      <c r="I1188" s="6">
        <f ca="1"/>
        <v>0</v>
      </c>
      <c r="J1188" s="6">
        <f ca="1"/>
        <v>0</v>
      </c>
    </row>
    <row r="1189" spans="1:10" ht="13" x14ac:dyDescent="0.15">
      <c r="A1189" s="6" t="str">
        <f ca="1">IFERROR(__xludf.DUMMYFUNCTION("""COMPUTED_VALUE"""),"Commit&amp;PR rule")</f>
        <v>Commit&amp;PR rule</v>
      </c>
      <c r="B1189" s="6" t="str">
        <f ca="1">IFERROR(__xludf.DUMMYFUNCTION("""COMPUTED_VALUE"""),"Commit&amp;PR rule")</f>
        <v>Commit&amp;PR rule</v>
      </c>
      <c r="H1189" s="6">
        <f ca="1"/>
        <v>0</v>
      </c>
      <c r="I1189" s="6">
        <f ca="1"/>
        <v>0</v>
      </c>
      <c r="J1189" s="6">
        <f ca="1"/>
        <v>0</v>
      </c>
    </row>
    <row r="1190" spans="1:10" ht="13" x14ac:dyDescent="0.15">
      <c r="A1190" s="6" t="str">
        <f ca="1">IFERROR(__xludf.DUMMYFUNCTION("""COMPUTED_VALUE"""),"Testing")</f>
        <v>Testing</v>
      </c>
      <c r="B1190" s="6" t="str">
        <f ca="1">IFERROR(__xludf.DUMMYFUNCTION("""COMPUTED_VALUE"""),"Task Execution")</f>
        <v>Task Execution</v>
      </c>
      <c r="H1190" s="6">
        <f ca="1"/>
        <v>0</v>
      </c>
      <c r="I1190" s="6">
        <f ca="1"/>
        <v>0</v>
      </c>
      <c r="J1190" s="6">
        <f ca="1"/>
        <v>0</v>
      </c>
    </row>
    <row r="1191" spans="1:10" ht="13" x14ac:dyDescent="0.15">
      <c r="A1191" s="6" t="str">
        <f ca="1">IFERROR(__xludf.DUMMYFUNCTION("""COMPUTED_VALUE"""),"Coding Pattern")</f>
        <v>Coding Pattern</v>
      </c>
      <c r="B1191" s="6" t="str">
        <f ca="1">IFERROR(__xludf.DUMMYFUNCTION("""COMPUTED_VALUE"""),"Coding Pattern")</f>
        <v>Coding Pattern</v>
      </c>
      <c r="H1191" s="6">
        <f ca="1"/>
        <v>0</v>
      </c>
      <c r="I1191" s="6">
        <f ca="1"/>
        <v>0</v>
      </c>
      <c r="J1191" s="6">
        <f ca="1"/>
        <v>0</v>
      </c>
    </row>
    <row r="1192" spans="1:10" ht="13" x14ac:dyDescent="0.15">
      <c r="A1192" s="6" t="str">
        <f ca="1">IFERROR(__xludf.DUMMYFUNCTION("""COMPUTED_VALUE"""),"Testing")</f>
        <v>Testing</v>
      </c>
      <c r="B1192" s="6" t="str">
        <f ca="1">IFERROR(__xludf.DUMMYFUNCTION("""COMPUTED_VALUE"""),"Testing")</f>
        <v>Testing</v>
      </c>
      <c r="H1192" s="6">
        <f ca="1"/>
        <v>0</v>
      </c>
      <c r="I1192" s="6">
        <f ca="1"/>
        <v>0</v>
      </c>
      <c r="J1192" s="6">
        <f ca="1"/>
        <v>0</v>
      </c>
    </row>
    <row r="1193" spans="1:10" ht="13" x14ac:dyDescent="0.15">
      <c r="A1193" s="6" t="str">
        <f ca="1">IFERROR(__xludf.DUMMYFUNCTION("""COMPUTED_VALUE"""),"Testing")</f>
        <v>Testing</v>
      </c>
      <c r="B1193" s="6" t="str">
        <f ca="1">IFERROR(__xludf.DUMMYFUNCTION("""COMPUTED_VALUE"""),"Testing")</f>
        <v>Testing</v>
      </c>
      <c r="H1193" s="6">
        <f ca="1"/>
        <v>0</v>
      </c>
      <c r="I1193" s="6">
        <f ca="1"/>
        <v>0</v>
      </c>
      <c r="J1193" s="6">
        <f ca="1"/>
        <v>0</v>
      </c>
    </row>
    <row r="1194" spans="1:10" ht="13" x14ac:dyDescent="0.15">
      <c r="A1194" s="6" t="str">
        <f ca="1">IFERROR(__xludf.DUMMYFUNCTION("""COMPUTED_VALUE"""),"Coding Pattern")</f>
        <v>Coding Pattern</v>
      </c>
      <c r="B1194" s="6" t="str">
        <f ca="1">IFERROR(__xludf.DUMMYFUNCTION("""COMPUTED_VALUE"""),"Coding Pattern")</f>
        <v>Coding Pattern</v>
      </c>
      <c r="H1194" s="6">
        <f ca="1"/>
        <v>0</v>
      </c>
      <c r="I1194" s="6">
        <f ca="1"/>
        <v>0</v>
      </c>
      <c r="J1194" s="6">
        <f ca="1"/>
        <v>0</v>
      </c>
    </row>
    <row r="1195" spans="1:10" ht="13" x14ac:dyDescent="0.15">
      <c r="A1195" s="6" t="str">
        <f ca="1">IFERROR(__xludf.DUMMYFUNCTION("""COMPUTED_VALUE"""),"Code Review")</f>
        <v>Code Review</v>
      </c>
      <c r="B1195" s="6" t="str">
        <f ca="1">IFERROR(__xludf.DUMMYFUNCTION("""COMPUTED_VALUE"""),"Code Review")</f>
        <v>Code Review</v>
      </c>
      <c r="H1195" s="6">
        <f ca="1"/>
        <v>0</v>
      </c>
      <c r="I1195" s="6">
        <f ca="1"/>
        <v>0</v>
      </c>
      <c r="J1195" s="6">
        <f ca="1"/>
        <v>0</v>
      </c>
    </row>
    <row r="1196" spans="1:10" ht="13" x14ac:dyDescent="0.15">
      <c r="A1196" s="6" t="str">
        <f ca="1">IFERROR(__xludf.DUMMYFUNCTION("""COMPUTED_VALUE"""),"Coding Pattern")</f>
        <v>Coding Pattern</v>
      </c>
      <c r="B1196" s="6" t="str">
        <f ca="1">IFERROR(__xludf.DUMMYFUNCTION("""COMPUTED_VALUE"""),"Coding Pattern")</f>
        <v>Coding Pattern</v>
      </c>
      <c r="H1196" s="6">
        <f ca="1"/>
        <v>0</v>
      </c>
      <c r="I1196" s="6">
        <f ca="1"/>
        <v>0</v>
      </c>
      <c r="J1196" s="6">
        <f ca="1"/>
        <v>0</v>
      </c>
    </row>
    <row r="1197" spans="1:10" ht="13" x14ac:dyDescent="0.15">
      <c r="A1197" s="6" t="str">
        <f ca="1">IFERROR(__xludf.DUMMYFUNCTION("""COMPUTED_VALUE"""),"Commit&amp;PR rule")</f>
        <v>Commit&amp;PR rule</v>
      </c>
      <c r="B1197" s="6" t="str">
        <f ca="1">IFERROR(__xludf.DUMMYFUNCTION("""COMPUTED_VALUE"""),"Commit&amp;PR rule")</f>
        <v>Commit&amp;PR rule</v>
      </c>
      <c r="H1197" s="6">
        <f ca="1"/>
        <v>0</v>
      </c>
      <c r="I1197" s="6">
        <f ca="1"/>
        <v>0</v>
      </c>
      <c r="J1197" s="6">
        <f ca="1"/>
        <v>0</v>
      </c>
    </row>
    <row r="1198" spans="1:10" ht="13" x14ac:dyDescent="0.15">
      <c r="A1198" s="6" t="str">
        <f ca="1">IFERROR(__xludf.DUMMYFUNCTION("""COMPUTED_VALUE"""),"Coding Pattern")</f>
        <v>Coding Pattern</v>
      </c>
      <c r="B1198" s="6" t="str">
        <f ca="1">IFERROR(__xludf.DUMMYFUNCTION("""COMPUTED_VALUE"""),"Coding Pattern")</f>
        <v>Coding Pattern</v>
      </c>
      <c r="H1198" s="6">
        <f ca="1"/>
        <v>0</v>
      </c>
      <c r="I1198" s="6">
        <f ca="1"/>
        <v>0</v>
      </c>
      <c r="J1198" s="6">
        <f ca="1"/>
        <v>0</v>
      </c>
    </row>
    <row r="1199" spans="1:10" ht="13" x14ac:dyDescent="0.15">
      <c r="A1199" s="6" t="str">
        <f ca="1">IFERROR(__xludf.DUMMYFUNCTION("""COMPUTED_VALUE"""),"NOT_ENOUGH_CONTEXT")</f>
        <v>NOT_ENOUGH_CONTEXT</v>
      </c>
      <c r="B1199" s="6" t="str">
        <f ca="1">IFERROR(__xludf.DUMMYFUNCTION("""COMPUTED_VALUE"""),"NOT_ENOUGH_CONTEXT")</f>
        <v>NOT_ENOUGH_CONTEXT</v>
      </c>
      <c r="H1199" s="6">
        <f ca="1"/>
        <v>0</v>
      </c>
      <c r="I1199" s="6">
        <f ca="1"/>
        <v>0</v>
      </c>
      <c r="J1199" s="6">
        <f ca="1"/>
        <v>0</v>
      </c>
    </row>
    <row r="1200" spans="1:10" ht="13" x14ac:dyDescent="0.15">
      <c r="A1200" s="6" t="str">
        <f ca="1">IFERROR(__xludf.DUMMYFUNCTION("""COMPUTED_VALUE"""),"Coding Pattern")</f>
        <v>Coding Pattern</v>
      </c>
      <c r="B1200" s="6" t="str">
        <f ca="1">IFERROR(__xludf.DUMMYFUNCTION("""COMPUTED_VALUE"""),"Coding Pattern")</f>
        <v>Coding Pattern</v>
      </c>
      <c r="H1200" s="6">
        <f ca="1"/>
        <v>0</v>
      </c>
      <c r="I1200" s="6">
        <f ca="1"/>
        <v>0</v>
      </c>
      <c r="J1200" s="6">
        <f ca="1"/>
        <v>0</v>
      </c>
    </row>
    <row r="1201" spans="1:10" ht="13" x14ac:dyDescent="0.15">
      <c r="A1201" s="6" t="str">
        <f ca="1">IFERROR(__xludf.DUMMYFUNCTION("""COMPUTED_VALUE"""),"Commit&amp;PR rule")</f>
        <v>Commit&amp;PR rule</v>
      </c>
      <c r="B1201" s="6" t="str">
        <f ca="1">IFERROR(__xludf.DUMMYFUNCTION("""COMPUTED_VALUE"""),"Commit&amp;PR rule")</f>
        <v>Commit&amp;PR rule</v>
      </c>
      <c r="H1201" s="6">
        <f ca="1"/>
        <v>0</v>
      </c>
      <c r="I1201" s="6">
        <f ca="1"/>
        <v>0</v>
      </c>
      <c r="J1201" s="6">
        <f ca="1"/>
        <v>0</v>
      </c>
    </row>
    <row r="1202" spans="1:10" ht="13" x14ac:dyDescent="0.15">
      <c r="A1202" s="6" t="str">
        <f ca="1">IFERROR(__xludf.DUMMYFUNCTION("""COMPUTED_VALUE"""),"Coding Pattern")</f>
        <v>Coding Pattern</v>
      </c>
      <c r="B1202" s="6" t="str">
        <f ca="1">IFERROR(__xludf.DUMMYFUNCTION("""COMPUTED_VALUE"""),"Coding Pattern")</f>
        <v>Coding Pattern</v>
      </c>
      <c r="H1202" s="6">
        <f ca="1"/>
        <v>0</v>
      </c>
      <c r="I1202" s="6">
        <f ca="1"/>
        <v>0</v>
      </c>
      <c r="J1202" s="6">
        <f ca="1"/>
        <v>0</v>
      </c>
    </row>
    <row r="1203" spans="1:10" ht="13" x14ac:dyDescent="0.15">
      <c r="A1203" s="6" t="str">
        <f ca="1">IFERROR(__xludf.DUMMYFUNCTION("""COMPUTED_VALUE"""),"Build &amp; Operation")</f>
        <v>Build &amp; Operation</v>
      </c>
      <c r="B1203" s="6" t="str">
        <f ca="1">IFERROR(__xludf.DUMMYFUNCTION("""COMPUTED_VALUE"""),"Task Execution")</f>
        <v>Task Execution</v>
      </c>
      <c r="H1203" s="6">
        <f ca="1"/>
        <v>0</v>
      </c>
      <c r="I1203" s="6">
        <f ca="1"/>
        <v>0</v>
      </c>
      <c r="J1203" s="6">
        <f ca="1"/>
        <v>0</v>
      </c>
    </row>
    <row r="1204" spans="1:10" ht="13" x14ac:dyDescent="0.15">
      <c r="A1204" s="6" t="str">
        <f ca="1">IFERROR(__xludf.DUMMYFUNCTION("""COMPUTED_VALUE"""),"Coding Pattern")</f>
        <v>Coding Pattern</v>
      </c>
      <c r="B1204" s="6" t="str">
        <f ca="1">IFERROR(__xludf.DUMMYFUNCTION("""COMPUTED_VALUE"""),"Coding Pattern")</f>
        <v>Coding Pattern</v>
      </c>
      <c r="H1204" s="6">
        <f ca="1"/>
        <v>0</v>
      </c>
      <c r="I1204" s="6">
        <f ca="1"/>
        <v>0</v>
      </c>
      <c r="J1204" s="6">
        <f ca="1"/>
        <v>0</v>
      </c>
    </row>
    <row r="1205" spans="1:10" ht="13" x14ac:dyDescent="0.15">
      <c r="A1205" s="6" t="str">
        <f ca="1">IFERROR(__xludf.DUMMYFUNCTION("""COMPUTED_VALUE"""),"Coding Pattern")</f>
        <v>Coding Pattern</v>
      </c>
      <c r="B1205" s="6" t="str">
        <f ca="1">IFERROR(__xludf.DUMMYFUNCTION("""COMPUTED_VALUE"""),"Task Execution")</f>
        <v>Task Execution</v>
      </c>
      <c r="H1205" s="6">
        <f ca="1"/>
        <v>0</v>
      </c>
      <c r="I1205" s="6">
        <f ca="1"/>
        <v>0</v>
      </c>
      <c r="J1205" s="6">
        <f ca="1"/>
        <v>0</v>
      </c>
    </row>
    <row r="1206" spans="1:10" ht="13" x14ac:dyDescent="0.15">
      <c r="A1206" s="6" t="str">
        <f ca="1">IFERROR(__xludf.DUMMYFUNCTION("""COMPUTED_VALUE"""),"Coding Pattern")</f>
        <v>Coding Pattern</v>
      </c>
      <c r="B1206" s="6" t="str">
        <f ca="1">IFERROR(__xludf.DUMMYFUNCTION("""COMPUTED_VALUE"""),"Coding Pattern")</f>
        <v>Coding Pattern</v>
      </c>
      <c r="H1206" s="6">
        <f ca="1"/>
        <v>0</v>
      </c>
      <c r="I1206" s="6">
        <f ca="1"/>
        <v>0</v>
      </c>
      <c r="J1206" s="6">
        <f ca="1"/>
        <v>0</v>
      </c>
    </row>
    <row r="1207" spans="1:10" ht="13" x14ac:dyDescent="0.15">
      <c r="A1207" s="6" t="str">
        <f ca="1">IFERROR(__xludf.DUMMYFUNCTION("""COMPUTED_VALUE"""),"Coding Pattern")</f>
        <v>Coding Pattern</v>
      </c>
      <c r="B1207" s="6" t="str">
        <f ca="1">IFERROR(__xludf.DUMMYFUNCTION("""COMPUTED_VALUE"""),"Coding Pattern")</f>
        <v>Coding Pattern</v>
      </c>
      <c r="H1207" s="6">
        <f ca="1"/>
        <v>0</v>
      </c>
      <c r="I1207" s="6">
        <f ca="1"/>
        <v>0</v>
      </c>
      <c r="J1207" s="6">
        <f ca="1"/>
        <v>0</v>
      </c>
    </row>
    <row r="1208" spans="1:10" ht="13" x14ac:dyDescent="0.15">
      <c r="A1208" s="6" t="str">
        <f ca="1">IFERROR(__xludf.DUMMYFUNCTION("""COMPUTED_VALUE"""),"Coding Pattern")</f>
        <v>Coding Pattern</v>
      </c>
      <c r="B1208" s="6" t="str">
        <f ca="1">IFERROR(__xludf.DUMMYFUNCTION("""COMPUTED_VALUE"""),"Coding Pattern")</f>
        <v>Coding Pattern</v>
      </c>
      <c r="H1208" s="6">
        <f ca="1"/>
        <v>0</v>
      </c>
      <c r="I1208" s="6">
        <f ca="1"/>
        <v>0</v>
      </c>
      <c r="J1208" s="6">
        <f ca="1"/>
        <v>0</v>
      </c>
    </row>
    <row r="1209" spans="1:10" ht="13" x14ac:dyDescent="0.15">
      <c r="A1209" s="6" t="str">
        <f ca="1">IFERROR(__xludf.DUMMYFUNCTION("""COMPUTED_VALUE"""),"Build &amp; Operation")</f>
        <v>Build &amp; Operation</v>
      </c>
      <c r="B1209" s="6" t="str">
        <f ca="1">IFERROR(__xludf.DUMMYFUNCTION("""COMPUTED_VALUE"""),"Task Execution")</f>
        <v>Task Execution</v>
      </c>
      <c r="H1209" s="6">
        <f ca="1"/>
        <v>0</v>
      </c>
      <c r="I1209" s="6">
        <f ca="1"/>
        <v>0</v>
      </c>
      <c r="J1209" s="6">
        <f ca="1"/>
        <v>0</v>
      </c>
    </row>
    <row r="1210" spans="1:10" ht="13" x14ac:dyDescent="0.15">
      <c r="A1210" s="6" t="str">
        <f ca="1">IFERROR(__xludf.DUMMYFUNCTION("""COMPUTED_VALUE"""),"Security")</f>
        <v>Security</v>
      </c>
      <c r="B1210" s="6" t="str">
        <f ca="1">IFERROR(__xludf.DUMMYFUNCTION("""COMPUTED_VALUE"""),"Security")</f>
        <v>Security</v>
      </c>
      <c r="H1210" s="6">
        <f ca="1"/>
        <v>0</v>
      </c>
      <c r="I1210" s="6">
        <f ca="1"/>
        <v>0</v>
      </c>
      <c r="J1210" s="6">
        <f ca="1"/>
        <v>0</v>
      </c>
    </row>
    <row r="1211" spans="1:10" ht="13" x14ac:dyDescent="0.15">
      <c r="A1211" s="6" t="str">
        <f ca="1">IFERROR(__xludf.DUMMYFUNCTION("""COMPUTED_VALUE"""),"Maintainability")</f>
        <v>Maintainability</v>
      </c>
      <c r="B1211" s="6" t="str">
        <f ca="1">IFERROR(__xludf.DUMMYFUNCTION("""COMPUTED_VALUE"""),"Coding Pattern")</f>
        <v>Coding Pattern</v>
      </c>
      <c r="H1211" s="6">
        <f ca="1"/>
        <v>0</v>
      </c>
      <c r="I1211" s="6">
        <f ca="1"/>
        <v>0</v>
      </c>
      <c r="J1211" s="6">
        <f ca="1"/>
        <v>0</v>
      </c>
    </row>
    <row r="1212" spans="1:10" ht="13" x14ac:dyDescent="0.15">
      <c r="A1212" s="6" t="str">
        <f ca="1">IFERROR(__xludf.DUMMYFUNCTION("""COMPUTED_VALUE"""),"Maintainability")</f>
        <v>Maintainability</v>
      </c>
      <c r="B1212" s="6" t="str">
        <f ca="1">IFERROR(__xludf.DUMMYFUNCTION("""COMPUTED_VALUE"""),"Task Execution")</f>
        <v>Task Execution</v>
      </c>
      <c r="H1212" s="6">
        <f ca="1"/>
        <v>0</v>
      </c>
      <c r="I1212" s="6">
        <f ca="1"/>
        <v>0</v>
      </c>
      <c r="J1212" s="6">
        <f ca="1"/>
        <v>0</v>
      </c>
    </row>
    <row r="1213" spans="1:10" ht="13" x14ac:dyDescent="0.15">
      <c r="A1213" s="6" t="str">
        <f ca="1">IFERROR(__xludf.DUMMYFUNCTION("""COMPUTED_VALUE"""),"Maintainability")</f>
        <v>Maintainability</v>
      </c>
      <c r="B1213" s="6" t="str">
        <f ca="1">IFERROR(__xludf.DUMMYFUNCTION("""COMPUTED_VALUE"""),"Task Execution")</f>
        <v>Task Execution</v>
      </c>
      <c r="H1213" s="6">
        <f ca="1"/>
        <v>0</v>
      </c>
      <c r="I1213" s="6">
        <f ca="1"/>
        <v>0</v>
      </c>
      <c r="J1213" s="6">
        <f ca="1"/>
        <v>0</v>
      </c>
    </row>
    <row r="1214" spans="1:10" ht="13" x14ac:dyDescent="0.15">
      <c r="A1214" s="6" t="str">
        <f ca="1">IFERROR(__xludf.DUMMYFUNCTION("""COMPUTED_VALUE"""),"Commit&amp;PR rule")</f>
        <v>Commit&amp;PR rule</v>
      </c>
      <c r="B1214" s="6" t="str">
        <f ca="1">IFERROR(__xludf.DUMMYFUNCTION("""COMPUTED_VALUE"""),"Commit&amp;PR rule")</f>
        <v>Commit&amp;PR rule</v>
      </c>
      <c r="H1214" s="6">
        <f ca="1"/>
        <v>0</v>
      </c>
      <c r="I1214" s="6">
        <f ca="1"/>
        <v>0</v>
      </c>
      <c r="J1214" s="6">
        <f ca="1"/>
        <v>0</v>
      </c>
    </row>
    <row r="1215" spans="1:10" ht="13" x14ac:dyDescent="0.15">
      <c r="A1215" s="6" t="str">
        <f ca="1">IFERROR(__xludf.DUMMYFUNCTION("""COMPUTED_VALUE"""),"Coding Pattern")</f>
        <v>Coding Pattern</v>
      </c>
      <c r="B1215" s="6" t="str">
        <f ca="1">IFERROR(__xludf.DUMMYFUNCTION("""COMPUTED_VALUE"""),"Coding Pattern")</f>
        <v>Coding Pattern</v>
      </c>
      <c r="H1215" s="6">
        <f ca="1"/>
        <v>0</v>
      </c>
      <c r="I1215" s="6">
        <f ca="1"/>
        <v>0</v>
      </c>
      <c r="J1215" s="6">
        <f ca="1"/>
        <v>0</v>
      </c>
    </row>
    <row r="1216" spans="1:10" ht="13" x14ac:dyDescent="0.15">
      <c r="A1216" s="6" t="str">
        <f ca="1">IFERROR(__xludf.DUMMYFUNCTION("""COMPUTED_VALUE"""),"Coding Pattern")</f>
        <v>Coding Pattern</v>
      </c>
      <c r="B1216" s="6" t="str">
        <f ca="1">IFERROR(__xludf.DUMMYFUNCTION("""COMPUTED_VALUE"""),"Coding Pattern")</f>
        <v>Coding Pattern</v>
      </c>
      <c r="H1216" s="6">
        <f ca="1"/>
        <v>0</v>
      </c>
      <c r="I1216" s="6">
        <f ca="1"/>
        <v>0</v>
      </c>
      <c r="J1216" s="6">
        <f ca="1"/>
        <v>0</v>
      </c>
    </row>
    <row r="1217" spans="1:10" ht="13" x14ac:dyDescent="0.15">
      <c r="A1217" s="6" t="str">
        <f ca="1">IFERROR(__xludf.DUMMYFUNCTION("""COMPUTED_VALUE"""),"Coding Pattern")</f>
        <v>Coding Pattern</v>
      </c>
      <c r="B1217" s="6" t="str">
        <f ca="1">IFERROR(__xludf.DUMMYFUNCTION("""COMPUTED_VALUE"""),"Coding Pattern")</f>
        <v>Coding Pattern</v>
      </c>
      <c r="H1217" s="6">
        <f ca="1"/>
        <v>0</v>
      </c>
      <c r="I1217" s="6">
        <f ca="1"/>
        <v>0</v>
      </c>
      <c r="J1217" s="6">
        <f ca="1"/>
        <v>0</v>
      </c>
    </row>
    <row r="1218" spans="1:10" ht="13" x14ac:dyDescent="0.15">
      <c r="A1218" s="6" t="str">
        <f ca="1">IFERROR(__xludf.DUMMYFUNCTION("""COMPUTED_VALUE"""),"Commit&amp;PR rule")</f>
        <v>Commit&amp;PR rule</v>
      </c>
      <c r="B1218" s="6" t="str">
        <f ca="1">IFERROR(__xludf.DUMMYFUNCTION("""COMPUTED_VALUE"""),"Commit&amp;PR rule")</f>
        <v>Commit&amp;PR rule</v>
      </c>
      <c r="H1218" s="6">
        <f ca="1"/>
        <v>0</v>
      </c>
      <c r="I1218" s="6">
        <f ca="1"/>
        <v>0</v>
      </c>
      <c r="J1218" s="6">
        <f ca="1"/>
        <v>0</v>
      </c>
    </row>
    <row r="1219" spans="1:10" ht="13" x14ac:dyDescent="0.15">
      <c r="A1219" s="6" t="str">
        <f ca="1">IFERROR(__xludf.DUMMYFUNCTION("""COMPUTED_VALUE"""),"Writing Style Preference")</f>
        <v>Writing Style Preference</v>
      </c>
      <c r="B1219" s="6" t="str">
        <f ca="1">IFERROR(__xludf.DUMMYFUNCTION("""COMPUTED_VALUE"""),"Task Execution")</f>
        <v>Task Execution</v>
      </c>
      <c r="H1219" s="6">
        <f ca="1"/>
        <v>0</v>
      </c>
      <c r="I1219" s="6">
        <f ca="1"/>
        <v>0</v>
      </c>
      <c r="J1219" s="6">
        <f ca="1"/>
        <v>0</v>
      </c>
    </row>
    <row r="1220" spans="1:10" ht="13" x14ac:dyDescent="0.15">
      <c r="A1220" s="6" t="str">
        <f ca="1">IFERROR(__xludf.DUMMYFUNCTION("""COMPUTED_VALUE"""),"Code Review")</f>
        <v>Code Review</v>
      </c>
      <c r="B1220" s="6" t="str">
        <f ca="1">IFERROR(__xludf.DUMMYFUNCTION("""COMPUTED_VALUE"""),"Task Execution")</f>
        <v>Task Execution</v>
      </c>
      <c r="H1220" s="6">
        <f ca="1"/>
        <v>0</v>
      </c>
      <c r="I1220" s="6">
        <f ca="1"/>
        <v>0</v>
      </c>
      <c r="J1220" s="6">
        <f ca="1"/>
        <v>0</v>
      </c>
    </row>
    <row r="1221" spans="1:10" ht="13" x14ac:dyDescent="0.15">
      <c r="A1221" s="6" t="str">
        <f ca="1">IFERROR(__xludf.DUMMYFUNCTION("""COMPUTED_VALUE"""),"Testing")</f>
        <v>Testing</v>
      </c>
      <c r="B1221" s="6" t="str">
        <f ca="1">IFERROR(__xludf.DUMMYFUNCTION("""COMPUTED_VALUE"""),"Testing")</f>
        <v>Testing</v>
      </c>
      <c r="H1221" s="6">
        <f ca="1"/>
        <v>0</v>
      </c>
      <c r="I1221" s="6">
        <f ca="1"/>
        <v>0</v>
      </c>
      <c r="J1221" s="6">
        <f ca="1"/>
        <v>0</v>
      </c>
    </row>
    <row r="1222" spans="1:10" ht="13" x14ac:dyDescent="0.15">
      <c r="A1222" s="6" t="str">
        <f ca="1">IFERROR(__xludf.DUMMYFUNCTION("""COMPUTED_VALUE"""),"Task Execution")</f>
        <v>Task Execution</v>
      </c>
      <c r="B1222" s="6" t="str">
        <f ca="1">IFERROR(__xludf.DUMMYFUNCTION("""COMPUTED_VALUE"""),"Task Execution")</f>
        <v>Task Execution</v>
      </c>
      <c r="H1222" s="6">
        <f ca="1"/>
        <v>0</v>
      </c>
      <c r="I1222" s="6">
        <f ca="1"/>
        <v>0</v>
      </c>
      <c r="J1222" s="6">
        <f ca="1"/>
        <v>0</v>
      </c>
    </row>
    <row r="1223" spans="1:10" ht="13" x14ac:dyDescent="0.15">
      <c r="A1223" s="6" t="str">
        <f ca="1">IFERROR(__xludf.DUMMYFUNCTION("""COMPUTED_VALUE"""),"Task Execution")</f>
        <v>Task Execution</v>
      </c>
      <c r="B1223" s="6" t="str">
        <f ca="1">IFERROR(__xludf.DUMMYFUNCTION("""COMPUTED_VALUE"""),"Task Execution")</f>
        <v>Task Execution</v>
      </c>
      <c r="H1223" s="6">
        <f ca="1"/>
        <v>0</v>
      </c>
      <c r="I1223" s="6">
        <f ca="1"/>
        <v>0</v>
      </c>
      <c r="J1223" s="6">
        <f ca="1"/>
        <v>0</v>
      </c>
    </row>
    <row r="1224" spans="1:10" ht="13" x14ac:dyDescent="0.15">
      <c r="A1224" s="6" t="str">
        <f ca="1">IFERROR(__xludf.DUMMYFUNCTION("""COMPUTED_VALUE"""),"Coding Pattern")</f>
        <v>Coding Pattern</v>
      </c>
      <c r="B1224" s="6" t="str">
        <f ca="1">IFERROR(__xludf.DUMMYFUNCTION("""COMPUTED_VALUE"""),"Coding Pattern")</f>
        <v>Coding Pattern</v>
      </c>
      <c r="H1224" s="6">
        <f ca="1"/>
        <v>0</v>
      </c>
      <c r="I1224" s="6">
        <f ca="1"/>
        <v>0</v>
      </c>
      <c r="J1224" s="6">
        <f ca="1"/>
        <v>0</v>
      </c>
    </row>
    <row r="1225" spans="1:10" ht="13" x14ac:dyDescent="0.15">
      <c r="A1225" s="6" t="str">
        <f ca="1">IFERROR(__xludf.DUMMYFUNCTION("""COMPUTED_VALUE"""),"Task Execution")</f>
        <v>Task Execution</v>
      </c>
      <c r="B1225" s="6" t="str">
        <f ca="1">IFERROR(__xludf.DUMMYFUNCTION("""COMPUTED_VALUE"""),"Task Execution")</f>
        <v>Task Execution</v>
      </c>
      <c r="H1225" s="6">
        <f ca="1"/>
        <v>0</v>
      </c>
      <c r="I1225" s="6">
        <f ca="1"/>
        <v>0</v>
      </c>
      <c r="J1225" s="6">
        <f ca="1"/>
        <v>0</v>
      </c>
    </row>
    <row r="1226" spans="1:10" ht="13" x14ac:dyDescent="0.15">
      <c r="A1226" s="6" t="str">
        <f ca="1">IFERROR(__xludf.DUMMYFUNCTION("""COMPUTED_VALUE"""),"Build &amp; Operation")</f>
        <v>Build &amp; Operation</v>
      </c>
      <c r="B1226" s="6" t="str">
        <f ca="1">IFERROR(__xludf.DUMMYFUNCTION("""COMPUTED_VALUE"""),"Build &amp; Operation")</f>
        <v>Build &amp; Operation</v>
      </c>
      <c r="H1226" s="6">
        <f ca="1"/>
        <v>0</v>
      </c>
      <c r="I1226" s="6">
        <f ca="1"/>
        <v>0</v>
      </c>
      <c r="J1226" s="6">
        <f ca="1"/>
        <v>0</v>
      </c>
    </row>
    <row r="1227" spans="1:10" ht="13" x14ac:dyDescent="0.15">
      <c r="A1227" s="6" t="str">
        <f ca="1">IFERROR(__xludf.DUMMYFUNCTION("""COMPUTED_VALUE"""),"Task Execution")</f>
        <v>Task Execution</v>
      </c>
      <c r="B1227" s="6" t="str">
        <f ca="1">IFERROR(__xludf.DUMMYFUNCTION("""COMPUTED_VALUE"""),"Task Execution")</f>
        <v>Task Execution</v>
      </c>
      <c r="H1227" s="6">
        <f ca="1"/>
        <v>0</v>
      </c>
      <c r="I1227" s="6">
        <f ca="1"/>
        <v>0</v>
      </c>
      <c r="J1227" s="6">
        <f ca="1"/>
        <v>0</v>
      </c>
    </row>
    <row r="1228" spans="1:10" ht="13" x14ac:dyDescent="0.15">
      <c r="A1228" s="6" t="str">
        <f ca="1">IFERROR(__xludf.DUMMYFUNCTION("""COMPUTED_VALUE"""),"Coding Style")</f>
        <v>Coding Style</v>
      </c>
      <c r="B1228" s="6" t="str">
        <f ca="1">IFERROR(__xludf.DUMMYFUNCTION("""COMPUTED_VALUE"""),"Other")</f>
        <v>Other</v>
      </c>
      <c r="H1228" s="6">
        <f ca="1"/>
        <v>0</v>
      </c>
      <c r="I1228" s="6">
        <f ca="1"/>
        <v>0</v>
      </c>
      <c r="J1228" s="6">
        <f ca="1"/>
        <v>0</v>
      </c>
    </row>
    <row r="1229" spans="1:10" ht="13" x14ac:dyDescent="0.15">
      <c r="A1229" s="6" t="str">
        <f ca="1">IFERROR(__xludf.DUMMYFUNCTION("""COMPUTED_VALUE"""),"Coding Style")</f>
        <v>Coding Style</v>
      </c>
      <c r="B1229" s="6" t="str">
        <f ca="1">IFERROR(__xludf.DUMMYFUNCTION("""COMPUTED_VALUE"""),"Coding Pattern")</f>
        <v>Coding Pattern</v>
      </c>
      <c r="H1229" s="6">
        <f ca="1"/>
        <v>0</v>
      </c>
      <c r="I1229" s="6">
        <f ca="1"/>
        <v>0</v>
      </c>
      <c r="J1229" s="6">
        <f ca="1"/>
        <v>0</v>
      </c>
    </row>
    <row r="1230" spans="1:10" ht="13" x14ac:dyDescent="0.15">
      <c r="A1230" s="6" t="str">
        <f ca="1">IFERROR(__xludf.DUMMYFUNCTION("""COMPUTED_VALUE"""),"Security")</f>
        <v>Security</v>
      </c>
      <c r="B1230" s="6" t="str">
        <f ca="1">IFERROR(__xludf.DUMMYFUNCTION("""COMPUTED_VALUE"""),"Security")</f>
        <v>Security</v>
      </c>
      <c r="H1230" s="6">
        <f ca="1"/>
        <v>0</v>
      </c>
      <c r="I1230" s="6">
        <f ca="1"/>
        <v>0</v>
      </c>
      <c r="J1230" s="6">
        <f ca="1"/>
        <v>0</v>
      </c>
    </row>
    <row r="1231" spans="1:10" ht="13" x14ac:dyDescent="0.15">
      <c r="A1231" s="6" t="str">
        <f ca="1">IFERROR(__xludf.DUMMYFUNCTION("""COMPUTED_VALUE"""),"Testing")</f>
        <v>Testing</v>
      </c>
      <c r="B1231" s="6" t="str">
        <f ca="1">IFERROR(__xludf.DUMMYFUNCTION("""COMPUTED_VALUE"""),"Testing")</f>
        <v>Testing</v>
      </c>
      <c r="H1231" s="6">
        <f ca="1"/>
        <v>0</v>
      </c>
      <c r="I1231" s="6">
        <f ca="1"/>
        <v>0</v>
      </c>
      <c r="J1231" s="6">
        <f ca="1"/>
        <v>0</v>
      </c>
    </row>
    <row r="1232" spans="1:10" ht="13" x14ac:dyDescent="0.15">
      <c r="A1232" s="6" t="str">
        <f ca="1">IFERROR(__xludf.DUMMYFUNCTION("""COMPUTED_VALUE"""),"Documentation")</f>
        <v>Documentation</v>
      </c>
      <c r="B1232" s="6" t="str">
        <f ca="1">IFERROR(__xludf.DUMMYFUNCTION("""COMPUTED_VALUE"""),"Documentation")</f>
        <v>Documentation</v>
      </c>
      <c r="H1232" s="6">
        <f ca="1"/>
        <v>0</v>
      </c>
      <c r="I1232" s="6">
        <f ca="1"/>
        <v>0</v>
      </c>
      <c r="J1232" s="6">
        <f ca="1"/>
        <v>0</v>
      </c>
    </row>
    <row r="1233" spans="1:10" ht="13" x14ac:dyDescent="0.15">
      <c r="A1233" s="6" t="str">
        <f ca="1">IFERROR(__xludf.DUMMYFUNCTION("""COMPUTED_VALUE"""),"Coding Pattern")</f>
        <v>Coding Pattern</v>
      </c>
      <c r="B1233" s="6" t="str">
        <f ca="1">IFERROR(__xludf.DUMMYFUNCTION("""COMPUTED_VALUE"""),"Coding Pattern")</f>
        <v>Coding Pattern</v>
      </c>
      <c r="H1233" s="6">
        <f ca="1"/>
        <v>0</v>
      </c>
      <c r="I1233" s="6">
        <f ca="1"/>
        <v>0</v>
      </c>
      <c r="J1233" s="6">
        <f ca="1"/>
        <v>0</v>
      </c>
    </row>
    <row r="1234" spans="1:10" ht="13" x14ac:dyDescent="0.15">
      <c r="A1234" s="6" t="str">
        <f ca="1">IFERROR(__xludf.DUMMYFUNCTION("""COMPUTED_VALUE"""),"Build &amp; Operation")</f>
        <v>Build &amp; Operation</v>
      </c>
      <c r="B1234" s="6" t="str">
        <f ca="1">IFERROR(__xludf.DUMMYFUNCTION("""COMPUTED_VALUE"""),"Build &amp; Operation")</f>
        <v>Build &amp; Operation</v>
      </c>
      <c r="H1234" s="6">
        <f ca="1"/>
        <v>0</v>
      </c>
      <c r="I1234" s="6">
        <f ca="1"/>
        <v>0</v>
      </c>
      <c r="J1234" s="6">
        <f ca="1"/>
        <v>0</v>
      </c>
    </row>
    <row r="1235" spans="1:10" ht="13" x14ac:dyDescent="0.15">
      <c r="A1235" s="6" t="str">
        <f ca="1">IFERROR(__xludf.DUMMYFUNCTION("""COMPUTED_VALUE"""),"Coding Pattern")</f>
        <v>Coding Pattern</v>
      </c>
      <c r="B1235" s="6" t="str">
        <f ca="1">IFERROR(__xludf.DUMMYFUNCTION("""COMPUTED_VALUE"""),"Task Execution")</f>
        <v>Task Execution</v>
      </c>
      <c r="H1235" s="6">
        <f ca="1"/>
        <v>0</v>
      </c>
      <c r="I1235" s="6">
        <f ca="1"/>
        <v>0</v>
      </c>
      <c r="J1235" s="6">
        <f ca="1"/>
        <v>0</v>
      </c>
    </row>
    <row r="1236" spans="1:10" ht="13" x14ac:dyDescent="0.15">
      <c r="A1236" s="6" t="str">
        <f ca="1">IFERROR(__xludf.DUMMYFUNCTION("""COMPUTED_VALUE"""),"Coding Pattern")</f>
        <v>Coding Pattern</v>
      </c>
      <c r="B1236" s="6" t="str">
        <f ca="1">IFERROR(__xludf.DUMMYFUNCTION("""COMPUTED_VALUE"""),"Coding Pattern")</f>
        <v>Coding Pattern</v>
      </c>
      <c r="H1236" s="6">
        <f ca="1"/>
        <v>0</v>
      </c>
      <c r="I1236" s="6">
        <f ca="1"/>
        <v>0</v>
      </c>
      <c r="J1236" s="6">
        <f ca="1"/>
        <v>0</v>
      </c>
    </row>
    <row r="1237" spans="1:10" ht="13" x14ac:dyDescent="0.15">
      <c r="A1237" s="6" t="str">
        <f ca="1">IFERROR(__xludf.DUMMYFUNCTION("""COMPUTED_VALUE"""),"Security")</f>
        <v>Security</v>
      </c>
      <c r="B1237" s="6" t="str">
        <f ca="1">IFERROR(__xludf.DUMMYFUNCTION("""COMPUTED_VALUE"""),"Security")</f>
        <v>Security</v>
      </c>
      <c r="H1237" s="6">
        <f ca="1"/>
        <v>0</v>
      </c>
      <c r="I1237" s="6">
        <f ca="1"/>
        <v>0</v>
      </c>
      <c r="J1237" s="6">
        <f ca="1"/>
        <v>0</v>
      </c>
    </row>
    <row r="1238" spans="1:10" ht="13" x14ac:dyDescent="0.15">
      <c r="A1238" s="6" t="str">
        <f ca="1">IFERROR(__xludf.DUMMYFUNCTION("""COMPUTED_VALUE"""),"Build &amp; Operation")</f>
        <v>Build &amp; Operation</v>
      </c>
      <c r="B1238" s="6" t="str">
        <f ca="1">IFERROR(__xludf.DUMMYFUNCTION("""COMPUTED_VALUE"""),"Build &amp; Operation")</f>
        <v>Build &amp; Operation</v>
      </c>
      <c r="H1238" s="6">
        <f ca="1"/>
        <v>0</v>
      </c>
      <c r="I1238" s="6">
        <f ca="1"/>
        <v>0</v>
      </c>
      <c r="J1238" s="6">
        <f ca="1"/>
        <v>0</v>
      </c>
    </row>
    <row r="1239" spans="1:10" ht="13" x14ac:dyDescent="0.15">
      <c r="A1239" s="6" t="str">
        <f ca="1">IFERROR(__xludf.DUMMYFUNCTION("""COMPUTED_VALUE"""),"Task Execution")</f>
        <v>Task Execution</v>
      </c>
      <c r="B1239" s="6" t="str">
        <f ca="1">IFERROR(__xludf.DUMMYFUNCTION("""COMPUTED_VALUE"""),"Task Execution")</f>
        <v>Task Execution</v>
      </c>
      <c r="H1239" s="6">
        <f ca="1"/>
        <v>0</v>
      </c>
      <c r="I1239" s="6">
        <f ca="1"/>
        <v>0</v>
      </c>
      <c r="J1239" s="6">
        <f ca="1"/>
        <v>0</v>
      </c>
    </row>
    <row r="1240" spans="1:10" ht="13" x14ac:dyDescent="0.15">
      <c r="A1240" s="6" t="str">
        <f ca="1">IFERROR(__xludf.DUMMYFUNCTION("""COMPUTED_VALUE"""),"Commit&amp;PR rule")</f>
        <v>Commit&amp;PR rule</v>
      </c>
      <c r="B1240" s="6" t="str">
        <f ca="1">IFERROR(__xludf.DUMMYFUNCTION("""COMPUTED_VALUE"""),"Commit&amp;PR rule")</f>
        <v>Commit&amp;PR rule</v>
      </c>
      <c r="H1240" s="6">
        <f ca="1"/>
        <v>0</v>
      </c>
      <c r="I1240" s="6">
        <f ca="1"/>
        <v>0</v>
      </c>
      <c r="J1240" s="6">
        <f ca="1"/>
        <v>0</v>
      </c>
    </row>
    <row r="1241" spans="1:10" ht="13" x14ac:dyDescent="0.15">
      <c r="A1241" s="6" t="str">
        <f ca="1">IFERROR(__xludf.DUMMYFUNCTION("""COMPUTED_VALUE"""),"Coding Pattern")</f>
        <v>Coding Pattern</v>
      </c>
      <c r="B1241" s="6" t="str">
        <f ca="1">IFERROR(__xludf.DUMMYFUNCTION("""COMPUTED_VALUE"""),"Coding Pattern")</f>
        <v>Coding Pattern</v>
      </c>
      <c r="H1241" s="6">
        <f ca="1"/>
        <v>0</v>
      </c>
      <c r="I1241" s="6">
        <f ca="1"/>
        <v>0</v>
      </c>
      <c r="J1241" s="6">
        <f ca="1"/>
        <v>0</v>
      </c>
    </row>
    <row r="1242" spans="1:10" ht="13" x14ac:dyDescent="0.15">
      <c r="A1242" s="6" t="str">
        <f ca="1">IFERROR(__xludf.DUMMYFUNCTION("""COMPUTED_VALUE"""),"Security")</f>
        <v>Security</v>
      </c>
      <c r="B1242" s="6" t="str">
        <f ca="1">IFERROR(__xludf.DUMMYFUNCTION("""COMPUTED_VALUE"""),"Security")</f>
        <v>Security</v>
      </c>
      <c r="H1242" s="6">
        <f ca="1"/>
        <v>0</v>
      </c>
      <c r="I1242" s="6">
        <f ca="1"/>
        <v>0</v>
      </c>
      <c r="J1242" s="6">
        <f ca="1"/>
        <v>0</v>
      </c>
    </row>
    <row r="1243" spans="1:10" ht="13" x14ac:dyDescent="0.15">
      <c r="A1243" s="6" t="str">
        <f ca="1">IFERROR(__xludf.DUMMYFUNCTION("""COMPUTED_VALUE"""),"Coding Pattern")</f>
        <v>Coding Pattern</v>
      </c>
      <c r="B1243" s="6" t="str">
        <f ca="1">IFERROR(__xludf.DUMMYFUNCTION("""COMPUTED_VALUE"""),"Coding Pattern")</f>
        <v>Coding Pattern</v>
      </c>
      <c r="H1243" s="6">
        <f ca="1"/>
        <v>0</v>
      </c>
      <c r="I1243" s="6">
        <f ca="1"/>
        <v>0</v>
      </c>
      <c r="J1243" s="6">
        <f ca="1"/>
        <v>0</v>
      </c>
    </row>
    <row r="1244" spans="1:10" ht="13" x14ac:dyDescent="0.15">
      <c r="A1244" s="6" t="str">
        <f ca="1">IFERROR(__xludf.DUMMYFUNCTION("""COMPUTED_VALUE"""),"Build &amp; Operation")</f>
        <v>Build &amp; Operation</v>
      </c>
      <c r="B1244" s="6" t="str">
        <f ca="1">IFERROR(__xludf.DUMMYFUNCTION("""COMPUTED_VALUE"""),"Build &amp; Operation")</f>
        <v>Build &amp; Operation</v>
      </c>
      <c r="H1244" s="6">
        <f ca="1"/>
        <v>0</v>
      </c>
      <c r="I1244" s="6">
        <f ca="1"/>
        <v>0</v>
      </c>
      <c r="J1244" s="6">
        <f ca="1"/>
        <v>0</v>
      </c>
    </row>
    <row r="1245" spans="1:10" ht="13" x14ac:dyDescent="0.15">
      <c r="A1245" s="6" t="str">
        <f ca="1">IFERROR(__xludf.DUMMYFUNCTION("""COMPUTED_VALUE"""),"Task Execution")</f>
        <v>Task Execution</v>
      </c>
      <c r="B1245" s="6" t="str">
        <f ca="1">IFERROR(__xludf.DUMMYFUNCTION("""COMPUTED_VALUE"""),"Task Execution")</f>
        <v>Task Execution</v>
      </c>
      <c r="H1245" s="6">
        <f ca="1"/>
        <v>0</v>
      </c>
      <c r="I1245" s="6">
        <f ca="1"/>
        <v>0</v>
      </c>
      <c r="J1245" s="6">
        <f ca="1"/>
        <v>0</v>
      </c>
    </row>
    <row r="1246" spans="1:10" ht="13" x14ac:dyDescent="0.15">
      <c r="A1246" s="6" t="str">
        <f ca="1">IFERROR(__xludf.DUMMYFUNCTION("""COMPUTED_VALUE"""),"Commit&amp;PR rule")</f>
        <v>Commit&amp;PR rule</v>
      </c>
      <c r="B1246" s="6" t="str">
        <f ca="1">IFERROR(__xludf.DUMMYFUNCTION("""COMPUTED_VALUE"""),"Commit&amp;PR rule")</f>
        <v>Commit&amp;PR rule</v>
      </c>
      <c r="H1246" s="6">
        <f ca="1"/>
        <v>0</v>
      </c>
      <c r="I1246" s="6">
        <f ca="1"/>
        <v>0</v>
      </c>
      <c r="J1246" s="6">
        <f ca="1"/>
        <v>0</v>
      </c>
    </row>
    <row r="1247" spans="1:10" ht="13" x14ac:dyDescent="0.15">
      <c r="A1247" s="6" t="str">
        <f ca="1">IFERROR(__xludf.DUMMYFUNCTION("""COMPUTED_VALUE"""),"Commit&amp;PR rule")</f>
        <v>Commit&amp;PR rule</v>
      </c>
      <c r="B1247" s="6" t="str">
        <f ca="1">IFERROR(__xludf.DUMMYFUNCTION("""COMPUTED_VALUE"""),"Commit&amp;PR rule")</f>
        <v>Commit&amp;PR rule</v>
      </c>
      <c r="H1247" s="6">
        <f ca="1"/>
        <v>0</v>
      </c>
      <c r="I1247" s="6">
        <f ca="1"/>
        <v>0</v>
      </c>
      <c r="J1247" s="6">
        <f ca="1"/>
        <v>0</v>
      </c>
    </row>
    <row r="1248" spans="1:10" ht="13" x14ac:dyDescent="0.15">
      <c r="A1248" s="6" t="str">
        <f ca="1">IFERROR(__xludf.DUMMYFUNCTION("""COMPUTED_VALUE"""),"Commit&amp;PR rule")</f>
        <v>Commit&amp;PR rule</v>
      </c>
      <c r="B1248" s="6" t="str">
        <f ca="1">IFERROR(__xludf.DUMMYFUNCTION("""COMPUTED_VALUE"""),"Commit&amp;PR rule")</f>
        <v>Commit&amp;PR rule</v>
      </c>
      <c r="H1248" s="6">
        <f ca="1"/>
        <v>0</v>
      </c>
      <c r="I1248" s="6">
        <f ca="1"/>
        <v>0</v>
      </c>
      <c r="J1248" s="6">
        <f ca="1"/>
        <v>0</v>
      </c>
    </row>
    <row r="1249" spans="1:10" ht="13" x14ac:dyDescent="0.15">
      <c r="A1249" s="6" t="str">
        <f ca="1">IFERROR(__xludf.DUMMYFUNCTION("""COMPUTED_VALUE"""),"Coding Pattern")</f>
        <v>Coding Pattern</v>
      </c>
      <c r="B1249" s="6" t="str">
        <f ca="1">IFERROR(__xludf.DUMMYFUNCTION("""COMPUTED_VALUE"""),"Coding Pattern")</f>
        <v>Coding Pattern</v>
      </c>
      <c r="H1249" s="6">
        <f ca="1"/>
        <v>0</v>
      </c>
      <c r="I1249" s="6">
        <f ca="1"/>
        <v>0</v>
      </c>
      <c r="J1249" s="6">
        <f ca="1"/>
        <v>0</v>
      </c>
    </row>
    <row r="1250" spans="1:10" ht="13" x14ac:dyDescent="0.15">
      <c r="A1250" s="6" t="str">
        <f ca="1">IFERROR(__xludf.DUMMYFUNCTION("""COMPUTED_VALUE"""),"Maintainability")</f>
        <v>Maintainability</v>
      </c>
      <c r="B1250" s="6" t="str">
        <f ca="1">IFERROR(__xludf.DUMMYFUNCTION("""COMPUTED_VALUE"""),"Coding Pattern")</f>
        <v>Coding Pattern</v>
      </c>
      <c r="H1250" s="6">
        <f ca="1"/>
        <v>0</v>
      </c>
      <c r="I1250" s="6">
        <f ca="1"/>
        <v>0</v>
      </c>
      <c r="J1250" s="6">
        <f ca="1"/>
        <v>0</v>
      </c>
    </row>
    <row r="1251" spans="1:10" ht="13" x14ac:dyDescent="0.15">
      <c r="A1251" s="6" t="str">
        <f ca="1">IFERROR(__xludf.DUMMYFUNCTION("""COMPUTED_VALUE"""),"Commit&amp;PR rule")</f>
        <v>Commit&amp;PR rule</v>
      </c>
      <c r="B1251" s="6" t="str">
        <f ca="1">IFERROR(__xludf.DUMMYFUNCTION("""COMPUTED_VALUE"""),"Commit&amp;PR rule")</f>
        <v>Commit&amp;PR rule</v>
      </c>
      <c r="H1251" s="6">
        <f ca="1"/>
        <v>0</v>
      </c>
      <c r="I1251" s="6">
        <f ca="1"/>
        <v>0</v>
      </c>
      <c r="J1251" s="6">
        <f ca="1"/>
        <v>0</v>
      </c>
    </row>
    <row r="1252" spans="1:10" ht="13" x14ac:dyDescent="0.15">
      <c r="A1252" s="6" t="str">
        <f ca="1">IFERROR(__xludf.DUMMYFUNCTION("""COMPUTED_VALUE"""),"Build &amp; Operation")</f>
        <v>Build &amp; Operation</v>
      </c>
      <c r="B1252" s="6" t="str">
        <f ca="1">IFERROR(__xludf.DUMMYFUNCTION("""COMPUTED_VALUE"""),"Build &amp; Operation")</f>
        <v>Build &amp; Operation</v>
      </c>
      <c r="H1252" s="6">
        <f ca="1"/>
        <v>0</v>
      </c>
      <c r="I1252" s="6">
        <f ca="1"/>
        <v>0</v>
      </c>
      <c r="J1252" s="6">
        <f ca="1"/>
        <v>0</v>
      </c>
    </row>
    <row r="1253" spans="1:10" ht="13" x14ac:dyDescent="0.15">
      <c r="A1253" s="6" t="str">
        <f ca="1">IFERROR(__xludf.DUMMYFUNCTION("""COMPUTED_VALUE"""),"Coding Pattern")</f>
        <v>Coding Pattern</v>
      </c>
      <c r="B1253" s="6" t="str">
        <f ca="1">IFERROR(__xludf.DUMMYFUNCTION("""COMPUTED_VALUE"""),"Coding Pattern")</f>
        <v>Coding Pattern</v>
      </c>
      <c r="H1253" s="6">
        <f ca="1"/>
        <v>0</v>
      </c>
      <c r="I1253" s="6">
        <f ca="1"/>
        <v>0</v>
      </c>
      <c r="J1253" s="6">
        <f ca="1"/>
        <v>0</v>
      </c>
    </row>
    <row r="1254" spans="1:10" ht="13" x14ac:dyDescent="0.15">
      <c r="A1254" s="6" t="str">
        <f ca="1">IFERROR(__xludf.DUMMYFUNCTION("""COMPUTED_VALUE"""),"Coding Pattern")</f>
        <v>Coding Pattern</v>
      </c>
      <c r="B1254" s="6" t="str">
        <f ca="1">IFERROR(__xludf.DUMMYFUNCTION("""COMPUTED_VALUE"""),"Coding Pattern")</f>
        <v>Coding Pattern</v>
      </c>
      <c r="H1254" s="6">
        <f ca="1"/>
        <v>0</v>
      </c>
      <c r="I1254" s="6">
        <f ca="1"/>
        <v>0</v>
      </c>
      <c r="J1254" s="6">
        <f ca="1"/>
        <v>0</v>
      </c>
    </row>
    <row r="1255" spans="1:10" ht="13" x14ac:dyDescent="0.15">
      <c r="A1255" s="6" t="str">
        <f ca="1">IFERROR(__xludf.DUMMYFUNCTION("""COMPUTED_VALUE"""),"Coding Pattern")</f>
        <v>Coding Pattern</v>
      </c>
      <c r="B1255" s="6" t="str">
        <f ca="1">IFERROR(__xludf.DUMMYFUNCTION("""COMPUTED_VALUE"""),"Coding Pattern")</f>
        <v>Coding Pattern</v>
      </c>
      <c r="H1255" s="6">
        <f ca="1"/>
        <v>0</v>
      </c>
      <c r="I1255" s="6">
        <f ca="1"/>
        <v>0</v>
      </c>
      <c r="J1255" s="6">
        <f ca="1"/>
        <v>0</v>
      </c>
    </row>
    <row r="1256" spans="1:10" ht="13" x14ac:dyDescent="0.15">
      <c r="A1256" s="6" t="str">
        <f ca="1">IFERROR(__xludf.DUMMYFUNCTION("""COMPUTED_VALUE"""),"Coding Pattern")</f>
        <v>Coding Pattern</v>
      </c>
      <c r="B1256" s="6" t="str">
        <f ca="1">IFERROR(__xludf.DUMMYFUNCTION("""COMPUTED_VALUE"""),"Coding Pattern")</f>
        <v>Coding Pattern</v>
      </c>
      <c r="H1256" s="6">
        <f ca="1"/>
        <v>0</v>
      </c>
      <c r="I1256" s="6">
        <f ca="1"/>
        <v>0</v>
      </c>
      <c r="J1256" s="6">
        <f ca="1"/>
        <v>0</v>
      </c>
    </row>
    <row r="1257" spans="1:10" ht="13" x14ac:dyDescent="0.15">
      <c r="A1257" s="6" t="str">
        <f ca="1">IFERROR(__xludf.DUMMYFUNCTION("""COMPUTED_VALUE"""),"Task Execution")</f>
        <v>Task Execution</v>
      </c>
      <c r="B1257" s="6" t="str">
        <f ca="1">IFERROR(__xludf.DUMMYFUNCTION("""COMPUTED_VALUE"""),"Task Execution")</f>
        <v>Task Execution</v>
      </c>
      <c r="H1257" s="6">
        <f ca="1"/>
        <v>0</v>
      </c>
      <c r="I1257" s="6">
        <f ca="1"/>
        <v>0</v>
      </c>
      <c r="J1257" s="6">
        <f ca="1"/>
        <v>0</v>
      </c>
    </row>
    <row r="1258" spans="1:10" ht="13" x14ac:dyDescent="0.15">
      <c r="A1258" s="6" t="str">
        <f ca="1">IFERROR(__xludf.DUMMYFUNCTION("""COMPUTED_VALUE"""),"Maintainability")</f>
        <v>Maintainability</v>
      </c>
      <c r="B1258" s="6" t="str">
        <f ca="1">IFERROR(__xludf.DUMMYFUNCTION("""COMPUTED_VALUE"""),"Task Execution")</f>
        <v>Task Execution</v>
      </c>
      <c r="H1258" s="6">
        <f ca="1"/>
        <v>0</v>
      </c>
      <c r="I1258" s="6">
        <f ca="1"/>
        <v>0</v>
      </c>
      <c r="J1258" s="6">
        <f ca="1"/>
        <v>0</v>
      </c>
    </row>
    <row r="1259" spans="1:10" ht="13" x14ac:dyDescent="0.15">
      <c r="A1259" s="6" t="str">
        <f ca="1">IFERROR(__xludf.DUMMYFUNCTION("""COMPUTED_VALUE"""),"Build &amp; Operation")</f>
        <v>Build &amp; Operation</v>
      </c>
      <c r="B1259" s="6" t="str">
        <f ca="1">IFERROR(__xludf.DUMMYFUNCTION("""COMPUTED_VALUE"""),"Build &amp; Operation")</f>
        <v>Build &amp; Operation</v>
      </c>
      <c r="H1259" s="6">
        <f ca="1"/>
        <v>0</v>
      </c>
      <c r="I1259" s="6">
        <f ca="1"/>
        <v>0</v>
      </c>
      <c r="J1259" s="6">
        <f ca="1"/>
        <v>0</v>
      </c>
    </row>
    <row r="1260" spans="1:10" ht="13" x14ac:dyDescent="0.15">
      <c r="A1260" s="6" t="str">
        <f ca="1">IFERROR(__xludf.DUMMYFUNCTION("""COMPUTED_VALUE"""),"Task Execution")</f>
        <v>Task Execution</v>
      </c>
      <c r="B1260" s="6" t="str">
        <f ca="1">IFERROR(__xludf.DUMMYFUNCTION("""COMPUTED_VALUE"""),"Task Execution")</f>
        <v>Task Execution</v>
      </c>
      <c r="H1260" s="6">
        <f ca="1"/>
        <v>0</v>
      </c>
      <c r="I1260" s="6">
        <f ca="1"/>
        <v>0</v>
      </c>
      <c r="J1260" s="6">
        <f ca="1"/>
        <v>0</v>
      </c>
    </row>
    <row r="1261" spans="1:10" ht="13" x14ac:dyDescent="0.15">
      <c r="A1261" s="6" t="str">
        <f ca="1">IFERROR(__xludf.DUMMYFUNCTION("""COMPUTED_VALUE"""),"Task Execution")</f>
        <v>Task Execution</v>
      </c>
      <c r="B1261" s="6" t="str">
        <f ca="1">IFERROR(__xludf.DUMMYFUNCTION("""COMPUTED_VALUE"""),"Build &amp; Operation")</f>
        <v>Build &amp; Operation</v>
      </c>
      <c r="H1261" s="6">
        <f ca="1"/>
        <v>0</v>
      </c>
      <c r="I1261" s="6">
        <f ca="1"/>
        <v>0</v>
      </c>
      <c r="J1261" s="6">
        <f ca="1"/>
        <v>0</v>
      </c>
    </row>
    <row r="1262" spans="1:10" ht="13" x14ac:dyDescent="0.15">
      <c r="A1262" s="6" t="str">
        <f ca="1">IFERROR(__xludf.DUMMYFUNCTION("""COMPUTED_VALUE"""),"Commit&amp;PR rule")</f>
        <v>Commit&amp;PR rule</v>
      </c>
      <c r="B1262" s="6" t="str">
        <f ca="1">IFERROR(__xludf.DUMMYFUNCTION("""COMPUTED_VALUE"""),"Commit&amp;PR rule")</f>
        <v>Commit&amp;PR rule</v>
      </c>
      <c r="H1262" s="6">
        <f ca="1"/>
        <v>0</v>
      </c>
      <c r="I1262" s="6">
        <f ca="1"/>
        <v>0</v>
      </c>
      <c r="J1262" s="6">
        <f ca="1"/>
        <v>0</v>
      </c>
    </row>
    <row r="1263" spans="1:10" ht="13" x14ac:dyDescent="0.15">
      <c r="A1263" s="6" t="str">
        <f ca="1">IFERROR(__xludf.DUMMYFUNCTION("""COMPUTED_VALUE"""),"Commit&amp;PR rule")</f>
        <v>Commit&amp;PR rule</v>
      </c>
      <c r="B1263" s="6" t="str">
        <f ca="1">IFERROR(__xludf.DUMMYFUNCTION("""COMPUTED_VALUE"""),"Commit&amp;PR rule")</f>
        <v>Commit&amp;PR rule</v>
      </c>
      <c r="H1263" s="6">
        <f ca="1"/>
        <v>0</v>
      </c>
      <c r="I1263" s="6">
        <f ca="1"/>
        <v>0</v>
      </c>
      <c r="J1263" s="6">
        <f ca="1"/>
        <v>0</v>
      </c>
    </row>
    <row r="1264" spans="1:10" ht="13" x14ac:dyDescent="0.15">
      <c r="A1264" s="6" t="str">
        <f ca="1">IFERROR(__xludf.DUMMYFUNCTION("""COMPUTED_VALUE"""),"Commit&amp;PR rule")</f>
        <v>Commit&amp;PR rule</v>
      </c>
      <c r="B1264" s="6" t="str">
        <f ca="1">IFERROR(__xludf.DUMMYFUNCTION("""COMPUTED_VALUE"""),"Commit&amp;PR rule")</f>
        <v>Commit&amp;PR rule</v>
      </c>
      <c r="H1264" s="6">
        <f ca="1"/>
        <v>0</v>
      </c>
      <c r="I1264" s="6">
        <f ca="1"/>
        <v>0</v>
      </c>
      <c r="J1264" s="6">
        <f ca="1"/>
        <v>0</v>
      </c>
    </row>
    <row r="1265" spans="1:10" ht="13" x14ac:dyDescent="0.15">
      <c r="A1265" s="6" t="str">
        <f ca="1">IFERROR(__xludf.DUMMYFUNCTION("""COMPUTED_VALUE"""),"Documentation")</f>
        <v>Documentation</v>
      </c>
      <c r="B1265" s="6" t="str">
        <f ca="1">IFERROR(__xludf.DUMMYFUNCTION("""COMPUTED_VALUE"""),"Documentation")</f>
        <v>Documentation</v>
      </c>
      <c r="H1265" s="6">
        <f ca="1"/>
        <v>0</v>
      </c>
      <c r="I1265" s="6">
        <f ca="1"/>
        <v>0</v>
      </c>
      <c r="J1265" s="6">
        <f ca="1"/>
        <v>0</v>
      </c>
    </row>
    <row r="1266" spans="1:10" ht="13" x14ac:dyDescent="0.15">
      <c r="A1266" s="6" t="str">
        <f ca="1">IFERROR(__xludf.DUMMYFUNCTION("""COMPUTED_VALUE"""),"Commit&amp;PR rule")</f>
        <v>Commit&amp;PR rule</v>
      </c>
      <c r="B1266" s="6" t="str">
        <f ca="1">IFERROR(__xludf.DUMMYFUNCTION("""COMPUTED_VALUE"""),"Commit&amp;PR rule")</f>
        <v>Commit&amp;PR rule</v>
      </c>
      <c r="H1266" s="6">
        <f ca="1"/>
        <v>0</v>
      </c>
      <c r="I1266" s="6">
        <f ca="1"/>
        <v>0</v>
      </c>
      <c r="J1266" s="6">
        <f ca="1"/>
        <v>0</v>
      </c>
    </row>
    <row r="1267" spans="1:10" ht="13" x14ac:dyDescent="0.15">
      <c r="A1267" s="6" t="str">
        <f ca="1">IFERROR(__xludf.DUMMYFUNCTION("""COMPUTED_VALUE"""),"Maintainability")</f>
        <v>Maintainability</v>
      </c>
      <c r="B1267" s="6" t="str">
        <f ca="1">IFERROR(__xludf.DUMMYFUNCTION("""COMPUTED_VALUE"""),"Coding Pattern")</f>
        <v>Coding Pattern</v>
      </c>
      <c r="H1267" s="6">
        <f ca="1"/>
        <v>0</v>
      </c>
      <c r="I1267" s="6">
        <f ca="1"/>
        <v>0</v>
      </c>
      <c r="J1267" s="6">
        <f ca="1"/>
        <v>0</v>
      </c>
    </row>
    <row r="1268" spans="1:10" ht="13" x14ac:dyDescent="0.15">
      <c r="A1268" s="6" t="str">
        <f ca="1">IFERROR(__xludf.DUMMYFUNCTION("""COMPUTED_VALUE"""),"Performance")</f>
        <v>Performance</v>
      </c>
      <c r="B1268" s="6" t="str">
        <f ca="1">IFERROR(__xludf.DUMMYFUNCTION("""COMPUTED_VALUE"""),"Build &amp; Operation")</f>
        <v>Build &amp; Operation</v>
      </c>
      <c r="H1268" s="6">
        <f ca="1"/>
        <v>0</v>
      </c>
      <c r="I1268" s="6">
        <f ca="1"/>
        <v>0</v>
      </c>
      <c r="J1268" s="6">
        <f ca="1"/>
        <v>0</v>
      </c>
    </row>
    <row r="1269" spans="1:10" ht="13" x14ac:dyDescent="0.15">
      <c r="A1269" s="6" t="str">
        <f ca="1">IFERROR(__xludf.DUMMYFUNCTION("""COMPUTED_VALUE"""),"Coding Pattern")</f>
        <v>Coding Pattern</v>
      </c>
      <c r="B1269" s="6" t="str">
        <f ca="1">IFERROR(__xludf.DUMMYFUNCTION("""COMPUTED_VALUE"""),"Coding Pattern")</f>
        <v>Coding Pattern</v>
      </c>
      <c r="H1269" s="6">
        <f ca="1"/>
        <v>0</v>
      </c>
      <c r="I1269" s="6">
        <f ca="1"/>
        <v>0</v>
      </c>
      <c r="J1269" s="6">
        <f ca="1"/>
        <v>0</v>
      </c>
    </row>
    <row r="1270" spans="1:10" ht="13" x14ac:dyDescent="0.15">
      <c r="A1270" s="6" t="str">
        <f ca="1">IFERROR(__xludf.DUMMYFUNCTION("""COMPUTED_VALUE"""),"Commit&amp;PR rule")</f>
        <v>Commit&amp;PR rule</v>
      </c>
      <c r="B1270" s="6" t="str">
        <f ca="1">IFERROR(__xludf.DUMMYFUNCTION("""COMPUTED_VALUE"""),"Commit&amp;PR rule")</f>
        <v>Commit&amp;PR rule</v>
      </c>
      <c r="H1270" s="6">
        <f ca="1"/>
        <v>0</v>
      </c>
      <c r="I1270" s="6">
        <f ca="1"/>
        <v>0</v>
      </c>
      <c r="J1270" s="6">
        <f ca="1"/>
        <v>0</v>
      </c>
    </row>
    <row r="1271" spans="1:10" ht="13" x14ac:dyDescent="0.15">
      <c r="A1271" s="6" t="str">
        <f ca="1">IFERROR(__xludf.DUMMYFUNCTION("""COMPUTED_VALUE"""),"Task Execution")</f>
        <v>Task Execution</v>
      </c>
      <c r="B1271" s="6" t="str">
        <f ca="1">IFERROR(__xludf.DUMMYFUNCTION("""COMPUTED_VALUE"""),"Task Execution")</f>
        <v>Task Execution</v>
      </c>
      <c r="H1271" s="6">
        <f ca="1"/>
        <v>0</v>
      </c>
      <c r="I1271" s="6">
        <f ca="1"/>
        <v>0</v>
      </c>
      <c r="J1271" s="6">
        <f ca="1"/>
        <v>0</v>
      </c>
    </row>
    <row r="1272" spans="1:10" ht="13" x14ac:dyDescent="0.15">
      <c r="A1272" s="6" t="str">
        <f ca="1">IFERROR(__xludf.DUMMYFUNCTION("""COMPUTED_VALUE"""),"Performance")</f>
        <v>Performance</v>
      </c>
      <c r="B1272" s="6" t="str">
        <f ca="1">IFERROR(__xludf.DUMMYFUNCTION("""COMPUTED_VALUE"""),"Performance")</f>
        <v>Performance</v>
      </c>
      <c r="H1272" s="6">
        <f ca="1"/>
        <v>0</v>
      </c>
      <c r="I1272" s="6">
        <f ca="1"/>
        <v>0</v>
      </c>
      <c r="J1272" s="6">
        <f ca="1"/>
        <v>0</v>
      </c>
    </row>
    <row r="1273" spans="1:10" ht="13" x14ac:dyDescent="0.15">
      <c r="A1273" s="6" t="str">
        <f ca="1">IFERROR(__xludf.DUMMYFUNCTION("""COMPUTED_VALUE"""),"Commit&amp;PR rule")</f>
        <v>Commit&amp;PR rule</v>
      </c>
      <c r="B1273" s="6" t="str">
        <f ca="1">IFERROR(__xludf.DUMMYFUNCTION("""COMPUTED_VALUE"""),"Commit&amp;PR rule")</f>
        <v>Commit&amp;PR rule</v>
      </c>
      <c r="H1273" s="6">
        <f ca="1"/>
        <v>0</v>
      </c>
      <c r="I1273" s="6">
        <f ca="1"/>
        <v>0</v>
      </c>
      <c r="J1273" s="6">
        <f ca="1"/>
        <v>0</v>
      </c>
    </row>
    <row r="1274" spans="1:10" ht="13" x14ac:dyDescent="0.15">
      <c r="A1274" s="6" t="str">
        <f ca="1">IFERROR(__xludf.DUMMYFUNCTION("""COMPUTED_VALUE"""),"Commit&amp;PR rule")</f>
        <v>Commit&amp;PR rule</v>
      </c>
      <c r="B1274" s="6" t="str">
        <f ca="1">IFERROR(__xludf.DUMMYFUNCTION("""COMPUTED_VALUE"""),"Commit&amp;PR rule")</f>
        <v>Commit&amp;PR rule</v>
      </c>
      <c r="H1274" s="6">
        <f ca="1"/>
        <v>0</v>
      </c>
      <c r="I1274" s="6">
        <f ca="1"/>
        <v>0</v>
      </c>
      <c r="J1274" s="6">
        <f ca="1"/>
        <v>0</v>
      </c>
    </row>
    <row r="1275" spans="1:10" ht="13" x14ac:dyDescent="0.15">
      <c r="A1275" s="6" t="str">
        <f ca="1">IFERROR(__xludf.DUMMYFUNCTION("""COMPUTED_VALUE"""),"Testing")</f>
        <v>Testing</v>
      </c>
      <c r="B1275" s="6" t="str">
        <f ca="1">IFERROR(__xludf.DUMMYFUNCTION("""COMPUTED_VALUE"""),"Testing")</f>
        <v>Testing</v>
      </c>
      <c r="H1275" s="6">
        <f ca="1"/>
        <v>0</v>
      </c>
      <c r="I1275" s="6">
        <f ca="1"/>
        <v>0</v>
      </c>
      <c r="J1275" s="6">
        <f ca="1"/>
        <v>0</v>
      </c>
    </row>
    <row r="1276" spans="1:10" ht="13" x14ac:dyDescent="0.15">
      <c r="A1276" s="6" t="str">
        <f ca="1">IFERROR(__xludf.DUMMYFUNCTION("""COMPUTED_VALUE"""),"Coding Pattern")</f>
        <v>Coding Pattern</v>
      </c>
      <c r="B1276" s="6" t="str">
        <f ca="1">IFERROR(__xludf.DUMMYFUNCTION("""COMPUTED_VALUE"""),"Coding Pattern")</f>
        <v>Coding Pattern</v>
      </c>
      <c r="H1276" s="6">
        <f ca="1"/>
        <v>0</v>
      </c>
      <c r="I1276" s="6">
        <f ca="1"/>
        <v>0</v>
      </c>
      <c r="J1276" s="6">
        <f ca="1"/>
        <v>0</v>
      </c>
    </row>
    <row r="1277" spans="1:10" ht="13" x14ac:dyDescent="0.15">
      <c r="A1277" s="6" t="str">
        <f ca="1">IFERROR(__xludf.DUMMYFUNCTION("""COMPUTED_VALUE"""),"Maintainability")</f>
        <v>Maintainability</v>
      </c>
      <c r="B1277" s="6" t="str">
        <f ca="1">IFERROR(__xludf.DUMMYFUNCTION("""COMPUTED_VALUE"""),"Maintainability")</f>
        <v>Maintainability</v>
      </c>
      <c r="H1277" s="6">
        <f ca="1"/>
        <v>0</v>
      </c>
      <c r="I1277" s="6">
        <f ca="1"/>
        <v>0</v>
      </c>
      <c r="J1277" s="6">
        <f ca="1"/>
        <v>0</v>
      </c>
    </row>
    <row r="1278" spans="1:10" ht="13" x14ac:dyDescent="0.15">
      <c r="A1278" s="6" t="str">
        <f ca="1">IFERROR(__xludf.DUMMYFUNCTION("""COMPUTED_VALUE"""),"Coding Pattern")</f>
        <v>Coding Pattern</v>
      </c>
      <c r="B1278" s="6" t="str">
        <f ca="1">IFERROR(__xludf.DUMMYFUNCTION("""COMPUTED_VALUE"""),"Coding Pattern")</f>
        <v>Coding Pattern</v>
      </c>
      <c r="H1278" s="6">
        <f ca="1"/>
        <v>0</v>
      </c>
      <c r="I1278" s="6">
        <f ca="1"/>
        <v>0</v>
      </c>
      <c r="J1278" s="6">
        <f ca="1"/>
        <v>0</v>
      </c>
    </row>
    <row r="1279" spans="1:10" ht="13" x14ac:dyDescent="0.15">
      <c r="A1279" s="6" t="str">
        <f ca="1">IFERROR(__xludf.DUMMYFUNCTION("""COMPUTED_VALUE"""),"Coding Pattern")</f>
        <v>Coding Pattern</v>
      </c>
      <c r="B1279" s="6" t="str">
        <f ca="1">IFERROR(__xludf.DUMMYFUNCTION("""COMPUTED_VALUE"""),"Coding Pattern")</f>
        <v>Coding Pattern</v>
      </c>
      <c r="H1279" s="6">
        <f ca="1"/>
        <v>0</v>
      </c>
      <c r="I1279" s="6">
        <f ca="1"/>
        <v>0</v>
      </c>
      <c r="J1279" s="6">
        <f ca="1"/>
        <v>0</v>
      </c>
    </row>
    <row r="1280" spans="1:10" ht="13" x14ac:dyDescent="0.15">
      <c r="A1280" s="6" t="str">
        <f ca="1">IFERROR(__xludf.DUMMYFUNCTION("""COMPUTED_VALUE"""),"Commit&amp;PR rule")</f>
        <v>Commit&amp;PR rule</v>
      </c>
      <c r="B1280" s="6" t="str">
        <f ca="1">IFERROR(__xludf.DUMMYFUNCTION("""COMPUTED_VALUE"""),"Commit&amp;PR rule")</f>
        <v>Commit&amp;PR rule</v>
      </c>
      <c r="H1280" s="6">
        <f ca="1"/>
        <v>0</v>
      </c>
      <c r="I1280" s="6">
        <f ca="1"/>
        <v>0</v>
      </c>
      <c r="J1280" s="6">
        <f ca="1"/>
        <v>0</v>
      </c>
    </row>
    <row r="1281" spans="1:10" ht="13" x14ac:dyDescent="0.15">
      <c r="A1281" s="6" t="str">
        <f ca="1">IFERROR(__xludf.DUMMYFUNCTION("""COMPUTED_VALUE"""),"Security")</f>
        <v>Security</v>
      </c>
      <c r="B1281" s="6" t="str">
        <f ca="1">IFERROR(__xludf.DUMMYFUNCTION("""COMPUTED_VALUE"""),"Security")</f>
        <v>Security</v>
      </c>
      <c r="H1281" s="6">
        <f ca="1"/>
        <v>0</v>
      </c>
      <c r="I1281" s="6">
        <f ca="1"/>
        <v>0</v>
      </c>
      <c r="J1281" s="6">
        <f ca="1"/>
        <v>0</v>
      </c>
    </row>
    <row r="1282" spans="1:10" ht="13" x14ac:dyDescent="0.15">
      <c r="A1282" s="6" t="str">
        <f ca="1">IFERROR(__xludf.DUMMYFUNCTION("""COMPUTED_VALUE"""),"Commit&amp;PR rule")</f>
        <v>Commit&amp;PR rule</v>
      </c>
      <c r="B1282" s="6" t="str">
        <f ca="1">IFERROR(__xludf.DUMMYFUNCTION("""COMPUTED_VALUE"""),"Commit&amp;PR rule")</f>
        <v>Commit&amp;PR rule</v>
      </c>
      <c r="H1282" s="6">
        <f ca="1"/>
        <v>0</v>
      </c>
      <c r="I1282" s="6">
        <f ca="1"/>
        <v>0</v>
      </c>
      <c r="J1282" s="6">
        <f ca="1"/>
        <v>0</v>
      </c>
    </row>
    <row r="1283" spans="1:10" ht="13" x14ac:dyDescent="0.15">
      <c r="A1283" s="6" t="str">
        <f ca="1">IFERROR(__xludf.DUMMYFUNCTION("""COMPUTED_VALUE"""),"Coding Pattern")</f>
        <v>Coding Pattern</v>
      </c>
      <c r="B1283" s="6" t="str">
        <f ca="1">IFERROR(__xludf.DUMMYFUNCTION("""COMPUTED_VALUE"""),"Coding Pattern")</f>
        <v>Coding Pattern</v>
      </c>
      <c r="H1283" s="6">
        <f ca="1"/>
        <v>0</v>
      </c>
      <c r="I1283" s="6">
        <f ca="1"/>
        <v>0</v>
      </c>
      <c r="J1283" s="6">
        <f ca="1"/>
        <v>0</v>
      </c>
    </row>
    <row r="1284" spans="1:10" ht="13" x14ac:dyDescent="0.15">
      <c r="A1284" s="6" t="str">
        <f ca="1">IFERROR(__xludf.DUMMYFUNCTION("""COMPUTED_VALUE"""),"Coding Pattern")</f>
        <v>Coding Pattern</v>
      </c>
      <c r="B1284" s="6" t="str">
        <f ca="1">IFERROR(__xludf.DUMMYFUNCTION("""COMPUTED_VALUE"""),"Coding Pattern")</f>
        <v>Coding Pattern</v>
      </c>
      <c r="H1284" s="6">
        <f ca="1"/>
        <v>0</v>
      </c>
      <c r="I1284" s="6">
        <f ca="1"/>
        <v>0</v>
      </c>
      <c r="J1284" s="6">
        <f ca="1"/>
        <v>0</v>
      </c>
    </row>
    <row r="1285" spans="1:10" ht="13" x14ac:dyDescent="0.15">
      <c r="A1285" s="6" t="str">
        <f ca="1">IFERROR(__xludf.DUMMYFUNCTION("""COMPUTED_VALUE"""),"Coding Pattern")</f>
        <v>Coding Pattern</v>
      </c>
      <c r="B1285" s="6" t="str">
        <f ca="1">IFERROR(__xludf.DUMMYFUNCTION("""COMPUTED_VALUE"""),"Coding Pattern")</f>
        <v>Coding Pattern</v>
      </c>
      <c r="H1285" s="6">
        <f ca="1"/>
        <v>0</v>
      </c>
      <c r="I1285" s="6">
        <f ca="1"/>
        <v>0</v>
      </c>
      <c r="J1285" s="6">
        <f ca="1"/>
        <v>0</v>
      </c>
    </row>
    <row r="1286" spans="1:10" ht="13" x14ac:dyDescent="0.15">
      <c r="A1286" s="6" t="str">
        <f ca="1">IFERROR(__xludf.DUMMYFUNCTION("""COMPUTED_VALUE"""),"Coding Pattern")</f>
        <v>Coding Pattern</v>
      </c>
      <c r="B1286" s="6" t="str">
        <f ca="1">IFERROR(__xludf.DUMMYFUNCTION("""COMPUTED_VALUE"""),"Coding Pattern")</f>
        <v>Coding Pattern</v>
      </c>
      <c r="H1286" s="6">
        <f ca="1"/>
        <v>0</v>
      </c>
      <c r="I1286" s="6">
        <f ca="1"/>
        <v>0</v>
      </c>
      <c r="J1286" s="6">
        <f ca="1"/>
        <v>0</v>
      </c>
    </row>
    <row r="1287" spans="1:10" ht="13" x14ac:dyDescent="0.15">
      <c r="A1287" s="6" t="str">
        <f ca="1">IFERROR(__xludf.DUMMYFUNCTION("""COMPUTED_VALUE"""),"Coding Pattern")</f>
        <v>Coding Pattern</v>
      </c>
      <c r="B1287" s="6" t="str">
        <f ca="1">IFERROR(__xludf.DUMMYFUNCTION("""COMPUTED_VALUE"""),"Coding Pattern")</f>
        <v>Coding Pattern</v>
      </c>
      <c r="H1287" s="6">
        <f ca="1"/>
        <v>0</v>
      </c>
      <c r="I1287" s="6">
        <f ca="1"/>
        <v>0</v>
      </c>
      <c r="J1287" s="6">
        <f ca="1"/>
        <v>0</v>
      </c>
    </row>
    <row r="1288" spans="1:10" ht="13" x14ac:dyDescent="0.15">
      <c r="A1288" s="6" t="str">
        <f ca="1">IFERROR(__xludf.DUMMYFUNCTION("""COMPUTED_VALUE"""),"Documentation")</f>
        <v>Documentation</v>
      </c>
      <c r="B1288" s="6" t="str">
        <f ca="1">IFERROR(__xludf.DUMMYFUNCTION("""COMPUTED_VALUE"""),"Documentation")</f>
        <v>Documentation</v>
      </c>
      <c r="H1288" s="6">
        <f ca="1"/>
        <v>0</v>
      </c>
      <c r="I1288" s="6">
        <f ca="1"/>
        <v>0</v>
      </c>
      <c r="J1288" s="6">
        <f ca="1"/>
        <v>0</v>
      </c>
    </row>
    <row r="1289" spans="1:10" ht="13" x14ac:dyDescent="0.15">
      <c r="A1289" s="6" t="str">
        <f ca="1">IFERROR(__xludf.DUMMYFUNCTION("""COMPUTED_VALUE"""),"Writing Style Preference")</f>
        <v>Writing Style Preference</v>
      </c>
      <c r="B1289" s="6" t="str">
        <f ca="1">IFERROR(__xludf.DUMMYFUNCTION("""COMPUTED_VALUE"""),"Writing Style Preference")</f>
        <v>Writing Style Preference</v>
      </c>
      <c r="H1289" s="6">
        <f ca="1"/>
        <v>0</v>
      </c>
      <c r="I1289" s="6">
        <f ca="1"/>
        <v>0</v>
      </c>
      <c r="J1289" s="6">
        <f ca="1"/>
        <v>0</v>
      </c>
    </row>
    <row r="1290" spans="1:10" ht="13" x14ac:dyDescent="0.15">
      <c r="A1290" s="6" t="str">
        <f ca="1">IFERROR(__xludf.DUMMYFUNCTION("""COMPUTED_VALUE"""),"Writing Style Preference")</f>
        <v>Writing Style Preference</v>
      </c>
      <c r="B1290" s="6" t="str">
        <f ca="1">IFERROR(__xludf.DUMMYFUNCTION("""COMPUTED_VALUE"""),"Writing Style Preference")</f>
        <v>Writing Style Preference</v>
      </c>
      <c r="H1290" s="6">
        <f ca="1"/>
        <v>0</v>
      </c>
      <c r="I1290" s="6">
        <f ca="1"/>
        <v>0</v>
      </c>
      <c r="J1290" s="6">
        <f ca="1"/>
        <v>0</v>
      </c>
    </row>
    <row r="1291" spans="1:10" ht="13" x14ac:dyDescent="0.15">
      <c r="A1291" s="6" t="str">
        <f ca="1">IFERROR(__xludf.DUMMYFUNCTION("""COMPUTED_VALUE"""),"Security")</f>
        <v>Security</v>
      </c>
      <c r="B1291" s="6" t="str">
        <f ca="1">IFERROR(__xludf.DUMMYFUNCTION("""COMPUTED_VALUE"""),"Security")</f>
        <v>Security</v>
      </c>
      <c r="H1291" s="6">
        <f ca="1"/>
        <v>0</v>
      </c>
      <c r="I1291" s="6">
        <f ca="1"/>
        <v>0</v>
      </c>
      <c r="J1291" s="6">
        <f ca="1"/>
        <v>0</v>
      </c>
    </row>
    <row r="1292" spans="1:10" ht="13" x14ac:dyDescent="0.15">
      <c r="A1292" s="6" t="str">
        <f ca="1">IFERROR(__xludf.DUMMYFUNCTION("""COMPUTED_VALUE"""),"Security")</f>
        <v>Security</v>
      </c>
      <c r="B1292" s="6" t="str">
        <f ca="1">IFERROR(__xludf.DUMMYFUNCTION("""COMPUTED_VALUE"""),"Coding Pattern")</f>
        <v>Coding Pattern</v>
      </c>
      <c r="H1292" s="6">
        <f ca="1"/>
        <v>0</v>
      </c>
      <c r="I1292" s="6">
        <f ca="1"/>
        <v>0</v>
      </c>
      <c r="J1292" s="6">
        <f ca="1"/>
        <v>0</v>
      </c>
    </row>
    <row r="1293" spans="1:10" ht="13" x14ac:dyDescent="0.15">
      <c r="A1293" s="6" t="str">
        <f ca="1">IFERROR(__xludf.DUMMYFUNCTION("""COMPUTED_VALUE"""),"Coding Pattern")</f>
        <v>Coding Pattern</v>
      </c>
      <c r="B1293" s="6" t="str">
        <f ca="1">IFERROR(__xludf.DUMMYFUNCTION("""COMPUTED_VALUE"""),"Coding Pattern")</f>
        <v>Coding Pattern</v>
      </c>
      <c r="H1293" s="6">
        <f ca="1"/>
        <v>0</v>
      </c>
      <c r="I1293" s="6">
        <f ca="1"/>
        <v>0</v>
      </c>
      <c r="J1293" s="6">
        <f ca="1"/>
        <v>0</v>
      </c>
    </row>
    <row r="1294" spans="1:10" ht="13" x14ac:dyDescent="0.15">
      <c r="A1294" s="6" t="str">
        <f ca="1">IFERROR(__xludf.DUMMYFUNCTION("""COMPUTED_VALUE"""),"Coding Style")</f>
        <v>Coding Style</v>
      </c>
      <c r="B1294" s="6" t="str">
        <f ca="1">IFERROR(__xludf.DUMMYFUNCTION("""COMPUTED_VALUE"""),"Coding Pattern")</f>
        <v>Coding Pattern</v>
      </c>
      <c r="H1294" s="6">
        <f ca="1"/>
        <v>0</v>
      </c>
      <c r="I1294" s="6">
        <f ca="1"/>
        <v>0</v>
      </c>
      <c r="J1294" s="6">
        <f ca="1"/>
        <v>0</v>
      </c>
    </row>
    <row r="1295" spans="1:10" ht="13" x14ac:dyDescent="0.15">
      <c r="A1295" s="6" t="str">
        <f ca="1">IFERROR(__xludf.DUMMYFUNCTION("""COMPUTED_VALUE"""),"Coding Style")</f>
        <v>Coding Style</v>
      </c>
      <c r="B1295" s="6" t="str">
        <f ca="1">IFERROR(__xludf.DUMMYFUNCTION("""COMPUTED_VALUE"""),"Maintainability")</f>
        <v>Maintainability</v>
      </c>
      <c r="H1295" s="6">
        <f ca="1"/>
        <v>0</v>
      </c>
      <c r="I1295" s="6">
        <f ca="1"/>
        <v>0</v>
      </c>
      <c r="J1295" s="6">
        <f ca="1"/>
        <v>0</v>
      </c>
    </row>
    <row r="1296" spans="1:10" ht="13" x14ac:dyDescent="0.15">
      <c r="A1296" s="6" t="str">
        <f ca="1">IFERROR(__xludf.DUMMYFUNCTION("""COMPUTED_VALUE"""),"Task Execution")</f>
        <v>Task Execution</v>
      </c>
      <c r="B1296" s="6" t="str">
        <f ca="1">IFERROR(__xludf.DUMMYFUNCTION("""COMPUTED_VALUE"""),"Task Execution")</f>
        <v>Task Execution</v>
      </c>
      <c r="H1296" s="6">
        <f ca="1"/>
        <v>0</v>
      </c>
      <c r="I1296" s="6">
        <f ca="1"/>
        <v>0</v>
      </c>
      <c r="J1296" s="6">
        <f ca="1"/>
        <v>0</v>
      </c>
    </row>
    <row r="1297" spans="1:10" ht="13" x14ac:dyDescent="0.15">
      <c r="A1297" s="6" t="str">
        <f ca="1">IFERROR(__xludf.DUMMYFUNCTION("""COMPUTED_VALUE"""),"Coding Pattern")</f>
        <v>Coding Pattern</v>
      </c>
      <c r="B1297" s="6" t="str">
        <f ca="1">IFERROR(__xludf.DUMMYFUNCTION("""COMPUTED_VALUE"""),"Coding Pattern")</f>
        <v>Coding Pattern</v>
      </c>
      <c r="H1297" s="6">
        <f ca="1"/>
        <v>0</v>
      </c>
      <c r="I1297" s="6">
        <f ca="1"/>
        <v>0</v>
      </c>
      <c r="J1297" s="6">
        <f ca="1"/>
        <v>0</v>
      </c>
    </row>
    <row r="1298" spans="1:10" ht="13" x14ac:dyDescent="0.15">
      <c r="A1298" s="6" t="str">
        <f ca="1">IFERROR(__xludf.DUMMYFUNCTION("""COMPUTED_VALUE"""),"Coding Style")</f>
        <v>Coding Style</v>
      </c>
      <c r="B1298" s="6" t="str">
        <f ca="1">IFERROR(__xludf.DUMMYFUNCTION("""COMPUTED_VALUE"""),"Coding Pattern")</f>
        <v>Coding Pattern</v>
      </c>
      <c r="H1298" s="6">
        <f ca="1"/>
        <v>0</v>
      </c>
      <c r="I1298" s="6">
        <f ca="1"/>
        <v>0</v>
      </c>
      <c r="J1298" s="6">
        <f ca="1"/>
        <v>0</v>
      </c>
    </row>
    <row r="1299" spans="1:10" ht="13" x14ac:dyDescent="0.15">
      <c r="A1299" s="6" t="str">
        <f ca="1">IFERROR(__xludf.DUMMYFUNCTION("""COMPUTED_VALUE"""),"Task Execution")</f>
        <v>Task Execution</v>
      </c>
      <c r="B1299" s="6" t="str">
        <f ca="1">IFERROR(__xludf.DUMMYFUNCTION("""COMPUTED_VALUE"""),"Task Execution")</f>
        <v>Task Execution</v>
      </c>
      <c r="H1299" s="6">
        <f ca="1"/>
        <v>0</v>
      </c>
      <c r="I1299" s="6">
        <f ca="1"/>
        <v>0</v>
      </c>
      <c r="J1299" s="6">
        <f ca="1"/>
        <v>0</v>
      </c>
    </row>
    <row r="1300" spans="1:10" ht="13" x14ac:dyDescent="0.15">
      <c r="A1300" s="6" t="str">
        <f ca="1">IFERROR(__xludf.DUMMYFUNCTION("""COMPUTED_VALUE"""),"Task Execution")</f>
        <v>Task Execution</v>
      </c>
      <c r="B1300" s="6" t="str">
        <f ca="1">IFERROR(__xludf.DUMMYFUNCTION("""COMPUTED_VALUE"""),"Task Execution")</f>
        <v>Task Execution</v>
      </c>
      <c r="H1300" s="6">
        <f ca="1"/>
        <v>0</v>
      </c>
      <c r="I1300" s="6">
        <f ca="1"/>
        <v>0</v>
      </c>
      <c r="J1300" s="6">
        <f ca="1"/>
        <v>0</v>
      </c>
    </row>
    <row r="1301" spans="1:10" ht="13" x14ac:dyDescent="0.15">
      <c r="A1301" s="6" t="str">
        <f ca="1">IFERROR(__xludf.DUMMYFUNCTION("""COMPUTED_VALUE"""),"Build &amp; Operation")</f>
        <v>Build &amp; Operation</v>
      </c>
      <c r="B1301" s="6" t="str">
        <f ca="1">IFERROR(__xludf.DUMMYFUNCTION("""COMPUTED_VALUE"""),"Build &amp; Operation")</f>
        <v>Build &amp; Operation</v>
      </c>
      <c r="H1301" s="6">
        <f ca="1"/>
        <v>0</v>
      </c>
      <c r="I1301" s="6">
        <f ca="1"/>
        <v>0</v>
      </c>
      <c r="J1301" s="6">
        <f ca="1"/>
        <v>0</v>
      </c>
    </row>
    <row r="1302" spans="1:10" ht="13" x14ac:dyDescent="0.15">
      <c r="A1302" s="6" t="str">
        <f ca="1">IFERROR(__xludf.DUMMYFUNCTION("""COMPUTED_VALUE"""),"Coding Pattern")</f>
        <v>Coding Pattern</v>
      </c>
      <c r="B1302" s="6" t="str">
        <f ca="1">IFERROR(__xludf.DUMMYFUNCTION("""COMPUTED_VALUE"""),"Coding Pattern")</f>
        <v>Coding Pattern</v>
      </c>
      <c r="H1302" s="6">
        <f ca="1"/>
        <v>0</v>
      </c>
      <c r="I1302" s="6">
        <f ca="1"/>
        <v>0</v>
      </c>
      <c r="J1302" s="6">
        <f ca="1"/>
        <v>0</v>
      </c>
    </row>
    <row r="1303" spans="1:10" ht="13" x14ac:dyDescent="0.15">
      <c r="A1303" s="6" t="str">
        <f ca="1">IFERROR(__xludf.DUMMYFUNCTION("""COMPUTED_VALUE"""),"Coding Pattern")</f>
        <v>Coding Pattern</v>
      </c>
      <c r="B1303" s="6" t="str">
        <f ca="1">IFERROR(__xludf.DUMMYFUNCTION("""COMPUTED_VALUE"""),"Coding Pattern")</f>
        <v>Coding Pattern</v>
      </c>
      <c r="H1303" s="6">
        <f ca="1"/>
        <v>0</v>
      </c>
      <c r="I1303" s="6">
        <f ca="1"/>
        <v>0</v>
      </c>
      <c r="J1303" s="6">
        <f ca="1"/>
        <v>0</v>
      </c>
    </row>
    <row r="1304" spans="1:10" ht="13" x14ac:dyDescent="0.15">
      <c r="A1304" s="6" t="str">
        <f ca="1">IFERROR(__xludf.DUMMYFUNCTION("""COMPUTED_VALUE"""),"Coding Pattern")</f>
        <v>Coding Pattern</v>
      </c>
      <c r="B1304" s="6" t="str">
        <f ca="1">IFERROR(__xludf.DUMMYFUNCTION("""COMPUTED_VALUE"""),"Coding Pattern")</f>
        <v>Coding Pattern</v>
      </c>
      <c r="H1304" s="6">
        <f ca="1"/>
        <v>0</v>
      </c>
      <c r="I1304" s="6">
        <f ca="1"/>
        <v>0</v>
      </c>
      <c r="J1304" s="6">
        <f ca="1"/>
        <v>0</v>
      </c>
    </row>
    <row r="1305" spans="1:10" ht="13" x14ac:dyDescent="0.15">
      <c r="A1305" s="6" t="str">
        <f ca="1">IFERROR(__xludf.DUMMYFUNCTION("""COMPUTED_VALUE"""),"Coding Pattern")</f>
        <v>Coding Pattern</v>
      </c>
      <c r="B1305" s="6" t="str">
        <f ca="1">IFERROR(__xludf.DUMMYFUNCTION("""COMPUTED_VALUE"""),"Coding Pattern")</f>
        <v>Coding Pattern</v>
      </c>
      <c r="H1305" s="6">
        <f ca="1"/>
        <v>0</v>
      </c>
      <c r="I1305" s="6">
        <f ca="1"/>
        <v>0</v>
      </c>
      <c r="J1305" s="6">
        <f ca="1"/>
        <v>0</v>
      </c>
    </row>
    <row r="1306" spans="1:10" ht="13" x14ac:dyDescent="0.15">
      <c r="A1306" s="6" t="str">
        <f ca="1">IFERROR(__xludf.DUMMYFUNCTION("""COMPUTED_VALUE"""),"Coding Pattern")</f>
        <v>Coding Pattern</v>
      </c>
      <c r="B1306" s="6" t="str">
        <f ca="1">IFERROR(__xludf.DUMMYFUNCTION("""COMPUTED_VALUE"""),"Coding Pattern")</f>
        <v>Coding Pattern</v>
      </c>
      <c r="H1306" s="6">
        <f ca="1"/>
        <v>0</v>
      </c>
      <c r="I1306" s="6">
        <f ca="1"/>
        <v>0</v>
      </c>
      <c r="J1306" s="6">
        <f ca="1"/>
        <v>0</v>
      </c>
    </row>
    <row r="1307" spans="1:10" ht="13" x14ac:dyDescent="0.15">
      <c r="A1307" s="6" t="str">
        <f ca="1">IFERROR(__xludf.DUMMYFUNCTION("""COMPUTED_VALUE"""),"Writing Style Preference")</f>
        <v>Writing Style Preference</v>
      </c>
      <c r="B1307" s="6" t="str">
        <f ca="1">IFERROR(__xludf.DUMMYFUNCTION("""COMPUTED_VALUE"""),"Writing Style Preference")</f>
        <v>Writing Style Preference</v>
      </c>
      <c r="H1307" s="6">
        <f ca="1"/>
        <v>0</v>
      </c>
      <c r="I1307" s="6">
        <f ca="1"/>
        <v>0</v>
      </c>
      <c r="J1307" s="6">
        <f ca="1"/>
        <v>0</v>
      </c>
    </row>
    <row r="1308" spans="1:10" ht="13" x14ac:dyDescent="0.15">
      <c r="A1308" s="6" t="str">
        <f ca="1">IFERROR(__xludf.DUMMYFUNCTION("""COMPUTED_VALUE"""),"Writing Style Preference")</f>
        <v>Writing Style Preference</v>
      </c>
      <c r="B1308" s="6" t="str">
        <f ca="1">IFERROR(__xludf.DUMMYFUNCTION("""COMPUTED_VALUE"""),"Writing Style Preference")</f>
        <v>Writing Style Preference</v>
      </c>
      <c r="H1308" s="6">
        <f ca="1"/>
        <v>0</v>
      </c>
      <c r="I1308" s="6">
        <f ca="1"/>
        <v>0</v>
      </c>
      <c r="J1308" s="6">
        <f ca="1"/>
        <v>0</v>
      </c>
    </row>
    <row r="1309" spans="1:10" ht="13" x14ac:dyDescent="0.15">
      <c r="A1309" s="6" t="str">
        <f ca="1">IFERROR(__xludf.DUMMYFUNCTION("""COMPUTED_VALUE"""),"Commit&amp;PR rule")</f>
        <v>Commit&amp;PR rule</v>
      </c>
      <c r="B1309" s="6" t="str">
        <f ca="1">IFERROR(__xludf.DUMMYFUNCTION("""COMPUTED_VALUE"""),"Commit&amp;PR rule")</f>
        <v>Commit&amp;PR rule</v>
      </c>
      <c r="H1309" s="6">
        <f ca="1"/>
        <v>0</v>
      </c>
      <c r="I1309" s="6">
        <f ca="1"/>
        <v>0</v>
      </c>
      <c r="J1309" s="6">
        <f ca="1"/>
        <v>0</v>
      </c>
    </row>
    <row r="1310" spans="1:10" ht="13" x14ac:dyDescent="0.15">
      <c r="A1310" s="6" t="str">
        <f ca="1">IFERROR(__xludf.DUMMYFUNCTION("""COMPUTED_VALUE"""),"Build &amp; Operation")</f>
        <v>Build &amp; Operation</v>
      </c>
      <c r="B1310" s="6" t="str">
        <f ca="1">IFERROR(__xludf.DUMMYFUNCTION("""COMPUTED_VALUE"""),"Build &amp; Operation")</f>
        <v>Build &amp; Operation</v>
      </c>
      <c r="H1310" s="6">
        <f ca="1"/>
        <v>0</v>
      </c>
      <c r="I1310" s="6">
        <f ca="1"/>
        <v>0</v>
      </c>
      <c r="J1310" s="6">
        <f ca="1"/>
        <v>0</v>
      </c>
    </row>
    <row r="1311" spans="1:10" ht="13" x14ac:dyDescent="0.15">
      <c r="A1311" s="6" t="str">
        <f ca="1">IFERROR(__xludf.DUMMYFUNCTION("""COMPUTED_VALUE"""),"Coding Pattern")</f>
        <v>Coding Pattern</v>
      </c>
      <c r="B1311" s="6" t="str">
        <f ca="1">IFERROR(__xludf.DUMMYFUNCTION("""COMPUTED_VALUE"""),"Coding Pattern")</f>
        <v>Coding Pattern</v>
      </c>
      <c r="H1311" s="6">
        <f ca="1"/>
        <v>0</v>
      </c>
      <c r="I1311" s="6">
        <f ca="1"/>
        <v>0</v>
      </c>
      <c r="J1311" s="6">
        <f ca="1"/>
        <v>0</v>
      </c>
    </row>
    <row r="1312" spans="1:10" ht="13" x14ac:dyDescent="0.15">
      <c r="A1312" s="6" t="str">
        <f ca="1">IFERROR(__xludf.DUMMYFUNCTION("""COMPUTED_VALUE"""),"Coding Pattern")</f>
        <v>Coding Pattern</v>
      </c>
      <c r="B1312" s="6" t="str">
        <f ca="1">IFERROR(__xludf.DUMMYFUNCTION("""COMPUTED_VALUE"""),"Coding Style")</f>
        <v>Coding Style</v>
      </c>
      <c r="H1312" s="6">
        <f ca="1"/>
        <v>0</v>
      </c>
      <c r="I1312" s="6">
        <f ca="1"/>
        <v>0</v>
      </c>
      <c r="J1312" s="6">
        <f ca="1"/>
        <v>0</v>
      </c>
    </row>
    <row r="1313" spans="1:10" ht="13" x14ac:dyDescent="0.15">
      <c r="A1313" s="6" t="str">
        <f ca="1">IFERROR(__xludf.DUMMYFUNCTION("""COMPUTED_VALUE"""),"Coding Style")</f>
        <v>Coding Style</v>
      </c>
      <c r="B1313" s="6" t="str">
        <f ca="1">IFERROR(__xludf.DUMMYFUNCTION("""COMPUTED_VALUE"""),"Coding Style")</f>
        <v>Coding Style</v>
      </c>
      <c r="H1313" s="6">
        <f ca="1"/>
        <v>0</v>
      </c>
      <c r="I1313" s="6">
        <f ca="1"/>
        <v>0</v>
      </c>
      <c r="J1313" s="6">
        <f ca="1"/>
        <v>0</v>
      </c>
    </row>
    <row r="1314" spans="1:10" ht="13" x14ac:dyDescent="0.15">
      <c r="A1314" s="6" t="str">
        <f ca="1">IFERROR(__xludf.DUMMYFUNCTION("""COMPUTED_VALUE"""),"Code Review")</f>
        <v>Code Review</v>
      </c>
      <c r="B1314" s="6" t="str">
        <f ca="1">IFERROR(__xludf.DUMMYFUNCTION("""COMPUTED_VALUE"""),"Code Review")</f>
        <v>Code Review</v>
      </c>
      <c r="H1314" s="6">
        <f ca="1"/>
        <v>0</v>
      </c>
      <c r="I1314" s="6">
        <f ca="1"/>
        <v>0</v>
      </c>
      <c r="J1314" s="6">
        <f ca="1"/>
        <v>0</v>
      </c>
    </row>
    <row r="1315" spans="1:10" ht="13" x14ac:dyDescent="0.15">
      <c r="A1315" s="6" t="str">
        <f ca="1">IFERROR(__xludf.DUMMYFUNCTION("""COMPUTED_VALUE"""),"Code Review")</f>
        <v>Code Review</v>
      </c>
      <c r="B1315" s="6" t="str">
        <f ca="1">IFERROR(__xludf.DUMMYFUNCTION("""COMPUTED_VALUE"""),"Code Review")</f>
        <v>Code Review</v>
      </c>
      <c r="H1315" s="6">
        <f ca="1"/>
        <v>0</v>
      </c>
      <c r="I1315" s="6">
        <f ca="1"/>
        <v>0</v>
      </c>
      <c r="J1315" s="6">
        <f ca="1"/>
        <v>0</v>
      </c>
    </row>
    <row r="1316" spans="1:10" ht="13" x14ac:dyDescent="0.15">
      <c r="A1316" s="6" t="str">
        <f ca="1">IFERROR(__xludf.DUMMYFUNCTION("""COMPUTED_VALUE"""),"Testing")</f>
        <v>Testing</v>
      </c>
      <c r="B1316" s="6" t="str">
        <f ca="1">IFERROR(__xludf.DUMMYFUNCTION("""COMPUTED_VALUE"""),"Testing")</f>
        <v>Testing</v>
      </c>
      <c r="H1316" s="6">
        <f ca="1"/>
        <v>0</v>
      </c>
      <c r="I1316" s="6">
        <f ca="1"/>
        <v>0</v>
      </c>
      <c r="J1316" s="6">
        <f ca="1"/>
        <v>0</v>
      </c>
    </row>
    <row r="1317" spans="1:10" ht="13" x14ac:dyDescent="0.15">
      <c r="A1317" s="6" t="str">
        <f ca="1">IFERROR(__xludf.DUMMYFUNCTION("""COMPUTED_VALUE"""),"Build &amp; Operation")</f>
        <v>Build &amp; Operation</v>
      </c>
      <c r="B1317" s="6" t="str">
        <f ca="1">IFERROR(__xludf.DUMMYFUNCTION("""COMPUTED_VALUE"""),"Build &amp; Operation")</f>
        <v>Build &amp; Operation</v>
      </c>
      <c r="H1317" s="6">
        <f ca="1"/>
        <v>0</v>
      </c>
      <c r="I1317" s="6">
        <f ca="1"/>
        <v>0</v>
      </c>
      <c r="J1317" s="6">
        <f ca="1"/>
        <v>0</v>
      </c>
    </row>
    <row r="1318" spans="1:10" ht="13" x14ac:dyDescent="0.15">
      <c r="A1318" s="6" t="str">
        <f ca="1">IFERROR(__xludf.DUMMYFUNCTION("""COMPUTED_VALUE"""),"Coding Style")</f>
        <v>Coding Style</v>
      </c>
      <c r="B1318" s="6" t="str">
        <f ca="1">IFERROR(__xludf.DUMMYFUNCTION("""COMPUTED_VALUE"""),"Coding Style")</f>
        <v>Coding Style</v>
      </c>
      <c r="H1318" s="6">
        <f ca="1"/>
        <v>0</v>
      </c>
      <c r="I1318" s="6">
        <f ca="1"/>
        <v>0</v>
      </c>
      <c r="J1318" s="6">
        <f ca="1"/>
        <v>0</v>
      </c>
    </row>
    <row r="1319" spans="1:10" ht="13" x14ac:dyDescent="0.15">
      <c r="A1319" s="6" t="str">
        <f ca="1">IFERROR(__xludf.DUMMYFUNCTION("""COMPUTED_VALUE"""),"Commit&amp;PR rule")</f>
        <v>Commit&amp;PR rule</v>
      </c>
      <c r="B1319" s="6" t="str">
        <f ca="1">IFERROR(__xludf.DUMMYFUNCTION("""COMPUTED_VALUE"""),"Commit&amp;PR rule")</f>
        <v>Commit&amp;PR rule</v>
      </c>
      <c r="H1319" s="6">
        <f ca="1"/>
        <v>0</v>
      </c>
      <c r="I1319" s="6">
        <f ca="1"/>
        <v>0</v>
      </c>
      <c r="J1319" s="6">
        <f ca="1"/>
        <v>0</v>
      </c>
    </row>
    <row r="1320" spans="1:10" ht="13" x14ac:dyDescent="0.15">
      <c r="A1320" s="6" t="str">
        <f ca="1">IFERROR(__xludf.DUMMYFUNCTION("""COMPUTED_VALUE"""),"Testing")</f>
        <v>Testing</v>
      </c>
      <c r="B1320" s="6" t="str">
        <f ca="1">IFERROR(__xludf.DUMMYFUNCTION("""COMPUTED_VALUE"""),"Testing")</f>
        <v>Testing</v>
      </c>
      <c r="H1320" s="6">
        <f ca="1"/>
        <v>0</v>
      </c>
      <c r="I1320" s="6">
        <f ca="1"/>
        <v>0</v>
      </c>
      <c r="J1320" s="6">
        <f ca="1"/>
        <v>0</v>
      </c>
    </row>
    <row r="1321" spans="1:10" ht="13" x14ac:dyDescent="0.15">
      <c r="A1321" s="6" t="str">
        <f ca="1">IFERROR(__xludf.DUMMYFUNCTION("""COMPUTED_VALUE"""),"Security")</f>
        <v>Security</v>
      </c>
      <c r="B1321" s="6" t="str">
        <f ca="1">IFERROR(__xludf.DUMMYFUNCTION("""COMPUTED_VALUE"""),"Security")</f>
        <v>Security</v>
      </c>
      <c r="H1321" s="6">
        <f ca="1"/>
        <v>0</v>
      </c>
      <c r="I1321" s="6">
        <f ca="1"/>
        <v>0</v>
      </c>
      <c r="J1321" s="6">
        <f ca="1"/>
        <v>0</v>
      </c>
    </row>
    <row r="1322" spans="1:10" ht="13" x14ac:dyDescent="0.15">
      <c r="A1322" s="6" t="str">
        <f ca="1">IFERROR(__xludf.DUMMYFUNCTION("""COMPUTED_VALUE"""),"Security")</f>
        <v>Security</v>
      </c>
      <c r="B1322" s="6" t="str">
        <f ca="1">IFERROR(__xludf.DUMMYFUNCTION("""COMPUTED_VALUE"""),"Coding Pattern")</f>
        <v>Coding Pattern</v>
      </c>
      <c r="H1322" s="6">
        <f ca="1"/>
        <v>0</v>
      </c>
      <c r="I1322" s="6">
        <f ca="1"/>
        <v>0</v>
      </c>
      <c r="J1322" s="6">
        <f ca="1"/>
        <v>0</v>
      </c>
    </row>
    <row r="1323" spans="1:10" ht="13" x14ac:dyDescent="0.15">
      <c r="A1323" s="6" t="str">
        <f ca="1">IFERROR(__xludf.DUMMYFUNCTION("""COMPUTED_VALUE"""),"Security")</f>
        <v>Security</v>
      </c>
      <c r="B1323" s="6" t="str">
        <f ca="1">IFERROR(__xludf.DUMMYFUNCTION("""COMPUTED_VALUE"""),"Security")</f>
        <v>Security</v>
      </c>
      <c r="H1323" s="6">
        <f ca="1"/>
        <v>0</v>
      </c>
      <c r="I1323" s="6">
        <f ca="1"/>
        <v>0</v>
      </c>
      <c r="J1323" s="6">
        <f ca="1"/>
        <v>0</v>
      </c>
    </row>
    <row r="1324" spans="1:10" ht="13" x14ac:dyDescent="0.15">
      <c r="A1324" s="6" t="str">
        <f ca="1">IFERROR(__xludf.DUMMYFUNCTION("""COMPUTED_VALUE"""),"Security")</f>
        <v>Security</v>
      </c>
      <c r="B1324" s="6" t="str">
        <f ca="1">IFERROR(__xludf.DUMMYFUNCTION("""COMPUTED_VALUE"""),"Security")</f>
        <v>Security</v>
      </c>
      <c r="H1324" s="6">
        <f ca="1"/>
        <v>0</v>
      </c>
      <c r="I1324" s="6">
        <f ca="1"/>
        <v>0</v>
      </c>
      <c r="J1324" s="6">
        <f ca="1"/>
        <v>0</v>
      </c>
    </row>
    <row r="1325" spans="1:10" ht="13" x14ac:dyDescent="0.15">
      <c r="A1325" s="6" t="str">
        <f ca="1">IFERROR(__xludf.DUMMYFUNCTION("""COMPUTED_VALUE"""),"Testing")</f>
        <v>Testing</v>
      </c>
      <c r="B1325" s="6" t="str">
        <f ca="1">IFERROR(__xludf.DUMMYFUNCTION("""COMPUTED_VALUE"""),"Testing")</f>
        <v>Testing</v>
      </c>
      <c r="H1325" s="6">
        <f ca="1"/>
        <v>0</v>
      </c>
      <c r="I1325" s="6">
        <f ca="1"/>
        <v>0</v>
      </c>
      <c r="J1325" s="6">
        <f ca="1"/>
        <v>0</v>
      </c>
    </row>
    <row r="1326" spans="1:10" ht="13" x14ac:dyDescent="0.15">
      <c r="A1326" s="6" t="str">
        <f ca="1">IFERROR(__xludf.DUMMYFUNCTION("""COMPUTED_VALUE"""),"Coding Pattern")</f>
        <v>Coding Pattern</v>
      </c>
      <c r="B1326" s="6" t="str">
        <f ca="1">IFERROR(__xludf.DUMMYFUNCTION("""COMPUTED_VALUE"""),"Coding Pattern")</f>
        <v>Coding Pattern</v>
      </c>
      <c r="H1326" s="6">
        <f ca="1"/>
        <v>0</v>
      </c>
      <c r="I1326" s="6">
        <f ca="1"/>
        <v>0</v>
      </c>
      <c r="J1326" s="6">
        <f ca="1"/>
        <v>0</v>
      </c>
    </row>
    <row r="1327" spans="1:10" ht="13" x14ac:dyDescent="0.15">
      <c r="A1327" s="6" t="str">
        <f ca="1">IFERROR(__xludf.DUMMYFUNCTION("""COMPUTED_VALUE"""),"Task Execution")</f>
        <v>Task Execution</v>
      </c>
      <c r="B1327" s="6" t="str">
        <f ca="1">IFERROR(__xludf.DUMMYFUNCTION("""COMPUTED_VALUE"""),"Task Execution")</f>
        <v>Task Execution</v>
      </c>
      <c r="H1327" s="6">
        <f ca="1"/>
        <v>0</v>
      </c>
      <c r="I1327" s="6">
        <f ca="1"/>
        <v>0</v>
      </c>
      <c r="J1327" s="6">
        <f ca="1"/>
        <v>0</v>
      </c>
    </row>
    <row r="1328" spans="1:10" ht="13" x14ac:dyDescent="0.15">
      <c r="A1328" s="6" t="str">
        <f ca="1">IFERROR(__xludf.DUMMYFUNCTION("""COMPUTED_VALUE"""),"Task Execution")</f>
        <v>Task Execution</v>
      </c>
      <c r="B1328" s="6" t="str">
        <f ca="1">IFERROR(__xludf.DUMMYFUNCTION("""COMPUTED_VALUE"""),"Maintainability")</f>
        <v>Maintainability</v>
      </c>
      <c r="H1328" s="6">
        <f ca="1"/>
        <v>0</v>
      </c>
      <c r="I1328" s="6">
        <f ca="1"/>
        <v>0</v>
      </c>
      <c r="J1328" s="6">
        <f ca="1"/>
        <v>0</v>
      </c>
    </row>
    <row r="1329" spans="1:10" ht="13" x14ac:dyDescent="0.15">
      <c r="A1329" s="6" t="str">
        <f ca="1">IFERROR(__xludf.DUMMYFUNCTION("""COMPUTED_VALUE"""),"Task Execution")</f>
        <v>Task Execution</v>
      </c>
      <c r="B1329" s="6" t="str">
        <f ca="1">IFERROR(__xludf.DUMMYFUNCTION("""COMPUTED_VALUE"""),"Build &amp; Operation")</f>
        <v>Build &amp; Operation</v>
      </c>
      <c r="H1329" s="6">
        <f ca="1"/>
        <v>0</v>
      </c>
      <c r="I1329" s="6">
        <f ca="1"/>
        <v>0</v>
      </c>
      <c r="J1329" s="6">
        <f ca="1"/>
        <v>0</v>
      </c>
    </row>
    <row r="1330" spans="1:10" ht="13" x14ac:dyDescent="0.15">
      <c r="A1330" s="6" t="str">
        <f ca="1">IFERROR(__xludf.DUMMYFUNCTION("""COMPUTED_VALUE"""),"Coding Style")</f>
        <v>Coding Style</v>
      </c>
      <c r="B1330" s="6" t="str">
        <f ca="1">IFERROR(__xludf.DUMMYFUNCTION("""COMPUTED_VALUE"""),"Coding Pattern")</f>
        <v>Coding Pattern</v>
      </c>
      <c r="H1330" s="6">
        <f ca="1"/>
        <v>0</v>
      </c>
      <c r="I1330" s="6">
        <f ca="1"/>
        <v>0</v>
      </c>
      <c r="J1330" s="6">
        <f ca="1"/>
        <v>0</v>
      </c>
    </row>
    <row r="1331" spans="1:10" ht="13" x14ac:dyDescent="0.15">
      <c r="A1331" s="6" t="str">
        <f ca="1">IFERROR(__xludf.DUMMYFUNCTION("""COMPUTED_VALUE"""),"Coding Style")</f>
        <v>Coding Style</v>
      </c>
      <c r="B1331" s="6" t="str">
        <f ca="1">IFERROR(__xludf.DUMMYFUNCTION("""COMPUTED_VALUE"""),"Coding Style")</f>
        <v>Coding Style</v>
      </c>
      <c r="H1331" s="6">
        <f ca="1"/>
        <v>0</v>
      </c>
      <c r="I1331" s="6">
        <f ca="1"/>
        <v>0</v>
      </c>
      <c r="J1331" s="6">
        <f ca="1"/>
        <v>0</v>
      </c>
    </row>
    <row r="1332" spans="1:10" ht="13" x14ac:dyDescent="0.15">
      <c r="A1332" s="6" t="str">
        <f ca="1">IFERROR(__xludf.DUMMYFUNCTION("""COMPUTED_VALUE"""),"Coding Style")</f>
        <v>Coding Style</v>
      </c>
      <c r="B1332" s="6" t="str">
        <f ca="1">IFERROR(__xludf.DUMMYFUNCTION("""COMPUTED_VALUE"""),"Coding Pattern")</f>
        <v>Coding Pattern</v>
      </c>
      <c r="H1332" s="6">
        <f ca="1"/>
        <v>0</v>
      </c>
      <c r="I1332" s="6">
        <f ca="1"/>
        <v>0</v>
      </c>
      <c r="J1332" s="6">
        <f ca="1"/>
        <v>0</v>
      </c>
    </row>
    <row r="1333" spans="1:10" ht="13" x14ac:dyDescent="0.15">
      <c r="A1333" s="6" t="str">
        <f ca="1">IFERROR(__xludf.DUMMYFUNCTION("""COMPUTED_VALUE"""),"Coding Pattern")</f>
        <v>Coding Pattern</v>
      </c>
      <c r="B1333" s="6" t="str">
        <f ca="1">IFERROR(__xludf.DUMMYFUNCTION("""COMPUTED_VALUE"""),"Coding Pattern")</f>
        <v>Coding Pattern</v>
      </c>
      <c r="H1333" s="6">
        <f ca="1"/>
        <v>0</v>
      </c>
      <c r="I1333" s="6">
        <f ca="1"/>
        <v>0</v>
      </c>
      <c r="J1333" s="6">
        <f ca="1"/>
        <v>0</v>
      </c>
    </row>
    <row r="1334" spans="1:10" ht="13" x14ac:dyDescent="0.15">
      <c r="A1334" s="6" t="str">
        <f ca="1">IFERROR(__xludf.DUMMYFUNCTION("""COMPUTED_VALUE"""),"Coding Pattern")</f>
        <v>Coding Pattern</v>
      </c>
      <c r="B1334" s="6" t="str">
        <f ca="1">IFERROR(__xludf.DUMMYFUNCTION("""COMPUTED_VALUE"""),"Coding Pattern")</f>
        <v>Coding Pattern</v>
      </c>
      <c r="H1334" s="6">
        <f ca="1"/>
        <v>0</v>
      </c>
      <c r="I1334" s="6">
        <f ca="1"/>
        <v>0</v>
      </c>
      <c r="J1334" s="6">
        <f ca="1"/>
        <v>0</v>
      </c>
    </row>
    <row r="1335" spans="1:10" ht="13" x14ac:dyDescent="0.15">
      <c r="A1335" s="6" t="str">
        <f ca="1">IFERROR(__xludf.DUMMYFUNCTION("""COMPUTED_VALUE"""),"Coding Pattern")</f>
        <v>Coding Pattern</v>
      </c>
      <c r="B1335" s="6" t="str">
        <f ca="1">IFERROR(__xludf.DUMMYFUNCTION("""COMPUTED_VALUE"""),"Coding Pattern")</f>
        <v>Coding Pattern</v>
      </c>
      <c r="H1335" s="6">
        <f ca="1"/>
        <v>0</v>
      </c>
      <c r="I1335" s="6">
        <f ca="1"/>
        <v>0</v>
      </c>
      <c r="J1335" s="6">
        <f ca="1"/>
        <v>0</v>
      </c>
    </row>
    <row r="1336" spans="1:10" ht="13" x14ac:dyDescent="0.15">
      <c r="A1336" s="6" t="str">
        <f ca="1">IFERROR(__xludf.DUMMYFUNCTION("""COMPUTED_VALUE"""),"Coding Pattern")</f>
        <v>Coding Pattern</v>
      </c>
      <c r="B1336" s="6" t="str">
        <f ca="1">IFERROR(__xludf.DUMMYFUNCTION("""COMPUTED_VALUE"""),"Coding Pattern")</f>
        <v>Coding Pattern</v>
      </c>
      <c r="H1336" s="6">
        <f ca="1"/>
        <v>0</v>
      </c>
      <c r="I1336" s="6">
        <f ca="1"/>
        <v>0</v>
      </c>
      <c r="J1336" s="6">
        <f ca="1"/>
        <v>0</v>
      </c>
    </row>
    <row r="1337" spans="1:10" ht="13" x14ac:dyDescent="0.15">
      <c r="A1337" s="6" t="str">
        <f ca="1">IFERROR(__xludf.DUMMYFUNCTION("""COMPUTED_VALUE"""),"Documentation")</f>
        <v>Documentation</v>
      </c>
      <c r="B1337" s="6" t="str">
        <f ca="1">IFERROR(__xludf.DUMMYFUNCTION("""COMPUTED_VALUE"""),"Commit&amp;PR rule")</f>
        <v>Commit&amp;PR rule</v>
      </c>
      <c r="H1337" s="6">
        <f ca="1"/>
        <v>0</v>
      </c>
      <c r="I1337" s="6">
        <f ca="1"/>
        <v>0</v>
      </c>
      <c r="J1337" s="6">
        <f ca="1"/>
        <v>0</v>
      </c>
    </row>
    <row r="1338" spans="1:10" ht="13" x14ac:dyDescent="0.15">
      <c r="A1338" s="6" t="str">
        <f ca="1">IFERROR(__xludf.DUMMYFUNCTION("""COMPUTED_VALUE"""),"Coding Style")</f>
        <v>Coding Style</v>
      </c>
      <c r="B1338" s="6" t="str">
        <f ca="1">IFERROR(__xludf.DUMMYFUNCTION("""COMPUTED_VALUE"""),"Coding Style")</f>
        <v>Coding Style</v>
      </c>
      <c r="H1338" s="6">
        <f ca="1"/>
        <v>0</v>
      </c>
      <c r="I1338" s="6">
        <f ca="1"/>
        <v>0</v>
      </c>
      <c r="J1338" s="6">
        <f ca="1"/>
        <v>0</v>
      </c>
    </row>
    <row r="1339" spans="1:10" ht="13" x14ac:dyDescent="0.15">
      <c r="A1339" s="6" t="str">
        <f ca="1">IFERROR(__xludf.DUMMYFUNCTION("""COMPUTED_VALUE"""),"Coding Pattern")</f>
        <v>Coding Pattern</v>
      </c>
      <c r="B1339" s="6" t="str">
        <f ca="1">IFERROR(__xludf.DUMMYFUNCTION("""COMPUTED_VALUE"""),"Coding Pattern")</f>
        <v>Coding Pattern</v>
      </c>
      <c r="H1339" s="6">
        <f ca="1"/>
        <v>0</v>
      </c>
      <c r="I1339" s="6">
        <f ca="1"/>
        <v>0</v>
      </c>
      <c r="J1339" s="6">
        <f ca="1"/>
        <v>0</v>
      </c>
    </row>
    <row r="1340" spans="1:10" ht="13" x14ac:dyDescent="0.15">
      <c r="A1340" s="6" t="str">
        <f ca="1">IFERROR(__xludf.DUMMYFUNCTION("""COMPUTED_VALUE"""),"Coding Pattern")</f>
        <v>Coding Pattern</v>
      </c>
      <c r="B1340" s="6" t="str">
        <f ca="1">IFERROR(__xludf.DUMMYFUNCTION("""COMPUTED_VALUE"""),"Testing")</f>
        <v>Testing</v>
      </c>
      <c r="H1340" s="6">
        <f ca="1"/>
        <v>0</v>
      </c>
      <c r="I1340" s="6">
        <f ca="1"/>
        <v>0</v>
      </c>
      <c r="J1340" s="6">
        <f ca="1"/>
        <v>0</v>
      </c>
    </row>
    <row r="1341" spans="1:10" ht="13" x14ac:dyDescent="0.15">
      <c r="A1341" s="6" t="str">
        <f ca="1">IFERROR(__xludf.DUMMYFUNCTION("""COMPUTED_VALUE"""),"Commit&amp;PR rule")</f>
        <v>Commit&amp;PR rule</v>
      </c>
      <c r="B1341" s="6" t="str">
        <f ca="1">IFERROR(__xludf.DUMMYFUNCTION("""COMPUTED_VALUE"""),"Coding Pattern")</f>
        <v>Coding Pattern</v>
      </c>
      <c r="H1341" s="6">
        <f ca="1"/>
        <v>0</v>
      </c>
      <c r="I1341" s="6">
        <f ca="1"/>
        <v>0</v>
      </c>
      <c r="J1341" s="6">
        <f ca="1"/>
        <v>0</v>
      </c>
    </row>
    <row r="1342" spans="1:10" ht="13" x14ac:dyDescent="0.15">
      <c r="A1342" s="6" t="str">
        <f ca="1">IFERROR(__xludf.DUMMYFUNCTION("""COMPUTED_VALUE"""),"Coding Pattern")</f>
        <v>Coding Pattern</v>
      </c>
      <c r="B1342" s="6" t="str">
        <f ca="1">IFERROR(__xludf.DUMMYFUNCTION("""COMPUTED_VALUE"""),"Coding Pattern")</f>
        <v>Coding Pattern</v>
      </c>
      <c r="H1342" s="6">
        <f ca="1"/>
        <v>0</v>
      </c>
      <c r="I1342" s="6">
        <f ca="1"/>
        <v>0</v>
      </c>
      <c r="J1342" s="6">
        <f ca="1"/>
        <v>0</v>
      </c>
    </row>
    <row r="1343" spans="1:10" ht="13" x14ac:dyDescent="0.15">
      <c r="A1343" s="6" t="str">
        <f ca="1">IFERROR(__xludf.DUMMYFUNCTION("""COMPUTED_VALUE"""),"Coding Pattern")</f>
        <v>Coding Pattern</v>
      </c>
      <c r="B1343" s="6" t="str">
        <f ca="1">IFERROR(__xludf.DUMMYFUNCTION("""COMPUTED_VALUE"""),"Coding Pattern")</f>
        <v>Coding Pattern</v>
      </c>
      <c r="H1343" s="6">
        <f ca="1"/>
        <v>0</v>
      </c>
      <c r="I1343" s="6">
        <f ca="1"/>
        <v>0</v>
      </c>
      <c r="J1343" s="6">
        <f ca="1"/>
        <v>0</v>
      </c>
    </row>
    <row r="1344" spans="1:10" ht="13" x14ac:dyDescent="0.15">
      <c r="A1344" s="6" t="str">
        <f ca="1">IFERROR(__xludf.DUMMYFUNCTION("""COMPUTED_VALUE"""),"Coding Pattern")</f>
        <v>Coding Pattern</v>
      </c>
      <c r="B1344" s="6" t="str">
        <f ca="1">IFERROR(__xludf.DUMMYFUNCTION("""COMPUTED_VALUE"""),"Coding Pattern")</f>
        <v>Coding Pattern</v>
      </c>
      <c r="H1344" s="6">
        <f ca="1"/>
        <v>0</v>
      </c>
      <c r="I1344" s="6">
        <f ca="1"/>
        <v>0</v>
      </c>
      <c r="J1344" s="6">
        <f ca="1"/>
        <v>0</v>
      </c>
    </row>
    <row r="1345" spans="1:10" ht="13" x14ac:dyDescent="0.15">
      <c r="A1345" s="6" t="str">
        <f ca="1">IFERROR(__xludf.DUMMYFUNCTION("""COMPUTED_VALUE"""),"Coding Style")</f>
        <v>Coding Style</v>
      </c>
      <c r="B1345" s="6" t="str">
        <f ca="1">IFERROR(__xludf.DUMMYFUNCTION("""COMPUTED_VALUE"""),"Coding Style")</f>
        <v>Coding Style</v>
      </c>
      <c r="H1345" s="6">
        <f ca="1"/>
        <v>0</v>
      </c>
      <c r="I1345" s="6">
        <f ca="1"/>
        <v>0</v>
      </c>
      <c r="J1345" s="6">
        <f ca="1"/>
        <v>0</v>
      </c>
    </row>
    <row r="1346" spans="1:10" ht="13" x14ac:dyDescent="0.15">
      <c r="A1346" s="6" t="str">
        <f ca="1">IFERROR(__xludf.DUMMYFUNCTION("""COMPUTED_VALUE"""),"Coding Style")</f>
        <v>Coding Style</v>
      </c>
      <c r="B1346" s="6" t="str">
        <f ca="1">IFERROR(__xludf.DUMMYFUNCTION("""COMPUTED_VALUE"""),"Coding Style")</f>
        <v>Coding Style</v>
      </c>
      <c r="H1346" s="6">
        <f ca="1"/>
        <v>0</v>
      </c>
      <c r="I1346" s="6">
        <f ca="1"/>
        <v>0</v>
      </c>
      <c r="J1346" s="6">
        <f ca="1"/>
        <v>0</v>
      </c>
    </row>
    <row r="1347" spans="1:10" ht="13" x14ac:dyDescent="0.15">
      <c r="A1347" s="6" t="str">
        <f ca="1">IFERROR(__xludf.DUMMYFUNCTION("""COMPUTED_VALUE"""),"Coding Pattern")</f>
        <v>Coding Pattern</v>
      </c>
      <c r="B1347" s="6" t="str">
        <f ca="1">IFERROR(__xludf.DUMMYFUNCTION("""COMPUTED_VALUE"""),"Task Execution")</f>
        <v>Task Execution</v>
      </c>
      <c r="H1347" s="6">
        <f ca="1"/>
        <v>0</v>
      </c>
      <c r="I1347" s="6">
        <f ca="1"/>
        <v>0</v>
      </c>
      <c r="J1347" s="6">
        <f ca="1"/>
        <v>0</v>
      </c>
    </row>
    <row r="1348" spans="1:10" ht="13" x14ac:dyDescent="0.15">
      <c r="A1348" s="6" t="str">
        <f ca="1">IFERROR(__xludf.DUMMYFUNCTION("""COMPUTED_VALUE"""),"Coding Pattern")</f>
        <v>Coding Pattern</v>
      </c>
      <c r="B1348" s="6" t="str">
        <f ca="1">IFERROR(__xludf.DUMMYFUNCTION("""COMPUTED_VALUE"""),"Testing")</f>
        <v>Testing</v>
      </c>
      <c r="H1348" s="6">
        <f ca="1"/>
        <v>0</v>
      </c>
      <c r="I1348" s="6">
        <f ca="1"/>
        <v>0</v>
      </c>
      <c r="J1348" s="6">
        <f ca="1"/>
        <v>0</v>
      </c>
    </row>
    <row r="1349" spans="1:10" ht="13" x14ac:dyDescent="0.15">
      <c r="A1349" s="6" t="str">
        <f ca="1">IFERROR(__xludf.DUMMYFUNCTION("""COMPUTED_VALUE"""),"Coding Pattern")</f>
        <v>Coding Pattern</v>
      </c>
      <c r="B1349" s="6" t="str">
        <f ca="1">IFERROR(__xludf.DUMMYFUNCTION("""COMPUTED_VALUE"""),"Coding Pattern")</f>
        <v>Coding Pattern</v>
      </c>
      <c r="H1349" s="6">
        <f ca="1"/>
        <v>0</v>
      </c>
      <c r="I1349" s="6">
        <f ca="1"/>
        <v>0</v>
      </c>
      <c r="J1349" s="6">
        <f ca="1"/>
        <v>0</v>
      </c>
    </row>
    <row r="1350" spans="1:10" ht="13" x14ac:dyDescent="0.15">
      <c r="A1350" s="6" t="str">
        <f ca="1">IFERROR(__xludf.DUMMYFUNCTION("""COMPUTED_VALUE"""),"Coding Pattern")</f>
        <v>Coding Pattern</v>
      </c>
      <c r="B1350" s="6" t="str">
        <f ca="1">IFERROR(__xludf.DUMMYFUNCTION("""COMPUTED_VALUE"""),"Coding Pattern")</f>
        <v>Coding Pattern</v>
      </c>
      <c r="H1350" s="6">
        <f ca="1"/>
        <v>0</v>
      </c>
      <c r="I1350" s="6">
        <f ca="1"/>
        <v>0</v>
      </c>
      <c r="J1350" s="6">
        <f ca="1"/>
        <v>0</v>
      </c>
    </row>
    <row r="1351" spans="1:10" ht="13" x14ac:dyDescent="0.15">
      <c r="A1351" s="6" t="str">
        <f ca="1">IFERROR(__xludf.DUMMYFUNCTION("""COMPUTED_VALUE"""),"Coding Pattern")</f>
        <v>Coding Pattern</v>
      </c>
      <c r="B1351" s="6" t="str">
        <f ca="1">IFERROR(__xludf.DUMMYFUNCTION("""COMPUTED_VALUE"""),"Coding Pattern")</f>
        <v>Coding Pattern</v>
      </c>
      <c r="H1351" s="6">
        <f ca="1"/>
        <v>0</v>
      </c>
      <c r="I1351" s="6">
        <f ca="1"/>
        <v>0</v>
      </c>
      <c r="J1351" s="6">
        <f ca="1"/>
        <v>0</v>
      </c>
    </row>
    <row r="1352" spans="1:10" ht="13" x14ac:dyDescent="0.15">
      <c r="A1352" s="6" t="str">
        <f ca="1">IFERROR(__xludf.DUMMYFUNCTION("""COMPUTED_VALUE"""),"Coding Pattern")</f>
        <v>Coding Pattern</v>
      </c>
      <c r="B1352" s="6" t="str">
        <f ca="1">IFERROR(__xludf.DUMMYFUNCTION("""COMPUTED_VALUE"""),"Coding Pattern")</f>
        <v>Coding Pattern</v>
      </c>
      <c r="H1352" s="6">
        <f ca="1"/>
        <v>0</v>
      </c>
      <c r="I1352" s="6">
        <f ca="1"/>
        <v>0</v>
      </c>
      <c r="J1352" s="6">
        <f ca="1"/>
        <v>0</v>
      </c>
    </row>
    <row r="1353" spans="1:10" ht="13" x14ac:dyDescent="0.15">
      <c r="A1353" s="6" t="str">
        <f ca="1">IFERROR(__xludf.DUMMYFUNCTION("""COMPUTED_VALUE"""),"Documentation")</f>
        <v>Documentation</v>
      </c>
      <c r="B1353" s="6" t="str">
        <f ca="1">IFERROR(__xludf.DUMMYFUNCTION("""COMPUTED_VALUE"""),"Documentation")</f>
        <v>Documentation</v>
      </c>
      <c r="H1353" s="6">
        <f ca="1"/>
        <v>0</v>
      </c>
      <c r="I1353" s="6">
        <f ca="1"/>
        <v>0</v>
      </c>
      <c r="J1353" s="6">
        <f ca="1"/>
        <v>0</v>
      </c>
    </row>
    <row r="1354" spans="1:10" ht="13" x14ac:dyDescent="0.15">
      <c r="A1354" s="6" t="str">
        <f ca="1">IFERROR(__xludf.DUMMYFUNCTION("""COMPUTED_VALUE"""),"Coding Style")</f>
        <v>Coding Style</v>
      </c>
      <c r="B1354" s="6" t="str">
        <f ca="1">IFERROR(__xludf.DUMMYFUNCTION("""COMPUTED_VALUE"""),"Coding Style")</f>
        <v>Coding Style</v>
      </c>
      <c r="H1354" s="6">
        <f ca="1"/>
        <v>0</v>
      </c>
      <c r="I1354" s="6">
        <f ca="1"/>
        <v>0</v>
      </c>
      <c r="J1354" s="6">
        <f ca="1"/>
        <v>0</v>
      </c>
    </row>
    <row r="1355" spans="1:10" ht="13" x14ac:dyDescent="0.15">
      <c r="A1355" s="6" t="str">
        <f ca="1">IFERROR(__xludf.DUMMYFUNCTION("""COMPUTED_VALUE"""),"Task Execution")</f>
        <v>Task Execution</v>
      </c>
      <c r="B1355" s="6" t="str">
        <f ca="1">IFERROR(__xludf.DUMMYFUNCTION("""COMPUTED_VALUE"""),"Task Execution")</f>
        <v>Task Execution</v>
      </c>
      <c r="H1355" s="6">
        <f ca="1"/>
        <v>0</v>
      </c>
      <c r="I1355" s="6">
        <f ca="1"/>
        <v>0</v>
      </c>
      <c r="J1355" s="6">
        <f ca="1"/>
        <v>0</v>
      </c>
    </row>
    <row r="1356" spans="1:10" ht="13" x14ac:dyDescent="0.15">
      <c r="A1356" s="6" t="str">
        <f ca="1">IFERROR(__xludf.DUMMYFUNCTION("""COMPUTED_VALUE"""),"Build &amp; Operation")</f>
        <v>Build &amp; Operation</v>
      </c>
      <c r="B1356" s="6" t="str">
        <f ca="1">IFERROR(__xludf.DUMMYFUNCTION("""COMPUTED_VALUE"""),"Build &amp; Operation")</f>
        <v>Build &amp; Operation</v>
      </c>
      <c r="H1356" s="6">
        <f ca="1"/>
        <v>0</v>
      </c>
      <c r="I1356" s="6">
        <f ca="1"/>
        <v>0</v>
      </c>
      <c r="J1356" s="6">
        <f ca="1"/>
        <v>0</v>
      </c>
    </row>
    <row r="1357" spans="1:10" ht="13" x14ac:dyDescent="0.15">
      <c r="A1357" s="6" t="str">
        <f ca="1">IFERROR(__xludf.DUMMYFUNCTION("""COMPUTED_VALUE"""),"Coding Pattern")</f>
        <v>Coding Pattern</v>
      </c>
      <c r="B1357" s="6" t="str">
        <f ca="1">IFERROR(__xludf.DUMMYFUNCTION("""COMPUTED_VALUE"""),"Coding Pattern")</f>
        <v>Coding Pattern</v>
      </c>
      <c r="H1357" s="6">
        <f ca="1"/>
        <v>0</v>
      </c>
      <c r="I1357" s="6">
        <f ca="1"/>
        <v>0</v>
      </c>
      <c r="J1357" s="6">
        <f ca="1"/>
        <v>0</v>
      </c>
    </row>
    <row r="1358" spans="1:10" ht="13" x14ac:dyDescent="0.15">
      <c r="A1358" s="6" t="str">
        <f ca="1">IFERROR(__xludf.DUMMYFUNCTION("""COMPUTED_VALUE"""),"Coding Pattern")</f>
        <v>Coding Pattern</v>
      </c>
      <c r="B1358" s="6" t="str">
        <f ca="1">IFERROR(__xludf.DUMMYFUNCTION("""COMPUTED_VALUE"""),"Coding Pattern")</f>
        <v>Coding Pattern</v>
      </c>
      <c r="H1358" s="6">
        <f ca="1"/>
        <v>0</v>
      </c>
      <c r="I1358" s="6">
        <f ca="1"/>
        <v>0</v>
      </c>
      <c r="J1358" s="6">
        <f ca="1"/>
        <v>0</v>
      </c>
    </row>
    <row r="1359" spans="1:10" ht="13" x14ac:dyDescent="0.15">
      <c r="A1359" s="6" t="str">
        <f ca="1">IFERROR(__xludf.DUMMYFUNCTION("""COMPUTED_VALUE"""),"Task Execution")</f>
        <v>Task Execution</v>
      </c>
      <c r="B1359" s="6" t="str">
        <f ca="1">IFERROR(__xludf.DUMMYFUNCTION("""COMPUTED_VALUE"""),"Task Execution")</f>
        <v>Task Execution</v>
      </c>
      <c r="H1359" s="6">
        <f ca="1"/>
        <v>0</v>
      </c>
      <c r="I1359" s="6">
        <f ca="1"/>
        <v>0</v>
      </c>
      <c r="J1359" s="6">
        <f ca="1"/>
        <v>0</v>
      </c>
    </row>
    <row r="1360" spans="1:10" ht="13" x14ac:dyDescent="0.15">
      <c r="A1360" s="6" t="str">
        <f ca="1">IFERROR(__xludf.DUMMYFUNCTION("""COMPUTED_VALUE"""),"Coding Style")</f>
        <v>Coding Style</v>
      </c>
      <c r="B1360" s="6" t="str">
        <f ca="1">IFERROR(__xludf.DUMMYFUNCTION("""COMPUTED_VALUE"""),"Coding Pattern")</f>
        <v>Coding Pattern</v>
      </c>
      <c r="H1360" s="6">
        <f ca="1"/>
        <v>0</v>
      </c>
      <c r="I1360" s="6">
        <f ca="1"/>
        <v>0</v>
      </c>
      <c r="J1360" s="6">
        <f ca="1"/>
        <v>0</v>
      </c>
    </row>
    <row r="1361" spans="1:10" ht="13" x14ac:dyDescent="0.15">
      <c r="A1361" s="6" t="str">
        <f ca="1">IFERROR(__xludf.DUMMYFUNCTION("""COMPUTED_VALUE"""),"Coding Style")</f>
        <v>Coding Style</v>
      </c>
      <c r="B1361" s="6" t="str">
        <f ca="1">IFERROR(__xludf.DUMMYFUNCTION("""COMPUTED_VALUE"""),"Coding Style")</f>
        <v>Coding Style</v>
      </c>
      <c r="H1361" s="6">
        <f ca="1"/>
        <v>0</v>
      </c>
      <c r="I1361" s="6">
        <f ca="1"/>
        <v>0</v>
      </c>
      <c r="J1361" s="6">
        <f ca="1"/>
        <v>0</v>
      </c>
    </row>
    <row r="1362" spans="1:10" ht="13" x14ac:dyDescent="0.15">
      <c r="A1362" s="6" t="str">
        <f ca="1">IFERROR(__xludf.DUMMYFUNCTION("""COMPUTED_VALUE"""),"Commit&amp;PR rule")</f>
        <v>Commit&amp;PR rule</v>
      </c>
      <c r="B1362" s="6" t="str">
        <f ca="1">IFERROR(__xludf.DUMMYFUNCTION("""COMPUTED_VALUE"""),"Commit&amp;PR rule")</f>
        <v>Commit&amp;PR rule</v>
      </c>
      <c r="H1362" s="6">
        <f ca="1"/>
        <v>0</v>
      </c>
      <c r="I1362" s="6">
        <f ca="1"/>
        <v>0</v>
      </c>
      <c r="J1362" s="6">
        <f ca="1"/>
        <v>0</v>
      </c>
    </row>
    <row r="1363" spans="1:10" ht="13" x14ac:dyDescent="0.15">
      <c r="A1363" s="6" t="str">
        <f ca="1">IFERROR(__xludf.DUMMYFUNCTION("""COMPUTED_VALUE"""),"Build &amp; Operation")</f>
        <v>Build &amp; Operation</v>
      </c>
      <c r="B1363" s="6" t="str">
        <f ca="1">IFERROR(__xludf.DUMMYFUNCTION("""COMPUTED_VALUE"""),"Coding Pattern")</f>
        <v>Coding Pattern</v>
      </c>
      <c r="H1363" s="6">
        <f ca="1"/>
        <v>0</v>
      </c>
      <c r="I1363" s="6">
        <f ca="1"/>
        <v>0</v>
      </c>
      <c r="J1363" s="6">
        <f ca="1"/>
        <v>0</v>
      </c>
    </row>
    <row r="1364" spans="1:10" ht="13" x14ac:dyDescent="0.15">
      <c r="A1364" s="6" t="str">
        <f ca="1">IFERROR(__xludf.DUMMYFUNCTION("""COMPUTED_VALUE"""),"Build &amp; Operation")</f>
        <v>Build &amp; Operation</v>
      </c>
      <c r="B1364" s="6" t="str">
        <f ca="1">IFERROR(__xludf.DUMMYFUNCTION("""COMPUTED_VALUE"""),"Coding Pattern")</f>
        <v>Coding Pattern</v>
      </c>
      <c r="H1364" s="6">
        <f ca="1"/>
        <v>0</v>
      </c>
      <c r="I1364" s="6">
        <f ca="1"/>
        <v>0</v>
      </c>
      <c r="J1364" s="6">
        <f ca="1"/>
        <v>0</v>
      </c>
    </row>
    <row r="1365" spans="1:10" ht="13" x14ac:dyDescent="0.15">
      <c r="A1365" s="6" t="str">
        <f ca="1">IFERROR(__xludf.DUMMYFUNCTION("""COMPUTED_VALUE"""),"Coding Pattern")</f>
        <v>Coding Pattern</v>
      </c>
      <c r="B1365" s="6" t="str">
        <f ca="1">IFERROR(__xludf.DUMMYFUNCTION("""COMPUTED_VALUE"""),"Coding Pattern")</f>
        <v>Coding Pattern</v>
      </c>
      <c r="H1365" s="6">
        <f ca="1"/>
        <v>0</v>
      </c>
      <c r="I1365" s="6">
        <f ca="1"/>
        <v>0</v>
      </c>
      <c r="J1365" s="6">
        <f ca="1"/>
        <v>0</v>
      </c>
    </row>
    <row r="1366" spans="1:10" ht="13" x14ac:dyDescent="0.15">
      <c r="A1366" s="6" t="str">
        <f ca="1">IFERROR(__xludf.DUMMYFUNCTION("""COMPUTED_VALUE"""),"Task Execution")</f>
        <v>Task Execution</v>
      </c>
      <c r="B1366" s="6" t="str">
        <f ca="1">IFERROR(__xludf.DUMMYFUNCTION("""COMPUTED_VALUE"""),"Build &amp; Operation")</f>
        <v>Build &amp; Operation</v>
      </c>
      <c r="H1366" s="6">
        <f ca="1"/>
        <v>0</v>
      </c>
      <c r="I1366" s="6">
        <f ca="1"/>
        <v>0</v>
      </c>
      <c r="J1366" s="6">
        <f ca="1"/>
        <v>0</v>
      </c>
    </row>
    <row r="1367" spans="1:10" ht="13" x14ac:dyDescent="0.15">
      <c r="A1367" s="6" t="str">
        <f ca="1">IFERROR(__xludf.DUMMYFUNCTION("""COMPUTED_VALUE"""),"Writing Style Preference")</f>
        <v>Writing Style Preference</v>
      </c>
      <c r="B1367" s="6" t="str">
        <f ca="1">IFERROR(__xludf.DUMMYFUNCTION("""COMPUTED_VALUE"""),"Writing Style Preference")</f>
        <v>Writing Style Preference</v>
      </c>
      <c r="H1367" s="6">
        <f ca="1"/>
        <v>0</v>
      </c>
      <c r="I1367" s="6">
        <f ca="1"/>
        <v>0</v>
      </c>
      <c r="J1367" s="6">
        <f ca="1"/>
        <v>0</v>
      </c>
    </row>
    <row r="1368" spans="1:10" ht="13" x14ac:dyDescent="0.15">
      <c r="A1368" s="6" t="str">
        <f ca="1">IFERROR(__xludf.DUMMYFUNCTION("""COMPUTED_VALUE"""),"Writing Style Preference")</f>
        <v>Writing Style Preference</v>
      </c>
      <c r="B1368" s="6" t="str">
        <f ca="1">IFERROR(__xludf.DUMMYFUNCTION("""COMPUTED_VALUE"""),"Writing Style Preference")</f>
        <v>Writing Style Preference</v>
      </c>
      <c r="H1368" s="6">
        <f ca="1"/>
        <v>0</v>
      </c>
      <c r="I1368" s="6">
        <f ca="1"/>
        <v>0</v>
      </c>
      <c r="J1368" s="6">
        <f ca="1"/>
        <v>0</v>
      </c>
    </row>
    <row r="1369" spans="1:10" ht="13" x14ac:dyDescent="0.15">
      <c r="A1369" s="6" t="str">
        <f ca="1">IFERROR(__xludf.DUMMYFUNCTION("""COMPUTED_VALUE"""),"Writing Style Preference")</f>
        <v>Writing Style Preference</v>
      </c>
      <c r="B1369" s="6" t="str">
        <f ca="1">IFERROR(__xludf.DUMMYFUNCTION("""COMPUTED_VALUE"""),"Writing Style Preference")</f>
        <v>Writing Style Preference</v>
      </c>
      <c r="H1369" s="6">
        <f ca="1"/>
        <v>0</v>
      </c>
      <c r="I1369" s="6">
        <f ca="1"/>
        <v>0</v>
      </c>
      <c r="J1369" s="6">
        <f ca="1"/>
        <v>0</v>
      </c>
    </row>
    <row r="1370" spans="1:10" ht="13" x14ac:dyDescent="0.15">
      <c r="A1370" s="6" t="str">
        <f ca="1">IFERROR(__xludf.DUMMYFUNCTION("""COMPUTED_VALUE"""),"Task Execution")</f>
        <v>Task Execution</v>
      </c>
      <c r="B1370" s="6" t="str">
        <f ca="1">IFERROR(__xludf.DUMMYFUNCTION("""COMPUTED_VALUE"""),"Task Execution")</f>
        <v>Task Execution</v>
      </c>
      <c r="H1370" s="6">
        <f ca="1"/>
        <v>0</v>
      </c>
      <c r="I1370" s="6">
        <f ca="1"/>
        <v>0</v>
      </c>
      <c r="J1370" s="6">
        <f ca="1"/>
        <v>0</v>
      </c>
    </row>
    <row r="1371" spans="1:10" ht="13" x14ac:dyDescent="0.15">
      <c r="A1371" s="6" t="str">
        <f ca="1">IFERROR(__xludf.DUMMYFUNCTION("""COMPUTED_VALUE"""),"Coding Pattern")</f>
        <v>Coding Pattern</v>
      </c>
      <c r="B1371" s="6" t="str">
        <f ca="1">IFERROR(__xludf.DUMMYFUNCTION("""COMPUTED_VALUE"""),"Coding Pattern")</f>
        <v>Coding Pattern</v>
      </c>
      <c r="H1371" s="6">
        <f ca="1"/>
        <v>0</v>
      </c>
      <c r="I1371" s="6">
        <f ca="1"/>
        <v>0</v>
      </c>
      <c r="J1371" s="6">
        <f ca="1"/>
        <v>0</v>
      </c>
    </row>
    <row r="1372" spans="1:10" ht="13" x14ac:dyDescent="0.15">
      <c r="A1372" s="6" t="str">
        <f ca="1">IFERROR(__xludf.DUMMYFUNCTION("""COMPUTED_VALUE"""),"Security")</f>
        <v>Security</v>
      </c>
      <c r="B1372" s="6" t="str">
        <f ca="1">IFERROR(__xludf.DUMMYFUNCTION("""COMPUTED_VALUE"""),"Security")</f>
        <v>Security</v>
      </c>
      <c r="H1372" s="6">
        <f ca="1"/>
        <v>0</v>
      </c>
      <c r="I1372" s="6">
        <f ca="1"/>
        <v>0</v>
      </c>
      <c r="J1372" s="6">
        <f ca="1"/>
        <v>0</v>
      </c>
    </row>
    <row r="1373" spans="1:10" ht="13" x14ac:dyDescent="0.15">
      <c r="A1373" s="6" t="str">
        <f ca="1">IFERROR(__xludf.DUMMYFUNCTION("""COMPUTED_VALUE"""),"Task Execution")</f>
        <v>Task Execution</v>
      </c>
      <c r="B1373" s="6" t="str">
        <f ca="1">IFERROR(__xludf.DUMMYFUNCTION("""COMPUTED_VALUE"""),"Coding Pattern")</f>
        <v>Coding Pattern</v>
      </c>
      <c r="H1373" s="6">
        <f ca="1"/>
        <v>0</v>
      </c>
      <c r="I1373" s="6">
        <f ca="1"/>
        <v>0</v>
      </c>
      <c r="J1373" s="6">
        <f ca="1"/>
        <v>0</v>
      </c>
    </row>
    <row r="1374" spans="1:10" ht="13" x14ac:dyDescent="0.15">
      <c r="A1374" s="6" t="str">
        <f ca="1">IFERROR(__xludf.DUMMYFUNCTION("""COMPUTED_VALUE"""),"NOT_ENOUGH_CONTEXT")</f>
        <v>NOT_ENOUGH_CONTEXT</v>
      </c>
      <c r="B1374" s="6" t="str">
        <f ca="1">IFERROR(__xludf.DUMMYFUNCTION("""COMPUTED_VALUE"""),"NOT_ENOUGH_CONTEXT")</f>
        <v>NOT_ENOUGH_CONTEXT</v>
      </c>
      <c r="H1374" s="6">
        <f ca="1"/>
        <v>0</v>
      </c>
      <c r="I1374" s="6">
        <f ca="1"/>
        <v>0</v>
      </c>
      <c r="J1374" s="6">
        <f ca="1"/>
        <v>0</v>
      </c>
    </row>
    <row r="1375" spans="1:10" ht="13" x14ac:dyDescent="0.15">
      <c r="A1375" s="6" t="str">
        <f ca="1">IFERROR(__xludf.DUMMYFUNCTION("""COMPUTED_VALUE"""),"Build &amp; Operation")</f>
        <v>Build &amp; Operation</v>
      </c>
      <c r="B1375" s="6" t="str">
        <f ca="1">IFERROR(__xludf.DUMMYFUNCTION("""COMPUTED_VALUE"""),"Coding Style")</f>
        <v>Coding Style</v>
      </c>
      <c r="H1375" s="6">
        <f ca="1"/>
        <v>0</v>
      </c>
      <c r="I1375" s="6">
        <f ca="1"/>
        <v>0</v>
      </c>
      <c r="J1375" s="6">
        <f ca="1"/>
        <v>0</v>
      </c>
    </row>
    <row r="1376" spans="1:10" ht="13" x14ac:dyDescent="0.15">
      <c r="A1376" s="6" t="str">
        <f ca="1">IFERROR(__xludf.DUMMYFUNCTION("""COMPUTED_VALUE"""),"Build &amp; Operation")</f>
        <v>Build &amp; Operation</v>
      </c>
      <c r="B1376" s="6" t="str">
        <f ca="1">IFERROR(__xludf.DUMMYFUNCTION("""COMPUTED_VALUE"""),"Build &amp; Operation")</f>
        <v>Build &amp; Operation</v>
      </c>
      <c r="H1376" s="6">
        <f ca="1"/>
        <v>0</v>
      </c>
      <c r="I1376" s="6">
        <f ca="1"/>
        <v>0</v>
      </c>
      <c r="J1376" s="6">
        <f ca="1"/>
        <v>0</v>
      </c>
    </row>
    <row r="1377" spans="1:10" ht="13" x14ac:dyDescent="0.15">
      <c r="A1377" s="6" t="str">
        <f ca="1">IFERROR(__xludf.DUMMYFUNCTION("""COMPUTED_VALUE"""),"Task Execution")</f>
        <v>Task Execution</v>
      </c>
      <c r="B1377" s="6" t="str">
        <f ca="1">IFERROR(__xludf.DUMMYFUNCTION("""COMPUTED_VALUE"""),"Coding Pattern")</f>
        <v>Coding Pattern</v>
      </c>
      <c r="H1377" s="6">
        <f ca="1"/>
        <v>0</v>
      </c>
      <c r="I1377" s="6">
        <f ca="1"/>
        <v>0</v>
      </c>
      <c r="J1377" s="6">
        <f ca="1"/>
        <v>0</v>
      </c>
    </row>
    <row r="1378" spans="1:10" ht="13" x14ac:dyDescent="0.15">
      <c r="A1378" s="6" t="str">
        <f ca="1">IFERROR(__xludf.DUMMYFUNCTION("""COMPUTED_VALUE"""),"Coding Pattern")</f>
        <v>Coding Pattern</v>
      </c>
      <c r="B1378" s="6" t="str">
        <f ca="1">IFERROR(__xludf.DUMMYFUNCTION("""COMPUTED_VALUE"""),"Coding Pattern")</f>
        <v>Coding Pattern</v>
      </c>
      <c r="H1378" s="6">
        <f ca="1"/>
        <v>0</v>
      </c>
      <c r="I1378" s="6">
        <f ca="1"/>
        <v>0</v>
      </c>
      <c r="J1378" s="6">
        <f ca="1"/>
        <v>0</v>
      </c>
    </row>
    <row r="1379" spans="1:10" ht="13" x14ac:dyDescent="0.15">
      <c r="A1379" s="6" t="str">
        <f ca="1">IFERROR(__xludf.DUMMYFUNCTION("""COMPUTED_VALUE"""),"Task Execution")</f>
        <v>Task Execution</v>
      </c>
      <c r="B1379" s="6" t="str">
        <f ca="1">IFERROR(__xludf.DUMMYFUNCTION("""COMPUTED_VALUE"""),"Task Execution")</f>
        <v>Task Execution</v>
      </c>
      <c r="H1379" s="6">
        <f ca="1"/>
        <v>0</v>
      </c>
      <c r="I1379" s="6">
        <f ca="1"/>
        <v>0</v>
      </c>
      <c r="J1379" s="6">
        <f ca="1"/>
        <v>0</v>
      </c>
    </row>
    <row r="1380" spans="1:10" ht="13" x14ac:dyDescent="0.15">
      <c r="A1380" s="6" t="str">
        <f ca="1">IFERROR(__xludf.DUMMYFUNCTION("""COMPUTED_VALUE"""),"Coding Style")</f>
        <v>Coding Style</v>
      </c>
      <c r="B1380" s="6" t="str">
        <f ca="1">IFERROR(__xludf.DUMMYFUNCTION("""COMPUTED_VALUE"""),"Coding Style")</f>
        <v>Coding Style</v>
      </c>
      <c r="H1380" s="6">
        <f ca="1"/>
        <v>0</v>
      </c>
      <c r="I1380" s="6">
        <f ca="1"/>
        <v>0</v>
      </c>
      <c r="J1380" s="6">
        <f ca="1"/>
        <v>0</v>
      </c>
    </row>
    <row r="1381" spans="1:10" ht="13" x14ac:dyDescent="0.15">
      <c r="A1381" s="6" t="str">
        <f ca="1">IFERROR(__xludf.DUMMYFUNCTION("""COMPUTED_VALUE"""),"Security")</f>
        <v>Security</v>
      </c>
      <c r="B1381" s="6" t="str">
        <f ca="1">IFERROR(__xludf.DUMMYFUNCTION("""COMPUTED_VALUE"""),"Coding Pattern")</f>
        <v>Coding Pattern</v>
      </c>
      <c r="H1381" s="6">
        <f ca="1"/>
        <v>0</v>
      </c>
      <c r="I1381" s="6">
        <f ca="1"/>
        <v>0</v>
      </c>
      <c r="J1381" s="6">
        <f ca="1"/>
        <v>0</v>
      </c>
    </row>
    <row r="1382" spans="1:10" ht="13" x14ac:dyDescent="0.15">
      <c r="A1382" s="6" t="str">
        <f ca="1">IFERROR(__xludf.DUMMYFUNCTION("""COMPUTED_VALUE"""),"Build &amp; Operation")</f>
        <v>Build &amp; Operation</v>
      </c>
      <c r="B1382" s="6" t="str">
        <f ca="1">IFERROR(__xludf.DUMMYFUNCTION("""COMPUTED_VALUE"""),"Build &amp; Operation")</f>
        <v>Build &amp; Operation</v>
      </c>
      <c r="H1382" s="6">
        <f ca="1"/>
        <v>0</v>
      </c>
      <c r="I1382" s="6">
        <f ca="1"/>
        <v>0</v>
      </c>
      <c r="J1382" s="6">
        <f ca="1"/>
        <v>0</v>
      </c>
    </row>
    <row r="1383" spans="1:10" ht="13" x14ac:dyDescent="0.15">
      <c r="A1383" s="6" t="str">
        <f ca="1">IFERROR(__xludf.DUMMYFUNCTION("""COMPUTED_VALUE"""),"Coding Pattern")</f>
        <v>Coding Pattern</v>
      </c>
      <c r="B1383" s="6" t="str">
        <f ca="1">IFERROR(__xludf.DUMMYFUNCTION("""COMPUTED_VALUE"""),"Coding Pattern")</f>
        <v>Coding Pattern</v>
      </c>
      <c r="H1383" s="6">
        <f ca="1"/>
        <v>0</v>
      </c>
      <c r="I1383" s="6">
        <f ca="1"/>
        <v>0</v>
      </c>
      <c r="J1383" s="6">
        <f ca="1"/>
        <v>0</v>
      </c>
    </row>
    <row r="1384" spans="1:10" ht="13" x14ac:dyDescent="0.15">
      <c r="A1384" s="6" t="str">
        <f ca="1">IFERROR(__xludf.DUMMYFUNCTION("""COMPUTED_VALUE"""),"Coding Pattern")</f>
        <v>Coding Pattern</v>
      </c>
      <c r="B1384" s="6" t="str">
        <f ca="1">IFERROR(__xludf.DUMMYFUNCTION("""COMPUTED_VALUE"""),"Coding Pattern")</f>
        <v>Coding Pattern</v>
      </c>
      <c r="H1384" s="6">
        <f ca="1"/>
        <v>0</v>
      </c>
      <c r="I1384" s="6">
        <f ca="1"/>
        <v>0</v>
      </c>
      <c r="J1384" s="6">
        <f ca="1"/>
        <v>0</v>
      </c>
    </row>
    <row r="1385" spans="1:10" ht="13" x14ac:dyDescent="0.15">
      <c r="A1385" s="6" t="str">
        <f ca="1">IFERROR(__xludf.DUMMYFUNCTION("""COMPUTED_VALUE"""),"Coding Pattern")</f>
        <v>Coding Pattern</v>
      </c>
      <c r="B1385" s="6" t="str">
        <f ca="1">IFERROR(__xludf.DUMMYFUNCTION("""COMPUTED_VALUE"""),"Coding Style")</f>
        <v>Coding Style</v>
      </c>
      <c r="H1385" s="6">
        <f ca="1"/>
        <v>0</v>
      </c>
      <c r="I1385" s="6">
        <f ca="1"/>
        <v>0</v>
      </c>
      <c r="J1385" s="6">
        <f ca="1"/>
        <v>0</v>
      </c>
    </row>
    <row r="1386" spans="1:10" ht="13" x14ac:dyDescent="0.15">
      <c r="A1386" s="6" t="str">
        <f ca="1">IFERROR(__xludf.DUMMYFUNCTION("""COMPUTED_VALUE"""),"Coding Style")</f>
        <v>Coding Style</v>
      </c>
      <c r="B1386" s="6" t="str">
        <f ca="1">IFERROR(__xludf.DUMMYFUNCTION("""COMPUTED_VALUE"""),"Coding Style")</f>
        <v>Coding Style</v>
      </c>
      <c r="H1386" s="6">
        <f ca="1"/>
        <v>0</v>
      </c>
      <c r="I1386" s="6">
        <f ca="1"/>
        <v>0</v>
      </c>
      <c r="J1386" s="6">
        <f ca="1"/>
        <v>0</v>
      </c>
    </row>
    <row r="1387" spans="1:10" ht="13" x14ac:dyDescent="0.15">
      <c r="A1387" s="6" t="str">
        <f ca="1">IFERROR(__xludf.DUMMYFUNCTION("""COMPUTED_VALUE"""),"Commit&amp;PR rule")</f>
        <v>Commit&amp;PR rule</v>
      </c>
      <c r="B1387" s="6" t="str">
        <f ca="1">IFERROR(__xludf.DUMMYFUNCTION("""COMPUTED_VALUE"""),"Writing Style Preference")</f>
        <v>Writing Style Preference</v>
      </c>
      <c r="H1387" s="6">
        <f ca="1"/>
        <v>0</v>
      </c>
      <c r="I1387" s="6">
        <f ca="1"/>
        <v>0</v>
      </c>
      <c r="J1387" s="6">
        <f ca="1"/>
        <v>0</v>
      </c>
    </row>
    <row r="1388" spans="1:10" ht="13" x14ac:dyDescent="0.15">
      <c r="A1388" s="6" t="str">
        <f ca="1">IFERROR(__xludf.DUMMYFUNCTION("""COMPUTED_VALUE"""),"Task Execution")</f>
        <v>Task Execution</v>
      </c>
      <c r="B1388" s="6" t="str">
        <f ca="1">IFERROR(__xludf.DUMMYFUNCTION("""COMPUTED_VALUE"""),"Commit&amp;PR rule")</f>
        <v>Commit&amp;PR rule</v>
      </c>
      <c r="H1388" s="6">
        <f ca="1"/>
        <v>0</v>
      </c>
      <c r="I1388" s="6">
        <f ca="1"/>
        <v>0</v>
      </c>
      <c r="J1388" s="6">
        <f ca="1"/>
        <v>0</v>
      </c>
    </row>
    <row r="1389" spans="1:10" ht="13" x14ac:dyDescent="0.15">
      <c r="A1389" s="6" t="str">
        <f ca="1">IFERROR(__xludf.DUMMYFUNCTION("""COMPUTED_VALUE"""),"Testing")</f>
        <v>Testing</v>
      </c>
      <c r="B1389" s="6" t="str">
        <f ca="1">IFERROR(__xludf.DUMMYFUNCTION("""COMPUTED_VALUE"""),"Testing")</f>
        <v>Testing</v>
      </c>
      <c r="H1389" s="6">
        <f ca="1"/>
        <v>0</v>
      </c>
      <c r="I1389" s="6">
        <f ca="1"/>
        <v>0</v>
      </c>
      <c r="J1389" s="6">
        <f ca="1"/>
        <v>0</v>
      </c>
    </row>
    <row r="1390" spans="1:10" ht="13" x14ac:dyDescent="0.15">
      <c r="A1390" s="6" t="str">
        <f ca="1">IFERROR(__xludf.DUMMYFUNCTION("""COMPUTED_VALUE"""),"Security")</f>
        <v>Security</v>
      </c>
      <c r="B1390" s="6" t="str">
        <f ca="1">IFERROR(__xludf.DUMMYFUNCTION("""COMPUTED_VALUE"""),"Security")</f>
        <v>Security</v>
      </c>
      <c r="H1390" s="6">
        <f ca="1"/>
        <v>0</v>
      </c>
      <c r="I1390" s="6">
        <f ca="1"/>
        <v>0</v>
      </c>
      <c r="J1390" s="6">
        <f ca="1"/>
        <v>0</v>
      </c>
    </row>
    <row r="1391" spans="1:10" ht="13" x14ac:dyDescent="0.15">
      <c r="A1391" s="6" t="str">
        <f ca="1">IFERROR(__xludf.DUMMYFUNCTION("""COMPUTED_VALUE"""),"Security")</f>
        <v>Security</v>
      </c>
      <c r="B1391" s="6" t="str">
        <f ca="1">IFERROR(__xludf.DUMMYFUNCTION("""COMPUTED_VALUE"""),"Coding Pattern")</f>
        <v>Coding Pattern</v>
      </c>
      <c r="H1391" s="6">
        <f ca="1"/>
        <v>0</v>
      </c>
      <c r="I1391" s="6">
        <f ca="1"/>
        <v>0</v>
      </c>
      <c r="J1391" s="6">
        <f ca="1"/>
        <v>0</v>
      </c>
    </row>
    <row r="1392" spans="1:10" ht="13" x14ac:dyDescent="0.15">
      <c r="A1392" s="6" t="str">
        <f ca="1">IFERROR(__xludf.DUMMYFUNCTION("""COMPUTED_VALUE"""),"Build &amp; Operation")</f>
        <v>Build &amp; Operation</v>
      </c>
      <c r="B1392" s="6" t="str">
        <f ca="1">IFERROR(__xludf.DUMMYFUNCTION("""COMPUTED_VALUE"""),"Coding Pattern")</f>
        <v>Coding Pattern</v>
      </c>
      <c r="H1392" s="6">
        <f ca="1"/>
        <v>0</v>
      </c>
      <c r="I1392" s="6">
        <f ca="1"/>
        <v>0</v>
      </c>
      <c r="J1392" s="6">
        <f ca="1"/>
        <v>0</v>
      </c>
    </row>
    <row r="1393" spans="1:10" ht="13" x14ac:dyDescent="0.15">
      <c r="A1393" s="6" t="str">
        <f ca="1">IFERROR(__xludf.DUMMYFUNCTION("""COMPUTED_VALUE"""),"Coding Pattern")</f>
        <v>Coding Pattern</v>
      </c>
      <c r="B1393" s="6" t="str">
        <f ca="1">IFERROR(__xludf.DUMMYFUNCTION("""COMPUTED_VALUE"""),"Coding Pattern")</f>
        <v>Coding Pattern</v>
      </c>
      <c r="H1393" s="6">
        <f ca="1"/>
        <v>0</v>
      </c>
      <c r="I1393" s="6">
        <f ca="1"/>
        <v>0</v>
      </c>
      <c r="J1393" s="6">
        <f ca="1"/>
        <v>0</v>
      </c>
    </row>
    <row r="1394" spans="1:10" ht="13" x14ac:dyDescent="0.15">
      <c r="A1394" s="6" t="str">
        <f ca="1">IFERROR(__xludf.DUMMYFUNCTION("""COMPUTED_VALUE"""),"Coding Pattern")</f>
        <v>Coding Pattern</v>
      </c>
      <c r="B1394" s="6" t="str">
        <f ca="1">IFERROR(__xludf.DUMMYFUNCTION("""COMPUTED_VALUE"""),"Coding Pattern")</f>
        <v>Coding Pattern</v>
      </c>
      <c r="H1394" s="6">
        <f ca="1"/>
        <v>0</v>
      </c>
      <c r="I1394" s="6">
        <f ca="1"/>
        <v>0</v>
      </c>
      <c r="J1394" s="6">
        <f ca="1"/>
        <v>0</v>
      </c>
    </row>
    <row r="1395" spans="1:10" ht="13" x14ac:dyDescent="0.15">
      <c r="A1395" s="6" t="str">
        <f ca="1">IFERROR(__xludf.DUMMYFUNCTION("""COMPUTED_VALUE"""),"Coding Pattern")</f>
        <v>Coding Pattern</v>
      </c>
      <c r="B1395" s="6" t="str">
        <f ca="1">IFERROR(__xludf.DUMMYFUNCTION("""COMPUTED_VALUE"""),"Coding Pattern")</f>
        <v>Coding Pattern</v>
      </c>
      <c r="H1395" s="6">
        <f ca="1"/>
        <v>0</v>
      </c>
      <c r="I1395" s="6">
        <f ca="1"/>
        <v>0</v>
      </c>
      <c r="J1395" s="6">
        <f ca="1"/>
        <v>0</v>
      </c>
    </row>
    <row r="1396" spans="1:10" ht="13" x14ac:dyDescent="0.15">
      <c r="A1396" s="6" t="str">
        <f ca="1">IFERROR(__xludf.DUMMYFUNCTION("""COMPUTED_VALUE"""),"Build &amp; Operation")</f>
        <v>Build &amp; Operation</v>
      </c>
      <c r="B1396" s="6" t="str">
        <f ca="1">IFERROR(__xludf.DUMMYFUNCTION("""COMPUTED_VALUE"""),"Coding Pattern")</f>
        <v>Coding Pattern</v>
      </c>
      <c r="H1396" s="6">
        <f ca="1"/>
        <v>0</v>
      </c>
      <c r="I1396" s="6">
        <f ca="1"/>
        <v>0</v>
      </c>
      <c r="J1396" s="6">
        <f ca="1"/>
        <v>0</v>
      </c>
    </row>
    <row r="1397" spans="1:10" ht="13" x14ac:dyDescent="0.15">
      <c r="A1397" s="6" t="str">
        <f ca="1">IFERROR(__xludf.DUMMYFUNCTION("""COMPUTED_VALUE"""),"Coding Style")</f>
        <v>Coding Style</v>
      </c>
      <c r="B1397" s="6" t="str">
        <f ca="1">IFERROR(__xludf.DUMMYFUNCTION("""COMPUTED_VALUE"""),"Coding Pattern")</f>
        <v>Coding Pattern</v>
      </c>
      <c r="H1397" s="6">
        <f ca="1"/>
        <v>0</v>
      </c>
      <c r="I1397" s="6">
        <f ca="1"/>
        <v>0</v>
      </c>
      <c r="J1397" s="6">
        <f ca="1"/>
        <v>0</v>
      </c>
    </row>
    <row r="1398" spans="1:10" ht="13" x14ac:dyDescent="0.15">
      <c r="A1398" s="6" t="str">
        <f ca="1">IFERROR(__xludf.DUMMYFUNCTION("""COMPUTED_VALUE"""),"Task Execution")</f>
        <v>Task Execution</v>
      </c>
      <c r="B1398" s="6" t="str">
        <f ca="1">IFERROR(__xludf.DUMMYFUNCTION("""COMPUTED_VALUE"""),"Coding Pattern")</f>
        <v>Coding Pattern</v>
      </c>
      <c r="H1398" s="6">
        <f ca="1"/>
        <v>0</v>
      </c>
      <c r="I1398" s="6">
        <f ca="1"/>
        <v>0</v>
      </c>
      <c r="J1398" s="6">
        <f ca="1"/>
        <v>0</v>
      </c>
    </row>
    <row r="1399" spans="1:10" ht="13" x14ac:dyDescent="0.15">
      <c r="A1399" s="6" t="str">
        <f ca="1">IFERROR(__xludf.DUMMYFUNCTION("""COMPUTED_VALUE"""),"Coding Style")</f>
        <v>Coding Style</v>
      </c>
      <c r="B1399" s="6" t="str">
        <f ca="1">IFERROR(__xludf.DUMMYFUNCTION("""COMPUTED_VALUE"""),"Coding Style")</f>
        <v>Coding Style</v>
      </c>
      <c r="H1399" s="6">
        <f ca="1"/>
        <v>0</v>
      </c>
      <c r="I1399" s="6">
        <f ca="1"/>
        <v>0</v>
      </c>
      <c r="J1399" s="6">
        <f ca="1"/>
        <v>0</v>
      </c>
    </row>
    <row r="1400" spans="1:10" ht="13" x14ac:dyDescent="0.15">
      <c r="A1400" s="6" t="str">
        <f ca="1">IFERROR(__xludf.DUMMYFUNCTION("""COMPUTED_VALUE"""),"Coding Style")</f>
        <v>Coding Style</v>
      </c>
      <c r="B1400" s="6" t="str">
        <f ca="1">IFERROR(__xludf.DUMMYFUNCTION("""COMPUTED_VALUE"""),"Coding Style")</f>
        <v>Coding Style</v>
      </c>
      <c r="H1400" s="6">
        <f ca="1"/>
        <v>0</v>
      </c>
      <c r="I1400" s="6">
        <f ca="1"/>
        <v>0</v>
      </c>
      <c r="J1400" s="6">
        <f ca="1"/>
        <v>0</v>
      </c>
    </row>
    <row r="1401" spans="1:10" ht="13" x14ac:dyDescent="0.15">
      <c r="A1401" s="6" t="str">
        <f ca="1">IFERROR(__xludf.DUMMYFUNCTION("""COMPUTED_VALUE"""),"Coding Style")</f>
        <v>Coding Style</v>
      </c>
      <c r="B1401" s="6" t="str">
        <f ca="1">IFERROR(__xludf.DUMMYFUNCTION("""COMPUTED_VALUE"""),"Coding Style")</f>
        <v>Coding Style</v>
      </c>
      <c r="H1401" s="6">
        <f ca="1"/>
        <v>0</v>
      </c>
      <c r="I1401" s="6">
        <f ca="1"/>
        <v>0</v>
      </c>
      <c r="J1401" s="6">
        <f ca="1"/>
        <v>0</v>
      </c>
    </row>
    <row r="1402" spans="1:10" ht="13" x14ac:dyDescent="0.15">
      <c r="A1402" s="6" t="str">
        <f ca="1">IFERROR(__xludf.DUMMYFUNCTION("""COMPUTED_VALUE"""),"Coding Pattern")</f>
        <v>Coding Pattern</v>
      </c>
      <c r="B1402" s="6" t="str">
        <f ca="1">IFERROR(__xludf.DUMMYFUNCTION("""COMPUTED_VALUE"""),"Coding Pattern")</f>
        <v>Coding Pattern</v>
      </c>
      <c r="H1402" s="6">
        <f ca="1"/>
        <v>0</v>
      </c>
      <c r="I1402" s="6">
        <f ca="1"/>
        <v>0</v>
      </c>
      <c r="J1402" s="6">
        <f ca="1"/>
        <v>0</v>
      </c>
    </row>
    <row r="1403" spans="1:10" ht="13" x14ac:dyDescent="0.15">
      <c r="A1403" s="6" t="str">
        <f ca="1">IFERROR(__xludf.DUMMYFUNCTION("""COMPUTED_VALUE"""),"Coding Pattern")</f>
        <v>Coding Pattern</v>
      </c>
      <c r="B1403" s="6" t="str">
        <f ca="1">IFERROR(__xludf.DUMMYFUNCTION("""COMPUTED_VALUE"""),"Coding Pattern")</f>
        <v>Coding Pattern</v>
      </c>
      <c r="H1403" s="6">
        <f ca="1"/>
        <v>0</v>
      </c>
      <c r="I1403" s="6">
        <f ca="1"/>
        <v>0</v>
      </c>
      <c r="J1403" s="6">
        <f ca="1"/>
        <v>0</v>
      </c>
    </row>
    <row r="1404" spans="1:10" ht="13" x14ac:dyDescent="0.15">
      <c r="A1404" s="6" t="str">
        <f ca="1">IFERROR(__xludf.DUMMYFUNCTION("""COMPUTED_VALUE"""),"Coding Pattern")</f>
        <v>Coding Pattern</v>
      </c>
      <c r="B1404" s="6" t="str">
        <f ca="1">IFERROR(__xludf.DUMMYFUNCTION("""COMPUTED_VALUE"""),"Coding Pattern")</f>
        <v>Coding Pattern</v>
      </c>
      <c r="H1404" s="6">
        <f ca="1"/>
        <v>0</v>
      </c>
      <c r="I1404" s="6">
        <f ca="1"/>
        <v>0</v>
      </c>
      <c r="J1404" s="6">
        <f ca="1"/>
        <v>0</v>
      </c>
    </row>
    <row r="1405" spans="1:10" ht="13" x14ac:dyDescent="0.15">
      <c r="A1405" s="6" t="str">
        <f ca="1">IFERROR(__xludf.DUMMYFUNCTION("""COMPUTED_VALUE"""),"Testing")</f>
        <v>Testing</v>
      </c>
      <c r="B1405" s="6" t="str">
        <f ca="1">IFERROR(__xludf.DUMMYFUNCTION("""COMPUTED_VALUE"""),"Testing")</f>
        <v>Testing</v>
      </c>
      <c r="H1405" s="6">
        <f ca="1"/>
        <v>0</v>
      </c>
      <c r="I1405" s="6">
        <f ca="1"/>
        <v>0</v>
      </c>
      <c r="J1405" s="6">
        <f ca="1"/>
        <v>0</v>
      </c>
    </row>
    <row r="1406" spans="1:10" ht="13" x14ac:dyDescent="0.15">
      <c r="A1406" s="6" t="str">
        <f ca="1">IFERROR(__xludf.DUMMYFUNCTION("""COMPUTED_VALUE"""),"Testing")</f>
        <v>Testing</v>
      </c>
      <c r="B1406" s="6" t="str">
        <f ca="1">IFERROR(__xludf.DUMMYFUNCTION("""COMPUTED_VALUE"""),"Testing")</f>
        <v>Testing</v>
      </c>
      <c r="H1406" s="6">
        <f ca="1"/>
        <v>0</v>
      </c>
      <c r="I1406" s="6">
        <f ca="1"/>
        <v>0</v>
      </c>
      <c r="J1406" s="6">
        <f ca="1"/>
        <v>0</v>
      </c>
    </row>
    <row r="1407" spans="1:10" ht="13" x14ac:dyDescent="0.15">
      <c r="A1407" s="6" t="str">
        <f ca="1">IFERROR(__xludf.DUMMYFUNCTION("""COMPUTED_VALUE"""),"Documentation")</f>
        <v>Documentation</v>
      </c>
      <c r="B1407" s="6" t="str">
        <f ca="1">IFERROR(__xludf.DUMMYFUNCTION("""COMPUTED_VALUE"""),"Documentation")</f>
        <v>Documentation</v>
      </c>
      <c r="H1407" s="6">
        <f ca="1"/>
        <v>0</v>
      </c>
      <c r="I1407" s="6">
        <f ca="1"/>
        <v>0</v>
      </c>
      <c r="J1407" s="6">
        <f ca="1"/>
        <v>0</v>
      </c>
    </row>
    <row r="1408" spans="1:10" ht="13" x14ac:dyDescent="0.15">
      <c r="A1408" s="6" t="str">
        <f ca="1">IFERROR(__xludf.DUMMYFUNCTION("""COMPUTED_VALUE"""),"Security")</f>
        <v>Security</v>
      </c>
      <c r="B1408" s="6" t="str">
        <f ca="1">IFERROR(__xludf.DUMMYFUNCTION("""COMPUTED_VALUE"""),"Security")</f>
        <v>Security</v>
      </c>
      <c r="H1408" s="6">
        <f ca="1"/>
        <v>0</v>
      </c>
      <c r="I1408" s="6">
        <f ca="1"/>
        <v>0</v>
      </c>
      <c r="J1408" s="6">
        <f ca="1"/>
        <v>0</v>
      </c>
    </row>
    <row r="1409" spans="1:10" ht="13" x14ac:dyDescent="0.15">
      <c r="A1409" s="6" t="str">
        <f ca="1">IFERROR(__xludf.DUMMYFUNCTION("""COMPUTED_VALUE"""),"Performance")</f>
        <v>Performance</v>
      </c>
      <c r="B1409" s="6" t="str">
        <f ca="1">IFERROR(__xludf.DUMMYFUNCTION("""COMPUTED_VALUE"""),"Performance")</f>
        <v>Performance</v>
      </c>
      <c r="H1409" s="6">
        <f ca="1"/>
        <v>0</v>
      </c>
      <c r="I1409" s="6">
        <f ca="1"/>
        <v>0</v>
      </c>
      <c r="J1409" s="6">
        <f ca="1"/>
        <v>0</v>
      </c>
    </row>
    <row r="1410" spans="1:10" ht="13" x14ac:dyDescent="0.15">
      <c r="A1410" s="6" t="str">
        <f ca="1">IFERROR(__xludf.DUMMYFUNCTION("""COMPUTED_VALUE"""),"Build &amp; Operation")</f>
        <v>Build &amp; Operation</v>
      </c>
      <c r="B1410" s="6" t="str">
        <f ca="1">IFERROR(__xludf.DUMMYFUNCTION("""COMPUTED_VALUE"""),"Build &amp; Operation")</f>
        <v>Build &amp; Operation</v>
      </c>
      <c r="H1410" s="6">
        <f ca="1"/>
        <v>0</v>
      </c>
      <c r="I1410" s="6">
        <f ca="1"/>
        <v>0</v>
      </c>
      <c r="J1410" s="6">
        <f ca="1"/>
        <v>0</v>
      </c>
    </row>
    <row r="1411" spans="1:10" ht="13" x14ac:dyDescent="0.15">
      <c r="A1411" s="6" t="str">
        <f ca="1">IFERROR(__xludf.DUMMYFUNCTION("""COMPUTED_VALUE"""),"Code Review")</f>
        <v>Code Review</v>
      </c>
      <c r="B1411" s="6" t="str">
        <f ca="1">IFERROR(__xludf.DUMMYFUNCTION("""COMPUTED_VALUE"""),"Build &amp; Operation")</f>
        <v>Build &amp; Operation</v>
      </c>
      <c r="H1411" s="6">
        <f ca="1"/>
        <v>0</v>
      </c>
      <c r="I1411" s="6">
        <f ca="1"/>
        <v>0</v>
      </c>
      <c r="J1411" s="6">
        <f ca="1"/>
        <v>0</v>
      </c>
    </row>
    <row r="1412" spans="1:10" ht="13" x14ac:dyDescent="0.15">
      <c r="A1412" s="6" t="str">
        <f ca="1">IFERROR(__xludf.DUMMYFUNCTION("""COMPUTED_VALUE"""),"Coding Pattern")</f>
        <v>Coding Pattern</v>
      </c>
      <c r="B1412" s="6" t="str">
        <f ca="1">IFERROR(__xludf.DUMMYFUNCTION("""COMPUTED_VALUE"""),"Coding Pattern")</f>
        <v>Coding Pattern</v>
      </c>
      <c r="H1412" s="6">
        <f ca="1"/>
        <v>0</v>
      </c>
      <c r="I1412" s="6">
        <f ca="1"/>
        <v>0</v>
      </c>
      <c r="J1412" s="6">
        <f ca="1"/>
        <v>0</v>
      </c>
    </row>
    <row r="1413" spans="1:10" ht="13" x14ac:dyDescent="0.15">
      <c r="A1413" s="6" t="str">
        <f ca="1">IFERROR(__xludf.DUMMYFUNCTION("""COMPUTED_VALUE"""),"Build &amp; Operation")</f>
        <v>Build &amp; Operation</v>
      </c>
      <c r="B1413" s="6" t="str">
        <f ca="1">IFERROR(__xludf.DUMMYFUNCTION("""COMPUTED_VALUE"""),"Build &amp; Operation")</f>
        <v>Build &amp; Operation</v>
      </c>
      <c r="H1413" s="6">
        <f ca="1"/>
        <v>0</v>
      </c>
      <c r="I1413" s="6">
        <f ca="1"/>
        <v>0</v>
      </c>
      <c r="J1413" s="6">
        <f ca="1"/>
        <v>0</v>
      </c>
    </row>
    <row r="1414" spans="1:10" ht="13" x14ac:dyDescent="0.15">
      <c r="A1414" s="6" t="str">
        <f ca="1">IFERROR(__xludf.DUMMYFUNCTION("""COMPUTED_VALUE"""),"Coding Pattern")</f>
        <v>Coding Pattern</v>
      </c>
      <c r="B1414" s="6" t="str">
        <f ca="1">IFERROR(__xludf.DUMMYFUNCTION("""COMPUTED_VALUE"""),"Coding Pattern")</f>
        <v>Coding Pattern</v>
      </c>
      <c r="H1414" s="6">
        <f ca="1"/>
        <v>0</v>
      </c>
      <c r="I1414" s="6">
        <f ca="1"/>
        <v>0</v>
      </c>
      <c r="J1414" s="6">
        <f ca="1"/>
        <v>0</v>
      </c>
    </row>
    <row r="1415" spans="1:10" ht="13" x14ac:dyDescent="0.15">
      <c r="A1415" s="6" t="str">
        <f ca="1">IFERROR(__xludf.DUMMYFUNCTION("""COMPUTED_VALUE"""),"Coding Pattern")</f>
        <v>Coding Pattern</v>
      </c>
      <c r="B1415" s="6" t="str">
        <f ca="1">IFERROR(__xludf.DUMMYFUNCTION("""COMPUTED_VALUE"""),"Coding Pattern")</f>
        <v>Coding Pattern</v>
      </c>
      <c r="H1415" s="6">
        <f ca="1"/>
        <v>0</v>
      </c>
      <c r="I1415" s="6">
        <f ca="1"/>
        <v>0</v>
      </c>
      <c r="J1415" s="6">
        <f ca="1"/>
        <v>0</v>
      </c>
    </row>
    <row r="1416" spans="1:10" ht="13" x14ac:dyDescent="0.15">
      <c r="A1416" s="6" t="str">
        <f ca="1">IFERROR(__xludf.DUMMYFUNCTION("""COMPUTED_VALUE"""),"Task Execution")</f>
        <v>Task Execution</v>
      </c>
      <c r="B1416" s="6" t="str">
        <f ca="1">IFERROR(__xludf.DUMMYFUNCTION("""COMPUTED_VALUE"""),"Coding Pattern")</f>
        <v>Coding Pattern</v>
      </c>
      <c r="H1416" s="6">
        <f ca="1"/>
        <v>0</v>
      </c>
      <c r="I1416" s="6">
        <f ca="1"/>
        <v>0</v>
      </c>
      <c r="J1416" s="6">
        <f ca="1"/>
        <v>0</v>
      </c>
    </row>
    <row r="1417" spans="1:10" ht="13" x14ac:dyDescent="0.15">
      <c r="A1417" s="6" t="str">
        <f ca="1">IFERROR(__xludf.DUMMYFUNCTION("""COMPUTED_VALUE"""),"Build &amp; Operation")</f>
        <v>Build &amp; Operation</v>
      </c>
      <c r="B1417" s="6" t="str">
        <f ca="1">IFERROR(__xludf.DUMMYFUNCTION("""COMPUTED_VALUE"""),"Build &amp; Operation")</f>
        <v>Build &amp; Operation</v>
      </c>
      <c r="H1417" s="6">
        <f ca="1"/>
        <v>0</v>
      </c>
      <c r="I1417" s="6">
        <f ca="1"/>
        <v>0</v>
      </c>
      <c r="J1417" s="6">
        <f ca="1"/>
        <v>0</v>
      </c>
    </row>
    <row r="1418" spans="1:10" ht="13" x14ac:dyDescent="0.15">
      <c r="A1418" s="6" t="str">
        <f ca="1">IFERROR(__xludf.DUMMYFUNCTION("""COMPUTED_VALUE"""),"Documentation")</f>
        <v>Documentation</v>
      </c>
      <c r="B1418" s="6" t="str">
        <f ca="1">IFERROR(__xludf.DUMMYFUNCTION("""COMPUTED_VALUE"""),"Documentation")</f>
        <v>Documentation</v>
      </c>
      <c r="H1418" s="6">
        <f ca="1"/>
        <v>0</v>
      </c>
      <c r="I1418" s="6">
        <f ca="1"/>
        <v>0</v>
      </c>
      <c r="J1418" s="6">
        <f ca="1"/>
        <v>0</v>
      </c>
    </row>
    <row r="1419" spans="1:10" ht="13" x14ac:dyDescent="0.15">
      <c r="A1419" s="6" t="str">
        <f ca="1">IFERROR(__xludf.DUMMYFUNCTION("""COMPUTED_VALUE"""),"Documentation")</f>
        <v>Documentation</v>
      </c>
      <c r="B1419" s="6" t="str">
        <f ca="1">IFERROR(__xludf.DUMMYFUNCTION("""COMPUTED_VALUE"""),"Documentation")</f>
        <v>Documentation</v>
      </c>
      <c r="H1419" s="6">
        <f ca="1"/>
        <v>0</v>
      </c>
      <c r="I1419" s="6">
        <f ca="1"/>
        <v>0</v>
      </c>
      <c r="J1419" s="6">
        <f ca="1"/>
        <v>0</v>
      </c>
    </row>
    <row r="1420" spans="1:10" ht="13" x14ac:dyDescent="0.15">
      <c r="A1420" s="6" t="str">
        <f ca="1">IFERROR(__xludf.DUMMYFUNCTION("""COMPUTED_VALUE"""),"Coding Pattern")</f>
        <v>Coding Pattern</v>
      </c>
      <c r="B1420" s="6" t="str">
        <f ca="1">IFERROR(__xludf.DUMMYFUNCTION("""COMPUTED_VALUE"""),"Coding Pattern")</f>
        <v>Coding Pattern</v>
      </c>
      <c r="H1420" s="6">
        <f ca="1"/>
        <v>0</v>
      </c>
      <c r="I1420" s="6">
        <f ca="1"/>
        <v>0</v>
      </c>
      <c r="J1420" s="6">
        <f ca="1"/>
        <v>0</v>
      </c>
    </row>
    <row r="1421" spans="1:10" ht="13" x14ac:dyDescent="0.15">
      <c r="A1421" s="6" t="str">
        <f ca="1">IFERROR(__xludf.DUMMYFUNCTION("""COMPUTED_VALUE"""),"Documentation")</f>
        <v>Documentation</v>
      </c>
      <c r="B1421" s="6" t="str">
        <f ca="1">IFERROR(__xludf.DUMMYFUNCTION("""COMPUTED_VALUE"""),"Documentation")</f>
        <v>Documentation</v>
      </c>
      <c r="H1421" s="6">
        <f ca="1"/>
        <v>0</v>
      </c>
      <c r="I1421" s="6">
        <f ca="1"/>
        <v>0</v>
      </c>
      <c r="J1421" s="6">
        <f ca="1"/>
        <v>0</v>
      </c>
    </row>
    <row r="1422" spans="1:10" ht="13" x14ac:dyDescent="0.15">
      <c r="A1422" s="6" t="str">
        <f ca="1">IFERROR(__xludf.DUMMYFUNCTION("""COMPUTED_VALUE"""),"Security")</f>
        <v>Security</v>
      </c>
      <c r="B1422" s="6" t="str">
        <f ca="1">IFERROR(__xludf.DUMMYFUNCTION("""COMPUTED_VALUE"""),"Security")</f>
        <v>Security</v>
      </c>
      <c r="H1422" s="6">
        <f ca="1"/>
        <v>0</v>
      </c>
      <c r="I1422" s="6">
        <f ca="1"/>
        <v>0</v>
      </c>
      <c r="J1422" s="6">
        <f ca="1"/>
        <v>0</v>
      </c>
    </row>
    <row r="1423" spans="1:10" ht="13" x14ac:dyDescent="0.15">
      <c r="A1423" s="6" t="str">
        <f ca="1">IFERROR(__xludf.DUMMYFUNCTION("""COMPUTED_VALUE"""),"Build &amp; Operation")</f>
        <v>Build &amp; Operation</v>
      </c>
      <c r="B1423" s="6" t="str">
        <f ca="1">IFERROR(__xludf.DUMMYFUNCTION("""COMPUTED_VALUE"""),"Build &amp; Operation")</f>
        <v>Build &amp; Operation</v>
      </c>
      <c r="H1423" s="6">
        <f ca="1"/>
        <v>0</v>
      </c>
      <c r="I1423" s="6">
        <f ca="1"/>
        <v>0</v>
      </c>
      <c r="J1423" s="6">
        <f ca="1"/>
        <v>0</v>
      </c>
    </row>
    <row r="1424" spans="1:10" ht="13" x14ac:dyDescent="0.15">
      <c r="A1424" s="6" t="str">
        <f ca="1">IFERROR(__xludf.DUMMYFUNCTION("""COMPUTED_VALUE"""),"Coding Pattern")</f>
        <v>Coding Pattern</v>
      </c>
      <c r="B1424" s="6" t="str">
        <f ca="1">IFERROR(__xludf.DUMMYFUNCTION("""COMPUTED_VALUE"""),"Coding Pattern")</f>
        <v>Coding Pattern</v>
      </c>
      <c r="H1424" s="6">
        <f ca="1"/>
        <v>0</v>
      </c>
      <c r="I1424" s="6">
        <f ca="1"/>
        <v>0</v>
      </c>
      <c r="J1424" s="6">
        <f ca="1"/>
        <v>0</v>
      </c>
    </row>
    <row r="1425" spans="1:10" ht="13" x14ac:dyDescent="0.15">
      <c r="A1425" s="6" t="str">
        <f ca="1">IFERROR(__xludf.DUMMYFUNCTION("""COMPUTED_VALUE"""),"Coding Pattern")</f>
        <v>Coding Pattern</v>
      </c>
      <c r="B1425" s="6" t="str">
        <f ca="1">IFERROR(__xludf.DUMMYFUNCTION("""COMPUTED_VALUE"""),"Coding Pattern")</f>
        <v>Coding Pattern</v>
      </c>
      <c r="H1425" s="6">
        <f ca="1"/>
        <v>0</v>
      </c>
      <c r="I1425" s="6">
        <f ca="1"/>
        <v>0</v>
      </c>
      <c r="J1425" s="6">
        <f ca="1"/>
        <v>0</v>
      </c>
    </row>
    <row r="1426" spans="1:10" ht="13" x14ac:dyDescent="0.15">
      <c r="A1426" s="6" t="str">
        <f ca="1">IFERROR(__xludf.DUMMYFUNCTION("""COMPUTED_VALUE"""),"Coding Pattern")</f>
        <v>Coding Pattern</v>
      </c>
      <c r="B1426" s="6" t="str">
        <f ca="1">IFERROR(__xludf.DUMMYFUNCTION("""COMPUTED_VALUE"""),"Coding Pattern")</f>
        <v>Coding Pattern</v>
      </c>
      <c r="H1426" s="6">
        <f ca="1"/>
        <v>0</v>
      </c>
      <c r="I1426" s="6">
        <f ca="1"/>
        <v>0</v>
      </c>
      <c r="J1426" s="6">
        <f ca="1"/>
        <v>0</v>
      </c>
    </row>
    <row r="1427" spans="1:10" ht="13" x14ac:dyDescent="0.15">
      <c r="A1427" s="6" t="str">
        <f ca="1">IFERROR(__xludf.DUMMYFUNCTION("""COMPUTED_VALUE"""),"Coding Pattern")</f>
        <v>Coding Pattern</v>
      </c>
      <c r="B1427" s="6" t="str">
        <f ca="1">IFERROR(__xludf.DUMMYFUNCTION("""COMPUTED_VALUE"""),"Coding Pattern")</f>
        <v>Coding Pattern</v>
      </c>
      <c r="H1427" s="6">
        <f ca="1"/>
        <v>0</v>
      </c>
      <c r="I1427" s="6">
        <f ca="1"/>
        <v>0</v>
      </c>
      <c r="J1427" s="6">
        <f ca="1"/>
        <v>0</v>
      </c>
    </row>
    <row r="1428" spans="1:10" ht="13" x14ac:dyDescent="0.15">
      <c r="A1428" s="6" t="str">
        <f ca="1">IFERROR(__xludf.DUMMYFUNCTION("""COMPUTED_VALUE"""),"Testing")</f>
        <v>Testing</v>
      </c>
      <c r="B1428" s="6" t="str">
        <f ca="1">IFERROR(__xludf.DUMMYFUNCTION("""COMPUTED_VALUE"""),"Testing")</f>
        <v>Testing</v>
      </c>
      <c r="H1428" s="6">
        <f ca="1"/>
        <v>0</v>
      </c>
      <c r="I1428" s="6">
        <f ca="1"/>
        <v>0</v>
      </c>
      <c r="J1428" s="6">
        <f ca="1"/>
        <v>0</v>
      </c>
    </row>
    <row r="1429" spans="1:10" ht="13" x14ac:dyDescent="0.15">
      <c r="A1429" s="6" t="str">
        <f ca="1">IFERROR(__xludf.DUMMYFUNCTION("""COMPUTED_VALUE"""),"Documentation")</f>
        <v>Documentation</v>
      </c>
      <c r="B1429" s="6" t="str">
        <f ca="1">IFERROR(__xludf.DUMMYFUNCTION("""COMPUTED_VALUE"""),"Documentation")</f>
        <v>Documentation</v>
      </c>
      <c r="H1429" s="6">
        <f ca="1"/>
        <v>0</v>
      </c>
      <c r="I1429" s="6">
        <f ca="1"/>
        <v>0</v>
      </c>
      <c r="J1429" s="6">
        <f ca="1"/>
        <v>0</v>
      </c>
    </row>
    <row r="1430" spans="1:10" ht="13" x14ac:dyDescent="0.15">
      <c r="A1430" s="6" t="str">
        <f ca="1">IFERROR(__xludf.DUMMYFUNCTION("""COMPUTED_VALUE"""),"NOT_ENOUGH_CONTEXT")</f>
        <v>NOT_ENOUGH_CONTEXT</v>
      </c>
      <c r="B1430" s="6" t="str">
        <f ca="1">IFERROR(__xludf.DUMMYFUNCTION("""COMPUTED_VALUE"""),"NOT_ENOUGH_CONTEXT")</f>
        <v>NOT_ENOUGH_CONTEXT</v>
      </c>
      <c r="H1430" s="6">
        <f ca="1"/>
        <v>0</v>
      </c>
      <c r="I1430" s="6">
        <f ca="1"/>
        <v>0</v>
      </c>
      <c r="J1430" s="6">
        <f ca="1"/>
        <v>0</v>
      </c>
    </row>
    <row r="1431" spans="1:10" ht="13" x14ac:dyDescent="0.15">
      <c r="A1431" s="6" t="str">
        <f ca="1">IFERROR(__xludf.DUMMYFUNCTION("""COMPUTED_VALUE"""),"Security")</f>
        <v>Security</v>
      </c>
      <c r="B1431" s="6" t="str">
        <f ca="1">IFERROR(__xludf.DUMMYFUNCTION("""COMPUTED_VALUE"""),"Security")</f>
        <v>Security</v>
      </c>
      <c r="H1431" s="6">
        <f ca="1"/>
        <v>0</v>
      </c>
      <c r="I1431" s="6">
        <f ca="1"/>
        <v>0</v>
      </c>
      <c r="J1431" s="6">
        <f ca="1"/>
        <v>0</v>
      </c>
    </row>
    <row r="1432" spans="1:10" ht="13" x14ac:dyDescent="0.15">
      <c r="A1432" s="6" t="str">
        <f ca="1">IFERROR(__xludf.DUMMYFUNCTION("""COMPUTED_VALUE"""),"Coding Pattern")</f>
        <v>Coding Pattern</v>
      </c>
      <c r="B1432" s="6" t="str">
        <f ca="1">IFERROR(__xludf.DUMMYFUNCTION("""COMPUTED_VALUE"""),"Coding Pattern")</f>
        <v>Coding Pattern</v>
      </c>
      <c r="H1432" s="6">
        <f ca="1"/>
        <v>0</v>
      </c>
      <c r="I1432" s="6">
        <f ca="1"/>
        <v>0</v>
      </c>
      <c r="J1432" s="6">
        <f ca="1"/>
        <v>0</v>
      </c>
    </row>
    <row r="1433" spans="1:10" ht="13" x14ac:dyDescent="0.15">
      <c r="A1433" s="6" t="str">
        <f ca="1">IFERROR(__xludf.DUMMYFUNCTION("""COMPUTED_VALUE"""),"Coding Pattern")</f>
        <v>Coding Pattern</v>
      </c>
      <c r="B1433" s="6" t="str">
        <f ca="1">IFERROR(__xludf.DUMMYFUNCTION("""COMPUTED_VALUE"""),"Coding Pattern")</f>
        <v>Coding Pattern</v>
      </c>
      <c r="H1433" s="6">
        <f ca="1"/>
        <v>0</v>
      </c>
      <c r="I1433" s="6">
        <f ca="1"/>
        <v>0</v>
      </c>
      <c r="J1433" s="6">
        <f ca="1"/>
        <v>0</v>
      </c>
    </row>
    <row r="1434" spans="1:10" ht="13" x14ac:dyDescent="0.15">
      <c r="A1434" s="6" t="str">
        <f ca="1">IFERROR(__xludf.DUMMYFUNCTION("""COMPUTED_VALUE"""),"Coding Pattern")</f>
        <v>Coding Pattern</v>
      </c>
      <c r="B1434" s="6" t="str">
        <f ca="1">IFERROR(__xludf.DUMMYFUNCTION("""COMPUTED_VALUE"""),"Coding Pattern")</f>
        <v>Coding Pattern</v>
      </c>
      <c r="H1434" s="6">
        <f ca="1"/>
        <v>0</v>
      </c>
      <c r="I1434" s="6">
        <f ca="1"/>
        <v>0</v>
      </c>
      <c r="J1434" s="6">
        <f ca="1"/>
        <v>0</v>
      </c>
    </row>
    <row r="1435" spans="1:10" ht="13" x14ac:dyDescent="0.15">
      <c r="A1435" s="6" t="str">
        <f ca="1">IFERROR(__xludf.DUMMYFUNCTION("""COMPUTED_VALUE"""),"Coding Pattern")</f>
        <v>Coding Pattern</v>
      </c>
      <c r="B1435" s="6" t="str">
        <f ca="1">IFERROR(__xludf.DUMMYFUNCTION("""COMPUTED_VALUE"""),"Coding Pattern")</f>
        <v>Coding Pattern</v>
      </c>
      <c r="H1435" s="6">
        <f ca="1"/>
        <v>0</v>
      </c>
      <c r="I1435" s="6">
        <f ca="1"/>
        <v>0</v>
      </c>
      <c r="J1435" s="6">
        <f ca="1"/>
        <v>0</v>
      </c>
    </row>
    <row r="1436" spans="1:10" ht="13" x14ac:dyDescent="0.15">
      <c r="A1436" s="6" t="str">
        <f ca="1">IFERROR(__xludf.DUMMYFUNCTION("""COMPUTED_VALUE"""),"Coding Pattern")</f>
        <v>Coding Pattern</v>
      </c>
      <c r="B1436" s="6" t="str">
        <f ca="1">IFERROR(__xludf.DUMMYFUNCTION("""COMPUTED_VALUE"""),"Coding Pattern")</f>
        <v>Coding Pattern</v>
      </c>
      <c r="H1436" s="6">
        <f ca="1"/>
        <v>0</v>
      </c>
      <c r="I1436" s="6">
        <f ca="1"/>
        <v>0</v>
      </c>
      <c r="J1436" s="6">
        <f ca="1"/>
        <v>0</v>
      </c>
    </row>
    <row r="1437" spans="1:10" ht="13" x14ac:dyDescent="0.15">
      <c r="A1437" s="6" t="str">
        <f ca="1">IFERROR(__xludf.DUMMYFUNCTION("""COMPUTED_VALUE"""),"Coding Pattern")</f>
        <v>Coding Pattern</v>
      </c>
      <c r="B1437" s="6" t="str">
        <f ca="1">IFERROR(__xludf.DUMMYFUNCTION("""COMPUTED_VALUE"""),"Coding Pattern")</f>
        <v>Coding Pattern</v>
      </c>
      <c r="H1437" s="6">
        <f ca="1"/>
        <v>0</v>
      </c>
      <c r="I1437" s="6">
        <f ca="1"/>
        <v>0</v>
      </c>
      <c r="J1437" s="6">
        <f ca="1"/>
        <v>0</v>
      </c>
    </row>
    <row r="1438" spans="1:10" ht="13" x14ac:dyDescent="0.15">
      <c r="A1438" s="6" t="str">
        <f ca="1">IFERROR(__xludf.DUMMYFUNCTION("""COMPUTED_VALUE"""),"Testing")</f>
        <v>Testing</v>
      </c>
      <c r="B1438" s="6" t="str">
        <f ca="1">IFERROR(__xludf.DUMMYFUNCTION("""COMPUTED_VALUE"""),"Testing")</f>
        <v>Testing</v>
      </c>
      <c r="H1438" s="6">
        <f ca="1"/>
        <v>0</v>
      </c>
      <c r="I1438" s="6">
        <f ca="1"/>
        <v>0</v>
      </c>
      <c r="J1438" s="6">
        <f ca="1"/>
        <v>0</v>
      </c>
    </row>
    <row r="1439" spans="1:10" ht="13" x14ac:dyDescent="0.15">
      <c r="A1439" s="6" t="str">
        <f ca="1">IFERROR(__xludf.DUMMYFUNCTION("""COMPUTED_VALUE"""),"Build &amp; Operation")</f>
        <v>Build &amp; Operation</v>
      </c>
      <c r="B1439" s="6" t="str">
        <f ca="1">IFERROR(__xludf.DUMMYFUNCTION("""COMPUTED_VALUE"""),"Build &amp; Operation")</f>
        <v>Build &amp; Operation</v>
      </c>
      <c r="H1439" s="6">
        <f ca="1"/>
        <v>0</v>
      </c>
      <c r="I1439" s="6">
        <f ca="1"/>
        <v>0</v>
      </c>
      <c r="J1439" s="6">
        <f ca="1"/>
        <v>0</v>
      </c>
    </row>
    <row r="1440" spans="1:10" ht="13" x14ac:dyDescent="0.15">
      <c r="A1440" s="6" t="str">
        <f ca="1">IFERROR(__xludf.DUMMYFUNCTION("""COMPUTED_VALUE"""),"Task Execution")</f>
        <v>Task Execution</v>
      </c>
      <c r="B1440" s="6" t="str">
        <f ca="1">IFERROR(__xludf.DUMMYFUNCTION("""COMPUTED_VALUE"""),"Coding Pattern")</f>
        <v>Coding Pattern</v>
      </c>
      <c r="H1440" s="6">
        <f ca="1"/>
        <v>0</v>
      </c>
      <c r="I1440" s="6">
        <f ca="1"/>
        <v>0</v>
      </c>
      <c r="J1440" s="6">
        <f ca="1"/>
        <v>0</v>
      </c>
    </row>
    <row r="1441" spans="1:10" ht="13" x14ac:dyDescent="0.15">
      <c r="A1441" s="6" t="str">
        <f ca="1">IFERROR(__xludf.DUMMYFUNCTION("""COMPUTED_VALUE"""),"Commit&amp;PR rule")</f>
        <v>Commit&amp;PR rule</v>
      </c>
      <c r="B1441" s="6" t="str">
        <f ca="1">IFERROR(__xludf.DUMMYFUNCTION("""COMPUTED_VALUE"""),"Commit&amp;PR rule")</f>
        <v>Commit&amp;PR rule</v>
      </c>
      <c r="H1441" s="6">
        <f ca="1"/>
        <v>0</v>
      </c>
      <c r="I1441" s="6">
        <f ca="1"/>
        <v>0</v>
      </c>
      <c r="J1441" s="6">
        <f ca="1"/>
        <v>0</v>
      </c>
    </row>
    <row r="1442" spans="1:10" ht="13" x14ac:dyDescent="0.15">
      <c r="A1442" s="6" t="str">
        <f ca="1">IFERROR(__xludf.DUMMYFUNCTION("""COMPUTED_VALUE"""),"Build &amp; Operation")</f>
        <v>Build &amp; Operation</v>
      </c>
      <c r="B1442" s="6" t="str">
        <f ca="1">IFERROR(__xludf.DUMMYFUNCTION("""COMPUTED_VALUE"""),"Coding Pattern")</f>
        <v>Coding Pattern</v>
      </c>
      <c r="H1442" s="6">
        <f ca="1"/>
        <v>0</v>
      </c>
      <c r="I1442" s="6">
        <f ca="1"/>
        <v>0</v>
      </c>
      <c r="J1442" s="6">
        <f ca="1"/>
        <v>0</v>
      </c>
    </row>
    <row r="1443" spans="1:10" ht="13" x14ac:dyDescent="0.15">
      <c r="A1443" s="6" t="str">
        <f ca="1">IFERROR(__xludf.DUMMYFUNCTION("""COMPUTED_VALUE"""),"Build &amp; Operation")</f>
        <v>Build &amp; Operation</v>
      </c>
      <c r="B1443" s="6" t="str">
        <f ca="1">IFERROR(__xludf.DUMMYFUNCTION("""COMPUTED_VALUE"""),"Coding Pattern")</f>
        <v>Coding Pattern</v>
      </c>
      <c r="H1443" s="6">
        <f ca="1"/>
        <v>0</v>
      </c>
      <c r="I1443" s="6">
        <f ca="1"/>
        <v>0</v>
      </c>
      <c r="J1443" s="6">
        <f ca="1"/>
        <v>0</v>
      </c>
    </row>
    <row r="1444" spans="1:10" ht="13" x14ac:dyDescent="0.15">
      <c r="A1444" s="6" t="str">
        <f ca="1">IFERROR(__xludf.DUMMYFUNCTION("""COMPUTED_VALUE"""),"Coding Pattern")</f>
        <v>Coding Pattern</v>
      </c>
      <c r="B1444" s="6" t="str">
        <f ca="1">IFERROR(__xludf.DUMMYFUNCTION("""COMPUTED_VALUE"""),"Coding Pattern")</f>
        <v>Coding Pattern</v>
      </c>
      <c r="H1444" s="6">
        <f ca="1"/>
        <v>0</v>
      </c>
      <c r="I1444" s="6">
        <f ca="1"/>
        <v>0</v>
      </c>
      <c r="J1444" s="6">
        <f ca="1"/>
        <v>0</v>
      </c>
    </row>
    <row r="1445" spans="1:10" ht="13" x14ac:dyDescent="0.15">
      <c r="A1445" s="6" t="str">
        <f ca="1">IFERROR(__xludf.DUMMYFUNCTION("""COMPUTED_VALUE"""),"Coding Pattern")</f>
        <v>Coding Pattern</v>
      </c>
      <c r="B1445" s="6" t="str">
        <f ca="1">IFERROR(__xludf.DUMMYFUNCTION("""COMPUTED_VALUE"""),"Coding Pattern")</f>
        <v>Coding Pattern</v>
      </c>
      <c r="H1445" s="6">
        <f ca="1"/>
        <v>0</v>
      </c>
      <c r="I1445" s="6">
        <f ca="1"/>
        <v>0</v>
      </c>
      <c r="J1445" s="6">
        <f ca="1"/>
        <v>0</v>
      </c>
    </row>
    <row r="1446" spans="1:10" ht="13" x14ac:dyDescent="0.15">
      <c r="A1446" s="6" t="str">
        <f ca="1">IFERROR(__xludf.DUMMYFUNCTION("""COMPUTED_VALUE"""),"Build &amp; Operation")</f>
        <v>Build &amp; Operation</v>
      </c>
      <c r="B1446" s="6" t="str">
        <f ca="1">IFERROR(__xludf.DUMMYFUNCTION("""COMPUTED_VALUE"""),"Build &amp; Operation")</f>
        <v>Build &amp; Operation</v>
      </c>
      <c r="H1446" s="6">
        <f ca="1"/>
        <v>0</v>
      </c>
      <c r="I1446" s="6">
        <f ca="1"/>
        <v>0</v>
      </c>
      <c r="J1446" s="6">
        <f ca="1"/>
        <v>0</v>
      </c>
    </row>
    <row r="1447" spans="1:10" ht="13" x14ac:dyDescent="0.15">
      <c r="A1447" s="6" t="str">
        <f ca="1">IFERROR(__xludf.DUMMYFUNCTION("""COMPUTED_VALUE"""),"Writing Style Preference")</f>
        <v>Writing Style Preference</v>
      </c>
      <c r="B1447" s="6" t="str">
        <f ca="1">IFERROR(__xludf.DUMMYFUNCTION("""COMPUTED_VALUE"""),"Writing Style Preference")</f>
        <v>Writing Style Preference</v>
      </c>
      <c r="H1447" s="6">
        <f ca="1"/>
        <v>0</v>
      </c>
      <c r="I1447" s="6">
        <f ca="1"/>
        <v>0</v>
      </c>
      <c r="J1447" s="6">
        <f ca="1"/>
        <v>0</v>
      </c>
    </row>
    <row r="1448" spans="1:10" ht="13" x14ac:dyDescent="0.15">
      <c r="A1448" s="6" t="str">
        <f ca="1">IFERROR(__xludf.DUMMYFUNCTION("""COMPUTED_VALUE"""),"Coding Style")</f>
        <v>Coding Style</v>
      </c>
      <c r="B1448" s="6" t="str">
        <f ca="1">IFERROR(__xludf.DUMMYFUNCTION("""COMPUTED_VALUE"""),"Writing Style Preference")</f>
        <v>Writing Style Preference</v>
      </c>
      <c r="H1448" s="6">
        <f ca="1"/>
        <v>0</v>
      </c>
      <c r="I1448" s="6">
        <f ca="1"/>
        <v>0</v>
      </c>
      <c r="J1448" s="6">
        <f ca="1"/>
        <v>0</v>
      </c>
    </row>
    <row r="1449" spans="1:10" ht="13" x14ac:dyDescent="0.15">
      <c r="A1449" s="6" t="str">
        <f ca="1">IFERROR(__xludf.DUMMYFUNCTION("""COMPUTED_VALUE"""),"Task Execution")</f>
        <v>Task Execution</v>
      </c>
      <c r="B1449" s="6" t="str">
        <f ca="1">IFERROR(__xludf.DUMMYFUNCTION("""COMPUTED_VALUE"""),"Task Execution")</f>
        <v>Task Execution</v>
      </c>
      <c r="H1449" s="6">
        <f ca="1"/>
        <v>0</v>
      </c>
      <c r="I1449" s="6">
        <f ca="1"/>
        <v>0</v>
      </c>
      <c r="J1449" s="6">
        <f ca="1"/>
        <v>0</v>
      </c>
    </row>
    <row r="1450" spans="1:10" ht="13" x14ac:dyDescent="0.15">
      <c r="A1450" s="6" t="str">
        <f ca="1">IFERROR(__xludf.DUMMYFUNCTION("""COMPUTED_VALUE"""),"Task Execution")</f>
        <v>Task Execution</v>
      </c>
      <c r="B1450" s="6" t="str">
        <f ca="1">IFERROR(__xludf.DUMMYFUNCTION("""COMPUTED_VALUE"""),"Task Execution")</f>
        <v>Task Execution</v>
      </c>
      <c r="H1450" s="6">
        <f ca="1"/>
        <v>0</v>
      </c>
      <c r="I1450" s="6">
        <f ca="1"/>
        <v>0</v>
      </c>
      <c r="J1450" s="6">
        <f ca="1"/>
        <v>0</v>
      </c>
    </row>
    <row r="1451" spans="1:10" ht="13" x14ac:dyDescent="0.15">
      <c r="A1451" s="6" t="str">
        <f ca="1">IFERROR(__xludf.DUMMYFUNCTION("""COMPUTED_VALUE"""),"Testing")</f>
        <v>Testing</v>
      </c>
      <c r="B1451" s="6" t="str">
        <f ca="1">IFERROR(__xludf.DUMMYFUNCTION("""COMPUTED_VALUE"""),"Testing")</f>
        <v>Testing</v>
      </c>
      <c r="H1451" s="6">
        <f ca="1"/>
        <v>0</v>
      </c>
      <c r="I1451" s="6">
        <f ca="1"/>
        <v>0</v>
      </c>
      <c r="J1451" s="6">
        <f ca="1"/>
        <v>0</v>
      </c>
    </row>
    <row r="1452" spans="1:10" ht="13" x14ac:dyDescent="0.15">
      <c r="A1452" s="6" t="str">
        <f ca="1">IFERROR(__xludf.DUMMYFUNCTION("""COMPUTED_VALUE"""),"Writing Style Preference")</f>
        <v>Writing Style Preference</v>
      </c>
      <c r="B1452" s="6" t="str">
        <f ca="1">IFERROR(__xludf.DUMMYFUNCTION("""COMPUTED_VALUE"""),"Writing Style Preference")</f>
        <v>Writing Style Preference</v>
      </c>
      <c r="H1452" s="6">
        <f ca="1"/>
        <v>0</v>
      </c>
      <c r="I1452" s="6">
        <f ca="1"/>
        <v>0</v>
      </c>
      <c r="J1452" s="6">
        <f ca="1"/>
        <v>0</v>
      </c>
    </row>
    <row r="1453" spans="1:10" ht="13" x14ac:dyDescent="0.15">
      <c r="A1453" s="6" t="str">
        <f ca="1">IFERROR(__xludf.DUMMYFUNCTION("""COMPUTED_VALUE"""),"Commit&amp;PR rule")</f>
        <v>Commit&amp;PR rule</v>
      </c>
      <c r="B1453" s="6" t="str">
        <f ca="1">IFERROR(__xludf.DUMMYFUNCTION("""COMPUTED_VALUE"""),"Commit&amp;PR rule")</f>
        <v>Commit&amp;PR rule</v>
      </c>
      <c r="H1453" s="6">
        <f ca="1"/>
        <v>0</v>
      </c>
      <c r="I1453" s="6">
        <f ca="1"/>
        <v>0</v>
      </c>
      <c r="J1453" s="6">
        <f ca="1"/>
        <v>0</v>
      </c>
    </row>
    <row r="1454" spans="1:10" ht="13" x14ac:dyDescent="0.15">
      <c r="A1454" s="6" t="str">
        <f ca="1">IFERROR(__xludf.DUMMYFUNCTION("""COMPUTED_VALUE"""),"Coding Pattern")</f>
        <v>Coding Pattern</v>
      </c>
      <c r="B1454" s="6" t="str">
        <f ca="1">IFERROR(__xludf.DUMMYFUNCTION("""COMPUTED_VALUE"""),"Coding Pattern")</f>
        <v>Coding Pattern</v>
      </c>
      <c r="H1454" s="6">
        <f ca="1"/>
        <v>0</v>
      </c>
      <c r="I1454" s="6">
        <f ca="1"/>
        <v>0</v>
      </c>
      <c r="J1454" s="6">
        <f ca="1"/>
        <v>0</v>
      </c>
    </row>
    <row r="1455" spans="1:10" ht="13" x14ac:dyDescent="0.15">
      <c r="A1455" s="6" t="str">
        <f ca="1">IFERROR(__xludf.DUMMYFUNCTION("""COMPUTED_VALUE"""),"Coding Style")</f>
        <v>Coding Style</v>
      </c>
      <c r="B1455" s="6" t="str">
        <f ca="1">IFERROR(__xludf.DUMMYFUNCTION("""COMPUTED_VALUE"""),"Coding Style")</f>
        <v>Coding Style</v>
      </c>
      <c r="H1455" s="6">
        <f ca="1"/>
        <v>0</v>
      </c>
      <c r="I1455" s="6">
        <f ca="1"/>
        <v>0</v>
      </c>
      <c r="J1455" s="6">
        <f ca="1"/>
        <v>0</v>
      </c>
    </row>
    <row r="1456" spans="1:10" ht="13" x14ac:dyDescent="0.15">
      <c r="A1456" s="6" t="str">
        <f ca="1">IFERROR(__xludf.DUMMYFUNCTION("""COMPUTED_VALUE"""),"Coding Pattern")</f>
        <v>Coding Pattern</v>
      </c>
      <c r="B1456" s="6" t="str">
        <f ca="1">IFERROR(__xludf.DUMMYFUNCTION("""COMPUTED_VALUE"""),"Coding Pattern")</f>
        <v>Coding Pattern</v>
      </c>
      <c r="H1456" s="6">
        <f ca="1"/>
        <v>0</v>
      </c>
      <c r="I1456" s="6">
        <f ca="1"/>
        <v>0</v>
      </c>
      <c r="J1456" s="6">
        <f ca="1"/>
        <v>0</v>
      </c>
    </row>
    <row r="1457" spans="1:10" ht="13" x14ac:dyDescent="0.15">
      <c r="A1457" s="6" t="str">
        <f ca="1">IFERROR(__xludf.DUMMYFUNCTION("""COMPUTED_VALUE"""),"Coding Pattern")</f>
        <v>Coding Pattern</v>
      </c>
      <c r="B1457" s="6" t="str">
        <f ca="1">IFERROR(__xludf.DUMMYFUNCTION("""COMPUTED_VALUE"""),"Documentation")</f>
        <v>Documentation</v>
      </c>
      <c r="H1457" s="6">
        <f ca="1"/>
        <v>0</v>
      </c>
      <c r="I1457" s="6">
        <f ca="1"/>
        <v>0</v>
      </c>
      <c r="J1457" s="6">
        <f ca="1"/>
        <v>0</v>
      </c>
    </row>
    <row r="1458" spans="1:10" ht="13" x14ac:dyDescent="0.15">
      <c r="A1458" s="6" t="str">
        <f ca="1">IFERROR(__xludf.DUMMYFUNCTION("""COMPUTED_VALUE"""),"Coding Pattern")</f>
        <v>Coding Pattern</v>
      </c>
      <c r="B1458" s="6" t="str">
        <f ca="1">IFERROR(__xludf.DUMMYFUNCTION("""COMPUTED_VALUE"""),"Documentation")</f>
        <v>Documentation</v>
      </c>
      <c r="H1458" s="6">
        <f ca="1"/>
        <v>0</v>
      </c>
      <c r="I1458" s="6">
        <f ca="1"/>
        <v>0</v>
      </c>
      <c r="J1458" s="6">
        <f ca="1"/>
        <v>0</v>
      </c>
    </row>
    <row r="1459" spans="1:10" ht="13" x14ac:dyDescent="0.15">
      <c r="A1459" s="6" t="str">
        <f ca="1">IFERROR(__xludf.DUMMYFUNCTION("""COMPUTED_VALUE"""),"Task Execution")</f>
        <v>Task Execution</v>
      </c>
      <c r="B1459" s="6" t="str">
        <f ca="1">IFERROR(__xludf.DUMMYFUNCTION("""COMPUTED_VALUE"""),"Coding Pattern")</f>
        <v>Coding Pattern</v>
      </c>
      <c r="H1459" s="6">
        <f ca="1"/>
        <v>0</v>
      </c>
      <c r="I1459" s="6">
        <f ca="1"/>
        <v>0</v>
      </c>
      <c r="J1459" s="6">
        <f ca="1"/>
        <v>0</v>
      </c>
    </row>
    <row r="1460" spans="1:10" ht="13" x14ac:dyDescent="0.15">
      <c r="A1460" s="6" t="str">
        <f ca="1">IFERROR(__xludf.DUMMYFUNCTION("""COMPUTED_VALUE"""),"Coding Pattern")</f>
        <v>Coding Pattern</v>
      </c>
      <c r="B1460" s="6" t="str">
        <f ca="1">IFERROR(__xludf.DUMMYFUNCTION("""COMPUTED_VALUE"""),"Coding Pattern")</f>
        <v>Coding Pattern</v>
      </c>
      <c r="H1460" s="6">
        <f ca="1"/>
        <v>0</v>
      </c>
      <c r="I1460" s="6">
        <f ca="1"/>
        <v>0</v>
      </c>
      <c r="J1460" s="6">
        <f ca="1"/>
        <v>0</v>
      </c>
    </row>
    <row r="1461" spans="1:10" ht="13" x14ac:dyDescent="0.15">
      <c r="A1461" s="6" t="str">
        <f ca="1">IFERROR(__xludf.DUMMYFUNCTION("""COMPUTED_VALUE"""),"Coding Pattern")</f>
        <v>Coding Pattern</v>
      </c>
      <c r="B1461" s="6" t="str">
        <f ca="1">IFERROR(__xludf.DUMMYFUNCTION("""COMPUTED_VALUE"""),"Coding Pattern")</f>
        <v>Coding Pattern</v>
      </c>
      <c r="H1461" s="6">
        <f ca="1"/>
        <v>0</v>
      </c>
      <c r="I1461" s="6">
        <f ca="1"/>
        <v>0</v>
      </c>
      <c r="J1461" s="6">
        <f ca="1"/>
        <v>0</v>
      </c>
    </row>
    <row r="1462" spans="1:10" ht="13" x14ac:dyDescent="0.15">
      <c r="A1462" s="6" t="str">
        <f ca="1">IFERROR(__xludf.DUMMYFUNCTION("""COMPUTED_VALUE"""),"Coding Style")</f>
        <v>Coding Style</v>
      </c>
      <c r="B1462" s="6" t="str">
        <f ca="1">IFERROR(__xludf.DUMMYFUNCTION("""COMPUTED_VALUE"""),"Coding Pattern")</f>
        <v>Coding Pattern</v>
      </c>
      <c r="H1462" s="6">
        <f ca="1"/>
        <v>0</v>
      </c>
      <c r="I1462" s="6">
        <f ca="1"/>
        <v>0</v>
      </c>
      <c r="J1462" s="6">
        <f ca="1"/>
        <v>0</v>
      </c>
    </row>
    <row r="1463" spans="1:10" ht="13" x14ac:dyDescent="0.15">
      <c r="A1463" s="6" t="str">
        <f ca="1">IFERROR(__xludf.DUMMYFUNCTION("""COMPUTED_VALUE"""),"Coding Pattern")</f>
        <v>Coding Pattern</v>
      </c>
      <c r="B1463" s="6" t="str">
        <f ca="1">IFERROR(__xludf.DUMMYFUNCTION("""COMPUTED_VALUE"""),"Coding Pattern")</f>
        <v>Coding Pattern</v>
      </c>
      <c r="H1463" s="6">
        <f ca="1"/>
        <v>0</v>
      </c>
      <c r="I1463" s="6">
        <f ca="1"/>
        <v>0</v>
      </c>
      <c r="J1463" s="6">
        <f ca="1"/>
        <v>0</v>
      </c>
    </row>
    <row r="1464" spans="1:10" ht="13" x14ac:dyDescent="0.15">
      <c r="A1464" s="6" t="str">
        <f ca="1">IFERROR(__xludf.DUMMYFUNCTION("""COMPUTED_VALUE"""),"Testing")</f>
        <v>Testing</v>
      </c>
      <c r="B1464" s="6" t="str">
        <f ca="1">IFERROR(__xludf.DUMMYFUNCTION("""COMPUTED_VALUE"""),"Testing")</f>
        <v>Testing</v>
      </c>
      <c r="H1464" s="6">
        <f ca="1"/>
        <v>0</v>
      </c>
      <c r="I1464" s="6">
        <f ca="1"/>
        <v>0</v>
      </c>
      <c r="J1464" s="6">
        <f ca="1"/>
        <v>0</v>
      </c>
    </row>
    <row r="1465" spans="1:10" ht="13" x14ac:dyDescent="0.15">
      <c r="A1465" s="6" t="str">
        <f ca="1">IFERROR(__xludf.DUMMYFUNCTION("""COMPUTED_VALUE"""),"Coding Pattern")</f>
        <v>Coding Pattern</v>
      </c>
      <c r="B1465" s="6" t="str">
        <f ca="1">IFERROR(__xludf.DUMMYFUNCTION("""COMPUTED_VALUE"""),"Coding Pattern")</f>
        <v>Coding Pattern</v>
      </c>
      <c r="H1465" s="6">
        <f ca="1"/>
        <v>0</v>
      </c>
      <c r="I1465" s="6">
        <f ca="1"/>
        <v>0</v>
      </c>
      <c r="J1465" s="6">
        <f ca="1"/>
        <v>0</v>
      </c>
    </row>
    <row r="1466" spans="1:10" ht="13" x14ac:dyDescent="0.15">
      <c r="A1466" s="6" t="str">
        <f ca="1">IFERROR(__xludf.DUMMYFUNCTION("""COMPUTED_VALUE"""),"Testing")</f>
        <v>Testing</v>
      </c>
      <c r="B1466" s="6" t="str">
        <f ca="1">IFERROR(__xludf.DUMMYFUNCTION("""COMPUTED_VALUE"""),"Testing")</f>
        <v>Testing</v>
      </c>
      <c r="H1466" s="6">
        <f ca="1"/>
        <v>0</v>
      </c>
      <c r="I1466" s="6">
        <f ca="1"/>
        <v>0</v>
      </c>
      <c r="J1466" s="6">
        <f ca="1"/>
        <v>0</v>
      </c>
    </row>
    <row r="1467" spans="1:10" ht="13" x14ac:dyDescent="0.15">
      <c r="A1467" s="6" t="str">
        <f ca="1">IFERROR(__xludf.DUMMYFUNCTION("""COMPUTED_VALUE"""),"Security")</f>
        <v>Security</v>
      </c>
      <c r="B1467" s="6" t="str">
        <f ca="1">IFERROR(__xludf.DUMMYFUNCTION("""COMPUTED_VALUE"""),"Security")</f>
        <v>Security</v>
      </c>
      <c r="H1467" s="6">
        <f ca="1"/>
        <v>0</v>
      </c>
      <c r="I1467" s="6">
        <f ca="1"/>
        <v>0</v>
      </c>
      <c r="J1467" s="6">
        <f ca="1"/>
        <v>0</v>
      </c>
    </row>
    <row r="1468" spans="1:10" ht="13" x14ac:dyDescent="0.15">
      <c r="A1468" s="6" t="str">
        <f ca="1">IFERROR(__xludf.DUMMYFUNCTION("""COMPUTED_VALUE"""),"Commit&amp;PR rule")</f>
        <v>Commit&amp;PR rule</v>
      </c>
      <c r="B1468" s="6" t="str">
        <f ca="1">IFERROR(__xludf.DUMMYFUNCTION("""COMPUTED_VALUE"""),"Commit&amp;PR rule")</f>
        <v>Commit&amp;PR rule</v>
      </c>
      <c r="H1468" s="6">
        <f ca="1"/>
        <v>0</v>
      </c>
      <c r="I1468" s="6">
        <f ca="1"/>
        <v>0</v>
      </c>
      <c r="J1468" s="6">
        <f ca="1"/>
        <v>0</v>
      </c>
    </row>
    <row r="1469" spans="1:10" ht="13" x14ac:dyDescent="0.15">
      <c r="A1469" s="6" t="str">
        <f ca="1">IFERROR(__xludf.DUMMYFUNCTION("""COMPUTED_VALUE"""),"Documentation")</f>
        <v>Documentation</v>
      </c>
      <c r="B1469" s="6" t="str">
        <f ca="1">IFERROR(__xludf.DUMMYFUNCTION("""COMPUTED_VALUE"""),"Coding Style")</f>
        <v>Coding Style</v>
      </c>
      <c r="H1469" s="6">
        <f ca="1"/>
        <v>0</v>
      </c>
      <c r="I1469" s="6">
        <f ca="1"/>
        <v>0</v>
      </c>
      <c r="J1469" s="6">
        <f ca="1"/>
        <v>0</v>
      </c>
    </row>
    <row r="1470" spans="1:10" ht="13" x14ac:dyDescent="0.15">
      <c r="A1470" s="6" t="str">
        <f ca="1">IFERROR(__xludf.DUMMYFUNCTION("""COMPUTED_VALUE"""),"Task Execution")</f>
        <v>Task Execution</v>
      </c>
      <c r="B1470" s="6" t="str">
        <f ca="1">IFERROR(__xludf.DUMMYFUNCTION("""COMPUTED_VALUE"""),"Task Execution")</f>
        <v>Task Execution</v>
      </c>
      <c r="H1470" s="6">
        <f ca="1"/>
        <v>0</v>
      </c>
      <c r="I1470" s="6">
        <f ca="1"/>
        <v>0</v>
      </c>
      <c r="J1470" s="6">
        <f ca="1"/>
        <v>0</v>
      </c>
    </row>
    <row r="1471" spans="1:10" ht="13" x14ac:dyDescent="0.15">
      <c r="A1471" s="6" t="str">
        <f ca="1">IFERROR(__xludf.DUMMYFUNCTION("""COMPUTED_VALUE"""),"Task Execution")</f>
        <v>Task Execution</v>
      </c>
      <c r="B1471" s="6" t="str">
        <f ca="1">IFERROR(__xludf.DUMMYFUNCTION("""COMPUTED_VALUE"""),"Task Execution")</f>
        <v>Task Execution</v>
      </c>
      <c r="H1471" s="6">
        <f ca="1"/>
        <v>0</v>
      </c>
      <c r="I1471" s="6">
        <f ca="1"/>
        <v>0</v>
      </c>
      <c r="J1471" s="6">
        <f ca="1"/>
        <v>0</v>
      </c>
    </row>
    <row r="1472" spans="1:10" ht="13" x14ac:dyDescent="0.15">
      <c r="A1472" s="6" t="str">
        <f ca="1">IFERROR(__xludf.DUMMYFUNCTION("""COMPUTED_VALUE"""),"Coding Pattern")</f>
        <v>Coding Pattern</v>
      </c>
      <c r="B1472" s="6" t="str">
        <f ca="1">IFERROR(__xludf.DUMMYFUNCTION("""COMPUTED_VALUE"""),"Coding Style")</f>
        <v>Coding Style</v>
      </c>
      <c r="H1472" s="6">
        <f ca="1"/>
        <v>0</v>
      </c>
      <c r="I1472" s="6">
        <f ca="1"/>
        <v>0</v>
      </c>
      <c r="J1472" s="6">
        <f ca="1"/>
        <v>0</v>
      </c>
    </row>
    <row r="1473" spans="1:10" ht="13" x14ac:dyDescent="0.15">
      <c r="A1473" s="6" t="str">
        <f ca="1">IFERROR(__xludf.DUMMYFUNCTION("""COMPUTED_VALUE"""),"Security")</f>
        <v>Security</v>
      </c>
      <c r="B1473" s="6" t="str">
        <f ca="1">IFERROR(__xludf.DUMMYFUNCTION("""COMPUTED_VALUE"""),"Security")</f>
        <v>Security</v>
      </c>
      <c r="H1473" s="6">
        <f ca="1"/>
        <v>0</v>
      </c>
      <c r="I1473" s="6">
        <f ca="1"/>
        <v>0</v>
      </c>
      <c r="J1473" s="6">
        <f ca="1"/>
        <v>0</v>
      </c>
    </row>
    <row r="1474" spans="1:10" ht="13" x14ac:dyDescent="0.15">
      <c r="A1474" s="6" t="str">
        <f ca="1">IFERROR(__xludf.DUMMYFUNCTION("""COMPUTED_VALUE"""),"Coding Pattern")</f>
        <v>Coding Pattern</v>
      </c>
      <c r="B1474" s="6" t="str">
        <f ca="1">IFERROR(__xludf.DUMMYFUNCTION("""COMPUTED_VALUE"""),"Coding Style")</f>
        <v>Coding Style</v>
      </c>
      <c r="H1474" s="6">
        <f ca="1"/>
        <v>0</v>
      </c>
      <c r="I1474" s="6">
        <f ca="1"/>
        <v>0</v>
      </c>
      <c r="J1474" s="6">
        <f ca="1"/>
        <v>0</v>
      </c>
    </row>
    <row r="1475" spans="1:10" ht="13" x14ac:dyDescent="0.15">
      <c r="A1475" s="6" t="str">
        <f ca="1">IFERROR(__xludf.DUMMYFUNCTION("""COMPUTED_VALUE"""),"Task Execution")</f>
        <v>Task Execution</v>
      </c>
      <c r="B1475" s="6" t="str">
        <f ca="1">IFERROR(__xludf.DUMMYFUNCTION("""COMPUTED_VALUE"""),"Security")</f>
        <v>Security</v>
      </c>
      <c r="H1475" s="6">
        <f ca="1"/>
        <v>0</v>
      </c>
      <c r="I1475" s="6">
        <f ca="1"/>
        <v>0</v>
      </c>
      <c r="J1475" s="6">
        <f ca="1"/>
        <v>0</v>
      </c>
    </row>
    <row r="1476" spans="1:10" ht="13" x14ac:dyDescent="0.15">
      <c r="A1476" s="6" t="str">
        <f ca="1">IFERROR(__xludf.DUMMYFUNCTION("""COMPUTED_VALUE"""),"Coding Pattern")</f>
        <v>Coding Pattern</v>
      </c>
      <c r="B1476" s="6" t="str">
        <f ca="1">IFERROR(__xludf.DUMMYFUNCTION("""COMPUTED_VALUE"""),"Coding Pattern")</f>
        <v>Coding Pattern</v>
      </c>
      <c r="H1476" s="6">
        <f ca="1"/>
        <v>0</v>
      </c>
      <c r="I1476" s="6">
        <f ca="1"/>
        <v>0</v>
      </c>
      <c r="J1476" s="6">
        <f ca="1"/>
        <v>0</v>
      </c>
    </row>
    <row r="1477" spans="1:10" ht="13" x14ac:dyDescent="0.15">
      <c r="A1477" s="6" t="str">
        <f ca="1">IFERROR(__xludf.DUMMYFUNCTION("""COMPUTED_VALUE"""),"Testing")</f>
        <v>Testing</v>
      </c>
      <c r="B1477" s="6" t="str">
        <f ca="1">IFERROR(__xludf.DUMMYFUNCTION("""COMPUTED_VALUE"""),"Testing")</f>
        <v>Testing</v>
      </c>
      <c r="H1477" s="6">
        <f ca="1"/>
        <v>0</v>
      </c>
      <c r="I1477" s="6">
        <f ca="1"/>
        <v>0</v>
      </c>
      <c r="J1477" s="6">
        <f ca="1"/>
        <v>0</v>
      </c>
    </row>
    <row r="1478" spans="1:10" ht="13" x14ac:dyDescent="0.15">
      <c r="A1478" s="6" t="str">
        <f ca="1">IFERROR(__xludf.DUMMYFUNCTION("""COMPUTED_VALUE"""),"Coding Pattern")</f>
        <v>Coding Pattern</v>
      </c>
      <c r="B1478" s="6" t="str">
        <f ca="1">IFERROR(__xludf.DUMMYFUNCTION("""COMPUTED_VALUE"""),"Coding Pattern")</f>
        <v>Coding Pattern</v>
      </c>
      <c r="H1478" s="6">
        <f ca="1"/>
        <v>0</v>
      </c>
      <c r="I1478" s="6">
        <f ca="1"/>
        <v>0</v>
      </c>
      <c r="J1478" s="6">
        <f ca="1"/>
        <v>0</v>
      </c>
    </row>
    <row r="1479" spans="1:10" ht="13" x14ac:dyDescent="0.15">
      <c r="A1479" s="6" t="str">
        <f ca="1">IFERROR(__xludf.DUMMYFUNCTION("""COMPUTED_VALUE"""),"Coding Pattern")</f>
        <v>Coding Pattern</v>
      </c>
      <c r="B1479" s="6" t="str">
        <f ca="1">IFERROR(__xludf.DUMMYFUNCTION("""COMPUTED_VALUE"""),"Coding Pattern")</f>
        <v>Coding Pattern</v>
      </c>
      <c r="H1479" s="6">
        <f ca="1"/>
        <v>0</v>
      </c>
      <c r="I1479" s="6">
        <f ca="1"/>
        <v>0</v>
      </c>
      <c r="J1479" s="6">
        <f ca="1"/>
        <v>0</v>
      </c>
    </row>
    <row r="1480" spans="1:10" ht="13" x14ac:dyDescent="0.15">
      <c r="A1480" s="6" t="str">
        <f ca="1">IFERROR(__xludf.DUMMYFUNCTION("""COMPUTED_VALUE"""),"Coding Pattern")</f>
        <v>Coding Pattern</v>
      </c>
      <c r="B1480" s="6" t="str">
        <f ca="1">IFERROR(__xludf.DUMMYFUNCTION("""COMPUTED_VALUE"""),"Coding Style")</f>
        <v>Coding Style</v>
      </c>
      <c r="H1480" s="6">
        <f ca="1"/>
        <v>0</v>
      </c>
      <c r="I1480" s="6">
        <f ca="1"/>
        <v>0</v>
      </c>
      <c r="J1480" s="6">
        <f ca="1"/>
        <v>0</v>
      </c>
    </row>
    <row r="1481" spans="1:10" ht="13" x14ac:dyDescent="0.15">
      <c r="A1481" s="6" t="str">
        <f ca="1">IFERROR(__xludf.DUMMYFUNCTION("""COMPUTED_VALUE"""),"Coding Pattern")</f>
        <v>Coding Pattern</v>
      </c>
      <c r="B1481" s="6" t="str">
        <f ca="1">IFERROR(__xludf.DUMMYFUNCTION("""COMPUTED_VALUE"""),"Coding Pattern")</f>
        <v>Coding Pattern</v>
      </c>
      <c r="H1481" s="6">
        <f ca="1"/>
        <v>0</v>
      </c>
      <c r="I1481" s="6">
        <f ca="1"/>
        <v>0</v>
      </c>
      <c r="J1481" s="6">
        <f ca="1"/>
        <v>0</v>
      </c>
    </row>
    <row r="1482" spans="1:10" ht="13" x14ac:dyDescent="0.15">
      <c r="A1482" s="6" t="str">
        <f ca="1">IFERROR(__xludf.DUMMYFUNCTION("""COMPUTED_VALUE"""),"Coding Pattern")</f>
        <v>Coding Pattern</v>
      </c>
      <c r="B1482" s="6" t="str">
        <f ca="1">IFERROR(__xludf.DUMMYFUNCTION("""COMPUTED_VALUE"""),"Coding Pattern")</f>
        <v>Coding Pattern</v>
      </c>
      <c r="H1482" s="6">
        <f ca="1"/>
        <v>0</v>
      </c>
      <c r="I1482" s="6">
        <f ca="1"/>
        <v>0</v>
      </c>
      <c r="J1482" s="6">
        <f ca="1"/>
        <v>0</v>
      </c>
    </row>
    <row r="1483" spans="1:10" ht="13" x14ac:dyDescent="0.15">
      <c r="A1483" s="6" t="str">
        <f ca="1">IFERROR(__xludf.DUMMYFUNCTION("""COMPUTED_VALUE"""),"Testing")</f>
        <v>Testing</v>
      </c>
      <c r="B1483" s="6" t="str">
        <f ca="1">IFERROR(__xludf.DUMMYFUNCTION("""COMPUTED_VALUE"""),"Coding Pattern")</f>
        <v>Coding Pattern</v>
      </c>
      <c r="H1483" s="6">
        <f ca="1"/>
        <v>0</v>
      </c>
      <c r="I1483" s="6">
        <f ca="1"/>
        <v>0</v>
      </c>
      <c r="J1483" s="6">
        <f ca="1"/>
        <v>0</v>
      </c>
    </row>
    <row r="1484" spans="1:10" ht="13" x14ac:dyDescent="0.15">
      <c r="A1484" s="6" t="str">
        <f ca="1">IFERROR(__xludf.DUMMYFUNCTION("""COMPUTED_VALUE"""),"Coding Style")</f>
        <v>Coding Style</v>
      </c>
      <c r="B1484" s="6" t="str">
        <f ca="1">IFERROR(__xludf.DUMMYFUNCTION("""COMPUTED_VALUE"""),"Coding Pattern")</f>
        <v>Coding Pattern</v>
      </c>
      <c r="H1484" s="6">
        <f ca="1"/>
        <v>0</v>
      </c>
      <c r="I1484" s="6">
        <f ca="1"/>
        <v>0</v>
      </c>
      <c r="J1484" s="6">
        <f ca="1"/>
        <v>0</v>
      </c>
    </row>
    <row r="1485" spans="1:10" ht="13" x14ac:dyDescent="0.15">
      <c r="A1485" s="6" t="str">
        <f ca="1">IFERROR(__xludf.DUMMYFUNCTION("""COMPUTED_VALUE"""),"Coding Style")</f>
        <v>Coding Style</v>
      </c>
      <c r="B1485" s="6" t="str">
        <f ca="1">IFERROR(__xludf.DUMMYFUNCTION("""COMPUTED_VALUE"""),"Coding Style")</f>
        <v>Coding Style</v>
      </c>
      <c r="H1485" s="6">
        <f ca="1"/>
        <v>0</v>
      </c>
      <c r="I1485" s="6">
        <f ca="1"/>
        <v>0</v>
      </c>
      <c r="J1485" s="6">
        <f ca="1"/>
        <v>0</v>
      </c>
    </row>
    <row r="1486" spans="1:10" ht="13" x14ac:dyDescent="0.15">
      <c r="A1486" s="6" t="str">
        <f ca="1">IFERROR(__xludf.DUMMYFUNCTION("""COMPUTED_VALUE"""),"Coding Style")</f>
        <v>Coding Style</v>
      </c>
      <c r="B1486" s="6" t="str">
        <f ca="1">IFERROR(__xludf.DUMMYFUNCTION("""COMPUTED_VALUE"""),"Coding Style")</f>
        <v>Coding Style</v>
      </c>
      <c r="H1486" s="6">
        <f ca="1"/>
        <v>0</v>
      </c>
      <c r="I1486" s="6">
        <f ca="1"/>
        <v>0</v>
      </c>
      <c r="J1486" s="6">
        <f ca="1"/>
        <v>0</v>
      </c>
    </row>
    <row r="1487" spans="1:10" ht="13" x14ac:dyDescent="0.15">
      <c r="A1487" s="6" t="str">
        <f ca="1">IFERROR(__xludf.DUMMYFUNCTION("""COMPUTED_VALUE"""),"Coding Pattern")</f>
        <v>Coding Pattern</v>
      </c>
      <c r="B1487" s="6" t="str">
        <f ca="1">IFERROR(__xludf.DUMMYFUNCTION("""COMPUTED_VALUE"""),"Coding Pattern")</f>
        <v>Coding Pattern</v>
      </c>
      <c r="H1487" s="6">
        <f ca="1"/>
        <v>0</v>
      </c>
      <c r="I1487" s="6">
        <f ca="1"/>
        <v>0</v>
      </c>
      <c r="J1487" s="6">
        <f ca="1"/>
        <v>0</v>
      </c>
    </row>
    <row r="1488" spans="1:10" ht="13" x14ac:dyDescent="0.15">
      <c r="A1488" s="6" t="str">
        <f ca="1">IFERROR(__xludf.DUMMYFUNCTION("""COMPUTED_VALUE"""),"Coding Pattern")</f>
        <v>Coding Pattern</v>
      </c>
      <c r="B1488" s="6" t="str">
        <f ca="1">IFERROR(__xludf.DUMMYFUNCTION("""COMPUTED_VALUE"""),"Build &amp; Operation")</f>
        <v>Build &amp; Operation</v>
      </c>
      <c r="H1488" s="6">
        <f ca="1"/>
        <v>0</v>
      </c>
      <c r="I1488" s="6">
        <f ca="1"/>
        <v>0</v>
      </c>
      <c r="J1488" s="6">
        <f ca="1"/>
        <v>0</v>
      </c>
    </row>
    <row r="1489" spans="1:10" ht="13" x14ac:dyDescent="0.15">
      <c r="A1489" s="6" t="str">
        <f ca="1">IFERROR(__xludf.DUMMYFUNCTION("""COMPUTED_VALUE"""),"Coding Pattern")</f>
        <v>Coding Pattern</v>
      </c>
      <c r="B1489" s="6" t="str">
        <f ca="1">IFERROR(__xludf.DUMMYFUNCTION("""COMPUTED_VALUE"""),"Coding Pattern")</f>
        <v>Coding Pattern</v>
      </c>
      <c r="H1489" s="6">
        <f ca="1"/>
        <v>0</v>
      </c>
      <c r="I1489" s="6">
        <f ca="1"/>
        <v>0</v>
      </c>
      <c r="J1489" s="6">
        <f ca="1"/>
        <v>0</v>
      </c>
    </row>
    <row r="1490" spans="1:10" ht="13" x14ac:dyDescent="0.15">
      <c r="A1490" s="6" t="str">
        <f ca="1">IFERROR(__xludf.DUMMYFUNCTION("""COMPUTED_VALUE"""),"Coding Pattern")</f>
        <v>Coding Pattern</v>
      </c>
      <c r="B1490" s="6" t="str">
        <f ca="1">IFERROR(__xludf.DUMMYFUNCTION("""COMPUTED_VALUE"""),"Coding Pattern")</f>
        <v>Coding Pattern</v>
      </c>
      <c r="H1490" s="6">
        <f ca="1"/>
        <v>0</v>
      </c>
      <c r="I1490" s="6">
        <f ca="1"/>
        <v>0</v>
      </c>
      <c r="J1490" s="6">
        <f ca="1"/>
        <v>0</v>
      </c>
    </row>
    <row r="1491" spans="1:10" ht="13" x14ac:dyDescent="0.15">
      <c r="A1491" s="6" t="str">
        <f ca="1">IFERROR(__xludf.DUMMYFUNCTION("""COMPUTED_VALUE"""),"Coding Pattern")</f>
        <v>Coding Pattern</v>
      </c>
      <c r="B1491" s="6" t="str">
        <f ca="1">IFERROR(__xludf.DUMMYFUNCTION("""COMPUTED_VALUE"""),"Build &amp; Operation")</f>
        <v>Build &amp; Operation</v>
      </c>
      <c r="H1491" s="6">
        <f ca="1"/>
        <v>0</v>
      </c>
      <c r="I1491" s="6">
        <f ca="1"/>
        <v>0</v>
      </c>
      <c r="J1491" s="6">
        <f ca="1"/>
        <v>0</v>
      </c>
    </row>
    <row r="1492" spans="1:10" ht="13" x14ac:dyDescent="0.15">
      <c r="A1492" s="6" t="str">
        <f ca="1">IFERROR(__xludf.DUMMYFUNCTION("""COMPUTED_VALUE"""),"Coding Pattern")</f>
        <v>Coding Pattern</v>
      </c>
      <c r="B1492" s="6" t="str">
        <f ca="1">IFERROR(__xludf.DUMMYFUNCTION("""COMPUTED_VALUE"""),"Build &amp; Operation")</f>
        <v>Build &amp; Operation</v>
      </c>
      <c r="H1492" s="6">
        <f ca="1"/>
        <v>0</v>
      </c>
      <c r="I1492" s="6">
        <f ca="1"/>
        <v>0</v>
      </c>
      <c r="J1492" s="6">
        <f ca="1"/>
        <v>0</v>
      </c>
    </row>
    <row r="1493" spans="1:10" ht="13" x14ac:dyDescent="0.15">
      <c r="A1493" s="6" t="str">
        <f ca="1">IFERROR(__xludf.DUMMYFUNCTION("""COMPUTED_VALUE"""),"Documentation")</f>
        <v>Documentation</v>
      </c>
      <c r="B1493" s="6" t="str">
        <f ca="1">IFERROR(__xludf.DUMMYFUNCTION("""COMPUTED_VALUE"""),"Documentation")</f>
        <v>Documentation</v>
      </c>
      <c r="H1493" s="6">
        <f ca="1"/>
        <v>0</v>
      </c>
      <c r="I1493" s="6">
        <f ca="1"/>
        <v>0</v>
      </c>
      <c r="J1493" s="6">
        <f ca="1"/>
        <v>0</v>
      </c>
    </row>
    <row r="1494" spans="1:10" ht="13" x14ac:dyDescent="0.15">
      <c r="A1494" s="6" t="str">
        <f ca="1">IFERROR(__xludf.DUMMYFUNCTION("""COMPUTED_VALUE"""),"Build &amp; Operation")</f>
        <v>Build &amp; Operation</v>
      </c>
      <c r="B1494" s="6" t="str">
        <f ca="1">IFERROR(__xludf.DUMMYFUNCTION("""COMPUTED_VALUE"""),"Build &amp; Operation")</f>
        <v>Build &amp; Operation</v>
      </c>
      <c r="H1494" s="6">
        <f ca="1"/>
        <v>0</v>
      </c>
      <c r="I1494" s="6">
        <f ca="1"/>
        <v>0</v>
      </c>
      <c r="J1494" s="6">
        <f ca="1"/>
        <v>0</v>
      </c>
    </row>
    <row r="1495" spans="1:10" ht="13" x14ac:dyDescent="0.15">
      <c r="A1495" s="6" t="str">
        <f ca="1">IFERROR(__xludf.DUMMYFUNCTION("""COMPUTED_VALUE"""),"Testing")</f>
        <v>Testing</v>
      </c>
      <c r="B1495" s="6" t="str">
        <f ca="1">IFERROR(__xludf.DUMMYFUNCTION("""COMPUTED_VALUE"""),"Testing")</f>
        <v>Testing</v>
      </c>
      <c r="H1495" s="6">
        <f ca="1"/>
        <v>0</v>
      </c>
      <c r="I1495" s="6">
        <f ca="1"/>
        <v>0</v>
      </c>
      <c r="J1495" s="6">
        <f ca="1"/>
        <v>0</v>
      </c>
    </row>
    <row r="1496" spans="1:10" ht="13" x14ac:dyDescent="0.15">
      <c r="A1496" s="6" t="str">
        <f ca="1">IFERROR(__xludf.DUMMYFUNCTION("""COMPUTED_VALUE"""),"Coding Pattern")</f>
        <v>Coding Pattern</v>
      </c>
      <c r="B1496" s="6" t="str">
        <f ca="1">IFERROR(__xludf.DUMMYFUNCTION("""COMPUTED_VALUE"""),"Security")</f>
        <v>Security</v>
      </c>
      <c r="H1496" s="6">
        <f ca="1"/>
        <v>0</v>
      </c>
      <c r="I1496" s="6">
        <f ca="1"/>
        <v>0</v>
      </c>
      <c r="J1496" s="6">
        <f ca="1"/>
        <v>0</v>
      </c>
    </row>
    <row r="1497" spans="1:10" ht="13" x14ac:dyDescent="0.15">
      <c r="A1497" s="6" t="str">
        <f ca="1">IFERROR(__xludf.DUMMYFUNCTION("""COMPUTED_VALUE"""),"Task Execution")</f>
        <v>Task Execution</v>
      </c>
      <c r="B1497" s="6" t="str">
        <f ca="1">IFERROR(__xludf.DUMMYFUNCTION("""COMPUTED_VALUE"""),"Task Execution")</f>
        <v>Task Execution</v>
      </c>
      <c r="H1497" s="6">
        <f ca="1"/>
        <v>0</v>
      </c>
      <c r="I1497" s="6">
        <f ca="1"/>
        <v>0</v>
      </c>
      <c r="J1497" s="6">
        <f ca="1"/>
        <v>0</v>
      </c>
    </row>
    <row r="1498" spans="1:10" ht="13" x14ac:dyDescent="0.15">
      <c r="A1498" s="6" t="str">
        <f ca="1">IFERROR(__xludf.DUMMYFUNCTION("""COMPUTED_VALUE"""),"Task Execution")</f>
        <v>Task Execution</v>
      </c>
      <c r="B1498" s="6" t="str">
        <f ca="1">IFERROR(__xludf.DUMMYFUNCTION("""COMPUTED_VALUE"""),"Task Execution")</f>
        <v>Task Execution</v>
      </c>
      <c r="H1498" s="6">
        <f ca="1"/>
        <v>0</v>
      </c>
      <c r="I1498" s="6">
        <f ca="1"/>
        <v>0</v>
      </c>
      <c r="J1498" s="6">
        <f ca="1"/>
        <v>0</v>
      </c>
    </row>
    <row r="1499" spans="1:10" ht="13" x14ac:dyDescent="0.15">
      <c r="A1499" s="6" t="str">
        <f ca="1">IFERROR(__xludf.DUMMYFUNCTION("""COMPUTED_VALUE"""),"Coding Pattern")</f>
        <v>Coding Pattern</v>
      </c>
      <c r="B1499" s="6" t="str">
        <f ca="1">IFERROR(__xludf.DUMMYFUNCTION("""COMPUTED_VALUE"""),"Coding Pattern")</f>
        <v>Coding Pattern</v>
      </c>
      <c r="H1499" s="6">
        <f ca="1"/>
        <v>0</v>
      </c>
      <c r="I1499" s="6">
        <f ca="1"/>
        <v>0</v>
      </c>
      <c r="J1499" s="6">
        <f ca="1"/>
        <v>0</v>
      </c>
    </row>
    <row r="1500" spans="1:10" ht="13" x14ac:dyDescent="0.15">
      <c r="A1500" s="6" t="str">
        <f ca="1">IFERROR(__xludf.DUMMYFUNCTION("""COMPUTED_VALUE"""),"Writing Style Preference")</f>
        <v>Writing Style Preference</v>
      </c>
      <c r="B1500" s="6" t="str">
        <f ca="1">IFERROR(__xludf.DUMMYFUNCTION("""COMPUTED_VALUE"""),"Writing Style Preference")</f>
        <v>Writing Style Preference</v>
      </c>
      <c r="H1500" s="6">
        <f ca="1"/>
        <v>0</v>
      </c>
      <c r="I1500" s="6">
        <f ca="1"/>
        <v>0</v>
      </c>
      <c r="J1500" s="6">
        <f ca="1"/>
        <v>0</v>
      </c>
    </row>
    <row r="1501" spans="1:10" ht="13" x14ac:dyDescent="0.15">
      <c r="A1501" s="6" t="str">
        <f ca="1">IFERROR(__xludf.DUMMYFUNCTION("""COMPUTED_VALUE"""),"Code Review")</f>
        <v>Code Review</v>
      </c>
      <c r="B1501" s="6" t="str">
        <f ca="1">IFERROR(__xludf.DUMMYFUNCTION("""COMPUTED_VALUE"""),"Code Review")</f>
        <v>Code Review</v>
      </c>
      <c r="H1501" s="6">
        <f ca="1"/>
        <v>0</v>
      </c>
      <c r="I1501" s="6">
        <f ca="1"/>
        <v>0</v>
      </c>
      <c r="J1501" s="6">
        <f ca="1"/>
        <v>0</v>
      </c>
    </row>
    <row r="1502" spans="1:10" ht="13" x14ac:dyDescent="0.15">
      <c r="A1502" s="6" t="str">
        <f ca="1">IFERROR(__xludf.DUMMYFUNCTION("""COMPUTED_VALUE"""),"Coding Pattern")</f>
        <v>Coding Pattern</v>
      </c>
      <c r="B1502" s="6" t="str">
        <f ca="1">IFERROR(__xludf.DUMMYFUNCTION("""COMPUTED_VALUE"""),"Coding Pattern")</f>
        <v>Coding Pattern</v>
      </c>
      <c r="H1502" s="6">
        <f ca="1"/>
        <v>0</v>
      </c>
      <c r="I1502" s="6">
        <f ca="1"/>
        <v>0</v>
      </c>
      <c r="J1502" s="6">
        <f ca="1"/>
        <v>0</v>
      </c>
    </row>
    <row r="1503" spans="1:10" ht="13" x14ac:dyDescent="0.15">
      <c r="A1503" s="6" t="str">
        <f ca="1">IFERROR(__xludf.DUMMYFUNCTION("""COMPUTED_VALUE"""),"Coding Pattern")</f>
        <v>Coding Pattern</v>
      </c>
      <c r="B1503" s="6" t="str">
        <f ca="1">IFERROR(__xludf.DUMMYFUNCTION("""COMPUTED_VALUE"""),"Coding Pattern")</f>
        <v>Coding Pattern</v>
      </c>
      <c r="H1503" s="6">
        <f ca="1"/>
        <v>0</v>
      </c>
      <c r="I1503" s="6">
        <f ca="1"/>
        <v>0</v>
      </c>
      <c r="J1503" s="6">
        <f ca="1"/>
        <v>0</v>
      </c>
    </row>
    <row r="1504" spans="1:10" ht="13" x14ac:dyDescent="0.15">
      <c r="A1504" s="6" t="str">
        <f ca="1">IFERROR(__xludf.DUMMYFUNCTION("""COMPUTED_VALUE"""),"Coding Pattern")</f>
        <v>Coding Pattern</v>
      </c>
      <c r="B1504" s="6" t="str">
        <f ca="1">IFERROR(__xludf.DUMMYFUNCTION("""COMPUTED_VALUE"""),"Coding Pattern")</f>
        <v>Coding Pattern</v>
      </c>
      <c r="H1504" s="6">
        <f ca="1"/>
        <v>0</v>
      </c>
      <c r="I1504" s="6">
        <f ca="1"/>
        <v>0</v>
      </c>
      <c r="J1504" s="6">
        <f ca="1"/>
        <v>0</v>
      </c>
    </row>
    <row r="1505" spans="1:10" ht="13" x14ac:dyDescent="0.15">
      <c r="A1505" s="6" t="str">
        <f ca="1">IFERROR(__xludf.DUMMYFUNCTION("""COMPUTED_VALUE"""),"Coding Style")</f>
        <v>Coding Style</v>
      </c>
      <c r="B1505" s="6" t="str">
        <f ca="1">IFERROR(__xludf.DUMMYFUNCTION("""COMPUTED_VALUE"""),"Coding Style")</f>
        <v>Coding Style</v>
      </c>
      <c r="H1505" s="6">
        <f ca="1"/>
        <v>0</v>
      </c>
      <c r="I1505" s="6">
        <f ca="1"/>
        <v>0</v>
      </c>
      <c r="J1505" s="6">
        <f ca="1"/>
        <v>0</v>
      </c>
    </row>
    <row r="1506" spans="1:10" ht="13" x14ac:dyDescent="0.15">
      <c r="A1506" s="6" t="str">
        <f ca="1">IFERROR(__xludf.DUMMYFUNCTION("""COMPUTED_VALUE"""),"Coding Pattern")</f>
        <v>Coding Pattern</v>
      </c>
      <c r="B1506" s="6" t="str">
        <f ca="1">IFERROR(__xludf.DUMMYFUNCTION("""COMPUTED_VALUE"""),"Coding Pattern")</f>
        <v>Coding Pattern</v>
      </c>
      <c r="H1506" s="6">
        <f ca="1"/>
        <v>0</v>
      </c>
      <c r="I1506" s="6">
        <f ca="1"/>
        <v>0</v>
      </c>
      <c r="J1506" s="6">
        <f ca="1"/>
        <v>0</v>
      </c>
    </row>
    <row r="1507" spans="1:10" ht="13" x14ac:dyDescent="0.15">
      <c r="A1507" s="6" t="str">
        <f ca="1">IFERROR(__xludf.DUMMYFUNCTION("""COMPUTED_VALUE"""),"Coding Style")</f>
        <v>Coding Style</v>
      </c>
      <c r="B1507" s="6" t="str">
        <f ca="1">IFERROR(__xludf.DUMMYFUNCTION("""COMPUTED_VALUE"""),"Coding Style")</f>
        <v>Coding Style</v>
      </c>
      <c r="H1507" s="6">
        <f ca="1"/>
        <v>0</v>
      </c>
      <c r="I1507" s="6">
        <f ca="1"/>
        <v>0</v>
      </c>
      <c r="J1507" s="6">
        <f ca="1"/>
        <v>0</v>
      </c>
    </row>
    <row r="1508" spans="1:10" ht="13" x14ac:dyDescent="0.15">
      <c r="A1508" s="6" t="str">
        <f ca="1">IFERROR(__xludf.DUMMYFUNCTION("""COMPUTED_VALUE"""),"Commit&amp;PR rule")</f>
        <v>Commit&amp;PR rule</v>
      </c>
      <c r="B1508" s="6" t="str">
        <f ca="1">IFERROR(__xludf.DUMMYFUNCTION("""COMPUTED_VALUE"""),"Commit&amp;PR rule")</f>
        <v>Commit&amp;PR rule</v>
      </c>
      <c r="H1508" s="6">
        <f ca="1"/>
        <v>0</v>
      </c>
      <c r="I1508" s="6">
        <f ca="1"/>
        <v>0</v>
      </c>
      <c r="J1508" s="6">
        <f ca="1"/>
        <v>0</v>
      </c>
    </row>
    <row r="1509" spans="1:10" ht="13" x14ac:dyDescent="0.15">
      <c r="A1509" s="6" t="str">
        <f ca="1">IFERROR(__xludf.DUMMYFUNCTION("""COMPUTED_VALUE"""),"Coding Pattern")</f>
        <v>Coding Pattern</v>
      </c>
      <c r="B1509" s="6" t="str">
        <f ca="1">IFERROR(__xludf.DUMMYFUNCTION("""COMPUTED_VALUE"""),"Coding Pattern")</f>
        <v>Coding Pattern</v>
      </c>
      <c r="H1509" s="6">
        <f ca="1"/>
        <v>0</v>
      </c>
      <c r="I1509" s="6">
        <f ca="1"/>
        <v>0</v>
      </c>
      <c r="J1509" s="6">
        <f ca="1"/>
        <v>0</v>
      </c>
    </row>
    <row r="1510" spans="1:10" ht="13" x14ac:dyDescent="0.15">
      <c r="A1510" s="6" t="str">
        <f ca="1">IFERROR(__xludf.DUMMYFUNCTION("""COMPUTED_VALUE"""),"Coding Style")</f>
        <v>Coding Style</v>
      </c>
      <c r="B1510" s="6" t="str">
        <f ca="1">IFERROR(__xludf.DUMMYFUNCTION("""COMPUTED_VALUE"""),"Coding Style")</f>
        <v>Coding Style</v>
      </c>
      <c r="H1510" s="6">
        <f ca="1"/>
        <v>0</v>
      </c>
      <c r="I1510" s="6">
        <f ca="1"/>
        <v>0</v>
      </c>
      <c r="J1510" s="6">
        <f ca="1"/>
        <v>0</v>
      </c>
    </row>
    <row r="1511" spans="1:10" ht="13" x14ac:dyDescent="0.15">
      <c r="A1511" s="6" t="str">
        <f ca="1">IFERROR(__xludf.DUMMYFUNCTION("""COMPUTED_VALUE"""),"Testing")</f>
        <v>Testing</v>
      </c>
      <c r="B1511" s="6" t="str">
        <f ca="1">IFERROR(__xludf.DUMMYFUNCTION("""COMPUTED_VALUE"""),"Testing")</f>
        <v>Testing</v>
      </c>
      <c r="H1511" s="6">
        <f ca="1"/>
        <v>0</v>
      </c>
      <c r="I1511" s="6">
        <f ca="1"/>
        <v>0</v>
      </c>
      <c r="J1511" s="6">
        <f ca="1"/>
        <v>0</v>
      </c>
    </row>
    <row r="1512" spans="1:10" ht="13" x14ac:dyDescent="0.15">
      <c r="A1512" s="6" t="str">
        <f ca="1">IFERROR(__xludf.DUMMYFUNCTION("""COMPUTED_VALUE"""),"Testing")</f>
        <v>Testing</v>
      </c>
      <c r="B1512" s="6" t="str">
        <f ca="1">IFERROR(__xludf.DUMMYFUNCTION("""COMPUTED_VALUE"""),"Testing")</f>
        <v>Testing</v>
      </c>
      <c r="H1512" s="6">
        <f ca="1"/>
        <v>0</v>
      </c>
      <c r="I1512" s="6">
        <f ca="1"/>
        <v>0</v>
      </c>
      <c r="J1512" s="6">
        <f ca="1"/>
        <v>0</v>
      </c>
    </row>
    <row r="1513" spans="1:10" ht="13" x14ac:dyDescent="0.15">
      <c r="A1513" s="6" t="str">
        <f ca="1">IFERROR(__xludf.DUMMYFUNCTION("""COMPUTED_VALUE"""),"Build &amp; Operation")</f>
        <v>Build &amp; Operation</v>
      </c>
      <c r="B1513" s="6" t="str">
        <f ca="1">IFERROR(__xludf.DUMMYFUNCTION("""COMPUTED_VALUE"""),"Build &amp; Operation")</f>
        <v>Build &amp; Operation</v>
      </c>
      <c r="H1513" s="6">
        <f ca="1"/>
        <v>0</v>
      </c>
      <c r="I1513" s="6">
        <f ca="1"/>
        <v>0</v>
      </c>
      <c r="J1513" s="6">
        <f ca="1"/>
        <v>0</v>
      </c>
    </row>
    <row r="1514" spans="1:10" ht="13" x14ac:dyDescent="0.15">
      <c r="A1514" s="6" t="str">
        <f ca="1">IFERROR(__xludf.DUMMYFUNCTION("""COMPUTED_VALUE"""),"Build &amp; Operation")</f>
        <v>Build &amp; Operation</v>
      </c>
      <c r="B1514" s="6" t="str">
        <f ca="1">IFERROR(__xludf.DUMMYFUNCTION("""COMPUTED_VALUE"""),"Build &amp; Operation")</f>
        <v>Build &amp; Operation</v>
      </c>
      <c r="H1514" s="6">
        <f ca="1"/>
        <v>0</v>
      </c>
      <c r="I1514" s="6">
        <f ca="1"/>
        <v>0</v>
      </c>
      <c r="J1514" s="6">
        <f ca="1"/>
        <v>0</v>
      </c>
    </row>
    <row r="1515" spans="1:10" ht="13" x14ac:dyDescent="0.15">
      <c r="A1515" s="6" t="str">
        <f ca="1">IFERROR(__xludf.DUMMYFUNCTION("""COMPUTED_VALUE"""),"Documentation")</f>
        <v>Documentation</v>
      </c>
      <c r="B1515" s="6" t="str">
        <f ca="1">IFERROR(__xludf.DUMMYFUNCTION("""COMPUTED_VALUE"""),"Documentation")</f>
        <v>Documentation</v>
      </c>
      <c r="H1515" s="6">
        <f ca="1"/>
        <v>0</v>
      </c>
      <c r="I1515" s="6">
        <f ca="1"/>
        <v>0</v>
      </c>
      <c r="J1515" s="6">
        <f ca="1"/>
        <v>0</v>
      </c>
    </row>
    <row r="1516" spans="1:10" ht="13" x14ac:dyDescent="0.15">
      <c r="A1516" s="6" t="str">
        <f ca="1">IFERROR(__xludf.DUMMYFUNCTION("""COMPUTED_VALUE"""),"Coding Style")</f>
        <v>Coding Style</v>
      </c>
      <c r="B1516" s="6" t="str">
        <f ca="1">IFERROR(__xludf.DUMMYFUNCTION("""COMPUTED_VALUE"""),"Coding Style")</f>
        <v>Coding Style</v>
      </c>
      <c r="H1516" s="6">
        <f ca="1"/>
        <v>0</v>
      </c>
      <c r="I1516" s="6">
        <f ca="1"/>
        <v>0</v>
      </c>
      <c r="J1516" s="6">
        <f ca="1"/>
        <v>0</v>
      </c>
    </row>
    <row r="1517" spans="1:10" ht="13" x14ac:dyDescent="0.15">
      <c r="A1517" s="6" t="str">
        <f ca="1">IFERROR(__xludf.DUMMYFUNCTION("""COMPUTED_VALUE"""),"Coding Pattern")</f>
        <v>Coding Pattern</v>
      </c>
      <c r="B1517" s="6" t="str">
        <f ca="1">IFERROR(__xludf.DUMMYFUNCTION("""COMPUTED_VALUE"""),"Coding Pattern")</f>
        <v>Coding Pattern</v>
      </c>
      <c r="H1517" s="6">
        <f ca="1"/>
        <v>0</v>
      </c>
      <c r="I1517" s="6">
        <f ca="1"/>
        <v>0</v>
      </c>
      <c r="J1517" s="6">
        <f ca="1"/>
        <v>0</v>
      </c>
    </row>
    <row r="1518" spans="1:10" ht="13" x14ac:dyDescent="0.15">
      <c r="A1518" s="6" t="str">
        <f ca="1">IFERROR(__xludf.DUMMYFUNCTION("""COMPUTED_VALUE"""),"Coding Pattern")</f>
        <v>Coding Pattern</v>
      </c>
      <c r="B1518" s="6" t="str">
        <f ca="1">IFERROR(__xludf.DUMMYFUNCTION("""COMPUTED_VALUE"""),"Coding Style")</f>
        <v>Coding Style</v>
      </c>
      <c r="H1518" s="6">
        <f ca="1"/>
        <v>0</v>
      </c>
      <c r="I1518" s="6">
        <f ca="1"/>
        <v>0</v>
      </c>
      <c r="J1518" s="6">
        <f ca="1"/>
        <v>0</v>
      </c>
    </row>
    <row r="1519" spans="1:10" ht="13" x14ac:dyDescent="0.15">
      <c r="A1519" s="6" t="str">
        <f ca="1">IFERROR(__xludf.DUMMYFUNCTION("""COMPUTED_VALUE"""),"Coding Pattern")</f>
        <v>Coding Pattern</v>
      </c>
      <c r="B1519" s="6" t="str">
        <f ca="1">IFERROR(__xludf.DUMMYFUNCTION("""COMPUTED_VALUE"""),"Coding Pattern")</f>
        <v>Coding Pattern</v>
      </c>
      <c r="H1519" s="6">
        <f ca="1"/>
        <v>0</v>
      </c>
      <c r="I1519" s="6">
        <f ca="1"/>
        <v>0</v>
      </c>
      <c r="J1519" s="6">
        <f ca="1"/>
        <v>0</v>
      </c>
    </row>
    <row r="1520" spans="1:10" ht="13" x14ac:dyDescent="0.15">
      <c r="A1520" s="6" t="str">
        <f ca="1">IFERROR(__xludf.DUMMYFUNCTION("""COMPUTED_VALUE"""),"Coding Style")</f>
        <v>Coding Style</v>
      </c>
      <c r="B1520" s="6" t="str">
        <f ca="1">IFERROR(__xludf.DUMMYFUNCTION("""COMPUTED_VALUE"""),"Coding Style")</f>
        <v>Coding Style</v>
      </c>
      <c r="H1520" s="6">
        <f ca="1"/>
        <v>0</v>
      </c>
      <c r="I1520" s="6">
        <f ca="1"/>
        <v>0</v>
      </c>
      <c r="J1520" s="6">
        <f ca="1"/>
        <v>0</v>
      </c>
    </row>
    <row r="1521" spans="1:10" ht="13" x14ac:dyDescent="0.15">
      <c r="A1521" s="6" t="str">
        <f ca="1">IFERROR(__xludf.DUMMYFUNCTION("""COMPUTED_VALUE"""),"Coding Pattern")</f>
        <v>Coding Pattern</v>
      </c>
      <c r="B1521" s="6" t="str">
        <f ca="1">IFERROR(__xludf.DUMMYFUNCTION("""COMPUTED_VALUE"""),"Coding Pattern")</f>
        <v>Coding Pattern</v>
      </c>
      <c r="H1521" s="6">
        <f ca="1"/>
        <v>0</v>
      </c>
      <c r="I1521" s="6">
        <f ca="1"/>
        <v>0</v>
      </c>
      <c r="J1521" s="6">
        <f ca="1"/>
        <v>0</v>
      </c>
    </row>
    <row r="1522" spans="1:10" ht="13" x14ac:dyDescent="0.15">
      <c r="A1522" s="6" t="str">
        <f ca="1">IFERROR(__xludf.DUMMYFUNCTION("""COMPUTED_VALUE"""),"Coding Pattern")</f>
        <v>Coding Pattern</v>
      </c>
      <c r="B1522" s="6" t="str">
        <f ca="1">IFERROR(__xludf.DUMMYFUNCTION("""COMPUTED_VALUE"""),"Coding Pattern")</f>
        <v>Coding Pattern</v>
      </c>
      <c r="H1522" s="6">
        <f ca="1"/>
        <v>0</v>
      </c>
      <c r="I1522" s="6">
        <f ca="1"/>
        <v>0</v>
      </c>
      <c r="J1522" s="6">
        <f ca="1"/>
        <v>0</v>
      </c>
    </row>
    <row r="1523" spans="1:10" ht="13" x14ac:dyDescent="0.15">
      <c r="A1523" s="6" t="str">
        <f ca="1">IFERROR(__xludf.DUMMYFUNCTION("""COMPUTED_VALUE"""),"Performance")</f>
        <v>Performance</v>
      </c>
      <c r="B1523" s="6" t="str">
        <f ca="1">IFERROR(__xludf.DUMMYFUNCTION("""COMPUTED_VALUE"""),"Performance")</f>
        <v>Performance</v>
      </c>
      <c r="H1523" s="6">
        <f ca="1"/>
        <v>0</v>
      </c>
      <c r="I1523" s="6">
        <f ca="1"/>
        <v>0</v>
      </c>
      <c r="J1523" s="6">
        <f ca="1"/>
        <v>0</v>
      </c>
    </row>
    <row r="1524" spans="1:10" ht="13" x14ac:dyDescent="0.15">
      <c r="A1524" s="6" t="str">
        <f ca="1">IFERROR(__xludf.DUMMYFUNCTION("""COMPUTED_VALUE"""),"Task Execution")</f>
        <v>Task Execution</v>
      </c>
      <c r="B1524" s="6" t="str">
        <f ca="1">IFERROR(__xludf.DUMMYFUNCTION("""COMPUTED_VALUE"""),"Build &amp; Operation")</f>
        <v>Build &amp; Operation</v>
      </c>
      <c r="H1524" s="6">
        <f ca="1"/>
        <v>0</v>
      </c>
      <c r="I1524" s="6">
        <f ca="1"/>
        <v>0</v>
      </c>
      <c r="J1524" s="6">
        <f ca="1"/>
        <v>0</v>
      </c>
    </row>
    <row r="1525" spans="1:10" ht="13" x14ac:dyDescent="0.15">
      <c r="A1525" s="6" t="str">
        <f ca="1">IFERROR(__xludf.DUMMYFUNCTION("""COMPUTED_VALUE"""),"Coding Style")</f>
        <v>Coding Style</v>
      </c>
      <c r="B1525" s="6" t="str">
        <f ca="1">IFERROR(__xludf.DUMMYFUNCTION("""COMPUTED_VALUE"""),"Coding Style")</f>
        <v>Coding Style</v>
      </c>
      <c r="H1525" s="6">
        <f ca="1"/>
        <v>0</v>
      </c>
      <c r="I1525" s="6">
        <f ca="1"/>
        <v>0</v>
      </c>
      <c r="J1525" s="6">
        <f ca="1"/>
        <v>0</v>
      </c>
    </row>
    <row r="1526" spans="1:10" ht="13" x14ac:dyDescent="0.15">
      <c r="A1526" s="6" t="str">
        <f ca="1">IFERROR(__xludf.DUMMYFUNCTION("""COMPUTED_VALUE"""),"Coding Style")</f>
        <v>Coding Style</v>
      </c>
      <c r="B1526" s="6" t="str">
        <f ca="1">IFERROR(__xludf.DUMMYFUNCTION("""COMPUTED_VALUE"""),"Coding Style")</f>
        <v>Coding Style</v>
      </c>
      <c r="H1526" s="6">
        <f ca="1"/>
        <v>0</v>
      </c>
      <c r="I1526" s="6">
        <f ca="1"/>
        <v>0</v>
      </c>
      <c r="J1526" s="6">
        <f ca="1"/>
        <v>0</v>
      </c>
    </row>
    <row r="1527" spans="1:10" ht="13" x14ac:dyDescent="0.15">
      <c r="A1527" s="6" t="str">
        <f ca="1">IFERROR(__xludf.DUMMYFUNCTION("""COMPUTED_VALUE"""),"Testing")</f>
        <v>Testing</v>
      </c>
      <c r="B1527" s="6" t="str">
        <f ca="1">IFERROR(__xludf.DUMMYFUNCTION("""COMPUTED_VALUE"""),"Testing")</f>
        <v>Testing</v>
      </c>
      <c r="H1527" s="6">
        <f ca="1"/>
        <v>0</v>
      </c>
      <c r="I1527" s="6">
        <f ca="1"/>
        <v>0</v>
      </c>
      <c r="J1527" s="6">
        <f ca="1"/>
        <v>0</v>
      </c>
    </row>
    <row r="1528" spans="1:10" ht="13" x14ac:dyDescent="0.15">
      <c r="A1528" s="6" t="str">
        <f ca="1">IFERROR(__xludf.DUMMYFUNCTION("""COMPUTED_VALUE"""),"Testing")</f>
        <v>Testing</v>
      </c>
      <c r="B1528" s="6" t="str">
        <f ca="1">IFERROR(__xludf.DUMMYFUNCTION("""COMPUTED_VALUE"""),"Testing")</f>
        <v>Testing</v>
      </c>
      <c r="H1528" s="6">
        <f ca="1"/>
        <v>0</v>
      </c>
      <c r="I1528" s="6">
        <f ca="1"/>
        <v>0</v>
      </c>
      <c r="J1528" s="6">
        <f ca="1"/>
        <v>0</v>
      </c>
    </row>
    <row r="1529" spans="1:10" ht="13" x14ac:dyDescent="0.15">
      <c r="A1529" s="6" t="str">
        <f ca="1">IFERROR(__xludf.DUMMYFUNCTION("""COMPUTED_VALUE"""),"Documentation")</f>
        <v>Documentation</v>
      </c>
      <c r="B1529" s="6" t="str">
        <f ca="1">IFERROR(__xludf.DUMMYFUNCTION("""COMPUTED_VALUE"""),"Documentation")</f>
        <v>Documentation</v>
      </c>
      <c r="H1529" s="6">
        <f ca="1"/>
        <v>0</v>
      </c>
      <c r="I1529" s="6">
        <f ca="1"/>
        <v>0</v>
      </c>
      <c r="J1529" s="6">
        <f ca="1"/>
        <v>0</v>
      </c>
    </row>
    <row r="1530" spans="1:10" ht="13" x14ac:dyDescent="0.15">
      <c r="A1530" s="6" t="str">
        <f ca="1">IFERROR(__xludf.DUMMYFUNCTION("""COMPUTED_VALUE"""),"Writing Style Preference")</f>
        <v>Writing Style Preference</v>
      </c>
      <c r="B1530" s="6" t="str">
        <f ca="1">IFERROR(__xludf.DUMMYFUNCTION("""COMPUTED_VALUE"""),"Writing Style Preference")</f>
        <v>Writing Style Preference</v>
      </c>
      <c r="H1530" s="6">
        <f ca="1"/>
        <v>0</v>
      </c>
      <c r="I1530" s="6">
        <f ca="1"/>
        <v>0</v>
      </c>
      <c r="J1530" s="6">
        <f ca="1"/>
        <v>0</v>
      </c>
    </row>
    <row r="1531" spans="1:10" ht="13" x14ac:dyDescent="0.15">
      <c r="A1531" s="6" t="str">
        <f ca="1">IFERROR(__xludf.DUMMYFUNCTION("""COMPUTED_VALUE"""),"Writing Style Preference")</f>
        <v>Writing Style Preference</v>
      </c>
      <c r="B1531" s="6" t="str">
        <f ca="1">IFERROR(__xludf.DUMMYFUNCTION("""COMPUTED_VALUE"""),"Writing Style Preference")</f>
        <v>Writing Style Preference</v>
      </c>
      <c r="H1531" s="6">
        <f ca="1"/>
        <v>0</v>
      </c>
      <c r="I1531" s="6">
        <f ca="1"/>
        <v>0</v>
      </c>
      <c r="J1531" s="6">
        <f ca="1"/>
        <v>0</v>
      </c>
    </row>
    <row r="1532" spans="1:10" ht="13" x14ac:dyDescent="0.15">
      <c r="A1532" s="6" t="str">
        <f ca="1">IFERROR(__xludf.DUMMYFUNCTION("""COMPUTED_VALUE"""),"Writing Style Preference")</f>
        <v>Writing Style Preference</v>
      </c>
      <c r="B1532" s="6" t="str">
        <f ca="1">IFERROR(__xludf.DUMMYFUNCTION("""COMPUTED_VALUE"""),"Writing Style Preference")</f>
        <v>Writing Style Preference</v>
      </c>
      <c r="H1532" s="6">
        <f ca="1"/>
        <v>0</v>
      </c>
      <c r="I1532" s="6">
        <f ca="1"/>
        <v>0</v>
      </c>
      <c r="J1532" s="6">
        <f ca="1"/>
        <v>0</v>
      </c>
    </row>
    <row r="1533" spans="1:10" ht="13" x14ac:dyDescent="0.15">
      <c r="A1533" s="6" t="str">
        <f ca="1">IFERROR(__xludf.DUMMYFUNCTION("""COMPUTED_VALUE"""),"Writing Style Preference")</f>
        <v>Writing Style Preference</v>
      </c>
      <c r="B1533" s="6" t="str">
        <f ca="1">IFERROR(__xludf.DUMMYFUNCTION("""COMPUTED_VALUE"""),"Task Execution")</f>
        <v>Task Execution</v>
      </c>
      <c r="H1533" s="6">
        <f ca="1"/>
        <v>0</v>
      </c>
      <c r="I1533" s="6">
        <f ca="1"/>
        <v>0</v>
      </c>
      <c r="J1533" s="6">
        <f ca="1"/>
        <v>0</v>
      </c>
    </row>
    <row r="1534" spans="1:10" ht="13" x14ac:dyDescent="0.15">
      <c r="A1534" s="6" t="str">
        <f ca="1">IFERROR(__xludf.DUMMYFUNCTION("""COMPUTED_VALUE"""),"Task Execution")</f>
        <v>Task Execution</v>
      </c>
      <c r="B1534" s="6" t="str">
        <f ca="1">IFERROR(__xludf.DUMMYFUNCTION("""COMPUTED_VALUE"""),"Commit&amp;PR rule")</f>
        <v>Commit&amp;PR rule</v>
      </c>
      <c r="H1534" s="6">
        <f ca="1"/>
        <v>0</v>
      </c>
      <c r="I1534" s="6">
        <f ca="1"/>
        <v>0</v>
      </c>
      <c r="J1534" s="6">
        <f ca="1"/>
        <v>0</v>
      </c>
    </row>
    <row r="1535" spans="1:10" ht="13" x14ac:dyDescent="0.15">
      <c r="A1535" s="6" t="str">
        <f ca="1">IFERROR(__xludf.DUMMYFUNCTION("""COMPUTED_VALUE"""),"Performance")</f>
        <v>Performance</v>
      </c>
      <c r="B1535" s="6" t="str">
        <f ca="1">IFERROR(__xludf.DUMMYFUNCTION("""COMPUTED_VALUE"""),"Testing")</f>
        <v>Testing</v>
      </c>
      <c r="H1535" s="6">
        <f ca="1"/>
        <v>0</v>
      </c>
      <c r="I1535" s="6">
        <f ca="1"/>
        <v>0</v>
      </c>
      <c r="J1535" s="6">
        <f ca="1"/>
        <v>0</v>
      </c>
    </row>
    <row r="1536" spans="1:10" ht="13" x14ac:dyDescent="0.15">
      <c r="A1536" s="6" t="str">
        <f ca="1">IFERROR(__xludf.DUMMYFUNCTION("""COMPUTED_VALUE"""),"Documentation")</f>
        <v>Documentation</v>
      </c>
      <c r="B1536" s="6" t="str">
        <f ca="1">IFERROR(__xludf.DUMMYFUNCTION("""COMPUTED_VALUE"""),"Documentation")</f>
        <v>Documentation</v>
      </c>
      <c r="H1536" s="6">
        <f ca="1"/>
        <v>0</v>
      </c>
      <c r="I1536" s="6">
        <f ca="1"/>
        <v>0</v>
      </c>
      <c r="J1536" s="6">
        <f ca="1"/>
        <v>0</v>
      </c>
    </row>
    <row r="1537" spans="1:10" ht="13" x14ac:dyDescent="0.15">
      <c r="A1537" s="6" t="str">
        <f ca="1">IFERROR(__xludf.DUMMYFUNCTION("""COMPUTED_VALUE"""),"Task Execution")</f>
        <v>Task Execution</v>
      </c>
      <c r="B1537" s="6" t="str">
        <f ca="1">IFERROR(__xludf.DUMMYFUNCTION("""COMPUTED_VALUE"""),"Task Execution")</f>
        <v>Task Execution</v>
      </c>
      <c r="H1537" s="6">
        <f ca="1"/>
        <v>0</v>
      </c>
      <c r="I1537" s="6">
        <f ca="1"/>
        <v>0</v>
      </c>
      <c r="J1537" s="6">
        <f ca="1"/>
        <v>0</v>
      </c>
    </row>
    <row r="1538" spans="1:10" ht="13" x14ac:dyDescent="0.15">
      <c r="A1538" s="6" t="str">
        <f ca="1">IFERROR(__xludf.DUMMYFUNCTION("""COMPUTED_VALUE"""),"Task Execution")</f>
        <v>Task Execution</v>
      </c>
      <c r="B1538" s="6" t="str">
        <f ca="1">IFERROR(__xludf.DUMMYFUNCTION("""COMPUTED_VALUE"""),"Maintainability")</f>
        <v>Maintainability</v>
      </c>
      <c r="H1538" s="6">
        <f ca="1"/>
        <v>0</v>
      </c>
      <c r="I1538" s="6">
        <f ca="1"/>
        <v>0</v>
      </c>
      <c r="J1538" s="6">
        <f ca="1"/>
        <v>0</v>
      </c>
    </row>
    <row r="1539" spans="1:10" ht="13" x14ac:dyDescent="0.15">
      <c r="A1539" s="6" t="str">
        <f ca="1">IFERROR(__xludf.DUMMYFUNCTION("""COMPUTED_VALUE"""),"Documentation")</f>
        <v>Documentation</v>
      </c>
      <c r="B1539" s="6" t="str">
        <f ca="1">IFERROR(__xludf.DUMMYFUNCTION("""COMPUTED_VALUE"""),"Documentation")</f>
        <v>Documentation</v>
      </c>
      <c r="H1539" s="6">
        <f ca="1"/>
        <v>0</v>
      </c>
      <c r="I1539" s="6">
        <f ca="1"/>
        <v>0</v>
      </c>
      <c r="J1539" s="6">
        <f ca="1"/>
        <v>0</v>
      </c>
    </row>
    <row r="1540" spans="1:10" ht="13" x14ac:dyDescent="0.15">
      <c r="A1540" s="6" t="str">
        <f ca="1">IFERROR(__xludf.DUMMYFUNCTION("""COMPUTED_VALUE"""),"Testing")</f>
        <v>Testing</v>
      </c>
      <c r="B1540" s="6" t="str">
        <f ca="1">IFERROR(__xludf.DUMMYFUNCTION("""COMPUTED_VALUE"""),"Testing")</f>
        <v>Testing</v>
      </c>
      <c r="H1540" s="6">
        <f ca="1"/>
        <v>0</v>
      </c>
      <c r="I1540" s="6">
        <f ca="1"/>
        <v>0</v>
      </c>
      <c r="J1540" s="6">
        <f ca="1"/>
        <v>0</v>
      </c>
    </row>
    <row r="1541" spans="1:10" ht="13" x14ac:dyDescent="0.15">
      <c r="A1541" s="6" t="str">
        <f ca="1">IFERROR(__xludf.DUMMYFUNCTION("""COMPUTED_VALUE"""),"Testing")</f>
        <v>Testing</v>
      </c>
      <c r="B1541" s="6" t="str">
        <f ca="1">IFERROR(__xludf.DUMMYFUNCTION("""COMPUTED_VALUE"""),"Testing")</f>
        <v>Testing</v>
      </c>
      <c r="H1541" s="6">
        <f ca="1"/>
        <v>0</v>
      </c>
      <c r="I1541" s="6">
        <f ca="1"/>
        <v>0</v>
      </c>
      <c r="J1541" s="6">
        <f ca="1"/>
        <v>0</v>
      </c>
    </row>
    <row r="1542" spans="1:10" ht="13" x14ac:dyDescent="0.15">
      <c r="A1542" s="6" t="str">
        <f ca="1">IFERROR(__xludf.DUMMYFUNCTION("""COMPUTED_VALUE"""),"Testing")</f>
        <v>Testing</v>
      </c>
      <c r="B1542" s="6" t="str">
        <f ca="1">IFERROR(__xludf.DUMMYFUNCTION("""COMPUTED_VALUE"""),"Testing")</f>
        <v>Testing</v>
      </c>
      <c r="H1542" s="6">
        <f ca="1"/>
        <v>0</v>
      </c>
      <c r="I1542" s="6">
        <f ca="1"/>
        <v>0</v>
      </c>
      <c r="J1542" s="6">
        <f ca="1"/>
        <v>0</v>
      </c>
    </row>
    <row r="1543" spans="1:10" ht="13" x14ac:dyDescent="0.15">
      <c r="A1543" s="6" t="str">
        <f ca="1">IFERROR(__xludf.DUMMYFUNCTION("""COMPUTED_VALUE"""),"Coding Style")</f>
        <v>Coding Style</v>
      </c>
      <c r="B1543" s="6" t="str">
        <f ca="1">IFERROR(__xludf.DUMMYFUNCTION("""COMPUTED_VALUE"""),"Coding Style")</f>
        <v>Coding Style</v>
      </c>
      <c r="H1543" s="6">
        <f ca="1"/>
        <v>0</v>
      </c>
      <c r="I1543" s="6">
        <f ca="1"/>
        <v>0</v>
      </c>
      <c r="J1543" s="6">
        <f ca="1"/>
        <v>0</v>
      </c>
    </row>
    <row r="1544" spans="1:10" ht="13" x14ac:dyDescent="0.15">
      <c r="A1544" s="6" t="str">
        <f ca="1">IFERROR(__xludf.DUMMYFUNCTION("""COMPUTED_VALUE"""),"Testing")</f>
        <v>Testing</v>
      </c>
      <c r="B1544" s="6" t="str">
        <f ca="1">IFERROR(__xludf.DUMMYFUNCTION("""COMPUTED_VALUE"""),"Testing")</f>
        <v>Testing</v>
      </c>
      <c r="H1544" s="6">
        <f ca="1"/>
        <v>0</v>
      </c>
      <c r="I1544" s="6">
        <f ca="1"/>
        <v>0</v>
      </c>
      <c r="J1544" s="6">
        <f ca="1"/>
        <v>0</v>
      </c>
    </row>
    <row r="1545" spans="1:10" ht="13" x14ac:dyDescent="0.15">
      <c r="A1545" s="6" t="str">
        <f ca="1">IFERROR(__xludf.DUMMYFUNCTION("""COMPUTED_VALUE"""),"Coding Style")</f>
        <v>Coding Style</v>
      </c>
      <c r="B1545" s="6" t="str">
        <f ca="1">IFERROR(__xludf.DUMMYFUNCTION("""COMPUTED_VALUE"""),"Coding Style")</f>
        <v>Coding Style</v>
      </c>
      <c r="H1545" s="6">
        <f ca="1"/>
        <v>0</v>
      </c>
      <c r="I1545" s="6">
        <f ca="1"/>
        <v>0</v>
      </c>
      <c r="J1545" s="6">
        <f ca="1"/>
        <v>0</v>
      </c>
    </row>
    <row r="1546" spans="1:10" ht="13" x14ac:dyDescent="0.15">
      <c r="A1546" s="6" t="str">
        <f ca="1">IFERROR(__xludf.DUMMYFUNCTION("""COMPUTED_VALUE"""),"Coding Pattern")</f>
        <v>Coding Pattern</v>
      </c>
      <c r="B1546" s="6" t="str">
        <f ca="1">IFERROR(__xludf.DUMMYFUNCTION("""COMPUTED_VALUE"""),"Coding Pattern")</f>
        <v>Coding Pattern</v>
      </c>
      <c r="H1546" s="6">
        <f ca="1"/>
        <v>0</v>
      </c>
      <c r="I1546" s="6">
        <f ca="1"/>
        <v>0</v>
      </c>
      <c r="J1546" s="6">
        <f ca="1"/>
        <v>0</v>
      </c>
    </row>
    <row r="1547" spans="1:10" ht="13" x14ac:dyDescent="0.15">
      <c r="A1547" s="6" t="str">
        <f ca="1">IFERROR(__xludf.DUMMYFUNCTION("""COMPUTED_VALUE"""),"Coding Style")</f>
        <v>Coding Style</v>
      </c>
      <c r="B1547" s="6" t="str">
        <f ca="1">IFERROR(__xludf.DUMMYFUNCTION("""COMPUTED_VALUE"""),"Coding Style")</f>
        <v>Coding Style</v>
      </c>
      <c r="H1547" s="6">
        <f ca="1"/>
        <v>0</v>
      </c>
      <c r="I1547" s="6">
        <f ca="1"/>
        <v>0</v>
      </c>
      <c r="J1547" s="6">
        <f ca="1"/>
        <v>0</v>
      </c>
    </row>
    <row r="1548" spans="1:10" ht="13" x14ac:dyDescent="0.15">
      <c r="A1548" s="6" t="str">
        <f ca="1">IFERROR(__xludf.DUMMYFUNCTION("""COMPUTED_VALUE"""),"Task Execution")</f>
        <v>Task Execution</v>
      </c>
      <c r="B1548" s="6" t="str">
        <f ca="1">IFERROR(__xludf.DUMMYFUNCTION("""COMPUTED_VALUE"""),"Documentation")</f>
        <v>Documentation</v>
      </c>
      <c r="H1548" s="6">
        <f ca="1"/>
        <v>0</v>
      </c>
      <c r="I1548" s="6">
        <f ca="1"/>
        <v>0</v>
      </c>
      <c r="J1548" s="6">
        <f ca="1"/>
        <v>0</v>
      </c>
    </row>
    <row r="1549" spans="1:10" ht="13" x14ac:dyDescent="0.15">
      <c r="A1549" s="6" t="str">
        <f ca="1">IFERROR(__xludf.DUMMYFUNCTION("""COMPUTED_VALUE"""),"Testing")</f>
        <v>Testing</v>
      </c>
      <c r="B1549" s="6" t="str">
        <f ca="1">IFERROR(__xludf.DUMMYFUNCTION("""COMPUTED_VALUE"""),"Testing")</f>
        <v>Testing</v>
      </c>
      <c r="H1549" s="6">
        <f ca="1"/>
        <v>0</v>
      </c>
      <c r="I1549" s="6">
        <f ca="1"/>
        <v>0</v>
      </c>
      <c r="J1549" s="6">
        <f ca="1"/>
        <v>0</v>
      </c>
    </row>
    <row r="1550" spans="1:10" ht="13" x14ac:dyDescent="0.15">
      <c r="A1550" s="6" t="str">
        <f ca="1">IFERROR(__xludf.DUMMYFUNCTION("""COMPUTED_VALUE"""),"Writing Style Preference")</f>
        <v>Writing Style Preference</v>
      </c>
      <c r="B1550" s="6" t="str">
        <f ca="1">IFERROR(__xludf.DUMMYFUNCTION("""COMPUTED_VALUE"""),"Writing Style Preference")</f>
        <v>Writing Style Preference</v>
      </c>
      <c r="H1550" s="6">
        <f ca="1"/>
        <v>0</v>
      </c>
      <c r="I1550" s="6">
        <f ca="1"/>
        <v>0</v>
      </c>
      <c r="J1550" s="6">
        <f ca="1"/>
        <v>0</v>
      </c>
    </row>
    <row r="1551" spans="1:10" ht="13" x14ac:dyDescent="0.15">
      <c r="A1551" s="6" t="str">
        <f ca="1">IFERROR(__xludf.DUMMYFUNCTION("""COMPUTED_VALUE"""),"Documentation")</f>
        <v>Documentation</v>
      </c>
      <c r="B1551" s="6" t="str">
        <f ca="1">IFERROR(__xludf.DUMMYFUNCTION("""COMPUTED_VALUE"""),"Documentation")</f>
        <v>Documentation</v>
      </c>
      <c r="H1551" s="6">
        <f ca="1"/>
        <v>0</v>
      </c>
      <c r="I1551" s="6">
        <f ca="1"/>
        <v>0</v>
      </c>
      <c r="J1551" s="6">
        <f ca="1"/>
        <v>0</v>
      </c>
    </row>
    <row r="1552" spans="1:10" ht="13" x14ac:dyDescent="0.15">
      <c r="A1552" s="6" t="str">
        <f ca="1">IFERROR(__xludf.DUMMYFUNCTION("""COMPUTED_VALUE"""),"Coding Pattern")</f>
        <v>Coding Pattern</v>
      </c>
      <c r="B1552" s="6" t="str">
        <f ca="1">IFERROR(__xludf.DUMMYFUNCTION("""COMPUTED_VALUE"""),"Coding Pattern")</f>
        <v>Coding Pattern</v>
      </c>
      <c r="H1552" s="6">
        <f ca="1"/>
        <v>0</v>
      </c>
      <c r="I1552" s="6">
        <f ca="1"/>
        <v>0</v>
      </c>
      <c r="J1552" s="6">
        <f ca="1"/>
        <v>0</v>
      </c>
    </row>
    <row r="1553" spans="1:10" ht="13" x14ac:dyDescent="0.15">
      <c r="A1553" s="6" t="str">
        <f ca="1">IFERROR(__xludf.DUMMYFUNCTION("""COMPUTED_VALUE"""),"Testing")</f>
        <v>Testing</v>
      </c>
      <c r="B1553" s="6" t="str">
        <f ca="1">IFERROR(__xludf.DUMMYFUNCTION("""COMPUTED_VALUE"""),"Testing")</f>
        <v>Testing</v>
      </c>
      <c r="H1553" s="6">
        <f ca="1"/>
        <v>0</v>
      </c>
      <c r="I1553" s="6">
        <f ca="1"/>
        <v>0</v>
      </c>
      <c r="J1553" s="6">
        <f ca="1"/>
        <v>0</v>
      </c>
    </row>
    <row r="1554" spans="1:10" ht="13" x14ac:dyDescent="0.15">
      <c r="A1554" s="6" t="str">
        <f ca="1">IFERROR(__xludf.DUMMYFUNCTION("""COMPUTED_VALUE"""),"Testing")</f>
        <v>Testing</v>
      </c>
      <c r="B1554" s="6" t="str">
        <f ca="1">IFERROR(__xludf.DUMMYFUNCTION("""COMPUTED_VALUE"""),"Testing")</f>
        <v>Testing</v>
      </c>
      <c r="H1554" s="6">
        <f ca="1"/>
        <v>0</v>
      </c>
      <c r="I1554" s="6">
        <f ca="1"/>
        <v>0</v>
      </c>
      <c r="J1554" s="6">
        <f ca="1"/>
        <v>0</v>
      </c>
    </row>
    <row r="1555" spans="1:10" ht="13" x14ac:dyDescent="0.15">
      <c r="A1555" s="6" t="str">
        <f ca="1">IFERROR(__xludf.DUMMYFUNCTION("""COMPUTED_VALUE"""),"Build &amp; Operation")</f>
        <v>Build &amp; Operation</v>
      </c>
      <c r="B1555" s="6" t="str">
        <f ca="1">IFERROR(__xludf.DUMMYFUNCTION("""COMPUTED_VALUE"""),"Build &amp; Operation")</f>
        <v>Build &amp; Operation</v>
      </c>
      <c r="H1555" s="6">
        <f ca="1"/>
        <v>0</v>
      </c>
      <c r="I1555" s="6">
        <f ca="1"/>
        <v>0</v>
      </c>
      <c r="J1555" s="6">
        <f ca="1"/>
        <v>0</v>
      </c>
    </row>
    <row r="1556" spans="1:10" ht="13" x14ac:dyDescent="0.15">
      <c r="A1556" s="6" t="str">
        <f ca="1">IFERROR(__xludf.DUMMYFUNCTION("""COMPUTED_VALUE"""),"Task Execution")</f>
        <v>Task Execution</v>
      </c>
      <c r="B1556" s="6" t="str">
        <f ca="1">IFERROR(__xludf.DUMMYFUNCTION("""COMPUTED_VALUE"""),"Build &amp; Operation")</f>
        <v>Build &amp; Operation</v>
      </c>
      <c r="H1556" s="6">
        <f ca="1"/>
        <v>0</v>
      </c>
      <c r="I1556" s="6">
        <f ca="1"/>
        <v>0</v>
      </c>
      <c r="J1556" s="6">
        <f ca="1"/>
        <v>0</v>
      </c>
    </row>
    <row r="1557" spans="1:10" ht="13" x14ac:dyDescent="0.15">
      <c r="A1557" s="6" t="str">
        <f ca="1">IFERROR(__xludf.DUMMYFUNCTION("""COMPUTED_VALUE"""),"Commit&amp;PR rule")</f>
        <v>Commit&amp;PR rule</v>
      </c>
      <c r="B1557" s="6" t="str">
        <f ca="1">IFERROR(__xludf.DUMMYFUNCTION("""COMPUTED_VALUE"""),"Commit&amp;PR rule")</f>
        <v>Commit&amp;PR rule</v>
      </c>
      <c r="H1557" s="6">
        <f ca="1"/>
        <v>0</v>
      </c>
      <c r="I1557" s="6">
        <f ca="1"/>
        <v>0</v>
      </c>
      <c r="J1557" s="6">
        <f ca="1"/>
        <v>0</v>
      </c>
    </row>
    <row r="1558" spans="1:10" ht="13" x14ac:dyDescent="0.15">
      <c r="A1558" s="6" t="str">
        <f ca="1">IFERROR(__xludf.DUMMYFUNCTION("""COMPUTED_VALUE"""),"Testing")</f>
        <v>Testing</v>
      </c>
      <c r="B1558" s="6" t="str">
        <f ca="1">IFERROR(__xludf.DUMMYFUNCTION("""COMPUTED_VALUE"""),"Testing")</f>
        <v>Testing</v>
      </c>
      <c r="H1558" s="6">
        <f ca="1"/>
        <v>0</v>
      </c>
      <c r="I1558" s="6">
        <f ca="1"/>
        <v>0</v>
      </c>
      <c r="J1558" s="6">
        <f ca="1"/>
        <v>0</v>
      </c>
    </row>
    <row r="1559" spans="1:10" ht="13" x14ac:dyDescent="0.15">
      <c r="A1559" s="6" t="str">
        <f ca="1">IFERROR(__xludf.DUMMYFUNCTION("""COMPUTED_VALUE"""),"Task Execution")</f>
        <v>Task Execution</v>
      </c>
      <c r="B1559" s="6" t="str">
        <f ca="1">IFERROR(__xludf.DUMMYFUNCTION("""COMPUTED_VALUE"""),"Build &amp; Operation")</f>
        <v>Build &amp; Operation</v>
      </c>
      <c r="H1559" s="6">
        <f ca="1"/>
        <v>0</v>
      </c>
      <c r="I1559" s="6">
        <f ca="1"/>
        <v>0</v>
      </c>
      <c r="J1559" s="6">
        <f ca="1"/>
        <v>0</v>
      </c>
    </row>
    <row r="1560" spans="1:10" ht="13" x14ac:dyDescent="0.15">
      <c r="A1560" s="6" t="str">
        <f ca="1">IFERROR(__xludf.DUMMYFUNCTION("""COMPUTED_VALUE"""),"Performance")</f>
        <v>Performance</v>
      </c>
      <c r="B1560" s="6" t="str">
        <f ca="1">IFERROR(__xludf.DUMMYFUNCTION("""COMPUTED_VALUE"""),"Performance")</f>
        <v>Performance</v>
      </c>
      <c r="H1560" s="6">
        <f ca="1"/>
        <v>0</v>
      </c>
      <c r="I1560" s="6">
        <f ca="1"/>
        <v>0</v>
      </c>
      <c r="J1560" s="6">
        <f ca="1"/>
        <v>0</v>
      </c>
    </row>
    <row r="1561" spans="1:10" ht="13" x14ac:dyDescent="0.15">
      <c r="A1561" s="6" t="str">
        <f ca="1">IFERROR(__xludf.DUMMYFUNCTION("""COMPUTED_VALUE"""),"Testing")</f>
        <v>Testing</v>
      </c>
      <c r="B1561" s="6" t="str">
        <f ca="1">IFERROR(__xludf.DUMMYFUNCTION("""COMPUTED_VALUE"""),"Testing")</f>
        <v>Testing</v>
      </c>
      <c r="H1561" s="6">
        <f ca="1"/>
        <v>0</v>
      </c>
      <c r="I1561" s="6">
        <f ca="1"/>
        <v>0</v>
      </c>
      <c r="J1561" s="6">
        <f ca="1"/>
        <v>0</v>
      </c>
    </row>
    <row r="1562" spans="1:10" ht="13" x14ac:dyDescent="0.15">
      <c r="A1562" s="6" t="str">
        <f ca="1">IFERROR(__xludf.DUMMYFUNCTION("""COMPUTED_VALUE"""),"Task Execution")</f>
        <v>Task Execution</v>
      </c>
      <c r="B1562" s="6" t="str">
        <f ca="1">IFERROR(__xludf.DUMMYFUNCTION("""COMPUTED_VALUE"""),"Documentation")</f>
        <v>Documentation</v>
      </c>
      <c r="H1562" s="6">
        <f ca="1"/>
        <v>0</v>
      </c>
      <c r="I1562" s="6">
        <f ca="1"/>
        <v>0</v>
      </c>
      <c r="J1562" s="6">
        <f ca="1"/>
        <v>0</v>
      </c>
    </row>
    <row r="1563" spans="1:10" ht="13" x14ac:dyDescent="0.15">
      <c r="A1563" s="6" t="str">
        <f ca="1">IFERROR(__xludf.DUMMYFUNCTION("""COMPUTED_VALUE"""),"Task Execution")</f>
        <v>Task Execution</v>
      </c>
      <c r="B1563" s="6" t="str">
        <f ca="1">IFERROR(__xludf.DUMMYFUNCTION("""COMPUTED_VALUE"""),"Documentation")</f>
        <v>Documentation</v>
      </c>
      <c r="H1563" s="6">
        <f ca="1"/>
        <v>0</v>
      </c>
      <c r="I1563" s="6">
        <f ca="1"/>
        <v>0</v>
      </c>
      <c r="J1563" s="6">
        <f ca="1"/>
        <v>0</v>
      </c>
    </row>
    <row r="1564" spans="1:10" ht="13" x14ac:dyDescent="0.15">
      <c r="A1564" s="6" t="str">
        <f ca="1">IFERROR(__xludf.DUMMYFUNCTION("""COMPUTED_VALUE"""),"Coding Style")</f>
        <v>Coding Style</v>
      </c>
      <c r="B1564" s="6" t="str">
        <f ca="1">IFERROR(__xludf.DUMMYFUNCTION("""COMPUTED_VALUE"""),"Coding Style")</f>
        <v>Coding Style</v>
      </c>
      <c r="H1564" s="6">
        <f ca="1"/>
        <v>0</v>
      </c>
      <c r="I1564" s="6">
        <f ca="1"/>
        <v>0</v>
      </c>
      <c r="J1564" s="6">
        <f ca="1"/>
        <v>0</v>
      </c>
    </row>
    <row r="1565" spans="1:10" ht="13" x14ac:dyDescent="0.15">
      <c r="A1565" s="6" t="str">
        <f ca="1">IFERROR(__xludf.DUMMYFUNCTION("""COMPUTED_VALUE"""),"Coding Pattern")</f>
        <v>Coding Pattern</v>
      </c>
      <c r="B1565" s="6" t="str">
        <f ca="1">IFERROR(__xludf.DUMMYFUNCTION("""COMPUTED_VALUE"""),"Coding Pattern")</f>
        <v>Coding Pattern</v>
      </c>
      <c r="H1565" s="6">
        <f ca="1"/>
        <v>0</v>
      </c>
      <c r="I1565" s="6">
        <f ca="1"/>
        <v>0</v>
      </c>
      <c r="J1565" s="6">
        <f ca="1"/>
        <v>0</v>
      </c>
    </row>
    <row r="1566" spans="1:10" ht="13" x14ac:dyDescent="0.15">
      <c r="A1566" s="6" t="str">
        <f ca="1">IFERROR(__xludf.DUMMYFUNCTION("""COMPUTED_VALUE"""),"Commit&amp;PR rule")</f>
        <v>Commit&amp;PR rule</v>
      </c>
      <c r="B1566" s="6" t="str">
        <f ca="1">IFERROR(__xludf.DUMMYFUNCTION("""COMPUTED_VALUE"""),"Commit&amp;PR rule")</f>
        <v>Commit&amp;PR rule</v>
      </c>
      <c r="H1566" s="6">
        <f ca="1"/>
        <v>0</v>
      </c>
      <c r="I1566" s="6">
        <f ca="1"/>
        <v>0</v>
      </c>
      <c r="J1566" s="6">
        <f ca="1"/>
        <v>0</v>
      </c>
    </row>
    <row r="1567" spans="1:10" ht="13" x14ac:dyDescent="0.15">
      <c r="A1567" s="6" t="str">
        <f ca="1">IFERROR(__xludf.DUMMYFUNCTION("""COMPUTED_VALUE"""),"Build &amp; Operation")</f>
        <v>Build &amp; Operation</v>
      </c>
      <c r="B1567" s="6" t="str">
        <f ca="1">IFERROR(__xludf.DUMMYFUNCTION("""COMPUTED_VALUE"""),"Build &amp; Operation")</f>
        <v>Build &amp; Operation</v>
      </c>
      <c r="H1567" s="6">
        <f ca="1"/>
        <v>0</v>
      </c>
      <c r="I1567" s="6">
        <f ca="1"/>
        <v>0</v>
      </c>
      <c r="J1567" s="6">
        <f ca="1"/>
        <v>0</v>
      </c>
    </row>
    <row r="1568" spans="1:10" ht="13" x14ac:dyDescent="0.15">
      <c r="A1568" s="6" t="str">
        <f ca="1">IFERROR(__xludf.DUMMYFUNCTION("""COMPUTED_VALUE"""),"Documentation")</f>
        <v>Documentation</v>
      </c>
      <c r="B1568" s="6" t="str">
        <f ca="1">IFERROR(__xludf.DUMMYFUNCTION("""COMPUTED_VALUE"""),"Documentation")</f>
        <v>Documentation</v>
      </c>
      <c r="H1568" s="6">
        <f ca="1"/>
        <v>0</v>
      </c>
      <c r="I1568" s="6">
        <f ca="1"/>
        <v>0</v>
      </c>
      <c r="J1568" s="6">
        <f ca="1"/>
        <v>0</v>
      </c>
    </row>
    <row r="1569" spans="1:10" ht="13" x14ac:dyDescent="0.15">
      <c r="A1569" s="6" t="str">
        <f ca="1">IFERROR(__xludf.DUMMYFUNCTION("""COMPUTED_VALUE"""),"Build &amp; Operation")</f>
        <v>Build &amp; Operation</v>
      </c>
      <c r="B1569" s="6" t="str">
        <f ca="1">IFERROR(__xludf.DUMMYFUNCTION("""COMPUTED_VALUE"""),"Build &amp; Operation")</f>
        <v>Build &amp; Operation</v>
      </c>
      <c r="H1569" s="6">
        <f ca="1"/>
        <v>0</v>
      </c>
      <c r="I1569" s="6">
        <f ca="1"/>
        <v>0</v>
      </c>
      <c r="J1569" s="6">
        <f ca="1"/>
        <v>0</v>
      </c>
    </row>
    <row r="1570" spans="1:10" ht="13" x14ac:dyDescent="0.15">
      <c r="A1570" s="6" t="str">
        <f ca="1">IFERROR(__xludf.DUMMYFUNCTION("""COMPUTED_VALUE"""),"Coding Pattern")</f>
        <v>Coding Pattern</v>
      </c>
      <c r="B1570" s="6" t="str">
        <f ca="1">IFERROR(__xludf.DUMMYFUNCTION("""COMPUTED_VALUE"""),"Coding Pattern")</f>
        <v>Coding Pattern</v>
      </c>
      <c r="H1570" s="6">
        <f ca="1"/>
        <v>0</v>
      </c>
      <c r="I1570" s="6">
        <f ca="1"/>
        <v>0</v>
      </c>
      <c r="J1570" s="6">
        <f ca="1"/>
        <v>0</v>
      </c>
    </row>
    <row r="1571" spans="1:10" ht="13" x14ac:dyDescent="0.15">
      <c r="A1571" s="6" t="str">
        <f ca="1">IFERROR(__xludf.DUMMYFUNCTION("""COMPUTED_VALUE"""),"Coding Pattern")</f>
        <v>Coding Pattern</v>
      </c>
      <c r="B1571" s="6" t="str">
        <f ca="1">IFERROR(__xludf.DUMMYFUNCTION("""COMPUTED_VALUE"""),"Coding Style")</f>
        <v>Coding Style</v>
      </c>
      <c r="H1571" s="6">
        <f ca="1"/>
        <v>0</v>
      </c>
      <c r="I1571" s="6">
        <f ca="1"/>
        <v>0</v>
      </c>
      <c r="J1571" s="6">
        <f ca="1"/>
        <v>0</v>
      </c>
    </row>
    <row r="1572" spans="1:10" ht="13" x14ac:dyDescent="0.15">
      <c r="A1572" s="6" t="str">
        <f ca="1">IFERROR(__xludf.DUMMYFUNCTION("""COMPUTED_VALUE"""),"Coding Pattern")</f>
        <v>Coding Pattern</v>
      </c>
      <c r="B1572" s="6" t="str">
        <f ca="1">IFERROR(__xludf.DUMMYFUNCTION("""COMPUTED_VALUE"""),"Task Execution")</f>
        <v>Task Execution</v>
      </c>
      <c r="H1572" s="6">
        <f ca="1"/>
        <v>0</v>
      </c>
      <c r="I1572" s="6">
        <f ca="1"/>
        <v>0</v>
      </c>
      <c r="J1572" s="6">
        <f ca="1"/>
        <v>0</v>
      </c>
    </row>
    <row r="1573" spans="1:10" ht="13" x14ac:dyDescent="0.15">
      <c r="A1573" s="6" t="str">
        <f ca="1">IFERROR(__xludf.DUMMYFUNCTION("""COMPUTED_VALUE"""),"Writing Style Preference")</f>
        <v>Writing Style Preference</v>
      </c>
      <c r="B1573" s="6" t="str">
        <f ca="1">IFERROR(__xludf.DUMMYFUNCTION("""COMPUTED_VALUE"""),"Writing Style Preference")</f>
        <v>Writing Style Preference</v>
      </c>
      <c r="H1573" s="6">
        <f ca="1"/>
        <v>0</v>
      </c>
      <c r="I1573" s="6">
        <f ca="1"/>
        <v>0</v>
      </c>
      <c r="J1573" s="6">
        <f ca="1"/>
        <v>0</v>
      </c>
    </row>
    <row r="1574" spans="1:10" ht="13" x14ac:dyDescent="0.15">
      <c r="A1574" s="6" t="str">
        <f ca="1">IFERROR(__xludf.DUMMYFUNCTION("""COMPUTED_VALUE"""),"Writing Style Preference")</f>
        <v>Writing Style Preference</v>
      </c>
      <c r="B1574" s="6" t="str">
        <f ca="1">IFERROR(__xludf.DUMMYFUNCTION("""COMPUTED_VALUE"""),"Writing Style Preference")</f>
        <v>Writing Style Preference</v>
      </c>
      <c r="H1574" s="6">
        <f ca="1"/>
        <v>0</v>
      </c>
      <c r="I1574" s="6">
        <f ca="1"/>
        <v>0</v>
      </c>
      <c r="J1574" s="6">
        <f ca="1"/>
        <v>0</v>
      </c>
    </row>
    <row r="1575" spans="1:10" ht="13" x14ac:dyDescent="0.15">
      <c r="A1575" s="6" t="str">
        <f ca="1">IFERROR(__xludf.DUMMYFUNCTION("""COMPUTED_VALUE"""),"Testing")</f>
        <v>Testing</v>
      </c>
      <c r="B1575" s="6" t="str">
        <f ca="1">IFERROR(__xludf.DUMMYFUNCTION("""COMPUTED_VALUE"""),"Testing")</f>
        <v>Testing</v>
      </c>
      <c r="H1575" s="6">
        <f ca="1"/>
        <v>0</v>
      </c>
      <c r="I1575" s="6">
        <f ca="1"/>
        <v>0</v>
      </c>
      <c r="J1575" s="6">
        <f ca="1"/>
        <v>0</v>
      </c>
    </row>
    <row r="1576" spans="1:10" ht="13" x14ac:dyDescent="0.15">
      <c r="A1576" s="6" t="str">
        <f ca="1">IFERROR(__xludf.DUMMYFUNCTION("""COMPUTED_VALUE"""),"Testing")</f>
        <v>Testing</v>
      </c>
      <c r="B1576" s="6" t="str">
        <f ca="1">IFERROR(__xludf.DUMMYFUNCTION("""COMPUTED_VALUE"""),"Testing")</f>
        <v>Testing</v>
      </c>
      <c r="H1576" s="6">
        <f ca="1"/>
        <v>0</v>
      </c>
      <c r="I1576" s="6">
        <f ca="1"/>
        <v>0</v>
      </c>
      <c r="J1576" s="6">
        <f ca="1"/>
        <v>0</v>
      </c>
    </row>
    <row r="1577" spans="1:10" ht="13" x14ac:dyDescent="0.15">
      <c r="A1577" s="6" t="str">
        <f ca="1">IFERROR(__xludf.DUMMYFUNCTION("""COMPUTED_VALUE"""),"Writing Style Preference")</f>
        <v>Writing Style Preference</v>
      </c>
      <c r="B1577" s="6" t="str">
        <f ca="1">IFERROR(__xludf.DUMMYFUNCTION("""COMPUTED_VALUE"""),"Writing Style Preference")</f>
        <v>Writing Style Preference</v>
      </c>
      <c r="H1577" s="6">
        <f ca="1"/>
        <v>0</v>
      </c>
      <c r="I1577" s="6">
        <f ca="1"/>
        <v>0</v>
      </c>
      <c r="J1577" s="6">
        <f ca="1"/>
        <v>0</v>
      </c>
    </row>
    <row r="1578" spans="1:10" ht="13" x14ac:dyDescent="0.15">
      <c r="A1578" s="6" t="str">
        <f ca="1">IFERROR(__xludf.DUMMYFUNCTION("""COMPUTED_VALUE"""),"Testing")</f>
        <v>Testing</v>
      </c>
      <c r="B1578" s="6" t="str">
        <f ca="1">IFERROR(__xludf.DUMMYFUNCTION("""COMPUTED_VALUE"""),"Testing")</f>
        <v>Testing</v>
      </c>
      <c r="H1578" s="6">
        <f ca="1"/>
        <v>0</v>
      </c>
      <c r="I1578" s="6">
        <f ca="1"/>
        <v>0</v>
      </c>
      <c r="J1578" s="6">
        <f ca="1"/>
        <v>0</v>
      </c>
    </row>
    <row r="1579" spans="1:10" ht="13" x14ac:dyDescent="0.15">
      <c r="A1579" s="6" t="str">
        <f ca="1">IFERROR(__xludf.DUMMYFUNCTION("""COMPUTED_VALUE"""),"Commit&amp;PR rule")</f>
        <v>Commit&amp;PR rule</v>
      </c>
      <c r="B1579" s="6" t="str">
        <f ca="1">IFERROR(__xludf.DUMMYFUNCTION("""COMPUTED_VALUE"""),"Commit&amp;PR rule")</f>
        <v>Commit&amp;PR rule</v>
      </c>
      <c r="H1579" s="6">
        <f ca="1"/>
        <v>0</v>
      </c>
      <c r="I1579" s="6">
        <f ca="1"/>
        <v>0</v>
      </c>
      <c r="J1579" s="6">
        <f ca="1"/>
        <v>0</v>
      </c>
    </row>
    <row r="1580" spans="1:10" ht="13" x14ac:dyDescent="0.15">
      <c r="A1580" s="6" t="str">
        <f ca="1">IFERROR(__xludf.DUMMYFUNCTION("""COMPUTED_VALUE"""),"Documentation")</f>
        <v>Documentation</v>
      </c>
      <c r="B1580" s="6" t="str">
        <f ca="1">IFERROR(__xludf.DUMMYFUNCTION("""COMPUTED_VALUE"""),"Documentation")</f>
        <v>Documentation</v>
      </c>
      <c r="H1580" s="6">
        <f ca="1"/>
        <v>0</v>
      </c>
      <c r="I1580" s="6">
        <f ca="1"/>
        <v>0</v>
      </c>
      <c r="J1580" s="6">
        <f ca="1"/>
        <v>0</v>
      </c>
    </row>
    <row r="1581" spans="1:10" ht="13" x14ac:dyDescent="0.15">
      <c r="A1581" s="6" t="str">
        <f ca="1">IFERROR(__xludf.DUMMYFUNCTION("""COMPUTED_VALUE"""),"Writing Style Preference")</f>
        <v>Writing Style Preference</v>
      </c>
      <c r="B1581" s="6" t="str">
        <f ca="1">IFERROR(__xludf.DUMMYFUNCTION("""COMPUTED_VALUE"""),"Task Execution")</f>
        <v>Task Execution</v>
      </c>
      <c r="H1581" s="6">
        <f ca="1"/>
        <v>0</v>
      </c>
      <c r="I1581" s="6">
        <f ca="1"/>
        <v>0</v>
      </c>
      <c r="J1581" s="6">
        <f ca="1"/>
        <v>0</v>
      </c>
    </row>
    <row r="1582" spans="1:10" ht="13" x14ac:dyDescent="0.15">
      <c r="A1582" s="6" t="str">
        <f ca="1">IFERROR(__xludf.DUMMYFUNCTION("""COMPUTED_VALUE"""),"Task Execution")</f>
        <v>Task Execution</v>
      </c>
      <c r="B1582" s="6" t="str">
        <f ca="1">IFERROR(__xludf.DUMMYFUNCTION("""COMPUTED_VALUE"""),"Build &amp; Operation")</f>
        <v>Build &amp; Operation</v>
      </c>
      <c r="H1582" s="6">
        <f ca="1"/>
        <v>0</v>
      </c>
      <c r="I1582" s="6">
        <f ca="1"/>
        <v>0</v>
      </c>
      <c r="J1582" s="6">
        <f ca="1"/>
        <v>0</v>
      </c>
    </row>
    <row r="1583" spans="1:10" ht="13" x14ac:dyDescent="0.15">
      <c r="A1583" s="6" t="str">
        <f ca="1">IFERROR(__xludf.DUMMYFUNCTION("""COMPUTED_VALUE"""),"Task Execution")</f>
        <v>Task Execution</v>
      </c>
      <c r="B1583" s="6" t="str">
        <f ca="1">IFERROR(__xludf.DUMMYFUNCTION("""COMPUTED_VALUE"""),"Task Execution")</f>
        <v>Task Execution</v>
      </c>
      <c r="H1583" s="6">
        <f ca="1"/>
        <v>0</v>
      </c>
      <c r="I1583" s="6">
        <f ca="1"/>
        <v>0</v>
      </c>
      <c r="J1583" s="6">
        <f ca="1"/>
        <v>0</v>
      </c>
    </row>
    <row r="1584" spans="1:10" ht="13" x14ac:dyDescent="0.15">
      <c r="A1584" s="6" t="str">
        <f ca="1">IFERROR(__xludf.DUMMYFUNCTION("""COMPUTED_VALUE"""),"Build &amp; Operation")</f>
        <v>Build &amp; Operation</v>
      </c>
      <c r="B1584" s="6" t="str">
        <f ca="1">IFERROR(__xludf.DUMMYFUNCTION("""COMPUTED_VALUE"""),"Coding Pattern")</f>
        <v>Coding Pattern</v>
      </c>
      <c r="H1584" s="6">
        <f ca="1"/>
        <v>0</v>
      </c>
      <c r="I1584" s="6">
        <f ca="1"/>
        <v>0</v>
      </c>
      <c r="J1584" s="6">
        <f ca="1"/>
        <v>0</v>
      </c>
    </row>
    <row r="1585" spans="1:10" ht="13" x14ac:dyDescent="0.15">
      <c r="A1585" s="6" t="str">
        <f ca="1">IFERROR(__xludf.DUMMYFUNCTION("""COMPUTED_VALUE"""),"Build &amp; Operation")</f>
        <v>Build &amp; Operation</v>
      </c>
      <c r="B1585" s="6" t="str">
        <f ca="1">IFERROR(__xludf.DUMMYFUNCTION("""COMPUTED_VALUE"""),"Build &amp; Operation")</f>
        <v>Build &amp; Operation</v>
      </c>
      <c r="H1585" s="6">
        <f ca="1"/>
        <v>0</v>
      </c>
      <c r="I1585" s="6">
        <f ca="1"/>
        <v>0</v>
      </c>
      <c r="J1585" s="6">
        <f ca="1"/>
        <v>0</v>
      </c>
    </row>
    <row r="1586" spans="1:10" ht="13" x14ac:dyDescent="0.15">
      <c r="A1586" s="6" t="str">
        <f ca="1">IFERROR(__xludf.DUMMYFUNCTION("""COMPUTED_VALUE"""),"Task Execution")</f>
        <v>Task Execution</v>
      </c>
      <c r="B1586" s="6" t="str">
        <f ca="1">IFERROR(__xludf.DUMMYFUNCTION("""COMPUTED_VALUE"""),"Coding Pattern")</f>
        <v>Coding Pattern</v>
      </c>
      <c r="H1586" s="6">
        <f ca="1"/>
        <v>0</v>
      </c>
      <c r="I1586" s="6">
        <f ca="1"/>
        <v>0</v>
      </c>
      <c r="J1586" s="6">
        <f ca="1"/>
        <v>0</v>
      </c>
    </row>
    <row r="1587" spans="1:10" ht="13" x14ac:dyDescent="0.15">
      <c r="A1587" s="6" t="str">
        <f ca="1">IFERROR(__xludf.DUMMYFUNCTION("""COMPUTED_VALUE"""),"Testing")</f>
        <v>Testing</v>
      </c>
      <c r="B1587" s="6" t="str">
        <f ca="1">IFERROR(__xludf.DUMMYFUNCTION("""COMPUTED_VALUE"""),"Testing")</f>
        <v>Testing</v>
      </c>
      <c r="H1587" s="6">
        <f ca="1"/>
        <v>0</v>
      </c>
      <c r="I1587" s="6">
        <f ca="1"/>
        <v>0</v>
      </c>
      <c r="J1587" s="6">
        <f ca="1"/>
        <v>0</v>
      </c>
    </row>
    <row r="1588" spans="1:10" ht="13" x14ac:dyDescent="0.15">
      <c r="A1588" s="6" t="str">
        <f ca="1">IFERROR(__xludf.DUMMYFUNCTION("""COMPUTED_VALUE"""),"Task Execution")</f>
        <v>Task Execution</v>
      </c>
      <c r="B1588" s="6" t="str">
        <f ca="1">IFERROR(__xludf.DUMMYFUNCTION("""COMPUTED_VALUE"""),"Commit&amp;PR rule")</f>
        <v>Commit&amp;PR rule</v>
      </c>
      <c r="H1588" s="6">
        <f ca="1"/>
        <v>0</v>
      </c>
      <c r="I1588" s="6">
        <f ca="1"/>
        <v>0</v>
      </c>
      <c r="J1588" s="6">
        <f ca="1"/>
        <v>0</v>
      </c>
    </row>
    <row r="1589" spans="1:10" ht="13" x14ac:dyDescent="0.15">
      <c r="A1589" s="6" t="str">
        <f ca="1">IFERROR(__xludf.DUMMYFUNCTION("""COMPUTED_VALUE"""),"Coding Style")</f>
        <v>Coding Style</v>
      </c>
      <c r="B1589" s="6" t="str">
        <f ca="1">IFERROR(__xludf.DUMMYFUNCTION("""COMPUTED_VALUE"""),"Coding Style")</f>
        <v>Coding Style</v>
      </c>
      <c r="H1589" s="6">
        <f ca="1"/>
        <v>0</v>
      </c>
      <c r="I1589" s="6">
        <f ca="1"/>
        <v>0</v>
      </c>
      <c r="J1589" s="6">
        <f ca="1"/>
        <v>0</v>
      </c>
    </row>
    <row r="1590" spans="1:10" ht="13" x14ac:dyDescent="0.15">
      <c r="A1590" s="6" t="str">
        <f ca="1">IFERROR(__xludf.DUMMYFUNCTION("""COMPUTED_VALUE"""),"Coding Pattern")</f>
        <v>Coding Pattern</v>
      </c>
      <c r="B1590" s="6" t="str">
        <f ca="1">IFERROR(__xludf.DUMMYFUNCTION("""COMPUTED_VALUE"""),"Coding Pattern")</f>
        <v>Coding Pattern</v>
      </c>
      <c r="H1590" s="6">
        <f ca="1"/>
        <v>0</v>
      </c>
      <c r="I1590" s="6">
        <f ca="1"/>
        <v>0</v>
      </c>
      <c r="J1590" s="6">
        <f ca="1"/>
        <v>0</v>
      </c>
    </row>
    <row r="1591" spans="1:10" ht="13" x14ac:dyDescent="0.15">
      <c r="A1591" s="6" t="str">
        <f ca="1">IFERROR(__xludf.DUMMYFUNCTION("""COMPUTED_VALUE"""),"Task Execution")</f>
        <v>Task Execution</v>
      </c>
      <c r="B1591" s="6" t="str">
        <f ca="1">IFERROR(__xludf.DUMMYFUNCTION("""COMPUTED_VALUE"""),"Task Execution")</f>
        <v>Task Execution</v>
      </c>
      <c r="H1591" s="6">
        <f ca="1"/>
        <v>0</v>
      </c>
      <c r="I1591" s="6">
        <f ca="1"/>
        <v>0</v>
      </c>
      <c r="J1591" s="6">
        <f ca="1"/>
        <v>0</v>
      </c>
    </row>
    <row r="1592" spans="1:10" ht="13" x14ac:dyDescent="0.15">
      <c r="A1592" s="6" t="str">
        <f ca="1">IFERROR(__xludf.DUMMYFUNCTION("""COMPUTED_VALUE"""),"Task Execution")</f>
        <v>Task Execution</v>
      </c>
      <c r="B1592" s="6" t="str">
        <f ca="1">IFERROR(__xludf.DUMMYFUNCTION("""COMPUTED_VALUE"""),"Documentation")</f>
        <v>Documentation</v>
      </c>
      <c r="H1592" s="6">
        <f ca="1"/>
        <v>0</v>
      </c>
      <c r="I1592" s="6">
        <f ca="1"/>
        <v>0</v>
      </c>
      <c r="J1592" s="6">
        <f ca="1"/>
        <v>0</v>
      </c>
    </row>
    <row r="1593" spans="1:10" ht="13" x14ac:dyDescent="0.15">
      <c r="A1593" s="6" t="str">
        <f ca="1">IFERROR(__xludf.DUMMYFUNCTION("""COMPUTED_VALUE"""),"Testing")</f>
        <v>Testing</v>
      </c>
      <c r="B1593" s="6" t="str">
        <f ca="1">IFERROR(__xludf.DUMMYFUNCTION("""COMPUTED_VALUE"""),"Testing")</f>
        <v>Testing</v>
      </c>
      <c r="H1593" s="6">
        <f ca="1"/>
        <v>0</v>
      </c>
      <c r="I1593" s="6">
        <f ca="1"/>
        <v>0</v>
      </c>
      <c r="J1593" s="6">
        <f ca="1"/>
        <v>0</v>
      </c>
    </row>
    <row r="1594" spans="1:10" ht="13" x14ac:dyDescent="0.15">
      <c r="A1594" s="6" t="str">
        <f ca="1">IFERROR(__xludf.DUMMYFUNCTION("""COMPUTED_VALUE"""),"Commit&amp;PR rule")</f>
        <v>Commit&amp;PR rule</v>
      </c>
      <c r="B1594" s="6" t="str">
        <f ca="1">IFERROR(__xludf.DUMMYFUNCTION("""COMPUTED_VALUE"""),"Commit&amp;PR rule")</f>
        <v>Commit&amp;PR rule</v>
      </c>
      <c r="H1594" s="6">
        <f ca="1"/>
        <v>0</v>
      </c>
      <c r="I1594" s="6">
        <f ca="1"/>
        <v>0</v>
      </c>
      <c r="J1594" s="6">
        <f ca="1"/>
        <v>0</v>
      </c>
    </row>
    <row r="1595" spans="1:10" ht="13" x14ac:dyDescent="0.15">
      <c r="A1595" s="6" t="str">
        <f ca="1">IFERROR(__xludf.DUMMYFUNCTION("""COMPUTED_VALUE"""),"Task Execution")</f>
        <v>Task Execution</v>
      </c>
      <c r="B1595" s="6" t="str">
        <f ca="1">IFERROR(__xludf.DUMMYFUNCTION("""COMPUTED_VALUE"""),"Task Execution")</f>
        <v>Task Execution</v>
      </c>
      <c r="H1595" s="6">
        <f ca="1"/>
        <v>0</v>
      </c>
      <c r="I1595" s="6">
        <f ca="1"/>
        <v>0</v>
      </c>
      <c r="J1595" s="6">
        <f ca="1"/>
        <v>0</v>
      </c>
    </row>
    <row r="1596" spans="1:10" ht="13" x14ac:dyDescent="0.15">
      <c r="A1596" s="6" t="str">
        <f ca="1">IFERROR(__xludf.DUMMYFUNCTION("""COMPUTED_VALUE"""),"Task Execution")</f>
        <v>Task Execution</v>
      </c>
      <c r="B1596" s="6" t="str">
        <f ca="1">IFERROR(__xludf.DUMMYFUNCTION("""COMPUTED_VALUE"""),"Build &amp; Operation")</f>
        <v>Build &amp; Operation</v>
      </c>
      <c r="H1596" s="6">
        <f ca="1"/>
        <v>0</v>
      </c>
      <c r="I1596" s="6">
        <f ca="1"/>
        <v>0</v>
      </c>
      <c r="J1596" s="6">
        <f ca="1"/>
        <v>0</v>
      </c>
    </row>
    <row r="1597" spans="1:10" ht="13" x14ac:dyDescent="0.15">
      <c r="A1597" s="6" t="str">
        <f ca="1">IFERROR(__xludf.DUMMYFUNCTION("""COMPUTED_VALUE"""),"Coding Pattern")</f>
        <v>Coding Pattern</v>
      </c>
      <c r="B1597" s="6" t="str">
        <f ca="1">IFERROR(__xludf.DUMMYFUNCTION("""COMPUTED_VALUE"""),"Coding Pattern")</f>
        <v>Coding Pattern</v>
      </c>
      <c r="H1597" s="6">
        <f ca="1"/>
        <v>0</v>
      </c>
      <c r="I1597" s="6">
        <f ca="1"/>
        <v>0</v>
      </c>
      <c r="J1597" s="6">
        <f ca="1"/>
        <v>0</v>
      </c>
    </row>
    <row r="1598" spans="1:10" ht="13" x14ac:dyDescent="0.15">
      <c r="A1598" s="6" t="str">
        <f ca="1">IFERROR(__xludf.DUMMYFUNCTION("""COMPUTED_VALUE"""),"Coding Pattern")</f>
        <v>Coding Pattern</v>
      </c>
      <c r="B1598" s="6" t="str">
        <f ca="1">IFERROR(__xludf.DUMMYFUNCTION("""COMPUTED_VALUE"""),"Coding Pattern")</f>
        <v>Coding Pattern</v>
      </c>
      <c r="H1598" s="6">
        <f ca="1"/>
        <v>0</v>
      </c>
      <c r="I1598" s="6">
        <f ca="1"/>
        <v>0</v>
      </c>
      <c r="J1598" s="6">
        <f ca="1"/>
        <v>0</v>
      </c>
    </row>
    <row r="1599" spans="1:10" ht="13" x14ac:dyDescent="0.15">
      <c r="A1599" s="6" t="str">
        <f ca="1">IFERROR(__xludf.DUMMYFUNCTION("""COMPUTED_VALUE"""),"Writing Style Preference")</f>
        <v>Writing Style Preference</v>
      </c>
      <c r="B1599" s="6" t="str">
        <f ca="1">IFERROR(__xludf.DUMMYFUNCTION("""COMPUTED_VALUE"""),"Coding Style")</f>
        <v>Coding Style</v>
      </c>
      <c r="H1599" s="6">
        <f ca="1"/>
        <v>0</v>
      </c>
      <c r="I1599" s="6">
        <f ca="1"/>
        <v>0</v>
      </c>
      <c r="J1599" s="6">
        <f ca="1"/>
        <v>0</v>
      </c>
    </row>
    <row r="1600" spans="1:10" ht="13" x14ac:dyDescent="0.15">
      <c r="A1600" s="6" t="str">
        <f ca="1">IFERROR(__xludf.DUMMYFUNCTION("""COMPUTED_VALUE"""),"Task Execution")</f>
        <v>Task Execution</v>
      </c>
      <c r="B1600" s="6" t="str">
        <f ca="1">IFERROR(__xludf.DUMMYFUNCTION("""COMPUTED_VALUE"""),"Task Execution")</f>
        <v>Task Execution</v>
      </c>
      <c r="H1600" s="6">
        <f ca="1"/>
        <v>0</v>
      </c>
      <c r="I1600" s="6">
        <f ca="1"/>
        <v>0</v>
      </c>
      <c r="J1600" s="6">
        <f ca="1"/>
        <v>0</v>
      </c>
    </row>
    <row r="1601" spans="1:10" ht="13" x14ac:dyDescent="0.15">
      <c r="A1601" s="6" t="str">
        <f ca="1">IFERROR(__xludf.DUMMYFUNCTION("""COMPUTED_VALUE"""),"Coding Style")</f>
        <v>Coding Style</v>
      </c>
      <c r="B1601" s="6" t="str">
        <f ca="1">IFERROR(__xludf.DUMMYFUNCTION("""COMPUTED_VALUE"""),"Coding Style")</f>
        <v>Coding Style</v>
      </c>
      <c r="H1601" s="6">
        <f ca="1"/>
        <v>0</v>
      </c>
      <c r="I1601" s="6">
        <f ca="1"/>
        <v>0</v>
      </c>
      <c r="J1601" s="6">
        <f ca="1"/>
        <v>0</v>
      </c>
    </row>
    <row r="1602" spans="1:10" ht="13" x14ac:dyDescent="0.15">
      <c r="A1602" s="6" t="str">
        <f ca="1">IFERROR(__xludf.DUMMYFUNCTION("""COMPUTED_VALUE"""),"Coding Style")</f>
        <v>Coding Style</v>
      </c>
      <c r="B1602" s="6" t="str">
        <f ca="1">IFERROR(__xludf.DUMMYFUNCTION("""COMPUTED_VALUE"""),"Coding Style")</f>
        <v>Coding Style</v>
      </c>
      <c r="H1602" s="6">
        <f ca="1"/>
        <v>0</v>
      </c>
      <c r="I1602" s="6">
        <f ca="1"/>
        <v>0</v>
      </c>
      <c r="J1602" s="6">
        <f ca="1"/>
        <v>0</v>
      </c>
    </row>
    <row r="1603" spans="1:10" ht="13" x14ac:dyDescent="0.15">
      <c r="A1603" s="6" t="str">
        <f ca="1">IFERROR(__xludf.DUMMYFUNCTION("""COMPUTED_VALUE"""),"Documentation")</f>
        <v>Documentation</v>
      </c>
      <c r="B1603" s="6" t="str">
        <f ca="1">IFERROR(__xludf.DUMMYFUNCTION("""COMPUTED_VALUE"""),"Documentation")</f>
        <v>Documentation</v>
      </c>
      <c r="H1603" s="6">
        <f ca="1"/>
        <v>0</v>
      </c>
      <c r="I1603" s="6">
        <f ca="1"/>
        <v>0</v>
      </c>
      <c r="J1603" s="6">
        <f ca="1"/>
        <v>0</v>
      </c>
    </row>
    <row r="1604" spans="1:10" ht="13" x14ac:dyDescent="0.15">
      <c r="A1604" s="6" t="str">
        <f ca="1">IFERROR(__xludf.DUMMYFUNCTION("""COMPUTED_VALUE"""),"Testing")</f>
        <v>Testing</v>
      </c>
      <c r="B1604" s="6" t="str">
        <f ca="1">IFERROR(__xludf.DUMMYFUNCTION("""COMPUTED_VALUE"""),"Build &amp; Operation")</f>
        <v>Build &amp; Operation</v>
      </c>
      <c r="H1604" s="6">
        <f ca="1"/>
        <v>0</v>
      </c>
      <c r="I1604" s="6">
        <f ca="1"/>
        <v>0</v>
      </c>
      <c r="J1604" s="6">
        <f ca="1"/>
        <v>0</v>
      </c>
    </row>
    <row r="1605" spans="1:10" ht="13" x14ac:dyDescent="0.15">
      <c r="A1605" s="6" t="str">
        <f ca="1">IFERROR(__xludf.DUMMYFUNCTION("""COMPUTED_VALUE"""),"Testing")</f>
        <v>Testing</v>
      </c>
      <c r="B1605" s="6" t="str">
        <f ca="1">IFERROR(__xludf.DUMMYFUNCTION("""COMPUTED_VALUE"""),"Testing")</f>
        <v>Testing</v>
      </c>
      <c r="H1605" s="6">
        <f ca="1"/>
        <v>0</v>
      </c>
      <c r="I1605" s="6">
        <f ca="1"/>
        <v>0</v>
      </c>
      <c r="J1605" s="6">
        <f ca="1"/>
        <v>0</v>
      </c>
    </row>
    <row r="1606" spans="1:10" ht="13" x14ac:dyDescent="0.15">
      <c r="A1606" s="6" t="str">
        <f ca="1">IFERROR(__xludf.DUMMYFUNCTION("""COMPUTED_VALUE"""),"Task Execution")</f>
        <v>Task Execution</v>
      </c>
      <c r="B1606" s="6" t="str">
        <f ca="1">IFERROR(__xludf.DUMMYFUNCTION("""COMPUTED_VALUE"""),"Coding Pattern")</f>
        <v>Coding Pattern</v>
      </c>
      <c r="H1606" s="6">
        <f ca="1"/>
        <v>0</v>
      </c>
      <c r="I1606" s="6">
        <f ca="1"/>
        <v>0</v>
      </c>
      <c r="J1606" s="6">
        <f ca="1"/>
        <v>0</v>
      </c>
    </row>
    <row r="1607" spans="1:10" ht="13" x14ac:dyDescent="0.15">
      <c r="A1607" s="6" t="str">
        <f ca="1">IFERROR(__xludf.DUMMYFUNCTION("""COMPUTED_VALUE"""),"Task Execution")</f>
        <v>Task Execution</v>
      </c>
      <c r="B1607" s="6" t="str">
        <f ca="1">IFERROR(__xludf.DUMMYFUNCTION("""COMPUTED_VALUE"""),"Security")</f>
        <v>Security</v>
      </c>
      <c r="H1607" s="6">
        <f ca="1"/>
        <v>0</v>
      </c>
      <c r="I1607" s="6">
        <f ca="1"/>
        <v>0</v>
      </c>
      <c r="J1607" s="6">
        <f ca="1"/>
        <v>0</v>
      </c>
    </row>
    <row r="1608" spans="1:10" ht="13" x14ac:dyDescent="0.15">
      <c r="A1608" s="6" t="str">
        <f ca="1">IFERROR(__xludf.DUMMYFUNCTION("""COMPUTED_VALUE"""),"Testing")</f>
        <v>Testing</v>
      </c>
      <c r="B1608" s="6" t="str">
        <f ca="1">IFERROR(__xludf.DUMMYFUNCTION("""COMPUTED_VALUE"""),"Testing")</f>
        <v>Testing</v>
      </c>
      <c r="H1608" s="6">
        <f ca="1"/>
        <v>0</v>
      </c>
      <c r="I1608" s="6">
        <f ca="1"/>
        <v>0</v>
      </c>
      <c r="J1608" s="6">
        <f ca="1"/>
        <v>0</v>
      </c>
    </row>
    <row r="1609" spans="1:10" ht="13" x14ac:dyDescent="0.15">
      <c r="A1609" s="6" t="str">
        <f ca="1">IFERROR(__xludf.DUMMYFUNCTION("""COMPUTED_VALUE"""),"Commit&amp;PR rule")</f>
        <v>Commit&amp;PR rule</v>
      </c>
      <c r="B1609" s="6" t="str">
        <f ca="1">IFERROR(__xludf.DUMMYFUNCTION("""COMPUTED_VALUE"""),"Build &amp; Operation")</f>
        <v>Build &amp; Operation</v>
      </c>
      <c r="H1609" s="6">
        <f ca="1"/>
        <v>0</v>
      </c>
      <c r="I1609" s="6">
        <f ca="1"/>
        <v>0</v>
      </c>
      <c r="J1609" s="6">
        <f ca="1"/>
        <v>0</v>
      </c>
    </row>
    <row r="1610" spans="1:10" ht="13" x14ac:dyDescent="0.15">
      <c r="A1610" s="6" t="str">
        <f ca="1">IFERROR(__xludf.DUMMYFUNCTION("""COMPUTED_VALUE"""),"Commit&amp;PR rule")</f>
        <v>Commit&amp;PR rule</v>
      </c>
      <c r="B1610" s="6" t="str">
        <f ca="1">IFERROR(__xludf.DUMMYFUNCTION("""COMPUTED_VALUE"""),"Commit&amp;PR rule")</f>
        <v>Commit&amp;PR rule</v>
      </c>
      <c r="H1610" s="6">
        <f ca="1"/>
        <v>0</v>
      </c>
      <c r="I1610" s="6">
        <f ca="1"/>
        <v>0</v>
      </c>
      <c r="J1610" s="6">
        <f ca="1"/>
        <v>0</v>
      </c>
    </row>
    <row r="1611" spans="1:10" ht="13" x14ac:dyDescent="0.15">
      <c r="A1611" s="6" t="str">
        <f ca="1">IFERROR(__xludf.DUMMYFUNCTION("""COMPUTED_VALUE"""),"Build &amp; Operation")</f>
        <v>Build &amp; Operation</v>
      </c>
      <c r="B1611" s="6" t="str">
        <f ca="1">IFERROR(__xludf.DUMMYFUNCTION("""COMPUTED_VALUE"""),"Build &amp; Operation")</f>
        <v>Build &amp; Operation</v>
      </c>
      <c r="H1611" s="6">
        <f ca="1"/>
        <v>0</v>
      </c>
      <c r="I1611" s="6">
        <f ca="1"/>
        <v>0</v>
      </c>
      <c r="J1611" s="6">
        <f ca="1"/>
        <v>0</v>
      </c>
    </row>
    <row r="1612" spans="1:10" ht="13" x14ac:dyDescent="0.15">
      <c r="A1612" s="6" t="str">
        <f ca="1">IFERROR(__xludf.DUMMYFUNCTION("""COMPUTED_VALUE"""),"Code Review")</f>
        <v>Code Review</v>
      </c>
      <c r="B1612" s="6" t="str">
        <f ca="1">IFERROR(__xludf.DUMMYFUNCTION("""COMPUTED_VALUE"""),"Code Review")</f>
        <v>Code Review</v>
      </c>
      <c r="H1612" s="6">
        <f ca="1"/>
        <v>0</v>
      </c>
      <c r="I1612" s="6">
        <f ca="1"/>
        <v>0</v>
      </c>
      <c r="J1612" s="6">
        <f ca="1"/>
        <v>0</v>
      </c>
    </row>
    <row r="1613" spans="1:10" ht="13" x14ac:dyDescent="0.15">
      <c r="A1613" s="6" t="str">
        <f ca="1">IFERROR(__xludf.DUMMYFUNCTION("""COMPUTED_VALUE"""),"Testing")</f>
        <v>Testing</v>
      </c>
      <c r="B1613" s="6" t="str">
        <f ca="1">IFERROR(__xludf.DUMMYFUNCTION("""COMPUTED_VALUE"""),"Testing")</f>
        <v>Testing</v>
      </c>
      <c r="H1613" s="6">
        <f ca="1"/>
        <v>0</v>
      </c>
      <c r="I1613" s="6">
        <f ca="1"/>
        <v>0</v>
      </c>
      <c r="J1613" s="6">
        <f ca="1"/>
        <v>0</v>
      </c>
    </row>
    <row r="1614" spans="1:10" ht="13" x14ac:dyDescent="0.15">
      <c r="A1614" s="6" t="str">
        <f ca="1">IFERROR(__xludf.DUMMYFUNCTION("""COMPUTED_VALUE"""),"Documentation")</f>
        <v>Documentation</v>
      </c>
      <c r="B1614" s="6" t="str">
        <f ca="1">IFERROR(__xludf.DUMMYFUNCTION("""COMPUTED_VALUE"""),"Testing")</f>
        <v>Testing</v>
      </c>
      <c r="H1614" s="6">
        <f ca="1"/>
        <v>0</v>
      </c>
      <c r="I1614" s="6">
        <f ca="1"/>
        <v>0</v>
      </c>
      <c r="J1614" s="6">
        <f ca="1"/>
        <v>0</v>
      </c>
    </row>
    <row r="1615" spans="1:10" ht="13" x14ac:dyDescent="0.15">
      <c r="A1615" s="6" t="str">
        <f ca="1">IFERROR(__xludf.DUMMYFUNCTION("""COMPUTED_VALUE"""),"Task Execution")</f>
        <v>Task Execution</v>
      </c>
      <c r="B1615" s="6" t="str">
        <f ca="1">IFERROR(__xludf.DUMMYFUNCTION("""COMPUTED_VALUE"""),"Performance")</f>
        <v>Performance</v>
      </c>
      <c r="H1615" s="6">
        <f ca="1"/>
        <v>0</v>
      </c>
      <c r="I1615" s="6">
        <f ca="1"/>
        <v>0</v>
      </c>
      <c r="J1615" s="6">
        <f ca="1"/>
        <v>0</v>
      </c>
    </row>
    <row r="1616" spans="1:10" ht="13" x14ac:dyDescent="0.15">
      <c r="A1616" s="6" t="str">
        <f ca="1">IFERROR(__xludf.DUMMYFUNCTION("""COMPUTED_VALUE"""),"Coding Pattern")</f>
        <v>Coding Pattern</v>
      </c>
      <c r="B1616" s="6" t="str">
        <f ca="1">IFERROR(__xludf.DUMMYFUNCTION("""COMPUTED_VALUE"""),"Performance")</f>
        <v>Performance</v>
      </c>
      <c r="H1616" s="6">
        <f ca="1"/>
        <v>0</v>
      </c>
      <c r="I1616" s="6">
        <f ca="1"/>
        <v>0</v>
      </c>
      <c r="J1616" s="6">
        <f ca="1"/>
        <v>0</v>
      </c>
    </row>
    <row r="1617" spans="1:10" ht="13" x14ac:dyDescent="0.15">
      <c r="A1617" s="6" t="str">
        <f ca="1">IFERROR(__xludf.DUMMYFUNCTION("""COMPUTED_VALUE"""),"Task Execution")</f>
        <v>Task Execution</v>
      </c>
      <c r="B1617" s="6" t="str">
        <f ca="1">IFERROR(__xludf.DUMMYFUNCTION("""COMPUTED_VALUE"""),"Build &amp; Operation")</f>
        <v>Build &amp; Operation</v>
      </c>
      <c r="H1617" s="6">
        <f ca="1"/>
        <v>0</v>
      </c>
      <c r="I1617" s="6">
        <f ca="1"/>
        <v>0</v>
      </c>
      <c r="J1617" s="6">
        <f ca="1"/>
        <v>0</v>
      </c>
    </row>
    <row r="1618" spans="1:10" ht="13" x14ac:dyDescent="0.15">
      <c r="A1618" s="6" t="str">
        <f ca="1">IFERROR(__xludf.DUMMYFUNCTION("""COMPUTED_VALUE"""),"Task Execution")</f>
        <v>Task Execution</v>
      </c>
      <c r="B1618" s="6" t="str">
        <f ca="1">IFERROR(__xludf.DUMMYFUNCTION("""COMPUTED_VALUE"""),"Task Execution")</f>
        <v>Task Execution</v>
      </c>
      <c r="H1618" s="6">
        <f ca="1"/>
        <v>0</v>
      </c>
      <c r="I1618" s="6">
        <f ca="1"/>
        <v>0</v>
      </c>
      <c r="J1618" s="6">
        <f ca="1"/>
        <v>0</v>
      </c>
    </row>
    <row r="1619" spans="1:10" ht="13" x14ac:dyDescent="0.15">
      <c r="A1619" s="6" t="str">
        <f ca="1">IFERROR(__xludf.DUMMYFUNCTION("""COMPUTED_VALUE"""),"Testing")</f>
        <v>Testing</v>
      </c>
      <c r="B1619" s="6" t="str">
        <f ca="1">IFERROR(__xludf.DUMMYFUNCTION("""COMPUTED_VALUE"""),"Testing")</f>
        <v>Testing</v>
      </c>
      <c r="H1619" s="6">
        <f ca="1"/>
        <v>0</v>
      </c>
      <c r="I1619" s="6">
        <f ca="1"/>
        <v>0</v>
      </c>
      <c r="J1619" s="6">
        <f ca="1"/>
        <v>0</v>
      </c>
    </row>
    <row r="1620" spans="1:10" ht="13" x14ac:dyDescent="0.15">
      <c r="A1620" s="6" t="str">
        <f ca="1">IFERROR(__xludf.DUMMYFUNCTION("""COMPUTED_VALUE"""),"Task Execution")</f>
        <v>Task Execution</v>
      </c>
      <c r="B1620" s="6" t="str">
        <f ca="1">IFERROR(__xludf.DUMMYFUNCTION("""COMPUTED_VALUE"""),"Coding Pattern")</f>
        <v>Coding Pattern</v>
      </c>
      <c r="H1620" s="6">
        <f ca="1"/>
        <v>0</v>
      </c>
      <c r="I1620" s="6">
        <f ca="1"/>
        <v>0</v>
      </c>
      <c r="J1620" s="6">
        <f ca="1"/>
        <v>0</v>
      </c>
    </row>
    <row r="1621" spans="1:10" ht="13" x14ac:dyDescent="0.15">
      <c r="A1621" s="6" t="str">
        <f ca="1">IFERROR(__xludf.DUMMYFUNCTION("""COMPUTED_VALUE"""),"Coding Style")</f>
        <v>Coding Style</v>
      </c>
      <c r="B1621" s="6" t="str">
        <f ca="1">IFERROR(__xludf.DUMMYFUNCTION("""COMPUTED_VALUE"""),"Coding Style")</f>
        <v>Coding Style</v>
      </c>
      <c r="H1621" s="6">
        <f ca="1"/>
        <v>0</v>
      </c>
      <c r="I1621" s="6">
        <f ca="1"/>
        <v>0</v>
      </c>
      <c r="J1621" s="6">
        <f ca="1"/>
        <v>0</v>
      </c>
    </row>
    <row r="1622" spans="1:10" ht="13" x14ac:dyDescent="0.15">
      <c r="A1622" s="6" t="str">
        <f ca="1">IFERROR(__xludf.DUMMYFUNCTION("""COMPUTED_VALUE"""),"Coding Pattern")</f>
        <v>Coding Pattern</v>
      </c>
      <c r="B1622" s="6" t="str">
        <f ca="1">IFERROR(__xludf.DUMMYFUNCTION("""COMPUTED_VALUE"""),"Coding Pattern")</f>
        <v>Coding Pattern</v>
      </c>
      <c r="H1622" s="6">
        <f ca="1"/>
        <v>0</v>
      </c>
      <c r="I1622" s="6">
        <f ca="1"/>
        <v>0</v>
      </c>
      <c r="J1622" s="6">
        <f ca="1"/>
        <v>0</v>
      </c>
    </row>
    <row r="1623" spans="1:10" ht="13" x14ac:dyDescent="0.15">
      <c r="A1623" s="6" t="str">
        <f ca="1">IFERROR(__xludf.DUMMYFUNCTION("""COMPUTED_VALUE"""),"Coding Style")</f>
        <v>Coding Style</v>
      </c>
      <c r="B1623" s="6" t="str">
        <f ca="1">IFERROR(__xludf.DUMMYFUNCTION("""COMPUTED_VALUE"""),"Coding Style")</f>
        <v>Coding Style</v>
      </c>
      <c r="H1623" s="6">
        <f ca="1"/>
        <v>0</v>
      </c>
      <c r="I1623" s="6">
        <f ca="1"/>
        <v>0</v>
      </c>
      <c r="J1623" s="6">
        <f ca="1"/>
        <v>0</v>
      </c>
    </row>
    <row r="1624" spans="1:10" ht="13" x14ac:dyDescent="0.15">
      <c r="A1624" s="6" t="str">
        <f ca="1">IFERROR(__xludf.DUMMYFUNCTION("""COMPUTED_VALUE"""),"Documentation")</f>
        <v>Documentation</v>
      </c>
      <c r="B1624" s="6" t="str">
        <f ca="1">IFERROR(__xludf.DUMMYFUNCTION("""COMPUTED_VALUE"""),"Documentation")</f>
        <v>Documentation</v>
      </c>
      <c r="H1624" s="6">
        <f ca="1"/>
        <v>0</v>
      </c>
      <c r="I1624" s="6">
        <f ca="1"/>
        <v>0</v>
      </c>
      <c r="J1624" s="6">
        <f ca="1"/>
        <v>0</v>
      </c>
    </row>
    <row r="1625" spans="1:10" ht="13" x14ac:dyDescent="0.15">
      <c r="A1625" s="6" t="str">
        <f ca="1">IFERROR(__xludf.DUMMYFUNCTION("""COMPUTED_VALUE"""),"Documentation")</f>
        <v>Documentation</v>
      </c>
      <c r="B1625" s="6" t="str">
        <f ca="1">IFERROR(__xludf.DUMMYFUNCTION("""COMPUTED_VALUE"""),"Documentation")</f>
        <v>Documentation</v>
      </c>
      <c r="H1625" s="6">
        <f ca="1"/>
        <v>0</v>
      </c>
      <c r="I1625" s="6">
        <f ca="1"/>
        <v>0</v>
      </c>
      <c r="J1625" s="6">
        <f ca="1"/>
        <v>0</v>
      </c>
    </row>
    <row r="1626" spans="1:10" ht="13" x14ac:dyDescent="0.15">
      <c r="A1626" s="6" t="str">
        <f ca="1">IFERROR(__xludf.DUMMYFUNCTION("""COMPUTED_VALUE"""),"Documentation")</f>
        <v>Documentation</v>
      </c>
      <c r="B1626" s="6" t="str">
        <f ca="1">IFERROR(__xludf.DUMMYFUNCTION("""COMPUTED_VALUE"""),"Documentation")</f>
        <v>Documentation</v>
      </c>
      <c r="H1626" s="6">
        <f ca="1"/>
        <v>0</v>
      </c>
      <c r="I1626" s="6">
        <f ca="1"/>
        <v>0</v>
      </c>
      <c r="J1626" s="6">
        <f ca="1"/>
        <v>0</v>
      </c>
    </row>
    <row r="1627" spans="1:10" ht="13" x14ac:dyDescent="0.15">
      <c r="A1627" s="6" t="str">
        <f ca="1">IFERROR(__xludf.DUMMYFUNCTION("""COMPUTED_VALUE"""),"Testing")</f>
        <v>Testing</v>
      </c>
      <c r="B1627" s="6" t="str">
        <f ca="1">IFERROR(__xludf.DUMMYFUNCTION("""COMPUTED_VALUE"""),"Testing")</f>
        <v>Testing</v>
      </c>
      <c r="H1627" s="6">
        <f ca="1"/>
        <v>0</v>
      </c>
      <c r="I1627" s="6">
        <f ca="1"/>
        <v>0</v>
      </c>
      <c r="J1627" s="6">
        <f ca="1"/>
        <v>0</v>
      </c>
    </row>
    <row r="1628" spans="1:10" ht="13" x14ac:dyDescent="0.15">
      <c r="A1628" s="6" t="str">
        <f ca="1">IFERROR(__xludf.DUMMYFUNCTION("""COMPUTED_VALUE"""),"Coding Style")</f>
        <v>Coding Style</v>
      </c>
      <c r="B1628" s="6" t="str">
        <f ca="1">IFERROR(__xludf.DUMMYFUNCTION("""COMPUTED_VALUE"""),"Coding Style")</f>
        <v>Coding Style</v>
      </c>
      <c r="H1628" s="6">
        <f ca="1"/>
        <v>0</v>
      </c>
      <c r="I1628" s="6">
        <f ca="1"/>
        <v>0</v>
      </c>
      <c r="J1628" s="6">
        <f ca="1"/>
        <v>0</v>
      </c>
    </row>
    <row r="1629" spans="1:10" ht="13" x14ac:dyDescent="0.15">
      <c r="A1629" s="6" t="str">
        <f ca="1">IFERROR(__xludf.DUMMYFUNCTION("""COMPUTED_VALUE"""),"Commit&amp;PR rule")</f>
        <v>Commit&amp;PR rule</v>
      </c>
      <c r="B1629" s="6" t="str">
        <f ca="1">IFERROR(__xludf.DUMMYFUNCTION("""COMPUTED_VALUE"""),"Commit&amp;PR rule")</f>
        <v>Commit&amp;PR rule</v>
      </c>
      <c r="H1629" s="6">
        <f ca="1"/>
        <v>0</v>
      </c>
      <c r="I1629" s="6">
        <f ca="1"/>
        <v>0</v>
      </c>
      <c r="J1629" s="6">
        <f ca="1"/>
        <v>0</v>
      </c>
    </row>
    <row r="1630" spans="1:10" ht="13" x14ac:dyDescent="0.15">
      <c r="A1630" s="6" t="str">
        <f ca="1">IFERROR(__xludf.DUMMYFUNCTION("""COMPUTED_VALUE"""),"Coding Pattern")</f>
        <v>Coding Pattern</v>
      </c>
      <c r="B1630" s="6" t="str">
        <f ca="1">IFERROR(__xludf.DUMMYFUNCTION("""COMPUTED_VALUE"""),"Coding Pattern")</f>
        <v>Coding Pattern</v>
      </c>
      <c r="H1630" s="6">
        <f ca="1"/>
        <v>0</v>
      </c>
      <c r="I1630" s="6">
        <f ca="1"/>
        <v>0</v>
      </c>
      <c r="J1630" s="6">
        <f ca="1"/>
        <v>0</v>
      </c>
    </row>
    <row r="1631" spans="1:10" ht="13" x14ac:dyDescent="0.15">
      <c r="A1631" s="6" t="str">
        <f ca="1">IFERROR(__xludf.DUMMYFUNCTION("""COMPUTED_VALUE"""),"Commit&amp;PR rule")</f>
        <v>Commit&amp;PR rule</v>
      </c>
      <c r="B1631" s="6" t="str">
        <f ca="1">IFERROR(__xludf.DUMMYFUNCTION("""COMPUTED_VALUE"""),"Writing Style Preference")</f>
        <v>Writing Style Preference</v>
      </c>
      <c r="H1631" s="6">
        <f ca="1"/>
        <v>0</v>
      </c>
      <c r="I1631" s="6">
        <f ca="1"/>
        <v>0</v>
      </c>
      <c r="J1631" s="6">
        <f ca="1"/>
        <v>0</v>
      </c>
    </row>
    <row r="1632" spans="1:10" ht="13" x14ac:dyDescent="0.15">
      <c r="A1632" s="6" t="str">
        <f ca="1">IFERROR(__xludf.DUMMYFUNCTION("""COMPUTED_VALUE"""),"Commit&amp;PR rule")</f>
        <v>Commit&amp;PR rule</v>
      </c>
      <c r="B1632" s="6" t="str">
        <f ca="1">IFERROR(__xludf.DUMMYFUNCTION("""COMPUTED_VALUE"""),"Commit&amp;PR rule")</f>
        <v>Commit&amp;PR rule</v>
      </c>
      <c r="H1632" s="6">
        <f ca="1"/>
        <v>0</v>
      </c>
      <c r="I1632" s="6">
        <f ca="1"/>
        <v>0</v>
      </c>
      <c r="J1632" s="6">
        <f ca="1"/>
        <v>0</v>
      </c>
    </row>
    <row r="1633" spans="1:10" ht="13" x14ac:dyDescent="0.15">
      <c r="A1633" s="6" t="str">
        <f ca="1">IFERROR(__xludf.DUMMYFUNCTION("""COMPUTED_VALUE"""),"Testing")</f>
        <v>Testing</v>
      </c>
      <c r="B1633" s="6" t="str">
        <f ca="1">IFERROR(__xludf.DUMMYFUNCTION("""COMPUTED_VALUE"""),"Testing")</f>
        <v>Testing</v>
      </c>
      <c r="H1633" s="6">
        <f ca="1"/>
        <v>0</v>
      </c>
      <c r="I1633" s="6">
        <f ca="1"/>
        <v>0</v>
      </c>
      <c r="J1633" s="6">
        <f ca="1"/>
        <v>0</v>
      </c>
    </row>
    <row r="1634" spans="1:10" ht="13" x14ac:dyDescent="0.15">
      <c r="A1634" s="6" t="str">
        <f ca="1">IFERROR(__xludf.DUMMYFUNCTION("""COMPUTED_VALUE"""),"Task Execution")</f>
        <v>Task Execution</v>
      </c>
      <c r="B1634" s="6" t="str">
        <f ca="1">IFERROR(__xludf.DUMMYFUNCTION("""COMPUTED_VALUE"""),"Build &amp; Operation")</f>
        <v>Build &amp; Operation</v>
      </c>
      <c r="H1634" s="6">
        <f ca="1"/>
        <v>0</v>
      </c>
      <c r="I1634" s="6">
        <f ca="1"/>
        <v>0</v>
      </c>
      <c r="J1634" s="6">
        <f ca="1"/>
        <v>0</v>
      </c>
    </row>
    <row r="1635" spans="1:10" ht="13" x14ac:dyDescent="0.15">
      <c r="A1635" s="6" t="str">
        <f ca="1">IFERROR(__xludf.DUMMYFUNCTION("""COMPUTED_VALUE"""),"Testing")</f>
        <v>Testing</v>
      </c>
      <c r="B1635" s="6" t="str">
        <f ca="1">IFERROR(__xludf.DUMMYFUNCTION("""COMPUTED_VALUE"""),"Testing")</f>
        <v>Testing</v>
      </c>
      <c r="H1635" s="6">
        <f ca="1"/>
        <v>0</v>
      </c>
      <c r="I1635" s="6">
        <f ca="1"/>
        <v>0</v>
      </c>
      <c r="J1635" s="6">
        <f ca="1"/>
        <v>0</v>
      </c>
    </row>
    <row r="1636" spans="1:10" ht="13" x14ac:dyDescent="0.15">
      <c r="A1636" s="6" t="str">
        <f ca="1">IFERROR(__xludf.DUMMYFUNCTION("""COMPUTED_VALUE"""),"Coding Style")</f>
        <v>Coding Style</v>
      </c>
      <c r="B1636" s="6" t="str">
        <f ca="1">IFERROR(__xludf.DUMMYFUNCTION("""COMPUTED_VALUE"""),"Coding Style")</f>
        <v>Coding Style</v>
      </c>
      <c r="H1636" s="6">
        <f ca="1"/>
        <v>0</v>
      </c>
      <c r="I1636" s="6">
        <f ca="1"/>
        <v>0</v>
      </c>
      <c r="J1636" s="6">
        <f ca="1"/>
        <v>0</v>
      </c>
    </row>
    <row r="1637" spans="1:10" ht="13" x14ac:dyDescent="0.15">
      <c r="A1637" s="6" t="str">
        <f ca="1">IFERROR(__xludf.DUMMYFUNCTION("""COMPUTED_VALUE"""),"Commit&amp;PR rule")</f>
        <v>Commit&amp;PR rule</v>
      </c>
      <c r="B1637" s="6" t="str">
        <f ca="1">IFERROR(__xludf.DUMMYFUNCTION("""COMPUTED_VALUE"""),"Commit&amp;PR rule")</f>
        <v>Commit&amp;PR rule</v>
      </c>
      <c r="H1637" s="6">
        <f ca="1"/>
        <v>0</v>
      </c>
      <c r="I1637" s="6">
        <f ca="1"/>
        <v>0</v>
      </c>
      <c r="J1637" s="6">
        <f ca="1"/>
        <v>0</v>
      </c>
    </row>
    <row r="1638" spans="1:10" ht="13" x14ac:dyDescent="0.15">
      <c r="A1638" s="6" t="str">
        <f ca="1">IFERROR(__xludf.DUMMYFUNCTION("""COMPUTED_VALUE"""),"Task Execution")</f>
        <v>Task Execution</v>
      </c>
      <c r="B1638" s="6" t="str">
        <f ca="1">IFERROR(__xludf.DUMMYFUNCTION("""COMPUTED_VALUE"""),"Task Execution")</f>
        <v>Task Execution</v>
      </c>
      <c r="H1638" s="6">
        <f ca="1"/>
        <v>0</v>
      </c>
      <c r="I1638" s="6">
        <f ca="1"/>
        <v>0</v>
      </c>
      <c r="J1638" s="6">
        <f ca="1"/>
        <v>0</v>
      </c>
    </row>
    <row r="1639" spans="1:10" ht="13" x14ac:dyDescent="0.15">
      <c r="A1639" s="6" t="str">
        <f ca="1">IFERROR(__xludf.DUMMYFUNCTION("""COMPUTED_VALUE"""),"Task Execution")</f>
        <v>Task Execution</v>
      </c>
      <c r="B1639" s="6" t="str">
        <f ca="1">IFERROR(__xludf.DUMMYFUNCTION("""COMPUTED_VALUE"""),"Task Execution")</f>
        <v>Task Execution</v>
      </c>
      <c r="H1639" s="6">
        <f ca="1"/>
        <v>0</v>
      </c>
      <c r="I1639" s="6">
        <f ca="1"/>
        <v>0</v>
      </c>
      <c r="J1639" s="6">
        <f ca="1"/>
        <v>0</v>
      </c>
    </row>
    <row r="1640" spans="1:10" ht="13" x14ac:dyDescent="0.15">
      <c r="A1640" s="6" t="str">
        <f ca="1">IFERROR(__xludf.DUMMYFUNCTION("""COMPUTED_VALUE"""),"Coding Pattern")</f>
        <v>Coding Pattern</v>
      </c>
      <c r="B1640" s="6" t="str">
        <f ca="1">IFERROR(__xludf.DUMMYFUNCTION("""COMPUTED_VALUE"""),"Coding Pattern")</f>
        <v>Coding Pattern</v>
      </c>
      <c r="H1640" s="6">
        <f ca="1"/>
        <v>0</v>
      </c>
      <c r="I1640" s="6">
        <f ca="1"/>
        <v>0</v>
      </c>
      <c r="J1640" s="6">
        <f ca="1"/>
        <v>0</v>
      </c>
    </row>
    <row r="1641" spans="1:10" ht="13" x14ac:dyDescent="0.15">
      <c r="A1641" s="6" t="str">
        <f ca="1">IFERROR(__xludf.DUMMYFUNCTION("""COMPUTED_VALUE"""),"Build &amp; Operation")</f>
        <v>Build &amp; Operation</v>
      </c>
      <c r="B1641" s="6" t="str">
        <f ca="1">IFERROR(__xludf.DUMMYFUNCTION("""COMPUTED_VALUE"""),"Build &amp; Operation")</f>
        <v>Build &amp; Operation</v>
      </c>
      <c r="H1641" s="6">
        <f ca="1"/>
        <v>0</v>
      </c>
      <c r="I1641" s="6">
        <f ca="1"/>
        <v>0</v>
      </c>
      <c r="J1641" s="6">
        <f ca="1"/>
        <v>0</v>
      </c>
    </row>
    <row r="1642" spans="1:10" ht="13" x14ac:dyDescent="0.15">
      <c r="A1642" s="6" t="str">
        <f ca="1">IFERROR(__xludf.DUMMYFUNCTION("""COMPUTED_VALUE"""),"Task Execution")</f>
        <v>Task Execution</v>
      </c>
      <c r="B1642" s="6" t="str">
        <f ca="1">IFERROR(__xludf.DUMMYFUNCTION("""COMPUTED_VALUE"""),"Task Execution")</f>
        <v>Task Execution</v>
      </c>
      <c r="H1642" s="6">
        <f ca="1"/>
        <v>0</v>
      </c>
      <c r="I1642" s="6">
        <f ca="1"/>
        <v>0</v>
      </c>
      <c r="J1642" s="6">
        <f ca="1"/>
        <v>0</v>
      </c>
    </row>
    <row r="1643" spans="1:10" ht="13" x14ac:dyDescent="0.15">
      <c r="A1643" s="6" t="str">
        <f ca="1">IFERROR(__xludf.DUMMYFUNCTION("""COMPUTED_VALUE"""),"Task Execution")</f>
        <v>Task Execution</v>
      </c>
      <c r="B1643" s="6" t="str">
        <f ca="1">IFERROR(__xludf.DUMMYFUNCTION("""COMPUTED_VALUE"""),"Task Execution")</f>
        <v>Task Execution</v>
      </c>
      <c r="H1643" s="6">
        <f ca="1"/>
        <v>0</v>
      </c>
      <c r="I1643" s="6">
        <f ca="1"/>
        <v>0</v>
      </c>
      <c r="J1643" s="6">
        <f ca="1"/>
        <v>0</v>
      </c>
    </row>
    <row r="1644" spans="1:10" ht="13" x14ac:dyDescent="0.15">
      <c r="A1644" s="6" t="str">
        <f ca="1">IFERROR(__xludf.DUMMYFUNCTION("""COMPUTED_VALUE"""),"Commit&amp;PR rule")</f>
        <v>Commit&amp;PR rule</v>
      </c>
      <c r="B1644" s="6" t="str">
        <f ca="1">IFERROR(__xludf.DUMMYFUNCTION("""COMPUTED_VALUE"""),"Writing Style Preference")</f>
        <v>Writing Style Preference</v>
      </c>
      <c r="H1644" s="6">
        <f ca="1"/>
        <v>0</v>
      </c>
      <c r="I1644" s="6">
        <f ca="1"/>
        <v>0</v>
      </c>
      <c r="J1644" s="6">
        <f ca="1"/>
        <v>0</v>
      </c>
    </row>
    <row r="1645" spans="1:10" ht="13" x14ac:dyDescent="0.15">
      <c r="A1645" s="6" t="str">
        <f ca="1">IFERROR(__xludf.DUMMYFUNCTION("""COMPUTED_VALUE"""),"Coding Style")</f>
        <v>Coding Style</v>
      </c>
      <c r="B1645" s="6" t="str">
        <f ca="1">IFERROR(__xludf.DUMMYFUNCTION("""COMPUTED_VALUE"""),"Coding Pattern")</f>
        <v>Coding Pattern</v>
      </c>
      <c r="H1645" s="6">
        <f ca="1"/>
        <v>0</v>
      </c>
      <c r="I1645" s="6">
        <f ca="1"/>
        <v>0</v>
      </c>
      <c r="J1645" s="6">
        <f ca="1"/>
        <v>0</v>
      </c>
    </row>
    <row r="1646" spans="1:10" ht="13" x14ac:dyDescent="0.15">
      <c r="A1646" s="6" t="str">
        <f ca="1">IFERROR(__xludf.DUMMYFUNCTION("""COMPUTED_VALUE"""),"Coding Style")</f>
        <v>Coding Style</v>
      </c>
      <c r="B1646" s="6" t="str">
        <f ca="1">IFERROR(__xludf.DUMMYFUNCTION("""COMPUTED_VALUE"""),"Coding Style")</f>
        <v>Coding Style</v>
      </c>
      <c r="H1646" s="6">
        <f ca="1"/>
        <v>0</v>
      </c>
      <c r="I1646" s="6">
        <f ca="1"/>
        <v>0</v>
      </c>
      <c r="J1646" s="6">
        <f ca="1"/>
        <v>0</v>
      </c>
    </row>
    <row r="1647" spans="1:10" ht="13" x14ac:dyDescent="0.15">
      <c r="A1647" s="6" t="str">
        <f ca="1">IFERROR(__xludf.DUMMYFUNCTION("""COMPUTED_VALUE"""),"Build &amp; Operation")</f>
        <v>Build &amp; Operation</v>
      </c>
      <c r="B1647" s="6" t="str">
        <f ca="1">IFERROR(__xludf.DUMMYFUNCTION("""COMPUTED_VALUE"""),"Build &amp; Operation")</f>
        <v>Build &amp; Operation</v>
      </c>
      <c r="H1647" s="6">
        <f ca="1"/>
        <v>0</v>
      </c>
      <c r="I1647" s="6">
        <f ca="1"/>
        <v>0</v>
      </c>
      <c r="J1647" s="6">
        <f ca="1"/>
        <v>0</v>
      </c>
    </row>
    <row r="1648" spans="1:10" ht="13" x14ac:dyDescent="0.15">
      <c r="A1648" s="6" t="str">
        <f ca="1">IFERROR(__xludf.DUMMYFUNCTION("""COMPUTED_VALUE"""),"Build &amp; Operation")</f>
        <v>Build &amp; Operation</v>
      </c>
      <c r="B1648" s="6" t="str">
        <f ca="1">IFERROR(__xludf.DUMMYFUNCTION("""COMPUTED_VALUE"""),"Build &amp; Operation")</f>
        <v>Build &amp; Operation</v>
      </c>
      <c r="H1648" s="6">
        <f ca="1"/>
        <v>0</v>
      </c>
      <c r="I1648" s="6">
        <f ca="1"/>
        <v>0</v>
      </c>
      <c r="J1648" s="6">
        <f ca="1"/>
        <v>0</v>
      </c>
    </row>
    <row r="1649" spans="1:10" ht="13" x14ac:dyDescent="0.15">
      <c r="A1649" s="6" t="str">
        <f ca="1">IFERROR(__xludf.DUMMYFUNCTION("""COMPUTED_VALUE"""),"Coding Style")</f>
        <v>Coding Style</v>
      </c>
      <c r="B1649" s="6" t="str">
        <f ca="1">IFERROR(__xludf.DUMMYFUNCTION("""COMPUTED_VALUE"""),"Coding Style")</f>
        <v>Coding Style</v>
      </c>
      <c r="H1649" s="6">
        <f ca="1"/>
        <v>0</v>
      </c>
      <c r="I1649" s="6">
        <f ca="1"/>
        <v>0</v>
      </c>
      <c r="J1649" s="6">
        <f ca="1"/>
        <v>0</v>
      </c>
    </row>
    <row r="1650" spans="1:10" ht="13" x14ac:dyDescent="0.15">
      <c r="A1650" s="6" t="str">
        <f ca="1">IFERROR(__xludf.DUMMYFUNCTION("""COMPUTED_VALUE"""),"Code Review")</f>
        <v>Code Review</v>
      </c>
      <c r="B1650" s="6" t="str">
        <f ca="1">IFERROR(__xludf.DUMMYFUNCTION("""COMPUTED_VALUE"""),"Code Review")</f>
        <v>Code Review</v>
      </c>
      <c r="H1650" s="6">
        <f ca="1"/>
        <v>0</v>
      </c>
      <c r="I1650" s="6">
        <f ca="1"/>
        <v>0</v>
      </c>
      <c r="J1650" s="6">
        <f ca="1"/>
        <v>0</v>
      </c>
    </row>
    <row r="1651" spans="1:10" ht="13" x14ac:dyDescent="0.15">
      <c r="A1651" s="6" t="str">
        <f ca="1">IFERROR(__xludf.DUMMYFUNCTION("""COMPUTED_VALUE"""),"Task Execution")</f>
        <v>Task Execution</v>
      </c>
      <c r="B1651" s="6" t="str">
        <f ca="1">IFERROR(__xludf.DUMMYFUNCTION("""COMPUTED_VALUE"""),"Code Review")</f>
        <v>Code Review</v>
      </c>
      <c r="H1651" s="6">
        <f ca="1"/>
        <v>0</v>
      </c>
      <c r="I1651" s="6">
        <f ca="1"/>
        <v>0</v>
      </c>
      <c r="J1651" s="6">
        <f ca="1"/>
        <v>0</v>
      </c>
    </row>
    <row r="1652" spans="1:10" ht="13" x14ac:dyDescent="0.15">
      <c r="A1652" s="6" t="str">
        <f ca="1">IFERROR(__xludf.DUMMYFUNCTION("""COMPUTED_VALUE"""),"Documentation")</f>
        <v>Documentation</v>
      </c>
      <c r="B1652" s="6" t="str">
        <f ca="1">IFERROR(__xludf.DUMMYFUNCTION("""COMPUTED_VALUE"""),"Documentation")</f>
        <v>Documentation</v>
      </c>
      <c r="H1652" s="6">
        <f ca="1"/>
        <v>0</v>
      </c>
      <c r="I1652" s="6">
        <f ca="1"/>
        <v>0</v>
      </c>
      <c r="J1652" s="6">
        <f ca="1"/>
        <v>0</v>
      </c>
    </row>
    <row r="1653" spans="1:10" ht="13" x14ac:dyDescent="0.15">
      <c r="A1653" s="6" t="str">
        <f ca="1">IFERROR(__xludf.DUMMYFUNCTION("""COMPUTED_VALUE"""),"Task Execution")</f>
        <v>Task Execution</v>
      </c>
      <c r="B1653" s="6" t="str">
        <f ca="1">IFERROR(__xludf.DUMMYFUNCTION("""COMPUTED_VALUE"""),"Task Execution")</f>
        <v>Task Execution</v>
      </c>
      <c r="H1653" s="6">
        <f ca="1"/>
        <v>0</v>
      </c>
      <c r="I1653" s="6">
        <f ca="1"/>
        <v>0</v>
      </c>
      <c r="J1653" s="6">
        <f ca="1"/>
        <v>0</v>
      </c>
    </row>
    <row r="1654" spans="1:10" ht="13" x14ac:dyDescent="0.15">
      <c r="A1654" s="6" t="str">
        <f ca="1">IFERROR(__xludf.DUMMYFUNCTION("""COMPUTED_VALUE"""),"Testing")</f>
        <v>Testing</v>
      </c>
      <c r="B1654" s="6" t="str">
        <f ca="1">IFERROR(__xludf.DUMMYFUNCTION("""COMPUTED_VALUE"""),"Testing")</f>
        <v>Testing</v>
      </c>
      <c r="H1654" s="6">
        <f ca="1"/>
        <v>0</v>
      </c>
      <c r="I1654" s="6">
        <f ca="1"/>
        <v>0</v>
      </c>
      <c r="J1654" s="6">
        <f ca="1"/>
        <v>0</v>
      </c>
    </row>
    <row r="1655" spans="1:10" ht="13" x14ac:dyDescent="0.15">
      <c r="A1655" s="6" t="str">
        <f ca="1">IFERROR(__xludf.DUMMYFUNCTION("""COMPUTED_VALUE"""),"Commit&amp;PR rule")</f>
        <v>Commit&amp;PR rule</v>
      </c>
      <c r="B1655" s="6" t="str">
        <f ca="1">IFERROR(__xludf.DUMMYFUNCTION("""COMPUTED_VALUE"""),"Commit&amp;PR rule")</f>
        <v>Commit&amp;PR rule</v>
      </c>
      <c r="H1655" s="6">
        <f ca="1"/>
        <v>0</v>
      </c>
      <c r="I1655" s="6">
        <f ca="1"/>
        <v>0</v>
      </c>
      <c r="J1655" s="6">
        <f ca="1"/>
        <v>0</v>
      </c>
    </row>
    <row r="1656" spans="1:10" ht="13" x14ac:dyDescent="0.15">
      <c r="A1656" s="6" t="str">
        <f ca="1">IFERROR(__xludf.DUMMYFUNCTION("""COMPUTED_VALUE"""),"Build &amp; Operation")</f>
        <v>Build &amp; Operation</v>
      </c>
      <c r="B1656" s="6" t="str">
        <f ca="1">IFERROR(__xludf.DUMMYFUNCTION("""COMPUTED_VALUE"""),"Build &amp; Operation")</f>
        <v>Build &amp; Operation</v>
      </c>
      <c r="H1656" s="6">
        <f ca="1"/>
        <v>0</v>
      </c>
      <c r="I1656" s="6">
        <f ca="1"/>
        <v>0</v>
      </c>
      <c r="J1656" s="6">
        <f ca="1"/>
        <v>0</v>
      </c>
    </row>
    <row r="1657" spans="1:10" ht="13" x14ac:dyDescent="0.15">
      <c r="A1657" s="6" t="str">
        <f ca="1">IFERROR(__xludf.DUMMYFUNCTION("""COMPUTED_VALUE"""),"Build &amp; Operation")</f>
        <v>Build &amp; Operation</v>
      </c>
      <c r="B1657" s="6" t="str">
        <f ca="1">IFERROR(__xludf.DUMMYFUNCTION("""COMPUTED_VALUE"""),"Build &amp; Operation")</f>
        <v>Build &amp; Operation</v>
      </c>
      <c r="H1657" s="6">
        <f ca="1"/>
        <v>0</v>
      </c>
      <c r="I1657" s="6">
        <f ca="1"/>
        <v>0</v>
      </c>
      <c r="J1657" s="6">
        <f ca="1"/>
        <v>0</v>
      </c>
    </row>
    <row r="1658" spans="1:10" ht="13" x14ac:dyDescent="0.15">
      <c r="A1658" s="6" t="str">
        <f ca="1">IFERROR(__xludf.DUMMYFUNCTION("""COMPUTED_VALUE"""),"Coding Pattern")</f>
        <v>Coding Pattern</v>
      </c>
      <c r="B1658" s="6" t="str">
        <f ca="1">IFERROR(__xludf.DUMMYFUNCTION("""COMPUTED_VALUE"""),"Coding Pattern")</f>
        <v>Coding Pattern</v>
      </c>
      <c r="H1658" s="6">
        <f ca="1"/>
        <v>0</v>
      </c>
      <c r="I1658" s="6">
        <f ca="1"/>
        <v>0</v>
      </c>
      <c r="J1658" s="6">
        <f ca="1"/>
        <v>0</v>
      </c>
    </row>
    <row r="1659" spans="1:10" ht="13" x14ac:dyDescent="0.15">
      <c r="A1659" s="6" t="str">
        <f ca="1">IFERROR(__xludf.DUMMYFUNCTION("""COMPUTED_VALUE"""),"Coding Pattern")</f>
        <v>Coding Pattern</v>
      </c>
      <c r="B1659" s="6" t="str">
        <f ca="1">IFERROR(__xludf.DUMMYFUNCTION("""COMPUTED_VALUE"""),"Coding Pattern")</f>
        <v>Coding Pattern</v>
      </c>
      <c r="H1659" s="6">
        <f ca="1"/>
        <v>0</v>
      </c>
      <c r="I1659" s="6">
        <f ca="1"/>
        <v>0</v>
      </c>
      <c r="J1659" s="6">
        <f ca="1"/>
        <v>0</v>
      </c>
    </row>
    <row r="1660" spans="1:10" ht="13" x14ac:dyDescent="0.15">
      <c r="A1660" s="6" t="str">
        <f ca="1">IFERROR(__xludf.DUMMYFUNCTION("""COMPUTED_VALUE"""),"Coding Pattern")</f>
        <v>Coding Pattern</v>
      </c>
      <c r="B1660" s="6" t="str">
        <f ca="1">IFERROR(__xludf.DUMMYFUNCTION("""COMPUTED_VALUE"""),"Coding Style")</f>
        <v>Coding Style</v>
      </c>
      <c r="H1660" s="6">
        <f ca="1"/>
        <v>0</v>
      </c>
      <c r="I1660" s="6">
        <f ca="1"/>
        <v>0</v>
      </c>
      <c r="J1660" s="6">
        <f ca="1"/>
        <v>0</v>
      </c>
    </row>
    <row r="1661" spans="1:10" ht="13" x14ac:dyDescent="0.15">
      <c r="A1661" s="6" t="str">
        <f ca="1">IFERROR(__xludf.DUMMYFUNCTION("""COMPUTED_VALUE"""),"Testing")</f>
        <v>Testing</v>
      </c>
      <c r="B1661" s="6" t="str">
        <f ca="1">IFERROR(__xludf.DUMMYFUNCTION("""COMPUTED_VALUE"""),"Testing")</f>
        <v>Testing</v>
      </c>
      <c r="H1661" s="6">
        <f ca="1"/>
        <v>0</v>
      </c>
      <c r="I1661" s="6">
        <f ca="1"/>
        <v>0</v>
      </c>
      <c r="J1661" s="6">
        <f ca="1"/>
        <v>0</v>
      </c>
    </row>
    <row r="1662" spans="1:10" ht="13" x14ac:dyDescent="0.15">
      <c r="A1662" s="6" t="str">
        <f ca="1">IFERROR(__xludf.DUMMYFUNCTION("""COMPUTED_VALUE"""),"Commit&amp;PR rule")</f>
        <v>Commit&amp;PR rule</v>
      </c>
      <c r="B1662" s="6" t="str">
        <f ca="1">IFERROR(__xludf.DUMMYFUNCTION("""COMPUTED_VALUE"""),"Commit&amp;PR rule")</f>
        <v>Commit&amp;PR rule</v>
      </c>
      <c r="H1662" s="6">
        <f ca="1"/>
        <v>0</v>
      </c>
      <c r="I1662" s="6">
        <f ca="1"/>
        <v>0</v>
      </c>
      <c r="J1662" s="6">
        <f ca="1"/>
        <v>0</v>
      </c>
    </row>
    <row r="1663" spans="1:10" ht="13" x14ac:dyDescent="0.15">
      <c r="A1663" s="6" t="str">
        <f ca="1">IFERROR(__xludf.DUMMYFUNCTION("""COMPUTED_VALUE"""),"Coding Pattern")</f>
        <v>Coding Pattern</v>
      </c>
      <c r="B1663" s="6" t="str">
        <f ca="1">IFERROR(__xludf.DUMMYFUNCTION("""COMPUTED_VALUE"""),"Coding Pattern")</f>
        <v>Coding Pattern</v>
      </c>
      <c r="H1663" s="6">
        <f ca="1"/>
        <v>0</v>
      </c>
      <c r="I1663" s="6">
        <f ca="1"/>
        <v>0</v>
      </c>
      <c r="J1663" s="6">
        <f ca="1"/>
        <v>0</v>
      </c>
    </row>
    <row r="1664" spans="1:10" ht="13" x14ac:dyDescent="0.15">
      <c r="A1664" s="6" t="str">
        <f ca="1">IFERROR(__xludf.DUMMYFUNCTION("""COMPUTED_VALUE"""),"Coding Pattern")</f>
        <v>Coding Pattern</v>
      </c>
      <c r="B1664" s="6" t="str">
        <f ca="1">IFERROR(__xludf.DUMMYFUNCTION("""COMPUTED_VALUE"""),"Testing")</f>
        <v>Testing</v>
      </c>
      <c r="H1664" s="6">
        <f ca="1"/>
        <v>0</v>
      </c>
      <c r="I1664" s="6">
        <f ca="1"/>
        <v>0</v>
      </c>
      <c r="J1664" s="6">
        <f ca="1"/>
        <v>0</v>
      </c>
    </row>
    <row r="1665" spans="1:10" ht="13" x14ac:dyDescent="0.15">
      <c r="A1665" s="6" t="str">
        <f ca="1">IFERROR(__xludf.DUMMYFUNCTION("""COMPUTED_VALUE"""),"Build &amp; Operation")</f>
        <v>Build &amp; Operation</v>
      </c>
      <c r="B1665" s="6" t="str">
        <f ca="1">IFERROR(__xludf.DUMMYFUNCTION("""COMPUTED_VALUE"""),"Build &amp; Operation")</f>
        <v>Build &amp; Operation</v>
      </c>
      <c r="H1665" s="6">
        <f ca="1"/>
        <v>0</v>
      </c>
      <c r="I1665" s="6">
        <f ca="1"/>
        <v>0</v>
      </c>
      <c r="J1665" s="6">
        <f ca="1"/>
        <v>0</v>
      </c>
    </row>
    <row r="1666" spans="1:10" ht="13" x14ac:dyDescent="0.15">
      <c r="A1666" s="6" t="str">
        <f ca="1">IFERROR(__xludf.DUMMYFUNCTION("""COMPUTED_VALUE"""),"Build &amp; Operation")</f>
        <v>Build &amp; Operation</v>
      </c>
      <c r="B1666" s="6" t="str">
        <f ca="1">IFERROR(__xludf.DUMMYFUNCTION("""COMPUTED_VALUE"""),"Build &amp; Operation")</f>
        <v>Build &amp; Operation</v>
      </c>
      <c r="H1666" s="6">
        <f ca="1"/>
        <v>0</v>
      </c>
      <c r="I1666" s="6">
        <f ca="1"/>
        <v>0</v>
      </c>
      <c r="J1666" s="6">
        <f ca="1"/>
        <v>0</v>
      </c>
    </row>
    <row r="1667" spans="1:10" ht="13" x14ac:dyDescent="0.15">
      <c r="A1667" s="6" t="str">
        <f ca="1">IFERROR(__xludf.DUMMYFUNCTION("""COMPUTED_VALUE"""),"Documentation")</f>
        <v>Documentation</v>
      </c>
      <c r="B1667" s="6" t="str">
        <f ca="1">IFERROR(__xludf.DUMMYFUNCTION("""COMPUTED_VALUE"""),"Documentation")</f>
        <v>Documentation</v>
      </c>
      <c r="H1667" s="6">
        <f ca="1"/>
        <v>0</v>
      </c>
      <c r="I1667" s="6">
        <f ca="1"/>
        <v>0</v>
      </c>
      <c r="J1667" s="6">
        <f ca="1"/>
        <v>0</v>
      </c>
    </row>
    <row r="1668" spans="1:10" ht="13" x14ac:dyDescent="0.15">
      <c r="A1668" s="6" t="str">
        <f ca="1">IFERROR(__xludf.DUMMYFUNCTION("""COMPUTED_VALUE"""),"Writing Style Preference")</f>
        <v>Writing Style Preference</v>
      </c>
      <c r="B1668" s="6" t="str">
        <f ca="1">IFERROR(__xludf.DUMMYFUNCTION("""COMPUTED_VALUE"""),"Writing Style Preference")</f>
        <v>Writing Style Preference</v>
      </c>
      <c r="H1668" s="6">
        <f ca="1"/>
        <v>0</v>
      </c>
      <c r="I1668" s="6">
        <f ca="1"/>
        <v>0</v>
      </c>
      <c r="J1668" s="6">
        <f ca="1"/>
        <v>0</v>
      </c>
    </row>
    <row r="1669" spans="1:10" ht="13" x14ac:dyDescent="0.15">
      <c r="A1669" s="6" t="str">
        <f ca="1">IFERROR(__xludf.DUMMYFUNCTION("""COMPUTED_VALUE"""),"Documentation")</f>
        <v>Documentation</v>
      </c>
      <c r="B1669" s="6" t="str">
        <f ca="1">IFERROR(__xludf.DUMMYFUNCTION("""COMPUTED_VALUE"""),"Documentation")</f>
        <v>Documentation</v>
      </c>
      <c r="H1669" s="6">
        <f ca="1"/>
        <v>0</v>
      </c>
      <c r="I1669" s="6">
        <f ca="1"/>
        <v>0</v>
      </c>
      <c r="J1669" s="6">
        <f ca="1"/>
        <v>0</v>
      </c>
    </row>
    <row r="1670" spans="1:10" ht="13" x14ac:dyDescent="0.15">
      <c r="A1670" s="6" t="str">
        <f ca="1">IFERROR(__xludf.DUMMYFUNCTION("""COMPUTED_VALUE"""),"Task Execution")</f>
        <v>Task Execution</v>
      </c>
      <c r="B1670" s="6" t="str">
        <f ca="1">IFERROR(__xludf.DUMMYFUNCTION("""COMPUTED_VALUE"""),"Build &amp; Operation")</f>
        <v>Build &amp; Operation</v>
      </c>
      <c r="H1670" s="6">
        <f ca="1"/>
        <v>0</v>
      </c>
      <c r="I1670" s="6">
        <f ca="1"/>
        <v>0</v>
      </c>
      <c r="J1670" s="6">
        <f ca="1"/>
        <v>0</v>
      </c>
    </row>
    <row r="1671" spans="1:10" ht="13" x14ac:dyDescent="0.15">
      <c r="A1671" s="6" t="str">
        <f ca="1">IFERROR(__xludf.DUMMYFUNCTION("""COMPUTED_VALUE"""),"Task Execution")</f>
        <v>Task Execution</v>
      </c>
      <c r="B1671" s="6" t="str">
        <f ca="1">IFERROR(__xludf.DUMMYFUNCTION("""COMPUTED_VALUE"""),"Coding Pattern")</f>
        <v>Coding Pattern</v>
      </c>
      <c r="H1671" s="6">
        <f ca="1"/>
        <v>0</v>
      </c>
      <c r="I1671" s="6">
        <f ca="1"/>
        <v>0</v>
      </c>
      <c r="J1671" s="6">
        <f ca="1"/>
        <v>0</v>
      </c>
    </row>
    <row r="1672" spans="1:10" ht="13" x14ac:dyDescent="0.15">
      <c r="A1672" s="6" t="str">
        <f ca="1">IFERROR(__xludf.DUMMYFUNCTION("""COMPUTED_VALUE"""),"Task Execution")</f>
        <v>Task Execution</v>
      </c>
      <c r="B1672" s="6" t="str">
        <f ca="1">IFERROR(__xludf.DUMMYFUNCTION("""COMPUTED_VALUE"""),"Task Execution")</f>
        <v>Task Execution</v>
      </c>
      <c r="H1672" s="6">
        <f ca="1"/>
        <v>0</v>
      </c>
      <c r="I1672" s="6">
        <f ca="1"/>
        <v>0</v>
      </c>
      <c r="J1672" s="6">
        <f ca="1"/>
        <v>0</v>
      </c>
    </row>
    <row r="1673" spans="1:10" ht="13" x14ac:dyDescent="0.15">
      <c r="A1673" s="6" t="str">
        <f ca="1">IFERROR(__xludf.DUMMYFUNCTION("""COMPUTED_VALUE"""),"Task Execution")</f>
        <v>Task Execution</v>
      </c>
      <c r="B1673" s="6" t="str">
        <f ca="1">IFERROR(__xludf.DUMMYFUNCTION("""COMPUTED_VALUE"""),"Task Execution")</f>
        <v>Task Execution</v>
      </c>
      <c r="H1673" s="6">
        <f ca="1"/>
        <v>0</v>
      </c>
      <c r="I1673" s="6">
        <f ca="1"/>
        <v>0</v>
      </c>
      <c r="J1673" s="6">
        <f ca="1"/>
        <v>0</v>
      </c>
    </row>
    <row r="1674" spans="1:10" ht="13" x14ac:dyDescent="0.15">
      <c r="A1674" s="6" t="str">
        <f ca="1">IFERROR(__xludf.DUMMYFUNCTION("""COMPUTED_VALUE"""),"Task Execution")</f>
        <v>Task Execution</v>
      </c>
      <c r="B1674" s="6" t="str">
        <f ca="1">IFERROR(__xludf.DUMMYFUNCTION("""COMPUTED_VALUE"""),"Task Execution")</f>
        <v>Task Execution</v>
      </c>
      <c r="H1674" s="6">
        <f ca="1"/>
        <v>0</v>
      </c>
      <c r="I1674" s="6">
        <f ca="1"/>
        <v>0</v>
      </c>
      <c r="J1674" s="6">
        <f ca="1"/>
        <v>0</v>
      </c>
    </row>
    <row r="1675" spans="1:10" ht="13" x14ac:dyDescent="0.15">
      <c r="A1675" s="6" t="str">
        <f ca="1">IFERROR(__xludf.DUMMYFUNCTION("""COMPUTED_VALUE"""),"Task Execution")</f>
        <v>Task Execution</v>
      </c>
      <c r="B1675" s="6" t="str">
        <f ca="1">IFERROR(__xludf.DUMMYFUNCTION("""COMPUTED_VALUE"""),"Build &amp; Operation")</f>
        <v>Build &amp; Operation</v>
      </c>
      <c r="H1675" s="6">
        <f ca="1"/>
        <v>0</v>
      </c>
      <c r="I1675" s="6">
        <f ca="1"/>
        <v>0</v>
      </c>
      <c r="J1675" s="6">
        <f ca="1"/>
        <v>0</v>
      </c>
    </row>
    <row r="1676" spans="1:10" ht="13" x14ac:dyDescent="0.15">
      <c r="A1676" s="6" t="str">
        <f ca="1">IFERROR(__xludf.DUMMYFUNCTION("""COMPUTED_VALUE"""),"Task Execution")</f>
        <v>Task Execution</v>
      </c>
      <c r="B1676" s="6" t="str">
        <f ca="1">IFERROR(__xludf.DUMMYFUNCTION("""COMPUTED_VALUE"""),"Maintainability")</f>
        <v>Maintainability</v>
      </c>
      <c r="H1676" s="6">
        <f ca="1"/>
        <v>0</v>
      </c>
      <c r="I1676" s="6">
        <f ca="1"/>
        <v>0</v>
      </c>
      <c r="J1676" s="6">
        <f ca="1"/>
        <v>0</v>
      </c>
    </row>
    <row r="1677" spans="1:10" ht="13" x14ac:dyDescent="0.15">
      <c r="A1677" s="6" t="str">
        <f ca="1">IFERROR(__xludf.DUMMYFUNCTION("""COMPUTED_VALUE"""),"Coding Pattern")</f>
        <v>Coding Pattern</v>
      </c>
      <c r="B1677" s="6" t="str">
        <f ca="1">IFERROR(__xludf.DUMMYFUNCTION("""COMPUTED_VALUE"""),"Coding Pattern")</f>
        <v>Coding Pattern</v>
      </c>
      <c r="H1677" s="6">
        <f ca="1"/>
        <v>0</v>
      </c>
      <c r="I1677" s="6">
        <f ca="1"/>
        <v>0</v>
      </c>
      <c r="J1677" s="6">
        <f ca="1"/>
        <v>0</v>
      </c>
    </row>
    <row r="1678" spans="1:10" ht="13" x14ac:dyDescent="0.15">
      <c r="A1678" s="6" t="str">
        <f ca="1">IFERROR(__xludf.DUMMYFUNCTION("""COMPUTED_VALUE"""),"Coding Pattern")</f>
        <v>Coding Pattern</v>
      </c>
      <c r="B1678" s="6" t="str">
        <f ca="1">IFERROR(__xludf.DUMMYFUNCTION("""COMPUTED_VALUE"""),"Coding Pattern")</f>
        <v>Coding Pattern</v>
      </c>
      <c r="H1678" s="6">
        <f ca="1"/>
        <v>0</v>
      </c>
      <c r="I1678" s="6">
        <f ca="1"/>
        <v>0</v>
      </c>
      <c r="J1678" s="6">
        <f ca="1"/>
        <v>0</v>
      </c>
    </row>
    <row r="1679" spans="1:10" ht="13" x14ac:dyDescent="0.15">
      <c r="A1679" s="6" t="str">
        <f ca="1">IFERROR(__xludf.DUMMYFUNCTION("""COMPUTED_VALUE"""),"Testing")</f>
        <v>Testing</v>
      </c>
      <c r="B1679" s="6" t="str">
        <f ca="1">IFERROR(__xludf.DUMMYFUNCTION("""COMPUTED_VALUE"""),"Testing")</f>
        <v>Testing</v>
      </c>
      <c r="H1679" s="6">
        <f ca="1"/>
        <v>0</v>
      </c>
      <c r="I1679" s="6">
        <f ca="1"/>
        <v>0</v>
      </c>
      <c r="J1679" s="6">
        <f ca="1"/>
        <v>0</v>
      </c>
    </row>
    <row r="1680" spans="1:10" ht="13" x14ac:dyDescent="0.15">
      <c r="A1680" s="6" t="str">
        <f ca="1">IFERROR(__xludf.DUMMYFUNCTION("""COMPUTED_VALUE"""),"Build &amp; Operation")</f>
        <v>Build &amp; Operation</v>
      </c>
      <c r="B1680" s="6" t="str">
        <f ca="1">IFERROR(__xludf.DUMMYFUNCTION("""COMPUTED_VALUE"""),"Build &amp; Operation")</f>
        <v>Build &amp; Operation</v>
      </c>
      <c r="H1680" s="6">
        <f ca="1"/>
        <v>0</v>
      </c>
      <c r="I1680" s="6">
        <f ca="1"/>
        <v>0</v>
      </c>
      <c r="J1680" s="6">
        <f ca="1"/>
        <v>0</v>
      </c>
    </row>
    <row r="1681" spans="1:10" ht="13" x14ac:dyDescent="0.15">
      <c r="A1681" s="6" t="str">
        <f ca="1">IFERROR(__xludf.DUMMYFUNCTION("""COMPUTED_VALUE"""),"Coding Pattern")</f>
        <v>Coding Pattern</v>
      </c>
      <c r="B1681" s="6" t="str">
        <f ca="1">IFERROR(__xludf.DUMMYFUNCTION("""COMPUTED_VALUE"""),"Coding Pattern")</f>
        <v>Coding Pattern</v>
      </c>
      <c r="H1681" s="6">
        <f ca="1"/>
        <v>0</v>
      </c>
      <c r="I1681" s="6">
        <f ca="1"/>
        <v>0</v>
      </c>
      <c r="J1681" s="6">
        <f ca="1"/>
        <v>0</v>
      </c>
    </row>
    <row r="1682" spans="1:10" ht="13" x14ac:dyDescent="0.15">
      <c r="A1682" s="6" t="str">
        <f ca="1">IFERROR(__xludf.DUMMYFUNCTION("""COMPUTED_VALUE"""),"Coding Pattern")</f>
        <v>Coding Pattern</v>
      </c>
      <c r="B1682" s="6" t="str">
        <f ca="1">IFERROR(__xludf.DUMMYFUNCTION("""COMPUTED_VALUE"""),"Coding Pattern")</f>
        <v>Coding Pattern</v>
      </c>
      <c r="H1682" s="6">
        <f ca="1"/>
        <v>0</v>
      </c>
      <c r="I1682" s="6">
        <f ca="1"/>
        <v>0</v>
      </c>
      <c r="J1682" s="6">
        <f ca="1"/>
        <v>0</v>
      </c>
    </row>
    <row r="1683" spans="1:10" ht="13" x14ac:dyDescent="0.15">
      <c r="A1683" s="6" t="str">
        <f ca="1">IFERROR(__xludf.DUMMYFUNCTION("""COMPUTED_VALUE"""),"Coding Style")</f>
        <v>Coding Style</v>
      </c>
      <c r="B1683" s="6" t="str">
        <f ca="1">IFERROR(__xludf.DUMMYFUNCTION("""COMPUTED_VALUE"""),"Coding Style")</f>
        <v>Coding Style</v>
      </c>
      <c r="H1683" s="6">
        <f ca="1"/>
        <v>0</v>
      </c>
      <c r="I1683" s="6">
        <f ca="1"/>
        <v>0</v>
      </c>
      <c r="J1683" s="6">
        <f ca="1"/>
        <v>0</v>
      </c>
    </row>
    <row r="1684" spans="1:10" ht="13" x14ac:dyDescent="0.15">
      <c r="A1684" s="6" t="str">
        <f ca="1">IFERROR(__xludf.DUMMYFUNCTION("""COMPUTED_VALUE"""),"Commit&amp;PR rule")</f>
        <v>Commit&amp;PR rule</v>
      </c>
      <c r="B1684" s="6" t="str">
        <f ca="1">IFERROR(__xludf.DUMMYFUNCTION("""COMPUTED_VALUE"""),"Commit&amp;PR rule")</f>
        <v>Commit&amp;PR rule</v>
      </c>
      <c r="H1684" s="6">
        <f ca="1"/>
        <v>0</v>
      </c>
      <c r="I1684" s="6">
        <f ca="1"/>
        <v>0</v>
      </c>
      <c r="J1684" s="6">
        <f ca="1"/>
        <v>0</v>
      </c>
    </row>
    <row r="1685" spans="1:10" ht="13" x14ac:dyDescent="0.15">
      <c r="A1685" s="6" t="str">
        <f ca="1">IFERROR(__xludf.DUMMYFUNCTION("""COMPUTED_VALUE"""),"Commit&amp;PR rule")</f>
        <v>Commit&amp;PR rule</v>
      </c>
      <c r="B1685" s="6" t="str">
        <f ca="1">IFERROR(__xludf.DUMMYFUNCTION("""COMPUTED_VALUE"""),"Commit&amp;PR rule")</f>
        <v>Commit&amp;PR rule</v>
      </c>
      <c r="H1685" s="6">
        <f ca="1"/>
        <v>0</v>
      </c>
      <c r="I1685" s="6">
        <f ca="1"/>
        <v>0</v>
      </c>
      <c r="J1685" s="6">
        <f ca="1"/>
        <v>0</v>
      </c>
    </row>
    <row r="1686" spans="1:10" ht="13" x14ac:dyDescent="0.15">
      <c r="A1686" s="6" t="str">
        <f ca="1">IFERROR(__xludf.DUMMYFUNCTION("""COMPUTED_VALUE"""),"Build &amp; Operation")</f>
        <v>Build &amp; Operation</v>
      </c>
      <c r="B1686" s="6" t="str">
        <f ca="1">IFERROR(__xludf.DUMMYFUNCTION("""COMPUTED_VALUE"""),"Build &amp; Operation")</f>
        <v>Build &amp; Operation</v>
      </c>
      <c r="H1686" s="6">
        <f ca="1"/>
        <v>0</v>
      </c>
      <c r="I1686" s="6">
        <f ca="1"/>
        <v>0</v>
      </c>
      <c r="J1686" s="6">
        <f ca="1"/>
        <v>0</v>
      </c>
    </row>
    <row r="1687" spans="1:10" ht="13" x14ac:dyDescent="0.15">
      <c r="A1687" s="6" t="str">
        <f ca="1">IFERROR(__xludf.DUMMYFUNCTION("""COMPUTED_VALUE"""),"Code Review")</f>
        <v>Code Review</v>
      </c>
      <c r="B1687" s="6" t="str">
        <f ca="1">IFERROR(__xludf.DUMMYFUNCTION("""COMPUTED_VALUE"""),"Code Review")</f>
        <v>Code Review</v>
      </c>
      <c r="H1687" s="6">
        <f ca="1"/>
        <v>0</v>
      </c>
      <c r="I1687" s="6">
        <f ca="1"/>
        <v>0</v>
      </c>
      <c r="J1687" s="6">
        <f ca="1"/>
        <v>0</v>
      </c>
    </row>
    <row r="1688" spans="1:10" ht="13" x14ac:dyDescent="0.15">
      <c r="A1688" s="6" t="str">
        <f ca="1">IFERROR(__xludf.DUMMYFUNCTION("""COMPUTED_VALUE"""),"Documentation")</f>
        <v>Documentation</v>
      </c>
      <c r="B1688" s="6" t="str">
        <f ca="1">IFERROR(__xludf.DUMMYFUNCTION("""COMPUTED_VALUE"""),"Documentation")</f>
        <v>Documentation</v>
      </c>
      <c r="H1688" s="6">
        <f ca="1"/>
        <v>0</v>
      </c>
      <c r="I1688" s="6">
        <f ca="1"/>
        <v>0</v>
      </c>
      <c r="J1688" s="6">
        <f ca="1"/>
        <v>0</v>
      </c>
    </row>
    <row r="1689" spans="1:10" ht="13" x14ac:dyDescent="0.15">
      <c r="A1689" s="6" t="str">
        <f ca="1">IFERROR(__xludf.DUMMYFUNCTION("""COMPUTED_VALUE"""),"Coding Pattern")</f>
        <v>Coding Pattern</v>
      </c>
      <c r="B1689" s="6" t="str">
        <f ca="1">IFERROR(__xludf.DUMMYFUNCTION("""COMPUTED_VALUE"""),"Performance")</f>
        <v>Performance</v>
      </c>
      <c r="H1689" s="6">
        <f ca="1"/>
        <v>0</v>
      </c>
      <c r="I1689" s="6">
        <f ca="1"/>
        <v>0</v>
      </c>
      <c r="J1689" s="6">
        <f ca="1"/>
        <v>0</v>
      </c>
    </row>
    <row r="1690" spans="1:10" ht="13" x14ac:dyDescent="0.15">
      <c r="A1690" s="6" t="str">
        <f ca="1">IFERROR(__xludf.DUMMYFUNCTION("""COMPUTED_VALUE"""),"Coding Style")</f>
        <v>Coding Style</v>
      </c>
      <c r="B1690" s="6" t="str">
        <f ca="1">IFERROR(__xludf.DUMMYFUNCTION("""COMPUTED_VALUE"""),"Coding Style")</f>
        <v>Coding Style</v>
      </c>
      <c r="H1690" s="6">
        <f ca="1"/>
        <v>0</v>
      </c>
      <c r="I1690" s="6">
        <f ca="1"/>
        <v>0</v>
      </c>
      <c r="J1690" s="6">
        <f ca="1"/>
        <v>0</v>
      </c>
    </row>
    <row r="1691" spans="1:10" ht="13" x14ac:dyDescent="0.15">
      <c r="A1691" s="6" t="str">
        <f ca="1">IFERROR(__xludf.DUMMYFUNCTION("""COMPUTED_VALUE"""),"Commit&amp;PR rule")</f>
        <v>Commit&amp;PR rule</v>
      </c>
      <c r="B1691" s="6" t="str">
        <f ca="1">IFERROR(__xludf.DUMMYFUNCTION("""COMPUTED_VALUE"""),"Commit&amp;PR rule")</f>
        <v>Commit&amp;PR rule</v>
      </c>
      <c r="H1691" s="6">
        <f ca="1"/>
        <v>0</v>
      </c>
      <c r="I1691" s="6">
        <f ca="1"/>
        <v>0</v>
      </c>
      <c r="J1691" s="6">
        <f ca="1"/>
        <v>0</v>
      </c>
    </row>
    <row r="1692" spans="1:10" ht="13" x14ac:dyDescent="0.15">
      <c r="A1692" s="6" t="str">
        <f ca="1">IFERROR(__xludf.DUMMYFUNCTION("""COMPUTED_VALUE"""),"Coding Pattern")</f>
        <v>Coding Pattern</v>
      </c>
      <c r="B1692" s="6" t="str">
        <f ca="1">IFERROR(__xludf.DUMMYFUNCTION("""COMPUTED_VALUE"""),"Documentation")</f>
        <v>Documentation</v>
      </c>
      <c r="H1692" s="6">
        <f ca="1"/>
        <v>0</v>
      </c>
      <c r="I1692" s="6">
        <f ca="1"/>
        <v>0</v>
      </c>
      <c r="J1692" s="6">
        <f ca="1"/>
        <v>0</v>
      </c>
    </row>
    <row r="1693" spans="1:10" ht="13" x14ac:dyDescent="0.15">
      <c r="A1693" s="6" t="str">
        <f ca="1">IFERROR(__xludf.DUMMYFUNCTION("""COMPUTED_VALUE"""),"Coding Style")</f>
        <v>Coding Style</v>
      </c>
      <c r="B1693" s="6" t="str">
        <f ca="1">IFERROR(__xludf.DUMMYFUNCTION("""COMPUTED_VALUE"""),"Coding Style")</f>
        <v>Coding Style</v>
      </c>
      <c r="H1693" s="6">
        <f ca="1"/>
        <v>0</v>
      </c>
      <c r="I1693" s="6">
        <f ca="1"/>
        <v>0</v>
      </c>
      <c r="J1693" s="6">
        <f ca="1"/>
        <v>0</v>
      </c>
    </row>
    <row r="1694" spans="1:10" ht="13" x14ac:dyDescent="0.15">
      <c r="A1694" s="6" t="str">
        <f ca="1">IFERROR(__xludf.DUMMYFUNCTION("""COMPUTED_VALUE"""),"Coding Pattern")</f>
        <v>Coding Pattern</v>
      </c>
      <c r="B1694" s="6" t="str">
        <f ca="1">IFERROR(__xludf.DUMMYFUNCTION("""COMPUTED_VALUE"""),"Coding Pattern")</f>
        <v>Coding Pattern</v>
      </c>
      <c r="H1694" s="6">
        <f ca="1"/>
        <v>0</v>
      </c>
      <c r="I1694" s="6">
        <f ca="1"/>
        <v>0</v>
      </c>
      <c r="J1694" s="6">
        <f ca="1"/>
        <v>0</v>
      </c>
    </row>
    <row r="1695" spans="1:10" ht="13" x14ac:dyDescent="0.15">
      <c r="A1695" s="6" t="str">
        <f ca="1">IFERROR(__xludf.DUMMYFUNCTION("""COMPUTED_VALUE"""),"Code Review")</f>
        <v>Code Review</v>
      </c>
      <c r="B1695" s="6" t="str">
        <f ca="1">IFERROR(__xludf.DUMMYFUNCTION("""COMPUTED_VALUE"""),"Code Review")</f>
        <v>Code Review</v>
      </c>
      <c r="H1695" s="6">
        <f ca="1"/>
        <v>0</v>
      </c>
      <c r="I1695" s="6">
        <f ca="1"/>
        <v>0</v>
      </c>
      <c r="J1695" s="6">
        <f ca="1"/>
        <v>0</v>
      </c>
    </row>
    <row r="1696" spans="1:10" ht="13" x14ac:dyDescent="0.15">
      <c r="A1696" s="6" t="str">
        <f ca="1">IFERROR(__xludf.DUMMYFUNCTION("""COMPUTED_VALUE"""),"Build &amp; Operation")</f>
        <v>Build &amp; Operation</v>
      </c>
      <c r="B1696" s="6" t="str">
        <f ca="1">IFERROR(__xludf.DUMMYFUNCTION("""COMPUTED_VALUE"""),"Coding Style")</f>
        <v>Coding Style</v>
      </c>
      <c r="H1696" s="6">
        <f ca="1"/>
        <v>0</v>
      </c>
      <c r="I1696" s="6">
        <f ca="1"/>
        <v>0</v>
      </c>
      <c r="J1696" s="6">
        <f ca="1"/>
        <v>0</v>
      </c>
    </row>
    <row r="1697" spans="1:10" ht="13" x14ac:dyDescent="0.15">
      <c r="A1697" s="6" t="str">
        <f ca="1">IFERROR(__xludf.DUMMYFUNCTION("""COMPUTED_VALUE"""),"Testing")</f>
        <v>Testing</v>
      </c>
      <c r="B1697" s="6" t="str">
        <f ca="1">IFERROR(__xludf.DUMMYFUNCTION("""COMPUTED_VALUE"""),"Testing")</f>
        <v>Testing</v>
      </c>
      <c r="H1697" s="6">
        <f ca="1"/>
        <v>0</v>
      </c>
      <c r="I1697" s="6">
        <f ca="1"/>
        <v>0</v>
      </c>
      <c r="J1697" s="6">
        <f ca="1"/>
        <v>0</v>
      </c>
    </row>
    <row r="1698" spans="1:10" ht="13" x14ac:dyDescent="0.15">
      <c r="A1698" s="6" t="str">
        <f ca="1">IFERROR(__xludf.DUMMYFUNCTION("""COMPUTED_VALUE"""),"Documentation")</f>
        <v>Documentation</v>
      </c>
      <c r="B1698" s="6" t="str">
        <f ca="1">IFERROR(__xludf.DUMMYFUNCTION("""COMPUTED_VALUE"""),"Documentation")</f>
        <v>Documentation</v>
      </c>
      <c r="H1698" s="6">
        <f ca="1"/>
        <v>0</v>
      </c>
      <c r="I1698" s="6">
        <f ca="1"/>
        <v>0</v>
      </c>
      <c r="J1698" s="6">
        <f ca="1"/>
        <v>0</v>
      </c>
    </row>
    <row r="1699" spans="1:10" ht="13" x14ac:dyDescent="0.15">
      <c r="A1699" s="6" t="str">
        <f ca="1">IFERROR(__xludf.DUMMYFUNCTION("""COMPUTED_VALUE"""),"Documentation")</f>
        <v>Documentation</v>
      </c>
      <c r="B1699" s="6" t="str">
        <f ca="1">IFERROR(__xludf.DUMMYFUNCTION("""COMPUTED_VALUE"""),"Documentation")</f>
        <v>Documentation</v>
      </c>
      <c r="H1699" s="6">
        <f ca="1"/>
        <v>0</v>
      </c>
      <c r="I1699" s="6">
        <f ca="1"/>
        <v>0</v>
      </c>
      <c r="J1699" s="6">
        <f ca="1"/>
        <v>0</v>
      </c>
    </row>
    <row r="1700" spans="1:10" ht="13" x14ac:dyDescent="0.15">
      <c r="A1700" s="6" t="str">
        <f ca="1">IFERROR(__xludf.DUMMYFUNCTION("""COMPUTED_VALUE"""),"Commit&amp;PR rule")</f>
        <v>Commit&amp;PR rule</v>
      </c>
      <c r="B1700" s="6" t="str">
        <f ca="1">IFERROR(__xludf.DUMMYFUNCTION("""COMPUTED_VALUE"""),"Commit&amp;PR rule")</f>
        <v>Commit&amp;PR rule</v>
      </c>
      <c r="H1700" s="6">
        <f ca="1"/>
        <v>0</v>
      </c>
      <c r="I1700" s="6">
        <f ca="1"/>
        <v>0</v>
      </c>
      <c r="J1700" s="6">
        <f ca="1"/>
        <v>0</v>
      </c>
    </row>
    <row r="1701" spans="1:10" ht="13" x14ac:dyDescent="0.15">
      <c r="A1701" s="6" t="str">
        <f ca="1">IFERROR(__xludf.DUMMYFUNCTION("""COMPUTED_VALUE"""),"Commit&amp;PR rule")</f>
        <v>Commit&amp;PR rule</v>
      </c>
      <c r="B1701" s="6" t="str">
        <f ca="1">IFERROR(__xludf.DUMMYFUNCTION("""COMPUTED_VALUE"""),"Commit&amp;PR rule")</f>
        <v>Commit&amp;PR rule</v>
      </c>
      <c r="H1701" s="6">
        <f ca="1"/>
        <v>0</v>
      </c>
      <c r="I1701" s="6">
        <f ca="1"/>
        <v>0</v>
      </c>
      <c r="J1701" s="6">
        <f ca="1"/>
        <v>0</v>
      </c>
    </row>
    <row r="1702" spans="1:10" ht="13" x14ac:dyDescent="0.15">
      <c r="A1702" s="6" t="str">
        <f ca="1">IFERROR(__xludf.DUMMYFUNCTION("""COMPUTED_VALUE"""),"Coding Style")</f>
        <v>Coding Style</v>
      </c>
      <c r="B1702" s="6" t="str">
        <f ca="1">IFERROR(__xludf.DUMMYFUNCTION("""COMPUTED_VALUE"""),"Coding Style")</f>
        <v>Coding Style</v>
      </c>
      <c r="H1702" s="6">
        <f ca="1"/>
        <v>0</v>
      </c>
      <c r="I1702" s="6">
        <f ca="1"/>
        <v>0</v>
      </c>
      <c r="J1702" s="6">
        <f ca="1"/>
        <v>0</v>
      </c>
    </row>
    <row r="1703" spans="1:10" ht="13" x14ac:dyDescent="0.15">
      <c r="A1703" s="6" t="str">
        <f ca="1">IFERROR(__xludf.DUMMYFUNCTION("""COMPUTED_VALUE"""),"Testing")</f>
        <v>Testing</v>
      </c>
      <c r="B1703" s="6" t="str">
        <f ca="1">IFERROR(__xludf.DUMMYFUNCTION("""COMPUTED_VALUE"""),"Coding Style")</f>
        <v>Coding Style</v>
      </c>
      <c r="H1703" s="6">
        <f ca="1"/>
        <v>0</v>
      </c>
      <c r="I1703" s="6">
        <f ca="1"/>
        <v>0</v>
      </c>
      <c r="J1703" s="6">
        <f ca="1"/>
        <v>0</v>
      </c>
    </row>
    <row r="1704" spans="1:10" ht="13" x14ac:dyDescent="0.15">
      <c r="A1704" s="6" t="str">
        <f ca="1">IFERROR(__xludf.DUMMYFUNCTION("""COMPUTED_VALUE"""),"Testing")</f>
        <v>Testing</v>
      </c>
      <c r="B1704" s="6" t="str">
        <f ca="1">IFERROR(__xludf.DUMMYFUNCTION("""COMPUTED_VALUE"""),"Testing")</f>
        <v>Testing</v>
      </c>
      <c r="H1704" s="6">
        <f ca="1"/>
        <v>0</v>
      </c>
      <c r="I1704" s="6">
        <f ca="1"/>
        <v>0</v>
      </c>
      <c r="J1704" s="6">
        <f ca="1"/>
        <v>0</v>
      </c>
    </row>
    <row r="1705" spans="1:10" ht="13" x14ac:dyDescent="0.15">
      <c r="A1705" s="6" t="str">
        <f ca="1">IFERROR(__xludf.DUMMYFUNCTION("""COMPUTED_VALUE"""),"Task Execution")</f>
        <v>Task Execution</v>
      </c>
      <c r="B1705" s="6" t="str">
        <f ca="1">IFERROR(__xludf.DUMMYFUNCTION("""COMPUTED_VALUE"""),"Task Execution")</f>
        <v>Task Execution</v>
      </c>
      <c r="H1705" s="6">
        <f ca="1"/>
        <v>0</v>
      </c>
      <c r="I1705" s="6">
        <f ca="1"/>
        <v>0</v>
      </c>
      <c r="J1705" s="6">
        <f ca="1"/>
        <v>0</v>
      </c>
    </row>
    <row r="1706" spans="1:10" ht="13" x14ac:dyDescent="0.15">
      <c r="A1706" s="6" t="str">
        <f ca="1">IFERROR(__xludf.DUMMYFUNCTION("""COMPUTED_VALUE"""),"Task Execution")</f>
        <v>Task Execution</v>
      </c>
      <c r="B1706" s="6" t="str">
        <f ca="1">IFERROR(__xludf.DUMMYFUNCTION("""COMPUTED_VALUE"""),"Task Execution")</f>
        <v>Task Execution</v>
      </c>
      <c r="H1706" s="6">
        <f ca="1"/>
        <v>0</v>
      </c>
      <c r="I1706" s="6">
        <f ca="1"/>
        <v>0</v>
      </c>
      <c r="J1706" s="6">
        <f ca="1"/>
        <v>0</v>
      </c>
    </row>
    <row r="1707" spans="1:10" ht="13" x14ac:dyDescent="0.15">
      <c r="A1707" s="6" t="str">
        <f ca="1">IFERROR(__xludf.DUMMYFUNCTION("""COMPUTED_VALUE"""),"Writing Style Preference")</f>
        <v>Writing Style Preference</v>
      </c>
      <c r="B1707" s="6" t="str">
        <f ca="1">IFERROR(__xludf.DUMMYFUNCTION("""COMPUTED_VALUE"""),"Writing Style Preference")</f>
        <v>Writing Style Preference</v>
      </c>
      <c r="H1707" s="6">
        <f ca="1"/>
        <v>0</v>
      </c>
      <c r="I1707" s="6">
        <f ca="1"/>
        <v>0</v>
      </c>
      <c r="J1707" s="6">
        <f ca="1"/>
        <v>0</v>
      </c>
    </row>
    <row r="1708" spans="1:10" ht="13" x14ac:dyDescent="0.15">
      <c r="A1708" s="6" t="str">
        <f ca="1">IFERROR(__xludf.DUMMYFUNCTION("""COMPUTED_VALUE"""),"Writing Style Preference")</f>
        <v>Writing Style Preference</v>
      </c>
      <c r="B1708" s="6" t="str">
        <f ca="1">IFERROR(__xludf.DUMMYFUNCTION("""COMPUTED_VALUE"""),"Documentation")</f>
        <v>Documentation</v>
      </c>
      <c r="H1708" s="6">
        <f ca="1"/>
        <v>0</v>
      </c>
      <c r="I1708" s="6">
        <f ca="1"/>
        <v>0</v>
      </c>
      <c r="J1708" s="6">
        <f ca="1"/>
        <v>0</v>
      </c>
    </row>
    <row r="1709" spans="1:10" ht="13" x14ac:dyDescent="0.15">
      <c r="A1709" s="6" t="str">
        <f ca="1">IFERROR(__xludf.DUMMYFUNCTION("""COMPUTED_VALUE"""),"Writing Style Preference")</f>
        <v>Writing Style Preference</v>
      </c>
      <c r="B1709" s="6" t="str">
        <f ca="1">IFERROR(__xludf.DUMMYFUNCTION("""COMPUTED_VALUE"""),"Coding Style")</f>
        <v>Coding Style</v>
      </c>
      <c r="H1709" s="6">
        <f ca="1"/>
        <v>0</v>
      </c>
      <c r="I1709" s="6">
        <f ca="1"/>
        <v>0</v>
      </c>
      <c r="J1709" s="6">
        <f ca="1"/>
        <v>0</v>
      </c>
    </row>
    <row r="1710" spans="1:10" ht="13" x14ac:dyDescent="0.15">
      <c r="A1710" s="6" t="str">
        <f ca="1">IFERROR(__xludf.DUMMYFUNCTION("""COMPUTED_VALUE"""),"Writing Style Preference")</f>
        <v>Writing Style Preference</v>
      </c>
      <c r="B1710" s="6" t="str">
        <f ca="1">IFERROR(__xludf.DUMMYFUNCTION("""COMPUTED_VALUE"""),"Coding Style")</f>
        <v>Coding Style</v>
      </c>
      <c r="H1710" s="6">
        <f ca="1"/>
        <v>0</v>
      </c>
      <c r="I1710" s="6">
        <f ca="1"/>
        <v>0</v>
      </c>
      <c r="J1710" s="6">
        <f ca="1"/>
        <v>0</v>
      </c>
    </row>
    <row r="1711" spans="1:10" ht="13" x14ac:dyDescent="0.15">
      <c r="A1711" s="6" t="str">
        <f ca="1">IFERROR(__xludf.DUMMYFUNCTION("""COMPUTED_VALUE"""),"Task Execution")</f>
        <v>Task Execution</v>
      </c>
      <c r="B1711" s="6" t="str">
        <f ca="1">IFERROR(__xludf.DUMMYFUNCTION("""COMPUTED_VALUE"""),"Task Execution")</f>
        <v>Task Execution</v>
      </c>
      <c r="H1711" s="6">
        <f ca="1"/>
        <v>0</v>
      </c>
      <c r="I1711" s="6">
        <f ca="1"/>
        <v>0</v>
      </c>
      <c r="J1711" s="6">
        <f ca="1"/>
        <v>0</v>
      </c>
    </row>
    <row r="1712" spans="1:10" ht="13" x14ac:dyDescent="0.15">
      <c r="A1712" s="6" t="str">
        <f ca="1">IFERROR(__xludf.DUMMYFUNCTION("""COMPUTED_VALUE"""),"Task Execution")</f>
        <v>Task Execution</v>
      </c>
      <c r="B1712" s="6" t="str">
        <f ca="1">IFERROR(__xludf.DUMMYFUNCTION("""COMPUTED_VALUE"""),"Task Execution")</f>
        <v>Task Execution</v>
      </c>
      <c r="H1712" s="6">
        <f ca="1"/>
        <v>0</v>
      </c>
      <c r="I1712" s="6">
        <f ca="1"/>
        <v>0</v>
      </c>
      <c r="J1712" s="6">
        <f ca="1"/>
        <v>0</v>
      </c>
    </row>
    <row r="1713" spans="1:10" ht="13" x14ac:dyDescent="0.15">
      <c r="A1713" s="6" t="str">
        <f ca="1">IFERROR(__xludf.DUMMYFUNCTION("""COMPUTED_VALUE"""),"Documentation")</f>
        <v>Documentation</v>
      </c>
      <c r="B1713" s="6" t="str">
        <f ca="1">IFERROR(__xludf.DUMMYFUNCTION("""COMPUTED_VALUE"""),"Documentation")</f>
        <v>Documentation</v>
      </c>
      <c r="H1713" s="6">
        <f ca="1"/>
        <v>0</v>
      </c>
      <c r="I1713" s="6">
        <f ca="1"/>
        <v>0</v>
      </c>
      <c r="J1713" s="6">
        <f ca="1"/>
        <v>0</v>
      </c>
    </row>
    <row r="1714" spans="1:10" ht="13" x14ac:dyDescent="0.15">
      <c r="A1714" s="6" t="str">
        <f ca="1">IFERROR(__xludf.DUMMYFUNCTION("""COMPUTED_VALUE"""),"Coding Style")</f>
        <v>Coding Style</v>
      </c>
      <c r="B1714" s="6" t="str">
        <f ca="1">IFERROR(__xludf.DUMMYFUNCTION("""COMPUTED_VALUE"""),"Coding Style")</f>
        <v>Coding Style</v>
      </c>
      <c r="H1714" s="6">
        <f ca="1"/>
        <v>0</v>
      </c>
      <c r="I1714" s="6">
        <f ca="1"/>
        <v>0</v>
      </c>
      <c r="J1714" s="6">
        <f ca="1"/>
        <v>0</v>
      </c>
    </row>
    <row r="1715" spans="1:10" ht="13" x14ac:dyDescent="0.15">
      <c r="A1715" s="6" t="str">
        <f ca="1">IFERROR(__xludf.DUMMYFUNCTION("""COMPUTED_VALUE"""),"Coding Style")</f>
        <v>Coding Style</v>
      </c>
      <c r="B1715" s="6" t="str">
        <f ca="1">IFERROR(__xludf.DUMMYFUNCTION("""COMPUTED_VALUE"""),"Coding Style")</f>
        <v>Coding Style</v>
      </c>
      <c r="H1715" s="6">
        <f ca="1"/>
        <v>0</v>
      </c>
      <c r="I1715" s="6">
        <f ca="1"/>
        <v>0</v>
      </c>
      <c r="J1715" s="6">
        <f ca="1"/>
        <v>0</v>
      </c>
    </row>
    <row r="1716" spans="1:10" ht="13" x14ac:dyDescent="0.15">
      <c r="A1716" s="6" t="str">
        <f ca="1">IFERROR(__xludf.DUMMYFUNCTION("""COMPUTED_VALUE"""),"Build &amp; Operation")</f>
        <v>Build &amp; Operation</v>
      </c>
      <c r="B1716" s="6" t="str">
        <f ca="1">IFERROR(__xludf.DUMMYFUNCTION("""COMPUTED_VALUE"""),"Build &amp; Operation")</f>
        <v>Build &amp; Operation</v>
      </c>
      <c r="H1716" s="6">
        <f ca="1"/>
        <v>0</v>
      </c>
      <c r="I1716" s="6">
        <f ca="1"/>
        <v>0</v>
      </c>
      <c r="J1716" s="6">
        <f ca="1"/>
        <v>0</v>
      </c>
    </row>
    <row r="1717" spans="1:10" ht="13" x14ac:dyDescent="0.15">
      <c r="A1717" s="6" t="str">
        <f ca="1">IFERROR(__xludf.DUMMYFUNCTION("""COMPUTED_VALUE"""),"Task Execution")</f>
        <v>Task Execution</v>
      </c>
      <c r="B1717" s="6" t="str">
        <f ca="1">IFERROR(__xludf.DUMMYFUNCTION("""COMPUTED_VALUE"""),"Documentation")</f>
        <v>Documentation</v>
      </c>
      <c r="H1717" s="6">
        <f ca="1"/>
        <v>0</v>
      </c>
      <c r="I1717" s="6">
        <f ca="1"/>
        <v>0</v>
      </c>
      <c r="J1717" s="6">
        <f ca="1"/>
        <v>0</v>
      </c>
    </row>
    <row r="1718" spans="1:10" ht="13" x14ac:dyDescent="0.15">
      <c r="A1718" s="6" t="str">
        <f ca="1">IFERROR(__xludf.DUMMYFUNCTION("""COMPUTED_VALUE"""),"Coding Pattern")</f>
        <v>Coding Pattern</v>
      </c>
      <c r="B1718" s="6" t="str">
        <f ca="1">IFERROR(__xludf.DUMMYFUNCTION("""COMPUTED_VALUE"""),"Coding Pattern")</f>
        <v>Coding Pattern</v>
      </c>
      <c r="H1718" s="6">
        <f ca="1"/>
        <v>0</v>
      </c>
      <c r="I1718" s="6">
        <f ca="1"/>
        <v>0</v>
      </c>
      <c r="J1718" s="6">
        <f ca="1"/>
        <v>0</v>
      </c>
    </row>
    <row r="1719" spans="1:10" ht="13" x14ac:dyDescent="0.15">
      <c r="A1719" s="6" t="str">
        <f ca="1">IFERROR(__xludf.DUMMYFUNCTION("""COMPUTED_VALUE"""),"Coding Pattern")</f>
        <v>Coding Pattern</v>
      </c>
      <c r="B1719" s="6" t="str">
        <f ca="1">IFERROR(__xludf.DUMMYFUNCTION("""COMPUTED_VALUE"""),"Coding Pattern")</f>
        <v>Coding Pattern</v>
      </c>
      <c r="H1719" s="6">
        <f ca="1"/>
        <v>0</v>
      </c>
      <c r="I1719" s="6">
        <f ca="1"/>
        <v>0</v>
      </c>
      <c r="J1719" s="6">
        <f ca="1"/>
        <v>0</v>
      </c>
    </row>
    <row r="1720" spans="1:10" ht="13" x14ac:dyDescent="0.15">
      <c r="A1720" s="6" t="str">
        <f ca="1">IFERROR(__xludf.DUMMYFUNCTION("""COMPUTED_VALUE"""),"Testing")</f>
        <v>Testing</v>
      </c>
      <c r="B1720" s="6" t="str">
        <f ca="1">IFERROR(__xludf.DUMMYFUNCTION("""COMPUTED_VALUE"""),"Coding Style")</f>
        <v>Coding Style</v>
      </c>
      <c r="H1720" s="6">
        <f ca="1"/>
        <v>0</v>
      </c>
      <c r="I1720" s="6">
        <f ca="1"/>
        <v>0</v>
      </c>
      <c r="J1720" s="6">
        <f ca="1"/>
        <v>0</v>
      </c>
    </row>
    <row r="1721" spans="1:10" ht="13" x14ac:dyDescent="0.15">
      <c r="A1721" s="6" t="str">
        <f ca="1">IFERROR(__xludf.DUMMYFUNCTION("""COMPUTED_VALUE"""),"Testing")</f>
        <v>Testing</v>
      </c>
      <c r="B1721" s="6" t="str">
        <f ca="1">IFERROR(__xludf.DUMMYFUNCTION("""COMPUTED_VALUE"""),"Testing")</f>
        <v>Testing</v>
      </c>
      <c r="H1721" s="6">
        <f ca="1"/>
        <v>0</v>
      </c>
      <c r="I1721" s="6">
        <f ca="1"/>
        <v>0</v>
      </c>
      <c r="J1721" s="6">
        <f ca="1"/>
        <v>0</v>
      </c>
    </row>
    <row r="1722" spans="1:10" ht="13" x14ac:dyDescent="0.15">
      <c r="A1722" s="6" t="str">
        <f ca="1">IFERROR(__xludf.DUMMYFUNCTION("""COMPUTED_VALUE"""),"Coding Style")</f>
        <v>Coding Style</v>
      </c>
      <c r="B1722" s="6" t="str">
        <f ca="1">IFERROR(__xludf.DUMMYFUNCTION("""COMPUTED_VALUE"""),"Coding Pattern")</f>
        <v>Coding Pattern</v>
      </c>
      <c r="H1722" s="6">
        <f ca="1"/>
        <v>0</v>
      </c>
      <c r="I1722" s="6">
        <f ca="1"/>
        <v>0</v>
      </c>
      <c r="J1722" s="6">
        <f ca="1"/>
        <v>0</v>
      </c>
    </row>
    <row r="1723" spans="1:10" ht="13" x14ac:dyDescent="0.15">
      <c r="A1723" s="6" t="str">
        <f ca="1">IFERROR(__xludf.DUMMYFUNCTION("""COMPUTED_VALUE"""),"Coding Pattern")</f>
        <v>Coding Pattern</v>
      </c>
      <c r="B1723" s="6" t="str">
        <f ca="1">IFERROR(__xludf.DUMMYFUNCTION("""COMPUTED_VALUE"""),"Testing")</f>
        <v>Testing</v>
      </c>
      <c r="H1723" s="6">
        <f ca="1"/>
        <v>0</v>
      </c>
      <c r="I1723" s="6">
        <f ca="1"/>
        <v>0</v>
      </c>
      <c r="J1723" s="6">
        <f ca="1"/>
        <v>0</v>
      </c>
    </row>
    <row r="1724" spans="1:10" ht="13" x14ac:dyDescent="0.15">
      <c r="A1724" s="6" t="str">
        <f ca="1">IFERROR(__xludf.DUMMYFUNCTION("""COMPUTED_VALUE"""),"Coding Style")</f>
        <v>Coding Style</v>
      </c>
      <c r="B1724" s="6" t="str">
        <f ca="1">IFERROR(__xludf.DUMMYFUNCTION("""COMPUTED_VALUE"""),"Coding Style")</f>
        <v>Coding Style</v>
      </c>
      <c r="H1724" s="6">
        <f ca="1"/>
        <v>0</v>
      </c>
      <c r="I1724" s="6">
        <f ca="1"/>
        <v>0</v>
      </c>
      <c r="J1724" s="6">
        <f ca="1"/>
        <v>0</v>
      </c>
    </row>
    <row r="1725" spans="1:10" ht="13" x14ac:dyDescent="0.15">
      <c r="A1725" s="6" t="str">
        <f ca="1">IFERROR(__xludf.DUMMYFUNCTION("""COMPUTED_VALUE"""),"Task Execution")</f>
        <v>Task Execution</v>
      </c>
      <c r="B1725" s="6" t="str">
        <f ca="1">IFERROR(__xludf.DUMMYFUNCTION("""COMPUTED_VALUE"""),"Task Execution")</f>
        <v>Task Execution</v>
      </c>
      <c r="H1725" s="6">
        <f ca="1"/>
        <v>0</v>
      </c>
      <c r="I1725" s="6">
        <f ca="1"/>
        <v>0</v>
      </c>
      <c r="J1725" s="6">
        <f ca="1"/>
        <v>0</v>
      </c>
    </row>
    <row r="1726" spans="1:10" ht="13" x14ac:dyDescent="0.15">
      <c r="A1726" s="6" t="str">
        <f ca="1">IFERROR(__xludf.DUMMYFUNCTION("""COMPUTED_VALUE"""),"Coding Style")</f>
        <v>Coding Style</v>
      </c>
      <c r="B1726" s="6" t="str">
        <f ca="1">IFERROR(__xludf.DUMMYFUNCTION("""COMPUTED_VALUE"""),"Coding Style")</f>
        <v>Coding Style</v>
      </c>
      <c r="H1726" s="6">
        <f ca="1"/>
        <v>0</v>
      </c>
      <c r="I1726" s="6">
        <f ca="1"/>
        <v>0</v>
      </c>
      <c r="J1726" s="6">
        <f ca="1"/>
        <v>0</v>
      </c>
    </row>
    <row r="1727" spans="1:10" ht="13" x14ac:dyDescent="0.15">
      <c r="A1727" s="6" t="str">
        <f ca="1">IFERROR(__xludf.DUMMYFUNCTION("""COMPUTED_VALUE"""),"Coding Pattern")</f>
        <v>Coding Pattern</v>
      </c>
      <c r="B1727" s="6" t="str">
        <f ca="1">IFERROR(__xludf.DUMMYFUNCTION("""COMPUTED_VALUE"""),"Coding Pattern")</f>
        <v>Coding Pattern</v>
      </c>
      <c r="H1727" s="6">
        <f ca="1"/>
        <v>0</v>
      </c>
      <c r="I1727" s="6">
        <f ca="1"/>
        <v>0</v>
      </c>
      <c r="J1727" s="6">
        <f ca="1"/>
        <v>0</v>
      </c>
    </row>
    <row r="1728" spans="1:10" ht="13" x14ac:dyDescent="0.15">
      <c r="A1728" s="6" t="str">
        <f ca="1">IFERROR(__xludf.DUMMYFUNCTION("""COMPUTED_VALUE"""),"Testing")</f>
        <v>Testing</v>
      </c>
      <c r="B1728" s="6" t="str">
        <f ca="1">IFERROR(__xludf.DUMMYFUNCTION("""COMPUTED_VALUE"""),"Testing")</f>
        <v>Testing</v>
      </c>
      <c r="H1728" s="6">
        <f ca="1"/>
        <v>0</v>
      </c>
      <c r="I1728" s="6">
        <f ca="1"/>
        <v>0</v>
      </c>
      <c r="J1728" s="6">
        <f ca="1"/>
        <v>0</v>
      </c>
    </row>
    <row r="1729" spans="1:10" ht="13" x14ac:dyDescent="0.15">
      <c r="A1729" s="6" t="str">
        <f ca="1">IFERROR(__xludf.DUMMYFUNCTION("""COMPUTED_VALUE"""),"Coding Pattern")</f>
        <v>Coding Pattern</v>
      </c>
      <c r="B1729" s="6" t="str">
        <f ca="1">IFERROR(__xludf.DUMMYFUNCTION("""COMPUTED_VALUE"""),"Coding Pattern")</f>
        <v>Coding Pattern</v>
      </c>
      <c r="H1729" s="6">
        <f ca="1"/>
        <v>0</v>
      </c>
      <c r="I1729" s="6">
        <f ca="1"/>
        <v>0</v>
      </c>
      <c r="J1729" s="6">
        <f ca="1"/>
        <v>0</v>
      </c>
    </row>
    <row r="1730" spans="1:10" ht="13" x14ac:dyDescent="0.15">
      <c r="A1730" s="6" t="str">
        <f ca="1">IFERROR(__xludf.DUMMYFUNCTION("""COMPUTED_VALUE"""),"Testing")</f>
        <v>Testing</v>
      </c>
      <c r="B1730" s="6" t="str">
        <f ca="1">IFERROR(__xludf.DUMMYFUNCTION("""COMPUTED_VALUE"""),"Testing")</f>
        <v>Testing</v>
      </c>
      <c r="H1730" s="6">
        <f ca="1"/>
        <v>0</v>
      </c>
      <c r="I1730" s="6">
        <f ca="1"/>
        <v>0</v>
      </c>
      <c r="J1730" s="6">
        <f ca="1"/>
        <v>0</v>
      </c>
    </row>
    <row r="1731" spans="1:10" ht="13" x14ac:dyDescent="0.15">
      <c r="A1731" s="6" t="str">
        <f ca="1">IFERROR(__xludf.DUMMYFUNCTION("""COMPUTED_VALUE"""),"Coding Style")</f>
        <v>Coding Style</v>
      </c>
      <c r="B1731" s="6" t="str">
        <f ca="1">IFERROR(__xludf.DUMMYFUNCTION("""COMPUTED_VALUE"""),"Coding Style")</f>
        <v>Coding Style</v>
      </c>
      <c r="H1731" s="6">
        <f ca="1"/>
        <v>0</v>
      </c>
      <c r="I1731" s="6">
        <f ca="1"/>
        <v>0</v>
      </c>
      <c r="J1731" s="6">
        <f ca="1"/>
        <v>0</v>
      </c>
    </row>
    <row r="1732" spans="1:10" ht="13" x14ac:dyDescent="0.15">
      <c r="A1732" s="6" t="str">
        <f ca="1">IFERROR(__xludf.DUMMYFUNCTION("""COMPUTED_VALUE"""),"Testing")</f>
        <v>Testing</v>
      </c>
      <c r="B1732" s="6" t="str">
        <f ca="1">IFERROR(__xludf.DUMMYFUNCTION("""COMPUTED_VALUE"""),"Testing")</f>
        <v>Testing</v>
      </c>
      <c r="H1732" s="6">
        <f ca="1"/>
        <v>0</v>
      </c>
      <c r="I1732" s="6">
        <f ca="1"/>
        <v>0</v>
      </c>
      <c r="J1732" s="6">
        <f ca="1"/>
        <v>0</v>
      </c>
    </row>
    <row r="1733" spans="1:10" ht="13" x14ac:dyDescent="0.15">
      <c r="A1733" s="6" t="str">
        <f ca="1">IFERROR(__xludf.DUMMYFUNCTION("""COMPUTED_VALUE"""),"Commit&amp;PR rule")</f>
        <v>Commit&amp;PR rule</v>
      </c>
      <c r="B1733" s="6" t="str">
        <f ca="1">IFERROR(__xludf.DUMMYFUNCTION("""COMPUTED_VALUE"""),"Commit&amp;PR rule")</f>
        <v>Commit&amp;PR rule</v>
      </c>
      <c r="H1733" s="6">
        <f ca="1"/>
        <v>0</v>
      </c>
      <c r="I1733" s="6">
        <f ca="1"/>
        <v>0</v>
      </c>
      <c r="J1733" s="6">
        <f ca="1"/>
        <v>0</v>
      </c>
    </row>
    <row r="1734" spans="1:10" ht="13" x14ac:dyDescent="0.15">
      <c r="A1734" s="6" t="str">
        <f ca="1">IFERROR(__xludf.DUMMYFUNCTION("""COMPUTED_VALUE"""),"Task Execution")</f>
        <v>Task Execution</v>
      </c>
      <c r="B1734" s="6" t="str">
        <f ca="1">IFERROR(__xludf.DUMMYFUNCTION("""COMPUTED_VALUE"""),"Task Execution")</f>
        <v>Task Execution</v>
      </c>
      <c r="H1734" s="6">
        <f ca="1"/>
        <v>0</v>
      </c>
      <c r="I1734" s="6">
        <f ca="1"/>
        <v>0</v>
      </c>
      <c r="J1734" s="6">
        <f ca="1"/>
        <v>0</v>
      </c>
    </row>
    <row r="1735" spans="1:10" ht="13" x14ac:dyDescent="0.15">
      <c r="A1735" s="6" t="str">
        <f ca="1">IFERROR(__xludf.DUMMYFUNCTION("""COMPUTED_VALUE"""),"Coding Pattern")</f>
        <v>Coding Pattern</v>
      </c>
      <c r="B1735" s="6" t="str">
        <f ca="1">IFERROR(__xludf.DUMMYFUNCTION("""COMPUTED_VALUE"""),"Coding Pattern")</f>
        <v>Coding Pattern</v>
      </c>
      <c r="H1735" s="6">
        <f ca="1"/>
        <v>0</v>
      </c>
      <c r="I1735" s="6">
        <f ca="1"/>
        <v>0</v>
      </c>
      <c r="J1735" s="6">
        <f ca="1"/>
        <v>0</v>
      </c>
    </row>
    <row r="1736" spans="1:10" ht="13" x14ac:dyDescent="0.15">
      <c r="A1736" s="6" t="str">
        <f ca="1">IFERROR(__xludf.DUMMYFUNCTION("""COMPUTED_VALUE"""),"Coding Pattern")</f>
        <v>Coding Pattern</v>
      </c>
      <c r="B1736" s="6" t="str">
        <f ca="1">IFERROR(__xludf.DUMMYFUNCTION("""COMPUTED_VALUE"""),"Coding Style")</f>
        <v>Coding Style</v>
      </c>
      <c r="H1736" s="6">
        <f ca="1"/>
        <v>0</v>
      </c>
      <c r="I1736" s="6">
        <f ca="1"/>
        <v>0</v>
      </c>
      <c r="J1736" s="6">
        <f ca="1"/>
        <v>0</v>
      </c>
    </row>
    <row r="1737" spans="1:10" ht="13" x14ac:dyDescent="0.15">
      <c r="A1737" s="6" t="str">
        <f ca="1">IFERROR(__xludf.DUMMYFUNCTION("""COMPUTED_VALUE"""),"Coding Style")</f>
        <v>Coding Style</v>
      </c>
      <c r="B1737" s="6" t="str">
        <f ca="1">IFERROR(__xludf.DUMMYFUNCTION("""COMPUTED_VALUE"""),"Coding Style")</f>
        <v>Coding Style</v>
      </c>
      <c r="H1737" s="6">
        <f ca="1"/>
        <v>0</v>
      </c>
      <c r="I1737" s="6">
        <f ca="1"/>
        <v>0</v>
      </c>
      <c r="J1737" s="6">
        <f ca="1"/>
        <v>0</v>
      </c>
    </row>
    <row r="1738" spans="1:10" ht="13" x14ac:dyDescent="0.15">
      <c r="A1738" s="6" t="str">
        <f ca="1">IFERROR(__xludf.DUMMYFUNCTION("""COMPUTED_VALUE"""),"Coding Style")</f>
        <v>Coding Style</v>
      </c>
      <c r="B1738" s="6" t="str">
        <f ca="1">IFERROR(__xludf.DUMMYFUNCTION("""COMPUTED_VALUE"""),"Coding Style")</f>
        <v>Coding Style</v>
      </c>
      <c r="H1738" s="6">
        <f ca="1"/>
        <v>0</v>
      </c>
      <c r="I1738" s="6">
        <f ca="1"/>
        <v>0</v>
      </c>
      <c r="J1738" s="6">
        <f ca="1"/>
        <v>0</v>
      </c>
    </row>
    <row r="1739" spans="1:10" ht="13" x14ac:dyDescent="0.15">
      <c r="A1739" s="6" t="str">
        <f ca="1">IFERROR(__xludf.DUMMYFUNCTION("""COMPUTED_VALUE"""),"Coding Pattern")</f>
        <v>Coding Pattern</v>
      </c>
      <c r="B1739" s="6" t="str">
        <f ca="1">IFERROR(__xludf.DUMMYFUNCTION("""COMPUTED_VALUE"""),"Coding Pattern")</f>
        <v>Coding Pattern</v>
      </c>
      <c r="H1739" s="6">
        <f ca="1"/>
        <v>0</v>
      </c>
      <c r="I1739" s="6">
        <f ca="1"/>
        <v>0</v>
      </c>
      <c r="J1739" s="6">
        <f ca="1"/>
        <v>0</v>
      </c>
    </row>
    <row r="1740" spans="1:10" ht="13" x14ac:dyDescent="0.15">
      <c r="A1740" s="6" t="str">
        <f ca="1">IFERROR(__xludf.DUMMYFUNCTION("""COMPUTED_VALUE"""),"Task Execution")</f>
        <v>Task Execution</v>
      </c>
      <c r="B1740" s="6" t="str">
        <f ca="1">IFERROR(__xludf.DUMMYFUNCTION("""COMPUTED_VALUE"""),"Task Execution")</f>
        <v>Task Execution</v>
      </c>
      <c r="H1740" s="6">
        <f ca="1"/>
        <v>0</v>
      </c>
      <c r="I1740" s="6">
        <f ca="1"/>
        <v>0</v>
      </c>
      <c r="J1740" s="6">
        <f ca="1"/>
        <v>0</v>
      </c>
    </row>
    <row r="1741" spans="1:10" ht="13" x14ac:dyDescent="0.15">
      <c r="A1741" s="6" t="str">
        <f ca="1">IFERROR(__xludf.DUMMYFUNCTION("""COMPUTED_VALUE"""),"Task Execution")</f>
        <v>Task Execution</v>
      </c>
      <c r="B1741" s="6" t="str">
        <f ca="1">IFERROR(__xludf.DUMMYFUNCTION("""COMPUTED_VALUE"""),"Maintainability")</f>
        <v>Maintainability</v>
      </c>
      <c r="H1741" s="6">
        <f ca="1"/>
        <v>0</v>
      </c>
      <c r="I1741" s="6">
        <f ca="1"/>
        <v>0</v>
      </c>
      <c r="J1741" s="6">
        <f ca="1"/>
        <v>0</v>
      </c>
    </row>
    <row r="1742" spans="1:10" ht="13" x14ac:dyDescent="0.15">
      <c r="A1742" s="6" t="str">
        <f ca="1">IFERROR(__xludf.DUMMYFUNCTION("""COMPUTED_VALUE"""),"Coding Style")</f>
        <v>Coding Style</v>
      </c>
      <c r="B1742" s="6" t="str">
        <f ca="1">IFERROR(__xludf.DUMMYFUNCTION("""COMPUTED_VALUE"""),"Coding Style")</f>
        <v>Coding Style</v>
      </c>
      <c r="H1742" s="6">
        <f ca="1"/>
        <v>0</v>
      </c>
      <c r="I1742" s="6">
        <f ca="1"/>
        <v>0</v>
      </c>
      <c r="J1742" s="6">
        <f ca="1"/>
        <v>0</v>
      </c>
    </row>
    <row r="1743" spans="1:10" ht="13" x14ac:dyDescent="0.15">
      <c r="A1743" s="6" t="str">
        <f ca="1">IFERROR(__xludf.DUMMYFUNCTION("""COMPUTED_VALUE"""),"Coding Style")</f>
        <v>Coding Style</v>
      </c>
      <c r="B1743" s="6" t="str">
        <f ca="1">IFERROR(__xludf.DUMMYFUNCTION("""COMPUTED_VALUE"""),"Coding Style")</f>
        <v>Coding Style</v>
      </c>
      <c r="H1743" s="6">
        <f ca="1"/>
        <v>0</v>
      </c>
      <c r="I1743" s="6">
        <f ca="1"/>
        <v>0</v>
      </c>
      <c r="J1743" s="6">
        <f ca="1"/>
        <v>0</v>
      </c>
    </row>
    <row r="1744" spans="1:10" ht="13" x14ac:dyDescent="0.15">
      <c r="A1744" s="6" t="str">
        <f ca="1">IFERROR(__xludf.DUMMYFUNCTION("""COMPUTED_VALUE"""),"Coding Style")</f>
        <v>Coding Style</v>
      </c>
      <c r="B1744" s="6" t="str">
        <f ca="1">IFERROR(__xludf.DUMMYFUNCTION("""COMPUTED_VALUE"""),"Coding Style")</f>
        <v>Coding Style</v>
      </c>
      <c r="H1744" s="6">
        <f ca="1"/>
        <v>0</v>
      </c>
      <c r="I1744" s="6">
        <f ca="1"/>
        <v>0</v>
      </c>
      <c r="J1744" s="6">
        <f ca="1"/>
        <v>0</v>
      </c>
    </row>
    <row r="1745" spans="1:10" ht="13" x14ac:dyDescent="0.15">
      <c r="A1745" s="6" t="str">
        <f ca="1">IFERROR(__xludf.DUMMYFUNCTION("""COMPUTED_VALUE"""),"Build &amp; Operation")</f>
        <v>Build &amp; Operation</v>
      </c>
      <c r="B1745" s="6" t="str">
        <f ca="1">IFERROR(__xludf.DUMMYFUNCTION("""COMPUTED_VALUE"""),"Build &amp; Operation")</f>
        <v>Build &amp; Operation</v>
      </c>
      <c r="H1745" s="6">
        <f ca="1"/>
        <v>0</v>
      </c>
      <c r="I1745" s="6">
        <f ca="1"/>
        <v>0</v>
      </c>
      <c r="J1745" s="6">
        <f ca="1"/>
        <v>0</v>
      </c>
    </row>
    <row r="1746" spans="1:10" ht="13" x14ac:dyDescent="0.15">
      <c r="A1746" s="6" t="str">
        <f ca="1">IFERROR(__xludf.DUMMYFUNCTION("""COMPUTED_VALUE"""),"Documentation")</f>
        <v>Documentation</v>
      </c>
      <c r="B1746" s="6" t="str">
        <f ca="1">IFERROR(__xludf.DUMMYFUNCTION("""COMPUTED_VALUE"""),"Documentation")</f>
        <v>Documentation</v>
      </c>
      <c r="H1746" s="6">
        <f ca="1"/>
        <v>0</v>
      </c>
      <c r="I1746" s="6">
        <f ca="1"/>
        <v>0</v>
      </c>
      <c r="J1746" s="6">
        <f ca="1"/>
        <v>0</v>
      </c>
    </row>
    <row r="1747" spans="1:10" ht="13" x14ac:dyDescent="0.15">
      <c r="A1747" s="6" t="str">
        <f ca="1">IFERROR(__xludf.DUMMYFUNCTION("""COMPUTED_VALUE"""),"Documentation")</f>
        <v>Documentation</v>
      </c>
      <c r="B1747" s="6" t="str">
        <f ca="1">IFERROR(__xludf.DUMMYFUNCTION("""COMPUTED_VALUE"""),"Documentation")</f>
        <v>Documentation</v>
      </c>
      <c r="H1747" s="6">
        <f ca="1"/>
        <v>0</v>
      </c>
      <c r="I1747" s="6">
        <f ca="1"/>
        <v>0</v>
      </c>
      <c r="J1747" s="6">
        <f ca="1"/>
        <v>0</v>
      </c>
    </row>
    <row r="1748" spans="1:10" ht="13" x14ac:dyDescent="0.15">
      <c r="A1748" s="6" t="str">
        <f ca="1">IFERROR(__xludf.DUMMYFUNCTION("""COMPUTED_VALUE"""),"Coding Pattern")</f>
        <v>Coding Pattern</v>
      </c>
      <c r="B1748" s="6" t="str">
        <f ca="1">IFERROR(__xludf.DUMMYFUNCTION("""COMPUTED_VALUE"""),"Coding Pattern")</f>
        <v>Coding Pattern</v>
      </c>
      <c r="H1748" s="6">
        <f ca="1"/>
        <v>0</v>
      </c>
      <c r="I1748" s="6">
        <f ca="1"/>
        <v>0</v>
      </c>
      <c r="J1748" s="6">
        <f ca="1"/>
        <v>0</v>
      </c>
    </row>
    <row r="1749" spans="1:10" ht="13" x14ac:dyDescent="0.15">
      <c r="A1749" s="6" t="str">
        <f ca="1">IFERROR(__xludf.DUMMYFUNCTION("""COMPUTED_VALUE"""),"Coding Pattern")</f>
        <v>Coding Pattern</v>
      </c>
      <c r="B1749" s="6" t="str">
        <f ca="1">IFERROR(__xludf.DUMMYFUNCTION("""COMPUTED_VALUE"""),"Coding Pattern")</f>
        <v>Coding Pattern</v>
      </c>
      <c r="H1749" s="6">
        <f ca="1"/>
        <v>0</v>
      </c>
      <c r="I1749" s="6">
        <f ca="1"/>
        <v>0</v>
      </c>
      <c r="J1749" s="6">
        <f ca="1"/>
        <v>0</v>
      </c>
    </row>
    <row r="1750" spans="1:10" ht="13" x14ac:dyDescent="0.15">
      <c r="A1750" s="6" t="str">
        <f ca="1">IFERROR(__xludf.DUMMYFUNCTION("""COMPUTED_VALUE"""),"Coding Pattern")</f>
        <v>Coding Pattern</v>
      </c>
      <c r="B1750" s="6" t="str">
        <f ca="1">IFERROR(__xludf.DUMMYFUNCTION("""COMPUTED_VALUE"""),"Coding Pattern")</f>
        <v>Coding Pattern</v>
      </c>
      <c r="H1750" s="6">
        <f ca="1"/>
        <v>0</v>
      </c>
      <c r="I1750" s="6">
        <f ca="1"/>
        <v>0</v>
      </c>
      <c r="J1750" s="6">
        <f ca="1"/>
        <v>0</v>
      </c>
    </row>
    <row r="1751" spans="1:10" ht="13" x14ac:dyDescent="0.15">
      <c r="A1751" s="6" t="str">
        <f ca="1">IFERROR(__xludf.DUMMYFUNCTION("""COMPUTED_VALUE"""),"Coding Pattern")</f>
        <v>Coding Pattern</v>
      </c>
      <c r="B1751" s="6" t="str">
        <f ca="1">IFERROR(__xludf.DUMMYFUNCTION("""COMPUTED_VALUE"""),"Maintainability")</f>
        <v>Maintainability</v>
      </c>
      <c r="H1751" s="6">
        <f ca="1"/>
        <v>0</v>
      </c>
      <c r="I1751" s="6">
        <f ca="1"/>
        <v>0</v>
      </c>
      <c r="J1751" s="6">
        <f ca="1"/>
        <v>0</v>
      </c>
    </row>
    <row r="1752" spans="1:10" ht="13" x14ac:dyDescent="0.15">
      <c r="A1752" s="6" t="str">
        <f ca="1">IFERROR(__xludf.DUMMYFUNCTION("""COMPUTED_VALUE"""),"Task Execution")</f>
        <v>Task Execution</v>
      </c>
      <c r="B1752" s="6" t="str">
        <f ca="1">IFERROR(__xludf.DUMMYFUNCTION("""COMPUTED_VALUE"""),"Coding Style")</f>
        <v>Coding Style</v>
      </c>
      <c r="H1752" s="6">
        <f ca="1"/>
        <v>0</v>
      </c>
      <c r="I1752" s="6">
        <f ca="1"/>
        <v>0</v>
      </c>
      <c r="J1752" s="6">
        <f ca="1"/>
        <v>0</v>
      </c>
    </row>
    <row r="1753" spans="1:10" ht="13" x14ac:dyDescent="0.15">
      <c r="A1753" s="6" t="str">
        <f ca="1">IFERROR(__xludf.DUMMYFUNCTION("""COMPUTED_VALUE"""),"Task Execution")</f>
        <v>Task Execution</v>
      </c>
      <c r="B1753" s="6" t="str">
        <f ca="1">IFERROR(__xludf.DUMMYFUNCTION("""COMPUTED_VALUE"""),"Task Execution")</f>
        <v>Task Execution</v>
      </c>
      <c r="H1753" s="6">
        <f ca="1"/>
        <v>0</v>
      </c>
      <c r="I1753" s="6">
        <f ca="1"/>
        <v>0</v>
      </c>
      <c r="J1753" s="6">
        <f ca="1"/>
        <v>0</v>
      </c>
    </row>
    <row r="1754" spans="1:10" ht="13" x14ac:dyDescent="0.15">
      <c r="A1754" s="6" t="str">
        <f ca="1">IFERROR(__xludf.DUMMYFUNCTION("""COMPUTED_VALUE"""),"Commit&amp;PR rule")</f>
        <v>Commit&amp;PR rule</v>
      </c>
      <c r="B1754" s="6" t="str">
        <f ca="1">IFERROR(__xludf.DUMMYFUNCTION("""COMPUTED_VALUE"""),"Commit&amp;PR rule")</f>
        <v>Commit&amp;PR rule</v>
      </c>
      <c r="H1754" s="6">
        <f ca="1"/>
        <v>0</v>
      </c>
      <c r="I1754" s="6">
        <f ca="1"/>
        <v>0</v>
      </c>
      <c r="J1754" s="6">
        <f ca="1"/>
        <v>0</v>
      </c>
    </row>
    <row r="1755" spans="1:10" ht="13" x14ac:dyDescent="0.15">
      <c r="A1755" s="6" t="str">
        <f ca="1">IFERROR(__xludf.DUMMYFUNCTION("""COMPUTED_VALUE"""),"Coding Pattern")</f>
        <v>Coding Pattern</v>
      </c>
      <c r="B1755" s="6" t="str">
        <f ca="1">IFERROR(__xludf.DUMMYFUNCTION("""COMPUTED_VALUE"""),"Testing")</f>
        <v>Testing</v>
      </c>
      <c r="H1755" s="6">
        <f ca="1"/>
        <v>0</v>
      </c>
      <c r="I1755" s="6">
        <f ca="1"/>
        <v>0</v>
      </c>
      <c r="J1755" s="6">
        <f ca="1"/>
        <v>0</v>
      </c>
    </row>
    <row r="1756" spans="1:10" ht="13" x14ac:dyDescent="0.15">
      <c r="A1756" s="6" t="str">
        <f ca="1">IFERROR(__xludf.DUMMYFUNCTION("""COMPUTED_VALUE"""),"Commit&amp;PR rule")</f>
        <v>Commit&amp;PR rule</v>
      </c>
      <c r="B1756" s="6" t="str">
        <f ca="1">IFERROR(__xludf.DUMMYFUNCTION("""COMPUTED_VALUE"""),"Commit&amp;PR rule")</f>
        <v>Commit&amp;PR rule</v>
      </c>
      <c r="H1756" s="6">
        <f ca="1"/>
        <v>0</v>
      </c>
      <c r="I1756" s="6">
        <f ca="1"/>
        <v>0</v>
      </c>
      <c r="J1756" s="6">
        <f ca="1"/>
        <v>0</v>
      </c>
    </row>
    <row r="1757" spans="1:10" ht="13" x14ac:dyDescent="0.15">
      <c r="A1757" s="6" t="str">
        <f ca="1">IFERROR(__xludf.DUMMYFUNCTION("""COMPUTED_VALUE"""),"Commit&amp;PR rule")</f>
        <v>Commit&amp;PR rule</v>
      </c>
      <c r="B1757" s="6" t="str">
        <f ca="1">IFERROR(__xludf.DUMMYFUNCTION("""COMPUTED_VALUE"""),"Commit&amp;PR rule")</f>
        <v>Commit&amp;PR rule</v>
      </c>
      <c r="H1757" s="6">
        <f ca="1"/>
        <v>0</v>
      </c>
      <c r="I1757" s="6">
        <f ca="1"/>
        <v>0</v>
      </c>
      <c r="J1757" s="6">
        <f ca="1"/>
        <v>0</v>
      </c>
    </row>
    <row r="1758" spans="1:10" ht="13" x14ac:dyDescent="0.15">
      <c r="A1758" s="6" t="str">
        <f ca="1">IFERROR(__xludf.DUMMYFUNCTION("""COMPUTED_VALUE"""),"Coding Style")</f>
        <v>Coding Style</v>
      </c>
      <c r="B1758" s="6" t="str">
        <f ca="1">IFERROR(__xludf.DUMMYFUNCTION("""COMPUTED_VALUE"""),"Coding Pattern")</f>
        <v>Coding Pattern</v>
      </c>
      <c r="H1758" s="6">
        <f ca="1"/>
        <v>0</v>
      </c>
      <c r="I1758" s="6">
        <f ca="1"/>
        <v>0</v>
      </c>
      <c r="J1758" s="6">
        <f ca="1"/>
        <v>0</v>
      </c>
    </row>
    <row r="1759" spans="1:10" ht="13" x14ac:dyDescent="0.15">
      <c r="A1759" s="6" t="str">
        <f ca="1">IFERROR(__xludf.DUMMYFUNCTION("""COMPUTED_VALUE"""),"Coding Style")</f>
        <v>Coding Style</v>
      </c>
      <c r="B1759" s="6" t="str">
        <f ca="1">IFERROR(__xludf.DUMMYFUNCTION("""COMPUTED_VALUE"""),"Coding Style")</f>
        <v>Coding Style</v>
      </c>
      <c r="H1759" s="6">
        <f ca="1"/>
        <v>0</v>
      </c>
      <c r="I1759" s="6">
        <f ca="1"/>
        <v>0</v>
      </c>
      <c r="J1759" s="6">
        <f ca="1"/>
        <v>0</v>
      </c>
    </row>
    <row r="1760" spans="1:10" ht="13" x14ac:dyDescent="0.15">
      <c r="A1760" s="6" t="str">
        <f ca="1">IFERROR(__xludf.DUMMYFUNCTION("""COMPUTED_VALUE"""),"Coding Style")</f>
        <v>Coding Style</v>
      </c>
      <c r="B1760" s="6" t="str">
        <f ca="1">IFERROR(__xludf.DUMMYFUNCTION("""COMPUTED_VALUE"""),"Coding Style")</f>
        <v>Coding Style</v>
      </c>
      <c r="H1760" s="6">
        <f ca="1"/>
        <v>0</v>
      </c>
      <c r="I1760" s="6">
        <f ca="1"/>
        <v>0</v>
      </c>
      <c r="J1760" s="6">
        <f ca="1"/>
        <v>0</v>
      </c>
    </row>
    <row r="1761" spans="1:10" ht="13" x14ac:dyDescent="0.15">
      <c r="A1761" s="6" t="str">
        <f ca="1">IFERROR(__xludf.DUMMYFUNCTION("""COMPUTED_VALUE"""),"Coding Style")</f>
        <v>Coding Style</v>
      </c>
      <c r="B1761" s="6" t="str">
        <f ca="1">IFERROR(__xludf.DUMMYFUNCTION("""COMPUTED_VALUE"""),"Coding Style")</f>
        <v>Coding Style</v>
      </c>
      <c r="H1761" s="6">
        <f ca="1"/>
        <v>0</v>
      </c>
      <c r="I1761" s="6">
        <f ca="1"/>
        <v>0</v>
      </c>
      <c r="J1761" s="6">
        <f ca="1"/>
        <v>0</v>
      </c>
    </row>
    <row r="1762" spans="1:10" ht="13" x14ac:dyDescent="0.15">
      <c r="A1762" s="6" t="str">
        <f ca="1">IFERROR(__xludf.DUMMYFUNCTION("""COMPUTED_VALUE"""),"Coding Style")</f>
        <v>Coding Style</v>
      </c>
      <c r="B1762" s="6" t="str">
        <f ca="1">IFERROR(__xludf.DUMMYFUNCTION("""COMPUTED_VALUE"""),"Coding Style")</f>
        <v>Coding Style</v>
      </c>
      <c r="H1762" s="6">
        <f ca="1"/>
        <v>0</v>
      </c>
      <c r="I1762" s="6">
        <f ca="1"/>
        <v>0</v>
      </c>
      <c r="J1762" s="6">
        <f ca="1"/>
        <v>0</v>
      </c>
    </row>
    <row r="1763" spans="1:10" ht="13" x14ac:dyDescent="0.15">
      <c r="A1763" s="6" t="str">
        <f ca="1">IFERROR(__xludf.DUMMYFUNCTION("""COMPUTED_VALUE"""),"Documentation")</f>
        <v>Documentation</v>
      </c>
      <c r="B1763" s="6" t="str">
        <f ca="1">IFERROR(__xludf.DUMMYFUNCTION("""COMPUTED_VALUE"""),"Documentation")</f>
        <v>Documentation</v>
      </c>
      <c r="H1763" s="6">
        <f ca="1"/>
        <v>0</v>
      </c>
      <c r="I1763" s="6">
        <f ca="1"/>
        <v>0</v>
      </c>
      <c r="J1763" s="6">
        <f ca="1"/>
        <v>0</v>
      </c>
    </row>
    <row r="1764" spans="1:10" ht="13" x14ac:dyDescent="0.15">
      <c r="A1764" s="6" t="str">
        <f ca="1">IFERROR(__xludf.DUMMYFUNCTION("""COMPUTED_VALUE"""),"Commit&amp;PR rule")</f>
        <v>Commit&amp;PR rule</v>
      </c>
      <c r="B1764" s="6" t="str">
        <f ca="1">IFERROR(__xludf.DUMMYFUNCTION("""COMPUTED_VALUE"""),"Commit&amp;PR rule")</f>
        <v>Commit&amp;PR rule</v>
      </c>
      <c r="H1764" s="6">
        <f ca="1"/>
        <v>0</v>
      </c>
      <c r="I1764" s="6">
        <f ca="1"/>
        <v>0</v>
      </c>
      <c r="J1764" s="6">
        <f ca="1"/>
        <v>0</v>
      </c>
    </row>
    <row r="1765" spans="1:10" ht="13" x14ac:dyDescent="0.15">
      <c r="A1765" s="6" t="str">
        <f ca="1">IFERROR(__xludf.DUMMYFUNCTION("""COMPUTED_VALUE"""),"Coding Style")</f>
        <v>Coding Style</v>
      </c>
      <c r="B1765" s="6" t="str">
        <f ca="1">IFERROR(__xludf.DUMMYFUNCTION("""COMPUTED_VALUE"""),"Coding Style")</f>
        <v>Coding Style</v>
      </c>
      <c r="H1765" s="6">
        <f ca="1"/>
        <v>0</v>
      </c>
      <c r="I1765" s="6">
        <f ca="1"/>
        <v>0</v>
      </c>
      <c r="J1765" s="6">
        <f ca="1"/>
        <v>0</v>
      </c>
    </row>
    <row r="1766" spans="1:10" ht="13" x14ac:dyDescent="0.15">
      <c r="A1766" s="6" t="str">
        <f ca="1">IFERROR(__xludf.DUMMYFUNCTION("""COMPUTED_VALUE"""),"Coding Style")</f>
        <v>Coding Style</v>
      </c>
      <c r="B1766" s="6" t="str">
        <f ca="1">IFERROR(__xludf.DUMMYFUNCTION("""COMPUTED_VALUE"""),"Coding Style")</f>
        <v>Coding Style</v>
      </c>
      <c r="H1766" s="6">
        <f ca="1"/>
        <v>0</v>
      </c>
      <c r="I1766" s="6">
        <f ca="1"/>
        <v>0</v>
      </c>
      <c r="J1766" s="6">
        <f ca="1"/>
        <v>0</v>
      </c>
    </row>
    <row r="1767" spans="1:10" ht="13" x14ac:dyDescent="0.15">
      <c r="A1767" s="6" t="str">
        <f ca="1">IFERROR(__xludf.DUMMYFUNCTION("""COMPUTED_VALUE"""),"Task Execution")</f>
        <v>Task Execution</v>
      </c>
      <c r="B1767" s="6" t="str">
        <f ca="1">IFERROR(__xludf.DUMMYFUNCTION("""COMPUTED_VALUE"""),"Coding Pattern")</f>
        <v>Coding Pattern</v>
      </c>
      <c r="H1767" s="6">
        <f ca="1"/>
        <v>0</v>
      </c>
      <c r="I1767" s="6">
        <f ca="1"/>
        <v>0</v>
      </c>
      <c r="J1767" s="6">
        <f ca="1"/>
        <v>0</v>
      </c>
    </row>
    <row r="1768" spans="1:10" ht="13" x14ac:dyDescent="0.15">
      <c r="A1768" s="6" t="str">
        <f ca="1">IFERROR(__xludf.DUMMYFUNCTION("""COMPUTED_VALUE"""),"Documentation")</f>
        <v>Documentation</v>
      </c>
      <c r="B1768" s="6" t="str">
        <f ca="1">IFERROR(__xludf.DUMMYFUNCTION("""COMPUTED_VALUE"""),"Documentation")</f>
        <v>Documentation</v>
      </c>
      <c r="H1768" s="6">
        <f ca="1"/>
        <v>0</v>
      </c>
      <c r="I1768" s="6">
        <f ca="1"/>
        <v>0</v>
      </c>
      <c r="J1768" s="6">
        <f ca="1"/>
        <v>0</v>
      </c>
    </row>
    <row r="1769" spans="1:10" ht="13" x14ac:dyDescent="0.15">
      <c r="A1769" s="6" t="str">
        <f ca="1">IFERROR(__xludf.DUMMYFUNCTION("""COMPUTED_VALUE"""),"Coding Style")</f>
        <v>Coding Style</v>
      </c>
      <c r="B1769" s="6" t="str">
        <f ca="1">IFERROR(__xludf.DUMMYFUNCTION("""COMPUTED_VALUE"""),"Coding Style")</f>
        <v>Coding Style</v>
      </c>
      <c r="H1769" s="6">
        <f ca="1"/>
        <v>0</v>
      </c>
      <c r="I1769" s="6">
        <f ca="1"/>
        <v>0</v>
      </c>
      <c r="J1769" s="6">
        <f ca="1"/>
        <v>0</v>
      </c>
    </row>
    <row r="1770" spans="1:10" ht="13" x14ac:dyDescent="0.15">
      <c r="A1770" s="6" t="str">
        <f ca="1">IFERROR(__xludf.DUMMYFUNCTION("""COMPUTED_VALUE"""),"Coding Style")</f>
        <v>Coding Style</v>
      </c>
      <c r="B1770" s="6" t="str">
        <f ca="1">IFERROR(__xludf.DUMMYFUNCTION("""COMPUTED_VALUE"""),"Coding Style")</f>
        <v>Coding Style</v>
      </c>
      <c r="H1770" s="6">
        <f ca="1"/>
        <v>0</v>
      </c>
      <c r="I1770" s="6">
        <f ca="1"/>
        <v>0</v>
      </c>
      <c r="J1770" s="6">
        <f ca="1"/>
        <v>0</v>
      </c>
    </row>
    <row r="1771" spans="1:10" ht="13" x14ac:dyDescent="0.15">
      <c r="A1771" s="6" t="str">
        <f ca="1">IFERROR(__xludf.DUMMYFUNCTION("""COMPUTED_VALUE"""),"Coding Style")</f>
        <v>Coding Style</v>
      </c>
      <c r="B1771" s="6" t="str">
        <f ca="1">IFERROR(__xludf.DUMMYFUNCTION("""COMPUTED_VALUE"""),"Coding Style")</f>
        <v>Coding Style</v>
      </c>
      <c r="H1771" s="6">
        <f ca="1"/>
        <v>0</v>
      </c>
      <c r="I1771" s="6">
        <f ca="1"/>
        <v>0</v>
      </c>
      <c r="J1771" s="6">
        <f ca="1"/>
        <v>0</v>
      </c>
    </row>
    <row r="1772" spans="1:10" ht="13" x14ac:dyDescent="0.15">
      <c r="A1772" s="6" t="str">
        <f ca="1">IFERROR(__xludf.DUMMYFUNCTION("""COMPUTED_VALUE"""),"Coding Style")</f>
        <v>Coding Style</v>
      </c>
      <c r="B1772" s="6" t="str">
        <f ca="1">IFERROR(__xludf.DUMMYFUNCTION("""COMPUTED_VALUE"""),"Coding Style")</f>
        <v>Coding Style</v>
      </c>
      <c r="H1772" s="6">
        <f ca="1"/>
        <v>0</v>
      </c>
      <c r="I1772" s="6">
        <f ca="1"/>
        <v>0</v>
      </c>
      <c r="J1772" s="6">
        <f ca="1"/>
        <v>0</v>
      </c>
    </row>
    <row r="1773" spans="1:10" ht="13" x14ac:dyDescent="0.15">
      <c r="A1773" s="6" t="str">
        <f ca="1">IFERROR(__xludf.DUMMYFUNCTION("""COMPUTED_VALUE"""),"Coding Pattern")</f>
        <v>Coding Pattern</v>
      </c>
      <c r="B1773" s="6" t="str">
        <f ca="1">IFERROR(__xludf.DUMMYFUNCTION("""COMPUTED_VALUE"""),"Coding Pattern")</f>
        <v>Coding Pattern</v>
      </c>
      <c r="H1773" s="6">
        <f ca="1"/>
        <v>0</v>
      </c>
      <c r="I1773" s="6">
        <f ca="1"/>
        <v>0</v>
      </c>
      <c r="J1773" s="6">
        <f ca="1"/>
        <v>0</v>
      </c>
    </row>
    <row r="1774" spans="1:10" ht="13" x14ac:dyDescent="0.15">
      <c r="A1774" s="6" t="str">
        <f ca="1">IFERROR(__xludf.DUMMYFUNCTION("""COMPUTED_VALUE"""),"Coding Pattern")</f>
        <v>Coding Pattern</v>
      </c>
      <c r="B1774" s="6" t="str">
        <f ca="1">IFERROR(__xludf.DUMMYFUNCTION("""COMPUTED_VALUE"""),"Coding Pattern")</f>
        <v>Coding Pattern</v>
      </c>
      <c r="H1774" s="6">
        <f ca="1"/>
        <v>0</v>
      </c>
      <c r="I1774" s="6">
        <f ca="1"/>
        <v>0</v>
      </c>
      <c r="J1774" s="6">
        <f ca="1"/>
        <v>0</v>
      </c>
    </row>
    <row r="1775" spans="1:10" ht="13" x14ac:dyDescent="0.15">
      <c r="A1775" s="6" t="str">
        <f ca="1">IFERROR(__xludf.DUMMYFUNCTION("""COMPUTED_VALUE"""),"Coding Pattern")</f>
        <v>Coding Pattern</v>
      </c>
      <c r="B1775" s="6" t="str">
        <f ca="1">IFERROR(__xludf.DUMMYFUNCTION("""COMPUTED_VALUE"""),"Coding Pattern")</f>
        <v>Coding Pattern</v>
      </c>
      <c r="H1775" s="6">
        <f ca="1"/>
        <v>0</v>
      </c>
      <c r="I1775" s="6">
        <f ca="1"/>
        <v>0</v>
      </c>
      <c r="J1775" s="6">
        <f ca="1"/>
        <v>0</v>
      </c>
    </row>
    <row r="1776" spans="1:10" ht="13" x14ac:dyDescent="0.15">
      <c r="A1776" s="6" t="str">
        <f ca="1">IFERROR(__xludf.DUMMYFUNCTION("""COMPUTED_VALUE"""),"Task Execution")</f>
        <v>Task Execution</v>
      </c>
      <c r="B1776" s="6" t="str">
        <f ca="1">IFERROR(__xludf.DUMMYFUNCTION("""COMPUTED_VALUE"""),"Task Execution")</f>
        <v>Task Execution</v>
      </c>
      <c r="H1776" s="6">
        <f ca="1"/>
        <v>0</v>
      </c>
      <c r="I1776" s="6">
        <f ca="1"/>
        <v>0</v>
      </c>
      <c r="J1776" s="6">
        <f ca="1"/>
        <v>0</v>
      </c>
    </row>
    <row r="1777" spans="1:10" ht="13" x14ac:dyDescent="0.15">
      <c r="A1777" s="6" t="str">
        <f ca="1">IFERROR(__xludf.DUMMYFUNCTION("""COMPUTED_VALUE"""),"Build &amp; Operation")</f>
        <v>Build &amp; Operation</v>
      </c>
      <c r="B1777" s="6" t="str">
        <f ca="1">IFERROR(__xludf.DUMMYFUNCTION("""COMPUTED_VALUE"""),"Build &amp; Operation")</f>
        <v>Build &amp; Operation</v>
      </c>
      <c r="H1777" s="6">
        <f ca="1"/>
        <v>0</v>
      </c>
      <c r="I1777" s="6">
        <f ca="1"/>
        <v>0</v>
      </c>
      <c r="J1777" s="6">
        <f ca="1"/>
        <v>0</v>
      </c>
    </row>
    <row r="1778" spans="1:10" ht="13" x14ac:dyDescent="0.15">
      <c r="A1778" s="6" t="str">
        <f ca="1">IFERROR(__xludf.DUMMYFUNCTION("""COMPUTED_VALUE"""),"Task Execution")</f>
        <v>Task Execution</v>
      </c>
      <c r="B1778" s="6" t="str">
        <f ca="1">IFERROR(__xludf.DUMMYFUNCTION("""COMPUTED_VALUE"""),"Task Execution")</f>
        <v>Task Execution</v>
      </c>
      <c r="H1778" s="6">
        <f ca="1"/>
        <v>0</v>
      </c>
      <c r="I1778" s="6">
        <f ca="1"/>
        <v>0</v>
      </c>
      <c r="J1778" s="6">
        <f ca="1"/>
        <v>0</v>
      </c>
    </row>
    <row r="1779" spans="1:10" ht="13" x14ac:dyDescent="0.15">
      <c r="A1779" s="6" t="str">
        <f ca="1">IFERROR(__xludf.DUMMYFUNCTION("""COMPUTED_VALUE"""),"Testing")</f>
        <v>Testing</v>
      </c>
      <c r="B1779" s="6" t="str">
        <f ca="1">IFERROR(__xludf.DUMMYFUNCTION("""COMPUTED_VALUE"""),"Coding Style")</f>
        <v>Coding Style</v>
      </c>
      <c r="H1779" s="6">
        <f ca="1"/>
        <v>0</v>
      </c>
      <c r="I1779" s="6">
        <f ca="1"/>
        <v>0</v>
      </c>
      <c r="J1779" s="6">
        <f ca="1"/>
        <v>0</v>
      </c>
    </row>
    <row r="1780" spans="1:10" ht="13" x14ac:dyDescent="0.15">
      <c r="A1780" s="6" t="str">
        <f ca="1">IFERROR(__xludf.DUMMYFUNCTION("""COMPUTED_VALUE"""),"Commit&amp;PR rule")</f>
        <v>Commit&amp;PR rule</v>
      </c>
      <c r="B1780" s="6" t="str">
        <f ca="1">IFERROR(__xludf.DUMMYFUNCTION("""COMPUTED_VALUE"""),"Commit&amp;PR rule")</f>
        <v>Commit&amp;PR rule</v>
      </c>
      <c r="H1780" s="6">
        <f ca="1"/>
        <v>0</v>
      </c>
      <c r="I1780" s="6">
        <f ca="1"/>
        <v>0</v>
      </c>
      <c r="J1780" s="6">
        <f ca="1"/>
        <v>0</v>
      </c>
    </row>
    <row r="1781" spans="1:10" ht="13" x14ac:dyDescent="0.15">
      <c r="A1781" s="6" t="str">
        <f ca="1">IFERROR(__xludf.DUMMYFUNCTION("""COMPUTED_VALUE"""),"Commit&amp;PR rule")</f>
        <v>Commit&amp;PR rule</v>
      </c>
      <c r="B1781" s="6" t="str">
        <f ca="1">IFERROR(__xludf.DUMMYFUNCTION("""COMPUTED_VALUE"""),"Code Review")</f>
        <v>Code Review</v>
      </c>
      <c r="H1781" s="6">
        <f ca="1"/>
        <v>0</v>
      </c>
      <c r="I1781" s="6">
        <f ca="1"/>
        <v>0</v>
      </c>
      <c r="J1781" s="6">
        <f ca="1"/>
        <v>0</v>
      </c>
    </row>
    <row r="1782" spans="1:10" ht="13" x14ac:dyDescent="0.15">
      <c r="A1782" s="6" t="str">
        <f ca="1">IFERROR(__xludf.DUMMYFUNCTION("""COMPUTED_VALUE"""),"Documentation")</f>
        <v>Documentation</v>
      </c>
      <c r="B1782" s="6" t="str">
        <f ca="1">IFERROR(__xludf.DUMMYFUNCTION("""COMPUTED_VALUE"""),"Documentation")</f>
        <v>Documentation</v>
      </c>
      <c r="H1782" s="6">
        <f ca="1"/>
        <v>0</v>
      </c>
      <c r="I1782" s="6">
        <f ca="1"/>
        <v>0</v>
      </c>
      <c r="J1782" s="6">
        <f ca="1"/>
        <v>0</v>
      </c>
    </row>
    <row r="1783" spans="1:10" ht="13" x14ac:dyDescent="0.15">
      <c r="A1783" s="6" t="str">
        <f ca="1">IFERROR(__xludf.DUMMYFUNCTION("""COMPUTED_VALUE"""),"Build &amp; Operation")</f>
        <v>Build &amp; Operation</v>
      </c>
      <c r="B1783" s="6" t="str">
        <f ca="1">IFERROR(__xludf.DUMMYFUNCTION("""COMPUTED_VALUE"""),"Build &amp; Operation")</f>
        <v>Build &amp; Operation</v>
      </c>
      <c r="H1783" s="6">
        <f ca="1"/>
        <v>0</v>
      </c>
      <c r="I1783" s="6">
        <f ca="1"/>
        <v>0</v>
      </c>
      <c r="J1783" s="6">
        <f ca="1"/>
        <v>0</v>
      </c>
    </row>
    <row r="1784" spans="1:10" ht="13" x14ac:dyDescent="0.15">
      <c r="A1784" s="6" t="str">
        <f ca="1">IFERROR(__xludf.DUMMYFUNCTION("""COMPUTED_VALUE"""),"Task Execution")</f>
        <v>Task Execution</v>
      </c>
      <c r="B1784" s="6" t="str">
        <f ca="1">IFERROR(__xludf.DUMMYFUNCTION("""COMPUTED_VALUE"""),"Task Execution")</f>
        <v>Task Execution</v>
      </c>
      <c r="H1784" s="6">
        <f ca="1"/>
        <v>0</v>
      </c>
      <c r="I1784" s="6">
        <f ca="1"/>
        <v>0</v>
      </c>
      <c r="J1784" s="6">
        <f ca="1"/>
        <v>0</v>
      </c>
    </row>
    <row r="1785" spans="1:10" ht="13" x14ac:dyDescent="0.15">
      <c r="A1785" s="6" t="str">
        <f ca="1">IFERROR(__xludf.DUMMYFUNCTION("""COMPUTED_VALUE"""),"Task Execution")</f>
        <v>Task Execution</v>
      </c>
      <c r="B1785" s="6" t="str">
        <f ca="1">IFERROR(__xludf.DUMMYFUNCTION("""COMPUTED_VALUE"""),"Build &amp; Operation")</f>
        <v>Build &amp; Operation</v>
      </c>
      <c r="H1785" s="6">
        <f ca="1"/>
        <v>0</v>
      </c>
      <c r="I1785" s="6">
        <f ca="1"/>
        <v>0</v>
      </c>
      <c r="J1785" s="6">
        <f ca="1"/>
        <v>0</v>
      </c>
    </row>
    <row r="1786" spans="1:10" ht="13" x14ac:dyDescent="0.15">
      <c r="A1786" s="6" t="str">
        <f ca="1">IFERROR(__xludf.DUMMYFUNCTION("""COMPUTED_VALUE"""),"Task Execution")</f>
        <v>Task Execution</v>
      </c>
      <c r="B1786" s="6" t="str">
        <f ca="1">IFERROR(__xludf.DUMMYFUNCTION("""COMPUTED_VALUE"""),"Build &amp; Operation")</f>
        <v>Build &amp; Operation</v>
      </c>
      <c r="H1786" s="6">
        <f ca="1"/>
        <v>0</v>
      </c>
      <c r="I1786" s="6">
        <f ca="1"/>
        <v>0</v>
      </c>
      <c r="J1786" s="6">
        <f ca="1"/>
        <v>0</v>
      </c>
    </row>
    <row r="1787" spans="1:10" ht="13" x14ac:dyDescent="0.15">
      <c r="A1787" s="6" t="str">
        <f ca="1">IFERROR(__xludf.DUMMYFUNCTION("""COMPUTED_VALUE"""),"Build &amp; Operation")</f>
        <v>Build &amp; Operation</v>
      </c>
      <c r="B1787" s="6" t="str">
        <f ca="1">IFERROR(__xludf.DUMMYFUNCTION("""COMPUTED_VALUE"""),"Build &amp; Operation")</f>
        <v>Build &amp; Operation</v>
      </c>
      <c r="H1787" s="6">
        <f ca="1"/>
        <v>0</v>
      </c>
      <c r="I1787" s="6">
        <f ca="1"/>
        <v>0</v>
      </c>
      <c r="J1787" s="6">
        <f ca="1"/>
        <v>0</v>
      </c>
    </row>
    <row r="1788" spans="1:10" ht="13" x14ac:dyDescent="0.15">
      <c r="A1788" s="6" t="str">
        <f ca="1">IFERROR(__xludf.DUMMYFUNCTION("""COMPUTED_VALUE"""),"Build &amp; Operation")</f>
        <v>Build &amp; Operation</v>
      </c>
      <c r="B1788" s="6" t="str">
        <f ca="1">IFERROR(__xludf.DUMMYFUNCTION("""COMPUTED_VALUE"""),"Build &amp; Operation")</f>
        <v>Build &amp; Operation</v>
      </c>
      <c r="H1788" s="6">
        <f ca="1"/>
        <v>0</v>
      </c>
      <c r="I1788" s="6">
        <f ca="1"/>
        <v>0</v>
      </c>
      <c r="J1788" s="6">
        <f ca="1"/>
        <v>0</v>
      </c>
    </row>
    <row r="1789" spans="1:10" ht="13" x14ac:dyDescent="0.15">
      <c r="A1789" s="6" t="str">
        <f ca="1">IFERROR(__xludf.DUMMYFUNCTION("""COMPUTED_VALUE"""),"Build &amp; Operation")</f>
        <v>Build &amp; Operation</v>
      </c>
      <c r="B1789" s="6" t="str">
        <f ca="1">IFERROR(__xludf.DUMMYFUNCTION("""COMPUTED_VALUE"""),"Build &amp; Operation")</f>
        <v>Build &amp; Operation</v>
      </c>
      <c r="H1789" s="6">
        <f ca="1"/>
        <v>0</v>
      </c>
      <c r="I1789" s="6">
        <f ca="1"/>
        <v>0</v>
      </c>
      <c r="J1789" s="6">
        <f ca="1"/>
        <v>0</v>
      </c>
    </row>
    <row r="1790" spans="1:10" ht="13" x14ac:dyDescent="0.15">
      <c r="A1790" s="6" t="str">
        <f ca="1">IFERROR(__xludf.DUMMYFUNCTION("""COMPUTED_VALUE"""),"Build &amp; Operation")</f>
        <v>Build &amp; Operation</v>
      </c>
      <c r="B1790" s="6" t="str">
        <f ca="1">IFERROR(__xludf.DUMMYFUNCTION("""COMPUTED_VALUE"""),"Build &amp; Operation")</f>
        <v>Build &amp; Operation</v>
      </c>
      <c r="H1790" s="6">
        <f ca="1"/>
        <v>0</v>
      </c>
      <c r="I1790" s="6">
        <f ca="1"/>
        <v>0</v>
      </c>
      <c r="J1790" s="6">
        <f ca="1"/>
        <v>0</v>
      </c>
    </row>
    <row r="1791" spans="1:10" ht="13" x14ac:dyDescent="0.15">
      <c r="A1791" s="6" t="str">
        <f ca="1">IFERROR(__xludf.DUMMYFUNCTION("""COMPUTED_VALUE"""),"Testing")</f>
        <v>Testing</v>
      </c>
      <c r="B1791" s="6" t="str">
        <f ca="1">IFERROR(__xludf.DUMMYFUNCTION("""COMPUTED_VALUE"""),"Testing")</f>
        <v>Testing</v>
      </c>
      <c r="H1791" s="6">
        <f ca="1"/>
        <v>0</v>
      </c>
      <c r="I1791" s="6">
        <f ca="1"/>
        <v>0</v>
      </c>
      <c r="J1791" s="6">
        <f ca="1"/>
        <v>0</v>
      </c>
    </row>
    <row r="1792" spans="1:10" ht="13" x14ac:dyDescent="0.15">
      <c r="A1792" s="6" t="str">
        <f ca="1">IFERROR(__xludf.DUMMYFUNCTION("""COMPUTED_VALUE"""),"Writing Style Preference")</f>
        <v>Writing Style Preference</v>
      </c>
      <c r="B1792" s="6" t="str">
        <f ca="1">IFERROR(__xludf.DUMMYFUNCTION("""COMPUTED_VALUE"""),"Writing Style Preference")</f>
        <v>Writing Style Preference</v>
      </c>
      <c r="H1792" s="6">
        <f ca="1"/>
        <v>0</v>
      </c>
      <c r="I1792" s="6">
        <f ca="1"/>
        <v>0</v>
      </c>
      <c r="J1792" s="6">
        <f ca="1"/>
        <v>0</v>
      </c>
    </row>
    <row r="1793" spans="1:10" ht="13" x14ac:dyDescent="0.15">
      <c r="A1793" s="6" t="str">
        <f ca="1">IFERROR(__xludf.DUMMYFUNCTION("""COMPUTED_VALUE"""),"Documentation")</f>
        <v>Documentation</v>
      </c>
      <c r="B1793" s="6" t="str">
        <f ca="1">IFERROR(__xludf.DUMMYFUNCTION("""COMPUTED_VALUE"""),"Documentation")</f>
        <v>Documentation</v>
      </c>
      <c r="H1793" s="6">
        <f ca="1"/>
        <v>0</v>
      </c>
      <c r="I1793" s="6">
        <f ca="1"/>
        <v>0</v>
      </c>
      <c r="J1793" s="6">
        <f ca="1"/>
        <v>0</v>
      </c>
    </row>
    <row r="1794" spans="1:10" ht="13" x14ac:dyDescent="0.15">
      <c r="A1794" s="6" t="str">
        <f ca="1">IFERROR(__xludf.DUMMYFUNCTION("""COMPUTED_VALUE"""),"Task Execution")</f>
        <v>Task Execution</v>
      </c>
      <c r="B1794" s="6" t="str">
        <f ca="1">IFERROR(__xludf.DUMMYFUNCTION("""COMPUTED_VALUE"""),"Task Execution")</f>
        <v>Task Execution</v>
      </c>
      <c r="H1794" s="6">
        <f ca="1"/>
        <v>0</v>
      </c>
      <c r="I1794" s="6">
        <f ca="1"/>
        <v>0</v>
      </c>
      <c r="J1794" s="6">
        <f ca="1"/>
        <v>0</v>
      </c>
    </row>
    <row r="1795" spans="1:10" ht="13" x14ac:dyDescent="0.15">
      <c r="A1795" s="6" t="str">
        <f ca="1">IFERROR(__xludf.DUMMYFUNCTION("""COMPUTED_VALUE"""),"Build &amp; Operation")</f>
        <v>Build &amp; Operation</v>
      </c>
      <c r="B1795" s="6" t="str">
        <f ca="1">IFERROR(__xludf.DUMMYFUNCTION("""COMPUTED_VALUE"""),"Build &amp; Operation")</f>
        <v>Build &amp; Operation</v>
      </c>
      <c r="H1795" s="6">
        <f ca="1"/>
        <v>0</v>
      </c>
      <c r="I1795" s="6">
        <f ca="1"/>
        <v>0</v>
      </c>
      <c r="J1795" s="6">
        <f ca="1"/>
        <v>0</v>
      </c>
    </row>
    <row r="1796" spans="1:10" ht="13" x14ac:dyDescent="0.15">
      <c r="A1796" s="6" t="str">
        <f ca="1">IFERROR(__xludf.DUMMYFUNCTION("""COMPUTED_VALUE"""),"Build &amp; Operation")</f>
        <v>Build &amp; Operation</v>
      </c>
      <c r="B1796" s="6" t="str">
        <f ca="1">IFERROR(__xludf.DUMMYFUNCTION("""COMPUTED_VALUE"""),"Build &amp; Operation")</f>
        <v>Build &amp; Operation</v>
      </c>
      <c r="H1796" s="6">
        <f ca="1"/>
        <v>0</v>
      </c>
      <c r="I1796" s="6">
        <f ca="1"/>
        <v>0</v>
      </c>
      <c r="J1796" s="6">
        <f ca="1"/>
        <v>0</v>
      </c>
    </row>
    <row r="1797" spans="1:10" ht="13" x14ac:dyDescent="0.15">
      <c r="A1797" s="6" t="str">
        <f ca="1">IFERROR(__xludf.DUMMYFUNCTION("""COMPUTED_VALUE"""),"Build &amp; Operation")</f>
        <v>Build &amp; Operation</v>
      </c>
      <c r="B1797" s="6" t="str">
        <f ca="1">IFERROR(__xludf.DUMMYFUNCTION("""COMPUTED_VALUE"""),"Build &amp; Operation")</f>
        <v>Build &amp; Operation</v>
      </c>
      <c r="H1797" s="6">
        <f ca="1"/>
        <v>0</v>
      </c>
      <c r="I1797" s="6">
        <f ca="1"/>
        <v>0</v>
      </c>
      <c r="J1797" s="6">
        <f ca="1"/>
        <v>0</v>
      </c>
    </row>
    <row r="1798" spans="1:10" ht="13" x14ac:dyDescent="0.15">
      <c r="A1798" s="6" t="str">
        <f ca="1">IFERROR(__xludf.DUMMYFUNCTION("""COMPUTED_VALUE"""),"Build &amp; Operation")</f>
        <v>Build &amp; Operation</v>
      </c>
      <c r="B1798" s="6" t="str">
        <f ca="1">IFERROR(__xludf.DUMMYFUNCTION("""COMPUTED_VALUE"""),"Build &amp; Operation")</f>
        <v>Build &amp; Operation</v>
      </c>
      <c r="H1798" s="6">
        <f ca="1"/>
        <v>0</v>
      </c>
      <c r="I1798" s="6">
        <f ca="1"/>
        <v>0</v>
      </c>
      <c r="J1798" s="6">
        <f ca="1"/>
        <v>0</v>
      </c>
    </row>
    <row r="1799" spans="1:10" ht="13" x14ac:dyDescent="0.15">
      <c r="A1799" s="6" t="str">
        <f ca="1">IFERROR(__xludf.DUMMYFUNCTION("""COMPUTED_VALUE"""),"Testing")</f>
        <v>Testing</v>
      </c>
      <c r="B1799" s="6" t="str">
        <f ca="1">IFERROR(__xludf.DUMMYFUNCTION("""COMPUTED_VALUE"""),"Testing")</f>
        <v>Testing</v>
      </c>
      <c r="H1799" s="6">
        <f ca="1"/>
        <v>0</v>
      </c>
      <c r="I1799" s="6">
        <f ca="1"/>
        <v>0</v>
      </c>
      <c r="J1799" s="6">
        <f ca="1"/>
        <v>0</v>
      </c>
    </row>
    <row r="1800" spans="1:10" ht="13" x14ac:dyDescent="0.15">
      <c r="A1800" s="6" t="str">
        <f ca="1">IFERROR(__xludf.DUMMYFUNCTION("""COMPUTED_VALUE"""),"Coding Pattern")</f>
        <v>Coding Pattern</v>
      </c>
      <c r="B1800" s="6" t="str">
        <f ca="1">IFERROR(__xludf.DUMMYFUNCTION("""COMPUTED_VALUE"""),"Testing")</f>
        <v>Testing</v>
      </c>
      <c r="H1800" s="6">
        <f ca="1"/>
        <v>0</v>
      </c>
      <c r="I1800" s="6">
        <f ca="1"/>
        <v>0</v>
      </c>
      <c r="J1800" s="6">
        <f ca="1"/>
        <v>0</v>
      </c>
    </row>
    <row r="1801" spans="1:10" ht="13" x14ac:dyDescent="0.15">
      <c r="A1801" s="6" t="str">
        <f ca="1">IFERROR(__xludf.DUMMYFUNCTION("""COMPUTED_VALUE"""),"Task Execution")</f>
        <v>Task Execution</v>
      </c>
      <c r="B1801" s="6" t="str">
        <f ca="1">IFERROR(__xludf.DUMMYFUNCTION("""COMPUTED_VALUE"""),"Task Execution")</f>
        <v>Task Execution</v>
      </c>
      <c r="H1801" s="6">
        <f ca="1"/>
        <v>0</v>
      </c>
      <c r="I1801" s="6">
        <f ca="1"/>
        <v>0</v>
      </c>
      <c r="J1801" s="6">
        <f ca="1"/>
        <v>0</v>
      </c>
    </row>
    <row r="1802" spans="1:10" ht="13" x14ac:dyDescent="0.15">
      <c r="A1802" s="6" t="str">
        <f ca="1">IFERROR(__xludf.DUMMYFUNCTION("""COMPUTED_VALUE"""),"Testing")</f>
        <v>Testing</v>
      </c>
      <c r="B1802" s="6" t="str">
        <f ca="1">IFERROR(__xludf.DUMMYFUNCTION("""COMPUTED_VALUE"""),"Testing")</f>
        <v>Testing</v>
      </c>
      <c r="H1802" s="6">
        <f ca="1"/>
        <v>0</v>
      </c>
      <c r="I1802" s="6">
        <f ca="1"/>
        <v>0</v>
      </c>
      <c r="J1802" s="6">
        <f ca="1"/>
        <v>0</v>
      </c>
    </row>
    <row r="1803" spans="1:10" ht="13" x14ac:dyDescent="0.15">
      <c r="A1803" s="6" t="str">
        <f ca="1">IFERROR(__xludf.DUMMYFUNCTION("""COMPUTED_VALUE"""),"Testing")</f>
        <v>Testing</v>
      </c>
      <c r="B1803" s="6" t="str">
        <f ca="1">IFERROR(__xludf.DUMMYFUNCTION("""COMPUTED_VALUE"""),"Testing")</f>
        <v>Testing</v>
      </c>
      <c r="H1803" s="6">
        <f ca="1"/>
        <v>0</v>
      </c>
      <c r="I1803" s="6">
        <f ca="1"/>
        <v>0</v>
      </c>
      <c r="J1803" s="6">
        <f ca="1"/>
        <v>0</v>
      </c>
    </row>
    <row r="1804" spans="1:10" ht="13" x14ac:dyDescent="0.15">
      <c r="A1804" s="6" t="str">
        <f ca="1">IFERROR(__xludf.DUMMYFUNCTION("""COMPUTED_VALUE"""),"Task Execution")</f>
        <v>Task Execution</v>
      </c>
      <c r="B1804" s="6" t="str">
        <f ca="1">IFERROR(__xludf.DUMMYFUNCTION("""COMPUTED_VALUE"""),"Task Execution")</f>
        <v>Task Execution</v>
      </c>
      <c r="H1804" s="6">
        <f ca="1"/>
        <v>0</v>
      </c>
      <c r="I1804" s="6">
        <f ca="1"/>
        <v>0</v>
      </c>
      <c r="J1804" s="6">
        <f ca="1"/>
        <v>0</v>
      </c>
    </row>
    <row r="1805" spans="1:10" ht="13" x14ac:dyDescent="0.15">
      <c r="A1805" s="6" t="str">
        <f ca="1">IFERROR(__xludf.DUMMYFUNCTION("""COMPUTED_VALUE"""),"Commit&amp;PR rule")</f>
        <v>Commit&amp;PR rule</v>
      </c>
      <c r="B1805" s="6" t="str">
        <f ca="1">IFERROR(__xludf.DUMMYFUNCTION("""COMPUTED_VALUE"""),"Code Review")</f>
        <v>Code Review</v>
      </c>
      <c r="H1805" s="6">
        <f ca="1"/>
        <v>0</v>
      </c>
      <c r="I1805" s="6">
        <f ca="1"/>
        <v>0</v>
      </c>
      <c r="J1805" s="6">
        <f ca="1"/>
        <v>0</v>
      </c>
    </row>
    <row r="1806" spans="1:10" ht="13" x14ac:dyDescent="0.15">
      <c r="A1806" s="6" t="str">
        <f ca="1">IFERROR(__xludf.DUMMYFUNCTION("""COMPUTED_VALUE"""),"Commit&amp;PR rule")</f>
        <v>Commit&amp;PR rule</v>
      </c>
      <c r="B1806" s="6" t="str">
        <f ca="1">IFERROR(__xludf.DUMMYFUNCTION("""COMPUTED_VALUE"""),"Commit&amp;PR rule")</f>
        <v>Commit&amp;PR rule</v>
      </c>
      <c r="H1806" s="6">
        <f ca="1"/>
        <v>0</v>
      </c>
      <c r="I1806" s="6">
        <f ca="1"/>
        <v>0</v>
      </c>
      <c r="J1806" s="6">
        <f ca="1"/>
        <v>0</v>
      </c>
    </row>
    <row r="1807" spans="1:10" ht="13" x14ac:dyDescent="0.15">
      <c r="A1807" s="6" t="str">
        <f ca="1">IFERROR(__xludf.DUMMYFUNCTION("""COMPUTED_VALUE"""),"Task Execution")</f>
        <v>Task Execution</v>
      </c>
      <c r="B1807" s="6" t="str">
        <f ca="1">IFERROR(__xludf.DUMMYFUNCTION("""COMPUTED_VALUE"""),"Task Execution")</f>
        <v>Task Execution</v>
      </c>
      <c r="H1807" s="6">
        <f ca="1"/>
        <v>0</v>
      </c>
      <c r="I1807" s="6">
        <f ca="1"/>
        <v>0</v>
      </c>
      <c r="J1807" s="6">
        <f ca="1"/>
        <v>0</v>
      </c>
    </row>
    <row r="1808" spans="1:10" ht="13" x14ac:dyDescent="0.15">
      <c r="A1808" s="6" t="str">
        <f ca="1">IFERROR(__xludf.DUMMYFUNCTION("""COMPUTED_VALUE"""),"Security")</f>
        <v>Security</v>
      </c>
      <c r="B1808" s="6" t="str">
        <f ca="1">IFERROR(__xludf.DUMMYFUNCTION("""COMPUTED_VALUE"""),"Security")</f>
        <v>Security</v>
      </c>
      <c r="H1808" s="6">
        <f ca="1"/>
        <v>0</v>
      </c>
      <c r="I1808" s="6">
        <f ca="1"/>
        <v>0</v>
      </c>
      <c r="J1808" s="6">
        <f ca="1"/>
        <v>0</v>
      </c>
    </row>
    <row r="1809" spans="1:10" ht="13" x14ac:dyDescent="0.15">
      <c r="A1809" s="6" t="str">
        <f ca="1">IFERROR(__xludf.DUMMYFUNCTION("""COMPUTED_VALUE"""),"Task Execution")</f>
        <v>Task Execution</v>
      </c>
      <c r="B1809" s="6" t="str">
        <f ca="1">IFERROR(__xludf.DUMMYFUNCTION("""COMPUTED_VALUE"""),"Task Execution")</f>
        <v>Task Execution</v>
      </c>
      <c r="H1809" s="6">
        <f ca="1"/>
        <v>0</v>
      </c>
      <c r="I1809" s="6">
        <f ca="1"/>
        <v>0</v>
      </c>
      <c r="J1809" s="6">
        <f ca="1"/>
        <v>0</v>
      </c>
    </row>
    <row r="1810" spans="1:10" ht="13" x14ac:dyDescent="0.15">
      <c r="A1810" s="6" t="str">
        <f ca="1">IFERROR(__xludf.DUMMYFUNCTION("""COMPUTED_VALUE"""),"Task Execution")</f>
        <v>Task Execution</v>
      </c>
      <c r="B1810" s="6" t="str">
        <f ca="1">IFERROR(__xludf.DUMMYFUNCTION("""COMPUTED_VALUE"""),"Coding Pattern")</f>
        <v>Coding Pattern</v>
      </c>
      <c r="H1810" s="6">
        <f ca="1"/>
        <v>0</v>
      </c>
      <c r="I1810" s="6">
        <f ca="1"/>
        <v>0</v>
      </c>
      <c r="J1810" s="6">
        <f ca="1"/>
        <v>0</v>
      </c>
    </row>
    <row r="1811" spans="1:10" ht="13" x14ac:dyDescent="0.15">
      <c r="A1811" s="6" t="str">
        <f ca="1">IFERROR(__xludf.DUMMYFUNCTION("""COMPUTED_VALUE"""),"Task Execution")</f>
        <v>Task Execution</v>
      </c>
      <c r="B1811" s="6" t="str">
        <f ca="1">IFERROR(__xludf.DUMMYFUNCTION("""COMPUTED_VALUE"""),"Task Execution")</f>
        <v>Task Execution</v>
      </c>
      <c r="H1811" s="6">
        <f ca="1"/>
        <v>0</v>
      </c>
      <c r="I1811" s="6">
        <f ca="1"/>
        <v>0</v>
      </c>
      <c r="J1811" s="6">
        <f ca="1"/>
        <v>0</v>
      </c>
    </row>
    <row r="1812" spans="1:10" ht="13" x14ac:dyDescent="0.15">
      <c r="A1812" s="6" t="str">
        <f ca="1">IFERROR(__xludf.DUMMYFUNCTION("""COMPUTED_VALUE"""),"Coding Pattern")</f>
        <v>Coding Pattern</v>
      </c>
      <c r="B1812" s="6" t="str">
        <f ca="1">IFERROR(__xludf.DUMMYFUNCTION("""COMPUTED_VALUE"""),"Testing")</f>
        <v>Testing</v>
      </c>
      <c r="H1812" s="6">
        <f ca="1"/>
        <v>0</v>
      </c>
      <c r="I1812" s="6">
        <f ca="1"/>
        <v>0</v>
      </c>
      <c r="J1812" s="6">
        <f ca="1"/>
        <v>0</v>
      </c>
    </row>
    <row r="1813" spans="1:10" ht="13" x14ac:dyDescent="0.15">
      <c r="A1813" s="6" t="str">
        <f ca="1">IFERROR(__xludf.DUMMYFUNCTION("""COMPUTED_VALUE"""),"Coding Pattern")</f>
        <v>Coding Pattern</v>
      </c>
      <c r="B1813" s="6" t="str">
        <f ca="1">IFERROR(__xludf.DUMMYFUNCTION("""COMPUTED_VALUE"""),"Coding Pattern")</f>
        <v>Coding Pattern</v>
      </c>
      <c r="H1813" s="6">
        <f ca="1"/>
        <v>0</v>
      </c>
      <c r="I1813" s="6">
        <f ca="1"/>
        <v>0</v>
      </c>
      <c r="J1813" s="6">
        <f ca="1"/>
        <v>0</v>
      </c>
    </row>
    <row r="1814" spans="1:10" ht="13" x14ac:dyDescent="0.15">
      <c r="A1814" s="6" t="str">
        <f ca="1">IFERROR(__xludf.DUMMYFUNCTION("""COMPUTED_VALUE"""),"Security")</f>
        <v>Security</v>
      </c>
      <c r="B1814" s="6" t="str">
        <f ca="1">IFERROR(__xludf.DUMMYFUNCTION("""COMPUTED_VALUE"""),"Security")</f>
        <v>Security</v>
      </c>
      <c r="H1814" s="6">
        <f ca="1"/>
        <v>0</v>
      </c>
      <c r="I1814" s="6">
        <f ca="1"/>
        <v>0</v>
      </c>
      <c r="J1814" s="6">
        <f ca="1"/>
        <v>0</v>
      </c>
    </row>
    <row r="1815" spans="1:10" ht="13" x14ac:dyDescent="0.15">
      <c r="A1815" s="6" t="str">
        <f ca="1">IFERROR(__xludf.DUMMYFUNCTION("""COMPUTED_VALUE"""),"Commit&amp;PR rule")</f>
        <v>Commit&amp;PR rule</v>
      </c>
      <c r="B1815" s="6" t="str">
        <f ca="1">IFERROR(__xludf.DUMMYFUNCTION("""COMPUTED_VALUE"""),"Task Execution")</f>
        <v>Task Execution</v>
      </c>
      <c r="H1815" s="6">
        <f ca="1"/>
        <v>0</v>
      </c>
      <c r="I1815" s="6">
        <f ca="1"/>
        <v>0</v>
      </c>
      <c r="J1815" s="6">
        <f ca="1"/>
        <v>0</v>
      </c>
    </row>
    <row r="1816" spans="1:10" ht="13" x14ac:dyDescent="0.15">
      <c r="A1816" s="6" t="str">
        <f ca="1">IFERROR(__xludf.DUMMYFUNCTION("""COMPUTED_VALUE"""),"Task Execution")</f>
        <v>Task Execution</v>
      </c>
      <c r="B1816" s="6" t="str">
        <f ca="1">IFERROR(__xludf.DUMMYFUNCTION("""COMPUTED_VALUE"""),"Task Execution")</f>
        <v>Task Execution</v>
      </c>
      <c r="H1816" s="6">
        <f ca="1"/>
        <v>0</v>
      </c>
      <c r="I1816" s="6">
        <f ca="1"/>
        <v>0</v>
      </c>
      <c r="J1816" s="6">
        <f ca="1"/>
        <v>0</v>
      </c>
    </row>
    <row r="1817" spans="1:10" ht="13" x14ac:dyDescent="0.15">
      <c r="A1817" s="6" t="str">
        <f ca="1">IFERROR(__xludf.DUMMYFUNCTION("""COMPUTED_VALUE"""),"Coding Pattern")</f>
        <v>Coding Pattern</v>
      </c>
      <c r="B1817" s="6" t="str">
        <f ca="1">IFERROR(__xludf.DUMMYFUNCTION("""COMPUTED_VALUE"""),"Coding Pattern")</f>
        <v>Coding Pattern</v>
      </c>
      <c r="H1817" s="6">
        <f ca="1"/>
        <v>0</v>
      </c>
      <c r="I1817" s="6">
        <f ca="1"/>
        <v>0</v>
      </c>
      <c r="J1817" s="6">
        <f ca="1"/>
        <v>0</v>
      </c>
    </row>
    <row r="1818" spans="1:10" ht="13" x14ac:dyDescent="0.15">
      <c r="A1818" s="6" t="str">
        <f ca="1">IFERROR(__xludf.DUMMYFUNCTION("""COMPUTED_VALUE"""),"Coding Pattern")</f>
        <v>Coding Pattern</v>
      </c>
      <c r="B1818" s="6" t="str">
        <f ca="1">IFERROR(__xludf.DUMMYFUNCTION("""COMPUTED_VALUE"""),"Coding Pattern")</f>
        <v>Coding Pattern</v>
      </c>
      <c r="H1818" s="6">
        <f ca="1"/>
        <v>0</v>
      </c>
      <c r="I1818" s="6">
        <f ca="1"/>
        <v>0</v>
      </c>
      <c r="J1818" s="6">
        <f ca="1"/>
        <v>0</v>
      </c>
    </row>
    <row r="1819" spans="1:10" ht="13" x14ac:dyDescent="0.15">
      <c r="A1819" s="6" t="str">
        <f ca="1">IFERROR(__xludf.DUMMYFUNCTION("""COMPUTED_VALUE"""),"Task Execution")</f>
        <v>Task Execution</v>
      </c>
      <c r="B1819" s="6" t="str">
        <f ca="1">IFERROR(__xludf.DUMMYFUNCTION("""COMPUTED_VALUE"""),"Task Execution")</f>
        <v>Task Execution</v>
      </c>
      <c r="H1819" s="6">
        <f ca="1"/>
        <v>0</v>
      </c>
      <c r="I1819" s="6">
        <f ca="1"/>
        <v>0</v>
      </c>
      <c r="J1819" s="6">
        <f ca="1"/>
        <v>0</v>
      </c>
    </row>
    <row r="1820" spans="1:10" ht="13" x14ac:dyDescent="0.15">
      <c r="A1820" s="6" t="str">
        <f ca="1">IFERROR(__xludf.DUMMYFUNCTION("""COMPUTED_VALUE"""),"Task Execution")</f>
        <v>Task Execution</v>
      </c>
      <c r="B1820" s="6" t="str">
        <f ca="1">IFERROR(__xludf.DUMMYFUNCTION("""COMPUTED_VALUE"""),"Task Execution")</f>
        <v>Task Execution</v>
      </c>
      <c r="H1820" s="6">
        <f ca="1"/>
        <v>0</v>
      </c>
      <c r="I1820" s="6">
        <f ca="1"/>
        <v>0</v>
      </c>
      <c r="J1820" s="6">
        <f ca="1"/>
        <v>0</v>
      </c>
    </row>
    <row r="1821" spans="1:10" ht="13" x14ac:dyDescent="0.15">
      <c r="A1821" s="6" t="str">
        <f ca="1">IFERROR(__xludf.DUMMYFUNCTION("""COMPUTED_VALUE"""),"Task Execution")</f>
        <v>Task Execution</v>
      </c>
      <c r="B1821" s="6" t="str">
        <f ca="1">IFERROR(__xludf.DUMMYFUNCTION("""COMPUTED_VALUE"""),"Task Execution")</f>
        <v>Task Execution</v>
      </c>
      <c r="H1821" s="6">
        <f ca="1"/>
        <v>0</v>
      </c>
      <c r="I1821" s="6">
        <f ca="1"/>
        <v>0</v>
      </c>
      <c r="J1821" s="6">
        <f ca="1"/>
        <v>0</v>
      </c>
    </row>
    <row r="1822" spans="1:10" ht="13" x14ac:dyDescent="0.15">
      <c r="A1822" s="6" t="str">
        <f ca="1">IFERROR(__xludf.DUMMYFUNCTION("""COMPUTED_VALUE"""),"Build &amp; Operation")</f>
        <v>Build &amp; Operation</v>
      </c>
      <c r="B1822" s="6" t="str">
        <f ca="1">IFERROR(__xludf.DUMMYFUNCTION("""COMPUTED_VALUE"""),"Task Execution")</f>
        <v>Task Execution</v>
      </c>
      <c r="H1822" s="6">
        <f ca="1"/>
        <v>0</v>
      </c>
      <c r="I1822" s="6">
        <f ca="1"/>
        <v>0</v>
      </c>
      <c r="J1822" s="6">
        <f ca="1"/>
        <v>0</v>
      </c>
    </row>
    <row r="1823" spans="1:10" ht="13" x14ac:dyDescent="0.15">
      <c r="A1823" s="6" t="str">
        <f ca="1">IFERROR(__xludf.DUMMYFUNCTION("""COMPUTED_VALUE"""),"Build &amp; Operation")</f>
        <v>Build &amp; Operation</v>
      </c>
      <c r="B1823" s="6" t="str">
        <f ca="1">IFERROR(__xludf.DUMMYFUNCTION("""COMPUTED_VALUE"""),"Coding Pattern")</f>
        <v>Coding Pattern</v>
      </c>
      <c r="H1823" s="6">
        <f ca="1"/>
        <v>0</v>
      </c>
      <c r="I1823" s="6">
        <f ca="1"/>
        <v>0</v>
      </c>
      <c r="J1823" s="6">
        <f ca="1"/>
        <v>0</v>
      </c>
    </row>
    <row r="1824" spans="1:10" ht="13" x14ac:dyDescent="0.15">
      <c r="A1824" s="6" t="str">
        <f ca="1">IFERROR(__xludf.DUMMYFUNCTION("""COMPUTED_VALUE"""),"Task Execution")</f>
        <v>Task Execution</v>
      </c>
      <c r="B1824" s="6" t="str">
        <f ca="1">IFERROR(__xludf.DUMMYFUNCTION("""COMPUTED_VALUE"""),"Documentation")</f>
        <v>Documentation</v>
      </c>
      <c r="H1824" s="6">
        <f ca="1"/>
        <v>0</v>
      </c>
      <c r="I1824" s="6">
        <f ca="1"/>
        <v>0</v>
      </c>
      <c r="J1824" s="6">
        <f ca="1"/>
        <v>0</v>
      </c>
    </row>
    <row r="1825" spans="1:10" ht="13" x14ac:dyDescent="0.15">
      <c r="A1825" s="6" t="str">
        <f ca="1">IFERROR(__xludf.DUMMYFUNCTION("""COMPUTED_VALUE"""),"Coding Style")</f>
        <v>Coding Style</v>
      </c>
      <c r="B1825" s="6" t="str">
        <f ca="1">IFERROR(__xludf.DUMMYFUNCTION("""COMPUTED_VALUE"""),"Coding Style")</f>
        <v>Coding Style</v>
      </c>
      <c r="H1825" s="6">
        <f ca="1"/>
        <v>0</v>
      </c>
      <c r="I1825" s="6">
        <f ca="1"/>
        <v>0</v>
      </c>
      <c r="J1825" s="6">
        <f ca="1"/>
        <v>0</v>
      </c>
    </row>
    <row r="1826" spans="1:10" ht="13" x14ac:dyDescent="0.15">
      <c r="A1826" s="6" t="str">
        <f ca="1">IFERROR(__xludf.DUMMYFUNCTION("""COMPUTED_VALUE"""),"Build &amp; Operation")</f>
        <v>Build &amp; Operation</v>
      </c>
      <c r="B1826" s="6" t="str">
        <f ca="1">IFERROR(__xludf.DUMMYFUNCTION("""COMPUTED_VALUE"""),"Build &amp; Operation")</f>
        <v>Build &amp; Operation</v>
      </c>
      <c r="H1826" s="6">
        <f ca="1"/>
        <v>0</v>
      </c>
      <c r="I1826" s="6">
        <f ca="1"/>
        <v>0</v>
      </c>
      <c r="J1826" s="6">
        <f ca="1"/>
        <v>0</v>
      </c>
    </row>
    <row r="1827" spans="1:10" ht="13" x14ac:dyDescent="0.15">
      <c r="A1827" s="6" t="str">
        <f ca="1">IFERROR(__xludf.DUMMYFUNCTION("""COMPUTED_VALUE"""),"Coding Pattern")</f>
        <v>Coding Pattern</v>
      </c>
      <c r="B1827" s="6" t="str">
        <f ca="1">IFERROR(__xludf.DUMMYFUNCTION("""COMPUTED_VALUE"""),"Coding Pattern")</f>
        <v>Coding Pattern</v>
      </c>
      <c r="H1827" s="6">
        <f ca="1"/>
        <v>0</v>
      </c>
      <c r="I1827" s="6">
        <f ca="1"/>
        <v>0</v>
      </c>
      <c r="J1827" s="6">
        <f ca="1"/>
        <v>0</v>
      </c>
    </row>
    <row r="1828" spans="1:10" ht="13" x14ac:dyDescent="0.15">
      <c r="A1828" s="6" t="str">
        <f ca="1">IFERROR(__xludf.DUMMYFUNCTION("""COMPUTED_VALUE"""),"Coding Pattern")</f>
        <v>Coding Pattern</v>
      </c>
      <c r="B1828" s="6" t="str">
        <f ca="1">IFERROR(__xludf.DUMMYFUNCTION("""COMPUTED_VALUE"""),"Coding Pattern")</f>
        <v>Coding Pattern</v>
      </c>
      <c r="H1828" s="6">
        <f ca="1"/>
        <v>0</v>
      </c>
      <c r="I1828" s="6">
        <f ca="1"/>
        <v>0</v>
      </c>
      <c r="J1828" s="6">
        <f ca="1"/>
        <v>0</v>
      </c>
    </row>
    <row r="1829" spans="1:10" ht="13" x14ac:dyDescent="0.15">
      <c r="A1829" s="6" t="str">
        <f ca="1">IFERROR(__xludf.DUMMYFUNCTION("""COMPUTED_VALUE"""),"Task Execution")</f>
        <v>Task Execution</v>
      </c>
      <c r="B1829" s="6" t="str">
        <f ca="1">IFERROR(__xludf.DUMMYFUNCTION("""COMPUTED_VALUE"""),"Task Execution")</f>
        <v>Task Execution</v>
      </c>
      <c r="H1829" s="6">
        <f ca="1"/>
        <v>0</v>
      </c>
      <c r="I1829" s="6">
        <f ca="1"/>
        <v>0</v>
      </c>
      <c r="J1829" s="6">
        <f ca="1"/>
        <v>0</v>
      </c>
    </row>
    <row r="1830" spans="1:10" ht="13" x14ac:dyDescent="0.15">
      <c r="A1830" s="6" t="str">
        <f ca="1">IFERROR(__xludf.DUMMYFUNCTION("""COMPUTED_VALUE"""),"Coding Pattern")</f>
        <v>Coding Pattern</v>
      </c>
      <c r="B1830" s="6" t="str">
        <f ca="1">IFERROR(__xludf.DUMMYFUNCTION("""COMPUTED_VALUE"""),"Coding Pattern")</f>
        <v>Coding Pattern</v>
      </c>
      <c r="H1830" s="6">
        <f ca="1"/>
        <v>0</v>
      </c>
      <c r="I1830" s="6">
        <f ca="1"/>
        <v>0</v>
      </c>
      <c r="J1830" s="6">
        <f ca="1"/>
        <v>0</v>
      </c>
    </row>
    <row r="1831" spans="1:10" ht="13" x14ac:dyDescent="0.15">
      <c r="A1831" s="6" t="str">
        <f ca="1">IFERROR(__xludf.DUMMYFUNCTION("""COMPUTED_VALUE"""),"Coding Pattern")</f>
        <v>Coding Pattern</v>
      </c>
      <c r="B1831" s="6" t="str">
        <f ca="1">IFERROR(__xludf.DUMMYFUNCTION("""COMPUTED_VALUE"""),"Build &amp; Operation")</f>
        <v>Build &amp; Operation</v>
      </c>
      <c r="H1831" s="6">
        <f ca="1"/>
        <v>0</v>
      </c>
      <c r="I1831" s="6">
        <f ca="1"/>
        <v>0</v>
      </c>
      <c r="J1831" s="6">
        <f ca="1"/>
        <v>0</v>
      </c>
    </row>
    <row r="1832" spans="1:10" ht="13" x14ac:dyDescent="0.15">
      <c r="A1832" s="6" t="str">
        <f ca="1">IFERROR(__xludf.DUMMYFUNCTION("""COMPUTED_VALUE"""),"Coding Style")</f>
        <v>Coding Style</v>
      </c>
      <c r="B1832" s="6" t="str">
        <f ca="1">IFERROR(__xludf.DUMMYFUNCTION("""COMPUTED_VALUE"""),"Coding Pattern")</f>
        <v>Coding Pattern</v>
      </c>
      <c r="H1832" s="6">
        <f ca="1"/>
        <v>0</v>
      </c>
      <c r="I1832" s="6">
        <f ca="1"/>
        <v>0</v>
      </c>
      <c r="J1832" s="6">
        <f ca="1"/>
        <v>0</v>
      </c>
    </row>
    <row r="1833" spans="1:10" ht="13" x14ac:dyDescent="0.15">
      <c r="A1833" s="6" t="str">
        <f ca="1">IFERROR(__xludf.DUMMYFUNCTION("""COMPUTED_VALUE"""),"Task Execution")</f>
        <v>Task Execution</v>
      </c>
      <c r="B1833" s="6" t="str">
        <f ca="1">IFERROR(__xludf.DUMMYFUNCTION("""COMPUTED_VALUE"""),"Task Execution")</f>
        <v>Task Execution</v>
      </c>
      <c r="H1833" s="6">
        <f ca="1"/>
        <v>0</v>
      </c>
      <c r="I1833" s="6">
        <f ca="1"/>
        <v>0</v>
      </c>
      <c r="J1833" s="6">
        <f ca="1"/>
        <v>0</v>
      </c>
    </row>
    <row r="1834" spans="1:10" ht="13" x14ac:dyDescent="0.15">
      <c r="A1834" s="6" t="str">
        <f ca="1">IFERROR(__xludf.DUMMYFUNCTION("""COMPUTED_VALUE"""),"Task Execution")</f>
        <v>Task Execution</v>
      </c>
      <c r="B1834" s="6" t="str">
        <f ca="1">IFERROR(__xludf.DUMMYFUNCTION("""COMPUTED_VALUE"""),"Task Execution")</f>
        <v>Task Execution</v>
      </c>
      <c r="H1834" s="6">
        <f ca="1"/>
        <v>0</v>
      </c>
      <c r="I1834" s="6">
        <f ca="1"/>
        <v>0</v>
      </c>
      <c r="J1834" s="6">
        <f ca="1"/>
        <v>0</v>
      </c>
    </row>
    <row r="1835" spans="1:10" ht="13" x14ac:dyDescent="0.15">
      <c r="A1835" s="6" t="str">
        <f ca="1">IFERROR(__xludf.DUMMYFUNCTION("""COMPUTED_VALUE"""),"Coding Style")</f>
        <v>Coding Style</v>
      </c>
      <c r="B1835" s="6" t="str">
        <f ca="1">IFERROR(__xludf.DUMMYFUNCTION("""COMPUTED_VALUE"""),"Coding Pattern")</f>
        <v>Coding Pattern</v>
      </c>
      <c r="H1835" s="6">
        <f ca="1"/>
        <v>0</v>
      </c>
      <c r="I1835" s="6">
        <f ca="1"/>
        <v>0</v>
      </c>
      <c r="J1835" s="6">
        <f ca="1"/>
        <v>0</v>
      </c>
    </row>
    <row r="1836" spans="1:10" ht="13" x14ac:dyDescent="0.15">
      <c r="A1836" s="6" t="str">
        <f ca="1">IFERROR(__xludf.DUMMYFUNCTION("""COMPUTED_VALUE"""),"Testing")</f>
        <v>Testing</v>
      </c>
      <c r="B1836" s="6" t="str">
        <f ca="1">IFERROR(__xludf.DUMMYFUNCTION("""COMPUTED_VALUE"""),"Testing")</f>
        <v>Testing</v>
      </c>
      <c r="H1836" s="6">
        <f ca="1"/>
        <v>0</v>
      </c>
      <c r="I1836" s="6">
        <f ca="1"/>
        <v>0</v>
      </c>
      <c r="J1836" s="6">
        <f ca="1"/>
        <v>0</v>
      </c>
    </row>
    <row r="1837" spans="1:10" ht="13" x14ac:dyDescent="0.15">
      <c r="A1837" s="6" t="str">
        <f ca="1">IFERROR(__xludf.DUMMYFUNCTION("""COMPUTED_VALUE"""),"Testing")</f>
        <v>Testing</v>
      </c>
      <c r="B1837" s="6" t="str">
        <f ca="1">IFERROR(__xludf.DUMMYFUNCTION("""COMPUTED_VALUE"""),"Task Execution")</f>
        <v>Task Execution</v>
      </c>
      <c r="H1837" s="6">
        <f ca="1"/>
        <v>0</v>
      </c>
      <c r="I1837" s="6">
        <f ca="1"/>
        <v>0</v>
      </c>
      <c r="J1837" s="6">
        <f ca="1"/>
        <v>0</v>
      </c>
    </row>
    <row r="1838" spans="1:10" ht="13" x14ac:dyDescent="0.15">
      <c r="A1838" s="6" t="str">
        <f ca="1">IFERROR(__xludf.DUMMYFUNCTION("""COMPUTED_VALUE"""),"Security")</f>
        <v>Security</v>
      </c>
      <c r="B1838" s="6" t="str">
        <f ca="1">IFERROR(__xludf.DUMMYFUNCTION("""COMPUTED_VALUE"""),"Security")</f>
        <v>Security</v>
      </c>
      <c r="H1838" s="6">
        <f ca="1"/>
        <v>0</v>
      </c>
      <c r="I1838" s="6">
        <f ca="1"/>
        <v>0</v>
      </c>
      <c r="J1838" s="6">
        <f ca="1"/>
        <v>0</v>
      </c>
    </row>
    <row r="1839" spans="1:10" ht="13" x14ac:dyDescent="0.15">
      <c r="A1839" s="6" t="str">
        <f ca="1">IFERROR(__xludf.DUMMYFUNCTION("""COMPUTED_VALUE"""),"Commit&amp;PR rule")</f>
        <v>Commit&amp;PR rule</v>
      </c>
      <c r="B1839" s="6" t="str">
        <f ca="1">IFERROR(__xludf.DUMMYFUNCTION("""COMPUTED_VALUE"""),"Commit&amp;PR rule")</f>
        <v>Commit&amp;PR rule</v>
      </c>
      <c r="H1839" s="6">
        <f ca="1"/>
        <v>0</v>
      </c>
      <c r="I1839" s="6">
        <f ca="1"/>
        <v>0</v>
      </c>
      <c r="J1839" s="6">
        <f ca="1"/>
        <v>0</v>
      </c>
    </row>
    <row r="1840" spans="1:10" ht="13" x14ac:dyDescent="0.15">
      <c r="A1840" s="6" t="str">
        <f ca="1">IFERROR(__xludf.DUMMYFUNCTION("""COMPUTED_VALUE"""),"Task Execution")</f>
        <v>Task Execution</v>
      </c>
      <c r="B1840" s="6" t="str">
        <f ca="1">IFERROR(__xludf.DUMMYFUNCTION("""COMPUTED_VALUE"""),"Task Execution")</f>
        <v>Task Execution</v>
      </c>
      <c r="H1840" s="6">
        <f ca="1"/>
        <v>0</v>
      </c>
      <c r="I1840" s="6">
        <f ca="1"/>
        <v>0</v>
      </c>
      <c r="J1840" s="6">
        <f ca="1"/>
        <v>0</v>
      </c>
    </row>
    <row r="1841" spans="1:10" ht="13" x14ac:dyDescent="0.15">
      <c r="A1841" s="6" t="str">
        <f ca="1">IFERROR(__xludf.DUMMYFUNCTION("""COMPUTED_VALUE"""),"Task Execution")</f>
        <v>Task Execution</v>
      </c>
      <c r="B1841" s="6" t="str">
        <f ca="1">IFERROR(__xludf.DUMMYFUNCTION("""COMPUTED_VALUE"""),"Performance")</f>
        <v>Performance</v>
      </c>
      <c r="H1841" s="6">
        <f ca="1"/>
        <v>0</v>
      </c>
      <c r="I1841" s="6">
        <f ca="1"/>
        <v>0</v>
      </c>
      <c r="J1841" s="6">
        <f ca="1"/>
        <v>0</v>
      </c>
    </row>
    <row r="1842" spans="1:10" ht="13" x14ac:dyDescent="0.15">
      <c r="A1842" s="6" t="str">
        <f ca="1">IFERROR(__xludf.DUMMYFUNCTION("""COMPUTED_VALUE"""),"Task Execution")</f>
        <v>Task Execution</v>
      </c>
      <c r="B1842" s="6" t="str">
        <f ca="1">IFERROR(__xludf.DUMMYFUNCTION("""COMPUTED_VALUE"""),"Performance")</f>
        <v>Performance</v>
      </c>
      <c r="H1842" s="6">
        <f ca="1"/>
        <v>0</v>
      </c>
      <c r="I1842" s="6">
        <f ca="1"/>
        <v>0</v>
      </c>
      <c r="J1842" s="6">
        <f ca="1"/>
        <v>0</v>
      </c>
    </row>
    <row r="1843" spans="1:10" ht="13" x14ac:dyDescent="0.15">
      <c r="A1843" s="6" t="str">
        <f ca="1">IFERROR(__xludf.DUMMYFUNCTION("""COMPUTED_VALUE"""),"Coding Pattern")</f>
        <v>Coding Pattern</v>
      </c>
      <c r="B1843" s="6" t="str">
        <f ca="1">IFERROR(__xludf.DUMMYFUNCTION("""COMPUTED_VALUE"""),"Coding Pattern")</f>
        <v>Coding Pattern</v>
      </c>
      <c r="H1843" s="6">
        <f ca="1"/>
        <v>0</v>
      </c>
      <c r="I1843" s="6">
        <f ca="1"/>
        <v>0</v>
      </c>
      <c r="J1843" s="6">
        <f ca="1"/>
        <v>0</v>
      </c>
    </row>
    <row r="1844" spans="1:10" ht="13" x14ac:dyDescent="0.15">
      <c r="A1844" s="6" t="str">
        <f ca="1">IFERROR(__xludf.DUMMYFUNCTION("""COMPUTED_VALUE"""),"Coding Pattern")</f>
        <v>Coding Pattern</v>
      </c>
      <c r="B1844" s="6" t="str">
        <f ca="1">IFERROR(__xludf.DUMMYFUNCTION("""COMPUTED_VALUE"""),"Coding Pattern")</f>
        <v>Coding Pattern</v>
      </c>
      <c r="H1844" s="6">
        <f ca="1"/>
        <v>0</v>
      </c>
      <c r="I1844" s="6">
        <f ca="1"/>
        <v>0</v>
      </c>
      <c r="J1844" s="6">
        <f ca="1"/>
        <v>0</v>
      </c>
    </row>
    <row r="1845" spans="1:10" ht="13" x14ac:dyDescent="0.15">
      <c r="A1845" s="6" t="str">
        <f ca="1">IFERROR(__xludf.DUMMYFUNCTION("""COMPUTED_VALUE"""),"Coding Pattern")</f>
        <v>Coding Pattern</v>
      </c>
      <c r="B1845" s="6" t="str">
        <f ca="1">IFERROR(__xludf.DUMMYFUNCTION("""COMPUTED_VALUE"""),"Coding Pattern")</f>
        <v>Coding Pattern</v>
      </c>
      <c r="H1845" s="6">
        <f ca="1"/>
        <v>0</v>
      </c>
      <c r="I1845" s="6">
        <f ca="1"/>
        <v>0</v>
      </c>
      <c r="J1845" s="6">
        <f ca="1"/>
        <v>0</v>
      </c>
    </row>
    <row r="1846" spans="1:10" ht="13" x14ac:dyDescent="0.15">
      <c r="A1846" s="6" t="str">
        <f ca="1">IFERROR(__xludf.DUMMYFUNCTION("""COMPUTED_VALUE"""),"Task Execution")</f>
        <v>Task Execution</v>
      </c>
      <c r="B1846" s="6" t="str">
        <f ca="1">IFERROR(__xludf.DUMMYFUNCTION("""COMPUTED_VALUE"""),"Task Execution")</f>
        <v>Task Execution</v>
      </c>
      <c r="H1846" s="6">
        <f ca="1"/>
        <v>0</v>
      </c>
      <c r="I1846" s="6">
        <f ca="1"/>
        <v>0</v>
      </c>
      <c r="J1846" s="6">
        <f ca="1"/>
        <v>0</v>
      </c>
    </row>
    <row r="1847" spans="1:10" ht="13" x14ac:dyDescent="0.15">
      <c r="A1847" s="6" t="str">
        <f ca="1">IFERROR(__xludf.DUMMYFUNCTION("""COMPUTED_VALUE"""),"Documentation")</f>
        <v>Documentation</v>
      </c>
      <c r="B1847" s="6" t="str">
        <f ca="1">IFERROR(__xludf.DUMMYFUNCTION("""COMPUTED_VALUE"""),"Documentation")</f>
        <v>Documentation</v>
      </c>
      <c r="H1847" s="6">
        <f ca="1"/>
        <v>0</v>
      </c>
      <c r="I1847" s="6">
        <f ca="1"/>
        <v>0</v>
      </c>
      <c r="J1847" s="6">
        <f ca="1"/>
        <v>0</v>
      </c>
    </row>
    <row r="1848" spans="1:10" ht="13" x14ac:dyDescent="0.15">
      <c r="A1848" s="6" t="str">
        <f ca="1">IFERROR(__xludf.DUMMYFUNCTION("""COMPUTED_VALUE"""),"Documentation")</f>
        <v>Documentation</v>
      </c>
      <c r="B1848" s="6" t="str">
        <f ca="1">IFERROR(__xludf.DUMMYFUNCTION("""COMPUTED_VALUE"""),"Documentation")</f>
        <v>Documentation</v>
      </c>
      <c r="H1848" s="6">
        <f ca="1"/>
        <v>0</v>
      </c>
      <c r="I1848" s="6">
        <f ca="1"/>
        <v>0</v>
      </c>
      <c r="J1848" s="6">
        <f ca="1"/>
        <v>0</v>
      </c>
    </row>
    <row r="1849" spans="1:10" ht="13" x14ac:dyDescent="0.15">
      <c r="A1849" s="6" t="str">
        <f ca="1">IFERROR(__xludf.DUMMYFUNCTION("""COMPUTED_VALUE"""),"Writing Style Preference")</f>
        <v>Writing Style Preference</v>
      </c>
      <c r="B1849" s="6" t="str">
        <f ca="1">IFERROR(__xludf.DUMMYFUNCTION("""COMPUTED_VALUE"""),"Writing Style Preference")</f>
        <v>Writing Style Preference</v>
      </c>
      <c r="H1849" s="6">
        <f ca="1"/>
        <v>0</v>
      </c>
      <c r="I1849" s="6">
        <f ca="1"/>
        <v>0</v>
      </c>
      <c r="J1849" s="6">
        <f ca="1"/>
        <v>0</v>
      </c>
    </row>
    <row r="1850" spans="1:10" ht="13" x14ac:dyDescent="0.15">
      <c r="A1850" s="6" t="str">
        <f ca="1">IFERROR(__xludf.DUMMYFUNCTION("""COMPUTED_VALUE"""),"Testing")</f>
        <v>Testing</v>
      </c>
      <c r="B1850" s="6" t="str">
        <f ca="1">IFERROR(__xludf.DUMMYFUNCTION("""COMPUTED_VALUE"""),"Testing")</f>
        <v>Testing</v>
      </c>
      <c r="H1850" s="6">
        <f ca="1"/>
        <v>0</v>
      </c>
      <c r="I1850" s="6">
        <f ca="1"/>
        <v>0</v>
      </c>
      <c r="J1850" s="6">
        <f ca="1"/>
        <v>0</v>
      </c>
    </row>
    <row r="1851" spans="1:10" ht="13" x14ac:dyDescent="0.15">
      <c r="A1851" s="6" t="str">
        <f ca="1">IFERROR(__xludf.DUMMYFUNCTION("""COMPUTED_VALUE"""),"Commit&amp;PR rule")</f>
        <v>Commit&amp;PR rule</v>
      </c>
      <c r="B1851" s="6" t="str">
        <f ca="1">IFERROR(__xludf.DUMMYFUNCTION("""COMPUTED_VALUE"""),"Commit&amp;PR rule")</f>
        <v>Commit&amp;PR rule</v>
      </c>
      <c r="H1851" s="6">
        <f ca="1"/>
        <v>0</v>
      </c>
      <c r="I1851" s="6">
        <f ca="1"/>
        <v>0</v>
      </c>
      <c r="J1851" s="6">
        <f ca="1"/>
        <v>0</v>
      </c>
    </row>
    <row r="1852" spans="1:10" ht="13" x14ac:dyDescent="0.15">
      <c r="A1852" s="6" t="str">
        <f ca="1">IFERROR(__xludf.DUMMYFUNCTION("""COMPUTED_VALUE"""),"Maintainability")</f>
        <v>Maintainability</v>
      </c>
      <c r="B1852" s="6" t="str">
        <f ca="1">IFERROR(__xludf.DUMMYFUNCTION("""COMPUTED_VALUE"""),"Maintainability")</f>
        <v>Maintainability</v>
      </c>
      <c r="H1852" s="6">
        <f ca="1"/>
        <v>0</v>
      </c>
      <c r="I1852" s="6">
        <f ca="1"/>
        <v>0</v>
      </c>
      <c r="J1852" s="6">
        <f ca="1"/>
        <v>0</v>
      </c>
    </row>
    <row r="1853" spans="1:10" ht="13" x14ac:dyDescent="0.15">
      <c r="A1853" s="6" t="str">
        <f ca="1">IFERROR(__xludf.DUMMYFUNCTION("""COMPUTED_VALUE"""),"Coding Pattern")</f>
        <v>Coding Pattern</v>
      </c>
      <c r="B1853" s="6" t="str">
        <f ca="1">IFERROR(__xludf.DUMMYFUNCTION("""COMPUTED_VALUE"""),"Coding Pattern")</f>
        <v>Coding Pattern</v>
      </c>
      <c r="H1853" s="6">
        <f ca="1"/>
        <v>0</v>
      </c>
      <c r="I1853" s="6">
        <f ca="1"/>
        <v>0</v>
      </c>
      <c r="J1853" s="6">
        <f ca="1"/>
        <v>0</v>
      </c>
    </row>
    <row r="1854" spans="1:10" ht="13" x14ac:dyDescent="0.15">
      <c r="A1854" s="6" t="str">
        <f ca="1">IFERROR(__xludf.DUMMYFUNCTION("""COMPUTED_VALUE"""),"Testing")</f>
        <v>Testing</v>
      </c>
      <c r="B1854" s="6" t="str">
        <f ca="1">IFERROR(__xludf.DUMMYFUNCTION("""COMPUTED_VALUE"""),"Testing")</f>
        <v>Testing</v>
      </c>
      <c r="H1854" s="6">
        <f ca="1"/>
        <v>0</v>
      </c>
      <c r="I1854" s="6">
        <f ca="1"/>
        <v>0</v>
      </c>
      <c r="J1854" s="6">
        <f ca="1"/>
        <v>0</v>
      </c>
    </row>
    <row r="1855" spans="1:10" ht="13" x14ac:dyDescent="0.15">
      <c r="A1855" s="6" t="str">
        <f ca="1">IFERROR(__xludf.DUMMYFUNCTION("""COMPUTED_VALUE"""),"Security")</f>
        <v>Security</v>
      </c>
      <c r="B1855" s="6" t="str">
        <f ca="1">IFERROR(__xludf.DUMMYFUNCTION("""COMPUTED_VALUE"""),"Security")</f>
        <v>Security</v>
      </c>
      <c r="H1855" s="6">
        <f ca="1"/>
        <v>0</v>
      </c>
      <c r="I1855" s="6">
        <f ca="1"/>
        <v>0</v>
      </c>
      <c r="J1855" s="6">
        <f ca="1"/>
        <v>0</v>
      </c>
    </row>
    <row r="1856" spans="1:10" ht="13" x14ac:dyDescent="0.15">
      <c r="A1856" s="6" t="str">
        <f ca="1">IFERROR(__xludf.DUMMYFUNCTION("""COMPUTED_VALUE"""),"Coding Pattern")</f>
        <v>Coding Pattern</v>
      </c>
      <c r="B1856" s="6" t="str">
        <f ca="1">IFERROR(__xludf.DUMMYFUNCTION("""COMPUTED_VALUE"""),"Coding Pattern")</f>
        <v>Coding Pattern</v>
      </c>
      <c r="H1856" s="6">
        <f ca="1"/>
        <v>0</v>
      </c>
      <c r="I1856" s="6">
        <f ca="1"/>
        <v>0</v>
      </c>
      <c r="J1856" s="6">
        <f ca="1"/>
        <v>0</v>
      </c>
    </row>
    <row r="1857" spans="1:10" ht="13" x14ac:dyDescent="0.15">
      <c r="A1857" s="6" t="str">
        <f ca="1">IFERROR(__xludf.DUMMYFUNCTION("""COMPUTED_VALUE"""),"Coding Style")</f>
        <v>Coding Style</v>
      </c>
      <c r="B1857" s="6" t="str">
        <f ca="1">IFERROR(__xludf.DUMMYFUNCTION("""COMPUTED_VALUE"""),"Coding Style")</f>
        <v>Coding Style</v>
      </c>
      <c r="H1857" s="6">
        <f ca="1"/>
        <v>0</v>
      </c>
      <c r="I1857" s="6">
        <f ca="1"/>
        <v>0</v>
      </c>
      <c r="J1857" s="6">
        <f ca="1"/>
        <v>0</v>
      </c>
    </row>
    <row r="1858" spans="1:10" ht="13" x14ac:dyDescent="0.15">
      <c r="A1858" s="6" t="str">
        <f ca="1">IFERROR(__xludf.DUMMYFUNCTION("""COMPUTED_VALUE"""),"Testing")</f>
        <v>Testing</v>
      </c>
      <c r="B1858" s="6" t="str">
        <f ca="1">IFERROR(__xludf.DUMMYFUNCTION("""COMPUTED_VALUE"""),"Testing")</f>
        <v>Testing</v>
      </c>
      <c r="H1858" s="6">
        <f ca="1"/>
        <v>0</v>
      </c>
      <c r="I1858" s="6">
        <f ca="1"/>
        <v>0</v>
      </c>
      <c r="J1858" s="6">
        <f ca="1"/>
        <v>0</v>
      </c>
    </row>
    <row r="1859" spans="1:10" ht="13" x14ac:dyDescent="0.15">
      <c r="A1859" s="6" t="str">
        <f ca="1">IFERROR(__xludf.DUMMYFUNCTION("""COMPUTED_VALUE"""),"Task Execution")</f>
        <v>Task Execution</v>
      </c>
      <c r="B1859" s="6" t="str">
        <f ca="1">IFERROR(__xludf.DUMMYFUNCTION("""COMPUTED_VALUE"""),"Task Execution")</f>
        <v>Task Execution</v>
      </c>
      <c r="H1859" s="6">
        <f ca="1"/>
        <v>0</v>
      </c>
      <c r="I1859" s="6">
        <f ca="1"/>
        <v>0</v>
      </c>
      <c r="J1859" s="6">
        <f ca="1"/>
        <v>0</v>
      </c>
    </row>
    <row r="1860" spans="1:10" ht="13" x14ac:dyDescent="0.15">
      <c r="A1860" s="6" t="str">
        <f ca="1">IFERROR(__xludf.DUMMYFUNCTION("""COMPUTED_VALUE"""),"Testing")</f>
        <v>Testing</v>
      </c>
      <c r="B1860" s="6" t="str">
        <f ca="1">IFERROR(__xludf.DUMMYFUNCTION("""COMPUTED_VALUE"""),"Testing")</f>
        <v>Testing</v>
      </c>
      <c r="H1860" s="6">
        <f ca="1"/>
        <v>0</v>
      </c>
      <c r="I1860" s="6">
        <f ca="1"/>
        <v>0</v>
      </c>
      <c r="J1860" s="6">
        <f ca="1"/>
        <v>0</v>
      </c>
    </row>
    <row r="1861" spans="1:10" ht="13" x14ac:dyDescent="0.15">
      <c r="A1861" s="6" t="str">
        <f ca="1">IFERROR(__xludf.DUMMYFUNCTION("""COMPUTED_VALUE"""),"Writing Style Preference")</f>
        <v>Writing Style Preference</v>
      </c>
      <c r="B1861" s="6" t="str">
        <f ca="1">IFERROR(__xludf.DUMMYFUNCTION("""COMPUTED_VALUE"""),"Writing Style Preference")</f>
        <v>Writing Style Preference</v>
      </c>
      <c r="H1861" s="6">
        <f ca="1"/>
        <v>0</v>
      </c>
      <c r="I1861" s="6">
        <f ca="1"/>
        <v>0</v>
      </c>
      <c r="J1861" s="6">
        <f ca="1"/>
        <v>0</v>
      </c>
    </row>
    <row r="1862" spans="1:10" ht="13" x14ac:dyDescent="0.15">
      <c r="A1862" s="6" t="str">
        <f ca="1">IFERROR(__xludf.DUMMYFUNCTION("""COMPUTED_VALUE"""),"Documentation")</f>
        <v>Documentation</v>
      </c>
      <c r="B1862" s="6" t="str">
        <f ca="1">IFERROR(__xludf.DUMMYFUNCTION("""COMPUTED_VALUE"""),"Documentation")</f>
        <v>Documentation</v>
      </c>
      <c r="H1862" s="6">
        <f ca="1"/>
        <v>0</v>
      </c>
      <c r="I1862" s="6">
        <f ca="1"/>
        <v>0</v>
      </c>
      <c r="J1862" s="6">
        <f ca="1"/>
        <v>0</v>
      </c>
    </row>
    <row r="1863" spans="1:10" ht="13" x14ac:dyDescent="0.15">
      <c r="A1863" s="6" t="str">
        <f ca="1">IFERROR(__xludf.DUMMYFUNCTION("""COMPUTED_VALUE"""),"Documentation")</f>
        <v>Documentation</v>
      </c>
      <c r="B1863" s="6" t="str">
        <f ca="1">IFERROR(__xludf.DUMMYFUNCTION("""COMPUTED_VALUE"""),"Documentation")</f>
        <v>Documentation</v>
      </c>
      <c r="H1863" s="6">
        <f ca="1"/>
        <v>0</v>
      </c>
      <c r="I1863" s="6">
        <f ca="1"/>
        <v>0</v>
      </c>
      <c r="J1863" s="6">
        <f ca="1"/>
        <v>0</v>
      </c>
    </row>
    <row r="1864" spans="1:10" ht="13" x14ac:dyDescent="0.15">
      <c r="A1864" s="6" t="str">
        <f ca="1">IFERROR(__xludf.DUMMYFUNCTION("""COMPUTED_VALUE"""),"Task Execution")</f>
        <v>Task Execution</v>
      </c>
      <c r="B1864" s="6" t="str">
        <f ca="1">IFERROR(__xludf.DUMMYFUNCTION("""COMPUTED_VALUE"""),"Task Execution")</f>
        <v>Task Execution</v>
      </c>
      <c r="H1864" s="6">
        <f ca="1"/>
        <v>0</v>
      </c>
      <c r="I1864" s="6">
        <f ca="1"/>
        <v>0</v>
      </c>
      <c r="J1864" s="6">
        <f ca="1"/>
        <v>0</v>
      </c>
    </row>
    <row r="1865" spans="1:10" ht="13" x14ac:dyDescent="0.15">
      <c r="A1865" s="6" t="str">
        <f ca="1">IFERROR(__xludf.DUMMYFUNCTION("""COMPUTED_VALUE"""),"Commit&amp;PR rule")</f>
        <v>Commit&amp;PR rule</v>
      </c>
      <c r="B1865" s="6" t="str">
        <f ca="1">IFERROR(__xludf.DUMMYFUNCTION("""COMPUTED_VALUE"""),"Commit&amp;PR rule")</f>
        <v>Commit&amp;PR rule</v>
      </c>
      <c r="H1865" s="6">
        <f ca="1"/>
        <v>0</v>
      </c>
      <c r="I1865" s="6">
        <f ca="1"/>
        <v>0</v>
      </c>
      <c r="J1865" s="6">
        <f ca="1"/>
        <v>0</v>
      </c>
    </row>
    <row r="1866" spans="1:10" ht="13" x14ac:dyDescent="0.15">
      <c r="A1866" s="6" t="str">
        <f ca="1">IFERROR(__xludf.DUMMYFUNCTION("""COMPUTED_VALUE"""),"Performance")</f>
        <v>Performance</v>
      </c>
      <c r="B1866" s="6" t="str">
        <f ca="1">IFERROR(__xludf.DUMMYFUNCTION("""COMPUTED_VALUE"""),"Performance")</f>
        <v>Performance</v>
      </c>
      <c r="H1866" s="6">
        <f ca="1"/>
        <v>0</v>
      </c>
      <c r="I1866" s="6">
        <f ca="1"/>
        <v>0</v>
      </c>
      <c r="J1866" s="6">
        <f ca="1"/>
        <v>0</v>
      </c>
    </row>
    <row r="1867" spans="1:10" ht="13" x14ac:dyDescent="0.15">
      <c r="A1867" s="6" t="str">
        <f ca="1">IFERROR(__xludf.DUMMYFUNCTION("""COMPUTED_VALUE"""),"Task Execution")</f>
        <v>Task Execution</v>
      </c>
      <c r="B1867" s="6" t="str">
        <f ca="1">IFERROR(__xludf.DUMMYFUNCTION("""COMPUTED_VALUE"""),"Task Execution")</f>
        <v>Task Execution</v>
      </c>
      <c r="H1867" s="6">
        <f ca="1"/>
        <v>0</v>
      </c>
      <c r="I1867" s="6">
        <f ca="1"/>
        <v>0</v>
      </c>
      <c r="J1867" s="6">
        <f ca="1"/>
        <v>0</v>
      </c>
    </row>
    <row r="1868" spans="1:10" ht="13" x14ac:dyDescent="0.15">
      <c r="A1868" s="6" t="str">
        <f ca="1">IFERROR(__xludf.DUMMYFUNCTION("""COMPUTED_VALUE"""),"Task Execution")</f>
        <v>Task Execution</v>
      </c>
      <c r="B1868" s="6" t="str">
        <f ca="1">IFERROR(__xludf.DUMMYFUNCTION("""COMPUTED_VALUE"""),"Maintainability")</f>
        <v>Maintainability</v>
      </c>
      <c r="H1868" s="6">
        <f ca="1"/>
        <v>0</v>
      </c>
      <c r="I1868" s="6">
        <f ca="1"/>
        <v>0</v>
      </c>
      <c r="J1868" s="6">
        <f ca="1"/>
        <v>0</v>
      </c>
    </row>
    <row r="1869" spans="1:10" ht="13" x14ac:dyDescent="0.15">
      <c r="A1869" s="6" t="str">
        <f ca="1">IFERROR(__xludf.DUMMYFUNCTION("""COMPUTED_VALUE"""),"Commit&amp;PR rule")</f>
        <v>Commit&amp;PR rule</v>
      </c>
      <c r="B1869" s="6" t="str">
        <f ca="1">IFERROR(__xludf.DUMMYFUNCTION("""COMPUTED_VALUE"""),"Commit&amp;PR rule")</f>
        <v>Commit&amp;PR rule</v>
      </c>
      <c r="H1869" s="6">
        <f ca="1"/>
        <v>0</v>
      </c>
      <c r="I1869" s="6">
        <f ca="1"/>
        <v>0</v>
      </c>
      <c r="J1869" s="6">
        <f ca="1"/>
        <v>0</v>
      </c>
    </row>
    <row r="1870" spans="1:10" ht="13" x14ac:dyDescent="0.15">
      <c r="A1870" s="6" t="str">
        <f ca="1">IFERROR(__xludf.DUMMYFUNCTION("""COMPUTED_VALUE"""),"Coding Pattern")</f>
        <v>Coding Pattern</v>
      </c>
      <c r="B1870" s="6" t="str">
        <f ca="1">IFERROR(__xludf.DUMMYFUNCTION("""COMPUTED_VALUE"""),"Coding Pattern")</f>
        <v>Coding Pattern</v>
      </c>
      <c r="H1870" s="6">
        <f ca="1"/>
        <v>0</v>
      </c>
      <c r="I1870" s="6">
        <f ca="1"/>
        <v>0</v>
      </c>
      <c r="J1870" s="6">
        <f ca="1"/>
        <v>0</v>
      </c>
    </row>
    <row r="1871" spans="1:10" ht="13" x14ac:dyDescent="0.15">
      <c r="A1871" s="6" t="str">
        <f ca="1">IFERROR(__xludf.DUMMYFUNCTION("""COMPUTED_VALUE"""),"Coding Pattern")</f>
        <v>Coding Pattern</v>
      </c>
      <c r="B1871" s="6" t="str">
        <f ca="1">IFERROR(__xludf.DUMMYFUNCTION("""COMPUTED_VALUE"""),"Coding Pattern")</f>
        <v>Coding Pattern</v>
      </c>
      <c r="H1871" s="6">
        <f ca="1"/>
        <v>0</v>
      </c>
      <c r="I1871" s="6">
        <f ca="1"/>
        <v>0</v>
      </c>
      <c r="J1871" s="6">
        <f ca="1"/>
        <v>0</v>
      </c>
    </row>
    <row r="1872" spans="1:10" ht="13" x14ac:dyDescent="0.15">
      <c r="A1872" s="6" t="str">
        <f ca="1">IFERROR(__xludf.DUMMYFUNCTION("""COMPUTED_VALUE"""),"Coding Pattern")</f>
        <v>Coding Pattern</v>
      </c>
      <c r="B1872" s="6" t="str">
        <f ca="1">IFERROR(__xludf.DUMMYFUNCTION("""COMPUTED_VALUE"""),"Task Execution")</f>
        <v>Task Execution</v>
      </c>
      <c r="H1872" s="6">
        <f ca="1"/>
        <v>0</v>
      </c>
      <c r="I1872" s="6">
        <f ca="1"/>
        <v>0</v>
      </c>
      <c r="J1872" s="6">
        <f ca="1"/>
        <v>0</v>
      </c>
    </row>
    <row r="1873" spans="1:10" ht="13" x14ac:dyDescent="0.15">
      <c r="A1873" s="6" t="str">
        <f ca="1">IFERROR(__xludf.DUMMYFUNCTION("""COMPUTED_VALUE"""),"Task Execution")</f>
        <v>Task Execution</v>
      </c>
      <c r="B1873" s="6" t="str">
        <f ca="1">IFERROR(__xludf.DUMMYFUNCTION("""COMPUTED_VALUE"""),"Task Execution")</f>
        <v>Task Execution</v>
      </c>
      <c r="H1873" s="6">
        <f ca="1"/>
        <v>0</v>
      </c>
      <c r="I1873" s="6">
        <f ca="1"/>
        <v>0</v>
      </c>
      <c r="J1873" s="6">
        <f ca="1"/>
        <v>0</v>
      </c>
    </row>
    <row r="1874" spans="1:10" ht="13" x14ac:dyDescent="0.15">
      <c r="A1874" s="6" t="str">
        <f ca="1">IFERROR(__xludf.DUMMYFUNCTION("""COMPUTED_VALUE"""),"Task Execution")</f>
        <v>Task Execution</v>
      </c>
      <c r="B1874" s="6" t="str">
        <f ca="1">IFERROR(__xludf.DUMMYFUNCTION("""COMPUTED_VALUE"""),"Task Execution")</f>
        <v>Task Execution</v>
      </c>
      <c r="H1874" s="6">
        <f ca="1"/>
        <v>0</v>
      </c>
      <c r="I1874" s="6">
        <f ca="1"/>
        <v>0</v>
      </c>
      <c r="J1874" s="6">
        <f ca="1"/>
        <v>0</v>
      </c>
    </row>
    <row r="1875" spans="1:10" ht="13" x14ac:dyDescent="0.15">
      <c r="A1875" s="6" t="str">
        <f ca="1">IFERROR(__xludf.DUMMYFUNCTION("""COMPUTED_VALUE"""),"Task Execution")</f>
        <v>Task Execution</v>
      </c>
      <c r="B1875" s="6" t="str">
        <f ca="1">IFERROR(__xludf.DUMMYFUNCTION("""COMPUTED_VALUE"""),"Task Execution")</f>
        <v>Task Execution</v>
      </c>
      <c r="H1875" s="6">
        <f ca="1"/>
        <v>0</v>
      </c>
      <c r="I1875" s="6">
        <f ca="1"/>
        <v>0</v>
      </c>
      <c r="J1875" s="6">
        <f ca="1"/>
        <v>0</v>
      </c>
    </row>
    <row r="1876" spans="1:10" ht="13" x14ac:dyDescent="0.15">
      <c r="A1876" s="6" t="str">
        <f ca="1">IFERROR(__xludf.DUMMYFUNCTION("""COMPUTED_VALUE"""),"Documentation")</f>
        <v>Documentation</v>
      </c>
      <c r="B1876" s="6" t="str">
        <f ca="1">IFERROR(__xludf.DUMMYFUNCTION("""COMPUTED_VALUE"""),"Documentation")</f>
        <v>Documentation</v>
      </c>
      <c r="H1876" s="6">
        <f ca="1"/>
        <v>0</v>
      </c>
      <c r="I1876" s="6">
        <f ca="1"/>
        <v>0</v>
      </c>
      <c r="J1876" s="6">
        <f ca="1"/>
        <v>0</v>
      </c>
    </row>
    <row r="1877" spans="1:10" ht="13" x14ac:dyDescent="0.15">
      <c r="A1877" s="6" t="str">
        <f ca="1">IFERROR(__xludf.DUMMYFUNCTION("""COMPUTED_VALUE"""),"Documentation")</f>
        <v>Documentation</v>
      </c>
      <c r="B1877" s="6" t="str">
        <f ca="1">IFERROR(__xludf.DUMMYFUNCTION("""COMPUTED_VALUE"""),"Documentation")</f>
        <v>Documentation</v>
      </c>
      <c r="H1877" s="6">
        <f ca="1"/>
        <v>0</v>
      </c>
      <c r="I1877" s="6">
        <f ca="1"/>
        <v>0</v>
      </c>
      <c r="J1877" s="6">
        <f ca="1"/>
        <v>0</v>
      </c>
    </row>
    <row r="1878" spans="1:10" ht="13" x14ac:dyDescent="0.15">
      <c r="A1878" s="6" t="str">
        <f ca="1">IFERROR(__xludf.DUMMYFUNCTION("""COMPUTED_VALUE"""),"Coding Pattern")</f>
        <v>Coding Pattern</v>
      </c>
      <c r="B1878" s="6" t="str">
        <f ca="1">IFERROR(__xludf.DUMMYFUNCTION("""COMPUTED_VALUE"""),"Maintainability")</f>
        <v>Maintainability</v>
      </c>
      <c r="H1878" s="6">
        <f ca="1"/>
        <v>0</v>
      </c>
      <c r="I1878" s="6">
        <f ca="1"/>
        <v>0</v>
      </c>
      <c r="J1878" s="6">
        <f ca="1"/>
        <v>0</v>
      </c>
    </row>
    <row r="1879" spans="1:10" ht="13" x14ac:dyDescent="0.15">
      <c r="A1879" s="6" t="str">
        <f ca="1">IFERROR(__xludf.DUMMYFUNCTION("""COMPUTED_VALUE"""),"Coding Pattern")</f>
        <v>Coding Pattern</v>
      </c>
      <c r="B1879" s="6" t="str">
        <f ca="1">IFERROR(__xludf.DUMMYFUNCTION("""COMPUTED_VALUE"""),"Coding Pattern")</f>
        <v>Coding Pattern</v>
      </c>
      <c r="H1879" s="6">
        <f ca="1"/>
        <v>0</v>
      </c>
      <c r="I1879" s="6">
        <f ca="1"/>
        <v>0</v>
      </c>
      <c r="J1879" s="6">
        <f ca="1"/>
        <v>0</v>
      </c>
    </row>
    <row r="1880" spans="1:10" ht="13" x14ac:dyDescent="0.15">
      <c r="A1880" s="6" t="str">
        <f ca="1">IFERROR(__xludf.DUMMYFUNCTION("""COMPUTED_VALUE"""),"Documentation")</f>
        <v>Documentation</v>
      </c>
      <c r="B1880" s="6" t="str">
        <f ca="1">IFERROR(__xludf.DUMMYFUNCTION("""COMPUTED_VALUE"""),"Documentation")</f>
        <v>Documentation</v>
      </c>
      <c r="H1880" s="6">
        <f ca="1"/>
        <v>0</v>
      </c>
      <c r="I1880" s="6">
        <f ca="1"/>
        <v>0</v>
      </c>
      <c r="J1880" s="6">
        <f ca="1"/>
        <v>0</v>
      </c>
    </row>
    <row r="1881" spans="1:10" ht="13" x14ac:dyDescent="0.15">
      <c r="A1881" s="6" t="str">
        <f ca="1">IFERROR(__xludf.DUMMYFUNCTION("""COMPUTED_VALUE"""),"Testing")</f>
        <v>Testing</v>
      </c>
      <c r="B1881" s="6" t="str">
        <f ca="1">IFERROR(__xludf.DUMMYFUNCTION("""COMPUTED_VALUE"""),"Testing")</f>
        <v>Testing</v>
      </c>
      <c r="H1881" s="6">
        <f ca="1"/>
        <v>0</v>
      </c>
      <c r="I1881" s="6">
        <f ca="1"/>
        <v>0</v>
      </c>
      <c r="J1881" s="6">
        <f ca="1"/>
        <v>0</v>
      </c>
    </row>
    <row r="1882" spans="1:10" ht="13" x14ac:dyDescent="0.15">
      <c r="A1882" s="6" t="str">
        <f ca="1">IFERROR(__xludf.DUMMYFUNCTION("""COMPUTED_VALUE"""),"Documentation")</f>
        <v>Documentation</v>
      </c>
      <c r="B1882" s="6" t="str">
        <f ca="1">IFERROR(__xludf.DUMMYFUNCTION("""COMPUTED_VALUE"""),"Documentation")</f>
        <v>Documentation</v>
      </c>
      <c r="H1882" s="6">
        <f ca="1"/>
        <v>0</v>
      </c>
      <c r="I1882" s="6">
        <f ca="1"/>
        <v>0</v>
      </c>
      <c r="J1882" s="6">
        <f ca="1"/>
        <v>0</v>
      </c>
    </row>
    <row r="1883" spans="1:10" ht="13" x14ac:dyDescent="0.15">
      <c r="A1883" s="6" t="str">
        <f ca="1">IFERROR(__xludf.DUMMYFUNCTION("""COMPUTED_VALUE"""),"Coding Pattern")</f>
        <v>Coding Pattern</v>
      </c>
      <c r="B1883" s="6" t="str">
        <f ca="1">IFERROR(__xludf.DUMMYFUNCTION("""COMPUTED_VALUE"""),"Coding Pattern")</f>
        <v>Coding Pattern</v>
      </c>
      <c r="H1883" s="6">
        <f ca="1"/>
        <v>0</v>
      </c>
      <c r="I1883" s="6">
        <f ca="1"/>
        <v>0</v>
      </c>
      <c r="J1883" s="6">
        <f ca="1"/>
        <v>0</v>
      </c>
    </row>
    <row r="1884" spans="1:10" ht="13" x14ac:dyDescent="0.15">
      <c r="A1884" s="6" t="str">
        <f ca="1">IFERROR(__xludf.DUMMYFUNCTION("""COMPUTED_VALUE"""),"Coding Pattern")</f>
        <v>Coding Pattern</v>
      </c>
      <c r="B1884" s="6" t="str">
        <f ca="1">IFERROR(__xludf.DUMMYFUNCTION("""COMPUTED_VALUE"""),"Coding Pattern")</f>
        <v>Coding Pattern</v>
      </c>
      <c r="H1884" s="6">
        <f ca="1"/>
        <v>0</v>
      </c>
      <c r="I1884" s="6">
        <f ca="1"/>
        <v>0</v>
      </c>
      <c r="J1884" s="6">
        <f ca="1"/>
        <v>0</v>
      </c>
    </row>
    <row r="1885" spans="1:10" ht="13" x14ac:dyDescent="0.15">
      <c r="A1885" s="6" t="str">
        <f ca="1">IFERROR(__xludf.DUMMYFUNCTION("""COMPUTED_VALUE"""),"Testing")</f>
        <v>Testing</v>
      </c>
      <c r="B1885" s="6" t="str">
        <f ca="1">IFERROR(__xludf.DUMMYFUNCTION("""COMPUTED_VALUE"""),"Testing")</f>
        <v>Testing</v>
      </c>
      <c r="H1885" s="6">
        <f ca="1"/>
        <v>0</v>
      </c>
      <c r="I1885" s="6">
        <f ca="1"/>
        <v>0</v>
      </c>
      <c r="J1885" s="6">
        <f ca="1"/>
        <v>0</v>
      </c>
    </row>
    <row r="1886" spans="1:10" ht="13" x14ac:dyDescent="0.15">
      <c r="A1886" s="6" t="str">
        <f ca="1">IFERROR(__xludf.DUMMYFUNCTION("""COMPUTED_VALUE"""),"Task Execution")</f>
        <v>Task Execution</v>
      </c>
      <c r="B1886" s="6" t="str">
        <f ca="1">IFERROR(__xludf.DUMMYFUNCTION("""COMPUTED_VALUE"""),"Commit&amp;PR rule")</f>
        <v>Commit&amp;PR rule</v>
      </c>
      <c r="H1886" s="6">
        <f ca="1"/>
        <v>0</v>
      </c>
      <c r="I1886" s="6">
        <f ca="1"/>
        <v>0</v>
      </c>
      <c r="J1886" s="6">
        <f ca="1"/>
        <v>0</v>
      </c>
    </row>
    <row r="1887" spans="1:10" ht="13" x14ac:dyDescent="0.15">
      <c r="A1887" s="6" t="str">
        <f ca="1">IFERROR(__xludf.DUMMYFUNCTION("""COMPUTED_VALUE"""),"Task Execution")</f>
        <v>Task Execution</v>
      </c>
      <c r="B1887" s="6" t="str">
        <f ca="1">IFERROR(__xludf.DUMMYFUNCTION("""COMPUTED_VALUE"""),"Task Execution")</f>
        <v>Task Execution</v>
      </c>
      <c r="H1887" s="6">
        <f ca="1"/>
        <v>0</v>
      </c>
      <c r="I1887" s="6">
        <f ca="1"/>
        <v>0</v>
      </c>
      <c r="J1887" s="6">
        <f ca="1"/>
        <v>0</v>
      </c>
    </row>
    <row r="1888" spans="1:10" ht="13" x14ac:dyDescent="0.15">
      <c r="A1888" s="6" t="str">
        <f ca="1">IFERROR(__xludf.DUMMYFUNCTION("""COMPUTED_VALUE"""),"Task Execution")</f>
        <v>Task Execution</v>
      </c>
      <c r="B1888" s="6" t="str">
        <f ca="1">IFERROR(__xludf.DUMMYFUNCTION("""COMPUTED_VALUE"""),"Build &amp; Operation")</f>
        <v>Build &amp; Operation</v>
      </c>
      <c r="H1888" s="6">
        <f ca="1"/>
        <v>0</v>
      </c>
      <c r="I1888" s="6">
        <f ca="1"/>
        <v>0</v>
      </c>
      <c r="J1888" s="6">
        <f ca="1"/>
        <v>0</v>
      </c>
    </row>
    <row r="1889" spans="1:10" ht="13" x14ac:dyDescent="0.15">
      <c r="A1889" s="6" t="str">
        <f ca="1">IFERROR(__xludf.DUMMYFUNCTION("""COMPUTED_VALUE"""),"Task Execution")</f>
        <v>Task Execution</v>
      </c>
      <c r="B1889" s="6" t="str">
        <f ca="1">IFERROR(__xludf.DUMMYFUNCTION("""COMPUTED_VALUE"""),"Maintainability")</f>
        <v>Maintainability</v>
      </c>
      <c r="H1889" s="6">
        <f ca="1"/>
        <v>0</v>
      </c>
      <c r="I1889" s="6">
        <f ca="1"/>
        <v>0</v>
      </c>
      <c r="J1889" s="6">
        <f ca="1"/>
        <v>0</v>
      </c>
    </row>
    <row r="1890" spans="1:10" ht="13" x14ac:dyDescent="0.15">
      <c r="A1890" s="6" t="str">
        <f ca="1">IFERROR(__xludf.DUMMYFUNCTION("""COMPUTED_VALUE"""),"Coding Pattern")</f>
        <v>Coding Pattern</v>
      </c>
      <c r="B1890" s="6" t="str">
        <f ca="1">IFERROR(__xludf.DUMMYFUNCTION("""COMPUTED_VALUE"""),"Coding Style")</f>
        <v>Coding Style</v>
      </c>
      <c r="H1890" s="6">
        <f ca="1"/>
        <v>0</v>
      </c>
      <c r="I1890" s="6">
        <f ca="1"/>
        <v>0</v>
      </c>
      <c r="J1890" s="6">
        <f ca="1"/>
        <v>0</v>
      </c>
    </row>
    <row r="1891" spans="1:10" ht="13" x14ac:dyDescent="0.15">
      <c r="A1891" s="6" t="str">
        <f ca="1">IFERROR(__xludf.DUMMYFUNCTION("""COMPUTED_VALUE"""),"Task Execution")</f>
        <v>Task Execution</v>
      </c>
      <c r="B1891" s="6" t="str">
        <f ca="1">IFERROR(__xludf.DUMMYFUNCTION("""COMPUTED_VALUE"""),"Task Execution")</f>
        <v>Task Execution</v>
      </c>
      <c r="H1891" s="6">
        <f ca="1"/>
        <v>0</v>
      </c>
      <c r="I1891" s="6">
        <f ca="1"/>
        <v>0</v>
      </c>
      <c r="J1891" s="6">
        <f ca="1"/>
        <v>0</v>
      </c>
    </row>
    <row r="1892" spans="1:10" ht="13" x14ac:dyDescent="0.15">
      <c r="A1892" s="6" t="str">
        <f ca="1">IFERROR(__xludf.DUMMYFUNCTION("""COMPUTED_VALUE"""),"Coding Pattern")</f>
        <v>Coding Pattern</v>
      </c>
      <c r="B1892" s="6" t="str">
        <f ca="1">IFERROR(__xludf.DUMMYFUNCTION("""COMPUTED_VALUE"""),"Coding Pattern")</f>
        <v>Coding Pattern</v>
      </c>
      <c r="H1892" s="6">
        <f ca="1"/>
        <v>0</v>
      </c>
      <c r="I1892" s="6">
        <f ca="1"/>
        <v>0</v>
      </c>
      <c r="J1892" s="6">
        <f ca="1"/>
        <v>0</v>
      </c>
    </row>
    <row r="1893" spans="1:10" ht="13" x14ac:dyDescent="0.15">
      <c r="A1893" s="6" t="str">
        <f ca="1">IFERROR(__xludf.DUMMYFUNCTION("""COMPUTED_VALUE"""),"Commit&amp;PR rule")</f>
        <v>Commit&amp;PR rule</v>
      </c>
      <c r="B1893" s="6" t="str">
        <f ca="1">IFERROR(__xludf.DUMMYFUNCTION("""COMPUTED_VALUE"""),"Commit&amp;PR rule")</f>
        <v>Commit&amp;PR rule</v>
      </c>
      <c r="H1893" s="6">
        <f ca="1"/>
        <v>0</v>
      </c>
      <c r="I1893" s="6">
        <f ca="1"/>
        <v>0</v>
      </c>
      <c r="J1893" s="6">
        <f ca="1"/>
        <v>0</v>
      </c>
    </row>
    <row r="1894" spans="1:10" ht="13" x14ac:dyDescent="0.15">
      <c r="A1894" s="6" t="str">
        <f ca="1">IFERROR(__xludf.DUMMYFUNCTION("""COMPUTED_VALUE"""),"Task Execution")</f>
        <v>Task Execution</v>
      </c>
      <c r="B1894" s="6" t="str">
        <f ca="1">IFERROR(__xludf.DUMMYFUNCTION("""COMPUTED_VALUE"""),"Task Execution")</f>
        <v>Task Execution</v>
      </c>
      <c r="H1894" s="6">
        <f ca="1"/>
        <v>0</v>
      </c>
      <c r="I1894" s="6">
        <f ca="1"/>
        <v>0</v>
      </c>
      <c r="J1894" s="6">
        <f ca="1"/>
        <v>0</v>
      </c>
    </row>
    <row r="1895" spans="1:10" ht="13" x14ac:dyDescent="0.15">
      <c r="A1895" s="6" t="str">
        <f ca="1">IFERROR(__xludf.DUMMYFUNCTION("""COMPUTED_VALUE"""),"Coding Pattern")</f>
        <v>Coding Pattern</v>
      </c>
      <c r="B1895" s="6" t="str">
        <f ca="1">IFERROR(__xludf.DUMMYFUNCTION("""COMPUTED_VALUE"""),"Coding Pattern")</f>
        <v>Coding Pattern</v>
      </c>
      <c r="H1895" s="6">
        <f ca="1"/>
        <v>0</v>
      </c>
      <c r="I1895" s="6">
        <f ca="1"/>
        <v>0</v>
      </c>
      <c r="J1895" s="6">
        <f ca="1"/>
        <v>0</v>
      </c>
    </row>
    <row r="1896" spans="1:10" ht="13" x14ac:dyDescent="0.15">
      <c r="A1896" s="6" t="str">
        <f ca="1">IFERROR(__xludf.DUMMYFUNCTION("""COMPUTED_VALUE"""),"Coding Pattern")</f>
        <v>Coding Pattern</v>
      </c>
      <c r="B1896" s="6" t="str">
        <f ca="1">IFERROR(__xludf.DUMMYFUNCTION("""COMPUTED_VALUE"""),"Coding Pattern")</f>
        <v>Coding Pattern</v>
      </c>
      <c r="H1896" s="6">
        <f ca="1"/>
        <v>0</v>
      </c>
      <c r="I1896" s="6">
        <f ca="1"/>
        <v>0</v>
      </c>
      <c r="J1896" s="6">
        <f ca="1"/>
        <v>0</v>
      </c>
    </row>
    <row r="1897" spans="1:10" ht="13" x14ac:dyDescent="0.15">
      <c r="A1897" s="6" t="str">
        <f ca="1">IFERROR(__xludf.DUMMYFUNCTION("""COMPUTED_VALUE"""),"Coding Pattern")</f>
        <v>Coding Pattern</v>
      </c>
      <c r="B1897" s="6" t="str">
        <f ca="1">IFERROR(__xludf.DUMMYFUNCTION("""COMPUTED_VALUE"""),"Coding Pattern")</f>
        <v>Coding Pattern</v>
      </c>
      <c r="H1897" s="6">
        <f ca="1"/>
        <v>0</v>
      </c>
      <c r="I1897" s="6">
        <f ca="1"/>
        <v>0</v>
      </c>
      <c r="J1897" s="6">
        <f ca="1"/>
        <v>0</v>
      </c>
    </row>
    <row r="1898" spans="1:10" ht="13" x14ac:dyDescent="0.15">
      <c r="A1898" s="6" t="str">
        <f ca="1">IFERROR(__xludf.DUMMYFUNCTION("""COMPUTED_VALUE"""),"Documentation")</f>
        <v>Documentation</v>
      </c>
      <c r="B1898" s="6" t="str">
        <f ca="1">IFERROR(__xludf.DUMMYFUNCTION("""COMPUTED_VALUE"""),"Documentation")</f>
        <v>Documentation</v>
      </c>
      <c r="H1898" s="6">
        <f ca="1"/>
        <v>0</v>
      </c>
      <c r="I1898" s="6">
        <f ca="1"/>
        <v>0</v>
      </c>
      <c r="J1898" s="6">
        <f ca="1"/>
        <v>0</v>
      </c>
    </row>
    <row r="1899" spans="1:10" ht="13" x14ac:dyDescent="0.15">
      <c r="A1899" s="6" t="str">
        <f ca="1">IFERROR(__xludf.DUMMYFUNCTION("""COMPUTED_VALUE"""),"Task Execution")</f>
        <v>Task Execution</v>
      </c>
      <c r="B1899" s="6" t="str">
        <f ca="1">IFERROR(__xludf.DUMMYFUNCTION("""COMPUTED_VALUE"""),"Task Execution")</f>
        <v>Task Execution</v>
      </c>
      <c r="H1899" s="6">
        <f ca="1"/>
        <v>0</v>
      </c>
      <c r="I1899" s="6">
        <f ca="1"/>
        <v>0</v>
      </c>
      <c r="J1899" s="6">
        <f ca="1"/>
        <v>0</v>
      </c>
    </row>
    <row r="1900" spans="1:10" ht="13" x14ac:dyDescent="0.15">
      <c r="A1900" s="6" t="str">
        <f ca="1">IFERROR(__xludf.DUMMYFUNCTION("""COMPUTED_VALUE"""),"Documentation")</f>
        <v>Documentation</v>
      </c>
      <c r="B1900" s="6" t="str">
        <f ca="1">IFERROR(__xludf.DUMMYFUNCTION("""COMPUTED_VALUE"""),"Documentation")</f>
        <v>Documentation</v>
      </c>
      <c r="H1900" s="6">
        <f ca="1"/>
        <v>0</v>
      </c>
      <c r="I1900" s="6">
        <f ca="1"/>
        <v>0</v>
      </c>
      <c r="J1900" s="6">
        <f ca="1"/>
        <v>0</v>
      </c>
    </row>
    <row r="1901" spans="1:10" ht="13" x14ac:dyDescent="0.15">
      <c r="A1901" s="6" t="str">
        <f ca="1">IFERROR(__xludf.DUMMYFUNCTION("""COMPUTED_VALUE"""),"Testing")</f>
        <v>Testing</v>
      </c>
      <c r="B1901" s="6" t="str">
        <f ca="1">IFERROR(__xludf.DUMMYFUNCTION("""COMPUTED_VALUE"""),"Testing")</f>
        <v>Testing</v>
      </c>
      <c r="H1901" s="6">
        <f ca="1"/>
        <v>0</v>
      </c>
      <c r="I1901" s="6">
        <f ca="1"/>
        <v>0</v>
      </c>
      <c r="J1901" s="6">
        <f ca="1"/>
        <v>0</v>
      </c>
    </row>
    <row r="1902" spans="1:10" ht="13" x14ac:dyDescent="0.15">
      <c r="A1902" s="6" t="str">
        <f ca="1">IFERROR(__xludf.DUMMYFUNCTION("""COMPUTED_VALUE"""),"Coding Style")</f>
        <v>Coding Style</v>
      </c>
      <c r="B1902" s="6" t="str">
        <f ca="1">IFERROR(__xludf.DUMMYFUNCTION("""COMPUTED_VALUE"""),"Coding Style")</f>
        <v>Coding Style</v>
      </c>
      <c r="H1902" s="6">
        <f ca="1"/>
        <v>0</v>
      </c>
      <c r="I1902" s="6">
        <f ca="1"/>
        <v>0</v>
      </c>
      <c r="J1902" s="6">
        <f ca="1"/>
        <v>0</v>
      </c>
    </row>
    <row r="1903" spans="1:10" ht="13" x14ac:dyDescent="0.15">
      <c r="A1903" s="6" t="str">
        <f ca="1">IFERROR(__xludf.DUMMYFUNCTION("""COMPUTED_VALUE"""),"Coding Pattern")</f>
        <v>Coding Pattern</v>
      </c>
      <c r="B1903" s="6" t="str">
        <f ca="1">IFERROR(__xludf.DUMMYFUNCTION("""COMPUTED_VALUE"""),"Maintainability")</f>
        <v>Maintainability</v>
      </c>
      <c r="H1903" s="6">
        <f ca="1"/>
        <v>0</v>
      </c>
      <c r="I1903" s="6">
        <f ca="1"/>
        <v>0</v>
      </c>
      <c r="J1903" s="6">
        <f ca="1"/>
        <v>0</v>
      </c>
    </row>
    <row r="1904" spans="1:10" ht="13" x14ac:dyDescent="0.15">
      <c r="A1904" s="6" t="str">
        <f ca="1">IFERROR(__xludf.DUMMYFUNCTION("""COMPUTED_VALUE"""),"Testing")</f>
        <v>Testing</v>
      </c>
      <c r="B1904" s="6" t="str">
        <f ca="1">IFERROR(__xludf.DUMMYFUNCTION("""COMPUTED_VALUE"""),"Testing")</f>
        <v>Testing</v>
      </c>
      <c r="H1904" s="6">
        <f ca="1"/>
        <v>0</v>
      </c>
      <c r="I1904" s="6">
        <f ca="1"/>
        <v>0</v>
      </c>
      <c r="J1904" s="6">
        <f ca="1"/>
        <v>0</v>
      </c>
    </row>
    <row r="1905" spans="1:10" ht="13" x14ac:dyDescent="0.15">
      <c r="A1905" s="6" t="str">
        <f ca="1">IFERROR(__xludf.DUMMYFUNCTION("""COMPUTED_VALUE"""),"Coding Pattern")</f>
        <v>Coding Pattern</v>
      </c>
      <c r="B1905" s="6" t="str">
        <f ca="1">IFERROR(__xludf.DUMMYFUNCTION("""COMPUTED_VALUE"""),"Coding Pattern")</f>
        <v>Coding Pattern</v>
      </c>
      <c r="H1905" s="6">
        <f ca="1"/>
        <v>0</v>
      </c>
      <c r="I1905" s="6">
        <f ca="1"/>
        <v>0</v>
      </c>
      <c r="J1905" s="6">
        <f ca="1"/>
        <v>0</v>
      </c>
    </row>
    <row r="1906" spans="1:10" ht="13" x14ac:dyDescent="0.15">
      <c r="A1906" s="6" t="str">
        <f ca="1">IFERROR(__xludf.DUMMYFUNCTION("""COMPUTED_VALUE"""),"Writing Style Preference")</f>
        <v>Writing Style Preference</v>
      </c>
      <c r="B1906" s="6" t="str">
        <f ca="1">IFERROR(__xludf.DUMMYFUNCTION("""COMPUTED_VALUE"""),"Writing Style Preference")</f>
        <v>Writing Style Preference</v>
      </c>
      <c r="H1906" s="6">
        <f ca="1"/>
        <v>0</v>
      </c>
      <c r="I1906" s="6">
        <f ca="1"/>
        <v>0</v>
      </c>
      <c r="J1906" s="6">
        <f ca="1"/>
        <v>0</v>
      </c>
    </row>
    <row r="1907" spans="1:10" ht="13" x14ac:dyDescent="0.15">
      <c r="A1907" s="6" t="str">
        <f ca="1">IFERROR(__xludf.DUMMYFUNCTION("""COMPUTED_VALUE"""),"Commit&amp;PR rule")</f>
        <v>Commit&amp;PR rule</v>
      </c>
      <c r="B1907" s="6" t="str">
        <f ca="1">IFERROR(__xludf.DUMMYFUNCTION("""COMPUTED_VALUE"""),"Commit&amp;PR rule")</f>
        <v>Commit&amp;PR rule</v>
      </c>
      <c r="H1907" s="6">
        <f ca="1"/>
        <v>0</v>
      </c>
      <c r="I1907" s="6">
        <f ca="1"/>
        <v>0</v>
      </c>
      <c r="J1907" s="6">
        <f ca="1"/>
        <v>0</v>
      </c>
    </row>
    <row r="1908" spans="1:10" ht="13" x14ac:dyDescent="0.15">
      <c r="A1908" s="6" t="str">
        <f ca="1">IFERROR(__xludf.DUMMYFUNCTION("""COMPUTED_VALUE"""),"Testing")</f>
        <v>Testing</v>
      </c>
      <c r="B1908" s="6" t="str">
        <f ca="1">IFERROR(__xludf.DUMMYFUNCTION("""COMPUTED_VALUE"""),"Testing")</f>
        <v>Testing</v>
      </c>
      <c r="H1908" s="6">
        <f ca="1"/>
        <v>0</v>
      </c>
      <c r="I1908" s="6">
        <f ca="1"/>
        <v>0</v>
      </c>
      <c r="J1908" s="6">
        <f ca="1"/>
        <v>0</v>
      </c>
    </row>
    <row r="1909" spans="1:10" ht="13" x14ac:dyDescent="0.15">
      <c r="A1909" s="6" t="str">
        <f ca="1">IFERROR(__xludf.DUMMYFUNCTION("""COMPUTED_VALUE"""),"Commit&amp;PR rule")</f>
        <v>Commit&amp;PR rule</v>
      </c>
      <c r="B1909" s="6" t="str">
        <f ca="1">IFERROR(__xludf.DUMMYFUNCTION("""COMPUTED_VALUE"""),"Commit&amp;PR rule")</f>
        <v>Commit&amp;PR rule</v>
      </c>
      <c r="H1909" s="6">
        <f ca="1"/>
        <v>0</v>
      </c>
      <c r="I1909" s="6">
        <f ca="1"/>
        <v>0</v>
      </c>
      <c r="J1909" s="6">
        <f ca="1"/>
        <v>0</v>
      </c>
    </row>
    <row r="1910" spans="1:10" ht="13" x14ac:dyDescent="0.15">
      <c r="A1910" s="6" t="str">
        <f ca="1">IFERROR(__xludf.DUMMYFUNCTION("""COMPUTED_VALUE"""),"Testing")</f>
        <v>Testing</v>
      </c>
      <c r="B1910" s="6" t="str">
        <f ca="1">IFERROR(__xludf.DUMMYFUNCTION("""COMPUTED_VALUE"""),"Testing")</f>
        <v>Testing</v>
      </c>
      <c r="H1910" s="6">
        <f ca="1"/>
        <v>0</v>
      </c>
      <c r="I1910" s="6">
        <f ca="1"/>
        <v>0</v>
      </c>
      <c r="J1910" s="6">
        <f ca="1"/>
        <v>0</v>
      </c>
    </row>
    <row r="1911" spans="1:10" ht="13" x14ac:dyDescent="0.15">
      <c r="A1911" s="6" t="str">
        <f ca="1">IFERROR(__xludf.DUMMYFUNCTION("""COMPUTED_VALUE"""),"Writing Style Preference")</f>
        <v>Writing Style Preference</v>
      </c>
      <c r="B1911" s="6" t="str">
        <f ca="1">IFERROR(__xludf.DUMMYFUNCTION("""COMPUTED_VALUE"""),"Writing Style Preference")</f>
        <v>Writing Style Preference</v>
      </c>
      <c r="H1911" s="6">
        <f ca="1"/>
        <v>0</v>
      </c>
      <c r="I1911" s="6">
        <f ca="1"/>
        <v>0</v>
      </c>
      <c r="J1911" s="6">
        <f ca="1"/>
        <v>0</v>
      </c>
    </row>
    <row r="1912" spans="1:10" ht="13" x14ac:dyDescent="0.15">
      <c r="A1912" s="6" t="str">
        <f ca="1">IFERROR(__xludf.DUMMYFUNCTION("""COMPUTED_VALUE"""),"Task Execution")</f>
        <v>Task Execution</v>
      </c>
      <c r="B1912" s="6" t="str">
        <f ca="1">IFERROR(__xludf.DUMMYFUNCTION("""COMPUTED_VALUE"""),"Task Execution")</f>
        <v>Task Execution</v>
      </c>
      <c r="H1912" s="6">
        <f ca="1"/>
        <v>0</v>
      </c>
      <c r="I1912" s="6">
        <f ca="1"/>
        <v>0</v>
      </c>
      <c r="J1912" s="6">
        <f ca="1"/>
        <v>0</v>
      </c>
    </row>
    <row r="1913" spans="1:10" ht="13" x14ac:dyDescent="0.15">
      <c r="A1913" s="6" t="str">
        <f ca="1">IFERROR(__xludf.DUMMYFUNCTION("""COMPUTED_VALUE"""),"Task Execution")</f>
        <v>Task Execution</v>
      </c>
      <c r="B1913" s="6" t="str">
        <f ca="1">IFERROR(__xludf.DUMMYFUNCTION("""COMPUTED_VALUE"""),"Task Execution")</f>
        <v>Task Execution</v>
      </c>
      <c r="H1913" s="6">
        <f ca="1"/>
        <v>0</v>
      </c>
      <c r="I1913" s="6">
        <f ca="1"/>
        <v>0</v>
      </c>
      <c r="J1913" s="6">
        <f ca="1"/>
        <v>0</v>
      </c>
    </row>
    <row r="1914" spans="1:10" ht="13" x14ac:dyDescent="0.15">
      <c r="A1914" s="6" t="str">
        <f ca="1">IFERROR(__xludf.DUMMYFUNCTION("""COMPUTED_VALUE"""),"Build &amp; Operation")</f>
        <v>Build &amp; Operation</v>
      </c>
      <c r="B1914" s="6" t="str">
        <f ca="1">IFERROR(__xludf.DUMMYFUNCTION("""COMPUTED_VALUE"""),"Build &amp; Operation")</f>
        <v>Build &amp; Operation</v>
      </c>
      <c r="H1914" s="6">
        <f ca="1"/>
        <v>0</v>
      </c>
      <c r="I1914" s="6">
        <f ca="1"/>
        <v>0</v>
      </c>
      <c r="J1914" s="6">
        <f ca="1"/>
        <v>0</v>
      </c>
    </row>
    <row r="1915" spans="1:10" ht="13" x14ac:dyDescent="0.15">
      <c r="A1915" s="6" t="str">
        <f ca="1">IFERROR(__xludf.DUMMYFUNCTION("""COMPUTED_VALUE"""),"Build &amp; Operation")</f>
        <v>Build &amp; Operation</v>
      </c>
      <c r="B1915" s="6" t="str">
        <f ca="1">IFERROR(__xludf.DUMMYFUNCTION("""COMPUTED_VALUE"""),"Build &amp; Operation")</f>
        <v>Build &amp; Operation</v>
      </c>
      <c r="H1915" s="6">
        <f ca="1"/>
        <v>0</v>
      </c>
      <c r="I1915" s="6">
        <f ca="1"/>
        <v>0</v>
      </c>
      <c r="J1915" s="6">
        <f ca="1"/>
        <v>0</v>
      </c>
    </row>
    <row r="1916" spans="1:10" ht="13" x14ac:dyDescent="0.15">
      <c r="A1916" s="6" t="str">
        <f ca="1">IFERROR(__xludf.DUMMYFUNCTION("""COMPUTED_VALUE"""),"Build &amp; Operation")</f>
        <v>Build &amp; Operation</v>
      </c>
      <c r="B1916" s="6" t="str">
        <f ca="1">IFERROR(__xludf.DUMMYFUNCTION("""COMPUTED_VALUE"""),"Build &amp; Operation")</f>
        <v>Build &amp; Operation</v>
      </c>
      <c r="H1916" s="6">
        <f ca="1"/>
        <v>0</v>
      </c>
      <c r="I1916" s="6">
        <f ca="1"/>
        <v>0</v>
      </c>
      <c r="J1916" s="6">
        <f ca="1"/>
        <v>0</v>
      </c>
    </row>
    <row r="1917" spans="1:10" ht="13" x14ac:dyDescent="0.15">
      <c r="A1917" s="6" t="str">
        <f ca="1">IFERROR(__xludf.DUMMYFUNCTION("""COMPUTED_VALUE"""),"Task Execution")</f>
        <v>Task Execution</v>
      </c>
      <c r="B1917" s="6" t="str">
        <f ca="1">IFERROR(__xludf.DUMMYFUNCTION("""COMPUTED_VALUE"""),"Task Execution")</f>
        <v>Task Execution</v>
      </c>
      <c r="H1917" s="6">
        <f ca="1"/>
        <v>0</v>
      </c>
      <c r="I1917" s="6">
        <f ca="1"/>
        <v>0</v>
      </c>
      <c r="J1917" s="6">
        <f ca="1"/>
        <v>0</v>
      </c>
    </row>
    <row r="1918" spans="1:10" ht="13" x14ac:dyDescent="0.15">
      <c r="A1918" s="6" t="str">
        <f ca="1">IFERROR(__xludf.DUMMYFUNCTION("""COMPUTED_VALUE"""),"Task Execution")</f>
        <v>Task Execution</v>
      </c>
      <c r="B1918" s="6" t="str">
        <f ca="1">IFERROR(__xludf.DUMMYFUNCTION("""COMPUTED_VALUE"""),"Task Execution")</f>
        <v>Task Execution</v>
      </c>
      <c r="H1918" s="6">
        <f ca="1"/>
        <v>0</v>
      </c>
      <c r="I1918" s="6">
        <f ca="1"/>
        <v>0</v>
      </c>
      <c r="J1918" s="6">
        <f ca="1"/>
        <v>0</v>
      </c>
    </row>
    <row r="1919" spans="1:10" ht="13" x14ac:dyDescent="0.15">
      <c r="A1919" s="6" t="str">
        <f ca="1">IFERROR(__xludf.DUMMYFUNCTION("""COMPUTED_VALUE"""),"Task Execution")</f>
        <v>Task Execution</v>
      </c>
      <c r="B1919" s="6" t="str">
        <f ca="1">IFERROR(__xludf.DUMMYFUNCTION("""COMPUTED_VALUE"""),"Task Execution")</f>
        <v>Task Execution</v>
      </c>
      <c r="H1919" s="6">
        <f ca="1"/>
        <v>0</v>
      </c>
      <c r="I1919" s="6">
        <f ca="1"/>
        <v>0</v>
      </c>
      <c r="J1919" s="6">
        <f ca="1"/>
        <v>0</v>
      </c>
    </row>
    <row r="1920" spans="1:10" ht="13" x14ac:dyDescent="0.15">
      <c r="A1920" s="6" t="str">
        <f ca="1">IFERROR(__xludf.DUMMYFUNCTION("""COMPUTED_VALUE"""),"Task Execution")</f>
        <v>Task Execution</v>
      </c>
      <c r="B1920" s="6" t="str">
        <f ca="1">IFERROR(__xludf.DUMMYFUNCTION("""COMPUTED_VALUE"""),"Task Execution")</f>
        <v>Task Execution</v>
      </c>
      <c r="H1920" s="6">
        <f ca="1"/>
        <v>0</v>
      </c>
      <c r="I1920" s="6">
        <f ca="1"/>
        <v>0</v>
      </c>
      <c r="J1920" s="6">
        <f ca="1"/>
        <v>0</v>
      </c>
    </row>
    <row r="1921" spans="1:10" ht="13" x14ac:dyDescent="0.15">
      <c r="A1921" s="6" t="str">
        <f ca="1">IFERROR(__xludf.DUMMYFUNCTION("""COMPUTED_VALUE"""),"Build &amp; Operation")</f>
        <v>Build &amp; Operation</v>
      </c>
      <c r="B1921" s="6" t="str">
        <f ca="1">IFERROR(__xludf.DUMMYFUNCTION("""COMPUTED_VALUE"""),"Build &amp; Operation")</f>
        <v>Build &amp; Operation</v>
      </c>
      <c r="H1921" s="6">
        <f ca="1"/>
        <v>0</v>
      </c>
      <c r="I1921" s="6">
        <f ca="1"/>
        <v>0</v>
      </c>
      <c r="J1921" s="6">
        <f ca="1"/>
        <v>0</v>
      </c>
    </row>
    <row r="1922" spans="1:10" ht="13" x14ac:dyDescent="0.15">
      <c r="A1922" s="6" t="str">
        <f ca="1">IFERROR(__xludf.DUMMYFUNCTION("""COMPUTED_VALUE"""),"Task Execution")</f>
        <v>Task Execution</v>
      </c>
      <c r="B1922" s="6" t="str">
        <f ca="1">IFERROR(__xludf.DUMMYFUNCTION("""COMPUTED_VALUE"""),"Task Execution")</f>
        <v>Task Execution</v>
      </c>
      <c r="H1922" s="6">
        <f ca="1"/>
        <v>0</v>
      </c>
      <c r="I1922" s="6">
        <f ca="1"/>
        <v>0</v>
      </c>
      <c r="J1922" s="6">
        <f ca="1"/>
        <v>0</v>
      </c>
    </row>
    <row r="1923" spans="1:10" ht="13" x14ac:dyDescent="0.15">
      <c r="A1923" s="6" t="str">
        <f ca="1">IFERROR(__xludf.DUMMYFUNCTION("""COMPUTED_VALUE"""),"Task Execution")</f>
        <v>Task Execution</v>
      </c>
      <c r="B1923" s="6" t="str">
        <f ca="1">IFERROR(__xludf.DUMMYFUNCTION("""COMPUTED_VALUE"""),"Task Execution")</f>
        <v>Task Execution</v>
      </c>
      <c r="H1923" s="6">
        <f ca="1"/>
        <v>0</v>
      </c>
      <c r="I1923" s="6">
        <f ca="1"/>
        <v>0</v>
      </c>
      <c r="J1923" s="6">
        <f ca="1"/>
        <v>0</v>
      </c>
    </row>
    <row r="1924" spans="1:10" ht="13" x14ac:dyDescent="0.15">
      <c r="A1924" s="6" t="str">
        <f ca="1">IFERROR(__xludf.DUMMYFUNCTION("""COMPUTED_VALUE"""),"Task Execution")</f>
        <v>Task Execution</v>
      </c>
      <c r="B1924" s="6" t="str">
        <f ca="1">IFERROR(__xludf.DUMMYFUNCTION("""COMPUTED_VALUE"""),"Task Execution")</f>
        <v>Task Execution</v>
      </c>
      <c r="H1924" s="6">
        <f ca="1"/>
        <v>0</v>
      </c>
      <c r="I1924" s="6">
        <f ca="1"/>
        <v>0</v>
      </c>
      <c r="J1924" s="6">
        <f ca="1"/>
        <v>0</v>
      </c>
    </row>
    <row r="1925" spans="1:10" ht="13" x14ac:dyDescent="0.15">
      <c r="A1925" s="6" t="str">
        <f ca="1">IFERROR(__xludf.DUMMYFUNCTION("""COMPUTED_VALUE"""),"Task Execution")</f>
        <v>Task Execution</v>
      </c>
      <c r="B1925" s="6" t="str">
        <f ca="1">IFERROR(__xludf.DUMMYFUNCTION("""COMPUTED_VALUE"""),"Task Execution")</f>
        <v>Task Execution</v>
      </c>
      <c r="H1925" s="6">
        <f ca="1"/>
        <v>0</v>
      </c>
      <c r="I1925" s="6">
        <f ca="1"/>
        <v>0</v>
      </c>
      <c r="J1925" s="6">
        <f ca="1"/>
        <v>0</v>
      </c>
    </row>
    <row r="1926" spans="1:10" ht="13" x14ac:dyDescent="0.15">
      <c r="A1926" s="6" t="str">
        <f ca="1">IFERROR(__xludf.DUMMYFUNCTION("""COMPUTED_VALUE"""),"Task Execution")</f>
        <v>Task Execution</v>
      </c>
      <c r="B1926" s="6" t="str">
        <f ca="1">IFERROR(__xludf.DUMMYFUNCTION("""COMPUTED_VALUE"""),"Task Execution")</f>
        <v>Task Execution</v>
      </c>
      <c r="H1926" s="6">
        <f ca="1"/>
        <v>0</v>
      </c>
      <c r="I1926" s="6">
        <f ca="1"/>
        <v>0</v>
      </c>
      <c r="J1926" s="6">
        <f ca="1"/>
        <v>0</v>
      </c>
    </row>
    <row r="1927" spans="1:10" ht="13" x14ac:dyDescent="0.15">
      <c r="A1927" s="6" t="str">
        <f ca="1">IFERROR(__xludf.DUMMYFUNCTION("""COMPUTED_VALUE"""),"Task Execution")</f>
        <v>Task Execution</v>
      </c>
      <c r="B1927" s="6" t="str">
        <f ca="1">IFERROR(__xludf.DUMMYFUNCTION("""COMPUTED_VALUE"""),"Task Execution")</f>
        <v>Task Execution</v>
      </c>
      <c r="H1927" s="6">
        <f ca="1"/>
        <v>0</v>
      </c>
      <c r="I1927" s="6">
        <f ca="1"/>
        <v>0</v>
      </c>
      <c r="J1927" s="6">
        <f ca="1"/>
        <v>0</v>
      </c>
    </row>
    <row r="1928" spans="1:10" ht="13" x14ac:dyDescent="0.15">
      <c r="A1928" s="6" t="str">
        <f ca="1">IFERROR(__xludf.DUMMYFUNCTION("""COMPUTED_VALUE"""),"Task Execution")</f>
        <v>Task Execution</v>
      </c>
      <c r="B1928" s="6" t="str">
        <f ca="1">IFERROR(__xludf.DUMMYFUNCTION("""COMPUTED_VALUE"""),"Task Execution")</f>
        <v>Task Execution</v>
      </c>
      <c r="H1928" s="6">
        <f ca="1"/>
        <v>0</v>
      </c>
      <c r="I1928" s="6">
        <f ca="1"/>
        <v>0</v>
      </c>
      <c r="J1928" s="6">
        <f ca="1"/>
        <v>0</v>
      </c>
    </row>
    <row r="1929" spans="1:10" ht="13" x14ac:dyDescent="0.15">
      <c r="A1929" s="6" t="str">
        <f ca="1">IFERROR(__xludf.DUMMYFUNCTION("""COMPUTED_VALUE"""),"Task Execution")</f>
        <v>Task Execution</v>
      </c>
      <c r="B1929" s="6" t="str">
        <f ca="1">IFERROR(__xludf.DUMMYFUNCTION("""COMPUTED_VALUE"""),"Task Execution")</f>
        <v>Task Execution</v>
      </c>
      <c r="H1929" s="6">
        <f ca="1"/>
        <v>0</v>
      </c>
      <c r="I1929" s="6">
        <f ca="1"/>
        <v>0</v>
      </c>
      <c r="J1929" s="6">
        <f ca="1"/>
        <v>0</v>
      </c>
    </row>
    <row r="1930" spans="1:10" ht="13" x14ac:dyDescent="0.15">
      <c r="A1930" s="6" t="str">
        <f ca="1">IFERROR(__xludf.DUMMYFUNCTION("""COMPUTED_VALUE"""),"Task Execution")</f>
        <v>Task Execution</v>
      </c>
      <c r="B1930" s="6" t="str">
        <f ca="1">IFERROR(__xludf.DUMMYFUNCTION("""COMPUTED_VALUE"""),"Task Execution")</f>
        <v>Task Execution</v>
      </c>
      <c r="H1930" s="6">
        <f ca="1"/>
        <v>0</v>
      </c>
      <c r="I1930" s="6">
        <f ca="1"/>
        <v>0</v>
      </c>
      <c r="J1930" s="6">
        <f ca="1"/>
        <v>0</v>
      </c>
    </row>
    <row r="1931" spans="1:10" ht="13" x14ac:dyDescent="0.15">
      <c r="A1931" s="6" t="str">
        <f ca="1">IFERROR(__xludf.DUMMYFUNCTION("""COMPUTED_VALUE"""),"Build &amp; Operation")</f>
        <v>Build &amp; Operation</v>
      </c>
      <c r="B1931" s="6" t="str">
        <f ca="1">IFERROR(__xludf.DUMMYFUNCTION("""COMPUTED_VALUE"""),"Build &amp; Operation")</f>
        <v>Build &amp; Operation</v>
      </c>
      <c r="H1931" s="6">
        <f ca="1"/>
        <v>0</v>
      </c>
      <c r="I1931" s="6">
        <f ca="1"/>
        <v>0</v>
      </c>
      <c r="J1931" s="6">
        <f ca="1"/>
        <v>0</v>
      </c>
    </row>
    <row r="1932" spans="1:10" ht="13" x14ac:dyDescent="0.15">
      <c r="A1932" s="6" t="str">
        <f ca="1">IFERROR(__xludf.DUMMYFUNCTION("""COMPUTED_VALUE"""),"Coding Pattern")</f>
        <v>Coding Pattern</v>
      </c>
      <c r="B1932" s="6" t="str">
        <f ca="1">IFERROR(__xludf.DUMMYFUNCTION("""COMPUTED_VALUE"""),"Coding Pattern")</f>
        <v>Coding Pattern</v>
      </c>
      <c r="H1932" s="6">
        <f ca="1"/>
        <v>0</v>
      </c>
      <c r="I1932" s="6">
        <f ca="1"/>
        <v>0</v>
      </c>
      <c r="J1932" s="6">
        <f ca="1"/>
        <v>0</v>
      </c>
    </row>
    <row r="1933" spans="1:10" ht="13" x14ac:dyDescent="0.15">
      <c r="A1933" s="6" t="str">
        <f ca="1">IFERROR(__xludf.DUMMYFUNCTION("""COMPUTED_VALUE"""),"Build &amp; Operation")</f>
        <v>Build &amp; Operation</v>
      </c>
      <c r="B1933" s="6" t="str">
        <f ca="1">IFERROR(__xludf.DUMMYFUNCTION("""COMPUTED_VALUE"""),"Build &amp; Operation")</f>
        <v>Build &amp; Operation</v>
      </c>
      <c r="H1933" s="6">
        <f ca="1"/>
        <v>0</v>
      </c>
      <c r="I1933" s="6">
        <f ca="1"/>
        <v>0</v>
      </c>
      <c r="J1933" s="6">
        <f ca="1"/>
        <v>0</v>
      </c>
    </row>
    <row r="1934" spans="1:10" ht="13" x14ac:dyDescent="0.15">
      <c r="A1934" s="6" t="str">
        <f ca="1">IFERROR(__xludf.DUMMYFUNCTION("""COMPUTED_VALUE"""),"Build &amp; Operation")</f>
        <v>Build &amp; Operation</v>
      </c>
      <c r="B1934" s="6" t="str">
        <f ca="1">IFERROR(__xludf.DUMMYFUNCTION("""COMPUTED_VALUE"""),"Build &amp; Operation")</f>
        <v>Build &amp; Operation</v>
      </c>
      <c r="H1934" s="6">
        <f ca="1"/>
        <v>0</v>
      </c>
      <c r="I1934" s="6">
        <f ca="1"/>
        <v>0</v>
      </c>
      <c r="J1934" s="6">
        <f ca="1"/>
        <v>0</v>
      </c>
    </row>
    <row r="1935" spans="1:10" ht="13" x14ac:dyDescent="0.15">
      <c r="A1935" s="6" t="str">
        <f ca="1">IFERROR(__xludf.DUMMYFUNCTION("""COMPUTED_VALUE"""),"Task Execution")</f>
        <v>Task Execution</v>
      </c>
      <c r="B1935" s="6" t="str">
        <f ca="1">IFERROR(__xludf.DUMMYFUNCTION("""COMPUTED_VALUE"""),"Task Execution")</f>
        <v>Task Execution</v>
      </c>
      <c r="H1935" s="6">
        <f ca="1"/>
        <v>0</v>
      </c>
      <c r="I1935" s="6">
        <f ca="1"/>
        <v>0</v>
      </c>
      <c r="J1935" s="6">
        <f ca="1"/>
        <v>0</v>
      </c>
    </row>
    <row r="1936" spans="1:10" ht="13" x14ac:dyDescent="0.15">
      <c r="A1936" s="6" t="str">
        <f ca="1">IFERROR(__xludf.DUMMYFUNCTION("""COMPUTED_VALUE"""),"Task Execution")</f>
        <v>Task Execution</v>
      </c>
      <c r="B1936" s="6" t="str">
        <f ca="1">IFERROR(__xludf.DUMMYFUNCTION("""COMPUTED_VALUE"""),"Task Execution")</f>
        <v>Task Execution</v>
      </c>
      <c r="H1936" s="6">
        <f ca="1"/>
        <v>0</v>
      </c>
      <c r="I1936" s="6">
        <f ca="1"/>
        <v>0</v>
      </c>
      <c r="J1936" s="6">
        <f ca="1"/>
        <v>0</v>
      </c>
    </row>
    <row r="1937" spans="1:10" ht="13" x14ac:dyDescent="0.15">
      <c r="A1937" s="6" t="str">
        <f ca="1">IFERROR(__xludf.DUMMYFUNCTION("""COMPUTED_VALUE"""),"Coding Pattern")</f>
        <v>Coding Pattern</v>
      </c>
      <c r="B1937" s="6" t="str">
        <f ca="1">IFERROR(__xludf.DUMMYFUNCTION("""COMPUTED_VALUE"""),"Coding Pattern")</f>
        <v>Coding Pattern</v>
      </c>
      <c r="H1937" s="6">
        <f ca="1"/>
        <v>0</v>
      </c>
      <c r="I1937" s="6">
        <f ca="1"/>
        <v>0</v>
      </c>
      <c r="J1937" s="6">
        <f ca="1"/>
        <v>0</v>
      </c>
    </row>
    <row r="1938" spans="1:10" ht="13" x14ac:dyDescent="0.15">
      <c r="A1938" s="6" t="str">
        <f ca="1">IFERROR(__xludf.DUMMYFUNCTION("""COMPUTED_VALUE"""),"Maintainability")</f>
        <v>Maintainability</v>
      </c>
      <c r="B1938" s="6" t="str">
        <f ca="1">IFERROR(__xludf.DUMMYFUNCTION("""COMPUTED_VALUE"""),"Maintainability")</f>
        <v>Maintainability</v>
      </c>
      <c r="H1938" s="6">
        <f ca="1"/>
        <v>0</v>
      </c>
      <c r="I1938" s="6">
        <f ca="1"/>
        <v>0</v>
      </c>
      <c r="J1938" s="6">
        <f ca="1"/>
        <v>0</v>
      </c>
    </row>
    <row r="1939" spans="1:10" ht="13" x14ac:dyDescent="0.15">
      <c r="A1939" s="6" t="str">
        <f ca="1">IFERROR(__xludf.DUMMYFUNCTION("""COMPUTED_VALUE"""),"Coding Pattern")</f>
        <v>Coding Pattern</v>
      </c>
      <c r="B1939" s="6" t="str">
        <f ca="1">IFERROR(__xludf.DUMMYFUNCTION("""COMPUTED_VALUE"""),"Coding Pattern")</f>
        <v>Coding Pattern</v>
      </c>
      <c r="H1939" s="6">
        <f ca="1"/>
        <v>0</v>
      </c>
      <c r="I1939" s="6">
        <f ca="1"/>
        <v>0</v>
      </c>
      <c r="J1939" s="6">
        <f ca="1"/>
        <v>0</v>
      </c>
    </row>
    <row r="1940" spans="1:10" ht="13" x14ac:dyDescent="0.15">
      <c r="A1940" s="6" t="str">
        <f ca="1">IFERROR(__xludf.DUMMYFUNCTION("""COMPUTED_VALUE"""),"Coding Pattern")</f>
        <v>Coding Pattern</v>
      </c>
      <c r="B1940" s="6" t="str">
        <f ca="1">IFERROR(__xludf.DUMMYFUNCTION("""COMPUTED_VALUE"""),"Coding Pattern")</f>
        <v>Coding Pattern</v>
      </c>
      <c r="H1940" s="6">
        <f ca="1"/>
        <v>0</v>
      </c>
      <c r="I1940" s="6">
        <f ca="1"/>
        <v>0</v>
      </c>
      <c r="J1940" s="6">
        <f ca="1"/>
        <v>0</v>
      </c>
    </row>
    <row r="1941" spans="1:10" ht="13" x14ac:dyDescent="0.15">
      <c r="A1941" s="6" t="str">
        <f ca="1">IFERROR(__xludf.DUMMYFUNCTION("""COMPUTED_VALUE"""),"Coding Style")</f>
        <v>Coding Style</v>
      </c>
      <c r="B1941" s="6" t="str">
        <f ca="1">IFERROR(__xludf.DUMMYFUNCTION("""COMPUTED_VALUE"""),"Coding Style")</f>
        <v>Coding Style</v>
      </c>
      <c r="H1941" s="6">
        <f ca="1"/>
        <v>0</v>
      </c>
      <c r="I1941" s="6">
        <f ca="1"/>
        <v>0</v>
      </c>
      <c r="J1941" s="6">
        <f ca="1"/>
        <v>0</v>
      </c>
    </row>
    <row r="1942" spans="1:10" ht="13" x14ac:dyDescent="0.15">
      <c r="A1942" s="6" t="str">
        <f ca="1">IFERROR(__xludf.DUMMYFUNCTION("""COMPUTED_VALUE"""),"Testing")</f>
        <v>Testing</v>
      </c>
      <c r="B1942" s="6" t="str">
        <f ca="1">IFERROR(__xludf.DUMMYFUNCTION("""COMPUTED_VALUE"""),"Testing")</f>
        <v>Testing</v>
      </c>
      <c r="H1942" s="6">
        <f ca="1"/>
        <v>0</v>
      </c>
      <c r="I1942" s="6">
        <f ca="1"/>
        <v>0</v>
      </c>
      <c r="J1942" s="6">
        <f ca="1"/>
        <v>0</v>
      </c>
    </row>
    <row r="1943" spans="1:10" ht="13" x14ac:dyDescent="0.15">
      <c r="A1943" s="6" t="str">
        <f ca="1">IFERROR(__xludf.DUMMYFUNCTION("""COMPUTED_VALUE"""),"Coding Pattern")</f>
        <v>Coding Pattern</v>
      </c>
      <c r="B1943" s="6" t="str">
        <f ca="1">IFERROR(__xludf.DUMMYFUNCTION("""COMPUTED_VALUE"""),"Coding Pattern")</f>
        <v>Coding Pattern</v>
      </c>
      <c r="H1943" s="6">
        <f ca="1"/>
        <v>0</v>
      </c>
      <c r="I1943" s="6">
        <f ca="1"/>
        <v>0</v>
      </c>
      <c r="J1943" s="6">
        <f ca="1"/>
        <v>0</v>
      </c>
    </row>
    <row r="1944" spans="1:10" ht="13" x14ac:dyDescent="0.15">
      <c r="H1944" s="6">
        <f ca="1"/>
        <v>0</v>
      </c>
      <c r="I1944" s="6">
        <f ca="1"/>
        <v>0</v>
      </c>
      <c r="J1944" s="6">
        <f ca="1"/>
        <v>0</v>
      </c>
    </row>
    <row r="1945" spans="1:10" ht="13" x14ac:dyDescent="0.15">
      <c r="H1945" s="6">
        <f ca="1"/>
        <v>0</v>
      </c>
      <c r="I1945" s="6">
        <f ca="1"/>
        <v>0</v>
      </c>
      <c r="J1945" s="6">
        <f ca="1"/>
        <v>0</v>
      </c>
    </row>
    <row r="1946" spans="1:10" ht="13" x14ac:dyDescent="0.15">
      <c r="H1946" s="6">
        <f ca="1"/>
        <v>0</v>
      </c>
      <c r="I1946" s="6">
        <f ca="1"/>
        <v>0</v>
      </c>
      <c r="J1946" s="6">
        <f ca="1"/>
        <v>0</v>
      </c>
    </row>
    <row r="1947" spans="1:10" ht="13" x14ac:dyDescent="0.15">
      <c r="H1947" s="6">
        <f ca="1"/>
        <v>0</v>
      </c>
      <c r="I1947" s="6">
        <f ca="1"/>
        <v>0</v>
      </c>
      <c r="J1947" s="6">
        <f ca="1"/>
        <v>0</v>
      </c>
    </row>
    <row r="1948" spans="1:10" ht="13" x14ac:dyDescent="0.15">
      <c r="H1948" s="6">
        <f ca="1"/>
        <v>0</v>
      </c>
      <c r="I1948" s="6">
        <f ca="1"/>
        <v>0</v>
      </c>
      <c r="J1948" s="6">
        <f ca="1"/>
        <v>0</v>
      </c>
    </row>
    <row r="1949" spans="1:10" ht="13" x14ac:dyDescent="0.15">
      <c r="H1949" s="6">
        <f ca="1"/>
        <v>0</v>
      </c>
      <c r="I1949" s="6">
        <f ca="1"/>
        <v>0</v>
      </c>
      <c r="J1949" s="6">
        <f ca="1"/>
        <v>0</v>
      </c>
    </row>
    <row r="1950" spans="1:10" ht="13" x14ac:dyDescent="0.15">
      <c r="H1950" s="6">
        <f ca="1"/>
        <v>0</v>
      </c>
      <c r="I1950" s="6">
        <f ca="1"/>
        <v>0</v>
      </c>
      <c r="J1950" s="6">
        <f ca="1"/>
        <v>0</v>
      </c>
    </row>
    <row r="1951" spans="1:10" ht="13" x14ac:dyDescent="0.15">
      <c r="H1951" s="6">
        <f ca="1"/>
        <v>0</v>
      </c>
      <c r="I1951" s="6">
        <f ca="1"/>
        <v>0</v>
      </c>
      <c r="J1951" s="6">
        <f ca="1"/>
        <v>0</v>
      </c>
    </row>
    <row r="1952" spans="1:10" ht="13" x14ac:dyDescent="0.15">
      <c r="H1952" s="6">
        <f ca="1"/>
        <v>0</v>
      </c>
      <c r="I1952" s="6">
        <f ca="1"/>
        <v>0</v>
      </c>
      <c r="J1952" s="6">
        <f ca="1"/>
        <v>0</v>
      </c>
    </row>
    <row r="1953" spans="8:10" ht="13" x14ac:dyDescent="0.15">
      <c r="H1953" s="6">
        <f ca="1"/>
        <v>0</v>
      </c>
      <c r="I1953" s="6">
        <f ca="1"/>
        <v>0</v>
      </c>
      <c r="J1953" s="6">
        <f ca="1"/>
        <v>0</v>
      </c>
    </row>
    <row r="1954" spans="8:10" ht="13" x14ac:dyDescent="0.15">
      <c r="H1954" s="6">
        <f ca="1"/>
        <v>0</v>
      </c>
      <c r="I1954" s="6">
        <f ca="1"/>
        <v>0</v>
      </c>
      <c r="J1954" s="6">
        <f ca="1"/>
        <v>0</v>
      </c>
    </row>
    <row r="1955" spans="8:10" ht="13" x14ac:dyDescent="0.15">
      <c r="H1955" s="6">
        <f ca="1"/>
        <v>0</v>
      </c>
      <c r="I1955" s="6">
        <f ca="1"/>
        <v>0</v>
      </c>
      <c r="J1955" s="6">
        <f ca="1"/>
        <v>0</v>
      </c>
    </row>
    <row r="1956" spans="8:10" ht="13" x14ac:dyDescent="0.15">
      <c r="H1956" s="6">
        <f ca="1"/>
        <v>0</v>
      </c>
      <c r="I1956" s="6">
        <f ca="1"/>
        <v>0</v>
      </c>
      <c r="J1956" s="6">
        <f ca="1"/>
        <v>0</v>
      </c>
    </row>
    <row r="1957" spans="8:10" ht="13" x14ac:dyDescent="0.15">
      <c r="H1957" s="6">
        <f ca="1"/>
        <v>0</v>
      </c>
      <c r="I1957" s="6">
        <f ca="1"/>
        <v>0</v>
      </c>
      <c r="J1957" s="6">
        <f ca="1"/>
        <v>0</v>
      </c>
    </row>
    <row r="1958" spans="8:10" ht="13" x14ac:dyDescent="0.15">
      <c r="H1958" s="6">
        <f ca="1"/>
        <v>0</v>
      </c>
      <c r="I1958" s="6">
        <f ca="1"/>
        <v>0</v>
      </c>
      <c r="J1958" s="6">
        <f ca="1"/>
        <v>0</v>
      </c>
    </row>
    <row r="1959" spans="8:10" ht="13" x14ac:dyDescent="0.15">
      <c r="H1959" s="6">
        <f ca="1"/>
        <v>0</v>
      </c>
      <c r="I1959" s="6">
        <f ca="1"/>
        <v>0</v>
      </c>
      <c r="J1959" s="6">
        <f ca="1"/>
        <v>0</v>
      </c>
    </row>
    <row r="1960" spans="8:10" ht="13" x14ac:dyDescent="0.15">
      <c r="H1960" s="6">
        <f ca="1"/>
        <v>0</v>
      </c>
      <c r="I1960" s="6">
        <f ca="1"/>
        <v>0</v>
      </c>
      <c r="J1960" s="6">
        <f ca="1"/>
        <v>0</v>
      </c>
    </row>
    <row r="1961" spans="8:10" ht="13" x14ac:dyDescent="0.15">
      <c r="H1961" s="6">
        <f ca="1"/>
        <v>0</v>
      </c>
      <c r="I1961" s="6">
        <f ca="1"/>
        <v>0</v>
      </c>
      <c r="J1961" s="6">
        <f ca="1"/>
        <v>0</v>
      </c>
    </row>
    <row r="1962" spans="8:10" ht="13" x14ac:dyDescent="0.15">
      <c r="H1962" s="6">
        <f ca="1"/>
        <v>0</v>
      </c>
      <c r="I1962" s="6">
        <f ca="1"/>
        <v>0</v>
      </c>
      <c r="J1962" s="6">
        <f ca="1"/>
        <v>0</v>
      </c>
    </row>
    <row r="1963" spans="8:10" ht="13" x14ac:dyDescent="0.15">
      <c r="H1963" s="6">
        <f ca="1"/>
        <v>0</v>
      </c>
      <c r="I1963" s="6">
        <f ca="1"/>
        <v>0</v>
      </c>
      <c r="J1963" s="6">
        <f ca="1"/>
        <v>0</v>
      </c>
    </row>
    <row r="1964" spans="8:10" ht="13" x14ac:dyDescent="0.15">
      <c r="H1964" s="6">
        <f ca="1"/>
        <v>0</v>
      </c>
      <c r="I1964" s="6">
        <f ca="1"/>
        <v>0</v>
      </c>
      <c r="J1964" s="6">
        <f ca="1"/>
        <v>0</v>
      </c>
    </row>
    <row r="1965" spans="8:10" ht="13" x14ac:dyDescent="0.15">
      <c r="H1965" s="6">
        <f ca="1"/>
        <v>0</v>
      </c>
      <c r="I1965" s="6">
        <f ca="1"/>
        <v>0</v>
      </c>
      <c r="J1965" s="6">
        <f ca="1"/>
        <v>0</v>
      </c>
    </row>
    <row r="1966" spans="8:10" ht="13" x14ac:dyDescent="0.15">
      <c r="H1966" s="6">
        <f ca="1"/>
        <v>0</v>
      </c>
      <c r="I1966" s="6">
        <f ca="1"/>
        <v>0</v>
      </c>
      <c r="J1966" s="6">
        <f ca="1"/>
        <v>0</v>
      </c>
    </row>
    <row r="1967" spans="8:10" ht="13" x14ac:dyDescent="0.15">
      <c r="H1967" s="6">
        <f ca="1"/>
        <v>0</v>
      </c>
      <c r="I1967" s="6">
        <f ca="1"/>
        <v>0</v>
      </c>
      <c r="J1967" s="6">
        <f ca="1"/>
        <v>0</v>
      </c>
    </row>
    <row r="1968" spans="8:10" ht="13" x14ac:dyDescent="0.15">
      <c r="H1968" s="6">
        <f ca="1"/>
        <v>0</v>
      </c>
      <c r="I1968" s="6">
        <f ca="1"/>
        <v>0</v>
      </c>
      <c r="J1968" s="6">
        <f ca="1"/>
        <v>0</v>
      </c>
    </row>
    <row r="1969" spans="8:10" ht="13" x14ac:dyDescent="0.15">
      <c r="H1969" s="6">
        <f ca="1"/>
        <v>0</v>
      </c>
      <c r="I1969" s="6">
        <f ca="1"/>
        <v>0</v>
      </c>
      <c r="J1969" s="6">
        <f ca="1"/>
        <v>0</v>
      </c>
    </row>
    <row r="1970" spans="8:10" ht="13" x14ac:dyDescent="0.15">
      <c r="H1970" s="6">
        <f ca="1"/>
        <v>0</v>
      </c>
      <c r="I1970" s="6">
        <f ca="1"/>
        <v>0</v>
      </c>
      <c r="J1970" s="6">
        <f ca="1"/>
        <v>0</v>
      </c>
    </row>
    <row r="1971" spans="8:10" ht="13" x14ac:dyDescent="0.15">
      <c r="H1971" s="6">
        <f ca="1"/>
        <v>0</v>
      </c>
      <c r="I1971" s="6">
        <f ca="1"/>
        <v>0</v>
      </c>
      <c r="J1971" s="6">
        <f ca="1"/>
        <v>0</v>
      </c>
    </row>
    <row r="1972" spans="8:10" ht="13" x14ac:dyDescent="0.15">
      <c r="H1972" s="6">
        <f ca="1"/>
        <v>0</v>
      </c>
      <c r="I1972" s="6">
        <f ca="1"/>
        <v>0</v>
      </c>
      <c r="J1972" s="6">
        <f ca="1"/>
        <v>0</v>
      </c>
    </row>
    <row r="1973" spans="8:10" ht="13" x14ac:dyDescent="0.15">
      <c r="H1973" s="6">
        <f ca="1"/>
        <v>0</v>
      </c>
      <c r="I1973" s="6">
        <f ca="1"/>
        <v>0</v>
      </c>
      <c r="J1973" s="6">
        <f ca="1"/>
        <v>0</v>
      </c>
    </row>
    <row r="1974" spans="8:10" ht="13" x14ac:dyDescent="0.15">
      <c r="H1974" s="6">
        <f ca="1"/>
        <v>0</v>
      </c>
      <c r="I1974" s="6">
        <f ca="1"/>
        <v>0</v>
      </c>
      <c r="J1974" s="6">
        <f ca="1"/>
        <v>0</v>
      </c>
    </row>
    <row r="1975" spans="8:10" ht="13" x14ac:dyDescent="0.15">
      <c r="H1975" s="6">
        <f ca="1"/>
        <v>0</v>
      </c>
      <c r="I1975" s="6">
        <f ca="1"/>
        <v>0</v>
      </c>
      <c r="J1975" s="6">
        <f ca="1"/>
        <v>0</v>
      </c>
    </row>
    <row r="1976" spans="8:10" ht="13" x14ac:dyDescent="0.15">
      <c r="H1976" s="6">
        <f ca="1"/>
        <v>0</v>
      </c>
      <c r="I1976" s="6">
        <f ca="1"/>
        <v>0</v>
      </c>
      <c r="J1976" s="6">
        <f ca="1"/>
        <v>0</v>
      </c>
    </row>
    <row r="1977" spans="8:10" ht="13" x14ac:dyDescent="0.15">
      <c r="H1977" s="6">
        <f ca="1"/>
        <v>0</v>
      </c>
      <c r="I1977" s="6">
        <f ca="1"/>
        <v>0</v>
      </c>
      <c r="J1977" s="6">
        <f ca="1"/>
        <v>0</v>
      </c>
    </row>
    <row r="1978" spans="8:10" ht="13" x14ac:dyDescent="0.15">
      <c r="H1978" s="6">
        <f ca="1"/>
        <v>0</v>
      </c>
      <c r="I1978" s="6">
        <f ca="1"/>
        <v>0</v>
      </c>
      <c r="J1978" s="6">
        <f ca="1"/>
        <v>0</v>
      </c>
    </row>
    <row r="1979" spans="8:10" ht="13" x14ac:dyDescent="0.15">
      <c r="H1979" s="6">
        <f ca="1"/>
        <v>0</v>
      </c>
      <c r="I1979" s="6">
        <f ca="1"/>
        <v>0</v>
      </c>
      <c r="J1979" s="6">
        <f ca="1"/>
        <v>0</v>
      </c>
    </row>
    <row r="1980" spans="8:10" ht="13" x14ac:dyDescent="0.15">
      <c r="H1980" s="6">
        <f ca="1"/>
        <v>0</v>
      </c>
      <c r="I1980" s="6">
        <f ca="1"/>
        <v>0</v>
      </c>
      <c r="J1980" s="6">
        <f ca="1"/>
        <v>0</v>
      </c>
    </row>
    <row r="1981" spans="8:10" ht="13" x14ac:dyDescent="0.15">
      <c r="H1981" s="6">
        <f ca="1"/>
        <v>0</v>
      </c>
      <c r="I1981" s="6">
        <f ca="1"/>
        <v>0</v>
      </c>
      <c r="J1981" s="6">
        <f ca="1"/>
        <v>0</v>
      </c>
    </row>
    <row r="1982" spans="8:10" ht="13" x14ac:dyDescent="0.15">
      <c r="H1982" s="6">
        <f ca="1"/>
        <v>0</v>
      </c>
      <c r="I1982" s="6">
        <f ca="1"/>
        <v>0</v>
      </c>
      <c r="J1982" s="6">
        <f ca="1"/>
        <v>0</v>
      </c>
    </row>
    <row r="1983" spans="8:10" ht="13" x14ac:dyDescent="0.15">
      <c r="H1983" s="6">
        <f ca="1"/>
        <v>0</v>
      </c>
      <c r="I1983" s="6">
        <f ca="1"/>
        <v>0</v>
      </c>
      <c r="J1983" s="6">
        <f ca="1"/>
        <v>0</v>
      </c>
    </row>
    <row r="1984" spans="8:10" ht="13" x14ac:dyDescent="0.15">
      <c r="H1984" s="6">
        <f ca="1"/>
        <v>0</v>
      </c>
      <c r="I1984" s="6">
        <f ca="1"/>
        <v>0</v>
      </c>
      <c r="J1984" s="6">
        <f ca="1"/>
        <v>0</v>
      </c>
    </row>
    <row r="1985" spans="8:10" ht="13" x14ac:dyDescent="0.15">
      <c r="H1985" s="6">
        <f ca="1"/>
        <v>0</v>
      </c>
      <c r="I1985" s="6">
        <f ca="1"/>
        <v>0</v>
      </c>
      <c r="J1985" s="6">
        <f ca="1"/>
        <v>0</v>
      </c>
    </row>
    <row r="1986" spans="8:10" ht="13" x14ac:dyDescent="0.15">
      <c r="H1986" s="6">
        <f ca="1"/>
        <v>0</v>
      </c>
      <c r="I1986" s="6">
        <f ca="1"/>
        <v>0</v>
      </c>
      <c r="J1986" s="6">
        <f ca="1"/>
        <v>0</v>
      </c>
    </row>
    <row r="1987" spans="8:10" ht="13" x14ac:dyDescent="0.15">
      <c r="H1987" s="6">
        <f ca="1"/>
        <v>0</v>
      </c>
      <c r="I1987" s="6">
        <f ca="1"/>
        <v>0</v>
      </c>
      <c r="J1987" s="6">
        <f ca="1"/>
        <v>0</v>
      </c>
    </row>
    <row r="1988" spans="8:10" ht="13" x14ac:dyDescent="0.15">
      <c r="H1988" s="6">
        <f ca="1"/>
        <v>0</v>
      </c>
      <c r="I1988" s="6">
        <f ca="1"/>
        <v>0</v>
      </c>
      <c r="J1988" s="6">
        <f ca="1"/>
        <v>0</v>
      </c>
    </row>
    <row r="1989" spans="8:10" ht="13" x14ac:dyDescent="0.15">
      <c r="H1989" s="6">
        <f ca="1"/>
        <v>0</v>
      </c>
      <c r="I1989" s="6">
        <f ca="1"/>
        <v>0</v>
      </c>
      <c r="J1989" s="6">
        <f ca="1"/>
        <v>0</v>
      </c>
    </row>
    <row r="1990" spans="8:10" ht="13" x14ac:dyDescent="0.15">
      <c r="H1990" s="6">
        <f ca="1"/>
        <v>0</v>
      </c>
      <c r="I1990" s="6">
        <f ca="1"/>
        <v>0</v>
      </c>
      <c r="J1990" s="6">
        <f ca="1"/>
        <v>0</v>
      </c>
    </row>
    <row r="1991" spans="8:10" ht="13" x14ac:dyDescent="0.15">
      <c r="H1991" s="6">
        <f ca="1"/>
        <v>0</v>
      </c>
      <c r="I1991" s="6">
        <f ca="1"/>
        <v>0</v>
      </c>
      <c r="J1991" s="6">
        <f ca="1"/>
        <v>0</v>
      </c>
    </row>
    <row r="1992" spans="8:10" ht="13" x14ac:dyDescent="0.15">
      <c r="H1992" s="6">
        <f ca="1"/>
        <v>0</v>
      </c>
      <c r="I1992" s="6">
        <f ca="1"/>
        <v>0</v>
      </c>
      <c r="J1992" s="6">
        <f ca="1"/>
        <v>0</v>
      </c>
    </row>
    <row r="1993" spans="8:10" ht="13" x14ac:dyDescent="0.15">
      <c r="H1993" s="6">
        <f ca="1"/>
        <v>0</v>
      </c>
      <c r="I1993" s="6">
        <f ca="1"/>
        <v>0</v>
      </c>
      <c r="J1993" s="6">
        <f ca="1"/>
        <v>0</v>
      </c>
    </row>
    <row r="1994" spans="8:10" ht="13" x14ac:dyDescent="0.15">
      <c r="H1994" s="6">
        <f ca="1"/>
        <v>0</v>
      </c>
      <c r="I1994" s="6">
        <f ca="1"/>
        <v>0</v>
      </c>
      <c r="J1994" s="6">
        <f ca="1"/>
        <v>0</v>
      </c>
    </row>
    <row r="1995" spans="8:10" ht="13" x14ac:dyDescent="0.15">
      <c r="H1995" s="6">
        <f ca="1"/>
        <v>0</v>
      </c>
      <c r="I1995" s="6">
        <f ca="1"/>
        <v>0</v>
      </c>
      <c r="J1995" s="6">
        <f ca="1"/>
        <v>0</v>
      </c>
    </row>
    <row r="1996" spans="8:10" ht="13" x14ac:dyDescent="0.15">
      <c r="H1996" s="6">
        <f ca="1"/>
        <v>0</v>
      </c>
      <c r="I1996" s="6">
        <f ca="1"/>
        <v>0</v>
      </c>
      <c r="J1996" s="6">
        <f ca="1"/>
        <v>0</v>
      </c>
    </row>
    <row r="1997" spans="8:10" ht="13" x14ac:dyDescent="0.15">
      <c r="H1997" s="6">
        <f ca="1"/>
        <v>0</v>
      </c>
      <c r="I1997" s="6">
        <f ca="1"/>
        <v>0</v>
      </c>
      <c r="J1997" s="6">
        <f ca="1"/>
        <v>0</v>
      </c>
    </row>
    <row r="1998" spans="8:10" ht="13" x14ac:dyDescent="0.15">
      <c r="H1998" s="6">
        <f ca="1"/>
        <v>0</v>
      </c>
      <c r="I1998" s="6">
        <f ca="1"/>
        <v>0</v>
      </c>
      <c r="J1998" s="6">
        <f ca="1"/>
        <v>0</v>
      </c>
    </row>
    <row r="1999" spans="8:10" ht="13" x14ac:dyDescent="0.15">
      <c r="H1999" s="6">
        <f ca="1"/>
        <v>0</v>
      </c>
      <c r="I1999" s="6">
        <f ca="1"/>
        <v>0</v>
      </c>
      <c r="J1999" s="6">
        <f ca="1"/>
        <v>0</v>
      </c>
    </row>
    <row r="2000" spans="8:10" ht="13" x14ac:dyDescent="0.15">
      <c r="H2000" s="6">
        <f ca="1"/>
        <v>0</v>
      </c>
      <c r="I2000" s="6">
        <f ca="1"/>
        <v>0</v>
      </c>
      <c r="J2000" s="6">
        <f ca="1"/>
        <v>0</v>
      </c>
    </row>
    <row r="2001" spans="8:10" ht="13" x14ac:dyDescent="0.15">
      <c r="H2001" s="6">
        <f ca="1"/>
        <v>0</v>
      </c>
      <c r="I2001" s="6">
        <f ca="1"/>
        <v>0</v>
      </c>
      <c r="J2001" s="6">
        <f ca="1"/>
        <v>0</v>
      </c>
    </row>
    <row r="2002" spans="8:10" ht="13" x14ac:dyDescent="0.15">
      <c r="H2002" s="6">
        <f ca="1"/>
        <v>0</v>
      </c>
      <c r="I2002" s="6">
        <f ca="1"/>
        <v>0</v>
      </c>
      <c r="J2002" s="6">
        <f ca="1"/>
        <v>0</v>
      </c>
    </row>
    <row r="2003" spans="8:10" ht="13" x14ac:dyDescent="0.15">
      <c r="H2003" s="6">
        <f ca="1"/>
        <v>0</v>
      </c>
      <c r="I2003" s="6">
        <f ca="1"/>
        <v>0</v>
      </c>
      <c r="J2003" s="6">
        <f ca="1"/>
        <v>0</v>
      </c>
    </row>
    <row r="2004" spans="8:10" ht="13" x14ac:dyDescent="0.15">
      <c r="H2004" s="6">
        <f ca="1"/>
        <v>0</v>
      </c>
      <c r="I2004" s="6">
        <f ca="1"/>
        <v>0</v>
      </c>
      <c r="J2004" s="6">
        <f ca="1"/>
        <v>0</v>
      </c>
    </row>
    <row r="2005" spans="8:10" ht="13" x14ac:dyDescent="0.15">
      <c r="H2005" s="6">
        <f ca="1"/>
        <v>0</v>
      </c>
      <c r="I2005" s="6">
        <f ca="1"/>
        <v>0</v>
      </c>
      <c r="J2005" s="6">
        <f ca="1"/>
        <v>0</v>
      </c>
    </row>
    <row r="2006" spans="8:10" ht="13" x14ac:dyDescent="0.15">
      <c r="H2006" s="6">
        <f ca="1"/>
        <v>0</v>
      </c>
      <c r="I2006" s="6">
        <f ca="1"/>
        <v>0</v>
      </c>
      <c r="J2006" s="6">
        <f ca="1"/>
        <v>0</v>
      </c>
    </row>
    <row r="2007" spans="8:10" ht="13" x14ac:dyDescent="0.15">
      <c r="H2007" s="6">
        <f ca="1"/>
        <v>0</v>
      </c>
      <c r="I2007" s="6">
        <f ca="1"/>
        <v>0</v>
      </c>
      <c r="J2007" s="6">
        <f ca="1"/>
        <v>0</v>
      </c>
    </row>
    <row r="2008" spans="8:10" ht="13" x14ac:dyDescent="0.15">
      <c r="H2008" s="6">
        <f ca="1"/>
        <v>0</v>
      </c>
      <c r="I2008" s="6">
        <f ca="1"/>
        <v>0</v>
      </c>
      <c r="J2008" s="6">
        <f ca="1"/>
        <v>0</v>
      </c>
    </row>
    <row r="2009" spans="8:10" ht="13" x14ac:dyDescent="0.15">
      <c r="H2009" s="6">
        <f ca="1"/>
        <v>0</v>
      </c>
      <c r="I2009" s="6">
        <f ca="1"/>
        <v>0</v>
      </c>
      <c r="J2009" s="6">
        <f ca="1"/>
        <v>0</v>
      </c>
    </row>
    <row r="2010" spans="8:10" ht="13" x14ac:dyDescent="0.15">
      <c r="H2010" s="6">
        <f ca="1"/>
        <v>0</v>
      </c>
      <c r="I2010" s="6">
        <f ca="1"/>
        <v>0</v>
      </c>
      <c r="J2010" s="6">
        <f ca="1"/>
        <v>0</v>
      </c>
    </row>
    <row r="2011" spans="8:10" ht="13" x14ac:dyDescent="0.15">
      <c r="H2011" s="6">
        <f ca="1"/>
        <v>0</v>
      </c>
      <c r="I2011" s="6">
        <f ca="1"/>
        <v>0</v>
      </c>
      <c r="J2011" s="6">
        <f ca="1"/>
        <v>0</v>
      </c>
    </row>
    <row r="2012" spans="8:10" ht="13" x14ac:dyDescent="0.15">
      <c r="H2012" s="6">
        <f ca="1"/>
        <v>0</v>
      </c>
      <c r="I2012" s="6">
        <f ca="1"/>
        <v>0</v>
      </c>
      <c r="J2012" s="6">
        <f ca="1"/>
        <v>0</v>
      </c>
    </row>
    <row r="2013" spans="8:10" ht="13" x14ac:dyDescent="0.15">
      <c r="H2013" s="6">
        <f ca="1"/>
        <v>0</v>
      </c>
      <c r="I2013" s="6">
        <f ca="1"/>
        <v>0</v>
      </c>
      <c r="J2013" s="6">
        <f ca="1"/>
        <v>0</v>
      </c>
    </row>
    <row r="2014" spans="8:10" ht="13" x14ac:dyDescent="0.15">
      <c r="H2014" s="6">
        <f ca="1"/>
        <v>0</v>
      </c>
      <c r="I2014" s="6">
        <f ca="1"/>
        <v>0</v>
      </c>
      <c r="J2014" s="6">
        <f ca="1"/>
        <v>0</v>
      </c>
    </row>
    <row r="2015" spans="8:10" ht="13" x14ac:dyDescent="0.15">
      <c r="H2015" s="6">
        <f ca="1"/>
        <v>0</v>
      </c>
      <c r="I2015" s="6">
        <f ca="1"/>
        <v>0</v>
      </c>
      <c r="J2015" s="6">
        <f ca="1"/>
        <v>0</v>
      </c>
    </row>
    <row r="2016" spans="8:10" ht="13" x14ac:dyDescent="0.15">
      <c r="H2016" s="6">
        <f ca="1"/>
        <v>0</v>
      </c>
      <c r="I2016" s="6">
        <f ca="1"/>
        <v>0</v>
      </c>
      <c r="J2016" s="6">
        <f ca="1"/>
        <v>0</v>
      </c>
    </row>
    <row r="2017" spans="8:10" ht="13" x14ac:dyDescent="0.15">
      <c r="H2017" s="6">
        <f ca="1"/>
        <v>0</v>
      </c>
      <c r="I2017" s="6">
        <f ca="1"/>
        <v>0</v>
      </c>
      <c r="J2017" s="6">
        <f ca="1"/>
        <v>0</v>
      </c>
    </row>
    <row r="2018" spans="8:10" ht="13" x14ac:dyDescent="0.15">
      <c r="H2018" s="6">
        <f ca="1"/>
        <v>0</v>
      </c>
      <c r="I2018" s="6">
        <f ca="1"/>
        <v>0</v>
      </c>
      <c r="J2018" s="6">
        <f ca="1"/>
        <v>0</v>
      </c>
    </row>
    <row r="2019" spans="8:10" ht="13" x14ac:dyDescent="0.15">
      <c r="H2019" s="6">
        <f ca="1"/>
        <v>0</v>
      </c>
      <c r="I2019" s="6">
        <f ca="1"/>
        <v>0</v>
      </c>
      <c r="J2019" s="6">
        <f ca="1"/>
        <v>0</v>
      </c>
    </row>
    <row r="2020" spans="8:10" ht="13" x14ac:dyDescent="0.15">
      <c r="H2020" s="6">
        <f ca="1"/>
        <v>0</v>
      </c>
      <c r="I2020" s="6">
        <f ca="1"/>
        <v>0</v>
      </c>
      <c r="J2020" s="6">
        <f ca="1"/>
        <v>0</v>
      </c>
    </row>
    <row r="2021" spans="8:10" ht="13" x14ac:dyDescent="0.15">
      <c r="H2021" s="6">
        <f ca="1"/>
        <v>0</v>
      </c>
      <c r="I2021" s="6">
        <f ca="1"/>
        <v>0</v>
      </c>
      <c r="J2021" s="6">
        <f ca="1"/>
        <v>0</v>
      </c>
    </row>
    <row r="2022" spans="8:10" ht="13" x14ac:dyDescent="0.15">
      <c r="H2022" s="6">
        <f ca="1"/>
        <v>0</v>
      </c>
      <c r="I2022" s="6">
        <f ca="1"/>
        <v>0</v>
      </c>
      <c r="J2022" s="6">
        <f ca="1"/>
        <v>0</v>
      </c>
    </row>
    <row r="2023" spans="8:10" ht="13" x14ac:dyDescent="0.15">
      <c r="H2023" s="6">
        <f ca="1"/>
        <v>0</v>
      </c>
      <c r="I2023" s="6">
        <f ca="1"/>
        <v>0</v>
      </c>
      <c r="J2023" s="6">
        <f ca="1"/>
        <v>0</v>
      </c>
    </row>
    <row r="2024" spans="8:10" ht="13" x14ac:dyDescent="0.15">
      <c r="H2024" s="6">
        <f ca="1"/>
        <v>0</v>
      </c>
      <c r="I2024" s="6">
        <f ca="1"/>
        <v>0</v>
      </c>
      <c r="J2024" s="6">
        <f ca="1"/>
        <v>0</v>
      </c>
    </row>
    <row r="2025" spans="8:10" ht="13" x14ac:dyDescent="0.15">
      <c r="H2025" s="6">
        <f ca="1"/>
        <v>0</v>
      </c>
      <c r="I2025" s="6">
        <f ca="1"/>
        <v>0</v>
      </c>
      <c r="J2025" s="6">
        <f ca="1"/>
        <v>0</v>
      </c>
    </row>
    <row r="2026" spans="8:10" ht="13" x14ac:dyDescent="0.15">
      <c r="H2026" s="6">
        <f ca="1"/>
        <v>0</v>
      </c>
      <c r="I2026" s="6">
        <f ca="1"/>
        <v>0</v>
      </c>
      <c r="J2026" s="6">
        <f ca="1"/>
        <v>0</v>
      </c>
    </row>
    <row r="2027" spans="8:10" ht="13" x14ac:dyDescent="0.15">
      <c r="H2027" s="6">
        <f ca="1"/>
        <v>0</v>
      </c>
      <c r="I2027" s="6">
        <f ca="1"/>
        <v>0</v>
      </c>
      <c r="J2027" s="6">
        <f ca="1"/>
        <v>0</v>
      </c>
    </row>
    <row r="2028" spans="8:10" ht="13" x14ac:dyDescent="0.15">
      <c r="H2028" s="6">
        <f ca="1"/>
        <v>0</v>
      </c>
      <c r="I2028" s="6">
        <f ca="1"/>
        <v>0</v>
      </c>
      <c r="J2028" s="6">
        <f ca="1"/>
        <v>0</v>
      </c>
    </row>
    <row r="2029" spans="8:10" ht="13" x14ac:dyDescent="0.15">
      <c r="H2029" s="6">
        <f ca="1"/>
        <v>0</v>
      </c>
      <c r="I2029" s="6">
        <f ca="1"/>
        <v>0</v>
      </c>
      <c r="J2029" s="6">
        <f ca="1"/>
        <v>0</v>
      </c>
    </row>
    <row r="2030" spans="8:10" ht="13" x14ac:dyDescent="0.15">
      <c r="H2030" s="6">
        <f ca="1"/>
        <v>0</v>
      </c>
      <c r="I2030" s="6">
        <f ca="1"/>
        <v>0</v>
      </c>
      <c r="J2030" s="6">
        <f ca="1"/>
        <v>0</v>
      </c>
    </row>
    <row r="2031" spans="8:10" ht="13" x14ac:dyDescent="0.15">
      <c r="H2031" s="6">
        <f ca="1"/>
        <v>0</v>
      </c>
      <c r="I2031" s="6">
        <f ca="1"/>
        <v>0</v>
      </c>
      <c r="J2031" s="6">
        <f ca="1"/>
        <v>0</v>
      </c>
    </row>
    <row r="2032" spans="8:10" ht="13" x14ac:dyDescent="0.15">
      <c r="H2032" s="6">
        <f ca="1"/>
        <v>0</v>
      </c>
      <c r="I2032" s="6">
        <f ca="1"/>
        <v>0</v>
      </c>
      <c r="J2032" s="6">
        <f ca="1"/>
        <v>0</v>
      </c>
    </row>
    <row r="2033" spans="8:10" ht="13" x14ac:dyDescent="0.15">
      <c r="H2033" s="6">
        <f ca="1"/>
        <v>0</v>
      </c>
      <c r="I2033" s="6">
        <f ca="1"/>
        <v>0</v>
      </c>
      <c r="J2033" s="6">
        <f ca="1"/>
        <v>0</v>
      </c>
    </row>
    <row r="2034" spans="8:10" ht="13" x14ac:dyDescent="0.15">
      <c r="H2034" s="6">
        <f ca="1"/>
        <v>0</v>
      </c>
      <c r="I2034" s="6">
        <f ca="1"/>
        <v>0</v>
      </c>
      <c r="J2034" s="6">
        <f ca="1"/>
        <v>0</v>
      </c>
    </row>
    <row r="2035" spans="8:10" ht="13" x14ac:dyDescent="0.15">
      <c r="H2035" s="6">
        <f ca="1"/>
        <v>0</v>
      </c>
      <c r="I2035" s="6">
        <f ca="1"/>
        <v>0</v>
      </c>
      <c r="J2035" s="6">
        <f ca="1"/>
        <v>0</v>
      </c>
    </row>
    <row r="2036" spans="8:10" ht="13" x14ac:dyDescent="0.15">
      <c r="H2036" s="6">
        <f ca="1"/>
        <v>0</v>
      </c>
      <c r="I2036" s="6">
        <f ca="1"/>
        <v>0</v>
      </c>
      <c r="J2036" s="6">
        <f ca="1"/>
        <v>0</v>
      </c>
    </row>
    <row r="2037" spans="8:10" ht="13" x14ac:dyDescent="0.15">
      <c r="H2037" s="6">
        <f ca="1"/>
        <v>0</v>
      </c>
      <c r="I2037" s="6">
        <f ca="1"/>
        <v>0</v>
      </c>
      <c r="J2037" s="6">
        <f ca="1"/>
        <v>0</v>
      </c>
    </row>
    <row r="2038" spans="8:10" ht="13" x14ac:dyDescent="0.15">
      <c r="H2038" s="6">
        <f ca="1"/>
        <v>0</v>
      </c>
      <c r="I2038" s="6">
        <f ca="1"/>
        <v>0</v>
      </c>
      <c r="J2038" s="6">
        <f ca="1"/>
        <v>0</v>
      </c>
    </row>
    <row r="2039" spans="8:10" ht="13" x14ac:dyDescent="0.15">
      <c r="H2039" s="6">
        <f ca="1"/>
        <v>0</v>
      </c>
      <c r="I2039" s="6">
        <f ca="1"/>
        <v>0</v>
      </c>
      <c r="J2039" s="6">
        <f ca="1"/>
        <v>0</v>
      </c>
    </row>
    <row r="2040" spans="8:10" ht="13" x14ac:dyDescent="0.15">
      <c r="H2040" s="6">
        <f ca="1"/>
        <v>0</v>
      </c>
      <c r="I2040" s="6">
        <f ca="1"/>
        <v>0</v>
      </c>
      <c r="J2040" s="6">
        <f ca="1"/>
        <v>0</v>
      </c>
    </row>
    <row r="2041" spans="8:10" ht="13" x14ac:dyDescent="0.15">
      <c r="H2041" s="6">
        <f ca="1"/>
        <v>0</v>
      </c>
      <c r="I2041" s="6">
        <f ca="1"/>
        <v>0</v>
      </c>
      <c r="J2041" s="6">
        <f ca="1"/>
        <v>0</v>
      </c>
    </row>
    <row r="2042" spans="8:10" ht="13" x14ac:dyDescent="0.15">
      <c r="H2042" s="6">
        <f ca="1"/>
        <v>0</v>
      </c>
      <c r="I2042" s="6">
        <f ca="1"/>
        <v>0</v>
      </c>
      <c r="J2042" s="6">
        <f ca="1"/>
        <v>0</v>
      </c>
    </row>
    <row r="2043" spans="8:10" ht="13" x14ac:dyDescent="0.15">
      <c r="H2043" s="6">
        <f ca="1"/>
        <v>0</v>
      </c>
      <c r="I2043" s="6">
        <f ca="1"/>
        <v>0</v>
      </c>
      <c r="J2043" s="6">
        <f ca="1"/>
        <v>0</v>
      </c>
    </row>
    <row r="2044" spans="8:10" ht="13" x14ac:dyDescent="0.15">
      <c r="H2044" s="6">
        <f ca="1"/>
        <v>0</v>
      </c>
      <c r="I2044" s="6">
        <f ca="1"/>
        <v>0</v>
      </c>
      <c r="J2044" s="6">
        <f ca="1"/>
        <v>0</v>
      </c>
    </row>
    <row r="2045" spans="8:10" ht="13" x14ac:dyDescent="0.15">
      <c r="H2045" s="6">
        <f ca="1"/>
        <v>0</v>
      </c>
      <c r="I2045" s="6">
        <f ca="1"/>
        <v>0</v>
      </c>
      <c r="J2045" s="6">
        <f ca="1"/>
        <v>0</v>
      </c>
    </row>
    <row r="2046" spans="8:10" ht="13" x14ac:dyDescent="0.15">
      <c r="H2046" s="6">
        <f ca="1"/>
        <v>0</v>
      </c>
      <c r="I2046" s="6">
        <f ca="1"/>
        <v>0</v>
      </c>
      <c r="J2046" s="6">
        <f ca="1"/>
        <v>0</v>
      </c>
    </row>
    <row r="2047" spans="8:10" ht="13" x14ac:dyDescent="0.15">
      <c r="H2047" s="6">
        <f ca="1"/>
        <v>0</v>
      </c>
      <c r="I2047" s="6">
        <f ca="1"/>
        <v>0</v>
      </c>
      <c r="J2047" s="6">
        <f ca="1"/>
        <v>0</v>
      </c>
    </row>
    <row r="2048" spans="8:10" ht="13" x14ac:dyDescent="0.15">
      <c r="H2048" s="6">
        <f ca="1"/>
        <v>0</v>
      </c>
      <c r="I2048" s="6">
        <f ca="1"/>
        <v>0</v>
      </c>
      <c r="J2048" s="6">
        <f ca="1"/>
        <v>0</v>
      </c>
    </row>
    <row r="2049" spans="8:10" ht="13" x14ac:dyDescent="0.15">
      <c r="H2049" s="6">
        <f ca="1"/>
        <v>0</v>
      </c>
      <c r="I2049" s="6">
        <f ca="1"/>
        <v>0</v>
      </c>
      <c r="J2049" s="6">
        <f ca="1"/>
        <v>0</v>
      </c>
    </row>
    <row r="2050" spans="8:10" ht="13" x14ac:dyDescent="0.15">
      <c r="H2050" s="6">
        <f ca="1"/>
        <v>0</v>
      </c>
      <c r="I2050" s="6">
        <f ca="1"/>
        <v>0</v>
      </c>
      <c r="J2050" s="6">
        <f ca="1"/>
        <v>0</v>
      </c>
    </row>
    <row r="2051" spans="8:10" ht="13" x14ac:dyDescent="0.15">
      <c r="H2051" s="6">
        <f ca="1"/>
        <v>0</v>
      </c>
      <c r="I2051" s="6">
        <f ca="1"/>
        <v>0</v>
      </c>
      <c r="J2051" s="6">
        <f ca="1"/>
        <v>0</v>
      </c>
    </row>
    <row r="2052" spans="8:10" ht="13" x14ac:dyDescent="0.15">
      <c r="H2052" s="6">
        <f ca="1"/>
        <v>0</v>
      </c>
      <c r="I2052" s="6">
        <f ca="1"/>
        <v>0</v>
      </c>
      <c r="J2052" s="6">
        <f ca="1"/>
        <v>0</v>
      </c>
    </row>
    <row r="2053" spans="8:10" ht="13" x14ac:dyDescent="0.15">
      <c r="H2053" s="6">
        <f ca="1"/>
        <v>0</v>
      </c>
      <c r="I2053" s="6">
        <f ca="1"/>
        <v>0</v>
      </c>
      <c r="J2053" s="6">
        <f ca="1"/>
        <v>0</v>
      </c>
    </row>
    <row r="2054" spans="8:10" ht="13" x14ac:dyDescent="0.15">
      <c r="H2054" s="6">
        <f ca="1"/>
        <v>0</v>
      </c>
      <c r="I2054" s="6">
        <f ca="1"/>
        <v>0</v>
      </c>
      <c r="J2054" s="6">
        <f ca="1"/>
        <v>0</v>
      </c>
    </row>
    <row r="2055" spans="8:10" ht="13" x14ac:dyDescent="0.15">
      <c r="H2055" s="6">
        <f ca="1"/>
        <v>0</v>
      </c>
      <c r="I2055" s="6">
        <f ca="1"/>
        <v>0</v>
      </c>
      <c r="J2055" s="6">
        <f ca="1"/>
        <v>0</v>
      </c>
    </row>
    <row r="2056" spans="8:10" ht="13" x14ac:dyDescent="0.15">
      <c r="H2056" s="6">
        <f ca="1"/>
        <v>0</v>
      </c>
      <c r="I2056" s="6">
        <f ca="1"/>
        <v>0</v>
      </c>
      <c r="J2056" s="6">
        <f ca="1"/>
        <v>0</v>
      </c>
    </row>
    <row r="2057" spans="8:10" ht="13" x14ac:dyDescent="0.15">
      <c r="H2057" s="6">
        <f ca="1"/>
        <v>0</v>
      </c>
      <c r="I2057" s="6">
        <f ca="1"/>
        <v>0</v>
      </c>
      <c r="J2057" s="6">
        <f ca="1"/>
        <v>0</v>
      </c>
    </row>
    <row r="2058" spans="8:10" ht="13" x14ac:dyDescent="0.15">
      <c r="H2058" s="6">
        <f ca="1"/>
        <v>0</v>
      </c>
      <c r="I2058" s="6">
        <f ca="1"/>
        <v>0</v>
      </c>
      <c r="J2058" s="6">
        <f ca="1"/>
        <v>0</v>
      </c>
    </row>
    <row r="2059" spans="8:10" ht="13" x14ac:dyDescent="0.15">
      <c r="H2059" s="6">
        <f ca="1"/>
        <v>0</v>
      </c>
      <c r="I2059" s="6">
        <f ca="1"/>
        <v>0</v>
      </c>
      <c r="J2059" s="6">
        <f ca="1"/>
        <v>0</v>
      </c>
    </row>
    <row r="2060" spans="8:10" ht="13" x14ac:dyDescent="0.15">
      <c r="H2060" s="6">
        <f ca="1"/>
        <v>0</v>
      </c>
      <c r="I2060" s="6">
        <f ca="1"/>
        <v>0</v>
      </c>
      <c r="J2060" s="6">
        <f ca="1"/>
        <v>0</v>
      </c>
    </row>
    <row r="2061" spans="8:10" ht="13" x14ac:dyDescent="0.15">
      <c r="H2061" s="6">
        <f ca="1"/>
        <v>0</v>
      </c>
      <c r="I2061" s="6">
        <f ca="1"/>
        <v>0</v>
      </c>
      <c r="J2061" s="6">
        <f ca="1"/>
        <v>0</v>
      </c>
    </row>
    <row r="2062" spans="8:10" ht="13" x14ac:dyDescent="0.15">
      <c r="H2062" s="6">
        <f ca="1"/>
        <v>0</v>
      </c>
      <c r="I2062" s="6">
        <f ca="1"/>
        <v>0</v>
      </c>
      <c r="J2062" s="6">
        <f ca="1"/>
        <v>0</v>
      </c>
    </row>
    <row r="2063" spans="8:10" ht="13" x14ac:dyDescent="0.15">
      <c r="H2063" s="6">
        <f ca="1"/>
        <v>0</v>
      </c>
      <c r="I2063" s="6">
        <f ca="1"/>
        <v>0</v>
      </c>
      <c r="J2063" s="6">
        <f ca="1"/>
        <v>0</v>
      </c>
    </row>
    <row r="2064" spans="8:10" ht="13" x14ac:dyDescent="0.15">
      <c r="H2064" s="6">
        <f ca="1"/>
        <v>0</v>
      </c>
      <c r="I2064" s="6">
        <f ca="1"/>
        <v>0</v>
      </c>
      <c r="J2064" s="6">
        <f ca="1"/>
        <v>0</v>
      </c>
    </row>
    <row r="2065" spans="8:10" ht="13" x14ac:dyDescent="0.15">
      <c r="H2065" s="6">
        <f ca="1"/>
        <v>0</v>
      </c>
      <c r="I2065" s="6">
        <f ca="1"/>
        <v>0</v>
      </c>
      <c r="J2065" s="6">
        <f ca="1"/>
        <v>0</v>
      </c>
    </row>
    <row r="2066" spans="8:10" ht="13" x14ac:dyDescent="0.15">
      <c r="H2066" s="6">
        <f ca="1"/>
        <v>0</v>
      </c>
      <c r="I2066" s="6">
        <f ca="1"/>
        <v>0</v>
      </c>
      <c r="J2066" s="6">
        <f ca="1"/>
        <v>0</v>
      </c>
    </row>
    <row r="2067" spans="8:10" ht="13" x14ac:dyDescent="0.15">
      <c r="H2067" s="6">
        <f ca="1"/>
        <v>0</v>
      </c>
      <c r="I2067" s="6">
        <f ca="1"/>
        <v>0</v>
      </c>
      <c r="J2067" s="6">
        <f ca="1"/>
        <v>0</v>
      </c>
    </row>
    <row r="2068" spans="8:10" ht="13" x14ac:dyDescent="0.15">
      <c r="H2068" s="6">
        <f ca="1"/>
        <v>0</v>
      </c>
      <c r="I2068" s="6">
        <f ca="1"/>
        <v>0</v>
      </c>
      <c r="J2068" s="6">
        <f ca="1"/>
        <v>0</v>
      </c>
    </row>
    <row r="2069" spans="8:10" ht="13" x14ac:dyDescent="0.15">
      <c r="H2069" s="6">
        <f ca="1"/>
        <v>0</v>
      </c>
      <c r="I2069" s="6">
        <f ca="1"/>
        <v>0</v>
      </c>
      <c r="J2069" s="6">
        <f ca="1"/>
        <v>0</v>
      </c>
    </row>
    <row r="2070" spans="8:10" ht="13" x14ac:dyDescent="0.15">
      <c r="H2070" s="6">
        <f ca="1"/>
        <v>0</v>
      </c>
      <c r="I2070" s="6">
        <f ca="1"/>
        <v>0</v>
      </c>
      <c r="J2070" s="6">
        <f ca="1"/>
        <v>0</v>
      </c>
    </row>
    <row r="2071" spans="8:10" ht="13" x14ac:dyDescent="0.15">
      <c r="H2071" s="6">
        <f ca="1"/>
        <v>0</v>
      </c>
      <c r="I2071" s="6">
        <f ca="1"/>
        <v>0</v>
      </c>
      <c r="J2071" s="6">
        <f ca="1"/>
        <v>0</v>
      </c>
    </row>
    <row r="2072" spans="8:10" ht="13" x14ac:dyDescent="0.15">
      <c r="H2072" s="6">
        <f ca="1"/>
        <v>0</v>
      </c>
      <c r="I2072" s="6">
        <f ca="1"/>
        <v>0</v>
      </c>
      <c r="J2072" s="6">
        <f ca="1"/>
        <v>0</v>
      </c>
    </row>
    <row r="2073" spans="8:10" ht="13" x14ac:dyDescent="0.15">
      <c r="H2073" s="6">
        <f ca="1"/>
        <v>0</v>
      </c>
      <c r="I2073" s="6">
        <f ca="1"/>
        <v>0</v>
      </c>
      <c r="J2073" s="6">
        <f ca="1"/>
        <v>0</v>
      </c>
    </row>
    <row r="2074" spans="8:10" ht="13" x14ac:dyDescent="0.15">
      <c r="H2074" s="6">
        <f ca="1"/>
        <v>0</v>
      </c>
      <c r="I2074" s="6">
        <f ca="1"/>
        <v>0</v>
      </c>
      <c r="J2074" s="6">
        <f ca="1"/>
        <v>0</v>
      </c>
    </row>
    <row r="2075" spans="8:10" ht="13" x14ac:dyDescent="0.15">
      <c r="H2075" s="6">
        <f ca="1"/>
        <v>0</v>
      </c>
      <c r="I2075" s="6">
        <f ca="1"/>
        <v>0</v>
      </c>
      <c r="J2075" s="6">
        <f ca="1"/>
        <v>0</v>
      </c>
    </row>
    <row r="2076" spans="8:10" ht="13" x14ac:dyDescent="0.15">
      <c r="H2076" s="6">
        <f ca="1"/>
        <v>0</v>
      </c>
      <c r="I2076" s="6">
        <f ca="1"/>
        <v>0</v>
      </c>
      <c r="J2076" s="6">
        <f ca="1"/>
        <v>0</v>
      </c>
    </row>
    <row r="2077" spans="8:10" ht="13" x14ac:dyDescent="0.15">
      <c r="H2077" s="6">
        <f ca="1"/>
        <v>0</v>
      </c>
      <c r="I2077" s="6">
        <f ca="1"/>
        <v>0</v>
      </c>
      <c r="J2077" s="6">
        <f ca="1"/>
        <v>0</v>
      </c>
    </row>
    <row r="2078" spans="8:10" ht="13" x14ac:dyDescent="0.15">
      <c r="H2078" s="6">
        <f ca="1"/>
        <v>0</v>
      </c>
      <c r="I2078" s="6">
        <f ca="1"/>
        <v>0</v>
      </c>
      <c r="J2078" s="6">
        <f ca="1"/>
        <v>0</v>
      </c>
    </row>
    <row r="2079" spans="8:10" ht="13" x14ac:dyDescent="0.15">
      <c r="H2079" s="6">
        <f ca="1"/>
        <v>0</v>
      </c>
      <c r="I2079" s="6">
        <f ca="1"/>
        <v>0</v>
      </c>
      <c r="J2079" s="6">
        <f ca="1"/>
        <v>0</v>
      </c>
    </row>
    <row r="2080" spans="8:10" ht="13" x14ac:dyDescent="0.15">
      <c r="H2080" s="6">
        <f ca="1"/>
        <v>0</v>
      </c>
      <c r="I2080" s="6">
        <f ca="1"/>
        <v>0</v>
      </c>
      <c r="J2080" s="6">
        <f ca="1"/>
        <v>0</v>
      </c>
    </row>
    <row r="2081" spans="8:10" ht="13" x14ac:dyDescent="0.15">
      <c r="H2081" s="6">
        <f ca="1"/>
        <v>0</v>
      </c>
      <c r="I2081" s="6">
        <f ca="1"/>
        <v>0</v>
      </c>
      <c r="J2081" s="6">
        <f ca="1"/>
        <v>0</v>
      </c>
    </row>
    <row r="2082" spans="8:10" ht="13" x14ac:dyDescent="0.15">
      <c r="H2082" s="6">
        <f ca="1"/>
        <v>0</v>
      </c>
      <c r="I2082" s="6">
        <f ca="1"/>
        <v>0</v>
      </c>
      <c r="J2082" s="6">
        <f ca="1"/>
        <v>0</v>
      </c>
    </row>
    <row r="2083" spans="8:10" ht="13" x14ac:dyDescent="0.15">
      <c r="H2083" s="6">
        <f ca="1"/>
        <v>0</v>
      </c>
      <c r="I2083" s="6">
        <f ca="1"/>
        <v>0</v>
      </c>
      <c r="J2083" s="6">
        <f ca="1"/>
        <v>0</v>
      </c>
    </row>
    <row r="2084" spans="8:10" ht="13" x14ac:dyDescent="0.15">
      <c r="H2084" s="6">
        <f ca="1"/>
        <v>0</v>
      </c>
      <c r="I2084" s="6">
        <f ca="1"/>
        <v>0</v>
      </c>
      <c r="J2084" s="6">
        <f ca="1"/>
        <v>0</v>
      </c>
    </row>
    <row r="2085" spans="8:10" ht="13" x14ac:dyDescent="0.15">
      <c r="H2085" s="6">
        <f ca="1"/>
        <v>0</v>
      </c>
      <c r="I2085" s="6">
        <f ca="1"/>
        <v>0</v>
      </c>
      <c r="J2085" s="6">
        <f ca="1"/>
        <v>0</v>
      </c>
    </row>
    <row r="2086" spans="8:10" ht="13" x14ac:dyDescent="0.15">
      <c r="H2086" s="6">
        <f ca="1"/>
        <v>0</v>
      </c>
      <c r="I2086" s="6">
        <f ca="1"/>
        <v>0</v>
      </c>
      <c r="J2086" s="6">
        <f ca="1"/>
        <v>0</v>
      </c>
    </row>
    <row r="2087" spans="8:10" ht="13" x14ac:dyDescent="0.15">
      <c r="H2087" s="6">
        <f ca="1"/>
        <v>0</v>
      </c>
      <c r="I2087" s="6">
        <f ca="1"/>
        <v>0</v>
      </c>
      <c r="J2087" s="6">
        <f ca="1"/>
        <v>0</v>
      </c>
    </row>
    <row r="2088" spans="8:10" ht="13" x14ac:dyDescent="0.15">
      <c r="H2088" s="6">
        <f ca="1"/>
        <v>0</v>
      </c>
      <c r="I2088" s="6">
        <f ca="1"/>
        <v>0</v>
      </c>
      <c r="J2088" s="6">
        <f ca="1"/>
        <v>0</v>
      </c>
    </row>
    <row r="2089" spans="8:10" ht="13" x14ac:dyDescent="0.15">
      <c r="H2089" s="6">
        <f ca="1"/>
        <v>0</v>
      </c>
      <c r="I2089" s="6">
        <f ca="1"/>
        <v>0</v>
      </c>
      <c r="J2089" s="6">
        <f ca="1"/>
        <v>0</v>
      </c>
    </row>
    <row r="2090" spans="8:10" ht="13" x14ac:dyDescent="0.15">
      <c r="H2090" s="6">
        <f ca="1"/>
        <v>0</v>
      </c>
      <c r="I2090" s="6">
        <f ca="1"/>
        <v>0</v>
      </c>
      <c r="J2090" s="6">
        <f ca="1"/>
        <v>0</v>
      </c>
    </row>
    <row r="2091" spans="8:10" ht="13" x14ac:dyDescent="0.15">
      <c r="H2091" s="6">
        <f ca="1"/>
        <v>0</v>
      </c>
      <c r="I2091" s="6">
        <f ca="1"/>
        <v>0</v>
      </c>
      <c r="J2091" s="6">
        <f ca="1"/>
        <v>0</v>
      </c>
    </row>
    <row r="2092" spans="8:10" ht="13" x14ac:dyDescent="0.15">
      <c r="H2092" s="6">
        <f ca="1"/>
        <v>0</v>
      </c>
      <c r="I2092" s="6">
        <f ca="1"/>
        <v>0</v>
      </c>
      <c r="J2092" s="6">
        <f ca="1"/>
        <v>0</v>
      </c>
    </row>
    <row r="2093" spans="8:10" ht="13" x14ac:dyDescent="0.15">
      <c r="H2093" s="6">
        <f ca="1"/>
        <v>0</v>
      </c>
      <c r="I2093" s="6">
        <f ca="1"/>
        <v>0</v>
      </c>
      <c r="J2093" s="6">
        <f ca="1"/>
        <v>0</v>
      </c>
    </row>
    <row r="2094" spans="8:10" ht="13" x14ac:dyDescent="0.15">
      <c r="H2094" s="6">
        <f ca="1"/>
        <v>0</v>
      </c>
      <c r="I2094" s="6">
        <f ca="1"/>
        <v>0</v>
      </c>
      <c r="J2094" s="6">
        <f ca="1"/>
        <v>0</v>
      </c>
    </row>
    <row r="2095" spans="8:10" ht="13" x14ac:dyDescent="0.15">
      <c r="H2095" s="6">
        <f ca="1"/>
        <v>0</v>
      </c>
      <c r="I2095" s="6">
        <f ca="1"/>
        <v>0</v>
      </c>
      <c r="J2095" s="6">
        <f ca="1"/>
        <v>0</v>
      </c>
    </row>
    <row r="2096" spans="8:10" ht="13" x14ac:dyDescent="0.15">
      <c r="H2096" s="6">
        <f ca="1"/>
        <v>0</v>
      </c>
      <c r="I2096" s="6">
        <f ca="1"/>
        <v>0</v>
      </c>
      <c r="J2096" s="6">
        <f ca="1"/>
        <v>0</v>
      </c>
    </row>
    <row r="2097" spans="8:10" ht="13" x14ac:dyDescent="0.15">
      <c r="H2097" s="6">
        <f ca="1"/>
        <v>0</v>
      </c>
      <c r="I2097" s="6">
        <f ca="1"/>
        <v>0</v>
      </c>
      <c r="J2097" s="6">
        <f ca="1"/>
        <v>0</v>
      </c>
    </row>
    <row r="2098" spans="8:10" ht="13" x14ac:dyDescent="0.15">
      <c r="H2098" s="6">
        <f ca="1"/>
        <v>0</v>
      </c>
      <c r="I2098" s="6">
        <f ca="1"/>
        <v>0</v>
      </c>
      <c r="J2098" s="6">
        <f ca="1"/>
        <v>0</v>
      </c>
    </row>
    <row r="2099" spans="8:10" ht="13" x14ac:dyDescent="0.15">
      <c r="H2099" s="6">
        <f ca="1"/>
        <v>0</v>
      </c>
      <c r="I2099" s="6">
        <f ca="1"/>
        <v>0</v>
      </c>
      <c r="J2099" s="6">
        <f ca="1"/>
        <v>0</v>
      </c>
    </row>
    <row r="2100" spans="8:10" ht="13" x14ac:dyDescent="0.15">
      <c r="H2100" s="6">
        <f ca="1"/>
        <v>0</v>
      </c>
      <c r="I2100" s="6">
        <f ca="1"/>
        <v>0</v>
      </c>
      <c r="J2100" s="6">
        <f ca="1"/>
        <v>0</v>
      </c>
    </row>
    <row r="2101" spans="8:10" ht="13" x14ac:dyDescent="0.15">
      <c r="H2101" s="6">
        <f ca="1"/>
        <v>0</v>
      </c>
      <c r="I2101" s="6">
        <f ca="1"/>
        <v>0</v>
      </c>
      <c r="J2101" s="6">
        <f ca="1"/>
        <v>0</v>
      </c>
    </row>
    <row r="2102" spans="8:10" ht="13" x14ac:dyDescent="0.15">
      <c r="H2102" s="6">
        <f ca="1"/>
        <v>0</v>
      </c>
      <c r="I2102" s="6">
        <f ca="1"/>
        <v>0</v>
      </c>
      <c r="J2102" s="6">
        <f ca="1"/>
        <v>0</v>
      </c>
    </row>
    <row r="2103" spans="8:10" ht="13" x14ac:dyDescent="0.15">
      <c r="H2103" s="6">
        <f ca="1"/>
        <v>0</v>
      </c>
      <c r="I2103" s="6">
        <f ca="1"/>
        <v>0</v>
      </c>
      <c r="J2103" s="6">
        <f ca="1"/>
        <v>0</v>
      </c>
    </row>
    <row r="2104" spans="8:10" ht="13" x14ac:dyDescent="0.15">
      <c r="H2104" s="6">
        <f ca="1"/>
        <v>0</v>
      </c>
      <c r="I2104" s="6">
        <f ca="1"/>
        <v>0</v>
      </c>
      <c r="J2104" s="6">
        <f ca="1"/>
        <v>0</v>
      </c>
    </row>
    <row r="2105" spans="8:10" ht="13" x14ac:dyDescent="0.15">
      <c r="H2105" s="6">
        <f ca="1"/>
        <v>0</v>
      </c>
      <c r="I2105" s="6">
        <f ca="1"/>
        <v>0</v>
      </c>
      <c r="J2105" s="6">
        <f ca="1"/>
        <v>0</v>
      </c>
    </row>
    <row r="2106" spans="8:10" ht="13" x14ac:dyDescent="0.15">
      <c r="H2106" s="6">
        <f ca="1"/>
        <v>0</v>
      </c>
      <c r="I2106" s="6">
        <f ca="1"/>
        <v>0</v>
      </c>
      <c r="J2106" s="6">
        <f ca="1"/>
        <v>0</v>
      </c>
    </row>
    <row r="2107" spans="8:10" ht="13" x14ac:dyDescent="0.15">
      <c r="H2107" s="6">
        <f ca="1"/>
        <v>0</v>
      </c>
      <c r="I2107" s="6">
        <f ca="1"/>
        <v>0</v>
      </c>
      <c r="J2107" s="6">
        <f ca="1"/>
        <v>0</v>
      </c>
    </row>
    <row r="2108" spans="8:10" ht="13" x14ac:dyDescent="0.15">
      <c r="H2108" s="6">
        <f ca="1"/>
        <v>0</v>
      </c>
      <c r="I2108" s="6">
        <f ca="1"/>
        <v>0</v>
      </c>
      <c r="J2108" s="6">
        <f ca="1"/>
        <v>0</v>
      </c>
    </row>
    <row r="2109" spans="8:10" ht="13" x14ac:dyDescent="0.15">
      <c r="H2109" s="6">
        <f ca="1"/>
        <v>0</v>
      </c>
      <c r="I2109" s="6">
        <f ca="1"/>
        <v>0</v>
      </c>
      <c r="J2109" s="6">
        <f ca="1"/>
        <v>0</v>
      </c>
    </row>
    <row r="2110" spans="8:10" ht="13" x14ac:dyDescent="0.15">
      <c r="H2110" s="6">
        <f ca="1"/>
        <v>0</v>
      </c>
      <c r="I2110" s="6">
        <f ca="1"/>
        <v>0</v>
      </c>
      <c r="J2110" s="6">
        <f ca="1"/>
        <v>0</v>
      </c>
    </row>
    <row r="2111" spans="8:10" ht="13" x14ac:dyDescent="0.15">
      <c r="H2111" s="6">
        <f ca="1"/>
        <v>0</v>
      </c>
      <c r="I2111" s="6">
        <f ca="1"/>
        <v>0</v>
      </c>
      <c r="J2111" s="6">
        <f ca="1"/>
        <v>0</v>
      </c>
    </row>
    <row r="2112" spans="8:10" ht="13" x14ac:dyDescent="0.15">
      <c r="H2112" s="6">
        <f ca="1"/>
        <v>0</v>
      </c>
      <c r="I2112" s="6">
        <f ca="1"/>
        <v>0</v>
      </c>
      <c r="J2112" s="6">
        <f ca="1"/>
        <v>0</v>
      </c>
    </row>
    <row r="2113" spans="8:10" ht="13" x14ac:dyDescent="0.15">
      <c r="H2113" s="6">
        <f ca="1"/>
        <v>0</v>
      </c>
      <c r="I2113" s="6">
        <f ca="1"/>
        <v>0</v>
      </c>
      <c r="J2113" s="6">
        <f ca="1"/>
        <v>0</v>
      </c>
    </row>
    <row r="2114" spans="8:10" ht="13" x14ac:dyDescent="0.15">
      <c r="H2114" s="6">
        <f ca="1"/>
        <v>0</v>
      </c>
      <c r="I2114" s="6">
        <f ca="1"/>
        <v>0</v>
      </c>
      <c r="J2114" s="6">
        <f ca="1"/>
        <v>0</v>
      </c>
    </row>
    <row r="2115" spans="8:10" ht="13" x14ac:dyDescent="0.15">
      <c r="H2115" s="6">
        <f ca="1"/>
        <v>0</v>
      </c>
      <c r="I2115" s="6">
        <f ca="1"/>
        <v>0</v>
      </c>
      <c r="J2115" s="6">
        <f ca="1"/>
        <v>0</v>
      </c>
    </row>
    <row r="2116" spans="8:10" ht="13" x14ac:dyDescent="0.15">
      <c r="H2116" s="6">
        <f ca="1"/>
        <v>0</v>
      </c>
      <c r="I2116" s="6">
        <f ca="1"/>
        <v>0</v>
      </c>
      <c r="J2116" s="6">
        <f ca="1"/>
        <v>0</v>
      </c>
    </row>
    <row r="2117" spans="8:10" ht="13" x14ac:dyDescent="0.15">
      <c r="H2117" s="6">
        <f ca="1"/>
        <v>0</v>
      </c>
      <c r="I2117" s="6">
        <f ca="1"/>
        <v>0</v>
      </c>
      <c r="J2117" s="6">
        <f ca="1"/>
        <v>0</v>
      </c>
    </row>
    <row r="2118" spans="8:10" ht="13" x14ac:dyDescent="0.15">
      <c r="H2118" s="6">
        <f ca="1"/>
        <v>0</v>
      </c>
      <c r="I2118" s="6">
        <f ca="1"/>
        <v>0</v>
      </c>
      <c r="J2118" s="6">
        <f ca="1"/>
        <v>0</v>
      </c>
    </row>
    <row r="2119" spans="8:10" ht="13" x14ac:dyDescent="0.15">
      <c r="H2119" s="6">
        <f ca="1"/>
        <v>0</v>
      </c>
      <c r="I2119" s="6">
        <f ca="1"/>
        <v>0</v>
      </c>
      <c r="J2119" s="6">
        <f ca="1"/>
        <v>0</v>
      </c>
    </row>
    <row r="2120" spans="8:10" ht="13" x14ac:dyDescent="0.15">
      <c r="H2120" s="6">
        <f ca="1"/>
        <v>0</v>
      </c>
      <c r="I2120" s="6">
        <f ca="1"/>
        <v>0</v>
      </c>
      <c r="J2120" s="6">
        <f ca="1"/>
        <v>0</v>
      </c>
    </row>
    <row r="2121" spans="8:10" ht="13" x14ac:dyDescent="0.15">
      <c r="H2121" s="6">
        <f ca="1"/>
        <v>0</v>
      </c>
      <c r="I2121" s="6">
        <f ca="1"/>
        <v>0</v>
      </c>
      <c r="J2121" s="6">
        <f ca="1"/>
        <v>0</v>
      </c>
    </row>
    <row r="2122" spans="8:10" ht="13" x14ac:dyDescent="0.15">
      <c r="H2122" s="6">
        <f ca="1"/>
        <v>0</v>
      </c>
      <c r="I2122" s="6">
        <f ca="1"/>
        <v>0</v>
      </c>
      <c r="J2122" s="6">
        <f ca="1"/>
        <v>0</v>
      </c>
    </row>
    <row r="2123" spans="8:10" ht="13" x14ac:dyDescent="0.15">
      <c r="H2123" s="6">
        <f ca="1"/>
        <v>0</v>
      </c>
      <c r="I2123" s="6">
        <f ca="1"/>
        <v>0</v>
      </c>
      <c r="J2123" s="6">
        <f ca="1"/>
        <v>0</v>
      </c>
    </row>
    <row r="2124" spans="8:10" ht="13" x14ac:dyDescent="0.15">
      <c r="H2124" s="6">
        <f ca="1"/>
        <v>0</v>
      </c>
      <c r="I2124" s="6">
        <f ca="1"/>
        <v>0</v>
      </c>
      <c r="J2124" s="6">
        <f ca="1"/>
        <v>0</v>
      </c>
    </row>
    <row r="2125" spans="8:10" ht="13" x14ac:dyDescent="0.15">
      <c r="H2125" s="6">
        <f ca="1"/>
        <v>0</v>
      </c>
      <c r="I2125" s="6">
        <f ca="1"/>
        <v>0</v>
      </c>
      <c r="J2125" s="6">
        <f ca="1"/>
        <v>0</v>
      </c>
    </row>
    <row r="2126" spans="8:10" ht="13" x14ac:dyDescent="0.15">
      <c r="H2126" s="6">
        <f ca="1"/>
        <v>0</v>
      </c>
      <c r="I2126" s="6">
        <f ca="1"/>
        <v>0</v>
      </c>
      <c r="J2126" s="6">
        <f ca="1"/>
        <v>0</v>
      </c>
    </row>
    <row r="2127" spans="8:10" ht="13" x14ac:dyDescent="0.15">
      <c r="H2127" s="6">
        <f ca="1"/>
        <v>0</v>
      </c>
      <c r="I2127" s="6">
        <f ca="1"/>
        <v>0</v>
      </c>
      <c r="J2127" s="6">
        <f ca="1"/>
        <v>0</v>
      </c>
    </row>
    <row r="2128" spans="8:10" ht="13" x14ac:dyDescent="0.15">
      <c r="H2128" s="6">
        <f ca="1"/>
        <v>0</v>
      </c>
      <c r="I2128" s="6">
        <f ca="1"/>
        <v>0</v>
      </c>
      <c r="J2128" s="6">
        <f ca="1"/>
        <v>0</v>
      </c>
    </row>
    <row r="2129" spans="8:10" ht="13" x14ac:dyDescent="0.15">
      <c r="H2129" s="6">
        <f ca="1"/>
        <v>0</v>
      </c>
      <c r="I2129" s="6">
        <f ca="1"/>
        <v>0</v>
      </c>
      <c r="J2129" s="6">
        <f ca="1"/>
        <v>0</v>
      </c>
    </row>
    <row r="2130" spans="8:10" ht="13" x14ac:dyDescent="0.15">
      <c r="H2130" s="6">
        <f ca="1"/>
        <v>0</v>
      </c>
      <c r="I2130" s="6">
        <f ca="1"/>
        <v>0</v>
      </c>
      <c r="J2130" s="6">
        <f ca="1"/>
        <v>0</v>
      </c>
    </row>
    <row r="2131" spans="8:10" ht="13" x14ac:dyDescent="0.15">
      <c r="H2131" s="6">
        <f ca="1"/>
        <v>0</v>
      </c>
      <c r="I2131" s="6">
        <f ca="1"/>
        <v>0</v>
      </c>
      <c r="J2131" s="6">
        <f ca="1"/>
        <v>0</v>
      </c>
    </row>
    <row r="2132" spans="8:10" ht="13" x14ac:dyDescent="0.15">
      <c r="H2132" s="6">
        <f ca="1"/>
        <v>0</v>
      </c>
      <c r="I2132" s="6">
        <f ca="1"/>
        <v>0</v>
      </c>
      <c r="J2132" s="6">
        <f ca="1"/>
        <v>0</v>
      </c>
    </row>
    <row r="2133" spans="8:10" ht="13" x14ac:dyDescent="0.15">
      <c r="H2133" s="6">
        <f ca="1"/>
        <v>0</v>
      </c>
      <c r="I2133" s="6">
        <f ca="1"/>
        <v>0</v>
      </c>
      <c r="J2133" s="6">
        <f ca="1"/>
        <v>0</v>
      </c>
    </row>
    <row r="2134" spans="8:10" ht="13" x14ac:dyDescent="0.15">
      <c r="H2134" s="6">
        <f ca="1"/>
        <v>0</v>
      </c>
      <c r="I2134" s="6">
        <f ca="1"/>
        <v>0</v>
      </c>
      <c r="J2134" s="6">
        <f ca="1"/>
        <v>0</v>
      </c>
    </row>
    <row r="2135" spans="8:10" ht="13" x14ac:dyDescent="0.15">
      <c r="H2135" s="6">
        <f ca="1"/>
        <v>0</v>
      </c>
      <c r="I2135" s="6">
        <f ca="1"/>
        <v>0</v>
      </c>
      <c r="J2135" s="6">
        <f ca="1"/>
        <v>0</v>
      </c>
    </row>
    <row r="2136" spans="8:10" ht="13" x14ac:dyDescent="0.15">
      <c r="H2136" s="6">
        <f ca="1"/>
        <v>0</v>
      </c>
      <c r="I2136" s="6">
        <f ca="1"/>
        <v>0</v>
      </c>
      <c r="J2136" s="6">
        <f ca="1"/>
        <v>0</v>
      </c>
    </row>
    <row r="2137" spans="8:10" ht="13" x14ac:dyDescent="0.15">
      <c r="H2137" s="6">
        <f ca="1"/>
        <v>0</v>
      </c>
      <c r="I2137" s="6">
        <f ca="1"/>
        <v>0</v>
      </c>
      <c r="J2137" s="6">
        <f ca="1"/>
        <v>0</v>
      </c>
    </row>
    <row r="2138" spans="8:10" ht="13" x14ac:dyDescent="0.15">
      <c r="H2138" s="6">
        <f ca="1"/>
        <v>0</v>
      </c>
      <c r="I2138" s="6">
        <f ca="1"/>
        <v>0</v>
      </c>
      <c r="J2138" s="6">
        <f ca="1"/>
        <v>0</v>
      </c>
    </row>
    <row r="2139" spans="8:10" ht="13" x14ac:dyDescent="0.15">
      <c r="H2139" s="6">
        <f ca="1"/>
        <v>0</v>
      </c>
      <c r="I2139" s="6">
        <f ca="1"/>
        <v>0</v>
      </c>
      <c r="J2139" s="6">
        <f ca="1"/>
        <v>0</v>
      </c>
    </row>
    <row r="2140" spans="8:10" ht="13" x14ac:dyDescent="0.15">
      <c r="H2140" s="6">
        <f ca="1"/>
        <v>0</v>
      </c>
      <c r="I2140" s="6">
        <f ca="1"/>
        <v>0</v>
      </c>
      <c r="J2140" s="6">
        <f ca="1"/>
        <v>0</v>
      </c>
    </row>
    <row r="2141" spans="8:10" ht="13" x14ac:dyDescent="0.15">
      <c r="H2141" s="6">
        <f ca="1"/>
        <v>0</v>
      </c>
      <c r="I2141" s="6">
        <f ca="1"/>
        <v>0</v>
      </c>
      <c r="J2141" s="6">
        <f ca="1"/>
        <v>0</v>
      </c>
    </row>
    <row r="2142" spans="8:10" ht="13" x14ac:dyDescent="0.15">
      <c r="H2142" s="6">
        <f ca="1"/>
        <v>0</v>
      </c>
      <c r="I2142" s="6">
        <f ca="1"/>
        <v>0</v>
      </c>
      <c r="J2142" s="6">
        <f ca="1"/>
        <v>0</v>
      </c>
    </row>
    <row r="2143" spans="8:10" ht="13" x14ac:dyDescent="0.15">
      <c r="H2143" s="6">
        <f ca="1"/>
        <v>0</v>
      </c>
      <c r="I2143" s="6">
        <f ca="1"/>
        <v>0</v>
      </c>
      <c r="J2143" s="6">
        <f ca="1"/>
        <v>0</v>
      </c>
    </row>
    <row r="2144" spans="8:10" ht="13" x14ac:dyDescent="0.15">
      <c r="H2144" s="6">
        <f ca="1"/>
        <v>0</v>
      </c>
      <c r="I2144" s="6">
        <f ca="1"/>
        <v>0</v>
      </c>
      <c r="J2144" s="6">
        <f ca="1"/>
        <v>0</v>
      </c>
    </row>
    <row r="2145" spans="8:10" ht="13" x14ac:dyDescent="0.15">
      <c r="H2145" s="6">
        <f ca="1"/>
        <v>0</v>
      </c>
      <c r="I2145" s="6">
        <f ca="1"/>
        <v>0</v>
      </c>
      <c r="J2145" s="6">
        <f ca="1"/>
        <v>0</v>
      </c>
    </row>
    <row r="2146" spans="8:10" ht="13" x14ac:dyDescent="0.15">
      <c r="H2146" s="6">
        <f ca="1"/>
        <v>0</v>
      </c>
      <c r="I2146" s="6">
        <f ca="1"/>
        <v>0</v>
      </c>
      <c r="J2146" s="6">
        <f ca="1"/>
        <v>0</v>
      </c>
    </row>
    <row r="2147" spans="8:10" ht="13" x14ac:dyDescent="0.15">
      <c r="H2147" s="6">
        <f ca="1"/>
        <v>0</v>
      </c>
      <c r="I2147" s="6">
        <f ca="1"/>
        <v>0</v>
      </c>
      <c r="J2147" s="6">
        <f ca="1"/>
        <v>0</v>
      </c>
    </row>
    <row r="2148" spans="8:10" ht="13" x14ac:dyDescent="0.15">
      <c r="H2148" s="6">
        <f ca="1"/>
        <v>0</v>
      </c>
      <c r="I2148" s="6">
        <f ca="1"/>
        <v>0</v>
      </c>
      <c r="J2148" s="6">
        <f ca="1"/>
        <v>0</v>
      </c>
    </row>
    <row r="2149" spans="8:10" ht="13" x14ac:dyDescent="0.15">
      <c r="H2149" s="6">
        <f ca="1"/>
        <v>0</v>
      </c>
      <c r="I2149" s="6">
        <f ca="1"/>
        <v>0</v>
      </c>
      <c r="J2149" s="6">
        <f ca="1"/>
        <v>0</v>
      </c>
    </row>
    <row r="2150" spans="8:10" ht="13" x14ac:dyDescent="0.15">
      <c r="H2150" s="6">
        <f ca="1"/>
        <v>0</v>
      </c>
      <c r="I2150" s="6">
        <f ca="1"/>
        <v>0</v>
      </c>
      <c r="J2150" s="6">
        <f ca="1"/>
        <v>0</v>
      </c>
    </row>
    <row r="2151" spans="8:10" ht="13" x14ac:dyDescent="0.15">
      <c r="H2151" s="6">
        <f ca="1"/>
        <v>0</v>
      </c>
      <c r="I2151" s="6">
        <f ca="1"/>
        <v>0</v>
      </c>
      <c r="J2151" s="6">
        <f ca="1"/>
        <v>0</v>
      </c>
    </row>
    <row r="2152" spans="8:10" ht="13" x14ac:dyDescent="0.15">
      <c r="H2152" s="6">
        <f ca="1"/>
        <v>0</v>
      </c>
      <c r="I2152" s="6">
        <f ca="1"/>
        <v>0</v>
      </c>
      <c r="J2152" s="6">
        <f ca="1"/>
        <v>0</v>
      </c>
    </row>
    <row r="2153" spans="8:10" ht="13" x14ac:dyDescent="0.15">
      <c r="H2153" s="6">
        <f ca="1"/>
        <v>0</v>
      </c>
      <c r="I2153" s="6">
        <f ca="1"/>
        <v>0</v>
      </c>
      <c r="J2153" s="6">
        <f ca="1"/>
        <v>0</v>
      </c>
    </row>
    <row r="2154" spans="8:10" ht="13" x14ac:dyDescent="0.15">
      <c r="H2154" s="6">
        <f ca="1"/>
        <v>0</v>
      </c>
      <c r="I2154" s="6">
        <f ca="1"/>
        <v>0</v>
      </c>
      <c r="J2154" s="6">
        <f ca="1"/>
        <v>0</v>
      </c>
    </row>
    <row r="2155" spans="8:10" ht="13" x14ac:dyDescent="0.15">
      <c r="H2155" s="6">
        <f ca="1"/>
        <v>0</v>
      </c>
      <c r="I2155" s="6">
        <f ca="1"/>
        <v>0</v>
      </c>
      <c r="J2155" s="6">
        <f ca="1"/>
        <v>0</v>
      </c>
    </row>
    <row r="2156" spans="8:10" ht="13" x14ac:dyDescent="0.15">
      <c r="H2156" s="6">
        <f ca="1"/>
        <v>0</v>
      </c>
      <c r="I2156" s="6">
        <f ca="1"/>
        <v>0</v>
      </c>
      <c r="J2156" s="6">
        <f ca="1"/>
        <v>0</v>
      </c>
    </row>
    <row r="2157" spans="8:10" ht="13" x14ac:dyDescent="0.15">
      <c r="H2157" s="6">
        <f ca="1"/>
        <v>0</v>
      </c>
      <c r="I2157" s="6">
        <f ca="1"/>
        <v>0</v>
      </c>
      <c r="J2157" s="6">
        <f ca="1"/>
        <v>0</v>
      </c>
    </row>
    <row r="2158" spans="8:10" ht="13" x14ac:dyDescent="0.15">
      <c r="H2158" s="6">
        <f ca="1"/>
        <v>0</v>
      </c>
      <c r="I2158" s="6">
        <f ca="1"/>
        <v>0</v>
      </c>
      <c r="J2158" s="6">
        <f ca="1"/>
        <v>0</v>
      </c>
    </row>
    <row r="2159" spans="8:10" ht="13" x14ac:dyDescent="0.15">
      <c r="H2159" s="6">
        <f ca="1"/>
        <v>0</v>
      </c>
      <c r="I2159" s="6">
        <f ca="1"/>
        <v>0</v>
      </c>
      <c r="J2159" s="6">
        <f ca="1"/>
        <v>0</v>
      </c>
    </row>
    <row r="2160" spans="8:10" ht="13" x14ac:dyDescent="0.15">
      <c r="H2160" s="6">
        <f ca="1"/>
        <v>0</v>
      </c>
      <c r="I2160" s="6">
        <f ca="1"/>
        <v>0</v>
      </c>
      <c r="J2160" s="6">
        <f ca="1"/>
        <v>0</v>
      </c>
    </row>
    <row r="2161" spans="8:10" ht="13" x14ac:dyDescent="0.15">
      <c r="H2161" s="6">
        <f ca="1"/>
        <v>0</v>
      </c>
      <c r="I2161" s="6">
        <f ca="1"/>
        <v>0</v>
      </c>
      <c r="J2161" s="6">
        <f ca="1"/>
        <v>0</v>
      </c>
    </row>
    <row r="2162" spans="8:10" ht="13" x14ac:dyDescent="0.15">
      <c r="H2162" s="6">
        <f ca="1"/>
        <v>0</v>
      </c>
      <c r="I2162" s="6">
        <f ca="1"/>
        <v>0</v>
      </c>
      <c r="J2162" s="6">
        <f ca="1"/>
        <v>0</v>
      </c>
    </row>
    <row r="2163" spans="8:10" ht="13" x14ac:dyDescent="0.15">
      <c r="H2163" s="6">
        <f ca="1"/>
        <v>0</v>
      </c>
      <c r="I2163" s="6">
        <f ca="1"/>
        <v>0</v>
      </c>
      <c r="J2163" s="6">
        <f ca="1"/>
        <v>0</v>
      </c>
    </row>
    <row r="2164" spans="8:10" ht="13" x14ac:dyDescent="0.15">
      <c r="H2164" s="6">
        <f ca="1"/>
        <v>0</v>
      </c>
      <c r="I2164" s="6">
        <f ca="1"/>
        <v>0</v>
      </c>
      <c r="J2164" s="6">
        <f ca="1"/>
        <v>0</v>
      </c>
    </row>
    <row r="2165" spans="8:10" ht="13" x14ac:dyDescent="0.15">
      <c r="H2165" s="6">
        <f ca="1"/>
        <v>0</v>
      </c>
      <c r="I2165" s="6">
        <f ca="1"/>
        <v>0</v>
      </c>
      <c r="J2165" s="6">
        <f ca="1"/>
        <v>0</v>
      </c>
    </row>
    <row r="2166" spans="8:10" ht="13" x14ac:dyDescent="0.15">
      <c r="H2166" s="6">
        <f ca="1"/>
        <v>0</v>
      </c>
      <c r="I2166" s="6">
        <f ca="1"/>
        <v>0</v>
      </c>
      <c r="J2166" s="6">
        <f ca="1"/>
        <v>0</v>
      </c>
    </row>
    <row r="2167" spans="8:10" ht="13" x14ac:dyDescent="0.15">
      <c r="H2167" s="6">
        <f ca="1"/>
        <v>0</v>
      </c>
      <c r="I2167" s="6">
        <f ca="1"/>
        <v>0</v>
      </c>
      <c r="J2167" s="6">
        <f ca="1"/>
        <v>0</v>
      </c>
    </row>
    <row r="2168" spans="8:10" ht="13" x14ac:dyDescent="0.15">
      <c r="H2168" s="6">
        <f ca="1"/>
        <v>0</v>
      </c>
      <c r="I2168" s="6">
        <f ca="1"/>
        <v>0</v>
      </c>
      <c r="J2168" s="6">
        <f ca="1"/>
        <v>0</v>
      </c>
    </row>
    <row r="2169" spans="8:10" ht="13" x14ac:dyDescent="0.15">
      <c r="H2169" s="6">
        <f ca="1"/>
        <v>0</v>
      </c>
      <c r="I2169" s="6">
        <f ca="1"/>
        <v>0</v>
      </c>
      <c r="J2169" s="6">
        <f ca="1"/>
        <v>0</v>
      </c>
    </row>
    <row r="2170" spans="8:10" ht="13" x14ac:dyDescent="0.15">
      <c r="H2170" s="6">
        <f ca="1"/>
        <v>0</v>
      </c>
      <c r="I2170" s="6">
        <f ca="1"/>
        <v>0</v>
      </c>
      <c r="J2170" s="6">
        <f ca="1"/>
        <v>0</v>
      </c>
    </row>
    <row r="2171" spans="8:10" ht="13" x14ac:dyDescent="0.15">
      <c r="H2171" s="6">
        <f ca="1"/>
        <v>0</v>
      </c>
      <c r="I2171" s="6">
        <f ca="1"/>
        <v>0</v>
      </c>
      <c r="J2171" s="6">
        <f ca="1"/>
        <v>0</v>
      </c>
    </row>
    <row r="2172" spans="8:10" ht="13" x14ac:dyDescent="0.15">
      <c r="H2172" s="6">
        <f ca="1"/>
        <v>0</v>
      </c>
      <c r="I2172" s="6">
        <f ca="1"/>
        <v>0</v>
      </c>
      <c r="J2172" s="6">
        <f ca="1"/>
        <v>0</v>
      </c>
    </row>
    <row r="2173" spans="8:10" ht="13" x14ac:dyDescent="0.15">
      <c r="H2173" s="6">
        <f ca="1"/>
        <v>0</v>
      </c>
      <c r="I2173" s="6">
        <f ca="1"/>
        <v>0</v>
      </c>
      <c r="J2173" s="6">
        <f ca="1"/>
        <v>0</v>
      </c>
    </row>
    <row r="2174" spans="8:10" ht="13" x14ac:dyDescent="0.15">
      <c r="H2174" s="6">
        <f ca="1"/>
        <v>0</v>
      </c>
      <c r="I2174" s="6">
        <f ca="1"/>
        <v>0</v>
      </c>
      <c r="J2174" s="6">
        <f ca="1"/>
        <v>0</v>
      </c>
    </row>
    <row r="2175" spans="8:10" ht="13" x14ac:dyDescent="0.15">
      <c r="H2175" s="6">
        <f ca="1"/>
        <v>0</v>
      </c>
      <c r="I2175" s="6">
        <f ca="1"/>
        <v>0</v>
      </c>
      <c r="J2175" s="6">
        <f ca="1"/>
        <v>0</v>
      </c>
    </row>
    <row r="2176" spans="8:10" ht="13" x14ac:dyDescent="0.15">
      <c r="H2176" s="6">
        <f ca="1"/>
        <v>0</v>
      </c>
      <c r="I2176" s="6">
        <f ca="1"/>
        <v>0</v>
      </c>
      <c r="J2176" s="6">
        <f ca="1"/>
        <v>0</v>
      </c>
    </row>
    <row r="2177" spans="8:10" ht="13" x14ac:dyDescent="0.15">
      <c r="H2177" s="6">
        <f ca="1"/>
        <v>0</v>
      </c>
      <c r="I2177" s="6">
        <f ca="1"/>
        <v>0</v>
      </c>
      <c r="J2177" s="6">
        <f ca="1"/>
        <v>0</v>
      </c>
    </row>
    <row r="2178" spans="8:10" ht="13" x14ac:dyDescent="0.15">
      <c r="H2178" s="6">
        <f ca="1"/>
        <v>0</v>
      </c>
      <c r="I2178" s="6">
        <f ca="1"/>
        <v>0</v>
      </c>
      <c r="J2178" s="6">
        <f ca="1"/>
        <v>0</v>
      </c>
    </row>
    <row r="2179" spans="8:10" ht="13" x14ac:dyDescent="0.15">
      <c r="H2179" s="6">
        <f ca="1"/>
        <v>0</v>
      </c>
      <c r="I2179" s="6">
        <f ca="1"/>
        <v>0</v>
      </c>
      <c r="J2179" s="6">
        <f ca="1"/>
        <v>0</v>
      </c>
    </row>
    <row r="2180" spans="8:10" ht="13" x14ac:dyDescent="0.15">
      <c r="H2180" s="6">
        <f ca="1"/>
        <v>0</v>
      </c>
      <c r="I2180" s="6">
        <f ca="1"/>
        <v>0</v>
      </c>
      <c r="J2180" s="6">
        <f ca="1"/>
        <v>0</v>
      </c>
    </row>
    <row r="2181" spans="8:10" ht="13" x14ac:dyDescent="0.15">
      <c r="H2181" s="6">
        <f ca="1"/>
        <v>0</v>
      </c>
      <c r="I2181" s="6">
        <f ca="1"/>
        <v>0</v>
      </c>
      <c r="J2181" s="6">
        <f ca="1"/>
        <v>0</v>
      </c>
    </row>
    <row r="2182" spans="8:10" ht="13" x14ac:dyDescent="0.15">
      <c r="H2182" s="6">
        <f ca="1"/>
        <v>0</v>
      </c>
      <c r="I2182" s="6">
        <f ca="1"/>
        <v>0</v>
      </c>
      <c r="J2182" s="6">
        <f ca="1"/>
        <v>0</v>
      </c>
    </row>
    <row r="2183" spans="8:10" ht="13" x14ac:dyDescent="0.15">
      <c r="H2183" s="6">
        <f ca="1"/>
        <v>0</v>
      </c>
      <c r="I2183" s="6">
        <f ca="1"/>
        <v>0</v>
      </c>
      <c r="J2183" s="6">
        <f ca="1"/>
        <v>0</v>
      </c>
    </row>
    <row r="2184" spans="8:10" ht="13" x14ac:dyDescent="0.15">
      <c r="H2184" s="6">
        <f ca="1"/>
        <v>0</v>
      </c>
      <c r="I2184" s="6">
        <f ca="1"/>
        <v>0</v>
      </c>
      <c r="J2184" s="6">
        <f ca="1"/>
        <v>0</v>
      </c>
    </row>
    <row r="2185" spans="8:10" ht="13" x14ac:dyDescent="0.15">
      <c r="H2185" s="6">
        <f ca="1"/>
        <v>0</v>
      </c>
      <c r="I2185" s="6">
        <f ca="1"/>
        <v>0</v>
      </c>
      <c r="J2185" s="6">
        <f ca="1"/>
        <v>0</v>
      </c>
    </row>
    <row r="2186" spans="8:10" ht="13" x14ac:dyDescent="0.15">
      <c r="H2186" s="6">
        <f ca="1"/>
        <v>0</v>
      </c>
      <c r="I2186" s="6">
        <f ca="1"/>
        <v>0</v>
      </c>
      <c r="J2186" s="6">
        <f ca="1"/>
        <v>0</v>
      </c>
    </row>
    <row r="2187" spans="8:10" ht="13" x14ac:dyDescent="0.15">
      <c r="H2187" s="6">
        <f ca="1"/>
        <v>0</v>
      </c>
      <c r="I2187" s="6">
        <f ca="1"/>
        <v>0</v>
      </c>
      <c r="J2187" s="6">
        <f ca="1"/>
        <v>0</v>
      </c>
    </row>
    <row r="2188" spans="8:10" ht="13" x14ac:dyDescent="0.15">
      <c r="H2188" s="6">
        <f ca="1"/>
        <v>0</v>
      </c>
      <c r="I2188" s="6">
        <f ca="1"/>
        <v>0</v>
      </c>
      <c r="J2188" s="6">
        <f ca="1"/>
        <v>0</v>
      </c>
    </row>
    <row r="2189" spans="8:10" ht="13" x14ac:dyDescent="0.15">
      <c r="H2189" s="6">
        <f ca="1"/>
        <v>0</v>
      </c>
      <c r="I2189" s="6">
        <f ca="1"/>
        <v>0</v>
      </c>
      <c r="J2189" s="6">
        <f ca="1"/>
        <v>0</v>
      </c>
    </row>
    <row r="2190" spans="8:10" ht="13" x14ac:dyDescent="0.15">
      <c r="H2190" s="6">
        <f ca="1"/>
        <v>0</v>
      </c>
      <c r="I2190" s="6">
        <f ca="1"/>
        <v>0</v>
      </c>
      <c r="J2190" s="6">
        <f ca="1"/>
        <v>0</v>
      </c>
    </row>
    <row r="2191" spans="8:10" ht="13" x14ac:dyDescent="0.15">
      <c r="H2191" s="6">
        <f ca="1"/>
        <v>0</v>
      </c>
      <c r="I2191" s="6">
        <f ca="1"/>
        <v>0</v>
      </c>
      <c r="J2191" s="6">
        <f ca="1"/>
        <v>0</v>
      </c>
    </row>
    <row r="2192" spans="8:10" ht="13" x14ac:dyDescent="0.15">
      <c r="H2192" s="6">
        <f ca="1"/>
        <v>0</v>
      </c>
      <c r="I2192" s="6">
        <f ca="1"/>
        <v>0</v>
      </c>
      <c r="J2192" s="6">
        <f ca="1"/>
        <v>0</v>
      </c>
    </row>
    <row r="2193" spans="8:10" ht="13" x14ac:dyDescent="0.15">
      <c r="H2193" s="6">
        <f ca="1"/>
        <v>0</v>
      </c>
      <c r="I2193" s="6">
        <f ca="1"/>
        <v>0</v>
      </c>
      <c r="J2193" s="6">
        <f ca="1"/>
        <v>0</v>
      </c>
    </row>
    <row r="2194" spans="8:10" ht="13" x14ac:dyDescent="0.15">
      <c r="H2194" s="6">
        <f ca="1"/>
        <v>0</v>
      </c>
      <c r="I2194" s="6">
        <f ca="1"/>
        <v>0</v>
      </c>
      <c r="J2194" s="6">
        <f ca="1"/>
        <v>0</v>
      </c>
    </row>
    <row r="2195" spans="8:10" ht="13" x14ac:dyDescent="0.15">
      <c r="H2195" s="6">
        <f ca="1"/>
        <v>0</v>
      </c>
      <c r="I2195" s="6">
        <f ca="1"/>
        <v>0</v>
      </c>
      <c r="J2195" s="6">
        <f ca="1"/>
        <v>0</v>
      </c>
    </row>
    <row r="2196" spans="8:10" ht="13" x14ac:dyDescent="0.15">
      <c r="H2196" s="6">
        <f ca="1"/>
        <v>0</v>
      </c>
      <c r="I2196" s="6">
        <f ca="1"/>
        <v>0</v>
      </c>
      <c r="J2196" s="6">
        <f ca="1"/>
        <v>0</v>
      </c>
    </row>
    <row r="2197" spans="8:10" ht="13" x14ac:dyDescent="0.15">
      <c r="H2197" s="6">
        <f ca="1"/>
        <v>0</v>
      </c>
      <c r="I2197" s="6">
        <f ca="1"/>
        <v>0</v>
      </c>
      <c r="J2197" s="6">
        <f ca="1"/>
        <v>0</v>
      </c>
    </row>
    <row r="2198" spans="8:10" ht="13" x14ac:dyDescent="0.15">
      <c r="H2198" s="6">
        <f ca="1"/>
        <v>0</v>
      </c>
      <c r="I2198" s="6">
        <f ca="1"/>
        <v>0</v>
      </c>
      <c r="J2198" s="6">
        <f ca="1"/>
        <v>0</v>
      </c>
    </row>
    <row r="2199" spans="8:10" ht="13" x14ac:dyDescent="0.15">
      <c r="H2199" s="6">
        <f ca="1"/>
        <v>0</v>
      </c>
      <c r="I2199" s="6">
        <f ca="1"/>
        <v>0</v>
      </c>
      <c r="J2199" s="6">
        <f ca="1"/>
        <v>0</v>
      </c>
    </row>
    <row r="2200" spans="8:10" ht="13" x14ac:dyDescent="0.15">
      <c r="H2200" s="6">
        <f ca="1"/>
        <v>0</v>
      </c>
      <c r="I2200" s="6">
        <f ca="1"/>
        <v>0</v>
      </c>
      <c r="J2200" s="6">
        <f ca="1"/>
        <v>0</v>
      </c>
    </row>
    <row r="2201" spans="8:10" ht="13" x14ac:dyDescent="0.15">
      <c r="H2201" s="6">
        <f ca="1"/>
        <v>0</v>
      </c>
      <c r="I2201" s="6">
        <f ca="1"/>
        <v>0</v>
      </c>
      <c r="J2201" s="6">
        <f ca="1"/>
        <v>0</v>
      </c>
    </row>
    <row r="2202" spans="8:10" ht="13" x14ac:dyDescent="0.15">
      <c r="H2202" s="6">
        <f ca="1"/>
        <v>0</v>
      </c>
      <c r="I2202" s="6">
        <f ca="1"/>
        <v>0</v>
      </c>
      <c r="J2202" s="6">
        <f ca="1"/>
        <v>0</v>
      </c>
    </row>
    <row r="2203" spans="8:10" ht="13" x14ac:dyDescent="0.15">
      <c r="H2203" s="6">
        <f ca="1"/>
        <v>0</v>
      </c>
      <c r="I2203" s="6">
        <f ca="1"/>
        <v>0</v>
      </c>
      <c r="J2203" s="6">
        <f ca="1"/>
        <v>0</v>
      </c>
    </row>
    <row r="2204" spans="8:10" ht="13" x14ac:dyDescent="0.15">
      <c r="H2204" s="6">
        <f ca="1"/>
        <v>0</v>
      </c>
      <c r="I2204" s="6">
        <f ca="1"/>
        <v>0</v>
      </c>
      <c r="J2204" s="6">
        <f ca="1"/>
        <v>0</v>
      </c>
    </row>
    <row r="2205" spans="8:10" ht="13" x14ac:dyDescent="0.15">
      <c r="H2205" s="6">
        <f ca="1"/>
        <v>0</v>
      </c>
      <c r="I2205" s="6">
        <f ca="1"/>
        <v>0</v>
      </c>
      <c r="J2205" s="6">
        <f ca="1"/>
        <v>0</v>
      </c>
    </row>
    <row r="2206" spans="8:10" ht="13" x14ac:dyDescent="0.15">
      <c r="H2206" s="6">
        <f ca="1"/>
        <v>0</v>
      </c>
      <c r="I2206" s="6">
        <f ca="1"/>
        <v>0</v>
      </c>
      <c r="J2206" s="6">
        <f ca="1"/>
        <v>0</v>
      </c>
    </row>
    <row r="2207" spans="8:10" ht="13" x14ac:dyDescent="0.15">
      <c r="H2207" s="6">
        <f ca="1"/>
        <v>0</v>
      </c>
      <c r="I2207" s="6">
        <f ca="1"/>
        <v>0</v>
      </c>
      <c r="J2207" s="6">
        <f ca="1"/>
        <v>0</v>
      </c>
    </row>
    <row r="2208" spans="8:10" ht="13" x14ac:dyDescent="0.15">
      <c r="H2208" s="6">
        <f ca="1"/>
        <v>0</v>
      </c>
      <c r="I2208" s="6">
        <f ca="1"/>
        <v>0</v>
      </c>
      <c r="J2208" s="6">
        <f ca="1"/>
        <v>0</v>
      </c>
    </row>
    <row r="2209" spans="8:10" ht="13" x14ac:dyDescent="0.15">
      <c r="H2209" s="6">
        <f ca="1"/>
        <v>0</v>
      </c>
      <c r="I2209" s="6">
        <f ca="1"/>
        <v>0</v>
      </c>
      <c r="J2209" s="6">
        <f ca="1"/>
        <v>0</v>
      </c>
    </row>
    <row r="2210" spans="8:10" ht="13" x14ac:dyDescent="0.15">
      <c r="H2210" s="6">
        <f ca="1"/>
        <v>0</v>
      </c>
      <c r="I2210" s="6">
        <f ca="1"/>
        <v>0</v>
      </c>
      <c r="J2210" s="6">
        <f ca="1"/>
        <v>0</v>
      </c>
    </row>
    <row r="2211" spans="8:10" ht="13" x14ac:dyDescent="0.15">
      <c r="H2211" s="6">
        <f ca="1"/>
        <v>0</v>
      </c>
      <c r="I2211" s="6">
        <f ca="1"/>
        <v>0</v>
      </c>
      <c r="J2211" s="6">
        <f ca="1"/>
        <v>0</v>
      </c>
    </row>
    <row r="2212" spans="8:10" ht="13" x14ac:dyDescent="0.15">
      <c r="H2212" s="6">
        <f ca="1"/>
        <v>0</v>
      </c>
      <c r="I2212" s="6">
        <f ca="1"/>
        <v>0</v>
      </c>
      <c r="J2212" s="6">
        <f ca="1"/>
        <v>0</v>
      </c>
    </row>
    <row r="2213" spans="8:10" ht="13" x14ac:dyDescent="0.15">
      <c r="H2213" s="6">
        <f ca="1"/>
        <v>0</v>
      </c>
      <c r="I2213" s="6">
        <f ca="1"/>
        <v>0</v>
      </c>
      <c r="J2213" s="6">
        <f ca="1"/>
        <v>0</v>
      </c>
    </row>
    <row r="2214" spans="8:10" ht="13" x14ac:dyDescent="0.15">
      <c r="H2214" s="6">
        <f ca="1"/>
        <v>0</v>
      </c>
      <c r="I2214" s="6">
        <f ca="1"/>
        <v>0</v>
      </c>
      <c r="J2214" s="6">
        <f ca="1"/>
        <v>0</v>
      </c>
    </row>
    <row r="2215" spans="8:10" ht="13" x14ac:dyDescent="0.15">
      <c r="H2215" s="6">
        <f ca="1"/>
        <v>0</v>
      </c>
      <c r="I2215" s="6">
        <f ca="1"/>
        <v>0</v>
      </c>
      <c r="J2215" s="6">
        <f ca="1"/>
        <v>0</v>
      </c>
    </row>
    <row r="2216" spans="8:10" ht="13" x14ac:dyDescent="0.15">
      <c r="H2216" s="6">
        <f ca="1"/>
        <v>0</v>
      </c>
      <c r="I2216" s="6">
        <f ca="1"/>
        <v>0</v>
      </c>
      <c r="J2216" s="6">
        <f ca="1"/>
        <v>0</v>
      </c>
    </row>
    <row r="2217" spans="8:10" ht="13" x14ac:dyDescent="0.15">
      <c r="H2217" s="6">
        <f ca="1"/>
        <v>0</v>
      </c>
      <c r="I2217" s="6">
        <f ca="1"/>
        <v>0</v>
      </c>
      <c r="J2217" s="6">
        <f ca="1"/>
        <v>0</v>
      </c>
    </row>
    <row r="2218" spans="8:10" ht="13" x14ac:dyDescent="0.15">
      <c r="H2218" s="6">
        <f ca="1"/>
        <v>0</v>
      </c>
      <c r="I2218" s="6">
        <f ca="1"/>
        <v>0</v>
      </c>
      <c r="J2218" s="6">
        <f ca="1"/>
        <v>0</v>
      </c>
    </row>
    <row r="2219" spans="8:10" ht="13" x14ac:dyDescent="0.15">
      <c r="H2219" s="6">
        <f ca="1"/>
        <v>0</v>
      </c>
      <c r="I2219" s="6">
        <f ca="1"/>
        <v>0</v>
      </c>
      <c r="J2219" s="6">
        <f ca="1"/>
        <v>0</v>
      </c>
    </row>
    <row r="2220" spans="8:10" ht="13" x14ac:dyDescent="0.15">
      <c r="H2220" s="6">
        <f ca="1"/>
        <v>0</v>
      </c>
      <c r="I2220" s="6">
        <f ca="1"/>
        <v>0</v>
      </c>
      <c r="J2220" s="6">
        <f ca="1"/>
        <v>0</v>
      </c>
    </row>
    <row r="2221" spans="8:10" ht="13" x14ac:dyDescent="0.15">
      <c r="H2221" s="6">
        <f ca="1"/>
        <v>0</v>
      </c>
      <c r="I2221" s="6">
        <f ca="1"/>
        <v>0</v>
      </c>
      <c r="J2221" s="6">
        <f ca="1"/>
        <v>0</v>
      </c>
    </row>
    <row r="2222" spans="8:10" ht="13" x14ac:dyDescent="0.15">
      <c r="H2222" s="6">
        <f ca="1"/>
        <v>0</v>
      </c>
      <c r="I2222" s="6">
        <f ca="1"/>
        <v>0</v>
      </c>
      <c r="J2222" s="6">
        <f ca="1"/>
        <v>0</v>
      </c>
    </row>
    <row r="2223" spans="8:10" ht="13" x14ac:dyDescent="0.15">
      <c r="H2223" s="6">
        <f ca="1"/>
        <v>0</v>
      </c>
      <c r="I2223" s="6">
        <f ca="1"/>
        <v>0</v>
      </c>
      <c r="J2223" s="6">
        <f ca="1"/>
        <v>0</v>
      </c>
    </row>
    <row r="2224" spans="8:10" ht="13" x14ac:dyDescent="0.15">
      <c r="H2224" s="6">
        <f ca="1"/>
        <v>0</v>
      </c>
      <c r="I2224" s="6">
        <f ca="1"/>
        <v>0</v>
      </c>
      <c r="J2224" s="6">
        <f ca="1"/>
        <v>0</v>
      </c>
    </row>
    <row r="2225" spans="8:10" ht="13" x14ac:dyDescent="0.15">
      <c r="H2225" s="6">
        <f ca="1"/>
        <v>0</v>
      </c>
      <c r="I2225" s="6">
        <f ca="1"/>
        <v>0</v>
      </c>
      <c r="J2225" s="6">
        <f ca="1"/>
        <v>0</v>
      </c>
    </row>
    <row r="2226" spans="8:10" ht="13" x14ac:dyDescent="0.15">
      <c r="H2226" s="6">
        <f ca="1"/>
        <v>0</v>
      </c>
      <c r="I2226" s="6">
        <f ca="1"/>
        <v>0</v>
      </c>
      <c r="J2226" s="6">
        <f ca="1"/>
        <v>0</v>
      </c>
    </row>
    <row r="2227" spans="8:10" ht="13" x14ac:dyDescent="0.15">
      <c r="H2227" s="6">
        <f ca="1"/>
        <v>0</v>
      </c>
      <c r="I2227" s="6">
        <f ca="1"/>
        <v>0</v>
      </c>
      <c r="J2227" s="6">
        <f ca="1"/>
        <v>0</v>
      </c>
    </row>
    <row r="2228" spans="8:10" ht="13" x14ac:dyDescent="0.15">
      <c r="H2228" s="6">
        <f ca="1"/>
        <v>0</v>
      </c>
      <c r="I2228" s="6">
        <f ca="1"/>
        <v>0</v>
      </c>
      <c r="J2228" s="6">
        <f ca="1"/>
        <v>0</v>
      </c>
    </row>
    <row r="2229" spans="8:10" ht="13" x14ac:dyDescent="0.15">
      <c r="H2229" s="6">
        <f ca="1"/>
        <v>0</v>
      </c>
      <c r="I2229" s="6">
        <f ca="1"/>
        <v>0</v>
      </c>
      <c r="J2229" s="6">
        <f ca="1"/>
        <v>0</v>
      </c>
    </row>
    <row r="2230" spans="8:10" ht="13" x14ac:dyDescent="0.15">
      <c r="H2230" s="6">
        <f ca="1"/>
        <v>0</v>
      </c>
      <c r="I2230" s="6">
        <f ca="1"/>
        <v>0</v>
      </c>
      <c r="J2230" s="6">
        <f ca="1"/>
        <v>0</v>
      </c>
    </row>
    <row r="2231" spans="8:10" ht="13" x14ac:dyDescent="0.15">
      <c r="H2231" s="6">
        <f ca="1"/>
        <v>0</v>
      </c>
      <c r="I2231" s="6">
        <f ca="1"/>
        <v>0</v>
      </c>
      <c r="J2231" s="6">
        <f ca="1"/>
        <v>0</v>
      </c>
    </row>
    <row r="2232" spans="8:10" ht="13" x14ac:dyDescent="0.15">
      <c r="H2232" s="6">
        <f ca="1"/>
        <v>0</v>
      </c>
      <c r="I2232" s="6">
        <f ca="1"/>
        <v>0</v>
      </c>
      <c r="J2232" s="6">
        <f ca="1"/>
        <v>0</v>
      </c>
    </row>
    <row r="2233" spans="8:10" ht="13" x14ac:dyDescent="0.15">
      <c r="H2233" s="6">
        <f ca="1"/>
        <v>0</v>
      </c>
      <c r="I2233" s="6">
        <f ca="1"/>
        <v>0</v>
      </c>
      <c r="J2233" s="6">
        <f ca="1"/>
        <v>0</v>
      </c>
    </row>
    <row r="2234" spans="8:10" ht="13" x14ac:dyDescent="0.15">
      <c r="H2234" s="6">
        <f ca="1"/>
        <v>0</v>
      </c>
      <c r="I2234" s="6">
        <f ca="1"/>
        <v>0</v>
      </c>
      <c r="J2234" s="6">
        <f ca="1"/>
        <v>0</v>
      </c>
    </row>
    <row r="2235" spans="8:10" ht="13" x14ac:dyDescent="0.15">
      <c r="H2235" s="6">
        <f ca="1"/>
        <v>0</v>
      </c>
      <c r="I2235" s="6">
        <f ca="1"/>
        <v>0</v>
      </c>
      <c r="J2235" s="6">
        <f ca="1"/>
        <v>0</v>
      </c>
    </row>
    <row r="2236" spans="8:10" ht="13" x14ac:dyDescent="0.15">
      <c r="H2236" s="6">
        <f ca="1"/>
        <v>0</v>
      </c>
      <c r="I2236" s="6">
        <f ca="1"/>
        <v>0</v>
      </c>
      <c r="J2236" s="6">
        <f ca="1"/>
        <v>0</v>
      </c>
    </row>
    <row r="2237" spans="8:10" ht="13" x14ac:dyDescent="0.15">
      <c r="H2237" s="6">
        <f ca="1"/>
        <v>0</v>
      </c>
      <c r="I2237" s="6">
        <f ca="1"/>
        <v>0</v>
      </c>
      <c r="J2237" s="6">
        <f ca="1"/>
        <v>0</v>
      </c>
    </row>
    <row r="2238" spans="8:10" ht="13" x14ac:dyDescent="0.15">
      <c r="H2238" s="6">
        <f ca="1"/>
        <v>0</v>
      </c>
      <c r="I2238" s="6">
        <f ca="1"/>
        <v>0</v>
      </c>
      <c r="J2238" s="6">
        <f ca="1"/>
        <v>0</v>
      </c>
    </row>
    <row r="2239" spans="8:10" ht="13" x14ac:dyDescent="0.15">
      <c r="H2239" s="6">
        <f ca="1"/>
        <v>0</v>
      </c>
      <c r="I2239" s="6">
        <f ca="1"/>
        <v>0</v>
      </c>
      <c r="J2239" s="6">
        <f ca="1"/>
        <v>0</v>
      </c>
    </row>
    <row r="2240" spans="8:10" ht="13" x14ac:dyDescent="0.15">
      <c r="H2240" s="6">
        <f ca="1"/>
        <v>0</v>
      </c>
      <c r="I2240" s="6">
        <f ca="1"/>
        <v>0</v>
      </c>
      <c r="J2240" s="6">
        <f ca="1"/>
        <v>0</v>
      </c>
    </row>
    <row r="2241" spans="8:10" ht="13" x14ac:dyDescent="0.15">
      <c r="H2241" s="6">
        <f ca="1"/>
        <v>0</v>
      </c>
      <c r="I2241" s="6">
        <f ca="1"/>
        <v>0</v>
      </c>
      <c r="J2241" s="6">
        <f ca="1"/>
        <v>0</v>
      </c>
    </row>
    <row r="2242" spans="8:10" ht="13" x14ac:dyDescent="0.15">
      <c r="H2242" s="6">
        <f ca="1"/>
        <v>0</v>
      </c>
      <c r="I2242" s="6">
        <f ca="1"/>
        <v>0</v>
      </c>
      <c r="J2242" s="6">
        <f ca="1"/>
        <v>0</v>
      </c>
    </row>
    <row r="2243" spans="8:10" ht="13" x14ac:dyDescent="0.15">
      <c r="H2243" s="6">
        <f ca="1"/>
        <v>0</v>
      </c>
      <c r="I2243" s="6">
        <f ca="1"/>
        <v>0</v>
      </c>
      <c r="J2243" s="6">
        <f ca="1"/>
        <v>0</v>
      </c>
    </row>
    <row r="2244" spans="8:10" ht="13" x14ac:dyDescent="0.15">
      <c r="H2244" s="6">
        <f ca="1"/>
        <v>0</v>
      </c>
      <c r="I2244" s="6">
        <f ca="1"/>
        <v>0</v>
      </c>
      <c r="J2244" s="6">
        <f ca="1"/>
        <v>0</v>
      </c>
    </row>
    <row r="2245" spans="8:10" ht="13" x14ac:dyDescent="0.15">
      <c r="H2245" s="6">
        <f ca="1"/>
        <v>0</v>
      </c>
      <c r="I2245" s="6">
        <f ca="1"/>
        <v>0</v>
      </c>
      <c r="J2245" s="6">
        <f ca="1"/>
        <v>0</v>
      </c>
    </row>
    <row r="2246" spans="8:10" ht="13" x14ac:dyDescent="0.15">
      <c r="H2246" s="6">
        <f ca="1"/>
        <v>0</v>
      </c>
      <c r="I2246" s="6">
        <f ca="1"/>
        <v>0</v>
      </c>
      <c r="J2246" s="6">
        <f ca="1"/>
        <v>0</v>
      </c>
    </row>
    <row r="2247" spans="8:10" ht="13" x14ac:dyDescent="0.15">
      <c r="H2247" s="6">
        <f ca="1"/>
        <v>0</v>
      </c>
      <c r="I2247" s="6">
        <f ca="1"/>
        <v>0</v>
      </c>
      <c r="J2247" s="6">
        <f ca="1"/>
        <v>0</v>
      </c>
    </row>
    <row r="2248" spans="8:10" ht="13" x14ac:dyDescent="0.15">
      <c r="H2248" s="6">
        <f ca="1"/>
        <v>0</v>
      </c>
      <c r="I2248" s="6">
        <f ca="1"/>
        <v>0</v>
      </c>
      <c r="J2248" s="6">
        <f ca="1"/>
        <v>0</v>
      </c>
    </row>
    <row r="2249" spans="8:10" ht="13" x14ac:dyDescent="0.15">
      <c r="H2249" s="6">
        <f ca="1"/>
        <v>0</v>
      </c>
      <c r="I2249" s="6">
        <f ca="1"/>
        <v>0</v>
      </c>
      <c r="J2249" s="6">
        <f ca="1"/>
        <v>0</v>
      </c>
    </row>
    <row r="2250" spans="8:10" ht="13" x14ac:dyDescent="0.15">
      <c r="H2250" s="6">
        <f ca="1"/>
        <v>0</v>
      </c>
      <c r="I2250" s="6">
        <f ca="1"/>
        <v>0</v>
      </c>
      <c r="J2250" s="6">
        <f ca="1"/>
        <v>0</v>
      </c>
    </row>
    <row r="2251" spans="8:10" ht="13" x14ac:dyDescent="0.15">
      <c r="H2251" s="6">
        <f ca="1"/>
        <v>0</v>
      </c>
      <c r="I2251" s="6">
        <f ca="1"/>
        <v>0</v>
      </c>
      <c r="J2251" s="6">
        <f ca="1"/>
        <v>0</v>
      </c>
    </row>
    <row r="2252" spans="8:10" ht="13" x14ac:dyDescent="0.15">
      <c r="H2252" s="6">
        <f ca="1"/>
        <v>0</v>
      </c>
      <c r="I2252" s="6">
        <f ca="1"/>
        <v>0</v>
      </c>
      <c r="J2252" s="6">
        <f ca="1"/>
        <v>0</v>
      </c>
    </row>
    <row r="2253" spans="8:10" ht="13" x14ac:dyDescent="0.15">
      <c r="H2253" s="6">
        <f ca="1"/>
        <v>0</v>
      </c>
      <c r="I2253" s="6">
        <f ca="1"/>
        <v>0</v>
      </c>
      <c r="J2253" s="6">
        <f ca="1"/>
        <v>0</v>
      </c>
    </row>
    <row r="2254" spans="8:10" ht="13" x14ac:dyDescent="0.15">
      <c r="H2254" s="6">
        <f ca="1"/>
        <v>0</v>
      </c>
      <c r="I2254" s="6">
        <f ca="1"/>
        <v>0</v>
      </c>
      <c r="J2254" s="6">
        <f ca="1"/>
        <v>0</v>
      </c>
    </row>
    <row r="2255" spans="8:10" ht="13" x14ac:dyDescent="0.15">
      <c r="H2255" s="6">
        <f ca="1"/>
        <v>0</v>
      </c>
      <c r="I2255" s="6">
        <f ca="1"/>
        <v>0</v>
      </c>
      <c r="J2255" s="6">
        <f ca="1"/>
        <v>0</v>
      </c>
    </row>
    <row r="2256" spans="8:10" ht="13" x14ac:dyDescent="0.15">
      <c r="H2256" s="6">
        <f ca="1"/>
        <v>0</v>
      </c>
      <c r="I2256" s="6">
        <f ca="1"/>
        <v>0</v>
      </c>
      <c r="J2256" s="6">
        <f ca="1"/>
        <v>0</v>
      </c>
    </row>
    <row r="2257" spans="8:10" ht="13" x14ac:dyDescent="0.15">
      <c r="H2257" s="6">
        <f ca="1"/>
        <v>0</v>
      </c>
      <c r="I2257" s="6">
        <f ca="1"/>
        <v>0</v>
      </c>
      <c r="J2257" s="6">
        <f ca="1"/>
        <v>0</v>
      </c>
    </row>
    <row r="2258" spans="8:10" ht="13" x14ac:dyDescent="0.15">
      <c r="H2258" s="6">
        <f ca="1"/>
        <v>0</v>
      </c>
      <c r="I2258" s="6">
        <f ca="1"/>
        <v>0</v>
      </c>
      <c r="J2258" s="6">
        <f ca="1"/>
        <v>0</v>
      </c>
    </row>
    <row r="2259" spans="8:10" ht="13" x14ac:dyDescent="0.15">
      <c r="H2259" s="6">
        <f ca="1"/>
        <v>0</v>
      </c>
      <c r="I2259" s="6">
        <f ca="1"/>
        <v>0</v>
      </c>
      <c r="J2259" s="6">
        <f ca="1"/>
        <v>0</v>
      </c>
    </row>
    <row r="2260" spans="8:10" ht="13" x14ac:dyDescent="0.15">
      <c r="H2260" s="6">
        <f ca="1"/>
        <v>0</v>
      </c>
      <c r="I2260" s="6">
        <f ca="1"/>
        <v>0</v>
      </c>
      <c r="J2260" s="6">
        <f ca="1"/>
        <v>0</v>
      </c>
    </row>
    <row r="2261" spans="8:10" ht="13" x14ac:dyDescent="0.15">
      <c r="H2261" s="6">
        <f ca="1"/>
        <v>0</v>
      </c>
      <c r="I2261" s="6">
        <f ca="1"/>
        <v>0</v>
      </c>
      <c r="J2261" s="6">
        <f ca="1"/>
        <v>0</v>
      </c>
    </row>
    <row r="2262" spans="8:10" ht="13" x14ac:dyDescent="0.15">
      <c r="H2262" s="6">
        <f ca="1"/>
        <v>0</v>
      </c>
      <c r="I2262" s="6">
        <f ca="1"/>
        <v>0</v>
      </c>
      <c r="J2262" s="6">
        <f ca="1"/>
        <v>0</v>
      </c>
    </row>
    <row r="2263" spans="8:10" ht="13" x14ac:dyDescent="0.15">
      <c r="H2263" s="6">
        <f ca="1"/>
        <v>0</v>
      </c>
      <c r="I2263" s="6">
        <f ca="1"/>
        <v>0</v>
      </c>
      <c r="J2263" s="6">
        <f ca="1"/>
        <v>0</v>
      </c>
    </row>
    <row r="2264" spans="8:10" ht="13" x14ac:dyDescent="0.15">
      <c r="H2264" s="6">
        <f ca="1"/>
        <v>0</v>
      </c>
      <c r="I2264" s="6">
        <f ca="1"/>
        <v>0</v>
      </c>
      <c r="J2264" s="6">
        <f ca="1"/>
        <v>0</v>
      </c>
    </row>
    <row r="2265" spans="8:10" ht="13" x14ac:dyDescent="0.15">
      <c r="H2265" s="6">
        <f ca="1"/>
        <v>0</v>
      </c>
      <c r="I2265" s="6">
        <f ca="1"/>
        <v>0</v>
      </c>
      <c r="J2265" s="6">
        <f ca="1"/>
        <v>0</v>
      </c>
    </row>
    <row r="2266" spans="8:10" ht="13" x14ac:dyDescent="0.15">
      <c r="H2266" s="6">
        <f ca="1"/>
        <v>0</v>
      </c>
      <c r="I2266" s="6">
        <f ca="1"/>
        <v>0</v>
      </c>
      <c r="J2266" s="6">
        <f ca="1"/>
        <v>0</v>
      </c>
    </row>
    <row r="2267" spans="8:10" ht="13" x14ac:dyDescent="0.15">
      <c r="H2267" s="6">
        <f ca="1"/>
        <v>0</v>
      </c>
      <c r="I2267" s="6">
        <f ca="1"/>
        <v>0</v>
      </c>
      <c r="J2267" s="6">
        <f ca="1"/>
        <v>0</v>
      </c>
    </row>
    <row r="2268" spans="8:10" ht="13" x14ac:dyDescent="0.15">
      <c r="H2268" s="6">
        <f ca="1"/>
        <v>0</v>
      </c>
      <c r="I2268" s="6">
        <f ca="1"/>
        <v>0</v>
      </c>
      <c r="J2268" s="6">
        <f ca="1"/>
        <v>0</v>
      </c>
    </row>
    <row r="2269" spans="8:10" ht="13" x14ac:dyDescent="0.15">
      <c r="H2269" s="6">
        <f ca="1"/>
        <v>0</v>
      </c>
      <c r="I2269" s="6">
        <f ca="1"/>
        <v>0</v>
      </c>
      <c r="J2269" s="6">
        <f ca="1"/>
        <v>0</v>
      </c>
    </row>
    <row r="2270" spans="8:10" ht="13" x14ac:dyDescent="0.15">
      <c r="H2270" s="6">
        <f ca="1"/>
        <v>0</v>
      </c>
      <c r="I2270" s="6">
        <f ca="1"/>
        <v>0</v>
      </c>
      <c r="J2270" s="6">
        <f ca="1"/>
        <v>0</v>
      </c>
    </row>
    <row r="2271" spans="8:10" ht="13" x14ac:dyDescent="0.15">
      <c r="H2271" s="6">
        <f ca="1"/>
        <v>0</v>
      </c>
      <c r="I2271" s="6">
        <f ca="1"/>
        <v>0</v>
      </c>
      <c r="J2271" s="6">
        <f ca="1"/>
        <v>0</v>
      </c>
    </row>
    <row r="2272" spans="8:10" ht="13" x14ac:dyDescent="0.15">
      <c r="H2272" s="6">
        <f ca="1"/>
        <v>0</v>
      </c>
      <c r="I2272" s="6">
        <f ca="1"/>
        <v>0</v>
      </c>
      <c r="J2272" s="6">
        <f ca="1"/>
        <v>0</v>
      </c>
    </row>
    <row r="2273" spans="8:10" ht="13" x14ac:dyDescent="0.15">
      <c r="H2273" s="6">
        <f ca="1"/>
        <v>0</v>
      </c>
      <c r="I2273" s="6">
        <f ca="1"/>
        <v>0</v>
      </c>
      <c r="J2273" s="6">
        <f ca="1"/>
        <v>0</v>
      </c>
    </row>
    <row r="2274" spans="8:10" ht="13" x14ac:dyDescent="0.15">
      <c r="H2274" s="6">
        <f ca="1"/>
        <v>0</v>
      </c>
      <c r="I2274" s="6">
        <f ca="1"/>
        <v>0</v>
      </c>
      <c r="J2274" s="6">
        <f ca="1"/>
        <v>0</v>
      </c>
    </row>
    <row r="2275" spans="8:10" ht="13" x14ac:dyDescent="0.15">
      <c r="H2275" s="6">
        <f ca="1"/>
        <v>0</v>
      </c>
      <c r="I2275" s="6">
        <f ca="1"/>
        <v>0</v>
      </c>
      <c r="J2275" s="6">
        <f ca="1"/>
        <v>0</v>
      </c>
    </row>
    <row r="2276" spans="8:10" ht="13" x14ac:dyDescent="0.15">
      <c r="H2276" s="6">
        <f ca="1"/>
        <v>0</v>
      </c>
      <c r="I2276" s="6">
        <f ca="1"/>
        <v>0</v>
      </c>
      <c r="J2276" s="6">
        <f ca="1"/>
        <v>0</v>
      </c>
    </row>
    <row r="2277" spans="8:10" ht="13" x14ac:dyDescent="0.15">
      <c r="H2277" s="6">
        <f ca="1"/>
        <v>0</v>
      </c>
      <c r="I2277" s="6">
        <f ca="1"/>
        <v>0</v>
      </c>
      <c r="J2277" s="6">
        <f ca="1"/>
        <v>0</v>
      </c>
    </row>
    <row r="2278" spans="8:10" ht="13" x14ac:dyDescent="0.15">
      <c r="H2278" s="6">
        <f ca="1"/>
        <v>0</v>
      </c>
      <c r="I2278" s="6">
        <f ca="1"/>
        <v>0</v>
      </c>
      <c r="J2278" s="6">
        <f ca="1"/>
        <v>0</v>
      </c>
    </row>
    <row r="2279" spans="8:10" ht="13" x14ac:dyDescent="0.15">
      <c r="H2279" s="6">
        <f ca="1"/>
        <v>0</v>
      </c>
      <c r="I2279" s="6">
        <f ca="1"/>
        <v>0</v>
      </c>
      <c r="J2279" s="6">
        <f ca="1"/>
        <v>0</v>
      </c>
    </row>
    <row r="2280" spans="8:10" ht="13" x14ac:dyDescent="0.15">
      <c r="H2280" s="6">
        <f ca="1"/>
        <v>0</v>
      </c>
      <c r="I2280" s="6">
        <f ca="1"/>
        <v>0</v>
      </c>
      <c r="J2280" s="6">
        <f ca="1"/>
        <v>0</v>
      </c>
    </row>
    <row r="2281" spans="8:10" ht="13" x14ac:dyDescent="0.15">
      <c r="H2281" s="6">
        <f ca="1"/>
        <v>0</v>
      </c>
      <c r="I2281" s="6">
        <f ca="1"/>
        <v>0</v>
      </c>
      <c r="J2281" s="6">
        <f ca="1"/>
        <v>0</v>
      </c>
    </row>
    <row r="2282" spans="8:10" ht="13" x14ac:dyDescent="0.15">
      <c r="H2282" s="6">
        <f ca="1"/>
        <v>0</v>
      </c>
      <c r="I2282" s="6">
        <f ca="1"/>
        <v>0</v>
      </c>
      <c r="J2282" s="6">
        <f ca="1"/>
        <v>0</v>
      </c>
    </row>
    <row r="2283" spans="8:10" ht="13" x14ac:dyDescent="0.15">
      <c r="H2283" s="6">
        <f ca="1"/>
        <v>0</v>
      </c>
      <c r="I2283" s="6">
        <f ca="1"/>
        <v>0</v>
      </c>
      <c r="J2283" s="6">
        <f ca="1"/>
        <v>0</v>
      </c>
    </row>
    <row r="2284" spans="8:10" ht="13" x14ac:dyDescent="0.15">
      <c r="H2284" s="6">
        <f ca="1"/>
        <v>0</v>
      </c>
      <c r="I2284" s="6">
        <f ca="1"/>
        <v>0</v>
      </c>
      <c r="J2284" s="6">
        <f ca="1"/>
        <v>0</v>
      </c>
    </row>
    <row r="2285" spans="8:10" ht="13" x14ac:dyDescent="0.15">
      <c r="H2285" s="6">
        <f ca="1"/>
        <v>0</v>
      </c>
      <c r="I2285" s="6">
        <f ca="1"/>
        <v>0</v>
      </c>
      <c r="J2285" s="6">
        <f ca="1"/>
        <v>0</v>
      </c>
    </row>
    <row r="2286" spans="8:10" ht="13" x14ac:dyDescent="0.15">
      <c r="H2286" s="6">
        <f ca="1"/>
        <v>0</v>
      </c>
      <c r="I2286" s="6">
        <f ca="1"/>
        <v>0</v>
      </c>
      <c r="J2286" s="6">
        <f ca="1"/>
        <v>0</v>
      </c>
    </row>
    <row r="2287" spans="8:10" ht="13" x14ac:dyDescent="0.15">
      <c r="H2287" s="6">
        <f ca="1"/>
        <v>0</v>
      </c>
      <c r="I2287" s="6">
        <f ca="1"/>
        <v>0</v>
      </c>
      <c r="J2287" s="6">
        <f ca="1"/>
        <v>0</v>
      </c>
    </row>
    <row r="2288" spans="8:10" ht="13" x14ac:dyDescent="0.15">
      <c r="H2288" s="6">
        <f ca="1"/>
        <v>0</v>
      </c>
      <c r="I2288" s="6">
        <f ca="1"/>
        <v>0</v>
      </c>
      <c r="J2288" s="6">
        <f ca="1"/>
        <v>0</v>
      </c>
    </row>
    <row r="2289" spans="8:10" ht="13" x14ac:dyDescent="0.15">
      <c r="H2289" s="6">
        <f ca="1"/>
        <v>0</v>
      </c>
      <c r="I2289" s="6">
        <f ca="1"/>
        <v>0</v>
      </c>
      <c r="J2289" s="6">
        <f ca="1"/>
        <v>0</v>
      </c>
    </row>
    <row r="2290" spans="8:10" ht="13" x14ac:dyDescent="0.15">
      <c r="H2290" s="6">
        <f ca="1"/>
        <v>0</v>
      </c>
      <c r="I2290" s="6">
        <f ca="1"/>
        <v>0</v>
      </c>
      <c r="J2290" s="6">
        <f ca="1"/>
        <v>0</v>
      </c>
    </row>
    <row r="2291" spans="8:10" ht="13" x14ac:dyDescent="0.15">
      <c r="H2291" s="6">
        <f ca="1"/>
        <v>0</v>
      </c>
      <c r="I2291" s="6">
        <f ca="1"/>
        <v>0</v>
      </c>
      <c r="J2291" s="6">
        <f ca="1"/>
        <v>0</v>
      </c>
    </row>
    <row r="2292" spans="8:10" ht="13" x14ac:dyDescent="0.15">
      <c r="H2292" s="6">
        <f ca="1"/>
        <v>0</v>
      </c>
      <c r="I2292" s="6">
        <f ca="1"/>
        <v>0</v>
      </c>
      <c r="J2292" s="6">
        <f ca="1"/>
        <v>0</v>
      </c>
    </row>
    <row r="2293" spans="8:10" ht="13" x14ac:dyDescent="0.15">
      <c r="H2293" s="6">
        <f ca="1"/>
        <v>0</v>
      </c>
      <c r="I2293" s="6">
        <f ca="1"/>
        <v>0</v>
      </c>
      <c r="J2293" s="6">
        <f ca="1"/>
        <v>0</v>
      </c>
    </row>
    <row r="2294" spans="8:10" ht="13" x14ac:dyDescent="0.15">
      <c r="H2294" s="6">
        <f ca="1"/>
        <v>0</v>
      </c>
      <c r="I2294" s="6">
        <f ca="1"/>
        <v>0</v>
      </c>
      <c r="J2294" s="6">
        <f ca="1"/>
        <v>0</v>
      </c>
    </row>
    <row r="2295" spans="8:10" ht="13" x14ac:dyDescent="0.15">
      <c r="H2295" s="6">
        <f ca="1"/>
        <v>0</v>
      </c>
      <c r="I2295" s="6">
        <f ca="1"/>
        <v>0</v>
      </c>
      <c r="J2295" s="6">
        <f ca="1"/>
        <v>0</v>
      </c>
    </row>
    <row r="2296" spans="8:10" ht="13" x14ac:dyDescent="0.15">
      <c r="H2296" s="6">
        <f ca="1"/>
        <v>0</v>
      </c>
      <c r="I2296" s="6">
        <f ca="1"/>
        <v>0</v>
      </c>
      <c r="J2296" s="6">
        <f ca="1"/>
        <v>0</v>
      </c>
    </row>
    <row r="2297" spans="8:10" ht="13" x14ac:dyDescent="0.15">
      <c r="H2297" s="6">
        <f ca="1"/>
        <v>0</v>
      </c>
      <c r="I2297" s="6">
        <f ca="1"/>
        <v>0</v>
      </c>
      <c r="J2297" s="6">
        <f ca="1"/>
        <v>0</v>
      </c>
    </row>
    <row r="2298" spans="8:10" ht="13" x14ac:dyDescent="0.15">
      <c r="H2298" s="6">
        <f ca="1"/>
        <v>0</v>
      </c>
      <c r="I2298" s="6">
        <f ca="1"/>
        <v>0</v>
      </c>
      <c r="J2298" s="6">
        <f ca="1"/>
        <v>0</v>
      </c>
    </row>
    <row r="2299" spans="8:10" ht="13" x14ac:dyDescent="0.15">
      <c r="H2299" s="6">
        <f ca="1"/>
        <v>0</v>
      </c>
      <c r="I2299" s="6">
        <f ca="1"/>
        <v>0</v>
      </c>
      <c r="J2299" s="6">
        <f ca="1"/>
        <v>0</v>
      </c>
    </row>
    <row r="2300" spans="8:10" ht="13" x14ac:dyDescent="0.15">
      <c r="H2300" s="6">
        <f ca="1"/>
        <v>0</v>
      </c>
      <c r="I2300" s="6">
        <f ca="1"/>
        <v>0</v>
      </c>
      <c r="J2300" s="6">
        <f ca="1"/>
        <v>0</v>
      </c>
    </row>
    <row r="2301" spans="8:10" ht="13" x14ac:dyDescent="0.15">
      <c r="H2301" s="6">
        <f ca="1"/>
        <v>0</v>
      </c>
      <c r="I2301" s="6">
        <f ca="1"/>
        <v>0</v>
      </c>
      <c r="J2301" s="6">
        <f ca="1"/>
        <v>0</v>
      </c>
    </row>
    <row r="2302" spans="8:10" ht="13" x14ac:dyDescent="0.15">
      <c r="H2302" s="6">
        <f ca="1"/>
        <v>0</v>
      </c>
      <c r="I2302" s="6">
        <f ca="1"/>
        <v>0</v>
      </c>
      <c r="J2302" s="6">
        <f ca="1"/>
        <v>0</v>
      </c>
    </row>
    <row r="2303" spans="8:10" ht="13" x14ac:dyDescent="0.15">
      <c r="H2303" s="6">
        <f ca="1"/>
        <v>0</v>
      </c>
      <c r="I2303" s="6">
        <f ca="1"/>
        <v>0</v>
      </c>
      <c r="J2303" s="6">
        <f ca="1"/>
        <v>0</v>
      </c>
    </row>
    <row r="2304" spans="8:10" ht="13" x14ac:dyDescent="0.15">
      <c r="H2304" s="6">
        <f ca="1"/>
        <v>0</v>
      </c>
      <c r="I2304" s="6">
        <f ca="1"/>
        <v>0</v>
      </c>
      <c r="J2304" s="6">
        <f ca="1"/>
        <v>0</v>
      </c>
    </row>
    <row r="2305" spans="8:10" ht="13" x14ac:dyDescent="0.15">
      <c r="H2305" s="6">
        <f ca="1"/>
        <v>0</v>
      </c>
      <c r="I2305" s="6">
        <f ca="1"/>
        <v>0</v>
      </c>
      <c r="J2305" s="6">
        <f ca="1"/>
        <v>0</v>
      </c>
    </row>
    <row r="2306" spans="8:10" ht="13" x14ac:dyDescent="0.15">
      <c r="H2306" s="6">
        <f ca="1"/>
        <v>0</v>
      </c>
      <c r="I2306" s="6">
        <f ca="1"/>
        <v>0</v>
      </c>
      <c r="J2306" s="6">
        <f ca="1"/>
        <v>0</v>
      </c>
    </row>
    <row r="2307" spans="8:10" ht="13" x14ac:dyDescent="0.15">
      <c r="H2307" s="6">
        <f ca="1"/>
        <v>0</v>
      </c>
      <c r="I2307" s="6">
        <f ca="1"/>
        <v>0</v>
      </c>
      <c r="J2307" s="6">
        <f ca="1"/>
        <v>0</v>
      </c>
    </row>
    <row r="2308" spans="8:10" ht="13" x14ac:dyDescent="0.15">
      <c r="H2308" s="6">
        <f ca="1"/>
        <v>0</v>
      </c>
      <c r="I2308" s="6">
        <f ca="1"/>
        <v>0</v>
      </c>
      <c r="J2308" s="6">
        <f ca="1"/>
        <v>0</v>
      </c>
    </row>
    <row r="2309" spans="8:10" ht="13" x14ac:dyDescent="0.15">
      <c r="H2309" s="6">
        <f ca="1"/>
        <v>0</v>
      </c>
      <c r="I2309" s="6">
        <f ca="1"/>
        <v>0</v>
      </c>
      <c r="J2309" s="6">
        <f ca="1"/>
        <v>0</v>
      </c>
    </row>
    <row r="2310" spans="8:10" ht="13" x14ac:dyDescent="0.15">
      <c r="H2310" s="6">
        <f ca="1"/>
        <v>0</v>
      </c>
      <c r="I2310" s="6">
        <f ca="1"/>
        <v>0</v>
      </c>
      <c r="J2310" s="6">
        <f ca="1"/>
        <v>0</v>
      </c>
    </row>
    <row r="2311" spans="8:10" ht="13" x14ac:dyDescent="0.15">
      <c r="H2311" s="6">
        <f ca="1"/>
        <v>0</v>
      </c>
      <c r="I2311" s="6">
        <f ca="1"/>
        <v>0</v>
      </c>
      <c r="J2311" s="6">
        <f ca="1"/>
        <v>0</v>
      </c>
    </row>
    <row r="2312" spans="8:10" ht="13" x14ac:dyDescent="0.15">
      <c r="H2312" s="6">
        <f ca="1"/>
        <v>0</v>
      </c>
      <c r="I2312" s="6">
        <f ca="1"/>
        <v>0</v>
      </c>
      <c r="J2312" s="6">
        <f ca="1"/>
        <v>0</v>
      </c>
    </row>
    <row r="2313" spans="8:10" ht="13" x14ac:dyDescent="0.15">
      <c r="H2313" s="6">
        <f ca="1"/>
        <v>0</v>
      </c>
      <c r="I2313" s="6">
        <f ca="1"/>
        <v>0</v>
      </c>
      <c r="J2313" s="6">
        <f ca="1"/>
        <v>0</v>
      </c>
    </row>
    <row r="2314" spans="8:10" ht="13" x14ac:dyDescent="0.15">
      <c r="H2314" s="6">
        <f ca="1"/>
        <v>0</v>
      </c>
      <c r="I2314" s="6">
        <f ca="1"/>
        <v>0</v>
      </c>
      <c r="J2314" s="6">
        <f ca="1"/>
        <v>0</v>
      </c>
    </row>
    <row r="2315" spans="8:10" ht="13" x14ac:dyDescent="0.15">
      <c r="H2315" s="6">
        <f ca="1"/>
        <v>0</v>
      </c>
      <c r="I2315" s="6">
        <f ca="1"/>
        <v>0</v>
      </c>
      <c r="J2315" s="6">
        <f ca="1"/>
        <v>0</v>
      </c>
    </row>
    <row r="2316" spans="8:10" ht="13" x14ac:dyDescent="0.15">
      <c r="H2316" s="6">
        <f ca="1"/>
        <v>0</v>
      </c>
      <c r="I2316" s="6">
        <f ca="1"/>
        <v>0</v>
      </c>
      <c r="J2316" s="6">
        <f ca="1"/>
        <v>0</v>
      </c>
    </row>
    <row r="2317" spans="8:10" ht="13" x14ac:dyDescent="0.15">
      <c r="H2317" s="6">
        <f ca="1"/>
        <v>0</v>
      </c>
      <c r="I2317" s="6">
        <f ca="1"/>
        <v>0</v>
      </c>
      <c r="J2317" s="6">
        <f ca="1"/>
        <v>0</v>
      </c>
    </row>
    <row r="2318" spans="8:10" ht="13" x14ac:dyDescent="0.15">
      <c r="H2318" s="6">
        <f ca="1"/>
        <v>0</v>
      </c>
      <c r="I2318" s="6">
        <f ca="1"/>
        <v>0</v>
      </c>
      <c r="J2318" s="6">
        <f ca="1"/>
        <v>0</v>
      </c>
    </row>
    <row r="2319" spans="8:10" ht="13" x14ac:dyDescent="0.15">
      <c r="H2319" s="6">
        <f ca="1"/>
        <v>0</v>
      </c>
      <c r="I2319" s="6">
        <f ca="1"/>
        <v>0</v>
      </c>
      <c r="J2319" s="6">
        <f ca="1"/>
        <v>0</v>
      </c>
    </row>
    <row r="2320" spans="8:10" ht="13" x14ac:dyDescent="0.15">
      <c r="H2320" s="6">
        <f ca="1"/>
        <v>0</v>
      </c>
      <c r="I2320" s="6">
        <f ca="1"/>
        <v>0</v>
      </c>
      <c r="J2320" s="6">
        <f ca="1"/>
        <v>0</v>
      </c>
    </row>
    <row r="2321" spans="8:10" ht="13" x14ac:dyDescent="0.15">
      <c r="H2321" s="6">
        <f ca="1"/>
        <v>0</v>
      </c>
      <c r="I2321" s="6">
        <f ca="1"/>
        <v>0</v>
      </c>
      <c r="J2321" s="6">
        <f ca="1"/>
        <v>0</v>
      </c>
    </row>
    <row r="2322" spans="8:10" ht="13" x14ac:dyDescent="0.15">
      <c r="H2322" s="6">
        <f ca="1"/>
        <v>0</v>
      </c>
      <c r="I2322" s="6">
        <f ca="1"/>
        <v>0</v>
      </c>
      <c r="J2322" s="6">
        <f ca="1"/>
        <v>0</v>
      </c>
    </row>
    <row r="2323" spans="8:10" ht="13" x14ac:dyDescent="0.15">
      <c r="H2323" s="6">
        <f ca="1"/>
        <v>0</v>
      </c>
      <c r="I2323" s="6">
        <f ca="1"/>
        <v>0</v>
      </c>
      <c r="J2323" s="6">
        <f ca="1"/>
        <v>0</v>
      </c>
    </row>
    <row r="2324" spans="8:10" ht="13" x14ac:dyDescent="0.15">
      <c r="H2324" s="6">
        <f ca="1"/>
        <v>0</v>
      </c>
      <c r="I2324" s="6">
        <f ca="1"/>
        <v>0</v>
      </c>
      <c r="J2324" s="6">
        <f ca="1"/>
        <v>0</v>
      </c>
    </row>
    <row r="2325" spans="8:10" ht="13" x14ac:dyDescent="0.15">
      <c r="H2325" s="6">
        <f ca="1"/>
        <v>0</v>
      </c>
      <c r="I2325" s="6">
        <f ca="1"/>
        <v>0</v>
      </c>
      <c r="J2325" s="6">
        <f ca="1"/>
        <v>0</v>
      </c>
    </row>
    <row r="2326" spans="8:10" ht="13" x14ac:dyDescent="0.15">
      <c r="H2326" s="6">
        <f ca="1"/>
        <v>0</v>
      </c>
      <c r="I2326" s="6">
        <f ca="1"/>
        <v>0</v>
      </c>
      <c r="J2326" s="6">
        <f ca="1"/>
        <v>0</v>
      </c>
    </row>
    <row r="2327" spans="8:10" ht="13" x14ac:dyDescent="0.15">
      <c r="H2327" s="6">
        <f ca="1"/>
        <v>0</v>
      </c>
      <c r="I2327" s="6">
        <f ca="1"/>
        <v>0</v>
      </c>
      <c r="J2327" s="6">
        <f ca="1"/>
        <v>0</v>
      </c>
    </row>
    <row r="2328" spans="8:10" ht="13" x14ac:dyDescent="0.15">
      <c r="H2328" s="6">
        <f ca="1"/>
        <v>0</v>
      </c>
      <c r="I2328" s="6">
        <f ca="1"/>
        <v>0</v>
      </c>
      <c r="J2328" s="6">
        <f ca="1"/>
        <v>0</v>
      </c>
    </row>
    <row r="2329" spans="8:10" ht="13" x14ac:dyDescent="0.15">
      <c r="H2329" s="6">
        <f ca="1"/>
        <v>0</v>
      </c>
      <c r="I2329" s="6">
        <f ca="1"/>
        <v>0</v>
      </c>
      <c r="J2329" s="6">
        <f ca="1"/>
        <v>0</v>
      </c>
    </row>
    <row r="2330" spans="8:10" ht="13" x14ac:dyDescent="0.15">
      <c r="H2330" s="6">
        <f ca="1"/>
        <v>0</v>
      </c>
      <c r="I2330" s="6">
        <f ca="1"/>
        <v>0</v>
      </c>
      <c r="J2330" s="6">
        <f ca="1"/>
        <v>0</v>
      </c>
    </row>
    <row r="2331" spans="8:10" ht="13" x14ac:dyDescent="0.15">
      <c r="H2331" s="6">
        <f ca="1"/>
        <v>0</v>
      </c>
      <c r="I2331" s="6">
        <f ca="1"/>
        <v>0</v>
      </c>
      <c r="J2331" s="6">
        <f ca="1"/>
        <v>0</v>
      </c>
    </row>
    <row r="2332" spans="8:10" ht="13" x14ac:dyDescent="0.15">
      <c r="H2332" s="6">
        <f ca="1"/>
        <v>0</v>
      </c>
      <c r="I2332" s="6">
        <f ca="1"/>
        <v>0</v>
      </c>
      <c r="J2332" s="6">
        <f ca="1"/>
        <v>0</v>
      </c>
    </row>
    <row r="2333" spans="8:10" ht="13" x14ac:dyDescent="0.15">
      <c r="H2333" s="6">
        <f ca="1"/>
        <v>0</v>
      </c>
      <c r="I2333" s="6">
        <f ca="1"/>
        <v>0</v>
      </c>
      <c r="J2333" s="6">
        <f ca="1"/>
        <v>0</v>
      </c>
    </row>
    <row r="2334" spans="8:10" ht="13" x14ac:dyDescent="0.15">
      <c r="H2334" s="6">
        <f ca="1"/>
        <v>0</v>
      </c>
      <c r="I2334" s="6">
        <f ca="1"/>
        <v>0</v>
      </c>
      <c r="J2334" s="6">
        <f ca="1"/>
        <v>0</v>
      </c>
    </row>
    <row r="2335" spans="8:10" ht="13" x14ac:dyDescent="0.15">
      <c r="H2335" s="6">
        <f ca="1"/>
        <v>0</v>
      </c>
      <c r="I2335" s="6">
        <f ca="1"/>
        <v>0</v>
      </c>
      <c r="J2335" s="6">
        <f ca="1"/>
        <v>0</v>
      </c>
    </row>
    <row r="2336" spans="8:10" ht="13" x14ac:dyDescent="0.15">
      <c r="H2336" s="6">
        <f ca="1"/>
        <v>0</v>
      </c>
      <c r="I2336" s="6">
        <f ca="1"/>
        <v>0</v>
      </c>
      <c r="J2336" s="6">
        <f ca="1"/>
        <v>0</v>
      </c>
    </row>
    <row r="2337" spans="8:10" ht="13" x14ac:dyDescent="0.15">
      <c r="H2337" s="6">
        <f ca="1"/>
        <v>0</v>
      </c>
      <c r="I2337" s="6">
        <f ca="1"/>
        <v>0</v>
      </c>
      <c r="J2337" s="6">
        <f ca="1"/>
        <v>0</v>
      </c>
    </row>
    <row r="2338" spans="8:10" ht="13" x14ac:dyDescent="0.15">
      <c r="H2338" s="6">
        <f ca="1"/>
        <v>0</v>
      </c>
      <c r="I2338" s="6">
        <f ca="1"/>
        <v>0</v>
      </c>
      <c r="J2338" s="6">
        <f ca="1"/>
        <v>0</v>
      </c>
    </row>
    <row r="2339" spans="8:10" ht="13" x14ac:dyDescent="0.15">
      <c r="H2339" s="6">
        <f ca="1"/>
        <v>0</v>
      </c>
      <c r="I2339" s="6">
        <f ca="1"/>
        <v>0</v>
      </c>
      <c r="J2339" s="6">
        <f ca="1"/>
        <v>0</v>
      </c>
    </row>
    <row r="2340" spans="8:10" ht="13" x14ac:dyDescent="0.15">
      <c r="H2340" s="6">
        <f ca="1"/>
        <v>0</v>
      </c>
      <c r="I2340" s="6">
        <f ca="1"/>
        <v>0</v>
      </c>
      <c r="J2340" s="6">
        <f ca="1"/>
        <v>0</v>
      </c>
    </row>
    <row r="2341" spans="8:10" ht="13" x14ac:dyDescent="0.15">
      <c r="H2341" s="6">
        <f ca="1"/>
        <v>0</v>
      </c>
      <c r="I2341" s="6">
        <f ca="1"/>
        <v>0</v>
      </c>
      <c r="J2341" s="6">
        <f ca="1"/>
        <v>0</v>
      </c>
    </row>
    <row r="2342" spans="8:10" ht="13" x14ac:dyDescent="0.15">
      <c r="H2342" s="6">
        <f ca="1"/>
        <v>0</v>
      </c>
      <c r="I2342" s="6">
        <f ca="1"/>
        <v>0</v>
      </c>
      <c r="J2342" s="6">
        <f ca="1"/>
        <v>0</v>
      </c>
    </row>
    <row r="2343" spans="8:10" ht="13" x14ac:dyDescent="0.15">
      <c r="H2343" s="6">
        <f ca="1"/>
        <v>0</v>
      </c>
      <c r="I2343" s="6">
        <f ca="1"/>
        <v>0</v>
      </c>
      <c r="J2343" s="6">
        <f ca="1"/>
        <v>0</v>
      </c>
    </row>
    <row r="2344" spans="8:10" ht="13" x14ac:dyDescent="0.15">
      <c r="H2344" s="6">
        <f ca="1"/>
        <v>0</v>
      </c>
      <c r="I2344" s="6">
        <f ca="1"/>
        <v>0</v>
      </c>
      <c r="J2344" s="6">
        <f ca="1"/>
        <v>0</v>
      </c>
    </row>
    <row r="2345" spans="8:10" ht="13" x14ac:dyDescent="0.15">
      <c r="H2345" s="6">
        <f ca="1"/>
        <v>0</v>
      </c>
      <c r="I2345" s="6">
        <f ca="1"/>
        <v>0</v>
      </c>
      <c r="J2345" s="6">
        <f ca="1"/>
        <v>0</v>
      </c>
    </row>
    <row r="2346" spans="8:10" ht="13" x14ac:dyDescent="0.15">
      <c r="H2346" s="6">
        <f ca="1"/>
        <v>0</v>
      </c>
      <c r="I2346" s="6">
        <f ca="1"/>
        <v>0</v>
      </c>
      <c r="J2346" s="6">
        <f ca="1"/>
        <v>0</v>
      </c>
    </row>
    <row r="2347" spans="8:10" ht="13" x14ac:dyDescent="0.15">
      <c r="H2347" s="6">
        <f ca="1"/>
        <v>0</v>
      </c>
      <c r="I2347" s="6">
        <f ca="1"/>
        <v>0</v>
      </c>
      <c r="J2347" s="6">
        <f ca="1"/>
        <v>0</v>
      </c>
    </row>
    <row r="2348" spans="8:10" ht="13" x14ac:dyDescent="0.15">
      <c r="H2348" s="6">
        <f ca="1"/>
        <v>0</v>
      </c>
      <c r="I2348" s="6">
        <f ca="1"/>
        <v>0</v>
      </c>
      <c r="J2348" s="6">
        <f ca="1"/>
        <v>0</v>
      </c>
    </row>
    <row r="2349" spans="8:10" ht="13" x14ac:dyDescent="0.15">
      <c r="H2349" s="6">
        <f ca="1"/>
        <v>0</v>
      </c>
      <c r="I2349" s="6">
        <f ca="1"/>
        <v>0</v>
      </c>
      <c r="J2349" s="6">
        <f ca="1"/>
        <v>0</v>
      </c>
    </row>
    <row r="2350" spans="8:10" ht="13" x14ac:dyDescent="0.15">
      <c r="H2350" s="6">
        <f ca="1"/>
        <v>0</v>
      </c>
      <c r="I2350" s="6">
        <f ca="1"/>
        <v>0</v>
      </c>
      <c r="J2350" s="6">
        <f ca="1"/>
        <v>0</v>
      </c>
    </row>
    <row r="2351" spans="8:10" ht="13" x14ac:dyDescent="0.15">
      <c r="H2351" s="6">
        <f ca="1"/>
        <v>0</v>
      </c>
      <c r="I2351" s="6">
        <f ca="1"/>
        <v>0</v>
      </c>
      <c r="J2351" s="6">
        <f ca="1"/>
        <v>0</v>
      </c>
    </row>
    <row r="2352" spans="8:10" ht="13" x14ac:dyDescent="0.15">
      <c r="H2352" s="6">
        <f ca="1"/>
        <v>0</v>
      </c>
      <c r="I2352" s="6">
        <f ca="1"/>
        <v>0</v>
      </c>
      <c r="J2352" s="6">
        <f ca="1"/>
        <v>0</v>
      </c>
    </row>
    <row r="2353" spans="8:10" ht="13" x14ac:dyDescent="0.15">
      <c r="H2353" s="6">
        <f ca="1"/>
        <v>0</v>
      </c>
      <c r="I2353" s="6">
        <f ca="1"/>
        <v>0</v>
      </c>
      <c r="J2353" s="6">
        <f ca="1"/>
        <v>0</v>
      </c>
    </row>
    <row r="2354" spans="8:10" ht="13" x14ac:dyDescent="0.15">
      <c r="H2354" s="6">
        <f ca="1"/>
        <v>0</v>
      </c>
      <c r="I2354" s="6">
        <f ca="1"/>
        <v>0</v>
      </c>
      <c r="J2354" s="6">
        <f ca="1"/>
        <v>0</v>
      </c>
    </row>
    <row r="2355" spans="8:10" ht="13" x14ac:dyDescent="0.15">
      <c r="H2355" s="6">
        <f ca="1"/>
        <v>0</v>
      </c>
      <c r="I2355" s="6">
        <f ca="1"/>
        <v>0</v>
      </c>
      <c r="J2355" s="6">
        <f ca="1"/>
        <v>0</v>
      </c>
    </row>
    <row r="2356" spans="8:10" ht="13" x14ac:dyDescent="0.15">
      <c r="H2356" s="6">
        <f ca="1"/>
        <v>0</v>
      </c>
      <c r="I2356" s="6">
        <f ca="1"/>
        <v>0</v>
      </c>
      <c r="J2356" s="6">
        <f ca="1"/>
        <v>0</v>
      </c>
    </row>
    <row r="2357" spans="8:10" ht="13" x14ac:dyDescent="0.15">
      <c r="H2357" s="6">
        <f ca="1"/>
        <v>0</v>
      </c>
      <c r="I2357" s="6">
        <f ca="1"/>
        <v>0</v>
      </c>
      <c r="J2357" s="6">
        <f ca="1"/>
        <v>0</v>
      </c>
    </row>
    <row r="2358" spans="8:10" ht="13" x14ac:dyDescent="0.15">
      <c r="H2358" s="6">
        <f ca="1"/>
        <v>0</v>
      </c>
      <c r="I2358" s="6">
        <f ca="1"/>
        <v>0</v>
      </c>
      <c r="J2358" s="6">
        <f ca="1"/>
        <v>0</v>
      </c>
    </row>
    <row r="2359" spans="8:10" ht="13" x14ac:dyDescent="0.15">
      <c r="H2359" s="6">
        <f ca="1"/>
        <v>0</v>
      </c>
      <c r="I2359" s="6">
        <f ca="1"/>
        <v>0</v>
      </c>
      <c r="J2359" s="6">
        <f ca="1"/>
        <v>0</v>
      </c>
    </row>
    <row r="2360" spans="8:10" ht="13" x14ac:dyDescent="0.15">
      <c r="H2360" s="6">
        <f ca="1"/>
        <v>0</v>
      </c>
      <c r="I2360" s="6">
        <f ca="1"/>
        <v>0</v>
      </c>
      <c r="J2360" s="6">
        <f ca="1"/>
        <v>0</v>
      </c>
    </row>
    <row r="2361" spans="8:10" ht="13" x14ac:dyDescent="0.15">
      <c r="H2361" s="6">
        <f ca="1"/>
        <v>0</v>
      </c>
      <c r="I2361" s="6">
        <f ca="1"/>
        <v>0</v>
      </c>
      <c r="J2361" s="6">
        <f ca="1"/>
        <v>0</v>
      </c>
    </row>
    <row r="2362" spans="8:10" ht="13" x14ac:dyDescent="0.15">
      <c r="H2362" s="6">
        <f ca="1"/>
        <v>0</v>
      </c>
      <c r="I2362" s="6">
        <f ca="1"/>
        <v>0</v>
      </c>
      <c r="J2362" s="6">
        <f ca="1"/>
        <v>0</v>
      </c>
    </row>
    <row r="2363" spans="8:10" ht="13" x14ac:dyDescent="0.15">
      <c r="H2363" s="6">
        <f ca="1"/>
        <v>0</v>
      </c>
      <c r="I2363" s="6">
        <f ca="1"/>
        <v>0</v>
      </c>
      <c r="J2363" s="6">
        <f ca="1"/>
        <v>0</v>
      </c>
    </row>
    <row r="2364" spans="8:10" ht="13" x14ac:dyDescent="0.15">
      <c r="H2364" s="6">
        <f ca="1"/>
        <v>0</v>
      </c>
      <c r="I2364" s="6">
        <f ca="1"/>
        <v>0</v>
      </c>
      <c r="J2364" s="6">
        <f ca="1"/>
        <v>0</v>
      </c>
    </row>
    <row r="2365" spans="8:10" ht="13" x14ac:dyDescent="0.15">
      <c r="H2365" s="6">
        <f ca="1"/>
        <v>0</v>
      </c>
      <c r="I2365" s="6">
        <f ca="1"/>
        <v>0</v>
      </c>
      <c r="J2365" s="6">
        <f ca="1"/>
        <v>0</v>
      </c>
    </row>
    <row r="2366" spans="8:10" ht="13" x14ac:dyDescent="0.15">
      <c r="H2366" s="6">
        <f ca="1"/>
        <v>0</v>
      </c>
      <c r="I2366" s="6">
        <f ca="1"/>
        <v>0</v>
      </c>
      <c r="J2366" s="6">
        <f ca="1"/>
        <v>0</v>
      </c>
    </row>
    <row r="2367" spans="8:10" ht="13" x14ac:dyDescent="0.15">
      <c r="H2367" s="6">
        <f ca="1"/>
        <v>0</v>
      </c>
      <c r="I2367" s="6">
        <f ca="1"/>
        <v>0</v>
      </c>
      <c r="J2367" s="6">
        <f ca="1"/>
        <v>0</v>
      </c>
    </row>
    <row r="2368" spans="8:10" ht="13" x14ac:dyDescent="0.15">
      <c r="H2368" s="6">
        <f ca="1"/>
        <v>0</v>
      </c>
      <c r="I2368" s="6">
        <f ca="1"/>
        <v>0</v>
      </c>
      <c r="J2368" s="6">
        <f ca="1"/>
        <v>0</v>
      </c>
    </row>
    <row r="2369" spans="8:10" ht="13" x14ac:dyDescent="0.15">
      <c r="H2369" s="6">
        <f ca="1"/>
        <v>0</v>
      </c>
      <c r="I2369" s="6">
        <f ca="1"/>
        <v>0</v>
      </c>
      <c r="J2369" s="6">
        <f ca="1"/>
        <v>0</v>
      </c>
    </row>
    <row r="2370" spans="8:10" ht="13" x14ac:dyDescent="0.15">
      <c r="H2370" s="6">
        <f ca="1"/>
        <v>0</v>
      </c>
      <c r="I2370" s="6">
        <f ca="1"/>
        <v>0</v>
      </c>
      <c r="J2370" s="6">
        <f ca="1"/>
        <v>0</v>
      </c>
    </row>
    <row r="2371" spans="8:10" ht="13" x14ac:dyDescent="0.15">
      <c r="H2371" s="6">
        <f ca="1"/>
        <v>0</v>
      </c>
      <c r="I2371" s="6">
        <f ca="1"/>
        <v>0</v>
      </c>
      <c r="J2371" s="6">
        <f ca="1"/>
        <v>0</v>
      </c>
    </row>
    <row r="2372" spans="8:10" ht="13" x14ac:dyDescent="0.15">
      <c r="H2372" s="6">
        <f ca="1"/>
        <v>0</v>
      </c>
      <c r="I2372" s="6">
        <f ca="1"/>
        <v>0</v>
      </c>
      <c r="J2372" s="6">
        <f ca="1"/>
        <v>0</v>
      </c>
    </row>
    <row r="2373" spans="8:10" ht="13" x14ac:dyDescent="0.15">
      <c r="H2373" s="6">
        <f ca="1"/>
        <v>0</v>
      </c>
      <c r="I2373" s="6">
        <f ca="1"/>
        <v>0</v>
      </c>
      <c r="J2373" s="6">
        <f ca="1"/>
        <v>0</v>
      </c>
    </row>
    <row r="2374" spans="8:10" ht="13" x14ac:dyDescent="0.15">
      <c r="H2374" s="6">
        <f ca="1"/>
        <v>0</v>
      </c>
      <c r="I2374" s="6">
        <f ca="1"/>
        <v>0</v>
      </c>
      <c r="J2374" s="6">
        <f ca="1"/>
        <v>0</v>
      </c>
    </row>
    <row r="2375" spans="8:10" ht="13" x14ac:dyDescent="0.15">
      <c r="H2375" s="6">
        <f ca="1"/>
        <v>0</v>
      </c>
      <c r="I2375" s="6">
        <f ca="1"/>
        <v>0</v>
      </c>
      <c r="J2375" s="6">
        <f ca="1"/>
        <v>0</v>
      </c>
    </row>
    <row r="2376" spans="8:10" ht="13" x14ac:dyDescent="0.15">
      <c r="H2376" s="6">
        <f ca="1"/>
        <v>0</v>
      </c>
      <c r="I2376" s="6">
        <f ca="1"/>
        <v>0</v>
      </c>
      <c r="J2376" s="6">
        <f ca="1"/>
        <v>0</v>
      </c>
    </row>
    <row r="2377" spans="8:10" ht="13" x14ac:dyDescent="0.15">
      <c r="H2377" s="6">
        <f ca="1"/>
        <v>0</v>
      </c>
      <c r="I2377" s="6">
        <f ca="1"/>
        <v>0</v>
      </c>
      <c r="J2377" s="6">
        <f ca="1"/>
        <v>0</v>
      </c>
    </row>
    <row r="2378" spans="8:10" ht="13" x14ac:dyDescent="0.15">
      <c r="H2378" s="6">
        <f ca="1"/>
        <v>0</v>
      </c>
      <c r="I2378" s="6">
        <f ca="1"/>
        <v>0</v>
      </c>
      <c r="J2378" s="6">
        <f ca="1"/>
        <v>0</v>
      </c>
    </row>
    <row r="2379" spans="8:10" ht="13" x14ac:dyDescent="0.15">
      <c r="H2379" s="6">
        <f ca="1"/>
        <v>0</v>
      </c>
      <c r="I2379" s="6">
        <f ca="1"/>
        <v>0</v>
      </c>
      <c r="J2379" s="6">
        <f ca="1"/>
        <v>0</v>
      </c>
    </row>
    <row r="2380" spans="8:10" ht="13" x14ac:dyDescent="0.15">
      <c r="H2380" s="6">
        <f ca="1"/>
        <v>0</v>
      </c>
      <c r="I2380" s="6">
        <f ca="1"/>
        <v>0</v>
      </c>
      <c r="J2380" s="6">
        <f ca="1"/>
        <v>0</v>
      </c>
    </row>
    <row r="2381" spans="8:10" ht="13" x14ac:dyDescent="0.15">
      <c r="H2381" s="6">
        <f ca="1"/>
        <v>0</v>
      </c>
      <c r="I2381" s="6">
        <f ca="1"/>
        <v>0</v>
      </c>
      <c r="J2381" s="6">
        <f ca="1"/>
        <v>0</v>
      </c>
    </row>
    <row r="2382" spans="8:10" ht="13" x14ac:dyDescent="0.15">
      <c r="H2382" s="6">
        <f ca="1"/>
        <v>0</v>
      </c>
      <c r="I2382" s="6">
        <f ca="1"/>
        <v>0</v>
      </c>
      <c r="J2382" s="6">
        <f ca="1"/>
        <v>0</v>
      </c>
    </row>
    <row r="2383" spans="8:10" ht="13" x14ac:dyDescent="0.15">
      <c r="H2383" s="6">
        <f ca="1"/>
        <v>0</v>
      </c>
      <c r="I2383" s="6">
        <f ca="1"/>
        <v>0</v>
      </c>
      <c r="J2383" s="6">
        <f ca="1"/>
        <v>0</v>
      </c>
    </row>
    <row r="2384" spans="8:10" ht="13" x14ac:dyDescent="0.15">
      <c r="H2384" s="6">
        <f ca="1"/>
        <v>0</v>
      </c>
      <c r="I2384" s="6">
        <f ca="1"/>
        <v>0</v>
      </c>
      <c r="J2384" s="6">
        <f ca="1"/>
        <v>0</v>
      </c>
    </row>
    <row r="2385" spans="8:10" ht="13" x14ac:dyDescent="0.15">
      <c r="H2385" s="6">
        <f ca="1"/>
        <v>0</v>
      </c>
      <c r="I2385" s="6">
        <f ca="1"/>
        <v>0</v>
      </c>
      <c r="J2385" s="6">
        <f ca="1"/>
        <v>0</v>
      </c>
    </row>
    <row r="2386" spans="8:10" ht="13" x14ac:dyDescent="0.15">
      <c r="H2386" s="6">
        <f ca="1"/>
        <v>0</v>
      </c>
      <c r="I2386" s="6">
        <f ca="1"/>
        <v>0</v>
      </c>
      <c r="J2386" s="6">
        <f ca="1"/>
        <v>0</v>
      </c>
    </row>
    <row r="2387" spans="8:10" ht="13" x14ac:dyDescent="0.15">
      <c r="H2387" s="6">
        <f ca="1"/>
        <v>0</v>
      </c>
      <c r="I2387" s="6">
        <f ca="1"/>
        <v>0</v>
      </c>
      <c r="J2387" s="6">
        <f ca="1"/>
        <v>0</v>
      </c>
    </row>
    <row r="2388" spans="8:10" ht="13" x14ac:dyDescent="0.15">
      <c r="H2388" s="6">
        <f ca="1"/>
        <v>0</v>
      </c>
      <c r="I2388" s="6">
        <f ca="1"/>
        <v>0</v>
      </c>
      <c r="J2388" s="6">
        <f ca="1"/>
        <v>0</v>
      </c>
    </row>
    <row r="2389" spans="8:10" ht="13" x14ac:dyDescent="0.15">
      <c r="H2389" s="6">
        <f ca="1"/>
        <v>0</v>
      </c>
      <c r="I2389" s="6">
        <f ca="1"/>
        <v>0</v>
      </c>
      <c r="J2389" s="6">
        <f ca="1"/>
        <v>0</v>
      </c>
    </row>
    <row r="2390" spans="8:10" ht="13" x14ac:dyDescent="0.15">
      <c r="H2390" s="6">
        <f ca="1"/>
        <v>0</v>
      </c>
      <c r="I2390" s="6">
        <f ca="1"/>
        <v>0</v>
      </c>
      <c r="J2390" s="6">
        <f ca="1"/>
        <v>0</v>
      </c>
    </row>
    <row r="2391" spans="8:10" ht="13" x14ac:dyDescent="0.15">
      <c r="H2391" s="6">
        <f ca="1"/>
        <v>0</v>
      </c>
      <c r="I2391" s="6">
        <f ca="1"/>
        <v>0</v>
      </c>
      <c r="J2391" s="6">
        <f ca="1"/>
        <v>0</v>
      </c>
    </row>
    <row r="2392" spans="8:10" ht="13" x14ac:dyDescent="0.15">
      <c r="H2392" s="6">
        <f ca="1"/>
        <v>0</v>
      </c>
      <c r="I2392" s="6">
        <f ca="1"/>
        <v>0</v>
      </c>
      <c r="J2392" s="6">
        <f ca="1"/>
        <v>0</v>
      </c>
    </row>
    <row r="2393" spans="8:10" ht="13" x14ac:dyDescent="0.15">
      <c r="H2393" s="6">
        <f ca="1"/>
        <v>0</v>
      </c>
      <c r="I2393" s="6">
        <f ca="1"/>
        <v>0</v>
      </c>
      <c r="J2393" s="6">
        <f ca="1"/>
        <v>0</v>
      </c>
    </row>
    <row r="2394" spans="8:10" ht="13" x14ac:dyDescent="0.15">
      <c r="H2394" s="6">
        <f ca="1"/>
        <v>0</v>
      </c>
      <c r="I2394" s="6">
        <f ca="1"/>
        <v>0</v>
      </c>
      <c r="J2394" s="6">
        <f ca="1"/>
        <v>0</v>
      </c>
    </row>
    <row r="2395" spans="8:10" ht="13" x14ac:dyDescent="0.15">
      <c r="H2395" s="6">
        <f ca="1"/>
        <v>0</v>
      </c>
      <c r="I2395" s="6">
        <f ca="1"/>
        <v>0</v>
      </c>
      <c r="J2395" s="6">
        <f ca="1"/>
        <v>0</v>
      </c>
    </row>
    <row r="2396" spans="8:10" ht="13" x14ac:dyDescent="0.15">
      <c r="H2396" s="6">
        <f ca="1"/>
        <v>0</v>
      </c>
      <c r="I2396" s="6">
        <f ca="1"/>
        <v>0</v>
      </c>
      <c r="J2396" s="6">
        <f ca="1"/>
        <v>0</v>
      </c>
    </row>
    <row r="2397" spans="8:10" ht="13" x14ac:dyDescent="0.15">
      <c r="H2397" s="6">
        <f ca="1"/>
        <v>0</v>
      </c>
      <c r="I2397" s="6">
        <f ca="1"/>
        <v>0</v>
      </c>
      <c r="J2397" s="6">
        <f ca="1"/>
        <v>0</v>
      </c>
    </row>
    <row r="2398" spans="8:10" ht="13" x14ac:dyDescent="0.15">
      <c r="H2398" s="6">
        <f ca="1"/>
        <v>0</v>
      </c>
      <c r="I2398" s="6">
        <f ca="1"/>
        <v>0</v>
      </c>
      <c r="J2398" s="6">
        <f ca="1"/>
        <v>0</v>
      </c>
    </row>
    <row r="2399" spans="8:10" ht="13" x14ac:dyDescent="0.15">
      <c r="H2399" s="6">
        <f ca="1"/>
        <v>0</v>
      </c>
      <c r="I2399" s="6">
        <f ca="1"/>
        <v>0</v>
      </c>
      <c r="J2399" s="6">
        <f ca="1"/>
        <v>0</v>
      </c>
    </row>
    <row r="2400" spans="8:10" ht="13" x14ac:dyDescent="0.15">
      <c r="H2400" s="6">
        <f ca="1"/>
        <v>0</v>
      </c>
      <c r="I2400" s="6">
        <f ca="1"/>
        <v>0</v>
      </c>
      <c r="J2400" s="6">
        <f ca="1"/>
        <v>0</v>
      </c>
    </row>
    <row r="2401" spans="8:10" ht="13" x14ac:dyDescent="0.15">
      <c r="H2401" s="6">
        <f ca="1"/>
        <v>0</v>
      </c>
      <c r="I2401" s="6">
        <f ca="1"/>
        <v>0</v>
      </c>
      <c r="J2401" s="6">
        <f ca="1"/>
        <v>0</v>
      </c>
    </row>
    <row r="2402" spans="8:10" ht="13" x14ac:dyDescent="0.15">
      <c r="H2402" s="6">
        <f ca="1"/>
        <v>0</v>
      </c>
      <c r="I2402" s="6">
        <f ca="1"/>
        <v>0</v>
      </c>
      <c r="J2402" s="6">
        <f ca="1"/>
        <v>0</v>
      </c>
    </row>
    <row r="2403" spans="8:10" ht="13" x14ac:dyDescent="0.15">
      <c r="H2403" s="6">
        <f ca="1"/>
        <v>0</v>
      </c>
      <c r="I2403" s="6">
        <f ca="1"/>
        <v>0</v>
      </c>
      <c r="J2403" s="6">
        <f ca="1"/>
        <v>0</v>
      </c>
    </row>
    <row r="2404" spans="8:10" ht="13" x14ac:dyDescent="0.15">
      <c r="H2404" s="6">
        <f ca="1"/>
        <v>0</v>
      </c>
      <c r="I2404" s="6">
        <f ca="1"/>
        <v>0</v>
      </c>
      <c r="J2404" s="6">
        <f ca="1"/>
        <v>0</v>
      </c>
    </row>
    <row r="2405" spans="8:10" ht="13" x14ac:dyDescent="0.15">
      <c r="H2405" s="6">
        <f ca="1"/>
        <v>0</v>
      </c>
      <c r="I2405" s="6">
        <f ca="1"/>
        <v>0</v>
      </c>
      <c r="J2405" s="6">
        <f ca="1"/>
        <v>0</v>
      </c>
    </row>
    <row r="2406" spans="8:10" ht="13" x14ac:dyDescent="0.15">
      <c r="H2406" s="6">
        <f ca="1"/>
        <v>0</v>
      </c>
      <c r="I2406" s="6">
        <f ca="1"/>
        <v>0</v>
      </c>
      <c r="J2406" s="6">
        <f ca="1"/>
        <v>0</v>
      </c>
    </row>
    <row r="2407" spans="8:10" ht="13" x14ac:dyDescent="0.15">
      <c r="H2407" s="6">
        <f ca="1"/>
        <v>0</v>
      </c>
      <c r="I2407" s="6">
        <f ca="1"/>
        <v>0</v>
      </c>
      <c r="J2407" s="6">
        <f ca="1"/>
        <v>0</v>
      </c>
    </row>
    <row r="2408" spans="8:10" ht="13" x14ac:dyDescent="0.15">
      <c r="H2408" s="6">
        <f ca="1"/>
        <v>0</v>
      </c>
      <c r="I2408" s="6">
        <f ca="1"/>
        <v>0</v>
      </c>
      <c r="J2408" s="6">
        <f ca="1"/>
        <v>0</v>
      </c>
    </row>
    <row r="2409" spans="8:10" ht="13" x14ac:dyDescent="0.15">
      <c r="H2409" s="6">
        <f ca="1"/>
        <v>0</v>
      </c>
      <c r="I2409" s="6">
        <f ca="1"/>
        <v>0</v>
      </c>
      <c r="J2409" s="6">
        <f ca="1"/>
        <v>0</v>
      </c>
    </row>
    <row r="2410" spans="8:10" ht="13" x14ac:dyDescent="0.15">
      <c r="H2410" s="6">
        <f ca="1"/>
        <v>0</v>
      </c>
      <c r="I2410" s="6">
        <f ca="1"/>
        <v>0</v>
      </c>
      <c r="J2410" s="6">
        <f ca="1"/>
        <v>0</v>
      </c>
    </row>
    <row r="2411" spans="8:10" ht="13" x14ac:dyDescent="0.15">
      <c r="H2411" s="6">
        <f ca="1"/>
        <v>0</v>
      </c>
      <c r="I2411" s="6">
        <f ca="1"/>
        <v>0</v>
      </c>
      <c r="J2411" s="6">
        <f ca="1"/>
        <v>0</v>
      </c>
    </row>
    <row r="2412" spans="8:10" ht="13" x14ac:dyDescent="0.15">
      <c r="H2412" s="6">
        <f ca="1"/>
        <v>0</v>
      </c>
      <c r="I2412" s="6">
        <f ca="1"/>
        <v>0</v>
      </c>
      <c r="J2412" s="6">
        <f ca="1"/>
        <v>0</v>
      </c>
    </row>
    <row r="2413" spans="8:10" ht="13" x14ac:dyDescent="0.15">
      <c r="H2413" s="6">
        <f ca="1"/>
        <v>0</v>
      </c>
      <c r="I2413" s="6">
        <f ca="1"/>
        <v>0</v>
      </c>
      <c r="J2413" s="6">
        <f ca="1"/>
        <v>0</v>
      </c>
    </row>
    <row r="2414" spans="8:10" ht="13" x14ac:dyDescent="0.15">
      <c r="H2414" s="6">
        <f ca="1"/>
        <v>0</v>
      </c>
      <c r="I2414" s="6">
        <f ca="1"/>
        <v>0</v>
      </c>
      <c r="J2414" s="6">
        <f ca="1"/>
        <v>0</v>
      </c>
    </row>
    <row r="2415" spans="8:10" ht="13" x14ac:dyDescent="0.15">
      <c r="H2415" s="6">
        <f ca="1"/>
        <v>0</v>
      </c>
      <c r="I2415" s="6">
        <f ca="1"/>
        <v>0</v>
      </c>
      <c r="J2415" s="6">
        <f ca="1"/>
        <v>0</v>
      </c>
    </row>
    <row r="2416" spans="8:10" ht="13" x14ac:dyDescent="0.15">
      <c r="H2416" s="6">
        <f ca="1"/>
        <v>0</v>
      </c>
      <c r="I2416" s="6">
        <f ca="1"/>
        <v>0</v>
      </c>
      <c r="J2416" s="6">
        <f ca="1"/>
        <v>0</v>
      </c>
    </row>
    <row r="2417" spans="8:10" ht="13" x14ac:dyDescent="0.15">
      <c r="H2417" s="6">
        <f ca="1"/>
        <v>0</v>
      </c>
      <c r="I2417" s="6">
        <f ca="1"/>
        <v>0</v>
      </c>
      <c r="J2417" s="6">
        <f ca="1"/>
        <v>0</v>
      </c>
    </row>
    <row r="2418" spans="8:10" ht="13" x14ac:dyDescent="0.15">
      <c r="H2418" s="6">
        <f ca="1"/>
        <v>0</v>
      </c>
      <c r="I2418" s="6">
        <f ca="1"/>
        <v>0</v>
      </c>
      <c r="J2418" s="6">
        <f ca="1"/>
        <v>0</v>
      </c>
    </row>
    <row r="2419" spans="8:10" ht="13" x14ac:dyDescent="0.15">
      <c r="H2419" s="6">
        <f ca="1"/>
        <v>0</v>
      </c>
      <c r="I2419" s="6">
        <f ca="1"/>
        <v>0</v>
      </c>
      <c r="J2419" s="6">
        <f ca="1"/>
        <v>0</v>
      </c>
    </row>
    <row r="2420" spans="8:10" ht="13" x14ac:dyDescent="0.15">
      <c r="H2420" s="6">
        <f ca="1"/>
        <v>0</v>
      </c>
      <c r="I2420" s="6">
        <f ca="1"/>
        <v>0</v>
      </c>
      <c r="J2420" s="6">
        <f ca="1"/>
        <v>0</v>
      </c>
    </row>
    <row r="2421" spans="8:10" ht="13" x14ac:dyDescent="0.15">
      <c r="H2421" s="6">
        <f ca="1"/>
        <v>0</v>
      </c>
      <c r="I2421" s="6">
        <f ca="1"/>
        <v>0</v>
      </c>
      <c r="J2421" s="6">
        <f ca="1"/>
        <v>0</v>
      </c>
    </row>
    <row r="2422" spans="8:10" ht="13" x14ac:dyDescent="0.15">
      <c r="H2422" s="6">
        <f ca="1"/>
        <v>0</v>
      </c>
      <c r="I2422" s="6">
        <f ca="1"/>
        <v>0</v>
      </c>
      <c r="J2422" s="6">
        <f ca="1"/>
        <v>0</v>
      </c>
    </row>
    <row r="2423" spans="8:10" ht="13" x14ac:dyDescent="0.15">
      <c r="H2423" s="6">
        <f ca="1"/>
        <v>0</v>
      </c>
      <c r="I2423" s="6">
        <f ca="1"/>
        <v>0</v>
      </c>
      <c r="J2423" s="6">
        <f ca="1"/>
        <v>0</v>
      </c>
    </row>
    <row r="2424" spans="8:10" ht="13" x14ac:dyDescent="0.15">
      <c r="H2424" s="6">
        <f ca="1"/>
        <v>0</v>
      </c>
      <c r="I2424" s="6">
        <f ca="1"/>
        <v>0</v>
      </c>
      <c r="J2424" s="6">
        <f ca="1"/>
        <v>0</v>
      </c>
    </row>
    <row r="2425" spans="8:10" ht="13" x14ac:dyDescent="0.15">
      <c r="H2425" s="6">
        <f ca="1"/>
        <v>0</v>
      </c>
      <c r="I2425" s="6">
        <f ca="1"/>
        <v>0</v>
      </c>
      <c r="J2425" s="6">
        <f ca="1"/>
        <v>0</v>
      </c>
    </row>
    <row r="2426" spans="8:10" ht="13" x14ac:dyDescent="0.15">
      <c r="H2426" s="6">
        <f ca="1"/>
        <v>0</v>
      </c>
      <c r="I2426" s="6">
        <f ca="1"/>
        <v>0</v>
      </c>
      <c r="J2426" s="6">
        <f ca="1"/>
        <v>0</v>
      </c>
    </row>
    <row r="2427" spans="8:10" ht="13" x14ac:dyDescent="0.15">
      <c r="H2427" s="6">
        <f ca="1"/>
        <v>0</v>
      </c>
      <c r="I2427" s="6">
        <f ca="1"/>
        <v>0</v>
      </c>
      <c r="J2427" s="6">
        <f ca="1"/>
        <v>0</v>
      </c>
    </row>
    <row r="2428" spans="8:10" ht="13" x14ac:dyDescent="0.15">
      <c r="H2428" s="6">
        <f ca="1"/>
        <v>0</v>
      </c>
      <c r="I2428" s="6">
        <f ca="1"/>
        <v>0</v>
      </c>
      <c r="J2428" s="6">
        <f ca="1"/>
        <v>0</v>
      </c>
    </row>
    <row r="2429" spans="8:10" ht="13" x14ac:dyDescent="0.15">
      <c r="H2429" s="6">
        <f ca="1"/>
        <v>0</v>
      </c>
      <c r="I2429" s="6">
        <f ca="1"/>
        <v>0</v>
      </c>
      <c r="J2429" s="6">
        <f ca="1"/>
        <v>0</v>
      </c>
    </row>
    <row r="2430" spans="8:10" ht="13" x14ac:dyDescent="0.15">
      <c r="H2430" s="6">
        <f ca="1"/>
        <v>0</v>
      </c>
      <c r="I2430" s="6">
        <f ca="1"/>
        <v>0</v>
      </c>
      <c r="J2430" s="6">
        <f ca="1"/>
        <v>0</v>
      </c>
    </row>
    <row r="2431" spans="8:10" ht="13" x14ac:dyDescent="0.15">
      <c r="H2431" s="6">
        <f ca="1"/>
        <v>0</v>
      </c>
      <c r="I2431" s="6">
        <f ca="1"/>
        <v>0</v>
      </c>
      <c r="J2431" s="6">
        <f ca="1"/>
        <v>0</v>
      </c>
    </row>
    <row r="2432" spans="8:10" ht="13" x14ac:dyDescent="0.15">
      <c r="H2432" s="6">
        <f ca="1"/>
        <v>0</v>
      </c>
      <c r="I2432" s="6">
        <f ca="1"/>
        <v>0</v>
      </c>
      <c r="J2432" s="6">
        <f ca="1"/>
        <v>0</v>
      </c>
    </row>
    <row r="2433" spans="8:10" ht="13" x14ac:dyDescent="0.15">
      <c r="H2433" s="6">
        <f ca="1"/>
        <v>0</v>
      </c>
      <c r="I2433" s="6">
        <f ca="1"/>
        <v>0</v>
      </c>
      <c r="J2433" s="6">
        <f ca="1"/>
        <v>0</v>
      </c>
    </row>
    <row r="2434" spans="8:10" ht="13" x14ac:dyDescent="0.15">
      <c r="H2434" s="6">
        <f ca="1"/>
        <v>0</v>
      </c>
      <c r="I2434" s="6">
        <f ca="1"/>
        <v>0</v>
      </c>
      <c r="J2434" s="6">
        <f ca="1"/>
        <v>0</v>
      </c>
    </row>
    <row r="2435" spans="8:10" ht="13" x14ac:dyDescent="0.15">
      <c r="H2435" s="6">
        <f ca="1"/>
        <v>0</v>
      </c>
      <c r="I2435" s="6">
        <f ca="1"/>
        <v>0</v>
      </c>
      <c r="J2435" s="6">
        <f ca="1"/>
        <v>0</v>
      </c>
    </row>
    <row r="2436" spans="8:10" ht="13" x14ac:dyDescent="0.15">
      <c r="H2436" s="6">
        <f ca="1"/>
        <v>0</v>
      </c>
      <c r="I2436" s="6">
        <f ca="1"/>
        <v>0</v>
      </c>
      <c r="J2436" s="6">
        <f ca="1"/>
        <v>0</v>
      </c>
    </row>
    <row r="2437" spans="8:10" ht="13" x14ac:dyDescent="0.15">
      <c r="H2437" s="6">
        <f ca="1"/>
        <v>0</v>
      </c>
      <c r="I2437" s="6">
        <f ca="1"/>
        <v>0</v>
      </c>
      <c r="J2437" s="6">
        <f ca="1"/>
        <v>0</v>
      </c>
    </row>
    <row r="2438" spans="8:10" ht="13" x14ac:dyDescent="0.15">
      <c r="H2438" s="6">
        <f ca="1"/>
        <v>0</v>
      </c>
      <c r="I2438" s="6">
        <f ca="1"/>
        <v>0</v>
      </c>
      <c r="J2438" s="6">
        <f ca="1"/>
        <v>0</v>
      </c>
    </row>
    <row r="2439" spans="8:10" ht="13" x14ac:dyDescent="0.15">
      <c r="H2439" s="6">
        <f ca="1"/>
        <v>0</v>
      </c>
      <c r="I2439" s="6">
        <f ca="1"/>
        <v>0</v>
      </c>
      <c r="J2439" s="6">
        <f ca="1"/>
        <v>0</v>
      </c>
    </row>
    <row r="2440" spans="8:10" ht="13" x14ac:dyDescent="0.15">
      <c r="H2440" s="6">
        <f ca="1"/>
        <v>0</v>
      </c>
      <c r="I2440" s="6">
        <f ca="1"/>
        <v>0</v>
      </c>
      <c r="J2440" s="6">
        <f ca="1"/>
        <v>0</v>
      </c>
    </row>
    <row r="2441" spans="8:10" ht="13" x14ac:dyDescent="0.15">
      <c r="H2441" s="6">
        <f ca="1"/>
        <v>0</v>
      </c>
      <c r="I2441" s="6">
        <f ca="1"/>
        <v>0</v>
      </c>
      <c r="J2441" s="6">
        <f ca="1"/>
        <v>0</v>
      </c>
    </row>
    <row r="2442" spans="8:10" ht="13" x14ac:dyDescent="0.15">
      <c r="H2442" s="6">
        <f ca="1"/>
        <v>0</v>
      </c>
      <c r="I2442" s="6">
        <f ca="1"/>
        <v>0</v>
      </c>
      <c r="J2442" s="6">
        <f ca="1"/>
        <v>0</v>
      </c>
    </row>
    <row r="2443" spans="8:10" ht="13" x14ac:dyDescent="0.15">
      <c r="H2443" s="6">
        <f ca="1"/>
        <v>0</v>
      </c>
      <c r="I2443" s="6">
        <f ca="1"/>
        <v>0</v>
      </c>
      <c r="J2443" s="6">
        <f ca="1"/>
        <v>0</v>
      </c>
    </row>
    <row r="2444" spans="8:10" ht="13" x14ac:dyDescent="0.15">
      <c r="H2444" s="6">
        <f ca="1"/>
        <v>0</v>
      </c>
      <c r="I2444" s="6">
        <f ca="1"/>
        <v>0</v>
      </c>
      <c r="J2444" s="6">
        <f ca="1"/>
        <v>0</v>
      </c>
    </row>
    <row r="2445" spans="8:10" ht="13" x14ac:dyDescent="0.15">
      <c r="H2445" s="6">
        <f ca="1"/>
        <v>0</v>
      </c>
      <c r="I2445" s="6">
        <f ca="1"/>
        <v>0</v>
      </c>
      <c r="J2445" s="6">
        <f ca="1"/>
        <v>0</v>
      </c>
    </row>
    <row r="2446" spans="8:10" ht="13" x14ac:dyDescent="0.15">
      <c r="H2446" s="6">
        <f ca="1"/>
        <v>0</v>
      </c>
      <c r="I2446" s="6">
        <f ca="1"/>
        <v>0</v>
      </c>
      <c r="J2446" s="6">
        <f ca="1"/>
        <v>0</v>
      </c>
    </row>
    <row r="2447" spans="8:10" ht="13" x14ac:dyDescent="0.15">
      <c r="H2447" s="6">
        <f ca="1"/>
        <v>0</v>
      </c>
      <c r="I2447" s="6">
        <f ca="1"/>
        <v>0</v>
      </c>
      <c r="J2447" s="6">
        <f ca="1"/>
        <v>0</v>
      </c>
    </row>
    <row r="2448" spans="8:10" ht="13" x14ac:dyDescent="0.15">
      <c r="H2448" s="6">
        <f ca="1"/>
        <v>0</v>
      </c>
      <c r="I2448" s="6">
        <f ca="1"/>
        <v>0</v>
      </c>
      <c r="J2448" s="6">
        <f ca="1"/>
        <v>0</v>
      </c>
    </row>
    <row r="2449" spans="8:10" ht="13" x14ac:dyDescent="0.15">
      <c r="H2449" s="6">
        <f ca="1"/>
        <v>0</v>
      </c>
      <c r="I2449" s="6">
        <f ca="1"/>
        <v>0</v>
      </c>
      <c r="J2449" s="6">
        <f ca="1"/>
        <v>0</v>
      </c>
    </row>
    <row r="2450" spans="8:10" ht="13" x14ac:dyDescent="0.15">
      <c r="H2450" s="6">
        <f ca="1"/>
        <v>0</v>
      </c>
      <c r="I2450" s="6">
        <f ca="1"/>
        <v>0</v>
      </c>
      <c r="J2450" s="6">
        <f ca="1"/>
        <v>0</v>
      </c>
    </row>
    <row r="2451" spans="8:10" ht="13" x14ac:dyDescent="0.15">
      <c r="H2451" s="6">
        <f ca="1"/>
        <v>0</v>
      </c>
      <c r="I2451" s="6">
        <f ca="1"/>
        <v>0</v>
      </c>
      <c r="J2451" s="6">
        <f ca="1"/>
        <v>0</v>
      </c>
    </row>
    <row r="2452" spans="8:10" ht="13" x14ac:dyDescent="0.15">
      <c r="H2452" s="6">
        <f ca="1"/>
        <v>0</v>
      </c>
      <c r="I2452" s="6">
        <f ca="1"/>
        <v>0</v>
      </c>
      <c r="J2452" s="6">
        <f ca="1"/>
        <v>0</v>
      </c>
    </row>
    <row r="2453" spans="8:10" ht="13" x14ac:dyDescent="0.15">
      <c r="H2453" s="6">
        <f ca="1"/>
        <v>0</v>
      </c>
      <c r="I2453" s="6">
        <f ca="1"/>
        <v>0</v>
      </c>
      <c r="J2453" s="6">
        <f ca="1"/>
        <v>0</v>
      </c>
    </row>
    <row r="2454" spans="8:10" ht="13" x14ac:dyDescent="0.15">
      <c r="H2454" s="6">
        <f ca="1"/>
        <v>0</v>
      </c>
      <c r="I2454" s="6">
        <f ca="1"/>
        <v>0</v>
      </c>
      <c r="J2454" s="6">
        <f ca="1"/>
        <v>0</v>
      </c>
    </row>
    <row r="2455" spans="8:10" ht="13" x14ac:dyDescent="0.15">
      <c r="H2455" s="6">
        <f ca="1"/>
        <v>0</v>
      </c>
      <c r="I2455" s="6">
        <f ca="1"/>
        <v>0</v>
      </c>
      <c r="J2455" s="6">
        <f ca="1"/>
        <v>0</v>
      </c>
    </row>
    <row r="2456" spans="8:10" ht="13" x14ac:dyDescent="0.15">
      <c r="H2456" s="6">
        <f ca="1"/>
        <v>0</v>
      </c>
      <c r="I2456" s="6">
        <f ca="1"/>
        <v>0</v>
      </c>
      <c r="J2456" s="6">
        <f ca="1"/>
        <v>0</v>
      </c>
    </row>
    <row r="2457" spans="8:10" ht="13" x14ac:dyDescent="0.15">
      <c r="H2457" s="6">
        <f ca="1"/>
        <v>0</v>
      </c>
      <c r="I2457" s="6">
        <f ca="1"/>
        <v>0</v>
      </c>
      <c r="J2457" s="6">
        <f ca="1"/>
        <v>0</v>
      </c>
    </row>
    <row r="2458" spans="8:10" ht="13" x14ac:dyDescent="0.15">
      <c r="H2458" s="6">
        <f ca="1"/>
        <v>0</v>
      </c>
      <c r="I2458" s="6">
        <f ca="1"/>
        <v>0</v>
      </c>
      <c r="J2458" s="6">
        <f ca="1"/>
        <v>0</v>
      </c>
    </row>
    <row r="2459" spans="8:10" ht="13" x14ac:dyDescent="0.15">
      <c r="H2459" s="6">
        <f ca="1"/>
        <v>0</v>
      </c>
      <c r="I2459" s="6">
        <f ca="1"/>
        <v>0</v>
      </c>
      <c r="J2459" s="6">
        <f ca="1"/>
        <v>0</v>
      </c>
    </row>
    <row r="2460" spans="8:10" ht="13" x14ac:dyDescent="0.15">
      <c r="H2460" s="6">
        <f ca="1"/>
        <v>0</v>
      </c>
      <c r="I2460" s="6">
        <f ca="1"/>
        <v>0</v>
      </c>
      <c r="J2460" s="6">
        <f ca="1"/>
        <v>0</v>
      </c>
    </row>
    <row r="2461" spans="8:10" ht="13" x14ac:dyDescent="0.15">
      <c r="H2461" s="6">
        <f ca="1"/>
        <v>0</v>
      </c>
      <c r="I2461" s="6">
        <f ca="1"/>
        <v>0</v>
      </c>
      <c r="J2461" s="6">
        <f ca="1"/>
        <v>0</v>
      </c>
    </row>
    <row r="2462" spans="8:10" ht="13" x14ac:dyDescent="0.15">
      <c r="H2462" s="6">
        <f ca="1"/>
        <v>0</v>
      </c>
      <c r="I2462" s="6">
        <f ca="1"/>
        <v>0</v>
      </c>
      <c r="J2462" s="6">
        <f ca="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Main</vt:lpstr>
      <vt:lpstr>Results</vt:lpstr>
      <vt:lpstr>Step 1</vt:lpstr>
      <vt:lpstr>Ann1 - Step 2</vt:lpstr>
      <vt:lpstr>Ann2 - Step 2</vt:lpstr>
      <vt:lpstr>Step2 Merge</vt:lpstr>
      <vt:lpstr>Step2 Stats</vt:lpstr>
      <vt:lpstr>Ann1 - Step 3</vt:lpstr>
      <vt:lpstr>Ann2 - Step 3</vt:lpstr>
      <vt:lpstr>Step3 Merge</vt:lpstr>
      <vt:lpstr>Step 3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Worawalan CHATLATANAGULCHAI</cp:lastModifiedBy>
  <dcterms:created xsi:type="dcterms:W3CDTF">2026-07-01T00:57:03Z</dcterms:created>
  <dcterms:modified xsi:type="dcterms:W3CDTF">2026-07-01T00:57:04Z</dcterms:modified>
</cp:coreProperties>
</file>